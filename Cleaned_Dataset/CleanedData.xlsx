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<sst xmlns="http://schemas.openxmlformats.org/spreadsheetml/2006/main" count="30007" uniqueCount="7698">
  <si>
    <t>title</t>
  </si>
  <si>
    <t>rating</t>
  </si>
  <si>
    <t>number_of_reviews</t>
  </si>
  <si>
    <t>bought_in_last_month</t>
  </si>
  <si>
    <t>is_best_seller</t>
  </si>
  <si>
    <t>is_sponsored</t>
  </si>
  <si>
    <t>is_couponed</t>
  </si>
  <si>
    <t>buy_box_availabilty</t>
  </si>
  <si>
    <t>Badges</t>
  </si>
  <si>
    <t>Price</t>
  </si>
  <si>
    <t>Transformers TF-T01 True Wireless Earbuds Wireless Bluetooth 5.4 Ear Buds Deep Bass Sound Earbud with Smart Noise Cancelling Mic IPX5 Waterproof in Ear Earphones for Android iOS Blue Optimus Prime</t>
  </si>
  <si>
    <t>No Badge</t>
  </si>
  <si>
    <t>Sponsored</t>
  </si>
  <si>
    <t>KODAK 10.1 Inch WiFi Digital Picture Frame with 32GB Storage, Electronic Smart Digital Photo Frame 1280x800 IPS Touch Screen, Auto-Rotate, Share Moments Instantly Gifts for Women Mothers Day Christmas</t>
  </si>
  <si>
    <t>KODAK 10.1 Inch WiFi Digital Picture Frame,1280x800 HD IPS Touch Screen, Electronic Smart Photo Frame with 32 GB Memory, Auto-Rotate, Instantly Share Photos/Videos from Anywhere</t>
  </si>
  <si>
    <t>OWC 4TB Envoy Ultra Thunderbolt 5 Portable SSD Enclosure External Drive, Ultra Fast with TB5 Transfer Rates Over 6000MB/s, TB3, TB4 and USB4 Compatible, Works with Mac and PC</t>
  </si>
  <si>
    <t>DEWALT Heavy Duty 72W 5 Port USB Car Charger Multiport, iPhone 16 Multi USB Car Charger, Fast Charge PD &amp; QC3.0 Cigarette Lighter Adapter w/ 6FT Cable, Type C Front/Back Charging for Multiple Devices</t>
  </si>
  <si>
    <t>DEWALT Heavy Duty 24W USB Car Charger Adapter, Cigarette Lighter Adapter USBA Charger, Fast Charging Car Lighter USB Adapters, Cell Phone Automobile Chargers for iPhone, Samsung Galaxy, iPad</t>
  </si>
  <si>
    <t>Amazon's</t>
  </si>
  <si>
    <t>Complete Protect: One plan covers all eligible past and future purchases on Amazon</t>
  </si>
  <si>
    <t>Organic</t>
  </si>
  <si>
    <t>iOttie Velox Pro MagSafe Compatible Dash &amp; Windshield Car Mount with Wireless Charging &amp; CryoFlow™ Cooling Compatible with MagSafe Phones Including iPhone 12/13/14/15/16 Series (Car Charger Included)</t>
  </si>
  <si>
    <t>ASUS TUF Gaming GeForce RTX ™ 5090 32GB GDDR7 Gaming Graphics Card (PCIe® 5.0, HDMI®/DP 2.1, 3.6-Slot, Military-Grade Components, Protective PCB Coating, axial-tech Fans, Vapor Chamber)</t>
  </si>
  <si>
    <t>PNY NVIDIA GeForce RTX™ 5080 16GB Overclocked Triple Fan Graphics Card (DLSS 4, PCIe® 5.0, HDMI®/DP 2.1, 2.9-Slot)</t>
  </si>
  <si>
    <t>Samsung 49" Odyssey OLED (G93SC) Series Curved Gaming Monitor w QD-OLED, 240Hz, 0.03ms, DQHD, G-Sync Compatible, AMD FreeSync Premium Pro,Height Adjustable Stand,3 Yr Warranty,LS49CG932SNXZA</t>
  </si>
  <si>
    <t>DJI Air 3S Drone with RC 2 Fly More Combo (with Screen) 4K HDR, 45-Min Max Flight Time Bundle with 128GB Memory, Landing Pad, Backpack, CPS 2 Year Warranty, Lens Cleaning Kit and More</t>
  </si>
  <si>
    <t>LG 45GX950A-B 45-inch Ultragear 5K2K WUHD (5120 x 2160) OLED Curved Gaming Monitor, Dual-Mode, 165Hz, 0.03ms, NVIDIA G-Sync, AMD FreeSync Premium Pro, HDR True Black 400, USB Type-C 90W, DP2.1, Black</t>
  </si>
  <si>
    <t>MSI Gaming RTX 5090 32G SUPRIM Liquid SOC Graphics Card (32GB GDDR7, 512-bit, Extreme Performance: 2580 MHz, DisplayPort x3 2.1a, HDMI 2.1b, NVIDIA Blackwell Architecture)</t>
  </si>
  <si>
    <t>MSI Katana 15 HX 15.6” 165Hz QHD+ Gaming Laptop: Intel Core i9-14900HX, NVIDIA Geforce RTX 5070, 32GB DDR5, 1TB NVMe SSD, RGB Keyboard, Win 11 Home: Black B14WGK-016US</t>
  </si>
  <si>
    <t>Canon EOS R5 Mark II Body</t>
  </si>
  <si>
    <t>Apple Studio Display - Standard Glass - Tilt-Adjustable Stand ​​​​​​​</t>
  </si>
  <si>
    <t>FUJIFILM X-E5 Body, Silver</t>
  </si>
  <si>
    <t>MSI Gaming RTX 5090 32G SUPRIM SOC Graphics Card (32GB GDDR7, 512-bit, Extreme Performance: 2580 MHz, DisplayPort x3 2.1a, HDMI 2.1b, NVIDIA Blackwell Architecture)</t>
  </si>
  <si>
    <t>Sony FX2 Full-Frame Cinema Camera Body Only</t>
  </si>
  <si>
    <t>Apple 2024 iMac All-in-One Desktop Computer with M4 chip with 10-core CPU and 10-core GPU: Built for Apple Intelligence, 24-inch Retina Display, 24GB Unified Memory, 512GB SSD Storage; Silver</t>
  </si>
  <si>
    <t>Sony FE 24-70mm F2.8 GM II Lens Black</t>
  </si>
  <si>
    <t>Sony Alpha 7 IV Full-frame Mirrorless Interchangeable Lens Camera</t>
  </si>
  <si>
    <t>APC 3000VA Smart UPS with SmartConnect, SMT3000RM2UC Rack Mount UPS Battery Backup, Sinewave, AVR, 120V, Line Interactive Uninterruptible Power Supply</t>
  </si>
  <si>
    <t>Hisense 55" Class U8 Mini-LED ULED 4K UHD Google Smart TV (55U8QG, 2025 Model) - QLED, Native 165Hz, VRR 288, Up to LD5600, 5000 Nits, HDR10+, Dolby Vision IQ · Atmos, IMAX Enhanced, 4.1.2 Ch Audio</t>
  </si>
  <si>
    <t>LG 32GX870A-B 32-inch Ultragear 4K UHD (3840 x 2160) OLED Gaming Monitor, Dual-Mode, 240Hz, 0.03ms, NVIDIA, AMD FreeSync Premium Pro, VESA DisplayHDR True Black 400, USB Type-C, DP2.1, Black</t>
  </si>
  <si>
    <t>Razer Seiren V3 Chroma RGB USB Microphone: Stream &amp; Game Reactive Lighting - Tap-to-Mute Sensor - Condenser Mic - Digital Gain Limiter &amp; Shock Absorber - PC, Discord, OBS Studio, XSplit - Quartz Pink</t>
  </si>
  <si>
    <t>OWC 250GB Aura Pro 6G Flash SSD Upgrade for 2012 MacBook Air</t>
  </si>
  <si>
    <t>OWC 2.0TB Aura Pro X2 (GEN 4) SSD Complete Upgrade Solution Compatible with Mac Pro (Late 2013), High Performance NVMe Flash Upgrade, Including Tools, heatsink, and Envoy Pro Enclosure</t>
  </si>
  <si>
    <t>weBoost Home Studio (470166R) Factory Refurbished Cell Phone Signal Booster Kit | One Room Coverage | All US Carriers - Verizon, AT&amp;T, &amp; More | 5G Ready | 1 Year Manufacturer Warranty</t>
  </si>
  <si>
    <t>HP ProBook 450 G10 Business Laptop (15.6" FHD Anti-Glare, Intel 10-Core i5-1334U, 16GB RAM, 512GB SSD, (Beats i7-1255U)) Backlit KB, Webcam, Ethernet, Wi-Fi 6E, Win 11 Pro w/ AI Copilot, Silver</t>
  </si>
  <si>
    <t>Logitech Rally Bar All-in-One Video Bar for Medium and Large Rooms, Graphite</t>
  </si>
  <si>
    <t>Garmin fēnix® 8 – 47 mm, AMOLED, Sapphire, Premium Multisport GPS Smartwatch, Long-Lasting Battery Life, Dive-Rated, Built-in LED Flashlight, Carbon Gray DLC Titanium with Pebble Gray Band</t>
  </si>
  <si>
    <t>Nikon Z50 II with Two Lenses | Compact mirrorless Stills/Video Camera with Easy Color presets and Wireless Photo Sharing | Nikon USA Model</t>
  </si>
  <si>
    <t>HP ProBook 460 G11 16" Notebook - WUXGA - Intel Core Ultra 7 155U - vPro Technology - 32 GB - 1 TB SSD - English Keyboard - Pike Silver Aluminum</t>
  </si>
  <si>
    <t>WAVLINK USB C Docking Station Dual Monitor Triple Display USB Type C to Dual HDMI Dock, 2 HDMI, DisplayPort, 100W PD3.0 for Laptop, Ethernet, 4 USB 3.0, 2 USB C, Audio</t>
  </si>
  <si>
    <t>Sony Alpha FX3 ILME-FX3 | Full-frame Cinema Line Camera</t>
  </si>
  <si>
    <t>Sony Alpha ZVE10 II - APS-C Interchangeable Lens Mirrorless Content Creators’ Camera - Black - with Lens</t>
  </si>
  <si>
    <t>Canon RF70-200mm F2.8 L is USM Lens, Telephoto Zoom Lens, Compatible with EOS R Series Mirrorless Cameras, White</t>
  </si>
  <si>
    <t>ViewSonic LS740HD 5000-Lumen Full HD Laser DLP Projector</t>
  </si>
  <si>
    <t>UGREEN Nexode 500W GaN Fast Charging Station - 6 Ports USB-C &amp; USB-A, 240W Single Port, Smart Temperature Control, Space-Saving Design, for Laptops, Phones, and More</t>
  </si>
  <si>
    <t>Lenovo ThinkPad X1 Carbon Gen 13 21NS0014US 14" Copilot+ PC Ultrabook - 2.8K - Intel Core Ultra 7 258V - 32 GB - 512 GB SSD - English Keyboard - Black Paint - Intel Chip - 2880 x 1800 - Windows 11 Pro</t>
  </si>
  <si>
    <t>HP Color LaserJet Pro MFP 4301fdn Printer, Print, Scan, Copy, Fax, Fast, Easy setup, Mobile printing, Advanced security, Best-for-small teams. Ethernet &amp; USB only. Not Wireless. 16.6 x 17.1 x 15.1 in.</t>
  </si>
  <si>
    <t>24-70mm F2.8 DGDN II for Sony E</t>
  </si>
  <si>
    <t>PNY GeForce RTX™ 5080 Triple Fan</t>
  </si>
  <si>
    <t>PNY NVIDIA GeForce RTX™ 5090 32GB Overclocked Triple Fan Graphics Card (DLSS 4, PCIe® 5.0, HDMI®/DP 2.1, 3.5-Slot)</t>
  </si>
  <si>
    <t>Nikon Z6 III | Full-Frame mirrorless Stills/Video Camera with 6K/60p Internal RAW Recording | Nikon USA Model</t>
  </si>
  <si>
    <t>Canon EOS R50 V with RF-S14-30mm F4-6.3 is STM PZ Lens, APS-C Mirrorless Interchangeable Lens Hybrid Camera, Ultra-Wide Angle Zoom Lens, Vertical Video, Vlogging, Live-Streaming, Content Creation</t>
  </si>
  <si>
    <t>Sony RX100 VII Premium Compact Camera with 1.0-Type Stacked CMOS Sensor (DSCRX100M7), Bundle with 64GB Memory Card, Camera Bag</t>
  </si>
  <si>
    <t>ASUS The SFF-Ready Prime GeForce RTX™ 5070 12GB GDDR7 White OC Edition Graphics Card (PCIe® 5.0, 12GB GDDR7, HDMI®/DP 2.1, 2.5-Slot, Axial-tech Fans, Dual BIOS)</t>
  </si>
  <si>
    <t>Canon PowerShot V1, Hybrid Camera, Built-in Ultra-Wide-Angle Zoom Lens, 4K Video, Vlogging, Live Streaming, Content Creation, Compact Design</t>
  </si>
  <si>
    <t>Apple Watch Ultra 2 [GPS + Cellular 49mm] Smartwatch, Sport Watch with Black Titanium Case with Black Ocean Band. Fitness Tracker, Precision GPS, Action Button, Extra-Long Battery Life</t>
  </si>
  <si>
    <t>Sony FE 70-200mm F2.8 GM OSS II Full-Frame Constant-Aperture telephoto Zoom G Master Lens (SEL70200GM2) White</t>
  </si>
  <si>
    <t>KODAK 10.1 Inch WiFi Digital Picture Frame,1280x800 HD IPS Touch Screen, Electronic Smart Photo Frame with 32 GB Memory, Auto-Rotate, Instantly Share Photos/Videos Anywhere</t>
  </si>
  <si>
    <t>HP LaserJet Enterprise M406dn Monochrome Printer with built-in Ethernet &amp; 2-sided printing (3PZ15A), white</t>
  </si>
  <si>
    <t>Sanus Height Adjustable Speaker Stand for Sonos Era 300™ - 17" Height Adjustment Sonos Stand Includes Carpet Spikes &amp; Rubber Pads - Easy DIY Install Comes w/All Hardware - White</t>
  </si>
  <si>
    <t>Samsung 14" Galaxy Chromebook Go Laptop PC Computer, Intel Celeron N4500 Processor, 4GB RAM, 64GB Storage, ChromeOS, XE340XDA-KA2US, Student Laptop, Back to School Ready, Silver</t>
  </si>
  <si>
    <t>ViewSonic PA503HD 4000 Lumens High Brightness Projector with 1.1x Optical Zoom, USB, and HDMI inputs for Home and Office</t>
  </si>
  <si>
    <t>ZOTAC Gaming GeForce RTX 5070 Solid OC DLSS 4 12GB GDDR7 192-bit 28 Gbps PCIE 5.0 Gaming Graphics Card, IceStorm 2.0 Cooling, Spectra RGB Lighting, ZT-B50700J-10P</t>
  </si>
  <si>
    <t>Canon EOS RP Full-Frame Mirrorless Interchangeable Lens Camera + RF24-105mm Lens F4-7.1 is STM Lens Kit- Compact and Lightweight for Traveling and Vlogging, Black (3380C132)</t>
  </si>
  <si>
    <t>Dell P2425H 24" 1920x1080 100Hz FHD Monitor | 16:9 LED Comfortview Plus | Height Adjustable IPS Display with HDMI, DisplayPort + USB-C Cable + Cleaning Kit</t>
  </si>
  <si>
    <t>HP Windows 11 Pro 15 15.6" FHD Business Laptop Computer,11th Gen Intel Core i5-1135G7, 16GB RAM 512GB SSD, Intel Iris Xe Graphic, Numeric Pad, Long Battery Life, Wi-Fi 5, Bluetooth 4.2, USB, w/Battery</t>
  </si>
  <si>
    <t>Canon imagePROGRAF Professional 13" PRO-310 Wireless Inkjet Photo Printer with 3.0-Inch Color LCD Monitor, 9 Color Pigment-Based Ink System, Black</t>
  </si>
  <si>
    <t>Apple iPhone 15 Pro, 256GB, Natural Titanium - Unlocked (Renewed Premium)</t>
  </si>
  <si>
    <t>Samsung 37-inch ViewFinity S8 (S80UD) 4K UHD HDR10 High Resolution Monitor, USB-C, Height Adjustable Ergonomic Stand, Built-in KVM Switch, Advanced Eye Care, LS37D800UANXZA, 2025</t>
  </si>
  <si>
    <t>LG 39GS95QE Ultragear OLED Curved Gaming Monitor 39-Inch WQHD 800R 240Hz 0.03ms DisplayHDR True Black 400 AMD FreeSync Premium Pro NVIDIA G-Sync HDMI 2.1 DisplayPort Tilt/Height/Swivel Stand - Black</t>
  </si>
  <si>
    <t>ASUS Vivobook 16 Flip Laptop, Copilot+ PC, 16” OLED 3K 120Hz Touch Display, Intel® Core™ Ultra 7 256V, Intel® Arc™ Graphics, 16GB Memory, 512GB SSD, Matte Gray, TP3607SA-DS74T</t>
  </si>
  <si>
    <t>Alienware M18 R2 Gaming Laptop - 18 QHD+ 165Hz 3ms Display, Intel Core i9-14900HX, 32GB DDR5 RAM, 1TB SSD, NVIDIA GeForce RTX 4080 12 GB GDDR6, Windows 11 Home, Onsite Service - Dark Metallic Moon</t>
  </si>
  <si>
    <t>StarTech.com 1:1 M.2 NVMe Drive Duplicator, 90GBpm Standalone M.2 SSD Cloner/Copier, USB-C 3.2 20Gbps M.2 Dual-Bay Drive Dock</t>
  </si>
  <si>
    <t>Sony SEL2470GM E-Mount Camera Lens: FE 24-70 mm F2.8 G Master Full Frame Standard Zoom Lens Black</t>
  </si>
  <si>
    <t>HP Victus 15 Gaming Laptop 15.6" FHD IPS 144Hz (AMD FreeSync Premium) AMD 6-core Ryzen 5 7535HS 16GB DDR5 512GB SSD Radeon RX 6550M (&gt;RTX3050) Backlit USB-C Fast Charge Win11 w/ICP Accessory</t>
  </si>
  <si>
    <t>PHILIPS SMP3700 SpeechMike Premium Touch Precision USB Microphone - Push Button Operation. PowerMic Replacement</t>
  </si>
  <si>
    <t>Sony ZV-E10 Mirrorless Camera with 16-50mm Lens, 128GB Extreem Speed Memory,.43 Wide Angle &amp; 2X Lenses, Case. Tripod, Filters, Hood, Grip,Spare Battery &amp; Charger, Editing Software Kit -Deluxe Bundle</t>
  </si>
  <si>
    <t>SAMSUNG Galaxy Tab Active5 Wi-Fi 8” 128GB Android Tablet for Industrial, Field Work, Advanced Security, Rugged Design, US Version, 2024, SM-X300NZGAN20, Black Green</t>
  </si>
  <si>
    <t>RCA 10.1" WiFi Digital Picture Frame Uhale App Photo Frames Electronic HD IPS Touch Screen Display with 32GB Memory LED Lights, Support USB/SD Card, Slideshow, Instantly Share Photos Videos</t>
  </si>
  <si>
    <t>Pyle Dash Cam, Rearview Mirror Monitor, Night Vision, 7.4” LCD Screen, Backup Camera, Slim Bar Design, Waterproof IP-69, G-Sensor, Audio Recording, 32GB Memory Slot, Universal Mount, Includes Cables</t>
  </si>
  <si>
    <t>ASUS ZenScreen Duo OLED 360° Foldable Portable Monitor (MQ149CD) - Dual 14-inch, 16:10, 1920x1200, DisplayHDR400 True Black, 100% DCI-P3, Delta&lt;2, Dual USB-C, Mini-HDMI, Kickstand, 3 yr Warranty</t>
  </si>
  <si>
    <t>TCL NXTPAPER 14 Android Tablet, 14.3" Drawing Pad &amp; Digital Notebook, 4096-Level Stylus &amp; Flip Case Included, Paper-Like Display, 8+8GB RAM, 256GB Storage, 10000mAh Battery, Multi-Window, Gray</t>
  </si>
  <si>
    <t>Lenovo ThinkPad X1 Carbon Gen 12 21KC00A7US 14" Touchscreen Notebook - WUXGA - Core Ultra 7 155U - Evo Platform - 32GB - 512 GB SSD - Windows 11 Professional</t>
  </si>
  <si>
    <t>Canon EOS R7 Mirrorless Camera (Body Only), Hybrid Camera, 32.5 Megapixel (APS-C) CMOS Sensor, 4K Video, for Sports, Action, Content Creators, Vlogging Camera, Black</t>
  </si>
  <si>
    <t>AMD Ryzen 9 9900X3D 12-Core Processor</t>
  </si>
  <si>
    <t>Western Digital 20TB WD Red Pro NAS Internal Hard Drive HDD - 7200 RPM, SATA 6 Gb/s, CMR, 512 MB Cache, 3.5" - WD201KFGX</t>
  </si>
  <si>
    <t>Samsung Galaxy Tab Active4 Pro 10.1” 64GB Wi-Fi Android Work Tablet, LTE Unlocked, 4GB RAM, Rugged Design, Sensitive Touchscreen, Long-Battery Life-for Workers, SM-T630NZKAN20, Black</t>
  </si>
  <si>
    <t>CORSAIR Vengeance DDR5 RAM 128GB (2x64GB) 6400MHz CL42-52-52-104 1.35V Intel XMP 3.0 Desktop Computer Memory – Black (CMK128GX5M2B6400C42)</t>
  </si>
  <si>
    <t>HP Omnibook 5 16" AI Laptop - AMD Ryzen AI 7 350 - Copilot+ PC - 2K (1920 x 1200) Touchscreen - 16GB Memory - 1TB SSD - Windows 11 Home</t>
  </si>
  <si>
    <t>ASUS ROG Strix Scar 18 (2025) Gaming Laptop, 18” ROG Nebula HDR 16:10 2.5K 240Hz/3ms, NVIDIA GeForce RTX 5070 Ti, Intel Core Ultra 9 275HX, 32GB DDR5, 1TB PCIe SSD, Wi-Fi 7, Win 11 Pro, G835LR-XS96</t>
  </si>
  <si>
    <t>Garmin tactix® 8 51mm, Solar Charged Display, Elite, Premium Tactical GPS Smartwatch, Includes Applied Ballistics Elite™ Solver, Titanium Bezel, Sapphire Lens, 40-Meter Dive Rating</t>
  </si>
  <si>
    <t>Zebra® ZD421 8UM760 Direct Thermal Printer</t>
  </si>
  <si>
    <t>HP Victus 15.6" 144Hz FHD Gaming Laptop,AMD Ryzen 5 7535HS,16GB DDR5 RAM,512GB SSD,AMD Radeon RX 6550M,Beats RTX 2050,Backlit Keyboard,Windows11 Pro, Mica Silver</t>
  </si>
  <si>
    <t>SAMSUNG 32” Smart Monitor M8 (M80F) 4K UHD Display, Samsung Vision AI, Smart TV Apps, Gaming Hub, USB-C, HDMI and USB-A, White, LS32FM803UNXZA, 2025</t>
  </si>
  <si>
    <t>CyberPower PR1500LCD Smart App Sinewave UPS System, 1500VA/1500W, 8 Outlets, AVR, Mini-Tower</t>
  </si>
  <si>
    <t>Apple iPhone 16e, 128GB, eSIM, Black- Unlocked (Renewed Premium)</t>
  </si>
  <si>
    <t>Canon imagePROGRAF TC-21 24" - Large Format Printer, Poster &amp; Plotter Printer, Automatic Roll &amp; Cut Sheet Paper Feeder, Includes 280 ml of Ink, White</t>
  </si>
  <si>
    <t>MSI Thin A15 15.6” 144Hz FHD Gaming Laptop: Ryzen 7-7735HS, NVIDIA Geforce RTX 4050, 16GB DDR5, 512GB NVMe SSD, Cooler Boost 5, Win 11: Black B7VE-214US</t>
  </si>
  <si>
    <t>Brother Printer MFCL8610CDW Business Color Laser All-in-One with Duplex Printing and Wireless Networking, White, 21.2" x 17.1" x 20.7"</t>
  </si>
  <si>
    <t>HP 305A Cyan, Magenta, Yellow Toner Cartridges for Printers (3-Pack) | Works with Series: LaserJet Pro 300 M351, 300 MFP M375, 400 M451, 400 MFP M475 | CF370AM</t>
  </si>
  <si>
    <t>Samsung 50-Inch Class The Frame LS03F 4K QLED Smart TV (2025 Model) Modern Frame Design, NQ4 AI Gen2 Processor, Art Mode, Artful Picture Quality, Samsung Vision AI, Alexa Built-in</t>
  </si>
  <si>
    <t>Nikon NIKKOR Z 28-400mm f/4-8 VR Mirrorless Lens</t>
  </si>
  <si>
    <t>Canon EOS Rebel T7 DSLR Camera with 18-55mm Lens (Black)</t>
  </si>
  <si>
    <t>Canon RF100mm F2.8 L Macro is USM Lens, Medium Telephoto Lens, Macro Lens, Compatible with EOS R Series Mirrorless Cameras, Black</t>
  </si>
  <si>
    <t>DJI Osmo Pocket 3 Creator Combo Gimbal Stabilizer with 1′′ CMOS &amp; 4K/120fps Video, 3-Axis Stabilization Bundle with 128GB Memory Card, Gripster Flexible Spider Tripod, 2 YR CPS Warranty + More</t>
  </si>
  <si>
    <t>Jabra Evolve2 75 PC Wireless Headset with 8-Microphone Technology - Dual Foam Stereo Headphones with Adjustable Advanced Active Noise Cancelling, USB-C Bluetooth Adapter and UC Compatibility - Black</t>
  </si>
  <si>
    <t>SAMSUNG 27-inch Odyssey QD-OLED G8 (G81SF), 4K, 240Hz, Gaming Monitor, 0.03ms Response Time, DisplayHDR True Black 400, AMD FreeSync™ Premium Pro, Ergonomic Stand, LS27FG810SNXZA, 2025</t>
  </si>
  <si>
    <t>Microsoft Surface Pro 2-in-1 Laptop/Tablet (2024), Windows 11 Copilot+ PC, 13" Touchscreen OLED Display, Snapdragon X Elite (12 Core), 16GB RAM, 512GB Storage, 5G Connectivity, Platinum</t>
  </si>
  <si>
    <t>70-200mm F2.8 DG DN OS for Sony</t>
  </si>
  <si>
    <t>HP LaserJet Pro MFP 4101fdn Black &amp; White Printer, Print, scan, copy, fax, Fast speeds, Easy setup, Mobile printing, Advanced security, Best-for-small teams, Ethernet/USB only (2Z618F)</t>
  </si>
  <si>
    <t>Brother HL-L3295CDW Wireless Compact Digital Color Printer with Laser Quality Output, Duplex, NFC, Mobile &amp; Ethernet | Includes 2 Month Refresh Subscription Trial ¹, Amazon Dash Replenishment Ready</t>
  </si>
  <si>
    <t>ASUS TUF Gaming F16 (2024) Gaming Laptop, 16” FHD+ 144Hz IPS-Level 16:10 Display, Intel® Core™ 5 210H Processor, NVIDIA® GeForce RTX™ 4050, 8GB DDR5, 512GB PCIe Gen4 SSD, Wi-Fi 6, Windows 11 Home</t>
  </si>
  <si>
    <t>DEWALT DXFRS800 2 Watt Heavy Duty Walkie Talkies - Waterproof, Shock Resistant, Long Range &amp; Rechargeable Two-Way Radio with VOX (6 Pack w/Gang Charger) (DXFRS800-BCH6)</t>
  </si>
  <si>
    <t>DJI Mini 4 Pro Folding Drone with RC 2 Remote (With Screen) Fly More Combo, 4K HDR Video Camera for Adults, Under 249g, Omnidirectional Sensing, 3 Batteries Bundle with Deco Gear Accessories</t>
  </si>
  <si>
    <t>CyberPower OR2200PFCRT2U PFC Sinewave UPS Battery Backup and Surge Protector, 2000VA/1540W, 8 Outlets, AVR, 2U Rack/Tower, UL Certified</t>
  </si>
  <si>
    <t>Intel Core Ultra 7 Desktop Processor 265KF - 20 cores (8 P-cores + 12 E-cores) up to 5.5 GHz</t>
  </si>
  <si>
    <t>MSI MPG 321CURX QD-OLED 32-inch 3840 x 2160 (UHD) Computer Monitor, 240Hz, Adaptive-Synch, HDMI, DP Port, VESA Mountable, Tilt, Speaker, 0.03ms, Black</t>
  </si>
  <si>
    <t>Nikon NIKKOR Z 24-120mm f/4 S | Premium constant aperture all-in-one zoom lens for Z series mirrorless cameras (wide angle to telephoto) | Nikon USA Model</t>
  </si>
  <si>
    <t>Pelican 1650 Case With Foam (Black)</t>
  </si>
  <si>
    <t>Tamron 18-300mm F/3.5-6.3 Di III-A VC VXD Lens for Sony E APS-C Mirrorless Cameras (Black)</t>
  </si>
  <si>
    <t>SANUS Full Motion TV Wall Mount for 42” to 90” TVs up to 125lbs – Extend, Swivel, Tilting TV Mount - Easy 3 Step DIY Install w/ Included Hardware - Black Finish</t>
  </si>
  <si>
    <t>Ubiquiti USW-PRO-24-POE | Unifi Gen 2 10 Gigabit Switch</t>
  </si>
  <si>
    <t>Dell 27 All-in-One Desktop ec27250-27-inch FHD (1920 x 1080) Display, Intel Core 5 Processor 120U, Intel Graphics, 16GB DDR5 RAM, 512GB SSD, Windows 11 Home, Onsite Service - White</t>
  </si>
  <si>
    <t>Southwire X-treme Power Distribution Box, Temporary Power Box, 50-Amp, 125/250V, GFCI 6506UGSX</t>
  </si>
  <si>
    <t>ASUS ProArt Display 32” (31.5" viewable) Professional Monitor (PA329CRV) - IPS, 4K UHD (3840 x 2160), 98% DCI-P3, Color Accuracy ΔE &lt; 2, Calman Verified, USB-C PD 96W, Daisy-Chain, VESA DisplayHDR400</t>
  </si>
  <si>
    <t>Microsoft Surface Laptop 4 for Business - 13.5'', Matte Black (Metal), Intel Core i7, 16GB RAM, 256GB SSD, Fren</t>
  </si>
  <si>
    <t>Escort MAX 360c Laser Radar Detector - WiFi and Bluetooth Enabled, 360° Protection, Extreme Long Range, Voice Alerts, Apple CarPlay and Android Auto Compatible, Black</t>
  </si>
  <si>
    <t>HP Thunderbolt Dock 280W G4 with Combo Cable and Dockztorm Hub, Thunderbolt 4, 5 USB, HDMI, 2 Display Port, RJ-45, with a Single Cable Connection to Any Brand Laptop (4J0G4AA#ABA)</t>
  </si>
  <si>
    <t>Pioneer DMH-W2770NEX 6.8" Capacitive Touchscreen, Double Din – Wireless &amp; Wired Apple CarPlay &amp; Android Auto, Bluetooth, Backup Camera, FLAC, Short Chassis, HD Radio</t>
  </si>
  <si>
    <t>TP-Link TL-SG3452P | 48 Port Gigabit L2+ Managed PoE Switch | 48 PoE+ Port @384W, 4 x SFP Slots | PoE Auto Recovery | Omada SDN Integrated | IPv6 | Static Routing | Limited Lifetime Protection</t>
  </si>
  <si>
    <t>Dell S3222DGM 31.5-inch QHD 2560 x 1440 LED Curved (1800R)165Hz FreeSync Gaming Monitor</t>
  </si>
  <si>
    <t>Lenovo ThinkBook 16 G6 16" FHD+ Laptop Computer, Hexa-Core AMD Ryzen 5 7430U (Beat i7-1355U), 16GB DDR4 RAM, 512GB PCIe SSD, WiFi 6, Bluetooth 5.3, Fingerprint Reader, Windows 11 Pro, AZ-XUT</t>
  </si>
  <si>
    <t>Texas Instruments TI-30X IIS Scientific Calculator Teacher Kit - 10 Pack</t>
  </si>
  <si>
    <t>Fila Smart Watch for Men Women (Answer/Make Calls), 1.95" Fitness Watch with Heart Rate/Sleep Monitor, Step Counter, Fitness Tracker with 100+ Sports for Android iOS</t>
  </si>
  <si>
    <t>HP 212X Cyan High-yield Toner Cartridge | Works with HP Color LaserJet Enterprise M554, M555 Series, HP Color LaserJet Enterprise MFP M578 Series | W2121X</t>
  </si>
  <si>
    <t>SAMSUNG 15.6" Galaxy Book4 Edge Business Laptop, Copilot + AI PC Computer, Snapdragon X Plus Processor, Live Captions, FHD LED Anti-Glare Display, Long-Lasting Battery, 2024 Version, NP754XQA-KB2US</t>
  </si>
  <si>
    <t>CORSAIR Vengeance RGB DDR5 RAM 128GB (2x64GB) 6400MHz CL42-52-52-104 1.35V Intel XMP 3.0 Desktop Computer Memory – Black (CMH128GX5M2B6400C42)</t>
  </si>
  <si>
    <t>HP Envy 2-in-1 14" Full HD Touch-Screen Laptop, 8GB RAM, 512GB SSD, Intel Core i5 1335U, Intel Iris Xe Graphics, Fast Charge, Fingerprint, Backlit KB, Win11, Natural Silver, W/GaLiMu</t>
  </si>
  <si>
    <t>Nikon NIKKOR Z 24-70mm f/2.8 S | Professional large aperture mid-range zoom lens for Z series mirrorless cameras | Nikon USA Model</t>
  </si>
  <si>
    <t>Pyle 2.1 Bluetooth Marine Amplifier Receiver - Waterproof 4 Channel Wireless Bridgeable Audio Amp for Stereo Speaker with 400W Power Dual MOSFET Supply, GAIN Level &amp; LED Indicator, Black - PLMRA410BT</t>
  </si>
  <si>
    <t>Dell UltraSharp 34 Monitor - U3425WE</t>
  </si>
  <si>
    <t>HP Color LaserJet Enterprise M554dn Duplex Printer (7ZU81A),White</t>
  </si>
  <si>
    <t>TP-Link Deco BE95 BE33000 Quad-Band WiFi 7 Mesh System - for Whole Home Coverage up to 7800 Sq.Ft w/AI-Driven Smart Antennas, 10G Multi-Gig Ethernet Ports, Replaces Router and Extender (2-Pack)</t>
  </si>
  <si>
    <t>LG 34WR55QK-B 34-inch UltraWide WQHD (3440 x 1440) Curved Computer Monitor, 100Hz, 5ms, HDR10, Reader Mode, HDMI, DisplayPort, USB Type-C, Tilt/Height Adjustable Stand, Black</t>
  </si>
  <si>
    <t>LG 34U65ZA-B UltraWide 34-Inch 3800R Curved Monitor QHD (3440 x 1440) IPS, Built-in Power, 3800R, HDR10, HDMI, DisplayPort, USB Type-C 90W PD, Built-in Speaker, Tilt/Height/Swivel Stand, Black</t>
  </si>
  <si>
    <t>Nikon D7500 20.9MP DSLR Camera with AF-S DX NIKKOR 18-140mm f/3.5-5.6G ED VR Lens, Black</t>
  </si>
  <si>
    <t>Samsung 65-Inch Class Neo QLED QN70F 4K Mini LED Smart TV (2025 Model) NQ4 AI Gen2 Processor, Quantum Matrix Technology Slim, Motion Xcelerator 144Hz, Samsung Vision AI, Alexa Built-in</t>
  </si>
  <si>
    <t>Nintendo Switch™ with Neon Blue and Neon Red Joy‑Con™</t>
  </si>
  <si>
    <t>Best Seller</t>
  </si>
  <si>
    <t>HP Pavilion 15.6" HD Touchscreen Anti-Glare Laptop, 16GB RAM, 256GB SSD Storage, Intel Core Processor up to 4.1GHz, Up to 11 Hours Long Battery Life, Type-C, HDMI, Windows 11 Home, Silver</t>
  </si>
  <si>
    <t>Audio-Technica AT-LP120XBT-USB-BK Wireless Direct-Drive Turntable, Black</t>
  </si>
  <si>
    <t>DELL Optiplex 5070 Micro MFF Desktop PC Intel i5-9500T, 16GB DDR4 New 512GB M.2 NVMe SSD, WiFi BT HDMI New KB &amp; Mouse Windows 11 Pro (Renewed)</t>
  </si>
  <si>
    <t>HP 89Y Black Extra High-yield Toner Cartridge for HP Printers | Works with Printer Series: LaserJet Enterprise M507, LaserJet Enterprise MFP M528 | CF289Y</t>
  </si>
  <si>
    <t>Hp Printing 972X Genuine PageWide Color and Black High Yield Toner Set (F6T84AN, L0R98AN, L0S01AN, L0S04AN)</t>
  </si>
  <si>
    <t>Brother TN-436 Super High Yield Toner Cartridge Set (6,500 Yield)</t>
  </si>
  <si>
    <t>LG 24U411A-B 24-inch Full HD (1920 x 1080) IPS Computer Monitor, 120Hz, HDR10, Reader Mode, Flicker Safe, HDMI, Slim Stand Base, Black</t>
  </si>
  <si>
    <t>SAMSUNG Galaxy Book4 2024 Business Laptop 15.6" FHD IPS 10-Core Intel 7 150U 16GB LPDDR4 512GB SSD Intel Graphics Wi-Fi 6 Backlit Keyboard Fingerprint Win11 Home w/ONT 32GB USB</t>
  </si>
  <si>
    <t>Nintendo Switch Mario Kart 8 Deluxe Bundle 3 Month Nintendo + 128GB MicroSD Card</t>
  </si>
  <si>
    <t>Bose Bass Module 700 - Black- Wireless, Compact Subwoofer</t>
  </si>
  <si>
    <t>Apple Late 2019 MacBook Pro with 2.3GHz Intel Core i9 (16-inch, 32GB RAM, 1TB SSD) Space Gray (Renewed)</t>
  </si>
  <si>
    <t>WAVLINK DisplayLink Laptop Docking Station - Quad Monitor 5K/4K@60Hz, 100W Charging - Thunderbolt 4/3, USB-C/A - M1 M2 Mac/Windows/Chrome/Ubuntu - 4 HDMI, 4 DP, 180W Power, SD 4.0 CR, 2.5Gbps LAN</t>
  </si>
  <si>
    <t>Escort MAX 360c MKII Laser Radar Detector - Dual-Band Wi-Fi and Bluetooth Enabled, 360° Directional Arrows, Exceptional Range, Shared Alerts, Apple CarPlay and Android Auto Compatible, Black</t>
  </si>
  <si>
    <t>Klipsch CDT-5800-C II In-Ceiling Speaker - White (Each)</t>
  </si>
  <si>
    <t>Intel Core i7-13700K Gaming Desktop Processor 16 cores (8 P-cores + 8 E-cores) with Integrated Graphics - Unlocked</t>
  </si>
  <si>
    <t>Microsoft Surface Pro 11 13" Copilot+ PC, AI Tablet, 2880x1920 120Hz LCD Touchscreen, 10-Core Qualcomm Snapdragon X Plus, 16GB RAM, 512GB SSD, WiFi Only, Win 11 Pro, Black (Renewed)</t>
  </si>
  <si>
    <t>Logitech MeetUp 2 All-in-One USB Conference Room Camera, Compact Video Bar with Built-in AI Features, Works with Microsoft Teams, Zoom Rooms, Google Meet, and More</t>
  </si>
  <si>
    <t>Epson EcoTank ET-3950 Wireless All-in-One Color Supertank Printer with up to 3 Years of Ink, Refillable Tanks, Perfect for Home Office, 18 PPM, 2.4" Color Screen, Auto Document Feeder – White</t>
  </si>
  <si>
    <t>HP 2022 All-in-One Desktop, 21.5" FHD Display, Intel Celeron J4025 Processor, 8GB RAM, 256GB PCIe SSD, Webcam, WiFi, HDMI, RJ-45, Wired Keyboard&amp;Mouse, Windows 11 Home, White</t>
  </si>
  <si>
    <t>Zebra DS9308 1D 2D Presentation Barcode Scanner Omni Directional QR Black Image Reader for Screen and Printed Bar Code Scan (DS9308-SR4U2100AZY)</t>
  </si>
  <si>
    <t>ZEBRA ZT411 Thermal Transfer Industrial Printer 203 dpi Print Width 4 Inches Features Serial, USB, Ethernet, and Bluetooth Connecting Options ZT41142-T010000Z</t>
  </si>
  <si>
    <t>Dell Inspiron 16 5645 Laptop - 16.0 16:10 FHD+ (1920 x 1200) Display, AMD Ryzen 7-8840U, 16GB DDR5 RAM, 1TB SSD, AMD Radeon Graphics, Windows 11 Home, Onsite &amp; Migrate Services - Midnight Blue</t>
  </si>
  <si>
    <t>HP Envy x360 2-in-1 14" FHD Touchscreen Laptop, Intel i7-1355U, 16GB RAM, 1TB SSD, Backlit Keyboard, 5MP Camera, Fingerprint Reader, Wi-Fi 6E, Win 11, Silver</t>
  </si>
  <si>
    <t>APC 1500VA Smart UPS with SmartConnect, SMT1500RM2UC Rack Mount UPS Battery Backup, Sinewave, AVR, 120V, Line Interactive Uninterruptible Power Supply</t>
  </si>
  <si>
    <t>Dell S24 Series Monitor - 24 inch IPS LED FHD - AMD FreeSync - VESA, 16:9 Monitor 75Hz, 4ms Grey-to-Grey Response Time, Low Blue Light, Flicker Free, Anti-Glare, 2 x HDMI, Black</t>
  </si>
  <si>
    <t>Razer Thunderbolt 5 Dock Chroma: 10 Ports w/M.2 Storage Slot - Triple 4K Displays at 144 Hz or Single 8K at 60 Hz - Thunderbolt Share Enabled - 140W Power Delivery - Connect 3 TB5 Devices - Black</t>
  </si>
  <si>
    <t>OnePlus Watch 3 Obsidian Titantium, 32GB, 120-Hour Battery, Health &amp; Fitness Tracking, Sapphire Crystal Design, Titanium Bezel, Dual-Engine, Wear-OS by Google</t>
  </si>
  <si>
    <t>Ubiquiti Dream Machine Special Edition UDM-SE Router</t>
  </si>
  <si>
    <t>ASUS ProArt Z890-CREATOR WIFI Z890 LGA 1851 ATX Motherboard, Intel® Core™ Ultra Processor Series 2 Ready, 16+2+1+2 stages, PCIe® 5.0, DDR5, Thunderbolt™ 5 Type-C®, 10+2.5 Gb LAN, WiFi 7, 5x M.2, AI OC</t>
  </si>
  <si>
    <t>Garmin 010-02638-10 Forerunner® 955, GPS Running Smartwatch, Tailored to Triathletes, Long-Lasting Battery, Black</t>
  </si>
  <si>
    <t>HP 212X Magenta High-yield Toner Cartridge | Works with HP Color LaserJet Enterprise M554, M555 Series, HP Color LaserJet Enterprise MFP M578 Series | W2123X</t>
  </si>
  <si>
    <t>Synology RT6600ax - Tri-Band 4x4 160MHz Wi-Fi router, 2.5Gbps Ethernet, VLAN segmentation, Multiple SSIDs, parental controls, Threat Prevention, VPN (US Version)</t>
  </si>
  <si>
    <t>Samsung 32” Smart Monitor M7 (M70F) 4K UHD Display, Samsung Vision AI, Smart TV Apps, Gaming Hub, USB-C, HDMI and USB-A, Black, LS32FM702UNXZA, 2025</t>
  </si>
  <si>
    <t>Sony NW-A306 Walkman 32GB Hi-Res Portable Digital Music Player with Android, up to 36 Hour Battery, Wi-Fi &amp; Bluetooth and USB Type-C – Black NW-A306/B, Black</t>
  </si>
  <si>
    <t>Sony STR-DH790 7.2-ch Surround Sound Home Theater AV Receiver: 4K HDR, Dolby Atmos &amp; Bluetooth Black</t>
  </si>
  <si>
    <t>Sonos in-Ceiling by Sonance, INCLGWW1</t>
  </si>
  <si>
    <t>Dell 2024 Laptop | Inspiron | 16" 1920 x 1200 Touchscreen | Intel Core 7 150U 10-Core | 32GB DDR5 | 1TB SSD | Windows 11 Pro | Wi-Fi 6E - Bluetooth 5.2 - Backlit KB - 1080p FHD Camera - Ice Blue</t>
  </si>
  <si>
    <t>APC UPS Battery Replacement, RBC43, for APC Smart-UPS Models SMT2200RM2U, SMT2200RM2UC, SMT2200RM2UNC, SMT3000RM2U, SMT3000RM2UC, SUA2200RM2U, SUA3000RM2U, SUM1500RMXL2U, SUM3000RMXL2U, select others</t>
  </si>
  <si>
    <t>ASUS Vivobook Ultrathin Go Laptop 2024Newest, 14'' FHD Display, Dual-Core Intel Celeron N4500 (Upto 2.80GHz), 4GB RAM, 128GB (64GB eMMC+64GB SD), Webcam, Long Battery, Windows 11S +MarxsolAccessory</t>
  </si>
  <si>
    <t>HP Laser Jet Pro M283FDW Multifunction Color Fax/Scan/Printer 22ppm 600x600dpi 250-sheet e-Print, Ethernet, USB, Wi-Fi (Renewed)</t>
  </si>
  <si>
    <t>Philips LFH3500 SpeechMike Premium USB Dictation Microphone Precision Microphone Push Button Control</t>
  </si>
  <si>
    <t>ASUS Vivobook 14 Laptop, 14” WUXGA 60Hz Display, Qualcomm Snapdragon X, Qualcomm Adreno GPU, 16GB RAM, 512GB SSD, Windows 11, Cool Silver, X1407QA-BS56</t>
  </si>
  <si>
    <t>HP 17 Laptop, 17.3” HD+ Display, 11th Gen Intel Core i3-1125G4 Processor, 8GB RAM, 256GB SSD, Wi-Fi, HDMI, Webcam, Windows 11 Home, Silver</t>
  </si>
  <si>
    <t>Samsung 32-Inch Class QLED The Frame LS03C Series, Quantum HDR, Art Mode, Anti-Reflection Matte Display, Slim Fit Wall Mount Included, Smart TV w/Alexa Built-in (QN32LS03CB)</t>
  </si>
  <si>
    <t>Vortex Optics Viper HD Roof Prism Binoculars 8x42</t>
  </si>
  <si>
    <t>Lowrance Elite FS Fishfinder/Chartplotter, Available with and Without Transducer</t>
  </si>
  <si>
    <t>ViewSonic VX1655-4K-OLED 15.6 Inch 4K UHD Portable OLED Monitor with 2 Way Powered 60W USB C, Mini HDMI, Dual Speakers, and Built-in Stand with Magnetic Cover</t>
  </si>
  <si>
    <t>Thrustmaster T16000M FCS Flight Pack (Compatible with PC)</t>
  </si>
  <si>
    <t>Canon RF-S55-210mm F5-7.1 is STM for Canon APS-C Mirrorless RF Mount Cameras, Telephoto Zoom, Compact, Lightweight, Optical Image Stabilization, for Landscape, Portrait, &amp; Travel Photos/Videos</t>
  </si>
  <si>
    <t>Brother MFC-L2900DW XL Wireless Compact Monochrome All-in-One Laser Printer with Duplex Copy &amp; Scan, Fax, Black &amp; White | Up to 4,200 Pages of Toner Included(1), Amazon Dash Replenishment Ready</t>
  </si>
  <si>
    <t>Skytech Gaming Azure 3 Desktop PC, Ryzen 7 9700X 3.8 GHz (5.5GHz), NVIDIA RTX 4060 8GB, 1TB NVMe SSD, 16GB DDR5 RAM 6000, 650W Gold PSU, 360mm ARGB AIO, Wi-Fi, Win 11</t>
  </si>
  <si>
    <t>NETGEAR 26-Port PoE Gigabit Ethernet Smart Switch (GS724TP) - Managed, 24 x 1G, 24 x PoE+ @ 190W, 2 x 1G SFP, Optional Insight Cloud Management, Desktop or Rackmount, and Limited Lifetime Protection</t>
  </si>
  <si>
    <t>Dell 2024 Inspiron 15 Business Laptop, Free Microsoft Office 2021 with Lifetime License, 15.6"" Touchscreen FHD, Intel 10-Core i5-1235U, 32GB DDR4 RAM, 1TB PCIe SSD, Windows 11 Pro, Black, 3520I512T</t>
  </si>
  <si>
    <t>Garmin zūmo® XT2 All-Terrain Motorcycle Navigator, Ultrabright 6" Sunlight Readable Display, Visual Route Planner, and Ride Summaries</t>
  </si>
  <si>
    <t>MSI MAG 321UP QD-OLED 32-inch QD-OLED 3840 x 2160 (UHD) Computer Monitor, 165Hz, Adaptive-Synch, HDMI, Display Port, VGA Port, VESA Mountable, Tilt, Height Adjustable, Speaker, 0.03ms, Black</t>
  </si>
  <si>
    <t>Sony HT-S2000 Compact 3.1 Ch Dolby Atmos Sound Bar.</t>
  </si>
  <si>
    <t>Tamron 70-180mm F/2.8 Di III VC VXD G2 for Sony E-Mount Full Frame Mirrorless Cameras</t>
  </si>
  <si>
    <t>Brother Monochrome Laser Printer, MFCL2710DW, Wireless Networking, Duplex Printing, Includes 4 Month Refresh Subscription Trial and Amazon Dash Replenishment Ready</t>
  </si>
  <si>
    <t>Klipsch R-51PM Powered Bluetooth Speaker,Black</t>
  </si>
  <si>
    <t>OnePlus Pad 3 Storm Blue, 13.2″ 3.4K LCD 144 Hz Display, Snapdragon 8 Elite, 12 GB/256 GB, 12,140 mAh Battery with 80 W Charge, 8‑Speaker Dolby Atmos, Slim 5.97 mm Aluminum Body</t>
  </si>
  <si>
    <t>Epson C31CE95022 Series TM-M30 Thermal Receipt Printer, Autocutter, USB, Ethernet, Energy Star, Black</t>
  </si>
  <si>
    <t>Dell OptiPlex 7060 Windows 11 Pro Desktop Computer SFF, Intel 8th Gen i5-8500 Hexa Core,16GB DDR4 Ram 512GB NVMe M.2 SSD, AX210 Built-in WIFI 6E &amp; Bluetooth 5.2,New Wireless Keyboard &amp; Mouse (Renewed)</t>
  </si>
  <si>
    <t>Synology 5-Bay DiskStation DS1525+ (Diskless)</t>
  </si>
  <si>
    <t>HP 15 Notebook Laptop, 15.6" Full HD Display, Intel Core i5-1135G7 Processor, 16GB DDR4 RAM, 512GB PCIe SSD, USB Type-C, Webcam, Wi-Fi, Windows 11 Home, Silver</t>
  </si>
  <si>
    <t>Canon Genuine 054 Complete 4-Color High Yield Toner Cartridge Set (CRG054HYCMYK)</t>
  </si>
  <si>
    <t>Canon RF 85mm F2 Macro is STM, Compact Medium-Telephoto Black Lens (4234C002)</t>
  </si>
  <si>
    <t>HP 14 Laptop, Intel Celeron N4020, 4 GB RAM, 64 GB Storage, 14-inch HD Touchscreen, Windows 11 Home, Thin &amp; Portable, 4K Graphics, One Year of Microsoft 365 (14-dq0080nr, Snowflake White)</t>
  </si>
  <si>
    <t>Canon 12x36 Image Stabilization III Binoculars</t>
  </si>
  <si>
    <t>HP 507A Magenta Toner Cartridge | Works with HP LaserJet Enterprise 500 color M551, MFP M575, MFP M570 Series | CE403A</t>
  </si>
  <si>
    <t>HP Notebook Laptop, 15.6" HD Touchscreen, Intel Core i3-1115G4 Processor, 32GB RAM, 1TB PCIe SSD, Webcam, Type-C, HDMI, SD Card Reader, Wi-Fi, Windows 11 Home, Silver</t>
  </si>
  <si>
    <t>Pelican Air 1615 Case No Foam - Black</t>
  </si>
  <si>
    <t>Canon PowerShot G7 X Mark II (Black) (Renewed)</t>
  </si>
  <si>
    <t>Garmin GPSMAP 65s, Button-Operated Handheld with Altimeter and Compass, Expanded Satellite Support and Multi-Band Technology, 2.6" Color Display</t>
  </si>
  <si>
    <t>Amazon Kindle Paperwhite 16GB (newest model) – Our fastest Kindle ever, with new 7" glare-free display, and weeks of battery life – Without lockscreen ads – Black</t>
  </si>
  <si>
    <t>CyberPower RMCARD205 UPS &amp; ATS PDU Remote Management Card</t>
  </si>
  <si>
    <t>SAMSUNG 32-Inch M8 (M80D) Series 4K UHD Smart Monitor with Streaming TV, Speakers, HDR10+, AI Upscaling, USB-C, Ergonomic Stand, SlimFit Camera, Gaming Hub, LS32DM801UNXZA, 2024</t>
  </si>
  <si>
    <t>HP 507A Black Toner Cartridge | Works with HP LaserJet Enterprise 500 color M551, MFP M575, HP LaserJet Pro 500 color MFP M570 Series | CE400A</t>
  </si>
  <si>
    <t>HP LaserJet Pro M501dn Duplex Printer with One-Year, Next-Business Day, Onsite Warranty (J8H61A)</t>
  </si>
  <si>
    <t>Lenovo V15 Laptop for Business, Home, Student | 15.6" FHD Anti-Glare Display | Intel Core i7-1255U | 16GB RAM | 512GB SSD | HDMI | Type-C | RJ-45 | Numeric Keypad | Webcam | Wi-Fi 6 | Windows 11 Pro</t>
  </si>
  <si>
    <t>Klipsch The Three Plus Premium Bluetooth Speaker System, Walnut</t>
  </si>
  <si>
    <t>Apple iPhone 16 Pro Max, 256GB, Black Titanium - T-Mobile (Renewed)</t>
  </si>
  <si>
    <t>GIGABYTE X870E AORUS Master AMD AM5 LGA 1718 Motherboard, ATX, DDR5, 4X M.2, PCIe 5.0, USB4, WIFI7, 5GbE LAN, EZ-Latch, 5-Year Warranty</t>
  </si>
  <si>
    <t>DJI Osmo Pocket 3 Creator Combo Vlogging Camera with 1'' CMOS, 4K/120fps Video, 3-Axis Stabilization, Face/Object Tracking, Fast Focus, Mic 2 Included Bundle with Deco Gear Case &amp;2 Lapel Microphones</t>
  </si>
  <si>
    <t>RICOH fi-8040 Fast Front Office &amp; Desktop Document, Receipt, ID Card Scanner with 50 Page Auto Feeder and PC-Less DirectScan Capability</t>
  </si>
  <si>
    <t>HP 2025 Premium Laptop, 17.3" HD+ Touchscreen, Intel Core i7-1355U, 32GB RAM, 1TB PCIe SSD, Webcam, FP Reader, Backlit Keyboard, Wi-Fi 6, Windows 11 Home</t>
  </si>
  <si>
    <t>HP 15.6" Laptop, Intel Core i5-1135G7 Processor, Intel Iris Xe Graphics, 15.6" FHD Anti-Glare Display, Online Meeting Ready, HDMI, Wi-Fi and Bluetooth, Windows 11 Home(16GB RAM | 1TB SSD)</t>
  </si>
  <si>
    <t>Samsung 32" Odyssey Neo G8 (G85NB) 4K UHD 240Hz 1ms G-Sync 1000R Curved Gaming Monitor, Quantum HDR2000, AMD FreeSync Premium Pro, Matte Display, DisplayPort, Black &amp; White, LS32BG852NNXGO</t>
  </si>
  <si>
    <t>ASUS ROG Loki SFX-L 1200W Titanium PSU (Fully Modular Power Supply, 80+ Titanium, 120mm PWM ARGB Fan, Aura Sync, ATX 3.0 Compatible, PCIe 5.0 Ready, 10 Year Warranty)</t>
  </si>
  <si>
    <t>Sony 55 Inch 4K Ultra HD TV X90L Series: BRAVIA XR Full Array LED Smart Google TV with Dolby Vision HDR and Exclusive Features for The PlayStation® 5 XR55X90L- Latest Model,Black</t>
  </si>
  <si>
    <t>Shure SB900B Rechargeable Lithium-Ion Battery for use with P3RA, P9RA+ and P10R+ Receivers, ULX-D, QLX-D and AD Series Transmitters and All Associated Docking, Networked and Rack Charging Accessories</t>
  </si>
  <si>
    <t>Garmin dezl OTR720, Large 7' GPS Navigator, Custom Truck Routing, Satellite Imagery, Wind Speed, Community-Shared Loading Docks &amp; Parking Availability</t>
  </si>
  <si>
    <t>SAMSUNG 32-Inch M7 (M70D) Series 4K UHD Smart Monitor with Streaming TV, Speakers, HDR10, USB-C, Multiple Ports, Gaming Hub, SolarCell Remote, Vision Accessibility Tools, LS32DM703UNXZA, 2024, White</t>
  </si>
  <si>
    <t>Humminbird 411670-1 Helix 5 Chirp DI GPS G3 Fish Finder</t>
  </si>
  <si>
    <t>HP 312A Cyan, Magenta, Yellow Toner Cartridges (3-pack) | Works with HP Color LaserJet Pro MFP M476 Series | CF440AM</t>
  </si>
  <si>
    <t>Jabra Evolve2 85 Wireless PC Headset – Noise Cancelling UC Certified Stereo Headphones with Long-Lasting Battery – USB-C Bluetooth Adapter – Black</t>
  </si>
  <si>
    <t>HP 55X Black High-yield Toner Cartridge for HP Printers | Works with Printer Series: LaserJet Enterprise 500 MFP M525, P3015, LaserJet Pro MFP M521 | CE255X</t>
  </si>
  <si>
    <t>Sonos Sub Mini - White - Compact Wireless Subwoofer</t>
  </si>
  <si>
    <t>Dell Optiplex Tower - Intel i7-12700K, 32GB RAM, 1TB NVMe SSD, DisplayPort, HDMI, USB C, DVDRW,AX Wi-Fi, Bluetooth, Windows 11 Pro, Black Desktop</t>
  </si>
  <si>
    <t>JBL Professional All-in- 1 Personal System with Bluetooth, XLR, Black, Rechargeable Portable PA (EON ONE Compact)</t>
  </si>
  <si>
    <t>MSI MAG B550 Tomahawk MAX WiFi Gaming Motherboard (AMD Ryzen 5000 Series, AM4, DDR4, PCIe 4.0, SATA 6Gb/s, M.2, USB 3.2 Gen 2, HDMI/DP, Wi-Fi 6E, Bluetooth 5.2, 2.5Gbps LAN, ATX)</t>
  </si>
  <si>
    <t>MSI Gaming RTX 5060 Ti 16G Ventus 2X OC Plus Graphics Card (16GB GDDR7, 128-bit, Extreme Performance: TBA MHz, DisplayPort x 3 2.1a, HDMI 2.1b, NVIDIA Blackwell Architecture)</t>
  </si>
  <si>
    <t>Dell OptiPlex 7020 MFF Mini Business Desktop Computer, 7000 Micro Form Factor, 14th Gen Intel 14-Core i5-14500T (Beat i7-13700T), 32GB DDR5 RAM, 1TB PCIe SSD, WiFi 6E, 2 DisplayPorts, HDMI, W11 Pro</t>
  </si>
  <si>
    <t>Dell Inspiron 16 Plus 7640 Laptop - 16.0-inch 16:10 2.5K Display, Intel Core i7-13620H Processor, 16GB LPDDR5 RAM, 1TB SSD, Intel UHD Graphics, Windows 11 Home, Onsite &amp; Migrate Service - Ice Blue</t>
  </si>
  <si>
    <t>Dell OptiPlex 5060 Micro Desktop Computer | Hexa Core Intel i5 (2.1) | 16GB DDR4 RAM | 512GB PCIe | Windows 11 Professional | Dell OptiPlex Home or Office PC (Renewed)</t>
  </si>
  <si>
    <t>OWC 480GB Atlas Pro High Performance Cfexpress 4.0 Type A Memory Card Professional Grade, up to 1850MB/s Read and 1700MB/s Write Speed</t>
  </si>
  <si>
    <t>Garmin dezl OTR710, Large, Easy-to-Read 7 inch GPS Truck Navigator, Custom Truck Routing, High-Resolution Birdseye Satellite Imagery, Directory of Truck &amp; Trailer Services (Renewed)</t>
  </si>
  <si>
    <t>Lexmark - 56F1000 Unison Toner Cartridge - Black - TAA Compliant</t>
  </si>
  <si>
    <t>Lenovo IdeaPad Slim 3X - 2025 - Everyday AI Laptop - Copilot+ PC - 15.3" WUXGA Display - 16 GB Memory - 512 GB Storage - Qualcomm® Snapdragon® X - Luna Grey</t>
  </si>
  <si>
    <t>GIGABYTE GS27Q Advanced - 27" IPS Gaming Monitor - QHD 2560x1440-180Hz - 1ms MPRT - AMD FreeSync - HDMI, DP - Black (GS27Q A US)</t>
  </si>
  <si>
    <t>ViewSonic PS502W 4000 Lumens WXGA Short Throw Projector with HDMI and USB Type A Connectivity for Business and Education</t>
  </si>
  <si>
    <t>Jabra Speak2 75 (2025 Edition) Wireless Bluetooth Speakerphone - 4 Noise-Cancelling Mics, 65mm Speakers - New Linking Feature - USB-A &amp; USB-C - Certified for Zoom and Google Meet - Dark Grey</t>
  </si>
  <si>
    <t>Western Digital 14TB WD Purple Pro Surveillance Internal Hard Drive HDD - SATA 6 Gb/s, 512 MB Cache, 3.5" - WD141PURP</t>
  </si>
  <si>
    <t>Targus USB C Universal Docking Station with Quad 4K(QV4K), Docking Station Single 5K/Quad 4K UHD Display,USB C Laptop Docking Station with 4 DisplayPort or 4 HDMI Ports/100W Power Delivery(DOCK570USZ)</t>
  </si>
  <si>
    <t>Garmin ECHOMAP UHD2 93sv with GT56 Transducer, 9" Touchscreen Chartplotter, Garmin Navionics+ U.S. Inland</t>
  </si>
  <si>
    <t>Epson EcoTank ET-4950 Wireless All-in-One Color Supertank Printer with up to 3 Years of Ink, Refillable Tanks, Perfect for Office, 18 PPM, 2.4" Color Touchscreen, Auto Document Feeder – White</t>
  </si>
  <si>
    <t>Belkin Charging Station For Laptops with Surge Protector - 10 Device USB Charging Dock for Tablets, Laptops, Chromebooks – Cable Management for Classrooms, Offices, Tech Labs, Shared Spaces, &amp; More</t>
  </si>
  <si>
    <t>ASUS TUF Gaming 27” 1440P Monitor (VG27AQM5A) - QHD (2560x1440), 300Hz, Fast IPS, Extreme Low Motion Blur Sync, 0.3ms, Speaker, 95% DCI-P3, Shadow Boost, DisplayWidget Center, 3 yr Warranty</t>
  </si>
  <si>
    <t>HP 508A Magenta Toner Cartridge | Works with HP Color LaserJet Enterprise M552, M553, HP Color LaserJet Enterprise MFP M577 Series | CF363A</t>
  </si>
  <si>
    <t>RICOH Theta SC2 Business Edition 360° Camera</t>
  </si>
  <si>
    <t>Razer Kraken V4 Pro Wireless Gaming Headset: OLED Control Hub - HD Haptics - 2.4GHz Wireless - Bluetooth - USB - 3.5 mm - Super Wideband Mic - For PC, Mac, PS5, Nintendo Switch, Steam Deck, Smartphone</t>
  </si>
  <si>
    <t>Bose Bass Module 500 Black</t>
  </si>
  <si>
    <t>Xbox Elite Series 2 Core Wireless Gaming Controller – Black – Xbox Series X|S, Xbox One, Windows PC, Android, and iOS</t>
  </si>
  <si>
    <t>Lenovo IdeaPad Slim 3i - 2024 - Lightweight Laptop - Rapid Charge Boost - 14" FHD IPS Display - 16GB Memory - 512GB SSD Storage - Intel® Core™ i7-13620H - Windows 11 HomeArctic Grey</t>
  </si>
  <si>
    <t>Fujitsu FI-7160 - Document Scanner - Duplex - 8.5 inx14 in - 600 DPIx600 DPI - UP to 60 PPM (Mono)/UP to 60 PPM (Color) - ADF (80 Sheets) - UP to 4000 SCANS PER Day - USB 3.0 (Renewed)</t>
  </si>
  <si>
    <t>Dell P2725H 27" 16:9 IPS Computer Monitor Screen with DisplayPort and USB 3.0 Upstream Cables - New Model</t>
  </si>
  <si>
    <t>Dell Mini PC Windows 11 Micro Computer OptiPlex 3060 Desktop,i7-8700T 32GB Ram 1TB M.2 NVMe M.2 SSD,AX210 Built-WiFi 6E,HDMI Dual Monitor Support,Wireless Keyboard Mouse (Renewed)</t>
  </si>
  <si>
    <t>HP 80X Black High-yield Toner Cartridges for HP Printers (2-pack) | Works with LaserJet Pro 400 M401 Series, LaserJet Pro 400 MFP M425 Series | CF280XD</t>
  </si>
  <si>
    <t>TRANSFORMERS Wearable Bluetooth Speaker Clip On Mini Portable Bluetooth Speaker IPX5 with Mic for Calls and Music 15H Long Playtime Outdoor Suitable Travel Working,Biking,Running,Black Optimus Prime</t>
  </si>
  <si>
    <t>Panasonic DP-UB9000P1K Reference Class 4K Ultra HD Blu-ray Player with HDR10+ and Dolby Vision Playback</t>
  </si>
  <si>
    <t>Dell Optiplex 5060 Desktop Computer | Hexa Core Intel i7 (3.2) | 32GB DDR4 RAM | 1TB SSD Solid State | Windows 11 Professional | Home or Office PC (Renewed), Black</t>
  </si>
  <si>
    <t>Brother MFC-J5340DW Professional Wireless Color Inkjet All-in-One Printer, 11" x 17" Ledger Printing, Fast 28ppm, Duplex, 250-Sheet Tray, Mobile &amp; Cloud Ready, Works with Alexa</t>
  </si>
  <si>
    <t>ViewSonic VG2448A 24 Inch IPS 1080p Ergonomic Monitor with Ultra-Thin Bezels, HDMI, DisplayPort, USB, VGA, and 40 Degree Tilt for Home and Office</t>
  </si>
  <si>
    <t>Lenovo ThinkPad T14 Gen2 Business Laptop Notebook, 14" Full HD 1920 x 1080 Display, 11th Gen Quad-Core i5-1135G7, 16GB DDR4 RAM, 512GB SSD, HDMI, Windows 11 Pro (Renewed)</t>
  </si>
  <si>
    <t>Beelink SER5 MAX Mini PC, AMD Ryzen 7 6800U(6nm, 8C/16T) up to 4.7GHz, Mini Computer 32GB LPDDR5 RAM 1TB NVME SSD, Micro PC 4K@60Hz Triple Display, Mini Gaming Computer WiFi6/BT5.2/HTPC/W-11 Pro</t>
  </si>
  <si>
    <t>SENNHEISER Professional Shotgun Microphone with XLR-3 to 3.5mm Connector for Video Camera/Camcorder, Black (505453)</t>
  </si>
  <si>
    <t>Focal BATHYS Over Ear HiFi Bluetooth Wireless Headphones with Active Noise Cancelation (Black Stealth)</t>
  </si>
  <si>
    <t>Fujifilm Fujinon XF70-300mmF4-5.6 LM OIS WR</t>
  </si>
  <si>
    <t>Apple iPad, 2025 with A16 Chip (11-inch, Wi-Fi + Cellular, 128GB) - Blue (Renewed)</t>
  </si>
  <si>
    <t>Canon EOS Rebel T7 DSLR Camera w/EF-S 18-55mm F/3.5-5.6 Zoom Lens + 420-800mm Super Telephoto Lens + 100S Sling Backpack + 64GB Memory Cards, Professional Photo Bundle (42pc Bundle) (Renewed)</t>
  </si>
  <si>
    <t>Shure BLX288/PG58 Wireless Microphone System - 14-Hour Battery Life, 300 ft Range, UHF | Includes (2) PG58 Handheld Vocal Mics, Dual Channel Receiver | H10 Band (BLX288/PG58-H10)</t>
  </si>
  <si>
    <t>ASRock B650 Steel Legend WiFi 6E AMD Socket AM5 Ryzen 9000 8000 and 7000 Series SATA3 M.2 DDR5 7200+(OC) 256GB SATA3 6.0 Gb/s ATX Motherboard BIOS Flashback</t>
  </si>
  <si>
    <t>Polk Audio MagniFi Max AX SR 7.1.2 Channel Sound Bar with 10" Wireless Subwoofer &amp; SR2 Surround Speakers, Dolby Atmos and DTS:X Certified, Polk's Patented VoiceAdjust &amp; SDA Technologies, Black</t>
  </si>
  <si>
    <t>SCUF ENVISION PRO Wireless V1 (2023) PC Gaming Controller - Five Remappable G-Keys - Remappable Back Paddles - Instant Triggers - iCUE Compatible - Steel Grey</t>
  </si>
  <si>
    <t>HP 507A Yellow Toner Cartridge | Works with HP LaserJet Enterprise 500 color M551, MPF M575, MPF M570 Series | ACE402</t>
  </si>
  <si>
    <t>NETGEAR 52-Port PoE Gigabit Ethernet Smart Switch (GS752TP) - Managed, Optional Insight Cloud Management, 48 x PoE+ @ 380W, 4 x 1G SFP, Desktop or Rackmount, and Limited Lifetime Protection</t>
  </si>
  <si>
    <t>ASUS Chromebook CR11 Ruggedized Laptop, 11.6” Display, Intel Processor N100 Processor, 4GB RAM, 64GB eMMC Storage, Antimicrobial Guard, Spill-Resistant Keyboard, Mineral Grey, CR1104CGA-AS44</t>
  </si>
  <si>
    <t>Microsoft Xbox One X 1TB Console with Wireless Controller: Enhanced, HDR, Native 4K, Ultra HD (2017 Model) (Renewed)</t>
  </si>
  <si>
    <t>HP Pro Mini G9 Desktop Computer, 13th Gen Intel Core i5-1335U(Up to 4.6GHz), 32GB RAM, 1TB PCIe SSD, Wi-Fi 6, HDMI, Type-C, DP, Support 2-Monitor 4K, Wired KB and Mouse, Windows 11 Pro</t>
  </si>
  <si>
    <t>HP USB-C Essential Dock G5 – Multiport Docking Station with USB-C, HDMI, DisplayPort, Ethernet | Includes Dockztorm Dock</t>
  </si>
  <si>
    <t>Western Digital 12TB WD Purple Pro Surveillance Internal Hard Drive HDD - SATA 6 Gb/s, 256 MB Cache, 3.5" - WD121PURP</t>
  </si>
  <si>
    <t>Taramps HD 3000 1 Ohm Black 1 Channel Amplifier 3000 Watts RMS MAX, Mosfet Digital Full Range Crossover, Low/High Pass, Bass Boost, Car Audio System, Monoblock 3k, LED Monitor Indicator, Class D</t>
  </si>
  <si>
    <t>LG 45GR75DC-B Ultragear Curved Gaming Monitor 45-Inch 32:9 Dual QHD 1ms 200Hz VESA DisplayHDR 600 with DCI-P3 95% AMD FreeSync Premium Pro Enhanced Gaming GUI DTS HP:X 3-Way Adjustable Stand - Black</t>
  </si>
  <si>
    <t>Uniden SDS200 True I/Q™ TrunkTracker X Base/Mobile Digital Scanner. Incredible Digital Performance. TrunkTracker X Technology Provides The Best Digital Decode Performance in The Scanner Industry.</t>
  </si>
  <si>
    <t>Microsoft Surface Laptop 5 13.5" Touchscreen Notebook - 2256 x 1504 - Intel Core i7 12th Gen i7-1265U - Intel Evo Platform - 16 GB Total RAM - 256 GB SSD - Matte Black (Renewed)</t>
  </si>
  <si>
    <t>Lenovo 2022 Ideapad 3 Laptop, 15.6" HD Touchscreen, 11th Gen Intel Core i3-1115G4 Processor, 8GB DDR4 RAM, 256GB PCIe NVMe SSD, HDMI, Webcam, Wi-Fi 5, Bluetooth, Windows 11 Home, Almond</t>
  </si>
  <si>
    <t>Epson EpiqVision Flex CO-FH02 Full HD 1080p Smart Streaming Portable Projector, 3-Chip 3LCD, 3,000 Lumen Color/White Brightness, Android TV, Bluetooth, 5W Speaker, Home Entertainment</t>
  </si>
  <si>
    <t>ViewSonic TD2423D 24 Inch 1080p 10-Point Multi IR Touch Screen Monitor with Eye Care HDMI, VGA, USB Hub and DisplayPort</t>
  </si>
  <si>
    <t>Turtle Beach Vulcan II TKL Pro Magnetic Mechanical RGB Gaming Keyboard – Analog Hall-Effect Switches, Adjustable Actuation, Rapid Trigger, Swappable Keycaps, Tenkeyless Design, Anti-Ghosting – White</t>
  </si>
  <si>
    <t>SAMSUNG Galaxy Tab S10 FE w/S-Pen (128GB, 8GB, WiFi) 10.9” 90Hz Full HD Android Tablet, Octa-core (4nm), 4K Camera, IP68 Water Resistant SM-X520 (Blue)</t>
  </si>
  <si>
    <t>Shure BLX24/PG58 Wireless Microphone System - 14-Hour Battery Life, 300 ft Range, UHF | Includes PG58 Handheld Vocal Mic, Single Channel Receiver | H9 Band (BLX24/PG58-H9)</t>
  </si>
  <si>
    <t>CORSAIR K70 MAX RGB Magnetic Mechanical Wired Gaming Keyboard – MGX Adjustable Switches, Simultaneous SOCD and Rapid Trigger, PBT Double-Shot Keycaps, Sound Dampening, 8000Hz Polling, QWERTY NA, Black</t>
  </si>
  <si>
    <t>Intel Core i5-14400F LGA 1700 Processor BX8071514400F</t>
  </si>
  <si>
    <t>TCL 55" Class 4-Series 4K UHD HDR Smart Roku TV – 55S435, 2021 Model</t>
  </si>
  <si>
    <t>Dell Latitude 3550 Laptop Computer for Business Work, Intel 10-Core i5-1335U (Beat i7-1255U), 16GB DDR5 RAM, 512GB PCIe SSD, 15.6" FHD, WiFi 6E, Bluetooth 5.3, FHD Camera, USB4 Type-C, Windows 11 Pro</t>
  </si>
  <si>
    <t>HP 507A Cyan Toner Cartridge | Works with HP LaserJet Enterprise 500 color M551, MPF M575, MPF M570 Series | ACE401A</t>
  </si>
  <si>
    <t>Aputure Amaran 300c RGB COB Video Light Bowen Mount 2,500K to 7,500K CCT with G/M Adjustment 26,580 lux @ 1m with Hyper Reflector Support APP Control</t>
  </si>
  <si>
    <t>ASRock B650M-HDV/M.2 Supports AMD Socket AM5 Ryzen 7000 Series Processors</t>
  </si>
  <si>
    <t>HP 15.6" FHD Touchscreen Business Laptop, Intel i7-1255U, 32GB RAM, 1TB PCIe SSD, Intel Iris Xe Graphics, Num Pad, Webcam, Windows 11 Pro, Natural Silver, 32GB Hotface USB Card</t>
  </si>
  <si>
    <t>Harman Kardon Onyx Studio 9 - Portable Stereo Bluetooth Home Speaker with Built-in Battery and USB Charging, self-Tuning, and Multi-Speaker Connection by Auracast - Black</t>
  </si>
  <si>
    <t>ASRock B650 PRO RS AMD Ryzen 7000 Series Processors Motherboard</t>
  </si>
  <si>
    <t>Seasonic Prime TX-1600-1600W - 80+ Titanium - ATX 3.0 &amp; PCIe 5.1 Ready - Full Modular - ATX Form Factor - Premium Japanese Capacitor - Nvidia RTX 30/40 Super &amp; AMD GPU Compatible (Ref. SSR-1600TR2)</t>
  </si>
  <si>
    <t>Champion Power Equipment Pro Grade OSHA Compliant Power Distribution Box, 50-Amp Twist Lock Inlet, Six 120V GFCI Duplexes, One 120/240V 30A Locking Outlet, 30A and 50A RV Adapters</t>
  </si>
  <si>
    <t>Legrand Wiremold RDSZCBK radiant Furniture Power Center with USB and Switch, Recessed Power Strip, 2 Outlets, Type A/C USB, 6 Foot Cord, Black</t>
  </si>
  <si>
    <t>MSI MAG Z890 Tomahawk WiFi Gaming Motherboard (Supports Core Ultra Series 2 Intel Processors, LGA 1851, DDR5, PCIe 5.0, M.2, SATA, 5Gbps LAN, USB Type-C, Wi-Fi 7, Bluetooth 5.4, Thunderbolt 4, ATX)</t>
  </si>
  <si>
    <t>Marshall Woburn III Bluetooth Wireless Speaker,Black</t>
  </si>
  <si>
    <t>ASUS Chromebox 5a with Intel® Celeron® 7305 Processor, 4GB DDR4 RAM, 128GB M.2 PCIe G4x4 NVMe SSD, Quad-Display, Wi-Fi 6E &amp; Bluetooth, Gb LAN, USB-C, Chrome OS, VESA Mount</t>
  </si>
  <si>
    <t>Lenovo V14 Gen 4 Business Laptop (14" FHD Anti-Glare, Intel 10-Core i7-13620H, 40GB RAM, 1TB SSD), Webcam with Privacy Shutter, Ethernet, Wi-Fi 6, HDMI, Bluetooth, Win 11 Pro w/ Copilot, Black</t>
  </si>
  <si>
    <t>SAMSUNG Galaxy S22 Ultra 5G, US Version, 256GB, Burgundy - Unlocked (Renewed)</t>
  </si>
  <si>
    <t>Brother TN433C, TN433M, TN433Y (TN-433C, TN-433M, TN-433Y) Cyan, Magenta and Yellow Color Toner Cartridge Set</t>
  </si>
  <si>
    <t>Thrustmaster T300RS Force Feedback GT Racing Wheel (compatible w/ PS5, PS5 Pro, PS4 &amp; PC)</t>
  </si>
  <si>
    <t>Lorex 4K Fusion DVR for Security System | 12 Channel (8 Wired + 4 Wi-Fi) | 2TB Local Storage | Smart Motion Detection | Active Deterrence | No Monthly Fees | Voice Control | Expandable to 16TB</t>
  </si>
  <si>
    <t>CORSAIR Dominator Titanium RGB DDR5 RAM 96GB (2x48GB) DDR5 6600MHz CL32 Intel XMP iCUE Compatible Computer Memory - Black (CMP96GX5M2B6600C32)</t>
  </si>
  <si>
    <t>Microsoft Surface USB4 Dock – Gigabit Ethernet, USB C to 2xUSB-C/1xUSB-A/HDMI (65W Power Delivery) - Black</t>
  </si>
  <si>
    <t>Dell Pro Smart Dock SD25 – USB-C Station with 130W Charging, Support for 4 Displays, HDMI 2.1, Dual DP 1.4, Wi-Fi Management, 2.5GbE Ethernet, Sustainable Design</t>
  </si>
  <si>
    <t>Bose QuietComfort Ultra Bluetooth Earbuds, Wireless Earbuds, Deep Bass, Up to 6 Hours of Playtime and World-Class Active Noise Cancellation Bundle with USB-C/A 20W Wall Charger (Black)</t>
  </si>
  <si>
    <t>Taramps DS 2000x4 2 Ohms 2000 Watts RMS 4-Channel 500x4 Watts RMS, Class D Full Range, Crossover High / Low Pass Fixed Bridgedable Car Audio Amplifier</t>
  </si>
  <si>
    <t>LG 27GS75Q-B 27-inch Ultragear QHD (2560x1440) Gaming Monitor, 180Hz (O/C 200Hz), 1ms, IPS, NVIDIA G-SYNC Compatible, AMD FreeSync, HDR10, Tilt/Height/Pivot Stand, HDMI, DisplayPort, Black</t>
  </si>
  <si>
    <t>Jabra Evolve2 40 UC Wired Headphones, USB-A, Stereo, Black – Telework Headset for Calls and Music, Enhanced All-Day Comfort, Passive Noise Cancelling Headphones, UC-Optimized with USB-A Connection</t>
  </si>
  <si>
    <t>Shure MV88+ Video Kit - Digital Stereo Condenser Microphone for Apple and Android, with Manfrotto PIXI Tripod, Phone Clamp, Mount, iOS and USB-C Cables for Next-Level Compatibility and Connectivity</t>
  </si>
  <si>
    <t>LG UltraWide FHD 29-Inch Computer Monitor 29WQ600-W, IPS with HDR 10 Compatibility, AMD FreeSync, and USB Type-C, White/Silver</t>
  </si>
  <si>
    <t>Lexmark MX431adw Laser Monochrome MFP Printer with Touchscreen, Copier Scanner Printer, Automatic Two-Sided Scanning, Wireless, Analog fax (29S0500)</t>
  </si>
  <si>
    <t>Epson SureColor P900 17-Inch Printer,Black</t>
  </si>
  <si>
    <t>Klipsch The Fives Powered Bookshelf Speakers with HDMI-ARC in Walnut</t>
  </si>
  <si>
    <t>HP 508X Yellow High-yield Toner Cartridge | Works with HP Color LaserJet Enterprise M552, M553, HP Color LaserJet Enterprise MFP M577 Series | CF362X</t>
  </si>
  <si>
    <t>OnePlus Buds Pro 3, Wireless Bluetooth Earbuds, Noise Canceling Earbuds, Deep Bass, Immersive Sound, Up to 44 Hour Playtime with Charging case, Midnight Opus</t>
  </si>
  <si>
    <t>HP 508X Cyan High-yield Toner Cartridge | Works with HP Color LaserJet Enterprise M552, M553, HP Color LaserJet Enterprise MFP M577 Series | CF361X</t>
  </si>
  <si>
    <t>Apple Watch Ultra 2 [GPS + Cellular, 49mm] - Titanium Case With White Ocean Band, One Size (Renewed)</t>
  </si>
  <si>
    <t>AMD Ryzen™ 9 5900XT 16-Core, 32-Thread Unlocked Desktop Processor</t>
  </si>
  <si>
    <t>Canon EF 75-300mm f/4-5.6 III Telephoto Zoom Lens with 2X Telephoto Lens, HD Wide Angle Lens and Accessories (8 Piece Kit)</t>
  </si>
  <si>
    <t>Lexmark 58D1H00 Black High Yield Return Program Toner Cartridge</t>
  </si>
  <si>
    <t>Apple AirPods Max Wireless Over-Ear Headphones, Active Noise Cancelling, Transparency Mode, Personalized Spatial Audio, Dolby Atmos, Bluetooth Headphones for iPhone – Silver</t>
  </si>
  <si>
    <t>HP Chromebook Laptop 15 ( 15.6" Anti-Glare, Intel N200 (&gt; i3-1115G4), 8GB DDR5 RAM, 128GB Storage (64GB eMMC + 64GB SD Card), Numeric KB) Home &amp; Student, Webcam w/Shutter, Wi-Fi, Chrome OS, Silver</t>
  </si>
  <si>
    <t>HP 213A Yellow Original LaserJet Toner Cartridge, W2132A. Works with HP LaserJet Enterprise 5700, 5800, 6700, 6701, 6800, 6801</t>
  </si>
  <si>
    <t>ViewSonic VG2440 24 Inch IPS 1080p Ergonomic Monitor with HDMI, DisplayPort, VGA, USB Inputs for Home and Office</t>
  </si>
  <si>
    <t>APC Back-UPS Pro Gaming UPS, 1500VA Sinewave Battery Backup, USB-C Charging &amp; AVR, BGM1500B-US</t>
  </si>
  <si>
    <t>Lenovo Tab K11 TB330XU Tablet - 11" WUXGA - MediaTek MT6769H Helio G88 (12 nm) Octa-core - 8 GB - 128 GB Storage - Android 13-4G - Luna Gray</t>
  </si>
  <si>
    <t>APC UPS Battery Replacement, APCRBC140, for APC Smart-UPS Models SRT10KRMXLI, SRT10KRMXLT, SRT10KRMXLT-10KTF, SRT10KXLI, SRT6KRMXLT, SRT6KXLT, SRT8KXLT</t>
  </si>
  <si>
    <t>NETGEAR Nighthawk Modem Router Combo (CAX30S) DOCSIS 3.1 Cable Modem and WiFi 6 Router - AX2700 6.0 Gbps - Compatible with Xfinity, Spectrum, Cox, and More - Gigabit Wireless Internet - NETGEAR Armor</t>
  </si>
  <si>
    <t>HP 128A Cyan, Magenta, Yellow Toner Cartridges (3-pack) | Works with HP LaserJet Pro CM1415 Color, CP1525 Color Series | CF371AM</t>
  </si>
  <si>
    <t>HP 64A Black Toner Cartridge | Works with HP LaserJet P4014, P4015, P4515 Series | CC364A</t>
  </si>
  <si>
    <t>MSI B760 Gaming Plus WiFi Gaming Motherboard (Supports 12th/13th/14th Gen Intel Processors, LGA 1700, DDR5, PCIe 4.0, M.2, 2.5Gbps LAN, USB 3.2 Gen2, HDMI/DP, Wi-Fi 6E, Bluetooth 5.3, ATX)</t>
  </si>
  <si>
    <t>HP 213A Magenta Original LaserJet Toner Cartridge, W2133A. Works with HP LaserJet Enterprise 5700, 5800, 6700, 6701, 6800, 6801</t>
  </si>
  <si>
    <t>Canon PFI120 Pigment Ink Tank Bundle (Matte Black, Cyan, Magenta, Yellow, Black) in Retail Packaging</t>
  </si>
  <si>
    <t>TP-Link TL-SG2428P | Jetstream 24 Port Gigabit Smart Managed PoE Switch | 24 PoE+ Ports @250W, 4 SFP Slots | Omada SDN Integrated | PoE Recovery | IPv6 | Static Routing | Limited Lifetime Protection</t>
  </si>
  <si>
    <t>Pelican Air 1615 Case With Foam - Black</t>
  </si>
  <si>
    <t>Midland LXT600BBX4 FRS Business Walkie Talkies - Long Range 36-Channel Two-Way Radios with Headsets and Charging Base, NOAA Weather Alerts (8-Pack, Black)</t>
  </si>
  <si>
    <t>Jabra Speak2 55 Wireless Bluetooth Speakerphone (2025 Edition) - Portable Speaker with 4 Noise-Cancelling Mics - Certified Microsoft Teams Speaker - Dark Grey</t>
  </si>
  <si>
    <t>Brother ADS-1800W Wireless Compact Desktop Scanner | Scan Speeds of Up to 30ppm | 2.8" Color Touchscreen</t>
  </si>
  <si>
    <t>Samsung Chromebook Plus V2 2-in-1 Laptop- 4GB RAM, 64GB eMMC, 13MP Camera, Chrome OS, 12.2", 16:10 Aspect Ratio- XE520QAB-K03US Light Titan</t>
  </si>
  <si>
    <t>Brother QL-810Wc Professional Label Printer with USB and WiFi connectivity, Ultra-Fast Printing up to 110 Labels per Minute with Standard Address Label in Monochrome, Black &amp; Red Printing Available</t>
  </si>
  <si>
    <t>Sony UBP-X700U 4K Ultra HD Home Theater Blu-ray DVD Player 4K upscaling, HDR10, Hi Res Audio, Dolby Digital TrueHD/DTS, Dolby Vision, with Included HDMI Cable, 2025 Model</t>
  </si>
  <si>
    <t>Nikon NIKKOR Z 50mm f/1.8 S | Premium large aperture 50mm prime lens (nifty fifty) for Z series mirrorless cameras | Nikon USA Model</t>
  </si>
  <si>
    <t>Fujifilm INSTAX Wide 400 Instant Camera - Sage Green</t>
  </si>
  <si>
    <t>Taramps HD 3000 2 Ohms Black 1 Channel 3000 Watts RMS MAX Full Range Car Audio Monoblock LED Monitor Indicator Class D Amplifier Crossover, HD 3k</t>
  </si>
  <si>
    <t>SanDisk 4TB Creator Pro Portable SSD - Up to 2000MB/s, for Laptops and Computers, USB-C, USB 3.2 Gen 2x2, IP65 Water and Dust Resistance, 1 Month of Adobe Creative Cloud Included - SDSSDE81C-4T00-G25</t>
  </si>
  <si>
    <t>HP 410X Cyan High-yield Toner Cartridge | Works with HP Color LaserJet Pro M452 Series, HP Color LaserJet Pro MFP M377, M477 Series | CF411X</t>
  </si>
  <si>
    <t>ASRock AMD B850 LiveMixer WiFi 7 Socket AM5 Ryzen 9000/8000/7000 Series DDR5 8000+ (OC) MHz 256GB ATX Motherboard M.2 SATA3 6.0 Gb/s PCIe 5.0 BIOS Flashback 1 HDMI 1 DisplayPort</t>
  </si>
  <si>
    <t>HP 711 DesignJet Printhead Replacement Kit (C1Q10A) for DesignJet T530, T525, T520, T130, T125, T120 &amp; T100 Large Format Plotter Printers</t>
  </si>
  <si>
    <t>SimpliSafe 12 Piece Wireless Home Security System w/HD Camera - Optional 24/7 Professional Monitoring - No Contract - Compatible with Alexa and Google Assistant, White</t>
  </si>
  <si>
    <t>Klipsch Black Reference Theater Pack 5.1 Surround Sound System</t>
  </si>
  <si>
    <t>Epson EpiqVision Flex CO-FH02 Full HD 1080p Smart Streaming Portable Projector, 3-Chip 3LCD, 3,000 Lumen Color/White Brightness, Android TV, Bluetooth, 5W Speaker, Home Entertainment (Renewed)</t>
  </si>
  <si>
    <t>Satechi Type-C Pro Hub Adapter with Ethernet - 4K HDMI, USB-C PD, Gigabit Ethernet, USB 3.0, Micro SD Card Slot - for M2/ M1 MacBook Pro/Air (Space Gray)</t>
  </si>
  <si>
    <t>GoPro HERO12 Black - Waterproof Action Camera with 5.3K60 Ultra HD Video, 27MP Photos, HDR, 1/1.9" Image Sensor, Live Streaming, Webcam, Stabilization</t>
  </si>
  <si>
    <t>Poly - Voyager 4320 UC Wireless Headset + Charge Stand (Plantronics) - Headphones w/Mic - Connect to PC/Mac via USB-C Bluetooth Adapter, Cell Phone via Bluetooth-Works w/Teams (Certified), Zoom&amp;More</t>
  </si>
  <si>
    <t>Jabra Engage 75 SE (Second Edition) Wireless Headset, Dual-Ear – Telephone Headset with Industry-Leading Wireless Performance, Advanced Noise-Cancelling Microphone, All Day Battery Life - Black</t>
  </si>
  <si>
    <t>Epson TM-M30II Thermal Wireless Dongle Required POS Receipt Printer - Bluetooth and Ethernet Connectivity - Thermal line Printing Technology, 250 mm/sec Print Speed, 203 dpi, Auto-Cutter, Monochrome</t>
  </si>
  <si>
    <t>ASUS 23.8” 1080P Docking Monitor (VA24ECPSN) - Full HD, IPS, 75Hz, Adaptive-Sync, Speakers, Eye Care, Low Blue Light, Flicker Free, USB-C, RJ45, HDMI, Frameless, Height Adjustment, VESA Wall Mountable</t>
  </si>
  <si>
    <t>Skullcandy Crusher EVO Wireless Noise Cancelling Over-Ear Headphones Bundle - Black</t>
  </si>
  <si>
    <t>Intel® Core™ i5-14600K Desktop Processor 14 Cores (6 P-Cores + 8 E-Cores) up to 5.3 GHz</t>
  </si>
  <si>
    <t>Jabra Evolve 65 TE (Third Edition) Wireless Dual-Ear Headphones - Noise-Canceling Mic, 16 hrs Battery Life, Dual Connectivity, MS Teams Certified, Supports Other Platforms, Black</t>
  </si>
  <si>
    <t>Insta360 X4 Motorcycle Bundle- 8K Waterproof 360 Action Camera, 4K Wide-Angle Video, Invisible Selfie Stick, Removable Lens Guards, 135 Min Battery Life, AI Editing, Stabilization, No Micro SD Card</t>
  </si>
  <si>
    <t>Garmin GT56UHD-TM All-in-One Transom Mount Transducer with ClearVu, SideVu Scanning Sonars and High Wide Chirp Traditional Sonar</t>
  </si>
  <si>
    <t>YAMAHA RX-V4A 5.2-Channel AV Receiver with MusicCast</t>
  </si>
  <si>
    <t>HP ProDesk 600G4 Desktop Computer | Hexa Core Intel i5 (3.2) | 32GB DDR4 RAM | 1TB SSD Solid State | Windows 11 Professional | Home or Office PC (Renewed)</t>
  </si>
  <si>
    <t>Satechi Aluminum Wireless Keyboard with Numeric Keypad – for MacBook Pro, MacBook Air, iPad Pro, iMac and More</t>
  </si>
  <si>
    <t>Pioneer DMH-1600NEX 6.8" Double-Din Digital Multimedia Receiver - Built in Bluetooth, Wired Apple CarPlay and Android Auto, Touchscreen, Rear Camera Input</t>
  </si>
  <si>
    <t>All-new Blink Video Doorbell + Outdoor 4 – Wireless smart security cameras, head-to-toe HD view, two-year battery life. Sync Module Core included – 3 camera system + Video Doorbell</t>
  </si>
  <si>
    <t>Sonos Outdoor by Sonance</t>
  </si>
  <si>
    <t>Samsung 32” ViewFinity S8 (S80UD) 4K UHD IPS HDR10 High Resolution Monitor, USB-C, Built-in Speakers, Ergonomic Stand, Built-in KVM Switch, Intelligent Eye Care, LS32D808UBNXGO, 2025</t>
  </si>
  <si>
    <t>HP 14" HD Laptop, Windows 11, Intel Celeron Dual-Core Processor Up to 2.60GHz, 4GB RAM, 64GB SSD, Webcam(Renewed)</t>
  </si>
  <si>
    <t>Plantronics - Voyager Focus UC (Poly) - Bluetooth Dual-Ear (Stereo) Headset with Boom Mic - USB-A Compatible with PC and/or Mac - Active Noise Canceling - Works with Teams (Certified), Zoom &amp; more</t>
  </si>
  <si>
    <t>Marshall Monitor III A.N.C. Over-Ear Bluetooth Headphones - Active Noise Cancelling with Microphone | 100+ Hrs Wireless Playtime | Lightweight, Foldable Design for Travel - Black</t>
  </si>
  <si>
    <t>HP 410X Yellow High-yield Toner Cartridge | Works with HP Color LaserJet Pro M452 Series, HP Color LaserJet Pro MFP M377, M477 Series | CF412X</t>
  </si>
  <si>
    <t>GIGABYTE - M27Q Advanced (US) - 27" SS IPS Gaming Monitor - QHD 2560x1440-180Hz - 1ms MPRT - AMD FreeSync - Type C KVM - HDMI, DP, Type C - Height Adjustable - Black</t>
  </si>
  <si>
    <t>HP 213A Cyan Original LaserJet Toner Cartridge, W2131A. Works with HP LaserJet Enterprise 5700, 5800, 6700, 6701, 6800, 6801</t>
  </si>
  <si>
    <t>Ubiquiti Networks UniFi 6 Long-Range UniFi 6 Long-Range, 3000, W125937194 (UniFi 6 Long-Range, 3000 Mbit/s, 600 Mbit/s, 2400 Mbit/s, 10,100,1000 Mbit/s, 300 User(s), Multi User)</t>
  </si>
  <si>
    <t>Asrock B650M Pro RS AMD Socket AM5 Ryzen 7000/8000/9000 Series DDR5 7200+ (OC) MHz 256GB M.2 Key E for WiFi SATA3 6.0 Gb/s Micro ATX Motherboard 2.5G LAN BIOS Flashback</t>
  </si>
  <si>
    <t>Zebra ZD411 Printer, Direct Thermal, 203DPI, USB, USB Host, Modular Connectivity Slot, BTLE5, EZPL, ZD4A022-D01M00EZ (Zebra ZD410 Replacement) with Cleaning Cloth</t>
  </si>
  <si>
    <t>Razer BlackWidow V4 Mechanical Gaming Keyboard: Green Switches Tactile &amp; Clicky - Chroma RGB - 6 Macro Keys - Magnetic Wrist Rest - Doubleshot ABS Keycaps - Roller &amp; Media Keys - Snap Tap</t>
  </si>
  <si>
    <t>Seagate Skyhawk AI 12tb HDD 3.5 Inch SATA 6Gb/s 7200PRM 256MB Cache for NAS Internal Hard Drive for DVR NVR Security Camera System AI Application Optimization (Renewed)</t>
  </si>
  <si>
    <t>Microsoft Surface Pro Keyboard and Slim Pen 2 Bundle for Surface Pro 12" Device, Alcantara Material, Slate</t>
  </si>
  <si>
    <t>Garmin Approach S62, Premium Golf GPS Watch, Built-in Virtual Caddie</t>
  </si>
  <si>
    <t>ASURION 3 Year Home Improvement Protection Plan ($30 - $39.99)</t>
  </si>
  <si>
    <t>Logitech Wireless Desktop MK710 Keyboard &amp; Pointing Device Kit - USB Wireless Keyboard - USB Wireless Mouse</t>
  </si>
  <si>
    <t>Honeywell Voyager Extreme Performance (XP) 147X Series BarcodeArea-Imaging Scanner (2D, 1D, PDF, Postal) Kit (Wireless, USB) (1472G2D)</t>
  </si>
  <si>
    <t>Epson EcoTank ET-M1170 Wireless Monochrome Supertank Printer with Ethernet PLUS 2 Years of Unlimited Ink*,White</t>
  </si>
  <si>
    <t>Humminbird Helix 7 G4 GPS Fish Finder with Transducer, Dual Spectrum Chirp Sonar, Side Imaging</t>
  </si>
  <si>
    <t>Brother HL-L8260CDW Business Color Laser Printer, Duplex Printing, Flexible Wireless Networking, Mobile Device Printing, Advanced Security Features – Amazon Dash Replenishment Ready,White</t>
  </si>
  <si>
    <t>TACTACAM Defend Cellular Security Camera</t>
  </si>
  <si>
    <t>LaCie Rugged USB-C, 5TB, Portable External Hard Drive, Drop, Shock, Dust, Rain Resistant, for Mac &amp; PC (STFR5000800)</t>
  </si>
  <si>
    <t>Intel® Core™ i5-14400 Desktop Processor 10 cores (6 P-cores + 4 E-cores) 4.7 GHz</t>
  </si>
  <si>
    <t>Logitech C930e 1080P HD Video Webcam - 90-Degree Extended View, Microsoft Lync 2013 and Skype Certified - Black</t>
  </si>
  <si>
    <t>HP 2024 Premium 14" Micro-Edge Portable Laptop Student Business, Intel Quad-Core N4120, 4GB RAM, 128GB (64GB eMMC+ 64GB Card), Webcam, WiFi, Windows 11S + 1 Year Office 365, MarxsolAccessory White</t>
  </si>
  <si>
    <t>Intel® Core™ i3-14100 Desktop Processor 4 cores (4 P-cores + 0 E-cores) 4.7 GHz</t>
  </si>
  <si>
    <t>Dell OptiPlex 7060 Windows 11 Pro Desktop Computer SFF,Intel 8th Gen i7-8700 Hexa Core,32GB DDR4 Ram New 1TB NVMe M.2 SSD,AX210 Built-in WIFI 6E &amp; Bluetooth 5.2,New Wireless Keyboard &amp; Mouse (Renewed)</t>
  </si>
  <si>
    <t>Synology M.2 2280 NVMe SSD SNV3410 400GB (SNV3410-400G)</t>
  </si>
  <si>
    <t>Apple Early 2020 MacBook Air with 1.1 GHz Intel Core i5, 13-inch, 8GB RAM, 512GB SSD, Space Gray (Renewed)</t>
  </si>
  <si>
    <t>Lenovo V15 Gen 4 Business Laptop, 15.6" FHD Display, Intel Core i5-13420H (Beat i7-1355U), HDMI, RJ45, Webcam, Numeric Keypad, Wi-Fi, Windows 11 Pro, Black (16GB RAM | 512GB SSD)</t>
  </si>
  <si>
    <t>Sony 32 Inch 720p HD LED HDR TV W830K Series with Google TV and Google Assistant-2022 Model, Black</t>
  </si>
  <si>
    <t>WD_BLACK 6TB P10 Game Drive, Portable External Hard Drive, Works with PlayStation, Xbox, &amp; PC - WDBZ7D0060BBK-WESN</t>
  </si>
  <si>
    <t>Peak Design Travel Backpack 45L, Black, Expandable 35-45L Design, Rear and Top Access, Weatherproof Shell, Laptop Sleeve, Ideal for Travel or Everyday Carry, Versatile Backpack for Men and Women</t>
  </si>
  <si>
    <t>NEEWER HB80C RGBWW LED Video Light with Built-in 72Wh Battery &amp; 100W PD Fast Charging, 80W Mini RGB COB Continuous Output Lighting Bowens Mount Handheld Spotlight 2500K-7500K, 10400lux/m, 18 Effects</t>
  </si>
  <si>
    <t>HP Stream 14" HD BrightView Laptop, Intel Celeron N4120 Processor, 4GB RAM, 64GB Storage, Intel HD Graphics, 720p Webcam, 1 Year Office 365, Pink, Win 11 S, 32GB Hotface USB Card</t>
  </si>
  <si>
    <t>Polk Monitor XT35 Slim Center Channel Speaker - Hi-Res Audio Certified, Dolby Atmos &amp; DTS:X Compatible, 1" Terylene Tweeter &amp; Four 3" Dynamically Balanced Woofer, Wall-Mountable, Midnight Black</t>
  </si>
  <si>
    <t>Garmin Venu 2S, Smaller-sized GPS Smartwatch with Advanced Health Monitoring and Fitness Features, Rose Gold Bezel with White Case and Silicone Band</t>
  </si>
  <si>
    <t>HP 15.6" Diagonal Full HD (1920 x 1080) Laptop, 11th Gen Intel Core i5-1135G7 Processor, 8GB DDR4 RAM, 256GB SSD, 802.11ac, Bluetooth, HDMI, Windows 11</t>
  </si>
  <si>
    <t>Synology 4-Bay DiskStation DS425+ (Diskless)</t>
  </si>
  <si>
    <t>MSI MAG 271QPX QD-OLED 27" OLED QHD 360Hz 0.03ms FreeSync Premium Gaming Monitor with HD R400</t>
  </si>
  <si>
    <t>Canon SELPHY QX20 Compact Photo Printer Dark Gray</t>
  </si>
  <si>
    <t>StarTech.com USB C Dock - Triple 4K Monitor USB Type-C Docking Station - 100W Power Delivery - DP 1.4 Alt Mode &amp; DSC, 2X DisplayPort 1.4/HDMI 2.0-6xUSB (2X 10Gbps), SD - Windows/Chrome (DK31C2DHSPD)</t>
  </si>
  <si>
    <t>ASUS ROG Strix 32” 1440P USB-C Curved HDR Gaming Monitor (XG32WCS) - QHD, 180Hz, 1ms, Fast VA, Extreme Low Motion Blur Sync, FreeSync, DisplayWidget, Tripod Socket, AI Technology, 3 yr Warranty</t>
  </si>
  <si>
    <t>HP 307A Black Toner Cartridge | Works with HP Color LaserJet Professional CP5225 Series | CE740A</t>
  </si>
  <si>
    <t>Apple iPhone 11 Pro, 64GB, Midnight Green - Unlocked (Renewed)</t>
  </si>
  <si>
    <t>HP Envy x360 2-in-1 Laptop, 16" WUXGA IPS Wide Ultra Touchscreen Display, Core Ultra 5 125U (Beats i7-1255U), 16GB DDR5, 1TB PCIe SSD, TB 4, WiFi 6E, Bluetooth, Webcam, PDG HDMI Cable, Win 11 Pro</t>
  </si>
  <si>
    <t>Microsoft Surface Pro Keyboard with Slim Pen 2 Bundle for Pro Copilot+ (11th Edition), Pro 9 and Pro 8, Alcantara Material, Platinum</t>
  </si>
  <si>
    <t>Canon EF-S 10-18mm f/4.5-5.6 is STM Lens, Lens Only</t>
  </si>
  <si>
    <t>Nintendo Neon Purple/Neon Orange Joy-Con (L-R) - Switch</t>
  </si>
  <si>
    <t>AGM Global Vision Taipan Thermal Imaging Monocular for Hunting 12μm Sensor, Hot Spot Tracking, 8× Digital Zoom, Video Recording, WiFi, IP67 Waterproof</t>
  </si>
  <si>
    <t>Dell Optiplex 7060 Micro MFF Desktop PC Intel i7-8700T 6-Cores 2.40GHz 32GB DDR4 New 1TB M.2 NVMe SSD WiFi BT HDMI New KB &amp; Mouse Windows 11 Pro (Renewed)</t>
  </si>
  <si>
    <t>Fellowes Jupiter 2 125 Laminator with 10 Pouches, 12.5 Inch (5734101), Black &amp; Grey</t>
  </si>
  <si>
    <t>Apple Late 2019 MacBook Pro with 2.6GHz Intel Core i7 (16-Inch, 16GB RAM, 512GB Storage) - Silver (Renewed)</t>
  </si>
  <si>
    <t>Fractal Design Define 7 XL Black Solid Brushed Aluminum/Steel E-ATX Silent Modular Full Tower Computer Case</t>
  </si>
  <si>
    <t>Midland GXT67 Pro GMRS Two Way Radio</t>
  </si>
  <si>
    <t>Marshall Kilburn III Bluetooth Speaker - Premium Water Resistance Portable Bluetooth Speaker &amp; Wireless Speakers 50+ Playtime - Black and Brass</t>
  </si>
  <si>
    <t>Sceptre IPS 24-inch Essential Thin 100Hz Gaming Monitor USB Type-C DisplayPort HDMI 100% sRGB Build-in Speakers, Machine Black 2024 (E248W-FP100T)</t>
  </si>
  <si>
    <t>Microsoft - Xbox One S 500GB Console - White - ZQ9-00028 (Renewed)</t>
  </si>
  <si>
    <t>Klipsch Heritage Wireless The One II Tabletop Stereo Walnut</t>
  </si>
  <si>
    <t>CyberPower OR1500LCDRT2U Smart App LCD UPS System, 1500VA/900W, 8 Outlets, AVR, 2U Rack/Tower</t>
  </si>
  <si>
    <t>UGREEN NAS DH4300 Plus 4-Bay Desktop NAS, Support Capacity up to 120TB, Remote Access, AI Photo Album, Beginner Friendly System, 8GB LPDDR4X RAM, 2.5GbE, 4K HDMI, Network Attached Storage (Diskless)</t>
  </si>
  <si>
    <t>Microsoft Surface Pro Keyboard with Slim Pen 2 Bundle for Pro Copilot+ (11th Edition), Pro 9 and Pro 8, Alcantara Material, Sapphire</t>
  </si>
  <si>
    <t>Nikon NIKKOR Z MC 105mm f/2.8 VR S | Professional macro prime lens for Z series mirrorless cameras | Nikon USA Model</t>
  </si>
  <si>
    <t>ASUS TUF Gaming 28” 4K 144HZ DSC HDMI 2.1, Monitor (VG28UQL1A) - UHD (3840 x 2160), Fast IPS, 1ms, Extreme Low Motion Blur Sync, G-SYNC Compatible, FreeSync Premium, Eye Care, DCI-P3 90%,BLACK</t>
  </si>
  <si>
    <t>HP 213A Black Original Laserjet Toner Cartridge, W2130A. Works Laserjet Enterprise 5700, 5800, 6700, 6701, 6800, 6801.</t>
  </si>
  <si>
    <t>Lenovo ThinkCentre All-in-One Desktop Computer, 24" FHD IPS Display, 5-core Intel U300 Processor, 16GB DDR5, 256GB SSD, Wi-Fi 6, USB-C, HDMI in&amp;Out, Wired KB&amp;Mouse, Windows 11 Pro</t>
  </si>
  <si>
    <t>HP 508X Magenta High-yield Toner Cartridge | Works with HP Color LaserJet Enterprise M552, M553, HP Color LaserJet Enterprise MFP M577 Series | CF363X</t>
  </si>
  <si>
    <t>Apple Mid 2017 MacBook Pro with 2.3GHz Intel Core i5, 13-inch, 8GB RAM, 256GB SSD, Silver (Renewed)</t>
  </si>
  <si>
    <t>CORSAIR Dominator Titanium RGB DDR5 RAM 64GB (2x32GB) DDR5 6600MHz CL32 Intel XMP iCUE Compatible Computer Memory - White (CMP64GX5M2X6600C32W)</t>
  </si>
  <si>
    <t>ASUS ZenWiFi BT10 Tri-Band WiFi 7 Mesh, 18 Gbps, 6000 sq.ft (2pk), Dual 10G Ports, Security and Parental Controls Included, Smart Home Master SSIDs, 4G &amp; 5G Mobile Tethering</t>
  </si>
  <si>
    <t>Apple AirPods Max Wireless Over-Ear Headphones, Active Noise Cancelling, Transparency Mode, Personalized Spatial Audio, Dolby Atmos, Bluetooth Headphones for iPhone – Green</t>
  </si>
  <si>
    <t>Lenovo Ideapad 3 Laptop, 15.6" HD Touchscreen Display, 11th Gen Intel Core i3-1115G4 Processor, 12GB DDR4 RAM, 512GB PCIe SSD, Bluebooth, Webcam, Wi-Fi, HDMI, Windows 11 Home, Grey</t>
  </si>
  <si>
    <t>Garmin Approach Z82, Golf GPS Laser Range Finder, Accuracy Within 10” of The Flag, 2-D Course Overlays</t>
  </si>
  <si>
    <t>Nintendo Switch Pro Controller</t>
  </si>
  <si>
    <t>LG 32GQ750-B 32-inch Ultragear 4K UHD (3840 x 2160) Gaming Monitor, 144Hz, 1ms, AMD FreeSync Premium, HDR10, Reader Mode, Built-in Speaker, HDMI, DisplayPort, Tilt/Height/Pivot Stand, Black</t>
  </si>
  <si>
    <t>Sound BlasterX G6 Hi-Res 130dB 32bit/384kHz Gaming DAC, External USB Sound Card with Xamp Headphone Amp, Dolby Digital, 7.1 Virtual Surround Sound, Sidetone/Speaker Control for PS4, Xbox One</t>
  </si>
  <si>
    <t>CHUWI MiniBook X 2-in-1 Touchscreen Laptop, 16GB LPDDR5 512GB SSD, Intel N150 (up to 3.6GHz), Windows 11 Convertible Laptop 10.51", 2TB SSD Expand, FHD IPS 1920*1200, Backlit Keyboard, WiFi 6, BT5.2</t>
  </si>
  <si>
    <t>Klipsch CDT-5650-C II In-Ceiling Speaker - White (Each)</t>
  </si>
  <si>
    <t>ViewSonic VX2776-SMHD 27 Inch 1080p IPS Monitor with FreeSync, Ultra-Thin Bezels, HDMI and DisplayPort</t>
  </si>
  <si>
    <t>MSI Gaming RTX 5070 12G Shadow 3X OC Graphics Card (12GB GDDR7, 192-bit, Extreme Performance: 2557 MHz, DisplayPort x3 2.1a, HDMI 2.1b, NVIDIA Blackwell Architecture)</t>
  </si>
  <si>
    <t>Garmin 010-02541-10 Fenix 7X Sapphire Solar Smartwatch Carbon Gray DLC Titanium with Black Band Bundle with 2 YR CPS Enhanced Protection Pack</t>
  </si>
  <si>
    <t>Canon PFI-030 Pigment Ink Tank Kit for Select imagePROGRAF PRO Series, Includes Matte Black/Black/Magenta/Cyan/Yellow</t>
  </si>
  <si>
    <t>Uniden BCD996P2 Digital Mobile TrunkTracker V Scanner, 25,000 Dynamically Allocated Channels, Close Call RF Capture Technology, 4-Line Alpha display, Base/Mobile Design, Phase 2</t>
  </si>
  <si>
    <t>Garmin Lily® 2 Active, Small and Stylish Smartwatch, Built-in GPS, Hidden Display, Patterned Lens, Up to 9 Days Battery Life, Silver with Purple Jasmine Silicone Band</t>
  </si>
  <si>
    <t>Canon imageCLASS D1620 - Monochrome Duplex Wireless Laser Printer, Multifunction With Scanner, Copier, Automatic Document Feeder, 3 Year Limited Warranty, 45 PPM, White</t>
  </si>
  <si>
    <t>DualShock 4 Wireless Controller for PlayStation 4 - Jet Black</t>
  </si>
  <si>
    <t>Garmin Striker 7SV with Transducer, 7" GPS Fishfinder with Chirp Traditional, ClearVu and SideVu Scanning Sonar Transducer and Built in Quickdraw Contours Mapping Software, 7 inches (010-01874-00)</t>
  </si>
  <si>
    <t>Canon PowerShot V10 Camera, Content Creator Compact Vlogging Camera, Fixed 19mm Wide-Angle Lens, 4K Video, Face Detection, Built-in Microphone, Live Streaming, Built-in Stand, Black</t>
  </si>
  <si>
    <t>Shure SE425 PRO Wired Earbuds - Professional Sound Isolating Earphones with Detailed Sound, Dual-Driver Hybrid, Secure in-Ear Fit, Detachable Cable, Durable Quality - Clear (SE425-CL)</t>
  </si>
  <si>
    <t>Uniden BEARCAT 980 40- Channel SSB CB Radio with Sideband NOAA WeatherBand,7- Color Digital Display PA/CB Switch and Noise Cancelling Mic, Wireless Mic Compatible</t>
  </si>
  <si>
    <t>Lian Li Galahad II Trinity 360MM- AIO CPU Liquid Cooler -Pre-Installed ARGB Daisy-chainable Radiator Fans or UNI Fan SL-INF Fans - for Intel® LGA 1700, 1200, 115X, AMD® AM5/AM4 Sockets (GA2T36INB.US)</t>
  </si>
  <si>
    <t>HP 37X Black High-yield Toner Cartridge | Works with HP LaserJet Enterprise M608, M609 Series, HP LaserJet Enterprise MFP M631, M632, M633 Series | CF237X</t>
  </si>
  <si>
    <t>ORION XTR XTX654 High Efficiency 6.5" Mid-Range Bullet Loudspeakers, 1400W Max Power, 350W RMS, 4 Ohm, 1.5" Voice Coil - Pro Car Audio Stereo, Midrange Speakers (Pair)</t>
  </si>
  <si>
    <t>Dell Optiplex 5050 Small Form Factor (SFF) Business Desktop PC, Intel i7-7700 Quad-Core 3.6 GHz, 16GB DDR4, 512G NVME SSD Windows 11 Pro (Renewed)</t>
  </si>
  <si>
    <t>Sony WH-CH720NB Noise Canceling Wireless Bluetooth Headphones - Built-in Microphone - up to 35 Hours Battery Life and Quick Charge - Black - International Version</t>
  </si>
  <si>
    <t>Kodak Luma 500 Mini Projector | 1080p Full HD Portable Outdoor Projector with Wi-Fi, Bluetooth, HDMI &amp; USB | Google TV 11.0 OS, Netflix Certified, Chromecast Built-In, Black, 150</t>
  </si>
  <si>
    <t>Motorola MG8702 | DOCSIS 3.1 Cable Modem + Wi-Fi Router (High Speed Combo) with Intelligent Power Boost | AC3200 Wi-Fi Speed | Approved for Comcast Xfinity, Cox, and Charter Spectrum</t>
  </si>
  <si>
    <t>KICKER KB6B 2-Way Full Range Indoor Outdoor Speakers (Pair) Weatherproof Speakers for Patio Garage Poolside in-Home, 6.5 inch woofer, 2x5 inch Horn Tweeter Black</t>
  </si>
  <si>
    <t>Edifier R1700BTs Active Bluetooth Bookshelf Speakers - 2.0 Wireless Near Field Studio Monitor Speaker - 66w RMS with Subwoofer Line Out</t>
  </si>
  <si>
    <t>Lian Li GA II LCD 360MM AIO - Asetek 8th Gen - 2.88” IPS LCD screen liquid cooler - Screen recording for videos and photos - Pre-installed daisy-chained ARGB fans or UNI FAN SL-INF fans (GA2ALCD36INB)</t>
  </si>
  <si>
    <t>Dell Inspiron 14 5440 Laptop - 14.0-inch 16:10 FHD+ (1920 x 1200) Display, Intel Core i5-1334U Processor, 8GB DDR5 RAM, 512GB SSD, Intel UHD Graphics, Windows 11 Home, Onsite Service - Carbon Black</t>
  </si>
  <si>
    <t>APC UPS Battery Replacement, RBC55, for APC Smart-UPS Models SMT2200, SMT3000, SMT2200C, SMT200US, SMT3000C, SUA2200, SUA3000, and select others</t>
  </si>
  <si>
    <t>Acer Predator Gaming Monitor | 27" UHD 3840 x 2160 IPS | AMD FreeSync Premium | Up to 320Hz with DFR | Up to 0.5ms | VESA DisplayHDR400| DCI-P3 90% | Display Port 1.4 &amp; 2 x HDMI 2.1 | XB273K V5bmiiprx</t>
  </si>
  <si>
    <t>Apple iPhone 14 Pro Max, 256GB, Deep Purple - Unlocked (Renewed Premium)</t>
  </si>
  <si>
    <t>DEWALT DCH273P2 20V Max Brushless SDS Rotary Hammer with 5 Ah Batteries</t>
  </si>
  <si>
    <t>Shure SM58 Pro XLR Dynamic Microphone Stage Performance Kit with 15-Foot XLR-XLR Cable, Stand, A25D Clip and Bag - Professional Studio &amp; Live Performance Cardioid Mic for Vocals (SM58-CN BTS)</t>
  </si>
  <si>
    <t>BlueParrott B450-XT Noise Cancelling Bluetooth Headset – Industry Leading Sound with Long Wireless Range, Extreme Comfort and Up to 24 Hours of Talk Time</t>
  </si>
  <si>
    <t>Lume Cube Ring Light Pro | Wireless Professional Lighting for Photography, Streaming, Video | Fully Adjustable Color and Brightness | Includes Sturdy, Portable Tripod Mount and Padded Carrying Case</t>
  </si>
  <si>
    <t>Garmin ECHOMAP UHD2 54CV Chartplotter/Fishfinder with US Coastal Maps and GT20-TM [010-02591-51]</t>
  </si>
  <si>
    <t>ASUS Chromebox 5a with Intel® Celeron® 7305 Processor, 8GB DDR4 RAM, 128GB M.2 PCIe G4x4 NVMe SSD, Quad-Display, Wi-Fi 6E &amp; Bluetooth, Gb LAN, USB-C, Chrome OS, VESA Mount</t>
  </si>
  <si>
    <t>Razer Pro Type Ultra Wireless Mechanical Keyboard: Silent, Linear Switches - Ergonomic Design - HyperSpeed Technology - Connect up to 4 Devices - Fully Programmable Keys &amp; Smart Controls</t>
  </si>
  <si>
    <t>ASURION 2 Year Electronics Protection Plan ($30 - $39.99)</t>
  </si>
  <si>
    <t>Lenovo Chromebook 14" Touchscreen Slim Laptop Business Student, 8-Core MediaTek Kompanio 520, 4GB RAM, 128GB Storage (64GB eMMC+64GB Card), WiFi 6, Long Battery, Chrome OS+MarxsolAccessory</t>
  </si>
  <si>
    <t>Sony INZONE Buds Wireless Gaming Earbuds, Perfect for PlayStation® 5, for PC/PS5/Switch/Mobile, 48Hr Battery with Case, Noise Canceling, 360 Spatial Sound, 2.4GHz USB-C Dongle, WF-G700N Black</t>
  </si>
  <si>
    <t>Canon imageCLASS MF653Cdw - Wireless Duplex Color Laser Printer, Multifunction with Copier, Scanner, Mobile Ready, 3 Year Limited Warranty, 22 PPM, White</t>
  </si>
  <si>
    <t>Jabra Evolve2 True Wireless in-Ear Bluetooth Earbuds with Active Noise Cancellation (ANC) and 4-mic MultiSensor Voice Technology - Microsoft Teams Certified, Works with All Other Meeting apps - Black</t>
  </si>
  <si>
    <t>SteelSeries Arctis Nova Pro Multi-System Gaming Headset - Premium Hi-Fi Drivers, Hi-Res Audio - 360° Spatial Audio - GameDAC Gen 2 - ESS Sabre Quad-DAC - Stealth Retractable Mic - PC, PS5, PS4, Switch</t>
  </si>
  <si>
    <t>Epson RapidReceipt RR-600W Wireless Desktop Color 2-Sided Receipt &amp; Document Scanner with ScanSmart AI PRO Receipt Management &amp; PDF Software for PC &amp; Mac, Touchscreen &amp; 100-Page Auto Document Feeder</t>
  </si>
  <si>
    <t>CyberPower CP900AVR AVR UPS Battery Backup and Surge Protector, 900VA/560W, 10 Outlets, Mini-Tower, UL Certified</t>
  </si>
  <si>
    <t>ASUS Vivobook Go 11.6” HD Slim Laptop, Intel Dual Core N4500, Intel Graphics, 4GB, 128GB, Windows 11 Home, SonicMaster, ErgoSense, Black, L210KA-ES04</t>
  </si>
  <si>
    <t>STINGER Audio MT-1000.5 1200 Watt RMS 5-Channel Car Audio Amplifier, Class D, Hexfet Mosfet, Crossover High-Pass/Low-Pass Filter, Subsonic Filter, Remote Subwoofer Bass Knob, Bass Boost Q</t>
  </si>
  <si>
    <t>AOC Mini Projector with WiFi and Bluetooth, Smart Projector Full HD 4K Support with 180° Rotation Adjustment, 220 ANSI,8000 Lumens,Vertical Auto Keystone Correction, Short Throw Projector for Phone</t>
  </si>
  <si>
    <t>Poly Voyager 4310 UC Wireless Headset &amp; Charge Stand (Plantronics) - Single-Ear Bluetooth Headset w/Noise-Canceling Boom Mic - Connect PC/Mac/Mobile - Works w/Teams (Certified), Zoom -Amazon Exclusive</t>
  </si>
  <si>
    <t>Lenovo ThinkVision M14t Gen2 14-inch Monitor</t>
  </si>
  <si>
    <t>Audio-Technica AT2035 Cardioid Condenser Microphone, Black</t>
  </si>
  <si>
    <t>SAMSUNG Galaxy Tab S6 Lite (2024) - Gray 10.4" 128GB WiFi Android Tablet w/S Pen, Dual Speakers, 8MP+5MP</t>
  </si>
  <si>
    <t>YeaLink WPP30 USB Type-C 4K Wireless Presentation Pod, Black (1303112)</t>
  </si>
  <si>
    <t>Dell Optiplex 5060 Desktop Computer | Hexa Core Intel i5 (3.2) | 32GB DDR4 RAM | 1TB SSD Solid State | Windows 11 Professional | Home or Office PC (Renewed), Black</t>
  </si>
  <si>
    <t>Lenovo ThinkVision S24e-20 23.8" Full HD WLED LCD Monitor - 16:9 - Raven Black</t>
  </si>
  <si>
    <t>SilverStone Technology XE360-TR5 360mm All-in-One Liquid Cooler for AMD TR5 / SP6, SST-XE360-TR5</t>
  </si>
  <si>
    <t>SanDisk 2TB Extreme PRO microSDXC™ UHS-I Card, Up to 250MB/s Read Speed; Up to 150MB/s Write Speed, SDSQXCD-2T00-GN6MA</t>
  </si>
  <si>
    <t>GIGABYTE Radeon RX 9070 Gaming OC 16G Graphics Card, PCIe 5.0, 16GB GDDR6, GV-R9070GAMING OC-16GD Video Card</t>
  </si>
  <si>
    <t>Rode M5 Compact 1/2" Condenser Microphone, Matched Pair</t>
  </si>
  <si>
    <t>Vortex Optics High Country II Tripod Kit - Aluminum Tripod, 2-Way Pan Head, 22 lb Max Load, Rubber Feet - Unlimited, Unconditional Warranty</t>
  </si>
  <si>
    <t>Xerox C235DNI Color All-In-One, Laser, Wireless, ADF, Letter, Print, Scan, Copy, Fax, Energy Star Certified, Up to 24PPM</t>
  </si>
  <si>
    <t>GIGABYTE X870E AORUS PRO AMD AM5 LGA 1718 Motherboard, ATX, DDR5, 4X M.2, PCIe 5.0, USB4, WIFI7, 2.5GbE LAN, EZ-Latch, 5-Year Warranty</t>
  </si>
  <si>
    <t>HP Chromebook 15 15.6" HD (Intel Pentium N6000, 8GB RAM, 128GB Storage (64GB eMMc + 64GB SD Card), UHD Graphics, Numeric KB) Home &amp; Student Laptop, Anti-Glare, Webcam, Wi-Fi, Chrome OS, Silver</t>
  </si>
  <si>
    <t>Microsoft Surface Pro Keyboard for Surface Pro 9 and 8 with Pen Storage, Alcantara Material, Sapphire</t>
  </si>
  <si>
    <t>ZEBRA DS2208-Series SR Corded Handheld Standard Range Imager Kit with Stand and Shielded USB Cable, Black (DS2208-SR7U2100SGW)</t>
  </si>
  <si>
    <t>Jabra Evolve2 55 Stereo Wireless Headset - Features AirComfort Technology, Noise-Cancelling Mics &amp; Active Noise Cancellation - MS Teams Certified, Works with Other Platforms - Black</t>
  </si>
  <si>
    <t>HP 213Y Extra High Yield Black Original Laserjet Toner Cartridge, W2130Y. Works Laserjet Enterprise 5700, 5800, 6700, 6701, 6800, 6801</t>
  </si>
  <si>
    <t>Panasonic KX-TGM420W + (1) KX-TGMA44W Amplified Cordless Phone with Digital Answering Machine and Voice Volume Booster upto 40 dB (2 Handsets)</t>
  </si>
  <si>
    <t>Alienware AW2724DM Gaming Monitor - 27" QHD (2560 x 1440) 180Hz w Overclock, AMD FreeSync Premium Pro, NVIDIA G-SYNC, VESA Display - Black,Black/Silver</t>
  </si>
  <si>
    <t>ROG Falchion Ace HFX 65% Hall Effect Gaming Keyboard – HE Magnetic Switches, Rapid Trigger, 8000 Hz Polling, Three-Layer Dampening Foam, Touch Panel, Protective Cover</t>
  </si>
  <si>
    <t>DELL Optiplex 7060 SFF Desktop Computer PC | Intel 8th Gen i7-8700 (6 Core) | 32GB DDR4 Ram New 1TB NVMe M.2 SSD | Built-in WiFi &amp; Bluetooth | Windows 11 Pro | Wireless Keyboard &amp; Mouse (Renewed)</t>
  </si>
  <si>
    <t>Corsair EX400U 2TB USB4 Portable External Type-C SSD – Up to 4,000MB/s Read, 3,600MB/s Write, USB 3.2 Gen2 2x2, Plug and Play, Thunderbolt 4, MagSafe, Includes 40Gbps Cable, Windows PC, iOS Mac – Gray</t>
  </si>
  <si>
    <t>Intel Core i5-13400 Desktop Processor 10 cores (6 P-cores + 4 E-cores) 20MB Cache, up to 4.6 GHz</t>
  </si>
  <si>
    <t>Marshall Middleton Portable Bluetooth Speaker, Black and Brass</t>
  </si>
  <si>
    <t>Kicker 51HS10 Hideaway Compact Powered Subwoofer, 10-Inch</t>
  </si>
  <si>
    <t>Poly Blackwire 5210 Wired Headset (Plantronics) Flexible Noise-Canceling Boom Mic Single-Ear Design - PC/Mac, Mobile via USB-C, USB-A, 3.5mm - Works w/Teams, Zoom - Amazon Exclusive (9P7X5AA)</t>
  </si>
  <si>
    <t>Sony E 55-210mm F4.5-6.3 Lens for Sony E-Mount Cameras (Black)</t>
  </si>
  <si>
    <t>Mount-It! Sit Stand Wall Mount Workstation | Adjustable Height Stand Up Computer Station with Articulating Monitor Mount, Keyboard Tray, &amp; CPU Holder | VESA Mount 75x75 and 100x100 | MI-7905</t>
  </si>
  <si>
    <t>Humminbird 410190-1 Helix 5 Sonar G2</t>
  </si>
  <si>
    <t>Brother Genuine TN223BK, TN223C, TN223M, TN223Y Standard Yield Black/Cyan/Magenta/Yellow Toner Cartridge Set, TN223</t>
  </si>
  <si>
    <t>Sony E 11mm F1.8 APS-C Ultra-Wide-Angle Prime for APS-C Cameras</t>
  </si>
  <si>
    <t>Dell OptiPlex 7060 Tower Computers Desktop Computer Windows 11,i7-8700 3.2GHz,32GB DDR4 Ram 512GB SSD M.2 NVMe SSD,Intel AX210 Built WiFi 6e Bluetooth 5.3, Refurbished Desktop,HDMI,DVD-RW (Renewed)</t>
  </si>
  <si>
    <t>ViewSonic VX2728J-2K 27 Inch Gaming Monitor 1440p 180hz 0.5ms IPS w/FreeSync Premium, Advanced Ergonomics, HDMI, and DisplayPort</t>
  </si>
  <si>
    <t>Yealink T43U IP Phone, 12 VoIP Accounts. 3.7-Inch Graphical Display. Dual USB 2.0, Dual-Port Gigabit Ethernet, 802.3af PoE, Power Adapter Not Included (SIP-T43U)</t>
  </si>
  <si>
    <t>HP Chromebook 2025 Premium 14" HD Laptop Computer Light Slim Business, 4-Core Intel Processor, 4GB RAM, 192GB Storage (64GB eMMC+128GB Card), WiFi, Webcam, Long Battery, Chrome OS +MarxsolAccessory</t>
  </si>
  <si>
    <t>Microsoft Xbox One Special Edition inMatte Blackin 500GB (video game)(Renewed)</t>
  </si>
  <si>
    <t>Brother PT-E510VP P-Touch Edge Handheld Industrial Label Printer with Dual auto Cutter and USB-C (up to 24mm Labels)</t>
  </si>
  <si>
    <t>Canon RF 50mm F1.8 STM Lens</t>
  </si>
  <si>
    <t>Celestron 71018 SkyMaster 20x80mm Porro Prism Binoculars with Multi-Coated Lens, BaK-4 Prism Glass and Carry Case, Black</t>
  </si>
  <si>
    <t>Shure BLX1 Bodypack Transmitter - for use with BLX Wireless Systems, Receiver Sold Separately | H9 Band (BLX1=-H9)</t>
  </si>
  <si>
    <t>CORSAIR RM1200x Shift Fully Modular ATX Power Supply - 80 Plus Gold - ATX 3.0 - PCIe 5.0 - Zero RPM - Modular Side Interface - White</t>
  </si>
  <si>
    <t>Bushnell Golf iON Elite GPS Watch</t>
  </si>
  <si>
    <t>KODAK PIXPRO WPZ2 Rugged Waterproof Digital Camera 16MP 4X Optical Zoom 2.7" LCD Full HD Video, Red</t>
  </si>
  <si>
    <t>Vortex Optics Solo R/T 8x36 Monocular - MRAD Based Ranging Reticle, Utility Clip, Adjustable Eyecup, Rubber Armor, Non-Slip Grip, Fogproof, Waterproof - Unlimited, Unconditional Warranty</t>
  </si>
  <si>
    <t>DJI Air 2S, Drone with 3-Axis Gimbal Camera, 5.4K Video, 1-Inch CMOS Sensor, 4 Directions of Obstacle Sensing, 31 Mins Flight Time, 12km Video Transmission, FAA Remote ID Compliant, Gray</t>
  </si>
  <si>
    <t>ASUS ROG Strix Z890-E Gaming WiFi Intel® Z890 LGA 1851 ATX Motherboard, Advanced AI PC-Ready, 18+2+1+2 Stages, DDR5, WiFi 7, 7X M.2, Thunderbolt™ 4, USB Type-C®, AI Overclocking, Cooling &amp; Networking</t>
  </si>
  <si>
    <t>ASUS ROG Azoth 75 Wireless DIY Custom Gaming Keyboard, OLED Display, Gasket-Mount, Three-Layer Dampening, Hot-Swappable Pre-lubed ROG NX Snow Switches &amp; Keyboard Stabilizers, PBT Keycaps, RGB</t>
  </si>
  <si>
    <t>HP LaserJet-Tank MFP 2604sdw Wireless Black &amp; White Printer Prefilled With Up to 2 Years of Original HP-Toner (381V1A)</t>
  </si>
  <si>
    <t>Microsoft Ergonomic Keyboard for Business - Wired - Black</t>
  </si>
  <si>
    <t>DJI Mini 2 SE, Lightweight Mini Drone with QHD Video, 10km Max Video Transmission, 31-Min Flight Time, Under 249 g, Auto Return to Home, 3-Axis Gimbal Drone with Camera for Beginners</t>
  </si>
  <si>
    <t>HP OfficeJet 250 Portable Printer with Wireless and Mobile Printing (CZ992A) (Renewed)</t>
  </si>
  <si>
    <t>ViewSonic VX2467-MHD 24 Inch 1080p Gaming Monitor with 100Hz, 1ms, Ultra-Thin Bezels, FreeSync, Eye Care, HDMI, VGA, and DP</t>
  </si>
  <si>
    <t>HP 655A Yellow Toner Cartridge | Works with HP Color LaserJet Enterprise M652, M653, HP Color LaserJet Enterprise MFP M681, M682 Series | CF452A</t>
  </si>
  <si>
    <t>HP Series 5 27 inch FHD Monitor, Full HD Display (1920 x 1080), IPS Panel, 99% sRGB, 1500:1 Contrast Ratio, 300 nits, Eye Ease with Eyesafe Certification, 527sa (2024)</t>
  </si>
  <si>
    <t>Kodak PIXPRO FZ45 Friendly Zoom 16MP Full HD Digital Camera, White, Bundle with 32GB Memory Card and Camera Bag</t>
  </si>
  <si>
    <t>be quiet! Straight Power 12-1500w Modular Power Supply | 80 Plus Platinum ATX 3.1 Compliant | for PCIe 5.0 GPUs and GPUs with 6+2 pin connectors | Silent 135mm Fan | BN518</t>
  </si>
  <si>
    <t>Meta Quest 3S 128GB — Get Batman: Arkham Shadow and a 3-Month Trial of Meta Horizon+ Included — All-in-One Headset</t>
  </si>
  <si>
    <t>Pantone Munsell Soil Color Book | Assess Soil Types In Any Area | M50215B</t>
  </si>
  <si>
    <t>Thrustmaster TH8A Shifter (compatible w/ PS5, PS5 Pro, PS4, XBOX Series X/S, One, PC)</t>
  </si>
  <si>
    <t>Xbox One Console 500GB - Matte Black (Renewed)</t>
  </si>
  <si>
    <t>Sony XAV-AX3200 7-Inch Multimedia Receiver with Apple CarPlay/Android Auto</t>
  </si>
  <si>
    <t>G.SKILL Trident Z5 RGB Series (Intel XMP 3.0) DDR5 RAM 32GB (2x16GB) 6400MT/s CL32-39-39-102 1.40V Desktop Computer Memory UDIMM - Matte Black (F5-6400J3239G16GA2-TZ5RK)</t>
  </si>
  <si>
    <t>HP 2022 All-in-One Desktop, 21.5" FHD Display, Intel Celeron J4025 Processor, 16GB RAM, 512GB PCIe SSD, Webcam, HDMI, RJ-45, Wired Keyboard&amp;Mouse, WiFi, Windows 11 Home, White</t>
  </si>
  <si>
    <t>acer Spin 311-2H 11.6" 2-in-1 Touchscreen Chromebook (Intel 4-Core Celeron N4000, 64GB eMMC, 4GB RAM, Stylus, Webcam, IPS) Flip Convertible Home &amp; Education Laptop, IST Computers Pen, Chrome OS</t>
  </si>
  <si>
    <t>Acer Aspire 3 Spin 14 Convertible Laptop | 14" 1920 x 1200 IPS Touch Display | Intel Core i3-N305 | Intel UHD Graphics | 8GB LPDDR5 | 128GB SSD | Wi-Fi 6 | Windows 11 Home in S mode | A3SP14-31PT-37NV</t>
  </si>
  <si>
    <t>Lenovo Chromebook Duet - 2025 - Convertible Chromebook - ChromeOS - 10.95" WUXGA IPS Touch Display - 4GB Memory - 64GB Storage - MediaTek Kompanio 838 - Luna Grey</t>
  </si>
  <si>
    <t>Google Nest Cam Indoor - 1st Generation - Wired Indoor Camera - Control with Your Phone and Get Mobile Alerts - Surveillance Camera with 24/7 Live Video and Night Vision</t>
  </si>
  <si>
    <t>YAMAHA 8" 100W Powered Subwoofer - Black (NS-SW050BL)</t>
  </si>
  <si>
    <t>VIZIO 43 Inch FHD Smart TV Full Array LED, HDR10, Bluetooth Compatible, Works with AirPlay 2 and Chromecast Built-in, DTS Virtual X and HDMI VRR (VFD43M-0804) (Renewed)</t>
  </si>
  <si>
    <t>Dell Latitude 5400 Laptop 14 Intel Core i5 8th Gen i5-8365U Dual Core 256GB SSD 16GB 1920x1080 FHD Windows 10 Pro (Renewed)</t>
  </si>
  <si>
    <t>MSI B550-A PRO ProSeries Motherboard (AMD Ryzen 5000, AM4, DDR4, PCIe 4.0, SATA 6Gb/s, M.2, USB 3.2 Gen 2, HDMI/DP, ATX)</t>
  </si>
  <si>
    <t>ViewSonic VX2716A 27 Inch 1080p 1ms 120Hz IPS Gaming Monitor with Eye Care, USB C, HDMI 1.4, and DisplayPort Inputs</t>
  </si>
  <si>
    <t>Aputure Amaran 150c COB Video Light,RGBWW 150W,2,500K to 7,500K CCT with G/M Adjustment,15,610 lux @ 1m with Hyper Reflector,APP Control</t>
  </si>
  <si>
    <t>Godox V1 Pro C V1Pro-C USA Version Flash for Canon Camera TTL Round Head 2980mAh 76W Battery 500 Full Power Flashes E-TTL 1/8000s HSS 1.3s Recycle Time 2.4G Wireless LED Modeling Lamp</t>
  </si>
  <si>
    <t>HP 655A Magenta Toner Cartridge | Works with HP Color LaserJet Enterprise M652, M653, HP Color LaserJet Enterprise MFP M681, M682 Series | CF453A</t>
  </si>
  <si>
    <t>TTartisan 27mm F2.8 Autofocus Lens, Compatible with Fuji X-Mount Cameras XS10 X-A5 X-A7 X-M1 X-M2 X-E4 X-T1 X-T10 X-T2 X-T20 X-T3 X-T4 X-T100 X-T200 X-T30 X-Pro1 X-Pro2 X-Pro3 X-E1 (Black)</t>
  </si>
  <si>
    <t>ASUS TUF Gaming 1000W Gold White Edition (1000 Watt, Fully Modular Power Supply, 80+ Gold Certified, Military-Grade Components, Dual Ball Bearing, Axial-tech Fan, PCB Coating, 10 Year Warranty)</t>
  </si>
  <si>
    <t>ASUS ROG Strix 25” (24.5” viewable) Esports Gaming Monitor (XG259QNS) - Full HD, 380Hz, 0.3ms, Fast IPS, Extreme Low Motion Blur Sync, FreeSync Premium, DisplayWidget, Ergonomic, 3 yr Warranty</t>
  </si>
  <si>
    <t>Yealink W76P - IP DECT Phone Bundle W56H with W70 Base</t>
  </si>
  <si>
    <t>ThinkPad Universal USB-C Dock-US LDA-KP</t>
  </si>
  <si>
    <t>Synology WRX560 - Dual-Band Wi-Fi 6 Router, 2.5Gbps Ethernet, VLAN segmentation, Multiple SSIDs, parental controls, Threat Prevention, VPN (US Version)</t>
  </si>
  <si>
    <t>Brother TN-436 Super High Yield Toner Cartridge Set Colors Only (6,500 Yield)</t>
  </si>
  <si>
    <t>Yealink T33G IP Phone, 4 VoIP Accounts. 2.4-Inch Color Display. Dual-Port Gigabit Ethernet, 802.3af PoE, Power Adapter Not Included (SIP-T33G)</t>
  </si>
  <si>
    <t>4 New Rockford Fosgate R165X3 6.5" 180W 3 Way Car Audio Coaxial Speakers Stereo</t>
  </si>
  <si>
    <t>Poly Voyager 5200 UC Bluetooth Headset (7K2F3AA) Bundle Including: Goby Labs Headphone Cleaner, Fiber Cloth, Small, Medium, Large Ear Tips, Charging Case, Charging Cable</t>
  </si>
  <si>
    <t>Razer BlackWidow V4 Pro Wired Mechanical Gaming Keyboard: Yellow Switches Linear &amp; Silent - Doubleshot ABS Keycaps - Command Dial - Chroma RGB - Magnetic Wrist Rest - Snap Tap</t>
  </si>
  <si>
    <t>Uniden Bearcat SR30C, 500-Channel Compact Handheld Scanner, Close Call RF Capture, Turbo Search, PC programable, NASCAR, Racing, Aviation, Marine, Railroad, and Non-Digital Police/Fire/Public Safety</t>
  </si>
  <si>
    <t>Dell E2423H 23.8" Full HD LED LCD Monitor - 16:9</t>
  </si>
  <si>
    <t>MikroTik RouterBORD 5009UG+S+ with Marvell Armada ARMv8 CPU, 876538 (Marvell Armada ARMv8 CPU (4-cores, 1.4GHz per core), 1GB of DDR4 RAM, 1GB RB5009UG+S+in, Ethernet WAN,)</t>
  </si>
  <si>
    <t>Sony Tough G Series SDXC UHS-II Memory Card 256GB</t>
  </si>
  <si>
    <t>NEEWER LITETRIP LT32 62" Travel Tripod Carbon Fiber with ±15° Leveling 360° Panorama Head, Detachable Center Axis, Fast Flip Buckle, Arca QR Plate Compatible with Peak Design Capture V3, (Former TP62)</t>
  </si>
  <si>
    <t>Canon CRG-121 Black Toner Cartridge, 3252C001AA, 2-Pack</t>
  </si>
  <si>
    <t>Taramps BASS 3k 1 Ohm 1 Channel Mosfet Amplifier 3000 Watts RMS, Monoblock, Subsonic Filter, Low Pass Crossover, Bass Boost, RCA, Class D, Car Audio System, Great for Subwoofers, Max Power</t>
  </si>
  <si>
    <t>MEM 2 * 16G|GSK F5-6000J3636F16GX2-FX5</t>
  </si>
  <si>
    <t>HP 201X Black High-yield Toner Cartridges (2-pack) | Works with HP Color LaserJet Pro M252, HP Color LaserJet Pro MFP M277 Series | CF400XD</t>
  </si>
  <si>
    <t>Escort MAX 4 Radar Detector – 2X The Filtering Accuracy, AutoLearn Intelligence, Advanced Detection Range, Built-in GPS and Bluetooth Connectivity, Apple CarPlay and Android Auto Compatible</t>
  </si>
  <si>
    <t>Dell Optiplex 7040 Small Form Desktop, Intel Quad Core i7 6700 3.4Ghz, 64GB DDR4, 1TB NVMe PCIe M.2 SSD, HDMI, Windows 11 Pro (Renewed)</t>
  </si>
  <si>
    <t>UGREEN Revodok Pro 209 USB C Docking Station, DisplayLink 9-in-1 Dual 4K@60hz Monitor Dock for MacBook &amp; Windows with 2 DP &amp; 2 HDMI, 10 Gbps USB C &amp; USB-A Data Ports, 100W PD, Gigabit Ethernet</t>
  </si>
  <si>
    <t>Dell Latitude 5490 14" FHD Laptop Computer, Intel i7-8650U, 16GB DDR4 RAM, 512GB SSD, Windows 10 Pro (Renewed)</t>
  </si>
  <si>
    <t>New Genuine Dock for ThinkPad Hybrid USB-C with USB-A Dock US 40AF0135US SD20Q13457</t>
  </si>
  <si>
    <t>HP 23.8 inch All-in-One Desktop PC, FHD Display, Intel Core i3-N300, 8 GB RAM, 256 GB SSD, Intel UHD Graphics, Windows 11 Home, 24-cr0030 (2023), Shell White</t>
  </si>
  <si>
    <t>DYMO LabelWriter 550 Direct Thermal Label Printer with USB Connectivity, Black Monochrome Barcode Label Maker - 62 Labels Per Minute, Auto Label Recognition</t>
  </si>
  <si>
    <t>HP 05X Black High-yield Toner Cartridge | Works with HP LaserJet P2055 Series | CE505X</t>
  </si>
  <si>
    <t>HP 304A Cyan, Magenta, Yellow Toner Cartridges (3-pack) | Works with HP Color LaserJet CM2320 MFP, HP Color LaserJet CP2025 Series | CF340A</t>
  </si>
  <si>
    <t>Google Nest Cam Outdoor - 1st Generation - Weatherproof Camera - Surveillance Camera with Night Vision - Control with Your Phone</t>
  </si>
  <si>
    <t>Apple iPhone XS Max, 64GB, Space Gray - Fully Unlocked (Renewed)</t>
  </si>
  <si>
    <t>Apple Thunderbolt 4 (USB-C) Pro Cable (3 m) ​​​​​​​</t>
  </si>
  <si>
    <t>Kishi V3 Pro XL Gaming Controller for iPad &amp; Android Tablets up to 13": Full Sized TMR Thumbsticks - Dual Back Buttons - Wired &amp; Remote Play for PC - HD Haptics - 6 Free Months of Apple Arcade</t>
  </si>
  <si>
    <t>Amazon Kindle 16 GB (newest model) - Lightest and most compact Kindle, now with faster page turns, and higher contrast ratio, for an enhanced reading experience - Without Lockscreen Ads - Black</t>
  </si>
  <si>
    <t>CORSAIR Dominator Titanium RGB DDR5 RAM 64GB (2x32GB) DDR5 6600MHz CL32 Intel XMP iCUE Compatible Computer Memory - Black (CMP64GX5M2X6600C32)</t>
  </si>
  <si>
    <t>Retevis RT86 Professional 2 Way Radio Long Range,High Power Walkie Talkies for Adult with Shoulder Mic,Heavy Duty Two Way Radios Rechargeable,2600mAh,USB,Handheld Emergency Radio for Warehouse(4 Pack)</t>
  </si>
  <si>
    <t>AMD Ryzen 5 8600G</t>
  </si>
  <si>
    <t>Brady Authentic (M4C-1000-595-WT-BK) All-Weather Vinyl Labels 1 in W x 25ft Black on White. for use with BMP41, BMP51, M410, M510, and M511 Label Printers.</t>
  </si>
  <si>
    <t>Canon Pixma iX6820 Wireless Business Printer with AirPrint and Cloud Compatible, Black</t>
  </si>
  <si>
    <t>ZHIYUN CINEPEER Weebill 3E, 3-Axis Lightweight Gimbal Stabilizer for DSLR &amp; Mirrorless Camera Canon/Sony/Panasonic/Nikon, 3KG Payload, Native Vertical Shooting, Bluetooth Shutter Control</t>
  </si>
  <si>
    <t>Monster Mission 300 Wireless Gaming Headset, 2.4GHz/Bluetooth Gaming Headphones, Low Latency, Stereo, Audio Location Recognition, 48H Battery Life, Suitable for PS5, PC, PS4 and Other Gaming Devices</t>
  </si>
  <si>
    <t>Aputure Light Dome III (35.1")</t>
  </si>
  <si>
    <t>APC UPS Battery Replacement, APCRBC133, for APC UPS Models SMT1500RM2U,SMT1500RM2UC, SMT1500RM2UNC and select others</t>
  </si>
  <si>
    <t>ASUS PRIME Z890-P WIFI Z890 LGA 1851 ATX motherboard, Intel® Core™ Ultra Series 2 Ready, Advanced AI PC-ready, 14+1+1+2 power stage, DDR5, PCIe® 5.0, Thunderbolt™ 4 USB Type-C®, 4x M.2, Wi-Fi 7, 2.5Gb</t>
  </si>
  <si>
    <t>Apple Watch Series 7 (GPS + Cellular, 45mm) Blue Aluminum Case with Abyss Blue Sport Band, Regular (Renewed)</t>
  </si>
  <si>
    <t>ASURION 2 Year Furniture Protection Plan ($125 - $149.99)</t>
  </si>
  <si>
    <t>Garmin Approach S70, 47mm, Premium GPS Golf Watch, Black</t>
  </si>
  <si>
    <t>Hitachi HGST WD Ultrastar DC HC510 10TB 7200RPM SATA 6Gb/s 3.5-inch SED Hard Drive - HUH721010ALE601 (0F27605) (Renewed)</t>
  </si>
  <si>
    <t>Canon PIXMA TR4720 All-in-One Wireless Printer with Auto Document Feeder, Mobile Printing, Copy, Fax and Scanner Black 5074C002 Bundle with DGE USB Connection Cable + Small Business Software Kit</t>
  </si>
  <si>
    <t>CyberPower SL950U Standby UPS Battery Backup and Surge Protector, 950VA/510W, 8 Outlets, USB Charge Ports, Slim Profile, UL Certified</t>
  </si>
  <si>
    <t>FiiO K11 R2R DAC and Headphone Amplifier for Home Audio or PC, 6.35mm and Balanced 4.4mm, RCA, Coaxial, Optical, 1300mW, 384kHz/24Bit DSD256 (Silver)</t>
  </si>
  <si>
    <t>Fujifilm Instax Mini 12 Camera Bundle - Purple, 20 Film Sheets, Carrying Case, Shutter Accessories</t>
  </si>
  <si>
    <t>Seagate ST8000VX010 Hd Seagatest8000vx010 %</t>
  </si>
  <si>
    <t>Garmin 010-02785-02 Venu 3S Health Fitness GPS Smartwatch Gold Steel Bezel w/French Gray Case 41mm | Official USA Partner Model | Bundle with 2 YR CPS Enhanced Protection Pack</t>
  </si>
  <si>
    <t>Canon EF-S 55-250mm f/4.0-5.6 is II Telephoto Zoom Lens (Renewed)</t>
  </si>
  <si>
    <t>Victrola The Empire Mid-Century 6-in-1 Turntable &amp; Multimedia Center with Built-in Speakers – 3 Speed, Bluetooth Connectivity, Radio, Cassette &amp; CD Player, RCA Out, Headphone Jack (Espresso)</t>
  </si>
  <si>
    <t>Sceptre E249W-19203R 24-inch FHD LED Gaming Monitor 2X HDMI VGA 75Hz Build-in Speakers, Machine Black</t>
  </si>
  <si>
    <t>Westinghouse 27 Inch Flat Gaming Monitor, 180Hz, 1ms, AMD FreeSync Support, Low Motion Blur, 1080p Full HD IPS Display, for Office, PC &amp; Console Games with Built in Speakers, 1x DisplayPort, 2X HDMI</t>
  </si>
  <si>
    <t>Yealink IP Phone W76P Bundle of W70B Base and W56H handset + 1-Unit W56H Handset… (1 x W56H)</t>
  </si>
  <si>
    <t>Microsoft Surface Go 2-10.5" Touch-Screen - Intel Core m3-8GB Memory - 128GB SSD - WiFi - Platinum Windows 11 PRO (Renewed)</t>
  </si>
  <si>
    <t>Seagate (Recertified) 12TB IronWolf NAS SATA Hard Drive 6Gb/s 256MB Cache 3.5-Inch Internal Hard Drive for NAS Servers, Personal Cloud Storage (ST12000VN0007)</t>
  </si>
  <si>
    <t>SAMSUNG FT45 Series 24-Inch WUXGA 1920 x 1200 Computer Monitor, 75Hz, IPS Panel, HDMI, DisplayPort, DVI, USB Hub, Built-in Speakers, Height Adjustable Stand, 3 Yr WRNTY (LF24T454GYNXZA),Black</t>
  </si>
  <si>
    <t>HP 131A Magenta Toner Cartridge for HP Printers | Works with Printer Series: LaserJet Pro 200 color M251, LaserJet Pro 200 color MFP M276 | CF213A</t>
  </si>
  <si>
    <t>Microsoft Xbox One (Renewed)</t>
  </si>
  <si>
    <t>Bose QuietComfort Bluetooth Headphones, Wireless Headphones with Active Over Ear Noise Cancelling and Mic, + Green Extreme 20W 2-Port Wall Charger (Black)</t>
  </si>
  <si>
    <t>HP EliteDesk 800 G3 Mini Desktop Computer, Intel Quad-Core i5-6500T, 16GB DDR4 RAM, 256GB SSD, Keyboard &amp; Mouse, VGA, DP, Windows 11 Pro (Renewed)</t>
  </si>
  <si>
    <t>HP Chromebook Plus x360 14 inch Laptop, FHD Touchscreen, Intel Core i3-N305, 8 GB RAM, 128 GB UFS, Intel UHD Graphics, Chrome OS, 14b-cd0010nr (2024)</t>
  </si>
  <si>
    <t>ASUS ROG Strix Scope II Gaming Keyboard, pre-lubed ROG RX Red Linear Optical switches, Sound-dampening Foam, PBT doubleshot keycaps, Streaming hotkeys, Multi-Function Controls, Wrist Rest</t>
  </si>
  <si>
    <t>KICKER Speaker Package of 2 Items: DS Series Two 6"x9" Coaxial Speakers 4-Ohm &amp; Two 6.5" Coaxial Speakers 4-Ohm - 1x 43DSC69304, 1x 43DSC6504</t>
  </si>
  <si>
    <t>HP Original 952XL Black, Cyan, Magenta, Yellow High-Yield Ink Cartridges (5-Pack) | Works OfficeJet 8702 OfficeJet Pro 7700, 8210, 8700 Series | Eligible for Instant Ink | 6ZA00AN</t>
  </si>
  <si>
    <t>Sony SA-SW5 Wireless Subwoofer for BRAVIA THEATER (BAR 9, BAR 8, QUAD), HT-A9/A7000/A5000/A3000/S2000 and STR-AN1000</t>
  </si>
  <si>
    <t>Epson RapidReceipt RR-60 Mobile Color Receipt &amp; Document Scanner with ScanSmart AI PRO Receipt Management &amp; PDF Software for PC &amp; Mac</t>
  </si>
  <si>
    <t>Yamaha SR-B30A Dolby Atmos Sound Bar with Built-in Subwoofers (Black)</t>
  </si>
  <si>
    <t>HP 655A Cyan Toner Cartridge | Works with HP Color LaserJet Enterprise M652, M653, HP Color LaserJet Enterprise MFP M681, M682 Series | CF451A</t>
  </si>
  <si>
    <t>EPOS Impact 860T ANC Dual-Sided Wired Headset with Active Noise Cancellation, Microsoft Teams Certified, USB C and USB A, Super Wideband Audio, Ideal for Office Calls, Zoom, Home &amp; Hybrid Work</t>
  </si>
  <si>
    <t>Lenovo ThinkVision S24i-30 24" Class Full HD LED Monitor - 16:9 - Raven Black, Storm Gray</t>
  </si>
  <si>
    <t>Sony - PlayStation 4 Pro Console (3002470) Jet Black - 1TB - Renewed</t>
  </si>
  <si>
    <t>ASURION 3 Year Home Improvement Protection Plan ($40 - $49.99)</t>
  </si>
  <si>
    <t>Ubiquiti Access Point WiFi 6 In-Wall U6-IW-US</t>
  </si>
  <si>
    <t>Pyle Wireless Home Audio Amplifier System Bluetooth Compatible Sound Stereo Receiver Amp - 6Channel 600Watt Power, Digital LCD, Headphone Jack, 1/4'' Microphone in USB SD AUX RCA FM Radio- PTA66BT.5</t>
  </si>
  <si>
    <t>Brady - 118084 B30 Series R10000 Printer Ribbon (B30-R10000) - Black - 200' Length, 4.33" Width</t>
  </si>
  <si>
    <t>Brother Brand Name TN-890 Ultra High Yld Toner 20K YLD for HL-L6400DW TN890</t>
  </si>
  <si>
    <t>Alienware Pro Wireless Gaming Headset - Wired/Wireless, Bluetooth 5.3, 15 Minute Fast Charging, Audio Output 20 Hz, Battery Talk Time (ANC on) Up to 24 Hrs (Bluetooth), Dark Side of The Moon</t>
  </si>
  <si>
    <t>HP 19A | CF219A | Toner-Cartridge | Black-Drum</t>
  </si>
  <si>
    <t>Apple iPhone 16, US Version, 128GB, Black - Unlocked (Renewed Premium)</t>
  </si>
  <si>
    <t>Canon RF28mm F2.8 STM Lens, RF Mount, Wide-Angle, for Full-Frame Cameras</t>
  </si>
  <si>
    <t>Pentax 17 35mm Film Camera That captures up to 72 Images per roll with a Vertical (Half Frame) Orientation, Perfect for Social Media.</t>
  </si>
  <si>
    <t>HP Sprocket Portable 2x3 Instant Color Photo Printer (Luna Pearl) Zink Paper Bundle</t>
  </si>
  <si>
    <t>Skullcandy Crusher ANC 2 Sensory Bass Headphones with Active Noise Canceling, Protective Carrying Case and Charging Cable Bundle - True Black</t>
  </si>
  <si>
    <t>Sceptre 22 inch 1080p LED Monitor HDMI x2 VGA 99% sRGB Wall Mount Ready Build-in Speakers, Machine Black (E22 Series)</t>
  </si>
  <si>
    <t>Garmin RV Cam 795, Large, Easy-to-Read 7” GPS Navigator, Built-in Dash Cam, Automatic Incident Detection, Custom RV Routing, High-Resolution Birdseye Satellite Imagery (Renewed)</t>
  </si>
  <si>
    <t>Godox V860III-C Camera Flash for Canon Camera Flash Speedlite Speedlight Light,2.4G HSS 1/8000s,480 Full-Power Flashes,7.2V/2600mAh Li-ion Battery,0.01-1.5s Recycle Time,10 Levels LED Modeling Lamp</t>
  </si>
  <si>
    <t>ASRock Radeon RX 9060 XT Challenger 16GB GDDR6 OC Graphics Card | 3300 MHz Boost | Dual Fan | 0dB Cooling | Metal Backplate | PCIe 5.0 | DisplayPort 2.1a, HDMI 2.1b</t>
  </si>
  <si>
    <t>Intel Core i7-14700F Desktop Processor 20 cores (8 P-cores + 12 E-cores) up to 5.4 GHz</t>
  </si>
  <si>
    <t>MSI MAG 256F 25-inch 1920 x 1080 (FHD) Computer Monitor, 180Hz, Adaptive-Synch, HDMI, DisplayPort, VESA Mountable, Tilt, Height Adjustable, Speaker, 1ms, Black</t>
  </si>
  <si>
    <t>TRX Training 6 Month On-Demand Membership - Unlimited Access to Expert-Led Workouts, Personalized Programs, Strength, Cardio &amp; Recovery - Train Anytime</t>
  </si>
  <si>
    <t>Milwaukee 2951-20 M12 Lithium-Ion Cordless Radio + Charger (Tool Only)</t>
  </si>
  <si>
    <t>TP-Link Archer BE24000 Quad-Band WiFi 7 Router (Archer BE900) with Dual 10 Gbps Multi-Gig Ethernet Ports and LED Touch Screen,12 High Performance Antennas, VPN Supported, Free Expert Help</t>
  </si>
  <si>
    <t>PNY CS2342 1TB Gen4 PCIe NVMe M.2 2230 3D NAND SSD – Up to 7,300/6,000 MB/s – PC/Laptop/Gaming Upgrade – Perfect for Steam Deck, ASUS ROG Ally, MSI Claw – Internal Solid-State Drive M230CS2342-1TB-TB</t>
  </si>
  <si>
    <t>Peak Design Travel Tripod, Aluminum, Compact Design, Quick Setup and Takedown, Pro-Level Stability, Ergonomic Ball Head, Compact and Portable Travel Tripod for Camera and Phone, 20 lb Capacity</t>
  </si>
  <si>
    <t>Dell P2419H 24 Inch LED-Backlit, Anti-Glare, 3H Hard Coating IPS Monitor - (8 ms Response, FHD 1920 x 1080 at 60Hz, 1000:1 Contrast, with ComfortView DisplayPort, VGA, HDMI and USB), Black</t>
  </si>
  <si>
    <t>Beelink Mini PC, Mini S12 Pro Intel 12th Gen 4-Core N100(up to 3.4GHz), Mini Computer 16GB DDR4 RAM 500GB SSD, Desktop PC Dual HDMI 4K UHD/Gigabit Ethernet/WiFi6/BT5.2/HTPC</t>
  </si>
  <si>
    <t>ASUS 27” 1080P Video Conferencing Monitor (BE279QFK) - Full HD, IPS, 100Hz, Frameless, Built-in Webcam, Mic Array, Speaker, Height Adjustable, Ergonomic Design, Eye Care, Wall Mountable, 3 yr warranty</t>
  </si>
  <si>
    <t>RYDONAIR Short Antenna Compatible with Chevy &amp; GMC Trucks All Years Model, Internal Copper Coil for Enhanced Reception, Car Wash Proof, 50 Cal ABS Antenna Replacement</t>
  </si>
  <si>
    <t>Lenovo ThinkVision M14 14" Full HD 1920x1080 IPS Monitor - 300 Nit 6ms 2xUSB Type-C Ports Widescreen Backlit LED LCD Mobile Portable Display Raven Black</t>
  </si>
  <si>
    <t>The North Face Surge Commuter Laptop Backpack, Tin Grey Dark Heather/TNF Black-NPF, One Size</t>
  </si>
  <si>
    <t>Godox V1 Pro C V1Pro-C USA Version Camera Flash Compatible for Canon Camera Flash Speedlite,76Ws 2.4G TTL 1/8000 HSS,500 Full Power Flashes,1.3s Recycle Time,2980mAh Li-ion Battery,LED Modeling Lamp</t>
  </si>
  <si>
    <t>Pyle PLTS78DUB Single DIN Car Stereo Receiver - 7" Touchscreen Display, CD/DVD Player, Bluetooth Audio &amp; Hands-Free Calling, In-Dash Multimedia System with Rear Camera, AM/FM Radio, and 320W Power</t>
  </si>
  <si>
    <t>Turtle Beach Stealth Pro Multiplatform Wireless Noise-Cancelling Gaming Headset for Xbox Series X|S, Xbox One, PS5, PS4, PC, Mac, Mobile – Swappable Batteries – Black</t>
  </si>
  <si>
    <t>Kingston Fury Beast RGB 32GB (2x16GB) 6000MT/s DDR5 CL30 Desktop Memory | AMD Expo | Plug N Play | Kit of 2 | KF560C30BBEAK2-32</t>
  </si>
  <si>
    <t>HP 728 Matte Black 300-ml Genuine Ink Cartridge (F9J68A) for DesignJet T830 MFP &amp; T730 Large Format Plotter Printers</t>
  </si>
  <si>
    <t>acer Nitro 27 Inch UHD 3840 x 2160 IPS PC Gaming Monitor | Adaptive-Sync Support (FreeSync Compatible) | 4ms (G to G) | HDR10 Support | 99% sRGB | One Display Port 1.2 &amp; Two HDMI 2.0 | KG272K Lbmiipx</t>
  </si>
  <si>
    <t>Fractal Design Ridge Black - PCIe 4.0 Riser Card Included - 2X 140mm PWM Aspect Fans Included - Type C USB - m-ITX PC Gaming Case</t>
  </si>
  <si>
    <t>FiiO DM13 Multifunctional Portable Stereo CD Player with Long-Lasting Battery, Supports USB Ripping, Optical/coaxial/3.5mm/4.4mm outputs (Black Bluetooth)</t>
  </si>
  <si>
    <t>Brother Genuine TN730 3-Pack Standard Yield Black Toner Cartridge with Approximately 1,200 Page Yield/Cartridge</t>
  </si>
  <si>
    <t>Nintendo Switch Lite - Blue</t>
  </si>
  <si>
    <t>Lenovo 15.6" FHD Chromebook-Intel Quad-Core N4120(&gt; N4020) 4GB RAM,128GB Storage,(64GB eMMC+64GB SD Card),Home &amp; Student Laptop,with Privacy Camera,Wi-Fi6,HDMI1.4,Chrome OS,Artic Grey</t>
  </si>
  <si>
    <t>SAMSUNG Galaxy Buds 3 Pro AI True Wireless Bluetooth Earbuds, Noise Cancelling, Sound Optimization, Real-Time Interpreter, Redesigned Comfort Fit Latin American Version (Silver) (Renewed)</t>
  </si>
  <si>
    <t>OWC 11-Port Thunderbolt 5 Docking Station, 2.5GbE, SD/Micro-SD Card Reader, Audio in/Out Jack, USB 3.2 Type-A Ports, 140W Power Delivery</t>
  </si>
  <si>
    <t>Lexmark CX331adwe Color All-in-One Laser Printer with Touchscreen, Office Scanner Copier Laser, Mobile Ready, Auto Duplex Printing &amp; Analog Fax, Wireless, White, 26 ppm Mono/Color, 600 dpi (40N9070)</t>
  </si>
  <si>
    <t>VTech DS6151-11 DECT 6.0 2-Line Expandable Cordless Phone + (3) DS6101-11 Accessory Handset, Black</t>
  </si>
  <si>
    <t>ASURION 3 Year Home Improvement Protection Plan ($50 - $59.99)</t>
  </si>
  <si>
    <t>FiiO K7 Desktop DAC and Amplifier</t>
  </si>
  <si>
    <t>Dell Optiplex 7060 Tower Desktop Computer | Intel i7-8700 (3.4) | 32GB DDR4 RAM | 1TB SSD Solid State | Windows 11 Professional | Home or Office PC (Renewed)</t>
  </si>
  <si>
    <t>Xerox B235DNI All-In-One Printer, Laser, B&amp;W, Wireless, ADF, Letter, Print, Scan, Copy, Fax, Energy Star Certified, Up to 36PPM</t>
  </si>
  <si>
    <t>Dell Performance Dock- WD19DCS 210w PD</t>
  </si>
  <si>
    <t>Beyerdynamic MMX 330 Pro Open-Back Gaming Headset</t>
  </si>
  <si>
    <t>Brother QL-1110NWB Wide Format, Postage and Barcode Professional Thermal Monochrome Label Printer with Wireless Connectivity</t>
  </si>
  <si>
    <t>KODAK Luma 150 Ultra Mini Pocket Pico Projector - Black Built-in Battery &amp; Speaker, 1080P Support Portable Wireless LED DLP Movie &amp; Video Travel Projector, connects to iPhone and Android</t>
  </si>
  <si>
    <t>HP 312X Black High-yield Toner Cartridge | Works with HP Color LaserJet Pro MFP M476 Series | CF380X</t>
  </si>
  <si>
    <t>Sony XAV-3600 6.75" Digital Multimedia Bluetooth Receiver with HDMI Input</t>
  </si>
  <si>
    <t>Nikon PROSTAFF P7 10x42 Binocular | Waterproof, fogproof, Rubber-Armored Full-Size Binocular, Oil &amp; Water Repellent Coating &amp; Locking Diopter | Official Nikon USA Model</t>
  </si>
  <si>
    <t>ASURION 2 Year Laptop Protection Plan ($250 - $299.99)</t>
  </si>
  <si>
    <t>APC UPS Network Management Card 3 with 2 USB ports and Temperature Monitoring, Newest Model 2020 (AP9641)</t>
  </si>
  <si>
    <t>ASUS VT168HR 15.6" Full HD 1366X768 HDMI Back-lit LED Monitor, Black</t>
  </si>
  <si>
    <t>Fujifilm NP-W126S Li-Ion Rechargeable Battery</t>
  </si>
  <si>
    <t>SENNHEISER HD 599 Open Back Headphone, Ivory</t>
  </si>
  <si>
    <t>Edifier R1700BT Bluetooth Bookshelf Speaker - Active Near-Field Studio Monitors - Powered Speakers 2 Setup Wooden Enclosure - 66w RMS</t>
  </si>
  <si>
    <t>ASRock A620M-HDV/M.2 Supports AMD Socket AM5 Ryzen 7000 Series Processors</t>
  </si>
  <si>
    <t>Marshall Major IV On-Ear Bluetooth Headphone, Black</t>
  </si>
  <si>
    <t>Garmin inReach® Messenger Plus, SOS Satellite Communicator with Photo, Text &amp; Voice Messaging Without Cell Service, Long Battery Life, Durable, Temperature-Resistant, Water-Resistant (IPX7) Design</t>
  </si>
  <si>
    <t>Lenovo ThinkPad Thunderbolt 3 Dock Gen 2 135W (40AN0135) Dual UHD 4K Display Capability, 2 HDMI, 2 DP, USB-C, USB 3.1 with 3 Years Warranty Card</t>
  </si>
  <si>
    <t>Epson Expression Photo XP-970 Wireless Color Photo Printer with Scanner and Copier, Black</t>
  </si>
  <si>
    <t>NANUK 935 Pro Photo Kit – Waterproof Travel Camera Hard Case with Padded Dividers and Wheels, 22” x 14” x 9” - Dustproof and Impact Resistant, Airline Carry-On Approved</t>
  </si>
  <si>
    <t>Brother ADS-1350W Wireless Compact Desktop Scanner | Scan Speeds of Up to 30ppm | Single Pass Double-Sided Scanning</t>
  </si>
  <si>
    <t>PNY GeForce RTX™ 4070 12GB XLR8 Gaming Verto Epic-X RGB™ Triple Fan Graphics Card DLSS 3</t>
  </si>
  <si>
    <t>SteelSeries Alias Pro Kit — XLR Mic + Stream Mixer — 3x Bigger Capsule for Gaming, Streaming and Podcasting — USB/XLR Interface — Free Sonar Audio Software — Custom Controls — RGB — Single or Dual PC</t>
  </si>
  <si>
    <t>Ubiquiti UniFi nanoHD Compact 802.11ac Wave2 MU-MIMO Enterprise Access Point ( UAP-NANOHD-US)</t>
  </si>
  <si>
    <t>Hp 17Biiplus 17Bii+ Financial Calculator, 22-Digit Lcd</t>
  </si>
  <si>
    <t>VIZIO 24" Inches VHD24M-0810 Class V-Series HD (1080p) Smart LED TV - Full Array Backlighting, Smart TV with Apple AirPlay, Chromecast, Alexa Compatibility (Renewed)</t>
  </si>
  <si>
    <t>Energizer 80 AAA Ultimate Lithium Long Lasting Leakproof Batteries</t>
  </si>
  <si>
    <t>MikroTik hEX S Gigabit Ethernet Router with SFP Port (RB760iGS)</t>
  </si>
  <si>
    <t>ASUS ROG RYUO III 360 ARGB All-in-one AIO Liquid CPU Cooler 360mm Radiator, Asetek 8th gen Pump Solution, Anime Matrix™ LED Display and ROG AF 12S ARGB Fan.</t>
  </si>
  <si>
    <t>NETGEAR Orbi Whole Home Tri-Band Mesh Add-on Satellite (RBS750) – Works with Your Orbi WiFi 6 System| Adds up to 2,500 sq. ft. Coverage | AX4200 (Up to 4.2Gbps)</t>
  </si>
  <si>
    <t>MSI MAG B550 Tomahawk MAX WiFi Gaming Motherboard (AMD AM4, DDR4, PCIe 4.0, SATA 6Gb/s, M.2, USB 3.2 Gen 2, HDMI/DP, ATX, Wi-Fi 6E, AMD Ryzen 5000 Series Processors) AMD Gaming Motherboards (Renewed)</t>
  </si>
  <si>
    <t>Lenovo ThinkPad USB-C UltraDock With 90W 2 Prong AC Adapter (40A90090US, USA Retail Packaged)</t>
  </si>
  <si>
    <t>Samsung Galaxy Tab A9+ 5G 11 - 64GB - Graphite - T-Mobile Only (Renewed)</t>
  </si>
  <si>
    <t>ASUS ROG Harpe Gaming Wireless Mouse, Ace Aim Lab Edition, 54g Ultra-Lightweight, 36,000 DPI Sensor, 5 Programmable Buttons, Tri-Mode Connectivity (2.4GHz RF, Bluetooth, Wired), SpeedNova, Black</t>
  </si>
  <si>
    <t>EPSON 802 DURABrite Ultra Ink Standard Capacity Black &amp; Color Cartridge Combo Pack (T802120-BCS) Works with WorkForce Pro WF-4720, WF-4730, WF-4734, WF-4740</t>
  </si>
  <si>
    <t>Polaroid Hi-Print + Paper Bundle- 2nd Generation Bluetooth Connected 2x3 Pocket Photo Dye-Sub Printer - Black Printer + 40 Photos (6439)</t>
  </si>
  <si>
    <t>Pioneer DMH-T450EX 9" Capacitive Touchscreen, Floating Display – Alexa, Bluetooth, Backup Camera, FLAC, Short Chassis, USB, AM/FM Radio, 13-Band EQ, RCA Preouts</t>
  </si>
  <si>
    <t>ASURION 3 Year Home Improvement Protection Plan ($125 - $149.99)</t>
  </si>
  <si>
    <t>CHUWI 2025 Hi10 X1 Windows 11 Tablet 10.1'', Intel N100(Up to 3.4GHz), 8GB LPDDR5 256GB SSD, Windows Tablet PC, 8MP+5MP Cameras, WiFi 6, BT 5.2, HDMI, USB 3.2, Type C, Full HD</t>
  </si>
  <si>
    <t>Uniden DFR5 Long Range Radar/Laser Detection</t>
  </si>
  <si>
    <t>Kobo Libra Colour | eReader | 7” Glare-Free Colour E Ink Kaleido™ 3 Display | Dark Mode Option | Audiobooks | Waterproof | White</t>
  </si>
  <si>
    <t>HP OfficeJet Pro 9110b Wireless Color Inkjet Printer, Print, Duplex Printing Best-for-Office (5A0S1A)</t>
  </si>
  <si>
    <t>Kensington Combination Laptop Lock for Nano Size Security Slot, Resettable 4-Digit Combination Lock (K60214WW)</t>
  </si>
  <si>
    <t>SimpliSafe 6 Piece Wireless Home Security System with Outdoor Camera - Optional 24/7 Professional Monitoring - No Contract - Compatible with Alexa and Google Assistant</t>
  </si>
  <si>
    <t>KYOCERA MA2000w Multifunctional Monochrome Laser Printer (Print/Copy/Scan), 21 ppm, Wireless &amp; USB 2.0, 600dpi, 2 Digits LED Display, 150 Sheet Capacity, ID Card Copy, 50 Sheet Output Tray, 64MB</t>
  </si>
  <si>
    <t>Garmin Striker Cast, Castable Sonar, Pair with Mobile Device and Cast from Anywhere, Reel in to Locate and Display Fish on Smartphone or Tablet (010-02246-00)</t>
  </si>
  <si>
    <t>Canon Mount Adapter EF - EOS R, Compatible with EOS RP, EOS R, EOS R6, EOS R5</t>
  </si>
  <si>
    <t>ARKON Mounts - Car Seat Rail Tablet Mount and Holder | Heavy-Duty for Car/Truck | Adjustable Angle &amp; Height | Easy Installation &amp; Removal | 22-inch Arm for Enhanced Accessibility &amp; Convenience</t>
  </si>
  <si>
    <t>Eaton BRN220GF 2 Pole 20 Amp 120/240 V BR GFCI Circuit Breaker Replaces GFTCB220</t>
  </si>
  <si>
    <t>Boxed INTEL I5-13400F 20M Cache, UP to 4.60GHZ</t>
  </si>
  <si>
    <t>Seagate Skyhawk 12TB Video Internal Hard Drive HDD-3.5 Inch SATA 6Gb/s 7200PRM 256MB Cache for DVR NVR Security Camera System with Rescue Services (ST12000VX0017/0007) (Renewed)</t>
  </si>
  <si>
    <t>VTech IS8251-3 Business Grade 3-Handset Expandable Cordless Phone for Home Office, 5" Color Display, Programmable Short Cut Keys, Smart Call Blocking, Answering System,Bluetooth Connect to Cell</t>
  </si>
  <si>
    <t>Pyle Home Theater Bluetooth Amplifier Receiver - 4 Channel 3000 Watt Stereo Speaker Home Audio Amplifier Receiver w/Radio, USB, 2 Microphone w/Echo, CD DVD Player, LCD, Rack Mount - PD3000BT.5</t>
  </si>
  <si>
    <t>Microsoft Surface Pro 7 12.3in Intel Core i5 10th Gen 8GB RAM 128GB SSD Platinum (Renewed)</t>
  </si>
  <si>
    <t>Dyson OnTrac™ Headphones, CNC Copper</t>
  </si>
  <si>
    <t>SIRUI ST-124+VA-5 Carbon Fiber Tripod with Fluid Video Head, Triangular Centre Column, Waterproof,4 Sections, 62.2inch, Load 6.61lbs</t>
  </si>
  <si>
    <t>Elgato 4K Pro, Internal Capture Card: 8K60 Passthrough/4K60 HDR10 with Ultra-Low Latency on PS5, Xbox Series X/S, OBS and More, for Streaming &amp; Recording, Windows PC and Dual PC Setups(Renewed)</t>
  </si>
  <si>
    <t>SANUS Full Motion TV Wall Mount for TVs up to 90" - Premium Design Extends 24" with Fingertip Swivel and Tilt - Easy 20 Minute Install - OLF24</t>
  </si>
  <si>
    <t>be quiet! Silent Loop 3 360mm CPU AIO Liquid Cooler | 3 Silent Wings 4 120mm PWM High-Speed Fans | Quiet Performance | 6-Pole Motor | Discreet ARGB Lighting | Refillable | Black | BW025</t>
  </si>
  <si>
    <t>Zebra - GK420t Thermal Transfer Desktop Printer for Labels, Receipts, Barcodes, Tags, and Wrist Bands - Print Width of 4 in - USB and Ethernet Port Connectivity (Renewed)</t>
  </si>
  <si>
    <t>UGREEN Revodok Pro 109 USB C Hub 9 in 1 10Gbps USB C 3.2 &amp; USBA 3.2 4K HDMI, 100W Power Delivery, SD/TF Card Reader Gigabit Ethernet for MacBook Pro/Air, iPhone 16 15 Pro/Max, Thinkpad and More</t>
  </si>
  <si>
    <t>Logitech MX Brio Ultra HD 4K Streaming Webcam, 1080p at 60 FPS, USB-C, Webcam Cover, Works with Microsoft Teams, Zoom, Google Meet - Black (Renewed)</t>
  </si>
  <si>
    <t>Thrustmaster T-LCM Pedals (compatible w/ PS5, PS5 Pro, PS4, XBOX Series X/S, One, PC)</t>
  </si>
  <si>
    <t>JBL GTO629 6.5/'' GTO 2-Way 360 Watts MAX Power Grand Touring Series Coaxial Car Audio Speakers Bundled with Alphasonik, GTO629+Alpha</t>
  </si>
  <si>
    <t>TP-Link TL-SM5310-T | 10GBase-T RJ45 SFP+ Module | 10G Copper SFP+ Transceiver | SFP+ to Ethernet | Plug and Play | Hot Pluggable | Up to 30m distance| | Durable Metal Casing | Versatile Compatibility</t>
  </si>
  <si>
    <t>Intel Core i7-8700K Desktop Processor 6 Cores up to 4.7GHz Turbo Unlocked LGA1151 300 Series 95W</t>
  </si>
  <si>
    <t>Jabra Elite 8 Active - Best Most Advanced HearThrough Sports Wireless Bluetooth Earbuds - Comfortable Secure Fit, Military Grade Durability, Active Noise Cancellation, Dolby Surround Sound - Dark Grey</t>
  </si>
  <si>
    <t>Microsoft Elite Series 2 Controller - Starter Bundle</t>
  </si>
  <si>
    <t>Arlo Essential 2K Security Cam (2nd Gen) – Wireless, Indoor/Outdoor, 3-Cam Set, Color Night Vision, 2-Way Audio, Motion Alerts, Spotlight – White (Renewed)</t>
  </si>
  <si>
    <t>CyberPower RCCARD100 Cloud Monitoring Card</t>
  </si>
  <si>
    <t>HP 202X Magenta High-yield Toner Cartridge | Works with HP Color LaserJet Pro M254, HP Color LaserJet Pro MFP M281 Series | CF503X</t>
  </si>
  <si>
    <t>HP Thunderbolt 4 Dock 120W G4 (4J0A2AA), 13-in-1 USB C Docking Station with Max 100W Charging, 4 Displays 4K Display, Ethernet Port, 6 USB Ports, HDMI, 2 Displayport for Laptop, MacOS, ChromeOS, PC</t>
  </si>
  <si>
    <t>FREECOM-X/Spirit 2ND Helmet JBL KIT</t>
  </si>
  <si>
    <t>MSI Radix AXE6600 WiFi 6E Tri-Band Gaming Router, AI QoS, RGB, 1.8GHz Quad-Core Processor, MU-MIMO, Gigabit Wireless, 8-Stream, High Speed Long Range</t>
  </si>
  <si>
    <t>StarTech.com 1U 19 inch Server Rack Rails - 24-36 inch Adjustable Depth - Universal 4 Post Rack Mount Rails - Network Equipment/Server/UPS Mounting Rail Kit HPE ProLiant Dell PowerEdge (UNIRAILS1UB)</t>
  </si>
  <si>
    <t>Thermaltake Tower 600 Black Mid-Tower ATX Case; 3 Tempered Glass Panels; Hidden-Connector Motherboard Support; Rotational PCI-e Slots; CA-1Z1-00M1WN-00; 3 Year Warranty</t>
  </si>
  <si>
    <t>YAMAHA NS-AW150BL 2-Way Indoor/Outdoor Speakers (Pair, Black) - Wired</t>
  </si>
  <si>
    <t>Lenovo Tab M8 Gen 4-2024 - Family Tablet - Google Kids Space - 8" HD Touch Display - 2 GB Memory - 32 GB Storage - MediaTek Helio A22 - Arctic Grey - Folio with Stand</t>
  </si>
  <si>
    <t>BOG DeathGrip Infinite Aluminum Tripod with Heavy Duty Construction, 360 Degree Ball Head, Quick-Release Arca-Swiss Mount System, and Optics Plate for Hunting, Shooting, Glassing, and Outdoors</t>
  </si>
  <si>
    <t>Sony CD Cassette Radio CFD-S70 B</t>
  </si>
  <si>
    <t>HP 305A Cyan Toner Cartridge for HP Printers | Works with Printer Series: LaserJet Pro 300 M351, 300 MFP M375, 400 M451, 400 MFP M475 | CE411A</t>
  </si>
  <si>
    <t>Mounting Dream Sliding TV Wall Mount for 42-86" TVs, Full Motion Articulating Dual Arms, Easy TV Centering, Max VESA 600x400mm, 132 lbs, MD2198</t>
  </si>
  <si>
    <t>Taramps DS 800x4 1 Ohm 800 Watts RMS 4-Channel 200x4 RMS, Class D, Full Range, Crossover High / Low Pass Fixed, Bridgedable Car Audio Amplifier, White</t>
  </si>
  <si>
    <t>Fujifilm Instax Square SQ40 Instant Camera Vintage Black + Fuji Instax Film Value Pack (40 Sheets) + Shutter Accessories Bundle, Includes Style Compatible Carrying Case, Photo Album 80 Pockets</t>
  </si>
  <si>
    <t>Skullcandy Barrel Bluetooth Boombox Speaker – Water-Resistant Wireless Portable Speaker, with LED Lightshow Mode, 12 Hour Battery, Multi-Link, &amp; USB-C &amp; USB-A Output Charging</t>
  </si>
  <si>
    <t>Garmin Foretrex 801, Wrist-Mounted GPS Navigation with Strap, Upgraded Multi-Band GNSS, Longer Battery Life</t>
  </si>
  <si>
    <t>Western Digital 5TB My Passport Portable External Hard Drive with password protection and auto backup software, White - Western DigitalBPKJ0050BWT-WESN</t>
  </si>
  <si>
    <t>Nintendo DSi - Matte Black (Renewed) [video game]</t>
  </si>
  <si>
    <t>Godox X3C X3 C X3-C TTL Wireless Flash Trigger Compatible for Canon Camera, OLED Touchscreen Flash Transmitter,Built-in Lithium Battery+Quick Charge(Upgrade Version of X2T-C/Xpro-C/XProII-C)</t>
  </si>
  <si>
    <t>Dell 1.2TB 10K 12GB/s SAS 2.5" Hard Drive for R630 R730 R730XD (WXPCX)</t>
  </si>
  <si>
    <t>ASURION 2 Year Furniture Protection Plan ($100 - $124.99)</t>
  </si>
  <si>
    <t>ADATA HD710 Pro 2TB USB 3.1 IP68 Waterproof/Shockproof/Dustproof Ruggedized External Hard Drive, Black (AHD710P-2TU31-CBK)</t>
  </si>
  <si>
    <t>Nike Hoops Elite Backpack White (DX9786)</t>
  </si>
  <si>
    <t>ASRock AMD B850 Phantom Gaming Riptide WiFi 7 Socket AM5 Ryzen 9000/8000/7000 Series DDR5 8000+ (OC) MHz 256GB ATX Motherboard M.2 SATA3 6.0 Gb/s PCIe 5.0</t>
  </si>
  <si>
    <t>ASURION 2 Year Electronics Protection Plan ($40 - $49.99)</t>
  </si>
  <si>
    <t>Kicker 6x9 Inch PS-Series Powersports Speakers 40PS694 (Pair)</t>
  </si>
  <si>
    <t>Victrola Century 6-in-1 Vinyl Record Player &amp; Music Center – 3-Speed Turntable, CD &amp; Cassette Player, VINYLSTREAM, Bluetooth &amp; 3.5mm Aux, Record Player with Speakers, Mid Century Design (Walnut)</t>
  </si>
  <si>
    <t>Sennheiser ACCENTUM Wireless Bluetooth Headphones - 50-Hour Battery Life, Audio, Hybrid Noise Cancelling (ANC), All-Day Comfort and Clear Voice Pick-up for Calls, Black</t>
  </si>
  <si>
    <t>Hisense 40-Inch Class H4 Series LED Roku Smart TV with Alexa Compatibility (40H4F, 2020 Model)</t>
  </si>
  <si>
    <t>Roku Ultra 2024 (Renewed) – 4K Streaming Device with HDR10+, Dolby Vision &amp; Atmos, Wi-Fi 6, Bluetooth, Rechargeable Voice Remote Pro with Backlit Buttons, Free &amp; Live TV</t>
  </si>
  <si>
    <t>ASURION 2 Year Floorcare Extended Protection Plan ($125 - $149.99)</t>
  </si>
  <si>
    <t>Corsair MP600 PRO LPX 2TB M.2 NVMe PCIe x4 Gen4 SSD - Optimised for PS5 (Up to 7,100MB/sec Sequential Read &amp; 6,800MB/sec Sequential Write Speeds, High-Speed Interface, Compact Form Factor) White</t>
  </si>
  <si>
    <t>TP-Link ER706W Omada Gigabit AX3000 WiFi 6 VPN Router | 1x USB 3.0 Support USB Storage and LTE Backup with LTE dongle | Supports Omada Mesh | Easy Set-up</t>
  </si>
  <si>
    <t>Sony MEX-N5300BT Car Stereo Single Din Radio with Bluetooth, CD Player, USB/AUX</t>
  </si>
  <si>
    <t>Lenovo IdeaPad 1 Laptop, 15.6” FHD Display, AMD Ryzen 5 5500U, 8GB RAM, 512GB SSD, Windows 11 Home, 720p Camera w/Privacy Shutter, Smart Noise Cancelling, Cloud Grey</t>
  </si>
  <si>
    <t>Apple iMac 21.5in 2.7GHz Core i5 (ME086LL/A) All In One Desktop, 8GB Memory, 256GB Solid State Drive, MacOS 10.12 Sierra (Renewed)</t>
  </si>
  <si>
    <t>SAMSUNG Galaxy Tab A9 4G LTE (64GB, 4GB, Cellular) 8.7" Android Tablet, Octa-core (6nm), Dual Speakers (International Model Fully Unlocked for US &amp; Global) X115 (w/ 15W Fast Charger, Silver)</t>
  </si>
  <si>
    <t>Canon New EOS Kiss (AKA Rebel G in USA/Canada) SLR AF Film Camera With 35-80mm EF Lens (Renewed)</t>
  </si>
  <si>
    <t>Audio-Technica AT-LP70XBT Wireless Turntable (Black/Silver)</t>
  </si>
  <si>
    <t>ASURION 2 Year Laptop Protection Plan ($500 - $599.99)</t>
  </si>
  <si>
    <t>VIZIO MicMe 2.1 Karaoke Soundbar, 2 Wireless Microphones, Wireless Subwoofer w/Dolby Atmos, DTS:X, Bluetooth Speaker, QuickFit™ Compatible — SK210X-0805 (New)</t>
  </si>
  <si>
    <t>Taramps HD 3000 1 Ohm 1 Channel 3000 Watts RMS MAX, Full Range Car Audio, Monoblock, LED Monitor Indicator, Class D Amplifier, Crossover, White 3k amp, Sound Quality</t>
  </si>
  <si>
    <t>APC UPS Battery Replacement, RBC7, for APC Smart-UPS Models SMT1500, SMT1500C, SMT1500US, SUA1500, SUA1500US, SUA750XL and select others</t>
  </si>
  <si>
    <t>Dell Latitude 3190 2-in-1,11.6 ", Intel Pentium - Pentium-N5030, 8GB RAM, 128GB SSD, 1366x768 HD Touchscreen, Windows 10 Pro (Renewed)</t>
  </si>
  <si>
    <t>Next Level Racing NLR-S031 GTLite Pro Foldable Racing Cockpit</t>
  </si>
  <si>
    <t>Audio-Technica ATR2500X-USB Cardioid Condenser USB Microphone</t>
  </si>
  <si>
    <t>Logitech Wireless Presenter R400, Wireless Presentation Remote Clicker with 50 ft Red Laser Pointer 910-001356</t>
  </si>
  <si>
    <t>ARKON Mounts Remarkable Creator Cookie Decorator, Overhead Phone Mount &amp; Pico Projector Mount for Video Recording, Vlogging, Cooking, Crafting, Drawing</t>
  </si>
  <si>
    <t>Razer Ornata V3 TKL Gaming Keyboard: Low-Profile Keys - Mecha-Membrane Switches - UV-Coated Keycaps - Backlit Media Keys - 8-Zone RGB Lighting - Magnetic Wrist Wrest - Hello Kitty &amp; Friends Edition</t>
  </si>
  <si>
    <t>ASURION 3 Year Home Improvement Protection Plan ($60 - $69.99)</t>
  </si>
  <si>
    <t>ASRock B550M-ITX/AC Supports 3rd Gen AMD AM4 Ryzen™ / Future AMD Ryzen™ Processors motherboard Mini ITX</t>
  </si>
  <si>
    <t>Polaroid Now+ Generation 2 - Camera + Film Bundle (16 Photos Included) - Black - Bluetooth Connected App Controlled Instant Film Camera-6250</t>
  </si>
  <si>
    <t>EPSON 277 Claria Photo HD Ink Standard Capacity 5 Color Cartridge Combo Pack (T277920-S) Works with Expression Photo XP-850, XP-860, XP-950, XP-960, XP-970</t>
  </si>
  <si>
    <t>Targus USB-C Universal DV4K Docking Station with 100W Power Delivery with Dockztorm hub</t>
  </si>
  <si>
    <t>AMD Ryzen 7 7700 8-Core, 16-Thread Unlocked Desktop Processor</t>
  </si>
  <si>
    <t>Nintendo Switch 32GB Video Game Console - Black (HAC-001) / CONSOLE ONLY (Renewed)</t>
  </si>
  <si>
    <t>Brother Genuine LC3017 (LC-3017) (BK/C/M/Y) High Yield Color Ink 4-Pack (Includes 1 Each LC3017BK, LC3017C, LC3017M, LC3017Y)</t>
  </si>
  <si>
    <t>HP Universal Bond Paper (36 Inches x 150 Feet Roll)</t>
  </si>
  <si>
    <t>Amazfit GTR 3 Pro Smart Watch for Men 46mm, 14-Day Battery Life, GPS, Alexa Built-In, Bluetooth Calls, Fitness Tracker with 150+ Sports Modes, Sleep Heart Rate Tracking, for Android iPhone, Black</t>
  </si>
  <si>
    <t>HORI Taiko No Tatsujin Drum Controller for Nintendo Switch - Officially Licensed By Nintendo</t>
  </si>
  <si>
    <t>Broan-NuTone 505 Exhaust Fan, White Vertical Discharge Ceiling Ventilation Fan, 8.5 Sones, 200 CFM, 8"</t>
  </si>
  <si>
    <t>Corsair K70 CORE TKL RGB Tenkeyless Mechanical Wired Gaming Keyboard – Pre-Lubed MLX Red v2 Linear Switches, SOCD, ABS Double-Shot Keycaps, Sound Dampening, 1000Hz Polling, QWERTY NA – Black</t>
  </si>
  <si>
    <t>Ortofon Replacement Stylus 2M Red</t>
  </si>
  <si>
    <t>Escort MAX 360 Laser Radar Detector - GPS, Directional Alerts, Dual Antenna Front and Rear, Bluetooth Connectivity, Voice Alerts, OLED Display, Apple CarPlay and Android Auto Compatible</t>
  </si>
  <si>
    <t>Nikon AF-S DX NIKKOR 18-140mm f/3.5-5.6G ED Vibration Reduction Zoom Lens with Auto Focus for Nikon DSLR Cameras (Renewed)</t>
  </si>
  <si>
    <t>NUX B-6 Saxophone Wireless System with Charging Case,Operation Range of 20 Meters,High-Resolution 24- bit/44.1kHz Audio,2.4GHz Wireless Saxophone Microphone</t>
  </si>
  <si>
    <t>Jabra Speak 510+ Portable Speaker for Music and Calls Black</t>
  </si>
  <si>
    <t>Crucial BX500 500GB SATA LLL 2.5" SSD</t>
  </si>
  <si>
    <t>WAVLINK Outdoor WiFi 6 Mesh Router, Long Range WiFi Access Point with PoE, Waterproof IP67, WiFi Extender Signal Booster for Starlink, Outdoor, Home, Garage and Hotel</t>
  </si>
  <si>
    <t>Xiaomi Smart Band 9 Pro Smartband Global Version 1.74" Display Blood Oxygen GPS Health Monitoring Fitness Tracker 150+ Sports Mode - Obsidian Black</t>
  </si>
  <si>
    <t>Ergotron – LX Monitor Arm, Single Monitor Desk Mount – fits Flat Curved Ultrawide Computer Monitors up to 34 Inches, 7 to 25 lbs, VESA 75x75mm or 100x100mm – Polished Aluminum</t>
  </si>
  <si>
    <t>Texas Instruments TI-Nspire CX II Graphing Calculator</t>
  </si>
  <si>
    <t>Logitech MX Master 2S Mouse Graphite, wireless, 910-005139 (Graphite, wireless)</t>
  </si>
  <si>
    <t>Ubiquiti UniFi AP Beacon HD UAP-BeaconHD IEEE 802.11ac 1.69 Gbit/s Wireless Access Point</t>
  </si>
  <si>
    <t>Rockville RXM-S6 2600W Peak/660W RMS 6-Channel Marine Amplifier, PA Microphone, Waterproof Design, Bass Remote for Boats and Marine Audio</t>
  </si>
  <si>
    <t>PlayStation 3 500 GB Super Slim System (Renewed)</t>
  </si>
  <si>
    <t>Fujifilm Instax Mini 99 Instant Film Camera</t>
  </si>
  <si>
    <t>ASURION 2 Year Sporting Goods Protection Plan ($250 - $299.99)</t>
  </si>
  <si>
    <t>Bose SoundSport, Wireless Earbuds, (Sweatproof Bluetooth Headphones for Running and Sports), Black</t>
  </si>
  <si>
    <t>Pioneer A-Series TS-A2500LS4 10” Subwoofer – 1200W Max, Shallow-Mount Design, Deep Bass in Tight Spaces</t>
  </si>
  <si>
    <t>Logitech MX Master 3S Performance Wireless Mouse - Graphite With Bolt Reciever</t>
  </si>
  <si>
    <t>Lowrance 000-14489-001 Active Imaging 3-In-1 Transducer, Black</t>
  </si>
  <si>
    <t>MSI MPG MT201DR - Premium RGB Dual Monitor Stand Arms, 17-35" Support, VESA Compatible, Adjustable Heavy Duty Gas Spring Mount, 44 lbs per Screen Capacity, Clamp &amp; Grommet, Quick Release Plate - Gray</t>
  </si>
  <si>
    <t>Alpine S-A60M S-Series Class D Mono Amplifier</t>
  </si>
  <si>
    <t>Thermaltake Toughpower SFX 850W 80Plus Platinum ATX 3.1 Standard Power Supply; 450W 12V-2x6 Connector Included; Full Modular; 90mm FDB Fan; PS-STP-0850FNFAPU-1; 7 Year Warranty</t>
  </si>
  <si>
    <t>RØDE Wireless GO II TX Ultra-compact Wireless Transmitter with Built-in Microphone, On-board Recording and up to 200m Range for Filmmaking, Interviews and Content Creation (Transmitter Only)</t>
  </si>
  <si>
    <t>ASUS ROG USB-BE92 Tri-Band BE6500 WiFi 7 USB Adapter, 6GHz Band, Support 4096-QAM, Multi-Link Operation (MLO), Compatible with Type A and C, WPA3 Network Security</t>
  </si>
  <si>
    <t>ASUS ROG Ergo Monitor Arm (AAS01) - Monitor Mount with Cable Management, Ergonomic, Pivot, Swivel, Height Fully Adjustable, Clean Desk Setup, up to 39 inches*,23lbs*, VESA 100x100, Mechanical Spring</t>
  </si>
  <si>
    <t>Samsung T7 Portable SSD - 1 TB - USB 3.2 Gen.2 External SSD Titanium Grey (MU-PC1T0T/WW)</t>
  </si>
  <si>
    <t>Lexar Professional 1800X 256GB SDXC UHS-II 2pack</t>
  </si>
  <si>
    <t>Canon RF75-300mm F4-5.6</t>
  </si>
  <si>
    <t>iFi Zen DAC V3 -Desktop DAC Preamp, Digital to Analog Audio Converter - Supports All high-res Music formats up to PCM 768kHz/DSD512 &amp; MQA</t>
  </si>
  <si>
    <t>Razer Kraken Kitty V2 Pro Wired RGB Headset: Interchangeable Ears (Kitty, Bear, Bunny) - Stream Reactive Lighting - Detachable HyperClear Cardioid Mic - 50mm Drivers - 7.1 Surround Sound - Quartz Pink</t>
  </si>
  <si>
    <t>G-Shock GBA900UU-5A Tan One Size</t>
  </si>
  <si>
    <t>Pyle Professional Audio Mixer Sound Board Console System - Interface 4 Channel Digital USB Bluetooth MP3 Computer Input 48V Phantom Power Stereo DJ Studio Streaming FX 16-Bit DSP processor - PMXU43BT</t>
  </si>
  <si>
    <t>ASUS 2.5Gbps Ethernet Over Coax Adapter Starter Kit (MA-25 2 Pack), MoCA 2.5, High Speed Internet, Mesh backhaul, TV Streaming, MPS Security, Wall-mountable</t>
  </si>
  <si>
    <t>Kenneth Cole REACTION Chelsea Quilted Chevron 15" Laptop &amp; Tablet Business Tote with Removable Shoulder Strap</t>
  </si>
  <si>
    <t>Dell UltraSharp Webcam - WB7022 - 4K UHD - Large Sony STARVISTM CMOS sensor, Advanced AI auto framing</t>
  </si>
  <si>
    <t>Pentax Papilio II 6.5x21 Binoculars (Gray) suitable for watching objects both close-up and far away</t>
  </si>
  <si>
    <t>Manfrotto Befree Advanced Camera Tripod with Lever Closure, Portable and Compact Travel Tripod Kit with Ball Head, Aluminum Tripod for DSLR Reflex and Mirrorless Cameras, Camera Accessories</t>
  </si>
  <si>
    <t>HP 410X Magenta High-yield Toner Cartridge | Works with HP Color LaserJet Pro M452 Series, HP Color LaserJet Pro MFP M377, M477 Series | CF413X</t>
  </si>
  <si>
    <t>ASURION 2 Year Electronics Protection Plan ($125 - $149.99)</t>
  </si>
  <si>
    <t>Standard Horizon HX210 HX210 6W Compact Floating Marine Handheld Vhf</t>
  </si>
  <si>
    <t>Razer Strider Chroma Hybrid Gaming Mouse Mat with Razer Chroma RGB: Hybrid Soft/Hard Mat - 19 Razer Chroma RGB Lighting Zones - Warp and Water-Resistant - Anti-Slip Base - Seamless Edges</t>
  </si>
  <si>
    <t>Arlo Essential Spotlight Camera, Wireless Security Camera, Outdoor Camera HD (2nd Gen),1080p Video, Color Night Vision, Direct to WiFi No Hub Needed, Surveillance cam, White</t>
  </si>
  <si>
    <t>PNY CS2241 1TB M.2 NVMe Gen4 x4 Internal Solid State Drive (SSD) - M280CS2241-1TB-RB</t>
  </si>
  <si>
    <t>ASUS Dual Radeon™ RX 7600 EVO OC Edition 8GB GDDR6 (PCIe® 4.0, 8 GB GDDR6, HDMI® 2.1, DisplayPort™ 1.4a, 2.5-Slot Design, Axial-tech Fans, GPU Tweak III)</t>
  </si>
  <si>
    <t>(2) Kicker 40PS692 6x9" 180w Polaris/ATV/UTV/RZR Marine Motorcycle Speakers PS69</t>
  </si>
  <si>
    <t>Apple Wired Keyboard with Numeric Keypad Compatible with Mac OS X v.10.6.8 &amp; later Versions (MB110LL/B) (Renewed)</t>
  </si>
  <si>
    <t>Brother PT-E310BTVP P-Touch Edge Handheld Industrial Label Printer with Bluetooth and USB-C (up to 18mm Labels)</t>
  </si>
  <si>
    <t>Intel® Core™ 12th Gen i3-12100F desktop processor, featuring PCIe Gen 5.0 &amp; 4.0 support, DDR5 and DDR4 support. Discrete graphics required.</t>
  </si>
  <si>
    <t>Garmin GPSMAP 79sc, Marine GPS Handheld Preloaded With BlueChart g3 Coastal Charts, Rugged Design and Floats in Water</t>
  </si>
  <si>
    <t>Lian Li UNI Fan SL Wireless 120mm ARGB Fan - Triple Pack - 2.4 GHz Wireless Signal for RGB &amp; Fan Control - Customizable Lighting Effects - Controller Included &amp; Required - Black (12SL1W3B)</t>
  </si>
  <si>
    <t>Humminbird AS ETH 5PGL 5 Port Ethernet Switch</t>
  </si>
  <si>
    <t>SAMSUNG 15W Wireless Charger Duo w/USB C Cable, Charge 2 Devices at Once, Cordless Super Fast Charging Pad for Galaxy Phones and Devices, 2022, US Version, Black</t>
  </si>
  <si>
    <t>Sony WH-1000XM5 Noise Canceling Wireless Headphones - 30hr Battery Life - Over-Ear Style - Optimized for Alexa and Google Assistant - Built-in mic for Calls - Silver International Version</t>
  </si>
  <si>
    <t>Taramps HD 3000 2 Ohms 1 Channel 3000 Watts RMS MAX Full Range Car Audio, Monoblock, LED Monitor Indicator, Class D Amplifier, Crossover, White 3k amp, Sound Quality</t>
  </si>
  <si>
    <t>WAVLINK AX3000 WiFi 6 Outdoor WiFi Extender with PoE, 2025 New Model Dual Band 2.4G+5G Long Range Outdoor Wireless Access Point, 6x7dBi High-gain Antennas, IP67 Weatherproof, Work with Starlink</t>
  </si>
  <si>
    <t>Creative Sound Blaster X4 Hi-Res 24bit/192kHz DAC USB Externo y Tarjeta de Sonido Amp, Multicanal, Sonido Surround Discreto 7.1, Entrada de Cascos para PC, Mac</t>
  </si>
  <si>
    <t>Celestron Travel Scope 80 Portable Refractor Telescope – 80mm Aperture, Fully-Coated Glass Optics – Includes Tripod, Smartphone Adapter, Backpack &amp; Software – Ideal for Beginners &amp; Travel</t>
  </si>
  <si>
    <t>Corsair 5000D RGB Mid-Tower Case - 3X AF120 RGB Fans - Lighting Node PRO - High-Airflow Design - RapidRoute Cable Management - Black</t>
  </si>
  <si>
    <t>Canon Selphy CP1500 Wireless Compact Photo Printer (White) Bundle with KP-108IN Color Ink Paper Set (108 Sheets of 4x6 Paper + 3 Ink Cartridges) + 6-Slot Memory Card Holder + More, Black</t>
  </si>
  <si>
    <t>Acer R240Y G0bi 23.8" IPS Full HD (1920 x 1080) Ultra-Thin Gaming Office Monitor | Adaptive-Sync Support (FreeSync Compatible) | Up to 120Hz Refresh | 1ms (VRB) | 99% sRGB | Tilt | HDMI &amp; VGA Ports</t>
  </si>
  <si>
    <t>HP EliteDesk 800 G3 Mini Business Desktop PC, Intel Quad-Core i7-6700T up to 3.6G, 16G DDR4, 256G SSD, VGA, DP Port, Windows 11 Professional 64 Bit (Renewed)</t>
  </si>
  <si>
    <t>ASURION 2 Year Headphones Protection Plan ($30 - $39.99)</t>
  </si>
  <si>
    <t>Satechi 8 in 1 USB C Hub Multiport Adapter V2, 4K HDMI, 115W USB C PD Charging, 3 USB-A, Ethernet, Micro/SD Card Readers, for Laptop, MacBook Pro/Air M4/M3/M2/M1, iPad, iPhone 16, Windows - Space Gray</t>
  </si>
  <si>
    <t>MSI MAG X670E Tomahawk WiFi Gaming Motherboard (AMD Ryzen 9000/8000/7000 Series Processors, AM5, DDR5, PCIe 5.0, SATA 6Gb/s, M.2, USB 3.2 Gen 2, Wi-Fi 6E, Bluetooth 5.3, 2.5Gbps LAN, HDMI/DP, ATX)</t>
  </si>
  <si>
    <t>Jabra Speak2 40 Portable Speakerphone - 4 Noise-Cancelling Mics, 50mm Full Range Speakers with Wideband Audio for Clear Sound, USB-A/USB-C Connections - Certified Microsoft Teams Speaker - Dark Grey</t>
  </si>
  <si>
    <t>Sirui Compact Traveler 5C Tripod 54.3 inches Lightweight Carbon Fiber Travel Tripod for Camera with 360° Panorama Ball Head for Arca Swiss Quick Release Plate, Max Load 8.8lbs</t>
  </si>
  <si>
    <t>Linksys Atlas WiFi 6 Router Home WiFi Mesh System, Dual-Band, 6,000 Sq. ft Coverage, 802.11ax, 75+ Devices, Speeds up to (AX3000) 3.0Gbps - MX20MS3, 3-Pack</t>
  </si>
  <si>
    <t>ASURION 3 Year Kitchen Protection Plan ($30 - $39.99)</t>
  </si>
  <si>
    <t>Kodak AZ401RD Point &amp; Shoot Digital Camera with 3" LCD, Red</t>
  </si>
  <si>
    <t>Crunch Ground Pounder GP-2000.2 2000 Watt 2 Channel Amplifier</t>
  </si>
  <si>
    <t>Fujifilm INSTAX Mini Link 3 Smartphone Printer + INSTAX Mini Instant Film (20 Sheets) + USB Wall Charger + BluebirdSales Travel Bag, Photo Album, Microfiber Cleaning Cloth (Clay White)</t>
  </si>
  <si>
    <t>KYOCERA TK-1152 Black Toner Cartridge for P2235dn / P2235dw / M2135dn / M2135dw / M2635dw Model Laser Printers (1T02RV0US0)</t>
  </si>
  <si>
    <t>UGREEN 4K Webcam for PC Ultra HD Web Camera with Microphone, Privacy Cover, 70° Fov, PDAF Autofocus, USB A &amp; USB C Adapter, Plug &amp; Play, for Streaming, Conference, Zoom, Switch 2</t>
  </si>
  <si>
    <t>ASURION 3 Year Home Improvement Protection Plan ($175 - $199.99)</t>
  </si>
  <si>
    <t>ASURION 3 Year Home Improvement Protection Plan ($100 - $124.99)</t>
  </si>
  <si>
    <t>WAVLINK Thunderbolt 4 Hub with Dual HDMI 4K@60Hz,100W Charging, Thunderbolt Certified, 13-in-1 Thunderbolt 4 Dock Dual Monitor Single 8K Output for Windows or Mac, 4X USB, 2.5G Ethernet,SD/MicroSD</t>
  </si>
  <si>
    <t>ASURION 2 Year Sporting Goods Protection Plan ($175 - $199.99)</t>
  </si>
  <si>
    <t>weBoost Overland Antenna for Drive Reach Cell Phone Signal Boosters | Boosts 5G &amp; 4G LTE for All U.S. Carriers - Verizon, AT&amp;T, T-Mobile &amp; More | Made in The USA | FCC Approved (Model 311248)</t>
  </si>
  <si>
    <t>Uniden PC68LTX 40-Channel CB Radio with PA/CB Switch, RF Gain and Mic Gain Control, Analog S/RF Meter, Instant Channel 9, Automatic Noise Limiter, and Hi-Cut Switch,Silver</t>
  </si>
  <si>
    <t>Logitech C920 Hd Pro Webcam (Black) Black</t>
  </si>
  <si>
    <t>Baseus Laptop Docking Station, 4K Multitasking Docking Station with 2 HDMI+DP, PD, 3 USB-A, RJ45, Audio, TF/SD Card Reader, USB Hub Compatible for MacBook/Dell/HP/Surface/Lenovo</t>
  </si>
  <si>
    <t>Dell Laptop Charger GAN 130W USB C Type C AC Adapter,XPS 15 9520 9530 XPS 17 9720 9730 AC Charger, Black, HA130PM170</t>
  </si>
  <si>
    <t>STINGER Audio MT20001 1-Channel Monoblock 2000 Watt RMS Car Audio Subwoofer Amplifier w/Remote Control Bass Knob, Class D, Hexfet Mosfet, Subsonic Filter, Low-Pass Filter, Bass Boost Q</t>
  </si>
  <si>
    <t>Western Digital 1TB WD Red SN700 NVMe Internal Solid State Drive SSD for NAS Devices - Gen3 PCIe, M.2 2280, Up to 3,430 MB/s - WDS100T1R0C</t>
  </si>
  <si>
    <t>Ortofon 2M Blue Moving Magnet Phono Cartridge</t>
  </si>
  <si>
    <t>Godox V1S USA V1 SU Round Head Flash for Sony TTL Hot Shoe Flash 2.4G X Wireless HSS 1/8000s 2980mAh Lithium Battery LED Modeling Lamp Shot speedlight with Tri-Color Diffuser for Sony(USA Version)</t>
  </si>
  <si>
    <t>Furman M-8Dx Merit X Series 8 Outlet Power Conditioner &amp; Surge Protector with LED Voltmeter &amp; Dual Lights Plus Hosa 18 Gauge Electrical Extension Cable</t>
  </si>
  <si>
    <t>Kingston NV3 1TB M.2 2230 NVMe SSD | Up to 6000MB/s | SNV3SM3/1T0</t>
  </si>
  <si>
    <t>Nintendo Wii U Console 32GB Basic Set - Black (Renewed)</t>
  </si>
  <si>
    <t>Brother TN660 (TN-660) High Yield Black Toner Cartridge, 3-Pack</t>
  </si>
  <si>
    <t>Panasonic DECT 6.0 Expandable Cordless Phone System with Answering Machine and Enhanced Noise Reduction - 5 Handsets - KX-TGE645M (Metallic Black)</t>
  </si>
  <si>
    <t>MSI MAG Coreliquid A13 360 - AIO ARGB CPU Liquid Cooler - 360mm Radiator - LGA 1700/1851 / AM5/AM4 Compatible - Triple 120mm ARGB PWM Fans, Black</t>
  </si>
  <si>
    <t>ASURION 2 Year Furniture Protection Plan ($150 - $174.99)</t>
  </si>
  <si>
    <t>ORICO 5 Bay DAS Hard Drive Enclosure USB 3.0 for SATA 3.5 inch SSDs HDDs Bracket-Free External Hard Drive Bay Max up to 110TB ( Alluminum Alloy) -9858U3</t>
  </si>
  <si>
    <t>64GB G.Skill DDR5 Trident Z5 RGB 6400MHz CL32 1.40V Dual Channel Kit 2X 32GB Black</t>
  </si>
  <si>
    <t>Corsair K70 PRO RGB Optical-Mechanical Gaming Keyboard - OPX Linear Switches, PBT Double-Shot Keycaps, 8,000Hz Hyper-Polling, Magnetic Soft-Touch Palm Rest - NA Layout, QWERTY - White</t>
  </si>
  <si>
    <t>HP 95 Tri-color Ink | Works with HP DeskJet 460, 5000, 6000, 9800; OfficeJet H470, 100, 6000, 7000; PhotoSmart C4100, D5000, 300, 400, 2000, 7850, 8000; PSC 1600, 2350 Series | C8766WN</t>
  </si>
  <si>
    <t>Antennas Direct 8-Element Bowtie UHF Outdoor HDTV Antenna, Multi-Directional, 70+ Mile Range, 4K 8K UHD NEXTGEN TV – w/All-Weather Mounting Hardware</t>
  </si>
  <si>
    <t>Intermatic T103 24-Hour Mechanical Timer Switch - 120V DPST, Indoor Metal Enclosure, Heavy-Duty Programmable Time Switch - 40A Load Control for Pumps, Lighting, HVAC, and Fans</t>
  </si>
  <si>
    <t>Line 6 Relay G10TII (Digital Wireless Guitar Transmitter)</t>
  </si>
  <si>
    <t>STINGER Audio Monoblock Car Audio Amplifer with Bass Remote, Bridgeable, Class D 1-Channel Car Amplifier, Mosfet Power Supply, High/Low-Level Input, Competition Grade Amplifier (Black - 1500W)</t>
  </si>
  <si>
    <t>Godox X3N X3-N TTL Wireless Flash Trigger for Nikon Camera, 2.4G Wireless Touchscreen Flash Transmitter, Support TTL Auto/Manual/Multi Flash, Built-in Lithium Battery, High-Definit OLED Screen</t>
  </si>
  <si>
    <t>ASUS RT-AX57 Go - AX3000 Dual Band WiFi 6 (802.11ax) Travel Router, Support 4G/5G Mobile tethering&amp;Public WiFi (WISP) Mode, Subscription-Free Network Security, VPN Features, AiMesh, Guest Portal</t>
  </si>
  <si>
    <t>REOLINK Smart 4K/8MP UHD PTZ Dome Security Camera with Cutting-Edge 16X Optical Zoom, Spotlights Color Night Vision, Person/Vehicle/Animal Detection, 2 Way Talk, 24/7 Recording</t>
  </si>
  <si>
    <t>Icom M94d Vhf Marine Radio W/dsc &amp; Ais</t>
  </si>
  <si>
    <t>ASURION 2 Year Laptop Protection Plan ($350 - $399.99)</t>
  </si>
  <si>
    <t>ASURION 2 Year Furniture Protection Plan ($250 - $299.99)</t>
  </si>
  <si>
    <t>Linksys Multi-gig Micro Mesh WiFi 6 System | Connect 100+ Devices | Up to 5,000 Sq Ft | Speeds of up to 3.0 Gbps | 3Pk | No App Required | 2024 Release</t>
  </si>
  <si>
    <t>GVM Great Video Maker LED Ring Light 5600K Selfie Light, Smartphone Video Rig &amp; Phone Video Stabilizer for Camera, Smartphone, Makeup, YouTube Setup, Self-Portrait Shooting with Bluetooth</t>
  </si>
  <si>
    <t>Apple iPhone XS, 64GB, Gold - Fully Unlocked (Renewed)</t>
  </si>
  <si>
    <t>Nintendo Switch – OLED Model w/White Joy-Con</t>
  </si>
  <si>
    <t>Insta360 GPS Action Remote</t>
  </si>
  <si>
    <t>Original Mini 3 Pro Fly More Kit Plus for DJI Mini 3,Original Accessories (Plus version（Battery life 47-min）)</t>
  </si>
  <si>
    <t>LIAN LI SP 850 80+ Gold, White Color, Performance SFX Form Factor Power Supply - SP850 White</t>
  </si>
  <si>
    <t>Callaway Axle 17" Laptop Backpack, Black, 19.25" H x 13" W x 9.25" D</t>
  </si>
  <si>
    <t>Garmin 010-02427-00 Venu Sq, GPS Smartwatch with Bright Touchscreen Display, Up to 6 Days of Battery Life, Slate (Renewed)</t>
  </si>
  <si>
    <t>Elgato Wave DX - Dynamic XLR Microphone, Cardioid Pattern, Noise Rejection, Speech optimised for Podcasting, Streaming, Broadcasting, No Signal Booster Required, Works with Any Interface, for Mac, PC</t>
  </si>
  <si>
    <t>SENNHEISER Professional ME 2 Small Omni-directional Lavalier Microphone For Use With Wireless SK Bodypack Transmitters,Black</t>
  </si>
  <si>
    <t>Humminbird 407860-1 HDR 650 In Dash Digital Depth Sounder</t>
  </si>
  <si>
    <t>G.SKILL AEGIS Series DDR4 RAM (XMP) 32GB (2x16GB) 3200MT/s CL16-18-18-38 1.35V Intel AMD Desktop Computer Memory U-DIMM (F4-3200C16D-32GIS)</t>
  </si>
  <si>
    <t>ASRock H470M-HVS Micro-ATX Motherboard: Intel 10th Gen LGA1200, DDR4 2933MHz, HDMI/D-Sub, 4X SATA3, 4X USB 3.2 Gen1, Realtek ALC897</t>
  </si>
  <si>
    <t>Shure Microflex MX153 Earset Headworn Microphone - Tan, Omnidirectional Mic, TQG / TA4F Connector Wireless Bodypack Transmitters (MX153T/O-TQG)</t>
  </si>
  <si>
    <t>HP 45 Black Ink Cartridge | Works with select HP DeskJet, DesignJet, OfficeJet, OfficeJet Pro, PhotoSmart, Color Copier, Fax Series | 51645A</t>
  </si>
  <si>
    <t>be quiet! Light Mount Mechanical Keyboard | Linear | Hot-Swappable Lubricated Silent Switches | 3D Media Wheel | ARGB Keyboard | Quality PBT Double-Shot Keycaps | Programmable | BT003US</t>
  </si>
  <si>
    <t>KODAK 35mm Professional Portra Color Film (ISO 160) 6031959,Yellow</t>
  </si>
  <si>
    <t>Garmin vivofit jr. 3, Fitness Tracker for Kids, Includes Interactive App Experience, Swim-Friendly, Up To 1-year Battery Life, Lilac Floral</t>
  </si>
  <si>
    <t>Samsung Galaxy Note 8, 64GB, Midnight Black - Fully Unlocked (Renewed)</t>
  </si>
  <si>
    <t>MSI MAG A750BN PCIE 5 Gaming Power Supply - PCIE 5.1 Ready - 80 Plus BronzeCertified 750w - Compact Size - ATX PSU</t>
  </si>
  <si>
    <t>Jabra Evolve 65 TE (Third Edition) Wireless Single-Ear Headphones - Noise-Canceling Mic, 16 hr Battery Life, Dual Connectivity, MS Teams Certified, Supports Other Platforms, Black</t>
  </si>
  <si>
    <t>ASURION 2 Year Sporting Goods Protection Plan ($200 - $249.99)</t>
  </si>
  <si>
    <t>Cardo Packtalk Neo JBL Second Helmet Kit,Black</t>
  </si>
  <si>
    <t>KICKER KM65 6.5-Inch (165mm) Marine Coaxial Speakers with 3/4-Inch Tweeters, LED, 4-Ohm, Charcoal and White Grilles</t>
  </si>
  <si>
    <t>Logitech G303 Shroud Edition Wireless Gaming Mouse - LIGHTSPEED- HERO 25K - 25,600 DPI - 75 grams - 5-buttons – PC - Black</t>
  </si>
  <si>
    <t>PIONEER TS-A301D4 - Powerful 12-inch Subwoofer, 1600 Watts Peak Power, Dual 4 Ohm Voice Coil for Powerful Bass</t>
  </si>
  <si>
    <t>Nikon 55-200mm f/4-5.6G ED IF AF-S DX VR [Vibration Reduction] Nikkor Zoom Lens Bulk packaging (White box, New)</t>
  </si>
  <si>
    <t>Crosley CR6047A-AB Powel 7-in-1 Bluetooth in/Out Vinyl Record Player with AM/FM Radio, CD Player, and Aux-in, Aqua Blue</t>
  </si>
  <si>
    <t>Nitecore NB20000 Gen 3 20000mAh Power Bank, Fast Charging QC PD Dual USB-C Ports Compatible with iPhone, Samsung Galaxy and Tablets with Lumentac USB Charging Cable</t>
  </si>
  <si>
    <t>FUJIFILM Mini 41 Instant Film Camera Bundle – Instant Photo Camera with Fujifilm Mini Film (20 Sheets), Photo Album, Batteries, Cleaning Cloth &amp; Accessories – Great Gift for Kids, Teens &amp; Beginners</t>
  </si>
  <si>
    <t>KODAK Digital Picture Frame with WiFi 10.1 inch 1280x800 IPS HD Touch Screen, 32GB Storage Auto-Rotate Wall Mountable Easy Share Photos or Videos, Christmas Birthday for Women</t>
  </si>
  <si>
    <t>StarTech.com Standalone Hard Drive Duplicator, External Dual Bay HDD/SSD Cloner/Copier, USB to SATA III Docking Station</t>
  </si>
  <si>
    <t>ASUS RT-AX86U Pro (AX5700) Dual Band WiFi 6 Extendable Gaming Router, 2.5G Port, Mobile Game Mode, Port Forwarding, Subscription-Free Network Security, VPN, AiMesh Compatible (Renewed), BLACK</t>
  </si>
  <si>
    <t>JBL Live 660NC - Wireless Over-ear Noise Cancelling headphones, JBL Signature Sound, Voice Assist, Up to 50Hrs of Battery with Speed Charging, Comfort-fit fabric headband and carrying pouch (Black)</t>
  </si>
  <si>
    <t>NETGEAR Nighthawk Dual-Band WiFi 7 Router (RS100) – Security Features, BE3600 Wireless Speed (up to 3.6 Gbps) - Covers up to 2,000 sq. ft., 50 Devices – 2.5 Gig Internet Port - Free Expert Help</t>
  </si>
  <si>
    <t>ASURION 3 Year Home Improvement Protection Plan ($250 - $299.99)</t>
  </si>
  <si>
    <t>Nikon FTZ II - Adapter for F-Mount Lenses on Z-Mount Cameras</t>
  </si>
  <si>
    <t>KODAK EKTAR H35N Half Frame Film Camera Bundle with Kodak Ultramax 400/24EXP 35mm Roll Film (Striped Black)</t>
  </si>
  <si>
    <t>Nintendo DSi - Pink (Renewed)</t>
  </si>
  <si>
    <t>Humminbird 710198-1 XNT 9 20 T - Transom Single/DualBeam Transducer</t>
  </si>
  <si>
    <t>Cisco Business CBS110-8T-D Unmanaged Switch | 8 Port GE | Desktop | Ext PS | Limited Lifetime Protection (CBS110-8T-D-NA)</t>
  </si>
  <si>
    <t>Yealink BH70 UC (NO Dongle) Wireless Bluetooth Headset with Microphone for Work, 35h Talking Battery Life, 3-Mic Noise Cancellation Headsets for Computer, 91g Lightweight Headphone for Open Office</t>
  </si>
  <si>
    <t>Texas Instruments TI-84 Plus C Silver Edition Graphing Calculator, Black</t>
  </si>
  <si>
    <t>Lenovo ThinkVision M15 15.6" Full HD WLED LCD Monitor - 16:9 - Raven Black</t>
  </si>
  <si>
    <t>Garmin vivofit jr. 3, Fitness Tracker for Kids, Includes Interactive App Experience, Swim-Friendly, Up To 1-year Battery Life, Blue Stars</t>
  </si>
  <si>
    <t>Stinger Audio MT-600.4 1000 Watt RMS Compact 4-Channel Car Audio Amplifier, Class D, Hexfet Mosfet, Crossover High-Pass/Low-Pass Filters</t>
  </si>
  <si>
    <t>Fellowes Binding Machine Star+ Comb Binding (5006501), 3.1" x 17.7" x 9.8"</t>
  </si>
  <si>
    <t>NETGEAR Nighthawk M6 5G WiFi 6 Mobile Hotspot Router (MR6110) – Blazing Fast Wireless Hotspot Router, Unlocked, Certified with AT&amp;T - White (Renewed)</t>
  </si>
  <si>
    <t>Creative Sound Blaster AE-7 Hi-Res Internal PCIe Sound Card, Quad-Core Processor, 127dB DNR ESS SABRE-class 9018 DAC, Xamp Discrete Custom Bi-amp, Discrete 5.1/Virtual 7.1, Dolby, DTS Encoding (Black)</t>
  </si>
  <si>
    <t>Casio HR-300RC – Printing Calculator with Backlit LCD Display | Cost/Sell/Margin, Tax &amp; Time Functions | Re-Print &amp; 150-Step Check | Ideal for Personal, Business &amp; Office Use</t>
  </si>
  <si>
    <t>Ring Battery Doorbell with Ring Chime</t>
  </si>
  <si>
    <t>Kate Spade New York Designer Interchangeable Stainless Steel Band Compatible with Your 38/40/41mm Apple Watch Series 9/8/7/6/5/4/3/2/1/SE</t>
  </si>
  <si>
    <t>iOttie Car Charger Easy One Touch Wireless 2 Qi Charging CD Slot + Air Vent Combo Phone Mount for iPhone, Samsung Galaxy, Huawei, LG, Smartphones, Black</t>
  </si>
  <si>
    <t>Walker's Disrupter Bluetooth Earbuds - Active Lifestyle Ear Protection Hearing Enhancement Noise-Cancelling Rechargeable</t>
  </si>
  <si>
    <t>YAMAHA NS-AW190BL 2-Way Indoor/Outdoor Speakers (Pair, Black)</t>
  </si>
  <si>
    <t>LG 27SR50F-W Smart Monitor 27-Inch FHD (1920x1080) IPS Display, webOS 23, HDR 10, x2 Built-in Speakers, AirPlay 2, Screen Share, Bluetooth, ThinQ App, Remote Control, White</t>
  </si>
  <si>
    <t>ASURION 3 Year Home Improvement Protection Plan ($200 - $249.99)</t>
  </si>
  <si>
    <t>Pyle 6.5 Inch Wall Mount Waterproof Speaker System for Indoor or Outdoor Wireless Bluetooth Surround Sound System, White (2 Pack)</t>
  </si>
  <si>
    <t>ASURION 2 Year Floorcare Extended Protection Plan ($250 - $299.99)</t>
  </si>
  <si>
    <t>Antec C8 Curve Wood, Fans not Included, Wooden Front Panel, Super Wide Angle Single Curved Glass, Dual-Chamber Layout, Type-C, 360mm Radiator Support, RTX 40 Compatible, Full-Tower E-ATX PC Case</t>
  </si>
  <si>
    <t>HP EliteBook 840 G7 14 Notebook - 1920 x 1080 -Quad Core i5-10310U - 16 GB RAM - 256 SSD - Windows 10 Pro 64-bit - Intel UHD Graphics - Bluetooth - English Keyboard (Renewed)</t>
  </si>
  <si>
    <t>Pioneer A-Series Plus TS-A6971F 6” x 9” 4-Way Speakers (Pair) – 600W Max, Balanced Sound + Smooth Treble, Enhanced Bass, Ideal Factory Upgrade, Installation Adaptors Included</t>
  </si>
  <si>
    <t>HP Series 5 24 inch FHD Monitor, Full HD Display (1920 x 1080), IPS Panel, 99% sRGB, 1500:1 Contrast Ratio, 300 nits, Eye Ease with Eyesafe Certification, 524sw (2024)</t>
  </si>
  <si>
    <t>Poly (Plantronics + Polycom) CS540 Wireless Headset System</t>
  </si>
  <si>
    <t>Eton Elite Executive AM/FM/Aircraft Band/SSB/Shortwave Radio</t>
  </si>
  <si>
    <t>Canon PGI-72 Genuine Ten Color Pack, Compatible with PIXMA PRO-10 Printers</t>
  </si>
  <si>
    <t>Vortex Optics Pro Binocular Adapter</t>
  </si>
  <si>
    <t>SAMSUNG 27-Inch CR50 Frameless Curved Gaming Monitor (LC27R500FHNXZA) – 60Hz Refresh, Computer Monitor, 1920 x 1080p Resolution, 4ms Response, FreeSync, HDMI,Black</t>
  </si>
  <si>
    <t>Scosche Qi2 Wireless MagSafe Car Mount Charger, 15W Magnetic Cell Phone Holder for Car with AMPS Mounting Plate for ProClip Vehicle Specific Mount Bases Compatible with iPhone, Samsung (Base Required)</t>
  </si>
  <si>
    <t>ASRock Low Profile AMD Radeon RX 6400 4GB GDDR6 Graphics Card - 2321 MHz Boost, Single Slot, SFF, HDMI 2.1, 0dB Cooling, DX12 Ultimate</t>
  </si>
  <si>
    <t>Desktop Gooseneck Wired Microphone System - Table Mounted Corded Voice Condenser Mic with Pop Filter - XLR to 1/4'' Sound Cord - for Karaoke, Conference, Studio Audio Recording - Pyle PDMIKC5 Black</t>
  </si>
  <si>
    <t>PlayStation VR2 Horizon Call of The Mountain™ Bundle (PSVR2)</t>
  </si>
  <si>
    <t>CORSAIR 6500X Mid-Tower ATX Dual Chamber PC Case – Panoramic Tempered Glass – Reverse Connection Motherboard Compatible – No Fans Included – Black</t>
  </si>
  <si>
    <t>EPOMAKER HE80 Hall Effect Gaming Keyboard, 8K Polling &amp; 32K Scan, Creamy Gasket, DKS, SOCD, Hot-Swappable, RGB Backlit, Wired Gaming Keyboard for PC &amp; Mac (Black)</t>
  </si>
  <si>
    <t>Logitech G Astro A30 LIGHTSPEED Wireless Gaming Headset - Bluetooth, Dolby Atmos/3D Audio compatible, Detachable Boom, 27hr battery, for Xbox, Nintendo Switch, PC, Android</t>
  </si>
  <si>
    <t>Razer Huntsman V3 Pro Mini 60% Gaming Keyboard: Analog Optical Switches w/Rapid Trigger &amp; Adjustable Actuation - Onboard Adjustments - Dual-Purpose Mod Keys - Doubleshot PBT Keycaps - Black… (Renewed)</t>
  </si>
  <si>
    <t>Brother Genuine High Yield Toner Cartridge, TN650, Replacement Black Toner, Page Yield Up To 8,000 Pages</t>
  </si>
  <si>
    <t>Dell 7-in-1 USB-C Multiport Adapter - DA310-2. USB-A Ports, 1 USB-C, 1 HDMI, 1 DisplayPort, 1 VGA and 1 RJ-45 Port, Crisp 4K Resolution at 60Hz, SuperSpeed Data Transfers, Lightweight and Portable.</t>
  </si>
  <si>
    <t>VTECH SN1127 Amplified Corded Answering System. 8 Photo Speed Dial, 90dB Ringer Volume, Big High-Contrast buttons, Audio Booster(+40db), Visual Ringer. Perfect for Seniors, Visually &amp; Hearing Impaired</t>
  </si>
  <si>
    <t>GODOX V1 V1-S Flash for Sony, 76Ws 2.4G TTL Speedlite for Sony HSS 1/8000s, 480 Full Power Shots, Rechargeable Li-ion Battery, 1.5s Recycle Time, 10 Levels LED Modeling Lamp</t>
  </si>
  <si>
    <t>Samsung 55” The Frame TV Customizable Bezel, Magnetic, Quick and Easy Installation, VG-SCFC55SGMZA, 2023, Sand Gold Metal</t>
  </si>
  <si>
    <t>G.SKILL Trident Z5 Neo RGB Series (AMD Expo) DDR5 RAM 64GB (2x32GB) 6000MT/s CL32-38-38-96 1.40V Desktop Computer Memory UDIMM - Matte Black (F5-6000J3238G32GX2-TZ5NR)</t>
  </si>
  <si>
    <t>E-Z Ink Compatible Replacement for Brother TN229 TN229xl Toner Cartridges 4 Pack High Yield for MFC-L3780CDW HL-L3280CDW MFC-L3720CDW HL-L3220CDW HL-L3295CDW HL-L8245CDW TN-229 TN229 B/C/M/Y (4 Pack)</t>
  </si>
  <si>
    <t>Poly Studio V12 – USB Video Bar for Small Rooms - 4K 20MP Camera, AI-Enhanced Audio, Noise Cancellation, Poly Lens Management - Microsoft Teams, Zoom &amp; Google Meet Compatible - Thoughtfully Made</t>
  </si>
  <si>
    <t>Epson Expression Photo XP-8800 Wireless Printer with 6-Color Claria Ink System, Borderless Printing up to 8.5" x 11", Fast 4" x 6" Photo Printing, 4.3" Color Touchscreen, Built-in Scanner and Copier</t>
  </si>
  <si>
    <t>Lenovo – USB-C 7-in-1 Hub – Computer Networking Laptop Accessory – Laptop Docking Station - 4K via HDMI, 3 USB-A devices, 2 SD/TF Card Readers USB-C Power Pass Through</t>
  </si>
  <si>
    <t>Kate Collapsible Backdrop Pop Up Photo Backdrops Gray Blue Folded Background for Portrait Photography, for Video, for Live Stream, 5x6.5ft</t>
  </si>
  <si>
    <t>Xyron Two Sided Laminate Refill for 9" Creative Station, 9 3/8" x 40', Refill-Cartridge for Label Maker, Laminator Machine, Scrapbooking Supplies, Home Office &amp; Home School Craft Supplies (0902-01-40)</t>
  </si>
  <si>
    <t>Belkin 3-Port USB C Charger Block 67W - PPS, USB-C PD 3.1 Enabled Fast Charging Charger for iPhone 16, MacBook Pro, AirPods, Galaxy, Nintendo Switch 2 &amp; Other PD Enabled Devices - White</t>
  </si>
  <si>
    <t>ASURION 3 Year Kitchen Protection Plan ($80 - $89.99)</t>
  </si>
  <si>
    <t>Ortofon 2M Red Moving Magnet Phono Cartridge</t>
  </si>
  <si>
    <t>Thermaltake SWAFAN EX 12 ARGB PC Cooling Fan, 3-Fan pcak, 500~2000 RPM, Magnetic Connection, Reversable Blades, sync with MB RGB Software, CL-F167-PL12SW-A, 120mm, Black</t>
  </si>
  <si>
    <t>Victrola Journey II (2025 Model) – Bluetooth Suitcase Record Player – Built-in Stereo Speakers with Enhanced Bass, 3-Speed Turntable, Bluetooth Input and Output, RCA &amp; Headphone Outputs (Black)</t>
  </si>
  <si>
    <t>Plantronics Blackwire C3220 USB Headset</t>
  </si>
  <si>
    <t>Kipling Women's Seoul Small Tablet Backpack, Durable, Padded Shoulder Straps with Tablet Sleeve, Bag</t>
  </si>
  <si>
    <t>Wacom KP-501E-01X Intuos Pro Option Pen Standard Pen</t>
  </si>
  <si>
    <t>Razer Huntsman V3 Pro Mini 60% Esports Gaming Keyboard: Analog Optical Switches Snap Tap - Rapid Trigger - Adjustable Actuation - Dual-Purpose Mod Keys - Doubleshot PBT Keycaps - White</t>
  </si>
  <si>
    <t>NZXT Signal HD60 Full HD USB Capture Card - ST-EESC1-WW - HD60 (1080p) - Live Streaming and Gaming - Zero-Lag Passthrough - Open Compatibility</t>
  </si>
  <si>
    <t>Ubiquiti Networks Flex 2.5G PoE (USW-Flex-2.5G-8-PoE)</t>
  </si>
  <si>
    <t>Peak Design Everyday Sling 10L, Ideal for Carrying Cameras or Everyday Essentials for Men and Women</t>
  </si>
  <si>
    <t>Roku Indoor Camera 360° for Home Security - Security Camera with 1080p HD Color Night Vision, Works with Alexa &amp; Google, Motion Detection &amp; Tracking - Pan &amp; Tilt - 90-Day Subscription Included</t>
  </si>
  <si>
    <t>Fjallraven Raven 28 - Navy</t>
  </si>
  <si>
    <t>PNY XLR8 Gaming 32GB (2x16GB) DDR4 DRAM 3600MHz (PC4-28800) CL18 1.35V RGB Dual Channel Desktop (DIMM) Memory – MD32GK2D4360018XRGB</t>
  </si>
  <si>
    <t>Sennheiser HD 400S Closed Back, Around Ear Headphone with One-Button Smart Remote on Detachable Cable</t>
  </si>
  <si>
    <t>TC Electronic POLYTUNE CLIP Clip-On Tuner with Polyphonic, Strobe and Chromatic Modes and 108 LED Matrix Display for Ultimate Tuning Performance</t>
  </si>
  <si>
    <t>Godox Xpro-S for Sony TTL Wireless Flash Trigger 1/8000s HSS TTL-Convert-Manual Function Large Screen Slanted Design 5 Dedicated Group Buttons 11 Customizable Functions</t>
  </si>
  <si>
    <t>NEEWER NW-7000 Microphone Boom Arm, 3 Section Extendable Handheld Mic Arm with 3/8" &amp; 3/8" to 5/8" Screw Adapter, 3ft to 8ft Adjustable Length,Auxiliary</t>
  </si>
  <si>
    <t>Roku Express 4K 2022 | Streaming Media Player HD/4K/HDR with Smooth Wireless Streaming and Roku Simple Remote with TV Controls, Includes Premium HDMI Cable</t>
  </si>
  <si>
    <t>SanDisk 32GB Ultra SDHC UHS-I Class 10 Memory Card 120MB/s U1, Full HD, SD Camera Card SDSDUN4-032G (5 Pack) Bundle with (1) GoRAM USB 3.0 Card Reader</t>
  </si>
  <si>
    <t>Pyle Amplified Wireless Bluetooth Audio Controller - 300 Watt Bluetooth Media Button, Waterproof Marine Receiver Remote Control W/Aux, Mount for Car Truck Boat Marine Powersport Vehicles - PLMRBT18</t>
  </si>
  <si>
    <t>Targus USB-C Dual HDMI 4K Docking Station with 100W PD Pass-Thru - Expand Your HDMI, USB, and Ethernet Connections On-The-Go (DOCK423TT)</t>
  </si>
  <si>
    <t>SAMSUNG Galaxy Tab A9+ (SM-X210), 64GB 4GB RAM, WiFi Only, 11" Display, International Version - (Silver)</t>
  </si>
  <si>
    <t>Corsair RS120-R ARGB 120mm PWM ARGB Reverse Fans – Reverse Rotor, +5V ARGB Connections, Eight RGB LEDs, High Static Pressure, Daisy-Chain, Magnetic Dome Bearing, Zero RPM Mode – Triple Pack – Black</t>
  </si>
  <si>
    <t>Lian Li Hydroshift LCD 360 Liquid Cooler - Flexible Side-Mounted Coolant Pathway, 2.88” LCD Screen - 480 x 480 Res. - Captured Screenshots or Recorded Videos - Fits Most PC Fans - Black (HSLCD36NB)</t>
  </si>
  <si>
    <t>Verbatim M DISC BDXL 100GB 6X with Branded Surface Blank Blu-Ray Recordable Media – 5pk Jewel Case Box,Blue</t>
  </si>
  <si>
    <t>8Bitdo Retro Mechanical Keyboard, Bluetooth/2.4G/USB-C Hot Swappable Gaming Keyboard with 87 Keys, Dual Super Programmable Buttons for Windows and Android - N Edition</t>
  </si>
  <si>
    <t>Texas Instruments TI-84 Plus CE Color Graphing Calculator, Black</t>
  </si>
  <si>
    <t>Amazon Basics 48-Pack AA Alkaline High-Performance Batteries, 1.5 Volt, 10-Year Shelf Life</t>
  </si>
  <si>
    <t>Texas Instruments TI-30XIIS Scientific Calculator, Black with Blue Accents</t>
  </si>
  <si>
    <t>Amazon Basics AAA Alkaline High-Performance Batteries, 1.5 Volt, 10-Year Shelf Life, 36 Count (Pack of 1)</t>
  </si>
  <si>
    <t>Amazon Basics Clear Thermal Laminating Plastic Paper Laminator Sheets, 9 x 11.5-Inch, 200-Pack, 3mil</t>
  </si>
  <si>
    <t>Energizer AA Batteries Alkaline Power, 32 Count Alkaline Double A Battery Pack</t>
  </si>
  <si>
    <t>Amazon Basics Wood-Cased #2 Pencils, Pre-sharpened, HB Lead Bulk Box, 150 Count, Yellow</t>
  </si>
  <si>
    <t>Duracell 2032 Lithium Battery. 4 Count Pack. Child Safety Features. Compatible with Apple AirTag, Key Fob, and other devices. CR2032 3V Cell. 2032 Battery, Lithium Coin</t>
  </si>
  <si>
    <t>Fellowes Platinum Series Dual Monitor Arm for 40-Inch Monitors, Full Motion, 360° Rotation, VESA Mount with Grommet or Clamp, USB Ports, Ergonomic, Black, 8042501</t>
  </si>
  <si>
    <t>ASURION 2 Year Electronics Protection Plan ($90 - $99.99)</t>
  </si>
  <si>
    <t>ASURION 3 Year Home Improvement Protection Plan ($70 - $79.99)</t>
  </si>
  <si>
    <t>Apple AirPods Pro 2 Wireless Earbuds, Active Noise Cancellation, Hearing Aid Feature, Bluetooth Headphones, Transparency, Personalized Spatial Audio, High-Fidelity Sound, H2 Chip, USB-C Charging</t>
  </si>
  <si>
    <t>Apple AirTag 4 Pack. Keep Track of and find Your Keys, Wallet, Luggage, Backpack, and More. Simple one-tap Set up with iPhone or iPad</t>
  </si>
  <si>
    <t>Apple AirPods 4 Wireless Earbuds, Bluetooth Headphones, Personalized Spatial Audio, Sweat and Water Resistant, USB-C Charging Case, H2 Chip, Up to 30 Hours of Battery Life, Effortless Setup for iPhone</t>
  </si>
  <si>
    <t>Apple AirTag. Keep Track of and find Your Keys, Wallet, Luggage, Backpack, and More. Simple one-tap Set up with iPhone or iPad</t>
  </si>
  <si>
    <t>Apple iPad 11-inch: A16 chip, 11-inch Model, Liquid Retina Display, 128GB, Wi-Fi 6, 12MP Front/12MP Back Camera, Touch ID, All-Day Battery Life — Blue</t>
  </si>
  <si>
    <t>Apple 2025 MacBook Air 13-inch Laptop with M4 chip: Built for Apple Intelligence, 13.6-inch Liquid Retina Display, 16GB Unified Memory, 256GB SSD Storage, 12MP Center Stage Camera, Touch ID; Midnight</t>
  </si>
  <si>
    <t>Roku Streaming Stick HD 2025 — HD Streaming Device for TV with Roku Voice Remote, Free &amp; Live TV</t>
  </si>
  <si>
    <t>Apple Watch SE (2nd Gen) [GPS 40mm] Smartwatch with Starlight Aluminum Case with Starlight Sport Band S/M. Fitness and Sleep Trackers, Crash Detection, Heart Rate Monitor, Retina Display</t>
  </si>
  <si>
    <t>Apple EarPods Headphones with USB-C Plug, Wired Ear Buds with Built-in Remote to Control Music, Phone Calls, and Volume</t>
  </si>
  <si>
    <t>Sony ZX Series Wired On-Ear Headphones, Black MDR-ZX110</t>
  </si>
  <si>
    <t>ASURION 3 Year Kitchen Protection Plan ($175 - $199.99)</t>
  </si>
  <si>
    <t>Amazon Basics Micro SDXC Memory Card with Full Size Adapter, A2, U3, Read Speed up to 100 MB/s, 128 GB, Black</t>
  </si>
  <si>
    <t>Mounting Dream TV Wall Mount for 32-65 Inch Television,Mount with Swivel and Tilt, Full Motion Bracket with Articulating Dual Arms, Fits 16inch Studs, Max VESA 400X400 mm, 99lbs, MD2380</t>
  </si>
  <si>
    <t>Scotch Heavy Duty Shipping and Moving Packing Tape, Clear, Packing and Moving Supplies, 1.88 in. x 22.2 yd., 6 Tape Rolls with Dispensers</t>
  </si>
  <si>
    <t>JBL Vibe Beam - True Wireless JBL Deep Bass Sound Earbuds, Bluetooth 5.2, Water &amp; Dust Resistant, Hands-free call with VoiceAware, Up to 32 hours of battery life (Black)</t>
  </si>
  <si>
    <t>Apple Pencil Pro: Latest Model - Device Compatibility Check Required - Pixel-Perfect Precision, Tilt and Pressure Sensitivity, Perfect for Note-Taking, Drawing, and Art. Charges and Pairs Magnetically</t>
  </si>
  <si>
    <t>TP-Link AC1200 WiFi Extender, 2025 Wirecutter Best WiFi Extender, 1.2Gbps Home Signal Booster, Dual Band 5GHz/2.4GHz, Up to 1600 Sq.ft and 32 Devices, EasyMesh Compatible, One Ethernet Port (RE315)</t>
  </si>
  <si>
    <t>Samsung Galaxy Tab A9+ Tablet 11” 64GB Android Tablet, Big Screen, Quad Speakers, Upgraded Chipset, Multi Window Display, Slim, Light, Durable Design, US Version, 2024, Graphite</t>
  </si>
  <si>
    <t>Apple Watch Series 10 [GPS 42mm case] Smartwatch with Rose Gold Aluminium Case with Light Blush Sport Band - S/M. Fitness Tracker, ECG App, Always-On Retina Display, Water Resistant</t>
  </si>
  <si>
    <t>SanDisk 128GB Extreme PRO SDXC UHS-I Memory Card - C10, U3, V30, 4K UHD, SD Card - SDSDXXD-128G-GN4IN</t>
  </si>
  <si>
    <t>Beats Solo 4 - Wireless Bluetooth On-Ear Headphones, Apple &amp; Android Compatible, Up to 50 Hours of Battery Life - Cloud Pink</t>
  </si>
  <si>
    <t>AMD RYZEN 7 9800X3D 8-Core, 16-Thread Desktop Processor</t>
  </si>
  <si>
    <t>Seagate Portable 2TB External Hard Drive HDD — USB 3.0 for PC, Mac, PlayStation, &amp; Xbox -1-Year Rescue Service (STGX2000400)</t>
  </si>
  <si>
    <t>Apple Pencil (USB-C): Device Compatibility Check Required - Pixel-Perfect Precision, Tilt Sensitivity, Perfect for Note-Taking, Drawing, and Signing Documents. Charges and Pairs with USB-C</t>
  </si>
  <si>
    <t>VIZIO 40-inch Full HD 1080p Smart TV with DTS Virtual: X, Alexa Compatibility, Google Cast Built-in, Bluetooth Headphone Capable, (VFD40M-08 New)</t>
  </si>
  <si>
    <t>Logitech Brio 101 Full HD 1080p Webcam for Meetings, Streaming, Desktop, Laptop, PC - Built-in Mic, Shutter, USB-A, Teams, Zoom - Black</t>
  </si>
  <si>
    <t>Roku Streaming Stick Plus 2025 - 4K &amp; HDR Roku Streaming Device for TV with Voice Remote - Free &amp; Live TV</t>
  </si>
  <si>
    <t>Original HP 962 Cyan, Magenta, Yellow / 962XL Black Ink Cartridges (4-Pack) | Works with HP OfficeJet 9010 Series, HP OfficeJet Pro 9010, 9020 Series</t>
  </si>
  <si>
    <t>Anker iPhone 16 Charger, 2-Pack 20W Fast USB C Charger Block, for iPhone 16/16 Pro Max/15 Series/iPad Pro and More (Black, 2 Pack &amp; 2 Cable)</t>
  </si>
  <si>
    <t>Apple 20W USB-C Compact Power Adapter: Fast and Convenient Charging, Type C Wall Charger</t>
  </si>
  <si>
    <t>Logitech M185 Wireless Mouse, 2.4GHz with USB Mini Receiver, 12-Month Battery Life, 1000 DPI Optical Tracking, Ambidextrous PC/Mac/Laptop - Swift Grey</t>
  </si>
  <si>
    <t>HP 936 Black, Cyan, Magenta, Yellow Ink Cartridges Printers (4-Pack) | Works with OfficeJet 9120, OfficeJet Pro 9110, 9120, 9130, Wide Format 9730 | Eligible for Instant Ink | 6C3Z5LN</t>
  </si>
  <si>
    <t>Samsung 990 PRO SSD NVMe M.2 PCIe Gen4, M.2 2280 Internal Solid State Hard Drive, Seq. Read Speeds Up to 7,450 MB/s for High End Computing, Gaming, and Heavy Duty Workstations, MZ-V9P2T0B/AM</t>
  </si>
  <si>
    <t>Fitbit Inspire 3 Health &amp;-Fitness-Tracker with Stress Management, Workout Intensity, Sleep Tracking, 24/7 Heart Rate and more, Midnight Zen/Black One Size (S &amp; L Bands Included)</t>
  </si>
  <si>
    <t>Texas Instruments TI-84 Plus Graphics Calculator, Black 320 x 240 pixels (2.8" diagonal)</t>
  </si>
  <si>
    <t>HP Original 952 Cyan, Magenta, Yellow / 952XL Black Ink Cartridges (4-Pack) | Works OfficeJet 8702 OfficeJet Pro 7700, 8210, 8700 Series | Eligible for Instant Ink | N9K28AN</t>
  </si>
  <si>
    <t>ASURION 3 Year Housewares Protection Plan ($200 - $249.99)</t>
  </si>
  <si>
    <t>Logitech H390 Gaming Headphones, Wired Headphones with Mic, USB Headset with Microphone for PC, Noise Cancelling Microphone for Video Meetings, Music, Gaming - Black</t>
  </si>
  <si>
    <t>Anker USB C Charger(Nano II 65W), PPS 3-Port Fast Compact Foldable Wall Charger for MacBook Pro/Air, iPad Pro, Galaxy S20, Dell XPS 13, Note 20/10+, iPhone 16/16 Pro, Steam Deck, and More</t>
  </si>
  <si>
    <t>Sceptre New 27-inch Gaming Monitor 100Hz 1ms DisplayPort HDMI x2 100% sRGB AMD FreeSync Build-in Speakers, Eye Care Frameless Machine Black 2024 (E275W-FW100T)</t>
  </si>
  <si>
    <t>Roku Streaming Stick 4K - HDR &amp; Dolby Vision Roku Streaming Device for TV with Voice Remote &amp; Long-Range Wi-Fi - Free &amp; Live TV</t>
  </si>
  <si>
    <t>Amazon Basics Full Motion Articulating TV Monitor Wall Mount for 26" to 55" TVs and Flat Panels up to 80 Lbs, Black</t>
  </si>
  <si>
    <t>Logitech C920x HD Pro Webcam, Full HD 1080p/30fps Video, Clear Audio, HD Light Correction, PC Camera Webcam, Works with Skype, Zoom, Facetime, PC, Laptop, Mac, Tablet - Black</t>
  </si>
  <si>
    <t>Samsung Galaxy Buds 3 Pro AI True Wireless Bluetooth Earbuds, Noise Cancelling, Sound Optimization, Redesigned Comfort Fit, Silver [US Version, Amazon Exclusive, 2Yr Warranty]</t>
  </si>
  <si>
    <t>LISEN Retractable Car Charger, 69W USB C Car Accessories Adapter for iPhone 16 USB C Charger Fast Charging,Gifts for Women Men, Travel Essentials, Truck Accessories, for iPhone 16 Pro Max 15 14 13 12</t>
  </si>
  <si>
    <t>HP 63XL Black High-yield Ink Cartridge | Works with HP DeskJet 1112, 2130, 3630 Series; HP ENVY 4510, 4520 Series; HP OfficeJet 3830, 4650, 5200 Series | Eligible for Instant Ink | F6U64AN</t>
  </si>
  <si>
    <t>HP 14 Laptop, Intel Celeron N4020, 4 GB RAM, 64 GB Storage, 14-inch Micro-edge HD Display, Windows 11 Home, Thin &amp; Portable, 4K Graphics, One Year of Microsoft 365 (14-dq0040nr, Snowflake White)</t>
  </si>
  <si>
    <t>DJI Mic Mini (2 TX + 1 RX + Charging Case), Wireless Lavalier Microphone for iPhone/Camera/Android, Ultralight, Detail-Rich Audio, 48h Use, Noise Cancelling, Automatic Limiting, Vlog, Streaming</t>
  </si>
  <si>
    <t>SanDisk 256GB Extreme microSDXC UHS-I Memory Card with Adapter - Up to 190MB/s, C10, U3, V30, 4K, 5K, A2, Micro SD Card - SDSQXAV-256G-GN6MA</t>
  </si>
  <si>
    <t>HP 962 Cyan, Magenta, Yellow Ink Cartridges for HP Printers | Works with Printer Series: OfficeJet 9010, 9020 | Eligible for Instant Ink | 3YP00AN</t>
  </si>
  <si>
    <t>Fujifilm Instax Mini Instant Film, 10 Sheets x 5 Packs (Total 50 Shoots)</t>
  </si>
  <si>
    <t>Sony WH-1000XM4 Wireless Premium Noise Canceling Overhead Headphones with Mic for Phone-Call and Alexa Voice Control, Black WH1000XM4</t>
  </si>
  <si>
    <t>Post-it Super Sticky Easel Pad 25 in x 30 in White 30 Sheets/Pad 2 Pad/Pack Large White Premium Self Stick Flip Chart Paper Super Sticking Power (559)</t>
  </si>
  <si>
    <t>HP 64XL Black High-yield Ink Cartridge for HP Printers | Works with Printer Series: ENVY Inspire 7950e; ENVY Photo 6200, 7100, 7800; Tango | Eligible for Instant Ink | N9J92AN</t>
  </si>
  <si>
    <t>Samsung 990 EVO Plus SSD 2TB, PCIe Gen 4x4, Gen 5x2 M.2 2280, Speeds Up-to 7,250 MB/s, Upgrade Storage for PC/Laptops, HMB Technology and Intelligent Turbowrite 2.0, (MZ-V9S2T0B/AM)</t>
  </si>
  <si>
    <t>HP 63 Black/Tri-color Ink (2-pack) | Works with HP DeskJet 1112, 2130, 3630 Series; ENVY 4510, 4520 Series; OfficeJet 3830, 4650, 5200 Series | Eligible for Instant Ink | L0R46AN</t>
  </si>
  <si>
    <t>HP 952 Cyan, Magenta, Yellow Ink Cartridges (3-pack) | Works with Printer Series: OfficeJet 8702, HP OfficeJet Pro 7720, 7740, 8210, 8710, 8720, 8730, 8740 | Eligible for Instant Ink | N9K27AN</t>
  </si>
  <si>
    <t>Logitech M510 Wireless Mouse, Mouse for Laptop and PC with USB Unifying Receiver, Programmable Buttons - Graphite</t>
  </si>
  <si>
    <t>Apple AirPods 2 with Charging Case - White (Renewed)</t>
  </si>
  <si>
    <t>Soundcore by Anker P20i True Wireless Earbuds, 10mm Drivers with Big Bass, Bluetooth 5.3, 30H Long Playtime, Water-Resistant, 2 Mics for AI Clear Calls, 22 Preset EQs, Customization via App</t>
  </si>
  <si>
    <t>Roku Ultra - Ultimate Streaming Player - 4K Streaming Device for TV with HDR10+, Dolby Vision &amp; Atmos - Bluetooth &amp; Wi-Fi 6- Rechargeable Voice Remote Pro with Backlit Buttons - Free &amp; Live TV</t>
  </si>
  <si>
    <t>Apple USB-C Woven Charge Cable (2 m) ​​​​​​​</t>
  </si>
  <si>
    <t>Logitech G305 LIGHTSPEED Wireless Gaming Mouse, Hero 12K Sensor, 12,000 DPI, Lightweight, 6 Programmable Buttons, 250h Battery Life, On-Board Memory, PC/Mac - Black</t>
  </si>
  <si>
    <t>HP 923 Black, Cyan, Magenta, Yellow Ink Cartridges Printers | Works with Printer Series: OfficeJet 8120, OfficeJet Pro 8130 | Eligible for Instant Ink | 6C3Y6LN</t>
  </si>
  <si>
    <t>APC UPS Battery Backup and Surge Protector, 600VA/330 Watts Backup Battery Power Supply, BE600M1 Back-UPS with USB Charger Port</t>
  </si>
  <si>
    <t>Xbox Wireless Gaming Controller (2025) – Carbon Black – Play on Xbox, Windows, Android, iOS, FireTV Sticks, Smart TVs, VR Headsets</t>
  </si>
  <si>
    <t>Anker Power Bank(PowerCore 10K),Compact Travel-Ready 10,000mAh Battery Pack with PowerIQ Charging Technology,5V/3A High-Speed Charging for iPhone,iPad,and More (USB-C Input and Output（Black），1pack)</t>
  </si>
  <si>
    <t>SAMSUNG T7 Portable SSD, 1TB External Solid State Drive, Speeds Up to 1,050MB/s, USB 3.2 Gen 2, Reliable Storage for Gaming, Students, Professionals, MU-PC1T0T/AM, Gray</t>
  </si>
  <si>
    <t>ASURION 2 Year Sporting Goods Protection Plan ($125 - $149.99)</t>
  </si>
  <si>
    <t>Soundcore Anker Life Q20 Hybrid Active Noise Cancelling Headphones, Wireless Over Ear Bluetooth Headphones, 60H Playtime, Hi-Res Audio, Deep Bass, Foam Ear Cups, Travel, Office, USB-C Charging</t>
  </si>
  <si>
    <t>Philips 22 inch Class Thin Full HD (1920 x 1080) Monitor, 100Hz Refresh Rate, VESA, HDMI x1, VGA x1, LowBlue Mode, Adaptive Sync, 4 Year Advance Replacement Warranty, 221V8LB</t>
  </si>
  <si>
    <t>SanDisk 128GB Ultra Flair USB 3.0 Flash Drive - SDCZ73-128G-G46, black</t>
  </si>
  <si>
    <t>HP 67XL Tri-color High-yield Ink Cartridge for HP Printers | Works with Printer Series: DeskJet 1255, 2700, 4100; ENVY 6000, 6400 | Eligible for Instant Ink | 3YM58AN</t>
  </si>
  <si>
    <t>SanDisk 256GB Ultra microSDXC UHS-I Memory Card with Adapter - Up to 150MB/s, C10, U1, Full HD, A1, MicroSD Card - SDSQUAC-256G-GN6MA [New Version]</t>
  </si>
  <si>
    <t>EPSON 822 DURABrite Ultra Ink High Capacity Black &amp; Standard Color Cartridge Combo Pack (T822XL-BCS) Works with WorkForce Pro WF-3820, WF-3823, WF-4820, WF-4830, WF-4833, WF-4834</t>
  </si>
  <si>
    <t>TP-Link AX1800 WiFi 6 Router V4 (Archer AX21) – Dual Band Wireless Internet, Gigabit, Easy Mesh, Works with Alexa - A Certified for Humans Device, Free Expert Support</t>
  </si>
  <si>
    <t>HP 62 Black/Tri-color Ink Cartridges for HP Printers (2-pack) | Works with Printer Series: ENVY 5540, 5640, 5660, 7640, OfficeJet 5740, 8040, OfficeJet Mobile 200, 250 | N9H64FN</t>
  </si>
  <si>
    <t>Mounting Dream UL Listed TV Mount for Most 37-75 Inch TV, Universal Tilt TV Wall Mount Fit 16", 18", 24" Stud with Loading Capacity 132lbs, Max Vesa 600 x 400mm, Low Profile Flat Wall Mount Bracket</t>
  </si>
  <si>
    <t>Brother Genuine TN760 High Yield Black Toner Cartridge, (For use with MFC-L2710DW MFC-L2750DW HL-L2350DW HL-L2370DW HL-L2395DW HL-L2390DW DCP-L2550DW Printers)</t>
  </si>
  <si>
    <t>Logitech MK345 Wireless Keyboard and Mouse Combo with Palm Rest, 2.4 GHz USB Receiver, Compatible with PC, Laptop, Black</t>
  </si>
  <si>
    <t>HP 64XL Tri-color High-yield Ink Cartridge for HP Printers | Works with Printer Series: ENVY Inspire 7950e; ENVY Photo 6200, 7100, 7800; Tango | Eligible for Instant Ink | N9J91AN</t>
  </si>
  <si>
    <t>Apple Pencil (2nd Generation): Device Compatibility Check Required - Pixel-Perfect Precision, Perfect for Note-Taking, Drawing, and Signing documents. Attaches, Charges, and Pairs magnetically.</t>
  </si>
  <si>
    <t>HP 962XL Black High-yield Ink Cartridge for HP Printers | Works with Printer Series: OfficeJet 9010, Pro 9010, 9020 | Eligible for Instant Ink | 3JA03AN</t>
  </si>
  <si>
    <t>HP 65 Black/Tri-color Ink Cartridges for HP Printers (2-pack) | Works with Printer Series: AMP 100, DeskJet 2600, 3700, ENVY 5000 | Eligible for Instant Ink | T0A36AN</t>
  </si>
  <si>
    <t>Apple Magic Mouse - White Multi-Touch Surface ​​​​​​​</t>
  </si>
  <si>
    <t>Logitech MK540 Advanced Wireless Keyboard and Mouse Combo for Windows, 2.4 GHz Unifying USB-Receiver, Multimedia Hotkeys, 3-Year Battery Life, for PC, Laptop</t>
  </si>
  <si>
    <t>Sony WH-CH720N Noise Canceling Wireless Headphones Bluetooth Over The Ear Headset with Microphone and Alexa Built-in, Black New</t>
  </si>
  <si>
    <t>Scotch Thermal Laminating Pouches, 100 Count, Clear, 5 mil, Laminate Business Cards, Small Banners, Essays, Office or School Supplies, Fits Letter Size 8.9x11.4 in Paper</t>
  </si>
  <si>
    <t>Apple AirPods Pro Wireless Earbuds with MagSafe Charging Case (Renewed)</t>
  </si>
  <si>
    <t>ASURION 3 Year Home Improvement Protection Plan ($150 - $174.99)</t>
  </si>
  <si>
    <t>SanDisk 1TB Extreme Portable SSD - Up to 1050MB/s, USB-C, USB 3.2 Gen 2, IP65 Water and Dust Resistance, Updated Firmware - External Solid State Drive - SDSSDE61-1T00-G25</t>
  </si>
  <si>
    <t>HP 64 Black Ink Cartridge for HP Printers | Works with Printer Series: ENVY Inspire 7950e; ENVY Photo 6200, 7100, 7800; Tango | Eligible for Instant Ink | N9J90AN</t>
  </si>
  <si>
    <t>Dell 65W USB-C Laptop Charger for XPS and Latitude 5000 - Power Cord Included</t>
  </si>
  <si>
    <t>TP-Link AC1900 WiFi Range Extender RE550 | Dual-Band Wireless Repeater Amplifier w/Gigabit Ethernet Port | Up to 2200 Sq. Ft., 32 Devices | Internet Signal Booster | APP Setup | EasyMesh Compatible</t>
  </si>
  <si>
    <t>Avery Easy Peel Printable Address Labels with Sure Feed, 1" x 2-5/8" Customizable Stickers, White, 3,000 Blank Mailing Labels, Great for Mailing, Shipping, and More (5160)</t>
  </si>
  <si>
    <t>Acer USB Hub 4 Ports, Multiple USB 3.0 Hub, USBA Splitter for Laptop with Type C Power Port, Extender for A Port Laptop, PC, Desktop and More (2ft)</t>
  </si>
  <si>
    <t>ASURION 2 Year Electronics Protection Plan ($100 - $124.99)</t>
  </si>
  <si>
    <t>Amazon Basics 2.4 Ghz Wireless Optical Computer Mouse with USB Nano Receiver, Black</t>
  </si>
  <si>
    <t>HP 62XL Black High-yield Ink Cartridges for HP Printers | Works with Printer Series: ENVY 5540, 5640, 5660, 7640, OfficeJet 5740, 8040, OfficeJet Mobile 200, 250 | Instant Ink | C2P05AN</t>
  </si>
  <si>
    <t>HP 952XL Black High-yield Ink Cartridge for HP Printers | Works with HP OfficeJet 8702; HP OfficeJet Pro 7720, 7740, 8210, 8216, 8710, 8715, 8720, 8725, 8730, 8740 | Eligible for Instant Ink | F6U19AN</t>
  </si>
  <si>
    <t>JBL FLIP 5, Waterproof Portable Bluetooth Speaker, Black, Small</t>
  </si>
  <si>
    <t>HP 902XL Black High-yield Ink Cartridge for HP Printers | Works with Printer Series: OfficeJet 6954, 6958, 6962, OfficeJet Pro 6968, 6975,, 6978 | Eligible for Instant Ink | T6M14AN</t>
  </si>
  <si>
    <t>TP-Link TL-SG105, 5 Port Gigabit Unmanaged Ethernet Switch, Network Hub, Ethernet Splitter, Plug &amp; Play, Fanless Metal Design, Shielded Ports, Traffic Optimization</t>
  </si>
  <si>
    <t>HP Original 67 Tri-Color / 67XL Black Ink Cartridges (2-Pack) | Works DeskJet 1255, 2700, 4100 Series Envy 6000, 6400 Series | Eligible for Instant Ink | 3YP30AN</t>
  </si>
  <si>
    <t>Texas Instruments TI-36X Pro Engineering/Scientific Calculator | 9.7 Inch | Black.</t>
  </si>
  <si>
    <t>Amazon Basics Surge Protector Power Strip, 6-Outlet, 790 Joules, LED Indicator, 6ft Extension Cord, White</t>
  </si>
  <si>
    <t>Razer Wolverine V3 Pro 8K PC Wireless Gaming Controller: 8000 Hz Polling Rate - TMR Thumbsticks with Swappable Caps - Up to 36 Hr Battery - 6 Remappable Buttons - Fast Triggers - Carrying Case - Black</t>
  </si>
  <si>
    <t>Amazon Basics 3-Button USB Wired Mouse with Scrolling and Tracking - Standard, Black</t>
  </si>
  <si>
    <t>Duracell Coppertop D Batteries, 8 Count Pack, D Battery with Long-lasting Power, All-Purpose Alkaline D Battery for Household and Office Devices</t>
  </si>
  <si>
    <t>Lasko Wind Machine Fan, Air Circulator Fan with 3 Speeds, 20" Model 3300, Gray</t>
  </si>
  <si>
    <t>Brother P-Touch, PTD210, Easy-to-Use Label Maker Bundle (4 Label Tapes Included), White, Small</t>
  </si>
  <si>
    <t>Anker Portable Charger, 10,000mAh 30W Power Bank, USB-C in and Out Fast Charging Battery Pack, Travel Essential Phone Power Bank, for iPhone 16/15, iPad, MacBook, Galaxy, Google, and More</t>
  </si>
  <si>
    <t>Energizer AA Batteries, MAX Double A Battery Alkaline, 24 Count</t>
  </si>
  <si>
    <t>Canon Pixma MG3620 Wireless All-in-One Color Inkjet Printer with Mobile and Tablet Printing, Black</t>
  </si>
  <si>
    <t>Scotch Magic Tape with Scotch Desktop Dispenser, 6 Rolls of 3/4" x 1000" Each Plus 1 Desktop Tape Dispenser, Great for Repair, Wrapping and Office Applications</t>
  </si>
  <si>
    <t>HP 902 Cyan, Magenta, Yellow Ink Cartridges for HP Printers | Works with Printer Series: OfficeJet 6950, 6960; OfficeJet Pro 6960, 6970 | Eligible for Instant Ink | T0A38AN</t>
  </si>
  <si>
    <t>Sony WH-CH520 Wireless Headphones Bluetooth On-Ear Headset with Microphone and up to 50 Hours Battery Life with Quick Charging, Black</t>
  </si>
  <si>
    <t>Samsung Type-C USB Flash Drive, 256GB, Transfers 4GB Files in 11 Secs w/Up to 400MB/s USB 3.2 Gen 1 Read Speeds, Compatible w/USB 3.0/2.0, Waterproof, 2022, Blue, MUF-256DA/AM</t>
  </si>
  <si>
    <t>3M N95 Respirator 8511, Cool Flow Valve, 10 Pack, NIOSH-APPROVED, Advanced Filter Media For Easy Breathing, Comfortable For Long Periods Of Wear, Helps Filter Pollen, Mold Spores &amp; Dust (8511PB1-A-PS)</t>
  </si>
  <si>
    <t>Amazon Basics Sturdy and Portable Ergonomic Laptop Stand for Desk, Adjustable Riser, Fits all Laptops and Notebooks up to 17.3 Inch, Silver, 10 x 8.7 x 6 in</t>
  </si>
  <si>
    <t>Canon PG-275 Genuine Black Ink Cartridge, Compatible with TS3520/3522, TR4720/4722, TS3720/3722</t>
  </si>
  <si>
    <t>Skullcandy Jib Wired Earbuds with 3.5mm Plug, Noise Isolating Fit, Built-In Microphone Call and Track Control, Convenient for Travel - Black</t>
  </si>
  <si>
    <t>HP 65XL Black High-yield Ink Cartridge for HP Printers | Works with Printer Series: AMP 100, DeskJet 2600, 3700; ENVY 5000 | Eligible for Instant Ink | N9K04AN</t>
  </si>
  <si>
    <t>Soundcore P30i by Anker Noise Cancelling Earbuds, Strong and Smart Noise Cancelling, Powerful Bass, 45H Playtime, 2-in-1 Case and Phone Stand, IP54, Wireless Earbuds, Bluetooth 5.4 (Black)</t>
  </si>
  <si>
    <t>Fujifilm INSTAX Mini Instant Film 2 Pack = 20 Sheets (White) for Fujifilm Mini 8 &amp; Mini 9 Cameras, Model:4332059078</t>
  </si>
  <si>
    <t>Apple USB-C to Lightning Cable (2 m)</t>
  </si>
  <si>
    <t>Apple MagSafe Charger (1 m): Wireless Charger with Fast-Charging Capability</t>
  </si>
  <si>
    <t>Amazon Basics 8-Pack Rechargeable AA NiMH Batteries, 2000 mAh, 1.2V, Recharge up to 1000x Times, Pre-Charged</t>
  </si>
  <si>
    <t>Energizer D Batteries, D Cell Battery Premium Alkaline, 8 Count</t>
  </si>
  <si>
    <t>iOttie Easy One Touch Signature Dashboard &amp; Windshield Universal Car Mount Phone Holder Desk Stand with Suction Cup Base and Telescopic Arm for iPhone, Samsung, Google, More Smartphones</t>
  </si>
  <si>
    <t>Amazon Basics Adjustable Folding Guitar Stand, A-shape, Fully Assembled - For School Music Program, Concerts &amp; Multiple Users, Black, 8.66 x 15.16 x 3.74 inches</t>
  </si>
  <si>
    <t>Kasa Smart Indoor Pan-Tilt Home Security Camera, 1080p HD Dog Camera w/Night Vision, Motion Detection for Baby &amp; Pet Monitor, Cloud &amp; SD Card Storage, Works w/ Alexa &amp; Google Home, 2.4G WiFi (EC71)</t>
  </si>
  <si>
    <t>Chuckit! Ultra Ball Dog Toy - Medium Bouncy Fetch Balls For Dogs 20-60 lbs - Made from Durable Rubber - Floating Water Pet Toys - Size Medium - 2.5-inch Diameter - Pack of 2</t>
  </si>
  <si>
    <t>Energizer AAA Batteries, Max Triple A Max Battery Alkaline, 24 Count</t>
  </si>
  <si>
    <t>Amazon Basics 128 GB Ultra Fast USB 3.1 Flash Drive, Black</t>
  </si>
  <si>
    <t>TP-Link AC600 USB WiFi Adapter for PC (Archer T2U Plus)- Wireless Network Adapter for Desktop with 2.4GHz, 5GHz High Gain Dual Band 5dBi Antenna, Supports Win11/10/8.1/8/7/XP, Mac OS 10.9-10.14, Black</t>
  </si>
  <si>
    <t>TP-Link USB Bluetooth Adapter for PC - Bluetooth 5.3 Dongle Receiver, Plug and Play, Nano Design, EDR &amp; BLE, Supports Windows 11/10/8.1/7 for Desktop, Laptop, PS5/PS4/Xbox Controller (UB500)</t>
  </si>
  <si>
    <t>UGREEN Revodok 105 USB C Hub 5 in 1 Multiport Adapter 4K HDMI, 100W Power Delivery, 3 USB-A Data Ports, USB C Dongle for MacBook Pro/Air, iPad Pro, iMac, iPhone 15 Pro/Pro Max, XPS, Thinkpad</t>
  </si>
  <si>
    <t>Amazon Basics Male Dog Diapers, 30 Count, Small, Ultra Absorbent Disposable Wrap with Secure Fit, Leakproof and Comfortable</t>
  </si>
  <si>
    <t>Tile by Life360 Slim - Wallet Finder, Bluetooth Tracker and Item Locator for Luggage Tags, Passports and More. Both iOS and Android Compatible. Phone Finder. 1-Pack (Black)</t>
  </si>
  <si>
    <t>Energizer MAX 9V Batteries (4 Pack), 9 Volt Alkaline Batteries</t>
  </si>
  <si>
    <t>Amazon Basics Surge Protector Power Strip, 6-Outlet with 200J Protection, 2ft Extension Cord, Rectangle, White (2 Pack)</t>
  </si>
  <si>
    <t>LISEN for 15W MagSafe Car Mount Charger,Magnetic Wireless Car Charger for iPhone 16 Pro Max Accessories,Magnetic Phone Holder for 17 iPhone 16e 15 14 13 12,Samsung ＆ Pixel with MagSafe,Gifts</t>
  </si>
  <si>
    <t>acer SD Card Reader USB C, Dual Slots USB 3.0 Type C to Micro SD Card Adapter, Memory Card Reader for MicroSD, SDHC, SDXC, Compatible with Laptop, PC, iPhone16/15, MacBook Pro/Air, iPad Pro, Android</t>
  </si>
  <si>
    <t>Logitech M196 Bluetooth Wireless Mouse, Compact and Portable Mouse for Laptops, Tablets and More, 12-Month Battery, Smooth Tracking, Compatible with PC and Mac, Windows and macOS - Graphite</t>
  </si>
  <si>
    <t>Amazon Basics Stereo 2.0 Speakers for PC or Laptop, 3.5mm Aux input, USB-Powered, 1 Pair, Black</t>
  </si>
  <si>
    <t>Pendaflex File Folders, Letter Size, 8-1/2" x 11", Classic Manila, 1/3-Cut Tabs in Left, Right, Center Positions, 100 Per Box (65213)</t>
  </si>
  <si>
    <t>Anker SD Card Reader, 2-in-1 USB C Memory Card Reader for Digital Camera SD Card Viewer with Dual Slot for SDXC, SDHC, SD, MMC, RS-MMC, Micro SDXC,MicroSD, Micro SDHC Card, and UHS-I Cards</t>
  </si>
  <si>
    <t>Casio fx-300ES Plus 2nd Edition – Standard Scientific Calculator | 262 Functions, Natural Textbook Display℠ | Ideal for Middle School, High School Math, Statistics &amp; Algebra | Black</t>
  </si>
  <si>
    <t>Energizer Alkaline Power AA Batteries (20 Pack), Double A Batteries Alkaline, Long-Lasting</t>
  </si>
  <si>
    <t>Apple Lightning to USB Cable (1 m) ​​​​​​​</t>
  </si>
  <si>
    <t>Anker Nano USB C Charger Block, 30W PIQ 3.0 Foldable iPhone Charger Fast Charging for iPhone 16/15 Series, Galaxy, iPad, Compatible with MagSafe</t>
  </si>
  <si>
    <t>AINOPE USB C Cable to USB C 60W 2Pack 6.6ft Nylon Braided Type C Charger Fast Charging Right Angle USBC to USBC Cable Charger Cord for Switch 2 iPhone 16 Pro Max Accessories Samsung S25 Ultra iPad Pro</t>
  </si>
  <si>
    <t>Roku TV Remote Control (Official Manufacturer Product) - Simple Setup, &amp; Pre-Set App Shortcuts - Replacement Remote Compatible with RokuTV Models ONLY (Not Roku Players)</t>
  </si>
  <si>
    <t>AINOPE USB C Cable [2-Pack, 6.6ft] 3.1A Type C Charger Fast Charging, Right Angle USB to USB C Cable Braided USBC Charger for Galaxy S10+ S10 S9, Note 10 9, LG V30, Moto, iPhone 16 15 Cord Type C</t>
  </si>
  <si>
    <t>ACDelco 48-Count Triple AAA Batteries, Maximum Power Super Alkaline Battery for Home and Office, 10-Year Shelf Life, Reclosable Packaging</t>
  </si>
  <si>
    <t>Energizer MAX AAA Batteries (12 Pack), Triple A Alkaline Batteries</t>
  </si>
  <si>
    <t>Sony MDREX15LP in-Ear Earbud Headphones, Black, Model Number: MDREX15LP/B</t>
  </si>
  <si>
    <t>LISEN Tablet Stand for iPad Stand Holder Desk, Foldable Home Office Desk Accessories Travel for iPad Holder Dorm College Essentials Portable Monitor Fits Tabs Kindle iPhone 4-15.9" Black</t>
  </si>
  <si>
    <t>AINOPE 2 Pack USB Extensions Cable High Speed USB 3.0 Extension Cord Type A Male to Female Sturdy Braided Material Fast Data Transfer Compatible with USB Keyboard,Mouse,Flash Drive,Grey,6.6FT+6.6FT</t>
  </si>
  <si>
    <t>Amazon Basics USB 3.0 to 10/100/1000 Gigabit Ethernet Internet Adapter, Black</t>
  </si>
  <si>
    <t>Energizer 123 Lithium Batteries (2 Pack), 3V Photo Batteries</t>
  </si>
  <si>
    <t>SanDisk 64GB Ultra SDXC UHS-I Memory Card - Up to 140MB/s, C10, U1, Full HD, SD Card - SDSDUNB-064G-GN6IN</t>
  </si>
  <si>
    <t>LISEN for Magsafe Car Mount, Ultra Magnetic Phone Holder for Car Dashboard, 17X Stability Car Accessories for iPhone 16 Pro Max,Gifts for Men Women Him Her, Fit for iPhone16 Pro/Pro Max 15 14 13 12</t>
  </si>
  <si>
    <t>Logitech B100 Wired Mouse for Computer and Laptop, USB Corded Mouse, Right or Left Hand Use - Black</t>
  </si>
  <si>
    <t>ASURION 3 Year Kitchen Protection Plan ($100 - $124.99)</t>
  </si>
  <si>
    <t>ASURION 2 Year Floorcare Extended Protection Plan ($100 - $124.99)</t>
  </si>
  <si>
    <t>Duracell Coppertop 9V Battery, 2 Count Pack, 9-Volt Battery with Long-lasting Power, All-Purpose Alkaline 9V Battery for Household and Office Devices</t>
  </si>
  <si>
    <t>Duracell 2032 Lithium Battery, 2 Count (Pack of 1), Child Safety Features, Compatible with Key Fob, Tea Light Candles and Other Devices, CR2032 Battery</t>
  </si>
  <si>
    <t>Acer USB C to HDMI Cable for Home Office 6.6FT (4K@60Hz), High-Speed Type C to HDMI 2.0 Braided Cord, Thunderbolt 4/3 Compatible with MacBook, iPhone 16/15 Pro/Max, iMac, iPad Pro, Galaxy S24, Surface</t>
  </si>
  <si>
    <t>ARCTIC MX-4 (incl. Spatula, 4 g) - Premium Performance Thermal Paste for All Processors (CPU, GPU - PC), Very high Thermal Conductivity, Long Durability, Safe Application</t>
  </si>
  <si>
    <t>Amazon Basics HDMI Cable, 3ft, 4K@60Hz, High-Speed 4K HDMI 2.0 Cord (18Gbps), 2160p, 48 bit, Compatible with TV/PS5/Xbox/Roku, Black</t>
  </si>
  <si>
    <t>DURACELL 1632 Lithium Coin Battery Pack of 4</t>
  </si>
  <si>
    <t>Avery Economy View 3 Ring Binder, 1" Round Rings, 1 White Binder (05711)</t>
  </si>
  <si>
    <t>Energizer 2016 Batteries (2 Pack), 3V Lithium Coin Batteries With 3-in-1 Child Shield</t>
  </si>
  <si>
    <t>Amazon Basics USB-C to USB-C Fast Charger Cable, 480Mbps Speed, USB-IF Certified, for Fast Charging Apple iPhone 16/15, iPad, MacBook, Samsung Galaxy, Tablets, Laptops, 6 Foot, White</t>
  </si>
  <si>
    <t>LISEN for iPhone 16 Charger Cord 240W USB C to USB C Cable Type C Charger Fast Charging Cord USB C Cable for iPhone 16e 15 iPad MacBook Air Pro Samsung A17 S25 Switch 2, 6.6ft/2 Pack/Midnight</t>
  </si>
  <si>
    <t>LISEN 54W Car Phone Charger USB C, Cigarette Lighter Adapter, Car Accessories for iPhone, USB C Car Charger Adapter USBC Type C 12v, Fit for iPhone 16E 16 15 14 13 12 Samsung S25 Google iPad Android</t>
  </si>
  <si>
    <t>Duracell CR2450 Lithium Battery, 1 Count (Pack of 1), Coin Battery for Key Fob, Car Remote, Watch, and Other Devices, CR2450 Lithium 3 Volt (3V) Cell</t>
  </si>
  <si>
    <t>Energizer Alkaline Power AAA Batteries (20 Pack), Long-Lasting Triple A Batteries</t>
  </si>
  <si>
    <t>Seagate IronWolf 12TB NAS Internal Hard Drive HDD – CMR 3.5 Inch SATA 6Gb/s 7200 RPM 256MB Cache for RAID Network Attached Storage (ST12000VNZ008/ST12000VN0008)</t>
  </si>
  <si>
    <t>Baseus 2 Pack 65W USB C Charger Block, PPS 3-Port Fast Compact Foldable USB C Charger for MacBook, iPad Pro, Galaxy S24, iPhone 16/15 and More Series</t>
  </si>
  <si>
    <t>ASURION 2 Year Laptop Protection Plan ($300 - $349.99)</t>
  </si>
  <si>
    <t>DYMO LetraTag LT-100H Handheld Aesthetic Label Maker | ABC Keyboard Label Printer with Easy-to-Use, 13 Character LCD Screen | Great for Home &amp; Office Organization | Pink (New)</t>
  </si>
  <si>
    <t>ASURION 2 Year Electronics Protection Plan ($250 - $299.99)</t>
  </si>
  <si>
    <t>Epson EcoTank Photo ET-8550 Wireless Wide-Format All-in-One Supertank Printer with Scanner, Copier, Ethernet and 4.3-inch Color Touchscreen, Large, White</t>
  </si>
  <si>
    <t>Energizer MAX AA Batteries (16 Pack), Double A Alkaline Batteries</t>
  </si>
  <si>
    <t>Belkin MagSafe-Compatible Charger, 3-in-1 Wireless Charging Station, Qi2-Certified 15W Wireless Charge for Apple iPhone 16 Series, Apple Watch, AirPods w/Non-Slip Base, 40W Included - Black</t>
  </si>
  <si>
    <t>Apple iPhone 15, 128GB, Black - Unlocked (Renewed)</t>
  </si>
  <si>
    <t>Sonos Move 2 - Black - Wireless Portable Bluetooth Speaker</t>
  </si>
  <si>
    <t>Samsung Galaxy Watch 7 40mm Bluetooth AI Smartwatch w/Energy Score, Wellness Tips, Heart Rate Tracking, Sleep Monitor, Fitness Tracker, 2024, Cream [US Version, 1Yr Manufacturer Warranty]</t>
  </si>
  <si>
    <t>HP ENVY Inspire 7255e Wireless Color Thermal Inkjet Printer, Print, scan, copy, Easy setup,Mobile printing, Best-for-home, 3 month Instant Ink trial included</t>
  </si>
  <si>
    <t>HP OfficeJet 250 All-in-One Portable Printer with Wireless &amp; Mobile Printing, Works with Alexa (CZ992A) Black</t>
  </si>
  <si>
    <t>TCL 55-Inch Class QM6K Series QD-Mini LED 4K UHD Google Smart TV Best Value Mini-LED TV - QLED, 144hz, 240hz Gaming Rate, High Contrast Screen, Onkyo Audio, Dolby Atmos (55QM6K, 2025 Model)</t>
  </si>
  <si>
    <t>Ray-Ban Meta Glasses, Wayfarer</t>
  </si>
  <si>
    <t>Meta Quest 3 512GB — The Most Powerful Quest — Ultimate Mixed Reality Experiences — Get a 3-Month Trial of Meta Horizon+ Included</t>
  </si>
  <si>
    <t>AMD Ryzen™ 9 9950X 16-Core, 32-Thread Unlocked Desktop Processor</t>
  </si>
  <si>
    <t>Acer USB C Hub with 4K HDMI, 9-in-1 USB C to Ethernet Adapter, 5Gbps USBA 3.0 Docking Station, VGA Splitter, SD Card Reader, PD 100W Charging for MacBook, Acer, Laptops, Surface and More</t>
  </si>
  <si>
    <t>GoPro HERO13 Black - Waterproof Action Camera with 5.3K60 Video, 27MP Photo + Compatability with HB-Series Lenses</t>
  </si>
  <si>
    <t>ASURION 2 Year Sporting Goods Protection Plan ($350 - $399.99)</t>
  </si>
  <si>
    <t>DJI Osmo Pocket 3, Vlogging Cameras with 1'' CMOS &amp; 4K/120fps Vlog Camera, 3-Axis Stabilization, Fast Focusing, Face/Object Tracking, Digital Vlogging Camera for YouTube</t>
  </si>
  <si>
    <t>Dell Optiplex 7050 SFF Desktop PC Intel i7-7700 4-Cores 3.60GHz 32GB DDR4 1TB SSD WiFi BT HDMI Duel Monitor Support Windows 11 Pro Excellent Condition(Renewed)</t>
  </si>
  <si>
    <t>Apple iPhone 14 Plus, 128GB, Midnight - Unlocked (Renewed)</t>
  </si>
  <si>
    <t>Apple iPad (10th Generation): with A14 Bionic chip, 10.9-inch Liquid Retina Display, 256GB, Wi-Fi 6, 12MP front/12MP Back Camera, Touch ID, All-Day Battery Life – Pink</t>
  </si>
  <si>
    <t>Tripp Lite SMART1500LCD 1500VA Rack Mount UPS Battery Backup, 900W, 8 Outlets, PWM Sine Wave, Short Depth 2U Rackmount UPS, AVR, LCD Screen</t>
  </si>
  <si>
    <t>HP Color Laserjet Pro 3201dw Wireless Color Laser Printer, Office Printer, Duplex, Best-for-Office (499Q9F)</t>
  </si>
  <si>
    <t>Amazfit Bip 6 Smart Watch 46mm, 14 Day Battery, 1.97" AMOLED Display, GPS &amp; Free Maps, AI, Bluetooth Call &amp; Text, Health, Fitness &amp; Sleep Tracker, 140+ Workout Modes, 5 ATM Water-Resistance, Blush</t>
  </si>
  <si>
    <t>ASURION 2 Year Laptop Protection Plan ($600 - $699.99)</t>
  </si>
  <si>
    <t>HP Color LaserJet Pro MFP 4301fdw Wireless All-in-One Color Laser Printer, Scanner, Copier, Fax, Best-for-Office</t>
  </si>
  <si>
    <t>Google Pixel 9 - Unlocked Android Smartphone with Gemini, 24-Hour Battery, Advanced Camera, and 6.3" Actua Display - Obsidian - 128 GB</t>
  </si>
  <si>
    <t>ASURION 3 Year Kitchen Protection Plan ($90 - $99.99)</t>
  </si>
  <si>
    <t>Bose QuietComfort Ultra Bluetooth Headphones, Wireless Headphones with Spatial Audio, Over Ear Noise Cancelling with Mic, Up to 24 Hours of Playtime, Black</t>
  </si>
  <si>
    <t>Uniden R7 EXTREME LONG RANGE Laser/Radar Detector, Built-in GPS, Real-Time Alerts, Dual-Antennas Front &amp; Rear w/Directional Arrows, Voice Alerts, Red Light and Speed Camera Alerts</t>
  </si>
  <si>
    <t>SAMSUNG 32" Odyssey G55C Series QHD 1000R Curved Gaming Monitor, 1ms(MPRT), HDR10, 165Hz, AMD Radeon FreeSync, Eye Care, Glare Free, Sharp Resolution LS32CG550ENXZA</t>
  </si>
  <si>
    <t>Epson Workforce ES-400 II Color Duplex Desktop Document Scanner for PC and Mac, with Auto Document Feeder (ADF) and Image Adjustment Tools, ES-400 II</t>
  </si>
  <si>
    <t>Garmin inReach Mini 2, Lightweight and Compact Satellite Communicator, Hiking Handheld, Orange - 010-02602-00</t>
  </si>
  <si>
    <t>Sceptre 24-inch Professional Thin 1080p LED Monitor 99% sRGB 2x HDMI VGA Build-in Speakers, Machine Black (E248W-19203R Series)</t>
  </si>
  <si>
    <t>Lenovo V-Series V15 Business Laptop, 15.6" FHD Display, AMD Ryzen 7 7730U, 40GB RAM, 1TB SSD, Numeric Keypad, HDMI, RJ45, Webcam, Wi-Fi, Windows 11 Pro, Black</t>
  </si>
  <si>
    <t>Brother TN227 4 High Yield Color Toner Set (BK/C/M/Y) (1) TN227BK, (1) TN227C, (1) TN227M, (1) TN227Y</t>
  </si>
  <si>
    <t>APC UPS 1500VA Sine Wave UPS Battery Backup, BR1500MS2 Backup Battery Power Supply, AVR, 10 Outlets, (2) USB Charger Ports</t>
  </si>
  <si>
    <t>Bose SoundLink Revolve+ (Series II) Bluetooth Speaker, Portable Speaker with Microphone, Wireless and Water Resistant with 360 Degree Sound, Long Lasting Battery and Handle, Black</t>
  </si>
  <si>
    <t>Intel Core Ultra 7 Desktop Processor 265K - 20 cores (8 P-cores + 12 E-cores) up to 5.5 GHz</t>
  </si>
  <si>
    <t>Apple iPhone 13 Pro Max, 128GB, Graphite - Unlocked (Renewed)</t>
  </si>
  <si>
    <t>ASURION 2 Year Electronics Protection Plan ($60 - $69.99)</t>
  </si>
  <si>
    <t>LG 27US500-W Ultrafine Monitor 27-Inch 4K UHD (3840x2160) HDR10 IPS Borderless Design Reader Mode Flicker Safe Switch App HDMI DisplayPort - White</t>
  </si>
  <si>
    <t>Bose SoundLink Max Portable Speaker, Large IP67 Waterproof Bluetooth Speaker, Up to 20 Hours of Playtime, USB-C, Built-in 3.5mm AUX Input, Black</t>
  </si>
  <si>
    <t>ASURION 2 Year Sporting Goods Protection Plan ($90 - $99.99)</t>
  </si>
  <si>
    <t>NVIDIA Jetson Orin Nano Super Developer Kit</t>
  </si>
  <si>
    <t>AMD Ryzen™ 9 9900X 12-Core, 24-Thread Unlocked Desktop Processor</t>
  </si>
  <si>
    <t>HP OfficeJet Pro 9730e Wide-Format Wireless All-in-One Color Inkjet Printer, Print, scan, Copy up to 11x17', ADF, Duplex Printing Best-for-Office, 3 Month Instant Ink Trial Included (537P6A)</t>
  </si>
  <si>
    <t>ASURION 3 Year Home Improvement Protection Plan ($90 - $99.99)</t>
  </si>
  <si>
    <t>HP Stream 14" HD BrightView Laptop, Intel Celeron N4120, 16GB RAM, 416GB Storage (128GB eMMC + 288GB Docking Station Set), Intel UHD Graphics, 720p Camera, Wi-Fi, 1 Year Office 365, Win 11 S, Gold</t>
  </si>
  <si>
    <t>Western Digital 4TB WD Red Plus NAS Internal Hard Drive HDD - 5400 RPM, SATA 6 Gb/s, CMR, 256 MB Cache, 3.5" -WD40EFPX</t>
  </si>
  <si>
    <t>Epson FastFoto FF-680W Wireless High-Speed Photo and Document Scanning System, Black</t>
  </si>
  <si>
    <t>HP Color Laserjet Pro MFP 3301fdw Wireless All-in-One Color Laser Printer, Office Printer, Scanner, Copier, Fax, ADF, Duplex, Best-for-Office (499Q5F)</t>
  </si>
  <si>
    <t>Sony WH-1000XM5 Premium Noise Canceling Headphones, Auto NC Optimizer, 30-Hour Battery, Alexa Voice Control, Black</t>
  </si>
  <si>
    <t>Brother HL-L3280CDW Wireless Compact Digital Color Printer with Laser Quality Output, Duplex, Mobile Printing &amp; Ethernet | Includes 2 Month Refresh Subscription Trial¹,Works with Alexa</t>
  </si>
  <si>
    <t>Samsung 34' Odyssey G5 Ultra-Wide Gaming Monitor with 1000R Curved Screen, 165Hz, 1ms, FreeSync Premium, Large Display, Eye Comfort, Multiple Ports, WQHD, LC34G55TWWNXZA, Black</t>
  </si>
  <si>
    <t>HP Smart Tank 5000 Wireless All-in-One Ink Tank Printer with up to 2 years of ink included, mobile print, scan, copy</t>
  </si>
  <si>
    <t>Brother Color Laser Printer All-in-One with Scanner, Copier and Fax - Professional Wireless Business Printer with Auto Duplex and 250-Sheet Capacity for Small Office (MFC-L3720CDW)</t>
  </si>
  <si>
    <t>Apple Watch Ultra [GPS + Cellular 49mm] Titanium Case with Midnight Ocean Band, One Size (Renewed)</t>
  </si>
  <si>
    <t>Insta360 Link 2 - PTZ 4K Webcam for PC/Mac, 1/2" Sensor, AI Tracking, HDR, AI Noise-Canceling Mic, Gesture Control for Streaming, Video Calls, Gaming, Works with Zoom, Teams, Twitch &amp; More</t>
  </si>
  <si>
    <t>ViewSonic VX3276-MHD 32 Inch 1080p Widescreen IPS Monitor with Ultra-Thin Bezels, Screen Split Capability HDMI and DisplayPort</t>
  </si>
  <si>
    <t>Intel® Core™ i7-12700KF Desktop Processor 12 (8P+4E) Cores up to 5.0 GHz Unlocked LGA1700 600 Series Chipset 125W</t>
  </si>
  <si>
    <t>Lenovo Flagship Chromebook, 14'' FHD Touchscreen Slim Thin Light Laptop Computer, 8-Core MediaTek Kompanio 520 Processor, 4GB RAM, 64GB eMMC, WiFi 6,Chrome OS, Abyss Blue</t>
  </si>
  <si>
    <t>Meta Quest 3S 256GB | Batman: Arkham Shadow Included — 30+ Games Included with Meta Horizon+ Access with Starter Bundles — Play More for Less</t>
  </si>
  <si>
    <t>SAMSUNG 32" UJ59 Series 4K UHD (3840x2160) Computer Monitor,VA Panel, HDMI, Display Port, Eye Saver/Flicker Free Mode, FreeSync, LU32J590UQNXZA, Black</t>
  </si>
  <si>
    <t>ASUS RT-AX86U Pro (AX5700) Dual Band WiFi 6 Extendable Gaming Router, 2.5G Port, Gaming Port, Mobile Game Mode, Port Forwarding, Subscription-free Network Security, VPN, AiMesh Compatible</t>
  </si>
  <si>
    <t>Apple iPhone SE 3rd Gen, 64GB, Midnight - Unlocked (Renewed)</t>
  </si>
  <si>
    <t>JBL CHARGE 5 - Portable Waterproof (IP67) Bluetooth Speaker with Powerbank USB Charge out, 20 hours playtime, JBL Partyboost (Black)</t>
  </si>
  <si>
    <t>HP 27h Full HD Monitor - Diagonal - IPS Panel &amp; 75Hz Refresh Rate - Smooth Screen - 3-Sided Micro-Edge Bezel - 100mm Height/Tilt Adjust - Built-in Dual Speakers - for Hybrid Workers,Black</t>
  </si>
  <si>
    <t>Garmin vívoactive® 6, Health and Fitness GPS Smartwatch, AMOLED Display, Up to 11 Days of Battery, Slate with Black Band</t>
  </si>
  <si>
    <t>Crucial X10 4TB Portable SSD, Up to 2,100MB/s, USB 3.2 USB-C, External Solid State Drive, Compatible with Windows, Mac &amp; Android, Durable Storage for Games, Photos &amp; Files, Blue - CT4000X10SSD9-02</t>
  </si>
  <si>
    <t>HP LaserJet Pro 4001n Black &amp; White Printer, Print, Fast speeds, Easy setup, Mobile printing, Advanced security, USB, Ethernet Connection, Best-For-Office</t>
  </si>
  <si>
    <t>SAMSUNG Galaxy S23 Ultra 5G, US Version, 256GB, Phantom Black - Unlocked (Renewed)</t>
  </si>
  <si>
    <t>Apple iPhone 12 Mini, 64GB, Black - Unlocked (Renewed)</t>
  </si>
  <si>
    <t>GIGABYTE B550 Eagle WIFI6 Motherboard, Supports AMD AM4 Ryzen 5000 Processors, ATX, DDR4, 2X M.2, PCIe 4.0, WIFI6, 1GbE LAN, EZ-Latch</t>
  </si>
  <si>
    <t>AOC Agon PRO AG276QZD2 27" OLED Tournament Gaming Monitor 2560x1440, 240Hz 0.03ms, G-SYNC, PS5 Xbox Switch Compatible, Glossy, Black</t>
  </si>
  <si>
    <t>LG 32MR50C-B Curved Monitor 32-Inch FHD 100Hz AMD FreeSync OnScreen Control Dynamic Action Sync Black Stabilizer Tilt Stand (HDMI) - Black</t>
  </si>
  <si>
    <t>Poly Voyager 4320 UC Wireless Headset &amp; Charge Stand (Plantronics) - Stereo Headphones w/Noise-Canceling Boom Mic - Connect PC/Mac/Mobile via Bluetooth-Works w/Teams (Certified), Zoom-Amazon Exclusive</t>
  </si>
  <si>
    <t>Brother Color Laser Printer with Wireless Printing Fast 19 PPM Output, Duplex Feature, Mobile Device Compatible, 250-Sheet Paper Tray for Professional Home Office Printing (HL-L3220CDW)</t>
  </si>
  <si>
    <t>GoPro Hero - Compact Waterproof Action Camera with 4K Ultra HD Video, 12MP Photo, Touch Screen</t>
  </si>
  <si>
    <t>Ubiquiti U6+ Dual Band IEEE 802.11 a/b/g/n/ac/ax 3 Gbit/s Wireless Access Point</t>
  </si>
  <si>
    <t>Insta360 GO 3S - 128 GB Black 4K Tiny Portable Vlogging Camera, Hands-Free POVs, Mount Anywhere, Stabilization, 140 Min Battery Life, 10m Waterproof, Pet POV</t>
  </si>
  <si>
    <t>Dell Inspiron 3520 Laptop - 15.6-inch FHD (1920 x 1080) 120Hz Display, Intel Core i5-1235U Processor, 8GB DDR4 RAM, 512GB SSD, WiFi 5, Windows 11 S Mode - Carbon Black</t>
  </si>
  <si>
    <t>ASURION 3 Year Housewares Protection Plan ($125 - $149.99)</t>
  </si>
  <si>
    <t>ASURION 3 Year Kitchen Protection Plan ($50 - $59.99)</t>
  </si>
  <si>
    <t>Apple iPhone 14, 128GB, Midnight - Unlocked (Renewed Premium)</t>
  </si>
  <si>
    <t>Lenovo Tab M11, 11” Display, MediaTek Helio G88 Octa-Core, 4GB RAM, 128GB SSD, 1920x1200 px, Ambient Light-Sensor, 10 Hour Battery, Comes w/Folio Case, Luna Grey</t>
  </si>
  <si>
    <t>MSI Gaming RTX 5070 12G Ventus 3X OC Graphics Card (12GB GDDR7, 192-bit, Extreme Performance: 2557 MHz, DisplayPort x3 2.1a, HDMI 2.1b, NVIDIA Blackwell Architecture)</t>
  </si>
  <si>
    <t>Shure MV7+ Podcast Dynamic Microphone. OBS Certified, Enhanced Audio, LED Touch Panel, USB-C &amp; XLR Outputs, Auto Level Mode, Digital Pop Filter, Reverb Effects, Podcasting, Streaming, Recording -Black</t>
  </si>
  <si>
    <t>SAMSUNG 32-inch S3 (S39GD) FHD 100Hz Curved Monitor, Game Mode, Eye Saver Mode, Multiple Connectivity with HDMI Port, Built-in Speakers, LS32D396GANXZA, 2025</t>
  </si>
  <si>
    <t>Technics Reference Class Hi-Fi Wireless Earbuds, Dolby Atmos with Head Tracking, Adaptive Noise Cancelling, 3 Device Multipoint, 10-hr Battery, Wireless Charging, Improved Fit - EAH-AZ100-K (Black)</t>
  </si>
  <si>
    <t>AMD Ryzen 9 5950X 16-core, 32-thread unlocked desktop processor</t>
  </si>
  <si>
    <t>JBL PartyBox Club 120 - Portable Party Speaker with Foldable Handle, Powerful JBL Pro Sound, Futuristic lightshow, Up to 12 Hours of Play time, Splash Proof, Dual Mic &amp; Guitar Inputs (Black)</t>
  </si>
  <si>
    <t>Apple Macbook Air 2017 with 1.8GHz Intel Core i5 (13-inch, 8GB RAM, 128GB SSD Storage) (QWERTY English) Silver (Renewed)</t>
  </si>
  <si>
    <t>ASUS TUF GAMING B650-PLUS WIFI AMD B650 AM5 Ryzen™ Desktop 9000 8000 and 7000 ATX motherboard, 14 power stages, PCIe® 5.0 M.2 , DDR5 memory, WiFi 6 and 2.5 Gb Ethernet, USB4® support Aura Sync</t>
  </si>
  <si>
    <t>Canon imageFORMULA R10 - Portable Document Scanner, USB Powered, Duplex Scanning, Document Feeder, Easy Setup, Convenient, Perfect for Mobile Users</t>
  </si>
  <si>
    <t>ASUS Prime B650-PLUS WiFi AMD B650 AM5 Ryzen™ Desktop 9000 8000 &amp; 7000 ATX Motherboard, DDR5, PCIe 5.0 M.2, 2.5Gb LAN, WiFi 6E, HDMI™, SATA 6 Gbps, USB Type-C®, BIOS Flashback™, Thunderbolt™ 4 Header</t>
  </si>
  <si>
    <t>Canon Genuine 067 Black Toner Cartridge High Capacity Compatible with LBP633Cdw, LBP632Cdw, MF652Cdw, MF653Cdw, MF654Cdw, MF656Cdw</t>
  </si>
  <si>
    <t>Canon imageCLASS MF656Cdw - Wireless Duplex Color Laser Printer, All-in-One with Copier, Scanner, Fax, Auto Document Feeder, Mobile Ready, 3 Year Limited Warranty, 22 PPM, White</t>
  </si>
  <si>
    <t>Logitech G Astro A50 X Omni-Platform Wireless Gaming Headset + Base Station for PS5, Xbox, PC: PLAYSYNC Video &amp; Audio Switcher, HDMI 2.1 4K 120Hz VRR, &lt;24 bit/48 kHz, 24hr Battery, 2.4GHz &amp; BT - Black</t>
  </si>
  <si>
    <t>DJI RS 3 Mini, 3-Axis Gimbal Stabilizer for Cameras Canon/Sony/Panasonic/Nikon/Fujifilm, 2 kg (4.4 lbs) Tested Payload, Camera Stabilizer, Camera Gimbal with Native Vertical Shooting</t>
  </si>
  <si>
    <t>Dell 27 SE2725H Monitor - 27-Inch Full HD (1920x1080), VA Panel, Tilt Functionality, Certified by TÜV Rheinland for 3-Star Eye Comfort - Black</t>
  </si>
  <si>
    <t>Amazon Basics 12W One Port USB-A Wall Charger (2.4A) for Phones (iPhone 15/14/13/12/11/X, Samsung, and more), Pack of 2, White</t>
  </si>
  <si>
    <t>Apple Magic Keyboard: Keyboard and Case for iPad Air 11-inch (M2 and M3) and iPad Air (4th and 5th Generation), US English — White</t>
  </si>
  <si>
    <t>StarTech.com USB C to DVI Adapter - Black - 1920x1200 - USB Type C Video Converter for Your DVI D Display/Monitor/Projector - Upgraded Version is CDP2DVIEC (CDP2DVI)</t>
  </si>
  <si>
    <t>Audio-Technica AT-LP60X-BK Fully Automatic Belt-Drive Stereo Turntable, Black, Hi-Fidelity, Plays 33 -1/3 and 45 RPM Vinyl Records, Dust Cover, Anti-Resonance, Die-Cast Aluminum Platter</t>
  </si>
  <si>
    <t>ASUS Chromebook CM14 Laptop, 14" HD Anti-Glare Display (1366x768), MediaTek Kompanio 520, 4GB RAM, 64GB eMMC, ChromeOS, Gray, CM1402CM2A-DS44, Gravity Grey</t>
  </si>
  <si>
    <t>HP 26X Black High-yield Toner Cartridge | Works with HP LaserJet Pro M402 Series, HP LaserJet Pro MFP M426 Series | CF226X</t>
  </si>
  <si>
    <t>Crucial Pro 64GB DDR5 RAM Kit (2x32GB), 5600MHz (or 5200MHz or 4800MHz) Desktop Memory UDIMM 288-pin, Compatible with 13th Gen Intel Core and AMD Ryzen 7000 - CP2K32G56C46U5</t>
  </si>
  <si>
    <t>HP 414X Yellow High-yield Toner Cartridge | Works with HP Color LaserJet Enterprise M455dn, MFP M480f; HP Color LaserJet Pro M454 Series, MFP M479 Series | W2022X</t>
  </si>
  <si>
    <t>Microsoft Surface Thunderbolt 4 Dock - High-Speed Docking Station with Dual 4K Monitor Support</t>
  </si>
  <si>
    <t>HP 15.6 inch Laptop, HD Touchscreen Display, AMD Ryzen 3 7320U, 8 GB RAM, 256 GB SSD, AMD Radeon Graphics, Windows 11 Home, Natural Silver, 15-fc0399nr</t>
  </si>
  <si>
    <t>HP 30X Black High-yield Toner Cartridge | Works with HP LaserJet Pro M203 Series, HP LaserJet Pro MFP M227 Series | CF230X</t>
  </si>
  <si>
    <t>ASURION 3 Year Housewares Protection Plan ($60 - $69.99)</t>
  </si>
  <si>
    <t>ASURION 3 Year Home Improvement Protection Plan ($80 - $89.99)</t>
  </si>
  <si>
    <t>Elgato Stream Deck XL – Advanced Studio Controller, 32 macro keys, trigger actions in apps and software like OBS, Twitch, ​YouTube and more, works with Mac and PC</t>
  </si>
  <si>
    <t>Garmin 010-02626-10 Instinct 2, Rugged Outdoor Watch with GPS, Built for All Elements, Multi-GNSS Support, Tracback Routing and More, graphite</t>
  </si>
  <si>
    <t>Amazon Basics Office Computer Task Desk Chair with Padded Armrests, Mid-Back, Adjustable, 360 Swivel, Rolling, 275 Pound Capacity, 24.2"D x 24"W x 34.8"H, Black Faux Leather</t>
  </si>
  <si>
    <t>POLY HP Voyager Legend 30 - Bluetooth Monaural Headset - Discreet Boom &amp; 4 Noise-Canceling Mics, WindSmart Technology, All-Day Comfort, Seamless Connectivity, Smart Sensors &amp; Call Controls, Black</t>
  </si>
  <si>
    <t>NETGEAR Nighthawk DOCSIS 3.1 Mid/high-Split Cable Modem (CM3000-1AZNAS) – Approved for Today’s Fastest Speeds - Works With all Cable Providers, Incl. Xfinity, Spectrum, Cox - Cable Plans up to 2.5Gbps</t>
  </si>
  <si>
    <t>Apple MacBook Air (13-inch Retina display, 1.6GHz dual-core Intel Core i5, 128GB) - Space Gray (Renewed)</t>
  </si>
  <si>
    <t>HP 210X Cyan High-Yield Toner Cartridge | Works Color Laserjet Pro 4201, Color Laserjet Pro MFP 4301 Series | W2101X</t>
  </si>
  <si>
    <t>Marshall Acton III Bluetooth Home Speaker, Black</t>
  </si>
  <si>
    <t>Apple Watch Series 7 GPS + Cellular, 45mm Midnight Aluminum Case with Midnight Sport Band - Regular (Renewed)</t>
  </si>
  <si>
    <t>Samsung Galaxy S20 FE 5G, 128GB, Cloud Navy - Unlocked (Renewed)</t>
  </si>
  <si>
    <t>ASURION 3 Year Kitchen Protection Plan ($40 - $49.99)</t>
  </si>
  <si>
    <t>Schlage BE365 V CAM 619 Camelot Keypad Deadbolt, Electronic Keyless Entry Lock, Satin Nickel</t>
  </si>
  <si>
    <t>Dell S2722DC Monitor - 27-inch WQHD (2560x1440) 75Hz 4Ms Display, AMD FreeSync, Built in Speaker, USB Type-C Connectivity, Height/Pivot/Swivel/Tilt Adjust - Platinum Silver</t>
  </si>
  <si>
    <t>Sony STRDH190 2-ch Home Stereo Receiver with Phono Inputs &amp; Bluetooth Black</t>
  </si>
  <si>
    <t>Canon imageCLASS LBP6030w - Monochrome, Wireless Compact Wireless Laser Printer, 1 Year Limited Warranty, 19 PPM, White</t>
  </si>
  <si>
    <t>Apple iPhone 15, 128GB, Black - Unlocked (Renewed Premium)</t>
  </si>
  <si>
    <t>Shure SM7B Microphone - Vocal Dynamic Studio Mic for Broadcast, Podcast, Recording, Gaming &amp; Streaming, XLR, Rugged Construction, Detachable Windscreen, Smooth Sound, Warm Vocals, Wide-Range Frequency</t>
  </si>
  <si>
    <t>MSI MAG X870 Tomahawk WiFi Gaming Motherboard (AMD Ryzen 9000/8000/7000 Series Processors, AM5, DDR5, PCIe 5.0, M.2 Gen5, SATA 6Gb/s, USB 40Gbps, HDMI/DP, Wi-Fi 7, Bluetooth 5.4, 5Gbps LAN, ATX)</t>
  </si>
  <si>
    <t>Samsung 27” S80UA 4K UHD IPS HDR10 High Resolution Monitor, USB-C, Eye Saver Mode, Eco Saving Plus, LS27A804UJNXGO, 2025, 3 Year Warranty</t>
  </si>
  <si>
    <t>HP 138X Black High-Yield Toner Cartridge | Works Laserjet Pro 3001 Series, Laserjet Pro MFP 3101 Series | W1380X</t>
  </si>
  <si>
    <t>Canon Mount Adapter EF-EOS R</t>
  </si>
  <si>
    <t>TP-Link Deco XE70 Pro AXE4900 Tri-Band WiFi 6E Mesh WiFi System - 2.5G WAN/LAN Ports, 4.9 Gbps Wi-Fi 7,200 Sq. Ft Coverage, Connect up to 200 Devices, 6 GHz Band, 3-Pack</t>
  </si>
  <si>
    <t>Apple Magic Keyboard with Touch ID for Mac Models with Apple Silicon - US English ​​​​​​​</t>
  </si>
  <si>
    <t>HP 414X Cyan High-yield Toner Cartridge | Works with HP Color LaserJet Enterprise M455dn, MFP M480f; HP Color LaserJet Pro M454 Series, MFP M479 Series | W2021X</t>
  </si>
  <si>
    <t>JBL Boombox 3 Black Portable Bluetooth Speaker with Massive Sound, Deepest Bass, IPX7 Waterproof, 24H Playtime, PartyBoost</t>
  </si>
  <si>
    <t>ASURION 2 Year Furniture Protection Plan ($90 - $99.99)</t>
  </si>
  <si>
    <t>CHAMBERLAIN myQ Video Doorbell | 2K Camera, Battery/Wired, Color Night Vision, Live View with 2-Way Talk, Motion Detection &amp; Real-Time Alerts, 150 Deg Wide View, Black</t>
  </si>
  <si>
    <t>Elgato Prompter – Teleprompter with Built-in Screen for YouTube, Twitch, Zoom, MS Teams and More, Supports DSLR/Webcam/Smartphone, Drag &amp; Drop Monitor Display, Works with Mac/PC &amp; Stream Deck</t>
  </si>
  <si>
    <t>HP 202X Cyan, Magenta, Yellow High-yield Toner Cartridges (3-pack) | Works with HP Color LaserJet Pro M254, HP Color LaserJet Pro MFP M281 Series | CF500XM</t>
  </si>
  <si>
    <t>Logitech Combo Touch iPad 10th Gen Case, Detachable Keyboard, Large Precision Trackpad, Backlit Keyboard, Smart Connector - Oxford Gray</t>
  </si>
  <si>
    <t>AMD Ryzen 7 5800X 8-core, 16-thread unlocked desktop processor</t>
  </si>
  <si>
    <t>GIGABYTE B650 Eagle AX AM5 LGA 1718 AMD B650 ATX, DDR5 Triple M.2, PCIe 5.0, USB 3.2 Gen2x2 Type-C, AMD Wi-Fi 6E, Realtek GbE LAN</t>
  </si>
  <si>
    <t>ViewSonic VA2447-MH 24 Inch Full HD 1080p Monitor with 100Hz, FreeSync, Ultra-Thin Bezel, Eye Care, HDMI, VGA Inputs for Home and Office</t>
  </si>
  <si>
    <t>Samsung Galaxy Watch 8 (2025) 40mm Bluetooth Smartwatch, Cushion Design, Fitness Tracker, Sleep Coaching, Running Coach, Energy Score, Heart Rate Tracking, Graphite [US Version, 2 Yr Warranty]</t>
  </si>
  <si>
    <t>HP 210X Magenta High-Yield Toner Cartridge | Works Color Laserjet Pro 4201, Color Laserjet Pro MFP 4301 Series | W2103X</t>
  </si>
  <si>
    <t>Google Wifi - AC1200 - Mesh WiFi System - Wifi Router - 4500 Sq Ft Coverage - 3 pack</t>
  </si>
  <si>
    <t>Thermaltake GF1 (2024) Fully Modular ATX 850W Power Supply - 80 Plus Gold - Ultra Quiet - Zero RPM, PS-TPD-0850FNFAGU-P</t>
  </si>
  <si>
    <t>SteelSeries Arctis Nova 7 Wireless Multi-Platform Gaming Headset — Neodymium Magnetic Drivers — 2.4GHz + Mixable Bluetooth — 38Hr USB-C Battery — ClearCast Gen2 AI Mic — PC, PS5, Switch, VR, Mobile</t>
  </si>
  <si>
    <t>ARRIS (S33) - Cable Modem - Fast DOCSIS 3.1 Multi-Gigabit Cable Modem For Comcast Xfinity, Cox, Spectrum &amp; More 1 &amp; 2.5 Gbps Ports 2.5 Gbps Max Internet Speeds 2 Year Warranty - (No Built-in Wifi)</t>
  </si>
  <si>
    <t>Apple iPhone 13 Mini, 128GB, Blue - Unlocked (Renewed)</t>
  </si>
  <si>
    <t>Plantronics - CS540 Wireless DECT Headset (Poly) - Single Ear (Mono) Convertible (3 Wearing Styles) - Connects to Desk Phone - Noise Canceling Microphone</t>
  </si>
  <si>
    <t>Shure SE215 PRO Wired Earbuds - Professional Sound Isolating Earphones, Clear Sound &amp; Deep Bass, Single Dynamic MicroDriver, Secure Fit in Ear Monitor, Plus Carrying Case &amp; Fit Kit - Clear (SE215-CL)</t>
  </si>
  <si>
    <t>AMD Ryzen 9 7900X 12-Core, 24-Thread Unlocked Desktop Processor</t>
  </si>
  <si>
    <t>Fujifilm Instax Mini 12 Instant Camera + MiniMate Accessory Bundle &amp; Compatible Custom Case + Fuji Instax Film Value Pack (50 Sheets) Flamingo Designer Photo Album (Pastel Blue)</t>
  </si>
  <si>
    <t>Audio-Technica ATH-M50x Professional Studio Monitor Headphones, Black</t>
  </si>
  <si>
    <t>Bose Ultra Open Bluetooth Earbuds, True Wireless Earbuds with OpenAudio for Awareness, Clip On Design for Comfort, Immersive Audio, Up to 48 Hrs of Playtime, Black</t>
  </si>
  <si>
    <t>Insta360 Link 2C - 4K Webcam for PC/Mac, 1/2" Sensor, Auto Framing, HDR, AI Noise-Canceling Mic, Gesture Control for Streaming, Video Calls, Gaming, Works with Zoom, Teams, Twitch &amp; More</t>
  </si>
  <si>
    <t>Amazfit Active 2 Sport Smart Watch Fitness Tracker for Android and iPhone, 44mm, 10 Day Battery, Water Resistant, GPS Maps, Sleep Monitor, 160+ Workout Modes, 400 Face Styles, Silicone Strap, Free App</t>
  </si>
  <si>
    <t>TP-Link 𝗧𝗮𝗽𝗼 MagCam, 2024 PCMag Editors’ Choice &amp; Wirecutter Recommended Outdoor Security Camera, 2K, Battery, Magnetic Mount Wireless Camera, 150° FOV, SD/Cloud Storage, Person/Vehicle Detection</t>
  </si>
  <si>
    <t>Vortex Optics Crossfire HD 10x42 Binoculars - HD Optical System, Tripod Adaptable, Rubber Armor, Waterproof, Fogproof, Shockproof, Included GlassPak - Unlimited, Unconditional Warranty</t>
  </si>
  <si>
    <t>Epson EcoTank ET-2803 Wireless Color All-in-One Cartridge-Free Supertank Printer with Scan, Copy and AirPrint Support</t>
  </si>
  <si>
    <t>UGREEN Revodok 6 in 1 USB C Hub Gigabit Ethernet Adapter with 4K HDMI, 100W PD Charging, USB A Data Ports Compatible with Mac M1, M2, M3, iPad, iPhone 16 Pro/Pro Max, Steam Deck</t>
  </si>
  <si>
    <t>Apple Airpods 4 (Renewed)</t>
  </si>
  <si>
    <t>Logitech Zone Vibe 100 Lightweight Wireless Over Ear Headphones with Noise Canceling Microphone, Advanced Multipoint Bluetooth Headset, Works with Teams, Google Meet, Zoom, Mac/PC - Graphite</t>
  </si>
  <si>
    <t>Polaroid Now 3rd Generation I-Type Instant Camera + Film Bundle - Now Black Camera + 16 Color Photos (6560)</t>
  </si>
  <si>
    <t>HP 410A Black Toner Cartridge | Works with HP Color LaserJet Pro M452 Series, HP Color LaserJet Pro MFP M377, M477 Series | CF410A</t>
  </si>
  <si>
    <t>Apple AirPods Pro (2nd Generation) Wireless Ear Buds with USB-C Charging, Up to 2X More Active Noise Cancelling Bluetooth Headphones, Transparency Mode, Adaptive Audio, Personalized Spatial Audio</t>
  </si>
  <si>
    <t>ASURION 3 Year Electronics Protection Plan ($30 - $39.99)</t>
  </si>
  <si>
    <t>HP Original 61 Tri-Color / 61XL Black Ink Cartridges (2-Pack) | Works DeskJet 1000, 1510, 2050, 2500, 3000, 3510 Envy 4500, 5530</t>
  </si>
  <si>
    <t>SAMSUNG Galaxy Buds2 Pro True Wireless Bluetooth Earbuds, Graphite, Hi-Fi Sound, 360 Audio, Active Noise Cancelling, Comfort Fit, HD Voice, IPX7 Water Resistant [US Version, 1Yr Manufacturer Warranty]</t>
  </si>
  <si>
    <t>ASURION 2 Year Portable Electronic Accident Protection Plan ($30 - $39.99)</t>
  </si>
  <si>
    <t>Canon PIXMA G6020 All-in-One Supertank Wireless (Megatank) Printer, Copier and Scan with Mobile Printing, Black, Works with Alexa</t>
  </si>
  <si>
    <t>ASURION 3 Year Office Equipment Protection Plan ($175 - $199.99)</t>
  </si>
  <si>
    <t>Bose SoundLink Micro Bluetooth Speaker: Small Portable Waterproof Speaker with Microphone, Black</t>
  </si>
  <si>
    <t>G.SKILL RipjawsV Series DDR4 RAM (XMP) 32GB (2x16GB) 3200MT/s CL16-18-18-38 1.35V Intel AMD Desktop Computer Memory U-DIMM - Black (F4-3200C16D-32GVK)</t>
  </si>
  <si>
    <t>ARRIS (G34) - Cable Modem Router Combo - Fast DOCSIS 3.1 Gigabit WiFi 6 (AX3000), Approved for Comcast Xfinity, Cox, Spectrum &amp; More, 1 Gbps Max Internet Speeds</t>
  </si>
  <si>
    <t>CORSAIR VENGEANCE LPX DDR4 RAM 64GB (2x32GB) 3200MHz CL16-20-20-38 1.35V Intel AMD Desktop Computer Memory - Black (CMK64GX4M2E3200C16)</t>
  </si>
  <si>
    <t>Garmin Venu® Sq 2 GPS Smartwatch, All-Day Health Monitoring, Long-Lasting Battery Life, AMOLED Display, Slate and Shadow Gray</t>
  </si>
  <si>
    <t>Lenovo Tab M11, 11” Display, MediaTek Helio G88 Octa-Core, 4GB RAM, 64GB SSD, 1920x1200 px, Ambient Light-Sensor, 10 Hour Battery, Comes w/Pen, Luna Grey</t>
  </si>
  <si>
    <t>ASURION 2 Year Electronics Protection Plan ($175 - $199.99)</t>
  </si>
  <si>
    <t>TP-Link EAP610, Omada Business WiFi 6 AX1800 Wireless Gigabit Access Point, Support Mesh, OFDMA, Seamless Roaming &amp; MU-MIMO, SDN Integrated, Cloud Access &amp; Omada App, PoE+ Powered, White</t>
  </si>
  <si>
    <t>Canon RF50mm F1.8 STM Lens, Fixed Focal Length Prime Lens, Compatible with EOS R Series Mirrorless Cameras, Black</t>
  </si>
  <si>
    <t>Sony S100F 2.0ch Soundbar with Bass Reflex Speaker, Integrated Tweeter and Bluetooth, (HTS100F), easy setup, compact, home office use with clear sound black</t>
  </si>
  <si>
    <t>Logitech Z207 2.0 Stereo Computer Speakers with Bluetooth</t>
  </si>
  <si>
    <t>Epson - Perfection V39 II - Color Photo and Document Flatbed Scanner - 4800 dpi Optical Resolution - High-Rise, Removable Lid - Scan to Cloud - USB Power - Image Scanning - Black</t>
  </si>
  <si>
    <t>ASURION 3 Year Office Equipment Protection Plan ($30 - $39.99)</t>
  </si>
  <si>
    <t>Wyze Wireless Video Doorbell Pro (Chime Included), 1440 HD Video, 1:1 Aspect Ratio: 1:1 Head-to-Toe View, 2-Way Audio, Night Vision</t>
  </si>
  <si>
    <t>ESR iPad Air 11 Inch Case with Keyboard (M3/M2, 2025/2024) &amp; iPad Pro 11/Air 5th/4th Gen Keyboard, Easy-Set Magnetic Stand, Portrait/Raised Modes, with Removable Protective Case, Black</t>
  </si>
  <si>
    <t>Garmin 010-02376-00 Varia RTL515, Cycling Rearview Radar with Tail Light, Visual and Audible Alerts for Vehicles Up to 153 Yards Away</t>
  </si>
  <si>
    <t>Fujifilm Instax Mini Instant Film (3 Twin Packs, 60 Total Pictures) - International Version</t>
  </si>
  <si>
    <t>Panasonic Cordless Phone with Advanced Call Block, Link2Cell Bluetooth, One-Ring Scam Alert, and 2-Way Recording with Answering Machine, 5 Handsets - KX-TGF975B (Black with Silver Trim)</t>
  </si>
  <si>
    <t>ASURION 3 Year Kitchen Protection Plan ($200 - $249.99)</t>
  </si>
  <si>
    <t>ASURION 2 Year Headphones Protection Plan ($175 - $199.99)</t>
  </si>
  <si>
    <t>ASURION 3 Year Office Equipment Protection Plan ($125 - $149.99)</t>
  </si>
  <si>
    <t>EPSON 702 DURABrite Ultra Ink High Capacity Black &amp; Standard Color Cartridge Combo Pack (T702XL-BCS) Works with WorkForce Pro WF-3720, WF-3730, WF-3733</t>
  </si>
  <si>
    <t>CyberPower OR500LCDRM1U Smart App LCD UPS Battery Backup and Surge Protector, 500VA/300W, 6 Outlets, AVR, 1U Rackmount, UL Certified</t>
  </si>
  <si>
    <t>Shure MV6 Gaming Microphone, Dynamic USB PC Mic for Video Games &amp; Streaming - Desktop Stand, Background Noise Cancellation, Tap-to-Mute &amp; 3.5mm Output for Real-Time Headphone Monitoring</t>
  </si>
  <si>
    <t>SAMSUNG Galaxy Watch 7 (44mm) AI Smartwatch w/ 1.5" AMOLED, Wear OS 5, Wi-Fi, Bluetooth, Heart Rate, Sleep Apnea &amp; GPS Fitness Tracker, International Model L310 (w/Fast Charger, Silver)</t>
  </si>
  <si>
    <t>AOC 24B2H2 24” Frameless IPS Monitor, FHD 1920x1080, 100Hz, 106% sRGB, for Home and Office, HDMI x2, Low Blue Mode, VESA Compatible, Black</t>
  </si>
  <si>
    <t>Energizer Ultimate Lithium AAA Batteries (1 Pack), Lithium Triple A Batteries</t>
  </si>
  <si>
    <t>Canon Battery Pack LP-E6P</t>
  </si>
  <si>
    <t>Brother Genuine Super High Yield Toner Cartridge, TN880, Replacement Black Toner, Page Yield Up To 12,000 Pages, Amazon Dash Replenishment Cartridge</t>
  </si>
  <si>
    <t>Philips SmartSleep Wake-up Light, Colored Sunrise and Sunset Simulation, 5 Natural Sounds, FM Radio &amp; Reading Lamp, Tap Snooze, HF3520/60</t>
  </si>
  <si>
    <t>Poly Blackwire 5220 Wired Headset (Plantronics) Flexible Noise-Canceling Boom Mic Ergonomic Design - PC/Mac, Mobile via USB-C, USB-A, 3.5mm - Works w/Teams, Zoom - Amazon Exclusive (9P7X6AA)</t>
  </si>
  <si>
    <t>Shure SM58 Pro XLR Dynamic Microphone with On/Off Switch - Professional Studio &amp; Live Performance Cardioid Mic for Vocals, Podcasting, and Recording (SM58S)</t>
  </si>
  <si>
    <t>Beats Solo3 Wireless On-Ear Headphones - Apple W1 Headphone Chip, Class 1 Bluetooth, 40 Hours of Listening Time, Built-in Microphone - Black</t>
  </si>
  <si>
    <t>Fujifilm Instax Mini 12 Instant Camera Lilac Purple + Fuji Film Value Pack (40 Sheets) + Shutter Accessories Bundle, Incl. Compatible Carrying Case, Quicksand Beads Photo Album 64 Pockets</t>
  </si>
  <si>
    <t>UGREEN NASync DXP2800 2-Bay Desktop NAS, Intel N100 Quad-core CPU, 8GB DDR5 RAM, 2.5GbE, 2X M.2 NVMe Slots, 4K HDMI, Network Attached Storage (Diskless)</t>
  </si>
  <si>
    <t>ESR iPad Air 13 Inch Case Keyboard (M3/M2, 2025/2024) &amp; iPad Pro 12.9 inch (3/4/5/6th Gen) Magic Keyboard, Easy-Set Floating Cantilever Stand, Precision Multi-Touch Trackpad, Rebound Series, Black</t>
  </si>
  <si>
    <t>Logitech MX Mechanical Wireless Illuminated Performance Keyboard, Tactile Quiet Switches, Backlit Keys, Bluetooth, USB-C, macOS, Windows, Linux, iOS, Android, Metal, ‎Graphite</t>
  </si>
  <si>
    <t>WD 5TB My Passport Ultra, Blue, Portable External Hard Drive, backup software with defense against ransomware, and password protection, USB-C and USB 3.1 - WDBFTM0050BBL-WESN</t>
  </si>
  <si>
    <t>ASURION 3 Year Housewares Protection Plan ($40 - $49.99)</t>
  </si>
  <si>
    <t>ASURION 4 Year Office Equipment Protection Plan ($90 - $99.99)</t>
  </si>
  <si>
    <t>ASURION 3 Year Kitchen Protection Plan ($70 - $79.99)</t>
  </si>
  <si>
    <t>ASUS Dual NVIDIA GeForce RTX 3050 6GB OC Edition Gaming Graphics Card - PCIe 4.0, 6GB GDDR6 Memory, HDMI 2.1, DisplayPort 1.4a, 2-Slot Design, Axial-tech Fan Design, 0dB Technology, Steel Bracket</t>
  </si>
  <si>
    <t>MSI PRO B550M-VC WiFi ProSeries Motherboard (AMD Ryzen 5000 Series, AM4, DDR4, PCIe 4.0, SATA 6Gb/s, M.2, USB 3.2 Gen 2, HDMI/DP, Wi-Fi 6E, Bluetooth 5.2, mATX)</t>
  </si>
  <si>
    <t>Soundcore by Anker Space Q45 Adaptive Active Noise Cancelling Headphones, Reduce Noise by Up to 98%, 50H Playtime, App Control, LDAC Hi-Res Wireless Audio, Comfortable Fit, Clear Calls, Bluetooth 5.3</t>
  </si>
  <si>
    <t>Westinghouse Roku TV - 24 Inch Smart TV, HD Television with Wi-Fi Connectivity and Mobile App, LED Flat Screen Compatible with Apple HomeKit, Alexa and Google Assistant</t>
  </si>
  <si>
    <t>Apple iPhone SE 2nd Generation, US Version, 64GB, Black - Unlocked (Renewed)</t>
  </si>
  <si>
    <t>Sceptre Curved 24.5-inch Gaming Monitor up to 240Hz 1080p R1500 1ms DisplayPort x2 HDMI x2 Blue Light Shift Build-in Speakers, Machine Black 2023 (C255B-FWT240)</t>
  </si>
  <si>
    <t>ASURION 2 Year Ride-On Protection Plan ($175 - $199.99)</t>
  </si>
  <si>
    <t>Microsoft Surface Pro Keyboard for Surface Pro Copilot+ (11th Edition), Pro 9 and 8 with Pen Storage, Alcantara Material, Black</t>
  </si>
  <si>
    <t>Cobra RX680 Walkie Talkies (2-Pack) - Rugged &amp; Splashproof Two Way Radios Long Range, IP54 Water Resistant Design, 60 Pre-Programmed Channels, Weather Alerts, Included Charging Dock (Black/Orange)</t>
  </si>
  <si>
    <t>Amazon Basics 12 Sheet (new model) Micro Cut Paper and Credit Card CD Shredder With 6 Gallon Bin, Black</t>
  </si>
  <si>
    <t>POLY HP Voyager Legend 50 - Bluetooth Headset - Discreet Boom &amp; 4 Noise-Canceling Mics, AI Noise Block AI &amp; WindSmart Technology - Seamless Connectivity &amp; Smart Call Controls - All-Day Comfort, Black</t>
  </si>
  <si>
    <t>ASUS TUF Gaming Z790-Plus WiFi LGA 1700(Intel 14th,12th &amp;13th Gen) ATX Gaming Motherboard(PCIe 5.0,DDR5,4xM.2 Slots,16+1 DrMOS,WiFi 6,2.5Gb LAN,Front USB 3.2 Gen 2 Type-C,Thunderbolt 4(USB4),Aura RGB)</t>
  </si>
  <si>
    <t>Rode PodMic Cardioid Dynamic Broadcast Microphone, Black</t>
  </si>
  <si>
    <t>EPSON 252 DURABrite Ultra Ink High Capacity Black &amp; Standard Color Cartridge Combo Pack (T252XL-BCS) Works with WorkForce WF-3620, WF-3640, WF-7110, WF-7610, WF-7620, WF-7710, WF-7720, WF-7210</t>
  </si>
  <si>
    <t>TP-Link 16 Port Gigabit Ethernet Network Switch, Desktop/ Wall-Mount, Fanless, Sturdy Metal w/ Shielded Ports, Traffic Optimization, Unmanaged (TL-SG116)</t>
  </si>
  <si>
    <t>Apple iPad 9.7' with WiFi, 32GB, Space Gray - MP2F2LL/A (Renewed)</t>
  </si>
  <si>
    <t>Logitech G923 Racing Wheel and Pedals, TRUEFORCE up to 1000 Hz Force Feedback, Gaming Steering Wheel PS5, PS4, PC, Mac, Genuine Leather- Black</t>
  </si>
  <si>
    <t>Mounting Dream TV Wall Mount for 42-86" TVs, Tilting TVs Mount with Level Adjustment Fits 16", 18", 24" Studs Easy for Centering, Wall Mount TV Bracket Max VESA 800x400mm, 120 LBS Loading, MD2263-XLK</t>
  </si>
  <si>
    <t>Logitech MK370 Combo for Business, Wireless Full-Size Keyboard and Wireless Mouse, Secure Logi Bolt USB Receiver, Bluetooth, Globally Certified Windows/Mac/Chrome, Linux - Graphite</t>
  </si>
  <si>
    <t>SimpliSafe Outdoor Security Camera Series 2, 1080p Wireless and Wired Home Security Camera - Compatible with Gen 3 System</t>
  </si>
  <si>
    <t>Pokemon Go Plus +</t>
  </si>
  <si>
    <t>HORI Racing Wheel Apex for Playstation 5, PlayStation 4 and PC - Officially Licensed by Sony - Compatible with Gran Turismo 7</t>
  </si>
  <si>
    <t>Samsung 27-Inch Odyssey G3 (G30D) Series FHD Gaming Monitor, 1ms, 180Hz, AMD FreeSync, Adjustable Stand, Black Equalizer, Virtual Aim Point, Eye Saver Mode, Flicker-Free, LS27DG302ENXZA</t>
  </si>
  <si>
    <t>HP 80A Black Toner Cartridge for HP Printers | Works with Printer Series: LaserJet Pro 400 M401, LaserJet Pro 400 MFP M425 | CF280A</t>
  </si>
  <si>
    <t>EPSON 222 Claria Ink High Capacity Black &amp; Standard Color Cartridge Combo Pack (T222XL-BCS) Works with WorkForce WF-2960, Expression XP-5200, Black/Cyan/Magenta/Yellow</t>
  </si>
  <si>
    <t>TP-Link AX5400 WiFi 6 Router (Archer AX73)- Dual Band Gigabit Wireless Internet Router, High-Speed ax Router for Streaming, Long Range Coverage</t>
  </si>
  <si>
    <t>Razer Viper V3 HyperSpeed Wireless Esports Gaming Mouse: 82g Lightweight - Up to 280 Hr Battery - 30K DPI Optical Sensor - Gen-2 Mechanical Switches - 8 Programmable Controls - Classic Black</t>
  </si>
  <si>
    <t>CyberPower SL700U Standby UPS System, 700VA/370W, 8 Outlets, Slim Profile, Black</t>
  </si>
  <si>
    <t>RØDE Wireless Go II Dual Channel Wireless System with Built-in Microphones with Analogue and Digital USB Outputs, Compatible with Cameras, Windows and MacOS computers, iOS and Android phones</t>
  </si>
  <si>
    <t>ASURION 4 Year Office Equipment Protection Plan ($30 - $39.99)</t>
  </si>
  <si>
    <t>ESR iPad Pro 13 Inch Case with Keyboard (M4, 2024), iPad Pro 13 Keyboard Case with Easy-Set Magnetic Stand, Portrait/Raised Modes for iPad Pro 13, Removable, Rebound 360 Series, Black</t>
  </si>
  <si>
    <t>Crucial X9 2TB Portable SSD, Up to 1050MB/s, USB 3.2 USB-C, External Solid State Drive, Compatible with Windows, Mac, &amp; Android, Reliable Storage for Games, Files, &amp; Backups, Black - CT2000X9SSD902</t>
  </si>
  <si>
    <t>ASURION 2 Year Sporting Goods Protection Plan ($80 - $89.99)</t>
  </si>
  <si>
    <t>Epson 522 EcoTank Ink Ultra-high Capacity Bottle Black &amp; Color Combo Pack (T522120-BCS) Works with EcoTank ET-2720, ET-2800, ET-2803, ET-2840, ET-4700, ET-4800, ET-4810</t>
  </si>
  <si>
    <t>Ubiquiti Cloud Gateway Ultra (UCG-Ultra)</t>
  </si>
  <si>
    <t>HP 14" Ultral Light Laptop for Students and Business, Intel Quad-Core, 8GB RAM, 192GB Storage(64GB eMMC+128GB Ghost Manta SD Card), 1 Year Office 365, USB C, Win 11 S</t>
  </si>
  <si>
    <t>Skullcandy Hesh ANC Wireless Over-Ear Bluetooth Headphones with Charging Cable, Active Noise Cancelling, Up to 22 Hrs Battery, Foldable Lightweight Design, Microphone for iPhone Android - True Black</t>
  </si>
  <si>
    <t>WD 5TB My Passport, Portable External Hard Drive, Black, backup software with defense against ransomware, and password protection, USB 3.1/USB 3.0 compatible - WDBPKJ0050BBK-WESN</t>
  </si>
  <si>
    <t>ASUS RT-AX1800S Dual Band WiFi 6 Extendable Router, Subscription-Free Network Security, Parental Control, Built-in VPN, AiMesh Compatible, Gaming &amp; Streaming, Smart Home</t>
  </si>
  <si>
    <t>Texas Instruments BA II Plus Professional Financial Calculator Silver 9.8 Inch</t>
  </si>
  <si>
    <t>ASUS Prime B550M-A WiFi II AMD Micro ATX Motherboard with PCIe 4.0, WiFi 6, ECC Memory, HDMI 2.1, RGB Header</t>
  </si>
  <si>
    <t>TP-Link ER605 V2 Wired Gigabit VPN Router, Up to 3 WAN Ethernet Ports + 1 USB WAN, SPI Firewall SMB Router, Omada SDN Integrated, Load Balance, Lightning Protection</t>
  </si>
  <si>
    <t>GoPro MAX — Waterproof 360 + Traditional Action Camera with Touch Screen Spherical 5.6K30 HD Video 16.6MP 360 Photos 1080p Live Streaming Stabilization</t>
  </si>
  <si>
    <t>HP 923e Black EvoMore Ink Cartridge Printers | Works with Printer Series: OfficeJet 8120, OfficeJet Pro 8130 | Carbon Neutral | 4K0T7LN</t>
  </si>
  <si>
    <t>THE NORTH FACE Women's Borealis Commuter Laptop Backpack | Everyday Travel Bag with 16" Laptop Sleeve, Women-Specific Fit, Reflective Details, Gardenia White/TNF Black-NPF, One Size</t>
  </si>
  <si>
    <t>ASURION 4 Year Office Equipment Protection Plan ($175 - $199.99)</t>
  </si>
  <si>
    <t>ASURION 4 Year Laptop Protection Plan ($500 - $599.99)</t>
  </si>
  <si>
    <t>Apple iPad with WiFi, 128GB, Space Gray (2018 Model) (Renewed)</t>
  </si>
  <si>
    <t>HP 972X PageWide Cartridge High Yield Black Ink Cartridge for HP Printers | Works with Printer Series: PageWide Pro 452, 477, 552dw, 577 | F6T84AN</t>
  </si>
  <si>
    <t>Jabra Speak 510 UC Wireless Bluetooth Speakerphone – Outstanding Sound Quality, Portable Conference Speaker for Holding Meetings Anywhere - Certified for Zoom &amp; Google Meet</t>
  </si>
  <si>
    <t>NETGEAR Nighthawk Cable Modem CM1200 - Compatible with All Cable Providers Including Xfinity by Comcast, Spectrum, Cox | for Cable Plans Up to 2 Gigabits | 4 x 1G Ethernet Ports | DOCSIS 3.1, Black</t>
  </si>
  <si>
    <t>HyperX Cloud II - Gaming Headset, 7.1 Surround Sound, Memory Foam Ear Pads, Durable Aluminum Frame, Detachable Microphone, Works with PC, PS5, PS4, Xbox Series X|S, Xbox One – Red</t>
  </si>
  <si>
    <t>Logitech G502 X Plus Wireless Gaming Mouse - LIGHTSPEED Optical, LIGHTFORCE Switches, LIGHTSYNC RGB, HERO 25K Sensor for PC/Mac - Black</t>
  </si>
  <si>
    <t>Western Digital 1TB WD Blue SA510 SATA Internal Solid State Drive SSD - SATA III 6 Gb/s, 2.5"/7mm, Up to 560 MB/s - WDS100T3B0A</t>
  </si>
  <si>
    <t>LISEN Coiled USB C Cable, 2 Pack for Android Auto &amp; CarPlay Cable, 4FT Short USB A to USB C Cable Compatible with iPhone 16/15, Samsung Galaxy S25/S24/S23 A15/A14, Google Pixel 9/8, Moto, OnePlus, TCL</t>
  </si>
  <si>
    <t>HP 201X Black High-yield Toner Cartridge | Works with HP Color LaserJet Pro M252, HP Color LaserJet Pro MFP M277 Series | CF400X</t>
  </si>
  <si>
    <t>Acer SB273 G0bi 27" IPS Full HD (1920 x 1080) Ultra-Thin Zero-Frame Gaming Office Monitor | Adaptive-Sync Support (FreeSync Compatible) | Up to 120Hz Refresh | 1ms (VRB) | Tilt | HDMI &amp; VGA Ports</t>
  </si>
  <si>
    <t>Fujifilm Instax Mini 41 Instant Camera Vintage Black. + Fujifilm Value Pack (40 Sheets) + Shutter Accessories Bundle, Includes Vintage Style Compatible Carrying Case, Black Photo Album 64 Pockets</t>
  </si>
  <si>
    <t>Brother P-touch CUBE Plus Bluetooth Label Maker (PT-P710BT), white</t>
  </si>
  <si>
    <t>Apple iPad 9.7-inch Retina Display with WIFI, 32GB, Touch ID, 2017 Mode - Space Gray (Renewed)</t>
  </si>
  <si>
    <t>VIZIO 24-inch D-Series FHD LED Smart TV w/Bluetooth Headphone Capable, AMD FreeSync &amp; Alexa Compatibility, D24fM-K01, 2023 Model</t>
  </si>
  <si>
    <t>Garmin 010-01550-00 Striker 4 with Transducer, 3.5" GPS Fishfinder with Chirp</t>
  </si>
  <si>
    <t>VIZIO 32-inch HD Smart TV 720p LED w/Alexa Compatibility, Google Cast Built-in, Bluetooth Headphone Capable (VHD32M-08, New)</t>
  </si>
  <si>
    <t>ASURION 2 Year Floorcare Extended Protection Plan ($175 - $199.99)</t>
  </si>
  <si>
    <t>HP LaserJet MFP M234dw Wireless Black &amp; White Printer, Print, scan, copy, Fast speeds, Easy setup,Mobile printing, Best-for-small teams</t>
  </si>
  <si>
    <t>be quiet! Pure Power 12 M 1000W Modular Power Supply | 80 Plus® Gold | ATX 3.1 | PCIe 5.0 GPUs and 6+2 pin connectors | 12VHPWR Cable Included | Silent 120mm be quiet! Fan - BN506 I 10 Year Warranty</t>
  </si>
  <si>
    <t>DYMO LabelWriter 550 Series Label Printer with Dymo-Branded Label Compatibility Automatic Recognition Low Waste Optimized Direct Thermal Printing and Plastic-Free Packaging</t>
  </si>
  <si>
    <t>ASURION 4 Year Office Equipment Protection Plan ($100 - $124.99)</t>
  </si>
  <si>
    <t>Kasa Smart 2K QHD Security Camera Outdoor Wired, IP65, Starlight Sensor &amp; 98Ft Night Vision, Motion/Person Detection, 2 Way Audio w/Siren, Cloud/SD Card Storage, Alexa &amp;Google Home Compatible(KC420WS)</t>
  </si>
  <si>
    <t>ASURION 2 Year Wearables Protection Plan ($125 - $149.99)</t>
  </si>
  <si>
    <t>Canon Genuine 067 Black Toner Cartridge Compatible with LBP633Cdw, LBP632Cdw, MF652Cdw, MF653Cdw, MF654Cdw, MF656Cdw</t>
  </si>
  <si>
    <t>Kasa Smart Plug Power Strip HS300, Surge Protector with 6 Individually Controlled Smart Outlets and 3 USB Ports, Works with Alexa &amp; Google Home, No Hub Required , White</t>
  </si>
  <si>
    <t>Sony ICD-UX570 Digital Voice Recorder, ICDUX570BLK, usb</t>
  </si>
  <si>
    <t>Apple AirPods (3rd Generation) Wireless Ear Buds, Bluetooth Headphones, Personalized Spatial Audio, Sweat and Water Resistant, Lightning Charging Case Included, Up to 30 Hours of Battery Life</t>
  </si>
  <si>
    <t>Hisense 32-Inch Class A4 Series HD 720p Smart Roku TV with Alexa Compatibility (32A4HNR) - Dolby Audio, Slim Bezel Design, Google Assistant</t>
  </si>
  <si>
    <t>Crucial P310 2TB PCIe Gen4 2230 NVMe M.2 SSD - Up to 7,100 MB/s - Uplevel Your Console - Internal Solid State Drive (PC) - CT2000P310SSD2​​</t>
  </si>
  <si>
    <t>SteelSeries Apex 3 RGB Gaming Keyboard – 10-Zone RGB Illumination – IP32 Water Resistant – Premium Magnetic Wrist Rest (Whisper Quiet Gaming Switch)</t>
  </si>
  <si>
    <t>DJI Osmo Mobile 6 Gimbal Stabilizer for Smartphones, 3-Axis Phone Gimbal, Built-In Extension Rod, Object Tracking, Portable and Foldable, Vlogging Stabilizer, YouTube TikTok, Slate Gray</t>
  </si>
  <si>
    <t>Cobra MR HH350 FLT Handheld Floating VHF Marine Radio - 6 Watt, Submersible, Noise Cancelling Mic, Backlit LCD Display, NOAA Weather, and Memory Scan, Grey</t>
  </si>
  <si>
    <t>Bose QuietComfort Wireless Noise Cancelling Headphones, Bluetooth Over Ear Headphones with Up to 24 Hours of Battery Life, Black (Renewed)</t>
  </si>
  <si>
    <t>TP-Link EAP650 Ultra-Slim Wireless Access Point | Omada True WiFi 6 AX3000 | DC Adapter Included | Mesh, Seamless Roaming, WPA3, MU-MIMO | Remote &amp; App Control | PoE+ Powered | Multi Control Options</t>
  </si>
  <si>
    <t>ASURION 2 Year Headphones Protection Plan ($40 - $49.99)</t>
  </si>
  <si>
    <t>MSI MAG B550 TOMAHAWK Gaming Motherboard (AMD AM4, DDR4, PCIe 4.0, SATA 6Gb/s, M.2, USB 3.2 Gen 2, HDMI/DP, ATX, AMD Ryzen 5000 Series processors)</t>
  </si>
  <si>
    <t>Thermaltake SMART 600W ATX 12V V2.3/EPS 12V 80 Plus Certified Active PFC Power Supply PS-SPD-0600NPCWUS-W</t>
  </si>
  <si>
    <t>ASURION 2 Year Backpack Protection Plan ($30 - $39.99)</t>
  </si>
  <si>
    <t>SAMSUNG Galaxy Buds3 Pro (2024, ANC) Water Resistant, AI Real-Time Language Interpreter, True Wireless Bluetooth 5.4 Earbuds, Hi-Fi, Noise Cancelling, Touch Control, International Model R630 (Silver)</t>
  </si>
  <si>
    <t>NETGEAR 8 Port PoE Gigabit Ethernet Easy Smart Managed Essentials Switch (GS308EP) - with 8 x PoE+ @ 62W, Desktop or Wall Mount</t>
  </si>
  <si>
    <t>RØDE NT1 Signature Series Condenser Microphone with SM6 Shockmount and Pop Filter - Black</t>
  </si>
  <si>
    <t>ASURION 2 Year Electronics Protection Plan ($80 - $89.99)</t>
  </si>
  <si>
    <t>TP-Link Omada Long Range Outdoor Access Point - WiFi Extender Outdoor Universal Compatible, AC1200 Dual Band, IP65 Weatherproof, Free Expert Help, Omada Remote Managed(EAP225-Outdoor)</t>
  </si>
  <si>
    <t>Lexar 128GB Professional 2000x SD Card, UHS-II, C10, U3, V90, Full HD, 8K, Up To 300MB/s Read SDXC Memory Card, for DSLR, Cinema-Quality Video Cameras (LSD2000128G-BNNNU)</t>
  </si>
  <si>
    <t>VIVO Freestanding Dual Monitor Stand with Sleek Glass Base and Adjustable Arms, Mounts 2 Screens up to 32 inch and 22 lbs Each, Black, STAND-V002FG</t>
  </si>
  <si>
    <t>Limited time deal</t>
  </si>
  <si>
    <t>NEEWER 2 Pack Bi Color 660 LED Video Light and Stand Kit: (2) 3200-5600K CRI 96+ Dimmable Light with U Bracket and Barndoor, (2) 75 inches Light Stand for Studio Photography, Video Recording (Black)</t>
  </si>
  <si>
    <t>Corsair SCIMITAR RGB ELITE Gaming Mouse For MOBA, MMO - 18,000 DPI - 17 Progammable Buttons - iCUE Compatible - Black</t>
  </si>
  <si>
    <t>Shure SM57 Pro XLR Dynamic Microphone - Professional Studio &amp; Live Performance Cardioid Mic for Instruments, Recording for Drums, Percussion, &amp; Instrument Amplifier Miking (SM57-LC)</t>
  </si>
  <si>
    <t>8BitDo Pro 3 Bluetooth Controller for Switch/Switch 2 – TMR Joysticks, Swappable ABXY Buttons, Pro Back Buttons, Charging Dock, Hall Effect Triggers, for Windows, Apple, SteamOS, Android - Purple</t>
  </si>
  <si>
    <t>EPSON 802 DURABrite Ultra Ink High Capacity Black &amp; Standard Color Cartridge Combo Pack (T802XL-BCS) Works with WorkForce Pro WF-4720, WF-4730, WF-4734, WF-4740</t>
  </si>
  <si>
    <t>CORSAIR Nautilus 360 RS ARGB Liquid CPU Cooler – 360mm AIO – Low-Noise – Direct Motherboard Connection – Daisy-Chain – Intel LGA 1851/1700, AMD AM5/AM4 – 3X RS120 ARGB Fans Included – Black</t>
  </si>
  <si>
    <t>Dell Laptop Charger 130W USB C Type C AC Adapter,XPS 15 9500 9510 9520 XPS 17 9700 9710 9720 9730 AC Charger, Black, DA130PM170</t>
  </si>
  <si>
    <t>SAMSUNG Galaxy Tab A9 4G LTE (64GB, 4GB, Cellular) 8.7" Android Tablet, Octa-core (6nm), Dual Speakers (International Model Fully Unlocked for US &amp; Global) X115 (w/ 15W Fast Charger, Graphite)</t>
  </si>
  <si>
    <t>Fujifilm Instax Mini 12 Instant Camera - Lilac Purple</t>
  </si>
  <si>
    <t>NETGEAR Nighthawk WiFi 6E USB 3.0 Adapter (A8000) - AXE3000 Tri-Band Wireless Gigabit Speed (Up to 3Gbps) - New 6GHz Band – Works with Any WiFi 6 or 6E Router Or Mesh System - for Windows PC</t>
  </si>
  <si>
    <t>EPSON 802 DURABrite Ultra Ink Standard Capacity Color Combo Pack (T802520-S) Works with WorkForce Pro WF-4720, WF-4730, WF-4734, WF-4740</t>
  </si>
  <si>
    <t>Canon Pixma PG-240 Black &amp; CL-241 Color Ink Cartridges</t>
  </si>
  <si>
    <t>CORSAIR 4000D RS ARGB Frame Modular Mid-Tower ATX PC Case – High Airflow, 3X Pre-Installed RS ARGB Fans, InfiniRail™ Fan Mounting System, ASUS BTF, MSI Project Zero, Gigabyte Project Stealth – Black</t>
  </si>
  <si>
    <t>Amazon Basics Backpack for School, Study, Travel, Durable Classic Design, Book Bag, Black</t>
  </si>
  <si>
    <t>Fujifilm QuickSnap Flash 400 One-Time-Use Camera - 2 Pack</t>
  </si>
  <si>
    <t>Uniden Bearcat BC125AT Handheld Scanner, 500-Alpha-Tagged Channels, Close Call Technology, PC Programable, Aviation, Marine, Railroad, NASCAR, Racing, and Non-Digital Police/Fire/Public Safety.</t>
  </si>
  <si>
    <t>Apple 96W USB-C Power Adapter</t>
  </si>
  <si>
    <t>ASUS ZenScreen 16” Portable USB Monitor (MB169CK) - Full HD, IPS, Dual USB-C, Mini-HDMI, Eye Care, Flicker Free, Blue Light Filter, Anti-Glare Surface, 360° Kickstand, 3 yr Warranty</t>
  </si>
  <si>
    <t>Google Audio Bluetooth Speaker - Wireless Music Streaming, Powerful Sound, Assistant Built-in, Wi-Fi and Bluetooth Connectivity, Smart Home Control, Stereo Pairing (Chalk)</t>
  </si>
  <si>
    <t>Sony NPFZ100 Z-series Rechargeable Battery Pack for Alpha A7 III, A7R III, A9 Digital Cameras black</t>
  </si>
  <si>
    <t>StarTech.com 2.5GbE USB-C to Ethernet Adapter, 100W PD Pass-Through, NBASE-T NIC, USB 3.0 Type-C 2.5G Multi Speed Network</t>
  </si>
  <si>
    <t>ASURION 3 Year Office Equipment Protection Plan ($100 - $124.99)</t>
  </si>
  <si>
    <t>Eaton BRNSURGE Type BR Whole-Panel Circuit Breaker Surge Protective Device</t>
  </si>
  <si>
    <t>Elgato Facecam MK.2 – Premium Full HD Webcam for Streaming, Gaming, Video Calls, Recording, HDR Enabled, Sony Sensor, PTZ Control – works with OBS, Zoom, Teams, and more, for PC/Mac</t>
  </si>
  <si>
    <t>Logitech Signature K650 Comfort Full-Size Wireless Keyboard with Wrist Rest, BLE Bluetooth or Logi Bolt USB Receiver, Deep-Cushioned Keys, Numpad, Compatible with Most OS/PC/Window/Mac - Graphite</t>
  </si>
  <si>
    <t>Fujifilm 2 Pack instax Square Instant Color Film, Twin Pack - 20 Exposures (40 Total), White Frame</t>
  </si>
  <si>
    <t>Polk Audio Signa S2 Sound Bar &amp; Wireless Subwoofer – Exclusive VoiceAdjust Technology, Ultra-Slim Design, Works with 4K &amp; HD TVs, HDMI &amp; Optical, Bluetooth, Wireless Streaming</t>
  </si>
  <si>
    <t>Canon Genuine 137 Black Toner Cartridge Compatible with LBP151dw, MF210 Series, MF220 Series, MF230 Series, MF240 Series, D570</t>
  </si>
  <si>
    <t>HP Active Rechargeable Tilt Pen MPP 2</t>
  </si>
  <si>
    <t>Apple AirPods (3rd Generation) (Renewed)</t>
  </si>
  <si>
    <t>Turtle Beach Stealth 600 Wireless Multiplatform Amplified Gaming Headset for PS5, PS4, PC, &amp; Mobile – Bluetooth, 80-Hr Battery, Noise-Cancelling Flip-to-Mute Mic, 50mm Speakers – Black</t>
  </si>
  <si>
    <t>RØDE Wireless Micro - Compact Wireless Microphone, Two Mics with Charge Case for Smartphone Content Creation - USB-C, Black</t>
  </si>
  <si>
    <t>OWC Atlas FXR Thunderbolt (USB-C) + USB 3.2 (10Gb/s) CFexpress Card Reader</t>
  </si>
  <si>
    <t>Victrola The Quincy 6-in-1 Bluetooth Record Player &amp; Multimedia Center with Built-in Speakers – 3-Speed Turntable, CD &amp; Cassette Player, AM/FM Radio, Wireless Music Streaming (Mahogony)</t>
  </si>
  <si>
    <t>Acer 21.5 Inch Full HD (1920 x 1080) IPS Ultra-Thin Zero Frame Computer Monitor (HDMI &amp; VGA Port), SB220Q bi</t>
  </si>
  <si>
    <t>Fujifilm Instax Mini Instant Rainbow Film, 10 Sheets, 3 Value Set</t>
  </si>
  <si>
    <t>Google indoor Nest Security Cam 1080p (Wired) - 2nd Generation - Snow</t>
  </si>
  <si>
    <t>EPSON 542 EcoTank Ink Ultra-high Capacity Bottle Color Combo Pack (T542520-S) Works with EcoTank Pro ET-5150, ET-5170, ET-5180, ET-5800, ET-5850, ET-5880, ET-16600, ET-16650</t>
  </si>
  <si>
    <t>Razer BlackShark V2 Pro Wireless Gaming Headset 2023 Edition: Detachable Mic - Pro-Tuned FPS Profiles - 50mm Drivers - Noise-Isolating Earcups w/Ultra-Soft Memory Foam - 70 Hr Battery Life - Black</t>
  </si>
  <si>
    <t>ASURION 2 Year Furniture Protection Plan ($50 - $59.99)</t>
  </si>
  <si>
    <t>Lasko Weather-Shield Performance Box Fan, 3 Speeds, Innovative Wind Ring System for Up to 30% More Air, Carry Handle for Bedroom, Office, Home, 20 Inch, White, 3720</t>
  </si>
  <si>
    <t>HP Original 65 Tri-Color / 65XL Black Ink Cartridges (2-pk) | Works AMP 100 Series DeskJet 2600, 3700 Series Envy 5000 Series | Eligible for Instant Ink | 6ZD95AN</t>
  </si>
  <si>
    <t>UGREEN USB C to Ethernet Adapter 2.5G, Ethernet Adapter for Laptop, Aluminum, Type C (Thunderbolt 4/3 Compatible) to RJ45 Network Internet, Compatible for NAS, MacBook Air/Pro, XPS, iPhone 15 Pro/Max</t>
  </si>
  <si>
    <t>ASURION 2 Year Portable Electronic Accident Protection Plan ($40 - $49.99)</t>
  </si>
  <si>
    <t>Logitech MX Master 3S for Mac - Wireless Bluetooth Mouse with Ultra-Fast Scrolling, Ergo, 8K DPI, Quiet Clicks, Track on Glass, Customization, USB-C, Apple, iPad - Pale Grey</t>
  </si>
  <si>
    <t>EPSON 302 Claria Premium Ink High Capacity Black &amp; Standard Color Cartridge Combo Pack (T302XL-BCS) Works with Expression Premium XP-6000, XP-6100</t>
  </si>
  <si>
    <t>Schlage BE365 V CAM 716 Camelot Keypad Deadbolt, Electronic Keyless Entry Lock, Aged Bronze</t>
  </si>
  <si>
    <t>HP 936e Black EvoMore Ink Cartridge Printers | Works with Printer Series: OfficeJet 9120, Pro 9100, Pro Wide Format 9700 | Carbon Neutral | 4S6V6LN</t>
  </si>
  <si>
    <t>Canon CL-241 XL Genuine Color Ink Cartridge, Compatible with MG2120/3120/4120, MX512/432/472/372/392/522/532/452, MG2220/3220/4220/3520/3620, TS5120</t>
  </si>
  <si>
    <t>Skullcandy Rail ANC Wireless Earbuds, Bluetooth Headphones, Active Noise Cancelling, Up to 38 Hours Battery, Microphone for iPhone Android, Customizable via Skull-iQ App - True Black</t>
  </si>
  <si>
    <t>ESR for iPad Air 11 Inch Case M3/M2 (2025/2024), iPad Air 5th/4th Gen Case (2022/2020) 10.9 Inch, Removable Magnetic Cover, Adjustable Portrait/Landscape Stand, 9 Standing Angles, Black</t>
  </si>
  <si>
    <t>KODAK Dock ERA Plus 4PASS Instant Photo Printer, 4x6 inches, 90 Sheets Bundle</t>
  </si>
  <si>
    <t>ASURION 2 Year Laptop Protection Plan ($700 - $799.99)</t>
  </si>
  <si>
    <t>Purell Advanced Hand Sanitizer Refreshing Gel, Clean Scent, 2-Liter Pump Bottle (Pack of 1). 9625-04</t>
  </si>
  <si>
    <t>MSI B550M PRO-VDH WiFi ProSeries Motherboard (AMD Ryzen 5000, AM4, DDR4, PCIe 4.0, SATA 6Gb/s, M.2, USB 3.2 Gen 1, Wi-Fi, Bluetooth, D-SUB/HDMI/DP, Micro-ATX)</t>
  </si>
  <si>
    <t>Garmin Forerunner® 255, GPS Running Smartwatch, Advanced Insights, Long-Lasting Battery, Slate Gray</t>
  </si>
  <si>
    <t>Logitech G413 SE Full-Size Mechanical Gaming Keyboard - Backlit Keyboard with Tactile Mechanical Switches, Anti-Ghosting, Compatible with Windows, macOS - Black Aluminum</t>
  </si>
  <si>
    <t>Simple Houseware Desk Dual Monitor Stand Riser with Drawer, Rustic Brown</t>
  </si>
  <si>
    <t>Mighty Max Battery ML18-12 - 12 Volt 18 AH, Nut and Bolt (NB) Terminal, Rechargeable SLA AGM Battery</t>
  </si>
  <si>
    <t>ASURION 2 Year Furniture Protection Plan ($80 - $89.99)</t>
  </si>
  <si>
    <t>SteelSeries QcK Gaming Mouse Pad - XXL Cloth - Peak Tracking and Stability - Esports Mousepad - Never-Slip - Full Desk Coverage</t>
  </si>
  <si>
    <t>Seagate Skyhawk 4TB Video Internal Hard Drive HDD – 3.5 Inch SATA 6Gb/s 64MB Cache for DVR NVR Security Camera System with Drive Health Management and in-House Rescue Services (ST4000VXZ16/016)</t>
  </si>
  <si>
    <t>HyperX CloudX, Official Xbox Licensed Gaming Headset, Compatible with Xbox One and Series X|S, Memory Foam Ear Cushions, Detachable Noise-Cancelling Mic, in-line Audio Controls,Black/ Silver</t>
  </si>
  <si>
    <t>TP-Link Deco WiFi 6 Mesh System(Deco X20) - Covers up to 5800 Sq.Ft, Replaces Wireless Routers and Extenders(3-Pack, 6 Ethernet Ports in Total, Supports Wired Ethernet Backhaul)</t>
  </si>
  <si>
    <t>Kipling Women's Seoul 15" Laptop Backpack, Durable, Roomy with Padded Shoulder Straps, Built-In Protective Sleeve</t>
  </si>
  <si>
    <t>Verbatim Ultra HD 4K CD DVD Blu-ray Writer USB 3.2 GEN 1 USB-C Connectivity Slim Brushed Metal Enclosure Compatible with Mac and PC with Free 25GB Verbatim Blu-ray disc</t>
  </si>
  <si>
    <t>UGREEN Mac mini M4 Dock &amp; Stand with NVMe SSD Enclosure, 3 USB A 10Gbps, USB C Data Port, SD Card Reader for Mac mini M4/ M4 Pro</t>
  </si>
  <si>
    <t>CORSAIR 3500X ARGB Mid-Tower ATX PC Case – Panoramic Tempered Glass – Reverse Connection Motherboard Compatible – 3X CORSAIR RS120 ARGB Fans Included – White</t>
  </si>
  <si>
    <t>JanSport Right Pack Backpack - Durable Daypack with Padded 15" Laptop Sleeve, Spacious Main Compartment &amp; Integrated Water Bottle Pocket - Russet Red</t>
  </si>
  <si>
    <t>ASURION 2 Year Ride-On Protection Plan ($250 - $299.99)</t>
  </si>
  <si>
    <t>NETGEAR 5-Port Gigabit Ethernet Unmanaged Switch (GS105NA) - Desktop or Wall Mount, and Limited Lifetime Protection</t>
  </si>
  <si>
    <t>Canon PG-240 XL / CL-241 XL Genuine Ink Value Pack (2 Cartridges) with 50-Sheet Photo Paper, Compatible with MG2120/3120/4120/2220/3220/4220/3520/3620, MX372/392/432/452/472/512/522/532, TS5120</t>
  </si>
  <si>
    <t>NETGEAR 5-Port PoE Gigabit Ethernet Unmanaged Essentials Switch (GS305P) - with 4 x PoE+ @ 63W, Desktop or Wall Mount</t>
  </si>
  <si>
    <t>Canon PG-285 XL / CL-286 XL Genuine Ink Value Pack (2 Cartridges), Compatible with TR7820, TS7720/7722</t>
  </si>
  <si>
    <t>Google Nest Wifi - AC2200 - Mesh WiFi System - Wifi Router - 2200 Sq Ft Coverage - 1 pack</t>
  </si>
  <si>
    <t>OtterBox Defender Series Case for iPad Air 11-inch (M3) &amp; (M2) - Black, Rugged, Durable, Multi-Layer Protection</t>
  </si>
  <si>
    <t>NZXT Kraken 240 - RL-KN-240-B1 - 240mm AIO CPU Liquid Cooler - Customizable 1.54" Square LCD Display for Images, Performance Metrics and More - High-Performance Pump - 2 x F120P Fans - Black</t>
  </si>
  <si>
    <t>JBL Clip 4 - Portable Mini Bluetooth Speaker, big audio and punchy bass, integrated carabiner, IP67 waterproof and dustproof, 10 hours of playtime, speaker for home, outdoor and travel (Black)</t>
  </si>
  <si>
    <t>Audio-Technica AT2020 Cardioid Condenser Studio XLR Microphone, Ideal for Project/Home Studio Applications</t>
  </si>
  <si>
    <t>Panasonic Cordless Phone, Easy to Use with Large Display and Big Buttons, Flashing Favorites Key, Built in Flashlight, Call Block, Volume Boost, Talking Caller ID, 2 Cordless Handsets - KX-TGU433B</t>
  </si>
  <si>
    <t>SAMSON Q2U Dynamic USB/XLR Microphone</t>
  </si>
  <si>
    <t>EPSON 202 Claria Ink High Capacity Black &amp; Standard Color Cartridge Combo Pack (T202XL-BCS) Works with WorkForce WF-2860, Expression XP-5100</t>
  </si>
  <si>
    <t>Jabra Speak2 75 (2025 Edition) Wireless Bluetooth Speakerphone - 4 Noise-Cancelling Mics, 65mm Speakers - New Linking Feature - USB-A Dongle - Certified for Zoom and Google Meet - Dark Grey</t>
  </si>
  <si>
    <t>Samsung Galaxy Buds 3 Wireless Earbud Headphones - Silver</t>
  </si>
  <si>
    <t>Avery Printable Return Address Labels with Sure Feed, 0.5" x 1.75", White, 8,000 Blank Mailing Labels (05167)</t>
  </si>
  <si>
    <t>Fujifilm Instax Mini Instant Film, 2 x 10 Shoots X 2Pack (Total 40 Shoots) Value Set</t>
  </si>
  <si>
    <t>RØDE VideoMic GO II Helix | Ultra-Compact On-Camera Shotgun Microphone with Both 3.5mm and USB Outputs for Filmmaking, Content Creation, Podcasting and Video Calls (3rd Gen)</t>
  </si>
  <si>
    <t>HP 94A Black Toner Cartridge | Works with HP LaserJet Pro M118 Series; HP LaserJet Pro MFP M148, M149 Series | CF294A</t>
  </si>
  <si>
    <t>PNY CS1030 1TB M.2 NVMe PCIe Gen3 x4 Internal Solid State Drive (SSD) - M280CS1030-1TB-RB</t>
  </si>
  <si>
    <t>EPSON 542 EcoTank Ink Ultra-high Capacity Bottle Black (T542120-S) Works with EcoTank Pro ET-5150, ET-5170, ET-5180, ET-5800, ET-5850, ET-5880, ET-16600, ET-16650</t>
  </si>
  <si>
    <t>Insta360 3m 9.8ft Extended Edition Selfie Stick for X4, X3, ONE RS, ONE X2, ONE R, ONE X, ONE Action Camera</t>
  </si>
  <si>
    <t>HP 17A Black Toner Cartridge | Works with HP LaserJet Pro M102 Series, HP LaserJet Pro MFP M130 Series | CF217A</t>
  </si>
  <si>
    <t>Sony MDR-ZX310AP ZX Series Wired On Ear Headphones with mic, Black</t>
  </si>
  <si>
    <t>Plantronics - Blackwire 3220 - Wired Dual-Ear (Stereo) Headset with Boom Mic - USB-A to connect to your PC and/or Mac</t>
  </si>
  <si>
    <t>NEEWER Triple Suction Cup Car Mount Kit with 2in1 Extension Pole/Selfie Stick, Quick Release Outside Windshield Magic Arm Camera Mount with Action Camera Adapter Compatible with GoPro Insta360, CA065</t>
  </si>
  <si>
    <t>ESR for MagSafe Car Mount Charger with CryoBoost, Phone Cooling MagSafe Car Charger, Magnetic Wireless Car Charging, Air Vent/Dashboard Car Phone Holder for iPhone 16/15/14/13/12, S25, Fast Charging</t>
  </si>
  <si>
    <t>Fujifilm Instax Mini Instant Film,10 Sheets×5 Pack(Total 50 Shoots) Bundled with Tudak Photo Magnet Frames [Bulk Packaging]</t>
  </si>
  <si>
    <t>HP 2716570 10bII+ Financial Calculator, 12-Digit LCD</t>
  </si>
  <si>
    <t>Wahl USA Stainless Steel Lithium-Ion Cordless Beard Trimmer for Men - Rechargeable All in One Men's Beard Trimmer with Rotary Ear &amp; Nose Trimmer, &amp; Detail Trimmer - Model 9818A</t>
  </si>
  <si>
    <t>JanSport Laptop Backpack - Computer Bag with 2 Compartments, Ergonomic Shoulder Straps, 15” Laptop Sleeve, Haul Handle - Book Rucksack - Happy Hearts Pink</t>
  </si>
  <si>
    <t>HP 61XL Tri-color High-yield Ink Cartridge | Works with Printer Series: DeskJet 1000, 1510, 2050, 2510, 2540, 3000, 3050, 3510; ENVY 4500, 5530; OfficeJet 2620, 4630 | Instant Ink Eligible | CH564WN</t>
  </si>
  <si>
    <t>ASURION 4 Year Office Equipment Protection Plan ($125 - $149.99)</t>
  </si>
  <si>
    <t>EPSON 220 DURABrite Ultra Ink Standard Capacity Black &amp; Color Cartridge Combo Pack (T220120-BCS) Works with WorkForce WF-2630, WF-2650, WF-2660, WF-2750, WF-2760, Expression XP-320, XP-420, XP-424</t>
  </si>
  <si>
    <t>Razer Basilisk V3 Pro Wireless Gaming Mouse: HyperScroll Tilt Wheel - 30K DPI Optical Sensor - Gen-3 Optical Switches - 13-Zone Chroma RGB - 13 Programmable Controls - 3 Connection Modes - Black</t>
  </si>
  <si>
    <t>Peak Design Capture Camera Clip V3, Black with Plate, Holds DSLR, Compact and Point and Shoot Bodies, Secure, Stable and Accessible, Attaches to Straps and Belts, Quick Release, 200 lb Capacity</t>
  </si>
  <si>
    <t>Marshall Major V On-Ear Bluetooth Headphone, Black</t>
  </si>
  <si>
    <t>TCL 32-Inch Class S3 1080p LED Smart TV with Google TV (32S350G, 2023 Model), Google Assistant Built-in with Voice Remote, Compatible with Alexa, Streaming FHD Television,Black</t>
  </si>
  <si>
    <t>Satechi Mac mini M4 Hub &amp; Stand with NVMe SSD Enclosure, Mac mini M4 Dock with 2xUSB A Up to 10Gbps, USB A Data Port, SD Card Reader for Mac mini M4, Mac mini M4 Pro - Silver</t>
  </si>
  <si>
    <t>HP Wireless Keyboard and Mouse Combo - Full Size Membrane Chiclet Style Keyboard, 3-Zone Layout, 2.4GHz Wireless Connection, Compatible with PC, Mac</t>
  </si>
  <si>
    <t>Belkin SoundForm Mini w/Case - Wireless Bluetooth Kids Headphones with 30H Battery Life, 85dB Safe Volume Limit, Built-in Microphone - Kids On-Ear Earphones for iPhone, iPad, &amp; More - Pink</t>
  </si>
  <si>
    <t>SABRENT USB 3.0 to SATA I/II/III Dual Bay External Hard Drive Docking Station for 2.5 or 3.5in HDD, SSD with Hard Drive Duplicator/Cloner Function [20+TB Support] (EC-HD2B)</t>
  </si>
  <si>
    <t>DEWALT Heavy Duty 2-in-1 Neckband Bluetooth Headphones w/Built-in Speakers, Jobsite Wearable Speaker &amp; Around Neck Headphones, Wireless Bluetooth Headset, 60+ Hrs Hands-Free Music/Calls, Carry Pouch</t>
  </si>
  <si>
    <t>Amazon Basics Adjustable Boom Arm Height Microphone Stand with Tripod Base, Up to 85.75 Inches - Black</t>
  </si>
  <si>
    <t>ASURION 2 Year Electronics Protection Plan ($200 - $249.99)</t>
  </si>
  <si>
    <t>be quiet! Dark Rock Pro 5 Quiet Cooling CPU Cooler | Immensely High Airflow | 7 high-Performance Copper Heat Pipes | Speed Switch | Thermal Grease | BK036</t>
  </si>
  <si>
    <t>Belkin 4-Port USB-C 3.2 Gen 2 Hub with 100W Power Delivery and 10Gbps Data Transfer, High-Speed Multiport Adapter Splitter Compatible with MacBook Pro/Air, iPad Pro, iPhone 15, Chromebook, Surface, PC</t>
  </si>
  <si>
    <t>Brother Printer High Yield Ink Cartridge Page Up To 400 Pages Black (LC3013BK), Standard</t>
  </si>
  <si>
    <t>SAMSUNG Galaxy Watch 5 Pro (45mm,WIFI + 4G LTE) 1.4'' Super AMOLED Smartwatch GPS Bluetooth with Sleep Coaching,Bioactive Sensor,Water Resistant R925U (Fast Charger Bundle,Black Titanium) (Renewed)</t>
  </si>
  <si>
    <t>Fujifilm 600018966 Fujicolor 200 Color Negative Film, 3 Pack</t>
  </si>
  <si>
    <t>KODAK Portra 400 Professional ISO 400, 35mm, 36 Exposures, Color Negative Film (5 Roll per Pack )</t>
  </si>
  <si>
    <t>Panasonic Corded/Cordless Phone with Advanced Call Block, 2-Way Recording and Digital Answering Machine, 2 Handsets Expandable up to 6 Cordless Handsets - KX-TGF852B (Black)</t>
  </si>
  <si>
    <t>Logitech G PRO X SUPERLIGHT Wireless Gaming Mouse, Ultra-Lightweight, HERO 25K Sensor, 25,600 DPI, 5 Programmable Buttons, Long Battery Life, Compatible with PC / Mac - White</t>
  </si>
  <si>
    <t>Canon MAXIFY PGI-1200 3Color Multi Pack Ink Compatible to MB2120, MB2720, B2020, MB2320, Cyan, Magenta, Yellow</t>
  </si>
  <si>
    <t>ASURION 3 Year Kitchen Protection Plan ($60 - $69.99)</t>
  </si>
  <si>
    <t>EPSON 220 DURABrite Ultra Ink High Capacity Black &amp; Standard Color Cartridge Combo Pack Works with WorkForce WF-2630, WF-2650, WF-2660, WF-2750, WF-2760, Expression XP-320, XP-420, XP-424</t>
  </si>
  <si>
    <t>CORSAIR VENGEANCE RGB PRO DDR4 RAM 32GB (2x16GB) 3200MHz CL16-20-20-38 1.35V Intel AMD Desktop Computer Memory - Black (CMW16GX4M2C3200C16)</t>
  </si>
  <si>
    <t>OtterBox Defender Series Case for iPad 7th, 8th &amp; 9th Gen (10.2" Display - 2019, 2020 &amp; 2021 Version) - Non-Retail/Ships in Polybag - Black, Rugged, Durable, Multi-Layer Protection</t>
  </si>
  <si>
    <t>WeatherTech CupFone, Universal Cup Holder Phone Mount for Cars – Adjustable &amp; Secure Fit with Open Access for Charging – Compatible with iPhone, Android - Plastic Knobs, Black</t>
  </si>
  <si>
    <t>EPSON 812 DURABrite Ultra Ink Standard Capacity Black &amp; Color Cartridge Combo Pack (T812120-BCS) Works with WorkForce Pro WF-7310, WF-7820, WF-7840, WorkForce EC-C7000</t>
  </si>
  <si>
    <t>soundcore AeroFit 2 by Anker, Open-Ear Headphones, Translation Earbuds Real Time, 4 Adjustable Positions for Every Ear Size, 2x Richer Bass, Hi-Res, 42H Playtime, IP55,AI Clear Calls,Wireless Charging</t>
  </si>
  <si>
    <t>Skullcandy Dime Evo Wireless Earbuds, Bluetooth Headphones, Noise Isolating Fit, Up to 36 Hours Battery, Microphone for iPhone Android, Easy Carry with Clip-Anywhere Case - True Black</t>
  </si>
  <si>
    <t>ASURION 3 Year Office Equipment Protection Plan ($200 - $249.99)</t>
  </si>
  <si>
    <t>Sennheiser HD 280 Pro Headphone, Black</t>
  </si>
  <si>
    <t>Wyze Expandable MicroSDXC Card Class 10,Storage 128GB , Black</t>
  </si>
  <si>
    <t>Godox Flash Godox iM30 Mini Flash - Camera Flash GN 15, 7 Power Levels, IM 30 Mini Manual Flash for Canon/Sony zv1/Sony zve10 /Ricoh gr3/Fuji f1-230 Full-Power Flashes/6500K±200K/3.6S Recycle</t>
  </si>
  <si>
    <t>ASURION 2 Year Furniture Protection Plan ($350 - $399.99)</t>
  </si>
  <si>
    <t>ASURION 2 Year Laptop Protection Plan ($800 - $899.99)</t>
  </si>
  <si>
    <t>Brother P-Touch PT-D410 Home / Office Advanced Label Maker | Connect via USB to Create and Print on TZe Label Tapes up to ~3/4 inch, White</t>
  </si>
  <si>
    <t>Mounting Dream TV Wall Mount, UL Listed Full Motion Mount Bracket for 42-84 Inch Flat Screen TVs, Swivel Articulating Dual Arms, Max VESA 600x400mm, 100 LBS Loading, Fits 16 Inches Wood Studs, MD2296</t>
  </si>
  <si>
    <t>Casio HR-170RC Plus – Mini Desktop Printing Calculator | Check &amp; Correct, Cost/Sell/Margin, Dual-Color Print | Ideal for Taxes, Bookkeeping &amp; Accounting Tasks</t>
  </si>
  <si>
    <t>Dell 65W USB-C Laptop Charger,Latitude 5400 5410 5420 5430 5440 5450 Power AC Adapter with Power Cord Cable, Black, HA65NM190</t>
  </si>
  <si>
    <t>Canon PG-245 / CL-246 Genuine Ink Value Pack (2 Cartridges), Compatible with iP2820, MG2420/2924/2920/3020/2522/2525, MX492, TS3120/302/302a/202/202a/4520/3320</t>
  </si>
  <si>
    <t>ASURION 2 Year Furniture Protection Plan ($70 - $79.99)</t>
  </si>
  <si>
    <t>EPSON 320 Standard Capacity (T320) Works with PictureMate PM-400</t>
  </si>
  <si>
    <t>EPSON 812 DURABrite Ultra Ink Extra-high Capacity Black Cartridge (T812XXL120-S) Works with WorkForce Pro WF-7310, WF-7820, WF-7840, WorkForce EC-C7000</t>
  </si>
  <si>
    <t>Cooler Master MasterLiquid 360L Core 360mm Close-Loop AIO Liquid Cooler, ARGB Sync, Gen S Coldplate Pump, 120mm PWM, CryoFuze 14W/mK, AMD Ryzen AM5/AM4, Intel LGA1700/1200 (MLW-D36M-A18PZ-R1) , Black</t>
  </si>
  <si>
    <t>HP 215A Cyan Toner Cartridge for HP Printers | Works with Color LaserJet Pro M155, Color LaserJet Pro MFP M182, M183 Series | W2311A</t>
  </si>
  <si>
    <t>Tripp Lite 12 Outlet Surge Protector Power Strip, 8ft Cord, Right-Angle Plug, Tel/Modem/Coax/Ethernet Protection, RJ11, RJ45, &amp; $250,000 INSURANCE (TLP1208SAT) Black</t>
  </si>
  <si>
    <t>UBIQUITI POE Injector, 802.3AT, 30W of PoE+ Power, Suitable For U6 AP U6-LR, U6-LITE &amp; U6-PRO</t>
  </si>
  <si>
    <t>ASURION 2 Year Portable Electronic Accident Protection Plan ($125 - $149.99)</t>
  </si>
  <si>
    <t>eufy Security Indoor Cam C120 | Plug-in Security Camera 3 MP | 2K with Wi-Fi | IP Camera | Voice Assistant Compatibility | Night Vision | Two-Way Audio | HomeBase 3 Compatible | Audio and Motion Alert</t>
  </si>
  <si>
    <t>ASURION 3 Year Office Equipment Protection Plan ($250 - $299.99)</t>
  </si>
  <si>
    <t>Casio fx-991CW– Advanced Scientific Calculator with High-Res 4-Tone Display | Natural Textbook Display | 540+ Functions, Numeric Calculus, Matrix Solver | Ideal for Engineering, Science &amp; Exams</t>
  </si>
  <si>
    <t>UGREEN Revodok Pro 7 in 1 Docking Station Dual Monitor, USB C Hub Dual 4K@60Hz HDMI Display, 10Gbps USB-A/C Data Ports, 100W PD, Aluminum Laptop Docking Station for HP, Thinkpad, Dell and More</t>
  </si>
  <si>
    <t>Mounting Dream TV Wall Mount Swivel and Tilt for Most 26-55 Inch TV, TV Mount Perfect Center Design, Full Motion TV Mount Bracket with Articulation, up to VESA 400x400mm, 60 lbs, MD2377</t>
  </si>
  <si>
    <t>Insta360 X5 Battery</t>
  </si>
  <si>
    <t>Logitech Crayon Digital Pencil (iPads with USB-C Ports) Featuring Apple Technology, No Lag Pixel-Precision, and Dynamic Smart Tip with Fast Charge - Silver</t>
  </si>
  <si>
    <t>EPSON 127 DURABrite Ultra Ink Black Cartridge For NX-530, NX-625, WF-3520, WF-3530, WF-3540, WF-545, WF-60, WF-630, WF-633, WF-635, WF-645, WF-7010, WF-7510, WF-7520, WF-840, WF-845,Water Resistant</t>
  </si>
  <si>
    <t>Brother Genuine Standard Yield Color Ink Cartridges, LC1013PKS, Replacement Color Ink Three Pack, Includes 1 Cartridge Each of Cyan, Magenta &amp; Yellow, Page Yield Upto 300 Pages/Cartridge, LC101</t>
  </si>
  <si>
    <t>ASURION 3 Year Office Equipment Protection Plan ($90 - $99.99)</t>
  </si>
  <si>
    <t>ASURION 2 Year Sporting Goods Protection Plan ($500 - $599.99)</t>
  </si>
  <si>
    <t>ASURION 2 Year Furniture Protection Plan ($60 - $69.99)</t>
  </si>
  <si>
    <t>Sharp EL-1197PIII Heavy Duty Color Printing Calculator with Clock and Calendar</t>
  </si>
  <si>
    <t>Canon Ivy 2 Mini Photo Printer, Print from Compatible iOS &amp; Android Devices, Sticky-Back Prints, Pure White</t>
  </si>
  <si>
    <t>Mounting Dream UL Listed TV Wall Mount for Most 26-55 Inch TVs, Full Motion TV Mount with Perfect Center Design, Articulating Wall Mount TV Bracket Swivel and Tilt, Max VESA 400x400mm, Up to 77LBS</t>
  </si>
  <si>
    <t>8Bitdo 64 Bluetooth Controller for Analogue 3D, Switch, Switch 2, Windows, and Android (Black)</t>
  </si>
  <si>
    <t>D'Addario Guitar Tuner - Micro Headstock Tuner - Tuner for Acoustic Guitar, Electric Guitar, Bass Guitar, Mandolin, Banjo, Ukulele - Compact &amp; Discrete - Clip On - 1 Pack</t>
  </si>
  <si>
    <t>HP 215A Yellow Toner Cartridge for HP Printers | Works with Printer Series: Color LaserJet Pro M155, Color LaserJet Pro MFP M182, M183 | W2312A</t>
  </si>
  <si>
    <t>ASURION 2 Year Electronics Protection Plan ($70 - $79.99)</t>
  </si>
  <si>
    <t>Nintendo Samsung MicroSD Express Card 256 GB (UK Version)</t>
  </si>
  <si>
    <t>DEWALT 20V MAX Bluetooth Speaker, 100 ft Range, Durable for Jobsites, Phone Holder Included, Lasts 8-10 Hours with Single Charge (DCR010)</t>
  </si>
  <si>
    <t>Belkin 12-Outlet Surge Protector Power Strip w/ 12 AC Outlets, 2 USB-A Ports and 1 USB-C Port, 6ft Cable, UL-listed w/ Overload &amp; Overvoltage Protection + On/Off Switch - 3,480 Joules of Protection</t>
  </si>
  <si>
    <t>Elgato Stream Deck Mini – Control Zoom, Teams, PowerPoint, MS Office and More, Boost Productivity with Seamless Integration for Daily Apps, Set Up Shortcuts Easily, Compatible with Mac and PC</t>
  </si>
  <si>
    <t>Arduino Uno REV3 [A000066] – ATmega328P Microcontroller, 16MHz, 14 Digital I/O Pins, 6 Analog Inputs, 32KB Flash, USB Connectivity, Compatible with Arduino IDE for DIY Projects and Prototyping</t>
  </si>
  <si>
    <t>Klein Tools 1010 Multi Tool Long Nose Wire Cutter, Made in USA, Wire Crimper, Stripper and Bolt Cutter Multi-Purpose Electrician Tool, 8-Inch Long</t>
  </si>
  <si>
    <t>HP 950 Black Ink Cartridge | Works with HP OfficeJet 8600, HP OfficeJet Pro 251dw, 276dw, 8100, 8610, 8620, 8630 Series | Eligible for Instant Ink | CN049AN</t>
  </si>
  <si>
    <t>EPSON 252 DURABrite Ultra Ink Standard Capacity Color Combo Pack (T252520-S) Works with WorkForce WF-3620, WF-3640, WF-7110, WF-7610, WF-7620, WF-7710, WF-7720, WF-7210</t>
  </si>
  <si>
    <t>EPSON 702 DURABrite Ultra Ink Standard Capacity Black &amp; Color Cartridge Combo Pack (T702120-BCS) Works with WorkForce Pro WF-3720, WF-3730, WF-3733</t>
  </si>
  <si>
    <t>HyperX Cloud Stinger 2 – Gaming Headset, DTS Headphone:X Spatial Audio, Lightweight Over-Ear Headset with mic, Swivel-to-Mute Function, 50mm Drivers, PC Compatible, Black</t>
  </si>
  <si>
    <t>Panasonic Cordless Phone with Answering Machine, Link2Cell Bluetooth, Voice Assistant and Advanced Call Blocking, Expandable System with 4 Handsets - KX-TGD864W (White)</t>
  </si>
  <si>
    <t>TEXAS INSTRUMENTS 30XIIS Scientific/Math Calculator - Orange</t>
  </si>
  <si>
    <t>Scotch Dry Erase Thermal Laminating Pouches, 50-Pack, Works with Dry Erase Markers, Reuseable Worksheets, Calendars, Checklists, 8.9 x 11.4 Inches, Letter Size, Clear Professional Finish (TP3854-50DE)</t>
  </si>
  <si>
    <t>SanDisk 128GB Extreme PRO CFexpress Card Type B - SDCFE-128G-GN4NN, Silver</t>
  </si>
  <si>
    <t>Audio-Technica ATH-M30x Professional Studio Monitor Headphones, Black</t>
  </si>
  <si>
    <t>APC UPS Replacement Battery RBC17 for APC Back-UPS Models BE650G1, BE750G, BR700G, BE850M2, BE850G2, BX850M, BE650G, BN600, BN700MC, BN900M, BVK950M2, BVN950M2 and select others</t>
  </si>
  <si>
    <t>ASURION 3 Year Home Improvement Protection Plan ($300 - $349.99)</t>
  </si>
  <si>
    <t>Mounting Dream UL Listed Advanced Tilt TV Wall Mount for Most 42-90 Inch TVs, TV Bracket with Full Tilt Extension up to 7", Fits 16", 18", 24" Studs, Max VESA 600x400mm and 120LBS MD2104</t>
  </si>
  <si>
    <t>Canon PGI-280XXL Genuine Pigment Black Ink Tank, Compatible with TR8520, TS9120,TS8120, TS6120, TS9521C/a, TS9520/a, TS8220, TS6220, TS8320, TS6320, TS702/a, and TR8620/a Series Printers</t>
  </si>
  <si>
    <t>Apple USB-C to SD Card Reader</t>
  </si>
  <si>
    <t>ASURION 4 Year Laptop Protection Plan ($250 - $299.99)</t>
  </si>
  <si>
    <t>NVIDIA SHIELD Remote; Voice Search, Motion-Activated, Backlit Buttons, Customizable Menu Buttons, and IR Blaster to Control your TV</t>
  </si>
  <si>
    <t>Avery Full-Sheet Printable Shipping Labels, 8.5" x 11" Customizable Stickers, White, 100 Blank Mailing Labels, Great for Mailing, Shipping, Organizing, and More (5165)</t>
  </si>
  <si>
    <t>Brother Genuine TN420 Mono Laser Toner Cartridge, Black</t>
  </si>
  <si>
    <t>SteelSeries New Arctis Nova 3 Multi-Platform Gaming Headset - Signature Arctis Sound - ClearCast Gen 2 Mic - PC, PS5/PS4, Xbox Series X|S, Switch, Mobile,Black</t>
  </si>
  <si>
    <t>Canon PGI-250XL Genuine Pigment Black Ink Tank, Compatible with MG6320, IP7220 &amp; MG5420, MX922, MG5520, MG6420, MG7120, iX6820, iP8720, MG7520, MG6620, and MG5620 Printers</t>
  </si>
  <si>
    <t>PopSockets Phone Grip for MagSafe with Kickstand, Magnetic Stand, Swappable Top, Secure Hold for iPhone MagSafe Cases, Phone &amp; Tablet Grip - Alum Radial Gold</t>
  </si>
  <si>
    <t>Zebra Pen F-301 Ballpoint Fine Point 0.7mm Stainless Steel Retractable Ballpoint 12-Pack – Easy-Glide Ink, Non-Slip Grip, Metal Clip, Refillable with F-Refill, Professional Design (27110)</t>
  </si>
  <si>
    <t>Logitech M317 Wireless Mouse, 2.4 GHz with USB Receiver, 1000 DPI Optical Tracking, 12 Month Battery, Compatible with PC, Mac, Laptop, Chromebook - Black</t>
  </si>
  <si>
    <t>Belkin USB C to USB C Cable ​2-Pack, 6.6ft, 240W - Type C Charger, iPhone Charger Cord, Soft, Braided, Flexible for iPhone 16, Galaxy S25, Pixel 9, MacBook, Chromebook, iPad Pro, Switch – Black</t>
  </si>
  <si>
    <t>Neewer Photo Studio Backdrop Support System, 10ft/3m Wide 6.6ft/2m High Adjustable Background Stand with 4 Crossbars, 6 Backdrop Clamps, 2 Sandbags, and Carrying Bag for Portrait &amp; Studio Photography</t>
  </si>
  <si>
    <t>Rechargeable Battery for TI Nspire CX, TI Nspire CX CAS (NEW MODEL)</t>
  </si>
  <si>
    <t>OtterBox iPhone 16 Defender Series Case - Black (Single Unit Ships in polybag)</t>
  </si>
  <si>
    <t>Panasonic Portable AM / FM Radio, Battery Operated Analog Radio, AC Powered, Silver (RF-2400D)</t>
  </si>
  <si>
    <t>ASURION 2 Year Floorcare Extended Protection Plan ($90 - $99.99)</t>
  </si>
  <si>
    <t>Lenovo 510 Wireless Keyboard &amp; Mouse Combo, 2.4 GHz Nano USB Receiver, Full Size, Island Key Design, Left or Right Hand, 1200 DPI Optical Mouse, GX30N81775, Black</t>
  </si>
  <si>
    <t>MSI MAG A650BN Gaming Power Supply - 80 Plus Bronze Certified 650W - Compact Size - ATX PSU</t>
  </si>
  <si>
    <t>EPSON 702 DURABrite Ultra Ink Standard Capacity Color Combo Pack (T702520-S) Works with WorkForce Pro WF-3720, WF-3730, WF-3733</t>
  </si>
  <si>
    <t>JBL Live 460NC wireless on-ear Noise Cancelling headphones with 50H battery, microphone for calls, lightweight and comfortable, and Alexa Built-in (Optimized for Android), iOS compatible (Black)</t>
  </si>
  <si>
    <t>Case of 10, Retevis Walkie Talkies Earpiece with Mic 2 Pin Acoustic Tube Headset, for RT22 RT21 RT68 H777, Compatible with Pxton Baofeng BF-888S BF-T26 Kenwood walkie talkie, Two Way Radio Earpiece</t>
  </si>
  <si>
    <t>UGREEN USB 3.0 Switch 2 Computers Sharing USB C &amp; A Devices, 4 Port USB Switcher Sharing Keyboard and Mouse, Printer/Scanner USB Switch Hub for Two Computers with 2 USB3.0 Cables and Controller</t>
  </si>
  <si>
    <t>Logitech G703 Lightspeed Wireless Gaming Mouse W/Hero 25K Sensor, PowerPlay Compatible, Lightsync RGB, Lightweight 95G+10G Optional, 100-25, 600 DPI, Rubber Side Grips - Black</t>
  </si>
  <si>
    <t>ASURION 2 Year Electronics Protection Plan ($150 - $174.99)</t>
  </si>
  <si>
    <t>Cooler Master MasterBox Q300L Micro-ATX Tower with Magnetic Design Dust Filter, Transparent Acrylic Side Panel, Adjustable I/O &amp; Fully Ventilated Airflow, Black (MCB-Q300L-KANN-S00)</t>
  </si>
  <si>
    <t>Melissa &amp; Doug Toy Shopping Cart with Sturdy Metal Frame Toddler Shopping Cart, Pretend Grocery Supermarket, Pretend Play for Kids Ages 3+</t>
  </si>
  <si>
    <t>Razer Tartarus V2 Gaming Keypad: Mecha Membrane Key Switches - One Handed Keyboard - 32 Programmable Keys - Customizable Chroma RGB Lighting - Programmable Macros - Snap Tap - Black</t>
  </si>
  <si>
    <t>Lenovo 11.6" 300e Chromebook Touchscreen LCD 2 in 1- MediaTek M8173C Quad-core 2.1GHz 4GB LPDDR3 32GB Flash Memory Chrome OS Model 81H00000US (Renewed)</t>
  </si>
  <si>
    <t>Amazon Basics Rechargeable D Cell Batteries, 4-Pack, NiMH, 10000 mAh, Recharge up to 1000x Times, Pre-Charged</t>
  </si>
  <si>
    <t>Lexar 256GB Professional Silver SD Card, UHS-I, C10, U3, V30, 4K, Up to 205/140 MB/s SDXC Memory Card, for Professional Photographer, Videographer, Enthusiast (LSDSILV256G-BNNNU)</t>
  </si>
  <si>
    <t>JanSport Main Campus FX Backpack - Travel or Work Bag w 15-Inch Laptop Pack with Leather Trim, Black</t>
  </si>
  <si>
    <t>AT&amp;T CL4940 Corded Standard Phone with Answering System and Backlit Display, White</t>
  </si>
  <si>
    <t>UGREEN 16K DisplayPort Cable 2.1 [VESA Certified] DP2.0 40Gbps Support 8K@240Hz 4K@240Hz HDR, HDCP, DSC 1.2a, Braided Display Port Cable Cord Compatible FreeSync G-Sync Video Card Monitor, 6.6FT</t>
  </si>
  <si>
    <t>Pyle Handheld Microphone PDMIC58 - Dynamic Moving Coil Cardioid Unidirectional Includes 15ft XLR Audio Cable to 1/4'' Audio Connection</t>
  </si>
  <si>
    <t>Logitech USB Unifying Receiver - 2 Pack</t>
  </si>
  <si>
    <t>EPSON 410 Claria Premium Ink High Capacity (T410XL020) Works with Expression Premium XP-530, XP-630, XP-640, XP-7100, XP-830</t>
  </si>
  <si>
    <t>Casio fx-300MS Plus 2nd Edition – Standard Scientific Calculator with 2-Line Display | 10-Digit LCD, Trig, Stats, Fractions | Ideal for High School Algebra, Trigonometry &amp; Test Prep</t>
  </si>
  <si>
    <t>SanDisk 1TB Ultra Dual Drive Go USB Type-C Flash Drive, Black - SDDDC3-1T00-GAM46​</t>
  </si>
  <si>
    <t>ASURION 2 Year Sporting Goods Protection Plan ($30 - $39.99)</t>
  </si>
  <si>
    <t>SAMSUNG SmartTag2 (2023) Bluetooth + UWB, IP67 Water and Dust Resistant, Findable via App, 1.5 Year Battery Life - White</t>
  </si>
  <si>
    <t>UBeesize 10" Key Light for Streaming, Desk Ring Light with Adjustable Arm (1 Pack), Zoom Lighting for Home Office, Gaming, Podcast, Video Calls, and Recording</t>
  </si>
  <si>
    <t>Canon® PG-285 Black/CL-286 Tri-Color Standard-Yield Ink Cartridges, Pack Of 2, 6197C004</t>
  </si>
  <si>
    <t>Nitecore NB10000 Gen II (Gen 2) Ultra-Slim Power Bank, 10000mAh QC Quick-Charge USB and USB-C Dual Outputs with Cables for Phones Flashlights and Headlamps (Black), Dual Cable Bundle</t>
  </si>
  <si>
    <t>Pelican MagSafe Wallet for iPhone - Heavy Duty MIL-STD Snap-On Phone Magnetic Wallet and Phone Card Holder - Detachable and Slim Hard Case for iPhone 16 Pro Max /15 Pro Max/14/13/12 Series - Black</t>
  </si>
  <si>
    <t>StarTech.com 8 Outlet Horizontal 1U Rack Mount PDU Power Strip for Network Server Racks - Surge Protection - 120V/15A - w/ 6ft Power Cord (RKPW081915)</t>
  </si>
  <si>
    <t>Avery Customizable Name Badges, Clip Style, 3" x 4", Clear Name Tag Holders, White Laser/Inkjet Printable Inserts, 100 Total (74541)</t>
  </si>
  <si>
    <t>Duracell Coppertop Alkaline-Manganese Dioxide AA Battery, 1.5V, (Pack of 48)</t>
  </si>
  <si>
    <t>Belkin Wireless Car Charger 15W - MagSafe-Compatible Magnetic Charger - Qi2-Certified Wireless Charger, Magnetic Car Vent Phone Mount for iPhone 16, 15, 14, 13, 12, &amp; Samsung Galaxy S25 Series - Gray</t>
  </si>
  <si>
    <t>ASURION 2 Year Portable Electronic Accident Protection Plan ($50 - $59.99)</t>
  </si>
  <si>
    <t>Google Weatherproof Cable for Nest Cam (Battery) Only - Snow - 10m, 720p</t>
  </si>
  <si>
    <t>Amazon Basics Laptop and Tablet Bag Case</t>
  </si>
  <si>
    <t>Remington Vacuum Haircut Kit, Vacuum Beard Trimmer, Hair Clippers for Men with Removable Hair Chamber and Dual Motor Power (18 pieces)</t>
  </si>
  <si>
    <t>E-Z Ink Compatible Drum Unit Replacement for Brother DR 730 Drum Unit Compatible with HL-L2350DW HL-L2395DW HL-L2370DW HL-L2370DWXL MFC-L2750DW MFC-L2710DW Printer (2 Pack)</t>
  </si>
  <si>
    <t>Pyle Marine Bluetooth Stereo Radio - 12v Single DIN Style Boat In dash Radio Receiver System with Built-in Mic, Digital LCD, RCA, MP3, USB, SD, AM FM Radio - Remote Control - PLMRB29B (Black)</t>
  </si>
  <si>
    <t>Yale Wi-Fi Smart Module for Yale Assure Digital Electronic Locks or Levers, ‎R-AYR-MOD-WF1-USA</t>
  </si>
  <si>
    <t>Razer DeathAdder V3 Wired Gaming Mouse: 59g Ultra Lightweight - Focus Pro 30K Optical Sensor - Fast Optical Switches Gen-3-8K Hz HyperPolling-6 Programmable Buttons -Ergonomic -Speedflex Cable- Black</t>
  </si>
  <si>
    <t>Jansport JS0A2SDD7S1 Cool Student Laptop Backpack Coconut 15 inches</t>
  </si>
  <si>
    <t>PopSockets Phone Grip for MagSafe with Kickstand, Magnetic Stand, Swappable Top, Secure Hold for iPhone MagSafe Cases, Phone &amp; Tablet Grip, Cute PopSockets - Enamel Coconut Crème</t>
  </si>
  <si>
    <t>ASURION 4 Year Office Equipment Protection Plan ($250 - $299.99)</t>
  </si>
  <si>
    <t>Lian Li Strimer Wireless 24 Pin with Controller (PW24-1W-T) - Addressable RGB Power Extension Cable - 2.4 GHz Wireless Control with 315mm; 12.4 Inch Length - Wireless Controller Included &amp; Required</t>
  </si>
  <si>
    <t>Sanus Universal Low Profile Tilt TV Wall Mount for 37" - 80" LED, LCD &amp; Plasma TVs, Eliminates Glare with 10º of Tilt &amp; Post-Install Adjustments - 3 Step Install - Safety Certified - MLT14-B1</t>
  </si>
  <si>
    <t>Belkin 8-Outlet Surge Protector w/ 8 AC Outlets &amp; 8ft Long Flat Plug, UL-listed Heavy-Duty Extension Cord for Home, Office, Travel, Computer Desktop, Laptop, Phone Charger - 2,500 Joules of Protection</t>
  </si>
  <si>
    <t>ASURION 2 Year Laptop Protection Plan ($450 - $499.99)</t>
  </si>
  <si>
    <t>ASURION 3 Year Office Equipment Protection Plan ($60 - $69.99)</t>
  </si>
  <si>
    <t>ASURION 2 Year Furniture Protection Plan ($300 - $349.99)</t>
  </si>
  <si>
    <t>SanDisk 128GB MAX Endurance microSDXC Card with Adapter for Home Security Cameras and Dash cams - C10, U3, V30, 4K UHD, Micro SD Card - SDSQQVR-128G-GN6IA</t>
  </si>
  <si>
    <t>ASURION 3 Year Housewares Protection Plan ($250 - $299.99)</t>
  </si>
  <si>
    <t>JBL Clip 4 - Speaker - for portable use - wireless - Bluetooth - 5 Watt - black</t>
  </si>
  <si>
    <t>SanDisk 32GB Extreme CompactFlash Memory Card UDMA 7 Speed Up To 120MB/s - SDCFXSB-032G-G46</t>
  </si>
  <si>
    <t>JLab JBuddies Studio On-Ear Kids Wired Headphones, Toddler Headphones, Kid Safe, Studio Volume Safe, Volume Limiter, Folding, Adjustable, Noise Isolation, with Mic (Graphite/Blue)</t>
  </si>
  <si>
    <t>UGREEN Phone Holder for Tesla Model 3 and Y Accessories Magsafe Car Mount Magnetic Phone Mount Strongest Magnet Power Compatible with iPhone 16 15 14 13 Plus Pro Max Series</t>
  </si>
  <si>
    <t>ASURION 4 Year Home Improvement Protection Plan ($30 - $39.99)</t>
  </si>
  <si>
    <t>Energizer MAX 9V Batteries (8 Pack), 9 Volt Alkaline Batteries</t>
  </si>
  <si>
    <t>ASURION 4 Year Laptop Protection Plan ($600 - $699.99)</t>
  </si>
  <si>
    <t>ASURION 2 Year Sporting Goods Protection Plan ($70 - $79.99)</t>
  </si>
  <si>
    <t>ASURION 2 Year Furniture Protection Plan ($40 - $49.99)</t>
  </si>
  <si>
    <t>Pyle 2-Pc 1U Server Rack Shelf, Vented Shelves for Good Air Circulation, Cantilever Mount, Wall Mount Rack, Universal Device, Cabinet Shelf, Computer Case Mounting Tray, Black-Pyle PLRSTN14UX2</t>
  </si>
  <si>
    <t>Crayola Inspiration Art Case Coloring Set, 140pc Space Theme – Art Kit for Kids, Crayons, Markers, Pencils, Gift for Boys &amp; Girls, Ages 5, 6, 7, 8 [Amazon Exclusive]</t>
  </si>
  <si>
    <t>EPSON 222 Claria Ink Standard Capacity Black &amp; Color Cartridge Combo Pack (T222120-BCS) Works with WorkForce WF-2960, Expression XP-5200</t>
  </si>
  <si>
    <t>GE Personal Security Window and Door Alarm, 6 Pack, DIY Protection, Burglar Alert, Wireless Chime/Alarm, Easy Installation, Home Security, Ideal for Home, Garage, Apartment and More,White, 49721</t>
  </si>
  <si>
    <t>Canon CL-276 XL Genuine Color Ink Cartridge, Compatible with TS3520/3522, TR4720/4722, TS3720/3722</t>
  </si>
  <si>
    <t>Retevis RT22 Walkie Talkies, Mini 2 Way Radio Rechargeable, VOX Handsfree, Portable, Two-Way Radios Long Range with Earpiece, for Family Road Trip Camping Hiking Skiing(2 Pack, Black)</t>
  </si>
  <si>
    <t>UBeesize 72'' Magnetic Tripod for iPhone with Remote, Extendable Cell Phone Tripod Stand, Compatible with MagSafe, Selfie Stick Tripod for iPhone 15 14 13 12 11 Series and Android Phones</t>
  </si>
  <si>
    <t>ASURION 3 Year Kitchen Protection Plan ($250 - $299.99)</t>
  </si>
  <si>
    <t>TP-Link TL-SG108PE V3 | 8 Port Gigabit PoE Switch | Easy Smart Managed | 4 PoE+ Ports @64W | Plug &amp; Play | Sturdy Metal w/ Shielded Ports | Fanless | QoS, Vlan &amp; IGMP | Limited Lifetime Protection</t>
  </si>
  <si>
    <t>JBL Tune 520BT - Wireless On-Ear Headphones, Up to 57H Battery Life and Speed Charge, Lightweight, Comfortable and Foldable Design, Hands-Free Calls with Voice Aware (Blue)</t>
  </si>
  <si>
    <t>TP-Link Tapo 2K Security Camera for Baby Monitor, Dog Camera w/Motion Detection, 2-Way Audio, Night Vision, Cloud &amp; SD Card Storage (Up to 256 GB), Works w/Alexa &amp; Google Home, 2-Pack (Tapo C110P2)</t>
  </si>
  <si>
    <t>Baseus Charging Station 67W, 10-in-1 USB-C PD Fast Charging Desktop Charger with 1200J Surge Protection, 5ft Extension Cord, 6 AC, 3 USBC, 1 USBA Ports for iPhone 16/15, MacBook, Tablet, Desktop</t>
  </si>
  <si>
    <t>TP-Link Powered USB Hub 3.0 with 7 USB 3.0 Data Ports and 2 Smart Charging USB Ports. Compatible with Windows, Mac, Chrome &amp; Linux OS, with Power On/Off Button, 12V/4A Power Adapter(UH720)</t>
  </si>
  <si>
    <t>Logitech Signature M550 Wireless Mouse - for Small to Medium Sized Hands, 2-Year Battery, Silent Clicks, Customizable Side Buttons, Bluetooth, Multi-Device Compatibility - Off White</t>
  </si>
  <si>
    <t>UGREEN Vertical Laptop Stand Holder for Desk Compatible with MacBook Pro, MacBook Air Stand Vertical Aluminum Adjustable for Up to 17.3 Inch Gaming Laptop, Gray</t>
  </si>
  <si>
    <t>Mounting Dream UL Listed Lockable RV TV Mount for Most 17-43 inch TV, RV Mount for Camper Trailer Motor Home Boat Truck, Full Motion Unique One Step Lock RV TV Wall Mount, VESA 200mm, 44 lbs, MD2210</t>
  </si>
  <si>
    <t>LISEN Suction Cup Phone Mount，[Pro with Charge Function]15W Magsafe Car Mount Charger，[More Portable＆Flexible] 360° Vacuum Magnetic Suction Phone Holder for 17 iPhone 16 15 14 13 12 Pro Max Plus Mini</t>
  </si>
  <si>
    <t>HP 933 Cyan, Magenta, Yellow Ink Cartridges for HP Printers | Works with Printer Series: OfficeJet 6100, 6600, 6700, 7110, 7510, 7610 | N9H56FN</t>
  </si>
  <si>
    <t>Logitech Media Combo MK200 Full-Size Keyboard and High-Definition Optical Mouse</t>
  </si>
  <si>
    <t>Apple Lightning to USB 3 Camera Adapter</t>
  </si>
  <si>
    <t>ASURION 2 Year Lawn &amp; Garden Extended Protection Plan ($125 - $149.99)</t>
  </si>
  <si>
    <t>Joy-Con (L)/(R) - Pastel Purple/Pastel Green (Renewed)</t>
  </si>
  <si>
    <t>OtterBox iPhone 11 Defender Series Case - Black, Rugged &amp; Durable, with Port Protection, Includes Holster Clip Kickstand</t>
  </si>
  <si>
    <t>Turtle Beach Battle Buds In-Ear Gaming Headset - Mobile &amp; PC with 3.5mm, Xbox Series X, Xbox Series S, Xbox One, PS5, PS4, PlayStation – Lightweight, In-Line Controls, Black</t>
  </si>
  <si>
    <t>Satechi OntheGo 67W Wall Charger, GaN USB C Travel Charger with 2 USB-C PD Fast Charging Ports, for MacBook Pro/Air, iPad Pro/Air, iPhone 16, Steam Deck, Galaxy, Windows – Desert Rose</t>
  </si>
  <si>
    <t>Amazon Basics 14-Gauge Audio Speaker Wire Cable - 99.9% Oxygen-Free Copper, 200-foot, White</t>
  </si>
  <si>
    <t>UBeesize 92’’ Cell Phone Tripod Stand with 16.5’’ Gooseneck and Remote, Overhead Tripod with Adjustable 360°Ball Head &amp; Phone Holder for iPhone 14 Pro Max/Plus/13/12/11, Android Cell Phone</t>
  </si>
  <si>
    <t>Belkin RockStar Lightning to 3.5mm Audio Cable + Audio Charger Splitter, 2-in-1 Aux iPhone Headphone and Charger Adapter - Compatible with iPhone 14, 13, 12, 11, X, and More - White</t>
  </si>
  <si>
    <t>EPSON 288 DURABrite Ultra Ink Standard Capacity Black &amp; Color Cartridge Combo Pack (T288120-BCS) Works with Expression XP-330, XP-430, XP-434, XP-340, XP-440, XP-446</t>
  </si>
  <si>
    <t>ASURION 3 Year Housewares Protection Plan ($50 - $59.99)</t>
  </si>
  <si>
    <t>TP-Link AC750 Wireless Portable Nano Travel Router(TL-WR902AC) - Support Multiple Modes, WiFi Router/Hotspot/Bridge/Range Extender/Access Point/Client Modes, Dual Band WiFi, 1 USB 2.0 Port</t>
  </si>
  <si>
    <t>Canon P23-DHV-3 Printing Calculator with Double Check Function, Tax Calculation and Currency Conversion</t>
  </si>
  <si>
    <t>Pyle Premium Direct Injection Audio Box - 2.36" x 4.09" Passive DI Unit Hum Eliminator w/ Input Attenuator to Connect Guitar &amp; Bass, 1/4'' Impedance Transformer Connector to Balanced &amp; Unbalanced XLR</t>
  </si>
  <si>
    <t>Brother LC1033PKS, LC-103, Innobella High-Yield Ink, 600 Page-Yield, 3/Pack, Cyan-Magenta-Yellow</t>
  </si>
  <si>
    <t>TASCAM TH-02 Professional Studio Monitor Headphones, Wired, Over Ear — for Recording, Podcast, DJ, Music and Guitar, with 1/4 Inch Jack Adapter</t>
  </si>
  <si>
    <t>ASURION 3 Year Kitchen Protection Plan ($150 - $174.99)</t>
  </si>
  <si>
    <t>EPSON 202 Claria Ink Standard Capacity Black &amp; Color Cartridge Combo Pack (T202120-BCS) Works with WorkForce WF-2860, Expression XP-5100</t>
  </si>
  <si>
    <t>Canon PGI-280 Genuine Pigment Black Ink Tank, Compatible with TR8520, TS9120,TS8120, TS6120, TS9521C/a, TS9520/a, TS8220, TS6220, TS8320, TS6320, TS702/a, and TR8620/a Series Printers</t>
  </si>
  <si>
    <t>TRENDnet Gigabit Power Over Ethernet Plus Injector, PoE+ (30W) Power Network Distances Up to 100M (328 ft.), Black, TPE-115GI (Pack of 1)</t>
  </si>
  <si>
    <t>AT&amp;T DL72219 DECT 6.0 2-Handset Cordless Phone for Home with Connect to Cell, Call Blocking, 1.8" Backlit Screen, Big Buttons, intercom, and Unsurpassed Range</t>
  </si>
  <si>
    <t>FUJIFILM 200 Color Negative Film (35mm Roll Film, 36 Exposures, 3-Pack) + BluebirdSales Microfiber Cleaning Cloth Bundle</t>
  </si>
  <si>
    <t>NETGEAR WiFi 6 Mesh Range Extender (EAX15) - Add up to 1,500 sq. ft. and 20+ Devices with AX1800 Dual-Band Wireless Signal Booster &amp; Repeater (up to 1.8Gbps Speed), WPA3 Security, Smart Roaming</t>
  </si>
  <si>
    <t>AOC AM400G Single Monitor Stand - Full Adjustable Monitor Desk Mount Swivel Vesa Bracket with C Clamp, Grommet Mounting Base for 17 to 34 Inch Computer Screens - Each Arm Holds 4.4 to 19.8lbs</t>
  </si>
  <si>
    <t>SanDisk 128GB Ultra SDXC UHS-I Memory Card - 100MB/s, C10, U1, Full HD, SD Card - SDSDUNR-128G-GN6IN</t>
  </si>
  <si>
    <t>TP-Link 5-Port Gigabit Ethernet Easy Smart Switch| Plug and Play | Desktop | Sturdy Metal w/Shielded Ports | Limited Lifetime Replacement (TL-SG105E), Black…</t>
  </si>
  <si>
    <t>HP Wireless Silent 280M Mouse - Ergonomic Right-Handed Design, 18 Month Battery Life, and 2.4GHz Reliable Connection - Works for Computers and Laptops - Far Quieter Clicks than Most Mice,Black</t>
  </si>
  <si>
    <t>Razer Ornata V3 X Gaming Keyboard: Low Profile Keys - Silent Membrane Switches - Spill Resistant - Chroma RGB Lighting - Ergonomic Wrist Rest - Snap Tap</t>
  </si>
  <si>
    <t>Amazon Basics Cat 6 Ethernet RJ45 10Gbps Flat Cable 100 ft Outdoor&amp;Indoor White Solid Patch Cord with Clips for Router, Modem, PS4/5, Xbox, Gaming, Computer Network for High Speed LAN Internet</t>
  </si>
  <si>
    <t>ASURION 3 Year Floorcare Extended Protection Plan ($250 - $299.99)</t>
  </si>
  <si>
    <t>Belkin MagSafe-Compatible Magnetic Wireless Car Charger 10W - BoostCharge Pro Wireless Charger, Magnetic Car Vent Phone Mount for iPhone 16, iPhone 15, 14, &amp; 13 Series - Black</t>
  </si>
  <si>
    <t>ASURION 2 Year Lawn &amp; Garden Extended Protection Plan ($30 - $39.99)</t>
  </si>
  <si>
    <t>ASURION 2 Year Personal Care Protection Plan ($30 - $39.99)</t>
  </si>
  <si>
    <t>DYMO Authentic LW Multi-Purpose Square Labels DYMO Labels for LabelWriter Printers Great for Barcodes 1" x 1" 1 Roll of 750</t>
  </si>
  <si>
    <t>Dove Invisible Solid Antiperspirant Deodorant Stick for Women, Powder, For All Day Underarm Sweat &amp; Odor Protection 2.6 oz, 6 Count</t>
  </si>
  <si>
    <t>AT&amp;T GL2101-2 DECT 6.0 2-Handset Cordless Home Phone with Call Block, Caller ID, Full-Duplex Handset Speakerphone, 2" White Backlit Display, Lighted Keypad (Graphite &amp; Black)</t>
  </si>
  <si>
    <t>Lenovo Essential Full HD 1080P Webcam, Dual Microphone, No Driver 1.8m USB 2.0, Wide-Angle, Tilt-Control, 360-Degree Rotation, Black</t>
  </si>
  <si>
    <t>SAMSUNG Galaxy FIT 3 [2024] 1.6" AMOLED Display | 14 Days Battery Life | 100+ Watchfaces | 100+ Exercise Modes | International Model - (Pink)</t>
  </si>
  <si>
    <t>Mounting Dream TV Mount Fixed for Most 26-60 Inch LED, LCD and Plasma TVs, TV Wall Mount TVs Bracket up to VESA 400x400mm and 100 LBS Loading Capacity, Low Profile and Space Saving Flat Mount MD2361-K</t>
  </si>
  <si>
    <t>Kodak Ultramax 400 Color Negative Film (ISO 400) 35mm 24-Exposures - 2 Pack (2 Items)</t>
  </si>
  <si>
    <t>Garmin USB-C Charging/Data Cable, 0.5 Meter</t>
  </si>
  <si>
    <t>Thermalright TL-C12C X3 CPU Fan 120mm Case Cooler Fan, 4pin PWM Silent Computer Fan with S-FDB Bearing Included, up to 1550RPM Cooling （3 Quantities）</t>
  </si>
  <si>
    <t>Logitech M170 Wireless Mouse for PC, Mac, Laptop, 2.4 GHz with USB Mini Receiver, Optical Tracking, 12-Months Battery Life, Ambidextrous - Black</t>
  </si>
  <si>
    <t>Baseus 163W Retractable Car Charger USB C Fast Charging, PrimeTrip VR2 Max 4 in 1 Fast Car Charger with Dual Retractable USB C Cable for iPhone 16 15 14 Pro Max, Samsung Galaxy S25 Ultra, Android</t>
  </si>
  <si>
    <t>Kodak colorplus film 200 (pack of 3)</t>
  </si>
  <si>
    <t>Belkin USB C Charger Block 20W, Fast Charging Block, Type C Wall Charger, Compatible with Apple iPhone 16, iPhone 15/14/13, Galaxy S25, Google Pixel 9, iPad, AirPods, etc - White</t>
  </si>
  <si>
    <t>STAEDTLER Noris Jumbo Digital Stylus Pen: No Charging, EMR Palm Rejection, 4.096 Pressure Levels, Hexagonal Shape, Natural Writing and Drawing on Touchscreen Tablet, Laptop, Phone</t>
  </si>
  <si>
    <t>Logitech Multimedia Speakers Z150 with Stereo Sound for Multiple Devices, Black</t>
  </si>
  <si>
    <t>AAA Batteries, 48 count - Energizer MAX Premium Alkaline Triple A Battery</t>
  </si>
  <si>
    <t>Brother Genuine LC3011BK, LC30113PKS Standard Yield Black/Cyan/Magenta/Yellow Ink Cartridge Set, LC3011</t>
  </si>
  <si>
    <t>UBeesize 12’’ Ring Light with Overhead Phone Mount, LED Selfie Light with Stand and Phone Holder for iPhone and Laptop, Desk Light for Video Recording, Zoom Meeting, Live Streaming, Tiktok, YouTube</t>
  </si>
  <si>
    <t>Amazon Basics 24-Pack Non-Rechargeable CR123A Lithium Batteries, 3 Volt, Up to 10-Year Shelf Life</t>
  </si>
  <si>
    <t>AOC Wireless Gaming Headset for PS5, PS4, Nintendo Switch, PC, Bluetooth 5.4 &amp; 2.4GHz Gaming Headphones with Noise Canceling Mic, RGB, Type-C, 20ms Latency, 45H, 7.1 Virtual Surround- Black</t>
  </si>
  <si>
    <t>UGREEN 65W USB C Charger Block, Nexode 3-Port GaN Fast Type C Charger, Compact Foldable Power Adapter for MacBook Pro/Air, Dell XPS, iPhone 16/15, iPad Pro, Galaxy S25, (Black)</t>
  </si>
  <si>
    <t>Apple Watch Magnetic Fast Charger to USB-C Cable (1m)</t>
  </si>
  <si>
    <t>ASURION 4 Year Laptop Protection Plan ($350 - $399.99)</t>
  </si>
  <si>
    <t>MOSISO 360 Protective Laptop Shoulder Bag,15-15.6 inch Computer Bags Compatible with MacBook Pro 16 inch, HP, Dell, Lenovo, Asus Notebook,Side Open Messenger Bag with 4 Zipper Pockets, Black</t>
  </si>
  <si>
    <t>Skullcandy Set USB-C Wired Earbuds with Noise Isolating Fit, Built-In Microphone Call and Track Control for iPhone Android, Ear Gel Sizes Included for Custom Fit - True Black</t>
  </si>
  <si>
    <t>Google 45W USB-C Power Charger - Fast-Charging Pixel Phone Charger - Compatible with Google Products and Other USB-C® Devices - Snow</t>
  </si>
  <si>
    <t>Peak Design Leash Camera Strap</t>
  </si>
  <si>
    <t>Eneloop Panasonic BK-3HCCA8BA pro AA High Capacity Ni-MH Pre-Charged Rechargeable Batteries, 8-Battery Pack</t>
  </si>
  <si>
    <t>SanDisk 64GB Extreme PRO microSDXC Card + SD Adapter + RescuePro Deluxe, up to 200 MB/s, with A2 App Performance, for Smartphones, Action Cameras or Drones UHS-I Class 10 U3 V30</t>
  </si>
  <si>
    <t>TP-Link AV600 Powerline Ethernet Adapter Kit - Gigabit Port, Plug Pair &amp;Play, Power Saving, Nano Sized Powerline Network Adapter (TL-PA4010 KIT)</t>
  </si>
  <si>
    <t>Canon CLI-251 BK/CMY 4PK Compatible to MG6320, iP7220, MG5420, MX922, MG7120, MG6420, MG5520, iX6820, iP8720, MG7520, MG6620, MG5620</t>
  </si>
  <si>
    <t>ASURION 2 Year Portable Electronic Accident Protection Plan ($70 - $79.99)</t>
  </si>
  <si>
    <t>Energizer CR2450 Lithium Battery, 3v ECR2450, Qty 6</t>
  </si>
  <si>
    <t>Klein Tools 63050 Cable Cutter, Made in USA, Heavy Duty Cutter for Aluminum, Copper, and Communications Cable</t>
  </si>
  <si>
    <t>Canon RP-108 Color Ink/Paper Set, Compatible with Selphy CP910/CP820/CP1200/CP1300/CP1500</t>
  </si>
  <si>
    <t>Brother Printer LC30173PK High Yield XL 3 Pack Ink Cartridges- 1 Ea: Cyan/Magenta/Yellow Ink</t>
  </si>
  <si>
    <t>acer Wireless Gaming Headset, PS5 Headset with 2.4GHz for Ps5, Ps4, PC, Switch, Bluetooth 5.3 + 100Hrs Gaming Headphones with Noise Canceling Mic for Laptop, Mobile, Mac, 50mm Drivers (Red)</t>
  </si>
  <si>
    <t>Tripp Lite TLP808B 8 Outlet Surge Protector Power Strip, 8ft Cord Right Angle Plug, Black, Lifetime Insurance</t>
  </si>
  <si>
    <t>Amazon Basics 17.3-inch Laptop Sleeve, Protective Case with Zipper - Black</t>
  </si>
  <si>
    <t>GoPro Protective Housing (HERO13 Black/HERO12 Black/HERO11 Black/HERO10 Black/HERO9 Black) - Official GoPro Accessory</t>
  </si>
  <si>
    <t>Tripp Lite 6 Outlet Surge Protector Power Strip, 6ft Cord, 900 Joules, Black</t>
  </si>
  <si>
    <t>HP 951 Cyan Ink Cartridge for HP Printers | Works with Printer Series: OfficeJet 8600, Pro 251dw, 276dw, 8100, 8610, 8620, 8630 | Eligible for Instant Ink | CN050AN</t>
  </si>
  <si>
    <t>Amazon Basics USB Condenser Microphone for Streaming, Recording, and Podcasting on PC, Plug and Play, Cardioid Pickup, Adjustable Stand with 360° Rotation, 5.8 x 3.4 inches, Black</t>
  </si>
  <si>
    <t>Philips DVD Players for TV with HDMI Port 1080P All Region HD DVD Player for Smart TV USB Input Remote Control Device and RCA Cable Mini DVD CD Player for Home Stereo System Multi Region PAL/NTSC</t>
  </si>
  <si>
    <t>ASURION 2 Year Laptop Protection Plan ($150 - $174.99)</t>
  </si>
  <si>
    <t>Razer Wolverine V3 Tournament Edition 8K PC Wired Gaming Controller: 8000 Hz Polling Rate - TMR Thumbsticks w/Swappable Caps - Ergonomic Design - 6 Remappable Buttons - Fast Triggers - Black</t>
  </si>
  <si>
    <t>Avery Printable Shipping Labels with Sure Feed, 3-1/2" x 5", White, 400 Blank Mailing Labels for Laser Printers (5168)</t>
  </si>
  <si>
    <t>UGREEN Magnetic Phone Stand for MagSafe, Height Adjustable iPhone Stand for Desk with 360° Rotation Compatible for iPhone 16 15 Pro Max 14 Pro 13 12 and MagSafe Case, Black</t>
  </si>
  <si>
    <t>Arduino UNO R4 WiFi [ABX00087] – Renesas RA4M1 + ESP32-S3, Wi-Fi, Bluetooth, USB-C, CAN, 12-bit DAC, OP AMP, Qwiic Connector, 12x8 LED Matrix for Advanced IoT &amp; Embedded Projects</t>
  </si>
  <si>
    <t>HP 951XL Yellow High-yield Ink Cartridge for HP Printers | Works with Printer Series: OfficeJet 8600, Pro 251dw, 276dw, 8100, 8610, 8620, 8630 | Eligible for Instant Ink | CN048AN</t>
  </si>
  <si>
    <t>ASURION 2 Year Mobile Phone Accident Protection Plan ($200 - $249.99)</t>
  </si>
  <si>
    <t>Kasa Smart Security Camera for Baby monitor, 1080p HD Indoor-Camera for Home Security with Motion Detection, Two-Way Audio, Night Vision, Cloud &amp; SD Card Storage, Works with Alexa &amp; Google Home (EC60)</t>
  </si>
  <si>
    <t>Pendaflex Hanging File Folders, Letter Size, Standard Green, 1/5-Cut Adjustable Tabs, 25 Per Box (81602), Standard Green - 1/5 Tabs</t>
  </si>
  <si>
    <t>UGREEN USB to Ethernet Adapter, 1000Mbps Plug and Play Ethernet Adapter with USB 3.0, Driver Free, RJ45 LAN Network Dongle Compatible with Nintendo Switch, Laptop, PC, MacBook, Windows, macOS, Linux</t>
  </si>
  <si>
    <t>PopSockets Phone Mount for Car, Car Vent Phone Mount - Black</t>
  </si>
  <si>
    <t>Amazon Basics PC Power Cord, 15 feet, AC Power Cord for Monitor, Computer, TV, 3 Prong, 18 AWG, 125 Volts, Black</t>
  </si>
  <si>
    <t>Remington CI9538 Pro 1"-1.5" Pearl Ceramic Conical Curling Wand, Digital Controls + 10 Heat Settings, Black/Pink</t>
  </si>
  <si>
    <t>ASURION 3 Year Housewares Protection Plan ($150 - $174.99)</t>
  </si>
  <si>
    <t>Energizer MAX AA Batteries (48 Pack), Double A Alkaline Batteries</t>
  </si>
  <si>
    <t>ASURION 2 Year Sporting Goods Protection Plan ($600 - $699.99)</t>
  </si>
  <si>
    <t>Holy Stone Mini Drone for Kids and Beginners RC Nano Quadcopter Indoor Small Helicopter Plane with Auto Hovering, 3D Flips, Headless Mode and 3 Batteries, Great Gift Toy for Boys and Girls, HS210 Blue</t>
  </si>
  <si>
    <t>LISEN Tablet Stand Phone Holder iPad Holder for Desk Mount[Ultra Sturdy] 2 Clamps Kindle Holder for Bed Gooseneck Phone Tablet Holder Mount Phone Stand fits iPhone iPad Mini 7 Kindle 4-13" Device</t>
  </si>
  <si>
    <t>Samsung BN59-01301A - BN59-01303A LED TV Remote Control for N5300, NU6900, NU7100, NU7300 (2018 Models)</t>
  </si>
  <si>
    <t>EPSON 312 Claria Photo HD Ink High Capacity Black Cartridge (T312XL120-S) Works with Expression Photo XP-8500, XP-8600, XP-8700, XP-15000</t>
  </si>
  <si>
    <t>Belkin Surge Protector Power Strip with 6 AC Outlets, 6ft/1.8M Long Heavy-Duty Extension Cord, &amp; 360-Degree Rotating AC Plug for Conference Rooms, Computer Desktops, &amp; More - 600 Joules of Protection</t>
  </si>
  <si>
    <t>Avery Easy Peel Printable Address Labels with Sure Feed, 1" x 2-5/8" Customizable Stickers, White, 3,000 Blank Mailing Labels, Great for Mailing, Shipping, and More (8460)</t>
  </si>
  <si>
    <t>ASURION 3 Year Office Equipment Protection Plan ($50 - $59.99)</t>
  </si>
  <si>
    <t>ASURION 2 Year Headphones Protection Plan ($100 - $124.99)</t>
  </si>
  <si>
    <t>JOYTUTUS Cup Holder Phone Mount for Car, Car Cellphone Large Adapter Long Arm with 360 Degree Rotation, Compatible iPhone, Samsung &amp; All Smartphones</t>
  </si>
  <si>
    <t>Amazon Basics Manila File Folders with Fasteners for Organized Filing, Letter Size, Beige, 50-Pack</t>
  </si>
  <si>
    <t>Soundcore by Anker Life U2i Wireless Neckband Headphones, 10mm Drivers with BassUp Technology, 24H Playtime, AI-Enhanced Calls, Foldable and Lightweight, IPX5 Water-Resistant, Secure Fit, Bluetooth 5</t>
  </si>
  <si>
    <t>Scotts Turf Builder EdgeGuard Mini Broadcast Spreader for Seed, Weed and Feed, Fertilizer, Salt, Ice Melt, Push Spreader Holds up to 5,000 sq.ft. Product</t>
  </si>
  <si>
    <t>Scotch Thermal Laminating Pouches, 5 Mil Thick for Extra Protection, 2.32 x 3.70-Inches, Business Card Size, 100-Pack (TP5851-100)</t>
  </si>
  <si>
    <t>Epson Ultra Premium Photo Paper GLOSSY (8.5x11 Inches, 50 Sheets) (S042175),White</t>
  </si>
  <si>
    <t>Logitech G440 Hard Gaming Mouse Pad, Optimized for Gaming Sensors, Moderate Surface Friction, Non-Slip Mouse Mat - Black</t>
  </si>
  <si>
    <t>PNY 128GB Elite-X Class 10 U3 V30 SDXC Flash Memory Card - 100MB/s, Class 10, U3, V30, 4K UHD, Full HD, UHS-I, Full Size SD (Pack of 2)</t>
  </si>
  <si>
    <t>Samsung Galaxy S24 Ultra S Pen Replacement, 0.7mm Fine Tip for Precision, Ergonomic Design, Tablet Navigation, Air Command Touch-Free Control, US Version, EJ-PS928BBEGUS, Dark Gray</t>
  </si>
  <si>
    <t>ASURION 2 Year Lawn &amp; Garden Extended Protection Plan ($100 - $124.99)</t>
  </si>
  <si>
    <t>UBeesize 10" Ring Light with Overhead Phone Mount, LED Selfie Light with Stand and Phone Holder, Desk Light for iPhone, Desk Tripod for Video Recording, YouTube, TikTok, Live Stream, Cooking, Vlog</t>
  </si>
  <si>
    <t>Lenovo Yoga Pro Mouse, Bluetooth, USB-C Rechargable, Dual Mode Bluetooth, 6 Button, Right Handed Design, Ergonomic Design, Programmable Buttons, 2-Way Metal Scroll Wheel, Tidal Teal</t>
  </si>
  <si>
    <t>Avery Printable Postcards with Sure Feed Technology, 4" x 6", Matte White, 100 Blank Postcards for Inkjet Printers (8386)</t>
  </si>
  <si>
    <t>61XL Ink Cartridge High-Yield Remanufactured for HP Ink 61 XL 61XL Ink Cartridge Combo Pack to Use with Envy 4500 5530 4502 4501 5535 OfficeJet 4630 4635 DeskJet 2540 1000 1010 (1 Tri-Color, 1 Black)</t>
  </si>
  <si>
    <t>HORI Piranha Plant Camera for Nintendo Switch 2- Officially Licensed by Nintendo</t>
  </si>
  <si>
    <t>Lenovo 100 Wireless Keyboard and Mouse Combo – Cordless Set with Spill Resistant Quiet Keys – 3-Zone Keyboard - Ambidextrous Mouse – Compact Design – Wireless USB -Black</t>
  </si>
  <si>
    <t>Apple iPhone 15 Pro Max Silicone Case with MagSafe: Lightweight Phone Case, Wireless Charging Compatible, Smooth Matte Finish; Black</t>
  </si>
  <si>
    <t>LISEN Upgraded Version Cup Phone Holder for Car 360° Adjustable Long Neck Car Phone Mount Cradle Friendly Golf Cart Phone Holder, Truck Jeep Accessories for iPhone Samsung Google and All 4-17'' Phone</t>
  </si>
  <si>
    <t>CanonCL-261 XL Genuine Color Ink Cartridge, Compatible with TS5320/6420/6420a,TR7020/7020a</t>
  </si>
  <si>
    <t>DYMO Authentic LW Multi-Purpose Labels DYMO Labels for LabelWriter Printers Great for Barcodes 1" x 2-1/8" 1 Roll of 500</t>
  </si>
  <si>
    <t>Turtle Beach Recon 70 Multiplatform Gaming Headset for Xbox Series X|S, Xbox One, PS5, PS4, PC &amp; Mobile w/ 3.5mm Wired Connection - Flip-to-Mute Mic, 40mm Speakers, Lightweight Design, Black</t>
  </si>
  <si>
    <t>SABRENT 4-Port USB 3.0 Hub with Individual LED Power Switches - Slim, Portable Design - 2 Ft Cable - Fast Data Transfer - Compatible with Mac &amp; PC (HB-UM43)</t>
  </si>
  <si>
    <t>Pioneer TS-F6935R 3-Way Coaxial Car Audio Speakers - 6" x 9" Passive Car Speakers (Pair), 230 W Max Power, Black and Silver</t>
  </si>
  <si>
    <t>Lenovo 65w USB Type C Ac Adapter 4X20M26268 With 2 Prong Power Cord Included, Black In The Original Retail Packaging.</t>
  </si>
  <si>
    <t>GE 3-Outlet Power Strip Surge Protector 8 Ft Braided Long Cord Extension Cord Surge Protector Power Strip Flat Plug Extension Cord 250 Joules ETL Listed White 38433</t>
  </si>
  <si>
    <t>EPSON 702 DURABrite Ultra Ink Standard Capacity Black Cartridge (T702120-S) Works with WorkForce Pro WF-3720, WF-3730, WF-3733</t>
  </si>
  <si>
    <t>HP 12C Financial Calculator - Black/Gold</t>
  </si>
  <si>
    <t>iFixit Essential Electronics Toolkit - PC, Laptop, Phone Repair Kit</t>
  </si>
  <si>
    <t>UGREEN Magnetic USB C to 3.5mm Audio Adapter and Charger 2 in 1 Hi-Res 32bit/384kHz Aux to USB C with PD 60W Fast Charging Dongle Cable for iPhone 16 Pro Max, Switch 2, Galaxy S25Ultra, iPad Pro</t>
  </si>
  <si>
    <t>UGREEN 5.4 Aux Bluetooth Adapter, Noise Cancelling 3.5mm AUX Bluetooth Car Adapter, Wireless Audio Receiver for Home Stereo/Wired Speaker, 15H Battery Life</t>
  </si>
  <si>
    <t>ASURION 2 Year Laptop Protection Plan ($200 - $249.99)</t>
  </si>
  <si>
    <t>Roku Express 4K+ | HD/4K/HDR Streaming Device with Voice Remote, TV Controls, Fast Wi-Fi, Premium HDMI Cable, and Easy Setup</t>
  </si>
  <si>
    <t>ASURION 3 Year Office Equipment Protection Plan ($150 - $174.99)</t>
  </si>
  <si>
    <t>ESR 3 Pack for Samsung Galaxy S25 Ultra Screen Protector, 9H+ Hardness HD Tempered Glass with Easy Installation UltraFit tray for Galaxy S25 Ultra [6.9”], Case Friendly</t>
  </si>
  <si>
    <t>ASURION 2 Year Furniture Protection Plan ($500 - $599.99)</t>
  </si>
  <si>
    <t>AINOPE 240W Long USB C Cable 10 ft USB C Cable Fast Charging Type C Charger Right Angle Fit iPhone 16 15 Pro MacBook Max iPad Samsung 25 10FT Grey</t>
  </si>
  <si>
    <t>Texas Instruments TI-34 MultiView Scientific Calculator - Blue/White</t>
  </si>
  <si>
    <t>Samsung Super Fast Dual Car Charger (45W+15W) Dual Ports USB-C &amp; USB-A - Black - EP-L5300XBEGWW</t>
  </si>
  <si>
    <t>UBeesize 12" Desk Ring Light with Stand and Phone Holder, Overhead Phone Mount for Video Recording, Zoom Meeting, Live Streaming, Tiktok, YouTube，Compatible with iPhone, Android, Cameras</t>
  </si>
  <si>
    <t>ASUS ZenDrive Black 13mm External 8X DVD/Burner Drive +/-RW with M-Disc Support, Compatible with Both Mac &amp; Windows and Nero BackItUp for Android Devices (USB 2.0 &amp; Type-C Cables Included)</t>
  </si>
  <si>
    <t>Peugeot - Paris u'Select Manual Pepper Mill - Adjustable Grinder - Beechwood, Chocolate</t>
  </si>
  <si>
    <t>GoPro Shorty Mini Extension Pole and Tripod for Hero and MAX Cameras</t>
  </si>
  <si>
    <t>SanDisk 64GB Extreme CompactFlash Memory Card UDMA 7 Speed Up To 120MB/s - SDCFXSB-064G-G46</t>
  </si>
  <si>
    <t>NEEWER Super Clamp with 3" Dual Ballhead Magic Arm, Cold Shoe, 1/4" Threads, Phone/Action Camera Mount Adapter for Desk Tripod Tube Crossbar Gimbal Rods Compatible with SmallRig GoPro DJI, ST83</t>
  </si>
  <si>
    <t>HP HeavyWeight Project Paper, Matte, 8.5x11 in, 40 lb, 250 sheets, works with inkjet, PageWide, laser printers (Z4R14A)</t>
  </si>
  <si>
    <t>ASURION 4 Year Office Equipment Protection Plan ($150 - $174.99)</t>
  </si>
  <si>
    <t>Eneloop Panasonic BK-3MCCA4BA AA 2100 Cycle Ni-MH Pre-Charged Rechargeable Batteries, 4-Battery Pack</t>
  </si>
  <si>
    <t>ASURION 4 Year Laptop Protection Plan ($1250 - $1499.99)</t>
  </si>
  <si>
    <t>PowerA USB Charging Cable for PlayStation 4</t>
  </si>
  <si>
    <t>Amazon Basics Surge Protector Power Strip with 2 USB Ports, 6 Outlet Extension Cord, 1000 Joule, Rectangle, 6 ft Cord Length, Black</t>
  </si>
  <si>
    <t>Belkin Dual Port USB C Charger Block 40W, USB-C Charger Fast Charging for iPhone 16, 15, 14, 13, Pro, Pro Max, Plus, Samsung Galaxy S25, Pixel , iPad, AirPods, Nintendo Switch 2 &amp; More - White</t>
  </si>
  <si>
    <t>UBeesize 10" Selfie Ring Light with Tripod Stand &amp; Cell Phone Holder, Dimmable Desktop LED Circle Light for Live Streaming/Makeup/YouTube/TIK Tok, Compatible with iOS and Android Phones Black</t>
  </si>
  <si>
    <t>Avery Easy Peel Printable Address Labels with Sure Feed, 1-1/3" x 4", White, 1,400 Blank Mailing Labels for Laser Printers (5162)</t>
  </si>
  <si>
    <t>ASURION 2 Year Sporting Goods Protection Plan ($450 - $499.99)</t>
  </si>
  <si>
    <t>NETGEAR 4G LTE Broadband Modem (LM1200) – Use LTE as a Primary Internet Connection or Failover Solution for Always-On WiFi | Certified with AT&amp;T, T-Mobile &amp; Verizon</t>
  </si>
  <si>
    <t>ASURION 2 Year Sporting Goods Protection Plan ($300 - $349.99)</t>
  </si>
  <si>
    <t>HP Papers | 8.5 x 11 Paper | Premium 32 lb | 1 Ream - 250 Sheets | 100 Bright | Made in USA - FSC Certified | 113500R</t>
  </si>
  <si>
    <t>PopSockets Multi-Surface Phone Mount, Universal Phone Stand, Phone Holder Stand, Version 2 - Black</t>
  </si>
  <si>
    <t>Playstation 3 Dualshock 3 Wireless Controller (Black) (Renewed)</t>
  </si>
  <si>
    <t>LISEN for iPhone 16 Car Charger Fast Charging 69W Retractable Car Charger with Dual Type C Cables USB C Car Charger Adapter for 17 iPhone 15 Pro Max, Samsung Galaxy S25, iPad Air, Google Pixel 10 Pro</t>
  </si>
  <si>
    <t>Logitech MX Palm Rest for MX Keys, Premium, No-Slip Support for Hours of Comfortable Typing, Black</t>
  </si>
  <si>
    <t>BAGSMAT Womens Backpack Travel Laptop Backpack for Women, Quilted College Laptop Bookbag, Work Back Pack for Women, Cute Computer Water-Resistant Casual Daypack, Puffer Black</t>
  </si>
  <si>
    <t>ESR for MagSafe Car Mount, Car Phone Holder,Dashboard/Tesla Touchscreen Car Mount, Magnetic Phone Holder for Car, for iPhone 16/16e/15/14/13/12, S25, Charging Not Supported(2 Metal Rings Included)</t>
  </si>
  <si>
    <t>HP Wired Mouse 100 - Precise Optical Sensor with 1600 DPI - Easy USB Connection - Ambidextrous Design - 3 Button Control &amp; Built-in Scrolling - Multi-OS Compatible (6VY96AA#ABL)</t>
  </si>
  <si>
    <t>Amazon Basics 65W One-Port GaN USB-C Wall Charger with Power Delivery PD, Foldable Plug, for Laptops, Tablets &amp; Phones, Black</t>
  </si>
  <si>
    <t>Canon CL-246 Genuine Color Ink Cartridge, Compatible with iP2820, MG2420/2924/2920/3020/2522/2525, MX492, TS3120/302/302a/202/202a/4520/3320</t>
  </si>
  <si>
    <t>Brother Genuine LC404BKYield Black INKvestment Tank Ink Cartridge Page Yield -750</t>
  </si>
  <si>
    <t>Skullcandy Jib+ Wireless Earbuds, Bluetooth Headphones, Up to 6 Hrs Battery, Noise Isolating Fit, Sweat Resistant, Built-In Microphone, iPhone Android, Ear Gel Sizes Included for Custom Fit - Black</t>
  </si>
  <si>
    <t>ESR for iPad Air 11 Inch Case M3/M2 (2025/2024), iPad Air 5th/4th Gen (2022/2020), Vertical Stand Cover, Multi Stand Angles, Ultra-Stable Case with Pencil Holder, Auto Wake/Sleep, Black</t>
  </si>
  <si>
    <t>PowerA Wireless Controller for Nintendo Switch - Kirby Mouthful, Switch Lite/Switch-OLED Model, Nintendo Switch 2, AA Battery Powered (Battery Included), Bluetooth, Motion Controls, Officially Licensed</t>
  </si>
  <si>
    <t>UGREEN USB C to DisplayPort 1.4 Cable 8K@60Hz 4K@240Hz Unidirectional Thunderbolt 4/3 to DisplayPort Cord USB C to DP 32.4Gbps Compatible iPhone 16, MacBook Pro/Air, iPad, Mac Mini, Galaxy, XPS, 6.6FT</t>
  </si>
  <si>
    <t>Asurion 3 Year Personal Care Protection Plan ($30 - $39.99)</t>
  </si>
  <si>
    <t>DURACELL CopperTop Alkaline Batteries with Duralock Power Preserve Technology D 12/Box (MN1300)</t>
  </si>
  <si>
    <t>Carson MM-300 MicroBrite Plus 60x-120x LED Lighted Pocket Microscope</t>
  </si>
  <si>
    <t>SAMSUNG Galaxy Ring Sizing Kit, Size First Before You Buy + Receive $10 Amazon Credit Towards Future Galaxy Ring Purchase, Includes 11 Sample Ring Sizes</t>
  </si>
  <si>
    <t>ESR for iPad (A16) 11th Generation Case 11 Inch 2025, iPad 10th Generation Case 10.9 inch 2022, Vertical Stand Cover, Multi Stand Angles, Ultra-Stable Cover with Pencil Holder, Flip Series, Black</t>
  </si>
  <si>
    <t>JVC Gumy in Ear Earbud Headphones, Powerful Sound, Comfortable and Secure Fit, Silicone Ear Pieces - HAFX7B Black, Small</t>
  </si>
  <si>
    <t>ESR for iPad Air 11 Inch Case M3/M2 (2025/2024), iPad Air 5th/4th Gen Case (2022/2020) 10.9 Inch with Pencil Holder, Removable Magnetic Cover, Vertical Stand, Rebound 360 Series, Black</t>
  </si>
  <si>
    <t>ESR for MagSafe Car Mount, Air Vent/Dashboard Magnetic Phone Holder for Car,Car Phone Holder Mount for iPhone 16/16e/15/14/13/12/Samsung, All Smartphones(2 Metal Rings included),Charging Not Supported</t>
  </si>
  <si>
    <t>Lenovo 16” ECO Laptop Backpack - B210 - Travel Pack for Laptop or Tablet, Durable, Water-Repellent, Made from Recycled Material, Lightweight, Sleek Design for Travel, Business, Casual Backpack - Black</t>
  </si>
  <si>
    <t>BAGSMART Laptop Sleeve Bag Compatible with MacBook Air/Pro, 13-13.3 inch Notebook, Compatible with MacBook Pro 14 Inch, MacBook Air M2 Sleeve 13 Inch, Repellent Protective Case with Pocket, Pink</t>
  </si>
  <si>
    <t>Skullcandy Jib USB-C Wired Earbuds with Noise Isolating Fit, Built-in Microphone Call and Track Control for iPhone Android, Ear Gel Sizes Included for Custom Fit - True Black</t>
  </si>
  <si>
    <t>PopSockets Multi-Use Phone Mount for Dash, Windsheild, and Desk - Black</t>
  </si>
  <si>
    <t>Koss KSC75 Portable On-Ear Clip Headphones, Retro Style, Ultra Lightweight, Silver and Black</t>
  </si>
  <si>
    <t>PHILIPS Kids Headphones with Cord, On-Ear Wired Headphones for Kids with Comfortable Fit &amp; Clear Stereo Sound, 85dB Volume Limiter Headset for School/Tablet/iPad/Kindle, Ideal for Boys &amp; Toddlers</t>
  </si>
  <si>
    <t>Epson 222 Claria Ink Standard Capacity Black Cartridge (T222120-S) Works with Workforce WF-2960, Expression XP-5200</t>
  </si>
  <si>
    <t>SABRENT USB External Stereo Sound Adapter for Windows and Mac. Plug and Play No Drivers Needed. (AU-MMSA)</t>
  </si>
  <si>
    <t>Scotch Thermal Laminating Pouches, 8.9 x 14.4-Inches, Legal Size, 20-Pack (TP3855-20)</t>
  </si>
  <si>
    <t>BAGSMART 3 In 1 Laptop Bag for Men, Computer Briefcase 17.3 Inch Laptop Water-Repellent Shoulder Bag, Computer Bag Business Travel Office, Black</t>
  </si>
  <si>
    <t>Pyle 200W Stereo Power Amplifier with Bluetooth - Dual Channel Audio Receiver - LED Display - RCA - USB - SD - MIC IN - FM Radio - AUX Input - Perfect for Home &amp; Computer Audio - PDA29BU.5</t>
  </si>
  <si>
    <t>KODAK 4PASS 7.5 x 7.5 cm Film Cartridge (60 Sheets) for KODAK Mini 3 Retro and Mini Shot 3 Retro</t>
  </si>
  <si>
    <t>Melissa &amp; Doug Scoop and Stack Ice Cream Cone Magnetic Pretend Play Set, Multicolor - FSC Certified</t>
  </si>
  <si>
    <t>Duracell DL123AB2BPK Ultra High-Power Lithium Battery, 123, 3V, 2/Pack</t>
  </si>
  <si>
    <t>ASURION 2 Year Furniture Protection Plan ($30 - $39.99)</t>
  </si>
  <si>
    <t>ESR for AirPods 4 Case, Compatible with AirPods 4th Generation Case (2024) (USB-C), Compatible with MagSafe, Drop Protection Cover with Lanyard, Magnetic Lid Lock, Orbit Hybrid Series, Black</t>
  </si>
  <si>
    <t>Woods E103 E-103 Wheel, Holds Up to 150 16/3 Extension 125 Feet of 14/3 Gauge Cord, Holiday, Rope, Hose Reel Storage and Light Wire, Heavy Duty Plastic, red and black</t>
  </si>
  <si>
    <t>Arrow T50 Heavy Duty Staple Gun for Upholstery, Wood, Crafts, DIY and Professional Uses, Manual Stapler Uses 1/4”, 5/16”, 3/8", 1/2", or 9/16” Staples</t>
  </si>
  <si>
    <t>Amazon Basics Multi-Angle Portable Stand for iPad Tablet, E-reader and Phone - Black</t>
  </si>
  <si>
    <t>adidas Excel Backpack for Men &amp; Women – Durable Large Athletic Laptop Bag, 7.0/Sandy Pink/White, One Size</t>
  </si>
  <si>
    <t>OtterBox iPhone 11 Pro Max Defender Series Case - Black, Rugged &amp; Durable, with Port Protection, Includes Holster Clip Kickstand</t>
  </si>
  <si>
    <t>Panasonic ErgoFit Wired Earbuds With Microphone, 3.5mm Jack Wired Headphones with Mic and Call Controller, Ergonomic Custom-Fit Earpieces (S/M/L), for Phones and Laptops - RP-TCM125-K (Black)</t>
  </si>
  <si>
    <t>OtterBox iPhone 12 &amp; iPhone 12 Pro Symmetry Series Series Case - Clear, Ultra-Sleek, Wireless Charging Compatible, Raised Edges Protect Camera &amp; Screen</t>
  </si>
  <si>
    <t>[Older Version] SanDisk 128GB Ultra microSDXC UHS-I Memory Card with Adapter - 120MB/s, C10, U1, Full HD, A1, Micro SD Card - SDSQUA4-128G-GN6MA</t>
  </si>
  <si>
    <t>NZXT Internal USB Hub 3 - AC-IUSBH-M3 - 4 Internal USB 2.0 Ports - 3M Dual Lock Tapes - Magnetic Body - Plug and Play</t>
  </si>
  <si>
    <t>Fellowes 72112 Desktop Organizer, 11 Sections, Wire, 9" x 11-3/8" x 8", Black</t>
  </si>
  <si>
    <t>FEELWORLD P6X Camera Field Touchscreen Monitor 5.5 Inch 1000 Nit with Aluminium Housing 1920x1080 IPS 9:16 Maker HDMI2.0 3D LUT HDR Waveform DSLR Camera for Sony Canon Nikon Fuji Photography</t>
  </si>
  <si>
    <t>FEELWORLD F7 Plus Camera Field Touchscreen Monitor 7 Inch 1200nit Hight Brightness 1920x1200 IPS HDMI2.0 3D Lut HDR Waveform with F970 External Power for Sony Canon Nikon Fuji Photography</t>
  </si>
  <si>
    <t>FEELWORLD P6XL Camera Field Touchscreen Monitor 6 Inch 1200 Nit Bright Built-in Battery with Aluminium Housing 1920x1080 IPS 3D LUT HDR Waveform DSLR Camera for Sony Canon Nikon Fuji Photography</t>
  </si>
  <si>
    <t>Avery High Visibility Round Labels, Sure Feed Technology, 1-2/3" Diameter, White Customizable Blank Labels, Laser Printable, 600 Total (5293)</t>
  </si>
  <si>
    <t>Anker 25W USB C Charger Block, Compact and Foldable, Supports PPS Fast Charging for Galaxy S24/Z Fold/Z Flip/Tab, iPhone, iPad (Black)</t>
  </si>
  <si>
    <t>SanDisk 128GB X2 (256GB) MicroSD HC Ultra Uhs-1 Memory Card</t>
  </si>
  <si>
    <t>PopSockets Phone Grip for MagSafe with Kickstand, Magnetic Stand, Swappable Top, Secure Hold for iPhone MagSafe Cases, Phone &amp; Tablet Grip, Cute PopSockets, Pink, Purple - Aura</t>
  </si>
  <si>
    <t>Brother Work Smart 1360 Wireless Color Inkjet All-in-One Printer with Automatic Duplex Printing and 1.8” Color Display | Includes Refresh Subscription Trial(1) (MFC-J1360DW)</t>
  </si>
  <si>
    <t>Avery Printable Heat Transfer Paper for Dark Fabrics, 8.5" x 11", Inkjet Printer Compatible, 5 Sheets of Iron On Transfer Paper, Great for Custom Shirts, Uniforms, Gifts, and More (3279)</t>
  </si>
  <si>
    <t>ASURION 3 Year Electronics Protection Plan ($40 - $49.99)</t>
  </si>
  <si>
    <t>ASURION 2 Year Headphones Protection Plan ($125 - $149.99)</t>
  </si>
  <si>
    <t>Avery 12 Tab Dividers for 3 Ring Binders, Customizable Table of Contents, Multicolor Tabs, 6 Sets (11196)</t>
  </si>
  <si>
    <t>Scosche ICGM8BN Double DIN Radio Installation Dash Kit Compatible with Select 1992-2012 General Motors Vehicles - Complete Basic Aftermarket Car Stereo Install Kit - See Fit Guide Image for Vehicles</t>
  </si>
  <si>
    <t>LISEN CD Phone Holder for Car,Adjustable CD Slot Phone Mount Holder for iPhone Ultra Sturdy Cell Phones Holders for Your Car Accessories for Samsung Galaxy S25 S24 iPhone 16 15 14 Pro Max All Phones</t>
  </si>
  <si>
    <t>Jabra Evolve 10 USB-A Stereo</t>
  </si>
  <si>
    <t>AT&amp;T TRIMLINE 210 Corded Home Phone, No AC Power Required, Improved Easy-Wall-Mount, Lighted Big Button Keypad, 13 SpeedDial Keys, Last Number Redial, Mute, Flash, Volume Control, Beige</t>
  </si>
  <si>
    <t>Nite Ize Steelie Magnetic Phone Socket - Additional Magnetic Cell Phone Socket Mount for Steelie Phone Mounting Systems - Simple Adhesive Socket Compatible with Steelie Phone Holders</t>
  </si>
  <si>
    <t>Acer USB C Hub, 10Gbps Type C Splitter with 4 USBC 3.2 Port, High Speed Type C Multiport Adapter for MacBook Air/Pro, iPhone 16/15, iPad, Surface Pro and More 【Not Support Charging or Video Output.】</t>
  </si>
  <si>
    <t>TP-Link USB Bluetooth Adapter for PC, Bluetooth 4.0 Dongle Receiver, Plug &amp; Play, Nano Size, EDR &amp; A2DP Technology, Supports Windows 11/10/8.1/8/7/XP for Desktop, Laptop, PS4/ Xbox Controllers (UB400)</t>
  </si>
  <si>
    <t>ASURION 2 Year Sporting Goods Protection Plan ($1250 - $1499.99)</t>
  </si>
  <si>
    <t>TP-Link Litewave 5 Port Gigabit Ethernet Switch | Desktop Ethernet Splitter | Unshielded Network Switch | Plug &amp; Play | Fanless Quiet | Unmanaged (LS1005G)</t>
  </si>
  <si>
    <t>PNY 32GB Turbo Attache 3 USB 3.0 Flash Drive, Grey (Pack of 5)</t>
  </si>
  <si>
    <t>WAVLINK AC1200 Outdoor WiFi Extender Wireless Access Point, IP65 Weatherproof High Power Long Range Signal Booster with PoE, Gigabit Port, Router/AP/Repeater Mode for Home Camping/Farm/Yard etc</t>
  </si>
  <si>
    <t>Avery Printable Blank Square Labels, 2" x 2", Matte White, 300 Customizable Labels (22806)</t>
  </si>
  <si>
    <t>HP 564 Black Ink Cartridge | Works with DeskJet 3500; OfficeJet 4620; PhotoSmart B8550, C6300, D5400, D7560, 5510, 5520, 6510, 6520, 7510, 7520, Plus, Premium, eStation Series | CB316WN</t>
  </si>
  <si>
    <t>Verbatim DVD+R DL Double Layer 8.5GB 8X LifeSeries - 25pk Spindle 71122</t>
  </si>
  <si>
    <t>Metra Electronics 95-2001 Double DIN Installation Dash Kit for Select 1994-2012 GM Vehicles (Packaging May Vary)</t>
  </si>
  <si>
    <t>Amazon Basics RJ45 Cat 7 Ethernet Patch Cable, Flat, 600MHz, Snagless, Includes 20 Nails, 50 Foot, White</t>
  </si>
  <si>
    <t>Amazon Basics Micro HDMI to HDMI Display Cable, 18Gbps High-Speed, 4K@60Hz, 2160p, 48-Bit Color, Ethernet Ready, 6 Foot, Black</t>
  </si>
  <si>
    <t>UGREEN 30W USB C Charger, Nexode Foldable GaN PPS Compact Fast Wall Charger Block, USB-C Power Adapter for iPhone 16/15/14/13, Galaxy S25/S24/S23 (Black)</t>
  </si>
  <si>
    <t>Belkin BoostCharge 42-Watt Dual Port Fast Car Charger w/30W USB-C &amp; 12W USB-A Ports for iPhone 16, 16 Pro, Galaxy S25, S24, Pixel 9 &amp; 8, Nintendo Switch 2 &amp; More - Black</t>
  </si>
  <si>
    <t>Logitech MK250 Bluetooth Wireless Mouse and Keyboard Combo: Fast &amp; Easy Connectivity, Compact Wireless Keyboard, Ambidextrous Mouse, Durable Build - Windows/MacOS - Graphite</t>
  </si>
  <si>
    <t>Pendaflex Heavy Duty Expanding File with Extra-Thick Cover, Tyvek Reinforced Edges, 21 Pockets, A–Z Tabs, Elastic Cord Closure, Letter Size (R117ALHD),Brown</t>
  </si>
  <si>
    <t>Texas Instruments TI-30XS MultiView School Calculator (up to 4-line display, solar and battery operated)</t>
  </si>
  <si>
    <t>ESR for Apple Watch Ultra 2/1 Case with Screen Protector 49mm (2024/2023/2022), Military Grade Protection, Aluminum Alloy Case with 2 Pack Armorite Glass Protector Set, Stay Original, Black</t>
  </si>
  <si>
    <t>Dell Wired Keyboard - Black KB216 (580-ADMT)</t>
  </si>
  <si>
    <t>Sony ZX Series Stereo Headphones (Rose)</t>
  </si>
  <si>
    <t>Baseus USB C Cable, 100W 5A Fast Charging USB C Charger Cable with LED Display, Zinc Alloy Nylon Braided USB C to USB C Cable for iPhone 16/Pro/Plus/Pro Max, MacBook, iPad Pro, Galaxy S24/S23 (6.6ft)</t>
  </si>
  <si>
    <t>Amazon Basics 3.5mm Aux Jack Audio Extension Cable, Male to Female, Adapter for Headphone or Smartphone, 25 Foot, Black</t>
  </si>
  <si>
    <t>EPSON 200 DURABrite Ultra Ink Standard Capacity Black Cartridge (T200120-S) Works with WorkForce WF-2520, WF-2530, WF-2540, Expression XP-200, XP-300, XP-310, XP-400, XP-410</t>
  </si>
  <si>
    <t>Master Lock Black Set Your Own Combination Bike Lock, Metal Cable Lock has a Weather Resistant Vinyl Coating for Outdoor Equipment, Bicycles, 6 Feet Long, 8114D</t>
  </si>
  <si>
    <t>Melissa &amp; Doug Vehicles 4-in-1 Wooden Jigsaw Puzzles in a Storage Box (48 pcs) - FSC Certified</t>
  </si>
  <si>
    <t>Energizer E522 Max 9V Alkaline battery - 8 Count</t>
  </si>
  <si>
    <t>Lenovo 300 Wireless Mouse – Computer Mouse for PC, Laptop with Windows – Ambidextrous Design – 2.4 GHz Nano USB Receiver – 12 Month Battery Life</t>
  </si>
  <si>
    <t>Beelink EQR5 AI Mini PC, AMD Ryzen 5 5650U(Up to 4.2GHz) 6C/12T, Mini Desktop Computer 32GB DDR4 RAM 1TB NVMe SSD, Micro PC 4K@60Hz Dual HDMI/BT5.2/WiFi 6 for Office/Home/W-11 Pro</t>
  </si>
  <si>
    <t>D'Addario Electric Guitar Strings, XL Nickel, EXL110-3D, Regular Light Gauge 10-46, 6-String Set, Pack of 3</t>
  </si>
  <si>
    <t>Avery Half-Sheet Printable Shipping Labels, 5.5" x 8.5" Customizable Stickers, White, 50 Blank Mailing Labels, Great for Mailing, Shipping, Organizing, and More (8126)</t>
  </si>
  <si>
    <t>Panasonic CR2025 3.0 Volt Long Lasting Lithium Coin Cell Batteries in Child Resistant, Standards Based Packaging, 10 Count(Pack of 1)</t>
  </si>
  <si>
    <t>ASURION 4 Year Laptop Protection Plan ($1000 - $1249.99)</t>
  </si>
  <si>
    <t>ACDelco 12-Count 9 Volt Batteries, Maximum Power Super Alkaline Battery, 7-Year Shelf Life, Reclosable Packaging</t>
  </si>
  <si>
    <t>JLab Go Air Pop True Wireless Bluetooth Earbuds + Charging Case, Black, Dual Connect, IPX4 Sweat Resistance, Bluetooth 5.1 Connection, 3 EQ Sound Settings Signature, Balanced, Bass Boost</t>
  </si>
  <si>
    <t>VELCRO Brand VEL-30792-AMS 15 Inch Elastic Straps 4 Pack | Stretchable and Adjustable for Snug Fit | Fasten Lumber, Yoga Mats, Tools, Camping Equipment, More | Cinch with Buckle, Black 15x1</t>
  </si>
  <si>
    <t>LISEN 90W USB C Car Charger Fast Charging, Dual Fast Charging Port PD 45W Cigarette Lighter Adapter, for iPhone 17X Super Fast Car Charger USB C with 2 Cables for iPhone 16 15 14 13 12 Pro Max</t>
  </si>
  <si>
    <t>Philips 6-Outlet Extender Surge Protector, 2 Pack, Wall Tap, 900 Joules, 3-Prong, Space Saving Design, Protection Indicator LED Light, ETL Listed, White, SPP3466WA/37</t>
  </si>
  <si>
    <t>Amazon Basics Power Strip Cube 3 Outlet 3 USB Ports, 1 USB-C(15W) and 2 USB-A(12W), 5 ft Extension Cord, Home, Office, Travel, White</t>
  </si>
  <si>
    <t>Belkin MagSafe-Compatible Charger, 3-in-1 Wireless Charging Station, Qi2-Certified 15W Wireless Charge for Apple iPhone 16 Series, Apple Watch, AirPods w/Non-Slip Base, 40W Included - White</t>
  </si>
  <si>
    <t>ESR 2 Pack Armorite Screen Protector for Apple Watch Ultra 2/1 (2024/2023/2022,49 mm), Military Grade Protection, Tempered Glass Film with Aluminum Alloy Frame, Keep Original, Anti-Scratch, Titanium</t>
  </si>
  <si>
    <t>DURACELL MN24P36 CopperTop Alkaline Batteries, AAA, 36/PK</t>
  </si>
  <si>
    <t>UGREEN USB Bluetooth Adapter for PC, Bluetooth 6.0 Dongle Receiver EDR &amp; BLE, Plug &amp; Play for Windows 11/10/8.1, for Headphone/Keyboard/Mouse/Speakers/Printer</t>
  </si>
  <si>
    <t>Scosche LOC2SL Line Output Converter with Remote Control Knob - 2CH High/Low RCA Converter Car Audio - Ideal for Subwoofer Amp - Line Level Converter for Car Stereo - Easy Installation - Quality Sound</t>
  </si>
  <si>
    <t>Amazon Basics 12W (5V, 2.4A) Fast Charging Car Charger with Coiled Lightning Cable for iPhone, iPad and Apple Devices, 1.5 ft - Black</t>
  </si>
  <si>
    <t>Canon PG-285 Genuine Black Ink Cartridge, Compatible with TR7820, TS7720/7722</t>
  </si>
  <si>
    <t>ESR Armorite Screen Protector for Apple Watch Ultra 2/Ultra 49mm, Military Grade Protection, Tempered Glass Film with Aluminum Alloy Frame, Keep Original, Anti-Scratch, 2 Pack, Black</t>
  </si>
  <si>
    <t>Burt's Bees Back To School Dorm Essentials, Cucumber &amp; Mint Face Wipes, for All Skin Types, Refreshing Makeup Remover &amp; Facial Cleansing Towelettes, 30 Ct. (3-Pack)</t>
  </si>
  <si>
    <t>Lenovo 300 USB Keyboard, Wired, Adjustable Tilt, Ergonomic, Windows 7/8/10, GX30M39655, Black</t>
  </si>
  <si>
    <t>OtterBox TRUSTED GLASS Screen Protector for iPhone 14, iPhone 13 &amp; iPhone 13 Pro, Flawless Touch Response, Fingerprint Resistant, Precision Fit, Vibrant Clarity</t>
  </si>
  <si>
    <t>SAMSUNG Galaxy S25 Ultra Anti-Reflecting Film, Phone Screen Protector, Increased Visibility, Dust and Fingerprint Protection, Anti-Scratch, US Version, EF-US938CTEGUS</t>
  </si>
  <si>
    <t>PopSockets Phone Grip with Expanding Kickstand, Adhesive Grip, Into The Woods - Mystic Forest</t>
  </si>
  <si>
    <t>Panasonic RF-P50d Pocket AM/FM Radio Silver RF-P50D</t>
  </si>
  <si>
    <t>ASURION 3 Year Electronics Protection Plan ($50 - $59.99)</t>
  </si>
  <si>
    <t>ASURION 3 Year Home Improvement Protection Plan ($350 - $399.99)</t>
  </si>
  <si>
    <t>UGREEN Car Phone Mount for Magsafe Air Vent Car Mount Magnetic Phone Holder Compatible with iPhone 16 15 14 13 12 Pro Max, Strongest Magnet Black</t>
  </si>
  <si>
    <t>PowerA Joy-Con Charging Dock for Nintendo Switch</t>
  </si>
  <si>
    <t>MOSISO Compatible with MacBook Air 13 inch Case 2022 2021 2020 2019 2018 Release A2337 M1 A2179 A1932 Touch ID, Plastic Hard Shell Cover&amp;Keyboard Cover for MacBook Air 13.3 inch Case, Midnight Green</t>
  </si>
  <si>
    <t>TP-Link USB WiFi Adapter for PC(TL-WN725N), N150 Wireless Network Adapter for Desktop - Nano Size WiFi Dongle for Windows 11/10/7/8/8.1/XP/ Mac OS 10.9-10.15 Linux Kernel 2.6.18-4.4.3, 2.4GHz Only</t>
  </si>
  <si>
    <t>ESR for iPad Mini 7 A17 Pro Case, iPad Mini 7th/6th Generation Case (2024/2021), Slim and Light, Shock and Drop Protection, Yellowing Resistant, Hard Back, Supports Pencil Pro &amp; Pencil(USB-C), Clear</t>
  </si>
  <si>
    <t>ARCTIC Case Fan Hub - 10-fold PWM Fan Distributor with SATA Power - Black</t>
  </si>
  <si>
    <t>ASURION 4 Year Laptop Protection Plan ($800 - $899.99)</t>
  </si>
  <si>
    <t>UGREEN WiFi Adapter for Desktop PC, AX900 USB WiFi 6 Adapter with 5GHz/2.4GHz Dual Band, 6dBi High Gain Antenna, Built-in Driver for Win11/10</t>
  </si>
  <si>
    <t>​​​​PopSockets Phone Grip with Expanding Kickstand, Adhesive Grip - Rosebud Pink</t>
  </si>
  <si>
    <t>Energizer CR2 Lithium Battery, Pack of 2</t>
  </si>
  <si>
    <t>ASURION 4 Year Laptop Protection Plan ($700 - $799.99)</t>
  </si>
  <si>
    <t>BAGSMART Electronics Organizer Travel Case, Cable Charger Cord Tech Organizer Pouch for Phone Charger Accessories, Black</t>
  </si>
  <si>
    <t>Polaroid Originals, Color Film (600), 8 Photos</t>
  </si>
  <si>
    <t>LISEN USB C Cable 10 FT, Chubby 100W Soft Silicone USB C to USB C Fast Charging Cable, USBC to USBC for iPhone 16 Pro Max Charger Cord, Samsung S25, iPhone 15, MacBook Pro/Air, Switch 2, iPad Air 17</t>
  </si>
  <si>
    <t>Comply Memory Foam Replacement Earbud Tips for Apple AirPods Pro 1 &amp; 2 | Ultimate Comfort, Secure Fit, Superior Noise Isolation | Anti Slip, Prevent From Falling Out | Black (S/M/L) (3 Pairs)</t>
  </si>
  <si>
    <t>Avery Dividers for 3 Ring Binders, 8-Tab Sets, Two-Pocket Plastic Binder Dividers with Tabs, Multicolor, 3 Sets (71907)</t>
  </si>
  <si>
    <t>Panasonic BK-4MCCA16FA eneloop AAA 2100 Cycle Ni-MH Pre-Charged Rechargeable Batteries, 16 Pack</t>
  </si>
  <si>
    <t>Energizer Max Premium C Batteries, Alkaline C Cell Battery (4 Count) E93BP-4</t>
  </si>
  <si>
    <t>Tripp Lite 3 Outlet Portable Surge Protector Power Strip, Direct Plug In, $5,000 INSURANCE (SK3-0), Apple, Grey</t>
  </si>
  <si>
    <t>ASURION 3 Year Housewares Protection Plan ($100 - $124.99)</t>
  </si>
  <si>
    <t>Amazon Basics Micro USB to USB-A 2.0 Fast Charging Cable, Nylon Braided Cord, 480Mbps Transfer Speed, 6 Foot, Dark Gray</t>
  </si>
  <si>
    <t>AT&amp;T Professional Series 15W Wireless Charging Pad Black Premium USB-C Fast Charging Universal Device Compatibility Qi Certified Technology</t>
  </si>
  <si>
    <t>Philips 6 Outlet Power Strip Surge Protector, 6 Ft Power Cord, Designer Braided Extension Cord, Flat Plug, Perfect for Office or Home Décor, 1080 Joules, White, SPC3054WA/37</t>
  </si>
  <si>
    <t>Panasonic CR2354 3.0 Volt Long Lasting Lithium Coin Cell Batteries in Child Resistant, Standards Based Packaging, 2-Battery Pack</t>
  </si>
  <si>
    <t>ASURION 4 Year Office Equipment Protection Plan ($200 - $249.99)</t>
  </si>
  <si>
    <t>ASURION 2 Year Floorcare Extended Protection Plan ($80 - $89.99)</t>
  </si>
  <si>
    <t>Maxell - 190319 Stereo Headphones - 3.5mm Cord with 6-Foot Length - Soft Padded Ear Cushions, Adjustable Headband for Comfort - Sleek, Lightweight, Wired for Reliable Connection – Black</t>
  </si>
  <si>
    <t>ASURION 2 Year Floorcare Extended Protection Plan ($70 - $79.99)</t>
  </si>
  <si>
    <t>Duracell Coppertop AAA Batteries with Power Boost Ingredients, Triple A Batteries, 6 Count (Pack of 1) for Household and Office Devices, Alkaline AAA Battery</t>
  </si>
  <si>
    <t>ASURION 2 Year Floorcare Extended Protection Plan ($200 - $249.99)</t>
  </si>
  <si>
    <t>ASURION 4 Year Office Equipment Protection Plan ($60 - $69.99)</t>
  </si>
  <si>
    <t>E-Z Ink Compatible Ink Cartridge Replacement for Canon PGI-280XXL PGI 280 XXL Compatible with PIXMA TR7520 TR8520 TS6120 TS6220 TS8120 TS8220 TS9120 TS9520 TS9521C Printer (2 PGBK)</t>
  </si>
  <si>
    <t>GE Pro 6-Outlet Surge Protector, 2 Ft Extension Cord, 620 Joules, Power Strip, Flat Plug, Integrated Circuit Breaker, Wall Mount, UL Listed, White, 40532</t>
  </si>
  <si>
    <t>LISEN 2 Pack Fits MagSafe Car Mount, Magnetic Phone Holder for Car[24 Super Magnets]car Vent Phone Mount, Mag safe Phone Holder Car Accessories for iPhone 16 15 14 13 Pro Max Plus Mag Safe Case,Black</t>
  </si>
  <si>
    <t>ASURION 4 Year Laptop Protection Plan ($900 - $999.99)</t>
  </si>
  <si>
    <t>PopSockets Phone Grip for MagSafe with Kickstand, Magnetic Stand, Swappable Top, Secure Hold for iPhone MagSafe Cases, Phone &amp; Tablet Grip, Cute PopSockets - PopOut Curves Coconut Crème</t>
  </si>
  <si>
    <t>PDP Wired Xbox Gaming Controller: Gamepad Licensed for Xbox Series X|S, Xbox One, PC, Audio Controls, 8ft Cable, 3.5mm jack, Mappable Buttons/Triggers, Companion App: Electric Carbon Grey/Yellow</t>
  </si>
  <si>
    <t>E-Z Ink Compatible TS9120 Ink Cartridge Replacement for Canon PGI-280XXL CLI-281XXL PGI 280XXL CLI 281XXL to use with PIXMA TS8320 TS8220 TS8120 (PGBK, Black, Photo Blue, Cyan, Magenta, Yellow) 6 Pack</t>
  </si>
  <si>
    <t>KODAK FunSaver 35mm Single Use Camera</t>
  </si>
  <si>
    <t>Monster Shock Plus Bluetooth Speaker, Portable Speaker with 30W Loud Stereo Sound, Bluetooth 5.4, TWS Pairing, 15H Playtime, Support AUX/TF Card, IPX6 Waterproof Wireless Speakers for Home, Outdoor</t>
  </si>
  <si>
    <t>SanDisk 5 Pack Ultra 16GB SD SDHC Memory Flash Card UHS-I Class 10 Read Speed up to 48MB/s 320X SDSDUNB-016G-GN3IN Wholesale Lot + (5 Cases)</t>
  </si>
  <si>
    <t>Amazon Basics 2-Pack Fast Charging USB-A to Lightning ABS Durable Charger Cable, MFi Certified for Apple iPhone Charging, iPhone 14 13 12 11 X Xs Pro, Pro Max, Plus, iPad, 6 Foot Length, White</t>
  </si>
  <si>
    <t>kate spade new york AirPods Pro Protective Case with Keychain Ring - Flowerbed Blue, Compatible with AirPods Pro 2nd / 1st Generation</t>
  </si>
  <si>
    <t>SAMSUNG EO-IC100BBEGUS Corded Type-C Earphones, Black, 0.98 x 0.71 x 48.82</t>
  </si>
  <si>
    <t>Avery Blank Printable Tags, Sure Feed Technology, 2" x 3.5", White, 96 Customizable Tags, String Included, Great for Branding, Gifts, Merchandising, and More (22802)</t>
  </si>
  <si>
    <t>Avery Printable Return Address Labels with Sure Feed, 0.5" x 1.75", White, 800 Blank Mailing Labels (18167)</t>
  </si>
  <si>
    <t>DEWALT Heavy Duty USB C Cable, Premium Braided Nylon USB A to Type C Charger Cable Fast Charging for iPhone 16 Series, iPhone 15 Series, Samsung Galaxy S10 S10+ / Note 9, LG V30 (USB 2.0, Black)</t>
  </si>
  <si>
    <t>VIVO Steel VESA Extension Mount Adapter Brackets for Screens 32 to 55 inch LCD LED TV, Conversion Plate Kit for VESA up to 400x400mm (MOUNT-AD400B)</t>
  </si>
  <si>
    <t>Dell Optical Mouse MS116 (275-BBCB)</t>
  </si>
  <si>
    <t>SanDisk Ultra SDSQUNS-016G-GN3MN 16GB 80MB/s UHS-I Class 10 microSDHC Card</t>
  </si>
  <si>
    <t>Amazon Basics Drying Synthetic Chamois Cleaning Cloth, 26" x 17", 2 Pack, Yellow</t>
  </si>
  <si>
    <t>ASURION 3 Year Office Equipment Protection Plan ($70 - $79.99)</t>
  </si>
  <si>
    <t>BATTRY ALKLN DURA AA CD8</t>
  </si>
  <si>
    <t>Rayovac C Batteries, C Cell Battery, 12 Count</t>
  </si>
  <si>
    <t>ASURION 2 Year Sporting Goods Protection Plan ($60 - $69.99)</t>
  </si>
  <si>
    <t>Fintie Hybrid Slim Case for iPad Air 13-inch (M3) 2025, (M2) 2024 - [Built-in Pencil Holder] Shockproof Cover with Clear Transparent Back Shell, Lilac Purple</t>
  </si>
  <si>
    <t>ESR for iPad Pro 11 Inch Case M4 2024(5th Gen), Strong Magnetic Attachment, Slim Trifold Stand Case, Supports Pencil Pro and Pencil(USB-C), Tough Protection, Auto Sleep/Wake, Rebound Series, Black</t>
  </si>
  <si>
    <t>TP-Link N300 WiFi Extender(RE105), WiFi Extenders Signal Booster for Home, Single Band WiFi Range Extender, Internet Booster, Supports Access Point, Wall Plug Design, 2.4Ghz only</t>
  </si>
  <si>
    <t>Lenovo Basic Laptop Sleeve 14 Inch Notebook/Tablet Compatible with MacBook Air/Pro Neoprene Material - Soft Fleece Lining - Zippered Top Opening - Black</t>
  </si>
  <si>
    <t>Meta Quest Carrying Case — Works with Meta Quest 3/3S — Premium Style and Protection — Fits Quest 3/3S, Touch Plus Controller, Headstrap, Active Straps, Charging Cable and Adapter</t>
  </si>
  <si>
    <t>Care Touch Eyeglass Cleaning Cloth - 12 Pack of Microfiber Cleaning Cloth for Glasses, Lenses, Phones and Screens - Large, Lint-Free, Reusable and Scratch-Free - 6 x 7 Inches - Blue</t>
  </si>
  <si>
    <t>UGREEN 240W USB C to USB C Cable, Fast Charging USB C Cable for iPhone 16 Pro Max/15, Samsung Galaxy S24/S23, MacBook Pro/Air, iPad Pro/Air/Mini, Dell XPS, 6.6FT</t>
  </si>
  <si>
    <t>JOYTUTUS Shower Phone Holder, Reusable Suction Cup Phone Mount for Shower, Mirror, Kitchen, Window &amp; Bathroom, Shower Phone Mount Compatible with iPhone 16, 15, 14, 13, 12 &amp; All Phones</t>
  </si>
  <si>
    <t>Scosche Magnetic Phone Holder for Car Dashboard with Extra Strong Magnet, Thick Metal Plate &amp; 360° Rotation, Secure Cell Phone Car Mount for Large Phones Compatible with iPhone, Samsung, Not MagSafe</t>
  </si>
  <si>
    <t>​​​​PopSockets Phone Grip with Expanding Kickstand, Adhesive Grip, Cute PopSockets - Fall Fleur</t>
  </si>
  <si>
    <t>Energizer MAX D Batteries (4 Pack), D Cell Alkaline Batteries</t>
  </si>
  <si>
    <t>Lenovo Bluetooth Silent Mouse (WL300) - 5 Button Computer Mouse with Silent Left &amp; Right Click – Sculpted Grip, Microsoft Swift Pair, Up to 1600 DPI (Grey)</t>
  </si>
  <si>
    <t>LISEN iPhone 16/15 Car Charger USB C Fast Charging Retractable,【60% Less Space,Mini】 57W Fast iPhone 16/15 USBC Type C Charger for 17 iPhone 16 15 Pro Max Plus，Samsung Galaxy S25/24 Z，Android</t>
  </si>
  <si>
    <t>Post-it Mini Notes, 1 3/8 in. x 1 7/8 in., 12 Sticky Notes Pads, 100 Sheets per Pad, Poptimistic Collection, School Supplies and Oﬃce Products, The Original Post-it Note</t>
  </si>
  <si>
    <t>Amazon Basics MFi Certified USB-A to Lightning Charger Cable for Apple iPhone iPad, 10 Foot White, 1-Pack</t>
  </si>
  <si>
    <t>ASURION 2 Year Lawn &amp; Garden Extended Protection Plan ($50 - $59.99)</t>
  </si>
  <si>
    <t>Panasonic CR123 CR123A 3V Lithium Battery ,6 Count (Pack of 1)</t>
  </si>
  <si>
    <t>Avery Printable Tab Inserts for Hanging File Folders, 1/2" x 2", 1/5 Cut, White, 100 Index Tab Inserts (11136)</t>
  </si>
  <si>
    <t>BAGSMART Electronics Organizer Travel Case, Cord Organizer for Women, Travel Cable Bag (Beige)</t>
  </si>
  <si>
    <t>ASURION 2 Year Floorcare Extended Protection Plan ($350 - $399.99)</t>
  </si>
  <si>
    <t>Nintendo Switch AC Adapter</t>
  </si>
  <si>
    <t>UGREEN Phone Mount for Magsafe Air Vent Car Mount Magnetic Never Block Phone Holder Strengthen Magnetic Power Compatible with iPhone 16 15 Pro Max 14 13 12 Pro Mini MagSafe Case</t>
  </si>
  <si>
    <t>FEELWORLD VM1 Gaming PC USB Microphone Condenser Mic with Noise Cancellation Mute RGB Light, Computer Accessories Gifts for Gamer YouTube Twitch Podcast Streaming Recording Online Chat PS4 PS5</t>
  </si>
  <si>
    <t>Pyle Mini Phono Turntable Preamp - Low Noise Stereo Preamplifier with RCA Input/Output - 12V DC Adapter - High-Fidelity Audio for Vinyl - Phonograph - Home Audio - PP999</t>
  </si>
  <si>
    <t>Corsair Dual SSD Mounting Bracket (3.5” Internal Drive Bay to 2.5", Easy Installation) Black</t>
  </si>
  <si>
    <t>Energizer 395/399 Silver Oxide 5 Batteries (SR927W / SR927SW)</t>
  </si>
  <si>
    <t>Amazon Basics External Hard Drive Portable Carrying Case, Black</t>
  </si>
  <si>
    <t>UGREEN 1/8 to 1/4 Stereo Cable 3.5mm TRS to 6.35mm Audio Cable Guitar to Aux Male Cord with Zinc Alloy Housing and Nylon Braid for Guitar, Laptop, Home Theater Devices, Speaker and Amplifiers 6.6FT</t>
  </si>
  <si>
    <t>ESR Paper-Feel Magnetic Screen Protector for iPad Air 11 Inch M3/M2 (7th/6th Gen, 2025/2024), Write and Draw Like on Paper, Detachable and Reusable, Compatible with Tempered Film, Matte, Anti-Glare</t>
  </si>
  <si>
    <t>EPSON 288 DURABrite Ultra Ink Standard Capacity Black Cartridge (T288120-S) Works with Expression XP-330, XP-430, XP-434, XP-340, XP-440, XP-446</t>
  </si>
  <si>
    <t>Energizer MAX AAA Batteries (4 Pack), Triple A Alkaline Batteries</t>
  </si>
  <si>
    <t>UGREEN M.2 NVMe SSD Enclosure 10Gbps USB 3.2 Gen 2 (10 Gbps) to NVME M-Key/(B+M) Key Solid State Drive External Enclosure Support UASP Trim for 2230/2242 /2260/2280 NVME SSDs</t>
  </si>
  <si>
    <t>ASURION 4 Year Home Improvement Protection Plan ($40 - $49.99)</t>
  </si>
  <si>
    <t>ASURION 2 Year Portable Electronic Accident Protection Plan ($175 - $199.99)</t>
  </si>
  <si>
    <t>Canon PGI-250 Genuine Pigment Black Ink Tank, Compatible with MG6320, IP7220 &amp; MG5420, MX922, MG5520, MG6420, MG7120, iX6820, iP8720, MG7520, MG6620, and MG5620 Printers</t>
  </si>
  <si>
    <t>Philips Universal Remote Control, Universal TV Remote Replacement, Samsung TV Control Universal, for Roku Replacement, Vizio, LG, Sony, Apple, 3 Device, Blue, SRP3249B/27</t>
  </si>
  <si>
    <t>UGREEN HDMI Extension Cable 4K HDMI Extender 1.5FT Male to Female Adapter Cord Compatible with Roku TV Stick PS5 PS4 Xbox Laptop PC Nintendo Switch 2 Blu Ray Player Google Chromecast Wii U HDTV</t>
  </si>
  <si>
    <t>ASURION 2 Year Electronics Protection Plan ($350 - $399.99)</t>
  </si>
  <si>
    <t>PopSockets Plant-Based Phone Grip with Expanding Kickstand, Adhesive Grip, Eco-Friendly -Translucent Ocean</t>
  </si>
  <si>
    <t>UGREEN USB B to USB C 6 FT Printer Cable, Nylon USB B to C Cord for MacBook Pro/Air, MIDI Cable Compatible with Yamaha Piano Keyboard, DAC, DJ Controller for iPad</t>
  </si>
  <si>
    <t>GE 6-Outlet Surge Protector, 4 Ft Extension Cord, Power Strip, 800 Joules, Flat Plug, Twist-to-Close Safety Covers, Protected Indicator Light, ETL Listed, White, 33658</t>
  </si>
  <si>
    <t>LISEN for iPhone 16 15 USB C to USB C Fast Charging, 60W USB C Cable Type C Fast Charging Cable for iPhone 16 15,Samsung Galaxy S25 Ultra Plus S24 S23 iPad Pro 13 12.9inch, iPad Air 5,White 3Pack 6FT</t>
  </si>
  <si>
    <t>ASURION 2 Year Lawn &amp; Garden Extended Protection Plan ($40 - $49.99)</t>
  </si>
  <si>
    <t>ASURION 3 Year Office Equipment Protection Plan ($40 - $49.99)</t>
  </si>
  <si>
    <t>Energizer 2025 Batteries (2 Pack), 3V Lithium Coin Batteries</t>
  </si>
  <si>
    <t>Zebra Pen M-301 Stainless Steel Mechanical Pencils .5mm, Fine Point, 2-Pack (54012)</t>
  </si>
  <si>
    <t>Amazon Basics USB-C to Micro USB 3.1 Gen 2 Fast Charging Cable, 10Gbps High-Speed, 3 Foot, Black</t>
  </si>
  <si>
    <t>Amazon Basics USB-C to USB-A 2.0 Fast Charger Cable, 480Mbps Speed, USB-IF Certified, for Apple iPhone 16/15, iPad, Samsung Galaxy, Tablets, Laptops, 10 foot, Black</t>
  </si>
  <si>
    <t>Fujifilm Fujicolor 200 Color Negative Film (35mm Roll Film, 36 Exposures)(Pack of 1)</t>
  </si>
  <si>
    <t>LISEN 2025 Car Phone Mount, Phone Holders for Your Car [Thick Cases Friendly] Car Phone Holder Air Vent Wider Clamp &amp; Metal Hook Cell Phone Car Mount for iPhone Pro Max Samsung Smartphones</t>
  </si>
  <si>
    <t>Metra 95-5812 Double DIN Installation Kit Fits Select 2004-2019 Ford Vehicles -Black</t>
  </si>
  <si>
    <t>PDP Gaming LVL40 Airlite Stereo Headset for Nintendo Switch/Lite/OLED - Wired Power Noise Cancelling Microphone, Lightweight Soft Comfort On Ear Headphones (Mario Neon - Red &amp; Blue)</t>
  </si>
  <si>
    <t>Panasonic CR1632 3.0 Volt Long Lasting Lithium Coin Cell Batteries in Child Resistant, Standards Based Packaging, 4-Battery Pack</t>
  </si>
  <si>
    <t>UGREEN 3.5mm Audio Cable Braided 4-Pole TRRS Hi-Fi Stereo Jack Shielded Male to Male AUX Cord Compatible with iPad, Samsung Phones, Tablets, Car Home Stereos, Headphones, Speaker, 3FT</t>
  </si>
  <si>
    <t>Verbatim Wired USB Computer Mouse - Corded USB Mouse for Laptops and PCs - Right or Left Hand Use, Blue 99743, 1.4" x 2.4" x 3.9"</t>
  </si>
  <si>
    <t>EPSON 410 Claria Premium Ink Standard Capacity (T410020-S) Works with Expression Premium XP-530, XP-630, XP-640, XP-7100, XP-830</t>
  </si>
  <si>
    <t>Panasonic Industrial CR123A Lithium Battery 3V 6 Pack</t>
  </si>
  <si>
    <t>ASURION 2 Year Sporting Goods Protection Plan ($50 - $59.99)</t>
  </si>
  <si>
    <t>SanDisk Flash 16 GB SDHC Flash Memory Card SDSDB-016G (Label May Change)</t>
  </si>
  <si>
    <t>ASURION 3 Year Electronics Protection Plan ($125 - $149.99)</t>
  </si>
  <si>
    <t>EPSON 220 DURABrite Ultra Ink Standard Capacity Black Cartridge (T220120-S) Works with WorkForce WF-2630, WF-2650, WF-2660, WF-2750, WF-2760, Expression XP-320, XP-420, XP-424</t>
  </si>
  <si>
    <t>Epson S041464 Premium Photo Paper, 68 lbs., High-Gloss, 5 x 7 (Pack of 20 Sheets)</t>
  </si>
  <si>
    <t>Lenovo 100 Wired USB Computer Mouse for PC, Laptop, Computer with Windows - Full-Size - Ambidextrous Design - 3 Buttons - Red Optical Sensor – Black</t>
  </si>
  <si>
    <t>VER96155 - CD-R, 40X, 700MB/80Min, Branded, 25/PK</t>
  </si>
  <si>
    <t>LISEN Back to School Phone Mount for Car Vent [Never Blocking] 360 Rotatable Car Phone Holder Air Vent Clip Hands Free Cellphone Car Mount for iPhone 16 Pro Max Plus 16e 15 14 Samsung Android, Black</t>
  </si>
  <si>
    <t>Amazon Basics 3-Pack Travel Plug Adapter Type E/F, Europe - France, Germany, Greece, Hungary, Iceland, the Netherlands, Norway, Poland, Portugal, Romania and Spain, White</t>
  </si>
  <si>
    <t>JVC Gumy in Ear Earbud Headphones with Paper Package, Powerful Sound, Comfortable and Secure Fit, Silicone Ear Pieces S/M/L - HAFX7GN (Green)</t>
  </si>
  <si>
    <t>4PCS Breadboards Kit Include 2PCS 830 Point 2PCS 400 Point Solderless Breadboards for Proto Shield Distribution Connecting Blocks</t>
  </si>
  <si>
    <t>Avery Customizable Name Tags, Hello My Name is, White, Blue Border, Removable Adhesive, Laser/Inkjet Printable, 100 Total (5141)</t>
  </si>
  <si>
    <t>ASURION 4 Year Office Equipment Protection Plan ($40 - $49.99)</t>
  </si>
  <si>
    <t>UGREEN 2 Pack USB Extension Cable (3 FT+ 3 FT), Nylon Braided Extender Compatible With Webcam, Camera, Phone, Hub, Mouse, Keyboard, Printer, Hard Drive, Headset</t>
  </si>
  <si>
    <t>iHome 2-Port USB Wall Charger, AC Pro Multiport Plug Adapter, Phone Charging Block with Dual Ports, Flat Wall Adapter for Home &amp; Travel</t>
  </si>
  <si>
    <t>Belkin USB C to USB C Cable, 6.6ft, 100W - Type C Charger, iPhone Charger Cord, Braided, Flexible for iPhone 16, Galaxy S25, Pixel 9, AirPods, iPad Pro, Tablet, Nintendo Switch 2 &amp; More - Black</t>
  </si>
  <si>
    <t>3x Duracell Photo DL CR1/3N 2L76 3V Lithium Battery Replaces Duracell DL-1/3N, 3N, Ray-O-Vac 867, 2L76, Energizer 2L76BP, 2L76-BP, CR1108, IEC CR11108, CR1-3N, DL1-3N, Comp 15, Duracell DL1/3N, NL1/3N</t>
  </si>
  <si>
    <t>Sharp Electronics 8-Digit Twin Powered Calculator (EL-243S/EL-243SB)</t>
  </si>
  <si>
    <t>ASURION 3 Year Housewares Protection Plan ($80 -$89.99)</t>
  </si>
  <si>
    <t>EVEREADY 6V Battery, Super Heavy Duty 6 Volt Battery, 1 Count</t>
  </si>
  <si>
    <t>Avery Removable Color-Coding Labels, Removable Adhesive, Assorted Colors, 3/4" Diameter, 1,008 Labels (5472)</t>
  </si>
  <si>
    <t>Duracell 1632 3V Lithium Battery, 1 Count Pack, Lithium Coin Battery for Medical and Fitness Devices, Watches, and more, CR Lithium 3 Volt Cell</t>
  </si>
  <si>
    <t>ASURION 3 Year Housewares Protection Plan ($90 - $99.99)</t>
  </si>
  <si>
    <t>Amazon Basics 3.5mm Aux Jack Audio Extension Cable, Male to Female, Adapter for Headphone or Smartphone, 6 Foot, Black</t>
  </si>
  <si>
    <t>ASURION 3 Year Electronics Protection Plan ($90 - $99.99)</t>
  </si>
  <si>
    <t>Renata 390 SR1130SW Batteries - 1.55V Silver Oxide 390 Watch Battery (2 Count)</t>
  </si>
  <si>
    <t>TP-Link Deco Wi-Fi 7 Tri-Band BE14000 Whole Home Mesh System | 8-Stream 14Gbps | 10 Gig Internet Port |Up to 8,100 Sq.ft &amp; 200 Devices | VPN, HomeShield, MLO, 320 MHz, AI-Roaming (Deco BE67 3-Pack)</t>
  </si>
  <si>
    <t>ESR for MagSafe Charger 15W Wireless Charger for iPhone 16 Pro Max/16 Pro/16/16 Plus/15/14/13/12 Apple Magnetic Charging Pad for AirPods 4/3/Pro/Pro 2 Galaxy S25 Series with Dual USB A/C Ports, Silver</t>
  </si>
  <si>
    <t>Duracell 379 Silver Oxide Button Battery, 1 Count Pack, 379 1.5 Volt Battery, Long-Lasting for Watches, Medical Devices, Calculators, and More</t>
  </si>
  <si>
    <t>HP Everyday Photo Paper - Designed for HP Inkjet Printers, Glossy, 5x7 in, 60 sheets (CH097A)</t>
  </si>
  <si>
    <t>ASURION 2 Year Portable Electronic Accident Protection Plan ($60 - $69.99)</t>
  </si>
  <si>
    <t>ASURION 2 Year Lawn &amp; Garden Extended Protection Plan ($90 - $99.99)</t>
  </si>
  <si>
    <t>Roku Express | HD Roku Streaming Device with Standard Remote (no TV controls), Free &amp; Live TV</t>
  </si>
  <si>
    <t>Duracell 376/377 Silver Oxide Button Battery, 1 Count Pack, 376/377 1.5 Volt Battery, Long-Lasting for Watches, Medical Devices, Calculators, and More</t>
  </si>
  <si>
    <t>ASURION 2 Year Laptop Protection Plan ($175 - $199.99)</t>
  </si>
  <si>
    <t>ASURION 3 Year Furniture Protection Plan ($100 - $124.99)</t>
  </si>
  <si>
    <t>GE Blue Backlit Buttons Universal Remote Control, Samsung TV Remote Control Replacement, Samsung Remote Control for Smart TV, Roku Remote Replacement, Vizio, LG TV, Sony, 4-Device, Brushed Black 48843</t>
  </si>
  <si>
    <t>Highland Sticky Notes, 1.5 x 2 Inches, Yellow, 12 Pack (6539)</t>
  </si>
  <si>
    <t>VEVOR Faraday Bags, 4 Pack Faraday Pouch Set for Laptop (16.9x15), Tablet (13x10.2), Phone (7.87x4.7) &amp; Radio (10.6x7.8), Fireproof Signal Blocking Holder, Anti-Theft &amp; Anti-Hacking Pouch Blocker</t>
  </si>
  <si>
    <t>Belkin USB A to USB C Cable, 6.6ft, 15W - Type C Charger, iPhone Charger Cord for iPhone 16 &amp; 15, Galaxy S25, Pixel 9, iPad Pro, Airpods Pro, Switch, CarPlay &amp; More - Black</t>
  </si>
  <si>
    <t>StarTech.com SATA to USB Cable - USB 3.0 to 2.5” SATA III Hard Drive Adapter - External Converter for SSD/HDD Data Transfer (USB3S2SAT3CB)</t>
  </si>
  <si>
    <t>acer USB-C to HDMI Adapter 4K@60Hz, (High Speed, Thunderbolt 3/4) Type C to HDMI Converter Compatible with MacBook Pro/Air, iPhone 16 15 Pro/Max, iPad Pro/Air, Surface, Dell XPS, Chromebook and More</t>
  </si>
  <si>
    <t>LISEN for MagSafe Car Mount Charger for iPhone 16, 15W Wireless Universal Vent Charger for iPhone 16 Car Accessories Magnetic Phone Holder Mount, Fits iPhone 16 15 Pro Max</t>
  </si>
  <si>
    <t>Chuckit! Treat Tote Dog Treat Pouch for Puppy Training, 1 Cup Capacity, Assorted Colors</t>
  </si>
  <si>
    <t>SanDisk Standard - Flash memory card - 32 GB - Class 4 - SDHC Retail Package</t>
  </si>
  <si>
    <t>ASURION 4 Year Laptop Protection Plan ($400 - $449.99)</t>
  </si>
  <si>
    <t>ASURION 2 Year Laptop Protection Plan ($900 - $999.99)</t>
  </si>
  <si>
    <t>ASURION 2 Year Major Appliance Protection Plan ($175 - $199.99)</t>
  </si>
  <si>
    <t>Sharp EL233SB Standard Function Calculator</t>
  </si>
  <si>
    <t>5 pcs Energizer CR2450 CR 2450 ECR2450 3v Lithium Battery</t>
  </si>
  <si>
    <t>Avery Self-Adhesive Removable Labels, 0.5 x 1.75 Inches, 840 Per Pack, White Label Stickers (05422)</t>
  </si>
  <si>
    <t>Duracell 395/399 1.5V Silver Oxide Button Battery, 3 Pack</t>
  </si>
  <si>
    <t>4Pc Size C Panasonic Batteries Super Heavy Duty Power Zinc Carbon</t>
  </si>
  <si>
    <t>Pentel EnerGel Deluxe RTX Retractable Gel Pens</t>
  </si>
  <si>
    <t>Belkin 3.5mm Audio Splitter – Dual Headphone and Speaker Jack Adapter for Sharing Music or Videos – Compatible with iPhone, iPad, Laptops, Tablets, and Other Devices with AUX Port – Black</t>
  </si>
  <si>
    <t>4pc Panasonic AAA Batteries Super Heavy Duty Power Carbon Zinc Triple A Battery 1.5v</t>
  </si>
  <si>
    <t>Insta 360 X4/X5 Lens Cap</t>
  </si>
  <si>
    <t>Scotch Self-Sealing Laminating Pouches, Glossy Finish, Wallet Photo Size 2 1/2 in x 3 1/2 in, 5 Pouches</t>
  </si>
  <si>
    <t>ASURION 2 Year Laptop Protection Plan ($1000 - $1249.99)</t>
  </si>
  <si>
    <t>AINOPE USB C to USB C Cable, 10 FT USB C Cable Fast Charging with Type C to USB Adapter, 60W USB to USBC Cable for iPhone 16 Pro Max Plus 15 14 13 12 Samsung 25 Ultra iPad MacBook Switch, Grey</t>
  </si>
  <si>
    <t>ASURION 2 Year Headphones Protection Plan ($90 - $99.99)</t>
  </si>
  <si>
    <t>Office Depot® Brand Laminating Pouches, Business Card Size, 5 Mil, 2.56" x 3.75", Pack Of 100</t>
  </si>
  <si>
    <t>UGREEN USB to USB C Adapter 10Gbps,2 Pack USB C to A Adapter Compatible with iPhone 16 15 Pro/Samsung/MacBook Pro/Air/iPad Pro,Thunderbolt 4/3,Gray</t>
  </si>
  <si>
    <t>Energizer Watch/Electronic Batteries, 1.55 Volts, 377, 2 Batteries</t>
  </si>
  <si>
    <t>GE Coax Plate, 1-Port, One Wall Mounted F-Type Connection for Coaxial Cable, Screws Included, Single Gang, White, 40050</t>
  </si>
  <si>
    <t>Panasonic CR1616 3.0 Volt Long Lasting Lithium Coin Cell Batteries in Child Resistant, Standards Based Packaging, 2-Battery Pack</t>
  </si>
  <si>
    <t>ASURION 4 Year Home Improvement Protection Plan ($50 - $59.99)</t>
  </si>
  <si>
    <t>Renata 395 SR927SW Batteries - 1.55V Silver Oxide 395 Watch Battery (2 Count)</t>
  </si>
  <si>
    <t>ASURION 3 Year Housewares Protection Plan ($70 - $79.99)</t>
  </si>
  <si>
    <t>ASURION 2 Year Floorcare Extended Protection Plan ($40 - $49.99)</t>
  </si>
  <si>
    <t>C2G 6FT Premium Replacement AC Power Cord - Durable Power Cable for TV, Computer, Monitor, Appliance &amp; More (24240), Pack of 1</t>
  </si>
  <si>
    <t>Koss KPH7V Portable On-Ear Headphone with Adjustable Headband - Violet</t>
  </si>
  <si>
    <t>Cerama Bryte 1 x Scraper &amp; 1 x Pad Kit Cooktop and Stove Top Cleaner for Glass - Ceramic Surfaces, 2 Piece Set</t>
  </si>
  <si>
    <t>ASURION 2 Year Major Appliance Protection Plan ($200 - $249.99)</t>
  </si>
  <si>
    <t>ASURION 3 Year Kitchen Protection Plan ($300 - $349.99)</t>
  </si>
  <si>
    <t>FUJIFILM Instax Mini Monochrome Film - 10 Exposures</t>
  </si>
  <si>
    <t>ASURION 3 Year Floorcare Extended Protection Plan ($125 - $149.99)</t>
  </si>
  <si>
    <t>GODOX AD200 PRO II Flash (2025) AD200 PRO Strobe, Updated 200Ws 2.4G 1/512 to Full Power (1/1) Ten-Step Power Adjustment, Color Temperature Constant Mode ±100K Flash Head Pocket Flash Monolight</t>
  </si>
  <si>
    <t>ASURION 3 Year Home Improvement Protection Plan ($500 - $599.99)</t>
  </si>
  <si>
    <t>ASURION 3 Year Electronics Protection Plan ($250 - $299.99)</t>
  </si>
  <si>
    <t>SanDisk 32GB Ultra microSDHC UHS-I Memory Card with Adapter - 98MB/s, C10, U1, Full HD, A1, Micro SD Card - SDSQUAR-032G-GN6MA</t>
  </si>
  <si>
    <t>2 x Maxell LR41 /192 / AG3 / V3GA 1.5v Alkaline Button Cell Battery Batteries</t>
  </si>
  <si>
    <t>Arrow 506 T50 Heavy Duty Staples, 3/8-Inch Leg Length, 3/8-Inch Crown Width Staples for Upholstery, Construction, Furniture, Crafts, 1250-Pack</t>
  </si>
  <si>
    <t>ASURION 4 Year Office Equipment Protection Plan ($70 - $79.99)</t>
  </si>
  <si>
    <t>Renata 371 SR920SW Batteries - 1.55V Silver Oxide 371 Watch Battery (2 Count)</t>
  </si>
  <si>
    <t>ASURION 4 Year Office Equipment Protection Plan ($300 - $349.99)</t>
  </si>
  <si>
    <t>TRANSFORMERS Wireless Earbuds Bluetooth 5.4 Open Ear Earbuds Over The Ear Earphones with Ear Hooks,60H Playtime,IPX5 Waterproof,Dual Mic Clear Call,for Running Workout,TF-T07 Sliver-Optimus Prime</t>
  </si>
  <si>
    <t>Lexar 2TB ES3 Portable SSD, Up to 1050MB/s Read &amp; 1000MB/s Write, Compatible with PC &amp; Mac, Tablets, Smartphones, External Solid State Drive, Silver (LES3XXX002T-RNSAU)</t>
  </si>
  <si>
    <t>Mophie Snap+ 3-in-1 Wireless Charging Stand - MagSafe &amp; Qi2 Certified, Compatible with iPhone 16/15/14/13/12, Apple Watch, AirPods - Multi-Device Magnetic Charging Station, Eco-Friendly Design, White</t>
  </si>
  <si>
    <t>BLACK+DECKER PD USB Wall Charger Surge Protector, 5 Outlet Extender w/ 2 USB C PD &amp; 1 USBA Charging Ports, Fast Charge 3 Sided Power Strip Multi Plug Outlets Wall Adapter for Home Office, ETL Listed</t>
  </si>
  <si>
    <t>iOttie Velox Qi2 Mini 15W Wireless Charger Car Mount - Dash &amp; Windshield Car Phone Holder - MagSafe Compatible iPhone Mount for Qi2 Smartphones (iPhone 12, 13, 14, 15, and 16) - Car Charger Included</t>
  </si>
  <si>
    <t>ASURION 2 Year Wearables Protection Plan ($50 - $59.99)</t>
  </si>
  <si>
    <t>ASURION 2 Year Sporting Goods Protection Plan ($700 - $799.99)</t>
  </si>
  <si>
    <t>acer Laptop Stand for Desk - with 360 Swivel Base, Rotating Laptop Riser for Desk, Adjustable Computer Stand for Laptops, Ergonomic Riser Holder Foldable, Portable MacBook Pro Air (10-16") - Silver</t>
  </si>
  <si>
    <t>MSI Gaming RTX 5090 32G Vanguard SOC Graphics Card (32GB GDDR7, 512-bit, Extreme Performance: 2527 MHz, DisplayPort x3 2.1a, HDMI 2.1b, NVIDIA Blackwell Architecture)</t>
  </si>
  <si>
    <t>ASUS ROG Strix G16 (2025) Gaming Laptop, 16” ROG Nebula Display 16:10 2.5K 240Hz/3ms, NVIDIA® GeForce RTX™ 5070 Ti GPU, Intel® Core™ Ultra 9 275HX Processor, 32GB DDR5, 1TB SSD, Wi-Fi 7, Win11 Home</t>
  </si>
  <si>
    <t>NVIDIA Jetson AGX Orin 64GB Developer Kit</t>
  </si>
  <si>
    <t>Hisense 55-Inch Class QLED 4K S7N CanvasTV Series Dolby Vision HDR Google Smart TV (55S7N) - 144Hz, Art Mode, Anti-Glare Panel, Hi-Matte Display, Frame &amp; UltraSlim Wall Mount Included</t>
  </si>
  <si>
    <t>Lenovo ThinkPad X1 Carbon Gen 13 Aura Edition, Intel Ultra 7 258V (Beats U7 165), 14" 2.8K (2880 x 1800), OLED, 32GB DDR5, 2TB SSD Gen 5, 1080p IR Camera, WiFi 7.0, Win 11 Pro - Black</t>
  </si>
  <si>
    <t>Lifetime 6446 Outdoor Storage Shed, 8 x 15 Foot, Desert Sand</t>
  </si>
  <si>
    <t>ASURION 2 Year Wearables Protection Plan ($200 - $249.99)</t>
  </si>
  <si>
    <t>Canon RF24-70mm F2.8 L is USM Lens, Standard Zoom Lens, Compatible with EOS R Series Mirrorless Cameras, Black</t>
  </si>
  <si>
    <t>Google Pixelbook Go - Lightweight Chromebook Laptop - Up to 12 Hours Battery Life[1] - Touch Screen- Just Black</t>
  </si>
  <si>
    <t>GIGABYTE AORUS GeForce RTX 5090 Master ICE 32G Graphics Card, WINDFORCE Cooling System, 32GB 512-bit GDDR7, GV-N5090AORUSM ICE-32GD Video Card</t>
  </si>
  <si>
    <t>Lenovo Gen 12 ThinkPad X1 Carbon Laptop with Intel Ultra 7 155U Processor, 14" WUXGA 100% sRGB Non-Touch Display, 32GB 6400MHz RAM, 512GB Gen4 Performance SSD, FHD+ IR+ RGB Camera, and Windows 11 Pro</t>
  </si>
  <si>
    <t>Fujifilm X100VI Digital Camera - Silver</t>
  </si>
  <si>
    <t>SONY Cinema Line FX30 Super 35 Camera</t>
  </si>
  <si>
    <t>Dell Latitude 3550 Laptop Computer for Business and Work, 13th Gen Intel 10-Core i5-1335U (Beat i7-1255U), 32GB DDR5 RAM, 1TB PCIe SSD, 15.6" FHD, WiFi 6E, Bluetooth 5.3, USB4 Type-C, Windows 11 Pro</t>
  </si>
  <si>
    <t>Sony Alpha 6700 – APS-C Interchangeable Lens Camera with 26 MP sensor, 4K video, AI-Based Subject Recognition, Log Shooting, LUT Handling and Vlog Friendly Functions</t>
  </si>
  <si>
    <t>ASURION 3 Year Furniture Protection Plan ($125 - $149.99)</t>
  </si>
  <si>
    <t>ASURION 2 Year Wearables Protection Plan ($250 - $299.99)</t>
  </si>
  <si>
    <t>Lenovo ThinkPad T14 Gen 5 Business Laptop (14" FHD+, Intel Core Ultra 5 125U (&gt;i7-1355U), 32GB DDR5 RAM, 1TB SSD), Backlit, Fingerprint, 5MP Webcam, 3-Year Warranty, Wi-Fi 6E, Win 11 Pro, 2025 AI PC</t>
  </si>
  <si>
    <t>GIGABYTE GeForce RTX 5080 WINDFORCE OC SFF 16G Graphics Card, WINDFORCE Cooling System, 16GB 256-bit GDDR7, GV-N5080WF3OC-16GD Video Card</t>
  </si>
  <si>
    <t>Epson Pro EX11000 3-Chip 3LCD Full HD 1080p Wireless Laser Projector, 4,600 Lumens Color/White Brightness, Miracast, 2 HDMI Ports, USB Power for Streaming, Built-in 16W Speaker</t>
  </si>
  <si>
    <t>Hisense 55" Class U6 Series Mini-LED 4K UHD Smart Fire TV (55U65QF, 2025 Model) - QLED, Native 144Hz, HDR10+, Dolby Vision IQ, Dolby Atmos, Game Mode Pro, ALLM, Alexa Built in, Black</t>
  </si>
  <si>
    <t>ASUS Vivobook 16 Laptop, Copilot+ PC, 16” WUXGA 60Hz Display, AMD Ryzen AI 7 350 with XDNA NPU, AMD Radeon Graphics, 16GB RAM, 1TB SSD, Quiet Blue, M1607KA-DS76</t>
  </si>
  <si>
    <t>ASURION 2 Year Portable Electronic Accident Protection Plan ($100 - $124.99)</t>
  </si>
  <si>
    <t>Google Pixel 9 Pro XL - Unlocked Android Smartphone with Gemini, Triple Rear Camera System, 24-Hour Battery, and 6.8" Super Actua Display - Hazel - 128 GB</t>
  </si>
  <si>
    <t>MSI Claw PC Gaming Handheld: Intel Ultra 7-258V, 8" FHD 120Hz Display, 32GB LPDDR5, 1TB NVMe SSD, MicroSD Card Reader, Thunderbolt 4, Win 11 Home: Black 8 AI+ A2VM-001US</t>
  </si>
  <si>
    <t>HP USB-C G5 Essential Dock, Black</t>
  </si>
  <si>
    <t>BOYA BY-V4U Wireless Lavalier Microphone for iPhone 15/16 Series Type C Smartphone with Charging Case, 4-Channel Mono Output, Omnidirectional Noise Cancelling Lapel Mic for Video Recording Podcast</t>
  </si>
  <si>
    <t>Lenovo ThinKCentre neo 50q Gen 4 Tiny 1L Business Mini Desktop Computer, 13th Gen Intel 8-Core i5-13420H (Beat i7-1355U), 16GB DDR4 RAM, 512GB PCIe SSD, 2 DisplayPorts, WiFi 6, Win 11 Pro, Vent-Hear</t>
  </si>
  <si>
    <t>Canon RF28-70mm F2.8 is STM</t>
  </si>
  <si>
    <t>Sony ZV-1 Digital Camera for Content Creators, Vlogging and YouTube with Flip Screen, Built-in Microphone, 4K HDR Video, Touchscreen Display, Live Video Streaming, Webcam</t>
  </si>
  <si>
    <t>Sony RX100 VII Premium Compact Camera with 1.0-type stacked CMOS sensor (DSCRX100M7)</t>
  </si>
  <si>
    <t>TCL 55-Inch Class NXTVISION Series QLED 4K UHD Google Smart TV Canvas Style Art Frame TV - QLED, 120hz, Matte Anti-Glare Screen, Free Bezel and Frame, Atmos, Free Art Included (55A300W, 2024 Model)</t>
  </si>
  <si>
    <t>Sony Alpha a6400 Mirrorless Camera: Compact APS-C Interchangeable Lens Digital Camera with Real-Time Eye Auto Focus, 4K Video, Flip Screen &amp; 16-50mm Lens - E Mount Compatible - ILCE-6400L/B, Black</t>
  </si>
  <si>
    <t>BenQ MA320U 32” 4K 3840x2160 Monitor for MacBook® Pro/Air, Dual USB-C, 90W Power Delivery, Mac Color Match, USB Hub, Brightness &amp; Volume Control on Mac, Height &amp; Tilt Adjustable Stand, P3 Color Gamut</t>
  </si>
  <si>
    <t>Canon EOS R6 Mark II Mirrorless Camera RF24-105mm F4-7.1 is STM Lens Kit, Full-Frame Hybrid Camera, 24.2 Megapixel CMOS Sensor, Photo and Video Capabilities, Black</t>
  </si>
  <si>
    <t>Asurion 3 Year Housewares Protection Plan ($175 - $199.99)</t>
  </si>
  <si>
    <t>ASURION 4 Year Home Improvement Protection Plan ($125 - $149.99)</t>
  </si>
  <si>
    <t>Apple iPhone 16, US Version, 128GB, Black - Unlocked (Renewed)</t>
  </si>
  <si>
    <t>NVIDIA GeForce RTX 5080 Founders Edition</t>
  </si>
  <si>
    <t>Dell Tower Desktop ECT1250 - Intel Core Ultra 7-265 Processor, Intel UHD Graphics, 32GB DDR5 5600MT/s Memory, 1TB M.2 SSD, 3.0 SD Card Reader, Wired Keyboard and Mouse, Basic Onsite Service</t>
  </si>
  <si>
    <t>Sony a7 III (ILCEM3K/B) Full-frame Mirrorless Interchangeable-Lens Camera with 28-70mm Lens with 3-Inch LCD, Black</t>
  </si>
  <si>
    <t>Xbox Series X 1TB Gaming Console Console + 1 Wireless Controller - Backward Compatible with Thousands of Games, Fine-Tuned Performance, True 4K Gaming, Up to 120 FPS - HDMI_Cable</t>
  </si>
  <si>
    <t>Garmin epix Pro (Gen 2) Sapphire Edition, 51mm, High Performance Smartwatch, Advanced Training Technology, Built-in Flashlight, Black</t>
  </si>
  <si>
    <t>ASURION 4 Year Laptop Protection Plan ($1500 - $1999.99)</t>
  </si>
  <si>
    <t>Canon EOS R8 Mirrorless Camera</t>
  </si>
  <si>
    <t>Dell Inspiron 15.6" Laptop Computer, Windows 11 Pro Laptop 32GB RAM 1TB SSD, Intel Core i7-1255U Processor, 1920 x 1080 IPS 120Hz Display, Microsoft Office Lifetime License, Numeric Keypad, Black</t>
  </si>
  <si>
    <t>YAMAHA RX-V6A 7.2-Channel AV Receiver with MusicCast</t>
  </si>
  <si>
    <t>MSI RTX 5070 12G Gaming Trio OC Graphics Card (12GB GDDR7, 192-bit, Extreme Performance: 2625 MHz, DisplayPort x3 2.1a, HDMI 2.1b, NVIDIA Blackwell Architecture)</t>
  </si>
  <si>
    <t>Tamron 28-75mm F/2.8 Di III VXD G2 for Sony E-Mount Full Frame/APS-C (6 Year Limited USA Warranty)</t>
  </si>
  <si>
    <t>ASURION 3 Year Electronics Protection Plan ($60 - $69.99)</t>
  </si>
  <si>
    <t>FUJITSU FI-7160 - Document Scanner - Duplex - 8.5 in X 14 in - 600 DPI X 600 DPI - UP to 60 PPM (Mono) / UP to 60 PPM (Color) - ADF (80 Sheets) - UP to 4000 SCANS PER Day - USB 3.0</t>
  </si>
  <si>
    <t>LG UltraWide QHD 34-Inch Curved Computer Monitor 34WQ73A-B, IPS with HDR 10 Compatibility, Built-In-KVM, and USB Type-C, Black</t>
  </si>
  <si>
    <t>Apple MacBook Pro Late 2021 with Apple M1 Pro chip (16-inch, 16GB RAM, 512GB SSD) Space Gray (Renewed)</t>
  </si>
  <si>
    <t>Dell P2425H 24" Full HD (1920x1080) PC Display, 100Hz, IPS, 5ms, 99% sRGB, USB-C, DisplayPort, HDMI, VGA, 4X USB, 3 Year Warranty, Black</t>
  </si>
  <si>
    <t>Hisense 55" Class QD7 Series Mini-LED 4K UHD Smart Fire TV (55QD7QF, 2025 Model) - QLED, HDR10+, Dolby Vision, Dolby Atmos, Game Mode Plus, ALLM, Alexa Built in with Voice Remote, Streaming TV, Black</t>
  </si>
  <si>
    <t>ASUS ZenWiFi BQ16 Pro Quad-Band WiFi 7 Mesh Router (2 Pack), up to 8000 sqft, 2X 10G Ports Each, Smart Home Master with Multi-SSID, VPN &amp; Parental Controls, Subscription-Free Security, AiMesh</t>
  </si>
  <si>
    <t>HP 87X Black High-yield Toner Cartridge | Works with HP LaserJet Enterprise M506 Series, HP LaserJet Enterprise MFP M527 Series, HP LaserJet Pro M501 Series | CF287X</t>
  </si>
  <si>
    <t>HP Pro 400 G9 Mini PC Desktop Computer, Intel CPU, 16GB DDR5 RAM, 256GB PCIe SSD, Triple 4K Display Support, USB-C, Ultra-Quiet Design, Bluetooth 5.2, WiFi 6, Keyboard and Mouse, Windows 11 Pro</t>
  </si>
  <si>
    <t>Bose Smart Ultra Soundbar, Surround Sound System for TV, Dolby Atmos Soundbar for TV Plus Alexa and Google Voice Control, Black</t>
  </si>
  <si>
    <t>Lenovo IdeaPad 1i Laptop, 15.6" FHD Touchscreen, Intel Core i5-1235U Processor, 16GB RAM, 512GB SSD, Webcam, HDMI, Wi-Fi 6, Windows 11 Home, Blue</t>
  </si>
  <si>
    <t>Garmin Enduro™ 3 – 51 mm, Solar, Sapphire, Ultraperformance GPS Smartwatch, Extreme Battery Life, Detailed Mapping, Built-in LED Flashlight, Carbon Gray DLC Titanium with Black UltraFit Nylon Strap</t>
  </si>
  <si>
    <t>Sony FDR-AX43 UHD 4K Handycam Camcorder</t>
  </si>
  <si>
    <t>ASURION 3 Year Desktop Protection Plan ($600 - $699.99)</t>
  </si>
  <si>
    <t>HP 26X Black High-yield Toner Cartridges (2-pack) | Works with HP LaserJet Pro M402 Series, HP LaserJet Pro MFP M426 Series | CF226XD</t>
  </si>
  <si>
    <t>Samsung Galaxy Tab S9 11” 256GB WiFi 7 Android AI Tablet, Snapdragon 8 Gen 2 Processor, AMOLED Screen, Durable Design, S Pen Included, Long Battery Life, Auto Focus Camera, US Version, 2023, Graphite</t>
  </si>
  <si>
    <t>Brother ADS-3300W Wireless, High-Speed Desktop Scanner | 2.8-inch Touchscreen | Scans Up to 40ppm1</t>
  </si>
  <si>
    <t>ASURION 3 Year Office Equipment Protection Plan ($80 - $89.99)</t>
  </si>
  <si>
    <t>ASURION 2 Year Camera Protection Plan ($125 - $149.99)</t>
  </si>
  <si>
    <t>Apple MacBook Pro 2021 with Apple M1 Pro chip (14-inch, 16GB RAM, 512GB SSD) - Space Gray (Renewed)</t>
  </si>
  <si>
    <t>ASUS ProArt X870E-CREATOR WiFi AMD AM5 X870E ATX Motherboard PCIe® 5.0 x16 Slots with Full Support for Next-gen GPUs, 16+2+2 Power Stages, DDR5, Dual USB4®, 10 Gb &amp; 2.5 Gb LAN, WiFi 7, Four M.2 Slots</t>
  </si>
  <si>
    <t>Garmin® Venu® X1, Thin and Lightweight GPS Smartwatch, AMOLED Display, Advanced Health and Fitness Features, Black with Slate Titanium Caseback and Black ComfortFit Nylon Band</t>
  </si>
  <si>
    <t>HP Victus 15 Gaming Laptop 15.6 FHD IPS Anti-Glare 144Hz Intel 8-core i5-12450H (Beat i7-11800H) 16GB RAM 512GB SSD GeForce RTX 3050 Backlit B&amp;O Fast Charging Win11 w/ICP Accessory</t>
  </si>
  <si>
    <t>Google Nest Cam Outdoor or Indoor, Battery - 2nd Generation - 6 Pack, White</t>
  </si>
  <si>
    <t>ASURION 2 Year Lawn &amp; Garden Extended Protection Plan ($150 - $174.99)</t>
  </si>
  <si>
    <t>Panasonic LUMIX ZS99 Point and Shoot Camera, Compact Camera for Travel with 30x Zoom with 24-720mm Zoom Lens, and 4K Video/Photo, Great for Travel and Concerts, DC-ZS99</t>
  </si>
  <si>
    <t>HP DesignJet T210 Large Format 24-inch Plotter Printer, with Modern Compact Design (8AG32D) - New Model</t>
  </si>
  <si>
    <t>NIkon COOLPIX P950 Superzoom Digital Camera | 83x Optical Zoom with Image Stabilization 16 MP 4K Ultra HD Video Wi-Fi Connectivity RAW Format and Rotating LCD Screen (Black)</t>
  </si>
  <si>
    <t>Texas Instruments TI-30XS MultiView Teacher Kit Pack, Yellow</t>
  </si>
  <si>
    <t>Dell Universal Dock - D6000S, Equipped with USB-C/USB-A PowerShare Options, Connect Upto Three 4K Displays, LED Indicator, Black</t>
  </si>
  <si>
    <t>GoPro HERO13 (Hero 13) Black - Waterproof Action Camera with 5.3K Ultra HD Video, 27MP Photos, Live Streaming, Webcam, Stabilization + 128GB Card, 50 Piece Accessory Kit - Bundle</t>
  </si>
  <si>
    <t>Lenovo ThinkPad E14 Gen 6 Business Laptop (14" FHD+ Anti-Glare, AMD Ryzen 5 7535U, 16GB DDR5 RAM, 512GB SSD, 6-Core (Beats Intel i7-1355U)), Fingerprint, Backlit KB, 1080p Webcam, Wi-Fi 6, Win 11 Pro</t>
  </si>
  <si>
    <t>MSI MAG B850 Tomahawk MAX WiFi Motherboard, ATX - Supports AMD Ryzen 9000/8000 / 7000 Processors, AM5-80A SPS VRM, DDR5 Memory Boost 8400+ MT/s (OC), PCIe 5.0 x16, M.2 Gen5, Wi-Fi 7, 5G LAN</t>
  </si>
  <si>
    <t>SanDisk 4TB Extreme PRO Portable SSD with USB4, Up to 3800 MB/s Read and 3700MB/s Write, USB-C, USB 3.2, Backwards Compatible, IP65 Water and Dust Resistance - SDSSDE82-4T00-G25</t>
  </si>
  <si>
    <t>NETGEAR Orbi 870 Series Tri-Band WiFi 7 Mesh System (RBE873) - Router + 2 Satellite Extenders, Security Features, Up to 21 Gbps, Covers Up to 9,000 Sq. Ft., 150 Devices, 10 Gig Internet Port, BE21000</t>
  </si>
  <si>
    <t>HP Color LaserJet Pro 4201dw Wireless Color Laser Printer, Best-for-Office (4RA86F)</t>
  </si>
  <si>
    <t>Canon RF35mm F1.8 is Macro STM Lens, Black</t>
  </si>
  <si>
    <t>ASUS VA24DQ 23.8” Monitor, 1080P Full HD, 75Hz, IPS, Adaptive-Sync/FreeSync, Eye Care, HDMI DisplayPort VGA, Frameless, VESA Wall Mountable ,BLACK</t>
  </si>
  <si>
    <t>Microsoft Surface Dock 2</t>
  </si>
  <si>
    <t>Epson EcoTank Pro ET-5800 Wireless Color All-in-One Supertank Printer with Scanner, Copier, Fax and Ethernet, White</t>
  </si>
  <si>
    <t>ESR Qi2 3 in 1 Wireless Charging Station, [Certified] Apple Watch Charger &amp; 15W Qi2 MagSafe Charger Stand for iPhone, Wireless Charger for Multiple Devices iPhone 16/15/14/13&amp;Watch&amp;AirPods,Black</t>
  </si>
  <si>
    <t>JBL Boombox 3 - Portable Bluetooth Speaker - Squad (Renewed)</t>
  </si>
  <si>
    <t>HP 2025 Elite 805 Mini PC Desktop Computer, AMD Ryzen 5 (Beat i7-11700T), Ultra-Quiet Design, 32GB RAM, 1TB PCIe SSD, Dual 4K Display Support, USB-C, Wi-Fi 6, Keyboard &amp; Mouse, Windows 11 Pro</t>
  </si>
  <si>
    <t>Apple iPhone 16, US Version, 128GB, Black for T-Mobile (Renewed)</t>
  </si>
  <si>
    <t>ASURION 3 Year Desktop Protection Plan ($500 - $599.99)</t>
  </si>
  <si>
    <t>Samsung 30” - 100” The Freestyle 2nd Gen with Gaming Hub Smart Portable Projector, FHD, HDR, Big Screen Home Theater Experience, 360 Sound, SP-LFF3CLAXXZA, 2023 Model</t>
  </si>
  <si>
    <t>Lenovo ThinkVision T24i-30 24" Class Full HD LED Monitor - 16:9 - Raven Black</t>
  </si>
  <si>
    <t>ASURION 2 Year Camera Protection Plan ($50 - $59.99)</t>
  </si>
  <si>
    <t>Sony 50-Inch Class 4K Ultra HD BRAVIA 3 LED Smart TV with Google TV, Dolby Vision HDR, and Exclusive Features for PlayStation®5 (K-50S30)</t>
  </si>
  <si>
    <t>Synology 4-Bay DiskStation DS925+ (Diskless)</t>
  </si>
  <si>
    <t>Dell 24 All-in-One Desktop ec24250-23.8-inch FHD Touch Display, Intel Core 5 Processor 120U, Intel Graphics, 16GB DDR5 RAM, 512GB SSD, Windows 11 Home, Onsite Service+6 Months Retail Migrate - White</t>
  </si>
  <si>
    <t>Tamron 70-300mm F/4.5-6.3 Di III RXD for Sony Mirrorless Full Frame/APS-C E-Mount (Tamron 6 Year Limited USA Warranty), Black</t>
  </si>
  <si>
    <t>HP 15.6" FHD Business &amp; Student Laptop Computer, 32GB RAM 1TB SSD, 10-Core Intel Core i5, Windows 11 Pro Laptop with Microsoft Office Home &amp; Business Included, PLUSERA Earphones, Silver</t>
  </si>
  <si>
    <t>ASURION 2 Year Tablet Accident Protection Plan ($70 - $79.99)</t>
  </si>
  <si>
    <t>HP Victus 15.6 inch FHD 144Hz Gaming Laptop Intel Core i5-13420H NVIDIA GeForce RTX 4050 6GB - 16GB DDR4 512GB SSD Mica Silver (2024)</t>
  </si>
  <si>
    <t>Dell 24 P2424HT 23.8" Multi-Touch Monitor</t>
  </si>
  <si>
    <t>Panasonic LUMIX FZ80D Point and Shoot Digital Camera 4K Photo/Video Recording with Power Optical Image Stabilizer, Vlogging Camera with 60X Optical Zoom &amp; 20-1200mm Wide-Angle Lens - DC-FZ80D</t>
  </si>
  <si>
    <t>ZEBRA ZD421 Direct Thermal Desktop Printer 203 dpi Print Width 4-inch Wired USB and Ethernet Connectivity ZD4A042-D01E00EZ, No Thermal Ribbon Required</t>
  </si>
  <si>
    <t>Godox AD200 Pro II Godox AD200Pro II Godox AD200ProII, One-Tap Sync with X3, Optimized Flash Heads, BiColor LED Modelling Led, Color Group Indicator, Adjustable from 1/512 to Full Power (1/1) with 0.1</t>
  </si>
  <si>
    <t>ASUS TUF Gaming 27" 1080P Monitor - Full HD, 165Hz (Supports 144Hz), 1ms, Extreme Low Motion Blur, FreeSync Premium, Shadow Boost, Eye Care, HDMI, DisplayPort, Tilt Adjustable - VG277Q1A,Black</t>
  </si>
  <si>
    <t>Silhouette Cameo 5 12 inch Vinyl Cutting Machine with Studio Software, Electric Tool and ES Mat Compatible, SNA and IPT, 50 db, White Edition</t>
  </si>
  <si>
    <t>ASURION 2 Year Laptop Protection Plan ($1250 - $1499.99)</t>
  </si>
  <si>
    <t>Tamron 28-200 F/2.8-5.6 Di III RXD for Sony Mirrorless Full Frame/APS-C E-Mount, Model Number: AFA071S700, Black</t>
  </si>
  <si>
    <t>Lenovo 2024 IdeaPad 1 Gen 7 Laptop, 15.6" FHD Touchscreen, Intel Core i3-1215U, 16GB RAM, 512GB SSD, SD Card Reader, HDMI, Webcam, Wi-Fi 6, Windows 11 Home, Grey</t>
  </si>
  <si>
    <t>Microsoft Surface Pro 7 256GB i7 16GB RAM Windows 10 Pro (Wi-Fi, 1.3GHz Quad-Core i7 up to 3.9GHz, 12.3 Inch Touchscreen) Matte Black PVT-00015 (Renewed)</t>
  </si>
  <si>
    <t>Apple AirPods Pro 2nd Generation with Wireless MagSafe Charging Case (USB-C) with Apple 1 Year Limited Warranty (Wireless Charger)</t>
  </si>
  <si>
    <t>Uniden R4W (New Model) Extreme Long-Range Laser/Radar Detector, Record Shattering Performance, 360° Awareness, Built-in GPS, Wi-Fi, Bluetooth, Voice Alerts, Red Light &amp; Speed Cameras, R/TACH App</t>
  </si>
  <si>
    <t>Simrad GO Chartplotter and Fish Finder, with Transducer and Radar Options, Preloaded C-MAP Discover Chart Card</t>
  </si>
  <si>
    <t>ASUS ROG RYUJIN III 360 ARGB EXTREME all-in-one AIO CPU liquid cooler, AMD Ryzen 9000 &amp; Intel® Core™ Ultra Ready, Asetek Gen8 V2 pump; high airflow static pressure magnetic fans; customizable 3.5" LCD</t>
  </si>
  <si>
    <t>HP Flagship 14" Laptop with 1 Year Office 365 | 16GB RAM | 1.28TB Storage(128GB EMMC &amp; 160GB Docking Station &amp; 1TB Cloud Storage) | Intel 4-Core Processor | Webcam| Silver | Windows 11</t>
  </si>
  <si>
    <t>Jabra Evolve2 65 Flex Wireless Stereo Headset - Bluetooth, Noise-Cancelling ClearVoice Technology &amp; Hybrid ANC - Certified for Microsoft Teams - Black</t>
  </si>
  <si>
    <t>Samsung 32-Inch Class QLED Q8F 4K UHD Smart TV (2025 Model) Q4 AI Processor, 100% Color Volume with Quantum Dot, AirSlim Design, Endless Free Content, Samsung Vision AI, Alexa Built-in</t>
  </si>
  <si>
    <t>ASURION 4 Year Office Equipment Protection Plan ($500 - $599.99)</t>
  </si>
  <si>
    <t>SimpliSafe 10 Piece Wireless Home Security System with Outdoor Camera- Optional 24/7 Professional Monitoring - No Contract - Compatible with Alexa and Google Assistant</t>
  </si>
  <si>
    <t>Sony PS-LX310BT Belt Drive Turntable: Fully Automatic Wireless Vinyl Record Player with Bluetooth and USB Output Black</t>
  </si>
  <si>
    <t>Canon Megatank GX4020 All-in-One Wireless Supertank Printer with Print, Copy, Scan and Fax | Auto Document Feeder | Mobile Printing | 2.7" LCD Touch Screen</t>
  </si>
  <si>
    <t>Brother HL-L5210DWT Business Monochrome Laser Printer with Dual Trays, Wireless and Gigabit Ethernet Networking, Duplex Printing, Large Paper Capacity, and Mobile Printing, White</t>
  </si>
  <si>
    <t>Wacom Cintiq 16 Drawing Tablet with Screen, 15.4" Full HD Display Graphic Arts Tablet Includes Pro Pen 2 w/ Tilt Response, Graphic Design Animation Display Pad for Mac, PC</t>
  </si>
  <si>
    <t>Canon RF16mm F2.8 STM Lens, Ultra Wide-Angle, Fixed Focal Length Prime Lens, Compatible with EOS R Series Mirrorless Cameras, Black</t>
  </si>
  <si>
    <t>Amazon Basics Wired Computer Keyboard &amp; Mouse, 10-Pack, Black</t>
  </si>
  <si>
    <t>Garmin GPSMAP 67i Rugged GPS Handheld with inReach® Satellite Technology, Two-Way Messaging, Interactive SOS, Mapping</t>
  </si>
  <si>
    <t>Samsung Galaxy Watch Ultra (2024) 47mm LTE AI Smartwatch w/Energy Score, Wellness Tips, Heart Rate Tracking, Sleep Monitor, Fitness Tracker, GPS, Titanium White [US Version, 1Yr Manufacturer Warranty]</t>
  </si>
  <si>
    <t>ASURION 4 Year Housewares Protection Plan ($175 - $199.99)</t>
  </si>
  <si>
    <t>Jabra Engage 65 SE (Second Edition) Wireless Headset, Single-Ear – Telephone Headset with Industry-Leading Wireless Performance, Advanced Noise-Cancelling Microphone, All Day Battery Life - Black</t>
  </si>
  <si>
    <t>Brother Genuine TN433C, TN433M, TN433Y High Yield 3-Color Toner Cartridge Set, Cyan Magenta &amp; Yellow, TN433</t>
  </si>
  <si>
    <t>Corsair K100 RGB Optical-Mechanical Wired Gaming Keyboard - OPX Switches - PBT Double-Shot Keycaps - Elgato Stream Deck and iCUE Compatible - QWERTY NA Layout - Black</t>
  </si>
  <si>
    <t>Intel Core i5-12400 Desktop Processor 18M Cache, up to 4.40 GHz</t>
  </si>
  <si>
    <t>Dell Inspiron 3520 15.6" FHD Laptop, Intel Core i7-1255U Processor, 32GB RAM, 1TB SSD, Webcam, HDMI, SD-Card Slot, Wi-Fi 6, Windows 11 Home, Black</t>
  </si>
  <si>
    <t>Uniden SDS100 True I/Q Digital Handheld Scanner, Designed for Improved Digital Performance in Weak-Signal and Simulcast Areas, Rugged / Weather Resistant JIS 4 Construction</t>
  </si>
  <si>
    <t>Dell Latitude 5420 14" FHD Business Laptop Computer, Intel Quad-Core i5-1145G7, 16GB DDR4 RAM, 256GB SSD, Camera, HDMI, Windows 11 Pro (Renewed)</t>
  </si>
  <si>
    <t>ASRock Phantom Gaming X870E Nova WiFi Socket AM5 AMD Ryzen X870 DDR5 DIMMs 8200 MHz 256 GB ATX Motherboard USB4</t>
  </si>
  <si>
    <t>Garmin® Forerunner® 570, 42mm, Advanced GPS Running and Triathlon Smartwatch, AMOLED Display, Training and Recovery Features, Cloud Blue Aluminum with Translucent Whitestone/Cloud Blue Band</t>
  </si>
  <si>
    <t>Lenovo ThinkCentre M910Q Tiny Desktop Computer, Intel Core i7-6700T Upto 3.6GHz, 32GB RAM, 1TB NVMe SSD, 4K 3-Monitor Support DisplayPort, HDMI, AC Wi-Fi, Bluetooth - Windows 10 Pro (Renewed)</t>
  </si>
  <si>
    <t>Turtle Beach VelocityOne Flight Universal Control System - Xbox Series X &amp; Xbox Series S, Xbox One &amp; Windows 10 &amp; 11 PCs with Yoke Handle, Throttle Quadrant, Trim Wheel &amp; Rudder Controls</t>
  </si>
  <si>
    <t>Intel® Core™ i5-14600KF New Gaming Desktop Processor 14 cores (6 P-cores + 8 E-cores) - Unlocked</t>
  </si>
  <si>
    <t>ASURION 2 Year Lawn &amp; Garden Extended Protection Plan ($60 - $69.99)</t>
  </si>
  <si>
    <t>Acer Nitro 27” 4K UHD 3840 x 2160 Gaming IPS Monitor | AMD FreeSync Premium | Up to 160Hz Refresh Rate with DFR to FHD 320Hz| Up to 0.5ms | 1 x Display Port 1.4 &amp; 2 x HDMI 2.1 Ports | VG270K V4bmiipx</t>
  </si>
  <si>
    <t>acer 2024 Chromebook Plus 514 Touchscreen Laptop, Intel 8-Core i3-N305, 8GB LPDDR5, 512GB SSD, 14" FHD IPS Touch Display, Wi-Fi 6E, FHD 1080P Webcam, SD Card Reader, Chrome OS, Cefesfy Design Mouse</t>
  </si>
  <si>
    <t>HP 80A Black Toner Cartridges for HP Printers (2-pack) | Works with Printer Series: LaserJet Pro 400 M401, LaserJet Pro 400 MFP M425 | CF280AD1</t>
  </si>
  <si>
    <t>Samsung 32-Inch Class QLED 4K Q60D Series Quantum HDR Smart TV w/Object Tracking Sound Lite, Motion Xcelerator, Slim Design, Gaming Hub, Alexa Built-in (QN32Q60D, 2024 Model)</t>
  </si>
  <si>
    <t>DJI RS 4 Pro, 3-Axis Gimbal stabilizer for Camera for DSLR &amp; Cinema Camera Stabilizer Canon/Sony/Panasonic/Nikon/Fujifilm, 2nd-Gen Native Vertical Shooting, 4.5kg (10lbs) Payload, Camera Gimbal</t>
  </si>
  <si>
    <t>GoPro HERO13 Black Creator Edition - Includes HERO13 Black, Volta (Battery Grip, Tripod, Remote), Media Mod, Light Mod, Enduro Battery, Magnetic Latch Mount and Carrying Case</t>
  </si>
  <si>
    <t>Motorola PMMN4025 Original PMMN4025AL Remote Speaker Microphone</t>
  </si>
  <si>
    <t>HP EliteDesk 800 G4 Mini Tiny Business PC, Intel Hexa-Core i5-8500T up to 3.5GHz, 16GB DDR4 RAM, 256GB NVMe SSD, Dual Monitor Support, WiFi, Bluetooth, HDMI, DisplayPort, Win11 Pro 64-bit (Renewed)</t>
  </si>
  <si>
    <t>SAMSUNG 12.2" FHD 2-in-1 Touchscreen Chromebook Plus Laptop for Business&amp;Students, Intel Dual-Core, 4GB RAM, 224GB Storage(64GB eMMC+160GB Docking Station Set), Stylus Pen, Wireless Mouse, Silver</t>
  </si>
  <si>
    <t>WAVLINK Universal USB C Laptop Docking Station Dual Monitors 5K/4K@60Hz with 65W Host Charging for Thunderbolt 4/3, USB-C Windows, Mac, Chrome, Ubuntu 20.04,22.04(2HDMI, 2DP, 6USB 3.0, 1Gbps Ethernet</t>
  </si>
  <si>
    <t>ASURION 4 Year Office Equipment Protection Plan ($80 - $89.99)</t>
  </si>
  <si>
    <t>Western Digital 8TB WD Purple Surveillance Internal Hard Drive HDD - SATA 6 Gb/s, 128 MB Cache, 3.5" - WD84PURZ</t>
  </si>
  <si>
    <t>JBL Charge 5 Waterproof Portable Speaker with Built-in Powerbank and gSport Carbon Fiber Case (Black)</t>
  </si>
  <si>
    <t>NETGEAR Orbi Modem Router Combo (CBK752) DOCSIS 3.1 Cable Modem and WiFi 6 Mesh Router – AX4200 4.2Gbps Wireless Speed – Compatible with Xfinity, Spectrum, Cox, More – Covers 5,000 sq.ft., 40 Devices</t>
  </si>
  <si>
    <t>KODAK REELS 8mm &amp; Super 8 Films Digitizer Converter with Big 5” Screen, Scanner Converts Film Frame by Frame to Digital MP4 Files for Viewing, Sharing &amp; Saving on SD Card for 3” 4” 5” 7” and 9” Reels</t>
  </si>
  <si>
    <t>Dell Optiplex 7050 SFF Desktop PC Intel i7-7700 4-Cores 3.60GHz 32GB DDR4 1TB SSD WiFi BT HDMI Duel Monitor Support Windows 10 Pro Excellent Condition(Renewed)</t>
  </si>
  <si>
    <t>Texas Instruments TI-84 Plus CE Blueberry Graphing Calculator</t>
  </si>
  <si>
    <t>Nikon MONARCH M7 10x42 Binocular |Waterproof, fogproof, rubber-armored Full-Size Binocular with ED glass &amp; wide field of view, oil &amp; water repellent coating &amp; locking diopter |Official Nikon USA Model</t>
  </si>
  <si>
    <t>Sigma 30mm F1.4 Contemporary DC DN Lens for Sony E Black</t>
  </si>
  <si>
    <t>Brother FAX-2840 High Speed Mono Laser Fax Machine, Dark/Light Gray - FAX2840, 17.750x18.125x16.625</t>
  </si>
  <si>
    <t>Dell OptiPlex 3050 Micro Form Factor Desktop Computer, Intel Core i5-7500T, 8GB DDR4, 256GB Solid State Drive, Windows 11 Pro (Renewed)</t>
  </si>
  <si>
    <t>FiiO M21 Android 13 Portable Music Player MP3 Walkman Snapdragon 680 4* CS43198 DAC Chips Hi-Res Audio DSD Bluetooth LDAC (Blue-Black)</t>
  </si>
  <si>
    <t>HP 655A Black Toner Cartridge | Works with HP Color LaserJet Enterprise M652, M653, HP Color LaserJet Enterprise MFP M681, M682 Series | CF450A</t>
  </si>
  <si>
    <t>Yealink BH70 Dual Wireless Headset with Mic for Work, Bluetooth Headphone with Teams Certification, up to 35h Talk Time, 147g All-Day Wearing Comfort, Include USB-C/A Dongle &amp; BHC70 Charging Stand</t>
  </si>
  <si>
    <t>HP 508A Cyan Toner Cartridge | Works with HP Color LaserJet Enterprise M552, M553, HP Color LaserJet Enterprise MFP M577 Series | CF361A</t>
  </si>
  <si>
    <t>Lenovo Tab One - Lightweight Tablet - up to 12.5 Hours of YouTube Streaming - 8.7" HD Display - 4 GB Memory - 64 GB Storage - MediaTek Helio G85 - Includes Folio Case</t>
  </si>
  <si>
    <t>Garmin 010-01872-00 STRIKER 5CV with Transducer, 5" GPS Fishfinder, CHIRP Traditional And ClearVu Scanning Sonar Transducer, Built In Quickdraw Contours Mapping Software</t>
  </si>
  <si>
    <t>HP Thunderbolt Dock 120W G4 (4J0A2AA) Docking Station Port Replicator</t>
  </si>
  <si>
    <t>Insta360 Link - PTZ 4K Webcam with 1/2" Sensor, AI Tracking, Gesture Control, HDR, Noise-Canceling Microphones, Specialized Modes, Webcam for Laptop, Video Camera for Video Calls, Live Streaming</t>
  </si>
  <si>
    <t>Panasonic WhisperCeiling Bathroom Exhaust Fan, 290 CFM, FV-30VQ3 B00084ZQA2 Panasonic Installation Kit for In-line Fans &amp; ERVs, 6" Duct Single Inlet with Grille, FV-NLF06G</t>
  </si>
  <si>
    <t>be quiet! Dark Power 13 1000W Quiet Performance Power Supply | 80 Plus Titanium Efficiency | ATX 3.1| PCIe 5 | Modular | BN661</t>
  </si>
  <si>
    <t>HP 15.6" FHD Laptop Computer Student and Business • The New Version for Everyday Use • AMD Dual-Core Silver CPU • 8GB RAM • 256GB PCIe • Type-C • RJ-45 • 1Yr Office 365 • Windows 11 Pro</t>
  </si>
  <si>
    <t>Dell UltraSharp U2723QE - LED Monitor - 27-3840 x 2160 4K :: U2723QE (Monitors &gt; Monitors)</t>
  </si>
  <si>
    <t>ASURION 2 Year Ride-On Protection Plan ($300 - $349.99)</t>
  </si>
  <si>
    <t>Renogy Inverter P2 3000W Pure Sine Wave Inverter 12V DC to 120V AC Converter for Home, RV, Truck, Camping, Trailer, with Wired Remote Controller, Support Li, AGM, SLD, GEL, FLD Batteries</t>
  </si>
  <si>
    <t>Pioneer DMH-WT3800NEX 9" Capacitive Touchscreen, Floating Display – Wireless &amp; Wired Apple CarPlay &amp; Android Auto, Amazon Alexa, Bluetooth, FLAC, Backup Camera, HD Radio</t>
  </si>
  <si>
    <t>HP 15.6" Portable Laptop (Include 1 Year Microsoft 365), HD Display, Intel Quad-Core N200 Processor, 16GB RAM, 128GB Storage, Wi-Fi 6, Webcam, HDMI, Numeric Keypad, Windows 11 Home, Silver</t>
  </si>
  <si>
    <t>OnePlus 10 Pro | 5G Android Smartphone | 8GB+128GB | U.S. Unlocked | Triple Camera co-Developed with Hasselblad | Volcanic Black</t>
  </si>
  <si>
    <t>Garmin 7-Inch RV 795 GPS Navigator</t>
  </si>
  <si>
    <t>Garmin inReach® Messenger Handheld Satellite Communicator, Global Two-Way Messaging</t>
  </si>
  <si>
    <t>Retevis RT68 Walkie Talkies with Earpiece,2 Way Radios Long Range,Heavy Duty Walkie Talkies for Adults,Rechargeable with USB Charger Base, for Restaurant School Manufacturing Healthcare(20 Pack)</t>
  </si>
  <si>
    <t>Arlo Go 2 1080p Security Camera | Outdoor | No Power or WiFi Required, Wireless Cellular, Color Night Vision, Rechargable Battery, 2-Way Audio, LTE or Wi-Fi Capability, SIM Card Sold Separately</t>
  </si>
  <si>
    <t>Fujifilm Instax Mini Instant Camera Film: 100 Shoots Total, (10 Sheets x 10) Bundle with Slinger 64 Pocket Mini Instax Photo Album, Black - Capture Memories Anytime, Anywhere</t>
  </si>
  <si>
    <t>DYMO Label Printer LabelWriter 450 Direct Thermal Label Printer, Great for Labeling, Filing, Shipping, Mailing, Barcodes and More</t>
  </si>
  <si>
    <t>MSI PRO H610M-G DDR4 Motherboard (12th/13th/14th Gen Intel Core, LGA 1700 Socket, DDR4, PCIe 4, SATA 6Gb/s, 1Gbps LAN, M.2 Slots, USB 3.2, mATX)</t>
  </si>
  <si>
    <t>Microsoft Surface Laptop 3 13.5in Touchscreen Intel i7 16GB RAM 256GB Windows 10 (Renewed)</t>
  </si>
  <si>
    <t>MSI Gaming RTX 5070 Ti 16G Vanguard SOC Graphics Card (16GB GDDR7, 256-bit, Extreme Performance: 2602 MHz, DisplayPort x3 2.1a, HDMI 2.1b, NVIDIA Blackwell Architecture)</t>
  </si>
  <si>
    <t>Dell Windows 11 Desktop Computer OptiPlex 5060 | Intel Core i5-8500 Six Core (4.3GHz Turbo) | 16GB DDR4 RAM | 500GB SSD Solid State + 1TB HDD | WiFi + Bluetooth | Home or Office PC (Renewed)</t>
  </si>
  <si>
    <t>ASURION 2 Year Sporting Goods Protection Plan ($400 - $449.99)</t>
  </si>
  <si>
    <t>Sony 65 Inch 4K Ultra HD TV A95K Series: BRAVIA XR QD-OLED Smart Google TV with Dolby Vision HDR, Exclusive Features for Playstation 5 Black (2022)</t>
  </si>
  <si>
    <t>Lenovo Tab Plus - 2024 - Premium Entertainment Tablet - 8 JBL® Speakers - 11.5" 2K LCD Touch Display - 8GB Memory - 256GB Storage - MediaTek™ Helio G99 Luna Grey</t>
  </si>
  <si>
    <t>MSI GeForce RTX 3060 Ventus 2X 12G OC, Gaming Graphics Card - NVIDIA RTX 3060, 12GB GDDR6 Memory, 192-bit, 15 Gbps</t>
  </si>
  <si>
    <t>TP-Link Omada WiFi 7 Wireless Access Point | BE11000 Tri-Band | 10G Port | Business Standard | Seamless Roaming | Easy Setup | 5-Year Warranty | Omada Remote Managed(EAP773)</t>
  </si>
  <si>
    <t>Audio-Technica AT-LP120XUSB-BK Direct-Drive Turntable (Analog &amp; USB), Fully Manual, Hi-Fi, 3 Speed, Convert Vinyl to Digital, Anti-Skate and Variable Pitch Control Black</t>
  </si>
  <si>
    <t>Sennheiser HD 490 PRO Open-Back Professional Headphone</t>
  </si>
  <si>
    <t>Taramps Smart 3 Bass 0.5 to 2 Ohms 3000 Watts RMS, Multi Impedance, 1 Channel, Amplifier for Car Subwoofer, High Power Class D, Mosfet Monoblock Digital, Smart 3k, Crossover Low Pass with Bass Boost</t>
  </si>
  <si>
    <t>CORSAIR iCUE Link Titan 360 RX RGB Liquid CPU Cooler – 360mm AIO – Low-Noise – FlowDrive Cooling Engine – Intel LGA 1851/1700, AMD AM5/AM4 – 3X RX120 RGB Fans – iCUE Link System Hub Included – Black</t>
  </si>
  <si>
    <t>Celestron 22452 StarSense Explore LT114AZ Newtonian Reflector Telescope with Smartphone App-Enabled Technology - Includes Two Eyepieces, 2X Barlow Lens, Phone Dock and Height-Adjustable Tripod, Black</t>
  </si>
  <si>
    <t>Rode VideoMic Pro+ Camera-Mount Shotgun Microphone,Black</t>
  </si>
  <si>
    <t>HP 711 Ink Bundle - Black, Cyan, Magenta &amp; Yellow 38ml/29ml Cartridges</t>
  </si>
  <si>
    <t>Lenovo Tab P12 - Expansive Touchscreen Tablet - 12.7" 3K Display - 13MP Camera - 8GB Memory - 128GB UFS Storage - Android 13 - Dolby Atmos - Quad JBL Speakers - Pen Included</t>
  </si>
  <si>
    <t>MSI MAG B850M Mortar WiFi Motherboard, mATX - Supports AMD Ryzen 9000/8000 / 7000 Processors, AM5-60A SPS VRM, DDR5 Memory Boost 8200+ MT/s (OC), PCIe 5.0 x16, M.2 Gen5, Wi-Fi 7, 5G LAN</t>
  </si>
  <si>
    <t>LENOVO IdeaPad 1 Laptop, 15.6” FHD Display, Intel Celeron N4500 Processor, 20GB RAM, 1TB SSD, SD Card Reader, Numeric Keypad, HDMI, Wi-Fi 6, Windows 11 Home, 1 Year Office 365, Grey</t>
  </si>
  <si>
    <t>Corsair HX1000i Fully Modular Ultra-Low Noise ATX Power Supply - ATX 3.1 &amp; PCIe 5.1 Compliant - Fluid Dynamic Bearing Fan - CORSAIR iCUE Software Compatible - 80 Plus Platinum Efficiency - Black</t>
  </si>
  <si>
    <t>StarTech.com 4-Post 42U Mobile Open Frame Server Rack, 19in Network Rack with Wheels, Rolling Rack for Computer/AV/Data/IT Equipment - Casters, Leveling Feet or Floor Mounting (4POSTRACK42)</t>
  </si>
  <si>
    <t>GIGABYTE GeForce RTX 5060 AERO OC 8G Graphics Card, 8GB 128-bit GDDR7, PCIe 5.0, WINDFORCE Cooling System, GV-N5060AERO OC-8GD Video Card</t>
  </si>
  <si>
    <t>Pelican Vault V525 Hard Case (Camera, Pistol, Gear, Equipment)</t>
  </si>
  <si>
    <t>Canon imageCLASS MF462dw - Monochrome, Duplex Wireless Laser Printer, All-in-One with Scanner, Copier, Fax, Home or Office, Auto Document Feeder, Mobile Ready, 3 Year Limited Warranty, 37 PPM, White</t>
  </si>
  <si>
    <t>HP 950XL/951XL Black/Cyan/Magenta/Yellow High Yield Ink Cartridge, 5/Pack (F6V12FN#140)</t>
  </si>
  <si>
    <t>ASURION 2 Year Wearables Protection Plan ($40 - $49.99)</t>
  </si>
  <si>
    <t>8BitDo Ultimate 3-mode Wireless Controller for Xbox, Hall Effect Joysticks, Pro Back Buttons, Compatibility with Xbox Series X|S &amp; Xbox One, Apple, Windows PC &amp; Android - Rare 40th Anniversary Edition</t>
  </si>
  <si>
    <t>G.SKILL Trident Z5 Neo RGB Series (AMD Expo &amp; Intel XMP 3.0) DDR5 RAM 32GB (2x16GB) 6000MT/s CL36-36-36-96 1.35V Desktop Computer Memory UDIMM - Matte Black (F5-6000J3636F16GX2-TZ5NR)</t>
  </si>
  <si>
    <t>Apple 2020 MacBook Pro with 2.3 GHz Intel Core i7 (13-inch, 16GB RAM, 512GB SSD) Space Gray (Renewed)</t>
  </si>
  <si>
    <t>Sony TOUGH-G series SDXC UHS-II Card 128GB, V90, CL10, U3, Max R300MB/S, W299MB/S (SF-G128T/T1)</t>
  </si>
  <si>
    <t>HP 524sf Series 5 24" FHD 1920x1080 IPS Monitor, 100Hz, 99% sRGB, 1500:1, 5ms, Black/Silver (2024 Model)…</t>
  </si>
  <si>
    <t>ZOTAC Gaming GeForce RTX 5060 Ti 16GB AMP DLSS 4 16GB GDDR7 128-bit 28 Gbps PCIE 5.0 Gaming Graphics Card, IceStorm 2.0 Cooling, White LED Lighting, ZT-B50620F-10M</t>
  </si>
  <si>
    <t>ASURION 2 Year Wearables Protection Plan ($70 - $79.99)</t>
  </si>
  <si>
    <t>Uniden BCD325P2 Handheld TrunkTracker V Scanner. 25,000 Dynamically Allocated Channels. Close Call RF Capture Technology. Location-Based Scanning and S.A.M.E. Weather Alert. Compact Size.</t>
  </si>
  <si>
    <t>ASRock AMD Radeon RX 9070 XT Steel Legend 16GB White GPU 20Gbps GDDR6 256Bit (3rd Gen RT 2nd Gen AI Accelerators) PCIe5.0 800W 2x8-pin Triple Fan DP2.1a HDMI2.1b Graphics Card 2.9 Slot</t>
  </si>
  <si>
    <t>APC UPS 1500VA Battery Backup Surge Protector, BR1500G Backup Battery Power Supply with AVR</t>
  </si>
  <si>
    <t>Elgato 4K Pro, Internal Capture Card: 8K60 Passthrough/4K60 HDR10 with Ultra-Low Latency on PS5 Pro, Xbox Series S, Nintendo Switch 2, for Streaming &amp; Recording, Works with PC and Dual PC Setups</t>
  </si>
  <si>
    <t>Pelican Vault Long Cases - Hard Case For Camera, Rifle, Gear, Equipment</t>
  </si>
  <si>
    <t>Apple Watch Series 10 [GPS + Cellular, 46mm] - Jet Black Aluminum Case with Black Sport Band, S/M (Renewed)</t>
  </si>
  <si>
    <t>ASURION 2 Year Headphones Protection Plan ($60 - $69.99)</t>
  </si>
  <si>
    <t>Lenovo Ideapad 3 15.6" FHD Chromebook, Intel Celeron N4500, 4GB RAM, 352GB Storage (64GB SSD+288GB Docking Station Set), ‎Intel UHD Graphics, Full Size Keyboard, Chrome OS, Artic Gray</t>
  </si>
  <si>
    <t>Canon RF-S10-18mm F4.5-6.3 is STM Ultra-Wide-Angle Zoom Lens, Mirrorless, 4.0 Stops of Shake Reduction, Great for Vlogging &amp; Selfies, Compact &amp; Lightweight, for Video, Travel, Landscapes &amp; Interiors</t>
  </si>
  <si>
    <t>CORSAIR VIRTUOSO RGB WIRELESS XT Multiplatform Gaming Headset With Bluetooth - Dolby Atmos - Broadcast Quality Microphone - iCUE Compatible- PC, Mac, PS5, PS4, Nintendo Switch, Mobile - Black</t>
  </si>
  <si>
    <t>MSI Gaming RTX 5070 12G Vanguard SOC Graphics Card (12GB GDDR7, 192-bit, Extreme Performance: 2655 MHz, DisplayPort x3 2.1a, HDMI 2.1b, NVIDIA Blackwell Architecture)</t>
  </si>
  <si>
    <t>Garmin Drive 52, GPS Navigator with 5” Display, Simple On-Screen Menus and Easy-to-See Maps</t>
  </si>
  <si>
    <t>ASURION 2 Year Tablet Accident Protection Plan ($100 - $124.99)</t>
  </si>
  <si>
    <t>Blackmagic Micro Converter BiDirect SDI/HDMI 3G PSU (CONVBDC/SDI/HDMI03G/PS)</t>
  </si>
  <si>
    <t>Fellowes Laminator Venus 2 125, Rapid 30-60 Second Warm-up Laminating Machine, with Laminating Pouches Kit (5734801), Black, Silver, 5.1" x 21.3" x 8.2"</t>
  </si>
  <si>
    <t>Lenovo Laptop Charger 45W Watt USB Type C(USB-C) AC Power Adapter - Chromebook Duet 3 (11"")，Yoga 6 (13"" AMD) 2 in 1，100e (2nd Gen) (11.6"") Laptop, black, ADLX45YCC3G</t>
  </si>
  <si>
    <t>Corsair Dominator Titanium RGB DDR5 64GB (2x32GB) DDR5 6000MHz CL30 AMD Expo Intel XMP iCUE Compatible Computer Memory – Gray (CMP64GX5M2B6000Z30)</t>
  </si>
  <si>
    <t>Samsung 2024 Galaxy Tab A9+ 11” 128GB 5G | Android 13 WiFi Touchscreen International | Big Screen, Quad Speakers, Slim | Tablet Bundle - Hard Back Trifold Stand Case + 64GB SD Card (Grey) | MdTec</t>
  </si>
  <si>
    <t>ASURION 2 Year Backpack Protection Plan ($40 - $49.99)</t>
  </si>
  <si>
    <t>Sceptre 27-Inch FHD LED Gaming Monitor 75Hz 2X HDMI VGA Build-in Speakers, Ultra Slim Metal Black</t>
  </si>
  <si>
    <t>Dell Optiplex 3060 Micro PC, Intel Core i3-8100T, 16GB DDR4 RAM, 256GB NVMe SSD, Win11Pro (Renewed)</t>
  </si>
  <si>
    <t>ASURION 2 Year Ride-On Protection Plan ($150 - $174.99)</t>
  </si>
  <si>
    <t>ASURION 2 Year Laptop Protection Plan ($1500 - $1999.99)</t>
  </si>
  <si>
    <t>Xbox 360 250GB Slim Console - (Renewed)</t>
  </si>
  <si>
    <t>FEELWORLD 4K10X PTZ Camera 4K Resolution 10X USB HDMI for Video Conference Rooms Live Streaming Church Worship and Event with Zoom YouTube Teams OBS, AI Tracking Auto Focus POE Supported</t>
  </si>
  <si>
    <t>Sony UBP-X800M2 4K UHD Home Theater Streaming Blu-Ray Disc Player (UBPX800M2), Black</t>
  </si>
  <si>
    <t>SAMSUNG 30" - 100" The Freestyle FHD HDR Smart Portable Projector for Indoor and Outdoor Home Theater, Big Screen Experience with Premium 360 Sound w/ Alexa Built-In (SP-LSP3BLAXZA)</t>
  </si>
  <si>
    <t>Canon EF 75-300mm f/4-5.6 III Telephoto Zoom Lens for Canon SLR Cameras, 6473A003 (Renewed)</t>
  </si>
  <si>
    <t>ASURION 4 Year Office Equipment Protection Plan ($350 - $399.99)</t>
  </si>
  <si>
    <t>ASUS ZenScreen 15.6” 1080P Portable USB Monitor (MB16ACE) - Full HD (1920 x 1080), IPS, USB Type-C, Eye Care, Anti-Glare Surface, Lite Smart Case, External screen for laptop, 3-Year Warranty,Dark Gray</t>
  </si>
  <si>
    <t>Godox V1-C Flash Speedlite for Canon, 76Ws 2.4G X Wireless TTL 1/8000 HSS Speedlight, 1.5s Recycle, 480 Full Power Flashes with Rechargeable Battery</t>
  </si>
  <si>
    <t>Lenovo ThinkVision M15 15" FHD Mobile Monitor, Black</t>
  </si>
  <si>
    <t>ASUS BE24EQK 23.8” Business Monitor with 1080P Full HD IPS, Eye Care, DisplayPort HDMI, Frameless, Built-in Adjustable 2MP Webcam, Mic Array, Stereo speaker, Video Conference,BLACK</t>
  </si>
  <si>
    <t>HP 508A Yellow Toner Cartridge | Works with HP Color LaserJet Enterprise M552, M553, HP Color LaserJet Enterprise MFP M577 Series | CF362A</t>
  </si>
  <si>
    <t>Garmin Striker Vivid 4cv Bundle with Transducer and Protective Cover, 4-inch Color Fishfinder, Vivid Scanning Sonar Color Palettes 010-02550-00</t>
  </si>
  <si>
    <t>ASRock AMD Radeon RX 7700 XT Challenger 12GB GDDR6 192-bit 0dB Silent Cooling 7680 x 4320 DisplayPort HDMI LED Indicator 18Gbps Dual Fan Graphics Card</t>
  </si>
  <si>
    <t>ASUS ROG Delta II Wireless Gaming Headset (BT, ROG SpeedNova 2.4GHz, 3.5mm, 50mm Titanium-Plated Drivers, 10mm Super-Wideband Mic, 110HR Battery, DualFlow Audio, for PC, Switch, PS5, Xbox)- Black</t>
  </si>
  <si>
    <t>JBL Pulse 5 - Portable Bluetooth Speaker with Dazzling Lights Original Pro Sound, Black</t>
  </si>
  <si>
    <t>GIGABYTE X870I AORUS PRO ICE AMD AM5 LGA 1718 Motherboard, Mini-ITX, DDR5, 2X M.2, PCIe 5.0, USB-C, WIFI7, 2.5GbE LAN, EZ-Latch, 5-Year Warranty</t>
  </si>
  <si>
    <t>Jabra Evolve 40 Professional Wired Headset, Stereo, MS-Optimized – Telephone Headset for Greater Productivity, Superior Sound for Calls and Music, 3.5mm Jack/USB Connection, All-Day Comfort Design</t>
  </si>
  <si>
    <t>JBL Charge 6 - Portable Waterproof &amp; Drop-Proof Bluetooth Speaker, Bold Pro Sound with AI Sound Boost, 28Hrs of Playtime, Built-in powerbank &amp; Comes with a Sturdy/Removable Carrying Strap (Red)</t>
  </si>
  <si>
    <t>Nintendo of America Joy-Con™ (L)/(R) - Pastel Pink</t>
  </si>
  <si>
    <t>ASURION 2 Year Mobile Phone Accident Protection Plan ($150 - $174.99)</t>
  </si>
  <si>
    <t>G.SKILL Flare X5 Series DDR5 RAM (AMD Expo) 64GB (2x32GB) 6000MT/s CL30-40-40-96 1.40V Desktop Computer Memory U-DIMM - Matte Black (F5-6000J3040G32GX2-FX5)</t>
  </si>
  <si>
    <t>Garmin Varia™ RCT715, Bicycle Radar with Camera and Tail Light, Continuous Recording, Vehicle Detection</t>
  </si>
  <si>
    <t>Poly - Voyager 4320 UC Wireless Headset + Charge Stand (Plantronics) - Headphones with Boom Mic - Connect to PC/Mac via USB-A Bluetooth Adapter, Cell Phone via Bluetooth - Works with Teams, Zoom &amp;More</t>
  </si>
  <si>
    <t>ASURION 3 Year Electronics Protection Plan ($100 - $124.99)</t>
  </si>
  <si>
    <t>HP 14" HD Student Business Laptop, Intel Quad-Core N4120, 16GB RAM, 384GB Storage, (128GB eMMC+256GB SD Card), 1 Year Office 365, Slim Design, Webcam, HDMI, Bluetooth, WiFi, Win 11 S, Silver</t>
  </si>
  <si>
    <t>ASURION 4 Year Home Improvement Protection Plan ($175 - $199.99)</t>
  </si>
  <si>
    <t>HP 972X PageWide Ink Cartridge for HP Printers | High Yield Yellow | Works With Series: Pro 452, 477, 552dw, 577 | L0S04AN</t>
  </si>
  <si>
    <t>Arlo Pro 5S XL Spotlight Security Camera 2K HDR | Indoor/Outdoor | Band Wi-Fi Connects to Strongest Network | Longer Battery Life, 12X Zoom, Color Night Vision, 2-Way Audio - White, 3 Pack</t>
  </si>
  <si>
    <t>KODAK Mini Shot 3 Retro 4PASS 2-in-1 Instant Digital Camera and Photo Printer (3x3 inches) + 60 Sheets Cartridge Bundle, White</t>
  </si>
  <si>
    <t>Sennheiser Consumer Audio RS 175 RF Wireless Headphone System, Black</t>
  </si>
  <si>
    <t>Garmin eLog, Compliant Electronic Logging Device (ELD), No-Subscription Fees, FMCSA Compliant, Supports 9-pin J1939 and 6-pin J1708 Diagnostic Ports (010-01876-00)</t>
  </si>
  <si>
    <t>MSI Gaming RTX 3050 Ventus 2X 6G OC Graphics Card (NVIDIA RTX 3050, 96-Bit, Boost Clock: 1492 MHz, 6GB GDDR6 14 Gbps, HDMI/DP, Ampere Architecture)</t>
  </si>
  <si>
    <t>Dell Latitude 5400 14 inches 8th Gen Core i7-8665U 16GB RAM 512GB PCIe SSD FHD 1080P, FPR, Backlit Keyboard (Renewed)</t>
  </si>
  <si>
    <t>Arlo Ultra 2 Spotlight Camera 4K HDR (Camera only, SmartHub Sold Separately &amp; is Required to Operate | Wireless Home Security Camera | Color Night Vision, Motion Sensor, 180º View, 2-Way Audio, Black</t>
  </si>
  <si>
    <t>Cuisinart MSC-600 3-In-1 Cook Central 6-Quart Multi-Cooker: Slow Cooker, Brown/Saute, Steamer, Silver</t>
  </si>
  <si>
    <t>Asurion 2 Year Mobile Phone Accident Protection Plan ($175 -$199.99)</t>
  </si>
  <si>
    <t>ASUS ROG Strix B550-F Gaming WiFi II AMD Socket AM4 ATX DDR4 Motherboard</t>
  </si>
  <si>
    <t>Epson Expression Premium XP-7100 Wireless Color Photo Printer with ADF, Scanner and Copier, Black, Small</t>
  </si>
  <si>
    <t>Tripp Lite OMNI1500LCDT 1500VA UPS Battery Back Up AVR LCD Display 10 Outlets 120V 810W Tel &amp; Coax Protection USB, 3 Year Warranty &amp; $250,000 Insurance, Black</t>
  </si>
  <si>
    <t>beyerdynamic DT 900 PRO X Open-Back Studio Headphones with Stellar.45 Driver for Mixing and Mastering</t>
  </si>
  <si>
    <t>HP Thunderbolt Dock 280W G4 with Combo Cable</t>
  </si>
  <si>
    <t>Yealink T57W IP Phone, 16 VoIP Accounts. 7-Inch Adjustable Color Touch Screen. USB 2.0, 802.11ac Wi-Fi, Dual-Port Gigabit Ethernet, 802.3af PoE, Power Adapter Not Included (SIP-T57W)</t>
  </si>
  <si>
    <t>ASURION 2 Year Portable Electronic Accident Protection Plan ($250 - $299.99)</t>
  </si>
  <si>
    <t>Garmin DriveSmart 55 EX with Traffic, 5.5-inch Car GPS Navigator with Bright, Crisp High-Resolution Maps, Garmin Voice Assist, Smart Notifications and Hands-Free Calling</t>
  </si>
  <si>
    <t>Sony WH-1000XM5/B Wireless Industry Leading Noise Canceling Bluetooth Headphones (Renewed)</t>
  </si>
  <si>
    <t>Nintendo Switch Lite - Gray</t>
  </si>
  <si>
    <t>Kodak PIXPRO Friendly Zoom FZ55 Digital Camera (Red) Bundle with 32GB SD Card, Camera Case, and Battery Travel Charger (4 Items)</t>
  </si>
  <si>
    <t>G.SKILL Trident Z5 Neo RGB Series (AMD Expo) DDR5 RAM 64GB (2x32GB) 6000MT/s CL30-36-36-96 1.40V Desktop Computer Memory UDIMM - Matte White (F5-6000J3036G32GX2-TZ5NRW)</t>
  </si>
  <si>
    <t>Apple 2021 iPad Mini 6 (8.3 inch, Wi-Fi + Cellular, 64GB) Space Gray (Renewed)</t>
  </si>
  <si>
    <t>Apple MacBook Pro MGXA2LL/A 15-Inch Laptop with Retina Display (2.2 GHz Intel Core i7 Processor, 16GB RAM, 256GB SSD) (Renewed)</t>
  </si>
  <si>
    <t>Kensington Universal 3-in-1 Combination Laptop Lock, Computer Security Locking Cable - Resettable Version (K62316WW), Black</t>
  </si>
  <si>
    <t>SAMSUNG Galaxy Tab S10+ Book Cover Keyboard AI Key, Detachable Platform, PC-Like Experience, Adjustable Viewing Angles, Wireless Keyboard Sharing, US Version, Black</t>
  </si>
  <si>
    <t>Fusion MS-RA70 Stereo with 4x50W AM/FM/Bluetooth 2-Zone USB Wireless Control for Fusion Link App</t>
  </si>
  <si>
    <t>KICKER Speaker Package of 2 Items: CS Series Two 6.5" Coaxial Speakers 4-Ohm &amp; Two 4"x6" Coaxial Speakers 4-Ohm - 1x 46CSC654, 1x 46CSC464</t>
  </si>
  <si>
    <t>Zebra DS2278 Series Cordless Handheld Standard Range Area Imager Kit with Presentation Cradle and USB Kit, Black (DS2278-SR7U2100PRW)</t>
  </si>
  <si>
    <t>Dell Latitude Touch 3190 2-in-1 PC Intel Quad Core up to 2.4Ghz 4GB 64GB SSD 11.6inch HD Touch Gorilla Glass LED WiFi Cam HDMI W10 Pro (Renewed)</t>
  </si>
  <si>
    <t>Fellowes Mfg Co. 5015401 Powershred LX220 20 Manual Sheet Capacity Micro-Cut Shredder - Black</t>
  </si>
  <si>
    <t>Nintendo Switch Game Console - Black (HAC-001(-01) w/ OEM Blue/Red Joycon (Renewed)</t>
  </si>
  <si>
    <t>CORSAIR Vengeance SODIMM DDR5 RAM 64GB (2x32GB) 5600MHz CL48 Intel XMP iCUE Compatible Computer Memory - Black (CMSX64GX5M2A5600C48)</t>
  </si>
  <si>
    <t>ASURION 3 Year Electronics Protection Plan (for Products with a Price Between $70 - $79.99)</t>
  </si>
  <si>
    <t>Lenovo Tab Plus - 2024 - Premium Entertainment Tablet - 8 JBL® Speakers - 11.5" 2K LCD Touch Display - 8GB Memory - 128GB Storage - MediaTek™ Helio G99 - Folio Case Included - Luna Grey</t>
  </si>
  <si>
    <t>Audio-Technica ATH-M50xBT2 Wireless Over-Ear Headphones, Black</t>
  </si>
  <si>
    <t>Corsair K70 PRO TKL RGB Tenkeyless Mechanical Wired Gaming Keyboard – Pre-Lubed Hall Effect MGX Hyperdrive Adjustable Switches, Simultaneous SOCD and Rapid Trigger, ABS Double-Shot, QWERTY NA – Black</t>
  </si>
  <si>
    <t>G.SKILL Trident Z Neo Series DDR4 RAM (XMP) 64GB (2x32GB) 3600MT/s CL16-22-22-42 1.45V Intel AMD Desktop Computer Memory U-DIMM (F4-3600C16D-64GTZN)</t>
  </si>
  <si>
    <t>ASURION 2 Year Wearables Protection Plan ($30 - $39.99)</t>
  </si>
  <si>
    <t>Jabra Evolve 65 TE (Third Edition) Wireless Single-Ear Headphones - Noise-Canceling Mic, 16 hrs Battery Life, Dual Connectivity, Works with All UC Platforms Like Zoom &amp; Google Meet, Black</t>
  </si>
  <si>
    <t>Brother Genuine TN221BK, TN221C, TN221M, TN221Y 4-Color Toner Cartridge Set, Black Cyan Magenta &amp; Yellow, TN221</t>
  </si>
  <si>
    <t>Acer Nitro 27" Full HD 1920 x 1080 1500R Curve PC Gaming Monitor | AMD FreeSync Premium | 165Hz Refresh | 1ms (VRB) | ZeroFrame Design | 1 x Display Port 1.4 &amp; 2 x HDMI 2.0 Ports ED270R Mbmiiphx</t>
  </si>
  <si>
    <t>Logitech BCC950 Desktop Video Conferencing Solution, Full HD 1080p B23 Video Calling, Hi-Definition Webcam, Speakerphone with Noise-Reducing Mic, For Skype, WebEx, Zoom PC/Mac/Laptop/Macbook - Black</t>
  </si>
  <si>
    <t>Synology 2-Bay DiskStation DS224+ (Diskless)</t>
  </si>
  <si>
    <t>Retevis RT68 Two Way Radio Long Range Walkie Talkies for Adults,Compact, Rugged, Heavy Duty 2 Way Radios Rechargeable with USB Charging Base, for School Restaurant Church Business(10 Pack)</t>
  </si>
  <si>
    <t>SimpliSafe 8 Piece Wireless Home Security System - Optional 24/7 Professional Monitoring - No Contract - Compatible with Alexa and Google Assistant , White</t>
  </si>
  <si>
    <t>NETGEAR 8-Port Gigabit Ethernet Unmanaged PoE Switch (GS108PP) - with 8 x PoE+ @ 123W Upgradeable, Desktop, Wall Mount or Rackmount, and Limited Lifetime Protection</t>
  </si>
  <si>
    <t>Logitech Zone 305 for Business, Wireless Bluetooth Headset with Microphone, for Microsoft Teams, Compatible with Windows, Mac, Chrome, Linux, iOS, iPadOS, Android</t>
  </si>
  <si>
    <t>JBL Reflect Aero - True Wireless Noise Cancelling Active Earbuds, 6 mics for Perfect Calls with VoiceAware, Extreme dustproof &amp; Waterproof, Comfortable, Secure fit, 24hr with Fast-Charging (Black)</t>
  </si>
  <si>
    <t>DURACELL MN1500BKD CopperTop Alkaline Batteries, AA, 144/CT</t>
  </si>
  <si>
    <t>ASURION 2 Year Lawn &amp; Garden Extended Protection Plan ($80 - $89.99)</t>
  </si>
  <si>
    <t>Google Pixel Watch 2 (Previous Model) with the Best of Fitbit - Heart Rate Tracking, Stress Management, Safety Features - Android Smartwatch - Matte Black Aluminum Case - Obsidian Active Band - WI-FI</t>
  </si>
  <si>
    <t>Logitech Z533 2.1 Multimedia Speaker System with Subwoofer, Powerful Sound, Booming Bass, 3.5mm Audio and RCA Inputs, PC/PS/Xbox/TV/Smartphone/Tablet/,Black</t>
  </si>
  <si>
    <t>MSI X670E GAMING PLUS WIFI Gaming Motherboard (AMD Ryzen 9000/8000/7000 Series Processors, AM5, DDR5, PCIe 5.0, SATA 6Gb/s, M.2 slots, USB 3.2 Gen 2, Wi-Fi 6E, Bluetooth 5.3, 2.5Gbps LAN, HDMI/DP,ATX)</t>
  </si>
  <si>
    <t>Garmin Forerunner 55 GPS Running Smartwatch (Black) Power Bundle</t>
  </si>
  <si>
    <t>Sceptre New Curved 30-inch Gaming Monitor 200+Hz Build-in Speakers 2560 x 1080p HDMI x2 DP x2 2025</t>
  </si>
  <si>
    <t>TP-Link AX6000 WiFi 6 Router(Archer AX6000) -802.11ax Wireless 8-Stream Gaming Router, 2.5G WAN, 8 Gigabit LAN Ports, MU-MIMO, 1.8GHz Quad-Core CPU</t>
  </si>
  <si>
    <t>Blackview Laptop 2025, Laptops Computer for Business Student, Quad-Core N150 (Up to 3.6GHz, Beat N5095/N95/N97/N100), 16GB DDR4 256GB SSD, 15.6” FHD IPS TÜV Screen, 100W Type-C Fast Charge, 4K HDMI</t>
  </si>
  <si>
    <t>Canon imageFORMULA RS40 - Photo and Document Scanner, Auto Document Feeder, Windows and Mac, Scans Old and New Photos in Varying Sizes, USB Interface</t>
  </si>
  <si>
    <t>Western Digital 2TB My Passport SSD Portable External Solid State Drive, Gray, Sturdy and Blazing Fast, Password Protection with Hardware Encryption - WDBAGF0020BGY-WESN</t>
  </si>
  <si>
    <t>Sony VHS/DVD Combo Player (Renewed)</t>
  </si>
  <si>
    <t>Brother TN-431C TN-431M TN-431Y DCP-L8410 HL-L8260 L8360 MFC-L8610 L8690 L8900 Toner Cartridge Set (Cyan Magenta Yellow, 3-Pack) in Retail Packaging</t>
  </si>
  <si>
    <t>SONY Wi-Fi Upgraded Multi Region Zone Free Blu Ray DVD Player - PAL/NTSC - Wi-Fi - 1 USB, 1 HDMI, 1 COAX, 1 ETHERNET Connections - 6 Feet HDMI Cable Included</t>
  </si>
  <si>
    <t>MSI PRO B650M-A WiFi ProSeries Motherboard (AMD Ryzen 9000/8000/7000 Series Processors, AM5, DDR5, PCIe 4.0, M.2, SATA 6Gb/s, USB 3.2 Gen 2, HDMI/DP, Wi-Fi 6E, Bluetooth 5.3, 2.5Gbps LAN, mATX)</t>
  </si>
  <si>
    <t>ASURION 4 Year Home Improvement Protection Plan ($60 - $69.99)</t>
  </si>
  <si>
    <t>NETGEAR Nighthawk WiFi 6 Router (RAX36) – Security Features, AX3000 3 Gbps Wireless Speed – Dual-Band Gigabit Internet Router – Covers 2,000 sq. ft., 25 Devices – Built-in VPN, USB 3.0, Gaming</t>
  </si>
  <si>
    <t>Fitbit Charge 4 Fitness and Activity Tracker with Built-in GPS, Heart Rate, Sleep &amp; Swim Tracking, Rosewood/Rosewood, One Size (S &amp;L Bands Included)</t>
  </si>
  <si>
    <t>Osprey Daylite 44L Carry-On Travel Pack - Lightweight, Durable Backpack with Streamlined Design - Versatile, Spacious Bag for Weekend Trips or Business, Black</t>
  </si>
  <si>
    <t>ASURION 2 Year Furniture Protection Plan ($450 - $499.99)</t>
  </si>
  <si>
    <t>Apple Watch Series 7 (GPS, 45mm) Green Aluminum Case with Clover Sport Band, Regular (Renewed)</t>
  </si>
  <si>
    <t>Garmin Swim 2, GPS Swimming Smartwatch for Pool and Open Water, Underwater Heart Rate, Records Distance, Pace, Stroke Count and Type, Slate Gray</t>
  </si>
  <si>
    <t>Microsoft Windows 11 (USB)</t>
  </si>
  <si>
    <t>Samsung Galaxy Note 10, 256GB, Aura Glow - Fully Unlocked (Renewed)</t>
  </si>
  <si>
    <t>Edifier MR4 Powered Studio Monitor Speakers, 4" Active Near-Field Monitors Speaker - White (Pair)</t>
  </si>
  <si>
    <t>SAMSUNG Galaxy Tab S9 FE 5G (128GB, 6GB, WiFi + Cellular) Fully Unlocked Android Tablet, 10.9”, Wi-Fi 6, S Pen NOT Included, SM-X518U (Gray) (Renewed)</t>
  </si>
  <si>
    <t>Razer BlackWidow V4 X Mechanical Gaming Keyboard: Yellow Switches Linear &amp; Silent - 6 Macro Keys - Chroma RGB - Doubleshot ABS Keycaps - Roller &amp; Media Keys - Snap Tap</t>
  </si>
  <si>
    <t>Furman SS-6B-PRO 15' 6-Outlet Surge Protector (2-Pack) Bundle</t>
  </si>
  <si>
    <t>ASURION 2 Year Ride-On Protection Plan ($350 - $399.99)</t>
  </si>
  <si>
    <t>HP 410A Magenta Toner Cartridge | Works with HP Color LaserJet Pro M452 Series, HP Color LaserJet Pro MFP M377, M477 Series | CF413A</t>
  </si>
  <si>
    <t>Fujifilm Instax Mini 11 Instant Camera Charcoal Gray + MiniMate Accessory Bundle &amp; Compatible Custom Case + Fuji Instax Film Value Pack (50 Sheets) Flamingo Designer Photo Album</t>
  </si>
  <si>
    <t>SAMSUNG Galaxy Watch 6 Classic 43mm Bluetooth Smartwatch, Rotating Bezel, Fitness Tracker, Personalized HR Zones, Advanced Sleep Coaching, Heart Monitor, BIA Sensor, Health Insights, US Version Silver</t>
  </si>
  <si>
    <t>SteelSeries Apex Pro TKL Wireless HyperMagnetic Gaming Keyboard — Esports Tenkeyless — OLED Screen — Adjustable Actuation — PBT Keycaps — Bluetooth — 2.4GHz — USB-C</t>
  </si>
  <si>
    <t>Canon Speedlite EL-10, Portable Camera Flash, Compatible with Select EOS R Series Mirrorless Cameras</t>
  </si>
  <si>
    <t>LG 27U421A-B 27-inch Full HD (1920 x 1080) Curved Computer Monitor, 100Hz, 5ms, HDR10, 3-Side Borderless, Switch, HDMI, USB Type-C 15W PD, Tilt Slim Stand, Black</t>
  </si>
  <si>
    <t>CyberPower ST900U Standby UPS System, 900VA/500W, 12 Outlets, 2 USB Charging Ports, Compact, Black</t>
  </si>
  <si>
    <t>GoPro Macro Lens Mod (HERO13 Black) - Official GoPro Lens (AAEWAL-021)</t>
  </si>
  <si>
    <t>Garmin Index Sleep Monitor</t>
  </si>
  <si>
    <t>Nike Men's Utility Speed Backpack (27L), Black/Black/White, One Size</t>
  </si>
  <si>
    <t>Dell Latitude 7490 Intel Core i7-8650U 16GB DDR4 RAM, 512GB SSD 14" FHD Windows 10 Pro Laptop (Renewed)</t>
  </si>
  <si>
    <t>Insta360 Ace Pro 2/Insta360 Ace Pro Xplorer Grip Kit, Slate Gray</t>
  </si>
  <si>
    <t>Retevis RT22 2 Way Radios Walkie Talkies,Rechargeable Long Range Two Way Radio, USB VOX Small Emergency 2 Pin Earpiece Headset,for School Retail Church Restaurant (Packed in Pairs with 5 Boxes)</t>
  </si>
  <si>
    <t>Razer Kraken V4 Wireless Gaming Headset: 2.4GHz, Bluetooth, USB - Super Wideband Mic - 40 mm Drivers - 9 Zone RGB Lighting - for PC, Mac, PS5, Nintendo Switch, Steam Deck, Smartphone - Black</t>
  </si>
  <si>
    <t>Intel® Core™ i7-14700K Desktop Processor 20 cores (8 P-cores + 12 E-cores) up to 5.6 GHz</t>
  </si>
  <si>
    <t>Canon Selphy CP1500 Wireless Compact Photo Printer (Black) Bundle with KP-108IN Color Ink Paper Set (108 Sheets of 4x6 Paper + 3 Ink Cartridges) + 6-Slot Memory Card Holder + More</t>
  </si>
  <si>
    <t>Sennheiser RS 120-W On-Ear Wireless Headphones for Crystal-clear TV Listening with 3 Sound Modes, Lightweight Design, Easy Volume Control, 60 m Range and Convenient Transmitter/Charger Combo - Black</t>
  </si>
  <si>
    <t>Seagate Rugged STFR5000800 5 TB External Hard Drive, Portable</t>
  </si>
  <si>
    <t>Garmin eTrex 32x, Rugged Handheld GPS Navigator</t>
  </si>
  <si>
    <t>ASURION 2 Year Headphones Protection Plan ($200 - $249.99)</t>
  </si>
  <si>
    <t>Plantronics - Voyager 5200 UC (Poly) - Bluetooth Single-Ear (Monaural) Headset - Compatible to connect to your PC and/or Mac - Works with Teams, Zoom &amp; more - Noise Canceling</t>
  </si>
  <si>
    <t>Fitbit Charge 5 Advanced Fitness Tracker with GPS, Heart Rate, Sleep &amp; Health Tracker - Power Bundle with Adapter (Blue Stainless Steel)</t>
  </si>
  <si>
    <t>ASURION 2 Year Headphones Protection Plan ($150 - $174.99)</t>
  </si>
  <si>
    <t>Acer Nitro V Gaming Laptop | Intel Core i7-13620H Processor | NVIDIA GeForce RTX 4050 Laptop GPU | 15.6" FHD IPS 165Hz Display | 16GB DDR5 | 1TB Gen 4 SSD | Wi-Fi 6 | Backlit KB | ANV15-52-76NK</t>
  </si>
  <si>
    <t>Legrand Wiremold WH20GB306TRGFI6 Plugmold 2000 Series 3 Foot Hardwired Power Strip with 5 Tamper Resistant Outlets and GFCI Protection, White</t>
  </si>
  <si>
    <t>Marshall Stockwell II Portable Bluetooth Speaker, Black and Brass</t>
  </si>
  <si>
    <t>Kenwood DMX4707S 6.8" Digital Media Touchscreen Receiver w/Apple CarPlay and Android Auto</t>
  </si>
  <si>
    <t>ASUS ZenWiFi AX Whole-Home Tri-band Mesh WiFi 6 System (XT8) - 2 pack, Coverage up to 5,500 sq.ft or 6+rooms, 6.6Gbps, WiFi, 3 SSIDs, life-time network security and parental controls, 2.5G port</t>
  </si>
  <si>
    <t>Intel Core i5-14400F Desktop Processor 10 cores (6 P-cores + 4 E-cores) up to 4.7 GHz</t>
  </si>
  <si>
    <t>Alpine iLX-W650 7" Double DIN Touchscreen Digital Multimedia Receiver with Bluetooth, Apple CarPlay and Android Auto</t>
  </si>
  <si>
    <t>Lenovo Chromebook 14 Touchscreen Laptop (14" FHD Touch Display, 8-Core MediaTek Kompanio 520, 4GB RAM, 128GB Storage (64GB eMMC+64GB SD)), Webcam, 13-Hrs Long-Battery Life, Chrome OS, Abyss Blue</t>
  </si>
  <si>
    <t>HP 972X PageWide High Yield Magenta Ink Cartridge for HP Printers | Works with Printer Series: PageWide Pro 452, 477, 552dw, 577 | L0S01AN</t>
  </si>
  <si>
    <t>Poly Blackwire 5220 Stereo USB-C Headset + 3.5mm Plug + USB-C/A Adapter</t>
  </si>
  <si>
    <t>ASURION 2 Year Electronics Protection Plan ($450 - $499.99)</t>
  </si>
  <si>
    <t>Crucial RAM 32GB Kit (16GBx2) DDR4 3200MHz CL22 (or 2933MHz or 2666MHz) Laptop Memory CT2K16G4SFD832A</t>
  </si>
  <si>
    <t>Yealink W73P IP Phone - Cordless - Corded - DECT - Wall Mountable - Space Gray, Classic Gray</t>
  </si>
  <si>
    <t>Brother DS-940DW Duplex and Wireless Compact Mobile Document Scanner</t>
  </si>
  <si>
    <t>eufy Security, eufyCam 2C 3-Cam Kit, Security Camera Wireless Outdoor, Home Security System, HomeKit Compatibility, 1080p HD, IP67, Night Vision, Motion Only Alert, No Monthly Fee</t>
  </si>
  <si>
    <t>Logitech K350 Keyboard - Wireless Connectivity - RF - Black - USB Interface</t>
  </si>
  <si>
    <t>Shure by Gator Deluxe Articulating Desktop Podcasting Mic Boom Arm with Cable Management Channel; (SH-BROADCAST1)</t>
  </si>
  <si>
    <t>Samsung Galaxy Ai Watch 7 Latin American Specs SM-L300 (40mm) Bluetooth Wellness Tips, Heart Rate Tracking, Sleep Monitor, Fitness Tracker (Green)</t>
  </si>
  <si>
    <t>SteelSeries New Apex 9 Mini – HotSwap Optical Mini Keyboard – 60% Compact Design – Optical Switches – RGB Customization – Aluminum Alloy Frame – Double Shot PBT Keycap</t>
  </si>
  <si>
    <t>SAMSUNG Galaxy Tab A9 (64GB, 4GB, Wi-Fi Only) 8.7" Android Tablet, All Day Battery, Octa-core (6nm), Dual Speakers, International Model - X110 (256GB SD Bundle, Graphite)</t>
  </si>
  <si>
    <t>Klipsch The Detroit Portable Bluetooth Speaker with Dual 1" tweeters and 3" woofers, IP67 dust and Waterproof Rating, 20 Hours of Playtime for a Premium Live Concert Experience</t>
  </si>
  <si>
    <t>TI-84 Plus CE Color Graphing Calculator, Coral (Metallic)</t>
  </si>
  <si>
    <t>Brother Genuine TN770 2-Pack Super High Yield Black Toner Cartridge with Approximately 4,500 Page Yield/Cartridge</t>
  </si>
  <si>
    <t>Acer Aspire Go 15 Slim Laptop | 15.6" Full HD IPS 1080P Display | Intel Core i3-N305| Intel UHD Graphics | 8GB LPDDR5 | 128GB HD | Wi-Fi 6 | AI PC | Windows 11 Home in S Mode | AG15-31P-3947</t>
  </si>
  <si>
    <t>Furman AC-215A Compact Power Conditioner with Auto-Resetting Voltage Protection - Black</t>
  </si>
  <si>
    <t>weBoost Drive Sleek - Model 470135 - Portable Signal Booster for Cars, SUVs, Trucks &amp; Vans - 5G &amp; 4G LTE Cellular Signal Booster for All US Carriers - Includes Booster &amp; Antennas - FCC-Approved</t>
  </si>
  <si>
    <t>Ooma Telo VoIP Free Internet Home Phone Service and HD3 Handset. Affordable landline replacement. Unlimited nationwide calling. Call on the go with free mobile app. Can block Robocalls.</t>
  </si>
  <si>
    <t>SONY S1700 Multi System All Region CodeFree Blu Ray Disc DVD Player - PAL/NTSC - USB - 110-240V 50/60Hz - 6 feet HDMI Cable Included</t>
  </si>
  <si>
    <t>Lenovo D24-40 Monitor, 23.8" FHD Display, Tilt Stand, HDMI and VGA Ports, 75Hz Refresh Rate, AMD FreeSync, 250 nits, Raven Black</t>
  </si>
  <si>
    <t>Apple Late 2018 Mac Mini with 3.0GHz Intel Core i5 (8GB RAM, 256GB SSD) Space Gray (Renewed)</t>
  </si>
  <si>
    <t>Lexar 1TB Professional Go Portable SSD w/Hub, Supports Apple 4K 60fps ProRes, Up to 1050MB/s, USB 3.2 Gen 2, Rugged, IP65, Ultracompact, Compatible w/iPhone 15/16, External SSD (LSL400S001T-RNSNU)</t>
  </si>
  <si>
    <t>Brother LC406XLCS, LC406XLMS, LC406XLYS 3-Color High Yield Ink Cartridge Set, LC406</t>
  </si>
  <si>
    <t>Baseus SpaceMate(MAC) Docking Station, USB C Docking Station 3 Monitors with 4K HDMI, 10Gbps USB Ports, 100W PD, Gigabit Ethernet, Audio, Laptop Docking Station for Mac &amp; Win</t>
  </si>
  <si>
    <t>NETGEAR Cable Modem DOCSIS 3.1 (CM1000) Gigabit Modem, Compatible with All Major ISP Providers Including Xfinity, Spectrum, Cox, for Cable Plans Up to 1 Gbps,Black</t>
  </si>
  <si>
    <t>ASURION 2 Year Floorcare Extended Protection Plan ($60 - $69.99)</t>
  </si>
  <si>
    <t>Arlo Ultra SmartHub - Arlo Certified Accessory -Connects Arlo Cameras to Wi-Fi, Works with Arlo Ultra 2, Ultra, Pro 5S 2K, Pro 4, Pro 3, Pro 2, Floodlight, Essential &amp; Video Doorbell Cameras - VMB5000</t>
  </si>
  <si>
    <t>Edifier T5 Powered Subwoofer - 70w RMS Active Woofer with 8 inch Driver and Low Pass Filter</t>
  </si>
  <si>
    <t>NETGEAR Nighthawk WiFi 6 Router (RAX120) 12-Stream Dual-Band Gigabit Router, AX6000 Wireless Speed (Up to 6 Gbps), Coverage Up to 3,500 sq.ft. and 30 Devices</t>
  </si>
  <si>
    <t>Elgato Wave Mic Arm Pro - 360° Rotatable Low Profile Gas Spring Microphone Arm, Works Mics/Shure SM7B/HyperX QuadCast/Rode/Blue Yeti &amp; More – for Broadcasting/Podcasting/Streaming</t>
  </si>
  <si>
    <t>Corsair HS80 MAX Wireless Multiplatform Gaming Headset with Bluetooth – Dolby Atmos – Broadcast Quality Microphone – iCUE Compatible – PC, Mac, PS5, PS4, Mobile – Steel Gray</t>
  </si>
  <si>
    <t>Lenovo Wireless VoIP Headset Teams Certified, Noise-Canceling Mic, Bluetooth 5.3 Multipoint, USB-A Receiver, 31-Hour Talk &amp; 60-Hour Playback, Lightweight Over-Ear Design, Replaceable Earcups</t>
  </si>
  <si>
    <t>Pioneer DMH-1770NEX Double-DIN Digital Multimedia Receiver, Wired Apple CarPlay and Android Auto, 6.8” Capacitive Touchscreen</t>
  </si>
  <si>
    <t>Corsair MP700 Elite 2TB PCIe 5.0 x4 NVMe M.2 SSD – Up to 10,000MB/sec – High-Density 3D TLC NAND – M.2 2280 - DirectStorage Compatible – Black</t>
  </si>
  <si>
    <t>UGREEN Thunderbolt 4 Dock Revodok Max 213 13-in-1 40Gbps Docking Station with Dual 4K@60Hz Single 8K Display, 90W Charging for Laptop, 2.5GbE, SD/TF 4.0 for MacBook Surface Pro and More</t>
  </si>
  <si>
    <t>NETGEAR 10-Port PoE Gigabit Ethernet Smart Switch (GS110TP) - Managed, with 8 x PoE+ @ 55W, 2 x 1G SFP, Optional Insight Cloud Management, Desktop or Wall Mount, and Limited Lifetime Protection</t>
  </si>
  <si>
    <t>NETGEAR Cloud Managed Wireless Access Point (WAX615) - WiFi 6 Dual-Band AX3000 Speed | Up to 256 Client Devices | 802.11ax | Insight Remote Management | PoE+ Powered or AC Adapter (not Included)</t>
  </si>
  <si>
    <t>Brother International HLL2460DWXL Printer,lsr,bw</t>
  </si>
  <si>
    <t>KENWOOD KDC-BT370U CD Car Stereo with Bluetooth, AM/FM Radio, Front High Power USB, Alexa Built in</t>
  </si>
  <si>
    <t>SAMSUNG Galaxy Tab A9 8.7" SM-X115 64GB 4GB Factory Unlocked WiFi + LTE Cellular Tablet - International Version (Silver)</t>
  </si>
  <si>
    <t>Kingston XS1000 1TB SSD | Pocket-Sized | USB 3.2 Gen 2 | External Solid State Drive | Up to 1050MB/s | SXS1000/1000G</t>
  </si>
  <si>
    <t>INTEL CPU Core i5-12400F / 6/12 / 2.5GHz / 6xxChipset / BX8071512400F</t>
  </si>
  <si>
    <t>Edifier P12 Passive Bookshelf Speaker - 2-Way Speakers with Built-in Wall-Mount Bracket - Wood Color, Pair - Needs Amplifier or Receiver to Operate</t>
  </si>
  <si>
    <t>Logitech Combo Touch iPad Air Keyboard Case, Detachable Backlit Keyboard with Kickstand, Trackpad, Smart Connector, Oxford Gray, USA Layout</t>
  </si>
  <si>
    <t>NEEWER 74" Video Tripod with Fluid Head, QR Plate , Aluminum Heavy Duty Camera Tripod Professional for DSLR Cameras Camcorders, Max Load 17.6lb/8kg, TP74</t>
  </si>
  <si>
    <t>Celestron 94303 1.25 inch Eyepiece &amp; Filter Kit - Includes 14 Pieces in Metal Foam-Lined Carry Case, Silver</t>
  </si>
  <si>
    <t>Pyle Wireless Portable PA Speaker System -1200W High Powered Bluetooth Compatible Indoor&amp;Outdoor DJ Sound Stereo Loudspeaker wITH USB MP3 AUX 3.5mm Input, Flashing Party Light &amp; FM Radio -PPHP1544B</t>
  </si>
  <si>
    <t>Olympus WS-883 Digital Voice Recorder, Linear PCM/MP3 Recording Formats, USB-A Battery Charging, True Stereo Microphones, Low-Cut Filter and 8GB Built-in Memory (Black)</t>
  </si>
  <si>
    <t>Pyle 2 Way Speaker System Pair - 500W Peak Power 6.5 Inch Passive Weatherproof Wall / Ceiling Mounted - Heavy Duty Universal Mount - Use for Pool, Patio, Indoor, Outdoor (Black)</t>
  </si>
  <si>
    <t>ASUS VA24EHE 23.8” Monitor 75Hz Full HD (1920x1080) IPS Eye Care HDMI D-Sub DVI-D,Black</t>
  </si>
  <si>
    <t>ASUS TUF Gaming 27” 1440P Curved HDR Gaming Monitor (VG27WQ3B) - QHD (2560 x 1440), 180Hz, 0.5ms, Extreme Low Motion Blur, FreeSync, 90% DCI-P3, DisplayWidget, 3 yr Warranty</t>
  </si>
  <si>
    <t>SAMSUNG Galaxy S23 5G, US Version, 128GB, Phantom Black - Unlocked (Renewed)</t>
  </si>
  <si>
    <t>HP 202X Cyan High-yield Toner Cartridge | Works with HP Color LaserJet Pro M254, HP Color LaserJet Pro MFP M281 Series | CF501X</t>
  </si>
  <si>
    <t>ASURION 4 Year Home Improvement Protection Plan ($100 - $124.99)</t>
  </si>
  <si>
    <t>Fujifilm Instax Mini 11 Camera with Fujifilm Instant Mini Film (60 Sheets) Bundle with Deals Number One Accessories Including Carrying Case, Selfie Lens, Photo Album, Stickers (Ice White)</t>
  </si>
  <si>
    <t>Pelican 1400 Case With Foam (Black)</t>
  </si>
  <si>
    <t>Cobra MR F45-D Fixed Mount VHF Marine Radio – 25 Watt VHF, Submersible, LCD Display, Noise Cancelling Microphone, NOAA Weather Channels, Signal Strength Meter, Scan Channels, White</t>
  </si>
  <si>
    <t>VEVOR Pedestal Sign Holder, 11 x 17 Inch Vertical and Horizontal Adjustable Poster Stand, Heavy-Duty Floor Standing Sign Holder with Round Base for Display, Advertisement, and Outdoor, Black</t>
  </si>
  <si>
    <t>G.SKILL Trident Z5 Neo RGB Series DDR5 RAM (AMD Expo) 32GB (2x16GB) 6000MT/s CL30-36-36-96 1.35V Desktop Computer Memory U-DIMM - Matte White (F5-6000J3036F16GX2-TZ5NRW)</t>
  </si>
  <si>
    <t>Denon PerL Pro True Wireless Earbuds - Adaptive Active Noise Cancelling, Personalized Sound with Masimo Adaptive Acoustic Technology, Spatial Audio, Long-Lasting Battery, Wireless Charging, Black</t>
  </si>
  <si>
    <t>Fractal Design Terra Jade - Wood Walnut Front Panel - Small Form Factor - Mini ITX Gaming case – PCIe 4.0 Riser Cable – USB Type-C - Anodized Aluminum Panels</t>
  </si>
  <si>
    <t>ASUS ZenWiFi BD5 Outdoor Dual-Band WiFi 7 Mesh, 5000 Mbps, 2500 sq. ft. (1pk), Dual 2.5G Ports, IP65, PoE Powered, Wall and Pole Mount, VPNs</t>
  </si>
  <si>
    <t>Elgato Game Capture Neo – USB Portable Capture Card 4K60 HDR Passthrough, 1080p60 Video Recording – For PS5|Xbox|Nintendo Switch 2 - OBS, Quicktime and more - Plug &amp; Play|Works on Laptop|PC|Mac|iPad</t>
  </si>
  <si>
    <t>SwissGear Cecil 5505 Laptop Backpack, Charcoal, 18-Inch</t>
  </si>
  <si>
    <t>Poly Edge E450 IP Desk Phones (Plantronics + Polycom) – Easy to Install with Included Wi-Fi – 8-line Keys Supporting up to 32 Lines - Integrated Bluetooth for Mobile Phone and Headset Pairing</t>
  </si>
  <si>
    <t>G.SKILL Ripjaws S5 Series (Intel XMP 3.0) DDR5 RAM 32GB (2x16GB) 6000MT/s CL30-40-40-96 1.35V Desktop Computer Memory UDIMM - Matte Black (F5-6000J3040F16GA2-RS5K)</t>
  </si>
  <si>
    <t>HP Series 5 27 inch FHD Monitor, Full HD Display (1920 x 1080), IPS Panel, 99% sRGB, 1500:1 Contrast Ratio, 300 nits, Eye Ease with Eyesafe Certification, 527sw (2024)</t>
  </si>
  <si>
    <t>ASURION 2 Year Furniture Protection Plan ($600 - $699.99)</t>
  </si>
  <si>
    <t>Brother Genuine TN436BK 2-Pack Super High Yield Black Toner Cartridge with Approximately 6,500 Page Yield/Cartridge</t>
  </si>
  <si>
    <t>MSI MPG A1000G PCIE 5.1 &amp; ATX 3.1 Gaming Power Supply - Full Modular - 80 Plus Gold Certified 1000W - 100% Japanese 105°C Capacitors - Compact Size - ATX PSU - 10 Year Warranty</t>
  </si>
  <si>
    <t>SimpliSafe 11 Piece Wireless Home Security System Gen 3 with Wireless Indoor HD Camera - Optional 24/7 Professional Monitoring - No Contract - Compatible with Alexa and Google Assistant,White</t>
  </si>
  <si>
    <t>Retevis RT21 2 Way Radio Long Range, Walkie Talkies for Adults, Heavy Duty Rechargeable Two Way Radios with Six-Way Charger, for Manufacturing Education(6 Pack)</t>
  </si>
  <si>
    <t>TP-Link 8 Port Gigabit PoE Switch | 8 PoE+ Ports @126W | Plug &amp; Play | Limited Lifetime Protection | Desktop/ Rackmount | Prioritized Power Supply | Sturdy Metal | Shielded Ports (TL-SG1008MP)</t>
  </si>
  <si>
    <t>Amazon Basics 46,000 BTU Outdoor Propane Patio Heater with Wheels, Commercial &amp; Residential, Slate Gray, with Water Tank, 32.1 x 32.1 x 91.3 inches (LxWxH)</t>
  </si>
  <si>
    <t>Thermaltake Toughpower GF A3 1050W, True 600W 12VHPWR Connectors on PSU &amp; NVIDIA RTX 40 Series, ATX 3.0/PCI-E 5.0, 80+ Gold, SLI/Crossfire Ready Power Supply, PS-TPD-1050FNFAGU-L, 10 Year Warranty</t>
  </si>
  <si>
    <t>ASURION 2 Year Toy Accident Protection Plan ($30 - $39.99)</t>
  </si>
  <si>
    <t>Corsair MP600 Micro 2TB M.2 NVMe PCIe x4 Gen4 SSD – M.2 2242 – Up to 7,000MB/sec Sequential Read – High-Density 3D TLC NAND – Compatible with Lenovo Legion Go and Thin PCIe 4.0 Laptops – Black</t>
  </si>
  <si>
    <t>FIIO K11 Compact Desktop R2R Architecture DAC and Headphone Amplifier (Black)</t>
  </si>
  <si>
    <t>Apple AirPods 4 with Active Noise Cancellation (Renewed)</t>
  </si>
  <si>
    <t>SENNHEISER HD 569 Closed Back Headphone</t>
  </si>
  <si>
    <t>KICKER KM8 8-Inch (200mm) Marine Coaxial Speakers with 1-Inch (25mm) Tweeters, LED, 4-Ohm,Charcoal and White Grilles</t>
  </si>
  <si>
    <t>Sony UBP-X700M 4K Ultra HD Home Theater Streaming Blu-ray DVD Player with Wi-Fi, 4K upscaling, HDR10, Hi Res Audio, Dolby Digital TrueHD/DTS, Dolby Vision, and included HDMI cable</t>
  </si>
  <si>
    <t>Creative Pebble X Plus 2.1 USB-C Computer Speakers with Subwoofer and Customizable RGB Lighting, Bluetooth 5.3, USB Audio, Up to 15W RMS Power for PC and Mac</t>
  </si>
  <si>
    <t>Canon Genuine 125 Black Toner Cartridge Compatible with MF3010, MF3010 VP, LBP6000, LBP6030w</t>
  </si>
  <si>
    <t>Yamaha Audio SR-C20A Compact Sound Bar with Built-in Subwoofer and Bluetooth, Black</t>
  </si>
  <si>
    <t>Sony MDR-M1 Professional Reference Closed Monitor Headphones</t>
  </si>
  <si>
    <t>ASUS ZenWiFi XT9 AX7800 Tri-Band WiFi6 Mesh WiFiSystem (2Pack), 802.11ax, up to 5700 sq ft &amp; 6+ Rooms, AiMesh, Lifetime Free Internet Security, Parental Controls, 2.5G WAN Port, UNII 4, Charcoal</t>
  </si>
  <si>
    <t>Apple iPhone 11, 64GB, Black - Unlocked (Renewed Premium)</t>
  </si>
  <si>
    <t>PDP Victrix Pro BFG Wireless Gaming Controller for Xbox Series X|S, Xbox One, Windows 10/11, Modular Gamepad, Dolby Atmos Audio, Remappable Buttons, Customizable Triggers/Paddles/D-Pad, PC App, Black</t>
  </si>
  <si>
    <t>HyperX QuadCast - USB Condenser Gaming Microphone, for PC, PS4, PS5 and Mac, Anti-Vibration Shock Mount, Four Polar Patterns, Pop Filter, Gain Control, Podcasts, Twitch, YouTube, Discord, Red LED</t>
  </si>
  <si>
    <t>Kodak SCANZA Digital Film &amp; Slide Scanner – Converts 35mm, 126, 110, Super 8 &amp; 8mm Film to JPEG with 3.5" LCD, Easy-Load Inserts &amp; Adapters</t>
  </si>
  <si>
    <t>BlueParrott M300-XT Noise Cancelling Hands-free Mono Bluetooth Headset for Mobile Phones with up to 14 Hours of Talk Time for On-The-Go Mobile Professionals &amp; Drivers</t>
  </si>
  <si>
    <t>MSI Pro MP273AW, 27" Monitor, 1920 x 1080 (FHD), IPS, 100Hz, TUV Certified Eyesight Protection, 4ms, Displayport, HDMI, Tilt, White</t>
  </si>
  <si>
    <t>Apple 2022 Apple TV 4K Wi‑Fi with 64GB Storage (3rd Generation)</t>
  </si>
  <si>
    <t>Brother Genuine TN760 3-Pack High Yield Black Toner Cartridge with approximately 3,000 page yield/cartridge</t>
  </si>
  <si>
    <t>CORSAIR iCUE Link RX120 RGB 120mm PWM Fans with iCUE Link System Hub - Magnetic Dome Bearing - Triple Pack - Black</t>
  </si>
  <si>
    <t>NETGEAR Nighthawk AC1900 (24x8) DOCSIS 3.0 WiFi Cable Modem Router Combo (C7000) for Xfinity from Comcast, Spectrum, Cox, more (Renewed)</t>
  </si>
  <si>
    <t>FEELWORLD F5 Prox 5.5 Inch 1600nit High Bright DSLR Camera Field Monitor with F970 Battery 6600mAh and Bag, Touchscreen Waveform LUT External Install and Power Kit 1920x1080 HDMI in Out Type-c Input</t>
  </si>
  <si>
    <t>HP 204A Cyan Toner Cartridge | Works with HP Color LaserJet Pro M154 Series, HP Color LaserJet Pro MFP M180, M181 Series | CF511A</t>
  </si>
  <si>
    <t>HP 128A Black Toner Cartridge | Works with HP LaserJet Pro CM1415 Color, CP1525 Color Series | CE320A</t>
  </si>
  <si>
    <t>HP 202A Yellow Toner Cartridge | Works with HP Color LaserJet Pro M254, HP Color LaserJet Pro MFP M281 Series | CF502A</t>
  </si>
  <si>
    <t>Pyle Portable Megaphone Speaker PA Bullhorn-Built-in Siren, 50W Adjustable Volume Control &amp;1200 Yard Range-Ideal for Any Outdoor Sports, Cheerleading Fans &amp; Coaches or for Safety Drills - PMP52BT</t>
  </si>
  <si>
    <t>One by Wacom Small Graphics Drawing Tablet 8.3 x 5.7 Inches, Portable Versatile for Students and Creators, Ergonomic 2048 Pressure Sensitive Pen Included, Compatible with Chromebook Mac and Windows</t>
  </si>
  <si>
    <t>ASURION 2 Year Mobile Phone Accident Protection Plan ($250 - $299.99)</t>
  </si>
  <si>
    <t>SENNHEISER Professional Profile - USB Cardioid Condenser Microphone &amp; Table Stand, 1.2 m USB-C Cable - Mute Button, Built-in Headphone Jack, Gain, Mix &amp; Volume Control, for PC &amp; Mac,Black</t>
  </si>
  <si>
    <t>Poly Blackwire 3225 Wired Headset (Plantronics) - Noise-Canceling Mic – Stereo Design - Connect to PC/Mac/Mobile via USB-C, USB-A, or 3.5mm - Works w/Teams, Zoom - Amazon Exclusive</t>
  </si>
  <si>
    <t>ASURION 2 Year Lawn &amp; Garden Extended Protection Plan ($175 - $199.99)</t>
  </si>
  <si>
    <t>ASURION 3 Year Electronics Protection Plan ($200 - $249.99)</t>
  </si>
  <si>
    <t>Pyle 2000W Bluetooth 5.0 - 6-Channel Home Amplifier - Rack Mount Stereo Receiver with Radio - USB/AUX/RCA/Mic - Optical/Coaxial - AC-3 - DVD Inputs - Dual 10-Band EQ - PT6060CHAE</t>
  </si>
  <si>
    <t>ASURION 2 Year Portable Electronic Accident Protection Plan ($200 - $249.99)</t>
  </si>
  <si>
    <t>Garmin Striker 4cv with Transducer, 4" GPS Fishfinder with CHIRP Traditional and ClearVu Scanning Sonar Transducer and Built In Quickdraw Contours Mapping Software</t>
  </si>
  <si>
    <t>MSI MAG 242F 24-inch 1920 x 1080 (FHD) Gaming Monitor, 200Hz, Adaptive-Synch, HDMI, DisplayPort, VESA Mountable, Tilt, Height Adjustable, Speaker, 0.5ms, Black</t>
  </si>
  <si>
    <t>HP Chromebook 14-inch HD Touchscreen Laptop, Intel Celeron N4000, 4 GB RAM, 32 GB eMMC, Chrome (14a-na0030nr, Mineral Silver)</t>
  </si>
  <si>
    <t>SAMSUNG Galaxy Buds3 (2024, ANC) Water Resistant, AI Real-Time Language Interpreter, True Wireless Bluetooth 5.4 Earbuds, Hi-Fi Sound, Noise Cancelling, Touch Control, International Model (Silver)</t>
  </si>
  <si>
    <t>Fitbit Charge 6 Fitness Tracker Smartwatch with Heart Rate, GPS, Health Tools and More Obsidian/Black Bundle with Cleaning Cloth and Charger</t>
  </si>
  <si>
    <t>Makita DC18RD 18V Lithium-Ion Dual Port Rapid Optimum Charger, 2-Port</t>
  </si>
  <si>
    <t>Lian Li UNI Fan TL LCD Wireless 120-Triple Pack (Reverse Blade)-2.4 GHz Wireless Signal ARGB Fan-Infinity Mirror-Daisy-Chain-Customizable Lighting-Controller Included &amp; Required - Black (12RTLLCD1W3B)</t>
  </si>
  <si>
    <t>Thrustmaster T-Flight Hotas One Microsoft Flight Sim 2024 Collectors Edition (compatible with Xbox Series X|S and PC)</t>
  </si>
  <si>
    <t>K&amp;M König &amp; Meyer 21090.500.55 Tripod Microphone Stand - Adjustable Telescoping 2-Piece Boom Arm - Professional Grade - Heavy Duty with Folding Leg Base - German Made Black</t>
  </si>
  <si>
    <t>AT&amp;T ML17939 2-Line Corded Telephone with Digital Answering System and Caller ID/Call Waiting, Black/Silver</t>
  </si>
  <si>
    <t>TP-Link TL-SG1210MP, 8 Port Gigabit PoE Switch, 8 PoE+ Ports @123W, w/ 2 Uplink Gigabit Ports + 1 Combo SFP Slot, Plug &amp; Play, Extend, Priority &amp; Isolation Mode,</t>
  </si>
  <si>
    <t>TP-Link Powerline WiFi Extender TL-WPA8631P KIT- Includes AV1300 Powerline Network Adapter and AC1200 Dual Band Extender, 2x2 MIMO, 3 Gigabit Ports, Passthrough, Plug &amp; Play, Free Expert Support</t>
  </si>
  <si>
    <t>ASURION 2 Year Floorcare Extended Protection Plan ($30 - $39.99)</t>
  </si>
  <si>
    <t>Brother Genuine Cyan, Magenta and Yellow Toner Cartridge Set, TN223C, TN223M, TN223Y</t>
  </si>
  <si>
    <t>VIZIO V-Series 2.0 Compact Sound Bar with Dolby Audio, DTS:X, Bluetooth V20x-J8</t>
  </si>
  <si>
    <t>JBL Live Pro 2 - True Wireless Noise Cancelling Earbuds, up to 40 Hours of Playback with Wireless Charging, 6 mics for Perfect Calls, Touch &amp; Voice Control, IPX5 Water Resistant (Silver)</t>
  </si>
  <si>
    <t>Motorola MT7711 24X8 Cable Modem/Router with Two Phone Ports, DOCSIS 3.0 Modem, and AC1900 Dual Band WiFi Gigabit Router, for Comcast XFINITY Internet and Voice</t>
  </si>
  <si>
    <t>8BitDo Retro 108 Mechanical Keyboard with 108 Keys and Integrated Numpad, Bluetooth/2.4G/USB-C Hot Swappable Wireless Gaming Keyboard for Windows and Android - N Edition</t>
  </si>
  <si>
    <t>Cooler Master N200 - Mini Tower Computer Case with Fully Meshed Front Panel and mATX/Mini-ITX Support</t>
  </si>
  <si>
    <t>Brother LC3019 Super High Yield Ink Cartridge Set</t>
  </si>
  <si>
    <t>StarTech.com 1U 4-Post Adjustable Vented Server Rack Mount Shelf - 330lbs(150 kg) - 19.5 to 38in Adjustable Mounting Depth Universal Tray 19" AV/ Network Equipment Rack - 27.5in Deep (ADJSHELFHDV)</t>
  </si>
  <si>
    <t>Samsung 9250S Wireless Rear Speaker Kit, Black (SWA-9250S/ZA, 2025)</t>
  </si>
  <si>
    <t>ASUS RP-BE58 BE3600 Dual Band WiFi 7 (802.11be) Range Extender, AiMesh Extender for Seamless mesh WiFi; Works with Any WiFi Router</t>
  </si>
  <si>
    <t>KODAK Gold 200 Foil Vertical Pack of 3 GB135-36</t>
  </si>
  <si>
    <t>FEELWORLD S55 V3 6 Inch DSLR Camera Field Monitor Bundle - FHD IPS Screen, 4K HDMI in/Out, Tilt Arm, Power Output, Battery &amp; Carry Case Included</t>
  </si>
  <si>
    <t>Dell Optiplex 9020 Small Form Factor Desktop with Intel Core i7-4770 Upto 3.9GHz, HD Graphics 4600 4K Support, 32GB RAM, 1TB SSD, DisplayPort, HDMI, Wi-Fi, Bluetooth - Windows 10 Pro (Renewed)</t>
  </si>
  <si>
    <t>Monster Bluetooth Speaker, IPX8 Shower Speaker Waterproof, Bluetooth 5.4 with Loud HD Sound and Robust Bass, Extra Long Playtime Punchy, for Home, Beaches Portable Wireless Outdoor Speakers</t>
  </si>
  <si>
    <t>TP-Link Powerline WiFi Extender TL-WPA7617 KIT - Includes AV1000 Powerline Ethernet Network Adapter and AC1200 Dual Band Extender, Gigabit Port, Passthrough, OneMesh, Ethernet Over Power, Plug &amp; Play</t>
  </si>
  <si>
    <t>APC UPS Battery Replacement, RBC48, for APC Smart-UPS SMT750, SMT750US, SUA750 and select others</t>
  </si>
  <si>
    <t>Garmin Striker Vivid 5cv, Easy-to-Use 5-inch Color Fishfinder and Sonar Transducer, Vivid Scanning Sonar Color Palettes (010-02551-00)</t>
  </si>
  <si>
    <t>ASURION 2 Year Ride-On Protection Plan ($200 - $249.99)</t>
  </si>
  <si>
    <t>Pyle Waterproof Wall Mount Speaker System - 5.25 Inch Active + Passive Pair Wireless Bluetooth Compatible Indoor/Outdoor Stereo Sound Set with AUX IN - Pyle PDWR52BTBK (Black)</t>
  </si>
  <si>
    <t>VIVO 1,000ft Bulk Cat5e Wire, CCA Ethernet Cable, 24 AWG, UTP Pull Box, LAN Network, Gray, CABLE-V001</t>
  </si>
  <si>
    <t>Wyze Home Security Core Kit: Hub, Keypad, Motion Sensor, Entry Sensors (x2); Compatible w/ Wyze Cam, Leak &amp; Climate Sensors; 3 Mo. of 24/7 Professional Monitoring Service Incl., Subscription Required</t>
  </si>
  <si>
    <t>Lexmark B/MB2236 Return Program 3K Toner Cartridge (B221H00), 1 Unit</t>
  </si>
  <si>
    <t>GIGABYTE B760M DS3H AX (LGA 1700/ Intel/ B760/ M-ATX/ DDR5/ 2* M.2/ PCIe 4.0/ USB 3.2 Gen 2 Type-C/WiFi 6E/ 2.5GbE LAN/Q-Flash Plus/PCIe EZ-Latch/Motherboard)</t>
  </si>
  <si>
    <t>VILTROX 20mm f2.8 FE, 20mm f/2.8 e-Mount Full Frame AF Lens for Sony e Mount, Prime Wide Angle Lens for Sony e Mount a7cr a7cii a7c a6700 zv-e100 a6600 a6400 a7iv a7iii</t>
  </si>
  <si>
    <t>Shure SRH440A Over-Ear Wired Headphones for Monitoring &amp; Recording, Professional Studio Grade, Enhanced Frequency Response, Work with All Audio Devices, Adjustable &amp; Collapsible Design - 2022 Version</t>
  </si>
  <si>
    <t>Google Pixel Watch, 41mm Polished Silver Case w/Charcoal Active Band, Android Smartwatch, Fitbit Activity, Fitness, Sleep, Heart Rate Tracking, LTE Support</t>
  </si>
  <si>
    <t>HP 204A Yellow Toner Cartridge | Works with HP Color LaserJet Pro M154 Series, HP Color LaserJet Pro MFP M180, M181 Series | CF512A</t>
  </si>
  <si>
    <t>Casely iPhone 14 Pro Max Case | Fit Check | Green Checkerboard | Classic Ultra Slim Case Design | Compatible with MagSafe</t>
  </si>
  <si>
    <t>KODAK SOUNDBRIX™ Bluetooth Speaker with HD Sound Portable Wireless IPX4 Water Resistant Upto 5H Playtime V5.4 for Home Party Outdoor Beach Electronic Gadgets Birthday Gift Black Stackable Speakers</t>
  </si>
  <si>
    <t>JBL Xtreme 2 Portable Bluetooth Waterproof Speaker (Camouflage)</t>
  </si>
  <si>
    <t>Roku 3920RW-SW Premiere - 4K/HDR Streaming Media Player, Enabled with Premium High Speed HDMI Cable &amp; Simple Remote, Wi-Fi, with HDMI Cable and USB Extension Cord</t>
  </si>
  <si>
    <t>Insta360 X4 Invisible Dive Case</t>
  </si>
  <si>
    <t>OWC Thunderbolt Hub with Three Thunderbolt 4 Ports and One USB Port for Thunderbolt 4 PC</t>
  </si>
  <si>
    <t>JBL Professional 1 Series 104-BT Compact Desktop Reference Monitors with Bluetooth, Black, Sold as Pair, 4.5-inch Speaker</t>
  </si>
  <si>
    <t>NETGEAR 8-Port 2.5GB Switch - Multi-Gigabit Ethernet Unmanaged Essentials Network Switch (MS308) - 8 x 1G/2.5G - Desktop or Wall Mount - Limited 3 Year Protection</t>
  </si>
  <si>
    <t>Apple Pencil (1st Generation): Pixel-Perfect Precision and Industry-Leading Low Latency, Perfect for Note-Taking, Drawing, and Signing documents.</t>
  </si>
  <si>
    <t>Epson Expression Photo XP-8700 Wireless All-in-One Printer with Built-in Scanner and Copier and 4.3" Color Touchscreen, Black</t>
  </si>
  <si>
    <t>Razer Kraken Kitty V2 BT Wireless RGB Headset: Chroma RGB - Bluetooth 5.2-40 mm Drivers - 40 Hr Battery w/Type C Charging - Hello Kitty &amp; Friends Edition</t>
  </si>
  <si>
    <t>Pyle 5.25" Wall Mount Bluetooth Speakers, Waterproof Indoor/Outdoor Speaker System, 240W Max, Marine Grade, Wireless Music Streaming, Full Range Stereo, Suitable for Patio, Poolside, Home (White Pair)</t>
  </si>
  <si>
    <t>Ortofon Replacement Stylus 2M Blue</t>
  </si>
  <si>
    <t>Plantronics HW510 EncorePro Noise Cancelling Over Head Monaural Headset</t>
  </si>
  <si>
    <t>AMD Ryzen 7 5700 8-Core, 16-Thread Desktop Processor</t>
  </si>
  <si>
    <t>ASURION 2 Year Headphones Protection Plan ($80 - $89.99)</t>
  </si>
  <si>
    <t>MSI Pro MP161 E2 Portable Monitor, 15.6" FHD IPS 1080p, USB Type-C, Mini-HDMI, Built-in Speakers, Perfect for PC, Mac, PS5, PS4, Xbox, Mobile, Metal Gray</t>
  </si>
  <si>
    <t>AMD Ryzen 3 3200G 4-core unlocked desktop processor with Radeon Graphics</t>
  </si>
  <si>
    <t>Pioneer TS-501M 4-Way Coaxial Car Audio Speakers (Pair) - 5-1/4" Round, 300 W Max Power, Black and Red</t>
  </si>
  <si>
    <t>OWC Thunderbolt 5 Hub, 3 x Thunderbolt 5 Ports, USB-A Port, Up to 80/120Gb/s, Up to 3 8k displays, 140 w Power &amp; Charging, Compatible with Mac &amp; PC, Thunderbolt 5/4/3, USB4 &amp; USB-C</t>
  </si>
  <si>
    <t>SanDisk 32GB Ultra SD Memory Card (10 Pack) SDHC UHS-I Card 100 MB/s Class 10 (SDSDUNR-032G-GN3IN) Bundle with (1) Everything But Stromboli SD/Micro Card Reader</t>
  </si>
  <si>
    <t>ASURION 2 Year Personal Care Protection Plan ($40 - $49.99)</t>
  </si>
  <si>
    <t>Dell Laptop Charger 165W Watt USB Type C AC Power Adapter Precision 5680 28V 5.893A</t>
  </si>
  <si>
    <t>VIVO 500ft Bulk Cat6 Wire, Full Copper Ethernet Cable, 23 AWG, UTP Pull Box, LAN Network, Blue, CABLE-V017</t>
  </si>
  <si>
    <t>Fractal Design Pop XL Air RGB Black Tempered Glass Clear Tint</t>
  </si>
  <si>
    <t>ASURION 4 Year Home Improvement Protection Plan ($200 - $249.99)</t>
  </si>
  <si>
    <t>DYMO Industrial Label Maker &amp; Carry-Case RhinoPRO 5200 Label Maker, for Job Sites and Heavy-Duty Labeling Jobs, Prints Fast, Includes 2 Rolls of DYMO Industrial Vinyl Labels</t>
  </si>
  <si>
    <t>JBL Xtreme 3 - Portable Bluetooth Speaker, powerful sound and deep bass, IP67 waterproof, 15 hours of playtime, powerbank, PartyBoost for multi-speaker pairing (Blue)</t>
  </si>
  <si>
    <t>Brady M211 Portable Bluetooth Monochrome Label Printer, Yellow/Black</t>
  </si>
  <si>
    <t>SAMSUNG Galaxy Watch 6 Classic 47mm Stainless-Steel Smartwatch w/Fitness Tracker, Heart Monitor, BIA Sensor, Bluetooth – Black</t>
  </si>
  <si>
    <t>Matte Black Ink 55ml (PFI-030MBK) for Canon imagePROGRAF TA-20 and TA-30</t>
  </si>
  <si>
    <t>MSI MAG MT201D - Premium Heavy Duty Dual Monitor Stand Arms, 17-45" Support, VESA Compatible, Adjustable Spring Mount, 44 lbs per Screen, Clamp &amp; Grommet, Quick Release Plate - Black</t>
  </si>
  <si>
    <t>Apple Watch Series 6 (GPS + Cellular, 40mm) - Silver Aluminum Case with White Sport Band (Renewed)</t>
  </si>
  <si>
    <t>GoPro Volta - Official GoPro Accessory</t>
  </si>
  <si>
    <t>Netgear Gigabit Cable Modem (32x8) DOCSIS 3.1 | for XFINITY by Comcast, Cox. Compatible with Gig-Speed from Xfinity - CM1000-1AZNAS (Renewed)</t>
  </si>
  <si>
    <t>AT&amp;T TL86103 2-Line Corded/Cordless for Small Business with Answering Machine, 2-Mailboxes, Connect-to-Cell, Caller ID Announcer, Intercom, Line-Power, Long Range &amp; Expandable to 12 Handsets</t>
  </si>
  <si>
    <t>ASURION 4 Year Home Improvement Protection Plan ($250 - $299.99)</t>
  </si>
  <si>
    <t>Pyle 2000W 2-Channel Bluetooth 5.0 Power Amplifier - Bridgeable Rack-Mount Pro Audio Receiver with TRS/XLR Input - LCD Display - Cooling Fan - Bridge Mode - 4-8 Ohm Speakers - PTA1000BT</t>
  </si>
  <si>
    <t>PHILIPS Wireless Keyboard and Mouse Combo-Ergonomic Keyboard and Mouse Wireless Combo with Silent Design,Plug n' Play,Sleep Mode and 2.4GHz Keyboard for Mac, Windows, Laptop-Black</t>
  </si>
  <si>
    <t>HP DeskJet 2855e Wireless All-in-One Color Inkjet Printer, Scanner, Copier, Best-for-Home, 3 Month Instant Ink Trial Included (588S5A) (Renewed)</t>
  </si>
  <si>
    <t>Ubiquiti Networks Access Point WiFi 6 Pro, W126582756</t>
  </si>
  <si>
    <t>HP 305X Black High-yield Toner Cartridge for HP Printers | Works with Printer Series: LaserJet Pro 300 M351, 300 MFP M375, 400 M451, 400 MFP M475 | CE410X</t>
  </si>
  <si>
    <t>G.SKILL Trident Z5 RGB Series (Intel XMP 3.0 &amp; AMD Expo) DDR5 RAM 32GB (2X 16GB) 6000MT/s CL36-36-36-96 1.35V Desktop Computer Memory U-DIMM - Matte Black (F5-6000J3636F16GA2-TZ5RK)</t>
  </si>
  <si>
    <t>Kobo Clara Colour | eReader | 6” Glare-Free Colour E Ink Display | Dark Mode Option | Waterproof | Audiobooks | 16GB of Storage | Black</t>
  </si>
  <si>
    <t>Brother Genuine TN229XXLC Cyan Super High Yield Printer Toner Cartridge - Print up to 4,000 Pages(1), Compatible with HL-L3295CDW, HL-L8245CDW, MFC-L3780CDW, and MFC-L8395CDW Printers</t>
  </si>
  <si>
    <t>JBL Live 670NC - Wireless On-Ear Headphones with Adaptive Noise Cancelling with Smart Ambient, Up to 65H Battery Life with Speed Charge, Lightweight, Comfortable and Foldable Design (Black)</t>
  </si>
  <si>
    <t>Logitech for Creators StreamCam Premium Webcam for Streaming and Content Creation, Full HD 1080p 60 fps, Glass Lens, Smart Auto-Focus, for PC/Mac – Graphite</t>
  </si>
  <si>
    <t>ASURION 2 Year Jewelry Protection Plan ($30 - $39.99)</t>
  </si>
  <si>
    <t>HP 131A Yellow Toner Cartridge for HP Printers | Works with Printer Series: LaserJet Pro 200 color M251, LaserJet Pro 200 color MFP M276 | CF212A</t>
  </si>
  <si>
    <t>Apple Watch Series 7 (GPS + Cellular, 41mm) Midnight Aluminum Case with Midnight Sport Band, Regular (Renewed)</t>
  </si>
  <si>
    <t>CORSAIR VENGEANCE DDR5 RAM 64GB (2x32GB) 6400MHz CL32-40-40-84 1.40V Intel XMP Desktop Computer Memory - Black (CMK64GX5M2B6400C32)</t>
  </si>
  <si>
    <t>Nintendo 3DS Handheld System - Cosmo Black (Renewed)</t>
  </si>
  <si>
    <t>Texas Instruments TI-84 Plus CE Python Color Graphing Calculator, Galaxy Gray (Metallic)</t>
  </si>
  <si>
    <t>Apple Watch Series 8 [GPS + Cellular, 41mm] - Midnight Aluminum Case with Midnight Sport Band, M/L (Renewed)</t>
  </si>
  <si>
    <t>soundcore V40i by Anker, Open-Ear Headphones, Crystal-Clear Design, Lidless Case, 4 Adjustable Positions for Every Ear Size, Richer Bass, IP55, 21H Playtime, AI Clear Calls, Bluetooth 5.4, App Control</t>
  </si>
  <si>
    <t>Corsair Dark Core RGB Pro, Wireless FPS/MOBA Gaming optical Mouse with SLIPSTREAM Technology, Black, Backlit RGB LED, 18000 DPI, Optical,CH-9315411-NA</t>
  </si>
  <si>
    <t>Duracell 223-6V Lithium-Battery, 1 Count Pack, 223 6 Volt High Power Ultra Lithium-Battery, Long-Lasting for Video and Photo-Cameras, Lighting Equipment, and More</t>
  </si>
  <si>
    <t>The North Face Borealis Commuter Laptop Backpack, Dark Oak/TNF Black, One Size</t>
  </si>
  <si>
    <t>Rockford Fosgate M0-65 Marine Grade 6.5" Coaxial Full Range Speakers - White (Pair)</t>
  </si>
  <si>
    <t>ASUS TUF Gaming A520M-PLUS (WiFi) AMD AM4 (3rd Gen Ryzen™) microATX Motherboard (M.2 Support, 802.11ac Wi-Fi, DisplayPort, HDMI, D-Sub, USB 3.2 Gen 1 Type-A and Aura Addressable Gen 2 headers)</t>
  </si>
  <si>
    <t>ecobee SmartCamera – Indoor WiFi Security Camera, Smart Home Security System, 1080p HD 180 Degree FOV, Night Vision, 2-Way Audio, Works with Apple HomeKit, Alexa Built In</t>
  </si>
  <si>
    <t>ASRock Intel ARC A380 Challenger ITX 6GB OC GDDR6 96-bit DisplayPort HDMI 0dB Silent Cooling 2250 MHz 7680 x 4320 PCI Express4.0 Graphics Card 500W</t>
  </si>
  <si>
    <t>VEVOR Retractable Extension Cord Reel, 65 FT, Heavy Duty 12AWG/3C SJTOW Power Cord, with Lighted Triple Tap Outlet, 15 Amp Circuit Breaker, 180° Swivel Bracket for Ceiling or Wall Mount</t>
  </si>
  <si>
    <t>Synology Network Upgrade Module adds 1x 10GbE RJ-45 (E10G22-T1-Mini)</t>
  </si>
  <si>
    <t>Aputure Light Dome SE 33.5inch Softbox Bowens Mount with Honeycomb Grid for Aputure Light 600d,300x,Amaran 100/200/300c/150c</t>
  </si>
  <si>
    <t>HP 202X Yellow High-yield Toner Cartridge | Works with HP Color LaserJet Pro M254, HP Color LaserJet Pro MFP M281 Series | CF502X</t>
  </si>
  <si>
    <t>Satechi Mac mini Hub &amp; Stand with SSD Enclosure for NVME/SATA M.2, Mac mini Dock with USB C 10Gbps, 3 USB A 5/10Gbps, 2.0 Audio Jack, for Mac Studio, Mac mini M2/M1 (Not Compatible with M4) - Silver</t>
  </si>
  <si>
    <t>ASURION 3 Year Furniture Protection Plan ($200 - $249.99)</t>
  </si>
  <si>
    <t>AT&amp;T Cordless Phones for Home with Answering Machine, 4 Handsets DECT 6.0 Bluetooth Expandable, Smart Call Blocking, Caller ID, Intercom and Bluetooth, Connect to Cell, BL3112-4</t>
  </si>
  <si>
    <t>HP 204A Magenta Toner Cartridge | Works with HP Color LaserJet Pro M154 Series, HP Color LaserJet Pro MFP M180, M181 Series | CF513A</t>
  </si>
  <si>
    <t>Baseus 17-in-1 Docking Station, Laptop Docking Station 3 Monitors with 3 * 4K HDMI, USB C Docking Station with 7 USB, 1000Mbps Ethernet, 100W PD, Card Readers Compatible with Acer/HP/Lenovo/Mac/Dell</t>
  </si>
  <si>
    <t>CoolerMaster MasterLiquid ML240L RGB V2, Close-Loop AIO CPU Liquid Cooler, Gen3 Dual Chamber Pump, 240mm Radiator, SickleFlow 120 PWM ARGB, AMD Ryzen AM5/AM4, Intel LGA1700/1200 (MLW-D24M-A18PC-R2)</t>
  </si>
  <si>
    <t>Amazfit Active Smart Watch 42mm, AI Fitness Tracker &amp; Sleep Coach, GPS, Amazon Alexa Built-In, Bluetooth, 14-Day Battery, 120+ Sports Modes, Android &amp; iPhone, Petal Pink</t>
  </si>
  <si>
    <t>AMD Ryzen 5 3400G 4-core, 8-Thread Unlocked Desktop Processor with Radeon RX Graphics</t>
  </si>
  <si>
    <t>CORSAIR iCUE Link LX120-R RGB 120mm PWM Reverse Fans – Triple Fan Kit – Low-Noise, Magnetic Dome Bearing, Dual Light Loops, CORSAIR QuikTurn Screws, Zero RPM Mode – Black</t>
  </si>
  <si>
    <t>Pyle 400W Stereo Amplifier Receiver - BT Home Audio Amplifier with USB/SD Readers, FM Radio, 3.5mm Aux, Phono, Optical &amp; Coaxial Inputs, LED Display, Mic Inputs, Built-in 2 in 1 HDMI Switch</t>
  </si>
  <si>
    <t>Razer Wolverine V2 Wired Gaming Controller for Xbox Series X|S, Xbox One, PC: Remappable Front-Facing Buttons - Mecha-Tactile Action Buttons and D-Pad - Trigger Stop-Switches - White</t>
  </si>
  <si>
    <t>VIVO Magnetic Portable Laptop Workstation, Notebook/Tablet Shelf, Utility Platform, Hands-Free Compact Desk, Attaches to Flat Steel Surfaces, Black, DESK-MAG01</t>
  </si>
  <si>
    <t>Google Pixel Watch 41mm Smartwatch with WiFi, GPS, BT and Heart Rate Monitor in Bulk Packaging (Hazel)</t>
  </si>
  <si>
    <t>Panasonic HomeHawk Window Home Monitoring Camera for Outdoor Monitoring, Mounts to Inside Window, Color Night Vision, Wide Angle, 24/7 Full HD Recording, Person Detection, Alexa Compatible KX-HNC500</t>
  </si>
  <si>
    <t>Beats Studio3 Wireless Noise Cancelling Over-Ear Headphones - Matte Black (Renewed)</t>
  </si>
  <si>
    <t>UGREEN 140W USB C Charger, Mac Book Pro Charger Nexode PD3.1 PPS 3-Port Foldable GaN Fast Laptop Wall Charger Power Adapter for MacBook Pro 16'', iPhone 16/15, Chromebook (with 240W Cable)</t>
  </si>
  <si>
    <t>CORSAIR SCIMITAR ELITE RGB WIRELESS MMO Gaming Mouse - 26,000 DPI - 16 Programmable Buttons - Up to 150hrs Battery - iCUE Compatible - Black</t>
  </si>
  <si>
    <t>Shure PGA48 Dynamic Microphone - Handheld Mic for Vocals with Cardioid Pick-up Pattern, Discrete On/Off Switch, 3-pin XLR Connector, Stand Adapter and Zipper Pouch, No Cable (PGA48-LC)</t>
  </si>
  <si>
    <t>HP 201A Magenta Toner Cartridge | Works with HP Color LaserJet Pro M252, HP Color LaserJet Pro MFP M277 Series | CF403A</t>
  </si>
  <si>
    <t>G.SKILL Trident Z Neo Series DDR4 RAM (XMP) 64GB (2x32GB) 3600MT/s CL18-22-22-42 1.35V Intel AMD Desktop Computer Memory U-DIMM (F4-3600C18D-64GTZN)</t>
  </si>
  <si>
    <t>Panasonic DECT 6.0 Expandable Cordless Phone System with Answering Machine and Call Blocking - 3 Handsets - KX-TGE633M (Metallic Black)</t>
  </si>
  <si>
    <t>HP 85A Black Toner Cartridges (2-pack) | Works with HP LaserJet Pro P1102, P1109 Series, HP LaserJet Pro MFP M1212, M1217 Series | CE285D</t>
  </si>
  <si>
    <t>OtterBox FRĒ Series Waterproof Case with MagSafe (Designed by LifeProof) for iPhone 14 - Black</t>
  </si>
  <si>
    <t>Peak Design Camera Cube V2, Small, Custom Organization and Protection, Weatherproof Shell with Foam Sub-Lining, FlexFold Dividers, Camera Bag Insert Compatible Travel &amp; Outdoor Bags</t>
  </si>
  <si>
    <t>ASUS Prime AP201 33-Liter MicroATX Black case with Tool-Free Side Panels and a Quasi-Filter mesh, with Support for 360 mm Coolers, Graphics Cards up to 338 mm Long, and Standard ATX PSUs</t>
  </si>
  <si>
    <t>SAMSUNG 32-inch Class LED Smart FHD TV 720P (UN32M4500BFXZA)</t>
  </si>
  <si>
    <t>HP 131A Cyan Toner Cartridge for HP Printers | Works with LaserJet Pro 200 color M251, LaserJet Pro 200 color MFP M276 Series | CF211A</t>
  </si>
  <si>
    <t>Taramps DS 440x4 2 Ohms Multichannel Amplifier 440 Watts Rms 110x4 Watts Full Range Crossover Fixed Rca/High Level Input 4 Channels Car Audio, Class D</t>
  </si>
  <si>
    <t>KENWOOD KMR-M332BT Car &amp; Marine Stereo - Single Din, Bluetooth Audio, USB MP3, Aux in, AM FM Radio SiriusXM Ready, Weatherproof, Multi Color Illumination</t>
  </si>
  <si>
    <t>SanDisk 128GB Extreme PRO CompactFlash Memory Card UDMA 7 Speed Up To 160MB/s- SDCFXPS-128G-X46</t>
  </si>
  <si>
    <t>Wireless Xbox Gaming Headset: Razer Kaira Pro with Titanium Drivers &amp; Supercardioid Mic - Black</t>
  </si>
  <si>
    <t>Celestron Travel Scope 70 Portable Refractor Telescope – 70mm Aperture, Fully-Coated Glass Optics – Includes Tripod, Backpack &amp; Software – Ideal for Beginners &amp; Travel</t>
  </si>
  <si>
    <t>Razer BlackWidow V3 TKL Mechanical Gaming Keyboard: Yellow Mechanical Switches Linear &amp; Silent - Chroma RGB - Compact Form Factor - Programmable Macros Snap Tap</t>
  </si>
  <si>
    <t>Razer Joro Portable Wireless Gaming Keyboard: Thin, Light, Compact - Chroma RGB - Low Profile Switches - Bluetooth - Long Battery Life - Snap Tap - For PC &amp; Mac Laptops, Steam Deck, Smartphone, Tablet</t>
  </si>
  <si>
    <t>ASURION 4 Year Office Equipment Protection Plan ($400 - $449.99)</t>
  </si>
  <si>
    <t>Amazon Basics 18 Sheet Cross Cut Paper, CD, and Credit Card Shredder, Black</t>
  </si>
  <si>
    <t>Sharp CD-BH10 Vintage Style Retro Look Micro Component Wireless Bluetooth Audio Streaming &amp; CD Player Wood Speaker System, USB Port for MP3 Playback, FM Stereo Digital Tuner, AUX Input</t>
  </si>
  <si>
    <t>Canon PGI-250XL/CLI-251 Genuine Five Color Value Pack, Compatible with MG6320, iP7220, MG5420, MX922, MX722, MG7120, MG6420, MG5520, iX6820, iP8720, MG7520, MG6620, and MG5620 (Optional) Printers</t>
  </si>
  <si>
    <t>CORSAIR MM700 RGB Extended Cloth Gaming Mouse Pad - 36.6" x 15.8" - 360° RGB Lighting - Two USB Port Hub - Thick Rubber - Black</t>
  </si>
  <si>
    <t>2018 Apple iPad (9.7-inch, Wi-Fi, 128GB) - Silver (Renewed)</t>
  </si>
  <si>
    <t>Destinations of a Lifetime: 225 of the World's Most Amazing Places</t>
  </si>
  <si>
    <t>FiiO K11 Desktop 1400W Power Balanced Headphone DAC &amp; Amplifier 384kHz/24Bit DSD256 for Home Audio/PC 6.35mm/4.4mm/RCA/Coaxial/Optical (Black)</t>
  </si>
  <si>
    <t>Aputure Light Dome Mini III Softbox,Bowens Mount Octagonal Softbox Quick-Setup Soft Light Modifier for Video Light Aputure Amaran 200/100/300c/150c/60d s/60x s</t>
  </si>
  <si>
    <t>Pyle 50 Inch Portable Projector Screen with Tripod Stand – Lightweight, Durable, Easy Pull Setup Mobile Projection Screen with 4:3 Aspect Ratio, White Matte Fabric for Indoor/Outdoor Use</t>
  </si>
  <si>
    <t>ASURION 2 Year Electronics Protection Plan ($300 - $349.99)</t>
  </si>
  <si>
    <t>Canon LK-72 Battery Pack, Compatibile to The Canon TR150 Mobile Printer</t>
  </si>
  <si>
    <t>Roku Streaming Stick 4K Streaming Device 4K/HDR/Dolby Vision with Voice Remote and TV Controls</t>
  </si>
  <si>
    <t>Belkin Connect Thunderbolt 4 Docking Station, 5-in-1 USB-C Multiport Core Hub w/ 96W Power Delivery for Mac, Windows, Single 8K or Dual 4K Display, Thunderbolt 4 Cable &amp; Power Supply Included</t>
  </si>
  <si>
    <t>Corsair 3000D AIRFLOW Mid-Tower PC Case – 3-Pin Fans – Four-Slot GPU Support – Fits up to 8x 120mm Fans – High-Airflow Design – Black</t>
  </si>
  <si>
    <t>ASURION 2 Year Headphones Protection Plan ($70 - $79.99)</t>
  </si>
  <si>
    <t>Microsoft Surface Pen for Surface Pro 11, for Surface Pro/Go/Laptop/Book/Studio Series, Surface Stylus with Replacement Tip, 1024 Pressure, Platinum, Model 1896</t>
  </si>
  <si>
    <t>Celestron 93973 Skyportal WiFi Module, Black</t>
  </si>
  <si>
    <t>SteelSeries Arctis Nova Pro Multi-System Gaming Headset - Premium Drivers - Hi-Res Spatial Audio - GameDAC Gen 2 - ESS Quad-DAC - ClearCast Mic - PC, PS5, PS4, Switch (Renewed)</t>
  </si>
  <si>
    <t>JBL Tune Beam - True Wireless Active Noise Cancelling Earbuds, Deep Bass Sound, Bluetooth 5.3, Water &amp; Dust Resistant, Hands-Free Call with VoiceAware, Up to 48 Hours of Battery Life</t>
  </si>
  <si>
    <t>StarTech.com USB 3.0 to Quad HDMI Adapter, USB to 4x HDMI Monitor Converter for Windows, TAA (no support for macOS/ChromeOS/Linux)</t>
  </si>
  <si>
    <t>OtterBox DEFENDER FOR BUSINESS W/ KICKSTAND/HANDSTRAP for iPad (A16) &amp; iPad 10th Gen V2 - BLACK, No Screen Protector Included (Single unit ships in Polybag, Ideal for Business Customer)</t>
  </si>
  <si>
    <t>Canon Office Products 2204C001 Canon P170-DH-3 Desktop Printing Calculator with Currency Conversion, Clock &amp; Calendar, and Time Calculation, Black/White/Silver, 14.60 Inch x 9.60 Inch x 3.00 Inch</t>
  </si>
  <si>
    <t>Sony INZONE H9 II Wireless Noise Canceling Gaming Headset, WH-1000XM6 Drivers, Lightweight, Detachable Cardoid AI Mic, 2.4GHz and Bluetooth, Soft Case, for PC, PS5, Switch, and Mobile, Black</t>
  </si>
  <si>
    <t>Skullcandy Crusher 540 Active Wireless Bluetooth Headphones with Multi-Sensory Bass, Noise Isolating Over-Ear Fit, Sweat and Water Resistant, 40 Hours Battery, Microphone for iPhone Android - Concrete</t>
  </si>
  <si>
    <t>Xerox C230/DNI Color Printer, Laser, Wireless</t>
  </si>
  <si>
    <t>Alienware Wired/Wireless Gaming Mouse AW610M - 16000 DPI Optical Sensor, 350 Hour Rechargeable Battery, 7 Buttons, 3-ZONE 16.8m AlienFX RGB Lighting, Ergonomic - Dark Side of the Moon</t>
  </si>
  <si>
    <t>Ultimate Ears Boom 3 Wireless Bluetooth Speaker, Bold Sound + Deep Bass, Bluetooth, Magic Button, Waterproof, 15 Hours Battery, Range of 150 ft, Night Black</t>
  </si>
  <si>
    <t>Eneloop Panasonic BK-3HCCA16FA pro AA High Capacity Ni-MH Pre-Charged Rechargeable Batteries, 16-Battery Pack</t>
  </si>
  <si>
    <t>ASURION 3 Year Personal Care Protection Plan ($40 - $49.99)</t>
  </si>
  <si>
    <t>ARRIS (SBG8300-RB) - Cable Modem Router Combo - Fast DOCSIS 3.1 Gigabit &amp; AC2350 WiFi,Comcast Xfinity, Cox, Spectrum &amp; More, 1 Gbps Max Internet Speeds, 4 OFDM Channels - Renewed</t>
  </si>
  <si>
    <t>Corsair MP600 MINI 1TB M.2 NVMe PCIe x4 Gen4 2 SSD – M.2 2230 – Up to 7,000MB/sec Sequential Read – High-Density 3D TLC NAND – Great for Steam Deck and Microsoft Surface – Black</t>
  </si>
  <si>
    <t>Blink Whole Home Bundle – Outdoor 4 camera, Mini 2 camera, Video Doorbell (2nd Generation), Sync Module Core included – HD video, motion detection, Works with Alexa</t>
  </si>
  <si>
    <t>Sony DSX-A410BT Single Din Bluetooth Front USB AUX Car Stereo Digital Media Receiver (No CD Player)</t>
  </si>
  <si>
    <t>Samsung Galaxy Watch 6 Classic 43mm Smartwatch with Rotating Bezel, Fitness Tracker, Advanced Sleep Coaching, Heart Monitor - Silver (Renewed)</t>
  </si>
  <si>
    <t>Logitech G935 Wireless DTS:X 7.1 Surround Sound LIGHTSYNC RGB PC Gaming Headset - Black/Blue</t>
  </si>
  <si>
    <t>Sennheiser ACCENTUM Wireless Bluetooth Headphones - 50-Hour Battery Life, Audio, Hybrid Noise Cancelling (ANC), All-Day Comfort and Clear Voice Pick-up for Calls, Black/Copper</t>
  </si>
  <si>
    <t>Kensington Pro Fit Ergonomic Wireless Keyboard and Mouse - Black (K75406US)</t>
  </si>
  <si>
    <t>ASURION 1 Year Portable Battery Extended Protection Plan ($30 - $39.99)</t>
  </si>
  <si>
    <t>Apple MacBook Air MJVE2LL/A 13-inch Laptop (1.6GHz Core i5,8GB RAM,128GB SSD) (Renewed)</t>
  </si>
  <si>
    <t>Kobo Stylus 2 | Mark Up, Write Notes and Make Highlights | Rechargeable via USB-C |Compatible with 7" Libra Colour eReader &amp; Kobo Sage eReader (White)</t>
  </si>
  <si>
    <t>ASURION 3 Year Cooling Protection Plan ($350 - $399.99)</t>
  </si>
  <si>
    <t>MSI A520M-A PRO Gaming Motherboard (AMD Ryzen 5000, AM4, DDR4, PCIe 3.0, SATA 6Gb/s, M.2, USB 3.2 Gen 1, DVI/HDMI, Micro-ATX)</t>
  </si>
  <si>
    <t>TP-Link EAP615-Wall | Omada Business WiFi 6 AX1800 in-Wall Wireless Gigabit Access Point | Support OFDMA, MU-MIMO &amp; Beamforming | PoE Powered | Support Omada SDN | Cloud Access &amp; Omada app</t>
  </si>
  <si>
    <t>Panasonic Cordless Phone with Advanced Call Block, Bilingual Caller ID and Easy to Read Large High-Contrast Display, Expandable System with 3 Handsets - KX-TGD813B (Black)</t>
  </si>
  <si>
    <t>JBL CLUB6520 6.5" 300W Club Series 2-Way Coaxial Car Speaker (1 Pair)</t>
  </si>
  <si>
    <t>Samsung Electronics Galaxy Watch 4 Classic 42mm Smartwatch (Renewed)</t>
  </si>
  <si>
    <t>G.SKILL Ripjaws DDR5 SO-DIMM Series DDR5 RAM 32GB (2x16GB) 5600MT/s CL40-40-40-89 1.10V Unbuffered Non-ECC Notebook/Laptop Memory SO-DIMM (F5-5600S4040A16GX2-RS)</t>
  </si>
  <si>
    <t>Carhartt 21L Top-Load Backpack, Durable Water Resistant Coated Canvas Base W/ 17" Laptop Sleeve, Black</t>
  </si>
  <si>
    <t>Muddy CRV3 HD SD Card Viewer - Durable Water-Resistant Hunting Outdoor SD Card Reader/Viewer with 4.3" LCD Screen &amp; Headphone Jack for Audio - Supports up to 32GB</t>
  </si>
  <si>
    <t>DYMO Label Maker, LetraTag 100H Silver Handheld Label Maker &amp; LT Label Tapes, Easy-to-Use, Great for Home &amp; Office Organization</t>
  </si>
  <si>
    <t>Manfrotto Element MII MKELMII4BK-BH, Lightweight Aluminium Travel Camera Tripod, with Carry Bag, Arca-Compatible Ball Head, 4-Section Legs, Twist Locks, Load up 8kg, for Mirrorless, DSLR,Black</t>
  </si>
  <si>
    <t>RØDE DS2 Desktop Studio Arm for Microphones, Cameras, Smartphones, Lights and Other Accessories (up to 900g)</t>
  </si>
  <si>
    <t>Razer Seiren V3 Chroma RGB USB Microphone: Stream &amp; Game Reactive Lighting - Tap-to-Mute Sensor - Condenser Mic - Digital Gain Limiter &amp; Shock Absorber - PC, Discord, OBS Studio, XSplit - Black</t>
  </si>
  <si>
    <t>ESR iPad Air 13 Inch Case Keyboard (M3/M2, 2025/2024), Keyboard Case with Trackpad, Magnetic Detachable Keyboard with Backlit Keys, Fully Adjustable Portrait/Landscape Stand, Ascend Series, Black</t>
  </si>
  <si>
    <t>ASURION 3 Year Cooling Protection Plan ($175 - $199.99)</t>
  </si>
  <si>
    <t>Logitech Ergo K860 Wireless Ergonomic Keyboard with Wrist Rest - Split Keyboard Layout for Windows/Mac, Bluetooth or USB Connectivity (Renewed)</t>
  </si>
  <si>
    <t>Monster Rocker 270 Sport | Portable Indoor/Outdoor Wireless Speaker, 60 Watts, Up to 24 Hours Playtime, IPX4 Water Resistant, Connect to Another TWS Speaker</t>
  </si>
  <si>
    <t>Satechi 7 in 1 USB C Hub Multiport Adapter Pro Slim, USB C Dongle, 100W Charging, 4K HDMI, USB 4, USB 3.2 Gen 2, SD/Micro Card Reader for Mac, MacBook Air/Pro M4/M3/M2/M1 - Midnight</t>
  </si>
  <si>
    <t>Pyle Stereo Amplifier Audio Receiver with Remote Control - Bluetooth Streaming, MP3/USB/SD/FM Radio, 2.0 Channel HiFi Sound System with RCA/Aux Inputs, Microphone &amp; Headphone Jacks, Adjustable Bass</t>
  </si>
  <si>
    <t>Logitech Lift Vertical Ergonomic Mouse, Wireless, Bluetooth or Logi Bolt USB Receiver, Quiet clicks, 4 Buttons, Compatible with Windows/macOS/iPadOS, Laptop, PC - Graphite (Renewed)</t>
  </si>
  <si>
    <t>ABB THQLSURGE2 Type 1 Surge Protective Device • Plug-On SPD with Pigtail for Power Supply Systems • Whole-Home or Office Protection • Compatible with PowerMark™ Load Centers</t>
  </si>
  <si>
    <t>Linksys WiFi Extender, WiFi 6 Range Booster, Dual-Band Booster, Internet Repeater, 2,000 Sq. ft Coverage, Speeds up to (AX1800) 1.8Gbps - RE7310</t>
  </si>
  <si>
    <t>CORSAIR VENGEANCE RGB PRO SL DDR4 RAM 32GB (2x16GB) 3600MHz CL18-22-22-42 1.35V Intel AMD Desktop Computer Memory - White (CMH32GX4M2D3600C18W)</t>
  </si>
  <si>
    <t>Lowrance TripleShot Skimmer Transducer for Hook Reveal and HOOK2 Fish Finders, Black</t>
  </si>
  <si>
    <t>Texas Instruments BAII Plus Financial Calculator, Black</t>
  </si>
  <si>
    <t>Amazfit GTR Mini Smart Watch 43mm, 14-Day Battery Life, GPS, AI Fitness App Enabled, Heart Rate &amp; Sleep Health Monitoring, Activity Trackers and Smartwatches, Android iPhone Compatible, Black</t>
  </si>
  <si>
    <t>OtterBox DEFENDER FOR BUSINESS W/ KICKSTAND/HANDSTRAP for iPad (A16) &amp; iPad 10th Gen V2 - BLACK, rugged &amp; durable, port protection, includes shield-stand (Non-Retail Packaging)</t>
  </si>
  <si>
    <t>SanDisk 32GB Ultra 130MB/s USB 3.0 Flash Drive SDCZ48-032G Bundle with (1) GoRAM Black Lanyard (32GB, 10 Pack)</t>
  </si>
  <si>
    <t>Texas Instruments TI-83 Plus Graphing Calculator (Renewed)</t>
  </si>
  <si>
    <t>Tyler 14” Portable TV LCD Monitor 1080P Rechargeable Lithium Battery Operated, 2 Antenna, HDMI, USB, RCA, FM Radio, Digital Tuner, AV Inputs, AC/DC, TV Stand and Remote Control for Car Travel</t>
  </si>
  <si>
    <t>Aputure Amaran MC RGBWW Mini On Camera Video Light,3200K-6500K,CRI/TLCI 96+,HSI Mode,Support Magnetic Attraction,App with USB-C PD and Wireless Charging</t>
  </si>
  <si>
    <t>OWC 32GB (2X16GB) DDR4 RAM Compatible with Synology DiskStation DS723+ and DS923+ NAS System 2666MHz PC4-21300 CL19 ECC Unbuffered SODIMM 2Rx8 1.2V Memory Upgrade</t>
  </si>
  <si>
    <t>Apple Magic Wireless Keyboard with Numeric Keypad - US English (Renewed)</t>
  </si>
  <si>
    <t>Brother PTE110 Entry Level Industrial Handheld Labeling Tool Kit - Up to 12mm Labels, Orange</t>
  </si>
  <si>
    <t>Fujifilm QuickSnap Flash 400 One Time Use 35mm Camera with Flash, 27 Exposures, 5-Pack</t>
  </si>
  <si>
    <t>Lian-Li UNI FAN SL-Infinity 120mm ARGB Case Fan with Controller, 3-Pack - White</t>
  </si>
  <si>
    <t>Peak Design Camera Cube V2, Smedium (Small/Medium), Custom Organization and Protection, Weatherproof Shell with Interior Padding, Camera Bag Insert Compatible Travel &amp; Outdoor Bags</t>
  </si>
  <si>
    <t>Carhartt 27L Classic Single-Compartment Backpack, Durable Pack with Laptop Sleeve and Duravax Abrasion Resistant Base, Black</t>
  </si>
  <si>
    <t>SwissGear 5698 Laptop Backpack, Black, 17-Inch</t>
  </si>
  <si>
    <t>ASURION 2 Year Lawn &amp; Garden Extended Protection Plan ($250 - $299.99)</t>
  </si>
  <si>
    <t>MSI MAG MT201 - Premium Heavy Duty Single Monitor Stand Arm, Supports 17-49" Screens and 44 lbs, VESA Compatible, Adjustable Spring Assisted Mount, Clamp &amp; Grommet, Quick Release Plate - Black</t>
  </si>
  <si>
    <t>Elgato Wave Neo – USB Condenser Microphone, Tap to Mute, for Gaming, Streaming, Meetings, Voice Recording on Teams/Zoom/OBS/Twitch/YouTube &amp; more, Plug-’n-Play, Works on Laptop, PC, Mac, iPad, iPhone</t>
  </si>
  <si>
    <t>Cobra 29 LTD Chrome AM/FM Professional CB Radio - Easy to Operate, Emergency Radio, Instant Channel 9, 4-Watt Output, Full 40 Channels, Adjustable Receiver and SWR Calibration, Chrome</t>
  </si>
  <si>
    <t>E-Z Ink Compatible TN433 Toner Cartridge Replacement for Brother TN433 TN-433 TN433bk TN431 to use with Brother MFC-L8900Cdw HL-L8360CDW HL-L8260CDW MFC-L8610CDW MFC-L8690CDW Printer (4 Pack)</t>
  </si>
  <si>
    <t>GoPro Max Lens Mod 2.0 (HERO12 Black) - Official GoPro Accessory, Black</t>
  </si>
  <si>
    <t>Sharp EL-1750V Two-Color Printing Calculator 2 Lines/Sec 3" Black/Red</t>
  </si>
  <si>
    <t>HP 202A Magenta Toner Cartridge | Works with HP Color LaserJet Pro M254, HP Color LaserJet Pro MFP M281 Series | CF503A</t>
  </si>
  <si>
    <t>Lexmark B/MB2236 Return Program 1.2K Toner Cartridge (B221000), 1 Unit</t>
  </si>
  <si>
    <t>Avery 5 Tab Dividers for 3 Ring Binder, Easy Print &amp; Apply Clear Label Strip, Index Maker Customizable White Tabs, 25 Sets (11446)</t>
  </si>
  <si>
    <t>ASURION 3 Year Musical Instrument Accident Protection Plan ($125 - $149.99)</t>
  </si>
  <si>
    <t>Flexzilla Retractable Extension, 14/3 AWG SJTOW, 50', Grounded Triple Tap Outlet Electric Cord Reel, ZillaGreen, FZ8140503</t>
  </si>
  <si>
    <t>Vortex Optics Bantam HD 6.5x32 Youth Binoculars - HD Optical System, XR Lens Coatings, Rubber Armor, Tripod Adaptable, Waterproof, Fogproof, Shockproof - Unlimited, Unconditional Warranty</t>
  </si>
  <si>
    <t>DEWALT 12V/20V MAX USB Charger with 2 Ports and State of Charge Indicator(DCB090)</t>
  </si>
  <si>
    <t>Google Audio Bluetooth Speaker - Wireless Music Streaming, Powerful Sound, Assistant Built-in, Wi-Fi and Bluetooth Connectivity, Smart Home Control, Stereo Pairing, Includes Pouch and Cloth</t>
  </si>
  <si>
    <t>ASURION 2 Year Toy Accident Protection Plan ($40 - $49.99)</t>
  </si>
  <si>
    <t>ASURION 3 Year Personal Care Protection Plan ($50 - $59.99)</t>
  </si>
  <si>
    <t>Pelican 1200 Case With Foam (Black)</t>
  </si>
  <si>
    <t>Antec Flux Wood, 5 x PWM Fans Included, High-Airflow Front Panel with Walnut Wood, Type-C, 420mm Radiator &amp; Back Connect Motherboard Support, Up to 9 Fans Simultaneously, Mid-Tower E-ATX PC Case</t>
  </si>
  <si>
    <t>WAVLINK USB C and USB 3.0 to Dual 4K DisplayPort/HDMI Adapter, Displaylink Monitor Splitter Extended Display for Dual Monitor 4K@60Hz, HDMI/DP Splitter Compatible with Mac M1-M4,Window Laptop-Silver</t>
  </si>
  <si>
    <t>Thermaltake Versa H18 Tempered Glass Black Spcc Micro ATX Gaming Computer Case CA-1J4-00S1WN-01</t>
  </si>
  <si>
    <t>HP 131X Black High-yield Toner Cartridge | Works with HP LaserJet Pro 200 color M251 Series, HP LaserJet Pro 200 color MFP M276 Series | CF210X</t>
  </si>
  <si>
    <t>Razer Stream Controller: All-In-One Keypad for Streaming - 12 Haptic Switchblade Keys - 6 Tactile Analog Dials - 8 Programmable Buttons - Designed for PC &amp; Mac Compatibility</t>
  </si>
  <si>
    <t>Pyle 3 Piece Professional Dynamic Microphone Kit Cardioid Unidirectional Vocal Handheld MIC with Hard Carry Case &amp; Bag, Holder/Clip &amp; 26ft XLR Audio Cable to 1/4'' Audio Connection (PDMICKT34),Black</t>
  </si>
  <si>
    <t>Canon PGI-2200 XL Genuine Four Color Value Pack, Compatible with MAXIFY: IB4120, MB5120, MB5420, IB4020, MB5020, and MB5320 (Optional) Printers</t>
  </si>
  <si>
    <t>Creative Sound Blaster Z SE Internal PCI-e Gaming Sound Card and DAC, 24-bit / 192 kHz, 116 dB SNR, ASIO, 600Ω Headphones Amp, Mic EQ, Discrete 5.1 / Virtual 7.1, Supports Dolby Digital Live, DTS</t>
  </si>
  <si>
    <t>DEWALT Heavy Duty Magnetic Power Bank 5,000mAh, Rugged Wireless Portable Charger, 18W Fast Charging Battery Pack, USB-C to C w/USB Adapter Cable 4', Water Resistant, Works w/Magsafe iPhone 16/15/14</t>
  </si>
  <si>
    <t>StarTech.com 4-Port USB 3.0 SuperSpeed Hub with Power Adapter 5Gbps - Portable Multiport USB-A Dock IT Pro - USB Port Expansion Hub for PC/Mac - 4 Port Powered USB Hub for PC (ST4300USB3)</t>
  </si>
  <si>
    <t>ASURION 4 Year Housewares Protection Plan ($200 - $249.99)</t>
  </si>
  <si>
    <t>Edifier W820NB Plus Hybrid Active Noise Cancelling Headphones - LDAC Codec - Hi-Res Audio Wireless &amp; Wired - Fast Charge - 49H Playtime - Over Ear Bluetooth V5.2 Headphones- Black</t>
  </si>
  <si>
    <t>Thermaltake Versa H21 SPCC ATX Mid Tower Computer Chassis CA-1B2-00M1NN-00,Black</t>
  </si>
  <si>
    <t>Retevis Case of 10, Two Way Radio Earpiece with Mic Single Wire Earhook Headset for RT22 RT21 RT68 RT68H H777 H777H RT86A RT86S, Compatible with Pxton Baofeng BF-888S BF-T26 Kenwood Walkie Talkies</t>
  </si>
  <si>
    <t>Logitech Signature Slim Wired K620 for Business, Full-Size Keyboard, USB-C Plug-and-Play, Laptop-Style, Scissor Keys, Windows/Mac/Chrome/PC/laptops - Graphite</t>
  </si>
  <si>
    <t>ASUS RT-AX58U Dual Band WIFI Router (RT-AX3000) (Renewed)</t>
  </si>
  <si>
    <t>Sound Blaster GS3 Compact RGB Gaming Soundbar with SuperWide Technology, Powered via USB, Bluetooth 5.4, Headphone-Out Port, for PC and Mac</t>
  </si>
  <si>
    <t>ASURION 2 Year Portable Electronic Accident Protection Plan ($450 - $499.99)</t>
  </si>
  <si>
    <t>VIVO Freestanding Dual Computer Monitor and Laptop Combo Desk Stand with Glass Base, Fits up to 32 inch Monitors and 17 inch Laptops, Black, STAND-V003FGL</t>
  </si>
  <si>
    <t>Laptop Charger 65W Watt USB Type C AC Power Adapter Include Power Cord for Dell Latitude 3400 3500 5290(2in1) 5300 5400 5500 7200(2in1) 7300 7400(2in1), LA65NM170 HA65NM170,02YK0F 0M1WCF</t>
  </si>
  <si>
    <t>VIVO Triple LCD LED Computer Monitor Desk Stand, Free Standing Heavy Duty Fully Adjustable Mount for 3 Screens up to 30 inches STAND-V003E</t>
  </si>
  <si>
    <t>Panasonic DECT 6.0 Plus Cordless Phone Handset Accessory Compatible with 2-Line Cordless Phones KX-TG95xx Series Business telephones, Headset Jack - KX-TGA950B (Black)</t>
  </si>
  <si>
    <t>2 Kicker 43DSC504 D-Series 5.25" 200W 2-Way 4-Ohm Car Audio Coaxial Speakers</t>
  </si>
  <si>
    <t>Blackmagic Micro Converter BiDirect SDI/HDMI 3G (CONVBDC/SDI/HDMI03G)</t>
  </si>
  <si>
    <t>Seagate One Touch, 2TB, Password activated hardware encryption, portable external hard drive, portable external hard drive, PC, Notebook &amp; Mac, USB 3.0, Black (STKY2000400)</t>
  </si>
  <si>
    <t>Pyle Megaphone Bull Horn Loud PA Speaker with 30W Power and Adjustable Volume Control, 800 Yard Range, Lightweight Portable Design, Ideal for Outdoor Sports, Cheerleading and Coaches</t>
  </si>
  <si>
    <t>Avery Removable ID Labels, Sure Feed, Removable Adhesive, 0.5" x 1.75", 2,000 Labels (6467)</t>
  </si>
  <si>
    <t>Razer Kaira Wireless Gaming Headset for Xbox Series X|S, Xbox One: Triforce Titanium 50mm Drivers - Cardioid Mic - Breathable Memory Foam Ear Cushions - EQ Pairing Button - Windows Sonic - Black</t>
  </si>
  <si>
    <t>SwissGear Mini 1900 Scansmart Slim Version Laptop Backpack, Black, 16-Inch</t>
  </si>
  <si>
    <t>Mounting Dream Black Alloy Steel Speaker Stands, Height Adjustable Bookshelf Speaker Stand Pair, Universal Fit, 11 lbs Capacity, Set of 2 for Bose Polk JBL Sony Yamaha - 42" Max Height</t>
  </si>
  <si>
    <t>Kicker 46CK4 K-Series Complete 4-AWG Amplifier Connection Kit W/ 2-Channel RCA Interconnects</t>
  </si>
  <si>
    <t>JLab Go Lux ANC Wireless Headphones, Sage, Hybrid Active Noise Cancelling, Premium On-Ear Bluetooth Headset, Customizable Sound, Be Aware Mode, Cloud Foam Comfort, Multipoint Connection</t>
  </si>
  <si>
    <t>Lenovo 20V 11.5A 230W Slim Tip AC Adapter for Legion 5i Gen 9 Legion Slim 5 Gen 9 (16″ AMD) ThinkBook 16p Gen 4, Compatible P/N: ADL230SCC3A, SA10R16890, 02DL144., Black</t>
  </si>
  <si>
    <t>Osprey Daylite Plus Commuter Backpack – Lightweight, Everyday Pack with Laptop Sleeve and Water Bottle Pockets – Ideal for Work, School, and Travel with Versatile Storage Options, Frosty Mint Green</t>
  </si>
  <si>
    <t>Canon PGI-250XL Black Ink Cartridges (6432B004), High Yield 2/Pack</t>
  </si>
  <si>
    <t>Pelican iPhone MagSafe Wallet with RFID Blocking - Military STD Snap-On Magnetic Phone Wallet for Cash and Phone Card Holder - Detachable Card Holder for iPhone Pro Max 16/15/14/13/12 - Black</t>
  </si>
  <si>
    <t>Sony SRS-XB23 EXTRA BASS Wireless Bluetooth Portable Lightweight Travel Speaker, IP67 Waterproof &amp; Durable for Outdoor, 12 Hour Battery, USB Type-C, Removable Strap and Speakerphone, Black</t>
  </si>
  <si>
    <t>ASURION 3 Year Furniture Protection Plan ($250 - $299.99)</t>
  </si>
  <si>
    <t>NZXT Vertical GPU Mounting Kit - AB-RH175-B1-175 mm PCIe 4.0x16 Riser Cable - GPU Holder - Sturdy Steel Bracket - Black</t>
  </si>
  <si>
    <t>JLab JBuds Air Sport Gen 3 True Wireless Bluetooth Earbuds + Charging Case, Graphite, IP66 Sweat Resistance, Multipoint, Dual Connect, 3 EQ Sound Settings</t>
  </si>
  <si>
    <t>ASURION 4 Year Kitchen Protection Plan ($125 - $149.99)</t>
  </si>
  <si>
    <t>Lenovo USB-C Slim Travel Dock, 8 Ports, Up to 65W PD Pass Through, Integrated USB-C Cable, 4K Display Support, Black</t>
  </si>
  <si>
    <t>Dell Premier Rechargeable Active Pen - PN7522W, 3-Buttons, LED Indicator, Cone-Shaped Nib, Wireless - Bluetooth 5.1 - Black</t>
  </si>
  <si>
    <t>StarTech.com Standalone Dual Bay M.2 SATA/NVMe Duplicator/Eraser, HDD/SSD Cloner/Wiper for M.2 PCIe AHCI/NVMe/SATA, 2.5/3.5in Drives, Hard Drive Sanitizer/Copier, TAA (SM2DUPE11)</t>
  </si>
  <si>
    <t>ASURION 3 Year Home Improvement Protection Plan ($800 - $899.99)</t>
  </si>
  <si>
    <t>Neewer Low Profile Mic Arm Desk Mount, 360° Swivel Boom Arm with Pneumatic Damping Adjustable, Cable Management, Compatible with Shure MV7 SM7B Blue Yeti Gaming Streaming Podcast Microphone, MS002</t>
  </si>
  <si>
    <t>BAGSMART Rolling Laptop Bag Women, Rolling Briefcase for Women, 17.3 Inch Laptop Bag with Wheels Computer Bag Laptop Case for Work Travel Business</t>
  </si>
  <si>
    <t>Fujifilm Instax Square Film US Twin Pack (2 boxes)</t>
  </si>
  <si>
    <t>ASURION 2 Year Portable Electronic Accident Protection Plan ($300 - $349.99)</t>
  </si>
  <si>
    <t>Plantronics - Voyager Legend (Poly) - Bluetooth Single-Ear (Monaural) Headset - Connect to your PC, Mac, Tablet and/or Cell Phone - Noise Canceling,Black</t>
  </si>
  <si>
    <t>Monster Boomerang Petite Neckband Bluetooth Speakers, Neck Speaker with 15H Playtime, aptX High Fidelity 3D Stereo Sound, Low Latency, Built-in Mic, IPX5 Waterproof Wearable for Home Outdoor</t>
  </si>
  <si>
    <t>Pyle Marine Waterproof Speakers 6.5” - Low Profile Slim Style Wakeboard Tower and Weather Resistant Outdoor Audio Stereo Sound System with LED Lights and 240 Watt Power - 1 Pair in Black - PLMRS63BL</t>
  </si>
  <si>
    <t>8BitDo Retro 18 Mechanical Numpad, Supports Calculator Mode, Bluetooth/2.4G/Wired Numpad for Windows and Android - N Edition</t>
  </si>
  <si>
    <t>Belkin MagSafe Charger Compatible, 2-in-1 Qi2 Wireless Charging Station 15W, Convertible Wireless Charger for iPhone 16, Apple Watch, AirPods, Portable Phone Stand for Travel w/ 30W Adapter - Black</t>
  </si>
  <si>
    <t>Canon CLI-221 Genuine Four Color Pack, Compatible with MP980, MP560, MP620, MP640, MP990, MX860, MX870, iP4600, iP3600, and iP4700 Printers</t>
  </si>
  <si>
    <t>8BitDo Ultimate 2 Wireless Controller for Windows &amp; Android, Gaming Controller with TMR Joysticks, Switchable Hall Effect/Tactile Triggers, RGB Fire Ring, 8Speed Tech - WUCHANG: Fallen Feathers</t>
  </si>
  <si>
    <t>Nintendo Joy-Con (L) Pastel / (R) Pastel Japan Stock</t>
  </si>
  <si>
    <t>Sony WH-CH720N Noise Canceling Wireless Headphones (Renewed)</t>
  </si>
  <si>
    <t>JBL Vibe Flex True Wireless Earbuds – Bluetooth Earphones with Deep Bass Sound, IP54 Water &amp; Dust Resistant, Long Battery Life, Voice Assistant Compatible, Open-Ear Design (Beige)</t>
  </si>
  <si>
    <t>Brother(R) TZe-251 Black-On-White Tape, 1in. x 26.2ft., 239376-2240</t>
  </si>
  <si>
    <t>Mophie 3-in-1 Travel Charger with MagSafe - Portable Wireless Charging Hub, Compatible with Apple Devices, iPhone 16/15/14/13/12 Series, Apple Watch Series 10 to 1 &amp; Ultra, AirPods Pro/3rd Gen, Black</t>
  </si>
  <si>
    <t>UBeesize Zoom Lighting for Computer, Video Conference Lighting for Video Calls, Desk Light with Stand and Phone Holder for Webcam, Home Office, Podcast, Online Meetings, Live Streaming</t>
  </si>
  <si>
    <t>Pyle 4'' x 6'' Three Way Sound Speaker System - Pro Mid Range Triaxial Loud Audio 240 Watt per Pair w/ 4 Ohm Impedance and 3/4'' Piezo Tweeter for Car Component Stereo PL463BL</t>
  </si>
  <si>
    <t>Arlo Outdoor Charging Cable - Arlo Certified Accessory - 25 ft, Weather Resistant Connector, Works with Arlo Pro 5S 2K, Pro 4, Pro 3, Ultra 2, Ultra, Floodlight, and Go 2 Cameras, White - VMA5600C</t>
  </si>
  <si>
    <t>UBeesize 74" Camera Tripod with Phone Holder and Remote, Heavy Duty Tripod Stand with Portable Bag for Phone and Camera, Compatible with DSLR Cameras, Cell Phones, Spotting Scopes and Binoculars</t>
  </si>
  <si>
    <t>KICKER 46CSC44 CS-Series CSC4 4-Inch (100mm) Coaxial Speakers, 4-Ohm (Pair)</t>
  </si>
  <si>
    <t>E-Z Ink Compatible TN830XL Toner Cartridges DR830 Drum Unit Replacement for Brother TN830XL Toner Cartridges DR830 Drum Unit for HL-L2460DW DCP-L2640DW HL-L2480DW HL-L2400D HL-L2405W Printer(3Pack)</t>
  </si>
  <si>
    <t>CORSAIR IRONCLAW WIRELESS RGB Rechargeable Gaming Mouse with Slipstream Technology - 18,000 DPI - 3-Zone RGB Multi-Color Backlighting - Black</t>
  </si>
  <si>
    <t>Microsoft Xbox Core Controller - Carbon Black (Renewed)</t>
  </si>
  <si>
    <t>Pyle Speaker Stand Pair of Sound Play 1 and 3 Holder - Telescoping Height Adjustable from 26” - 52” Inch High Heavy Duty Three-point Triangle Base w/ Floor Spikes and 9” Square Platform, Black</t>
  </si>
  <si>
    <t>OnePlus Buds 3, Metallic Gray, Deep Bass, ANC, Immersive Sound, Up to 44 Hour Playtime with Charging case, Bluetooth 5.3</t>
  </si>
  <si>
    <t>Microsoft Surface Power Supply 65W and Power Adapter Non Retail Packaging</t>
  </si>
  <si>
    <t>Mounting Dream Advanced Tilt TV Wall Mount for Most 42-90 Inch Flat and Curved Television, Universal Mount Bracket with Extension up to 7 inch, Fits 16", 24", 32" Studs, Max VESA 800x400mm and 120LBS</t>
  </si>
  <si>
    <t>ASURION 3 Year Furniture Protection Plan ($175 - $199.99)</t>
  </si>
  <si>
    <t>SteelSeries Rival 650 Quantum Wireless Gaming Mouse - Rapid Charging, 12,000 Cpi Dual Sensor, 256 Weight Configs, 8 Zone RGB Lighting</t>
  </si>
  <si>
    <t>Dell Alienware 18 Area-51 Gaming Laptop 18" 2.5K WQXGA Anti-Glare Display (Intel Ultra 9 275HX, GeForce RTX 5090, 64GB DDR5, 2TB PCIe SSD, Wi-Fi 7, Backlit KYB, Bluetooth 5.4, Windows 11 Home)</t>
  </si>
  <si>
    <t>Ricoh DB-110 Rechargeable Li-Ion Battery GR Series WG6 G900 Theta X</t>
  </si>
  <si>
    <t>Lenovo Laptop Charger 65W Watt USB Type C(USB-C) AC Power Adapter - ThinkPad X1 Carbon Gen 11,E16, ADLX65YDC3E</t>
  </si>
  <si>
    <t>NETGEAR WiFi 6 Mesh Range Extender (EAX12) - Add up to 1,200 sq. ft. and 15+ Devices with AX1600 Dual-Band Wireless Signal Booster &amp; Repeater (up to 1.6Gbps Speed), WPA3 Security, Smart Roaming</t>
  </si>
  <si>
    <t>E-Z Ink 245XL Ink Cartridge Replacement for Canon 245XL 246XL Combo Pack PG-245XL CL-246XL for Canon Ink 245 and 246 with Pixma MX490 MG2522 MX492 TR4520 MG3022 MG2520 TS3122 Printer (Black, Color)</t>
  </si>
  <si>
    <t>VIVO Adjustable Clamp-on Desk Leg PC Mount, Under Desk PC Mount, Computer Case CPU Holder with Tool-Free Installation, Black, MOUNT-PC01C</t>
  </si>
  <si>
    <t>Sharp ELECTRONICS Standard Function Calculator (EL2630PIII), White, 8 7/8 x 12 7/8</t>
  </si>
  <si>
    <t>THE NORTH FACE Vault Everyday Laptop Backpack | Commuter Travel Bag with Water-Repellent Finish, Spacious Main Compartment, Khaki Stone/TNF Black, One Size</t>
  </si>
  <si>
    <t>Ham Radio Baofeng UV-5R Radio 8W Long Range UV5R Dual Band Handheld High Power 3800mAh Rechargeable Walkie Talkies Handheld Two Way Radio with Programming Cable and Earpiece for Survival Gear,2Pack</t>
  </si>
  <si>
    <t>JanSport Right Pack Backpack - Durable Daypack with Padded 15" Laptop Sleeve, Spacious Main Compartment &amp; Integrated Water Bottle Pocket - Black</t>
  </si>
  <si>
    <t>Google Nest WiFi Router 4x4 AC2200 Mesh Wi-Fi Router with 2200 sq ft Coverage (Renewed)</t>
  </si>
  <si>
    <t>Tripp Lite IBAR2-6D Isobar 2 Outlet Surge Protector Power Strip, 6ft Cord, Right-Angle Plug, Metal, Lifetime Limited Warranty &amp; Dollar 25,000 Insurance</t>
  </si>
  <si>
    <t>64XL Ink Cartridges Black and Color Combo Pack Remanufactured for HP Ink 64 64XL 64 XL Ink to use with HP Envy Photo 7855 7858 7155 7120 7158 7164 6255 Tango X Printers (1 Black, 1 Tri-Color)</t>
  </si>
  <si>
    <t>ASURION 4 Year Home Improvement Protection Plan ($90 - $99.99)</t>
  </si>
  <si>
    <t>Genuine Canon PGI-250 (6497B001) CLI-251 (6513B004) Color (Black, Cyan,Magenta,Yellow) Ink Tank 5-Pack</t>
  </si>
  <si>
    <t>JENSEN MPR210 7 Character LCD Single DIN Car Stereo Radio | Push to Talk Assistant | Bluetooth Hands Free Calling &amp; Music Streaming | AM/FM Radio | USB Playback &amp; Charging | Not a CD</t>
  </si>
  <si>
    <t>Shure WH20 Dynamic Headset Microphone (Wired) - Rugged, Lightweight, Secure Fit for Active Mic Users, for Instructors/Musicians, 3-pin Male XLR Connector with Detachable Belt Clip (WH20XLR)</t>
  </si>
  <si>
    <t>Lowrance 000-0106-72 Transom-Mount 83/200 kHz Skimmer Transducer with Built-in Temp, Black</t>
  </si>
  <si>
    <t>Logitech Slim Bluetooth Combo, Wireless Keyboard and Mouse, Quiet and Portable, Customizable, Bluetooth, Easy-Switch for Windows, macOS, iPadOS, Chrome - Black</t>
  </si>
  <si>
    <t>SiriusXM SXEZR1H1 Onyx EZR Satellite Radio with Home Kit - Hear SiriusXM on Your Home Stereo or Powered Speakers</t>
  </si>
  <si>
    <t>SteelSeries Rival 3 Wireless Gaming Mouse – 400+ Hour Battery Life – Dual Wireless 2.4 GHz and Bluetooth 5.0 – 60 Million Clicks – 18,000 CPI TrueMove Air Optical Sensor,Black</t>
  </si>
  <si>
    <t>Pyle Speaker Stand Pair of Sound - Play 1 and 3 Holder, Telescoping Height Adjustable from 26” - 52” Inch, High Heavy Duty Three-point Triangle Base w/ Floor Spikes and 9” Square Platform, Black</t>
  </si>
  <si>
    <t>JBL Celebrity150 Single DIN Bluetooth FM Radio USB/AUX SD Card High Power Mechless with F/R and Sub Output Car Media Receiver</t>
  </si>
  <si>
    <t>ASURION 2 Year Floorcare Extended Protection Plan ($500 - $599.99)</t>
  </si>
  <si>
    <t>HP 130A Black Toner Cartridge | Works with HP Color LaserJet Pro MFP M176, M177 Series | CF350A</t>
  </si>
  <si>
    <t>Bushnell H2O 10x42mm Binoculars, Waterproof and Fogproof Binoculars for Boating, Hiking, and Camping, Multi</t>
  </si>
  <si>
    <t>NETGEAR AC1200 Wi-Fi USB 2.0 Mini Adapter for Desktop PC | Dual Band WiFi Stick for Wireless Internet (A6150-100PAS)</t>
  </si>
  <si>
    <t>Honeywell Intrusion 5800PIR-RES WIRLESS PIR, Residential</t>
  </si>
  <si>
    <t>Kensington Elevated Stand Adjustable for Surface Stand for Desk, on-Skid Tablet Holder Designed for Surface Pro, Silver (K58277WW)</t>
  </si>
  <si>
    <t>Monster Open Ear Headphones AC330, Wireless Earbuds Bluetooth 5.4 with Clear Talk, Stylish Rotating Case with Lanyard, Type-C Charging, Comfort Fit, 24H Playback, IPX5 Water Resistant, Black</t>
  </si>
  <si>
    <t>Samsung Slim Fit TV Wall Mount, Compatible w/ 43”- 85” Q Series, Crystal UHD Series Televisions, Easy Installation, Blends w/Any Interior, Minimalist Look, WMN-B50EB/ZA, 2022, Black</t>
  </si>
  <si>
    <t>Logitech G F710 Wireless Gamepad, 2.4 GHz Wireless with USB Nano-Receiver, Controller Dual Vibration Feedback, 4 Switch D-Pad, PC - Grey/Black</t>
  </si>
  <si>
    <t>Canon TS5320 All in One Wireless Printer, Scanner, Copier with AirPrint, Black, Amazon Dash Replenishment Ready</t>
  </si>
  <si>
    <t>APC UPS Battery Replacement APCRBC154 for APC Back-UPS Models BE600M1, BE670M1, BN650M1, BN675M1</t>
  </si>
  <si>
    <t>Cobra ACXT390 Walkie Talkies - Rechargeable, Lightweight, 22 Channels, 25-Mile Range Two-Way Radios with VOX (2-Pack)</t>
  </si>
  <si>
    <t>ASURION 2 Year Personal Care Protection Plan ($90 - $99.99)</t>
  </si>
  <si>
    <t>MOSISO PU Leather Laptop Tote Bag for Women (17-17.3 inch), Waterproof Large Capacity Business Work Briefcase Shoulder Laptop Bag, Brown</t>
  </si>
  <si>
    <t>Streamlight 90339 NiMH Battery - Survivor, Knucklehead</t>
  </si>
  <si>
    <t>DYMO Authentic LW Non-Adhesive Business Card Labels for LabelWriter Label Printers, White, 2" x 3-1/2", 1 Roll of 300</t>
  </si>
  <si>
    <t>Monster MFS 1 Portable Bluetooth Speakers, Wireless Bluetooth Speaker with 40W Loud Stereo Sound, Outdoor Speakers with Handle, 12H Playtime, Supports TF Card, AUX for Outdoor</t>
  </si>
  <si>
    <t>PopSockets Phone Grip for MagSafe with Kickstand, Magnetic Stand, Swappable Top, Secure Hold for iPhone MagSafe Cases, Phone &amp; Tablet Grip, Disney - Tidepool Earridescent Daisy Charm</t>
  </si>
  <si>
    <t>Duracell PGD MN1604BKD Coppertop Battery, Alkaline, 9V Size (Pack of 12)</t>
  </si>
  <si>
    <t>Bose SoundSport In-Ear Headphones w/Mic (Apple) (Red) (Renewed)</t>
  </si>
  <si>
    <t>Klein Tools AEPJS2 Bluetooth Speaker With Magnetic Strip and Hook, Rechargeable, Wireless and Aux Capable, Hands Free Capable, 10 Hr Run Time, IP54 Dust and Water Resistant</t>
  </si>
  <si>
    <t>Pelican Electronic Organizer Travel Case - Portable Storage Bag with Multiple Storage Mesh Pockets for Cables, Chargers, Power Bank, AirPods - Cord Organizer and Airplane Travel Essentials Bag - Black</t>
  </si>
  <si>
    <t>FiiO KA11 USB C to 3.5mm Audio Adapter 32bit/384KHz, USB Type C Dongle HiFi DAC Amplifier for Android/iOS/Windows/Mac (Silver, TC)</t>
  </si>
  <si>
    <t>G.SKILL Trident Z RGB Series DDR4 RAM (XMP) 32GB (2x16GB) 4000MT/s CL18-22-22-42 1.40V Desktop Computer Memory U-DIMM (F4-4000C18D-32GTZR)</t>
  </si>
  <si>
    <t>Honeywell Ademco 5816WMWH White Door/Window Transmitter w/Magnet</t>
  </si>
  <si>
    <t>Panasonic DVD Player with Dolby Digital Sound, 1080p HD Upscaling for DVDs, HDMI and USB Connections - DVD-S700 (Black)</t>
  </si>
  <si>
    <t>Pyle Portable Folding Laptop Stand - Standing Table with Adjustable Angle, Foldable Height and Four Prong Anti-Slip Tray for iPad, Tablet, DJ Mixer, Workstation, Gaming and Home Use - PLPTS55</t>
  </si>
  <si>
    <t>ASURION 2 Year Floorcare Extended Protection Plan ($50 - $59.99)</t>
  </si>
  <si>
    <t>ASURION 3 Year Electronics Protection Plan ($80 - $89.99)</t>
  </si>
  <si>
    <t>Logitech C270 HD Webcam (Black)</t>
  </si>
  <si>
    <t>Kensington VeriMark™ Gen2 USB-A Fingerprint Key Reader - Windows Hello &amp; Windows Hello for Business, Tap and Go, Anti-Spoofing (K64704WW)</t>
  </si>
  <si>
    <t>Ring Fit Adventure - Nintendo Switch</t>
  </si>
  <si>
    <t>Avery Printable Shipping Labels, Sure Feed Technology, 3-1/3" x 4", White, 600 Blank Mailing Labels (8464)</t>
  </si>
  <si>
    <t>VTech KidiZoom Duo Camera FX Kids Digital Dual Cameras, Blue</t>
  </si>
  <si>
    <t>Texas Instruments TI-84 Plus Silver Edition Graphing Calculator</t>
  </si>
  <si>
    <t>Pyle Portable VHF Wireless Microphone System - Professional Battery Operated Handheld Dynamic Unidirectional Cordless Microphone Transmitter Set W/Adapter Receiver, for PA Karaoke DJ Party, Black</t>
  </si>
  <si>
    <t>UGREEN 40Gbps M.2 NVMe Enclosure with Cooling Fan, Anti-Drop SSD Enclosure for MacBook, Aluminum M.2 Enclosure Support M/B+M Key Size 2280/2260/2242/2230 Compatible with Thunderbolt 3/4/USB4/3.2/3.1</t>
  </si>
  <si>
    <t>Samson SAGOMIC Go Mic Clip-on USB Microphone (White)</t>
  </si>
  <si>
    <t>Sennheiser Pro Audio Professional E 835 Dynamic Cardioid Vocal Microphone, Wired, Wireless</t>
  </si>
  <si>
    <t>SIRIUS-XM SXV300V1 SiriusConnect(TM) Vehicle Tuner Computers, Electronics, Office Supplies, Computing</t>
  </si>
  <si>
    <t>Koss KPH40 Utility On-Ear Headphones, Detachable Interchangeable Cord System, Retro Style, Ultra Lightweight Design (Stealth Black)</t>
  </si>
  <si>
    <t>Fujifilm Wide Instant Color Film Instax for 200/210 Cameras - 2 Twin Packs - 40 P.</t>
  </si>
  <si>
    <t>OM SYSTEM WS-882 4GB Digital Stereo Voice Recorder, Silver/Black</t>
  </si>
  <si>
    <t>Sony ACCTRDCX Travel DC Charger Kit (Black)</t>
  </si>
  <si>
    <t>SanDisk Extreme Pro Micro SDXC UHS-I U3 A2 V30 Memory Card (256GB)</t>
  </si>
  <si>
    <t>LISEN for Magsafe Car Mount Charger, [Upgrade Set] 360° Rotation Magsafe Wireless Car Charger, Foldable Car Phone Holder Dashboard Fit iPhone 16 Pro Max Plus 15 14 13 12, Samsung with MagSafe Case</t>
  </si>
  <si>
    <t>Brother Printer LC1053PKS Ink, Cyan, magenta, yellow</t>
  </si>
  <si>
    <t>Anker MagSafe iPhone 16 Wireless Car Charger Compatible, MagGo 15W Fast Car Charger, 360° Adjustable Angle and Strong Magnets, Car Phone Holder Mount, for iPhone 16/15/14 Series (Adapter Included)</t>
  </si>
  <si>
    <t>CORSAIR iCUE Link System Hub - Connect Up to 14 CORSAIR iCUE Link Devices - Reduce Cable Clutter – Innovative Single-Cable Design - Black</t>
  </si>
  <si>
    <t>GHome Smart Power Strip with 3 USB Ports &amp; 3 Smart Outlets Plugs That Work with Alexa &amp; Google Home, WiFi Surge Protector, Flat Plug for Home Office Travel, 10A</t>
  </si>
  <si>
    <t>Quality Park #8 5/8 Double-Window Security Envelopes, Self-Sealing, Tamper Evident, For Checks, Payroll, 24 lb White Wove, 3-5/8 x 8-5/8 Inches, 500/Box (QUA67539)</t>
  </si>
  <si>
    <t>My Arcade Pac-Man Joystick Player:Officially Licensed Retro Gaming Console, 2 Game Modes Classic Arcade Machine, Portable Game for Kids and Adults</t>
  </si>
  <si>
    <t>Mikrotik hEX RB750Gr3 5-port Ethernet Gigabit Router</t>
  </si>
  <si>
    <t>Kate Collapsible Pop-Up Backdrop for Self-Tape Auditions, Professional Headshots, Video Conferencing &amp; Live Streaming - Portable Photography Background (5'x6.5' / 1.5x2m, Blue/Gray)</t>
  </si>
  <si>
    <t>THOMESURGEP by ABB • SurgePro™ Surge Protective Device • Externally Mounted Wired Residential SPD for Retail and Home • Type 1 SPD • Safe, Reliable, and Functional</t>
  </si>
  <si>
    <t>VIVO Single Monitor Desk Stand, Holds Screens up to 32 inch Regular and 38 inch Ultrawide, Freestanding VESA Steel Mount Base, Adjustable Height, Tilt, Swivel, Rotation, Black, STAND-V001H</t>
  </si>
  <si>
    <t>E-Z Ink Compatible Ink Cartridges Replacement for Canon 250 251 XL PGI-250XL CLI-251XL to use with Pixma MX922 MX920 MG5520 MG7520 IX6820 IP8720 MG6620 MG6320 MG7120 (20 Pack)</t>
  </si>
  <si>
    <t>JLab JBuds Air Pro True Wireless Earbuds, Black, Bluetooth Multipoint, Auto Play &amp; Pause, Dual Connect, IP55 Sweat &amp; Dust Resistance, Be Aware Audio for Safety, Custom 3 EQ Sound Settings</t>
  </si>
  <si>
    <t>Winegard LNA-200 Boost XT HDTV Preamplifier, TV Antenna Amplifier Signal Booster, HD Digital VHF UHF Amplifier,Black</t>
  </si>
  <si>
    <t>Amazon Basics Mini USB Condenser Microphone for Online Meeting, Gaming, Podcast - Black</t>
  </si>
  <si>
    <t>Remington PG6171 The Crafter - Beard Boss Style and Detail Kit, Beard Trimmer, Grooming Set, Platinum, 11 Pieces</t>
  </si>
  <si>
    <t>Coach Signature AirPods Pro Case - Compatible with AirPods Pro 2nd / 1st Generation - Signature Tan</t>
  </si>
  <si>
    <t>TP-Link PoE Injector | PoE Adapter 48V DC Passive PoE | Gigabit Ports | Up to 100 Meters(325 feet) | Wall Mountable Design (TL-PoE4824G)</t>
  </si>
  <si>
    <t>ARKON Mounts - Heavy Duty Tablet Holder with Clamp Mount and 12-Inch Bendable Gooseneck Arm | Versatile Tablet Stand with Easy Install &amp; Durable Support | Securely fits iPad, Galaxy, Note, and more</t>
  </si>
  <si>
    <t>NETGEAR 8-Port Gigabit Ethernet Unmanaged Switch (GS208) - Desktop, Ethernet Splitter, Silent Operation, Plug-and-Play</t>
  </si>
  <si>
    <t>OtterBox Wireless Charging Pad for MagSafe - Black</t>
  </si>
  <si>
    <t>Celestron 71009 SkyMaster 15x70mm Porro Prism Binoculars with Multi-Coated Lens and BaK-4 Prism Glass, Black</t>
  </si>
  <si>
    <t>Brother Printer LC752PKS 2 Pack of LC-75BK Cartridges Ink - Retail Packaging, Black</t>
  </si>
  <si>
    <t>Skullcandy Mod Wireless Earbuds, Bluetooth Headphones, Up to 32 Hours Battery, Noise Isolating Fit, Sweat and Water Resistant, Microphone for iPhone Android - True Black</t>
  </si>
  <si>
    <t>SiriusXM Satellite Radio Vehicle Tuner, Add to Any SiriusXM-Ready Car Stereo SXV300V1</t>
  </si>
  <si>
    <t>GoPro Light Mod - Official GoPro Accessory</t>
  </si>
  <si>
    <t>Kensington Blackbelt Rugged Case for Surface Pro 11/10/9, 13" Military-Grade Protection - Black (K96541WW)</t>
  </si>
  <si>
    <t>GoPro Bite Mount | ABITM-001 [Official GoPro Products]</t>
  </si>
  <si>
    <t>Avery Printable Address Labels with Sure Feed, 1" x 2-5/8", Neon Green, 750 Blank Mailing Labels (5971)</t>
  </si>
  <si>
    <t>8Bitdo Sn30 Pro Bluetooth Controller for Mobile &amp; Xbox Cloud Gaming on Android, Gaming Controller for iPhone, iPad, macOS and Apple TV (No Mobile Clip) - Not for Xbox</t>
  </si>
  <si>
    <t>kate spade new york Morgan Magnetic Phone Wallet/Card Holder - Compatible with MagSafe Phones and Cases - Cream</t>
  </si>
  <si>
    <t>Samsung Galaxy Watch 4 Classic 42mm Smartwatch with ECG Monitor Tracker for Health Fitness Running Sleep Cycles GPS Fall Detection Bluetooth US Version, Black (Renewed)</t>
  </si>
  <si>
    <t>Dell Keyboard</t>
  </si>
  <si>
    <t>Samsung Galaxy Z Fold 6 S Pen Phone Case, Protective Cover with Built-in S Pen Holder Slot, Click to Release, US Version, EF-OF95PCJEGUS, Gray</t>
  </si>
  <si>
    <t>Yamaha HPH-50B Compact Closed-Back Headphones, Black</t>
  </si>
  <si>
    <t>Sanus Speaker Wall Mounts for Sonos Era 100™ Pair - Swivel &amp; Tilt Speaker Mount with Easy 15-Minute Install - Black, 2-Pack</t>
  </si>
  <si>
    <t>EPSON 252 DURABrite Ultra Ink High Capacity Yellow Cartridge (T252XL420-S) Works with WorkForce WF-3620, WF-3640, WF-7110, WF-7610, WF-7620, WF-7710, WF-7720, WF-7210</t>
  </si>
  <si>
    <t>ARCTIC Freezer 36 (Black) - Single-Tower CPU Cooler with Push-Pull, Two Pressure-optimised 120 mm P Fans, Fluid Dynamic Bearing, 200–1800 RPM, 4 Heatpipes, incl. MX-6 Thermal Compound</t>
  </si>
  <si>
    <t>OtterBox All Day Band for Apple Watch 42/44/45/46mm - AUTOBAHN (Black)</t>
  </si>
  <si>
    <t>Xiaomi Smart Band 9 Global Version (2024) 1.62" Amoled Display | 233 mAh Battery | up to 21 Days of Battery Life | Over 150 Workout Modes | BT 5.4 | 50M Water Resistant - Mystic Rose</t>
  </si>
  <si>
    <t>SteelSeries QcK XL Performance Control Gaming Mousepad — Extra Density for a Smooth Glide — Low-Profile Edge Stitching — Non-Slip Neoprene Rubber Base — 15.75 x 34.43 inch — FPS, MOBAs, RTS, MMO</t>
  </si>
  <si>
    <t>JLab Studio Pro Over-Ear Headphones, Wired Headphones, Tangle Free Cord, Ultra-Plush Faux Leather with Cloud Foam Cushions, 40mm Neodymium Drivers with C3 Sound, Black</t>
  </si>
  <si>
    <t>Pyle Universal Adjustable Tripod Microphone Stand - Pair of Heavy Duty Lightweight Professional Compact Extendable Stage Studio Floor Standing Boom Mic Holder w/ Carry Bag, 5/8" Adapter - PMKSKT35</t>
  </si>
  <si>
    <t>HyperX Cloud Stinger 2 – Wired PC Gaming Headset with Mic Noise Cancelling Over-Ear DTS Headphone:X Spatial Audio 50mm Drivers Swivel-to-mute Premium Leatherette for Windows Desktop, Black (Renewed)</t>
  </si>
  <si>
    <t>MOSISO Camera Shoulder Bag Case Crossbody Sling Purse, DSLR/SLR/Mirrorless Compact Padded Photography Handbag with Rain Cover Compatible with Canon/Nikon/Sony Cameras and Lenses, Pink</t>
  </si>
  <si>
    <t>UGREEN Uno 65W USB C Charging Block Nexode 3-Port GaN Charger Compact Fast USB C Power Adapter for MacBook Pro/Air, XPS 13, Note 20/10+, iPhone 16/15, Galaxy S24/S23, Steam Deck, ROG Ally(Black)</t>
  </si>
  <si>
    <t>Kensington Orbit Wireless Trackball Mouse with Touch Scroll Ring (K72352US),Black</t>
  </si>
  <si>
    <t>Uniden LRDACWM044 Radar Detector Smart Power Cord w/Mute Button and USB Charging for R1, R3, R7, &amp; DFR Series, 12V DC Cig Adapter</t>
  </si>
  <si>
    <t>Kodak 120 Portra 400 Film</t>
  </si>
  <si>
    <t>UGREEN USB C to Ethernet Adapter 5Gb, Ethernet Adapter for Laptop, Aluminum with Thermal Design, Type C (Thunderbolt 5/4/3 Compatible) to RJ45 Network LAN Internet, Compatible for MacBook Air/Pro, XPS</t>
  </si>
  <si>
    <t>ASURION 4 Year Laptop Protection Plan ($450 - $499.99)</t>
  </si>
  <si>
    <t>UGREEN USB 3.0 Switch 2 in 2 Out, USB Switcher 2 Computers Sharing Keyboard and Mouse Printer Scanner Webcam, Printer Splitter for 2 Computers, 2 Port USB Selector Switch with 2 USB3.0 Cables</t>
  </si>
  <si>
    <t>Pyle Compact Mini Hum Eliminator Box - 2 Channel Passive Ground Loop Isolator, Noise Filter,AC Buzz Destroyer, Hum Killer w/ 1/4" TRS Phone,XLR Input/Output, Uses 1:1 Isolation Transformer</t>
  </si>
  <si>
    <t>ASURION 2 Year Wearables Protection Plan ($150 - $174.99)</t>
  </si>
  <si>
    <t>GoPro 4ft (1.2m) Extension Pole + Invisible 360 Grip (Compatible with All GoPro Cameras) - Official Accessory</t>
  </si>
  <si>
    <t>UBeesize Starlink Mini Mount (Old Version), Adjustable Clamp Mount Accessories for Starlink Mini Roof Rack RV Ladder Pole Mounting Kits, Compatible with 2024 Original Pipe Adapter</t>
  </si>
  <si>
    <t>ASURION 3 Year Home Improvement Protection Plan ($400 - $449.99)</t>
  </si>
  <si>
    <t>Astro A10 Gaming Headset Gen 2 Wired Headset - Over-Ear Gaming Headphones with flip-to-Mute Microphone, 32 mm Drivers, PlayStation 5, PlayStation 4, Nintendo Switch, PC, Mac - Black - Bulk Packaging</t>
  </si>
  <si>
    <t>Lanzar 6.5” Car Subwoofer Speaker - Black Non-Pressed Paper Cone, Aluminum Voice Coil, 4 Ohm Impedance, 600 Watt Power and Foam Edge Suspension for Vehicle Audio Stereo Sound System - MAXP64</t>
  </si>
  <si>
    <t>be quiet! Dark Rock 5 CPU air Cooler | Extremely high Cooling Performance | 6 high-Performance Heat Pipes | Silent Wings 4 120mm PWM Fan | high RAM and VRM Cooler Compatibility | BK035</t>
  </si>
  <si>
    <t>VIVO Behind Monitor VESA Mount Designed for Dell OptiPlex Micro CPU, Monitor Arm Computer Holder, Concealed Behind Screen, Desk Clamp Option, Black, Mount-DLMM1</t>
  </si>
  <si>
    <t>Canon QX20 Color Ink/Label Set, A6 Size, 60 Sheets, 3.4 x 2.1 Inch</t>
  </si>
  <si>
    <t>Ooma HD3 Handset Cordless with Caller-ID and HD Voice Quality. Exclusively for Ooma Telo VoIP Home Phone Service</t>
  </si>
  <si>
    <t>kate spade new york Magnetic Flip Phone Wallet/Card Holder, That Sparkle Pink</t>
  </si>
  <si>
    <t>VILTROX VL-162T CRI95+ LED Video Light, Portable Camera Photo Light Panel Dimmable for DSLR Camera Camcorder with Battery, Charger, High Brightness, 3300K-5600K Bi-Color, White Filter and LCD Display</t>
  </si>
  <si>
    <t>Dell DA20 USB Type-C to HDMI/USB Type-A Adapter Drop in The Box Component for: XPS 15-9500 Laptop XPS 17-9700 Laptop, Precision 5550 Mobile Workstation, Precision 5750 Mobile Workstation</t>
  </si>
  <si>
    <t>Pendaflex Extra Capacity Reinforced Hanging File Folders, 2", Letter Size, Standard green, 1/5 Cut, 25/BX (04152X2)</t>
  </si>
  <si>
    <t>DEWALT Heavy Duty Wireless Charger, 15W Max Cell Phone Charger, Fast Wireless Charging Pad for MagSafe Compatible iPhone 16/16 Plus/16 Pro Max/15/14/13/12, Includes Wall Mounting Plate (No AC Adapter)</t>
  </si>
  <si>
    <t>DYMO LW Mailing Address Labels for LabelWriter Label Printers, White, 1-1/8'' x 3-1/2'', 2 Rolls of 260</t>
  </si>
  <si>
    <t>LISEN Neck Phone Holder GoPro Chest Mount for Filming [2025 Upgrad No.1] Phone Holder Video Recording for iPhone Samsung 4-7 Inch Phones AKASO/Go Pro/Insta360X5/DJI360 Camera Other Action Cameras</t>
  </si>
  <si>
    <t>Pyle 6.5 Inch Mid Bass Woofer Sound Speaker System - Pro Loud Range Audio 300 Watt Peak Power w/ 4 Ohm Impedance and 60-20KHz Frequency Response for Car Component Stereo PLG64,Yellow</t>
  </si>
  <si>
    <t>UBeesize 12" Ring Light with 74" Extendable Tripod Stand &amp; iPad, Phone Holder, LED Circle Light with Phone,Tablet Holder for Video Recording, Photography, Live Stream, Makeup, Webcam, TikTok, YouTube</t>
  </si>
  <si>
    <t>Cobra HG M73 Premium Dynamic Replacement CB Microphone (Black) – 4 Pin Connector, 9 Foot Cord, Heavy Duty ABS Shell, Wire Mesh Grille, Left Side Push To Talk, Chrome Connector</t>
  </si>
  <si>
    <t>Lenovo ThinkPad Ultra Docking Station US (40AJ0135US)</t>
  </si>
  <si>
    <t>HP OfficeJet Pro 8125e Wireless All-in-One Color Inkjet Printer, Print, scan, Copy, ADF, Duplex Printing, Home &amp; Office, 3 Months of Instant Ink Included (405T6A)</t>
  </si>
  <si>
    <t>HP 910XL Black High-yield Ink Cartridge for HP Printers | Works with Printer Series: OfficeJet 8010, 8020; OfficeJet Pro 8020, 8030 | Eligible for Instant Ink | 3YL65AN</t>
  </si>
  <si>
    <t>HP Original 910 Cyan, Magenta, Yellow / 910XL Black Ink Cartridges (4-Pack) | Works OfficeJet 8010, 8020 Series OfficeJet Pro 8020, 8030 Series | Eligible for Instant Ink | 3JB41AN</t>
  </si>
  <si>
    <t>HP 64 Black &amp; Tri-Color Ink Cartridges for HP Printers (Combo Pack) | Works with Printer Series: Inspire 7950e; ENVY Photo 6200, 7100, 7800; Tango | Eligible for Instant Ink | X4D92AN</t>
  </si>
  <si>
    <t>HP DeskJet 2855e Wireless All-in-One Color Inkjet Printer, Scanner, Copier, Best-for-home, 3 months of Instant Ink included, Single-band Wi-Fi connectivity (588S5A)</t>
  </si>
  <si>
    <t>Canon PG-275 / CL-276 Genuine Ink Value Pack (2 Cartridges), Compatible with TS3520/3522/4722/3720/3722, TR4720</t>
  </si>
  <si>
    <t>Amazon Basics Dog and Puppy Pee Pads with 5-Layer Leak-Proof Design and Quick-Dry Surface for Potty Training, Standard Absorbency, X-Large, 28 x 34 Inch - Pack of 60, Blue &amp; White</t>
  </si>
  <si>
    <t>Scotch Thermal Laminating Pouches, 200 Count, Clear, 3 mil., Ideal Office or School Supplies, Fits Letter Sized Paper (8.9 in. × 11.4 in.)</t>
  </si>
  <si>
    <t>Scotch TL901X Thermal Laminator, 1 Laminating Machine, Gray, Laminate School Assignments and Documents, for Dorm Room or School Supplies, 9 in.</t>
  </si>
  <si>
    <t>Amazon Basics 2 Slice Toaster, With 6 Browning Settings, Extra Wide Slots For Bagels and Special Breads, Removable Easy-to-Clean Crumb Tray, Cancel/Defrost/Bagel Buttons, 900W, Black &amp; Silver</t>
  </si>
  <si>
    <t>Amazon Basics 10 Security-Tinted Self-Seal Business Letter Envelopes, Peel &amp; Seal Adhesive Closure, White, 500-Pack</t>
  </si>
  <si>
    <t>Duracell Coppertop AA Batteries with Power Boost Ingredients, 20 Count Pack Double A Battery with Long-lasting Power, Alkaline AA Battery for Household and Office Devices</t>
  </si>
  <si>
    <t>HP 61 Black Ink Cartridge | Works with Printer Series: DeskJet 1000, 1010, 1050, 1510, 2050, 2510, 2540, 3000, 3050, 3510; ENVY 4500, 5530; OfficeJet 2620, 4630 | Eligible for Instant Ink | CH561WN</t>
  </si>
  <si>
    <t>Amazon Basics Hanging Organizer File Folders for Efficient Filing, Sturdy, Adjustable Tabs, Letter Size, Pack of 25, Green</t>
  </si>
  <si>
    <t>Amazon Basics 12-Pack D Cell Alkaline All-Purpose Batteries, 1.5 Volt, 5-Year Shelf Life</t>
  </si>
  <si>
    <t>HP 65 Black Ink Cartridge for HP Printers | Works with Printer Series: AMP 100, DeskJet 2600, 3700; ENVY 5000 | Eligible for Instant Ink | N9K02AN</t>
  </si>
  <si>
    <t>Energizer CR2032 Lithium 3V Coin Batteries for Watches, AirTags, Key Fobs, Small Electronics (10 Pack)</t>
  </si>
  <si>
    <t>Duracell Coppertop AAA Batteries with Power Boost Ingredients, 20 Count Pack Triple A Battery with Long-lasting Power, Alkaline AAA Battery for Household and Office Devices</t>
  </si>
  <si>
    <t>Avery Easy Peel Printable Address Labels with Sure Feed, 1" x 2-5/8" Customizable Stickers, White, 750 Blank Mailing Labels, Great for Mailing, Shipping, and More (8160)</t>
  </si>
  <si>
    <t>Listerine Cool Mint Antiseptic Mouthwash, Daily Oral Rinse Kills 99% of Germs that Cause Bad Breath, Plaque and Gingivitis for a Fresher, Cleaner Mouth, Cool Mint Flavor, 1.5 L</t>
  </si>
  <si>
    <t>Duracell Coppertop 9V Battery, 6 Count (Pack of 1), 9 Volt Battery with Long-lasting Power, All-Purpose Alkaline 9V Battery for Household and Office Devices</t>
  </si>
  <si>
    <t>Amazon Basics 4-Pack 23A Alkaline Battery, 12 Volt, Long-Lasting Power</t>
  </si>
  <si>
    <t>Duracell 2025 Lithium Battery, 4 Count (Pack of 1) Child Safety Features, Lithium Coin Battery for Key Fob, Car Remote, and other devices, CR2025 3 Volt (3V) Cell</t>
  </si>
  <si>
    <t>Amazon Basics 6-Pack LR44 Alkaline Button Coin Cell Battery, 1.5 Volt, Long Lasting Power, Mercury-Free</t>
  </si>
  <si>
    <t>ASURION 2 Year Mobile Phone Accident Protection Plan ($350 - $399.99)</t>
  </si>
  <si>
    <t>PowerA Enhanced Nintendo Switch Controller Wireless - Black, Rechargeable Pro Controller for Switch, Immersive Motion Control and Advanced Gaming Buttons</t>
  </si>
  <si>
    <t>ASURION 2 Year Lawn &amp; Garden Extended Protection Plan ($70 - $79.99)</t>
  </si>
  <si>
    <t>ASURION 3 Year Kitchen Protection Plan ($500 - $599.99)</t>
  </si>
  <si>
    <t>ASURION 2 Year Portable Electronic Accident Protection Plan ($500 - $599.99)</t>
  </si>
  <si>
    <t>ASURION 4 Year Home Improvement Protection Plan ($80 - $89.99)</t>
  </si>
  <si>
    <t>ASURION 4 Year Laptop Protection Plan ($2000 - $2999.99)</t>
  </si>
  <si>
    <t>ASURION 3 Year Home Improvement Protection Plan ($600 - $699.99)</t>
  </si>
  <si>
    <t>8BitDo Wireless USB Adapter 2 for Switch/Switch 2, Windows PC, Mac &amp; Raspberry Pi, Compatible with Xbox Series X &amp; S Controller, Xbox One Bluetooth Controller, Switch Pro and PS5 Controller (Black)</t>
  </si>
  <si>
    <t>ASURION 2 Year Major Appliance Protection Plan ($250 - $299.99)</t>
  </si>
  <si>
    <t>ASURION 3 Year Home Improvement Protection Plan ($1000 - $1249.99)</t>
  </si>
  <si>
    <t>ASURION 3 Year Electronics Protection Plan ($150 - $174.99)</t>
  </si>
  <si>
    <t>ASURION 2 Year Lawn &amp; Garden Extended Protection Plan ($200 - $249.99)</t>
  </si>
  <si>
    <t>ASURION 3 Year Desktop Protection Plan ($300 - $349.99)</t>
  </si>
  <si>
    <t>ASURION 2 Year Camera Protection Plan ($40 - $49.99)</t>
  </si>
  <si>
    <t>ASURION 2 Year Personal Care Protection Plan ($50 - $59.99)</t>
  </si>
  <si>
    <t>ASURION 4 Year Office Equipment Protection Plan ($700 - $799.99)</t>
  </si>
  <si>
    <t>ASURION 2 Year Television Protection Plan ($175 - $199.99)</t>
  </si>
  <si>
    <t>ASURION 2 Year Major Appliance Protection Plan ($150 - $174.99)</t>
  </si>
  <si>
    <t>ASURION 2 Year Portable Electronic Accident Protection Plan ($90 - $99.99)</t>
  </si>
  <si>
    <t>ASURION 4 Year Home Improvement Protection Plan ($150 - $174.99)</t>
  </si>
  <si>
    <t>ASURION 3 Year Desktop Protection Plan ($250 - $299.99)</t>
  </si>
  <si>
    <t>DJI Mic 2 (2 TX + 1 RX + Charging Case), Wireless Lavalier Microphone, Intelligent Noise Cancelling, 32-bit Float Internal Recording, 820 ft.(250m) Range, Microphone for iPhone, Android, Camera</t>
  </si>
  <si>
    <t>Apple 2024 MacBook Pro Laptop with M4 Pro, 12-core CPU, 16-core GPU: Built for Apple Intelligence, 14.2-inch Liquid Retina XDR Display, 24GB Unified Memory, 512GB SSD Storage; Space Black</t>
  </si>
  <si>
    <t>myQ Smart Garage Security Camera – 1080p HD Video, Night Vision, Motion Detection, Magnetic, Wi-Fi, Two-Way Audio, Smartphone Control</t>
  </si>
  <si>
    <t>ASURION 2 Year Wearables Protection Plan ($60 - $69.99)</t>
  </si>
  <si>
    <t>DJI Osmo Pocket 3 Creator Combo, Vlogging Cameras with 1'' CMOS, 4K/120fps Vlog Camera, 3-Axis Stabilization, Face/Object Tracking, Mic Included for Clear Sound, Digital Vlogging Camera for YouTube</t>
  </si>
  <si>
    <t>ASUS The SFF-Ready Prime GeForce RTX™ 5070 12GB GDDR7 Graphics Card (PCIe® 5.0, 12GB GDDR7, HDMI®/DP 2.1, 2.5-Slot, Axial-tech Fans, Dual BIOS)</t>
  </si>
  <si>
    <t>Dell Inspiron Touchscreen Laptop, 15.6" Business &amp; Student Laptop Computer, Windows 11 Pro Laptop 32GB RAM 1TB SSD, Intel i5-1155G7 Processor, Full HD IPS Display, Numeric Keypad, HDMI, Carbon Black</t>
  </si>
  <si>
    <t>Brother Genuine TN2294PK Standard Yield 4-Pack Printer Toner Cartridges - Black, Cyan, Magenta, Yellow Toner Multipack</t>
  </si>
  <si>
    <t>HP 24mh FHD Computer Monitor with 23.8-Inch IPS Display (1080p) - Built-In Speakers and VESA Mounting - Height/Tilt Adjustment for Ergonomic Viewing - HDMI and DisplayPort - (1D0J9AA#ABA)</t>
  </si>
  <si>
    <t>STAR WARS Echo Dot Bundle: Includes Echo Dot (5th Gen, 2022 release) | Charcoal and Limited Edition STAR WARS TIE Fighter Stand</t>
  </si>
  <si>
    <t>ASURION 3 Year Home Improvement Protection Plan ($1250 - $1499.99)</t>
  </si>
  <si>
    <t>HP Pavilion 15.6" HD Touchscreen Anti-Glare Laptop, 16GB RAM, 1TB SSD Storage, Intel Core Processor up to 4.1GHz, Up to 11 Hours Long Battery Life, Type-C, HDMI, Windows 11 Home, Silver</t>
  </si>
  <si>
    <t>TP-Link Deco BE63 Tri-Band WiFi 7 BE10000 Whole Home Mesh System - 6-Stream 10 Gbps, 4x2.5G Ports Wired Backhaul, 4X Smart Internal Antennas, VPN, MU-MIMO, HomeShield, Free Expert Support (3-Pack)</t>
  </si>
  <si>
    <t>DJI Osmo Action 5 Pro Adventure Combo, Action Camera 4K with 1/1.3" Sensor, 12h Extended Battery Life with 3 Batteries, Stabilization, Dual OLED Touchscreens, Mini Action Camera for Travel, Vlog</t>
  </si>
  <si>
    <t>DJI Neo Three-Battery Combo, Mini Drone with 4K UHD Camera for Adults, 135g Self Flying Drone that Follows You, Palm Takeoff, Subject Tracking, QuickShots, Stabilized Video (Controller-Free)</t>
  </si>
  <si>
    <t>Apple iPhone 13, 128GB, Midnight - Unlocked (Renewed)</t>
  </si>
  <si>
    <t>HP 414X Black High-yield Toner Cartridge | Works HP Color LaserJet Enterprise M455dn, MFP M480f; HP Color LaserJet Pro M454 Series, MFP M479 Series</t>
  </si>
  <si>
    <t>HP 58X Black High-yield Toner Cartridge | Works with HP LaserJet Enterprise M406dn, Enterprise MFP M430f, Pro M404 Series, M428 Series | CF258X</t>
  </si>
  <si>
    <t>Bose QuietComfort Ultra Bluetooth Earbuds, Wireless Earbuds with Spatial Audio and World-Class Active Noise Cancellation, Deep Bass, Up to 6 Hours of Playtime, Black</t>
  </si>
  <si>
    <t>Apple Early 2020 MacBook Air with 1.1GHz Intel Core i3 13-inch 8GB RAM 256GB SSD Storage Space Gray (Renewed)</t>
  </si>
  <si>
    <t>HP LaserJet Pro MFP 3101fdw Wireless Black &amp; White All-in-One Laser Printer, Scanner, Copier, Fax, Best-for-Office (3G628F)</t>
  </si>
  <si>
    <t>Brother MFC-L2820DW Wireless Compact Monochrome All-in-One Laser Printer with Copy, Scan and Fax, Duplex, Black &amp; White | Includes Refresh Subscription Trial(1), Works with Alexa</t>
  </si>
  <si>
    <t>ASURION 3 Year Personal Care Protection Plan ($90 - $99.99)</t>
  </si>
  <si>
    <t>HP OfficeJet Pro 9135e All-in-One Printer, Color, Printer-for-Small Medium Business, Print, Copy, scan, fax, wireless. 3 month Instant Ink trial included ; Two-Sided Printing; Two-Side</t>
  </si>
  <si>
    <t>HP Original 148X Black Laserjet Toner Cartridge | This Cartridge Works Laserjet Pro 4001, MFP 4101 | W1480X, Black</t>
  </si>
  <si>
    <t>DJI Mic 2 Transmitter (Shadow Black), Wireless Microphone with Intelligent Noise Cancelling, 14-Hour Internal Recording, 6-Hour Battery, Magnetic Attachment, Bluetooth Microphone, YouTube, Vlogs</t>
  </si>
  <si>
    <t>HP LaserJet Pro 3001dw Wireless Black &amp; White Printer, Best-for-Office (3G65OF)</t>
  </si>
  <si>
    <t>Logitech MX Brio Ultra HD 4K Collaboration and Streaming Webcam, 1080p at 60 FPS, Dual Noise Reducing Mics, Show Mode, USB-C, Webcam Cover, Works with Microsoft Teams, Zoom, Google Meet - Graphite</t>
  </si>
  <si>
    <t>Seagate Storage Expansion Card 2TB Solid State Drive - NVMe SSD for Xbox Series X|S, Quick Resume, Plug &amp; Play, Licensed (STJR2000400) Black</t>
  </si>
  <si>
    <t>Epson WorkForce ES-50 Portable Sheet-Fed Document Scanner for PC and Mac</t>
  </si>
  <si>
    <t>AMD Ryzen 7 7700X 8-Core, 16-Thread Unlocked Desktop Processor</t>
  </si>
  <si>
    <t>HP 210X Black High-Yield Toner Cartridge | Works Color Laserjet Pro 4201, Color Laserjet Pro MFP 4301 Series | W2100X</t>
  </si>
  <si>
    <t>Roam 2 - Black - Portable Waterproof Bluetooth Speaker</t>
  </si>
  <si>
    <t>SteelSeries Arctis Nova Pro Wireless Multi-System Gaming Headset - Premium Hi-Fi Drivers - Active Noise Cancellation - Infinity Power System - Stealth Retractable Mic - PC, PS5/PS4, Switch, Mobile</t>
  </si>
  <si>
    <t>HP Smart Tank 5101 Wireless All-in-One Ink Tank Printer with up to 2 years of ink included (1F3Y0A)</t>
  </si>
  <si>
    <t>Google Nest Cam Outdoor or Indoor, Battery - 2nd Generation - 1 Pack</t>
  </si>
  <si>
    <t>WD_BLACK 2TB SN850P NVMe M.2 SSD Officially Licensed Storage Expansion for PS5 Consoles, up to 7,300MB/s, with heatsink - WDBBYV0020BNC-WRSN</t>
  </si>
  <si>
    <t>Lenovo IdeaPad 1 Student Laptop, 15.6" FHD Display, Intel Dual Core Processor, 12GB RAM, 512GB SSD + 128GB eMMC, 1 Year Office 365, Wi-Fi 6, Webcam, Bluetooth, SD Card Reader, Windows 11 Home, Grey</t>
  </si>
  <si>
    <t>Seagate Expansion Card for Xbox Series X/S, 1TB Solid State Drive, NVMe (STJR1000400)</t>
  </si>
  <si>
    <t>Samsung SSD 9100 PRO 2TB, PCIe 5.0x4 M.2 2280, Seq. Read Speeds Up to 14,800MB/s, Best for AI Computing, Gaming, and Heavy Duty Workstations (MZ VAP2T0B/AM)</t>
  </si>
  <si>
    <t>acer Wired Gaming Mouse, 12,800 DPI RGB Ergonomic Computer Mouse with Optical Sensor, 8 Programmable Buttons, 12 Backlit Modes, Software for DIY Keybinds, Rapid Fire, USB Gaming Mice for Laptop, PC</t>
  </si>
  <si>
    <t>Brother Genuine Standard-Yield Toner Cartridge Four Pack TN223 4PK - includes one cartridge each of Black, Cyan, Magenta &amp; Yellow Toner, Standard Yield, Model: TN2234PK</t>
  </si>
  <si>
    <t>Soundcore Sleep A20 by Anker Sleep Earbuds, 30dB High-Frequency Noise Reduction, Small Earplugs for Side Sleepers, 80H Playtime, Stream Content via Bluetooth 5.3, Sleep Monitor, Personal Alarm</t>
  </si>
  <si>
    <t>Fitbit Sense 2 Advanced Health and Fitness Smartwatch with Tools to Manage Stress and Sleep, ECG App, SpO2, 24/7 Heart Rate and GPS, Shadow Grey/Graphite, One Size (S &amp; L Bands Included)</t>
  </si>
  <si>
    <t>Dell Optiplex 3060 Desktop Computer | Intel i5-8500 (3.2) | 32GB DDR4 RAM | 1TB SSD Solid State | Built in WiFi | Bluetooth | Windows 11 Professional | Home or Office PC (Renewed)</t>
  </si>
  <si>
    <t>VIZIO 5.1 Soundbar SE, Wireless Subwoofer, Surround Sound w/Dolby Atmos &amp; DTS:X, Bluetooth Speaker, QuickFit™ Compatible – SV510X-08 (New, 2024 Model)</t>
  </si>
  <si>
    <t>ASURION 2 Year Tablet Accident Protection Plan ($90 - $99.99)</t>
  </si>
  <si>
    <t>Sceptre 30-inch Curved Gaming Monitor 21:9 2560x1080 Ultra Wide/ Slim HDMI DisplayPort up to 200Hz Build-in Speakers, Metal Black (C305B-200UN1)</t>
  </si>
  <si>
    <t>Apple iPad 2021 (10.2-inch, Wi-Fi, 64GB) - Space Gray (Renewed)</t>
  </si>
  <si>
    <t>HP OfficeJet Pro 8135e Wireless All-in-One Color Inkjet Printer, Print, Scan, Copy, Fax, ADF, Duplex Printing, Best-for-Home Office, 3 month Instant Ink trial included (40Q35A)</t>
  </si>
  <si>
    <t>Canon PIXMA TR160 Wireless Portable Printer, 50-Sheet Paper Tray and 1.44" Display</t>
  </si>
  <si>
    <t>NVIDIA SHIELD Android TV Pro Streaming Media Player; 4K HDR movies, live sports, Dolby Vision-Atmos, AI-enhanced upscaling, GeForce NOW cloud gaming, Google Assistant Built-In, Works with Alexa</t>
  </si>
  <si>
    <t>Samsung Galaxy S22 Smartphone, Factory Unlocked Android Cell Phone, 128GB, 8K Camera &amp; Video, Brightest Display, Long Battery Life, Fast 4nm Processor, US Version, Phantom Black (Renewed)</t>
  </si>
  <si>
    <t>Vortex Optics Triumph HD 10x42 Binoculars - HD Optical System, Fully Multi-Coated Lenses, Rubber Armor, Tripod Adaptable, Waterproof, Fogproof, Shockproof - Unlimited, Unconditional Warranty</t>
  </si>
  <si>
    <t>WAVLINK Thunderbolt 4 Dock with 100W Charging, Displaylink Docking Station Quad 4K@60Hz Monitors,3 Thunderbolt 4 Ports, 2.5G Ethernet, USB C Docking Station for Mac and PC,Displaylink Driver Required</t>
  </si>
  <si>
    <t>ARRIS (S34) - Cable Modem - Fast DOCSIS 3.1 Multi-Gigabit Cable Modem, for Comcast Xfinity, Cox, Spectrum &amp; More, 2.5 Gbps Max Internet Speeds, 2 Year Warranty - (No Built-in WiFi)</t>
  </si>
  <si>
    <t>Command Cord Bundlers, Damage-Free Hanging Cord Organizer, No Tools Cord Bundler for Hanging Electrical Cables, 6 Gray Cord Bundlers and 12 Command Strips</t>
  </si>
  <si>
    <t>CyberPower EC850LCD Ecologic UPS Battery Backup and Surge Protector, 850VA/510W, 12 Outlets, ECO Mode, Compact, UL Certified</t>
  </si>
  <si>
    <t>ASURION 3 Year Musical Instrument Accident Protection Plan ($30 - $39.99)</t>
  </si>
  <si>
    <t>CORSAIR VENGEANCE RGB DDR5 RAM 32GB (2x16GB) 6000MHz CL36-44-44-96 1.35V Intel XMP 3.0 Computer Memory – Black (CMH32GX5M2E6000C36)</t>
  </si>
  <si>
    <t>Logitech G733 LIGHTSPEED Wireless Gaming Headset with suspension headband, LIGHTSYNC RGB, Blue VO!CE mic technology and PRO-G audio drivers - Black</t>
  </si>
  <si>
    <t>Casio fx-CG50 PRIZM® – Color Graphing Calculator with 3D Graph &amp; Python | Large High-Res Display, Basic &amp; Advanced Functions | Ideal for Exams, STEM, Programming &amp; Advanced Math</t>
  </si>
  <si>
    <t>Samsung Galaxy Tab S6 Lite (2024) 10.4" 64GB WiFi Android Student Tablet, S Pen for Note-Taking, Gaming Ready, Long Battery Life, Expandable Storage, US Version, Oxford Gray, Amazon Exclusive</t>
  </si>
  <si>
    <t>Brother Genuine TN830XL 2PK Black High Yield Printer Toner Cartridge 2-Pack – Print up to 3,000 Pages Each(1)</t>
  </si>
  <si>
    <t>Apple Magic Keyboard Folio: iPad Keyboard and case for iPad (A16 and 10th Generation), Detachable Two-Piece Design That attaches magnetically, Built-in trackpad, US English – White</t>
  </si>
  <si>
    <t>Apple iPhone XR, 64GB, Black - Unlocked (Renewed)</t>
  </si>
  <si>
    <t>BlueParrott B450-XT Mono Bluetooth Wireless Headphones 96% Noise Canceling Over Head Trucker Headset with Mic, All Day Comfort Padded Headband, 300 ft. Wireless Range, 24 hrs. Talk Time, Black</t>
  </si>
  <si>
    <t>AOC C27G2Z 27" Curved Frameless Ultra-Fast Gaming Monitor, FHD 1080p, 0.5ms 240Hz, FreeSync, 2x HDMI 2.0, 1x Display Port, Height Adjustable, Xbox PS5 Switch Ready, 3-Year Zero-Bright-Dot</t>
  </si>
  <si>
    <t>HP 218X Yellow High-Yield Toner Cartridge | Works with Color Laserjet Pro 3201, MFP 3301 Series | W2182X</t>
  </si>
  <si>
    <t>ASURION 3 Year Headphones Protection Plan ($175 - $199.99)</t>
  </si>
  <si>
    <t>Elgato Stream Deck MK.2 – Studio Controller, 15 macro keys, trigger actions in apps and software like OBS, Twitch, ​YouTube and more, works with Mac and PC</t>
  </si>
  <si>
    <t>HP 218X Magenta High-Yield Toner Cartridge | Works with Color Laserjet Pro 3201, MFP 3301 Series | W2183X</t>
  </si>
  <si>
    <t>ViewSonic VA3209M 32 Inch IPS Full HD 1080p Monitor with Thin Bezels, 75Hz, Eye Care, HDMI, VGA Inputs for Home and Office</t>
  </si>
  <si>
    <t>ASURION 3 Year Furniture Protection Plan ($150 - $174.99)</t>
  </si>
  <si>
    <t>KODAK Slide N SCAN Film &amp; Slide Scanner Digitizer with 5” LCD Screen, Quickly Convert Negatives &amp; Slides to Digital 22MP JPEG Photos, Compatible with 135, 126 and 110 Film &amp; Slides</t>
  </si>
  <si>
    <t>HP 210A Black Original Laserjet Toner Cartridge</t>
  </si>
  <si>
    <t>KODAK PIXPRO WPZ2 Rugged Waterproof Shockproof Dustproof WiFi Digital Camera 16MP 4X Optical Zoom 1080P Full HD Video Vlogging Camera 2.7" LCD (Yellow)</t>
  </si>
  <si>
    <t>Logitech G PRO X SUPERLIGHT 2 Wireless Gaming Mouse, 60g Pro-Grade with 5 Programmable Buttons, 44k DPI Sensor, 8kHz Report Rate, USB-C Charging for PC/Mac - Black</t>
  </si>
  <si>
    <t>Soundcore by Anker Liberty 4 NC Wireless Earbuds, 98.5% Noise Reduction, Adaptive Noise Cancelling to Ears and Environment, Hi-Res Sound, 50H Battery, Wireless Charging, Bluetooth 5.3</t>
  </si>
  <si>
    <t>SanDisk 512GB microSD Express microSD Card - Up to 880MB/s Read, Up to 650MB/s Write, 220MB/s Sustained Write, U3, C10 - SDSQXFN-512G-GN4NN</t>
  </si>
  <si>
    <t>LaCie Rugged 5TB Portable External HDD - USB 3.0/2.0 Compatible, Shock/Dust/Rain Resistant for Mac &amp; PC, Orange, Grey</t>
  </si>
  <si>
    <t>Baseus 45W USB C Charger Block, 2 Pack PPS Fast Charger Type C with USB-C Cable for iPhone 16/15 Series, iPad, Galaxy S24 Ultra and More Series</t>
  </si>
  <si>
    <t>Canon PIXMA TR8620a - All-in-One Printer Home Office|Copier|Scanner|Fax|Auto Document Feeder | Photo, Document | Airprint (R), Android, Black, Works with Alexa</t>
  </si>
  <si>
    <t>Cobra RAD 480i Laser Radar Detector – Long Range Detection, Bluetooth, Apple CarPlay and Android Auto Compatible, LaserEye Front and Rear Detection, Digital Signal Processing, Black</t>
  </si>
  <si>
    <t>Toshiba Canvio Basics 1TB Portable External Hard Drive USB 3.0, Black - HDTB510XK3AA</t>
  </si>
  <si>
    <t>TP-Link Archer BE6500 Dual-Band Wi-Fi 7 Router (Archer BE400) | Dual 2.5 Gbps Ports USB 3.0 | Covers up to 2,400 Sq. ft and 90 Devices | Quad-core CPU| HomeShield, Private IoT for Network Security</t>
  </si>
  <si>
    <t>Plantronics - Voyager 5200 UC (Poly) - Bluetooth Single-Ear (Monaural) Headset - USB-A Compatible to connect to your PC and/or Mac - Works with Teams, Zoom &amp; more - Noise Canceling</t>
  </si>
  <si>
    <t>Edifier R1280T Powered Bookshelf Speakers - 2.0 Active Near Field Studio Monitor Speaker - Wooden Enclosure - 42 Watts RMS Power</t>
  </si>
  <si>
    <t>Apple AirPods Pro (2nd generation) with MagSafe Charging Case (USB-C) (Renewed)</t>
  </si>
  <si>
    <t>HP 30A Black Toner Cartridge | Works with HP LaserJet Pro M203 Series, HP LaserJet Pro MFP M227 Series | CF230A</t>
  </si>
  <si>
    <t>HP 936 Cyan/Magenta/Yellow Standard Yield Ink Cartridges, 3/Pack (6C3Z3LN)</t>
  </si>
  <si>
    <t>JBL PartyBox Wireless Mic - 2X Digital Wireless Microphones, Rechargeable Battery (20hrs - 700mAh), Clear Voice, Crisp Sound, Stable 2.4GHz Connection, Compatible with All PartyBox Speakers (Black)</t>
  </si>
  <si>
    <t>Canon EF 50mm f/1.8 STM Lens</t>
  </si>
  <si>
    <t>HP 134X Black High-yield Toner Cartridge | Works with HP LaserJet M209 Series, HP LaserJet MFP M234 Series | W1340X</t>
  </si>
  <si>
    <t>Garmin Dash Cam™ Mini 3, Ultracompact 1080p HD Dash Cam with a 140-degree Field of View, Built in Clarity™ Polarizer, Voice Controlled, Automatic Recording</t>
  </si>
  <si>
    <t>HP 210A Cyan Toner Cartridge | Works Color Laserjet Pro 4201, Color Laserjet Pro MFP 4301 Series | W2101A</t>
  </si>
  <si>
    <t>ASURION 2 Year Mobile Phone Accident Protection Plan ($300 - $349.99)</t>
  </si>
  <si>
    <t>VIZIO 24-inch D-Series Full HD 1080p Smart TV with Apple AirPlay and Chromecast Built-in, Alexa Compatibility, D24f-J09, 2022 Model</t>
  </si>
  <si>
    <t>HP 210A Yellow Toner Cartridge | Works Color Laserjet Pro 4201, Color Laserjet Pro MFP 4301 Series | W2102A</t>
  </si>
  <si>
    <t>Skullcandy Hesh Evo Wireless Over-Ear Bluetooth Headphones with Charging Cable, Noise Isolating, Up to 36 Hours Battery, Foldable Lightweight Design, Microphone for iPhone Android - True Black</t>
  </si>
  <si>
    <t>JBL Tune Flex - True Wireless Noise Cancelling Earbuds (Black), Small</t>
  </si>
  <si>
    <t>JBL Endurance Peak 3 - Dust and Water Proof (IP68) True Wireless Active Earbuds, Pure Bass Sound, Up to 50 Total Hours of Playback with Speed Charge, Ambient Aware &amp; Talk Thru (Black)</t>
  </si>
  <si>
    <t>HP 202A Black Toner Cartridge | Works with HP Color LaserJet Pro M254, HP Color LaserJet Pro MFP M281 Series | CF500A</t>
  </si>
  <si>
    <t>CORSAIR VENGEANCE RGB DDR5 RAM 32GB (2x16GB) 6400MHz CL36-48-48-104 1.35V Intel XMP 3.0 Desktop Computer Memory - Black (CMH32GX5M2B6400C36)</t>
  </si>
  <si>
    <t>Apple Watch Series 7 (GPS, 45mm) Midnight Aluminum Case with Midnight Sport Band (Renewed)</t>
  </si>
  <si>
    <t>Brother Genuine-Drum Unit, DR820, Seamless Integration, Yields Up to 30,000 Pages, Black</t>
  </si>
  <si>
    <t>Logitech G920 Driving Force Racing Wheel and Floor Pedals, Real Force Feedback, Stainless Steel Paddle Shifters, Leather Steering Wheel Cover for Xbox Series X|S, Xbox One, PC, Mac - Black</t>
  </si>
  <si>
    <t>Brother P-touch PT- D610BT Business Professional Connected Label Maker | Connect and Create via Bluetooth® on TZe Label Tapes up to ~1 inch</t>
  </si>
  <si>
    <t>Elgato Cam Link 4K – External Capture Card for DSLR &amp; Camcorder, ActionCam as Webcam, Meet/Stream/Record in 1080p60 or 4K30/4K60, Easy Connect for OBS/Zoom/Discord – HDMI to USB 3.0, PC/Mac/iPad</t>
  </si>
  <si>
    <t>Audio-Technica ATH-M20x Professional Studio Monitor Headphones, Black (AUD ATHM20X)</t>
  </si>
  <si>
    <t>EPSON 212 Claria Ink High Capacity Black &amp; Standard Color Cartridge Combo Pack (T212XL-BCS) Works with WorkForce WF-2830, WF-2850, Expression XP-4100, XP-4105</t>
  </si>
  <si>
    <t>APC UPS Battery Replacement, APCRBC124, for APC UPS Models BR1500G, BX1500M, BR1300G, SMC1000-2U, SMC1000-2UC, BR1500GI, BX1500G, SMC1000-2U, SMC1000-2UC, and select others</t>
  </si>
  <si>
    <t>TP-Link Deco S4 Mesh AC1900 WiFi System - Up to 5,500 Sq.ft. Coverage, Replaces WiFi Router and Extender, Gigabit Ports, Works with Alexa, Deco S4(3-Pack)</t>
  </si>
  <si>
    <t>NETGEAR WiFi 6 Router (R6700AXv3) – Security Features, AX1800 Wireless Speed (Up to 1.8 Gbps) - Covers up to 1,500 sq. ft., 20 Devices</t>
  </si>
  <si>
    <t>Canon PIXMA TR7020a All-in-One Wireless Color Inkjet Printer, with Duplex Printing, Mobile Printing, and Auto Document Feeder, Black, Works with Alexa</t>
  </si>
  <si>
    <t>Canon PGI-250/ CLI-251 5 Color Amazon Pack</t>
  </si>
  <si>
    <t>HP 202X Black High-yield Toner Cartridge ,Works with HP Color LaserJet Pro M254, HP Color LaserJet Pro MFP M281 Series CF500X</t>
  </si>
  <si>
    <t>ASURION 3 Year Cooling Protection Plan ($450 - $499.99)</t>
  </si>
  <si>
    <t>WYZE Floodlight Camera v2, Security Camera Outdoor, 2K HD with Color Night Vision, 2800-Lumen LEDs, 160° Wide View, 105dB Siren, Works with Alexa &amp; Google Assistant, Wired, Free Expert Support</t>
  </si>
  <si>
    <t>HP 48A Black Toner Cartridge | Works with HP LaserJet Pro M15, M16 Series, HP LaserJet Pro MFP M28, M29 Series | CF248A</t>
  </si>
  <si>
    <t>Canon PG-245 XL / CL-246 XL Genuine Ink Value Pack (2 Cartridges), Compatible with iP2820, MG2420/2924/2920/3020/2522/2525, MX492, TS3120/302/302a/202/202a/4520/3320</t>
  </si>
  <si>
    <t>ASURION 2 Year Mobile Phone Accident Protection Plan ($125 - $149.99)</t>
  </si>
  <si>
    <t>Nintendo Wii Console, White Premium Bundle (Renewed)</t>
  </si>
  <si>
    <t>VIVO Dual Monitor up to 32 inches and 19.8 lbs per Screen, Pneumatic Arm Desk Mount, Articulating Counterbalance, VESA Stand, Classic, STAND-V002O</t>
  </si>
  <si>
    <t>Brother LC4063PK 3 Pack of Standard Yield Cyan, Magenta and Yellow -Ink -Cartridges</t>
  </si>
  <si>
    <t>Xbox Wireless Gaming Headset – Over Ear Headphones – Spatial Audio with Dolby Atmos, Windows Sonic Series X|S, One, Windows PC, Mobile – Carbon Black</t>
  </si>
  <si>
    <t>SanDisk 256GB Extreme PRO SDXC UHS-II Memory Card - C10, U3, V60, 6K, 4K UHD, SD Card - SDSDXEP-256G-GN4IN</t>
  </si>
  <si>
    <t>SanDisk 128GB Extreme PRO SDXC UHS-II Memory Card - Up to 300MB/s Read and Write speeds, V90, 8K, 4K UHD, SD Card - SDSDXDM-128G-GN4IN</t>
  </si>
  <si>
    <t>Arlo Video Doorbell 2K 2nd Generation &amp; Chime 2 Bundle, 2K Doorbell Camera, 2-Way Audio, Package Detection, Motion Detection and Alerts, Built-in Siren, Night Vision, AVDK4001-100CNS, White</t>
  </si>
  <si>
    <t>Crucial P3 Plus 2TB PCIe Gen4 3D NAND NVMe M.2 SSD, up to 5000MB/s - CT2000P3PSSD8</t>
  </si>
  <si>
    <t>SanDisk Extreme PRO microSDXC UHS-I Memory Card 1 TB + Adapter &amp; RescuePRO Deluxe (for Smartphones, Action Cameras or Drones, A2, Class 10, V30, U3, 200 MB/s Transfer)</t>
  </si>
  <si>
    <t>NZXT H5 Flow 2024 - Compact ATX Mid-Tower PC Gaming Case - High Airflow - 2 x 120mm Fans Included - 360mm Front &amp; 240mm Top Radiator Support - Cable Management System - Tempered Glass - Black</t>
  </si>
  <si>
    <t>HyperX Cloud Alpha Wireless - Gaming Headset for PC, 300-hour battery life, DTS Headphone:X Spatial Audio, Memory foam, Dual Chamber Drivers, Noise-canceling mic, Durable aluminum frame,Red</t>
  </si>
  <si>
    <t>Remington Shortcut Pro Self-Haircut Trimmer Kit, Waterproof Cordless Electric Razor for Head, Beard, and Body, Curved Blades and 9 Trimmer Lengths, Head Shaver, 5-Minute Quick-Charge, 14-Piece Set</t>
  </si>
  <si>
    <t>Crucial P3 500GB PCIe Gen3 3D NAND NVMe M.2 SSD, up to 3500MB/s - CT500P3SSD8</t>
  </si>
  <si>
    <t>ASURION 3 Year Floorcare Extended Protection Plan ($100 - $124.99)</t>
  </si>
  <si>
    <t>HP 923 Cyan/Magenta/Yellow Standard Yield Ink Cartridges, 3/Pack (6C3Y4LN)</t>
  </si>
  <si>
    <t>Energizer Recharge Universal Rechargeable AA Batteries (16 Pack), Double A Rechargeable Batteries</t>
  </si>
  <si>
    <t>JBL Go 3 - Portable Mini Bluetooth Speaker, big audio and punchy bass, IP67 waterproof and dustproof, 5 hours of playtime, speaker for home, outdoor and travel (Black)</t>
  </si>
  <si>
    <t>Roku Ultra LT (2023) HD/4K/HDR Dolby Vision Quad-Core Streaming Player with HDMI Cable, Headphones, Voice Remote w/ Private Listening, Ethernet</t>
  </si>
  <si>
    <t>Original HP 63 Tri-color / 63XL Black Ink (2-Pack) | Works with HP DeskJet 1112, 2130, 3630 Series; HP ENVY 4510, 4520 Series; HP OfficeJet 3830, 4650</t>
  </si>
  <si>
    <t>Seagate Game Drive for Xbox 2TB External Hard Drive Portable HDD - USB 3.2 Gen 1, Black with built-in green LED bar , Xbox Certified, 3 year Rescue Services (STKX2000400)</t>
  </si>
  <si>
    <t>GoPro Dual Battery Charger + 2 Enduro Rechargeable Batteries (HERO13 Black) - Official GoPro Accessory</t>
  </si>
  <si>
    <t>DEWALT Wearable Bluetooth Speaker (Updated Version), Clip-On Wireless Jobsite Pro Water-Resistant Portable Speaker (Non-Magnetic), Built-in Mic for Hands-Free Music/Calls, Bluetooth Speaker (Yellow)</t>
  </si>
  <si>
    <t>HP 962 Black Ink Cartridge for HP Printers | Works With Printer Series: OfficeJet 9010, Pro 9020 | Eligible for Instant Ink | 3HZ99AN</t>
  </si>
  <si>
    <t>SwissGear 1900 Scansmart TSA 17 Laptop Backpack, Black, 19-Inch</t>
  </si>
  <si>
    <t>HP 215A Black Toner Cartridge for HP Printers | Works with Printer Series: Color LaserJet Pro M155, Color LaserJet Pro MFP M182, M183 | W2310A</t>
  </si>
  <si>
    <t>Amazon Basics 108 Count Alkaline Battery Super Value Pack - 48 AA + 36 AAA + 8 C + 8 D + 8 9Volt</t>
  </si>
  <si>
    <t>adidas Prime Backpack for Work, Travel Bag for Women and Men with Padded Compartment for Laptop, Black/White/2, One Size</t>
  </si>
  <si>
    <t>Razer Naga V2 HyperSpeed Wireless MMO Gaming Mouse: 19 Programmable Buttons - HyperScroll Technology - Focus Pro 30K Optical Sensor - Mechanical Mouse Switches Gen-2 - Up to 400 Hr Battery Life</t>
  </si>
  <si>
    <t>Kodak Funsaver One Time Use Film Camera (2-pack)</t>
  </si>
  <si>
    <t>UGREEN 100W USB C Charger, Nexode 4-Port GaN Foldable Compact Fast Laptop Charger Power Adapter for MacBook Pro/Air, iPad Pro, iPhone 16 Pro, Galaxy S25/S24, Steam Deck, Google Pixelbook, and More</t>
  </si>
  <si>
    <t>HP 65XL Tri-color High-yield Ink Cartridge for HP Printers | Works with Printer Series: AMP 100, DeskJet 2600, 3700; ENVY 5000 | Eligible for Instant Ink | N9K03AN</t>
  </si>
  <si>
    <t>VIVO STAND-V002F Dual LED LCD Monitor Free-Standing Desk Stand for 2 Screens up to 27 Inch Heavy-Duty Fully Adjustable Arms with Max VESA 100x100mm</t>
  </si>
  <si>
    <t>TP-Link AC1900 Smart WiFi Router (Archer A8) -High Speed MU-MIMO Wireless Router, Dual Band Router for Wireless Internet, Gigabit, Supports Guest WiFi</t>
  </si>
  <si>
    <t>Seagate Game Drive for PlayStation® Consoles 2 TB External Hard Drive - USB 3.2 Gen 1, Officially-Licensed (STLV2000101)</t>
  </si>
  <si>
    <t>Amazon Basics Rolling Desk Chair, Adjustable, Low Back, Padded Seat, Breathable Mesh, Swivel, Black, 21.25" D x 22.5" W x 38" H</t>
  </si>
  <si>
    <t>EPSON 502 EcoTank Ink Ultra-high Capacity Bottle Color Combo Pack Works with ET-2750, ET-2760, ET-2850, ET-3750, ET-3760, ET-3850, ET-4850, and other select EcoTank models</t>
  </si>
  <si>
    <t>ASURION 2 Year Furniture Protection Plan ($700 - $799.99)</t>
  </si>
  <si>
    <t>ASURION 3 Year Musical Instrument Accident Protection Plan ($100 - $124.99)</t>
  </si>
  <si>
    <t>Polaroid Go Generation 2 - Mini Instant Camera + Film Bundle (16 Photos Included) - White (6282)</t>
  </si>
  <si>
    <t>Duracell Optimum AA Batteries with 4x Power Boost Ingredients, 28 Count (Pack of 1), Re-closable pack for a quick, easy access and organized storage, Double A Battery with Long-Lasting Power</t>
  </si>
  <si>
    <t>Brother Genuine LC4014PKS Standard Yield 4-Pack Ink Cartridges – Includes 1 Cartridge Each of Black, Cyan, Magenta and Yellow</t>
  </si>
  <si>
    <t>Sony WF-C510 Truly Wireless in-Ear Bluetooth Earbud Headphones with up to 22-Hour Battery, Multipoint-Connection, Mic and IPX4 Water Resistance, Black- New</t>
  </si>
  <si>
    <t>SHOKZ OpenMove - Open-Ear Bluetooth Sport Headphones, Bone Conduction Wireless Earphones, Sweatproof for Running and Workouts, with Sticker Pack, Grey</t>
  </si>
  <si>
    <t>PNY 32GB Turbo Attaché 3 USB 3.0 Flash Drive, Silver (Pack of 10)</t>
  </si>
  <si>
    <t>CORSAIR VENGEANCE LPX DDR4 RAM 16GB (2x8GB) 3200MHz CL16-18-18-36 1.35V Intel AMD Desktop Computer Memory - Black (CMK16GX4M2B3200C16)</t>
  </si>
  <si>
    <t>Brother Genuine TN830 Black Standard Yield Printer Toner Cartridge - Print up to 1,200 Pages(1)</t>
  </si>
  <si>
    <t>HP 60 Black/Tri-color Ink Cartridges (2-pk) | DeskJet D1660, D2500, D2600, D5560, F2400, F4200, F4400, F4580; ENVY 100; OfficeJet J4500, J4680, 4500; PhotoSmart C4600, C4700, D110a | N9H63FN</t>
  </si>
  <si>
    <t>SimpliSafe Entry Sensor (Pack of 4) - Window and Door Protection - Compatible with The SimpliSafe Home Security System - Latest Gen</t>
  </si>
  <si>
    <t>TCL 32-Inch Class S3 1080p LED Smart TV with Fire TV (32S350F, 2023 Model), Alexa Built-in, Apple AirPlay Compatibility, Streaming FHD Television,Black</t>
  </si>
  <si>
    <t>EPSON 812 DURABrite Ultra Ink High Capacity Black Cartridge (T812XL120-S) Works with WorkForce Pro WF-7310, WF-7820, WF-7840, WorkForce EC-C7000</t>
  </si>
  <si>
    <t>DualShock 4 Wireless Controller for PlayStation 4 - Jet Black (Renewed)</t>
  </si>
  <si>
    <t>Lenovo Digital Pen 2 (Laptop) - Ultra-Tactile Response - 4,096 Levels of Pressure - Natural Feel Elastometer Pen Tip - Extended Battery Life - Silver, Grey</t>
  </si>
  <si>
    <t>Targus 15-16 Inch Classic Slim Laptop Bag, Black - Ergonomic Briefcase and Messenger Bag - Spacious Foam Padded Laptop Bag for 16" Laptops and Under (TCT027US)</t>
  </si>
  <si>
    <t>HP 952 Black Ink Cartridge for HP Printers | Works with Printer Series: OfficeJet 8702, OfficeJet Pro 7720, 7740, 8210, 8710, 8720, 8730, 8740 | Eligible for Instant Ink | F6U15AN</t>
  </si>
  <si>
    <t>Dell Laptop Charger 65W Watt USB Type C AC Power Adapter Include Power Cord for Dell Latitude 3340 3440 3540 5340 5440 5540 7340 7440 7640 9440 2in1</t>
  </si>
  <si>
    <t>ASURION 2 Year Major Appliance Protection Plan ($125 - $149.99)</t>
  </si>
  <si>
    <t>WYZE Wireless Outdoor/Indoor Battery Security Camera, 2.5K HDR Color Night Vision, Integrated Spotlight &amp; Siren, Motion Detection, 2-Way Audio, Alexa &amp; Google Assistant Compatible, Free Expert Support</t>
  </si>
  <si>
    <t>ARCTIC Liquid Freezer III Pro 360 A-RGB - AIO CPU Cooler, 3 x 120 mm Water Cooling, 38 mm Radiator, PWM Pump, VRM Fan, AMD AM5/AM4, Intel LGA1851/1700 Contact Frame - Black</t>
  </si>
  <si>
    <t>NETGEAR Wi-Fi Range Extender EX6120 - Coverage Up to 1500 Sq Ft and 25 Devices with AC1200 Dual Band Wireless Signal Booster &amp; Repeater (Up to 1200Mbps Speed), and Compact Wall Plug Design, White</t>
  </si>
  <si>
    <t>Sceptre New 22-inch Professional Monitor HDMI x2 Build-in Speakers 2025</t>
  </si>
  <si>
    <t>PopSockets Phone Wallet with Expanding Grip and Adapter Ring for MagSafe, Phone Card Holder, Wireless Charging Compatible, Wallet Compatible with MagSafe - Black</t>
  </si>
  <si>
    <t>Carhartt 25L Classic Laptop Backpack, Durable Water-Resistant Pack W/ 15" Laptop Sleeve and Multiple Organizational Compartments, PFAS Free, Black</t>
  </si>
  <si>
    <t>ZAGG Glass Elite Screen Protector for iPhone 16 Pro - 5X Stronger, Reinforced Edges, Ultra-Strong Tempered Glass, Scratch Resistant, Anti-Smudge, InvisibleShield, Easy Installation, Eco-Friendly</t>
  </si>
  <si>
    <t>ASURION 3 Year Portable Electronic Accident Protection Plan ($30 - $39.99)</t>
  </si>
  <si>
    <t>Casio fx-9750GIII Graphing Calculator | Natural Textbook Display | Python Programming | Ideal for Exams, STEM &amp; Advanced Math | Black</t>
  </si>
  <si>
    <t>Amazon Basics 12-Inch Thermal Laminator Machine, Easy to Use for Home Office or School, 12-Inch, White</t>
  </si>
  <si>
    <t>HyperX SoloCast – USB Condenser Gaming Microphone, for PC, PS4, PS5 and Mac, Tap-to-Mute Sensor, Cardioid Polar Pattern, great for Streaming, Podcasts, Twitch, YouTube, Discord,Black</t>
  </si>
  <si>
    <t>Logitech G Pro X SE Wired Gaming Headset with Microphone: Detachable Mic, DTS Headphone:X 7.1, Memory Foam Ear Pads, 50 mm Drivers, USB DAC Incl. - Black</t>
  </si>
  <si>
    <t>BOYA mini Wireless Lavalier Microphone for Android/Tablets/PC with USB C Plug,Noise Reduction,30H Battery Life with Charging Case,AI Voice Changer,Lapel Microphone Wireless for Video Recording Podcast</t>
  </si>
  <si>
    <t>Anker MagSafe Compatible MagGo Charger Stand, iPhone 16 Wireless Charger, 2-in-1 Charging Station, Qi2 Certified 15W Fast Charging, for iPhone 16/15/14/13/12, AirPods Pro (Black, No Adapter)</t>
  </si>
  <si>
    <t>Canon PGI-35/CLI-36 2 Genuine Black and Color Value Pack Compatible to iP100, iP110, TR150 and TR160 Printers</t>
  </si>
  <si>
    <t>Texas Instruments TI-30X IIS 2-Line Scientific Calculator, Lime Green</t>
  </si>
  <si>
    <t>VTech CS6719-2 2-Handset Cordless Phone with Caller ID/Call Waiting, Handset Intercom &amp; Backlit Display/Keypad, Silver</t>
  </si>
  <si>
    <t>ESR Geo Digital iPad Pencil Findmy Compatible with Apple iPad 2018-2025,with Easy Shortcuts for Apple iPad A16/10/9/8 &amp; Air 13/11 &amp; Pro 12.9/13/11 &amp; Mini 7/6/5,White(No Wireless Charging)</t>
  </si>
  <si>
    <t>Apple 30W USB-C Power Adapter: Fast and Convenient Charging, Type C Wall Charger</t>
  </si>
  <si>
    <t>ASURION 3 Year Television Protection Plan ($250 - $299.99)</t>
  </si>
  <si>
    <t>Acer USB C Docking Station Dual Monitor With 2 HDMI, 9-IN-1 Laptop Docking Station with 4K HDMI, USB A&amp;C 3.0, SD/Micro SD, 100W PD Charging, USB C Dock Compatible with Acer/Dell XPS/HP/Mac/Surface etc</t>
  </si>
  <si>
    <t>Monster Mission 200 Bluetooth Headphones, Wireless Headphones with 3 EQ Modes, Low Latency HiFi Stereo Foldable Lightweight Headset, 60H Playtime,Deep Bass for Home Office Cellphone PC Ect</t>
  </si>
  <si>
    <t>StarTech.com USB 3.0 to Dual HDMI Adapter, USB to 2x HDMI Monitor Converter for Windows, TAA (no support for macOS/ChromeOS/Linux)</t>
  </si>
  <si>
    <t>Avery White Shipping Labels for Laser Printers with TrueBlock Technology 3 1/3 Inch x 4 Inch, Box of 600 (5164)</t>
  </si>
  <si>
    <t>TP-Link Tapo 1080P Outdoor Wired Pan/Tilt Security Wi-Fi Camera, 360° View, Motion Tracking, Works with Alexa &amp; Google Home, Night Vision, Free AI Detection, Cloud &amp; SD Card Storage, Tapo C500</t>
  </si>
  <si>
    <t>TP-Link AV1000 Powerline Ethernet Adapter KIT - Gigabit Port, Plug Pair &amp;Play, Ethernet Over Power, Nano Size, Power Saving Mode, Network Adapter, Free Expert Help (TL-PA7017 KIT)</t>
  </si>
  <si>
    <t>PYLE-PRO 50W Megaphone Speaker PA Bullhorn, Black Aux Input, Adjustable Volume, Siren, 35mm Aux Input, Ideal for Sports Events &amp; Emergency Drills- PMP53IN</t>
  </si>
  <si>
    <t>EPSON 252 DURABrite Ultra Ink High Capacity Black Cartridge (T252XL120-S) Works with WorkForce WF-3620, WF-3640, WF-7110, WF-7610, WF-7620, WF-7710, WF-7720, WF-7210</t>
  </si>
  <si>
    <t>ASURION 2 Year Laptop Protection Plan ($2000 - $2999.99)</t>
  </si>
  <si>
    <t>ASURION 2 Year Tablet Accident Protection Plan ($80 - $89.99)</t>
  </si>
  <si>
    <t>EPSON 232 Claria Ink High Capacity Black Cartridge (T232XL120-S) Works with WorkForce WF-2930, WF-2950, Expression XP-4200, XP-4205</t>
  </si>
  <si>
    <t>Apple 70W USB-C Power Adapter</t>
  </si>
  <si>
    <t>Panasonic Blu Ray DVD Player with Full HD Picture Quality and Hi-Res Dolby Digital Sound, DMP-BD84P-K, Black</t>
  </si>
  <si>
    <t>Samsung PRO Endurance 256GB MicroSDXC Memory Card with Adapter for Dash Cam, Body Cam, and Security Camera, Class 10, U3, V30 (‎MB-MJ256KA/AM)</t>
  </si>
  <si>
    <t>Midland - WR120B - NOAA Emergency Weather Alert Radio - Localized Programming, Trilingual Display, 60+ Emergency Alerts, Alarm, Selectable Alert Tone</t>
  </si>
  <si>
    <t>Canon CLI-281 Black, Cyan, Magenta and Yellow 4 Ink Pack, Compatible to TR8520, TR8620 Series, TS9120, and TS6210 Printers</t>
  </si>
  <si>
    <t>ASURION 2 Year Camera Protection Plan ($60 - $69.99)</t>
  </si>
  <si>
    <t>Kensington USB-A Hi-Fi Headphones, On-Ear Headset, 6ft Cord, for Kids, for Adults, for School, Padded Adjustable Headband (K97600WW), Black</t>
  </si>
  <si>
    <t>TP-Link TL-SF1005P | 5 Port Fast Ethernet PoE Switch | 4 PoE+ 10/100 Mbps Ports @67W | Desktop | Plug &amp; Play | Sturdy Metal w/ Shielded Ports | Fanless | Extend &amp; Priority Mode</t>
  </si>
  <si>
    <t>8Bitdo Ultimate 2 Bluetooth Controller for Switch/Switch 2 &amp; Windows PC, Switch Pro Controller with TMR Joysticks, Switchable Hall Effect/Tactile Triggers, Vibration and Motion Control - Black</t>
  </si>
  <si>
    <t>adidas Foundation Backpack for Laptop, Large Durable Athletic Gym Bag, Two Tone White/Black, One Size</t>
  </si>
  <si>
    <t>OtterBox iPhone SE 3rd &amp; 2nd Gen, iPhone 8 &amp; iPhone 7 (not Compatible with Plus Sized Models) Defender Series Case - Black, Rugged &amp; Durable, with Port Protection, Includes Holster Clip Kickstand</t>
  </si>
  <si>
    <t>LISEN USB-C to Magnetic 3 Cable (6.6FT) for M4 MacBook Air Pro Charger, 140W Magnetic Safe 3 Cable for MacBook Air (15''/13'' M4 2025, M3 2024, M2 2023, M2 2022), Pro (16"/14" 2024/2023/2021)</t>
  </si>
  <si>
    <t>Kasa Smart 3 Way Switch HS210 KIT, Needs Neutral Wire, 2.4GHz Wi-Fi Light Switch works with Alexa and Google Home, UL Certified, No Hub Required, White,2 Count (Pack of 1)</t>
  </si>
  <si>
    <t>CHERRY UM POP FILTER Mask Shield For Cherry UM Microphone Series 3.0 6.0 9.0. Adjustable knob for Custom Podcast, Streaming, Gaming or Office Setup.</t>
  </si>
  <si>
    <t>Baseus Laptop Docking Station Dual Monitor 4K@120Hz, 9 in 1 USB C Hub with 2 HDMI, 1000Mbps LAN, Max 85W PD, 3 USB, SD Card Reader, USB C Dock Compatible with iPhone 15/Mac/Dell/HP/Surface/Steam Deck</t>
  </si>
  <si>
    <t>EPSON 812 DURABrite Ultra Ink Standard Capacity Color Combo Pack (T812520-S) Works with WorkForce Pro WF-7310, WF-7820, WF-7840, WorkForce EC-C7000</t>
  </si>
  <si>
    <t>Streamlight 85177 CR123A Lithium Batteries, 12-Pack</t>
  </si>
  <si>
    <t>67XL Ink Cartridges Black/Color Combo Pack Remanufactured for HP Ink 67 67XL to Use with HP Deskjet 2855e 2800e 2755e 2827e 2700e 2700 2852e 4255e 2734e 4100 4000 Envy 6000 6055e Printer (2-Pack)</t>
  </si>
  <si>
    <t>Brother Genuine High Yield Color Ink Cartridge, LC2033PKS, Replacement Color Ink Three Pack, Includes 1 Cartridge Each of Cyan, Magenta &amp; Yellow, Page Yield Up To 550 Pages, Amazon Dash Replenishment Cartridge, LC203</t>
  </si>
  <si>
    <t>Baseus 100W USB C Charger Block, 3-Port Foldable Compact PPS Wall Charger, Fast Charging Power Adapter for MacBook Pro/Air, iPad, iPhone 16/15, Galaxy S24, Steam Deck &amp; More</t>
  </si>
  <si>
    <t>ASURION 3 Year Kitchen Protection Plan ($450 - $499.99)</t>
  </si>
  <si>
    <t>Apple Thunderbolt 3 (USB-C) to Thunderbolt 2 Adapter</t>
  </si>
  <si>
    <t>DYMO Authentic LW White Mailing Address Labels, DYMO Labels for LabelWriter Label Printers, 1-1/8" x 3-1/2", 2 Rolls of 350 (700 Total)</t>
  </si>
  <si>
    <t>Energizer Ultimate Lithium AA Size Batteries - 20 Pack (5-4packs)</t>
  </si>
  <si>
    <t>Belkin Surge Protector Power Strip w/ 8 Rotating &amp; 4 Standard Outlets - 8ft Sturdy Extension Cord w/ Flat Pivot Plug for Home, Office, Travel, Desktop &amp; Charging Brick - 4320 Joules of Protection</t>
  </si>
  <si>
    <t>New Dell Original Laptop Charger 65W watt 4.5mm tip AC Power Adapter(Power Supply) with Power Cord for Inspiron 13 14 15,3000 5000 7000 Series,5558 5755 3147 7348-2in1 5555 5559,0G6j41 0MGJN</t>
  </si>
  <si>
    <t>UGREEN Airplane Bluetooth 5.4 Transmitter Receiver for 2 Airpods or Headphones, Airplane Travel Essentials 2-in-1 Wireless Bluetooth Adapter, 3.5MM AUX Jack Adapter on Flight, TV, Car Stereo</t>
  </si>
  <si>
    <t>VIVO Single 13 to 38 inch Ultrawide Monitor Arm Desk Mount, Regular Screens up to 32 inches, 22 lbs capacity, Fully Adjustable Stand with C-Clamp and Grommet Base, Black, STAND-V001</t>
  </si>
  <si>
    <t>Tile by Life360 Sticker - Small Bluetooth Tracker, Remote Finder and Item Locator for Bikes, Glasses and More. Both iOS and Android Compatible. Phone Finder. 1-Pack (Black)</t>
  </si>
  <si>
    <t>HP 60 Black Ink Cartridge | Works with DeskJet D1660, D2500, D2600, D5560, F2400, F4200, F4400, F4580; ENVY 100, 110, 120; PhotoSmart C4600, C4700, D110a Series | CC640WN</t>
  </si>
  <si>
    <t>STANLEY FATMAX Tape Measure, 25-Foot (33-725)</t>
  </si>
  <si>
    <t>SanDisk 512GB Ultra Fit USB 3.2 Gen 1 Flash Drive - Up to 400MB/s, Plug-and-Stay Design - SDCZ430-512G-GAM46, Black</t>
  </si>
  <si>
    <t>ASURION 3 Year Kitchen Protection Plan ($350 - $399.99)</t>
  </si>
  <si>
    <t>Skullcandy Dime 3 Wireless Earbuds, Bluetooth Headphones, Noise Isolating Fit, Up to 20 Hours Battery, Microphone for iPhone Android, Easy Carry with Integrated Lanyard - True Black</t>
  </si>
  <si>
    <t>Kasa Smart Plug Power Strip KP303, Surge Protector with 3 Individually Controlled Smart Outlets and 2 USB Ports, Works with Alexa &amp; Google Home, No Hub Required , White</t>
  </si>
  <si>
    <t>ASURION 2 Year Tablet Accident Protection Plan ($30 - $39.99)</t>
  </si>
  <si>
    <t>Amazon Basics Classification Folder with Prongs, 100% Recycled, 2 Dividers, 2" Embedded, 12.17 x 10.39 inch (Letter) Size, Light Blue, 10 Count per Box</t>
  </si>
  <si>
    <t>PNY P-FD256X2TBOP-MP 256GB Turbo Attaché 3 USB 3.0 Flash Drive,Silver (Pack of 2)</t>
  </si>
  <si>
    <t>Melissa &amp; Doug Stainless Steel Pots and Pans Pretend Play Kitchen Set for Kids (8 pcs)</t>
  </si>
  <si>
    <t>Amazon Basics Premium Aluminum USB-C (Source) to HDMI (Display) Cable Adapter (Thunderbolt 3 Compatible) 4K@60Hz, 6-Foot, Black</t>
  </si>
  <si>
    <t>Lenovo WL310 Bluetooth Silent Mouse, Ergonomic, Adjustable DPI, Silent Clicks, Bluetooth 5.0, Portable for Windows, Mac, and Chromebook, Grey</t>
  </si>
  <si>
    <t>StarTech.com 100W USB-C Wall Charger, 2X USB-C/2x USB-A, USB PD 3.0, Fast Charging Portable GaN Charger, Power Adapter for MacBook Pro/Air, Dell XPS, iPhone 15/Pro, iPad Pro, Samsung S23/S24</t>
  </si>
  <si>
    <t>MOSISO Laptop Case 15 inch, 15 inch Laptop Sleeve Compatible with MacBook Air 15 M4 A3241 M3 A3114 M2 A2941 2025 2024 2023,Dell XPS 15,Polyester Vertical Computer Sleeve Bag with Pocket, Black</t>
  </si>
  <si>
    <t>Amazfit Band 7 Fitness and Activity Trackers and Smartwatches, Heart Rate, SpO2, Sleep Analysis, Amazon Alexa Built-In, 18-Day Battery, Black</t>
  </si>
  <si>
    <t>TP-Link 2.5GB PCIe Network Card (TX201) – PCIe to 2.5 Gigabit Ethernet Network Adapter, Supports Windows 11/10/8.1/8/7, Win Server 2022/2019/2016, Linux</t>
  </si>
  <si>
    <t>ASURION 4 Year Office Equipment Protection Plan ($600 - $699.99)</t>
  </si>
  <si>
    <t>Belkin 6-Outlet Surge Protector Power Strip, 6ft Cord, 360° Rotating Plug - 1080 Joules Protection</t>
  </si>
  <si>
    <t>ASURION 3 Year Floorcare Extended Protection Plan ($200 - $249.99)</t>
  </si>
  <si>
    <t>LISEN for Magsafe Car Mount Charger, 15W Fast Charging Magnetic Wireless Car Charger [Mini &amp; Metal], 2025 Ultra Magnetic Car Phone Holder Dashboard Car Accessories for 17 iPhone 16e Pro Max 15 14 13</t>
  </si>
  <si>
    <t>Canon PG-260 XL Genuine Black Ink Cartridge, Compatible with TS5320/6420/6420a,TR7020/7020a</t>
  </si>
  <si>
    <t>Fellowes Thermal Laminating Sheets, 3mil Letter Size Pouches, 9 x 11.5, 200 Pack, Clear (5743401)</t>
  </si>
  <si>
    <t>Kicker 46KISLOC2 K-Series Stereo Line-Output Converter w/Remote Turn-On Output</t>
  </si>
  <si>
    <t>SimpliSafe Entry Sensor - Window and Door Protection - Compatible with Gen 3 Home Security System</t>
  </si>
  <si>
    <t>EPSON 212 Claria Ink Standard Capacity Color Combo Pack (T212520-S) Works with WorkForce WF-2830, WF-2850, Expression XP-4100, XP-4105</t>
  </si>
  <si>
    <t>Logitech G203 Wired Gaming Mouse, 8,000 DPI, Rainbow Optical Effect LIGHTSYNC RGB, 6 Programmable Buttons, On-Board Memory, Screen Mapping, PC/Mac Computer and Laptop Compatible - Black</t>
  </si>
  <si>
    <t>OtterBox Defender Series Series SCREENLESS Edition Case for iPhone 13 (ONLY) - Black</t>
  </si>
  <si>
    <t>ASURION 2 Year Sporting Goods Protection Plan ($900 - $999.99)</t>
  </si>
  <si>
    <t>Melissa &amp; Doug Primary Lacing Beads - Educational Toy with 8 Wooden Beads and 2 Laces</t>
  </si>
  <si>
    <t>ASURION 3 Year Electronics Protection Plan ($300 - $349.99)</t>
  </si>
  <si>
    <t>Sandisk SDSQXCD-128G-GN6MA Extreme Pro Microsdxc 128gb+sd Flsh Adapter 200mb/s 90mb/s A2 C10 V30 U</t>
  </si>
  <si>
    <t>Avery Matte White Round Labels, Sure Feed Technology, Permanent Adhesive, 1-1/2", 400 Labels (8293)</t>
  </si>
  <si>
    <t>Insta360 114cm Invisible Selfie Stick for X5 / X4 / X3</t>
  </si>
  <si>
    <t>Scotch Matte Thermal Laminating Pouches, Ultra Clear with Matte Finish, Letter Size 8.9 in x 11.4 in, 50-Pack</t>
  </si>
  <si>
    <t>Elgato Chat Link Pro - Audio Adapter, for PS5, PS4, Nintendo Switch, Capture Voice Chat, Gameplay Sound, Extra Long Cable, Black</t>
  </si>
  <si>
    <t>M-Audio SP-2 - Universal Sustain Pedal with Piano Style Action For MIDI Keyboards, Digital Pianos &amp; More</t>
  </si>
  <si>
    <t>BAGSMART 15.6 Inch Laptop Case Sleeve Compatible with MacBook Pro 16 Inch,15.6 Inch HP,Dell,Acer Aspire,Asus Notebook, Lightweight Laptop Bag for Women with Shoulder Strap,Pocket,Handle, Pink</t>
  </si>
  <si>
    <t>E-Z Ink Compatible Ink Cartridges Replacement for Canon 250 251 XL PGI-250XL CLI-251XL to use with PIXMA MX922 MX920 IX6820 MG5520 MG7520 IP8720 MG6620 MG6320 MG7120 (15 Pack)</t>
  </si>
  <si>
    <t>Canon CL-276 Genuine Color Ink Cartridge, Compatible with TS3520/3522, TR4720/4722, TS3720/3722</t>
  </si>
  <si>
    <t>SAMSUNG BAR Plus 3.1 USB Flash Drive, 128GB, 400MB/s, Rugged Metal Casing, Storage Expansion for Photos, Videos, Music, Files, MUF-128BE3/AM, Champagne Silver</t>
  </si>
  <si>
    <t>Apple USB-C to Lightning Adapter</t>
  </si>
  <si>
    <t>Skullcandy Riff On-Ear Wired Headphones, Convenient for Travel with 3.5mm Plug, Built-In Microphone, Foldable Lightweight Comfortable Design, Durable Headband - Black</t>
  </si>
  <si>
    <t>MOSISO Compatible with MacBook Air 13 inch Case 2025 2024 2023 2022 M4 A3240 M3 A3113 M2 A2681, Plastic Hard Shell&amp;Keyboard Cover&amp;Screen Film&amp;Type C for MacBook Air 13.6 inch Case, Emerald Green</t>
  </si>
  <si>
    <t>LISEN Gooseneck Phone Holder for Bed Desk [3rd Upgrade] Cell Phone Stand for Desk,Recording for iPhone Mount iPhone Holder for Filming Camera Laying Down,Bed Accessories Flexible Arm Clamp Clip Stand</t>
  </si>
  <si>
    <t>Acer 5 in 1 USB C Hub with 4K HDMI, 100W Power Delivery, 3 USB A Data Ports, USB C to HDMI Multiport Adapter for Laptop, PC, Tablet, MacBook Air, iPad Air, iMac, iPhone 15/16 Pro/Pro Max</t>
  </si>
  <si>
    <t>PowerA Wired Controller for Xbox Series X|S - Blue, gamepad, video game/gaming controller, works with Xbox One, Officially Licensed</t>
  </si>
  <si>
    <t>LISEN for 15W MagSafe Car Mount Charger, [Safer &amp; Faster] Vent Magnetic Wireless Car Charger, Car Vent Phone Mount Charger 17X Strong Fits iPhone 16 Pro Max 15 14 13, Samsung with MagSafe Case, Black</t>
  </si>
  <si>
    <t>Amazon Basics Height Adjustable Rectangular Computer Monitor Riser Desk Stand with Storage for Reduced Neck Strain - Fits Monitors, Laptops Up to 22lbs, Black</t>
  </si>
  <si>
    <t>Baseus Bass BC1 Open Ear Earbuds Clip-On Headphones, Open-Ring Comfort with Tri-Curve Snug Clip, Powerful Sound with SuperBass, 4-Mic Clear Calls, IP55 Waterproof, 38H Playtime, Lightweight</t>
  </si>
  <si>
    <t>ASURION 4 Year Kitchen Protection Plan ($175 - $199.99)</t>
  </si>
  <si>
    <t>TP-Link Nano USB WiFi Adapter for PC(Archer T3U Nano)-AC1300 2.4G/5G Dual-Band Wireless Network Transceiver Adapter for Desktop PC, Travel Size, Supports Windows 11,10, 8.1, 8, 7 / up to Mac OS 10.15</t>
  </si>
  <si>
    <t>The Handler (Floating Hand Grip) - Official GoPro Accessory (AFHGM-003) for Cameras</t>
  </si>
  <si>
    <t>adidas Unisex Kid's Creator Laptop Backpack for Women and Men, Comfortable and Durable Small Athletic Bag, Camouflage Carbon/Black/Impact Orange, One Size</t>
  </si>
  <si>
    <t>Blackview 2025 Smart Watch (Answer/Make Calls), Fitness Watch for Men and Women with Heart Rate/SpO2/Sleep Monitor/2 Straps, 100+ Sports Modes, IP68 Waterproof Activity Tracker for Android/iPhone</t>
  </si>
  <si>
    <t>ASURION 3 Year Electronics Protection Plan ($350 - $399.99)</t>
  </si>
  <si>
    <t>ACDelco 100-Count Triple AAA Batteries, Maximum Power Super Alkaline Battery, 10-Year Shelf Life, Reclosable Packaging</t>
  </si>
  <si>
    <t>Fujifilm Disposable QuickSnap Waterproof Pool Underwater 35mm Camera, Pack of 2</t>
  </si>
  <si>
    <t>Escort Cobra Original Radar Detector EZ Mag Mount - StickyCup Silicon Suction Cup (Black) for Escort Models IX, IXC, MAX 360c, Redline EX, MAX 3 and Additional Models</t>
  </si>
  <si>
    <t>VTech Cordless Phone with DECT 6.0, Full-Duplex Speakerphone, Lighted Display, Backlit Keypad, Caller ID/Call Waiting, Volume Control, Hearing Aid Compatible, Wall Mount | VG131-11 (Black)</t>
  </si>
  <si>
    <t>Fujifilm Instax Square Twin Pack Film - 20 Exposures</t>
  </si>
  <si>
    <t>Logitech M575 Ergonomic Wireless Trackball USB Mouse, Black (910-005869)</t>
  </si>
  <si>
    <t>Scotch Thermal Laminating Pouches, Legal Size 11 x 17 Inches, 25 Pack Laminating Sheets, 3 Mil, Education Supplies &amp; Craft Supplies, For Use With Thermal Laminators</t>
  </si>
  <si>
    <t>Amazon Basics Rectangular Plastic Desk Organizer, Magazine Rack, White, 2-Pack</t>
  </si>
  <si>
    <t>LOGITECH Bolt USB-A Receiver</t>
  </si>
  <si>
    <t>FUJIFILM Instax Mini Heart Sketch Film - 10 Exposures</t>
  </si>
  <si>
    <t>Amazon Basics 3.5mm Auxiliary Audio Cable for Stereo Speaker or Subwoofer with Gold-Plated Plugs, 8 Foot, Black</t>
  </si>
  <si>
    <t>UGREEN Bluetooth Transmitter Receiver for 2 AirPods or BT Devices, Bluetooth Wireless Transmitter for Headphones, 3.5mm Aux Audio Jack Adapter for in-Flight TV Car Home Stereo System</t>
  </si>
  <si>
    <t>Scosche BTFM9 FM Bluetooth Transmitter Car, Dual 12W USB-C and USB-A Charging Ports, Fast Type C Car Charger, Wireless Radio Bluetooth Adapter, Hands-Free Kit for Calls, Siri and Google Assistant</t>
  </si>
  <si>
    <t>UGREEN USB-C Bluetooth Adapter for PS5, Bluetooth 5.3 Audio Adapter with APTX Low Latency &amp; aptX-Adaptive, Wireless Audio Transmitter to Connect Wireless Headphones &amp; Earbuds</t>
  </si>
  <si>
    <t>SABRE 120 dB Wedge Door Stop Security Alarm, Extremely Loud Wireless Alarm Siren Audible Up To 1,500 Ft., Non-Skid Pad, Compact Alarm Great for Home, Travel, Apartment or Dorm</t>
  </si>
  <si>
    <t>VTech Cordless Phone for Home with Caller ID/Call Waiting, CS6919-16 Landline Phones, Illuminated Keypad, Full Duplex Speakerphone, Wall Mount, Red</t>
  </si>
  <si>
    <t>Game &amp; Watch: Super Mario Bros (Nintendo)</t>
  </si>
  <si>
    <t>Farberware Nonstick Bakeware 9-Inch x 5-Inch Loaf Pan, Gray -</t>
  </si>
  <si>
    <t>Lenovo Urban Laptop Sleeve 14 Inch for Laptop/ Notebook/Tablet Compatible with MacBook Air/Pro Water Resistant - Charcoal Grey</t>
  </si>
  <si>
    <t>Garmin Charger for Multiple Garmin Devices, 010-12491-01</t>
  </si>
  <si>
    <t>Crayola Light Up Tracing Pad - Pink, Writing &amp; Drawing Art Kit for Kids, Kids Toys &amp; Games, Tracing Light Box, Sketching Gifts for Girls &amp; Boys, 6+ [Amazon Exclusive]</t>
  </si>
  <si>
    <t>Skullcandy Smokin’ Buds Wireless Earbuds, Bluetooth Headphones, Noise Isolating Fit, Up to 20 Hours Battery, IPX4 Sweat and Water Resistant, Microphone for iPhone Android - True Black</t>
  </si>
  <si>
    <t>Eneloop Panasonic BK-4MCCA8BA AAA 2100 Cycle Ni-MH Pre-Charged Rechargeable Batteries, 8-Battery Pack</t>
  </si>
  <si>
    <t>GE Pro 6-Outlet Extender, Surge Protector, Side Access, Wall Tap Adapter, 3-Prong, 1200 Joules, Warranty, UL Listed, White, 10353</t>
  </si>
  <si>
    <t>Baseus Bass BP1 Pro Noise Cancelling Wireless Earbuds, Real-Time Adaptive Noise Cancelling, Adaptive Active EQ, LDAC Hi-Res Sound, 6-Mic AI Clear Calls, 55H Playtime, IP55 Waterproof, Bluetooth 6.0</t>
  </si>
  <si>
    <t>DYMO Authentic LT Plastic Labeling Tape for LetraTag Label Makers, 1/2" (12mm), Black Print On White Tape, 6-Pack</t>
  </si>
  <si>
    <t>Samsung SmartTag2 (2023) Bluetooth + UWB, IP67 Water and Dust Resistant, Findable via App, 1.5 Year Battery Life - Black (International Version)</t>
  </si>
  <si>
    <t>Amazon Basics Battery Organizer with Tester, Wall-Mounted Design, Handle Holds 110 Batteries, Clear/Black</t>
  </si>
  <si>
    <t>Tapo by TP-Link Pan/Tilt Security Camera for Baby Monitor, Pet Camera w/Motion Detection, 1080P, 2-Way Audio, Night Vision, Cloud &amp; SD Card Storage, Works with Alexa &amp; Google Home, Black (Tapo C201)</t>
  </si>
  <si>
    <t>ASURION 4 Year Home Improvement Protection Plan ($70 - $79.99)</t>
  </si>
  <si>
    <t>Singing Machine Portable Wireless Microphone (Black) - Premium Unidirectional UHF Wireless Mic for Singing, Speeches &amp; Events - Cordless Mic Compatible with Karaoke Machines, PA Systems &amp; More</t>
  </si>
  <si>
    <t>LISEN 2 Pack Magnet for Phone Car Mount Magnetic Phone Holder for Your Car Vent 6 Military Magnets Vent Cell Phone Holder Mount for Car Plate Fit All iPhone 16/15/14/13 Pro Max Plus Samsung S25</t>
  </si>
  <si>
    <t>Amazon Basics Irregular Ergonomic Gel Computer Mouse Pad with Wrist Rest for Pain Relief, 10.1L x 8.1W inches, Black</t>
  </si>
  <si>
    <t>GE Personal Security Window and Door Alarm, 4 Pack, DIY Protection, Burglar Alert, Wireless Chime/Alarm, Easy Installation, Home Security, Ideal for Home, Garage, Apartment and More, White, 45174</t>
  </si>
  <si>
    <t>ASURION 3 Year Musical Instrument Accident Protection Plan ($200 - $249.99)</t>
  </si>
  <si>
    <t>Belkin USB A to USB C Cable 2-Pack, 6.6ft, 15W - Type C Charger, iPhone Charger Cord, Soft, Braided, Flexible for iPhone 16 &amp; 15, Galaxy S25, Pixel 9, iPad Pro, Airpods Pro, Switch &amp; More - Black</t>
  </si>
  <si>
    <t>Brother Genuine P-Touch Btag BTAG231 Black on White Label Tape ~1/2in by 13.1ft (12mm x 4m)</t>
  </si>
  <si>
    <t>UBeesize Magnetic Car Phone Holder, 360° Adjustable Magsafe Vacuum Suction Mount with Dual Lock, Dashboard &amp; Windshield Compatible, Fits iPhone 16/15/14/13/12 &amp; Other Smartphones, Sticky Pad Included</t>
  </si>
  <si>
    <t>Energizer CR2032 Batteries, 3V Lithium Coin Cell 2032 Watch Battery,White (24 Count)</t>
  </si>
  <si>
    <t>TP-Link USB to Ethernet Adapter, Foldable USB 3.0 to 10/100/1000 Gigabit Ethernet LAN Network Adapter, Support Windows 11/10/8.1/8/7/Vista/XP for Desktop Laptop Apple MacBook Linux (UE300)</t>
  </si>
  <si>
    <t>Baofeng UV-5R Two Way Radio Dual Band 144-148/420-450Mhz Walkie Talkie 1800mAh Li-ion Battery(Black)</t>
  </si>
  <si>
    <t>Amazon Basics Tilt TV Wall Mount with Horizontal Post Installation Leveling for 32 to 86 inch TVs, Black</t>
  </si>
  <si>
    <t>Energizer Ultimate Lithium AA Batteries (8-Pack) in Economical Bulk Packaging</t>
  </si>
  <si>
    <t>ESR 3 Pack for iPhone 16 Pro Max Screen Protector, [9H Hardness] [Military Grade Shatterproof] Tempered Glass Film with Flawless Fit Tray, HD Clear, Scratch Resistant</t>
  </si>
  <si>
    <t>Powermax 100-Count Triple AAA Batteries, Ultra Long Lasting Alkaline Battery for Home and Office, 10-Year Shelf Life, Reclosable Packaging</t>
  </si>
  <si>
    <t>Melissa &amp; Doug Suspend Family Game (31 pcs) - Wire Balance Game, Family Game Night, Family Activities, Games for Kids Ages 8+</t>
  </si>
  <si>
    <t>Roku Express 4K+ | Roku Streaming Device 4K/HDR with Voice Remote, Free &amp; Live TV</t>
  </si>
  <si>
    <t>ASURION 3 Year Portable Electronic Accident Protection Plan ($70 - $79.99)</t>
  </si>
  <si>
    <t>OtterBox iPhone 12 &amp; iPhone 12 Pro Symmetry Series Case - Black, Ultra-Sleek, Wireless Charging Compatible, Raised Edges Protect Camera &amp; Screen</t>
  </si>
  <si>
    <t>Super Fast Car Charger USB Fast Charge for iPhone 16e 16 15 14 13 12 11pro x 8 Samsung S25 S24 S23 S22 AINOPE Android Car Charger Adapter 45W All Metal Lighter USB 17X Quick Charge</t>
  </si>
  <si>
    <t>ASUS USB-BT500 Bluetooth 5.0 USB Adapter with Ultra Small Design, Backward Compatible with Bluetooth 2.1/3.x/4.x</t>
  </si>
  <si>
    <t>Amazon Basics Fast Charging USB-C to Lightning iPhone Charger Cable, Nylon Braided Cord, MFi Certified Compatible Charger for Apple iPhone 14 13 12 11 X Xs Pro, Pro Max, Plus, iPad, 6 feet, Dark Gray</t>
  </si>
  <si>
    <t>Case-Mate Minis - Cell Phone Stand/Grip - Suction Cup Cell Phone Holder [Removable for Wireless Charging] for iPhones, Android Smartphones, Kindles &amp; More - Twinkle Stardust</t>
  </si>
  <si>
    <t>DYMO Embossing Label Maker with 3 DYMO Label Tapes Organizer Xpress Pro Starter Kit Ergonomic Design For Home DIY &amp; Crafting</t>
  </si>
  <si>
    <t>ASURION 2 Year Furniture Protection Plan ($1000 - $1249.99)</t>
  </si>
  <si>
    <t>ESR for AirPods 4 Case, Compatible with AirPods 4th Generation Case (2024), Compatible with MagSafe, Powerful Drop Protection, Magnetic Lid, Cyber Series, Black</t>
  </si>
  <si>
    <t>Epson Premium Presentation Paper MATTE (8.5x11 Inches, Double-sided, 50 Sheets) (S041568),Bright White</t>
  </si>
  <si>
    <t>UGREEN Revodok 1071 USB C Hub for Laptop 7 in 1 Dock 4K HDMI, 100W PD Charging, USB-C &amp; 2 USB-A 5Gbps Data Ports, SD/TF Card Reader for MacBook Pro/Air, iPad Pro, XPS, Thinkpad</t>
  </si>
  <si>
    <t>SanDisk 128GB Ultra SDXC UHS-I Memory Card - 120MB/s, C10, U1, Full HD, SD Card - SDSDUN4-128G-GN6IN [Older Version]</t>
  </si>
  <si>
    <t>ACDelco AA and AAA 48-Count Combo Pack Super Alkaline Batteries, 24-Count Each, 10-Year Shelf Life, Recloseable Packaging</t>
  </si>
  <si>
    <t>ARCTIC MX-6 (8 g) - Ultimate Performance Thermal Paste for CPU, Consoles, Graphics Cards, laptops, Very high Thermal Conductivity, Long Durability, Non-Conductive</t>
  </si>
  <si>
    <t>Brother Genuine P-touch M-2312PK Tape, 2 Pack, 1/2" (0.47") Wide Standard Non-Laminated Tape, Black on White, Recommended for Home and Indoor Use, 0.47" x 26.2' (12mm x 8M), 2-Pack, M2312PK, M231</t>
  </si>
  <si>
    <t>UGREEN SD Card Reader USB C, USB 3.0 Micro SD Card Reader 2 in 1 Memory Card Reader for MicroSD SDHC SDXC Compatible with PC Computer MacBook Laptop iPad iPhone 16 15 Pro/Pro Max</t>
  </si>
  <si>
    <t>ASURION 2 Year Tablet Accident Protection Plan ($175 - $199.99)</t>
  </si>
  <si>
    <t>Panasonic CR2450 3.0 Volt Long Lasting Lithium Coin Cell Batteries in Child Resistant, Standards Based Packaging, 2-Battery Pack</t>
  </si>
  <si>
    <t>LISEN for MagSafe Charger Stand for iPhone Magnetic Apple Watch Airpods Charging, Minimalist Travel for iPhone Wireless Charger Magnetic MagSafe Accessories Apple 16 Pro Max iwatch Airpods Black</t>
  </si>
  <si>
    <t>​​​​PopSockets Phone Grip with Expanding Kickstand, Adhesive Grip, Cute PopSockets - Country Fields</t>
  </si>
  <si>
    <t>Amazon Basics 2.4 GHz Optical Wireless Mouse for Laptop and Computer, USB Nano Receiver, Red</t>
  </si>
  <si>
    <t>Energizer MAX Alkaline 6-Volt Battery, 1 Pack</t>
  </si>
  <si>
    <t>Amazon Basics Extension Cord, 20 Ft, 3 Prong Outlet Extender, Indoor Extension Cord, 13 Amps, 125V, White</t>
  </si>
  <si>
    <t>Verbatim DVD-R Blank Discs AZO Dye 4.7GB 16X Recordable Disc - 50 Pack Spindle,Silver</t>
  </si>
  <si>
    <t>Amazon Basics 2 RCA Audio Cable for Amplifier,Active Speakers or Subwoofer with Gold-Plated Plugs, 4 Feet, Black</t>
  </si>
  <si>
    <t>VELCRO Brand Reusable Cable Ties, 100 Pack 6 Inch Cable Management Ties, Cord Wraps for Electrical Cords, Black</t>
  </si>
  <si>
    <t>UGREEN SD Card Reader USB 3.0 Card Hub Adapter 5Gbps Read 4 Cards Simultaneously CF, CFI, TF, SDXC, SDHC, SD, MMC, Micro SDXC, Micro SD, Micro SDHC, MS, UHS-I (Black)</t>
  </si>
  <si>
    <t>ZEISS Pre-Moistened Wipes, Screen Cleaner, 120 Count</t>
  </si>
  <si>
    <t>Asurion 3 Year Floorcare Extended Protection Plan ($350 - $399.99)</t>
  </si>
  <si>
    <t>Amazon Basics Mini DisplayPort Male to HDMI Male Cable, 1080p, Gold-Plated Plugs, 6 Foot, Black for Personal Computer</t>
  </si>
  <si>
    <t>UGREEN 8K HDMI 2.1 Cable 48Gbps 6.6FT, Certified Ultra High Speed HDMI Cord Aluminum, 4K@240Hz 120Hz 10K 8K@60Hz, HDCP 2.2&amp;2.3, eARC HDR 10 Dolby Compatible with PS5/Blu-ray/Roku TV/Switch 2/Mac mini</t>
  </si>
  <si>
    <t>Urnex Coffee Maker and Espresso Machine Cleaner Cleancaf Powder - 3 Packets - Safe On Keurig Delonghi Nespresso Ninja Hamilton Beach Mr Coffee Braun</t>
  </si>
  <si>
    <t>UGREEN USB C to 3.5mm Audio Adapter Type C to Headphone Aux Jack Dongle 24bit/96kHz HiFi DAC Cable Cord Compatible with iPhone 16 15 Pro Max/16 Plus, iPad, Galaxy S25 S24 Ultra, Pixel 9, Grey</t>
  </si>
  <si>
    <t>Amazon Basics USB-A to Lightning Charger Cable, Nylon Braided Cord, MFi Certified for Apple iPhone 14 13 12 11 X Xs Pro, Pro Max, Plus, iPad, 10,000 Bend Lifespan, 6 Foot, Dark Gray</t>
  </si>
  <si>
    <t>UGREEN FineTrack Smart Finder Compatible with Apple Find My (iOS Only) 2-Year Replaceable Battery Bluetooth Tracker Tags, Item Finder Smart Tag for Key Luggage Passport with Alarm&amp; Left-Behind Remind</t>
  </si>
  <si>
    <t>Amazon Basics USB-A to Mini USB 2.0 Cable, 480Mbps Transfer Speed with Gold-Plated Plugs, 3 Foot, Black</t>
  </si>
  <si>
    <t>ASURION 3 Year Housewares Protection Plan ($300 - $349.99)</t>
  </si>
  <si>
    <t>Amazon Basics Square Mouse Pad, Cloth with Rubberized Base, Standard, Black, 12.4L x 10.6W inches</t>
  </si>
  <si>
    <t>SABRENT USB 2.0 to Serial (9 Pin) DB 9 RS 232 Converter Cable, Prolific Chipset, HEXNUTS, [Windows 11/10/8.1/8/7/VISTA/XP, Mac OS X 10.6 and Above] 2.5 Feet (CB-DB9P)</t>
  </si>
  <si>
    <t>UGREEN USB to Ethernet Adapter, Plug and Play Ethernet Adapter, Aluminium Shell, 1Gbps Gigabit RJ45 to USB 3.0 Network Dongle, Compatible with Nintendo Switch, Laptop, MacBook, Surface Pro, Windows</t>
  </si>
  <si>
    <t>SABRENT 2.5 Inch SATA to USB 3.0 Tool Free External Hard Drive Enclosure [Optimized for SSD, Support UASP SATA III] Black (EC-UASP)</t>
  </si>
  <si>
    <t>acer USBC Cable, 240W USB C Cable (6.6FT/2 Pack), C to C Fast Charging Nylon Braided Type-C Charger Cord Compatible with iPhone16/15 Pro Max, Galaxy S25/S24, MacBook Pro/Air, iPad, Laptop, etc.</t>
  </si>
  <si>
    <t>Amazon Basics Speaker Connector Banana Plugs,12 Count (1 Pack of 6 Pairs), 0.5 x 0.5 x 1.3 inches, Black</t>
  </si>
  <si>
    <t>Maxell – MAX648210, CD Recordable Media - Noise-free Surface Playback CDs 700Mb Storage &amp; Up to 48x - Blank CDs, CD Storage &amp; Slim Jewel Case Holder – 10 Pack</t>
  </si>
  <si>
    <t>BAGSMART Electronics Organizer Travel Case, Cord Storage for Chargers Cables Phones, Compact Tech Accessories Pouch, Pink</t>
  </si>
  <si>
    <t>Panasonic BAT002 x 2 CR123A Lithium 3V Photo Lithium Batteries, 0.67" Dia x 1.36" H (17.0 mm x 34.5 mm), Black, Gold, Blue (Pack of 2)</t>
  </si>
  <si>
    <t>Monoprice 1.5ft Premium 2 RCA Plug/2 RCA Plug M/M 22AWG Cable - Black</t>
  </si>
  <si>
    <t>AINOPE Printer Cable USB A to USB B Priner Cable High-Speed Nylon Braided USB 2.0 MIDI Cable, Printer Cord to Computer for HP, Canon, Brother, Dell, Epson, Lexmark, Xerox, 6.6ft/Grey</t>
  </si>
  <si>
    <t>Microsoft Surface Go 4 Tablet - 10.5" - 8 GB - 256 GB Storage - Windows 11 - Platinum</t>
  </si>
  <si>
    <t>ASURION 2 Year Personal Care Protection Plan ($125 - $149.99)</t>
  </si>
  <si>
    <t>Amazon Basics 3.5mm Stereo Aux to 2 x RCA Audio Cable Adapters, 4 Feet/1.2 m, for Connecting Amplifiers, Speakers, with Gold-Plated Plugs, Black</t>
  </si>
  <si>
    <t>Metra 70-1761 Radio Wiring Harness Fits Select 1987-UP Toyota Vehicles Power + 4 Speaker (Packaging May Vary)</t>
  </si>
  <si>
    <t>SanDisk MobileMate USB 3.0 microSD Card Reader- SDDR-B531-GN6NN</t>
  </si>
  <si>
    <t>AINOPE USB C Extension Cable 6.6FT, 20Gbps/240W USB3.2 Type C Extender Cord for PSVR2 Accessories, 4K@60Hz Video Output Braided USB C Female Extension Cable for Hub/MacBook/Magsafe Charger/Phone, Grey</t>
  </si>
  <si>
    <t>LISEN 2-Pack USB C to Micro USB Cable 3.3FT Nylon Braided, Micro USB Cable PS4 Controller Charger, 2.4A Charging&amp;480Mbps Data Transmission, for Type C Wall Chargers/PS4/Xbox One/Old Kindle/Android</t>
  </si>
  <si>
    <t>ASURION 4 Year Kitchen Protection Plan ($80 - $89.99)</t>
  </si>
  <si>
    <t>Philips 3-Outlet Extender, 2 Pack, Grounded Wall Tap, 3-Prong Adapter, Multiple Plug, Power Splitter, Cruise Essentials, Use for Home Office School Dorm, UL Listed, White, SPS1630W/37</t>
  </si>
  <si>
    <t>Amazon Basics USB-A 2.0 Extension Cable, Male to Female, 480Mbps Transfer Speed, 9.8 Foot, Black</t>
  </si>
  <si>
    <t>Under Armour Adult 6-inch Performance Wristband 2-Pack</t>
  </si>
  <si>
    <t>FUJIFILM Instax Mini Blue Marble Film - 10 Exposures</t>
  </si>
  <si>
    <t>Powermax Alkaline Batteries 24-Count Combo Pack, (12 Double AA, 12 Triple AAA), Ultra Long Lasting Battery for Home and Office, 10-Year Shelf Life, Reclosable Packaging</t>
  </si>
  <si>
    <t>Energizer MAX AAA Batteries</t>
  </si>
  <si>
    <t>Duracell 364 Silver Oxide Button Battery, 1 Count Pack, 364 1.5 Volt Battery, Long-Lasting for Watches, Medical Devices, Calculators, and More</t>
  </si>
  <si>
    <t>Scotch Self-Sealing Laminating Pouches, Gloss Finish, Photo Size 4 x 6 Inches, 5/Pack</t>
  </si>
  <si>
    <t>ASURION 2 Year Sporting Goods Protection Plan ($1000 - $1249.99)</t>
  </si>
  <si>
    <t>Renata 394 SR936SW Batteries - 1.55V Silver Oxide 394 Watch Battery (2 Count)</t>
  </si>
  <si>
    <t>Energizer LR44 1.5V Button Cell Battery x 4 Batteries (Replaces: LR44, CR44, SR44, 357, SR44W, AG13, G13, A76, A-76, PX76, 675, 1166a, LR44H, V13GA, GP76A, L1154, RW82B, EPX76, SR44SW, 303, SR44, S303, S357, SP303, SR44SW) "Energizer Brand Name Batteries"</t>
  </si>
  <si>
    <t>Energizer MAX C Batteries (2 Pack), C Cell Alkaline Batteries</t>
  </si>
  <si>
    <t>AVERY Hi-Liter Pen-Style Highlighters, Smear Safe Ink, Chisel Tip, 4 Assorted Color Highlighters (23545)</t>
  </si>
  <si>
    <t>2 x MAXELL SR626SW 377 1.55v Silver Oxide Button Cell Watch Battery - Official Genuine Maxell</t>
  </si>
  <si>
    <t>ASURION 3 Year Floorcare Extended Protection Plan ($70 - $79.99)</t>
  </si>
  <si>
    <t>Duracell 12 Volt Alkaline Alarm Remote Battery MN21 / A23 2 Pack</t>
  </si>
  <si>
    <t>ASURION 4 Year Housewares Protection Plan ($30 - $39.99)</t>
  </si>
  <si>
    <t>ASURION 2 Year Tablet Accident Protection Plan ($60 - $69.99)</t>
  </si>
  <si>
    <t>BOYA BOYALINK 2 Wireless Lavalier Microphone for iPhone Camera Android, Mini Lapel Micophone Wireless, 48 KHz 24 Bit, 6mm Mic, 1000ft, 30h Use, Noise Cancelling, Clip on Mic USB-C/Lightning/3.5mm TRS</t>
  </si>
  <si>
    <t>MSI Gaming RTX 5090 32G Gaming Trio OC Graphics Card (32GB GDDR7, 512-bit, Extreme Performance: 2497 MHz, DisplayPort x3 2.1a, HDMI 2.1b, NVIDIA Blackwell Architecture)</t>
  </si>
  <si>
    <t>DJI Avata 2 Fly More Combo (1 Battery), FPV Drones with Camera for Adults 4K, Immersive Experience, Built-in Propeller Guard, Easy Flip/Roll, FAA Remote ID Compliant, POV Content Drone, Black</t>
  </si>
  <si>
    <t>ASUS Zenbook DUO Laptop, Dual 14” OLED 3K 120Hz Touch Display, Evo, Intel Core Ultra 9 285H, Intel Arc Graphics, 32GB RAM, 1TB SSD, Windows 11, UX8406CA-PS99T</t>
  </si>
  <si>
    <t>Dell UltraSharp U4025QW 40" Class 5K2K WUHD Curved Screen LED Monitor - 21:9</t>
  </si>
  <si>
    <t>Samsung 16” Galaxy Book5 Pro 360 Copilot+ PC, AI Computer, Intel Core 7 Ultra Processor, 3K AMOLED (2880x1800) Touchscreen, S Pen,120Hz, Dolby Atmos, Student Laptop, Lightweight, All-Day Battery Life</t>
  </si>
  <si>
    <t>TCL 98-Inch Q65 QLED 4K UHD Smart TV with Google TV (98Q651G, 2024 Model) Dolby Vision, Dolby Atmos, HDR Pro+, Game Accelerator Enhanced Gaming, Voice Remote, Works with Alexa, Streaming Television</t>
  </si>
  <si>
    <t>Lenovo ThinkPad E16 Gen 1 Business Laptop 16.0" WUXGA IPS Display 300 nits (AMD Ryzen 5 7530U 6-Core 2.00GHz, 16GB RAM, 512GB PCIe SSD, AMD Radeon, Backlit KYB, FP, WiFi 6, Win11Pro) w/Dockztorm Hub</t>
  </si>
  <si>
    <t>Westinghouse 24-inch Smart TV, HD Xumo TV with Voice Remote, Flat Screen LED Television w/Apple HomeKit, Wi-Fi &amp; Mobile Connectivity</t>
  </si>
  <si>
    <t>Apple iPhone 16 Pro, US Version, 256GB, Black Titanium - Unlocked (Renewed Premium)</t>
  </si>
  <si>
    <t>PHILIPS 9V Batteries - Power Alkaline 9 Volt Battery 4 Pack, Long Lasting Power Up to 5 Years in Storage, 9v Batteries Leak Proof Design, All Purpose 9volt for All Your Household &amp; Office Needs.</t>
  </si>
  <si>
    <t>Tamron 17-70mm f/2.8 Di III-A VC RXD Lens for Sony E APS-C Mirrorless Cameras Black</t>
  </si>
  <si>
    <t>HP 508A Cyan, Magenta, Yellow Toner Cartridges (3-pack) | Works with HP Color LaserJet Enterprise M552, M553, HP Color LaserJet Enterprise MFP M577 Series | CF360AM</t>
  </si>
  <si>
    <t>Canon RF100-400mm F5.6-8 is USM Black</t>
  </si>
  <si>
    <t>MSI Gaming RTX 5070 12G Ventus 2X OC Graphics Card (12GB GDDR7, 192-bit, Extreme Performance: 2557 MHz, DisplayPort x3 2.1a, HDMI 2.1b, NVIDIA Blackwell Architecture)</t>
  </si>
  <si>
    <t>Microsoft Surface Pro 2-in-1 Laptop/Tablet (2024), Windows 11 Copilot+ PC, 13" Touchscreen Display, Snapdragon X Plus (10 Core), 16GB RAM, 512GB Storage, Black</t>
  </si>
  <si>
    <t>ASURION 3 Year Desktop Protection Plan ($700 - $799.99)</t>
  </si>
  <si>
    <t>Microsoft Surface Pro 2-in-1 Laptop/Tablet (2025), Windows 11 Copilot+ PC, 12" Touchscreen Display, Snapdragon X Plus (8 Core), 16GB RAM, 256GB Storage, Platinum</t>
  </si>
  <si>
    <t>LG 32UP83AK-W 32-inch Ultrafine 4K UHD (3840 x 2160) IPS Computer Monitor, 60Hz, HDR10, Built-in Speaker, Reader Mode, HDMI, DisplayPort, USB Type-C 60W PD, Tilt/Height/Pivot Adjustable Stand, White</t>
  </si>
  <si>
    <t>Canon PowerShot ELPH 360 Digital Camera w/ 12x Optical Zoom and Image Stabilization - Wi-Fi &amp; NFC Enabled (Black)</t>
  </si>
  <si>
    <t>Dell UltraSharp 32-inch 4K Thunderbolt Hub Monitor with 120Hz and 140W PD (IPS Black) - U3225QE</t>
  </si>
  <si>
    <t>StarTech.com Portable Laptop Crash Cart Adapter, USB/VGA KVM Console, File Transfer &amp; Video Capture, Windows/Linux/MacOS, TAA</t>
  </si>
  <si>
    <t>ASUS ROG Swift OLED 27” 1440P Gaming Monitor (PG27AQDP) - WOLED, QHD, 480Hz, 0.03ms, G-SYNC Compatible, Custom Heatsink, AI Assistant, DisplayHDR400 True Black, 99% DCI-P3, True 10-bit, DisplayWidget</t>
  </si>
  <si>
    <t>Canon Megatank GX7120 Wireless All-in-One Printer, Print, Copy, Scan and Fax with 2.7" LCD Touch Screen and Auto Document Feeder, White</t>
  </si>
  <si>
    <t>ZAGG Pro Keys Detachable Case and Wireless Keyboard for Apple iPad 11" (A16)/ 10.9 10th GEN, Multi-Device Bluetooth Pairing, Backlit Keyboard, Apple Pencil Holder, 6.6ft Drop Protection, Lightweight</t>
  </si>
  <si>
    <t>Apple iPhone 15 Pro, 128GB, Blue Titanium - Unlocked (Renewed)</t>
  </si>
  <si>
    <t>Western Digital 10TB WD Red Plus NAS Internal Hard Drive HDD - 7200 RPM, SATA 6 GB/s, CMR, 512 MB Cache, 3.5" - WD100EFGX</t>
  </si>
  <si>
    <t>HP 410A Cyan, Magenta, Yellow Toner Cartridges (3-pack) | Works with Color LaserJet Pro M452 Series, Color LaserJet Pro MFP M377, M477 Series | CF251AM</t>
  </si>
  <si>
    <t>Bose Smart Dolby Atmos Soundbar, Bluetooth Soundbar Speaker with Voice Control and Amazon Alexa Built-in, Works with Google Assistant Capabilities, Black</t>
  </si>
  <si>
    <t>NETGEAR Nighthawk Cable Modem and WiFi 6 Router Combo (CAX80) - Compatible with All Major Cable Providers incl. Xfinity, Spectrum, Cox - Cable Plans up to 6Gbps - AX6000 WiFi 6 Speed - DOCSIS 3.1</t>
  </si>
  <si>
    <t>DJI RS 4, 3-Axis Gimbal Stabilizer for DSLR and Mirrorless Cameras Canon/Sony/Panasonic/Nikon/Fujifilm, 2nd-Gen Native Vertical Shooting, 2-Mode Switch Joystick, Teflon Axis Arms, Camera Gimbal</t>
  </si>
  <si>
    <t>AMD Ryzen 9 7950X 16-Core, 32-Thread Unlocked Desktop Processor</t>
  </si>
  <si>
    <t>Apple AirPods Max Wireless Over-Ear Headphones, Active Noise Cancelling, Transparency Mode, Personalized Spatial Audio, Dolby Atmos, Bluetooth Headphones for iPhone – Space Gray</t>
  </si>
  <si>
    <t>Epson DS-530 II Color Duplex Document Scanner for PC and Mac with Sheet-fed, Auto Document Feeder (ADF)</t>
  </si>
  <si>
    <t>SAMSUNG 34" ViewFinity S50GC Series Ultrawide QHD Monitor, 100Hz, 5ms, HDR10, AMD FreeSync, Ultrawide Screen, Eye Care, Thin Bezels, PIP, PBP, LS34C50DGANXZA, 2023, Black</t>
  </si>
  <si>
    <t>Dell Optiplex 7060 SFF Desktop Computer PC | Intel 8th Gen i7-8700 (6 Core) | 32GB DDR4 Ram 512GB NVMe M.2 SSD | Built-in WiFi &amp; Bluetooth | Windows 11 Pro | Wireless Keyboard &amp; Mouse(Renewed)</t>
  </si>
  <si>
    <t>Lenovo 2024 IdeaPad 1 Gen 7 Laptop, 15.6" FHD Touchscreen, Intel Core i3-1215U, 16GB RAM, 1TB SSD, SD Card Reader, HDMI, Webcam, Wi-Fi 6, Windows 11 Home, Grey</t>
  </si>
  <si>
    <t>HP 131A Black, Cyan, Magenta, Yellow Toner Cartridges for HP Printers | Works with Printer Series: LaserJet Pro 200 color M251, LaserJet Pro 200 color MFP M276 | CF210AQ1</t>
  </si>
  <si>
    <t>HP 212A Magenta Toner Cartridge | Works with HP Color LaserJet Enterprise M554, M555 Series, HP Color LaserJet Enterprise MFP M578 Series | W2123A</t>
  </si>
  <si>
    <t>Brother Business Color Laser Printer, HL-L8360CDW, Wireless Networking, Automatic Duplex Printing, Mobile Printing, Cloud Printing, Amazon Dash Replenishment Ready,White</t>
  </si>
  <si>
    <t>Dell 14 Portable Monitor - P1424H - 14-inch Full HD (1080p) 1920 x 1080, IPS Panel, USB-C connectivity, Comfortview, 3-Year Advanced Exchange Service - Silver</t>
  </si>
  <si>
    <t>ASURION 3 Year Lawn &amp; Garden Extended Protection Plan ($125 - $149.99)</t>
  </si>
  <si>
    <t>HP 212A Yellow Toner Cartridge | Works with HP Color LaserJet Enterprise M554, M555 Series, HP Color LaserJet Enterprise MFP M578 Series | W2122A</t>
  </si>
  <si>
    <t>Apple iPhone 15 Pro Max, 256GB, Blue Titanium - Unlocked (Renewed Premium)</t>
  </si>
  <si>
    <t>Epson Pro EX7280 3-Chip 3LCD WXGA Projector, 4,000 Lumens Color Brightness, 4,000 Lumens White Brightness, HDMI, Built-in Speaker, 16,000:1 Contrast Ratio</t>
  </si>
  <si>
    <t>ASURION 3 Year Lawn &amp; Garden Extended Protection Plan ($50 - $59.99)</t>
  </si>
  <si>
    <t>Garmin Instinct 2X Solar - Tactical Edition, Rugged GPS Smartwatch, Built-in Flashlight, Ballistics Calculator, Solar Charging Capability, Black</t>
  </si>
  <si>
    <t>Lenovo USA ThinkPad Thunderbolt 3 Dock Gen 2 135W (40AN0135US) Dual UHD 4K Display Capability, 2 HDMI, 2 DP, USB-C, USB 3.1, Black</t>
  </si>
  <si>
    <t>Sonos Arc - Black - Soundbar with Dolby Atmos</t>
  </si>
  <si>
    <t>Alienware AW2725DF OLED Gaming Monitor - 26.7-inch Quantom-Dot WQHD (2560x1440) 360Hz 0.03Ms Display, AMD FreeSync Premium Pro, HDMI/DP/USB 3.2 Gen1, Height/Tilt/Swivel/Pivot Adjustability - Black</t>
  </si>
  <si>
    <t>Marshall Stanmore III Bluetooth Wireless Speaker,Black</t>
  </si>
  <si>
    <t>LG 27U631A-B 27-inch QHD (2560 x 1440) IPS Computer Monitor, 100Hz, 5ms, HDR10, Reader Mode, Flicker Safe, HDMI, USB Type-C 15W PD, Black</t>
  </si>
  <si>
    <t>Lenovo IdeaPad Flex 3i Chromebook Laptop, Intel® UHD Graphics, 15.6” FHD Display, Intel Pentium N6000, 8GB RAM, 128GB SSD, 1920x1080 px, Touchscreen, Chrome OS, Abyss Blue</t>
  </si>
  <si>
    <t>Canon imageCLASS LBP632Cdw - Wireless Duplex Color Laser Printer, Single Function, Home Office, Mobile Ready, 22 PPM Color, White</t>
  </si>
  <si>
    <t>DJI RC 2, Remote Controller with Next-Gen Processor, 20km O4 Transmission, 5.5-inch FHD Screen, 2T4R Antennas, Smart Controller for Drones, Light and Compact</t>
  </si>
  <si>
    <t>HP 17 Business Laptop, 17.3” HD+ Display, 11th Gen Intel Core i3-1125G4 Processor, 32GB RAM, 1TB SSD, Wi-Fi, HDMI, Webcam, Windows 11 Pro, Silver</t>
  </si>
  <si>
    <t>ASURION 3 Year Cooling Protection Plan ($250 - $299.99)</t>
  </si>
  <si>
    <t>Epson Expression Photo HD XP-15000 Wireless Color Wide-Format Printer, Amazon Dash Replenishment Ready, Black, Large</t>
  </si>
  <si>
    <t>Ubiquiti Networks Dream Router Wi-Fi 7 (UDR7)</t>
  </si>
  <si>
    <t>Epson EcoTank ET-4850 Wireless All-in-One Cartridge-Free Supertank Printer with Scanner, Copier, Fax, ADF and Ethernet – The Perfect Printer Office - White, Medium</t>
  </si>
  <si>
    <t>HP 508X Black High-yield Toner Cartridge | Works with HP Color LaserJet Enterprise M552, M553, HP Color LaserJet Enterprise MFP M577 Series | CF360X</t>
  </si>
  <si>
    <t>Panasonic Premium 4K Blu Ray Player, UHD DVD Blu Ray Player with Hi-Res Sound, 4K VOD Streaming, HDR10+ and Dolby Vision™, DP-UB450 (Black)</t>
  </si>
  <si>
    <t>Garmin Edge 840, Compact GPS Cycling Computer with Touchscreen and Buttons, Targeted Adaptive Coaching, Advanced Navigation and More</t>
  </si>
  <si>
    <t>Zebra Symbol DS2278-SR Wireless 2D/1D Bluetooth Barcode Scanner/Imager, Includes Cradle and Heavy-Duty Shielded 7FT USB Cable (CBA-U21-S07ZAR)</t>
  </si>
  <si>
    <t>ASUS ProArt Display PA248QV 24.1” WUXGA (1920 x 1200) 16:10 Monitor, 100% sRGB/Rec.709 ΔE &lt; 2, IPS, DisplayPort HDMI D-Sub, Calman Verified, Anti-glare, Tilt Pivot Swivel Height Adjustable, Black</t>
  </si>
  <si>
    <t>Blackmagic Design ATEM Mini Pro HDMI Live Stream Switcher (SWATEMMINIBPR)</t>
  </si>
  <si>
    <t>Nintendo Switch with Gray Joy‑Con - HAC-001(-01)</t>
  </si>
  <si>
    <t>ASURION 3 Year Floorcare Extended Protection Plan ($150 - $174.99)</t>
  </si>
  <si>
    <t>Lenovo Thinkpad T14 (Gen 1) 14" Laptop, i5 10310U 1.7Ghz, 16GB DDR4, 512GB NVMe SSD, 1080p Full HD, Thunderbolt 3, HDMI, Webcam, Windows 11 Pro (Renewed)</t>
  </si>
  <si>
    <t>ASURION 3 Year Home Improvement Protection Plan ($900 - $999.99)</t>
  </si>
  <si>
    <t>Sennheiser Consumer Audio HD 660S2 - Wired Audiophile Stereo Headphones with Deep Sub Bass, Optimized Surround, Transducer Airflow, Vented Magnet System and Voice Coil – Black</t>
  </si>
  <si>
    <t>ASURION 4 Year Kitchen Protection Plan ($90 - $99.99)</t>
  </si>
  <si>
    <t>HP Smart Tank 7001 Wireless All-in-One Ink Tank Printer with up to 2 years of ink included (28B49A)</t>
  </si>
  <si>
    <t>Sigma 16mm f/1.4 DC DN Contemporary Lens for Sony E (402965) Black</t>
  </si>
  <si>
    <t>Synology 2-Bay NAS DS223 (Diskless)</t>
  </si>
  <si>
    <t>ASUS ROG Rapture GT-AX11000 Pro Tri-Band WiFi 6 Extendable Gaming Router, 10G &amp; 2.5G Ports, ASUS RangeBoost Plus, Triple-level Game Acceleration, Subscription-free Network Security, AiMesh Compatible</t>
  </si>
  <si>
    <t>ASURION 3 Year Lawn &amp; Garden Extended Protection Plan ($30 - $39.99)</t>
  </si>
  <si>
    <t>Apple 2022 iPad 10.9-inch, Wi-Fi + Cellular, 64GB - Silver (Renewed)</t>
  </si>
  <si>
    <t>Brother Sublimation Printer</t>
  </si>
  <si>
    <t>HP 212X Black High-yield Toner Cartridge | Works with HP Color LaserJet Enterprise M554, M555 Series, HP Color LaserJet Enterprise MFP M578 Series | W2120X</t>
  </si>
  <si>
    <t>Logitech G560 PC Gaming Speaker System with 7.1 DTS:X Ultra Surround Sound, Game based LIGHTSYNC RGB, Two Speakers and Subwoofer, Bluetooth, USB, Immersive Gaming Experience - Black</t>
  </si>
  <si>
    <t>Nintendo Switch OLED Model w/ White Joy-Con (Renewed)</t>
  </si>
  <si>
    <t>Jabra Speak2 55 Wireless Bluetooth Speakerphone - Portable Speaker with 4 Noise-Cancelling Mics, 50mm Full-Range Speakers &amp; Wideband Audio - Certified Microsoft Teams Speaker - Dark Grey</t>
  </si>
  <si>
    <t>TP-Link Tri-Band BE19000 Wi-Fi 7 Gaming Router Archer GE800 | 12-Stream | 2×10G + 4×2.5G Ports, USB 3.0 | Turbo Acceleration, Dedicated Gaming Port &amp; Panel, RGB Lighting, HomeShield, Free Expert Help</t>
  </si>
  <si>
    <t>Feit Electric SEC5000/CAM/WIFI Outdoor LED Smart Security Camera with Motion Sensor, 2-Way Audio, 5000 Lumens Floodlight, Works with Alexa and Google Asst, Alarm, Hardwired, Updated Version of SEC3000</t>
  </si>
  <si>
    <t>Garmin 010-02293-10 Instinct Solar, Rugged Outdoor Smartwatch with Solar Charging Capabilities, Built-in Sports Apps and Health Monitoring, Graphite</t>
  </si>
  <si>
    <t>Epson Workforce Pro WF-7840 Wireless All-in-One Wide-Format Printer with Auto 2-Sided Print up to 13" x 19", Copy, Scan and Fax, 50-Page ADF, 500-sheet Paper Capacity, 4.3" Screen,Black</t>
  </si>
  <si>
    <t>ASURION 2 Year Jewelry Protection Plan ($40 - $49.99)</t>
  </si>
  <si>
    <t>ASUS 14" FHD Laptop, Intel Pentium N6000 Processor, 4GB RAM, 224GB Storage(64GB eMMC+160GB Docking Station Set), Intel UHD Graphics, Webcam, Bluetooth, Win 11, Star Black</t>
  </si>
  <si>
    <t>Shure BETA 58A Vocal Microphone - Single Element Supercardioid Dynamic Mic for Stage and Studio, Includes A25D Adjustable Stand Adapter, 5/8” to 3/8” (Euro) Thread Adapter and Storage Bag</t>
  </si>
  <si>
    <t>Lian Li O11Vision Compact White-Steel-Tempered Glass ATX Mid Tower Computer Case-Back Connect Support-O11VPW</t>
  </si>
  <si>
    <t>Samsung 27-Inch Odyssey G50D Series QHD Fast IPS G-Sync Compatible Gaming Monitor, 1ms, VESA DisplayHDR 400, 180Hz, AMD FreeSync, Adjustable Stand, Eye Saver Mode, LS27DG500ENXZA</t>
  </si>
  <si>
    <t>Poly CS540 Wireless DECT Headset (Plantronics) – Single Ear (Mono) Convertible (3 wearing styles) – Connects to Desk Phone – Noise Canceling Microphone – Amazon Exclusive</t>
  </si>
  <si>
    <t>Polk Audio PSW10 10" Powered Subwoofer – Power Port Technology, Up to 100 Watts, Big Bass in Compact Design, Easy Setup with Home Theater Systems, Timbre-Matched with Monitor &amp; T-Series Polk Speakers</t>
  </si>
  <si>
    <t>Garmin Striker Vivid 7cv, U.S. with GT20-TM Transducer - Easy-to-Use 7-inch Color Fishfinder and Sonar Transducer, Vivid Scanning Sonar Color Palettes (010-02552-00)</t>
  </si>
  <si>
    <t>Square D HEPD80 Universal Whole House Surge Protection Device, 1-Phase, 3-Wire for 120/240V, 80kA</t>
  </si>
  <si>
    <t>Apple iPhone 11 Pro Max, 256GB, Space Gray - Unlocked (Renewed)</t>
  </si>
  <si>
    <t>Escort MAX 3 Laser Radar Detector - Bluetooth Connectivity, Premium Range, Advanced Filtering, AutoLearn Technology, Voice Alerts, OLED Display, Apple CarPlay and Android Auto Compatible</t>
  </si>
  <si>
    <t>Apple MacBook Air MJVM2LL/A 11.6-Inch Laptop (1.6 GHz Intel Core i5, 128 GB Hard Drive, Integrated Intel HD Graphics 6000, Mac OS X 10.10 Yosemite) (Renewed)</t>
  </si>
  <si>
    <t>Koncept P2425H for Dell Replacement - Computer Monitor Screen 24" 16:9 IPS Bundle with Stand - Full HD, 1920 x 1080-1 Year Warranty - LED, 100Hz - with DisplayPort &amp; USB 3.0 Upstream Cable - New Model</t>
  </si>
  <si>
    <t>ASUS Prime B760M-A AX LGA 1700(Intel® 12th&amp;13th Gen) microATX Motherboard (PCIe® 4.0, 2xM.2 Slots, DDR5,Realtek 2.5 Gb LAN,WiFi 6, DP,Rear USB 3.2 Gen 2, Front USB 3.2 Gen 1 Type-C®)</t>
  </si>
  <si>
    <t>Ergotron – LX Single Monitor Arm, VESA Wall Mount – for Monitors Up to 34 Inches, 7 to 25 lbs – Polished Aluminum</t>
  </si>
  <si>
    <t>WAVLINK DisplayLink Docking Station Triple Monitor 4K@60Hz for 3 Monitors, 100W Charging for Thunderbolt 4/3, USB C M1 M2 M3 M4 Mac/Windows/Chrome - 3 HDMI, 2 DP, 6 USB Ports, 160W Power, LAN, Audio</t>
  </si>
  <si>
    <t>GIGABYTE B850M Gaming X WIFI6E AMD AM5 LGA 1718 Motherboard, mATX, DDR5, 2X M.2, PCIe 5.0, USB-C, WIFI6E, 2.5GbE LAN, EZ-Latch, 5-Year Warranty</t>
  </si>
  <si>
    <t>Dell Thunderbolt Dock- WD19TBS 130w Power Delivery</t>
  </si>
  <si>
    <t>Acer EZ321Q wi 31.5" Full HD (1920 x 1080) IPS Monitor (HDMI &amp; VGA port), White</t>
  </si>
  <si>
    <t>Yealink T46U IP Phone, 16 VoIP Accounts. 4.3-Inch Color Display. Dual USB 2.0, Dual-Port Gigabit Ethernet, 802.3af PoE, Power Adapter Not Included (SIP-T46U)</t>
  </si>
  <si>
    <t>LIAN LI O11D MINI V2 | Compact ATX Mid-Tower Airflow Computer Case | Panoramic View | Fully Ventilated Airflow | Adjustable I/O | Pillar-Less | Cable Management | Black (O11DMIV2X)</t>
  </si>
  <si>
    <t>Toshiba N300 8TB NAS 3.5-Inch Internal Hard Drive - CMR SATA 6 GB/s 7200 RPM 512 MB Cache - HDWG780XZSTA</t>
  </si>
  <si>
    <t>Apple iPad (10.2-inch, WiFi, 128GB) - Space Gray (Renewed Premium)</t>
  </si>
  <si>
    <t>ViewSonic VG1655 15.6 Inch 1080p Portable Monitor with 2 Way Powered 60W USB C, IPS, Eye Care, Dual Speakers, Built-in Stand with Magnetic Cover</t>
  </si>
  <si>
    <t>BOG DeathGrip Infinite Carbon Fiber Tripod with Heavy Duty Construction, 360 Degree Ball Head, Quick-Release Arca-Swiss Mount System, and Optics Plate for Hunting, Shooting, Glassing, and Outdoors</t>
  </si>
  <si>
    <t>Dell Optiplex 7040 SFF Intel Core i5-6500, 16GB Ram, 256GB SSD, DVD-RW, WiFi ，Win 11 Pro (Renewed)</t>
  </si>
  <si>
    <t>Klipsch AW-650 Indoor/Outdoor Speaker, White (Pair)</t>
  </si>
  <si>
    <t>LG 27SR5BF-P 27-inch FHD (1920x1080) Smart Monitor with Streaming TV, webOS, Wireless Keyboard, Mouse, HDR10, IPS Display, webOS, Speaker, ThinQ App, Remote Control, Pink</t>
  </si>
  <si>
    <t>ASURION 3 Year Camera Protection Plan ($1500 - $1999.99)</t>
  </si>
  <si>
    <t>acer SB270 G0bi 27" IPS Full HD (1920 x 1080) Ultra-Thin Zero-Frame Gaming Office Monitor | Adaptive-Sync Support (FreeSync Compatible) | Up to 120Hz Refresh | 1ms (VRB) | Tilt | HDMI &amp; VGA Ports</t>
  </si>
  <si>
    <t>Apple iPhone 11 Pro, US Version, 256GB, Space Gray - Unlocked (Renewed)</t>
  </si>
  <si>
    <t>ASURION 3 Year Luggage Protection Plan ($125 - $149.99)</t>
  </si>
  <si>
    <t>JBL Live Beam 3 - True Wireless Noise-Cancelling Stick-Closed Earbuds, 48Hrs Total Playback, Wireless Charging, 6 Mics for Perfect Calls, Multi-Point Connection, IP55 Waterproof and dustproof (Black)</t>
  </si>
  <si>
    <t>Hisense 40-Inch Class QD4 Series QLED FHD Smart Fire TV (40QD4QF, 2025 Model) - Quantum Dot Color, DTS Virtual: X, Alexa Built in, Slim Bezel Design</t>
  </si>
  <si>
    <t>Polaroid Flip Instant Camera + Color Film Bundle (16 Photos Included) - Black (6565) - Hyperfocal 4-Lens System, Sonar autofocus, and Sence Analysis with Bluetooth paired Companion app</t>
  </si>
  <si>
    <t>Ubiquiti Networks 2 Pack NBE-5AC-GEN2 NanoBeam ac Gen2 airMAX ac CPE with Dedicated Management Radio</t>
  </si>
  <si>
    <t>Dell OptiPlex 7050 Desktop Computer PC, Intel Core i5 7500 3.40GHz 16GB DDR4 RAM, 512GB SSD, Built-in Wi-Fi, Bluetooth, Windows 11 Pro, 4K Support HD Graphics 630 (Renewed)</t>
  </si>
  <si>
    <t>ASURION 4 Year Laptop Protection Plan ($200 - $249.99)</t>
  </si>
  <si>
    <t>LG 34" Curved WQHD VA Black Monitor with Built-in Speaker, (3440x1440) 100Hz, 5ms, Ultrawide MyView Streaming, Airplay2, Magic Remote, 34SR65QC-B WebOS 2024 Model (Renewed)</t>
  </si>
  <si>
    <t>NVIDIA SHIELD Android TV Streaming Media Player; 4K HDR, live sports, Dolby Vision-Atmos, AI-enhanced upscaling, GeForce NOW cloud gaming, Google Assistant Built-In, Works with Alexa</t>
  </si>
  <si>
    <t>Fujifilm Instax Mini Instant Film Value Pack - 120 Photos</t>
  </si>
  <si>
    <t>HP 600 G2 Micro Computer Mini Tower PC, Intel Quad Core i7-6700T, 32GB DDR4 Ram,512GB Solid State SSD, WiFi, VGA, USB 3.0, Win 11 Pro (Renewed)</t>
  </si>
  <si>
    <t>Tapo TP-Link 2K QHD Floodlight Camera for Outdoor Security, Wired, 2800 Lumens, 270° Motion-Activated, Free Vehicle/Person Detection, No Subscription Required, Works w/Alexa &amp; Google Home C720</t>
  </si>
  <si>
    <t>Sennheiser MOMENTUM True Wireless 4 Smart Earbuds with Bluetooth 5.4, Crystal-Clear Sound, Comfortable Design, 30-Hour Battery Life, Adaptive ANC, LE Audio and Auracast - Black Copper</t>
  </si>
  <si>
    <t>PHILIPS Bluetooth Stereo System for Home with CD Player, MP3, USB, Audio in, FM Radio, Bass Reflex Speaker, 60W, Remote Control Included</t>
  </si>
  <si>
    <t>Ubiquiti Networks Unifi AC Mesh 1167Mbit/s Power over Ethernet (PoE) White</t>
  </si>
  <si>
    <t>ASURION 3 Year Floorcare Extended Protection Plan ($500 - $599.99)</t>
  </si>
  <si>
    <t>Klipsch R-12SW Powerful Deep Bass Front Firing 12" Copper-Spun Driver 400W Digital Power Subwoofer 14" X 18.5" X 16"</t>
  </si>
  <si>
    <t>SanDisk 1TB Ultra Dual Drive Luxe USB Type-C - Up to 400MB/s - SDDDC4-1T00-GAM46</t>
  </si>
  <si>
    <t>Pyle Powered Bluetooth PA Speaker Kit - Event Ready - Just Plug In and Play Active and Passive 350w Loudspeakers with Wired Microphone, Speaker Stands, Remote - MP3/USB/SD/AUX inputs - PPHP849KT</t>
  </si>
  <si>
    <t>Lenovo USA Lenovo ThinkPad USB-C Dock Gen 2 (40AS0090US)</t>
  </si>
  <si>
    <t>DJI Osmo Mobile 7P Gimbal Stabilizer for iPhone, Android, Lighting, 3-Axis Phone Gimbal, Built-in Extension Rod &amp; Tripod, 10hrs Use, Phone Charging + Portable Charger + Wireless Mic Set + 20W Plug</t>
  </si>
  <si>
    <t>ASURION 2 Year Toy Accident Protection Plan ($700 - $799.99)</t>
  </si>
  <si>
    <t>Apple iPhone XS, US Version, 64GB, Space Gray - Unlocked (Renewed)</t>
  </si>
  <si>
    <t>Kodak Slide N Scan Max Digital Film Slide Scanner, Black/Yellow (RODFS70)</t>
  </si>
  <si>
    <t>Brother PT-E560BTVP P-Touch Edge Handheld Industrial Label Printer with Bluetooth and Dual auto-Cutter (up to 24mm Labels)</t>
  </si>
  <si>
    <t>HP LaserJet MFP M234sdw Wireless Black &amp; White Printer, Print, scan, copy, Fast speeds, Easy setup, Mobile printing, Best-for-small teams</t>
  </si>
  <si>
    <t>Fractal Design Scape Light - Wireless PC Gaming Headset - Detachable Flip-to-Mute Microphone with Noise Cancellation - Battery Life Up to 40 Hours - Configurable Ambient Lighting - Gray</t>
  </si>
  <si>
    <t>Garmin DriveSmart 86, 8-inch Car GPS Navigator with Bright, Crisp High-resolution Maps and Garmin Voice Assist</t>
  </si>
  <si>
    <t>KODAK PIXPRO AZ405-BK 20MP Digital Camera 40X Optical Zoom 24mm Wide Angle Lens Optical Image Stabilization 1080P Full HD Video 3" LCD Vlogging Camera (Black)</t>
  </si>
  <si>
    <t>Yealink YEA-W56H HD DECT Expansion Handset for Cordless VoIP Phone and Device</t>
  </si>
  <si>
    <t>Apple Watch Series 8 [GPS + Cellular, 45mm] - Midnight Aluminum Case with Midnight Sport Band, M/L (Renewed)</t>
  </si>
  <si>
    <t>Canon Battery Pack LP-E17</t>
  </si>
  <si>
    <t>CORSAIR VENGEANCE RGB DDR5 64GB (2x32GB) DDR5 6000MHz CL40 AMD EXPO Intel XMP iCUE Compatible Computer Memory – Gray (CMH64GX5M2B6000Z40)</t>
  </si>
  <si>
    <t>TASCAM DR-40X 4-Track Portable Handheld Field Recorder — 2 XLR/TRS Inputs, USB Audio Interface, Dual Adjustable Microphones for Stereo Recording of Music, Audio for Video and Podcasting</t>
  </si>
  <si>
    <t>CORSAIR Vengeance SODIMM DDR4 RAM 32GB (2x16GB) 3200MHz CL22-22-22-53 1.2V Intel AMD Laptop Notebook Memory - Black (CMSX32GX4M2A3200C22)</t>
  </si>
  <si>
    <t>HP 85A Black Toner Cartridges (2-pack) | Works with HP LaserJet Pro P1102, P1109 Series, HP LaserJet Pro MFP M1212, M1217 Series | CE285AD</t>
  </si>
  <si>
    <t>Sony HT-S40R 5.1ch Home Theater Soundbar System,black</t>
  </si>
  <si>
    <t>ASUS VP229Q 21.5” Monitor, 1080P Full HD, 75Hz, IPS, FreeSync/Adaptive-Sync, Eye Care, HDMI DisplayPort VGA, Frameless, VESA Wall Mountable BLACK</t>
  </si>
  <si>
    <t>Fujifilm Instax Mini Instant Film, 10 Sheets of 5 Pack × 2 (100 Sheets)</t>
  </si>
  <si>
    <t>Brady Authentic (M21-187-C-342) PermaSleeve Heat Shrink Tubing for Control and Electrical Panels, Wire Harness, Black on White-For M210, M210-LAB, M211, BMP21-PLUS and BMP21-LAB Printers, .335" W 7' L</t>
  </si>
  <si>
    <t>GVM 2 Pack LED Video Lighting Kits with APP Control, Bi-Color Variable 2300K~6800K with Digital Display Brightness of 10~100% for Video Photography, CRI97+ TLCI97 Led Video Light Panel +Barndoor</t>
  </si>
  <si>
    <t>Hisense HS2100 2.1 Ch 240W Sound Bar with Wireless Subwoofer - DTS Virtual X, Dolby Audio, Ezplay, 6 EQ Modes, HDMI ARC, Bluetooth 5.3</t>
  </si>
  <si>
    <t>ASURION 3 Year Personal Care Protection Plan ($125 - $149.99)</t>
  </si>
  <si>
    <t>HP 305A Black Toner Cartridge for HP Printers | Works with Printer Series: LaserJet Pro 300 M351, 300 MFP M375, 400 M451, 400 MFP M475 | CE410A</t>
  </si>
  <si>
    <t>SAMSUNG Galaxy Tab A7 Lite 8.7" 32GB WiFi Android Tablet, Compact, Portable, Slim Design, Kid Friendly, Sturdy Metal Frame, Expandable Storage, Long Lasting Battery, US Version, 2021, Gray</t>
  </si>
  <si>
    <t>Epson Workforce Pro WF-3823 Wireless All-in-One Printer with Auto 2-Sided Printing, 35-Page ADF, 250-Sheet Paper Tray and 2.7" Color Touchscreen, Black</t>
  </si>
  <si>
    <t>Seagate BarraCuda 5TB Internal Hard Drive HDD – 2.5 Inch SATA 6Gb/s 5400 RPM 128MB Cache for Computer Desktop PC (ST5000LM000)</t>
  </si>
  <si>
    <t>AMD Ryzen 9 5900X 12-core, 24-Thread Unlocked Desktop Processor</t>
  </si>
  <si>
    <t>TP-Link Omada Point to Point Wireless Bridge Outdoor | 5GHz | 867Mbps | PtP&amp;PtMP | 5km, 3miles | 3 Gigabit Ports | PoE or DC Powered | IP65 Weatherproof | Preconfigured, Plug&amp;Play(EAP215-Bridge KIT)</t>
  </si>
  <si>
    <t>Rode VideoMic NTG Camera-mount Shotgun Microphone,Black</t>
  </si>
  <si>
    <t>Polaroid Now 2nd Generation I-Type Instant Camera + Film Bundle - Now Black Camera + 16 Color Photos (6248)- Black</t>
  </si>
  <si>
    <t>Polk Audio T15 Home Theater and Stereo Bookshelf Speakers – Deep Bass Response, Dolby and DTS Surround, Wall-Mountable, Pair, Black</t>
  </si>
  <si>
    <t>Dell OptiPlex 7040 SFF Desktop Computer PC Intel Quad Core i7-6700 3.20GHz AX200 Built-in WIFI 6 Bluetooth 32GB DDR4 New 1TB NVMe M.2 SSD 2TB HDD HDMI Wireless Keyboard &amp; Mouse Windows11 Pro (Renewed)</t>
  </si>
  <si>
    <t>Lian Li Hydroshift II 360 TL RGB Liquid CPU Cooler - 360mm AIO - 3X 120 RGB Fans - 2.1” IPS LCD Screen - 3 Control Mode - Flexible Tubes Clamp - LGA 1851/1700, AMD AM5/AM4 - Black (HS2LCD36TB)</t>
  </si>
  <si>
    <t>Garmin Approach CT10, Full Set, Automatic Club Tracking System, 14 Sensors, White, 010-01994-00</t>
  </si>
  <si>
    <t>Razer DeathAdder V3 Pro Wireless Gaming Mouse: 64g Lightweight Ergonomic - 30K DPI Optical Sensor - Gen-3 Optical Switches - 8 Programmable Controls - Up to 90 Hr Battery - White</t>
  </si>
  <si>
    <t>GIGABYTE Z790 Eagle AX LGA 1700 Intel Z790 ATX Motherboard with DDR5, M.2, PCIe 5.0, USB 3.2 Gen2X2 Type-C, Intel Wi-Fi 6E, 2.5GbE LAN, Q-Flash Plus, EZ-Latch</t>
  </si>
  <si>
    <t>ASURION 2 Year Toy Accident Protection Plan ($350 - $399.99)</t>
  </si>
  <si>
    <t>ASURION 3 Year Cooling Protection Plan ($300 - $349.99)</t>
  </si>
  <si>
    <t>Retevis H-777 2 Way Radios, Walkie Talkies for Adults, Rechargeable Long Range Two Way Radio, Shock Resistant, Short Antenna for Business Education(10 Pack)</t>
  </si>
  <si>
    <t>HP Sprocket Studio Plus 4x6" Wireless Instant Photo Printer – Wi-Fi, Premium Dye Sublimation, Compact - Prints Vibrant Color Pictures from iOS &amp; Android Devices - Editing App for Fun, Creative Photos</t>
  </si>
  <si>
    <t>DEWALT 20V MAX Bluetooth Radio, 100 ft Range, Portable for Jobsites (DCR025)</t>
  </si>
  <si>
    <t>ASUS RT-AXE7800 Tri-band WiFi 6E (802.11ax) Router, 6GHz Band, ASUS Safe Browsing, Upgraded Network Security, Instant Guard, Built-in VPN Features, Parental Controls, 2.5G Port, AiMesh Support</t>
  </si>
  <si>
    <t>ASURION 4 Year Kitchen Protection Plan ($100 - $124.99)</t>
  </si>
  <si>
    <t>Zebra DS2208-SR Barcode Scanner with USB Cable, 1D/2D Imager, General Purpose, Scanner ONLY, Handheld, Standard Range, Corded</t>
  </si>
  <si>
    <t>Sony RF400 Wireless Home Theater Headphones for Watching TV (WHRF400), Black, 2.9 (Requires use of RCA Audio Out or Headphone Jack on Television)</t>
  </si>
  <si>
    <t>GIGABYTE X870 Eagle WIFI7 AMD AM5 LGA 1718 Motherboard, ATX, DDR5, 4X M.2, PCIe 5.0, USB4, WIFI7, 2.5GbE LAN, EZ-Latch, 5-Year Warranty</t>
  </si>
  <si>
    <t>HP Elite Desktop PC Computer Intel Core i5 3.1-GHz, 8 gb Ram, 1 TB Hard Drive, DVDRW, 19 Inch LCD Monitor, Keyboard, Mouse, Wireless WiFi, Windows 10 (Renewed)</t>
  </si>
  <si>
    <t>SAMSUNG Galaxy A14 5G A Series Cell Phone, Factory Unlocked Android Smartphone, 64GB w/Expandable Storage, Long Battery Life, 13MP Camera, 6.6" Infinite Display Screen, US Version, 2023, Black</t>
  </si>
  <si>
    <t>DURACELL MN2400BKD CopperTop Alkaline Batteries, AAA, 144/CT</t>
  </si>
  <si>
    <t>Nintendo Switch – OLED Model - The Legend of Zelda: Tears of the Kingdom Edition</t>
  </si>
  <si>
    <t>Arlo Pro 3 Floodlight Security Camera 2K HDR 2000-3000 Lumens | Wire-Free | Protect Driveways &amp; Alleyways | Connects to Wi-Fi | Color Night Vision, Motion Sensor, 2-Way Audio, Rechargeable (White)</t>
  </si>
  <si>
    <t>TP-Link ER707-M2 | Omada Multi-Gigabit VPN Router | Dual 2.5Gig WAN Ports | High Network Capacity | SPI Firewall | Omada SDN Integrated | Load Balance | Lightning Protection</t>
  </si>
  <si>
    <t>Nintendo Switch with Neon Blue and Neon Red Joy‑Con</t>
  </si>
  <si>
    <t>Garmin Drive 52, GPS Navigator with 5-inch Display, Simple On-Screen Menus and Easy-to-See Maps (Renewed)</t>
  </si>
  <si>
    <t>Garmin Edge® Explore 2, Easy-To-Use GPS Cycling Navigator, eBike Compatibility, Maps and Navigation, with Safety Features</t>
  </si>
  <si>
    <t>Seasonic Focus V4 GX-850 (ATX3) - 850W - 80+ Gold - ATX 3.0 &amp; PCIe 5.1 Ready -Full-Modular -ATX Form Factor - Premium Japanese Capacitor -10 Year Warranty -Nvidia RTX 30/40 Super &amp; AMD GPU Compatible</t>
  </si>
  <si>
    <t>Klipsch R-41SA Powerful Detailed Home Speaker Set of 2 Black</t>
  </si>
  <si>
    <t>Epson Workforce Pro WF-7310 Wireless Wide-Format Printer with Print up to 13" x 19", Auto 2-Sided Printing up to 11" x 17", 500-sheet Capacity, 2.4" Color Display, Smart Panel App, Medium,Black</t>
  </si>
  <si>
    <t>VIZIO 40-inch Full HD 1080p Smart TV with DTS Virtual: X, Alexa Compatibility, Chromecast Built-in, Bluetooth Headphone Capable (Renewed)</t>
  </si>
  <si>
    <t>Western Digital 2TB Elements SE - Portable SSD, USB 3.0, Compatible with PC, Mac - WDBAYN0020BBK-WESN</t>
  </si>
  <si>
    <t>HP 202X Black High-yield Toner Cartridges (2-pack) | Works with HP Color LaserJet Pro M254, HP Color LaserJet Pro MFP M281 Series | CF500XD</t>
  </si>
  <si>
    <t>Lian Li Edge Series-1000W Full Modular Power Supply-80 Plus Platinum-ATX 3.0, 3.1-PCIE 5.1-L-Shape Design for Dual Chamber Case-120mm FDB Fan-Supports up to 4X USB Devices-White (EG1000WE.US)</t>
  </si>
  <si>
    <t>Jabra Evolve2 30 SE Wired Stereo Noise-Cancelling Headset - Features 2-Microphone Call Technology and USB-A Cable - MS Teams Certified, Works with All Other Platforms - Black</t>
  </si>
  <si>
    <t>Sceptre IPS 27-Inch Business Computer Monitor 1080p 75Hz with HDMI VGA Build-in Speakers, Machine Black 2020 (E275W-FPT), 27" IPS 75Hz</t>
  </si>
  <si>
    <t>Dell OptiPlex 7050 Desktop Computer PC, Intel Core i5 7500 3.40GHz 16GB DDR4 RAM, 1TB SSD, Built-in Wi-Fi, Bluetooth, Windows 11 Pro, 4K Support HD Graphics 630 (Renewed)</t>
  </si>
  <si>
    <t>NZXT C850 Gold ATX 3.1 - Fully Modular Low-Noise PC Gaming Power Supply - 850 Watts - 80 Plus Gold - 12V-2x6 Connector - Zero Fan Mode - 100% Japanese Capacitors - Black</t>
  </si>
  <si>
    <t>Logitech for Creators Blue Yeti Nano USB Microphone for Gaming, Streaming, Podcasting, Twitch, YouTube, Discord, Recording for PC and Mac, Plug &amp; Play -Blackout</t>
  </si>
  <si>
    <t>TP-Link Omada WiFi 7 Wireless Access Point | BE5000 Dual Band | 2.5G Port | PoE or DC Powered, Adapter not Included | Seamless Roaming | Easy Setup | 5-Year Warranty | Omada Remote Managed(EAP723)</t>
  </si>
  <si>
    <t>PULSE Explore Wireless Earbuds</t>
  </si>
  <si>
    <t>HP 712 Magenta 29-ml 3-Pack Genuine Ink Cartridges (3ED78A) for DesignJet T650, T630, T230, T210 &amp; Studio Plotter Printers</t>
  </si>
  <si>
    <t>Marshall Motif II True Wireless Active Noise-Canceling Earbuds Headphones, Black</t>
  </si>
  <si>
    <t>2891-20 Wireless Jobsite Speaker with Bluetooth</t>
  </si>
  <si>
    <t>OWC Thunderbolt 3 10G Ethernet Adapter, for High-Speed Network Connections, RJ45 Port Supports 10Gb/s, 5Gb/s, 2.5Gb/s, 1Gb/s and 100Mb/s Base-T, Compatible with Thunderbolt 3 or 4 Ports</t>
  </si>
  <si>
    <t>JBL Flip 6 - Portable Bluetooth Speaker, powerful sound and deep bass, IPX7 waterproof, 12 hours of playtime, JBL PartyBoost for multiple speaker pairing for home, outdoor and travel (Red)</t>
  </si>
  <si>
    <t>Fitbit Sense Advanced Smartwatch with Tools for Heart Health, Stress Management &amp; Skin Temperature Trends, White/Gold, One Size (S &amp; L Bands Included)</t>
  </si>
  <si>
    <t>CORSAIR VENGEANCE RGB DDR5 RAM 64GB (2x32GB) 6400MHz CL32-40-40-84 1.40V Intel XMP Desktop Computer Memory - Black (CMH64GX5M2B6400C32)</t>
  </si>
  <si>
    <t>ASURION 3 Year Portable Electronic Accident Protection Plan ($50 - $59.99)</t>
  </si>
  <si>
    <t>Nintendo Switch Lite - Yellow</t>
  </si>
  <si>
    <t>acer Ergonomic Mouse Wireless, Adjustable DPI Vertical Mouse 1000/1200/1600 with 6 Buttons, Rechargeable Ergo Mice with 2.4GHz USB Receiver for Computer, Laptop, PC, iMac and Desktop</t>
  </si>
  <si>
    <t>Makita XSS02Z 18V LXT Lithium-Ion Cordless 6-1/2" Circular Saw, Tool Only</t>
  </si>
  <si>
    <t>Apple Watch Series 7 (GPS + Cellular, 45 MM) Starlight Aluminum Case with Starlight Sport Band (Renewed)</t>
  </si>
  <si>
    <t>Apple AirTag Tracking Device, 4-Pack (Renewed)</t>
  </si>
  <si>
    <t>Monster Shock Portable Bluetooth Speaker,30W Loud Sound, IPX6 Waterproof Speaker,17 Hours Playback, Bluetooth 5.4 TWS Pairing Portable Wireless Speaker for Home, Outdoors</t>
  </si>
  <si>
    <t>TP-Link ER7206 Multi-WAN Professional Wired Gigabit VPN Router Increased Network Capacity SPI Firewall Omada SDN Integrated Load Balance Lightning Protection</t>
  </si>
  <si>
    <t>Westinghouse Thermal Shipping Label Printer USB, 4x6 Label Commercial Grade, Compatible with USPS, UPS, FedEx, eBay, Shopify, Amazon, &amp; More, Desktop Label Printer for Packages, Includes Sample Labels</t>
  </si>
  <si>
    <t>Sony ULT Field 1 Waterproof Portable Bluetooth Speaker, Enhanced Bass, 12h Battery, IP67 Rated Dustproof Shockproof Rustproof, Detachable Strap (SRSULT10B), Black</t>
  </si>
  <si>
    <t>SCHLAGE FE595 CAM 622 Acc Keypad Entry with Flex Electronic Lock, Matte Black</t>
  </si>
  <si>
    <t>RØDE Lavalier II Premium Ultra-Low-Profile Lavalier/Lapel Microphone for Broadcast, Filmmaking, Content Creation, Location and Studio Voice Recording</t>
  </si>
  <si>
    <t>Apple Smart Keyboard: iPad Keyboard and case for iPad Pro 10.5-inch, iPad Air (3rd Generation), and iPad (7th, 8th, and 9th Generation), Comfortable Typing Experience, US English - Black</t>
  </si>
  <si>
    <t>BOYA Magic Wireless Mini Microphones for iPhone 15-16/Android, 4 Form-in-1 Mic, 7g Lightweight, AI Noise Reduction, 48kHz/24bit, APP Control, 328ft Range, Microphone for Recording (Stand not included)</t>
  </si>
  <si>
    <t>ASUS TUF Gaming 850W Gold (850 Watt, ATX 3.0 Compatible, Fully Modular Power Supply, 80+ Gold, Military-Grade Components, Dual Ball Bearing, Axial-tech Fan, PCB Coating, 10 Year Warranty)</t>
  </si>
  <si>
    <t>SAMSUNG Galaxy Tab A7 Lite (2021, 32GB, 3GB RAM) 8.7" (WiFi + Cellular) 5100mAh Battery, Android 11, 4G LTE Tablet GSM Unlocked, International Model - SM-T225 (Fast Car Charger Bundle, Gray)</t>
  </si>
  <si>
    <t>Asrock B760M Pro RS WiFi White Intel Micro ATX Motherboard DDR5 DIMM 7200 MHz 256 GB LGA1700 SATA3 6.0 Gb/s LED M.2</t>
  </si>
  <si>
    <t>Corsair iCUE LINK QX120 RGB 120mm Magnetic Dome RGB Fans - Triple Fan Starter Kit with iCUE LINK System Hub - Black</t>
  </si>
  <si>
    <t>ASURION 4 Year Kitchen Protection Plan ($30 - $39.99)</t>
  </si>
  <si>
    <t>Klipsch The One Plus Premium Bluetooth Speaker System with Two 2.25” Full Range Drivers, 4.5” Woofer, Bluetooth 5.3 with Up to 40 ft. of Distance, Walnut</t>
  </si>
  <si>
    <t>NETGEAR Nighthawk M6 Pro Mobile Hotspot 5G mmWave, 8Gbps, Unlocked, AT&amp;T &amp; T-Mobile, International Roaming, Portable WiFi Device for Travel, 5G Modem Wireless Router (MR6500) (Renewed)</t>
  </si>
  <si>
    <t>Canon Genuine 071 Black Toner Cartridge Compatible with LBP122dw, MF272dw, MF273dw, MF275dw</t>
  </si>
  <si>
    <t>CORSAIR iCUE Link LX120 RGB 120mm PWM Fans Triple Pack – Dual Light Loops – Includes iCUE Link System Hub – CORSAIR AirGuide Technology – Black</t>
  </si>
  <si>
    <t>Fujifilm Square Instant Film 10 Pack (100 exposures) for SQ1, SQ6 &amp; SQ10 Cameras (5 Items)</t>
  </si>
  <si>
    <t>Linksys MX8000/MX8400 Mesh WiFi Router - AX4200 WiFi 6 Router - Velop Tri-Band WiFi Mesh Router - WiFi 6 Mesh Computer Routers for Wireless Internet - Connect 80+ Devices, 5,400 Sq Ft, 2-Pk</t>
  </si>
  <si>
    <t>SanDisk Ultra 16GB Class 10 SDHC Memory Card Up to 80MB/S- SDSDUNC-016G</t>
  </si>
  <si>
    <t>Kicker CS Series 150 Watt 6 x 9 Inch Car Audio Coaxial Speaker Pair, Black</t>
  </si>
  <si>
    <t>CORSAIR NIGHTSWORD RGB Gaming Mouse For FPS, MOBA - 18,000 DPI - 10 Programmable Buttons - Weight System - iCUE Compatible - Black</t>
  </si>
  <si>
    <t>Xbox Wireless Controller – Black</t>
  </si>
  <si>
    <t>Baofeng Walkie Talkies 888S Rechargeable Long Range with Earpieces for Adults, 16 Channel Professional Radio Handheld Two Way Radios Li-ion Battery and Charger Included (10pack with 10earpiece)</t>
  </si>
  <si>
    <t>GIGABYTE B550M AORUS Elite AX (rev 1.3) Motherboard, Supports AMD AM4 Ryzen 5000 Processors, Micro-ATX, DDR4, Single M.2, SATA 6Gb/s, Realtek GbE LAN, PCIe 4.0</t>
  </si>
  <si>
    <t>PHILIPS B5109 SoundBar for TV, 2.0 Channel Sound, DTS Virtual:X, Dolby Digital Plus,BT LE Audio, EQ Effects,Night Mode, Easy Setup, EasyLINK, Roku TV Ready, Remote/APP Control, Darkgrey</t>
  </si>
  <si>
    <t>Samsung Galaxy S20+ 5G, US Version, 128GB - Unlocked (Renewed)</t>
  </si>
  <si>
    <t>Blink Outdoor 4 + Mini 2 – Wireless smart security camera, two-year battery life, 1080p HD day and infrared night live view. Sync Module Core included – 2 camera system + Mini 2 (White)</t>
  </si>
  <si>
    <t>Audio-Technica AT2020USB-X Cardioid Condenser USB Microphone, Black</t>
  </si>
  <si>
    <t>Canon EF-S 24mm f/2.8 STM Lens</t>
  </si>
  <si>
    <t>Amazon Basics Paper Shredder for Home and Office, New Model 15-Sheet Cross Cut, CD/Credit Card Shredder, 6 Gallon Wastebasket, Black</t>
  </si>
  <si>
    <t>BOYALINK 2 Wireless Lavalier Microphone for iPhone15/16 Android Camera Laptop,48kHz/24-bit,1000ft Range, Mono/Stereo, 30H Use, USB-C/Lightning/TRS Plug Noise Cancellation for TikTok Video Recording</t>
  </si>
  <si>
    <t>HP Universal Bond Paper, 2 Roll Bundle (24" x 150')</t>
  </si>
  <si>
    <t>Motorola Moto Watch 120 - Premium Bluetooth Smartwatch with AMOLED Display, 10-Day Battery, Heart Rate &amp; SpO2 Tracking, Fitness &amp; Health Monitoring, Compatible with Android and iPhone - Phantom Black</t>
  </si>
  <si>
    <t>Pioneer A-Series TS-A2000LD2 8” Subwoofer – 700W Max, Shallow-Mount Design, Deep Bass in Tight Spaces</t>
  </si>
  <si>
    <t>Fujifilm Instax Mini 12 Camera with Fujifilm Instant Mini Film (60 Sheets) Bundle with Deals Number One Accessories Including Carrying Case, Photo Album, Stickers (Lilac Purple)</t>
  </si>
  <si>
    <t>Furman M-8x2 Merit Series 8 Outlet Power Conditioner &amp; Surge Protector with (2) Hosa 18 Gauge Electrical Extension Cable</t>
  </si>
  <si>
    <t>Razer Viper Ultimate Lightweight Wireless Gaming Mouse &amp; RGB Charging Dock: Hyperspeed Wireless Technology - 20K DPI Optical Sensor - 74g Lightweight - 70 Hr Battery - Mercury White</t>
  </si>
  <si>
    <t>Cherry KC 200 MX Mechanical Office Keyboard with New MX2A switches. Modern Design with Metal Plate Frame. (Bronze W/MX2A Silent Red Switch)</t>
  </si>
  <si>
    <t>ASURION 2 Year Camera Protection Plan ($90 - $99.99)</t>
  </si>
  <si>
    <t>Motorola Original OEM PMMN4013 PMMN4013A Remote Speaker Microphone with 3.5mm Audio Jack, Coiled Cord &amp; Swivel Clip, Intrinsically Safe</t>
  </si>
  <si>
    <t>PowerA FUSION Pro 4 Wired Controller for Xbox Series X|S, gamepad, wired video game controller, gaming controller, works with Xbox One and Windows 10/11</t>
  </si>
  <si>
    <t>NZXT H7 Flow 2024 - Mid-Tower ATX Airflow Case - Includes Pre-Installed 3 x 120mm Fans - Supports Bottom Fans for Dedicated GPU Cooling - Cable Management - Black</t>
  </si>
  <si>
    <t>Thermaltake Toughpower GT 850W ATX 3.1 Standard Power Supply; 80 Plus Gold Efficiency; Smart Zero Fan; Native 450W PCIe 5.1 Connector; PS-TPT-0850FNFAGU-3; 5 Year Warranty</t>
  </si>
  <si>
    <t>Nintendo DS Lite Polar White (Renewed)</t>
  </si>
  <si>
    <t>Eaton CHSPT2SURGE SPD Type 2 Chsp Whole Home Surge Protector, Nema 4, Single Phase, 120/240 Volts, Ul 1449 3Rd Edition</t>
  </si>
  <si>
    <t>ASRock B760M PG Riptide WiFi</t>
  </si>
  <si>
    <t>HP Original 935 Cyan, Magenta, Yellow / 934XL Black Ink Cartridges (4-Pack) | Works OfficeJet 6810; OfficeJet Pro 6230, 6830 Series | N9H66FN</t>
  </si>
  <si>
    <t>Razer BlackShark V2 Pro Wireless Xbox Gaming Headset: 50mm Drivers - Super Wideband Mic - Noise Isolating Earcups - for Xbox, PS5, Nintendo Switch 2, PC, Mac - Bluetooth, USB-C - 70hr Battery - Black</t>
  </si>
  <si>
    <t>Logitech Signature Slim MK955 Combo for Business | Copilot Edition, Microsoft Copilot, Copilot in Windows, Wireless Keyboard and Mouse, Quiet Typing, Secure Receiver, Bluetooth, Windows - Graphite</t>
  </si>
  <si>
    <t>Insta360 Flow 2 Pro Creator Bundle Grey - Foldable AI Phone Gimbal, Apple DockKit, 360º Pan Tracking, Free Tilt Mode, Built-in Tripod/Selfie Stick, Portable Vlog/Travel Stabilizer, Spotlight, MagSafe</t>
  </si>
  <si>
    <t>SteelSeries Aerox 5 Wireless - Holey RGB Gaming Mouse - Ultra-lightweight Water Resistant Design - 9 Buttons – Bluetooth/2.4 GHz - 18K DPI TrueMove Air Optical Sensor</t>
  </si>
  <si>
    <t>HP 12A Black Toner Cartridge | Works with HP LaserJet 1010, 1020, 3015, 3020, 3030, 3050 Series; HP LaserJet MFP M1005, M1319 Series | Q2612A</t>
  </si>
  <si>
    <t>SteelSeries Arctis Nova 3P Wireless Multi-Platform Gaming Headset — Mobile App Control — 40 HR Battery — Neodymium Magnetic Drivers — 2.4GHz/Bluetooth — PS5, PS4, PC, Switch, Mobile — Lavender</t>
  </si>
  <si>
    <t>Sony Multi Zone Region Free Blu Ray Player - PAL/NTSC Playback - Zone A B C - Region 1 2 3 4 5 6</t>
  </si>
  <si>
    <t>Targus Drifter II Laptop Backpack, Black/Gray – Backpack for Men for Business and Travel, Durable Water-Resistant Material, Fits up to 17" Laptops (TSB239US)</t>
  </si>
  <si>
    <t>Apple Watch Series 8 [GPS, 41mm] - Starlight Aluminum Case with Starlight Sport Ban, M/L (Renewed)</t>
  </si>
  <si>
    <t>Lenovo 500e Chromebook 2-in-1 Laptop, 11.6in HD Touch, Intel Celeron N3450, 4 GB RAM, 32GB eMMC Drive, Webcam, Chrome OS NO Pen (Renewed) (No Pen)</t>
  </si>
  <si>
    <t>ASURION 3 Year Lawn &amp; Garden Extended Protection Plan ($40 - $49.99)</t>
  </si>
  <si>
    <t>KICKER 51KM604WL KM 6.5" 4Ω LED Marine Coaxial Speakers - Pair</t>
  </si>
  <si>
    <t>SteelSeries Aerox 9 Wireless - Holey RGB Gaming Mouse - Ultra-lightweight Water Resistant Design - 18 Buttons – Bluetooth/2.4 GHz - 18K DPI TrueMove Air Optical Sensor</t>
  </si>
  <si>
    <t>CyberPower RB1290X2 UPS Replacement Battery Cartridge, Maintenance-Free, User Installable, 12V/9Ah</t>
  </si>
  <si>
    <t>CORSAIR K70 CORE RGB Mechanical Wired Gaming Keyboard with Palmrest – Pre-Lubed MLX Red Linear Switches, SOCD, ABS Double-Shot Keycaps, Sound Dampening, Media Control Dial, QWERTY NA – Black</t>
  </si>
  <si>
    <t>Pyle Wireless Bluetooth Home Audio Amplifier System-Upgraded 6 Channel 750 Watt Sound Power Stereo Receiver w/USB, Micro SD, Headphone,2 Microphone Input w/Echo, Talkover for PA - PTA62BT.5</t>
  </si>
  <si>
    <t>Apple Smart Folio for iPad Pro 13-inch (M4) - Black ​​​​​​​</t>
  </si>
  <si>
    <t>KENWOOD KFC-1666S Car Stereo Speaker 6-1/2" 2-Way Speakers with Powerful Sound and Easy Installation - Elevate Your Car Audio</t>
  </si>
  <si>
    <t>Corsair MP600 PRO LPX 2TB M.2 NVMe PCIe x4 Gen4 SSD - Optimised for PS5 (Up to 7,100MB/sec Sequential Read &amp; 6,800MB/sec Sequential Write Speeds, High-Speed Interface, Compact Form Factor) Black</t>
  </si>
  <si>
    <t>Pioneer G-Series TS-G6930F 6” x 9” 3-Way Speakers (Pair) – 400W Max, Balanced Sound + Smooth Treble, Great Stock Replacement, High-Efficiency Speaker Designed for OEM Power</t>
  </si>
  <si>
    <t>Skullcandy Push ANC Active Wireless Earbuds, Bluetooth Headphones, Noise Cancelling, 58 Hours Battery, Secure-Fit Over-Ear Hanger, Sweat and Waterproof, Microphone for iPhone Android - Black/Orange</t>
  </si>
  <si>
    <t>HP 201A Yellow Toner Cartridge | Works with HP Color LaserJet Pro M252, HP Color LaserJet Pro MFP M277 Series | CF402A</t>
  </si>
  <si>
    <t>HP 202A Cyan Toner Cartridge | Works with HP Color LaserJet Pro M254, HP Color LaserJet Pro MFP M281 Series | CF501A</t>
  </si>
  <si>
    <t>8Bitdo Ultimate 3-Mode Controller, Hall Effect Joysticks, Pro Back Buttons, Wired Only for Xbox Series X|S &amp; Xbox One, Compatibility with Apple, Windows &amp; Android, Officially Licensed (Jade)</t>
  </si>
  <si>
    <t>Google Pixel 5, US Version, 128GB, Just Black - Unlocked (Renewed)</t>
  </si>
  <si>
    <t>Stealthcam 360 CAM MAX Cartridge​ Rechargeable Lithium Battery Pack​</t>
  </si>
  <si>
    <t>EVGA 750 N1, 750W, 2 Year Warranty, Power Supply 100-N1-0750-L1</t>
  </si>
  <si>
    <t>Texas Instruments TI-83 Plus Programmable Graphing Calculator (Packaging and Colors May Vary)</t>
  </si>
  <si>
    <t>Taramps TS 800x4 2 Ohms Black Multichannel Stereo Amplifier 800 Watts Rms, 4 Channels, Full Range, Car Audio Digital 2 Bridged Channel, Crossover High/Low Pass, with RCA and Automatic High Level Input</t>
  </si>
  <si>
    <t>Escort M2 Smart Dash Cam – 1080P Full HD Video Dash Cam, Incident Reports, Parking Mode, Drive Smarter App, Wi-Fi &amp; GPS, 16GB Micro SD Card, Compatible with MAX 360c, MAX 360</t>
  </si>
  <si>
    <t>HP Small USB Document &amp; Photo Scanner for Portable 1-Sided Sheetfed Digital Scanning, Model HPPS100, for Home, Office &amp; Business, PC and Mac Compatible, HP WorkScan Software Included</t>
  </si>
  <si>
    <t>Fellowes 5006801-99 Binding Machine Pulsar+ Comb Binding (5006801)</t>
  </si>
  <si>
    <t>Corsair K70 RGB PRO Mechanical Wired Gaming Keyboard – Cherry MX Brown Tactile Switches – 8,000hz Hyper-Polling – PBT Double-Shot Keycaps – iCUE Compatible – PC, Mac, Xbox – QWERTY NA – Black</t>
  </si>
  <si>
    <t>CORSAIR HARPOON WIRELESS RGB Gaming Mouse - 10,000 DPI - 6 Programmable Buttons - Lightweight - Bluetooth - USB - Black</t>
  </si>
  <si>
    <t>Celestron 71008 SkyMaster 25x70mm Porro Prism Binoculars with Multi-Coated Lens, BaK-4 Prism Glass and Carry Case, Black</t>
  </si>
  <si>
    <t>Canon KP-108IN Color ahPJNL Ink and 4 x 6 Paper Set, 108 Count (Pack of 3)</t>
  </si>
  <si>
    <t>Cobra 75 All Road Wireless CB Radio - Dual-Mode AM/FM, Full 40 Channels, Bluetooth Connectivity, Digital Noise Cancellation, Waterproof, Instant Channel 9, 4-Watt Output, Easy to Operate, Black</t>
  </si>
  <si>
    <t>ASURION 3 Year Lawn &amp; Garden Extended Protection Plan ($100 - $124.99)</t>
  </si>
  <si>
    <t>SAMSUNG Galaxy Buds2 Pro True Wireless Bluetooth Earbud Headphones - White</t>
  </si>
  <si>
    <t>Insta360 GPS Preview Remote</t>
  </si>
  <si>
    <t>Brother Genuine LC402XLBK High Yield Black Ink Cartridge</t>
  </si>
  <si>
    <t>Toshiba Canvio Advance 2TB Portable External Hard Drive USB 3.0, Black - HDTCA20XK3AA</t>
  </si>
  <si>
    <t>HP 35A Black Toner Cartridge | Works with HP LaserJet P1005, P1006 | CB435A</t>
  </si>
  <si>
    <t>ASURION 2 Year Floorcare Extended Protection Plan ($300 - $349.99)</t>
  </si>
  <si>
    <t>Belkin MagSafe 3-in-1 Wireless Charging Pad - Fast Wireless Charging for Apple Watch, iPhone 16, iPhone 15, iPhone 14, &amp; iPhone 12 Series, &amp; AirPods - Charging Station for Multiple Devices - Black</t>
  </si>
  <si>
    <t>Antec C5 ARGB, 7 x 120mm ARGB PWM Fans Included, Up to 10 Fans Simultaneously, Type-C 3.2 Gen 2 Port, Seamless Tempered Glass Front &amp; Side Panels, 360mm Radiator Support, Mid-Tower ATX PC Case</t>
  </si>
  <si>
    <t>Crucial P510 1TB Gen5 NVMe SSD, Up to 11,000 MB/s, PCIe 5.0 M.2 2280 SSD, Internal Solid State Drive, Compatible with Laptop, Desktop, +Acronis Software - CT1000P510SSD8-01</t>
  </si>
  <si>
    <t>Razer Kraken Kitty V2 USB Wired Headset: Chroma RGB Kitty Ears - Stream Reactive Lighting - HyperClear Cardioid Mic - 40 mm Drivers - 7.1 Surround Sound - Comfortable Ear Cushions - Quartz Pink</t>
  </si>
  <si>
    <t>Lenovo Performance FHD Webcam, 1080p FHD, USB-C,Log-on with Windows Hello, Dual Microphones, 95 Degree Lens and 4X Digital Zoom, Sliding Privacy Shutter, Black</t>
  </si>
  <si>
    <t>Belkin MagSafe Charger Compatible, 3-in-1 Qi2 Wireless Charging Station 15W, Convertible Wireless Charger for iPhone 16, Apple Watch, AirPods, Portable Phone Stand for Travel w/ 36W Adapter - Black</t>
  </si>
  <si>
    <t>Marshall Minor IV True Wireless Headphone, Black</t>
  </si>
  <si>
    <t>NETGEAR Nighthawk Tri-Band Whole Home Mesh WiFi 6 System (MK73S) – Router + 2 Satellite Extenders - 3Gbps Speed - Coverage up to 4,500 sq. ft., 25 Devices - Includes 1-Year Armor – AX3000 802.11ax</t>
  </si>
  <si>
    <t>Taramps TS 400x4 400 watts RMS 4 Channels Full Range Car Audio Amplifier, 2 Bridged Channels, RCA Input Class D, Output Power, Multichannel Amplifier System, Small - TS400X4</t>
  </si>
  <si>
    <t>NZXT F360 RGB Core - 360mm Single-Frame Fan Unit with 3 x 120mm RGB Fans - Speed &amp; Lighting Control - High Static Pressure &amp; Airflow - Fluid Dynamic Bearings - 8 aRGB LEDs Per Fan - Black</t>
  </si>
  <si>
    <t>Dayton Audio BST-1 High Power Pro Tactile Bass Shaker 50 Watts RMS, 4 Ohms Impedance - Turn Any Surface into a Speaker System - Generates Subwoofer Lows</t>
  </si>
  <si>
    <t>TRENDnet 8-Port 2.5Gb Multi-Gigabit Unmanaged Gaming Switch, TEG-S380, 8 x 2.5GBASE-T Ports, 25Gbps Switching Capacity, Ethernet Splitter, NDAA &amp; TAA Compliant, Fanless, Lifetime Protection, Black</t>
  </si>
  <si>
    <t>OnePlus Buds 4, Bluetooth Wireless Earbuds, Storm Gray, E513A, in-Ear Headphones with Active Noise Cancellation</t>
  </si>
  <si>
    <t>JBL Flip 7 - Portable Waterproof and Drop-Proof Speaker, Bold Pro Sound with AI Sound Boost, 16Hrs of Playtime, and PushLock System with Interchangeable Accessories (Red)</t>
  </si>
  <si>
    <t>8BitDo All-Button Arcade Controller for Xbox Series X|S, Xbox One &amp; PC, 2.4G Wireless, Low-profile Mechanical Switches, Programmable Buttons, Hot-swappable PCB, RGB Lighting - Officially Licensed</t>
  </si>
  <si>
    <t>ASURION 3 Year Personal Care Protection Plan ($70 - $79.99)</t>
  </si>
  <si>
    <t>SteelSeries Aerox 3 Wireless - Holey RGB Gaming Mouse - Ultra-lightweight Water Resistant Design - 18K DPI TrueMove Air Optical Sensor- Onyx</t>
  </si>
  <si>
    <t>Logitech H570e Wired Headset, Stereo Headphones with Noise-Cancelling Microphone, USB, In-Line Controls with Mute Button, Indicator LED, PC/Mac/Laptop - Black</t>
  </si>
  <si>
    <t>Fitbit Versa 4 Health &amp; Fitness Smartwatch with GPS, 24/7 Heart Rate, Sleep Tracking, Workout Modes, Built-in Alexa, Water Resistant, 6+ Day Battery Life - Black</t>
  </si>
  <si>
    <t>Godox X3S X3-S TTL Wireless Flash Trigger for Sony Camera, 2.4G Wireless Touchscreen Flash Transmitter, Support TTL Auto/Manual/Multi Flash, Built-in Lithium Battery, High-Definit OLED Screen</t>
  </si>
  <si>
    <t>ASTRO Gaming A20 Wireless Headset Gen 2 for Xbox Series X | S, Xbox One, PC &amp; Mac - White /Green</t>
  </si>
  <si>
    <t>Apple 2017 iPad (9.7-inch, WiFi + Cellular, 32GB) - Space Gray (Renewed)</t>
  </si>
  <si>
    <t>FEELWORLD FW759 7 Inch DSLR Camera Field Monitor HD Video Assist Slim IPS 1280x800 4K HDMI 1080p with Sunshade</t>
  </si>
  <si>
    <t>NETGEAR 16-Port Gigabit Ethernet Unmanaged Switch (GS316) - Desktop or Wall Mount, and Limited Lifetime Protection</t>
  </si>
  <si>
    <t>Pyle 500W 4-Channel Karaoke Bluetooth Amplifier - Home Theater Audio Receiver with AUX - FM - RCA Subwoofer Output - USB - Microphone Input with Echo for Wireless Music Streaming - PTA44BT</t>
  </si>
  <si>
    <t>KICKER CS Series CSC68 6 x 8 Inch Car Audio System Speaker, Black (2 Pack)</t>
  </si>
  <si>
    <t>ASURION 4 Year Kitchen Protection Plan ($200 - $249.99)</t>
  </si>
  <si>
    <t>Lenovo L22e-40 Monitor, 21.45” FullHD Resolution, 250 nits Brightness, 75Hz Refresh Rate, AMD FreeSync, HDMI and VGA Ports, Tilt-Adjustable Stand, Natural Low Blue Light, Cloud Grey</t>
  </si>
  <si>
    <t>Philips B4000 Soundbar for TV, 2.0 Channel Sound, BT LE Audio, Easy Setup, EasyLINK, Roku TV Ready, Remote Control</t>
  </si>
  <si>
    <t>Philips Portable CD Player Boombox - Portable MP3 Player and Cassette Tape Player, Boom Box Compact Stereo Sound System with Dynamic Bass Boost, Take Your Music Outside with USB HiFi Music Player</t>
  </si>
  <si>
    <t>Pioneer DEH-S4220BT 1-Din CD Receiver – Bluetooth, USB/AUX, Color Change, FLAC, AM/FM Radio, Detachable Face, 50W x 4, Voice Control, Hi-Volt RCA Preouts</t>
  </si>
  <si>
    <t>Arduino Mega 2560 REV3 [A000067] – ATmega2560, 16MHz, 54 Digital I/O, 16 Analog Inputs, 256KB Flash, USB, Compatible with Arduino IDE for Advanced Projects</t>
  </si>
  <si>
    <t>Logitech Zone 300 Wireless Bluetooth Headset with Noise-Canceling Microphone, Compatible with Windows, Mac, Chrome, Linux, iOS, iPadOS, Android – Off-White</t>
  </si>
  <si>
    <t>Dell Chromebook 11 5190 Intel Celeron N3350 X2 1.1GHz 4GB 16GB 11.6in, Black (Renewed)</t>
  </si>
  <si>
    <t>EPSON 126 DURABrite Ultra Ink Black &amp; Color Combo Pack For WF-3520, WF-3530, WF-3540, WF-520, WF-545, WF-630, WF-633, WF-635, WF-645, WF-7010, WF-7510, WF-7520, WF-840, WF-845 and other select models</t>
  </si>
  <si>
    <t>ASURION 3 Year Musical Instrument Accident Protection Plan ($250 - $299.99)</t>
  </si>
  <si>
    <t>Orion Cobalt Series CBA2500.4 High Efficiency 4-Channel Class A/B Amplifier for Car Audio Stereo – 2500W High Output, 2/4 Ohm Stable, Adjustable Low/High Pass, Bass Boost, MOSFET Power Supply</t>
  </si>
  <si>
    <t>Carhartt 35L Triple-Compartment Backpack, Durable Pack with Laptop Sleeve and Duravax Abrasion Resistant Base, Black</t>
  </si>
  <si>
    <t>Lorex 4MP Pan &amp; Tilt Indoor Smart Security Camera - Wireless 2K Wi-Fi Camera with Person Detection, Privacy Mode, 2-Way Talk, Smart Home Compatibility, 360° Pan/Tilt View - Free 16GB Micro SD</t>
  </si>
  <si>
    <t>ASURION 3 Year Musical Instrument Accident Protection Plan ($50 - $59.99)</t>
  </si>
  <si>
    <t>Apple iPad Air 2, 16 GB, Space Gray (Renewed)</t>
  </si>
  <si>
    <t>Vic Firth SIH3 Stereo Isolation Headphones, 25 Decibels</t>
  </si>
  <si>
    <t>Lenovo Preferred Pro II Wired External USB Keyboard ( 4X30M86879) Factory Sealed Retail Product For USA, black</t>
  </si>
  <si>
    <t>Rockford Fosgate M0-65B Marine Grade 6.5" Coaxial Full Range Speakers - Black (Pair)</t>
  </si>
  <si>
    <t>Marshall Willen II Bluetooth Portable Speaker - Black &amp; Brass</t>
  </si>
  <si>
    <t>AMD Ryzen 5 7600 6-Core, 12-Thread Unlocked Desktop Processor</t>
  </si>
  <si>
    <t>Kensington SlimBlade™ Pro Wireless Trackball, Rechargeable Battery, Bluetooth 2.4GHz Connection Options (K72080WW)</t>
  </si>
  <si>
    <t>Amazon Basics 10-Pack DisplayPort 1.2 Cable, 21.6Gbps High-Speed, 4K@60Hz, 2K@165Hz, Gold-Plated Plugs, 6 Foot, Black</t>
  </si>
  <si>
    <t>StarTech.com 1U 4-Post Server Rack Shelf, Vented, Adjustable Mounting Depth (28-34.4in/71.1-87.3cm), 150lb (68kg) Capacity</t>
  </si>
  <si>
    <t>Xiaomi Mi Computer Monitor Light Bar - Easy Installation, Extra Computer Lighting w/o Taking Desktop Space, w/Wireless Remote Control Adjusting Lights Easily</t>
  </si>
  <si>
    <t>ASURION 2 Year Electronics Protection Plan ($500 - $599.99)</t>
  </si>
  <si>
    <t>Fitbit Versa 2 Special Edition Health and Fitness Smart Watch with Heart Rate, Music, Alexa Built-In, Sleep and Swim Tracking, Navy and Pink Woven/Copper Rose, One Size (S and L Bands Included), 2.3</t>
  </si>
  <si>
    <t>TP-Link 24 Port Gigabit Switch Easy Smart Managed Plug &amp; Play Desktop/Rackmount Sturdy Metal w/ Shielded Ports Support QoS, Vlan, IGMP &amp; LAG (TL-SG1024DE),Black</t>
  </si>
  <si>
    <t>Garmin vívofit® jr. 3 Kids Fitness Tracker, Black Cosmic, Up to 1 Year Battery Life, Swim-Friendly, Activity Unlocks Adventure</t>
  </si>
  <si>
    <t>Brother LC3033 BK/C/M/Y Super High Yield Ink-4 Pack (Includes (1) LC3033BK, (1) LC3033C, (1) LC3033M, (1) LC3033Y)</t>
  </si>
  <si>
    <t>Dell Laptop Charger 100W Watt USB Type C Precision 5680 3580 3580 3580 3581,Latitude 5340 7640 7640 7340 5440 5540 9440,Inspiron 14 Plus 7430</t>
  </si>
  <si>
    <t>ASURION 3 Year Furniture Protection Plan ($600 - $699.99)</t>
  </si>
  <si>
    <t>Elgato Wave Mic Arm - Premium Broadcasting Boom Arm with Cable Management Channels, Desk Clamp, 1/4" Thread Adapters, Fully Adjustable, perfect for Podcasts, Streaming, Gaming, Home Office, Recording</t>
  </si>
  <si>
    <t>HP 60XL Black Ink Cartridge, High-yield | Works with Printer Series: DeskJet D1660, D2500, D2600, D5560, F2400, F4200, F4400, F4580; ENVY 100; OJ J4500, J4680, 4500; PhotoSmart C4600, C4700, D110a</t>
  </si>
  <si>
    <t>VIVO Premium Single 17 to 32 inch VESA Monitor and Touch Screen Desk Stand with Rotating Base, Freestanding Pneumatic Height Adjustable Arm, 12 inch Maximum Screen Height, Black, STAND-V001R</t>
  </si>
  <si>
    <t>DJI Osmo Action Diving Accessory Kit, Compatibility: Osmo Action 3, Osmo Action 4, Osmo Action 5 Pro</t>
  </si>
  <si>
    <t>Sharp Paperless Printing Desk Calculator w/Check and Correct, Large 12-Digit LCD Primary Display, Printing Calculator/Adding Machine with Scrolling LCD Display Replacing Paper (EL-1901)</t>
  </si>
  <si>
    <t>Koss Porta Pro Wireless 2.0 Bluetooth On-Ear Headphones, 20+ Hour Battery, USB-C Charging, Microphone, Analog Audio Pass Through, Retro Style, Black</t>
  </si>
  <si>
    <t>Corsair HS70 Pro Wireless Gaming Headset - 7.1 Surround Sound Headphones for PC, MacOS, PS5, PS4 - Discord Certified - 50mm Drivers – Carbon,Black</t>
  </si>
  <si>
    <t>Apple Mid 2015 iPad Mini 4 7.9-inch, Wi-Fi, 64GB Gold (Renewed)</t>
  </si>
  <si>
    <t>Rode Lavalier GO Professional Wearable Microphone,Black</t>
  </si>
  <si>
    <t>ASURION 2 Year Personal Care Protection Plan ($60 - $69.99)</t>
  </si>
  <si>
    <t>Lexar 512GB NS100 SSD 2.5 Inch SATA III Internal Solid State Drive, Up to 550MB/s Read, Gray (LNS100-512RBNA)</t>
  </si>
  <si>
    <t>Rockford Fosgate Prime R165X3 6.5" 3-Way Full Range Coaxial Speakers (Pair)</t>
  </si>
  <si>
    <t>Godox TT350S Flash Speedlite for Sony Camera, 2.4G Wireless GN36 1/8000s HSS TTL Camera Flash Compatible for Sony Camera A7 A7R A7S A7-II A7-III A7R-II A7R-III A7S-II A6300 A6000 etc</t>
  </si>
  <si>
    <t>Tripp Lite Keyspan High-Speed USB to Serial Adapter, PC &amp; Mac, USB-A to DB9 RS232 Male, 3 Foot / 0.91 Meter Cable, 3-Year Warranty (USA-19HS)</t>
  </si>
  <si>
    <t>Logitech Keys-to-GO 2 Portable Bluetooth Tablet Keyboard with Built-in Cover, Slim &amp; Compact Wireless Keyboard for Windows, Android, Linux, iPad, iPhone, Mac, Apple TV - Graphite</t>
  </si>
  <si>
    <t>Uniden Atlantis 155 Handheld Two-Way VHF Marine Radio, Floating IPX8 Submersible Waterproof, Dual-Color Screen, All USA/International/Canadian Marine Channels, NOAA Weather Alert, 10 Hour Battery</t>
  </si>
  <si>
    <t>Apple Watch SE (2nd Gen) (GPS, 40mm) - Midnight Aluminum Case with Midnight Sport Band, S/M (Renewed)</t>
  </si>
  <si>
    <t>OEM Ford Carplay USB Hub Module Upgrade for Sync 3 Models HC3Z-19A387-F</t>
  </si>
  <si>
    <t>Thermaltake View 270 Plus TG ARGB Black Mid Tower E-ATX Case; 3x120mm ARGB Fans Included; Support Up to 360mm Radiator; Front &amp; Side Dual Tempered Glass Panel; CA-1Y7-00M1WN-01; 3 Year Warranty</t>
  </si>
  <si>
    <t>Osprey Flare Laptop Backpack</t>
  </si>
  <si>
    <t>Kensington Pro Fit Ergonomic Wired Keyboard- Black (K75400US)</t>
  </si>
  <si>
    <t>Anker USB C Hub Adapter, 5-in-1 USB C Adapter with 4K HDMI, Ethernet Port, 3 3.0 Ports, for MacBook Pro, iPad Pro, XPS, Pixelbook, and More</t>
  </si>
  <si>
    <t>Uniden MHS75 Waterproof Handheld 2-Way VHF Marine radio, Submersible, Selectable 1/2.5/5 Watt Transmit Power. All USA/International and Canadian Marine Channels - Color Black</t>
  </si>
  <si>
    <t>Xbox Elite Series 2 Controller - Black (Renewed)</t>
  </si>
  <si>
    <t>CORSAIR VENGEANCE LPX DDR4 RAM 16GB (2x8GB) 3200MHz CL16-20-20-38 1.35V Intel AMD Desktop Computer Memory - Black (CMK16GX4M2E3200C16)</t>
  </si>
  <si>
    <t>TUF Gaming Mini Wireless Mouse Hatsune Miku Edition- lightweight, ambidextrous 65g wireless gaming mouse with tri-mode connectivity, 12,000dpi sensor, and 100million-click lifespan mechanical switches</t>
  </si>
  <si>
    <t>8BitDo Retro 87 Mechanical Keyboard with RGB Backlight, Bluetooth/2.4G/USB-C Hot Swappable Wireless Gaming Keyboard for Windows and Android - Xbox Edition (Officially Licensed)</t>
  </si>
  <si>
    <t>Crucial 32GB DDR5 RAM Kit (2x16GB), 5600MHz (or 5200MHz) Desktop Memory, UDIMM 288-Pin, Compatible with 13th Gen Intel Core and AMD Ryzen 7000 - CT2K16G56C46U5</t>
  </si>
  <si>
    <t>Wacom Bamboo Ink Smart Stylus for Windows Ink Second Generation CS323AG0A, Grey, Small</t>
  </si>
  <si>
    <t>KitchenAid 9-Speed Digital Hand Mixer with Turbo Beater II Accessories and Pro Whisk - White</t>
  </si>
  <si>
    <t>Razer BlackWidow V3 Mini HyperSpeed 65% Wireless Mechanical Gaming Keyboard: Yellow Mechanical Switches Linear &amp; Silent - Phantom Pudding Keycaps - Chroma RGB - Up to 200 Hr Battery - Snap Tap</t>
  </si>
  <si>
    <t>Godox X3C X3-C TTL Wireless Flash Trigger for Canon Camera, 2.4G Wireless Touchscreen Flash Transmitter, Support TTL Auto/Manual/Multi Flash, Built-in Lithium Battery, High-Definit OLED Screen</t>
  </si>
  <si>
    <t>Logitech POP ICON Combo, Bluetooth Keyboard and Mouse Combo, Comfortable Typing, programmable Keys and Buttons, Quiet clicks, Easy-Switch up to 3 Devices - Lilac</t>
  </si>
  <si>
    <t>SAMSUNG Galaxy Watch 5 40mm Bluetooth Smartwatch w/Body, Health, Fitness and Sleep Tracker, Sapphire Crystal Glass, Enhanced GPS Tracking, US Version, Pink Gold Bezel w/Pink Band (Renewed)</t>
  </si>
  <si>
    <t>JVC Nearphones Open Ear True Wireless Headphones - Open Ear Earbuds - Bluetooth 5.3-24H Playback - IPX4 Water Resistant - Built-in Mic - Awareness &amp; Comfort - Ear Clip Earbuds - HANP1T</t>
  </si>
  <si>
    <t>Oakley Men's Crestible Enduro 25L Backpack, Blackout</t>
  </si>
  <si>
    <t>be quiet! Silent Wings Pro 4 140mm PWM High Speed 2400 RPM Premium Low Noise Cooling Fan | 4-Pin | BL099</t>
  </si>
  <si>
    <t>Pyle PLMR24B 3.5 Inch 3 Way Weatherproof Marine Audio Speakers, Black (1 Pair)</t>
  </si>
  <si>
    <t>UBeesize Softbox Photography Lighting Kit, 20'' x 20'' Professional Softbox Lighting Kit with 85W 3000-7500K LED Bulbs, Studio Lights for Photography/Live Streaming/Video Recording</t>
  </si>
  <si>
    <t>Humminbird PiranhaMAX 4 Fish Finder, Down Imaging</t>
  </si>
  <si>
    <t>Leviton Type 1 Surge Protective Panel, Residential Home Surge Protection, 120/240 VAC, Split Phase, 36kA per Phase, R2120-B SPD</t>
  </si>
  <si>
    <t>DYMO Label Maker LabelManager 280 Rechargeable Portable Label Maker Easy-to-Use One-Touch Smart Keys QWERTY Keyboard PC and Mac Connectivity For Home &amp; Office Organization</t>
  </si>
  <si>
    <t>ASURION 2 Year Ride-On Protection Plan ($100 - $124.99)</t>
  </si>
  <si>
    <t>SimpliSafe Solar Panel for Outdoor Security Camera,White</t>
  </si>
  <si>
    <t>Incase Dots Hardshell with Makrolon® - MacBook Air 13 inch Case - 2025, 2024, 2023, 2022, M4, M3, M2 - MacBook Case, Laptop Cover, Protective Hard Shell, Scratch Resistant, Lightweight - Black</t>
  </si>
  <si>
    <t>HP Chromebook 11 G6 Ee 11.6" Chromebook Intel Celeron 1.10 GHz 4 GB 16 GB Chrome OS (Renewed)</t>
  </si>
  <si>
    <t>ASURION 2 Year Auto Accessories Protection Plan ($30 - $39.99)</t>
  </si>
  <si>
    <t>Poly Blackwire 3320 Wired Headset (Plantronics) – Flexible Microphone Boom – Hi-fi Stereo - Connect to PC/Mac via USB-C or USB-A - Works with Teams/Zoom - Amazon Exclusive</t>
  </si>
  <si>
    <t>Monster Boomerang Neckband Bluetooth Speaker, Neck Wireless Wearable Speaker with 12H Playtime, True 3D Stereo Sound, Portable Soundwear, IPX7 Waterproof, for Home Sport Outdoor</t>
  </si>
  <si>
    <t>ASURION 3 Year Lawn &amp; Garden Extended Protection Plan ($175 - $199.99)</t>
  </si>
  <si>
    <t>ASURION 3 Year Home Improvement Protection Plan ($700 - $799.99)</t>
  </si>
  <si>
    <t>Keychron K8 Tenkeyless Wireless Mechanical Keyboard for Mac, White Backlight, Bluetooth, Multitasking, Type-C Wired Gaming Keyboard for Windows with Brown Switch</t>
  </si>
  <si>
    <t>Neewer 5x7ft/1.5x2m Chromakey Foldable Backdrop with Stand 8.5ft/2.6m, 2-in-1 Reversible Black White Green Background Panel for Photography Studio, Live Streaming, Video Calls, Games</t>
  </si>
  <si>
    <t>Retevis Walkie Talkie Earpiece with Mic,Volume Adjust,G Shape, for RT22 RT68 RT21 H-777 H-777S RT86,Compatible with Baofeng UV-5R 888S pxton Kenwood Two Way Radios,2 Way Radio Earpiece 2 Pin(10 Pack)</t>
  </si>
  <si>
    <t>Canon PGI-2200 Genuine Three Color Multi Pack, Compatible with IB4120, MB5120, MB5420, IB4020, MB5020, and MB5320 (Optional) Printers</t>
  </si>
  <si>
    <t>JBL Charge 5 - Portable Bluetooth Speaker with Exclusives Hardshell Travel Case with IP67 Waterproof and USB Charge Out (Black), Charge 5 with Case</t>
  </si>
  <si>
    <t>Ultimate Ears WONDERBOOM Play Portable Waterproof Bluetooth Speaker, Dustproof Floating Speaker with 131ft (40m) Range, Black</t>
  </si>
  <si>
    <t>JanSport Right Pack Premium Backpack - Daypack with 15" Laptop Sleeve, Main Compartment, Water Bottle Pocket, Black</t>
  </si>
  <si>
    <t>Razer Huntsman Mini 60% Gaming Keyboard: Fast Keyboard Switches - Clicky Optical Switches - Chroma RGB Lighting - PBT Keycaps - Onboard Memory - Snap Tap - White</t>
  </si>
  <si>
    <t>ASURION 3 Year Desktop Protection Plan ($1000 - $1249.99)</t>
  </si>
  <si>
    <t>Anker SoundCore 2 Portable Bluetooth Speaker, Wireless, Enhanced Bass, 24-Hour Playtime, 66ft Range, IPX7 Water Resistant, Built-in Mic, Ideal for Travel, Compact and Easy to Use - Red</t>
  </si>
  <si>
    <t>STEALTH CAM SD Card - High-Speed Data Transferring Storage Game Trail Hunting Scouting Photo Video Recording Cameras, 32GB SD Card (2 Pack)</t>
  </si>
  <si>
    <t>GoPro Enduro Rechargeable Battery 2-Pack (HERO13 Black) - Official Accessory</t>
  </si>
  <si>
    <t>Lian Li UNI Fan SL-Infinity Wireless - 120 Single Pack - 2.4 GHz Wireless Signal Control - ARGB Fan - Double Infinity Mirror - Low Noise - Controller NOT Included &amp; Required - Black (12SLIN1W1B)</t>
  </si>
  <si>
    <t>Razer Basilisk V3 35K Wired Ergonomic Gaming Mouse : HyperScroll Tilt Wheel - 35K DPI Optical Sensor Gen 2-13 Customizable Controls - Chroma RGB - Optical Switches Gen 3 - Speedflex Cable</t>
  </si>
  <si>
    <t>Dell GaN Laptop Charger 240W Watt Barrel 7.4mm tip AC Power Adapter - Precision 7670 7680 7770 7780,Alienware M15 R7,X16,X17 R2,X15 R2,M17 R5</t>
  </si>
  <si>
    <t>Lorex 2K Indoor WiFi Security Camera for Home, Pet Cam, Baby Cam - Mobile App, IR Night Vision, Person Detection &amp; 2 Way Talk - Free 16GB Micro SD</t>
  </si>
  <si>
    <t>Avery Waterproof Printable Shipping Labels with Sure Feed, 3-1/3" x 4", White, 300 Blank Mailing Labels (5524)</t>
  </si>
  <si>
    <t>HP ENVY Inspire 7958e Wireless All-in-One Color Inkjet Printer, Print, scan, copy, Duplex printing best-for-home, 3 month Instant Ink trial included (327A7A)</t>
  </si>
  <si>
    <t>Godox iT30pro F TTL Mini Flash - GODOX iT30 Pro F for Fuji - GoDOx IT30 Pro for Fujifilm GodOX TTL Flash, Wireless Master &amp; Receiver, HSS 1/8000 Second, 2.4G Wireless, GodOX Flash Black</t>
  </si>
  <si>
    <t>Kryptonite Alarm Disc, Heavy Duty Anti-Theft Motorcycle Lock with 120db Alarm, Weather-Resistant, Powersport Disc Break Lock</t>
  </si>
  <si>
    <t>Pioneer A-Series Standard TS-A6961F 6” x 9” 4-Way Speakers (Pair) – 450W Max, Balanced Sound + Smooth Treble, Enhanced Bass, Ideal Factory Upgrade, Installation Adaptors Included</t>
  </si>
  <si>
    <t>SanDisk 16GB Clip Sport Plus MP3 Player, Red - Bluetooth, LCD Screen, FM Radio - SDMX28-016G-G46R (Renewed)</t>
  </si>
  <si>
    <t>ACDelco AA and AAA 200-Count Combo Pack Super Alkaline Batteries, 100-Count Each, 10-Year Shelf Life, Reclosable Packaging</t>
  </si>
  <si>
    <t>Dell Wired Keyboard and Mouse - KM300C, Black</t>
  </si>
  <si>
    <t>Mounting Dream Speaker Stands Height Adjustable for Satellite &amp; Small Bookshelf Speakers, Set of 2 Floor Stand Mount for Bose Polk JBL Sony Yamaha and Others - 11LBS Capacity MD5402</t>
  </si>
  <si>
    <t>Nintendo Switch™ - Mario Kart™ 8 Deluxe Bundle</t>
  </si>
  <si>
    <t>VEVOR 3.28 ft Cable Protector Ramp, 4 Pack of 1 Channel, 18000 lbs/axle Capacity Heavy Duty Rubber Speed Bumps, Floor Cord Cable Protector Wire Cover, for Residential Areas, Private Garages, Gardens</t>
  </si>
  <si>
    <t>Canon PGI-270 Pigment Black Ink Tank CLI-271 CMYK Ink Tank 4-Pack</t>
  </si>
  <si>
    <t>ASURION 3 Year Camera Protection Plan ($500 - $599.99)</t>
  </si>
  <si>
    <t>KODAK Portra 400 Professional ISO 400, 120 propack, Color Negative Film (5 Rolls per Pack)</t>
  </si>
  <si>
    <t>MSI MAG A650BE Gaming Power Supply - 80 Plus Bronze Certified 650W - Semi-Modular - Low Noise ATX PSU</t>
  </si>
  <si>
    <t>Google Nest WiFi Pro 6E GA03030-US Mesh Router [Color Snow] (Renewed)</t>
  </si>
  <si>
    <t>Kensington Orbit Wireless Trackball with Scroll Ring - Black-Red (K70990WW),</t>
  </si>
  <si>
    <t>adidas Primetime Large Backpack for Women and Men, Big Bag with Laptop Sleeve, Black/Gold Metallic, One Size</t>
  </si>
  <si>
    <t>XIAOMI Mi Smart Band 10 (2025) - 1.72" AMOLED Display | 21 Days Battery Life | Touchscreen, Multi-Sport Tracker, Activity Tracker, Heart Rate Monitor | BT5.4 - Midnight Black</t>
  </si>
  <si>
    <t>Apple Smart Folio for iPad (A16) - Sky ​​​​​​​</t>
  </si>
  <si>
    <t>ZAGG Glass Elite Screen Protector for iPad 11-inch (A16) &amp; iPad 10.9-inch (10th Gen) - 5X Stronger Tempered Glass, Smudge-Free, Easy Installation, Eco-Friendly with Recycled Glass</t>
  </si>
  <si>
    <t>Elgato Wave Desk Stand - Adjustable Mounting Arm for Microphones, Works, HyperX, Rode, Fifine, Shure and More Mics, Compatible 1/4, 3/8 &amp; 5/8 Thread, for Recording/Podcasting/Streaming</t>
  </si>
  <si>
    <t>Compact Nylon Shoulder Bag by BAGGU</t>
  </si>
  <si>
    <t>Uniden PRO401HH Professional Series 40 Channel Handheld CB Radio, 4 Watts Power with Hi/Low Power Switch, Auto noise cancellation, Belt Clip And Strap Included, 2.75in. x 4.33in. x 8.66in.</t>
  </si>
  <si>
    <t>Pioneer A-Series Plus TS-A709 2.75" 2-Way Speakers (Pair) – 600W Max, Balanced Sound + Smooth Treble, Great Stock Replacement, Easy Installation</t>
  </si>
  <si>
    <t>Brother Printer LC30172PK High Yield XL Black Ink Cartridge-2 Pack</t>
  </si>
  <si>
    <t>KICKER 46CSC464 CS-Series CSC46 4x6-Inch (100x160mm) Coaxial Speakers, 4-Ohm (Pair)</t>
  </si>
  <si>
    <t>VTech CS6649 DECT 6.0 Expandable Corded/Cordless Phone with Answering System and Caller ID/Call Waiting, Silver/Black with 1 Handset</t>
  </si>
  <si>
    <t>ARCTIC P14 PWM PST (5 Pack) - PC Fans, 140mm Case Fan with PWM Sharing Technology (PST), Pressure-optimised, Quiet Motor, Computer, Fan Speed: 200–1700 RPM (0 RPM &lt;5%) - Black</t>
  </si>
  <si>
    <t>NEEWER LITETRIP LT07 61" Aluminum Travel Tripod for Camera w Pan Tilt Low Profile Ball Head, Arca QR Plate Compatible with Peak Design Tripod Plate V3, Dual Center Axis, Phone Holder, Max Load 22lb</t>
  </si>
  <si>
    <t>WAVLINK USB 3.0 to HDMI Universal Video Adapter, Displaylink Chips Supports up to 6 Monitor displays, Compatible with Windows, MacOS, Ubuntu 20.04,22.04,LTS, ChromeOS-Upgrade Version</t>
  </si>
  <si>
    <t>Moukey Stereo Receivers with Bluetooth 5.0, 400W 2.0 Channel Power Audio Amplifier Stereo System w/USB, SD, AUX, RCA, MIC in w/Echo, LED for Karaoke, Home Theater Speakers - MAMP1</t>
  </si>
  <si>
    <t>Hape Kid’s Wooden Toy Ukulele | 21 Inch Wooden Ukulele Musical Instrument with Vibrant Sound and Tunable Nylon Strings for Children, Blue</t>
  </si>
  <si>
    <t>Samsung Galaxy S25 Ultra S Pen, Ergonomic Design, Air Command, Touch Stylus, Phone Navigation, US Version, EJ-PS938BBEGUJ, Black</t>
  </si>
  <si>
    <t>BenQ Zowie G-SR III Large Esports Gaming Mouse Pad, Humidity Resistance Cloth, Consistent and Controlling Glide,Uniform high-Density Rubber Base with Medium Softness, Stitched Edges, Anti-Slip Base</t>
  </si>
  <si>
    <t>be quiet! Pure Rock 3 Black CPU Air Cooler | 4 High Performance 6mm Heat Pipes with HDT Technology | 120mm PWM Fan | AMD:AM4 AM5/Intel LGA 1700/1150/1151/1200 | Black | BK039</t>
  </si>
  <si>
    <t>Razer Pro Click Mini Portable Wireless Mouse: Silent, Tactile, Mouse Clicks - Sleek &amp; Compact Design - HyperScroll Technology - Productivity Dongle - Connect up to 4 Devices - 7 Programmable Buttons</t>
  </si>
  <si>
    <t>Lenovo USB-C 65W AC Adapter (UL) - 65 W - 5 V DC Output</t>
  </si>
  <si>
    <t>EPSON 126 DURABrite Ultra Ink Color Combo Pack For WF-3520, WF-3530, WF-3540, WF-520, WF-545, WF-630, WF-633, WF-635, WF-645, WF-7010, WF-7510, WF-7520, WF-840, WF-845 and other select models</t>
  </si>
  <si>
    <t>Logitech 910005592 M720 Triathalon Multi-Device Wireless Mouse - Black</t>
  </si>
  <si>
    <t>Belkin SoundForm Isolate Bluetooth Over-Ear Headphones - Hybrid Active Noise Cancelling Headphones - Wireless w/ 60H Playtime, Fast Charging &amp; CloudCushion Ear Cups for Travel, Home, or Office - Sand</t>
  </si>
  <si>
    <t>VTech KidiZoom Smartwatch DX4, Blue</t>
  </si>
  <si>
    <t>Meta Quest Compact Charging Dock — Works with Meta Quest 3/3S — Extended Headset Charging Cable — Wireless Charging for Touch Plus Controllers</t>
  </si>
  <si>
    <t>Satechi Bluetooth Remote Control – R2 Multimedia Remote Control – Presentation &amp; Media Mode – iPad Remote Control for iPad Air, iPad Pro, MacBook Pro, MacBook Air (Not Compatible with Windows 10/11)</t>
  </si>
  <si>
    <t>SANUS No Stud TV Wall Mount - Low Profile 42 to 90 inch TV Wall Mount with Easy DIY Install - Includes Built-in Safety Latch, All Hardware &amp; Lateral Shift</t>
  </si>
  <si>
    <t>HP ENVY 6055e Wireless Color All-in-One Printer with 3 Months Free Ink with HP+ (223N1A) (Renewed)</t>
  </si>
  <si>
    <t>DEWALT Heavy Duty Portable Charger, Power Bank, 10,000 mAh Battery Pack with USB-C Port for iPhone 16/16 Plus/16 Pro/16 Pro Max, iPhone 15/14/13, Samsung Galaxy</t>
  </si>
  <si>
    <t>Kensington Combination Cable Lock for Laptops, T-Bar Standard Slot Computer Lock Cable for HP Lenovo Asus Acer, Resettable 4 digit password with 6 Foot Cable, K64673AM</t>
  </si>
  <si>
    <t>SteelSeries QcK XL Performance Speed Gaming Mousepad — Extra Density for a Smooth Glide — Low-Profile Edge Stitching — Non-Slip Neoprene Rubber Base — 15.75 x 34.43 inch — FPS, MOBAs, RTS, MMO</t>
  </si>
  <si>
    <t>Xiaomi Redmi Watch 5 Active Midnight Black</t>
  </si>
  <si>
    <t>Logitech Brio 300 Full HD Webcam with Privacy Shutter, Noise Reduction Microphone, USB-C, certified for Zoom, Microsoft Teams, Google Meet, Auto Light Correction - Off White</t>
  </si>
  <si>
    <t>MOSISO Camera Sling Bag, DSLR/SLR/Mirrorless Camera Backpack Case Shockproof Photography Backpack with Tripod Holder &amp; Removable Modular Inserts Compatible with Canon/Nikon/Sony/Fuji</t>
  </si>
  <si>
    <t>Winegard FL5500A FlatWave Amped Digital HD Indoor TV Antenna – Amplified, 4K &amp; ATSC 3.0 Ready, High-VHF/UHF, 60 Mile Range, Dual Color, 6 ft Cable</t>
  </si>
  <si>
    <t>ASURION 3 Year Desktop Protection Plan ($450 - $499.99)</t>
  </si>
  <si>
    <t>Klipsch The Austin Portable Bluetooth Speaker with a 1.5" Full Range Driver, IP67 dust and Waterproof Rating, 12 Hours of Playtime for a Premium Live Concert Experience</t>
  </si>
  <si>
    <t>Microsoft Controller for Series X, Series S, Xbox One (Latest Model) - Pulse Red (Renewed)</t>
  </si>
  <si>
    <t>Klein Tools 27500 Tie Wire Reel, Quick Lock, Lightweight Aluminum, 12-18 Gauge Wire, Ambidextrous Rewind Knob</t>
  </si>
  <si>
    <t>Sony INZONE H3 Wired Gaming Headphones With Mic, PS5 Headphones, Over-Ear, Personalized 360 Spatial Sound, Discord Certified MDR-G300 (White)</t>
  </si>
  <si>
    <t>Audio-Technica AT-VM95E Dual Moving Magnet Cartridge with 0.3 x 0.7mil Elliptical Stylus</t>
  </si>
  <si>
    <t>Apple iPhone FineWoven Wallet with MagSafe - Taupe</t>
  </si>
  <si>
    <t>JanSport Big Laptop Backpack for College - Computer Bag with 2 Compartments, Ergonomic Shoulder Straps, 15” Laptop Sleeve, Haul Handle - Book Rucksack, Navy</t>
  </si>
  <si>
    <t>Kensington Guardian 6 Outlet Power Strip, 15ft Surge Protector, 15-Foot Cord, 540 Joules, Black(K38215NA)</t>
  </si>
  <si>
    <t>ASURION 3 Year Furniture Protection Plan ($90 - $99.99)</t>
  </si>
  <si>
    <t>VIVO Dual Monitor Desk Stand Free-Standing LCD Mount, Holds in Stacked Vertical Position 2 Ultrawide Screens up to 34 inches, Black, STAND-V002L</t>
  </si>
  <si>
    <t>Philips Universal Adjustable TV Antenna Mount, Steel J-Mount for Attic Outdoor Roof Wall Installation, Weatherproof Mast Pole, Mounting Bracket and Hardware Included, Black, SDW1220/27</t>
  </si>
  <si>
    <t>UGREEN Full HD 1080P Webcam with Microphone, 2 Noise-Canceling Mics, 85° Fov &amp; Fixed Focus, Plug and Play, Auto Light Correction, Privacy Cover PC Camera for Zoom/Skype/Teams, Switch 2, Silver Gray</t>
  </si>
  <si>
    <t>BAOFENG GMRS Radio Handheld Long Range GM-15 Pro 8W Walkie Talkie with Earpiece NOAA Weather Receiver Rechargeable GMRS Repeater Two Way Radio with USB-C Charger for Hunting Survival Gear,2Pack</t>
  </si>
  <si>
    <t>APC UPS Battery Replacement, RBC35, for APC Back-UPS models BE350G, BE350C</t>
  </si>
  <si>
    <t>PGYTECH CreateMate High-Speed SD Card Reader USB 3.1 Type-C SD/TF Card Carrying Case Holder for Cameras, Smartphones, Drones, Action Cameras (Black, for SD/Micro SD)</t>
  </si>
  <si>
    <t>Dell 90W Replacement AC Adapter for Dell XPS 13 (L321X) / (L322x), 13 (9343), XPS 12 (9Q23) / (9Q33), 11 (9P33), 100% Compatible with P/N: RT74M, 0RT74M, VRJN1, LA90PM111, PA-1900-32D5</t>
  </si>
  <si>
    <t>Brother LC71 Standard Yield Ink Cartridge Set</t>
  </si>
  <si>
    <t>Roku Streaming Stick+ | HD/4K/HDR Streaming Device with Long-range Wireless and Roku Voice Remote with TV Controls</t>
  </si>
  <si>
    <t>Belkin MagSafe-Compatible Magnetic Wireless Car Charger 10W - BoostCharge Pro Wireless Charger, Magnetic Car Vent Phone Mount for iPhone 16, iPhone 15, 14, &amp; 13 Series, Power Supply Included - Black</t>
  </si>
  <si>
    <t>PHILIPS Bluetooth Keyboard and Mouse Combo - Bluetooth 2.4Ghz Wireless Keyboard and Mouse,Ergonomic Design with Palm Rest,3-Device Connectivity, 5 DPI Mouse, Long Battery for Office &amp; Home -Black</t>
  </si>
  <si>
    <t>LG Electronics LG BDXL Drive - External, PC, usb, Black (WP50NB40)</t>
  </si>
  <si>
    <t>Elgato Facecam Neo – Full HD Webcam with Easy-Slide Privacy Shutter, Light Correction, For Video Calls, Streaming, Teams/Zoom/Slack/OBS/Twitch/Youtube, and more – USB-C/Plug &amp; Play on PC/Laptop/Mac</t>
  </si>
  <si>
    <t>Kensington Wireless Presenter with Red Laser Pointer (K33272WW)</t>
  </si>
  <si>
    <t>ASURION 3 Year Musical Instrument Accident Protection Plan ($40 - $49.99)</t>
  </si>
  <si>
    <t>KODAK 35mm Slide and Film Viewer - Battery Operation, 3X Magnification, LED Lighted Viewing – for 35mm Slides &amp; Film Negatives</t>
  </si>
  <si>
    <t>Lenovo Multi-Device Wireless Bluetooth Keyboard, Connect Up to 3 Devices Simultaneously, Compatible with iOS, Android, Windows, Slim Profile, Rechargeable, 60-Hour Battery Life, Iron Grey</t>
  </si>
  <si>
    <t>Panasonic DMP-BD90P-K Blu-ray DVD Player with Full HD and Dolby Digital Sound (Black, Renewed)</t>
  </si>
  <si>
    <t>Amazon Basics 4-Bay Battery Charger for AA &amp; AAA Rechargeable Batteries with Rechargeable AA NiMh Batteries, 4 count (Pack of 1), Type A (American) Plug, Black</t>
  </si>
  <si>
    <t>ARKON Mounts - Heavy-Duty Tablet Mount | Secure Drill Base for Cars, Walls, and Tables | Adjustable Arm Ensures Perfect Positioning | Universal Tablet Stand and Holder | Great for iPad Wall Mount</t>
  </si>
  <si>
    <t>UGREEN Revodok 7 in 1 USB C Hub Gigabit Ethernet Adapter 4K@60Hz HDMI, 100W PD Charging, USB A Data Ports, SD/TF Card Reader Compatible with Mac M1, M2, M3, iPad, iPhone 15 Pro/Pro Max, Steam Deck</t>
  </si>
  <si>
    <t>OtterBox iPad (A16) &amp; iPad 10th Gen (Only) - Defender Series Case - Black - Screenless - Rugged &amp; Durable - Multi-Layer Protection - Microbial Defense Protection - Non-Retail Packaging</t>
  </si>
  <si>
    <t>Fujifilm Instax Mini Instant Film BLACK FRAME 3-PACK BUNDLE SET , Film Black Frame ( 10 x 3 ) for Mini 90 8 70 7s 50s 25 300 Camera SP-1 Printer</t>
  </si>
  <si>
    <t>UBeesize Starlink Mini Tripod Mount Kits, Adjustable Height and Angle Tripod Mounting kit with Pipe Adapter Compatible with Starlink Mini Satellite for Camping and RV Travel</t>
  </si>
  <si>
    <t>Poly (Plantronics + Polycom) OBiWiFi5G USB USB Wi-Fi Accessory for VoIP Adapters (1517-49585-001)</t>
  </si>
  <si>
    <t>PYLE-PRO Premium Direct Injection Audio Box - Passive DI Unit Hum Eliminator w/ Input Attenuator to Connect Guitar &amp; Bass - 1/4 Inch Impedance Transformer Connector to Balanced &amp; Unbalanced XLR-PDC22 , Black</t>
  </si>
  <si>
    <t>100 Count Energizer Industrial EN92 Alkaline AAA 1.5v Batteries LR03</t>
  </si>
  <si>
    <t>Wiremold Cable Management Kit, CordMate II, Cord Organizer and Hider, Cord Cover, Concealer, and Protector for Wall, Medium Capacity, CMK50</t>
  </si>
  <si>
    <t>Nitecore NB Air 5000mAh Ultra Lightweight and Slim Power Bank, USB-C Port for Phones, Smart Watches, Earbuds, Flashlights, and Headlamps</t>
  </si>
  <si>
    <t>Canon CLI-251 Genuine 5 Color Value Pack, Compatible with MG7520, MG5620, and MG6620 Printers</t>
  </si>
  <si>
    <t>PGYTECH 1.8" Wide Camera Shoulder Strap with Quick Release Plate Wide Camera Neck Straps Long for Photographers Adjustable for DSLR SLR (Night Black)</t>
  </si>
  <si>
    <t>Pyle 3-Way Universal Car Stereo Speakers-300W 6.5” Triaxial Loud Pro Audio Car Speaker Universal OEM Quick Replacement Component Speaker Vehicle Door/Side Panel Mount Compatible PL613BK (Pair), black</t>
  </si>
  <si>
    <t>UGREEN 65W USB-C Charger Block, Nexode 3-Port Type-C GaN Charger USB C Power Adapter Fast Charging Compatible with iPhone 16/15, Galaxy S24/S23, MacBook Pro/Air, iPad Pro/Air, Pixel 9/8, Steam Deck</t>
  </si>
  <si>
    <t>ASURION 3 Year Portable Electronic Accident Protection Plan ($175 - $199.99)</t>
  </si>
  <si>
    <t>Philips H8506 Over-Ear Bluetooth Headphones with Noise Canceling Pro, Hi-Res Audio, 60-Hour Battery, Fast Charging, Lightweight, Soft Ear Cups, Bluetooth Multi-Point, App Control, Black</t>
  </si>
  <si>
    <t>TACTACAM Reveal Lithium Cartridge 4 Port Charger</t>
  </si>
  <si>
    <t>SAMSUNG Galaxy Watch Ultra Trail Band, Smartwatch Replacement Strap for Men and Women, One Click Attachment, ET-SVL70MBEGUJ, Dark Gray</t>
  </si>
  <si>
    <t>Apple iPhone 15 Silicone Case with MagSafe - Winter Blue</t>
  </si>
  <si>
    <t>ML10-12 - 12 Volt 10 AH, F2 Terminal, Rechargeable SLA AGM Battery</t>
  </si>
  <si>
    <t>LG AN MR20GA Magic Remote Control for Select 2020 LG Smart TVs</t>
  </si>
  <si>
    <t>Elgato Master Mount L - Premium Desk Clamp with Pole extendable up to 125cm/49in and 1/4 inch Thread to Mount Lights, Cameras, and Microphones, perfect for Streaming, Videoconferencing, and Studios</t>
  </si>
  <si>
    <t>Google Nest Cam Stand - Wired Tabletop Stand for Nest Cam (Battery) Only - Snow</t>
  </si>
  <si>
    <t>JOBY GorillaPod Compact Tripod Kit with Ballhead for Mirrorless Cameras up to 2.2 lbs. Black/Charcoal.</t>
  </si>
  <si>
    <t>65XL Ink Cartridge High Yield Remanufactured for HP 65 XL 65XL Ink Cartridge Combo Pack Works with HP DeskJet 3772 3700 3752 3755 3722 2600 2622 Envy 5055 5000 5070 5052 5014 (1 Black, 1 Tri-Color)</t>
  </si>
  <si>
    <t>Hyperkin - Xenon Wired Controller - Officially licensed Xbox 360 Controller replica for Xbox Series X|S, Xbox One, Windows 10|11, PC, 3.5MM Audio Jack, Impulse Triggers - Black</t>
  </si>
  <si>
    <t>UBeesize 12” Selfie Ring Light with 62” Extendable Tripod Stand &amp; Remote, LED Light with Phone Holder for Video Recording/Makeup/Content Creator (YouTube/TikTok/Twitch), Phone, Camera &amp; Webcam (Pink)</t>
  </si>
  <si>
    <t>UGREEN Open Ear Wireless Headphones Bluetooth 5.4, 12mm Driver Sports Earphones with ENC, Fast Charging for 30 Hours Playtime, Compatible with iPhone Android and Bluetooth Devices</t>
  </si>
  <si>
    <t>ASURION 2 Year Furniture Protection Plan ($400 - $449.99)</t>
  </si>
  <si>
    <t>Pioneer G-Series TS-G4620S 4” x 6” 2-Way Speakers (Pair) – 210W Max, Balanced Sound + Smooth Treble, Great Stock Replacement, High-Efficiency Speaker Designed for OEM Power</t>
  </si>
  <si>
    <t>Waterproof Outdoor TV Cover 65-70 inch with Bottom, Thick Fabric, Dustproof and Weatherproof TV Cover with Remote Control Pocket, Black</t>
  </si>
  <si>
    <t>VIVO Steel Universal Full Motion Pole Mount Monitor Arm with Removable 75mm and 100mm VESA Plate, Fits 17 to 32 inch Screens, Black, MOUNT-POLE01A</t>
  </si>
  <si>
    <t>Sony Hi-8 HMPD 120 minute 2-Pack Video Camcorder Cassette Tapes</t>
  </si>
  <si>
    <t>RYDONAIR Short Antenna Compatible with Chevy Silverado &amp; GMC Sierra Trucks All Model Years, Internal Copper Coil for Enhanced Reception, 13 inches Rubber Antenna Replacement</t>
  </si>
  <si>
    <t>VIVO Premium Dual 21 to 32 inch LCD LED Monitor Wall Mount, Heavy Duty Telescoping Arms, Flush Wall Setup, Fits 2 Screens, Black, MOUNT-TS32B</t>
  </si>
  <si>
    <t>Klein Tools 29601 Magnetic Power Strip with Surge Protector, Extension Cord, 4 Outlets, 3 USB Ports, 5-Foot Cord, Power Supply Box with Light, PowerBox 1, Heavy Duty</t>
  </si>
  <si>
    <t>Wacom KP504E Pro Pen 2 with Case, black</t>
  </si>
  <si>
    <t>BAGSMART Camera Backpack, DSLR SLR Small Camera Bags for Photographers Compatible for Sony Canon Nikon, Shoulder Strap 2-in-1 Travel Backpack Fits 12.9" iPad, Beige</t>
  </si>
  <si>
    <t>Kensington Orbit Trackball Mouse (K64327F), Silver/Black</t>
  </si>
  <si>
    <t>Crucial 16GB, 260-pin SODIMM, DDR4 PC4-21300,</t>
  </si>
  <si>
    <t>KICKER DSC350 3.5-Inch (89mm) Coaxial Speakers, 4-Ohm (Pair)</t>
  </si>
  <si>
    <t>CORSAIR Vengeance RGB DDR5 Light Enhancement Kit (No Physical Memory) – Black</t>
  </si>
  <si>
    <t>TP-Link TL-PI30G | IEEE 802.3at/af Gigabit PoE+ Injector | Non-PoE to PoE Adapter | Supplies up to 30W | Plug &amp; Play | Desktop/Wall-Mount | Power Over Ethernet | Distance Up to 328 ft. | UL Certified</t>
  </si>
  <si>
    <t>AT&amp;T CL82219 DECT 6.0 2-Handset Cordless Phone for Home with Answering Machine, Call Blocking, Caller ID Announcer, Intercom and Long Range, Black</t>
  </si>
  <si>
    <t>Epson T127120 DURABrite Ultra 127 Extra High-Capacity Inkjet Genuine Ink Cartridge, Black (T127120)</t>
  </si>
  <si>
    <t>Toshiba 1TB 5400RPM 8MB Cache SATA 3.0Gb/s 2.5 inch Notebook Hard Drive (MQ01ABD100V) - 1 Year Warranty,Usb</t>
  </si>
  <si>
    <t>IRIS USA Fits 6" x 6" Paper, 8-Pack Thick Portable Plastic Scrapbook Paper Storage Cases Organizers with Built-in Handle for Art and Craft Supplies, Office Document, Stationery, Photo - Clear</t>
  </si>
  <si>
    <t>Kensington Duo Gel Mouse &amp; Keyboard Wrist Rest Bundle Set, Ergonomic Keyboard and Mouse Pad With Wrist Support, Keyboard Wrist Rest, Computer Keyboard Pad, Cooling Gel, Non-Skid Backing, Blue K52920WW</t>
  </si>
  <si>
    <t>Garmin 010-12563-02 Edge Mountain Bike Mount, Black</t>
  </si>
  <si>
    <t>SanDisk Ultra 32GB Micro SD SDHC Memory Flash Card (5 Pack) UHS-I Class 10 SDSQUAR-032G-GN6MN Wholesale Lot Bundle with 5 Plastic Jewel Cases and Everything But Stromboli Card Reader</t>
  </si>
  <si>
    <t>UGREEN Revodok Pro 210 Docking Station 10 in 1 USB C Dock Dual HDMI 4K@60Hz Single 8K@30Hz 100W PD 5Gbps USB C and USB A Data Ports Gigabit Ethernet, SD/TF Card Reader USB Hub Compatible for HP, Dell</t>
  </si>
  <si>
    <t>HP Enhanced Business Paper, Glossy, 8.5x11 in, 40 lb, 150 sheets, works with laser printers (Q6611A)</t>
  </si>
  <si>
    <t>SanDisk Extreme Pro 32GB SDHC UHS-I Card (SDSDXXG-032G-GN4IN)</t>
  </si>
  <si>
    <t>Panasonic Genuine HHR-4DPA/4B AAA NiMH Rechargeable Batteries for DECT Cordless Phones, 4 Pack</t>
  </si>
  <si>
    <t>Accutime Kids Disney Minnie Mouse Pink Educational, Touchscreen Smart Watch Toy for Girls, Boys, Toddlers - Selfie Cam, Learning Games, Alarm, Calculator, Pedometer and More (Size: 40mm)</t>
  </si>
  <si>
    <t>ASURION 3 Year Lawn &amp; Garden Extended Protection Plan ($90 - $99.99)</t>
  </si>
  <si>
    <t>PopSockets Softgoods Phone Wallet with Expanding Grip and Adapter Ring for MagSafe, Phone Card Holder, Wireless Charging Compatible, Wallet Compatible with MagSafe® - Navy</t>
  </si>
  <si>
    <t>LISEN for Magsafe Car Charger Dashboard, 360° Rotatable Mag Safe Charger Car Mount iPhone 16 Pro Max, Ultra Magnetic Wireless Car Charger for Car Mount for iPhone 15 14 Pro Max, Black</t>
  </si>
  <si>
    <t>ASURION 2 Year Camera Protection Plan ($150 - $174.99)</t>
  </si>
  <si>
    <t>HP 320 FHD Webcam - USB-A Computer Camera with Mic &amp; Privacy Cover - for Desktop, Laptop, &amp; Chromebook - 1080p Resolution w/Wide FOV - Zoom &amp; Teams Compatible - Clip Mount, Tripod Support, &amp; Swivel</t>
  </si>
  <si>
    <t>BOYA BY-V20 Wireless Microphones for iPhone 15/16 Series, Android/Laptop with USB-C Port, 328ft Range, 9H Battery Life, Noise Reduction Mini Mic Clip on Lapel Microphone Wireless for Video Recroding</t>
  </si>
  <si>
    <t>PowerA GameCube Style Wired Controller for Nintendo Switch - Bowser</t>
  </si>
  <si>
    <t>Avery Printable Tri-Fold Brochures with Mailing Seals, 8.5" x 11", Matte White, 100 Blank Brochure Paper for Inkjet Printers (08324)</t>
  </si>
  <si>
    <t>ESR MagMouse Snap-to-Carry Bluetooth Mouse, Rechargeable Wireless Mouse for Laptop with Built-in Charging Cable, Reusable Adhesive Holder, BT 5.0 + 2.4 GHz Connectivity, Silent, Ergonomic, Black</t>
  </si>
  <si>
    <t>Pyle 6.5" Three-Way Sound Speaker System-180 W RMS/360W Power Handling w/4 Ohm Impedance and 3/4'' Piezo Tweeter for Car Component Stereo,Round Shaped Pro Full Range Triaxial Loud Audio -PL63BL,Blue</t>
  </si>
  <si>
    <t>Elgato XLR Cable – Shielded Microphone Cable for Studio Recording and Live Production, Gold-Plated Pins, Male to Female, for Mic and Balanced Analog Line Levels, 10ft/3m</t>
  </si>
  <si>
    <t>Canon PGI225/CLI226 Genuine Color Multi Pack, Compatible with iP4820, MG5220, MG5120, MG6120, MG8120, MX882, iX6520, iP4920, MG5320, MG6220, MG8220, and MX892 Printers</t>
  </si>
  <si>
    <t>ELEGOO Presoldered Nano Boards USB-C with Cable Compatible with Arduino IDE Microcontroller Mini Board ATmega+328P CH340 Chip</t>
  </si>
  <si>
    <t>VIVO Vertical VESA Extender Plate Bracket Kit Designed for Low VESA Pattern TV’s, Fits TV Ceiling Mounts, 2 Brackets, Black, MOUNT-AD165</t>
  </si>
  <si>
    <t>Presto 05450 DualDaddy Electric Deep Fryer, Black</t>
  </si>
  <si>
    <t>Holy Stone FAA Compliant Remote Identification broadcast Module Spare Parts for GPS Drones with Camera for Adults 4K, Remote ID broadcast Module Parts comply with US FAA Regulation; No worry about FAA</t>
  </si>
  <si>
    <t>Made for Amazon, Kids Portable Charger, for Fire Kids &amp; Kids Pro Tablets</t>
  </si>
  <si>
    <t>VIVO Steel Universal Bracket Pole Mount with Removable 75mm and 100mm VESA Plate, Fits up to 30 inch Screens, Black, MOUNT-POLE01</t>
  </si>
  <si>
    <t>ESR for iPad Pro 11 Inch Case (M4) 2024 5th Gen, Removable Magnetic Cover with Pencil Holder, Vertical Stand, Fully Supports Pencil Pro and Pencil (USB-C), Rebound 360 Series, Black</t>
  </si>
  <si>
    <t>BAGSMART 15.6 Inch Laptop Case, Lightweight Puffy Laptop Sleeve with Handle, Compatible with MacBook Air Pro 15 16 Inch M4 M3 M2 M1, Laptop Bag for Women Fitted with Dell,HP, Pink</t>
  </si>
  <si>
    <t>256GB PNY Elite-X Fit Type-C USB 3.2 Flash Drive – Up to 200MB/s Read, Up to 100MB/s Write, Advanced Performance, Convenient Portable Data Storage, Ultra Compact Fit Design, Type-C Connector</t>
  </si>
  <si>
    <t>EPOMAKER Sea Salt Silent Mechanical Keyboard Switches Set, 5-Pin Switch, Pre-Lubed Linear Switch with LED Slot, 35 Pieces for Mechanical Keyboard</t>
  </si>
  <si>
    <t>ROG NUC (2025) Gaming Mini PC with Intel® Core™ Ultra 9 (Series 2) ARL-HX CPU, NVIDIA® GeForce RTX™ 5070 Ti Mobile GPU, 32GB DDR5 RAM, 2TB NVMe SSD, Thunderbolt 4 Triple-Fan Cooling and ARGB Lighting</t>
  </si>
  <si>
    <t>Southwire MH8010 Wire Smart Hand Caddy for Spooled Wire</t>
  </si>
  <si>
    <t>Texas Instruments XXBT-KT-B Rechargeable Battery without Wire</t>
  </si>
  <si>
    <t>SanDisk Cruzer Glide 256GB USB 3.0 Flash Drive -SDCZ600-256G-G35</t>
  </si>
  <si>
    <t>[Older Version] SanDisk 64GB Extreme PRO SDXC UHS-I Card - C10, U3, V30, 4K UHD, SD Card - SDSDXXY-064G-GN4IN</t>
  </si>
  <si>
    <t>Texas Instruments TI15 TI-15 Explorer Elementary Calculator</t>
  </si>
  <si>
    <t>ASUS ROG Strix SCAR 16 (2025) Gaming Laptop, 16” ROG Nebula HDR 16:10 2.5K 240Hz/3ms, NVIDIA GeForce RTX 5090, Intel Core Ultra 9 275HX, 32GB DDR5, 2TB PCIe Gen 4 SSD, Wi-Fi 7, Win 11 Pro, G635LX-XS97</t>
  </si>
  <si>
    <t>Scosche MP2DVM MagicMount Pro2 Magnetic Cell Phone Holder, Adhesive Car Dashboard Mount with Removable Vent Clip, Hands-Free Phone Stand Compatible with MagSafe, iPhone 16/15/14/13/12 Series and More</t>
  </si>
  <si>
    <t>ASURION 2 Year Furniture Protection Plan ($1500 - $1999.99)</t>
  </si>
  <si>
    <t>Turtle Beach Recon 50 Xbox Gaming Headset - Xbox Series X, Xbox Series S, Xbox One, PS5, PS4, PlayStation, Mobile &amp; PC with 3.5mm - Removable Mic, 40mm Speaker, Red and Blue</t>
  </si>
  <si>
    <t>AT&amp;T Turbo Hotspot 3: 256 MB, Black - Prepaid Hotspot, Connects Up to 16 Devices, Dual Band Wi-Fi, Long Lasting Battery</t>
  </si>
  <si>
    <t>ZAGG Glass Elite Anti-Reflective Samsung Galaxy S25 Ultra Camera Lens Protector – Anti-Glare Technology, Maximum Impact &amp; Scratch Resistance, Smudge-Free Surface, Recycled Materials</t>
  </si>
  <si>
    <t>Satechi M1 Wireless Bluetooth Mouse, USB-C Rechargeable, Compact &amp; Portable, for Mac/Windows, Compatible with M4/M3/M2 MacBook, Pro, Air/iMac/iPad Pro, iPhone 16/15/14 &amp; More - Space Gray</t>
  </si>
  <si>
    <t>Avery Printable Note Cards with Envelopes, 4.25" x 5.5", White, 60 Blank Note Cards for Laser Printers (05315)</t>
  </si>
  <si>
    <t>Dell 65W USB C Laptop Charger,Latitude 5500 5501 5510 5511 5520 5521 5530 5531 5540 AC Adapter with 3ft Power Cord, Black, HA65NM190</t>
  </si>
  <si>
    <t>ZAGG InvisibleShield Glass XTR3 iPhone 15 Pro Max Screen Protector - Blue-Light Filtration, 10X Stronger, Edge-to-Edge Protection, Scratch &amp; Smudge-Resistant Surface, Easy to Install</t>
  </si>
  <si>
    <t>ASURION 4 Year Housewares Protection Plan ($250 - $299.99)</t>
  </si>
  <si>
    <t>ESR for iPad Air 13 Inch Case M3/M2 (2025/2024), iPad Pro 12.9 6th/5th/4th Gen, Powerful Magnetic Attachment, Slim Trifold Stand Case, Supports Pencil Pro &amp; Pencil (USB-C), Rebound Series, Black</t>
  </si>
  <si>
    <t>KODAK Ultra Max 400 135/36 – High-Performance 35mm Color Film</t>
  </si>
  <si>
    <t>MOSISO Compatible with MacBook Air 15 inch Case 2025 2024 2023 Release M4 A3241 M3 A3114 M2 A2941, Anti-Cracking&amp;Anti-Fingerprint Heavy Duty Hard Shell with TPU Bumper&amp;Keyboard Cover, Pink</t>
  </si>
  <si>
    <t>Mounting Dream UL Listed Full Motion Monitor Wall Mount TVs Bracket for 10-26 Inch LED, LCD Flat Screen TV and Monitor, TV Mount with Swivel Articulating Arm, Up to VESA 100x100mm and 33LBS MD2463</t>
  </si>
  <si>
    <t>E-Z Ink Compatible Ink Cartridge Replacement for Canon PGI-250XL PGI 250 XL to use with PIXMA MX922 MX722 MG5420 MG5520 MG5620 MG6320 MG6420 MG6620 MG7120 MG7520 iP8720 (Large Black) 4 Pack</t>
  </si>
  <si>
    <t>OtterBox Defender Series SCREENLESS Case Case for Galaxy S20 Ultra/Galaxy S20 Ultra 5G (ONLY - Not Compatible with Any Other Galaxy S20 Models) - Black</t>
  </si>
  <si>
    <t>E-Z Ink 202XL Ink Cartridges High Capacity Remanufactured for Epson 202 XL 202XL T202XL to Use with Expression Home XP-5100 Workforce WF-2860 Printer (1 Black 1 Cyan 1 Magenta 1 Yellow, 4 Pack)</t>
  </si>
  <si>
    <t>Acer SD 4.0 Card Reader, UHS-II Micro SD Reader USB C, Dual Slot Type C Memory Card Adapter with 100W PD Port for MicroSD SDXC SDHC UHS-II &amp; UHS-I for iPhone 15/16, Laptop, MacBook(Grey)</t>
  </si>
  <si>
    <t>Canon CLI-42 Genuine Black Ink Tank, Compatible with PIXMA PRO-100 Printers</t>
  </si>
  <si>
    <t>Oxford Cable Management Boxes, 3 Pack, Small, Medium, Large, 15 Cable Ties (Hook &amp; Loop, Silicone,Twist Ties), Power Strip Organizer, White (27800)</t>
  </si>
  <si>
    <t>Brother Printer LC71BK Standard Yield Black Ink</t>
  </si>
  <si>
    <t>SimpliSafe Panic Button - Built-in Silent Panic Feature - Compatible with SimpliSafe Home Security System - Latest Gen</t>
  </si>
  <si>
    <t>GE 4-Way HD Digital TV Antenna Amplifier, Low Noise Antenna Signal Booster, Clears Up Pixelated Low-Strength Channels, Supports Multiple HD Smart TVs, AC Adapter, Black, 34479</t>
  </si>
  <si>
    <t>Nite Ize Steelie Windshield Mount - Phone Holder for Car Windshield - Alternative to Car Dashboard &amp; Vent Phone Mounts - Compatible with Steelie Magnetic Mounting System - Black</t>
  </si>
  <si>
    <t>Samson B-Stock MD5 Desktop Microphone Stand</t>
  </si>
  <si>
    <t>Hyperkin HDTV Cable for PS1/PS2 – Retro Gaming HDMI Adapter for PlayStation 1 &amp; 2 (Phat &amp; Slim) – Plug &amp; Play Classic Games in 720p on Modern HDTVs – Clear Video &amp; Audio - Component Video Supported</t>
  </si>
  <si>
    <t>DYMO Authentic LW 1-Up File Folder Labels DYMO Labels for LabelWriter Label Printers White 9/16" x 3-7/16" 2 Rolls of 130 (260 Total)</t>
  </si>
  <si>
    <t>Anker 727 Charging Station (GaNPrime 100W), Compact Power Strip for Travel, Work, 5 ft Detachable Extension Cord with 2 Outlets and 4 USB Ports, for iPhone 14, Samsung, iPad, MacBook (Not a Battery)</t>
  </si>
  <si>
    <t>OtterBox iPhone 13 Pro Max &amp; iPhone 12 Pro Max Symmetry Series+ Case - Clear, Ultra-Sleek, Snaps to MagSafe, Raised Edges Protect Camera &amp; Screen</t>
  </si>
  <si>
    <t>ASURION 2 Year Furniture Protection Plan ($800 - $899.99)</t>
  </si>
  <si>
    <t>OtterBox Google Pixel 8 Pro Defender Series Case - Black, Rugged &amp; Durable, with Port Protection, Includes Holster Clip Kickstand</t>
  </si>
  <si>
    <t>GoPro Rechargeable Enduro Battery (MAX) - Official Accessory</t>
  </si>
  <si>
    <t>ASURION 2 Year Sporting Goods Protection Plan ($1500 - $1999.99)</t>
  </si>
  <si>
    <t>PGYTECH CapLock POV Action Camera Neck Mount for DJI OSMO Action 5 Pro/4/3, Adjustable Chest Strap and Hand Free Video Vlog Necklace Lanyard Holder for Gopro Hero 13/12/11/10, OSMO Pocket, Insta360</t>
  </si>
  <si>
    <t>ESR 2 Pack Screen Protector for iPad Pro 13 Inch M4 2024, Tempered Glass Film with Easy Application Tray, Scratch Resistant, HD Clarity</t>
  </si>
  <si>
    <t>UGREEN USB C to Ethernet Adapter, 10Gbps Data Port 6-in-1 Hub Ethernet with 2*USB-C 3.2, USB-A 3.2/2.0, Gigabit RJ45, Power Port (Only for Adapter), Type C to Network Dongle for Laptop, MacBook, XPS</t>
  </si>
  <si>
    <t>Canon CL-211 XL Genuine Color Ink Cartridge, Compatible with MX330, MP240/250/270/280/480/490/495, iP2702, MX340/350/320/410/420</t>
  </si>
  <si>
    <t>Holy Stone HS190 Foldable Mini Nano RC Drone for Kids Gift Portable Pocket Quadcopter with Altitude Hold 3D Flips and Headless Mode Easy to Fly for Beginners</t>
  </si>
  <si>
    <t>ASURION 3 Year Home Improvement Protection Plan ($1500 - $1999.99)</t>
  </si>
  <si>
    <t>ARRIS (SB6183-RB) Cable Modem - Fast DOCSIS 3.0 16x4 Gigabit Cable Modem, For Comcast Xfinity, Cox, Spectrum and more, 1 Gbps Port, 400 Mbps Max Internet Speed, 2 Year Warranty - Renewed</t>
  </si>
  <si>
    <t>ESR for iPad (A16) 11th/10th Generation Case(2025/2022,10.9 Inch), Convenient Magnetic Attachment, Two-Way Trifold Stand, Lightweight Protection, Auto Sleep/Wake, Rebound Series, Black</t>
  </si>
  <si>
    <t>USB to RS485 Converter Industrial Adapter Original FT232RL and SP485EEN Fast Communication Embedded Protection Circuits Resettable Fuse ESD Protection</t>
  </si>
  <si>
    <t>PopSockets PopGrip for MagSafe, Magnetic Phone Grip &amp; Stand, Swappable Top, Secure Grip for iPhone MagSafe Cases, Kickstand for Hands-Free Viewing, Wireless Charging Compatible - Translucent Black</t>
  </si>
  <si>
    <t>UGREEN Bidirectional USB C to DisplayPort 1.4 Cable 8K@60Hz 4K@240Hz DisplayPort to USB C Thunderbolt 4 Cord Alu Braided Compatible iPhone 16 Pro Max, Galaxy S25, MacBook Pro/Air, iPad, XPS 17, 6.6FT</t>
  </si>
  <si>
    <t>EPSON 802 DURABrite Ultra Ink Standard Capacity Yellow Cartridge (T802420-S) Works with WorkForce Pro WF-4720, WF-4730, WF-4734, WF-4740</t>
  </si>
  <si>
    <t>Hyperkin - DuchesS Wired Controller - Officially licensed Xbox S Controller for Xbox Series X|S, Xbox One, Windows 10|11, PC, with Audio Jack, Impulse Triggers, and Hall effect triggers. - Black</t>
  </si>
  <si>
    <t>FEELWORLD LUT7 7 Inch Ultra Bright 2200nit Touchscreen Camera DSLR Field Monitor with F970 6600mAh Battery, with 3D Lut Waveform Automatic Light Sensor 1920x1200 4K HDMI Input</t>
  </si>
  <si>
    <t>Belkin 37W Dual Port Fast Car Charger with 3.3ft USB-C Cable Included, USB-C 25W PPS Port and USB-A 12W Port for Galaxy S23, S23+, Ultra, Note20, iPhone 14, 13, 12, 11, Pro, Max, Mini and More</t>
  </si>
  <si>
    <t>ASURION 4 Year Tablet Accident Protection Plan ($200 - $249.99)</t>
  </si>
  <si>
    <t>ASURION 4 Year Housewares Protection Plan ($125 - $149.99)</t>
  </si>
  <si>
    <t>ASURION 2 Year Toy Accident Protection Plan ($250 - $299.99)</t>
  </si>
  <si>
    <t>Speck Products iPad (10th Gen - 2022) Stylefolio with Microban (Black/Slate Grey)</t>
  </si>
  <si>
    <t>DEWALT Heavy Duty 4-in-1 Cable, Type C/Micro USB/USB Cable for iPhone 16, iPhone 15, iPad Charger USB C, Huawei, HTC, LG, Samsung Galaxy, Android Smartphones, iPad Pro, Micro C Charging (6ft, Black)</t>
  </si>
  <si>
    <t>ASURION 3 Year Housewares Protection Plan ($350 - $399.99)</t>
  </si>
  <si>
    <t>Toshiba 500GB 2.5-inch SATA Laptop Hard Drive (5400rpm, 8MB Cache) MQ01ABD050, Mechanical Hard Disk</t>
  </si>
  <si>
    <t>ASURION 3 Year Musical Instrument Accident Protection Plan ($150 - $174.99)</t>
  </si>
  <si>
    <t>Uniden (BC20) Bearcat 20-Watt External Communications Speaker. Durable Rugged Design, Perfect for Amplifying Uniden Scanners, CB Radios, and Other Communications Receivers ,Black</t>
  </si>
  <si>
    <t>FEELWORLD F7 PRO 7 Inch Touch Screen DSLR Camera Field Monitor with F750 Battery and Bag 3D Lut HDR Waveform F970 External Power Install Kit 1920x1200 4K 60Hz HDMI in Out 8.4V Type-c Input</t>
  </si>
  <si>
    <t>FEELWORLD FVM215 21.5 Inch 1000nit High Bright Production Broadcast Studio Monitor with Waveform LUT 8 Bit Color Depth 4K60Hz HDMI 3G-SDI in and Out</t>
  </si>
  <si>
    <t>SanDisk ImageMate PRO USB-C Reader/Writer - SDDR-A631-GNGNN</t>
  </si>
  <si>
    <t>Panasonic RF-2400 AM/FM AC/DC Portable Radio</t>
  </si>
  <si>
    <t>SanDisk 32GB 2-Pack Outdoors FHD SDHC UHS-I Memory Card (2x32GB)- Up to 100MB/s, C10, Trail Camera SD Card - SDSDUNR-032G-GN6V2</t>
  </si>
  <si>
    <t>Lenovo Legion M410 Wireless RGB Gaming Mouse – 6 Button Palm Grip Mouse with 16,000 DPI, 53 Hour Rechargeable Battery, 2-Zone RGB Lighting, NVIDIA Reflex Compatible</t>
  </si>
  <si>
    <t>OtterBox iPhone 15 Plus and iPhone 14 Plus Symmetry Series Clear Case - (Clear), Snaps to MagSafe, Ultra-Sleek, Raised Edges Protect Camera &amp; Screen</t>
  </si>
  <si>
    <t>ASURION 3 Year Floorcare Extended Protection Plan ($90 - $99.99)</t>
  </si>
  <si>
    <t>OtterBox iPhone 13 Pro (ONLY) Defender Series Case - Fort Blue, Rugged &amp; Durable, with Port Protection, Includes Holster Clip Kickstand</t>
  </si>
  <si>
    <t>Pelican 1010 Micro Case (Black/Clear)</t>
  </si>
  <si>
    <t>Kensington Hi-Fi On-Ear Headphones with 9-Foot Cord, 3.5mm Jack Headset (K33137)</t>
  </si>
  <si>
    <t>GE 6-Outlet Power Strip, 12 Ft Extension Cord, Flat Plug, Grounded, Integrated Circuit Breaker, 3-Prong, Wall Mount, ETL Listed, Black, 45192</t>
  </si>
  <si>
    <t>STEALTH CAM Anti-Shock Dust-Proof Waterproof Protective Ergonomic Rubber Sealed ABS-Plasic Shell Memory Card Storage Case - Holds 12 SD &amp; 12 MicroSD Cards</t>
  </si>
  <si>
    <t>Neewer Dual USB Charger for Sony NP-FZ100 Battery, Compatible with Sony ZV-E1, FX3, FX30, A1, A9 II, A7R V, A7S III, A7 IV, A6600, A7C Cameras, Designed with LCD Display, Versatile Charging Options</t>
  </si>
  <si>
    <t>LISEN Gooseneck Phone Holder for Bed, MagSafe Stand for iPhone 16, Flexible Magnetic Adjustable Cell Phone Stand Compatible With iPhone 16 Pro 15 14 iPad</t>
  </si>
  <si>
    <t>Sennheiser Genuine Adapter Cable Female 1/4" 6.3mm to Male 1/8" 3.5mm Plug for Headphones</t>
  </si>
  <si>
    <t>E-Z Ink 48A CF248A Compatible Toner Cartridges Replacement for HP 48A Toner Cartridge Black CF248A to use with Pro M29w M15w MFP M28w M28a M29a M30w M31w M15a M16a M16w Printer (Black, 2 Pack)</t>
  </si>
  <si>
    <t>Avery Customizable Name Badges, Pin Style, 3" x 4", Clear Name Tag Holders, White Laser/Inkjet Printable Inserts, 100 Total (74540)</t>
  </si>
  <si>
    <t>Nanit Travel Case – Protective Hard Shell Carrying Case for Nanit Pro Baby Monitor and Multi-Stand Travel Accessory, Blue</t>
  </si>
  <si>
    <t>Crucial 16GB kit (8GBx2), 204-pin SODIMM, DDR3 PC3-12800,</t>
  </si>
  <si>
    <t>OtterBox iPhone Xs AND iPhone X Commuter Series Case - BLACK, Slim &amp; Tough, Pocket-Friendly, with Port Protection</t>
  </si>
  <si>
    <t>ARCTIC MX-4 (20 g) - Premium Performance Thermal Paste for All Processors (CPU, GPU - PC), Very high Thermal Conductivity, Long Durability, Safe Application, Non-Conductive</t>
  </si>
  <si>
    <t>OtterBox iPhone XR Symmetry Series Case - Black, Ultra-Sleek, Wireless Charging Compatible, Raised Edges Protect Camera &amp; Screen</t>
  </si>
  <si>
    <t>BAGSMART 15.6-16 inch Laptop Computer Case with Strap,Shockproof Waterproof Laptop Bag with Sturdy Handle,Carrying Laptop Sleeve for 15" Dell,HP,MacBook Pros，Black</t>
  </si>
  <si>
    <t>OtterBox Sleek Tracker Case for Apple AirTag - Black</t>
  </si>
  <si>
    <t>Energizer EN22 Industrial Alkaline Batteries, 9V (Box of 12)</t>
  </si>
  <si>
    <t>OtterBox Google Pixel 7A Commuter Series Case - Black, Slim &amp; Tough, Pocket-Friendly, with Port Protection</t>
  </si>
  <si>
    <t>Logitech Pebble Wireless Mouse with Bluetooth or 2.4 GHz Receiver, Silent, Slim Computer Mouse with Quiet Clicks, for Laptop/Notebook/iPad/PC/Mac/Chromebook - Graphite</t>
  </si>
  <si>
    <t>E-Z Ink Compatible Ink Cartridge Replacement for Brother LC75 LC71 LC79 XL to Use with MFC-J6510DW MFC-J6710DW MFC-J6910DW MFC-J280W MFC-J425W (5 Black, 3 Cyan, 3 Magenta, 3 Yellow) 14 Pack</t>
  </si>
  <si>
    <t>Shure C25J 25-foot Hi-Flex Cable with Chrome XLR Connectors, Black</t>
  </si>
  <si>
    <t>Amazon Basics Aluminum Portable Foldable Laptop Support Stand for Laptops up to 13", Black</t>
  </si>
  <si>
    <t>PNY 128GB Duo Link iOS USB 3.2 Dual Flash Drive</t>
  </si>
  <si>
    <t>TP-Link PCIe WiFi Card AC600 for Desktop PC, Dual Band Wireless Internal Network Card(Archer T2E) High-Gain Antenna, MU-MIMO, WPA3, Low Profile, Supports Windows 10/11</t>
  </si>
  <si>
    <t>Dell Original Replacement AC adapter 65W 4.5mm Tip New Genuine OEM for Dell Inspiron 5551, Inspiron 5555, Inspiron 5558, Inspiron 5755, Inspiron 5758, Inspiron 7348, Inspiron 7558.</t>
  </si>
  <si>
    <t>Insta360 X5 Mic Adapter</t>
  </si>
  <si>
    <t>SAMSUNG Headphones 3.5mm Stereo Earphones with Remote and Mic - Original OEM - Non-Retail Packaging with Pouch - White</t>
  </si>
  <si>
    <t>Belkin SoundForm Inspire Wired Over-Ear Headset for Kids, Online Learning &amp; Travel w/Built-in Boom Mic, 85dB Safe Volume Limit - USB-C &amp; 3.5mm - Compatible w/iPhone, iPad, Galaxy &amp; More - Lavender</t>
  </si>
  <si>
    <t>Hoover ONEPWR Lithium-Ion Battery Charger, Battery Charger for Hoover ONEPWR Products, Temperature Control, Rapid Charge Technology, Flashing Indicator Lights, Tool and Vacuum Power</t>
  </si>
  <si>
    <t>HP 910 Cyan, Magenta, Yellow Ink Cartridges | Works with HP OfficeJet 8010, 8020 Series, HP OfficeJet Pro 8020, 8030 Series | Eligible for Instant Ink | 3YN97AN, 3 Count (Pack of 1)</t>
  </si>
  <si>
    <t>Amazon Basics 8-Sheet Cross Cut Paper Shredder and Credit Card Shredder - Black</t>
  </si>
  <si>
    <t>HP 63 Black Ink Cartridge for HP Printers | Works with Printer Series: DeskJet 1112, 2130, 3630; ENVY 4510, 4520; OfficeJet 3830, 4650, 5200 | Eligible for Instant Ink | F6U62AN</t>
  </si>
  <si>
    <t>ASURION 3 Year Lawn &amp; Garden Extended Protection Plan ($60 - $69.99)</t>
  </si>
  <si>
    <t>Scotch Heavy Duty Shipping Packing Tape, Clear, Shipping and Packaging Supplies, 1.88 in. x 54.6 yd., 6 Tape Rolls</t>
  </si>
  <si>
    <t>Energizer Ultimate Lithium AA Batteries (8 Pack), 1.5V Lithium Double A Batteries</t>
  </si>
  <si>
    <t>Amazon Basics 24 Count AA &amp; AAA High-Performance Alkaline Batteries Value Pack - 12 Double AA Batteries and 12 Triple AAA Batteries</t>
  </si>
  <si>
    <t>Amazon Basics 12-Pack C Cell Alkaline All-Purpose Batteries, 1.5 Volt, 5-Year Shelf Life</t>
  </si>
  <si>
    <t>Amazon Basics Wide Ruled Lined Writing Note Pads, 8.5 inch x 11.75 inch, White, 12 Count (12 Pack of 50)</t>
  </si>
  <si>
    <t>BIC Round Stic Xtra Life Ballpoint Pen, Ultra Long Lasting and Consistent Ink Flow, 60-Count in Black Ink</t>
  </si>
  <si>
    <t>ASURION 3 Year Headphones Protection Plan ($40 - $49.99)</t>
  </si>
  <si>
    <t>ASURION 3 Year Portable Electronic Accident Protection Plan ($40 - $49.99)</t>
  </si>
  <si>
    <t>Energizer 2032 Batteries (6 Pack), 3V Lithium Coin Batteries</t>
  </si>
  <si>
    <t>Duracell - CopperTop AA Alkaline Batteries - Long Lasting, All-Purpose Double A Battery for Household and Business, 4 Batteries, Power Remotes, Toys, and More, Reliable and Trustworthy</t>
  </si>
  <si>
    <t>DJI Mini 3 Fly More Combo (DJI RC), Drones with Camera for Adults 4K, 3 Batteries for 114-min Flight Time, Vertical Shooting, 32800ft (10km) Video Transmission, Lightweight Mini Drone for Beginners</t>
  </si>
  <si>
    <t>Apple iPad mini (A17 Pro): Apple Intelligence, 8.3-inch Liquid Retina Display, 128GB, Wi-Fi 6E, 12MP Front/12MP Back Camera, Touch ID, All-Day Battery Life — Space Gray</t>
  </si>
  <si>
    <t>SAMSUNG T9 Portable SSD 4TB, USB 3.2 Gen 2x2 External Solid State Drive, Seq. Read Speeds Up to 2,000MB/s for Gaming, Students and Professionals,MU-PG4T0B/AM, Black (pack of 1)</t>
  </si>
  <si>
    <t>HP Stream 14" HD BrightView Laptop, Intel Celeron N4120, 16GB RAM, 288GB Storage (128GB eMMC + 160GB Docking Station Set), Intel UHD Graphics, 720p Webcam, Wi-Fi, 1 Year Office 365, Win 11 S, Silver</t>
  </si>
  <si>
    <t>Dell 27 Plus 4K Monitor - S2725QS - 27-inch 4K (3840 x 2160) 120Hz 16:9 Display, IPS Panel, AMD FreeSync Premium, sRGB 99%, Integrated Speakers, 1500:1 Contrast Ratio, Comfortview Plus - Ash White</t>
  </si>
  <si>
    <t>Bose TV Speaker - Soundbar for TV with Bluetooth and HDMI-ARC Connectivity, Black, Includes Remote Control</t>
  </si>
  <si>
    <t>CyberPower CP1500AVRLCD3 Intelligent LCD UPS System, 1500VA/900W, 12 Outlets, 2 USB Ports, AVR, Mini Tower, Black</t>
  </si>
  <si>
    <t>WD_BLACK 2TB SN850X NVMe Internal Gaming SSD Solid State Drive - Gen4 PCIe, M.2 2280, Up to 7,300 MB/s - WDS200T2X0E</t>
  </si>
  <si>
    <t>MSI Gaming GeForce RTX 3060 12GB 15 Gbps GDRR6 192-Bit HDMI/DP PCIe 4 Torx Twin Fan Ampere OC Graphics Card</t>
  </si>
  <si>
    <t>Ubiquiti Networks UniFi 7 Pro | WiFi 7 Access Point | US Model | PoE+ Adapter not Included (U7-Pro-US)</t>
  </si>
  <si>
    <t>Garmin Forerunner 165, Running Smartwatch, Colorful AMOLED Display, Training Metrics and Recovery Insights, Black</t>
  </si>
  <si>
    <t>Apple iPhone 11, 64GB, Black - Unlocked (Renewed)</t>
  </si>
  <si>
    <t>ASURION 3 Year Home Improvement Protection Plan ($2000 - $2999.99)</t>
  </si>
  <si>
    <t>HP OfficeJet Pro 8139e Wireless All-in-One Color Inkjet Printer, Print, scan, Copy, fax, ADF, Duplex Printing Best-for-Home Office, 1 Year Instant Ink Trial Included</t>
  </si>
  <si>
    <t>HP USB-C Dock G5-11-in-1 Adapter for Both USB-C and Thunderbolt-Enabled Laptops, PCs, &amp; Notebooks - Single Cable for Charging, Networking, or Data Transfers - Great for Secure &amp; Remote Management</t>
  </si>
  <si>
    <t>Sonos Era 100 - Black - Wireless, Alexa Enabled Smart Speaker</t>
  </si>
  <si>
    <t>KODAK PIXPRO FZ55-RD 16MP Digital Camera 5X Optical Zoom 28mm Wide Angle 1080P Full HD Video 2.7" LCD Vlogging Camera (Red) Packaging May Vary</t>
  </si>
  <si>
    <t>SHOKZ OpenRun - Open-Ear Bluetooth Bone Conduction Sport Headphones, Sweat Resistant Wireless Earphones for Workouts and Running, Built-in Mic, with Hair Band, Black</t>
  </si>
  <si>
    <t>Lenovo IdeaPad 3i Chromebook, 15.6” FHD Display, Intel Celeron N4500, 8GB RAM, 64GB eMMC, 1920x1080 px, 720p Camera, Chrome OS, Abyss Blue</t>
  </si>
  <si>
    <t>Dell Universal Dock UD22 Black</t>
  </si>
  <si>
    <t>HP 26A Black Toner Cartridge | Works with HP LaserJet Pro M402 Series, HP LaserJet Pro MFP M426 Series | CF226A</t>
  </si>
  <si>
    <t>Sony WF-1000XM5 The Best Truly Wireless Bluetooth Noise Canceling Earbuds &amp; in-Ear Headphones with Alexa Built-in, Black</t>
  </si>
  <si>
    <t>Apple TV 4K Wi-Fi (3rd Generation) with Siri Remote &amp; Apple 1 Year Limited Warranty (64 GB Wi Fi)</t>
  </si>
  <si>
    <t>HP 206X Cyan High-yield Toner Cartridge | Works with HP Color LaserJet Pro M255, HP Color LaserJet Pro MFP M282, M283 Series | W2111X</t>
  </si>
  <si>
    <t>Seagate BarraCuda 8 TB Internal Hard Drive HDD – 3.5 Inch SATA 6 Gb/s, 5,400 RPM, 256 MB Cache for Computer Desktop PC (ST8000DMZ04/004)</t>
  </si>
  <si>
    <t>Apple Magic Keyboard with Touch ID and Numeric Keypad for Mac Models with Apple Silicon - US English - Black Keys</t>
  </si>
  <si>
    <t>ASURION 2 Year Electronics Protection Plan ($400 - $449.99)</t>
  </si>
  <si>
    <t>Amazon Basics IPS Monitor 75 Hz Powered with AOC Technology FHD 1080P HDMI, Display Port and VGA Input VESA Compatible Built-in Speakers for Office and Home, 27 in, Black</t>
  </si>
  <si>
    <t>Apple Magic Trackpad - White Multi-Touch Surface ​​​​​​​</t>
  </si>
  <si>
    <t>Texas Instruments TI-84 Plus Graphics Calculator, Black (Renewed)</t>
  </si>
  <si>
    <t>Logitech Brio 4K Webcam</t>
  </si>
  <si>
    <t>Apple iPad (2018 Model) with Wi-Fi only 32GB Apple 9.7in iPad - Space Gray (Renewed)</t>
  </si>
  <si>
    <t>NETGEAR Nighthawk 6-Stream Dual-Band WiFi 6 Router (RAX54S) – Security Features, AX5400 Wireless Speed, Up to 5.4 Gbps, Covers up to 2,500 sq. ft., 25 Devices - 1-Year Armor Subscription Included</t>
  </si>
  <si>
    <t>Logitech Wave Keys MK670 Combo, Wireless Ergonomic Keyboard with Signature M550 L Wireless Mouse, Comfortable Natural Typing, Bluetooth, Logi Bolt, for Multi-OS, Windows/Mac - Graphite</t>
  </si>
  <si>
    <t>ARCTIC Liquid Freezer III Pro 360 - AIO CPU Cooler, 3 x 120 mm Water Cooling, 38 mm Radiator, PWM Pump, VRM Fan, AMD AM5/AM4, Intel LGA1851/1700 Contact Frame - Black</t>
  </si>
  <si>
    <t>Crucial 32GB DDR5 RAM Kit (2x16GB), 5600MHz (or 5200MHz or 4800MHz) Laptop Memory 262-Pin SODIMM, Compatible with Intel Core and AMD Ryzen 7000, Black - CT2K16G56C46S5</t>
  </si>
  <si>
    <t>CORSAIR RM1000x Fully Modular Low-Noise ATX Power Supply – ATX 3.1 Compliant – PCIe 5.1 Support – Cybenetics Gold Efficiency – Native 12V-2x6 Connector – Black</t>
  </si>
  <si>
    <t>ASURION 3 Year Furniture Protection Plan ($350 - $399.99)</t>
  </si>
  <si>
    <t>ASURION 3 Year Wearables Protection Plan ($125 - $149.99)</t>
  </si>
  <si>
    <t>Logitech MX Vertical Wireless Mouse – Ergonomic Design Reduces Muscle Strain, Move Content Between 3 Windows and Apple Computers, Rechargeable, Graphite</t>
  </si>
  <si>
    <t>HP 206X Magenta High-yield Toner Cartridge | Works with HP Color LaserJet Pro M255, HP Color LaserJet Pro MFP M282, M283 Series | W2113X</t>
  </si>
  <si>
    <t>Apple Magic Keyboard with Numeric Keypad: Wireless, Bluetooth, Rechargeable. Works with Mac, iPad, or iPhone; US English - White</t>
  </si>
  <si>
    <t>Elgato HD60 X - Stream and Record in 1080p60 HDR10 or 4K30 with Ultra-low Latency on PS5|Pro, PS4|Pro, Xbox Series X/S, Xbox One X|S, Nintendo Switch 2, in OBS and More, Works with PC and Mac</t>
  </si>
  <si>
    <t>HP Envy 6155e Wireless All-in-One Color Inkjet Printer, Print, scan, Copy, Duplex Printing Best-for-Home, 3 month Instant Ink trial included (714L5A)</t>
  </si>
  <si>
    <t>Baseus Docking Station, Spacemate(Win) 11 in 1, Triple Display, 4K HDMI and DP, 10Gbps USB A/C Ports, Gigabit Ethernet, 100W PD, Audio, Laptop Docking Station for Windows/Dell/HP/Lenovo/Asus/Acer/Mac</t>
  </si>
  <si>
    <t>Skullcandy Crusher ANC 2 Wireless Over-Ear Bluetooth Headphones with Multi-Sensory Bass and Charging Cable, Active Noise Cancelling, Up to 60 Hours Battery, Microphone for iPhone Android - True Black</t>
  </si>
  <si>
    <t>Apple iPad (10.2-inch, Wi-Fi, 128GB, 8th Generation)- Space Gray (Renewed)</t>
  </si>
  <si>
    <t>Logitech MX Keys S Combo - Performance Wireless Keyboard and Mouse with Palm Rest, Customizable Illumination, Fast Scrolling, Bluetooth, USB C, for Windows, Linux, Chrome, Mac</t>
  </si>
  <si>
    <t>JBL Tune Buds - True wireless Noise Cancelling earbuds, JBL Pure Bass Sound, Bluetooth 5.3, 4-Mic technology for Crisp, Clear Calls, Up to 48 hours of battery life, Water and dust resistant (Black)</t>
  </si>
  <si>
    <t>HP 218A Black Toner Cartridge | Works with Color Laserjet Pro 3201, MFP 3301 Series | W2180A</t>
  </si>
  <si>
    <t>DJI Osmo Mobile 7 Gimbal Stabilizer for iPhone, Android, Built-in Tripod, Portable Stabilizer for iPhone, Selfie Stick, 3-Axis Phone Gimbal, ActiveTrack 7.0, One-Tap Edit, 10hrs Use, Phone Charging</t>
  </si>
  <si>
    <t>HP DeskJet 4227e Wireless All-in-One Color Inkjet Printer, Scanner, Copier, Best-for-Home, 3 Months of Instant Ink Trial Included (6W7F0A)</t>
  </si>
  <si>
    <t>AMD Ryzen 5 5500 6-Core, 12-Thread Unlocked Desktop Processor with Wraith Stealth Cooler</t>
  </si>
  <si>
    <t>ASURION 2 Year Mobile Phone Accident Protection Plan ($1000 - $1249.99)</t>
  </si>
  <si>
    <t>NETGEAR Nighthawk Dual-Band WiFi 7 Router (RS90) – Security Features, BE3600 Wireless Speed (up to 3.6 Gbps) - Covers up to 2,000 sq. ft., 50 Devices – 2.5 Gig Internet Port - Free Expert Help</t>
  </si>
  <si>
    <t>Brother Genuine High Yield Toner Cartridge, TN850, Replacement Black Toner, Page Yield Up To 8, 000 Pages, Amazon Dash Replenishment Cartridge</t>
  </si>
  <si>
    <t>MSI MAG A750GL PCIE 5.1 &amp; ATX 3.1 Gaming Power Supply - Full Modular - 80 Plus Gold Certified 750W - Compact Size - ATX PSU - 10 Year Warranty</t>
  </si>
  <si>
    <t>SAMSUNG Galaxy Buds 3 Pro AI True Wireless Bluetooth Earbuds, Noise Cancelling, Sound Optimization, Real-Time Interpreter, Redesigned Comfort Fit Latin American Version (Silver)</t>
  </si>
  <si>
    <t>SanDisk 2TB Portable SSD - Up to 800MB/s, USB-C, USB 3.2 Gen 2, Updated Firmware - External Solid State Drive - SDSSDE30-2T00-G26</t>
  </si>
  <si>
    <t>Arlo Essential Security Camera 2K | Outdoor-Indoor | 2nd Gen | Wireless with Spotlight, 2-Way Audio, Color Night Vision, Live Stream, Motion Activation, Real Time Notifications - White, 2 Camera</t>
  </si>
  <si>
    <t>Amazfit Helio Strap Fitness Tracker Wristband, 24/7 Activity &amp; Sleep Tracker with Heart Rate, 10 Days Battery, 27 Sports Modes, Strength Training, Hyrox Race, Subscription Free for Android &amp; iPhone</t>
  </si>
  <si>
    <t>Apple AirPods Pro - 1st Gen (Renewed)</t>
  </si>
  <si>
    <t>ASURION 2 Year Appliance Protection Plan ($150 - $174.99)</t>
  </si>
  <si>
    <t>Canon Genuine Ink PG-240 XL / CL-241 XL Value Pack (2 Cartridges), Compatible with MG2120/3120/4120/2220/3220/4220/3520/3620, MX372/392/432/452/472/512/522/532, TS5120</t>
  </si>
  <si>
    <t>HP LaserJet M110w Wireless Black &amp; White Printer, Print, Fast speeds, Easy setup, Mobile printing, Best for small teams</t>
  </si>
  <si>
    <t>CORSAIR VOID RGB ELITE Wireless Gaming Headset – 7.1 Surround Sound – Omni-Directional Microphone – Microfiber Mesh Earpads – Up to 40ft Range – iCUE Compatible – PC, Mac, PS5, PS4 – Carbon</t>
  </si>
  <si>
    <t>Ultimate Ears WONDERBOOM 4 Waterproof Bluetooth Outdoor Speakers with Big Bass &amp; 360-Degree Sound, Dustproof Floating Wireless Speaker, 131ft Range - Black</t>
  </si>
  <si>
    <t>Kodak Mini 2 Retro 4PASS Portable Photo Printer, 2.1x3.4 inches, 38 Sheets Bundle, White</t>
  </si>
  <si>
    <t>Acer Nitro KG241Y Sbiip 23.8” Full HD (1920 x 1080) VA Gaming Monitor | AMD FreeSync Premium Technology | 165Hz Refresh Rate | 1ms (VRB) | ZeroFrame Design | 1 x Display Port 1.2 &amp; 2 x HDMI 2.0,Black</t>
  </si>
  <si>
    <t>Beats Studio Buds - True Wireless Noise Cancelling Earbuds - Compatible with Apple &amp; Android, Built-in Microphone, IPX4 Rating, Sweat Resistant Earphones, Class 1 Bluetooth Headphones - Black</t>
  </si>
  <si>
    <t>HyperX Cloud Alpha - Gaming Headset, Dual Chamber Drivers, Legendary Comfort, Aluminum Frame, Detachable Microphone, Works on PC, PS4, PS5, Xbox One/ Series X|S, Nintendo Switch and Mobile – Red</t>
  </si>
  <si>
    <t>Soundcore by Anker, Space One, Active Noise Cancelling Headphones, 2X Stronger Voice Reduction, 40H ANC Playtime, App Control, LDAC Hi-Res Wireless Audio, Comfortable Fit, Clear Calls, Bluetooth 5.3</t>
  </si>
  <si>
    <t>ASURION 2 Year Headphones Protection Plan ($250 - $299.99)</t>
  </si>
  <si>
    <t>HP 950XL Black High-yield Ink Cartridge for HP Printers | Works with Printer Series: OfficeJet 8600, OfficeJet Pro 251dw, 276dw, 8100, 8610, 8620, 8630 | Eligible for Instant Ink | CN045AN</t>
  </si>
  <si>
    <t>Belkin Portable Charger, Power Bank 10000 mAh, 23W w/Integrated Lightning Cable &amp; USB-C Cable - iPhone Charger Battery Pack for Apple iPhone 16, 15, 14, Galaxy S25, Pixel 9, Travel Essentials - Black</t>
  </si>
  <si>
    <t>TP-Link 𝗧𝗮𝗽𝗼 SolarCam C402 Kit, Outdoor Battery Camera w/Solar Panel Base, Wireless, 1080P, Free Person/Vehicle Detection, SD/Cloud Storage, Color Night Vision, No Hub Needed, Works w/Alexa</t>
  </si>
  <si>
    <t>Polaroid Color 600 Film Triple Pack, 24 Photos (6273)</t>
  </si>
  <si>
    <t>Avery Flexible Printable Name Tags, 2-1/3" x 3-3/8", Matte White, 400 Removable Name Badges for Laser and Inkjet Printers (5395)</t>
  </si>
  <si>
    <t>Wacom Intuos Small Bluetooth Graphics Drawing Tablet, Portable for Teachers, Students and Creators, 4 Customizable ExpressKeys, Compatible with Chromebook Mac OS Android and Windows - Pistachio</t>
  </si>
  <si>
    <t>SAMSUNG Galaxy FIT 3 [2024] 1.6" AMOLED Display | 14 Days Battery Life | 100+ Watchfaces | 100+ Exercise Modes | International Model - (Black)</t>
  </si>
  <si>
    <t>Pioneer F-Series TS-F1634R 6.5” 2-Way Speakers (Pair) – 200W Max, Balanced Sound + Smooth Treble, Great Stock Replacement, High-Efficiency Speaker Designed for OEM Power</t>
  </si>
  <si>
    <t>Lenovo Laptop Charger 65W Watt USB Type C(USB-C) AC Power Adapter - ThinkPad T14 T15 E14 E15 X1Carbon X13 2023</t>
  </si>
  <si>
    <t>Tapo TP-Link 2K Pan/Tilt Indoor Security Camera for Baby Monitor, Pet Camera, Motion Detection &amp; Tracking, 2-Way Audio, Cloud &amp; SD Card Storage, Works w/Alexa &amp; Google Home, Black, C211(2-Pack)</t>
  </si>
  <si>
    <t>Brother P-Touch, PTH110BP, Easy Portable Label Maker Bundle (4 Label Tapes Included), White, Small</t>
  </si>
  <si>
    <t>Braun Shaver Head Replacement Part 94M Silver, Compatible with Series 9 Pro and Series 9 Electric Razors for Men</t>
  </si>
  <si>
    <t>Creative Pebble V3 Minimalistic 2.0 Desktop Speakers With USB-C Audio, Clear Dialog Enhancement, Bluetooth 5.0, 8W RMS, 16W Peak Power, USB-A Converter (Black)</t>
  </si>
  <si>
    <t>EPSON 822 DURABrite Ultra Ink Standard Capacity Color Cartridge Combo Pack (T822520-S) Works with WorkForce Pro WF-3820, WF-3823, WF-4820, WF-4830, WF-4833, WF-4834</t>
  </si>
  <si>
    <t>TP-Link RE615X AX1800 WiFi 6 Range Extender w/Ethernet Port | 1.8G Dual-Band Wireless Repeater Amplifier | Up to 2100 Sq. Ft., 64 Devices | Internet Signal Booster | APP Setup | EasyMesh Compatible</t>
  </si>
  <si>
    <t>SANUS Speaker Stands Pair - Adjustable Height Speaker Stands for Satellite &amp; Bookshelf Speakers up to 3.5lbs - Tool-Free Adjustment &amp; Easy DIY Assembly</t>
  </si>
  <si>
    <t>Mounting Dream UL Listed TV Wall Mount for Most 42-84 Inch TV, Full Motion TV Mount with Swivel and Tilt, TV Bracket with Articulating Dual Arms, Fits 16inch Studs, Max VESA 600X400 mm, 100 lbs,MD2617</t>
  </si>
  <si>
    <t>Brother High-yield Color Printer Ink Cartridges LC3013 3-Pack for Work Smart Series - Professional Grade Ink for MFC-J491DW, J497DW, J690DW, J895DW - Up to 400 Pages per Cartridge</t>
  </si>
  <si>
    <t>Fujifilm Instax Mini Instant Camera Film for Mini Instant Cameras - Capture Memories Anytime, Anywhere with Sunshine Photo Microfiber Cleaning Cloth... (5 Pack (Total 50 Shoots))</t>
  </si>
  <si>
    <t>Beats Flex Wireless Earbuds - Apple W1 Headphone Chip, Magnetic Earphones, Class 1 Bluetooth, 12 Hours of Listening Time, Built-in Microphone - Smoke Gray</t>
  </si>
  <si>
    <t>Philips Over Ear Wired Stereo Headphones for Podcasts, Studio Monitoring and Recording Headset for Computer, Keyboard and Guitar with 6.3 mm (1/4") Add On Adapter</t>
  </si>
  <si>
    <t>Sony DVPSR510H DVD Player, with HDMI port (Upscaling)</t>
  </si>
  <si>
    <t>THE NORTH FACE Women's Vault Everyday Laptop Backpack | Commuter Travel Bag with Water-Repellent Finish, Spacious Main Compartment, TNF Black-NPF, One Size</t>
  </si>
  <si>
    <t>Amazon Basics 24-Pack Rechargeable AA NiMH High-Capacity Batteries, 2400 mAh, 1.2V, Recharge up to 400x Times, Pre-Charged</t>
  </si>
  <si>
    <t>SABRENT USB 3.2 Type-C Tool-Free Enclosure for M.2 PCIe NVMe and SATA SSDs (EC-SNVE)</t>
  </si>
  <si>
    <t>UGREEN HDMI Switch 5 in 1 Out 4K@60Hz, HDMI Splitter with Remote 5 Port Switcher Selector Box Support 3D CEC HDR HDCP2.2 Compatible with PS5/4/3 Xbox Nintendo Switch Roku TV Fire Stick Black</t>
  </si>
  <si>
    <t>Apple Wireless Charging Case for AirPods</t>
  </si>
  <si>
    <t>Amazon Basics Expanding File Folder Organizer with Pockets, Letter Size, 3.5-Inch Expansion, 25-Pack, 9.5 x 11.75 Inches, Brown</t>
  </si>
  <si>
    <t>Avery Half-Sheet Printable Shipping Labels, 5.5" x 8.5" Customizable Stickers, White, 200 Blank Mailing Labels, Great for Mailing, Shipping, Organizing, and More (5126)</t>
  </si>
  <si>
    <t>Amazon Basics Single Computer Monitor Stand with Tilt and Rotation, Height Adjustable VESA Desk Arm Mount, Steel, 30 inches, Black</t>
  </si>
  <si>
    <t>Epson 232 Claria Ink Standard Capacity Color Combo Pack (T232520-S) Works with Workforce WF-2930, WF-2950, Expression XP-4200, XP-4205</t>
  </si>
  <si>
    <t>TP-Link WiFi 6 AX3000 PCIe WiFi Card (Archer TX3000E), Up to 2400Mbps, Bluetooth 5.3, 802.11AX Dual Band Wireless Adapter with MU-MIMO, OFDMA, Ultra-Low Latency, Supports Windows 11, 10 (64bit)</t>
  </si>
  <si>
    <t>SureFire SF12-BB Boxed Batteries, (12 Pack)</t>
  </si>
  <si>
    <t>Kodak 6033963 Gold 200 135/24 Film (Pack of 2)</t>
  </si>
  <si>
    <t>Apple Pencil (1st Generation): Device Compatibility Check Required - Pixel-Perfect Precision and Industry-Leading Low Latency, Perfect for Note-Taking, Drawing, and Signing documents.</t>
  </si>
  <si>
    <t>Canon PG-260 Genuine Black Ink Cartridge, Compatible with TS5320/6420/6420a,TR7020/7020a</t>
  </si>
  <si>
    <t>Razer Basilisk V3 X HyperSpeed Customizable Wireless Gaming Mouse: Mechanical Switches Gen-2-5G Advanced 18K Optical Sensor - Chroma RGB 9 Programmable Controls 535 Hr Battery Classic Black</t>
  </si>
  <si>
    <t>Roku Streaming Stick 4K - HDR &amp; D. Vision Roku Streaming Device for TV with Voice Remote &amp; Long-Range Wi-Fi - Free &amp; Live TV (Renewed)</t>
  </si>
  <si>
    <t>Duracell Ion Speed 1000 Charger for Rechargeable AA and AAA Batteries, Includes 6 AA and 2 AAA Pre-Charged Batteries for Household and Business</t>
  </si>
  <si>
    <t>Tile by Life360 Pro - Powerful Bluetooth Tracker, Key Finder and Item Locator for Keys, Bags and More. Both iOS and Android Compatible. Phone Finder. 1-Pack (Black)</t>
  </si>
  <si>
    <t>Anker Charger, 60W 6 Port USB Charging Station, PowerPort 6 Multi USB Charger for iPhone 14/13 Series, iPad Pro/Air/Mini, Galaxy S23/S22/S21, Note 20 Ultra, LG, HTC, and More</t>
  </si>
  <si>
    <t>EPSON 822 DURABrite Ultra Ink Standard Capacity Black Cartridge (T822120-S) Works with WorkForce Pro WF-3820, WF-3823, WF-4820, WF-4830, WF-4833, WF-4834</t>
  </si>
  <si>
    <t>Cooler Master Hyper 212 Black CPU Air Cooler, SickleFlow 120 Edge PWM Fan, Aluminum Top Cover, 4 Copper Heat Pipes, 152mm Tall, AMD Ryzen AM5/AM4, Intel LGA 1851/1700/1200 Brackets</t>
  </si>
  <si>
    <t>ESR 2 Pack Paper-Feel Screen Protectors for iPad Air 11 Inch M3/M2 (7th/6th Generation, 2025/2024), Write and Draw Like on Paper, 9H Tempered Glass, Matte Writing Film with Alignment Frame, Anti-Glare</t>
  </si>
  <si>
    <t>HP 68 Tri-Color Ink Cartridge | Works Envy 6100e, 6500e Series | Eligible for Instant Ink | 7FP20TN</t>
  </si>
  <si>
    <t>Skullcandy Jib True 2 Wireless Earbuds, Bluetooth Headphones, Up to 33 Hours Battery with Charging Case, Noise Isolating Fit, Sweat and Water Resistant, Microphone for iPhone Android - True Black</t>
  </si>
  <si>
    <t>ASURION 2 Year Tablet Accident Protection Plan ($250 - $299.99)</t>
  </si>
  <si>
    <t>Energizer Power Plus Rechargeable AA Batteries (8 Pack), Double A Batteries</t>
  </si>
  <si>
    <t>Logitech Pebble Mouse 2 M350s Slim Bluetooth Wireless Mouse, Portable, Lightweight, Customizable Button, Quiet Clicks, Easy-Switch for Windows, macOS, iPadOS, Android, Chrome OS - Black</t>
  </si>
  <si>
    <t>Belkin 6-Outlet Surge Protector Power Strip, ETL-listed, Wall-Mountable w/ 6 AC Outlets, Overvoltage Protection, LED Indicator, USB-C &amp; USB-A Ports w/ USB-C PD Fast Charge - 1,680 Joules of Protection</t>
  </si>
  <si>
    <t>LG GP65NB60 8X USB 2.0 Super Multi Ultra Slim Portable DVD Writer Drive +/-RW External Drive with M-DISC Support - Black</t>
  </si>
  <si>
    <t>UGREEN Revodok Pro USB-C Hub 6 in 1 10Gbps 4K 60Hz HDMI, 100W Power Delivery for MacBook Pro/Air, iPad Pro, Thinkpad Rog Ally and More.</t>
  </si>
  <si>
    <t>Amazon Basics Aluminum USB-C to RJ45 Gigabit Ethernet Adapter, Fast Network, Grey, 2.07 x 0.81 x 0.6 inches</t>
  </si>
  <si>
    <t>Duracell MN15P36 Standard Battery, AA, Alkaline, PK36 Lighting, 36 Count (Pack of 1), Black</t>
  </si>
  <si>
    <t>TP-Link Nano AC600 USB WiFi Adapter(Archer T2U Nano)- 2.4G/5G Dual Band Wireless Network Transceiver for PC Desktop, Travel Size, Supports Windows (11,10, 8.1, 8, 7, XP/Mac OS X 10.9-10.14)</t>
  </si>
  <si>
    <t>GE 6-Outlet Surge Protector, 10 Ft Extension Cord, Power Strip, 600 Joules, Twist-to-Close Safety Covers, Protected Indicator Light, UL Listed, Black, 37442</t>
  </si>
  <si>
    <t>ASURION 3 Year Musical Instrument Accident Protection Plan ($90 - $99.99)</t>
  </si>
  <si>
    <t>Belkin MagSafe Vent Mount Pro MagSafe iPhone Mount For Car - Silver</t>
  </si>
  <si>
    <t>Amazon Basics Paper Shredder for Home and Office, 8-Sheet Strip Cut, CD/ Credit Card Shredder, 3.4 Gallon Wastebasket , Black</t>
  </si>
  <si>
    <t>Avery Printable Round Labels, Sure Feed Technology, Glossy White Labels, 2" Diameter, Permanent Adhesive, Laser/Inkjet, 120 Total (22807)</t>
  </si>
  <si>
    <t>VELCRO Brand Cut to Length Straps Heavy Duty | 45 Ft x 3/4 in | ONE-WRAP Self-Gripping Double Sided Roll | Bundling Ties Fasten to Themselves for Secure Hold, VEL-30834-AMS, Black</t>
  </si>
  <si>
    <t>Kasa Outdoor Smart Plug, Smart Home Wi-Fi Outlet with 2 Sockets, IP64 Weather Resistance, Compatible with Alexa, Google Home &amp; IFTTT, No Hub Required, ETL Certified(EP40), Black</t>
  </si>
  <si>
    <t>Melissa &amp; Doug Pizza Party Wooden Play Food Set With 54 Toppings</t>
  </si>
  <si>
    <t>Anker USB-C Car Charger, iPhone 16 Car Charger, 67W 3-Port Compact Fast Charger, 535 Car Adapter with PIQ 3.0 for iPhone 16/15, Galaxy S23, MacBook, iPad Air, and More (USB-C to C Cable Included)</t>
  </si>
  <si>
    <t>Avery Customizable Name Badge Inserts, 2.25" x 3.5", White, 400 Printable Name Tag Inserts (5390)</t>
  </si>
  <si>
    <t>Apple AirTag</t>
  </si>
  <si>
    <t>Swingline Stapler, 25 Sheet Capacity, Optima 25, Jam Free, Reduced Effort, Soft Grip, Blue and Gray (66404)</t>
  </si>
  <si>
    <t>Energizer Ultimate Lithium AAA Batteries (8 Pack), Lithium Triple A Batteries</t>
  </si>
  <si>
    <t>UGREEN USB C to Ethernet Adapter, Plug and Play 1Gbps Ethernet Adapter, Aluminum Case, (Thunderbolt 4/3 Compatible) to RJ45 Network Dongle, Compatible for MacBook Pro/Air, iPhone 16 Pro/Max, iPad, XPS</t>
  </si>
  <si>
    <t>Amazon Basics Hanging File Folders, Letter Size, Gray, 25-Pack</t>
  </si>
  <si>
    <t>Logitech S150 USB Speakers with Digital Sound</t>
  </si>
  <si>
    <t>Brother LC2013PKS C/M/Y - (Pack of 3) Ink, Multi, LC2013PKS C/M/Y</t>
  </si>
  <si>
    <t>LISEN Cup Phone Holder No Shaking Phone Holder for Car, 360° Adjustable iPhone Holder for Car Accessories for Women Truck Jeep Golf for iPhone 16e 16 15 14 13 Pro Max Samsung S25 All 4-17'' Phone</t>
  </si>
  <si>
    <t>Tapo by TP-Link 1080P Indoor Security Camera for Baby Monitor, Pet Camera w/Motion Detection, 2-Way Audio, Night Vision, Cloud &amp; SD Card Storage, Works w/Alexa &amp; Google Home, Black, C101</t>
  </si>
  <si>
    <t>Energizer Recharge Universal Rechargeable AAA Batteries (8 Pack), Triple A Batteries</t>
  </si>
  <si>
    <t>Eneloop Panasonic BK-3MCCA10FA AA 2100 Cycle Ni-MH Pre-Charged Rechargeable Batteries, 10-Battery Pack</t>
  </si>
  <si>
    <t>ASURION 3 Year Portable Electronic Accident Protection Plan ($125 - $149.99)</t>
  </si>
  <si>
    <t>GoPro Performance Chest Mount (All GoProCameras) - Official GoPro Mount</t>
  </si>
  <si>
    <t>Skullcandy Ink’d+ Wired Earbuds with 3.5mm Plug, Noise Isolating Fit, Built-In Microphone Call and Track Control, Ear Gel Sizes Included for Custom Fit, Convenient for Travel - Black</t>
  </si>
  <si>
    <t>Rayovac AA Batteries, Double A Battery Alkaline, 60 Count</t>
  </si>
  <si>
    <t>Acer USB C to HDMI Adapter, 4K USB C Hub with 100W PD, USBA 3.0 Port, HDMI to USBC Multiport Digital AV Converter for MacBook Pro/Air, iPad, Tablets, Switch, TV, Monitor and More (Silver)</t>
  </si>
  <si>
    <t>Belkin Apple AirTag Secure Holder with Key Ring - Durable, Scratch-Resistant Case with Open Face &amp; Raised Edges - Protective AirTag Keychain Accessory for Keys, Pets, Luggage, &amp; More - Black</t>
  </si>
  <si>
    <t>Acer SD Card Reader USB C, 3 in 1 Memory Card Reader with Dual Slots &amp; USB 3.0, Micro SD Card Adapter for iPhone 16/15 Compatible with Camera, Android, MacBook Pro/Air, Laptop</t>
  </si>
  <si>
    <t>Melissa &amp; Doug Pattern Blocks and Boards - Classic Toy With 120 Solid Wood Shapes and 5 Double-Sided Panels</t>
  </si>
  <si>
    <t>Klein Tools 11055EP Wire Cutter and Stripper, Made in USA, Stranded and Solid Wire Cutter, Cuts Copper</t>
  </si>
  <si>
    <t>ESR Upgraded for MagSafe Wallet, 5 Card Holder, RFID Blocking, Magnetic Wallet for iPhone with Adjustable Stand, Slim for iPhone 16/15/14/13/12 Series, Not for 13/12 Mini, Vegan Leather, Black</t>
  </si>
  <si>
    <t>Anker USB C Charger Block 20W (Nano Pro), PIQ 3.0 Compact Fast Charger for iPhone 16/15/14/13 Series, Galaxy, Pixel 4/3, iPad (Cable Not Included)</t>
  </si>
  <si>
    <t>ESR 2 Pack Screen Protector for iPad A16 11th/10th Generation (11 Inch/10.9, 2025/2022), 9H Tempered Glass Film with UltraFit Tray, Apple Pencil Support, Scratch Resistant, HD Clarity, Bubble Free</t>
  </si>
  <si>
    <t>Amazon Basics 24-Pack Rechargeable AAA NiMH High-Capacity Batteries, 850 mAh, 1.2V, Recharge up to 500x Times, Pre-Charged</t>
  </si>
  <si>
    <t>Amazon Basics 64-inch Extendable Tripod for iPhones and Smartphones, Selfie Stick Mode and Phone Tripod Mode, Black</t>
  </si>
  <si>
    <t>Amazon Basics USB-C to USB-C 4 Fast Charger Cable, 40 Gbps, 8K Video, 240W, USB-IF Cert, Thunderbolt 4/3 Compatible, for Apple iPhone 16/15, iPad, Samsung Galaxy, Tablets, Laptops, 3.3 foot, Black</t>
  </si>
  <si>
    <t>ASURION 2 Year Portable Electronic Accident Protection Plan ($400 - $449.99)</t>
  </si>
  <si>
    <t>ASURION 3 Year Floorcare Extended Protection Plan ($300 - $349.99)</t>
  </si>
  <si>
    <t>SanDisk Ultra 64GB Class 10 SDXC UHS-I Memory Card up to 80MB/s (SDSDUNC-064G-GN6IN)</t>
  </si>
  <si>
    <t>Duracell Coppertop 9V Battery, 4 Count (Pack of 1), Long-lasting All-Purpose Alkaline 9V Batteries for Household and Office Devices</t>
  </si>
  <si>
    <t>LISEN for iPad Stand Holder Adjustable Tablet Stand for Desk, 2025 for iPad Accessories Rotating Display Stand PC Office Accessories for Desk Women Kindle Table Mount/PS/Switch iPhone 12.9"-4.7"</t>
  </si>
  <si>
    <t>Astrobrights Color Cardstock, 65 lb Cover Weight, 8.5 x 11, Eclipse Black, 100/Pack</t>
  </si>
  <si>
    <t>Amazon Basics USB-A to Lightning Charger Cable, Nylon Braided Cord, MFi Certified Charger for Apple iPhone 14 13 12 11 X Xs Pro, Pro Max, Plus, iPad, 6 Foot, Dark Gray</t>
  </si>
  <si>
    <t>Belkin USB C to USB A Cable, 3.3ft, 15W - Type C Charger, iPhone Charger Cord, Braided, Flexible for iPhone 16 &amp; 15, Galaxy S25, Pixel 9, iPad Pro, AirPods Pro, Switch 2 &amp; More, CarPlay - Black</t>
  </si>
  <si>
    <t>Baseus USB C to USB C Cable, 100W Retractable USB C 5A Fast Charging Cable, 4-Stage Length Preset USB Type C Charger Cord for iPhone 16 15 Pro Plus Pro Max, MacBook, iPad, Samsung S24/S23+ (3.3ft)</t>
  </si>
  <si>
    <t>AINOPE Car Phone Holders for Your Car [Ultra Convenient] Air Vent Phone Mount [Upgrade Clamp] Cell Phone Holder Car Interior Accessories Women for iPhone 16 Pro Max 15 Samsung S25 Honda Toyota Mazda</t>
  </si>
  <si>
    <t>BAGSMART Electronics Travel Organizer Case, Tech Accessories Cord Storage Bag for Phone, Power Bank, SD Card, Cables, Black</t>
  </si>
  <si>
    <t>acer USB C to DisplayPort Cable 6.6 FT (4K@60HZ 2K@165Hz), Type-C to DisplayPort Cord (Sturdy Aluminum, Plug &amp; Play) Thunderbolt 3/4/5 Compatible with MacBook Pro/Air, iPhone 16 Pro/Max, XPS, Surface</t>
  </si>
  <si>
    <t>Ubeesize Phone Tripod, Portable and Flexible Tripods with Wireless Remote and Clip, Cell Phone Tripode Stand for Video Recording</t>
  </si>
  <si>
    <t>UGREEN Tablet Stand Holder Adjustable Portable Desktop Dock Office Compatible for iPad Pro 11 9.7 10.5 Air Mini 5 4 3 2 iPhone 16 15 14 13 12 Black</t>
  </si>
  <si>
    <t>Samsung 25W Wall Charger Power Adapter, Cable Not Included, Super Fast Charging, Compact Design, Energy Efficient, Compatible with Galaxy and USB Type C Devices, Black</t>
  </si>
  <si>
    <t>LISEN Magnetic Phone Holder for Car - Upgraded Clip Ultra 6 Strong Magnets, Phone Magnets for Back of Phone, Soporte de Telefono para carro for Galaxy S25 Ultra 4-6.7 inch Smartphones (Black)</t>
  </si>
  <si>
    <t>Philips LTE Filter for TV Antenna, Filters 4G 5G LTE Signal to Reduce Interference and Pixilation for Clear Digital HD TV Reception, Frequency Range 5-608 MHz, Indoor Outdoor Installation, SDW1520/27</t>
  </si>
  <si>
    <t>Amazon Basics USB-A to Lightning Charger Cable, Nylon Braided Cord, MFi Certified Charger for Apple iPhone 14 13 12 11 X Xs Pro, Pro Max, Plus, iPad, 6 Foot, Silver</t>
  </si>
  <si>
    <t>LISEN Multi Charging Cable, 3 in 1 Charging Cable, Retractable Car Charger with Type C/L/Micro USB Ports for iPhone 16 15 14 Pro Max/Samsung Galaxy S25/PS/Kindle, Multi Chargers for All Devices</t>
  </si>
  <si>
    <t>ARCTIC MX-6 (4 g, incl. 6 MX Cleaner) - Ultimate Performance Thermal Paste for CPU, Consoles, Graphics Cards, laptops, Very high Thermal Conductivity, Long Durability, Non-Conductive</t>
  </si>
  <si>
    <t>UGREEN USB C to USB C Cable, 100W 2-Pack USB C Charger Cable for iPhone 16/16 Plus/16 Pro/16 Pro Max/15, MacBook Pro, iPad Pro, Dell XPS, Samsung Galaxy S24/S23/S22 Ultra, Switch, Pixel, 3.3FT Black</t>
  </si>
  <si>
    <t>SanDisk Ultra 32GB UHS-I/Class 10 Micro SDHC Memory Card With Adapter - SDSDQUAN-032G-G4A</t>
  </si>
  <si>
    <t>UBeesize Phone Tripod Pro S, Premium Flexible Phone Tripod with Wireless Remote, Mini Tripod Stand for Camera GoPro/Mobile (Upgraded), Black</t>
  </si>
  <si>
    <t>Logitech Mouse Pad - Studio Series, Computer Mouse Mat with Anti-Slip Rubber Base, Easy Gliding, Spill-Resistant Surface, Durable Materials, Portable, in a Fresh Modern Design, Blue Grey</t>
  </si>
  <si>
    <t>Energizer MAX 9V Batteries (2 Pack), 9 Volt Alkaline Batteries</t>
  </si>
  <si>
    <t>Fellowes Powershred Performance Shredder Oil, 12 oz. Extended Nozzle Bottle (35250) (Pack of 1)</t>
  </si>
  <si>
    <t>Duracell 303/357/76 Silver Oxide Button Battery, 3 Count Pack, 303/357/76 1.5 Volt Battery, Long-Lasting For Watches, Devices, Calculators, And More</t>
  </si>
  <si>
    <t>SAMSUNG TV Remote Control BN59-01199F by Samsung</t>
  </si>
  <si>
    <t>Samsung OEM Remote Control with Netflix Hotkey - Black (BN59-01315J)</t>
  </si>
  <si>
    <t>UGREEN Cell Phone Stand for Desk Phone Holder Foldable Portable Adjustable Compatible with iPhone 16 15 14 13 Pro Max, iPhone 12 11 Plus SE XS XR 8 7, Office Desk Travel Accessories, Black</t>
  </si>
  <si>
    <t>ASURION 3 Year Cooling Protection Plan ($500 - $599.99)</t>
  </si>
  <si>
    <t>ASURION 3 Year Desktop Protection Plan ($200 - $249.99)</t>
  </si>
  <si>
    <t>Energizer 2025 Batteries (4 Pack), 3V Lithium Coin Batteries With 3-in-1 Child Shield</t>
  </si>
  <si>
    <t>Energizer AAA Batteries, Max Triple A Alkaline, 16 Count</t>
  </si>
  <si>
    <t>LISEN for MagSafe Car Mount [95% Increase Magnetism] Magnetic Phone Holders for Your Car,Car Accessories for Men Women Truck 360 Dashboard Vent Phone Mount for Garmin GPS Fit iPhone 16 15 14 13 12</t>
  </si>
  <si>
    <t>Energizer 364-363 1.55v #364/363 Low-drain Battery (SR621SW) Pack of 5 Batteries.</t>
  </si>
  <si>
    <t>Duracell 21/23 12V Alkaline Battery, 4 Count Pack, 21/23 12 Volt Alkaline Battery, Long-Lasting for Key Fobs, Car Alarms, GPS Trackers, and More</t>
  </si>
  <si>
    <t>Energizer 2032 Batteries (2 Pack), 3V Lithium Coin Batteries</t>
  </si>
  <si>
    <t>Duracell 370/371 Silver Oxide Button Battery, 1 Count Pack, 370/371 1.5 Volt Battery, Long-Lasting for Watches, Medical Devices, Calculators, and More</t>
  </si>
  <si>
    <t>Energizer 377/376 Watch Batteries (Pack of 5)</t>
  </si>
  <si>
    <t>Maxell – Pro 190048 CD-340 Laser Lens Cleaner - Safe &amp; Effective CD Player &amp; Game Station Compact Disc Cleaner - Microfiber Brushes Eliminates Static &amp; Dust - Easy to Use with No Chemicals</t>
  </si>
  <si>
    <t>SanDisk MicroSD to SD Memory Card Adapter , Black</t>
  </si>
  <si>
    <t>ASUS The SFF-Ready Prime GeForce RTX™ 5080 16GB GDDR7 Graphics Card (PCIe® 5.0, HDMI®/DP 2.1, 2.5-Slot, Axial-tech Fans, Vapor Chamber, Dual BIOS)</t>
  </si>
  <si>
    <t>Lenovo Gen 12 ThinkPad X1 Carbon Laptop with Intel Ultra 7 165U vPro Processor, 14" WUXGA 100% sRGB Touchscreen, 32GB 6400MHz RAM, 1TB Gen4 Performance SSD, FHD+ IR+ RGB Camera, and Windows 11 Pro</t>
  </si>
  <si>
    <t>ASUS TUF Gaming A15 Gaming Laptop, 15.6” FHD 144Hz Display, NVIDIA® GeForce RTX™ 3050, AMD Ryzen™ 5 7535HS, 8GB DDR5, 512GB PCIe® Gen4 NVMe™ SSD, Wi-Fi 6, Windows 11, FA506NC-ES51</t>
  </si>
  <si>
    <t>LG 77-Inch Class OLED evo C4 Series Smart TV 4K Processor Flat Screen with Magic Remote AI-Powered with Alexa Built-in (OLED77C4PUA, 2024)</t>
  </si>
  <si>
    <t>NETGEAR Orbi 970 Series Quad-Band WiFi 7 Mesh Network System (RBE973S), Router + 2 Satellite Extenders, Security Features, Up to 27Gbps, Covers Up to 10,000 sq. ft., 200 Devices, 10 Gig Internet Port</t>
  </si>
  <si>
    <t>SANUS Premium Full Motion TV Mount for 42"-90" TVs - Sturdy &amp; Smooth Extension, Swivel and Tilt for Big TVs - Universal Design Fits Samsung, LG, Vizio, TCL &amp; More - Easy Installation -OLF22</t>
  </si>
  <si>
    <t>Sony Alpha ZV-E10 - APS-C Interchangeable Lens Mirrorless Vlog Camera Kit - Black</t>
  </si>
  <si>
    <t>Canon PowerShot G7 X Mark III Digital Camera (Black)</t>
  </si>
  <si>
    <t>GIGABYTE GeForce RTX 5070 Ti Gaming OC 16G Graphics Card, 16GB 256-bit GDDR7, PCIe 5.0, WINDFORCE Cooling System, GV-N507TGAMING OC-16GD Video Card</t>
  </si>
  <si>
    <t>ASUS TUF Gaming GeForce RTX ™ 5060 Ti 16GB GDDR7 OC Edition Gaming Graphics Card (PCIe® 5.0, HDMI®/DP 2.1, 3.1-Slot, Military-Grade Components, Protective PCB Coating, axial-tech Fans)</t>
  </si>
  <si>
    <t>Lenovo Yoga 7i 2-in-1 Laptop, 16" 2K Touchscreen Display, Core Ultra 7 155U (Up to 4.80 GHz), 16GB DDR5, 1TB PCIe SSD, Wi-Fi 6E, Backlit KB, FP Reader, TB 4, Webcam, Keypad, PDG HDMI, Win 11 Pro</t>
  </si>
  <si>
    <t>Acer Nitro V Gaming Laptop | Intel Core i5-13420H Processor | NVIDIA GeForce RTX 4050 Laptop GPU | 15.6" FHD IPS 144Hz Display | 8GB DDR5 | 512GB Gen 4 SSD | WiFi 6 | Backlit KB | ANV15-51-51H9</t>
  </si>
  <si>
    <t>Fujitsu fi-8170 Document Scanner High Speed Scanner, LAN Connectivity, Good Capacity Daily Volume 10,000 Sheets</t>
  </si>
  <si>
    <t>HP 255 G10 15.6" FHD Business Laptop, AMD Ryzen 7 7730U, 32GB RAM, 1TB PCIe SSD, Numeric Keypad, Webcam, Wi-Fi 6, HDMI, Windows 11 Pro, Black</t>
  </si>
  <si>
    <t>Epson Workforce ES-500W II Wireless Color Duplex Desktop Document Scanner for PC and Mac, with Auto Document Feeder (ADF) and Scan from Smartphone or Tablet</t>
  </si>
  <si>
    <t>Brother Professional Laser Printer All-in-One with Scanner and Copier, High-Speed 50 ppm Monochrome Printing, Wireless Network Ready, Dual-Band WiFi, Auto 2-Sided Print (MFC-L5915DW)</t>
  </si>
  <si>
    <t>Epson EcoTank Photo ET-8500 Wireless Color All-in-One Supertank Printer with Scanner, Copier, Ethernet and 4.3-inch Color Touchscreen, White, Large</t>
  </si>
  <si>
    <t>ASURION 2 Year Lawn &amp; Garden Extended Protection Plan ($300 - $349.99)</t>
  </si>
  <si>
    <t>ESR for MagSafe Charger Stand, 3 in 1 Charging Station with CryoBoost, Phone-Cooling Wireless Charging Station, Qi2 Certified 15W MagSafe Stand, for iPhone16/15/14/13/12, AirPods, Apple Watch, Black</t>
  </si>
  <si>
    <t>ASUS ROG Crosshair X870E Hero AMD X870E AM5 ATX Motherboard, Advanced AI PC Ready, 18+2+2 Power Stages, DDR5, PCIe® 5.0, 5X M.2, Wi-Fi 7, USB4®, AI Overclocking, Core Flex, PCIe Slot Q-Release Slim</t>
  </si>
  <si>
    <t>Canon imageCLASS MF751Cdw - Wireless Duplex Color Laser Printer, Multifunction with Copier, Scanner, Automatic Document Feeder, Mobile Ready, 3 Year Limited Warranty, 35 PPM, White</t>
  </si>
  <si>
    <t>Sonos Sub 4 - Wireless Subwoofer - Black</t>
  </si>
  <si>
    <t>Intel® Core™ i9-14900KF New Gaming Desktop Processor 24 cores (8 P-cores + 16 E-cores) - Unlocked</t>
  </si>
  <si>
    <t>Dell Pro Dock WD25 - USB Type-C with DP Alt Mode Connector, DisplayPort/HDMI/USB 3.2 Gen2 Connectivity, Up to 100-Watt Power delivery - Black</t>
  </si>
  <si>
    <t>Garmin Edge 1050®, Premium Cycling Computer, Vivid Color Touchscreen Display, Built-in Speaker, Advanced Training and Group Ride Features, Road Hazard Alerts</t>
  </si>
  <si>
    <t>Apple AirPods Max - Space Gray (Renewed)</t>
  </si>
  <si>
    <t>VIZIO 50-inch Quantum Pro 4K 120Hz QLED HDR10+ Smart TV with Dolby Vision, Active Full Array, 240Hz @ 1080p PC Gaming, WiFi 6E, Apple AirPlay, Chromecast Built-in, M50QXM-K01, 2023 Model</t>
  </si>
  <si>
    <t>Samsung HW-Q990C 11.1.4ch Soundbar w/Wireless Dolby Audio, Rear Speakers Included w/Q-Symphony, SpaceFit Sound Pro, Adaptive Sound, Game Mode Pro, Airplay 2, AVA, Alexa Built-in</t>
  </si>
  <si>
    <t>Logitech MeetUp Video Conferencing System, Ultra HD 4K/1080p/720p, 3 Microphones/Adjustable Speakers, Wide Field of View 120°, PC/Mac/Laptop/Macbook/Tablet - Black</t>
  </si>
  <si>
    <t>Apple Late 2020 MacBook Pro with Apple M1 Chip, 13-inch, 8GB RAM, 512GB SSD, Space Gray (Renewed)</t>
  </si>
  <si>
    <t>Acer Aspire 5 15 Slim Laptop | 15.6" FHD IPS Touch 1920 x 1080 | Intel Core i7-1355U | Intel Iris Xe Graphics | 16GB LPDDR5 | 512GB Gen 4 SSD | Wi-Fi 6E 802.11ax | Backlit Keyboard |</t>
  </si>
  <si>
    <t>ASURION 3 Year Camera Protection Plan ($30 - $39.99)</t>
  </si>
  <si>
    <t>Intel Core i9-12900K Gaming Desktop Processor with Integrated Graphics and 16 (8P+8E) Cores up to 5.2 GHz Unlocked LGA1700 600 Series Chipset 125W</t>
  </si>
  <si>
    <t>ASUS Chromebook Flip CX1 Convertible Laptop, 14" FHD NanoEdge 360-degree Touchscreen, Intel Celeron N4500 Processor, 128GB eMMC Storage, 8GB RAM, ChromeOS, Transparent Silver, CX1400FKA-AS88FT</t>
  </si>
  <si>
    <t>HP 147A Black Toner Cartridge for HP Printers | Works with Printer Series: LaserJet Enterprise M610, M611, M612, LaserJet Enterprise MFP M634, M635, M636 | W1470A</t>
  </si>
  <si>
    <t>ASURION 4 Year Kitchen Protection Plan ($40 - $49.99)</t>
  </si>
  <si>
    <t>ASUS Vivobook Go 15.6” FHD Slim Laptop, AMD Ryzen 3 7320U Quad Core Processor, 8GB DDR5 RAM, 128GB SSD, Windows 11 Home, Fast Charging, Webcam Sheild, Military Grade Durability, Black, E1504FA-AS33</t>
  </si>
  <si>
    <t>ASUS 23.8”1080P Monitor(VA24DQSB)-Full HD,IPS,75Hz,Speakers Adaptive-Sync Low Blue Light Flicker Free VESA Mountable Frameless, HDMI DisplayPort, VGA, USB hub Height Adjustable, BLACK,12.8"x21.3"x2.1"</t>
  </si>
  <si>
    <t>Microsoft Surface Pro 7 256GB i5 8GB RAM with Windows 10 Pro (Wi-Fi, Quad-Core i5-1035G4,) Platinum PVR-00001 (Renewed)</t>
  </si>
  <si>
    <t>ASURION 2 Year Backpack Protection Plan ($50 - $59.99)</t>
  </si>
  <si>
    <t>Nintendo Switch Mario Kart Racing Wheel Pro Deluxe By HORI,USB - Officially Licensed By Nintendo</t>
  </si>
  <si>
    <t>ASUS Vivobook Laptop, 14" FHD Display, i3-1215U, 16GB RAM, 512GB SSD, Wi-Fi 6, HDMI, Webcam, Touchpad, Windows 11 Home, Blue</t>
  </si>
  <si>
    <t>Brother TN436BK, TN436C, TN436Y, TN436M 4-Color Super High Yield Toner Cartridge Set</t>
  </si>
  <si>
    <t>Canon PIXMA PRO-200S Professional 13" Wireless Inkjet Photo Printer with 3.0" Color LCD Monitor, 8-Color Dye-Based Ink, Black</t>
  </si>
  <si>
    <t>VIZIO 5.1.2 Elevate SE Soundbar, Wireless Subwoofer, Surround Sound w/Dolby Atmos &amp; DTS:X, Bluetooth Speaker, QuickFit™ Compatible – SL512X-08 (New, 2024 Model)</t>
  </si>
  <si>
    <t>Brother HL-L2480DW Wireless Compact Monochrome Multi-Function Laser Printer with Copy and Scan, Duplex, Mobile, Black &amp; White | Includes Refresh Subscription Trial(1), Works with Alexa</t>
  </si>
  <si>
    <t>Dell Thunderbolt WD22TB4 4 Dock 130W</t>
  </si>
  <si>
    <t>ZHIYUN MOLUS G300 [Official], 300W COB Bi-Color LED Video Light, Bowens Mount, 500W MAX Extreme Mode, App Control, Ultra Quiet, 2700K-6500K, CRI 95+ TLCI 97+ 15500Lux/1M,14 Lighting Effects</t>
  </si>
  <si>
    <t>Apple 2022 iPad 10.9-inch, Wi-Fi + Cellular, 64GB - Blue (Renewed)</t>
  </si>
  <si>
    <t>Apple Watch Ultra 2 (GPS + Cellular, 49MM) - Black Titanium Case with Black Ocean Band (Renewed)</t>
  </si>
  <si>
    <t>Vortex Optics Diamondback HD 12x50 Binoculars - HD Optical System, Non-slip Grip, Waterproof, Fogproof, Shockproof, Included GlassPak - Unlimited, Unconditional Warranty</t>
  </si>
  <si>
    <t>HP 87A Black Toner Cartridge | Works with HP LaserJet Enterprise M506 Series, MFP M527 Series, H M501 Series | CF287A</t>
  </si>
  <si>
    <t>Apple 2021 iPad (10.2 inch, Wi-Fi, 64GB) - Space Gray (Renewed Premium)</t>
  </si>
  <si>
    <t>Canon ImageFORMULA DR-C225 II Office Document Scanner, Black - 3258C002</t>
  </si>
  <si>
    <t>Samsung Galaxy Tab S9 FE+ Plus Android Tablet (12.4” Touchscreen, 8GB RAM, 256GB Storage, 18-hr Long Battery Life, S Pen, 1 Front Camera + 2 Rear Cameras, Lightweight Durable Design) SM-X610, Gray</t>
  </si>
  <si>
    <t>Seagate Exos ST24000NM000C 24TB 7.2K RPM SATA 6Gb/s 512e 3.5in Enterprise Hard Drive (Renewed)</t>
  </si>
  <si>
    <t>HP 89X Black High-yield Toner Cartridge for HP Printers | Works with Printer Series: LaserJet Enterprise M507, LaserJet Enterprise MFP M528 | CF289X</t>
  </si>
  <si>
    <t>HP 15.6 HD Premium Chromebook, Intel Celeron N Processor 3.7GHz Turbo Speed, 8GB Ram, 64GB SSD, Ultra-Fast WiFi Up to 1700 Mbps, Chrome OS, Arctic Sliver</t>
  </si>
  <si>
    <t>HP 201X Cyan, Magenta, Yellow High-yield Toner Cartridges (3-pack) | Works with HP Color LaserJet Pro M252, HP Color LaserJet Pro MFP M277 Series | CF253XM</t>
  </si>
  <si>
    <t>Intel® Core™ i7-14700KF New Gaming Desktop Processor 20 cores (8 P-cores + 12 E-cores) - Unlocked</t>
  </si>
  <si>
    <t>HP 14" HD Chromebook Laptop for Students, Intel Quad-Core N4120(&gt; N4020), 4GB RAM, 64GB eMMC, WiFi, Webcam, HDMI, USB-A&amp;C, 14 Hours Battery life, ZOOM, Chrome OS, CUE Accessories</t>
  </si>
  <si>
    <t>Sonos Port - The Versatile Streaming Component For Your Stereo Or Receiver</t>
  </si>
  <si>
    <t>Garmin Instinct® 3 45mm, Solar Charged Display, Rugged Outdoor GPS Smartwatch, Metal-Reinforced Bezel, Built-in Flashlight, Black</t>
  </si>
  <si>
    <t>GIGABYTE X870E AORUS PRO ICE AMD AM5 LGA 1718 Motherboard, ATX, DDR5, 4X M.2, PCIe 5.0, USB4, WIFI7, 2.5GbE LAN, EZ-Latch, 5-Year Warranty</t>
  </si>
  <si>
    <t>Apple iPhone 13 Pro, 128GB, Graphite - Unlocked (Renewed)</t>
  </si>
  <si>
    <t>AmScope M150 Series Portable LED Monocular Student Compound Microscope - 40X-1000X Magnification - Microscope Kit Includes Dust Cover, 2 Clips &amp; 2 Eyepieces</t>
  </si>
  <si>
    <t>acer Nitro 27 Inch Full HD 1920 x 1080 ZeroFrame Design Gaming IPS Monitor | AMD FreeSync Premium | 200Hz Refresh | Up to 0.5ms | 1 x Display Port 1.2 and 2 x HDMI 2.0 Ports | KG271 X1biip</t>
  </si>
  <si>
    <t>ASUS TUF Gaming 32" 1440P HDR Curved Monitor (VG32VQ1B) - QHD (2560 x 1440), 165Hz (Supports 144Hz), 1ms, Extreme Low Motion Blur, Speaker, FreeSync Premium, VESA Mountable, DisplayPort, HDMI,BLACK</t>
  </si>
  <si>
    <t>Samsung Galaxy Watch Ultra (2024) 47mm LTE AI Smartwatch w/Energy Score, Wellness Tips, Heart Rate Tracking, Sleep Monitor, Fitness Tracker, GPS,Titanium Silver [US Version, 1Yr Manufacturer Warranty]</t>
  </si>
  <si>
    <t>ASURION 3 Year Desktop Protection Plan ($2000 - $2999.99)</t>
  </si>
  <si>
    <t>Westinghouse 32 Inch TV, HD LED Small Flat Screen Non-Smart Television, Works with Fire Stick, Roku, Apple TV, TiVo, Xumo, and Streaming Devices</t>
  </si>
  <si>
    <t>Klipsch Flexus CORE 200 3.1.2 Channel Powered by Onkyo Bluetooth Sound Bar with Dolby Atmos and Custom Tuned Bass - Black</t>
  </si>
  <si>
    <t>Insta360 X3 - Waterproof 360 Action Camera with 1/2" 48MP Sensors, 5.7K 360 Active HDR Video, 72MP 360 Photo, 4K Single-Lens, 60fps Me Mode, Stabilization, 2.29" Touchscreen, AI Editing, Live Stream</t>
  </si>
  <si>
    <t>Brother MFC-J6555DW INKvestment Tank Color Inkjet All-in-One Printer with up to 1 Year of Ink in-box1 and 11” x 17” Print, Copy, scan, and fax Capabilities,White</t>
  </si>
  <si>
    <t>ASUS Chromebook CX15 Laptop, 15.6" FHD Anti-Glare Display, Intel Celeron N4500 Processor, 128GB Storage, 8GB RAM, ChromeOS, Pure Grey, CX1505CKA-AS88F-PG</t>
  </si>
  <si>
    <t>Poly - Voyager 4310 UC Wireless Headset + Charge Stand (Plantronics) - Single-Ear Headset w/Mic - Connect to PC/Mac via USB-A Bluetooth Adapter, Cell Phone via Bluetooth -Works with Teams, Zoom &amp;More</t>
  </si>
  <si>
    <t>NETGEAR Nighthawk Multi-Gig Cable Modem for Xfinity Voice (CM2050V) – for Cable Plans up to 2.5Gbps - DOCSIS 3.1-2 Phone Lines</t>
  </si>
  <si>
    <t>Brother ADS-1300 Compact Desktop Scanner | Scan Speeds of Up to 30ppm | Single Pass Double-Sided Scanning</t>
  </si>
  <si>
    <t>Apple Early 2022 iPad Air 5th Gen, 10.9-inch, Wi-Fi, 64GB, Space Gray (Renewed)</t>
  </si>
  <si>
    <t>Intel Core i9-12900KF Gaming Desktop Processor 16 (8P+8E) Cores up to 5.2 GHz Unlocked LGA1700 600 Series Chipset 125W</t>
  </si>
  <si>
    <t>Apple 15.4in MacBook Pro Laptop (Retina, Touch Bar, 2.2GHz 6-Core Intel Core i7, 16GB RAM, 256GB SSD Storage) Space Gray (MR932LL/A) (2018 Model) (Renewed)</t>
  </si>
  <si>
    <t>SAMSUNG 25" Odyssey G4 Series FHD Gaming Monitor, IPS, 240Hz, 1ms, G-Sync Compatible, AMD FreeSync Premium, HDR10, Ultrawide Game View, DisplayPort, HDMI, Fully Adjustable Stand, LS25BG402ENXGO</t>
  </si>
  <si>
    <t>Razer BlackShark V3 X HyperSpeed Wireless Gaming Headset for PC: 50mm Drivers - Cardioid Mic - 2.4 GHz, Bluetooth, USB - Works with Mac, PS5, Nintendo Switch, Smartphone - 70 Hr Battery - Black</t>
  </si>
  <si>
    <t>HP 90A Black Toner Cartridge | Works with HP LaserJet Enterprise 600 M602, M603 Series, HP LaserJet Enterprise M4555 MFP Series | CE390A</t>
  </si>
  <si>
    <t>HP 80X Black High-yield Toner Cartridge for HP Printers | Works with LaserJet Pro 400 M401, M425 Series | CF280X</t>
  </si>
  <si>
    <t>Cobra PX650 BCH6 - Professional/Business Walkie Talkies - Rechargeable, 300,000 sq. ft/25 Floor Range, Dust Protected and Splashproof (IP54 rating), Two-Way Radio Set (6-Pack)</t>
  </si>
  <si>
    <t>Apple Watch Series 8 (GPS, 45mm) Midnight Aluminum Case with Midnight Sport Band (Renewed Premium)</t>
  </si>
  <si>
    <t>ASURION 2 Year Camera Protection Plan ($175 - $199.99)</t>
  </si>
  <si>
    <t>Hp BND00335 972A Original PageWide Cartridge 4-Color Set</t>
  </si>
  <si>
    <t>Ubiquiti USW-Pro-Max-16-PoE (180W)</t>
  </si>
  <si>
    <t>GoPro HERO11 Black – E-Commerce Packaging - Waterproof Action Camera with 5.3K60 Ultra HD Video, 27MP Photos, 1/1.9" Image Sensor, Live Streaming, Webcam, Stabilization</t>
  </si>
  <si>
    <t>ASUS ROG Strix 1000W Platinum (Fully Modular Power Supply, 80 Plus Platinum Certified, ATX 3.1, Cybenetics Lambda A+, GaN MOSFET, GPU-First Intelligent Voltage Stabilizer, 10-Year Warranty)</t>
  </si>
  <si>
    <t>Canon imageCLASS MF273dw - Monochrome Wireless Laser Printer, Multifunction With Scanner, Copier, Auto Document Feeder, With 1 Year Limited Warranty, 30 PPM, Black</t>
  </si>
  <si>
    <t>ASUS TUF Gaming 27” 1080P Monitor (VG279QL3A) - Full HD, 180Hz, 1ms, Fast IPS, Extreme Low Motion Blur, FreeSync Premium, G-SYNC Compatible, Speakers, DisplayPort, Height Adjustable, 3 Year Warranty</t>
  </si>
  <si>
    <t>Nikon Monarch M5 8x42 Binocular | Waterproof, fogproof, Rubber-Armored Binocular with ED Glass, Long Eye Relief | Official Nikon USA Model</t>
  </si>
  <si>
    <t>ASURION 4 Year Television Protection Plan ($1250 - $1499.99)</t>
  </si>
  <si>
    <t>ASUS 27” 1080P Eye Care Monitor (VA27DQF) - IPS, Full HD, Frameless, 100Hz, 1ms, Adaptive-Sync, for Working and Gaming, Low Blue Light, Flicker Free, HDMI, DisplayPort, 3 Year Warranty</t>
  </si>
  <si>
    <t>HP 55A Black Toner Cartridge for HP Printers | Works with Printer Series: LaserJet Enterprise 500 MFP M525, P3015, LaserJet Pro MFP M521 | CE255A</t>
  </si>
  <si>
    <t>Jabra Evolve2 65 Headset MS Stereo Black</t>
  </si>
  <si>
    <t>Apple iPhone 11 Pro, 64GB, Space Gray - Unlocked (Renewed)</t>
  </si>
  <si>
    <t>Jabra Evolve 65 MS Wireless Headset, Stereo – Includes Link 370 USB Adapter – Bluetooth Headset with Industry-Leading Wireless Performance, Advanced Noise-Cancelling Microphone, All Day Battery</t>
  </si>
  <si>
    <t>Dell WD19 180W Docking Station (130W Power Delivery) USB-C, HDMI, Dual DisplayPort, Black</t>
  </si>
  <si>
    <t>PHILIPS FX10 Bluetooth Stereo System for Home with CD Player , MP3, USB, FM Radio, Bass Reflex Speaker, 230 W, Remote Control Included</t>
  </si>
  <si>
    <t>Holy Stone GPS Drone with 4K UHD Camera for Adults Beginner; HS360S 249g Foldable FPV RC Quadcopter with 10000 Feet Control Range, Brushless Motor, Follow Me, Smart Return Home, 5G Transmission</t>
  </si>
  <si>
    <t>ARRIS (G36) - Cable Modem Router Combo - Fast DOCSIS 3.1 Multi-Gigabit WiFi 6 (AX3000), Approved for Comcast Xfinity, Cox, Spectrum &amp; More, 1.2 Gbps Max Speeds, 2x2 OFDM</t>
  </si>
  <si>
    <t>Synology HAT3300 4TB Plus Series SATA HDD 3.5" (HAT3300-4T)</t>
  </si>
  <si>
    <t>Polk Audio Atrium 4 Outdoor Speakers with Powerful Bass (Pair, Black), All-Weather Durability, Broad Sound Coverage, Speed-Lock Mounting System</t>
  </si>
  <si>
    <t>OWC 11-Port Thunderbolt Dock, 96W Charging, Single 8K Display or Dual 5K displays, 3 x Thunderbolt, 4 x USB, GbE, SD, Compatbile M1/M2 Macs, Thunderbolt 3 Macs, Thunderbolt 4 PCs, and USB-C Devices</t>
  </si>
  <si>
    <t>ASURION 3 Year Portable Electronic Accident Protection Plan ($60 - $69.99)</t>
  </si>
  <si>
    <t>Polk Audio RC80i 2-Way Premium in-Ceiling 8" Round Speakers, Set of 2 Perfect for Damp and Humid Indoor/Outdoor Placement - Bath, Kitchen, Covered Porches (White, Paintable-Grille)</t>
  </si>
  <si>
    <t>Samsung UN43DU7200DXZA 43" Crystal UHD TV with Mega Contrast (2025)</t>
  </si>
  <si>
    <t>SAMSUNG Galaxy Tab A9+ 5G (128GB, 8GB, Cellular) 11" 90Hz, Snapdragon, Android 13 Tablet (Fully Unlocked International Model for Global, Makes Calls T-Mobile Only) X216 (w/Fast Charger, Graphite)</t>
  </si>
  <si>
    <t>Brother DS-740D Duplex Compact Mobile Document Scanner</t>
  </si>
  <si>
    <t>DEWALT DXFRS800 2 Watt Heavy Duty Walkie Talkies - Waterproof, Shock Resistant, Long Range &amp; Rechargeable Two-Way Radio with VOX (2 Pack)</t>
  </si>
  <si>
    <t>SANUS Tilting TV Wall Mount for 42" to 90" TVs - Universal Wall Mount TV Bracket w/ Low Profile &amp; 12 degree Tilt - DIY Install w/ Included Hardware</t>
  </si>
  <si>
    <t>Pioneer DMH-130BT 6.8" Resistive Touchscreen, Double Din – Bluetooth, Backup Camera, USB, FLAC, AM/FM Radio, Short Chassis, 50W x 4 Output, Steering Wheel Input</t>
  </si>
  <si>
    <t>Apple Watch Series 9 (GPS + Cellular 45mm) Midnight Aluminum Case with Midnight Sport Band M/L (Renewed)</t>
  </si>
  <si>
    <t>Crucial T705 2TB PCIe Gen5 NVMe M.2 SSD - Up to 14,500 MB/s - Game Ready - Internal Solid State Drive (PC) - +1mo Adobe CC - CT2000T705SSD3</t>
  </si>
  <si>
    <t>Sony WH-1000XM5 Noise Canceling Wireless Headphones - 30hr Battery Life - Over-Ear Style - Optimized for Alexa and Google Assistant - Built-in mic for Calls - Black - International Version No Warranty</t>
  </si>
  <si>
    <t>Intel Core i5-12600KF Desktop Processor 10 (6P+4E) Cores up to 4.9 GHz Unlocked LGA1700 600 Series Chipset 125W</t>
  </si>
  <si>
    <t>Lexmark 55b1000 Return Program Toner, 3,000 Page-Yield, Black</t>
  </si>
  <si>
    <t>CORSAIR VENGEANCE RGB DDR5 RAM 64GB (2x32GB) 6000MHz CL30 Intel XMP iCUE Compatible Computer Memory - Black (CMH64GX5M2B6000C30)</t>
  </si>
  <si>
    <t>NETGEAR 24-Port PoE+ Gigabit Ethernet Unmanaged Essentials Switch (GS324P) - with 16 x PoE+ @ 190W, Desktop or Rackmount</t>
  </si>
  <si>
    <t>MSI Gaming RTX 5070 Ti 16G Ventus 3X OC Graphics Card (16GB GDDR7, 256-bit, Extreme Performance: 2497 MHz, DisplayPort x 3 2.1a, HDMI 2.1b, NVIDIA Blackwell Architecture)</t>
  </si>
  <si>
    <t>Lenovo ThinkPad X1 Carbon Gen 13 21NS000LUS 14" Copilot+ PC Ultrabook - 2.8K - Intel Core Ultra 7 258V - Intel Evo Platform - 32 GB - 1 TB SSD - English Keyboard - Black Paint - Intel Chip - 2880 x 18</t>
  </si>
  <si>
    <t>acer Chromebook 315 Laptop, 15.6" HD Display, Intel Celeron N4020(Up to 2.8GHz), 4GB RAM, 64GB eMMC, Intel UHD Graphics, 12.5H Long Battery, WiFi, Bluetooth, Chrome OS</t>
  </si>
  <si>
    <t>MSI PRO B650-S WiFi ProSeries Motherboard (AMD Ryzen 9000/8000/7000 Series Processors, AM5, DDR5, PCIe 4.0, M.2 Slots, SATA 6Gb/s, USB 3.2 Gen 2, HDMI/DP, Wi-Fi 6E, Bluetooth 5.3, 2.5Gbps LAN, ATX)</t>
  </si>
  <si>
    <t>DYMO LabelWriter Wireless Label Printer | Direct Thermal Printer Great for Shipping Warehouse Labels Name Badges Barcodes and More Connect Through Wi-Fi for Home &amp; Office Organization Black</t>
  </si>
  <si>
    <t>TP-Link 𝗧𝗮𝗽𝗼 SolarCam 2K, Outdoor Battery Camera w/Solar Panel Base, Wireless Camera, 2K QHD, 150° Super-Wide FOV, Free Person/Vehicle/Pet Detection, SD/Cloud Storage, Starlight Color Night Vision</t>
  </si>
  <si>
    <t>SimpliSafe SimpliCam 1080p Wired Indoor Home Security Camera with Built-in Privacy Shutter - Compatible with Gen 3 Home security system</t>
  </si>
  <si>
    <t>Fractal Design North XL Charcoal Black TG Dark</t>
  </si>
  <si>
    <t>Sony - FE 50mm F1.8 Standard Lens (SEL50F18F/2)</t>
  </si>
  <si>
    <t>HP 2025 Portable x360 Chromebook, 14'' Convertible FHD IPS Touchscreen, Intel Processor Up to 3.39GHz, 4GB DDR4, 64GB Storage, Super Fast 6th Gen WiFi, Chrome OS, Dale Blue, Renewed</t>
  </si>
  <si>
    <t>Amazfit Balance Smart Watch 46mm with Fitness Tracker, Body Composition &amp; Health Analysis, Sleep Recovery, GPS, Amazon Alexa Built-In, Bluetooth Calling, Fitness Watch for Android iPhone, Black</t>
  </si>
  <si>
    <t>ASURION 2 Year Lawn &amp; Garden Extended Protection Plan ($350 - $399.99)</t>
  </si>
  <si>
    <t>Apple 2020 Mac Mini with Apple M1 Chip, 8GB RAM, 256GB SSD Storage - Silver (Renewed)</t>
  </si>
  <si>
    <t>APC UPS 1000VA Sine Wave UPS Battery Backup and Surge Protector, BR1000MS Backup Battery Power Supply with AVR, (2) USB Charger Ports</t>
  </si>
  <si>
    <t>Sennheiser Pro Audio Professional HD 25 On-Ear DJ Headphones Black</t>
  </si>
  <si>
    <t>Lenovo IdeaPad Slim 3 Chromebook - 2024 - Lightweight Laptop - Waves MaxxAudio® Speakers - 14" HD Display - HD 720p Camera - 4GB Memory - 64GB Storage - MediaTek Kompanio 520 - Abyss Blue</t>
  </si>
  <si>
    <t>Vortex Optics Mountain Pass Tripod Kit - 2-Way Pan Head, 22 lb Max Load, Arca-Swiss Head Mount - Unlimited, Unconditional Warranty</t>
  </si>
  <si>
    <t>SwissGear Travel Tech Elite Laptop Backpack – Fits Laptops up to 16” – ScanSmart TSA-Friendly Backpack with USB Port, Shoe Compartment &amp; Organizer Pockets – Black</t>
  </si>
  <si>
    <t>PHILIPS B5309 Soundbar 2.1 with Wireless Subwoofer and Immersive DTS Virtual:X Audio Technology - 240W Max Power, Deep Bass, Bluetooth 5.4, Four EQ Modes, HDMI ARC and USB connectivity - Dark Grey</t>
  </si>
  <si>
    <t>Sony PlayStation 4 500GB Console (Renewed)</t>
  </si>
  <si>
    <t>Garmin 010-02256-00 eTrex 22x, Rugged Handheld GPS Navigator, Black/Navy</t>
  </si>
  <si>
    <t>Epson PictureMate PM-400 Wireless Compact Color Photo Printer, white</t>
  </si>
  <si>
    <t>Fujifilm Instax Wide Instant Films for Fuji Instax Wide 210 200 100 300, Pack of 5</t>
  </si>
  <si>
    <t>Celestron - Nature DX 8x42 Binoculars – Ideal for Birding and Outdoors – 42mm Objective Lenses – Wide 7.4° Field of View – BaK-4 Prisms – Fully Multi-Coated – Waterproof and Fogproof</t>
  </si>
  <si>
    <t>Apple Watch SE (GPS + Cellular, 40mm) - Space Gray Aluminum Case with Black Sport Band (Renewed)</t>
  </si>
  <si>
    <t>Kodak Ultra Mini Portable Projector - HD 1080p support LED DLP Rechargeable Pico Projector - 100" Display, Built-in Speaker - HDMI, USB and Micro SD - Compatible with iPhone iPad, Android Phones</t>
  </si>
  <si>
    <t>Apple 2019 iPad (10.2-inch, Wi-Fi, 32GB) - Space Gray (Renewed Premium)</t>
  </si>
  <si>
    <t>Intel Core i5-12600K Desktop Processor with Integrated Graphics and 10 (6P+4E) Cores up to 4.9 GHz Unlocked LGA1700 600 Series Chipset 125W</t>
  </si>
  <si>
    <t>ASURION 3 Year Musical Instrument Accident Protection Plan ($175 - $199.99)</t>
  </si>
  <si>
    <t>Lenovo Tab M9-2023 - Tablet - Long Battery Life - 9" HD - Front 2MP &amp; Rear 8MP Camera - 3GB Memory - 32GB Storage - Android 12 or Later - Folio Case Included,Gray</t>
  </si>
  <si>
    <t>Uniden DFR7 Super Long Range Wide Band Laser/Radar Detector, Built-in GPS w/Mute Memory, Voice Alerts, Red Light &amp; Speed Camera Alerts, OLED Display, Black</t>
  </si>
  <si>
    <t>Rode Wireless GO II Single Channel Wireless Microphone System, Black</t>
  </si>
  <si>
    <t>Lian Li EDGE1000W Fully Modular Low-Noise ATX Power Supply - ATX 3.1 &amp; PCIE 5.1 Compliant - Cybenetics Gold Efficiency - 12V-2x6 Cable - L-Shape Design - with USB/Fan Hub - Black (EG1000G.WB)</t>
  </si>
  <si>
    <t>Garmin Dash Cam 67W, 1440p and extra-wide 180-degree FOV, Monitor Your Vehicle While Away w/ New Connected Features, Voice Control, Compact and Discreet, Includes Memory Card - 010-02505-05</t>
  </si>
  <si>
    <t>ASURION 3 Year Lawn &amp; Garden Extended Protection Plan ($150 - $174.99)</t>
  </si>
  <si>
    <t>SimpliSafe 9 Piece Wireless Home Security System w/HD Camera - Optional 24/7 Professional Monitoring - No Contract - Compatible with Alexa and Google Assistant</t>
  </si>
  <si>
    <t>Razer Mouse Dock Pro with Wireless Charging Puck: Magnetic Wireless Charging - Integrated HyperPolling 8K Hz Transceiver - Anti-Slip Base - Chroma RGB Lighting - Classic Black</t>
  </si>
  <si>
    <t>ASURION 2 Year Mobile Phone Accident Protection Plan ($100 - $124.99)</t>
  </si>
  <si>
    <t>SAMSUNG Galaxy Z Flip 3 5G, US Version, 128GB, Phantom Black - Unlocked (Renewed)</t>
  </si>
  <si>
    <t>ASUS 32 Inch 1080P Monitor (VA329HE) - Full HD, IPS, 75Hz, Adaptive-Sync, Eye Care, Low Blue Light, Flicker Free, HDMI, VGA, Wall Mountable, Tilt Adjustable, Black</t>
  </si>
  <si>
    <t>Motorola T470 Talkabout Two Way Radios, Long Range Emergency Rechargeable Waterproof Walkie Talkies 22 Channel, 35 Mile outdoor Black Yellow, 2 Pack</t>
  </si>
  <si>
    <t>ASUS Powerful Blu-ray Drive with 16x Writing Speed and USB 3.0 for Both Mac/PC Optical Drive BW-16D1X-U</t>
  </si>
  <si>
    <t>ASURION 2 Year Jewelry Protection Plan ($50 - $59.99)</t>
  </si>
  <si>
    <t>Fujifilm Instax Mini EVO Instant Camera - Brown</t>
  </si>
  <si>
    <t>Lian Li UNI Fan SL-Infinity 120-Triple Pack-ARGB Fan-Infinity Mirror-Daisy-Chain Design-Customizable Lighting Effects-One Cable Connection-with Controller-White-(UF-SLIN120-3W)</t>
  </si>
  <si>
    <t>CORSAIR Vengeance DDR5 RAM 96GB (2x48GB) 6000MHz CL36-44-44-96 1.4V AMD Expo Intel XMP 3.0 Desktop Computer Memory – Gray (CMK96GX5M2E6000Z36)</t>
  </si>
  <si>
    <t>Apple Magic Keyboard: iPad Keyboard case for iPad Pro 11-inch (1st, 2nd, 3rd, 4th gen) and iPad Air (4th, 5th gen, and M2), Great Typing Experience, Built-in trackpad, US English - Black</t>
  </si>
  <si>
    <t>HP 410A Cyan Toner Cartridge | Works with HP Color LaserJet Pro M452 Series, HP Color LaserJet Pro MFP M377, M477 Series | CF411A</t>
  </si>
  <si>
    <t>Ooma Telo VoIP with 3 HD3 Handsets Complete Home Phone System for Unlimited Nationwide Calling, Mobile App Access, and Robocall Blocking Affordable Landline Replacement</t>
  </si>
  <si>
    <t>SAMSUNG 970 EVO Plus SSD 1TB NVMe M.2 Internal Solid State Drive w/ V-NAND Technology, Storage and Memory Expansion for Gaming, Graphics w/ Heat Control, Max Speed, MZ-V7S1T0B/AM</t>
  </si>
  <si>
    <t>Sony BDP-S1700 Streaming Blu-ray Disc Player with 6ft High Speed HDMI Cable</t>
  </si>
  <si>
    <t>Logitech Brio 505 Full HD Webcam with auto Light Correction, auto-framing, Show Mode, Dual Noise Reduction mics, Privacy Shutter - Works with Microsoft Teams, Google Meet, Zoom, TAA Compliant</t>
  </si>
  <si>
    <t>SCUF Instinct Pro Performance Series Wireless Xbox Controller - Remappable Back Paddles - Instant Triggers - Xbox Series X|S, Xbox One, PC and Mobile - Steel Gray</t>
  </si>
  <si>
    <t>Western Digital 8TB WD_Black Performance Internal Hard Drive HDD - 7200 RPM, SATA 6 Gb/s, 256 MB Cache, 3.5" - WD8002FZBX</t>
  </si>
  <si>
    <t>Logitech Z313 2.1 Multimedia Speaker System with Subwoofer, Full Range Audio, 50 Watts Peak Power, Strong Bass, 3.5mm Inputs, PC/PS4/Xbox/TV/Smartphone/Tablet/Music Player - Black</t>
  </si>
  <si>
    <t>Ubiquiti UniFi G4 5 Megapixel 2K Network Camera - Color</t>
  </si>
  <si>
    <t>Fellowes AutoMax 100MA 100-Sheet Micro-Cut Autofeed 2-in-1 Paper Shredder for Office/Small Office</t>
  </si>
  <si>
    <t>SAMSUNG Galaxy Buds Pro 3 R630 (Renewed)</t>
  </si>
  <si>
    <t>Samsung 980 PRO SSD 2TB PCIe NVMe Gen 4 Gaming M.2 Internal Solid State Drive Memory Card, Maximum Speed, Thermal Control MZ-V8P2T0B/AM</t>
  </si>
  <si>
    <t>Samsung Galaxy Watch Ultra (2025) 47mm LTE Smartwatch, Titanium Casing, Advanced Sleep Coaching, Running Coach, Energy Score, Heart Rate Tracking, GPS, Titanium Silver [US Version, 2 Yr Warranty]</t>
  </si>
  <si>
    <t>Garmin 010-01870-00 Striker Plus 4 with Dual-Beam transducer</t>
  </si>
  <si>
    <t>Cobra RAD 450 Laser Radar Detector: Long Range, False Alert Filter, Voice Alert &amp; OLED Display, Black, RAD450</t>
  </si>
  <si>
    <t>Bose QuietComfort 20 Acoustic Noise Cancelling Headphones, Compatible with Apple Devices, Black (Renewed)</t>
  </si>
  <si>
    <t>Dell Latitude 3190 11.6" HD 2-in-1 Touchscreen Laptop Intel N5030 1.1Ghz 4GB Ram 128GB SSD Windows 11 Professional (Renewed)</t>
  </si>
  <si>
    <t>Cummins Edition BlueParrott B450-XT Noise Cancelling Bluetooth Headset – Unique Design with Industry Leading Sound &amp; Improved Comfort, Up to 24 Hours of Talk Time, IP54-Rated, Black Red</t>
  </si>
  <si>
    <t>Canon Genuine 055 Black Toner Cartridge High Capacity Compatible with LBP664Cdw, MF741Cdw, MF743Cdw, MF745Cdw, MF746Cdw</t>
  </si>
  <si>
    <t>JBL GTO939 GTO Series 6x9" 300W 3 Way Black Car Coaxial Audio Speakers Stereo</t>
  </si>
  <si>
    <t>Amazon Basics Thunderbolt4/USB4 Pro Docking Station,2xTBT4,1xHDMI2.1,3xUSB A 3.1,RJ45,Dual Display, Black, 7.86 x 2.95 x 1.23 inches</t>
  </si>
  <si>
    <t>SAMSUNG 980 SSD 500GB PCle 3.0x4, NVMe M.2 2280, Internal Solid State Drive, Storage for PC, Laptops, Gaming and More, HMB Technology, Intelligent Turbowrite, Speeds up-to 3,500MB/s, MZ-V8V500B/AM</t>
  </si>
  <si>
    <t>Cobra MR HH600FLTBTGPS Handheld Floating VHF Marine Radio – 6 Watt, GPS, Bluetooth, Submersible, Noise Cancelling Mic, Backlit LCD Display, Memory Scan, Grey</t>
  </si>
  <si>
    <t>Vortex Optics Solo Monocular 10x36 - Utility Clip, Adjustable Eyecup, Fully Multi-Coated Lenses, Rubber Armor, Non-Slip Grip, Fogproof, Waterproof - Unlimited, Unconditional Warranty</t>
  </si>
  <si>
    <t>Arlo Essential Wireless Security Camera 2nd Gen with Solar Panel - Outdoor &amp; Indoor Wireless Camera with Integrated Spotlight, Color Night Vision, Motion Sensor &amp; DIY Setup - White, 1 Pack, VMK3050</t>
  </si>
  <si>
    <t>Pyle 6.5-Inch Wall Mount Waterproof Bluetooth Speaker System – Indoor/Outdoor Audio Pair with Built-in Digital Amplifier, Weather-Resistant Housing, High-Power Sound, Easy Installation (Black)</t>
  </si>
  <si>
    <t>HP 972A PageWide Yellow Ink Cartridge for HP Printers | Works with Printer Series: 452, 477, 552dw, 577 | L0R92AN</t>
  </si>
  <si>
    <t>Shure by Gator Premium Low-Profile Desktop Mic Boom Stand; Fully Adjustable for Podcast, Streaming, and Home Office Setups (SH-BROADCAST2)</t>
  </si>
  <si>
    <t>VTech IS8151-5 Super Long Range 5 Handset DECT 6.0 Cordless Phone for Home with Answering Machine, 2300 ft Range, Call Blocking, Bluetooth, Headset Jack, Power Backup, Intercom, Expandable to 12 HS</t>
  </si>
  <si>
    <t>SanDisk 512GB DJ Flash Drive - Up to 1,000 MB/s Read Speed and 900 MB/s Write Speed, High-Performance, Dual Connector USB Type-C and USB Type-A Flash Drive - SDDDE1-512G-GR46</t>
  </si>
  <si>
    <t>Bushnell Golf Phantom 3 Slope Red/Blue</t>
  </si>
  <si>
    <t>Logitech MX Ergo Plus Advanced Wireless Trackball for PC and MAC with Extra 10° Wedge</t>
  </si>
  <si>
    <t>VIVO Heavy Duty Aluminum Ultrawide Monitor Tension Arm for up to 49 inch Screens, Holds 44 lbs, Premium Desk Mount Stand Designed for Samsung Odyssey G9 and More, Black, STAND-V101V</t>
  </si>
  <si>
    <t>Thermaltake Smart BM3 750W 80Plus Bronze ATX 3.0 &amp; PCIE 5.0 Ready Semi-Modular Power Supply; 105°C/221°F Japanese Capacitor; 5 Year Warranty; PS-SPD-0750MNFABU-3</t>
  </si>
  <si>
    <t>Case of 6,Retevis H-777 Walkie Talkies for Adults Long Range, Rechargeable Two-Way Radios,with 6-Way Multi Unit Charger,Flashlight Handheld Business 2 Way Radios</t>
  </si>
  <si>
    <t>Brother Genuine LC3037BK, LC3037C, LC3037M, LC3037Y Super High-Yield Black/Cyan/Magenta/Yellow INKvestment Tank Ink Cartridge Set, LC3037</t>
  </si>
  <si>
    <t>OtterBox Defender Series Case for iPad Pro 11-inch (M4) (2024) - Black, Rugged, Durable, Multi-Layer Protection</t>
  </si>
  <si>
    <t>Google Nest Cam Outdoor or Indoor, Battery 2nd Generation - Snow (Renewed)</t>
  </si>
  <si>
    <t>LIAN LI LANCOOL 216 E-ATX PC Case, Airflow Focus RGB Gaming Computer Case with All-Around Mesh Panels, 2x160mm &amp; 1x140mm PWM Fans Pre-Installed and Innovative Rear PCIe Fan Bracket Chassis (Black)</t>
  </si>
  <si>
    <t>OtterBox Defender Series Case for iPad Air 13-inch (M3) &amp; (M2) - Black, Rugged, Durable, Multi-Layer Protection</t>
  </si>
  <si>
    <t>TP-Link CPE710 | 5GHz AC 867Mbps Long Range Gigabit Outdoor CPE for PtP and PtMP Transmission | Point to Point Wireless Bridge | 23dBi | Passive PoE Powered w/Free PoE Injector | Pharos Control</t>
  </si>
  <si>
    <t>Canon PG-245 XL / CL-246 XL Genuine Ink Value Pack (2 Cartridges) with 50-Sheet Photo Paper, Compatible with iP2820, MG2420/2924/2920/3020/2522/2525, MX492, TS3120/302/302a/202/202a/4520/3320</t>
  </si>
  <si>
    <t>Nitecore NB20000 Gen 3 Power Bank, 20000mAh Fast Charging QC PD Compatible with iPhone, Samsung Galaxy and Tablets with Lumentac USB Charging Cable (Dual USB-C)</t>
  </si>
  <si>
    <t>HP 83X Black High-yield Toner Cartridge | Works with HP LaserJet Pro M201, HP LaserJet Pro MFP M225 Series | CF283X</t>
  </si>
  <si>
    <t>Motorola Solutions T803 Waterproof IP54 Two Way Radio Walkie Talkie 35 mi. Bluetooth w/Charging Dock 2-Pack (Lime Green)</t>
  </si>
  <si>
    <t>Fitbit Versa 4 Fitness Smartwatch with Daily Readiness, GPS, 24/7 Heart Rate, 40+ Exercise Modes, Fit Bit Smart Watch for Men and Women, Pink Sand/Copper Rose Bundle with Cleaning Cloth and Charger</t>
  </si>
  <si>
    <t>Logitech C922 Pro Stream Webcam 1080P Camera</t>
  </si>
  <si>
    <t>VTech IS8128-51 Super Long Range 5-Handset DECT 6.0 Cordless Phone for Home with Answering Machine, 2300 ft Range, Call Blocking, Bluetooth Connect to Cell, Intercom</t>
  </si>
  <si>
    <t>Avery Printable Shipping Labels with Sure Feed, 2" x 4" Customizable Stickers, White, 2,500 Blank Mailing Labels, Great for Mailing, Shipping, and More (5963)</t>
  </si>
  <si>
    <t>Pyle Bluetooth Home Audio Theater Amplifier Stereo Receiver- 4 Channel, 800 Watt Sound System w/ MP3,USB,SD,AUX,RCA,FM,MIC, Headphone, Reverb Delay, LED Vol, for Home/Studio/Theater Speakers- PDA77BU</t>
  </si>
  <si>
    <t>Sennheiser Consumer Audio IE 200 In-Ear Audiophile Headphones - TrueResponse Transducers for Neutral Sound, Impactful Bass, Detachable Braided Cable with Flexible Ear Hooks - Black</t>
  </si>
  <si>
    <t>JBL SoundGear Sense - True Wireless Open-Ear Headphones, OpenSound Technology, Splash and dust Resistant, 4 mics for Crisp, Clear Calls, Up to 24 Hours of Battery Life, Plus Speed Charge (Black)</t>
  </si>
  <si>
    <t>Samsung Galaxy Buds Live, Earbuds w/Active Noise Cancelling (Mystic Black) (Renewed)</t>
  </si>
  <si>
    <t>VIVO Premium Aluminum Monitor Arm for Ultrawide Screens up to 49 inches and 33 lbs, Heavy Duty Single Desk Mount, Pneumatic Height, Max VESA 100x100, Black, STAND-V101G1</t>
  </si>
  <si>
    <t>Garmin GLO 2 GPS and GLONASS Receiver for Precise Position Information on Mobile Devices, Black</t>
  </si>
  <si>
    <t>Seasonic CORE V2 GX-650 (ATX3) - 650W - 80+ Gold - ATX 3.0 &amp; PCIe 5.1 Ready - Full-Modular - ATX Form Factor - Premium Capacitor - 7 Year Warranty - Nvidia RTX 30/40 Super &amp; AMD GPU Compatible</t>
  </si>
  <si>
    <t>Sony DSXM55BT Bluetooth Marine Digital Media Stereo Receiver SiriusXM Ready, Single DIN</t>
  </si>
  <si>
    <t>Jabra Speak 410 Corded Speakerphone for Softphones – Easy Setup, Portable USB Speaker for Holding Meetings Anywhere with Outstanding Sound Quality</t>
  </si>
  <si>
    <t>Xiaomi Mi Smart Band 10 (2025) Global Version - 1.72" AMOLED Display | 21 Days Battery Life | Touchscreen, Multi-Sport Tracker, Activity Tracker, Heart Rate Monitor | BT5.4 - (Midnight Black)</t>
  </si>
  <si>
    <t>Sandisk 16GB (10 Pack) SD Card Bundle SDHC Class 4 Flash Memory | Model SDSDB-016G-B35 |</t>
  </si>
  <si>
    <t>Fitbit Inspire 2 Health &amp; Fitness Tracker with a Free 1-Year Fitbit Premium Trial, 24/7 Heart Rate, Black/Black, One Size (S &amp; L Bands Included)</t>
  </si>
  <si>
    <t>ASURION 2 Year Personal Care Protection Plan ($100 - $124.99)</t>
  </si>
  <si>
    <t>HP USB-C Dock G5 (Renewed)</t>
  </si>
  <si>
    <t>Logitech H570e Wired Headset, Mono Headphones with Noise-Cancelling Microphone, USB, In-Line Controls with Mute Button, Indicator LED, PC/Mac/Laptop - Black</t>
  </si>
  <si>
    <t>Sceptre 24-inch Curved Gaming Monitor 1080p up to 165Hz DisplayPort HDMI 99% sRGB, AMD FreeSync Build-in Speakers Machine Black (C248B-FWT168)</t>
  </si>
  <si>
    <t>ASURION 3 Year Furniture Protection Plan ($70 - $79.99)</t>
  </si>
  <si>
    <t>HP Original 564 Cyan, Magenta, Yellow / 564XL Black Ink (4-Pack) | Works DeskJet 3500; OfficeJet 4620; PhotoSmart B8550, C6300, D5400, D7560, 5500, 6500, 7500, Plus, Premium, eStation</t>
  </si>
  <si>
    <t>RØDE Wireless ME Ultra-compact Wireless Microphone System with Built-in Microphones, GainAssist Technology and 100m Range for Filmmaking, Interviews and Content Creation, Wireless ME</t>
  </si>
  <si>
    <t>HyperX QuadCast 2 S – USB Microphone, with RGB Lighting, Streaming and Podcasting, with On-Board Controls, LED Lighting, Removable Shock Mount, PC, Mac, USB-C - Black</t>
  </si>
  <si>
    <t>TRENDnet Gigabit PoE++ Injector, Convert A Non-PoE Port to A PoE++ Gigabit Port, PoE (15.4W), PoE+ (30W), Or PoE++ (95W), Up to 100m (328 ft), Integrated Power Supply, Black, TPE-119GI</t>
  </si>
  <si>
    <t>Razer Barracuda X Chroma Wireless Gaming Headset: 2.4GHz Wireless &amp; Bluetooth - Lightweight - Chroma RGB - 40mm Drivers - Cardioid Mic - 70 Hr Battery - for PC, Mac, PS5, Switch, Smartphone - Black</t>
  </si>
  <si>
    <t>ASURION 3 Year Camera Protection Plan ($50 - $59.99)</t>
  </si>
  <si>
    <t>Canon Genuine 128 Black Toner Cartridge Compatible with MF4450, MF4770n, MF4570 Series, MF4800 Series, D530, D550, L100, L190</t>
  </si>
  <si>
    <t>Avery Customizable Name Badges, Clip Style, 2.25" x 3.5", Clear Name Tag Holders, White Laser/Inkjet Printable Inserts, 100 Total (74461)</t>
  </si>
  <si>
    <t>Kensington VeriMark Desktop USB Fingerprint Reader - Windows Hello, Windows 11 Fingerprint Scanner for PC, FIDO U2F, FIDO2 (K62330WW)</t>
  </si>
  <si>
    <t>Sony LinkBuds S Truly Wireless Noise Canceling Earbud Headphones with Alexa Built-in, Bluetooth Ear Buds Compatible with iPhone and Android, Black</t>
  </si>
  <si>
    <t>Garmin Drive™ 53 GPS Navigator, High-Resolution Touchscreen, Simple On-Screen Menus and Easy-to-See Maps, Driver Alerts (Renewed)</t>
  </si>
  <si>
    <t>KICKER DSC650 6.5-Inch (160-165mm) Coaxial Speakers, 4-Ohm (Pair)</t>
  </si>
  <si>
    <t>ASURION 2 Year Television Protection Plan ($75 - $99.99)</t>
  </si>
  <si>
    <t>HP 131A Black Toner Cartridge for HP Printers | Works with LaserJet Pro 200 color M251, LaserJet Pro 200 color MFP M276 Series | CF210A</t>
  </si>
  <si>
    <t>SABRENT Rocket 2230 1TB NVMe SSD – PCIe Gen4 M.2 2230 Internal SSD for Steam Deck, Surface Pro, Ultrabook, HTPC – DRAM-Less with HMB, Up to 5GB/s [SB-2130-1TB]</t>
  </si>
  <si>
    <t>Microsoft Arc Mouse - Black. Sleek,Ergonomic design, Ultra slim and lightweight, Bluetooth Mouse for PC/Laptop,Desktop works with Windows/Mac computers</t>
  </si>
  <si>
    <t>Apple Smart Folio for iPad Pro 11-inch (M4) - Black ​​​​​​​</t>
  </si>
  <si>
    <t>NEEWER Basic 74" Video Tripod with Fluid Head , Metal Camera Tripod with Smooth Friction Damping, Mid Level Spreader, Quick Release Plate Compatible with Manfrotto 501, Max Load 17.6lb, TP37</t>
  </si>
  <si>
    <t>Apple iPad Early 2018 (9.7-inch, Wi-Fi, 32GB) - Space Gray (Renewed)</t>
  </si>
  <si>
    <t>Taramps TS 800x4 Car Audio Multichannel Amplifier 800 Watts Rms 2 Ohms 4 Channel 2 Bridged Channel Full Range Crossover, RCA/High Level Input, Class D</t>
  </si>
  <si>
    <t>Amazon Fire Max 11 Keyboard Case (Only compatible with 13th generation tablet, 2023 release)</t>
  </si>
  <si>
    <t>Apple Smart Folio for iPad Air 11-inch (M3 and M2) - Charcoal Gray ​​​​​​​</t>
  </si>
  <si>
    <t>Apple Watch Series 6 (GPS + Cellular, 44mm) - Space Gray Aluminum Case with Black Sport Band (Renewed)</t>
  </si>
  <si>
    <t>TP-Link Omada Point to Point Wireless Bridge Outdoor | 5GHz | 867Mbps | PtP&amp;PtMP | 1km, 0.6mile | 3 Gigabit Ports | PoE or DC Powered | IP65 Weatherproof | Preconfigured, Plug&amp;Play(EAP211-Bridge KIT)</t>
  </si>
  <si>
    <t>Brother P-Touch PT-D460BT Business Expert Connected Label Maker | Connect and Create via Bluetooth® on TZe Label Tapes up to ~3/4 inch, White</t>
  </si>
  <si>
    <t>HP 972A PageWide Magenta Ink Cartridge for HP Printers | Works with Printer Series: PageWide Pro 452, 477, 552dw, 577 | L0R89AN</t>
  </si>
  <si>
    <t>Leviton T5636-W 60W (6A) USB Dual Type-C/C Power Delivery in-Wall Charger with 15A Tamper-Resistant Outlet, USB Charger for Smartphones, Tablets, Laptops, White</t>
  </si>
  <si>
    <t>CORSAIR VENGEANCE DDR5 RAM 32GB (2x16GB) 6000MHz CL36 Intel XMP iCUE Compatible Computer Memory - Black (CMK32GX5M2E6000C36)</t>
  </si>
  <si>
    <t>Fujifilm Instax Wide Instant Films for Fuji Instax Wide (40 Exposures) + BluebirdSales Microfiber Cleaning Cloth</t>
  </si>
  <si>
    <t>Microsoft Type Cover for Surface Pro - Black (Renewed)</t>
  </si>
  <si>
    <t>HP Laserjet MFP M140w Wireless Monochrome All-in-One Printer, Copier, Scanner, Phone, Tablet, for Home, Office Use, Easy Setup, Auto-On/Off Technology Compact White 7MD72F (Renewed)</t>
  </si>
  <si>
    <t>ASURION 3 Year Camera Protection Plan ($600 - $699.99)</t>
  </si>
  <si>
    <t>ASURION 3 Year Portable Electronic Accident Protection Plan ($250 - $299.99)</t>
  </si>
  <si>
    <t>Microsoft Surface Pro 11 13" Copilot+ PC, AI Tablet, 2880x1920 120Hz LCD Touchscreen, 10-Core Qualcomm Snapdragon X Plus, 16GB RAM, 512GB SSD, WiFi Only, Win 11 Pro, Black</t>
  </si>
  <si>
    <t>ASURION 3 Year Furniture Protection Plan ($80 - $89.99)</t>
  </si>
  <si>
    <t>New Laptop Charger 90W watt USB Type C(USB-C) AC Power Adapter Include Power Cord for Dell XPS 13，Precision 3540,Latitude 3400,3500, 5289,5300 2in1,7400 2in1,7300, 7390 2in1, 7200 2in1,5400,0TDK33</t>
  </si>
  <si>
    <t>Crucial 32GB Kit (16GBx2), 260-pin SODIMM, DDR4 PC4-19200,</t>
  </si>
  <si>
    <t>Brother Genuine-Drum Unit, DR420, Seamless Integration, Yields Up to 12,000 pages, Black</t>
  </si>
  <si>
    <t>B450M-HDV R4.0 AMD B450 AM4 Socket Ryzen 2000 - 5000 Processors DDR4 3200 64GB HDMI DVI-D D-Sub Motherboard SATA 6Gb/s Micro ATX M.2</t>
  </si>
  <si>
    <t>Carhartt 23L Single-Compartment Backpack, Durable Pack with Laptop Sleeve and Duravax Abrasion Resistant Base, Black</t>
  </si>
  <si>
    <t>SAMSUNG Galaxy Buds 3 AI True Wireless Bluetooth Earbuds, Open Type Fit, Active Noise Cancellation, 360 Audio, Touch Control, Silver [US Version, Amazon Exclusive, 2Yr Warranty]</t>
  </si>
  <si>
    <t>Gigabyte A520M S2H (AMD Ryzen AM4/MicroATX/4+3 Phases Digital PWM/Gigabyte Gaming GbE LAN/NVMe PCIe 3.0 x4 M.2/3 Display Interfaces/Q-Flash Plus/RGB Fusion 2.0/Motherboard)</t>
  </si>
  <si>
    <t>Ham Radio BAOFENG DM32 DMR Radio Handheld Rechargeable Walkie Talkies Long Range DM32UV 5RM Two Way Radio NOAA Weather Radio with GPS, Copy Frequency 2500mAh Battery USB-C Charging with Radio Holster</t>
  </si>
  <si>
    <t>Tapo Door Sensor Starter KIT, Matter Compatible, 3X Smart Door Window Contact Sensor and 1x Smart Hub with Built-in Chime, Smart Automation, Real-Time Notification, T31 KIT</t>
  </si>
  <si>
    <t>Apple Watch SE (GPS, 40mm) - Space Gray Aluminum Case with Black Sport Band (Renewed)</t>
  </si>
  <si>
    <t>JVC KD-SX27BT Car Stereo with Bluetooth, 100W Digital Media Receiver, 1.5A USB to Charge Devices, Single DIN Head Unit, AM/FM, Aux-in, JVC Remote App</t>
  </si>
  <si>
    <t>Crucial 16GB DDR5 RAM Kit (2x8GB), 5600MHz Desktop Memory, UDIMM 288-Pins, Compatible with Intel Core and AMD Ryzen 7000 - CT2K8G56C46U5</t>
  </si>
  <si>
    <t>Victrola Willow – Retro Wood Bluetooth Radio with Built-in Speakers: Elegant &amp; Vintage Design, Rotary AM/FM Tuning Dial, Bass &amp; Treble Control, Wireless Streaming (Espresso)</t>
  </si>
  <si>
    <t>VIVO Waterproof 500ft Bulk Cat5e Wire, CCA Ethernet Cable, UTP Pull Box, Outdoor Direct Burial, Black, CABLE-V011</t>
  </si>
  <si>
    <t>Logitech HD Pro Webcam C920, Widescreen Video Calling and Recording, 1080p Camera, Desktop or Laptop Webcam</t>
  </si>
  <si>
    <t>SimpliSafe 105dB Auxiliary Siren - Compatible with Gen 3 Home Security System</t>
  </si>
  <si>
    <t>ASURION 3 Year Lawn &amp; Garden Extended Protection Plan ($70 - $79.99)</t>
  </si>
  <si>
    <t>ASURION 3 Year Personal Care Protection Plan ($250 - $299.99)</t>
  </si>
  <si>
    <t>Godox TT600 2.4G Wireless Flash Speedlite Master/Slave Flash with Built-in Trigger System Compatible for Canon Nikon Pentax Olympus Fujifilm Panasonic (TT600)</t>
  </si>
  <si>
    <t>Rockford Fosgate P1694 Punch 6"x9" 4-Way Coaxial Full Range Speakers - Black (Pair)</t>
  </si>
  <si>
    <t>StarTech.com 2-Pack 1U Server Rack Shelf, Vented Rack Mount Cantilever Shelf, Heavy-Duty Steel, 44lb/20kg Capacity, 16" Deep</t>
  </si>
  <si>
    <t>UGREEN Mac mini M4 Dock and Stand DP Hub for Mac mini M4 and M4 Pro 2024 with M.2 NVMe SSD Enclosure, 4K144Hz DP,10G USB A/C, SD/TF, Audio</t>
  </si>
  <si>
    <t>TP-Link 2.4GHz N300 Long Range Outdoor CPE for PtP and PtMP Transmission | Point to Point Wireless Bridge | 9dBi, 5km+ | Passive PoE Powered w/Free PoE Injector | Pharos Control (CPE210)</t>
  </si>
  <si>
    <t>Roku Indoor Camera for Home Security, 2-Pack - Wired Security Camera with 1080p HD Color Night Vision, Works with Alexa &amp; Google, Motion &amp; Sound Detection, Built-in Siren, 90-Day Subscription Included</t>
  </si>
  <si>
    <t>Fujifilm Instax Mini Instant Camera Film (20 Photo Exposure) Bundle with 6AVE Microfiber Cleaning Cloth</t>
  </si>
  <si>
    <t>ASURION 3 Year Wearables Protection Plan ($70 - $79.99)</t>
  </si>
  <si>
    <t>Amazon Kindle Scribe Fabric Folio Cover with Magnetic Attach, Sleek Protective Case - Black</t>
  </si>
  <si>
    <t>Elgato USB Hub – For Stream Deck +, 2 USB-C Ports/2 USB-A Ports, Power Delivery, SD/microSD Card Reader – USB-C, Mac/PC, Stream Deck &amp; Power Supply Not Included</t>
  </si>
  <si>
    <t>SanDisk SSD PLUS 1TB Internal SSD - SATA III 6 Gb/s, 2.5"/7mm, Up to 535 MB/s - SDSSDA-1T00-G27</t>
  </si>
  <si>
    <t>Ooma Telo Air VoIP Free Internet Home Phone Service with Wireless Connectivity. Affordable landline replacement. Unlimited nationwide calling. Call on the go with free mobile app. Can block robocalls</t>
  </si>
  <si>
    <t>CORSAIR VENGEANCE RGB PRO DDR4 RAM 32GB (2x16GB) 3600MHz CL18-22-22-42 1.35V Intel AMD Desktop Computer Memory - Black (CMW32GX4M2D3600C18)</t>
  </si>
  <si>
    <t>Glorious Model O Wireless Gaming Mouse - Superlight, 69g Honeycomb Design, RGB, Ambidextrous, Lag Free 2.4GHz Wireless, Up to 71 Hours Battery - Matte Black</t>
  </si>
  <si>
    <t>Logitech G403 Hero 25K Gaming Mouse, Lightsync RGB, Lightweight 87G+10G optional, Braided Cable, 25, 600 DPI, Rubber Side Grips, Black</t>
  </si>
  <si>
    <t>ASURION 3 Year Electronics Protection Plan ($450 - $499.99)</t>
  </si>
  <si>
    <t>PIONEER A-Series Standard TS-A6881F 6” x 8” 4-Way Speakers (Pair) – 350W Max, Balanced Sound + Smooth Treble, Enhanced Bass, Great Stock Replacement</t>
  </si>
  <si>
    <t>ORION Cobalt Series CB693 6x9” 3-Way Coaxial Car Speakers, 320W, 4 Ohms, Full Range, Enhanced Bass, Polypropylene Cone &amp; Butyl Rubber Surround, Easy Install, Grills Included (Pair)</t>
  </si>
  <si>
    <t>Logitech G309 Lightspeed Wireless Gaming Mouse, Lightweight, LIGHTFORCE Hybrid Switches, Hero 25K Sensor, 86g &amp; 300+ hr Battery Life with AA Battery, 6 Programmable Buttons, PC &amp; Mac - Black</t>
  </si>
  <si>
    <t>Victrola Rock Speaker Connect, Stone, Wireless Outdoor with Bluetooth 5.3, 22-Hour Battery Life, with Solar Charging, Link Up to 20 Rock Speakers, IP65 Water &amp; Dust Resistant</t>
  </si>
  <si>
    <t>Osprey Proxima 30L Campus Laptop Backpack - Organized Everyday Pack with Dedicated Tech Storage, Water Bottle Pockets, and Comfortable Carry - Perfect for School, Commutie, and Travel, Black/Coal Grey</t>
  </si>
  <si>
    <t>Ultimate Ears MINIROLL Ultra-Portable Waterproof Bluetooth Speaker, Big Bass, IP67 Dustproof, 131 ft Range - Gentle Black</t>
  </si>
  <si>
    <t>SAMSUNG Galaxy Watch 5 44mm Bluetooth Smartwatch w/Body, Health, Fitness and Sleep Tracker, Improved Battery, Sapphire Crystal Glass, Enhanced GPS Tracking, US Version, Gray (Renewed)</t>
  </si>
  <si>
    <t>HP DeskJet 2755 All-in-One Wireless Printer Scanner Copier Instant Ink Ready Mobile Print Black 7.5ppm Color 5.5ppm Wifi Inkjet Computer Printers for Home Use and Office, Grey (Renewed)</t>
  </si>
  <si>
    <t>Apple Smart Folio for iPad mini (A17 Pro) - Charcoal Gray ​​​​​​​</t>
  </si>
  <si>
    <t>Verbatim BD-R 25GB 16X Blu-ray Recordable Media Disc - 50 Pack Spindle - 98397</t>
  </si>
  <si>
    <t>ESR iPad 11th (A16) 2025/10th Gen Flex Keyboard Case, Ultra-Light Magnetic Detachable Keyboard for iPad 10.9" with Writing/Viewing Modes, Larger Precision Trackpad, Pink</t>
  </si>
  <si>
    <t>ASURION 2 Year Camera Protection Plan ($200 - $249.99)</t>
  </si>
  <si>
    <t>Logitech G502 Hero Gaming Mouse (MR0076, 910-005571) - 25,600 DPI, 4K Video Capture</t>
  </si>
  <si>
    <t>Office Depot Extra Bright Copy Paper, 8 1/2in. x 11in., 20 Lb., 90 Brightness, Case Of 10 Reams</t>
  </si>
  <si>
    <t>Canon PGI-225/CLI-226 Genuine Six Color Value Pack, Compatible with iP4820, iP4920, iX6520, MG5120, MG5220, MG5320, MG6120, MG6220, MG8120, MG8220, MX712, MX882, and MX892 Printers</t>
  </si>
  <si>
    <t>Brother Genuine High Yield Toner Cartridge, Black Toner, Page Yield Up To 2,600 Pages, TN360</t>
  </si>
  <si>
    <t>Ubiquiti UAP-AC-M-US Unifi Mesh Access Point, White</t>
  </si>
  <si>
    <t>Amazon Basics 12 inch Thermal Laminator Machine, 1 Min Warm-Up, Home/Office/School Use, 20 Pouches Included, White</t>
  </si>
  <si>
    <t>SANUS Low Profile TV Wall Mount for 40" to 80" TVs - Universal Fixed Wall Mount TV Bracket, Slim 1” Profile - 3 Step Easy Install w/Included Hardware - UL Certified</t>
  </si>
  <si>
    <t>ASURION 2 Year Tablet Accident Protection Plan ($200 - $249.99)</t>
  </si>
  <si>
    <t>Energizer Industrial EN95 size D alkaline batteries: 24 count</t>
  </si>
  <si>
    <t>Keychron M3 Wireless Mouse, PAW3395 Sensor with Programmable Macro Button 26,000 DPI Supports 2.4 GHz/Bluetooth 5.1, 79g Ultra-Light Ergonomic Design Up to 70 Hours Using for PC Mac Laptop - Black</t>
  </si>
  <si>
    <t>BAOFENG BF-F8HP (UV-5R 3rd Gen) 8-Watt Dual Band Two-Way Radio (136-174MHz VHF &amp; 400-520MHz UHF) Includes Full Kit with Large Battery</t>
  </si>
  <si>
    <t>Taramps Pro 2.4S DSP Crossover full Digital Signal Processor and Equalizer with sequencer 15-band Graphic Equalization 12 preset EQ 2-Channel in and 4-Channel Out</t>
  </si>
  <si>
    <t>Siemens QSPD2A035B 35 KAmp BoltShield Indoor Surge Protective Device</t>
  </si>
  <si>
    <t>Razer DeathAdder Elite Gaming Mouse: 16,000 DPI Optical Sensor - Chroma RGB Lighting - 7 Programmable Buttons - Mechanical Switches - Rubber Side Grips - Matte Black</t>
  </si>
  <si>
    <t>Belkin 60W USB-C to Ethernet + Charge Adapter Cable w/ Gigabit Ethernet Port for High-Speed Network Access - Compatible with USB-C Devices Including MacBook Air, MacBook Pro, &amp; Windows Laptops - Black</t>
  </si>
  <si>
    <t>Elgato Video Capture – USB 2.0 Capture Card Device, Easy to Use, Convert Analog to Digital, with VHS VCR TV to DVD Adapter, for Mac, Windows or iPad</t>
  </si>
  <si>
    <t>HyperX Cloud II Core Wireless - Gaming Headset for PC, DTS Headphone:X Spatial Audio, Memory Foam Ear Pads, Black</t>
  </si>
  <si>
    <t>Next Level Racing GT Lite Foldable Simulator Cockpit (NLR-S021)</t>
  </si>
  <si>
    <t>SimpliSafe Wireless Keypad - Touch-to-Wake Technology - Compatible with The Home Security System - Latest Gen</t>
  </si>
  <si>
    <t>Lenovo Legion Pro 5i Gen 10 16" Gaming Laptop (2025 Model) Intel Core Ultra 9 275HX 24C, NVIDIA GeForce RTX 5070 Ti 12GB, 32GB RAM, 2TB (1TB+1TB) NVMe SSD, 16.0" WQXGA OLED 500 nits 240Hz, Win 11 Pro</t>
  </si>
  <si>
    <t>Uniden PRO505XL 40-Channel CB Radio. Pro-Series, Compact Design. Public Address (PA) Function. Instant Emergency Channel 9, External Speaker Jack, Large Easy to Read Display. - Black</t>
  </si>
  <si>
    <t>SAMSUNG 27” Odyssey OLED G6 G60SF QHD QD-OLED Gaming Monitor, 500Hz Refresh Rate, 0.03ms (GtG) Response Time, G-Sync Compatible, VESA DisplayHDR TrueBlack 500, LS27FG602SNXZA, 2025, 3 Yr Warranty</t>
  </si>
  <si>
    <t>ASUS AX3000 WiFi 6 Router (RT-AX57) - Dual Band Gigabit Wireless Internet Router, Gaming &amp; Streaming, AiMesh Compatible, Included Lifetime Internet Security, Parental Control, MU-MIMO, OFDMA</t>
  </si>
  <si>
    <t>Belkin Portable Charger, Wireless Power Bank 15W 5000mAh w/ Qi2, MagSafe Charger + Built-in Pop-up Kickstand - Compatible w/iPhone 16, 15, 14, Plus, Pro, Pro Max, &amp; More - Black</t>
  </si>
  <si>
    <t>Eneloop Panasonic BK-4HCCA16FA pro AAA High Capacity Ni-MH Pre-Charged Rechargeable Batteries, 16-Battery Pack</t>
  </si>
  <si>
    <t>Garmin Constant Power Cable, Compatible with Garmin Dash Cam, Fits Vehicle's OBD-II Port for Power Even When Parked and Turned Off</t>
  </si>
  <si>
    <t>Toshiba Canvio Flex 1TB Portable External Hard Drive USB-C USB 3.0, Silver for PC, Mac, &amp; Tablet - HDTX110XSCAA</t>
  </si>
  <si>
    <t>Amazon Fire Max 11 Tablet Magnetic Slim Cover (Only compatible with 13th generation tablet, 2023 release) - Black</t>
  </si>
  <si>
    <t>Brother LC3019BK Super High Yield Black -Ink -Cartridge</t>
  </si>
  <si>
    <t>Crucial 16GB, 260-pin SODIMM, DDR4 PC4-19200,</t>
  </si>
  <si>
    <t>Samsung Galaxy Tab S9 | S9 FE | S10 FE, FE Book Cover Keyboard Slim - AI Key for Galaxy Tab S10 FE, Detachable Platform, PC-Like Experience, Wireless Keyboard Sharing</t>
  </si>
  <si>
    <t>acer Bluetooth Wireless Mouse for Laptop, Computer Mouse Wireless (BT5.2+2.4GHz), Small to Medium Size, Left &amp; Right Handed Office USB Mice with USBA Receiver, 4 Buttons, Compatible with PC, Desktop</t>
  </si>
  <si>
    <t>ASURION 3 Year Cooling Protection Plan ($200 - $249.99)</t>
  </si>
  <si>
    <t>Corsair Harpoon PRO - RGB Gaming Mouse - Lightweight Design - 12,000 DPI Optical Sensor, Wired Pro</t>
  </si>
  <si>
    <t>Logitech G Astro A10 Gen 2 Cross-Platform Wired Gaming Headset for PlayStation 5/4, Xbox S|X, Nintendo Switch, PC: 3.5mm Headphone Jack, 32mm Drivers, Flip-to-Mute Mic, Over-Ear - Grey</t>
  </si>
  <si>
    <t>Samsung Electronics Wireless Charger Trio, Qi Compatible - Charge up to 3 Devices at Once - for Galaxy Phones, Buds, Watches, and Apple iPhone Devices, Black (US Version)</t>
  </si>
  <si>
    <t>ASUS RT-AX55 AX1800 Dual Band WiFi 6 Gigabit Router, 802.11ax, Lifetime internet security, Parental Control, Mesh WiFi support, MU-MIMO, OFDMA, 4 Gigabit LAN Ports, Beamforming</t>
  </si>
  <si>
    <t>HP 56 Black Ink Cartridge | Works with HP DeskJet 450, 5000, 9600; PhotoSmart 7000; OfficeJet 4000, 5000, 6110; Digital Coper Printer 410; PSC 1000, 2000; Fax 1240 Series | C6656AN</t>
  </si>
  <si>
    <t>Amazon Basics Comb Binding Machine, 350 Sheets Capacity, for paper sizes A5(15 holes)/Letter(19 holes)/A4(21 holes) with Adjustable Margin, Grey</t>
  </si>
  <si>
    <t>Joy-Con (L)/(R) - Pastel Purple/Pastel Green (Japan Stock)</t>
  </si>
  <si>
    <t>ARCTIC P12 PWM PST A-RGB (3 Pack) - PC Fans, 120mm PWM Case Fan Optimized for Static Pressure, Semi-Passive: 200–2000 RPM (0 RPM &lt;5%), 5V 3 pin ARGB LED - Black</t>
  </si>
  <si>
    <t>Pyle Megaphone Speaker PA Bullhorn Built-in Siren - Adjustable Volume Control &amp; 1200Yard Range - for Football, Soccer, Baseball, Hockey &amp; Basketball Cheerleading Fans &amp; Coaches or for Safety Drills</t>
  </si>
  <si>
    <t>Pyle 6.5 Inch Marine Speakers (Pair) - 2-way IP-X4 Waterproof and Weather Resistant Outdoor Audio Dual Stereo Sound System with 600 Watt Power and Low Profile Design - Pyle PLMR652W (White)</t>
  </si>
  <si>
    <t>Google WiFi System, 1-Pack - Router Replacement for Whole Home Coverage - NLS-1304-25,white</t>
  </si>
  <si>
    <t>GoPro 3-Way 2.0 (GoPro Official Mount), Black</t>
  </si>
  <si>
    <t>UGREEN Uno 100W USB C Charger, Nexode 4-Port GaN Charger Compact Fast USB C Power Adapter for MacBook Pro/Air, iPad Pro, iPhone 16 Pro, Galaxy S24 Ultra, Pixel 9, Steam Deck, ROG Ally</t>
  </si>
  <si>
    <t>GoPro Dual Battery Charger + 2 Enduro Batteries (HERO12 Black/HERO11 Black/HERO10 Black/HERO9 Black) - Official GoPro Accessory</t>
  </si>
  <si>
    <t>Klein Tools PJSFM1 Cordless Rechargeable Fan with USB-C Charging Cord and Multiple Mounting Options Perfect for the Jobsite</t>
  </si>
  <si>
    <t>Logitech New h390 USB Headset with noisecanceling Microphone Bulk Packaging, 5.8 Ounce</t>
  </si>
  <si>
    <t>kate spade new york Morgan Magnetic Phone Wallet/Card Holder - Compatible with MagSafe Phones and Cases - Midnight Black</t>
  </si>
  <si>
    <t>Belkin 3-Port USB C Charger Block 67W - PPS, USB-C PD3.1 Super Fast Charging Charger - Samsung Galaxy S25, Apple iPhone 16, MacBook Pro, AirPods, Nintendo Switch 2 &amp; Other PD Enabled Devices - White</t>
  </si>
  <si>
    <t>Apple Magic Keyboard - US English - Silver (Renewed)</t>
  </si>
  <si>
    <t>Sony PS5 multimedia remote control</t>
  </si>
  <si>
    <t>DJI Mic 2 Camera Adapter</t>
  </si>
  <si>
    <t>Legion Go USB-C Hub Dock for Legion Go – 6-in-1 Dock, Port Expansion, Charging, Video, Ethernet Support</t>
  </si>
  <si>
    <t>PGYTECH 2025 New Version Beetle Camera Clip V2 with Plate, Quick Release Camera Backpack Clip, Arca-Swiss Compatible, SnapLock System for Sony/Nikon/Fuji/DSLR Cameras, Instant Mounting &amp; Hands Free</t>
  </si>
  <si>
    <t>Canon CLI-251XL Genuine Three Color Multi Pack, Compatible with MG6320, iP7220, MG5420, MX922, MX722, MG7120, MG6420, MG5520, iX6820, iP8720, MG7520, MG6620, MG5620 (Optional) Printers</t>
  </si>
  <si>
    <t>KICKER 46CSC354 CS-Series CSC35 3.5-Inch (89mm) Coaxial Speakers, 4-Ohm (Pair)</t>
  </si>
  <si>
    <t>EPSON 252 DURABrite Ultra Ink Standard Capacity Black &amp; Color Cartridge Combo Pack (T252120-BCS) Works with WorkForce WF-3620, WF-3640, WF-7110, WF-7610, WF-7620, WF-7710, WF-7720, WF-7210</t>
  </si>
  <si>
    <t>Scosche GM2000SWF Factory Stereo Replacement Interface Adapter, Compatible with Select 2000-13 GM Vehicles, Car Radio Wiring Harness, Retains Steering Wheel Controls &amp; OEM Amplifier - See Fit Guide</t>
  </si>
  <si>
    <t>Crosley CR8005F-MT Cruiser Plus Vintage 3-Speed Bluetooth in/Out Suitcase Vinyl Record Player Turntable, Mint</t>
  </si>
  <si>
    <t>LG 75” 75UR640S9UD UR640S Series UHD Signage TV with Slim Depth, SuperSign CMS, and Embedded Content &amp; Group Management</t>
  </si>
  <si>
    <t>GoPro Extension Pole (Extends from 10" to 48") + Waterproof Shutter Remote - Official GoPro Accessory</t>
  </si>
  <si>
    <t>Amazon Basics Ergonomic Wireless Keyboard and Mouse Combo for Comfortable PC and Laptop Use, 2.4 GHz USB, Black</t>
  </si>
  <si>
    <t>Xiaomi Smart Band 9 Global Version (2024) 1.62" Amoled Display | 233 mAh Battery | up to 21 Days of Battery Life | Over 150 Workout Modes | BT 5.4 | 50M Water Resistant - Midnight Black</t>
  </si>
  <si>
    <t>NETGEAR Omnidirectional MIMO Antenna (6000451) - Boosts Performance of Internal Antennas, Compatible with M5 (MR5200) &amp; M6 (MR6150 &amp; MR6550) Hotspot Routers, Includes 2 TS-9 and 2 SMA Connectors</t>
  </si>
  <si>
    <t>GIGABYTE A520M K V2 (REV. 1.0) CHIPSET AMD A520 AM4, MATX, DDR4 - A520M K V2 1.0 MAE Card</t>
  </si>
  <si>
    <t>HP Laserjet M209dw Wireless Black &amp; White Laser Printer, Single-Function, Print, Best for Home Office (Renewed)</t>
  </si>
  <si>
    <t>Klein Tools 69345 Tripod, Flexible Tripod with Mount, Lightweight Aluminum, Compatible with Klein Tools Laser Levels and other Products</t>
  </si>
  <si>
    <t>Amazon Basics Gas Spring Single Computer Monitor Arm Mount, Adjustable, Holds up to 27" Monitors, Black</t>
  </si>
  <si>
    <t>Ham Radio Baofeng Radio AR-5RM 10W Long Range Handheld Rechargeable Tactical NOAA Weather Two Way Radio Walkie Talkie for Adults with Programming Cable,USB-C Charging for Survival Gear Hunting,2 Pack</t>
  </si>
  <si>
    <t>Mounting Dream Universal TV Wall Mount Extension Bracket for Televison Wall Plate, Fitting 16'' - 24'' Wood Studs and Easy Centering in Position, Max Loading Capacity of 154 LBS MD5232</t>
  </si>
  <si>
    <t>HP 712 Magenta 29-ml Genuine Ink Cartridge (3ED68A) for DesignJet T650, T630, T230, T210 &amp; Studio Plotter Printers</t>
  </si>
  <si>
    <t>Microsoft Designer Compact Keyboard - Matte Black. Standalone Wireless Bluetooth Keyboard. Compatible with Bluetooth Enabled PCs/Mac</t>
  </si>
  <si>
    <t>Incase Dots Hardshell with Makrolon® - MacBook Pro 14 inch Case - 2024, 2023, 2022, 2021, M4, M3, M2, M1 - MacBook Case, Laptop Cover, Protective Hard Shell, Scratch Resistant, Lightweight - Clear</t>
  </si>
  <si>
    <t>Brother P-Touch Cube Color Smartphone Label Maker, Bluetooth Wireless Technology, Multiple Templates Available for Apple &amp; Android Compatible – White</t>
  </si>
  <si>
    <t>ASUS ROG STRIX Arion Aluminum Alloy M.2 NVMe SSD External Portable Enclosure Case Adapter, USB 3.2 Gen 2 Type-C (10 Gbps), USB-C to C and USB-C to A Cables, Fits PCIe 2280/2260/2242/2230 M Key/B+M Key</t>
  </si>
  <si>
    <t>2009-2014 Ford F-150 Tailgate Back Up Camera Housing Bezel &amp; Emblem UPDATED OEM</t>
  </si>
  <si>
    <t>Canon CL-286 Genuine Color Ink Cartridge, Compatible with TR7820, TS7720/7722</t>
  </si>
  <si>
    <t>Sony NP-BX1/M8 Lithium-Ion X Type Battery (Silver)</t>
  </si>
  <si>
    <t>VIVO Under Desk 17 inch Cable Management Trays, Power Strip Holders, Cord Organizers, Wire Tamers for Office and Home, Black, 2 Pack, DESK-AC06-2C</t>
  </si>
  <si>
    <t>Genuine Replacement Ear Pads Cushions for SENNHEISER HD650, HD600, HD580, HD660 S, HD565, HD545 Headphones</t>
  </si>
  <si>
    <t>Pyle 150J Surge Protector Power Strip - 9 Outlet - 15 Amp - 1U Rack Mount with AC Filter - Heavy Duty Extension Cord - Overload Protection for Home/Office/Server Use - PCO850</t>
  </si>
  <si>
    <t>Ceaco - 750 Piece Jigsaw Puzzle - Parvanah Holloway - Glitter - Perfect Perfumes - Relaxing and Fun Activity for Adults</t>
  </si>
  <si>
    <t>DYMO Authentic LW Shipping Labels, DYMO Labels for LabelWriter Label Printers, 2-1/8" x 4", 1 Roll of 220</t>
  </si>
  <si>
    <t>PNY 1TB Duo Link V3 USB 3.2 Gen 2 Type-C &amp; Type-A OTG Flash Drive Extreme Speeds Read/Write 1000/800MB/s External Mobile Storage Compatible with Smartphone/Tablet/Laptops/Desktops</t>
  </si>
  <si>
    <t>UGREEN Revodok Pro 6 in 1 USB C Hub Gigabit Ethernet Adapter with 4K 60Hz HDMI, 100W PD Charging, 10Gbps USB A&amp;C 3.2 Data Ports Compatible with Mac M1, M2, M3, iPad, iPhone 16 Pro/Pro Max, Steam Deck</t>
  </si>
  <si>
    <t>HP 143AD | W1143AD | Toner | Black Reload Kit | 2 Pack</t>
  </si>
  <si>
    <t>Xiaomi Smart Band 9 Active Global Version 1.47'' Display 18-Day Battery Life Modes All-Day Health and Fitness Monitoring 5ATM (Black)</t>
  </si>
  <si>
    <t>SteelSeries Rival 3 Gen 2 Gaming Mouse — 8500 DPI TrueMove Core Optical Sensor — 60 Million Click Durability — Low Latency — 77g Lightweight — 100% PTFE Feet — RGB — Black</t>
  </si>
  <si>
    <t>Muddy Basic Trail Camera Arm with Pan Head for Precision Game Cam Positioning</t>
  </si>
  <si>
    <t>Oakley Primer Recycled Laptop Bag, Blackout, One Size</t>
  </si>
  <si>
    <t>OtterBox Performance Car Dash &amp; Windshield Mount for MagSafe - Black</t>
  </si>
  <si>
    <t>Tripp Lite 3 Outlet Portable Surge Protector Power Strip, Direct Plug in, 2 USB, &amp; $5,000 Insurance (SK30USB) Black</t>
  </si>
  <si>
    <t>Audio-Technica AT-VMN95C Conical Replacement Turntable Stylus, Blue</t>
  </si>
  <si>
    <t>Belkin 42W Dual Port Charger Block, USB-C + USB-A Charger Super Fast Charging - Samsung Galaxy S25, Apple iPhone 16, 15, 14, 13, Pro, Pro Max, iPad, AirPods, Nintendo Switch 2 &amp; More - White</t>
  </si>
  <si>
    <t>Arlo Essential Solar Panel Charger (2nd Generation) - Arlo Certified Accessory - Works with Essential Outdoor Camera and Essential Outdoor XL Camera (2nd Generation), White - VMA6600</t>
  </si>
  <si>
    <t>Klein Tools AEPJS1 Bluetooth Speaker, Wireless Portable Jobsite Speaker Plays Audio and Answers Calls Hands Free, IPX5, Worksite Ready</t>
  </si>
  <si>
    <t>Canon CLI-36 Genuine Color Ink Tank, Compatible with mini320, mini260, iP100, iP110, TR150 and TR160 Printers</t>
  </si>
  <si>
    <t>Arlo Dual Charging Station Certified Accessory - Charge up to Two Batteries, Works Rechargeable Batteries (VMA5400) XL Rechargeable Batteries (VMA5420) Only - VMA5400C</t>
  </si>
  <si>
    <t>ecobee Smart Sensor for Doors &amp; Windows 2 Pack - Wifi Contact Sensor for Home Security, Energy Savings - Compatible with Smart Thermostats - Temperature sensor, white</t>
  </si>
  <si>
    <t>ASURION 4 Year Housewares Protection Plan ($60 - $69.99)</t>
  </si>
  <si>
    <t>UBeesize Auto Face Tracking Tripod with Adjustable Desk Tripod, 360° Rotating vlogging kit for iPhone with Remote &amp; Gesture Control, Rechargeable Selfie Fill Light, No App Required</t>
  </si>
  <si>
    <t>Samsung BN59-01432A- BN59-01432D Remote Control for Samsung Smart TVs Compatible with Neo QLED, 8K, The Frame and Crystal UHD Series</t>
  </si>
  <si>
    <t>Lenovo HD 1080p Webcam (300 FHD)- Black w/ 95° Wide Angle, 360° Rotation Pan &amp; Tilt, Dual Microphones, Privacy Shutter</t>
  </si>
  <si>
    <t>Amazon Basics Magnetic White Board with Pen Tray, Dry Erase Board, Aluminum Trim, 35.4" x 23.6"</t>
  </si>
  <si>
    <t>Taramps Monitor Level Remote Controller Volume Regulator Bass Knob Exclusively for Taramps Specific Amplifier, Volume Remote, Black, Small, Adjuster Integrated LEDs: On, Clip and Protection.</t>
  </si>
  <si>
    <t>Mounting Dream Soundbar Mount Sound Bar TV Bracket with Holes/Without Holes, Non-Slip Base Holder Extends 3.4" to 6.1", Up to 20 LBS, Safe and Easy to Install MD5425</t>
  </si>
  <si>
    <t>OM System LI-92B Rechargeable Li-Ion Battery for Tough TG-5, Tough TG-6, and Tough TG-7 Cameras</t>
  </si>
  <si>
    <t>Cooler Master NotePal X-Slim Ultra-Slim Laptop Cooling Pad with 160mm Fan (R9-NBC-XSLI-GP),Black X-Slim</t>
  </si>
  <si>
    <t>Pioneer F-Series TS-F1035R 4” 2-Way Speakers (Pair) – 150W Max, Balanced Sound + Smooth Treble, Great Stock Replacement, High-Efficiency Speaker Designed for OEM Power</t>
  </si>
  <si>
    <t>Amazfit Up Bluetooth Headphones, Open Ear Wireless Earbuds with Easy Touch, IPX4 Water Resistant &amp; Sweatproof, AI Noise Reduction, Earphones for Sports, Running, Compatible with Android &amp; iPhone</t>
  </si>
  <si>
    <t>EPSON 314 Claria Photo HD Ink High Capacity (T314XL922-S) Works with Expression Photo XP-15000, Gray/red</t>
  </si>
  <si>
    <t>Apple Lightning to Digital AV Adapter</t>
  </si>
  <si>
    <t>EPSON 252 DURABrite Ultra Ink High Capacity Magenta Cartridge (T252XL320-S) Works with WorkForce WF-3620, WF-3640, WF-7110, WF-7610, WF-7620, WF-7710, WF-7720, WF-7210</t>
  </si>
  <si>
    <t>Sony FE 28-70mm F2 GM Lens Black</t>
  </si>
  <si>
    <t>Duracell Optimum Coppertop AA Batteries with 4X Power Boost Ingredients 30 Count</t>
  </si>
  <si>
    <t>Moultrie Flex Mount 2 for Edge Series Trail Cameras - Adaptable Mounting for Easy Setup - Snap Lock</t>
  </si>
  <si>
    <t>HP 330 Wireless Keyboard and Mouse Combo - 2.4 Ghz Wireless USB Receiver - Chiclet Keys, 12 Keyboard Shortcuts - 1600 DPI Multi-Surface Mouse - LED Num Lock, Caps Lock, Scroll Lock (2V9E6AA)</t>
  </si>
  <si>
    <t>LISEN 3 in 1 Charging Station for Apple, Cargador Inalámbrico para iPhone Wireless Charging Station for Magsafe Charger Stand Cube, Foldable for iPhone16 16e 15 14 13 and Watch Gray</t>
  </si>
  <si>
    <t>HP Black Reduced Height Original Ink Cartridge (C6602A)</t>
  </si>
  <si>
    <t>NOCO GC040 Universal EVA Protection Case for GENIUS1, GENIUS2, GENIUS5, and GENIUS10 Smart Battery Chargers</t>
  </si>
  <si>
    <t>KUHN RIKON Strain-Free Gripper Opener for Jars and Bottles, 10 x 5 x 2.25 inches, White</t>
  </si>
  <si>
    <t>PGYTECH Camera Wrist Strap for Photographers Adjustable Quick Release Camera Hand Strap for Sony, Nikon, Canon, Gopro (Dark Grey)</t>
  </si>
  <si>
    <t>E-Z Ink 212XL Ink Cartridges High Capacity Remanufactured for Epson 212 XL 212XL T212 Combo Pack to Use with Espon XP-4100 XP-4105 WF-2850 WF-2830 (1 Black 1 Cyan 1 Magenta 1 Yellow, 4 Pack)</t>
  </si>
  <si>
    <t>UGREEN 2K@30Hz Video Capture Card HDMI to USB 3.0 A and USB C Capture Device, 4K Input 1080P 60FPS with Low Latency for Streaming Game Recording Compatible with Switch 2/Xbox/PS4/PS5/PC/Camera</t>
  </si>
  <si>
    <t>Amazon Basics 6-in-1 USB-C 3.2 (10G) Hub, 1 USB-C 100W PD Input, 2 USB-A, 1 USB-C, HDMI 4K, Ethernet, Light Grey, 11.94 x 4.6 x 1.5cm</t>
  </si>
  <si>
    <t>ASURION 4 Year Home Improvement Protection Plan ($300 - $349.99)</t>
  </si>
  <si>
    <t>ASURION 2 Year Camera Protection Plan ($70 - $79.99)</t>
  </si>
  <si>
    <t>GE 6-Outlet Surge Protector, 15 Ft Extension Cord, Power Strip, 800 Joules, Flat Plug, Twist-to-Close Safety Covers, Protected Indicator Light, ETL Listed, White, 50768</t>
  </si>
  <si>
    <t>UBeesize 12" Selfie Ring Light with Stand and Overhead Camera Mount, 62" Foldable Tripod for iPhone with Ringlight, Phone Light for Video Recording,Cooking,Photography,Live Streaming,Tiktok,YouTube</t>
  </si>
  <si>
    <t>Kenwood KFC-1366S 5-1/4" 2-way Speakers</t>
  </si>
  <si>
    <t>Wii Remote Controller White (Renewed)</t>
  </si>
  <si>
    <t>Pelican 1040 Micro Case (Black/Clear)</t>
  </si>
  <si>
    <t>D'Addario Guitar Tuner - NS Micro Soundhole Tuner - Fits in Guitar Sound Hole - For Acoustic Guitars, Ukuleles - Non Marring Sound Hole Clip - Quick &amp; Accurate Tuning</t>
  </si>
  <si>
    <t>KICKER TWS2 True Wireless Earbuds, Bluetooth Earbuds with Microphone, Environmental Noise Cancelling, Wireless Earphones for Android and iOS, Fast Charging Case USB-C with 24 Hours of Playtime</t>
  </si>
  <si>
    <t>Proscan Elite Portable CD Boombox with AM/FM Radio - Red</t>
  </si>
  <si>
    <t>DJI Osmo Mini Tripod, Compatibility: Osmo Pocket 3, Black</t>
  </si>
  <si>
    <t>Nanit Travel Case – Protective Hard Shell Carrying Case Pro Baby Monitor and Multi-Stand Travel Accessory, Green</t>
  </si>
  <si>
    <t>OtterBox Eclipse CASE for Apple Watch Series 10 (46mm) - Pavement</t>
  </si>
  <si>
    <t>Fujifilm Instax Mini Film Monochrome 2-Pack (20 B&amp;W Exposures)</t>
  </si>
  <si>
    <t>Energizer AA Industrial Strength Alkaline Battery 2779mAh - 24-Pack</t>
  </si>
  <si>
    <t>3M Desktop Document Holder Copy Holder, Adjustable Clip Holds Portrait and Landscape Documents for Easy Viewing, Bottom Ledge Has Lip to Keep up to 150 Sheets Securely in Place, Black (DH340MB)</t>
  </si>
  <si>
    <t>ASURION 2 Year Outdoor Furniture Protection Plan ($125 - $149.99)</t>
  </si>
  <si>
    <t>Nite Ize Squeeze Rotating Smartphone Bar Mount - Bike Mount Phone Holder for Handlebars - Phone Holster Accessories - Rotating Phone Holder with Easy-to-Squeeze Levers - Black</t>
  </si>
  <si>
    <t>Energizer CR1632 3 Volt Lithium Coin Battery 10 Pack (2 packs of 5)</t>
  </si>
  <si>
    <t>UBeesize 72" Phone Tripod - Tripod for iPhone &amp; Selfie Stick with Phone Holder &amp; Remote - Upgraded, Stable &amp; Portable Stand for iPhone 16/15/14, Android, Cameras &amp; Action Cams</t>
  </si>
  <si>
    <t>Dell Active Pen (PN557W)</t>
  </si>
  <si>
    <t>ASURION 2 Year Ride-On Protection Plan ($125 - $149.99)</t>
  </si>
  <si>
    <t>UGREEN Tablet Stand Holder for Desk with 360° Rotating Base Aluminum Dual Rod Support Adjustable Home Office Accessories Compatible for iPad Pro 13 12 11 Air Mini 5 4 3 Phone E-Reader Silver</t>
  </si>
  <si>
    <t>SanDisk Ultra 64GB 2‑pack SDXC UHS-I Class 10 Memory Card</t>
  </si>
  <si>
    <t>Epson EpiqVision Ultra LS650 Ultra Short Throw 3-Chip 3LCD Smart Streaming Laser Projector, 4K PRO-UHD, HDR, 3,600 Lumens, up to 120", Epson Setting Assistant, Android TV, Sound by Yamaha - Black</t>
  </si>
  <si>
    <t>OtterBox iPhone 12 &amp; iPhone 12 Pro Symmetry Series Case - Stardust (Silver Flake/Clear), Ultra-Sleek, Wireless Charging Compatible, Raised Edges Protect Camera &amp; Screen</t>
  </si>
  <si>
    <t>VIVO Full Motion Ultrawide Monitor Wall Mount, Fits Ultra-Wide Screens up to 49 inches and 44 lbs, Tilt and Swivel Arm, Black, MOUNT-VW01M</t>
  </si>
  <si>
    <t>E-Z Ink TN221 Toner Cartridge Replacement for Brother TN221 TN-221 Black Toner Cartridge to Use with MFC-9130CW HL-3170CDW HL-3140CW HL-3180CDW MFC-9330CDW MFC-9340CDW HL-3150CDN (2 Black TN221 Toner)</t>
  </si>
  <si>
    <t>VIVO Monitor and Laptop Stand, 24 inch Desktop Riser, Black, STAND-V000D</t>
  </si>
  <si>
    <t>OtterBox Samsung Galaxy S24 Ultra Symmetry Series Case - Black, Ultra-Sleek, Wireless Charging Compatible, Raised Edges Protect Camera &amp; Screen</t>
  </si>
  <si>
    <t>Godox ML-CD15 Diffusion Dome for Godox V1 V1Pro AD100PRO AD200PRO V860III V860II V850II TT685II TT685 TT600 TT560II TT520II TT660S AD200 ML30 ML30Bi ML60 ML60Bi AD300PRO AD400PRO</t>
  </si>
  <si>
    <t>Klein Tools VDV826-703 Pass-Thru Modular Data Plug, RJ45 CAT6, Gold Plated, Pass Through Connectors 50-Pack</t>
  </si>
  <si>
    <t>Dell Laptop Charger 65W watt AC Power Adapter(Power Supply) 19.5V 3.34A for Dell</t>
  </si>
  <si>
    <t>NEEWER Plug &amp; Play Vlog Microphone for Camera, 20-20KHz Mini Supercardioid Mic Compatible with Sony Canon Nikon iPhone Samsung Android Tablet Mac with 3.5mm TRS USB C OTG Shock Mount Windscreen, VM10</t>
  </si>
  <si>
    <t>Maxell Ur-90 Normal Bias Audio Cassette 90min (Pack of 10 - 90 Minute Tapes</t>
  </si>
  <si>
    <t>ASURION 3 Year Lawn &amp; Garden Extended Protection Plan ($250 - $299.99)</t>
  </si>
  <si>
    <t>WAVLINK USB 3.0 and USB C to SATA Dual-Bay External Hard Drive Docking Station for 2.5/3.5 Inch HDD/SSD with UASP (6Gbps), Support Offline Clone/Duplicator Function [16TB X2 ]-Black</t>
  </si>
  <si>
    <t>Blue Snowball iCE Condenser Microphone, Cardioid - Black (Renewed)</t>
  </si>
  <si>
    <t>New BAOFENG DM32 Walkie Talkie DMR GPS 10W Programming Multi Band Wireless Copy Frequency Type-C DM-32UV Ham 2 Way Ra</t>
  </si>
  <si>
    <t>Belkin BoostCharge Nylon Braided USB C to Lightning Cable 6.6ft/2M - MFi Certified 18W Power Delivery iPhone Charger Cord - Apple Charger USB C Cable - Fast Charging for iPhone 14, iPhone 13 - White</t>
  </si>
  <si>
    <t>Metra 82-8148 6" to 6.75" Speaker Adapter Fits Select Toyota/Lexus/Scion 1998-2025 Vehicles, Black</t>
  </si>
  <si>
    <t>ESR for AirPods Pro Case (2023/2022/2019, 2nd/1st Gen), Compatible with Airpods Pro 2 (USB-C/Lightning Cable), MagSafe Ready, Magnetic Lid Lock, Full Drop Protection Cover with Lanyard, Black</t>
  </si>
  <si>
    <t>HP 3.5mm Stereo Wired Business Headset, Customer Service Headset with Microphone for Laptop/Desktop/PC/MAC</t>
  </si>
  <si>
    <t>Speck Clear iPhone 16 Pro Case - Slim Phone Case iPhone 16 Pro - iPhone 16 Pro Phone Case - GemShell - Crystal Clear</t>
  </si>
  <si>
    <t>ZAGG InvisibleShield Glass Elite Screen Protector for iPhone 16e/ 14/13/ 13 Pro - 5X Stronger Impact and Shatter Protection, Maximum Scratch Resistance, Anti-Fingerprint Technology, Easy to Install</t>
  </si>
  <si>
    <t>Energizer - L91BP-8 - Ultimate Lithium - AA Batteries - 8 Pack</t>
  </si>
  <si>
    <t>OtterBox Galaxy S10+ Defender Series Case - Black, Rugged &amp; Durable, with Port Protection, Includes Holster Clip Kickstand</t>
  </si>
  <si>
    <t>Canon CLI-251XL Genuine Yellow Ink Tank, Compatible with MG6320, IP7220 &amp; MG5420, MX922, MG5520, MG6420, MG7120, iX6820, iP8720, MG7520, MG6620, and MG5620 Printers</t>
  </si>
  <si>
    <t>AT&amp;T USB-C Wall Charger 30W Fast Charging Power Adapter – Foldable Prongs, Compact Travel Charger – Compatible with iPhone 15, iPad, Samsung Galaxy, Pixel (White)</t>
  </si>
  <si>
    <t>Verbatim CD-RW 700MB 2X-12X Rewritable Media Disc - 25 Pack Spindle</t>
  </si>
  <si>
    <t>ASURION 4 Year Television Protection Plan ($1500 - $1999.99)</t>
  </si>
  <si>
    <t>Everlasting Comfort Cool Mist Humidifiers for Bedroom 6L - Humidifier Large Room No-Filter, Quiet Air Humidifier for Plants, Allergies, Dry Skin, Congestion, 50 Hr Run Time</t>
  </si>
  <si>
    <t>Belkin USB C Cable w/Lightning Connector, 6.6ft - Soft, Flexible Fast-Charging Cable, Lightning Charger Cord for iPhone 14 &amp; Earlier Series, iPad 9th Gen, Airpods &amp; More - White</t>
  </si>
  <si>
    <t>VIVO Steel Reinforcement Bracket Mount Plate for Thin, Glass, and Other Fragile Table Top Surfaces, Compatible with Most Monitor Stand C-Clamp Installations, Anti-Slip No Scratch, Black, STAND-AC01R</t>
  </si>
  <si>
    <t>Fintie SlimShell Case for iPad Air 11-inch M3 (2025) / M2 (2024), iPad Air 5th (2022) / 4th Generation (2020) 10.9 Inch - Flexible Soft TPU Back Cover with Pencil Holder, Composition Book</t>
  </si>
  <si>
    <t>ASUS ROG Strix SCAR 18 (2025) Gaming Laptop, 18” ROG Nebula HDR 16:10 2.5K 240Hz/3ms, NVIDIA GeForce RTX 5090, Intel Core Ultra 9 275HX, 32GB DDR5, 2TB PCIe Gen 4 SSD, Wi-Fi 7, Win 11 Pro, G835LX-XS97</t>
  </si>
  <si>
    <t>GoPro Cameras Grab Bag (GoPro Official Mount)</t>
  </si>
  <si>
    <t>Energizer EN93 Industrial C 12 Alkaline Batteries, Pack of 12</t>
  </si>
  <si>
    <t>DEWALT Heavy Duty NeverBlock USB Charger, Angled Dual Port 12W Wall Charger Adapter, Foldable Plug, Charging Box Brick, Cube for iPhone 15 14 13 12 11 Pro Max, Galaxy S22 S21 Note 20, HTC, Moto, LG</t>
  </si>
  <si>
    <t>OtterBox Commuter Series Case for iPhone 11 Pro Max (Only) - Non-Retail Packaging - Black</t>
  </si>
  <si>
    <t>Scosche ICCR6BN Double DIN Radio Installation Dash Kit Compatible with Select 2007-2020 Chrysler, Dodge, Jeep and RAM Vehicles - Complete Aftermarket Car Stereo Install Kit - See Fit Guide In Images</t>
  </si>
  <si>
    <t>Peak Design Anchor Connectors for Peak Design Straps (4-Pack, 4th Generation)</t>
  </si>
  <si>
    <t>Speck Case for iPad Pro 6th Generation 12.9 Inch - Drop &amp; Camera Protection, Slim Multi Range Stand, Apple Pencil Holder - Almond Milk/Mocha/Charcoal</t>
  </si>
  <si>
    <t>StarTech.com IDE to SATA Hard Drive or Optical Drive Adapter Converter, 40-Pin PATA to 2.5" SATA HDD / SSD / ODD Converter, TAA</t>
  </si>
  <si>
    <t>USB-C Charging Play Cable for DualSense Wireless Controller</t>
  </si>
  <si>
    <t>Scosche SAGMHR634 6.5”-6.75” Speaker Adapters Compatible with Select 2005-20 GM Vehicles - 6 1/2" to 6 3/4" Adapter Spacer for Car Door Speakers - Sold in Pairs - See Fit Guide in Image for Vehicles</t>
  </si>
  <si>
    <t>ASURION 3 Year Luggage Protection Plan ($100 - $124.99)</t>
  </si>
  <si>
    <t>MOSISO Compatible with MacBook Pro 13 inch Case M2 2025, 2024, 2023, 2022, 2021-2016 A2338 M1 A2251 A2289 A2159 A1989 A1708 A1706, Plastic Leopard Grain Hard Case&amp;Keyboard Cover&amp;Screen Protector,Black</t>
  </si>
  <si>
    <t>[Older Version] SanDisk 32GB 2-Pack Ultra MicroSDHC UHS-I Memory Card (2x32GB) - SDSQUAR-032G-GN6MT</t>
  </si>
  <si>
    <t>Avery TrueBlock File Folder Labels, 2/3" x 3-7/16", 750 Printable Labels, Assorted Colors, Permanent (5266)</t>
  </si>
  <si>
    <t>GE Flat Panel Indoor HD Digital TV Antenna, Long Range Smart TV Antenna, Supports 4K 1080P HD Smart TV VHF UHF, Extendable Dipole Rabbit Ears, Adjustable Stand, 5ft Coax HDTV Cable, 33681</t>
  </si>
  <si>
    <t>Canon PGI-270 Genuine Pigment Black Ink Tank, Compatible with MG6820, MG6821, MG6822, MG5720, MG5721, MG5722, MG7720, TS5020, TS6020, TS8020, and TS9020 Printers</t>
  </si>
  <si>
    <t>Cobra HGA 1500 Hga1500 36 Inch Magnetic Mount CB Antenna Heavy Duty Magnet, for use In Cars, SUVs Recreational Vehicles 300 Watt Power Handling Capability</t>
  </si>
  <si>
    <t>GE 6-Outlet Surge Protector, 8 Ft Extension Cord, Power Strip, 1300 Joules, Flat Plug, Twist-to-Close Safety Covers, Protected Indicator Light, ETL Listed, Black, 33662</t>
  </si>
  <si>
    <t>Monoprice XLR Male to 1/4-Inch TRS Male Cable - Gold Plated, High Fidelity and Eliminate Noise in the Recording Studio and On Stage, 16AWG, 6 Feet, Black, 6Ft</t>
  </si>
  <si>
    <t>SAMSUNG (2 Pack) OEM Wired 3.5mm White Headset with Microphone, Volume Control, and Call Answer End Button [EO-EG920BW] for SAMSUNG Galaxy S6 Edge+ / S5, Galaxy Note 5/4 / Edge (Bulk Packaging)</t>
  </si>
  <si>
    <t>LISEN for Qi2 15W MagSafe Car Mount Charger,Super Fast Magnetic Wireless Car Charger for iPhone 16 Pro Max Accessories，Qi2 MagSafe Charger Fits iPhone 16 15 14 13 12,Samsung with MagSafe Case</t>
  </si>
  <si>
    <t>EPSON 215 Ink Standard Capacity Tricolor Cartridge (T215530-S) Works with WorkForce WF-100, WF-110, EC-110</t>
  </si>
  <si>
    <t>Case-Mate Beaded Phone Charm - Detachable Anti Theft Strap - Hands-Free iPhone Wrist Strap for Women - Phone Chain Wristlet - Fits Galaxy, Pixel and More - Crystal Pearl Gold</t>
  </si>
  <si>
    <t>Coleman Glass Replacement Globe for Fueled Lanterns, Replacement Part for Coleman Lanterns</t>
  </si>
  <si>
    <t>8Bitdo Bluetooth Retro Receiver for PS1 PS2 and Windows, Compatible with Xbox Series Controller, Xbox One Bluetooth Controller, Switch Pro and PS5/PS4 Controller</t>
  </si>
  <si>
    <t>PNY 128GB Elite-X Fit USB 3.1 Flash Drive - 200MB/s</t>
  </si>
  <si>
    <t>Gardner Bender GBT-500A Analog 1.5 V Button Cell/22.5 Photo/AA/AAA/12 V/9 V/Lantern Cells &amp; More, Leads Battery Tester,14 Battery Range, Black</t>
  </si>
  <si>
    <t>Belkin 6-Outlet Power Strip With 3ft Cord, White</t>
  </si>
  <si>
    <t>LEGO City Undercover (Nintendo Switch)</t>
  </si>
  <si>
    <t>Gator Frameworks Desktop Microphone Stand with Round Weighted Base &amp; Adjustable Height (GFW-MIC-0501)</t>
  </si>
  <si>
    <t>ESR for iPad Mini 7 A17 Pro Case, iPad Mini 7th/6th Generation Case (2024/2021), Slim Trifold Two-Way Stand, Powerful Magnetic Attachment, Durable Protection, Supports Pencil Pro&amp;Pencil(USB-C), Black</t>
  </si>
  <si>
    <t>Avery Printable CD Labels, Matte White, Permanent Adhesive for Inkjet Printers, Includes 40 CD &amp; 80 Spine Sticker Labels to Write On (8692)</t>
  </si>
  <si>
    <t>Belkin BoostCharge Lightning Cable - 9.8ft/3M - MFi Certified Apple iPhone Charger USB to Lightning Cable - iPhone Cable - iPhone Charger Cord - Apple Charger - USB Phone Charger - White</t>
  </si>
  <si>
    <t>EPSON 410 Claria Premium Ink High Capacity Photo Black Cartridge (T410XL120) Works with Expression Premium XP-530, XP-630, XP-640, XP-7100, XP-830</t>
  </si>
  <si>
    <t>E-Z Ink Compatible Ink Cartridge Replacement for Canon PGI220 PGI-220 CLI221 CLI-221 to use with MX870 MX860 MP620 MP560 MP980 (4 Large Black, 4 Cyan, 4 Magenta, 4 Yellow, 4 Small Black) 20 Pack</t>
  </si>
  <si>
    <t>Canon CLI-271 Genuine Gray Ink Tank, Compatible with MG7720, TS8020, and TS9020 Printers</t>
  </si>
  <si>
    <t>Belkin BoostCharge Braided Lightning Cable - 6.6ft/2M - MFi Certified Apple iPhone Charger USB to Lightning Cable 6ft - iPhone Cable - iPhone Charger Cable - Apple Charger - USB Phone Charger - White</t>
  </si>
  <si>
    <t>Moukey Tablet Holder for Microphone Stand, Adjustable Mic Music Stand Phone Holder Mount, Compatible with iPad, iPhone, Android, All 4.7 to 12.9 Inches Tablets &amp; Smartphones</t>
  </si>
  <si>
    <t>Yamaha Viola Bow FC5</t>
  </si>
  <si>
    <t>Logitech M325 Wireless Mouse Dark Silver</t>
  </si>
  <si>
    <t>UGREEN Magnetic Phone Stand Compatible with MagSafe iPhone Holder for Desk Ergonomic Design Adjustable, Aluminum Cell Phone Stand Compatible for iPhone 16 15 14 13 12 Pro Max and MagSafe Case, Grey</t>
  </si>
  <si>
    <t>Gaming Mouse (2018 model), Mercury White</t>
  </si>
  <si>
    <t>ESR Pencil (1st Generation) for iPad 2018-2025, Tilt Sensitivity, Palm Rejection, Compatible with iPad 11th(A16)/10th Generation,Air 11"/13", Pro 11"/12.9"/13",Mini 6/5, White</t>
  </si>
  <si>
    <t>UGREEN USB C to USB C 3.2 Gen 2 Cable, 4K Video Monitor Display USB C Cable 10Gbps Data Transfer, 240W PD Fast Charging for iPhone 16/15, Samsung Galaxy S24/S23, MacBook Pro, iPad Pro, Dell XPS, 3.3FT</t>
  </si>
  <si>
    <t>E-Z Ink Compatible Drum Unit (Not Toner) Replacement for Brother DR420 DR 420 High Yield for use with HL-2270DW HL-2280DW HL-2230 HL-2240 HL-2240D MFC-7860DW MFC-7360N DCP-7065DN (1 Drum Unit)</t>
  </si>
  <si>
    <t>Energizer 2CR5 Batteries, 1 Pack</t>
  </si>
  <si>
    <t>Insta360 GO 3/GO 3S Mic Wind Muff</t>
  </si>
  <si>
    <t>Samsung EP-DN930CWEGUS USB-C to USB-A Sync and Transfer Cable, 1 Meter, Retail Packaging, White</t>
  </si>
  <si>
    <t>ASURION 3 Year Desktop Protection Plan ($1250 - $1499.99)</t>
  </si>
  <si>
    <t>OEM Stereo Headphones w/Microphone for Samsung Galaxy S8 S9 S8 Plus S9 Plus Note 8 - Designed by AKG - 100% Original</t>
  </si>
  <si>
    <t>Post-it Notes, 3x3 in, 6 Pads, America's #1 Favorite Sticky Notes, Poptimistic Collection, Bright Colors (Magenta, Pink, Blue, Green), Clean Removal, Recyclable (630-6AN)</t>
  </si>
  <si>
    <t>ASUS ROG Strix SCAR 18 (2025) Gaming Laptop, 18” ROG Nebula HDR 16:10 2.5K 240Hz/3ms, NVIDIA® GeForce RTX™ 5080, Intel® Core™ Ultra 9 275HX, 32GB DDR5-5600, 2TB PCIe Gen 4 SSD, Wi-Fi 7, Windows 11 Pro</t>
  </si>
  <si>
    <t>Energizer CR2025 3V Lithium Coin Battery 10 Pack (2 Packs of 5)</t>
  </si>
  <si>
    <t>VELCRO Brand Bulk Pack 12 Reusable Fastening Cable Straps with Buckle Variety Sizes 8"-12"-18" Multi-Purpose Cinch Strap VEL-30100-AMS</t>
  </si>
  <si>
    <t>Canon CLI-251 Genuine Magenta Ink Tank, Compatible with MG6320, IP7220 &amp; MG5420, MX922, MG5520, MG6420, MG7120, iX6820, iP8720, MG7520, MG6620, and MG5620 Printers</t>
  </si>
  <si>
    <t>ASURION 2 Year Tablet Accident Protection Plan ($50 - $59.99)</t>
  </si>
  <si>
    <t>OtterBox iPhone 14 Plus Symmetry Series+ Case - BLACK , Ultra-sleek, Snaps to MagSafe, Raised Edges Protect Camera &amp; Screen</t>
  </si>
  <si>
    <t>MSI Titan 18 HX AI 18" 120Hz MiniLED UHD+ Gaming Laptop: Intel Ultra 9-285HX, NVIDIA Geforce RTX 5090, 64GB DDR5, 6TB NVMe SSD, Thunderbolt 5, Wi-Fi 7, Win 11 Pro: Black A2XWJG-614US</t>
  </si>
  <si>
    <t>Master Lock 643DWD Set Your Own Word Combination Lock 1-9/16 in. Wide Silver</t>
  </si>
  <si>
    <t>Samsung AKG Earbuds Original 3.5mm in-Ear Headphones with Remote &amp; Mic for Galaxy A71, A31, Galaxy S10, S10e, Note 10, Note 10+, S10 Plus, S9 - Braided, Includes Velvet Carrying Pouch - Black</t>
  </si>
  <si>
    <t>Energizer Ultimate Lithium AA Batteries, 18 Pack</t>
  </si>
  <si>
    <t>MOSISO Compatible with MacBook Air 15 inch Case 2025 2024 2023 Release M4 A3241 M3 A3114 M2 A2941, Ultra-Thin Natural Original Color Protective Plastic Hard Shell Case&amp;Keyboard Cover, Midnight Clear</t>
  </si>
  <si>
    <t>Metra 72-8104 Speaker Connector for Select Toyota Vehicles</t>
  </si>
  <si>
    <t>PowerA DualShock USB Charging Station for PlayStation 4</t>
  </si>
  <si>
    <t>AINOPE Printer Cable, [2-in-1] Printer USB B to USB C/A MIDI Cable High Speed Nylon Braided for MacBook Pro, HP Canon Brother Dell Epson Lexmark DAC,MIDI Keyboard, 6.6FT, Grey</t>
  </si>
  <si>
    <t>Energizer Ultimate Lithium AA Batteries Pack, 1.5V AA Batteries, 24 Count</t>
  </si>
  <si>
    <t>ASURION 3 Year Desktop Protection Plan ($900 - $999.99)</t>
  </si>
  <si>
    <t>Energizer AA and AAA Batteries, 48 Count, Combo Pack Contains 24 Max Double A and 24 Max Triple A Batteries</t>
  </si>
  <si>
    <t>Aquaphor Baby Healing Ointment Advanced Therapy Skin Protectant for Chapped or Dry Skin, Drool Rash and Diaper Rash Ointment, 14 Oz Jar</t>
  </si>
  <si>
    <t>HP Printer Paper | 8.5 x 11 Paper | Office 20 lb | 3 Ream Case - 1500 Sheets | 92 Bright | Made in USA - FSC Certified | 112090C, White</t>
  </si>
  <si>
    <t>Amazon Basics 9 inch Thermal Laminator Machine for Documents and Photos, Easy to Use for Home Office or School, White</t>
  </si>
  <si>
    <t>Avery Insertable Plastic Dividers for 3 Ring Binders, 8 Tabs per Set, Big Tabs, Two Pockets, Multicolor Binder Dividers, Works with Sheet Protectors (11903)</t>
  </si>
  <si>
    <t>BIC Xtra Strong Mechanical Pencils with Erasers, Thick Point (0.9mm), 24-Count, Mechanical Pencils for School or Office Supplies</t>
  </si>
  <si>
    <t>Powermax 24-Count Double AA Batteries, Ultra Long Lasting Alkaline Battery for Home and Office, 10-Year Shelf Life, Reclosable Packaging</t>
  </si>
  <si>
    <t>Powermax 24-Count Triple AAA Batteries, Ultra Long Lasting Alkaline Battery for Home and Office, 10-Year Shelf Life, Reclosable Packaging</t>
  </si>
  <si>
    <t>ASURION 4 Year Kitchen Protection Plan ($250 - $299.99)</t>
  </si>
  <si>
    <t>Apple 2025 MacBook Air 15-inch Laptop with M4 chip: Built for Apple Intelligence, 15.3-inch Liquid Retina Display, 16GB Unified Memory, 256GB SSD Storage, 12MP Center Stage Camera, Touch ID; Midnight</t>
  </si>
  <si>
    <t>ASURION 3 Year Furniture Protection Plan ($300 - $349.99)</t>
  </si>
  <si>
    <t>HP Color Laserjet Pro MFP 3301sdw Wireless All-in-One Color Laser Printer, Scanner, Copier, Best-for-Office (499Q3F)</t>
  </si>
  <si>
    <t>Sony WH-1000XM6 The Best Wireless Noise Canceling Headphones, HD NC Processor QN3, 12 Microphones, Adaptive NC Optimizer, Mastered by Engineers, Studio-Quality, 30-Hour Battery, Black</t>
  </si>
  <si>
    <t>DYMO LabelManager 160 Portable Label Maker Bundle, Easy-to-Use, One-Touch Smart Keys, QWERTY Keyboard, Large Display, For Home &amp; Office Organization, Includes 3 D1 label cassettes</t>
  </si>
  <si>
    <t>HP 414A Yellow Toner Cartridge | Works with HP Color LaserJet Enterprise M455dn, MFP M480f; HP Color LaserJet Pro M454 Series, HP Color LaserJet Pro MFP M479 Series | W2022A</t>
  </si>
  <si>
    <t>Brother HL-L2460DW Wireless Compact Monochrome Laser Printer with Duplex, Mobile Printing, Black &amp; White Output | Includes Refresh Subscription Trial(1), Works with Alexa</t>
  </si>
  <si>
    <t>NETGEAR Nighthawk Modem Router Combo (CAX30) DOCSIS 3.1 Cable Modem and WiFi 6 Router - AX2700 2.7 Gbps - Compatible with Xfinity, Spectrum, Cox, and More - Gigabit Wireless Internet</t>
  </si>
  <si>
    <t>Logitech ERGO K860 Wireless Ergonomic Keyboard - Split Keyboard, Wrist Rest, Natural Typing, Stain-Resistant Fabric, Bluetooth and USB Connectivity, Compatible with Windows/Mac, Black</t>
  </si>
  <si>
    <t>SAMSUNG 32-Inch Class Full HD F6000 Smart TV (2025 Model) HDR, Object Tracking Sound Lite, Knox Security, One UI Tizen, Smart TV</t>
  </si>
  <si>
    <t>Sceptre Curved 27" FHD 1080p 75Hz LED Monitor HDMI VGA Build-In Speakers, EDGE-LESS Metal Black 2019 (C275W-1920RN)</t>
  </si>
  <si>
    <t>Skylight Frame – WiFi Digital Picture Frame Customer Support, Touch Screen Digital Photo Frame with Easy Setup, Photo Gifts for Parents and Grandparents - 10 Inch Black</t>
  </si>
  <si>
    <t>Hisense 32-Inch Class A4 Series FHD 1080p Smart Fire TV (32A4NF, 2025 Model) - DTS Virtual: X, Slim Bezel Design, Alexa Built in</t>
  </si>
  <si>
    <t>Ring Wired Doorbell Pro (newest model) – Best-in-class with cutting-edge features (existing doorbell wiring required)</t>
  </si>
  <si>
    <t>Texas Instruments TI-83 Plus Graphing Calculator, Gray, Standard</t>
  </si>
  <si>
    <t>Logitech C920S HD Pro Webcam, Full HD 1080p/30fps Video Calling, Clear Stereo Audio, Light Correction, Privacy Shutter, Works with Skype, Zoom, FaceTime, Hangouts, PC/Mac/Laptop/Tablet/XBox - Black</t>
  </si>
  <si>
    <t>ARRIS (SB8200) - Cable Modem - Fast DOCSIS 3.1 32x8 Gigabit Cable Modem , Approved for Comcast Xfinity, Cox, Charter Spectrum, &amp; more | 1 Gbps Max Internet Speed, 4 OFDM Channels - (No Built-in Wifi)</t>
  </si>
  <si>
    <t>Brother MFC-J4335DW INKvestment Tank Wireless All-in-One Color Inkjet Printer, Up to 1-Year of Ink in-Box, Duplex Printing, Mobile and Cloud Print, Works with Alexa</t>
  </si>
  <si>
    <t>ASURION 3 Year Personal Care Protection Plan ($80 - $89.99)</t>
  </si>
  <si>
    <t>Crucial Pro 32GB DDR5 RAM Kit (2x16GB),CL36 6000MHz, Overclocking Desktop Gaming Memory, Intel XMP 3.0 &amp; AMD Expo Compatible, Black - CP2K16G60C36U5B</t>
  </si>
  <si>
    <t>HP ENVY Inspire 7955e Wireless Color Inkjet Printer, Print, scan, copy, Easy setup, Mobile printing, Best-for home, 3 month Instant Ink trial included, White</t>
  </si>
  <si>
    <t>Apple Magic Keyboard - US English ​​​​​​​</t>
  </si>
  <si>
    <t>HP 138A Black Toner Cartridge | Works Laserjet Pro 3001 Series, Laserjet Pro MFP 3101 Series | W1380A</t>
  </si>
  <si>
    <t>Brother HL-L2405W Wireless Compact Monochrome Laser Printer with Mobile Printing, Black &amp; White Output | Includes Refresh Subscription Trial(1), Works with Alexa</t>
  </si>
  <si>
    <t>CORSAIR RM850e (2025) Fully Modular Low-Noise ATX Power Supply with 12V-2x6 Cable – ATX 3.1 &amp; PCIe 5.1 Compliant, Cybenetics Gold Efficiency, 105°C-Rated Capacitors, Modern Standby Mode – Black</t>
  </si>
  <si>
    <t>HP Envy 6555e Wireless All-in-One Color Inkjet Printer, Print, scan, Copy, Duplex Printing Best-for-Home, 3 month Instant Ink trial included (714N5A)</t>
  </si>
  <si>
    <t>ASURION 2 Year Wearables Protection Plan ($90 - $99.99)</t>
  </si>
  <si>
    <t>Brother Genuine High Yield Toner Cartridge, TN660, Replacement Black Toner, Page Yield Up to 2,600 Pages, Amazon Dash Replenishment Cartridge, Black, 1 pack</t>
  </si>
  <si>
    <t>HP 936 Black Ink Cartridge Printers | Works with Printer Series: OfficeJet 9120, OfficeJet Pro 9110, 9120, 9130 Series, Wide Format 9730 | Eligible for Instant Ink | 4S6V2LN</t>
  </si>
  <si>
    <t>Roku Streambar SE | 2-in-1 TV Soundbar with Built-in 4K/HD/HDR Streaming, Premium Speakers, &amp; Enhanced Speech Clarity for Crisp, Clear Dialogue - Quick Guided Simple Setup</t>
  </si>
  <si>
    <t>Skullcandy Method 360 ANC Wireless Earbuds, Sound by Bose, Bluetooth Headphones, Premium Noise Cancelling, Up to 40 Hrs Battery, Sweat and Water Resistant, Microphone for iPhone Android - True Black</t>
  </si>
  <si>
    <t>Kingston NV3 1TB M.2 2280 NVMe SSD | PCIe 4.0 Gen 4x4 | Up to 6000 MB/s | SNV3S/1000G</t>
  </si>
  <si>
    <t>Fitbit Charge 6 Activity Tracker Heart Rate Monitoring, 7-Day Battery, Integrated Google Apps, Maps &amp; Wallet, in-Depth Health Insights, Activity &amp; Sleep Analysis, S &amp; L Bands Included, Obsidian/Black</t>
  </si>
  <si>
    <t>Carhartt 21L Classic Laptop Backpack, Water-Resistant Pack W/ 15" Laptop Sleeve and Organizational Compartments, PFAS Free, Black</t>
  </si>
  <si>
    <t>Apple USB-C Digital AV Multiport Adapter</t>
  </si>
  <si>
    <t>Crucial BX500 1TB 3D NAND SATA 2.5-Inch Internal SSD, up to 540MB/s - CT1000BX500SSD1, Solid State Drive</t>
  </si>
  <si>
    <t>TP-Link Dual-Band BE3600 Wi-Fi 7 Router Archer BE230 | 4-Stream | 2×2.5G + 3×1G Ports, USB 3.0, 2.0 GHz Quad Core, 4 Antennas | VPN, EasyMesh, HomeShield, MLO, Private IOT | Free Expert Support</t>
  </si>
  <si>
    <t>HP 659A Cyan Toner Cartridge | Works with HP Color LaserJet Enterprise M856, HP Color LaserJet Enterprise MFP M776 Series | W2011A</t>
  </si>
  <si>
    <t>Brother P-Touch PTD220 Home/Office Everyday Label Maker | Prints TZe Label Tapes up to ~1/2 inch White</t>
  </si>
  <si>
    <t>Microsoft Xbox Series X – 1TB Digital Edition</t>
  </si>
  <si>
    <t>Amazon Basics 150-Pack AAA Alkaline Industrial Batteries, 1.5 Volt, 5-Year Shelf Life</t>
  </si>
  <si>
    <t>TP-Link TL-SG1005P, 5 Port Gigabit PoE Switch, 4 PoE+ Ports @65W, Desktop, Plug &amp; Play, Sturdy Metal w/ Shielded Ports, Fanless, QoS &amp; IGMP Snooping</t>
  </si>
  <si>
    <t>ASURION 2 Year Sporting Goods Protection Plan ($800 - $899.99)</t>
  </si>
  <si>
    <t>Tapo by TP-Link 2K QHD Security Camera Indoor/Outdoor, 2024 PCMag Editor's Choice, Color Night Vision, Free Person/Pet/Vehicle Detection, Baby Monitor, Local/Cloud Storage, IP66, Dual-Spotlight(C120)</t>
  </si>
  <si>
    <t>ASURION 3 Year Lawn &amp; Garden Extended Protection Plan ($80 - $89.99)</t>
  </si>
  <si>
    <t>Apple TV Siri Remote (3rd Generation)</t>
  </si>
  <si>
    <t>Logitech Wireless Mouse Signature M650 L Full Size - Large Hands, 2-Year Battery, Silent Clicks, Customizable Buttons, Bluetooth, PC/Mac/Chromebook - Black, Right-Handed, Large</t>
  </si>
  <si>
    <t>Fujifilm Instax Mini Instant Film, 10 Sheets×5 Pack(Total 50 Shoots)</t>
  </si>
  <si>
    <t>JanSport Main Campus Backpack - Travel or Work backpack w 15-Inch Laptop Sleeve and Dual Water Bottle Pockets, Black</t>
  </si>
  <si>
    <t>EPSON 822 DURABrite Ultra Ink High Capacity Black Cartridge (T822XL120-S) Works with WorkForce Pro WF-3820, WF-3823, WF-4820, WF-4830, WF-4833, WF-4834</t>
  </si>
  <si>
    <t>Fujifilm Instax Wide Instant Film Twin Pack - 20 Exposures</t>
  </si>
  <si>
    <t>SAMSUNG Galaxy Buds Fan Edition(FE) SM-R400, Active Noise-Cancelling, Wireless Bluetooth v5.2 Earbuds, Android 8.0 and Up - (Graphite)</t>
  </si>
  <si>
    <t>Remington F5 Power Series Foil Shaver, Electric Razor for Men, Cordless Rechargeable with Pop Up Trimmer, Pivot &amp; FlexFoil Technology, Lightweight Handheld Design, Black</t>
  </si>
  <si>
    <t>Energizer Alkaline Power C Batteries (12 Pack), Long-Lasting Alkaline C Cell Batteries</t>
  </si>
  <si>
    <t>Brother Genuine P-Touch, TZe-231 2 Pack Tape (TZE2312PK) ½”(0.47”) x 26.2 ft. (8m) 2 Count (Pack of 1) Laminated P-Touch Tape, Black on White</t>
  </si>
  <si>
    <t>ASURION 3 Year Furniture Protection Plan ($30 - $39.99)</t>
  </si>
  <si>
    <t>DEWALT Heavy Duty Bluetooth Neckband Headphones, Wireless Around The Neck Earbuds w/ 30H Runtime + Noise Isolation, Secure Magnetic Wireless Earbuds, Jobsite Pro Built-in Mic Bluetooth Headsets</t>
  </si>
  <si>
    <t>ASURION 4 Year Housewares Protection Plan ($40 - $49.99)</t>
  </si>
  <si>
    <t>PNY 32GB Elite Class 10 U1 V10 SDHC Flash Memory Card - 100MB/s Read, Class 10, U1 Full HD, UHS-I, Full Size SD (Pack of 5)</t>
  </si>
  <si>
    <t>TP-Link WiFi 6 PCIe WiFi Card for Desktop PC AX3000 (Archer TX55E), Bluetooth 5.2, WPA3, 802.11ax Dual Band Wireless Adapter with MU-MIMO, Ultra-Low Latency, Supports Windows 11, 10 (64bit) Only</t>
  </si>
  <si>
    <t>Roku Voice Remote Pro | Rechargeable with Hands-free Voice Controls, Headphone Mode &amp; Lost Device Locator - Compatible with RokuTV, Players &amp; Audio Devices</t>
  </si>
  <si>
    <t>Logitech MK470 Slim Wireless Keyboard and Mouse Combo - Modern Compact Layout, Ultra Quiet, 2.4 GHz USB Receiver, Plug n' Play Connectivity, Compatible with Windows - Graphite</t>
  </si>
  <si>
    <t>HP Paper Printer | 8.5 x 11 Paper | Premium 32 lb | 1 Ream - 500 Sheets | 100 Bright | Made in USA - FSC Certified | 113100R</t>
  </si>
  <si>
    <t>SABRENT USB 3.0 to SATA External Hard Drive Lay-Flat Docking Station for 2.5 or 3.5in HDD, SSD [Support UASP] (EC-DFLT)</t>
  </si>
  <si>
    <t>Amazon Basics Polyester CD/DVD Portable Storage Binder, 400-capacity, Black</t>
  </si>
  <si>
    <t>Soundcore Select 4 Go Bluetooth Shower Speaker by Anker, IP67 Waterproof/Dustproof, Ultra-Portable Speaker, Wireless, 20H Playtime, Floatable, Powerful Sound, Electronics for Outdoors/Home/Travel</t>
  </si>
  <si>
    <t>Amazon Basics 8-Sheet Strip Cut Paper, CD, and Credit Card Shredder with Auto-Off Compact, Portable Design, No Basket, Extendable Arm, Black</t>
  </si>
  <si>
    <t>TP-Link AC1200 WiFi Router (Archer A54) - Dual Band Wireless Internet Router, 4 x 10/100 Mbps Fast Ethernet Ports, EasyMesh Compatible, Support Guest WiFi, Access Point Mode, IPv6 &amp; Parental Controls</t>
  </si>
  <si>
    <t>Avery Clear Laminating Sheets, 9" x 12", Permanent Self-Adhesive, 50 Self-Laminating Sheets, Great for Protecting Documents, Photos, and Signs More (73601)</t>
  </si>
  <si>
    <t>KODAK Dock Plus &amp; Dock Photo Printer Cartridge PHC-80 – Cartridge Refill &amp; Photo Paper- 80 Pack</t>
  </si>
  <si>
    <t>Logitech H111 Wired Headset, Stereo Headphones with Noise-Cancelling Microphone, 3.5 mm Audio Jack, PC/Mac/Laptop/Smartphone/Tablet - Black</t>
  </si>
  <si>
    <t>Turtle Beach Recon 50 Xbox Gaming Headset - Xbox Series X, Xbox Series S, Xbox One, PS5, PS4, PlayStation, Mobile &amp; PC with 3.5mm - Removable Mic, 40mm Speakers</t>
  </si>
  <si>
    <t>EPSON 212 Claria Ink Standard Capacity Black Cartridge (T212120-S) Works with WorkForce WF-2830, WF-2850, Expression XP-4100, XP-4105</t>
  </si>
  <si>
    <t>TI-30XIIS Scientific Calculator, Lavender Limits</t>
  </si>
  <si>
    <t>Avery Customizable Name Badge Inserts for Name Tag Holders, 3" x 4", White, Laser/Inkjet Printable, 300 Total (5392)</t>
  </si>
  <si>
    <t>Samsung Galaxy SmartTag2, Bluetooth Tracker, Smart Tag Tracking Device, Item Finder for Keys, Wallet, Luggage, Pets, Use w/ Phones and Tablets Android 11 or Later, 2023, 1 Pack, White</t>
  </si>
  <si>
    <t>ZAGG Glass+ Screen Protector for iPhone 16 Pro – 3X Stronger Tempered Glass with Reinforced Edges, Scratch &amp; Smudge Resistant, InvisibleShield, Easy Installation</t>
  </si>
  <si>
    <t>PNY P-SDU128X2V31100PX-GE 128GB Premier-X Class 10 U3 V30 microSDXC Flash Memory Card 2-Pack - 100MB/s, Class 10, U3, V30, A1, 4K UHD, Full HD, UHS-I, Micro SD</t>
  </si>
  <si>
    <t>PNY 64GB Turbo Attaché 3 USB 3.0 Flash Drive, Silver (Pack of 5)</t>
  </si>
  <si>
    <t>Canon PG-245 Genuine Black Ink Cartridge, Compatible with iP2820, MG2420/2924/2920/3020/2522/2525, MX492, TS3120/302/302a/202/202a/4520/3320</t>
  </si>
  <si>
    <t>ASURION 2 Year Personal Care Protection Plan ($70 - $79.99)</t>
  </si>
  <si>
    <t>TP-Link AC1300 USB WiFi Adapter(Archer T3U)- 2.4G/5G Dual Band Wireless Network Adapter for PC Desktop, MU-MIMO WiFi Dongle, USB 3.0, Supports Windows 11, 10, 8.1, 8, 7, XP/Mac OS X 10.9-10.14</t>
  </si>
  <si>
    <t>ASURION 2 Year Desktop Protection Plan ($250 - $299.99)</t>
  </si>
  <si>
    <t>ASURION 3 Year Floorcare Extended Protection Plan ($80 - $89.99)</t>
  </si>
  <si>
    <t>Microplane Premium Classic Series Zester 18/8, Black - Lemon Zester &amp; Cheese Grater &amp; Vegetable Grater - Citrus, Parmesan Cheese, Garlic, Ginger, Nutmeg, Chocolate - Stainless Steel Grater</t>
  </si>
  <si>
    <t>Sony WI-C100 Wireless in-Ear Bluetooth Headphones with Built-in Microphone, Black</t>
  </si>
  <si>
    <t>UGREEN Headphone Adapter for iPhone Lightning to 3.5mm Adapter Apple MFi Certified Lightning Aux Audio Jack Dongle Compatible with iPhone 14 Pro Max/14 Plus/13 12 11 Pro Max/SE/XS, Grey</t>
  </si>
  <si>
    <t>UGREEN SSD Enclosure, Tool-Free USB C External, 10Gbps M.2 NVMe to USB Adapter/Reader Supports M and B&amp;M Keys and Size 2230/2242 /2260/2280 SSDs</t>
  </si>
  <si>
    <t>Energizer Ultimate Lithium AA Batteries, World's Longest Lasting Battery for High-Tech Devices (4 Each), Black (EVEL91BP4)</t>
  </si>
  <si>
    <t>Belkin Quick Charge Wireless Charging Pad - 10W Qi-Certified Charger Pad for Apple iPhone, Samsung Galaxy, Pixel, Airpods Pro &amp; More, Charge While Listening to Music, Streaming Videos - Black (No PSU)</t>
  </si>
  <si>
    <t>Razer DeathAdder Essential Gaming Mouse: 6400 DPI Optical Sensor - 5 Programmable Buttons - Mechanical Switches - Rubber Side Grips - Classic Black</t>
  </si>
  <si>
    <t>PNY 256GB Attaché X USB 3.2 Gen 1 Flash Drive, Advanced Performance Up to 130MB/s Read, Everyday Data Store &amp; Transfer, Reliable Portable Storage, Durable, Type-A, Computers, Laptops, Desktops</t>
  </si>
  <si>
    <t>Amazon Basics 15W Qi Certified Wireless Charging Pad for iPhone 16/15/14/13/12/11/X, Samsung and More, with USB Cable, Black</t>
  </si>
  <si>
    <t>TP-Link USB Bluetooth Adapter for PC, Bluetooth 5.3 Long Range Receiver, Plug and Play, Adjustable Antenna, Supports Windows 11/10/8.1/7 for Desktop, Laptop, PS5/PS4/Xbox Controller (UB500 Plus)</t>
  </si>
  <si>
    <t>Amazon Basics Twin Pocket File Folders with Fasteners, 25-Pack, Letter, Assorted</t>
  </si>
  <si>
    <t>Amazon Basics Computer Mouse Wireless, Ergonomic, 2.4 GHz Optical, DPI Adjustable, Compatible With PC, Mac, Laptop, Black</t>
  </si>
  <si>
    <t>Avery High Visibility Printable Round Labels with Sure Feed, 2.5" Diameter, White, 300 Customizable Blank Labels Total (5294)</t>
  </si>
  <si>
    <t>Eneloop Panasonic BK-4MCCA10FA AAA 2100 Cycle Ni-MH Pre-Charged Rechargeable Batteries, 10-Battery Pack</t>
  </si>
  <si>
    <t>ASURION 3 Year Lawn &amp; Garden Extended Protection Plan ($300 - $349.99)</t>
  </si>
  <si>
    <t>Fender Professional Series Instrument Cable, Guitar Cable 10 ft, Guitar Accessories, Stage Ready with Anti-Kinking Design, Black</t>
  </si>
  <si>
    <t>ASURION 3 Year Camera Protection Plan ($125 - $149.99)</t>
  </si>
  <si>
    <t>Avery Printable Shipping Labels with Sure Feed, 3-1/3" x 4", White, 150 Blank Mailing Labels (5264)</t>
  </si>
  <si>
    <t>Lenovo Laptop Carrying Case T210, 15.6-Inch Laptop and Tablet, Sleek Design, Durable and Water-Repellent Fabric, Business Casual or School, GX40Q17231 Casual Toploader - Grey</t>
  </si>
  <si>
    <t>SanDisk 32GB Ultra® microSDHC 120MB/s A1 Class 10 UHS-I</t>
  </si>
  <si>
    <t>TP-Link USB to Ethernet Adapter (UE306), Supports Nintendo Switch, 1Gbps Gigabit RJ45 to USB 3.0 Network Adapter, Foldable &amp; Portable Design, Plug and Play, Compatible with Windows, macOS, and Linux</t>
  </si>
  <si>
    <t>VELCRO Brand ONE-WRAP Cable Ties, 100Pk, 8 x 1/2" Black Cord Organization Straps, Thin Pre-Cut Design, Wire Management for Organizing Home, Office and Data Centers</t>
  </si>
  <si>
    <t>Canon CL-241 Genuine Color Ink Cartridge, Compatible with MG2120/3120/4120, MX512/432/472/372/392/522/532/452, MG2220/3220/4220/3520/3620, TS5120</t>
  </si>
  <si>
    <t>Hasbro Gaming Twister Ultimate: Bigger Mat, More Colored Spots, Family, Kids Party Game Age 6+; Compatible with Alexa (Amazon Exclusive)</t>
  </si>
  <si>
    <t>SanDisk 64GB X2 (128GB) MicroSDXC Ultra Uhs-1 Memory Card</t>
  </si>
  <si>
    <t>ASURION 3 Year Camera Protection Plan ($2000 - $2999.99)</t>
  </si>
  <si>
    <t>Polaroid Go Color Film - Double Pack (16 Photos) (6017) - Only Compatible with Polaroid Go Camera</t>
  </si>
  <si>
    <t>Amazon Basics RJ45 Cat-6 Ethernet Patch Cable, 1Gpbs Transfer Speed, Gold-Plated Connectors, 50 Foot for PC, TV, Tablet, Router, Printer, Black</t>
  </si>
  <si>
    <t>Maxell UR 90 Normal Bias Blank Audio Recording Cassette Tape, Low Noise, 90 Minute Recording Time, 5 Pack</t>
  </si>
  <si>
    <t>ASURION 2 Year Major Appliance Protection Plan ($300 - $349.99)</t>
  </si>
  <si>
    <t>Logitech C-U0007 Unifying Receiver for Mouse and Keyboard Works with Any Logitech Product That Display The Unifying Logo (Orange Star, Connects up to 6 Devices) (C-U0007)</t>
  </si>
  <si>
    <t>Amazon Basics USB-C to USB-A 3.1 Gen1 Female Adapter Cable Converter, 5Gbps High-Speed, USB-IF Certified, for Laptops, Tablets, Phones (iPhone 16/15), White</t>
  </si>
  <si>
    <t>Avery Printable Address Labels with Sure Feed, 1" x 2-5/8", Matte Clear, 300 Blank Mailing Labels (18660)</t>
  </si>
  <si>
    <t>SanDisk 64GB Ultra USB 3.0 Flash Drive - SDCZ48-064G-UAM46</t>
  </si>
  <si>
    <t>KODAK SDHC Card 32GB UHS-I U1 V10 Premium, up to 85MB/s Read Speed, for Full HD Video and High-Resolution Pictures, Compatible with SDHC Standard - EKMSD32GHC10K</t>
  </si>
  <si>
    <t>Scotch Self-Sealing Laminating Pouches, 4 x 6 Inches, 3-Pack of 5 Pouches – No Machine Needed, Clear, Photo Safe</t>
  </si>
  <si>
    <t>Acer SD Card Reader USB C, Dual Slots Type C to Memory Card Reader, Aluminum Micro SD Card Camera Adapter for MicroSD, SDHC, SDXC, Compatible with iPhone16/15, MacBook, iPad Pro, Android, Laptop</t>
  </si>
  <si>
    <t>Amazon Basics Sheet Protector, Non-Glare, 100-Pack, 8.5 x 11, Clear</t>
  </si>
  <si>
    <t>Sony NEW Alpha 7S III Full-frame Interchangeable Lens Mirrorless Camera</t>
  </si>
  <si>
    <t>Energizer Power Plus Rechargeable AAA Batteries (4 Pack), 800mAh Triple A Batteries</t>
  </si>
  <si>
    <t>ESR 3 Pack for iPhone 16 Pro Max Privacy Screen Protector, Anti-spy Tempered-Glass Privacy Screen Protector with Easy Installation Tool, Micro-Curved Edges, Case Friendly</t>
  </si>
  <si>
    <t>ASURION 3 Year Kitchen Protection Plan ($600 - $699.99)</t>
  </si>
  <si>
    <t>ESR 3 Pack for iPhone 16e/ iPhone 14/ iPhone 13/13 Pro Screen Protector, Military Grade Shatterproof, 9H Hardness, Tempered Glass with UltraFit Tray</t>
  </si>
  <si>
    <t>Amazon Basics XLR Male to Female Microphone Cable for Speaker or PA System, All Copper Conductors, 6MM PVC Jacket, 6 Foot, Black</t>
  </si>
  <si>
    <t>Amazon Basics 8-Pack AAAA Alkaline High-Performance Batteries, 1.5 Volt, 3-Year Shelf Life</t>
  </si>
  <si>
    <t>UGREEN Cat 8 Ethernet Cable 6FT, High Speed Braided 40Gbps 2000Mhz Network Cord Cat8 RJ45 Shielded Indoor Heavy Duty LAN Cables Compatible for Gaming PC PS5 Xbox Modem Router 6FT</t>
  </si>
  <si>
    <t>Avery Printable Business Cards with Sure Feed Technology, 2" x 3.5", White, 100 Blank Business Cards, Inkjet Printer Paper (28371)</t>
  </si>
  <si>
    <t>ESR for MagSafe Sticker, MagSafe Ring Magnet, 2 Pack Magnetic Metal Ring for Phone case, Universal Wireless Charger Conversion Kit for iPhone 16/16e/15/14/13/12/11, Galaxy S24/S23/S22 and More, Black</t>
  </si>
  <si>
    <t>PopSockets Phone Grip with Expanding Kickstand, Adhesive Grip - Neon Pink</t>
  </si>
  <si>
    <t>Scosche MAGRKI MagicMount Replacement Metal Plate Kit for Phone, Metal Plates for Magnetic Mount Cell Phone Holder for Car, Universal with All Devices and Phone Case, Black</t>
  </si>
  <si>
    <t>Canon 7981A004 Photo Paper Plus, Matte, 8-1/2 x 11 (Pack of 50 Sheets)</t>
  </si>
  <si>
    <t>Energizer Batteries 371 / 370 (SR920W SR920SW) Silver Oxide Watch Battery. On Tear Strip, 5 Pack</t>
  </si>
  <si>
    <t>Duracell N 1.5V Batteries, 2 Count (Pack of 1), N 1.5 Volt Alkaline Battery, Long-Lasting for Remote Controls, Key Fobs, GPS Trackers, and More</t>
  </si>
  <si>
    <t>Panasonic CR2032 3.0 Volt Long Lasting Lithium Coin Cell Batteries in Child Resistant, Standards Based Packaging, 4 Pack</t>
  </si>
  <si>
    <t>Avery Multi-Use Permanent Labels, 1" x 2.75", White, Non-Printable, 128 Blank Labels Total (6113)</t>
  </si>
  <si>
    <t>Escort MAX 360c Radar Detector with Extra Mount &amp; OBDII Cord Bundle</t>
  </si>
  <si>
    <t>MSI Vector 16 HX AI 16” 240Hz QHD+ Gaming Laptop: Intel Core Ultra 9-275HX, NVIDIA Geforce RTX 5070Ti, 16GB DDR5, 1TB NVMe SSD, Thunderbolt 5, Wi-Fi 7, Win 11 Home: Cosmo Gray A2XWHG-211US</t>
  </si>
  <si>
    <t>Monster Open AC601 Wireless Earbuds, Crystal Clear Call, USB-C Charging, Bluetooth 5.4 Open Earphones with ENC, IPX5 Waterproof Wireless Clip-on Earbud, 32H Playtime Earbuds (White)</t>
  </si>
  <si>
    <t>acer 311 Chromebook 2025 Flagship Slim Light Laptop, 11.6" HD Display, Dual-Core Intel N4500 Processor (Upto 2.80GHz), 4GB RAM, 64GB eMMC, Wi-Fi 5, Webcam 8+ Hrs Battery, Chrome OS +HubxcelAccessory</t>
  </si>
  <si>
    <t>Satechi Slim X3 Bluetooth Backlit Keyboard for Mac, Illuminated Keys &amp; Multi-Device Sync, for MacBook Air/Pro M4, iPad Air/Pro M4, iPad/iPad mini, Mac mini, iMac - Space Gray</t>
  </si>
  <si>
    <t>Escort MAX 360c MKII Radar and Laser Detector &amp; Escort M2 Smart Dash Cam Bundle - 1080P Full HD Video, Extreme Range, False-Alert Filtering, WiFi, GPS Based, Apple CarPlay and Android Auto Compatible</t>
  </si>
  <si>
    <t>Buffalo Games - Gold - Eric Dowdle - Golden Gate Bridge - 500 Piece Jigsaw Puzzle for Adults - Challenging Puzzle Perfect for Game Nights</t>
  </si>
  <si>
    <t>KODAK Wireless Digital Picture Frame with 4000mAh Battery Powered,10.1 Inch 1920x1200 G+G IPS Touch Screen Digital Picture Frame, 32GB Storage, Auto-Rotate, KODAK APP, Gifts for Women</t>
  </si>
  <si>
    <t>Poly Studio 4K USB Video Conference System (Plantronics) - Camera, Microphone, &amp; Speaker Bar for Small &amp; Medium Conference Rooms - Auto Framing &amp; Tracking - Teams/Zoom Certified - Amazon Exclusive</t>
  </si>
  <si>
    <t>StarTech.com 2.5GbE USB-C to Ethernet Adapter, NBASE-T NIC, USB 3.0 Type-C 2.5/1G Multi Speed Network, Thunderbolt Compatible</t>
  </si>
  <si>
    <t>ESR Qi2 3 in 1 Charging Station for Apple, [Certified] Apple Watch Charger &amp; Qi2 15W MagSafe Charger Stand for iPhone, Travel Charger for Multiple Devices, iPhone 16/15/14/13, Watch &amp; AirPods, Black</t>
  </si>
  <si>
    <t>Belkin USB C Charger Block 65W - USB C Cable Included - Super Fast Charging, Type C Wall Charger - Apple iPhone 16/15/14/13, Galaxy S25, Pixel 9, MacBook, iPad, Nintendo Switch 2, &amp; More - Black</t>
  </si>
  <si>
    <t>ASUS ROG Strix G16 (2025) Gaming Laptop, 16” ROG Nebula 16:10 2.5K 240Hz/3ms, NVIDIA® GeForce RTX™ 5080, Intel® Core Ultra 9 275HX, 32GB DDR5, 1TB PCIe Gen 4 SSD, Wi-Fi 7, Windows 11 Home, G615LW-AS96</t>
  </si>
  <si>
    <t>Skytech Gaming Azure 3 Desktop PC, Ryzen 7 7700X 4.5 GHz (5.4GHz), NVIDIA RTX 5070 12GB, 1TB Gen4 NVMe SSD, 32GB DDR5 RAM 6000 RGB, 850W Gold ATX 3 PSU, 360mm ARGB AIO, Wi-Fi, Win 11</t>
  </si>
  <si>
    <t>ASURION 2 Year Mobile Phone Accident Protection Plan ($700 - $799.99)</t>
  </si>
  <si>
    <t>Mophie Qi2 snap+ Magnetic Wireless Charging Vent Mount - Fast 15W Qi-Enabled Charger for iPhone 16/15/14/13/12, Universal Car Compatibility, 30W Car Charger Adapter Included, USB-C, Black</t>
  </si>
  <si>
    <t>Lenovo ThinkPad T16 Gen 3 Business Laptop 16” FHD+ Display, Intel Ultra 5-125U (Beats i7-1355U), 32GB DDR5 RAM, 1TB SSD, 5MB Webcam, WiFi 6E + BT, RJ-45, HDMI, Win 11 Pro, 3 Yr Wty, AI Copilot - Black</t>
  </si>
  <si>
    <t>Canon RF28-70mm F2 L USM Lens, Zoom Lens, Compatible with EOS R Series Mirrorless Cameras, Black</t>
  </si>
  <si>
    <t>ASUS ROG Strix G16 Gaming Laptop, 16” Nebula Display 16:10 QHD 240Hz, GeForce RTX 4060, Intel® Core™ i9-14900HX, 16GB DDR5-5600, 1TB PCIe SSD, Wi-Fi 6E, Windows 11, G614JVR-ES94</t>
  </si>
  <si>
    <t>Hisense PX3-PRO Ultra Short Throw Triple Laser Projector, 4K UHD, 80” – 150”, 3,000 Lumens, 3000:1 Contrast, Dolby Vision &amp; Atmos, IMAX Enhanced, 240 High Refresh Rate, Google TV, Designed for Xbox</t>
  </si>
  <si>
    <t>Hisense C2 Ultra, Triple Laser Smart Portable Projector, 4K UHD, 3,000 Lumens, 65” – 300”, Dolby Vision, IMAX Enhanced, Sound by JBL, Netflix Included, Designed for Xbox, Optical Zoom</t>
  </si>
  <si>
    <t>Texas Instruments TI- 84Plus CE Teacher's 10 Pack Graphing Calculator</t>
  </si>
  <si>
    <t>Sony Alpha 7 IV Full-frame Mirrorless Interchangeable Lens Camera (Renewed)</t>
  </si>
  <si>
    <t>MSI Stealth 18 HX AI 18” 240Hz QHD+ Gaming Laptop: Intel Ultra 9-275HX, NVIDIA Geforce RTX 5070Ti, 64GB DDR5, 2TB NVMe SSD, Wi-Fi 7, Win 11 Pro: Black A2XWHG-029US</t>
  </si>
  <si>
    <t>Microsoft Surface Pro 10 Tablet - 13" - 16 GB - 512 GB SSD - Windows 11 Pro - Platinum</t>
  </si>
  <si>
    <t>Kensington SD5800T Thunderbolt 4 and USB4 Quad 4K Display Docking Station, 100W Charging, 2 x HDMI, 2 x DP, 2.5G Ethernet, Card Readers, for Windows/MacOS (K32856NA)</t>
  </si>
  <si>
    <t>Sony FE 16-35mm F2.8 GM II</t>
  </si>
  <si>
    <t>APC 2200VA Smart UPS with SmartConnect, SMT2200C Sinewave UPS Battery Backup, AVR, 120V, Line Interactive Uninterruptible Power Supply</t>
  </si>
  <si>
    <t>Nikon Z 8 | Professional full-frame mirrorless stills/video hybrid camera | Nikon USA Model</t>
  </si>
  <si>
    <t>Canon EOS R5 Mirrorless Camera (Body Only), Full-Frame Hybrid Camera, 8K Video, 45 Megapixel CMOS Sensor, DIGIC X Image Processor, Up to 12 FPS, RF Mount, Black</t>
  </si>
  <si>
    <t>BenQ TK710STi 4K HDR Laser 3200 Lumens Movie and Gaming Short Throw Projector with 4ms Response Time | 240Hz Refresh Rate | HDR10 &amp; HLG | Android TV with Netflix Chromecast &amp; AirPlay | 3D Keystone</t>
  </si>
  <si>
    <t>Canon RF100-500mm F4.5-7.1 L is USM Lens, Super-Telephoto Zoom Lens, Compatible with EOS R Series Mirrorless Cameras, White</t>
  </si>
  <si>
    <t>Canon EOS R6 Mark II Mirrorless Camera RF24-105mm F4 L USM Lens Kit, Hybrid Full-Frame Camera, 24.2 Megapixel CMOS Sensor. Photo and Video Camera Capabilities, RF Mount, Black</t>
  </si>
  <si>
    <t>Lenovo ThinkPad T14 Gen 5 Business Laptop 14" FHD+ IPS, Intel Ultra 5 125U, 32GB DDR5 RAM, 1TB SSD, 5MP HD Webcam, Fingerprint, Backlit, Wi-Fi 6E, 2 Thunderbolt 4, AI PC, W11P, 3 Yr Wty</t>
  </si>
  <si>
    <t>acer Nitro V Gaming Laptop | Intel Core i9-13900H Processor | NVIDIA GeForce RTX 4060 Laptop GPU | 15.6" FHD IPS 144Hz Display | 32GB DDR5 | 1TB Gen 4 SSD | WiFi 6 | Backlit KB | ANV15-51-92XK</t>
  </si>
  <si>
    <t>HP Laserjet Enterprise M455dn Desktop Laser Printer - Color 12" x 16.3" x 18.6"</t>
  </si>
  <si>
    <t>Apple iPhone 16 Pro Max, US Version, 512GB, Black Titanium - Unlocked (Renewed)</t>
  </si>
  <si>
    <t>Acer Nitro V Gaming Laptop | Intel Core i5-13420H Processor | NVIDIA GeForce RTX 4050 Laptop GPU | 15.6" FHD IPS 165Hz Display | 8GB DDR5 | 512GB Gen 4 SSD | Wi-Fi 6 | Backlit KB | ANV15-52-586Z</t>
  </si>
  <si>
    <t>ASURION 3 Year Desktop Protection Plan ($350 - $399.99)</t>
  </si>
  <si>
    <t>LiveScope™ Plus System with GLS 10™ and LVS34 Transducer, Target Separation, Sharp Sonar Images, Vivid Color, Clear Vision</t>
  </si>
  <si>
    <t>Hisense 55" Class U7 Mini-LED ULED 4K UHD Google Smart TV (55U75QG, 2025 Model) - QLED, Native 165Hz, VRR 288, Up to 3000 Nits, HDR10+, Dolby Vision IQ · Atmos, IMAX Enhanced, 2.1.2 Ch Surround</t>
  </si>
  <si>
    <t>ASUS Pro WS WRX90E-SAGE SE EEB Workstation Motherboard, AMD Ryzen™ Threadripper™ PRO 7000 WX-Series, ECC R-DIMM DDR5, 32 Power-Stage,7xPCIe 5.0x16, PCIe 5.0 M.2, 10Gb &amp; 2.5Gb LAN, Multi-GPU Support</t>
  </si>
  <si>
    <t>ASURION 3 Year Personal Care Protection Plan ($100 - $124.99)</t>
  </si>
  <si>
    <t>Nikon D850 FX-Format Digital SLR Camera Body</t>
  </si>
  <si>
    <t>HP Color LaserJet Enterprise M480f Multifunction Duplex Printer, Print, scan, copy, Fast speeds, Easy setup, Advanced security, Best for small teams, Ethernet/USB only (3QA55A)</t>
  </si>
  <si>
    <t>Epson Perfection V850 Pro scanner</t>
  </si>
  <si>
    <t>Microsoft Surface Pro Copilot + 13 SnapdragonX-Plus 16GB 1TB (Renewed) - Black Bundle with Mirosoft Surface Pro Keyboard with Pen Storage for Pro Copilot + 2 Year Extended Protection Pack</t>
  </si>
  <si>
    <t>Humminbird XPLORE 9 GPS Fish Finder with Transducer, MEGA Side Imaging+ &amp; HD Touchscreen Display</t>
  </si>
  <si>
    <t>Sony Alpha 7C II Full-Frame Interchangeable Lens Camera - Silver</t>
  </si>
  <si>
    <t>DJI Mini 4 Pro (DJI RC 2), Folding Mini-Drone with 4K HDR Video Camera for Adults, Under 0.549 lbs/249 g, 34 Mins Flight Time, 20 km Max Video Transmission Distance, Omnidirectional Vision Sensing</t>
  </si>
  <si>
    <t>Sony Alpha 7R V Full-Frame Mirrorless Interchangeable Lens Camera</t>
  </si>
  <si>
    <t>HP DesignJet T630 Large Format 24-inch Plotter Printer, with Auto Sheet Feeder, Media Bin &amp; Stand (5HB09D) - New Model</t>
  </si>
  <si>
    <t>Lenovo ThinkPad P16s Gen 3 Intel Core Ultra 7 155H, 16C, 16" WQUXGA (3840 x 2400), OLED Non-Touch, 64GB RAM DDR5, 1 TB SSD, NVIDIA RTX 500 Ada Backlit KYB, Fingerprint Reader, Windows 11 Pro</t>
  </si>
  <si>
    <t>Blackmagic Design Pocket Cinema Camera 4K (CINECAMPOCHDMFT4K)</t>
  </si>
  <si>
    <t>Microsoft Surface Laptop Go 3 (2023) - 12.4" Touchscreen, Thin &amp; Lightweight, Intel Core i5, 8GB RAM, 256GB SSD SSD, with Windows 11, Ice Blue Color Copilot</t>
  </si>
  <si>
    <t>LG 40WP95C-W 40” UltraWide Curved WUHD (5120 x 2160) 5K2K Nano IPS Computer Monitor, DCI-P3 98% (Typ.) HDR10, Thunderbolt 4 w/ 96W PD, 3-Side Virtually Borderless Design Tilt/Height/Swivel Stand,Black</t>
  </si>
  <si>
    <t>Logitech Rally Plus Video Video Conference Equipment</t>
  </si>
  <si>
    <t>Nikon Z5 II | Full-Frame mirrorless Stills/Video Camera | Nikon USA Model</t>
  </si>
  <si>
    <t>Acer Aspire 14 AI Copilot+ PC | 14" WUXGA Display | Intel Core Ultra 5 Processor 226V | NPU: Up to 40 Tops - GPU: Up to 53 Tops | Intel ARC 130V | 16GB LPDDR5X | 512GB SSD | Wi-Fi 6E | A14-52M-51S1</t>
  </si>
  <si>
    <t>Fujifilm X-S20 Mirrorless Digital Camera XC15-45mm Lens Kit Black</t>
  </si>
  <si>
    <t>Ubiquiti Networks Unifi 48Port Pro Switch Gen2 (USW-PRO-48-POE)</t>
  </si>
  <si>
    <t>LG 55-Inch Class OLED B4 Series Smart TV 4K Processor Flat Screen with Magic Remote AI-Powered with Alexa Built-in (OLED55B4PUA, 2024)</t>
  </si>
  <si>
    <t>Sony Alpha 70-350mm F4.5-6.3 G OSS Super-Telephoto APS-C Lens</t>
  </si>
  <si>
    <t>Sony Alpha ZV-E1 Full-Frame Interchangeable Lens Mirrorless Vlog Camera - Black Body</t>
  </si>
  <si>
    <t>Logitech Rally Bar Mini All-in-One Video Bar for Small to Medium Rooms, Graphite</t>
  </si>
  <si>
    <t>ASUS ROG Ally 7" 120Hz FHD 1080p Gaming Handheld Touchscreen AMD Ryzen Z1 Extreme 16GB RAM 512GB White</t>
  </si>
  <si>
    <t>Panasonic LUMIX S1II 6K Digital Camera, Mirrorless Full Frame Camera Hybrid Shooting with 24.1MP, 5.1K 60p Open Gate Video, 15 Stops Dynamic Range, Prores RAW HQ Internal Recording, L-Mount - DC-S1M2</t>
  </si>
  <si>
    <t>Canon imagePROGRAF PRO-1100: 17” Professional Wireless Inkjet Photo Printer</t>
  </si>
  <si>
    <t>Lenovo IdeaPad 5X 2-in-1 Copilot+ Extra-Long Battery Life 14" WUXGA FHD+ OLED Touch Display 16GB Memory 512GB Storage Snapdragon X Plus 8-core Processor Windows 11 Home, Pen Included, Luna Gray</t>
  </si>
  <si>
    <t>Lenovo ThinkPad E16 Business Laptop, 16" WUXGA Display, AMD Ryzen 5 7530U (Beat i7-1165G7), 24GB RAM, 1TB PCIe SSD, Webcam, HDMI, RJ-45, Fingerprint Reader, Wi-Fi 6, Windows 11 Pro, Black</t>
  </si>
  <si>
    <t>Fellowes Powershred 225Ci 22-Sheet 100% Jam-Proof Crosscut Paper Shredder Commercial Grade for Office, Black 3825001</t>
  </si>
  <si>
    <t>Lenovo ThinkBook 16 G7 Business Laptop, 16” FHD+, AMD Ryzen 7 7735HS, 32GB DDR5, 1TB NVMe, WiFi 6E + BT, Backlit KB, Fingerprint, HD Webcam, Win 11 Pro</t>
  </si>
  <si>
    <t>HP 17t Laptop, 17.3" HD+ Touchscreen, Intel Core i5-1135G7, 32GB RAM, 1TB SSD, Fingerprint Reader, Webcam, HDMI, Backlit KB, Wi-Fi 6, Windows 11 Home, Silver</t>
  </si>
  <si>
    <t>SABRENT 8TB Rocket 4 Plus NVMe 4.0 Gen4 PCIe M.2 Internal SSD Extreme Performance Solid State Drive R/W 7100/6600MB/s (SB-RKT4P-8TB)</t>
  </si>
  <si>
    <t>HP Elitebook 660 G11 16" FHD+ Business Copilot AI Laptop Computer, Intel Ultra 7 155U (Beat i7-1355U), 32GB DDR5 RAM, 1TB PCIe SSD, WiFi 6E, Backlit KB, Fingerprint Reader, Windows 11 Pro, AZ-XUT</t>
  </si>
  <si>
    <t>BenQ TH671ST 1080p Short Throw Gaming Projector | Gaming Mode for Intense Low Input Lag Action | 3000 Lumens for Lights On Entertainment | 3 Year Industry Leading Warranty</t>
  </si>
  <si>
    <t>HP LaserJet Enterprise M507n Monochrome Printer with built-in Ethernet (1PV86A), White</t>
  </si>
  <si>
    <t>Apple 2024 MacBook Pro Laptop with M4 Pro, 14‑core CPU, 20‑core GPU: Built for Apple Intelligence, 16.2-inch Liquid Retina XDR Display, 24GB Unified Memory, 1TB SSD Storage; Space Black - Z1FT000CV</t>
  </si>
  <si>
    <t>Dell Latitude 7430 14" Laptop (Latest Latitude 2023) Intel 12th Gen Core i7-1265U(10-Core) 512GB SSD 32GB RAM Full HD Touch (1920x1080) Windows 11 PRO (Renewed)</t>
  </si>
  <si>
    <t>ASURION 2 Year Watch Protection Plan ($30 - $39.99)</t>
  </si>
  <si>
    <t>Sony FE 35mm F1.4 GM Full-Frame Large-Aperture Wide Angle G Master Lens Black</t>
  </si>
  <si>
    <t>Canon 18x50 is All Weather Image Stabilized Binoculars</t>
  </si>
  <si>
    <t>ASURION 2 Year Mobile Phone Accident Protection Plan ($600 - $699.99)</t>
  </si>
  <si>
    <t>LG 27US550-W 27" 4K (3840x2160) UHD Ultrafine IPS Computer Monitor with HDR10, DCI-P3 90%, USB-C, Adjustable Stand, 3-Side Borderless Design, White</t>
  </si>
  <si>
    <t>Sony FE 16mm f/1.8 G</t>
  </si>
  <si>
    <t>Canon RF15-35mm F2.8 L is USM Lens, Standard Zoom Lens, Compatible with EOS R Series Mirrorless Cameras, Black</t>
  </si>
  <si>
    <t>Apple 2025 MacBook Air 15-inch Laptop with M4 chip, 24GB Unified Memory, 1TB SSD Storage - Midnight</t>
  </si>
  <si>
    <t>DJI Mini 4 Pro Drone with DJI RC 2 Screen remote Control Bundle Kit Camera Drone Bundle, with 128 GB SD, 3.0 USB Card Reader, Landing Pad, Backpack Strobe Lights and More</t>
  </si>
  <si>
    <t>Microsoft Surface Laptop Studio 2 14.4" Touchscreen Convertible (Floating Slider) 2 in 1 Notebook - Intel Core i7 13th Gen i7-13700H - Intel Evo Platform - 16 GB - 512 GB SSD</t>
  </si>
  <si>
    <t>ASURION 4 Year Kitchen Protection Plan ($50 - $59.99)</t>
  </si>
  <si>
    <t>ASURION 3 Year Musical Instrument Accident Protection Plan ($60 - $69.99)</t>
  </si>
  <si>
    <t>HP Victus 15.6" FHD 144Hz Gaming Laptop, AMD Ryzen 5-7535HS, AMD Radeon RX 6550M (Beats RTX 2050), Backlit Keyboard, Windows 11 Home, w/Cloth (16GB RAM |512GB PCIe SSD)</t>
  </si>
  <si>
    <t>Panasonic W70 Series (2025 Model) 70" LED 4K Ultra HD Smart Fire TV, Press &amp; Ask Alexa, Apple AirPlay, HDR10+, HDMI 2.1, and Bluetooth Support - 70W70BP</t>
  </si>
  <si>
    <t>ASURION 3 Year Housewares Protection Plan ($500 - $599.99)</t>
  </si>
  <si>
    <t>ASURION 3 Year Portable Electronic Accident Protection Plan ($300 - $349.99)</t>
  </si>
  <si>
    <t>ASURION 2 Year Personal Care Protection Plan ($250 - $299.99)</t>
  </si>
  <si>
    <t>SAMSUNG 32" ViewFinity S8 (S80D) Series 4K UHD High Resolution Computer Monitor, HDR10, Multiple Ports w/ HDMI, DisplayPort, USB-A, Height Adjustable Stand, LS32D806EANXGO, 2024, 3Yr Warranty</t>
  </si>
  <si>
    <t>Lenovo Slim 7i Aura Edition - 2025 - Copilot+ PC - Core Ultra 7 Processor 256V - 14" WUXGA OLED Display - 16 GB Memory - 1 TB Storage - Luna Grey</t>
  </si>
  <si>
    <t>Fujifilm X100VI 40.2 MP Mirrorless Camera with Fixed 23mmF2 Lens (APS-C X-Trans CMOS 5 Sensor, X-Processor 5, Hybrid Viewfinder, LCD Tilt Touchscreen, Face Detection AF, 20 Film Simulations - Black</t>
  </si>
  <si>
    <t>Humminbird MEGA Live 2 Forward-Facing Sonar Transducer for XPLORE, APEX, and SOLIX G3 Fish Finders</t>
  </si>
  <si>
    <t>Logitech PTZ Pro 2 USB HD 1080P Video Camera for Conference Rooms</t>
  </si>
  <si>
    <t>Brother MFC-L6810DW Enterprise Monochrome Laser All-in-One Printer, Large Paper Capacity, Wireless Networking, Advanced Security Features, and Duplex Print, Scan, and Copy, Works with Alexa</t>
  </si>
  <si>
    <t>LG 32UN650-W Monitor 32" UHD (3840 x 2160) IPS Ultrafine Display, HDR10 Compatibility, DCI-P3 95% Color Gamut, AMD FreeSync, 3-Side Virtually Borderless Design, Height Adjustable Stand - Silve/White</t>
  </si>
  <si>
    <t>Lenovo IdeaPad 3 Laptop, 15.6" FHD Touchscreen, Intel Core i5-1155G7, 24GB RAM, 1TB SSD, Webcam, HDMI, Wi-Fi 6, Windows 11 Home, Blue</t>
  </si>
  <si>
    <t>Blackmagic Design DeckLink Duo 2 PCIe Capture and Playback Card, Up to 1080p60, 4 Channel 3G-SDI (BDLKDUO2)</t>
  </si>
  <si>
    <t>Nakamichi Dragon 11.4.6 Home Surround Sound System with Dolby Atmos and DTS:X Pro. Best Soundbar with AVR Processing</t>
  </si>
  <si>
    <t>DJI RS 4 Pro Combo, 3-Axis Gimbal Stabilizer for DSLR &amp; Cinema Cameras, Native Vertical Shooting, 4.5kg/10lbs Payload, Image Transmitter &amp; Focus Pro Motor, Condenser Shotgun Microphone</t>
  </si>
  <si>
    <t>Apple Studio Display - Nano-Texture Glass - Tilt-Adjustable Stand</t>
  </si>
  <si>
    <t>BenQ PD3205U Mac-Ready Monitor 32" 4K UHD | 99% Rec.709 &amp; sRGB | IPS | DeltaE ≤3 | ICC Sync | Calibration Report | AQCOLOR | Uniformity | HotKey Puck | Ergonomic | DisplayPort | USB-C (65W) | USB Hub</t>
  </si>
  <si>
    <t>ASUS Zenbook A14; Copilot+ PC, Ultrathin Laptop, 14” WUXGA OLED, Snapdragon® X Processor, 16 GB Memory, 512GB SSD, Wi-Fi 6E, Zabriskie Beige, UX3407QA-DS52-CB</t>
  </si>
  <si>
    <t>Sony Cinema Line FX30 Super 35 Camera, Grey (Renewed)</t>
  </si>
  <si>
    <t>Sony FE 50mm F1.4 GM Lens (Sony E)</t>
  </si>
  <si>
    <t>Canon RF14-35mm F4 L is USM Lens, Wide-Angle Zoom Lens, Compatible with EOS R Series Mirrorless Cameras, Black</t>
  </si>
  <si>
    <t>Sony FE 70-200mm f/2.8 GM OSS Lens</t>
  </si>
  <si>
    <t>acer Aspire C27-1800-UR12 AIO Desktop | 27 Inch Full HD IPS Display | Intel Core i5-12450H | UHD Graphics | 16GB DDR4 | 1TB PCIe Gen 4 SSD | Wireless Wi-Fi 6E | Wireless Keyboard &amp; Mouse</t>
  </si>
  <si>
    <t>Focal FBATHYSMG Bluetooth® Headphones with Active Noise Cancellation</t>
  </si>
  <si>
    <t>LG CineBeam Q HU710PB 4K Smart Portable Projector with Auto Screen Adjustment, Auto Focus, RGB Laser, Up to 154% DCI-P3</t>
  </si>
  <si>
    <t>HP Victus 15.6 i5 Gaming Laptop, 15.6" FHD 1920*1080 144Hz, Intel Core i5-12450H, NVIDIA GeForce RTX 3050, 16GB RAM, 1TB SSD, Backlit KB, Touchpad, SD Card Reader, Webcam, HDMI, Wi-Fi 6, W11 H, Blue</t>
  </si>
  <si>
    <t>Lenovo V15 Gen 4 Business Laptop, 15.6" FHD Screen, AMD Ryzen 5 5500U, 24GB RAM, 1TB SSD, Webcam, HDMI, Wi-Fi, Windows 11 Pro, Black</t>
  </si>
  <si>
    <t>Samsung HWQ990F 11.1.4 Channel Q-Series Soundbar with Subwoofer and Rear Speakers</t>
  </si>
  <si>
    <t>Apple iPhone 16 Pro, US Version, 128GB, Desert Titanium for T-Mobile (Renewed)</t>
  </si>
  <si>
    <t>Brother HL-L6310DW Enterprise Monochrome Laser Printer with Low-Cost Printing, WirelessNetworking, and Large Paper Capacity, Works with Alexa</t>
  </si>
  <si>
    <t>GoPro HERO13 Black + HB-Series Lens Collection - Includes Macro Lens, Ultra Wide Lens, 4 ND Filters, Anamorphic Lens, and Premium Case</t>
  </si>
  <si>
    <t>Final Fantasy VII and Final Fantasy VIII Remastered - Twin Pack (Nintendo Switch)</t>
  </si>
  <si>
    <t>Samsung 32" Odyssey OLED G8 (G80SD) Series 4K UHD Smart Gaming Monitor w QD-OLED, 240Hz 0.03ms, G-Sync Compatible, Glare-Free Display, Sleek Metal Design, LS32DG800SNXZA, 3 Yr Warranty</t>
  </si>
  <si>
    <t>Logitech H390 USB Headset with Noise-Cancelling Mic - 16 Pack , Black</t>
  </si>
  <si>
    <t>HP LaserJet Enterprise M607n Monochrome Printer with built-in Ethernet (K0Q14A) Grey</t>
  </si>
  <si>
    <t>Apple iPhone 14 Pro, 128GB, Space Black - Unlocked (Renewed Premium)</t>
  </si>
  <si>
    <t>ASUS Vivobook 17" FHD Laptop | Intel Core i3-1215U(Beat AMD Ryzen 5 7520U) | Intel UHD Graphics|Camera| Blue | 16GB RAM | 512GB SSD | Windows 11 Home | Bundle with 64GB USB Flash Drive</t>
  </si>
  <si>
    <t>ZEBRA GK420d Direct Thermal Desktop Monochrome Printer Print Width of 4 in USB Serial and Parallel Port Connectivity GK42-202510-000</t>
  </si>
  <si>
    <t>BenQ HT2060 | 1080p HDR Home Theater LED Projector 4K supported | 2200 Lumens | Vertical Lens Shift | Keystone Correction, 3D, 1.3x Zoom | S/PDIF, HDMI 2.0 | Built-in 10W Speakers | 4K Compatible</t>
  </si>
  <si>
    <t>Intel® Core™ Ultra 9 Desktop Processor 285 24 cores (8 P-cores + 16 E-cores) up to 5.6 GHz</t>
  </si>
  <si>
    <t>Epson EcoTank Pro ET-16650 Wireless Wide-Format Color All-in-One Supertank Printer with Scanner, Copier, Fax and Ethernet, White</t>
  </si>
  <si>
    <t>DJI RC Pro, High-Performance Remote Controller for DJI Mavic 3 Pro and More, High-Bright 1080p Screen, 15 km Transmission Range, Ideal for Outdoor Use Aerial Photography</t>
  </si>
  <si>
    <t>Dell Latitude 3550 15 Laptop, 15.6" FHD Computer, Intel 12-Core Ultra 7 155U (Beat i7-1355U), 32GB DDR5 RAM, 1TB PCIe SSD, WiFi 6, USB 4, HDMI, Backlit Keyboard, Fingerprint Reader, Windows 11 Pro</t>
  </si>
  <si>
    <t>Brother ADS-4300N Professional Desktop Scanner with Fast Scan Speeds, Duplex, and Networking,White</t>
  </si>
  <si>
    <t>Lenovo 2023 V15 G3 15.6" FHD Business Laptop Computer, 12th Gen Intel 10 Cores i5-1235U (Beat i7-1195G7), 16GB DDR4 RAM, 512GB PCIe SSD, 802.11AC WiFi, Bluetooth 5.1, Windows 11 Pro, AZ-XUT Cable</t>
  </si>
  <si>
    <t>Dell OptiPlex 7000 7020 Desktop Computer - Intel Core i5 14th Gen i5-14500 - 16 GB - 256 GB SSD - Small Form Factor - Black</t>
  </si>
  <si>
    <t>Blackmagic Design ATEM Mini Extreme ISO HDMI Live Stream Switcher (SWATEMMINICEXTISO)</t>
  </si>
  <si>
    <t>DJI Air 3 Fly More Combo with DJI RC 2, Drone with Camera 4K, Dual Primary Cameras, 3 Batteries for Extended Flight Time, 48MP Photo, 20Km Max Video Transmission, FAA Remote ID Compliant</t>
  </si>
  <si>
    <t>Brother Printer HLL8360CDWT Business Color Laser Printer with Duplex Printing, Wireless Networking and Dual Trays, White</t>
  </si>
  <si>
    <t>HP Victus 15 Gaming Laptop, 15.6" FHD 144Hz Display, AMD Ryzen 5 7535HS, 32GB DDR5 RAM, 2TB PCIe M.2 SSD, NVIDIA GeForce RTX 2050, HDMI, Webcam, Backlit Keyboard, Wi-Fi 6, Windows 11 Home, Silver</t>
  </si>
  <si>
    <t>ASURION 2 Year Camera Protection Plan ($100 - $124.99)</t>
  </si>
  <si>
    <t>Sony STR-AN1000 7.2 CH Surround Sound Home Theater 8K A/V Receiver: Dolby Atmos, DTS:X, Digital Cinema Auto Calibration IX, Bluetooth, WiFi, Google Chromecast, Spotify connect, Apple AirPlay, HDMI 2.1</t>
  </si>
  <si>
    <t>CyberPower PDU41001 Switched PDU, 100-120V/15A (Derated to 12A), 8 Outlets, 1U Rackmount</t>
  </si>
  <si>
    <t>Lenovo ThinkPad E16 G2 16" FHD+ Business Laptop Computer, Intel 16-Core Ultra 7 155H (Beat Ultra 7 255U), Arc Graphics, 64GB DDR5 RAM, 2TB PCIe SSD, WiFi 6E, Backlit KB, FR, Windows 11 Pro, AZ-XUT</t>
  </si>
  <si>
    <t>Tamron 35-150mm F/2-2.8 Di III VXD for Sony E-Mount Full Frame/APS-C (6 Year Limited USA Warranty)</t>
  </si>
  <si>
    <t>Garmin Enduro™ 2 – Ultraperformance Watch, Long-Lasting GPS Battery Life, Solar Charging, Preloaded Maps</t>
  </si>
  <si>
    <t>Logitech Tap IP in Graphite</t>
  </si>
  <si>
    <t>Sony Alpha 7R V Full-frame Mirrorless Camera Interchangeable Lens (Body Only) (Renewed)</t>
  </si>
  <si>
    <t>Sigma 28-70mm F2.8 DG DN for Sony E Black</t>
  </si>
  <si>
    <t>Dell OptiPlex 3070 SFF Small Form Factor Desktop - 9th Gen Intel Core i7-9700 8-Core CPU up to 4.70GHz, 32GB DDR4 Memory, 1TB SSD, Intel UHD Graphics 630, DVD Burner, Windows 11 Pro (Renewed)</t>
  </si>
  <si>
    <t>ASURION 4 Year Home Improvement Protection Plan ($350 - $399.99)</t>
  </si>
  <si>
    <t>CISCO Headset 561, Wireless Single On- Ear DECT Headset with Multi-Source Base for US &amp; Canada, Charcoal, 2-Year Limited Liability Warranty (CP-HS-WL-561-M-US=)</t>
  </si>
  <si>
    <t>HP - Pavilion x360 2-in-1 14" Touch-Screen Laptop - Intel Core i5-8GB Memory - 512GB SSD - Natural Silver - Mode 14-ek0033dx</t>
  </si>
  <si>
    <t>SIG SAUER ZULU6 HDX PRO 18x50mm Waterproof Fogproof Durable FDE Image Stabilized Hunting Binoculars, Multicoated Anti-Glare Lenses, Up to 40 Hours Runtine, Carrying Case &amp; Carrying Strap Included</t>
  </si>
  <si>
    <t>Ubiquiti USW-Pro-Max-48-PoE</t>
  </si>
  <si>
    <t>Lenovo ThinkCentre neo 50q Gen 4 Business MFF Desktop, 13th Gen Intel Core i5-13420H, 16GB RAM, 512GB PCIe SSD, Display Port, HDMI, RJ-45, Wi-Fi 6, Windows 11 Pro</t>
  </si>
  <si>
    <t>HP 17.3" Laptop, Full HD (1920 * 1080) Display, AMD Ryzen 5 Processor (Beats i7-11370H), 32GB RAM, 1TB SSD, Windows 11 Home, Webcam, Wi-Fi, Bluetooth, Natural Silver, Alpacatec Accessory</t>
  </si>
  <si>
    <t>Dell Latitude 3550 Business Laptop Computer 15.6" FHD, Intel 12-Core Ultra 7 155U (Beat i7-1355U), 64GB DDR5 RAM, 2TB PCIe SSD, WiFi 6, BT 5.3, Backlit Keyboard, Fingerprint Reader, Windows 11 Pro</t>
  </si>
  <si>
    <t>Brother ADS-4900W Professional Desktop Scanner with Fast Scan Speeds, Duplex, Wireless, and Large Touchscreen, White</t>
  </si>
  <si>
    <t>ViewSonic VX4381-4K 43 Inch Ultra HD MVA 4K Monitor Widescreen with HDR10 Support, Eye Care, HDMI, USB, DisplayPort for Home and Office, Black</t>
  </si>
  <si>
    <t>Sony QD-OLED 65 inch BRAVIA XR A95L Series 4K Ultra HD TV: Smart Google TV with Dolby Vision HDR and Exclusive Gaming Features for The PlayStation® 5 XR65A95L- Latest Model,Black</t>
  </si>
  <si>
    <t>Intel® Core™ Ultra 5 Desktop Processor 225 10 cores (6 P-cores + 4 E-cores) up to 4.9 GHz</t>
  </si>
  <si>
    <t>HP Pro SFF 400 G9 Desktop Computer - Intel Core i7 14th Gen i7-14700 - vPro Technology - 16 GB - 512 GB SSD - Small Form Factor - Smart Buy</t>
  </si>
  <si>
    <t>Seagate Skyhawk AI 20TB Video Internal Hard Drive HDD – 3.5 Inch SATA 6Gb/s 512MB Cache for DVR NVR Security Camera System with in-House Rescue Services (ST20000VE003)</t>
  </si>
  <si>
    <t>Klipsch Reference R-26FA Floorstanding Speaker, Black, Pair</t>
  </si>
  <si>
    <t>Apple 2024 MacBook Air with Apple M3 Chip (15-inch, 16GB RAM, 512GB SSD Storage) (QWERTY English) Midnight (Renewed)</t>
  </si>
  <si>
    <t>Peak Design Travel Tripod, Carbon Fiber, Compact Design, Quick Setup and Takedown, Pro-Level Stability, Ergonomic Ball Head, Compact and Portable Travel Tripod for Camera and Phone, 20 lb Capacity</t>
  </si>
  <si>
    <t>Dell Inspiron 14 2-in-1 Laptop, 14" FHD TouchScreen Display, AMD Ryzen 5-8640HS(Up to 4.9Hz), 16GB DDR5, 1TB PCIe SSD, Backlit KB, FP Reader, SD Card Reader, WiFi 6E, HDMI, USB-C, PDG HDMI, Win 11 Pro</t>
  </si>
  <si>
    <t>Apple 2019 MacBook Pro with 2.4GHz Intel Core i9 (16-inch, 32GB RAM, 512GB SSD Storage) Space Gray (Renewed)</t>
  </si>
  <si>
    <t>Intel Core i7-14700 Desktop Processor 20 cores (8 P-cores + 12 E-cores) up to 5.4 GHz</t>
  </si>
  <si>
    <t>Sony FE 200-600mm F5.6-6.3 G OSS Super Telephoto Zoom Lens (SEL200600G)</t>
  </si>
  <si>
    <t>Garmin dēzl OTR1010 10" GPS Truck Navigator - Custom Routing, Birdseye Satellite View &amp; Truck/Trailer Services</t>
  </si>
  <si>
    <t>Sony ZV-E10 APS-C Mirrorless Interchangeable Lens Vlogging Camera with 16-50mm Lens, Black - Bundle with 64GB SD Card, Shoulder Bag, 40.5mm Filter Kit</t>
  </si>
  <si>
    <t>Zebra DS3678-SR Ultra-Rugged Cordless 2D/1D Barcode Scanner/Linear Imager Kit, Bluetooth, FIPS, Vibration Motor, Includes Cradle, Power Supply and Heavy-Duty Shielded 7 ft USB Cable (CBA-U42-S07PAR)</t>
  </si>
  <si>
    <t>Lenovo Gen 11 ThinkPad X1 Carbon Laptop with Intel Core i7-1365U vPro Processor, 14" WUXGA 100% sRGB Anti-Glare Touchscreen, 32GB LPDDR5 RAM, 1TB Gen4 Performance SSD, Thunderbolt, and Windows 11 Pro</t>
  </si>
  <si>
    <t>Elgato Stream Deck + XLR - Audio Mixer &amp; Controller, Rear XLR-to-USB Mic Interface, Compatible with any Mic for Podcasting, Streaming, Content Creators, dials and LCD keys, PC/Mac</t>
  </si>
  <si>
    <t>Apple iPhone 16 Pro Max, US Version, 1TB, Natural Titanium - Unlocked (Renewed)</t>
  </si>
  <si>
    <t>Synology 2-Bay DiskStation DS225+ (Diskless)</t>
  </si>
  <si>
    <t>Intel Core i9-13900K Desktop Processor 24 cores (8 P-cores + 16 E-cores) 36M Cache, up to 5.8 GHz</t>
  </si>
  <si>
    <t>ASURION 3 Year Furniture Protection Plan ($40 - $49.99)</t>
  </si>
  <si>
    <t>Sigma 18-35mm F1.8 Art DC HSM Lens for Canon, Black (210101)</t>
  </si>
  <si>
    <t>ASURION 2 Year Camera Protection Plan ($80 - $89.99)</t>
  </si>
  <si>
    <t>Sony Alpha a6100 16-50mm</t>
  </si>
  <si>
    <t>Asus ROG Strix XG49VQ 49” Curved Gaming FreeSync Monitor 144Hz Dual Full HD HDR Eye Care with DP HDMI Black</t>
  </si>
  <si>
    <t>Bose Surround Speakers 700, Black</t>
  </si>
  <si>
    <t>Casio fx-CG50 Graphic Calculator (UK Version)</t>
  </si>
  <si>
    <t>Nikon NIKKOR Z 14-24mm f/2.8 S | Professional large aperture wide-angle zoom lens for Z series mirrorless cameras | Nikon USA Model</t>
  </si>
  <si>
    <t>Lenovo ThinkCentre M70s Small Form Factor Business Desktop, 14th Gen Intel 10-Core i5-14400, 32GB DDR5 RAM, 1TB SSD, HDMI, DP, Wi-Fi 6, Windows 11 Pro, Bundle with Adata UC310 64GB USB Flash Drive</t>
  </si>
  <si>
    <t>Brother MFCL2750DW Monochrome All-in-One Wireless Laser Printer, Duplex Copy &amp; Scan, Includes 4 Month Refresh Subscription Trial and Amazon Dash Replenishment Ready</t>
  </si>
  <si>
    <t>Dell 27 Monitor - P2725H - 27-inch Full HD (1920 × 1080) 100Hz Display, IPS Panel, 99% sRGB, 1500:1 Contrast Ratio, Tilt/Swivel/Pivot/Height Adjustable, 3-Year Advanced Exchange Service - Black</t>
  </si>
  <si>
    <t>Celestron StarSense Explorer DX 130AZ App-Enabled Telescope – 130mm Newtonian Reflector with Smartphone Dock &amp; StarSense App – iPhone &amp; Android Compatible – Easy-to-Use for Beginners</t>
  </si>
  <si>
    <t>The Sigma 17-40mm F1.8 DC</t>
  </si>
  <si>
    <t>LG 32" UltraGear 4K UHD (3840x2160) Gaming Monitor, 144Hz, 1ms, VESA DisplayHDR 400, G-SYNC and AMD FreeSync Premium, HDMI 2.1, DisplayPort, 4-Pole HP Out DTS HP:X, Tilt/Height/Pivot Stand, Black</t>
  </si>
  <si>
    <t>Google Nest Cam Outdoor or Indoor, Battery - 2nd Generation 2 Pack with Extra Replacement Cable</t>
  </si>
  <si>
    <t>UGREEN NASync DXP6800 Pro 6-Bay Desktop NAS, Intel i5 1235u 10-Core CPU, 8GB DDR5 RAM, 128G SSD, 2X 10GbE, 2X M.2 NVMe Slots, 8K HDMI, 2X TBT4, Network Attached Storage (Diskless)</t>
  </si>
  <si>
    <t>Brother ADS-4700W Professional Desktop Scanner with Fast Scan Speeds, Duplex, Wireless, and Large Touchscreen, White</t>
  </si>
  <si>
    <t>Epson C31CA85084 TM-T88V Thermal Receipt Printer (USB/Serial/PS180 Power Supply)</t>
  </si>
  <si>
    <t>ASURION 3 Year Desktop Protection Plan ($800 - $899.99)</t>
  </si>
  <si>
    <t>Sony 48 Inch 4K Ultra HD TV A90K Series: BRAVIA XR OLED Smart Google TV with Dolby Vision HDR and Exclusive Features for The Playstation- 5 XR48A90K- Latest Model,Black</t>
  </si>
  <si>
    <t>ASURION 2 Year Auto Accessories Protection Plan ($40 - $49.99)</t>
  </si>
  <si>
    <t>MSI Thin 15.6 inch FHD 144Hz Gaming Laptop Intel Core i5-13420H NVIDIA GeForce RTX 4060-16GB DDR4 512GB SSD Gray (2025)</t>
  </si>
  <si>
    <t>Beelink SER5 MAX Mini PC, AMD Ryzen 7 6800H(6nm, 8C/16T) up to 4.7GHz, Mini Computer 32GB LPDDR5 RAM 500GB NVME SSD, Micro PC 4K@60Hz Triple Display, Mini Gaming Computer WiFi6/BT5.2/HTPC/W-11 Pro</t>
  </si>
  <si>
    <t>Dell P2425H 24" Full HD LED Monitor P2425H</t>
  </si>
  <si>
    <t>HP 27" All-in-One Desktop Computer | FHD Touchscreen | Intel Ultra 7‑155U | AI‑Enhanced Display, Facial Login | Privacy Pop‑Up Camera | Win 11 Pro, w/Accessories | 64GB DDR5 + 2TB SSD</t>
  </si>
  <si>
    <t>Garmin STRIKER Plus 7cv with CV20-TM Transducer and Protective Cover, 7 inches 010-01873-00</t>
  </si>
  <si>
    <t>SAMSUNG 43” QET Series LFD Display with Integrated MagicInfo Lite Player, Crystal 4K Processor and UHD Resolution, 8ms Response Time, 300 nit, Home UI, Built-in Speakers, LH43QETELGCXZA</t>
  </si>
  <si>
    <t>Sony Alpha a6000 Mirrorless Digital Camera 24.3MP SLR Camera with 3.0-Inch LCD (Black) w/16-50mm Power Zoom Lens</t>
  </si>
  <si>
    <t>HP Chromebook Plus x360 14 2 in 1 laptop (14" FHD Touchscreen, Intel 8-Core i3-N305 (&gt; i5-1134G7), 8GB RAM, 256GB UFS, Pen) for Home &amp; Students, Backlit KB, 1080p Webcam, Chrome OS w/ Google AI</t>
  </si>
  <si>
    <t>Garmin quatix® 7X Solar Edition, Marine GPS Smartwatch, Solar Charging Capabilities, Durable Watch with Flashlight, Tide Changes and Anchor Drag Alerts, Waypoint Marking</t>
  </si>
  <si>
    <t>Microsoft 2024 Surface Laptop 7th Edition, Copilot+ PC, 13.8in Snapdragon X-Plus 16GB RAM 256GB SSD Win 11H Platinum (Renewed)</t>
  </si>
  <si>
    <t>GIGABYTE X870 AORUS Stealth ICE AMD AM5 Motherboard, ATX, DDR5, 4X M.2, PCIe 5.0, 2xUSB-4,USB-C, WIFI7, 5GbE LAN, EZ-Latch</t>
  </si>
  <si>
    <t>HP 2024 15.6" Touchscreen Laptop - with Microsoft Office Lifetime License, Intel i3-1215U, 16GB RAM, 1TB SSD, Long Battery Life, Micro-Edge, Bluetooth, Wi-Fi, Thin &amp; Light, Windows 11 Pro</t>
  </si>
  <si>
    <t>ZEBRA ZD421 Thermal Transfer Desktop Printer 300 dpi Print Width 4-inch USB Ethernet ZD4A043-301E00EZ</t>
  </si>
  <si>
    <t>Apple iMac MK472LL/A 27-Inch Retina 5K Desktop (3.2 GHz Intel Core i5, 8GB DDR3, 1TB, Mac OS X) (Renewed)</t>
  </si>
  <si>
    <t>SONY a7 III Full-Frame Mirrorless Interchangeable-Lens Camera Optical with 3-Inch LCD, Black (ILCE7M3/B) (Renewed)</t>
  </si>
  <si>
    <t>Microsoft Surface Laptop 4 13.5” Touch-Screen – Intel Core i5 - 8GB - 512GB Solid State Drive Matte Black</t>
  </si>
  <si>
    <t>HP 14X Black High-yield Toner Cartridge | Works with HP LaserJet Enterprise M712 Series, HP LaserJet Enterprise MFP M725 Series | CF214X</t>
  </si>
  <si>
    <t>ASRock AMD B850M Pro A WiFi 6E Socket AM5 Ryzen 9000/8000/7000 Series DDR5 8000+ (OC) MHz 256GB Micro ATX Motherboard M.2 SATA3 6.0 Gb/s PCIe 5.0 BIOS Flashback 2.5G LAN</t>
  </si>
  <si>
    <t>FUJIFILM X100VI Digital Camera - Black</t>
  </si>
  <si>
    <t>ASURION 1 Year Portable Battery Extended Protection Plan ($40 - $49.99)</t>
  </si>
  <si>
    <t>Ultimate Ears Hyperboom Portable Bluetooth Speakers, Loud Party Speaker, Big Bass, Water Resistant IPX4, 150 Ft Range, USB-C – Black</t>
  </si>
  <si>
    <t>ASURION 2 Year Headphones Protection Plan ($400 - $449.99)</t>
  </si>
  <si>
    <t>Blackmagic Design ATEM Mini Extreme HDMI Live Stream Switcher (SWATEMMINICEXT)</t>
  </si>
  <si>
    <t>Canon EF 70-200mm f/2.8L IS III USM Lens for Canon Digital SLR Cameras, White - 3044C002</t>
  </si>
  <si>
    <t>Insta360 X4-8K Waterproof 360 Action Camera, 4K Wide-Angle Video, Invisible Selfie Stick Effect, Removable Lens Guards, 135 Min Battery Life, AI Editing, Stabilization, for Sports, Travel, Outdoor</t>
  </si>
  <si>
    <t>MOTOROLA SOLUTIONS Business CLS1110 5-Mile 1-Channel UHF Two-Way Radio</t>
  </si>
  <si>
    <t>HP 14 inch Laptop, FHD Display, 13th Generation Intel Core i7-1355U, 16 GB RAM, 512 GB SSD, Intel Iris Xe Graphics, Windows 11 Home, 14-ep0199nr (2024)</t>
  </si>
  <si>
    <t>Garmin zūmo XT, All-Terrain Motorcycle GPS Navigation Device, 5.5-inch Ultrabright and Rain-Resistant Display</t>
  </si>
  <si>
    <t>JBL Authentics 500 - Retro Style Home Speaker with Bluetooth, Voice Control, and Dolby Atmos, Multi Room Playback, Built in Alexa and Google Assistant, Automatic self tuning</t>
  </si>
  <si>
    <t>Taramps MD 5000.1 Amplifier 1 Ohm 5000 Watts RMS MAX, Mosfet Digital Full Range, Crossover Low/High Pass, Bass Boost, Car Audio System, Monoblock 5k, 1 Channel, LED Monitor Indicator, Class D, MD 5k</t>
  </si>
  <si>
    <t>Ubiquiti UniFi U6 Enterprise Access Point | US Model | PoE Adapter not Included</t>
  </si>
  <si>
    <t>Asurion 2 Year Personal Care Protection Plan ($80 - $89.99)</t>
  </si>
  <si>
    <t>HP EliteDesk 800 G4 Desktop Mini PC, Intel Six Core i5 8500T 2.1Ghz, 32GB DDR4 RAM, 1TB NVMe M.2 SSD, WiFi, USB Type C, Windows 11 Pro (Renewed)</t>
  </si>
  <si>
    <t>Focusrite Scarlett 18i20 4th Gen USB Audio Interface, for Multitrack Recording, Music Production and Podcasting — High-Fidelity, Studio Quality Recording, and All the Software You Need to Record</t>
  </si>
  <si>
    <t>Poly Sync 20+ Personal Portable Bluetooth Speakerphone (Plantronics) - Noise/Echo Reduction - USB-C Bluetooth Adapter - Works w/Teams, Zoom, PC, Mac, Mobile – Amazon Exclusive</t>
  </si>
  <si>
    <t>ASURION 3 Year Furniture Protection Plan ($500 - $599.99)</t>
  </si>
  <si>
    <t>Sony ZV-E10 Mirrorless Camera, Black Bundle with SanDisk 64GB Memory, Slinger Multi-Device Shoulder Bag</t>
  </si>
  <si>
    <t>Panasonic W70 Series (2025 Model) 43" LED 4K Ultra HD Smart Fire TV, Press &amp; Ask Alexa, Apple AirPlay, HDR10+, HDMI 2.1, and Bluetooth Support - 43W70BP</t>
  </si>
  <si>
    <t>SENNHEISER Wired Professional MKH 416-P48U3 Short Shotgun Interference Tube Microphone,Black</t>
  </si>
  <si>
    <t>Lexmark CX431adw Color All-in-One Printer with Touchscreen, Multifunction Laser -for Office, Wireless, Mobile Ready &amp; Duplex Printing (Print, Copy, Scan, Analog Fax (4-Series)(40N9370)</t>
  </si>
  <si>
    <t>Ergotron – WorkFit-TL Standing Desk Converter, Dual Monitor Sit Stand Desk Riser for Tabletops – 37.5 Inch Width, Black</t>
  </si>
  <si>
    <t>Lenovo ThinkCentre M70s Small Form Factor Business Desktop, Intel 20-Core i7-14700, 32GB DDR5, 1TB SSD, HDMI, DP, Wi-Fi 6, Wired KB &amp; Mouse, Win 11 Pro, Bundle with ADATA UC310 64GB USB Flash Drive</t>
  </si>
  <si>
    <t>ASURION 2 Year Watch Protection Plan ($40 - $49.99)</t>
  </si>
  <si>
    <t>Sigma 150-600mm 5-6.3 Contemporary DG OS HSM Lens for Canon</t>
  </si>
  <si>
    <t>Lenovo IdeaPad Slim 3 Chromebook Laptop (14" FHD Touchscreen, 8-Core MediaTek Kompanio 520, 4GB RAM, 128GB (64GB eMMC+64GB SD)), Anti-Glare, Webcam, 13-Hr Long Battery Life, IST HUB, Chrome OS, Blue</t>
  </si>
  <si>
    <t>ASRock Intel ARC B580 Challenger 12GB OC GDDR6 19 Gbps 192 Bits 2740 MHz 650W 7680 x 4320 Dual Fan Graphics Card</t>
  </si>
  <si>
    <t>Polk Signature Elite ES15 Bookshelf Speaker - Hi-Res Audio Certified, Dolby Atmos &amp; DTS:X Compatible, 1" Tweeter &amp; 5.25" Woofer, Power Port Technology for Effortless Bass (Pair, Stunning Black)</t>
  </si>
  <si>
    <t>Sony FE 2.0x Teleconverter</t>
  </si>
  <si>
    <t>Dell Latitude 5410 Business Laptop, Intel Core i5-10310U Quad Core 4.4Ghz, 14" FHD, 16GB RAM 512GB SSD, CAM, Windows 10 Pro (Renewed)</t>
  </si>
  <si>
    <t>SAMSUNG 1TB SSD M.2 2230 30mm PM991a NVMe PCIe Gen3 x4 MZ9LQ1T0HBLB Solid State Drive for Surface Pro Steam Deck Dell HP Lenovo Laptop Ultrabook Tablet</t>
  </si>
  <si>
    <t>GODOX V100C USA Flash V100-C U 100w Round Head Touch Screen Flash for Canon,2.4G Wireless with External Flash and Global Shutter Flash Sync 1/80000s,Built-in Lithium Battery(USA Version)</t>
  </si>
  <si>
    <t>Shure BLX14/P31 Wireless Microphone System - 14-Hour Battery Life, 300 ft Range, UHF | Includes PGA31 Headset Mic, Bodypack Transmitter, Single Channel Receiver | H11 Band (BLX14/P31-H11)</t>
  </si>
  <si>
    <t>HP - Envy 2-in-1 14" Wide Ultra XGA Touch-Screen Laptop - AMD Ryzen 5-16GB Memory - 512GB SSD - Glacier Silver Windows AI: Copilot 14-fa0013dx</t>
  </si>
  <si>
    <t>Canon Printhead (PF-04)</t>
  </si>
  <si>
    <t>GoPro HERO12 Black 5.3K Action Camera Bundle with 128GB Card and 50 Accessories</t>
  </si>
  <si>
    <t>Samsung 27" Odyssey QHD G65B Curved Gaming Monitor, 240Hz, 1ms (GTG), HDR 600, Gaming Hub, 1000R, AMD FreeSync Premium Pro, LS27BG652ENXGO</t>
  </si>
  <si>
    <t>HP Victus 15 Gaming Laptop 15.6” FHD IPS Anti-Glare 144Hz Intel 8-core i5-12450H (Beat i7-11800H) 32GB RAM 1TB SSD GeForce RTX 3050 Backlit B&amp;O Fast Charging Win11 Blue w/ICP Accessory</t>
  </si>
  <si>
    <t>ASURION 2 Year Mobile Phone Accident Protection Plan ($450 - $499.99)</t>
  </si>
  <si>
    <t>Nikon AF-S DX NIKKOR 55-300mm f/4.5-5.6G ED Vibration Reduction Zoom Lens with Auto Focus for Nikon DSLR Cameras</t>
  </si>
  <si>
    <t>Audio Technica AT-LP3XBT-BK Bluetooth Turntable Belt Drive Fully Automatic 33/45 (Black)</t>
  </si>
  <si>
    <t>SAMSUNG Galaxy Tab S10 FE+ Plus w/S-Pen | 128GB, 8GB RAM, Wi-Fi Only | 13.1" LCD, WiFi 6E Android 15 Tablet, 4K Camera | International Model X620 | 25W Fast Charger Bundle (Gray)</t>
  </si>
  <si>
    <t>APC Smart-UPS 500VA Lithium Ion UPS with SmartConnect, SCL500RM1UC, Line Interactive, Sine Wave UPS, Short-Depth 120V Uninterruptible Power Supply</t>
  </si>
  <si>
    <t>Shure SLXD24D/SM58 Dual Channel Digital Wireless Microphone System - Includes Two SLXD2 Handheld Transmitters with SM58 Vocal Mic Capsules, SLXD4D Rack Mount Receiver | G58 Band (SLXD24D/SM58-G58)</t>
  </si>
  <si>
    <t>ASURION 2 Year Toy Accident Protection Plan ($200 - $249.99)</t>
  </si>
  <si>
    <t>Sony WH-1000XM4 Noise Cancelling Wireless Headphones - 30hr Battery Life - Over Ear Style - Optimised for Alexa and Google Assistant - Built-in mic for Calls - Blue International Version</t>
  </si>
  <si>
    <t>Taramps The Big Boss 3 Bass Black Amplifier 3000 Watts RMS 0.5 to 2 Ohms Multi Impedance, Amp Class D Monoblock, 108 RGB Effects, Crossover, Bass Boost, Car Audio System, Automatic Impedance, Smart 3k</t>
  </si>
  <si>
    <t>AMD Ryzen™ 9 7950X3D 16-Core, 32-Thread Desktop Processor</t>
  </si>
  <si>
    <t>Lenovo V15 Gen 4 (15.6" FHD Anti-Glare, 13th Intel Core i5-13420H (Beat i7-1255U), 40GB RAM, 1TB SSD) for Business, Home, Military Grade, Ethernet, IST Hub, Win 11 Pro w/AI Copilot, Black</t>
  </si>
  <si>
    <t>Dell OptiPlex Desktop Computer with 24 inch Monitor PC and Monitor Bundle, i7-6700 3.4GHz,16GB Ram New 512GB SSD,Intel AC7260 Built-in WiFi Bluetooth,HDMI,Refurbished Desktop,Windows 11 Pro (Renewed)</t>
  </si>
  <si>
    <t>Logitech MX Master 3S for Business, Wireless Mouse with Quiet Clicks, 8K DPI, Secured Logi Bolt USB Receiver, Bluetooth, USB-C Charging, MagSpeed Scrolling, Windows/Mac/Chrome/Linux - Graphite</t>
  </si>
  <si>
    <t>ASURION 3 Year Major Appliance Protection Plan ($175 - $199.99)</t>
  </si>
  <si>
    <t>VIZIO 50 Inch 4K Smart TV, V-Series UHD LED HDR Television with Apple AirPlay and Chromecast Built-in</t>
  </si>
  <si>
    <t>TP-Link ER7212PC | Omada Router, PoE Switch &amp; Controller 3-in-1 Gigabit VPN Router | Up to 4 WAN | 8 PoE+ LAN Port @ 110W | Fanless | Easy Installation | Load Balance</t>
  </si>
  <si>
    <t>Synology 2-Bay DiskStation DS725+ (Diskless)</t>
  </si>
  <si>
    <t>Apple Mid 2020 MacBook Pro with 1.4GHz Core i5 (13-inch, 8GB RAM, 256GB SSD) Space Gray (Renewed)</t>
  </si>
  <si>
    <t>Philips 322E1C 32'' Super-Curved Frameless Monitor, Full HD VA, 104% sRGB, Adaptive-Sync 75Hz, VESA, 4Yr Advance Replacement Warranty, Black/Silver</t>
  </si>
  <si>
    <t>Lenovo ThinkPad E16 Gen 2 AI Powered Laptop 16.0" Touchscreen IPS WUXGA (Intel Ultra 5-125U, 16GB DDR5, 512GB PCIe SSD, Backlit KYB, Fingerprint, Thunderbolt 4, Win 11 Pro) W/Dockztorm</t>
  </si>
  <si>
    <t>Celestron 31145 NexStar 130SLT Portable Computerised Newtonian Reflector Telescope with Quick-Release Fork-arm Mount, Accessory Tray and 'Starry Night' Special Edition Software, Grey</t>
  </si>
  <si>
    <t>Sony SRS-XP700 X-Series Wireless Portable-BLUETOOTH-Karaoke Party-Speaker IPX4 Splash-resistant with 25 Hour-Battery,Black</t>
  </si>
  <si>
    <t>SAMSUNG - Galaxy Tab S10 Ultra - 14.6" 512GB - Wi-Fi - with S-Pen - Moonstone Gray</t>
  </si>
  <si>
    <t>Beelink EQi12 Mini PC Intel i5 12450H(8C/12T,up to 4.4GHZ),24GB LPDDR5 5200MHz 500GB PCle4.0 SSD Mini Computer Supports 4K Dual Screen Display/WiFi6/BT5.2/Dual Gigabit LAN</t>
  </si>
  <si>
    <t>ASURION 3 Year Musical Instrument Accident Protection Plan ($80 - $89.99)</t>
  </si>
  <si>
    <t>Sceptre 27-inch IPS Eye Care Monitor 100Hz DisplayPort HDMI and USB-C 100% sRGB Build-in Speakers, Machine Black 2024 (E275W-FP100T)</t>
  </si>
  <si>
    <t>AMD Ryzen 9 7900 12-Core, 24-Thread Unlocked Desktop Processor</t>
  </si>
  <si>
    <t>Ubiquiti Professional 8 PoE | 8-Port Managed Layer 3 Gigabit PoE Switch (USW-Pro-8-PoE)</t>
  </si>
  <si>
    <t>ASURION 3 Year Major Appliance Protection Plan ($200 - $249.99)</t>
  </si>
  <si>
    <t>HP 307A Yellow Toner Cartridge | Works with HP Color LaserJet Professional CP5225 Series | CE742A</t>
  </si>
  <si>
    <t>Ergotron – HX Premium Heavy Duty Monitor Arm, Single Monitor VESA Desk Mount – for Flat or Slight Curved Ultrawide Monitors Up to 49 inches, 20 to 42 lbs – Standard Pivot, Matte Black</t>
  </si>
  <si>
    <t>Yamaha Audio A-S301BL Natural Sound Integrated Stereo Amplifier (Black)</t>
  </si>
  <si>
    <t>ASURION 3 Year Camera Protection Plan ($700 - $799.99)</t>
  </si>
  <si>
    <t>Garmin Forerunner 945 LTE, Premium GPS Running/Triathlon Smartwatch with LTE Connectivity, Black</t>
  </si>
  <si>
    <t>acer Aspire XC-1780-UA91 Desktop | Intel Core i5-13400 10-Core Processor (Up to 4.6GHz) | 8GB 3200MHz DDR4 RAM | 512GB PCIe Gen 4 SSD | SD Card Reader | Intel Wi-Fi 6E AX211 | Windows 11 Home</t>
  </si>
  <si>
    <t>HP OMEN 27q QHD 165Hz Gaming Monitor, QHD Display (2560 x 1440), IPS Panel, 99% sRGB, 95% DCI-P3, 16:9, AMD FreeSync Premium Technology, 27q (2023),Black</t>
  </si>
  <si>
    <t>Gigabyte Radeon RX 9060 XT Gaming OC 16G Graphics Card - 16GB GDDR6, 128bit, PCI-E 5.0, 3320 MHz Core Clock, 2 x DisplayPort, 1 x HDMI, GV-R9060XTGAMING OC-16GD</t>
  </si>
  <si>
    <t>Samsung Galaxy Tab S9 FE+ Plus (128GB+8GB, Wi-Fi) 12.4" 90 Hz Display, IP68 Rating, S-Pen, Android Tablet - Gray (Renewed)</t>
  </si>
  <si>
    <t>Panasonic Toughbook 54 MK3 Semi-Rugged Laptop, 14" HD Display, Core i5-7th Gen, 512GB SSD, 32GB, Webcam, DVD Super Multi, Windows 11 Pro, New Battery (Renewed)</t>
  </si>
  <si>
    <t>HP 213X High Yield Yellow Original Laserjet Toner Cartridge, W2132X. Works Laserjet Enterprise 5700, 5800, 6700, 6701, 6800, 6801</t>
  </si>
  <si>
    <t>HP - 15.6" Touch-Screen Laptop - Intel Core i3-1115G4-8GB Memory - 256GB SSD - Bluetooth - Wi-Fi - Windows 11 - Natural Silver, W/GaLiMu</t>
  </si>
  <si>
    <t>MSI MAG401QR, 40" Gaming Monitor, 3440 x 1440(UWQHD), IPS, 155Hz, FreeSync Premium, HDR400, HDMI, Displayport, USB C, Tilt,Black</t>
  </si>
  <si>
    <t>Beelink EQI12 Mini PC,Intel 12th Gen Core i3-1220P (10C/12T,up to 4.4GHz),Mini Computer with 16GB DDR4 RAM 500GB M.2 2280 PCle 4.0x4 SSD,4K Dual Screen Display/WiFi6/BT5.2/USB3.0/Dual Gigabit LAN</t>
  </si>
  <si>
    <t>Microsoft 3RA-00022 Surface Ergonomic Wireless Keyboard,Gray</t>
  </si>
  <si>
    <t>Lenovo 2022 Ideapad 3 Laptop, 15.6" HD Touchscreen, 11th Gen Intel Core i3-1115G4 Processor, 8GB DDR4 RAM, 256GB PCIe NVMe SSD, HDMI, Webcam, Wi-Fi 5, Bluetooth, Windows 11 Home, Platinum Grey</t>
  </si>
  <si>
    <t>Hewlett-Packard Q1397A HP Universal Bond Paper-914 mm x 45.7 m (36 in x 150 ft)</t>
  </si>
  <si>
    <t>Panasonic LUMIX G85 4K Digital Camera, 12-60mm Power O.I.S. Lens, 16 Megapixel Mirrorless Camera, 5 Axis In-Body Dual Image Stabilization, 3-Inch Tilt and Touch LCD, DMC-G85MK (Black)</t>
  </si>
  <si>
    <t>ASUS ROG Strix 27” 1440P USB-C Curved HDR Gaming Monitor (XG27WCMS) - QHD, 280Hz, 1ms, Fast VA, Extreme Low Motion Blur Sync, FreeSync Premium, DisplayWidget, Tripod Socket, AI Gaming, 3yr Warranty</t>
  </si>
  <si>
    <t>ASURION 3 Year Furniture Protection Plan ($60 - $69.99)</t>
  </si>
  <si>
    <t>Epson Home Cinema 2350 4K PRO-UHD Smart Streaming Projector with Android TV, 3-Chip 3LCD, HDR10, HLG, 2,800 Lumens, Low Latency, 10 W Speaker, Bluetooth (Renewed)</t>
  </si>
  <si>
    <t>Xerox Genuine C410 Black Standard Capacity Toner Cartridge (2,400 Pages) -006R04677</t>
  </si>
  <si>
    <t>Nintendo 3DS XL Handheld System - Black/Blue (Renewed) [Nintendo DS]</t>
  </si>
  <si>
    <t>Crucial T700 4TB Gen5 NVMe M.2 SSD - Up to 12,400 MB/s - DirectStorage Enabled - CT4000T700SSD3 - Gaming, Photography, Video Editing &amp; Design - Internal Solid State Drive</t>
  </si>
  <si>
    <t>acer Nitro V Gaming Laptop | AMD Ryzen 5 7535HS Hexa-Core Processor | NVIDIA GeForce RTX 4050 Laptop GPU | 15.6" FHD IPS 144Hz Display | 8GB DDR5 | 512GB SSD | WiFi 6 | Backlit KB | ANV15-41-R5N6</t>
  </si>
  <si>
    <t>Jabra PRO 920 Mono Wireless Headset for Deskphone</t>
  </si>
  <si>
    <t>Ergotron – LX Vertical Stacking Dual Monitor Arm, VESA Desk Mount – for 2 Monitors Up to 40 Inches, 7 to 22 lbs Each – Tall Pole, Matte Black</t>
  </si>
  <si>
    <t>Sony FE 20mm F1.8 G Full-Frame Large-Aperture Ultra-Wide Prime Angle G Lens, Model: SEL20F18G,Black</t>
  </si>
  <si>
    <t>Garmin 010-02120-20 Forerunner 245 Music, GPS Running Smartwatch with Music and Advanced Dynamics, Black</t>
  </si>
  <si>
    <t>Sony SEL85F18 85mm F/1.8-22 Medium-Telephoto Fixed Prime Camera Lens, Black</t>
  </si>
  <si>
    <t>EPSON 2022 New Upgrade Home Cinema 2350 4K PRO-UHD Smart Gaming Projector with Android TV, 3-Chip 3LCD, HDR10, HLG, 2,800 Lumens, Low Latency, 10 W Speaker, Bluetooth, Streaming Capability</t>
  </si>
  <si>
    <t>Western Digital Ultrastar DC HC550 18TB 7200RPM 3.5" SATA Hard Drive WUH721818ALE6L4 (Renewed)</t>
  </si>
  <si>
    <t>Garmin quatix® 7 Standard Edition, Marine GPS Smartwatch, Tide Changes and Anchor Drag Alerts, Waypoint Marking</t>
  </si>
  <si>
    <t>Roku Smart TV 2025 – 55-Inch Pro Series, Mini-LED TV – RokuTV with Backlit Voice Remote Pro – Flat Screen 4K QLED Television with 120Hz Refresh Rate &amp; Dolby Vision IQ, Live News, Sports, Entertainment</t>
  </si>
  <si>
    <t>HP 15.6" FHD Laptop, Intel Core i3-1215U, 8GB RAM, 256GB SSD, Silver, Windows 11 Home, 15-dy5131wm</t>
  </si>
  <si>
    <t>HP Elitebook 840 G5 14-inch FHD (1920x1080) Business Laptop (Intel Quad-Core i5-8350U, 16GB DDR4 RAM, 512GB SSD USB Type-C, HDMI, Windows 11 Pro (Renewed)</t>
  </si>
  <si>
    <t>ASURION 3 Year Personal Care Protection Plan ($175 - $199.99)</t>
  </si>
  <si>
    <t>HP 659A Yellow Toner Cartridge | Works with HP Color LaserJet Enterprise M856, HP Color LaserJet Enterprise MFP M776 Series | W2012A</t>
  </si>
  <si>
    <t>MSI MPG 275CQRXF 27-inch 2560 x 1440 (QHD) Computer Monitor, 240Hz, Adaptive-Sync, HDR Ready, HDMI, VGA Port, Display Port,VESA Mountable, Tilt, Speaker, 0.5ms, Black</t>
  </si>
  <si>
    <t>Canon RF-S18-150mm F3.5-6.3 Lens</t>
  </si>
  <si>
    <t>Canon imageFORMULA DR-C230 Office Document Scanner, 9.1" x 10" x 11.5"</t>
  </si>
  <si>
    <t>Ergotron – Upgraded LX Pro Premium Monitor Arm, Single Monitor Desk Mount – fits Flat Curved Ultrawide Computer Monitors up to 34 Inches, 4 to 22 lbs, VESA 75x75mm or 100x100mm – Matte Black</t>
  </si>
  <si>
    <t>Jabra Engage 65 Wireless Headset, Mono – Telephone Headset with Industry-Leading Wireless Performance, Advanced Noise-Cancelling Microphone, Call Center Headset with All Day Battery Life</t>
  </si>
  <si>
    <t>ASURION 2 Year Floorcare Extended Protection Plan ($400 - $449.99)</t>
  </si>
  <si>
    <t>Yealink MP56-TEAMS-E2 - PoE - Android 13 OS - 7 inch (1024 x 8600) capacitive Touch Screen - Power Adapter NOT Included</t>
  </si>
  <si>
    <t>10-18mm F2.8 DC DN (for E Mount)</t>
  </si>
  <si>
    <t>Dell Optiplex 7070 Tower Desktop Computer | Intel i7-9700 (3.4) | 32GB DDR4 RAM | 1TB SSD Solid State | Windows 11 Pro | Internal Wi-Fi 6 PCIe Adapter (Renewed)</t>
  </si>
  <si>
    <t>Dell 27 USBC Hub Monitor P2725HE</t>
  </si>
  <si>
    <t>GIGABYTE GeForce RTX 3050 OC Low Profile 6G Graphics Card, 2X WINDFORCE Fans, 6GB GDDR6 96-bit GDDR6, GV-N3050OC-6GL Video Card</t>
  </si>
  <si>
    <t>Epson SureColor P700 13-Inch Printer,Black</t>
  </si>
  <si>
    <t>ASURION 3 Year Wearables Protection Plan ($100 - $124.99)</t>
  </si>
  <si>
    <t>Apple iPhone 14 Pro Max, 256GB, Space Black - Unlocked (Renewed Premium)</t>
  </si>
  <si>
    <t>ASURION 3 Year Headphones Protection Plan ($70 - $79.99)</t>
  </si>
  <si>
    <t>Audio-Technica AT-LP60XBT-WW Automatic Turntable</t>
  </si>
  <si>
    <t>ASURION 2 Year Personal Care Protection Plan ($150 - $174.99)</t>
  </si>
  <si>
    <t>Ubiquiti UniFi Express 7 Cloud Gateway (UX7)</t>
  </si>
  <si>
    <t>Sony SEL35F18 35mm f/1.8 Prime Fixed Lens</t>
  </si>
  <si>
    <t>Logitech MX Keys S Combo - Performance Wireless Keyboard and Mouse with Palm Rest</t>
  </si>
  <si>
    <t>Kicker 46CXA12001 CXA12001 1200-watt Mono Class D Subwoofer Amp</t>
  </si>
  <si>
    <t>AmScope B120 Series Student &amp; Professional LED Binocular Compound Microscope - 40X-2500X Magnification - Includes 5MP USB Camera &amp; Siedentopf Head</t>
  </si>
  <si>
    <t>HP Chromebook Thin Laptop Student Business 2024, 14" HD Display, Quad-Core Intel Celeron N4120 Processor, 4GB RAM, 64GB eMMC, HD Webcam, WiFi, Long Battery, Chrome OS +HubxcelAccessory Gray</t>
  </si>
  <si>
    <t>Klipsch Reference Cinema Dolby Atmos 5.1.4 System</t>
  </si>
  <si>
    <t>Lenovo LOQ Gaming Laptop - NVIDIA® GeForce RTX™ 4050 6GB - 15.6” FHD Display - AMD Ryzen 7 8845HS - 16GB RAM - 512GB SSD - Windows 11 Home, Luna Grey</t>
  </si>
  <si>
    <t>MSI Gaming RTX 4070 Super 12G Ventus 3X OC Graphics Card (NVIDIA RTX 4070 Super, 192-Bit, Extreme Clock: 2520 MHz, 12GB GDRR6X 21 Gbps, HDMI/DP, Ada Lovelace Architecture)</t>
  </si>
  <si>
    <t>Xerox C325 Color All-in-One Printer, Laser, DADF, Copy, Print, Scan, Fax, Email, Letter, Energy Star Certified, up to 35 PPM</t>
  </si>
  <si>
    <t>Hp B3P06A 727 Designjet Printhead</t>
  </si>
  <si>
    <t>JBL Professional EON710 Powered PA Speaker with Bluetooth, 10 inch, 1300 Watt, Wired Electric, Black</t>
  </si>
  <si>
    <t>HP 213X High Yield Cyan Original LaserJet Toner Cartridge, W2131X. Works with HP LaserJet Enterprise 5700, 5800, 6700, 6701, 6800, 6801</t>
  </si>
  <si>
    <t>Thrustmaster Sol-R2 HOSAS, Hall Effect Technology for Ultra-Precise Gaming, 88 buttons Ideal for Space Flight Simulation (compatible with PC)</t>
  </si>
  <si>
    <t>ASUS Pro WS TRX50-SAGE WIFI CEB Workstation motherboard, AMD Ryzen Threadripper PRO 7000 WX,ECC R-DIMM DDR5, 36 power-stage, WiFi 7,PCIe 5.0 x 16,PCIe 5.0 M.2, 10 Gb and 2.5 Gb LAN, multi-GPU support.</t>
  </si>
  <si>
    <t>Sony ZV-1 II Vlog Camera for Content Creators and Vloggers - Black</t>
  </si>
  <si>
    <t>Canon EF 24-70mm f/2.8L USM Standard Zoom Lens for Canon SLR Cameras (Renewed)</t>
  </si>
  <si>
    <t>Canon RF24mm F1.8 Macro is STM Lens, Wide-Angle, Fixed Focal Length Prime Lens, Compatible with EOS R Series Mirrorless Cameras, Black</t>
  </si>
  <si>
    <t>Lexmark 56F1U00 Black Ultra High Yield Return Program Toner Cartridge Toner</t>
  </si>
  <si>
    <t>Brady (M7-R6000) Printer Ribbon - R6000 Series Halogen Free Ribbon for BMP71 and M710 Printers - Black, Roll of 150 Feet</t>
  </si>
  <si>
    <t>HP 14 E14 G4 FHD 1080p Portable Monitor</t>
  </si>
  <si>
    <t>Aputure Amaran T2C RGBWW LED Tube Light 2500K to 7500K,Support APP and DMX Control (T2C 20W 23.6inch/60CM)</t>
  </si>
  <si>
    <t>EPOS Impact 1061 ANC High-Performance Bluetooth Headset for PC - Double-Sided, Advanced Noise Cancellation, AI, Super Wideband Audio, Intuitive Controls, for Professionals in Loud Workspaces</t>
  </si>
  <si>
    <t>ASURION 2 Year Toy Accident Protection Plan ($175 - $199.99)</t>
  </si>
  <si>
    <t>ASUS ROG Strix G16 (2025) Gaming Laptop, 16” ROG Nebula Display 16:10 2.5K 240Hz/3ms, NVIDIA® GeForce RTX™ 5060 GPU, Intel® Core™ Ultra 9 Processor 275HX, 16GB DDR5, 1TB SSD, Wi-Fi 7, Wind11 Home</t>
  </si>
  <si>
    <t>SAMSUNG 32-inch Class LED Smart FHD TV 1080P (UN32N5300AFXZA, 2018 Model)</t>
  </si>
  <si>
    <t>HP 647A Black Toner Cartridge | Works with HP Color LaserJet Enterprise CP4025, CP4525 Series | CE260A</t>
  </si>
  <si>
    <t>ASURION 2 Year Toy Accident Protection Plan ($400 - $449.99)</t>
  </si>
  <si>
    <t>TP-Link 48 Port PoE Gigabit Switch(SG2452LP) | 32 PoE+ Ports, 16 Non-PoE Ports, 4 SFP Ports | 230W Budget | Omada Full Managed | Fanless | L2 Managed | VLAN, ZTP, LAG, PoE Recovery | 5-Year Warranty</t>
  </si>
  <si>
    <t>Eaton 5S1500LCD UPS Battery Backup &amp; Surge Protector, 1500VA / 900W, AVR, LCD Display, Line Interactive</t>
  </si>
  <si>
    <t>Synology DS224+ 2-Bay Diskstation NAS (Intel Celeron J4125 4-Core 2.0 GHz 2GB DDR4 RAM 2xRJ-45 1GbE LAN-Port) 8TB Bundle with 2X 4TB WD Red Plus</t>
  </si>
  <si>
    <t>Brother QL-1100 Wide Format, Postage and Barcode Professional Thermal Monochrome Label Printer, Black</t>
  </si>
  <si>
    <t>Garmin DriveSmart 86 8-inch Bright Crip Glass Screen Car GPS Navigator (010-02471-00) (Renewed)</t>
  </si>
  <si>
    <t>ZAGG Rugged Education Keyboard for Apple iPad 10.2" (7th/ 8th/ 9th Gen) 6FT Drop Protection | Durable | Black</t>
  </si>
  <si>
    <t>Hisense AX Series 5.1.2 Ch 420W Soundbar with Wireless Subwoofer &amp; Wireless Rear Satellite Speakers, and Dolby Atmos AX5120G, Black (Renewed)</t>
  </si>
  <si>
    <t>ASURION 4 Year Kitchen Protection Plan ($70 - $79.99)</t>
  </si>
  <si>
    <t>Audio-Technica AT-LPW30BKR Fully Manual Belt-Drive Turntable</t>
  </si>
  <si>
    <t>Garmin Fusion Apollo MS-RA770 Marine Stereo, With Built-in Wi-Fi, A Garmin Brand</t>
  </si>
  <si>
    <t>Klipsch The Fives Powered Bookshelf Speakers (Matte Black)</t>
  </si>
  <si>
    <t>ASURION 4 Year Kitchen Protection Plan ($150 - $174.99)</t>
  </si>
  <si>
    <t>Poly Edge E350 IP Desk Phones (Plantronics + Polycom) – Easy to Install with Included Wi-Fi – 8-line Keys Supporting up to 32 Lines - Integrated Bluetooth for Mobile Phone and Headset Pairing</t>
  </si>
  <si>
    <t>Blackmagic Design Micro Converter BiDirectional SDI/HDMI 12G with Power Supply</t>
  </si>
  <si>
    <t>HP Wide Format Universal Instant-dry Satin Photo Paper 24 in x 100 ft 7.9 mil - 200 g/m² 2" Core - Q6579A</t>
  </si>
  <si>
    <t>DJI FPV Combo (Goggles V2), First-Person View Drone with 4K Camera, S Flight Mode, Super-Wide 150° FOV, HD Low-Latency Transmission, FAA Remote ID Compliant</t>
  </si>
  <si>
    <t>DJI Osmo Action 5 Pro Standard Combo, Waterproof Action Camera with 4K/120fps Video, 40MP, Stabilization, + 128GB Memory Card, High Speed Card Reader + 50 Piece Accessory Kit</t>
  </si>
  <si>
    <t>Beelink SER8 Mini PC, AMD Ryzen 7 8745HS (8C/16T up to 4.9GHz), 32GB DDR5 RAM 1TB PCIe4.0 SSD, Mini Computer Support 4K@144Hz, Triple Display, WiFi6, BT5.2, HDMI+DP, USB4</t>
  </si>
  <si>
    <t>Kensington SD4760P 11-in-1 USB-C Docking Station Triple Monitor DisplayLink Docking Station, 3xHDMI, 100W Charging for Laptop, 6xUSB A, Ethernet, Audio, for Mac and Windows Driver Require K33622NA</t>
  </si>
  <si>
    <t>Garmin dēzl™ Headset 210, 2-in-1 Premium Trucking Headset, Active Noise Cancellation, Long Battery Life, 60 Hours of Talk Time, Built-in LED Flashlight, Convertible Design</t>
  </si>
  <si>
    <t>Klipsch RP-504C Center Channel Speaker (Ebony)</t>
  </si>
  <si>
    <t>MSI Gaming RTX 5060 8G Ventus 2X OC Graphics Card (8GB GDDR7,128-bit, Extreme Performance: 2535 MHz, DisplayPort x3 2.1a, HDMI 2.1b, NVIDIA Blackwell Architecture)</t>
  </si>
  <si>
    <t>SAMSUNG FT45 Series 27-Inch FHD 1080p Computer Monitor, 75Hz, IPS Panel, HDMI, USB Hub, Height Adjustable Stand, 3 Yr WRNTY (LF27T450FQNXGO),Black</t>
  </si>
  <si>
    <t>Yamaha Audio YHT-4950U 4K Ultra HD 5.1-Channel Home Theater System with 8" 50W RMS Powered Subwoofer Speakers, AV Receiver, True Surround Sound with Bluetooth Music Streaming (Black)</t>
  </si>
  <si>
    <t>UGREEN NASync DXP8800 Plus 8-Bay Desktop NAS, Intel i5 1235u 10-Core CPU, 8GB DDR5 RAM, 128G SSD, 2X 10GbE, 2X M.2 NVMe Slots, 8K HDMI, 2X TBT4, Network Attached Storage (Diskless)</t>
  </si>
  <si>
    <t>ASURION 3 Year Floorcare Extended Protection Plan ($40 - $49.99)</t>
  </si>
  <si>
    <t>Apple 2022 Mac Studio with Apple M1 Max Chip 10-Core CPU (32GB RAM,512GB SSD) (Renewed)</t>
  </si>
  <si>
    <t>Lorex 4K Ultra HD PoE Outdoor Metal Dome Add-On Security Camera – 8MP, 2.8mm Fixed Lens, Smart Deterrence, Smart Motion Detection Plus, Siren Warning</t>
  </si>
  <si>
    <t>DJI RC Motion 3, FPV Smart Controller with Immersive Motion Control, Compact and Portable, One-Click Emergency Brake, AR Cursor, Intuitive Drone Controller, Multi-Model Compatibility</t>
  </si>
  <si>
    <t>Yamaha YHT-5960U Home Theater System with 8K HDMI and MusicCast</t>
  </si>
  <si>
    <t>KODAK SOUNDBRIX™ Bluetooth Speaker with HD Sound Portable Wireless IPX4 Water Resistant Upto 5H Playtime V5.4 for Home Party Outdoor Beach Electronic Gadgets Birthday Gift Blue Stackable Speakers</t>
  </si>
  <si>
    <t>Microsoft Surface Pro Signature Keyboard - Black</t>
  </si>
  <si>
    <t>Apple AirPods Max Wireless Over-Ear Headphones, Active Noise Cancelling, Transparency Mode, Personalized Spatial Audio, Dolby Atmos, Bluetooth Headphones for iPhone – Sky Blue</t>
  </si>
  <si>
    <t>ASURION 3 Year Camera Protection Plan ($450 - $499.99)</t>
  </si>
  <si>
    <t>MSI Gaming RTX 5060 8G Ventus 2X OC White Graphics Card (8GB GDDR7,128-bit, Extreme Performance: 2535 MHz, DisplayPort x3 2.1a, HDMI 2.1b, NVIDIA Blackwell Architecture)</t>
  </si>
  <si>
    <t>Anker Power Bank, 20,000mAh Travel Essential Portable Charger with Built-in USB-C Cable, 3-Port 87W Max Fast Charging Battery Pack, for MacBook, iPhone 16/15 Series, Samsung, Switch, and More</t>
  </si>
  <si>
    <t>Anker 675 USB-C Docking Station: 12-in-1 Monitor Stand with 100W Charging, Wireless Charger, 4K HDMI, SD/microSD Slots, Ethernet, USB-C/A Ports for Laptop and Phone Connectivity</t>
  </si>
  <si>
    <t>Western Digital DC HC550 18TB SATA 6Gb/s 7200RPM 3.5-inch Enterprise HDD - WUH721818ALE604 (0F38453) (Renewed)</t>
  </si>
  <si>
    <t>BenQ GW2786TC Office USB hub Monitor 27" 1080p | Coding Mode | IPS | Eye-Care Tech | Adaptive Brightness | Height Adjustable | White Monitor | Noice-Cancelling Mic | Daisy Chain | USB-C</t>
  </si>
  <si>
    <t>Godox AD600BMII AD600 bm(2025) Bowens Mount 600Ws Led Video Light High Speed Sync Outdoor Studio Flash Strobe with 2.4G Wireless X System,8940mAh Battery to Provide 500 Full Power Flashes</t>
  </si>
  <si>
    <t>Poly Voyager Focus UC Wireless Headset for Computer &amp; Charge Stand (Plantronics) - Active Noise Canceling (ANC) - Connect PC/Mac/Mobile via Bluetooth - Works w/Teams (Certified), Zoom-Amazon Exclusive</t>
  </si>
  <si>
    <t>Garmin 010-02541-10 fenix 7X Sapphire,Larger adventure smartwatch, Solar Charging Capabilities, rugged outdoor GPS watch, touchscreen, wellness features, Carbon Gray DLC Titanium with Black Band</t>
  </si>
  <si>
    <t>Microsoft Sculpt Ergonomic Keyboard for Business. Wireless , Comfortable, Ergonomic Keyboard with Split Design and Palm Rest. Separate Number Pad Included</t>
  </si>
  <si>
    <t>ZOTAC MEK AI-Enhanced Gaming PC Desktop Computer - NVIDIA GeForce RTX 3050, AMD Ryzen 5 5500 4.2GHz, 16GB DDR4, 500GB NVME M.2 SSD, 650W 80+ Gold PSU, WiFi 6E, Windows 11 Home</t>
  </si>
  <si>
    <t>Nikon AF-S FX NIKKOR 50mm f/1.8G Lens with Auto Focus for Nikon DSLR Cameras</t>
  </si>
  <si>
    <t>Nikon AF-S DX NIKKOR 18-300mm f/3.5-6.3G ED Vibration Reduction Zoom Lens with Auto Focus for Nikon DSLR Cameras</t>
  </si>
  <si>
    <t>Lume Cube Studio Panel 2-Point Lighting Kit | Edge Lit LED Bicolor Light Panels 3200k - 5600k | Rechargeable Lithium Battery, Adjustable Color, Brightness, 70" Stands, Wireless Remote Included</t>
  </si>
  <si>
    <t>Altec Lansing Shockwave 200 Wireless Party Speaker 180W Bluetooth Speaker with a Long Lasting 12 Hour Battery, Multi LED Party Modes, Multiple bass Boost Modes, Party Sync, AM/FM Radio</t>
  </si>
  <si>
    <t>Apple iPhone 11 Pro, US Version, 256GB, Gold - Unlocked (Renewed)</t>
  </si>
  <si>
    <t>Peak Design Slide Lite Camera Strap, Black, Configurable as a Sling, Neck or Shoulder Strap, Quick Release and Connection, Smooth and Grippy Side, Camera Straps for Photographers, 200 lb Capacity</t>
  </si>
  <si>
    <t>PHILIPS TAT1108 Wireless Earbuds,True Wireless Headphones,Powerful Bass with 6 mm Driver,Clear Call with AI Mic,15-Hour Battery Life,Bluetooth v5.3,IPX4 Rating,Ergonomic Design for Comfort,Black</t>
  </si>
  <si>
    <t>DEWALT Heavy Duty Black Edition 2-in-1 Neckband Bluetooth Headphones w/Built-in Speakers, Jobsite Wearable Speaker &amp; Around Neck, Wireless Headset, 60+ Hrs Hands-Free Music &amp; Calls, Carry Pouch</t>
  </si>
  <si>
    <t>ASUS ROG Swift 32” 4K OLED Gaming Monitor (PG32UCDM) - UHD (3840 x 2160), QD-OLED, 240Hz, 0.03ms, G-SYNC Compatible, Custom Heatsink, Graphene Film, 99% DCI-P3, True 10-bit, 90W USB-C</t>
  </si>
  <si>
    <t>DEWALT Wearable Bluetooth Speaker [Onyx Edition - Black] Clip-On Wireless Jobsite Pro Water-Resistant Portable Speaker (Non- Magnetic), Mic for Hands-Free Music/Calls, Mini Speakers Bluetooth Wireless</t>
  </si>
  <si>
    <t>ASURION 4 Year Housewares Protection Plan ($150 - $174.99)</t>
  </si>
  <si>
    <t>MSI Codex Z2 Gaming Desktop: AMD R7-8700F, GeForce RTX 5070, 32GB DDR5, 2TB m.2 NVMe SSD, USB Type-C, VR-Ready, Windows 11 Home : A8NVP-436US</t>
  </si>
  <si>
    <t>ASURION 2 Year Floorcare Extended Protection Plan ($450 - $499.99)</t>
  </si>
  <si>
    <t>ASUS ROG Strix G16 (2025) Gaming Laptop, 16” FHD+ 16:10 165Hz/3ms Display, NVIDIA® GeForce RTX™ 5060 Laptop GPU, Intel® Core™ i7 Processor 14650HX, 16GB DDR5, 1TB Gen 4 SSD, Wi-Fi 7, Windows 11 Home</t>
  </si>
  <si>
    <t>Samsung 65-Inch Class OLED 4K S90D Series HDR+ Smart TV w/Dolby Atmos, Object Tracking Sound Lite, Motion Xcelerator, Real Depth Enhancer, 4K AI Upscaling, Alexa Built-in (QN65S90D, 2024 Model)</t>
  </si>
  <si>
    <t>Garmin fēnix 7 Pro Sapphire Solar, Multisport GPS Smartwatch, Built-in Flashlight, Solar Charging Capability, Black</t>
  </si>
  <si>
    <t>ASURION 4 Year Television Protection Plan ($2000 - $2999.99)</t>
  </si>
  <si>
    <t>Apple 2024 MacBook Pro Laptop with M4 Pro, 14‑core CPU, 20‑core GPU: Built for Apple Intelligence, 16.2-inch Liquid Retina XDR Display, 24GB Unified Memory, 512GB SSD Storage; Space Black</t>
  </si>
  <si>
    <t>ASUS ROG Strix 26.5” 1440P QD-OLED Gaming Monitor (XG27ACDNG) -QHD (2560x1440), 360Hz, 0.03ms, Custom Heatsink, OLED Care+, G-SYNC Compatible, 99% DCI-P3, DisplayWidget, AI Gaming, 3yr Warranty</t>
  </si>
  <si>
    <t>LG UltraGear QHD 27-Inch Gaming Monitor 27GL83A-B - IPS 1ms (GtG), with HDR 10 Compatibility, NVIDIA G-SYNC, and AMD FreeSync, 144Hz, Black</t>
  </si>
  <si>
    <t>Canon EOS R50 Mirrorless Camera RF-S18-45mm F4.5-6.3 is STM Lens Kit, 24.2 Megapixel CMOS (APS-C) Sensor, 4K Video, Hybrid Camera, Photo and Video, Vlogging, Content Creator, RF Mount, Black</t>
  </si>
  <si>
    <t>StarTech.com 1U Vented Server Rack Shelf, 12in/31.5cm Mounting Depth, for 19" Rack/Cabinet, SPCC Steel, Max 25lb/11.3kg</t>
  </si>
  <si>
    <t>CyberPowerPC Gamer Master Gaming PC, AMD Ryzen 5 5500 3.6GHz, Radeon RX 6400 4GB, 16GB DDR4, 500GB PCIe Gen4 SSD, WiFi Ready &amp; Windows 11 Home (GMA3100A)</t>
  </si>
  <si>
    <t>weBoost Drive Reach Overland - Cell Phone Signal Booster for Off Road Vehicles | Boosts 5G &amp; 4G LTE for All U.S. Carriers - Verizon, AT&amp;T, T-Mobile &amp; More | Made in The U.S. | FCC Approved</t>
  </si>
  <si>
    <t>Apple iPhone 14 Pro Max, 128GB, Space Black - Unlocked (Renewed)</t>
  </si>
  <si>
    <t>Garmin® Forerunner® 970, Premium GPS Running and Triathlon Smartwatch, AMOLED Display, Built-in LED Flashlight, Carbon Gray DLC Titanium with Black Case and Black/Translucent Whitestone Band</t>
  </si>
  <si>
    <t>Dell UltraSharp U2723QE 27" 4K UHD WLED LCD Monitor - 16:9 - Black, Silver</t>
  </si>
  <si>
    <t>Apple iPhone 16 Pro Max, US Version, 256GB, Black Titanium - Unlocked (Renewed Premium)</t>
  </si>
  <si>
    <t>ASURION 3 Year Electronics Protection Plan ($500 - $599.99)</t>
  </si>
  <si>
    <t>Dell ThunderBolt 4 Dock (WD22TB4)</t>
  </si>
  <si>
    <t>Garmin Forerunner 265 Running Smartwatch, Colorful AMOLED Display, Training Metrics and Recovery Insights, Black and Powder Gray</t>
  </si>
  <si>
    <t>UNIDEN R8 Extreme Long-Range Radar/Laser Detector, Dual-Antennas Front &amp; Rear Detection w/Directional Arrows, Built-in GPS w/Real-Time Alerts, Voice Alerts, Red Light Camera,Speed Camera Alerts,Black</t>
  </si>
  <si>
    <t>ASUS ROG Strix X870E-E Gaming WiFi AMD AM5 X870 ATX Motherboard 18+2+2 Power Stages, Dynamic OC Switcher, Core Flex, DDR5 AEMP, WiFi 7, 5X M.2, PCIe® 5.0, Q-Release Slim, USB4®, AI OCing &amp; Networking</t>
  </si>
  <si>
    <t>SAMSUNG 27" ViewFinity S6 (S60UD) Series QHD High Resolution Computer Monitor, 100Hz, HDR10, USB-C, Built-In LAN Port, Daisy Chain Support, Easy Setup, Height Adjustable Stand, LS27D606UANXGO, 2024</t>
  </si>
  <si>
    <t>Samsung 870 QVO 8 TB SATA 2.5 Inch Internal Solid State Drive (SSD) (MZ-77Q8T0)</t>
  </si>
  <si>
    <t>Intel® Core™ i9-14900K Desktop Processor</t>
  </si>
  <si>
    <t>Dell Inspiron 15 3000 3520 Business Laptop Computer[Windows 11 Pro], 15.6'' FHD Touchscreen, 11th Gen Intel Quad-Core i5-1135G7, 16GB RAM, 1TB PCIe SSD, Numeric Keypad, Wi-Fi, Webcam, HDMI, Black</t>
  </si>
  <si>
    <t>ASUS ROG Rapture GT-BE98 PRO First Quad-Band WiFi 7 Gaming Router supports 320MHz, Dual 10G Port, Triple-level Game Acceleration, Mobile Game Mode, Subscription-Free Security, AiMesh, and VPN features</t>
  </si>
  <si>
    <t>PNY NVIDIA GeForce RTX™ 5070 12GB Overclocked Triple Fan Graphics Card (DLSS 4, PCIe® 5.0, HDMI®/DP 2.1, 2.4-Slot)</t>
  </si>
  <si>
    <t>Lenovo V15 Laptop, 15.6" FHD Display, AMD Ryzen 5 5500U Hexa-core Processor (Beat Intel i7-1065G7), 16GB RAM, 512GB SSD, HDMI, RJ45, Numeric Keypad, Wi-Fi, Windows 11 Pro, Black</t>
  </si>
  <si>
    <t>ASUS TUF Gaming 27” 1440P HDR Monitor (VG27AQ3A) – QHD (2560 x 1440), 180Hz, 1ms, Fast IPS, 130% sRGB, Extreme Low Motion Blur Sync, Speakers, Freesync Premium, G-SYNC Compatible, HDMI, DisplayPort</t>
  </si>
  <si>
    <t>Canon Cameras US Point and Shoot Digital Camera with 3.0" LCD, Silver (2956C001)</t>
  </si>
  <si>
    <t>G.SKILL Trident Z5 Neo RGB Series (AMD Expo) DDR5 RAM 64GB (2x32GB) 6000MT/s CL30-40-40-96 1.40V Desktop Computer Memory UDIMM - Matte Black (F5-6000J3040G32GX2-TZ5NR)</t>
  </si>
  <si>
    <t>Apple iPhone 12 Pro, 128GB, Pacific Blue - Fully Unlocked (Renewed)</t>
  </si>
  <si>
    <t>JBL PartyBox On-The-Go Essential - Portable Party Speaker with Built-in Lights and Wireless mic, Amazing Pro Sound, IPX4 splashproof Protection, 6 Hours of Playtime, Convenient Shoulder Strap</t>
  </si>
  <si>
    <t>Sony ZV-1F Vlog Camera for Content Creators and Vloggers Black</t>
  </si>
  <si>
    <t>Acer Aspire Go 15 AI Ready Laptop | 15.6" Full HD (1920 x 1080) IPS Display | Intel Core 3 Processor N355 | Intel Graphics | 8GB DDR5 | 128GB UFS | Wi-Fi 6 | Windows 11 Home in S Mode | AG15-32P-39R2</t>
  </si>
  <si>
    <t>Dell Dock WD19S USB-C 180W Power Delivery</t>
  </si>
  <si>
    <t>Lenovo IdeaPad Slim 3 Chromebook, 14″ FHD IPS Anti-Glare Touchscreen, MediaTek Kompanio 520, 4GB LPDDR4X, 224GB Storage(64GB eMMC+160GB Docking Station Set), Webcam, WiFi 6, Chrome OS, Blue</t>
  </si>
  <si>
    <t>LG 27UP850K-W 27-inch Ultrafine 4K UHD (3840 x 2160) IPS Computer Monitor, 60Hz, 5ms, DisplayHDR 400, Built-in Speaker, HDMI, DisplayPort, USB Type-C 90W PD, Tilt/Height/Pivot Adjustable Stand, White</t>
  </si>
  <si>
    <t>Jabra Evolve2 65 MS Wireless Headphones with Link380a, Stereo, Black – Wireless Bluetooth Headset for Calls and Music, 37 Hours of Battery Life, Passive Noise Cancelling Headphones</t>
  </si>
  <si>
    <t>SAMSUNG 49” Odyssey G9 Series DQHD 1000R Curved Gaming Monitor, 1ms(GtG), VESA DisplayHDR 1000, 240Hz, AMD FreeSync Premium Pro, Height Adjustable Stand, Ultrawide Screen, LS49CG954ENXZA, 2024</t>
  </si>
  <si>
    <t>Epson Pro EX9240 3-Chip 3LCD Full HD 1080p Wireless Projector, 4,000 Lumens Color Brightness, 4,000 Lumens White Brightness, Miracast, 2 HDMI Ports, Built-in Speaker, 16,000:1 Contrast Ratio</t>
  </si>
  <si>
    <t>ASURION 3 Year Desktop Protection Plan ($175 - $199.99)</t>
  </si>
  <si>
    <t>Olympus Tough TG-7 Digital Camera (Red)</t>
  </si>
  <si>
    <t>HP ProDesk 400 G9 SFF Business Desktop Computer, Intel CPU, 32GB RAM, 1TB PCle SSD, Dual 4K Display Support, USB-C, HDMl, RJ-45, Wi-Fi, Wired Keyboard &amp; Mouse, Windows 11 Pro</t>
  </si>
  <si>
    <t>Apple 2024 iMac All-in-One Desktop Computer with M4 chip with 8-core CPU and 8-core GPU: Built for Apple Intelligence, 24-inch Retina Display, 16GB Unified Memory, 256GB SSD Storage; Silver</t>
  </si>
  <si>
    <t>NETGEAR Nighthawk Tri-Band WiFi 7 Router (RS700S) - Security Features, BE19000 Wireless Speed (up to 19 Gbps) – 10 Gig Internet Port - Covers up to 3,500 sq. ft. – 1-Year Armor &amp; Free Expert Help</t>
  </si>
  <si>
    <t>WD_BLACK 2TB SN8100 NVMe SSD Internal Solid State Drive - Gen 5 PCIe 5.0x4, M.2 2280, Seq. Read Speeds Up to 14,900 MB/s, Best for AI Applications, Gaming, and Video Editing - WDS200T1X0M</t>
  </si>
  <si>
    <t>Samsung 57" Odyssey Neo G9 (G95NC) Series Dual 4K UHD 1000R Curved Gaming Monitor, 240Hz, 1ms with DisplayPort 2.1, Quantum Mini-LED, DisplayHDR 1000, AMD FreeSync Premium Pro, LS57CG952NNXZA</t>
  </si>
  <si>
    <t>DJI Mini 4 Pro (DJI RC-N2), Drones with Camera for Adults 4K, Under 0.549 lbs/249 g, 34 Mins Flight Time, 20km Max Video Transmission Distance, Omnidirectional Vision Sensing, Mini Drone for Beginners</t>
  </si>
  <si>
    <t>ASUS Dual GeForce RTX™ 5060 8GB GDDR7 OC Edition (PCIe 5.0, 8GB GDDR7, DLSS 4, HDMI 2.1b, DisplayPort 2.1b, 2.5-Slot Design, Axial-tech Fan Design, 0dB Technology, and More)</t>
  </si>
  <si>
    <t>UGREEN NASync DXP4800 Plus 4-Bay Desktop NAS, Intel Pentium Gold 8505 5-Core CPU, 8GB DDR5 RAM, 128GB SSD, 1x 10GbE, 1x 2.5GbE, 2X M.2 NVMe Slots, 4K HDMI, Network Attached Storage (Diskless)</t>
  </si>
  <si>
    <t>HP Victus 15.6 i5 Gaming Laptop, 15.6" FHD 1920*1080 144Hz, Intel Core i5-12450H, NVIDIA GeForce RTX 3050, 32GB RAM, 1TB SSD, Backlit KB, Touchpad, SD Card Reader, Webcam, HDMI, Wi-Fi 6, W11 H, Blue</t>
  </si>
  <si>
    <t>Apple MacBook Pro 13 Laptop Intel Core i5 1.4GHz 8GB RAM 256GB SSD Space Gray - MUHP2LL/A</t>
  </si>
  <si>
    <t>ASURION 2 Year Outdoor Furniture Protection Plan ($100 - $124.99)</t>
  </si>
  <si>
    <t>Panasonic Streaming 4K Blu Ray Player with Dolby Vision and HDR10+ Ultra HD Premium Video Playback, Hi-Res Audio, Voice Assist - DP-UB820-K (Black)</t>
  </si>
  <si>
    <t>ASUS TUF Gaming GeForce RTX ™ 5070 Ti 16GB GDDR7 OC Edition Gaming Graphics Card (PCIe® 5.0, HDMI®/DP 2.1, 3.125-slot, Military-Grade Components, Protective PCB Coating, axial-tech Fans)</t>
  </si>
  <si>
    <t>Dell WD19S 180W Docking Station (130W Power Delivery) USB-C, HDMI, Dual DisplayPort, Black</t>
  </si>
  <si>
    <t>Xbox Core Wireless Gaming Controller – Pulse Red Series X|S, One, Windows PC, Android, and iOS</t>
  </si>
  <si>
    <t>DJI Flip (RC-N3), Drone With 4K UHD Camera for Adults, Under 249 g, 3-Axis Gimbal Stabilization, 44000ft/13km Video Transmission, Palm Takeoff, Auto Return, 31-Min Flight Time, Intelligent Flight</t>
  </si>
  <si>
    <t>GoPro HERO13 Black Ultra Wide Edition - Waterproof Action Camera with 5.3K60 Video, 27MP Photo, Boosted 177-degree FOV + Compatability with HB-Series Lenses</t>
  </si>
  <si>
    <t>ViewSonic VA2456A-MHD 24 Inch IPS 1080p Monitor with 120Hz, Eye Care, HDMI, DisplayPort, and VGA Inputs for Home and Office</t>
  </si>
  <si>
    <t>Acer 27" WQHD 240Hz 0.5ms AMD FreeSync Premium IPS Gaming Monitor (XV272U)</t>
  </si>
  <si>
    <t>Dell OptiPlex 7070 SFF Desktop Computer PC, Intel 8 Core i7-9700 3.0GHz up to 4.70GHz,32GB DDR4 Ram New 1TB NVMe M.2 SSD,AX210 Built-in WiFi 6E,Windows 11 Pro, Wireless Keyboard &amp; Mouse (Renewed)</t>
  </si>
  <si>
    <t>ASUS ProArt Display 27” 4K HDR Professional Monitor (PA279CRV) - IPS, UHD (3840 x 2160), 99% DCI-P3/Adobe RGB, ΔE &lt; 2, Calman Verified, USB-C PD 96W, DisplayPort, Daisy-Chain, Ergonomic, 3yr Warranty</t>
  </si>
  <si>
    <t>Samsung Galaxy Tab S10+ Plus 12.4” 256GB Android Tablet, Galaxy AI Tools, Circle to Search, AMOLED 2X Display, Long Battery Life, Durable Design, S Pen for Note-Taking, US Version, Moonstone Gray</t>
  </si>
  <si>
    <t>DJI Osmo Action 4 Standard Combo, 4K/120fps Waterproof Action Camera with a 1/1.3-Inch Sensor, Stunning Low-Light Imaging,10-bit &amp; D-Log M Color Performance, Long-Lasting 160 Mins, Outdoor Camera</t>
  </si>
  <si>
    <t>SAMSUNG Viewfinity S65UA Series 34-Inch Ultrawide QHD Curved Monitor, 100Hz, USB-C, HDR10 (1 Billion Colors), Height Adjustable Stand, TUV-certified Intelligent Eye Care (LS34A654UBNXGO),Black</t>
  </si>
  <si>
    <t>Intel Core i7-12700K Gaming Desktop Processor with Integrated Graphics and 12 (8P+4E) Cores up to 5.0 GHz Unlocked LGA1700 600 Series Chipset 125W</t>
  </si>
  <si>
    <t>Skullcandy Crusher ANC 2 Wireless Over-Ear Bluetooth Headphones with Multi-Sensory Bass, Active Noise Cancelling, Up to 60 Hours Battery, Microphone for iPhone Android - Black/Asphalt</t>
  </si>
  <si>
    <t>HP USB-C Dock G5, 5TW10AA#ABB, Wired, For Notebook</t>
  </si>
  <si>
    <t>Apple iPhone 15 Plus, 128GB, Black - Unlocked (Renewed)</t>
  </si>
  <si>
    <t>ASURION 3 Year Headphones Protection Plan ($60 - $69.99)</t>
  </si>
  <si>
    <t>Denon AVR-S570BT 5.2 Channel AV Receiver - 8K Ultra HD Audio &amp; Video, Enhanced Gaming Experience, Wireless Streaming via Built-in Bluetooth, (4) 8K HDMI Inputs, Supports eARC, HD Setup Assistant</t>
  </si>
  <si>
    <t>Apple iPhone 14 Pro, 128GB, Space Black - Unlocked (Renewed)</t>
  </si>
  <si>
    <t>Intel® Core™ Ultra 9 Desktop Processor 285K 24 cores (8 P-cores + 16 E-cores) up to 5.7 GHz</t>
  </si>
  <si>
    <t>Samsung B-Series Soundbar HW B400F 2.0 ch Soundbar with Built in Subwoofer (2025 Model) One Remote Control, Surround Sound Expansion, Voice Enhance Mode</t>
  </si>
  <si>
    <t>Bushnell Wingman View Golf GPS Speaker</t>
  </si>
  <si>
    <t>Apple iPhone 12 Pro Max, 128GB, Pacific Blue - Fully Unlocked (Renewed)</t>
  </si>
  <si>
    <t>ASURION 4 Year Kitchen Protection Plan ($60 - $69.99)</t>
  </si>
  <si>
    <t>Razer DeathAdder V4 Pro Wireless Gaming Mouse: 56g Lightweight - HyperSpeed Wireless Gen-2 - Optical Scroll Wheel - Optical Switches Gen-4 - Focus Pro 45K Sensor Gen-2 - Up to 150 Hr Battery</t>
  </si>
  <si>
    <t>Escort Redline 360c Plug and Play Radar Detector - Extreme Range, Rapid Response Times, Full Stealth, 360 Degree Awareness, Advanced Filtering, Built-in WiFi, Apple CarPlay &amp; Android Auto Compatible</t>
  </si>
  <si>
    <t>Apple 2020 MacBook Pro with 2.0GHz Intel Core i5, 13-inch, 16GB RAM, 512GB SSD Storage - Space Gray (Renewed)</t>
  </si>
  <si>
    <t>Google Pixel Watch 3 (45mm) 2024 Model - Android Smartwatch, Heart Rate Tracking, Fitbit Advanced Running, Fitness Insights, 24-Hour Battery - Matte Black Aluminum Case - Obsidian Band - Wi-Fi</t>
  </si>
  <si>
    <t>Intel® Core™ i7-14700K New Gaming Desktop Processor 20 cores (8 P-cores + 12 E-cores) with Integrated Graphics - Unlocked</t>
  </si>
  <si>
    <t>DJI Mic (2 TX + 1 RX + Charging Case), Wireless Lavalier Microphone, 250m (820 ft.) Range, 15-Hour Battery, Noise Cancellation Wireless Microphone for PC, iPhone, Record Interview, YouTube, Black</t>
  </si>
  <si>
    <t>Western Digital 8TB WD Purple Pro Surveillance Internal Hard Drive HDD - SATA 6 Gb/s, 256 MB Cache, 3.5" - WD8002PURP</t>
  </si>
  <si>
    <t>Apple iPad Magic Keyboard Case for iPad Pro 13-inch (M4), Great Typing Experience, Built-in Trackpad, Function Row, US English - Black</t>
  </si>
  <si>
    <t>AMD Ryzen™ 5 5600G 6-Core 12-Thread Desktop Processor with Radeon™ Graphics</t>
  </si>
  <si>
    <t>GIGABYTE GeForce RTX 5070 WINDFORCE OC SFF 12G Graphics Card, 12GB 192-bit GDDR7, PCIe 5.0, WINDFORCE Cooling System, GV-N5070WF3OC-12GD Video Card</t>
  </si>
  <si>
    <t>ASUS ProArt Display PA278QV 27” WQHD (2560 x 1440) Monitor, 100% sRGB/Rec. 709 ΔE &lt; 2, IPS, DisplayPort HDMI DVI-D Mini DP, Calman Verified, Anti-glare, Tilt Pivot Swivel Height Adjustable, Black</t>
  </si>
  <si>
    <t>Garmin Lily® 2 Active, Small and Stylish Smartwatch, Built-in GPS, Hidden Display, Patterned Lens, Up to 9 Days Battery Life, Lunar Gold with Bone Silicone Band</t>
  </si>
  <si>
    <t>ASUS ROG Strix 27” QHD (2560x1440) HDR400 USB-C Gaming Monitor (XG27ACS), 180Hz,1ms, Fast IPS, 133% sRGB, Extreme Low Motion Blur Sync, G-Sync Compatible, DisplayWidget, Tripod Socket, 3 Year Warranty</t>
  </si>
  <si>
    <t>SAMSUNG Galaxy Tab S10 FE 128GB WiFi Android Tablet, Large Display, Long Battery Life, Exynos 1580 Processor, IP68 Water-Resistant, 90 Hz Refresh, S Pen for Note-Taking, US Version, Silver</t>
  </si>
  <si>
    <t>UGREEN 2-in-1 USB Bluetooth WiFi Adapter, AX900 + Bluetooth 5.4 WiFi 6 Adapter for Desktop PC with 5GHz/2.4GHz Dual Band, 6dBi High Gain Antenna, Built-in Driver for Windows 10/11</t>
  </si>
  <si>
    <t>DJI RS 4 Mini Combo, Gimbal Stabilizer for Cameras Canon/Sony/Panasonic/Nikon/Fujifilm, Auto Axis Locks, Intelligent Tracking, 2kg/4.4lbs Payload, Camera Gimbal, Camera Stabilizer, Briefcase Handle</t>
  </si>
  <si>
    <t>Quartet Whiteboard, Glass Dry Erase Board, Magnetic, 6' x 4', Infinity Frameless Mounting, White Surface, Accessory Tray, 1 Dry Erase Marker and 2 Glass Board Magnets (G7248W)</t>
  </si>
  <si>
    <t>APC 1500VA Smart UPS with SmartConnect, SMC1500C Sinewave UPS Battery Backup, AVR, 120V, Line Interactive Uninterruptible Power Supply</t>
  </si>
  <si>
    <t>ASUS TUF Gaming X870-PLUS WiFi AMD AM5 X870 ATX Motherboard, 16+2+1, 80A SPS Power Stages, DDR5, PCIe 5.0 Ready, Four M.2 Slots, Wi-Fi 7, 2.5Gb LAN, HDMI, USB4® 40Gbps, SATA 6 Gbps, USB 20Gbps Type-C</t>
  </si>
  <si>
    <t>Lenovo Idea Tab Pro with Google Gemini - Student Tablet - 12.7” 3K LCD Display - 8 GB Memory - 128 GB Storage - MediaTek Dimensity 8300 - Includes Pen and Folio Case</t>
  </si>
  <si>
    <t>Sceptre 4K IPS 27" 3840 x 2160 UHD Monitor up to 70Hz DisplayPort HDMI 99% sRGB Build-in Speakers, Black 2021 (U275W-UPT)</t>
  </si>
  <si>
    <t>Amazfit T-Rex 3 Outdoor Smart Watch 48mm AMOLED Display, Offline Maps &amp; Navigation, 6 Satellite Systems Dual Band GPS, 27 Days Battery Life, 170+ Sports Mode, 45m Freediving for Android, iPhone</t>
  </si>
  <si>
    <t>Apple iPhone 16 Pro, US Version, 256GB, Black Titanium - Unlocked (Renewed)</t>
  </si>
  <si>
    <t>Sennheiser HD 600 - Audiophile Hi-Res Open Back Dynamic Headphone</t>
  </si>
  <si>
    <t>GIGABYTE X870 AORUS Elite WIFI7 AMD AM5 LGA 1718 Motherboard, ATX, DDR5, 4X M.2, PCIe 5.0, USB4, WIFI7, 2.5GbE LAN, EZ-Latch, 5-Year Warranty</t>
  </si>
  <si>
    <t>HP LaserJet Pro 4001dn Black &amp; White Printer, Print, Fast speeds, Easy setup, Mobile printing, Advanced security, Best-for-small teams, Ethernet/USB only</t>
  </si>
  <si>
    <t>ASUS TUF Gaming F16 Gaming Laptop, 16” FHD+ 144Hz IPS-Level 16:10 Display, Intel® Core™ 5 210H, NVIDIA® GeForce RTX™ 4050, 16GB DDR5, 512GB PCIe Gen4 SSD, Wi-Fi 6, Win11 Home, FX607VU-SS53</t>
  </si>
  <si>
    <t>KODAK PIXPRO C1 Friendly Zoom Digital Camera - 13MP Compact Point and Shoot with 2.8” 180° Tilt LCD Flip Screen, Retro Vintage Design with 4X Zoom and 1080P Full HD Video for Travel, Vlogging, Black</t>
  </si>
  <si>
    <t>Garmin Forerunner® 965 Running Smartwatch, Colorful AMOLED Display, Training Metrics and Recovery Insights, Black and Powder Gray, 010-02809-00</t>
  </si>
  <si>
    <t>Brother HL-L3300CDW Wireless Digital Color Multi-Function Printer with Laser Quality Output, Copy &amp; Scan, Duplex, Mobile | Includes 2 Month Refresh Subscription Trial ¹, Works with Alexa</t>
  </si>
  <si>
    <t>HP ProDesk 600G4 Tower Desktop Computer | Intel i7-8700 (3.4) | 32GB DDR4 RAM | 1TB SSD Solid State | Wi-Fi 5G + Bluetooth | Windows 11 Professional | Home or Office PC (Renewed)</t>
  </si>
  <si>
    <t>Elgato 4K S – External Capture Card for PS5, Xbox Series X/S, Switch 2, PC, Mac, iPad | 4K60, 1440p120, or 1080p240 Passthrough and Capture, HDR10, VRR, USB-C, Near-Zero Latency</t>
  </si>
  <si>
    <t>Google Nest Cam Outdoor or Indoor/Battery - 2nd Generation (3 Pack)</t>
  </si>
  <si>
    <t>ASUS Vivobook Go 15.6” Slim Laptop, AMD Ryzen 5 7520U, 8GB, 512GB, Windows 11 Home, Cool Silver, Military Grade Durability, Fast Charging, Webcam Shield, E1504FA-AS54</t>
  </si>
  <si>
    <t>Sony UBP-X700M HDR 4K UHD Network Blu-ray Disc Player with HDMI Cable</t>
  </si>
  <si>
    <t>Arlo Pro 5S Spotlight Security Camera 2K HDR | Outdoor | Wireless | Dual-Band Wi-Fi Connects to Strongest Network |12X Zoom, 2-Way Audio, Siren, Color Night Vision,Live Stream(White, 4 Cameras)</t>
  </si>
  <si>
    <t>Klipsch R-100SW 10" Subwoofer, Incredibly Deep Bass and an All-digital Amplifier,14 5" x 12 5" x 16 4"</t>
  </si>
  <si>
    <t>ASURION 4 Year Television Protection Plan ($350 - $399.99)</t>
  </si>
  <si>
    <t>CORSAIR VENGEANCE DDR5 RAM 64GB (2x32GB) 5200MHz CL40-40-40-77 1.25V Intel XMP Desktop Computer Memory - Black (CMK64GX5M2B5200C40)</t>
  </si>
  <si>
    <t>Lenovo IdeaPad 1 Student Laptop, Intel Dual Core Processor, 20GB RAM, 1TB SSD + 128GB eMMC, 15.6" FHD Display, 1 Year Office 365, Windows 11 Home, Wi-Fi 6, Webcam, Bluetooth, SD Card Reader, Grey</t>
  </si>
  <si>
    <t>Sonos Ace | Noise Cancelling Wireless Over-Ear Headphones with Bluetooth, 30-Hour Battery Life, Spatial Audio, Dolby Atmos, Dynamic Head Tracking - Black</t>
  </si>
  <si>
    <t>HP ProBook 460 G11 Business Laptop (16" FHD+ Anti-Glare, Intel Core Ultra 5 125U (&gt; i7-1355U), 32GB DDR5 RAM, 1TB SSD) Backlit, Fingerprint, 1080p Webcam, Wolf Security, Win 11 Pro, 2025 AI PC</t>
  </si>
  <si>
    <t>Retevis RT22 Walkie Talkies Rechargeable,Long Range Two Way Radio,2 Way Radio for Adults, Handsfree VOX Mini, for Business Office School Church Restaurant Retail(Black,10 Pack)</t>
  </si>
  <si>
    <t>Lenovo ThinkPad Universal USB-C Dock-40AY0090</t>
  </si>
  <si>
    <t>Acer Chromebook Plus 514 Laptop with Google AI – 14" Full HD 1920 x 1080 IPS Touch Display | Intel Core i3-N305 | 8GB LPDDR5 | 128GB SSD | Wi-Fi 6E | FHD Camera | Chrome OS | CB514-4HT-375Z</t>
  </si>
  <si>
    <t>Dell Desktop Computer Windows 11 Pro OptiPlex 7040 i7 Refurbished Small Form Factor PC, i7-6700 3.40GHz,32GB Ram DDR4 New 1TB M.2 NVMe SSD,AX210 Built-in WiFi 6E, HDMI 3 Monitor Support (Renewed)</t>
  </si>
  <si>
    <t>Samsung 27-Inch S39C Series FHD Curved Gaming Monitor, 75Hz, AMD FreeSync, Game Mode, Advanced Eye Comfort, Frameless Display, Built in Speakers, Slim Metal Stand, LS27C392EANXGO, Black</t>
  </si>
  <si>
    <t>Apple Magic Keyboard: Keyboard and Case for iPad Air 13-inch (M2 and M3), US English — White</t>
  </si>
  <si>
    <t>HP 15.6 inch Laptop, HD Touchscreen Display, AMD Ryzen 5 7520U, 8 GB RAM, 512 GB SSD, AMD Radeon Graphics, Windows 11 Home, Natural Silver, 15-fc0499nr</t>
  </si>
  <si>
    <t>Dell Pro Thunderbolt 4 Smart Dock SD25TB4 – USB-C Station 130W, 4 Displays 4K, 2X DP 1.4, HDMI 2.1, 2X Thunderbolt 4, 2.5GbE, Wi-Fi, Sustainable Design</t>
  </si>
  <si>
    <t>SANUS Tilting TV Wall Mount for Large TVs Up to 90” - Premium Tilt Mount w/Universal Fit - Smooth 5.7" Extension Allows for Cable Management - Includes Hardware &amp; Drill Template for Easy Install</t>
  </si>
  <si>
    <t>Garmin Approach S12, Easy-to-Use GPS Golf Watch, 42k+ Preloaded Courses, Black, 010-02472-00</t>
  </si>
  <si>
    <t>ASURION 3 Year Musical Instrument Accident Protection Plan ($70 - $79.99)</t>
  </si>
  <si>
    <t>ASURION 2 Year Baby Protection Plan ($250 - $299.99)</t>
  </si>
  <si>
    <t>ASUS Prime Radeon™ RX 9070 XT OC Edition Graphics Card (PCIe 5.0, HDMI/DP 2.1, 2.5-Slot Design, axial-tech Fans, Dual Ball Fan Bearings, Dual BIOS, GPU Guard)</t>
  </si>
  <si>
    <t>APC UPS Battery Backup and Surge Protector, 850VA Backup Battery Power Supply, BE850G2 Back-UPS with (2) USB Charger Ports</t>
  </si>
  <si>
    <t>BenQ GW2490 24" Computer Monitor 100Hz FHD 1920x1080p IPS Eye-Care Tech VESA Mount Thin Bezel Low Blue Light Adaptive Brightness Wall Mount Built-in Speakers DisplayPort HDMI Port2</t>
  </si>
  <si>
    <t>ION Block Rocker - Portable Bluetooth Outdoor Party Speaker with Karaoke Microphone, Battery, 4 Speakers, Radio, USB Port, App, Water-Resistant, 120W</t>
  </si>
  <si>
    <t>Apple Magic Keyboard: iPad Keyboard case for iPad Pro 11-inch (1st, 2nd, 3rd, 4th gen) and iPad Air (4th, 5th gen, and M2), Great Typing Experience, Built-in trackpad, US English - Black (Renewed)</t>
  </si>
  <si>
    <t>TP-Link Deco BE23 Dual-Band BE3600 WiFi 7 Mesh Wi-Fi System | 4-Stream 3.6 Gbps, 160 Mhz | Covers up to 6,500 Sq.Ft | 2× 2.5G Ports Wired Backhaul | VPN,MLO,AI-Roaming, HomeShield, 3-Pack</t>
  </si>
  <si>
    <t>Lenovo ThinkPad USB-C Dock Gen 2 (40AS0090)</t>
  </si>
  <si>
    <t>ASUS RT-BE92U BE9700 Tri-Band WiFi 7 Router, Supports New 320MHz Bandwidth &amp; 4096-QAM, MLO, AI WAN Detection, AiMesh Support, Subscription-Free Network Security &amp; Comprehensive VPN Features</t>
  </si>
  <si>
    <t>Samsung 27" S3 (S32GF) FHD High Resolution 120Hz Monitor with IPS Panel, Flicker Free, Eye Saver Mode, LS27F320GANXZA, 2025</t>
  </si>
  <si>
    <t>JBL Tune 770NC - Adaptive Noise Cancelling with Smart Ambient Wireless Over-Ear Headphones, Bluetooth 5.3, Up to 70H Battery Life with Speed Charge, Lightweight, Comfortable &amp; Foldable Design (Blue)</t>
  </si>
  <si>
    <t>TP-Link BE10000 Wi-Fi 7 Range Extender RE653BE | 10 Gbps Tri-Band Wireless Repeater | 2.5 Gbps Ethernet Port | Internet Signal Booster for Home | Up to 2800 sq.ft, 128 Devices | 6 GHz, MLO, EasyMesh</t>
  </si>
  <si>
    <t>ASRock RX 6600 8GB CLD Challenger D gddr6</t>
  </si>
  <si>
    <t>Logitech MX Keys S for Mac, Wireless Keyboard, Fluid, Precise Laptop-Like Typing, Programmable Keys, Backlit, Bluetooth USB C Rechargeable for MacBook Pro, MacBook Air, iMac, iPad - Space Grey</t>
  </si>
  <si>
    <t>Ubiquiti UniFi 6 Pro Access Point | US Model, Wireless | PoE Adapter not Included (U6-Pro-US)</t>
  </si>
  <si>
    <t>Logitech G PRO X 2 Lightspeed Wireless Gaming Headset: Wireless Gaming Headphones with Mic, 50mm Graphene Drivers, 2.02.0—7.1 Surround, Bluetooth/USB/3.5mm Aux, for PS4/PS5/PC/Nintendo Switch - Black</t>
  </si>
  <si>
    <t>AMD Ryzen™ 7 5700G 8-Core, 16-Thread Desktop Processor with Radeon™ Graphics</t>
  </si>
  <si>
    <t>ASURION 3 Year Luggage Protection Plan ($150 - $174.99)</t>
  </si>
  <si>
    <t>CORSAIR Vengeance DDR5 RAM 32GB (2x16GB) 6000MHz CL30-36-36-76 1.40V Intel XMP Desktop Computer Memory - Black (CMK32GX5M2B6000C30)</t>
  </si>
  <si>
    <t>HP Chromebook 14" HD Laptop for Business &amp; Students, Intel Celeron N4120, 4GB LPDDR4, 224GB Storage(64GB eMMC+160GB Docking Station), UHD Graphics, Webcam, Long Battery Life, Chrome OS, Modern Gray</t>
  </si>
  <si>
    <t>MSI PRO Z790-A MAX WiFi ProSeries Motherboard (Supports 12th/13th/14th Gen Intel Processors, LGA 1700, DDR5, PCIe 5.0, M.2, SATA 6G, 2.5Gbps LAN, USB 3.2 Gen2, Wi-Fi 7, Bluetooth 5.4, ATX)</t>
  </si>
  <si>
    <t>Samsung Galaxy S21+ 5G, US Version, 128GB, Phantom Black - Unlocked (Renewed)</t>
  </si>
  <si>
    <t>ASURION 3 Year Luggage Protection Plan ($80 - $89.99)</t>
  </si>
  <si>
    <t>Sony FE 50-150 F2 GM</t>
  </si>
  <si>
    <t>Logitech Combo Touch iPad Pro 11-inch (1st, 2nd, 3rd, 4th gen - 2018, 2020, 2021, 2022) Keyboard Case - Detachable Backlit Keyboard, Click-Anywhere Trackpad - Oxford Gray; USA Layout</t>
  </si>
  <si>
    <t>CORSAIR VENGEANCE RGB DDR5 RAM 32GB (2x16GB) 6000MHz CL30-36-36-76 1.40V AMD EXPO Intel XMP Desktop Computer Memory - Gray (CMH32GX5M2B6000Z30K)</t>
  </si>
  <si>
    <t>HP OfficeJet 200 Wireless Mobile Printer - Black, Battery included (CZ993A)</t>
  </si>
  <si>
    <t>Sonos Ray - Compact Soundbar for TV and Music - Black</t>
  </si>
  <si>
    <t>Garmin Lily 2, Small and Stylish Smartwatch, Hidden Display, Patterned Lens, Up to 5 Days Battery Life, Coconut</t>
  </si>
  <si>
    <t>ASUS RT-BE58U WiFi 7 BE3600 AiMesh Extendable Router, 4K-QAM, MLO, AI Detection 2.5G Port, Four 1G Ports, Commercial-Grade Network Security, Parental Control, IoT Network, Kid’s Network, VPN Network</t>
  </si>
  <si>
    <t>Ultimate Ears Boom 4 Portable Waterproof Bluetooth Speaker with 360-Degree Immersive Sound, Outdoor Floating Speaker, 15-Hour Battery, 147ft Range - Black</t>
  </si>
  <si>
    <t>ASURION 4 Year Home Improvement Protection Plan ($500 - $599.99)</t>
  </si>
  <si>
    <t>TCL S55H S Class 2.1 Channel Sound Bar with Dolby Atmos, DTS Virtual:X, Wireless Subwoofer, Bluetooth Music Streaming, and Auto Room Calibration</t>
  </si>
  <si>
    <t>CORSAIR HX1500i (2025) Fully Modular Ultra-Low Noise ATX Power Supply with 12V-2x6 Cable – ATX 3.1 &amp; PCIe 5.1 Compliant, Cybenetics Platinum Efficiency, Fluid Dynamic Bearing Fan – Black</t>
  </si>
  <si>
    <t>UBeesize Magnetic Tripod for iPhone with Remote, 64’’ Extendable Phone Stand for Video Recording/Vlogging, N52 Strong Holder for iPhone 12-15/Android, Portable Travel Selfie Stick Tripod(Black)</t>
  </si>
  <si>
    <t>Marshall Emberton II Portable Bluetooth Speaker, Black &amp; Brass</t>
  </si>
  <si>
    <t>Philips Portable CD Player Boombox Bluetooth with Cassette Player All in one Powerful Stereo Boom Box CD Player for Home Mega Bass Reflex Speakers, Radio/USB/MP3/AUX Input with Backlight LCD Display</t>
  </si>
  <si>
    <t>AMD Ryzen 5 5600X 6-core, 12-thread unlocked desktop processor with Wraith Stealth cooler</t>
  </si>
  <si>
    <t>Amazfit Balance 2 Smart Watch 47mm AMOLED Sapphire Glass Display, Offline Maps, Dual Band GPS, 21 Days Battery, 170+ Sport Modes, Hyrox &amp; Golf Mode, Heart Rate &amp; Sleep Tracker for Android &amp; iPhone</t>
  </si>
  <si>
    <t>UNIDEN R4 Extreme Long-Range Laser/Radar Detector, Record Shattering Performance, Built-in GPS w/AUTO Mute Memory, Voice Alerts, Red Light &amp; Speed Camera Alerts, Multi-Color OLED Display, Black</t>
  </si>
  <si>
    <t>Elgato Key Light - Professional 2800 lumens Studio Light with desk clamp for Streaming, Recording and Video Conferencing, Temperature and Brightness app-adjustable on Mac, PC, iOS, Android</t>
  </si>
  <si>
    <t>Lenovo ThinkPad Hybrid USB-C with USB-A Dock US (40AF0135US)</t>
  </si>
  <si>
    <t>MSI PRO MP251W E2 24.5-inch IPS 1920 x 1080 (FHD) Gaming Office Monitor, 120Hz, Adaptive-Synch, HDR Ready, HDMI, VGA Port, Display Port,VESA Mountable, Tilt, Speaker, 4-Side Slim Bezel,1ms, White</t>
  </si>
  <si>
    <t>Cooler Master V850 SFX Gold ITX SFF Modular Power Supply, ATX 3.1 90° 12VHPWR|600W PCIe 5.1, 850W 80Plus Gold, Supports RTX 5080|RX 9070 XT, Customized Cable, 100mm|3.9", 10-Year</t>
  </si>
  <si>
    <t>Apple Watch SE (GPS, 40mm) - Gold Aluminum Case with Pink Sand Sport Band (Renewed)</t>
  </si>
  <si>
    <t>SAMSUNG Galaxy Tab A9+ (128GB, 8GB) 11.0" Android Wi-Fi Tablet, All Day Battery, Snapdragon 695 (6nm), International Model X210 (Graphite)</t>
  </si>
  <si>
    <t>Sennheiser HD 560 S Over-The-Ear Audiophile Headphones - Neutral Frequency Response, E.A.R. Technology for Wide Sound Field, Open-Back Earcups, Detachable Cable, (Black) (HD 560S)</t>
  </si>
  <si>
    <t>Skullcandy Crusher Evo Wireless Bluetooth Headphones with Multi-Sensory Bass, Noise Isolating Over-Ear Fit, Up to 40 Hours Battery, Microphone for iPhone Android - Asphalt</t>
  </si>
  <si>
    <t>Canon Genuine 054 Complete 4-Color Toner Cartridge Set (CRG-054)</t>
  </si>
  <si>
    <t>G.SKILL Trident Z5 RGB Series (Intel XMP 3.0) DDR5 RAM 64GB (2x32GB) 6400MT/s CL32-39-39-102 1.40V Desktop Computer Memory UDIMM - Matte Black (F5-6400J3239G32GX2-TZ5RK)</t>
  </si>
  <si>
    <t>SAMSUNG Galaxy Watch 7 | 44mm | AI Smartwatch w/ 1.5" AMOLED, Wear OS 5, Wi-Fi, Bluetooth, Heart Rate, Sleep Apnea &amp; GPS Fitness Tracker | International Model L310 | w/Fast Charger, Green</t>
  </si>
  <si>
    <t>Audio-Technica AT-LP60XBT-BK Fully Automatic Wireless Belt-Drive Turntable (Black) (ATLP60XBTBK)</t>
  </si>
  <si>
    <t>Brother RuggedJet RJ4250WBL Mobile Direct Thermal Printer - Monochrome - Portable - Label/Receipt Print - USB - Bluetooth - Near Field Communication (NFC) - Battery Included</t>
  </si>
  <si>
    <t>HP 508A Black Toner Cartridge | Works with HP Color LaserJet Enterprise M552, M553, HP Color LaserJet Enterprise MFP M577 Series | CF360A</t>
  </si>
  <si>
    <t>Garmin DriveSmart 71 EX with Traffic, 7-inch Car GPS Navigator with Bright, Crisp High-resolution Maps and Garmin Voice Assist</t>
  </si>
  <si>
    <t>ASUS RT-AX82U (AX5400) Dual Band WiFi 6 Extendable Gaming Router, Gaming Port, Mobile Game Mode, Aura RGB, Included AiProtection Pro Security, Instant Guard, VPN, AiMesh Compatible</t>
  </si>
  <si>
    <t>SteelSeries Apex Pro TKL Gen 3 OmniPoint 3.0 HyperMagnetic Switches — Adjustable Actuation — Rapid Trigger — Game-Ready Presets — Protection Mode — Rapid Tap/SOCD — OLED — RGB — PBT Keycaps — USB-C</t>
  </si>
  <si>
    <t>Lian Li LANCOOL 217 Genuine Walnut Wood Computer Case, Mid-Tower ATX PC Case with 5 Pre-Installed PWM Fans 2x170mm, 2x120mm &amp; 1x140mm, Flexible PSU &amp; Cable Installation - Black (LAN217X)</t>
  </si>
  <si>
    <t>NETGEAR Nighthawk WiFi 6Cable Modem Router CAX30-100NAR Compatible with Xfinity, Spectrum, and Cox, AX2700 (Up to 2.7Gbps) DOCSIS 3.1 (Renewed)</t>
  </si>
  <si>
    <t>GIGABYTE X870E AORUS Elite WIFI7 AMD AM5 LGA 1718 Motherboard, ATX, DDR5, 4X M.2, PCIe 5.0, USB4, WIFI7, 2.5GbE LAN, EZ-Latch, 5-Year Warranty</t>
  </si>
  <si>
    <t>Canon PIXMA TS9521Ca – Wireless Home All-in-One Inkjet Printer</t>
  </si>
  <si>
    <t>CyberPower ST625U Standby UPS System, 625VA/360W, 8 Outlets, 2 USB Charging Ports, Compact, Black</t>
  </si>
  <si>
    <t>AMD Ryzen 5 5600 6-Core, 12-Thread Unlocked Desktop Processor with Wraith Stealth Cooler</t>
  </si>
  <si>
    <t>ASUS ZenWiFi AX6600 Tri-Band Mesh WiFi 6 System (XT8 2PK) - Whole Home Coverage up to 5500 sq.ft &amp; 6+ rooms, AiMesh, Included Lifetime Internet Security, Easy Setup, 3 SSID, Parental Control, White</t>
  </si>
  <si>
    <t>Sceptre IPS 24” Gaming Monitor 165Hz 144Hz Full HD (1920 x 1080) FreeSync Eye Care FPS RTS DisplayPort HDMI Build-in Speakers, Machine Black 2020 (E248B-FPT168),IPS 24" 165Hz</t>
  </si>
  <si>
    <t>Jabra 7410-209 Model Speak 410 USB Speakerphone, Plug and Play Solution, Works with All PCs, Outstanding Sound Quality, Full Compatibility with UC Systems &amp; VoIP Clients, LED Indicators</t>
  </si>
  <si>
    <t>Lenovo L15 Portable Monitor, 15.6” Display, Full HD Resolution, IPS Panel, 250 nits Brightness, 60Hz Refresh Rate, USB-C Ports, Height-Adjustable Stand, Flicker-Free Technology, Grey</t>
  </si>
  <si>
    <t>Retevis RB48 Heavy Duty Walkie Talkies, Waterproof Two Way Radio, Advanced Triple Proof, 2000 mAh, Emergency, 2 Way Radio Long Range for Job Site (4 Pack) Yellow</t>
  </si>
  <si>
    <t>Yale Security Assure Lock 2 Touch Deadbolt, Black Suede Keyed Smart Entry Door Lock with Wi-Fi Connected Keypad and Fingerprint Scanner for Code Entry and Remote Access, YRD410-F-WF1-BSP</t>
  </si>
  <si>
    <t>ASUS RT-BE88U Dual-Band WiFi 7 AiMesh Extendable Performance Router, 4K-QAM, MLO, Dual 10G Ports, SFP+, 4X 2.5G Ports, 4X 1G Ports, 34G WAN/LAN Capacity, Network Security, Built-in VPN</t>
  </si>
  <si>
    <t>Beelink SER8 Mini PC, AMD Ryzen 7 8745HS(Up to 4.9GHz) 8C/16T, Mini Desktop Computer 32GB DDR5 RAM 1TB NVMe SSD, Small Gaming PC Support 4K@120Hz Output/BT5.2/WiFi 6 for Gaming/Office/Home</t>
  </si>
  <si>
    <t>Fujifilm INSTAX MINI 12 Blue Bundle 2025</t>
  </si>
  <si>
    <t>HP LaserJet Pro 4001dw Wireless Black &amp; White Printer, Best-for-Office (2Z601F)</t>
  </si>
  <si>
    <t>Canon Ivy 2 Mini Photo Printer (Blush Pink) - Bluetooth, Print from iOS &amp; Android Devices, Bundle Incl. 110 Zink Sticky-Back Prints, LED Light Bar, Protective Case, and USB Cable</t>
  </si>
  <si>
    <t>Crucial 64GB DDR5 RAM Kit (2x32GB), 4800MHz CL40 Laptop Memory - SODIMM 262-Pin - Compatible with 12th Intel Core - CT2K32G48C40S5</t>
  </si>
  <si>
    <t>Athlon Optics 8x42 Midas UHD Gray Binoculars with ED Glass for Adults and Kids, High-Powered Binoculars for Hunting, Birdwatching, and More</t>
  </si>
  <si>
    <t>Beelink Mini S13 Mini PC,13th Intel Twin Lake-N150 (up to 3.6GHz, Upgraded N100), 16GB DDR4 500GB M.2 SSD, Mini Desktop Computer Support 4K Dual Display/USB 3.2/WiFi 6/BT 5.2 for HTPC/Office/Business</t>
  </si>
  <si>
    <t>Logitech Brio 501 Full HD Webcam with Auto Light Correction,Show Mode, Dual Noise Reduction Mics, Privacy Cover, Works with Microsoft Teams, Google Meet, Zoom, USB-C Cable - Black</t>
  </si>
  <si>
    <t>SanDisk 1TB Extreme PRO Dual Drive - Up to 1,000MB/s, USB Type-C, and USB Type-A, High-Performance Flash Drive - SDDDE1-1T00-G46</t>
  </si>
  <si>
    <t>Intel® Core™ i5-14600K Desktop Processor</t>
  </si>
  <si>
    <t>Predator M.2 SSD 2TB GM7000 with DRAM Cache NVMe 1.4 2280 PCIe Gen4×4 Ultra high Speed (Maximum Read: 7400MB/s, max Write: 6700MB/s) 3D NAND TLC Internal SSD Compatible with PS5 Pro - BL.9BWWR.106</t>
  </si>
  <si>
    <t>Garmin Forerunner 55 GPS Running Smartwatch, Black</t>
  </si>
  <si>
    <t>Samsung 990 PRO NVMe M.2 SSD, 4 TB, PCIe 4.0, 7,450 MB/s Read, 6,900 MB/s Write, Internal SSD, for Gaming and Video Editing, MZ-V9P4T0BW</t>
  </si>
  <si>
    <t>Garmin Edge 540, Compact GPS Cycling Computer with Button Controls, Targeted Adaptive Coaching, Advanced Navigation and More</t>
  </si>
  <si>
    <t>ASUS ZenScreen 15.6” 1080P Portable Monitor (MB16ACV) - Full HD, IPS, Eye Care, Flicker Free, Blue Light Filter, Kickstand, USB-C Power Delivery, for Laptop, PC, Phone, Console</t>
  </si>
  <si>
    <t>HP Original 26A Black Toner Cartridges (2-Pack) | Works Laserjet Pro M402 Series, Laserjet Pro MFP M426 Series | CF226AD1, 14.25 x 8.03 x 7.8</t>
  </si>
  <si>
    <t>Lian Li UNL Fan SL-Infinity 120-Triple Pack-ARGB Fan (Non-Wireless) -Infinity Mirror-Daisy-Chain Design. Customizable Lighting Effects-One Cable Connection-with Controller-Black-UF-SLIN120-3B</t>
  </si>
  <si>
    <t>Razer Pro Click V2 Vertical Wireless Mouse: 6 Button Ergonomic Design - One Click AI Prompt - Supports Windows &amp; Mac - Multi Device Connectivity via 2.4GHz, Bluetooth, or USB C Wired Mode - Chroma RGB</t>
  </si>
  <si>
    <t>Taramps TS 1200x4 Amplifier Car Audio 1200W RMS 2 Ohms 4 Channels 2 Bridged Channels, Full Range Crossover Fixed RCA/Wire Input - Multichannel Class D</t>
  </si>
  <si>
    <t>Klipsch R-120SW Subwoofer, Black</t>
  </si>
  <si>
    <t>Dell WD19TB Thunderbolt Docking Station with 180W AC Power Adapter (130W Power Delivery)</t>
  </si>
  <si>
    <t>HP Chromebook 11A G8 Education Edition AMD A4-9120C 4GB DDR4-1866 SDRAM, 32GB eMMC 11.6-inch WLED HD Webcam Chrome OS (Renewed)</t>
  </si>
  <si>
    <t>Mounting Dream Long Arm TV Wall Mount for Most 42-90 Inch TV, 40 Inch Extension TV Mount Swivel and Tilt, Full Motion Mount Fits Max VESA 800x400mm, 150 lbs. Loading, 16”,18”, 24” Studs</t>
  </si>
  <si>
    <t>CORSAIR SF1000 (2024) Fully Modular Low Noise 80 Plus Platinum ATX Power Supply – 3.0 Compliant – PCIe 5.0 Ready – SFX-to-ATX Bracket Included – Black</t>
  </si>
  <si>
    <t>Garmin vívosmart® 5, Fitness Tracker, Long-Lasting Battery, Simple Design, Black</t>
  </si>
  <si>
    <t>Apple Watch Series 8 [GPS, 45mm] - Midnight Aluminum Case with Midnight Sport Band, M/L (Renewed)</t>
  </si>
  <si>
    <t>Synology 2-Bay DiskStation DS223j (Diskless)</t>
  </si>
  <si>
    <t>ASUS TUF Gaming 27" 2K HDR Gaming Monitor (VG27AQ) - QHD (2560 x 1440), 165Hz (Supports 144Hz), 1ms, Extreme Low Motion Blur, Speaker, G-SYNC Compatible, VESA Mountable, DisplayPort, HDMI ,Black</t>
  </si>
  <si>
    <t>Ergotron – LX Monitor Arm, Single Monitor Desk Mount – fits Flat Curved Ultrawide Computer Monitors up to 34 Inches, 7 to 25 lbs, VESA 75x75mm or 100x100mm – Matte Black</t>
  </si>
  <si>
    <t>Kingston FURY Impact 64GB (2x32GB) 5600MT/s DDR5 CL40 Laptop Memory Kit of 2 | Lower Power Comsumption | Intel XMP 3.0 | Plug N Play | KF556S40IBK2-64</t>
  </si>
  <si>
    <t>Apple Magic Keyboard for 12.9-inch iPad Pro 3rd Gen, 4th Gen, &amp; 5th Gen - Black (Renewed)</t>
  </si>
  <si>
    <t>Marshall Emberton III Portable Bluetooth Speaker - Cream</t>
  </si>
  <si>
    <t>Apple Magic Mouse (Wireless, Rechargable) - Silver (Renewed)</t>
  </si>
  <si>
    <t>Amazon Basics Steel Home Security Electronic Safe with Programmable Keypad Lock for Documents, Jewelry, Valuables, 1.8 Cubic Feet, Black, 13.8"W x 13"D x 19.7"H</t>
  </si>
  <si>
    <t>Motorola Moto tag (4-Pack)</t>
  </si>
  <si>
    <t>HP 2023 Chromebook Laptop, 14 Inch Display, Intel Celeron N4120 Processor, 4GB RAM, 64GB eMMC, Intel UHD Graphics 600, WiFi, Bluetooth, Chrome OS, Modern Gray</t>
  </si>
  <si>
    <t>beyerdynamic DT 770 PRO 80 Ohm Over-Ear Studio Headphones in Gray. Enclosed design, wired for professional recording and monitoring</t>
  </si>
  <si>
    <t>WD_Black 1TB C50 Storage Expansion Card, Officially Licensed for Xbox – Quick Resume, Plug &amp; Play, NVMe SSD Expansion for Xbox Series X|S Gaming Consoles - WDBMPH0010BNC-WCSN</t>
  </si>
  <si>
    <t>Apple AirPods 4 Wireless Earbuds, Bluetooth Headphones, with Active Noise Cancellation (Renewed)</t>
  </si>
  <si>
    <t>MSI PRO MP275Q 27 Inch WQHD Office Monitor - 2560 x 1440 IPS Panel, 100 Hz, Eye-Friendly Screen, Built-in Speakers, Tilt-Adjustable - HDMI 2.0b, DP (1.2a)</t>
  </si>
  <si>
    <t>Klipsch R-51M Bookshelf Speaker (Pair), Black</t>
  </si>
  <si>
    <t>SanDisk 1TB Extreme PRO USB 3.2 Solid State Flash Drive - Up to 420MB/s, Durable Aluminum Metal Casting - SDCZ880-1T00-GAM46</t>
  </si>
  <si>
    <t>Ubiquiti G5 Turret Ultra (UVC-G5-Turret-Ultra)</t>
  </si>
  <si>
    <t>Dell Latitude Laptop 14" FHD 7420 Touch Screen (1920 x 1080) Notebook, 11th Gen Intel Core i5-1145G7 Processor, 16GB RAM, 256GB NVMe SSD, HDMI, Webcam, Windows 11 Pro (Renewed)</t>
  </si>
  <si>
    <t>FiiO FT1 32Ω Large Dynamic Driver Headphones with Solid Wood Cups</t>
  </si>
  <si>
    <t>Apple MacBook Pro 13.3in Retina Laptop Intel i5 Dual Core 2.6GHz 8GB 128GB SSD - MGX72LL/A (Renewed)</t>
  </si>
  <si>
    <t>NETGEAR Orbi Whole Home Tri-Band WiFi 6 Mesh Network System (RBK752P) – Router with 1 Satellite Extender, Security Features, Coverage up to 5,000 sq. ft., 75 Devices, AX5200 802.11ax (Up to 5.2Gbps)</t>
  </si>
  <si>
    <t>Western Digital 4TB WD Blue PC Internal Hard Drive HDD - 5400 RPM, SATA 6 Gb/s, 256 MB Cache, 3.5" - WD40EZAX</t>
  </si>
  <si>
    <t>Apple 2023 Mac Mini with Apple M2 Chip with 8-core CPU (8GB RAM, 256GB SSD Storage) Silver (Renewed)</t>
  </si>
  <si>
    <t>Logitech Combo Touch iPad Pro 12.9-inch (5th, 6th gen - 2021, 2022) Keyboard Case - Detachable Backlit Keyboard with Kickstand, Click-Anywhere Trackpad, Smart Connector - Oxford Gray; USA Layout</t>
  </si>
  <si>
    <t>Motorola Solutions, Portable FRS, T605_H2O, Talkabout, Two Way Radios Waterproof Walkie Talkie Emergency Preparedness, Rechargeable, 22 Channel, 35 Mile, Orange W/Black, 2 Pack</t>
  </si>
  <si>
    <t>Fitbit Google Ace LTE - Kids Smartwatch with Call, Message, GPS, and Activity-Based Games, Ace Pass Data Plan Required - Mild - Strange Arcade</t>
  </si>
  <si>
    <t>Apple iPad Air (10.5-inch, Wi-Fi, 64GB) Space Gray (Renewed)</t>
  </si>
  <si>
    <t>Insta360 X3-360 Action Camera with 5.7K 360 Active HDR Video, 4K Single-Lens Camera, Waterproof, FlowState Stabilization, 2.29" Touchscreen, AI Editing, for Motorcycle, Wintersports and Vlogging</t>
  </si>
  <si>
    <t>APC UPS Battery Replacement, APCRBC123, for APC UPS Models BR1000G, BX1350M, BN1350G, BX1000G, BX1300G, SMT750RM2U, SMT750RM2UC, SMT750RM2UNC and select others</t>
  </si>
  <si>
    <t>Logitech Combo Touch for iPad (7th, 8th and 9th generation) keyboard case with trackpad, wireless keyboard, Smart Connector technology - Graphite</t>
  </si>
  <si>
    <t>ASURION 3 Year Headphones Protection Plan ($90 - $99.99)</t>
  </si>
  <si>
    <t>Ubiquiti U6+ AP WiFi6 1xGbE PoE 2x2 Dual</t>
  </si>
  <si>
    <t>CORSAIR 4000D RS Frame Modular High Airflow Mid-Tower PC Case – 3X CORSAIR RS Fans – InfiniRail Fan Mounting System – Fits Multiple 360mm Radiators – Reverse Connector Motherboard Compatible – Black</t>
  </si>
  <si>
    <t>Brady M210 Portable Label Printer Kit (M210-KIT), Yellow/Black</t>
  </si>
  <si>
    <t>Elgato Wave:3 - Premium Studio Quality USB Condenser Microphone for Streaming, Podcast, Gaming and Home Office, Free Mixer Software, Sound Effect Plugins, Anti-Distortion, Plug ’n Play, for Mac, PC</t>
  </si>
  <si>
    <t>Onkyo DXC390 6 Disc CD Changer,Black</t>
  </si>
  <si>
    <t>Fujifilm Instax Mini Instant Film (10 Twin Packs, 200 Total Pictures) for Instax Cameras</t>
  </si>
  <si>
    <t>TP-Link BE3200 Wi-Fi 7 Range Extender RE223BE w/Ethernet Port | 3.2 Gbps Dual-Band Wireless Repeater | Internet Signal Booster for Home | Up to 2400 sq.ft, 64 Devices | MLO, EasyMesh | No 6 GHz Band</t>
  </si>
  <si>
    <t>SAMSUNG 27-Inch M5 (M50D) Series FHD Smart Monitor with Streaming TV, Speakers, HDR10, Gaming Hub, Multiple Ports, Workout Tracker, Vision Accessibility Tools, LS27DM500ENXGO, 2024</t>
  </si>
  <si>
    <t>Sennheiser HD 599 - Open Headphones, Special Edition, Black, Wired</t>
  </si>
  <si>
    <t>GIGABYTE B850 AORUS Elite WIFI7 AMD AM5 LGA 1718 Motherboard, ATX, DDR5, 3X M.2, PCIe 5.0, USB-C, WIFI7, 2.5GbE LAN, EZ-Latch, 5-Year Warranty</t>
  </si>
  <si>
    <t>Logitech MK850 Performance Wireless Keyboard and Mouse Combo</t>
  </si>
  <si>
    <t>ASURION 2 Year Mobile Phone Accident Protection Plan ($400 - $449.99)</t>
  </si>
  <si>
    <t>CORSAIR VENGEANCE DDR5 64GB (2x32GB) DDR5 6000MHz CL30 AMD EXPO Intel XMP iCUE Compatible Computer Memory – Gray (CMK64GX5M2B6000Z30)</t>
  </si>
  <si>
    <t>TP-Link Tri-Band BE19000 WiFi 7 Router (Archer BE800) | 12-Stream 19 Gbps | 2 × 10G + 4 × 2.5G Ports | LED Screen | 8 High-Performance Antennas | VPN, Easy Mesh, 4×4 MU-MIMO, HomeShield, Private IoT</t>
  </si>
  <si>
    <t>SKLZ Hurricane Batting Swing Trainer for Baseball &amp; Softball - Durable Swing Arm - 4 Power Band System - High-Visibility, Anti-Dent Target Ball Head - Screw-in Base Legs, Metal Stakes &amp; Carry Bag</t>
  </si>
  <si>
    <t>G.SKILL Trident Z5 Royal Neo Series (AMD Expo) DDR5 RAM 32GB (2x16GB) 6000MT/s CL28-36-36-96 1.40V Desktop Computer Memory UDIMM - Silver (F5-6000J2836G16GX2-TR5NS)</t>
  </si>
  <si>
    <t>Ultimate Ears MEGABOOM 4 Portable Waterproof Bluetooth Speaker, 360-Degree Sound, Thundering Bass, 147ft Range, 20-Hour Battery, Floating Speaker - Black</t>
  </si>
  <si>
    <t>Logitech G X56 H.O.T.A.S Throttle and Joystick Flight Simulator Game Controller, 4 Spring Options, +189 Programmable Controls, RGB Lighting, 2x USB, PC - Black</t>
  </si>
  <si>
    <t>APC UPS 1000VA UPS Battery Backup and Surge Protector, BX1000M Backup Battery Power Supply, AVR, Dataline Protection</t>
  </si>
  <si>
    <t>ASUS E410 Intel Celeron N4020 4GB 64GB 14-Inch HD LED Win 10 Laptop (Star Black)</t>
  </si>
  <si>
    <t>Samsung 24” (S40GD) Borderless Business Monitor with IPS Panel, 100Hz Refresh Rate, Eye Saver Mode, Ergonomic Design, Game Picture Mode, LS24D402GANXGO, 3 Yr Warranty</t>
  </si>
  <si>
    <t>Humminbird 411660-1 Helix 5 Chirp GPS G3 Fish Finder</t>
  </si>
  <si>
    <t>YAMAHA R-S202BL Stereo Receiver</t>
  </si>
  <si>
    <t>Ubiquiti Networks Unifi 802.11ac Dual-Radio PRO Access Point (UAP-AC-PRO-US), Single,White</t>
  </si>
  <si>
    <t>Google Audio (2-Pack) Smart Speakers – Wireless Bluetooth &amp; Wi‑Fi Home Speaker Bundle with Powerful Stereo Sound, Multi-Room Audio Assistant Voice Control</t>
  </si>
  <si>
    <t>Apple AirPods with Lightning Charging Case (3rd Generation) (Renewed)</t>
  </si>
  <si>
    <t>Baseus Docking Station Dual Monitor, Nomos Win Air(12 in 1) Laptop Dock, 2*4K HDMI, 10Gbps USB Ports, 1Gbps Ethernet, PD 100W(No Power Adapter), USB C Docking Station for Dell/HP/Lenovo/Asus/Acer/Mac</t>
  </si>
  <si>
    <t>ASURION 2 Year Wearables Protection Plan ($300 - $349.99)</t>
  </si>
  <si>
    <t>Sonos Era 300 - Black - Wireless, Alexa Enabled Smart Speaker with Dolby Atmos.</t>
  </si>
  <si>
    <t>2025 AX3000 Outdoor WiFi 6 Extender, WAVLINK Long-Range WiFi Repeater/Access Point with Dual Band/PoE/IP67 Waterproof/6 x 7dBi Antennas, Supports Up to 256 Devices for Garage, Yard, RV,Farm</t>
  </si>
  <si>
    <t>Acer Gateway Chromebook 311 CBO311-1H-C1MX Laptop | Intel Celeron N4500 | 11.6" HD (1366 x 768) Display | 4GB LPDDR4X | 64GB eMMC | Wi-Fi 5 802.11ac | Chrome OS | Star Black</t>
  </si>
  <si>
    <t>Acer Nitro 27" WQHD 2560 x 1440 1500R Curved PC Gaming Monitor | AMD FreeSync Premium | 180Hz Refresh | 1ms VRB | VESA Mountable | HDR10 | 1 x Display Port 1.2 &amp; 2 x HDMI 2.0 | EDA270U Pbmiipx</t>
  </si>
  <si>
    <t>Technics Premium Hi-Fi True Wireless Bluetooth Earbuds with Advanced Noise Cancelling, 3 Device Multipoint Connectivity, Wireless Charging, Hi-Res Audio + Enhanced Calling - EAH-AZ80-K (Black)</t>
  </si>
  <si>
    <t>MSI PRO B760-P WiFi DDR4 ProSeries Motherboard (Supports 12th/13th/14th Gen Intel Processors, LGA 1700, DDR4, PCIe 4.0, M.2, 2.5Gbps LAN, USB 3.2 Gen2, HDMI/DP, Wi-Fi 6E, Bluetooth 5.3, ATX)</t>
  </si>
  <si>
    <t>Lenovo Yoga Pro 9i 16"" Laptop (2024 Model) Intel 14th Gen Ultra 9 185H, NVIDIA GeForce RTX 4060, 32GB RAM, 1TB NVMe SSD, 16"" 3.2K Mini-Led 165Hz 1200-nits, Windows 11 Pro, Luna Grey, 83DN0008US</t>
  </si>
  <si>
    <t>Bose SoundLink Plus Portable Bluetooth Speaker, Wireless Outdoor Speaker, Up to 20 Hours Battery Life, Waterproof and Dustproof, Black</t>
  </si>
  <si>
    <t>GIGABYTE GeForce RTX 3050 WINDFORCE OC V2 6G Graphics Card, 2X WINDFORCE Fans, 6GB GDDR6 96-bit GDDR6, GV-N3050WF2OCV2-6GD Graphics Card</t>
  </si>
  <si>
    <t>ARRIS (SB8200-RB) - Cable Modem - Fast DOCSIS 3.1 32x8 Gigabit Cable Modem , Approved for Comcast Xfinity, Cox, Charter Spectrum, &amp; more | 1 Gbps Max Internet Speed, 4 OFDM Channels - Renewed</t>
  </si>
  <si>
    <t>Crucial 32GB DDR4 RAM Kit (2x16GB), 3200MHz (PC4-25600) CL22 Laptop Memory, SODIMM 260-Pin, Downclockable to 2933/2666MHz, Compatible with 13th Gen Intel Core and AMD Ryzen 7000 - CT2K16G4SFRA32A</t>
  </si>
  <si>
    <t>Fujifilm Instax Mini Instant Film (6 Twin Packs, 120 Total Pictures) for Instax Cameras</t>
  </si>
  <si>
    <t>ASURION 3 Year Luggage Protection Plan ($175 - $199.99)</t>
  </si>
  <si>
    <t>Skullcandy Crusher Wireless Bluetooth Headphones with Multi-Sensory Bass, Noise Isolating Over-Ear Fit, Up to 40 Hours Battery, Microphone for iPhone Android with Travel Bag - Black</t>
  </si>
  <si>
    <t>Apple AirPods Pro (2nd Generation) (Renewed)</t>
  </si>
  <si>
    <t>G.SKILL Ripjaws DDR4 SO-DIMM Series DDR4 RAM 64GB (2x32GB) 3200MT/s CL22-22-22-52 1.20V Unbuffered Non-ECC Notebook/Laptop Memory SO-DIMM (F4-3200C22D-64GRS)</t>
  </si>
  <si>
    <t>TP-Link Omada Hardware Controller | SDN Integrated | PoE Powered | Manage Up to 100 Devices | Easy &amp; Intelligent Network Monitor &amp; Maintenance | Cloud Access &amp; Omada App (OC200)</t>
  </si>
  <si>
    <t>Western Digital 1TB WD Blue SN5000 NVMe Internal Solid State Drive SSD - PCIe Gen 4.0, M.2 2280, Up to 5,150 MB/s - WDS100T4B0E</t>
  </si>
  <si>
    <t>Klipsch Nashville Portable Bluetooth Speaker with a 2.25" full range drivers for 360 degree audio, IP67 dust and waterproof rating, 24 hours of playtime for a premium live concert experience</t>
  </si>
  <si>
    <t>WD_BLACK 8TB D10 Game Drive - Portable External Hard Drive HDD Compatible with Playstation, Xbox, PC, &amp; Mac - WDBA3P0080HBK-NESN</t>
  </si>
  <si>
    <t>HP Smart Tank 7301 Wireless All-in-One Refillable Ink Tank Printer, Scanner, Copier with 2 years of ink included, Best for home office(28B70A)</t>
  </si>
  <si>
    <t>LG S60T 3.1 ch. Soundbar with Wireless Subwoofer, Dolby Audio, TV Synergy, Wow Interface, AI Sound Pro (2024 Model)</t>
  </si>
  <si>
    <t>Texas Instruments TI 84 Plus Graphing Calculator with Guerrilla Military Grade Screen Protector Set, Certified Reconditioned</t>
  </si>
  <si>
    <t>NETGEAR Powerline Adapter Kit, 2000 Mbps Wall-Plug, 2 Gigabit Ethernet Ports with Passthrough + Extra Outlet (PLP2000-100PAS)</t>
  </si>
  <si>
    <t>Soundcore Space One Pro, FlexiCurve Over-Ear Headphone, Adaptive Active Noise Cancelling Headphones Driven by 6 Mics, 60H Lossless Audio, Ultra-Fast Charging, Hi-Res Wireless, Comfortable Fit</t>
  </si>
  <si>
    <t>Sony LinkBuds Fit Truly Wireless Noise Canceling Earbud Headphones, Small &amp; Light with Newly Developed Air Fitting Supporters, Black</t>
  </si>
  <si>
    <t>Crucial Pro 32GB DDR4 RAM Kit (2x16GB), High-Performance 3200MHz (or 3000MHz or 2666MHz) Desktop Memory UDIMM 288-Pin, Compatible with Intel and AMD Ryzen - CP2K16G4DFRA32A</t>
  </si>
  <si>
    <t>Canon PIXMA TS9520a – Wireless Home All-in-One Inkjet Printer</t>
  </si>
  <si>
    <t>Antennas Direct ClearStream 2V Indoor Outdoor TV Antenna UHF VHF Multi-Directional, 60+ Mile Range, 4K 8K UHD, NEXTGEN TV – w/Reflector, 20-inch Mast</t>
  </si>
  <si>
    <t>WD_BLACK 1TB SN770M M.2 2230 NVMe SSD for Handheld Gaming Devices, Speeds up to 5,150MB/s, TLC 3D NAND, Great for Steam Deck and Microsoft Surface - WDBDNH0010BBK-WRSN</t>
  </si>
  <si>
    <t>TP-Link WiFi 7 BE9300 PCIe WiFi Card for Desktop PC(Archer TBE550E), Tri-Band Wireless Adapter, Bluetooth 5.4, Multicolor Status LED, Supports AMD/Intel Motherboard, Not Compatible with Windows 10</t>
  </si>
  <si>
    <t>Tripp Lite 12-Outlet Rack Mount Power Strip PDU, Six Front &amp; Six Rear Facing Outlets, 15A, 120V, 15ft Cord with Right-Angle Plug, Horizontal 1U Rack Mount, Lifetime Manufacturer's Warranty (RS1215-RA)</t>
  </si>
  <si>
    <t>Edifier R1280DB Powered Bluetooth Bookshelf Speakers - Optical Input - Wireless Studio Monitors - 4 Inch Near Field Speaker - 42W RMS - Wood Grain (Black)</t>
  </si>
  <si>
    <t>ASURION 3 Year Musical Instrument Accident Protection Plan ($300 - $349.99)</t>
  </si>
  <si>
    <t>Cobra HHRT50 Road Trip CB Radio - 2-Way Handheld Emergency Radio with Access to Full 40 Channels &amp; NOAA Alerts, Rooftop Magnet Mount Antenna and Omni-Directional Microphone, Black, 6.3" x 2" x 1.75"</t>
  </si>
  <si>
    <t>APC Smart-UPS X 3000 Rack/Tower LCD - UPS - 2700 Watt - 3000 VA - SMX3000LV</t>
  </si>
  <si>
    <t>HP OfficeJet 8015e Wireless Color All-in-One Printer, 6 month Instant Ink trial included</t>
  </si>
  <si>
    <t>Logitech MX Anywhere 3S Compact Wireless Mouse, Fast Scrolling, 8K DPI Any-Surface Tracking, Quiet Clicks, Programmable Buttons, USB C, Bluetooth, Windows PC, Linux, Chrome, Mac - Pale Grey</t>
  </si>
  <si>
    <t>WD_BLACK 2TB SN770 NVMe Internal Gaming SSD Solid State Drive - Gen4 PCIe, M.2 2280, Up to 5,150 MB/s - WDS200T3X0E - [Previous Generation]</t>
  </si>
  <si>
    <t>Belkin 3-in-1 MagSafe-Compatible iPhone Charger 15W, Foldable Magnetic Qi2-Certified Wireless Charging Station for iPhone 16, Apple Watch Series 10, AirPods 4, and More, w/Non-Slip Base &amp; PSU - Black</t>
  </si>
  <si>
    <t>Skullcandy Icon ANC Wireless On-Ear Bluetooth Headphones, Active Noise Cancelling, Up to 60 Hours Battery, Sweat Water Resistant, Foldable and Durable, Microphone for iPhone Android - True Black</t>
  </si>
  <si>
    <t>GIGABYTE X870 Gaming WIFI6 AMD AM5 LGA 1718 Motherboard, ATX, DDR5, 3X M.2, PCIe 5.0, USB4, WiFi 6, 2.5GbE LAN, EZ-Latch, 5-Year Warranty</t>
  </si>
  <si>
    <t>NETGEAR Nighthawk DOCSIS 3.1 Mid/high-Split Cable Modem (CM3000) – Approved for Today’s Fastest Speeds - Works with All Providers Incl. Xfinity, Spectrum, Cox - for Plans up to 2.5Gbps</t>
  </si>
  <si>
    <t>ASUS 15.6” Vivobook Go Slim Laptop, Intel Dual Core N4500, 4GB RAM, 128GB SSD, Windows 11, Star Black, L510KA-ES04</t>
  </si>
  <si>
    <t>ASURION 3 Year Luggage Protection Plan ($50 - $59.99)</t>
  </si>
  <si>
    <t>Arlo Essential Security Camera 2K | Indoor Only | 2nd Gen | Baby Monitor &amp; Pet Camera, Wired Automated Privacy Shield, 2-Way Audio, Night Vision, Live Stream, Motion Alerts &amp; Notifications White 2 Cam</t>
  </si>
  <si>
    <t>Apple IPad Air 2 WI-FI 64GB Space Gray (Renewed)</t>
  </si>
  <si>
    <t>Samsung Electronics Galaxy Watch 4 Classic 46mm Smartwatch with ECG Monitor Tracker for Health Fitness Running Sleep Cycles GPS Fall Detection Bluetooth US Version, Black (Renewed)</t>
  </si>
  <si>
    <t>HyperX Cloud III S – Wireless Gaming Headset for Multi-Platform, 2.4GHz, Bluetooth, Battery Life up to 120 Hours 2.4GHz / 200 Hours Bluetooth, 53mm Angled Drivers, Detachable Mic – Black</t>
  </si>
  <si>
    <t>ORION Cobalt CM654 High Efficiency 6.5" Mid-Range Bullet Loudspeakers, 1000W Max Power, 250W RMS, 4 Ohm, 1.5" Voice Coil - Pro Car Audio Stereo, Midrange Speakers (Pair)</t>
  </si>
  <si>
    <t>SanDisk 1TB Extreme microSDXC UHS-I Memory Card with Adapter - Up to 160MB/s, C10, U3, V30, 4K, A2, Micro SD - SDSQXA1-1T00-GN6MA</t>
  </si>
  <si>
    <t>TP-Link EAP670 V2 Omada WiFi 6 Ultra- Slim AX5400 Wireless 2.5G Ceiling Mount Access Point Support Mesh, OFDMA, Seamless Roaming, HE160 &amp; MU-MIMO SDN Integrated Cloud Access &amp; Omada App PoE+</t>
  </si>
  <si>
    <t>Insta360 X5 Invisible Dive Case</t>
  </si>
  <si>
    <t>Monster S220 Bluetooth Soundbar for TV, Bluetooth 5.4 Sound Bar, 2.0CH with Dual Bass Diaphragm, All-in-one Home Theater Speakers, Compact, AUX/USB/TF Card Connection for TV/PC/Gaming/Projectors</t>
  </si>
  <si>
    <t>Alpine UTE-73BT Mech-Less Digital Media Receiver with Bluetooth® Wireless Technology</t>
  </si>
  <si>
    <t>Philips Bluetooth Stereo System for Home with CD Player, Wireless Streaming, MP3, USB, Audio in, FM Radio, 15W, Micro Music Sound System</t>
  </si>
  <si>
    <t>ASURION 4 Year Television Protection Plan ($500 - $599.99)</t>
  </si>
  <si>
    <t>Nikon PROSTAFF P3 8x42 Binocular | Waterproof, fogproof, rubber-armored Full-Size Binocular, wide field of view &amp; long eye relief | Official Nikon USA Model</t>
  </si>
  <si>
    <t>UPS Replacement Battery, APCRBC110, for UPS Models BE550G, BE550MC, and select other RBCs</t>
  </si>
  <si>
    <t>G.SKILL RipjawsV Series DDR4 RAM (XMP) 32GB (2x16GB) 3600MT/s CL16-19-19-39 1.35V Intel AMD Desktop Computer Memory U-DIMM - Black (F4-3600C16D-32GVKC)</t>
  </si>
  <si>
    <t>Logitech 920002416 MK710 Wireless Desktop Set, Keyboard/Mouse, USB, Black (LOG920002416)</t>
  </si>
  <si>
    <t>Logitech C925-E Webcam, HD 1080p/30fps Video Calling, Light Correction, Autofocus, Clear Audio, Privacy Shade, Works with Skype Business, WebEx, Lync, Cisco, PC/Mac/Laptop/Macbook - Black</t>
  </si>
  <si>
    <t>Intermatic AG3000 120/240 VAC Universal HVAC Surge Protective Device - Comprehensive Surge Protection, TPMOV Technology, Watertight Enclosure - UL Listed and Reliable</t>
  </si>
  <si>
    <t>Belkin MagSafe-Compatible Charger, 2-in-1 Magnetic Foldable Charger 15W - Qi2-Certified Wireless Charging for Apple iPhone 16, Apple Watch, Samsung Galaxy S25 w/Non-Slip Base, PSU Included - White</t>
  </si>
  <si>
    <t>Apple Watch SE (GPS, 44mm) - Space Gray Aluminum Case with Black Sport Band (Renewed)</t>
  </si>
  <si>
    <t>Corsair K70 RGB PRO Wired Mechanical Gaming Keyboard (Cherry MX RGB Red Switches: Linear and Fast, 8,000Hz Hyper-Polling, PBT Double-Shot PRO Keycaps, Soft-Touch Palm Rest) QWERTY, NA - Black</t>
  </si>
  <si>
    <t>Klipsch R-41M Reference Bookshelf Speakers (Pair), Black</t>
  </si>
  <si>
    <t>ViewSonic VA1655 15.6 Inch 1080p FHD IPS Portable Monitor with Built-in Stand, 60W USB C, Mini HDMI, Protective Case and Speakers for PC, Mac, Gaming Consoles, Phones</t>
  </si>
  <si>
    <t>ASURION 3 Year Headphones Protection Plan ($125 - $149.99)</t>
  </si>
  <si>
    <t>Retevis RB48 Waterproof Walkie Talkies, Heavy Duty Two Way Radio, Advanced Triple Proof, Vibration Call, USB-C, SOS,2000mAh, NOAA, 2 Way Radio(2 Pack) Yellow</t>
  </si>
  <si>
    <t>Roku Indoor Camera - Home Security - 2-Pack - Wired Security Camera &amp; Pet Monitor with 1080p HD Color Night Vision, Works with Alexa &amp; Google, Motion &amp; Sound Detection, WDR &amp; WiFi 6</t>
  </si>
  <si>
    <t>acer Nitro 27 Inch 1500R Curved Zero-Frame Full HD (1920 x 1080) Gaming Monitor | AMD FreeSync Premium | Up to 280Hz Refresh | 1ms VRB | One Display Port 1.4 and Two HDMI 2.0 Ports | XZ270</t>
  </si>
  <si>
    <t>Amazon Basics 2.4GHz Wireless Keyboard and Mouse Combo, Quiet and Compact US Layout, Unifying USB Receiver, Black</t>
  </si>
  <si>
    <t>Motorola MB7621 Cable Modem | Pairs with Any WiFi Router | Approved by Comcast Xfinity, Cox, and Spectrum | for Cable Plans Up to 900 Mbps | DOCSIS 3.0</t>
  </si>
  <si>
    <t>Acer Chromebook 315 Laptop | Intel Celeron N4500 | 15.6" Full HD IPS Display | Intel UHD Graphics | 4GB LPDDR4X | 64GB eMMC | Intel Wi-Fi 6 | DTS Audio | USB Type-C | Chrome OS | CB315-4H-C8XU,Silver</t>
  </si>
  <si>
    <t>Apple Watch SE (2nd Gen) (GPS + Cellular, 40mm) - Starlight Aluminum Case with Starlight Sport Band, S/M (Renewed)</t>
  </si>
  <si>
    <t>SANUS Height Adjustable Full Motion TV Wall Mount for 19” to 43” TVs – Raise or Lower TV 2” After Install – Maximizes Compatibility with Your Setup – 3 Step DIY w/Smooth Extension, Tilt &amp; Swivel</t>
  </si>
  <si>
    <t>Kicker DSC6930 6x9-Inch (160x230mm) 3-Way Speakers, 4-Ohm (Pair)</t>
  </si>
  <si>
    <t>HP Laserjet MFP M235sdw All-in-One Laser Wireless Printer, Scan/Copy, Black &amp; White, Duplex, Best for Office</t>
  </si>
  <si>
    <t>Dell SP3022 USB Computer Speaker for PC, Laptop, Monitor, Business Conference-Mini Soundbar Speakerphone, AI Noise Echo Cancellation, Full Duplex Audio, 2 x 1.8W, MS-Teams Certified - Platinum Silver</t>
  </si>
  <si>
    <t>NZXT H9 Flow Dual-Chamber ATX Mid-Tower PC Gaming Case – High-Airflow Perforated Top Panel – Tempered Glass Front &amp; Side Panels – 360mm Radiator Support – Cable Management – White</t>
  </si>
  <si>
    <t>Fujifilm Fujifilm QuickSnap Flash 400 One Time Use 35mm Disposable Camera with Flash, 27 Exposures, 10-Pack</t>
  </si>
  <si>
    <t>Microsoft Surface Slim Pen 2 Matte Black - Bluetooth 5.0 Connectivity - 4,096 points of pressure sensitivity - Create in real time with zero force inking - Take notes naturally with haptic motor - Sha</t>
  </si>
  <si>
    <t>Turtle Beach Stealth 600 Wireless Multiplatform Amplified Gaming Headset for PC, PS5, PS4, &amp; Mobile – Bluetooth, 80-Hr Battery, Noise-Cancelling Flip-to-Mute Mic, Waves 3D Audio –Black</t>
  </si>
  <si>
    <t>Beats Fit Pro - True Wireless Noise Cancelling Earbuds - Apple H1 Headphone Chip, Compatible with Apple &amp; Android, Class 1 Bluetooth, Built-in Microphone, 6 Hours of Listening Time - Volt Yellow</t>
  </si>
  <si>
    <t>Insta360 ONE X2 360 Degree Waterproof Action Camera, 5.7K 360, Stabilization, Touch Screen, AI Editing, Live Streaming, Webcam, Voice Control</t>
  </si>
  <si>
    <t>CyberPower CPS1215RMS Rackmount Surge Protector, 120V/15A, 12 Outlets, 15 ft Power Cord, 1U Rackmount</t>
  </si>
  <si>
    <t>ASUS TUF Gaming 1000W Gold (1000 Watt, ATX 3.0 Compatible Fully Modular Power Supply, 80+ Gold Certified, Military-Grade Components, Dual Ball Bearing, Axial-tech Fan, PCB Coating, 10 Year Warranty)</t>
  </si>
  <si>
    <t>ASURION 3 Year Headphones Protection Plan ($100 - $124.99)</t>
  </si>
  <si>
    <t>KODAK Printomatic Full-Color Instant Print Digital Camera - Colorful Photos On Zink 2x3" Sticky-Back Photo Paper - 5MP, Portable, Creative Fun Gift for Birthday, Christmas, Holiday - Blue</t>
  </si>
  <si>
    <t>G.SKILL Trident Z5 Neo Series (AMD Expo) DDR5 RAM 64GB (2x32GB) 6000MT/s CL30-40-40-96 1.40V Desktop Computer Memory UDIMM - Matte Black (F5-6000J3040G32GX2-TZ5N)</t>
  </si>
  <si>
    <t>Lian Li UNI Fan SL-Infinity Wireless 120 - Triple Pack (Reverse Blade) - 2.4 GHz Wireless Signal ARGB Fan Control - Double Infinity Mirror - Low Noise - Controller Included - Black (12RSLIN1W3B)</t>
  </si>
  <si>
    <t>Beats Studio Pro - Wireless Bluetooth Noise Cancelling Headphones - Black (Renewed)</t>
  </si>
  <si>
    <t>Samsung 15W Wireless Charger Single, Cordless Super Fast Charging Pad for Galaxy Phones and Devices, Compact Design, LED Indicator, USB C Cable Included, 2022, US Version, Grey</t>
  </si>
  <si>
    <t>NETGEAR Nighthawk Modem Router Combo C7000-Compatible with Cable Providers Including Xfinity by Comcast, Spectrum, Cox,Plans Up to 800Mbps | AC1900 WiFi Speed | DOCSIS 3.0</t>
  </si>
  <si>
    <t>ARRIS (SB6190) - Cable Modem - DOCSIS 3.0 32x8 Gigabit Modem, For Comcast Xfinity, Cox, check with ISP for compatibility [Not for Spectrum] 1 Gbps Port, 800 Mbps Max Speed, 2 Year Warranty - White</t>
  </si>
  <si>
    <t>KODAK PIXPRO WPZ2 Rugged Waterproof Shockproof Dustproof WiFi Digital Camera 16MP 4X Optical Zoom 1080P Full HD Video Vlogging Camera 2.7" LCD (Blue)</t>
  </si>
  <si>
    <t>ASURION 3 Year Camera Protection Plan ($800 - $899.99)</t>
  </si>
  <si>
    <t>ASURION 3 Year Cooling Protection Plan ($600 - $699.99)</t>
  </si>
  <si>
    <t>ASURION 3 Year Personal Care Protection Plan ($150 - $174.99)</t>
  </si>
  <si>
    <t>Intel® Core™ i9-14900KS Desktop Processor 24 cores (8 P-cores + 16 E-cores)</t>
  </si>
  <si>
    <t>WYZE Floodlight Camera Pro, PCMag Editors' Choice 3000-Lumen LEDs, 2.5K HD Outdoor Security Camera, 180° Wide View, Color Night Vision, Works with Alexa &amp; Google, Wired. Free Expert Setup</t>
  </si>
  <si>
    <t>Microsoft Surface Dock (Pd9-00003),Black</t>
  </si>
  <si>
    <t>OtterBox Defender Series Case for iPad Pro 13-inch (M4) (2024) - Black, Rugged, Durable, Multi-Layer Protection</t>
  </si>
  <si>
    <t>UGREEN Nexode 100W GaN USB C Retractable Charger with Built-in Cable, 3-Port Fast Charging Wall Adapter for Laptop, MacBook Pro/Air, iPhone 16, Galaxy S25, Pixel, iPad, MatePad, DJI Drone</t>
  </si>
  <si>
    <t>Southwire MH8110 Wire Smart Cable Dispenser, Floor or Stud Mounted</t>
  </si>
  <si>
    <t>ASURION 3 Year Headphones Protection Plan ($50 - $59.99)</t>
  </si>
  <si>
    <t>Lian Li A3-mATX-WD-26.3L Micro Form Factor Chassis-No Fans Included-Supports 360mm AIO-Modularity Design-for M-ATX, ITX Motherboard-DAN Cases Collaboration-Wood Front Panel-Black (A3X-WD)</t>
  </si>
  <si>
    <t>Crucial T500 2TB Gen4 NVMe M.2 Internal Gaming SSD, Up to 7400MB/s, Laptop &amp; Desktop Compatible + 1mo Adobe CC All Apps - CT2000T500SSD8</t>
  </si>
  <si>
    <t>ASUS ROG Spatha X Wireless Gaming Mouse (Magnetic Charging Stand, 12 Programmable Buttons, 19,000 DPI, Push-fit Hot Swap Switch Sockets, ROG Micro Switches&amp;Paracord and Aura RGB lighting),Black</t>
  </si>
  <si>
    <t>ASURION 2 Year Floorcare Extended Protection Plan ($600 - $699.99)</t>
  </si>
  <si>
    <t>New Amazon Kindle Scribe Premium Pen, Sleek Stylus Design with Improved Eraser - Tungsten</t>
  </si>
  <si>
    <t>JBL Vibe Buds - True Wireless Earbuds, Smart Ambient, VoiceAware, Up to 32 total hours of battery life with speed charging, Water and dust resistant, JBL Deep Bass Sound (Black)</t>
  </si>
  <si>
    <t>Dell 7-in-1 USB-C Multiport Adapter - DA310</t>
  </si>
  <si>
    <t>Razer Basilisk V3 Pro 35K Wireless Gaming Mouse: HyperScroll Tilt Wheel - 35K DPI Optical Sensor Gen 2-13 Customizable Controls - Chroma RGB - Optical Switches Gen 3 - Up to 140 Hr Battery - Black</t>
  </si>
  <si>
    <t>G.SKILL Ripjaws DDR4 SO-DIMM Series DDR4 RAM 32GB (2x16GB) 3200MT/s CL22-22-22-52 1.20V Unbuffered Non-ECC Notebook/Laptop Memory SO-DIMM (F4-3200C22D-32GRS)</t>
  </si>
  <si>
    <t>Plantronics Blackwire C3210 Headset (209744-22)</t>
  </si>
  <si>
    <t>AT&amp;T 4-Handset DECT 6.0 Cordless Home and Business Phone with Answering Machine, 5" Color Display, One-Touch Shortcut, Conference, Intercom, Smart Call Blocker, Bluetooth Connect to Cell: DLP73490</t>
  </si>
  <si>
    <t>Peak Design Slide Camera Strap</t>
  </si>
  <si>
    <t>Kodak Fun Saver 35mm One-Time-Use Disposable Camera with Flash, 27 Exposures, 4-Pack</t>
  </si>
  <si>
    <t>Canon Genuine 121 Black Toner Cartridge Compatible with D1650, D1620</t>
  </si>
  <si>
    <t>Thrustmaster TFRP Flight Rudder Pedals – Realistic Aviation Control for Flight Simulators (Compatible with PC, Xbox One, and PlayStation 5)</t>
  </si>
  <si>
    <t>Beats Studio Buds Totally Wireless Noise Cancelling Earphones - Black (Renewed)</t>
  </si>
  <si>
    <t>Antennas Direct ClearStream 4V Indoor Outdoor TV Antenna, UHF VHF, Multi-Directional, 70+ Mile Range, 4K 8K UHD, NEXTGEN TV – w/ 20-inch Mast (Black)</t>
  </si>
  <si>
    <t>GIGABYTE AERO X16; Copilot+ PC - 165Hz 2560x1600 WQXGA - NVIDIA GeForce RTX 5070 - AMD Ryzen AI 9 HX 370-1TB SSD with 32GB DDR5 RAM - Windows 11 Home - Lunar White AERO X16 2WHA3USC64DH</t>
  </si>
  <si>
    <t>Taramps TS 400x4 Black with Automatic High Level Input 400 watts RMS 4 Channels Full Range Car Audio Amplifier RCA Input Class D 2 Bridged Channels Multichannel Amplifier System</t>
  </si>
  <si>
    <t>OtterBox Defender Series Case for iPad mini (A17) and iPad mini (6th gen) - Black, Rugged, Durable, Multi-Layer Protection, Rugged, Durable, Multi-Layer Protection</t>
  </si>
  <si>
    <t>GoPro Ultra Wide Lens Mod (HERO13 Black) - Official GoPro Lens (AAEWAL-021)</t>
  </si>
  <si>
    <t>Garmin 010-02060-00 Edge 530, GPS Cycling/Bike Computer with Mapping, Dynamic Performance Monitoring and Popularity Routing</t>
  </si>
  <si>
    <t>Dell Chromebook 11 3100 11.6" Chromebook - 1366 x 768 - Celeron N4020-4 GB RAM - 16 GB Flash Memory - Chrome OS - Intel HD Graphics - English (US) Keyboard - Bluetooth (Renewed)</t>
  </si>
  <si>
    <t>Samsung Galaxy Buds Pro 2 [2022] (SM-R510NZAALTA) - (Gray)</t>
  </si>
  <si>
    <t>G.SKILL Trident Z Neo Series DDR4 RAM (XMP) 32GB (2x16GB) 3600MT/s CL16-19-19-39 1.35V Intel AMD Desktop Computer Memory U-DIMM (F4-3600C16D-32GTZNC)</t>
  </si>
  <si>
    <t>OtterBox Defender Series Case for iPad (A16) &amp; iPad 10th Gen - Black (Non-Retail Packaging)</t>
  </si>
  <si>
    <t>Beats Solo 4 - Wireless Bluetooth On-Ear Headphones, Apple &amp; Android Compatible, Up to 50 Hours of Battery Life - Matte Black (Renewed)</t>
  </si>
  <si>
    <t>ASUS TUF Gaming VG279QM 27” HDR Monitor, 1080P Full HD (1920 x 1080), Fast IPS, 280Hz, G-SYNC Compatible, Extreme Low Motion Blur Sync (ELMB SYNC), 1ms, DisplayHDR 400,, BLACK</t>
  </si>
  <si>
    <t>Razer Kraken V4 X Wired Gaming Headset: 40 mm Drivers - Cardioid Mic - Memory Foam Cushions - Chroma RGB Lighting - Type C &amp; Type A Cable - for PC, Mac, PS5, Nintendo Switch, Steam Deck, Smartphone</t>
  </si>
  <si>
    <t>OGIO Renegade Backpack (Renegade , Black), Large</t>
  </si>
  <si>
    <t>Cobra 29LX AM Professional CB Radio - Emergency Radio, Travel Essentials, NOAA Weather Channels and Emergency Alert System, Selectable 4-Color LCD, Auto-Scan and Radio Check, Black</t>
  </si>
  <si>
    <t>Ubiquiti Networks UniFi Cloud Key Gen2 (UCK-G2)</t>
  </si>
  <si>
    <t>PHILIPS Over Ear Open Back Stereo Headphones Wired with Detachable Audio Jack, Studio Monitor Headphones for Recording Podcast DJ Music Piano Guitar (SHP9600)</t>
  </si>
  <si>
    <t>Transcend 1TB External SSD, Up to 1,050MB/s, Dual USB Hard Drive for Tesla, iPhone15,16&amp;iPad&amp;Mac, Steam Deck/ROG Ally/MSI Claw/Windows/Android/PS5/Smart TV, 2-in-1 Type C &amp;A, USB 3.2 Gen2 Portable SSD</t>
  </si>
  <si>
    <t>Polaroid Instant Color Film for i-Type Cameras 2 Pack, 16 Instant Photos Bundle with a Cleaning Cloth</t>
  </si>
  <si>
    <t>HP 659A Magenta Toner Cartridge | Works with HP Color LaserJet Enterprise M856, HP Color LaserJet Enterprise MFP M776 Series | W2013A</t>
  </si>
  <si>
    <t>Lexar 2TB NM790 SSD with Heatsink PCIe Gen4 NVMe M.2 2280 Internal Solid State Drive, Up to 7400/6500 MB/s Read/Write, Compatible with PS5, for Gamers and Creators, Black (LNM790X002T-RN9NU)</t>
  </si>
  <si>
    <t>Uniden UM385BK 25 Watt Fixed Mount Marine VHF Radio, Waterproof, Noaa Weather Alert, All USA/Intl/Canadian Marine Channels</t>
  </si>
  <si>
    <t>HP Elite Mini G9 Business Desktop Computer, 13th Gen Intel 16-Core i7-13700T, USB-C, Ultra Quite Design, RJ-45, HDMI, Wi-Fi 6, Bluetooth, KB &amp; Mouse, Windows 11 Pro (16GB RAM | 512GB SSD)</t>
  </si>
  <si>
    <t>Canon PFI-300 Lucia PRO Ink, 10 Ink Tanks, Compatible to imagePROGRAF PRO-300 Printer, Multi, Standard (4192C007)</t>
  </si>
  <si>
    <t>MSI PRO B760M-P DDR4 ProSeries Motherboard (Supports 12th/13th/14th Gen Intel Processors, LGA 1700, DDR4, PCIe 4.0, M.2, USB 3.2 Gen2, HDMI/DP, mATX)</t>
  </si>
  <si>
    <t>Square D by Schneider Electric HOM2175SB Homeline SurgeBreaker, Surge Protection Device, 25kA, 120/240V, 1-Phase, 3-Wire</t>
  </si>
  <si>
    <t>Garmin Bounce™, Kids Smartwatch, Two-Way Text and Voice Messaging, Location Tracking, Black Camo</t>
  </si>
  <si>
    <t>Sony MDRZX110NC Noise Canceling On Ear Headphones, Black</t>
  </si>
  <si>
    <t>MSI Herald-BE WI-FI 7 MAX (Wi-Fi 7, 802.11BE, Bluetooth 5.4, PCIe, Multi-Link Operation Technology, External Antenna)</t>
  </si>
  <si>
    <t>ASURION 2 Year Ride-On Protection Plan ($500 - $599.99)</t>
  </si>
  <si>
    <t>SteelSeries Arctis Pro Wireless Gaming Headset - High Fidelity 2.4 GHz Wireless - Mixable Bluetooth - Non-Stop Dual Battery - OLED Base Station - AI Noise Canceling Mic - PC, PS5, PS4, Mobile - Black</t>
  </si>
  <si>
    <t>TP-Link 10GB PCIe Network Card (TX401)-PCIe to 10 Gigabit Ethernet Adapter,Supports Windows 11/10/8.1/8/7, Servers 2019/2016/2012 R2, and Linux, Including a CAT6A Cable</t>
  </si>
  <si>
    <t>Sony ICD-PX370 Mono Digital Voice Recorder with Built-In USB Voice Recorder,black</t>
  </si>
  <si>
    <t>TP-Link TL-SG116P | 16 Port Gigabit PoE Switch | 16 PoE+ Ports @120W | Plug &amp; Play | Extend, Priority &amp; Isolation Mode | PoE Auto Recovery | Fanless | QoS &amp; IGMP Snooping</t>
  </si>
  <si>
    <t>CORSAIR HS80 RGB WIRELESS Multiplatform Gaming Headset - Dolby Atmos - Lightweight Comfort Design - Broadcast Quality Microphone - iCUE Compatible - PC, Mac, PS5, PS4 - Black</t>
  </si>
  <si>
    <t>Logitech G PRO 2 Lightspeed Wireless Gaming Mouse, Right- or Left-Handed Mouse with up to 4 Customizable and Switchable Magnetic Side Buttons, 44K DPI Sensor, USB-C Charging, for PC/Mac - Black</t>
  </si>
  <si>
    <t>KICKER KM65 6.5-Inch (165mm) Marine Coaxial Speakers with 3/4-Inch (20mm) Tweeters, 4-Ohm, Charcoal and White Grilles</t>
  </si>
  <si>
    <t>WAVLINK HDMI Splitter Extended Display for Dual Monitor, USB A or USB-C to Dual HDMI Adapter, Multi-Monitor Display 3 Separate Screens for Windows and macOS,4K30Hz,1080p@60Hz</t>
  </si>
  <si>
    <t>Fujifilm Instax Mini Instant Camera Film: 40 Shoots Total, (10 Sheets x 4) Includes 5 "Tudak Plastic Desk Frames, 60 Sticker Frames &amp; 2 Packs Corner Stickers – Perfect for Scrapbooking &amp; Display</t>
  </si>
  <si>
    <t>Victrola Journey Bluetooth Portable Suitcase Record Player – with Built-in Speakers, 3 Speed Vinyl Record Player, RCA Out, Headphone Jack (Black)</t>
  </si>
  <si>
    <t>Brother TN-770 HL-L2370DW L2370DWXL MFC-L2750DW L2750DWXL Toner Cartridge (Black) in Retail Packaging</t>
  </si>
  <si>
    <t>ViewSonic VA1653 16 Inch 1080p FHD IPS Portable Monitor with Eye Care, Built-in Stand, USB C, Mini HDMI, and Protective Case External Second Screen for Laptops, PC, Mac, and Gaming Consoles</t>
  </si>
  <si>
    <t>MSI GE68HX Raider 16" 144Hz FHD+ Gaming Laptop, 14th Gen Intel 24-Core i9-14900HX, GeForce RTX 4070, 32GB DDR5 RAM, 1TB SSD, RGB Backlit, Wi-Fi 7, Windows 11 Home</t>
  </si>
  <si>
    <t>Samsung Electronics Galaxy Watch 4 40mm Smartwatch with ECG Monitor Tracker for Health Fitness Running Sleep Cycles GPS Fall Detection Bluetooth US Version - (Black) (Renewed)</t>
  </si>
  <si>
    <t>ASUS ROG Strix Scope II 96 Wireless Gaming Keyboard, Tri-Mode Connection, Dampening Foam &amp; Switch-Dampening Pads, Hot-Swappable Pre-lubed ROG NX Snow Switches, PBT Keycaps, RGB-Black</t>
  </si>
  <si>
    <t>StarTech.com USB 3.0 to HDMI Adapter, USB to HDMI Monitor Converter for Windows, 1080P, TAA (no support for macOS/ChromeOS/Linux)</t>
  </si>
  <si>
    <t>SanDisk SSD PLUS 2TB Internal SSD - SATA III 6 Gb/s, 2.5"/7mm, Up to 545 MB/s - SDSSDA-2T00-G26</t>
  </si>
  <si>
    <t>Logitech Lift for Mac Wireless Vertical Ergonomic Mouse, Bluetooth, Quiet Clicks, Silent Smartwheel, 4 Customizable Buttons, for macOS/iPadOS/MacBook Pro/Macbook Air/iMac/iPad - Off White</t>
  </si>
  <si>
    <t>Dell Pro KM5221W Keyboard &amp; Mouse</t>
  </si>
  <si>
    <t>Polk Audio DB652 DB+ Series 6.5" Coaxial Speaker for Car &amp; Marine, 2-Way Boat &amp; Car Audio Speaker, 40-22kHz Frequency Response, Polypropylene Woofer Cone &amp; 3/4" Silk Dome Tweeter, Black</t>
  </si>
  <si>
    <t>ASURION 4 Year Housewares Protection Plan ($100 - $124.99)</t>
  </si>
  <si>
    <t>ASUS BW-16D1HT - ultra-fast 16X Blu-ray burner with M-DISC support, black</t>
  </si>
  <si>
    <t>NETGEAR Nighthawk Dual-Band WiFi 7 Router (RS200) – Security Features, BE6500 Wireless Speed (up to 6.5 Gbps) - Covers up to 2,500 sq. ft., 80 Devices – 2.5 Gig Internet Port - Free Expert Help</t>
  </si>
  <si>
    <t>Westinghouse 32 Inch TV with DVD Player Built in, HD LED Small Flat Screen Non-Smart Television DVD Combo, Works with Fire Stick, Roku, Apple TV, TiVo, Xumo, and Streaming Devices</t>
  </si>
  <si>
    <t>Apple Thunderbolt 5 (USB‑C) Pro Cable (1m) ​​​​​​​</t>
  </si>
  <si>
    <t>SAMSUNG Galaxy Watch 5 40mm Bluetooth Smartwatch w/Body, Health, Fitness and Sleep Tracker, Improved Battery, Sapphire Crystal Glass, Enhanced GPS Tracking, US Version, Gray (Renewed)</t>
  </si>
  <si>
    <t>Kasa Smart Video Doorbell Camera Hardwired w/Chime, 2K Resolution, Always-on Power, Night Vision, 2-Way Audio, Real-Time Notification, Cloud &amp; SD Card Storage, Works w/Alexa &amp; Google Home (KD110)</t>
  </si>
  <si>
    <t>Apple 2017 iPad Pro (10.5-inch, Wi-Fi, 64GB) - Space Gray (Renewed)</t>
  </si>
  <si>
    <t>FujiFilm Instax Mini Film (40 Shots) Multi Pack for Mini 8-9 &amp; All Fuji Mini Cameras</t>
  </si>
  <si>
    <t>Yealink UH37 USB Headset with Noise Cancelling Microphone,Wired Headset for PC Laptop,Teams Certified,USB-A &amp; USB-C Cable,Works with Zoom and Other Leading UC Platforms</t>
  </si>
  <si>
    <t>DJI Lavalier Mic</t>
  </si>
  <si>
    <t>Microsoft Xbox One Wireless Video Gaming Controller, White (Renewed)</t>
  </si>
  <si>
    <t>G.SKILL Flare X5 Series DDR5 RAM (AMD Expo) 32GB (2x16GB) 6000MT/s CL30-38-38-96 1.35V Desktop Computer Memory U-DIMM - Matte Black (F5-6000J3038F16GX2-FX5)</t>
  </si>
  <si>
    <t>Razer Ornata V3 Gaming Keyboard: Low Profile Keys - Mecha Membrane Switches - UV Coated Keycaps - Backlit Media Keys - 10 Zone RGB Lighting - Spill Resistant - Magnetic Wrist Wrest - Snap Tap</t>
  </si>
  <si>
    <t>Corsair Void v2 Wireless Gaming Headset with Bluetooth for PC, PS5, PS4, Switch, Mobile – Dolby Atmos, 70 Hr Battery, Dual Wireless, Lightweight, Fast Charging – Carbon</t>
  </si>
  <si>
    <t>Furman Power Conditioner (SS6B) black</t>
  </si>
  <si>
    <t>Corsair K55 RGB PRO Membrane Wired Gaming Keyboard – IP42 Dust and Spill-Resistant – 6 Macro Keys with Elgato Integration – iCUE Compatible – QWERTY NA – PC, Mac, Xbox – Black</t>
  </si>
  <si>
    <t>AMD Ryzen 7 5700X 8-Core, 16-Thread Unlocked Desktop Processor</t>
  </si>
  <si>
    <t>Razer Barracuda X Wireless Gaming &amp; Mobile Headset (PC, PlayStation, Switch, Android, iOS): 2.4GHz Wireless + Bluetooth - Lightweight - 40mm Drivers - Detachable Mic - 50 Hr Battery - Black</t>
  </si>
  <si>
    <t>SABRENT 10-Port 60W USB 3.0 Hub with Individual Power Switches and LEDs, Includes 60W 12V/5A Power Adapter (HB-BU10)</t>
  </si>
  <si>
    <t>Lenovo USB-C Cable 1m</t>
  </si>
  <si>
    <t>Fujifilm Instax Mini 41 Instant Film Camera</t>
  </si>
  <si>
    <t>NZXT H6 Flow RGB Mid-Tower Airflow Case with 3 RGB Fans, Panoramic Glass Panels, Cable Management - Black</t>
  </si>
  <si>
    <t>Amazon Basics Rolling Laptop Case, 15.6 in, Black</t>
  </si>
  <si>
    <t>Intermatic T104 24-Hour Mechanical Timer Switch - 208–277 VAC, DPST, Indoor Metal Enclosure, Heavy-Duty, Manual Override, 40 Amp - Ideal for Lights, Pumps, Fans, and HVAC Systems</t>
  </si>
  <si>
    <t>Apple iPad (5thGEneration) Wi-Fi, 128GB - Space Gray (Renewed)</t>
  </si>
  <si>
    <t>Monster Persona SE ANC Active Noise Cancelling Headphones, Over Ear Bluetooth Headphones Wireless, 60H Playtime, HiFi Stereo Audio, Deep Bass, Built-in Mic, Memory Foam Ear Cups for Home (Blue)</t>
  </si>
  <si>
    <t>TP-Link AC1200 Wireless Gigabit Access Point Desktop Wi-Fi Bridge MU-MIMO &amp; Beamforming Supports Multi-SSID/Client/Range Extender Mode 4 Fixed Antennas Passive PoE Powered (TL-WA1201)</t>
  </si>
  <si>
    <t>ESR for iPad A16 Case, iPad 11th/10th Generation Case (2025/2022), Removable Magnetic Cover, Adjustable Portrait/Landscape Stand with Raised Screen View, 9 Standing Angles, Black</t>
  </si>
  <si>
    <t>Razer BlackShark V2 HyperSpeed Wireless Gaming Headset: 280g Lightweight - THX Spatial Audio - Bendable Mic - 50mm Drivers - 2.4GHz, Bluetooth or USB - 70 Hr Battery w/USB Type C Charging - Black</t>
  </si>
  <si>
    <t>Insta360 X5 Premium Lens Guards</t>
  </si>
  <si>
    <t>NEEWER CM28 Wireless Lavalier Microphone System with Charging Case Noise Canceling 4GB Storage 9Hrs Recording 48KHz 16 Bit Uncompressed Audio Lapel Mic Compatible with iPhone iPad Android PC Camera</t>
  </si>
  <si>
    <t>UBeesize 2 Pack LED Video Light Kit, Photography Lighting, 13" Studio Lights with 65" Tripod Stand and Phone Holders, Podcast Lighting for Video Recording,Tiktok,YouTube</t>
  </si>
  <si>
    <t>Garmin 010-02550-00 Striker Vivid 4cv, Easy-to-Use 4-inch Color Fishfinder and Sonar Transducer, Vivid Scanning Color Palettes</t>
  </si>
  <si>
    <t>HyperX Pulsefire Haste – Wireless Gaming Mouse – Ultra Lightweight, 61g, 100 Hour Battery Life, 2.4Ghz Wireless, Honeycomb Shell, Hex Design, Up to 16000 DPI, 6 Programmable Buttons – Black, 4P5D7AA</t>
  </si>
  <si>
    <t>Kingston 960GB A400 SATA3 2.5" Internal SSD SA400S37/960G - HDD Replacement for Increase Performance</t>
  </si>
  <si>
    <t>Verbatim DVD+R Blank Discs AZO Dye 4.7GB 16X Recordable Disc - 100 Discs Spindle Silver Frustration Free Packaging</t>
  </si>
  <si>
    <t>Arlo Pro SmartHub - WiFi Base Station for Arlo Cameras (VMB4540) - Compatible with Ultra 2, Ultra, Pro 5S, Pro 4, Floodlight, Essential (Gen 1), Video Doorbell - Brand Certified Accessory</t>
  </si>
  <si>
    <t>ASURION 4 Year Office Equipment Protection Plan ($2000 - $2999.99)</t>
  </si>
  <si>
    <t>Gigabyte A520I AC (AMD Ryzen AM4/Mini-ITX/Direct 6 Phases Digital PWM with 55A DrMOS/Gaming GbE LAN/Intel WiFi+Bluetooth/NVMe PCIe 3.0 x4 M.2/3 Display Interfaces/Q-Flash Plus/Motherboard)</t>
  </si>
  <si>
    <t>Texas Instruments Ti-84 plus Graphing calculator - Black</t>
  </si>
  <si>
    <t>OtterBox Defender Series Case for iPad Pro 11-inch (4h, 3rd, 2nd, &amp; 1st Gen) - Black</t>
  </si>
  <si>
    <t>Mighty Mule Wireless Digital Keypad (FM137), Black, 25</t>
  </si>
  <si>
    <t>Razer Viper V2 Pro HyperSpeed Wireless Gaming Mouse: 58g Ultra Lightweight - Optical Switches Gen-3-30K DPI Optical Sensor w/On-Mouse Controls - 90 Hour Battery - USB Type C Cable Included - Black</t>
  </si>
  <si>
    <t>ARRIS (SBG10) - Cable Modem Router Combo - DOCSIS 3.0 16 x 4 Gigabit &amp; AC1600 WiFi, For Comcast Xfinity, Cox, check with ISP for compatibility [Not for Spectrum] 400 Mbps Max Internet Speeds</t>
  </si>
  <si>
    <t>Elgato Stream Deck Pedal – Hands-Free Studio Controller, 3 macro footswitches, trigger actions in apps and software like OBS, Twitch, YouTube and more, works with Mac and PC. Color: Black</t>
  </si>
  <si>
    <t>ASURION 3 Year Lawn &amp; Garden Extended Protection Plan ($200 - $249.99)</t>
  </si>
  <si>
    <t>ASURION 2 Year Furniture Protection Plan ($900 - $999.99)</t>
  </si>
  <si>
    <t>Baseus Bowie MC1 Pro Open Ear Clip-On Headphones, Hi-Res LDAC &amp; HiFi4 Acoustic Sound, 5g Ultra-Lightweight Comfort, SuperBass 2.0, DNN 4-Mic AI Clear Calls, IP67 Waterproof, Bluetooth 6.0</t>
  </si>
  <si>
    <t>ESR for iPad Pro 13 Inch Case M4(2024), iPad Pro 13 Rotating Case with Removable Magnetic Cover, Adjustable Portrait/Landscape Stand with Raised Screen View, 9 Standing Angles, Shift Series, Black</t>
  </si>
  <si>
    <t>Amazon Basics USB-C 3.1 Male to HDMI Female Adapter (4K@60Hz), Gray, 1.69 x 1.45 x 0.43 inches</t>
  </si>
  <si>
    <t>UGREEN Revodok Pro 12 in 1 Triple 4K Docking Station with 2 HDMI, DP, 2x10G USB C, 2×USB-A2.0, 100W PD, SD/TF, 1000Mbps Ethernet, 3.5MM Audio, USBC Hub Multiple Adapter for MacBook, DELL, HP and More</t>
  </si>
  <si>
    <t>ARCTIC P12 PWM PST (5 Pack) - PC Fans, 120mm Case Fan, PWM Sharing Technology (PST), Pressure-optimised, Quiet Motor, Computer, 200–1800 RPM (0 RPM &lt;5%) - Black</t>
  </si>
  <si>
    <t>ASURION 2 Year Jewelry Protection Plan ($125 - $149.99)</t>
  </si>
  <si>
    <t>VEVOR Voltage Converter Transformer, 5000W, Heavy Duty Step Up/Down Transformer, Convert from 110 Volt to 220 Volt and from 220 Volt to 110 Volt, with US Outlet EU Outlet 5V USB Port, CE Certified</t>
  </si>
  <si>
    <t>Fujifilm Instax Mini 11 Instant Camera Sky Blue + Fuji Film Value Pack (40 Sheets) + Shutter Accessories Bundle, Incl. Compatible Carrying Case, Quicksand Beads Photo Album 64 Pockets</t>
  </si>
  <si>
    <t>OtterBox iPhone 16e, 15, 14, &amp; 13 Symmetry Series Case - BLACK, snaps to MagSafe, ultra-sleek, raised edges protect camera &amp; screen (ships in polybag)</t>
  </si>
  <si>
    <t>VIZIO All-in-One Soundbar SE w/Dolby Atmos &amp; DTS:X, Bluetooth Speaker, QuickFit™ Compatible – SV210Y-08 (New, 2024 Model)</t>
  </si>
  <si>
    <t>JLab Go Work Wireless Headsets with Microphone, 45+ Playtime PC Bluetooth Headset and Multipoint Connect to Laptop Computer and Mobile, Wired or Wireless Headphones (1 Pack)</t>
  </si>
  <si>
    <t>Rockford Fosgate P1683 Punch 6"x8" 3-Way Coaxial Full Range Speakers - Black (Pair)</t>
  </si>
  <si>
    <t>Apple AirTag 4 Pack</t>
  </si>
  <si>
    <t>Lexar 512GB Professional Silver Plus Micro SD Card, UHS-I, C10, U3, V30, Full HD &amp; 4K, Up to 205/150 MB/s microSDXC Memory Card, for Videographers, Gamers (LMSSIPL512G-BNANU)</t>
  </si>
  <si>
    <t>Logitech MX Master 2S Wireless Mouse - Hyper-Fast Scrolling, Ergonomic, Rechargeable, Control 3 Computers, Graphite</t>
  </si>
  <si>
    <t>Klipsch R-52C Powerful Detailed Center Channel Home Speaker - Black</t>
  </si>
  <si>
    <t>Glorious Model O Wired Gaming Mouse 67g Superlight Honeycomb Design, RGB, Pixart 3360 Sensor, Omron Switches, Ambidextrous - Matte Black</t>
  </si>
  <si>
    <t>CORSAIR RM Series (2021), White, RM850, 850 Watt, 80 Plus Gold Certified, Fully Modular Power Supply</t>
  </si>
  <si>
    <t>URBAN ARMOR GEAR UAG Designed for Microsoft Surface Pro 11/10/9 Case with Built-in Kickstand Hand &amp; Shoulder Strap Pen Holder Compatible with Type Cover Keyboard Rugged Protective Cover, Plasma Ice</t>
  </si>
  <si>
    <t>Panasonic BQ-CC65AKBBA Super Advanced eneloop pro and eneloop 4-Position Quick Charger with LCD Indicator Panel and USB Charging Port, Black</t>
  </si>
  <si>
    <t>Dell Premier Multi-Device Wireless Bluetooth Keyboard and Mouse - KM7321W</t>
  </si>
  <si>
    <t>Mounting Dream Full Motion TV Wall Mount for Most 42-90 Inch TVs, Heavy Duty Wall Mount TV Bracket with 6 Strong Articulating Arms, Max VESA 600x400mm, Up to 132LBS, Fits 16/18/24'' Wood Studs, MD2298</t>
  </si>
  <si>
    <t>KODAK EKTAR H35 Half Frame Film Camera (Sage, Bundle with 24exp Film)</t>
  </si>
  <si>
    <t>Kodak Ektar 100 Professional ISO 100, 35mm, 36 Exposures, Color Negative Film (Pack of 2)</t>
  </si>
  <si>
    <t>Insta360 X5 Replacement Lens Complete Kit | with 2× Official Replaceable Lenses for Insta360 X5, Plus Tools to Replace and Clean The Lens</t>
  </si>
  <si>
    <t>ASUS TUF Gaming VG27VH1B 27” Curved Monitor, 1080P Full HD, 165Hz (Supports 144Hz), Extreme Low Motion Blur, Adaptive-sync, FreeSync Premium, 1ms, Eye Care, HDMI D-Sub, BLACK</t>
  </si>
  <si>
    <t>TRENDnet 24-Port Blank Keystone 1U Patch Panel, 1U 19" Metal Rackmount Housing, Recommended with TC-K25C6 &amp; TC-K50C6 Cat6 Keystone Jacks (Sold Separately), Black, TC-KP24</t>
  </si>
  <si>
    <t>PlayStation PULSE 3D – Midnight Black</t>
  </si>
  <si>
    <t>Garmin BarkLimiter Deluxe, Rechargeable Dog Training Collar with Automatic Levels for All Dog Breeds</t>
  </si>
  <si>
    <t>Celestron - Outland X 8x42 Binoculars – Ideal for Birding and Outdoors – 42mm Objective Lenses – Wide 7° Field of View – BaK-4 Prisms – Multi-Coated – Waterproof and Fogproof</t>
  </si>
  <si>
    <t>StarTech.com 2U Server Rack Shelf - Universal Vented Rack Mount Cantilever Tray for 19" Network Equipment Rack &amp; Cabinet - Heavy Duty Steel - Weight Capacity 50lb/23kg - 16" Deep Shelf, TAA</t>
  </si>
  <si>
    <t>Ilford 1574577 HP5 Plus, Black and White Print Film, 35 mm, ISO 400, 36 Exposures (Pack of 3)</t>
  </si>
  <si>
    <t>Panasonic K-KJ55MC84CZ eneloop Power Pack; 8AA, 4AAA, and Advanced Battery 3 Hour Quick Charger</t>
  </si>
  <si>
    <t>Escort Cobra Official SmartCord USB, Half Straight Half Coiled Cord with USB Charging Port, Works with All Current Generation Escort and Cobra Windshield Mounted Detectors, Apple and Android Devices</t>
  </si>
  <si>
    <t>ASURION 2 Year Personal Care Protection Plan ($175 - $199.99)</t>
  </si>
  <si>
    <t>OtterBox iPhone 12 &amp; iPhone 12 Pro Defender Series Case - Black, Rugged &amp; Durable, with Port Protection, Includes Holster Clip Kickstand</t>
  </si>
  <si>
    <t>LISEN for Qi2 15W MagSafe Car Mount Charger, [15w Fast Charge&amp;Safer] Magsafe Car Charger, Vent Magnetic Wireless, Vent Phone Mount Fits iPhone 16 Pro Max Plus 15/14/13 Mini, 17 Strong Magnets</t>
  </si>
  <si>
    <t>ESR iPad Pro 12.9 Case with Keyboard, Easy-Set Magnetic Stand, Portrait/Raised Modes for iPad Pro 12.9 (2022/2021/2020/2018), Removable Protective Case, Rebound 360 Series, Charcoal Grey</t>
  </si>
  <si>
    <t>REOLINK 5MP Security PoE IP Camera, Person/Vehicle/Pet Detection, Time-Lapse, 100ft IR Night Vision, Work with Smart Home, Support 256GB SD Card, Surveillance Outdoor Indoor, RLC-510A</t>
  </si>
  <si>
    <t>Apple Wireless Magic Keyboard 2 -MLA22LL/A withApple Magic Bluetooth Mouse 2 -MLA02LL/A (Renewed)</t>
  </si>
  <si>
    <t>ASURION 4 Year Office Equipment Protection Plan ($800 - $899.99)</t>
  </si>
  <si>
    <t>Fujifilm Instax Mini Instant Daylight Film ISO 800, 3 x Twin Packs, (60 Exposures)</t>
  </si>
  <si>
    <t>HyperX HHSS1C-KB-WT/G Cloud Stinger Core – Wireless Gaming Headset, for PS4, PS5, PC, Lightweight, Durable Steel Sliders, Noise-Cancelling Microphone - White</t>
  </si>
  <si>
    <t>SimpliSafe Motion Sensor - Compatible with Gen 2 Home Security System</t>
  </si>
  <si>
    <t>Midland- T51VP3 X-TALKER Spotting and Recovery Walkie-Talkie Long Range - FRS Two Way Radio for kids Caravanning with NOAA Weather Scan + Alert, 38 Privacy Codes - Black/Orange - 2 Pack</t>
  </si>
  <si>
    <t>Microsoft Modern USB-C Speaker, Certified for Microsoft Teams, 2- Way Compact Stereo Speaker, Call Controls, Noise Reducing Microphone. Wired USB-C Connection,Black</t>
  </si>
  <si>
    <t>Made for Amazon Bluetooth Keyboard Case for Amazon Fire HD 10, (13th Gen, 2023 release)</t>
  </si>
  <si>
    <t>Godox Xpro-C TTL Wireless Flash Trigger for Canon 1/8000s HSS TTL-Convert-Manual Function Large Screen Slanted Design 5 Dedicated Group Buttons 11 Customizable Functions</t>
  </si>
  <si>
    <t>Logitech High-performance USB Headset H540 for Windows and Mac, Skype Certified</t>
  </si>
  <si>
    <t>Belkin 112W 4-Port GaN Charger Block, USB-C Power Delivery Super Fast Charging &amp; USB-A Port for MacBook, Samsung Galaxy S25, Apple iPhone 16, iPad, Google Pixel, Nintendo Switch 2 &amp; More</t>
  </si>
  <si>
    <t>Mounting Dream TV Wall Mounts Bracket for Most 42-84 Inch TVs, UL Listed Premium TV Mount Full Motion with Articulating Arms, Max VESA 600x400mm and 100LBS, Fits 16", 18", 24" Studs, MD2296-24K</t>
  </si>
  <si>
    <t>Skullcandy Sesh ANC XT in-Ear Noise Canceling Wireless Earbuds, 48 Hr Battery, IP67 Waterproof, Microphone, Works with iPhone Android and Bluetooth Devices - True Black</t>
  </si>
  <si>
    <t>AMD Ryzen 5 3600 6-Core, 12-Thread Unlocked Desktop Processor with Wraith Stealth Cooler</t>
  </si>
  <si>
    <t>Duracell - CopperTop AAA Alkaline Batteries - Long Lasting, All-Purpose Triple A Battery for Household and Business - 40 Count</t>
  </si>
  <si>
    <t>Poly Blackwire 3210 Wired Headset, Noise-Canceling Mic, Single-Ear Design, Connect to PC/Mac via USB-C or USB-A, Works with Teams &amp; Zoom, Amazon Exclusive (9P7X7AA)</t>
  </si>
  <si>
    <t>Godox S2 Speedlite Bracket for Godox AD200Pro, AD200, AD400Pro, for V1 Round Head Speedlite, V860II / TT685 / TT350 Series, S-Type Bracket Updated Version Bowens Mount Holder</t>
  </si>
  <si>
    <t>Apple Watch Series 9 [GPS 45mm] Midnight Aluminum Case with Midnight Sport Band, S/M (Renewed)</t>
  </si>
  <si>
    <t>VIVO Dual Vertically Stacked Monitor Desk Mount, Extra Tall Adjustable Stand for 2 Ultrawides up to 34 inches, 22 lbs Capacity, Black, STAND-V002T</t>
  </si>
  <si>
    <t>CORSAIR HS65 SURROUND Multiplatform Wired Gaming Headset – Dolby Atmos – SonarWorks SoundID – iCUE Compatible – PC, Mac, PS5, PS4, Xbox, Nintendo Switch, Mobile – Carbon</t>
  </si>
  <si>
    <t>Razer Cobra Gaming Mouse: 58g, Gen-3 Optical Switches, Chroma RGB Lighting, 8500 DPI Sensor, PTFE Feet, Speedflex Cable - Black</t>
  </si>
  <si>
    <t>Arlo Chime 2 - Built-in Siren, Audible Alerts, Customizable Melodies, Wi-Fi Connected, Compatible with Arlo Wired and Wireless Doorbell Camera, Security Camera, and Smart Home Devices (AC2001)</t>
  </si>
  <si>
    <t>Logitech Wireless Touch Keyboard K400 with Built-In Multi-Touch Touchpad</t>
  </si>
  <si>
    <t>DEWALT Heavy Duty Bluetooth Jobsite Pro X2 ANC True Wireless Earbuds, Active Noise Cancelling Work Earbuds, Turn Dial Controls, 10Hr Runtime (40+ w/Case), 4 EQ Modes, IP54</t>
  </si>
  <si>
    <t>Uniden BC365CRS 500 Channel Scanner and Alarm Clock, Snooze, FM Radio, Weather Alerts, Search Bands used for Aviation, Railroad, Marine, Non-Digital Police/Fire/Public Safety transmissions and more</t>
  </si>
  <si>
    <t>Elgato Stream Deck Neo – 8 Customizable Keys, 2 Touch Points, Speed Through Tasks &amp; Workflows - Control Word, Excel, PowerPoint, Teams, Zoom, Spotify and more, Drag-’n-Drop Setup - Works with Mac &amp; PC</t>
  </si>
  <si>
    <t>Military Smart Watch for Men(Answer/Make Call), Outdoor Sports Smartwatch with Flashlight/100 Days Battery/Compass/Heart Rate/SpO2/Sleep Monitor/2 Straps, Fitness Tracker for iPhone/Android Phones</t>
  </si>
  <si>
    <t>CORSAIR VENGEANCE LPX DDR4 RAM 32GB (2x16GB) 3600MHz CL18-22-22-42 1.35V Intel AMD Desktop Computer Memory - Black (CMK32GX4M2D3600C18)</t>
  </si>
  <si>
    <t>Nintendo of America Nintendo Switch Dock Set - Nintendo Switch;</t>
  </si>
  <si>
    <t>UGREEN Nexode Pro 65W USB C Charger Flat, 3-Port Slim GaN Compact Fast PPS Wall Charger for iPhone 16/15/14, MacBook Air, iPad Pro, Galaxy S24/S23/Note20, Pixel 9/8, Steam Deck</t>
  </si>
  <si>
    <t>Proscan Elite Portable CD Boombox with AM/FM Radio - White</t>
  </si>
  <si>
    <t>Sony TOUGH-M series SDXC UHS-II Card 128GB, V60, CL10, U3, Max R277MB/S, W150MB/S (SF-M128T/T1)</t>
  </si>
  <si>
    <t>LISEN Electric Retractable Car Phone Mount, Content Creator MagSafe Suction Cup Phone Mount Vacuum Magnetic Phone Holder fit Vlogging Video Recording Windshield for 17 iPhone 16e 16 15 14 13 12</t>
  </si>
  <si>
    <t>Philips DVD Players for TV with HDMI Port 1080P All Region HD DVD Player for Smart TV USB Input Remote Control Device, Mini DVD CD Player for Home Stereo System, HDMI and RCA Cable Included</t>
  </si>
  <si>
    <t>DJI Osmo Action Mini Extension Rod, Compatible with Osmo Action 5 Pro, Osmo Action 4, Osmo Action 3</t>
  </si>
  <si>
    <t>HyperX CloudX Stinger Core – Wireless Gaming Headset, for Xbox Series X|S and Xbox One, Memory foam &amp; Premium Leatherette Ear Cushions, Noise-Cancelling,Black</t>
  </si>
  <si>
    <t>CHAMBERLAIN Clicker Keyless Entry KLIK2U-P2, Works with Chamberlain, LiftMaster, Craftsman, Genie and More, Security +2.0 Compatible Garage Door Opener Keypad, White</t>
  </si>
  <si>
    <t>GoPro Magnetic Latch Mount (HERO13) - Official Accessory (AEMAG-001)</t>
  </si>
  <si>
    <t>UGREEN Steam Deck Dock 9-in-1 USB C Docking Station with Foldable Stand, 4K@60Hz HDMI, Gigabit Ethernet, PD 100W, 10Gbps USB A&amp;C 3.2, TF/SD Compatible with Steam Deck, Rog Ally, Rog X, Legion Go etc.</t>
  </si>
  <si>
    <t>SimpliSafe Glassbreak Sensor - 20ft. Range - Sound Detection Technology - Compatible with The SimpliSafe Home Security System - Latest Gen</t>
  </si>
  <si>
    <t>JanSport Odyssey Backpack</t>
  </si>
  <si>
    <t>HyperX QuadCast 2 – USB Microphone for Gaming, Streaming and Podcasting, with On-Board Controls, LED Lighting, Removable Shock Mount, PC, Mac, PS5, PS4, USB-C - Black</t>
  </si>
  <si>
    <t>Logitech M510 Wireless Mouse, Black</t>
  </si>
  <si>
    <t>soundcore Liberty 5 by Anker, Noise-Cancelling Wireless Earbuds, 2x Stronger Voice Reduction, Real-Time Adaptive Noise Cancellation, Fast Charging, Dolby Audio, 6-Mic AI Clear Calls, Long Battery Life</t>
  </si>
  <si>
    <t>Google Earbuds Wired Headset USB-C, Comfortable Fit, Inline Controls, Compatible with Type-C Phones - White (Retail)</t>
  </si>
  <si>
    <t>JBL Tune 670NC - Adaptive Noise Cancelling with Smart Ambient Wireless On-Ear Headphones, Up to 70H Battery Life with Speed Charge, Lightweight, Comfortable and Foldable Design (Black)</t>
  </si>
  <si>
    <t>TCL S Class 2.1 Channel Sound Bar with DTS Virtual:X and Wireless Subwoofer, S210W</t>
  </si>
  <si>
    <t>HP 230 Wireless Keyboard - Wireless Connection - Low-Profile, Quiet Design - Windows &amp; Mac OS - Laptop, PC Compatible - Shortcut Keys &amp; Number Pad - Long Battery Life (‎3L1E7AA#ABA),Black</t>
  </si>
  <si>
    <t>Cooler Master MasterAccessory Vertical GPU Card Holder Kit V3 Black, Premium Riser Cable PCI-E 4.0 x16-165mm, PCIe 3.0 Compatible, Adjustable Length for E-ATX|ATX|Micro ATX Case (MCA-U000R-KFVK03)</t>
  </si>
  <si>
    <t>KENWOOD KMM-BT332U Bluetooth Single DIN Car Stereo with USB Port, AM/FM Radio, MP3 Player, Multi Color LCD, Detachable Face, Built in Amazon Alexa, Compatible with SiriusXM Tuner</t>
  </si>
  <si>
    <t>Amazon Fire TV Stick, sharp picture quality, fast streaming, free &amp; live TV, Alexa Voice Remote with TV controls</t>
  </si>
  <si>
    <t>Samsung 37” Odyssey G7 (G75F) 4K UHD Resolution, 165Hz, Curved Gaming Monitor, 1ms Response Time (GtG), VESA DisplayHDR™ 600, AMD FreeSync™ Premium Pro, LS37FG75DENXZA, 2025</t>
  </si>
  <si>
    <t>ASURION 3 Year Floorcare Extended Protection Plan ($60 - $69.99)</t>
  </si>
  <si>
    <t>OtterBox Made for Kids Case for iPad (A16) &amp; iPad 10th Gen - FLOATIES (Blue), Durable, Easy Grip ridges, Easy to Clean (Single Unit Ships in Poly Bag, Ideal for Business Customers)</t>
  </si>
  <si>
    <t>ASURION 3 Year Portable Electronic Accident Protection Plan ($150 - $174.99)</t>
  </si>
  <si>
    <t>Bose SoundSport In-Ear Headphones For Apple Devices (741776-0010) - Charcoal (Renewed)</t>
  </si>
  <si>
    <t>SanDisk 8GB Cruzer Blade USB 2.0 Flash Memory Drive SDCZ50-008G (10 Pack)</t>
  </si>
  <si>
    <t>Pyle Marine Radio Receiver Speaker Set 12v Single Din Style Bluetooth Compatible Waterproof Digital Boat In Dash Console System with Mic 4 Speakers, Remote Control, Wiring Harness PLMRKT38W (White)</t>
  </si>
  <si>
    <t>OtterBox Defender Series case for Samsung Galaxy Tab A9+ - Black, Rugged, Durable, Multi-Layer Protection, Rugged, Durable, Multi-Layer Protection</t>
  </si>
  <si>
    <t>Bose SoundLink Micro: Small Portable Bluetooth Speaker (Waterproof), Midnight Blue</t>
  </si>
  <si>
    <t>Pyle 6.5 Inch Dual Marine Speakers - 2 Way Waterproof and Weather Resistant Outdoor Audio Stereo Sound System with 200 Watt Power, Poly Carbon Cone and Butyl Rubber Surround - 1 Pair - PLMR62 (White)</t>
  </si>
  <si>
    <t>Canon Wireless Remote Control BR-E1</t>
  </si>
  <si>
    <t>Razer Kraken Gaming Headset: Lightweight Aluminum Frame - Retractable Noise Isolating Microphone - for PC, PS4, PS5, Switch, Xbox One, Xbox Series X &amp; S, Mobile - 3.5 mm Headphone Jack - Black/Blue</t>
  </si>
  <si>
    <t>UGREEN HDMI KVM Switch 2 Monitors 2 Computers 4K@60Hz, with 4 USB 3.0 Ports for 2 Computers Sharing 2 Monitors Keyboard Mouse Printer with 4 HDMI Cables, 2 USB Cables, Power Adapter and Controller</t>
  </si>
  <si>
    <t>Kensington Expert Wireless Trackball Mouse (K72359WW) Black, 3.5" x 6.1" x 8"</t>
  </si>
  <si>
    <t>adidas Stadium Team Sports Backpack for Men and Women (36l) Durable Athletic Laptop Bag, Navy Blue/3.0, One Size</t>
  </si>
  <si>
    <t>NETGEAR WiFi Mesh Range Extender EX6400 - Coverage up to 2100 sq.ft. and 35 Devices with AC1900 Dual Band Wireless Signal Booster &amp; Repeater (up to 1900Mbps Speed), Plus Mesh Smart Roaming</t>
  </si>
  <si>
    <t>KICKER 46CSC654 CS-Series CSC65 6.5-Inch (160mm) Coaxial Speakers, 4-Ohm (Pair)</t>
  </si>
  <si>
    <t>Lexar 256GB Professional Gold Micro SD Card, UHS-II, C10, U3, V60, A1, Full HD, 4K, Up to 280/180 MB/s microSDXC Memory Card, for Drones, Action Cameras, Portable Gaming Devices (LMSGOLD256G-BNNNG)</t>
  </si>
  <si>
    <t>Motorola Solutions, Portable FRS, T210, Talkabout, Two-Way Radios, Rechargeable, 22 Channel, 20 Mile, Black W/Red, 2 Pack</t>
  </si>
  <si>
    <t>GIGABYTE - Gaming A16 Gaming Laptop - 165Hz 1920x1200 WUXGA - NVIDIA GeForce RTX 5060 - Intel i7-13620H - 1TB SSD with 16GB DDR5 RAM - Windows 11 Home AD Gaming A16 CVHI3US894SH</t>
  </si>
  <si>
    <t>Skullcandy Push Play Active Wireless Earbuds, Bluetooth Headphones, Noise Isolating, 34 Hrs Battery, Secure-Fit Over-Ear Hanger, Sweat Water Resistant, Microphone for iPhone Android - Black/Orange​</t>
  </si>
  <si>
    <t>GIGABYTE 2GB RAM DDR3 SDRAM Video Graphics Cards GV-N710D3-2GL REV2.0</t>
  </si>
  <si>
    <t>Kensington N17 Dell Laptop Computer Lock, Combination Security Locking Cable (K68008WW) Black</t>
  </si>
  <si>
    <t>weBoost for Business Office 200 (50 Ohm) Cell Phone Signal Booster | 5G/4G LTE | All U.S Carriers - Verizon, AT&amp;T, T-Mobile &amp; More | Up to 10,000 sq ft | FCC Approved</t>
  </si>
  <si>
    <t>Logitech MX Ergo Wireless Trackball Mouse, Ergonomic Design, Move Content Between 2 Windows and Apple Mac Computers (Bluetooth or USB), Rechargeable</t>
  </si>
  <si>
    <t>TP-Link EAP110-Outdoor V3, Omada N300 Wireless Outdoor Access Point, WiFi Coverage Up To 200 Meters, Passive PoE W/ Free PoE Injector, SDN Integrated, Cloud Access &amp; Omada App, White</t>
  </si>
  <si>
    <t>Nintendo 3DS XL - Black [Old Model] (Renewed)</t>
  </si>
  <si>
    <t>Google Nest Mini 2nd Generation Smart Speaker with Google Assistant - Charcoal</t>
  </si>
  <si>
    <t>Dell MS5120W Mobile Pro Wireless Mouse – Wireless 2.4GHz, Bluetooth 5.0, Microsoft Swift Pair/Dell Pair (Windows 10 &amp; 11 only), Optical LED Sensor - Black</t>
  </si>
  <si>
    <t>ASURION 3 Year Musical Instrument Accident Protection Plan ($350 - $399.99)</t>
  </si>
  <si>
    <t>Corsair M65 RGB Ultra Tunable FPS Gaming Mouse Marksman 26,000 DPI Optical Sensor, Optical Switches, AXON Hyper-Processing Technology, Sensor Fusion Control, Tunable Weight System - Black</t>
  </si>
  <si>
    <t>SAMSUNG Galaxy Tab S9 Series S Pen for Writing, Drawing, Navigating Tablet, Easy Charging on Magnetic Holder, IP68 Rating, Air Command for Personalized Actions, US Version, EJ-PX710BBEGUJ, Black</t>
  </si>
  <si>
    <t>Texas Instruments Ti-36x Pro Scientific Calculator, 16-Digit LCD</t>
  </si>
  <si>
    <t>Celestron - Cometron 7x50 Astronomy Binoculars – Entry-Level for Stargazing and Comet Watching – Large 50mm Objective Lenses – Wide 6.6° Field of View – Multi-Coated Optics</t>
  </si>
  <si>
    <t>Edifier R980T 4" Active Bookshelf Speakers - 2.0 Computer Speaker - Powered Studio Monitor (Pair)</t>
  </si>
  <si>
    <t>PYLE Portable Megaphone Speaker PA Bullhorn - Built-in Siren, 50W Adjustable Volume Control in 1200 Yard Range, Ideal for Any Outdoor Sports, Cheerleading Fans &amp; Coaches, or for Safety Drills</t>
  </si>
  <si>
    <t>Apple 2018 iPad (9.7-inch, Wi-Fi, 32GB) - Gold (Renewed)</t>
  </si>
  <si>
    <t>Lexar Professional CFexpress Type B / SD USB 3.2 Gen 2 Reader, Transfer Speeds Up To 10Gbps, Designed for CFexpress Type B and SD Cards (LRW520U-RNBNG)</t>
  </si>
  <si>
    <t>Amazon Basics Bluetooth Computer Speakers with USB 3.0 and Blue Lighting</t>
  </si>
  <si>
    <t>HP 204A Black Toner Cartridge | Works with HP Color LaserJet Pro M154 Series, HP Color LaserJet Pro MFP M180, M181 Series | CF510A</t>
  </si>
  <si>
    <t>ZAGG Glass+ Samsung Galaxy S25 Ultra Screen Protector – Extreme Impact &amp; Shatter Protection, Scratch-Resistant, Smudge-Resistant, Fingerprint Scanner Compatible, InvisibleShield, Easy Installation</t>
  </si>
  <si>
    <t>Corsair MM350 PRO Premium Spill-Proof Cloth Gaming Mouse Pad – Extended XL - Black</t>
  </si>
  <si>
    <t>UGREEN 8K@60Hz Displayport KVM Switch 2 Monitors 2 Computers, Aluminum with 4 USB 3.0 Ports for 2 Computers Share Dual Monitors Keyboard Mouse Printer with 2 USB Cables/Power Adapter/Controller</t>
  </si>
  <si>
    <t>LISEN 170W Car Charger USB C Fast Charging for iPhone 16 Pro Max GaN PD3.1 140W+PD30W Cigarette Lighter Adapter Super Fast Car Charger Type C for Laptop Samsung Galaxy S25 Ultra MacBook Pro iPad Drone</t>
  </si>
  <si>
    <t>ASURION 4 Year Television Protection Plan ($1000 - $1249.99)</t>
  </si>
  <si>
    <t>Plantronics Blackwire C3220 Headset</t>
  </si>
  <si>
    <t>OtterBox for Samsung Galaxy S21 Ultra 5G, Superior Rugged Protective Case, Defender Series, Black</t>
  </si>
  <si>
    <t>Acer 10 Gbps USB C Hub, USBC Splitter with 4*USB C 3.2 and 100W PD Port, Fast Transfer Type-C Multiport Adapter Compatible with MacBook Pro/Air M2/M1, iPad, Surface Pro, XPS【No Video Output】</t>
  </si>
  <si>
    <t>Mounting Dream TV Wall Mount for Most 32-65 Inch TV, Full Motion TV Mount with Dual Arms, Wall Mount Bracket with Swivel and Tilt, Fits 16", 18", 24" Studs, Max VESA 400x400mm, 99 LBS, MD2380-24K</t>
  </si>
  <si>
    <t>ASURION 4 Year Housewares Protection Plan ($90 - $99.99)</t>
  </si>
  <si>
    <t>Google Pixel - Android Smartwatch with Fitbit Activity Tracking - Heart Rate Tracking Watch - Polished Silver Stainless Steel case with Charcoal Active band - LTE</t>
  </si>
  <si>
    <t>Pyle 5-Channel Rack Mount Bluetooth Receiver &amp; Home Theater Amp - 200W Speaker Amplifier with MP3/USB/SD/AUX/FM - Digital ID3 LCD Display - Wireless Streaming - Built-In Microphone Input - PDA7BU</t>
  </si>
  <si>
    <t>LISEN Suction Phone Mount, Portable Super Stable Electric Vacuum Magnetic Phone Holder,Only on Mirror/Smooth Surface 360° Adjustable Vlogging Travel Multi-Scene for 17 iPhone 16e 16 Pro Max 15 14 13</t>
  </si>
  <si>
    <t>Canon EF 24-70mm f/2.8L II USM Standard Zoom Lens Black</t>
  </si>
  <si>
    <t>ASURION 2 Year Tablet Accident Protection Plan ($350 - $399.99)</t>
  </si>
  <si>
    <t>Pyle Portable Dual Laptop Stand - Standing Table with Adjustable Height, Ergonomic Design &amp; Anti-Slip Prongs for DJ Mixer, Sound Equipment, Workstation, Gaming &amp; Home Use - PLPTS38, Black</t>
  </si>
  <si>
    <t>THE NORTH FACE Jester Everyday Laptop Backpack, Midnight Petrol/Algae Blue, One Size</t>
  </si>
  <si>
    <t>Polk Audio DB522 DB+ Series 5-1/4" Coaxial Speaker for Car &amp; Marine, 2-Way Boat &amp; Car Audio Speaker, 55-22kHz Frequency Response, Polypropylene Woofer Cone &amp; 3/4" Silk Dome Tweeter, Easy Installation</t>
  </si>
  <si>
    <t>Insta360 Heavy Duty Clamp for ONE and Ace Series Action Cameras</t>
  </si>
  <si>
    <t>SAMSUNG Galaxy Buds Fan Edition(FE) SM-R400, Active Noise-Cancelling, Wireless Bluetooth v5.2 Earbuds, Android 8.0 and Up - (White)</t>
  </si>
  <si>
    <t>iOttie Auto Sense Qi Wireless Car Charger - Automatic Clamping Dashboard Phone Mount with Wireless Charging for Google Pixel, iPhone, Samsung Galaxy, Huawei, LG, and other Smartphones.</t>
  </si>
  <si>
    <t>SanDisk 128GB iXpand Flash Drive Go - For your iPhone 14 or older - Create space on your iPhone - SDIX60N-128G-GN6NE</t>
  </si>
  <si>
    <t>Panasonic 24 Pack Wholesale Lot Super Heavy Duty D Batteries</t>
  </si>
  <si>
    <t>ASURION 2 Year Ride-On Protection Plan ($400 - $449.99)</t>
  </si>
  <si>
    <t>Dell 65W 4.5mm tip Laptop Charger,Latitude 3320 3330 3340 3420 3430 3435 3440 3450 3520 3530 3535 3540 AC Adapter, Black, DA65NM191</t>
  </si>
  <si>
    <t>UGREEN 130W USB C Car Charger, Type C Car Charger Adapter Compatible with iPhone 16 16 Plus 16 Pro 16 Pro Max 15 14 13 12, Galaxy S24 S23 Ultra, iPad, MacBook, and More</t>
  </si>
  <si>
    <t>Tripp Lite Isobar ISOBLOK2-0 Heavy Duty Outlet Extender, Wall Power Strip Surge Protector, 2 Outlets, Direct Plug-in, White, Metal Power Strip, Industrial Garage Work Shop Bench</t>
  </si>
  <si>
    <t>OtterBox Commuter Series Case for Galaxy S21 5G (ONLY - Does NOT FIT Plus or Ultra) - Black</t>
  </si>
  <si>
    <t>JVC CS-J620 300W 6.5" CS Series 2-Way Coaxial Car Speakers, Set of 2, 6.5" Mica Cone Woofer &amp; 1" PEI Tweeter, Hybrid Surround, Easy Installation</t>
  </si>
  <si>
    <t>Apple MagSafe Charger - Wireless Charger with Fast Charging Capability, Compatible with iPhone and AirPods</t>
  </si>
  <si>
    <t>OtterBox iPhone 16 Pro Max Symmetry Series Clear Case - Clear (Ships in polybag, Ideal for Business customers)</t>
  </si>
  <si>
    <t>Pyle 3-Way Weatherproof Outdoor Speaker Set - 3.5 Inch 200W Pair of Marine Grade Mount Speakers - in a Heavy Duty ABS Enclosure Grill - Home, Boat, Poolside, Patio, Indoor Outdoor Use -PLMR24 (White)</t>
  </si>
  <si>
    <t>Shure PGA31-TQG Headworn Cardioid Condenser Microphone with TA4F Connector</t>
  </si>
  <si>
    <t>GoPro Media Mod (HERO13 Black/HERO12 Black/HERO11 Black/HERO10 Black/HERO9 Black) - Official GoPro Accessory</t>
  </si>
  <si>
    <t>ASURION 2 Year Toy Accident Protection Plan ($125 - $149.99)</t>
  </si>
  <si>
    <t>UGREEN USB to Ethernet Adapter 2.5Gb, Ethernet Adapter, Aluminum, USB 3.0 to RJ45 Computer Network Internet LAN Dongle for Laptop, Compatible for MacBook Air/Pro, XPS, Windows, macOS</t>
  </si>
  <si>
    <t>Beats by Dr. Dre - Solo3 Wireless On-Ear Headphones - Black (Renewed)</t>
  </si>
  <si>
    <t>OtterBox Defender Series Case for iPad Pro 12.9-inch (6th, 5th, 4th &amp; 3rd Gen) - BLACK, Rugged, Durable, Multi-Layer Protection (Single Unit Ships in Polybag, Ideal for Business Customers)</t>
  </si>
  <si>
    <t>SanDisk 256GB Phone Drive for iPhone - Works with iPhone 15 and Newer (USB-C Connector) and iPhone 14 and Older (Lightning Connector), Metallic Sky - SDIXD0N-256G-GN6NE</t>
  </si>
  <si>
    <t>Brother LC4043PKS of Standard Yield Cyan, Magenta and Yellow -Ink -Cartridges(Pack of 3)</t>
  </si>
  <si>
    <t>Verbatim CD-R 700MB 52X White Inkjet Hub Printable Recordable Media Disc - 100pk Spindle</t>
  </si>
  <si>
    <t>HP 711 Black 38-ml Genuine Ink Cartridge (CZ129A) for DesignJet T530, T525, T520, T130, T125, T120 &amp; T100 Large Format Plotter Printers</t>
  </si>
  <si>
    <t>Amazon Basics Surge Protector Power Strip, 12-Outlet, 4000 Joules, 8ft Extension Cord, Rectangle, for Home, Office, Gaming Room, Black</t>
  </si>
  <si>
    <t>Monoprice Cat6A Ethernet Patch Cable - Snagless RJ45, 550Mhz, 10G, UTP, Pure Bare Copper Wire, 30AWG, 10-Pack, 1 Feet, Blue - SlimRun Series</t>
  </si>
  <si>
    <t>SAMSUNG Galaxy Buds Pro 2 [2022] (SM-R510NLVALTA) - (Violet)</t>
  </si>
  <si>
    <t>GoPro Suction Cup Mount (GoPro Official Mount), Black</t>
  </si>
  <si>
    <t>Logitech Signature Wired M520 L for Business, Optical Wired Mouse, USB-C Plug-and-Play, Windows/Mac/Chrome/PC/laptops - Graphite</t>
  </si>
  <si>
    <t>SAMSUNG Galaxy Watch Charger, Fast, Magnetic Charging for Galaxy Watch 5, 6, 7, FE, Ultra Series and Later, EP-OL300BBEGUJ, Black, 2024</t>
  </si>
  <si>
    <t>ESR for iPad Pro 13 Inch Case M4(2024), Powerful Magnetic Attachment, Slim Trifold Stand Case, Supports Pencil Pro and Pencil(USB-C), Auto Wake/Sleep, Durable Protection, Rebound Series, Black</t>
  </si>
  <si>
    <t>DYMO Rhino Industrial Flexible Nylon Labels, 3/4" x 11.5', Black Print on White Tape</t>
  </si>
  <si>
    <t>Energizer AA Max Alkaline E91 Batteries Made in USA - Expiration 12/2024 or Later - 100 Count</t>
  </si>
  <si>
    <t>NEEWER HD CPL ND16 ND64 ND256 Filter Kit Compatible with DJI OSMO Pocket 3 Creator Combo Accessories Magnetic Action Camera Neutral Density Polarising Filter Optical Glass Aluminum Frame</t>
  </si>
  <si>
    <t>Fujifilm QuickSnap Flash 400 One-Time-Use Camera</t>
  </si>
  <si>
    <t>SAMSUNG Galaxy Buds2 Pro True Wireless Bluetooth Earbud Headphones - Graphite (Renewed)</t>
  </si>
  <si>
    <t>ESR for iPad Pro 11 Inch Case (M4) 2024 5th Gen, Rotating Case with Removable Magnetic Cover, Adjustable Portrait/Landscape Stand with Raised Screen View, 9 Standing Angles, Shift Series, Black</t>
  </si>
  <si>
    <t>Energizer Recharge Universal Rechargeable AA Batteries (8 Pack), Double A Rechargeable Batteries</t>
  </si>
  <si>
    <t>Dell MS700 Bluetooth Travel Mouse – Bluetooth 5.0, Microsoft Swift Pair/Dell Pair (Windows 10 &amp; 11 only), Optical LED Sensor, Touch Scroll with latest Touch Controller - Black</t>
  </si>
  <si>
    <t>Skullcandy Indy Evo In-Ear Wireless Earbuds, 30 Hr Battery, Microphone, Works with iPhone Android and Bluetooth Devices - Black</t>
  </si>
  <si>
    <t>OtterBox Samsung Galaxy S24 Ultra Commuter Series Case - GET Your Greens, Slim &amp; Tough, Pocket-Friendly, with Port Protection</t>
  </si>
  <si>
    <t>Belkin Portable Charger, USB C Power Bank 10000 mAh w/ 2xUSB-A Ports, 15W w/ Type-C to Type-A Cable for iPhone 16, 16 Plus, 16e, Samsung Galaxy S25, Nintendo Switch 2, &amp; More - Black</t>
  </si>
  <si>
    <t>NEEWER Metal Phone Tripod Mount Adapter with Arca QR Base, Cold Shoe, 360° Swivel 180° Tilt, Phone Holder Compatible with iPhone 15 Pro Max Galaxy S24</t>
  </si>
  <si>
    <t>amiibo - Zelda (Tears of the Kingdom) - The Legend of Zelda Series</t>
  </si>
  <si>
    <t>Belkin BoostCharge USB-C to USB-C Power Cable (2M/6.6ft) Fast Charging Cable 240W Power Delivery USB-IF for MacBook Pro, iPad, iPhone 16 Series, Galaxy S25 Series, Nintendo Switch 2 &amp; More - White</t>
  </si>
  <si>
    <t>100 count Energizer Industrial AA EN91 Alkaline 1.5v Batteries LR06</t>
  </si>
  <si>
    <t>VTech DS6151-2 2 Handset 2-Line Cordless Phone System for Home or Small Business with Digital Answering System &amp; Mailbox on Each line, Silver</t>
  </si>
  <si>
    <t>OtterBox Samsung Galaxy S20 FE 5G (FE ONLY - Not Compatible with Other Galaxy S20 Models) Defender Series Case - Black, Rugged &amp; Durable, with Port Protection, Includes Holster Clip Kickstand</t>
  </si>
  <si>
    <t>ASUS Zenbook S 16 Laptop, AMD Ryzen AI 9 365, 24 GB DDR5 RAM, 1 TB PCIe SSD, 16” 3K Touch Screen (2880x1800), AMD Radeon 880M, W11 Home</t>
  </si>
  <si>
    <t>ViewSonic LS711HD 4200 Lumens 1080p Laster Projector with 0.49 Short Throw Ratio, HV Keystone, 4 Corner Adjustment, 360 Degrees Projection for Home and Office</t>
  </si>
  <si>
    <t>Kenwood 6-1/2" 300W Max (60W RMS per Pair) 6.5" KFC 2-Way Sport Series Flush Mount Car Audio Door Coaxial Speakers</t>
  </si>
  <si>
    <t>PHILIPS Ergonomic Mouse - Vertical Mouse with 800/1200/1600 Adjustable DPI, 6 Silent Buttons Design for S/M Hands, Auto Power Saving,Light Weight, 2.4GHz Wireless Mouse for Laptop, Desktop, PC-Black</t>
  </si>
  <si>
    <t>Transcend 128GB SDXC Memory Card, Up to 100MB/s, for Canon Nikon Sony Camcorder, Trail Camera, Panasonic Cameras, UHS-I U1 V10, Full HD Class 10 High-Speed SD Card</t>
  </si>
  <si>
    <t>ZAGG InvisibleShield Glass+ Screen Protector for iPhone 14 Plus/ 13 Pro Max - 3X Shatter Protection, High Scratch Resistance, Oil-Resistant, Reinforced Edges, Easy Install</t>
  </si>
  <si>
    <t>GoPro Head Strap 2.0 (Action Camera Head Mount + Clip) - Official Accessory</t>
  </si>
  <si>
    <t>Amazon Basics Heavy-Duty Tilting TV Wall Mount for 37" to 80" TVs up to 120 lbs, Black</t>
  </si>
  <si>
    <t>ASURION 2 Year Appliance Protection Plan ($70 - $79.99)</t>
  </si>
  <si>
    <t>Fitbit Ace 3 Activity-Tracker for Kids 6+ One Size, Black/Racer Red</t>
  </si>
  <si>
    <t>HP External Portable Slim Design CD/DVD RW Write/Read Drive, USB, Black (F2B56AA)</t>
  </si>
  <si>
    <t>Genuine Original OEM 90w for Dell 0RT74M RT74M PA-1900-32D5 AC Adapter Exact 19.5v 4.62a</t>
  </si>
  <si>
    <t>HyperX Cloud Earbuds II – 14mm Drivers, Four Eartips, Hard-Shell Carrying Case, Low-Profile 90° Plug, 3.5mm Plug, Built-in Microphone, Multi-Function Button, PC, Mobile, Nintendo Switch – Black</t>
  </si>
  <si>
    <t>SAMSUNG 50W Duo Power Adapter Wall Charger, 2 Ports, Cable Included, Super Fast Charging 2.0 for Galaxy Phones, Tablets, USB Type C Devices, Low Standby Power Consumption, EP-T5020XBEGUS, Black</t>
  </si>
  <si>
    <t>BAGSMART Teacher Tote Bag for Women 15.6in Quilted with Insulated Pocket &amp; Nurse Bag Features (Black)</t>
  </si>
  <si>
    <t>Belkin USB C Charger Block 45W - PD3.1 PPS Super Fast Charging - Samsung Galaxy S25, S24, S23, S22, Apple iPhone 16, iPhone 15/14/13 Plus, Pro, Pro Max, Google Pixel 9, Nintendo Switch, etc - Black</t>
  </si>
  <si>
    <t>SABRENT 4 Port USB 3.0 Hub with Individual LED Lit Power Switches, Includes 5V/2.5A Power Adapter (HB-UMP3)</t>
  </si>
  <si>
    <t>ESR for Qi2 15W MagSafe Car Mount Charger, Qi2-Certified MagSafe Car Charger, Dashboard/Windshield Magnetic Wireless Car Charging, Car Phone Mount for iPhone 16/15/14/13/12, S25, Fast Charging, Black</t>
  </si>
  <si>
    <t>HP OMEN 45L Gaming Desktop, Intel Core Ultra 7 265K, 32 GB RAM, 2TB SSD, NVIDIA GeForce RTX 5080, Windows 11 Pro, Microsoft Copilot, Tempered Glass, GT22-3080 (2025)</t>
  </si>
  <si>
    <t>PNY 256GB Elite-X Class 10 U3 V30 microSDXC Flash Memory Card - 100MB/s, Class 10, U3, V30, A1, 4K UHD, Full HD, UHS-I, Micro SD</t>
  </si>
  <si>
    <t>CHERRY Stream Keyboard Wired USB SX Scissors Mechanism QWERTY Whisper-Quiet Silent Keystroke for Home Office, Work or Personal Computer. Black</t>
  </si>
  <si>
    <t>JBL Tune 510BT: Wireless On-Ear Headphones with Purebass Sound - Black</t>
  </si>
  <si>
    <t>HP 935 Cyan, Magenta, Yellow Ink Cartridges (3-pack) | Works with HP OfficeJet 6810; OfficeJet Pro 6230, 6830 Series | N9H65FN</t>
  </si>
  <si>
    <t>TP-Link Smart Door/Window Sensor Tapo T110</t>
  </si>
  <si>
    <t>Tapo Smart Wi-Fi Power Strip- 6 Individually Controlled Smart Outlets and 3 USB Ports with Surge Protection, Matter, Works w/Alexa, Google Home, Siri, &amp; Bixby, No Hub Needed, Tapo P316M</t>
  </si>
  <si>
    <t>Apple iPad Air 2 9.7-Inch, 32GB Tablet (Space Gray) (Renewed)</t>
  </si>
  <si>
    <t>UGREEN 130W USB C Car Charger, PD 100W +PD 30W Type C Car Charger Adapter Compatible with iPhone 16 16 Plus 16 Pro 16 Pro Max, Galaxy S24 S23 Ultra, iPad, MacBook, and More</t>
  </si>
  <si>
    <t>Amazon Basics Mini DisplayPort to DisplayPort Display Cable, 4Kx2K, Gold-Plated Plugs, 6 Foot, Black</t>
  </si>
  <si>
    <t>Philips Pro Wired Earbuds with Microphone, Hi-Res Audio in-Ear Headphones with 3.5mm Jack, Comfortable and Durable Build Earphones, Perfect for Music, Calls, and Daily Use, 3 Extra Eartips Included</t>
  </si>
  <si>
    <t>Bushnell Falcon 10x50 Wide Angle Binoculars (Black)</t>
  </si>
  <si>
    <t>Anker Nano Charging Station(100W Max), 7-in-1 USB C Power Strip for iPhone 16/15/14 and MacBook Air/Pro, 5ft Thin Cord,3AC, 2USB A,2USB C,Power Delivery Desktop Accessory for Home&amp;Office(Black)</t>
  </si>
  <si>
    <t>DYMO LetraTag 200B Bluetooth Compact Label Maker Value Pack, Wireless Connection to iOS and Android, Includes 3 Assorted Label Tapes</t>
  </si>
  <si>
    <t>Sigma 24-70mm f/2.8 DG OS HSM Art Lens for Canon</t>
  </si>
  <si>
    <t>ASURION 4 Year Home Improvement Protection Plan ($1000 - $1249.99)</t>
  </si>
  <si>
    <t>Western Digital 24TB WD Purple Pro Surveillance Internal Hard Drive HDD - SATA 6 Gb/s, 512 MB Cache, 3.5" - WD240PURP</t>
  </si>
  <si>
    <t>ESR for iPad Pro 12.9 Case (6th/5th Generation, 2022/2021), Removable Magnetic Cover, Adjustable Portrait/Landscape Stand with Raised Display View, 9 Standing Angles, Shift Series, Black</t>
  </si>
  <si>
    <t>OtterBox iPhone 16 Pro Max Defender Series XT Clear Case - Dark Side (Single unit ships in polybag)</t>
  </si>
  <si>
    <t>Amazon Basics Smart Plug Power Strip with 6 Individually Controlled Outlets and 3 USB Ports (2 USB-A and 1 USB-C), Works with Alexa Only, 2.4 GHz Wi-Fi, No Hub Required, White</t>
  </si>
  <si>
    <t>Roku Premiere | HD/4K/HDR Streaming Media Player, Simple Remote and Premium HDMI Cable, Black</t>
  </si>
  <si>
    <t>Samsung Type-C to Type-C 1.8m Cable (5A), Black</t>
  </si>
  <si>
    <t>DJI RC-N3 Remote Controller</t>
  </si>
  <si>
    <t>Midland® T10 X-TALKER Two-Way Radios - 22 Channels - Long Range Walkie-Talkies, 38 Privacy Codes - Best Family Camping Radio - 2 Pack</t>
  </si>
  <si>
    <t>VIVO TV Hanger Bracket for 24 to 55 inch Flat and Curved Screens, Light Weight Steel Design, Height Adjustable Cross Bar, Loft Bed, Thin Door TV Mount, Max VESA 400x400, Black, MOUNT-TV01LB</t>
  </si>
  <si>
    <t>Insta360 Mic Air (1 TX + 1 RX), Noise Cancelling, 300m Range, Wireless Microphone for USB-C iPhone/Android/PC/Mac, Vlog, Streaming</t>
  </si>
  <si>
    <t>Belkin Power Strip Surge Protector - 10 AC Outlets, 15ft Heavy Duty Metal Extension Cord with Wall Mount Holes for Home, Office, Travel, Computer Desktop, Laptop &amp; Phone Charging Brick</t>
  </si>
  <si>
    <t>GE Personal Security Window and Door Alarm, 2 Pack, DIY Protection, Burglar Alert, Wireless Chime/Alarm, Easy Installation, Home Security, Ideal for Home, Garage, Apartment and More, White, 45115</t>
  </si>
  <si>
    <t>Amazon Basics 6-Outlet Surge Protector Wall Mount Extender, 1080 Joules, Rotating Design- White</t>
  </si>
  <si>
    <t>HP Professional Business Paper, Glossy, 8.5x11 in, 52 lb, 150 sheets, works with laser printers (4WN10A),White</t>
  </si>
  <si>
    <t>BAGSMART 15-16 inch Laptop Case with Strap, Fluffy Padded Laptop Bag with Handle, Macbook Case Compatible with Macbook Air/Pro 15.6 inch, Laptop Briefcase Fitted with Dell, HP, Lenovo</t>
  </si>
  <si>
    <t>Acer 3 in 1 Charging Station for Apple - Qi2 15W iPhone Wireless Charging Station, Magsafe Charger Stand for iPhone 16 15 14 13 12 - Apple Watch - Airpods Series (Charger &amp; USB-C Included)</t>
  </si>
  <si>
    <t>ESR for iPad Air 13 Inch Case (2025/2024) M3/M2, Removable Magnetic Cover, Adjustable Portrait/Landscape Stand with Raised Screen View, 9 Standing Angles, Shift Series, Black</t>
  </si>
  <si>
    <t>Xyron 9" x 60' Two Sided Laminate Refill for ezLaminator (145612)</t>
  </si>
  <si>
    <t>Lenovo 530 Wireless Mouse – Full Size Computer Mouse for PC, Laptop, Windows Computer - 2.4 GHz Nano USB Receiver - Ambidextrous Design - 12 Months Battery Life – Cordless</t>
  </si>
  <si>
    <t>ASURION 4 Year Housewares Protection Plan ($50 - $59.99)</t>
  </si>
  <si>
    <t>UGREEN Nexode 65W GaN USB C Retractable Charger with Built-in Cable, 2-Port Fast Charging Wall Adapter for iPhone 16/15/14, Galaxy S25/S24, Pixel 9/8/7, MacBook Pro/Air, iPad, AirPods</t>
  </si>
  <si>
    <t>VIVO Anti-Rust Quick Release Plastic Polymer RV TV Mount for Screens up to 43 inches and 30 lbs, VESA 100x100mm, Low Profile Wall Bracket for Camping, Truck, Movie Night, Black, Mount-VWRV1</t>
  </si>
  <si>
    <t>UGREEN USB C Hub 10Gbps, 4 Ports USB 3.2 Data Only Adapter, High Speed Multiport Splitter for MacBook Air/Pro, iMac, iPad Pro, iPhone 15/15 Pro, Galaxy S23, and More</t>
  </si>
  <si>
    <t>OtterBox iPhone 16 Pro Premium Glass Screen Protector</t>
  </si>
  <si>
    <t>ASURION 3 Year Desktop Protection Plan ($400 - $449.99)</t>
  </si>
  <si>
    <t>Arlo Pro SmartHub Certified Accessory - Connects Cameras to Wi-Fi, Works Ultra 2, Ultra, Pro 5S 2K, Pro 4, Pro 3, Pro 2, Essential VMB4540 (Renewed)</t>
  </si>
  <si>
    <t>Logitech POP Mouse, Wireless Mouse with Customizable Emojis, SilentTouch Technology, Precision/Speed Scroll, Compact Design, Bluetooth, Multi-Device, OS Compatible - Daydream Mint</t>
  </si>
  <si>
    <t>Mighty Max Battery Mighty Max Battery ML22-12 - 12 Volt 22 AH, Nut and Bolt (NB) Terminal, Rechargeable SLA AGM Battery</t>
  </si>
  <si>
    <t>UGREEN Revodok Pro USB C Hub for Laptop 8 in 1 MacBook Docking Station 4K 60Hz HDMI, 100W PD Charging, USB-C &amp; USB-A 10Gbps Data Ports, SD/TF Card Reader for MacBook Pro/Air, iPad Pro, XPS, Thinkpad</t>
  </si>
  <si>
    <t>Anker Charger, 40W 4-Port USB Phone Charger with Foldable Plug, PowerPort 4 for iPhone 14/Pro/Pro Max/13/12, iPad Pro/Air/Mini, Galaxy S23/S22/S21, Note 20 Ultra, LG, Nexus, HTC, and More</t>
  </si>
  <si>
    <t>Belkin 6-Outlet Wall Surge Protector w/ 2 USB-A Ports, Wall-Mountable Surge Protector for Home, Office, Travel, Computer Desktop, Laptop, Phone Charger, &amp; More - 900 Joules of Protection</t>
  </si>
  <si>
    <t>KODAK SDXC Card 128GB UHS-I U1 V10 Premium, up to 85MB/s Read Speed, for Full HD Video and High-Resolution Pictures, Compatible with SDXC Standard - EKMSD128GXC10K</t>
  </si>
  <si>
    <t>Apple iPhone 13 Silicone Case with MagSafe – Abyss Blue</t>
  </si>
  <si>
    <t>PopSockets Phone Grip for MagSafe with Kickstand, Magnetic Stand, Swappable Top, Secure Hold for iPhone MagSafe Cases, Phone &amp; Tablet Grip - Black</t>
  </si>
  <si>
    <t>MINISO X15 PRO Translation Earbuds Open Ear Headphone Bluetooth 5.4 OWS AI Headphones Support 148 Languages Wireless Ear Buds with Earhooks IPX5 Waterproof Bluetooth Black（with AI）</t>
  </si>
  <si>
    <t>Ilford HP5 Plus Black and White Printing Film 35mm ISO 400 36 Poses 2-Pack</t>
  </si>
  <si>
    <t>UGREEN HDMI Switch 3 in 1 Out 4K@60Hz, HDMI Splitter with Remote Supports HDR10+ CEC HDCP2.2 Compatible with Nintendo Switch PS5/4/3 Xbox Roku TV Fire Stick Blu-Ray Player</t>
  </si>
  <si>
    <t>Razer Kiyo Streaming Webcam: 1080p 30 FPS / 720p 60 FPS - Ring Light w/Adjustable Brightness - Built-in Microphone - Advanced Autofocus</t>
  </si>
  <si>
    <t>Logitech for Creators Blue Snowball iCE USB Microphone - White</t>
  </si>
  <si>
    <t>ASURION 2 Year Jewelry Protection Plan ($60 - $69.99)</t>
  </si>
  <si>
    <t>Insta360 X4 Premium Lens Guards</t>
  </si>
  <si>
    <t>EPSON 302 Claria Premium Ink Standard Capacity Color Combo Pack (T302520-S) Works with Expression Premium XP-6000, XP-6100</t>
  </si>
  <si>
    <t>iOttie iTap 3 Magnetic Dash &amp; Windshield Mount Car Phone Holder with Magnetic Ring Adapter. Compatible with Qi2, MagSafe, iPhone, and Android Smartphones.</t>
  </si>
  <si>
    <t>Lenovo E310 True Wireless Stereo Earbuds Bluetooth 5.3 ENC Noise-Cancelling Earbuds with 13mm Speaker Type-C Charging 20h Battery Life for Music Calls Comfortable Fit Wireless Earbuds - Black</t>
  </si>
  <si>
    <t>VIVO Universal Adjustable Ceiling Projector Mount for Regular and Mini Projectors with Extending Arms, White, MOUNT-VP01W</t>
  </si>
  <si>
    <t>KICKER 46KISLOC K-Series Interconnect, Speaker to RCA W/Line-Out Converter</t>
  </si>
  <si>
    <t>Sony DVPSR210P DVD Player</t>
  </si>
  <si>
    <t>Amazon Basics Swivel Pedestal Table Top TV Mount for 32" to 65" TVs up to 55 lbs, Height Adjustable 14-19 Inches, Max VESA 400x400, Black</t>
  </si>
  <si>
    <t>Dell 45W Replacement AC Adapter for Dell</t>
  </si>
  <si>
    <t>Koss Porta Pro Classic On-Ear Headphones, Retro Style, 3.5mm Wired Plug, Durable, Black/Silver</t>
  </si>
  <si>
    <t>myQ Smart Garage® Video Keypad Rechargeable Battery , 5.12 ounces</t>
  </si>
  <si>
    <t>Amazon Basics Universal Portable Smartphone Holder for Car, Easy to Install Air Vent Mount, Adjustable and Secure, Grey</t>
  </si>
  <si>
    <t>GE 6-Outlet Surge Protector, 20 Ft Extension Cord, Power Strip, 800 Joules, Flat Plug, Twist-to-Close Safety Covers, Protected Indicator Light, UL Listed, Black, 50769</t>
  </si>
  <si>
    <t>ecobee Smart Video Doorbell Camera (Wired) - with Industry Leading HD Camera, Smart Security, Night Vision, Person and Package Sensors, 2-Way Talk, and Video &amp; Snapshot Recording</t>
  </si>
  <si>
    <t>HP Premium Plus Photo Paper, Satin, 8.5x11 in, 50 sheets (CR667A)</t>
  </si>
  <si>
    <t>Brother LC103 Ink Cartridge ( Cyan,Magenta,Yellow , ) by Brother</t>
  </si>
  <si>
    <t>SteelSeries Rival 5 Gaming Mouse with PrismSync RGB Lighting and 9 Programmable Buttons – FPS, MOBA, MMO, Battle Royale – 18,000 CPI TrueMove Air Optical Sensor - Black</t>
  </si>
  <si>
    <t>Canon LC-E17 Battery Charger for LP-E17 Lithium-Ion Battery to use with Canon Cameras including EOS 77D, M3, R50, R100, M5, R8, M6 Mark II, R10, RP, Rebel T8i, T7i, T6s, T6i, SL3, SL2 (Bulk Packaging)</t>
  </si>
  <si>
    <t>GE Modern Loop Rabbit Ears Indoor TV Antenna, 15 inch Extendable Dipoles, 4K 1080P VHF UHF, Tabletop Antenna, Digital HDTV Antenna, Smart TV Compatible, 4ft Coaxial Cable, Black, 33675</t>
  </si>
  <si>
    <t>Fujifilm Instax Mini Film - Twin Packs (40 EXP Total), ISO 800, Compatible with Instax Mini Evo, 12, 11, 9 Models</t>
  </si>
  <si>
    <t>Crucial 8GB, 260-pin SODIMM, DDR4 PC4-19200,</t>
  </si>
  <si>
    <t>Skullcandy Dime 2 Wireless Earbuds, Bluetooth Headphones, Noise Isolating Fit, Up to 12 Hours Battery, Microphone for iPhone Android, Easy Carry with Integrated Lanyard - True Black</t>
  </si>
  <si>
    <t>FiiO KA11 USB C to 3.5mm Audio Adapter 32bit/384KHz, USB Type C Dongle HiFi DAC Amplifier for Android/iOS/Windows/Mac (Black, TC)</t>
  </si>
  <si>
    <t>Google Audio Bluetooth Speaker - Wireless Music Streaming, Powerful Sound, Assistant Built-in, Wi-Fi and Bluetooth Connectivity, Smart Home Control, Stereo Pairing (Charcoal)</t>
  </si>
  <si>
    <t>ESR for MagSafe Wallet with Find My Functionality, 5 Cards Holder, RFID-Blocking, Strong Magnetic Wallet for iPhone, for iPhone 16/15/14/13/12 Series, Not for 13/12 Mini, Black</t>
  </si>
  <si>
    <t>Apple 9.7in iPad (Early 2018, 32GB, Wi-Fi Only, Silver) MR7G2LL/A (Renewed)</t>
  </si>
  <si>
    <t>VIVO Under Desk 17 inch Cable Management Tray, Power Strip Holder, Cord Organizer, Wire Tamer for Office and Home, Black, DESK-AC06-1C</t>
  </si>
  <si>
    <t>ASUS ZenDrive V1M External DVD Drive and Writer with Built-in Cable-Storage Design, USB-C Interface, Compatible with Win 11 and macOS, M-DISC Support (SDRW-08V1M-U)</t>
  </si>
  <si>
    <t>TORRAS Diamond Shield for iPhone 15 Pro Screen Protector [Military-Grade Protection] 9H+ Unbreakable Shatterproof Aerospace Tempered Glass Full Coverage InstaFit Bubble-Free, 2-Pack</t>
  </si>
  <si>
    <t>Fitbit Inspire 3 Fitness Tracker – Advanced Health Insights with Stress Management, Workout Intensity &amp; Sleep Tracking, 24/7 Heart Rate, Includes Small and Large Classic Bands (Lilac Bliss/Black)</t>
  </si>
  <si>
    <t>HyperX Cloud Stinger 2 Core – PC Gaming Headset, Lightweight Over-Ear Headset with mic, Swivel-to-Mute mic Function, DTS Headphone:X Spatial Audio, 40mm Drivers,Black</t>
  </si>
  <si>
    <t>Nite Ize Steelie Orbiter Dash Kit - Magnetic Dashboard Phone Mount - Easy-to-Use &amp; Durable Cell Phone Car Holder</t>
  </si>
  <si>
    <t>ESR 2 Pack Armorite Screen Protector for iPad A16 11th/10th Generation (11 Inch/10.9, 2025/2022), 9H Hardness Tempered Glass Film with UltraFit Tray, Military Grade, HD Clarity, Dust &amp; Bubble Free</t>
  </si>
  <si>
    <t>MSI GF63 Thin Gaming Laptop, 15.6" FHD 144Hz, Intel i5-11400H, RTX 3050, 16GB RAM, 512GB NVMe SSD, Windows 11, Aluminum Black</t>
  </si>
  <si>
    <t>Kingston Ironkey Locker+ 50 32GB Encrypted USB Flash Drive | USB 3.2 Gen 1 | XTS-AES Protection | Multi-Password Security Options | Automatic Cloud Backup | Metal Casing | IKLP50/32GB,Silver</t>
  </si>
  <si>
    <t>ASURION 2 Year Tablet Accident Protection Plan ($700 - $799.99)</t>
  </si>
  <si>
    <t>Belkin Convertible Magnetic Charging Stand 15W - MagSafe-Compatible Fast Qi2 Charger for Apple iPhone 15, 14, 16, 16 Plus, 16 Pro, 16 Pro Max, Airpods Pro, &amp; More - Black</t>
  </si>
  <si>
    <t>Shure by Gator Round Base Desktop Mic Stand with Standard Height-Adjustable Twist Clutch and 6" Base; (SH-DESKTOP1)</t>
  </si>
  <si>
    <t>iOttie Velox MagSafe Compatible Air Vent Car Phone Holder. Unversal Magnetic Car Phone Mount for iPhone 12/13/14/15/16 Series &amp; Android Phones via Included Magnetic Ring Adapter</t>
  </si>
  <si>
    <t>UGREEN USB Switch Selector 2 Computers Sharing 4 USB Devices USB 2.0 Peripheral Switcher Box Hub for Mouse Keyboard Scanner Printer PCs with One-Button Swapping and 2 Pack USB A to A Cable</t>
  </si>
  <si>
    <t>Peak Design Cuff Camera Wrist Strap</t>
  </si>
  <si>
    <t>Razer BlackShark V3 Wireless Gaming Headset for Xbox: 50mm Drivers - Super Wideband Mic - 2.4 GHz, Bluetooth, USB - Works with PC, Mac, PS5, Nintendo Switch, Smartphone - Long Battery Life - Black</t>
  </si>
  <si>
    <t>ASURION 4 Year Home Improvement Protection Plan ($400 - $449.99)</t>
  </si>
  <si>
    <t>Sabrent 60 Watt (12 Amp) 10-Port [UL Certified] Family-Sized Desktop USB Rapid Charger. Smart USB Ports with Auto Detect Technology [Black] (AX-TPCS)</t>
  </si>
  <si>
    <t>Duracell Coppertop Alkaline Batteries AA - 48 pk</t>
  </si>
  <si>
    <t>ESR Magnetic Wallet, Compatible with MagSafe Wallet with Adjustable Stand, for iPhone 15/14/13/12 Series, Not for iPhone 13/12 mini, 5 Card Holder, Vegan Leather, Black</t>
  </si>
  <si>
    <t>LISEN for 15W Qi2 MagSafe Car Mount Charger,【Rapid Cooling Drop 17 ℉ in Minutes】, iPhone 16 Charger Fast Charging for iPhone 16 Pro Max Accessories, Includes Vent/Dashboard Holder &amp; Car Charger</t>
  </si>
  <si>
    <t>ASUS TUF Gaming ARGB PWM Fan Hub (Connects six case Fans, PWM Fan and RGB Connector, Clear Power and Operation Indicators, Stable Dual SATA Power Support)</t>
  </si>
  <si>
    <t>Godox V1 V1Pro S U Flash for Sony Camera TTL Speedlight, 1/8000 HSS 500 Full Power Flashes, 1.3s Recycle Time, 2.4G Wireless with External Flash SU-1 for Sony Cameras (Godox V1PRO-S USA Version)</t>
  </si>
  <si>
    <t>Wacom Cintiq Pro 17 Drawing Tablet with Screen, 17.3" Ultra HD 4K. 10-bit 120Hz Touchscreen Display Graphic Arts Tablet with Pro Pen 3, for Windows PC, Mac, Linux</t>
  </si>
  <si>
    <t>Belkin Apple AirTag Secure Holder with Key Ring - Durable Scratch Resistant Case With Open Face &amp; Raised Edges - Protective AirTag Keychain Accessory For Keys, Pets, Luggage, Backpacks -2 Count Black</t>
  </si>
  <si>
    <t>Canon PG-240 XXL Genuine Black Ink Cartridge, Compatible with MG2120/3120/4120, MX512/432/472/372/392/522/532/452, MG2220/3220/4220/3520/3620, TS5120</t>
  </si>
  <si>
    <t>VTech VG232 Cordless Phone with Answering Machine - with Large Display Full-Duplex Speakerphone Caller ID/Call Waiting Last 10 Number Redial</t>
  </si>
  <si>
    <t>Plantronics Blackwire 3215 USB-A Headset, On-Ear Mono Headset, Wired</t>
  </si>
  <si>
    <t>Tripp Lite 7 Outlet Surge Protector Power Strip, 7ft Cord, Right Angle Plug, 2160 Joules, &amp; $75,000 INSURANCE (SUPER7) Ivory</t>
  </si>
  <si>
    <t>Endust for Electronics; CD/DVD/Blu-Ray Lens Cleaner; (262000)</t>
  </si>
  <si>
    <t>Canon CLI-271 Genuine BK/CMY 4 Color Value Pack, Compatible with MG6820, MG6821, MG6822, MG5720, MG5721, MG5722, MG7720, TS5020, TS6020, TS8020, and TS9020 (Optional) Printers</t>
  </si>
  <si>
    <t>Apple iPhone 15 Plus Silicone Case with MagSafe - Black</t>
  </si>
  <si>
    <t>Lutron Claro 2 Gang Decorator/Rocker Wallplate, For Light Dimmers, Switches and Accessories, Snap-On Installation, No Visible Screws, Satin, SC-2-SW, Snow</t>
  </si>
  <si>
    <t>WAVLINK AX1800 Outdoor WiFi Extender Long Range, Weatherproof WiFi Signal Booster Outdoor with POE, Dual Band 2.4/5GHz, Support AP/Repeater/Router Mode for Farm</t>
  </si>
  <si>
    <t>StarTech.com 30 ft. HDMI to DVI-D Cable - M/M - Bi-directional HDMI-DVI-D Cable (HDMIDVIMM30)</t>
  </si>
  <si>
    <t>SABRE 110dB Door Handle Alarm, Extremely Loud Wireless Alarm Audible Up To 680 Ft Away, Hangs Off Door Knob or Handle, Vibration-Triggered Home Security Alarm, 3 Adjustable Settings, Great for Travel</t>
  </si>
  <si>
    <t>PNY CS2230 1TB M.2 NVMe Internal Solid State Drive (SSD) - M280CS2230-1TB-RB</t>
  </si>
  <si>
    <t>Amazon Basics Aluminum USB-C to DisplayPort Cable - 3-foot</t>
  </si>
  <si>
    <t>Kensington MP14 Magnetic MacBook Pro Privacy Screen for 14 inch MacBook Pro (2021-2024, M1, M2, M3, M4, Pro, Max), Removable Laptop Privacy Screen, Anti Glare Blue Light MacBook Mac Screen Protector</t>
  </si>
  <si>
    <t>Logitech Pebble Keys 2 K380s, Multi-Device Bluetooth Wireless Keyboard with Customizable Shortcuts, Slim and Portable, Easy-Switch for Windows, macOS, iPadOS, Android, Chrome OS - Tonal Rose</t>
  </si>
  <si>
    <t>JLab Flex Open Earbuds, Clip-on Cuff Design, Wireless Open-Ear Audio Freedom Effortless Fit, Safe Listening, Bluetooth Multipoint, Customize with The App, Black</t>
  </si>
  <si>
    <t>LISEN for Magsafe Car Mount Charger, Fast Charging 15W Air Vent Magnetic Wireless Car Charger for iPhone 16 Pro Max, Vent Phone Mount for Car Wireless Charger Fits iPhone 15 14 13 12, Black</t>
  </si>
  <si>
    <t>UGREEN HDMI 2.1 Switch 2 in 1 Out 8K@60Hz Ultra HD Supports 4K@240Hz 4K@120Hz VRR HDR10+ Dolby Atmos 48Gbps HDMI Switcher Compatible with Switch/Switch 2 PS5 Xbox Roku Firestick Apple TV</t>
  </si>
  <si>
    <t>Cobra VHF Marine Radio - MR HH150 FLT - 3 Watt, Floating, Long Range, Handheld, NOAA, International, Waterproof, Submersible, Weather Alerts, LCD Screen, Belt Clip</t>
  </si>
  <si>
    <t>ESR for Magsafe Wallet with Full Find My Functionality, Magnetic Geo iPhone Wallet, Up to 3,000g Magnet Strength, Card-Holder with Adjustable Stand, for iPhone 16/15/14/13/12 Series, Black</t>
  </si>
  <si>
    <t>Logitech G POWERPLAY 2 Wireless Charging Mouse Pad for Compatible Gaming Mice, 34.5 X 28.4 cm (13.5 x 11.2 inches), 3.5 mm Height, for PC/Mac - Black</t>
  </si>
  <si>
    <t>CORSAIR VENGEANCE RGB PRO DDR4 RAM 16GB (2x8GB) 3200MHz CL16-18-18-36 1.35V Intel AMD Desktop Computer Memory - Black (CMW16GX4M2C3200C16)</t>
  </si>
  <si>
    <t>Amazon Basics Wireless Keyboard and Mouse Combo, Full-Sized, QWERTY Layout, 2.4 GHz USB Plug &amp; Play Receiver, Sleek Design, Black</t>
  </si>
  <si>
    <t>ASURION 3 Year Portable Electronic Accident Protection Plan ($100 - $124.99)</t>
  </si>
  <si>
    <t>Creative Pebble V3 Minimalistic 2.0 USB-C Desktop Speakers with USB Audio, Clear Dialog Enhancement, Bluetooth 5.0, 8W RMS with 16W Peak Power, USB-A Converter Included (White)</t>
  </si>
  <si>
    <t>Belkin SoundForm Surround Bluetooth Over-Ear Headphones - Environmental Noise Cancelling Headphones - Wireless w/ 60H Playtime &amp; Soft Ear Cups for iPhone, Galaxy, iPad, Travel, Home, or Office - Black</t>
  </si>
  <si>
    <t>SAMSUNG Galaxy Tab S9 FE S Pen, Precise Writing and Navigation, IP68 Certified Water Resistant, Attaches to Tablet Magnetic Holder, Air Command, US Version, Black</t>
  </si>
  <si>
    <t>SAMSUNG Official Galaxy Watch Fast Wireless Charger (USB-C) - Black (EP-OR900BBEGWW)</t>
  </si>
  <si>
    <t>8Bitdo Ultimate C Wired Controller for Xbox with Hall Effect Joysticks and Triggers, RGB Lighting Fire Ring, Compatible with Xbox Series X|S, Xbox One, Windows 10/11 - Officially Licensed (Dark Gray)</t>
  </si>
  <si>
    <t>Pyle Marine Speakers - 5.25 Inch 2 Way Waterproof and Weather Resistant Outdoor Audio Stereo Sound System with LED Lights, 180 Watt Power and Low Profile Slim Style - 1 Pair - PLMRS53BL (Black)</t>
  </si>
  <si>
    <t>HP 712 Yellow 29-ml Genuine Ink Cartridge (3ED69A) for DesignJet T650, T630, T230, T210 &amp; Studio Plotter Printers</t>
  </si>
  <si>
    <t>Targus CityLite Laptop Briefcase Shoulder Messenger Bag for 15.6-Inch Laptop, Black (TBT053US)</t>
  </si>
  <si>
    <t>Belkin BoostCharge 42-Watt Dual Port Fast Car Charger w/30W USB-C &amp; 12W USB-A Ports, USB-C to C Cable Included for iPhone 16, 16 Pro, Galaxy S25, S24, Pixel 9 &amp; 8, Nintendo Switch 2 &amp; More - Black</t>
  </si>
  <si>
    <t>BAGSMART 17.3 Inch Laptop Bag, Expandable Computer Bag Laptop Briefcase Men Women,Laptop Shoulder Bag,Work Bag Business Travel Office, Black</t>
  </si>
  <si>
    <t>ESR for iPad Pro 11 Inch Case (2022/2021/2020/2018, 4th/3rd/2nd/1st Generation), Removable Magnetic Cover, Adjustable Portrait/Landscape Stand with Raised Display View, 9 Standing Angles, Black</t>
  </si>
  <si>
    <t>MSI Gaming RTX 5070 12G Ventus 2X OC White Graphics Card (12GB GDDR7, 192-bit, Extreme Performance: 2557 MHz, DisplayPort x3 2.1a, HDMI 2.1b, NVIDIA Blackwell Architecture)</t>
  </si>
  <si>
    <t>Manfrotto MTPIXIMII-B, PIXI Mini Tripod with Handgrip for Compact System Cameras, for DSLR, Mirrorless, Video, Made in Italy, Technopolymer and Aluminum, Black</t>
  </si>
  <si>
    <t>UGREEN FineTrack Slim Smart Finder Compatible with Apple Find My (iOS Only), 1.7mm Ultra-Slim Wallet Finder, IP68 Waterproof Rechargeable Bluetooth Tracker Card for Wallet, Key, Luggage Tags</t>
  </si>
  <si>
    <t>Insta360 CINSAAVB Mini 2-in-1 Selfie Stick Tripod</t>
  </si>
  <si>
    <t>Cync GE A19 Smart LED Light Bulbs, Color Changing Room Décor, Works with Alexa and Google Home, Matter Compatible, LED Lights for Bedroom, Millions of Colors and White Tones (4 Pack)</t>
  </si>
  <si>
    <t>Beats Solo Buds - Wireless Bluetooth Earbuds | 18 Hours of Battery Life | Apple &amp; Android Compatibility | Built-in Microphone - Matte Black (Renewed)</t>
  </si>
  <si>
    <t>HP 60 Tri-color Ink Cartridge For Printers | Works with DeskJet D1660, D2500, D2600, D5560, F2400, F4200, F4400, F4580; ENVY 100; OfficeJet J4500, J4680, 4500; PhotoSmart C4600, C4700, D110a | CC643WN</t>
  </si>
  <si>
    <t>Lexar High-Performance 633x 512GB microSDXC UHS-I Card w/ SD Adapter, C10, U3, V30, A2, Full-HD &amp; 4K Video, Up To 100MB/s Read, for Smartphones, Tablets, and Action Cameras (LSDMI512BBNL633A)</t>
  </si>
  <si>
    <t>Logitech M330 SILENT Wireless Mouse, 2.4GHz with USB Receiver, Optical Tracking, Quiet &amp; Lightweight, Long Battery Life, for PC, Mac, Laptop, Chromebook - Grey</t>
  </si>
  <si>
    <t>Amazon Basics Bluetooth Headphones Wireless with Microphone, On Ear, 35 Hour Playtime, Foldable, One Size, Collapsible Travel Friendly, Black</t>
  </si>
  <si>
    <t>AmScope UHM210 Series 1080p 2.0MP HDMI Digital Microscope on 11" Articulating Arm</t>
  </si>
  <si>
    <t>AmScope - 4K 30fps 8MP HDMI, LAN, Wi-Fi Color BSI CMOS C-Mount Microscope Camera for Stand-Alone and PC Imaging - HD428N</t>
  </si>
  <si>
    <t>HP 74 (CB335WN) Black Original Ink Cartridge</t>
  </si>
  <si>
    <t>Lisen 3 in 1 Nightstand with Charging Station for Multiple Devices Apple Magsafe Charger,15W Travel Charger for iPhone and Apple Watch,Magnetic Wireless Charger for iphone 16 15 Pro Max iWacth AirPods</t>
  </si>
  <si>
    <t>Creative Pebble Plus 2.1 USB-Powered Desktop Speakers with Powerful Down-Firing Subwoofer and Far-Field Drivers, Up to 8W RMS Total Power for Computer PCs and Laptops (Black)</t>
  </si>
  <si>
    <t>Razer BlackShark V3 X HyperSpeed Wireless Gaming Headset for Xbox: 50mm Drivers - Cardioid Mic - 2.4 GHz, Bluetooth, USB - Works with PC, Mac, PS5, Nintendo Switch - Long Battery Life - Black</t>
  </si>
  <si>
    <t>Bluetooth Multi-Device Keyboard K480 - Switch typing between your computer, phone, and tablet</t>
  </si>
  <si>
    <t>Intel AX210 Tri-Band Wi-Fi 6E Bluetooth 5.3 Network Card for Notebook</t>
  </si>
  <si>
    <t>SilverStone Technology RM44 4U Rackmount Server Chassis with Enhanced Liquid Cooling Capability (up to 360mm Radiator), SST-RM44</t>
  </si>
  <si>
    <t>ASURION 3 Year Wearables Protection Plan ($40 - $49.99)</t>
  </si>
  <si>
    <t>ASURION 2 Year Major Appliance Protection Plan ($350 - $399.99)</t>
  </si>
  <si>
    <t>Insta360 Mini Remote</t>
  </si>
  <si>
    <t>acer Wireless Mouse, 1200 DPI Computer Mouse for Laptop with 2.4GHz USB A Receiver, 5 Buttons Compatible for Windows, macOS, Android (Black)</t>
  </si>
  <si>
    <t>AmScope SM-4TZ-144A Professional Trinocular Stereo Zoom Microscope, WH10x Eyepieces, 3.5X-90X Magnification, 0.7X-4.5X Zoom Objective, Four-Zone LED Ring Light, Double-Arm Boom Stand, 110V-240V, Includes 0.5X and 2.0X Barlow Lens</t>
  </si>
  <si>
    <t>Insta360 X5 Utility Fast Charge Case</t>
  </si>
  <si>
    <t>PNY 16GB Attaché 3 USB 2.0 Flash Drive, Black 10 Count (Pack of 1)</t>
  </si>
  <si>
    <t>ESR for iPad mini 7 A17 Pro Case, iPad mini 7th/6th Generation Case with Stand(2024/2021), 3 Stand Modes, Slim and Light, Drop Safe, Supports Pencil Pro &amp; Pencil (USB-C), Boost Kickstand Cover, Clear</t>
  </si>
  <si>
    <t>Kingston DataTraveler Max Type-A 256GB High Performance USB Flash Drive USB 3.2 Gen 2 Up to 1000 MB/s Sliding Cap Design DTMAXA/256GB</t>
  </si>
  <si>
    <t>ASURION 2 Year Appliance Protection Plan ($60 - $69.99)</t>
  </si>
  <si>
    <t>HP Sprocket Studio 4x6 Photo Paper &amp; Cartridges (80 Sheets - 2 Cartridges) Compatible ONLY with HP Studio Printer.</t>
  </si>
  <si>
    <t>Case-Mate Magnetic Phone Grip</t>
  </si>
  <si>
    <t>Nikon NIKKOR Z 100-400mm VR S | Premium versatile telephoto zoom lens with image stabilization for Z series mirrorless cameras (compatible with teleconverters) | Nikon USA Model</t>
  </si>
  <si>
    <t>JLab JBuds Frames Wireless Open-Ear Audio for Your Glasses | 8-hour Bluetooth Playtime</t>
  </si>
  <si>
    <t>ASURION 3 Year Kitchen Protection Plan ($1000 - $1249.99)</t>
  </si>
  <si>
    <t>Godox AK-R11 Diffuser Dome for Godox V1 V1pro V100 Round Head Flash for Godox AD100Pro / H200R</t>
  </si>
  <si>
    <t>VIVO Adjustable Under Desk and Wall 3.5 to 7.8 inch Wide Office PC Mount, Computer Case CPU Machine Holder Stand with Swivel and Secure Locking, Holds 22 lbs, Black, MOUNT-PC01</t>
  </si>
  <si>
    <t>Cooler Master Elite 301 Micro-ATX High Airflow Minimalist PC Case, 365mm GPU Max, Compatible RTX 5080|RX 7090 XT, 280mm AIO Max, Type C, Tempered Glass, Triple 120mm aRGB PWM Fan, Intakes Grill</t>
  </si>
  <si>
    <t>OtterBox Samsung Galaxy S25 Ultra Premium Glass</t>
  </si>
  <si>
    <t>Belkin 45W Dual USB C Charger Block, Super Fast Charging PD3.0 w/ GaN Technology - Samsung Galaxy S25, Apple iPhone 16, 15, 14, 13, Pro, Pro Max, iPad, MacBook, Nintendo Switch 2 &amp; More - White</t>
  </si>
  <si>
    <t>EPSON 288 DURABrite Ultra Ink Standard Capacity Color Combo Pack (T288520-S) Works with Expression XP-330, XP-430, XP-434, XP-340, XP-440, XP-446</t>
  </si>
  <si>
    <t>EPSON 252 DURABrite Ultra Ink High Capacity Cyan Cartridge (T252XL220-S) Works with WorkForce WF-3620, WF-3640, WF-7110, WF-7610, WF-7620, WF-7710, WF-7720, WF-7210</t>
  </si>
  <si>
    <t>EPSON 200 DURABrite Ultra Ink Standard Capacity Color Combo Pack (T200520-S) Works with WorkForce WF-2520, WF-2530, WF-2540, Expression XP-200, XP-300, XP-310, XP-400, XP-410</t>
  </si>
  <si>
    <t>Anker USB-C Hub, USBC to 4-Port USBC Adapter, Multiport USB C Splitter, USB 3.2 Display Hub with 100W Max PD &amp; Max 10Gbps Fast Data Transfer for MacBook Pro, iPad, Surface Pro, Dell and More</t>
  </si>
  <si>
    <t>Insta360 All-Purpose Tripod Stand 1/4'' Mounting Screw X3 ONE RS, ONE X2</t>
  </si>
  <si>
    <t>Samsung Remote Control Replacement for BN59-01388A (Renewed)</t>
  </si>
  <si>
    <t>Casio HR-170RC Printing Calculator – 12-Digit Display | 2-Color Print, Reprint &amp; Correction | Ideal for Bookkeeping, Accounting &amp; Tax Work</t>
  </si>
  <si>
    <t>SanDisk 256GB Phone Drive for Android - The 2-in-1 USB for Smartphones, Tablets, and Computers - Thumb Drive with USB Type-C and Type-A Connectors - SDDDC6-256G-G46</t>
  </si>
  <si>
    <t>Scosche ICGM10BN Complete Double/Single DIN Stereo Installation Kit for Select Non-Amplified 2006-17 General Motors Vehicles - No Steering Wheel Remote - See Fit Guide in Images to Verify Your Vehicle</t>
  </si>
  <si>
    <t>SimpliSafe KeyFob - Arm and Disarm Remotely - Built-in Panic Button - Compatible with SimpliSafe Home Security System - Latest Gen</t>
  </si>
  <si>
    <t>SanDisk 32GB 3-Pack Ultra Fit USB 3.1 Flash Drive (3x32GB) - SDCZ430-032G-G46T, Black</t>
  </si>
  <si>
    <t>Avery Customizable Name Badges, Pin Style, 2.25" x 3.5", Clear Name Tag Holders, White Laser/Inkjet Printable Inserts, 100 Total (74549)</t>
  </si>
  <si>
    <t>Amazon Basics 1 RCA Audio Cable for Subwoofer, Amplifiers, Active Speakers with Gold-Plated Plugs, Black, 35 feet</t>
  </si>
  <si>
    <t>Avery Printable Postcards with Sure Feed Technology, 4" x 6", White, 100 Blank Postcards for Laser Printers (5389)</t>
  </si>
  <si>
    <t>HP X3000 G2 Wireless Mouse - Ambidextrous 3-Button Control, &amp; Scroll Wheel Multi-Surface Technology, 1600 DPI Optical Sensor Win, Chrome, Mac OS Up to 15-Month Battery Life (‎28Y30AA#ABA, Black)</t>
  </si>
  <si>
    <t>Belkin USB-C to Ethernet Adapter, Gigabit Ethernet Port Compatible w/ USB-C Devices, USB-C to Ethernet Cable for MacBook Pro &amp; Dell XPS 13” Laptops, Ethernet USB-C Hub, Ethernet USB-C Adapter - Black</t>
  </si>
  <si>
    <t>OtterBox iPhone XR Defender Series Case - BLACK, rugged &amp; durable, with port protection, includes holster clip kickstand</t>
  </si>
  <si>
    <t>Energizer Recharge Universal Charger for NiMH Rechargeable AA, AAA, C, D, and 9V Batteries</t>
  </si>
  <si>
    <t>HP Elite 600 G9 Mini PC (Intel 16-Core i7-13700T, 32GB DDR5 RAM, 1TB PCle SSD) MFF Business Desktop Computer, Type-C, IST Keyboard, Mouse, DisplayPort, WiFi 6E, Ethernet, ‎BT, Win 11 Pro, Black</t>
  </si>
  <si>
    <t>PNY 32GB Elite Class 10 U1 V10 SDHC Trail Camera Flash Memory Read Up to 100MB/s, UHS-I, HD Photo, HD Video, for Outdoor Cameras, DSLR Cameras, Tactile Use, Wildlife Enthusiasts, 10-Pack</t>
  </si>
  <si>
    <t>Acer USB C to HDMI Multiport Adapter, 7 in 1 USB-C Hub with HDMI 4K@60Hz, 100W PD, 2 USB-A 3.1 and 1 USB C 3.1 with 5Gbps, SD Card Reader, Type C Dongle for MacBook Pro/air, iPad, iPhone 16/15, Grey</t>
  </si>
  <si>
    <t>Belkin Secure Holder with Wire Cable for Apple AirTag, Black</t>
  </si>
  <si>
    <t>HyperX Wrist Rest – Tenkeyless – Cooling Gel – Memory Foam – Anti-Slip,Black</t>
  </si>
  <si>
    <t>Razer Orochi V2 Mobile Wireless Gaming Mouse: Ultra Lightweight - 2 Wireless Modes - Up to 950hrs Battery Life - Mechanical Mouse Switches - 5G Advanced 18K DPI Optical Sensor - White</t>
  </si>
  <si>
    <t>Woods Heavy Duty Metal Extension Cord Reel Stand, Holds up to 100 Ft 14/3 Cords, Black, 22849</t>
  </si>
  <si>
    <t>HP 650A Cyan Toner Cartridge | Works with HP Color LaserJet Enterprise CP5525 Series | CE271A</t>
  </si>
  <si>
    <t>BAGSMART Compression Travel Backpack, Expandable Carry On Backpack with Packing Cubes, Water Resistant Weekender Backpack Fits 17 Inch laptop, Luggage Daypack with Shoe Bag, Grey</t>
  </si>
  <si>
    <t>SABRENT USB Type C SATA 2.5” &amp; 3.5” Dual Bay Hard Drive Docking Station | Offline Cloning | Up to 5Gbps | Tool Free Installation (EC-CH2B)</t>
  </si>
  <si>
    <t>UGREEN Revodok Pro 9 in 1 USB C Hub Gigabit Ethernet Adapter 4K@60Hz HDMI, 100W PD Charging, USB A Data Ports, SD/TF Card Reader Compatible with Mac M1, M2, M3,M4, Steam Deck</t>
  </si>
  <si>
    <t>Lutron Claro Light Switch Cover Plate, 1 Gang Wallplate, for Decorator Light Switches, Rocker Light Switch Cover, Outlet Cover, Screwless Switch Plate Cover, Satin, SC-1-SW, Snow</t>
  </si>
  <si>
    <t>Pelican Camera Lens Protector w/Aluminum Rings for iPhone 16 Pro Max/iPhone 16 Pro - 9H Tempered Glass - Durable Anti-Scratch, Anti-Shatter, HD View w/Night Shoot, Case Friendly, Easy Install - Black</t>
  </si>
  <si>
    <t>Amazon Basics DisplayPort to HDMI Cable, Uni-Directional, 1080p, 1920x1200, 4K@60Hz, 6 ft, Gold-Plated Plug, Black</t>
  </si>
  <si>
    <t>Corsair Premium 600W PCIe 5.0 12VHPWR PSU Cable RMX, RMX Shift, RMe, HXi, SF and SF-L PSU's only – Requires 2X Type-4 Connectors – 12+4pin Connector – Mesh Paracord Sleeving – Black</t>
  </si>
  <si>
    <t>SanDisk Cruzer Ultra 16GB USB 3.0 Flash Drive SDCZ48-016G-U46 up to 100MB/s (Pack of 5)</t>
  </si>
  <si>
    <t>Amazon Basics 67-Inch Monopod, Black</t>
  </si>
  <si>
    <t>Insta360 Action Invisible Selfie Stick, Compatibility: X4, GO 3S, Ace Pro, Ace, GO 3, X3, ONE RS 1-Inch 360 Edition, ONE RS (4K/Twin), GO 2, ONE X2, ONE R, ONE X</t>
  </si>
  <si>
    <t>ASURION 2 Year Tablet Accident Protection Plan ($300 - $349.99)</t>
  </si>
  <si>
    <t>Post-it Dispenser Pop-up Notes, 3x3 in, 24 Pads, Canary Yellow, Clean Removal, Recyclable</t>
  </si>
  <si>
    <t>Canon PGI-270XL Genuine Pigment Black Ink Tank, Compatible with MG6820, MG6821, MG6822, MG5720, MG5721, MG5722, MG7720, TS5020, TS6020, TS8020, and TS9020 (Optional) Printers</t>
  </si>
  <si>
    <t>Monster Clarity 101Plus AirLinks Wireless Earbuds, Bluetooth 5.3 in-Ear Headphones with Charging Case, Stereo Earphones Deep Bass Sound, 28H Long Playtime, Water Resistant Design for Sports.</t>
  </si>
  <si>
    <t>Neenah Astrobrights Premium Color Card Stock, 65 lb, 8.5 x 11 Inches, 250 Sheets, Cosmic Orange</t>
  </si>
  <si>
    <t>ASURION 3 Year Camera Protection Plan ($1000 - $1249.99)</t>
  </si>
  <si>
    <t>Xiaomi Redmi Watch 5 Active Smartwatch, 2.0" LCD Display, 18 Days of Battery Life, 140+ Sports Modes, 5ATM Waterproof, Bluetooth Calling, Fitness-Tracker- Matte Silver</t>
  </si>
  <si>
    <t>TP-Link Tapo Motion Sensor, Requires Tapo Hub, Long Battery Life w/Sub-1G Low-Power Wireless Protocol, Wide Range Detection, Adjustable Sensitivity, Real-Time Notification, Smart Action, Tapo T100</t>
  </si>
  <si>
    <t>Nikon Z 7II | Ultra-high resolution full-frame mirrorless stills/video camera | Nikon USA Model</t>
  </si>
  <si>
    <t>HP 712 Cyan 29-ml Genuine Ink Cartridge (3ED67A) for DesignJet T650, T630, T230, T210 &amp; Studio Plotter Printers</t>
  </si>
  <si>
    <t>Insta360 Flow 2 Pro/Flow 2 Magnetic Phone Mount</t>
  </si>
  <si>
    <t>Amazon Basics USB 3.2/3.1 Gen 2 Hub Dock, 10Gbps, USB-C to 1xUSB-C / 3xUSB-A Works with Windows/Mac, Silver, Black</t>
  </si>
  <si>
    <t>EPSON 302 Claria Premium Ink High Capacity (T302XL020-S) Works with Expression Premium XP-6000, XP-6100</t>
  </si>
  <si>
    <t>KIWI design Link Cable with Charging 16FT Compatible with Meta Quest 3S/3/2/Pro/Pico 4 Accessories and PC/SteamVR, USB 3.0 to USB C Link Cable with 5Gbps Super Speed for Extended Gameplay, White</t>
  </si>
  <si>
    <t>ASURION 2 Year Desktop Protection Plan ($200 - $249.99)</t>
  </si>
  <si>
    <t>Garmin Universal Dash Cam Suction Cup Mount</t>
  </si>
  <si>
    <t>Pyle 40 Watt Professional Megaphone Clear Sound &amp; Ergonomic Grip - Multi-Function with Talk, Siren, Volume Control - Detachable Handheld Mic - Indoor &amp; Outdoor Sports, Emergency Response</t>
  </si>
  <si>
    <t>Amazon Basics 3-Button USB Wired Mouse with Precision Scroll Wheel, Standard, Black</t>
  </si>
  <si>
    <t>ASURION 3 Year B2B Office Equipment Protection Plan ($250 - $299.99)</t>
  </si>
  <si>
    <t>Creative Labs Sound Blaster Play! 3 External USB Sound Adapter for Windows and Mac. Plug and Play (No Drivers Required). Upgrade to 24-Bit 96Khz Playback</t>
  </si>
  <si>
    <t>Kingston Canvas Go Plus 256GB microSD Card | Up to 200MB/s | Class 10, UHS-I, U3, V30, A2 | SDCG4/256GB</t>
  </si>
  <si>
    <t>Melissa &amp; Doug Wooden Make-a-Cake Mixer Set (11 pcs) - Play Food and Kitchen Accessories - FSC Certified</t>
  </si>
  <si>
    <t>Fitbit Charge 6 Charging Cable, Official Product, Black</t>
  </si>
  <si>
    <t>Lenovo 600 Bluetooth Silent Mouse, Blue Optical Sensor, Adjustable DPI, 4 Button, Microsoft Swift Pair, Windows, Chrome, GY50X88832, Gray</t>
  </si>
  <si>
    <t>ASURION 2 Year Baby Protection Plan ($125 - $149.99)</t>
  </si>
  <si>
    <t>Toshiba 1TB 5400RPM 8MB Cache SATA 3.0Gb/s 2.5 inch PS3/PS4 Hard Drive - 3 Year Warranty</t>
  </si>
  <si>
    <t>Panasonic K-KJ17KHCA4A Advanced Individual Cell Battery Charger Pack with 4 AA eneloop pro High Capacity Ni-MH Rechargeable Batteries</t>
  </si>
  <si>
    <t>UGREEN Bluetooth 6.0 Receiver with LDAC, Hi-Res Wireless Audio Adapter with Low Latency, for Old Stereo/Speakers/Wired Speakers/Home Audio Music Streaming Stereo System</t>
  </si>
  <si>
    <t>ASURION 2 Year Laptop Protection Plan ($125 - $149.99)</t>
  </si>
  <si>
    <t>Dell Latitude 7220 Rugged Extreme Tablet PC, 11.6" FHD Touch, i5-8365U up to 4.10GHz vPro, Outdoor-Readable, 16GB RAM, 512GB NVMe SSD, USB-C, 4G LTE, Dedicated GPS, Webcam, Windows 11 Pro (Renewed)</t>
  </si>
  <si>
    <t>Insta360 X5 Cooling Screen Protector</t>
  </si>
  <si>
    <t>Belkin USB C Charger Block 25W (2 Pack) – PD3.0 PPS Super Fast Charging - Samsung Galaxy S25, S24, Apple iPhone 16, iPhone 15/14/13 Plus, Pro, Pro Max, Google Pixel 9, Nintendo Switch, etc - Black</t>
  </si>
  <si>
    <t>EPSON 220 DURABrite Ultra Ink High Capacity Black Cartridge (T220XL120-S) Works with WorkForce WF-2630, WF-2650, WF-2660, WF-2750, WF-2760, Expression XP-320, XP-420, XP-424</t>
  </si>
  <si>
    <t>SurgeMaster 1-Outlet Home Series</t>
  </si>
  <si>
    <t>HyperX Alloy Core RGB – Membrane Gaming Keyboard, Comfortable Quiet Silent Keys with RGB LED Lighting Effects, Spill Resistant, Dedicated Media Keys, Compatible with Windows 10/8.1/8/7 – Black</t>
  </si>
  <si>
    <t>UGREEN Bluetooth 6.0 Receiver for Car with LDAC, AI Noise Cancelling 3.5mm AUX Bluetooth Car Adapter, Hi-Res Wireless Audio Receiver for Home Stereo/Wired Speaker with Hands-Free Call,15H Battery Life</t>
  </si>
  <si>
    <t>OtterBox Commuter Series Case for iPhone 12 Mini - Black</t>
  </si>
  <si>
    <t>Simple Houseware Metal Desk Monitor Stand Riser with Organizer Drawer, Black</t>
  </si>
  <si>
    <t>HyperX Cloud Stinger 2 Core - Gaming Headset for Playstation, Lightweight Over-Ear Headset with mic, Swivel-to-Mute Function, 40mm Drivers - Black</t>
  </si>
  <si>
    <t>Lenovo 300 Wireless Keyboard, Black</t>
  </si>
  <si>
    <t>MSI PRO MP225V, 22-inch, 1920 x 1080 (FHD) Computer Monitor, 100Hz, Adaptive-Synch, HDMI, Video Port, Low Blue Light, Eye-Q Check, VESA Mountable, Tilt, 1ms, Black</t>
  </si>
  <si>
    <t>Sony DVM60PRL Premium Mini Digital Video Cassette Tape</t>
  </si>
  <si>
    <t>Cooler Master Hyper 212 Halo Black CPU Air Cooler, 120 Halo² PWM Fan, Dual Loop ARGB, Aluminum Top Cover, 4 Copper Heat Pipes, 154mm Tall, AMD Ryzen AM5|AM4, Intel LGA 1851|1700|1200 Brackets</t>
  </si>
  <si>
    <t>Energizer 123 6 Lithium Batteries - Pack of 6 (Silver)</t>
  </si>
  <si>
    <t>ASURION 4 Year Television Protection Plan ($400 - $449.99)</t>
  </si>
  <si>
    <t>PopSockets Minimalist Slim Phone Wallet, Phone Card Holder, Wireless Charging Compatible, Wallet Without Grip Compatible with MagSafe - Black</t>
  </si>
  <si>
    <t>VIVO Height Adjustable 17 to 32 inch Single Monitor Articulating Wall Mount for Standing Workstations, Fits 1 Screen with Max VESA 100x100mm, Black, MOUNT-VW01A</t>
  </si>
  <si>
    <t>SABRENT USB 3.0 to SATA External Hard Drive Lay Flat Docking Station with Built in Cooling Fan for 2.5 or 3.5in HDD, SSD [Support UASP and 22TB] (EC-DFFN)</t>
  </si>
  <si>
    <t>Comply TrueGrip MAX | Premium Memory Foam Replacement Earbud Tips for Samsung Galaxy Buds3 Pro | Long Lasting Comfort, MAX Durability, Secure Fit, Superior Noise Isolation| Black (S/M/L) (3 Pairs)</t>
  </si>
  <si>
    <t>RØDE Interview GO Handheld Adaptor Wireless Microphones (Black)</t>
  </si>
  <si>
    <t>Amazon Basics Rectangular Power Strip Tower Surge Protector 1080J, 9 Outlet with Integrated USB Charging Ports (2 USB-A and 1 USB-C), 15A, 6ft Cord, Black</t>
  </si>
  <si>
    <t>Philips Personal Security Window and Door Alarm, 2 Pack, DIY Protection, Burglar Alert, Wireless, Chime/Alarm, Easy Installation, Ideal for Home, Garage, Apartment, RV and More, LRM3420W/27</t>
  </si>
  <si>
    <t>Belkin Power Strip Surge Protector with 12 AC Multiple Outlets, 10 ft Long Flat Plug Heavy Duty Extension Cord for Home, Office, Travel, Computer Desktop, Laptop &amp; Phone Charging Bricks (4,156 Joules)</t>
  </si>
  <si>
    <t>Skullcandy Grom Wireless Headphones, Volume-Limiting Audio, Comfortable Over-Ear Fit, Designed for Kids 6+, Up to 45 Hours Battery, Backup 3.5mm AUX Cable Included with Built-in Microphone - Black</t>
  </si>
  <si>
    <t>OWC 0.3M Thunderbolt 5 (USB-C) Cable, up to 80Gb/s of bi-Directional Data Speed, up to 120Gb/s for Higher Display Bandwidth, 240W</t>
  </si>
  <si>
    <t>ESR for Qi2 15W MagSafe Car Mount Charger, Qi2-Certified MagSafe Car Charger, Air Vent/Dashboard Magnetic Wireless Phone Holder Mount for iPhone 16/15/14/13/12, Galaxy S25, Fast Charging, Black</t>
  </si>
  <si>
    <t>UGREEN USB 3.0 Switch Selector 2 Computers Share 4 USB Ports USB Switcher USB for PC Laptop Keyboard Mouse Printer Scanner One Button Switch Adapter with 2 Pack USB 3.0 Cables</t>
  </si>
  <si>
    <t>Amazon Basics Aluminum USB 3.1 Type-C to VGA Adapter, Gray, 1.65 x 1.38 x 0.63in</t>
  </si>
  <si>
    <t>Tripp Lite Heavy Duty Computer Power Cord, 15A, 14AWG (NEMA 5-15P to IEC-320-C13), 10-ft. (P007-010) , Black</t>
  </si>
  <si>
    <t>PNY 256GB PRO Elite Prime™ C10 U3 V30 A2 microSDXC Flash Memory Card – Ultra-Fast Speeds, Read 200MB/s, Write 150MB/s, 4K UHD, Full HD, UHS-I, for Smartphones, Drones, Action Cameras, 2-Pack</t>
  </si>
  <si>
    <t>JBL Tune 310C - Wired Hi-Res in-Ear Headphones, Tangle-Free Flat Cable, 3-Button Remote with Microphone (White)</t>
  </si>
  <si>
    <t>Amazon Basics Rechargeable NiMh Battery with Bay Charger, 8 AAA 800mAh + 8 AA 2000mAh, No AC Power Adapter, USB C Port, Pack of 16, Black</t>
  </si>
  <si>
    <t>Lenovo ThinkPad P16s Gen 3 21KS0026US 16" Mobile Workstation - WUXGA - Intel Core Ultra 7 165H - vPro Technology - 32 GB - 1 TB SSD - English Keyboard - Black</t>
  </si>
  <si>
    <t>ENERGIZER AAA Batteries, Ultimate Lithium Triple A Battery, 24 Count</t>
  </si>
  <si>
    <t>Amazon Basics Large DSLR Gadget Bag, Black with Orange Interior, Solid</t>
  </si>
  <si>
    <t>Streamlight 75105 Smart Charger Holder - Stinger Series</t>
  </si>
  <si>
    <t>Belkin WaveRest Gel Mouse Pad, Black (F8E262-BLK), 1 Pack</t>
  </si>
  <si>
    <t>PopSockets Phone Grip for MagSafe with Kickstand, Magnetic Stand, Swappable Top, Secure Hold for iPhone MagSafe Cases, Phone &amp; Tablet Grip - Nightshade</t>
  </si>
  <si>
    <t>UGREEN USB C to RCA Audio Cable Type C to 2RCA Male Jack Plug Adapter Car Auxiliary Stereo Speaker Amp Cord Compatible with iPhone 16 15 Pro Max/15 Pro/15 Plus, iPad Pro, Samsung S25, Pixel 9 Pro, 5FT</t>
  </si>
  <si>
    <t>Anker USB C to Lightning Cable, 321 USB-C to Lightning Cable (6ft,White), MFi Certified for iPhone 13 Pro 12 Pro Max 12 11 X XS, AirPods Pro, Supports Power Delivery (Charger Not Included)</t>
  </si>
  <si>
    <t>JVC HAFX5A Gumy Plus Inner Ear Headphones (Blue)</t>
  </si>
  <si>
    <t>OtterBox iPhone 11 Symmetry Series Case - Black, Ultra-Sleek, Wireless Charging Compatible, Raised Edges Protect Camera &amp; Screen</t>
  </si>
  <si>
    <t>PUMA Contender Backpack, Green Moss, One Size</t>
  </si>
  <si>
    <t>Altec Lansing Mini H2O - Waterproof Bluetooth Speaker, IP67 Certified &amp; Floats in Water, Compact &amp; Portable Speaker for Hiking, Camping, Pool, and Beach</t>
  </si>
  <si>
    <t>UGREEN USB C Hard Drive Enclosure for 2.5" SATA SSD HDD - Aluminum USB C to SATA Adapter USB 3.1 Gen 2 Support UASP - Compatible with MacBook Pro Air, WD, Seagate, Toshiba, Samsung, Hitachi</t>
  </si>
  <si>
    <t>Boogie Board Basics Reusable Writing Pad - Digital Drawing Tablet, LCD Writing Pad with Instant Erase, Includes Stylus Pen</t>
  </si>
  <si>
    <t>Dell 65W USB-C Laptop Charger,Latitude 7400 7410 7420 7430 7440 7450 AC Adapter,20V 3.25A Computer Charger Cord Type C, Black, HA65NM190</t>
  </si>
  <si>
    <t>12pk Energizer 9v Industrial Battery Commercial Only</t>
  </si>
  <si>
    <t>Uniden RDA-HDWKT Radar Detector Smart Hardwire Kit with Mute/Mark Button, LED Alert and Power LED R8w, R8, R7, R4w, R4, R3, R1, DFR9, DFR9BLK, DFR8, DFR7 and DFR6</t>
  </si>
  <si>
    <t>Dell Precision 5690 Workstation Laptop (2024) | 16" 1920x1200 FHD+ | Core Ultra 7-165H - 512GB SSD Hard Drive - 32GB RAM - Nvidia RTX A1000 | 16 cores @ 5.0 GHz - 4GB GDDR6 Win 11 Pro Black</t>
  </si>
  <si>
    <t>Amazon Basics Photographic Empty Sandbag for Light Stands, 4-Pack, Black</t>
  </si>
  <si>
    <t>Quad Lock Phone Ring/Stand</t>
  </si>
  <si>
    <t>ESR for iPhone 13 Pro Max Case, Compatible with MagSafe, Built-in Camera Ring Stand, Military-Grade Protection, Magnetic Phone Case for iPhone 13 Pro Max, Classic Kickstand Case (HaloLock), Clear</t>
  </si>
  <si>
    <t>Amazon Basics HDMI Female to Female Coupler Adapter (2 Pack), 29 x 22mm, Black</t>
  </si>
  <si>
    <t>AMD Ryzen 7 5800X3D 8-core, 16-Thread Desktop Processor with AMD 3D V-Cache Technology</t>
  </si>
  <si>
    <t>BAGSMART Digital Camera Case, Waterproof &amp; Protective Small Camera Bag with 2 Carrying Ways, Lightweight Camera Sling Bag for Canon PowerShot ELPH 180/190 / Sony DSCW800/DSCW830 - Beige</t>
  </si>
  <si>
    <t>ASURION 3 Year Kitchen Protection Plan ($700 - $799.99)</t>
  </si>
  <si>
    <t>LISEN Super Fast iPhone 16 Car Charger USB C [Alloy] 2 Pack 54W iPhone 15 Type C Car Charger Fast Charging Cigarette Lighter Adapter for 17 iPhone 16e Pro Max Plus/15,Samsung Galaxy Z Fold 7 S25 Ultra</t>
  </si>
  <si>
    <t>Pyramex Safety Individually Packaged Lens Cleaning Towelettes, No Streaks, 100 Piece</t>
  </si>
  <si>
    <t>Canon CLI-251XL Genuine Black Ink Tank, Compatible with MG6320, IP7220 &amp; MG5420, MX922, MG5520, MG6420, MG7120, iX6820, iP8720, MG7520, MG6620, and MG5620 Printers</t>
  </si>
  <si>
    <t>EPSON 220 DURABrite Ultra Ink Standard Capacity Black Dual Cartridge Pack (T220120-D2) Works with WorkForce WF-2630, WF-2650, WF-2660, WF-2750, WF-2760, Expression XP-320, XP-420, XP-424</t>
  </si>
  <si>
    <t>ASURION 3 Year Floorcare Extended Protection Plan ($600 - $699.99)</t>
  </si>
  <si>
    <t>UGREEN Headphone Splitter for Computer 3.5mm Female to 2 Dual 3.5mm Male Braided Audio Splitter Cable Microphone Stereo Jack Earphones Port Cord Gaming Headset to PC Laptop Adapter Black</t>
  </si>
  <si>
    <t>ASURION 4 Year Kitchen Protection Plan ($300 - $349.99)</t>
  </si>
  <si>
    <t>DJI Osmo Action Extreme Battery, Compatibility: Osmo Action 3, Osmo Action 4, Osmo Action 5 Pro</t>
  </si>
  <si>
    <t>Tripp Lite 1 Outlet Portable Surge Protector Power Strip, Direct Plug In, $5,000 Insurance (SPIKECUBE)</t>
  </si>
  <si>
    <t>Belkin Dual Port USB Charger Block 24W - iPhone Charger Fast Charging - iPhone 16, 15, 14, iPad Pro, Samsung Galaxy S25, Nintendo Switch 2 &amp; More - Cable Not Included</t>
  </si>
  <si>
    <t>SanDisk 32GB Ultra USB Type-C Flash Drive - SDCZ460-032G-G46, Black</t>
  </si>
  <si>
    <t>BAGSMART 15-16 inch Laptop Case with Handle, Puffy Padded Laptop Bag Sleeve for Women, Portable MacBook Air/Pro Case Compatible with Dell, HP, Lenovo, ASUS, Acer, Huawei Computer, Pink</t>
  </si>
  <si>
    <t>Belkin RockStar™ 3.5mm Audio with USB-C Charge Adaptor Included, USB-C Audio Adaptor Compatible with iPad Pro, Galaxy, Note, Google Pixel, LG G6, Sony Xperia, OnePlus and More - Black</t>
  </si>
  <si>
    <t>Samson SR850 Professional Studio Reference Headphones</t>
  </si>
  <si>
    <t>Lenovo ThinkPad P14s Gen 6 Laptop with AMD Ryzen AI 7 PRO 350 Processor and Copilot +, 14” WUXGA 100% sRGB Non-Touch Display, with 32GB DDR5-5600MT/s Memory, 1TB SSD, Wi-Fi 7, and Windows 11 Pro</t>
  </si>
  <si>
    <t>Arduino Nano ESP32 with Headers [ABX00083] – ESP32-S3, USB-C, Wi-Fi, Bluetooth, HID Support, MicroPython Compatible for IoT &amp; Embedded Projects</t>
  </si>
  <si>
    <t>Panasonic Comfort Fit Headset for TCA Series Cordless Landline Phones, Foldable Headset with Flexible Noise-Cancelling Microphone and Volume Control, 2.5 mm Plug, Grey/Silver KX-TCA430</t>
  </si>
  <si>
    <t>JLab JBuddies ANC 2 in 1 Wireless + Wired Kids Headphones, Active Noise Canceling and Be Aware Modes, Safe Volume Settings, 50+ Hours Playtime, Adjustable, Purple/Pink</t>
  </si>
  <si>
    <t>Joy-Con Left (Neon Blue) (Nintendo Switch) (Renewed)</t>
  </si>
  <si>
    <t>UGREEN MagFlow 2-in-1 Magnetic Wireless Charging Station, Fast Wireless Charger for iPhone 16 15 14 13 12 Series and AirPods, MagSafe Compatible Qi Charging Stand with 3 FT USB-C Cable (No AC Adapter)</t>
  </si>
  <si>
    <t>ARCTIC P12 Slim PWM PST (3 Pack) - PC Fans, 120mm Case Fan with PWM Sharing Technology (PST), Pressure-optimised, Quiet Motor, Computer, Extra Slim, 300–2100 RPM - Black</t>
  </si>
  <si>
    <t>ASURION 2 Year Toy Accident Protection Plan ($600 - $699.99)</t>
  </si>
  <si>
    <t>UGREEN SATA to USB 3.0 Adapter Cable for 3.5 2.5 Inch SSD/HDD Hard Drive Reader SATA III Hard Drive Disk Converter Support UASP Compatible with Samsung Seagate WD Hitachi with 12V Power Adapter</t>
  </si>
  <si>
    <t>ESR for AirPods 4 Case, Compatible with AirPods 4 Generation Case (2024) (USB-C), Compatible with MagSafe, Drop-Proof Lock, Easy Open, Cyber Series, Black</t>
  </si>
  <si>
    <t>LG 27-Inch StanbyME Go Portable Smart 1080P Touch Screen (27LX5QKNA, 2023 Model), Calming Beige</t>
  </si>
  <si>
    <t>ASURION 2 Year Toy Accident Protection Plan ($300 - $349.99)</t>
  </si>
  <si>
    <t>Amazon Basics Adjustable Chest Mount Harness for GoPro Camera (Compatible with GoPro Hero Series), Black</t>
  </si>
  <si>
    <t>Neewer 3" Suction Cup Camera Mount Bracket with Ball Head Magic Arm, 1/4" ARRI Holes, Quick Release Car Mount with Phone Holder &amp; Action Cam Adapter Compatible with iPhone DJI Insta360, CA104</t>
  </si>
  <si>
    <t>Beats urBeats3 Earphones with 3.5 mm Plug - Black (Renewed)</t>
  </si>
  <si>
    <t>Logitech Slim Wireless Bluetooth Mouse for Mac - White</t>
  </si>
  <si>
    <t>FUJIFILM Instax Mini Instant Film Value Pack - 60 Photos</t>
  </si>
  <si>
    <t>Panasonic CR123A Lithium 3V Photo Lithium Batteries, 0.67" Dia x 1.36" H (17.0 mm x 34.5 mm) (Pack of 10)</t>
  </si>
  <si>
    <t>ESR for MagSafe Phone Grip, MagSafe Ring Holder, Magnetic Phone Ring Holder, Magnetic Phone Grip with 2-Way Adjustable Stand for iPhone 16/15/14/13/12, Samsung, All Smartphones(2 Metal Rings included)</t>
  </si>
  <si>
    <t>Brother Genuine P-Touch TZE-131 Tape, 1/2" (0.47") Standard Laminated P-Touch Tape, Black on Clear, Perfect for Indoor or Outdoor Use, Water Resistant, 26.2 Feet (8M), Single-Pack, TZe131</t>
  </si>
  <si>
    <t>Microsoft Audio Dock - Up to 90dB SPL - Two omni-directional microphone arrays - 70Hz ~ 20kHz for music playback - Support DP alt mode, up to Dual Display - Windows 11 Home/Pro, Windows 10, MacOS</t>
  </si>
  <si>
    <t>Fintie Case for iPad Air 11-inch M3 (2025) / M2 (2024), iPad Air 5th (2022) / 4th Generation (2020) 10.9 Inch, Multi-Angle Viewing Protective Cover with Pencil Holder &amp; Pocket, Lilac Marble</t>
  </si>
  <si>
    <t>UGREEN USB C to Aux Type C to 3.5mm Audio Adapter Hi-Fi Stereo Cord Headphone Male Car Auxiliary Cable Compatible with iPhone 16 15 Pro Max Plus, Galaxy S25 S24 Ultra iPad Pixel 9, Grey, 3.3FT</t>
  </si>
  <si>
    <t>ASURION 2 Year Tablet Accident Protection Plan ($600 - $699.99)</t>
  </si>
  <si>
    <t>Samsung USB-C Data Charging Cable for Galaxy S9/S9+/Note 9/S8/S8+ - Black EP-DG950CBE- 100% Original - Bulk Packaging</t>
  </si>
  <si>
    <t>JVC Earclip Earbud Sport Earbud Earclip Black (HAEC10B) (HA-EC10B)</t>
  </si>
  <si>
    <t>Uniden SSS00275R Large Premium Suction Cup Mounting Bracket for R8w, R8, R7, R4w, and R4 detectors. Secure Mount for Ultimate Radar Detector Performance.</t>
  </si>
  <si>
    <t>ARCTIC P12 PWM - PC Fan, 120mm Case Fan with PWM, Pressure-optimised, Quiet Motor, Computer, Fan Speed: 200–1800 RPM (0 RPM &lt;5%) - Black</t>
  </si>
  <si>
    <t>Tonies Foldable Wired Headphones for Kids - Comfortably Designed to fit On-Ear - Works with Toniebox and All 3.5mm Devices - Light Blue</t>
  </si>
  <si>
    <t>ASURION 3 Year Luggage Protection Plan ($60 - $69.99)</t>
  </si>
  <si>
    <t>UGREEN USB C to USB C Cable 240W USB4 Gen4 80Gbps Premium 16K Dual 8K Triple 4K Display PD3.1 Type C Fast Charging Compatible with USB C Monitors, MacBook, iPad, iPhone 16/15/14, 3.3FT</t>
  </si>
  <si>
    <t>Belkin 65W Dual USB C Charger Block, Super Fast Charging PD3.0 w/ GaN Technology - Samsung Galaxy S25, Apple iPhone 16, 15, 14, 13, Pro, Pro Max, iPad, MacBook, Nintendo Switch 2 &amp; More - White</t>
  </si>
  <si>
    <t>OtterBox iPhone 11 Commuter Series Case - Black, Slim &amp; Tough, Pocket-Friendly, with Port Protection</t>
  </si>
  <si>
    <t>ASURION 3 Year Floorcare Extended Protection Plan ($50 - $59.99)</t>
  </si>
  <si>
    <t>Amazon Basics USB-C to USB-A 2.0 Fast Charger Cable, Nylon Braided Cord, 480Mbps Speed, USB-IF Certified, for Apple iPhone 16/15, iPad, Samsung Galaxy, Tablets, Laptops, 6 foot, Dark Grey</t>
  </si>
  <si>
    <t>UGREEN USB to Audio Jack Sound Card Adapter with Dual TRS 3-Pole 3.5mm Headphone and Microphone USB to Aux 3.5mm External Audio Converter for Windows Mac Linux PC Laptops Desktops PS5 Switch 2</t>
  </si>
  <si>
    <t>Kate 5x7ft Vintage Backdrops Abstract Grey Portrait Photo Backdrop for Photography Studio</t>
  </si>
  <si>
    <t>UGREEN Magnetic USB C Splitter 1 in 2 Out Dual USB C Headphone and Charger Type C Audio Adapter with PD 60W Fast Charging Dongle Cable for iPhone 16 Pro Max, Galaxy S25, Pixel 9, iPad Pro, Switch 2</t>
  </si>
  <si>
    <t>ASURION 2 Year Backpack Protection Plan ($60 - $69.99)</t>
  </si>
  <si>
    <t>Corsair MM300 - Anti-Fray Cloth Gaming - High-Performance Mouse Pad Optimized for Gaming Sensors - Designed for Maximum Control - Extended, Multi Color</t>
  </si>
  <si>
    <t>UGREEN HDMI KVM Switch 1 Monitor 2 Computers, with 4 USB Ports, KVM Switches for Sharing One Monitor Keyboard Mouse Printer Support 4K@60Hz, Include 2 HDMI Cables, 2 USB Cables, Desktop Controller</t>
  </si>
  <si>
    <t>ASURION 2 Year Toy Accident Protection Plan ($60 - $69.99)</t>
  </si>
  <si>
    <t>Nite Ize Hitch Phone Anchor and Tether - Anti-Theft Cell Phone Lanyard Accessories - Phone Case Anchor &amp; Tether for Drop Protection - Black Tether</t>
  </si>
  <si>
    <t>Hisense Roku TV IR Remote</t>
  </si>
  <si>
    <t>DJI Osmo Action Quick-Release Adapter Mount, Compatibility: Osmo 360, Osmo Action 3, Osmo Action 4, Osmo Action 5 Pro</t>
  </si>
  <si>
    <t>Canon RF35mm F1.4 L VCM Lens</t>
  </si>
  <si>
    <t>ASURION 3 Year Major Appliance Protection Plan ($250 - $299.99)</t>
  </si>
  <si>
    <t>AMD Wraith Stealth Socket AM4 4-Pin Connector CPU Cooler with Aluminum Heatsink &amp; 3.93-Inch Fan (Slim)</t>
  </si>
  <si>
    <t>Amazon Basics USB-A to USB-B 3.0 Cable, 4.8Gbps High-Speed with Gold-Plated Plugs, 6 Foot, Black</t>
  </si>
  <si>
    <t>UGREEN Uno USB C to USB C Cable 100W Fast Charging Cable Type C Charging Cord with LED Display for iPhone 16/16 Plus/16 Pro/16 Pro Max/15, MacBook Pro/Air, iPad Pro/Air, Galaxy S24 Ultra 6.6FT Black</t>
  </si>
  <si>
    <t>UGREEN 2.5" Hard Drive Enclosure USB 3.0 to SATA III Adapter Supports 2.5 Inch SSD &amp; HDD 9.5mm 7mm External Hard Drive Enclosure with UASP Compatible with WD Seagate Toshiba Samsung Hitachi - Black</t>
  </si>
  <si>
    <t>Monoprice 8K Certified Ultra High Speed HDMI Cable - Braided - HDMI 2.1, 8K@60Hz, 4K@120Hz, 48Gbps, HDR, VRR, CL2 In-Wall Rated, 6ft, Black</t>
  </si>
  <si>
    <t>Panasonic CR2016 3.0 Volt Long Lasting Lithium Coin Cell Batteries in Child Resistant, Standards Based Packaging, 4 Pack</t>
  </si>
  <si>
    <t>Verbatim Wired Optical Computer Mini USB-A Mouse - Plug &amp; Play Corded Small Travel Mouse with Retractable Cable – Black 98113</t>
  </si>
  <si>
    <t>ASURION 3 Year Portable Electronic Accident Protection Plan ($80 - $89.99)</t>
  </si>
  <si>
    <t>GIGABYTE - Gaming A16 Gaming Laptop - 165Hz 1920x1200 WUXGA - NVIDIA GeForce RTX 5060 - AMD Ryzen 7 260-1TB SSD with 16GB DDR5 RAM - Windows 11 Home AD Gaming A16 3VHK3US894SH</t>
  </si>
  <si>
    <t>ASURION 3 Year Camera Protection Plan ($60 - $69.99)</t>
  </si>
  <si>
    <t>KIWI design 16FT Link Cable Compatible with Oculus/Meta Quest 3S Accessories, and Quest 3/2/Pro/Pico 4, USB 3.0 to USB C Link Cable with 5Gbps Super Speed</t>
  </si>
  <si>
    <t>OtterBox iPhone 11 Symmetry Series Case - Clear, Ultra-Sleek, Wireless Charging Compatible, Raised Edges Protect Camera &amp; Screen</t>
  </si>
  <si>
    <t>LISEN for Magsafe Phone Grip Holder, 360° Rotation Magnetic Phone Ring Holder Grip, Magnetic Ring for Phone Case Stand Cell Phone Grip Holder for iPhone 16 Pro Max 16 15 14 13 12 Pro Max Plus Samsung</t>
  </si>
  <si>
    <t>ASURION 3 Year Furniture Protection Plan ($700 - $799.99)</t>
  </si>
  <si>
    <t>Pyle 3-Way Universal Car Stereo Speakers - 300W 4" x 6" Triaxial Loud Pro Audio Car Speaker Universal OEM Quick Replacement Component Speaker Vehicle Door/Side Panel Mount Compatible PL4163BK (Pair)</t>
  </si>
  <si>
    <t>SanDisk Extreme PRO 128GB UHS-I U3 SDXC Memory Card</t>
  </si>
  <si>
    <t>AT&amp;T TR1909 Trimline Corded Phone with Caller ID, White</t>
  </si>
  <si>
    <t>AINOPE Micro USB Cable for Kindle [2Pack,6.6FT], Unbreakable USB Micro Cable Kindle Charger Cord Replacement, Nylon Micro USB Charger Fit for Samsung Galaxy S6,J7 Edge Note 5, Kindle, Android Charger</t>
  </si>
  <si>
    <t>UGREEN 35W USB C Charger, Nexode 2-Ports GaN Foldable PPS Compact Fast Wall Charger Block for iPhone 16/15/14/13, Galaxy S25/S24/S23, Pixel 8 Pro/8/7, iPad, MacBook, Steam Deck</t>
  </si>
  <si>
    <t>LISEN Tablet Holder for Car Headrest, iPad Car Holder Back Seat Travel Accessories Long Road Trip Essentials for Kids Black, Tablet Stand for iPad Pro Air Mini Galaxy Fire 4.7-12.9" Devices</t>
  </si>
  <si>
    <t>OtterBox - Apple Watch Series 7/8/9, 45mm Exo Edge Bumper Case - Protective Case for Smartwatch, Sleek &amp; Precision Fit (Black)</t>
  </si>
  <si>
    <t>Dell Inspiron Laptop Charger Genuine 65W watt 4.5mm tip AC Power Adapter for Inspiron 13 14 15 3000 5000 7000 Series 5558 5755 3147 7348-2in1 5555 5559 0G6j41 0MGJN with Power Cord</t>
  </si>
  <si>
    <t>ESR for MagSafe Car Mount, Upgraded Dashboard Magnetic Phone Holder for Car, 360° Rotation, Car Phone Holder Mount for iPhone 16/16e/15/14/13/12,S25,Strong Magnets,Car Accessories(with 2 Metal Rings)</t>
  </si>
  <si>
    <t>VIVO Steel VESA LCD LED TV Mount Adapter Plate Bracket for Screens 32" to 55" | Conversion Kit for VESA up to 400x200mm (MOUNT-AD4X2)</t>
  </si>
  <si>
    <t>Epson S041649 Glossy Photo Paper, 52 lbs., Glossy, 8-1/2 x 11 (Pack of 50 Sheets)</t>
  </si>
  <si>
    <t>Razer Gigantus V2 Cloth Gaming Mouse Pad (Medium): Thick, High-Density Foam - Non-Slip Base - Classic Black</t>
  </si>
  <si>
    <t>Brother Genuine DK1201 Die-Cut Standard Rolled Address Labels for QL Printers, (DK1201)</t>
  </si>
  <si>
    <t>HP 15.6 inch Laptop, FHD Display, 12th Gen Intel Core i5, 16 GB RAM, 512 GB SSD, Intel Iris Xe Graphics, Windows 11 Home, 15-dy5399nr (2023),Silver</t>
  </si>
  <si>
    <t>Apple iPhone 12 mini Silicone Case with MagSafe - Black</t>
  </si>
  <si>
    <t>Roku Outdoor Camera for Home Security - IP65 Weather Resistant Wired Security Camera with 1080p HD Night Vision, Works with Alexa &amp; Google, Motion &amp; Sound Detection - 90-Day Subscription Included</t>
  </si>
  <si>
    <t>Panasonic HHR-75AAA/B-6 Ni-MH Rechargeable Battery for Cordless Phones, 700 mAh (Pack of 6)</t>
  </si>
  <si>
    <t>Monster Clarity 101 AirLinks Wireless Earbuds, Bluetooth 5.0 in-Ear Headphones with Charging Case, Stereo Earphones Deep Bass Sound, IPX5 Waterproof, Built-in Mic, Clear Call, Secure Fit for Sports</t>
  </si>
  <si>
    <t>ASURION 2 Year Jewelry Protection Plan ($70 - $79.99)</t>
  </si>
  <si>
    <t>UGREEN USB-C Hub 4-Port 10Gbps Data Only USB 3.2 Hub Multiport Adapter Compatible with MacBook Pro, MacBook Air, iPad Pro, iPad mini 6 and iPhone 15, Plug and Play 0.3ft Cable</t>
  </si>
  <si>
    <t>PopSockets Phone Wallet with Expanding Kickstand, Phone Card Holder - Pink Clouds</t>
  </si>
  <si>
    <t>Nite Ize Steelie Universal Adhesive Replacement Kit - for Dash Mount and Phone Sockets</t>
  </si>
  <si>
    <t>Lexar 32GB 3-Pack JumpDrive V100 USB 3.2 Gen 1 Flash Drive for Storage Expansion and Backup, Up To 100MB/s Read, Gray, Pink, Blue (LJDV100032G-B3NNU)</t>
  </si>
  <si>
    <t>JLab Studio Pro Wireless Over-Ear Headphones, Black, 50+ Hour Bluetooth 5 Playtime, EQ3 Sound, Ultra-Plush Faux Leather &amp; Cloud Foam Cushions, Track and Volume Controls</t>
  </si>
  <si>
    <t>ESR for iPad Air 11 Inch Case M3/M2 (2025/2024), iPad Air 5th/4th Gen(2022/2020), Slim&amp;Light, Yellowing Resistant, Transparent Back Cover, Supports Pencil Pro&amp;Pencil (USB-C), Zero Series, Clear</t>
  </si>
  <si>
    <t>SanDisk Cruzer Blade 8GB USB 2.0 Flash Drive- SDCZ50-008G-B35</t>
  </si>
  <si>
    <t>UGREEN USB to USB C Cable 90 Degree USB C Fast Charging Cord Compatible with iPhone 16/16 Plus/16 Pro/16 Pro Max/15/Samsung Galaxy S10/S10+/Pixel 7/6a/LG G8/G7/Pixel/Switch, etc, 1.6FT</t>
  </si>
  <si>
    <t>Belkin Boost↑Charge™ 30W Compact Fast Car Charger w/USB-C Power Delivery Port for iPhone 16, 16 Pro, 15, 15 Pro, Galaxy S25, S24, Note, Pixel 9 &amp; More - Black</t>
  </si>
  <si>
    <t>Maxell Dvd-R Recordable Disc, 4.7 Gb, 16x, Spindle, Gold, 25/pack</t>
  </si>
  <si>
    <t>Logitech Design Collection Limited Edition Wireless Mouse</t>
  </si>
  <si>
    <t>Fujifilm 2 Pack instax mini Instant Daylight Film, Twin Pack, 20 Exposures, ISO 800</t>
  </si>
  <si>
    <t>Leviton 5601-2E 15 Amp, 120/277 Volt, Decora Rocker Single-Pole AC Quiet Switch, Residential Grade, Grounding, Black</t>
  </si>
  <si>
    <t>PopSockets Phone Grip with Expanding Kickstand, Backspin PopSocket, Spinning PopSockets - Roulette</t>
  </si>
  <si>
    <t>On-Stage - (DS7200B) Desktop Microphone Stand (Black)</t>
  </si>
  <si>
    <t>Maxell 108527 Optimally Designed Flat Packs with Low Noise Surface 90 Min Recording Time Per Cassette, One Color, One Size</t>
  </si>
  <si>
    <t>​​​​PopSockets Phone Grip with Expanding Kickstand, Adhesive Grip, Cute PopSockets - Bee Boho</t>
  </si>
  <si>
    <t>Amazon Basics Surge Protector Power Strip, 6-Outlet, 790 Joules, 6ft Extension Cord, Black</t>
  </si>
  <si>
    <t>ASURION 3 Year B2B Office Equipment Protection Plan ($200 - $249.99)</t>
  </si>
  <si>
    <t>Mophie Charge Stream USB-A to USB-C Cable 3ft – Ultra-Durable Braided Design, Flexible Silicone, Fast Charging up to 15W, Travel Strap Included</t>
  </si>
  <si>
    <t>EPSON 277 Claria Photo HD Ink High Capacity Photo Black Cartridge (T277XL120-S) Works with Expression Photo XP-850, XP-860, XP-950, XP-960, XP-970</t>
  </si>
  <si>
    <t>Energizer CR1220 Low Drain 3V lithuim Battery (pack of 5)</t>
  </si>
  <si>
    <t>Samsung Galaxy Official USB-C to C Data Cable, 1.0m, Black</t>
  </si>
  <si>
    <t>Amazon Basics High Speed Mini HDMI (Source) to HDMI (Display) Cable, 1.8 m, Black</t>
  </si>
  <si>
    <t>GE 3-Outlet Power Strip Surge Protector 15 Ft Braided Long Cord Extension Cord Surge Protector Power Strip Flat Plug Extension Cord 250 Joules UL Listed Black 44237</t>
  </si>
  <si>
    <t>Skytech Gaming Rampage Desktop PC, Ryzen 7 9700X 3.8 GHz (5.5GHz), NVIDIA RTX 5070 Ti 16GB, 1TB Gen4 NVMe SSD, 32GB DDR5 RAM 5600 RGB, 850W Gold ATX 3 PSU, 360mm ARGB AIO, Wi-Fi, Win 11</t>
  </si>
  <si>
    <t>BAOFENG Microphone Police Walkie Talkie Mic Accessories Ham Radio Speaker Mic for Baofeng UV-5R Mini BF-F8HP Pro 5RM UV-32 DM-32 GM21 UV-5G Plus GM-15PRO GM-5RH K5PLUS AR-152 Quansheng UV-K5 8</t>
  </si>
  <si>
    <t>DEWALT Heavy Duty 3-in-1 Mini Stylus Pocket Pen, Tablet Pens for iPad, EDC Touch Screen Pens, Ballpoint w/Touchscreen Tip, Keypad Tip, Compatible iPhone Stylus Pen, Extra Ink Cartridge, Gifts for Dad</t>
  </si>
  <si>
    <t>Monoprice XLR Male to XLR Female Cable - for Microphone, Gold Plated, 16AWG, 10 Feet, Black - Premier Series</t>
  </si>
  <si>
    <t>BAOFENG USB Programming Cable CH340 Chip Compatible UV-5R Mini BF-F8HP Pro 5RM UV-32 DM32 K5PLUS GMRS GM-15PRO UV-5G Plus GM21 AR-152 UV-21R Quansheng UV-K5 8 Ham Radio Accessories</t>
  </si>
  <si>
    <t>RCA 3-Device Palm-Sized Universal Remote, Long Range IR, Replaces Most Major Remote Brands, Designed for Comfort, RCR503BE</t>
  </si>
  <si>
    <t>Canon MC-G01 Maintenance Cartridge for Canon MAXIFY GX7020 and GX6020 Inkjet Printers, 1 Pack</t>
  </si>
  <si>
    <t>ASURION 2 Year Ride-On Protection Plan ($600 - $699.99)</t>
  </si>
  <si>
    <t>OtterBox iPhone SE 3rd &amp; 2nd Gen, iPhone 8 &amp; iPhone 7 (not Compatible with Plus Sized Models) Commuter Series Case - Indigo Way, Slim &amp; Tough, Pocket-Friendly, with Port Protection</t>
  </si>
  <si>
    <t>Amazon Basics 7 Port USB 2.0 Hub Tower with 5V/4A Power Adapter, Black</t>
  </si>
  <si>
    <t>Skullcandy Push Active Wireless Earbuds, Bluetooth Headphones, Noise Isolating, 44 Hrs Battery, Secure-Fit Over-Ear Hanger, Sweat and Water Resistant, Microphone for iPhone Android - True Black/Orange</t>
  </si>
  <si>
    <t>AINOPE 2 Pack USB Extensions Cable High Speed USB 3.0 Extension Cord Type A Male to Female Sturdy Braided Material Fast Data Transfer Compatible with USB Keyboard,Mouse,Flash Drive,Grey,3.3FT+3.3FT</t>
  </si>
  <si>
    <t>Amazon Basics DisplayPort (4k@60Hz) to HDMI Female Converter (Not Compatible with a USB Port), Black, 9.25 x 0.87 x 0.47 in</t>
  </si>
  <si>
    <t>ASURION 3 Year Camera Protection Plan ($90 - $99.99)</t>
  </si>
  <si>
    <t>Yealink MeetingBar A40-031 - All-in-One 4K Video Conferencing Solution with Dual 48MP Cameras, 120° Field of View, 8MEMS Microphone Array, CTP25 Touch Panel, Compatible with Microsoft Teams and Zoom</t>
  </si>
  <si>
    <t>Energizer Battery 4LR44/A544 Alkaline 2, 235407</t>
  </si>
  <si>
    <t>Amazon Basics 4K HDMI to HDMI and Audio Extractor Converter for Apple TV, Fire TV, Blue-Ray Players, Black</t>
  </si>
  <si>
    <t>LISEN for Magsafe Car Mount, Magnetic Phone Holder for Car Vent Phone Mount, Hands Free Phone Mount for Car Accessories Dashboard Windshield Vent Cell Phone Holder for iPhone Car Mount Black</t>
  </si>
  <si>
    <t>SAMSUNG AKG Earbuds Original USB Type C in-Ear Earbud Headphones with Remote &amp; Mic for Galaxy A53 5G, S22, S21 FE, S20 Ultra, Note 10, Note 10+, S10 Plus - Braided - includes Velvet Pouch - Black</t>
  </si>
  <si>
    <t>​​​​PopSockets Phone Grip with Expanding Kickstand, Adhesive Grip - Sleepy Frog</t>
  </si>
  <si>
    <t>Insta360 Ace/Ace Pro Standard Mount</t>
  </si>
  <si>
    <t>PNY NVIDIA RTX A4000</t>
  </si>
  <si>
    <t>Lenovo ThinkPad E14 Gen 5 Business Laptop, 14" FHD+ Display, AMD Ryzen 7 7730U (Beat i7-1255U), 24GB RAM, 2TB SSD, FP Reader, Backlit Keyboard, HDMI, RJ45, Wi-Fi 6, Windows 11 Pro, Black</t>
  </si>
  <si>
    <t>Canon CLI-226 Genuine Gray Ink Tank, Compatible with MG8120, MG6120, MG8220, and MG6220 Printers</t>
  </si>
  <si>
    <t>Insta360 X3 Standard Removable Lens Guards</t>
  </si>
  <si>
    <t>ASURION 3 Year Auto Accessories Protection Plan ($30 - $39.99)</t>
  </si>
  <si>
    <t>ASURION 4 Year Office Equipment Protection Plan ($1250 - $1499.99)</t>
  </si>
  <si>
    <t>Garmin Catalyst, Driving Performance Optimizer with Real-time Coaching and Immediate Track Session Analysis, for Motorsports and High Performance Driving (010-02345-00) , Black , 6.95 inch</t>
  </si>
  <si>
    <t>Belkin Rockstar 5-Jack Multi Headphone Audio Splitter (Light Green) - Headphone Splitter Designed To Connect Up To 5 Devices For Classrooms, Audio Mixing &amp; Shared Experiences - For iPhone, iPad &amp; More</t>
  </si>
  <si>
    <t>UGREEN Micro HDMI to HDMI Cable Adapter 4K 60Hz Ethernet Audio Return Channel Compatible with GoPro Hero 7/6 Raspberry Pi 5 Retroid Pocket 3+/3 Yoga 3 B500 Camera Video Capture Card 3FT</t>
  </si>
  <si>
    <t>BAGSMART Travel Laptop Backpack, College Backpack for Women, Quilted Small Computer Bookbag, Water-Resistant 15.6 Inch Laptop Casual Bag, Black</t>
  </si>
  <si>
    <t>ARCTIC MX-6 (2 g) - Ultimate Performance Thermal Paste for CPU, Consoles, Graphics Cards, laptops, Very high Thermal Conductivity, Long Durability, Non-Conductive</t>
  </si>
  <si>
    <t>ESR for AirPods 4 Case, Compatible with Apple AirPods 4 Case (2024) (USB-C), Magnetic Lid, Full Drop Protection Cover with Carabiner, Cloud Series, Black</t>
  </si>
  <si>
    <t>EPSON 410 Claria Premium Ink Standard Capacity Cyan Cartridge (T410220-S) Works with Expression Premium XP-530, XP-630, XP-640, XP-7100, XP-830</t>
  </si>
  <si>
    <t>Water Resistant Marine Stereo Cover - Smoke Colored Heavy Duty Boat Radio Protector Shield with Flip-up Door &amp; Spring Loaded Release - Mounting Gasket Included - Pyle PLMRCW2,White</t>
  </si>
  <si>
    <t>Metra 40-CR10 Chrysler/Dodge/Ford/GM/Jeep 2002-UP Antenna Adapter</t>
  </si>
  <si>
    <t>UGREEN Ethernet Switch, 5 Port Gigabit Ethernet Splitter, Plug &amp; Play, Wall Mount &amp; Desktop Network Switch Hub, Unmanaged, Compact, with LED, Fanless Quiet, for Internet Cable, Laptop, Router, NAS</t>
  </si>
  <si>
    <t>UGREEN Ethernet Extender 10Gbps,2 Pack Ethernet Coupler with PoE Support, 328ft Long Distance Extend, Compatible with Cat8 Cat7 Cat6 Cat5 Cable, Black</t>
  </si>
  <si>
    <t>Monoprice USB-A Male to USB-B Male 2.0 Cable - 28/24AWG, Shielded, Gold Plated, 15 Feet, Black</t>
  </si>
  <si>
    <t>FUJIFILM Instax Square Sunset Film - 10 Exposures</t>
  </si>
  <si>
    <t>AINOPE 10Gbps Micro B to USB C External Hard Drive Cable 1.5FT, Nylon Braided External Hard Drive Cord Compatible with MacBook Pro/Air, Tablet/iPad, WD Seagate Toshiba Westgate, Samsung Galaxy S25</t>
  </si>
  <si>
    <t>GE 6-Outlet Power Strip, 2 Pack, 1.5 Ft Extension Cord, Heavy Duty Plug, Grounded, Integrated Circuit Breaker, 3-Prong, Wall Mount, ETL Listed, White, 14833</t>
  </si>
  <si>
    <t>Epson Heavyweight 8.5x11 Matte Paper, 50 Sheets (S041257),</t>
  </si>
  <si>
    <t>Koss KPH7G Portable On-Ear Headphone with Adjustable Headband - Green, 8.7 x 6.2 x 2.0</t>
  </si>
  <si>
    <t>8Bitdo Classic Controller Travel Case - Pro 2, Sn30 Pro+, Switch, PS5, PS4, Xbox One &amp; More</t>
  </si>
  <si>
    <t>JBL Clip 4 - Portable Bluetooth speaker with a built-in battery, IP67 waterproof and dustproof, Compact size and great sound. - Black</t>
  </si>
  <si>
    <t>UGREEN USB C to 3.5mm Audio Adapter, Hi-Res 32bit/384KHz USB C to Aux Dongle HiFi Headphone Jack Cable Cord Compatible with iPhone 16 15 Pro Max Plus, Samsung Galaxy S24 Ultra, Pixel 8, iPad Air Mini</t>
  </si>
  <si>
    <t>Dell OptiPlex 7020 Desktop SFF, Intel Core i7-12700K, 64GB DDR5, 2TB NVMe SSD, Type-C, WiFi 6e, Bluetooth, DisplayPort, HDMI, 7000 Small Form Factor Business Computer, Windows 11 Pro, Black</t>
  </si>
  <si>
    <t>Casio SL-310SV, Sloar Powered Standard Function Calculator</t>
  </si>
  <si>
    <t>Belkin BoostCharge Pro Flex Braided USB-C to USB-A Cable (1M/3.3FT) USB-IF Certified Fast Charging Cable for iPhone 16, iPhone 16 Pro, iPad, Galaxy S25, Note, Pixel, Nintendo Switch 2 &amp; More - Black</t>
  </si>
  <si>
    <t>E-Z Ink Compatible Ink Cartridge Replacement for Brother LC103XL Ink Cartridges LC103 XL LC103BK LC101 LC 103 to Use with MFC-J870DW MFC-J470DW MFC-J6920DW MFC-J6520DW MFC-J450DW (10 Pack)</t>
  </si>
  <si>
    <t>USB C Cable, Baseus 60W Mini Retractable USBC to USBC Fast Charging Cable, 4-Stage Length Preset USB Type C Charger Cord for iPhone 16 15 Pro Plus Pro Max, MacBook, iPad, Galaxy S24/S23</t>
  </si>
  <si>
    <t>GE Big Button Universal Remote Control for Samsung, Vizio, Lg, Sony, Sharp, Roku, Apple TV, TCL, Panasonic, Smart TVs, Streaming Players, Blu-Ray, DVD, 2-Device, Silver, 33701</t>
  </si>
  <si>
    <t>Energizer Alkaline 12v Battery, A27</t>
  </si>
  <si>
    <t>ASURION 2 Year Toy Accident Protection Plan ($70 - $79.99)</t>
  </si>
  <si>
    <t>UGREEN USB C Extension 10Gbps USB 3.2, USB-C Extension Cable 100W/4K 60Hz Compatible with iPhone 16/15, M3 MacBook Pro/Air, iPad Air 2024, Galaxy S24 Ultra Switch Consoles etc. (Grey, 1 m)</t>
  </si>
  <si>
    <t>LISEN for i Phone 17 Air for Magsafe 360 Degree Car Phone Holder, Dashboard Holder, Magnetic Holders for Car Dash, Clip Cell Cars Holders for Your Rearview Mirror, for iPhone 16 Pro Max 15 14 13 12</t>
  </si>
  <si>
    <t>3M WorkTunes Hearing Protector Replacement Ear Cushion Hygiene Kit, 1 pair, works with WorkTunes AM/FM (90541) and WorkTunes Connect + AM/FM (90542)</t>
  </si>
  <si>
    <t>UGREEN Cat 8 Ethernet Cable 3FT, Flat High Speed 40Gbps 2000Mhz Internet Cable 26AWG Braided Network Cord RJ45 Shielded Indoor LAN Cables Compatible for Gaming PC PS5 Xbox Modem Router 3FT</t>
  </si>
  <si>
    <t>10 Duracell 357 303 A76 PX76 SR44W/SW LR44 AG13 Silver Oxide Battery</t>
  </si>
  <si>
    <t>Metra 95-5817 Double-DIN Stereo Installation Dash Kit Fits Select 1995-2011 Ford, Lincoln, Mercury, and Mazda Vehicles</t>
  </si>
  <si>
    <t>Amazon Basics RJ45 Cat 7 Ethernet Patch Cable, 10Gpbs High-Speed Cable, 600MHz, Double-Shielded, 10 Foot, White</t>
  </si>
  <si>
    <t>Woods Light Duty Extension Cord Wrap, Holds up to 100Ft 16/3 Cord, H-Frame Cord Reel, Black, 2803</t>
  </si>
  <si>
    <t>UGREEN 4K DisplayPort to HDMI 2-Pack Adapter Unidirectional Display Port 1.2 to HDMI 1.4 Male to Female Converter Aluminum Adapter Compatible with Desktop, Laptop, Monitor, HDTV, AMD, NVIDIA</t>
  </si>
  <si>
    <t>Epson 822 DURABrite Ultra Ink Standard Capacity Yellow Cartridge (T822420-S) Works with Workforce Pro WF-3820, WF-3823, WF-4820, WF-4830, WF-4833, WF-4834</t>
  </si>
  <si>
    <t>LISEN Super Fast iPhone 16 Car Charger, 54W Alloy Cigarette Lighter Adapter, Dual Port 12V USB C Car Charger Plug for 17 iPhone 16e 16 15 14 13 12 Pro Max Plus, Samsung Galaxy Z Fold 7 S25，Android</t>
  </si>
  <si>
    <t>Insta360 X4 Lens Cap</t>
  </si>
  <si>
    <t>MOSISO Compatible with MacBook Air 13 inch Case 2025 2024 2023 2022 M4 A3240 M3 A3113 M2 A2681,100% Match Official Color,Slim Hard Case&amp;Keyboard Cover&amp;Screen Film for MacBook Air 13.6, Midnight Clear</t>
  </si>
  <si>
    <t>ASURION 2 Year Toy Accident Protection Plan ($500 - $599.99)</t>
  </si>
  <si>
    <t>Winegard (RP-6795 White Elevating Crank</t>
  </si>
  <si>
    <t>SAMSUNG EE-UC10JUWEGUS USB-C to 3.5mm Headphone Jack Adapter for Note10 and Note10+ (US Version with Warranty)</t>
  </si>
  <si>
    <t>HP 2025 Updated 15.6" Touchscreen Laptop, Intel i3-1315U, 32GB RAM 1TB SSD, Win 11 Pro, Wi-Fi 6, Copilot Key, Anti-Glare Display, for Business &amp; School, SXK Accessory Kit</t>
  </si>
  <si>
    <t>ASURION 2 Year Appliance Protection Plan ($250 - $299.99)</t>
  </si>
  <si>
    <t>Spigen Rugged Armor Designed for Samsung Galaxy Note 20 Ultra 5G Case (2020) - Matte Black</t>
  </si>
  <si>
    <t>E-Z Ink 270 271 XL Ink Cartridges Compatible for Canon PGI-270XL CLI-271XL 6 Color Value Pack, use with TS9020 MG7720 TS8020 MG5720 MG5721 MG5722 MG6820 MG6821 MG6822 TS5020 TS6020 Printer</t>
  </si>
  <si>
    <t>Canon EF 24-70mm f/2.8L USM Standard Zoom Lens for Canon SLR Cameras</t>
  </si>
  <si>
    <t>ASURION 2 Year Electronics Protection Plan ($600 - $699.99)</t>
  </si>
  <si>
    <t>Avery Binder Spine Inserts, for 1 Inch Ring Binders Containing 1.4" Spine Width, 40 Cardstock Inserts (89103)</t>
  </si>
  <si>
    <t>ACDelco 8-Count D Batteries, Maximum Power Super Alkaline Battery for Home and Office, 7-Year Shelf Life, Reclosable Packaging</t>
  </si>
  <si>
    <t>Verbatim 16GB Store 'n' Stay Nano USB 3.2 Gen 1 Flash Drive Snag-free Low Profile Thumb Drive - Blue</t>
  </si>
  <si>
    <t>Energizer 357/303 (SR44W, SR44SW, EPX76) Silver Oxide Multi Drain Watch Battery. On Tear Strip (Pack of 5)</t>
  </si>
  <si>
    <t>Nilight - 50036R Closed End Crimp Terminal 300 pcs 22-16/16-14/12-10 Gauge Nylon Wire Connector Kit,2 Years Warranty</t>
  </si>
  <si>
    <t>UGREEN Headphone Splitter 3.5mm 2 Female to 1 Male Mic and Audio Y Splitter TRRS Headset Adapter Cable Stereo Compatible with Switch 2/PS4/PS5 Steam Deck Xbox PC Laptop Phone Tablet Gaming</t>
  </si>
  <si>
    <t>Energizer CR2025 Batteries, 3V Lithium Coin Cell 2025 Watch Battery, (6 Count)</t>
  </si>
  <si>
    <t>Duracell Coppertop C Batteries, 2 Count Pack, C Battery with Long-lasting Power, All-Purpose Alkaline C Battery for Household and Office Devices</t>
  </si>
  <si>
    <t>PopSockets Phone Grip with Expanding Kickstand, Adhesive Grip - Black</t>
  </si>
  <si>
    <t>ASURION 3 Year Wearables Protection Plan ($175 - $199.99)</t>
  </si>
  <si>
    <t>UGREEN 100W USB C Cable Fast Charging, Type C Cord USB C Charger Cable for iPhone 16/16 Pro/16 Pro Max/15, MacBook Pro/Air, Galaxy S24/S23, iPad Pro/Air, Pixel 8, 3.3FT</t>
  </si>
  <si>
    <t>EPSON 664 EcoTank Ink Ultra-high Capacity Bottle Black (T664120-S) Works with EcoTank ET-2500, ET-2550, ET-4500, ET-4550, ET-2600, ET-2650, ET-3600, ET-16500</t>
  </si>
  <si>
    <t>Renata 396 SR726W Batteries - 1.55V Silver Oxide 396 Watch Battery (2 Count)</t>
  </si>
  <si>
    <t>HP 67 Black/Tri-color Ink Cartridges for HP Printers | Works with Printer Series: DeskJet 1255, 2700, 4100; ENVY 6000, 6400 | Eligible for Instant Ink | 3YP29AN</t>
  </si>
  <si>
    <t>HP 67XL Black High-yield Ink Cartridge | Works with HP DeskJet 1255, 2700, 4100 Series, HP ENVY 6000, 6400 Series | Eligible for Instant Ink | One Size | 3YM57AN</t>
  </si>
  <si>
    <t>Sharpie Permanent Markers Bulk Set Fine Tip Markers Set For Plastic Metal Wood And More Black 36 Count</t>
  </si>
  <si>
    <t>ASURION 2 Year Toy Accident Protection Plan ($90 - $99.99)</t>
  </si>
  <si>
    <t>Duracell Coppertop AA Batteries with Power Boost Ingredients, 28 Count (Pack of 1) Long-lasting Alkaline Double AA Battery in Re-closable Pack for Quick Access and Organized Storage</t>
  </si>
  <si>
    <t>Amazon Basics Dry Erase Markers For Whiteboards, Chisel Tip, Low-Odor, Assorted Colors, Pack of 12</t>
  </si>
  <si>
    <t>Amazon Basics Stapler with 1000 Staples, Office Stapler, 25 Sheet Capacity, Non-Slip, Black</t>
  </si>
  <si>
    <t>Apple 2024 Mac mini Desktop Computer with M4 chip with 10‑core CPU and 10‑core GPU: Built for Apple Intelligence, 16GB Unified Memory, 256GB SSD Storage, Gigabit Ethernet. Works with iPhone/iPad</t>
  </si>
  <si>
    <t>AMD Ryzen 7 7800X3D 8-Core, 16-Thread Desktop Processor</t>
  </si>
  <si>
    <t>acer 7-in-1 Wireless Charging Station: Charger Stand for Multiple Devices for Apple - iPhone 16 15 14 13 12 Pro Max Apple Watch Airpods, Wireless Charger iPhone Charging Station with Bluetooth TimeSyn</t>
  </si>
  <si>
    <t>Apple iPhone 14, 128GB, Midnight - Unlocked (Renewed)</t>
  </si>
  <si>
    <t>Bose QuietComfort Bluetooth Headphones, Wireless Headphones with Active Over Ear Noise Cancelling and Mic, Deep Bass, Up to 24 Hours of Playtime, Black</t>
  </si>
  <si>
    <t>Epson EcoTank ET-4800 Wireless All-in-One Cartridge-Free Supertank Printer with Scanner, Copier, Fax, ADF and Ethernet – Ideal-for Your Home Office, White</t>
  </si>
  <si>
    <t>HP Chromebook 14 Laptop, Intel Celeron N4120, 4 GB RAM, 64 GB eMMC, 14" HD Display, Chrome OS, Thin Design, 4K Graphics, Long Battery Life, Ash Gray Keyboard (14a-na0226nr, 2022, Mineral Silver)</t>
  </si>
  <si>
    <t>HP 218X Black High-Yield Toner Cartridge | Works with Color Laserjet Pro 3201, MFP 3301 Series | W2180X</t>
  </si>
  <si>
    <t>ASUS ROG Zephyrus G16 (2025) Gaming Laptop, 16" ROG Nebula OLED 2.5K, RTX 5080, Ultra 9 285H, 64GB, 2TB SSD, Win 11 Pro, Platinum White, GU605CW-XS98</t>
  </si>
  <si>
    <t>JBL Charge 4 - Waterproof Portable Bluetooth Speaker - Black</t>
  </si>
  <si>
    <t>HP DeskJet 4255e Wireless All-in-One Color Inkjet Printer, Scanner, Copier, Best-for-Home, 3 Month Instant Ink Trial Included (588S6A)</t>
  </si>
  <si>
    <t>Scotch Thermal Laminator, Extra Wide 13 Inch Input, Ideal for Teachers, Small Offices, or Home (TL1302Z)</t>
  </si>
  <si>
    <t>HP 951 Cyan, Magenta, Yellow Ink Cartridges (3 pack)| Works with HP OfficeJet 8600, HP OfficeJet Pro 251dw, 276dw, 8100, 8610, 8620, 8630 Series | Eligible for Instant Ink | CR314FN, Combo 3-Pack</t>
  </si>
  <si>
    <t>Samsung Galaxy Buds FE True Wireless Bluetooth Earbuds, Comfort and Secure in Ear Fit, Auto Switch Audio, Touch Control, Built-in Voice Assistant, Graphite [US Version, 1Yr Manufacturer Warranty]</t>
  </si>
  <si>
    <t>Fujifilm QuickSnap Flash 400 One Time Use 35mm Camera with Flash, 27 Exposures, 4-Pack</t>
  </si>
  <si>
    <t>Canon PIXMA TR4720 All-in-One Wireless Printer, Home Use with Auto Document Feeder, Mobile Printing and Built-in Fax, Black</t>
  </si>
  <si>
    <t>Sony BDP-S1700U Blu-ray DVD Player Dolby Digital TrueHD/DTS and DVD upscaling, with Included HDMI Cable, 2025 Model</t>
  </si>
  <si>
    <t>Tile by Life360 Essentials - Bluetooth Trackers &amp; Item Locators for Keys, Wallets, Remotes &amp; More; Easily Find All Your Things. Both iOS and Android Compatible. 4-Pack (Mates/Slim/Sticker)</t>
  </si>
  <si>
    <t>Lexar 512GB Play PRO microSD Express Card, UHS-I, C10, U3, V30, Full HD, 4K, Up to 900/600 MB/s Memory Card, Compatible w/Nintendo-Switch 2, ASUS ROG Ally, Steam Deck, Gaming (LMSXPS0512G-BNNNU)</t>
  </si>
  <si>
    <t>HP 63XL Tri-color High-yield Ink Cartridge | Works with Printer Series: DeskJet 1112, 2130, 3630; ENVY 4510, 4520; OfficeJet 3830, 4650, 5200 | Eligible for Instant Ink | F6U63AN</t>
  </si>
  <si>
    <t>Scott Professional Universal Multifold Paper Towels, Bulk (01804), Absorbency Pockets, White, 9.2'x9.4' Towel, Compressed (250 Sheets/Pack, 16 Packs/Case, 4,000 Sheet Total)</t>
  </si>
  <si>
    <t>EPSON 232 Claria Ink High Capacity Black &amp; Standard Color Cartridge Combo Pack (T232XL-BCS) Works with WorkForce WF-2930, WF-2950, Expression XP-4200, XP-4205</t>
  </si>
  <si>
    <t>Amazon Basics 5-Shelf Adjustable Heavy Duty Steel Wire Rack Storage Shelving Organizer for Kitchen, Garage, 36" L x 14" W x 72" H, Black</t>
  </si>
  <si>
    <t>SanDisk Extreme PRO microSDXC UHS-I Memory Card 512 GB + Adapter &amp; RescuePRO Deluxe (for Smartphones, Action Cameras or Drones, A2, Class 10, V30, U3, 200 MB/s Transfer)</t>
  </si>
  <si>
    <t>Braun Electric Series 3 Razor with Precision Trimmer, Rechargeable, Wet &amp; Dry Foil Shaver for Men, Blue/Black, 4 Piece</t>
  </si>
  <si>
    <t>PNY CS900 1TB 3D NAND 2.5" SATA III Internal Solid State Drive (SSD) - (SSD7CS900-1TB-RB)</t>
  </si>
  <si>
    <t>Panasonic Cordless Phone with Answering Machine, Advanced Call Block, Bilingual Caller ID and Easy to Read High-Contrast Display, Expandable System with 2 Handsets - KX-TGD832M (Metallic Black)</t>
  </si>
  <si>
    <t>E-Z Ink Compatible TN760 Toner Cartridges Replacement for Brother TN-760 TN730 TN-730 to Use with HL-L2350DW HL-L2395DW HL-L2390DW HL-L2370DW MFC-L2750DW MFC-L2710DW DCP-L2550DW (Black, 4 Pack)</t>
  </si>
  <si>
    <t>EPSON 232 Claria Ink Standard Capacity Black &amp; Color Cartridge Combo Pack (T232120-BCS) Works with WorkForce WF-2930, WF-2950, Expression XP-4200, XP-4205</t>
  </si>
  <si>
    <t>SHOKZ OpenRun Pro - Open-Ear Bluetooth Bone Conduction Sport Headphones, Sweat Resistant Wireless Earphones for Workouts and Running with Premium Deep Bass- Built-in Mic, with Hair Band, Black</t>
  </si>
  <si>
    <t>Amazon Basics 512GB microSDXC Card with Adapter, Read Speed Up to 200MB/s, 1-Pack</t>
  </si>
  <si>
    <t>Amazon Basics 150-Pack AA Alkaline Industrial Batteries, 1.5 Volt, 5-10 Year Shelf Life</t>
  </si>
  <si>
    <t>TP-Link Ultra-Portable Wi-Fi 6 AX1500 Travel Router TL-WR1502X | Easy Public WiFi Sharing | Hotel/RV/Travel Approved | Phone WiFi Tether | USB C Powered | Multi-Mode | Tether App | Durable Design</t>
  </si>
  <si>
    <t>Soundcore by Anker Q20i Hybrid Active Noise Cancelling Headphones, Wireless Over-Ear Bluetooth, 40H Long ANC Playtime, Hi-Res Audio, Big Bass, Customize via an App, Transparency Mode</t>
  </si>
  <si>
    <t>SAMSUNG SmartTag2 (2023) Bluetooth + UWB, IP67 Water and Dust Resistant, Findable via App, 1.5 Year Battery Life (2-Pack) - Black</t>
  </si>
  <si>
    <t>HP 68 Black Ink Cartridge | Works Envy 6100e, 6500e Series | Eligible for Instant Ink | 7FP21TN</t>
  </si>
  <si>
    <t>HP 61 Tri-color Ink for HP Printers | Works with Series: DeskJet 1000, 1010, 1050, 1510, 2050, 2510, 2540, 3000, 3050, 3510; ENVY 4500, 5530; OfficeJet 2620, 4630 | Eligible for Instant Ink | CH562WN</t>
  </si>
  <si>
    <t>DYMO Label Maker Machine with Tape - 100H LetraTag Handheld, Comes with 3 LT label tapes. Great for Home &amp; Office Organization</t>
  </si>
  <si>
    <t>Duracell - CopperTop 9V Alkaline Batteries - long lasting, all-purpose 9 Volt battery for household and business - Pack of 12</t>
  </si>
  <si>
    <t>SteelSeries Arctis Nova 1 Multi-System Gaming Headset — Hi-Fi Drivers — 360° Spatial Audio — Comfort Design — Durable — Ultra Lightweight — Noise-Cancelling Mic — PC, PS5/PS4, Switch, Xbox - Black</t>
  </si>
  <si>
    <t>HP 62 Tri-color Ink Cartridge for HP Printers | Works with Printer Series: ENVY 5540, 5640, 5660, 7640, OfficeJet 5740, 8040, OfficeJet Mobile 200, 250 | Eligible for Instant Ink | C2P06AN</t>
  </si>
  <si>
    <t>Logitech K270 Wireless Keyboard for Windows, 2.4 GHz Wireless, Full-Size, Number Pad, 8 Multimedia Keys, 2-Year Battery Life, Compatible with PC, Laptop, Black</t>
  </si>
  <si>
    <t>JanSport Laptop Backpack - Computer Bag with 2 Compartments, Ergonomic Shoulder Straps, 15” Laptop Sleeve, Haul Handle - Navy</t>
  </si>
  <si>
    <t>SanDisk 256GB Extreme SDXC UHS-I Memory Card - C10, U3, V30, 4K, UHD, SD Card - SDSDXVV-256G-GNCIN</t>
  </si>
  <si>
    <t>Wyze Cam OG Indoor/Outdoor 1080p Wi-Fi Smart Home Security Camera with Color Night Vision, Built-in Spotlight, Motion Detection, 2-Way Audio, Compatible with Alexa &amp; Google, White, Free Expert Setup</t>
  </si>
  <si>
    <t>Amazon Basics Ultra Premium Wireless Keyboard and Mouse Combo - Rechargeable, Ultra Slim Design, Quiet, Full Size, Number Pad, Unifying Receiver, Black</t>
  </si>
  <si>
    <t>Amazon Basics Weighted Office Desk Tape Dispenser - 3-Pack</t>
  </si>
  <si>
    <t>Amazon Basics USB-A to USB-B 2.0 Cable for Printer or External Hard Drive, Gold-Plated Connectors, Black, 10 Foot</t>
  </si>
  <si>
    <t>EPSON 232 Claria Ink Standard Capacity Black Cartridge (T232120-S) Works with WorkForce WF-2930, WF-2950, Expression XP-4200, XP-4205</t>
  </si>
  <si>
    <t>Texas Instruments TI-30XS Multiview Scientific Calculator (Pink)</t>
  </si>
  <si>
    <t>SAMSUNG MUF-256AB/AM FIT Plus 256GB - 300MB/s USB 3.1 Flash Drive, Gunmetal Gray</t>
  </si>
  <si>
    <t>HP 65 Tri-color Ink Cartridge for HP Printers | Works with Printer Series: AMP 100, DeskJet 2600, 3700; ENVY 5000 | Eligible for Instant Ink | N9K01AN</t>
  </si>
  <si>
    <t>Duracell - CopperTop C Alkaline Batteries with recloseable package - long lasting, all-purpose C battery for household and business - Pack of 12</t>
  </si>
  <si>
    <t>HP 902 Black Ink Cartridge for HP Printers | Works with Printer Series: OfficeJet 6950, 6960; OfficeJet Pro 6960, 6970 | Eligible for Instant Ink | T6L98AN</t>
  </si>
  <si>
    <t>E-Z Ink Compatible Tr8620a Ink Cartridge Replacement for Canon PGI-280XXL CLI-281XXL 280 XXL 281 XXL Compatible with TR8520 TR8620a TR8620 TS702a TS9520 TS9521C TR8520 TS6220 TS6320 TS8220 (5 Pack)</t>
  </si>
  <si>
    <t>Swingline Stapler, 30 Sheet Capacity, 747 Classic Stapler, Jam Free, Metal, Black (74701)</t>
  </si>
  <si>
    <t>ESR for MagSafe Car Mount Charger, 15W Magnetic Wireless Car Charger, Compatible with MagSafe Car Charger,Air Vent Dashboard Phone Holder Mount for iPhone 16 15 14 13 12, Galaxy S25, Fast Charging</t>
  </si>
  <si>
    <t>Mounting Dream Soundbar Mount Bracket for Mounting Above or Under TV Fits Most of Sound Bars Up to 15 Lbs, with Detachable Long Extension Plates MD5420</t>
  </si>
  <si>
    <t>OtterBox iPhone 13 Pro (ONLY) Commuter Series Case - Black, Slim &amp; Tough, Pocket-Friendly, with Port Protection</t>
  </si>
  <si>
    <t>Swingline Stapler, 30 Sheet Capacity, 747 Business Stapler, Jam Free, Metal, Rio Red (74736)</t>
  </si>
  <si>
    <t>Lenovo ThinkPad P14s Gen 5 AMD AMD Ryzen™ 7 PRO 8840HS Processor, 14" WUXGA (1920 x 1200), IPS, Anti-Glare, 1 TB SSD, 32 GB DDR5 Windows 11 Pro 64, 21ME001LUS</t>
  </si>
  <si>
    <t>Pyle 20W Megaphone Bullhorn - 5.4'' x 8.6'' Portable Megaphone, Projection Range Up to 800 Sq. Yards, Voice Talking &amp; Siren Alert, Shoulder Strap, Battery Operated, (White)</t>
  </si>
  <si>
    <t>Casio fx-260 Solar II Scientific Calculator | 10-Digit Display | Fraction &amp; Trig Functions | Ideal for Middle School, High School Math, Algebra, Trigonometry | Solar Powered</t>
  </si>
  <si>
    <t>ARCTIC MX-4 (4 g) - Premium Performance Thermal Paste for All Processors (CPU, GPU - PC), Very high Thermal Conductivity, Long Durability, Safe Application, Non-Conductive</t>
  </si>
  <si>
    <t>Made for Amazon SanDisk 128GB microSD Memory Card for Fire Tablets and Fire -TV</t>
  </si>
  <si>
    <t>Amazon Basics DisplayPort 1.4 Cable, 32.4Gbps High-Speed, 8K@60Hz, 4K@120Hz, Dynamic HDR and 3D, Gold-Plated Plugs, 6 Foot, Black</t>
  </si>
  <si>
    <t>ESR for AirPods Pro 2 Case, Compatible with Airpods Pro Case 2nd / 1st Generation (2023/2022/2019), Compatible with MagSafe, Full Drop Protection Cover with Lanyard, Black</t>
  </si>
  <si>
    <t>ESR 3 Pack 9H+ Glass for iPhone 16 Pro Max Screen Protector, [Military Grade Shatterproof &amp; Longest Durable] Armorite Ultra-Tough Tempered Glass with UltraFit Tray</t>
  </si>
  <si>
    <t>Amazon Basics Rechargeable Battery Charger for AA &amp; AAA Nickel-Metal Hydride (NiMH) Batteries with USB Charging Port, Black</t>
  </si>
  <si>
    <t>Energizer Power Plus Rechargeable AA Batteries (4 Pack), Double A Batteries</t>
  </si>
  <si>
    <t>8Bitdo Sn30 Pro USB Wired Gamepad for Switch, Windows &amp; Raspberry Pi(Gray Edition)</t>
  </si>
  <si>
    <t>Verbatim CD-R Blank Discs 700MB 80 Minutes 52x Recordable Disc for Data and Music - 50 Pack Spindle,Silver</t>
  </si>
  <si>
    <t>LISEN for MagSafe Car Mount Magnetic Car Phone Mount, Air Vent Phone Holder Car [Super Strong Magnets] Hands Free Cell Phone Holder 17X Strong Clip Car Accessories fit iPhone 16 15 14 13 Pro Plus Max</t>
  </si>
  <si>
    <t>UGREEN Aux to Bluetooth 5.4 Adapter 3.5mm Bluetooth Receiver for Car USB 2.0 to 3.5mm Jack Kit with Built-in Microphone Aux Input for Hands-Free Calls Compatible with Car Speaker and Home Audio</t>
  </si>
  <si>
    <t>Dell Latitude 5000 5430 14" Rugged Notebook - Full HD - 1920 x 1080 - Intel Core i5 11th Gen i5-1145G7 Quad-core (4 Core) 2.60 GHz - 16 GB Total RAM - 512 GB SSD - Black</t>
  </si>
  <si>
    <t>Amazon Basics Paper Shredder Sharpening and Lubricant Sheets - Pack of 24</t>
  </si>
  <si>
    <t>PowerA Joy Con Comfort Grips for Nintendo Switch - Black</t>
  </si>
  <si>
    <t>Melissa &amp; Doug Shape Sorting Cube - Classic Wooden Toy With 12 Shapes</t>
  </si>
  <si>
    <t>UGREEN WiFi Adapter for Desktop PC, AX900 USB WiFi 6 Adapter with 5GHz/2.4GHz Dual Band, Built-in Driver for Windows 10/11</t>
  </si>
  <si>
    <t>ASURION 4 Year Tablet Accident Protection Plan ($250 - $299.99)</t>
  </si>
  <si>
    <t>SABRENT SATA to USB Cable - USB 3.0 to 2.5” SATA I/II/III Hard Drive Adapter - External Converter for SSD/HDD Data Transfer (EC-SSHD)</t>
  </si>
  <si>
    <t>Baseus USB C Cable, 100W PD 5A QC 4.0 Fast Charging USBC to USBC Cable, Zinc Alloy Nylon Braided Type C Charger Cord for iPhone 16 15 Pro Plus Pro Max, MacBook, iPad Pro/Mini, Samsung S23/S22+</t>
  </si>
  <si>
    <t>Amazon Basics HDMI Cable, 3 Feet, HDMI 2.1 to HDMI Cable (48Gbps), 8K@60Hz 4K@120Hz Certified Ultra High Speed, Black, Compatible with PS5/Xbox/TV/Monitor</t>
  </si>
  <si>
    <t>Casio SL-300SV Standard Function Desktop Calculator | General Purpose | Large 8-Digit Display | Pocket Size | Basic Math Functions| Ideal for Home &amp; Office</t>
  </si>
  <si>
    <t>VELCRO Brand Easy Hang Extension Cord Holder Organizer Variety Pack | Holds 60-100lbs, Heavy Duty Straps Fit Easily on Hooks or Nails | Perfect for Garage Organization | 3-pk 10",14" and 18", Black</t>
  </si>
  <si>
    <t>Duracell CR2016 3V Lithium Battery, Child Safety Features, 2 Count Pack, Lithium Coin Battery for Key Fob, Car Remote, Glucose Monitor, 3 Volt Cell</t>
  </si>
  <si>
    <t>2-Pack LR44 Alkaline Button Coin Cell Battery</t>
  </si>
  <si>
    <t>DJI Osmo Pocket 3 Creator Combo, Vlogging Camera, 4K/120fps Video, 3-Axis Stabilization, Mic Included for Clear Sound, Bundle with Carrying Case, Screen Protector, 64GB Memory Card, Card Reader</t>
  </si>
  <si>
    <t>Energizer 357/303 Batteries (3 Pack), 1.5V Silver Oxide Button Cell Batteries</t>
  </si>
  <si>
    <t>Duracell 2430 3V Lithium Battery, 1 Count Pack, Lithium Coin Battery for Medical and Fitness Devices, Watches, and more, CR Lithium 3 Volt Cell</t>
  </si>
  <si>
    <t>iOttie Easy One Touch Advanced Universal Car Mount Dashboard &amp; Windshield Suction Cup Phone Holder for iPhone Samsung, Google, All Smartphones</t>
  </si>
  <si>
    <t>HP 410A Black, Cyan, Magenta, Yellow Toner Cartridges (4-pack) | Works with HP Color LaserJet Pro M452 Series, HP Color LaserJet Pro MFP M377, M477 Series | CF410AQ</t>
  </si>
  <si>
    <t>Brother MFC-J4535DW INKvestment -Tank All-in-One Color Inkjet Printer with NFC, Duplex and Wireless Printing Plus Up to 1-Year of Ink in-Box, White</t>
  </si>
  <si>
    <t>Cardo PACKTALK PRO Motorcycle Helmet Communication System Intercom, Crash Detection, Auto On/Off, Air Mount, 45mm Speakers</t>
  </si>
  <si>
    <t>Brother Professional Laser Printer with Scanner, High-Speed 36 ppm Monochrome All-in-One, Wireless Duplex Printing and Scanning, Cloud-Ready 3.5 in Touchscreen for Small Business (MFC-L2900DW)</t>
  </si>
  <si>
    <t>Canon Megatank GX2020 All-in-One Wireless Supertank [Megatank] Printer | Print, Copy and Scan| Mobile Printing |2.7" LCD Color Touchscreen | Auto Document Feeder and Auto Duplex Printing</t>
  </si>
  <si>
    <t>Powermax 12-Count 9V Batteries, Ultra Long Lasting Alkaline Battery for Home and Office, 7-Year Shelf Life, Reclosable Packaging</t>
  </si>
  <si>
    <t>Brother TN227(CMY) High Yield Color Toner Set Cyan,Magenta, Yellow 3 Pack for HL-L3210CW, HL-L3230CDW, MFC-L3750CDW in Retail Packaging</t>
  </si>
  <si>
    <t>Yealink T54W IP Phone, 16 VoIP Accounts. 4.3-Inch Color Display. 802.11ac Wi-Fi, 802.3af PoE, Power Adapter Not Included (SIP-T54W)</t>
  </si>
  <si>
    <t>HP 410X Black High-yield Toner Cartridge | Works with HP Color LaserJet Pro M452 Series, HP Color LaserJet Pro MFP M377, M477 Series | CF410X</t>
  </si>
  <si>
    <t>RØDE NT1 5th Generation Large-diaphragm Studio Condenser Microphone with XLR and USB Outputs, Shock Mount and Pop Filter for Music Production, Vocal Recording and Podcasting (Black)</t>
  </si>
  <si>
    <t>HP LaserJet M209dw Wireless Printer, Print, Fast speeds, Easy setup, Mobile printing, Best for small teams, Instant Ink eligible</t>
  </si>
  <si>
    <t>Cardo Unisex Adult Packtalk Helmet KIT</t>
  </si>
  <si>
    <t>Brother Genuine -Drum Unit, DR223CL, Seamless Integration, Yields Up to 18,000 Pages,Black</t>
  </si>
  <si>
    <t>Canon Genuine 070 Black Toner Cartridge Compatible with MF465dw, MF462dw, LBP247dw, LBP246dw</t>
  </si>
  <si>
    <t>RØDE NT-USB Mini Versatile Studio-quality Condenser USB Microphone with Free Software for Podcasting, Streaming, Gaming, Music Production, Vocal and Instrument Recording,Black</t>
  </si>
  <si>
    <t>DEWALT Powerstack 20V MAX Battery Starter Kit, Rechargeable, 5Ah, Lithium Ion (DCBP520C)</t>
  </si>
  <si>
    <t>Osprey Proxima Laptop Backpack – Organized Everyday Pack with Dedicated Tech Storage, Water Bottle Pockets, and Comfortable Carry – Perfect for School, Commuting, and Travel, Black</t>
  </si>
  <si>
    <t>Racing Wheel Overdrive Designed for Xbox Series X|S By HORI - Officially Licensed by Microsoft</t>
  </si>
  <si>
    <t>EPSON 127 DURABrite Ultra Ink Black &amp; Color Combo Pack For NX-530, NX-625, WF-3520, WF-3530, WF-3540, WF-545, WF-60, WF-630, WF-633, WF-635, WF-645, WF-7010, WF-7510, WF-7520, WF-840, WF-845</t>
  </si>
  <si>
    <t>Brother Genuine Standard Yield Toner Cartridge, TN221BK, Replacement Black Toner, Page Yield Upto 2,500 Pages, Amazon Dash Replenishment Cartridge, TN221</t>
  </si>
  <si>
    <t>Canon Genuine 051 Black Toner Cartridge Compatible with LBP162dw, MF264dw, MF267dw, MF269dw, MF269dw VP</t>
  </si>
  <si>
    <t>RØDE VideoMicro II Ultra-Compact On-Camera Shotgun Microphone for Recording Audio with a Camera or Mobile Device</t>
  </si>
  <si>
    <t>Brother Genuine LC30333PKS 3-Pack, Super High-yield Color INKvestment Tank Ink Cartridges; Includes 1 Cartridge each of Cyan, Magenta &amp; Yellow, Page Yield Up to 1,500 Pages/Cartridge, LC3033</t>
  </si>
  <si>
    <t>Cardo 45mm Audio Set, Works with Most Helmet Communicators (Single Pack)</t>
  </si>
  <si>
    <t>VIVO 500ft Bulk Cat6 Wire, CCA Ethernet Cable, 23 AWG, UTP Pull Box, LAN Network, Gray, CABLE-V006</t>
  </si>
  <si>
    <t>SENNHEISER In- Ear Audio Monitor, Clear, Wired (508941)</t>
  </si>
  <si>
    <t>Honeywell 1602G2D-2USB-OS Voyager 1602g Pocket Scanner for 1D/PDF/2D Barcode, Bluetooth, MFI Certified, 1D/PDF/2D, Black</t>
  </si>
  <si>
    <t>ARCTIC Liquid Freezer III Pro 240 A-RGB - 240 mm AIO CPU Cooler, Water Cooling, 38 mm Radiator, PWM Pump, VRM Fan, for AMD AM5/AM4, Intel LGA1851/1700 Contact Frame - Black</t>
  </si>
  <si>
    <t>HP 31 Cyan, Magenta, Yellow Ink Bottles (3-Pack) | Works Smart Tank 5000, 6000, 7000 Series; Smart Tank Plus 500, 600 Series | 9C228AN | Packaging May Vary</t>
  </si>
  <si>
    <t>Thrustmaster T-Flight Hotas X (Compatible with PC)</t>
  </si>
  <si>
    <t>HP Sprocket Studio Plus 4 x 6” Photo Paper and Cartridges (Includes 108 Sheets and 2 Cartridges) – Compatible only with HP Sprocket Studio Plus Printer</t>
  </si>
  <si>
    <t>Brother LC3029 Color C/M/Y Ink Cartridges (LC30293PKS), Super High Yield, 3/Pack,Cyan/magenta/yellow</t>
  </si>
  <si>
    <t>Wrangler Yellowstone Sturdy Backpack for Travel Classic Logo Water Resistant Casual Daypack for Travel with Padded Laptop Notebook Sleeve</t>
  </si>
  <si>
    <t>DYMO LetraTag Bundle 100T printer, with 13 ft black on white labels and 13 ft black on clear labels</t>
  </si>
  <si>
    <t>Audio-Technica AT-VMN95E 0.3 x 0.7mil Elliptical Replacement Stylus for AT-VM95E Cartridge</t>
  </si>
  <si>
    <t>Razer Wolverine Ultimate Officially Licensed Xbox One Controller: 6 Remappable Buttons and Triggers - Interchangeable Thumbsticks and D-Pad - For PC, Xbox One, Xbox Series X &amp; S - Black</t>
  </si>
  <si>
    <t>PowerA Advantage Wired Controller for Xbox Series X|S with Lumectra - Black, gamepad, wired video game controller, gaming controller, works with Xbox One and Windows 10/11, officially licensed</t>
  </si>
  <si>
    <t>EPSON 200 DURABrite Ultra Ink High Capacity Black &amp; Standard Color Cartridge Combo Pack (T200XL-BCS) Works with WorkForce WF-2520, WF-2530, WF-2540, Expression XP-200, XP-300, XP-310, XP-400, XP-410, Black and color combo pack</t>
  </si>
  <si>
    <t>HP 12CP Financial Calculator</t>
  </si>
  <si>
    <t>Epson 222 Claria Ink High Capacity Black Cartridge (T222XL120-S) Works with Workforce WF-2960, Expression XP-5200</t>
  </si>
  <si>
    <t>DEERC D20 Mini Drone with Camera for Kids, Remote Control Toys Gifts for Boys Girls with Voice Control, Gestures Selfie, Altitude Hold, Gravity Control, One Key Start, 3D Flips 2 Batteries, Blue</t>
  </si>
  <si>
    <t>EPSON 822 DURABrite Ultra Ink High Capacity Yellow Cartridge (T822XL420-S) Works with WorkForce Pro WF-3820, WF-3823, WF-4820, WF-4830, WF-4833, WF-4834</t>
  </si>
  <si>
    <t>Pioneer DJ HDJ-CUE1 On-ear DJ Headphones - Black</t>
  </si>
  <si>
    <t>Streamlight 74175 Battery Lithium for Strion Made By Streamlight</t>
  </si>
  <si>
    <t>VEVOR Retractable Extension Cord Reel, 30 FT, Heavy Duty 16AWG/3C SJTOW Power Cord, with Lighted Triple Tap Outlet 10 Amp Circuit Breaker, for Ceiling or Wall Mount Garage and Shop, ETL Listed</t>
  </si>
  <si>
    <t>DYMO Authentic LW Large Shipping Labels DYMO Labels for LabelWriter Label Printers Print Up to 6-Line Addresses 2-5/16" x 4" 1 Roll of 300</t>
  </si>
  <si>
    <t>E-Z Ink Compatible Drum Unit (Not Toner) Replacement for Brother DR630 DR 630 to Compatible with DCP-L2520DW DCP-L2540DW HL-L2300D HL-L2305W HL-L2320D HL-L2340DW HL-L2380DW HL-L2680W (2 Pack)</t>
  </si>
  <si>
    <t>Energizer Ultimate Lithium AAA 18-Pack</t>
  </si>
  <si>
    <t>Casio HR-200RC – Desktop Printing Calculator with Dual-Color Print &amp; 150-Step Check | Cost/Sell/Margin, Tax &amp; Calendar | New Version of HR-150TM | Ideal for Accounting &amp; Retail</t>
  </si>
  <si>
    <t>Canon PGI-1200 Genuine Pigment Black Ink Tank, Compatible with MB2120, MB2720, MB2020, and MB2320 Printers</t>
  </si>
  <si>
    <t>E-Z Ink Remanufactured Ink Cartridges Replacement for Epson 127 T127 to use with NX530 625 WF-3520 WF-3530 WF-3540 WF-7010 WF-7510 7520 545 645 (4 Large Black, 2 Cyan, 2 Magenta, 2 Yellow) 10 Pack</t>
  </si>
  <si>
    <t>Anne Klein Fashion Chain Bracelet for Apple Watch, Secure, Adjustable, Apple Watch Replacement Band, Fits Most Wrists</t>
  </si>
  <si>
    <t>Cardo Refresh KIT for PACKTALK/FREECOM X/Spirit Series</t>
  </si>
  <si>
    <t>Brother Genuine P-Touch TZe White Print on Black Label Tape (TZe335), Laminated,1/2in x 26.2ft (12mm x 8m), for Select P-Touch Label Makers, Durable, Water-Resistant, Indoor/Outdoor Use</t>
  </si>
  <si>
    <t>Canon CLI-251XL Genuine Magenta Ink Tank, Compatible with MG6320, IP7220 &amp; MG5420, MX922, MG5520, MG6420, MG7120, iX6820, iP8720, MG7520, MG6620, and MG5620 Printers</t>
  </si>
  <si>
    <t>8Bitdo Micro Bluetooth Gamepad Pocket-sized Mini Controller for Switch, Android, and Raspberry Pi, Supports Keyboard Mode (Green)</t>
  </si>
  <si>
    <t>EPSON 202 Claria Ink Standard Capacity Black Cartridge (T202120-S) Works with WorkForce WF-2860, Expression XP-5100</t>
  </si>
  <si>
    <t>Xyron Permanent Adhesive Refill for Create-a-Sticker XRN500, 5" x 20', Refill Cartridge (AT1505-20)</t>
  </si>
  <si>
    <t>ASURION 3 Year B2B Office Equipment Protection Plan ($150 - $174.99)</t>
  </si>
  <si>
    <t>HP 564 Photo Ink Cartridge | Works with HP PhotoSmart B8550, C6300, D5400, D7560, 7500, Premium, eStation Series | CB317WN</t>
  </si>
  <si>
    <t>HORI Ultra High Speed HDMI Cable for PlayStation® 5 - Officially Licensed by Sony</t>
  </si>
  <si>
    <t>E-Z Ink PGI-270XL CLI-271XL Printer Ink Compatible for Canon 270 271 XL Ink Cartridges to use with Pixma MG5720 MG5721 MG5722 MG6820 MG6821 MG6822 TS5020 TS6020 MG7720 TS8020 TS9020, (5 Color-15 Pack)</t>
  </si>
  <si>
    <t>Learning Resources Patterned Hand Pointers - 3 Pieces, Ages 3+ Classroom Pointer for Kids, Reading Pointers for Kids, Homeschool and Classroom Supplies</t>
  </si>
  <si>
    <t>Mercer Culinary M20003 Genesis 3.5-Inch Paring Knife,Black</t>
  </si>
  <si>
    <t>RAYOVAC Heavy Duty Lantern Battery, 6 Volt Screw Terminals, 945R4C</t>
  </si>
  <si>
    <t>Kuhn Rikon Auto Safety Master Opener for Cans, Bottles and Jars, 9 x 2.75 inches, Red</t>
  </si>
  <si>
    <t>Scotch Thermal Laminating Pouches, 50 Count, Clear, 3 mil., Laminate Homemade Ornaments, Christmas Banners and Gift Tags, Ideal Holiday Supplies, Fits Letter Sized (8.9 in. × 11.4 in.) Paper</t>
  </si>
  <si>
    <t>Eneloop Panasonic BK-3MCCA6BA AA 2100 Cycle Ni-MH Pre-Charged Rechargeable Batteries, 6-Battery Pack</t>
  </si>
  <si>
    <t>Nike Skinny Dri Fit Bands</t>
  </si>
  <si>
    <t>HP Printer Paper | 8.5 x 11 Paper | Office 20 lb | 1 Ream - 500 Sheets | 92 Bright | Made in USA - FSC Certified | 172160R</t>
  </si>
  <si>
    <t>VELCRO Brand ONE-WRAP Cable Ties | 60Pk | 8 x 1/2" Straps, Multicolor | Strong Reusable Wire Management | Cord Bundling for Home Office and Data Centers</t>
  </si>
  <si>
    <t>12-Pack Duracell 2025 Batteries 3.0 Volt Lithium Coin Button</t>
  </si>
  <si>
    <t>Canon Genuine GI-20 Cyan Ink Bottle, Compatible to PIXMA G6020 and G5020 MegaTank Printers</t>
  </si>
  <si>
    <t>Avery Print/Write Self-Adhesive Removable Labels, 0.75 Inch Diameter, Green, 1008 per Pack (5463)</t>
  </si>
  <si>
    <t>SureFire SF2-CB 123A Lithium 3V Batteries (2-Pack)</t>
  </si>
  <si>
    <t>Adidas Unisex-Adult Interval Reversible Wristband – Athletic Sweatband for Men and Women</t>
  </si>
  <si>
    <t>Canon GI-20 Genuine Yellow Ink Bottle, Compatible with Megatank G5020, G6020, and G7020 Printers</t>
  </si>
  <si>
    <t>BAGSMART Cord Organizer Travel Cable Bag, Compact Tech Electronic Organizer Travel Case, Essentials for Charger, Cable, Phone, Flash drive - Beige</t>
  </si>
  <si>
    <t>Canon GI-20 Genuine Magenta Ink Bottle, Compatible with Megatank G5020, G6020, G7020 Printers</t>
  </si>
  <si>
    <t>Energizer 390/389 Silver Oxide Cd/5</t>
  </si>
  <si>
    <t>Motorola DTR700 900 MHz 50-Channel Digital Two-Way Radio</t>
  </si>
  <si>
    <t>Mitchum Antiperspirant Deodorant Stick for Men, Triple Odor Defense Gel, 48 Hr Protection, Dermatologist Tested, Sport,green 2.25 oz (pack of 2)</t>
  </si>
  <si>
    <t>Nintendo France SARL Animal Crossing: New Leaf - Welcome Pack Sanrio - Amiibo 6 Card (Multi), Black, 2003266</t>
  </si>
  <si>
    <t>Energizer 394/380 (SR936W, SR936SW) Silver Oxide Watch Battery. On Tear Strip</t>
  </si>
  <si>
    <t>Epson T232 Cyan Ink Cartridge, Standard Capacity</t>
  </si>
  <si>
    <t>Singing Machine Wired Microphone for Karaoke, (Pink) - Unidirectional Dynamic Vocal Microphone - Plug-In Microphone for Karaoke Machine, AMP, &amp; Speaker - Mic for Singing, Public Speaking, &amp; Parties</t>
  </si>
  <si>
    <t>Duracell Coppertop AAA Batteries with Power Boost Ingredients, 24 Count Pack Triple A Battery with Long-Lasting Power, Alkaline AAA Battery for Household and Office Devices</t>
  </si>
  <si>
    <t>Texas Instruments TI-30Xa Scientific Calculator</t>
  </si>
  <si>
    <t>Amazon Basics 8-Pack 9V Alkaline Batteries, 5-Year Shelf Life - for Smoke/CO Detector, Electronics &amp; Audio</t>
  </si>
  <si>
    <t>LISEN USB C to Lightning Cable, 240W 4 in 1 Charging Cable 6.6FT, Chubby USB A/C to C/Lightning with Light for iPhone 16e 15 14 Pro/MacBook Air 17/iPad/Samsung/Switch 2, Multi Chargers for All Devices</t>
  </si>
  <si>
    <t>Apple iPad Air 11-inch with M3 chip Built for Apple Intelligence, Liquid Retina Display, 128GB, 12MP Front/Back Camera, Wi-Fi 6E, Touch ID, All-Day Battery Life — Space Gray</t>
  </si>
  <si>
    <t>Apple AirPods Max Wireless Over-Ear Headphones, Pro-Level Active Noise Cancellation, Transparency Mode, Personalized Spatial Audio, USB-C Charging, Bluetooth Headphones for iPhone - Midnight</t>
  </si>
  <si>
    <t>CyberPower CP1500PFCLCD PFC Sinewave UPS Battery Backup and Surge Protector, 1500VA/1000W, 12 Outlets, AVR, Mini Tower; UL Certified</t>
  </si>
  <si>
    <t>HP OfficeJet Pro 9125e All-in-One Printer, Color, Printer-for-Small Medium Business, Print, Copy, scan, fax,Touchscreen; Smart Advance Scan, 3 month Instant Ink trial included</t>
  </si>
  <si>
    <t>Texas Instruments TI-Nspire CX II CAS Color Graphing Calculator with Student Software (PC/Mac)</t>
  </si>
  <si>
    <t>Fitbit Versa 4 Fitness Smartwatch with Daily Readiness, GPS, 24/7 Heart Rate, 40+ Exercise Modes, Sleep Tracking and more, Black/Graphite, One Size (S &amp; L Bands Included)</t>
  </si>
  <si>
    <t>Garmin Vívoactive 5, Health and Fitness GPS Smartwatch, AMOLED Display, Up to 11 Days of Battery, Slate Aluminum Bezel with Black Case and Silicone Band</t>
  </si>
  <si>
    <t>TP-Link AXE5400 Tri-Band WiFi 6E Router (Archer AXE75)- Gigabit Wireless Internet for Gaming, VPN, OneMesh, WPA3</t>
  </si>
  <si>
    <t>KODAK PIXPRO Friendly Zoom FZ45-BK 16MP Digital Camera with 4X Optical Zoom 27mm Wide Angle and 2.7" LCD Screen (Black)</t>
  </si>
  <si>
    <t>Turtle Beach Stealth 600 Wireless Multiplatform Amplified Gaming Headset for Xbox Series X|S, Xbox One, PC, PS5, PS4, &amp; Mobile – Bluetooth, 80-Hr Battery, Noise-Cancelling Mic – Black</t>
  </si>
  <si>
    <t>Canon PGI-280XL/CLI-281 5 Color Pack Compatible to TR8520, TR7520, TS9120 Series,TS8120 Series, TS6120 Series</t>
  </si>
  <si>
    <t>JBL Clip 5 - Ultra-Portable, Waterproof &amp; Dustproof Bluetooth Speaker, Big Pro Sound with Punchy bass, Integrated Carabiner, Up to 12 Hours of Play, Made in Part with Recycled Materials (Black)</t>
  </si>
  <si>
    <t>TP-Link Dual-Band AX3000 Wi-Fi 6 Router Archer AX55 | Wireless Gigabit Internet Router for Home | EasyMesh Compatible | VPN Clients &amp; Server | HomeShield, OFDMA, MU-MIMO | USB 3.0 | Secure by Design</t>
  </si>
  <si>
    <t>Original HP 64 Tri-color / 64XL Black Ink Cartridges (2-Pack) | Works with HP ENVY Inspire 7250e, 7950e Series; HP ENVY Photo 6200, 7100, 7800 Series</t>
  </si>
  <si>
    <t>Fujifilm INSTAX Mini Instant Film (White) for Fujifilm Mini 8,9,11,12 Cameras w/Microfiber Cloth by Quality (20 Prints)</t>
  </si>
  <si>
    <t>HP 61XL Black High-yield Ink | Works with Series: DeskJet 1000, 1010, 1050, 1510, 2050, 2510, 2540, 3000, 3050, 3510; ENVY 4500, 5530; OfficeJet 2620, 4630 | Eligible for Instant Ink | CH563WN</t>
  </si>
  <si>
    <t>Razer Basilisk V3 Customizable Ergonomic Gaming Mouse: Fastest Gaming Mouse Switch - Chroma RGB Lighting - 26K DPI Optical Sensor - 11 Programmable Buttons - HyperScroll Tilt Wheel - Classic Black</t>
  </si>
  <si>
    <t>HP 64 Tri-color Ink Cartridge for HP Printers | Works with Printer Series: ENVY Inspire 7950e; ENVY Photo 6200, 7100, 7800; Tango | Eligible for Instant Ink | N9J89AN</t>
  </si>
  <si>
    <t>Brother PT-M95 P-Touch Monochrome Label Maker Bundle (4 Label Tapes Included),White</t>
  </si>
  <si>
    <t>SanDisk 256GB Extreme PRO® microSD™ UHS-I Card with Adapter C10, U3, V30, A2, 200MB/s Read 140MB/s Write SDSQXCD-256G-GN6MA</t>
  </si>
  <si>
    <t>Amazon Basics Electric Stainless Steel Kettle for Tea and Coffee, BPA-Free, Fast Boiling, Auto Shut-Off, 1.1 Quarts, 1500W, Black and Silver</t>
  </si>
  <si>
    <t>UGREEN 65W USB C Charger Block - Nexode 4-Port GaN Charger Type C, Fast Charging for MacBook Pro/Air, iPhone, iPad Pro, Galaxy S24/S23, Pixel 8, Steam Deck</t>
  </si>
  <si>
    <t>Retevis RT22 Two Way Radio Long Range Rechargeable,Portable 2 Way Radio, USB-C Charging, Handsfree Walkie Talkies for Adults Cruise Hiking Camping(4 Pack)</t>
  </si>
  <si>
    <t>Acer USB C Hub, 7 in 1 USB C to Multi-Port Adapter for Laptop, 4K USBC to HDMI Splitter with 2 USBA 3.1&amp;Type-C Data Port, PD 100W Charging Port, SD Card Reader for Computer, Desktop and More</t>
  </si>
  <si>
    <t>Canon PG-275 XL Genuine Black Ink Cartridge, Compatible with TS3520/3522, TR4720/4722, TS3720/3722</t>
  </si>
  <si>
    <t>PowerA Wired Controller For Xbox Series X|S - Black, Gamepad, Video Game Controller Works with Xbox One</t>
  </si>
  <si>
    <t>TP-Link WiFi 6 USB Adapter for Desktop PC - (Archer TX20U Plus) AX1800 Wireless Network Adapter with 2.4GHz, 5GHz, High Gain Dual Band 5dBi Antenna, WPA3, Supports Windows 11/10</t>
  </si>
  <si>
    <t>SAMSUNG 65-Inch Class OLED 4K S90C Series Quantum HDR, Dolby Atmos Object Tracking Sound Lite, Ultra Thin, Q-Symphony 3.0, Gaming Hub, Smart TV with Alexa Built-in (QN65S90C, 2023 Model), Titan Black</t>
  </si>
  <si>
    <t>E-Z Ink TN760 Compatible Toner Cartridges Replacement for Brother TN-760 TN730 TN-730 to Use with MFC-L2710DW MFC-L2750DW HL-L2350DW HL-L2370DW HL-L2395DW HL-L2390DW DCP-L2550DW (Black, 2 Pack)</t>
  </si>
  <si>
    <t>Samsung Official 45W USB-C Super Fast Charging Wall Charger (Black)</t>
  </si>
  <si>
    <t>Blink Mini - Compact indoor plug-in smart security camera, 1080p HD video, night vision, motion detection, two-way audio, easy set up, Works with Alexa – 1 camera (Black)</t>
  </si>
  <si>
    <t>Anker MacBook Pro Charger, Compact and Foldable 100W USB C Charger for MacBook Air, Samsung Galaxy, iPad Pro, and More, 5FT USB C Cable Included</t>
  </si>
  <si>
    <t>EPSON 502 EcoTank Ink Ultra-high Capacity Bottle Black Works with ET-2750, ET-2760, ET-2850, ET-3750, ET-3760, ET-3850, ET-4850, and other select EcoTank models</t>
  </si>
  <si>
    <t>Nakamichi Shockwafe 11.2.6 Channel Dolby Atmos/DTS:X Soundbar with Upgraded Dual 10” Subwoofers, Wireless Bipolar Surrounds, 6 Height Channels, AHD Ultra, 31 Punktkilde Drivers (2025 Flagship)</t>
  </si>
  <si>
    <t>Amazon Basics USB-Powered Computer Speakers for Desktop or Laptop PC with Volume Control, Plug-N-Play, Black</t>
  </si>
  <si>
    <t>Microsoft Surface Pro 9 Tablet - 13" - Core i7 12th Gen i7-1265U Deca-core (10 Core) - 16 GB RAM - 512 GB SSD - Windows 11 Pro 64-bit - Graphite</t>
  </si>
  <si>
    <t>Lexar E-Series 128GB Micro SD Card 2 Pack, microSDXC UHS-I Flash Memory Card with Adapter, 100MB/s, C10, U3, A1, V30, Full HD, 4K UHD, High Speed TF Card</t>
  </si>
  <si>
    <t>EPSON 522 EcoTank Ink Ultra-high Capacity Bottle Black (T522120-S) Works with EcoTank ET-2720, ET-2800, ET-2803, ET-2840, ET-4700, ET-4800, ET-4810</t>
  </si>
  <si>
    <t>TP-Link WiFi Extender with Ethernet Port, Dual Band 5GHz/2.4GHz, Up to 44% More Bandwidth Than Single Band, Covers Up to 1200 Sq.ft and 30 Devices, Signal Booster Amplifier Supports OneMesh(RE220)</t>
  </si>
  <si>
    <t>PNY 128GB Turbo Attaché 3 USB 3.0 Flash Drive, Silver (Pack of 2)</t>
  </si>
  <si>
    <t>Energizer 634352 AA Ultimate Lithium Battery (Pack of 10)</t>
  </si>
  <si>
    <t>GORILLA GRIP Silky Gel Memory Foam Wrist Rest for Computer Keyboard, Mouse, Ergonomic Design for Typing Pain Relief, Desk Pads Support Hand and Arm, Mousepad Rests, Stain Resistant, 2 Piece Pad, Black</t>
  </si>
  <si>
    <t>LISEN Airplane for iPhone Holder Stand for Desk Travel Europe Vacation Essentials Long Flight Mini Travels Essentials Kids Women for MagSafe Travel Accessories Cruise Essentials Cell Phone Video Kits</t>
  </si>
  <si>
    <t>Amazon Basics Speaker Cable, Easy Assembly, 16-Gauge, Bronze, 100 ft</t>
  </si>
  <si>
    <t>ACDelco 40-Count Double AA Batteries, Maximum Power Super Alkaline Battery for Home and Office, 10-Year Shelf Life, Reclosable Packaging</t>
  </si>
  <si>
    <t>ESR for MagSafe Wallet, 5-Card Holder, Magnetic Wallet for iPhone, RFID Blocking, with 3,200 g Magnetic Strength, Vegan Leather, Slim for iPhone 16/15/14/13/12 Series, Not for 13/12 Mini, Black</t>
  </si>
  <si>
    <t>Apple 2025 MacBook Air 13-inch Laptop with M4 chip, 16GB Unified Memory, 1TB SSD Storage - Silver</t>
  </si>
  <si>
    <t>Amazon Basics Expanding Organizer File Folder, Letter Size - Black, 1-Pack</t>
  </si>
  <si>
    <t>Corsair TM30 Performance Thermal Paste | Ultra-Low Thermal Impedance CPU/GPU | 3 Grams|w/applicator, silver for Desktop</t>
  </si>
  <si>
    <t>ARCTIC MX-6 (4 g) - Ultimate Performance Thermal Paste for CPU, Consoles, Graphics Cards, laptops, Very high Thermal Conductivity, Long Durability, Non-Conductive</t>
  </si>
  <si>
    <t>Intermatic WP3100C Weatherproof Electrical Outlet Cover - Extreme Temperature Resistance, Heavy-Duty Construction, Versatile Design &amp; Multi-Configurable, Easy Install, Secure Fit for Outdoor in-Use</t>
  </si>
  <si>
    <t>AINOPE 240W USB C to USB C Cable Right Angle [10FT] C to C Cable Fast Charging,USBC to USBC Charger Cord Type C Fits iPhone 16 15 Pro Max Plus,MacBook,iPad Pro,Samsung Galaxy S25,Pixel,All Devices</t>
  </si>
  <si>
    <t>LISEN for Nintendo Switch 2 Screen Protector [2025 Upgrade] (ANTI-GLARE &amp; Auto Alignment Kit) Screen Protector Switch2 Tempered Glass [Longest Durable] Full Coverage switch 2 pre order accessories, 2 Pack</t>
  </si>
  <si>
    <t>Amazon Basics HDMI to DVI (Male) Adapter Cable, Bi-Directional 1080P, 6 ft/1.8 m, Gold-Plated, Easy to Install, Single Pack for Television, Black</t>
  </si>
  <si>
    <t>AINOPE USB to USB Cable, USB 3.0 A to A Male to Male Cable [Never Rupture] Double End Type A Cord Compatible with Hard Drive Enclosures, KVM, DVD Player, TV, Laptop Cooler,6.6Ft/Grey</t>
  </si>
  <si>
    <t>UGREEN USB Bluetooth 5.3 Adapter for PC, Plug &amp; Play for Windows 11/10/8.1, Bluetooth Receiver &amp; Transmitter for Keyboard/Mouse/Headphone/Speakers/Printer</t>
  </si>
  <si>
    <t>ESR Camera Lens Protector for iPhone 16 Pro Max/16 Pro/15 Pro Max/15 Pro/14 Pro Max/14 Pro, Ultra-tough HD Individual Lens Protectors, Scratch Resistant, Ultra-thin Tempered Glass, 1 Pack, Black</t>
  </si>
  <si>
    <t>Dell UltraSharp U4924DW 49" Dual Quad HD (DQHD) Curved Screen Edge WLED LCD Monitor - 32:9,Black</t>
  </si>
  <si>
    <t>Duracell 377/376 Silver Oxide Button Batteries, 2 Count (Pack of 1), Battery with Long-Lasting Power for Watches, Calculators, and More</t>
  </si>
  <si>
    <t>Amazon Basics Toslink Digital Optical Audio Cable, Multi-Channel, for Audio System, Sound Bar, Home Theatre, Gold-Plated Connectors, 6 Foot, Black</t>
  </si>
  <si>
    <t>Outward Hound Fun Feeder Slo Bowl, Medium Slow Feeder Dog Bowl, 2 Cups, Turquoise</t>
  </si>
  <si>
    <t>Duracell 21/23 12V Battery, 2 Count (Pack of 1), 21/23 12 Volt Alkaline Batteries, Long-Lasting for Key Fobs, Garage Door Openers, Alarm Sensors, and More</t>
  </si>
  <si>
    <t>Energizer 2032 Batteries (4 Pack), 3V Lithium Coin Batteries</t>
  </si>
  <si>
    <t>Duracell 1620 3V Lithium Battery, 1 Count Pack, Lithium Coin Battery for Medical and Fitness Devices, Watches, and more, CR Lithium 3 Volt Cell</t>
  </si>
  <si>
    <t>Powermax 100-Count Double AA Batteries, Ultra Long Lasting Alkaline Battery for Home and Office, 10-Year Shelf Life, Reclosable Packaging</t>
  </si>
  <si>
    <t>Brother MFC-L8900CDW Business Color Laser All-in-One Printer, Amazon Dash Replenishment Ready</t>
  </si>
  <si>
    <t>Epson Workforce ES-580W Wireless Color Duplex Desktop Document Scanner for PC and Mac with 100-sheet Auto Document Feeder (ADF) and Intuitive 4.3" Touchscreen</t>
  </si>
  <si>
    <t>HP 37A Black Toner Cartridge | Works with HP LaserJet Enterprise M607, M608, M609 Series, HP LaserJet Enterprise MFP M631, M632, M633 Series | CF237A</t>
  </si>
  <si>
    <t>Skytech Gaming Azure 3 Desktop PC, Ryzen 7 7700 3.8 GHz (5.3GHz), NVIDIA RTX 5060, 1TB NVMe SSD, 32GB DDR5 RAM 5200 RGB, 650W Gold PSU, Wi-Fi, Win 11</t>
  </si>
  <si>
    <t>Brother TN433BK, TN433C, TN433M, TN433Y High Yield Black, Cyan, Magenta and Yellow Toner Cartridge Set</t>
  </si>
  <si>
    <t>Canon CRG 055 Standard Capacity Toner Cartridge for MF743 &amp; MF741 Printers, Bundle with Black/Cyan/Magenta/Yellow</t>
  </si>
  <si>
    <t>Epson Workforce ES-C220 Compact Desktop Document Scanner with 2-Sided Scanning and Auto Document Feeder (ADF) for PC and Mac</t>
  </si>
  <si>
    <t>Epson EcoTank ET-3850 Wireless Color All-in-One Cartridge-Free Supertank Printer with Scanner, Copier, ADF and Ethernet – White (Renewed)</t>
  </si>
  <si>
    <t>DYMO Label Printer | Label Writer 450 Twin Turbo Direct Thermal Printer Fast Printing Great for Labeling Filing Shipping Mailing Barcodes and More Home &amp; Office Organization</t>
  </si>
  <si>
    <t>EATON CHSPT2ULTRA Ultimate Surge Protection 3rd Edition, 2.38" Length, 5.25" Width 7.5" Height</t>
  </si>
  <si>
    <t>Canon RF70-200mm F2.8 L is USM Z White</t>
  </si>
  <si>
    <t>Canon PIXMA G620 Wireless MegaTank Photo All-in-One Printer [Print, Copy, Scan], Black,Works with Alexa</t>
  </si>
  <si>
    <t>Brother MFC-J5855DW INKvestment Tank Color Inkjet All-in-One Printer with up to 1 Year of Ink in-box1 and to 11” x 17” Printing Capabilities, White</t>
  </si>
  <si>
    <t>Canon Genuine 069 Black Toner Cartridge High Capacity Compatible with MF753Cdw, MF751Cdw, LBP674Cdw</t>
  </si>
  <si>
    <t>Canon PIXMA TS702a Wireless Single Function Printer |Mobile Printing with AirPrint®, and Mopria®, Black</t>
  </si>
  <si>
    <t>Epson TM-T20III,Monochrome Thermal POS Printer C31CH51001</t>
  </si>
  <si>
    <t>Canon imageCLASS MF3010 VP - Wired Monochrome Multifunction Laser Printer with Scanner, Copier, USB Cable Included, Up To 2,300 Page Toner Yield in Box, 19 PPM, Black</t>
  </si>
  <si>
    <t>Epson 812 DURABrite Ultra Ink High Capacity Black &amp; Color Cartridge Combo Pack (T812XL-XCS) Works with Workforce Pro WF-7310, WF-7820, WF-7840, Workforce EC-C7000</t>
  </si>
  <si>
    <t>Texas Instruments TI-84 Plus Graphing Calculator, Black</t>
  </si>
  <si>
    <t>Tripp Lite Series SMART1500RMXL2U 1500VA Smart UPS Back Up, Sine Wave, 1440W, 8 Outlets, 2U Rackmount, Extended Run &amp; Network Card Option, LCD, USB, 3-Year Warranty &amp; $250,000 Insurance</t>
  </si>
  <si>
    <t>HP Original 910XL Black, Cyan, Magenta, Yellow High-Yield Ink Cartridges (5-Pack) | Works OfficeJet 8010, 8020 Series OfficeJet Pro 8020, 8030 Series | Eligible for Instant Ink | 6ZA58AN</t>
  </si>
  <si>
    <t>TI 83 Plus Graphing Calculator with Guerrilla Military Grade Screen Protector Set, Certified Reconditioned (New Model)</t>
  </si>
  <si>
    <t>Epson 822 DURABrite Ultra Ink High Capacity Black &amp; Color Cartridge Combo Pack (T822XL-XCS) Works with Workforce Pro WF-3820, WF-3823, WF-4820, WF-4830, WF-4833, WF-4834</t>
  </si>
  <si>
    <t>HP LaserJet M209d Laser Printer, Black and White, Automatic Duplex, USB Connection Only (Cable Included), Ideal in Home Office (8J9L0F)</t>
  </si>
  <si>
    <t>Epson Workforce Pro WF-4830 Wireless All-in-One Printer with Auto 2-Sided Print, Copy, Scan and Fax, 50-Page ADF, 500-sheet Paper Capacity, and 4.3" Color Touchscreen, Works with Alexa, Black, Large</t>
  </si>
  <si>
    <t>Minn Kota i-Pilot Bluetooth Remote</t>
  </si>
  <si>
    <t>HP 83A Black Toner Cartridge | Works with HP LaserJet Pro M201, HP LaserJet Pro MFP M125, M127, M225 Series | CF283A...</t>
  </si>
  <si>
    <t>HP 94X Black High-yield Toner Cartridge | Works with HP LaserJet Pro M118 Series; HP LaserJet Pro MFP M148, M149 Series | CF294X, Black 14.09 x 4.25 x 5.3 in</t>
  </si>
  <si>
    <t>GOJO Premium Foam Handwash with Skin Conditioners, Cranberry Scent, EcoLogo Certified, 1200 mL Foam Hand Soap Refill TFX Touch-Free Dispenser (Pack of 2) – 5361-02</t>
  </si>
  <si>
    <t>Energizer EN91 Industrial Alkaline Batteries, AA (Box of 144 Batteries) - Made in The USA or Singapore</t>
  </si>
  <si>
    <t>HP 10bII+ Financial Calculator</t>
  </si>
  <si>
    <t>SwissGear 1186 Bungee Backpack, Black, 17-Inch</t>
  </si>
  <si>
    <t>VTech SN5147 Amplified Corded/Cordless Senior Phone with Answering Machine, Call Blocking, 90dB Extra-Loud Visual Ringer, One-Touch Audio Assist on Handset up to 50dB, White</t>
  </si>
  <si>
    <t>Ooma Telo VoIP Free Internet Home Phone Service. Affordable landline replacement. Unlimited nationwide calling. Call on the go with free mobile app. Low international rates. Can block robocalls, black</t>
  </si>
  <si>
    <t>ASURION 3 Year Camera Protection Plan ($250 - $299.99)</t>
  </si>
  <si>
    <t>DEWALT Heavy Duty True Wireless Ear Buds, Bluetooth Headphones with Type C Charging Case Included, Over 30 Hours of Battery Life, Easy Setup for iPhone, Perfect for Jobsite, Outdoor Work, Yellow</t>
  </si>
  <si>
    <t>Canon PG-210 XL / CL-211 XL Genuine Ink Value Pack (2 Cartridges), Compatible with MX320/330/340/350/410/420, MP240/250/270/280/480/490/495, iP2702</t>
  </si>
  <si>
    <t>DYMO Authentic LW Name Badge Labels DYMO Labels for LabelWriter Printers White 2-1/4" x 4" 1 Roll of 250</t>
  </si>
  <si>
    <t>HP Papers | 8.5x 11 Paper | All-In-One 22 lb | 5 Ream Case - 2,500 Sheets | 96 Bright| Made in USA - FSC Certified | 207000C</t>
  </si>
  <si>
    <t>Nintendo Replacement Wii Console, White - No Cables Or Accessories (Renewed)</t>
  </si>
  <si>
    <t>Brother Genuine LC30373PKS, 3-Pack Super High-Yield Color INKvestment Tank Ink Cartridges, Includes 1 Cartridge Each of Cyan, Magenta and Yellow Ink, Page Yield Up to 1,500 Pages/Cartridge, LC3037</t>
  </si>
  <si>
    <t>BOSCH BT 150 Compact Tripod with Extendable Height for Use with Line Lasers, Point Lasers, and Laser Distance Measures</t>
  </si>
  <si>
    <t>DYMO Authentic LW Large Multi-Purpose Labels, DYMO Labels for LabelWriter Label Printers, 2-1/8" x 2-3/4", 1 Roll of 320</t>
  </si>
  <si>
    <t>Amazon Basics Aluminum Storage Clipboard, Two-Tier, Standard Clip, 14" x 9", Silver</t>
  </si>
  <si>
    <t>SteelSeries Arctis Nova 1P Multi-System Gaming Headset — Hi-Fi Drivers — 360° Spatial Audio — Comfort Design — Durable — Lightweight — Noise-Cancelling Mic — PS5/PS4, PC, Xbox, Switch - White</t>
  </si>
  <si>
    <t>Avery Easy Peel Printable Address Labels with Sure Feed, 1" x 4", White, 2,000 Blank Mailing Labels for Laser Printers (5161)</t>
  </si>
  <si>
    <t>Avery Waterproof Labels with UltraHold Permanent Adhesive, 2" x 4", 500 Labels for Laser Printers (5523)</t>
  </si>
  <si>
    <t>Canon PG-285 XL Genuine Black Ink Cartridge, Compatible with TR7820, TS7720/7722</t>
  </si>
  <si>
    <t>Canon PGI-1200XL Genuine Pigment Black Ink Tank, Compatible with MB2120, MB2720, B2020, MB2320 (Optional) Printers</t>
  </si>
  <si>
    <t>Asus TUF Gaming A16 Laptop | 16" WUXGA 165Hz 100% sRGB | AMD 8-core Ryzen 7 7735HS | 16GB DDR5 512GB SSD | Radeon RX7700S 8GB Graphic (&gt;RTX4060) | Backlit USB-C USB4 Win11Pro w/DLCA Accessory</t>
  </si>
  <si>
    <t>EPSON 127 DURABrite Ultra Ink Color Combo Pack For NX-530, NX-625, WF-3520, WF-3530, WF-3540, WF-545, WF-60, WF-630, WF-633, WF-635, WF-645, WF-7010, WF-7510, WF-7520, WF-840, WF-845</t>
  </si>
  <si>
    <t>OnStage MS7701B Tripod Microphone Boom Stand, black</t>
  </si>
  <si>
    <t>Epson 812 DURABrite Ultra Ink High Capacity Yellow Cartridge (T812XL420-S) Works with Workforce Pro WF-7310, WF-7820, WF-7840, Workforce EC-C7000</t>
  </si>
  <si>
    <t>EPSON 200 DURABrite Ultra Ink Standard Capacity Black &amp; Color Cartridge Combo Pack (T200120-BCS) Works with WorkForce WF-2520, WF-2530, WF-2540, Expression XP-200, XP-300, XP-310, XP-400, XP-410</t>
  </si>
  <si>
    <t>Pyle Dual Channel Microphone System-VHF Fixed Dual Frequency Wireless Set with 2 Handheld Dynamic Transmitter Mics, Receiver Base-for PA, Karaoke, Dj Party (PDWM2135) , Black</t>
  </si>
  <si>
    <t>Brother LC753PKS XL High Yield 3 Pack - 1 Each LC75C, LC75M, LC75Y Ink, Yellow/cyan/magenta</t>
  </si>
  <si>
    <t>HP 951 Magenta Ink Cartridge | Works with HP OfficeJet 8600, HP OfficeJet Pro 251dw, 276dw, 8100, 8610, 8620, 8630 Series | Eligible for Instant Ink | CN051AN</t>
  </si>
  <si>
    <t>Scotch Self-Seal Laminating Pouches, No Laminator Needed, Letter Size 9.0 in x 11.5 in, 25-Pack</t>
  </si>
  <si>
    <t>BAGSMART Travel Backpack Carry on Flight Approved, 28L Lightweight Backpack Fits 17.3 Inch Laptop for Men Women, Water Resistant Personal Item Travel Bag with USB Charging Port, Black</t>
  </si>
  <si>
    <t>JanSport SuperBreak Plus Backpack, Pop Pink, 44470437901</t>
  </si>
  <si>
    <t>Blackmagic Design Micro Studio Camera 4K G2 Live Production Camera (CINSTUDMFT/UHD/MRG2)</t>
  </si>
  <si>
    <t>Avery Removable ID Labels, Sure Feed Technology, Removable Adhesive, 1" x 2-5/8", 750 Labels (6460)</t>
  </si>
  <si>
    <t>Canon PGI-280XL PGBK Compatible To TR7520,TR8520,TR8620,TS6120,TS6220,TS6320,TS702,TS8120,TS8220,TS8320,TS9120,TS9520 Printers</t>
  </si>
  <si>
    <t>EPSON 215 Ink Standard Capacity Black Cartridge (T215120-S) Works with WorkForce WF-100, WF-110, EC-110</t>
  </si>
  <si>
    <t>Meta Quest Compact Carrying Case — Works with Meta Quest 3/3S — Refreshed Compact Design — Fits Quest 3/3S, Touch Plus Controller, Active Straps, Charging Cable, and Adapter</t>
  </si>
  <si>
    <t>Zebra DS3678-ER (Extended Range) Ultra-Rugged Cordless 2D/1D Barcode Scanner/Linear Imager Kit, Bluetooth, FIPS, Vibration Motor, Includes Cradle, Power Supply and Heavy-Duty USB Cable (CBA-U42-S07)</t>
  </si>
  <si>
    <t>Casio DM-1200BM – Business Desktop Calculator with Cost/Sell/Margin &amp; Tax Keys | Extra-Large 12-Digit Display, Kickstand | Ideal for Office &amp; Finance Use</t>
  </si>
  <si>
    <t>Rayovac Fusion AA Batteries (30 Pack), Double A Alkaline Batteries</t>
  </si>
  <si>
    <t>Avery Printable Shipping Labels with Sure Feed, 2" x 4" Customizable Stickers, Matte Clear, 250 Blank Mailing Labels, Great for Mailing, Shipping, and More (8663)</t>
  </si>
  <si>
    <t>Canon PGI-35 Genuine Black Ink Tank, Compatible with PIXMA iP100, iP110, TR150 and TR160 Printers</t>
  </si>
  <si>
    <t>BAGSMART Blast Travel Backpack, 15.6 Inch Carry On Backpack Flight Approved, TSA Approved Personal Item Travel Bag, Water Resistant Weekender Bag Luggage Daypack, Beige</t>
  </si>
  <si>
    <t>Fujifilm X-M5 Mirrorless Digital Camera XC15-45mmF3.5-5.6 OIS PZ Lens Kit - Silver</t>
  </si>
  <si>
    <t>Amazon Basics Adjustable Tablet/iPad Mic Stand Holder for Music Performance, Black</t>
  </si>
  <si>
    <t>ARCTIC P12 Pro - Powerful Premium Fan, 120 mm PWM Fan, 600-3000 RPM, 0 RPM &lt;5% PWM, Fluid Dynamic Bearing, 4-Pin - Black</t>
  </si>
  <si>
    <t>Innova 3630 Remote Starter Switch</t>
  </si>
  <si>
    <t>APC Network UPS, 1500VA Smart-UPS Sine Wave UPS with Extended Run Option, SMX1500RM2UC, 2U Rackmount/Tower Convertible, Line-Interactive, 120V</t>
  </si>
  <si>
    <t>SAMSUNG QM65R 65 inch 4K UHD 3840x2160 24/7 Commercial Signage LED Display for Business, HDMI, Wi-Fi, and 3-Year WRNTY, 500 nit (LH65QMREBGCXZA), Black</t>
  </si>
  <si>
    <t>IRIS USA Airtight Dog Food Storage Container, WeatherPro, Up to 10 lbs, For Dog Cat Bird and Other Pet Food Storage Bin, Keep Fresh, Translucent Body, Made in USA, Clear/Black</t>
  </si>
  <si>
    <t>VTech CD1113 Corded Phone for Home Office - Easy-to-Use Telephone with Caller ID/Call Waiting, 13 Speed Dial Keys, No AC Power Required, Flash, Volume Control, Hearing Aid Compatible,Wall-mount, Black</t>
  </si>
  <si>
    <t>ASURION 4 Year Home Improvement Protection Plan ($800 - $899.99)</t>
  </si>
  <si>
    <t>EPSON 822 DURABrite Ultra Ink Standard Capacity Cyan Cartridge (T822220-S) Works with WorkForce Pro WF-3820, WF-3823, WF-4820, WF-4830, WF-4833, WF-4834</t>
  </si>
  <si>
    <t>GIGABYTE GeForce RTX 3060 WINDFORCE OC 12G (rev. 2.0) Graphics Card, 2X WINDFORCE Fans, 12GB 192-bit GDDR6, GV-N3060WF2OC-12GD Rev2.0 Video Card</t>
  </si>
  <si>
    <t>Canon CLI-251 Genuine Black Ink Tank, Compatible with MG6320, IP7220 &amp; MG5420, MX922, MG5520, MG6420, MG7120, iX6820, iP8720, MG7520, MG6620, and MG5620 Printers</t>
  </si>
  <si>
    <t>Avery Easy Peel Printable Address Labels with Sure Feed, 1" x 4", White, 500 Blank Mailing Labels (08161)</t>
  </si>
  <si>
    <t>Avery Clean Edge Printable Business Cards with Sure Feed Technology, 2" x 3.5", White, 200 Blank Cards for Laser Printers (5871)</t>
  </si>
  <si>
    <t>Nylabone Textured Knuckle Bone Power Chew Toy for Dogs, Durable &amp; Tough Dog Toys for Aggressive Chewers, Original Flavor, X-Large - Over 50 Ibs, 1 Count</t>
  </si>
  <si>
    <t>Avery Printable Return Address Labels with Sure Feed, 0.5" x 1.75", White, 2,000 Blank Mailing Labels (05267)</t>
  </si>
  <si>
    <t>EPSON 212 Claria Ink High Capacity Magenta Cartridge (T212XL320-S) Works with WorkForce WF-2830, WF-2850, Expression XP-4100, XP-4105</t>
  </si>
  <si>
    <t>E-Z Ink Compatible Toner Cartridge Replacement for Brother TN450 TN420 TN-450 TN-420 to use with HL-2270DW HL-2280DW HL-2230 HL-2240 MFC-7360N MFC-7860DW DCP-7065DN Intellifax 2840 2940 (1 Black)</t>
  </si>
  <si>
    <t>Avery Colored Dot Stickers, Removable Print or Write Circle Labels, 3/4 Inch, 1008 Neon Green Round Stickers (5468)</t>
  </si>
  <si>
    <t>EPSON 288 DURABrite Ultra Ink Standard Capacity Magenta Cartridge (T288320-S) Works with Expression XP-330, XP-430, XP-434, XP-340, XP-440, XP-446</t>
  </si>
  <si>
    <t>Brother(R) M-231 Black-On-White Tape, 0.5in. x 26.2ft., BRTM231</t>
  </si>
  <si>
    <t>Energizer CR2032 3 Volt Lithium Coin Battery, 10 Count (Pack of 1)</t>
  </si>
  <si>
    <t>Synology 8 Bay DiskStation DS1825+ (Diskless)</t>
  </si>
  <si>
    <t>Energizer 357/303 Silver Oxide Battery: Card of 5</t>
  </si>
  <si>
    <t>ASURION 3 Year Portable Electronic Accident Protection Plan ($600 - $699.99)</t>
  </si>
  <si>
    <t>Samsung USB-C to USB-C Cable 1.8m 3A Black</t>
  </si>
  <si>
    <t>ASURION 3 Year B2B Office Equipment Protection Plan ($500 - $599.99)</t>
  </si>
  <si>
    <t>Panasonic Cr2450 Cr 2450 Lithium 3v Battery [ Pack of 4 ]</t>
  </si>
  <si>
    <t>Scotch Self-Seal Single-Sided Laminating Sheets, Letter Size 9 in x 12 in, 10-Pack</t>
  </si>
  <si>
    <t>Energizer 30039800039768 Max C Batteries, Premium Alkaline C Cell Batteries (4 Battery Count), Silver</t>
  </si>
  <si>
    <t>Energizer CR1620 Lithium Battery, Card of 5ORMD</t>
  </si>
  <si>
    <t>HORI Game Card Case 24 for Nintendo Switch Officially Licensed by Nintendo</t>
  </si>
  <si>
    <t>GoPro HERO13 Black Accessory Bundle - Includes The Handler, 2 Enduro Batteries, 2 Curved Adhesive Mounts, 64GB SanDisk MicroSD Card, and Carrying Case, Head Strap &amp; Card Reader</t>
  </si>
  <si>
    <t>Duracell DL1/3N CR1/3N 2L76 5018LC 5008LC CR11108 K58L 3V Lithium Battery</t>
  </si>
  <si>
    <t>Energizer Alkaline Power AAA Batteries, 32 Count, Long-Lasting Triple A Batteries, Suitable for Everyday Electronics and Emergency Gear</t>
  </si>
  <si>
    <t>ASURION 2 Year B2B Laptop Accident Protection Plan ($500 - $599.99)</t>
  </si>
  <si>
    <t>Texas Instruments TI-30XS MultiView Scientific Calculator</t>
  </si>
  <si>
    <t>Amazon Basics File Folders with Tabs for Filing, 1/3-Cut Tab, Assorted Positions, 8.5x11 inches, Letter Size, Manila, Pack of 100</t>
  </si>
  <si>
    <t>Scotch Thermal Laminating Pouches, for Use with Thermal Laminators, 8.9 x 11.4 Inches, Letter Size Sheets, 100-Pack</t>
  </si>
  <si>
    <t>Sony Alpha FX3 Full-Frame Cinema Line Camera Bundle, with 128GB SD Card, Extra Battery with USB-C Charging Port, Care Cleaning Kit for Digital Video Full Frame Camera (4 Items)</t>
  </si>
  <si>
    <t>Sony INZONE M10S 27” OLED 1440p Gaming Monitor 480Hz 0.03ms, Low Profile Stand, Tournament Mode, Dual Screen Size (24.5”), G-SYNC Compatible, Anti-Glare, Custom Heatsink, 3-Year OLED Limited Warranty</t>
  </si>
  <si>
    <t>ASURION 4 Year Home Improvement Protection Plan ($600 - $699.99)</t>
  </si>
  <si>
    <t>Acer Nitro 16 Gaming Laptop | AMD Ryzen 9 7940HS Octa-Core CPU | NVIDIA GeForce RTX 4070 Laptop GPU | 16" WQXGA 165Hz IPS Display | 16GB DDR5 | 1TB Gen 4 SSD | Wi-Fi 6E | RGB Backlit KB | AN16-41-R5KC</t>
  </si>
  <si>
    <t>Epson EcoTank ET-2800 Wireless Color All-in-One Cartridge-Free Supertank Printer with Scan and Copy â€“ The Ideal Basic Home Printer - Black, Medium</t>
  </si>
  <si>
    <t>Beats Studio Pro - Wireless Bluetooth Noise Cancelling Headphones - Personalized Spatial Audio, USB-C Lossless Audio, Apple &amp; Android Compatibility, Up to 40 Hours Battery Life - Sandstone</t>
  </si>
  <si>
    <t>HP 58A Black Toner Cartridge | Works with HP LaserJet Enterprise M406 Series, MFP M430 Series, Pro M404 Series, M428 Series | CF258A</t>
  </si>
  <si>
    <t>ASURION 2 Year Baby Protection Plan ($80 - $89.99)</t>
  </si>
  <si>
    <t>Apple iPhone 12, 64GB, Black - Fully Unlocked (Renewed)</t>
  </si>
  <si>
    <t>Texas Instruments TI-Nspire CX II Color Graphing Calculator with Student Software (PC/Mac) White 3.54 x 7.48</t>
  </si>
  <si>
    <t>HP 148A Black Laserjet Toner Cartridge | This Cartridge Works Laserjet Pro 4001, MFP 4101 | W1480A</t>
  </si>
  <si>
    <t>HP 206X Black High-yield Toner Cartridge | Works with HP Color LaserJet Pro M255, HP Color LaserJet Pro MFP M282, M283 Series | W2110X, Pack of 1, Black</t>
  </si>
  <si>
    <t>DJI Mini 4K, Drone with 4K UHD Camera for Adults, Under 249 g, 3-Axis Gimbal Stabilization, 10km Video Transmission, Auto Return, Wind Resistance, 1 Battery for 31-Min Max Flight Time, Intelligent Flight</t>
  </si>
  <si>
    <t>DJI Osmo Mobile 7P Gimbal Stabilizer for iPhone, Android, Native Tracking, Lighting, 3-Axis Phone Gimbal, Quick Launch, One-Tap Edit, Built-in Extension Rod &amp; Tripod, 10hrs Use, Phone Charging</t>
  </si>
  <si>
    <t>Samsung PRO Plus microSD Memory Card + Adapter, 512GB microSDXC, Up to 180 MB/s, Full HD &amp; 4K UHD, UHS I, C10, U3, V30, A2, for Android Smartphones, Tablets, GoPRO, and DJI Drone (MB MD512SA/AM)</t>
  </si>
  <si>
    <t>Texas Instruments BA II Plus Financial Calculator, Black Medium</t>
  </si>
  <si>
    <t>CORSAIR VENGEANCE LPX DDR4 RAM 32GB (2x16GB) 3200MHz CL16-20-20-38 1.35V Intel AMD Desktop Computer Memory - Black (CMK32GX4M2E3200C16)</t>
  </si>
  <si>
    <t>HP 62XL Tri-color High-yield Ink Cartridge | Works with Printer Series: ENVY 5540, 5640, 5660, 7640; OfficeJet 5740, 8040; OfficeJet Mobile 200, 250 | Eligible for Instant Ink | C2P07AN</t>
  </si>
  <si>
    <t>HP 68 Black/Tri-Color Ink Cartridges (2-Pack) | Works Envy 6100e, 6500e Series | Eligible for Instant Ink | 6L6S2TN</t>
  </si>
  <si>
    <t>HP 141A Black Toner Cartridge | Works with HP LaserJet M110 Series, HP LaserJet MFP M139, M140 Series | W1410A | Standard (Pack of 1)</t>
  </si>
  <si>
    <t>AT&amp;T BL102-2 DECT 6.0 2-Handset Cordless Phone for Home with Answering Machine, Call Blocking, Caller ID Announcer, Audio Assist, Intercom, and Unsurpassed Range, Silver/Black</t>
  </si>
  <si>
    <t>JBL Go 4 - Ultra-Portable, Waterproof and Dustproof Bluetooth Speaker, Big Pro Sound with Punchy bass, 7-Hour Built-in Battery, Made in Part with Recycled Materials (Black)</t>
  </si>
  <si>
    <t>Samsung SmartTag2 (2023) Bluetooth + UWB, IP67 Water and Dust Resistant, Findable via App, 1.5 Year Battery Life (4-Pack) - Black/White (Global Edition, No US Warranty)</t>
  </si>
  <si>
    <t>Logitech M720 Triathlon Wireless Mouse, Bluetooth, USB Unifying Receiver, 1000 DPI, 6 Programmable Buttons, 2-Year Battery, Compatible with Laptop, PC, Mac, iPadOS - Black</t>
  </si>
  <si>
    <t>VIVO Dual Monitor Desk Mount, Holds 2 Computer Screens up to 30 inches and 22lbs Each, Heavy Duty Fully Adjustable Steel Stand with C-Clamp and Grommet, Black, STAND-V002</t>
  </si>
  <si>
    <t>HP 923 Black Ink Cartridge Printers | Works with Printer Series: OfficeJet 8120, OfficeJet Pro 8130 | Eligible for Instant Ink | 4K0T3LN</t>
  </si>
  <si>
    <t>Mounting Dream TV Mount Fixed for Most 42-84 Inch Flat Screen TVs, TV Wall Mount Bracket up to VESA 600 x 400mm and 132 lbs - Fits 16"/18"/24" Studs - Low Profile and Space Saving MD2163-K</t>
  </si>
  <si>
    <t>ASURION 2 Year Toy Accident Protection Plan ($150 - $174.99)</t>
  </si>
  <si>
    <t>Casio fx-115ES Plus 2nd Edition – Advanced Scientific Calculator | 280+ Functions, Natural Textbook Display℠ | Ideal for Math, Science, Engineering &amp; Statistics</t>
  </si>
  <si>
    <t>HP Sprocket 2x3" Premium Zink Sticky Back Photo Paper (50 Sheets) Compatible with HP Sprocket Photo Printers</t>
  </si>
  <si>
    <t>NETGEAR 8-Port Gigabit Ethernet Unmanaged Essentials Switch (GS308) - Home Network Hub, Office Ethernet Splitter, Plug-and-Play, Silent Operation, Desktop or Wall Mount</t>
  </si>
  <si>
    <t>SanDisk 256GB Ultra Dual Drive USB Type-C - USB-C, USB 3.1 - SDDDC2-256G-G46,Black</t>
  </si>
  <si>
    <t>Anker Power Strip with 3 USB Ports, Surge Protector (2100J-10ft), 12 Outlets, 2 USB-A Ports and 1 USB-C Port, Works with iPhone 16/16 Plus/16 Pro/16 Pro Max, for Home, Office, TUV Listed</t>
  </si>
  <si>
    <t>Amazon Basics 50-inch Lightweight Portable Camera Mount Tripod Stand with Bag, for Travel Photography, Champagne</t>
  </si>
  <si>
    <t>Energizer AA Batteries, MAX Double AA Battery Alkaline, 24 Count</t>
  </si>
  <si>
    <t>ASURION 3 Year Furniture Protection Plan ($800 - $899.99)</t>
  </si>
  <si>
    <t>Epson Pro EX9240 3-Chip 3LCD Full HD 1080p Wireless Projector, 4,000 Lumens Color and White Brightness, 2 HDMI Ports, Built-in Speaker, 16,000:1 Contrast Ratio. Full 1-Year Limited Warranty (Renewed)</t>
  </si>
  <si>
    <t>Apple Watch Magnetic Fast Charger to USB-C Cable (1 m) ​​​​​​​</t>
  </si>
  <si>
    <t>Fujifilm Instax Mini Film 20 Prints for Fuji 8 50s 25 7s 90 300, Full Color, Twin Pack</t>
  </si>
  <si>
    <t>OtterBox iPhone SE 3rd &amp; 2nd Gen (NOT SE4 – 2025 MODEL) iPhone 8 &amp; iPhone 7 (NOT PLUS SIZED MODELS) Commuter Series Case - Black, Slim &amp; Tough, Pocket-Friendly, with Port Protection</t>
  </si>
  <si>
    <t>Energizer MAX C Batteries, Premium Alkaline C Cell Batteries (8 Battery Count)</t>
  </si>
  <si>
    <t>Casio MS-80B Calculator – Desktop Calculator with Tax &amp; Currency Tools | General Purpose | Large Display | Ideal for Home, Office &amp; Everyday Math</t>
  </si>
  <si>
    <t>Amazon Basics Classic Lined Notebook, 240 Pages Hardcover, 5 x 8.25-Inch, Black</t>
  </si>
  <si>
    <t>LISEN for iPad Holder Car Mount Road Trip Essentials Activities for Kids Car Accessories Women Interior, 3 in 1 Tablet Holder Backseat Camping Car Organizer Back Seat Headrest iPad Mount</t>
  </si>
  <si>
    <t>ASURION 3 Year Furniture Protection Plan ($450 - $499.99)</t>
  </si>
  <si>
    <t>Amazon Basics Portable and Flexible Tripod with Wireless Remote and Smartphone Clamp, 10-inch long, Black</t>
  </si>
  <si>
    <t>Avery Shipping Labels with TrueBlock Technology, 2 Inch x 4 Inch, White, 250 Labels (8163)</t>
  </si>
  <si>
    <t>Texas Instruments TI-503 SV Standard Function Calculator</t>
  </si>
  <si>
    <t>Amazon Basics Blank Index Cards, White, 3" x 5", 1000 Count (10 Pack of 100)</t>
  </si>
  <si>
    <t>Panasonic Headphones, Lightweight Over the Ear Wired Headphones with Clear Sound and XBS for Extra Bass, Long Cord, 3.5mm Jack for Phones and Laptops – RP-HT161-K (Black)</t>
  </si>
  <si>
    <t>Amazon Basics RJ45 Cat 6 Ethernet Patch Cable, 10Gpbs High-Speed Cable, 250MHz, Snagless, 15 Foot, Black</t>
  </si>
  <si>
    <t>UGREEN 10 Gbps Micro B to USB C Hard Drive Cables, 1.5FT USB C to Micro B, External Hard Drive Cable Compatible with MacBook Pro/Air, iPad/Tablet, iPhone, Samsung Galaxy S24, WD Seagate etc</t>
  </si>
  <si>
    <t>PopSockets Plant-Based Phone Grip with Expanding Kickstand, Adhesive Grip, Eco-Friendly, Cute PopSockets - Purple Fields</t>
  </si>
  <si>
    <t>PNY 32GB Elite Class 10 U1 microSDHC Flash Memory Card - 100MB/s Read, Class 10, U1, Full HD, UHS-I, Micro SD (Pack of 1)</t>
  </si>
  <si>
    <t>Energizer MAX 9V Batteries (2 Pack), 9 Volt Alkaline Batteries - Packaging May Vary</t>
  </si>
  <si>
    <t>Amazon Basics USB-C to USB-A 2.0 Fast Charger Cable, 480Mbps Speed, USB-IF Certified, for Apple iPhone 16/15, iPad, Samsung Galaxy, Tablets, Laptops, 6 feet, White</t>
  </si>
  <si>
    <t>Epson EcoTank ET-15000 Wireless Color All-in-One Supertank Printer with Scanner, Copier, Fax, Ethernet and Printing up to 13 x 19 Inches, White</t>
  </si>
  <si>
    <t>HP 89A Black Toner Cartridge for HP Printers | Works with Printer Series: LaserJet Enterprise M507, MFP M528 | CF289A</t>
  </si>
  <si>
    <t>Brother QL-820NWB Professional, Ultra Flexible Monochrome Label Printer with Multiple Connectivity options</t>
  </si>
  <si>
    <t>RODE Wireless PRO Compact Wireless Microphone System with Timecode, 32-bit Float On-board Recording, 2 Lavalier Microphones and Smart Charge Case for Filmmaking and Content Creation</t>
  </si>
  <si>
    <t>Canon imageFORMULA R40 - Office Document Scanner, Windows and Mac, Duplex Scanning, Easy Setup, Scans a Wide Variety of Documents, Scans to Cloud</t>
  </si>
  <si>
    <t>Brother Professional Laser Printer with High-Speed 50 ppm Output, Advanced Security Features, and Wireless Networking for Business, Monochrome Printing with Duplex Capability (HL-6210DW)</t>
  </si>
  <si>
    <t>Brother DS-640 Compact Mobile Document Scanner, (Model: DS640) 1.5"x2"x11.9"</t>
  </si>
  <si>
    <t>Nintendo Switch™ with Neon Blue and Neon Red Joy‑Con™ (Renewed)</t>
  </si>
  <si>
    <t>Brother MFC-J1205W INKvestment -Tank Wireless Multi-Function Color Inkjet Printer with Up to 1-Year in Box, Works with Alexa</t>
  </si>
  <si>
    <t>Brother Genuine TN850 2-Pack High Yield Black Toner Cartridge with Approximately 8,000 Page Yield/Cartridge</t>
  </si>
  <si>
    <t>Epson EcoTank ET-2980 Wireless All-in-One Color Supertank Printer with up to 3 Years of Ink, Refillable Tanks, Perfect for Home, 15 PPM, 1.44" Color Screen, Auto 2-Sided Printing - Black</t>
  </si>
  <si>
    <t>HP 05A Black Toner Cartridge | Works with HP LaserJet P2035, P2055 Series | CE505A</t>
  </si>
  <si>
    <t>Brother Monochrome Laser Printer with 32 PPM Speed and Automatic 2-Sided Printing for Home Office, Fast Black and White Output, Compact Design with 250-Sheet Capacity (HL-L2400D)</t>
  </si>
  <si>
    <t>Audio-Technica ATH-M40x Professional Studio Monitor Headphone, Black (AUD ATHM40X)</t>
  </si>
  <si>
    <t>Razer Wolverine V3 Pro Wireless Gaming Controller: Licensed for Xbox Series X|S, Xbox One, Windows PC - 6 Remappable Buttons - Fast Triggers - Customizable Thumbsticks - Wired Tournament Mode - Black</t>
  </si>
  <si>
    <t>Brother QL-800 High-Speed Professional Label Printer, Plug &amp; Label Feature, Brother Genuine DK Pre-Sized Labels, Multi-System Compatible – Black &amp; Red Printing Available (Required USB Cable Included)</t>
  </si>
  <si>
    <t>HP 32A | CF232A | Toner-Cartridge | Black-Drum</t>
  </si>
  <si>
    <t>HP 78A Black Toner Cartridge | Works with HP LaserJet Pro P1566, P1606 Series, HP LaserJet Pro MFP M1536 Series | CE278A</t>
  </si>
  <si>
    <t>Fujifilm QuickSnap Flash 400 One Time Use 35mm Camera with Flash, 27 Exposures, 8-Pack</t>
  </si>
  <si>
    <t>E-Z Ink Compatible Toner Cartridge Replacement for Brother TN830XL TN 830 TN830 Toner Cartridges for HL-L2460DW DCP-L2640DW HL-L2480DW HL-L2400D HL-L2405W MFC-L2820DW Printer (4 Black)</t>
  </si>
  <si>
    <t>AT&amp;T Cordless Phone 5 Handset with Bluetooth, Landline Phones for Home, Answering System, Smart Call Blocker, DECT 6.0 Extended Range, 2" Backlit Screen, Lighted Keypad with Big Buttons, BL3107-5</t>
  </si>
  <si>
    <t>HyperX Cloud III – Wired Gaming Headset, PC, PS5, Xbox Series X|S, Angled 53mm Drivers, DTS, Memory Foam, Durable Frame, Ultra-Clear 10mm Mic, USB-C, USB-A, 3.5mm – Pink</t>
  </si>
  <si>
    <t>Carhartt 28L Dual-Compartment Backpack, Durable Pack with Laptop Sleeve and Duravax Abrasion Resistant Base, Black</t>
  </si>
  <si>
    <t>HP 972A PageWide Black Ink Cartridge for HP Printers | Works with Printer Series: PageWide Pro 452, 477, 552dw, 577 | F6T80AN</t>
  </si>
  <si>
    <t>SCUF VALOR PRO Wired Performance Xbox Controller – Customizable Back Paddles, Instant Triggers, Hall Effect Thumbsticks, Audio Controls, Xbox Series X|S, Xbox One, Windows PC – Steel Gray</t>
  </si>
  <si>
    <t>Canon Genuine 055 Black Toner Cartridge Compatible with LBP664Cdw, MF741Cdw, MF743Cdw, MF745Cdw, MF746Cdw</t>
  </si>
  <si>
    <t>Canon PGI-1200 XL Genuine Four Color Value Pack, Compatible with MAXIFY: MB2120, MB2720, B2020, and MB2320 (Optional) Printers</t>
  </si>
  <si>
    <t>adidas Striker Team Sports Backpack for Soccer and More, Workout Bag for Men and Women, Black/3.0 (36L), One Size</t>
  </si>
  <si>
    <t>Stealth Cam Adjustable 29"-49" Expandable Height 1/4" Tripod Multi-Pivot Stable Rugged Steel Hunting Trail Camera &amp; Solar Pak Battery Mounting Post</t>
  </si>
  <si>
    <t>Epson Perfection V19 II Color Photo and Document Flatbed Scanner with 4800 dpi Optical Resolution, USB Power and High-Rise, Removable Lid</t>
  </si>
  <si>
    <t>Canon CLI-281 XL Genuine BKCMY Four Color Value Pack, Compatible with TR8520, TS9120,TS8120, TS6120, TS9521C/a, TS9520/a, TS8220, TS6220, TS8320, TS6320, TS702/a, and TR8620/a Series Printers</t>
  </si>
  <si>
    <t>Canon CL-246 XL Genuine Color Ink Cartridge, Compatible with iP2820, MG2420/2924/2920/3020/2522/2525, MX492, TS3120/302/302a/202/202a/4520/3320</t>
  </si>
  <si>
    <t>Brother Genuine P-Touch 2-Pack TZe-251 Laminated Tape, Black Print on White Standard Adhesive Laminated Tape for P-Touch Label Makers, Each Roll is 0.94"/24mm (~ 1") Wide, 26.2 ft. (8M) Long</t>
  </si>
  <si>
    <t>Turtle Beach Recon 200 Gen 2 Powered Gaming Headset - Xbox Series X, Xbox Series S &amp; Xbox One, PS5, PS4, Mobile &amp; PC with 3.5mm - Bass Boost, Memory Foam, Black</t>
  </si>
  <si>
    <t>Canon Color Ink Paper Set KP-108IN 4X6 108 Sheets</t>
  </si>
  <si>
    <t>HP 25X Black High-yield Toner Cartridge | Works with HP LaserJet Enterprise Flow M830 Series, HP LaserJet Enterprise M806 Series | CF325X</t>
  </si>
  <si>
    <t>Casio FX-991ES Plus-2nd Edition Scientific Calculator</t>
  </si>
  <si>
    <t>adidas 3-Stripe Classic Backpack for Men and Women, Bag with Laptop Sleeve, Sandy Pink/Onix Grey, One Size</t>
  </si>
  <si>
    <t>Targus 16 Inch Compact Rolling Backpack, Black - Wheeled Travel Bag with Removable Protective Laptop Sleeve, Fits Laptops Up to 16” and MacBook Pros up to 17” (TSB750US)</t>
  </si>
  <si>
    <t>EPSON 822 DURABrite Ultra Ink High Capacity Cyan Cartridge (T822XL220-S) Works with WorkForce Pro WF-3820, WF-3823, WF-4820, WF-4830, WF-4833, WF-4834</t>
  </si>
  <si>
    <t>EPSON 312 Claria Photo HD Ink Standard Capacity (T312923-S) Works with Expression Photo XP-8500, XP-8600, XP-8700, XP-15000, Cyan,Magenta and Yellow</t>
  </si>
  <si>
    <t>Streamlight 61125 ClipMate 70-Lumen USB Rechargeable Clip-On Light, with White and Red LEDs, Black</t>
  </si>
  <si>
    <t>Texas Instruments TI-15 Explorer Elementary Calculator</t>
  </si>
  <si>
    <t>Brother Genuine High Yield Color Ink Cartridge, 3 Pack of LC20E, Replacement Color Ink Three Pack, Includes 1 Cartridge Each of Cyan, Magenta &amp; Yellow, Page Yield Up to 1200 Pages/Cartridge, LC20E</t>
  </si>
  <si>
    <t>8Bitdo Zero 2 Bluetooth Gamepad Keychain Sized Mini Controller for Switch, Windows, Android, macOS &amp; Raspberry Pi(Pink Edition) - Nintendo Switch</t>
  </si>
  <si>
    <t>EPSON 802 DURABrite Ultra Ink Standard Capacity Magenta Cartridge (T802320-S) Works with WorkForce Pro WF-4720, WF-4730, WF-4734, WF-4740</t>
  </si>
  <si>
    <t>Dymo 1749027 Letratag, LT100H, Personal Hand-Held Label Maker</t>
  </si>
  <si>
    <t>Pendaflex Recycled Hanging Folders, Legal Size, Standard Green, 1/5 Cut, 25/BX (81622)</t>
  </si>
  <si>
    <t>Hasbro Gaming Mouse Trap Kids Board Game, Family Board Games for Kids, Kids Games for 2-4 Players, Family Games, Kids Gifts, Ages 6 and Up (Amazon Exclusive)</t>
  </si>
  <si>
    <t>E-Z Ink 952XL Replacement Compatible for HP 952 XL 952XL Ink Cartridge Combo Pack Latest Upgrade to Use with HP Officejet Pro 8710 7740 8720 8210 8715 8740 8725 (4 Pack, Black Cyan Magenta Yellow)</t>
  </si>
  <si>
    <t>Sharp El-1501 Compact Cordless Paperless Large 12-Digit Display Desktop Printing Calculator That Utilizes Printing Calculator Logic</t>
  </si>
  <si>
    <t>PNY NVIDIA Quadro Graphics - RTX 2000, Ada Generation 16GB, DDR6, 128-Bit</t>
  </si>
  <si>
    <t>Pyle Adjustable Microphone Stand - Universal Mic Stand with Compact Heavy Base, Floor Standing Design, Height Adjustable, Pivot Angle Clip for Singing &amp; Recording (2.8’ - 5’ ft., 9.8” Base Diameter)</t>
  </si>
  <si>
    <t>ASURION 3 Year Furniture Protection Plan ($400 - $449.99)</t>
  </si>
  <si>
    <t>DYMO Authentic Lt Paper Labeling Tape for LetraTag Label Makers, 1/2" (12mm), Black Print On White Tape, 6-Pack</t>
  </si>
  <si>
    <t>E-Z Ink Compatible LC401XL Ink Cartridge Replacement for Brother LC401 XL LC401XL LC 401 Ink High Yield to use with Brother MFC-J1010DW MFC-J1012DW MFC-J1170DW DCP-J1800DW DCP-J1140DW Printer (4 Pack)</t>
  </si>
  <si>
    <t>Canon CLI-251XL Genuine Gray Ink Tank, Compatible with MG6320, MG7120, iP8720, and MG7520 Printers</t>
  </si>
  <si>
    <t>PowerA Nintendo Switch Wired Controller - Black, Detachable 10ft USB Cable, No Battery Required, Officially Licensed By Nintendo</t>
  </si>
  <si>
    <t>ASURION 2 Year Major Appliance Protection Plan ($100 - $124.99)</t>
  </si>
  <si>
    <t>Avery Clean Edge Printable Business Cards with Sure Feed Technology, 2" x 3.5", White, 200 Blank Cards for Inkjet Printers (08871)</t>
  </si>
  <si>
    <t>Skullcandy Ink'd+ In-Ear Earbuds - Mint</t>
  </si>
  <si>
    <t>Performance Tool W80586 Heavy Duty Remote Starter for Car and Truck Engines with Push-Button Switch and 5-ft Wire Leads , Black</t>
  </si>
  <si>
    <t>Nike Unisex Dri Fit Sweatbands (One Size, Blue) for Men, Athletes, Running, Basketball, Tennis</t>
  </si>
  <si>
    <t>Pentel GraphGear 1000 Automatic Drafting Pencil (0.3mm), Black Accents, 1 Each (PG1013G)</t>
  </si>
  <si>
    <t>Fellowes Plastic Binding Comb 3/8" Black, 100Pack</t>
  </si>
  <si>
    <t>PowerA Play &amp; Charge Kit for Xbox Series X|S and Xbox One - Green</t>
  </si>
  <si>
    <t>Avery Print/Write Self-Adhesive Removable Labels, 0.75 Inch Diameter, Yellow, 1,008 per Pack (5462)</t>
  </si>
  <si>
    <t>Epson 232 Claria Ink Standard Capacity Magenta Cartridge (T232320-S) Works with Workforce WF-2930, WF-2950, Expression XP-4200, XP-4205</t>
  </si>
  <si>
    <t>Texas Instruments TI-108 Elementary Calculator</t>
  </si>
  <si>
    <t>La Crosse 911-65557-INT Portable Digital Battery Tester,Black</t>
  </si>
  <si>
    <t>Tamron 150-500mm f/5-6.7 Di III VC VXD Lens for Full Frame Sony Mirrorless Camera</t>
  </si>
  <si>
    <t>VIZIO 65 Inch 4K Smart TV, V-Series UHD LED HDR Television with Apple AirPlay and Chromecast Built-in</t>
  </si>
  <si>
    <t>HP Printer Paper | 8.5 x 11 Paper | MultiPurpose 20 lb | 1 Ream - 500 Sheets | 96 Bright | Made in USA - FSC Certified | 112000PR</t>
  </si>
  <si>
    <t>Rayovac High Energy AAA Batteries (16 Pack), Alkaline Triple A Batteries</t>
  </si>
  <si>
    <t>Energizer Lithium Coin Blister Pack Watch/Electronic Batteries CR2450 (Pack of 4)</t>
  </si>
  <si>
    <t>Avery Self-Adhesive Removable Labels, 0.75 x 1 Inches, White, 1000 per Pack (05428)</t>
  </si>
  <si>
    <t>Energizer MAX AAA Batteries (20 Pack), Triple A Alkaline Batteries</t>
  </si>
  <si>
    <t>Duracell 1/3N 3V Lithium Battery, 1 Count Pack, Lithium Coin Battery for Digital Cameras, Watches, and more, CR Lithium 3 Volt Cell</t>
  </si>
  <si>
    <t>Samsung 34” ViewFinity S65UA Series Ultrawide QHD Curved Monitor, HDR10, 100Hz, 350 nit, USB- C, Adjustable Stand, Intelligent Eye Care, LS34C650UANXGO, Black</t>
  </si>
  <si>
    <t>Belkin USB C to USB C Cable, 3.3ft, 60W - Type C Charger, iPhone Charger Cord, Soft, Braided, Flexible for iPhone 16, Galaxy S25, Pixel 9, Airpods, iPad Pro, Tablet &amp; More, Travel Essentials - Black</t>
  </si>
  <si>
    <t>Casio SL-300VC Standard Function Calculator, Pink</t>
  </si>
  <si>
    <t>Meguiar's Deep Crystal Car Wash - Car Wash Shampoo that Cleans Paint, Enhances Gloss, and Preserves Wax Protection, pH Balanced Car Wash Soap with Excellent Foaming Action, 64 Oz</t>
  </si>
  <si>
    <t>Amazon Basics Multipurpose Copy Printer Paper, 20 lb, 8.5 x 11 Inches, 8 Reams (4,000 Sheets), 92 Bright, White</t>
  </si>
  <si>
    <t>Duracell Coppertop AA Batteries with Power Boost Ingredients, 24 Count Pack Double A Battery with Long-lasting Power, Alkaline AA Battery for Household and Office Devices</t>
  </si>
  <si>
    <t>APC UPS 1500VA UPS Battery Backup and Surge Protector, BX1500M Backup Battery Power Supply, AVR, Dataline Protection</t>
  </si>
  <si>
    <t>Beats Studio Buds + | True Wireless Noise Cancelling Earbuds, Enhanced Apple &amp; Android Compatibility, Built-in Microphone, Sweat Resistant Bluetooth Headphones, Spatial Audio - Black/Gold</t>
  </si>
  <si>
    <t>Beats Powerbeats Pro 2 Wireless Bluetooth Earbuds - Noise Cancelling, Heart Rate Monitor, IPX4, Up to 45H Battery &amp; Charging Case, Works with Apple &amp; Android - Jet Black</t>
  </si>
  <si>
    <t>ASURION 2 Year Ride-On Protection Plan ($90 - $99.99)</t>
  </si>
  <si>
    <t>Amazon Basics Classic Puresoft PU Padded Mid-Back Height Adjustable Office Computer Desk Chair with Armrest, 26"D x 23.75"W x 42"H, Black</t>
  </si>
  <si>
    <t>HP 206A Black Toner Cartridge | Works with HP Color LaserJet Pro M255, HP Color LaserJet Pro MFP M282, M283 Series | W2110A , 1 Count ( Pack of 1)</t>
  </si>
  <si>
    <t>DJI Osmo Mobile SE, 3-Axis Phone Gimbal for iPhone, Android, Built-in Tripod, Selfie Stick, Gimbal Stabilizer for iphone, Andriod, ActiveTrack 6.0, Vlogging Stabilizer for Youtube, TikTok, Travel</t>
  </si>
  <si>
    <t>Samsung EVO Select microSD Memory Card + Adapter, 1TB microSDXC, Up-to 160 MB/s, 4K UHD, UHS-I, C10, U3, V30, A2, for Mobile Phone, Smartphones, Nintendo-Switch, and Tablets (MB-ME1T0SA/AM)</t>
  </si>
  <si>
    <t>Razer BlackShark V2 X Gaming Headset: 7.1 Surround Sound - 50mm Drivers - Memory Foam Cushion - For PC, PS4, PS5, Switch - 3.5mm Audio Jack - Black</t>
  </si>
  <si>
    <t>SanDisk 512GB Ultra USB 3.0 Flash Drive - SDCZ48-512G-G46, Black</t>
  </si>
  <si>
    <t>Energizer Alkaline Power D Batteries 12 Count (Pack of 1), Long-Lasting Alkaline Size D Batteries</t>
  </si>
  <si>
    <t>Braun Series 7 70S Electric Shaver Head Replacement Cassette – Silver</t>
  </si>
  <si>
    <t>Energizer Alkaline Power 9 Volt Batteries (8 Pack), Long-Lasting Alkaline 9V Batteries</t>
  </si>
  <si>
    <t>Duracell Coppertop C Batteries, 8 Count Pack, C Battery with Long-lasting Power, All-Purpose Alkaline C Battery for Household and Office Devices</t>
  </si>
  <si>
    <t>Duracell CR123A 3V Lithium Battery, 6 Count (Pack of 1), 3 Volt High Power for Home Safety, Security Devices, Flashlights, Smoke Alarms, Home Automation</t>
  </si>
  <si>
    <t>NETGEAR 5-Port Gigabit Ethernet Unmanaged Essentials Switch (GS305) - Home Network Hub, Office Ethernet Splitter, Plug-and-Play, Silent Operation, Desktop or Wall Mount</t>
  </si>
  <si>
    <t>Lenovo Laptop Bag T210, Messenger Shoulder Bag for Laptop or Tablet, Sleek, Durable &amp; Water-Repellent Fabric</t>
  </si>
  <si>
    <t>Anker 6 ft Premium Double-Braided Nylon Lightning Cable, Apple MFi Certified for iPhone Chargers, iPhone X/8/8 Plus/7/7 Plus/6/6 Plus/5s, iPad, iPad mini, and More (Black)</t>
  </si>
  <si>
    <t>OtterBox iPhone 12 &amp; iPhone 12 Pro Commuter Series Case - Black, Slim &amp; Tough, Pocket-Friendly, with Port Protection</t>
  </si>
  <si>
    <t>Spigen Tempered Glass Screen Protector [GlasTR EZ FIT] designed for iPhone 16 Pro [2 Pack]</t>
  </si>
  <si>
    <t>Amazon Basics Dry-Erase Whiteboard Eraser, for School, Office, Home, and Classroom, Black, 4-Pack,</t>
  </si>
  <si>
    <t>Canon PG-240 Genuine Black Ink Cartridge, Compatible with MG2120/3120/4120, MX512/432/472/372/392/522/532/452, MG2220/3220/4220/3520/3620, TS5120</t>
  </si>
  <si>
    <t>Energizer Recharge Pro Rechargeable AAA and AA Battery Charger With 4 NiMh Rechargeable AA Batteries, Provides a Full Charge in 3 Hours</t>
  </si>
  <si>
    <t>Energizer MAX AAA Batteries (24 Pack), Triple A Alkaline Batteries</t>
  </si>
  <si>
    <t>LISEN Bike Phone Holder, [Super Easy Install] Ultra Stable Motorcycle Phone Mount, Bicycle Handlebar Holder Mount for Adults Kids, Bike Bicycle Ebike Gear Accessories, for iPhone Samsung Google Pixel</t>
  </si>
  <si>
    <t>Koss KPH7 Lightweight Portable Headphone, Black</t>
  </si>
  <si>
    <t>UGREEN USB A to USB B Printer Cable 5ft - High-Speed for HP, Canon, Brother, Samsung, Dell, Epson, Lexmark, Xerox, and More</t>
  </si>
  <si>
    <t>LISEN 95W iPhone 16 15 Pro Max Car Charger USB C Fast Charging,Super Fast Type C Car Charger Adapter 12V Dual Port Fit 17 iPhone 16e 15 Pro Max Plus Air,Pixel 10 Pro, Samsung Galaxy S25/24,Android</t>
  </si>
  <si>
    <t>Zebra Pen Z-Grip Retractable Ballpoint Pen, Smooth-Flowing Black Ink, 1.0mm Medium Point, School Supplies, Teacher Supplies, and Office Supplies, 18-Pack (22218)</t>
  </si>
  <si>
    <t>UGREEN USB C to USB Adapter 4 Pack, 10Gbps USBC Male to USB 3.2 Female Adapter, Type C USB C Adapter for MacBook Pro,iMac,iPhone 16 15 Pro Max,iPad mini Pro, Thunderbolt 4, Samsung Galaxy</t>
  </si>
  <si>
    <t>Duracell 2032 Lithium Battery, 6 Count (Pack of 1), Child Safety Features, Compatible with Key Fob, Tea Light Candles and Other Devices, CR2032 Battery</t>
  </si>
  <si>
    <t>AINOPE USB Extension Cable,USB Extender,USB 3.0 Extension Cable, Male to Female Cord High Data Transfer Compatible with Webcam,USBKeyboard,Flash Drive,Hard Drive,Printer,10FT,Grey</t>
  </si>
  <si>
    <t>Duracell CR2025 3V Lithium Battery, Child Safety Features, 2 Count Pack, Lithium Coin Battery for Key Fob, Car Remote, Glucose Monitor, 3 Volt Cell</t>
  </si>
  <si>
    <t>Maxell 377 SR626SW 1.55 Volt Silver Oxide Watch Batteries Factory Hologram (4 Batteries)</t>
  </si>
  <si>
    <t>Casio HS-8VA Mini 6-Function Calculator | Large 8-Digit LCD Display | Solar Powered with Battery Backup | Standard Function | Portable Pocket Size</t>
  </si>
  <si>
    <t>HP LaserJet Pro MFP 4101fdw Wireless Black &amp; White All-in-One Laser Printer, Scanner, Copier, Fax, Best-for-Office (2Z619F)</t>
  </si>
  <si>
    <t>HP 210X Yellow High-Yield Toner Cartridge | Works Color Laserjet Pro 4201, Color Laserjet Pro MFP 4301 Series | W2102X</t>
  </si>
  <si>
    <t>HP 414X Magenta High-yield Toner Cartridge | Works with HP Color LaserJet Enterprise M455dn, MFP M480f; HP Color LaserJet Pro M454 Series, MFP M479 Series | W2023X</t>
  </si>
  <si>
    <t>HP Smart Tank 6001 Wireless All-in-One Refillable Ink Tank Printer, Scanner, Copier with 2 years of ink included, Best for home (2H0B9A)</t>
  </si>
  <si>
    <t>HP 712 29ml Cyan DesignJet Original Ink Cartridge for T650, T630, T230, T210 &amp; Studio Plotter Printers</t>
  </si>
  <si>
    <t>HP Smart Tank 7602 Wireless All-in-One Ink Tank Printer with up to 2 years of ink included (28B98A)</t>
  </si>
  <si>
    <t>Amazon Basics Mesh Mid-Back Adjustable-Height 360-Degree Swivel Office Desk Chair with Armrests, Lumbar Support and Easy to Assemble, Black</t>
  </si>
  <si>
    <t>Brother TN436BK Super High Yield Toner-Retail Packaging , Black</t>
  </si>
  <si>
    <t>Fellowes Saturn 3i 125 Thermal Laminator Machine for Home or Office with Pouch Starter Kit, 12.5 inch, Fast Warm-Up, Jam-Free Design (5736601)</t>
  </si>
  <si>
    <t>Panasonic LUMIX S5IIX Mirrorless Camera, 24.2MP Full Frame with Phase Hybrid AF, New Active I.S. Technology, 5.8K Pro-Res, RAW Over HDMI, IP Streaming - DC-S5M2XBODY Black</t>
  </si>
  <si>
    <t>Cardo Systems Spirit HD Motorcycle Bluetooth Communication Headset, 2-Way Bluetooth, Thin 40mm Speakers, Waterproof, Universal Connectivity - Single Pack</t>
  </si>
  <si>
    <t>PDP RIFFMASTER Wireless Guitar Controller for Xbox Series X|S, Xbox One, Windows 10/11 PC, Rock Band 4, Fortnite Festival, Audio Jack, Rechargeable Battery, Officially Licensed by Microsoft – Black</t>
  </si>
  <si>
    <t>RØDE PSA1+ Professional Studio Arm with Spring Damping and Cable Management, Black</t>
  </si>
  <si>
    <t>GIGABYTE GeForce RTX 4070 Super WINDFORCE OC 12G Graphics Card, 3X WINDFORCE Fans, 12GB 192-bit GDDR6X, GV-N407SWF3OC-12GD Video Card</t>
  </si>
  <si>
    <t>Fujifilm X-T30 II XC15-45mm Kit - Silver</t>
  </si>
  <si>
    <t>Canon Genuine 067 Cyan Toner Cartridge High Capacity Compatible with LBP633Cdw, LBP632Cdw, MF652Cdw, MF653Cdw, MF654Cdw, MF656Cdw</t>
  </si>
  <si>
    <t>ASURION 2 Year Baby Protection Plan ($30 - $39.99)</t>
  </si>
  <si>
    <t>JanSport Driver 8 Rolling Backpack - Wheeled Travel Bag with 15-Inch Laptop Sleeve, One Size, Black</t>
  </si>
  <si>
    <t>Canon Genuine 069 Black Toner Cartridge Compatible with MF753Cdw, MF751Cdw, LBP674Cdw</t>
  </si>
  <si>
    <t>Bushnell Velocity Speed Gun -</t>
  </si>
  <si>
    <t>Bushnell H2O Xtreme 10x42 Compact Waterproof Binoculars with Fully Multi Coated Lens for Hunting and Boating 181042C</t>
  </si>
  <si>
    <t>CISCO DESIGNED Business CBS220-24P-4G Smart Switch | 24 Port GE | PoE | 4x1G SFP | 3-Year Limited Hardware Warranty (CBS220-24P-4G-NA)</t>
  </si>
  <si>
    <t>HP 201A Black Toner Cartridge | Works with HP Color LaserJet Pro M252, HP Color LaserJet Pro MFP M277 Series | CF400A</t>
  </si>
  <si>
    <t>Brother Genuine Cartridge TN920XL High Yield Black Toner,1 Pack</t>
  </si>
  <si>
    <t>Fender Mustang Micro Plus Headphone Amplifier, Bluetooth Audio Streaming and 50 Amp and Effects Models, with 2-Year Warranty</t>
  </si>
  <si>
    <t>Kipling Women's Seoul Extra Large 17” Laptop Backpack, Durable, Roomy with Padded Shoulder Straps, Bag</t>
  </si>
  <si>
    <t>Canon TS202 Inkjet Photo Printer, Black (USB Required, not Included)</t>
  </si>
  <si>
    <t>Texas Instruments TI-30X IIS 2-Line Scientific Calculator, Lavender</t>
  </si>
  <si>
    <t>AT&amp;T DECT 6.0 Expandable Cordless Phone with Answering System, Silver/Black with 3 Handsets</t>
  </si>
  <si>
    <t>HP 932XL Black High-yield Ink Cartridge for HP Printers | Works with Printer Series: OfficeJet 6100, 6600, 6700, 7110, 7510, 7610, 7612 | CN053AN</t>
  </si>
  <si>
    <t>Ubisoft RockSmith Real Tone Cable</t>
  </si>
  <si>
    <t>Canon Office Products 2198C001 Canon MP11DX-2 Desktop Printing Calculator with Currency Conversion, Clock and Calendar</t>
  </si>
  <si>
    <t>VTech VG208 DECT 6.0 Corded/Cordless Phone for Home with Answering Machine, Call Blocking, Caller ID, Large Backlit Display, Duplex Speakerphone, Intercom, Line-Power(Silver/Black)</t>
  </si>
  <si>
    <t>EPSON 410 Claria Premium Ink Standard Capacity Photo Black &amp; Color Combo Pack (T410520-S) Works with Expression Premium XP-530, XP-630, XP-640, XP-7100, XP-830</t>
  </si>
  <si>
    <t>EPSON 522 EcoTank Ink Ultra-high Capacity Bottle Color Combo Pack (T522520-S) Works with EcoTank ET-2720, ET-2800, ET-2803, ET-2840, ET-4700, ET-4800, ET-4810</t>
  </si>
  <si>
    <t>Canon CLI-251 Genuine Three Color Multi Pack, Compatible with MG6320, iP7220 &amp; MG5420, MX922, MG7120, MG6420, MG5520, iX6820, iP8720, MG7520, MG6620, and MG5620 (Optional) Printers</t>
  </si>
  <si>
    <t>8BitDo Ultimate 2 Wireless Controller for Windows &amp; Android, Gaming Controller with TMR Joysticks, Switchable Hall Effect/Tactile Triggers, RGB Fire Ring, 8Speed Wireless Tech, Black</t>
  </si>
  <si>
    <t>ASURION 4 Year Home Improvement Protection Plan ($900 - $999.99)</t>
  </si>
  <si>
    <t>Toshiba 20TB MG10ACA20TE SATA 600GB 20in1 HDD</t>
  </si>
  <si>
    <t>EPSON 812 DURABrite Ultra Ink High Capacity Cyan Cartridge (T812XL220-S) Works with WorkForce Pro WF-7310, WF-7820, WF-7840, WorkForce EC-C7000</t>
  </si>
  <si>
    <t>EPSON 822 DURABrite Ultra Ink High Capacity Magenta Cartridge (T822XL320-S) Works with WorkForce Pro WF-3820, WF-3823, WF-4820, WF-4830, WF-4833, WF-4834</t>
  </si>
  <si>
    <t>HP 951XL Magenta High-yield Ink Cartridge for HP Printers | Works with Printer Series: OfficeJet 8600, Pro 251dw, 276dw, 8100, 8610, 8620, 8630 | Eligible for Instant Ink | CN047AN</t>
  </si>
  <si>
    <t>EPSON 222 Claria Ink Standard Capacity Color Combo Pack (T222520-S) Works with WorkForce WF-2960, Expression XP-5200</t>
  </si>
  <si>
    <t>EPSON 812 DURABrite Ultra Ink High Capacity Magenta Cartridge (T812XL320-S) Works with WorkForce Pro WF-7310, WF-7820, WF-7840, WorkForce EC-C7000</t>
  </si>
  <si>
    <t>ASTRO Gaming A10 Wired Gaming Headset, Lightweight and Damage Resistant, ASTRO, 3.5 mm Audio Jack, for Xbox Series X|S, Xbox One, PS5, PS4, Nintendo Switch, PC, Mac- Black/Blue</t>
  </si>
  <si>
    <t>Gigabyte Radeon RX 9070 XT Gaming OC 16G Graphics Card - 16 GB GDDR6, 256 Bit, PCI-E 5.0, 3060 MHz Core Frequency, 2 x DisplayPort, 2 x HDMI, GV-R9070XTGAMING OC-16GD</t>
  </si>
  <si>
    <t>E-Z Ink Compatible Toner Cartridge Replacement for Brother TN221 TN225 Toner to Use with MFC-9130CW HL-3170CDW HL-3180CDW MFC-9340CDW MFC-9330CDW (1 Black 1 Cyan 1 Magenta 1 Yellow,4 Pack)</t>
  </si>
  <si>
    <t>HP 951 Yellow Ink Cartridge | Works with HP OfficeJet 8600, HP OfficeJet Pro 251dw, 276dw, 8100, 8610, 8620, 8630 Series | Eligible for Instant Ink | CN052AN</t>
  </si>
  <si>
    <t>EPSON 220 DURABrite Ultra Ink Standard Capacity Color Combo Pack (T220520-S) Works with WorkForce WF-2630, WF-2650, WF-2660, WF-2750, WF-2760, Expression XP-320, XP-420, XP-424</t>
  </si>
  <si>
    <t>Pyle Professional Dynamic Vocal Microphone - Moving Coil Dynamic Cardioid Unidirectional Handheld Microphone with ON/OFF Switch Includes 15ft XLR Audio Cable to 1/4'' Audio Connection - PDMIC59</t>
  </si>
  <si>
    <t>Texas Instruments TI-30XIIS Scientific Calculator - Bulk Packaging</t>
  </si>
  <si>
    <t>Casio HR-10RC Mini Desktop Printing Calculator | Portable | 12-Digit Display | One-Color Printer | Tax &amp; Currency | Ideal for Taxes, Bookkeeping &amp; Accounting Tasks</t>
  </si>
  <si>
    <t>HP Advanced Photo Paper, Glossy, 8.5x11 in, 50 sheets (Q7853A)</t>
  </si>
  <si>
    <t>DYMO Authentic D1 Labels 1/2-Inch x 23-Foot Roll Black Print on White Self-Adhesive For LabelManager Label Makers 2-Pack</t>
  </si>
  <si>
    <t>Quad Lock Universal Adaptor for Smartphones</t>
  </si>
  <si>
    <t>Avery Printable Shipping Labels with Sure Feed, 3-1/3" x 4", White, 150 Blank Mailing Labels (8164)</t>
  </si>
  <si>
    <t>DEWALT Heavy Duty USB A to Lightning Cable [Apple MFi Certified] Durable iPhone Charger, Lightning Cables, Fast Charging iPhone Charger Cord Compatible w/iPhones 14/13/12/11 Pro Max iPad AirPods, 6FT</t>
  </si>
  <si>
    <t>Nite Ize Steelie Dash Mount - Additional Car Mount Dash Ball for Steelie Magnetic Phone Mounting System - Cell Phone Accessories for Dashboard Mount Set</t>
  </si>
  <si>
    <t>ASURION 4 Year Home Improvement Protection Plan ($1500 - $1999.99)</t>
  </si>
  <si>
    <t>Avery Two Pocket Folders, Holds up to 40 Sheets, Business Card Slot, 25 White Folders (47991)</t>
  </si>
  <si>
    <t>ASURION 2 Year Baby Protection Plan ($100 - $124.99)</t>
  </si>
  <si>
    <t>Canon EOS R3 Mirrorless Camera (Body Only), Full-Frame Camera, 6K 60p RAW, 4K 120p Video, 24.1 Megapixel CMOS Sensor, DIGIC X Image Processor, for Sports, Action, Black</t>
  </si>
  <si>
    <t>Infant Optics Official Power Cord Adapter for DXR8 PRO Monitor Unit NOT for Camera Unit NOT for DXR8, White</t>
  </si>
  <si>
    <t>Melissa &amp; Doug Solar System Floor Puzzle (48 pcs, 2 x 3 Feet) - FSC Certified</t>
  </si>
  <si>
    <t>Melissa &amp; Doug USA Map Floor Puzzle - 51 Pieces (2 x 3 feet) - FSC Certified</t>
  </si>
  <si>
    <t>Casio MH-10M Desktop Calculator – Large 10-Digit Display | Cost/Sell/Margin &amp; Tax Functions | Ideal for Home &amp; Office Use</t>
  </si>
  <si>
    <t>Duracell DL1/3N CR1/3N 3V Lithium Battery 3 Pack</t>
  </si>
  <si>
    <t>Avery Color-Coding Removable Labels, 1/4 Inch Round Labels, Assorted Colors, Non-Printable, 760 Dot Stickers Total (5795)</t>
  </si>
  <si>
    <t>Energizer 371 / 370 Silver Oxide Watch Battery (5 per Pack)</t>
  </si>
  <si>
    <t>Energizer 1616 Lithium Coin Battery, 1 Pack</t>
  </si>
  <si>
    <t>Energizer MAX D Batteries (2 Pack), D Cell Alkaline Batteries</t>
  </si>
  <si>
    <t>Renata 377 SR626SW Batteries - 1.55V Silver Oxide 377 Watch Battery (2 Count)</t>
  </si>
  <si>
    <t>PHILIPS AAA Batteries, Ultra Alkaline Triple AAA Batteries 12 Pack, 1.5v Batteries 3A, Ultimate Long-Lasting Power for High-Drain Devices, 10-Year Shelf Life, Durable Leak-Proof Design.</t>
  </si>
  <si>
    <t>Meta Quest 3 512GB | Thirty Percent Sharper Resolution — 2X Graphical Processing Power — Play Without Wires — Get Batman: Arkham Shadow and a 3-Month Trial of Meta Horizon+ Included</t>
  </si>
  <si>
    <t>ASURION 3 Year B2B Office Equipment Protection Plan ($450 - $499.99)</t>
  </si>
  <si>
    <t>ASURION 3 Year Kitchen Protection Plan ($1500 - $1999.99)</t>
  </si>
  <si>
    <t>ASURION 3 Year Lawn &amp; Garden Extended Protection Plan ($350 - $399.99)</t>
  </si>
  <si>
    <t>ASURION 2 Year Outdoor Furniture Protection Plan ($175 - $199.99)</t>
  </si>
  <si>
    <t>Logitech Rally bar and tap IP Bundle, 1920 Pixels x 1080 Pixels, Graphite</t>
  </si>
  <si>
    <t>Canon EOS R5 C Mirrorless Camera (Body Only), 45 Megapixel CMOS Sensor, Hybrid Full-Frame Cinema Camera, 8K/60P Internal RAW Recording, RF Mount, Black</t>
  </si>
  <si>
    <t>Fitbit Charge 6 Fitness Tracker with Google apps, Heart Rate on Exercise Equipment, 6-Months Premium Membership Included, GPS, Health Tools and More, Obsidian/Black, One Size (S &amp; L Bands Included)</t>
  </si>
  <si>
    <t>acer KB272 G0bi 27" IPS Full HD (1920 x 1080) Gaming Office Monitor | Adaptive-Sync Support (FreeSync Compatible) | Up to 120Hz Refresh | 1ms (VRB) | sRGB 99% | Tilt | HDMI &amp; VGA Ports</t>
  </si>
  <si>
    <t>TP-Link Deco X55 AX3000 WiFi 6 Mesh System - Covers up to 6500 Sq.Ft, Replaces Wireless Router and Extender, 3 Gigabit Ports per Unit, Supports Ethernet Backhaul, Deco X55(3-Pack)</t>
  </si>
  <si>
    <t>Crucial P310 1TB 2280 PCIe Gen4 3D NAND NVMe M.2 SSD – Up to 7,100 MB/s – Shift up to Gen4, with Acronis Offer, Internal Solid State Drive (PC) – CT1000P310SSD801</t>
  </si>
  <si>
    <t>Pendaflex File Folders, Letter Size, 1/3 Cut, Manila, 250 per Box (752250)</t>
  </si>
  <si>
    <t>Canon 5175B002-cr EF 24-70mm F/2.8L II USM Standard Zoom Lens, Black (Renewed)</t>
  </si>
  <si>
    <t>Canon PG-243 / CL-244 Genuine Ink Value Pack (2 Cartridges), Compatible with iP2820, MX492, MG2420/2520/2920/2922/2924/3020/2522/2525, TS3120/302/302a/202/4520/3320</t>
  </si>
  <si>
    <t>Kleenex Professional Facial Tissue, Bulk (03076), 2-Ply, White, Flat Boxed Format, Designed for Business, Convenience Size (125 Tissues/Box, 12 Boxes, 1,500 Sheets/Case)</t>
  </si>
  <si>
    <t>ASURION 2 Year Jewelry Protection Plan ($90 - $99.99)</t>
  </si>
  <si>
    <t>Power Strip Surge Protector 10 Ft Cord, 8 AC Outlets, 3 USB Charger(1 USB C Port), TESSAN Ultra Thin Extension Cord, Flat Plug, 900 Joules Protection, Desk Charging Station for Home, Office</t>
  </si>
  <si>
    <t>ASURION 3 Year Electronics Protection Plan ($700 - $799.99)</t>
  </si>
  <si>
    <t>WYZE Cam v4, 2.5K QHD WiFi Indoor/Outdoor Smart Home Security Camera, Pet/Baby Monitor, Motion Activated Spotlight/Siren, Color Night Vision, 2-Way Audio, Works with Alexa &amp; Google, Free Expert Help</t>
  </si>
  <si>
    <t>TP-Link 8 Port Gigabit Ethernet Network Switch - Ethernet Splitter | Plug &amp; Play | Fanless | Sturdy Metal w/ Shielded Ports | Traffic Optimization | Unmanaged | Lifetime Protection (TL-SG108)</t>
  </si>
  <si>
    <t>Rayovac High Energy D Batteries (12 Pack), Alkaline D Cell Batteries</t>
  </si>
  <si>
    <t>HP Printer Paper | 8.5 x 11 Paper | MultiPurpose 20 lb | 3 Ream Case - 1500 Sheets | 96 Bright | Made in USA - FSC Certified | 112530C</t>
  </si>
  <si>
    <t>Amazon Basics Sturdy Binder Clips for Office Use, 96 Count (8 Pack of 12), Medium, 1.25 in, Black</t>
  </si>
  <si>
    <t>LISEN Suction Cup Phone Mount, Vacuum Magnetic Phone Holder, 360° Adjustable for MagSafe Car Holder Foldable Suction Phone Mount for Car, for Garmin GPS/Mirror/Smooth Surface, for iPhone 16 Pro Max 15</t>
  </si>
  <si>
    <t>Duracell CR2 3V Lithium Battery, 2 Count (Pack of 1), CR 3 Volt Batteries High Power, Long-Lasting for Video and Photo Cameras, Lighting Equipment, and More</t>
  </si>
  <si>
    <t>Amazon Basics 12-Pack Rechargeable AAA NiMH Performance Batteries, 800 mAh, 1.2V, Recharge up to 1000x Times, Pre-Charged</t>
  </si>
  <si>
    <t>Amazon 9W Official OEM USB Charger and Power Adapter for Fire Tablets, Kindle eReaders, and Echo Dot</t>
  </si>
  <si>
    <t>Energizer 2025 Batteries (1 Pack), 3V Lithium Coin Batteries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</si>
</sst>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3" xfId="0" applyAlignment="1" applyFont="1" applyNumberFormat="1">
      <alignment horizontal="right" vertical="bottom"/>
    </xf>
    <xf borderId="0" fillId="0" fontId="1" numFmtId="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1" t="s">
        <v>9</v>
      </c>
    </row>
    <row r="2">
      <c r="A2" s="1" t="s">
        <v>10</v>
      </c>
      <c r="B2" s="3" t="str">
        <f t="shared" ref="B2:B10000" si="1">IF(N2="", "Unavailable", VALUE(LEFT(N2,FIND(" ",N2)-1)))</f>
        <v>Unavailable</v>
      </c>
      <c r="C2" s="3">
        <v>152.0</v>
      </c>
      <c r="D2" s="3">
        <f>IFERROR(__xludf.DUMMYFUNCTION("IFERROR(
IF(REGEXMATCH(LOWER(O2),""k""),
VALUE(REGEXEXTRACT(O2,""[0-9]+""))*1000,
VALUE(REGEXEXTRACT(O2,""[0-9]+""))
),
0
)"),0.0)</f>
        <v>0</v>
      </c>
      <c r="E2" s="1" t="s">
        <v>11</v>
      </c>
      <c r="F2" s="1" t="s">
        <v>12</v>
      </c>
      <c r="G2" s="4" t="b">
        <f t="shared" ref="G2:G10000" si="2">if(M2="No Coupon" , False, True)</f>
        <v>1</v>
      </c>
      <c r="H2" s="1" t="str">
        <f t="shared" ref="H2:H10000" si="3">IF(U1="Add to cart","Add To Cart",IF(ISBLANK(U1),"Currently Unavailable","Currently Unavailable"))</f>
        <v>Currently Unavailable</v>
      </c>
      <c r="I2" s="1" t="str">
        <f t="shared" ref="I2:I10000" si="4">IF(ISBLANK(T2),
   "No Badges",
   IF(
      OR(
         TRIM(LEFT(T2, FIND("+", T2 &amp; "+") - 1))="No Badges",
         TRIM(LEFT(T2, FIND("+", T2 &amp; "+") - 1))="Small Business",
         TRIM(LEFT(T2, FIND("+", T2 &amp; "+") - 1))="Carbon impact",
         TRIM(LEFT(T2, FIND("+", T2 &amp; "+") - 1))="Manufacturing practices",
         ISNUMBER(SEARCH("Alexa", TRIM(LEFT(T2, FIND("+", T2 &amp; "+") - 1))))
      ),
      IF(ISNUMBER(SEARCH("Alexa", TRIM(LEFT(T2, FIND("+", T2 &amp; "+") - 1)))),
         "Alexa Compatible",
         TRIM(LEFT(T2, FIND("+", T2 &amp; "+") - 1))
      ),
      "Others"
   )
)</f>
        <v>No Badges</v>
      </c>
      <c r="J2" s="3">
        <f t="shared" ref="J2:J10000" si="5">IF(
   ISNUMBER(VALUE(SUBSTITUTE(MID(R2,SEARCH("$",R2),10),"$",""))),
   VALUE(SUBSTITUTE(MID(R2,SEARCH("$",R2),10),"$","")),
   IF(
      ISNUMBER(P2),
      P2,
      IF(
         ISNUMBER(VALUE(SUBSTITUTE(Q2,"$",""))),
         VALUE(SUBSTITUTE(Q2,"$","")),$K$7
      )
   )
)</f>
        <v>0</v>
      </c>
    </row>
    <row r="3">
      <c r="A3" s="1" t="s">
        <v>13</v>
      </c>
      <c r="B3" s="3" t="str">
        <f t="shared" si="1"/>
        <v>Unavailable</v>
      </c>
      <c r="C3" s="3">
        <v>812.0</v>
      </c>
      <c r="D3" s="3">
        <f>IFERROR(__xludf.DUMMYFUNCTION("IFERROR(
IF(REGEXMATCH(LOWER(O3),""k""),
VALUE(REGEXEXTRACT(O3,""[0-9]+""))*1000,
VALUE(REGEXEXTRACT(O3,""[0-9]+""))
),
0
)"),0.0)</f>
        <v>0</v>
      </c>
      <c r="E3" s="1" t="s">
        <v>11</v>
      </c>
      <c r="F3" s="1" t="s">
        <v>12</v>
      </c>
      <c r="G3" s="4" t="b">
        <f t="shared" si="2"/>
        <v>1</v>
      </c>
      <c r="H3" s="1" t="str">
        <f t="shared" si="3"/>
        <v>Currently Unavailable</v>
      </c>
      <c r="I3" s="1" t="str">
        <f t="shared" si="4"/>
        <v>No Badges</v>
      </c>
      <c r="J3" s="3">
        <f t="shared" si="5"/>
        <v>0</v>
      </c>
    </row>
    <row r="4">
      <c r="A4" s="1" t="s">
        <v>14</v>
      </c>
      <c r="B4" s="3" t="str">
        <f t="shared" si="1"/>
        <v>Unavailable</v>
      </c>
      <c r="C4" s="3">
        <v>264.0</v>
      </c>
      <c r="D4" s="3">
        <f>IFERROR(__xludf.DUMMYFUNCTION("IFERROR(
IF(REGEXMATCH(LOWER(O4),""k""),
VALUE(REGEXEXTRACT(O4,""[0-9]+""))*1000,
VALUE(REGEXEXTRACT(O4,""[0-9]+""))
),
0
)"),0.0)</f>
        <v>0</v>
      </c>
      <c r="E4" s="1" t="s">
        <v>11</v>
      </c>
      <c r="F4" s="1" t="s">
        <v>12</v>
      </c>
      <c r="G4" s="4" t="b">
        <f t="shared" si="2"/>
        <v>1</v>
      </c>
      <c r="H4" s="1" t="str">
        <f t="shared" si="3"/>
        <v>Currently Unavailable</v>
      </c>
      <c r="I4" s="1" t="str">
        <f t="shared" si="4"/>
        <v>No Badges</v>
      </c>
      <c r="J4" s="3">
        <f t="shared" si="5"/>
        <v>0</v>
      </c>
    </row>
    <row r="5">
      <c r="A5" s="1" t="s">
        <v>15</v>
      </c>
      <c r="B5" s="3" t="str">
        <f t="shared" si="1"/>
        <v>Unavailable</v>
      </c>
      <c r="C5" s="3">
        <v>340.0</v>
      </c>
      <c r="D5" s="3">
        <f>IFERROR(__xludf.DUMMYFUNCTION("IFERROR(
IF(REGEXMATCH(LOWER(O5),""k""),
VALUE(REGEXEXTRACT(O5,""[0-9]+""))*1000,
VALUE(REGEXEXTRACT(O5,""[0-9]+""))
),
0
)"),0.0)</f>
        <v>0</v>
      </c>
      <c r="E5" s="1" t="s">
        <v>11</v>
      </c>
      <c r="F5" s="1" t="s">
        <v>12</v>
      </c>
      <c r="G5" s="4" t="b">
        <f t="shared" si="2"/>
        <v>1</v>
      </c>
      <c r="H5" s="1" t="str">
        <f t="shared" si="3"/>
        <v>Currently Unavailable</v>
      </c>
      <c r="I5" s="1" t="str">
        <f t="shared" si="4"/>
        <v>No Badges</v>
      </c>
      <c r="J5" s="3">
        <f t="shared" si="5"/>
        <v>0</v>
      </c>
    </row>
    <row r="6">
      <c r="A6" s="1" t="s">
        <v>16</v>
      </c>
      <c r="B6" s="3" t="str">
        <f t="shared" si="1"/>
        <v>Unavailable</v>
      </c>
      <c r="C6" s="3">
        <v>187.0</v>
      </c>
      <c r="D6" s="3">
        <f>IFERROR(__xludf.DUMMYFUNCTION("IFERROR(
IF(REGEXMATCH(LOWER(O6),""k""),
VALUE(REGEXEXTRACT(O6,""[0-9]+""))*1000,
VALUE(REGEXEXTRACT(O6,""[0-9]+""))
),
0
)"),0.0)</f>
        <v>0</v>
      </c>
      <c r="E6" s="1" t="s">
        <v>11</v>
      </c>
      <c r="F6" s="1" t="s">
        <v>12</v>
      </c>
      <c r="G6" s="4" t="b">
        <f t="shared" si="2"/>
        <v>1</v>
      </c>
      <c r="H6" s="1" t="str">
        <f t="shared" si="3"/>
        <v>Currently Unavailable</v>
      </c>
      <c r="I6" s="1" t="str">
        <f t="shared" si="4"/>
        <v>No Badges</v>
      </c>
      <c r="J6" s="3">
        <f t="shared" si="5"/>
        <v>0</v>
      </c>
    </row>
    <row r="7">
      <c r="A7" s="1" t="s">
        <v>17</v>
      </c>
      <c r="B7" s="3" t="str">
        <f t="shared" si="1"/>
        <v>Unavailable</v>
      </c>
      <c r="C7" s="3">
        <v>657.0</v>
      </c>
      <c r="D7" s="3">
        <f>IFERROR(__xludf.DUMMYFUNCTION("IFERROR(
IF(REGEXMATCH(LOWER(O7),""k""),
VALUE(REGEXEXTRACT(O7,""[0-9]+""))*1000,
VALUE(REGEXEXTRACT(O7,""[0-9]+""))
),
0
)"),0.0)</f>
        <v>0</v>
      </c>
      <c r="E7" s="1" t="s">
        <v>18</v>
      </c>
      <c r="F7" s="1" t="s">
        <v>12</v>
      </c>
      <c r="G7" s="4" t="b">
        <f t="shared" si="2"/>
        <v>1</v>
      </c>
      <c r="H7" s="1" t="str">
        <f t="shared" si="3"/>
        <v>Currently Unavailable</v>
      </c>
      <c r="I7" s="1" t="str">
        <f t="shared" si="4"/>
        <v>No Badges</v>
      </c>
      <c r="J7" s="3">
        <f t="shared" si="5"/>
        <v>0</v>
      </c>
    </row>
    <row r="8">
      <c r="A8" s="1" t="s">
        <v>14</v>
      </c>
      <c r="B8" s="3" t="str">
        <f t="shared" si="1"/>
        <v>Unavailable</v>
      </c>
      <c r="C8" s="3">
        <v>264.0</v>
      </c>
      <c r="D8" s="3">
        <f>IFERROR(__xludf.DUMMYFUNCTION("IFERROR(
IF(REGEXMATCH(LOWER(O8),""k""),
VALUE(REGEXEXTRACT(O8,""[0-9]+""))*1000,
VALUE(REGEXEXTRACT(O8,""[0-9]+""))
),
0
)"),0.0)</f>
        <v>0</v>
      </c>
      <c r="E8" s="1" t="s">
        <v>11</v>
      </c>
      <c r="F8" s="1" t="s">
        <v>12</v>
      </c>
      <c r="G8" s="4" t="b">
        <f t="shared" si="2"/>
        <v>1</v>
      </c>
      <c r="H8" s="1" t="str">
        <f t="shared" si="3"/>
        <v>Currently Unavailable</v>
      </c>
      <c r="I8" s="1" t="str">
        <f t="shared" si="4"/>
        <v>No Badges</v>
      </c>
      <c r="J8" s="3">
        <f t="shared" si="5"/>
        <v>0</v>
      </c>
    </row>
    <row r="9">
      <c r="A9" s="1" t="s">
        <v>14</v>
      </c>
      <c r="B9" s="3" t="str">
        <f t="shared" si="1"/>
        <v>Unavailable</v>
      </c>
      <c r="C9" s="3">
        <v>264.0</v>
      </c>
      <c r="D9" s="3">
        <f>IFERROR(__xludf.DUMMYFUNCTION("IFERROR(
IF(REGEXMATCH(LOWER(O9),""k""),
VALUE(REGEXEXTRACT(O9,""[0-9]+""))*1000,
VALUE(REGEXEXTRACT(O9,""[0-9]+""))
),
0
)"),0.0)</f>
        <v>0</v>
      </c>
      <c r="E9" s="1" t="s">
        <v>11</v>
      </c>
      <c r="F9" s="1" t="s">
        <v>12</v>
      </c>
      <c r="G9" s="4" t="b">
        <f t="shared" si="2"/>
        <v>1</v>
      </c>
      <c r="H9" s="1" t="str">
        <f t="shared" si="3"/>
        <v>Currently Unavailable</v>
      </c>
      <c r="I9" s="1" t="str">
        <f t="shared" si="4"/>
        <v>No Badges</v>
      </c>
      <c r="J9" s="3">
        <f t="shared" si="5"/>
        <v>0</v>
      </c>
    </row>
    <row r="10">
      <c r="A10" s="1" t="s">
        <v>19</v>
      </c>
      <c r="B10" s="3" t="str">
        <f t="shared" si="1"/>
        <v>Unavailable</v>
      </c>
      <c r="C10" s="5">
        <v>4380.0</v>
      </c>
      <c r="D10" s="3">
        <f>IFERROR(__xludf.DUMMYFUNCTION("IFERROR(
IF(REGEXMATCH(LOWER(O10),""k""),
VALUE(REGEXEXTRACT(O10,""[0-9]+""))*1000,
VALUE(REGEXEXTRACT(O10,""[0-9]+""))
),
0
)"),0.0)</f>
        <v>0</v>
      </c>
      <c r="E10" s="1" t="s">
        <v>11</v>
      </c>
      <c r="F10" s="1" t="s">
        <v>20</v>
      </c>
      <c r="G10" s="4" t="b">
        <f t="shared" si="2"/>
        <v>1</v>
      </c>
      <c r="H10" s="1" t="str">
        <f t="shared" si="3"/>
        <v>Currently Unavailable</v>
      </c>
      <c r="I10" s="1" t="str">
        <f t="shared" si="4"/>
        <v>No Badges</v>
      </c>
      <c r="J10" s="3">
        <f t="shared" si="5"/>
        <v>0</v>
      </c>
    </row>
    <row r="11">
      <c r="A11" s="1" t="s">
        <v>14</v>
      </c>
      <c r="B11" s="3" t="str">
        <f t="shared" si="1"/>
        <v>Unavailable</v>
      </c>
      <c r="C11" s="3">
        <v>264.0</v>
      </c>
      <c r="D11" s="3">
        <f>IFERROR(__xludf.DUMMYFUNCTION("IFERROR(
IF(REGEXMATCH(LOWER(O11),""k""),
VALUE(REGEXEXTRACT(O11,""[0-9]+""))*1000,
VALUE(REGEXEXTRACT(O11,""[0-9]+""))
),
0
)"),0.0)</f>
        <v>0</v>
      </c>
      <c r="E11" s="1" t="s">
        <v>11</v>
      </c>
      <c r="F11" s="1" t="s">
        <v>12</v>
      </c>
      <c r="G11" s="4" t="b">
        <f t="shared" si="2"/>
        <v>1</v>
      </c>
      <c r="H11" s="1" t="str">
        <f t="shared" si="3"/>
        <v>Currently Unavailable</v>
      </c>
      <c r="I11" s="1" t="str">
        <f t="shared" si="4"/>
        <v>No Badges</v>
      </c>
      <c r="J11" s="3">
        <f t="shared" si="5"/>
        <v>0</v>
      </c>
    </row>
    <row r="12">
      <c r="A12" s="1" t="s">
        <v>21</v>
      </c>
      <c r="B12" s="3" t="str">
        <f t="shared" si="1"/>
        <v>Unavailable</v>
      </c>
      <c r="C12" s="5">
        <v>1878.0</v>
      </c>
      <c r="D12" s="3">
        <f>IFERROR(__xludf.DUMMYFUNCTION("IFERROR(
IF(REGEXMATCH(LOWER(O12),""k""),
VALUE(REGEXEXTRACT(O12,""[0-9]+""))*1000,
VALUE(REGEXEXTRACT(O12,""[0-9]+""))
),
0
)"),0.0)</f>
        <v>0</v>
      </c>
      <c r="E12" s="1" t="s">
        <v>11</v>
      </c>
      <c r="F12" s="1" t="s">
        <v>12</v>
      </c>
      <c r="G12" s="4" t="b">
        <f t="shared" si="2"/>
        <v>1</v>
      </c>
      <c r="H12" s="1" t="str">
        <f t="shared" si="3"/>
        <v>Currently Unavailable</v>
      </c>
      <c r="I12" s="1" t="str">
        <f t="shared" si="4"/>
        <v>No Badges</v>
      </c>
      <c r="J12" s="3">
        <f t="shared" si="5"/>
        <v>0</v>
      </c>
    </row>
    <row r="13">
      <c r="A13" s="1" t="s">
        <v>22</v>
      </c>
      <c r="B13" s="3" t="str">
        <f t="shared" si="1"/>
        <v>Unavailable</v>
      </c>
      <c r="C13" s="3">
        <v>738.0</v>
      </c>
      <c r="D13" s="3">
        <f>IFERROR(__xludf.DUMMYFUNCTION("IFERROR(
IF(REGEXMATCH(LOWER(O13),""k""),
VALUE(REGEXEXTRACT(O13,""[0-9]+""))*1000,
VALUE(REGEXEXTRACT(O13,""[0-9]+""))
),
0
)"),0.0)</f>
        <v>0</v>
      </c>
      <c r="E13" s="1" t="s">
        <v>11</v>
      </c>
      <c r="F13" s="1" t="s">
        <v>20</v>
      </c>
      <c r="G13" s="4" t="b">
        <f t="shared" si="2"/>
        <v>1</v>
      </c>
      <c r="H13" s="1" t="str">
        <f t="shared" si="3"/>
        <v>Currently Unavailable</v>
      </c>
      <c r="I13" s="1" t="str">
        <f t="shared" si="4"/>
        <v>No Badges</v>
      </c>
      <c r="J13" s="3">
        <f t="shared" si="5"/>
        <v>0</v>
      </c>
    </row>
    <row r="14">
      <c r="A14" s="1" t="s">
        <v>23</v>
      </c>
      <c r="B14" s="3" t="str">
        <f t="shared" si="1"/>
        <v>Unavailable</v>
      </c>
      <c r="C14" s="3">
        <v>151.0</v>
      </c>
      <c r="D14" s="3">
        <f>IFERROR(__xludf.DUMMYFUNCTION("IFERROR(
IF(REGEXMATCH(LOWER(O14),""k""),
VALUE(REGEXEXTRACT(O14,""[0-9]+""))*1000,
VALUE(REGEXEXTRACT(O14,""[0-9]+""))
),
0
)"),0.0)</f>
        <v>0</v>
      </c>
      <c r="E14" s="1" t="s">
        <v>11</v>
      </c>
      <c r="F14" s="1" t="s">
        <v>20</v>
      </c>
      <c r="G14" s="4" t="b">
        <f t="shared" si="2"/>
        <v>1</v>
      </c>
      <c r="H14" s="1" t="str">
        <f t="shared" si="3"/>
        <v>Currently Unavailable</v>
      </c>
      <c r="I14" s="1" t="str">
        <f t="shared" si="4"/>
        <v>No Badges</v>
      </c>
      <c r="J14" s="3">
        <f t="shared" si="5"/>
        <v>0</v>
      </c>
    </row>
    <row r="15">
      <c r="A15" s="1" t="s">
        <v>24</v>
      </c>
      <c r="B15" s="3" t="str">
        <f t="shared" si="1"/>
        <v>Unavailable</v>
      </c>
      <c r="C15" s="3">
        <v>914.0</v>
      </c>
      <c r="D15" s="3">
        <f>IFERROR(__xludf.DUMMYFUNCTION("IFERROR(
IF(REGEXMATCH(LOWER(O15),""k""),
VALUE(REGEXEXTRACT(O15,""[0-9]+""))*1000,
VALUE(REGEXEXTRACT(O15,""[0-9]+""))
),
0
)"),0.0)</f>
        <v>0</v>
      </c>
      <c r="E15" s="1" t="s">
        <v>11</v>
      </c>
      <c r="F15" s="1" t="s">
        <v>20</v>
      </c>
      <c r="G15" s="4" t="b">
        <f t="shared" si="2"/>
        <v>1</v>
      </c>
      <c r="H15" s="1" t="str">
        <f t="shared" si="3"/>
        <v>Currently Unavailable</v>
      </c>
      <c r="I15" s="1" t="str">
        <f t="shared" si="4"/>
        <v>No Badges</v>
      </c>
      <c r="J15" s="3">
        <f t="shared" si="5"/>
        <v>0</v>
      </c>
    </row>
    <row r="16">
      <c r="A16" s="1" t="s">
        <v>25</v>
      </c>
      <c r="B16" s="3" t="str">
        <f t="shared" si="1"/>
        <v>Unavailable</v>
      </c>
      <c r="C16" s="3">
        <v>31.0</v>
      </c>
      <c r="D16" s="3">
        <f>IFERROR(__xludf.DUMMYFUNCTION("IFERROR(
IF(REGEXMATCH(LOWER(O16),""k""),
VALUE(REGEXEXTRACT(O16,""[0-9]+""))*1000,
VALUE(REGEXEXTRACT(O16,""[0-9]+""))
),
0
)"),0.0)</f>
        <v>0</v>
      </c>
      <c r="E16" s="1" t="s">
        <v>11</v>
      </c>
      <c r="F16" s="1" t="s">
        <v>20</v>
      </c>
      <c r="G16" s="4" t="b">
        <f t="shared" si="2"/>
        <v>1</v>
      </c>
      <c r="H16" s="1" t="str">
        <f t="shared" si="3"/>
        <v>Currently Unavailable</v>
      </c>
      <c r="I16" s="1" t="str">
        <f t="shared" si="4"/>
        <v>No Badges</v>
      </c>
      <c r="J16" s="3">
        <f t="shared" si="5"/>
        <v>0</v>
      </c>
    </row>
    <row r="17">
      <c r="A17" s="1" t="s">
        <v>26</v>
      </c>
      <c r="B17" s="3" t="str">
        <f t="shared" si="1"/>
        <v>Unavailable</v>
      </c>
      <c r="C17" s="3">
        <v>76.0</v>
      </c>
      <c r="D17" s="3">
        <f>IFERROR(__xludf.DUMMYFUNCTION("IFERROR(
IF(REGEXMATCH(LOWER(O17),""k""),
VALUE(REGEXEXTRACT(O17,""[0-9]+""))*1000,
VALUE(REGEXEXTRACT(O17,""[0-9]+""))
),
0
)"),0.0)</f>
        <v>0</v>
      </c>
      <c r="E17" s="1" t="s">
        <v>11</v>
      </c>
      <c r="F17" s="1" t="s">
        <v>20</v>
      </c>
      <c r="G17" s="4" t="b">
        <f t="shared" si="2"/>
        <v>1</v>
      </c>
      <c r="H17" s="1" t="str">
        <f t="shared" si="3"/>
        <v>Currently Unavailable</v>
      </c>
      <c r="I17" s="1" t="str">
        <f t="shared" si="4"/>
        <v>No Badges</v>
      </c>
      <c r="J17" s="3">
        <f t="shared" si="5"/>
        <v>0</v>
      </c>
    </row>
    <row r="18">
      <c r="A18" s="1" t="s">
        <v>13</v>
      </c>
      <c r="B18" s="3" t="str">
        <f t="shared" si="1"/>
        <v>Unavailable</v>
      </c>
      <c r="C18" s="3">
        <v>812.0</v>
      </c>
      <c r="D18" s="3">
        <f>IFERROR(__xludf.DUMMYFUNCTION("IFERROR(
IF(REGEXMATCH(LOWER(O18),""k""),
VALUE(REGEXEXTRACT(O18,""[0-9]+""))*1000,
VALUE(REGEXEXTRACT(O18,""[0-9]+""))
),
0
)"),0.0)</f>
        <v>0</v>
      </c>
      <c r="E18" s="1" t="s">
        <v>11</v>
      </c>
      <c r="F18" s="1" t="s">
        <v>12</v>
      </c>
      <c r="G18" s="4" t="b">
        <f t="shared" si="2"/>
        <v>1</v>
      </c>
      <c r="H18" s="1" t="str">
        <f t="shared" si="3"/>
        <v>Currently Unavailable</v>
      </c>
      <c r="I18" s="1" t="str">
        <f t="shared" si="4"/>
        <v>No Badges</v>
      </c>
      <c r="J18" s="3">
        <f t="shared" si="5"/>
        <v>0</v>
      </c>
    </row>
    <row r="19">
      <c r="A19" s="1" t="s">
        <v>27</v>
      </c>
      <c r="B19" s="3" t="str">
        <f t="shared" si="1"/>
        <v>Unavailable</v>
      </c>
      <c r="C19" s="3">
        <v>7.0</v>
      </c>
      <c r="D19" s="3">
        <f>IFERROR(__xludf.DUMMYFUNCTION("IFERROR(
IF(REGEXMATCH(LOWER(O19),""k""),
VALUE(REGEXEXTRACT(O19,""[0-9]+""))*1000,
VALUE(REGEXEXTRACT(O19,""[0-9]+""))
),
0
)"),0.0)</f>
        <v>0</v>
      </c>
      <c r="E19" s="1" t="s">
        <v>11</v>
      </c>
      <c r="F19" s="1" t="s">
        <v>20</v>
      </c>
      <c r="G19" s="4" t="b">
        <f t="shared" si="2"/>
        <v>1</v>
      </c>
      <c r="H19" s="1" t="str">
        <f t="shared" si="3"/>
        <v>Currently Unavailable</v>
      </c>
      <c r="I19" s="1" t="str">
        <f t="shared" si="4"/>
        <v>No Badges</v>
      </c>
      <c r="J19" s="3">
        <f t="shared" si="5"/>
        <v>0</v>
      </c>
    </row>
    <row r="20">
      <c r="A20" s="1" t="s">
        <v>28</v>
      </c>
      <c r="B20" s="3" t="str">
        <f t="shared" si="1"/>
        <v>Unavailable</v>
      </c>
      <c r="C20" s="3">
        <v>35.0</v>
      </c>
      <c r="D20" s="3">
        <f>IFERROR(__xludf.DUMMYFUNCTION("IFERROR(
IF(REGEXMATCH(LOWER(O20),""k""),
VALUE(REGEXEXTRACT(O20,""[0-9]+""))*1000,
VALUE(REGEXEXTRACT(O20,""[0-9]+""))
),
0
)"),0.0)</f>
        <v>0</v>
      </c>
      <c r="E20" s="1" t="s">
        <v>11</v>
      </c>
      <c r="F20" s="1" t="s">
        <v>20</v>
      </c>
      <c r="G20" s="4" t="b">
        <f t="shared" si="2"/>
        <v>1</v>
      </c>
      <c r="H20" s="1" t="str">
        <f t="shared" si="3"/>
        <v>Currently Unavailable</v>
      </c>
      <c r="I20" s="1" t="str">
        <f t="shared" si="4"/>
        <v>No Badges</v>
      </c>
      <c r="J20" s="6">
        <f t="shared" si="5"/>
        <v>0</v>
      </c>
    </row>
    <row r="21">
      <c r="A21" s="1" t="s">
        <v>29</v>
      </c>
      <c r="B21" s="3" t="str">
        <f t="shared" si="1"/>
        <v>Unavailable</v>
      </c>
      <c r="C21" s="3">
        <v>91.0</v>
      </c>
      <c r="D21" s="3">
        <f>IFERROR(__xludf.DUMMYFUNCTION("IFERROR(
IF(REGEXMATCH(LOWER(O21),""k""),
VALUE(REGEXEXTRACT(O21,""[0-9]+""))*1000,
VALUE(REGEXEXTRACT(O21,""[0-9]+""))
),
0
)"),0.0)</f>
        <v>0</v>
      </c>
      <c r="E21" s="1" t="s">
        <v>11</v>
      </c>
      <c r="F21" s="1" t="s">
        <v>20</v>
      </c>
      <c r="G21" s="4" t="b">
        <f t="shared" si="2"/>
        <v>1</v>
      </c>
      <c r="H21" s="1" t="str">
        <f t="shared" si="3"/>
        <v>Currently Unavailable</v>
      </c>
      <c r="I21" s="1" t="str">
        <f t="shared" si="4"/>
        <v>No Badges</v>
      </c>
      <c r="J21" s="3">
        <f t="shared" si="5"/>
        <v>0</v>
      </c>
    </row>
    <row r="22">
      <c r="A22" s="1" t="s">
        <v>30</v>
      </c>
      <c r="B22" s="3" t="str">
        <f t="shared" si="1"/>
        <v>Unavailable</v>
      </c>
      <c r="C22" s="3">
        <v>26.0</v>
      </c>
      <c r="D22" s="3">
        <f>IFERROR(__xludf.DUMMYFUNCTION("IFERROR(
IF(REGEXMATCH(LOWER(O22),""k""),
VALUE(REGEXEXTRACT(O22,""[0-9]+""))*1000,
VALUE(REGEXEXTRACT(O22,""[0-9]+""))
),
0
)"),0.0)</f>
        <v>0</v>
      </c>
      <c r="E22" s="1" t="s">
        <v>11</v>
      </c>
      <c r="F22" s="1" t="s">
        <v>20</v>
      </c>
      <c r="G22" s="4" t="b">
        <f t="shared" si="2"/>
        <v>1</v>
      </c>
      <c r="H22" s="1" t="str">
        <f t="shared" si="3"/>
        <v>Currently Unavailable</v>
      </c>
      <c r="I22" s="1" t="str">
        <f t="shared" si="4"/>
        <v>No Badges</v>
      </c>
      <c r="J22" s="3">
        <f t="shared" si="5"/>
        <v>0</v>
      </c>
    </row>
    <row r="23">
      <c r="A23" s="1" t="s">
        <v>31</v>
      </c>
      <c r="B23" s="3" t="str">
        <f t="shared" si="1"/>
        <v>Unavailable</v>
      </c>
      <c r="C23" s="3">
        <v>2.0</v>
      </c>
      <c r="D23" s="3">
        <f>IFERROR(__xludf.DUMMYFUNCTION("IFERROR(
IF(REGEXMATCH(LOWER(O23),""k""),
VALUE(REGEXEXTRACT(O23,""[0-9]+""))*1000,
VALUE(REGEXEXTRACT(O23,""[0-9]+""))
),
0
)"),0.0)</f>
        <v>0</v>
      </c>
      <c r="E23" s="1" t="s">
        <v>11</v>
      </c>
      <c r="F23" s="1" t="s">
        <v>20</v>
      </c>
      <c r="G23" s="4" t="b">
        <f t="shared" si="2"/>
        <v>1</v>
      </c>
      <c r="H23" s="1" t="str">
        <f t="shared" si="3"/>
        <v>Currently Unavailable</v>
      </c>
      <c r="I23" s="1" t="str">
        <f t="shared" si="4"/>
        <v>No Badges</v>
      </c>
      <c r="J23" s="3">
        <f t="shared" si="5"/>
        <v>0</v>
      </c>
    </row>
    <row r="24">
      <c r="A24" s="1" t="s">
        <v>32</v>
      </c>
      <c r="B24" s="3" t="str">
        <f t="shared" si="1"/>
        <v>Unavailable</v>
      </c>
      <c r="C24" s="3">
        <v>8.0</v>
      </c>
      <c r="D24" s="3">
        <f>IFERROR(__xludf.DUMMYFUNCTION("IFERROR(
IF(REGEXMATCH(LOWER(O24),""k""),
VALUE(REGEXEXTRACT(O24,""[0-9]+""))*1000,
VALUE(REGEXEXTRACT(O24,""[0-9]+""))
),
0
)"),0.0)</f>
        <v>0</v>
      </c>
      <c r="E24" s="1" t="s">
        <v>11</v>
      </c>
      <c r="F24" s="1" t="s">
        <v>20</v>
      </c>
      <c r="G24" s="4" t="b">
        <f t="shared" si="2"/>
        <v>1</v>
      </c>
      <c r="H24" s="1" t="str">
        <f t="shared" si="3"/>
        <v>Currently Unavailable</v>
      </c>
      <c r="I24" s="1" t="str">
        <f t="shared" si="4"/>
        <v>No Badges</v>
      </c>
      <c r="J24" s="3">
        <f t="shared" si="5"/>
        <v>0</v>
      </c>
    </row>
    <row r="25">
      <c r="A25" s="1" t="s">
        <v>33</v>
      </c>
      <c r="B25" s="3" t="str">
        <f t="shared" si="1"/>
        <v>Unavailable</v>
      </c>
      <c r="C25" s="3">
        <v>1.0</v>
      </c>
      <c r="D25" s="3">
        <f>IFERROR(__xludf.DUMMYFUNCTION("IFERROR(
IF(REGEXMATCH(LOWER(O25),""k""),
VALUE(REGEXEXTRACT(O25,""[0-9]+""))*1000,
VALUE(REGEXEXTRACT(O25,""[0-9]+""))
),
0
)"),0.0)</f>
        <v>0</v>
      </c>
      <c r="E25" s="1" t="s">
        <v>11</v>
      </c>
      <c r="F25" s="1" t="s">
        <v>20</v>
      </c>
      <c r="G25" s="4" t="b">
        <f t="shared" si="2"/>
        <v>1</v>
      </c>
      <c r="H25" s="1" t="str">
        <f t="shared" si="3"/>
        <v>Currently Unavailable</v>
      </c>
      <c r="I25" s="1" t="str">
        <f t="shared" si="4"/>
        <v>No Badges</v>
      </c>
      <c r="J25" s="3">
        <f t="shared" si="5"/>
        <v>0</v>
      </c>
    </row>
    <row r="26">
      <c r="A26" s="1" t="s">
        <v>34</v>
      </c>
      <c r="B26" s="3" t="str">
        <f t="shared" si="1"/>
        <v>Unavailable</v>
      </c>
      <c r="C26" s="3">
        <v>344.0</v>
      </c>
      <c r="D26" s="3">
        <f>IFERROR(__xludf.DUMMYFUNCTION("IFERROR(
IF(REGEXMATCH(LOWER(O26),""k""),
VALUE(REGEXEXTRACT(O26,""[0-9]+""))*1000,
VALUE(REGEXEXTRACT(O26,""[0-9]+""))
),
0
)"),0.0)</f>
        <v>0</v>
      </c>
      <c r="E26" s="1" t="s">
        <v>18</v>
      </c>
      <c r="F26" s="1" t="s">
        <v>20</v>
      </c>
      <c r="G26" s="4" t="b">
        <f t="shared" si="2"/>
        <v>1</v>
      </c>
      <c r="H26" s="1" t="str">
        <f t="shared" si="3"/>
        <v>Currently Unavailable</v>
      </c>
      <c r="I26" s="1" t="str">
        <f t="shared" si="4"/>
        <v>No Badges</v>
      </c>
      <c r="J26" s="3">
        <f t="shared" si="5"/>
        <v>0</v>
      </c>
    </row>
    <row r="27">
      <c r="A27" s="1" t="s">
        <v>35</v>
      </c>
      <c r="B27" s="3" t="str">
        <f t="shared" si="1"/>
        <v>Unavailable</v>
      </c>
      <c r="C27" s="3">
        <v>300.0</v>
      </c>
      <c r="D27" s="3">
        <f>IFERROR(__xludf.DUMMYFUNCTION("IFERROR(
IF(REGEXMATCH(LOWER(O27),""k""),
VALUE(REGEXEXTRACT(O27,""[0-9]+""))*1000,
VALUE(REGEXEXTRACT(O27,""[0-9]+""))
),
0
)"),0.0)</f>
        <v>0</v>
      </c>
      <c r="E27" s="1" t="s">
        <v>11</v>
      </c>
      <c r="F27" s="1" t="s">
        <v>20</v>
      </c>
      <c r="G27" s="4" t="b">
        <f t="shared" si="2"/>
        <v>1</v>
      </c>
      <c r="H27" s="1" t="str">
        <f t="shared" si="3"/>
        <v>Currently Unavailable</v>
      </c>
      <c r="I27" s="1" t="str">
        <f t="shared" si="4"/>
        <v>No Badges</v>
      </c>
      <c r="J27" s="3">
        <f t="shared" si="5"/>
        <v>0</v>
      </c>
    </row>
    <row r="28">
      <c r="A28" s="1" t="s">
        <v>36</v>
      </c>
      <c r="B28" s="3" t="str">
        <f t="shared" si="1"/>
        <v>Unavailable</v>
      </c>
      <c r="C28" s="5">
        <v>1016.0</v>
      </c>
      <c r="D28" s="3">
        <f>IFERROR(__xludf.DUMMYFUNCTION("IFERROR(
IF(REGEXMATCH(LOWER(O28),""k""),
VALUE(REGEXEXTRACT(O28,""[0-9]+""))*1000,
VALUE(REGEXEXTRACT(O28,""[0-9]+""))
),
0
)"),0.0)</f>
        <v>0</v>
      </c>
      <c r="E28" s="1" t="s">
        <v>11</v>
      </c>
      <c r="F28" s="1" t="s">
        <v>20</v>
      </c>
      <c r="G28" s="4" t="b">
        <f t="shared" si="2"/>
        <v>1</v>
      </c>
      <c r="H28" s="1" t="str">
        <f t="shared" si="3"/>
        <v>Currently Unavailable</v>
      </c>
      <c r="I28" s="1" t="str">
        <f t="shared" si="4"/>
        <v>No Badges</v>
      </c>
      <c r="J28" s="6">
        <f t="shared" si="5"/>
        <v>0</v>
      </c>
    </row>
    <row r="29">
      <c r="A29" s="1" t="s">
        <v>37</v>
      </c>
      <c r="B29" s="3" t="str">
        <f t="shared" si="1"/>
        <v>Unavailable</v>
      </c>
      <c r="C29" s="3">
        <v>341.0</v>
      </c>
      <c r="D29" s="3">
        <f>IFERROR(__xludf.DUMMYFUNCTION("IFERROR(
IF(REGEXMATCH(LOWER(O29),""k""),
VALUE(REGEXEXTRACT(O29,""[0-9]+""))*1000,
VALUE(REGEXEXTRACT(O29,""[0-9]+""))
),
0
)"),0.0)</f>
        <v>0</v>
      </c>
      <c r="E29" s="1" t="s">
        <v>11</v>
      </c>
      <c r="F29" s="1" t="s">
        <v>20</v>
      </c>
      <c r="G29" s="4" t="b">
        <f t="shared" si="2"/>
        <v>1</v>
      </c>
      <c r="H29" s="1" t="str">
        <f t="shared" si="3"/>
        <v>Currently Unavailable</v>
      </c>
      <c r="I29" s="1" t="str">
        <f t="shared" si="4"/>
        <v>No Badges</v>
      </c>
      <c r="J29" s="3">
        <f t="shared" si="5"/>
        <v>0</v>
      </c>
    </row>
    <row r="30">
      <c r="A30" s="1" t="s">
        <v>38</v>
      </c>
      <c r="B30" s="3" t="str">
        <f t="shared" si="1"/>
        <v>Unavailable</v>
      </c>
      <c r="C30" s="3">
        <v>116.0</v>
      </c>
      <c r="D30" s="3">
        <f>IFERROR(__xludf.DUMMYFUNCTION("IFERROR(
IF(REGEXMATCH(LOWER(O30),""k""),
VALUE(REGEXEXTRACT(O30,""[0-9]+""))*1000,
VALUE(REGEXEXTRACT(O30,""[0-9]+""))
),
0
)"),0.0)</f>
        <v>0</v>
      </c>
      <c r="E30" s="1" t="s">
        <v>11</v>
      </c>
      <c r="F30" s="1" t="s">
        <v>20</v>
      </c>
      <c r="G30" s="4" t="b">
        <f t="shared" si="2"/>
        <v>1</v>
      </c>
      <c r="H30" s="1" t="str">
        <f t="shared" si="3"/>
        <v>Currently Unavailable</v>
      </c>
      <c r="I30" s="1" t="str">
        <f t="shared" si="4"/>
        <v>No Badges</v>
      </c>
      <c r="J30" s="3">
        <f t="shared" si="5"/>
        <v>0</v>
      </c>
    </row>
    <row r="31">
      <c r="A31" s="1" t="s">
        <v>39</v>
      </c>
      <c r="B31" s="3" t="str">
        <f t="shared" si="1"/>
        <v>Unavailable</v>
      </c>
      <c r="C31" s="3">
        <v>47.0</v>
      </c>
      <c r="D31" s="3">
        <f>IFERROR(__xludf.DUMMYFUNCTION("IFERROR(
IF(REGEXMATCH(LOWER(O31),""k""),
VALUE(REGEXEXTRACT(O31,""[0-9]+""))*1000,
VALUE(REGEXEXTRACT(O31,""[0-9]+""))
),
0
)"),0.0)</f>
        <v>0</v>
      </c>
      <c r="E31" s="1" t="s">
        <v>11</v>
      </c>
      <c r="F31" s="1" t="s">
        <v>20</v>
      </c>
      <c r="G31" s="4" t="b">
        <f t="shared" si="2"/>
        <v>1</v>
      </c>
      <c r="H31" s="1" t="str">
        <f t="shared" si="3"/>
        <v>Currently Unavailable</v>
      </c>
      <c r="I31" s="1" t="str">
        <f t="shared" si="4"/>
        <v>No Badges</v>
      </c>
      <c r="J31" s="3">
        <f t="shared" si="5"/>
        <v>0</v>
      </c>
    </row>
    <row r="32">
      <c r="A32" s="1" t="s">
        <v>40</v>
      </c>
      <c r="B32" s="3" t="str">
        <f t="shared" si="1"/>
        <v>Unavailable</v>
      </c>
      <c r="C32" s="3">
        <v>171.0</v>
      </c>
      <c r="D32" s="3">
        <f>IFERROR(__xludf.DUMMYFUNCTION("IFERROR(
IF(REGEXMATCH(LOWER(O32),""k""),
VALUE(REGEXEXTRACT(O32,""[0-9]+""))*1000,
VALUE(REGEXEXTRACT(O32,""[0-9]+""))
),
0
)"),0.0)</f>
        <v>0</v>
      </c>
      <c r="E32" s="1" t="s">
        <v>11</v>
      </c>
      <c r="F32" s="1" t="s">
        <v>12</v>
      </c>
      <c r="G32" s="4" t="b">
        <f t="shared" si="2"/>
        <v>1</v>
      </c>
      <c r="H32" s="1" t="str">
        <f t="shared" si="3"/>
        <v>Currently Unavailable</v>
      </c>
      <c r="I32" s="1" t="str">
        <f t="shared" si="4"/>
        <v>No Badges</v>
      </c>
      <c r="J32" s="3">
        <f t="shared" si="5"/>
        <v>0</v>
      </c>
    </row>
    <row r="33">
      <c r="A33" s="1" t="s">
        <v>41</v>
      </c>
      <c r="B33" s="3" t="str">
        <f t="shared" si="1"/>
        <v>Unavailable</v>
      </c>
      <c r="C33" s="3">
        <v>276.0</v>
      </c>
      <c r="D33" s="3">
        <f>IFERROR(__xludf.DUMMYFUNCTION("IFERROR(
IF(REGEXMATCH(LOWER(O33),""k""),
VALUE(REGEXEXTRACT(O33,""[0-9]+""))*1000,
VALUE(REGEXEXTRACT(O33,""[0-9]+""))
),
0
)"),0.0)</f>
        <v>0</v>
      </c>
      <c r="E33" s="1" t="s">
        <v>11</v>
      </c>
      <c r="F33" s="1" t="s">
        <v>12</v>
      </c>
      <c r="G33" s="4" t="b">
        <f t="shared" si="2"/>
        <v>1</v>
      </c>
      <c r="H33" s="1" t="str">
        <f t="shared" si="3"/>
        <v>Currently Unavailable</v>
      </c>
      <c r="I33" s="1" t="str">
        <f t="shared" si="4"/>
        <v>No Badges</v>
      </c>
      <c r="J33" s="3">
        <f t="shared" si="5"/>
        <v>0</v>
      </c>
    </row>
    <row r="34">
      <c r="A34" s="1" t="s">
        <v>42</v>
      </c>
      <c r="B34" s="3" t="str">
        <f t="shared" si="1"/>
        <v>Unavailable</v>
      </c>
      <c r="C34" s="3">
        <v>358.0</v>
      </c>
      <c r="D34" s="3">
        <f>IFERROR(__xludf.DUMMYFUNCTION("IFERROR(
IF(REGEXMATCH(LOWER(O34),""k""),
VALUE(REGEXEXTRACT(O34,""[0-9]+""))*1000,
VALUE(REGEXEXTRACT(O34,""[0-9]+""))
),
0
)"),0.0)</f>
        <v>0</v>
      </c>
      <c r="E34" s="1" t="s">
        <v>11</v>
      </c>
      <c r="F34" s="1" t="s">
        <v>12</v>
      </c>
      <c r="G34" s="4" t="b">
        <f t="shared" si="2"/>
        <v>1</v>
      </c>
      <c r="H34" s="1" t="str">
        <f t="shared" si="3"/>
        <v>Currently Unavailable</v>
      </c>
      <c r="I34" s="1" t="str">
        <f t="shared" si="4"/>
        <v>No Badges</v>
      </c>
      <c r="J34" s="3">
        <f t="shared" si="5"/>
        <v>0</v>
      </c>
    </row>
    <row r="35">
      <c r="A35" s="1" t="s">
        <v>43</v>
      </c>
      <c r="B35" s="3" t="str">
        <f t="shared" si="1"/>
        <v>Unavailable</v>
      </c>
      <c r="C35" s="3">
        <v>35.0</v>
      </c>
      <c r="D35" s="3">
        <f>IFERROR(__xludf.DUMMYFUNCTION("IFERROR(
IF(REGEXMATCH(LOWER(O35),""k""),
VALUE(REGEXEXTRACT(O35,""[0-9]+""))*1000,
VALUE(REGEXEXTRACT(O35,""[0-9]+""))
),
0
)"),0.0)</f>
        <v>0</v>
      </c>
      <c r="E35" s="1" t="s">
        <v>11</v>
      </c>
      <c r="F35" s="1" t="s">
        <v>12</v>
      </c>
      <c r="G35" s="4" t="b">
        <f t="shared" si="2"/>
        <v>1</v>
      </c>
      <c r="H35" s="1" t="str">
        <f t="shared" si="3"/>
        <v>Currently Unavailable</v>
      </c>
      <c r="I35" s="1" t="str">
        <f t="shared" si="4"/>
        <v>No Badges</v>
      </c>
      <c r="J35" s="3">
        <f t="shared" si="5"/>
        <v>0</v>
      </c>
    </row>
    <row r="36">
      <c r="A36" s="1" t="s">
        <v>44</v>
      </c>
      <c r="B36" s="3" t="str">
        <f t="shared" si="1"/>
        <v>Unavailable</v>
      </c>
      <c r="C36" s="3">
        <v>30.0</v>
      </c>
      <c r="D36" s="3">
        <f>IFERROR(__xludf.DUMMYFUNCTION("IFERROR(
IF(REGEXMATCH(LOWER(O36),""k""),
VALUE(REGEXEXTRACT(O36,""[0-9]+""))*1000,
VALUE(REGEXEXTRACT(O36,""[0-9]+""))
),
0
)"),0.0)</f>
        <v>0</v>
      </c>
      <c r="E36" s="1" t="s">
        <v>11</v>
      </c>
      <c r="F36" s="1" t="s">
        <v>20</v>
      </c>
      <c r="G36" s="4" t="b">
        <f t="shared" si="2"/>
        <v>1</v>
      </c>
      <c r="H36" s="1" t="str">
        <f t="shared" si="3"/>
        <v>Currently Unavailable</v>
      </c>
      <c r="I36" s="1" t="str">
        <f t="shared" si="4"/>
        <v>No Badges</v>
      </c>
      <c r="J36" s="3">
        <f t="shared" si="5"/>
        <v>0</v>
      </c>
    </row>
    <row r="37">
      <c r="A37" s="1" t="s">
        <v>45</v>
      </c>
      <c r="B37" s="3" t="str">
        <f t="shared" si="1"/>
        <v>Unavailable</v>
      </c>
      <c r="C37" s="3">
        <v>13.0</v>
      </c>
      <c r="D37" s="3">
        <f>IFERROR(__xludf.DUMMYFUNCTION("IFERROR(
IF(REGEXMATCH(LOWER(O37),""k""),
VALUE(REGEXEXTRACT(O37,""[0-9]+""))*1000,
VALUE(REGEXEXTRACT(O37,""[0-9]+""))
),
0
)"),0.0)</f>
        <v>0</v>
      </c>
      <c r="E37" s="1" t="s">
        <v>11</v>
      </c>
      <c r="F37" s="1" t="s">
        <v>20</v>
      </c>
      <c r="G37" s="4" t="b">
        <f t="shared" si="2"/>
        <v>1</v>
      </c>
      <c r="H37" s="1" t="str">
        <f t="shared" si="3"/>
        <v>Currently Unavailable</v>
      </c>
      <c r="I37" s="1" t="str">
        <f t="shared" si="4"/>
        <v>No Badges</v>
      </c>
      <c r="J37" s="6">
        <f t="shared" si="5"/>
        <v>0</v>
      </c>
    </row>
    <row r="38">
      <c r="A38" s="1" t="s">
        <v>46</v>
      </c>
      <c r="B38" s="3" t="str">
        <f t="shared" si="1"/>
        <v>Unavailable</v>
      </c>
      <c r="C38" s="3">
        <v>130.0</v>
      </c>
      <c r="D38" s="3">
        <f>IFERROR(__xludf.DUMMYFUNCTION("IFERROR(
IF(REGEXMATCH(LOWER(O38),""k""),
VALUE(REGEXEXTRACT(O38,""[0-9]+""))*1000,
VALUE(REGEXEXTRACT(O38,""[0-9]+""))
),
0
)"),0.0)</f>
        <v>0</v>
      </c>
      <c r="E38" s="1" t="s">
        <v>11</v>
      </c>
      <c r="F38" s="1" t="s">
        <v>20</v>
      </c>
      <c r="G38" s="4" t="b">
        <f t="shared" si="2"/>
        <v>1</v>
      </c>
      <c r="H38" s="1" t="str">
        <f t="shared" si="3"/>
        <v>Currently Unavailable</v>
      </c>
      <c r="I38" s="1" t="str">
        <f t="shared" si="4"/>
        <v>No Badges</v>
      </c>
      <c r="J38" s="6">
        <f t="shared" si="5"/>
        <v>0</v>
      </c>
    </row>
    <row r="39">
      <c r="A39" s="1" t="s">
        <v>47</v>
      </c>
      <c r="B39" s="3" t="str">
        <f t="shared" si="1"/>
        <v>Unavailable</v>
      </c>
      <c r="C39" s="3">
        <v>80.0</v>
      </c>
      <c r="D39" s="3">
        <f>IFERROR(__xludf.DUMMYFUNCTION("IFERROR(
IF(REGEXMATCH(LOWER(O39),""k""),
VALUE(REGEXEXTRACT(O39,""[0-9]+""))*1000,
VALUE(REGEXEXTRACT(O39,""[0-9]+""))
),
0
)"),0.0)</f>
        <v>0</v>
      </c>
      <c r="E39" s="1" t="s">
        <v>11</v>
      </c>
      <c r="F39" s="1" t="s">
        <v>20</v>
      </c>
      <c r="G39" s="4" t="b">
        <f t="shared" si="2"/>
        <v>1</v>
      </c>
      <c r="H39" s="1" t="str">
        <f t="shared" si="3"/>
        <v>Currently Unavailable</v>
      </c>
      <c r="I39" s="1" t="str">
        <f t="shared" si="4"/>
        <v>No Badges</v>
      </c>
      <c r="J39" s="3">
        <f t="shared" si="5"/>
        <v>0</v>
      </c>
    </row>
    <row r="40">
      <c r="A40" s="1" t="s">
        <v>48</v>
      </c>
      <c r="B40" s="3" t="str">
        <f t="shared" si="1"/>
        <v>Unavailable</v>
      </c>
      <c r="C40" s="3">
        <v>13.0</v>
      </c>
      <c r="D40" s="3">
        <f>IFERROR(__xludf.DUMMYFUNCTION("IFERROR(
IF(REGEXMATCH(LOWER(O40),""k""),
VALUE(REGEXEXTRACT(O40,""[0-9]+""))*1000,
VALUE(REGEXEXTRACT(O40,""[0-9]+""))
),
0
)"),0.0)</f>
        <v>0</v>
      </c>
      <c r="E40" s="1" t="s">
        <v>11</v>
      </c>
      <c r="F40" s="1" t="s">
        <v>20</v>
      </c>
      <c r="G40" s="4" t="b">
        <f t="shared" si="2"/>
        <v>1</v>
      </c>
      <c r="H40" s="1" t="str">
        <f t="shared" si="3"/>
        <v>Currently Unavailable</v>
      </c>
      <c r="I40" s="1" t="str">
        <f t="shared" si="4"/>
        <v>No Badges</v>
      </c>
      <c r="J40" s="3">
        <f t="shared" si="5"/>
        <v>0</v>
      </c>
    </row>
    <row r="41">
      <c r="A41" s="1" t="s">
        <v>49</v>
      </c>
      <c r="B41" s="3" t="str">
        <f t="shared" si="1"/>
        <v>Unavailable</v>
      </c>
      <c r="C41" s="3">
        <v>133.0</v>
      </c>
      <c r="D41" s="3">
        <f>IFERROR(__xludf.DUMMYFUNCTION("IFERROR(
IF(REGEXMATCH(LOWER(O41),""k""),
VALUE(REGEXEXTRACT(O41,""[0-9]+""))*1000,
VALUE(REGEXEXTRACT(O41,""[0-9]+""))
),
0
)"),0.0)</f>
        <v>0</v>
      </c>
      <c r="E41" s="1" t="s">
        <v>11</v>
      </c>
      <c r="F41" s="1" t="s">
        <v>12</v>
      </c>
      <c r="G41" s="4" t="b">
        <f t="shared" si="2"/>
        <v>1</v>
      </c>
      <c r="H41" s="1" t="str">
        <f t="shared" si="3"/>
        <v>Currently Unavailable</v>
      </c>
      <c r="I41" s="1" t="str">
        <f t="shared" si="4"/>
        <v>No Badges</v>
      </c>
      <c r="J41" s="3">
        <f t="shared" si="5"/>
        <v>0</v>
      </c>
    </row>
    <row r="42">
      <c r="A42" s="1" t="s">
        <v>50</v>
      </c>
      <c r="B42" s="3" t="str">
        <f t="shared" si="1"/>
        <v>Unavailable</v>
      </c>
      <c r="C42" s="3">
        <v>202.0</v>
      </c>
      <c r="D42" s="3">
        <f>IFERROR(__xludf.DUMMYFUNCTION("IFERROR(
IF(REGEXMATCH(LOWER(O42),""k""),
VALUE(REGEXEXTRACT(O42,""[0-9]+""))*1000,
VALUE(REGEXEXTRACT(O42,""[0-9]+""))
),
0
)"),0.0)</f>
        <v>0</v>
      </c>
      <c r="E42" s="1" t="s">
        <v>11</v>
      </c>
      <c r="F42" s="1" t="s">
        <v>20</v>
      </c>
      <c r="G42" s="4" t="b">
        <f t="shared" si="2"/>
        <v>1</v>
      </c>
      <c r="H42" s="1" t="str">
        <f t="shared" si="3"/>
        <v>Currently Unavailable</v>
      </c>
      <c r="I42" s="1" t="str">
        <f t="shared" si="4"/>
        <v>No Badges</v>
      </c>
      <c r="J42" s="3">
        <f t="shared" si="5"/>
        <v>0</v>
      </c>
    </row>
    <row r="43">
      <c r="A43" s="1" t="s">
        <v>51</v>
      </c>
      <c r="B43" s="3" t="str">
        <f t="shared" si="1"/>
        <v>Unavailable</v>
      </c>
      <c r="C43" s="3">
        <v>178.0</v>
      </c>
      <c r="D43" s="3">
        <f>IFERROR(__xludf.DUMMYFUNCTION("IFERROR(
IF(REGEXMATCH(LOWER(O43),""k""),
VALUE(REGEXEXTRACT(O43,""[0-9]+""))*1000,
VALUE(REGEXEXTRACT(O43,""[0-9]+""))
),
0
)"),0.0)</f>
        <v>0</v>
      </c>
      <c r="E43" s="1" t="s">
        <v>11</v>
      </c>
      <c r="F43" s="1" t="s">
        <v>20</v>
      </c>
      <c r="G43" s="4" t="b">
        <f t="shared" si="2"/>
        <v>1</v>
      </c>
      <c r="H43" s="1" t="str">
        <f t="shared" si="3"/>
        <v>Currently Unavailable</v>
      </c>
      <c r="I43" s="1" t="str">
        <f t="shared" si="4"/>
        <v>No Badges</v>
      </c>
      <c r="J43" s="6">
        <f t="shared" si="5"/>
        <v>0</v>
      </c>
    </row>
    <row r="44">
      <c r="A44" s="1" t="s">
        <v>52</v>
      </c>
      <c r="B44" s="3" t="str">
        <f t="shared" si="1"/>
        <v>Unavailable</v>
      </c>
      <c r="C44" s="3">
        <v>504.0</v>
      </c>
      <c r="D44" s="3">
        <f>IFERROR(__xludf.DUMMYFUNCTION("IFERROR(
IF(REGEXMATCH(LOWER(O44),""k""),
VALUE(REGEXEXTRACT(O44,""[0-9]+""))*1000,
VALUE(REGEXEXTRACT(O44,""[0-9]+""))
),
0
)"),0.0)</f>
        <v>0</v>
      </c>
      <c r="E44" s="1" t="s">
        <v>11</v>
      </c>
      <c r="F44" s="1" t="s">
        <v>20</v>
      </c>
      <c r="G44" s="4" t="b">
        <f t="shared" si="2"/>
        <v>1</v>
      </c>
      <c r="H44" s="1" t="str">
        <f t="shared" si="3"/>
        <v>Currently Unavailable</v>
      </c>
      <c r="I44" s="1" t="str">
        <f t="shared" si="4"/>
        <v>No Badges</v>
      </c>
      <c r="J44" s="3">
        <f t="shared" si="5"/>
        <v>0</v>
      </c>
    </row>
    <row r="45">
      <c r="A45" s="1" t="s">
        <v>53</v>
      </c>
      <c r="B45" s="3" t="str">
        <f t="shared" si="1"/>
        <v>Unavailable</v>
      </c>
      <c r="C45" s="3">
        <v>104.0</v>
      </c>
      <c r="D45" s="3">
        <f>IFERROR(__xludf.DUMMYFUNCTION("IFERROR(
IF(REGEXMATCH(LOWER(O45),""k""),
VALUE(REGEXEXTRACT(O45,""[0-9]+""))*1000,
VALUE(REGEXEXTRACT(O45,""[0-9]+""))
),
0
)"),0.0)</f>
        <v>0</v>
      </c>
      <c r="E45" s="1" t="s">
        <v>11</v>
      </c>
      <c r="F45" s="1" t="s">
        <v>20</v>
      </c>
      <c r="G45" s="4" t="b">
        <f t="shared" si="2"/>
        <v>1</v>
      </c>
      <c r="H45" s="1" t="str">
        <f t="shared" si="3"/>
        <v>Currently Unavailable</v>
      </c>
      <c r="I45" s="1" t="str">
        <f t="shared" si="4"/>
        <v>No Badges</v>
      </c>
      <c r="J45" s="3">
        <f t="shared" si="5"/>
        <v>0</v>
      </c>
    </row>
    <row r="46">
      <c r="A46" s="1" t="s">
        <v>54</v>
      </c>
      <c r="B46" s="3" t="str">
        <f t="shared" si="1"/>
        <v>Unavailable</v>
      </c>
      <c r="C46" s="3">
        <v>67.0</v>
      </c>
      <c r="D46" s="3">
        <f>IFERROR(__xludf.DUMMYFUNCTION("IFERROR(
IF(REGEXMATCH(LOWER(O46),""k""),
VALUE(REGEXEXTRACT(O46,""[0-9]+""))*1000,
VALUE(REGEXEXTRACT(O46,""[0-9]+""))
),
0
)"),0.0)</f>
        <v>0</v>
      </c>
      <c r="E46" s="1" t="s">
        <v>11</v>
      </c>
      <c r="F46" s="1" t="s">
        <v>20</v>
      </c>
      <c r="G46" s="4" t="b">
        <f t="shared" si="2"/>
        <v>1</v>
      </c>
      <c r="H46" s="1" t="str">
        <f t="shared" si="3"/>
        <v>Currently Unavailable</v>
      </c>
      <c r="I46" s="1" t="str">
        <f t="shared" si="4"/>
        <v>No Badges</v>
      </c>
      <c r="J46" s="3">
        <f t="shared" si="5"/>
        <v>0</v>
      </c>
    </row>
    <row r="47">
      <c r="A47" s="1" t="s">
        <v>55</v>
      </c>
      <c r="B47" s="3" t="str">
        <f t="shared" si="1"/>
        <v>Unavailable</v>
      </c>
      <c r="C47" s="3">
        <v>6.0</v>
      </c>
      <c r="D47" s="3">
        <f>IFERROR(__xludf.DUMMYFUNCTION("IFERROR(
IF(REGEXMATCH(LOWER(O47),""k""),
VALUE(REGEXEXTRACT(O47,""[0-9]+""))*1000,
VALUE(REGEXEXTRACT(O47,""[0-9]+""))
),
0
)"),0.0)</f>
        <v>0</v>
      </c>
      <c r="E47" s="1" t="s">
        <v>11</v>
      </c>
      <c r="F47" s="1" t="s">
        <v>20</v>
      </c>
      <c r="G47" s="4" t="b">
        <f t="shared" si="2"/>
        <v>1</v>
      </c>
      <c r="H47" s="1" t="str">
        <f t="shared" si="3"/>
        <v>Currently Unavailable</v>
      </c>
      <c r="I47" s="1" t="str">
        <f t="shared" si="4"/>
        <v>No Badges</v>
      </c>
      <c r="J47" s="3">
        <f t="shared" si="5"/>
        <v>0</v>
      </c>
    </row>
    <row r="48">
      <c r="A48" s="1" t="s">
        <v>56</v>
      </c>
      <c r="B48" s="3" t="str">
        <f t="shared" si="1"/>
        <v>Unavailable</v>
      </c>
      <c r="C48" s="3">
        <v>683.0</v>
      </c>
      <c r="D48" s="3">
        <f>IFERROR(__xludf.DUMMYFUNCTION("IFERROR(
IF(REGEXMATCH(LOWER(O48),""k""),
VALUE(REGEXEXTRACT(O48,""[0-9]+""))*1000,
VALUE(REGEXEXTRACT(O48,""[0-9]+""))
),
0
)"),0.0)</f>
        <v>0</v>
      </c>
      <c r="E48" s="1" t="s">
        <v>11</v>
      </c>
      <c r="F48" s="1" t="s">
        <v>20</v>
      </c>
      <c r="G48" s="4" t="b">
        <f t="shared" si="2"/>
        <v>1</v>
      </c>
      <c r="H48" s="1" t="str">
        <f t="shared" si="3"/>
        <v>Currently Unavailable</v>
      </c>
      <c r="I48" s="1" t="str">
        <f t="shared" si="4"/>
        <v>No Badges</v>
      </c>
      <c r="J48" s="3">
        <f t="shared" si="5"/>
        <v>0</v>
      </c>
    </row>
    <row r="49">
      <c r="A49" s="1" t="s">
        <v>57</v>
      </c>
      <c r="B49" s="3" t="str">
        <f t="shared" si="1"/>
        <v>Unavailable</v>
      </c>
      <c r="C49" s="3">
        <v>211.0</v>
      </c>
      <c r="D49" s="3">
        <f>IFERROR(__xludf.DUMMYFUNCTION("IFERROR(
IF(REGEXMATCH(LOWER(O49),""k""),
VALUE(REGEXEXTRACT(O49,""[0-9]+""))*1000,
VALUE(REGEXEXTRACT(O49,""[0-9]+""))
),
0
)"),0.0)</f>
        <v>0</v>
      </c>
      <c r="E49" s="1" t="s">
        <v>11</v>
      </c>
      <c r="F49" s="1" t="s">
        <v>20</v>
      </c>
      <c r="G49" s="4" t="b">
        <f t="shared" si="2"/>
        <v>1</v>
      </c>
      <c r="H49" s="1" t="str">
        <f t="shared" si="3"/>
        <v>Currently Unavailable</v>
      </c>
      <c r="I49" s="1" t="str">
        <f t="shared" si="4"/>
        <v>No Badges</v>
      </c>
      <c r="J49" s="6">
        <f t="shared" si="5"/>
        <v>0</v>
      </c>
    </row>
    <row r="50">
      <c r="A50" s="1" t="s">
        <v>58</v>
      </c>
      <c r="B50" s="3" t="str">
        <f t="shared" si="1"/>
        <v>Unavailable</v>
      </c>
      <c r="C50" s="3">
        <v>21.0</v>
      </c>
      <c r="D50" s="3">
        <f>IFERROR(__xludf.DUMMYFUNCTION("IFERROR(
IF(REGEXMATCH(LOWER(O50),""k""),
VALUE(REGEXEXTRACT(O50,""[0-9]+""))*1000,
VALUE(REGEXEXTRACT(O50,""[0-9]+""))
),
0
)"),0.0)</f>
        <v>0</v>
      </c>
      <c r="E50" s="1" t="s">
        <v>11</v>
      </c>
      <c r="F50" s="1" t="s">
        <v>20</v>
      </c>
      <c r="G50" s="4" t="b">
        <f t="shared" si="2"/>
        <v>1</v>
      </c>
      <c r="H50" s="1" t="str">
        <f t="shared" si="3"/>
        <v>Currently Unavailable</v>
      </c>
      <c r="I50" s="1" t="str">
        <f t="shared" si="4"/>
        <v>No Badges</v>
      </c>
      <c r="J50" s="6">
        <f t="shared" si="5"/>
        <v>0</v>
      </c>
    </row>
    <row r="51">
      <c r="A51" s="1" t="s">
        <v>59</v>
      </c>
      <c r="B51" s="3" t="str">
        <f t="shared" si="1"/>
        <v>Unavailable</v>
      </c>
      <c r="C51" s="3">
        <v>40.0</v>
      </c>
      <c r="D51" s="3">
        <f>IFERROR(__xludf.DUMMYFUNCTION("IFERROR(
IF(REGEXMATCH(LOWER(O51),""k""),
VALUE(REGEXEXTRACT(O51,""[0-9]+""))*1000,
VALUE(REGEXEXTRACT(O51,""[0-9]+""))
),
0
)"),0.0)</f>
        <v>0</v>
      </c>
      <c r="E51" s="1" t="s">
        <v>18</v>
      </c>
      <c r="F51" s="1" t="s">
        <v>20</v>
      </c>
      <c r="G51" s="4" t="b">
        <f t="shared" si="2"/>
        <v>1</v>
      </c>
      <c r="H51" s="1" t="str">
        <f t="shared" si="3"/>
        <v>Currently Unavailable</v>
      </c>
      <c r="I51" s="1" t="str">
        <f t="shared" si="4"/>
        <v>No Badges</v>
      </c>
      <c r="J51" s="3">
        <f t="shared" si="5"/>
        <v>0</v>
      </c>
    </row>
    <row r="52">
      <c r="A52" s="1" t="s">
        <v>60</v>
      </c>
      <c r="B52" s="3" t="str">
        <f t="shared" si="1"/>
        <v>Unavailable</v>
      </c>
      <c r="C52" s="3">
        <v>113.0</v>
      </c>
      <c r="D52" s="3">
        <f>IFERROR(__xludf.DUMMYFUNCTION("IFERROR(
IF(REGEXMATCH(LOWER(O52),""k""),
VALUE(REGEXEXTRACT(O52,""[0-9]+""))*1000,
VALUE(REGEXEXTRACT(O52,""[0-9]+""))
),
0
)"),0.0)</f>
        <v>0</v>
      </c>
      <c r="E52" s="1" t="s">
        <v>11</v>
      </c>
      <c r="F52" s="1" t="s">
        <v>20</v>
      </c>
      <c r="G52" s="4" t="b">
        <f t="shared" si="2"/>
        <v>1</v>
      </c>
      <c r="H52" s="1" t="str">
        <f t="shared" si="3"/>
        <v>Currently Unavailable</v>
      </c>
      <c r="I52" s="1" t="str">
        <f t="shared" si="4"/>
        <v>No Badges</v>
      </c>
      <c r="J52" s="6">
        <f t="shared" si="5"/>
        <v>0</v>
      </c>
    </row>
    <row r="53">
      <c r="A53" s="1" t="s">
        <v>61</v>
      </c>
      <c r="B53" s="3" t="str">
        <f t="shared" si="1"/>
        <v>Unavailable</v>
      </c>
      <c r="C53" s="3">
        <v>69.0</v>
      </c>
      <c r="D53" s="3">
        <f>IFERROR(__xludf.DUMMYFUNCTION("IFERROR(
IF(REGEXMATCH(LOWER(O53),""k""),
VALUE(REGEXEXTRACT(O53,""[0-9]+""))*1000,
VALUE(REGEXEXTRACT(O53,""[0-9]+""))
),
0
)"),0.0)</f>
        <v>0</v>
      </c>
      <c r="E53" s="1" t="s">
        <v>11</v>
      </c>
      <c r="F53" s="1" t="s">
        <v>20</v>
      </c>
      <c r="G53" s="4" t="b">
        <f t="shared" si="2"/>
        <v>1</v>
      </c>
      <c r="H53" s="1" t="str">
        <f t="shared" si="3"/>
        <v>Currently Unavailable</v>
      </c>
      <c r="I53" s="1" t="str">
        <f t="shared" si="4"/>
        <v>No Badges</v>
      </c>
      <c r="J53" s="3">
        <f t="shared" si="5"/>
        <v>0</v>
      </c>
    </row>
    <row r="54">
      <c r="A54" s="1" t="s">
        <v>62</v>
      </c>
      <c r="B54" s="3" t="str">
        <f t="shared" si="1"/>
        <v>Unavailable</v>
      </c>
      <c r="C54" s="3">
        <v>1.0</v>
      </c>
      <c r="D54" s="3">
        <f>IFERROR(__xludf.DUMMYFUNCTION("IFERROR(
IF(REGEXMATCH(LOWER(O54),""k""),
VALUE(REGEXEXTRACT(O54,""[0-9]+""))*1000,
VALUE(REGEXEXTRACT(O54,""[0-9]+""))
),
0
)"),0.0)</f>
        <v>0</v>
      </c>
      <c r="E54" s="1" t="s">
        <v>11</v>
      </c>
      <c r="F54" s="1" t="s">
        <v>20</v>
      </c>
      <c r="G54" s="4" t="b">
        <f t="shared" si="2"/>
        <v>1</v>
      </c>
      <c r="H54" s="1" t="str">
        <f t="shared" si="3"/>
        <v>Currently Unavailable</v>
      </c>
      <c r="I54" s="1" t="str">
        <f t="shared" si="4"/>
        <v>No Badges</v>
      </c>
      <c r="J54" s="3">
        <f t="shared" si="5"/>
        <v>0</v>
      </c>
    </row>
    <row r="55">
      <c r="A55" s="1" t="s">
        <v>63</v>
      </c>
      <c r="B55" s="3" t="str">
        <f t="shared" si="1"/>
        <v>Unavailable</v>
      </c>
      <c r="C55" s="3">
        <v>8.0</v>
      </c>
      <c r="D55" s="3">
        <f>IFERROR(__xludf.DUMMYFUNCTION("IFERROR(
IF(REGEXMATCH(LOWER(O55),""k""),
VALUE(REGEXEXTRACT(O55,""[0-9]+""))*1000,
VALUE(REGEXEXTRACT(O55,""[0-9]+""))
),
0
)"),0.0)</f>
        <v>0</v>
      </c>
      <c r="E55" s="1" t="s">
        <v>11</v>
      </c>
      <c r="F55" s="1" t="s">
        <v>20</v>
      </c>
      <c r="G55" s="4" t="b">
        <f t="shared" si="2"/>
        <v>1</v>
      </c>
      <c r="H55" s="1" t="str">
        <f t="shared" si="3"/>
        <v>Currently Unavailable</v>
      </c>
      <c r="I55" s="1" t="str">
        <f t="shared" si="4"/>
        <v>No Badges</v>
      </c>
      <c r="J55" s="3">
        <f t="shared" si="5"/>
        <v>0</v>
      </c>
    </row>
    <row r="56">
      <c r="A56" s="1" t="s">
        <v>64</v>
      </c>
      <c r="B56" s="3" t="str">
        <f t="shared" si="1"/>
        <v>Unavailable</v>
      </c>
      <c r="C56" s="3">
        <v>15.0</v>
      </c>
      <c r="D56" s="3">
        <f>IFERROR(__xludf.DUMMYFUNCTION("IFERROR(
IF(REGEXMATCH(LOWER(O56),""k""),
VALUE(REGEXEXTRACT(O56,""[0-9]+""))*1000,
VALUE(REGEXEXTRACT(O56,""[0-9]+""))
),
0
)"),0.0)</f>
        <v>0</v>
      </c>
      <c r="E56" s="1" t="s">
        <v>11</v>
      </c>
      <c r="F56" s="1" t="s">
        <v>20</v>
      </c>
      <c r="G56" s="4" t="b">
        <f t="shared" si="2"/>
        <v>1</v>
      </c>
      <c r="H56" s="1" t="str">
        <f t="shared" si="3"/>
        <v>Currently Unavailable</v>
      </c>
      <c r="I56" s="1" t="str">
        <f t="shared" si="4"/>
        <v>No Badges</v>
      </c>
      <c r="J56" s="3">
        <f t="shared" si="5"/>
        <v>0</v>
      </c>
    </row>
    <row r="57">
      <c r="A57" s="1" t="s">
        <v>65</v>
      </c>
      <c r="B57" s="3" t="str">
        <f t="shared" si="1"/>
        <v>Unavailable</v>
      </c>
      <c r="C57" s="3">
        <v>296.0</v>
      </c>
      <c r="D57" s="3">
        <f>IFERROR(__xludf.DUMMYFUNCTION("IFERROR(
IF(REGEXMATCH(LOWER(O57),""k""),
VALUE(REGEXEXTRACT(O57,""[0-9]+""))*1000,
VALUE(REGEXEXTRACT(O57,""[0-9]+""))
),
0
)"),0.0)</f>
        <v>0</v>
      </c>
      <c r="E57" s="1" t="s">
        <v>11</v>
      </c>
      <c r="F57" s="1" t="s">
        <v>20</v>
      </c>
      <c r="G57" s="4" t="b">
        <f t="shared" si="2"/>
        <v>1</v>
      </c>
      <c r="H57" s="1" t="str">
        <f t="shared" si="3"/>
        <v>Currently Unavailable</v>
      </c>
      <c r="I57" s="1" t="str">
        <f t="shared" si="4"/>
        <v>No Badges</v>
      </c>
      <c r="J57" s="3">
        <f t="shared" si="5"/>
        <v>0</v>
      </c>
    </row>
    <row r="58">
      <c r="A58" s="1" t="s">
        <v>66</v>
      </c>
      <c r="B58" s="3" t="str">
        <f t="shared" si="1"/>
        <v>Unavailable</v>
      </c>
      <c r="C58" s="3">
        <v>225.0</v>
      </c>
      <c r="D58" s="3">
        <f>IFERROR(__xludf.DUMMYFUNCTION("IFERROR(
IF(REGEXMATCH(LOWER(O58),""k""),
VALUE(REGEXEXTRACT(O58,""[0-9]+""))*1000,
VALUE(REGEXEXTRACT(O58,""[0-9]+""))
),
0
)"),0.0)</f>
        <v>0</v>
      </c>
      <c r="E58" s="1" t="s">
        <v>11</v>
      </c>
      <c r="F58" s="1" t="s">
        <v>20</v>
      </c>
      <c r="G58" s="4" t="b">
        <f t="shared" si="2"/>
        <v>1</v>
      </c>
      <c r="H58" s="1" t="str">
        <f t="shared" si="3"/>
        <v>Currently Unavailable</v>
      </c>
      <c r="I58" s="1" t="str">
        <f t="shared" si="4"/>
        <v>No Badges</v>
      </c>
      <c r="J58" s="6">
        <f t="shared" si="5"/>
        <v>0</v>
      </c>
    </row>
    <row r="59">
      <c r="A59" s="1" t="s">
        <v>67</v>
      </c>
      <c r="B59" s="3" t="str">
        <f t="shared" si="1"/>
        <v>Unavailable</v>
      </c>
      <c r="C59" s="3">
        <v>264.0</v>
      </c>
      <c r="D59" s="3">
        <f>IFERROR(__xludf.DUMMYFUNCTION("IFERROR(
IF(REGEXMATCH(LOWER(O59),""k""),
VALUE(REGEXEXTRACT(O59,""[0-9]+""))*1000,
VALUE(REGEXEXTRACT(O59,""[0-9]+""))
),
0
)"),0.0)</f>
        <v>0</v>
      </c>
      <c r="E59" s="1" t="s">
        <v>11</v>
      </c>
      <c r="F59" s="1" t="s">
        <v>12</v>
      </c>
      <c r="G59" s="4" t="b">
        <f t="shared" si="2"/>
        <v>1</v>
      </c>
      <c r="H59" s="1" t="str">
        <f t="shared" si="3"/>
        <v>Currently Unavailable</v>
      </c>
      <c r="I59" s="1" t="str">
        <f t="shared" si="4"/>
        <v>No Badges</v>
      </c>
      <c r="J59" s="3">
        <f t="shared" si="5"/>
        <v>0</v>
      </c>
    </row>
    <row r="60">
      <c r="A60" s="1" t="s">
        <v>68</v>
      </c>
      <c r="B60" s="3" t="str">
        <f t="shared" si="1"/>
        <v>Unavailable</v>
      </c>
      <c r="C60" s="3">
        <v>61.0</v>
      </c>
      <c r="D60" s="3">
        <f>IFERROR(__xludf.DUMMYFUNCTION("IFERROR(
IF(REGEXMATCH(LOWER(O60),""k""),
VALUE(REGEXEXTRACT(O60,""[0-9]+""))*1000,
VALUE(REGEXEXTRACT(O60,""[0-9]+""))
),
0
)"),0.0)</f>
        <v>0</v>
      </c>
      <c r="E60" s="1" t="s">
        <v>11</v>
      </c>
      <c r="F60" s="1" t="s">
        <v>20</v>
      </c>
      <c r="G60" s="4" t="b">
        <f t="shared" si="2"/>
        <v>1</v>
      </c>
      <c r="H60" s="1" t="str">
        <f t="shared" si="3"/>
        <v>Currently Unavailable</v>
      </c>
      <c r="I60" s="1" t="str">
        <f t="shared" si="4"/>
        <v>No Badges</v>
      </c>
      <c r="J60" s="3">
        <f t="shared" si="5"/>
        <v>0</v>
      </c>
    </row>
    <row r="61">
      <c r="A61" s="1" t="s">
        <v>69</v>
      </c>
      <c r="B61" s="3" t="str">
        <f t="shared" si="1"/>
        <v>Unavailable</v>
      </c>
      <c r="C61" s="3">
        <v>45.0</v>
      </c>
      <c r="D61" s="3">
        <f>IFERROR(__xludf.DUMMYFUNCTION("IFERROR(
IF(REGEXMATCH(LOWER(O61),""k""),
VALUE(REGEXEXTRACT(O61,""[0-9]+""))*1000,
VALUE(REGEXEXTRACT(O61,""[0-9]+""))
),
0
)"),0.0)</f>
        <v>0</v>
      </c>
      <c r="E61" s="1" t="s">
        <v>11</v>
      </c>
      <c r="F61" s="1" t="s">
        <v>12</v>
      </c>
      <c r="G61" s="4" t="b">
        <f t="shared" si="2"/>
        <v>1</v>
      </c>
      <c r="H61" s="1" t="str">
        <f t="shared" si="3"/>
        <v>Currently Unavailable</v>
      </c>
      <c r="I61" s="1" t="str">
        <f t="shared" si="4"/>
        <v>No Badges</v>
      </c>
      <c r="J61" s="3">
        <f t="shared" si="5"/>
        <v>0</v>
      </c>
    </row>
    <row r="62">
      <c r="A62" s="1" t="s">
        <v>70</v>
      </c>
      <c r="B62" s="3" t="str">
        <f t="shared" si="1"/>
        <v>Unavailable</v>
      </c>
      <c r="C62" s="3">
        <v>49.0</v>
      </c>
      <c r="D62" s="3">
        <f>IFERROR(__xludf.DUMMYFUNCTION("IFERROR(
IF(REGEXMATCH(LOWER(O62),""k""),
VALUE(REGEXEXTRACT(O62,""[0-9]+""))*1000,
VALUE(REGEXEXTRACT(O62,""[0-9]+""))
),
0
)"),0.0)</f>
        <v>0</v>
      </c>
      <c r="E62" s="1" t="s">
        <v>11</v>
      </c>
      <c r="F62" s="1" t="s">
        <v>20</v>
      </c>
      <c r="G62" s="4" t="b">
        <f t="shared" si="2"/>
        <v>1</v>
      </c>
      <c r="H62" s="1" t="str">
        <f t="shared" si="3"/>
        <v>Currently Unavailable</v>
      </c>
      <c r="I62" s="1" t="str">
        <f t="shared" si="4"/>
        <v>No Badges</v>
      </c>
      <c r="J62" s="3">
        <f t="shared" si="5"/>
        <v>0</v>
      </c>
    </row>
    <row r="63">
      <c r="A63" s="1" t="s">
        <v>71</v>
      </c>
      <c r="B63" s="3" t="str">
        <f t="shared" si="1"/>
        <v>Unavailable</v>
      </c>
      <c r="C63" s="5">
        <v>2619.0</v>
      </c>
      <c r="D63" s="3">
        <f>IFERROR(__xludf.DUMMYFUNCTION("IFERROR(
IF(REGEXMATCH(LOWER(O63),""k""),
VALUE(REGEXEXTRACT(O63,""[0-9]+""))*1000,
VALUE(REGEXEXTRACT(O63,""[0-9]+""))
),
0
)"),0.0)</f>
        <v>0</v>
      </c>
      <c r="E63" s="1" t="s">
        <v>11</v>
      </c>
      <c r="F63" s="1" t="s">
        <v>20</v>
      </c>
      <c r="G63" s="4" t="b">
        <f t="shared" si="2"/>
        <v>1</v>
      </c>
      <c r="H63" s="1" t="str">
        <f t="shared" si="3"/>
        <v>Currently Unavailable</v>
      </c>
      <c r="I63" s="1" t="str">
        <f t="shared" si="4"/>
        <v>No Badges</v>
      </c>
      <c r="J63" s="3">
        <f t="shared" si="5"/>
        <v>0</v>
      </c>
    </row>
    <row r="64">
      <c r="A64" s="1" t="s">
        <v>72</v>
      </c>
      <c r="B64" s="3" t="str">
        <f t="shared" si="1"/>
        <v>Unavailable</v>
      </c>
      <c r="C64" s="3">
        <v>31.0</v>
      </c>
      <c r="D64" s="3">
        <f>IFERROR(__xludf.DUMMYFUNCTION("IFERROR(
IF(REGEXMATCH(LOWER(O64),""k""),
VALUE(REGEXEXTRACT(O64,""[0-9]+""))*1000,
VALUE(REGEXEXTRACT(O64,""[0-9]+""))
),
0
)"),0.0)</f>
        <v>0</v>
      </c>
      <c r="E64" s="1" t="s">
        <v>11</v>
      </c>
      <c r="F64" s="1" t="s">
        <v>20</v>
      </c>
      <c r="G64" s="4" t="b">
        <f t="shared" si="2"/>
        <v>1</v>
      </c>
      <c r="H64" s="1" t="str">
        <f t="shared" si="3"/>
        <v>Currently Unavailable</v>
      </c>
      <c r="I64" s="1" t="str">
        <f t="shared" si="4"/>
        <v>No Badges</v>
      </c>
      <c r="J64" s="3">
        <f t="shared" si="5"/>
        <v>0</v>
      </c>
    </row>
    <row r="65">
      <c r="A65" s="1" t="s">
        <v>73</v>
      </c>
      <c r="B65" s="3" t="str">
        <f t="shared" si="1"/>
        <v>Unavailable</v>
      </c>
      <c r="C65" s="5">
        <v>1475.0</v>
      </c>
      <c r="D65" s="3">
        <f>IFERROR(__xludf.DUMMYFUNCTION("IFERROR(
IF(REGEXMATCH(LOWER(O65),""k""),
VALUE(REGEXEXTRACT(O65,""[0-9]+""))*1000,
VALUE(REGEXEXTRACT(O65,""[0-9]+""))
),
0
)"),0.0)</f>
        <v>0</v>
      </c>
      <c r="E65" s="1" t="s">
        <v>11</v>
      </c>
      <c r="F65" s="1" t="s">
        <v>20</v>
      </c>
      <c r="G65" s="4" t="b">
        <f t="shared" si="2"/>
        <v>1</v>
      </c>
      <c r="H65" s="1" t="str">
        <f t="shared" si="3"/>
        <v>Currently Unavailable</v>
      </c>
      <c r="I65" s="1" t="str">
        <f t="shared" si="4"/>
        <v>No Badges</v>
      </c>
      <c r="J65" s="3">
        <f t="shared" si="5"/>
        <v>0</v>
      </c>
    </row>
    <row r="66">
      <c r="A66" s="1" t="s">
        <v>74</v>
      </c>
      <c r="B66" s="3" t="str">
        <f t="shared" si="1"/>
        <v>Unavailable</v>
      </c>
      <c r="C66" s="3">
        <v>17.0</v>
      </c>
      <c r="D66" s="3">
        <f>IFERROR(__xludf.DUMMYFUNCTION("IFERROR(
IF(REGEXMATCH(LOWER(O66),""k""),
VALUE(REGEXEXTRACT(O66,""[0-9]+""))*1000,
VALUE(REGEXEXTRACT(O66,""[0-9]+""))
),
0
)"),0.0)</f>
        <v>0</v>
      </c>
      <c r="E66" s="1" t="s">
        <v>11</v>
      </c>
      <c r="F66" s="1" t="s">
        <v>20</v>
      </c>
      <c r="G66" s="4" t="b">
        <f t="shared" si="2"/>
        <v>1</v>
      </c>
      <c r="H66" s="1" t="str">
        <f t="shared" si="3"/>
        <v>Currently Unavailable</v>
      </c>
      <c r="I66" s="1" t="str">
        <f t="shared" si="4"/>
        <v>No Badges</v>
      </c>
      <c r="J66" s="3">
        <f t="shared" si="5"/>
        <v>0</v>
      </c>
    </row>
    <row r="67">
      <c r="A67" s="1" t="s">
        <v>13</v>
      </c>
      <c r="B67" s="3" t="str">
        <f t="shared" si="1"/>
        <v>Unavailable</v>
      </c>
      <c r="C67" s="3">
        <v>812.0</v>
      </c>
      <c r="D67" s="3">
        <f>IFERROR(__xludf.DUMMYFUNCTION("IFERROR(
IF(REGEXMATCH(LOWER(O67),""k""),
VALUE(REGEXEXTRACT(O67,""[0-9]+""))*1000,
VALUE(REGEXEXTRACT(O67,""[0-9]+""))
),
0
)"),0.0)</f>
        <v>0</v>
      </c>
      <c r="E67" s="1" t="s">
        <v>11</v>
      </c>
      <c r="F67" s="1" t="s">
        <v>12</v>
      </c>
      <c r="G67" s="4" t="b">
        <f t="shared" si="2"/>
        <v>1</v>
      </c>
      <c r="H67" s="1" t="str">
        <f t="shared" si="3"/>
        <v>Currently Unavailable</v>
      </c>
      <c r="I67" s="1" t="str">
        <f t="shared" si="4"/>
        <v>No Badges</v>
      </c>
      <c r="J67" s="3">
        <f t="shared" si="5"/>
        <v>0</v>
      </c>
    </row>
    <row r="68">
      <c r="A68" s="1" t="s">
        <v>75</v>
      </c>
      <c r="B68" s="3" t="str">
        <f t="shared" si="1"/>
        <v>Unavailable</v>
      </c>
      <c r="C68" s="3">
        <v>51.0</v>
      </c>
      <c r="D68" s="3">
        <f>IFERROR(__xludf.DUMMYFUNCTION("IFERROR(
IF(REGEXMATCH(LOWER(O68),""k""),
VALUE(REGEXEXTRACT(O68,""[0-9]+""))*1000,
VALUE(REGEXEXTRACT(O68,""[0-9]+""))
),
0
)"),0.0)</f>
        <v>0</v>
      </c>
      <c r="E68" s="1" t="s">
        <v>11</v>
      </c>
      <c r="F68" s="1" t="s">
        <v>20</v>
      </c>
      <c r="G68" s="4" t="b">
        <f t="shared" si="2"/>
        <v>1</v>
      </c>
      <c r="H68" s="1" t="str">
        <f t="shared" si="3"/>
        <v>Currently Unavailable</v>
      </c>
      <c r="I68" s="1" t="str">
        <f t="shared" si="4"/>
        <v>No Badges</v>
      </c>
      <c r="J68" s="3">
        <f t="shared" si="5"/>
        <v>0</v>
      </c>
    </row>
    <row r="69">
      <c r="A69" s="1" t="s">
        <v>76</v>
      </c>
      <c r="B69" s="3" t="str">
        <f t="shared" si="1"/>
        <v>Unavailable</v>
      </c>
      <c r="C69" s="3">
        <v>374.0</v>
      </c>
      <c r="D69" s="3">
        <f>IFERROR(__xludf.DUMMYFUNCTION("IFERROR(
IF(REGEXMATCH(LOWER(O69),""k""),
VALUE(REGEXEXTRACT(O69,""[0-9]+""))*1000,
VALUE(REGEXEXTRACT(O69,""[0-9]+""))
),
0
)"),0.0)</f>
        <v>0</v>
      </c>
      <c r="E69" s="1" t="s">
        <v>11</v>
      </c>
      <c r="F69" s="1" t="s">
        <v>20</v>
      </c>
      <c r="G69" s="4" t="b">
        <f t="shared" si="2"/>
        <v>1</v>
      </c>
      <c r="H69" s="1" t="str">
        <f t="shared" si="3"/>
        <v>Currently Unavailable</v>
      </c>
      <c r="I69" s="1" t="str">
        <f t="shared" si="4"/>
        <v>No Badges</v>
      </c>
      <c r="J69" s="3">
        <f t="shared" si="5"/>
        <v>0</v>
      </c>
    </row>
    <row r="70">
      <c r="A70" s="1" t="s">
        <v>77</v>
      </c>
      <c r="B70" s="3" t="str">
        <f t="shared" si="1"/>
        <v>Unavailable</v>
      </c>
      <c r="C70" s="3">
        <v>667.0</v>
      </c>
      <c r="D70" s="3">
        <f>IFERROR(__xludf.DUMMYFUNCTION("IFERROR(
IF(REGEXMATCH(LOWER(O70),""k""),
VALUE(REGEXEXTRACT(O70,""[0-9]+""))*1000,
VALUE(REGEXEXTRACT(O70,""[0-9]+""))
),
0
)"),0.0)</f>
        <v>0</v>
      </c>
      <c r="E70" s="1" t="s">
        <v>11</v>
      </c>
      <c r="F70" s="1" t="s">
        <v>20</v>
      </c>
      <c r="G70" s="4" t="b">
        <f t="shared" si="2"/>
        <v>1</v>
      </c>
      <c r="H70" s="1" t="str">
        <f t="shared" si="3"/>
        <v>Currently Unavailable</v>
      </c>
      <c r="I70" s="1" t="str">
        <f t="shared" si="4"/>
        <v>No Badges</v>
      </c>
      <c r="J70" s="3">
        <f t="shared" si="5"/>
        <v>0</v>
      </c>
    </row>
    <row r="71">
      <c r="A71" s="1" t="s">
        <v>78</v>
      </c>
      <c r="B71" s="3" t="str">
        <f t="shared" si="1"/>
        <v>Unavailable</v>
      </c>
      <c r="C71" s="3">
        <v>32.0</v>
      </c>
      <c r="D71" s="3">
        <f>IFERROR(__xludf.DUMMYFUNCTION("IFERROR(
IF(REGEXMATCH(LOWER(O71),""k""),
VALUE(REGEXEXTRACT(O71,""[0-9]+""))*1000,
VALUE(REGEXEXTRACT(O71,""[0-9]+""))
),
0
)"),0.0)</f>
        <v>0</v>
      </c>
      <c r="E71" s="1" t="s">
        <v>11</v>
      </c>
      <c r="F71" s="1" t="s">
        <v>20</v>
      </c>
      <c r="G71" s="4" t="b">
        <f t="shared" si="2"/>
        <v>1</v>
      </c>
      <c r="H71" s="1" t="str">
        <f t="shared" si="3"/>
        <v>Currently Unavailable</v>
      </c>
      <c r="I71" s="1" t="str">
        <f t="shared" si="4"/>
        <v>No Badges</v>
      </c>
      <c r="J71" s="3">
        <f t="shared" si="5"/>
        <v>0</v>
      </c>
    </row>
    <row r="72">
      <c r="A72" s="1" t="s">
        <v>79</v>
      </c>
      <c r="B72" s="3" t="str">
        <f t="shared" si="1"/>
        <v>Unavailable</v>
      </c>
      <c r="C72" s="5">
        <v>1113.0</v>
      </c>
      <c r="D72" s="3">
        <f>IFERROR(__xludf.DUMMYFUNCTION("IFERROR(
IF(REGEXMATCH(LOWER(O72),""k""),
VALUE(REGEXEXTRACT(O72,""[0-9]+""))*1000,
VALUE(REGEXEXTRACT(O72,""[0-9]+""))
),
0
)"),0.0)</f>
        <v>0</v>
      </c>
      <c r="E72" s="1" t="s">
        <v>11</v>
      </c>
      <c r="F72" s="1" t="s">
        <v>20</v>
      </c>
      <c r="G72" s="4" t="b">
        <f t="shared" si="2"/>
        <v>1</v>
      </c>
      <c r="H72" s="1" t="str">
        <f t="shared" si="3"/>
        <v>Currently Unavailable</v>
      </c>
      <c r="I72" s="1" t="str">
        <f t="shared" si="4"/>
        <v>No Badges</v>
      </c>
      <c r="J72" s="3">
        <f t="shared" si="5"/>
        <v>0</v>
      </c>
    </row>
    <row r="73">
      <c r="A73" s="1" t="s">
        <v>80</v>
      </c>
      <c r="B73" s="3" t="str">
        <f t="shared" si="1"/>
        <v>Unavailable</v>
      </c>
      <c r="C73" s="3">
        <v>16.0</v>
      </c>
      <c r="D73" s="3">
        <f>IFERROR(__xludf.DUMMYFUNCTION("IFERROR(
IF(REGEXMATCH(LOWER(O73),""k""),
VALUE(REGEXEXTRACT(O73,""[0-9]+""))*1000,
VALUE(REGEXEXTRACT(O73,""[0-9]+""))
),
0
)"),0.0)</f>
        <v>0</v>
      </c>
      <c r="E73" s="1" t="s">
        <v>11</v>
      </c>
      <c r="F73" s="1" t="s">
        <v>20</v>
      </c>
      <c r="G73" s="4" t="b">
        <f t="shared" si="2"/>
        <v>1</v>
      </c>
      <c r="H73" s="1" t="str">
        <f t="shared" si="3"/>
        <v>Currently Unavailable</v>
      </c>
      <c r="I73" s="1" t="str">
        <f t="shared" si="4"/>
        <v>No Badges</v>
      </c>
      <c r="J73" s="3">
        <f t="shared" si="5"/>
        <v>0</v>
      </c>
    </row>
    <row r="74">
      <c r="A74" s="1" t="s">
        <v>81</v>
      </c>
      <c r="B74" s="3" t="str">
        <f t="shared" si="1"/>
        <v>Unavailable</v>
      </c>
      <c r="C74" s="3">
        <v>193.0</v>
      </c>
      <c r="D74" s="3">
        <f>IFERROR(__xludf.DUMMYFUNCTION("IFERROR(
IF(REGEXMATCH(LOWER(O74),""k""),
VALUE(REGEXEXTRACT(O74,""[0-9]+""))*1000,
VALUE(REGEXEXTRACT(O74,""[0-9]+""))
),
0
)"),0.0)</f>
        <v>0</v>
      </c>
      <c r="E74" s="1" t="s">
        <v>11</v>
      </c>
      <c r="F74" s="1" t="s">
        <v>20</v>
      </c>
      <c r="G74" s="4" t="b">
        <f t="shared" si="2"/>
        <v>1</v>
      </c>
      <c r="H74" s="1" t="str">
        <f t="shared" si="3"/>
        <v>Currently Unavailable</v>
      </c>
      <c r="I74" s="1" t="str">
        <f t="shared" si="4"/>
        <v>No Badges</v>
      </c>
      <c r="J74" s="3">
        <f t="shared" si="5"/>
        <v>0</v>
      </c>
    </row>
    <row r="75">
      <c r="A75" s="1" t="s">
        <v>40</v>
      </c>
      <c r="B75" s="3" t="str">
        <f t="shared" si="1"/>
        <v>Unavailable</v>
      </c>
      <c r="C75" s="3">
        <v>171.0</v>
      </c>
      <c r="D75" s="3">
        <f>IFERROR(__xludf.DUMMYFUNCTION("IFERROR(
IF(REGEXMATCH(LOWER(O75),""k""),
VALUE(REGEXEXTRACT(O75,""[0-9]+""))*1000,
VALUE(REGEXEXTRACT(O75,""[0-9]+""))
),
0
)"),0.0)</f>
        <v>0</v>
      </c>
      <c r="E75" s="1" t="s">
        <v>11</v>
      </c>
      <c r="F75" s="1" t="s">
        <v>12</v>
      </c>
      <c r="G75" s="4" t="b">
        <f t="shared" si="2"/>
        <v>1</v>
      </c>
      <c r="H75" s="1" t="str">
        <f t="shared" si="3"/>
        <v>Currently Unavailable</v>
      </c>
      <c r="I75" s="1" t="str">
        <f t="shared" si="4"/>
        <v>No Badges</v>
      </c>
      <c r="J75" s="3">
        <f t="shared" si="5"/>
        <v>0</v>
      </c>
    </row>
    <row r="76">
      <c r="A76" s="1" t="s">
        <v>13</v>
      </c>
      <c r="B76" s="3" t="str">
        <f t="shared" si="1"/>
        <v>Unavailable</v>
      </c>
      <c r="C76" s="3">
        <v>812.0</v>
      </c>
      <c r="D76" s="3">
        <f>IFERROR(__xludf.DUMMYFUNCTION("IFERROR(
IF(REGEXMATCH(LOWER(O76),""k""),
VALUE(REGEXEXTRACT(O76,""[0-9]+""))*1000,
VALUE(REGEXEXTRACT(O76,""[0-9]+""))
),
0
)"),0.0)</f>
        <v>0</v>
      </c>
      <c r="E76" s="1" t="s">
        <v>11</v>
      </c>
      <c r="F76" s="1" t="s">
        <v>12</v>
      </c>
      <c r="G76" s="4" t="b">
        <f t="shared" si="2"/>
        <v>1</v>
      </c>
      <c r="H76" s="1" t="str">
        <f t="shared" si="3"/>
        <v>Currently Unavailable</v>
      </c>
      <c r="I76" s="1" t="str">
        <f t="shared" si="4"/>
        <v>No Badges</v>
      </c>
      <c r="J76" s="3">
        <f t="shared" si="5"/>
        <v>0</v>
      </c>
    </row>
    <row r="77">
      <c r="A77" s="1" t="s">
        <v>82</v>
      </c>
      <c r="B77" s="3" t="str">
        <f t="shared" si="1"/>
        <v>Unavailable</v>
      </c>
      <c r="C77" s="3">
        <v>78.0</v>
      </c>
      <c r="D77" s="3">
        <f>IFERROR(__xludf.DUMMYFUNCTION("IFERROR(
IF(REGEXMATCH(LOWER(O77),""k""),
VALUE(REGEXEXTRACT(O77,""[0-9]+""))*1000,
VALUE(REGEXEXTRACT(O77,""[0-9]+""))
),
0
)"),0.0)</f>
        <v>0</v>
      </c>
      <c r="E77" s="1" t="s">
        <v>11</v>
      </c>
      <c r="F77" s="1" t="s">
        <v>12</v>
      </c>
      <c r="G77" s="4" t="b">
        <f t="shared" si="2"/>
        <v>1</v>
      </c>
      <c r="H77" s="1" t="str">
        <f t="shared" si="3"/>
        <v>Currently Unavailable</v>
      </c>
      <c r="I77" s="1" t="str">
        <f t="shared" si="4"/>
        <v>No Badges</v>
      </c>
      <c r="J77" s="3">
        <f t="shared" si="5"/>
        <v>0</v>
      </c>
    </row>
    <row r="78">
      <c r="A78" s="1" t="s">
        <v>83</v>
      </c>
      <c r="B78" s="3" t="str">
        <f t="shared" si="1"/>
        <v>Unavailable</v>
      </c>
      <c r="C78" s="3">
        <v>882.0</v>
      </c>
      <c r="D78" s="3">
        <f>IFERROR(__xludf.DUMMYFUNCTION("IFERROR(
IF(REGEXMATCH(LOWER(O78),""k""),
VALUE(REGEXEXTRACT(O78,""[0-9]+""))*1000,
VALUE(REGEXEXTRACT(O78,""[0-9]+""))
),
0
)"),0.0)</f>
        <v>0</v>
      </c>
      <c r="E78" s="1" t="s">
        <v>11</v>
      </c>
      <c r="F78" s="1" t="s">
        <v>20</v>
      </c>
      <c r="G78" s="4" t="b">
        <f t="shared" si="2"/>
        <v>1</v>
      </c>
      <c r="H78" s="1" t="str">
        <f t="shared" si="3"/>
        <v>Currently Unavailable</v>
      </c>
      <c r="I78" s="1" t="str">
        <f t="shared" si="4"/>
        <v>No Badges</v>
      </c>
      <c r="J78" s="6">
        <f t="shared" si="5"/>
        <v>0</v>
      </c>
    </row>
    <row r="79">
      <c r="A79" s="1" t="s">
        <v>13</v>
      </c>
      <c r="B79" s="3" t="str">
        <f t="shared" si="1"/>
        <v>Unavailable</v>
      </c>
      <c r="C79" s="3">
        <v>812.0</v>
      </c>
      <c r="D79" s="3">
        <f>IFERROR(__xludf.DUMMYFUNCTION("IFERROR(
IF(REGEXMATCH(LOWER(O79),""k""),
VALUE(REGEXEXTRACT(O79,""[0-9]+""))*1000,
VALUE(REGEXEXTRACT(O79,""[0-9]+""))
),
0
)"),0.0)</f>
        <v>0</v>
      </c>
      <c r="E79" s="1" t="s">
        <v>11</v>
      </c>
      <c r="F79" s="1" t="s">
        <v>12</v>
      </c>
      <c r="G79" s="4" t="b">
        <f t="shared" si="2"/>
        <v>1</v>
      </c>
      <c r="H79" s="1" t="str">
        <f t="shared" si="3"/>
        <v>Currently Unavailable</v>
      </c>
      <c r="I79" s="1" t="str">
        <f t="shared" si="4"/>
        <v>No Badges</v>
      </c>
      <c r="J79" s="3">
        <f t="shared" si="5"/>
        <v>0</v>
      </c>
    </row>
    <row r="80">
      <c r="A80" s="1" t="s">
        <v>15</v>
      </c>
      <c r="B80" s="3" t="str">
        <f t="shared" si="1"/>
        <v>Unavailable</v>
      </c>
      <c r="C80" s="3">
        <v>340.0</v>
      </c>
      <c r="D80" s="3">
        <f>IFERROR(__xludf.DUMMYFUNCTION("IFERROR(
IF(REGEXMATCH(LOWER(O80),""k""),
VALUE(REGEXEXTRACT(O80,""[0-9]+""))*1000,
VALUE(REGEXEXTRACT(O80,""[0-9]+""))
),
0
)"),0.0)</f>
        <v>0</v>
      </c>
      <c r="E80" s="1" t="s">
        <v>11</v>
      </c>
      <c r="F80" s="1" t="s">
        <v>20</v>
      </c>
      <c r="G80" s="4" t="b">
        <f t="shared" si="2"/>
        <v>1</v>
      </c>
      <c r="H80" s="1" t="str">
        <f t="shared" si="3"/>
        <v>Currently Unavailable</v>
      </c>
      <c r="I80" s="1" t="str">
        <f t="shared" si="4"/>
        <v>No Badges</v>
      </c>
      <c r="J80" s="3">
        <f t="shared" si="5"/>
        <v>0</v>
      </c>
    </row>
    <row r="81">
      <c r="A81" s="1" t="s">
        <v>13</v>
      </c>
      <c r="B81" s="3" t="str">
        <f t="shared" si="1"/>
        <v>Unavailable</v>
      </c>
      <c r="C81" s="3">
        <v>812.0</v>
      </c>
      <c r="D81" s="3">
        <f>IFERROR(__xludf.DUMMYFUNCTION("IFERROR(
IF(REGEXMATCH(LOWER(O81),""k""),
VALUE(REGEXEXTRACT(O81,""[0-9]+""))*1000,
VALUE(REGEXEXTRACT(O81,""[0-9]+""))
),
0
)"),0.0)</f>
        <v>0</v>
      </c>
      <c r="E81" s="1" t="s">
        <v>11</v>
      </c>
      <c r="F81" s="1" t="s">
        <v>12</v>
      </c>
      <c r="G81" s="4" t="b">
        <f t="shared" si="2"/>
        <v>1</v>
      </c>
      <c r="H81" s="1" t="str">
        <f t="shared" si="3"/>
        <v>Currently Unavailable</v>
      </c>
      <c r="I81" s="1" t="str">
        <f t="shared" si="4"/>
        <v>No Badges</v>
      </c>
      <c r="J81" s="3">
        <f t="shared" si="5"/>
        <v>0</v>
      </c>
    </row>
    <row r="82">
      <c r="A82" s="1" t="s">
        <v>84</v>
      </c>
      <c r="B82" s="3" t="str">
        <f t="shared" si="1"/>
        <v>Unavailable</v>
      </c>
      <c r="C82" s="3">
        <v>15.0</v>
      </c>
      <c r="D82" s="3">
        <f>IFERROR(__xludf.DUMMYFUNCTION("IFERROR(
IF(REGEXMATCH(LOWER(O82),""k""),
VALUE(REGEXEXTRACT(O82,""[0-9]+""))*1000,
VALUE(REGEXEXTRACT(O82,""[0-9]+""))
),
0
)"),0.0)</f>
        <v>0</v>
      </c>
      <c r="E82" s="1" t="s">
        <v>11</v>
      </c>
      <c r="F82" s="1" t="s">
        <v>20</v>
      </c>
      <c r="G82" s="4" t="b">
        <f t="shared" si="2"/>
        <v>1</v>
      </c>
      <c r="H82" s="1" t="str">
        <f t="shared" si="3"/>
        <v>Currently Unavailable</v>
      </c>
      <c r="I82" s="1" t="str">
        <f t="shared" si="4"/>
        <v>No Badges</v>
      </c>
      <c r="J82" s="3">
        <f t="shared" si="5"/>
        <v>0</v>
      </c>
    </row>
    <row r="83">
      <c r="A83" s="1" t="s">
        <v>85</v>
      </c>
      <c r="B83" s="3" t="str">
        <f t="shared" si="1"/>
        <v>Unavailable</v>
      </c>
      <c r="C83" s="3">
        <v>178.0</v>
      </c>
      <c r="D83" s="3">
        <f>IFERROR(__xludf.DUMMYFUNCTION("IFERROR(
IF(REGEXMATCH(LOWER(O83),""k""),
VALUE(REGEXEXTRACT(O83,""[0-9]+""))*1000,
VALUE(REGEXEXTRACT(O83,""[0-9]+""))
),
0
)"),0.0)</f>
        <v>0</v>
      </c>
      <c r="E83" s="1" t="s">
        <v>11</v>
      </c>
      <c r="F83" s="1" t="s">
        <v>20</v>
      </c>
      <c r="G83" s="4" t="b">
        <f t="shared" si="2"/>
        <v>1</v>
      </c>
      <c r="H83" s="1" t="str">
        <f t="shared" si="3"/>
        <v>Currently Unavailable</v>
      </c>
      <c r="I83" s="1" t="str">
        <f t="shared" si="4"/>
        <v>No Badges</v>
      </c>
      <c r="J83" s="3">
        <f t="shared" si="5"/>
        <v>0</v>
      </c>
    </row>
    <row r="84">
      <c r="A84" s="1" t="s">
        <v>86</v>
      </c>
      <c r="B84" s="3" t="str">
        <f t="shared" si="1"/>
        <v>Unavailable</v>
      </c>
      <c r="C84" s="3">
        <v>84.0</v>
      </c>
      <c r="D84" s="3">
        <f>IFERROR(__xludf.DUMMYFUNCTION("IFERROR(
IF(REGEXMATCH(LOWER(O84),""k""),
VALUE(REGEXEXTRACT(O84,""[0-9]+""))*1000,
VALUE(REGEXEXTRACT(O84,""[0-9]+""))
),
0
)"),0.0)</f>
        <v>0</v>
      </c>
      <c r="E84" s="1" t="s">
        <v>11</v>
      </c>
      <c r="F84" s="1" t="s">
        <v>20</v>
      </c>
      <c r="G84" s="4" t="b">
        <f t="shared" si="2"/>
        <v>1</v>
      </c>
      <c r="H84" s="1" t="str">
        <f t="shared" si="3"/>
        <v>Currently Unavailable</v>
      </c>
      <c r="I84" s="1" t="str">
        <f t="shared" si="4"/>
        <v>No Badges</v>
      </c>
      <c r="J84" s="3">
        <f t="shared" si="5"/>
        <v>0</v>
      </c>
    </row>
    <row r="85">
      <c r="A85" s="1" t="s">
        <v>13</v>
      </c>
      <c r="B85" s="3" t="str">
        <f t="shared" si="1"/>
        <v>Unavailable</v>
      </c>
      <c r="C85" s="3">
        <v>812.0</v>
      </c>
      <c r="D85" s="3">
        <f>IFERROR(__xludf.DUMMYFUNCTION("IFERROR(
IF(REGEXMATCH(LOWER(O85),""k""),
VALUE(REGEXEXTRACT(O85,""[0-9]+""))*1000,
VALUE(REGEXEXTRACT(O85,""[0-9]+""))
),
0
)"),0.0)</f>
        <v>0</v>
      </c>
      <c r="E85" s="1" t="s">
        <v>11</v>
      </c>
      <c r="F85" s="1" t="s">
        <v>12</v>
      </c>
      <c r="G85" s="4" t="b">
        <f t="shared" si="2"/>
        <v>1</v>
      </c>
      <c r="H85" s="1" t="str">
        <f t="shared" si="3"/>
        <v>Currently Unavailable</v>
      </c>
      <c r="I85" s="1" t="str">
        <f t="shared" si="4"/>
        <v>No Badges</v>
      </c>
      <c r="J85" s="3">
        <f t="shared" si="5"/>
        <v>0</v>
      </c>
    </row>
    <row r="86">
      <c r="A86" s="1" t="s">
        <v>13</v>
      </c>
      <c r="B86" s="3" t="str">
        <f t="shared" si="1"/>
        <v>Unavailable</v>
      </c>
      <c r="C86" s="3">
        <v>812.0</v>
      </c>
      <c r="D86" s="3">
        <f>IFERROR(__xludf.DUMMYFUNCTION("IFERROR(
IF(REGEXMATCH(LOWER(O86),""k""),
VALUE(REGEXEXTRACT(O86,""[0-9]+""))*1000,
VALUE(REGEXEXTRACT(O86,""[0-9]+""))
),
0
)"),0.0)</f>
        <v>0</v>
      </c>
      <c r="E86" s="1" t="s">
        <v>11</v>
      </c>
      <c r="F86" s="1" t="s">
        <v>12</v>
      </c>
      <c r="G86" s="4" t="b">
        <f t="shared" si="2"/>
        <v>1</v>
      </c>
      <c r="H86" s="1" t="str">
        <f t="shared" si="3"/>
        <v>Currently Unavailable</v>
      </c>
      <c r="I86" s="1" t="str">
        <f t="shared" si="4"/>
        <v>No Badges</v>
      </c>
      <c r="J86" s="3">
        <f t="shared" si="5"/>
        <v>0</v>
      </c>
    </row>
    <row r="87">
      <c r="A87" s="1" t="s">
        <v>87</v>
      </c>
      <c r="B87" s="3" t="str">
        <f t="shared" si="1"/>
        <v>Unavailable</v>
      </c>
      <c r="C87" s="3">
        <v>101.0</v>
      </c>
      <c r="D87" s="3">
        <f>IFERROR(__xludf.DUMMYFUNCTION("IFERROR(
IF(REGEXMATCH(LOWER(O87),""k""),
VALUE(REGEXEXTRACT(O87,""[0-9]+""))*1000,
VALUE(REGEXEXTRACT(O87,""[0-9]+""))
),
0
)"),0.0)</f>
        <v>0</v>
      </c>
      <c r="E87" s="1" t="s">
        <v>11</v>
      </c>
      <c r="F87" s="1" t="s">
        <v>20</v>
      </c>
      <c r="G87" s="4" t="b">
        <f t="shared" si="2"/>
        <v>1</v>
      </c>
      <c r="H87" s="1" t="str">
        <f t="shared" si="3"/>
        <v>Currently Unavailable</v>
      </c>
      <c r="I87" s="1" t="str">
        <f t="shared" si="4"/>
        <v>No Badges</v>
      </c>
      <c r="J87" s="3">
        <f t="shared" si="5"/>
        <v>0</v>
      </c>
    </row>
    <row r="88">
      <c r="A88" s="1" t="s">
        <v>13</v>
      </c>
      <c r="B88" s="3" t="str">
        <f t="shared" si="1"/>
        <v>Unavailable</v>
      </c>
      <c r="C88" s="3">
        <v>812.0</v>
      </c>
      <c r="D88" s="3">
        <f>IFERROR(__xludf.DUMMYFUNCTION("IFERROR(
IF(REGEXMATCH(LOWER(O88),""k""),
VALUE(REGEXEXTRACT(O88,""[0-9]+""))*1000,
VALUE(REGEXEXTRACT(O88,""[0-9]+""))
),
0
)"),0.0)</f>
        <v>0</v>
      </c>
      <c r="E88" s="1" t="s">
        <v>11</v>
      </c>
      <c r="F88" s="1" t="s">
        <v>12</v>
      </c>
      <c r="G88" s="4" t="b">
        <f t="shared" si="2"/>
        <v>1</v>
      </c>
      <c r="H88" s="1" t="str">
        <f t="shared" si="3"/>
        <v>Currently Unavailable</v>
      </c>
      <c r="I88" s="1" t="str">
        <f t="shared" si="4"/>
        <v>No Badges</v>
      </c>
      <c r="J88" s="3">
        <f t="shared" si="5"/>
        <v>0</v>
      </c>
    </row>
    <row r="89">
      <c r="A89" s="1" t="s">
        <v>88</v>
      </c>
      <c r="B89" s="3" t="str">
        <f t="shared" si="1"/>
        <v>Unavailable</v>
      </c>
      <c r="C89" s="3">
        <v>5.0</v>
      </c>
      <c r="D89" s="3">
        <f>IFERROR(__xludf.DUMMYFUNCTION("IFERROR(
IF(REGEXMATCH(LOWER(O89),""k""),
VALUE(REGEXEXTRACT(O89,""[0-9]+""))*1000,
VALUE(REGEXEXTRACT(O89,""[0-9]+""))
),
0
)"),0.0)</f>
        <v>0</v>
      </c>
      <c r="E89" s="1" t="s">
        <v>11</v>
      </c>
      <c r="F89" s="1" t="s">
        <v>12</v>
      </c>
      <c r="G89" s="4" t="b">
        <f t="shared" si="2"/>
        <v>1</v>
      </c>
      <c r="H89" s="1" t="str">
        <f t="shared" si="3"/>
        <v>Currently Unavailable</v>
      </c>
      <c r="I89" s="1" t="str">
        <f t="shared" si="4"/>
        <v>No Badges</v>
      </c>
      <c r="J89" s="3">
        <f t="shared" si="5"/>
        <v>0</v>
      </c>
    </row>
    <row r="90">
      <c r="A90" s="1" t="s">
        <v>89</v>
      </c>
      <c r="B90" s="3" t="str">
        <f t="shared" si="1"/>
        <v>Unavailable</v>
      </c>
      <c r="C90" s="3">
        <v>30.0</v>
      </c>
      <c r="D90" s="3">
        <f>IFERROR(__xludf.DUMMYFUNCTION("IFERROR(
IF(REGEXMATCH(LOWER(O90),""k""),
VALUE(REGEXEXTRACT(O90,""[0-9]+""))*1000,
VALUE(REGEXEXTRACT(O90,""[0-9]+""))
),
0
)"),0.0)</f>
        <v>0</v>
      </c>
      <c r="E90" s="1" t="s">
        <v>11</v>
      </c>
      <c r="F90" s="1" t="s">
        <v>12</v>
      </c>
      <c r="G90" s="4" t="b">
        <f t="shared" si="2"/>
        <v>1</v>
      </c>
      <c r="H90" s="1" t="str">
        <f t="shared" si="3"/>
        <v>Currently Unavailable</v>
      </c>
      <c r="I90" s="1" t="str">
        <f t="shared" si="4"/>
        <v>No Badges</v>
      </c>
      <c r="J90" s="3">
        <f t="shared" si="5"/>
        <v>0</v>
      </c>
    </row>
    <row r="91">
      <c r="A91" s="1" t="s">
        <v>90</v>
      </c>
      <c r="B91" s="3" t="str">
        <f t="shared" si="1"/>
        <v>Unavailable</v>
      </c>
      <c r="C91" s="3">
        <v>630.0</v>
      </c>
      <c r="D91" s="3">
        <f>IFERROR(__xludf.DUMMYFUNCTION("IFERROR(
IF(REGEXMATCH(LOWER(O91),""k""),
VALUE(REGEXEXTRACT(O91,""[0-9]+""))*1000,
VALUE(REGEXEXTRACT(O91,""[0-9]+""))
),
0
)"),0.0)</f>
        <v>0</v>
      </c>
      <c r="E91" s="1" t="s">
        <v>11</v>
      </c>
      <c r="F91" s="1" t="s">
        <v>20</v>
      </c>
      <c r="G91" s="4" t="b">
        <f t="shared" si="2"/>
        <v>1</v>
      </c>
      <c r="H91" s="1" t="str">
        <f t="shared" si="3"/>
        <v>Currently Unavailable</v>
      </c>
      <c r="I91" s="1" t="str">
        <f t="shared" si="4"/>
        <v>No Badges</v>
      </c>
      <c r="J91" s="3">
        <f t="shared" si="5"/>
        <v>0</v>
      </c>
    </row>
    <row r="92">
      <c r="A92" s="1" t="s">
        <v>91</v>
      </c>
      <c r="B92" s="3" t="str">
        <f t="shared" si="1"/>
        <v>Unavailable</v>
      </c>
      <c r="C92" s="3">
        <v>33.0</v>
      </c>
      <c r="D92" s="3">
        <f>IFERROR(__xludf.DUMMYFUNCTION("IFERROR(
IF(REGEXMATCH(LOWER(O92),""k""),
VALUE(REGEXEXTRACT(O92,""[0-9]+""))*1000,
VALUE(REGEXEXTRACT(O92,""[0-9]+""))
),
0
)"),0.0)</f>
        <v>0</v>
      </c>
      <c r="E92" s="1" t="s">
        <v>11</v>
      </c>
      <c r="F92" s="1" t="s">
        <v>20</v>
      </c>
      <c r="G92" s="4" t="b">
        <f t="shared" si="2"/>
        <v>1</v>
      </c>
      <c r="H92" s="1" t="str">
        <f t="shared" si="3"/>
        <v>Currently Unavailable</v>
      </c>
      <c r="I92" s="1" t="str">
        <f t="shared" si="4"/>
        <v>No Badges</v>
      </c>
      <c r="J92" s="3">
        <f t="shared" si="5"/>
        <v>0</v>
      </c>
    </row>
    <row r="93">
      <c r="A93" s="1" t="s">
        <v>92</v>
      </c>
      <c r="B93" s="3" t="str">
        <f t="shared" si="1"/>
        <v>Unavailable</v>
      </c>
      <c r="C93" s="3">
        <v>7.0</v>
      </c>
      <c r="D93" s="3">
        <f>IFERROR(__xludf.DUMMYFUNCTION("IFERROR(
IF(REGEXMATCH(LOWER(O93),""k""),
VALUE(REGEXEXTRACT(O93,""[0-9]+""))*1000,
VALUE(REGEXEXTRACT(O93,""[0-9]+""))
),
0
)"),0.0)</f>
        <v>0</v>
      </c>
      <c r="E93" s="1" t="s">
        <v>11</v>
      </c>
      <c r="F93" s="1" t="s">
        <v>20</v>
      </c>
      <c r="G93" s="4" t="b">
        <f t="shared" si="2"/>
        <v>1</v>
      </c>
      <c r="H93" s="1" t="str">
        <f t="shared" si="3"/>
        <v>Currently Unavailable</v>
      </c>
      <c r="I93" s="1" t="str">
        <f t="shared" si="4"/>
        <v>No Badges</v>
      </c>
      <c r="J93" s="3">
        <f t="shared" si="5"/>
        <v>0</v>
      </c>
    </row>
    <row r="94">
      <c r="A94" s="1" t="s">
        <v>93</v>
      </c>
      <c r="B94" s="3" t="str">
        <f t="shared" si="1"/>
        <v>Unavailable</v>
      </c>
      <c r="C94" s="3">
        <v>541.0</v>
      </c>
      <c r="D94" s="3">
        <f>IFERROR(__xludf.DUMMYFUNCTION("IFERROR(
IF(REGEXMATCH(LOWER(O94),""k""),
VALUE(REGEXEXTRACT(O94,""[0-9]+""))*1000,
VALUE(REGEXEXTRACT(O94,""[0-9]+""))
),
0
)"),0.0)</f>
        <v>0</v>
      </c>
      <c r="E94" s="1" t="s">
        <v>11</v>
      </c>
      <c r="F94" s="1" t="s">
        <v>20</v>
      </c>
      <c r="G94" s="4" t="b">
        <f t="shared" si="2"/>
        <v>1</v>
      </c>
      <c r="H94" s="1" t="str">
        <f t="shared" si="3"/>
        <v>Currently Unavailable</v>
      </c>
      <c r="I94" s="1" t="str">
        <f t="shared" si="4"/>
        <v>No Badges</v>
      </c>
      <c r="J94" s="6">
        <f t="shared" si="5"/>
        <v>0</v>
      </c>
    </row>
    <row r="95">
      <c r="A95" s="1" t="s">
        <v>94</v>
      </c>
      <c r="B95" s="3" t="str">
        <f t="shared" si="1"/>
        <v>Unavailable</v>
      </c>
      <c r="C95" s="3">
        <v>92.0</v>
      </c>
      <c r="D95" s="3">
        <f>IFERROR(__xludf.DUMMYFUNCTION("IFERROR(
IF(REGEXMATCH(LOWER(O95),""k""),
VALUE(REGEXEXTRACT(O95,""[0-9]+""))*1000,
VALUE(REGEXEXTRACT(O95,""[0-9]+""))
),
0
)"),0.0)</f>
        <v>0</v>
      </c>
      <c r="E95" s="1" t="s">
        <v>11</v>
      </c>
      <c r="F95" s="1" t="s">
        <v>20</v>
      </c>
      <c r="G95" s="4" t="b">
        <f t="shared" si="2"/>
        <v>1</v>
      </c>
      <c r="H95" s="1" t="str">
        <f t="shared" si="3"/>
        <v>Currently Unavailable</v>
      </c>
      <c r="I95" s="1" t="str">
        <f t="shared" si="4"/>
        <v>No Badges</v>
      </c>
      <c r="J95" s="3">
        <f t="shared" si="5"/>
        <v>0</v>
      </c>
    </row>
    <row r="96">
      <c r="A96" s="1" t="s">
        <v>95</v>
      </c>
      <c r="B96" s="3" t="str">
        <f t="shared" si="1"/>
        <v>Unavailable</v>
      </c>
      <c r="C96" s="5">
        <v>3643.0</v>
      </c>
      <c r="D96" s="3">
        <f>IFERROR(__xludf.DUMMYFUNCTION("IFERROR(
IF(REGEXMATCH(LOWER(O96),""k""),
VALUE(REGEXEXTRACT(O96,""[0-9]+""))*1000,
VALUE(REGEXEXTRACT(O96,""[0-9]+""))
),
0
)"),0.0)</f>
        <v>0</v>
      </c>
      <c r="E96" s="1" t="s">
        <v>11</v>
      </c>
      <c r="F96" s="1" t="s">
        <v>20</v>
      </c>
      <c r="G96" s="4" t="b">
        <f t="shared" si="2"/>
        <v>1</v>
      </c>
      <c r="H96" s="1" t="str">
        <f t="shared" si="3"/>
        <v>Currently Unavailable</v>
      </c>
      <c r="I96" s="1" t="str">
        <f t="shared" si="4"/>
        <v>No Badges</v>
      </c>
      <c r="J96" s="3">
        <f t="shared" si="5"/>
        <v>0</v>
      </c>
    </row>
    <row r="97">
      <c r="A97" s="1" t="s">
        <v>96</v>
      </c>
      <c r="B97" s="3" t="str">
        <f t="shared" si="1"/>
        <v>Unavailable</v>
      </c>
      <c r="C97" s="3">
        <v>134.0</v>
      </c>
      <c r="D97" s="3">
        <f>IFERROR(__xludf.DUMMYFUNCTION("IFERROR(
IF(REGEXMATCH(LOWER(O97),""k""),
VALUE(REGEXEXTRACT(O97,""[0-9]+""))*1000,
VALUE(REGEXEXTRACT(O97,""[0-9]+""))
),
0
)"),0.0)</f>
        <v>0</v>
      </c>
      <c r="E97" s="1" t="s">
        <v>18</v>
      </c>
      <c r="F97" s="1" t="s">
        <v>20</v>
      </c>
      <c r="G97" s="4" t="b">
        <f t="shared" si="2"/>
        <v>1</v>
      </c>
      <c r="H97" s="1" t="str">
        <f t="shared" si="3"/>
        <v>Currently Unavailable</v>
      </c>
      <c r="I97" s="1" t="str">
        <f t="shared" si="4"/>
        <v>No Badges</v>
      </c>
      <c r="J97" s="3">
        <f t="shared" si="5"/>
        <v>0</v>
      </c>
    </row>
    <row r="98">
      <c r="A98" s="1" t="s">
        <v>97</v>
      </c>
      <c r="B98" s="3" t="str">
        <f t="shared" si="1"/>
        <v>Unavailable</v>
      </c>
      <c r="C98" s="3">
        <v>3.0</v>
      </c>
      <c r="D98" s="3">
        <f>IFERROR(__xludf.DUMMYFUNCTION("IFERROR(
IF(REGEXMATCH(LOWER(O98),""k""),
VALUE(REGEXEXTRACT(O98,""[0-9]+""))*1000,
VALUE(REGEXEXTRACT(O98,""[0-9]+""))
),
0
)"),0.0)</f>
        <v>0</v>
      </c>
      <c r="E98" s="1" t="s">
        <v>11</v>
      </c>
      <c r="F98" s="1" t="s">
        <v>20</v>
      </c>
      <c r="G98" s="4" t="b">
        <f t="shared" si="2"/>
        <v>1</v>
      </c>
      <c r="H98" s="1" t="str">
        <f t="shared" si="3"/>
        <v>Currently Unavailable</v>
      </c>
      <c r="I98" s="1" t="str">
        <f t="shared" si="4"/>
        <v>No Badges</v>
      </c>
      <c r="J98" s="3">
        <f t="shared" si="5"/>
        <v>0</v>
      </c>
    </row>
    <row r="99">
      <c r="A99" s="1" t="s">
        <v>98</v>
      </c>
      <c r="B99" s="3" t="str">
        <f t="shared" si="1"/>
        <v>Unavailable</v>
      </c>
      <c r="C99" s="3">
        <v>6.0</v>
      </c>
      <c r="D99" s="3">
        <f>IFERROR(__xludf.DUMMYFUNCTION("IFERROR(
IF(REGEXMATCH(LOWER(O99),""k""),
VALUE(REGEXEXTRACT(O99,""[0-9]+""))*1000,
VALUE(REGEXEXTRACT(O99,""[0-9]+""))
),
0
)"),0.0)</f>
        <v>0</v>
      </c>
      <c r="E99" s="1" t="s">
        <v>11</v>
      </c>
      <c r="F99" s="1" t="s">
        <v>20</v>
      </c>
      <c r="G99" s="4" t="b">
        <f t="shared" si="2"/>
        <v>1</v>
      </c>
      <c r="H99" s="1" t="str">
        <f t="shared" si="3"/>
        <v>Currently Unavailable</v>
      </c>
      <c r="I99" s="1" t="str">
        <f t="shared" si="4"/>
        <v>No Badges</v>
      </c>
      <c r="J99" s="3">
        <f t="shared" si="5"/>
        <v>0</v>
      </c>
    </row>
    <row r="100">
      <c r="A100" s="1" t="s">
        <v>99</v>
      </c>
      <c r="B100" s="3" t="str">
        <f t="shared" si="1"/>
        <v>Unavailable</v>
      </c>
      <c r="C100" s="3">
        <v>169.0</v>
      </c>
      <c r="D100" s="3">
        <f>IFERROR(__xludf.DUMMYFUNCTION("IFERROR(
IF(REGEXMATCH(LOWER(O100),""k""),
VALUE(REGEXEXTRACT(O100,""[0-9]+""))*1000,
VALUE(REGEXEXTRACT(O100,""[0-9]+""))
),
0
)"),0.0)</f>
        <v>0</v>
      </c>
      <c r="E100" s="1" t="s">
        <v>11</v>
      </c>
      <c r="F100" s="1" t="s">
        <v>20</v>
      </c>
      <c r="G100" s="4" t="b">
        <f t="shared" si="2"/>
        <v>1</v>
      </c>
      <c r="H100" s="1" t="str">
        <f t="shared" si="3"/>
        <v>Currently Unavailable</v>
      </c>
      <c r="I100" s="1" t="str">
        <f t="shared" si="4"/>
        <v>No Badges</v>
      </c>
      <c r="J100" s="3">
        <f t="shared" si="5"/>
        <v>0</v>
      </c>
    </row>
    <row r="101">
      <c r="A101" s="1" t="s">
        <v>100</v>
      </c>
      <c r="B101" s="3" t="str">
        <f t="shared" si="1"/>
        <v>Unavailable</v>
      </c>
      <c r="C101" s="3">
        <v>25.0</v>
      </c>
      <c r="D101" s="3">
        <f>IFERROR(__xludf.DUMMYFUNCTION("IFERROR(
IF(REGEXMATCH(LOWER(O101),""k""),
VALUE(REGEXEXTRACT(O101,""[0-9]+""))*1000,
VALUE(REGEXEXTRACT(O101,""[0-9]+""))
),
0
)"),0.0)</f>
        <v>0</v>
      </c>
      <c r="E101" s="1" t="s">
        <v>11</v>
      </c>
      <c r="F101" s="1" t="s">
        <v>20</v>
      </c>
      <c r="G101" s="4" t="b">
        <f t="shared" si="2"/>
        <v>1</v>
      </c>
      <c r="H101" s="1" t="str">
        <f t="shared" si="3"/>
        <v>Currently Unavailable</v>
      </c>
      <c r="I101" s="1" t="str">
        <f t="shared" si="4"/>
        <v>No Badges</v>
      </c>
      <c r="J101" s="6">
        <f t="shared" si="5"/>
        <v>0</v>
      </c>
    </row>
    <row r="102">
      <c r="A102" s="1" t="s">
        <v>101</v>
      </c>
      <c r="B102" s="3" t="str">
        <f t="shared" si="1"/>
        <v>Unavailable</v>
      </c>
      <c r="C102" s="3">
        <v>72.0</v>
      </c>
      <c r="D102" s="3">
        <f>IFERROR(__xludf.DUMMYFUNCTION("IFERROR(
IF(REGEXMATCH(LOWER(O102),""k""),
VALUE(REGEXEXTRACT(O102,""[0-9]+""))*1000,
VALUE(REGEXEXTRACT(O102,""[0-9]+""))
),
0
)"),0.0)</f>
        <v>0</v>
      </c>
      <c r="E102" s="1" t="s">
        <v>11</v>
      </c>
      <c r="F102" s="1" t="s">
        <v>20</v>
      </c>
      <c r="G102" s="4" t="b">
        <f t="shared" si="2"/>
        <v>1</v>
      </c>
      <c r="H102" s="1" t="str">
        <f t="shared" si="3"/>
        <v>Currently Unavailable</v>
      </c>
      <c r="I102" s="1" t="str">
        <f t="shared" si="4"/>
        <v>No Badges</v>
      </c>
      <c r="J102" s="3">
        <f t="shared" si="5"/>
        <v>0</v>
      </c>
    </row>
    <row r="103">
      <c r="A103" s="1" t="s">
        <v>102</v>
      </c>
      <c r="B103" s="3" t="str">
        <f t="shared" si="1"/>
        <v>Unavailable</v>
      </c>
      <c r="C103" s="3">
        <v>95.0</v>
      </c>
      <c r="D103" s="3">
        <f>IFERROR(__xludf.DUMMYFUNCTION("IFERROR(
IF(REGEXMATCH(LOWER(O103),""k""),
VALUE(REGEXEXTRACT(O103,""[0-9]+""))*1000,
VALUE(REGEXEXTRACT(O103,""[0-9]+""))
),
0
)"),0.0)</f>
        <v>0</v>
      </c>
      <c r="E103" s="1" t="s">
        <v>11</v>
      </c>
      <c r="F103" s="1" t="s">
        <v>20</v>
      </c>
      <c r="G103" s="4" t="b">
        <f t="shared" si="2"/>
        <v>1</v>
      </c>
      <c r="H103" s="1" t="str">
        <f t="shared" si="3"/>
        <v>Currently Unavailable</v>
      </c>
      <c r="I103" s="1" t="str">
        <f t="shared" si="4"/>
        <v>No Badges</v>
      </c>
      <c r="J103" s="3">
        <f t="shared" si="5"/>
        <v>0</v>
      </c>
    </row>
    <row r="104">
      <c r="A104" s="1" t="s">
        <v>103</v>
      </c>
      <c r="B104" s="3" t="str">
        <f t="shared" si="1"/>
        <v>Unavailable</v>
      </c>
      <c r="C104" s="3">
        <v>17.0</v>
      </c>
      <c r="D104" s="3">
        <f>IFERROR(__xludf.DUMMYFUNCTION("IFERROR(
IF(REGEXMATCH(LOWER(O104),""k""),
VALUE(REGEXEXTRACT(O104,""[0-9]+""))*1000,
VALUE(REGEXEXTRACT(O104,""[0-9]+""))
),
0
)"),0.0)</f>
        <v>0</v>
      </c>
      <c r="E104" s="1" t="s">
        <v>11</v>
      </c>
      <c r="F104" s="1" t="s">
        <v>20</v>
      </c>
      <c r="G104" s="4" t="b">
        <f t="shared" si="2"/>
        <v>1</v>
      </c>
      <c r="H104" s="1" t="str">
        <f t="shared" si="3"/>
        <v>Currently Unavailable</v>
      </c>
      <c r="I104" s="1" t="str">
        <f t="shared" si="4"/>
        <v>No Badges</v>
      </c>
      <c r="J104" s="3">
        <f t="shared" si="5"/>
        <v>0</v>
      </c>
    </row>
    <row r="105">
      <c r="A105" s="1" t="s">
        <v>104</v>
      </c>
      <c r="B105" s="3" t="str">
        <f t="shared" si="1"/>
        <v>Unavailable</v>
      </c>
      <c r="C105" s="3">
        <v>494.0</v>
      </c>
      <c r="D105" s="3">
        <f>IFERROR(__xludf.DUMMYFUNCTION("IFERROR(
IF(REGEXMATCH(LOWER(O105),""k""),
VALUE(REGEXEXTRACT(O105,""[0-9]+""))*1000,
VALUE(REGEXEXTRACT(O105,""[0-9]+""))
),
0
)"),0.0)</f>
        <v>0</v>
      </c>
      <c r="E105" s="1" t="s">
        <v>11</v>
      </c>
      <c r="F105" s="1" t="s">
        <v>20</v>
      </c>
      <c r="G105" s="4" t="b">
        <f t="shared" si="2"/>
        <v>1</v>
      </c>
      <c r="H105" s="1" t="str">
        <f t="shared" si="3"/>
        <v>Currently Unavailable</v>
      </c>
      <c r="I105" s="1" t="str">
        <f t="shared" si="4"/>
        <v>No Badges</v>
      </c>
      <c r="J105" s="3">
        <f t="shared" si="5"/>
        <v>0</v>
      </c>
    </row>
    <row r="106">
      <c r="A106" s="1" t="s">
        <v>105</v>
      </c>
      <c r="B106" s="3" t="str">
        <f t="shared" si="1"/>
        <v>Unavailable</v>
      </c>
      <c r="C106" s="3">
        <v>17.0</v>
      </c>
      <c r="D106" s="3">
        <f>IFERROR(__xludf.DUMMYFUNCTION("IFERROR(
IF(REGEXMATCH(LOWER(O106),""k""),
VALUE(REGEXEXTRACT(O106,""[0-9]+""))*1000,
VALUE(REGEXEXTRACT(O106,""[0-9]+""))
),
0
)"),0.0)</f>
        <v>0</v>
      </c>
      <c r="E106" s="1" t="s">
        <v>11</v>
      </c>
      <c r="F106" s="1" t="s">
        <v>20</v>
      </c>
      <c r="G106" s="4" t="b">
        <f t="shared" si="2"/>
        <v>1</v>
      </c>
      <c r="H106" s="1" t="str">
        <f t="shared" si="3"/>
        <v>Currently Unavailable</v>
      </c>
      <c r="I106" s="1" t="str">
        <f t="shared" si="4"/>
        <v>No Badges</v>
      </c>
      <c r="J106" s="3">
        <f t="shared" si="5"/>
        <v>0</v>
      </c>
    </row>
    <row r="107">
      <c r="A107" s="1" t="s">
        <v>106</v>
      </c>
      <c r="B107" s="3" t="str">
        <f t="shared" si="1"/>
        <v>Unavailable</v>
      </c>
      <c r="C107" s="3">
        <v>16.0</v>
      </c>
      <c r="D107" s="3">
        <f>IFERROR(__xludf.DUMMYFUNCTION("IFERROR(
IF(REGEXMATCH(LOWER(O107),""k""),
VALUE(REGEXEXTRACT(O107,""[0-9]+""))*1000,
VALUE(REGEXEXTRACT(O107,""[0-9]+""))
),
0
)"),0.0)</f>
        <v>0</v>
      </c>
      <c r="E107" s="1" t="s">
        <v>11</v>
      </c>
      <c r="F107" s="1" t="s">
        <v>20</v>
      </c>
      <c r="G107" s="4" t="b">
        <f t="shared" si="2"/>
        <v>1</v>
      </c>
      <c r="H107" s="1" t="str">
        <f t="shared" si="3"/>
        <v>Currently Unavailable</v>
      </c>
      <c r="I107" s="1" t="str">
        <f t="shared" si="4"/>
        <v>No Badges</v>
      </c>
      <c r="J107" s="3">
        <f t="shared" si="5"/>
        <v>0</v>
      </c>
    </row>
    <row r="108">
      <c r="A108" s="1" t="s">
        <v>107</v>
      </c>
      <c r="B108" s="3" t="str">
        <f t="shared" si="1"/>
        <v>Unavailable</v>
      </c>
      <c r="C108" s="5">
        <v>1985.0</v>
      </c>
      <c r="D108" s="3">
        <f>IFERROR(__xludf.DUMMYFUNCTION("IFERROR(
IF(REGEXMATCH(LOWER(O108),""k""),
VALUE(REGEXEXTRACT(O108,""[0-9]+""))*1000,
VALUE(REGEXEXTRACT(O108,""[0-9]+""))
),
0
)"),0.0)</f>
        <v>0</v>
      </c>
      <c r="E108" s="1" t="s">
        <v>11</v>
      </c>
      <c r="F108" s="1" t="s">
        <v>20</v>
      </c>
      <c r="G108" s="4" t="b">
        <f t="shared" si="2"/>
        <v>1</v>
      </c>
      <c r="H108" s="1" t="str">
        <f t="shared" si="3"/>
        <v>Currently Unavailable</v>
      </c>
      <c r="I108" s="1" t="str">
        <f t="shared" si="4"/>
        <v>No Badges</v>
      </c>
      <c r="J108" s="3">
        <f t="shared" si="5"/>
        <v>0</v>
      </c>
    </row>
    <row r="109">
      <c r="A109" s="1" t="s">
        <v>108</v>
      </c>
      <c r="B109" s="3" t="str">
        <f t="shared" si="1"/>
        <v>Unavailable</v>
      </c>
      <c r="C109" s="3">
        <v>662.0</v>
      </c>
      <c r="D109" s="3">
        <f>IFERROR(__xludf.DUMMYFUNCTION("IFERROR(
IF(REGEXMATCH(LOWER(O109),""k""),
VALUE(REGEXEXTRACT(O109,""[0-9]+""))*1000,
VALUE(REGEXEXTRACT(O109,""[0-9]+""))
),
0
)"),0.0)</f>
        <v>0</v>
      </c>
      <c r="E109" s="1" t="s">
        <v>11</v>
      </c>
      <c r="F109" s="1" t="s">
        <v>20</v>
      </c>
      <c r="G109" s="4" t="b">
        <f t="shared" si="2"/>
        <v>1</v>
      </c>
      <c r="H109" s="1" t="str">
        <f t="shared" si="3"/>
        <v>Currently Unavailable</v>
      </c>
      <c r="I109" s="1" t="str">
        <f t="shared" si="4"/>
        <v>No Badges</v>
      </c>
      <c r="J109" s="3">
        <f t="shared" si="5"/>
        <v>0</v>
      </c>
    </row>
    <row r="110">
      <c r="A110" s="1" t="s">
        <v>109</v>
      </c>
      <c r="B110" s="3" t="str">
        <f t="shared" si="1"/>
        <v>Unavailable</v>
      </c>
      <c r="C110" s="3">
        <v>755.0</v>
      </c>
      <c r="D110" s="3">
        <f>IFERROR(__xludf.DUMMYFUNCTION("IFERROR(
IF(REGEXMATCH(LOWER(O110),""k""),
VALUE(REGEXEXTRACT(O110,""[0-9]+""))*1000,
VALUE(REGEXEXTRACT(O110,""[0-9]+""))
),
0
)"),0.0)</f>
        <v>0</v>
      </c>
      <c r="E110" s="1" t="s">
        <v>11</v>
      </c>
      <c r="F110" s="1" t="s">
        <v>20</v>
      </c>
      <c r="G110" s="4" t="b">
        <f t="shared" si="2"/>
        <v>1</v>
      </c>
      <c r="H110" s="1" t="str">
        <f t="shared" si="3"/>
        <v>Currently Unavailable</v>
      </c>
      <c r="I110" s="1" t="str">
        <f t="shared" si="4"/>
        <v>No Badges</v>
      </c>
      <c r="J110" s="3">
        <f t="shared" si="5"/>
        <v>0</v>
      </c>
    </row>
    <row r="111">
      <c r="A111" s="1" t="s">
        <v>110</v>
      </c>
      <c r="B111" s="3" t="str">
        <f t="shared" si="1"/>
        <v>Unavailable</v>
      </c>
      <c r="C111" s="3">
        <v>91.0</v>
      </c>
      <c r="D111" s="3">
        <f>IFERROR(__xludf.DUMMYFUNCTION("IFERROR(
IF(REGEXMATCH(LOWER(O111),""k""),
VALUE(REGEXEXTRACT(O111,""[0-9]+""))*1000,
VALUE(REGEXEXTRACT(O111,""[0-9]+""))
),
0
)"),0.0)</f>
        <v>0</v>
      </c>
      <c r="E111" s="1" t="s">
        <v>11</v>
      </c>
      <c r="F111" s="1" t="s">
        <v>20</v>
      </c>
      <c r="G111" s="4" t="b">
        <f t="shared" si="2"/>
        <v>1</v>
      </c>
      <c r="H111" s="1" t="str">
        <f t="shared" si="3"/>
        <v>Currently Unavailable</v>
      </c>
      <c r="I111" s="1" t="str">
        <f t="shared" si="4"/>
        <v>No Badges</v>
      </c>
      <c r="J111" s="3">
        <f t="shared" si="5"/>
        <v>0</v>
      </c>
    </row>
    <row r="112">
      <c r="A112" s="1" t="s">
        <v>111</v>
      </c>
      <c r="B112" s="3" t="str">
        <f t="shared" si="1"/>
        <v>Unavailable</v>
      </c>
      <c r="C112" s="3">
        <v>93.0</v>
      </c>
      <c r="D112" s="3">
        <f>IFERROR(__xludf.DUMMYFUNCTION("IFERROR(
IF(REGEXMATCH(LOWER(O112),""k""),
VALUE(REGEXEXTRACT(O112,""[0-9]+""))*1000,
VALUE(REGEXEXTRACT(O112,""[0-9]+""))
),
0
)"),0.0)</f>
        <v>0</v>
      </c>
      <c r="E112" s="1" t="s">
        <v>11</v>
      </c>
      <c r="F112" s="1" t="s">
        <v>20</v>
      </c>
      <c r="G112" s="4" t="b">
        <f t="shared" si="2"/>
        <v>1</v>
      </c>
      <c r="H112" s="1" t="str">
        <f t="shared" si="3"/>
        <v>Currently Unavailable</v>
      </c>
      <c r="I112" s="1" t="str">
        <f t="shared" si="4"/>
        <v>No Badges</v>
      </c>
      <c r="J112" s="3">
        <f t="shared" si="5"/>
        <v>0</v>
      </c>
    </row>
    <row r="113">
      <c r="A113" s="1" t="s">
        <v>112</v>
      </c>
      <c r="B113" s="3" t="str">
        <f t="shared" si="1"/>
        <v>Unavailable</v>
      </c>
      <c r="C113" s="3">
        <v>180.0</v>
      </c>
      <c r="D113" s="3">
        <f>IFERROR(__xludf.DUMMYFUNCTION("IFERROR(
IF(REGEXMATCH(LOWER(O113),""k""),
VALUE(REGEXEXTRACT(O113,""[0-9]+""))*1000,
VALUE(REGEXEXTRACT(O113,""[0-9]+""))
),
0
)"),0.0)</f>
        <v>0</v>
      </c>
      <c r="E113" s="1" t="s">
        <v>11</v>
      </c>
      <c r="F113" s="1" t="s">
        <v>20</v>
      </c>
      <c r="G113" s="4" t="b">
        <f t="shared" si="2"/>
        <v>1</v>
      </c>
      <c r="H113" s="1" t="str">
        <f t="shared" si="3"/>
        <v>Currently Unavailable</v>
      </c>
      <c r="I113" s="1" t="str">
        <f t="shared" si="4"/>
        <v>No Badges</v>
      </c>
      <c r="J113" s="3">
        <f t="shared" si="5"/>
        <v>0</v>
      </c>
    </row>
    <row r="114">
      <c r="A114" s="1" t="s">
        <v>113</v>
      </c>
      <c r="B114" s="3" t="str">
        <f t="shared" si="1"/>
        <v>Unavailable</v>
      </c>
      <c r="C114" s="3">
        <v>327.0</v>
      </c>
      <c r="D114" s="3">
        <f>IFERROR(__xludf.DUMMYFUNCTION("IFERROR(
IF(REGEXMATCH(LOWER(O114),""k""),
VALUE(REGEXEXTRACT(O114,""[0-9]+""))*1000,
VALUE(REGEXEXTRACT(O114,""[0-9]+""))
),
0
)"),0.0)</f>
        <v>0</v>
      </c>
      <c r="E114" s="1" t="s">
        <v>11</v>
      </c>
      <c r="F114" s="1" t="s">
        <v>20</v>
      </c>
      <c r="G114" s="4" t="b">
        <f t="shared" si="2"/>
        <v>1</v>
      </c>
      <c r="H114" s="1" t="str">
        <f t="shared" si="3"/>
        <v>Currently Unavailable</v>
      </c>
      <c r="I114" s="1" t="str">
        <f t="shared" si="4"/>
        <v>No Badges</v>
      </c>
      <c r="J114" s="6">
        <f t="shared" si="5"/>
        <v>0</v>
      </c>
    </row>
    <row r="115">
      <c r="A115" s="1" t="s">
        <v>114</v>
      </c>
      <c r="B115" s="3" t="str">
        <f t="shared" si="1"/>
        <v>Unavailable</v>
      </c>
      <c r="C115" s="3">
        <v>2.0</v>
      </c>
      <c r="D115" s="3">
        <f>IFERROR(__xludf.DUMMYFUNCTION("IFERROR(
IF(REGEXMATCH(LOWER(O115),""k""),
VALUE(REGEXEXTRACT(O115,""[0-9]+""))*1000,
VALUE(REGEXEXTRACT(O115,""[0-9]+""))
),
0
)"),0.0)</f>
        <v>0</v>
      </c>
      <c r="E115" s="1" t="s">
        <v>11</v>
      </c>
      <c r="F115" s="1" t="s">
        <v>20</v>
      </c>
      <c r="G115" s="4" t="b">
        <f t="shared" si="2"/>
        <v>1</v>
      </c>
      <c r="H115" s="1" t="str">
        <f t="shared" si="3"/>
        <v>Currently Unavailable</v>
      </c>
      <c r="I115" s="1" t="str">
        <f t="shared" si="4"/>
        <v>No Badges</v>
      </c>
      <c r="J115" s="6">
        <f t="shared" si="5"/>
        <v>0</v>
      </c>
    </row>
    <row r="116">
      <c r="A116" s="1" t="s">
        <v>115</v>
      </c>
      <c r="B116" s="3" t="str">
        <f t="shared" si="1"/>
        <v>Unavailable</v>
      </c>
      <c r="C116" s="3">
        <v>138.0</v>
      </c>
      <c r="D116" s="3">
        <f>IFERROR(__xludf.DUMMYFUNCTION("IFERROR(
IF(REGEXMATCH(LOWER(O116),""k""),
VALUE(REGEXEXTRACT(O116,""[0-9]+""))*1000,
VALUE(REGEXEXTRACT(O116,""[0-9]+""))
),
0
)"),0.0)</f>
        <v>0</v>
      </c>
      <c r="E116" s="1" t="s">
        <v>11</v>
      </c>
      <c r="F116" s="1" t="s">
        <v>20</v>
      </c>
      <c r="G116" s="4" t="b">
        <f t="shared" si="2"/>
        <v>1</v>
      </c>
      <c r="H116" s="1" t="str">
        <f t="shared" si="3"/>
        <v>Currently Unavailable</v>
      </c>
      <c r="I116" s="1" t="str">
        <f t="shared" si="4"/>
        <v>No Badges</v>
      </c>
      <c r="J116" s="3">
        <f t="shared" si="5"/>
        <v>0</v>
      </c>
    </row>
    <row r="117">
      <c r="A117" s="1" t="s">
        <v>67</v>
      </c>
      <c r="B117" s="3" t="str">
        <f t="shared" si="1"/>
        <v>Unavailable</v>
      </c>
      <c r="C117" s="3">
        <v>264.0</v>
      </c>
      <c r="D117" s="3">
        <f>IFERROR(__xludf.DUMMYFUNCTION("IFERROR(
IF(REGEXMATCH(LOWER(O117),""k""),
VALUE(REGEXEXTRACT(O117,""[0-9]+""))*1000,
VALUE(REGEXEXTRACT(O117,""[0-9]+""))
),
0
)"),0.0)</f>
        <v>0</v>
      </c>
      <c r="E117" s="1" t="s">
        <v>11</v>
      </c>
      <c r="F117" s="1" t="s">
        <v>12</v>
      </c>
      <c r="G117" s="4" t="b">
        <f t="shared" si="2"/>
        <v>1</v>
      </c>
      <c r="H117" s="1" t="str">
        <f t="shared" si="3"/>
        <v>Currently Unavailable</v>
      </c>
      <c r="I117" s="1" t="str">
        <f t="shared" si="4"/>
        <v>No Badges</v>
      </c>
      <c r="J117" s="3">
        <f t="shared" si="5"/>
        <v>0</v>
      </c>
    </row>
    <row r="118">
      <c r="A118" s="1" t="s">
        <v>69</v>
      </c>
      <c r="B118" s="3" t="str">
        <f t="shared" si="1"/>
        <v>Unavailable</v>
      </c>
      <c r="C118" s="3">
        <v>45.0</v>
      </c>
      <c r="D118" s="3">
        <f>IFERROR(__xludf.DUMMYFUNCTION("IFERROR(
IF(REGEXMATCH(LOWER(O118),""k""),
VALUE(REGEXEXTRACT(O118,""[0-9]+""))*1000,
VALUE(REGEXEXTRACT(O118,""[0-9]+""))
),
0
)"),0.0)</f>
        <v>0</v>
      </c>
      <c r="E118" s="1" t="s">
        <v>11</v>
      </c>
      <c r="F118" s="1" t="s">
        <v>12</v>
      </c>
      <c r="G118" s="4" t="b">
        <f t="shared" si="2"/>
        <v>1</v>
      </c>
      <c r="H118" s="1" t="str">
        <f t="shared" si="3"/>
        <v>Currently Unavailable</v>
      </c>
      <c r="I118" s="1" t="str">
        <f t="shared" si="4"/>
        <v>No Badges</v>
      </c>
      <c r="J118" s="3">
        <f t="shared" si="5"/>
        <v>0</v>
      </c>
    </row>
    <row r="119">
      <c r="A119" s="1" t="s">
        <v>116</v>
      </c>
      <c r="B119" s="3" t="str">
        <f t="shared" si="1"/>
        <v>Unavailable</v>
      </c>
      <c r="C119" s="3">
        <v>54.0</v>
      </c>
      <c r="D119" s="3">
        <f>IFERROR(__xludf.DUMMYFUNCTION("IFERROR(
IF(REGEXMATCH(LOWER(O119),""k""),
VALUE(REGEXEXTRACT(O119,""[0-9]+""))*1000,
VALUE(REGEXEXTRACT(O119,""[0-9]+""))
),
0
)"),0.0)</f>
        <v>0</v>
      </c>
      <c r="E119" s="1" t="s">
        <v>11</v>
      </c>
      <c r="F119" s="1" t="s">
        <v>20</v>
      </c>
      <c r="G119" s="4" t="b">
        <f t="shared" si="2"/>
        <v>1</v>
      </c>
      <c r="H119" s="1" t="str">
        <f t="shared" si="3"/>
        <v>Currently Unavailable</v>
      </c>
      <c r="I119" s="1" t="str">
        <f t="shared" si="4"/>
        <v>No Badges</v>
      </c>
      <c r="J119" s="3">
        <f t="shared" si="5"/>
        <v>0</v>
      </c>
    </row>
    <row r="120">
      <c r="A120" s="1" t="s">
        <v>117</v>
      </c>
      <c r="B120" s="3" t="str">
        <f t="shared" si="1"/>
        <v>Unavailable</v>
      </c>
      <c r="C120" s="3">
        <v>36.0</v>
      </c>
      <c r="D120" s="3">
        <f>IFERROR(__xludf.DUMMYFUNCTION("IFERROR(
IF(REGEXMATCH(LOWER(O120),""k""),
VALUE(REGEXEXTRACT(O120,""[0-9]+""))*1000,
VALUE(REGEXEXTRACT(O120,""[0-9]+""))
),
0
)"),0.0)</f>
        <v>0</v>
      </c>
      <c r="E120" s="1" t="s">
        <v>11</v>
      </c>
      <c r="F120" s="1" t="s">
        <v>20</v>
      </c>
      <c r="G120" s="4" t="b">
        <f t="shared" si="2"/>
        <v>1</v>
      </c>
      <c r="H120" s="1" t="str">
        <f t="shared" si="3"/>
        <v>Currently Unavailable</v>
      </c>
      <c r="I120" s="1" t="str">
        <f t="shared" si="4"/>
        <v>No Badges</v>
      </c>
      <c r="J120" s="3">
        <f t="shared" si="5"/>
        <v>0</v>
      </c>
    </row>
    <row r="121">
      <c r="A121" s="1" t="s">
        <v>118</v>
      </c>
      <c r="B121" s="3" t="str">
        <f t="shared" si="1"/>
        <v>Unavailable</v>
      </c>
      <c r="C121" s="3">
        <v>123.0</v>
      </c>
      <c r="D121" s="3">
        <f>IFERROR(__xludf.DUMMYFUNCTION("IFERROR(
IF(REGEXMATCH(LOWER(O121),""k""),
VALUE(REGEXEXTRACT(O121,""[0-9]+""))*1000,
VALUE(REGEXEXTRACT(O121,""[0-9]+""))
),
0
)"),0.0)</f>
        <v>0</v>
      </c>
      <c r="E121" s="1" t="s">
        <v>11</v>
      </c>
      <c r="F121" s="1" t="s">
        <v>20</v>
      </c>
      <c r="G121" s="4" t="b">
        <f t="shared" si="2"/>
        <v>1</v>
      </c>
      <c r="H121" s="1" t="str">
        <f t="shared" si="3"/>
        <v>Currently Unavailable</v>
      </c>
      <c r="I121" s="1" t="str">
        <f t="shared" si="4"/>
        <v>No Badges</v>
      </c>
      <c r="J121" s="6">
        <f t="shared" si="5"/>
        <v>0</v>
      </c>
    </row>
    <row r="122">
      <c r="A122" s="1" t="s">
        <v>119</v>
      </c>
      <c r="B122" s="3" t="str">
        <f t="shared" si="1"/>
        <v>Unavailable</v>
      </c>
      <c r="C122" s="3">
        <v>145.0</v>
      </c>
      <c r="D122" s="3">
        <f>IFERROR(__xludf.DUMMYFUNCTION("IFERROR(
IF(REGEXMATCH(LOWER(O122),""k""),
VALUE(REGEXEXTRACT(O122,""[0-9]+""))*1000,
VALUE(REGEXEXTRACT(O122,""[0-9]+""))
),
0
)"),0.0)</f>
        <v>0</v>
      </c>
      <c r="E122" s="1" t="s">
        <v>11</v>
      </c>
      <c r="F122" s="1" t="s">
        <v>20</v>
      </c>
      <c r="G122" s="4" t="b">
        <f t="shared" si="2"/>
        <v>1</v>
      </c>
      <c r="H122" s="1" t="str">
        <f t="shared" si="3"/>
        <v>Currently Unavailable</v>
      </c>
      <c r="I122" s="1" t="str">
        <f t="shared" si="4"/>
        <v>No Badges</v>
      </c>
      <c r="J122" s="3">
        <f t="shared" si="5"/>
        <v>0</v>
      </c>
    </row>
    <row r="123">
      <c r="A123" s="1" t="s">
        <v>120</v>
      </c>
      <c r="B123" s="3" t="str">
        <f t="shared" si="1"/>
        <v>Unavailable</v>
      </c>
      <c r="C123" s="3">
        <v>89.0</v>
      </c>
      <c r="D123" s="3">
        <f>IFERROR(__xludf.DUMMYFUNCTION("IFERROR(
IF(REGEXMATCH(LOWER(O123),""k""),
VALUE(REGEXEXTRACT(O123,""[0-9]+""))*1000,
VALUE(REGEXEXTRACT(O123,""[0-9]+""))
),
0
)"),0.0)</f>
        <v>0</v>
      </c>
      <c r="E123" s="1" t="s">
        <v>11</v>
      </c>
      <c r="F123" s="1" t="s">
        <v>20</v>
      </c>
      <c r="G123" s="4" t="b">
        <f t="shared" si="2"/>
        <v>1</v>
      </c>
      <c r="H123" s="1" t="str">
        <f t="shared" si="3"/>
        <v>Currently Unavailable</v>
      </c>
      <c r="I123" s="1" t="str">
        <f t="shared" si="4"/>
        <v>No Badges</v>
      </c>
      <c r="J123" s="3">
        <f t="shared" si="5"/>
        <v>0</v>
      </c>
    </row>
    <row r="124">
      <c r="A124" s="1" t="s">
        <v>121</v>
      </c>
      <c r="B124" s="3" t="str">
        <f t="shared" si="1"/>
        <v>Unavailable</v>
      </c>
      <c r="C124" s="3">
        <v>62.0</v>
      </c>
      <c r="D124" s="3">
        <f>IFERROR(__xludf.DUMMYFUNCTION("IFERROR(
IF(REGEXMATCH(LOWER(O124),""k""),
VALUE(REGEXEXTRACT(O124,""[0-9]+""))*1000,
VALUE(REGEXEXTRACT(O124,""[0-9]+""))
),
0
)"),0.0)</f>
        <v>0</v>
      </c>
      <c r="E124" s="1" t="s">
        <v>11</v>
      </c>
      <c r="F124" s="1" t="s">
        <v>20</v>
      </c>
      <c r="G124" s="4" t="b">
        <f t="shared" si="2"/>
        <v>1</v>
      </c>
      <c r="H124" s="1" t="str">
        <f t="shared" si="3"/>
        <v>Currently Unavailable</v>
      </c>
      <c r="I124" s="1" t="str">
        <f t="shared" si="4"/>
        <v>No Badges</v>
      </c>
      <c r="J124" s="3">
        <f t="shared" si="5"/>
        <v>0</v>
      </c>
    </row>
    <row r="125">
      <c r="A125" s="1" t="s">
        <v>122</v>
      </c>
      <c r="B125" s="3" t="str">
        <f t="shared" si="1"/>
        <v>Unavailable</v>
      </c>
      <c r="C125" s="3">
        <v>621.0</v>
      </c>
      <c r="D125" s="3">
        <f>IFERROR(__xludf.DUMMYFUNCTION("IFERROR(
IF(REGEXMATCH(LOWER(O125),""k""),
VALUE(REGEXEXTRACT(O125,""[0-9]+""))*1000,
VALUE(REGEXEXTRACT(O125,""[0-9]+""))
),
0
)"),0.0)</f>
        <v>0</v>
      </c>
      <c r="E125" s="1" t="s">
        <v>11</v>
      </c>
      <c r="F125" s="1" t="s">
        <v>20</v>
      </c>
      <c r="G125" s="4" t="b">
        <f t="shared" si="2"/>
        <v>1</v>
      </c>
      <c r="H125" s="1" t="str">
        <f t="shared" si="3"/>
        <v>Currently Unavailable</v>
      </c>
      <c r="I125" s="1" t="str">
        <f t="shared" si="4"/>
        <v>No Badges</v>
      </c>
      <c r="J125" s="3">
        <f t="shared" si="5"/>
        <v>0</v>
      </c>
    </row>
    <row r="126">
      <c r="A126" s="1" t="s">
        <v>123</v>
      </c>
      <c r="B126" s="3" t="str">
        <f t="shared" si="1"/>
        <v>Unavailable</v>
      </c>
      <c r="C126" s="3">
        <v>244.0</v>
      </c>
      <c r="D126" s="3">
        <f>IFERROR(__xludf.DUMMYFUNCTION("IFERROR(
IF(REGEXMATCH(LOWER(O126),""k""),
VALUE(REGEXEXTRACT(O126,""[0-9]+""))*1000,
VALUE(REGEXEXTRACT(O126,""[0-9]+""))
),
0
)"),0.0)</f>
        <v>0</v>
      </c>
      <c r="E126" s="1" t="s">
        <v>11</v>
      </c>
      <c r="F126" s="1" t="s">
        <v>20</v>
      </c>
      <c r="G126" s="4" t="b">
        <f t="shared" si="2"/>
        <v>1</v>
      </c>
      <c r="H126" s="1" t="str">
        <f t="shared" si="3"/>
        <v>Currently Unavailable</v>
      </c>
      <c r="I126" s="1" t="str">
        <f t="shared" si="4"/>
        <v>No Badges</v>
      </c>
      <c r="J126" s="3">
        <f t="shared" si="5"/>
        <v>0</v>
      </c>
    </row>
    <row r="127">
      <c r="A127" s="1" t="s">
        <v>124</v>
      </c>
      <c r="B127" s="3" t="str">
        <f t="shared" si="1"/>
        <v>Unavailable</v>
      </c>
      <c r="C127" s="3">
        <v>250.0</v>
      </c>
      <c r="D127" s="3">
        <f>IFERROR(__xludf.DUMMYFUNCTION("IFERROR(
IF(REGEXMATCH(LOWER(O127),""k""),
VALUE(REGEXEXTRACT(O127,""[0-9]+""))*1000,
VALUE(REGEXEXTRACT(O127,""[0-9]+""))
),
0
)"),0.0)</f>
        <v>0</v>
      </c>
      <c r="E127" s="1" t="s">
        <v>11</v>
      </c>
      <c r="F127" s="1" t="s">
        <v>20</v>
      </c>
      <c r="G127" s="4" t="b">
        <f t="shared" si="2"/>
        <v>1</v>
      </c>
      <c r="H127" s="1" t="str">
        <f t="shared" si="3"/>
        <v>Currently Unavailable</v>
      </c>
      <c r="I127" s="1" t="str">
        <f t="shared" si="4"/>
        <v>No Badges</v>
      </c>
      <c r="J127" s="3">
        <f t="shared" si="5"/>
        <v>0</v>
      </c>
    </row>
    <row r="128">
      <c r="A128" s="1" t="s">
        <v>125</v>
      </c>
      <c r="B128" s="3" t="str">
        <f t="shared" si="1"/>
        <v>Unavailable</v>
      </c>
      <c r="C128" s="3">
        <v>160.0</v>
      </c>
      <c r="D128" s="3">
        <f>IFERROR(__xludf.DUMMYFUNCTION("IFERROR(
IF(REGEXMATCH(LOWER(O128),""k""),
VALUE(REGEXEXTRACT(O128,""[0-9]+""))*1000,
VALUE(REGEXEXTRACT(O128,""[0-9]+""))
),
0
)"),0.0)</f>
        <v>0</v>
      </c>
      <c r="E128" s="1" t="s">
        <v>11</v>
      </c>
      <c r="F128" s="1" t="s">
        <v>20</v>
      </c>
      <c r="G128" s="4" t="b">
        <f t="shared" si="2"/>
        <v>1</v>
      </c>
      <c r="H128" s="1" t="str">
        <f t="shared" si="3"/>
        <v>Currently Unavailable</v>
      </c>
      <c r="I128" s="1" t="str">
        <f t="shared" si="4"/>
        <v>No Badges</v>
      </c>
      <c r="J128" s="3">
        <f t="shared" si="5"/>
        <v>0</v>
      </c>
    </row>
    <row r="129">
      <c r="A129" s="1" t="s">
        <v>126</v>
      </c>
      <c r="B129" s="3" t="str">
        <f t="shared" si="1"/>
        <v>Unavailable</v>
      </c>
      <c r="C129" s="3">
        <v>480.0</v>
      </c>
      <c r="D129" s="3">
        <f>IFERROR(__xludf.DUMMYFUNCTION("IFERROR(
IF(REGEXMATCH(LOWER(O129),""k""),
VALUE(REGEXEXTRACT(O129,""[0-9]+""))*1000,
VALUE(REGEXEXTRACT(O129,""[0-9]+""))
),
0
)"),0.0)</f>
        <v>0</v>
      </c>
      <c r="E129" s="1" t="s">
        <v>11</v>
      </c>
      <c r="F129" s="1" t="s">
        <v>20</v>
      </c>
      <c r="G129" s="4" t="b">
        <f t="shared" si="2"/>
        <v>1</v>
      </c>
      <c r="H129" s="1" t="str">
        <f t="shared" si="3"/>
        <v>Currently Unavailable</v>
      </c>
      <c r="I129" s="1" t="str">
        <f t="shared" si="4"/>
        <v>No Badges</v>
      </c>
      <c r="J129" s="3">
        <f t="shared" si="5"/>
        <v>0</v>
      </c>
    </row>
    <row r="130">
      <c r="A130" s="1" t="s">
        <v>127</v>
      </c>
      <c r="B130" s="3" t="str">
        <f t="shared" si="1"/>
        <v>Unavailable</v>
      </c>
      <c r="C130" s="3">
        <v>308.0</v>
      </c>
      <c r="D130" s="3">
        <f>IFERROR(__xludf.DUMMYFUNCTION("IFERROR(
IF(REGEXMATCH(LOWER(O130),""k""),
VALUE(REGEXEXTRACT(O130,""[0-9]+""))*1000,
VALUE(REGEXEXTRACT(O130,""[0-9]+""))
),
0
)"),0.0)</f>
        <v>0</v>
      </c>
      <c r="E130" s="1" t="s">
        <v>11</v>
      </c>
      <c r="F130" s="1" t="s">
        <v>20</v>
      </c>
      <c r="G130" s="4" t="b">
        <f t="shared" si="2"/>
        <v>1</v>
      </c>
      <c r="H130" s="1" t="str">
        <f t="shared" si="3"/>
        <v>Currently Unavailable</v>
      </c>
      <c r="I130" s="1" t="str">
        <f t="shared" si="4"/>
        <v>No Badges</v>
      </c>
      <c r="J130" s="3">
        <f t="shared" si="5"/>
        <v>0</v>
      </c>
    </row>
    <row r="131">
      <c r="A131" s="1" t="s">
        <v>128</v>
      </c>
      <c r="B131" s="3" t="str">
        <f t="shared" si="1"/>
        <v>Unavailable</v>
      </c>
      <c r="C131" s="5">
        <v>1056.0</v>
      </c>
      <c r="D131" s="3">
        <f>IFERROR(__xludf.DUMMYFUNCTION("IFERROR(
IF(REGEXMATCH(LOWER(O131),""k""),
VALUE(REGEXEXTRACT(O131,""[0-9]+""))*1000,
VALUE(REGEXEXTRACT(O131,""[0-9]+""))
),
0
)"),0.0)</f>
        <v>0</v>
      </c>
      <c r="E131" s="1" t="s">
        <v>11</v>
      </c>
      <c r="F131" s="1" t="s">
        <v>20</v>
      </c>
      <c r="G131" s="4" t="b">
        <f t="shared" si="2"/>
        <v>1</v>
      </c>
      <c r="H131" s="1" t="str">
        <f t="shared" si="3"/>
        <v>Currently Unavailable</v>
      </c>
      <c r="I131" s="1" t="str">
        <f t="shared" si="4"/>
        <v>No Badges</v>
      </c>
      <c r="J131" s="3">
        <f t="shared" si="5"/>
        <v>0</v>
      </c>
    </row>
    <row r="132">
      <c r="A132" s="1" t="s">
        <v>129</v>
      </c>
      <c r="B132" s="3" t="str">
        <f t="shared" si="1"/>
        <v>Unavailable</v>
      </c>
      <c r="C132" s="3">
        <v>252.0</v>
      </c>
      <c r="D132" s="3">
        <f>IFERROR(__xludf.DUMMYFUNCTION("IFERROR(
IF(REGEXMATCH(LOWER(O132),""k""),
VALUE(REGEXEXTRACT(O132,""[0-9]+""))*1000,
VALUE(REGEXEXTRACT(O132,""[0-9]+""))
),
0
)"),0.0)</f>
        <v>0</v>
      </c>
      <c r="E132" s="1" t="s">
        <v>11</v>
      </c>
      <c r="F132" s="1" t="s">
        <v>20</v>
      </c>
      <c r="G132" s="4" t="b">
        <f t="shared" si="2"/>
        <v>1</v>
      </c>
      <c r="H132" s="1" t="str">
        <f t="shared" si="3"/>
        <v>Currently Unavailable</v>
      </c>
      <c r="I132" s="1" t="str">
        <f t="shared" si="4"/>
        <v>No Badges</v>
      </c>
      <c r="J132" s="3">
        <f t="shared" si="5"/>
        <v>0</v>
      </c>
    </row>
    <row r="133">
      <c r="A133" s="1" t="s">
        <v>130</v>
      </c>
      <c r="B133" s="3" t="str">
        <f t="shared" si="1"/>
        <v>Unavailable</v>
      </c>
      <c r="C133" s="3">
        <v>661.0</v>
      </c>
      <c r="D133" s="3">
        <f>IFERROR(__xludf.DUMMYFUNCTION("IFERROR(
IF(REGEXMATCH(LOWER(O133),""k""),
VALUE(REGEXEXTRACT(O133,""[0-9]+""))*1000,
VALUE(REGEXEXTRACT(O133,""[0-9]+""))
),
0
)"),0.0)</f>
        <v>0</v>
      </c>
      <c r="E133" s="1" t="s">
        <v>11</v>
      </c>
      <c r="F133" s="1" t="s">
        <v>12</v>
      </c>
      <c r="G133" s="4" t="b">
        <f t="shared" si="2"/>
        <v>1</v>
      </c>
      <c r="H133" s="1" t="str">
        <f t="shared" si="3"/>
        <v>Currently Unavailable</v>
      </c>
      <c r="I133" s="1" t="str">
        <f t="shared" si="4"/>
        <v>No Badges</v>
      </c>
      <c r="J133" s="3">
        <f t="shared" si="5"/>
        <v>0</v>
      </c>
    </row>
    <row r="134">
      <c r="A134" s="1" t="s">
        <v>131</v>
      </c>
      <c r="B134" s="3" t="str">
        <f t="shared" si="1"/>
        <v>Unavailable</v>
      </c>
      <c r="C134" s="3">
        <v>161.0</v>
      </c>
      <c r="D134" s="3">
        <f>IFERROR(__xludf.DUMMYFUNCTION("IFERROR(
IF(REGEXMATCH(LOWER(O134),""k""),
VALUE(REGEXEXTRACT(O134,""[0-9]+""))*1000,
VALUE(REGEXEXTRACT(O134,""[0-9]+""))
),
0
)"),0.0)</f>
        <v>0</v>
      </c>
      <c r="E134" s="1" t="s">
        <v>11</v>
      </c>
      <c r="F134" s="1" t="s">
        <v>20</v>
      </c>
      <c r="G134" s="4" t="b">
        <f t="shared" si="2"/>
        <v>1</v>
      </c>
      <c r="H134" s="1" t="str">
        <f t="shared" si="3"/>
        <v>Currently Unavailable</v>
      </c>
      <c r="I134" s="1" t="str">
        <f t="shared" si="4"/>
        <v>No Badges</v>
      </c>
      <c r="J134" s="3">
        <f t="shared" si="5"/>
        <v>0</v>
      </c>
    </row>
    <row r="135">
      <c r="A135" s="1" t="s">
        <v>132</v>
      </c>
      <c r="B135" s="3" t="str">
        <f t="shared" si="1"/>
        <v>Unavailable</v>
      </c>
      <c r="C135" s="3">
        <v>31.0</v>
      </c>
      <c r="D135" s="3">
        <f>IFERROR(__xludf.DUMMYFUNCTION("IFERROR(
IF(REGEXMATCH(LOWER(O135),""k""),
VALUE(REGEXEXTRACT(O135,""[0-9]+""))*1000,
VALUE(REGEXEXTRACT(O135,""[0-9]+""))
),
0
)"),0.0)</f>
        <v>0</v>
      </c>
      <c r="E135" s="1" t="s">
        <v>11</v>
      </c>
      <c r="F135" s="1" t="s">
        <v>20</v>
      </c>
      <c r="G135" s="4" t="b">
        <f t="shared" si="2"/>
        <v>1</v>
      </c>
      <c r="H135" s="1" t="str">
        <f t="shared" si="3"/>
        <v>Currently Unavailable</v>
      </c>
      <c r="I135" s="1" t="str">
        <f t="shared" si="4"/>
        <v>No Badges</v>
      </c>
      <c r="J135" s="3">
        <f t="shared" si="5"/>
        <v>0</v>
      </c>
    </row>
    <row r="136">
      <c r="A136" s="1" t="s">
        <v>133</v>
      </c>
      <c r="B136" s="3" t="str">
        <f t="shared" si="1"/>
        <v>Unavailable</v>
      </c>
      <c r="C136" s="3">
        <v>263.0</v>
      </c>
      <c r="D136" s="3">
        <f>IFERROR(__xludf.DUMMYFUNCTION("IFERROR(
IF(REGEXMATCH(LOWER(O136),""k""),
VALUE(REGEXEXTRACT(O136,""[0-9]+""))*1000,
VALUE(REGEXEXTRACT(O136,""[0-9]+""))
),
0
)"),0.0)</f>
        <v>0</v>
      </c>
      <c r="E136" s="1" t="s">
        <v>11</v>
      </c>
      <c r="F136" s="1" t="s">
        <v>20</v>
      </c>
      <c r="G136" s="4" t="b">
        <f t="shared" si="2"/>
        <v>1</v>
      </c>
      <c r="H136" s="1" t="str">
        <f t="shared" si="3"/>
        <v>Currently Unavailable</v>
      </c>
      <c r="I136" s="1" t="str">
        <f t="shared" si="4"/>
        <v>No Badges</v>
      </c>
      <c r="J136" s="3">
        <f t="shared" si="5"/>
        <v>0</v>
      </c>
    </row>
    <row r="137">
      <c r="A137" s="1" t="s">
        <v>134</v>
      </c>
      <c r="B137" s="3" t="str">
        <f t="shared" si="1"/>
        <v>Unavailable</v>
      </c>
      <c r="C137" s="3">
        <v>942.0</v>
      </c>
      <c r="D137" s="3">
        <f>IFERROR(__xludf.DUMMYFUNCTION("IFERROR(
IF(REGEXMATCH(LOWER(O137),""k""),
VALUE(REGEXEXTRACT(O137,""[0-9]+""))*1000,
VALUE(REGEXEXTRACT(O137,""[0-9]+""))
),
0
)"),0.0)</f>
        <v>0</v>
      </c>
      <c r="E137" s="1" t="s">
        <v>11</v>
      </c>
      <c r="F137" s="1" t="s">
        <v>20</v>
      </c>
      <c r="G137" s="4" t="b">
        <f t="shared" si="2"/>
        <v>1</v>
      </c>
      <c r="H137" s="1" t="str">
        <f t="shared" si="3"/>
        <v>Currently Unavailable</v>
      </c>
      <c r="I137" s="1" t="str">
        <f t="shared" si="4"/>
        <v>No Badges</v>
      </c>
      <c r="J137" s="3">
        <f t="shared" si="5"/>
        <v>0</v>
      </c>
    </row>
    <row r="138">
      <c r="A138" s="1" t="s">
        <v>135</v>
      </c>
      <c r="B138" s="3" t="str">
        <f t="shared" si="1"/>
        <v>Unavailable</v>
      </c>
      <c r="C138" s="3">
        <v>49.0</v>
      </c>
      <c r="D138" s="3">
        <f>IFERROR(__xludf.DUMMYFUNCTION("IFERROR(
IF(REGEXMATCH(LOWER(O138),""k""),
VALUE(REGEXEXTRACT(O138,""[0-9]+""))*1000,
VALUE(REGEXEXTRACT(O138,""[0-9]+""))
),
0
)"),0.0)</f>
        <v>0</v>
      </c>
      <c r="E138" s="1" t="s">
        <v>11</v>
      </c>
      <c r="F138" s="1" t="s">
        <v>20</v>
      </c>
      <c r="G138" s="4" t="b">
        <f t="shared" si="2"/>
        <v>1</v>
      </c>
      <c r="H138" s="1" t="str">
        <f t="shared" si="3"/>
        <v>Currently Unavailable</v>
      </c>
      <c r="I138" s="1" t="str">
        <f t="shared" si="4"/>
        <v>No Badges</v>
      </c>
      <c r="J138" s="3">
        <f t="shared" si="5"/>
        <v>0</v>
      </c>
    </row>
    <row r="139">
      <c r="A139" s="1" t="s">
        <v>136</v>
      </c>
      <c r="B139" s="3" t="str">
        <f t="shared" si="1"/>
        <v>Unavailable</v>
      </c>
      <c r="C139" s="5">
        <v>1465.0</v>
      </c>
      <c r="D139" s="3">
        <f>IFERROR(__xludf.DUMMYFUNCTION("IFERROR(
IF(REGEXMATCH(LOWER(O139),""k""),
VALUE(REGEXEXTRACT(O139,""[0-9]+""))*1000,
VALUE(REGEXEXTRACT(O139,""[0-9]+""))
),
0
)"),0.0)</f>
        <v>0</v>
      </c>
      <c r="E139" s="1" t="s">
        <v>11</v>
      </c>
      <c r="F139" s="1" t="s">
        <v>20</v>
      </c>
      <c r="G139" s="4" t="b">
        <f t="shared" si="2"/>
        <v>1</v>
      </c>
      <c r="H139" s="1" t="str">
        <f t="shared" si="3"/>
        <v>Currently Unavailable</v>
      </c>
      <c r="I139" s="1" t="str">
        <f t="shared" si="4"/>
        <v>No Badges</v>
      </c>
      <c r="J139" s="3">
        <f t="shared" si="5"/>
        <v>0</v>
      </c>
    </row>
    <row r="140">
      <c r="A140" s="1" t="s">
        <v>137</v>
      </c>
      <c r="B140" s="3" t="str">
        <f t="shared" si="1"/>
        <v>Unavailable</v>
      </c>
      <c r="C140" s="3">
        <v>36.0</v>
      </c>
      <c r="D140" s="3">
        <f>IFERROR(__xludf.DUMMYFUNCTION("IFERROR(
IF(REGEXMATCH(LOWER(O140),""k""),
VALUE(REGEXEXTRACT(O140,""[0-9]+""))*1000,
VALUE(REGEXEXTRACT(O140,""[0-9]+""))
),
0
)"),0.0)</f>
        <v>0</v>
      </c>
      <c r="E140" s="1" t="s">
        <v>11</v>
      </c>
      <c r="F140" s="1" t="s">
        <v>20</v>
      </c>
      <c r="G140" s="4" t="b">
        <f t="shared" si="2"/>
        <v>1</v>
      </c>
      <c r="H140" s="1" t="str">
        <f t="shared" si="3"/>
        <v>Currently Unavailable</v>
      </c>
      <c r="I140" s="1" t="str">
        <f t="shared" si="4"/>
        <v>No Badges</v>
      </c>
      <c r="J140" s="3">
        <f t="shared" si="5"/>
        <v>0</v>
      </c>
    </row>
    <row r="141">
      <c r="A141" s="1" t="s">
        <v>138</v>
      </c>
      <c r="B141" s="3" t="str">
        <f t="shared" si="1"/>
        <v>Unavailable</v>
      </c>
      <c r="C141" s="3">
        <v>364.0</v>
      </c>
      <c r="D141" s="3">
        <f>IFERROR(__xludf.DUMMYFUNCTION("IFERROR(
IF(REGEXMATCH(LOWER(O141),""k""),
VALUE(REGEXEXTRACT(O141,""[0-9]+""))*1000,
VALUE(REGEXEXTRACT(O141,""[0-9]+""))
),
0
)"),0.0)</f>
        <v>0</v>
      </c>
      <c r="E141" s="1" t="s">
        <v>11</v>
      </c>
      <c r="F141" s="1" t="s">
        <v>20</v>
      </c>
      <c r="G141" s="4" t="b">
        <f t="shared" si="2"/>
        <v>1</v>
      </c>
      <c r="H141" s="1" t="str">
        <f t="shared" si="3"/>
        <v>Currently Unavailable</v>
      </c>
      <c r="I141" s="1" t="str">
        <f t="shared" si="4"/>
        <v>No Badges</v>
      </c>
      <c r="J141" s="3">
        <f t="shared" si="5"/>
        <v>0</v>
      </c>
    </row>
    <row r="142">
      <c r="A142" s="1" t="s">
        <v>139</v>
      </c>
      <c r="B142" s="3" t="str">
        <f t="shared" si="1"/>
        <v>Unavailable</v>
      </c>
      <c r="C142" s="3">
        <v>305.0</v>
      </c>
      <c r="D142" s="3">
        <f>IFERROR(__xludf.DUMMYFUNCTION("IFERROR(
IF(REGEXMATCH(LOWER(O142),""k""),
VALUE(REGEXEXTRACT(O142,""[0-9]+""))*1000,
VALUE(REGEXEXTRACT(O142,""[0-9]+""))
),
0
)"),0.0)</f>
        <v>0</v>
      </c>
      <c r="E142" s="1" t="s">
        <v>18</v>
      </c>
      <c r="F142" s="1" t="s">
        <v>20</v>
      </c>
      <c r="G142" s="4" t="b">
        <f t="shared" si="2"/>
        <v>1</v>
      </c>
      <c r="H142" s="1" t="str">
        <f t="shared" si="3"/>
        <v>Currently Unavailable</v>
      </c>
      <c r="I142" s="1" t="str">
        <f t="shared" si="4"/>
        <v>No Badges</v>
      </c>
      <c r="J142" s="3">
        <f t="shared" si="5"/>
        <v>0</v>
      </c>
    </row>
    <row r="143">
      <c r="A143" s="1" t="s">
        <v>140</v>
      </c>
      <c r="B143" s="3" t="str">
        <f t="shared" si="1"/>
        <v>Unavailable</v>
      </c>
      <c r="C143" s="3">
        <v>140.0</v>
      </c>
      <c r="D143" s="3">
        <f>IFERROR(__xludf.DUMMYFUNCTION("IFERROR(
IF(REGEXMATCH(LOWER(O143),""k""),
VALUE(REGEXEXTRACT(O143,""[0-9]+""))*1000,
VALUE(REGEXEXTRACT(O143,""[0-9]+""))
),
0
)"),0.0)</f>
        <v>0</v>
      </c>
      <c r="E143" s="1" t="s">
        <v>11</v>
      </c>
      <c r="F143" s="1" t="s">
        <v>20</v>
      </c>
      <c r="G143" s="4" t="b">
        <f t="shared" si="2"/>
        <v>1</v>
      </c>
      <c r="H143" s="1" t="str">
        <f t="shared" si="3"/>
        <v>Currently Unavailable</v>
      </c>
      <c r="I143" s="1" t="str">
        <f t="shared" si="4"/>
        <v>No Badges</v>
      </c>
      <c r="J143" s="3">
        <f t="shared" si="5"/>
        <v>0</v>
      </c>
    </row>
    <row r="144">
      <c r="A144" s="1" t="s">
        <v>141</v>
      </c>
      <c r="B144" s="3" t="str">
        <f t="shared" si="1"/>
        <v>Unavailable</v>
      </c>
      <c r="C144" s="3">
        <v>101.0</v>
      </c>
      <c r="D144" s="3">
        <f>IFERROR(__xludf.DUMMYFUNCTION("IFERROR(
IF(REGEXMATCH(LOWER(O144),""k""),
VALUE(REGEXEXTRACT(O144,""[0-9]+""))*1000,
VALUE(REGEXEXTRACT(O144,""[0-9]+""))
),
0
)"),0.0)</f>
        <v>0</v>
      </c>
      <c r="E144" s="1" t="s">
        <v>11</v>
      </c>
      <c r="F144" s="1" t="s">
        <v>20</v>
      </c>
      <c r="G144" s="4" t="b">
        <f t="shared" si="2"/>
        <v>1</v>
      </c>
      <c r="H144" s="1" t="str">
        <f t="shared" si="3"/>
        <v>Currently Unavailable</v>
      </c>
      <c r="I144" s="1" t="str">
        <f t="shared" si="4"/>
        <v>No Badges</v>
      </c>
      <c r="J144" s="3">
        <f t="shared" si="5"/>
        <v>0</v>
      </c>
    </row>
    <row r="145">
      <c r="A145" s="1" t="s">
        <v>142</v>
      </c>
      <c r="B145" s="3" t="str">
        <f t="shared" si="1"/>
        <v>Unavailable</v>
      </c>
      <c r="C145" s="3">
        <v>23.0</v>
      </c>
      <c r="D145" s="3">
        <f>IFERROR(__xludf.DUMMYFUNCTION("IFERROR(
IF(REGEXMATCH(LOWER(O145),""k""),
VALUE(REGEXEXTRACT(O145,""[0-9]+""))*1000,
VALUE(REGEXEXTRACT(O145,""[0-9]+""))
),
0
)"),0.0)</f>
        <v>0</v>
      </c>
      <c r="E145" s="1" t="s">
        <v>11</v>
      </c>
      <c r="F145" s="1" t="s">
        <v>20</v>
      </c>
      <c r="G145" s="4" t="b">
        <f t="shared" si="2"/>
        <v>1</v>
      </c>
      <c r="H145" s="1" t="str">
        <f t="shared" si="3"/>
        <v>Currently Unavailable</v>
      </c>
      <c r="I145" s="1" t="str">
        <f t="shared" si="4"/>
        <v>No Badges</v>
      </c>
      <c r="J145" s="3">
        <f t="shared" si="5"/>
        <v>0</v>
      </c>
    </row>
    <row r="146">
      <c r="A146" s="1" t="s">
        <v>40</v>
      </c>
      <c r="B146" s="3" t="str">
        <f t="shared" si="1"/>
        <v>Unavailable</v>
      </c>
      <c r="C146" s="3">
        <v>171.0</v>
      </c>
      <c r="D146" s="3">
        <f>IFERROR(__xludf.DUMMYFUNCTION("IFERROR(
IF(REGEXMATCH(LOWER(O146),""k""),
VALUE(REGEXEXTRACT(O146,""[0-9]+""))*1000,
VALUE(REGEXEXTRACT(O146,""[0-9]+""))
),
0
)"),0.0)</f>
        <v>0</v>
      </c>
      <c r="E146" s="1" t="s">
        <v>11</v>
      </c>
      <c r="F146" s="1" t="s">
        <v>12</v>
      </c>
      <c r="G146" s="4" t="b">
        <f t="shared" si="2"/>
        <v>1</v>
      </c>
      <c r="H146" s="1" t="str">
        <f t="shared" si="3"/>
        <v>Currently Unavailable</v>
      </c>
      <c r="I146" s="1" t="str">
        <f t="shared" si="4"/>
        <v>No Badges</v>
      </c>
      <c r="J146" s="3">
        <f t="shared" si="5"/>
        <v>0</v>
      </c>
    </row>
    <row r="147">
      <c r="A147" s="1" t="s">
        <v>143</v>
      </c>
      <c r="B147" s="3" t="str">
        <f t="shared" si="1"/>
        <v>Unavailable</v>
      </c>
      <c r="C147" s="3">
        <v>63.0</v>
      </c>
      <c r="D147" s="3">
        <f>IFERROR(__xludf.DUMMYFUNCTION("IFERROR(
IF(REGEXMATCH(LOWER(O147),""k""),
VALUE(REGEXEXTRACT(O147,""[0-9]+""))*1000,
VALUE(REGEXEXTRACT(O147,""[0-9]+""))
),
0
)"),0.0)</f>
        <v>0</v>
      </c>
      <c r="E147" s="1" t="s">
        <v>11</v>
      </c>
      <c r="F147" s="1" t="s">
        <v>12</v>
      </c>
      <c r="G147" s="4" t="b">
        <f t="shared" si="2"/>
        <v>1</v>
      </c>
      <c r="H147" s="1" t="str">
        <f t="shared" si="3"/>
        <v>Currently Unavailable</v>
      </c>
      <c r="I147" s="1" t="str">
        <f t="shared" si="4"/>
        <v>No Badges</v>
      </c>
      <c r="J147" s="3">
        <f t="shared" si="5"/>
        <v>0</v>
      </c>
    </row>
    <row r="148">
      <c r="A148" s="1" t="s">
        <v>144</v>
      </c>
      <c r="B148" s="3" t="str">
        <f t="shared" si="1"/>
        <v>Unavailable</v>
      </c>
      <c r="C148" s="3">
        <v>34.0</v>
      </c>
      <c r="D148" s="3">
        <f>IFERROR(__xludf.DUMMYFUNCTION("IFERROR(
IF(REGEXMATCH(LOWER(O148),""k""),
VALUE(REGEXEXTRACT(O148,""[0-9]+""))*1000,
VALUE(REGEXEXTRACT(O148,""[0-9]+""))
),
0
)"),0.0)</f>
        <v>0</v>
      </c>
      <c r="E148" s="1" t="s">
        <v>11</v>
      </c>
      <c r="F148" s="1" t="s">
        <v>20</v>
      </c>
      <c r="G148" s="4" t="b">
        <f t="shared" si="2"/>
        <v>1</v>
      </c>
      <c r="H148" s="1" t="str">
        <f t="shared" si="3"/>
        <v>Currently Unavailable</v>
      </c>
      <c r="I148" s="1" t="str">
        <f t="shared" si="4"/>
        <v>No Badges</v>
      </c>
      <c r="J148" s="3">
        <f t="shared" si="5"/>
        <v>0</v>
      </c>
    </row>
    <row r="149">
      <c r="A149" s="1" t="s">
        <v>145</v>
      </c>
      <c r="B149" s="3" t="str">
        <f t="shared" si="1"/>
        <v>Unavailable</v>
      </c>
      <c r="C149" s="3">
        <v>67.0</v>
      </c>
      <c r="D149" s="3">
        <f>IFERROR(__xludf.DUMMYFUNCTION("IFERROR(
IF(REGEXMATCH(LOWER(O149),""k""),
VALUE(REGEXEXTRACT(O149,""[0-9]+""))*1000,
VALUE(REGEXEXTRACT(O149,""[0-9]+""))
),
0
)"),0.0)</f>
        <v>0</v>
      </c>
      <c r="E149" s="1" t="s">
        <v>11</v>
      </c>
      <c r="F149" s="1" t="s">
        <v>20</v>
      </c>
      <c r="G149" s="4" t="b">
        <f t="shared" si="2"/>
        <v>1</v>
      </c>
      <c r="H149" s="1" t="str">
        <f t="shared" si="3"/>
        <v>Currently Unavailable</v>
      </c>
      <c r="I149" s="1" t="str">
        <f t="shared" si="4"/>
        <v>No Badges</v>
      </c>
      <c r="J149" s="3">
        <f t="shared" si="5"/>
        <v>0</v>
      </c>
    </row>
    <row r="150">
      <c r="A150" s="1" t="s">
        <v>146</v>
      </c>
      <c r="B150" s="3" t="str">
        <f t="shared" si="1"/>
        <v>Unavailable</v>
      </c>
      <c r="C150" s="3">
        <v>5.0</v>
      </c>
      <c r="D150" s="3">
        <f>IFERROR(__xludf.DUMMYFUNCTION("IFERROR(
IF(REGEXMATCH(LOWER(O150),""k""),
VALUE(REGEXEXTRACT(O150,""[0-9]+""))*1000,
VALUE(REGEXEXTRACT(O150,""[0-9]+""))
),
0
)"),0.0)</f>
        <v>0</v>
      </c>
      <c r="E150" s="1" t="s">
        <v>11</v>
      </c>
      <c r="F150" s="1" t="s">
        <v>20</v>
      </c>
      <c r="G150" s="4" t="b">
        <f t="shared" si="2"/>
        <v>1</v>
      </c>
      <c r="H150" s="1" t="str">
        <f t="shared" si="3"/>
        <v>Currently Unavailable</v>
      </c>
      <c r="I150" s="1" t="str">
        <f t="shared" si="4"/>
        <v>No Badges</v>
      </c>
      <c r="J150" s="3">
        <f t="shared" si="5"/>
        <v>0</v>
      </c>
    </row>
    <row r="151">
      <c r="A151" s="1" t="s">
        <v>147</v>
      </c>
      <c r="B151" s="3" t="str">
        <f t="shared" si="1"/>
        <v>Unavailable</v>
      </c>
      <c r="C151" s="3">
        <v>52.0</v>
      </c>
      <c r="D151" s="3">
        <f>IFERROR(__xludf.DUMMYFUNCTION("IFERROR(
IF(REGEXMATCH(LOWER(O151),""k""),
VALUE(REGEXEXTRACT(O151,""[0-9]+""))*1000,
VALUE(REGEXEXTRACT(O151,""[0-9]+""))
),
0
)"),0.0)</f>
        <v>0</v>
      </c>
      <c r="E151" s="1" t="s">
        <v>11</v>
      </c>
      <c r="F151" s="1" t="s">
        <v>20</v>
      </c>
      <c r="G151" s="4" t="b">
        <f t="shared" si="2"/>
        <v>1</v>
      </c>
      <c r="H151" s="1" t="str">
        <f t="shared" si="3"/>
        <v>Currently Unavailable</v>
      </c>
      <c r="I151" s="1" t="str">
        <f t="shared" si="4"/>
        <v>No Badges</v>
      </c>
      <c r="J151" s="3">
        <f t="shared" si="5"/>
        <v>0</v>
      </c>
    </row>
    <row r="152">
      <c r="A152" s="1" t="s">
        <v>148</v>
      </c>
      <c r="B152" s="3" t="str">
        <f t="shared" si="1"/>
        <v>Unavailable</v>
      </c>
      <c r="C152" s="3">
        <v>519.0</v>
      </c>
      <c r="D152" s="3">
        <f>IFERROR(__xludf.DUMMYFUNCTION("IFERROR(
IF(REGEXMATCH(LOWER(O152),""k""),
VALUE(REGEXEXTRACT(O152,""[0-9]+""))*1000,
VALUE(REGEXEXTRACT(O152,""[0-9]+""))
),
0
)"),0.0)</f>
        <v>0</v>
      </c>
      <c r="E152" s="1" t="s">
        <v>11</v>
      </c>
      <c r="F152" s="1" t="s">
        <v>20</v>
      </c>
      <c r="G152" s="4" t="b">
        <f t="shared" si="2"/>
        <v>1</v>
      </c>
      <c r="H152" s="1" t="str">
        <f t="shared" si="3"/>
        <v>Currently Unavailable</v>
      </c>
      <c r="I152" s="1" t="str">
        <f t="shared" si="4"/>
        <v>No Badges</v>
      </c>
      <c r="J152" s="6">
        <f t="shared" si="5"/>
        <v>0</v>
      </c>
    </row>
    <row r="153">
      <c r="A153" s="1" t="s">
        <v>149</v>
      </c>
      <c r="B153" s="3" t="str">
        <f t="shared" si="1"/>
        <v>Unavailable</v>
      </c>
      <c r="C153" s="3">
        <v>554.0</v>
      </c>
      <c r="D153" s="3">
        <f>IFERROR(__xludf.DUMMYFUNCTION("IFERROR(
IF(REGEXMATCH(LOWER(O153),""k""),
VALUE(REGEXEXTRACT(O153,""[0-9]+""))*1000,
VALUE(REGEXEXTRACT(O153,""[0-9]+""))
),
0
)"),0.0)</f>
        <v>0</v>
      </c>
      <c r="E153" s="1" t="s">
        <v>11</v>
      </c>
      <c r="F153" s="1" t="s">
        <v>12</v>
      </c>
      <c r="G153" s="4" t="b">
        <f t="shared" si="2"/>
        <v>1</v>
      </c>
      <c r="H153" s="1" t="str">
        <f t="shared" si="3"/>
        <v>Currently Unavailable</v>
      </c>
      <c r="I153" s="1" t="str">
        <f t="shared" si="4"/>
        <v>No Badges</v>
      </c>
      <c r="J153" s="3">
        <f t="shared" si="5"/>
        <v>0</v>
      </c>
    </row>
    <row r="154">
      <c r="A154" s="1" t="s">
        <v>150</v>
      </c>
      <c r="B154" s="3" t="str">
        <f t="shared" si="1"/>
        <v>Unavailable</v>
      </c>
      <c r="C154" s="3">
        <v>33.0</v>
      </c>
      <c r="D154" s="3">
        <f>IFERROR(__xludf.DUMMYFUNCTION("IFERROR(
IF(REGEXMATCH(LOWER(O154),""k""),
VALUE(REGEXEXTRACT(O154,""[0-9]+""))*1000,
VALUE(REGEXEXTRACT(O154,""[0-9]+""))
),
0
)"),0.0)</f>
        <v>0</v>
      </c>
      <c r="E154" s="1" t="s">
        <v>11</v>
      </c>
      <c r="F154" s="1" t="s">
        <v>20</v>
      </c>
      <c r="G154" s="4" t="b">
        <f t="shared" si="2"/>
        <v>1</v>
      </c>
      <c r="H154" s="1" t="str">
        <f t="shared" si="3"/>
        <v>Currently Unavailable</v>
      </c>
      <c r="I154" s="1" t="str">
        <f t="shared" si="4"/>
        <v>No Badges</v>
      </c>
      <c r="J154" s="3">
        <f t="shared" si="5"/>
        <v>0</v>
      </c>
    </row>
    <row r="155">
      <c r="A155" s="1" t="s">
        <v>151</v>
      </c>
      <c r="B155" s="3" t="str">
        <f t="shared" si="1"/>
        <v>Unavailable</v>
      </c>
      <c r="C155" s="3">
        <v>43.0</v>
      </c>
      <c r="D155" s="3">
        <f>IFERROR(__xludf.DUMMYFUNCTION("IFERROR(
IF(REGEXMATCH(LOWER(O155),""k""),
VALUE(REGEXEXTRACT(O155,""[0-9]+""))*1000,
VALUE(REGEXEXTRACT(O155,""[0-9]+""))
),
0
)"),0.0)</f>
        <v>0</v>
      </c>
      <c r="E155" s="1" t="s">
        <v>11</v>
      </c>
      <c r="F155" s="1" t="s">
        <v>20</v>
      </c>
      <c r="G155" s="4" t="b">
        <f t="shared" si="2"/>
        <v>1</v>
      </c>
      <c r="H155" s="1" t="str">
        <f t="shared" si="3"/>
        <v>Currently Unavailable</v>
      </c>
      <c r="I155" s="1" t="str">
        <f t="shared" si="4"/>
        <v>No Badges</v>
      </c>
      <c r="J155" s="3">
        <f t="shared" si="5"/>
        <v>0</v>
      </c>
    </row>
    <row r="156">
      <c r="A156" s="1" t="s">
        <v>152</v>
      </c>
      <c r="B156" s="3" t="str">
        <f t="shared" si="1"/>
        <v>Unavailable</v>
      </c>
      <c r="C156" s="5">
        <v>2169.0</v>
      </c>
      <c r="D156" s="3">
        <f>IFERROR(__xludf.DUMMYFUNCTION("IFERROR(
IF(REGEXMATCH(LOWER(O156),""k""),
VALUE(REGEXEXTRACT(O156,""[0-9]+""))*1000,
VALUE(REGEXEXTRACT(O156,""[0-9]+""))
),
0
)"),0.0)</f>
        <v>0</v>
      </c>
      <c r="E156" s="1" t="s">
        <v>11</v>
      </c>
      <c r="F156" s="1" t="s">
        <v>20</v>
      </c>
      <c r="G156" s="4" t="b">
        <f t="shared" si="2"/>
        <v>1</v>
      </c>
      <c r="H156" s="1" t="str">
        <f t="shared" si="3"/>
        <v>Currently Unavailable</v>
      </c>
      <c r="I156" s="1" t="str">
        <f t="shared" si="4"/>
        <v>No Badges</v>
      </c>
      <c r="J156" s="3">
        <f t="shared" si="5"/>
        <v>0</v>
      </c>
    </row>
    <row r="157">
      <c r="A157" s="1" t="s">
        <v>153</v>
      </c>
      <c r="B157" s="3" t="str">
        <f t="shared" si="1"/>
        <v>Unavailable</v>
      </c>
      <c r="C157" s="3">
        <v>26.0</v>
      </c>
      <c r="D157" s="3">
        <f>IFERROR(__xludf.DUMMYFUNCTION("IFERROR(
IF(REGEXMATCH(LOWER(O157),""k""),
VALUE(REGEXEXTRACT(O157,""[0-9]+""))*1000,
VALUE(REGEXEXTRACT(O157,""[0-9]+""))
),
0
)"),0.0)</f>
        <v>0</v>
      </c>
      <c r="E157" s="1" t="s">
        <v>11</v>
      </c>
      <c r="F157" s="1" t="s">
        <v>20</v>
      </c>
      <c r="G157" s="4" t="b">
        <f t="shared" si="2"/>
        <v>1</v>
      </c>
      <c r="H157" s="1" t="str">
        <f t="shared" si="3"/>
        <v>Currently Unavailable</v>
      </c>
      <c r="I157" s="1" t="str">
        <f t="shared" si="4"/>
        <v>No Badges</v>
      </c>
      <c r="J157" s="3">
        <f t="shared" si="5"/>
        <v>0</v>
      </c>
    </row>
    <row r="158">
      <c r="A158" s="1" t="s">
        <v>154</v>
      </c>
      <c r="B158" s="3" t="str">
        <f t="shared" si="1"/>
        <v>Unavailable</v>
      </c>
      <c r="C158" s="3">
        <v>3.0</v>
      </c>
      <c r="D158" s="3">
        <f>IFERROR(__xludf.DUMMYFUNCTION("IFERROR(
IF(REGEXMATCH(LOWER(O158),""k""),
VALUE(REGEXEXTRACT(O158,""[0-9]+""))*1000,
VALUE(REGEXEXTRACT(O158,""[0-9]+""))
),
0
)"),0.0)</f>
        <v>0</v>
      </c>
      <c r="E158" s="1" t="s">
        <v>11</v>
      </c>
      <c r="F158" s="1" t="s">
        <v>20</v>
      </c>
      <c r="G158" s="4" t="b">
        <f t="shared" si="2"/>
        <v>1</v>
      </c>
      <c r="H158" s="1" t="str">
        <f t="shared" si="3"/>
        <v>Currently Unavailable</v>
      </c>
      <c r="I158" s="1" t="str">
        <f t="shared" si="4"/>
        <v>No Badges</v>
      </c>
      <c r="J158" s="3">
        <f t="shared" si="5"/>
        <v>0</v>
      </c>
    </row>
    <row r="159">
      <c r="A159" s="1" t="s">
        <v>155</v>
      </c>
      <c r="B159" s="3" t="str">
        <f t="shared" si="1"/>
        <v>Unavailable</v>
      </c>
      <c r="C159" s="5">
        <v>1631.0</v>
      </c>
      <c r="D159" s="3">
        <f>IFERROR(__xludf.DUMMYFUNCTION("IFERROR(
IF(REGEXMATCH(LOWER(O159),""k""),
VALUE(REGEXEXTRACT(O159,""[0-9]+""))*1000,
VALUE(REGEXEXTRACT(O159,""[0-9]+""))
),
0
)"),0.0)</f>
        <v>0</v>
      </c>
      <c r="E159" s="1" t="s">
        <v>11</v>
      </c>
      <c r="F159" s="1" t="s">
        <v>20</v>
      </c>
      <c r="G159" s="4" t="b">
        <f t="shared" si="2"/>
        <v>1</v>
      </c>
      <c r="H159" s="1" t="str">
        <f t="shared" si="3"/>
        <v>Currently Unavailable</v>
      </c>
      <c r="I159" s="1" t="str">
        <f t="shared" si="4"/>
        <v>No Badges</v>
      </c>
      <c r="J159" s="3">
        <f t="shared" si="5"/>
        <v>0</v>
      </c>
    </row>
    <row r="160">
      <c r="A160" s="1" t="s">
        <v>156</v>
      </c>
      <c r="B160" s="3" t="str">
        <f t="shared" si="1"/>
        <v>Unavailable</v>
      </c>
      <c r="C160" s="3">
        <v>113.0</v>
      </c>
      <c r="D160" s="3">
        <f>IFERROR(__xludf.DUMMYFUNCTION("IFERROR(
IF(REGEXMATCH(LOWER(O160),""k""),
VALUE(REGEXEXTRACT(O160,""[0-9]+""))*1000,
VALUE(REGEXEXTRACT(O160,""[0-9]+""))
),
0
)"),0.0)</f>
        <v>0</v>
      </c>
      <c r="E160" s="1" t="s">
        <v>11</v>
      </c>
      <c r="F160" s="1" t="s">
        <v>20</v>
      </c>
      <c r="G160" s="4" t="b">
        <f t="shared" si="2"/>
        <v>1</v>
      </c>
      <c r="H160" s="1" t="str">
        <f t="shared" si="3"/>
        <v>Currently Unavailable</v>
      </c>
      <c r="I160" s="1" t="str">
        <f t="shared" si="4"/>
        <v>No Badges</v>
      </c>
      <c r="J160" s="3">
        <f t="shared" si="5"/>
        <v>0</v>
      </c>
    </row>
    <row r="161">
      <c r="A161" s="1" t="s">
        <v>157</v>
      </c>
      <c r="B161" s="3" t="str">
        <f t="shared" si="1"/>
        <v>Unavailable</v>
      </c>
      <c r="C161" s="5">
        <v>9318.0</v>
      </c>
      <c r="D161" s="3">
        <f>IFERROR(__xludf.DUMMYFUNCTION("IFERROR(
IF(REGEXMATCH(LOWER(O161),""k""),
VALUE(REGEXEXTRACT(O161,""[0-9]+""))*1000,
VALUE(REGEXEXTRACT(O161,""[0-9]+""))
),
0
)"),0.0)</f>
        <v>0</v>
      </c>
      <c r="E161" s="1" t="s">
        <v>158</v>
      </c>
      <c r="F161" s="1" t="s">
        <v>20</v>
      </c>
      <c r="G161" s="4" t="b">
        <f t="shared" si="2"/>
        <v>1</v>
      </c>
      <c r="H161" s="1" t="str">
        <f t="shared" si="3"/>
        <v>Currently Unavailable</v>
      </c>
      <c r="I161" s="1" t="str">
        <f t="shared" si="4"/>
        <v>No Badges</v>
      </c>
      <c r="J161" s="3">
        <f t="shared" si="5"/>
        <v>0</v>
      </c>
    </row>
    <row r="162">
      <c r="A162" s="1" t="s">
        <v>159</v>
      </c>
      <c r="B162" s="3" t="str">
        <f t="shared" si="1"/>
        <v>Unavailable</v>
      </c>
      <c r="C162" s="3">
        <v>198.0</v>
      </c>
      <c r="D162" s="3">
        <f>IFERROR(__xludf.DUMMYFUNCTION("IFERROR(
IF(REGEXMATCH(LOWER(O162),""k""),
VALUE(REGEXEXTRACT(O162,""[0-9]+""))*1000,
VALUE(REGEXEXTRACT(O162,""[0-9]+""))
),
0
)"),0.0)</f>
        <v>0</v>
      </c>
      <c r="E162" s="1" t="s">
        <v>11</v>
      </c>
      <c r="F162" s="1" t="s">
        <v>20</v>
      </c>
      <c r="G162" s="4" t="b">
        <f t="shared" si="2"/>
        <v>1</v>
      </c>
      <c r="H162" s="1" t="str">
        <f t="shared" si="3"/>
        <v>Currently Unavailable</v>
      </c>
      <c r="I162" s="1" t="str">
        <f t="shared" si="4"/>
        <v>No Badges</v>
      </c>
      <c r="J162" s="3">
        <f t="shared" si="5"/>
        <v>0</v>
      </c>
    </row>
    <row r="163">
      <c r="A163" s="1" t="s">
        <v>160</v>
      </c>
      <c r="B163" s="3" t="str">
        <f t="shared" si="1"/>
        <v>Unavailable</v>
      </c>
      <c r="C163" s="5">
        <v>1344.0</v>
      </c>
      <c r="D163" s="3">
        <f>IFERROR(__xludf.DUMMYFUNCTION("IFERROR(
IF(REGEXMATCH(LOWER(O163),""k""),
VALUE(REGEXEXTRACT(O163,""[0-9]+""))*1000,
VALUE(REGEXEXTRACT(O163,""[0-9]+""))
),
0
)"),0.0)</f>
        <v>0</v>
      </c>
      <c r="E163" s="1" t="s">
        <v>11</v>
      </c>
      <c r="F163" s="1" t="s">
        <v>20</v>
      </c>
      <c r="G163" s="4" t="b">
        <f t="shared" si="2"/>
        <v>1</v>
      </c>
      <c r="H163" s="1" t="str">
        <f t="shared" si="3"/>
        <v>Currently Unavailable</v>
      </c>
      <c r="I163" s="1" t="str">
        <f t="shared" si="4"/>
        <v>No Badges</v>
      </c>
      <c r="J163" s="3">
        <f t="shared" si="5"/>
        <v>0</v>
      </c>
    </row>
    <row r="164">
      <c r="A164" s="1" t="s">
        <v>161</v>
      </c>
      <c r="B164" s="3" t="str">
        <f t="shared" si="1"/>
        <v>Unavailable</v>
      </c>
      <c r="C164" s="3">
        <v>133.0</v>
      </c>
      <c r="D164" s="3">
        <f>IFERROR(__xludf.DUMMYFUNCTION("IFERROR(
IF(REGEXMATCH(LOWER(O164),""k""),
VALUE(REGEXEXTRACT(O164,""[0-9]+""))*1000,
VALUE(REGEXEXTRACT(O164,""[0-9]+""))
),
0
)"),0.0)</f>
        <v>0</v>
      </c>
      <c r="E164" s="1" t="s">
        <v>11</v>
      </c>
      <c r="F164" s="1" t="s">
        <v>20</v>
      </c>
      <c r="G164" s="4" t="b">
        <f t="shared" si="2"/>
        <v>1</v>
      </c>
      <c r="H164" s="1" t="str">
        <f t="shared" si="3"/>
        <v>Currently Unavailable</v>
      </c>
      <c r="I164" s="1" t="str">
        <f t="shared" si="4"/>
        <v>No Badges</v>
      </c>
      <c r="J164" s="3">
        <f t="shared" si="5"/>
        <v>0</v>
      </c>
    </row>
    <row r="165">
      <c r="A165" s="1" t="s">
        <v>162</v>
      </c>
      <c r="B165" s="3" t="str">
        <f t="shared" si="1"/>
        <v>Unavailable</v>
      </c>
      <c r="C165" s="3">
        <v>90.0</v>
      </c>
      <c r="D165" s="3">
        <f>IFERROR(__xludf.DUMMYFUNCTION("IFERROR(
IF(REGEXMATCH(LOWER(O165),""k""),
VALUE(REGEXEXTRACT(O165,""[0-9]+""))*1000,
VALUE(REGEXEXTRACT(O165,""[0-9]+""))
),
0
)"),0.0)</f>
        <v>0</v>
      </c>
      <c r="E165" s="1" t="s">
        <v>11</v>
      </c>
      <c r="F165" s="1" t="s">
        <v>20</v>
      </c>
      <c r="G165" s="4" t="b">
        <f t="shared" si="2"/>
        <v>1</v>
      </c>
      <c r="H165" s="1" t="str">
        <f t="shared" si="3"/>
        <v>Currently Unavailable</v>
      </c>
      <c r="I165" s="1" t="str">
        <f t="shared" si="4"/>
        <v>No Badges</v>
      </c>
      <c r="J165" s="3">
        <f t="shared" si="5"/>
        <v>0</v>
      </c>
    </row>
    <row r="166">
      <c r="A166" s="1" t="s">
        <v>163</v>
      </c>
      <c r="B166" s="3" t="str">
        <f t="shared" si="1"/>
        <v>Unavailable</v>
      </c>
      <c r="C166" s="3">
        <v>119.0</v>
      </c>
      <c r="D166" s="3">
        <f>IFERROR(__xludf.DUMMYFUNCTION("IFERROR(
IF(REGEXMATCH(LOWER(O166),""k""),
VALUE(REGEXEXTRACT(O166,""[0-9]+""))*1000,
VALUE(REGEXEXTRACT(O166,""[0-9]+""))
),
0
)"),0.0)</f>
        <v>0</v>
      </c>
      <c r="E166" s="1" t="s">
        <v>11</v>
      </c>
      <c r="F166" s="1" t="s">
        <v>20</v>
      </c>
      <c r="G166" s="4" t="b">
        <f t="shared" si="2"/>
        <v>1</v>
      </c>
      <c r="H166" s="1" t="str">
        <f t="shared" si="3"/>
        <v>Currently Unavailable</v>
      </c>
      <c r="I166" s="1" t="str">
        <f t="shared" si="4"/>
        <v>No Badges</v>
      </c>
      <c r="J166" s="3">
        <f t="shared" si="5"/>
        <v>0</v>
      </c>
    </row>
    <row r="167">
      <c r="A167" s="1" t="s">
        <v>164</v>
      </c>
      <c r="B167" s="3" t="str">
        <f t="shared" si="1"/>
        <v>Unavailable</v>
      </c>
      <c r="C167" s="3">
        <v>96.0</v>
      </c>
      <c r="D167" s="3">
        <f>IFERROR(__xludf.DUMMYFUNCTION("IFERROR(
IF(REGEXMATCH(LOWER(O167),""k""),
VALUE(REGEXEXTRACT(O167,""[0-9]+""))*1000,
VALUE(REGEXEXTRACT(O167,""[0-9]+""))
),
0
)"),0.0)</f>
        <v>0</v>
      </c>
      <c r="E167" s="1" t="s">
        <v>11</v>
      </c>
      <c r="F167" s="1" t="s">
        <v>20</v>
      </c>
      <c r="G167" s="4" t="b">
        <f t="shared" si="2"/>
        <v>1</v>
      </c>
      <c r="H167" s="1" t="str">
        <f t="shared" si="3"/>
        <v>Currently Unavailable</v>
      </c>
      <c r="I167" s="1" t="str">
        <f t="shared" si="4"/>
        <v>No Badges</v>
      </c>
      <c r="J167" s="3">
        <f t="shared" si="5"/>
        <v>0</v>
      </c>
    </row>
    <row r="168">
      <c r="A168" s="1" t="s">
        <v>165</v>
      </c>
      <c r="B168" s="3" t="str">
        <f t="shared" si="1"/>
        <v>Unavailable</v>
      </c>
      <c r="C168" s="3">
        <v>1.0</v>
      </c>
      <c r="D168" s="3">
        <f>IFERROR(__xludf.DUMMYFUNCTION("IFERROR(
IF(REGEXMATCH(LOWER(O168),""k""),
VALUE(REGEXEXTRACT(O168,""[0-9]+""))*1000,
VALUE(REGEXEXTRACT(O168,""[0-9]+""))
),
0
)"),0.0)</f>
        <v>0</v>
      </c>
      <c r="E168" s="1" t="s">
        <v>11</v>
      </c>
      <c r="F168" s="1" t="s">
        <v>20</v>
      </c>
      <c r="G168" s="4" t="b">
        <f t="shared" si="2"/>
        <v>1</v>
      </c>
      <c r="H168" s="1" t="str">
        <f t="shared" si="3"/>
        <v>Currently Unavailable</v>
      </c>
      <c r="I168" s="1" t="str">
        <f t="shared" si="4"/>
        <v>No Badges</v>
      </c>
      <c r="J168" s="3">
        <f t="shared" si="5"/>
        <v>0</v>
      </c>
    </row>
    <row r="169">
      <c r="A169" s="1" t="s">
        <v>166</v>
      </c>
      <c r="B169" s="3" t="str">
        <f t="shared" si="1"/>
        <v>Unavailable</v>
      </c>
      <c r="C169" s="3">
        <v>15.0</v>
      </c>
      <c r="D169" s="3">
        <f>IFERROR(__xludf.DUMMYFUNCTION("IFERROR(
IF(REGEXMATCH(LOWER(O169),""k""),
VALUE(REGEXEXTRACT(O169,""[0-9]+""))*1000,
VALUE(REGEXEXTRACT(O169,""[0-9]+""))
),
0
)"),0.0)</f>
        <v>0</v>
      </c>
      <c r="E169" s="1" t="s">
        <v>11</v>
      </c>
      <c r="F169" s="1" t="s">
        <v>20</v>
      </c>
      <c r="G169" s="4" t="b">
        <f t="shared" si="2"/>
        <v>1</v>
      </c>
      <c r="H169" s="1" t="str">
        <f t="shared" si="3"/>
        <v>Currently Unavailable</v>
      </c>
      <c r="I169" s="1" t="str">
        <f t="shared" si="4"/>
        <v>No Badges</v>
      </c>
      <c r="J169" s="3">
        <f t="shared" si="5"/>
        <v>0</v>
      </c>
    </row>
    <row r="170">
      <c r="A170" s="1" t="s">
        <v>167</v>
      </c>
      <c r="B170" s="3" t="str">
        <f t="shared" si="1"/>
        <v>Unavailable</v>
      </c>
      <c r="C170" s="3">
        <v>125.0</v>
      </c>
      <c r="D170" s="3">
        <f>IFERROR(__xludf.DUMMYFUNCTION("IFERROR(
IF(REGEXMATCH(LOWER(O170),""k""),
VALUE(REGEXEXTRACT(O170,""[0-9]+""))*1000,
VALUE(REGEXEXTRACT(O170,""[0-9]+""))
),
0
)"),0.0)</f>
        <v>0</v>
      </c>
      <c r="E170" s="1" t="s">
        <v>11</v>
      </c>
      <c r="F170" s="1" t="s">
        <v>20</v>
      </c>
      <c r="G170" s="4" t="b">
        <f t="shared" si="2"/>
        <v>1</v>
      </c>
      <c r="H170" s="1" t="str">
        <f t="shared" si="3"/>
        <v>Currently Unavailable</v>
      </c>
      <c r="I170" s="1" t="str">
        <f t="shared" si="4"/>
        <v>No Badges</v>
      </c>
      <c r="J170" s="3">
        <f t="shared" si="5"/>
        <v>0</v>
      </c>
    </row>
    <row r="171">
      <c r="A171" s="1" t="s">
        <v>168</v>
      </c>
      <c r="B171" s="3" t="str">
        <f t="shared" si="1"/>
        <v>Unavailable</v>
      </c>
      <c r="C171" s="5">
        <v>2338.0</v>
      </c>
      <c r="D171" s="3">
        <f>IFERROR(__xludf.DUMMYFUNCTION("IFERROR(
IF(REGEXMATCH(LOWER(O171),""k""),
VALUE(REGEXEXTRACT(O171,""[0-9]+""))*1000,
VALUE(REGEXEXTRACT(O171,""[0-9]+""))
),
0
)"),0.0)</f>
        <v>0</v>
      </c>
      <c r="E171" s="1" t="s">
        <v>11</v>
      </c>
      <c r="F171" s="1" t="s">
        <v>20</v>
      </c>
      <c r="G171" s="4" t="b">
        <f t="shared" si="2"/>
        <v>1</v>
      </c>
      <c r="H171" s="1" t="str">
        <f t="shared" si="3"/>
        <v>Currently Unavailable</v>
      </c>
      <c r="I171" s="1" t="str">
        <f t="shared" si="4"/>
        <v>No Badges</v>
      </c>
      <c r="J171" s="3">
        <f t="shared" si="5"/>
        <v>0</v>
      </c>
    </row>
    <row r="172">
      <c r="A172" s="1" t="s">
        <v>169</v>
      </c>
      <c r="B172" s="3" t="str">
        <f t="shared" si="1"/>
        <v>Unavailable</v>
      </c>
      <c r="C172" s="3">
        <v>206.0</v>
      </c>
      <c r="D172" s="3">
        <f>IFERROR(__xludf.DUMMYFUNCTION("IFERROR(
IF(REGEXMATCH(LOWER(O172),""k""),
VALUE(REGEXEXTRACT(O172,""[0-9]+""))*1000,
VALUE(REGEXEXTRACT(O172,""[0-9]+""))
),
0
)"),0.0)</f>
        <v>0</v>
      </c>
      <c r="E172" s="1" t="s">
        <v>11</v>
      </c>
      <c r="F172" s="1" t="s">
        <v>20</v>
      </c>
      <c r="G172" s="4" t="b">
        <f t="shared" si="2"/>
        <v>1</v>
      </c>
      <c r="H172" s="1" t="str">
        <f t="shared" si="3"/>
        <v>Currently Unavailable</v>
      </c>
      <c r="I172" s="1" t="str">
        <f t="shared" si="4"/>
        <v>No Badges</v>
      </c>
      <c r="J172" s="3">
        <f t="shared" si="5"/>
        <v>0</v>
      </c>
    </row>
    <row r="173">
      <c r="A173" s="1" t="s">
        <v>170</v>
      </c>
      <c r="B173" s="3" t="str">
        <f t="shared" si="1"/>
        <v>Unavailable</v>
      </c>
      <c r="C173" s="3">
        <v>836.0</v>
      </c>
      <c r="D173" s="3">
        <f>IFERROR(__xludf.DUMMYFUNCTION("IFERROR(
IF(REGEXMATCH(LOWER(O173),""k""),
VALUE(REGEXEXTRACT(O173,""[0-9]+""))*1000,
VALUE(REGEXEXTRACT(O173,""[0-9]+""))
),
0
)"),0.0)</f>
        <v>0</v>
      </c>
      <c r="E173" s="1" t="s">
        <v>11</v>
      </c>
      <c r="F173" s="1" t="s">
        <v>20</v>
      </c>
      <c r="G173" s="4" t="b">
        <f t="shared" si="2"/>
        <v>1</v>
      </c>
      <c r="H173" s="1" t="str">
        <f t="shared" si="3"/>
        <v>Currently Unavailable</v>
      </c>
      <c r="I173" s="1" t="str">
        <f t="shared" si="4"/>
        <v>No Badges</v>
      </c>
      <c r="J173" s="3">
        <f t="shared" si="5"/>
        <v>0</v>
      </c>
    </row>
    <row r="174">
      <c r="A174" s="1" t="s">
        <v>171</v>
      </c>
      <c r="B174" s="3" t="str">
        <f t="shared" si="1"/>
        <v>Unavailable</v>
      </c>
      <c r="C174" s="3">
        <v>394.0</v>
      </c>
      <c r="D174" s="3">
        <f>IFERROR(__xludf.DUMMYFUNCTION("IFERROR(
IF(REGEXMATCH(LOWER(O174),""k""),
VALUE(REGEXEXTRACT(O174,""[0-9]+""))*1000,
VALUE(REGEXEXTRACT(O174,""[0-9]+""))
),
0
)"),0.0)</f>
        <v>0</v>
      </c>
      <c r="E174" s="1" t="s">
        <v>11</v>
      </c>
      <c r="F174" s="1" t="s">
        <v>20</v>
      </c>
      <c r="G174" s="4" t="b">
        <f t="shared" si="2"/>
        <v>1</v>
      </c>
      <c r="H174" s="1" t="str">
        <f t="shared" si="3"/>
        <v>Currently Unavailable</v>
      </c>
      <c r="I174" s="1" t="str">
        <f t="shared" si="4"/>
        <v>No Badges</v>
      </c>
      <c r="J174" s="3">
        <f t="shared" si="5"/>
        <v>0</v>
      </c>
    </row>
    <row r="175">
      <c r="A175" s="1" t="s">
        <v>67</v>
      </c>
      <c r="B175" s="3" t="str">
        <f t="shared" si="1"/>
        <v>Unavailable</v>
      </c>
      <c r="C175" s="3">
        <v>264.0</v>
      </c>
      <c r="D175" s="3">
        <f>IFERROR(__xludf.DUMMYFUNCTION("IFERROR(
IF(REGEXMATCH(LOWER(O175),""k""),
VALUE(REGEXEXTRACT(O175,""[0-9]+""))*1000,
VALUE(REGEXEXTRACT(O175,""[0-9]+""))
),
0
)"),0.0)</f>
        <v>0</v>
      </c>
      <c r="E175" s="1" t="s">
        <v>11</v>
      </c>
      <c r="F175" s="1" t="s">
        <v>12</v>
      </c>
      <c r="G175" s="4" t="b">
        <f t="shared" si="2"/>
        <v>1</v>
      </c>
      <c r="H175" s="1" t="str">
        <f t="shared" si="3"/>
        <v>Currently Unavailable</v>
      </c>
      <c r="I175" s="1" t="str">
        <f t="shared" si="4"/>
        <v>No Badges</v>
      </c>
      <c r="J175" s="3">
        <f t="shared" si="5"/>
        <v>0</v>
      </c>
    </row>
    <row r="176">
      <c r="A176" s="1" t="s">
        <v>172</v>
      </c>
      <c r="B176" s="3" t="str">
        <f t="shared" si="1"/>
        <v>Unavailable</v>
      </c>
      <c r="C176" s="3">
        <v>609.0</v>
      </c>
      <c r="D176" s="3">
        <f>IFERROR(__xludf.DUMMYFUNCTION("IFERROR(
IF(REGEXMATCH(LOWER(O176),""k""),
VALUE(REGEXEXTRACT(O176,""[0-9]+""))*1000,
VALUE(REGEXEXTRACT(O176,""[0-9]+""))
),
0
)"),0.0)</f>
        <v>0</v>
      </c>
      <c r="E176" s="1" t="s">
        <v>11</v>
      </c>
      <c r="F176" s="1" t="s">
        <v>20</v>
      </c>
      <c r="G176" s="4" t="b">
        <f t="shared" si="2"/>
        <v>1</v>
      </c>
      <c r="H176" s="1" t="str">
        <f t="shared" si="3"/>
        <v>Currently Unavailable</v>
      </c>
      <c r="I176" s="1" t="str">
        <f t="shared" si="4"/>
        <v>No Badges</v>
      </c>
      <c r="J176" s="3">
        <f t="shared" si="5"/>
        <v>0</v>
      </c>
    </row>
    <row r="177">
      <c r="A177" s="1" t="s">
        <v>173</v>
      </c>
      <c r="B177" s="3" t="str">
        <f t="shared" si="1"/>
        <v>Unavailable</v>
      </c>
      <c r="C177" s="5">
        <v>2233.0</v>
      </c>
      <c r="D177" s="3">
        <f>IFERROR(__xludf.DUMMYFUNCTION("IFERROR(
IF(REGEXMATCH(LOWER(O177),""k""),
VALUE(REGEXEXTRACT(O177,""[0-9]+""))*1000,
VALUE(REGEXEXTRACT(O177,""[0-9]+""))
),
0
)"),0.0)</f>
        <v>0</v>
      </c>
      <c r="E177" s="1" t="s">
        <v>11</v>
      </c>
      <c r="F177" s="1" t="s">
        <v>20</v>
      </c>
      <c r="G177" s="4" t="b">
        <f t="shared" si="2"/>
        <v>1</v>
      </c>
      <c r="H177" s="1" t="str">
        <f t="shared" si="3"/>
        <v>Currently Unavailable</v>
      </c>
      <c r="I177" s="1" t="str">
        <f t="shared" si="4"/>
        <v>No Badges</v>
      </c>
      <c r="J177" s="3">
        <f t="shared" si="5"/>
        <v>0</v>
      </c>
    </row>
    <row r="178">
      <c r="A178" s="1" t="s">
        <v>174</v>
      </c>
      <c r="B178" s="3" t="str">
        <f t="shared" si="1"/>
        <v>Unavailable</v>
      </c>
      <c r="C178" s="3">
        <v>16.0</v>
      </c>
      <c r="D178" s="3">
        <f>IFERROR(__xludf.DUMMYFUNCTION("IFERROR(
IF(REGEXMATCH(LOWER(O178),""k""),
VALUE(REGEXEXTRACT(O178,""[0-9]+""))*1000,
VALUE(REGEXEXTRACT(O178,""[0-9]+""))
),
0
)"),0.0)</f>
        <v>0</v>
      </c>
      <c r="E178" s="1" t="s">
        <v>11</v>
      </c>
      <c r="F178" s="1" t="s">
        <v>20</v>
      </c>
      <c r="G178" s="4" t="b">
        <f t="shared" si="2"/>
        <v>1</v>
      </c>
      <c r="H178" s="1" t="str">
        <f t="shared" si="3"/>
        <v>Currently Unavailable</v>
      </c>
      <c r="I178" s="1" t="str">
        <f t="shared" si="4"/>
        <v>No Badges</v>
      </c>
      <c r="J178" s="3">
        <f t="shared" si="5"/>
        <v>0</v>
      </c>
    </row>
    <row r="179">
      <c r="A179" s="1" t="s">
        <v>175</v>
      </c>
      <c r="B179" s="3" t="str">
        <f t="shared" si="1"/>
        <v>Unavailable</v>
      </c>
      <c r="C179" s="3">
        <v>12.0</v>
      </c>
      <c r="D179" s="3">
        <f>IFERROR(__xludf.DUMMYFUNCTION("IFERROR(
IF(REGEXMATCH(LOWER(O179),""k""),
VALUE(REGEXEXTRACT(O179,""[0-9]+""))*1000,
VALUE(REGEXEXTRACT(O179,""[0-9]+""))
),
0
)"),0.0)</f>
        <v>0</v>
      </c>
      <c r="E179" s="1" t="s">
        <v>11</v>
      </c>
      <c r="F179" s="1" t="s">
        <v>20</v>
      </c>
      <c r="G179" s="4" t="b">
        <f t="shared" si="2"/>
        <v>1</v>
      </c>
      <c r="H179" s="1" t="str">
        <f t="shared" si="3"/>
        <v>Currently Unavailable</v>
      </c>
      <c r="I179" s="1" t="str">
        <f t="shared" si="4"/>
        <v>No Badges</v>
      </c>
      <c r="J179" s="3">
        <f t="shared" si="5"/>
        <v>0</v>
      </c>
    </row>
    <row r="180">
      <c r="A180" s="1" t="s">
        <v>176</v>
      </c>
      <c r="B180" s="3" t="str">
        <f t="shared" si="1"/>
        <v>Unavailable</v>
      </c>
      <c r="C180" s="3">
        <v>2.0</v>
      </c>
      <c r="D180" s="3">
        <f>IFERROR(__xludf.DUMMYFUNCTION("IFERROR(
IF(REGEXMATCH(LOWER(O180),""k""),
VALUE(REGEXEXTRACT(O180,""[0-9]+""))*1000,
VALUE(REGEXEXTRACT(O180,""[0-9]+""))
),
0
)"),0.0)</f>
        <v>0</v>
      </c>
      <c r="E180" s="1" t="s">
        <v>11</v>
      </c>
      <c r="F180" s="1" t="s">
        <v>20</v>
      </c>
      <c r="G180" s="4" t="b">
        <f t="shared" si="2"/>
        <v>1</v>
      </c>
      <c r="H180" s="1" t="str">
        <f t="shared" si="3"/>
        <v>Currently Unavailable</v>
      </c>
      <c r="I180" s="1" t="str">
        <f t="shared" si="4"/>
        <v>No Badges</v>
      </c>
      <c r="J180" s="3">
        <f t="shared" si="5"/>
        <v>0</v>
      </c>
    </row>
    <row r="181">
      <c r="A181" s="1" t="s">
        <v>177</v>
      </c>
      <c r="B181" s="3" t="str">
        <f t="shared" si="1"/>
        <v>Unavailable</v>
      </c>
      <c r="C181" s="3">
        <v>407.0</v>
      </c>
      <c r="D181" s="3">
        <f>IFERROR(__xludf.DUMMYFUNCTION("IFERROR(
IF(REGEXMATCH(LOWER(O181),""k""),
VALUE(REGEXEXTRACT(O181,""[0-9]+""))*1000,
VALUE(REGEXEXTRACT(O181,""[0-9]+""))
),
0
)"),0.0)</f>
        <v>0</v>
      </c>
      <c r="E181" s="1" t="s">
        <v>11</v>
      </c>
      <c r="F181" s="1" t="s">
        <v>20</v>
      </c>
      <c r="G181" s="4" t="b">
        <f t="shared" si="2"/>
        <v>1</v>
      </c>
      <c r="H181" s="1" t="str">
        <f t="shared" si="3"/>
        <v>Currently Unavailable</v>
      </c>
      <c r="I181" s="1" t="str">
        <f t="shared" si="4"/>
        <v>No Badges</v>
      </c>
      <c r="J181" s="3">
        <f t="shared" si="5"/>
        <v>0</v>
      </c>
    </row>
    <row r="182">
      <c r="A182" s="1" t="s">
        <v>130</v>
      </c>
      <c r="B182" s="3" t="str">
        <f t="shared" si="1"/>
        <v>Unavailable</v>
      </c>
      <c r="C182" s="3">
        <v>661.0</v>
      </c>
      <c r="D182" s="3">
        <f>IFERROR(__xludf.DUMMYFUNCTION("IFERROR(
IF(REGEXMATCH(LOWER(O182),""k""),
VALUE(REGEXEXTRACT(O182,""[0-9]+""))*1000,
VALUE(REGEXEXTRACT(O182,""[0-9]+""))
),
0
)"),0.0)</f>
        <v>0</v>
      </c>
      <c r="E182" s="1" t="s">
        <v>11</v>
      </c>
      <c r="F182" s="1" t="s">
        <v>20</v>
      </c>
      <c r="G182" s="4" t="b">
        <f t="shared" si="2"/>
        <v>1</v>
      </c>
      <c r="H182" s="1" t="str">
        <f t="shared" si="3"/>
        <v>Currently Unavailable</v>
      </c>
      <c r="I182" s="1" t="str">
        <f t="shared" si="4"/>
        <v>No Badges</v>
      </c>
      <c r="J182" s="3">
        <f t="shared" si="5"/>
        <v>0</v>
      </c>
    </row>
    <row r="183">
      <c r="A183" s="1" t="s">
        <v>178</v>
      </c>
      <c r="B183" s="3" t="str">
        <f t="shared" si="1"/>
        <v>Unavailable</v>
      </c>
      <c r="C183" s="3">
        <v>41.0</v>
      </c>
      <c r="D183" s="3">
        <f>IFERROR(__xludf.DUMMYFUNCTION("IFERROR(
IF(REGEXMATCH(LOWER(O183),""k""),
VALUE(REGEXEXTRACT(O183,""[0-9]+""))*1000,
VALUE(REGEXEXTRACT(O183,""[0-9]+""))
),
0
)"),0.0)</f>
        <v>0</v>
      </c>
      <c r="E183" s="1" t="s">
        <v>11</v>
      </c>
      <c r="F183" s="1" t="s">
        <v>20</v>
      </c>
      <c r="G183" s="4" t="b">
        <f t="shared" si="2"/>
        <v>1</v>
      </c>
      <c r="H183" s="1" t="str">
        <f t="shared" si="3"/>
        <v>Currently Unavailable</v>
      </c>
      <c r="I183" s="1" t="str">
        <f t="shared" si="4"/>
        <v>No Badges</v>
      </c>
      <c r="J183" s="3">
        <f t="shared" si="5"/>
        <v>0</v>
      </c>
    </row>
    <row r="184">
      <c r="A184" s="1" t="s">
        <v>179</v>
      </c>
      <c r="B184" s="3" t="str">
        <f t="shared" si="1"/>
        <v>Unavailable</v>
      </c>
      <c r="C184" s="3">
        <v>54.0</v>
      </c>
      <c r="D184" s="3">
        <f>IFERROR(__xludf.DUMMYFUNCTION("IFERROR(
IF(REGEXMATCH(LOWER(O184),""k""),
VALUE(REGEXEXTRACT(O184,""[0-9]+""))*1000,
VALUE(REGEXEXTRACT(O184,""[0-9]+""))
),
0
)"),0.0)</f>
        <v>0</v>
      </c>
      <c r="E184" s="1" t="s">
        <v>11</v>
      </c>
      <c r="F184" s="1" t="s">
        <v>20</v>
      </c>
      <c r="G184" s="4" t="b">
        <f t="shared" si="2"/>
        <v>1</v>
      </c>
      <c r="H184" s="1" t="str">
        <f t="shared" si="3"/>
        <v>Currently Unavailable</v>
      </c>
      <c r="I184" s="1" t="str">
        <f t="shared" si="4"/>
        <v>No Badges</v>
      </c>
      <c r="J184" s="3">
        <f t="shared" si="5"/>
        <v>0</v>
      </c>
    </row>
    <row r="185">
      <c r="A185" s="1" t="s">
        <v>180</v>
      </c>
      <c r="B185" s="3" t="str">
        <f t="shared" si="1"/>
        <v>Unavailable</v>
      </c>
      <c r="C185" s="3">
        <v>349.0</v>
      </c>
      <c r="D185" s="3">
        <f>IFERROR(__xludf.DUMMYFUNCTION("IFERROR(
IF(REGEXMATCH(LOWER(O185),""k""),
VALUE(REGEXEXTRACT(O185,""[0-9]+""))*1000,
VALUE(REGEXEXTRACT(O185,""[0-9]+""))
),
0
)"),0.0)</f>
        <v>0</v>
      </c>
      <c r="E185" s="1" t="s">
        <v>11</v>
      </c>
      <c r="F185" s="1" t="s">
        <v>20</v>
      </c>
      <c r="G185" s="4" t="b">
        <f t="shared" si="2"/>
        <v>1</v>
      </c>
      <c r="H185" s="1" t="str">
        <f t="shared" si="3"/>
        <v>Currently Unavailable</v>
      </c>
      <c r="I185" s="1" t="str">
        <f t="shared" si="4"/>
        <v>No Badges</v>
      </c>
      <c r="J185" s="3">
        <f t="shared" si="5"/>
        <v>0</v>
      </c>
    </row>
    <row r="186">
      <c r="A186" s="1" t="s">
        <v>181</v>
      </c>
      <c r="B186" s="3" t="str">
        <f t="shared" si="1"/>
        <v>Unavailable</v>
      </c>
      <c r="C186" s="3">
        <v>100.0</v>
      </c>
      <c r="D186" s="3">
        <f>IFERROR(__xludf.DUMMYFUNCTION("IFERROR(
IF(REGEXMATCH(LOWER(O186),""k""),
VALUE(REGEXEXTRACT(O186,""[0-9]+""))*1000,
VALUE(REGEXEXTRACT(O186,""[0-9]+""))
),
0
)"),0.0)</f>
        <v>0</v>
      </c>
      <c r="E186" s="1" t="s">
        <v>11</v>
      </c>
      <c r="F186" s="1" t="s">
        <v>20</v>
      </c>
      <c r="G186" s="4" t="b">
        <f t="shared" si="2"/>
        <v>1</v>
      </c>
      <c r="H186" s="1" t="str">
        <f t="shared" si="3"/>
        <v>Currently Unavailable</v>
      </c>
      <c r="I186" s="1" t="str">
        <f t="shared" si="4"/>
        <v>No Badges</v>
      </c>
      <c r="J186" s="3">
        <f t="shared" si="5"/>
        <v>0</v>
      </c>
    </row>
    <row r="187">
      <c r="A187" s="1" t="s">
        <v>182</v>
      </c>
      <c r="B187" s="3" t="str">
        <f t="shared" si="1"/>
        <v>Unavailable</v>
      </c>
      <c r="C187" s="3">
        <v>137.0</v>
      </c>
      <c r="D187" s="3">
        <f>IFERROR(__xludf.DUMMYFUNCTION("IFERROR(
IF(REGEXMATCH(LOWER(O187),""k""),
VALUE(REGEXEXTRACT(O187,""[0-9]+""))*1000,
VALUE(REGEXEXTRACT(O187,""[0-9]+""))
),
0
)"),0.0)</f>
        <v>0</v>
      </c>
      <c r="E187" s="1" t="s">
        <v>11</v>
      </c>
      <c r="F187" s="1" t="s">
        <v>20</v>
      </c>
      <c r="G187" s="4" t="b">
        <f t="shared" si="2"/>
        <v>1</v>
      </c>
      <c r="H187" s="1" t="str">
        <f t="shared" si="3"/>
        <v>Currently Unavailable</v>
      </c>
      <c r="I187" s="1" t="str">
        <f t="shared" si="4"/>
        <v>No Badges</v>
      </c>
      <c r="J187" s="3">
        <f t="shared" si="5"/>
        <v>0</v>
      </c>
    </row>
    <row r="188">
      <c r="A188" s="1" t="s">
        <v>183</v>
      </c>
      <c r="B188" s="3" t="str">
        <f t="shared" si="1"/>
        <v>Unavailable</v>
      </c>
      <c r="C188" s="3">
        <v>99.0</v>
      </c>
      <c r="D188" s="3">
        <f>IFERROR(__xludf.DUMMYFUNCTION("IFERROR(
IF(REGEXMATCH(LOWER(O188),""k""),
VALUE(REGEXEXTRACT(O188,""[0-9]+""))*1000,
VALUE(REGEXEXTRACT(O188,""[0-9]+""))
),
0
)"),0.0)</f>
        <v>0</v>
      </c>
      <c r="E188" s="1" t="s">
        <v>11</v>
      </c>
      <c r="F188" s="1" t="s">
        <v>20</v>
      </c>
      <c r="G188" s="4" t="b">
        <f t="shared" si="2"/>
        <v>1</v>
      </c>
      <c r="H188" s="1" t="str">
        <f t="shared" si="3"/>
        <v>Currently Unavailable</v>
      </c>
      <c r="I188" s="1" t="str">
        <f t="shared" si="4"/>
        <v>No Badges</v>
      </c>
      <c r="J188" s="3">
        <f t="shared" si="5"/>
        <v>0</v>
      </c>
    </row>
    <row r="189">
      <c r="A189" s="1" t="s">
        <v>69</v>
      </c>
      <c r="B189" s="3" t="str">
        <f t="shared" si="1"/>
        <v>Unavailable</v>
      </c>
      <c r="C189" s="3">
        <v>45.0</v>
      </c>
      <c r="D189" s="3">
        <f>IFERROR(__xludf.DUMMYFUNCTION("IFERROR(
IF(REGEXMATCH(LOWER(O189),""k""),
VALUE(REGEXEXTRACT(O189,""[0-9]+""))*1000,
VALUE(REGEXEXTRACT(O189,""[0-9]+""))
),
0
)"),0.0)</f>
        <v>0</v>
      </c>
      <c r="E189" s="1" t="s">
        <v>11</v>
      </c>
      <c r="F189" s="1" t="s">
        <v>12</v>
      </c>
      <c r="G189" s="4" t="b">
        <f t="shared" si="2"/>
        <v>1</v>
      </c>
      <c r="H189" s="1" t="str">
        <f t="shared" si="3"/>
        <v>Currently Unavailable</v>
      </c>
      <c r="I189" s="1" t="str">
        <f t="shared" si="4"/>
        <v>No Badges</v>
      </c>
      <c r="J189" s="3">
        <f t="shared" si="5"/>
        <v>0</v>
      </c>
    </row>
    <row r="190">
      <c r="A190" s="1" t="s">
        <v>184</v>
      </c>
      <c r="B190" s="3" t="str">
        <f t="shared" si="1"/>
        <v>Unavailable</v>
      </c>
      <c r="C190" s="3">
        <v>16.0</v>
      </c>
      <c r="D190" s="3">
        <f>IFERROR(__xludf.DUMMYFUNCTION("IFERROR(
IF(REGEXMATCH(LOWER(O190),""k""),
VALUE(REGEXEXTRACT(O190,""[0-9]+""))*1000,
VALUE(REGEXEXTRACT(O190,""[0-9]+""))
),
0
)"),0.0)</f>
        <v>0</v>
      </c>
      <c r="E190" s="1" t="s">
        <v>11</v>
      </c>
      <c r="F190" s="1" t="s">
        <v>20</v>
      </c>
      <c r="G190" s="4" t="b">
        <f t="shared" si="2"/>
        <v>1</v>
      </c>
      <c r="H190" s="1" t="str">
        <f t="shared" si="3"/>
        <v>Currently Unavailable</v>
      </c>
      <c r="I190" s="1" t="str">
        <f t="shared" si="4"/>
        <v>No Badges</v>
      </c>
      <c r="J190" s="3">
        <f t="shared" si="5"/>
        <v>0</v>
      </c>
    </row>
    <row r="191">
      <c r="A191" s="1" t="s">
        <v>185</v>
      </c>
      <c r="B191" s="3" t="str">
        <f t="shared" si="1"/>
        <v>Unavailable</v>
      </c>
      <c r="C191" s="3">
        <v>1.0</v>
      </c>
      <c r="D191" s="3">
        <f>IFERROR(__xludf.DUMMYFUNCTION("IFERROR(
IF(REGEXMATCH(LOWER(O191),""k""),
VALUE(REGEXEXTRACT(O191,""[0-9]+""))*1000,
VALUE(REGEXEXTRACT(O191,""[0-9]+""))
),
0
)"),0.0)</f>
        <v>0</v>
      </c>
      <c r="E191" s="1" t="s">
        <v>11</v>
      </c>
      <c r="F191" s="1" t="s">
        <v>20</v>
      </c>
      <c r="G191" s="4" t="b">
        <f t="shared" si="2"/>
        <v>1</v>
      </c>
      <c r="H191" s="1" t="str">
        <f t="shared" si="3"/>
        <v>Currently Unavailable</v>
      </c>
      <c r="I191" s="1" t="str">
        <f t="shared" si="4"/>
        <v>No Badges</v>
      </c>
      <c r="J191" s="3">
        <f t="shared" si="5"/>
        <v>0</v>
      </c>
    </row>
    <row r="192">
      <c r="A192" s="1" t="s">
        <v>186</v>
      </c>
      <c r="B192" s="3" t="str">
        <f t="shared" si="1"/>
        <v>Unavailable</v>
      </c>
      <c r="C192" s="3">
        <v>218.0</v>
      </c>
      <c r="D192" s="3">
        <f>IFERROR(__xludf.DUMMYFUNCTION("IFERROR(
IF(REGEXMATCH(LOWER(O192),""k""),
VALUE(REGEXEXTRACT(O192,""[0-9]+""))*1000,
VALUE(REGEXEXTRACT(O192,""[0-9]+""))
),
0
)"),0.0)</f>
        <v>0</v>
      </c>
      <c r="E192" s="1" t="s">
        <v>11</v>
      </c>
      <c r="F192" s="1" t="s">
        <v>20</v>
      </c>
      <c r="G192" s="4" t="b">
        <f t="shared" si="2"/>
        <v>1</v>
      </c>
      <c r="H192" s="1" t="str">
        <f t="shared" si="3"/>
        <v>Currently Unavailable</v>
      </c>
      <c r="I192" s="1" t="str">
        <f t="shared" si="4"/>
        <v>No Badges</v>
      </c>
      <c r="J192" s="3">
        <f t="shared" si="5"/>
        <v>0</v>
      </c>
    </row>
    <row r="193">
      <c r="A193" s="1" t="s">
        <v>187</v>
      </c>
      <c r="B193" s="3" t="str">
        <f t="shared" si="1"/>
        <v>Unavailable</v>
      </c>
      <c r="C193" s="3">
        <v>239.0</v>
      </c>
      <c r="D193" s="3">
        <f>IFERROR(__xludf.DUMMYFUNCTION("IFERROR(
IF(REGEXMATCH(LOWER(O193),""k""),
VALUE(REGEXEXTRACT(O193,""[0-9]+""))*1000,
VALUE(REGEXEXTRACT(O193,""[0-9]+""))
),
0
)"),0.0)</f>
        <v>0</v>
      </c>
      <c r="E193" s="1" t="s">
        <v>11</v>
      </c>
      <c r="F193" s="1" t="s">
        <v>20</v>
      </c>
      <c r="G193" s="4" t="b">
        <f t="shared" si="2"/>
        <v>1</v>
      </c>
      <c r="H193" s="1" t="str">
        <f t="shared" si="3"/>
        <v>Currently Unavailable</v>
      </c>
      <c r="I193" s="1" t="str">
        <f t="shared" si="4"/>
        <v>No Badges</v>
      </c>
      <c r="J193" s="3">
        <f t="shared" si="5"/>
        <v>0</v>
      </c>
    </row>
    <row r="194">
      <c r="A194" s="1" t="s">
        <v>188</v>
      </c>
      <c r="B194" s="3" t="str">
        <f t="shared" si="1"/>
        <v>Unavailable</v>
      </c>
      <c r="C194" s="5">
        <v>1586.0</v>
      </c>
      <c r="D194" s="3">
        <f>IFERROR(__xludf.DUMMYFUNCTION("IFERROR(
IF(REGEXMATCH(LOWER(O194),""k""),
VALUE(REGEXEXTRACT(O194,""[0-9]+""))*1000,
VALUE(REGEXEXTRACT(O194,""[0-9]+""))
),
0
)"),0.0)</f>
        <v>0</v>
      </c>
      <c r="E194" s="1" t="s">
        <v>11</v>
      </c>
      <c r="F194" s="1" t="s">
        <v>20</v>
      </c>
      <c r="G194" s="4" t="b">
        <f t="shared" si="2"/>
        <v>1</v>
      </c>
      <c r="H194" s="1" t="str">
        <f t="shared" si="3"/>
        <v>Currently Unavailable</v>
      </c>
      <c r="I194" s="1" t="str">
        <f t="shared" si="4"/>
        <v>No Badges</v>
      </c>
      <c r="J194" s="3">
        <f t="shared" si="5"/>
        <v>0</v>
      </c>
    </row>
    <row r="195">
      <c r="A195" s="1" t="s">
        <v>189</v>
      </c>
      <c r="B195" s="3" t="str">
        <f t="shared" si="1"/>
        <v>Unavailable</v>
      </c>
      <c r="C195" s="3">
        <v>23.0</v>
      </c>
      <c r="D195" s="3">
        <f>IFERROR(__xludf.DUMMYFUNCTION("IFERROR(
IF(REGEXMATCH(LOWER(O195),""k""),
VALUE(REGEXEXTRACT(O195,""[0-9]+""))*1000,
VALUE(REGEXEXTRACT(O195,""[0-9]+""))
),
0
)"),0.0)</f>
        <v>0</v>
      </c>
      <c r="E195" s="1" t="s">
        <v>11</v>
      </c>
      <c r="F195" s="1" t="s">
        <v>20</v>
      </c>
      <c r="G195" s="4" t="b">
        <f t="shared" si="2"/>
        <v>1</v>
      </c>
      <c r="H195" s="1" t="str">
        <f t="shared" si="3"/>
        <v>Currently Unavailable</v>
      </c>
      <c r="I195" s="1" t="str">
        <f t="shared" si="4"/>
        <v>No Badges</v>
      </c>
      <c r="J195" s="3">
        <f t="shared" si="5"/>
        <v>0</v>
      </c>
    </row>
    <row r="196">
      <c r="A196" s="1" t="s">
        <v>190</v>
      </c>
      <c r="B196" s="3" t="str">
        <f t="shared" si="1"/>
        <v>Unavailable</v>
      </c>
      <c r="C196" s="3">
        <v>397.0</v>
      </c>
      <c r="D196" s="3">
        <f>IFERROR(__xludf.DUMMYFUNCTION("IFERROR(
IF(REGEXMATCH(LOWER(O196),""k""),
VALUE(REGEXEXTRACT(O196,""[0-9]+""))*1000,
VALUE(REGEXEXTRACT(O196,""[0-9]+""))
),
0
)"),0.0)</f>
        <v>0</v>
      </c>
      <c r="E196" s="1" t="s">
        <v>11</v>
      </c>
      <c r="F196" s="1" t="s">
        <v>20</v>
      </c>
      <c r="G196" s="4" t="b">
        <f t="shared" si="2"/>
        <v>1</v>
      </c>
      <c r="H196" s="1" t="str">
        <f t="shared" si="3"/>
        <v>Currently Unavailable</v>
      </c>
      <c r="I196" s="1" t="str">
        <f t="shared" si="4"/>
        <v>No Badges</v>
      </c>
      <c r="J196" s="3">
        <f t="shared" si="5"/>
        <v>0</v>
      </c>
    </row>
    <row r="197">
      <c r="A197" s="1" t="s">
        <v>191</v>
      </c>
      <c r="B197" s="3" t="str">
        <f t="shared" si="1"/>
        <v>Unavailable</v>
      </c>
      <c r="C197" s="3">
        <v>27.0</v>
      </c>
      <c r="D197" s="3">
        <f>IFERROR(__xludf.DUMMYFUNCTION("IFERROR(
IF(REGEXMATCH(LOWER(O197),""k""),
VALUE(REGEXEXTRACT(O197,""[0-9]+""))*1000,
VALUE(REGEXEXTRACT(O197,""[0-9]+""))
),
0
)"),0.0)</f>
        <v>0</v>
      </c>
      <c r="E197" s="1" t="s">
        <v>11</v>
      </c>
      <c r="F197" s="1" t="s">
        <v>20</v>
      </c>
      <c r="G197" s="4" t="b">
        <f t="shared" si="2"/>
        <v>1</v>
      </c>
      <c r="H197" s="1" t="str">
        <f t="shared" si="3"/>
        <v>Currently Unavailable</v>
      </c>
      <c r="I197" s="1" t="str">
        <f t="shared" si="4"/>
        <v>No Badges</v>
      </c>
      <c r="J197" s="3">
        <f t="shared" si="5"/>
        <v>0</v>
      </c>
    </row>
    <row r="198">
      <c r="A198" s="1" t="s">
        <v>192</v>
      </c>
      <c r="B198" s="3" t="str">
        <f t="shared" si="1"/>
        <v>Unavailable</v>
      </c>
      <c r="C198" s="3">
        <v>411.0</v>
      </c>
      <c r="D198" s="3">
        <f>IFERROR(__xludf.DUMMYFUNCTION("IFERROR(
IF(REGEXMATCH(LOWER(O198),""k""),
VALUE(REGEXEXTRACT(O198,""[0-9]+""))*1000,
VALUE(REGEXEXTRACT(O198,""[0-9]+""))
),
0
)"),0.0)</f>
        <v>0</v>
      </c>
      <c r="E198" s="1" t="s">
        <v>11</v>
      </c>
      <c r="F198" s="1" t="s">
        <v>20</v>
      </c>
      <c r="G198" s="4" t="b">
        <f t="shared" si="2"/>
        <v>1</v>
      </c>
      <c r="H198" s="1" t="str">
        <f t="shared" si="3"/>
        <v>Currently Unavailable</v>
      </c>
      <c r="I198" s="1" t="str">
        <f t="shared" si="4"/>
        <v>No Badges</v>
      </c>
      <c r="J198" s="3">
        <f t="shared" si="5"/>
        <v>0</v>
      </c>
    </row>
    <row r="199">
      <c r="A199" s="1" t="s">
        <v>193</v>
      </c>
      <c r="B199" s="3" t="str">
        <f t="shared" si="1"/>
        <v>Unavailable</v>
      </c>
      <c r="C199" s="5">
        <v>2943.0</v>
      </c>
      <c r="D199" s="3">
        <f>IFERROR(__xludf.DUMMYFUNCTION("IFERROR(
IF(REGEXMATCH(LOWER(O199),""k""),
VALUE(REGEXEXTRACT(O199,""[0-9]+""))*1000,
VALUE(REGEXEXTRACT(O199,""[0-9]+""))
),
0
)"),0.0)</f>
        <v>0</v>
      </c>
      <c r="E199" s="1" t="s">
        <v>11</v>
      </c>
      <c r="F199" s="1" t="s">
        <v>20</v>
      </c>
      <c r="G199" s="4" t="b">
        <f t="shared" si="2"/>
        <v>1</v>
      </c>
      <c r="H199" s="1" t="str">
        <f t="shared" si="3"/>
        <v>Currently Unavailable</v>
      </c>
      <c r="I199" s="1" t="str">
        <f t="shared" si="4"/>
        <v>No Badges</v>
      </c>
      <c r="J199" s="3">
        <f t="shared" si="5"/>
        <v>0</v>
      </c>
    </row>
    <row r="200">
      <c r="A200" s="1" t="s">
        <v>194</v>
      </c>
      <c r="B200" s="3" t="str">
        <f t="shared" si="1"/>
        <v>Unavailable</v>
      </c>
      <c r="C200" s="3">
        <v>244.0</v>
      </c>
      <c r="D200" s="3">
        <f>IFERROR(__xludf.DUMMYFUNCTION("IFERROR(
IF(REGEXMATCH(LOWER(O200),""k""),
VALUE(REGEXEXTRACT(O200,""[0-9]+""))*1000,
VALUE(REGEXEXTRACT(O200,""[0-9]+""))
),
0
)"),0.0)</f>
        <v>0</v>
      </c>
      <c r="E200" s="1" t="s">
        <v>11</v>
      </c>
      <c r="F200" s="1" t="s">
        <v>20</v>
      </c>
      <c r="G200" s="4" t="b">
        <f t="shared" si="2"/>
        <v>1</v>
      </c>
      <c r="H200" s="1" t="str">
        <f t="shared" si="3"/>
        <v>Currently Unavailable</v>
      </c>
      <c r="I200" s="1" t="str">
        <f t="shared" si="4"/>
        <v>No Badges</v>
      </c>
      <c r="J200" s="3">
        <f t="shared" si="5"/>
        <v>0</v>
      </c>
    </row>
    <row r="201">
      <c r="A201" s="1" t="s">
        <v>195</v>
      </c>
      <c r="B201" s="3" t="str">
        <f t="shared" si="1"/>
        <v>Unavailable</v>
      </c>
      <c r="C201" s="3">
        <v>24.0</v>
      </c>
      <c r="D201" s="3">
        <f>IFERROR(__xludf.DUMMYFUNCTION("IFERROR(
IF(REGEXMATCH(LOWER(O201),""k""),
VALUE(REGEXEXTRACT(O201,""[0-9]+""))*1000,
VALUE(REGEXEXTRACT(O201,""[0-9]+""))
),
0
)"),0.0)</f>
        <v>0</v>
      </c>
      <c r="E201" s="1" t="s">
        <v>11</v>
      </c>
      <c r="F201" s="1" t="s">
        <v>20</v>
      </c>
      <c r="G201" s="4" t="b">
        <f t="shared" si="2"/>
        <v>1</v>
      </c>
      <c r="H201" s="1" t="str">
        <f t="shared" si="3"/>
        <v>Currently Unavailable</v>
      </c>
      <c r="I201" s="1" t="str">
        <f t="shared" si="4"/>
        <v>No Badges</v>
      </c>
      <c r="J201" s="3">
        <f t="shared" si="5"/>
        <v>0</v>
      </c>
    </row>
    <row r="202">
      <c r="A202" s="1" t="s">
        <v>196</v>
      </c>
      <c r="B202" s="3" t="str">
        <f t="shared" si="1"/>
        <v>Unavailable</v>
      </c>
      <c r="C202" s="3">
        <v>140.0</v>
      </c>
      <c r="D202" s="3">
        <f>IFERROR(__xludf.DUMMYFUNCTION("IFERROR(
IF(REGEXMATCH(LOWER(O202),""k""),
VALUE(REGEXEXTRACT(O202,""[0-9]+""))*1000,
VALUE(REGEXEXTRACT(O202,""[0-9]+""))
),
0
)"),0.0)</f>
        <v>0</v>
      </c>
      <c r="E202" s="1" t="s">
        <v>11</v>
      </c>
      <c r="F202" s="1" t="s">
        <v>20</v>
      </c>
      <c r="G202" s="4" t="b">
        <f t="shared" si="2"/>
        <v>1</v>
      </c>
      <c r="H202" s="1" t="str">
        <f t="shared" si="3"/>
        <v>Currently Unavailable</v>
      </c>
      <c r="I202" s="1" t="str">
        <f t="shared" si="4"/>
        <v>No Badges</v>
      </c>
      <c r="J202" s="3">
        <f t="shared" si="5"/>
        <v>0</v>
      </c>
    </row>
    <row r="203">
      <c r="A203" s="1" t="s">
        <v>197</v>
      </c>
      <c r="B203" s="3" t="str">
        <f t="shared" si="1"/>
        <v>Unavailable</v>
      </c>
      <c r="C203" s="3">
        <v>14.0</v>
      </c>
      <c r="D203" s="3">
        <f>IFERROR(__xludf.DUMMYFUNCTION("IFERROR(
IF(REGEXMATCH(LOWER(O203),""k""),
VALUE(REGEXEXTRACT(O203,""[0-9]+""))*1000,
VALUE(REGEXEXTRACT(O203,""[0-9]+""))
),
0
)"),0.0)</f>
        <v>0</v>
      </c>
      <c r="E203" s="1" t="s">
        <v>11</v>
      </c>
      <c r="F203" s="1" t="s">
        <v>12</v>
      </c>
      <c r="G203" s="4" t="b">
        <f t="shared" si="2"/>
        <v>1</v>
      </c>
      <c r="H203" s="1" t="str">
        <f t="shared" si="3"/>
        <v>Currently Unavailable</v>
      </c>
      <c r="I203" s="1" t="str">
        <f t="shared" si="4"/>
        <v>No Badges</v>
      </c>
      <c r="J203" s="3">
        <f t="shared" si="5"/>
        <v>0</v>
      </c>
    </row>
    <row r="204">
      <c r="A204" s="1" t="s">
        <v>143</v>
      </c>
      <c r="B204" s="3" t="str">
        <f t="shared" si="1"/>
        <v>Unavailable</v>
      </c>
      <c r="C204" s="3">
        <v>63.0</v>
      </c>
      <c r="D204" s="3">
        <f>IFERROR(__xludf.DUMMYFUNCTION("IFERROR(
IF(REGEXMATCH(LOWER(O204),""k""),
VALUE(REGEXEXTRACT(O204,""[0-9]+""))*1000,
VALUE(REGEXEXTRACT(O204,""[0-9]+""))
),
0
)"),0.0)</f>
        <v>0</v>
      </c>
      <c r="E204" s="1" t="s">
        <v>11</v>
      </c>
      <c r="F204" s="1" t="s">
        <v>12</v>
      </c>
      <c r="G204" s="4" t="b">
        <f t="shared" si="2"/>
        <v>1</v>
      </c>
      <c r="H204" s="1" t="str">
        <f t="shared" si="3"/>
        <v>Currently Unavailable</v>
      </c>
      <c r="I204" s="1" t="str">
        <f t="shared" si="4"/>
        <v>No Badges</v>
      </c>
      <c r="J204" s="3">
        <f t="shared" si="5"/>
        <v>0</v>
      </c>
    </row>
    <row r="205">
      <c r="A205" s="1" t="s">
        <v>40</v>
      </c>
      <c r="B205" s="3" t="str">
        <f t="shared" si="1"/>
        <v>Unavailable</v>
      </c>
      <c r="C205" s="3">
        <v>171.0</v>
      </c>
      <c r="D205" s="3">
        <f>IFERROR(__xludf.DUMMYFUNCTION("IFERROR(
IF(REGEXMATCH(LOWER(O205),""k""),
VALUE(REGEXEXTRACT(O205,""[0-9]+""))*1000,
VALUE(REGEXEXTRACT(O205,""[0-9]+""))
),
0
)"),0.0)</f>
        <v>0</v>
      </c>
      <c r="E205" s="1" t="s">
        <v>11</v>
      </c>
      <c r="F205" s="1" t="s">
        <v>12</v>
      </c>
      <c r="G205" s="4" t="b">
        <f t="shared" si="2"/>
        <v>1</v>
      </c>
      <c r="H205" s="1" t="str">
        <f t="shared" si="3"/>
        <v>Currently Unavailable</v>
      </c>
      <c r="I205" s="1" t="str">
        <f t="shared" si="4"/>
        <v>No Badges</v>
      </c>
      <c r="J205" s="3">
        <f t="shared" si="5"/>
        <v>0</v>
      </c>
    </row>
    <row r="206">
      <c r="A206" s="1" t="s">
        <v>67</v>
      </c>
      <c r="B206" s="3" t="str">
        <f t="shared" si="1"/>
        <v>Unavailable</v>
      </c>
      <c r="C206" s="3">
        <v>264.0</v>
      </c>
      <c r="D206" s="3">
        <f>IFERROR(__xludf.DUMMYFUNCTION("IFERROR(
IF(REGEXMATCH(LOWER(O206),""k""),
VALUE(REGEXEXTRACT(O206,""[0-9]+""))*1000,
VALUE(REGEXEXTRACT(O206,""[0-9]+""))
),
0
)"),0.0)</f>
        <v>0</v>
      </c>
      <c r="E206" s="1" t="s">
        <v>11</v>
      </c>
      <c r="F206" s="1" t="s">
        <v>12</v>
      </c>
      <c r="G206" s="4" t="b">
        <f t="shared" si="2"/>
        <v>1</v>
      </c>
      <c r="H206" s="1" t="str">
        <f t="shared" si="3"/>
        <v>Currently Unavailable</v>
      </c>
      <c r="I206" s="1" t="str">
        <f t="shared" si="4"/>
        <v>No Badges</v>
      </c>
      <c r="J206" s="3">
        <f t="shared" si="5"/>
        <v>0</v>
      </c>
    </row>
    <row r="207">
      <c r="A207" s="1" t="s">
        <v>198</v>
      </c>
      <c r="B207" s="3" t="str">
        <f t="shared" si="1"/>
        <v>Unavailable</v>
      </c>
      <c r="C207" s="3">
        <v>163.0</v>
      </c>
      <c r="D207" s="3">
        <f>IFERROR(__xludf.DUMMYFUNCTION("IFERROR(
IF(REGEXMATCH(LOWER(O207),""k""),
VALUE(REGEXEXTRACT(O207,""[0-9]+""))*1000,
VALUE(REGEXEXTRACT(O207,""[0-9]+""))
),
0
)"),0.0)</f>
        <v>0</v>
      </c>
      <c r="E207" s="1" t="s">
        <v>11</v>
      </c>
      <c r="F207" s="1" t="s">
        <v>20</v>
      </c>
      <c r="G207" s="4" t="b">
        <f t="shared" si="2"/>
        <v>1</v>
      </c>
      <c r="H207" s="1" t="str">
        <f t="shared" si="3"/>
        <v>Currently Unavailable</v>
      </c>
      <c r="I207" s="1" t="str">
        <f t="shared" si="4"/>
        <v>No Badges</v>
      </c>
      <c r="J207" s="3">
        <f t="shared" si="5"/>
        <v>0</v>
      </c>
    </row>
    <row r="208">
      <c r="A208" s="1" t="s">
        <v>69</v>
      </c>
      <c r="B208" s="3" t="str">
        <f t="shared" si="1"/>
        <v>Unavailable</v>
      </c>
      <c r="C208" s="3">
        <v>45.0</v>
      </c>
      <c r="D208" s="3">
        <f>IFERROR(__xludf.DUMMYFUNCTION("IFERROR(
IF(REGEXMATCH(LOWER(O208),""k""),
VALUE(REGEXEXTRACT(O208,""[0-9]+""))*1000,
VALUE(REGEXEXTRACT(O208,""[0-9]+""))
),
0
)"),0.0)</f>
        <v>0</v>
      </c>
      <c r="E208" s="1" t="s">
        <v>11</v>
      </c>
      <c r="F208" s="1" t="s">
        <v>12</v>
      </c>
      <c r="G208" s="4" t="b">
        <f t="shared" si="2"/>
        <v>1</v>
      </c>
      <c r="H208" s="1" t="str">
        <f t="shared" si="3"/>
        <v>Currently Unavailable</v>
      </c>
      <c r="I208" s="1" t="str">
        <f t="shared" si="4"/>
        <v>No Badges</v>
      </c>
      <c r="J208" s="3">
        <f t="shared" si="5"/>
        <v>0</v>
      </c>
    </row>
    <row r="209">
      <c r="A209" s="1" t="s">
        <v>199</v>
      </c>
      <c r="B209" s="3" t="str">
        <f t="shared" si="1"/>
        <v>Unavailable</v>
      </c>
      <c r="C209" s="3">
        <v>293.0</v>
      </c>
      <c r="D209" s="3">
        <f>IFERROR(__xludf.DUMMYFUNCTION("IFERROR(
IF(REGEXMATCH(LOWER(O209),""k""),
VALUE(REGEXEXTRACT(O209,""[0-9]+""))*1000,
VALUE(REGEXEXTRACT(O209,""[0-9]+""))
),
0
)"),0.0)</f>
        <v>0</v>
      </c>
      <c r="E209" s="1" t="s">
        <v>11</v>
      </c>
      <c r="F209" s="1" t="s">
        <v>20</v>
      </c>
      <c r="G209" s="4" t="b">
        <f t="shared" si="2"/>
        <v>1</v>
      </c>
      <c r="H209" s="1" t="str">
        <f t="shared" si="3"/>
        <v>Currently Unavailable</v>
      </c>
      <c r="I209" s="1" t="str">
        <f t="shared" si="4"/>
        <v>No Badges</v>
      </c>
      <c r="J209" s="3">
        <f t="shared" si="5"/>
        <v>0</v>
      </c>
    </row>
    <row r="210">
      <c r="A210" s="1" t="s">
        <v>200</v>
      </c>
      <c r="B210" s="3" t="str">
        <f t="shared" si="1"/>
        <v>Unavailable</v>
      </c>
      <c r="C210" s="3">
        <v>10.0</v>
      </c>
      <c r="D210" s="3">
        <f>IFERROR(__xludf.DUMMYFUNCTION("IFERROR(
IF(REGEXMATCH(LOWER(O210),""k""),
VALUE(REGEXEXTRACT(O210,""[0-9]+""))*1000,
VALUE(REGEXEXTRACT(O210,""[0-9]+""))
),
0
)"),0.0)</f>
        <v>0</v>
      </c>
      <c r="E210" s="1" t="s">
        <v>11</v>
      </c>
      <c r="F210" s="1" t="s">
        <v>20</v>
      </c>
      <c r="G210" s="4" t="b">
        <f t="shared" si="2"/>
        <v>1</v>
      </c>
      <c r="H210" s="1" t="str">
        <f t="shared" si="3"/>
        <v>Currently Unavailable</v>
      </c>
      <c r="I210" s="1" t="str">
        <f t="shared" si="4"/>
        <v>No Badges</v>
      </c>
      <c r="J210" s="3">
        <f t="shared" si="5"/>
        <v>0</v>
      </c>
    </row>
    <row r="211">
      <c r="A211" s="1" t="s">
        <v>201</v>
      </c>
      <c r="B211" s="3" t="str">
        <f t="shared" si="1"/>
        <v>Unavailable</v>
      </c>
      <c r="C211" s="3">
        <v>336.0</v>
      </c>
      <c r="D211" s="3">
        <f>IFERROR(__xludf.DUMMYFUNCTION("IFERROR(
IF(REGEXMATCH(LOWER(O211),""k""),
VALUE(REGEXEXTRACT(O211,""[0-9]+""))*1000,
VALUE(REGEXEXTRACT(O211,""[0-9]+""))
),
0
)"),0.0)</f>
        <v>0</v>
      </c>
      <c r="E211" s="1" t="s">
        <v>11</v>
      </c>
      <c r="F211" s="1" t="s">
        <v>20</v>
      </c>
      <c r="G211" s="4" t="b">
        <f t="shared" si="2"/>
        <v>1</v>
      </c>
      <c r="H211" s="1" t="str">
        <f t="shared" si="3"/>
        <v>Currently Unavailable</v>
      </c>
      <c r="I211" s="1" t="str">
        <f t="shared" si="4"/>
        <v>No Badges</v>
      </c>
      <c r="J211" s="3">
        <f t="shared" si="5"/>
        <v>0</v>
      </c>
    </row>
    <row r="212">
      <c r="A212" s="1" t="s">
        <v>202</v>
      </c>
      <c r="B212" s="3" t="str">
        <f t="shared" si="1"/>
        <v>Unavailable</v>
      </c>
      <c r="C212" s="3">
        <v>906.0</v>
      </c>
      <c r="D212" s="3">
        <f>IFERROR(__xludf.DUMMYFUNCTION("IFERROR(
IF(REGEXMATCH(LOWER(O212),""k""),
VALUE(REGEXEXTRACT(O212,""[0-9]+""))*1000,
VALUE(REGEXEXTRACT(O212,""[0-9]+""))
),
0
)"),0.0)</f>
        <v>0</v>
      </c>
      <c r="E212" s="1" t="s">
        <v>11</v>
      </c>
      <c r="F212" s="1" t="s">
        <v>20</v>
      </c>
      <c r="G212" s="4" t="b">
        <f t="shared" si="2"/>
        <v>1</v>
      </c>
      <c r="H212" s="1" t="str">
        <f t="shared" si="3"/>
        <v>Currently Unavailable</v>
      </c>
      <c r="I212" s="1" t="str">
        <f t="shared" si="4"/>
        <v>No Badges</v>
      </c>
      <c r="J212" s="3">
        <f t="shared" si="5"/>
        <v>0</v>
      </c>
    </row>
    <row r="213">
      <c r="A213" s="1" t="s">
        <v>203</v>
      </c>
      <c r="B213" s="3" t="str">
        <f t="shared" si="1"/>
        <v>Unavailable</v>
      </c>
      <c r="C213" s="3">
        <v>350.0</v>
      </c>
      <c r="D213" s="3">
        <f>IFERROR(__xludf.DUMMYFUNCTION("IFERROR(
IF(REGEXMATCH(LOWER(O213),""k""),
VALUE(REGEXEXTRACT(O213,""[0-9]+""))*1000,
VALUE(REGEXEXTRACT(O213,""[0-9]+""))
),
0
)"),0.0)</f>
        <v>0</v>
      </c>
      <c r="E213" s="1" t="s">
        <v>11</v>
      </c>
      <c r="F213" s="1" t="s">
        <v>20</v>
      </c>
      <c r="G213" s="4" t="b">
        <f t="shared" si="2"/>
        <v>1</v>
      </c>
      <c r="H213" s="1" t="str">
        <f t="shared" si="3"/>
        <v>Currently Unavailable</v>
      </c>
      <c r="I213" s="1" t="str">
        <f t="shared" si="4"/>
        <v>No Badges</v>
      </c>
      <c r="J213" s="3">
        <f t="shared" si="5"/>
        <v>0</v>
      </c>
    </row>
    <row r="214">
      <c r="A214" s="1" t="s">
        <v>204</v>
      </c>
      <c r="B214" s="3" t="str">
        <f t="shared" si="1"/>
        <v>Unavailable</v>
      </c>
      <c r="C214" s="3">
        <v>544.0</v>
      </c>
      <c r="D214" s="3">
        <f>IFERROR(__xludf.DUMMYFUNCTION("IFERROR(
IF(REGEXMATCH(LOWER(O214),""k""),
VALUE(REGEXEXTRACT(O214,""[0-9]+""))*1000,
VALUE(REGEXEXTRACT(O214,""[0-9]+""))
),
0
)"),0.0)</f>
        <v>0</v>
      </c>
      <c r="E214" s="1" t="s">
        <v>11</v>
      </c>
      <c r="F214" s="1" t="s">
        <v>20</v>
      </c>
      <c r="G214" s="4" t="b">
        <f t="shared" si="2"/>
        <v>1</v>
      </c>
      <c r="H214" s="1" t="str">
        <f t="shared" si="3"/>
        <v>Currently Unavailable</v>
      </c>
      <c r="I214" s="1" t="str">
        <f t="shared" si="4"/>
        <v>No Badges</v>
      </c>
      <c r="J214" s="3">
        <f t="shared" si="5"/>
        <v>0</v>
      </c>
    </row>
    <row r="215">
      <c r="A215" s="1" t="s">
        <v>205</v>
      </c>
      <c r="B215" s="3" t="str">
        <f t="shared" si="1"/>
        <v>Unavailable</v>
      </c>
      <c r="C215" s="3">
        <v>198.0</v>
      </c>
      <c r="D215" s="3">
        <f>IFERROR(__xludf.DUMMYFUNCTION("IFERROR(
IF(REGEXMATCH(LOWER(O215),""k""),
VALUE(REGEXEXTRACT(O215,""[0-9]+""))*1000,
VALUE(REGEXEXTRACT(O215,""[0-9]+""))
),
0
)"),0.0)</f>
        <v>0</v>
      </c>
      <c r="E215" s="1" t="s">
        <v>11</v>
      </c>
      <c r="F215" s="1" t="s">
        <v>20</v>
      </c>
      <c r="G215" s="4" t="b">
        <f t="shared" si="2"/>
        <v>1</v>
      </c>
      <c r="H215" s="1" t="str">
        <f t="shared" si="3"/>
        <v>Currently Unavailable</v>
      </c>
      <c r="I215" s="1" t="str">
        <f t="shared" si="4"/>
        <v>No Badges</v>
      </c>
      <c r="J215" s="3">
        <f t="shared" si="5"/>
        <v>0</v>
      </c>
    </row>
    <row r="216">
      <c r="A216" s="1" t="s">
        <v>206</v>
      </c>
      <c r="B216" s="3" t="str">
        <f t="shared" si="1"/>
        <v>Unavailable</v>
      </c>
      <c r="C216" s="5">
        <v>8053.0</v>
      </c>
      <c r="D216" s="3">
        <f>IFERROR(__xludf.DUMMYFUNCTION("IFERROR(
IF(REGEXMATCH(LOWER(O216),""k""),
VALUE(REGEXEXTRACT(O216,""[0-9]+""))*1000,
VALUE(REGEXEXTRACT(O216,""[0-9]+""))
),
0
)"),0.0)</f>
        <v>0</v>
      </c>
      <c r="E216" s="1" t="s">
        <v>11</v>
      </c>
      <c r="F216" s="1" t="s">
        <v>20</v>
      </c>
      <c r="G216" s="4" t="b">
        <f t="shared" si="2"/>
        <v>1</v>
      </c>
      <c r="H216" s="1" t="str">
        <f t="shared" si="3"/>
        <v>Currently Unavailable</v>
      </c>
      <c r="I216" s="1" t="str">
        <f t="shared" si="4"/>
        <v>No Badges</v>
      </c>
      <c r="J216" s="3">
        <f t="shared" si="5"/>
        <v>0</v>
      </c>
    </row>
    <row r="217">
      <c r="A217" s="1" t="s">
        <v>207</v>
      </c>
      <c r="B217" s="3" t="str">
        <f t="shared" si="1"/>
        <v>Unavailable</v>
      </c>
      <c r="C217" s="3">
        <v>170.0</v>
      </c>
      <c r="D217" s="3">
        <f>IFERROR(__xludf.DUMMYFUNCTION("IFERROR(
IF(REGEXMATCH(LOWER(O217),""k""),
VALUE(REGEXEXTRACT(O217,""[0-9]+""))*1000,
VALUE(REGEXEXTRACT(O217,""[0-9]+""))
),
0
)"),0.0)</f>
        <v>0</v>
      </c>
      <c r="E217" s="1" t="s">
        <v>11</v>
      </c>
      <c r="F217" s="1" t="s">
        <v>20</v>
      </c>
      <c r="G217" s="4" t="b">
        <f t="shared" si="2"/>
        <v>1</v>
      </c>
      <c r="H217" s="1" t="str">
        <f t="shared" si="3"/>
        <v>Currently Unavailable</v>
      </c>
      <c r="I217" s="1" t="str">
        <f t="shared" si="4"/>
        <v>No Badges</v>
      </c>
      <c r="J217" s="3">
        <f t="shared" si="5"/>
        <v>0</v>
      </c>
    </row>
    <row r="218">
      <c r="A218" s="1" t="s">
        <v>208</v>
      </c>
      <c r="B218" s="3" t="str">
        <f t="shared" si="1"/>
        <v>Unavailable</v>
      </c>
      <c r="C218" s="3">
        <v>29.0</v>
      </c>
      <c r="D218" s="3">
        <f>IFERROR(__xludf.DUMMYFUNCTION("IFERROR(
IF(REGEXMATCH(LOWER(O218),""k""),
VALUE(REGEXEXTRACT(O218,""[0-9]+""))*1000,
VALUE(REGEXEXTRACT(O218,""[0-9]+""))
),
0
)"),0.0)</f>
        <v>0</v>
      </c>
      <c r="E218" s="1" t="s">
        <v>11</v>
      </c>
      <c r="F218" s="1" t="s">
        <v>20</v>
      </c>
      <c r="G218" s="4" t="b">
        <f t="shared" si="2"/>
        <v>1</v>
      </c>
      <c r="H218" s="1" t="str">
        <f t="shared" si="3"/>
        <v>Currently Unavailable</v>
      </c>
      <c r="I218" s="1" t="str">
        <f t="shared" si="4"/>
        <v>No Badges</v>
      </c>
      <c r="J218" s="3">
        <f t="shared" si="5"/>
        <v>0</v>
      </c>
    </row>
    <row r="219">
      <c r="A219" s="1" t="s">
        <v>209</v>
      </c>
      <c r="B219" s="3" t="str">
        <f t="shared" si="1"/>
        <v>Unavailable</v>
      </c>
      <c r="C219" s="3">
        <v>31.0</v>
      </c>
      <c r="D219" s="3">
        <f>IFERROR(__xludf.DUMMYFUNCTION("IFERROR(
IF(REGEXMATCH(LOWER(O219),""k""),
VALUE(REGEXEXTRACT(O219,""[0-9]+""))*1000,
VALUE(REGEXEXTRACT(O219,""[0-9]+""))
),
0
)"),0.0)</f>
        <v>0</v>
      </c>
      <c r="E219" s="1" t="s">
        <v>18</v>
      </c>
      <c r="F219" s="1" t="s">
        <v>20</v>
      </c>
      <c r="G219" s="4" t="b">
        <f t="shared" si="2"/>
        <v>1</v>
      </c>
      <c r="H219" s="1" t="str">
        <f t="shared" si="3"/>
        <v>Currently Unavailable</v>
      </c>
      <c r="I219" s="1" t="str">
        <f t="shared" si="4"/>
        <v>No Badges</v>
      </c>
      <c r="J219" s="3">
        <f t="shared" si="5"/>
        <v>0</v>
      </c>
    </row>
    <row r="220">
      <c r="A220" s="1" t="s">
        <v>210</v>
      </c>
      <c r="B220" s="3" t="str">
        <f t="shared" si="1"/>
        <v>Unavailable</v>
      </c>
      <c r="C220" s="3">
        <v>20.0</v>
      </c>
      <c r="D220" s="3">
        <f>IFERROR(__xludf.DUMMYFUNCTION("IFERROR(
IF(REGEXMATCH(LOWER(O220),""k""),
VALUE(REGEXEXTRACT(O220,""[0-9]+""))*1000,
VALUE(REGEXEXTRACT(O220,""[0-9]+""))
),
0
)"),0.0)</f>
        <v>0</v>
      </c>
      <c r="E220" s="1" t="s">
        <v>11</v>
      </c>
      <c r="F220" s="1" t="s">
        <v>20</v>
      </c>
      <c r="G220" s="4" t="b">
        <f t="shared" si="2"/>
        <v>1</v>
      </c>
      <c r="H220" s="1" t="str">
        <f t="shared" si="3"/>
        <v>Currently Unavailable</v>
      </c>
      <c r="I220" s="1" t="str">
        <f t="shared" si="4"/>
        <v>No Badges</v>
      </c>
      <c r="J220" s="3">
        <f t="shared" si="5"/>
        <v>0</v>
      </c>
    </row>
    <row r="221">
      <c r="A221" s="1" t="s">
        <v>211</v>
      </c>
      <c r="B221" s="3" t="str">
        <f t="shared" si="1"/>
        <v>Unavailable</v>
      </c>
      <c r="C221" s="3">
        <v>100.0</v>
      </c>
      <c r="D221" s="3">
        <f>IFERROR(__xludf.DUMMYFUNCTION("IFERROR(
IF(REGEXMATCH(LOWER(O221),""k""),
VALUE(REGEXEXTRACT(O221,""[0-9]+""))*1000,
VALUE(REGEXEXTRACT(O221,""[0-9]+""))
),
0
)"),0.0)</f>
        <v>0</v>
      </c>
      <c r="E221" s="1" t="s">
        <v>11</v>
      </c>
      <c r="F221" s="1" t="s">
        <v>20</v>
      </c>
      <c r="G221" s="4" t="b">
        <f t="shared" si="2"/>
        <v>1</v>
      </c>
      <c r="H221" s="1" t="str">
        <f t="shared" si="3"/>
        <v>Currently Unavailable</v>
      </c>
      <c r="I221" s="1" t="str">
        <f t="shared" si="4"/>
        <v>No Badges</v>
      </c>
      <c r="J221" s="3">
        <f t="shared" si="5"/>
        <v>0</v>
      </c>
    </row>
    <row r="222">
      <c r="A222" s="1" t="s">
        <v>40</v>
      </c>
      <c r="B222" s="3" t="str">
        <f t="shared" si="1"/>
        <v>Unavailable</v>
      </c>
      <c r="C222" s="3">
        <v>171.0</v>
      </c>
      <c r="D222" s="3">
        <f>IFERROR(__xludf.DUMMYFUNCTION("IFERROR(
IF(REGEXMATCH(LOWER(O222),""k""),
VALUE(REGEXEXTRACT(O222,""[0-9]+""))*1000,
VALUE(REGEXEXTRACT(O222,""[0-9]+""))
),
0
)"),0.0)</f>
        <v>0</v>
      </c>
      <c r="E222" s="1" t="s">
        <v>11</v>
      </c>
      <c r="F222" s="1" t="s">
        <v>12</v>
      </c>
      <c r="G222" s="4" t="b">
        <f t="shared" si="2"/>
        <v>1</v>
      </c>
      <c r="H222" s="1" t="str">
        <f t="shared" si="3"/>
        <v>Currently Unavailable</v>
      </c>
      <c r="I222" s="1" t="str">
        <f t="shared" si="4"/>
        <v>No Badges</v>
      </c>
      <c r="J222" s="3">
        <f t="shared" si="5"/>
        <v>0</v>
      </c>
    </row>
    <row r="223">
      <c r="A223" s="1" t="s">
        <v>143</v>
      </c>
      <c r="B223" s="3" t="str">
        <f t="shared" si="1"/>
        <v>Unavailable</v>
      </c>
      <c r="C223" s="3">
        <v>63.0</v>
      </c>
      <c r="D223" s="3">
        <f>IFERROR(__xludf.DUMMYFUNCTION("IFERROR(
IF(REGEXMATCH(LOWER(O223),""k""),
VALUE(REGEXEXTRACT(O223,""[0-9]+""))*1000,
VALUE(REGEXEXTRACT(O223,""[0-9]+""))
),
0
)"),0.0)</f>
        <v>0</v>
      </c>
      <c r="E223" s="1" t="s">
        <v>11</v>
      </c>
      <c r="F223" s="1" t="s">
        <v>12</v>
      </c>
      <c r="G223" s="4" t="b">
        <f t="shared" si="2"/>
        <v>1</v>
      </c>
      <c r="H223" s="1" t="str">
        <f t="shared" si="3"/>
        <v>Currently Unavailable</v>
      </c>
      <c r="I223" s="1" t="str">
        <f t="shared" si="4"/>
        <v>No Badges</v>
      </c>
      <c r="J223" s="3">
        <f t="shared" si="5"/>
        <v>0</v>
      </c>
    </row>
    <row r="224">
      <c r="A224" s="1" t="s">
        <v>212</v>
      </c>
      <c r="B224" s="3" t="str">
        <f t="shared" si="1"/>
        <v>Unavailable</v>
      </c>
      <c r="C224" s="3">
        <v>297.0</v>
      </c>
      <c r="D224" s="3">
        <f>IFERROR(__xludf.DUMMYFUNCTION("IFERROR(
IF(REGEXMATCH(LOWER(O224),""k""),
VALUE(REGEXEXTRACT(O224,""[0-9]+""))*1000,
VALUE(REGEXEXTRACT(O224,""[0-9]+""))
),
0
)"),0.0)</f>
        <v>0</v>
      </c>
      <c r="E224" s="1" t="s">
        <v>11</v>
      </c>
      <c r="F224" s="1" t="s">
        <v>20</v>
      </c>
      <c r="G224" s="4" t="b">
        <f t="shared" si="2"/>
        <v>1</v>
      </c>
      <c r="H224" s="1" t="str">
        <f t="shared" si="3"/>
        <v>Currently Unavailable</v>
      </c>
      <c r="I224" s="1" t="str">
        <f t="shared" si="4"/>
        <v>No Badges</v>
      </c>
      <c r="J224" s="3">
        <f t="shared" si="5"/>
        <v>0</v>
      </c>
    </row>
    <row r="225">
      <c r="A225" s="1" t="s">
        <v>213</v>
      </c>
      <c r="B225" s="3" t="str">
        <f t="shared" si="1"/>
        <v>Unavailable</v>
      </c>
      <c r="C225" s="3">
        <v>120.0</v>
      </c>
      <c r="D225" s="3">
        <f>IFERROR(__xludf.DUMMYFUNCTION("IFERROR(
IF(REGEXMATCH(LOWER(O225),""k""),
VALUE(REGEXEXTRACT(O225,""[0-9]+""))*1000,
VALUE(REGEXEXTRACT(O225,""[0-9]+""))
),
0
)"),0.0)</f>
        <v>0</v>
      </c>
      <c r="E225" s="1" t="s">
        <v>11</v>
      </c>
      <c r="F225" s="1" t="s">
        <v>20</v>
      </c>
      <c r="G225" s="4" t="b">
        <f t="shared" si="2"/>
        <v>1</v>
      </c>
      <c r="H225" s="1" t="str">
        <f t="shared" si="3"/>
        <v>Currently Unavailable</v>
      </c>
      <c r="I225" s="1" t="str">
        <f t="shared" si="4"/>
        <v>No Badges</v>
      </c>
      <c r="J225" s="3">
        <f t="shared" si="5"/>
        <v>0</v>
      </c>
    </row>
    <row r="226">
      <c r="A226" s="1" t="s">
        <v>214</v>
      </c>
      <c r="B226" s="3" t="str">
        <f t="shared" si="1"/>
        <v>Unavailable</v>
      </c>
      <c r="C226" s="3">
        <v>602.0</v>
      </c>
      <c r="D226" s="3">
        <f>IFERROR(__xludf.DUMMYFUNCTION("IFERROR(
IF(REGEXMATCH(LOWER(O226),""k""),
VALUE(REGEXEXTRACT(O226,""[0-9]+""))*1000,
VALUE(REGEXEXTRACT(O226,""[0-9]+""))
),
0
)"),0.0)</f>
        <v>0</v>
      </c>
      <c r="E226" s="1" t="s">
        <v>11</v>
      </c>
      <c r="F226" s="1" t="s">
        <v>20</v>
      </c>
      <c r="G226" s="4" t="b">
        <f t="shared" si="2"/>
        <v>1</v>
      </c>
      <c r="H226" s="1" t="str">
        <f t="shared" si="3"/>
        <v>Currently Unavailable</v>
      </c>
      <c r="I226" s="1" t="str">
        <f t="shared" si="4"/>
        <v>No Badges</v>
      </c>
      <c r="J226" s="3">
        <f t="shared" si="5"/>
        <v>0</v>
      </c>
    </row>
    <row r="227">
      <c r="A227" s="1" t="s">
        <v>215</v>
      </c>
      <c r="B227" s="3" t="str">
        <f t="shared" si="1"/>
        <v>Unavailable</v>
      </c>
      <c r="C227" s="3">
        <v>61.0</v>
      </c>
      <c r="D227" s="3">
        <f>IFERROR(__xludf.DUMMYFUNCTION("IFERROR(
IF(REGEXMATCH(LOWER(O227),""k""),
VALUE(REGEXEXTRACT(O227,""[0-9]+""))*1000,
VALUE(REGEXEXTRACT(O227,""[0-9]+""))
),
0
)"),0.0)</f>
        <v>0</v>
      </c>
      <c r="E227" s="1" t="s">
        <v>11</v>
      </c>
      <c r="F227" s="1" t="s">
        <v>20</v>
      </c>
      <c r="G227" s="4" t="b">
        <f t="shared" si="2"/>
        <v>1</v>
      </c>
      <c r="H227" s="1" t="str">
        <f t="shared" si="3"/>
        <v>Currently Unavailable</v>
      </c>
      <c r="I227" s="1" t="str">
        <f t="shared" si="4"/>
        <v>No Badges</v>
      </c>
      <c r="J227" s="3">
        <f t="shared" si="5"/>
        <v>0</v>
      </c>
    </row>
    <row r="228">
      <c r="A228" s="1" t="s">
        <v>216</v>
      </c>
      <c r="B228" s="3" t="str">
        <f t="shared" si="1"/>
        <v>Unavailable</v>
      </c>
      <c r="C228" s="5">
        <v>9509.0</v>
      </c>
      <c r="D228" s="3">
        <f>IFERROR(__xludf.DUMMYFUNCTION("IFERROR(
IF(REGEXMATCH(LOWER(O228),""k""),
VALUE(REGEXEXTRACT(O228,""[0-9]+""))*1000,
VALUE(REGEXEXTRACT(O228,""[0-9]+""))
),
0
)"),0.0)</f>
        <v>0</v>
      </c>
      <c r="E228" s="1" t="s">
        <v>11</v>
      </c>
      <c r="F228" s="1" t="s">
        <v>20</v>
      </c>
      <c r="G228" s="4" t="b">
        <f t="shared" si="2"/>
        <v>1</v>
      </c>
      <c r="H228" s="1" t="str">
        <f t="shared" si="3"/>
        <v>Currently Unavailable</v>
      </c>
      <c r="I228" s="1" t="str">
        <f t="shared" si="4"/>
        <v>No Badges</v>
      </c>
      <c r="J228" s="3">
        <f t="shared" si="5"/>
        <v>0</v>
      </c>
    </row>
    <row r="229">
      <c r="A229" s="1" t="s">
        <v>217</v>
      </c>
      <c r="B229" s="3" t="str">
        <f t="shared" si="1"/>
        <v>Unavailable</v>
      </c>
      <c r="C229" s="5">
        <v>2484.0</v>
      </c>
      <c r="D229" s="3">
        <f>IFERROR(__xludf.DUMMYFUNCTION("IFERROR(
IF(REGEXMATCH(LOWER(O229),""k""),
VALUE(REGEXEXTRACT(O229,""[0-9]+""))*1000,
VALUE(REGEXEXTRACT(O229,""[0-9]+""))
),
0
)"),0.0)</f>
        <v>0</v>
      </c>
      <c r="E229" s="1" t="s">
        <v>11</v>
      </c>
      <c r="F229" s="1" t="s">
        <v>20</v>
      </c>
      <c r="G229" s="4" t="b">
        <f t="shared" si="2"/>
        <v>1</v>
      </c>
      <c r="H229" s="1" t="str">
        <f t="shared" si="3"/>
        <v>Currently Unavailable</v>
      </c>
      <c r="I229" s="1" t="str">
        <f t="shared" si="4"/>
        <v>No Badges</v>
      </c>
      <c r="J229" s="3">
        <f t="shared" si="5"/>
        <v>0</v>
      </c>
    </row>
    <row r="230">
      <c r="A230" s="1" t="s">
        <v>218</v>
      </c>
      <c r="B230" s="3" t="str">
        <f t="shared" si="1"/>
        <v>Unavailable</v>
      </c>
      <c r="C230" s="3">
        <v>6.0</v>
      </c>
      <c r="D230" s="3">
        <f>IFERROR(__xludf.DUMMYFUNCTION("IFERROR(
IF(REGEXMATCH(LOWER(O230),""k""),
VALUE(REGEXEXTRACT(O230,""[0-9]+""))*1000,
VALUE(REGEXEXTRACT(O230,""[0-9]+""))
),
0
)"),0.0)</f>
        <v>0</v>
      </c>
      <c r="E230" s="1" t="s">
        <v>11</v>
      </c>
      <c r="F230" s="1" t="s">
        <v>20</v>
      </c>
      <c r="G230" s="4" t="b">
        <f t="shared" si="2"/>
        <v>1</v>
      </c>
      <c r="H230" s="1" t="str">
        <f t="shared" si="3"/>
        <v>Currently Unavailable</v>
      </c>
      <c r="I230" s="1" t="str">
        <f t="shared" si="4"/>
        <v>No Badges</v>
      </c>
      <c r="J230" s="3">
        <f t="shared" si="5"/>
        <v>0</v>
      </c>
    </row>
    <row r="231">
      <c r="A231" s="1" t="s">
        <v>219</v>
      </c>
      <c r="B231" s="3" t="str">
        <f t="shared" si="1"/>
        <v>Unavailable</v>
      </c>
      <c r="C231" s="3">
        <v>119.0</v>
      </c>
      <c r="D231" s="3">
        <f>IFERROR(__xludf.DUMMYFUNCTION("IFERROR(
IF(REGEXMATCH(LOWER(O231),""k""),
VALUE(REGEXEXTRACT(O231,""[0-9]+""))*1000,
VALUE(REGEXEXTRACT(O231,""[0-9]+""))
),
0
)"),0.0)</f>
        <v>0</v>
      </c>
      <c r="E231" s="1" t="s">
        <v>11</v>
      </c>
      <c r="F231" s="1" t="s">
        <v>20</v>
      </c>
      <c r="G231" s="4" t="b">
        <f t="shared" si="2"/>
        <v>1</v>
      </c>
      <c r="H231" s="1" t="str">
        <f t="shared" si="3"/>
        <v>Currently Unavailable</v>
      </c>
      <c r="I231" s="1" t="str">
        <f t="shared" si="4"/>
        <v>No Badges</v>
      </c>
      <c r="J231" s="3">
        <f t="shared" si="5"/>
        <v>0</v>
      </c>
    </row>
    <row r="232">
      <c r="A232" s="1" t="s">
        <v>220</v>
      </c>
      <c r="B232" s="3" t="str">
        <f t="shared" si="1"/>
        <v>Unavailable</v>
      </c>
      <c r="C232" s="3">
        <v>115.0</v>
      </c>
      <c r="D232" s="3">
        <f>IFERROR(__xludf.DUMMYFUNCTION("IFERROR(
IF(REGEXMATCH(LOWER(O232),""k""),
VALUE(REGEXEXTRACT(O232,""[0-9]+""))*1000,
VALUE(REGEXEXTRACT(O232,""[0-9]+""))
),
0
)"),0.0)</f>
        <v>0</v>
      </c>
      <c r="E232" s="1" t="s">
        <v>11</v>
      </c>
      <c r="F232" s="1" t="s">
        <v>20</v>
      </c>
      <c r="G232" s="4" t="b">
        <f t="shared" si="2"/>
        <v>1</v>
      </c>
      <c r="H232" s="1" t="str">
        <f t="shared" si="3"/>
        <v>Currently Unavailable</v>
      </c>
      <c r="I232" s="1" t="str">
        <f t="shared" si="4"/>
        <v>No Badges</v>
      </c>
      <c r="J232" s="3">
        <f t="shared" si="5"/>
        <v>0</v>
      </c>
    </row>
    <row r="233">
      <c r="A233" s="1" t="s">
        <v>221</v>
      </c>
      <c r="B233" s="3" t="str">
        <f t="shared" si="1"/>
        <v>Unavailable</v>
      </c>
      <c r="C233" s="3">
        <v>9.0</v>
      </c>
      <c r="D233" s="3">
        <f>IFERROR(__xludf.DUMMYFUNCTION("IFERROR(
IF(REGEXMATCH(LOWER(O233),""k""),
VALUE(REGEXEXTRACT(O233,""[0-9]+""))*1000,
VALUE(REGEXEXTRACT(O233,""[0-9]+""))
),
0
)"),0.0)</f>
        <v>0</v>
      </c>
      <c r="E233" s="1" t="s">
        <v>11</v>
      </c>
      <c r="F233" s="1" t="s">
        <v>20</v>
      </c>
      <c r="G233" s="4" t="b">
        <f t="shared" si="2"/>
        <v>1</v>
      </c>
      <c r="H233" s="1" t="str">
        <f t="shared" si="3"/>
        <v>Currently Unavailable</v>
      </c>
      <c r="I233" s="1" t="str">
        <f t="shared" si="4"/>
        <v>No Badges</v>
      </c>
      <c r="J233" s="3">
        <f t="shared" si="5"/>
        <v>0</v>
      </c>
    </row>
    <row r="234">
      <c r="A234" s="1" t="s">
        <v>222</v>
      </c>
      <c r="B234" s="3" t="str">
        <f t="shared" si="1"/>
        <v>Unavailable</v>
      </c>
      <c r="C234" s="3">
        <v>76.0</v>
      </c>
      <c r="D234" s="3">
        <f>IFERROR(__xludf.DUMMYFUNCTION("IFERROR(
IF(REGEXMATCH(LOWER(O234),""k""),
VALUE(REGEXEXTRACT(O234,""[0-9]+""))*1000,
VALUE(REGEXEXTRACT(O234,""[0-9]+""))
),
0
)"),0.0)</f>
        <v>0</v>
      </c>
      <c r="E234" s="1" t="s">
        <v>11</v>
      </c>
      <c r="F234" s="1" t="s">
        <v>20</v>
      </c>
      <c r="G234" s="4" t="b">
        <f t="shared" si="2"/>
        <v>1</v>
      </c>
      <c r="H234" s="1" t="str">
        <f t="shared" si="3"/>
        <v>Currently Unavailable</v>
      </c>
      <c r="I234" s="1" t="str">
        <f t="shared" si="4"/>
        <v>No Badges</v>
      </c>
      <c r="J234" s="3">
        <f t="shared" si="5"/>
        <v>0</v>
      </c>
    </row>
    <row r="235">
      <c r="A235" s="1" t="s">
        <v>223</v>
      </c>
      <c r="B235" s="3" t="str">
        <f t="shared" si="1"/>
        <v>Unavailable</v>
      </c>
      <c r="C235" s="3">
        <v>137.0</v>
      </c>
      <c r="D235" s="3">
        <f>IFERROR(__xludf.DUMMYFUNCTION("IFERROR(
IF(REGEXMATCH(LOWER(O235),""k""),
VALUE(REGEXEXTRACT(O235,""[0-9]+""))*1000,
VALUE(REGEXEXTRACT(O235,""[0-9]+""))
),
0
)"),0.0)</f>
        <v>0</v>
      </c>
      <c r="E235" s="1" t="s">
        <v>11</v>
      </c>
      <c r="F235" s="1" t="s">
        <v>20</v>
      </c>
      <c r="G235" s="4" t="b">
        <f t="shared" si="2"/>
        <v>1</v>
      </c>
      <c r="H235" s="1" t="str">
        <f t="shared" si="3"/>
        <v>Currently Unavailable</v>
      </c>
      <c r="I235" s="1" t="str">
        <f t="shared" si="4"/>
        <v>No Badges</v>
      </c>
      <c r="J235" s="3">
        <f t="shared" si="5"/>
        <v>0</v>
      </c>
    </row>
    <row r="236">
      <c r="A236" s="1" t="s">
        <v>88</v>
      </c>
      <c r="B236" s="3" t="str">
        <f t="shared" si="1"/>
        <v>Unavailable</v>
      </c>
      <c r="C236" s="3">
        <v>5.0</v>
      </c>
      <c r="D236" s="3">
        <f>IFERROR(__xludf.DUMMYFUNCTION("IFERROR(
IF(REGEXMATCH(LOWER(O236),""k""),
VALUE(REGEXEXTRACT(O236,""[0-9]+""))*1000,
VALUE(REGEXEXTRACT(O236,""[0-9]+""))
),
0
)"),0.0)</f>
        <v>0</v>
      </c>
      <c r="E236" s="1" t="s">
        <v>11</v>
      </c>
      <c r="F236" s="1" t="s">
        <v>12</v>
      </c>
      <c r="G236" s="4" t="b">
        <f t="shared" si="2"/>
        <v>1</v>
      </c>
      <c r="H236" s="1" t="str">
        <f t="shared" si="3"/>
        <v>Currently Unavailable</v>
      </c>
      <c r="I236" s="1" t="str">
        <f t="shared" si="4"/>
        <v>No Badges</v>
      </c>
      <c r="J236" s="3">
        <f t="shared" si="5"/>
        <v>0</v>
      </c>
    </row>
    <row r="237">
      <c r="A237" s="1" t="s">
        <v>224</v>
      </c>
      <c r="B237" s="3" t="str">
        <f t="shared" si="1"/>
        <v>Unavailable</v>
      </c>
      <c r="C237" s="3">
        <v>625.0</v>
      </c>
      <c r="D237" s="3">
        <f>IFERROR(__xludf.DUMMYFUNCTION("IFERROR(
IF(REGEXMATCH(LOWER(O237),""k""),
VALUE(REGEXEXTRACT(O237,""[0-9]+""))*1000,
VALUE(REGEXEXTRACT(O237,""[0-9]+""))
),
0
)"),0.0)</f>
        <v>0</v>
      </c>
      <c r="E237" s="1" t="s">
        <v>11</v>
      </c>
      <c r="F237" s="1" t="s">
        <v>20</v>
      </c>
      <c r="G237" s="4" t="b">
        <f t="shared" si="2"/>
        <v>1</v>
      </c>
      <c r="H237" s="1" t="str">
        <f t="shared" si="3"/>
        <v>Currently Unavailable</v>
      </c>
      <c r="I237" s="1" t="str">
        <f t="shared" si="4"/>
        <v>No Badges</v>
      </c>
      <c r="J237" s="3">
        <f t="shared" si="5"/>
        <v>0</v>
      </c>
    </row>
    <row r="238">
      <c r="A238" s="1" t="s">
        <v>225</v>
      </c>
      <c r="B238" s="3" t="str">
        <f t="shared" si="1"/>
        <v>Unavailable</v>
      </c>
      <c r="C238" s="3">
        <v>680.0</v>
      </c>
      <c r="D238" s="3">
        <f>IFERROR(__xludf.DUMMYFUNCTION("IFERROR(
IF(REGEXMATCH(LOWER(O238),""k""),
VALUE(REGEXEXTRACT(O238,""[0-9]+""))*1000,
VALUE(REGEXEXTRACT(O238,""[0-9]+""))
),
0
)"),0.0)</f>
        <v>0</v>
      </c>
      <c r="E238" s="1" t="s">
        <v>11</v>
      </c>
      <c r="F238" s="1" t="s">
        <v>20</v>
      </c>
      <c r="G238" s="4" t="b">
        <f t="shared" si="2"/>
        <v>1</v>
      </c>
      <c r="H238" s="1" t="str">
        <f t="shared" si="3"/>
        <v>Currently Unavailable</v>
      </c>
      <c r="I238" s="1" t="str">
        <f t="shared" si="4"/>
        <v>No Badges</v>
      </c>
      <c r="J238" s="3">
        <f t="shared" si="5"/>
        <v>0</v>
      </c>
    </row>
    <row r="239">
      <c r="A239" s="1" t="s">
        <v>226</v>
      </c>
      <c r="B239" s="3" t="str">
        <f t="shared" si="1"/>
        <v>Unavailable</v>
      </c>
      <c r="C239" s="3">
        <v>764.0</v>
      </c>
      <c r="D239" s="3">
        <f>IFERROR(__xludf.DUMMYFUNCTION("IFERROR(
IF(REGEXMATCH(LOWER(O239),""k""),
VALUE(REGEXEXTRACT(O239,""[0-9]+""))*1000,
VALUE(REGEXEXTRACT(O239,""[0-9]+""))
),
0
)"),0.0)</f>
        <v>0</v>
      </c>
      <c r="E239" s="1" t="s">
        <v>11</v>
      </c>
      <c r="F239" s="1" t="s">
        <v>20</v>
      </c>
      <c r="G239" s="4" t="b">
        <f t="shared" si="2"/>
        <v>1</v>
      </c>
      <c r="H239" s="1" t="str">
        <f t="shared" si="3"/>
        <v>Currently Unavailable</v>
      </c>
      <c r="I239" s="1" t="str">
        <f t="shared" si="4"/>
        <v>No Badges</v>
      </c>
      <c r="J239" s="3">
        <f t="shared" si="5"/>
        <v>0</v>
      </c>
    </row>
    <row r="240">
      <c r="A240" s="1" t="s">
        <v>227</v>
      </c>
      <c r="B240" s="3" t="str">
        <f t="shared" si="1"/>
        <v>Unavailable</v>
      </c>
      <c r="C240" s="3">
        <v>147.0</v>
      </c>
      <c r="D240" s="3">
        <f>IFERROR(__xludf.DUMMYFUNCTION("IFERROR(
IF(REGEXMATCH(LOWER(O240),""k""),
VALUE(REGEXEXTRACT(O240,""[0-9]+""))*1000,
VALUE(REGEXEXTRACT(O240,""[0-9]+""))
),
0
)"),0.0)</f>
        <v>0</v>
      </c>
      <c r="E240" s="1" t="s">
        <v>11</v>
      </c>
      <c r="F240" s="1" t="s">
        <v>20</v>
      </c>
      <c r="G240" s="4" t="b">
        <f t="shared" si="2"/>
        <v>1</v>
      </c>
      <c r="H240" s="1" t="str">
        <f t="shared" si="3"/>
        <v>Currently Unavailable</v>
      </c>
      <c r="I240" s="1" t="str">
        <f t="shared" si="4"/>
        <v>No Badges</v>
      </c>
      <c r="J240" s="3">
        <f t="shared" si="5"/>
        <v>0</v>
      </c>
    </row>
    <row r="241">
      <c r="A241" s="1" t="s">
        <v>228</v>
      </c>
      <c r="B241" s="3" t="str">
        <f t="shared" si="1"/>
        <v>Unavailable</v>
      </c>
      <c r="C241" s="5">
        <v>1377.0</v>
      </c>
      <c r="D241" s="3">
        <f>IFERROR(__xludf.DUMMYFUNCTION("IFERROR(
IF(REGEXMATCH(LOWER(O241),""k""),
VALUE(REGEXEXTRACT(O241,""[0-9]+""))*1000,
VALUE(REGEXEXTRACT(O241,""[0-9]+""))
),
0
)"),0.0)</f>
        <v>0</v>
      </c>
      <c r="E241" s="1" t="s">
        <v>11</v>
      </c>
      <c r="F241" s="1" t="s">
        <v>20</v>
      </c>
      <c r="G241" s="4" t="b">
        <f t="shared" si="2"/>
        <v>1</v>
      </c>
      <c r="H241" s="1" t="str">
        <f t="shared" si="3"/>
        <v>Currently Unavailable</v>
      </c>
      <c r="I241" s="1" t="str">
        <f t="shared" si="4"/>
        <v>No Badges</v>
      </c>
      <c r="J241" s="3">
        <f t="shared" si="5"/>
        <v>0</v>
      </c>
    </row>
    <row r="242">
      <c r="A242" s="1" t="s">
        <v>229</v>
      </c>
      <c r="B242" s="3" t="str">
        <f t="shared" si="1"/>
        <v>Unavailable</v>
      </c>
      <c r="C242" s="3">
        <v>499.0</v>
      </c>
      <c r="D242" s="3">
        <f>IFERROR(__xludf.DUMMYFUNCTION("IFERROR(
IF(REGEXMATCH(LOWER(O242),""k""),
VALUE(REGEXEXTRACT(O242,""[0-9]+""))*1000,
VALUE(REGEXEXTRACT(O242,""[0-9]+""))
),
0
)"),0.0)</f>
        <v>0</v>
      </c>
      <c r="E242" s="1" t="s">
        <v>11</v>
      </c>
      <c r="F242" s="1" t="s">
        <v>20</v>
      </c>
      <c r="G242" s="4" t="b">
        <f t="shared" si="2"/>
        <v>1</v>
      </c>
      <c r="H242" s="1" t="str">
        <f t="shared" si="3"/>
        <v>Currently Unavailable</v>
      </c>
      <c r="I242" s="1" t="str">
        <f t="shared" si="4"/>
        <v>No Badges</v>
      </c>
      <c r="J242" s="3">
        <f t="shared" si="5"/>
        <v>0</v>
      </c>
    </row>
    <row r="243">
      <c r="A243" s="1" t="s">
        <v>230</v>
      </c>
      <c r="B243" s="3" t="str">
        <f t="shared" si="1"/>
        <v>Unavailable</v>
      </c>
      <c r="C243" s="3">
        <v>107.0</v>
      </c>
      <c r="D243" s="3">
        <f>IFERROR(__xludf.DUMMYFUNCTION("IFERROR(
IF(REGEXMATCH(LOWER(O243),""k""),
VALUE(REGEXEXTRACT(O243,""[0-9]+""))*1000,
VALUE(REGEXEXTRACT(O243,""[0-9]+""))
),
0
)"),0.0)</f>
        <v>0</v>
      </c>
      <c r="E243" s="1" t="s">
        <v>11</v>
      </c>
      <c r="F243" s="1" t="s">
        <v>20</v>
      </c>
      <c r="G243" s="4" t="b">
        <f t="shared" si="2"/>
        <v>1</v>
      </c>
      <c r="H243" s="1" t="str">
        <f t="shared" si="3"/>
        <v>Currently Unavailable</v>
      </c>
      <c r="I243" s="1" t="str">
        <f t="shared" si="4"/>
        <v>No Badges</v>
      </c>
      <c r="J243" s="3">
        <f t="shared" si="5"/>
        <v>0</v>
      </c>
    </row>
    <row r="244">
      <c r="A244" s="1" t="s">
        <v>230</v>
      </c>
      <c r="B244" s="3" t="str">
        <f t="shared" si="1"/>
        <v>Unavailable</v>
      </c>
      <c r="C244" s="3">
        <v>107.0</v>
      </c>
      <c r="D244" s="3">
        <f>IFERROR(__xludf.DUMMYFUNCTION("IFERROR(
IF(REGEXMATCH(LOWER(O244),""k""),
VALUE(REGEXEXTRACT(O244,""[0-9]+""))*1000,
VALUE(REGEXEXTRACT(O244,""[0-9]+""))
),
0
)"),0.0)</f>
        <v>0</v>
      </c>
      <c r="E244" s="1" t="s">
        <v>11</v>
      </c>
      <c r="F244" s="1" t="s">
        <v>20</v>
      </c>
      <c r="G244" s="4" t="b">
        <f t="shared" si="2"/>
        <v>1</v>
      </c>
      <c r="H244" s="1" t="str">
        <f t="shared" si="3"/>
        <v>Currently Unavailable</v>
      </c>
      <c r="I244" s="1" t="str">
        <f t="shared" si="4"/>
        <v>No Badges</v>
      </c>
      <c r="J244" s="3">
        <f t="shared" si="5"/>
        <v>0</v>
      </c>
    </row>
    <row r="245">
      <c r="A245" s="1" t="s">
        <v>231</v>
      </c>
      <c r="B245" s="3" t="str">
        <f t="shared" si="1"/>
        <v>Unavailable</v>
      </c>
      <c r="C245" s="3">
        <v>305.0</v>
      </c>
      <c r="D245" s="3">
        <f>IFERROR(__xludf.DUMMYFUNCTION("IFERROR(
IF(REGEXMATCH(LOWER(O245),""k""),
VALUE(REGEXEXTRACT(O245,""[0-9]+""))*1000,
VALUE(REGEXEXTRACT(O245,""[0-9]+""))
),
0
)"),0.0)</f>
        <v>0</v>
      </c>
      <c r="E245" s="1" t="s">
        <v>11</v>
      </c>
      <c r="F245" s="1" t="s">
        <v>20</v>
      </c>
      <c r="G245" s="4" t="b">
        <f t="shared" si="2"/>
        <v>1</v>
      </c>
      <c r="H245" s="1" t="str">
        <f t="shared" si="3"/>
        <v>Currently Unavailable</v>
      </c>
      <c r="I245" s="1" t="str">
        <f t="shared" si="4"/>
        <v>No Badges</v>
      </c>
      <c r="J245" s="3">
        <f t="shared" si="5"/>
        <v>0</v>
      </c>
    </row>
    <row r="246">
      <c r="A246" s="1" t="s">
        <v>232</v>
      </c>
      <c r="B246" s="3" t="str">
        <f t="shared" si="1"/>
        <v>Unavailable</v>
      </c>
      <c r="C246" s="5">
        <v>10602.0</v>
      </c>
      <c r="D246" s="3">
        <f>IFERROR(__xludf.DUMMYFUNCTION("IFERROR(
IF(REGEXMATCH(LOWER(O246),""k""),
VALUE(REGEXEXTRACT(O246,""[0-9]+""))*1000,
VALUE(REGEXEXTRACT(O246,""[0-9]+""))
),
0
)"),0.0)</f>
        <v>0</v>
      </c>
      <c r="E246" s="1" t="s">
        <v>11</v>
      </c>
      <c r="F246" s="1" t="s">
        <v>20</v>
      </c>
      <c r="G246" s="4" t="b">
        <f t="shared" si="2"/>
        <v>1</v>
      </c>
      <c r="H246" s="1" t="str">
        <f t="shared" si="3"/>
        <v>Currently Unavailable</v>
      </c>
      <c r="I246" s="1" t="str">
        <f t="shared" si="4"/>
        <v>No Badges</v>
      </c>
      <c r="J246" s="3">
        <f t="shared" si="5"/>
        <v>0</v>
      </c>
    </row>
    <row r="247">
      <c r="A247" s="1" t="s">
        <v>233</v>
      </c>
      <c r="B247" s="3" t="str">
        <f t="shared" si="1"/>
        <v>Unavailable</v>
      </c>
      <c r="C247" s="3">
        <v>232.0</v>
      </c>
      <c r="D247" s="3">
        <f>IFERROR(__xludf.DUMMYFUNCTION("IFERROR(
IF(REGEXMATCH(LOWER(O247),""k""),
VALUE(REGEXEXTRACT(O247,""[0-9]+""))*1000,
VALUE(REGEXEXTRACT(O247,""[0-9]+""))
),
0
)"),0.0)</f>
        <v>0</v>
      </c>
      <c r="E247" s="1" t="s">
        <v>11</v>
      </c>
      <c r="F247" s="1" t="s">
        <v>20</v>
      </c>
      <c r="G247" s="4" t="b">
        <f t="shared" si="2"/>
        <v>1</v>
      </c>
      <c r="H247" s="1" t="str">
        <f t="shared" si="3"/>
        <v>Currently Unavailable</v>
      </c>
      <c r="I247" s="1" t="str">
        <f t="shared" si="4"/>
        <v>No Badges</v>
      </c>
      <c r="J247" s="3">
        <f t="shared" si="5"/>
        <v>0</v>
      </c>
    </row>
    <row r="248">
      <c r="A248" s="1" t="s">
        <v>234</v>
      </c>
      <c r="B248" s="3" t="str">
        <f t="shared" si="1"/>
        <v>Unavailable</v>
      </c>
      <c r="C248" s="3">
        <v>176.0</v>
      </c>
      <c r="D248" s="3">
        <f>IFERROR(__xludf.DUMMYFUNCTION("IFERROR(
IF(REGEXMATCH(LOWER(O248),""k""),
VALUE(REGEXEXTRACT(O248,""[0-9]+""))*1000,
VALUE(REGEXEXTRACT(O248,""[0-9]+""))
),
0
)"),0.0)</f>
        <v>0</v>
      </c>
      <c r="E248" s="1" t="s">
        <v>11</v>
      </c>
      <c r="F248" s="1" t="s">
        <v>20</v>
      </c>
      <c r="G248" s="4" t="b">
        <f t="shared" si="2"/>
        <v>1</v>
      </c>
      <c r="H248" s="1" t="str">
        <f t="shared" si="3"/>
        <v>Currently Unavailable</v>
      </c>
      <c r="I248" s="1" t="str">
        <f t="shared" si="4"/>
        <v>No Badges</v>
      </c>
      <c r="J248" s="3">
        <f t="shared" si="5"/>
        <v>0</v>
      </c>
    </row>
    <row r="249">
      <c r="A249" s="1" t="s">
        <v>235</v>
      </c>
      <c r="B249" s="3" t="str">
        <f t="shared" si="1"/>
        <v>Unavailable</v>
      </c>
      <c r="C249" s="3">
        <v>147.0</v>
      </c>
      <c r="D249" s="3">
        <f>IFERROR(__xludf.DUMMYFUNCTION("IFERROR(
IF(REGEXMATCH(LOWER(O249),""k""),
VALUE(REGEXEXTRACT(O249,""[0-9]+""))*1000,
VALUE(REGEXEXTRACT(O249,""[0-9]+""))
),
0
)"),0.0)</f>
        <v>0</v>
      </c>
      <c r="E249" s="1" t="s">
        <v>11</v>
      </c>
      <c r="F249" s="1" t="s">
        <v>20</v>
      </c>
      <c r="G249" s="4" t="b">
        <f t="shared" si="2"/>
        <v>1</v>
      </c>
      <c r="H249" s="1" t="str">
        <f t="shared" si="3"/>
        <v>Currently Unavailable</v>
      </c>
      <c r="I249" s="1" t="str">
        <f t="shared" si="4"/>
        <v>No Badges</v>
      </c>
      <c r="J249" s="3">
        <f t="shared" si="5"/>
        <v>0</v>
      </c>
    </row>
    <row r="250">
      <c r="A250" s="1" t="s">
        <v>236</v>
      </c>
      <c r="B250" s="3" t="str">
        <f t="shared" si="1"/>
        <v>Unavailable</v>
      </c>
      <c r="C250" s="3">
        <v>160.0</v>
      </c>
      <c r="D250" s="3">
        <f>IFERROR(__xludf.DUMMYFUNCTION("IFERROR(
IF(REGEXMATCH(LOWER(O250),""k""),
VALUE(REGEXEXTRACT(O250,""[0-9]+""))*1000,
VALUE(REGEXEXTRACT(O250,""[0-9]+""))
),
0
)"),0.0)</f>
        <v>0</v>
      </c>
      <c r="E250" s="1" t="s">
        <v>11</v>
      </c>
      <c r="F250" s="1" t="s">
        <v>20</v>
      </c>
      <c r="G250" s="4" t="b">
        <f t="shared" si="2"/>
        <v>1</v>
      </c>
      <c r="H250" s="1" t="str">
        <f t="shared" si="3"/>
        <v>Currently Unavailable</v>
      </c>
      <c r="I250" s="1" t="str">
        <f t="shared" si="4"/>
        <v>No Badges</v>
      </c>
      <c r="J250" s="3">
        <f t="shared" si="5"/>
        <v>0</v>
      </c>
    </row>
    <row r="251">
      <c r="A251" s="1" t="s">
        <v>237</v>
      </c>
      <c r="B251" s="3" t="str">
        <f t="shared" si="1"/>
        <v>Unavailable</v>
      </c>
      <c r="C251" s="3">
        <v>47.0</v>
      </c>
      <c r="D251" s="3">
        <f>IFERROR(__xludf.DUMMYFUNCTION("IFERROR(
IF(REGEXMATCH(LOWER(O251),""k""),
VALUE(REGEXEXTRACT(O251,""[0-9]+""))*1000,
VALUE(REGEXEXTRACT(O251,""[0-9]+""))
),
0
)"),0.0)</f>
        <v>0</v>
      </c>
      <c r="E251" s="1" t="s">
        <v>11</v>
      </c>
      <c r="F251" s="1" t="s">
        <v>20</v>
      </c>
      <c r="G251" s="4" t="b">
        <f t="shared" si="2"/>
        <v>1</v>
      </c>
      <c r="H251" s="1" t="str">
        <f t="shared" si="3"/>
        <v>Currently Unavailable</v>
      </c>
      <c r="I251" s="1" t="str">
        <f t="shared" si="4"/>
        <v>No Badges</v>
      </c>
      <c r="J251" s="3">
        <f t="shared" si="5"/>
        <v>0</v>
      </c>
    </row>
    <row r="252">
      <c r="A252" s="1" t="s">
        <v>238</v>
      </c>
      <c r="B252" s="3" t="str">
        <f t="shared" si="1"/>
        <v>Unavailable</v>
      </c>
      <c r="C252" s="3">
        <v>160.0</v>
      </c>
      <c r="D252" s="3">
        <f>IFERROR(__xludf.DUMMYFUNCTION("IFERROR(
IF(REGEXMATCH(LOWER(O252),""k""),
VALUE(REGEXEXTRACT(O252,""[0-9]+""))*1000,
VALUE(REGEXEXTRACT(O252,""[0-9]+""))
),
0
)"),0.0)</f>
        <v>0</v>
      </c>
      <c r="E252" s="1" t="s">
        <v>11</v>
      </c>
      <c r="F252" s="1" t="s">
        <v>20</v>
      </c>
      <c r="G252" s="4" t="b">
        <f t="shared" si="2"/>
        <v>1</v>
      </c>
      <c r="H252" s="1" t="str">
        <f t="shared" si="3"/>
        <v>Currently Unavailable</v>
      </c>
      <c r="I252" s="1" t="str">
        <f t="shared" si="4"/>
        <v>No Badges</v>
      </c>
      <c r="J252" s="3">
        <f t="shared" si="5"/>
        <v>0</v>
      </c>
    </row>
    <row r="253">
      <c r="A253" s="1" t="s">
        <v>239</v>
      </c>
      <c r="B253" s="3" t="str">
        <f t="shared" si="1"/>
        <v>Unavailable</v>
      </c>
      <c r="C253" s="3">
        <v>25.0</v>
      </c>
      <c r="D253" s="3">
        <f>IFERROR(__xludf.DUMMYFUNCTION("IFERROR(
IF(REGEXMATCH(LOWER(O253),""k""),
VALUE(REGEXEXTRACT(O253,""[0-9]+""))*1000,
VALUE(REGEXEXTRACT(O253,""[0-9]+""))
),
0
)"),0.0)</f>
        <v>0</v>
      </c>
      <c r="E253" s="1" t="s">
        <v>11</v>
      </c>
      <c r="F253" s="1" t="s">
        <v>20</v>
      </c>
      <c r="G253" s="4" t="b">
        <f t="shared" si="2"/>
        <v>1</v>
      </c>
      <c r="H253" s="1" t="str">
        <f t="shared" si="3"/>
        <v>Currently Unavailable</v>
      </c>
      <c r="I253" s="1" t="str">
        <f t="shared" si="4"/>
        <v>No Badges</v>
      </c>
      <c r="J253" s="3">
        <f t="shared" si="5"/>
        <v>0</v>
      </c>
    </row>
    <row r="254">
      <c r="A254" s="1" t="s">
        <v>240</v>
      </c>
      <c r="B254" s="3" t="str">
        <f t="shared" si="1"/>
        <v>Unavailable</v>
      </c>
      <c r="C254" s="3">
        <v>52.0</v>
      </c>
      <c r="D254" s="3">
        <f>IFERROR(__xludf.DUMMYFUNCTION("IFERROR(
IF(REGEXMATCH(LOWER(O254),""k""),
VALUE(REGEXEXTRACT(O254,""[0-9]+""))*1000,
VALUE(REGEXEXTRACT(O254,""[0-9]+""))
),
0
)"),0.0)</f>
        <v>0</v>
      </c>
      <c r="E254" s="1" t="s">
        <v>11</v>
      </c>
      <c r="F254" s="1" t="s">
        <v>20</v>
      </c>
      <c r="G254" s="4" t="b">
        <f t="shared" si="2"/>
        <v>1</v>
      </c>
      <c r="H254" s="1" t="str">
        <f t="shared" si="3"/>
        <v>Currently Unavailable</v>
      </c>
      <c r="I254" s="1" t="str">
        <f t="shared" si="4"/>
        <v>No Badges</v>
      </c>
      <c r="J254" s="3">
        <f t="shared" si="5"/>
        <v>0</v>
      </c>
    </row>
    <row r="255">
      <c r="A255" s="1" t="s">
        <v>241</v>
      </c>
      <c r="B255" s="3" t="str">
        <f t="shared" si="1"/>
        <v>Unavailable</v>
      </c>
      <c r="C255" s="3">
        <v>177.0</v>
      </c>
      <c r="D255" s="3">
        <f>IFERROR(__xludf.DUMMYFUNCTION("IFERROR(
IF(REGEXMATCH(LOWER(O255),""k""),
VALUE(REGEXEXTRACT(O255,""[0-9]+""))*1000,
VALUE(REGEXEXTRACT(O255,""[0-9]+""))
),
0
)"),0.0)</f>
        <v>0</v>
      </c>
      <c r="E255" s="1" t="s">
        <v>11</v>
      </c>
      <c r="F255" s="1" t="s">
        <v>20</v>
      </c>
      <c r="G255" s="4" t="b">
        <f t="shared" si="2"/>
        <v>1</v>
      </c>
      <c r="H255" s="1" t="str">
        <f t="shared" si="3"/>
        <v>Currently Unavailable</v>
      </c>
      <c r="I255" s="1" t="str">
        <f t="shared" si="4"/>
        <v>No Badges</v>
      </c>
      <c r="J255" s="3">
        <f t="shared" si="5"/>
        <v>0</v>
      </c>
    </row>
    <row r="256">
      <c r="A256" s="1" t="s">
        <v>242</v>
      </c>
      <c r="B256" s="3" t="str">
        <f t="shared" si="1"/>
        <v>Unavailable</v>
      </c>
      <c r="C256" s="3">
        <v>150.0</v>
      </c>
      <c r="D256" s="3">
        <f>IFERROR(__xludf.DUMMYFUNCTION("IFERROR(
IF(REGEXMATCH(LOWER(O256),""k""),
VALUE(REGEXEXTRACT(O256,""[0-9]+""))*1000,
VALUE(REGEXEXTRACT(O256,""[0-9]+""))
),
0
)"),0.0)</f>
        <v>0</v>
      </c>
      <c r="E256" s="1" t="s">
        <v>11</v>
      </c>
      <c r="F256" s="1" t="s">
        <v>20</v>
      </c>
      <c r="G256" s="4" t="b">
        <f t="shared" si="2"/>
        <v>1</v>
      </c>
      <c r="H256" s="1" t="str">
        <f t="shared" si="3"/>
        <v>Currently Unavailable</v>
      </c>
      <c r="I256" s="1" t="str">
        <f t="shared" si="4"/>
        <v>No Badges</v>
      </c>
      <c r="J256" s="3">
        <f t="shared" si="5"/>
        <v>0</v>
      </c>
    </row>
    <row r="257">
      <c r="A257" s="1" t="s">
        <v>243</v>
      </c>
      <c r="B257" s="3" t="str">
        <f t="shared" si="1"/>
        <v>Unavailable</v>
      </c>
      <c r="C257" s="3">
        <v>167.0</v>
      </c>
      <c r="D257" s="3">
        <f>IFERROR(__xludf.DUMMYFUNCTION("IFERROR(
IF(REGEXMATCH(LOWER(O257),""k""),
VALUE(REGEXEXTRACT(O257,""[0-9]+""))*1000,
VALUE(REGEXEXTRACT(O257,""[0-9]+""))
),
0
)"),0.0)</f>
        <v>0</v>
      </c>
      <c r="E257" s="1" t="s">
        <v>11</v>
      </c>
      <c r="F257" s="1" t="s">
        <v>20</v>
      </c>
      <c r="G257" s="4" t="b">
        <f t="shared" si="2"/>
        <v>1</v>
      </c>
      <c r="H257" s="1" t="str">
        <f t="shared" si="3"/>
        <v>Currently Unavailable</v>
      </c>
      <c r="I257" s="1" t="str">
        <f t="shared" si="4"/>
        <v>No Badges</v>
      </c>
      <c r="J257" s="3">
        <f t="shared" si="5"/>
        <v>0</v>
      </c>
    </row>
    <row r="258">
      <c r="A258" s="1" t="s">
        <v>244</v>
      </c>
      <c r="B258" s="3" t="str">
        <f t="shared" si="1"/>
        <v>Unavailable</v>
      </c>
      <c r="C258" s="3">
        <v>329.0</v>
      </c>
      <c r="D258" s="3">
        <f>IFERROR(__xludf.DUMMYFUNCTION("IFERROR(
IF(REGEXMATCH(LOWER(O258),""k""),
VALUE(REGEXEXTRACT(O258,""[0-9]+""))*1000,
VALUE(REGEXEXTRACT(O258,""[0-9]+""))
),
0
)"),0.0)</f>
        <v>0</v>
      </c>
      <c r="E258" s="1" t="s">
        <v>11</v>
      </c>
      <c r="F258" s="1" t="s">
        <v>20</v>
      </c>
      <c r="G258" s="4" t="b">
        <f t="shared" si="2"/>
        <v>1</v>
      </c>
      <c r="H258" s="1" t="str">
        <f t="shared" si="3"/>
        <v>Currently Unavailable</v>
      </c>
      <c r="I258" s="1" t="str">
        <f t="shared" si="4"/>
        <v>No Badges</v>
      </c>
      <c r="J258" s="3">
        <f t="shared" si="5"/>
        <v>0</v>
      </c>
    </row>
    <row r="259">
      <c r="A259" s="1" t="s">
        <v>245</v>
      </c>
      <c r="B259" s="3" t="str">
        <f t="shared" si="1"/>
        <v>Unavailable</v>
      </c>
      <c r="C259" s="3">
        <v>711.0</v>
      </c>
      <c r="D259" s="3">
        <f>IFERROR(__xludf.DUMMYFUNCTION("IFERROR(
IF(REGEXMATCH(LOWER(O259),""k""),
VALUE(REGEXEXTRACT(O259,""[0-9]+""))*1000,
VALUE(REGEXEXTRACT(O259,""[0-9]+""))
),
0
)"),0.0)</f>
        <v>0</v>
      </c>
      <c r="E259" s="1" t="s">
        <v>11</v>
      </c>
      <c r="F259" s="1" t="s">
        <v>20</v>
      </c>
      <c r="G259" s="4" t="b">
        <f t="shared" si="2"/>
        <v>1</v>
      </c>
      <c r="H259" s="1" t="str">
        <f t="shared" si="3"/>
        <v>Currently Unavailable</v>
      </c>
      <c r="I259" s="1" t="str">
        <f t="shared" si="4"/>
        <v>No Badges</v>
      </c>
      <c r="J259" s="3">
        <f t="shared" si="5"/>
        <v>0</v>
      </c>
    </row>
    <row r="260">
      <c r="A260" s="1" t="s">
        <v>246</v>
      </c>
      <c r="B260" s="3" t="str">
        <f t="shared" si="1"/>
        <v>Unavailable</v>
      </c>
      <c r="C260" s="5">
        <v>1236.0</v>
      </c>
      <c r="D260" s="3">
        <f>IFERROR(__xludf.DUMMYFUNCTION("IFERROR(
IF(REGEXMATCH(LOWER(O260),""k""),
VALUE(REGEXEXTRACT(O260,""[0-9]+""))*1000,
VALUE(REGEXEXTRACT(O260,""[0-9]+""))
),
0
)"),0.0)</f>
        <v>0</v>
      </c>
      <c r="E260" s="1" t="s">
        <v>11</v>
      </c>
      <c r="F260" s="1" t="s">
        <v>20</v>
      </c>
      <c r="G260" s="4" t="b">
        <f t="shared" si="2"/>
        <v>1</v>
      </c>
      <c r="H260" s="1" t="str">
        <f t="shared" si="3"/>
        <v>Currently Unavailable</v>
      </c>
      <c r="I260" s="1" t="str">
        <f t="shared" si="4"/>
        <v>No Badges</v>
      </c>
      <c r="J260" s="3">
        <f t="shared" si="5"/>
        <v>0</v>
      </c>
    </row>
    <row r="261">
      <c r="A261" s="1" t="s">
        <v>247</v>
      </c>
      <c r="B261" s="3" t="str">
        <f t="shared" si="1"/>
        <v>Unavailable</v>
      </c>
      <c r="C261" s="3">
        <v>874.0</v>
      </c>
      <c r="D261" s="3">
        <f>IFERROR(__xludf.DUMMYFUNCTION("IFERROR(
IF(REGEXMATCH(LOWER(O261),""k""),
VALUE(REGEXEXTRACT(O261,""[0-9]+""))*1000,
VALUE(REGEXEXTRACT(O261,""[0-9]+""))
),
0
)"),0.0)</f>
        <v>0</v>
      </c>
      <c r="E261" s="1" t="s">
        <v>11</v>
      </c>
      <c r="F261" s="1" t="s">
        <v>20</v>
      </c>
      <c r="G261" s="4" t="b">
        <f t="shared" si="2"/>
        <v>1</v>
      </c>
      <c r="H261" s="1" t="str">
        <f t="shared" si="3"/>
        <v>Currently Unavailable</v>
      </c>
      <c r="I261" s="1" t="str">
        <f t="shared" si="4"/>
        <v>No Badges</v>
      </c>
      <c r="J261" s="3">
        <f t="shared" si="5"/>
        <v>0</v>
      </c>
    </row>
    <row r="262">
      <c r="A262" s="1" t="s">
        <v>248</v>
      </c>
      <c r="B262" s="3" t="str">
        <f t="shared" si="1"/>
        <v>Unavailable</v>
      </c>
      <c r="C262" s="3">
        <v>63.0</v>
      </c>
      <c r="D262" s="3">
        <f>IFERROR(__xludf.DUMMYFUNCTION("IFERROR(
IF(REGEXMATCH(LOWER(O262),""k""),
VALUE(REGEXEXTRACT(O262,""[0-9]+""))*1000,
VALUE(REGEXEXTRACT(O262,""[0-9]+""))
),
0
)"),0.0)</f>
        <v>0</v>
      </c>
      <c r="E262" s="1" t="s">
        <v>11</v>
      </c>
      <c r="F262" s="1" t="s">
        <v>20</v>
      </c>
      <c r="G262" s="4" t="b">
        <f t="shared" si="2"/>
        <v>1</v>
      </c>
      <c r="H262" s="1" t="str">
        <f t="shared" si="3"/>
        <v>Currently Unavailable</v>
      </c>
      <c r="I262" s="1" t="str">
        <f t="shared" si="4"/>
        <v>No Badges</v>
      </c>
      <c r="J262" s="3">
        <f t="shared" si="5"/>
        <v>0</v>
      </c>
    </row>
    <row r="263">
      <c r="A263" s="1" t="s">
        <v>249</v>
      </c>
      <c r="B263" s="3" t="str">
        <f t="shared" si="1"/>
        <v>Unavailable</v>
      </c>
      <c r="C263" s="3">
        <v>183.0</v>
      </c>
      <c r="D263" s="3">
        <f>IFERROR(__xludf.DUMMYFUNCTION("IFERROR(
IF(REGEXMATCH(LOWER(O263),""k""),
VALUE(REGEXEXTRACT(O263,""[0-9]+""))*1000,
VALUE(REGEXEXTRACT(O263,""[0-9]+""))
),
0
)"),0.0)</f>
        <v>0</v>
      </c>
      <c r="E263" s="1" t="s">
        <v>11</v>
      </c>
      <c r="F263" s="1" t="s">
        <v>20</v>
      </c>
      <c r="G263" s="4" t="b">
        <f t="shared" si="2"/>
        <v>1</v>
      </c>
      <c r="H263" s="1" t="str">
        <f t="shared" si="3"/>
        <v>Currently Unavailable</v>
      </c>
      <c r="I263" s="1" t="str">
        <f t="shared" si="4"/>
        <v>No Badges</v>
      </c>
      <c r="J263" s="3">
        <f t="shared" si="5"/>
        <v>0</v>
      </c>
    </row>
    <row r="264">
      <c r="A264" s="1" t="s">
        <v>250</v>
      </c>
      <c r="B264" s="3" t="str">
        <f t="shared" si="1"/>
        <v>Unavailable</v>
      </c>
      <c r="C264" s="3">
        <v>388.0</v>
      </c>
      <c r="D264" s="3">
        <f>IFERROR(__xludf.DUMMYFUNCTION("IFERROR(
IF(REGEXMATCH(LOWER(O264),""k""),
VALUE(REGEXEXTRACT(O264,""[0-9]+""))*1000,
VALUE(REGEXEXTRACT(O264,""[0-9]+""))
),
0
)"),0.0)</f>
        <v>0</v>
      </c>
      <c r="E264" s="1" t="s">
        <v>11</v>
      </c>
      <c r="F264" s="1" t="s">
        <v>20</v>
      </c>
      <c r="G264" s="4" t="b">
        <f t="shared" si="2"/>
        <v>1</v>
      </c>
      <c r="H264" s="1" t="str">
        <f t="shared" si="3"/>
        <v>Currently Unavailable</v>
      </c>
      <c r="I264" s="1" t="str">
        <f t="shared" si="4"/>
        <v>No Badges</v>
      </c>
      <c r="J264" s="3">
        <f t="shared" si="5"/>
        <v>0</v>
      </c>
    </row>
    <row r="265">
      <c r="A265" s="1" t="s">
        <v>251</v>
      </c>
      <c r="B265" s="3" t="str">
        <f t="shared" si="1"/>
        <v>Unavailable</v>
      </c>
      <c r="C265" s="3">
        <v>201.0</v>
      </c>
      <c r="D265" s="3">
        <f>IFERROR(__xludf.DUMMYFUNCTION("IFERROR(
IF(REGEXMATCH(LOWER(O265),""k""),
VALUE(REGEXEXTRACT(O265,""[0-9]+""))*1000,
VALUE(REGEXEXTRACT(O265,""[0-9]+""))
),
0
)"),0.0)</f>
        <v>0</v>
      </c>
      <c r="E265" s="1" t="s">
        <v>11</v>
      </c>
      <c r="F265" s="1" t="s">
        <v>20</v>
      </c>
      <c r="G265" s="4" t="b">
        <f t="shared" si="2"/>
        <v>1</v>
      </c>
      <c r="H265" s="1" t="str">
        <f t="shared" si="3"/>
        <v>Currently Unavailable</v>
      </c>
      <c r="I265" s="1" t="str">
        <f t="shared" si="4"/>
        <v>No Badges</v>
      </c>
      <c r="J265" s="3">
        <f t="shared" si="5"/>
        <v>0</v>
      </c>
    </row>
    <row r="266">
      <c r="A266" s="1" t="s">
        <v>252</v>
      </c>
      <c r="B266" s="3" t="str">
        <f t="shared" si="1"/>
        <v>Unavailable</v>
      </c>
      <c r="C266" s="3">
        <v>459.0</v>
      </c>
      <c r="D266" s="3">
        <f>IFERROR(__xludf.DUMMYFUNCTION("IFERROR(
IF(REGEXMATCH(LOWER(O266),""k""),
VALUE(REGEXEXTRACT(O266,""[0-9]+""))*1000,
VALUE(REGEXEXTRACT(O266,""[0-9]+""))
),
0
)"),0.0)</f>
        <v>0</v>
      </c>
      <c r="E266" s="1" t="s">
        <v>11</v>
      </c>
      <c r="F266" s="1" t="s">
        <v>20</v>
      </c>
      <c r="G266" s="4" t="b">
        <f t="shared" si="2"/>
        <v>1</v>
      </c>
      <c r="H266" s="1" t="str">
        <f t="shared" si="3"/>
        <v>Currently Unavailable</v>
      </c>
      <c r="I266" s="1" t="str">
        <f t="shared" si="4"/>
        <v>No Badges</v>
      </c>
      <c r="J266" s="3">
        <f t="shared" si="5"/>
        <v>0</v>
      </c>
    </row>
    <row r="267">
      <c r="A267" s="1" t="s">
        <v>253</v>
      </c>
      <c r="B267" s="3" t="str">
        <f t="shared" si="1"/>
        <v>Unavailable</v>
      </c>
      <c r="C267" s="3">
        <v>158.0</v>
      </c>
      <c r="D267" s="3">
        <f>IFERROR(__xludf.DUMMYFUNCTION("IFERROR(
IF(REGEXMATCH(LOWER(O267),""k""),
VALUE(REGEXEXTRACT(O267,""[0-9]+""))*1000,
VALUE(REGEXEXTRACT(O267,""[0-9]+""))
),
0
)"),0.0)</f>
        <v>0</v>
      </c>
      <c r="E267" s="1" t="s">
        <v>11</v>
      </c>
      <c r="F267" s="1" t="s">
        <v>20</v>
      </c>
      <c r="G267" s="4" t="b">
        <f t="shared" si="2"/>
        <v>1</v>
      </c>
      <c r="H267" s="1" t="str">
        <f t="shared" si="3"/>
        <v>Currently Unavailable</v>
      </c>
      <c r="I267" s="1" t="str">
        <f t="shared" si="4"/>
        <v>No Badges</v>
      </c>
      <c r="J267" s="3">
        <f t="shared" si="5"/>
        <v>0</v>
      </c>
    </row>
    <row r="268">
      <c r="A268" s="1" t="s">
        <v>254</v>
      </c>
      <c r="B268" s="3" t="str">
        <f t="shared" si="1"/>
        <v>Unavailable</v>
      </c>
      <c r="C268" s="3">
        <v>364.0</v>
      </c>
      <c r="D268" s="3">
        <f>IFERROR(__xludf.DUMMYFUNCTION("IFERROR(
IF(REGEXMATCH(LOWER(O268),""k""),
VALUE(REGEXEXTRACT(O268,""[0-9]+""))*1000,
VALUE(REGEXEXTRACT(O268,""[0-9]+""))
),
0
)"),0.0)</f>
        <v>0</v>
      </c>
      <c r="E268" s="1" t="s">
        <v>11</v>
      </c>
      <c r="F268" s="1" t="s">
        <v>20</v>
      </c>
      <c r="G268" s="4" t="b">
        <f t="shared" si="2"/>
        <v>1</v>
      </c>
      <c r="H268" s="1" t="str">
        <f t="shared" si="3"/>
        <v>Currently Unavailable</v>
      </c>
      <c r="I268" s="1" t="str">
        <f t="shared" si="4"/>
        <v>No Badges</v>
      </c>
      <c r="J268" s="3">
        <f t="shared" si="5"/>
        <v>0</v>
      </c>
    </row>
    <row r="269">
      <c r="A269" s="1" t="s">
        <v>255</v>
      </c>
      <c r="B269" s="3" t="str">
        <f t="shared" si="1"/>
        <v>Unavailable</v>
      </c>
      <c r="C269" s="5">
        <v>1080.0</v>
      </c>
      <c r="D269" s="3">
        <f>IFERROR(__xludf.DUMMYFUNCTION("IFERROR(
IF(REGEXMATCH(LOWER(O269),""k""),
VALUE(REGEXEXTRACT(O269,""[0-9]+""))*1000,
VALUE(REGEXEXTRACT(O269,""[0-9]+""))
),
0
)"),0.0)</f>
        <v>0</v>
      </c>
      <c r="E269" s="1" t="s">
        <v>18</v>
      </c>
      <c r="F269" s="1" t="s">
        <v>20</v>
      </c>
      <c r="G269" s="4" t="b">
        <f t="shared" si="2"/>
        <v>1</v>
      </c>
      <c r="H269" s="1" t="str">
        <f t="shared" si="3"/>
        <v>Currently Unavailable</v>
      </c>
      <c r="I269" s="1" t="str">
        <f t="shared" si="4"/>
        <v>No Badges</v>
      </c>
      <c r="J269" s="3">
        <f t="shared" si="5"/>
        <v>0</v>
      </c>
    </row>
    <row r="270">
      <c r="A270" s="1" t="s">
        <v>256</v>
      </c>
      <c r="B270" s="3" t="str">
        <f t="shared" si="1"/>
        <v>Unavailable</v>
      </c>
      <c r="C270" s="3">
        <v>19.0</v>
      </c>
      <c r="D270" s="3">
        <f>IFERROR(__xludf.DUMMYFUNCTION("IFERROR(
IF(REGEXMATCH(LOWER(O270),""k""),
VALUE(REGEXEXTRACT(O270,""[0-9]+""))*1000,
VALUE(REGEXEXTRACT(O270,""[0-9]+""))
),
0
)"),0.0)</f>
        <v>0</v>
      </c>
      <c r="E270" s="1" t="s">
        <v>11</v>
      </c>
      <c r="F270" s="1" t="s">
        <v>20</v>
      </c>
      <c r="G270" s="4" t="b">
        <f t="shared" si="2"/>
        <v>1</v>
      </c>
      <c r="H270" s="1" t="str">
        <f t="shared" si="3"/>
        <v>Currently Unavailable</v>
      </c>
      <c r="I270" s="1" t="str">
        <f t="shared" si="4"/>
        <v>No Badges</v>
      </c>
      <c r="J270" s="3">
        <f t="shared" si="5"/>
        <v>0</v>
      </c>
    </row>
    <row r="271">
      <c r="A271" s="1" t="s">
        <v>257</v>
      </c>
      <c r="B271" s="3" t="str">
        <f t="shared" si="1"/>
        <v>Unavailable</v>
      </c>
      <c r="C271" s="3">
        <v>781.0</v>
      </c>
      <c r="D271" s="3">
        <f>IFERROR(__xludf.DUMMYFUNCTION("IFERROR(
IF(REGEXMATCH(LOWER(O271),""k""),
VALUE(REGEXEXTRACT(O271,""[0-9]+""))*1000,
VALUE(REGEXEXTRACT(O271,""[0-9]+""))
),
0
)"),0.0)</f>
        <v>0</v>
      </c>
      <c r="E271" s="1" t="s">
        <v>11</v>
      </c>
      <c r="F271" s="1" t="s">
        <v>20</v>
      </c>
      <c r="G271" s="4" t="b">
        <f t="shared" si="2"/>
        <v>1</v>
      </c>
      <c r="H271" s="1" t="str">
        <f t="shared" si="3"/>
        <v>Currently Unavailable</v>
      </c>
      <c r="I271" s="1" t="str">
        <f t="shared" si="4"/>
        <v>No Badges</v>
      </c>
      <c r="J271" s="3">
        <f t="shared" si="5"/>
        <v>0</v>
      </c>
    </row>
    <row r="272">
      <c r="A272" s="1" t="s">
        <v>258</v>
      </c>
      <c r="B272" s="3" t="str">
        <f t="shared" si="1"/>
        <v>Unavailable</v>
      </c>
      <c r="C272" s="3">
        <v>780.0</v>
      </c>
      <c r="D272" s="3">
        <f>IFERROR(__xludf.DUMMYFUNCTION("IFERROR(
IF(REGEXMATCH(LOWER(O272),""k""),
VALUE(REGEXEXTRACT(O272,""[0-9]+""))*1000,
VALUE(REGEXEXTRACT(O272,""[0-9]+""))
),
0
)"),0.0)</f>
        <v>0</v>
      </c>
      <c r="E272" s="1" t="s">
        <v>11</v>
      </c>
      <c r="F272" s="1" t="s">
        <v>20</v>
      </c>
      <c r="G272" s="4" t="b">
        <f t="shared" si="2"/>
        <v>1</v>
      </c>
      <c r="H272" s="1" t="str">
        <f t="shared" si="3"/>
        <v>Currently Unavailable</v>
      </c>
      <c r="I272" s="1" t="str">
        <f t="shared" si="4"/>
        <v>No Badges</v>
      </c>
      <c r="J272" s="3">
        <f t="shared" si="5"/>
        <v>0</v>
      </c>
    </row>
    <row r="273">
      <c r="A273" s="1" t="s">
        <v>259</v>
      </c>
      <c r="B273" s="3" t="str">
        <f t="shared" si="1"/>
        <v>Unavailable</v>
      </c>
      <c r="C273" s="3">
        <v>7.0</v>
      </c>
      <c r="D273" s="3">
        <f>IFERROR(__xludf.DUMMYFUNCTION("IFERROR(
IF(REGEXMATCH(LOWER(O273),""k""),
VALUE(REGEXEXTRACT(O273,""[0-9]+""))*1000,
VALUE(REGEXEXTRACT(O273,""[0-9]+""))
),
0
)"),0.0)</f>
        <v>0</v>
      </c>
      <c r="E273" s="1" t="s">
        <v>11</v>
      </c>
      <c r="F273" s="1" t="s">
        <v>20</v>
      </c>
      <c r="G273" s="4" t="b">
        <f t="shared" si="2"/>
        <v>1</v>
      </c>
      <c r="H273" s="1" t="str">
        <f t="shared" si="3"/>
        <v>Currently Unavailable</v>
      </c>
      <c r="I273" s="1" t="str">
        <f t="shared" si="4"/>
        <v>No Badges</v>
      </c>
      <c r="J273" s="3">
        <f t="shared" si="5"/>
        <v>0</v>
      </c>
    </row>
    <row r="274">
      <c r="A274" s="1" t="s">
        <v>260</v>
      </c>
      <c r="B274" s="3" t="str">
        <f t="shared" si="1"/>
        <v>Unavailable</v>
      </c>
      <c r="C274" s="3">
        <v>17.0</v>
      </c>
      <c r="D274" s="3">
        <f>IFERROR(__xludf.DUMMYFUNCTION("IFERROR(
IF(REGEXMATCH(LOWER(O274),""k""),
VALUE(REGEXEXTRACT(O274,""[0-9]+""))*1000,
VALUE(REGEXEXTRACT(O274,""[0-9]+""))
),
0
)"),0.0)</f>
        <v>0</v>
      </c>
      <c r="E274" s="1" t="s">
        <v>11</v>
      </c>
      <c r="F274" s="1" t="s">
        <v>20</v>
      </c>
      <c r="G274" s="4" t="b">
        <f t="shared" si="2"/>
        <v>1</v>
      </c>
      <c r="H274" s="1" t="str">
        <f t="shared" si="3"/>
        <v>Currently Unavailable</v>
      </c>
      <c r="I274" s="1" t="str">
        <f t="shared" si="4"/>
        <v>No Badges</v>
      </c>
      <c r="J274" s="3">
        <f t="shared" si="5"/>
        <v>0</v>
      </c>
    </row>
    <row r="275">
      <c r="A275" s="1" t="s">
        <v>261</v>
      </c>
      <c r="B275" s="3" t="str">
        <f t="shared" si="1"/>
        <v>Unavailable</v>
      </c>
      <c r="C275" s="3">
        <v>287.0</v>
      </c>
      <c r="D275" s="3">
        <f>IFERROR(__xludf.DUMMYFUNCTION("IFERROR(
IF(REGEXMATCH(LOWER(O275),""k""),
VALUE(REGEXEXTRACT(O275,""[0-9]+""))*1000,
VALUE(REGEXEXTRACT(O275,""[0-9]+""))
),
0
)"),0.0)</f>
        <v>0</v>
      </c>
      <c r="E275" s="1" t="s">
        <v>11</v>
      </c>
      <c r="F275" s="1" t="s">
        <v>20</v>
      </c>
      <c r="G275" s="4" t="b">
        <f t="shared" si="2"/>
        <v>1</v>
      </c>
      <c r="H275" s="1" t="str">
        <f t="shared" si="3"/>
        <v>Currently Unavailable</v>
      </c>
      <c r="I275" s="1" t="str">
        <f t="shared" si="4"/>
        <v>No Badges</v>
      </c>
      <c r="J275" s="3">
        <f t="shared" si="5"/>
        <v>0</v>
      </c>
    </row>
    <row r="276">
      <c r="A276" s="1" t="s">
        <v>262</v>
      </c>
      <c r="B276" s="3" t="str">
        <f t="shared" si="1"/>
        <v>Unavailable</v>
      </c>
      <c r="C276" s="3">
        <v>92.0</v>
      </c>
      <c r="D276" s="3">
        <f>IFERROR(__xludf.DUMMYFUNCTION("IFERROR(
IF(REGEXMATCH(LOWER(O276),""k""),
VALUE(REGEXEXTRACT(O276,""[0-9]+""))*1000,
VALUE(REGEXEXTRACT(O276,""[0-9]+""))
),
0
)"),0.0)</f>
        <v>0</v>
      </c>
      <c r="E276" s="1" t="s">
        <v>11</v>
      </c>
      <c r="F276" s="1" t="s">
        <v>20</v>
      </c>
      <c r="G276" s="4" t="b">
        <f t="shared" si="2"/>
        <v>1</v>
      </c>
      <c r="H276" s="1" t="str">
        <f t="shared" si="3"/>
        <v>Currently Unavailable</v>
      </c>
      <c r="I276" s="1" t="str">
        <f t="shared" si="4"/>
        <v>No Badges</v>
      </c>
      <c r="J276" s="3">
        <f t="shared" si="5"/>
        <v>0</v>
      </c>
    </row>
    <row r="277">
      <c r="A277" s="1" t="s">
        <v>263</v>
      </c>
      <c r="B277" s="3" t="str">
        <f t="shared" si="1"/>
        <v>Unavailable</v>
      </c>
      <c r="C277" s="3">
        <v>82.0</v>
      </c>
      <c r="D277" s="3">
        <f>IFERROR(__xludf.DUMMYFUNCTION("IFERROR(
IF(REGEXMATCH(LOWER(O277),""k""),
VALUE(REGEXEXTRACT(O277,""[0-9]+""))*1000,
VALUE(REGEXEXTRACT(O277,""[0-9]+""))
),
0
)"),0.0)</f>
        <v>0</v>
      </c>
      <c r="E277" s="1" t="s">
        <v>11</v>
      </c>
      <c r="F277" s="1" t="s">
        <v>20</v>
      </c>
      <c r="G277" s="4" t="b">
        <f t="shared" si="2"/>
        <v>1</v>
      </c>
      <c r="H277" s="1" t="str">
        <f t="shared" si="3"/>
        <v>Currently Unavailable</v>
      </c>
      <c r="I277" s="1" t="str">
        <f t="shared" si="4"/>
        <v>No Badges</v>
      </c>
      <c r="J277" s="3">
        <f t="shared" si="5"/>
        <v>0</v>
      </c>
    </row>
    <row r="278">
      <c r="A278" s="1" t="s">
        <v>264</v>
      </c>
      <c r="B278" s="3" t="str">
        <f t="shared" si="1"/>
        <v>Unavailable</v>
      </c>
      <c r="C278" s="3">
        <v>129.0</v>
      </c>
      <c r="D278" s="3">
        <f>IFERROR(__xludf.DUMMYFUNCTION("IFERROR(
IF(REGEXMATCH(LOWER(O278),""k""),
VALUE(REGEXEXTRACT(O278,""[0-9]+""))*1000,
VALUE(REGEXEXTRACT(O278,""[0-9]+""))
),
0
)"),0.0)</f>
        <v>0</v>
      </c>
      <c r="E278" s="1" t="s">
        <v>11</v>
      </c>
      <c r="F278" s="1" t="s">
        <v>20</v>
      </c>
      <c r="G278" s="4" t="b">
        <f t="shared" si="2"/>
        <v>1</v>
      </c>
      <c r="H278" s="1" t="str">
        <f t="shared" si="3"/>
        <v>Currently Unavailable</v>
      </c>
      <c r="I278" s="1" t="str">
        <f t="shared" si="4"/>
        <v>No Badges</v>
      </c>
      <c r="J278" s="3">
        <f t="shared" si="5"/>
        <v>0</v>
      </c>
    </row>
    <row r="279">
      <c r="A279" s="1" t="s">
        <v>265</v>
      </c>
      <c r="B279" s="3" t="str">
        <f t="shared" si="1"/>
        <v>Unavailable</v>
      </c>
      <c r="C279" s="3">
        <v>264.0</v>
      </c>
      <c r="D279" s="3">
        <f>IFERROR(__xludf.DUMMYFUNCTION("IFERROR(
IF(REGEXMATCH(LOWER(O279),""k""),
VALUE(REGEXEXTRACT(O279,""[0-9]+""))*1000,
VALUE(REGEXEXTRACT(O279,""[0-9]+""))
),
0
)"),0.0)</f>
        <v>0</v>
      </c>
      <c r="E279" s="1" t="s">
        <v>11</v>
      </c>
      <c r="F279" s="1" t="s">
        <v>20</v>
      </c>
      <c r="G279" s="4" t="b">
        <f t="shared" si="2"/>
        <v>1</v>
      </c>
      <c r="H279" s="1" t="str">
        <f t="shared" si="3"/>
        <v>Currently Unavailable</v>
      </c>
      <c r="I279" s="1" t="str">
        <f t="shared" si="4"/>
        <v>No Badges</v>
      </c>
      <c r="J279" s="3">
        <f t="shared" si="5"/>
        <v>0</v>
      </c>
    </row>
    <row r="280">
      <c r="A280" s="1" t="s">
        <v>266</v>
      </c>
      <c r="B280" s="3" t="str">
        <f t="shared" si="1"/>
        <v>Unavailable</v>
      </c>
      <c r="C280" s="3">
        <v>23.0</v>
      </c>
      <c r="D280" s="3">
        <f>IFERROR(__xludf.DUMMYFUNCTION("IFERROR(
IF(REGEXMATCH(LOWER(O280),""k""),
VALUE(REGEXEXTRACT(O280,""[0-9]+""))*1000,
VALUE(REGEXEXTRACT(O280,""[0-9]+""))
),
0
)"),0.0)</f>
        <v>0</v>
      </c>
      <c r="E280" s="1" t="s">
        <v>11</v>
      </c>
      <c r="F280" s="1" t="s">
        <v>20</v>
      </c>
      <c r="G280" s="4" t="b">
        <f t="shared" si="2"/>
        <v>1</v>
      </c>
      <c r="H280" s="1" t="str">
        <f t="shared" si="3"/>
        <v>Currently Unavailable</v>
      </c>
      <c r="I280" s="1" t="str">
        <f t="shared" si="4"/>
        <v>No Badges</v>
      </c>
      <c r="J280" s="3">
        <f t="shared" si="5"/>
        <v>0</v>
      </c>
    </row>
    <row r="281">
      <c r="A281" s="1" t="s">
        <v>267</v>
      </c>
      <c r="B281" s="3" t="str">
        <f t="shared" si="1"/>
        <v>Unavailable</v>
      </c>
      <c r="C281" s="3">
        <v>994.0</v>
      </c>
      <c r="D281" s="3">
        <f>IFERROR(__xludf.DUMMYFUNCTION("IFERROR(
IF(REGEXMATCH(LOWER(O281),""k""),
VALUE(REGEXEXTRACT(O281,""[0-9]+""))*1000,
VALUE(REGEXEXTRACT(O281,""[0-9]+""))
),
0
)"),0.0)</f>
        <v>0</v>
      </c>
      <c r="E281" s="1" t="s">
        <v>11</v>
      </c>
      <c r="F281" s="1" t="s">
        <v>20</v>
      </c>
      <c r="G281" s="4" t="b">
        <f t="shared" si="2"/>
        <v>1</v>
      </c>
      <c r="H281" s="1" t="str">
        <f t="shared" si="3"/>
        <v>Currently Unavailable</v>
      </c>
      <c r="I281" s="1" t="str">
        <f t="shared" si="4"/>
        <v>No Badges</v>
      </c>
      <c r="J281" s="3">
        <f t="shared" si="5"/>
        <v>0</v>
      </c>
    </row>
    <row r="282">
      <c r="A282" s="1" t="s">
        <v>268</v>
      </c>
      <c r="B282" s="3" t="str">
        <f t="shared" si="1"/>
        <v>Unavailable</v>
      </c>
      <c r="C282" s="3">
        <v>83.0</v>
      </c>
      <c r="D282" s="3">
        <f>IFERROR(__xludf.DUMMYFUNCTION("IFERROR(
IF(REGEXMATCH(LOWER(O282),""k""),
VALUE(REGEXEXTRACT(O282,""[0-9]+""))*1000,
VALUE(REGEXEXTRACT(O282,""[0-9]+""))
),
0
)"),0.0)</f>
        <v>0</v>
      </c>
      <c r="E282" s="1" t="s">
        <v>11</v>
      </c>
      <c r="F282" s="1" t="s">
        <v>20</v>
      </c>
      <c r="G282" s="4" t="b">
        <f t="shared" si="2"/>
        <v>1</v>
      </c>
      <c r="H282" s="1" t="str">
        <f t="shared" si="3"/>
        <v>Currently Unavailable</v>
      </c>
      <c r="I282" s="1" t="str">
        <f t="shared" si="4"/>
        <v>No Badges</v>
      </c>
      <c r="J282" s="3">
        <f t="shared" si="5"/>
        <v>0</v>
      </c>
    </row>
    <row r="283">
      <c r="A283" s="1" t="s">
        <v>269</v>
      </c>
      <c r="B283" s="3" t="str">
        <f t="shared" si="1"/>
        <v>Unavailable</v>
      </c>
      <c r="C283" s="3">
        <v>31.0</v>
      </c>
      <c r="D283" s="3">
        <f>IFERROR(__xludf.DUMMYFUNCTION("IFERROR(
IF(REGEXMATCH(LOWER(O283),""k""),
VALUE(REGEXEXTRACT(O283,""[0-9]+""))*1000,
VALUE(REGEXEXTRACT(O283,""[0-9]+""))
),
0
)"),0.0)</f>
        <v>0</v>
      </c>
      <c r="E283" s="1" t="s">
        <v>11</v>
      </c>
      <c r="F283" s="1" t="s">
        <v>20</v>
      </c>
      <c r="G283" s="4" t="b">
        <f t="shared" si="2"/>
        <v>1</v>
      </c>
      <c r="H283" s="1" t="str">
        <f t="shared" si="3"/>
        <v>Currently Unavailable</v>
      </c>
      <c r="I283" s="1" t="str">
        <f t="shared" si="4"/>
        <v>No Badges</v>
      </c>
      <c r="J283" s="3">
        <f t="shared" si="5"/>
        <v>0</v>
      </c>
    </row>
    <row r="284">
      <c r="A284" s="1" t="s">
        <v>270</v>
      </c>
      <c r="B284" s="3" t="str">
        <f t="shared" si="1"/>
        <v>Unavailable</v>
      </c>
      <c r="C284" s="3">
        <v>96.0</v>
      </c>
      <c r="D284" s="3">
        <f>IFERROR(__xludf.DUMMYFUNCTION("IFERROR(
IF(REGEXMATCH(LOWER(O284),""k""),
VALUE(REGEXEXTRACT(O284,""[0-9]+""))*1000,
VALUE(REGEXEXTRACT(O284,""[0-9]+""))
),
0
)"),0.0)</f>
        <v>0</v>
      </c>
      <c r="E284" s="1" t="s">
        <v>11</v>
      </c>
      <c r="F284" s="1" t="s">
        <v>20</v>
      </c>
      <c r="G284" s="4" t="b">
        <f t="shared" si="2"/>
        <v>1</v>
      </c>
      <c r="H284" s="1" t="str">
        <f t="shared" si="3"/>
        <v>Currently Unavailable</v>
      </c>
      <c r="I284" s="1" t="str">
        <f t="shared" si="4"/>
        <v>No Badges</v>
      </c>
      <c r="J284" s="3">
        <f t="shared" si="5"/>
        <v>0</v>
      </c>
    </row>
    <row r="285">
      <c r="A285" s="1" t="s">
        <v>271</v>
      </c>
      <c r="B285" s="3" t="str">
        <f t="shared" si="1"/>
        <v>Unavailable</v>
      </c>
      <c r="C285" s="3">
        <v>175.0</v>
      </c>
      <c r="D285" s="3">
        <f>IFERROR(__xludf.DUMMYFUNCTION("IFERROR(
IF(REGEXMATCH(LOWER(O285),""k""),
VALUE(REGEXEXTRACT(O285,""[0-9]+""))*1000,
VALUE(REGEXEXTRACT(O285,""[0-9]+""))
),
0
)"),0.0)</f>
        <v>0</v>
      </c>
      <c r="E285" s="1" t="s">
        <v>11</v>
      </c>
      <c r="F285" s="1" t="s">
        <v>20</v>
      </c>
      <c r="G285" s="4" t="b">
        <f t="shared" si="2"/>
        <v>1</v>
      </c>
      <c r="H285" s="1" t="str">
        <f t="shared" si="3"/>
        <v>Currently Unavailable</v>
      </c>
      <c r="I285" s="1" t="str">
        <f t="shared" si="4"/>
        <v>No Badges</v>
      </c>
      <c r="J285" s="3">
        <f t="shared" si="5"/>
        <v>0</v>
      </c>
    </row>
    <row r="286">
      <c r="A286" s="1" t="s">
        <v>272</v>
      </c>
      <c r="B286" s="3" t="str">
        <f t="shared" si="1"/>
        <v>Unavailable</v>
      </c>
      <c r="C286" s="3">
        <v>206.0</v>
      </c>
      <c r="D286" s="3">
        <f>IFERROR(__xludf.DUMMYFUNCTION("IFERROR(
IF(REGEXMATCH(LOWER(O286),""k""),
VALUE(REGEXEXTRACT(O286,""[0-9]+""))*1000,
VALUE(REGEXEXTRACT(O286,""[0-9]+""))
),
0
)"),0.0)</f>
        <v>0</v>
      </c>
      <c r="E286" s="1" t="s">
        <v>11</v>
      </c>
      <c r="F286" s="1" t="s">
        <v>20</v>
      </c>
      <c r="G286" s="4" t="b">
        <f t="shared" si="2"/>
        <v>1</v>
      </c>
      <c r="H286" s="1" t="str">
        <f t="shared" si="3"/>
        <v>Currently Unavailable</v>
      </c>
      <c r="I286" s="1" t="str">
        <f t="shared" si="4"/>
        <v>No Badges</v>
      </c>
      <c r="J286" s="3">
        <f t="shared" si="5"/>
        <v>0</v>
      </c>
    </row>
    <row r="287">
      <c r="A287" s="1" t="s">
        <v>69</v>
      </c>
      <c r="B287" s="3" t="str">
        <f t="shared" si="1"/>
        <v>Unavailable</v>
      </c>
      <c r="C287" s="3">
        <v>45.0</v>
      </c>
      <c r="D287" s="3">
        <f>IFERROR(__xludf.DUMMYFUNCTION("IFERROR(
IF(REGEXMATCH(LOWER(O287),""k""),
VALUE(REGEXEXTRACT(O287,""[0-9]+""))*1000,
VALUE(REGEXEXTRACT(O287,""[0-9]+""))
),
0
)"),0.0)</f>
        <v>0</v>
      </c>
      <c r="E287" s="1" t="s">
        <v>11</v>
      </c>
      <c r="F287" s="1" t="s">
        <v>12</v>
      </c>
      <c r="G287" s="4" t="b">
        <f t="shared" si="2"/>
        <v>1</v>
      </c>
      <c r="H287" s="1" t="str">
        <f t="shared" si="3"/>
        <v>Currently Unavailable</v>
      </c>
      <c r="I287" s="1" t="str">
        <f t="shared" si="4"/>
        <v>No Badges</v>
      </c>
      <c r="J287" s="3">
        <f t="shared" si="5"/>
        <v>0</v>
      </c>
    </row>
    <row r="288">
      <c r="A288" s="1" t="s">
        <v>67</v>
      </c>
      <c r="B288" s="3" t="str">
        <f t="shared" si="1"/>
        <v>Unavailable</v>
      </c>
      <c r="C288" s="3">
        <v>264.0</v>
      </c>
      <c r="D288" s="3">
        <f>IFERROR(__xludf.DUMMYFUNCTION("IFERROR(
IF(REGEXMATCH(LOWER(O288),""k""),
VALUE(REGEXEXTRACT(O288,""[0-9]+""))*1000,
VALUE(REGEXEXTRACT(O288,""[0-9]+""))
),
0
)"),0.0)</f>
        <v>0</v>
      </c>
      <c r="E288" s="1" t="s">
        <v>11</v>
      </c>
      <c r="F288" s="1" t="s">
        <v>12</v>
      </c>
      <c r="G288" s="4" t="b">
        <f t="shared" si="2"/>
        <v>1</v>
      </c>
      <c r="H288" s="1" t="str">
        <f t="shared" si="3"/>
        <v>Currently Unavailable</v>
      </c>
      <c r="I288" s="1" t="str">
        <f t="shared" si="4"/>
        <v>No Badges</v>
      </c>
      <c r="J288" s="3">
        <f t="shared" si="5"/>
        <v>0</v>
      </c>
    </row>
    <row r="289">
      <c r="A289" s="1" t="s">
        <v>273</v>
      </c>
      <c r="B289" s="3" t="str">
        <f t="shared" si="1"/>
        <v>Unavailable</v>
      </c>
      <c r="C289" s="3">
        <v>1.0</v>
      </c>
      <c r="D289" s="3">
        <f>IFERROR(__xludf.DUMMYFUNCTION("IFERROR(
IF(REGEXMATCH(LOWER(O289),""k""),
VALUE(REGEXEXTRACT(O289,""[0-9]+""))*1000,
VALUE(REGEXEXTRACT(O289,""[0-9]+""))
),
0
)"),0.0)</f>
        <v>0</v>
      </c>
      <c r="E289" s="1" t="s">
        <v>11</v>
      </c>
      <c r="F289" s="1" t="s">
        <v>20</v>
      </c>
      <c r="G289" s="4" t="b">
        <f t="shared" si="2"/>
        <v>1</v>
      </c>
      <c r="H289" s="1" t="str">
        <f t="shared" si="3"/>
        <v>Currently Unavailable</v>
      </c>
      <c r="I289" s="1" t="str">
        <f t="shared" si="4"/>
        <v>No Badges</v>
      </c>
      <c r="J289" s="3">
        <f t="shared" si="5"/>
        <v>0</v>
      </c>
    </row>
    <row r="290">
      <c r="A290" s="1" t="s">
        <v>274</v>
      </c>
      <c r="B290" s="3" t="str">
        <f t="shared" si="1"/>
        <v>Unavailable</v>
      </c>
      <c r="C290" s="3">
        <v>147.0</v>
      </c>
      <c r="D290" s="3">
        <f>IFERROR(__xludf.DUMMYFUNCTION("IFERROR(
IF(REGEXMATCH(LOWER(O290),""k""),
VALUE(REGEXEXTRACT(O290,""[0-9]+""))*1000,
VALUE(REGEXEXTRACT(O290,""[0-9]+""))
),
0
)"),0.0)</f>
        <v>0</v>
      </c>
      <c r="E290" s="1" t="s">
        <v>11</v>
      </c>
      <c r="F290" s="1" t="s">
        <v>20</v>
      </c>
      <c r="G290" s="4" t="b">
        <f t="shared" si="2"/>
        <v>1</v>
      </c>
      <c r="H290" s="1" t="str">
        <f t="shared" si="3"/>
        <v>Currently Unavailable</v>
      </c>
      <c r="I290" s="1" t="str">
        <f t="shared" si="4"/>
        <v>No Badges</v>
      </c>
      <c r="J290" s="3">
        <f t="shared" si="5"/>
        <v>0</v>
      </c>
    </row>
    <row r="291">
      <c r="A291" s="1" t="s">
        <v>275</v>
      </c>
      <c r="B291" s="3" t="str">
        <f t="shared" si="1"/>
        <v>Unavailable</v>
      </c>
      <c r="C291" s="3">
        <v>8.0</v>
      </c>
      <c r="D291" s="3">
        <f>IFERROR(__xludf.DUMMYFUNCTION("IFERROR(
IF(REGEXMATCH(LOWER(O291),""k""),
VALUE(REGEXEXTRACT(O291,""[0-9]+""))*1000,
VALUE(REGEXEXTRACT(O291,""[0-9]+""))
),
0
)"),0.0)</f>
        <v>0</v>
      </c>
      <c r="E291" s="1" t="s">
        <v>11</v>
      </c>
      <c r="F291" s="1" t="s">
        <v>20</v>
      </c>
      <c r="G291" s="4" t="b">
        <f t="shared" si="2"/>
        <v>1</v>
      </c>
      <c r="H291" s="1" t="str">
        <f t="shared" si="3"/>
        <v>Currently Unavailable</v>
      </c>
      <c r="I291" s="1" t="str">
        <f t="shared" si="4"/>
        <v>No Badges</v>
      </c>
      <c r="J291" s="3">
        <f t="shared" si="5"/>
        <v>0</v>
      </c>
    </row>
    <row r="292">
      <c r="A292" s="1" t="s">
        <v>276</v>
      </c>
      <c r="B292" s="3" t="str">
        <f t="shared" si="1"/>
        <v>Unavailable</v>
      </c>
      <c r="C292" s="3">
        <v>83.0</v>
      </c>
      <c r="D292" s="3">
        <f>IFERROR(__xludf.DUMMYFUNCTION("IFERROR(
IF(REGEXMATCH(LOWER(O292),""k""),
VALUE(REGEXEXTRACT(O292,""[0-9]+""))*1000,
VALUE(REGEXEXTRACT(O292,""[0-9]+""))
),
0
)"),0.0)</f>
        <v>0</v>
      </c>
      <c r="E292" s="1" t="s">
        <v>11</v>
      </c>
      <c r="F292" s="1" t="s">
        <v>20</v>
      </c>
      <c r="G292" s="4" t="b">
        <f t="shared" si="2"/>
        <v>1</v>
      </c>
      <c r="H292" s="1" t="str">
        <f t="shared" si="3"/>
        <v>Currently Unavailable</v>
      </c>
      <c r="I292" s="1" t="str">
        <f t="shared" si="4"/>
        <v>No Badges</v>
      </c>
      <c r="J292" s="3">
        <f t="shared" si="5"/>
        <v>0</v>
      </c>
    </row>
    <row r="293">
      <c r="A293" s="1" t="s">
        <v>277</v>
      </c>
      <c r="B293" s="3" t="str">
        <f t="shared" si="1"/>
        <v>Unavailable</v>
      </c>
      <c r="C293" s="3">
        <v>20.0</v>
      </c>
      <c r="D293" s="3">
        <f>IFERROR(__xludf.DUMMYFUNCTION("IFERROR(
IF(REGEXMATCH(LOWER(O293),""k""),
VALUE(REGEXEXTRACT(O293,""[0-9]+""))*1000,
VALUE(REGEXEXTRACT(O293,""[0-9]+""))
),
0
)"),0.0)</f>
        <v>0</v>
      </c>
      <c r="E293" s="1" t="s">
        <v>11</v>
      </c>
      <c r="F293" s="1" t="s">
        <v>20</v>
      </c>
      <c r="G293" s="4" t="b">
        <f t="shared" si="2"/>
        <v>1</v>
      </c>
      <c r="H293" s="1" t="str">
        <f t="shared" si="3"/>
        <v>Currently Unavailable</v>
      </c>
      <c r="I293" s="1" t="str">
        <f t="shared" si="4"/>
        <v>No Badges</v>
      </c>
      <c r="J293" s="3">
        <f t="shared" si="5"/>
        <v>0</v>
      </c>
    </row>
    <row r="294">
      <c r="A294" s="1" t="s">
        <v>278</v>
      </c>
      <c r="B294" s="3" t="str">
        <f t="shared" si="1"/>
        <v>Unavailable</v>
      </c>
      <c r="C294" s="3">
        <v>132.0</v>
      </c>
      <c r="D294" s="3">
        <f>IFERROR(__xludf.DUMMYFUNCTION("IFERROR(
IF(REGEXMATCH(LOWER(O294),""k""),
VALUE(REGEXEXTRACT(O294,""[0-9]+""))*1000,
VALUE(REGEXEXTRACT(O294,""[0-9]+""))
),
0
)"),0.0)</f>
        <v>0</v>
      </c>
      <c r="E294" s="1" t="s">
        <v>11</v>
      </c>
      <c r="F294" s="1" t="s">
        <v>20</v>
      </c>
      <c r="G294" s="4" t="b">
        <f t="shared" si="2"/>
        <v>1</v>
      </c>
      <c r="H294" s="1" t="str">
        <f t="shared" si="3"/>
        <v>Currently Unavailable</v>
      </c>
      <c r="I294" s="1" t="str">
        <f t="shared" si="4"/>
        <v>No Badges</v>
      </c>
      <c r="J294" s="3">
        <f t="shared" si="5"/>
        <v>0</v>
      </c>
    </row>
    <row r="295">
      <c r="A295" s="1" t="s">
        <v>279</v>
      </c>
      <c r="B295" s="3" t="str">
        <f t="shared" si="1"/>
        <v>Unavailable</v>
      </c>
      <c r="C295" s="5">
        <v>1907.0</v>
      </c>
      <c r="D295" s="3">
        <f>IFERROR(__xludf.DUMMYFUNCTION("IFERROR(
IF(REGEXMATCH(LOWER(O295),""k""),
VALUE(REGEXEXTRACT(O295,""[0-9]+""))*1000,
VALUE(REGEXEXTRACT(O295,""[0-9]+""))
),
0
)"),0.0)</f>
        <v>0</v>
      </c>
      <c r="E295" s="1" t="s">
        <v>11</v>
      </c>
      <c r="F295" s="1" t="s">
        <v>20</v>
      </c>
      <c r="G295" s="4" t="b">
        <f t="shared" si="2"/>
        <v>1</v>
      </c>
      <c r="H295" s="1" t="str">
        <f t="shared" si="3"/>
        <v>Currently Unavailable</v>
      </c>
      <c r="I295" s="1" t="str">
        <f t="shared" si="4"/>
        <v>No Badges</v>
      </c>
      <c r="J295" s="3">
        <f t="shared" si="5"/>
        <v>0</v>
      </c>
    </row>
    <row r="296">
      <c r="A296" s="1" t="s">
        <v>280</v>
      </c>
      <c r="B296" s="3" t="str">
        <f t="shared" si="1"/>
        <v>Unavailable</v>
      </c>
      <c r="C296" s="5">
        <v>44602.0</v>
      </c>
      <c r="D296" s="3">
        <f>IFERROR(__xludf.DUMMYFUNCTION("IFERROR(
IF(REGEXMATCH(LOWER(O296),""k""),
VALUE(REGEXEXTRACT(O296,""[0-9]+""))*1000,
VALUE(REGEXEXTRACT(O296,""[0-9]+""))
),
0
)"),0.0)</f>
        <v>0</v>
      </c>
      <c r="E296" s="1" t="s">
        <v>11</v>
      </c>
      <c r="F296" s="1" t="s">
        <v>20</v>
      </c>
      <c r="G296" s="4" t="b">
        <f t="shared" si="2"/>
        <v>1</v>
      </c>
      <c r="H296" s="1" t="str">
        <f t="shared" si="3"/>
        <v>Currently Unavailable</v>
      </c>
      <c r="I296" s="1" t="str">
        <f t="shared" si="4"/>
        <v>No Badges</v>
      </c>
      <c r="J296" s="3">
        <f t="shared" si="5"/>
        <v>0</v>
      </c>
    </row>
    <row r="297">
      <c r="A297" s="1" t="s">
        <v>281</v>
      </c>
      <c r="B297" s="3" t="str">
        <f t="shared" si="1"/>
        <v>Unavailable</v>
      </c>
      <c r="C297" s="3">
        <v>87.0</v>
      </c>
      <c r="D297" s="3">
        <f>IFERROR(__xludf.DUMMYFUNCTION("IFERROR(
IF(REGEXMATCH(LOWER(O297),""k""),
VALUE(REGEXEXTRACT(O297,""[0-9]+""))*1000,
VALUE(REGEXEXTRACT(O297,""[0-9]+""))
),
0
)"),0.0)</f>
        <v>0</v>
      </c>
      <c r="E297" s="1" t="s">
        <v>11</v>
      </c>
      <c r="F297" s="1" t="s">
        <v>20</v>
      </c>
      <c r="G297" s="4" t="b">
        <f t="shared" si="2"/>
        <v>1</v>
      </c>
      <c r="H297" s="1" t="str">
        <f t="shared" si="3"/>
        <v>Currently Unavailable</v>
      </c>
      <c r="I297" s="1" t="str">
        <f t="shared" si="4"/>
        <v>No Badges</v>
      </c>
      <c r="J297" s="3">
        <f t="shared" si="5"/>
        <v>0</v>
      </c>
    </row>
    <row r="298">
      <c r="A298" s="1" t="s">
        <v>282</v>
      </c>
      <c r="B298" s="3" t="str">
        <f t="shared" si="1"/>
        <v>Unavailable</v>
      </c>
      <c r="C298" s="3">
        <v>37.0</v>
      </c>
      <c r="D298" s="3">
        <f>IFERROR(__xludf.DUMMYFUNCTION("IFERROR(
IF(REGEXMATCH(LOWER(O298),""k""),
VALUE(REGEXEXTRACT(O298,""[0-9]+""))*1000,
VALUE(REGEXEXTRACT(O298,""[0-9]+""))
),
0
)"),0.0)</f>
        <v>0</v>
      </c>
      <c r="E298" s="1" t="s">
        <v>11</v>
      </c>
      <c r="F298" s="1" t="s">
        <v>20</v>
      </c>
      <c r="G298" s="4" t="b">
        <f t="shared" si="2"/>
        <v>1</v>
      </c>
      <c r="H298" s="1" t="str">
        <f t="shared" si="3"/>
        <v>Currently Unavailable</v>
      </c>
      <c r="I298" s="1" t="str">
        <f t="shared" si="4"/>
        <v>No Badges</v>
      </c>
      <c r="J298" s="3">
        <f t="shared" si="5"/>
        <v>0</v>
      </c>
    </row>
    <row r="299">
      <c r="A299" s="1" t="s">
        <v>283</v>
      </c>
      <c r="B299" s="3" t="str">
        <f t="shared" si="1"/>
        <v>Unavailable</v>
      </c>
      <c r="C299" s="3">
        <v>10.0</v>
      </c>
      <c r="D299" s="3">
        <f>IFERROR(__xludf.DUMMYFUNCTION("IFERROR(
IF(REGEXMATCH(LOWER(O299),""k""),
VALUE(REGEXEXTRACT(O299,""[0-9]+""))*1000,
VALUE(REGEXEXTRACT(O299,""[0-9]+""))
),
0
)"),0.0)</f>
        <v>0</v>
      </c>
      <c r="E299" s="1" t="s">
        <v>11</v>
      </c>
      <c r="F299" s="1" t="s">
        <v>20</v>
      </c>
      <c r="G299" s="4" t="b">
        <f t="shared" si="2"/>
        <v>1</v>
      </c>
      <c r="H299" s="1" t="str">
        <f t="shared" si="3"/>
        <v>Currently Unavailable</v>
      </c>
      <c r="I299" s="1" t="str">
        <f t="shared" si="4"/>
        <v>No Badges</v>
      </c>
      <c r="J299" s="3">
        <f t="shared" si="5"/>
        <v>0</v>
      </c>
    </row>
    <row r="300">
      <c r="A300" s="1" t="s">
        <v>284</v>
      </c>
      <c r="B300" s="3" t="str">
        <f t="shared" si="1"/>
        <v>Unavailable</v>
      </c>
      <c r="C300" s="3">
        <v>67.0</v>
      </c>
      <c r="D300" s="3">
        <f>IFERROR(__xludf.DUMMYFUNCTION("IFERROR(
IF(REGEXMATCH(LOWER(O300),""k""),
VALUE(REGEXEXTRACT(O300,""[0-9]+""))*1000,
VALUE(REGEXEXTRACT(O300,""[0-9]+""))
),
0
)"),0.0)</f>
        <v>0</v>
      </c>
      <c r="E300" s="1" t="s">
        <v>11</v>
      </c>
      <c r="F300" s="1" t="s">
        <v>20</v>
      </c>
      <c r="G300" s="4" t="b">
        <f t="shared" si="2"/>
        <v>1</v>
      </c>
      <c r="H300" s="1" t="str">
        <f t="shared" si="3"/>
        <v>Currently Unavailable</v>
      </c>
      <c r="I300" s="1" t="str">
        <f t="shared" si="4"/>
        <v>No Badges</v>
      </c>
      <c r="J300" s="3">
        <f t="shared" si="5"/>
        <v>0</v>
      </c>
    </row>
    <row r="301">
      <c r="A301" s="1" t="s">
        <v>285</v>
      </c>
      <c r="B301" s="3" t="str">
        <f t="shared" si="1"/>
        <v>Unavailable</v>
      </c>
      <c r="C301" s="3">
        <v>249.0</v>
      </c>
      <c r="D301" s="3">
        <f>IFERROR(__xludf.DUMMYFUNCTION("IFERROR(
IF(REGEXMATCH(LOWER(O301),""k""),
VALUE(REGEXEXTRACT(O301,""[0-9]+""))*1000,
VALUE(REGEXEXTRACT(O301,""[0-9]+""))
),
0
)"),0.0)</f>
        <v>0</v>
      </c>
      <c r="E301" s="1" t="s">
        <v>11</v>
      </c>
      <c r="F301" s="1" t="s">
        <v>20</v>
      </c>
      <c r="G301" s="4" t="b">
        <f t="shared" si="2"/>
        <v>1</v>
      </c>
      <c r="H301" s="1" t="str">
        <f t="shared" si="3"/>
        <v>Currently Unavailable</v>
      </c>
      <c r="I301" s="1" t="str">
        <f t="shared" si="4"/>
        <v>No Badges</v>
      </c>
      <c r="J301" s="3">
        <f t="shared" si="5"/>
        <v>0</v>
      </c>
    </row>
    <row r="302">
      <c r="A302" s="1" t="s">
        <v>40</v>
      </c>
      <c r="B302" s="3" t="str">
        <f t="shared" si="1"/>
        <v>Unavailable</v>
      </c>
      <c r="C302" s="3">
        <v>171.0</v>
      </c>
      <c r="D302" s="3">
        <f>IFERROR(__xludf.DUMMYFUNCTION("IFERROR(
IF(REGEXMATCH(LOWER(O302),""k""),
VALUE(REGEXEXTRACT(O302,""[0-9]+""))*1000,
VALUE(REGEXEXTRACT(O302,""[0-9]+""))
),
0
)"),0.0)</f>
        <v>0</v>
      </c>
      <c r="E302" s="1" t="s">
        <v>11</v>
      </c>
      <c r="F302" s="1" t="s">
        <v>12</v>
      </c>
      <c r="G302" s="4" t="b">
        <f t="shared" si="2"/>
        <v>1</v>
      </c>
      <c r="H302" s="1" t="str">
        <f t="shared" si="3"/>
        <v>Currently Unavailable</v>
      </c>
      <c r="I302" s="1" t="str">
        <f t="shared" si="4"/>
        <v>No Badges</v>
      </c>
      <c r="J302" s="3">
        <f t="shared" si="5"/>
        <v>0</v>
      </c>
    </row>
    <row r="303">
      <c r="A303" s="1" t="s">
        <v>286</v>
      </c>
      <c r="B303" s="3" t="str">
        <f t="shared" si="1"/>
        <v>Unavailable</v>
      </c>
      <c r="C303" s="3">
        <v>28.0</v>
      </c>
      <c r="D303" s="3">
        <f>IFERROR(__xludf.DUMMYFUNCTION("IFERROR(
IF(REGEXMATCH(LOWER(O303),""k""),
VALUE(REGEXEXTRACT(O303,""[0-9]+""))*1000,
VALUE(REGEXEXTRACT(O303,""[0-9]+""))
),
0
)"),0.0)</f>
        <v>0</v>
      </c>
      <c r="E303" s="1" t="s">
        <v>11</v>
      </c>
      <c r="F303" s="1" t="s">
        <v>12</v>
      </c>
      <c r="G303" s="4" t="b">
        <f t="shared" si="2"/>
        <v>1</v>
      </c>
      <c r="H303" s="1" t="str">
        <f t="shared" si="3"/>
        <v>Currently Unavailable</v>
      </c>
      <c r="I303" s="1" t="str">
        <f t="shared" si="4"/>
        <v>No Badges</v>
      </c>
      <c r="J303" s="3">
        <f t="shared" si="5"/>
        <v>0</v>
      </c>
    </row>
    <row r="304">
      <c r="A304" s="1" t="s">
        <v>287</v>
      </c>
      <c r="B304" s="3" t="str">
        <f t="shared" si="1"/>
        <v>Unavailable</v>
      </c>
      <c r="C304" s="3">
        <v>202.0</v>
      </c>
      <c r="D304" s="3">
        <f>IFERROR(__xludf.DUMMYFUNCTION("IFERROR(
IF(REGEXMATCH(LOWER(O304),""k""),
VALUE(REGEXEXTRACT(O304,""[0-9]+""))*1000,
VALUE(REGEXEXTRACT(O304,""[0-9]+""))
),
0
)"),0.0)</f>
        <v>0</v>
      </c>
      <c r="E304" s="1" t="s">
        <v>11</v>
      </c>
      <c r="F304" s="1" t="s">
        <v>20</v>
      </c>
      <c r="G304" s="4" t="b">
        <f t="shared" si="2"/>
        <v>1</v>
      </c>
      <c r="H304" s="1" t="str">
        <f t="shared" si="3"/>
        <v>Currently Unavailable</v>
      </c>
      <c r="I304" s="1" t="str">
        <f t="shared" si="4"/>
        <v>No Badges</v>
      </c>
      <c r="J304" s="3">
        <f t="shared" si="5"/>
        <v>0</v>
      </c>
    </row>
    <row r="305">
      <c r="A305" s="1" t="s">
        <v>288</v>
      </c>
      <c r="B305" s="3" t="str">
        <f t="shared" si="1"/>
        <v>Unavailable</v>
      </c>
      <c r="C305" s="3">
        <v>233.0</v>
      </c>
      <c r="D305" s="3">
        <f>IFERROR(__xludf.DUMMYFUNCTION("IFERROR(
IF(REGEXMATCH(LOWER(O305),""k""),
VALUE(REGEXEXTRACT(O305,""[0-9]+""))*1000,
VALUE(REGEXEXTRACT(O305,""[0-9]+""))
),
0
)"),0.0)</f>
        <v>0</v>
      </c>
      <c r="E305" s="1" t="s">
        <v>11</v>
      </c>
      <c r="F305" s="1" t="s">
        <v>20</v>
      </c>
      <c r="G305" s="4" t="b">
        <f t="shared" si="2"/>
        <v>1</v>
      </c>
      <c r="H305" s="1" t="str">
        <f t="shared" si="3"/>
        <v>Currently Unavailable</v>
      </c>
      <c r="I305" s="1" t="str">
        <f t="shared" si="4"/>
        <v>No Badges</v>
      </c>
      <c r="J305" s="3">
        <f t="shared" si="5"/>
        <v>0</v>
      </c>
    </row>
    <row r="306">
      <c r="A306" s="1" t="s">
        <v>289</v>
      </c>
      <c r="B306" s="3" t="str">
        <f t="shared" si="1"/>
        <v>Unavailable</v>
      </c>
      <c r="C306" s="3">
        <v>187.0</v>
      </c>
      <c r="D306" s="3">
        <f>IFERROR(__xludf.DUMMYFUNCTION("IFERROR(
IF(REGEXMATCH(LOWER(O306),""k""),
VALUE(REGEXEXTRACT(O306,""[0-9]+""))*1000,
VALUE(REGEXEXTRACT(O306,""[0-9]+""))
),
0
)"),0.0)</f>
        <v>0</v>
      </c>
      <c r="E306" s="1" t="s">
        <v>11</v>
      </c>
      <c r="F306" s="1" t="s">
        <v>20</v>
      </c>
      <c r="G306" s="4" t="b">
        <f t="shared" si="2"/>
        <v>1</v>
      </c>
      <c r="H306" s="1" t="str">
        <f t="shared" si="3"/>
        <v>Currently Unavailable</v>
      </c>
      <c r="I306" s="1" t="str">
        <f t="shared" si="4"/>
        <v>No Badges</v>
      </c>
      <c r="J306" s="3">
        <f t="shared" si="5"/>
        <v>0</v>
      </c>
    </row>
    <row r="307">
      <c r="A307" s="1" t="s">
        <v>290</v>
      </c>
      <c r="B307" s="3" t="str">
        <f t="shared" si="1"/>
        <v>Unavailable</v>
      </c>
      <c r="C307" s="3">
        <v>131.0</v>
      </c>
      <c r="D307" s="3">
        <f>IFERROR(__xludf.DUMMYFUNCTION("IFERROR(
IF(REGEXMATCH(LOWER(O307),""k""),
VALUE(REGEXEXTRACT(O307,""[0-9]+""))*1000,
VALUE(REGEXEXTRACT(O307,""[0-9]+""))
),
0
)"),0.0)</f>
        <v>0</v>
      </c>
      <c r="E307" s="1" t="s">
        <v>11</v>
      </c>
      <c r="F307" s="1" t="s">
        <v>20</v>
      </c>
      <c r="G307" s="4" t="b">
        <f t="shared" si="2"/>
        <v>1</v>
      </c>
      <c r="H307" s="1" t="str">
        <f t="shared" si="3"/>
        <v>Currently Unavailable</v>
      </c>
      <c r="I307" s="1" t="str">
        <f t="shared" si="4"/>
        <v>No Badges</v>
      </c>
      <c r="J307" s="3">
        <f t="shared" si="5"/>
        <v>0</v>
      </c>
    </row>
    <row r="308">
      <c r="A308" s="1" t="s">
        <v>291</v>
      </c>
      <c r="B308" s="3" t="str">
        <f t="shared" si="1"/>
        <v>Unavailable</v>
      </c>
      <c r="C308" s="3">
        <v>23.0</v>
      </c>
      <c r="D308" s="3">
        <f>IFERROR(__xludf.DUMMYFUNCTION("IFERROR(
IF(REGEXMATCH(LOWER(O308),""k""),
VALUE(REGEXEXTRACT(O308,""[0-9]+""))*1000,
VALUE(REGEXEXTRACT(O308,""[0-9]+""))
),
0
)"),0.0)</f>
        <v>0</v>
      </c>
      <c r="E308" s="1" t="s">
        <v>11</v>
      </c>
      <c r="F308" s="1" t="s">
        <v>20</v>
      </c>
      <c r="G308" s="4" t="b">
        <f t="shared" si="2"/>
        <v>1</v>
      </c>
      <c r="H308" s="1" t="str">
        <f t="shared" si="3"/>
        <v>Currently Unavailable</v>
      </c>
      <c r="I308" s="1" t="str">
        <f t="shared" si="4"/>
        <v>No Badges</v>
      </c>
      <c r="J308" s="3">
        <f t="shared" si="5"/>
        <v>0</v>
      </c>
    </row>
    <row r="309">
      <c r="A309" s="1" t="s">
        <v>292</v>
      </c>
      <c r="B309" s="3" t="str">
        <f t="shared" si="1"/>
        <v>Unavailable</v>
      </c>
      <c r="C309" s="5">
        <v>1500.0</v>
      </c>
      <c r="D309" s="3">
        <f>IFERROR(__xludf.DUMMYFUNCTION("IFERROR(
IF(REGEXMATCH(LOWER(O309),""k""),
VALUE(REGEXEXTRACT(O309,""[0-9]+""))*1000,
VALUE(REGEXEXTRACT(O309,""[0-9]+""))
),
0
)"),0.0)</f>
        <v>0</v>
      </c>
      <c r="E309" s="1" t="s">
        <v>11</v>
      </c>
      <c r="F309" s="1" t="s">
        <v>20</v>
      </c>
      <c r="G309" s="4" t="b">
        <f t="shared" si="2"/>
        <v>1</v>
      </c>
      <c r="H309" s="1" t="str">
        <f t="shared" si="3"/>
        <v>Currently Unavailable</v>
      </c>
      <c r="I309" s="1" t="str">
        <f t="shared" si="4"/>
        <v>No Badges</v>
      </c>
      <c r="J309" s="3">
        <f t="shared" si="5"/>
        <v>0</v>
      </c>
    </row>
    <row r="310">
      <c r="A310" s="1" t="s">
        <v>293</v>
      </c>
      <c r="B310" s="3" t="str">
        <f t="shared" si="1"/>
        <v>Unavailable</v>
      </c>
      <c r="C310" s="5">
        <v>1317.0</v>
      </c>
      <c r="D310" s="3">
        <f>IFERROR(__xludf.DUMMYFUNCTION("IFERROR(
IF(REGEXMATCH(LOWER(O310),""k""),
VALUE(REGEXEXTRACT(O310,""[0-9]+""))*1000,
VALUE(REGEXEXTRACT(O310,""[0-9]+""))
),
0
)"),0.0)</f>
        <v>0</v>
      </c>
      <c r="E310" s="1" t="s">
        <v>11</v>
      </c>
      <c r="F310" s="1" t="s">
        <v>20</v>
      </c>
      <c r="G310" s="4" t="b">
        <f t="shared" si="2"/>
        <v>1</v>
      </c>
      <c r="H310" s="1" t="str">
        <f t="shared" si="3"/>
        <v>Currently Unavailable</v>
      </c>
      <c r="I310" s="1" t="str">
        <f t="shared" si="4"/>
        <v>No Badges</v>
      </c>
      <c r="J310" s="3">
        <f t="shared" si="5"/>
        <v>0</v>
      </c>
    </row>
    <row r="311">
      <c r="A311" s="1" t="s">
        <v>294</v>
      </c>
      <c r="B311" s="3" t="str">
        <f t="shared" si="1"/>
        <v>Unavailable</v>
      </c>
      <c r="C311" s="3">
        <v>546.0</v>
      </c>
      <c r="D311" s="3">
        <f>IFERROR(__xludf.DUMMYFUNCTION("IFERROR(
IF(REGEXMATCH(LOWER(O311),""k""),
VALUE(REGEXEXTRACT(O311,""[0-9]+""))*1000,
VALUE(REGEXEXTRACT(O311,""[0-9]+""))
),
0
)"),0.0)</f>
        <v>0</v>
      </c>
      <c r="E311" s="1" t="s">
        <v>11</v>
      </c>
      <c r="F311" s="1" t="s">
        <v>20</v>
      </c>
      <c r="G311" s="4" t="b">
        <f t="shared" si="2"/>
        <v>1</v>
      </c>
      <c r="H311" s="1" t="str">
        <f t="shared" si="3"/>
        <v>Currently Unavailable</v>
      </c>
      <c r="I311" s="1" t="str">
        <f t="shared" si="4"/>
        <v>No Badges</v>
      </c>
      <c r="J311" s="3">
        <f t="shared" si="5"/>
        <v>0</v>
      </c>
    </row>
    <row r="312">
      <c r="A312" s="1" t="s">
        <v>295</v>
      </c>
      <c r="B312" s="3" t="str">
        <f t="shared" si="1"/>
        <v>Unavailable</v>
      </c>
      <c r="C312" s="3">
        <v>234.0</v>
      </c>
      <c r="D312" s="3">
        <f>IFERROR(__xludf.DUMMYFUNCTION("IFERROR(
IF(REGEXMATCH(LOWER(O312),""k""),
VALUE(REGEXEXTRACT(O312,""[0-9]+""))*1000,
VALUE(REGEXEXTRACT(O312,""[0-9]+""))
),
0
)"),0.0)</f>
        <v>0</v>
      </c>
      <c r="E312" s="1" t="s">
        <v>11</v>
      </c>
      <c r="F312" s="1" t="s">
        <v>20</v>
      </c>
      <c r="G312" s="4" t="b">
        <f t="shared" si="2"/>
        <v>1</v>
      </c>
      <c r="H312" s="1" t="str">
        <f t="shared" si="3"/>
        <v>Currently Unavailable</v>
      </c>
      <c r="I312" s="1" t="str">
        <f t="shared" si="4"/>
        <v>No Badges</v>
      </c>
      <c r="J312" s="3">
        <f t="shared" si="5"/>
        <v>0</v>
      </c>
    </row>
    <row r="313">
      <c r="A313" s="1" t="s">
        <v>296</v>
      </c>
      <c r="B313" s="3" t="str">
        <f t="shared" si="1"/>
        <v>Unavailable</v>
      </c>
      <c r="C313" s="3">
        <v>7.0</v>
      </c>
      <c r="D313" s="3">
        <f>IFERROR(__xludf.DUMMYFUNCTION("IFERROR(
IF(REGEXMATCH(LOWER(O313),""k""),
VALUE(REGEXEXTRACT(O313,""[0-9]+""))*1000,
VALUE(REGEXEXTRACT(O313,""[0-9]+""))
),
0
)"),0.0)</f>
        <v>0</v>
      </c>
      <c r="E313" s="1" t="s">
        <v>11</v>
      </c>
      <c r="F313" s="1" t="s">
        <v>20</v>
      </c>
      <c r="G313" s="4" t="b">
        <f t="shared" si="2"/>
        <v>1</v>
      </c>
      <c r="H313" s="1" t="str">
        <f t="shared" si="3"/>
        <v>Currently Unavailable</v>
      </c>
      <c r="I313" s="1" t="str">
        <f t="shared" si="4"/>
        <v>No Badges</v>
      </c>
      <c r="J313" s="3">
        <f t="shared" si="5"/>
        <v>0</v>
      </c>
    </row>
    <row r="314">
      <c r="A314" s="1" t="s">
        <v>297</v>
      </c>
      <c r="B314" s="3" t="str">
        <f t="shared" si="1"/>
        <v>Unavailable</v>
      </c>
      <c r="C314" s="3">
        <v>59.0</v>
      </c>
      <c r="D314" s="3">
        <f>IFERROR(__xludf.DUMMYFUNCTION("IFERROR(
IF(REGEXMATCH(LOWER(O314),""k""),
VALUE(REGEXEXTRACT(O314,""[0-9]+""))*1000,
VALUE(REGEXEXTRACT(O314,""[0-9]+""))
),
0
)"),0.0)</f>
        <v>0</v>
      </c>
      <c r="E314" s="1" t="s">
        <v>11</v>
      </c>
      <c r="F314" s="1" t="s">
        <v>20</v>
      </c>
      <c r="G314" s="4" t="b">
        <f t="shared" si="2"/>
        <v>1</v>
      </c>
      <c r="H314" s="1" t="str">
        <f t="shared" si="3"/>
        <v>Currently Unavailable</v>
      </c>
      <c r="I314" s="1" t="str">
        <f t="shared" si="4"/>
        <v>No Badges</v>
      </c>
      <c r="J314" s="3">
        <f t="shared" si="5"/>
        <v>0</v>
      </c>
    </row>
    <row r="315">
      <c r="A315" s="1" t="s">
        <v>298</v>
      </c>
      <c r="B315" s="3" t="str">
        <f t="shared" si="1"/>
        <v>Unavailable</v>
      </c>
      <c r="C315" s="5">
        <v>1251.0</v>
      </c>
      <c r="D315" s="3">
        <f>IFERROR(__xludf.DUMMYFUNCTION("IFERROR(
IF(REGEXMATCH(LOWER(O315),""k""),
VALUE(REGEXEXTRACT(O315,""[0-9]+""))*1000,
VALUE(REGEXEXTRACT(O315,""[0-9]+""))
),
0
)"),0.0)</f>
        <v>0</v>
      </c>
      <c r="E315" s="1" t="s">
        <v>11</v>
      </c>
      <c r="F315" s="1" t="s">
        <v>20</v>
      </c>
      <c r="G315" s="4" t="b">
        <f t="shared" si="2"/>
        <v>1</v>
      </c>
      <c r="H315" s="1" t="str">
        <f t="shared" si="3"/>
        <v>Currently Unavailable</v>
      </c>
      <c r="I315" s="1" t="str">
        <f t="shared" si="4"/>
        <v>No Badges</v>
      </c>
      <c r="J315" s="3">
        <f t="shared" si="5"/>
        <v>0</v>
      </c>
    </row>
    <row r="316">
      <c r="A316" s="1" t="s">
        <v>299</v>
      </c>
      <c r="B316" s="3" t="str">
        <f t="shared" si="1"/>
        <v>Unavailable</v>
      </c>
      <c r="C316" s="3">
        <v>412.0</v>
      </c>
      <c r="D316" s="3">
        <f>IFERROR(__xludf.DUMMYFUNCTION("IFERROR(
IF(REGEXMATCH(LOWER(O316),""k""),
VALUE(REGEXEXTRACT(O316,""[0-9]+""))*1000,
VALUE(REGEXEXTRACT(O316,""[0-9]+""))
),
0
)"),0.0)</f>
        <v>0</v>
      </c>
      <c r="E316" s="1" t="s">
        <v>11</v>
      </c>
      <c r="F316" s="1" t="s">
        <v>20</v>
      </c>
      <c r="G316" s="4" t="b">
        <f t="shared" si="2"/>
        <v>1</v>
      </c>
      <c r="H316" s="1" t="str">
        <f t="shared" si="3"/>
        <v>Currently Unavailable</v>
      </c>
      <c r="I316" s="1" t="str">
        <f t="shared" si="4"/>
        <v>No Badges</v>
      </c>
      <c r="J316" s="3">
        <f t="shared" si="5"/>
        <v>0</v>
      </c>
    </row>
    <row r="317">
      <c r="A317" s="1" t="s">
        <v>300</v>
      </c>
      <c r="B317" s="3" t="str">
        <f t="shared" si="1"/>
        <v>Unavailable</v>
      </c>
      <c r="C317" s="3">
        <v>699.0</v>
      </c>
      <c r="D317" s="3">
        <f>IFERROR(__xludf.DUMMYFUNCTION("IFERROR(
IF(REGEXMATCH(LOWER(O317),""k""),
VALUE(REGEXEXTRACT(O317,""[0-9]+""))*1000,
VALUE(REGEXEXTRACT(O317,""[0-9]+""))
),
0
)"),0.0)</f>
        <v>0</v>
      </c>
      <c r="E317" s="1" t="s">
        <v>11</v>
      </c>
      <c r="F317" s="1" t="s">
        <v>20</v>
      </c>
      <c r="G317" s="4" t="b">
        <f t="shared" si="2"/>
        <v>1</v>
      </c>
      <c r="H317" s="1" t="str">
        <f t="shared" si="3"/>
        <v>Currently Unavailable</v>
      </c>
      <c r="I317" s="1" t="str">
        <f t="shared" si="4"/>
        <v>No Badges</v>
      </c>
      <c r="J317" s="3">
        <f t="shared" si="5"/>
        <v>0</v>
      </c>
    </row>
    <row r="318">
      <c r="A318" s="1" t="s">
        <v>88</v>
      </c>
      <c r="B318" s="3" t="str">
        <f t="shared" si="1"/>
        <v>Unavailable</v>
      </c>
      <c r="C318" s="3">
        <v>5.0</v>
      </c>
      <c r="D318" s="3">
        <f>IFERROR(__xludf.DUMMYFUNCTION("IFERROR(
IF(REGEXMATCH(LOWER(O318),""k""),
VALUE(REGEXEXTRACT(O318,""[0-9]+""))*1000,
VALUE(REGEXEXTRACT(O318,""[0-9]+""))
),
0
)"),0.0)</f>
        <v>0</v>
      </c>
      <c r="E318" s="1" t="s">
        <v>11</v>
      </c>
      <c r="F318" s="1" t="s">
        <v>12</v>
      </c>
      <c r="G318" s="4" t="b">
        <f t="shared" si="2"/>
        <v>1</v>
      </c>
      <c r="H318" s="1" t="str">
        <f t="shared" si="3"/>
        <v>Currently Unavailable</v>
      </c>
      <c r="I318" s="1" t="str">
        <f t="shared" si="4"/>
        <v>No Badges</v>
      </c>
      <c r="J318" s="3">
        <f t="shared" si="5"/>
        <v>0</v>
      </c>
    </row>
    <row r="319">
      <c r="A319" s="1" t="s">
        <v>143</v>
      </c>
      <c r="B319" s="3" t="str">
        <f t="shared" si="1"/>
        <v>Unavailable</v>
      </c>
      <c r="C319" s="3">
        <v>63.0</v>
      </c>
      <c r="D319" s="3">
        <f>IFERROR(__xludf.DUMMYFUNCTION("IFERROR(
IF(REGEXMATCH(LOWER(O319),""k""),
VALUE(REGEXEXTRACT(O319,""[0-9]+""))*1000,
VALUE(REGEXEXTRACT(O319,""[0-9]+""))
),
0
)"),0.0)</f>
        <v>0</v>
      </c>
      <c r="E319" s="1" t="s">
        <v>11</v>
      </c>
      <c r="F319" s="1" t="s">
        <v>12</v>
      </c>
      <c r="G319" s="4" t="b">
        <f t="shared" si="2"/>
        <v>1</v>
      </c>
      <c r="H319" s="1" t="str">
        <f t="shared" si="3"/>
        <v>Currently Unavailable</v>
      </c>
      <c r="I319" s="1" t="str">
        <f t="shared" si="4"/>
        <v>No Badges</v>
      </c>
      <c r="J319" s="3">
        <f t="shared" si="5"/>
        <v>0</v>
      </c>
    </row>
    <row r="320">
      <c r="A320" s="1" t="s">
        <v>301</v>
      </c>
      <c r="B320" s="3" t="str">
        <f t="shared" si="1"/>
        <v>Unavailable</v>
      </c>
      <c r="C320" s="3">
        <v>762.0</v>
      </c>
      <c r="D320" s="3">
        <f>IFERROR(__xludf.DUMMYFUNCTION("IFERROR(
IF(REGEXMATCH(LOWER(O320),""k""),
VALUE(REGEXEXTRACT(O320,""[0-9]+""))*1000,
VALUE(REGEXEXTRACT(O320,""[0-9]+""))
),
0
)"),0.0)</f>
        <v>0</v>
      </c>
      <c r="E320" s="1" t="s">
        <v>11</v>
      </c>
      <c r="F320" s="1" t="s">
        <v>20</v>
      </c>
      <c r="G320" s="4" t="b">
        <f t="shared" si="2"/>
        <v>1</v>
      </c>
      <c r="H320" s="1" t="str">
        <f t="shared" si="3"/>
        <v>Currently Unavailable</v>
      </c>
      <c r="I320" s="1" t="str">
        <f t="shared" si="4"/>
        <v>No Badges</v>
      </c>
      <c r="J320" s="3">
        <f t="shared" si="5"/>
        <v>0</v>
      </c>
    </row>
    <row r="321">
      <c r="A321" s="1" t="s">
        <v>302</v>
      </c>
      <c r="B321" s="3" t="str">
        <f t="shared" si="1"/>
        <v>Unavailable</v>
      </c>
      <c r="C321" s="3">
        <v>158.0</v>
      </c>
      <c r="D321" s="3">
        <f>IFERROR(__xludf.DUMMYFUNCTION("IFERROR(
IF(REGEXMATCH(LOWER(O321),""k""),
VALUE(REGEXEXTRACT(O321,""[0-9]+""))*1000,
VALUE(REGEXEXTRACT(O321,""[0-9]+""))
),
0
)"),0.0)</f>
        <v>0</v>
      </c>
      <c r="E321" s="1" t="s">
        <v>11</v>
      </c>
      <c r="F321" s="1" t="s">
        <v>20</v>
      </c>
      <c r="G321" s="4" t="b">
        <f t="shared" si="2"/>
        <v>1</v>
      </c>
      <c r="H321" s="1" t="str">
        <f t="shared" si="3"/>
        <v>Currently Unavailable</v>
      </c>
      <c r="I321" s="1" t="str">
        <f t="shared" si="4"/>
        <v>No Badges</v>
      </c>
      <c r="J321" s="3">
        <f t="shared" si="5"/>
        <v>0</v>
      </c>
    </row>
    <row r="322">
      <c r="A322" s="1" t="s">
        <v>40</v>
      </c>
      <c r="B322" s="3" t="str">
        <f t="shared" si="1"/>
        <v>Unavailable</v>
      </c>
      <c r="C322" s="3">
        <v>171.0</v>
      </c>
      <c r="D322" s="3">
        <f>IFERROR(__xludf.DUMMYFUNCTION("IFERROR(
IF(REGEXMATCH(LOWER(O322),""k""),
VALUE(REGEXEXTRACT(O322,""[0-9]+""))*1000,
VALUE(REGEXEXTRACT(O322,""[0-9]+""))
),
0
)"),0.0)</f>
        <v>0</v>
      </c>
      <c r="E322" s="1" t="s">
        <v>11</v>
      </c>
      <c r="F322" s="1" t="s">
        <v>12</v>
      </c>
      <c r="G322" s="4" t="b">
        <f t="shared" si="2"/>
        <v>1</v>
      </c>
      <c r="H322" s="1" t="str">
        <f t="shared" si="3"/>
        <v>Currently Unavailable</v>
      </c>
      <c r="I322" s="1" t="str">
        <f t="shared" si="4"/>
        <v>No Badges</v>
      </c>
      <c r="J322" s="3">
        <f t="shared" si="5"/>
        <v>0</v>
      </c>
    </row>
    <row r="323">
      <c r="A323" s="1" t="s">
        <v>303</v>
      </c>
      <c r="B323" s="3" t="str">
        <f t="shared" si="1"/>
        <v>Unavailable</v>
      </c>
      <c r="C323" s="3">
        <v>11.0</v>
      </c>
      <c r="D323" s="3">
        <f>IFERROR(__xludf.DUMMYFUNCTION("IFERROR(
IF(REGEXMATCH(LOWER(O323),""k""),
VALUE(REGEXEXTRACT(O323,""[0-9]+""))*1000,
VALUE(REGEXEXTRACT(O323,""[0-9]+""))
),
0
)"),0.0)</f>
        <v>0</v>
      </c>
      <c r="E323" s="1" t="s">
        <v>11</v>
      </c>
      <c r="F323" s="1" t="s">
        <v>20</v>
      </c>
      <c r="G323" s="4" t="b">
        <f t="shared" si="2"/>
        <v>1</v>
      </c>
      <c r="H323" s="1" t="str">
        <f t="shared" si="3"/>
        <v>Currently Unavailable</v>
      </c>
      <c r="I323" s="1" t="str">
        <f t="shared" si="4"/>
        <v>No Badges</v>
      </c>
      <c r="J323" s="3">
        <f t="shared" si="5"/>
        <v>0</v>
      </c>
    </row>
    <row r="324">
      <c r="A324" s="1" t="s">
        <v>304</v>
      </c>
      <c r="B324" s="3" t="str">
        <f t="shared" si="1"/>
        <v>Unavailable</v>
      </c>
      <c r="C324" s="5">
        <v>4261.0</v>
      </c>
      <c r="D324" s="3">
        <f>IFERROR(__xludf.DUMMYFUNCTION("IFERROR(
IF(REGEXMATCH(LOWER(O324),""k""),
VALUE(REGEXEXTRACT(O324,""[0-9]+""))*1000,
VALUE(REGEXEXTRACT(O324,""[0-9]+""))
),
0
)"),0.0)</f>
        <v>0</v>
      </c>
      <c r="E324" s="1" t="s">
        <v>11</v>
      </c>
      <c r="F324" s="1" t="s">
        <v>20</v>
      </c>
      <c r="G324" s="4" t="b">
        <f t="shared" si="2"/>
        <v>1</v>
      </c>
      <c r="H324" s="1" t="str">
        <f t="shared" si="3"/>
        <v>Currently Unavailable</v>
      </c>
      <c r="I324" s="1" t="str">
        <f t="shared" si="4"/>
        <v>No Badges</v>
      </c>
      <c r="J324" s="3">
        <f t="shared" si="5"/>
        <v>0</v>
      </c>
    </row>
    <row r="325">
      <c r="A325" s="1" t="s">
        <v>305</v>
      </c>
      <c r="B325" s="3" t="str">
        <f t="shared" si="1"/>
        <v>Unavailable</v>
      </c>
      <c r="C325" s="5">
        <v>4779.0</v>
      </c>
      <c r="D325" s="3">
        <f>IFERROR(__xludf.DUMMYFUNCTION("IFERROR(
IF(REGEXMATCH(LOWER(O325),""k""),
VALUE(REGEXEXTRACT(O325,""[0-9]+""))*1000,
VALUE(REGEXEXTRACT(O325,""[0-9]+""))
),
0
)"),0.0)</f>
        <v>0</v>
      </c>
      <c r="E325" s="1" t="s">
        <v>11</v>
      </c>
      <c r="F325" s="1" t="s">
        <v>20</v>
      </c>
      <c r="G325" s="4" t="b">
        <f t="shared" si="2"/>
        <v>1</v>
      </c>
      <c r="H325" s="1" t="str">
        <f t="shared" si="3"/>
        <v>Currently Unavailable</v>
      </c>
      <c r="I325" s="1" t="str">
        <f t="shared" si="4"/>
        <v>No Badges</v>
      </c>
      <c r="J325" s="3">
        <f t="shared" si="5"/>
        <v>0</v>
      </c>
    </row>
    <row r="326">
      <c r="A326" s="1" t="s">
        <v>306</v>
      </c>
      <c r="B326" s="3" t="str">
        <f t="shared" si="1"/>
        <v>Unavailable</v>
      </c>
      <c r="C326" s="3">
        <v>19.0</v>
      </c>
      <c r="D326" s="3">
        <f>IFERROR(__xludf.DUMMYFUNCTION("IFERROR(
IF(REGEXMATCH(LOWER(O326),""k""),
VALUE(REGEXEXTRACT(O326,""[0-9]+""))*1000,
VALUE(REGEXEXTRACT(O326,""[0-9]+""))
),
0
)"),0.0)</f>
        <v>0</v>
      </c>
      <c r="E326" s="1" t="s">
        <v>11</v>
      </c>
      <c r="F326" s="1" t="s">
        <v>20</v>
      </c>
      <c r="G326" s="4" t="b">
        <f t="shared" si="2"/>
        <v>1</v>
      </c>
      <c r="H326" s="1" t="str">
        <f t="shared" si="3"/>
        <v>Currently Unavailable</v>
      </c>
      <c r="I326" s="1" t="str">
        <f t="shared" si="4"/>
        <v>No Badges</v>
      </c>
      <c r="J326" s="3">
        <f t="shared" si="5"/>
        <v>0</v>
      </c>
    </row>
    <row r="327">
      <c r="A327" s="1" t="s">
        <v>307</v>
      </c>
      <c r="B327" s="3" t="str">
        <f t="shared" si="1"/>
        <v>Unavailable</v>
      </c>
      <c r="C327" s="3">
        <v>61.0</v>
      </c>
      <c r="D327" s="3">
        <f>IFERROR(__xludf.DUMMYFUNCTION("IFERROR(
IF(REGEXMATCH(LOWER(O327),""k""),
VALUE(REGEXEXTRACT(O327,""[0-9]+""))*1000,
VALUE(REGEXEXTRACT(O327,""[0-9]+""))
),
0
)"),0.0)</f>
        <v>0</v>
      </c>
      <c r="E327" s="1" t="s">
        <v>11</v>
      </c>
      <c r="F327" s="1" t="s">
        <v>20</v>
      </c>
      <c r="G327" s="4" t="b">
        <f t="shared" si="2"/>
        <v>1</v>
      </c>
      <c r="H327" s="1" t="str">
        <f t="shared" si="3"/>
        <v>Currently Unavailable</v>
      </c>
      <c r="I327" s="1" t="str">
        <f t="shared" si="4"/>
        <v>No Badges</v>
      </c>
      <c r="J327" s="3">
        <f t="shared" si="5"/>
        <v>0</v>
      </c>
    </row>
    <row r="328">
      <c r="A328" s="1" t="s">
        <v>308</v>
      </c>
      <c r="B328" s="3" t="str">
        <f t="shared" si="1"/>
        <v>Unavailable</v>
      </c>
      <c r="C328" s="3">
        <v>713.0</v>
      </c>
      <c r="D328" s="3">
        <f>IFERROR(__xludf.DUMMYFUNCTION("IFERROR(
IF(REGEXMATCH(LOWER(O328),""k""),
VALUE(REGEXEXTRACT(O328,""[0-9]+""))*1000,
VALUE(REGEXEXTRACT(O328,""[0-9]+""))
),
0
)"),0.0)</f>
        <v>0</v>
      </c>
      <c r="E328" s="1" t="s">
        <v>11</v>
      </c>
      <c r="F328" s="1" t="s">
        <v>20</v>
      </c>
      <c r="G328" s="4" t="b">
        <f t="shared" si="2"/>
        <v>1</v>
      </c>
      <c r="H328" s="1" t="str">
        <f t="shared" si="3"/>
        <v>Currently Unavailable</v>
      </c>
      <c r="I328" s="1" t="str">
        <f t="shared" si="4"/>
        <v>No Badges</v>
      </c>
      <c r="J328" s="3">
        <f t="shared" si="5"/>
        <v>0</v>
      </c>
    </row>
    <row r="329">
      <c r="A329" s="1" t="s">
        <v>309</v>
      </c>
      <c r="B329" s="3" t="str">
        <f t="shared" si="1"/>
        <v>Unavailable</v>
      </c>
      <c r="C329" s="3">
        <v>8.0</v>
      </c>
      <c r="D329" s="3">
        <f>IFERROR(__xludf.DUMMYFUNCTION("IFERROR(
IF(REGEXMATCH(LOWER(O329),""k""),
VALUE(REGEXEXTRACT(O329,""[0-9]+""))*1000,
VALUE(REGEXEXTRACT(O329,""[0-9]+""))
),
0
)"),0.0)</f>
        <v>0</v>
      </c>
      <c r="E329" s="1" t="s">
        <v>11</v>
      </c>
      <c r="F329" s="1" t="s">
        <v>20</v>
      </c>
      <c r="G329" s="4" t="b">
        <f t="shared" si="2"/>
        <v>1</v>
      </c>
      <c r="H329" s="1" t="str">
        <f t="shared" si="3"/>
        <v>Currently Unavailable</v>
      </c>
      <c r="I329" s="1" t="str">
        <f t="shared" si="4"/>
        <v>No Badges</v>
      </c>
      <c r="J329" s="3">
        <f t="shared" si="5"/>
        <v>0</v>
      </c>
    </row>
    <row r="330">
      <c r="A330" s="1" t="s">
        <v>310</v>
      </c>
      <c r="B330" s="3" t="str">
        <f t="shared" si="1"/>
        <v>Unavailable</v>
      </c>
      <c r="C330" s="3">
        <v>108.0</v>
      </c>
      <c r="D330" s="3">
        <f>IFERROR(__xludf.DUMMYFUNCTION("IFERROR(
IF(REGEXMATCH(LOWER(O330),""k""),
VALUE(REGEXEXTRACT(O330,""[0-9]+""))*1000,
VALUE(REGEXEXTRACT(O330,""[0-9]+""))
),
0
)"),0.0)</f>
        <v>0</v>
      </c>
      <c r="E330" s="1" t="s">
        <v>11</v>
      </c>
      <c r="F330" s="1" t="s">
        <v>20</v>
      </c>
      <c r="G330" s="4" t="b">
        <f t="shared" si="2"/>
        <v>1</v>
      </c>
      <c r="H330" s="1" t="str">
        <f t="shared" si="3"/>
        <v>Currently Unavailable</v>
      </c>
      <c r="I330" s="1" t="str">
        <f t="shared" si="4"/>
        <v>No Badges</v>
      </c>
      <c r="J330" s="3">
        <f t="shared" si="5"/>
        <v>0</v>
      </c>
    </row>
    <row r="331">
      <c r="A331" s="1" t="s">
        <v>311</v>
      </c>
      <c r="B331" s="3" t="str">
        <f t="shared" si="1"/>
        <v>Unavailable</v>
      </c>
      <c r="C331" s="3">
        <v>818.0</v>
      </c>
      <c r="D331" s="3">
        <f>IFERROR(__xludf.DUMMYFUNCTION("IFERROR(
IF(REGEXMATCH(LOWER(O331),""k""),
VALUE(REGEXEXTRACT(O331,""[0-9]+""))*1000,
VALUE(REGEXEXTRACT(O331,""[0-9]+""))
),
0
)"),0.0)</f>
        <v>0</v>
      </c>
      <c r="E331" s="1" t="s">
        <v>11</v>
      </c>
      <c r="F331" s="1" t="s">
        <v>20</v>
      </c>
      <c r="G331" s="4" t="b">
        <f t="shared" si="2"/>
        <v>1</v>
      </c>
      <c r="H331" s="1" t="str">
        <f t="shared" si="3"/>
        <v>Currently Unavailable</v>
      </c>
      <c r="I331" s="1" t="str">
        <f t="shared" si="4"/>
        <v>No Badges</v>
      </c>
      <c r="J331" s="3">
        <f t="shared" si="5"/>
        <v>0</v>
      </c>
    </row>
    <row r="332">
      <c r="A332" s="1" t="s">
        <v>312</v>
      </c>
      <c r="B332" s="3" t="str">
        <f t="shared" si="1"/>
        <v>Unavailable</v>
      </c>
      <c r="C332" s="3">
        <v>13.0</v>
      </c>
      <c r="D332" s="3">
        <f>IFERROR(__xludf.DUMMYFUNCTION("IFERROR(
IF(REGEXMATCH(LOWER(O332),""k""),
VALUE(REGEXEXTRACT(O332,""[0-9]+""))*1000,
VALUE(REGEXEXTRACT(O332,""[0-9]+""))
),
0
)"),0.0)</f>
        <v>0</v>
      </c>
      <c r="E332" s="1" t="s">
        <v>11</v>
      </c>
      <c r="F332" s="1" t="s">
        <v>20</v>
      </c>
      <c r="G332" s="4" t="b">
        <f t="shared" si="2"/>
        <v>1</v>
      </c>
      <c r="H332" s="1" t="str">
        <f t="shared" si="3"/>
        <v>Currently Unavailable</v>
      </c>
      <c r="I332" s="1" t="str">
        <f t="shared" si="4"/>
        <v>No Badges</v>
      </c>
      <c r="J332" s="3">
        <f t="shared" si="5"/>
        <v>0</v>
      </c>
    </row>
    <row r="333">
      <c r="A333" s="1" t="s">
        <v>313</v>
      </c>
      <c r="B333" s="3" t="str">
        <f t="shared" si="1"/>
        <v>Unavailable</v>
      </c>
      <c r="C333" s="5">
        <v>4369.0</v>
      </c>
      <c r="D333" s="3">
        <f>IFERROR(__xludf.DUMMYFUNCTION("IFERROR(
IF(REGEXMATCH(LOWER(O333),""k""),
VALUE(REGEXEXTRACT(O333,""[0-9]+""))*1000,
VALUE(REGEXEXTRACT(O333,""[0-9]+""))
),
0
)"),0.0)</f>
        <v>0</v>
      </c>
      <c r="E333" s="1" t="s">
        <v>11</v>
      </c>
      <c r="F333" s="1" t="s">
        <v>20</v>
      </c>
      <c r="G333" s="4" t="b">
        <f t="shared" si="2"/>
        <v>1</v>
      </c>
      <c r="H333" s="1" t="str">
        <f t="shared" si="3"/>
        <v>Currently Unavailable</v>
      </c>
      <c r="I333" s="1" t="str">
        <f t="shared" si="4"/>
        <v>No Badges</v>
      </c>
      <c r="J333" s="3">
        <f t="shared" si="5"/>
        <v>0</v>
      </c>
    </row>
    <row r="334">
      <c r="A334" s="1" t="s">
        <v>314</v>
      </c>
      <c r="B334" s="3" t="str">
        <f t="shared" si="1"/>
        <v>Unavailable</v>
      </c>
      <c r="C334" s="3">
        <v>370.0</v>
      </c>
      <c r="D334" s="3">
        <f>IFERROR(__xludf.DUMMYFUNCTION("IFERROR(
IF(REGEXMATCH(LOWER(O334),""k""),
VALUE(REGEXEXTRACT(O334,""[0-9]+""))*1000,
VALUE(REGEXEXTRACT(O334,""[0-9]+""))
),
0
)"),0.0)</f>
        <v>0</v>
      </c>
      <c r="E334" s="1" t="s">
        <v>11</v>
      </c>
      <c r="F334" s="1" t="s">
        <v>20</v>
      </c>
      <c r="G334" s="4" t="b">
        <f t="shared" si="2"/>
        <v>1</v>
      </c>
      <c r="H334" s="1" t="str">
        <f t="shared" si="3"/>
        <v>Currently Unavailable</v>
      </c>
      <c r="I334" s="1" t="str">
        <f t="shared" si="4"/>
        <v>No Badges</v>
      </c>
      <c r="J334" s="3">
        <f t="shared" si="5"/>
        <v>0</v>
      </c>
    </row>
    <row r="335">
      <c r="A335" s="1" t="s">
        <v>315</v>
      </c>
      <c r="B335" s="3" t="str">
        <f t="shared" si="1"/>
        <v>Unavailable</v>
      </c>
      <c r="C335" s="3">
        <v>190.0</v>
      </c>
      <c r="D335" s="3">
        <f>IFERROR(__xludf.DUMMYFUNCTION("IFERROR(
IF(REGEXMATCH(LOWER(O335),""k""),
VALUE(REGEXEXTRACT(O335,""[0-9]+""))*1000,
VALUE(REGEXEXTRACT(O335,""[0-9]+""))
),
0
)"),0.0)</f>
        <v>0</v>
      </c>
      <c r="E335" s="1" t="s">
        <v>11</v>
      </c>
      <c r="F335" s="1" t="s">
        <v>20</v>
      </c>
      <c r="G335" s="4" t="b">
        <f t="shared" si="2"/>
        <v>1</v>
      </c>
      <c r="H335" s="1" t="str">
        <f t="shared" si="3"/>
        <v>Currently Unavailable</v>
      </c>
      <c r="I335" s="1" t="str">
        <f t="shared" si="4"/>
        <v>No Badges</v>
      </c>
      <c r="J335" s="3">
        <f t="shared" si="5"/>
        <v>0</v>
      </c>
    </row>
    <row r="336">
      <c r="A336" s="1" t="s">
        <v>316</v>
      </c>
      <c r="B336" s="3" t="str">
        <f t="shared" si="1"/>
        <v>Unavailable</v>
      </c>
      <c r="C336" s="3">
        <v>139.0</v>
      </c>
      <c r="D336" s="3">
        <f>IFERROR(__xludf.DUMMYFUNCTION("IFERROR(
IF(REGEXMATCH(LOWER(O336),""k""),
VALUE(REGEXEXTRACT(O336,""[0-9]+""))*1000,
VALUE(REGEXEXTRACT(O336,""[0-9]+""))
),
0
)"),0.0)</f>
        <v>0</v>
      </c>
      <c r="E336" s="1" t="s">
        <v>11</v>
      </c>
      <c r="F336" s="1" t="s">
        <v>12</v>
      </c>
      <c r="G336" s="4" t="b">
        <f t="shared" si="2"/>
        <v>1</v>
      </c>
      <c r="H336" s="1" t="str">
        <f t="shared" si="3"/>
        <v>Currently Unavailable</v>
      </c>
      <c r="I336" s="1" t="str">
        <f t="shared" si="4"/>
        <v>No Badges</v>
      </c>
      <c r="J336" s="3">
        <f t="shared" si="5"/>
        <v>0</v>
      </c>
    </row>
    <row r="337">
      <c r="A337" s="1" t="s">
        <v>317</v>
      </c>
      <c r="B337" s="3" t="str">
        <f t="shared" si="1"/>
        <v>Unavailable</v>
      </c>
      <c r="C337" s="3">
        <v>44.0</v>
      </c>
      <c r="D337" s="3">
        <f>IFERROR(__xludf.DUMMYFUNCTION("IFERROR(
IF(REGEXMATCH(LOWER(O337),""k""),
VALUE(REGEXEXTRACT(O337,""[0-9]+""))*1000,
VALUE(REGEXEXTRACT(O337,""[0-9]+""))
),
0
)"),0.0)</f>
        <v>0</v>
      </c>
      <c r="E337" s="1" t="s">
        <v>11</v>
      </c>
      <c r="F337" s="1" t="s">
        <v>20</v>
      </c>
      <c r="G337" s="4" t="b">
        <f t="shared" si="2"/>
        <v>1</v>
      </c>
      <c r="H337" s="1" t="str">
        <f t="shared" si="3"/>
        <v>Currently Unavailable</v>
      </c>
      <c r="I337" s="1" t="str">
        <f t="shared" si="4"/>
        <v>No Badges</v>
      </c>
      <c r="J337" s="3">
        <f t="shared" si="5"/>
        <v>0</v>
      </c>
    </row>
    <row r="338">
      <c r="A338" s="1" t="s">
        <v>318</v>
      </c>
      <c r="B338" s="3" t="str">
        <f t="shared" si="1"/>
        <v>Unavailable</v>
      </c>
      <c r="C338" s="5">
        <v>1313.0</v>
      </c>
      <c r="D338" s="3">
        <f>IFERROR(__xludf.DUMMYFUNCTION("IFERROR(
IF(REGEXMATCH(LOWER(O338),""k""),
VALUE(REGEXEXTRACT(O338,""[0-9]+""))*1000,
VALUE(REGEXEXTRACT(O338,""[0-9]+""))
),
0
)"),0.0)</f>
        <v>0</v>
      </c>
      <c r="E338" s="1" t="s">
        <v>11</v>
      </c>
      <c r="F338" s="1" t="s">
        <v>20</v>
      </c>
      <c r="G338" s="4" t="b">
        <f t="shared" si="2"/>
        <v>1</v>
      </c>
      <c r="H338" s="1" t="str">
        <f t="shared" si="3"/>
        <v>Currently Unavailable</v>
      </c>
      <c r="I338" s="1" t="str">
        <f t="shared" si="4"/>
        <v>No Badges</v>
      </c>
      <c r="J338" s="3">
        <f t="shared" si="5"/>
        <v>0</v>
      </c>
    </row>
    <row r="339">
      <c r="A339" s="1" t="s">
        <v>319</v>
      </c>
      <c r="B339" s="3" t="str">
        <f t="shared" si="1"/>
        <v>Unavailable</v>
      </c>
      <c r="C339" s="3">
        <v>246.0</v>
      </c>
      <c r="D339" s="3">
        <f>IFERROR(__xludf.DUMMYFUNCTION("IFERROR(
IF(REGEXMATCH(LOWER(O339),""k""),
VALUE(REGEXEXTRACT(O339,""[0-9]+""))*1000,
VALUE(REGEXEXTRACT(O339,""[0-9]+""))
),
0
)"),0.0)</f>
        <v>0</v>
      </c>
      <c r="E339" s="1" t="s">
        <v>11</v>
      </c>
      <c r="F339" s="1" t="s">
        <v>20</v>
      </c>
      <c r="G339" s="4" t="b">
        <f t="shared" si="2"/>
        <v>1</v>
      </c>
      <c r="H339" s="1" t="str">
        <f t="shared" si="3"/>
        <v>Currently Unavailable</v>
      </c>
      <c r="I339" s="1" t="str">
        <f t="shared" si="4"/>
        <v>No Badges</v>
      </c>
      <c r="J339" s="3">
        <f t="shared" si="5"/>
        <v>0</v>
      </c>
    </row>
    <row r="340">
      <c r="A340" s="1" t="s">
        <v>320</v>
      </c>
      <c r="B340" s="3" t="str">
        <f t="shared" si="1"/>
        <v>Unavailable</v>
      </c>
      <c r="C340" s="3">
        <v>226.0</v>
      </c>
      <c r="D340" s="3">
        <f>IFERROR(__xludf.DUMMYFUNCTION("IFERROR(
IF(REGEXMATCH(LOWER(O340),""k""),
VALUE(REGEXEXTRACT(O340,""[0-9]+""))*1000,
VALUE(REGEXEXTRACT(O340,""[0-9]+""))
),
0
)"),0.0)</f>
        <v>0</v>
      </c>
      <c r="E340" s="1" t="s">
        <v>11</v>
      </c>
      <c r="F340" s="1" t="s">
        <v>20</v>
      </c>
      <c r="G340" s="4" t="b">
        <f t="shared" si="2"/>
        <v>1</v>
      </c>
      <c r="H340" s="1" t="str">
        <f t="shared" si="3"/>
        <v>Currently Unavailable</v>
      </c>
      <c r="I340" s="1" t="str">
        <f t="shared" si="4"/>
        <v>No Badges</v>
      </c>
      <c r="J340" s="3">
        <f t="shared" si="5"/>
        <v>0</v>
      </c>
    </row>
    <row r="341">
      <c r="A341" s="1" t="s">
        <v>321</v>
      </c>
      <c r="B341" s="3" t="str">
        <f t="shared" si="1"/>
        <v>Unavailable</v>
      </c>
      <c r="C341" s="5">
        <v>23551.0</v>
      </c>
      <c r="D341" s="3">
        <f>IFERROR(__xludf.DUMMYFUNCTION("IFERROR(
IF(REGEXMATCH(LOWER(O341),""k""),
VALUE(REGEXEXTRACT(O341,""[0-9]+""))*1000,
VALUE(REGEXEXTRACT(O341,""[0-9]+""))
),
0
)"),0.0)</f>
        <v>0</v>
      </c>
      <c r="E341" s="1" t="s">
        <v>11</v>
      </c>
      <c r="F341" s="1" t="s">
        <v>20</v>
      </c>
      <c r="G341" s="4" t="b">
        <f t="shared" si="2"/>
        <v>1</v>
      </c>
      <c r="H341" s="1" t="str">
        <f t="shared" si="3"/>
        <v>Currently Unavailable</v>
      </c>
      <c r="I341" s="1" t="str">
        <f t="shared" si="4"/>
        <v>No Badges</v>
      </c>
      <c r="J341" s="3">
        <f t="shared" si="5"/>
        <v>0</v>
      </c>
    </row>
    <row r="342">
      <c r="A342" s="1" t="s">
        <v>322</v>
      </c>
      <c r="B342" s="3" t="str">
        <f t="shared" si="1"/>
        <v>Unavailable</v>
      </c>
      <c r="C342" s="3">
        <v>56.0</v>
      </c>
      <c r="D342" s="3">
        <f>IFERROR(__xludf.DUMMYFUNCTION("IFERROR(
IF(REGEXMATCH(LOWER(O342),""k""),
VALUE(REGEXEXTRACT(O342,""[0-9]+""))*1000,
VALUE(REGEXEXTRACT(O342,""[0-9]+""))
),
0
)"),0.0)</f>
        <v>0</v>
      </c>
      <c r="E342" s="1" t="s">
        <v>11</v>
      </c>
      <c r="F342" s="1" t="s">
        <v>20</v>
      </c>
      <c r="G342" s="4" t="b">
        <f t="shared" si="2"/>
        <v>1</v>
      </c>
      <c r="H342" s="1" t="str">
        <f t="shared" si="3"/>
        <v>Currently Unavailable</v>
      </c>
      <c r="I342" s="1" t="str">
        <f t="shared" si="4"/>
        <v>No Badges</v>
      </c>
      <c r="J342" s="3">
        <f t="shared" si="5"/>
        <v>0</v>
      </c>
    </row>
    <row r="343">
      <c r="A343" s="1" t="s">
        <v>323</v>
      </c>
      <c r="B343" s="3" t="str">
        <f t="shared" si="1"/>
        <v>Unavailable</v>
      </c>
      <c r="C343" s="3">
        <v>153.0</v>
      </c>
      <c r="D343" s="3">
        <f>IFERROR(__xludf.DUMMYFUNCTION("IFERROR(
IF(REGEXMATCH(LOWER(O343),""k""),
VALUE(REGEXEXTRACT(O343,""[0-9]+""))*1000,
VALUE(REGEXEXTRACT(O343,""[0-9]+""))
),
0
)"),0.0)</f>
        <v>0</v>
      </c>
      <c r="E343" s="1" t="s">
        <v>11</v>
      </c>
      <c r="F343" s="1" t="s">
        <v>20</v>
      </c>
      <c r="G343" s="4" t="b">
        <f t="shared" si="2"/>
        <v>1</v>
      </c>
      <c r="H343" s="1" t="str">
        <f t="shared" si="3"/>
        <v>Currently Unavailable</v>
      </c>
      <c r="I343" s="1" t="str">
        <f t="shared" si="4"/>
        <v>No Badges</v>
      </c>
      <c r="J343" s="3">
        <f t="shared" si="5"/>
        <v>0</v>
      </c>
    </row>
    <row r="344">
      <c r="A344" s="1" t="s">
        <v>324</v>
      </c>
      <c r="B344" s="3" t="str">
        <f t="shared" si="1"/>
        <v>Unavailable</v>
      </c>
      <c r="C344" s="3">
        <v>129.0</v>
      </c>
      <c r="D344" s="3">
        <f>IFERROR(__xludf.DUMMYFUNCTION("IFERROR(
IF(REGEXMATCH(LOWER(O344),""k""),
VALUE(REGEXEXTRACT(O344,""[0-9]+""))*1000,
VALUE(REGEXEXTRACT(O344,""[0-9]+""))
),
0
)"),0.0)</f>
        <v>0</v>
      </c>
      <c r="E344" s="1" t="s">
        <v>11</v>
      </c>
      <c r="F344" s="1" t="s">
        <v>20</v>
      </c>
      <c r="G344" s="4" t="b">
        <f t="shared" si="2"/>
        <v>1</v>
      </c>
      <c r="H344" s="1" t="str">
        <f t="shared" si="3"/>
        <v>Currently Unavailable</v>
      </c>
      <c r="I344" s="1" t="str">
        <f t="shared" si="4"/>
        <v>No Badges</v>
      </c>
      <c r="J344" s="3">
        <f t="shared" si="5"/>
        <v>0</v>
      </c>
    </row>
    <row r="345">
      <c r="A345" s="1" t="s">
        <v>325</v>
      </c>
      <c r="B345" s="3" t="str">
        <f t="shared" si="1"/>
        <v>Unavailable</v>
      </c>
      <c r="C345" s="3">
        <v>303.0</v>
      </c>
      <c r="D345" s="3">
        <f>IFERROR(__xludf.DUMMYFUNCTION("IFERROR(
IF(REGEXMATCH(LOWER(O345),""k""),
VALUE(REGEXEXTRACT(O345,""[0-9]+""))*1000,
VALUE(REGEXEXTRACT(O345,""[0-9]+""))
),
0
)"),0.0)</f>
        <v>0</v>
      </c>
      <c r="E345" s="1" t="s">
        <v>11</v>
      </c>
      <c r="F345" s="1" t="s">
        <v>20</v>
      </c>
      <c r="G345" s="4" t="b">
        <f t="shared" si="2"/>
        <v>1</v>
      </c>
      <c r="H345" s="1" t="str">
        <f t="shared" si="3"/>
        <v>Currently Unavailable</v>
      </c>
      <c r="I345" s="1" t="str">
        <f t="shared" si="4"/>
        <v>No Badges</v>
      </c>
      <c r="J345" s="3">
        <f t="shared" si="5"/>
        <v>0</v>
      </c>
    </row>
    <row r="346">
      <c r="A346" s="1" t="s">
        <v>326</v>
      </c>
      <c r="B346" s="3" t="str">
        <f t="shared" si="1"/>
        <v>Unavailable</v>
      </c>
      <c r="C346" s="3">
        <v>142.0</v>
      </c>
      <c r="D346" s="3">
        <f>IFERROR(__xludf.DUMMYFUNCTION("IFERROR(
IF(REGEXMATCH(LOWER(O346),""k""),
VALUE(REGEXEXTRACT(O346,""[0-9]+""))*1000,
VALUE(REGEXEXTRACT(O346,""[0-9]+""))
),
0
)"),0.0)</f>
        <v>0</v>
      </c>
      <c r="E346" s="1" t="s">
        <v>11</v>
      </c>
      <c r="F346" s="1" t="s">
        <v>20</v>
      </c>
      <c r="G346" s="4" t="b">
        <f t="shared" si="2"/>
        <v>1</v>
      </c>
      <c r="H346" s="1" t="str">
        <f t="shared" si="3"/>
        <v>Currently Unavailable</v>
      </c>
      <c r="I346" s="1" t="str">
        <f t="shared" si="4"/>
        <v>No Badges</v>
      </c>
      <c r="J346" s="3">
        <f t="shared" si="5"/>
        <v>0</v>
      </c>
    </row>
    <row r="347">
      <c r="A347" s="1" t="s">
        <v>327</v>
      </c>
      <c r="B347" s="3" t="str">
        <f t="shared" si="1"/>
        <v>Unavailable</v>
      </c>
      <c r="C347" s="3">
        <v>62.0</v>
      </c>
      <c r="D347" s="3">
        <f>IFERROR(__xludf.DUMMYFUNCTION("IFERROR(
IF(REGEXMATCH(LOWER(O347),""k""),
VALUE(REGEXEXTRACT(O347,""[0-9]+""))*1000,
VALUE(REGEXEXTRACT(O347,""[0-9]+""))
),
0
)"),0.0)</f>
        <v>0</v>
      </c>
      <c r="E347" s="1" t="s">
        <v>11</v>
      </c>
      <c r="F347" s="1" t="s">
        <v>20</v>
      </c>
      <c r="G347" s="4" t="b">
        <f t="shared" si="2"/>
        <v>1</v>
      </c>
      <c r="H347" s="1" t="str">
        <f t="shared" si="3"/>
        <v>Currently Unavailable</v>
      </c>
      <c r="I347" s="1" t="str">
        <f t="shared" si="4"/>
        <v>No Badges</v>
      </c>
      <c r="J347" s="3">
        <f t="shared" si="5"/>
        <v>0</v>
      </c>
    </row>
    <row r="348">
      <c r="A348" s="1" t="s">
        <v>328</v>
      </c>
      <c r="B348" s="3" t="str">
        <f t="shared" si="1"/>
        <v>Unavailable</v>
      </c>
      <c r="C348" s="3">
        <v>86.0</v>
      </c>
      <c r="D348" s="3">
        <f>IFERROR(__xludf.DUMMYFUNCTION("IFERROR(
IF(REGEXMATCH(LOWER(O348),""k""),
VALUE(REGEXEXTRACT(O348,""[0-9]+""))*1000,
VALUE(REGEXEXTRACT(O348,""[0-9]+""))
),
0
)"),0.0)</f>
        <v>0</v>
      </c>
      <c r="E348" s="1" t="s">
        <v>11</v>
      </c>
      <c r="F348" s="1" t="s">
        <v>20</v>
      </c>
      <c r="G348" s="4" t="b">
        <f t="shared" si="2"/>
        <v>1</v>
      </c>
      <c r="H348" s="1" t="str">
        <f t="shared" si="3"/>
        <v>Currently Unavailable</v>
      </c>
      <c r="I348" s="1" t="str">
        <f t="shared" si="4"/>
        <v>No Badges</v>
      </c>
      <c r="J348" s="3">
        <f t="shared" si="5"/>
        <v>0</v>
      </c>
    </row>
    <row r="349">
      <c r="A349" s="1" t="s">
        <v>329</v>
      </c>
      <c r="B349" s="3" t="str">
        <f t="shared" si="1"/>
        <v>Unavailable</v>
      </c>
      <c r="C349" s="3">
        <v>188.0</v>
      </c>
      <c r="D349" s="3">
        <f>IFERROR(__xludf.DUMMYFUNCTION("IFERROR(
IF(REGEXMATCH(LOWER(O349),""k""),
VALUE(REGEXEXTRACT(O349,""[0-9]+""))*1000,
VALUE(REGEXEXTRACT(O349,""[0-9]+""))
),
0
)"),0.0)</f>
        <v>0</v>
      </c>
      <c r="E349" s="1" t="s">
        <v>11</v>
      </c>
      <c r="F349" s="1" t="s">
        <v>20</v>
      </c>
      <c r="G349" s="4" t="b">
        <f t="shared" si="2"/>
        <v>1</v>
      </c>
      <c r="H349" s="1" t="str">
        <f t="shared" si="3"/>
        <v>Currently Unavailable</v>
      </c>
      <c r="I349" s="1" t="str">
        <f t="shared" si="4"/>
        <v>No Badges</v>
      </c>
      <c r="J349" s="3">
        <f t="shared" si="5"/>
        <v>0</v>
      </c>
    </row>
    <row r="350">
      <c r="A350" s="1" t="s">
        <v>330</v>
      </c>
      <c r="B350" s="3" t="str">
        <f t="shared" si="1"/>
        <v>Unavailable</v>
      </c>
      <c r="C350" s="3">
        <v>48.0</v>
      </c>
      <c r="D350" s="3">
        <f>IFERROR(__xludf.DUMMYFUNCTION("IFERROR(
IF(REGEXMATCH(LOWER(O350),""k""),
VALUE(REGEXEXTRACT(O350,""[0-9]+""))*1000,
VALUE(REGEXEXTRACT(O350,""[0-9]+""))
),
0
)"),0.0)</f>
        <v>0</v>
      </c>
      <c r="E350" s="1" t="s">
        <v>11</v>
      </c>
      <c r="F350" s="1" t="s">
        <v>20</v>
      </c>
      <c r="G350" s="4" t="b">
        <f t="shared" si="2"/>
        <v>1</v>
      </c>
      <c r="H350" s="1" t="str">
        <f t="shared" si="3"/>
        <v>Currently Unavailable</v>
      </c>
      <c r="I350" s="1" t="str">
        <f t="shared" si="4"/>
        <v>No Badges</v>
      </c>
      <c r="J350" s="3">
        <f t="shared" si="5"/>
        <v>0</v>
      </c>
    </row>
    <row r="351">
      <c r="A351" s="1" t="s">
        <v>143</v>
      </c>
      <c r="B351" s="3" t="str">
        <f t="shared" si="1"/>
        <v>Unavailable</v>
      </c>
      <c r="C351" s="3">
        <v>63.0</v>
      </c>
      <c r="D351" s="3">
        <f>IFERROR(__xludf.DUMMYFUNCTION("IFERROR(
IF(REGEXMATCH(LOWER(O351),""k""),
VALUE(REGEXEXTRACT(O351,""[0-9]+""))*1000,
VALUE(REGEXEXTRACT(O351,""[0-9]+""))
),
0
)"),0.0)</f>
        <v>0</v>
      </c>
      <c r="E351" s="1" t="s">
        <v>11</v>
      </c>
      <c r="F351" s="1" t="s">
        <v>12</v>
      </c>
      <c r="G351" s="4" t="b">
        <f t="shared" si="2"/>
        <v>1</v>
      </c>
      <c r="H351" s="1" t="str">
        <f t="shared" si="3"/>
        <v>Currently Unavailable</v>
      </c>
      <c r="I351" s="1" t="str">
        <f t="shared" si="4"/>
        <v>No Badges</v>
      </c>
      <c r="J351" s="3">
        <f t="shared" si="5"/>
        <v>0</v>
      </c>
    </row>
    <row r="352">
      <c r="A352" s="1" t="s">
        <v>69</v>
      </c>
      <c r="B352" s="3" t="str">
        <f t="shared" si="1"/>
        <v>Unavailable</v>
      </c>
      <c r="C352" s="3">
        <v>45.0</v>
      </c>
      <c r="D352" s="3">
        <f>IFERROR(__xludf.DUMMYFUNCTION("IFERROR(
IF(REGEXMATCH(LOWER(O352),""k""),
VALUE(REGEXEXTRACT(O352,""[0-9]+""))*1000,
VALUE(REGEXEXTRACT(O352,""[0-9]+""))
),
0
)"),0.0)</f>
        <v>0</v>
      </c>
      <c r="E352" s="1" t="s">
        <v>11</v>
      </c>
      <c r="F352" s="1" t="s">
        <v>12</v>
      </c>
      <c r="G352" s="4" t="b">
        <f t="shared" si="2"/>
        <v>1</v>
      </c>
      <c r="H352" s="1" t="str">
        <f t="shared" si="3"/>
        <v>Currently Unavailable</v>
      </c>
      <c r="I352" s="1" t="str">
        <f t="shared" si="4"/>
        <v>No Badges</v>
      </c>
      <c r="J352" s="3">
        <f t="shared" si="5"/>
        <v>0</v>
      </c>
    </row>
    <row r="353">
      <c r="A353" s="1" t="s">
        <v>67</v>
      </c>
      <c r="B353" s="3" t="str">
        <f t="shared" si="1"/>
        <v>Unavailable</v>
      </c>
      <c r="C353" s="3">
        <v>264.0</v>
      </c>
      <c r="D353" s="3">
        <f>IFERROR(__xludf.DUMMYFUNCTION("IFERROR(
IF(REGEXMATCH(LOWER(O353),""k""),
VALUE(REGEXEXTRACT(O353,""[0-9]+""))*1000,
VALUE(REGEXEXTRACT(O353,""[0-9]+""))
),
0
)"),0.0)</f>
        <v>0</v>
      </c>
      <c r="E353" s="1" t="s">
        <v>11</v>
      </c>
      <c r="F353" s="1" t="s">
        <v>12</v>
      </c>
      <c r="G353" s="4" t="b">
        <f t="shared" si="2"/>
        <v>1</v>
      </c>
      <c r="H353" s="1" t="str">
        <f t="shared" si="3"/>
        <v>Currently Unavailable</v>
      </c>
      <c r="I353" s="1" t="str">
        <f t="shared" si="4"/>
        <v>No Badges</v>
      </c>
      <c r="J353" s="3">
        <f t="shared" si="5"/>
        <v>0</v>
      </c>
    </row>
    <row r="354">
      <c r="A354" s="1" t="s">
        <v>69</v>
      </c>
      <c r="B354" s="3" t="str">
        <f t="shared" si="1"/>
        <v>Unavailable</v>
      </c>
      <c r="C354" s="3">
        <v>45.0</v>
      </c>
      <c r="D354" s="3">
        <f>IFERROR(__xludf.DUMMYFUNCTION("IFERROR(
IF(REGEXMATCH(LOWER(O354),""k""),
VALUE(REGEXEXTRACT(O354,""[0-9]+""))*1000,
VALUE(REGEXEXTRACT(O354,""[0-9]+""))
),
0
)"),0.0)</f>
        <v>0</v>
      </c>
      <c r="E354" s="1" t="s">
        <v>11</v>
      </c>
      <c r="F354" s="1" t="s">
        <v>12</v>
      </c>
      <c r="G354" s="4" t="b">
        <f t="shared" si="2"/>
        <v>1</v>
      </c>
      <c r="H354" s="1" t="str">
        <f t="shared" si="3"/>
        <v>Currently Unavailable</v>
      </c>
      <c r="I354" s="1" t="str">
        <f t="shared" si="4"/>
        <v>No Badges</v>
      </c>
      <c r="J354" s="3">
        <f t="shared" si="5"/>
        <v>0</v>
      </c>
    </row>
    <row r="355">
      <c r="A355" s="1" t="s">
        <v>331</v>
      </c>
      <c r="B355" s="3" t="str">
        <f t="shared" si="1"/>
        <v>Unavailable</v>
      </c>
      <c r="C355" s="3">
        <v>9.0</v>
      </c>
      <c r="D355" s="3">
        <f>IFERROR(__xludf.DUMMYFUNCTION("IFERROR(
IF(REGEXMATCH(LOWER(O355),""k""),
VALUE(REGEXEXTRACT(O355,""[0-9]+""))*1000,
VALUE(REGEXEXTRACT(O355,""[0-9]+""))
),
0
)"),0.0)</f>
        <v>0</v>
      </c>
      <c r="E355" s="1" t="s">
        <v>11</v>
      </c>
      <c r="F355" s="1" t="s">
        <v>12</v>
      </c>
      <c r="G355" s="4" t="b">
        <f t="shared" si="2"/>
        <v>1</v>
      </c>
      <c r="H355" s="1" t="str">
        <f t="shared" si="3"/>
        <v>Currently Unavailable</v>
      </c>
      <c r="I355" s="1" t="str">
        <f t="shared" si="4"/>
        <v>No Badges</v>
      </c>
      <c r="J355" s="3">
        <f t="shared" si="5"/>
        <v>0</v>
      </c>
    </row>
    <row r="356">
      <c r="A356" s="1" t="s">
        <v>332</v>
      </c>
      <c r="B356" s="3" t="str">
        <f t="shared" si="1"/>
        <v>Unavailable</v>
      </c>
      <c r="C356" s="3">
        <v>72.0</v>
      </c>
      <c r="D356" s="3">
        <f>IFERROR(__xludf.DUMMYFUNCTION("IFERROR(
IF(REGEXMATCH(LOWER(O356),""k""),
VALUE(REGEXEXTRACT(O356,""[0-9]+""))*1000,
VALUE(REGEXEXTRACT(O356,""[0-9]+""))
),
0
)"),0.0)</f>
        <v>0</v>
      </c>
      <c r="E356" s="1" t="s">
        <v>11</v>
      </c>
      <c r="F356" s="1" t="s">
        <v>20</v>
      </c>
      <c r="G356" s="4" t="b">
        <f t="shared" si="2"/>
        <v>1</v>
      </c>
      <c r="H356" s="1" t="str">
        <f t="shared" si="3"/>
        <v>Currently Unavailable</v>
      </c>
      <c r="I356" s="1" t="str">
        <f t="shared" si="4"/>
        <v>No Badges</v>
      </c>
      <c r="J356" s="3">
        <f t="shared" si="5"/>
        <v>0</v>
      </c>
    </row>
    <row r="357">
      <c r="A357" s="1" t="s">
        <v>333</v>
      </c>
      <c r="B357" s="3" t="str">
        <f t="shared" si="1"/>
        <v>Unavailable</v>
      </c>
      <c r="C357" s="3">
        <v>340.0</v>
      </c>
      <c r="D357" s="3">
        <f>IFERROR(__xludf.DUMMYFUNCTION("IFERROR(
IF(REGEXMATCH(LOWER(O357),""k""),
VALUE(REGEXEXTRACT(O357,""[0-9]+""))*1000,
VALUE(REGEXEXTRACT(O357,""[0-9]+""))
),
0
)"),0.0)</f>
        <v>0</v>
      </c>
      <c r="E357" s="1" t="s">
        <v>11</v>
      </c>
      <c r="F357" s="1" t="s">
        <v>20</v>
      </c>
      <c r="G357" s="4" t="b">
        <f t="shared" si="2"/>
        <v>1</v>
      </c>
      <c r="H357" s="1" t="str">
        <f t="shared" si="3"/>
        <v>Currently Unavailable</v>
      </c>
      <c r="I357" s="1" t="str">
        <f t="shared" si="4"/>
        <v>No Badges</v>
      </c>
      <c r="J357" s="3">
        <f t="shared" si="5"/>
        <v>0</v>
      </c>
    </row>
    <row r="358">
      <c r="A358" s="1" t="s">
        <v>334</v>
      </c>
      <c r="B358" s="3" t="str">
        <f t="shared" si="1"/>
        <v>Unavailable</v>
      </c>
      <c r="C358" s="3">
        <v>27.0</v>
      </c>
      <c r="D358" s="3">
        <f>IFERROR(__xludf.DUMMYFUNCTION("IFERROR(
IF(REGEXMATCH(LOWER(O358),""k""),
VALUE(REGEXEXTRACT(O358,""[0-9]+""))*1000,
VALUE(REGEXEXTRACT(O358,""[0-9]+""))
),
0
)"),0.0)</f>
        <v>0</v>
      </c>
      <c r="E358" s="1" t="s">
        <v>11</v>
      </c>
      <c r="F358" s="1" t="s">
        <v>20</v>
      </c>
      <c r="G358" s="4" t="b">
        <f t="shared" si="2"/>
        <v>1</v>
      </c>
      <c r="H358" s="1" t="str">
        <f t="shared" si="3"/>
        <v>Currently Unavailable</v>
      </c>
      <c r="I358" s="1" t="str">
        <f t="shared" si="4"/>
        <v>No Badges</v>
      </c>
      <c r="J358" s="3">
        <f t="shared" si="5"/>
        <v>0</v>
      </c>
    </row>
    <row r="359">
      <c r="A359" s="1" t="s">
        <v>335</v>
      </c>
      <c r="B359" s="3" t="str">
        <f t="shared" si="1"/>
        <v>Unavailable</v>
      </c>
      <c r="C359" s="3">
        <v>45.0</v>
      </c>
      <c r="D359" s="3">
        <f>IFERROR(__xludf.DUMMYFUNCTION("IFERROR(
IF(REGEXMATCH(LOWER(O359),""k""),
VALUE(REGEXEXTRACT(O359,""[0-9]+""))*1000,
VALUE(REGEXEXTRACT(O359,""[0-9]+""))
),
0
)"),0.0)</f>
        <v>0</v>
      </c>
      <c r="E359" s="1" t="s">
        <v>11</v>
      </c>
      <c r="F359" s="1" t="s">
        <v>20</v>
      </c>
      <c r="G359" s="4" t="b">
        <f t="shared" si="2"/>
        <v>1</v>
      </c>
      <c r="H359" s="1" t="str">
        <f t="shared" si="3"/>
        <v>Currently Unavailable</v>
      </c>
      <c r="I359" s="1" t="str">
        <f t="shared" si="4"/>
        <v>No Badges</v>
      </c>
      <c r="J359" s="3">
        <f t="shared" si="5"/>
        <v>0</v>
      </c>
    </row>
    <row r="360">
      <c r="A360" s="1" t="s">
        <v>336</v>
      </c>
      <c r="B360" s="3" t="str">
        <f t="shared" si="1"/>
        <v>Unavailable</v>
      </c>
      <c r="C360" s="5">
        <v>6183.0</v>
      </c>
      <c r="D360" s="3">
        <f>IFERROR(__xludf.DUMMYFUNCTION("IFERROR(
IF(REGEXMATCH(LOWER(O360),""k""),
VALUE(REGEXEXTRACT(O360,""[0-9]+""))*1000,
VALUE(REGEXEXTRACT(O360,""[0-9]+""))
),
0
)"),0.0)</f>
        <v>0</v>
      </c>
      <c r="E360" s="1" t="s">
        <v>11</v>
      </c>
      <c r="F360" s="1" t="s">
        <v>20</v>
      </c>
      <c r="G360" s="4" t="b">
        <f t="shared" si="2"/>
        <v>1</v>
      </c>
      <c r="H360" s="1" t="str">
        <f t="shared" si="3"/>
        <v>Currently Unavailable</v>
      </c>
      <c r="I360" s="1" t="str">
        <f t="shared" si="4"/>
        <v>No Badges</v>
      </c>
      <c r="J360" s="3">
        <f t="shared" si="5"/>
        <v>0</v>
      </c>
    </row>
    <row r="361">
      <c r="A361" s="1" t="s">
        <v>337</v>
      </c>
      <c r="B361" s="3" t="str">
        <f t="shared" si="1"/>
        <v>Unavailable</v>
      </c>
      <c r="C361" s="3">
        <v>77.0</v>
      </c>
      <c r="D361" s="3">
        <f>IFERROR(__xludf.DUMMYFUNCTION("IFERROR(
IF(REGEXMATCH(LOWER(O361),""k""),
VALUE(REGEXEXTRACT(O361,""[0-9]+""))*1000,
VALUE(REGEXEXTRACT(O361,""[0-9]+""))
),
0
)"),0.0)</f>
        <v>0</v>
      </c>
      <c r="E361" s="1" t="s">
        <v>11</v>
      </c>
      <c r="F361" s="1" t="s">
        <v>20</v>
      </c>
      <c r="G361" s="4" t="b">
        <f t="shared" si="2"/>
        <v>1</v>
      </c>
      <c r="H361" s="1" t="str">
        <f t="shared" si="3"/>
        <v>Currently Unavailable</v>
      </c>
      <c r="I361" s="1" t="str">
        <f t="shared" si="4"/>
        <v>No Badges</v>
      </c>
      <c r="J361" s="3">
        <f t="shared" si="5"/>
        <v>0</v>
      </c>
    </row>
    <row r="362">
      <c r="A362" s="1" t="s">
        <v>338</v>
      </c>
      <c r="B362" s="3" t="str">
        <f t="shared" si="1"/>
        <v>Unavailable</v>
      </c>
      <c r="C362" s="5">
        <v>3087.0</v>
      </c>
      <c r="D362" s="3">
        <f>IFERROR(__xludf.DUMMYFUNCTION("IFERROR(
IF(REGEXMATCH(LOWER(O362),""k""),
VALUE(REGEXEXTRACT(O362,""[0-9]+""))*1000,
VALUE(REGEXEXTRACT(O362,""[0-9]+""))
),
0
)"),0.0)</f>
        <v>0</v>
      </c>
      <c r="E362" s="1" t="s">
        <v>11</v>
      </c>
      <c r="F362" s="1" t="s">
        <v>20</v>
      </c>
      <c r="G362" s="4" t="b">
        <f t="shared" si="2"/>
        <v>1</v>
      </c>
      <c r="H362" s="1" t="str">
        <f t="shared" si="3"/>
        <v>Currently Unavailable</v>
      </c>
      <c r="I362" s="1" t="str">
        <f t="shared" si="4"/>
        <v>No Badges</v>
      </c>
      <c r="J362" s="3">
        <f t="shared" si="5"/>
        <v>0</v>
      </c>
    </row>
    <row r="363">
      <c r="A363" s="1" t="s">
        <v>339</v>
      </c>
      <c r="B363" s="3" t="str">
        <f t="shared" si="1"/>
        <v>Unavailable</v>
      </c>
      <c r="C363" s="3">
        <v>13.0</v>
      </c>
      <c r="D363" s="3">
        <f>IFERROR(__xludf.DUMMYFUNCTION("IFERROR(
IF(REGEXMATCH(LOWER(O363),""k""),
VALUE(REGEXEXTRACT(O363,""[0-9]+""))*1000,
VALUE(REGEXEXTRACT(O363,""[0-9]+""))
),
0
)"),0.0)</f>
        <v>0</v>
      </c>
      <c r="E363" s="1" t="s">
        <v>11</v>
      </c>
      <c r="F363" s="1" t="s">
        <v>20</v>
      </c>
      <c r="G363" s="4" t="b">
        <f t="shared" si="2"/>
        <v>1</v>
      </c>
      <c r="H363" s="1" t="str">
        <f t="shared" si="3"/>
        <v>Currently Unavailable</v>
      </c>
      <c r="I363" s="1" t="str">
        <f t="shared" si="4"/>
        <v>No Badges</v>
      </c>
      <c r="J363" s="3">
        <f t="shared" si="5"/>
        <v>0</v>
      </c>
    </row>
    <row r="364">
      <c r="A364" s="1" t="s">
        <v>340</v>
      </c>
      <c r="B364" s="3" t="str">
        <f t="shared" si="1"/>
        <v>Unavailable</v>
      </c>
      <c r="C364" s="3">
        <v>93.0</v>
      </c>
      <c r="D364" s="3">
        <f>IFERROR(__xludf.DUMMYFUNCTION("IFERROR(
IF(REGEXMATCH(LOWER(O364),""k""),
VALUE(REGEXEXTRACT(O364,""[0-9]+""))*1000,
VALUE(REGEXEXTRACT(O364,""[0-9]+""))
),
0
)"),0.0)</f>
        <v>0</v>
      </c>
      <c r="E364" s="1" t="s">
        <v>11</v>
      </c>
      <c r="F364" s="1" t="s">
        <v>20</v>
      </c>
      <c r="G364" s="4" t="b">
        <f t="shared" si="2"/>
        <v>1</v>
      </c>
      <c r="H364" s="1" t="str">
        <f t="shared" si="3"/>
        <v>Currently Unavailable</v>
      </c>
      <c r="I364" s="1" t="str">
        <f t="shared" si="4"/>
        <v>No Badges</v>
      </c>
      <c r="J364" s="3">
        <f t="shared" si="5"/>
        <v>0</v>
      </c>
    </row>
    <row r="365">
      <c r="A365" s="1" t="s">
        <v>341</v>
      </c>
      <c r="B365" s="3" t="str">
        <f t="shared" si="1"/>
        <v>Unavailable</v>
      </c>
      <c r="C365" s="3">
        <v>5.0</v>
      </c>
      <c r="D365" s="3">
        <f>IFERROR(__xludf.DUMMYFUNCTION("IFERROR(
IF(REGEXMATCH(LOWER(O365),""k""),
VALUE(REGEXEXTRACT(O365,""[0-9]+""))*1000,
VALUE(REGEXEXTRACT(O365,""[0-9]+""))
),
0
)"),0.0)</f>
        <v>0</v>
      </c>
      <c r="E365" s="1" t="s">
        <v>11</v>
      </c>
      <c r="F365" s="1" t="s">
        <v>20</v>
      </c>
      <c r="G365" s="4" t="b">
        <f t="shared" si="2"/>
        <v>1</v>
      </c>
      <c r="H365" s="1" t="str">
        <f t="shared" si="3"/>
        <v>Currently Unavailable</v>
      </c>
      <c r="I365" s="1" t="str">
        <f t="shared" si="4"/>
        <v>No Badges</v>
      </c>
      <c r="J365" s="3">
        <f t="shared" si="5"/>
        <v>0</v>
      </c>
    </row>
    <row r="366">
      <c r="A366" s="1" t="s">
        <v>342</v>
      </c>
      <c r="B366" s="3" t="str">
        <f t="shared" si="1"/>
        <v>Unavailable</v>
      </c>
      <c r="C366" s="3">
        <v>1.0</v>
      </c>
      <c r="D366" s="3">
        <f>IFERROR(__xludf.DUMMYFUNCTION("IFERROR(
IF(REGEXMATCH(LOWER(O366),""k""),
VALUE(REGEXEXTRACT(O366,""[0-9]+""))*1000,
VALUE(REGEXEXTRACT(O366,""[0-9]+""))
),
0
)"),0.0)</f>
        <v>0</v>
      </c>
      <c r="E366" s="1" t="s">
        <v>11</v>
      </c>
      <c r="F366" s="1" t="s">
        <v>20</v>
      </c>
      <c r="G366" s="4" t="b">
        <f t="shared" si="2"/>
        <v>1</v>
      </c>
      <c r="H366" s="1" t="str">
        <f t="shared" si="3"/>
        <v>Currently Unavailable</v>
      </c>
      <c r="I366" s="1" t="str">
        <f t="shared" si="4"/>
        <v>No Badges</v>
      </c>
      <c r="J366" s="3">
        <f t="shared" si="5"/>
        <v>0</v>
      </c>
    </row>
    <row r="367">
      <c r="A367" s="1" t="s">
        <v>343</v>
      </c>
      <c r="B367" s="3" t="str">
        <f t="shared" si="1"/>
        <v>Unavailable</v>
      </c>
      <c r="C367" s="3">
        <v>2.0</v>
      </c>
      <c r="D367" s="3">
        <f>IFERROR(__xludf.DUMMYFUNCTION("IFERROR(
IF(REGEXMATCH(LOWER(O367),""k""),
VALUE(REGEXEXTRACT(O367,""[0-9]+""))*1000,
VALUE(REGEXEXTRACT(O367,""[0-9]+""))
),
0
)"),0.0)</f>
        <v>0</v>
      </c>
      <c r="E367" s="1" t="s">
        <v>11</v>
      </c>
      <c r="F367" s="1" t="s">
        <v>20</v>
      </c>
      <c r="G367" s="4" t="b">
        <f t="shared" si="2"/>
        <v>1</v>
      </c>
      <c r="H367" s="1" t="str">
        <f t="shared" si="3"/>
        <v>Currently Unavailable</v>
      </c>
      <c r="I367" s="1" t="str">
        <f t="shared" si="4"/>
        <v>No Badges</v>
      </c>
      <c r="J367" s="3">
        <f t="shared" si="5"/>
        <v>0</v>
      </c>
    </row>
    <row r="368">
      <c r="A368" s="1" t="s">
        <v>344</v>
      </c>
      <c r="B368" s="3" t="str">
        <f t="shared" si="1"/>
        <v>Unavailable</v>
      </c>
      <c r="C368" s="3">
        <v>241.0</v>
      </c>
      <c r="D368" s="3">
        <f>IFERROR(__xludf.DUMMYFUNCTION("IFERROR(
IF(REGEXMATCH(LOWER(O368),""k""),
VALUE(REGEXEXTRACT(O368,""[0-9]+""))*1000,
VALUE(REGEXEXTRACT(O368,""[0-9]+""))
),
0
)"),0.0)</f>
        <v>0</v>
      </c>
      <c r="E368" s="1" t="s">
        <v>11</v>
      </c>
      <c r="F368" s="1" t="s">
        <v>20</v>
      </c>
      <c r="G368" s="4" t="b">
        <f t="shared" si="2"/>
        <v>1</v>
      </c>
      <c r="H368" s="1" t="str">
        <f t="shared" si="3"/>
        <v>Currently Unavailable</v>
      </c>
      <c r="I368" s="1" t="str">
        <f t="shared" si="4"/>
        <v>No Badges</v>
      </c>
      <c r="J368" s="3">
        <f t="shared" si="5"/>
        <v>0</v>
      </c>
    </row>
    <row r="369">
      <c r="A369" s="1" t="s">
        <v>40</v>
      </c>
      <c r="B369" s="3" t="str">
        <f t="shared" si="1"/>
        <v>Unavailable</v>
      </c>
      <c r="C369" s="3">
        <v>171.0</v>
      </c>
      <c r="D369" s="3">
        <f>IFERROR(__xludf.DUMMYFUNCTION("IFERROR(
IF(REGEXMATCH(LOWER(O369),""k""),
VALUE(REGEXEXTRACT(O369,""[0-9]+""))*1000,
VALUE(REGEXEXTRACT(O369,""[0-9]+""))
),
0
)"),0.0)</f>
        <v>0</v>
      </c>
      <c r="E369" s="1" t="s">
        <v>11</v>
      </c>
      <c r="F369" s="1" t="s">
        <v>12</v>
      </c>
      <c r="G369" s="4" t="b">
        <f t="shared" si="2"/>
        <v>1</v>
      </c>
      <c r="H369" s="1" t="str">
        <f t="shared" si="3"/>
        <v>Currently Unavailable</v>
      </c>
      <c r="I369" s="1" t="str">
        <f t="shared" si="4"/>
        <v>No Badges</v>
      </c>
      <c r="J369" s="3">
        <f t="shared" si="5"/>
        <v>0</v>
      </c>
    </row>
    <row r="370">
      <c r="A370" s="1" t="s">
        <v>345</v>
      </c>
      <c r="B370" s="3" t="str">
        <f t="shared" si="1"/>
        <v>Unavailable</v>
      </c>
      <c r="C370" s="3">
        <v>64.0</v>
      </c>
      <c r="D370" s="3">
        <f>IFERROR(__xludf.DUMMYFUNCTION("IFERROR(
IF(REGEXMATCH(LOWER(O370),""k""),
VALUE(REGEXEXTRACT(O370,""[0-9]+""))*1000,
VALUE(REGEXEXTRACT(O370,""[0-9]+""))
),
0
)"),0.0)</f>
        <v>0</v>
      </c>
      <c r="E370" s="1" t="s">
        <v>11</v>
      </c>
      <c r="F370" s="1" t="s">
        <v>20</v>
      </c>
      <c r="G370" s="4" t="b">
        <f t="shared" si="2"/>
        <v>1</v>
      </c>
      <c r="H370" s="1" t="str">
        <f t="shared" si="3"/>
        <v>Currently Unavailable</v>
      </c>
      <c r="I370" s="1" t="str">
        <f t="shared" si="4"/>
        <v>No Badges</v>
      </c>
      <c r="J370" s="3">
        <f t="shared" si="5"/>
        <v>0</v>
      </c>
    </row>
    <row r="371">
      <c r="A371" s="1" t="s">
        <v>346</v>
      </c>
      <c r="B371" s="3" t="str">
        <f t="shared" si="1"/>
        <v>Unavailable</v>
      </c>
      <c r="C371" s="3">
        <v>969.0</v>
      </c>
      <c r="D371" s="3">
        <f>IFERROR(__xludf.DUMMYFUNCTION("IFERROR(
IF(REGEXMATCH(LOWER(O371),""k""),
VALUE(REGEXEXTRACT(O371,""[0-9]+""))*1000,
VALUE(REGEXEXTRACT(O371,""[0-9]+""))
),
0
)"),0.0)</f>
        <v>0</v>
      </c>
      <c r="E371" s="1" t="s">
        <v>11</v>
      </c>
      <c r="F371" s="1" t="s">
        <v>20</v>
      </c>
      <c r="G371" s="4" t="b">
        <f t="shared" si="2"/>
        <v>1</v>
      </c>
      <c r="H371" s="1" t="str">
        <f t="shared" si="3"/>
        <v>Currently Unavailable</v>
      </c>
      <c r="I371" s="1" t="str">
        <f t="shared" si="4"/>
        <v>No Badges</v>
      </c>
      <c r="J371" s="3">
        <f t="shared" si="5"/>
        <v>0</v>
      </c>
    </row>
    <row r="372">
      <c r="A372" s="1" t="s">
        <v>347</v>
      </c>
      <c r="B372" s="3" t="str">
        <f t="shared" si="1"/>
        <v>Unavailable</v>
      </c>
      <c r="C372" s="5">
        <v>1129.0</v>
      </c>
      <c r="D372" s="3">
        <f>IFERROR(__xludf.DUMMYFUNCTION("IFERROR(
IF(REGEXMATCH(LOWER(O372),""k""),
VALUE(REGEXEXTRACT(O372,""[0-9]+""))*1000,
VALUE(REGEXEXTRACT(O372,""[0-9]+""))
),
0
)"),0.0)</f>
        <v>0</v>
      </c>
      <c r="E372" s="1" t="s">
        <v>11</v>
      </c>
      <c r="F372" s="1" t="s">
        <v>20</v>
      </c>
      <c r="G372" s="4" t="b">
        <f t="shared" si="2"/>
        <v>1</v>
      </c>
      <c r="H372" s="1" t="str">
        <f t="shared" si="3"/>
        <v>Currently Unavailable</v>
      </c>
      <c r="I372" s="1" t="str">
        <f t="shared" si="4"/>
        <v>No Badges</v>
      </c>
      <c r="J372" s="3">
        <f t="shared" si="5"/>
        <v>0</v>
      </c>
    </row>
    <row r="373">
      <c r="A373" s="1" t="s">
        <v>348</v>
      </c>
      <c r="B373" s="3" t="str">
        <f t="shared" si="1"/>
        <v>Unavailable</v>
      </c>
      <c r="C373" s="5">
        <v>5080.0</v>
      </c>
      <c r="D373" s="3">
        <f>IFERROR(__xludf.DUMMYFUNCTION("IFERROR(
IF(REGEXMATCH(LOWER(O373),""k""),
VALUE(REGEXEXTRACT(O373,""[0-9]+""))*1000,
VALUE(REGEXEXTRACT(O373,""[0-9]+""))
),
0
)"),0.0)</f>
        <v>0</v>
      </c>
      <c r="E373" s="1" t="s">
        <v>11</v>
      </c>
      <c r="F373" s="1" t="s">
        <v>20</v>
      </c>
      <c r="G373" s="4" t="b">
        <f t="shared" si="2"/>
        <v>1</v>
      </c>
      <c r="H373" s="1" t="str">
        <f t="shared" si="3"/>
        <v>Currently Unavailable</v>
      </c>
      <c r="I373" s="1" t="str">
        <f t="shared" si="4"/>
        <v>No Badges</v>
      </c>
      <c r="J373" s="3">
        <f t="shared" si="5"/>
        <v>0</v>
      </c>
    </row>
    <row r="374">
      <c r="A374" s="1" t="s">
        <v>349</v>
      </c>
      <c r="B374" s="3" t="str">
        <f t="shared" si="1"/>
        <v>Unavailable</v>
      </c>
      <c r="C374" s="3">
        <v>64.0</v>
      </c>
      <c r="D374" s="3">
        <f>IFERROR(__xludf.DUMMYFUNCTION("IFERROR(
IF(REGEXMATCH(LOWER(O374),""k""),
VALUE(REGEXEXTRACT(O374,""[0-9]+""))*1000,
VALUE(REGEXEXTRACT(O374,""[0-9]+""))
),
0
)"),0.0)</f>
        <v>0</v>
      </c>
      <c r="E374" s="1" t="s">
        <v>11</v>
      </c>
      <c r="F374" s="1" t="s">
        <v>20</v>
      </c>
      <c r="G374" s="4" t="b">
        <f t="shared" si="2"/>
        <v>1</v>
      </c>
      <c r="H374" s="1" t="str">
        <f t="shared" si="3"/>
        <v>Currently Unavailable</v>
      </c>
      <c r="I374" s="1" t="str">
        <f t="shared" si="4"/>
        <v>No Badges</v>
      </c>
      <c r="J374" s="3">
        <f t="shared" si="5"/>
        <v>0</v>
      </c>
    </row>
    <row r="375">
      <c r="A375" s="1" t="s">
        <v>350</v>
      </c>
      <c r="B375" s="3" t="str">
        <f t="shared" si="1"/>
        <v>Unavailable</v>
      </c>
      <c r="C375" s="3">
        <v>247.0</v>
      </c>
      <c r="D375" s="3">
        <f>IFERROR(__xludf.DUMMYFUNCTION("IFERROR(
IF(REGEXMATCH(LOWER(O375),""k""),
VALUE(REGEXEXTRACT(O375,""[0-9]+""))*1000,
VALUE(REGEXEXTRACT(O375,""[0-9]+""))
),
0
)"),0.0)</f>
        <v>0</v>
      </c>
      <c r="E375" s="1" t="s">
        <v>11</v>
      </c>
      <c r="F375" s="1" t="s">
        <v>20</v>
      </c>
      <c r="G375" s="4" t="b">
        <f t="shared" si="2"/>
        <v>1</v>
      </c>
      <c r="H375" s="1" t="str">
        <f t="shared" si="3"/>
        <v>Currently Unavailable</v>
      </c>
      <c r="I375" s="1" t="str">
        <f t="shared" si="4"/>
        <v>No Badges</v>
      </c>
      <c r="J375" s="3">
        <f t="shared" si="5"/>
        <v>0</v>
      </c>
    </row>
    <row r="376">
      <c r="A376" s="1" t="s">
        <v>351</v>
      </c>
      <c r="B376" s="3" t="str">
        <f t="shared" si="1"/>
        <v>Unavailable</v>
      </c>
      <c r="C376" s="5">
        <v>1260.0</v>
      </c>
      <c r="D376" s="3">
        <f>IFERROR(__xludf.DUMMYFUNCTION("IFERROR(
IF(REGEXMATCH(LOWER(O376),""k""),
VALUE(REGEXEXTRACT(O376,""[0-9]+""))*1000,
VALUE(REGEXEXTRACT(O376,""[0-9]+""))
),
0
)"),0.0)</f>
        <v>0</v>
      </c>
      <c r="E376" s="1" t="s">
        <v>11</v>
      </c>
      <c r="F376" s="1" t="s">
        <v>20</v>
      </c>
      <c r="G376" s="4" t="b">
        <f t="shared" si="2"/>
        <v>1</v>
      </c>
      <c r="H376" s="1" t="str">
        <f t="shared" si="3"/>
        <v>Currently Unavailable</v>
      </c>
      <c r="I376" s="1" t="str">
        <f t="shared" si="4"/>
        <v>No Badges</v>
      </c>
      <c r="J376" s="3">
        <f t="shared" si="5"/>
        <v>0</v>
      </c>
    </row>
    <row r="377">
      <c r="A377" s="1" t="s">
        <v>352</v>
      </c>
      <c r="B377" s="3" t="str">
        <f t="shared" si="1"/>
        <v>Unavailable</v>
      </c>
      <c r="C377" s="3">
        <v>80.0</v>
      </c>
      <c r="D377" s="3">
        <f>IFERROR(__xludf.DUMMYFUNCTION("IFERROR(
IF(REGEXMATCH(LOWER(O377),""k""),
VALUE(REGEXEXTRACT(O377,""[0-9]+""))*1000,
VALUE(REGEXEXTRACT(O377,""[0-9]+""))
),
0
)"),0.0)</f>
        <v>0</v>
      </c>
      <c r="E377" s="1" t="s">
        <v>18</v>
      </c>
      <c r="F377" s="1" t="s">
        <v>20</v>
      </c>
      <c r="G377" s="4" t="b">
        <f t="shared" si="2"/>
        <v>1</v>
      </c>
      <c r="H377" s="1" t="str">
        <f t="shared" si="3"/>
        <v>Currently Unavailable</v>
      </c>
      <c r="I377" s="1" t="str">
        <f t="shared" si="4"/>
        <v>No Badges</v>
      </c>
      <c r="J377" s="3">
        <f t="shared" si="5"/>
        <v>0</v>
      </c>
    </row>
    <row r="378">
      <c r="A378" s="1" t="s">
        <v>353</v>
      </c>
      <c r="B378" s="3" t="str">
        <f t="shared" si="1"/>
        <v>Unavailable</v>
      </c>
      <c r="C378" s="3">
        <v>46.0</v>
      </c>
      <c r="D378" s="3">
        <f>IFERROR(__xludf.DUMMYFUNCTION("IFERROR(
IF(REGEXMATCH(LOWER(O378),""k""),
VALUE(REGEXEXTRACT(O378,""[0-9]+""))*1000,
VALUE(REGEXEXTRACT(O378,""[0-9]+""))
),
0
)"),0.0)</f>
        <v>0</v>
      </c>
      <c r="E378" s="1" t="s">
        <v>11</v>
      </c>
      <c r="F378" s="1" t="s">
        <v>20</v>
      </c>
      <c r="G378" s="4" t="b">
        <f t="shared" si="2"/>
        <v>1</v>
      </c>
      <c r="H378" s="1" t="str">
        <f t="shared" si="3"/>
        <v>Currently Unavailable</v>
      </c>
      <c r="I378" s="1" t="str">
        <f t="shared" si="4"/>
        <v>No Badges</v>
      </c>
      <c r="J378" s="3">
        <f t="shared" si="5"/>
        <v>0</v>
      </c>
    </row>
    <row r="379">
      <c r="A379" s="1" t="s">
        <v>354</v>
      </c>
      <c r="B379" s="3" t="str">
        <f t="shared" si="1"/>
        <v>Unavailable</v>
      </c>
      <c r="C379" s="3">
        <v>98.0</v>
      </c>
      <c r="D379" s="3">
        <f>IFERROR(__xludf.DUMMYFUNCTION("IFERROR(
IF(REGEXMATCH(LOWER(O379),""k""),
VALUE(REGEXEXTRACT(O379,""[0-9]+""))*1000,
VALUE(REGEXEXTRACT(O379,""[0-9]+""))
),
0
)"),0.0)</f>
        <v>0</v>
      </c>
      <c r="E379" s="1" t="s">
        <v>11</v>
      </c>
      <c r="F379" s="1" t="s">
        <v>20</v>
      </c>
      <c r="G379" s="4" t="b">
        <f t="shared" si="2"/>
        <v>1</v>
      </c>
      <c r="H379" s="1" t="str">
        <f t="shared" si="3"/>
        <v>Currently Unavailable</v>
      </c>
      <c r="I379" s="1" t="str">
        <f t="shared" si="4"/>
        <v>No Badges</v>
      </c>
      <c r="J379" s="3">
        <f t="shared" si="5"/>
        <v>0</v>
      </c>
    </row>
    <row r="380">
      <c r="A380" s="1" t="s">
        <v>355</v>
      </c>
      <c r="B380" s="3" t="str">
        <f t="shared" si="1"/>
        <v>Unavailable</v>
      </c>
      <c r="C380" s="3">
        <v>986.0</v>
      </c>
      <c r="D380" s="3">
        <f>IFERROR(__xludf.DUMMYFUNCTION("IFERROR(
IF(REGEXMATCH(LOWER(O380),""k""),
VALUE(REGEXEXTRACT(O380,""[0-9]+""))*1000,
VALUE(REGEXEXTRACT(O380,""[0-9]+""))
),
0
)"),0.0)</f>
        <v>0</v>
      </c>
      <c r="E380" s="1" t="s">
        <v>11</v>
      </c>
      <c r="F380" s="1" t="s">
        <v>20</v>
      </c>
      <c r="G380" s="4" t="b">
        <f t="shared" si="2"/>
        <v>1</v>
      </c>
      <c r="H380" s="1" t="str">
        <f t="shared" si="3"/>
        <v>Currently Unavailable</v>
      </c>
      <c r="I380" s="1" t="str">
        <f t="shared" si="4"/>
        <v>No Badges</v>
      </c>
      <c r="J380" s="3">
        <f t="shared" si="5"/>
        <v>0</v>
      </c>
    </row>
    <row r="381">
      <c r="A381" s="1" t="s">
        <v>356</v>
      </c>
      <c r="B381" s="3" t="str">
        <f t="shared" si="1"/>
        <v>Unavailable</v>
      </c>
      <c r="C381" s="3">
        <v>264.0</v>
      </c>
      <c r="D381" s="3">
        <f>IFERROR(__xludf.DUMMYFUNCTION("IFERROR(
IF(REGEXMATCH(LOWER(O381),""k""),
VALUE(REGEXEXTRACT(O381,""[0-9]+""))*1000,
VALUE(REGEXEXTRACT(O381,""[0-9]+""))
),
0
)"),0.0)</f>
        <v>0</v>
      </c>
      <c r="E381" s="1" t="s">
        <v>11</v>
      </c>
      <c r="F381" s="1" t="s">
        <v>20</v>
      </c>
      <c r="G381" s="4" t="b">
        <f t="shared" si="2"/>
        <v>1</v>
      </c>
      <c r="H381" s="1" t="str">
        <f t="shared" si="3"/>
        <v>Currently Unavailable</v>
      </c>
      <c r="I381" s="1" t="str">
        <f t="shared" si="4"/>
        <v>No Badges</v>
      </c>
      <c r="J381" s="3">
        <f t="shared" si="5"/>
        <v>0</v>
      </c>
    </row>
    <row r="382">
      <c r="A382" s="1" t="s">
        <v>357</v>
      </c>
      <c r="B382" s="3" t="str">
        <f t="shared" si="1"/>
        <v>Unavailable</v>
      </c>
      <c r="C382" s="3">
        <v>895.0</v>
      </c>
      <c r="D382" s="3">
        <f>IFERROR(__xludf.DUMMYFUNCTION("IFERROR(
IF(REGEXMATCH(LOWER(O382),""k""),
VALUE(REGEXEXTRACT(O382,""[0-9]+""))*1000,
VALUE(REGEXEXTRACT(O382,""[0-9]+""))
),
0
)"),0.0)</f>
        <v>0</v>
      </c>
      <c r="E382" s="1" t="s">
        <v>11</v>
      </c>
      <c r="F382" s="1" t="s">
        <v>20</v>
      </c>
      <c r="G382" s="4" t="b">
        <f t="shared" si="2"/>
        <v>1</v>
      </c>
      <c r="H382" s="1" t="str">
        <f t="shared" si="3"/>
        <v>Currently Unavailable</v>
      </c>
      <c r="I382" s="1" t="str">
        <f t="shared" si="4"/>
        <v>No Badges</v>
      </c>
      <c r="J382" s="3">
        <f t="shared" si="5"/>
        <v>0</v>
      </c>
    </row>
    <row r="383">
      <c r="A383" s="1" t="s">
        <v>88</v>
      </c>
      <c r="B383" s="3" t="str">
        <f t="shared" si="1"/>
        <v>Unavailable</v>
      </c>
      <c r="C383" s="3">
        <v>5.0</v>
      </c>
      <c r="D383" s="3">
        <f>IFERROR(__xludf.DUMMYFUNCTION("IFERROR(
IF(REGEXMATCH(LOWER(O383),""k""),
VALUE(REGEXEXTRACT(O383,""[0-9]+""))*1000,
VALUE(REGEXEXTRACT(O383,""[0-9]+""))
),
0
)"),0.0)</f>
        <v>0</v>
      </c>
      <c r="E383" s="1" t="s">
        <v>11</v>
      </c>
      <c r="F383" s="1" t="s">
        <v>12</v>
      </c>
      <c r="G383" s="4" t="b">
        <f t="shared" si="2"/>
        <v>1</v>
      </c>
      <c r="H383" s="1" t="str">
        <f t="shared" si="3"/>
        <v>Currently Unavailable</v>
      </c>
      <c r="I383" s="1" t="str">
        <f t="shared" si="4"/>
        <v>No Badges</v>
      </c>
      <c r="J383" s="3">
        <f t="shared" si="5"/>
        <v>0</v>
      </c>
    </row>
    <row r="384">
      <c r="A384" s="1" t="s">
        <v>143</v>
      </c>
      <c r="B384" s="3" t="str">
        <f t="shared" si="1"/>
        <v>Unavailable</v>
      </c>
      <c r="C384" s="3">
        <v>63.0</v>
      </c>
      <c r="D384" s="3">
        <f>IFERROR(__xludf.DUMMYFUNCTION("IFERROR(
IF(REGEXMATCH(LOWER(O384),""k""),
VALUE(REGEXEXTRACT(O384,""[0-9]+""))*1000,
VALUE(REGEXEXTRACT(O384,""[0-9]+""))
),
0
)"),0.0)</f>
        <v>0</v>
      </c>
      <c r="E384" s="1" t="s">
        <v>11</v>
      </c>
      <c r="F384" s="1" t="s">
        <v>12</v>
      </c>
      <c r="G384" s="4" t="b">
        <f t="shared" si="2"/>
        <v>1</v>
      </c>
      <c r="H384" s="1" t="str">
        <f t="shared" si="3"/>
        <v>Currently Unavailable</v>
      </c>
      <c r="I384" s="1" t="str">
        <f t="shared" si="4"/>
        <v>No Badges</v>
      </c>
      <c r="J384" s="3">
        <f t="shared" si="5"/>
        <v>0</v>
      </c>
    </row>
    <row r="385">
      <c r="A385" s="1" t="s">
        <v>358</v>
      </c>
      <c r="B385" s="3" t="str">
        <f t="shared" si="1"/>
        <v>Unavailable</v>
      </c>
      <c r="C385" s="3">
        <v>73.0</v>
      </c>
      <c r="D385" s="3">
        <f>IFERROR(__xludf.DUMMYFUNCTION("IFERROR(
IF(REGEXMATCH(LOWER(O385),""k""),
VALUE(REGEXEXTRACT(O385,""[0-9]+""))*1000,
VALUE(REGEXEXTRACT(O385,""[0-9]+""))
),
0
)"),0.0)</f>
        <v>0</v>
      </c>
      <c r="E385" s="1" t="s">
        <v>11</v>
      </c>
      <c r="F385" s="1" t="s">
        <v>20</v>
      </c>
      <c r="G385" s="4" t="b">
        <f t="shared" si="2"/>
        <v>1</v>
      </c>
      <c r="H385" s="1" t="str">
        <f t="shared" si="3"/>
        <v>Currently Unavailable</v>
      </c>
      <c r="I385" s="1" t="str">
        <f t="shared" si="4"/>
        <v>No Badges</v>
      </c>
      <c r="J385" s="3">
        <f t="shared" si="5"/>
        <v>0</v>
      </c>
    </row>
    <row r="386">
      <c r="A386" s="1" t="s">
        <v>69</v>
      </c>
      <c r="B386" s="3" t="str">
        <f t="shared" si="1"/>
        <v>Unavailable</v>
      </c>
      <c r="C386" s="3">
        <v>45.0</v>
      </c>
      <c r="D386" s="3">
        <f>IFERROR(__xludf.DUMMYFUNCTION("IFERROR(
IF(REGEXMATCH(LOWER(O386),""k""),
VALUE(REGEXEXTRACT(O386,""[0-9]+""))*1000,
VALUE(REGEXEXTRACT(O386,""[0-9]+""))
),
0
)"),0.0)</f>
        <v>0</v>
      </c>
      <c r="E386" s="1" t="s">
        <v>11</v>
      </c>
      <c r="F386" s="1" t="s">
        <v>12</v>
      </c>
      <c r="G386" s="4" t="b">
        <f t="shared" si="2"/>
        <v>1</v>
      </c>
      <c r="H386" s="1" t="str">
        <f t="shared" si="3"/>
        <v>Currently Unavailable</v>
      </c>
      <c r="I386" s="1" t="str">
        <f t="shared" si="4"/>
        <v>No Badges</v>
      </c>
      <c r="J386" s="3">
        <f t="shared" si="5"/>
        <v>0</v>
      </c>
    </row>
    <row r="387">
      <c r="A387" s="1" t="s">
        <v>359</v>
      </c>
      <c r="B387" s="3" t="str">
        <f t="shared" si="1"/>
        <v>Unavailable</v>
      </c>
      <c r="C387" s="5">
        <v>3994.0</v>
      </c>
      <c r="D387" s="3">
        <f>IFERROR(__xludf.DUMMYFUNCTION("IFERROR(
IF(REGEXMATCH(LOWER(O387),""k""),
VALUE(REGEXEXTRACT(O387,""[0-9]+""))*1000,
VALUE(REGEXEXTRACT(O387,""[0-9]+""))
),
0
)"),0.0)</f>
        <v>0</v>
      </c>
      <c r="E387" s="1" t="s">
        <v>11</v>
      </c>
      <c r="F387" s="1" t="s">
        <v>20</v>
      </c>
      <c r="G387" s="4" t="b">
        <f t="shared" si="2"/>
        <v>1</v>
      </c>
      <c r="H387" s="1" t="str">
        <f t="shared" si="3"/>
        <v>Currently Unavailable</v>
      </c>
      <c r="I387" s="1" t="str">
        <f t="shared" si="4"/>
        <v>No Badges</v>
      </c>
      <c r="J387" s="3">
        <f t="shared" si="5"/>
        <v>0</v>
      </c>
    </row>
    <row r="388">
      <c r="A388" s="1" t="s">
        <v>360</v>
      </c>
      <c r="B388" s="3" t="str">
        <f t="shared" si="1"/>
        <v>Unavailable</v>
      </c>
      <c r="C388" s="3">
        <v>2.0</v>
      </c>
      <c r="D388" s="3">
        <f>IFERROR(__xludf.DUMMYFUNCTION("IFERROR(
IF(REGEXMATCH(LOWER(O388),""k""),
VALUE(REGEXEXTRACT(O388,""[0-9]+""))*1000,
VALUE(REGEXEXTRACT(O388,""[0-9]+""))
),
0
)"),0.0)</f>
        <v>0</v>
      </c>
      <c r="E388" s="1" t="s">
        <v>11</v>
      </c>
      <c r="F388" s="1" t="s">
        <v>20</v>
      </c>
      <c r="G388" s="4" t="b">
        <f t="shared" si="2"/>
        <v>1</v>
      </c>
      <c r="H388" s="1" t="str">
        <f t="shared" si="3"/>
        <v>Currently Unavailable</v>
      </c>
      <c r="I388" s="1" t="str">
        <f t="shared" si="4"/>
        <v>No Badges</v>
      </c>
      <c r="J388" s="3">
        <f t="shared" si="5"/>
        <v>0</v>
      </c>
    </row>
    <row r="389">
      <c r="A389" s="1" t="s">
        <v>361</v>
      </c>
      <c r="B389" s="3" t="str">
        <f t="shared" si="1"/>
        <v>Unavailable</v>
      </c>
      <c r="C389" s="3">
        <v>7.0</v>
      </c>
      <c r="D389" s="3">
        <f>IFERROR(__xludf.DUMMYFUNCTION("IFERROR(
IF(REGEXMATCH(LOWER(O389),""k""),
VALUE(REGEXEXTRACT(O389,""[0-9]+""))*1000,
VALUE(REGEXEXTRACT(O389,""[0-9]+""))
),
0
)"),0.0)</f>
        <v>0</v>
      </c>
      <c r="E389" s="1" t="s">
        <v>11</v>
      </c>
      <c r="F389" s="1" t="s">
        <v>20</v>
      </c>
      <c r="G389" s="4" t="b">
        <f t="shared" si="2"/>
        <v>1</v>
      </c>
      <c r="H389" s="1" t="str">
        <f t="shared" si="3"/>
        <v>Currently Unavailable</v>
      </c>
      <c r="I389" s="1" t="str">
        <f t="shared" si="4"/>
        <v>No Badges</v>
      </c>
      <c r="J389" s="3">
        <f t="shared" si="5"/>
        <v>0</v>
      </c>
    </row>
    <row r="390">
      <c r="A390" s="1" t="s">
        <v>362</v>
      </c>
      <c r="B390" s="3" t="str">
        <f t="shared" si="1"/>
        <v>Unavailable</v>
      </c>
      <c r="C390" s="3">
        <v>204.0</v>
      </c>
      <c r="D390" s="3">
        <f>IFERROR(__xludf.DUMMYFUNCTION("IFERROR(
IF(REGEXMATCH(LOWER(O390),""k""),
VALUE(REGEXEXTRACT(O390,""[0-9]+""))*1000,
VALUE(REGEXEXTRACT(O390,""[0-9]+""))
),
0
)"),0.0)</f>
        <v>0</v>
      </c>
      <c r="E390" s="1" t="s">
        <v>11</v>
      </c>
      <c r="F390" s="1" t="s">
        <v>20</v>
      </c>
      <c r="G390" s="4" t="b">
        <f t="shared" si="2"/>
        <v>1</v>
      </c>
      <c r="H390" s="1" t="str">
        <f t="shared" si="3"/>
        <v>Currently Unavailable</v>
      </c>
      <c r="I390" s="1" t="str">
        <f t="shared" si="4"/>
        <v>No Badges</v>
      </c>
      <c r="J390" s="3">
        <f t="shared" si="5"/>
        <v>0</v>
      </c>
    </row>
    <row r="391">
      <c r="A391" s="1" t="s">
        <v>363</v>
      </c>
      <c r="B391" s="3" t="str">
        <f t="shared" si="1"/>
        <v>Unavailable</v>
      </c>
      <c r="C391" s="3">
        <v>129.0</v>
      </c>
      <c r="D391" s="3">
        <f>IFERROR(__xludf.DUMMYFUNCTION("IFERROR(
IF(REGEXMATCH(LOWER(O391),""k""),
VALUE(REGEXEXTRACT(O391,""[0-9]+""))*1000,
VALUE(REGEXEXTRACT(O391,""[0-9]+""))
),
0
)"),0.0)</f>
        <v>0</v>
      </c>
      <c r="E391" s="1" t="s">
        <v>11</v>
      </c>
      <c r="F391" s="1" t="s">
        <v>20</v>
      </c>
      <c r="G391" s="4" t="b">
        <f t="shared" si="2"/>
        <v>1</v>
      </c>
      <c r="H391" s="1" t="str">
        <f t="shared" si="3"/>
        <v>Currently Unavailable</v>
      </c>
      <c r="I391" s="1" t="str">
        <f t="shared" si="4"/>
        <v>No Badges</v>
      </c>
      <c r="J391" s="3">
        <f t="shared" si="5"/>
        <v>0</v>
      </c>
    </row>
    <row r="392">
      <c r="A392" s="1" t="s">
        <v>364</v>
      </c>
      <c r="B392" s="3" t="str">
        <f t="shared" si="1"/>
        <v>Unavailable</v>
      </c>
      <c r="C392" s="3">
        <v>27.0</v>
      </c>
      <c r="D392" s="3">
        <f>IFERROR(__xludf.DUMMYFUNCTION("IFERROR(
IF(REGEXMATCH(LOWER(O392),""k""),
VALUE(REGEXEXTRACT(O392,""[0-9]+""))*1000,
VALUE(REGEXEXTRACT(O392,""[0-9]+""))
),
0
)"),0.0)</f>
        <v>0</v>
      </c>
      <c r="E392" s="1" t="s">
        <v>11</v>
      </c>
      <c r="F392" s="1" t="s">
        <v>20</v>
      </c>
      <c r="G392" s="4" t="b">
        <f t="shared" si="2"/>
        <v>1</v>
      </c>
      <c r="H392" s="1" t="str">
        <f t="shared" si="3"/>
        <v>Currently Unavailable</v>
      </c>
      <c r="I392" s="1" t="str">
        <f t="shared" si="4"/>
        <v>No Badges</v>
      </c>
      <c r="J392" s="3">
        <f t="shared" si="5"/>
        <v>0</v>
      </c>
    </row>
    <row r="393">
      <c r="A393" s="1" t="s">
        <v>365</v>
      </c>
      <c r="B393" s="3" t="str">
        <f t="shared" si="1"/>
        <v>Unavailable</v>
      </c>
      <c r="C393" s="3">
        <v>32.0</v>
      </c>
      <c r="D393" s="3">
        <f>IFERROR(__xludf.DUMMYFUNCTION("IFERROR(
IF(REGEXMATCH(LOWER(O393),""k""),
VALUE(REGEXEXTRACT(O393,""[0-9]+""))*1000,
VALUE(REGEXEXTRACT(O393,""[0-9]+""))
),
0
)"),0.0)</f>
        <v>0</v>
      </c>
      <c r="E393" s="1" t="s">
        <v>11</v>
      </c>
      <c r="F393" s="1" t="s">
        <v>20</v>
      </c>
      <c r="G393" s="4" t="b">
        <f t="shared" si="2"/>
        <v>1</v>
      </c>
      <c r="H393" s="1" t="str">
        <f t="shared" si="3"/>
        <v>Currently Unavailable</v>
      </c>
      <c r="I393" s="1" t="str">
        <f t="shared" si="4"/>
        <v>No Badges</v>
      </c>
      <c r="J393" s="3">
        <f t="shared" si="5"/>
        <v>0</v>
      </c>
    </row>
    <row r="394">
      <c r="A394" s="1" t="s">
        <v>366</v>
      </c>
      <c r="B394" s="3" t="str">
        <f t="shared" si="1"/>
        <v>Unavailable</v>
      </c>
      <c r="C394" s="5">
        <v>2010.0</v>
      </c>
      <c r="D394" s="3">
        <f>IFERROR(__xludf.DUMMYFUNCTION("IFERROR(
IF(REGEXMATCH(LOWER(O394),""k""),
VALUE(REGEXEXTRACT(O394,""[0-9]+""))*1000,
VALUE(REGEXEXTRACT(O394,""[0-9]+""))
),
0
)"),0.0)</f>
        <v>0</v>
      </c>
      <c r="E394" s="1" t="s">
        <v>11</v>
      </c>
      <c r="F394" s="1" t="s">
        <v>20</v>
      </c>
      <c r="G394" s="4" t="b">
        <f t="shared" si="2"/>
        <v>1</v>
      </c>
      <c r="H394" s="1" t="str">
        <f t="shared" si="3"/>
        <v>Currently Unavailable</v>
      </c>
      <c r="I394" s="1" t="str">
        <f t="shared" si="4"/>
        <v>No Badges</v>
      </c>
      <c r="J394" s="3">
        <f t="shared" si="5"/>
        <v>0</v>
      </c>
    </row>
    <row r="395">
      <c r="A395" s="1" t="s">
        <v>367</v>
      </c>
      <c r="B395" s="3" t="str">
        <f t="shared" si="1"/>
        <v>Unavailable</v>
      </c>
      <c r="C395" s="3">
        <v>865.0</v>
      </c>
      <c r="D395" s="3">
        <f>IFERROR(__xludf.DUMMYFUNCTION("IFERROR(
IF(REGEXMATCH(LOWER(O395),""k""),
VALUE(REGEXEXTRACT(O395,""[0-9]+""))*1000,
VALUE(REGEXEXTRACT(O395,""[0-9]+""))
),
0
)"),0.0)</f>
        <v>0</v>
      </c>
      <c r="E395" s="1" t="s">
        <v>11</v>
      </c>
      <c r="F395" s="1" t="s">
        <v>20</v>
      </c>
      <c r="G395" s="4" t="b">
        <f t="shared" si="2"/>
        <v>1</v>
      </c>
      <c r="H395" s="1" t="str">
        <f t="shared" si="3"/>
        <v>Currently Unavailable</v>
      </c>
      <c r="I395" s="1" t="str">
        <f t="shared" si="4"/>
        <v>No Badges</v>
      </c>
      <c r="J395" s="3">
        <f t="shared" si="5"/>
        <v>0</v>
      </c>
    </row>
    <row r="396">
      <c r="A396" s="1" t="s">
        <v>368</v>
      </c>
      <c r="B396" s="3" t="str">
        <f t="shared" si="1"/>
        <v>Unavailable</v>
      </c>
      <c r="C396" s="3">
        <v>204.0</v>
      </c>
      <c r="D396" s="3">
        <f>IFERROR(__xludf.DUMMYFUNCTION("IFERROR(
IF(REGEXMATCH(LOWER(O396),""k""),
VALUE(REGEXEXTRACT(O396,""[0-9]+""))*1000,
VALUE(REGEXEXTRACT(O396,""[0-9]+""))
),
0
)"),0.0)</f>
        <v>0</v>
      </c>
      <c r="E396" s="1" t="s">
        <v>11</v>
      </c>
      <c r="F396" s="1" t="s">
        <v>20</v>
      </c>
      <c r="G396" s="4" t="b">
        <f t="shared" si="2"/>
        <v>1</v>
      </c>
      <c r="H396" s="1" t="str">
        <f t="shared" si="3"/>
        <v>Currently Unavailable</v>
      </c>
      <c r="I396" s="1" t="str">
        <f t="shared" si="4"/>
        <v>No Badges</v>
      </c>
      <c r="J396" s="3">
        <f t="shared" si="5"/>
        <v>0</v>
      </c>
    </row>
    <row r="397">
      <c r="A397" s="1" t="s">
        <v>369</v>
      </c>
      <c r="B397" s="3" t="str">
        <f t="shared" si="1"/>
        <v>Unavailable</v>
      </c>
      <c r="C397" s="3">
        <v>712.0</v>
      </c>
      <c r="D397" s="3">
        <f>IFERROR(__xludf.DUMMYFUNCTION("IFERROR(
IF(REGEXMATCH(LOWER(O397),""k""),
VALUE(REGEXEXTRACT(O397,""[0-9]+""))*1000,
VALUE(REGEXEXTRACT(O397,""[0-9]+""))
),
0
)"),0.0)</f>
        <v>0</v>
      </c>
      <c r="E397" s="1" t="s">
        <v>11</v>
      </c>
      <c r="F397" s="1" t="s">
        <v>20</v>
      </c>
      <c r="G397" s="4" t="b">
        <f t="shared" si="2"/>
        <v>1</v>
      </c>
      <c r="H397" s="1" t="str">
        <f t="shared" si="3"/>
        <v>Currently Unavailable</v>
      </c>
      <c r="I397" s="1" t="str">
        <f t="shared" si="4"/>
        <v>No Badges</v>
      </c>
      <c r="J397" s="3">
        <f t="shared" si="5"/>
        <v>0</v>
      </c>
    </row>
    <row r="398">
      <c r="A398" s="1" t="s">
        <v>370</v>
      </c>
      <c r="B398" s="3" t="str">
        <f t="shared" si="1"/>
        <v>Unavailable</v>
      </c>
      <c r="C398" s="3">
        <v>32.0</v>
      </c>
      <c r="D398" s="3">
        <f>IFERROR(__xludf.DUMMYFUNCTION("IFERROR(
IF(REGEXMATCH(LOWER(O398),""k""),
VALUE(REGEXEXTRACT(O398,""[0-9]+""))*1000,
VALUE(REGEXEXTRACT(O398,""[0-9]+""))
),
0
)"),0.0)</f>
        <v>0</v>
      </c>
      <c r="E398" s="1" t="s">
        <v>11</v>
      </c>
      <c r="F398" s="1" t="s">
        <v>20</v>
      </c>
      <c r="G398" s="4" t="b">
        <f t="shared" si="2"/>
        <v>1</v>
      </c>
      <c r="H398" s="1" t="str">
        <f t="shared" si="3"/>
        <v>Currently Unavailable</v>
      </c>
      <c r="I398" s="1" t="str">
        <f t="shared" si="4"/>
        <v>No Badges</v>
      </c>
      <c r="J398" s="3">
        <f t="shared" si="5"/>
        <v>0</v>
      </c>
    </row>
    <row r="399">
      <c r="A399" s="1" t="s">
        <v>371</v>
      </c>
      <c r="B399" s="3" t="str">
        <f t="shared" si="1"/>
        <v>Unavailable</v>
      </c>
      <c r="C399" s="3">
        <v>45.0</v>
      </c>
      <c r="D399" s="3">
        <f>IFERROR(__xludf.DUMMYFUNCTION("IFERROR(
IF(REGEXMATCH(LOWER(O399),""k""),
VALUE(REGEXEXTRACT(O399,""[0-9]+""))*1000,
VALUE(REGEXEXTRACT(O399,""[0-9]+""))
),
0
)"),0.0)</f>
        <v>0</v>
      </c>
      <c r="E399" s="1" t="s">
        <v>11</v>
      </c>
      <c r="F399" s="1" t="s">
        <v>20</v>
      </c>
      <c r="G399" s="4" t="b">
        <f t="shared" si="2"/>
        <v>1</v>
      </c>
      <c r="H399" s="1" t="str">
        <f t="shared" si="3"/>
        <v>Currently Unavailable</v>
      </c>
      <c r="I399" s="1" t="str">
        <f t="shared" si="4"/>
        <v>No Badges</v>
      </c>
      <c r="J399" s="3">
        <f t="shared" si="5"/>
        <v>0</v>
      </c>
    </row>
    <row r="400">
      <c r="A400" s="1" t="s">
        <v>372</v>
      </c>
      <c r="B400" s="3" t="str">
        <f t="shared" si="1"/>
        <v>Unavailable</v>
      </c>
      <c r="C400" s="5">
        <v>1905.0</v>
      </c>
      <c r="D400" s="3">
        <f>IFERROR(__xludf.DUMMYFUNCTION("IFERROR(
IF(REGEXMATCH(LOWER(O400),""k""),
VALUE(REGEXEXTRACT(O400,""[0-9]+""))*1000,
VALUE(REGEXEXTRACT(O400,""[0-9]+""))
),
0
)"),0.0)</f>
        <v>0</v>
      </c>
      <c r="E400" s="1" t="s">
        <v>11</v>
      </c>
      <c r="F400" s="1" t="s">
        <v>20</v>
      </c>
      <c r="G400" s="4" t="b">
        <f t="shared" si="2"/>
        <v>1</v>
      </c>
      <c r="H400" s="1" t="str">
        <f t="shared" si="3"/>
        <v>Currently Unavailable</v>
      </c>
      <c r="I400" s="1" t="str">
        <f t="shared" si="4"/>
        <v>No Badges</v>
      </c>
      <c r="J400" s="3">
        <f t="shared" si="5"/>
        <v>0</v>
      </c>
    </row>
    <row r="401">
      <c r="A401" s="1" t="s">
        <v>373</v>
      </c>
      <c r="B401" s="3" t="str">
        <f t="shared" si="1"/>
        <v>Unavailable</v>
      </c>
      <c r="C401" s="3">
        <v>228.0</v>
      </c>
      <c r="D401" s="3">
        <f>IFERROR(__xludf.DUMMYFUNCTION("IFERROR(
IF(REGEXMATCH(LOWER(O401),""k""),
VALUE(REGEXEXTRACT(O401,""[0-9]+""))*1000,
VALUE(REGEXEXTRACT(O401,""[0-9]+""))
),
0
)"),0.0)</f>
        <v>0</v>
      </c>
      <c r="E401" s="1" t="s">
        <v>11</v>
      </c>
      <c r="F401" s="1" t="s">
        <v>20</v>
      </c>
      <c r="G401" s="4" t="b">
        <f t="shared" si="2"/>
        <v>1</v>
      </c>
      <c r="H401" s="1" t="str">
        <f t="shared" si="3"/>
        <v>Currently Unavailable</v>
      </c>
      <c r="I401" s="1" t="str">
        <f t="shared" si="4"/>
        <v>No Badges</v>
      </c>
      <c r="J401" s="3">
        <f t="shared" si="5"/>
        <v>0</v>
      </c>
    </row>
    <row r="402">
      <c r="A402" s="1" t="s">
        <v>88</v>
      </c>
      <c r="B402" s="3" t="str">
        <f t="shared" si="1"/>
        <v>Unavailable</v>
      </c>
      <c r="C402" s="3">
        <v>5.0</v>
      </c>
      <c r="D402" s="3">
        <f>IFERROR(__xludf.DUMMYFUNCTION("IFERROR(
IF(REGEXMATCH(LOWER(O402),""k""),
VALUE(REGEXEXTRACT(O402,""[0-9]+""))*1000,
VALUE(REGEXEXTRACT(O402,""[0-9]+""))
),
0
)"),0.0)</f>
        <v>0</v>
      </c>
      <c r="E402" s="1" t="s">
        <v>11</v>
      </c>
      <c r="F402" s="1" t="s">
        <v>12</v>
      </c>
      <c r="G402" s="4" t="b">
        <f t="shared" si="2"/>
        <v>1</v>
      </c>
      <c r="H402" s="1" t="str">
        <f t="shared" si="3"/>
        <v>Currently Unavailable</v>
      </c>
      <c r="I402" s="1" t="str">
        <f t="shared" si="4"/>
        <v>No Badges</v>
      </c>
      <c r="J402" s="3">
        <f t="shared" si="5"/>
        <v>0</v>
      </c>
    </row>
    <row r="403">
      <c r="A403" s="1" t="s">
        <v>40</v>
      </c>
      <c r="B403" s="3" t="str">
        <f t="shared" si="1"/>
        <v>Unavailable</v>
      </c>
      <c r="C403" s="3">
        <v>171.0</v>
      </c>
      <c r="D403" s="3">
        <f>IFERROR(__xludf.DUMMYFUNCTION("IFERROR(
IF(REGEXMATCH(LOWER(O403),""k""),
VALUE(REGEXEXTRACT(O403,""[0-9]+""))*1000,
VALUE(REGEXEXTRACT(O403,""[0-9]+""))
),
0
)"),0.0)</f>
        <v>0</v>
      </c>
      <c r="E403" s="1" t="s">
        <v>11</v>
      </c>
      <c r="F403" s="1" t="s">
        <v>12</v>
      </c>
      <c r="G403" s="4" t="b">
        <f t="shared" si="2"/>
        <v>1</v>
      </c>
      <c r="H403" s="1" t="str">
        <f t="shared" si="3"/>
        <v>Currently Unavailable</v>
      </c>
      <c r="I403" s="1" t="str">
        <f t="shared" si="4"/>
        <v>No Badges</v>
      </c>
      <c r="J403" s="3">
        <f t="shared" si="5"/>
        <v>0</v>
      </c>
    </row>
    <row r="404">
      <c r="A404" s="1" t="s">
        <v>374</v>
      </c>
      <c r="B404" s="3" t="str">
        <f t="shared" si="1"/>
        <v>Unavailable</v>
      </c>
      <c r="C404" s="3">
        <v>341.0</v>
      </c>
      <c r="D404" s="3">
        <f>IFERROR(__xludf.DUMMYFUNCTION("IFERROR(
IF(REGEXMATCH(LOWER(O404),""k""),
VALUE(REGEXEXTRACT(O404,""[0-9]+""))*1000,
VALUE(REGEXEXTRACT(O404,""[0-9]+""))
),
0
)"),0.0)</f>
        <v>0</v>
      </c>
      <c r="E404" s="1" t="s">
        <v>11</v>
      </c>
      <c r="F404" s="1" t="s">
        <v>20</v>
      </c>
      <c r="G404" s="4" t="b">
        <f t="shared" si="2"/>
        <v>1</v>
      </c>
      <c r="H404" s="1" t="str">
        <f t="shared" si="3"/>
        <v>Currently Unavailable</v>
      </c>
      <c r="I404" s="1" t="str">
        <f t="shared" si="4"/>
        <v>No Badges</v>
      </c>
      <c r="J404" s="3">
        <f t="shared" si="5"/>
        <v>0</v>
      </c>
    </row>
    <row r="405">
      <c r="A405" s="1" t="s">
        <v>375</v>
      </c>
      <c r="B405" s="3" t="str">
        <f t="shared" si="1"/>
        <v>Unavailable</v>
      </c>
      <c r="C405" s="3">
        <v>3.0</v>
      </c>
      <c r="D405" s="3">
        <f>IFERROR(__xludf.DUMMYFUNCTION("IFERROR(
IF(REGEXMATCH(LOWER(O405),""k""),
VALUE(REGEXEXTRACT(O405,""[0-9]+""))*1000,
VALUE(REGEXEXTRACT(O405,""[0-9]+""))
),
0
)"),0.0)</f>
        <v>0</v>
      </c>
      <c r="E405" s="1" t="s">
        <v>11</v>
      </c>
      <c r="F405" s="1" t="s">
        <v>20</v>
      </c>
      <c r="G405" s="4" t="b">
        <f t="shared" si="2"/>
        <v>1</v>
      </c>
      <c r="H405" s="1" t="str">
        <f t="shared" si="3"/>
        <v>Currently Unavailable</v>
      </c>
      <c r="I405" s="1" t="str">
        <f t="shared" si="4"/>
        <v>No Badges</v>
      </c>
      <c r="J405" s="3">
        <f t="shared" si="5"/>
        <v>0</v>
      </c>
    </row>
    <row r="406">
      <c r="A406" s="1" t="s">
        <v>376</v>
      </c>
      <c r="B406" s="3" t="str">
        <f t="shared" si="1"/>
        <v>Unavailable</v>
      </c>
      <c r="C406" s="5">
        <v>1704.0</v>
      </c>
      <c r="D406" s="3">
        <f>IFERROR(__xludf.DUMMYFUNCTION("IFERROR(
IF(REGEXMATCH(LOWER(O406),""k""),
VALUE(REGEXEXTRACT(O406,""[0-9]+""))*1000,
VALUE(REGEXEXTRACT(O406,""[0-9]+""))
),
0
)"),0.0)</f>
        <v>0</v>
      </c>
      <c r="E406" s="1" t="s">
        <v>11</v>
      </c>
      <c r="F406" s="1" t="s">
        <v>20</v>
      </c>
      <c r="G406" s="4" t="b">
        <f t="shared" si="2"/>
        <v>1</v>
      </c>
      <c r="H406" s="1" t="str">
        <f t="shared" si="3"/>
        <v>Currently Unavailable</v>
      </c>
      <c r="I406" s="1" t="str">
        <f t="shared" si="4"/>
        <v>No Badges</v>
      </c>
      <c r="J406" s="3">
        <f t="shared" si="5"/>
        <v>0</v>
      </c>
    </row>
    <row r="407">
      <c r="A407" s="1" t="s">
        <v>377</v>
      </c>
      <c r="B407" s="3" t="str">
        <f t="shared" si="1"/>
        <v>Unavailable</v>
      </c>
      <c r="C407" s="5">
        <v>2156.0</v>
      </c>
      <c r="D407" s="3">
        <f>IFERROR(__xludf.DUMMYFUNCTION("IFERROR(
IF(REGEXMATCH(LOWER(O407),""k""),
VALUE(REGEXEXTRACT(O407,""[0-9]+""))*1000,
VALUE(REGEXEXTRACT(O407,""[0-9]+""))
),
0
)"),0.0)</f>
        <v>0</v>
      </c>
      <c r="E407" s="1" t="s">
        <v>11</v>
      </c>
      <c r="F407" s="1" t="s">
        <v>20</v>
      </c>
      <c r="G407" s="4" t="b">
        <f t="shared" si="2"/>
        <v>1</v>
      </c>
      <c r="H407" s="1" t="str">
        <f t="shared" si="3"/>
        <v>Currently Unavailable</v>
      </c>
      <c r="I407" s="1" t="str">
        <f t="shared" si="4"/>
        <v>No Badges</v>
      </c>
      <c r="J407" s="3">
        <f t="shared" si="5"/>
        <v>0</v>
      </c>
    </row>
    <row r="408">
      <c r="A408" s="1" t="s">
        <v>378</v>
      </c>
      <c r="B408" s="3" t="str">
        <f t="shared" si="1"/>
        <v>Unavailable</v>
      </c>
      <c r="C408" s="5">
        <v>1023.0</v>
      </c>
      <c r="D408" s="3">
        <f>IFERROR(__xludf.DUMMYFUNCTION("IFERROR(
IF(REGEXMATCH(LOWER(O408),""k""),
VALUE(REGEXEXTRACT(O408,""[0-9]+""))*1000,
VALUE(REGEXEXTRACT(O408,""[0-9]+""))
),
0
)"),0.0)</f>
        <v>0</v>
      </c>
      <c r="E408" s="1" t="s">
        <v>11</v>
      </c>
      <c r="F408" s="1" t="s">
        <v>20</v>
      </c>
      <c r="G408" s="4" t="b">
        <f t="shared" si="2"/>
        <v>1</v>
      </c>
      <c r="H408" s="1" t="str">
        <f t="shared" si="3"/>
        <v>Currently Unavailable</v>
      </c>
      <c r="I408" s="1" t="str">
        <f t="shared" si="4"/>
        <v>No Badges</v>
      </c>
      <c r="J408" s="3">
        <f t="shared" si="5"/>
        <v>0</v>
      </c>
    </row>
    <row r="409">
      <c r="A409" s="1" t="s">
        <v>379</v>
      </c>
      <c r="B409" s="3" t="str">
        <f t="shared" si="1"/>
        <v>Unavailable</v>
      </c>
      <c r="C409" s="3">
        <v>35.0</v>
      </c>
      <c r="D409" s="3">
        <f>IFERROR(__xludf.DUMMYFUNCTION("IFERROR(
IF(REGEXMATCH(LOWER(O409),""k""),
VALUE(REGEXEXTRACT(O409,""[0-9]+""))*1000,
VALUE(REGEXEXTRACT(O409,""[0-9]+""))
),
0
)"),0.0)</f>
        <v>0</v>
      </c>
      <c r="E409" s="1" t="s">
        <v>11</v>
      </c>
      <c r="F409" s="1" t="s">
        <v>20</v>
      </c>
      <c r="G409" s="4" t="b">
        <f t="shared" si="2"/>
        <v>1</v>
      </c>
      <c r="H409" s="1" t="str">
        <f t="shared" si="3"/>
        <v>Currently Unavailable</v>
      </c>
      <c r="I409" s="1" t="str">
        <f t="shared" si="4"/>
        <v>No Badges</v>
      </c>
      <c r="J409" s="3">
        <f t="shared" si="5"/>
        <v>0</v>
      </c>
    </row>
    <row r="410">
      <c r="A410" s="1" t="s">
        <v>380</v>
      </c>
      <c r="B410" s="3" t="str">
        <f t="shared" si="1"/>
        <v>Unavailable</v>
      </c>
      <c r="C410" s="3">
        <v>783.0</v>
      </c>
      <c r="D410" s="3">
        <f>IFERROR(__xludf.DUMMYFUNCTION("IFERROR(
IF(REGEXMATCH(LOWER(O410),""k""),
VALUE(REGEXEXTRACT(O410,""[0-9]+""))*1000,
VALUE(REGEXEXTRACT(O410,""[0-9]+""))
),
0
)"),0.0)</f>
        <v>0</v>
      </c>
      <c r="E410" s="1" t="s">
        <v>11</v>
      </c>
      <c r="F410" s="1" t="s">
        <v>20</v>
      </c>
      <c r="G410" s="4" t="b">
        <f t="shared" si="2"/>
        <v>1</v>
      </c>
      <c r="H410" s="1" t="str">
        <f t="shared" si="3"/>
        <v>Currently Unavailable</v>
      </c>
      <c r="I410" s="1" t="str">
        <f t="shared" si="4"/>
        <v>No Badges</v>
      </c>
      <c r="J410" s="3">
        <f t="shared" si="5"/>
        <v>0</v>
      </c>
    </row>
    <row r="411">
      <c r="A411" s="1" t="s">
        <v>381</v>
      </c>
      <c r="B411" s="3" t="str">
        <f t="shared" si="1"/>
        <v>Unavailable</v>
      </c>
      <c r="C411" s="3">
        <v>161.0</v>
      </c>
      <c r="D411" s="3">
        <f>IFERROR(__xludf.DUMMYFUNCTION("IFERROR(
IF(REGEXMATCH(LOWER(O411),""k""),
VALUE(REGEXEXTRACT(O411,""[0-9]+""))*1000,
VALUE(REGEXEXTRACT(O411,""[0-9]+""))
),
0
)"),0.0)</f>
        <v>0</v>
      </c>
      <c r="E411" s="1" t="s">
        <v>11</v>
      </c>
      <c r="F411" s="1" t="s">
        <v>20</v>
      </c>
      <c r="G411" s="4" t="b">
        <f t="shared" si="2"/>
        <v>1</v>
      </c>
      <c r="H411" s="1" t="str">
        <f t="shared" si="3"/>
        <v>Currently Unavailable</v>
      </c>
      <c r="I411" s="1" t="str">
        <f t="shared" si="4"/>
        <v>No Badges</v>
      </c>
      <c r="J411" s="3">
        <f t="shared" si="5"/>
        <v>0</v>
      </c>
    </row>
    <row r="412">
      <c r="A412" s="1" t="s">
        <v>382</v>
      </c>
      <c r="B412" s="3" t="str">
        <f t="shared" si="1"/>
        <v>Unavailable</v>
      </c>
      <c r="C412" s="3">
        <v>20.0</v>
      </c>
      <c r="D412" s="3">
        <f>IFERROR(__xludf.DUMMYFUNCTION("IFERROR(
IF(REGEXMATCH(LOWER(O412),""k""),
VALUE(REGEXEXTRACT(O412,""[0-9]+""))*1000,
VALUE(REGEXEXTRACT(O412,""[0-9]+""))
),
0
)"),0.0)</f>
        <v>0</v>
      </c>
      <c r="E412" s="1" t="s">
        <v>11</v>
      </c>
      <c r="F412" s="1" t="s">
        <v>20</v>
      </c>
      <c r="G412" s="4" t="b">
        <f t="shared" si="2"/>
        <v>1</v>
      </c>
      <c r="H412" s="1" t="str">
        <f t="shared" si="3"/>
        <v>Currently Unavailable</v>
      </c>
      <c r="I412" s="1" t="str">
        <f t="shared" si="4"/>
        <v>No Badges</v>
      </c>
      <c r="J412" s="3">
        <f t="shared" si="5"/>
        <v>0</v>
      </c>
    </row>
    <row r="413">
      <c r="A413" s="1" t="s">
        <v>383</v>
      </c>
      <c r="B413" s="3" t="str">
        <f t="shared" si="1"/>
        <v>Unavailable</v>
      </c>
      <c r="C413" s="3">
        <v>299.0</v>
      </c>
      <c r="D413" s="3">
        <f>IFERROR(__xludf.DUMMYFUNCTION("IFERROR(
IF(REGEXMATCH(LOWER(O413),""k""),
VALUE(REGEXEXTRACT(O413,""[0-9]+""))*1000,
VALUE(REGEXEXTRACT(O413,""[0-9]+""))
),
0
)"),0.0)</f>
        <v>0</v>
      </c>
      <c r="E413" s="1" t="s">
        <v>11</v>
      </c>
      <c r="F413" s="1" t="s">
        <v>20</v>
      </c>
      <c r="G413" s="4" t="b">
        <f t="shared" si="2"/>
        <v>1</v>
      </c>
      <c r="H413" s="1" t="str">
        <f t="shared" si="3"/>
        <v>Currently Unavailable</v>
      </c>
      <c r="I413" s="1" t="str">
        <f t="shared" si="4"/>
        <v>No Badges</v>
      </c>
      <c r="J413" s="3">
        <f t="shared" si="5"/>
        <v>0</v>
      </c>
    </row>
    <row r="414">
      <c r="A414" s="1" t="s">
        <v>384</v>
      </c>
      <c r="B414" s="3" t="str">
        <f t="shared" si="1"/>
        <v>Unavailable</v>
      </c>
      <c r="C414" s="3">
        <v>344.0</v>
      </c>
      <c r="D414" s="3">
        <f>IFERROR(__xludf.DUMMYFUNCTION("IFERROR(
IF(REGEXMATCH(LOWER(O414),""k""),
VALUE(REGEXEXTRACT(O414,""[0-9]+""))*1000,
VALUE(REGEXEXTRACT(O414,""[0-9]+""))
),
0
)"),0.0)</f>
        <v>0</v>
      </c>
      <c r="E414" s="1" t="s">
        <v>11</v>
      </c>
      <c r="F414" s="1" t="s">
        <v>20</v>
      </c>
      <c r="G414" s="4" t="b">
        <f t="shared" si="2"/>
        <v>1</v>
      </c>
      <c r="H414" s="1" t="str">
        <f t="shared" si="3"/>
        <v>Currently Unavailable</v>
      </c>
      <c r="I414" s="1" t="str">
        <f t="shared" si="4"/>
        <v>No Badges</v>
      </c>
      <c r="J414" s="3">
        <f t="shared" si="5"/>
        <v>0</v>
      </c>
    </row>
    <row r="415">
      <c r="A415" s="1" t="s">
        <v>385</v>
      </c>
      <c r="B415" s="3" t="str">
        <f t="shared" si="1"/>
        <v>Unavailable</v>
      </c>
      <c r="C415" s="3">
        <v>45.0</v>
      </c>
      <c r="D415" s="3">
        <f>IFERROR(__xludf.DUMMYFUNCTION("IFERROR(
IF(REGEXMATCH(LOWER(O415),""k""),
VALUE(REGEXEXTRACT(O415,""[0-9]+""))*1000,
VALUE(REGEXEXTRACT(O415,""[0-9]+""))
),
0
)"),0.0)</f>
        <v>0</v>
      </c>
      <c r="E415" s="1" t="s">
        <v>11</v>
      </c>
      <c r="F415" s="1" t="s">
        <v>20</v>
      </c>
      <c r="G415" s="4" t="b">
        <f t="shared" si="2"/>
        <v>1</v>
      </c>
      <c r="H415" s="1" t="str">
        <f t="shared" si="3"/>
        <v>Currently Unavailable</v>
      </c>
      <c r="I415" s="1" t="str">
        <f t="shared" si="4"/>
        <v>No Badges</v>
      </c>
      <c r="J415" s="3">
        <f t="shared" si="5"/>
        <v>0</v>
      </c>
    </row>
    <row r="416">
      <c r="A416" s="1" t="s">
        <v>386</v>
      </c>
      <c r="B416" s="3" t="str">
        <f t="shared" si="1"/>
        <v>Unavailable</v>
      </c>
      <c r="C416" s="3">
        <v>736.0</v>
      </c>
      <c r="D416" s="3">
        <f>IFERROR(__xludf.DUMMYFUNCTION("IFERROR(
IF(REGEXMATCH(LOWER(O416),""k""),
VALUE(REGEXEXTRACT(O416,""[0-9]+""))*1000,
VALUE(REGEXEXTRACT(O416,""[0-9]+""))
),
0
)"),0.0)</f>
        <v>0</v>
      </c>
      <c r="E416" s="1" t="s">
        <v>11</v>
      </c>
      <c r="F416" s="1" t="s">
        <v>20</v>
      </c>
      <c r="G416" s="4" t="b">
        <f t="shared" si="2"/>
        <v>1</v>
      </c>
      <c r="H416" s="1" t="str">
        <f t="shared" si="3"/>
        <v>Currently Unavailable</v>
      </c>
      <c r="I416" s="1" t="str">
        <f t="shared" si="4"/>
        <v>No Badges</v>
      </c>
      <c r="J416" s="3">
        <f t="shared" si="5"/>
        <v>0</v>
      </c>
    </row>
    <row r="417">
      <c r="A417" s="1" t="s">
        <v>387</v>
      </c>
      <c r="B417" s="3" t="str">
        <f t="shared" si="1"/>
        <v>Unavailable</v>
      </c>
      <c r="C417" s="5">
        <v>1374.0</v>
      </c>
      <c r="D417" s="3">
        <f>IFERROR(__xludf.DUMMYFUNCTION("IFERROR(
IF(REGEXMATCH(LOWER(O417),""k""),
VALUE(REGEXEXTRACT(O417,""[0-9]+""))*1000,
VALUE(REGEXEXTRACT(O417,""[0-9]+""))
),
0
)"),0.0)</f>
        <v>0</v>
      </c>
      <c r="E417" s="1" t="s">
        <v>11</v>
      </c>
      <c r="F417" s="1" t="s">
        <v>20</v>
      </c>
      <c r="G417" s="4" t="b">
        <f t="shared" si="2"/>
        <v>1</v>
      </c>
      <c r="H417" s="1" t="str">
        <f t="shared" si="3"/>
        <v>Currently Unavailable</v>
      </c>
      <c r="I417" s="1" t="str">
        <f t="shared" si="4"/>
        <v>No Badges</v>
      </c>
      <c r="J417" s="3">
        <f t="shared" si="5"/>
        <v>0</v>
      </c>
    </row>
    <row r="418">
      <c r="A418" s="1" t="s">
        <v>388</v>
      </c>
      <c r="B418" s="3" t="str">
        <f t="shared" si="1"/>
        <v>Unavailable</v>
      </c>
      <c r="C418" s="5">
        <v>2296.0</v>
      </c>
      <c r="D418" s="3">
        <f>IFERROR(__xludf.DUMMYFUNCTION("IFERROR(
IF(REGEXMATCH(LOWER(O418),""k""),
VALUE(REGEXEXTRACT(O418,""[0-9]+""))*1000,
VALUE(REGEXEXTRACT(O418,""[0-9]+""))
),
0
)"),0.0)</f>
        <v>0</v>
      </c>
      <c r="E418" s="1" t="s">
        <v>11</v>
      </c>
      <c r="F418" s="1" t="s">
        <v>20</v>
      </c>
      <c r="G418" s="4" t="b">
        <f t="shared" si="2"/>
        <v>1</v>
      </c>
      <c r="H418" s="1" t="str">
        <f t="shared" si="3"/>
        <v>Currently Unavailable</v>
      </c>
      <c r="I418" s="1" t="str">
        <f t="shared" si="4"/>
        <v>No Badges</v>
      </c>
      <c r="J418" s="3">
        <f t="shared" si="5"/>
        <v>0</v>
      </c>
    </row>
    <row r="419">
      <c r="A419" s="1" t="s">
        <v>389</v>
      </c>
      <c r="B419" s="3" t="str">
        <f t="shared" si="1"/>
        <v>Unavailable</v>
      </c>
      <c r="C419" s="3">
        <v>92.0</v>
      </c>
      <c r="D419" s="3">
        <f>IFERROR(__xludf.DUMMYFUNCTION("IFERROR(
IF(REGEXMATCH(LOWER(O419),""k""),
VALUE(REGEXEXTRACT(O419,""[0-9]+""))*1000,
VALUE(REGEXEXTRACT(O419,""[0-9]+""))
),
0
)"),0.0)</f>
        <v>0</v>
      </c>
      <c r="E419" s="1" t="s">
        <v>11</v>
      </c>
      <c r="F419" s="1" t="s">
        <v>20</v>
      </c>
      <c r="G419" s="4" t="b">
        <f t="shared" si="2"/>
        <v>1</v>
      </c>
      <c r="H419" s="1" t="str">
        <f t="shared" si="3"/>
        <v>Currently Unavailable</v>
      </c>
      <c r="I419" s="1" t="str">
        <f t="shared" si="4"/>
        <v>No Badges</v>
      </c>
      <c r="J419" s="3">
        <f t="shared" si="5"/>
        <v>0</v>
      </c>
    </row>
    <row r="420">
      <c r="A420" s="1" t="s">
        <v>69</v>
      </c>
      <c r="B420" s="3" t="str">
        <f t="shared" si="1"/>
        <v>Unavailable</v>
      </c>
      <c r="C420" s="3">
        <v>45.0</v>
      </c>
      <c r="D420" s="3">
        <f>IFERROR(__xludf.DUMMYFUNCTION("IFERROR(
IF(REGEXMATCH(LOWER(O420),""k""),
VALUE(REGEXEXTRACT(O420,""[0-9]+""))*1000,
VALUE(REGEXEXTRACT(O420,""[0-9]+""))
),
0
)"),0.0)</f>
        <v>0</v>
      </c>
      <c r="E420" s="1" t="s">
        <v>11</v>
      </c>
      <c r="F420" s="1" t="s">
        <v>12</v>
      </c>
      <c r="G420" s="4" t="b">
        <f t="shared" si="2"/>
        <v>1</v>
      </c>
      <c r="H420" s="1" t="str">
        <f t="shared" si="3"/>
        <v>Currently Unavailable</v>
      </c>
      <c r="I420" s="1" t="str">
        <f t="shared" si="4"/>
        <v>No Badges</v>
      </c>
      <c r="J420" s="3">
        <f t="shared" si="5"/>
        <v>0</v>
      </c>
    </row>
    <row r="421">
      <c r="A421" s="1" t="s">
        <v>390</v>
      </c>
      <c r="B421" s="3" t="str">
        <f t="shared" si="1"/>
        <v>Unavailable</v>
      </c>
      <c r="C421" s="3">
        <v>476.0</v>
      </c>
      <c r="D421" s="3">
        <f>IFERROR(__xludf.DUMMYFUNCTION("IFERROR(
IF(REGEXMATCH(LOWER(O421),""k""),
VALUE(REGEXEXTRACT(O421,""[0-9]+""))*1000,
VALUE(REGEXEXTRACT(O421,""[0-9]+""))
),
0
)"),0.0)</f>
        <v>0</v>
      </c>
      <c r="E421" s="1" t="s">
        <v>11</v>
      </c>
      <c r="F421" s="1" t="s">
        <v>12</v>
      </c>
      <c r="G421" s="4" t="b">
        <f t="shared" si="2"/>
        <v>1</v>
      </c>
      <c r="H421" s="1" t="str">
        <f t="shared" si="3"/>
        <v>Currently Unavailable</v>
      </c>
      <c r="I421" s="1" t="str">
        <f t="shared" si="4"/>
        <v>No Badges</v>
      </c>
      <c r="J421" s="3">
        <f t="shared" si="5"/>
        <v>0</v>
      </c>
    </row>
    <row r="422">
      <c r="A422" s="1" t="s">
        <v>391</v>
      </c>
      <c r="B422" s="3" t="str">
        <f t="shared" si="1"/>
        <v>Unavailable</v>
      </c>
      <c r="C422" s="5">
        <v>1031.0</v>
      </c>
      <c r="D422" s="3">
        <f>IFERROR(__xludf.DUMMYFUNCTION("IFERROR(
IF(REGEXMATCH(LOWER(O422),""k""),
VALUE(REGEXEXTRACT(O422,""[0-9]+""))*1000,
VALUE(REGEXEXTRACT(O422,""[0-9]+""))
),
0
)"),0.0)</f>
        <v>0</v>
      </c>
      <c r="E422" s="1" t="s">
        <v>11</v>
      </c>
      <c r="F422" s="1" t="s">
        <v>20</v>
      </c>
      <c r="G422" s="4" t="b">
        <f t="shared" si="2"/>
        <v>1</v>
      </c>
      <c r="H422" s="1" t="str">
        <f t="shared" si="3"/>
        <v>Currently Unavailable</v>
      </c>
      <c r="I422" s="1" t="str">
        <f t="shared" si="4"/>
        <v>No Badges</v>
      </c>
      <c r="J422" s="3">
        <f t="shared" si="5"/>
        <v>0</v>
      </c>
    </row>
    <row r="423">
      <c r="A423" s="1" t="s">
        <v>392</v>
      </c>
      <c r="B423" s="3" t="str">
        <f t="shared" si="1"/>
        <v>Unavailable</v>
      </c>
      <c r="C423" s="3">
        <v>695.0</v>
      </c>
      <c r="D423" s="3">
        <f>IFERROR(__xludf.DUMMYFUNCTION("IFERROR(
IF(REGEXMATCH(LOWER(O423),""k""),
VALUE(REGEXEXTRACT(O423,""[0-9]+""))*1000,
VALUE(REGEXEXTRACT(O423,""[0-9]+""))
),
0
)"),0.0)</f>
        <v>0</v>
      </c>
      <c r="E423" s="1" t="s">
        <v>11</v>
      </c>
      <c r="F423" s="1" t="s">
        <v>20</v>
      </c>
      <c r="G423" s="4" t="b">
        <f t="shared" si="2"/>
        <v>1</v>
      </c>
      <c r="H423" s="1" t="str">
        <f t="shared" si="3"/>
        <v>Currently Unavailable</v>
      </c>
      <c r="I423" s="1" t="str">
        <f t="shared" si="4"/>
        <v>No Badges</v>
      </c>
      <c r="J423" s="3">
        <f t="shared" si="5"/>
        <v>0</v>
      </c>
    </row>
    <row r="424">
      <c r="A424" s="1" t="s">
        <v>393</v>
      </c>
      <c r="B424" s="3" t="str">
        <f t="shared" si="1"/>
        <v>Unavailable</v>
      </c>
      <c r="C424" s="3">
        <v>60.0</v>
      </c>
      <c r="D424" s="3">
        <f>IFERROR(__xludf.DUMMYFUNCTION("IFERROR(
IF(REGEXMATCH(LOWER(O424),""k""),
VALUE(REGEXEXTRACT(O424,""[0-9]+""))*1000,
VALUE(REGEXEXTRACT(O424,""[0-9]+""))
),
0
)"),0.0)</f>
        <v>0</v>
      </c>
      <c r="E424" s="1" t="s">
        <v>11</v>
      </c>
      <c r="F424" s="1" t="s">
        <v>20</v>
      </c>
      <c r="G424" s="4" t="b">
        <f t="shared" si="2"/>
        <v>1</v>
      </c>
      <c r="H424" s="1" t="str">
        <f t="shared" si="3"/>
        <v>Currently Unavailable</v>
      </c>
      <c r="I424" s="1" t="str">
        <f t="shared" si="4"/>
        <v>No Badges</v>
      </c>
      <c r="J424" s="3">
        <f t="shared" si="5"/>
        <v>0</v>
      </c>
    </row>
    <row r="425">
      <c r="A425" s="1" t="s">
        <v>394</v>
      </c>
      <c r="B425" s="3" t="str">
        <f t="shared" si="1"/>
        <v>Unavailable</v>
      </c>
      <c r="C425" s="3">
        <v>28.0</v>
      </c>
      <c r="D425" s="3">
        <f>IFERROR(__xludf.DUMMYFUNCTION("IFERROR(
IF(REGEXMATCH(LOWER(O425),""k""),
VALUE(REGEXEXTRACT(O425,""[0-9]+""))*1000,
VALUE(REGEXEXTRACT(O425,""[0-9]+""))
),
0
)"),0.0)</f>
        <v>0</v>
      </c>
      <c r="E425" s="1" t="s">
        <v>11</v>
      </c>
      <c r="F425" s="1" t="s">
        <v>20</v>
      </c>
      <c r="G425" s="4" t="b">
        <f t="shared" si="2"/>
        <v>1</v>
      </c>
      <c r="H425" s="1" t="str">
        <f t="shared" si="3"/>
        <v>Currently Unavailable</v>
      </c>
      <c r="I425" s="1" t="str">
        <f t="shared" si="4"/>
        <v>No Badges</v>
      </c>
      <c r="J425" s="3">
        <f t="shared" si="5"/>
        <v>0</v>
      </c>
    </row>
    <row r="426">
      <c r="A426" s="1" t="s">
        <v>395</v>
      </c>
      <c r="B426" s="3" t="str">
        <f t="shared" si="1"/>
        <v>Unavailable</v>
      </c>
      <c r="C426" s="5">
        <v>1252.0</v>
      </c>
      <c r="D426" s="3">
        <f>IFERROR(__xludf.DUMMYFUNCTION("IFERROR(
IF(REGEXMATCH(LOWER(O426),""k""),
VALUE(REGEXEXTRACT(O426,""[0-9]+""))*1000,
VALUE(REGEXEXTRACT(O426,""[0-9]+""))
),
0
)"),0.0)</f>
        <v>0</v>
      </c>
      <c r="E426" s="1" t="s">
        <v>11</v>
      </c>
      <c r="F426" s="1" t="s">
        <v>20</v>
      </c>
      <c r="G426" s="4" t="b">
        <f t="shared" si="2"/>
        <v>1</v>
      </c>
      <c r="H426" s="1" t="str">
        <f t="shared" si="3"/>
        <v>Currently Unavailable</v>
      </c>
      <c r="I426" s="1" t="str">
        <f t="shared" si="4"/>
        <v>No Badges</v>
      </c>
      <c r="J426" s="3">
        <f t="shared" si="5"/>
        <v>0</v>
      </c>
    </row>
    <row r="427">
      <c r="A427" s="1" t="s">
        <v>396</v>
      </c>
      <c r="B427" s="3" t="str">
        <f t="shared" si="1"/>
        <v>Unavailable</v>
      </c>
      <c r="C427" s="3">
        <v>39.0</v>
      </c>
      <c r="D427" s="3">
        <f>IFERROR(__xludf.DUMMYFUNCTION("IFERROR(
IF(REGEXMATCH(LOWER(O427),""k""),
VALUE(REGEXEXTRACT(O427,""[0-9]+""))*1000,
VALUE(REGEXEXTRACT(O427,""[0-9]+""))
),
0
)"),0.0)</f>
        <v>0</v>
      </c>
      <c r="E427" s="1" t="s">
        <v>11</v>
      </c>
      <c r="F427" s="1" t="s">
        <v>20</v>
      </c>
      <c r="G427" s="4" t="b">
        <f t="shared" si="2"/>
        <v>1</v>
      </c>
      <c r="H427" s="1" t="str">
        <f t="shared" si="3"/>
        <v>Currently Unavailable</v>
      </c>
      <c r="I427" s="1" t="str">
        <f t="shared" si="4"/>
        <v>No Badges</v>
      </c>
      <c r="J427" s="3">
        <f t="shared" si="5"/>
        <v>0</v>
      </c>
    </row>
    <row r="428">
      <c r="A428" s="1" t="s">
        <v>397</v>
      </c>
      <c r="B428" s="3" t="str">
        <f t="shared" si="1"/>
        <v>Unavailable</v>
      </c>
      <c r="C428" s="5">
        <v>1984.0</v>
      </c>
      <c r="D428" s="3">
        <f>IFERROR(__xludf.DUMMYFUNCTION("IFERROR(
IF(REGEXMATCH(LOWER(O428),""k""),
VALUE(REGEXEXTRACT(O428,""[0-9]+""))*1000,
VALUE(REGEXEXTRACT(O428,""[0-9]+""))
),
0
)"),0.0)</f>
        <v>0</v>
      </c>
      <c r="E428" s="1" t="s">
        <v>11</v>
      </c>
      <c r="F428" s="1" t="s">
        <v>20</v>
      </c>
      <c r="G428" s="4" t="b">
        <f t="shared" si="2"/>
        <v>1</v>
      </c>
      <c r="H428" s="1" t="str">
        <f t="shared" si="3"/>
        <v>Currently Unavailable</v>
      </c>
      <c r="I428" s="1" t="str">
        <f t="shared" si="4"/>
        <v>No Badges</v>
      </c>
      <c r="J428" s="3">
        <f t="shared" si="5"/>
        <v>0</v>
      </c>
    </row>
    <row r="429">
      <c r="A429" s="1" t="s">
        <v>398</v>
      </c>
      <c r="B429" s="3" t="str">
        <f t="shared" si="1"/>
        <v>Unavailable</v>
      </c>
      <c r="C429" s="3">
        <v>52.0</v>
      </c>
      <c r="D429" s="3">
        <f>IFERROR(__xludf.DUMMYFUNCTION("IFERROR(
IF(REGEXMATCH(LOWER(O429),""k""),
VALUE(REGEXEXTRACT(O429,""[0-9]+""))*1000,
VALUE(REGEXEXTRACT(O429,""[0-9]+""))
),
0
)"),0.0)</f>
        <v>0</v>
      </c>
      <c r="E429" s="1" t="s">
        <v>11</v>
      </c>
      <c r="F429" s="1" t="s">
        <v>20</v>
      </c>
      <c r="G429" s="4" t="b">
        <f t="shared" si="2"/>
        <v>1</v>
      </c>
      <c r="H429" s="1" t="str">
        <f t="shared" si="3"/>
        <v>Currently Unavailable</v>
      </c>
      <c r="I429" s="1" t="str">
        <f t="shared" si="4"/>
        <v>No Badges</v>
      </c>
      <c r="J429" s="3">
        <f t="shared" si="5"/>
        <v>0</v>
      </c>
    </row>
    <row r="430">
      <c r="A430" s="1" t="s">
        <v>399</v>
      </c>
      <c r="B430" s="3" t="str">
        <f t="shared" si="1"/>
        <v>Unavailable</v>
      </c>
      <c r="C430" s="3">
        <v>923.0</v>
      </c>
      <c r="D430" s="3">
        <f>IFERROR(__xludf.DUMMYFUNCTION("IFERROR(
IF(REGEXMATCH(LOWER(O430),""k""),
VALUE(REGEXEXTRACT(O430,""[0-9]+""))*1000,
VALUE(REGEXEXTRACT(O430,""[0-9]+""))
),
0
)"),0.0)</f>
        <v>0</v>
      </c>
      <c r="E430" s="1" t="s">
        <v>11</v>
      </c>
      <c r="F430" s="1" t="s">
        <v>20</v>
      </c>
      <c r="G430" s="4" t="b">
        <f t="shared" si="2"/>
        <v>1</v>
      </c>
      <c r="H430" s="1" t="str">
        <f t="shared" si="3"/>
        <v>Currently Unavailable</v>
      </c>
      <c r="I430" s="1" t="str">
        <f t="shared" si="4"/>
        <v>No Badges</v>
      </c>
      <c r="J430" s="3">
        <f t="shared" si="5"/>
        <v>0</v>
      </c>
    </row>
    <row r="431">
      <c r="A431" s="1" t="s">
        <v>400</v>
      </c>
      <c r="B431" s="3" t="str">
        <f t="shared" si="1"/>
        <v>Unavailable</v>
      </c>
      <c r="C431" s="3">
        <v>669.0</v>
      </c>
      <c r="D431" s="3">
        <f>IFERROR(__xludf.DUMMYFUNCTION("IFERROR(
IF(REGEXMATCH(LOWER(O431),""k""),
VALUE(REGEXEXTRACT(O431,""[0-9]+""))*1000,
VALUE(REGEXEXTRACT(O431,""[0-9]+""))
),
0
)"),0.0)</f>
        <v>0</v>
      </c>
      <c r="E431" s="1" t="s">
        <v>11</v>
      </c>
      <c r="F431" s="1" t="s">
        <v>20</v>
      </c>
      <c r="G431" s="4" t="b">
        <f t="shared" si="2"/>
        <v>1</v>
      </c>
      <c r="H431" s="1" t="str">
        <f t="shared" si="3"/>
        <v>Currently Unavailable</v>
      </c>
      <c r="I431" s="1" t="str">
        <f t="shared" si="4"/>
        <v>No Badges</v>
      </c>
      <c r="J431" s="3">
        <f t="shared" si="5"/>
        <v>0</v>
      </c>
    </row>
    <row r="432">
      <c r="A432" s="1" t="s">
        <v>401</v>
      </c>
      <c r="B432" s="3" t="str">
        <f t="shared" si="1"/>
        <v>Unavailable</v>
      </c>
      <c r="C432" s="3">
        <v>550.0</v>
      </c>
      <c r="D432" s="3">
        <f>IFERROR(__xludf.DUMMYFUNCTION("IFERROR(
IF(REGEXMATCH(LOWER(O432),""k""),
VALUE(REGEXEXTRACT(O432,""[0-9]+""))*1000,
VALUE(REGEXEXTRACT(O432,""[0-9]+""))
),
0
)"),0.0)</f>
        <v>0</v>
      </c>
      <c r="E432" s="1" t="s">
        <v>11</v>
      </c>
      <c r="F432" s="1" t="s">
        <v>20</v>
      </c>
      <c r="G432" s="4" t="b">
        <f t="shared" si="2"/>
        <v>1</v>
      </c>
      <c r="H432" s="1" t="str">
        <f t="shared" si="3"/>
        <v>Currently Unavailable</v>
      </c>
      <c r="I432" s="1" t="str">
        <f t="shared" si="4"/>
        <v>No Badges</v>
      </c>
      <c r="J432" s="3">
        <f t="shared" si="5"/>
        <v>0</v>
      </c>
    </row>
    <row r="433">
      <c r="A433" s="1" t="s">
        <v>402</v>
      </c>
      <c r="B433" s="3" t="str">
        <f t="shared" si="1"/>
        <v>Unavailable</v>
      </c>
      <c r="C433" s="3">
        <v>101.0</v>
      </c>
      <c r="D433" s="3">
        <f>IFERROR(__xludf.DUMMYFUNCTION("IFERROR(
IF(REGEXMATCH(LOWER(O433),""k""),
VALUE(REGEXEXTRACT(O433,""[0-9]+""))*1000,
VALUE(REGEXEXTRACT(O433,""[0-9]+""))
),
0
)"),0.0)</f>
        <v>0</v>
      </c>
      <c r="E433" s="1" t="s">
        <v>11</v>
      </c>
      <c r="F433" s="1" t="s">
        <v>20</v>
      </c>
      <c r="G433" s="4" t="b">
        <f t="shared" si="2"/>
        <v>1</v>
      </c>
      <c r="H433" s="1" t="str">
        <f t="shared" si="3"/>
        <v>Currently Unavailable</v>
      </c>
      <c r="I433" s="1" t="str">
        <f t="shared" si="4"/>
        <v>No Badges</v>
      </c>
      <c r="J433" s="3">
        <f t="shared" si="5"/>
        <v>0</v>
      </c>
    </row>
    <row r="434">
      <c r="A434" s="1" t="s">
        <v>67</v>
      </c>
      <c r="B434" s="3" t="str">
        <f t="shared" si="1"/>
        <v>Unavailable</v>
      </c>
      <c r="C434" s="3">
        <v>264.0</v>
      </c>
      <c r="D434" s="3">
        <f>IFERROR(__xludf.DUMMYFUNCTION("IFERROR(
IF(REGEXMATCH(LOWER(O434),""k""),
VALUE(REGEXEXTRACT(O434,""[0-9]+""))*1000,
VALUE(REGEXEXTRACT(O434,""[0-9]+""))
),
0
)"),0.0)</f>
        <v>0</v>
      </c>
      <c r="E434" s="1" t="s">
        <v>11</v>
      </c>
      <c r="F434" s="1" t="s">
        <v>12</v>
      </c>
      <c r="G434" s="4" t="b">
        <f t="shared" si="2"/>
        <v>1</v>
      </c>
      <c r="H434" s="1" t="str">
        <f t="shared" si="3"/>
        <v>Currently Unavailable</v>
      </c>
      <c r="I434" s="1" t="str">
        <f t="shared" si="4"/>
        <v>No Badges</v>
      </c>
      <c r="J434" s="3">
        <f t="shared" si="5"/>
        <v>0</v>
      </c>
    </row>
    <row r="435">
      <c r="A435" s="1" t="s">
        <v>40</v>
      </c>
      <c r="B435" s="3" t="str">
        <f t="shared" si="1"/>
        <v>Unavailable</v>
      </c>
      <c r="C435" s="3">
        <v>171.0</v>
      </c>
      <c r="D435" s="3">
        <f>IFERROR(__xludf.DUMMYFUNCTION("IFERROR(
IF(REGEXMATCH(LOWER(O435),""k""),
VALUE(REGEXEXTRACT(O435,""[0-9]+""))*1000,
VALUE(REGEXEXTRACT(O435,""[0-9]+""))
),
0
)"),0.0)</f>
        <v>0</v>
      </c>
      <c r="E435" s="1" t="s">
        <v>11</v>
      </c>
      <c r="F435" s="1" t="s">
        <v>12</v>
      </c>
      <c r="G435" s="4" t="b">
        <f t="shared" si="2"/>
        <v>1</v>
      </c>
      <c r="H435" s="1" t="str">
        <f t="shared" si="3"/>
        <v>Currently Unavailable</v>
      </c>
      <c r="I435" s="1" t="str">
        <f t="shared" si="4"/>
        <v>No Badges</v>
      </c>
      <c r="J435" s="3">
        <f t="shared" si="5"/>
        <v>0</v>
      </c>
    </row>
    <row r="436">
      <c r="A436" s="1" t="s">
        <v>403</v>
      </c>
      <c r="B436" s="3" t="str">
        <f t="shared" si="1"/>
        <v>Unavailable</v>
      </c>
      <c r="C436" s="3">
        <v>530.0</v>
      </c>
      <c r="D436" s="3">
        <f>IFERROR(__xludf.DUMMYFUNCTION("IFERROR(
IF(REGEXMATCH(LOWER(O436),""k""),
VALUE(REGEXEXTRACT(O436,""[0-9]+""))*1000,
VALUE(REGEXEXTRACT(O436,""[0-9]+""))
),
0
)"),0.0)</f>
        <v>0</v>
      </c>
      <c r="E436" s="1" t="s">
        <v>11</v>
      </c>
      <c r="F436" s="1" t="s">
        <v>12</v>
      </c>
      <c r="G436" s="4" t="b">
        <f t="shared" si="2"/>
        <v>1</v>
      </c>
      <c r="H436" s="1" t="str">
        <f t="shared" si="3"/>
        <v>Currently Unavailable</v>
      </c>
      <c r="I436" s="1" t="str">
        <f t="shared" si="4"/>
        <v>No Badges</v>
      </c>
      <c r="J436" s="3">
        <f t="shared" si="5"/>
        <v>0</v>
      </c>
    </row>
    <row r="437">
      <c r="A437" s="1" t="s">
        <v>404</v>
      </c>
      <c r="B437" s="3" t="str">
        <f t="shared" si="1"/>
        <v>Unavailable</v>
      </c>
      <c r="C437" s="3">
        <v>646.0</v>
      </c>
      <c r="D437" s="3">
        <f>IFERROR(__xludf.DUMMYFUNCTION("IFERROR(
IF(REGEXMATCH(LOWER(O437),""k""),
VALUE(REGEXEXTRACT(O437,""[0-9]+""))*1000,
VALUE(REGEXEXTRACT(O437,""[0-9]+""))
),
0
)"),0.0)</f>
        <v>0</v>
      </c>
      <c r="E437" s="1" t="s">
        <v>11</v>
      </c>
      <c r="F437" s="1" t="s">
        <v>20</v>
      </c>
      <c r="G437" s="4" t="b">
        <f t="shared" si="2"/>
        <v>1</v>
      </c>
      <c r="H437" s="1" t="str">
        <f t="shared" si="3"/>
        <v>Currently Unavailable</v>
      </c>
      <c r="I437" s="1" t="str">
        <f t="shared" si="4"/>
        <v>No Badges</v>
      </c>
      <c r="J437" s="3">
        <f t="shared" si="5"/>
        <v>0</v>
      </c>
    </row>
    <row r="438">
      <c r="A438" s="1" t="s">
        <v>405</v>
      </c>
      <c r="B438" s="3" t="str">
        <f t="shared" si="1"/>
        <v>Unavailable</v>
      </c>
      <c r="C438" s="3">
        <v>25.0</v>
      </c>
      <c r="D438" s="3">
        <f>IFERROR(__xludf.DUMMYFUNCTION("IFERROR(
IF(REGEXMATCH(LOWER(O438),""k""),
VALUE(REGEXEXTRACT(O438,""[0-9]+""))*1000,
VALUE(REGEXEXTRACT(O438,""[0-9]+""))
),
0
)"),0.0)</f>
        <v>0</v>
      </c>
      <c r="E438" s="1" t="s">
        <v>11</v>
      </c>
      <c r="F438" s="1" t="s">
        <v>20</v>
      </c>
      <c r="G438" s="4" t="b">
        <f t="shared" si="2"/>
        <v>1</v>
      </c>
      <c r="H438" s="1" t="str">
        <f t="shared" si="3"/>
        <v>Currently Unavailable</v>
      </c>
      <c r="I438" s="1" t="str">
        <f t="shared" si="4"/>
        <v>No Badges</v>
      </c>
      <c r="J438" s="3">
        <f t="shared" si="5"/>
        <v>0</v>
      </c>
    </row>
    <row r="439">
      <c r="A439" s="1" t="s">
        <v>406</v>
      </c>
      <c r="B439" s="3" t="str">
        <f t="shared" si="1"/>
        <v>Unavailable</v>
      </c>
      <c r="C439" s="3">
        <v>262.0</v>
      </c>
      <c r="D439" s="3">
        <f>IFERROR(__xludf.DUMMYFUNCTION("IFERROR(
IF(REGEXMATCH(LOWER(O439),""k""),
VALUE(REGEXEXTRACT(O439,""[0-9]+""))*1000,
VALUE(REGEXEXTRACT(O439,""[0-9]+""))
),
0
)"),0.0)</f>
        <v>0</v>
      </c>
      <c r="E439" s="1" t="s">
        <v>11</v>
      </c>
      <c r="F439" s="1" t="s">
        <v>20</v>
      </c>
      <c r="G439" s="4" t="b">
        <f t="shared" si="2"/>
        <v>1</v>
      </c>
      <c r="H439" s="1" t="str">
        <f t="shared" si="3"/>
        <v>Currently Unavailable</v>
      </c>
      <c r="I439" s="1" t="str">
        <f t="shared" si="4"/>
        <v>No Badges</v>
      </c>
      <c r="J439" s="3">
        <f t="shared" si="5"/>
        <v>0</v>
      </c>
    </row>
    <row r="440">
      <c r="A440" s="1" t="s">
        <v>407</v>
      </c>
      <c r="B440" s="3" t="str">
        <f t="shared" si="1"/>
        <v>Unavailable</v>
      </c>
      <c r="C440" s="3">
        <v>25.0</v>
      </c>
      <c r="D440" s="3">
        <f>IFERROR(__xludf.DUMMYFUNCTION("IFERROR(
IF(REGEXMATCH(LOWER(O440),""k""),
VALUE(REGEXEXTRACT(O440,""[0-9]+""))*1000,
VALUE(REGEXEXTRACT(O440,""[0-9]+""))
),
0
)"),0.0)</f>
        <v>0</v>
      </c>
      <c r="E440" s="1" t="s">
        <v>11</v>
      </c>
      <c r="F440" s="1" t="s">
        <v>20</v>
      </c>
      <c r="G440" s="4" t="b">
        <f t="shared" si="2"/>
        <v>1</v>
      </c>
      <c r="H440" s="1" t="str">
        <f t="shared" si="3"/>
        <v>Currently Unavailable</v>
      </c>
      <c r="I440" s="1" t="str">
        <f t="shared" si="4"/>
        <v>No Badges</v>
      </c>
      <c r="J440" s="3">
        <f t="shared" si="5"/>
        <v>0</v>
      </c>
    </row>
    <row r="441">
      <c r="A441" s="1" t="s">
        <v>408</v>
      </c>
      <c r="B441" s="3" t="str">
        <f t="shared" si="1"/>
        <v>Unavailable</v>
      </c>
      <c r="C441" s="3">
        <v>481.0</v>
      </c>
      <c r="D441" s="3">
        <f>IFERROR(__xludf.DUMMYFUNCTION("IFERROR(
IF(REGEXMATCH(LOWER(O441),""k""),
VALUE(REGEXEXTRACT(O441,""[0-9]+""))*1000,
VALUE(REGEXEXTRACT(O441,""[0-9]+""))
),
0
)"),0.0)</f>
        <v>0</v>
      </c>
      <c r="E441" s="1" t="s">
        <v>11</v>
      </c>
      <c r="F441" s="1" t="s">
        <v>20</v>
      </c>
      <c r="G441" s="4" t="b">
        <f t="shared" si="2"/>
        <v>1</v>
      </c>
      <c r="H441" s="1" t="str">
        <f t="shared" si="3"/>
        <v>Currently Unavailable</v>
      </c>
      <c r="I441" s="1" t="str">
        <f t="shared" si="4"/>
        <v>No Badges</v>
      </c>
      <c r="J441" s="3">
        <f t="shared" si="5"/>
        <v>0</v>
      </c>
    </row>
    <row r="442">
      <c r="A442" s="1" t="s">
        <v>409</v>
      </c>
      <c r="B442" s="3" t="str">
        <f t="shared" si="1"/>
        <v>Unavailable</v>
      </c>
      <c r="C442" s="3">
        <v>637.0</v>
      </c>
      <c r="D442" s="3">
        <f>IFERROR(__xludf.DUMMYFUNCTION("IFERROR(
IF(REGEXMATCH(LOWER(O442),""k""),
VALUE(REGEXEXTRACT(O442,""[0-9]+""))*1000,
VALUE(REGEXEXTRACT(O442,""[0-9]+""))
),
0
)"),0.0)</f>
        <v>0</v>
      </c>
      <c r="E442" s="1" t="s">
        <v>11</v>
      </c>
      <c r="F442" s="1" t="s">
        <v>20</v>
      </c>
      <c r="G442" s="4" t="b">
        <f t="shared" si="2"/>
        <v>1</v>
      </c>
      <c r="H442" s="1" t="str">
        <f t="shared" si="3"/>
        <v>Currently Unavailable</v>
      </c>
      <c r="I442" s="1" t="str">
        <f t="shared" si="4"/>
        <v>No Badges</v>
      </c>
      <c r="J442" s="3">
        <f t="shared" si="5"/>
        <v>0</v>
      </c>
    </row>
    <row r="443">
      <c r="A443" s="1" t="s">
        <v>410</v>
      </c>
      <c r="B443" s="3" t="str">
        <f t="shared" si="1"/>
        <v>Unavailable</v>
      </c>
      <c r="C443" s="3">
        <v>353.0</v>
      </c>
      <c r="D443" s="3">
        <f>IFERROR(__xludf.DUMMYFUNCTION("IFERROR(
IF(REGEXMATCH(LOWER(O443),""k""),
VALUE(REGEXEXTRACT(O443,""[0-9]+""))*1000,
VALUE(REGEXEXTRACT(O443,""[0-9]+""))
),
0
)"),0.0)</f>
        <v>0</v>
      </c>
      <c r="E443" s="1" t="s">
        <v>11</v>
      </c>
      <c r="F443" s="1" t="s">
        <v>20</v>
      </c>
      <c r="G443" s="4" t="b">
        <f t="shared" si="2"/>
        <v>1</v>
      </c>
      <c r="H443" s="1" t="str">
        <f t="shared" si="3"/>
        <v>Currently Unavailable</v>
      </c>
      <c r="I443" s="1" t="str">
        <f t="shared" si="4"/>
        <v>No Badges</v>
      </c>
      <c r="J443" s="3">
        <f t="shared" si="5"/>
        <v>0</v>
      </c>
    </row>
    <row r="444">
      <c r="A444" s="1" t="s">
        <v>411</v>
      </c>
      <c r="B444" s="3" t="str">
        <f t="shared" si="1"/>
        <v>Unavailable</v>
      </c>
      <c r="C444" s="3">
        <v>345.0</v>
      </c>
      <c r="D444" s="3">
        <f>IFERROR(__xludf.DUMMYFUNCTION("IFERROR(
IF(REGEXMATCH(LOWER(O444),""k""),
VALUE(REGEXEXTRACT(O444,""[0-9]+""))*1000,
VALUE(REGEXEXTRACT(O444,""[0-9]+""))
),
0
)"),0.0)</f>
        <v>0</v>
      </c>
      <c r="E444" s="1" t="s">
        <v>11</v>
      </c>
      <c r="F444" s="1" t="s">
        <v>20</v>
      </c>
      <c r="G444" s="4" t="b">
        <f t="shared" si="2"/>
        <v>1</v>
      </c>
      <c r="H444" s="1" t="str">
        <f t="shared" si="3"/>
        <v>Currently Unavailable</v>
      </c>
      <c r="I444" s="1" t="str">
        <f t="shared" si="4"/>
        <v>No Badges</v>
      </c>
      <c r="J444" s="3">
        <f t="shared" si="5"/>
        <v>0</v>
      </c>
    </row>
    <row r="445">
      <c r="A445" s="1" t="s">
        <v>412</v>
      </c>
      <c r="B445" s="3" t="str">
        <f t="shared" si="1"/>
        <v>Unavailable</v>
      </c>
      <c r="C445" s="5">
        <v>2409.0</v>
      </c>
      <c r="D445" s="3">
        <f>IFERROR(__xludf.DUMMYFUNCTION("IFERROR(
IF(REGEXMATCH(LOWER(O445),""k""),
VALUE(REGEXEXTRACT(O445,""[0-9]+""))*1000,
VALUE(REGEXEXTRACT(O445,""[0-9]+""))
),
0
)"),0.0)</f>
        <v>0</v>
      </c>
      <c r="E445" s="1" t="s">
        <v>11</v>
      </c>
      <c r="F445" s="1" t="s">
        <v>20</v>
      </c>
      <c r="G445" s="4" t="b">
        <f t="shared" si="2"/>
        <v>1</v>
      </c>
      <c r="H445" s="1" t="str">
        <f t="shared" si="3"/>
        <v>Currently Unavailable</v>
      </c>
      <c r="I445" s="1" t="str">
        <f t="shared" si="4"/>
        <v>No Badges</v>
      </c>
      <c r="J445" s="3">
        <f t="shared" si="5"/>
        <v>0</v>
      </c>
    </row>
    <row r="446">
      <c r="A446" s="1" t="s">
        <v>413</v>
      </c>
      <c r="B446" s="3" t="str">
        <f t="shared" si="1"/>
        <v>Unavailable</v>
      </c>
      <c r="C446" s="3">
        <v>8.0</v>
      </c>
      <c r="D446" s="3">
        <f>IFERROR(__xludf.DUMMYFUNCTION("IFERROR(
IF(REGEXMATCH(LOWER(O446),""k""),
VALUE(REGEXEXTRACT(O446,""[0-9]+""))*1000,
VALUE(REGEXEXTRACT(O446,""[0-9]+""))
),
0
)"),0.0)</f>
        <v>0</v>
      </c>
      <c r="E446" s="1" t="s">
        <v>11</v>
      </c>
      <c r="F446" s="1" t="s">
        <v>20</v>
      </c>
      <c r="G446" s="4" t="b">
        <f t="shared" si="2"/>
        <v>1</v>
      </c>
      <c r="H446" s="1" t="str">
        <f t="shared" si="3"/>
        <v>Currently Unavailable</v>
      </c>
      <c r="I446" s="1" t="str">
        <f t="shared" si="4"/>
        <v>No Badges</v>
      </c>
      <c r="J446" s="3">
        <f t="shared" si="5"/>
        <v>0</v>
      </c>
    </row>
    <row r="447">
      <c r="A447" s="1" t="s">
        <v>414</v>
      </c>
      <c r="B447" s="3" t="str">
        <f t="shared" si="1"/>
        <v>Unavailable</v>
      </c>
      <c r="C447" s="3">
        <v>586.0</v>
      </c>
      <c r="D447" s="3">
        <f>IFERROR(__xludf.DUMMYFUNCTION("IFERROR(
IF(REGEXMATCH(LOWER(O447),""k""),
VALUE(REGEXEXTRACT(O447,""[0-9]+""))*1000,
VALUE(REGEXEXTRACT(O447,""[0-9]+""))
),
0
)"),0.0)</f>
        <v>0</v>
      </c>
      <c r="E447" s="1" t="s">
        <v>11</v>
      </c>
      <c r="F447" s="1" t="s">
        <v>20</v>
      </c>
      <c r="G447" s="4" t="b">
        <f t="shared" si="2"/>
        <v>1</v>
      </c>
      <c r="H447" s="1" t="str">
        <f t="shared" si="3"/>
        <v>Currently Unavailable</v>
      </c>
      <c r="I447" s="1" t="str">
        <f t="shared" si="4"/>
        <v>No Badges</v>
      </c>
      <c r="J447" s="3">
        <f t="shared" si="5"/>
        <v>0</v>
      </c>
    </row>
    <row r="448">
      <c r="A448" s="1" t="s">
        <v>415</v>
      </c>
      <c r="B448" s="3" t="str">
        <f t="shared" si="1"/>
        <v>Unavailable</v>
      </c>
      <c r="C448" s="3">
        <v>128.0</v>
      </c>
      <c r="D448" s="3">
        <f>IFERROR(__xludf.DUMMYFUNCTION("IFERROR(
IF(REGEXMATCH(LOWER(O448),""k""),
VALUE(REGEXEXTRACT(O448,""[0-9]+""))*1000,
VALUE(REGEXEXTRACT(O448,""[0-9]+""))
),
0
)"),0.0)</f>
        <v>0</v>
      </c>
      <c r="E448" s="1" t="s">
        <v>11</v>
      </c>
      <c r="F448" s="1" t="s">
        <v>20</v>
      </c>
      <c r="G448" s="4" t="b">
        <f t="shared" si="2"/>
        <v>1</v>
      </c>
      <c r="H448" s="1" t="str">
        <f t="shared" si="3"/>
        <v>Currently Unavailable</v>
      </c>
      <c r="I448" s="1" t="str">
        <f t="shared" si="4"/>
        <v>No Badges</v>
      </c>
      <c r="J448" s="3">
        <f t="shared" si="5"/>
        <v>0</v>
      </c>
    </row>
    <row r="449">
      <c r="A449" s="1" t="s">
        <v>143</v>
      </c>
      <c r="B449" s="3" t="str">
        <f t="shared" si="1"/>
        <v>Unavailable</v>
      </c>
      <c r="C449" s="3">
        <v>63.0</v>
      </c>
      <c r="D449" s="3">
        <f>IFERROR(__xludf.DUMMYFUNCTION("IFERROR(
IF(REGEXMATCH(LOWER(O449),""k""),
VALUE(REGEXEXTRACT(O449,""[0-9]+""))*1000,
VALUE(REGEXEXTRACT(O449,""[0-9]+""))
),
0
)"),0.0)</f>
        <v>0</v>
      </c>
      <c r="E449" s="1" t="s">
        <v>11</v>
      </c>
      <c r="F449" s="1" t="s">
        <v>12</v>
      </c>
      <c r="G449" s="4" t="b">
        <f t="shared" si="2"/>
        <v>1</v>
      </c>
      <c r="H449" s="1" t="str">
        <f t="shared" si="3"/>
        <v>Currently Unavailable</v>
      </c>
      <c r="I449" s="1" t="str">
        <f t="shared" si="4"/>
        <v>No Badges</v>
      </c>
      <c r="J449" s="3">
        <f t="shared" si="5"/>
        <v>0</v>
      </c>
    </row>
    <row r="450">
      <c r="A450" s="1" t="s">
        <v>416</v>
      </c>
      <c r="B450" s="3" t="str">
        <f t="shared" si="1"/>
        <v>Unavailable</v>
      </c>
      <c r="C450" s="3">
        <v>10.0</v>
      </c>
      <c r="D450" s="3">
        <f>IFERROR(__xludf.DUMMYFUNCTION("IFERROR(
IF(REGEXMATCH(LOWER(O450),""k""),
VALUE(REGEXEXTRACT(O450,""[0-9]+""))*1000,
VALUE(REGEXEXTRACT(O450,""[0-9]+""))
),
0
)"),0.0)</f>
        <v>0</v>
      </c>
      <c r="E450" s="1" t="s">
        <v>11</v>
      </c>
      <c r="F450" s="1" t="s">
        <v>20</v>
      </c>
      <c r="G450" s="4" t="b">
        <f t="shared" si="2"/>
        <v>1</v>
      </c>
      <c r="H450" s="1" t="str">
        <f t="shared" si="3"/>
        <v>Currently Unavailable</v>
      </c>
      <c r="I450" s="1" t="str">
        <f t="shared" si="4"/>
        <v>No Badges</v>
      </c>
      <c r="J450" s="3">
        <f t="shared" si="5"/>
        <v>0</v>
      </c>
    </row>
    <row r="451">
      <c r="A451" s="1" t="s">
        <v>417</v>
      </c>
      <c r="B451" s="3" t="str">
        <f t="shared" si="1"/>
        <v>Unavailable</v>
      </c>
      <c r="C451" s="3">
        <v>368.0</v>
      </c>
      <c r="D451" s="3">
        <f>IFERROR(__xludf.DUMMYFUNCTION("IFERROR(
IF(REGEXMATCH(LOWER(O451),""k""),
VALUE(REGEXEXTRACT(O451,""[0-9]+""))*1000,
VALUE(REGEXEXTRACT(O451,""[0-9]+""))
),
0
)"),0.0)</f>
        <v>0</v>
      </c>
      <c r="E451" s="1" t="s">
        <v>11</v>
      </c>
      <c r="F451" s="1" t="s">
        <v>20</v>
      </c>
      <c r="G451" s="4" t="b">
        <f t="shared" si="2"/>
        <v>1</v>
      </c>
      <c r="H451" s="1" t="str">
        <f t="shared" si="3"/>
        <v>Currently Unavailable</v>
      </c>
      <c r="I451" s="1" t="str">
        <f t="shared" si="4"/>
        <v>No Badges</v>
      </c>
      <c r="J451" s="3">
        <f t="shared" si="5"/>
        <v>0</v>
      </c>
    </row>
    <row r="452">
      <c r="A452" s="1" t="s">
        <v>89</v>
      </c>
      <c r="B452" s="3" t="str">
        <f t="shared" si="1"/>
        <v>Unavailable</v>
      </c>
      <c r="C452" s="3">
        <v>30.0</v>
      </c>
      <c r="D452" s="3">
        <f>IFERROR(__xludf.DUMMYFUNCTION("IFERROR(
IF(REGEXMATCH(LOWER(O452),""k""),
VALUE(REGEXEXTRACT(O452,""[0-9]+""))*1000,
VALUE(REGEXEXTRACT(O452,""[0-9]+""))
),
0
)"),0.0)</f>
        <v>0</v>
      </c>
      <c r="E452" s="1" t="s">
        <v>11</v>
      </c>
      <c r="F452" s="1" t="s">
        <v>12</v>
      </c>
      <c r="G452" s="4" t="b">
        <f t="shared" si="2"/>
        <v>1</v>
      </c>
      <c r="H452" s="1" t="str">
        <f t="shared" si="3"/>
        <v>Currently Unavailable</v>
      </c>
      <c r="I452" s="1" t="str">
        <f t="shared" si="4"/>
        <v>No Badges</v>
      </c>
      <c r="J452" s="3">
        <f t="shared" si="5"/>
        <v>0</v>
      </c>
    </row>
    <row r="453">
      <c r="A453" s="1" t="s">
        <v>418</v>
      </c>
      <c r="B453" s="3" t="str">
        <f t="shared" si="1"/>
        <v>Unavailable</v>
      </c>
      <c r="C453" s="3">
        <v>21.0</v>
      </c>
      <c r="D453" s="3">
        <f>IFERROR(__xludf.DUMMYFUNCTION("IFERROR(
IF(REGEXMATCH(LOWER(O453),""k""),
VALUE(REGEXEXTRACT(O453,""[0-9]+""))*1000,
VALUE(REGEXEXTRACT(O453,""[0-9]+""))
),
0
)"),0.0)</f>
        <v>0</v>
      </c>
      <c r="E453" s="1" t="s">
        <v>11</v>
      </c>
      <c r="F453" s="1" t="s">
        <v>20</v>
      </c>
      <c r="G453" s="4" t="b">
        <f t="shared" si="2"/>
        <v>1</v>
      </c>
      <c r="H453" s="1" t="str">
        <f t="shared" si="3"/>
        <v>Currently Unavailable</v>
      </c>
      <c r="I453" s="1" t="str">
        <f t="shared" si="4"/>
        <v>No Badges</v>
      </c>
      <c r="J453" s="3">
        <f t="shared" si="5"/>
        <v>0</v>
      </c>
    </row>
    <row r="454">
      <c r="A454" s="1" t="s">
        <v>88</v>
      </c>
      <c r="B454" s="3" t="str">
        <f t="shared" si="1"/>
        <v>Unavailable</v>
      </c>
      <c r="C454" s="3">
        <v>5.0</v>
      </c>
      <c r="D454" s="3">
        <f>IFERROR(__xludf.DUMMYFUNCTION("IFERROR(
IF(REGEXMATCH(LOWER(O454),""k""),
VALUE(REGEXEXTRACT(O454,""[0-9]+""))*1000,
VALUE(REGEXEXTRACT(O454,""[0-9]+""))
),
0
)"),0.0)</f>
        <v>0</v>
      </c>
      <c r="E454" s="1" t="s">
        <v>11</v>
      </c>
      <c r="F454" s="1" t="s">
        <v>12</v>
      </c>
      <c r="G454" s="4" t="b">
        <f t="shared" si="2"/>
        <v>1</v>
      </c>
      <c r="H454" s="1" t="str">
        <f t="shared" si="3"/>
        <v>Currently Unavailable</v>
      </c>
      <c r="I454" s="1" t="str">
        <f t="shared" si="4"/>
        <v>No Badges</v>
      </c>
      <c r="J454" s="3">
        <f t="shared" si="5"/>
        <v>0</v>
      </c>
    </row>
    <row r="455">
      <c r="A455" s="1" t="s">
        <v>419</v>
      </c>
      <c r="B455" s="3" t="str">
        <f t="shared" si="1"/>
        <v>Unavailable</v>
      </c>
      <c r="C455" s="3">
        <v>23.0</v>
      </c>
      <c r="D455" s="3">
        <f>IFERROR(__xludf.DUMMYFUNCTION("IFERROR(
IF(REGEXMATCH(LOWER(O455),""k""),
VALUE(REGEXEXTRACT(O455,""[0-9]+""))*1000,
VALUE(REGEXEXTRACT(O455,""[0-9]+""))
),
0
)"),0.0)</f>
        <v>0</v>
      </c>
      <c r="E455" s="1" t="s">
        <v>11</v>
      </c>
      <c r="F455" s="1" t="s">
        <v>20</v>
      </c>
      <c r="G455" s="4" t="b">
        <f t="shared" si="2"/>
        <v>1</v>
      </c>
      <c r="H455" s="1" t="str">
        <f t="shared" si="3"/>
        <v>Currently Unavailable</v>
      </c>
      <c r="I455" s="1" t="str">
        <f t="shared" si="4"/>
        <v>No Badges</v>
      </c>
      <c r="J455" s="3">
        <f t="shared" si="5"/>
        <v>0</v>
      </c>
    </row>
    <row r="456">
      <c r="A456" s="1" t="s">
        <v>420</v>
      </c>
      <c r="B456" s="3" t="str">
        <f t="shared" si="1"/>
        <v>Unavailable</v>
      </c>
      <c r="C456" s="5">
        <v>2032.0</v>
      </c>
      <c r="D456" s="3">
        <f>IFERROR(__xludf.DUMMYFUNCTION("IFERROR(
IF(REGEXMATCH(LOWER(O456),""k""),
VALUE(REGEXEXTRACT(O456,""[0-9]+""))*1000,
VALUE(REGEXEXTRACT(O456,""[0-9]+""))
),
0
)"),0.0)</f>
        <v>0</v>
      </c>
      <c r="E456" s="1" t="s">
        <v>11</v>
      </c>
      <c r="F456" s="1" t="s">
        <v>20</v>
      </c>
      <c r="G456" s="4" t="b">
        <f t="shared" si="2"/>
        <v>1</v>
      </c>
      <c r="H456" s="1" t="str">
        <f t="shared" si="3"/>
        <v>Currently Unavailable</v>
      </c>
      <c r="I456" s="1" t="str">
        <f t="shared" si="4"/>
        <v>No Badges</v>
      </c>
      <c r="J456" s="3">
        <f t="shared" si="5"/>
        <v>0</v>
      </c>
    </row>
    <row r="457">
      <c r="A457" s="1" t="s">
        <v>421</v>
      </c>
      <c r="B457" s="3" t="str">
        <f t="shared" si="1"/>
        <v>Unavailable</v>
      </c>
      <c r="C457" s="5">
        <v>4109.0</v>
      </c>
      <c r="D457" s="3">
        <f>IFERROR(__xludf.DUMMYFUNCTION("IFERROR(
IF(REGEXMATCH(LOWER(O457),""k""),
VALUE(REGEXEXTRACT(O457,""[0-9]+""))*1000,
VALUE(REGEXEXTRACT(O457,""[0-9]+""))
),
0
)"),0.0)</f>
        <v>0</v>
      </c>
      <c r="E457" s="1" t="s">
        <v>11</v>
      </c>
      <c r="F457" s="1" t="s">
        <v>20</v>
      </c>
      <c r="G457" s="4" t="b">
        <f t="shared" si="2"/>
        <v>1</v>
      </c>
      <c r="H457" s="1" t="str">
        <f t="shared" si="3"/>
        <v>Currently Unavailable</v>
      </c>
      <c r="I457" s="1" t="str">
        <f t="shared" si="4"/>
        <v>No Badges</v>
      </c>
      <c r="J457" s="3">
        <f t="shared" si="5"/>
        <v>0</v>
      </c>
    </row>
    <row r="458">
      <c r="A458" s="1" t="s">
        <v>422</v>
      </c>
      <c r="B458" s="3" t="str">
        <f t="shared" si="1"/>
        <v>Unavailable</v>
      </c>
      <c r="C458" s="3">
        <v>18.0</v>
      </c>
      <c r="D458" s="3">
        <f>IFERROR(__xludf.DUMMYFUNCTION("IFERROR(
IF(REGEXMATCH(LOWER(O458),""k""),
VALUE(REGEXEXTRACT(O458,""[0-9]+""))*1000,
VALUE(REGEXEXTRACT(O458,""[0-9]+""))
),
0
)"),0.0)</f>
        <v>0</v>
      </c>
      <c r="E458" s="1" t="s">
        <v>11</v>
      </c>
      <c r="F458" s="1" t="s">
        <v>20</v>
      </c>
      <c r="G458" s="4" t="b">
        <f t="shared" si="2"/>
        <v>1</v>
      </c>
      <c r="H458" s="1" t="str">
        <f t="shared" si="3"/>
        <v>Currently Unavailable</v>
      </c>
      <c r="I458" s="1" t="str">
        <f t="shared" si="4"/>
        <v>No Badges</v>
      </c>
      <c r="J458" s="3">
        <f t="shared" si="5"/>
        <v>0</v>
      </c>
    </row>
    <row r="459">
      <c r="A459" s="1" t="s">
        <v>423</v>
      </c>
      <c r="B459" s="3" t="str">
        <f t="shared" si="1"/>
        <v>Unavailable</v>
      </c>
      <c r="C459" s="3">
        <v>38.0</v>
      </c>
      <c r="D459" s="3">
        <f>IFERROR(__xludf.DUMMYFUNCTION("IFERROR(
IF(REGEXMATCH(LOWER(O459),""k""),
VALUE(REGEXEXTRACT(O459,""[0-9]+""))*1000,
VALUE(REGEXEXTRACT(O459,""[0-9]+""))
),
0
)"),0.0)</f>
        <v>0</v>
      </c>
      <c r="E459" s="1" t="s">
        <v>11</v>
      </c>
      <c r="F459" s="1" t="s">
        <v>20</v>
      </c>
      <c r="G459" s="4" t="b">
        <f t="shared" si="2"/>
        <v>1</v>
      </c>
      <c r="H459" s="1" t="str">
        <f t="shared" si="3"/>
        <v>Currently Unavailable</v>
      </c>
      <c r="I459" s="1" t="str">
        <f t="shared" si="4"/>
        <v>No Badges</v>
      </c>
      <c r="J459" s="3">
        <f t="shared" si="5"/>
        <v>0</v>
      </c>
    </row>
    <row r="460">
      <c r="A460" s="1" t="s">
        <v>424</v>
      </c>
      <c r="B460" s="3" t="str">
        <f t="shared" si="1"/>
        <v>Unavailable</v>
      </c>
      <c r="C460" s="3">
        <v>326.0</v>
      </c>
      <c r="D460" s="3">
        <f>IFERROR(__xludf.DUMMYFUNCTION("IFERROR(
IF(REGEXMATCH(LOWER(O460),""k""),
VALUE(REGEXEXTRACT(O460,""[0-9]+""))*1000,
VALUE(REGEXEXTRACT(O460,""[0-9]+""))
),
0
)"),0.0)</f>
        <v>0</v>
      </c>
      <c r="E460" s="1" t="s">
        <v>11</v>
      </c>
      <c r="F460" s="1" t="s">
        <v>20</v>
      </c>
      <c r="G460" s="4" t="b">
        <f t="shared" si="2"/>
        <v>1</v>
      </c>
      <c r="H460" s="1" t="str">
        <f t="shared" si="3"/>
        <v>Currently Unavailable</v>
      </c>
      <c r="I460" s="1" t="str">
        <f t="shared" si="4"/>
        <v>No Badges</v>
      </c>
      <c r="J460" s="3">
        <f t="shared" si="5"/>
        <v>0</v>
      </c>
    </row>
    <row r="461">
      <c r="A461" s="1" t="s">
        <v>425</v>
      </c>
      <c r="B461" s="3" t="str">
        <f t="shared" si="1"/>
        <v>Unavailable</v>
      </c>
      <c r="C461" s="3">
        <v>63.0</v>
      </c>
      <c r="D461" s="3">
        <f>IFERROR(__xludf.DUMMYFUNCTION("IFERROR(
IF(REGEXMATCH(LOWER(O461),""k""),
VALUE(REGEXEXTRACT(O461,""[0-9]+""))*1000,
VALUE(REGEXEXTRACT(O461,""[0-9]+""))
),
0
)"),0.0)</f>
        <v>0</v>
      </c>
      <c r="E461" s="1" t="s">
        <v>11</v>
      </c>
      <c r="F461" s="1" t="s">
        <v>20</v>
      </c>
      <c r="G461" s="4" t="b">
        <f t="shared" si="2"/>
        <v>1</v>
      </c>
      <c r="H461" s="1" t="str">
        <f t="shared" si="3"/>
        <v>Currently Unavailable</v>
      </c>
      <c r="I461" s="1" t="str">
        <f t="shared" si="4"/>
        <v>No Badges</v>
      </c>
      <c r="J461" s="3">
        <f t="shared" si="5"/>
        <v>0</v>
      </c>
    </row>
    <row r="462">
      <c r="A462" s="1" t="s">
        <v>426</v>
      </c>
      <c r="B462" s="3" t="str">
        <f t="shared" si="1"/>
        <v>Unavailable</v>
      </c>
      <c r="C462" s="3">
        <v>668.0</v>
      </c>
      <c r="D462" s="3">
        <f>IFERROR(__xludf.DUMMYFUNCTION("IFERROR(
IF(REGEXMATCH(LOWER(O462),""k""),
VALUE(REGEXEXTRACT(O462,""[0-9]+""))*1000,
VALUE(REGEXEXTRACT(O462,""[0-9]+""))
),
0
)"),0.0)</f>
        <v>0</v>
      </c>
      <c r="E462" s="1" t="s">
        <v>11</v>
      </c>
      <c r="F462" s="1" t="s">
        <v>20</v>
      </c>
      <c r="G462" s="4" t="b">
        <f t="shared" si="2"/>
        <v>1</v>
      </c>
      <c r="H462" s="1" t="str">
        <f t="shared" si="3"/>
        <v>Currently Unavailable</v>
      </c>
      <c r="I462" s="1" t="str">
        <f t="shared" si="4"/>
        <v>No Badges</v>
      </c>
      <c r="J462" s="3">
        <f t="shared" si="5"/>
        <v>0</v>
      </c>
    </row>
    <row r="463">
      <c r="A463" s="1" t="s">
        <v>427</v>
      </c>
      <c r="B463" s="3" t="str">
        <f t="shared" si="1"/>
        <v>Unavailable</v>
      </c>
      <c r="C463" s="3">
        <v>125.0</v>
      </c>
      <c r="D463" s="3">
        <f>IFERROR(__xludf.DUMMYFUNCTION("IFERROR(
IF(REGEXMATCH(LOWER(O463),""k""),
VALUE(REGEXEXTRACT(O463,""[0-9]+""))*1000,
VALUE(REGEXEXTRACT(O463,""[0-9]+""))
),
0
)"),0.0)</f>
        <v>0</v>
      </c>
      <c r="E463" s="1" t="s">
        <v>11</v>
      </c>
      <c r="F463" s="1" t="s">
        <v>20</v>
      </c>
      <c r="G463" s="4" t="b">
        <f t="shared" si="2"/>
        <v>1</v>
      </c>
      <c r="H463" s="1" t="str">
        <f t="shared" si="3"/>
        <v>Currently Unavailable</v>
      </c>
      <c r="I463" s="1" t="str">
        <f t="shared" si="4"/>
        <v>No Badges</v>
      </c>
      <c r="J463" s="3">
        <f t="shared" si="5"/>
        <v>0</v>
      </c>
    </row>
    <row r="464">
      <c r="A464" s="1" t="s">
        <v>428</v>
      </c>
      <c r="B464" s="3" t="str">
        <f t="shared" si="1"/>
        <v>Unavailable</v>
      </c>
      <c r="C464" s="5">
        <v>6427.0</v>
      </c>
      <c r="D464" s="3">
        <f>IFERROR(__xludf.DUMMYFUNCTION("IFERROR(
IF(REGEXMATCH(LOWER(O464),""k""),
VALUE(REGEXEXTRACT(O464,""[0-9]+""))*1000,
VALUE(REGEXEXTRACT(O464,""[0-9]+""))
),
0
)"),0.0)</f>
        <v>0</v>
      </c>
      <c r="E464" s="1" t="s">
        <v>11</v>
      </c>
      <c r="F464" s="1" t="s">
        <v>20</v>
      </c>
      <c r="G464" s="4" t="b">
        <f t="shared" si="2"/>
        <v>1</v>
      </c>
      <c r="H464" s="1" t="str">
        <f t="shared" si="3"/>
        <v>Currently Unavailable</v>
      </c>
      <c r="I464" s="1" t="str">
        <f t="shared" si="4"/>
        <v>No Badges</v>
      </c>
      <c r="J464" s="3">
        <f t="shared" si="5"/>
        <v>0</v>
      </c>
    </row>
    <row r="465">
      <c r="A465" s="1" t="s">
        <v>429</v>
      </c>
      <c r="B465" s="3" t="str">
        <f t="shared" si="1"/>
        <v>Unavailable</v>
      </c>
      <c r="C465" s="3">
        <v>77.0</v>
      </c>
      <c r="D465" s="3">
        <f>IFERROR(__xludf.DUMMYFUNCTION("IFERROR(
IF(REGEXMATCH(LOWER(O465),""k""),
VALUE(REGEXEXTRACT(O465,""[0-9]+""))*1000,
VALUE(REGEXEXTRACT(O465,""[0-9]+""))
),
0
)"),0.0)</f>
        <v>0</v>
      </c>
      <c r="E465" s="1" t="s">
        <v>11</v>
      </c>
      <c r="F465" s="1" t="s">
        <v>20</v>
      </c>
      <c r="G465" s="4" t="b">
        <f t="shared" si="2"/>
        <v>1</v>
      </c>
      <c r="H465" s="1" t="str">
        <f t="shared" si="3"/>
        <v>Currently Unavailable</v>
      </c>
      <c r="I465" s="1" t="str">
        <f t="shared" si="4"/>
        <v>No Badges</v>
      </c>
      <c r="J465" s="3">
        <f t="shared" si="5"/>
        <v>0</v>
      </c>
    </row>
    <row r="466">
      <c r="A466" s="1" t="s">
        <v>430</v>
      </c>
      <c r="B466" s="3" t="str">
        <f t="shared" si="1"/>
        <v>Unavailable</v>
      </c>
      <c r="C466" s="5">
        <v>5196.0</v>
      </c>
      <c r="D466" s="3">
        <f>IFERROR(__xludf.DUMMYFUNCTION("IFERROR(
IF(REGEXMATCH(LOWER(O466),""k""),
VALUE(REGEXEXTRACT(O466,""[0-9]+""))*1000,
VALUE(REGEXEXTRACT(O466,""[0-9]+""))
),
0
)"),0.0)</f>
        <v>0</v>
      </c>
      <c r="E466" s="1" t="s">
        <v>11</v>
      </c>
      <c r="F466" s="1" t="s">
        <v>20</v>
      </c>
      <c r="G466" s="4" t="b">
        <f t="shared" si="2"/>
        <v>1</v>
      </c>
      <c r="H466" s="1" t="str">
        <f t="shared" si="3"/>
        <v>Currently Unavailable</v>
      </c>
      <c r="I466" s="1" t="str">
        <f t="shared" si="4"/>
        <v>No Badges</v>
      </c>
      <c r="J466" s="3">
        <f t="shared" si="5"/>
        <v>0</v>
      </c>
    </row>
    <row r="467">
      <c r="A467" s="1" t="s">
        <v>67</v>
      </c>
      <c r="B467" s="3" t="str">
        <f t="shared" si="1"/>
        <v>Unavailable</v>
      </c>
      <c r="C467" s="3">
        <v>264.0</v>
      </c>
      <c r="D467" s="3">
        <f>IFERROR(__xludf.DUMMYFUNCTION("IFERROR(
IF(REGEXMATCH(LOWER(O467),""k""),
VALUE(REGEXEXTRACT(O467,""[0-9]+""))*1000,
VALUE(REGEXEXTRACT(O467,""[0-9]+""))
),
0
)"),0.0)</f>
        <v>0</v>
      </c>
      <c r="E467" s="1" t="s">
        <v>11</v>
      </c>
      <c r="F467" s="1" t="s">
        <v>12</v>
      </c>
      <c r="G467" s="4" t="b">
        <f t="shared" si="2"/>
        <v>1</v>
      </c>
      <c r="H467" s="1" t="str">
        <f t="shared" si="3"/>
        <v>Currently Unavailable</v>
      </c>
      <c r="I467" s="1" t="str">
        <f t="shared" si="4"/>
        <v>No Badges</v>
      </c>
      <c r="J467" s="3">
        <f t="shared" si="5"/>
        <v>0</v>
      </c>
    </row>
    <row r="468">
      <c r="A468" s="1" t="s">
        <v>431</v>
      </c>
      <c r="B468" s="3" t="str">
        <f t="shared" si="1"/>
        <v>Unavailable</v>
      </c>
      <c r="C468" s="3">
        <v>238.0</v>
      </c>
      <c r="D468" s="3">
        <f>IFERROR(__xludf.DUMMYFUNCTION("IFERROR(
IF(REGEXMATCH(LOWER(O468),""k""),
VALUE(REGEXEXTRACT(O468,""[0-9]+""))*1000,
VALUE(REGEXEXTRACT(O468,""[0-9]+""))
),
0
)"),0.0)</f>
        <v>0</v>
      </c>
      <c r="E468" s="1" t="s">
        <v>11</v>
      </c>
      <c r="F468" s="1" t="s">
        <v>20</v>
      </c>
      <c r="G468" s="4" t="b">
        <f t="shared" si="2"/>
        <v>1</v>
      </c>
      <c r="H468" s="1" t="str">
        <f t="shared" si="3"/>
        <v>Currently Unavailable</v>
      </c>
      <c r="I468" s="1" t="str">
        <f t="shared" si="4"/>
        <v>No Badges</v>
      </c>
      <c r="J468" s="3">
        <f t="shared" si="5"/>
        <v>0</v>
      </c>
    </row>
    <row r="469">
      <c r="A469" s="1" t="s">
        <v>69</v>
      </c>
      <c r="B469" s="3" t="str">
        <f t="shared" si="1"/>
        <v>Unavailable</v>
      </c>
      <c r="C469" s="3">
        <v>45.0</v>
      </c>
      <c r="D469" s="3">
        <f>IFERROR(__xludf.DUMMYFUNCTION("IFERROR(
IF(REGEXMATCH(LOWER(O469),""k""),
VALUE(REGEXEXTRACT(O469,""[0-9]+""))*1000,
VALUE(REGEXEXTRACT(O469,""[0-9]+""))
),
0
)"),0.0)</f>
        <v>0</v>
      </c>
      <c r="E469" s="1" t="s">
        <v>11</v>
      </c>
      <c r="F469" s="1" t="s">
        <v>12</v>
      </c>
      <c r="G469" s="4" t="b">
        <f t="shared" si="2"/>
        <v>1</v>
      </c>
      <c r="H469" s="1" t="str">
        <f t="shared" si="3"/>
        <v>Currently Unavailable</v>
      </c>
      <c r="I469" s="1" t="str">
        <f t="shared" si="4"/>
        <v>No Badges</v>
      </c>
      <c r="J469" s="3">
        <f t="shared" si="5"/>
        <v>0</v>
      </c>
    </row>
    <row r="470">
      <c r="A470" s="1" t="s">
        <v>432</v>
      </c>
      <c r="B470" s="3" t="str">
        <f t="shared" si="1"/>
        <v>Unavailable</v>
      </c>
      <c r="C470" s="3">
        <v>62.0</v>
      </c>
      <c r="D470" s="3">
        <f>IFERROR(__xludf.DUMMYFUNCTION("IFERROR(
IF(REGEXMATCH(LOWER(O470),""k""),
VALUE(REGEXEXTRACT(O470,""[0-9]+""))*1000,
VALUE(REGEXEXTRACT(O470,""[0-9]+""))
),
0
)"),0.0)</f>
        <v>0</v>
      </c>
      <c r="E470" s="1" t="s">
        <v>11</v>
      </c>
      <c r="F470" s="1" t="s">
        <v>20</v>
      </c>
      <c r="G470" s="4" t="b">
        <f t="shared" si="2"/>
        <v>1</v>
      </c>
      <c r="H470" s="1" t="str">
        <f t="shared" si="3"/>
        <v>Currently Unavailable</v>
      </c>
      <c r="I470" s="1" t="str">
        <f t="shared" si="4"/>
        <v>No Badges</v>
      </c>
      <c r="J470" s="3">
        <f t="shared" si="5"/>
        <v>0</v>
      </c>
    </row>
    <row r="471">
      <c r="A471" s="1" t="s">
        <v>433</v>
      </c>
      <c r="B471" s="3" t="str">
        <f t="shared" si="1"/>
        <v>Unavailable</v>
      </c>
      <c r="C471" s="3">
        <v>72.0</v>
      </c>
      <c r="D471" s="3">
        <f>IFERROR(__xludf.DUMMYFUNCTION("IFERROR(
IF(REGEXMATCH(LOWER(O471),""k""),
VALUE(REGEXEXTRACT(O471,""[0-9]+""))*1000,
VALUE(REGEXEXTRACT(O471,""[0-9]+""))
),
0
)"),0.0)</f>
        <v>0</v>
      </c>
      <c r="E471" s="1" t="s">
        <v>11</v>
      </c>
      <c r="F471" s="1" t="s">
        <v>20</v>
      </c>
      <c r="G471" s="4" t="b">
        <f t="shared" si="2"/>
        <v>1</v>
      </c>
      <c r="H471" s="1" t="str">
        <f t="shared" si="3"/>
        <v>Currently Unavailable</v>
      </c>
      <c r="I471" s="1" t="str">
        <f t="shared" si="4"/>
        <v>No Badges</v>
      </c>
      <c r="J471" s="3">
        <f t="shared" si="5"/>
        <v>0</v>
      </c>
    </row>
    <row r="472">
      <c r="A472" s="1" t="s">
        <v>434</v>
      </c>
      <c r="B472" s="3" t="str">
        <f t="shared" si="1"/>
        <v>Unavailable</v>
      </c>
      <c r="C472" s="3">
        <v>257.0</v>
      </c>
      <c r="D472" s="3">
        <f>IFERROR(__xludf.DUMMYFUNCTION("IFERROR(
IF(REGEXMATCH(LOWER(O472),""k""),
VALUE(REGEXEXTRACT(O472,""[0-9]+""))*1000,
VALUE(REGEXEXTRACT(O472,""[0-9]+""))
),
0
)"),0.0)</f>
        <v>0</v>
      </c>
      <c r="E472" s="1" t="s">
        <v>11</v>
      </c>
      <c r="F472" s="1" t="s">
        <v>20</v>
      </c>
      <c r="G472" s="4" t="b">
        <f t="shared" si="2"/>
        <v>1</v>
      </c>
      <c r="H472" s="1" t="str">
        <f t="shared" si="3"/>
        <v>Currently Unavailable</v>
      </c>
      <c r="I472" s="1" t="str">
        <f t="shared" si="4"/>
        <v>No Badges</v>
      </c>
      <c r="J472" s="3">
        <f t="shared" si="5"/>
        <v>0</v>
      </c>
    </row>
    <row r="473">
      <c r="A473" s="1" t="s">
        <v>435</v>
      </c>
      <c r="B473" s="3" t="str">
        <f t="shared" si="1"/>
        <v>Unavailable</v>
      </c>
      <c r="C473" s="3">
        <v>234.0</v>
      </c>
      <c r="D473" s="3">
        <f>IFERROR(__xludf.DUMMYFUNCTION("IFERROR(
IF(REGEXMATCH(LOWER(O473),""k""),
VALUE(REGEXEXTRACT(O473,""[0-9]+""))*1000,
VALUE(REGEXEXTRACT(O473,""[0-9]+""))
),
0
)"),0.0)</f>
        <v>0</v>
      </c>
      <c r="E473" s="1" t="s">
        <v>11</v>
      </c>
      <c r="F473" s="1" t="s">
        <v>20</v>
      </c>
      <c r="G473" s="4" t="b">
        <f t="shared" si="2"/>
        <v>1</v>
      </c>
      <c r="H473" s="1" t="str">
        <f t="shared" si="3"/>
        <v>Currently Unavailable</v>
      </c>
      <c r="I473" s="1" t="str">
        <f t="shared" si="4"/>
        <v>No Badges</v>
      </c>
      <c r="J473" s="3">
        <f t="shared" si="5"/>
        <v>0</v>
      </c>
    </row>
    <row r="474">
      <c r="A474" s="1" t="s">
        <v>436</v>
      </c>
      <c r="B474" s="3" t="str">
        <f t="shared" si="1"/>
        <v>Unavailable</v>
      </c>
      <c r="C474" s="3">
        <v>74.0</v>
      </c>
      <c r="D474" s="3">
        <f>IFERROR(__xludf.DUMMYFUNCTION("IFERROR(
IF(REGEXMATCH(LOWER(O474),""k""),
VALUE(REGEXEXTRACT(O474,""[0-9]+""))*1000,
VALUE(REGEXEXTRACT(O474,""[0-9]+""))
),
0
)"),0.0)</f>
        <v>0</v>
      </c>
      <c r="E474" s="1" t="s">
        <v>11</v>
      </c>
      <c r="F474" s="1" t="s">
        <v>20</v>
      </c>
      <c r="G474" s="4" t="b">
        <f t="shared" si="2"/>
        <v>1</v>
      </c>
      <c r="H474" s="1" t="str">
        <f t="shared" si="3"/>
        <v>Currently Unavailable</v>
      </c>
      <c r="I474" s="1" t="str">
        <f t="shared" si="4"/>
        <v>No Badges</v>
      </c>
      <c r="J474" s="3">
        <f t="shared" si="5"/>
        <v>0</v>
      </c>
    </row>
    <row r="475">
      <c r="A475" s="1" t="s">
        <v>437</v>
      </c>
      <c r="B475" s="3" t="str">
        <f t="shared" si="1"/>
        <v>Unavailable</v>
      </c>
      <c r="C475" s="3">
        <v>352.0</v>
      </c>
      <c r="D475" s="3">
        <f>IFERROR(__xludf.DUMMYFUNCTION("IFERROR(
IF(REGEXMATCH(LOWER(O475),""k""),
VALUE(REGEXEXTRACT(O475,""[0-9]+""))*1000,
VALUE(REGEXEXTRACT(O475,""[0-9]+""))
),
0
)"),0.0)</f>
        <v>0</v>
      </c>
      <c r="E475" s="1" t="s">
        <v>11</v>
      </c>
      <c r="F475" s="1" t="s">
        <v>20</v>
      </c>
      <c r="G475" s="4" t="b">
        <f t="shared" si="2"/>
        <v>1</v>
      </c>
      <c r="H475" s="1" t="str">
        <f t="shared" si="3"/>
        <v>Currently Unavailable</v>
      </c>
      <c r="I475" s="1" t="str">
        <f t="shared" si="4"/>
        <v>No Badges</v>
      </c>
      <c r="J475" s="3">
        <f t="shared" si="5"/>
        <v>0</v>
      </c>
    </row>
    <row r="476">
      <c r="A476" s="1" t="s">
        <v>438</v>
      </c>
      <c r="B476" s="3" t="str">
        <f t="shared" si="1"/>
        <v>Unavailable</v>
      </c>
      <c r="C476" s="5">
        <v>36361.0</v>
      </c>
      <c r="D476" s="3">
        <f>IFERROR(__xludf.DUMMYFUNCTION("IFERROR(
IF(REGEXMATCH(LOWER(O476),""k""),
VALUE(REGEXEXTRACT(O476,""[0-9]+""))*1000,
VALUE(REGEXEXTRACT(O476,""[0-9]+""))
),
0
)"),0.0)</f>
        <v>0</v>
      </c>
      <c r="E476" s="1" t="s">
        <v>11</v>
      </c>
      <c r="F476" s="1" t="s">
        <v>20</v>
      </c>
      <c r="G476" s="4" t="b">
        <f t="shared" si="2"/>
        <v>1</v>
      </c>
      <c r="H476" s="1" t="str">
        <f t="shared" si="3"/>
        <v>Currently Unavailable</v>
      </c>
      <c r="I476" s="1" t="str">
        <f t="shared" si="4"/>
        <v>No Badges</v>
      </c>
      <c r="J476" s="3">
        <f t="shared" si="5"/>
        <v>0</v>
      </c>
    </row>
    <row r="477">
      <c r="A477" s="1" t="s">
        <v>439</v>
      </c>
      <c r="B477" s="3" t="str">
        <f t="shared" si="1"/>
        <v>Unavailable</v>
      </c>
      <c r="C477" s="3">
        <v>69.0</v>
      </c>
      <c r="D477" s="3">
        <f>IFERROR(__xludf.DUMMYFUNCTION("IFERROR(
IF(REGEXMATCH(LOWER(O477),""k""),
VALUE(REGEXEXTRACT(O477,""[0-9]+""))*1000,
VALUE(REGEXEXTRACT(O477,""[0-9]+""))
),
0
)"),0.0)</f>
        <v>0</v>
      </c>
      <c r="E477" s="1" t="s">
        <v>11</v>
      </c>
      <c r="F477" s="1" t="s">
        <v>20</v>
      </c>
      <c r="G477" s="4" t="b">
        <f t="shared" si="2"/>
        <v>1</v>
      </c>
      <c r="H477" s="1" t="str">
        <f t="shared" si="3"/>
        <v>Currently Unavailable</v>
      </c>
      <c r="I477" s="1" t="str">
        <f t="shared" si="4"/>
        <v>No Badges</v>
      </c>
      <c r="J477" s="3">
        <f t="shared" si="5"/>
        <v>0</v>
      </c>
    </row>
    <row r="478">
      <c r="A478" s="1" t="s">
        <v>440</v>
      </c>
      <c r="B478" s="3" t="str">
        <f t="shared" si="1"/>
        <v>Unavailable</v>
      </c>
      <c r="C478" s="3">
        <v>149.0</v>
      </c>
      <c r="D478" s="3">
        <f>IFERROR(__xludf.DUMMYFUNCTION("IFERROR(
IF(REGEXMATCH(LOWER(O478),""k""),
VALUE(REGEXEXTRACT(O478,""[0-9]+""))*1000,
VALUE(REGEXEXTRACT(O478,""[0-9]+""))
),
0
)"),0.0)</f>
        <v>0</v>
      </c>
      <c r="E478" s="1" t="s">
        <v>11</v>
      </c>
      <c r="F478" s="1" t="s">
        <v>20</v>
      </c>
      <c r="G478" s="4" t="b">
        <f t="shared" si="2"/>
        <v>1</v>
      </c>
      <c r="H478" s="1" t="str">
        <f t="shared" si="3"/>
        <v>Currently Unavailable</v>
      </c>
      <c r="I478" s="1" t="str">
        <f t="shared" si="4"/>
        <v>No Badges</v>
      </c>
      <c r="J478" s="3">
        <f t="shared" si="5"/>
        <v>0</v>
      </c>
    </row>
    <row r="479">
      <c r="A479" s="1" t="s">
        <v>441</v>
      </c>
      <c r="B479" s="3" t="str">
        <f t="shared" si="1"/>
        <v>Unavailable</v>
      </c>
      <c r="C479" s="3">
        <v>440.0</v>
      </c>
      <c r="D479" s="3">
        <f>IFERROR(__xludf.DUMMYFUNCTION("IFERROR(
IF(REGEXMATCH(LOWER(O479),""k""),
VALUE(REGEXEXTRACT(O479,""[0-9]+""))*1000,
VALUE(REGEXEXTRACT(O479,""[0-9]+""))
),
0
)"),0.0)</f>
        <v>0</v>
      </c>
      <c r="E479" s="1" t="s">
        <v>11</v>
      </c>
      <c r="F479" s="1" t="s">
        <v>20</v>
      </c>
      <c r="G479" s="4" t="b">
        <f t="shared" si="2"/>
        <v>1</v>
      </c>
      <c r="H479" s="1" t="str">
        <f t="shared" si="3"/>
        <v>Currently Unavailable</v>
      </c>
      <c r="I479" s="1" t="str">
        <f t="shared" si="4"/>
        <v>No Badges</v>
      </c>
      <c r="J479" s="3">
        <f t="shared" si="5"/>
        <v>0</v>
      </c>
    </row>
    <row r="480">
      <c r="A480" s="1" t="s">
        <v>442</v>
      </c>
      <c r="B480" s="3" t="str">
        <f t="shared" si="1"/>
        <v>Unavailable</v>
      </c>
      <c r="C480" s="5">
        <v>3343.0</v>
      </c>
      <c r="D480" s="3">
        <f>IFERROR(__xludf.DUMMYFUNCTION("IFERROR(
IF(REGEXMATCH(LOWER(O480),""k""),
VALUE(REGEXEXTRACT(O480,""[0-9]+""))*1000,
VALUE(REGEXEXTRACT(O480,""[0-9]+""))
),
0
)"),0.0)</f>
        <v>0</v>
      </c>
      <c r="E480" s="1" t="s">
        <v>11</v>
      </c>
      <c r="F480" s="1" t="s">
        <v>20</v>
      </c>
      <c r="G480" s="4" t="b">
        <f t="shared" si="2"/>
        <v>1</v>
      </c>
      <c r="H480" s="1" t="str">
        <f t="shared" si="3"/>
        <v>Currently Unavailable</v>
      </c>
      <c r="I480" s="1" t="str">
        <f t="shared" si="4"/>
        <v>No Badges</v>
      </c>
      <c r="J480" s="3">
        <f t="shared" si="5"/>
        <v>0</v>
      </c>
    </row>
    <row r="481">
      <c r="A481" s="1" t="s">
        <v>443</v>
      </c>
      <c r="B481" s="3" t="str">
        <f t="shared" si="1"/>
        <v>Unavailable</v>
      </c>
      <c r="C481" s="3">
        <v>586.0</v>
      </c>
      <c r="D481" s="3">
        <f>IFERROR(__xludf.DUMMYFUNCTION("IFERROR(
IF(REGEXMATCH(LOWER(O481),""k""),
VALUE(REGEXEXTRACT(O481,""[0-9]+""))*1000,
VALUE(REGEXEXTRACT(O481,""[0-9]+""))
),
0
)"),0.0)</f>
        <v>0</v>
      </c>
      <c r="E481" s="1" t="s">
        <v>11</v>
      </c>
      <c r="F481" s="1" t="s">
        <v>20</v>
      </c>
      <c r="G481" s="4" t="b">
        <f t="shared" si="2"/>
        <v>1</v>
      </c>
      <c r="H481" s="1" t="str">
        <f t="shared" si="3"/>
        <v>Currently Unavailable</v>
      </c>
      <c r="I481" s="1" t="str">
        <f t="shared" si="4"/>
        <v>No Badges</v>
      </c>
      <c r="J481" s="3">
        <f t="shared" si="5"/>
        <v>0</v>
      </c>
    </row>
    <row r="482">
      <c r="A482" s="1" t="s">
        <v>444</v>
      </c>
      <c r="B482" s="3" t="str">
        <f t="shared" si="1"/>
        <v>Unavailable</v>
      </c>
      <c r="C482" s="3">
        <v>575.0</v>
      </c>
      <c r="D482" s="3">
        <f>IFERROR(__xludf.DUMMYFUNCTION("IFERROR(
IF(REGEXMATCH(LOWER(O482),""k""),
VALUE(REGEXEXTRACT(O482,""[0-9]+""))*1000,
VALUE(REGEXEXTRACT(O482,""[0-9]+""))
),
0
)"),0.0)</f>
        <v>0</v>
      </c>
      <c r="E482" s="1" t="s">
        <v>11</v>
      </c>
      <c r="F482" s="1" t="s">
        <v>20</v>
      </c>
      <c r="G482" s="4" t="b">
        <f t="shared" si="2"/>
        <v>1</v>
      </c>
      <c r="H482" s="1" t="str">
        <f t="shared" si="3"/>
        <v>Currently Unavailable</v>
      </c>
      <c r="I482" s="1" t="str">
        <f t="shared" si="4"/>
        <v>No Badges</v>
      </c>
      <c r="J482" s="3">
        <f t="shared" si="5"/>
        <v>0</v>
      </c>
    </row>
    <row r="483">
      <c r="A483" s="1" t="s">
        <v>143</v>
      </c>
      <c r="B483" s="3" t="str">
        <f t="shared" si="1"/>
        <v>Unavailable</v>
      </c>
      <c r="C483" s="3">
        <v>63.0</v>
      </c>
      <c r="D483" s="3">
        <f>IFERROR(__xludf.DUMMYFUNCTION("IFERROR(
IF(REGEXMATCH(LOWER(O483),""k""),
VALUE(REGEXEXTRACT(O483,""[0-9]+""))*1000,
VALUE(REGEXEXTRACT(O483,""[0-9]+""))
),
0
)"),0.0)</f>
        <v>0</v>
      </c>
      <c r="E483" s="1" t="s">
        <v>11</v>
      </c>
      <c r="F483" s="1" t="s">
        <v>12</v>
      </c>
      <c r="G483" s="4" t="b">
        <f t="shared" si="2"/>
        <v>1</v>
      </c>
      <c r="H483" s="1" t="str">
        <f t="shared" si="3"/>
        <v>Currently Unavailable</v>
      </c>
      <c r="I483" s="1" t="str">
        <f t="shared" si="4"/>
        <v>No Badges</v>
      </c>
      <c r="J483" s="3">
        <f t="shared" si="5"/>
        <v>0</v>
      </c>
    </row>
    <row r="484">
      <c r="A484" s="1" t="s">
        <v>40</v>
      </c>
      <c r="B484" s="3" t="str">
        <f t="shared" si="1"/>
        <v>Unavailable</v>
      </c>
      <c r="C484" s="3">
        <v>171.0</v>
      </c>
      <c r="D484" s="3">
        <f>IFERROR(__xludf.DUMMYFUNCTION("IFERROR(
IF(REGEXMATCH(LOWER(O484),""k""),
VALUE(REGEXEXTRACT(O484,""[0-9]+""))*1000,
VALUE(REGEXEXTRACT(O484,""[0-9]+""))
),
0
)"),0.0)</f>
        <v>0</v>
      </c>
      <c r="E484" s="1" t="s">
        <v>11</v>
      </c>
      <c r="F484" s="1" t="s">
        <v>12</v>
      </c>
      <c r="G484" s="4" t="b">
        <f t="shared" si="2"/>
        <v>1</v>
      </c>
      <c r="H484" s="1" t="str">
        <f t="shared" si="3"/>
        <v>Currently Unavailable</v>
      </c>
      <c r="I484" s="1" t="str">
        <f t="shared" si="4"/>
        <v>No Badges</v>
      </c>
      <c r="J484" s="3">
        <f t="shared" si="5"/>
        <v>0</v>
      </c>
    </row>
    <row r="485">
      <c r="A485" s="1" t="s">
        <v>445</v>
      </c>
      <c r="B485" s="3" t="str">
        <f t="shared" si="1"/>
        <v>Unavailable</v>
      </c>
      <c r="C485" s="3">
        <v>12.0</v>
      </c>
      <c r="D485" s="3">
        <f>IFERROR(__xludf.DUMMYFUNCTION("IFERROR(
IF(REGEXMATCH(LOWER(O485),""k""),
VALUE(REGEXEXTRACT(O485,""[0-9]+""))*1000,
VALUE(REGEXEXTRACT(O485,""[0-9]+""))
),
0
)"),0.0)</f>
        <v>0</v>
      </c>
      <c r="E485" s="1" t="s">
        <v>11</v>
      </c>
      <c r="F485" s="1" t="s">
        <v>20</v>
      </c>
      <c r="G485" s="4" t="b">
        <f t="shared" si="2"/>
        <v>1</v>
      </c>
      <c r="H485" s="1" t="str">
        <f t="shared" si="3"/>
        <v>Currently Unavailable</v>
      </c>
      <c r="I485" s="1" t="str">
        <f t="shared" si="4"/>
        <v>No Badges</v>
      </c>
      <c r="J485" s="3">
        <f t="shared" si="5"/>
        <v>0</v>
      </c>
    </row>
    <row r="486">
      <c r="A486" s="1" t="s">
        <v>446</v>
      </c>
      <c r="B486" s="3" t="str">
        <f t="shared" si="1"/>
        <v>Unavailable</v>
      </c>
      <c r="C486" s="3">
        <v>488.0</v>
      </c>
      <c r="D486" s="3">
        <f>IFERROR(__xludf.DUMMYFUNCTION("IFERROR(
IF(REGEXMATCH(LOWER(O486),""k""),
VALUE(REGEXEXTRACT(O486,""[0-9]+""))*1000,
VALUE(REGEXEXTRACT(O486,""[0-9]+""))
),
0
)"),0.0)</f>
        <v>0</v>
      </c>
      <c r="E486" s="1" t="s">
        <v>11</v>
      </c>
      <c r="F486" s="1" t="s">
        <v>20</v>
      </c>
      <c r="G486" s="4" t="b">
        <f t="shared" si="2"/>
        <v>1</v>
      </c>
      <c r="H486" s="1" t="str">
        <f t="shared" si="3"/>
        <v>Currently Unavailable</v>
      </c>
      <c r="I486" s="1" t="str">
        <f t="shared" si="4"/>
        <v>No Badges</v>
      </c>
      <c r="J486" s="3">
        <f t="shared" si="5"/>
        <v>0</v>
      </c>
    </row>
    <row r="487">
      <c r="A487" s="1" t="s">
        <v>67</v>
      </c>
      <c r="B487" s="3" t="str">
        <f t="shared" si="1"/>
        <v>Unavailable</v>
      </c>
      <c r="C487" s="3">
        <v>264.0</v>
      </c>
      <c r="D487" s="3">
        <f>IFERROR(__xludf.DUMMYFUNCTION("IFERROR(
IF(REGEXMATCH(LOWER(O487),""k""),
VALUE(REGEXEXTRACT(O487,""[0-9]+""))*1000,
VALUE(REGEXEXTRACT(O487,""[0-9]+""))
),
0
)"),0.0)</f>
        <v>0</v>
      </c>
      <c r="E487" s="1" t="s">
        <v>11</v>
      </c>
      <c r="F487" s="1" t="s">
        <v>12</v>
      </c>
      <c r="G487" s="4" t="b">
        <f t="shared" si="2"/>
        <v>1</v>
      </c>
      <c r="H487" s="1" t="str">
        <f t="shared" si="3"/>
        <v>Currently Unavailable</v>
      </c>
      <c r="I487" s="1" t="str">
        <f t="shared" si="4"/>
        <v>No Badges</v>
      </c>
      <c r="J487" s="3">
        <f t="shared" si="5"/>
        <v>0</v>
      </c>
    </row>
    <row r="488">
      <c r="A488" s="1" t="s">
        <v>447</v>
      </c>
      <c r="B488" s="3" t="str">
        <f t="shared" si="1"/>
        <v>Unavailable</v>
      </c>
      <c r="C488" s="3">
        <v>29.0</v>
      </c>
      <c r="D488" s="3">
        <f>IFERROR(__xludf.DUMMYFUNCTION("IFERROR(
IF(REGEXMATCH(LOWER(O488),""k""),
VALUE(REGEXEXTRACT(O488,""[0-9]+""))*1000,
VALUE(REGEXEXTRACT(O488,""[0-9]+""))
),
0
)"),0.0)</f>
        <v>0</v>
      </c>
      <c r="E488" s="1" t="s">
        <v>11</v>
      </c>
      <c r="F488" s="1" t="s">
        <v>20</v>
      </c>
      <c r="G488" s="4" t="b">
        <f t="shared" si="2"/>
        <v>1</v>
      </c>
      <c r="H488" s="1" t="str">
        <f t="shared" si="3"/>
        <v>Currently Unavailable</v>
      </c>
      <c r="I488" s="1" t="str">
        <f t="shared" si="4"/>
        <v>No Badges</v>
      </c>
      <c r="J488" s="3">
        <f t="shared" si="5"/>
        <v>0</v>
      </c>
    </row>
    <row r="489">
      <c r="A489" s="1" t="s">
        <v>448</v>
      </c>
      <c r="B489" s="3" t="str">
        <f t="shared" si="1"/>
        <v>Unavailable</v>
      </c>
      <c r="C489" s="3">
        <v>116.0</v>
      </c>
      <c r="D489" s="3">
        <f>IFERROR(__xludf.DUMMYFUNCTION("IFERROR(
IF(REGEXMATCH(LOWER(O489),""k""),
VALUE(REGEXEXTRACT(O489,""[0-9]+""))*1000,
VALUE(REGEXEXTRACT(O489,""[0-9]+""))
),
0
)"),0.0)</f>
        <v>0</v>
      </c>
      <c r="E489" s="1" t="s">
        <v>11</v>
      </c>
      <c r="F489" s="1" t="s">
        <v>20</v>
      </c>
      <c r="G489" s="4" t="b">
        <f t="shared" si="2"/>
        <v>1</v>
      </c>
      <c r="H489" s="1" t="str">
        <f t="shared" si="3"/>
        <v>Currently Unavailable</v>
      </c>
      <c r="I489" s="1" t="str">
        <f t="shared" si="4"/>
        <v>No Badges</v>
      </c>
      <c r="J489" s="3">
        <f t="shared" si="5"/>
        <v>0</v>
      </c>
    </row>
    <row r="490">
      <c r="A490" s="1" t="s">
        <v>449</v>
      </c>
      <c r="B490" s="3" t="str">
        <f t="shared" si="1"/>
        <v>Unavailable</v>
      </c>
      <c r="C490" s="5">
        <v>1602.0</v>
      </c>
      <c r="D490" s="3">
        <f>IFERROR(__xludf.DUMMYFUNCTION("IFERROR(
IF(REGEXMATCH(LOWER(O490),""k""),
VALUE(REGEXEXTRACT(O490,""[0-9]+""))*1000,
VALUE(REGEXEXTRACT(O490,""[0-9]+""))
),
0
)"),0.0)</f>
        <v>0</v>
      </c>
      <c r="E490" s="1" t="s">
        <v>11</v>
      </c>
      <c r="F490" s="1" t="s">
        <v>20</v>
      </c>
      <c r="G490" s="4" t="b">
        <f t="shared" si="2"/>
        <v>1</v>
      </c>
      <c r="H490" s="1" t="str">
        <f t="shared" si="3"/>
        <v>Currently Unavailable</v>
      </c>
      <c r="I490" s="1" t="str">
        <f t="shared" si="4"/>
        <v>No Badges</v>
      </c>
      <c r="J490" s="3">
        <f t="shared" si="5"/>
        <v>0</v>
      </c>
    </row>
    <row r="491">
      <c r="A491" s="1" t="s">
        <v>450</v>
      </c>
      <c r="B491" s="3" t="str">
        <f t="shared" si="1"/>
        <v>Unavailable</v>
      </c>
      <c r="C491" s="3">
        <v>122.0</v>
      </c>
      <c r="D491" s="3">
        <f>IFERROR(__xludf.DUMMYFUNCTION("IFERROR(
IF(REGEXMATCH(LOWER(O491),""k""),
VALUE(REGEXEXTRACT(O491,""[0-9]+""))*1000,
VALUE(REGEXEXTRACT(O491,""[0-9]+""))
),
0
)"),0.0)</f>
        <v>0</v>
      </c>
      <c r="E491" s="1" t="s">
        <v>11</v>
      </c>
      <c r="F491" s="1" t="s">
        <v>20</v>
      </c>
      <c r="G491" s="4" t="b">
        <f t="shared" si="2"/>
        <v>1</v>
      </c>
      <c r="H491" s="1" t="str">
        <f t="shared" si="3"/>
        <v>Currently Unavailable</v>
      </c>
      <c r="I491" s="1" t="str">
        <f t="shared" si="4"/>
        <v>No Badges</v>
      </c>
      <c r="J491" s="3">
        <f t="shared" si="5"/>
        <v>0</v>
      </c>
    </row>
    <row r="492">
      <c r="A492" s="1" t="s">
        <v>451</v>
      </c>
      <c r="B492" s="3" t="str">
        <f t="shared" si="1"/>
        <v>Unavailable</v>
      </c>
      <c r="C492" s="5">
        <v>3422.0</v>
      </c>
      <c r="D492" s="3">
        <f>IFERROR(__xludf.DUMMYFUNCTION("IFERROR(
IF(REGEXMATCH(LOWER(O492),""k""),
VALUE(REGEXEXTRACT(O492,""[0-9]+""))*1000,
VALUE(REGEXEXTRACT(O492,""[0-9]+""))
),
0
)"),0.0)</f>
        <v>0</v>
      </c>
      <c r="E492" s="1" t="s">
        <v>11</v>
      </c>
      <c r="F492" s="1" t="s">
        <v>20</v>
      </c>
      <c r="G492" s="4" t="b">
        <f t="shared" si="2"/>
        <v>1</v>
      </c>
      <c r="H492" s="1" t="str">
        <f t="shared" si="3"/>
        <v>Currently Unavailable</v>
      </c>
      <c r="I492" s="1" t="str">
        <f t="shared" si="4"/>
        <v>No Badges</v>
      </c>
      <c r="J492" s="3">
        <f t="shared" si="5"/>
        <v>0</v>
      </c>
    </row>
    <row r="493">
      <c r="A493" s="1" t="s">
        <v>452</v>
      </c>
      <c r="B493" s="3" t="str">
        <f t="shared" si="1"/>
        <v>Unavailable</v>
      </c>
      <c r="C493" s="3">
        <v>53.0</v>
      </c>
      <c r="D493" s="3">
        <f>IFERROR(__xludf.DUMMYFUNCTION("IFERROR(
IF(REGEXMATCH(LOWER(O493),""k""),
VALUE(REGEXEXTRACT(O493,""[0-9]+""))*1000,
VALUE(REGEXEXTRACT(O493,""[0-9]+""))
),
0
)"),0.0)</f>
        <v>0</v>
      </c>
      <c r="E493" s="1" t="s">
        <v>11</v>
      </c>
      <c r="F493" s="1" t="s">
        <v>20</v>
      </c>
      <c r="G493" s="4" t="b">
        <f t="shared" si="2"/>
        <v>1</v>
      </c>
      <c r="H493" s="1" t="str">
        <f t="shared" si="3"/>
        <v>Currently Unavailable</v>
      </c>
      <c r="I493" s="1" t="str">
        <f t="shared" si="4"/>
        <v>No Badges</v>
      </c>
      <c r="J493" s="3">
        <f t="shared" si="5"/>
        <v>0</v>
      </c>
    </row>
    <row r="494">
      <c r="A494" s="1" t="s">
        <v>453</v>
      </c>
      <c r="B494" s="3" t="str">
        <f t="shared" si="1"/>
        <v>Unavailable</v>
      </c>
      <c r="C494" s="3">
        <v>59.0</v>
      </c>
      <c r="D494" s="3">
        <f>IFERROR(__xludf.DUMMYFUNCTION("IFERROR(
IF(REGEXMATCH(LOWER(O494),""k""),
VALUE(REGEXEXTRACT(O494,""[0-9]+""))*1000,
VALUE(REGEXEXTRACT(O494,""[0-9]+""))
),
0
)"),0.0)</f>
        <v>0</v>
      </c>
      <c r="E494" s="1" t="s">
        <v>11</v>
      </c>
      <c r="F494" s="1" t="s">
        <v>20</v>
      </c>
      <c r="G494" s="4" t="b">
        <f t="shared" si="2"/>
        <v>1</v>
      </c>
      <c r="H494" s="1" t="str">
        <f t="shared" si="3"/>
        <v>Currently Unavailable</v>
      </c>
      <c r="I494" s="1" t="str">
        <f t="shared" si="4"/>
        <v>No Badges</v>
      </c>
      <c r="J494" s="3">
        <f t="shared" si="5"/>
        <v>0</v>
      </c>
    </row>
    <row r="495">
      <c r="A495" s="1" t="s">
        <v>454</v>
      </c>
      <c r="B495" s="3" t="str">
        <f t="shared" si="1"/>
        <v>Unavailable</v>
      </c>
      <c r="C495" s="5">
        <v>2561.0</v>
      </c>
      <c r="D495" s="3">
        <f>IFERROR(__xludf.DUMMYFUNCTION("IFERROR(
IF(REGEXMATCH(LOWER(O495),""k""),
VALUE(REGEXEXTRACT(O495,""[0-9]+""))*1000,
VALUE(REGEXEXTRACT(O495,""[0-9]+""))
),
0
)"),0.0)</f>
        <v>0</v>
      </c>
      <c r="E495" s="1" t="s">
        <v>11</v>
      </c>
      <c r="F495" s="1" t="s">
        <v>20</v>
      </c>
      <c r="G495" s="4" t="b">
        <f t="shared" si="2"/>
        <v>1</v>
      </c>
      <c r="H495" s="1" t="str">
        <f t="shared" si="3"/>
        <v>Currently Unavailable</v>
      </c>
      <c r="I495" s="1" t="str">
        <f t="shared" si="4"/>
        <v>No Badges</v>
      </c>
      <c r="J495" s="3">
        <f t="shared" si="5"/>
        <v>0</v>
      </c>
    </row>
    <row r="496">
      <c r="A496" s="1" t="s">
        <v>455</v>
      </c>
      <c r="B496" s="3" t="str">
        <f t="shared" si="1"/>
        <v>Unavailable</v>
      </c>
      <c r="C496" s="5">
        <v>81098.0</v>
      </c>
      <c r="D496" s="3">
        <f>IFERROR(__xludf.DUMMYFUNCTION("IFERROR(
IF(REGEXMATCH(LOWER(O496),""k""),
VALUE(REGEXEXTRACT(O496,""[0-9]+""))*1000,
VALUE(REGEXEXTRACT(O496,""[0-9]+""))
),
0
)"),0.0)</f>
        <v>0</v>
      </c>
      <c r="E496" s="1" t="s">
        <v>158</v>
      </c>
      <c r="F496" s="1" t="s">
        <v>20</v>
      </c>
      <c r="G496" s="4" t="b">
        <f t="shared" si="2"/>
        <v>1</v>
      </c>
      <c r="H496" s="1" t="str">
        <f t="shared" si="3"/>
        <v>Currently Unavailable</v>
      </c>
      <c r="I496" s="1" t="str">
        <f t="shared" si="4"/>
        <v>No Badges</v>
      </c>
      <c r="J496" s="3">
        <f t="shared" si="5"/>
        <v>0</v>
      </c>
    </row>
    <row r="497">
      <c r="A497" s="1" t="s">
        <v>456</v>
      </c>
      <c r="B497" s="3" t="str">
        <f t="shared" si="1"/>
        <v>Unavailable</v>
      </c>
      <c r="C497" s="3">
        <v>778.0</v>
      </c>
      <c r="D497" s="3">
        <f>IFERROR(__xludf.DUMMYFUNCTION("IFERROR(
IF(REGEXMATCH(LOWER(O497),""k""),
VALUE(REGEXEXTRACT(O497,""[0-9]+""))*1000,
VALUE(REGEXEXTRACT(O497,""[0-9]+""))
),
0
)"),0.0)</f>
        <v>0</v>
      </c>
      <c r="E497" s="1" t="s">
        <v>11</v>
      </c>
      <c r="F497" s="1" t="s">
        <v>20</v>
      </c>
      <c r="G497" s="4" t="b">
        <f t="shared" si="2"/>
        <v>1</v>
      </c>
      <c r="H497" s="1" t="str">
        <f t="shared" si="3"/>
        <v>Currently Unavailable</v>
      </c>
      <c r="I497" s="1" t="str">
        <f t="shared" si="4"/>
        <v>No Badges</v>
      </c>
      <c r="J497" s="3">
        <f t="shared" si="5"/>
        <v>0</v>
      </c>
    </row>
    <row r="498">
      <c r="A498" s="1" t="s">
        <v>457</v>
      </c>
      <c r="B498" s="3" t="str">
        <f t="shared" si="1"/>
        <v>Unavailable</v>
      </c>
      <c r="C498" s="3">
        <v>87.0</v>
      </c>
      <c r="D498" s="3">
        <f>IFERROR(__xludf.DUMMYFUNCTION("IFERROR(
IF(REGEXMATCH(LOWER(O498),""k""),
VALUE(REGEXEXTRACT(O498,""[0-9]+""))*1000,
VALUE(REGEXEXTRACT(O498,""[0-9]+""))
),
0
)"),0.0)</f>
        <v>0</v>
      </c>
      <c r="E498" s="1" t="s">
        <v>11</v>
      </c>
      <c r="F498" s="1" t="s">
        <v>20</v>
      </c>
      <c r="G498" s="4" t="b">
        <f t="shared" si="2"/>
        <v>1</v>
      </c>
      <c r="H498" s="1" t="str">
        <f t="shared" si="3"/>
        <v>Currently Unavailable</v>
      </c>
      <c r="I498" s="1" t="str">
        <f t="shared" si="4"/>
        <v>No Badges</v>
      </c>
      <c r="J498" s="3">
        <f t="shared" si="5"/>
        <v>0</v>
      </c>
    </row>
    <row r="499">
      <c r="A499" s="1" t="s">
        <v>458</v>
      </c>
      <c r="B499" s="3" t="str">
        <f t="shared" si="1"/>
        <v>Unavailable</v>
      </c>
      <c r="C499" s="3">
        <v>423.0</v>
      </c>
      <c r="D499" s="3">
        <f>IFERROR(__xludf.DUMMYFUNCTION("IFERROR(
IF(REGEXMATCH(LOWER(O499),""k""),
VALUE(REGEXEXTRACT(O499,""[0-9]+""))*1000,
VALUE(REGEXEXTRACT(O499,""[0-9]+""))
),
0
)"),0.0)</f>
        <v>0</v>
      </c>
      <c r="E499" s="1" t="s">
        <v>11</v>
      </c>
      <c r="F499" s="1" t="s">
        <v>20</v>
      </c>
      <c r="G499" s="4" t="b">
        <f t="shared" si="2"/>
        <v>1</v>
      </c>
      <c r="H499" s="1" t="str">
        <f t="shared" si="3"/>
        <v>Currently Unavailable</v>
      </c>
      <c r="I499" s="1" t="str">
        <f t="shared" si="4"/>
        <v>No Badges</v>
      </c>
      <c r="J499" s="3">
        <f t="shared" si="5"/>
        <v>0</v>
      </c>
    </row>
    <row r="500">
      <c r="A500" s="1" t="s">
        <v>459</v>
      </c>
      <c r="B500" s="3" t="str">
        <f t="shared" si="1"/>
        <v>Unavailable</v>
      </c>
      <c r="C500" s="3">
        <v>260.0</v>
      </c>
      <c r="D500" s="3">
        <f>IFERROR(__xludf.DUMMYFUNCTION("IFERROR(
IF(REGEXMATCH(LOWER(O500),""k""),
VALUE(REGEXEXTRACT(O500,""[0-9]+""))*1000,
VALUE(REGEXEXTRACT(O500,""[0-9]+""))
),
0
)"),0.0)</f>
        <v>0</v>
      </c>
      <c r="E500" s="1" t="s">
        <v>11</v>
      </c>
      <c r="F500" s="1" t="s">
        <v>20</v>
      </c>
      <c r="G500" s="4" t="b">
        <f t="shared" si="2"/>
        <v>1</v>
      </c>
      <c r="H500" s="1" t="str">
        <f t="shared" si="3"/>
        <v>Currently Unavailable</v>
      </c>
      <c r="I500" s="1" t="str">
        <f t="shared" si="4"/>
        <v>No Badges</v>
      </c>
      <c r="J500" s="3">
        <f t="shared" si="5"/>
        <v>0</v>
      </c>
    </row>
    <row r="501">
      <c r="A501" s="1" t="s">
        <v>69</v>
      </c>
      <c r="B501" s="3" t="str">
        <f t="shared" si="1"/>
        <v>Unavailable</v>
      </c>
      <c r="C501" s="3">
        <v>45.0</v>
      </c>
      <c r="D501" s="3">
        <f>IFERROR(__xludf.DUMMYFUNCTION("IFERROR(
IF(REGEXMATCH(LOWER(O501),""k""),
VALUE(REGEXEXTRACT(O501,""[0-9]+""))*1000,
VALUE(REGEXEXTRACT(O501,""[0-9]+""))
),
0
)"),0.0)</f>
        <v>0</v>
      </c>
      <c r="E501" s="1" t="s">
        <v>11</v>
      </c>
      <c r="F501" s="1" t="s">
        <v>12</v>
      </c>
      <c r="G501" s="4" t="b">
        <f t="shared" si="2"/>
        <v>1</v>
      </c>
      <c r="H501" s="1" t="str">
        <f t="shared" si="3"/>
        <v>Currently Unavailable</v>
      </c>
      <c r="I501" s="1" t="str">
        <f t="shared" si="4"/>
        <v>No Badges</v>
      </c>
      <c r="J501" s="3">
        <f t="shared" si="5"/>
        <v>0</v>
      </c>
    </row>
    <row r="502">
      <c r="A502" s="1" t="s">
        <v>460</v>
      </c>
      <c r="B502" s="3" t="str">
        <f t="shared" si="1"/>
        <v>Unavailable</v>
      </c>
      <c r="C502" s="3">
        <v>271.0</v>
      </c>
      <c r="D502" s="3">
        <f>IFERROR(__xludf.DUMMYFUNCTION("IFERROR(
IF(REGEXMATCH(LOWER(O502),""k""),
VALUE(REGEXEXTRACT(O502,""[0-9]+""))*1000,
VALUE(REGEXEXTRACT(O502,""[0-9]+""))
),
0
)"),0.0)</f>
        <v>0</v>
      </c>
      <c r="E502" s="1" t="s">
        <v>11</v>
      </c>
      <c r="F502" s="1" t="s">
        <v>20</v>
      </c>
      <c r="G502" s="4" t="b">
        <f t="shared" si="2"/>
        <v>1</v>
      </c>
      <c r="H502" s="1" t="str">
        <f t="shared" si="3"/>
        <v>Currently Unavailable</v>
      </c>
      <c r="I502" s="1" t="str">
        <f t="shared" si="4"/>
        <v>No Badges</v>
      </c>
      <c r="J502" s="3">
        <f t="shared" si="5"/>
        <v>0</v>
      </c>
    </row>
    <row r="503">
      <c r="A503" s="1" t="s">
        <v>461</v>
      </c>
      <c r="B503" s="3" t="str">
        <f t="shared" si="1"/>
        <v>Unavailable</v>
      </c>
      <c r="C503" s="3">
        <v>100.0</v>
      </c>
      <c r="D503" s="3">
        <f>IFERROR(__xludf.DUMMYFUNCTION("IFERROR(
IF(REGEXMATCH(LOWER(O503),""k""),
VALUE(REGEXEXTRACT(O503,""[0-9]+""))*1000,
VALUE(REGEXEXTRACT(O503,""[0-9]+""))
),
0
)"),0.0)</f>
        <v>0</v>
      </c>
      <c r="E503" s="1" t="s">
        <v>11</v>
      </c>
      <c r="F503" s="1" t="s">
        <v>20</v>
      </c>
      <c r="G503" s="4" t="b">
        <f t="shared" si="2"/>
        <v>1</v>
      </c>
      <c r="H503" s="1" t="str">
        <f t="shared" si="3"/>
        <v>Currently Unavailable</v>
      </c>
      <c r="I503" s="1" t="str">
        <f t="shared" si="4"/>
        <v>No Badges</v>
      </c>
      <c r="J503" s="3">
        <f t="shared" si="5"/>
        <v>0</v>
      </c>
    </row>
    <row r="504">
      <c r="A504" s="1" t="s">
        <v>462</v>
      </c>
      <c r="B504" s="3" t="str">
        <f t="shared" si="1"/>
        <v>Unavailable</v>
      </c>
      <c r="C504" s="5">
        <v>3992.0</v>
      </c>
      <c r="D504" s="3">
        <f>IFERROR(__xludf.DUMMYFUNCTION("IFERROR(
IF(REGEXMATCH(LOWER(O504),""k""),
VALUE(REGEXEXTRACT(O504,""[0-9]+""))*1000,
VALUE(REGEXEXTRACT(O504,""[0-9]+""))
),
0
)"),0.0)</f>
        <v>0</v>
      </c>
      <c r="E504" s="1" t="s">
        <v>11</v>
      </c>
      <c r="F504" s="1" t="s">
        <v>20</v>
      </c>
      <c r="G504" s="4" t="b">
        <f t="shared" si="2"/>
        <v>1</v>
      </c>
      <c r="H504" s="1" t="str">
        <f t="shared" si="3"/>
        <v>Currently Unavailable</v>
      </c>
      <c r="I504" s="1" t="str">
        <f t="shared" si="4"/>
        <v>No Badges</v>
      </c>
      <c r="J504" s="3">
        <f t="shared" si="5"/>
        <v>0</v>
      </c>
    </row>
    <row r="505">
      <c r="A505" s="1" t="s">
        <v>463</v>
      </c>
      <c r="B505" s="3" t="str">
        <f t="shared" si="1"/>
        <v>Unavailable</v>
      </c>
      <c r="C505" s="3">
        <v>38.0</v>
      </c>
      <c r="D505" s="3">
        <f>IFERROR(__xludf.DUMMYFUNCTION("IFERROR(
IF(REGEXMATCH(LOWER(O505),""k""),
VALUE(REGEXEXTRACT(O505,""[0-9]+""))*1000,
VALUE(REGEXEXTRACT(O505,""[0-9]+""))
),
0
)"),0.0)</f>
        <v>0</v>
      </c>
      <c r="E505" s="1" t="s">
        <v>11</v>
      </c>
      <c r="F505" s="1" t="s">
        <v>20</v>
      </c>
      <c r="G505" s="4" t="b">
        <f t="shared" si="2"/>
        <v>1</v>
      </c>
      <c r="H505" s="1" t="str">
        <f t="shared" si="3"/>
        <v>Currently Unavailable</v>
      </c>
      <c r="I505" s="1" t="str">
        <f t="shared" si="4"/>
        <v>No Badges</v>
      </c>
      <c r="J505" s="3">
        <f t="shared" si="5"/>
        <v>0</v>
      </c>
    </row>
    <row r="506">
      <c r="A506" s="1" t="s">
        <v>464</v>
      </c>
      <c r="B506" s="3" t="str">
        <f t="shared" si="1"/>
        <v>Unavailable</v>
      </c>
      <c r="C506" s="3">
        <v>736.0</v>
      </c>
      <c r="D506" s="3">
        <f>IFERROR(__xludf.DUMMYFUNCTION("IFERROR(
IF(REGEXMATCH(LOWER(O506),""k""),
VALUE(REGEXEXTRACT(O506,""[0-9]+""))*1000,
VALUE(REGEXEXTRACT(O506,""[0-9]+""))
),
0
)"),0.0)</f>
        <v>0</v>
      </c>
      <c r="E506" s="1" t="s">
        <v>11</v>
      </c>
      <c r="F506" s="1" t="s">
        <v>20</v>
      </c>
      <c r="G506" s="4" t="b">
        <f t="shared" si="2"/>
        <v>1</v>
      </c>
      <c r="H506" s="1" t="str">
        <f t="shared" si="3"/>
        <v>Currently Unavailable</v>
      </c>
      <c r="I506" s="1" t="str">
        <f t="shared" si="4"/>
        <v>No Badges</v>
      </c>
      <c r="J506" s="3">
        <f t="shared" si="5"/>
        <v>0</v>
      </c>
    </row>
    <row r="507">
      <c r="A507" s="1" t="s">
        <v>465</v>
      </c>
      <c r="B507" s="3" t="str">
        <f t="shared" si="1"/>
        <v>Unavailable</v>
      </c>
      <c r="C507" s="5">
        <v>1277.0</v>
      </c>
      <c r="D507" s="3">
        <f>IFERROR(__xludf.DUMMYFUNCTION("IFERROR(
IF(REGEXMATCH(LOWER(O507),""k""),
VALUE(REGEXEXTRACT(O507,""[0-9]+""))*1000,
VALUE(REGEXEXTRACT(O507,""[0-9]+""))
),
0
)"),0.0)</f>
        <v>0</v>
      </c>
      <c r="E507" s="1" t="s">
        <v>11</v>
      </c>
      <c r="F507" s="1" t="s">
        <v>20</v>
      </c>
      <c r="G507" s="4" t="b">
        <f t="shared" si="2"/>
        <v>1</v>
      </c>
      <c r="H507" s="1" t="str">
        <f t="shared" si="3"/>
        <v>Currently Unavailable</v>
      </c>
      <c r="I507" s="1" t="str">
        <f t="shared" si="4"/>
        <v>No Badges</v>
      </c>
      <c r="J507" s="3">
        <f t="shared" si="5"/>
        <v>0</v>
      </c>
    </row>
    <row r="508">
      <c r="A508" s="1" t="s">
        <v>466</v>
      </c>
      <c r="B508" s="3" t="str">
        <f t="shared" si="1"/>
        <v>Unavailable</v>
      </c>
      <c r="C508" s="3">
        <v>374.0</v>
      </c>
      <c r="D508" s="3">
        <f>IFERROR(__xludf.DUMMYFUNCTION("IFERROR(
IF(REGEXMATCH(LOWER(O508),""k""),
VALUE(REGEXEXTRACT(O508,""[0-9]+""))*1000,
VALUE(REGEXEXTRACT(O508,""[0-9]+""))
),
0
)"),0.0)</f>
        <v>0</v>
      </c>
      <c r="E508" s="1" t="s">
        <v>11</v>
      </c>
      <c r="F508" s="1" t="s">
        <v>20</v>
      </c>
      <c r="G508" s="4" t="b">
        <f t="shared" si="2"/>
        <v>1</v>
      </c>
      <c r="H508" s="1" t="str">
        <f t="shared" si="3"/>
        <v>Currently Unavailable</v>
      </c>
      <c r="I508" s="1" t="str">
        <f t="shared" si="4"/>
        <v>No Badges</v>
      </c>
      <c r="J508" s="3">
        <f t="shared" si="5"/>
        <v>0</v>
      </c>
    </row>
    <row r="509">
      <c r="A509" s="1" t="s">
        <v>467</v>
      </c>
      <c r="B509" s="3" t="str">
        <f t="shared" si="1"/>
        <v>Unavailable</v>
      </c>
      <c r="C509" s="3">
        <v>11.0</v>
      </c>
      <c r="D509" s="3">
        <f>IFERROR(__xludf.DUMMYFUNCTION("IFERROR(
IF(REGEXMATCH(LOWER(O509),""k""),
VALUE(REGEXEXTRACT(O509,""[0-9]+""))*1000,
VALUE(REGEXEXTRACT(O509,""[0-9]+""))
),
0
)"),0.0)</f>
        <v>0</v>
      </c>
      <c r="E509" s="1" t="s">
        <v>11</v>
      </c>
      <c r="F509" s="1" t="s">
        <v>20</v>
      </c>
      <c r="G509" s="4" t="b">
        <f t="shared" si="2"/>
        <v>1</v>
      </c>
      <c r="H509" s="1" t="str">
        <f t="shared" si="3"/>
        <v>Currently Unavailable</v>
      </c>
      <c r="I509" s="1" t="str">
        <f t="shared" si="4"/>
        <v>No Badges</v>
      </c>
      <c r="J509" s="3">
        <f t="shared" si="5"/>
        <v>0</v>
      </c>
    </row>
    <row r="510">
      <c r="A510" s="1" t="s">
        <v>468</v>
      </c>
      <c r="B510" s="3" t="str">
        <f t="shared" si="1"/>
        <v>Unavailable</v>
      </c>
      <c r="C510" s="3">
        <v>44.0</v>
      </c>
      <c r="D510" s="3">
        <f>IFERROR(__xludf.DUMMYFUNCTION("IFERROR(
IF(REGEXMATCH(LOWER(O510),""k""),
VALUE(REGEXEXTRACT(O510,""[0-9]+""))*1000,
VALUE(REGEXEXTRACT(O510,""[0-9]+""))
),
0
)"),0.0)</f>
        <v>0</v>
      </c>
      <c r="E510" s="1" t="s">
        <v>11</v>
      </c>
      <c r="F510" s="1" t="s">
        <v>20</v>
      </c>
      <c r="G510" s="4" t="b">
        <f t="shared" si="2"/>
        <v>1</v>
      </c>
      <c r="H510" s="1" t="str">
        <f t="shared" si="3"/>
        <v>Currently Unavailable</v>
      </c>
      <c r="I510" s="1" t="str">
        <f t="shared" si="4"/>
        <v>No Badges</v>
      </c>
      <c r="J510" s="3">
        <f t="shared" si="5"/>
        <v>0</v>
      </c>
    </row>
    <row r="511">
      <c r="A511" s="1" t="s">
        <v>469</v>
      </c>
      <c r="B511" s="3" t="str">
        <f t="shared" si="1"/>
        <v>Unavailable</v>
      </c>
      <c r="C511" s="3">
        <v>380.0</v>
      </c>
      <c r="D511" s="3">
        <f>IFERROR(__xludf.DUMMYFUNCTION("IFERROR(
IF(REGEXMATCH(LOWER(O511),""k""),
VALUE(REGEXEXTRACT(O511,""[0-9]+""))*1000,
VALUE(REGEXEXTRACT(O511,""[0-9]+""))
),
0
)"),0.0)</f>
        <v>0</v>
      </c>
      <c r="E511" s="1" t="s">
        <v>11</v>
      </c>
      <c r="F511" s="1" t="s">
        <v>20</v>
      </c>
      <c r="G511" s="4" t="b">
        <f t="shared" si="2"/>
        <v>1</v>
      </c>
      <c r="H511" s="1" t="str">
        <f t="shared" si="3"/>
        <v>Currently Unavailable</v>
      </c>
      <c r="I511" s="1" t="str">
        <f t="shared" si="4"/>
        <v>No Badges</v>
      </c>
      <c r="J511" s="3">
        <f t="shared" si="5"/>
        <v>0</v>
      </c>
    </row>
    <row r="512">
      <c r="A512" s="1" t="s">
        <v>470</v>
      </c>
      <c r="B512" s="3" t="str">
        <f t="shared" si="1"/>
        <v>Unavailable</v>
      </c>
      <c r="C512" s="3">
        <v>783.0</v>
      </c>
      <c r="D512" s="3">
        <f>IFERROR(__xludf.DUMMYFUNCTION("IFERROR(
IF(REGEXMATCH(LOWER(O512),""k""),
VALUE(REGEXEXTRACT(O512,""[0-9]+""))*1000,
VALUE(REGEXEXTRACT(O512,""[0-9]+""))
),
0
)"),0.0)</f>
        <v>0</v>
      </c>
      <c r="E512" s="1" t="s">
        <v>11</v>
      </c>
      <c r="F512" s="1" t="s">
        <v>20</v>
      </c>
      <c r="G512" s="4" t="b">
        <f t="shared" si="2"/>
        <v>1</v>
      </c>
      <c r="H512" s="1" t="str">
        <f t="shared" si="3"/>
        <v>Currently Unavailable</v>
      </c>
      <c r="I512" s="1" t="str">
        <f t="shared" si="4"/>
        <v>No Badges</v>
      </c>
      <c r="J512" s="3">
        <f t="shared" si="5"/>
        <v>0</v>
      </c>
    </row>
    <row r="513">
      <c r="A513" s="1" t="s">
        <v>471</v>
      </c>
      <c r="B513" s="3" t="str">
        <f t="shared" si="1"/>
        <v>Unavailable</v>
      </c>
      <c r="C513" s="3">
        <v>10.0</v>
      </c>
      <c r="D513" s="3">
        <f>IFERROR(__xludf.DUMMYFUNCTION("IFERROR(
IF(REGEXMATCH(LOWER(O513),""k""),
VALUE(REGEXEXTRACT(O513,""[0-9]+""))*1000,
VALUE(REGEXEXTRACT(O513,""[0-9]+""))
),
0
)"),0.0)</f>
        <v>0</v>
      </c>
      <c r="E513" s="1" t="s">
        <v>11</v>
      </c>
      <c r="F513" s="1" t="s">
        <v>20</v>
      </c>
      <c r="G513" s="4" t="b">
        <f t="shared" si="2"/>
        <v>1</v>
      </c>
      <c r="H513" s="1" t="str">
        <f t="shared" si="3"/>
        <v>Currently Unavailable</v>
      </c>
      <c r="I513" s="1" t="str">
        <f t="shared" si="4"/>
        <v>No Badges</v>
      </c>
      <c r="J513" s="3">
        <f t="shared" si="5"/>
        <v>0</v>
      </c>
    </row>
    <row r="514">
      <c r="A514" s="1" t="s">
        <v>472</v>
      </c>
      <c r="B514" s="3" t="str">
        <f t="shared" si="1"/>
        <v>Unavailable</v>
      </c>
      <c r="C514" s="3">
        <v>106.0</v>
      </c>
      <c r="D514" s="3">
        <f>IFERROR(__xludf.DUMMYFUNCTION("IFERROR(
IF(REGEXMATCH(LOWER(O514),""k""),
VALUE(REGEXEXTRACT(O514,""[0-9]+""))*1000,
VALUE(REGEXEXTRACT(O514,""[0-9]+""))
),
0
)"),0.0)</f>
        <v>0</v>
      </c>
      <c r="E514" s="1" t="s">
        <v>11</v>
      </c>
      <c r="F514" s="1" t="s">
        <v>20</v>
      </c>
      <c r="G514" s="4" t="b">
        <f t="shared" si="2"/>
        <v>1</v>
      </c>
      <c r="H514" s="1" t="str">
        <f t="shared" si="3"/>
        <v>Currently Unavailable</v>
      </c>
      <c r="I514" s="1" t="str">
        <f t="shared" si="4"/>
        <v>No Badges</v>
      </c>
      <c r="J514" s="3">
        <f t="shared" si="5"/>
        <v>0</v>
      </c>
    </row>
    <row r="515">
      <c r="A515" s="1" t="s">
        <v>40</v>
      </c>
      <c r="B515" s="3" t="str">
        <f t="shared" si="1"/>
        <v>Unavailable</v>
      </c>
      <c r="C515" s="3">
        <v>171.0</v>
      </c>
      <c r="D515" s="3">
        <f>IFERROR(__xludf.DUMMYFUNCTION("IFERROR(
IF(REGEXMATCH(LOWER(O515),""k""),
VALUE(REGEXEXTRACT(O515,""[0-9]+""))*1000,
VALUE(REGEXEXTRACT(O515,""[0-9]+""))
),
0
)"),0.0)</f>
        <v>0</v>
      </c>
      <c r="E515" s="1" t="s">
        <v>11</v>
      </c>
      <c r="F515" s="1" t="s">
        <v>12</v>
      </c>
      <c r="G515" s="4" t="b">
        <f t="shared" si="2"/>
        <v>1</v>
      </c>
      <c r="H515" s="1" t="str">
        <f t="shared" si="3"/>
        <v>Currently Unavailable</v>
      </c>
      <c r="I515" s="1" t="str">
        <f t="shared" si="4"/>
        <v>No Badges</v>
      </c>
      <c r="J515" s="3">
        <f t="shared" si="5"/>
        <v>0</v>
      </c>
    </row>
    <row r="516">
      <c r="A516" s="1" t="s">
        <v>88</v>
      </c>
      <c r="B516" s="3" t="str">
        <f t="shared" si="1"/>
        <v>Unavailable</v>
      </c>
      <c r="C516" s="3">
        <v>5.0</v>
      </c>
      <c r="D516" s="3">
        <f>IFERROR(__xludf.DUMMYFUNCTION("IFERROR(
IF(REGEXMATCH(LOWER(O516),""k""),
VALUE(REGEXEXTRACT(O516,""[0-9]+""))*1000,
VALUE(REGEXEXTRACT(O516,""[0-9]+""))
),
0
)"),0.0)</f>
        <v>0</v>
      </c>
      <c r="E516" s="1" t="s">
        <v>11</v>
      </c>
      <c r="F516" s="1" t="s">
        <v>12</v>
      </c>
      <c r="G516" s="4" t="b">
        <f t="shared" si="2"/>
        <v>1</v>
      </c>
      <c r="H516" s="1" t="str">
        <f t="shared" si="3"/>
        <v>Currently Unavailable</v>
      </c>
      <c r="I516" s="1" t="str">
        <f t="shared" si="4"/>
        <v>No Badges</v>
      </c>
      <c r="J516" s="3">
        <f t="shared" si="5"/>
        <v>0</v>
      </c>
    </row>
    <row r="517">
      <c r="A517" s="1" t="s">
        <v>473</v>
      </c>
      <c r="B517" s="3" t="str">
        <f t="shared" si="1"/>
        <v>Unavailable</v>
      </c>
      <c r="C517" s="3">
        <v>70.0</v>
      </c>
      <c r="D517" s="3">
        <f>IFERROR(__xludf.DUMMYFUNCTION("IFERROR(
IF(REGEXMATCH(LOWER(O517),""k""),
VALUE(REGEXEXTRACT(O517,""[0-9]+""))*1000,
VALUE(REGEXEXTRACT(O517,""[0-9]+""))
),
0
)"),0.0)</f>
        <v>0</v>
      </c>
      <c r="E517" s="1" t="s">
        <v>11</v>
      </c>
      <c r="F517" s="1" t="s">
        <v>20</v>
      </c>
      <c r="G517" s="4" t="b">
        <f t="shared" si="2"/>
        <v>1</v>
      </c>
      <c r="H517" s="1" t="str">
        <f t="shared" si="3"/>
        <v>Currently Unavailable</v>
      </c>
      <c r="I517" s="1" t="str">
        <f t="shared" si="4"/>
        <v>No Badges</v>
      </c>
      <c r="J517" s="3">
        <f t="shared" si="5"/>
        <v>0</v>
      </c>
    </row>
    <row r="518">
      <c r="A518" s="1" t="s">
        <v>67</v>
      </c>
      <c r="B518" s="3" t="str">
        <f t="shared" si="1"/>
        <v>Unavailable</v>
      </c>
      <c r="C518" s="3">
        <v>264.0</v>
      </c>
      <c r="D518" s="3">
        <f>IFERROR(__xludf.DUMMYFUNCTION("IFERROR(
IF(REGEXMATCH(LOWER(O518),""k""),
VALUE(REGEXEXTRACT(O518,""[0-9]+""))*1000,
VALUE(REGEXEXTRACT(O518,""[0-9]+""))
),
0
)"),0.0)</f>
        <v>0</v>
      </c>
      <c r="E518" s="1" t="s">
        <v>11</v>
      </c>
      <c r="F518" s="1" t="s">
        <v>12</v>
      </c>
      <c r="G518" s="4" t="b">
        <f t="shared" si="2"/>
        <v>1</v>
      </c>
      <c r="H518" s="1" t="str">
        <f t="shared" si="3"/>
        <v>Currently Unavailable</v>
      </c>
      <c r="I518" s="1" t="str">
        <f t="shared" si="4"/>
        <v>No Badges</v>
      </c>
      <c r="J518" s="3">
        <f t="shared" si="5"/>
        <v>0</v>
      </c>
    </row>
    <row r="519">
      <c r="A519" s="1" t="s">
        <v>474</v>
      </c>
      <c r="B519" s="3" t="str">
        <f t="shared" si="1"/>
        <v>Unavailable</v>
      </c>
      <c r="C519" s="3">
        <v>342.0</v>
      </c>
      <c r="D519" s="3">
        <f>IFERROR(__xludf.DUMMYFUNCTION("IFERROR(
IF(REGEXMATCH(LOWER(O519),""k""),
VALUE(REGEXEXTRACT(O519,""[0-9]+""))*1000,
VALUE(REGEXEXTRACT(O519,""[0-9]+""))
),
0
)"),0.0)</f>
        <v>0</v>
      </c>
      <c r="E519" s="1" t="s">
        <v>11</v>
      </c>
      <c r="F519" s="1" t="s">
        <v>20</v>
      </c>
      <c r="G519" s="4" t="b">
        <f t="shared" si="2"/>
        <v>1</v>
      </c>
      <c r="H519" s="1" t="str">
        <f t="shared" si="3"/>
        <v>Currently Unavailable</v>
      </c>
      <c r="I519" s="1" t="str">
        <f t="shared" si="4"/>
        <v>No Badges</v>
      </c>
      <c r="J519" s="3">
        <f t="shared" si="5"/>
        <v>0</v>
      </c>
    </row>
    <row r="520">
      <c r="A520" s="1" t="s">
        <v>40</v>
      </c>
      <c r="B520" s="3" t="str">
        <f t="shared" si="1"/>
        <v>Unavailable</v>
      </c>
      <c r="C520" s="3">
        <v>171.0</v>
      </c>
      <c r="D520" s="3">
        <f>IFERROR(__xludf.DUMMYFUNCTION("IFERROR(
IF(REGEXMATCH(LOWER(O520),""k""),
VALUE(REGEXEXTRACT(O520,""[0-9]+""))*1000,
VALUE(REGEXEXTRACT(O520,""[0-9]+""))
),
0
)"),0.0)</f>
        <v>0</v>
      </c>
      <c r="E520" s="1" t="s">
        <v>11</v>
      </c>
      <c r="F520" s="1" t="s">
        <v>12</v>
      </c>
      <c r="G520" s="4" t="b">
        <f t="shared" si="2"/>
        <v>1</v>
      </c>
      <c r="H520" s="1" t="str">
        <f t="shared" si="3"/>
        <v>Currently Unavailable</v>
      </c>
      <c r="I520" s="1" t="str">
        <f t="shared" si="4"/>
        <v>No Badges</v>
      </c>
      <c r="J520" s="3">
        <f t="shared" si="5"/>
        <v>0</v>
      </c>
    </row>
    <row r="521">
      <c r="A521" s="1" t="s">
        <v>475</v>
      </c>
      <c r="B521" s="3" t="str">
        <f t="shared" si="1"/>
        <v>Unavailable</v>
      </c>
      <c r="C521" s="3">
        <v>92.0</v>
      </c>
      <c r="D521" s="3">
        <f>IFERROR(__xludf.DUMMYFUNCTION("IFERROR(
IF(REGEXMATCH(LOWER(O521),""k""),
VALUE(REGEXEXTRACT(O521,""[0-9]+""))*1000,
VALUE(REGEXEXTRACT(O521,""[0-9]+""))
),
0
)"),0.0)</f>
        <v>0</v>
      </c>
      <c r="E521" s="1" t="s">
        <v>11</v>
      </c>
      <c r="F521" s="1" t="s">
        <v>20</v>
      </c>
      <c r="G521" s="4" t="b">
        <f t="shared" si="2"/>
        <v>1</v>
      </c>
      <c r="H521" s="1" t="str">
        <f t="shared" si="3"/>
        <v>Currently Unavailable</v>
      </c>
      <c r="I521" s="1" t="str">
        <f t="shared" si="4"/>
        <v>No Badges</v>
      </c>
      <c r="J521" s="3">
        <f t="shared" si="5"/>
        <v>0</v>
      </c>
    </row>
    <row r="522">
      <c r="A522" s="1" t="s">
        <v>476</v>
      </c>
      <c r="B522" s="3" t="str">
        <f t="shared" si="1"/>
        <v>Unavailable</v>
      </c>
      <c r="C522" s="3">
        <v>582.0</v>
      </c>
      <c r="D522" s="3">
        <f>IFERROR(__xludf.DUMMYFUNCTION("IFERROR(
IF(REGEXMATCH(LOWER(O522),""k""),
VALUE(REGEXEXTRACT(O522,""[0-9]+""))*1000,
VALUE(REGEXEXTRACT(O522,""[0-9]+""))
),
0
)"),0.0)</f>
        <v>0</v>
      </c>
      <c r="E522" s="1" t="s">
        <v>11</v>
      </c>
      <c r="F522" s="1" t="s">
        <v>20</v>
      </c>
      <c r="G522" s="4" t="b">
        <f t="shared" si="2"/>
        <v>1</v>
      </c>
      <c r="H522" s="1" t="str">
        <f t="shared" si="3"/>
        <v>Currently Unavailable</v>
      </c>
      <c r="I522" s="1" t="str">
        <f t="shared" si="4"/>
        <v>No Badges</v>
      </c>
      <c r="J522" s="3">
        <f t="shared" si="5"/>
        <v>0</v>
      </c>
    </row>
    <row r="523">
      <c r="A523" s="1" t="s">
        <v>82</v>
      </c>
      <c r="B523" s="3" t="str">
        <f t="shared" si="1"/>
        <v>Unavailable</v>
      </c>
      <c r="C523" s="3">
        <v>78.0</v>
      </c>
      <c r="D523" s="3">
        <f>IFERROR(__xludf.DUMMYFUNCTION("IFERROR(
IF(REGEXMATCH(LOWER(O523),""k""),
VALUE(REGEXEXTRACT(O523,""[0-9]+""))*1000,
VALUE(REGEXEXTRACT(O523,""[0-9]+""))
),
0
)"),0.0)</f>
        <v>0</v>
      </c>
      <c r="E523" s="1" t="s">
        <v>11</v>
      </c>
      <c r="F523" s="1" t="s">
        <v>20</v>
      </c>
      <c r="G523" s="4" t="b">
        <f t="shared" si="2"/>
        <v>1</v>
      </c>
      <c r="H523" s="1" t="str">
        <f t="shared" si="3"/>
        <v>Currently Unavailable</v>
      </c>
      <c r="I523" s="1" t="str">
        <f t="shared" si="4"/>
        <v>No Badges</v>
      </c>
      <c r="J523" s="3">
        <f t="shared" si="5"/>
        <v>0</v>
      </c>
    </row>
    <row r="524">
      <c r="A524" s="1" t="s">
        <v>477</v>
      </c>
      <c r="B524" s="3" t="str">
        <f t="shared" si="1"/>
        <v>Unavailable</v>
      </c>
      <c r="C524" s="5">
        <v>2415.0</v>
      </c>
      <c r="D524" s="3">
        <f>IFERROR(__xludf.DUMMYFUNCTION("IFERROR(
IF(REGEXMATCH(LOWER(O524),""k""),
VALUE(REGEXEXTRACT(O524,""[0-9]+""))*1000,
VALUE(REGEXEXTRACT(O524,""[0-9]+""))
),
0
)"),0.0)</f>
        <v>0</v>
      </c>
      <c r="E524" s="1" t="s">
        <v>11</v>
      </c>
      <c r="F524" s="1" t="s">
        <v>20</v>
      </c>
      <c r="G524" s="4" t="b">
        <f t="shared" si="2"/>
        <v>1</v>
      </c>
      <c r="H524" s="1" t="str">
        <f t="shared" si="3"/>
        <v>Currently Unavailable</v>
      </c>
      <c r="I524" s="1" t="str">
        <f t="shared" si="4"/>
        <v>No Badges</v>
      </c>
      <c r="J524" s="3">
        <f t="shared" si="5"/>
        <v>0</v>
      </c>
    </row>
    <row r="525">
      <c r="A525" s="1" t="s">
        <v>478</v>
      </c>
      <c r="B525" s="3" t="str">
        <f t="shared" si="1"/>
        <v>Unavailable</v>
      </c>
      <c r="C525" s="3">
        <v>949.0</v>
      </c>
      <c r="D525" s="3">
        <f>IFERROR(__xludf.DUMMYFUNCTION("IFERROR(
IF(REGEXMATCH(LOWER(O525),""k""),
VALUE(REGEXEXTRACT(O525,""[0-9]+""))*1000,
VALUE(REGEXEXTRACT(O525,""[0-9]+""))
),
0
)"),0.0)</f>
        <v>0</v>
      </c>
      <c r="E525" s="1" t="s">
        <v>11</v>
      </c>
      <c r="F525" s="1" t="s">
        <v>20</v>
      </c>
      <c r="G525" s="4" t="b">
        <f t="shared" si="2"/>
        <v>1</v>
      </c>
      <c r="H525" s="1" t="str">
        <f t="shared" si="3"/>
        <v>Currently Unavailable</v>
      </c>
      <c r="I525" s="1" t="str">
        <f t="shared" si="4"/>
        <v>No Badges</v>
      </c>
      <c r="J525" s="3">
        <f t="shared" si="5"/>
        <v>0</v>
      </c>
    </row>
    <row r="526">
      <c r="A526" s="1" t="s">
        <v>479</v>
      </c>
      <c r="B526" s="3" t="str">
        <f t="shared" si="1"/>
        <v>Unavailable</v>
      </c>
      <c r="C526" s="3">
        <v>296.0</v>
      </c>
      <c r="D526" s="3">
        <f>IFERROR(__xludf.DUMMYFUNCTION("IFERROR(
IF(REGEXMATCH(LOWER(O526),""k""),
VALUE(REGEXEXTRACT(O526,""[0-9]+""))*1000,
VALUE(REGEXEXTRACT(O526,""[0-9]+""))
),
0
)"),0.0)</f>
        <v>0</v>
      </c>
      <c r="E526" s="1" t="s">
        <v>18</v>
      </c>
      <c r="F526" s="1" t="s">
        <v>20</v>
      </c>
      <c r="G526" s="4" t="b">
        <f t="shared" si="2"/>
        <v>1</v>
      </c>
      <c r="H526" s="1" t="str">
        <f t="shared" si="3"/>
        <v>Currently Unavailable</v>
      </c>
      <c r="I526" s="1" t="str">
        <f t="shared" si="4"/>
        <v>No Badges</v>
      </c>
      <c r="J526" s="3">
        <f t="shared" si="5"/>
        <v>0</v>
      </c>
    </row>
    <row r="527">
      <c r="A527" s="1" t="s">
        <v>480</v>
      </c>
      <c r="B527" s="3" t="str">
        <f t="shared" si="1"/>
        <v>Unavailable</v>
      </c>
      <c r="C527" s="5">
        <v>73561.0</v>
      </c>
      <c r="D527" s="3">
        <f>IFERROR(__xludf.DUMMYFUNCTION("IFERROR(
IF(REGEXMATCH(LOWER(O527),""k""),
VALUE(REGEXEXTRACT(O527,""[0-9]+""))*1000,
VALUE(REGEXEXTRACT(O527,""[0-9]+""))
),
0
)"),0.0)</f>
        <v>0</v>
      </c>
      <c r="E527" s="1" t="s">
        <v>11</v>
      </c>
      <c r="F527" s="1" t="s">
        <v>20</v>
      </c>
      <c r="G527" s="4" t="b">
        <f t="shared" si="2"/>
        <v>1</v>
      </c>
      <c r="H527" s="1" t="str">
        <f t="shared" si="3"/>
        <v>Currently Unavailable</v>
      </c>
      <c r="I527" s="1" t="str">
        <f t="shared" si="4"/>
        <v>No Badges</v>
      </c>
      <c r="J527" s="3">
        <f t="shared" si="5"/>
        <v>0</v>
      </c>
    </row>
    <row r="528">
      <c r="A528" s="1" t="s">
        <v>481</v>
      </c>
      <c r="B528" s="3" t="str">
        <f t="shared" si="1"/>
        <v>Unavailable</v>
      </c>
      <c r="C528" s="3">
        <v>148.0</v>
      </c>
      <c r="D528" s="3">
        <f>IFERROR(__xludf.DUMMYFUNCTION("IFERROR(
IF(REGEXMATCH(LOWER(O528),""k""),
VALUE(REGEXEXTRACT(O528,""[0-9]+""))*1000,
VALUE(REGEXEXTRACT(O528,""[0-9]+""))
),
0
)"),0.0)</f>
        <v>0</v>
      </c>
      <c r="E528" s="1" t="s">
        <v>11</v>
      </c>
      <c r="F528" s="1" t="s">
        <v>20</v>
      </c>
      <c r="G528" s="4" t="b">
        <f t="shared" si="2"/>
        <v>1</v>
      </c>
      <c r="H528" s="1" t="str">
        <f t="shared" si="3"/>
        <v>Currently Unavailable</v>
      </c>
      <c r="I528" s="1" t="str">
        <f t="shared" si="4"/>
        <v>No Badges</v>
      </c>
      <c r="J528" s="3">
        <f t="shared" si="5"/>
        <v>0</v>
      </c>
    </row>
    <row r="529">
      <c r="A529" s="1" t="s">
        <v>482</v>
      </c>
      <c r="B529" s="3" t="str">
        <f t="shared" si="1"/>
        <v>Unavailable</v>
      </c>
      <c r="C529" s="5">
        <v>6578.0</v>
      </c>
      <c r="D529" s="3">
        <f>IFERROR(__xludf.DUMMYFUNCTION("IFERROR(
IF(REGEXMATCH(LOWER(O529),""k""),
VALUE(REGEXEXTRACT(O529,""[0-9]+""))*1000,
VALUE(REGEXEXTRACT(O529,""[0-9]+""))
),
0
)"),0.0)</f>
        <v>0</v>
      </c>
      <c r="E529" s="1" t="s">
        <v>11</v>
      </c>
      <c r="F529" s="1" t="s">
        <v>20</v>
      </c>
      <c r="G529" s="4" t="b">
        <f t="shared" si="2"/>
        <v>1</v>
      </c>
      <c r="H529" s="1" t="str">
        <f t="shared" si="3"/>
        <v>Currently Unavailable</v>
      </c>
      <c r="I529" s="1" t="str">
        <f t="shared" si="4"/>
        <v>No Badges</v>
      </c>
      <c r="J529" s="3">
        <f t="shared" si="5"/>
        <v>0</v>
      </c>
    </row>
    <row r="530">
      <c r="A530" s="1" t="s">
        <v>483</v>
      </c>
      <c r="B530" s="3" t="str">
        <f t="shared" si="1"/>
        <v>Unavailable</v>
      </c>
      <c r="C530" s="3">
        <v>131.0</v>
      </c>
      <c r="D530" s="3">
        <f>IFERROR(__xludf.DUMMYFUNCTION("IFERROR(
IF(REGEXMATCH(LOWER(O530),""k""),
VALUE(REGEXEXTRACT(O530,""[0-9]+""))*1000,
VALUE(REGEXEXTRACT(O530,""[0-9]+""))
),
0
)"),0.0)</f>
        <v>0</v>
      </c>
      <c r="E530" s="1" t="s">
        <v>11</v>
      </c>
      <c r="F530" s="1" t="s">
        <v>20</v>
      </c>
      <c r="G530" s="4" t="b">
        <f t="shared" si="2"/>
        <v>1</v>
      </c>
      <c r="H530" s="1" t="str">
        <f t="shared" si="3"/>
        <v>Currently Unavailable</v>
      </c>
      <c r="I530" s="1" t="str">
        <f t="shared" si="4"/>
        <v>No Badges</v>
      </c>
      <c r="J530" s="3">
        <f t="shared" si="5"/>
        <v>0</v>
      </c>
    </row>
    <row r="531">
      <c r="A531" s="1" t="s">
        <v>484</v>
      </c>
      <c r="B531" s="3" t="str">
        <f t="shared" si="1"/>
        <v>Unavailable</v>
      </c>
      <c r="C531" s="3">
        <v>416.0</v>
      </c>
      <c r="D531" s="3">
        <f>IFERROR(__xludf.DUMMYFUNCTION("IFERROR(
IF(REGEXMATCH(LOWER(O531),""k""),
VALUE(REGEXEXTRACT(O531,""[0-9]+""))*1000,
VALUE(REGEXEXTRACT(O531,""[0-9]+""))
),
0
)"),0.0)</f>
        <v>0</v>
      </c>
      <c r="E531" s="1" t="s">
        <v>11</v>
      </c>
      <c r="F531" s="1" t="s">
        <v>20</v>
      </c>
      <c r="G531" s="4" t="b">
        <f t="shared" si="2"/>
        <v>1</v>
      </c>
      <c r="H531" s="1" t="str">
        <f t="shared" si="3"/>
        <v>Currently Unavailable</v>
      </c>
      <c r="I531" s="1" t="str">
        <f t="shared" si="4"/>
        <v>No Badges</v>
      </c>
      <c r="J531" s="3">
        <f t="shared" si="5"/>
        <v>0</v>
      </c>
    </row>
    <row r="532">
      <c r="A532" s="1" t="s">
        <v>485</v>
      </c>
      <c r="B532" s="3" t="str">
        <f t="shared" si="1"/>
        <v>Unavailable</v>
      </c>
      <c r="C532" s="5">
        <v>2244.0</v>
      </c>
      <c r="D532" s="3">
        <f>IFERROR(__xludf.DUMMYFUNCTION("IFERROR(
IF(REGEXMATCH(LOWER(O532),""k""),
VALUE(REGEXEXTRACT(O532,""[0-9]+""))*1000,
VALUE(REGEXEXTRACT(O532,""[0-9]+""))
),
0
)"),0.0)</f>
        <v>0</v>
      </c>
      <c r="E532" s="1" t="s">
        <v>11</v>
      </c>
      <c r="F532" s="1" t="s">
        <v>20</v>
      </c>
      <c r="G532" s="4" t="b">
        <f t="shared" si="2"/>
        <v>1</v>
      </c>
      <c r="H532" s="1" t="str">
        <f t="shared" si="3"/>
        <v>Currently Unavailable</v>
      </c>
      <c r="I532" s="1" t="str">
        <f t="shared" si="4"/>
        <v>No Badges</v>
      </c>
      <c r="J532" s="3">
        <f t="shared" si="5"/>
        <v>0</v>
      </c>
    </row>
    <row r="533">
      <c r="A533" s="1" t="s">
        <v>69</v>
      </c>
      <c r="B533" s="3" t="str">
        <f t="shared" si="1"/>
        <v>Unavailable</v>
      </c>
      <c r="C533" s="3">
        <v>45.0</v>
      </c>
      <c r="D533" s="3">
        <f>IFERROR(__xludf.DUMMYFUNCTION("IFERROR(
IF(REGEXMATCH(LOWER(O533),""k""),
VALUE(REGEXEXTRACT(O533,""[0-9]+""))*1000,
VALUE(REGEXEXTRACT(O533,""[0-9]+""))
),
0
)"),0.0)</f>
        <v>0</v>
      </c>
      <c r="E533" s="1" t="s">
        <v>11</v>
      </c>
      <c r="F533" s="1" t="s">
        <v>12</v>
      </c>
      <c r="G533" s="4" t="b">
        <f t="shared" si="2"/>
        <v>1</v>
      </c>
      <c r="H533" s="1" t="str">
        <f t="shared" si="3"/>
        <v>Currently Unavailable</v>
      </c>
      <c r="I533" s="1" t="str">
        <f t="shared" si="4"/>
        <v>No Badges</v>
      </c>
      <c r="J533" s="3">
        <f t="shared" si="5"/>
        <v>0</v>
      </c>
    </row>
    <row r="534">
      <c r="A534" s="1" t="s">
        <v>331</v>
      </c>
      <c r="B534" s="3" t="str">
        <f t="shared" si="1"/>
        <v>Unavailable</v>
      </c>
      <c r="C534" s="3">
        <v>9.0</v>
      </c>
      <c r="D534" s="3">
        <f>IFERROR(__xludf.DUMMYFUNCTION("IFERROR(
IF(REGEXMATCH(LOWER(O534),""k""),
VALUE(REGEXEXTRACT(O534,""[0-9]+""))*1000,
VALUE(REGEXEXTRACT(O534,""[0-9]+""))
),
0
)"),0.0)</f>
        <v>0</v>
      </c>
      <c r="E534" s="1" t="s">
        <v>11</v>
      </c>
      <c r="F534" s="1" t="s">
        <v>12</v>
      </c>
      <c r="G534" s="4" t="b">
        <f t="shared" si="2"/>
        <v>1</v>
      </c>
      <c r="H534" s="1" t="str">
        <f t="shared" si="3"/>
        <v>Currently Unavailable</v>
      </c>
      <c r="I534" s="1" t="str">
        <f t="shared" si="4"/>
        <v>No Badges</v>
      </c>
      <c r="J534" s="3">
        <f t="shared" si="5"/>
        <v>0</v>
      </c>
    </row>
    <row r="535">
      <c r="A535" s="1" t="s">
        <v>486</v>
      </c>
      <c r="B535" s="3" t="str">
        <f t="shared" si="1"/>
        <v>Unavailable</v>
      </c>
      <c r="C535" s="3">
        <v>6.0</v>
      </c>
      <c r="D535" s="3">
        <f>IFERROR(__xludf.DUMMYFUNCTION("IFERROR(
IF(REGEXMATCH(LOWER(O535),""k""),
VALUE(REGEXEXTRACT(O535,""[0-9]+""))*1000,
VALUE(REGEXEXTRACT(O535,""[0-9]+""))
),
0
)"),0.0)</f>
        <v>0</v>
      </c>
      <c r="E535" s="1" t="s">
        <v>11</v>
      </c>
      <c r="F535" s="1" t="s">
        <v>20</v>
      </c>
      <c r="G535" s="4" t="b">
        <f t="shared" si="2"/>
        <v>1</v>
      </c>
      <c r="H535" s="1" t="str">
        <f t="shared" si="3"/>
        <v>Currently Unavailable</v>
      </c>
      <c r="I535" s="1" t="str">
        <f t="shared" si="4"/>
        <v>No Badges</v>
      </c>
      <c r="J535" s="3">
        <f t="shared" si="5"/>
        <v>0</v>
      </c>
    </row>
    <row r="536">
      <c r="A536" s="1" t="s">
        <v>487</v>
      </c>
      <c r="B536" s="3" t="str">
        <f t="shared" si="1"/>
        <v>Unavailable</v>
      </c>
      <c r="C536" s="3">
        <v>64.0</v>
      </c>
      <c r="D536" s="3">
        <f>IFERROR(__xludf.DUMMYFUNCTION("IFERROR(
IF(REGEXMATCH(LOWER(O536),""k""),
VALUE(REGEXEXTRACT(O536,""[0-9]+""))*1000,
VALUE(REGEXEXTRACT(O536,""[0-9]+""))
),
0
)"),0.0)</f>
        <v>0</v>
      </c>
      <c r="E536" s="1" t="s">
        <v>11</v>
      </c>
      <c r="F536" s="1" t="s">
        <v>20</v>
      </c>
      <c r="G536" s="4" t="b">
        <f t="shared" si="2"/>
        <v>1</v>
      </c>
      <c r="H536" s="1" t="str">
        <f t="shared" si="3"/>
        <v>Currently Unavailable</v>
      </c>
      <c r="I536" s="1" t="str">
        <f t="shared" si="4"/>
        <v>No Badges</v>
      </c>
      <c r="J536" s="3">
        <f t="shared" si="5"/>
        <v>0</v>
      </c>
    </row>
    <row r="537">
      <c r="A537" s="1" t="s">
        <v>488</v>
      </c>
      <c r="B537" s="3" t="str">
        <f t="shared" si="1"/>
        <v>Unavailable</v>
      </c>
      <c r="C537" s="3">
        <v>101.0</v>
      </c>
      <c r="D537" s="3">
        <f>IFERROR(__xludf.DUMMYFUNCTION("IFERROR(
IF(REGEXMATCH(LOWER(O537),""k""),
VALUE(REGEXEXTRACT(O537,""[0-9]+""))*1000,
VALUE(REGEXEXTRACT(O537,""[0-9]+""))
),
0
)"),0.0)</f>
        <v>0</v>
      </c>
      <c r="E537" s="1" t="s">
        <v>11</v>
      </c>
      <c r="F537" s="1" t="s">
        <v>20</v>
      </c>
      <c r="G537" s="4" t="b">
        <f t="shared" si="2"/>
        <v>1</v>
      </c>
      <c r="H537" s="1" t="str">
        <f t="shared" si="3"/>
        <v>Currently Unavailable</v>
      </c>
      <c r="I537" s="1" t="str">
        <f t="shared" si="4"/>
        <v>No Badges</v>
      </c>
      <c r="J537" s="3">
        <f t="shared" si="5"/>
        <v>0</v>
      </c>
    </row>
    <row r="538">
      <c r="A538" s="1" t="s">
        <v>489</v>
      </c>
      <c r="B538" s="3" t="str">
        <f t="shared" si="1"/>
        <v>Unavailable</v>
      </c>
      <c r="C538" s="5">
        <v>1586.0</v>
      </c>
      <c r="D538" s="3">
        <f>IFERROR(__xludf.DUMMYFUNCTION("IFERROR(
IF(REGEXMATCH(LOWER(O538),""k""),
VALUE(REGEXEXTRACT(O538,""[0-9]+""))*1000,
VALUE(REGEXEXTRACT(O538,""[0-9]+""))
),
0
)"),0.0)</f>
        <v>0</v>
      </c>
      <c r="E538" s="1" t="s">
        <v>11</v>
      </c>
      <c r="F538" s="1" t="s">
        <v>20</v>
      </c>
      <c r="G538" s="4" t="b">
        <f t="shared" si="2"/>
        <v>1</v>
      </c>
      <c r="H538" s="1" t="str">
        <f t="shared" si="3"/>
        <v>Currently Unavailable</v>
      </c>
      <c r="I538" s="1" t="str">
        <f t="shared" si="4"/>
        <v>No Badges</v>
      </c>
      <c r="J538" s="3">
        <f t="shared" si="5"/>
        <v>0</v>
      </c>
    </row>
    <row r="539">
      <c r="A539" s="1" t="s">
        <v>490</v>
      </c>
      <c r="B539" s="3" t="str">
        <f t="shared" si="1"/>
        <v>Unavailable</v>
      </c>
      <c r="C539" s="3">
        <v>56.0</v>
      </c>
      <c r="D539" s="3">
        <f>IFERROR(__xludf.DUMMYFUNCTION("IFERROR(
IF(REGEXMATCH(LOWER(O539),""k""),
VALUE(REGEXEXTRACT(O539,""[0-9]+""))*1000,
VALUE(REGEXEXTRACT(O539,""[0-9]+""))
),
0
)"),0.0)</f>
        <v>0</v>
      </c>
      <c r="E539" s="1" t="s">
        <v>11</v>
      </c>
      <c r="F539" s="1" t="s">
        <v>20</v>
      </c>
      <c r="G539" s="4" t="b">
        <f t="shared" si="2"/>
        <v>1</v>
      </c>
      <c r="H539" s="1" t="str">
        <f t="shared" si="3"/>
        <v>Currently Unavailable</v>
      </c>
      <c r="I539" s="1" t="str">
        <f t="shared" si="4"/>
        <v>No Badges</v>
      </c>
      <c r="J539" s="3">
        <f t="shared" si="5"/>
        <v>0</v>
      </c>
    </row>
    <row r="540">
      <c r="A540" s="1" t="s">
        <v>491</v>
      </c>
      <c r="B540" s="3" t="str">
        <f t="shared" si="1"/>
        <v>Unavailable</v>
      </c>
      <c r="C540" s="3">
        <v>441.0</v>
      </c>
      <c r="D540" s="3">
        <f>IFERROR(__xludf.DUMMYFUNCTION("IFERROR(
IF(REGEXMATCH(LOWER(O540),""k""),
VALUE(REGEXEXTRACT(O540,""[0-9]+""))*1000,
VALUE(REGEXEXTRACT(O540,""[0-9]+""))
),
0
)"),0.0)</f>
        <v>0</v>
      </c>
      <c r="E540" s="1" t="s">
        <v>11</v>
      </c>
      <c r="F540" s="1" t="s">
        <v>20</v>
      </c>
      <c r="G540" s="4" t="b">
        <f t="shared" si="2"/>
        <v>1</v>
      </c>
      <c r="H540" s="1" t="str">
        <f t="shared" si="3"/>
        <v>Currently Unavailable</v>
      </c>
      <c r="I540" s="1" t="str">
        <f t="shared" si="4"/>
        <v>No Badges</v>
      </c>
      <c r="J540" s="3">
        <f t="shared" si="5"/>
        <v>0</v>
      </c>
    </row>
    <row r="541">
      <c r="A541" s="1" t="s">
        <v>492</v>
      </c>
      <c r="B541" s="3" t="str">
        <f t="shared" si="1"/>
        <v>Unavailable</v>
      </c>
      <c r="C541" s="5">
        <v>138711.0</v>
      </c>
      <c r="D541" s="3">
        <f>IFERROR(__xludf.DUMMYFUNCTION("IFERROR(
IF(REGEXMATCH(LOWER(O541),""k""),
VALUE(REGEXEXTRACT(O541,""[0-9]+""))*1000,
VALUE(REGEXEXTRACT(O541,""[0-9]+""))
),
0
)"),0.0)</f>
        <v>0</v>
      </c>
      <c r="E541" s="1" t="s">
        <v>158</v>
      </c>
      <c r="F541" s="1" t="s">
        <v>20</v>
      </c>
      <c r="G541" s="4" t="b">
        <f t="shared" si="2"/>
        <v>1</v>
      </c>
      <c r="H541" s="1" t="str">
        <f t="shared" si="3"/>
        <v>Currently Unavailable</v>
      </c>
      <c r="I541" s="1" t="str">
        <f t="shared" si="4"/>
        <v>No Badges</v>
      </c>
      <c r="J541" s="3">
        <f t="shared" si="5"/>
        <v>0</v>
      </c>
    </row>
    <row r="542">
      <c r="A542" s="1" t="s">
        <v>493</v>
      </c>
      <c r="B542" s="3" t="str">
        <f t="shared" si="1"/>
        <v>Unavailable</v>
      </c>
      <c r="C542" s="3">
        <v>513.0</v>
      </c>
      <c r="D542" s="3">
        <f>IFERROR(__xludf.DUMMYFUNCTION("IFERROR(
IF(REGEXMATCH(LOWER(O542),""k""),
VALUE(REGEXEXTRACT(O542,""[0-9]+""))*1000,
VALUE(REGEXEXTRACT(O542,""[0-9]+""))
),
0
)"),0.0)</f>
        <v>0</v>
      </c>
      <c r="E542" s="1" t="s">
        <v>11</v>
      </c>
      <c r="F542" s="1" t="s">
        <v>20</v>
      </c>
      <c r="G542" s="4" t="b">
        <f t="shared" si="2"/>
        <v>1</v>
      </c>
      <c r="H542" s="1" t="str">
        <f t="shared" si="3"/>
        <v>Currently Unavailable</v>
      </c>
      <c r="I542" s="1" t="str">
        <f t="shared" si="4"/>
        <v>No Badges</v>
      </c>
      <c r="J542" s="3">
        <f t="shared" si="5"/>
        <v>0</v>
      </c>
    </row>
    <row r="543">
      <c r="A543" s="1" t="s">
        <v>494</v>
      </c>
      <c r="B543" s="3" t="str">
        <f t="shared" si="1"/>
        <v>Unavailable</v>
      </c>
      <c r="C543" s="3">
        <v>247.0</v>
      </c>
      <c r="D543" s="3">
        <f>IFERROR(__xludf.DUMMYFUNCTION("IFERROR(
IF(REGEXMATCH(LOWER(O543),""k""),
VALUE(REGEXEXTRACT(O543,""[0-9]+""))*1000,
VALUE(REGEXEXTRACT(O543,""[0-9]+""))
),
0
)"),0.0)</f>
        <v>0</v>
      </c>
      <c r="E543" s="1" t="s">
        <v>11</v>
      </c>
      <c r="F543" s="1" t="s">
        <v>20</v>
      </c>
      <c r="G543" s="4" t="b">
        <f t="shared" si="2"/>
        <v>1</v>
      </c>
      <c r="H543" s="1" t="str">
        <f t="shared" si="3"/>
        <v>Currently Unavailable</v>
      </c>
      <c r="I543" s="1" t="str">
        <f t="shared" si="4"/>
        <v>No Badges</v>
      </c>
      <c r="J543" s="3">
        <f t="shared" si="5"/>
        <v>0</v>
      </c>
    </row>
    <row r="544">
      <c r="A544" s="1" t="s">
        <v>495</v>
      </c>
      <c r="B544" s="3" t="str">
        <f t="shared" si="1"/>
        <v>Unavailable</v>
      </c>
      <c r="C544" s="3">
        <v>778.0</v>
      </c>
      <c r="D544" s="3">
        <f>IFERROR(__xludf.DUMMYFUNCTION("IFERROR(
IF(REGEXMATCH(LOWER(O544),""k""),
VALUE(REGEXEXTRACT(O544,""[0-9]+""))*1000,
VALUE(REGEXEXTRACT(O544,""[0-9]+""))
),
0
)"),0.0)</f>
        <v>0</v>
      </c>
      <c r="E544" s="1" t="s">
        <v>11</v>
      </c>
      <c r="F544" s="1" t="s">
        <v>20</v>
      </c>
      <c r="G544" s="4" t="b">
        <f t="shared" si="2"/>
        <v>1</v>
      </c>
      <c r="H544" s="1" t="str">
        <f t="shared" si="3"/>
        <v>Currently Unavailable</v>
      </c>
      <c r="I544" s="1" t="str">
        <f t="shared" si="4"/>
        <v>No Badges</v>
      </c>
      <c r="J544" s="3">
        <f t="shared" si="5"/>
        <v>0</v>
      </c>
    </row>
    <row r="545">
      <c r="A545" s="1" t="s">
        <v>496</v>
      </c>
      <c r="B545" s="3" t="str">
        <f t="shared" si="1"/>
        <v>Unavailable</v>
      </c>
      <c r="C545" s="5">
        <v>3080.0</v>
      </c>
      <c r="D545" s="3">
        <f>IFERROR(__xludf.DUMMYFUNCTION("IFERROR(
IF(REGEXMATCH(LOWER(O545),""k""),
VALUE(REGEXEXTRACT(O545,""[0-9]+""))*1000,
VALUE(REGEXEXTRACT(O545,""[0-9]+""))
),
0
)"),0.0)</f>
        <v>0</v>
      </c>
      <c r="E545" s="1" t="s">
        <v>11</v>
      </c>
      <c r="F545" s="1" t="s">
        <v>20</v>
      </c>
      <c r="G545" s="4" t="b">
        <f t="shared" si="2"/>
        <v>1</v>
      </c>
      <c r="H545" s="1" t="str">
        <f t="shared" si="3"/>
        <v>Currently Unavailable</v>
      </c>
      <c r="I545" s="1" t="str">
        <f t="shared" si="4"/>
        <v>No Badges</v>
      </c>
      <c r="J545" s="3">
        <f t="shared" si="5"/>
        <v>0</v>
      </c>
    </row>
    <row r="546">
      <c r="A546" s="1" t="s">
        <v>497</v>
      </c>
      <c r="B546" s="3" t="str">
        <f t="shared" si="1"/>
        <v>Unavailable</v>
      </c>
      <c r="C546" s="3">
        <v>111.0</v>
      </c>
      <c r="D546" s="3">
        <f>IFERROR(__xludf.DUMMYFUNCTION("IFERROR(
IF(REGEXMATCH(LOWER(O546),""k""),
VALUE(REGEXEXTRACT(O546,""[0-9]+""))*1000,
VALUE(REGEXEXTRACT(O546,""[0-9]+""))
),
0
)"),0.0)</f>
        <v>0</v>
      </c>
      <c r="E546" s="1" t="s">
        <v>11</v>
      </c>
      <c r="F546" s="1" t="s">
        <v>20</v>
      </c>
      <c r="G546" s="4" t="b">
        <f t="shared" si="2"/>
        <v>1</v>
      </c>
      <c r="H546" s="1" t="str">
        <f t="shared" si="3"/>
        <v>Currently Unavailable</v>
      </c>
      <c r="I546" s="1" t="str">
        <f t="shared" si="4"/>
        <v>No Badges</v>
      </c>
      <c r="J546" s="3">
        <f t="shared" si="5"/>
        <v>0</v>
      </c>
    </row>
    <row r="547">
      <c r="A547" s="1" t="s">
        <v>498</v>
      </c>
      <c r="B547" s="3" t="str">
        <f t="shared" si="1"/>
        <v>Unavailable</v>
      </c>
      <c r="C547" s="3">
        <v>57.0</v>
      </c>
      <c r="D547" s="3">
        <f>IFERROR(__xludf.DUMMYFUNCTION("IFERROR(
IF(REGEXMATCH(LOWER(O547),""k""),
VALUE(REGEXEXTRACT(O547,""[0-9]+""))*1000,
VALUE(REGEXEXTRACT(O547,""[0-9]+""))
),
0
)"),0.0)</f>
        <v>0</v>
      </c>
      <c r="E547" s="1" t="s">
        <v>11</v>
      </c>
      <c r="F547" s="1" t="s">
        <v>20</v>
      </c>
      <c r="G547" s="4" t="b">
        <f t="shared" si="2"/>
        <v>1</v>
      </c>
      <c r="H547" s="1" t="str">
        <f t="shared" si="3"/>
        <v>Currently Unavailable</v>
      </c>
      <c r="I547" s="1" t="str">
        <f t="shared" si="4"/>
        <v>No Badges</v>
      </c>
      <c r="J547" s="3">
        <f t="shared" si="5"/>
        <v>0</v>
      </c>
    </row>
    <row r="548">
      <c r="A548" s="1" t="s">
        <v>499</v>
      </c>
      <c r="B548" s="3" t="str">
        <f t="shared" si="1"/>
        <v>Unavailable</v>
      </c>
      <c r="C548" s="3">
        <v>326.0</v>
      </c>
      <c r="D548" s="3">
        <f>IFERROR(__xludf.DUMMYFUNCTION("IFERROR(
IF(REGEXMATCH(LOWER(O548),""k""),
VALUE(REGEXEXTRACT(O548,""[0-9]+""))*1000,
VALUE(REGEXEXTRACT(O548,""[0-9]+""))
),
0
)"),0.0)</f>
        <v>0</v>
      </c>
      <c r="E548" s="1" t="s">
        <v>11</v>
      </c>
      <c r="F548" s="1" t="s">
        <v>20</v>
      </c>
      <c r="G548" s="4" t="b">
        <f t="shared" si="2"/>
        <v>1</v>
      </c>
      <c r="H548" s="1" t="str">
        <f t="shared" si="3"/>
        <v>Currently Unavailable</v>
      </c>
      <c r="I548" s="1" t="str">
        <f t="shared" si="4"/>
        <v>No Badges</v>
      </c>
      <c r="J548" s="3">
        <f t="shared" si="5"/>
        <v>0</v>
      </c>
    </row>
    <row r="549">
      <c r="A549" s="1" t="s">
        <v>143</v>
      </c>
      <c r="B549" s="3" t="str">
        <f t="shared" si="1"/>
        <v>Unavailable</v>
      </c>
      <c r="C549" s="3">
        <v>63.0</v>
      </c>
      <c r="D549" s="3">
        <f>IFERROR(__xludf.DUMMYFUNCTION("IFERROR(
IF(REGEXMATCH(LOWER(O549),""k""),
VALUE(REGEXEXTRACT(O549,""[0-9]+""))*1000,
VALUE(REGEXEXTRACT(O549,""[0-9]+""))
),
0
)"),0.0)</f>
        <v>0</v>
      </c>
      <c r="E549" s="1" t="s">
        <v>11</v>
      </c>
      <c r="F549" s="1" t="s">
        <v>12</v>
      </c>
      <c r="G549" s="4" t="b">
        <f t="shared" si="2"/>
        <v>1</v>
      </c>
      <c r="H549" s="1" t="str">
        <f t="shared" si="3"/>
        <v>Currently Unavailable</v>
      </c>
      <c r="I549" s="1" t="str">
        <f t="shared" si="4"/>
        <v>No Badges</v>
      </c>
      <c r="J549" s="3">
        <f t="shared" si="5"/>
        <v>0</v>
      </c>
    </row>
    <row r="550">
      <c r="A550" s="1" t="s">
        <v>500</v>
      </c>
      <c r="B550" s="3" t="str">
        <f t="shared" si="1"/>
        <v>Unavailable</v>
      </c>
      <c r="C550" s="3">
        <v>274.0</v>
      </c>
      <c r="D550" s="3">
        <f>IFERROR(__xludf.DUMMYFUNCTION("IFERROR(
IF(REGEXMATCH(LOWER(O550),""k""),
VALUE(REGEXEXTRACT(O550,""[0-9]+""))*1000,
VALUE(REGEXEXTRACT(O550,""[0-9]+""))
),
0
)"),0.0)</f>
        <v>0</v>
      </c>
      <c r="E550" s="1" t="s">
        <v>11</v>
      </c>
      <c r="F550" s="1" t="s">
        <v>20</v>
      </c>
      <c r="G550" s="4" t="b">
        <f t="shared" si="2"/>
        <v>1</v>
      </c>
      <c r="H550" s="1" t="str">
        <f t="shared" si="3"/>
        <v>Currently Unavailable</v>
      </c>
      <c r="I550" s="1" t="str">
        <f t="shared" si="4"/>
        <v>No Badges</v>
      </c>
      <c r="J550" s="3">
        <f t="shared" si="5"/>
        <v>0</v>
      </c>
    </row>
    <row r="551">
      <c r="A551" s="1" t="s">
        <v>67</v>
      </c>
      <c r="B551" s="3" t="str">
        <f t="shared" si="1"/>
        <v>Unavailable</v>
      </c>
      <c r="C551" s="3">
        <v>264.0</v>
      </c>
      <c r="D551" s="3">
        <f>IFERROR(__xludf.DUMMYFUNCTION("IFERROR(
IF(REGEXMATCH(LOWER(O551),""k""),
VALUE(REGEXEXTRACT(O551,""[0-9]+""))*1000,
VALUE(REGEXEXTRACT(O551,""[0-9]+""))
),
0
)"),0.0)</f>
        <v>0</v>
      </c>
      <c r="E551" s="1" t="s">
        <v>11</v>
      </c>
      <c r="F551" s="1" t="s">
        <v>12</v>
      </c>
      <c r="G551" s="4" t="b">
        <f t="shared" si="2"/>
        <v>1</v>
      </c>
      <c r="H551" s="1" t="str">
        <f t="shared" si="3"/>
        <v>Currently Unavailable</v>
      </c>
      <c r="I551" s="1" t="str">
        <f t="shared" si="4"/>
        <v>No Badges</v>
      </c>
      <c r="J551" s="3">
        <f t="shared" si="5"/>
        <v>0</v>
      </c>
    </row>
    <row r="552">
      <c r="A552" s="1" t="s">
        <v>501</v>
      </c>
      <c r="B552" s="3" t="str">
        <f t="shared" si="1"/>
        <v>Unavailable</v>
      </c>
      <c r="C552" s="5">
        <v>1024.0</v>
      </c>
      <c r="D552" s="3">
        <f>IFERROR(__xludf.DUMMYFUNCTION("IFERROR(
IF(REGEXMATCH(LOWER(O552),""k""),
VALUE(REGEXEXTRACT(O552,""[0-9]+""))*1000,
VALUE(REGEXEXTRACT(O552,""[0-9]+""))
),
0
)"),0.0)</f>
        <v>0</v>
      </c>
      <c r="E552" s="1" t="s">
        <v>11</v>
      </c>
      <c r="F552" s="1" t="s">
        <v>20</v>
      </c>
      <c r="G552" s="4" t="b">
        <f t="shared" si="2"/>
        <v>1</v>
      </c>
      <c r="H552" s="1" t="str">
        <f t="shared" si="3"/>
        <v>Currently Unavailable</v>
      </c>
      <c r="I552" s="1" t="str">
        <f t="shared" si="4"/>
        <v>No Badges</v>
      </c>
      <c r="J552" s="3">
        <f t="shared" si="5"/>
        <v>0</v>
      </c>
    </row>
    <row r="553">
      <c r="A553" s="1" t="s">
        <v>502</v>
      </c>
      <c r="B553" s="3" t="str">
        <f t="shared" si="1"/>
        <v>Unavailable</v>
      </c>
      <c r="C553" s="3">
        <v>9.0</v>
      </c>
      <c r="D553" s="3">
        <f>IFERROR(__xludf.DUMMYFUNCTION("IFERROR(
IF(REGEXMATCH(LOWER(O553),""k""),
VALUE(REGEXEXTRACT(O553,""[0-9]+""))*1000,
VALUE(REGEXEXTRACT(O553,""[0-9]+""))
),
0
)"),0.0)</f>
        <v>0</v>
      </c>
      <c r="E553" s="1" t="s">
        <v>11</v>
      </c>
      <c r="F553" s="1" t="s">
        <v>12</v>
      </c>
      <c r="G553" s="4" t="b">
        <f t="shared" si="2"/>
        <v>1</v>
      </c>
      <c r="H553" s="1" t="str">
        <f t="shared" si="3"/>
        <v>Currently Unavailable</v>
      </c>
      <c r="I553" s="1" t="str">
        <f t="shared" si="4"/>
        <v>No Badges</v>
      </c>
      <c r="J553" s="3">
        <f t="shared" si="5"/>
        <v>0</v>
      </c>
    </row>
    <row r="554">
      <c r="A554" s="1" t="s">
        <v>503</v>
      </c>
      <c r="B554" s="3" t="str">
        <f t="shared" si="1"/>
        <v>Unavailable</v>
      </c>
      <c r="C554" s="5">
        <v>15274.0</v>
      </c>
      <c r="D554" s="3">
        <f>IFERROR(__xludf.DUMMYFUNCTION("IFERROR(
IF(REGEXMATCH(LOWER(O554),""k""),
VALUE(REGEXEXTRACT(O554,""[0-9]+""))*1000,
VALUE(REGEXEXTRACT(O554,""[0-9]+""))
),
0
)"),0.0)</f>
        <v>0</v>
      </c>
      <c r="E554" s="1" t="s">
        <v>11</v>
      </c>
      <c r="F554" s="1" t="s">
        <v>20</v>
      </c>
      <c r="G554" s="4" t="b">
        <f t="shared" si="2"/>
        <v>1</v>
      </c>
      <c r="H554" s="1" t="str">
        <f t="shared" si="3"/>
        <v>Currently Unavailable</v>
      </c>
      <c r="I554" s="1" t="str">
        <f t="shared" si="4"/>
        <v>No Badges</v>
      </c>
      <c r="J554" s="3">
        <f t="shared" si="5"/>
        <v>0</v>
      </c>
    </row>
    <row r="555">
      <c r="A555" s="1" t="s">
        <v>504</v>
      </c>
      <c r="B555" s="3" t="str">
        <f t="shared" si="1"/>
        <v>Unavailable</v>
      </c>
      <c r="C555" s="5">
        <v>1522.0</v>
      </c>
      <c r="D555" s="3">
        <f>IFERROR(__xludf.DUMMYFUNCTION("IFERROR(
IF(REGEXMATCH(LOWER(O555),""k""),
VALUE(REGEXEXTRACT(O555,""[0-9]+""))*1000,
VALUE(REGEXEXTRACT(O555,""[0-9]+""))
),
0
)"),0.0)</f>
        <v>0</v>
      </c>
      <c r="E555" s="1" t="s">
        <v>11</v>
      </c>
      <c r="F555" s="1" t="s">
        <v>20</v>
      </c>
      <c r="G555" s="4" t="b">
        <f t="shared" si="2"/>
        <v>1</v>
      </c>
      <c r="H555" s="1" t="str">
        <f t="shared" si="3"/>
        <v>Currently Unavailable</v>
      </c>
      <c r="I555" s="1" t="str">
        <f t="shared" si="4"/>
        <v>No Badges</v>
      </c>
      <c r="J555" s="3">
        <f t="shared" si="5"/>
        <v>0</v>
      </c>
    </row>
    <row r="556">
      <c r="A556" s="1" t="s">
        <v>505</v>
      </c>
      <c r="B556" s="3" t="str">
        <f t="shared" si="1"/>
        <v>Unavailable</v>
      </c>
      <c r="C556" s="5">
        <v>2197.0</v>
      </c>
      <c r="D556" s="3">
        <f>IFERROR(__xludf.DUMMYFUNCTION("IFERROR(
IF(REGEXMATCH(LOWER(O556),""k""),
VALUE(REGEXEXTRACT(O556,""[0-9]+""))*1000,
VALUE(REGEXEXTRACT(O556,""[0-9]+""))
),
0
)"),0.0)</f>
        <v>0</v>
      </c>
      <c r="E556" s="1" t="s">
        <v>11</v>
      </c>
      <c r="F556" s="1" t="s">
        <v>20</v>
      </c>
      <c r="G556" s="4" t="b">
        <f t="shared" si="2"/>
        <v>1</v>
      </c>
      <c r="H556" s="1" t="str">
        <f t="shared" si="3"/>
        <v>Currently Unavailable</v>
      </c>
      <c r="I556" s="1" t="str">
        <f t="shared" si="4"/>
        <v>No Badges</v>
      </c>
      <c r="J556" s="3">
        <f t="shared" si="5"/>
        <v>0</v>
      </c>
    </row>
    <row r="557">
      <c r="A557" s="1" t="s">
        <v>506</v>
      </c>
      <c r="B557" s="3" t="str">
        <f t="shared" si="1"/>
        <v>Unavailable</v>
      </c>
      <c r="C557" s="3">
        <v>124.0</v>
      </c>
      <c r="D557" s="3">
        <f>IFERROR(__xludf.DUMMYFUNCTION("IFERROR(
IF(REGEXMATCH(LOWER(O557),""k""),
VALUE(REGEXEXTRACT(O557,""[0-9]+""))*1000,
VALUE(REGEXEXTRACT(O557,""[0-9]+""))
),
0
)"),0.0)</f>
        <v>0</v>
      </c>
      <c r="E557" s="1" t="s">
        <v>11</v>
      </c>
      <c r="F557" s="1" t="s">
        <v>20</v>
      </c>
      <c r="G557" s="4" t="b">
        <f t="shared" si="2"/>
        <v>1</v>
      </c>
      <c r="H557" s="1" t="str">
        <f t="shared" si="3"/>
        <v>Currently Unavailable</v>
      </c>
      <c r="I557" s="1" t="str">
        <f t="shared" si="4"/>
        <v>No Badges</v>
      </c>
      <c r="J557" s="3">
        <f t="shared" si="5"/>
        <v>0</v>
      </c>
    </row>
    <row r="558">
      <c r="A558" s="1" t="s">
        <v>507</v>
      </c>
      <c r="B558" s="3" t="str">
        <f t="shared" si="1"/>
        <v>Unavailable</v>
      </c>
      <c r="C558" s="3">
        <v>170.0</v>
      </c>
      <c r="D558" s="3">
        <f>IFERROR(__xludf.DUMMYFUNCTION("IFERROR(
IF(REGEXMATCH(LOWER(O558),""k""),
VALUE(REGEXEXTRACT(O558,""[0-9]+""))*1000,
VALUE(REGEXEXTRACT(O558,""[0-9]+""))
),
0
)"),0.0)</f>
        <v>0</v>
      </c>
      <c r="E558" s="1" t="s">
        <v>11</v>
      </c>
      <c r="F558" s="1" t="s">
        <v>20</v>
      </c>
      <c r="G558" s="4" t="b">
        <f t="shared" si="2"/>
        <v>1</v>
      </c>
      <c r="H558" s="1" t="str">
        <f t="shared" si="3"/>
        <v>Currently Unavailable</v>
      </c>
      <c r="I558" s="1" t="str">
        <f t="shared" si="4"/>
        <v>No Badges</v>
      </c>
      <c r="J558" s="3">
        <f t="shared" si="5"/>
        <v>0</v>
      </c>
    </row>
    <row r="559">
      <c r="A559" s="1" t="s">
        <v>508</v>
      </c>
      <c r="B559" s="3" t="str">
        <f t="shared" si="1"/>
        <v>Unavailable</v>
      </c>
      <c r="C559" s="3">
        <v>139.0</v>
      </c>
      <c r="D559" s="3">
        <f>IFERROR(__xludf.DUMMYFUNCTION("IFERROR(
IF(REGEXMATCH(LOWER(O559),""k""),
VALUE(REGEXEXTRACT(O559,""[0-9]+""))*1000,
VALUE(REGEXEXTRACT(O559,""[0-9]+""))
),
0
)"),0.0)</f>
        <v>0</v>
      </c>
      <c r="E559" s="1" t="s">
        <v>11</v>
      </c>
      <c r="F559" s="1" t="s">
        <v>20</v>
      </c>
      <c r="G559" s="4" t="b">
        <f t="shared" si="2"/>
        <v>1</v>
      </c>
      <c r="H559" s="1" t="str">
        <f t="shared" si="3"/>
        <v>Currently Unavailable</v>
      </c>
      <c r="I559" s="1" t="str">
        <f t="shared" si="4"/>
        <v>No Badges</v>
      </c>
      <c r="J559" s="3">
        <f t="shared" si="5"/>
        <v>0</v>
      </c>
    </row>
    <row r="560">
      <c r="A560" s="1" t="s">
        <v>509</v>
      </c>
      <c r="B560" s="3" t="str">
        <f t="shared" si="1"/>
        <v>Unavailable</v>
      </c>
      <c r="C560" s="3">
        <v>160.0</v>
      </c>
      <c r="D560" s="3">
        <f>IFERROR(__xludf.DUMMYFUNCTION("IFERROR(
IF(REGEXMATCH(LOWER(O560),""k""),
VALUE(REGEXEXTRACT(O560,""[0-9]+""))*1000,
VALUE(REGEXEXTRACT(O560,""[0-9]+""))
),
0
)"),0.0)</f>
        <v>0</v>
      </c>
      <c r="E560" s="1" t="s">
        <v>11</v>
      </c>
      <c r="F560" s="1" t="s">
        <v>20</v>
      </c>
      <c r="G560" s="4" t="b">
        <f t="shared" si="2"/>
        <v>1</v>
      </c>
      <c r="H560" s="1" t="str">
        <f t="shared" si="3"/>
        <v>Currently Unavailable</v>
      </c>
      <c r="I560" s="1" t="str">
        <f t="shared" si="4"/>
        <v>No Badges</v>
      </c>
      <c r="J560" s="3">
        <f t="shared" si="5"/>
        <v>0</v>
      </c>
    </row>
    <row r="561">
      <c r="A561" s="1" t="s">
        <v>510</v>
      </c>
      <c r="B561" s="3" t="str">
        <f t="shared" si="1"/>
        <v>Unavailable</v>
      </c>
      <c r="C561" s="3">
        <v>814.0</v>
      </c>
      <c r="D561" s="3">
        <f>IFERROR(__xludf.DUMMYFUNCTION("IFERROR(
IF(REGEXMATCH(LOWER(O561),""k""),
VALUE(REGEXEXTRACT(O561,""[0-9]+""))*1000,
VALUE(REGEXEXTRACT(O561,""[0-9]+""))
),
0
)"),0.0)</f>
        <v>0</v>
      </c>
      <c r="E561" s="1" t="s">
        <v>11</v>
      </c>
      <c r="F561" s="1" t="s">
        <v>20</v>
      </c>
      <c r="G561" s="4" t="b">
        <f t="shared" si="2"/>
        <v>1</v>
      </c>
      <c r="H561" s="1" t="str">
        <f t="shared" si="3"/>
        <v>Currently Unavailable</v>
      </c>
      <c r="I561" s="1" t="str">
        <f t="shared" si="4"/>
        <v>No Badges</v>
      </c>
      <c r="J561" s="3">
        <f t="shared" si="5"/>
        <v>0</v>
      </c>
    </row>
    <row r="562">
      <c r="A562" s="1" t="s">
        <v>511</v>
      </c>
      <c r="B562" s="3" t="str">
        <f t="shared" si="1"/>
        <v>Unavailable</v>
      </c>
      <c r="C562" s="3">
        <v>447.0</v>
      </c>
      <c r="D562" s="3">
        <f>IFERROR(__xludf.DUMMYFUNCTION("IFERROR(
IF(REGEXMATCH(LOWER(O562),""k""),
VALUE(REGEXEXTRACT(O562,""[0-9]+""))*1000,
VALUE(REGEXEXTRACT(O562,""[0-9]+""))
),
0
)"),0.0)</f>
        <v>0</v>
      </c>
      <c r="E562" s="1" t="s">
        <v>11</v>
      </c>
      <c r="F562" s="1" t="s">
        <v>20</v>
      </c>
      <c r="G562" s="4" t="b">
        <f t="shared" si="2"/>
        <v>1</v>
      </c>
      <c r="H562" s="1" t="str">
        <f t="shared" si="3"/>
        <v>Currently Unavailable</v>
      </c>
      <c r="I562" s="1" t="str">
        <f t="shared" si="4"/>
        <v>No Badges</v>
      </c>
      <c r="J562" s="3">
        <f t="shared" si="5"/>
        <v>0</v>
      </c>
    </row>
    <row r="563">
      <c r="A563" s="1" t="s">
        <v>512</v>
      </c>
      <c r="B563" s="3" t="str">
        <f t="shared" si="1"/>
        <v>Unavailable</v>
      </c>
      <c r="C563" s="5">
        <v>1310.0</v>
      </c>
      <c r="D563" s="3">
        <f>IFERROR(__xludf.DUMMYFUNCTION("IFERROR(
IF(REGEXMATCH(LOWER(O563),""k""),
VALUE(REGEXEXTRACT(O563,""[0-9]+""))*1000,
VALUE(REGEXEXTRACT(O563,""[0-9]+""))
),
0
)"),0.0)</f>
        <v>0</v>
      </c>
      <c r="E563" s="1" t="s">
        <v>11</v>
      </c>
      <c r="F563" s="1" t="s">
        <v>20</v>
      </c>
      <c r="G563" s="4" t="b">
        <f t="shared" si="2"/>
        <v>1</v>
      </c>
      <c r="H563" s="1" t="str">
        <f t="shared" si="3"/>
        <v>Currently Unavailable</v>
      </c>
      <c r="I563" s="1" t="str">
        <f t="shared" si="4"/>
        <v>No Badges</v>
      </c>
      <c r="J563" s="3">
        <f t="shared" si="5"/>
        <v>0</v>
      </c>
    </row>
    <row r="564">
      <c r="A564" s="1" t="s">
        <v>513</v>
      </c>
      <c r="B564" s="3" t="str">
        <f t="shared" si="1"/>
        <v>Unavailable</v>
      </c>
      <c r="C564" s="5">
        <v>8564.0</v>
      </c>
      <c r="D564" s="3">
        <f>IFERROR(__xludf.DUMMYFUNCTION("IFERROR(
IF(REGEXMATCH(LOWER(O564),""k""),
VALUE(REGEXEXTRACT(O564,""[0-9]+""))*1000,
VALUE(REGEXEXTRACT(O564,""[0-9]+""))
),
0
)"),0.0)</f>
        <v>0</v>
      </c>
      <c r="E564" s="1" t="s">
        <v>11</v>
      </c>
      <c r="F564" s="1" t="s">
        <v>20</v>
      </c>
      <c r="G564" s="4" t="b">
        <f t="shared" si="2"/>
        <v>1</v>
      </c>
      <c r="H564" s="1" t="str">
        <f t="shared" si="3"/>
        <v>Currently Unavailable</v>
      </c>
      <c r="I564" s="1" t="str">
        <f t="shared" si="4"/>
        <v>No Badges</v>
      </c>
      <c r="J564" s="3">
        <f t="shared" si="5"/>
        <v>0</v>
      </c>
    </row>
    <row r="565">
      <c r="A565" s="1" t="s">
        <v>514</v>
      </c>
      <c r="B565" s="3" t="str">
        <f t="shared" si="1"/>
        <v>Unavailable</v>
      </c>
      <c r="C565" s="3">
        <v>105.0</v>
      </c>
      <c r="D565" s="3">
        <f>IFERROR(__xludf.DUMMYFUNCTION("IFERROR(
IF(REGEXMATCH(LOWER(O565),""k""),
VALUE(REGEXEXTRACT(O565,""[0-9]+""))*1000,
VALUE(REGEXEXTRACT(O565,""[0-9]+""))
),
0
)"),0.0)</f>
        <v>0</v>
      </c>
      <c r="E565" s="1" t="s">
        <v>11</v>
      </c>
      <c r="F565" s="1" t="s">
        <v>20</v>
      </c>
      <c r="G565" s="4" t="b">
        <f t="shared" si="2"/>
        <v>1</v>
      </c>
      <c r="H565" s="1" t="str">
        <f t="shared" si="3"/>
        <v>Currently Unavailable</v>
      </c>
      <c r="I565" s="1" t="str">
        <f t="shared" si="4"/>
        <v>No Badges</v>
      </c>
      <c r="J565" s="3">
        <f t="shared" si="5"/>
        <v>0</v>
      </c>
    </row>
    <row r="566">
      <c r="A566" s="1" t="s">
        <v>402</v>
      </c>
      <c r="B566" s="3" t="str">
        <f t="shared" si="1"/>
        <v>Unavailable</v>
      </c>
      <c r="C566" s="3">
        <v>331.0</v>
      </c>
      <c r="D566" s="3">
        <f>IFERROR(__xludf.DUMMYFUNCTION("IFERROR(
IF(REGEXMATCH(LOWER(O566),""k""),
VALUE(REGEXEXTRACT(O566,""[0-9]+""))*1000,
VALUE(REGEXEXTRACT(O566,""[0-9]+""))
),
0
)"),0.0)</f>
        <v>0</v>
      </c>
      <c r="E566" s="1" t="s">
        <v>11</v>
      </c>
      <c r="F566" s="1" t="s">
        <v>20</v>
      </c>
      <c r="G566" s="4" t="b">
        <f t="shared" si="2"/>
        <v>1</v>
      </c>
      <c r="H566" s="1" t="str">
        <f t="shared" si="3"/>
        <v>Currently Unavailable</v>
      </c>
      <c r="I566" s="1" t="str">
        <f t="shared" si="4"/>
        <v>No Badges</v>
      </c>
      <c r="J566" s="3">
        <f t="shared" si="5"/>
        <v>0</v>
      </c>
    </row>
    <row r="567">
      <c r="A567" s="1" t="s">
        <v>515</v>
      </c>
      <c r="B567" s="3" t="str">
        <f t="shared" si="1"/>
        <v>Unavailable</v>
      </c>
      <c r="C567" s="3">
        <v>26.0</v>
      </c>
      <c r="D567" s="3">
        <f>IFERROR(__xludf.DUMMYFUNCTION("IFERROR(
IF(REGEXMATCH(LOWER(O567),""k""),
VALUE(REGEXEXTRACT(O567,""[0-9]+""))*1000,
VALUE(REGEXEXTRACT(O567,""[0-9]+""))
),
0
)"),0.0)</f>
        <v>0</v>
      </c>
      <c r="E567" s="1" t="s">
        <v>11</v>
      </c>
      <c r="F567" s="1" t="s">
        <v>20</v>
      </c>
      <c r="G567" s="4" t="b">
        <f t="shared" si="2"/>
        <v>1</v>
      </c>
      <c r="H567" s="1" t="str">
        <f t="shared" si="3"/>
        <v>Currently Unavailable</v>
      </c>
      <c r="I567" s="1" t="str">
        <f t="shared" si="4"/>
        <v>No Badges</v>
      </c>
      <c r="J567" s="3">
        <f t="shared" si="5"/>
        <v>0</v>
      </c>
    </row>
    <row r="568">
      <c r="A568" s="1" t="s">
        <v>69</v>
      </c>
      <c r="B568" s="3" t="str">
        <f t="shared" si="1"/>
        <v>Unavailable</v>
      </c>
      <c r="C568" s="3">
        <v>45.0</v>
      </c>
      <c r="D568" s="3">
        <f>IFERROR(__xludf.DUMMYFUNCTION("IFERROR(
IF(REGEXMATCH(LOWER(O568),""k""),
VALUE(REGEXEXTRACT(O568,""[0-9]+""))*1000,
VALUE(REGEXEXTRACT(O568,""[0-9]+""))
),
0
)"),0.0)</f>
        <v>0</v>
      </c>
      <c r="E568" s="1" t="s">
        <v>11</v>
      </c>
      <c r="F568" s="1" t="s">
        <v>12</v>
      </c>
      <c r="G568" s="4" t="b">
        <f t="shared" si="2"/>
        <v>1</v>
      </c>
      <c r="H568" s="1" t="str">
        <f t="shared" si="3"/>
        <v>Currently Unavailable</v>
      </c>
      <c r="I568" s="1" t="str">
        <f t="shared" si="4"/>
        <v>No Badges</v>
      </c>
      <c r="J568" s="3">
        <f t="shared" si="5"/>
        <v>0</v>
      </c>
    </row>
    <row r="569">
      <c r="A569" s="1" t="s">
        <v>516</v>
      </c>
      <c r="B569" s="3" t="str">
        <f t="shared" si="1"/>
        <v>Unavailable</v>
      </c>
      <c r="C569" s="3">
        <v>5.0</v>
      </c>
      <c r="D569" s="3">
        <f>IFERROR(__xludf.DUMMYFUNCTION("IFERROR(
IF(REGEXMATCH(LOWER(O569),""k""),
VALUE(REGEXEXTRACT(O569,""[0-9]+""))*1000,
VALUE(REGEXEXTRACT(O569,""[0-9]+""))
),
0
)"),0.0)</f>
        <v>0</v>
      </c>
      <c r="E569" s="1" t="s">
        <v>11</v>
      </c>
      <c r="F569" s="1" t="s">
        <v>20</v>
      </c>
      <c r="G569" s="4" t="b">
        <f t="shared" si="2"/>
        <v>1</v>
      </c>
      <c r="H569" s="1" t="str">
        <f t="shared" si="3"/>
        <v>Currently Unavailable</v>
      </c>
      <c r="I569" s="1" t="str">
        <f t="shared" si="4"/>
        <v>No Badges</v>
      </c>
      <c r="J569" s="3">
        <f t="shared" si="5"/>
        <v>0</v>
      </c>
    </row>
    <row r="570">
      <c r="A570" s="1" t="s">
        <v>517</v>
      </c>
      <c r="B570" s="3" t="str">
        <f t="shared" si="1"/>
        <v>Unavailable</v>
      </c>
      <c r="C570" s="3">
        <v>468.0</v>
      </c>
      <c r="D570" s="3">
        <f>IFERROR(__xludf.DUMMYFUNCTION("IFERROR(
IF(REGEXMATCH(LOWER(O570),""k""),
VALUE(REGEXEXTRACT(O570,""[0-9]+""))*1000,
VALUE(REGEXEXTRACT(O570,""[0-9]+""))
),
0
)"),0.0)</f>
        <v>0</v>
      </c>
      <c r="E570" s="1" t="s">
        <v>11</v>
      </c>
      <c r="F570" s="1" t="s">
        <v>20</v>
      </c>
      <c r="G570" s="4" t="b">
        <f t="shared" si="2"/>
        <v>1</v>
      </c>
      <c r="H570" s="1" t="str">
        <f t="shared" si="3"/>
        <v>Currently Unavailable</v>
      </c>
      <c r="I570" s="1" t="str">
        <f t="shared" si="4"/>
        <v>No Badges</v>
      </c>
      <c r="J570" s="3">
        <f t="shared" si="5"/>
        <v>0</v>
      </c>
    </row>
    <row r="571">
      <c r="A571" s="1" t="s">
        <v>518</v>
      </c>
      <c r="B571" s="3" t="str">
        <f t="shared" si="1"/>
        <v>Unavailable</v>
      </c>
      <c r="C571" s="5">
        <v>8671.0</v>
      </c>
      <c r="D571" s="3">
        <f>IFERROR(__xludf.DUMMYFUNCTION("IFERROR(
IF(REGEXMATCH(LOWER(O571),""k""),
VALUE(REGEXEXTRACT(O571,""[0-9]+""))*1000,
VALUE(REGEXEXTRACT(O571,""[0-9]+""))
),
0
)"),0.0)</f>
        <v>0</v>
      </c>
      <c r="E571" s="1" t="s">
        <v>11</v>
      </c>
      <c r="F571" s="1" t="s">
        <v>20</v>
      </c>
      <c r="G571" s="4" t="b">
        <f t="shared" si="2"/>
        <v>1</v>
      </c>
      <c r="H571" s="1" t="str">
        <f t="shared" si="3"/>
        <v>Currently Unavailable</v>
      </c>
      <c r="I571" s="1" t="str">
        <f t="shared" si="4"/>
        <v>No Badges</v>
      </c>
      <c r="J571" s="3">
        <f t="shared" si="5"/>
        <v>0</v>
      </c>
    </row>
    <row r="572">
      <c r="A572" s="1" t="s">
        <v>519</v>
      </c>
      <c r="B572" s="3" t="str">
        <f t="shared" si="1"/>
        <v>Unavailable</v>
      </c>
      <c r="C572" s="3">
        <v>81.0</v>
      </c>
      <c r="D572" s="3">
        <f>IFERROR(__xludf.DUMMYFUNCTION("IFERROR(
IF(REGEXMATCH(LOWER(O572),""k""),
VALUE(REGEXEXTRACT(O572,""[0-9]+""))*1000,
VALUE(REGEXEXTRACT(O572,""[0-9]+""))
),
0
)"),0.0)</f>
        <v>0</v>
      </c>
      <c r="E572" s="1" t="s">
        <v>11</v>
      </c>
      <c r="F572" s="1" t="s">
        <v>20</v>
      </c>
      <c r="G572" s="4" t="b">
        <f t="shared" si="2"/>
        <v>1</v>
      </c>
      <c r="H572" s="1" t="str">
        <f t="shared" si="3"/>
        <v>Currently Unavailable</v>
      </c>
      <c r="I572" s="1" t="str">
        <f t="shared" si="4"/>
        <v>No Badges</v>
      </c>
      <c r="J572" s="3">
        <f t="shared" si="5"/>
        <v>0</v>
      </c>
    </row>
    <row r="573">
      <c r="A573" s="1" t="s">
        <v>520</v>
      </c>
      <c r="B573" s="3" t="str">
        <f t="shared" si="1"/>
        <v>Unavailable</v>
      </c>
      <c r="C573" s="3">
        <v>666.0</v>
      </c>
      <c r="D573" s="3">
        <f>IFERROR(__xludf.DUMMYFUNCTION("IFERROR(
IF(REGEXMATCH(LOWER(O573),""k""),
VALUE(REGEXEXTRACT(O573,""[0-9]+""))*1000,
VALUE(REGEXEXTRACT(O573,""[0-9]+""))
),
0
)"),0.0)</f>
        <v>0</v>
      </c>
      <c r="E573" s="1" t="s">
        <v>11</v>
      </c>
      <c r="F573" s="1" t="s">
        <v>20</v>
      </c>
      <c r="G573" s="4" t="b">
        <f t="shared" si="2"/>
        <v>1</v>
      </c>
      <c r="H573" s="1" t="str">
        <f t="shared" si="3"/>
        <v>Currently Unavailable</v>
      </c>
      <c r="I573" s="1" t="str">
        <f t="shared" si="4"/>
        <v>No Badges</v>
      </c>
      <c r="J573" s="3">
        <f t="shared" si="5"/>
        <v>0</v>
      </c>
    </row>
    <row r="574">
      <c r="A574" s="1" t="s">
        <v>521</v>
      </c>
      <c r="B574" s="3" t="str">
        <f t="shared" si="1"/>
        <v>Unavailable</v>
      </c>
      <c r="C574" s="3">
        <v>187.0</v>
      </c>
      <c r="D574" s="3">
        <f>IFERROR(__xludf.DUMMYFUNCTION("IFERROR(
IF(REGEXMATCH(LOWER(O574),""k""),
VALUE(REGEXEXTRACT(O574,""[0-9]+""))*1000,
VALUE(REGEXEXTRACT(O574,""[0-9]+""))
),
0
)"),0.0)</f>
        <v>0</v>
      </c>
      <c r="E574" s="1" t="s">
        <v>11</v>
      </c>
      <c r="F574" s="1" t="s">
        <v>20</v>
      </c>
      <c r="G574" s="4" t="b">
        <f t="shared" si="2"/>
        <v>1</v>
      </c>
      <c r="H574" s="1" t="str">
        <f t="shared" si="3"/>
        <v>Currently Unavailable</v>
      </c>
      <c r="I574" s="1" t="str">
        <f t="shared" si="4"/>
        <v>No Badges</v>
      </c>
      <c r="J574" s="3">
        <f t="shared" si="5"/>
        <v>0</v>
      </c>
    </row>
    <row r="575">
      <c r="A575" s="1" t="s">
        <v>522</v>
      </c>
      <c r="B575" s="3" t="str">
        <f t="shared" si="1"/>
        <v>Unavailable</v>
      </c>
      <c r="C575" s="3">
        <v>195.0</v>
      </c>
      <c r="D575" s="3">
        <f>IFERROR(__xludf.DUMMYFUNCTION("IFERROR(
IF(REGEXMATCH(LOWER(O575),""k""),
VALUE(REGEXEXTRACT(O575,""[0-9]+""))*1000,
VALUE(REGEXEXTRACT(O575,""[0-9]+""))
),
0
)"),0.0)</f>
        <v>0</v>
      </c>
      <c r="E575" s="1" t="s">
        <v>11</v>
      </c>
      <c r="F575" s="1" t="s">
        <v>20</v>
      </c>
      <c r="G575" s="4" t="b">
        <f t="shared" si="2"/>
        <v>1</v>
      </c>
      <c r="H575" s="1" t="str">
        <f t="shared" si="3"/>
        <v>Currently Unavailable</v>
      </c>
      <c r="I575" s="1" t="str">
        <f t="shared" si="4"/>
        <v>No Badges</v>
      </c>
      <c r="J575" s="3">
        <f t="shared" si="5"/>
        <v>0</v>
      </c>
    </row>
    <row r="576">
      <c r="A576" s="1" t="s">
        <v>523</v>
      </c>
      <c r="B576" s="3" t="str">
        <f t="shared" si="1"/>
        <v>Unavailable</v>
      </c>
      <c r="C576" s="5">
        <v>1427.0</v>
      </c>
      <c r="D576" s="3">
        <f>IFERROR(__xludf.DUMMYFUNCTION("IFERROR(
IF(REGEXMATCH(LOWER(O576),""k""),
VALUE(REGEXEXTRACT(O576,""[0-9]+""))*1000,
VALUE(REGEXEXTRACT(O576,""[0-9]+""))
),
0
)"),0.0)</f>
        <v>0</v>
      </c>
      <c r="E576" s="1" t="s">
        <v>11</v>
      </c>
      <c r="F576" s="1" t="s">
        <v>20</v>
      </c>
      <c r="G576" s="4" t="b">
        <f t="shared" si="2"/>
        <v>1</v>
      </c>
      <c r="H576" s="1" t="str">
        <f t="shared" si="3"/>
        <v>Currently Unavailable</v>
      </c>
      <c r="I576" s="1" t="str">
        <f t="shared" si="4"/>
        <v>No Badges</v>
      </c>
      <c r="J576" s="3">
        <f t="shared" si="5"/>
        <v>0</v>
      </c>
    </row>
    <row r="577">
      <c r="A577" s="1" t="s">
        <v>524</v>
      </c>
      <c r="B577" s="3" t="str">
        <f t="shared" si="1"/>
        <v>Unavailable</v>
      </c>
      <c r="C577" s="3">
        <v>603.0</v>
      </c>
      <c r="D577" s="3">
        <f>IFERROR(__xludf.DUMMYFUNCTION("IFERROR(
IF(REGEXMATCH(LOWER(O577),""k""),
VALUE(REGEXEXTRACT(O577,""[0-9]+""))*1000,
VALUE(REGEXEXTRACT(O577,""[0-9]+""))
),
0
)"),0.0)</f>
        <v>0</v>
      </c>
      <c r="E577" s="1" t="s">
        <v>11</v>
      </c>
      <c r="F577" s="1" t="s">
        <v>20</v>
      </c>
      <c r="G577" s="4" t="b">
        <f t="shared" si="2"/>
        <v>1</v>
      </c>
      <c r="H577" s="1" t="str">
        <f t="shared" si="3"/>
        <v>Currently Unavailable</v>
      </c>
      <c r="I577" s="1" t="str">
        <f t="shared" si="4"/>
        <v>No Badges</v>
      </c>
      <c r="J577" s="3">
        <f t="shared" si="5"/>
        <v>0</v>
      </c>
    </row>
    <row r="578">
      <c r="A578" s="1" t="s">
        <v>525</v>
      </c>
      <c r="B578" s="3" t="str">
        <f t="shared" si="1"/>
        <v>Unavailable</v>
      </c>
      <c r="C578" s="5">
        <v>1235.0</v>
      </c>
      <c r="D578" s="3">
        <f>IFERROR(__xludf.DUMMYFUNCTION("IFERROR(
IF(REGEXMATCH(LOWER(O578),""k""),
VALUE(REGEXEXTRACT(O578,""[0-9]+""))*1000,
VALUE(REGEXEXTRACT(O578,""[0-9]+""))
),
0
)"),0.0)</f>
        <v>0</v>
      </c>
      <c r="E578" s="1" t="s">
        <v>11</v>
      </c>
      <c r="F578" s="1" t="s">
        <v>20</v>
      </c>
      <c r="G578" s="4" t="b">
        <f t="shared" si="2"/>
        <v>1</v>
      </c>
      <c r="H578" s="1" t="str">
        <f t="shared" si="3"/>
        <v>Currently Unavailable</v>
      </c>
      <c r="I578" s="1" t="str">
        <f t="shared" si="4"/>
        <v>No Badges</v>
      </c>
      <c r="J578" s="3">
        <f t="shared" si="5"/>
        <v>0</v>
      </c>
    </row>
    <row r="579">
      <c r="A579" s="1" t="s">
        <v>526</v>
      </c>
      <c r="B579" s="3" t="str">
        <f t="shared" si="1"/>
        <v>Unavailable</v>
      </c>
      <c r="C579" s="3">
        <v>925.0</v>
      </c>
      <c r="D579" s="3">
        <f>IFERROR(__xludf.DUMMYFUNCTION("IFERROR(
IF(REGEXMATCH(LOWER(O579),""k""),
VALUE(REGEXEXTRACT(O579,""[0-9]+""))*1000,
VALUE(REGEXEXTRACT(O579,""[0-9]+""))
),
0
)"),0.0)</f>
        <v>0</v>
      </c>
      <c r="E579" s="1" t="s">
        <v>11</v>
      </c>
      <c r="F579" s="1" t="s">
        <v>20</v>
      </c>
      <c r="G579" s="4" t="b">
        <f t="shared" si="2"/>
        <v>1</v>
      </c>
      <c r="H579" s="1" t="str">
        <f t="shared" si="3"/>
        <v>Currently Unavailable</v>
      </c>
      <c r="I579" s="1" t="str">
        <f t="shared" si="4"/>
        <v>No Badges</v>
      </c>
      <c r="J579" s="3">
        <f t="shared" si="5"/>
        <v>0</v>
      </c>
    </row>
    <row r="580">
      <c r="A580" s="1" t="s">
        <v>527</v>
      </c>
      <c r="B580" s="3" t="str">
        <f t="shared" si="1"/>
        <v>Unavailable</v>
      </c>
      <c r="C580" s="3">
        <v>147.0</v>
      </c>
      <c r="D580" s="3">
        <f>IFERROR(__xludf.DUMMYFUNCTION("IFERROR(
IF(REGEXMATCH(LOWER(O580),""k""),
VALUE(REGEXEXTRACT(O580,""[0-9]+""))*1000,
VALUE(REGEXEXTRACT(O580,""[0-9]+""))
),
0
)"),0.0)</f>
        <v>0</v>
      </c>
      <c r="E580" s="1" t="s">
        <v>11</v>
      </c>
      <c r="F580" s="1" t="s">
        <v>20</v>
      </c>
      <c r="G580" s="4" t="b">
        <f t="shared" si="2"/>
        <v>1</v>
      </c>
      <c r="H580" s="1" t="str">
        <f t="shared" si="3"/>
        <v>Currently Unavailable</v>
      </c>
      <c r="I580" s="1" t="str">
        <f t="shared" si="4"/>
        <v>No Badges</v>
      </c>
      <c r="J580" s="3">
        <f t="shared" si="5"/>
        <v>0</v>
      </c>
    </row>
    <row r="581">
      <c r="A581" s="1" t="s">
        <v>528</v>
      </c>
      <c r="B581" s="3" t="str">
        <f t="shared" si="1"/>
        <v>Unavailable</v>
      </c>
      <c r="C581" s="3">
        <v>76.0</v>
      </c>
      <c r="D581" s="3">
        <f>IFERROR(__xludf.DUMMYFUNCTION("IFERROR(
IF(REGEXMATCH(LOWER(O581),""k""),
VALUE(REGEXEXTRACT(O581,""[0-9]+""))*1000,
VALUE(REGEXEXTRACT(O581,""[0-9]+""))
),
0
)"),0.0)</f>
        <v>0</v>
      </c>
      <c r="E581" s="1" t="s">
        <v>11</v>
      </c>
      <c r="F581" s="1" t="s">
        <v>12</v>
      </c>
      <c r="G581" s="4" t="b">
        <f t="shared" si="2"/>
        <v>1</v>
      </c>
      <c r="H581" s="1" t="str">
        <f t="shared" si="3"/>
        <v>Currently Unavailable</v>
      </c>
      <c r="I581" s="1" t="str">
        <f t="shared" si="4"/>
        <v>No Badges</v>
      </c>
      <c r="J581" s="3">
        <f t="shared" si="5"/>
        <v>0</v>
      </c>
    </row>
    <row r="582">
      <c r="A582" s="1" t="s">
        <v>529</v>
      </c>
      <c r="B582" s="3" t="str">
        <f t="shared" si="1"/>
        <v>Unavailable</v>
      </c>
      <c r="C582" s="3">
        <v>747.0</v>
      </c>
      <c r="D582" s="3">
        <f>IFERROR(__xludf.DUMMYFUNCTION("IFERROR(
IF(REGEXMATCH(LOWER(O582),""k""),
VALUE(REGEXEXTRACT(O582,""[0-9]+""))*1000,
VALUE(REGEXEXTRACT(O582,""[0-9]+""))
),
0
)"),0.0)</f>
        <v>0</v>
      </c>
      <c r="E582" s="1" t="s">
        <v>11</v>
      </c>
      <c r="F582" s="1" t="s">
        <v>20</v>
      </c>
      <c r="G582" s="4" t="b">
        <f t="shared" si="2"/>
        <v>1</v>
      </c>
      <c r="H582" s="1" t="str">
        <f t="shared" si="3"/>
        <v>Currently Unavailable</v>
      </c>
      <c r="I582" s="1" t="str">
        <f t="shared" si="4"/>
        <v>No Badges</v>
      </c>
      <c r="J582" s="3">
        <f t="shared" si="5"/>
        <v>0</v>
      </c>
    </row>
    <row r="583">
      <c r="A583" s="1" t="s">
        <v>40</v>
      </c>
      <c r="B583" s="3" t="str">
        <f t="shared" si="1"/>
        <v>Unavailable</v>
      </c>
      <c r="C583" s="3">
        <v>171.0</v>
      </c>
      <c r="D583" s="3">
        <f>IFERROR(__xludf.DUMMYFUNCTION("IFERROR(
IF(REGEXMATCH(LOWER(O583),""k""),
VALUE(REGEXEXTRACT(O583,""[0-9]+""))*1000,
VALUE(REGEXEXTRACT(O583,""[0-9]+""))
),
0
)"),0.0)</f>
        <v>0</v>
      </c>
      <c r="E583" s="1" t="s">
        <v>11</v>
      </c>
      <c r="F583" s="1" t="s">
        <v>12</v>
      </c>
      <c r="G583" s="4" t="b">
        <f t="shared" si="2"/>
        <v>1</v>
      </c>
      <c r="H583" s="1" t="str">
        <f t="shared" si="3"/>
        <v>Currently Unavailable</v>
      </c>
      <c r="I583" s="1" t="str">
        <f t="shared" si="4"/>
        <v>No Badges</v>
      </c>
      <c r="J583" s="3">
        <f t="shared" si="5"/>
        <v>0</v>
      </c>
    </row>
    <row r="584">
      <c r="A584" s="1" t="s">
        <v>530</v>
      </c>
      <c r="B584" s="3" t="str">
        <f t="shared" si="1"/>
        <v>Unavailable</v>
      </c>
      <c r="C584" s="3">
        <v>11.0</v>
      </c>
      <c r="D584" s="3">
        <f>IFERROR(__xludf.DUMMYFUNCTION("IFERROR(
IF(REGEXMATCH(LOWER(O584),""k""),
VALUE(REGEXEXTRACT(O584,""[0-9]+""))*1000,
VALUE(REGEXEXTRACT(O584,""[0-9]+""))
),
0
)"),0.0)</f>
        <v>0</v>
      </c>
      <c r="E584" s="1" t="s">
        <v>11</v>
      </c>
      <c r="F584" s="1" t="s">
        <v>20</v>
      </c>
      <c r="G584" s="4" t="b">
        <f t="shared" si="2"/>
        <v>1</v>
      </c>
      <c r="H584" s="1" t="str">
        <f t="shared" si="3"/>
        <v>Currently Unavailable</v>
      </c>
      <c r="I584" s="1" t="str">
        <f t="shared" si="4"/>
        <v>No Badges</v>
      </c>
      <c r="J584" s="3">
        <f t="shared" si="5"/>
        <v>0</v>
      </c>
    </row>
    <row r="585">
      <c r="A585" s="1" t="s">
        <v>531</v>
      </c>
      <c r="B585" s="3" t="str">
        <f t="shared" si="1"/>
        <v>Unavailable</v>
      </c>
      <c r="C585" s="5">
        <v>2916.0</v>
      </c>
      <c r="D585" s="3">
        <f>IFERROR(__xludf.DUMMYFUNCTION("IFERROR(
IF(REGEXMATCH(LOWER(O585),""k""),
VALUE(REGEXEXTRACT(O585,""[0-9]+""))*1000,
VALUE(REGEXEXTRACT(O585,""[0-9]+""))
),
0
)"),0.0)</f>
        <v>0</v>
      </c>
      <c r="E585" s="1" t="s">
        <v>11</v>
      </c>
      <c r="F585" s="1" t="s">
        <v>20</v>
      </c>
      <c r="G585" s="4" t="b">
        <f t="shared" si="2"/>
        <v>1</v>
      </c>
      <c r="H585" s="1" t="str">
        <f t="shared" si="3"/>
        <v>Currently Unavailable</v>
      </c>
      <c r="I585" s="1" t="str">
        <f t="shared" si="4"/>
        <v>No Badges</v>
      </c>
      <c r="J585" s="3">
        <f t="shared" si="5"/>
        <v>0</v>
      </c>
    </row>
    <row r="586">
      <c r="A586" s="1" t="s">
        <v>532</v>
      </c>
      <c r="B586" s="3" t="str">
        <f t="shared" si="1"/>
        <v>Unavailable</v>
      </c>
      <c r="C586" s="3">
        <v>146.0</v>
      </c>
      <c r="D586" s="3">
        <f>IFERROR(__xludf.DUMMYFUNCTION("IFERROR(
IF(REGEXMATCH(LOWER(O586),""k""),
VALUE(REGEXEXTRACT(O586,""[0-9]+""))*1000,
VALUE(REGEXEXTRACT(O586,""[0-9]+""))
),
0
)"),0.0)</f>
        <v>0</v>
      </c>
      <c r="E586" s="1" t="s">
        <v>11</v>
      </c>
      <c r="F586" s="1" t="s">
        <v>20</v>
      </c>
      <c r="G586" s="4" t="b">
        <f t="shared" si="2"/>
        <v>1</v>
      </c>
      <c r="H586" s="1" t="str">
        <f t="shared" si="3"/>
        <v>Currently Unavailable</v>
      </c>
      <c r="I586" s="1" t="str">
        <f t="shared" si="4"/>
        <v>No Badges</v>
      </c>
      <c r="J586" s="3">
        <f t="shared" si="5"/>
        <v>0</v>
      </c>
    </row>
    <row r="587">
      <c r="A587" s="1" t="s">
        <v>533</v>
      </c>
      <c r="B587" s="3" t="str">
        <f t="shared" si="1"/>
        <v>Unavailable</v>
      </c>
      <c r="C587" s="3">
        <v>4.0</v>
      </c>
      <c r="D587" s="3">
        <f>IFERROR(__xludf.DUMMYFUNCTION("IFERROR(
IF(REGEXMATCH(LOWER(O587),""k""),
VALUE(REGEXEXTRACT(O587,""[0-9]+""))*1000,
VALUE(REGEXEXTRACT(O587,""[0-9]+""))
),
0
)"),0.0)</f>
        <v>0</v>
      </c>
      <c r="E587" s="1" t="s">
        <v>11</v>
      </c>
      <c r="F587" s="1" t="s">
        <v>20</v>
      </c>
      <c r="G587" s="4" t="b">
        <f t="shared" si="2"/>
        <v>1</v>
      </c>
      <c r="H587" s="1" t="str">
        <f t="shared" si="3"/>
        <v>Currently Unavailable</v>
      </c>
      <c r="I587" s="1" t="str">
        <f t="shared" si="4"/>
        <v>No Badges</v>
      </c>
      <c r="J587" s="3">
        <f t="shared" si="5"/>
        <v>0</v>
      </c>
    </row>
    <row r="588">
      <c r="A588" s="1" t="s">
        <v>534</v>
      </c>
      <c r="B588" s="3" t="str">
        <f t="shared" si="1"/>
        <v>Unavailable</v>
      </c>
      <c r="C588" s="3">
        <v>482.0</v>
      </c>
      <c r="D588" s="3">
        <f>IFERROR(__xludf.DUMMYFUNCTION("IFERROR(
IF(REGEXMATCH(LOWER(O588),""k""),
VALUE(REGEXEXTRACT(O588,""[0-9]+""))*1000,
VALUE(REGEXEXTRACT(O588,""[0-9]+""))
),
0
)"),0.0)</f>
        <v>0</v>
      </c>
      <c r="E588" s="1" t="s">
        <v>11</v>
      </c>
      <c r="F588" s="1" t="s">
        <v>20</v>
      </c>
      <c r="G588" s="4" t="b">
        <f t="shared" si="2"/>
        <v>1</v>
      </c>
      <c r="H588" s="1" t="str">
        <f t="shared" si="3"/>
        <v>Currently Unavailable</v>
      </c>
      <c r="I588" s="1" t="str">
        <f t="shared" si="4"/>
        <v>No Badges</v>
      </c>
      <c r="J588" s="3">
        <f t="shared" si="5"/>
        <v>0</v>
      </c>
    </row>
    <row r="589">
      <c r="A589" s="1" t="s">
        <v>535</v>
      </c>
      <c r="B589" s="3" t="str">
        <f t="shared" si="1"/>
        <v>Unavailable</v>
      </c>
      <c r="C589" s="3">
        <v>135.0</v>
      </c>
      <c r="D589" s="3">
        <f>IFERROR(__xludf.DUMMYFUNCTION("IFERROR(
IF(REGEXMATCH(LOWER(O589),""k""),
VALUE(REGEXEXTRACT(O589,""[0-9]+""))*1000,
VALUE(REGEXEXTRACT(O589,""[0-9]+""))
),
0
)"),0.0)</f>
        <v>0</v>
      </c>
      <c r="E589" s="1" t="s">
        <v>11</v>
      </c>
      <c r="F589" s="1" t="s">
        <v>20</v>
      </c>
      <c r="G589" s="4" t="b">
        <f t="shared" si="2"/>
        <v>1</v>
      </c>
      <c r="H589" s="1" t="str">
        <f t="shared" si="3"/>
        <v>Currently Unavailable</v>
      </c>
      <c r="I589" s="1" t="str">
        <f t="shared" si="4"/>
        <v>No Badges</v>
      </c>
      <c r="J589" s="3">
        <f t="shared" si="5"/>
        <v>0</v>
      </c>
    </row>
    <row r="590">
      <c r="A590" s="1" t="s">
        <v>536</v>
      </c>
      <c r="B590" s="3" t="str">
        <f t="shared" si="1"/>
        <v>Unavailable</v>
      </c>
      <c r="C590" s="3">
        <v>37.0</v>
      </c>
      <c r="D590" s="3">
        <f>IFERROR(__xludf.DUMMYFUNCTION("IFERROR(
IF(REGEXMATCH(LOWER(O590),""k""),
VALUE(REGEXEXTRACT(O590,""[0-9]+""))*1000,
VALUE(REGEXEXTRACT(O590,""[0-9]+""))
),
0
)"),0.0)</f>
        <v>0</v>
      </c>
      <c r="E590" s="1" t="s">
        <v>11</v>
      </c>
      <c r="F590" s="1" t="s">
        <v>20</v>
      </c>
      <c r="G590" s="4" t="b">
        <f t="shared" si="2"/>
        <v>1</v>
      </c>
      <c r="H590" s="1" t="str">
        <f t="shared" si="3"/>
        <v>Currently Unavailable</v>
      </c>
      <c r="I590" s="1" t="str">
        <f t="shared" si="4"/>
        <v>No Badges</v>
      </c>
      <c r="J590" s="3">
        <f t="shared" si="5"/>
        <v>0</v>
      </c>
    </row>
    <row r="591">
      <c r="A591" s="1" t="s">
        <v>537</v>
      </c>
      <c r="B591" s="3" t="str">
        <f t="shared" si="1"/>
        <v>Unavailable</v>
      </c>
      <c r="C591" s="3">
        <v>165.0</v>
      </c>
      <c r="D591" s="3">
        <f>IFERROR(__xludf.DUMMYFUNCTION("IFERROR(
IF(REGEXMATCH(LOWER(O591),""k""),
VALUE(REGEXEXTRACT(O591,""[0-9]+""))*1000,
VALUE(REGEXEXTRACT(O591,""[0-9]+""))
),
0
)"),0.0)</f>
        <v>0</v>
      </c>
      <c r="E591" s="1" t="s">
        <v>11</v>
      </c>
      <c r="F591" s="1" t="s">
        <v>20</v>
      </c>
      <c r="G591" s="4" t="b">
        <f t="shared" si="2"/>
        <v>1</v>
      </c>
      <c r="H591" s="1" t="str">
        <f t="shared" si="3"/>
        <v>Currently Unavailable</v>
      </c>
      <c r="I591" s="1" t="str">
        <f t="shared" si="4"/>
        <v>No Badges</v>
      </c>
      <c r="J591" s="3">
        <f t="shared" si="5"/>
        <v>0</v>
      </c>
    </row>
    <row r="592">
      <c r="A592" s="1" t="s">
        <v>538</v>
      </c>
      <c r="B592" s="3" t="str">
        <f t="shared" si="1"/>
        <v>Unavailable</v>
      </c>
      <c r="C592" s="3">
        <v>29.0</v>
      </c>
      <c r="D592" s="3">
        <f>IFERROR(__xludf.DUMMYFUNCTION("IFERROR(
IF(REGEXMATCH(LOWER(O592),""k""),
VALUE(REGEXEXTRACT(O592,""[0-9]+""))*1000,
VALUE(REGEXEXTRACT(O592,""[0-9]+""))
),
0
)"),0.0)</f>
        <v>0</v>
      </c>
      <c r="E592" s="1" t="s">
        <v>11</v>
      </c>
      <c r="F592" s="1" t="s">
        <v>20</v>
      </c>
      <c r="G592" s="4" t="b">
        <f t="shared" si="2"/>
        <v>1</v>
      </c>
      <c r="H592" s="1" t="str">
        <f t="shared" si="3"/>
        <v>Currently Unavailable</v>
      </c>
      <c r="I592" s="1" t="str">
        <f t="shared" si="4"/>
        <v>No Badges</v>
      </c>
      <c r="J592" s="3">
        <f t="shared" si="5"/>
        <v>0</v>
      </c>
    </row>
    <row r="593">
      <c r="A593" s="1" t="s">
        <v>539</v>
      </c>
      <c r="B593" s="3" t="str">
        <f t="shared" si="1"/>
        <v>Unavailable</v>
      </c>
      <c r="C593" s="3">
        <v>818.0</v>
      </c>
      <c r="D593" s="3">
        <f>IFERROR(__xludf.DUMMYFUNCTION("IFERROR(
IF(REGEXMATCH(LOWER(O593),""k""),
VALUE(REGEXEXTRACT(O593,""[0-9]+""))*1000,
VALUE(REGEXEXTRACT(O593,""[0-9]+""))
),
0
)"),0.0)</f>
        <v>0</v>
      </c>
      <c r="E593" s="1" t="s">
        <v>11</v>
      </c>
      <c r="F593" s="1" t="s">
        <v>20</v>
      </c>
      <c r="G593" s="4" t="b">
        <f t="shared" si="2"/>
        <v>1</v>
      </c>
      <c r="H593" s="1" t="str">
        <f t="shared" si="3"/>
        <v>Currently Unavailable</v>
      </c>
      <c r="I593" s="1" t="str">
        <f t="shared" si="4"/>
        <v>No Badges</v>
      </c>
      <c r="J593" s="3">
        <f t="shared" si="5"/>
        <v>0</v>
      </c>
    </row>
    <row r="594">
      <c r="A594" s="1" t="s">
        <v>540</v>
      </c>
      <c r="B594" s="3" t="str">
        <f t="shared" si="1"/>
        <v>Unavailable</v>
      </c>
      <c r="C594" s="3">
        <v>446.0</v>
      </c>
      <c r="D594" s="3">
        <f>IFERROR(__xludf.DUMMYFUNCTION("IFERROR(
IF(REGEXMATCH(LOWER(O594),""k""),
VALUE(REGEXEXTRACT(O594,""[0-9]+""))*1000,
VALUE(REGEXEXTRACT(O594,""[0-9]+""))
),
0
)"),0.0)</f>
        <v>0</v>
      </c>
      <c r="E594" s="1" t="s">
        <v>11</v>
      </c>
      <c r="F594" s="1" t="s">
        <v>20</v>
      </c>
      <c r="G594" s="4" t="b">
        <f t="shared" si="2"/>
        <v>1</v>
      </c>
      <c r="H594" s="1" t="str">
        <f t="shared" si="3"/>
        <v>Currently Unavailable</v>
      </c>
      <c r="I594" s="1" t="str">
        <f t="shared" si="4"/>
        <v>No Badges</v>
      </c>
      <c r="J594" s="3">
        <f t="shared" si="5"/>
        <v>0</v>
      </c>
    </row>
    <row r="595">
      <c r="A595" s="1" t="s">
        <v>541</v>
      </c>
      <c r="B595" s="3" t="str">
        <f t="shared" si="1"/>
        <v>Unavailable</v>
      </c>
      <c r="C595" s="3">
        <v>175.0</v>
      </c>
      <c r="D595" s="3">
        <f>IFERROR(__xludf.DUMMYFUNCTION("IFERROR(
IF(REGEXMATCH(LOWER(O595),""k""),
VALUE(REGEXEXTRACT(O595,""[0-9]+""))*1000,
VALUE(REGEXEXTRACT(O595,""[0-9]+""))
),
0
)"),0.0)</f>
        <v>0</v>
      </c>
      <c r="E595" s="1" t="s">
        <v>11</v>
      </c>
      <c r="F595" s="1" t="s">
        <v>20</v>
      </c>
      <c r="G595" s="4" t="b">
        <f t="shared" si="2"/>
        <v>1</v>
      </c>
      <c r="H595" s="1" t="str">
        <f t="shared" si="3"/>
        <v>Currently Unavailable</v>
      </c>
      <c r="I595" s="1" t="str">
        <f t="shared" si="4"/>
        <v>No Badges</v>
      </c>
      <c r="J595" s="3">
        <f t="shared" si="5"/>
        <v>0</v>
      </c>
    </row>
    <row r="596">
      <c r="A596" s="1" t="s">
        <v>542</v>
      </c>
      <c r="B596" s="3" t="str">
        <f t="shared" si="1"/>
        <v>Unavailable</v>
      </c>
      <c r="C596" s="3">
        <v>69.0</v>
      </c>
      <c r="D596" s="3">
        <f>IFERROR(__xludf.DUMMYFUNCTION("IFERROR(
IF(REGEXMATCH(LOWER(O596),""k""),
VALUE(REGEXEXTRACT(O596,""[0-9]+""))*1000,
VALUE(REGEXEXTRACT(O596,""[0-9]+""))
),
0
)"),0.0)</f>
        <v>0</v>
      </c>
      <c r="E596" s="1" t="s">
        <v>11</v>
      </c>
      <c r="F596" s="1" t="s">
        <v>20</v>
      </c>
      <c r="G596" s="4" t="b">
        <f t="shared" si="2"/>
        <v>1</v>
      </c>
      <c r="H596" s="1" t="str">
        <f t="shared" si="3"/>
        <v>Currently Unavailable</v>
      </c>
      <c r="I596" s="1" t="str">
        <f t="shared" si="4"/>
        <v>No Badges</v>
      </c>
      <c r="J596" s="3">
        <f t="shared" si="5"/>
        <v>0</v>
      </c>
    </row>
    <row r="597">
      <c r="A597" s="1" t="s">
        <v>543</v>
      </c>
      <c r="B597" s="3" t="str">
        <f t="shared" si="1"/>
        <v>Unavailable</v>
      </c>
      <c r="C597" s="3">
        <v>118.0</v>
      </c>
      <c r="D597" s="3">
        <f>IFERROR(__xludf.DUMMYFUNCTION("IFERROR(
IF(REGEXMATCH(LOWER(O597),""k""),
VALUE(REGEXEXTRACT(O597,""[0-9]+""))*1000,
VALUE(REGEXEXTRACT(O597,""[0-9]+""))
),
0
)"),0.0)</f>
        <v>0</v>
      </c>
      <c r="E597" s="1" t="s">
        <v>11</v>
      </c>
      <c r="F597" s="1" t="s">
        <v>20</v>
      </c>
      <c r="G597" s="4" t="b">
        <f t="shared" si="2"/>
        <v>1</v>
      </c>
      <c r="H597" s="1" t="str">
        <f t="shared" si="3"/>
        <v>Currently Unavailable</v>
      </c>
      <c r="I597" s="1" t="str">
        <f t="shared" si="4"/>
        <v>No Badges</v>
      </c>
      <c r="J597" s="3">
        <f t="shared" si="5"/>
        <v>0</v>
      </c>
    </row>
    <row r="598">
      <c r="A598" s="1" t="s">
        <v>544</v>
      </c>
      <c r="B598" s="3" t="str">
        <f t="shared" si="1"/>
        <v>Unavailable</v>
      </c>
      <c r="C598" s="3">
        <v>40.0</v>
      </c>
      <c r="D598" s="3">
        <f>IFERROR(__xludf.DUMMYFUNCTION("IFERROR(
IF(REGEXMATCH(LOWER(O598),""k""),
VALUE(REGEXEXTRACT(O598,""[0-9]+""))*1000,
VALUE(REGEXEXTRACT(O598,""[0-9]+""))
),
0
)"),0.0)</f>
        <v>0</v>
      </c>
      <c r="E598" s="1" t="s">
        <v>11</v>
      </c>
      <c r="F598" s="1" t="s">
        <v>20</v>
      </c>
      <c r="G598" s="4" t="b">
        <f t="shared" si="2"/>
        <v>1</v>
      </c>
      <c r="H598" s="1" t="str">
        <f t="shared" si="3"/>
        <v>Currently Unavailable</v>
      </c>
      <c r="I598" s="1" t="str">
        <f t="shared" si="4"/>
        <v>No Badges</v>
      </c>
      <c r="J598" s="3">
        <f t="shared" si="5"/>
        <v>0</v>
      </c>
    </row>
    <row r="599">
      <c r="A599" s="1" t="s">
        <v>67</v>
      </c>
      <c r="B599" s="3" t="str">
        <f t="shared" si="1"/>
        <v>Unavailable</v>
      </c>
      <c r="C599" s="3">
        <v>264.0</v>
      </c>
      <c r="D599" s="3">
        <f>IFERROR(__xludf.DUMMYFUNCTION("IFERROR(
IF(REGEXMATCH(LOWER(O599),""k""),
VALUE(REGEXEXTRACT(O599,""[0-9]+""))*1000,
VALUE(REGEXEXTRACT(O599,""[0-9]+""))
),
0
)"),0.0)</f>
        <v>0</v>
      </c>
      <c r="E599" s="1" t="s">
        <v>11</v>
      </c>
      <c r="F599" s="1" t="s">
        <v>12</v>
      </c>
      <c r="G599" s="4" t="b">
        <f t="shared" si="2"/>
        <v>1</v>
      </c>
      <c r="H599" s="1" t="str">
        <f t="shared" si="3"/>
        <v>Currently Unavailable</v>
      </c>
      <c r="I599" s="1" t="str">
        <f t="shared" si="4"/>
        <v>No Badges</v>
      </c>
      <c r="J599" s="3">
        <f t="shared" si="5"/>
        <v>0</v>
      </c>
    </row>
    <row r="600">
      <c r="A600" s="1" t="s">
        <v>545</v>
      </c>
      <c r="B600" s="3" t="str">
        <f t="shared" si="1"/>
        <v>Unavailable</v>
      </c>
      <c r="C600" s="3">
        <v>127.0</v>
      </c>
      <c r="D600" s="3">
        <f>IFERROR(__xludf.DUMMYFUNCTION("IFERROR(
IF(REGEXMATCH(LOWER(O600),""k""),
VALUE(REGEXEXTRACT(O600,""[0-9]+""))*1000,
VALUE(REGEXEXTRACT(O600,""[0-9]+""))
),
0
)"),0.0)</f>
        <v>0</v>
      </c>
      <c r="E600" s="1" t="s">
        <v>11</v>
      </c>
      <c r="F600" s="1" t="s">
        <v>20</v>
      </c>
      <c r="G600" s="4" t="b">
        <f t="shared" si="2"/>
        <v>1</v>
      </c>
      <c r="H600" s="1" t="str">
        <f t="shared" si="3"/>
        <v>Currently Unavailable</v>
      </c>
      <c r="I600" s="1" t="str">
        <f t="shared" si="4"/>
        <v>No Badges</v>
      </c>
      <c r="J600" s="3">
        <f t="shared" si="5"/>
        <v>0</v>
      </c>
    </row>
    <row r="601">
      <c r="A601" s="1" t="s">
        <v>69</v>
      </c>
      <c r="B601" s="3" t="str">
        <f t="shared" si="1"/>
        <v>Unavailable</v>
      </c>
      <c r="C601" s="3">
        <v>45.0</v>
      </c>
      <c r="D601" s="3">
        <f>IFERROR(__xludf.DUMMYFUNCTION("IFERROR(
IF(REGEXMATCH(LOWER(O601),""k""),
VALUE(REGEXEXTRACT(O601,""[0-9]+""))*1000,
VALUE(REGEXEXTRACT(O601,""[0-9]+""))
),
0
)"),0.0)</f>
        <v>0</v>
      </c>
      <c r="E601" s="1" t="s">
        <v>11</v>
      </c>
      <c r="F601" s="1" t="s">
        <v>12</v>
      </c>
      <c r="G601" s="4" t="b">
        <f t="shared" si="2"/>
        <v>1</v>
      </c>
      <c r="H601" s="1" t="str">
        <f t="shared" si="3"/>
        <v>Currently Unavailable</v>
      </c>
      <c r="I601" s="1" t="str">
        <f t="shared" si="4"/>
        <v>No Badges</v>
      </c>
      <c r="J601" s="3">
        <f t="shared" si="5"/>
        <v>0</v>
      </c>
    </row>
    <row r="602">
      <c r="A602" s="1" t="s">
        <v>546</v>
      </c>
      <c r="B602" s="3" t="str">
        <f t="shared" si="1"/>
        <v>Unavailable</v>
      </c>
      <c r="C602" s="3">
        <v>190.0</v>
      </c>
      <c r="D602" s="3">
        <f>IFERROR(__xludf.DUMMYFUNCTION("IFERROR(
IF(REGEXMATCH(LOWER(O602),""k""),
VALUE(REGEXEXTRACT(O602,""[0-9]+""))*1000,
VALUE(REGEXEXTRACT(O602,""[0-9]+""))
),
0
)"),0.0)</f>
        <v>0</v>
      </c>
      <c r="E602" s="1" t="s">
        <v>11</v>
      </c>
      <c r="F602" s="1" t="s">
        <v>20</v>
      </c>
      <c r="G602" s="4" t="b">
        <f t="shared" si="2"/>
        <v>1</v>
      </c>
      <c r="H602" s="1" t="str">
        <f t="shared" si="3"/>
        <v>Currently Unavailable</v>
      </c>
      <c r="I602" s="1" t="str">
        <f t="shared" si="4"/>
        <v>No Badges</v>
      </c>
      <c r="J602" s="3">
        <f t="shared" si="5"/>
        <v>0</v>
      </c>
    </row>
    <row r="603">
      <c r="A603" s="1" t="s">
        <v>547</v>
      </c>
      <c r="B603" s="3" t="str">
        <f t="shared" si="1"/>
        <v>Unavailable</v>
      </c>
      <c r="C603" s="3">
        <v>1.0</v>
      </c>
      <c r="D603" s="3">
        <f>IFERROR(__xludf.DUMMYFUNCTION("IFERROR(
IF(REGEXMATCH(LOWER(O603),""k""),
VALUE(REGEXEXTRACT(O603,""[0-9]+""))*1000,
VALUE(REGEXEXTRACT(O603,""[0-9]+""))
),
0
)"),0.0)</f>
        <v>0</v>
      </c>
      <c r="E603" s="1" t="s">
        <v>11</v>
      </c>
      <c r="F603" s="1" t="s">
        <v>20</v>
      </c>
      <c r="G603" s="4" t="b">
        <f t="shared" si="2"/>
        <v>1</v>
      </c>
      <c r="H603" s="1" t="str">
        <f t="shared" si="3"/>
        <v>Currently Unavailable</v>
      </c>
      <c r="I603" s="1" t="str">
        <f t="shared" si="4"/>
        <v>No Badges</v>
      </c>
      <c r="J603" s="3">
        <f t="shared" si="5"/>
        <v>0</v>
      </c>
    </row>
    <row r="604">
      <c r="A604" s="1" t="s">
        <v>548</v>
      </c>
      <c r="B604" s="3" t="str">
        <f t="shared" si="1"/>
        <v>Unavailable</v>
      </c>
      <c r="C604" s="5">
        <v>1024.0</v>
      </c>
      <c r="D604" s="3">
        <f>IFERROR(__xludf.DUMMYFUNCTION("IFERROR(
IF(REGEXMATCH(LOWER(O604),""k""),
VALUE(REGEXEXTRACT(O604,""[0-9]+""))*1000,
VALUE(REGEXEXTRACT(O604,""[0-9]+""))
),
0
)"),0.0)</f>
        <v>0</v>
      </c>
      <c r="E604" s="1" t="s">
        <v>11</v>
      </c>
      <c r="F604" s="1" t="s">
        <v>20</v>
      </c>
      <c r="G604" s="4" t="b">
        <f t="shared" si="2"/>
        <v>1</v>
      </c>
      <c r="H604" s="1" t="str">
        <f t="shared" si="3"/>
        <v>Currently Unavailable</v>
      </c>
      <c r="I604" s="1" t="str">
        <f t="shared" si="4"/>
        <v>No Badges</v>
      </c>
      <c r="J604" s="3">
        <f t="shared" si="5"/>
        <v>0</v>
      </c>
    </row>
    <row r="605">
      <c r="A605" s="1" t="s">
        <v>549</v>
      </c>
      <c r="B605" s="3" t="str">
        <f t="shared" si="1"/>
        <v>Unavailable</v>
      </c>
      <c r="C605" s="3">
        <v>341.0</v>
      </c>
      <c r="D605" s="3">
        <f>IFERROR(__xludf.DUMMYFUNCTION("IFERROR(
IF(REGEXMATCH(LOWER(O605),""k""),
VALUE(REGEXEXTRACT(O605,""[0-9]+""))*1000,
VALUE(REGEXEXTRACT(O605,""[0-9]+""))
),
0
)"),0.0)</f>
        <v>0</v>
      </c>
      <c r="E605" s="1" t="s">
        <v>11</v>
      </c>
      <c r="F605" s="1" t="s">
        <v>20</v>
      </c>
      <c r="G605" s="4" t="b">
        <f t="shared" si="2"/>
        <v>1</v>
      </c>
      <c r="H605" s="1" t="str">
        <f t="shared" si="3"/>
        <v>Currently Unavailable</v>
      </c>
      <c r="I605" s="1" t="str">
        <f t="shared" si="4"/>
        <v>No Badges</v>
      </c>
      <c r="J605" s="3">
        <f t="shared" si="5"/>
        <v>0</v>
      </c>
    </row>
    <row r="606">
      <c r="A606" s="1" t="s">
        <v>550</v>
      </c>
      <c r="B606" s="3" t="str">
        <f t="shared" si="1"/>
        <v>Unavailable</v>
      </c>
      <c r="C606" s="3">
        <v>116.0</v>
      </c>
      <c r="D606" s="3">
        <f>IFERROR(__xludf.DUMMYFUNCTION("IFERROR(
IF(REGEXMATCH(LOWER(O606),""k""),
VALUE(REGEXEXTRACT(O606,""[0-9]+""))*1000,
VALUE(REGEXEXTRACT(O606,""[0-9]+""))
),
0
)"),0.0)</f>
        <v>0</v>
      </c>
      <c r="E606" s="1" t="s">
        <v>11</v>
      </c>
      <c r="F606" s="1" t="s">
        <v>20</v>
      </c>
      <c r="G606" s="4" t="b">
        <f t="shared" si="2"/>
        <v>1</v>
      </c>
      <c r="H606" s="1" t="str">
        <f t="shared" si="3"/>
        <v>Currently Unavailable</v>
      </c>
      <c r="I606" s="1" t="str">
        <f t="shared" si="4"/>
        <v>No Badges</v>
      </c>
      <c r="J606" s="3">
        <f t="shared" si="5"/>
        <v>0</v>
      </c>
    </row>
    <row r="607">
      <c r="A607" s="1" t="s">
        <v>551</v>
      </c>
      <c r="B607" s="3" t="str">
        <f t="shared" si="1"/>
        <v>Unavailable</v>
      </c>
      <c r="C607" s="3">
        <v>459.0</v>
      </c>
      <c r="D607" s="3">
        <f>IFERROR(__xludf.DUMMYFUNCTION("IFERROR(
IF(REGEXMATCH(LOWER(O607),""k""),
VALUE(REGEXEXTRACT(O607,""[0-9]+""))*1000,
VALUE(REGEXEXTRACT(O607,""[0-9]+""))
),
0
)"),0.0)</f>
        <v>0</v>
      </c>
      <c r="E607" s="1" t="s">
        <v>11</v>
      </c>
      <c r="F607" s="1" t="s">
        <v>20</v>
      </c>
      <c r="G607" s="4" t="b">
        <f t="shared" si="2"/>
        <v>1</v>
      </c>
      <c r="H607" s="1" t="str">
        <f t="shared" si="3"/>
        <v>Currently Unavailable</v>
      </c>
      <c r="I607" s="1" t="str">
        <f t="shared" si="4"/>
        <v>No Badges</v>
      </c>
      <c r="J607" s="3">
        <f t="shared" si="5"/>
        <v>0</v>
      </c>
    </row>
    <row r="608">
      <c r="A608" s="1" t="s">
        <v>552</v>
      </c>
      <c r="B608" s="3" t="str">
        <f t="shared" si="1"/>
        <v>Unavailable</v>
      </c>
      <c r="C608" s="3">
        <v>61.0</v>
      </c>
      <c r="D608" s="3">
        <f>IFERROR(__xludf.DUMMYFUNCTION("IFERROR(
IF(REGEXMATCH(LOWER(O608),""k""),
VALUE(REGEXEXTRACT(O608,""[0-9]+""))*1000,
VALUE(REGEXEXTRACT(O608,""[0-9]+""))
),
0
)"),0.0)</f>
        <v>0</v>
      </c>
      <c r="E608" s="1" t="s">
        <v>11</v>
      </c>
      <c r="F608" s="1" t="s">
        <v>20</v>
      </c>
      <c r="G608" s="4" t="b">
        <f t="shared" si="2"/>
        <v>1</v>
      </c>
      <c r="H608" s="1" t="str">
        <f t="shared" si="3"/>
        <v>Currently Unavailable</v>
      </c>
      <c r="I608" s="1" t="str">
        <f t="shared" si="4"/>
        <v>No Badges</v>
      </c>
      <c r="J608" s="3">
        <f t="shared" si="5"/>
        <v>0</v>
      </c>
    </row>
    <row r="609">
      <c r="A609" s="1" t="s">
        <v>553</v>
      </c>
      <c r="B609" s="3" t="str">
        <f t="shared" si="1"/>
        <v>Unavailable</v>
      </c>
      <c r="C609" s="3">
        <v>133.0</v>
      </c>
      <c r="D609" s="3">
        <f>IFERROR(__xludf.DUMMYFUNCTION("IFERROR(
IF(REGEXMATCH(LOWER(O609),""k""),
VALUE(REGEXEXTRACT(O609,""[0-9]+""))*1000,
VALUE(REGEXEXTRACT(O609,""[0-9]+""))
),
0
)"),0.0)</f>
        <v>0</v>
      </c>
      <c r="E609" s="1" t="s">
        <v>11</v>
      </c>
      <c r="F609" s="1" t="s">
        <v>20</v>
      </c>
      <c r="G609" s="4" t="b">
        <f t="shared" si="2"/>
        <v>1</v>
      </c>
      <c r="H609" s="1" t="str">
        <f t="shared" si="3"/>
        <v>Currently Unavailable</v>
      </c>
      <c r="I609" s="1" t="str">
        <f t="shared" si="4"/>
        <v>No Badges</v>
      </c>
      <c r="J609" s="3">
        <f t="shared" si="5"/>
        <v>0</v>
      </c>
    </row>
    <row r="610">
      <c r="A610" s="1" t="s">
        <v>554</v>
      </c>
      <c r="B610" s="3" t="str">
        <f t="shared" si="1"/>
        <v>Unavailable</v>
      </c>
      <c r="C610" s="5">
        <v>1203.0</v>
      </c>
      <c r="D610" s="3">
        <f>IFERROR(__xludf.DUMMYFUNCTION("IFERROR(
IF(REGEXMATCH(LOWER(O610),""k""),
VALUE(REGEXEXTRACT(O610,""[0-9]+""))*1000,
VALUE(REGEXEXTRACT(O610,""[0-9]+""))
),
0
)"),0.0)</f>
        <v>0</v>
      </c>
      <c r="E610" s="1" t="s">
        <v>11</v>
      </c>
      <c r="F610" s="1" t="s">
        <v>20</v>
      </c>
      <c r="G610" s="4" t="b">
        <f t="shared" si="2"/>
        <v>1</v>
      </c>
      <c r="H610" s="1" t="str">
        <f t="shared" si="3"/>
        <v>Currently Unavailable</v>
      </c>
      <c r="I610" s="1" t="str">
        <f t="shared" si="4"/>
        <v>No Badges</v>
      </c>
      <c r="J610" s="3">
        <f t="shared" si="5"/>
        <v>0</v>
      </c>
    </row>
    <row r="611">
      <c r="A611" s="1" t="s">
        <v>555</v>
      </c>
      <c r="B611" s="3" t="str">
        <f t="shared" si="1"/>
        <v>Unavailable</v>
      </c>
      <c r="C611" s="3">
        <v>61.0</v>
      </c>
      <c r="D611" s="3">
        <f>IFERROR(__xludf.DUMMYFUNCTION("IFERROR(
IF(REGEXMATCH(LOWER(O611),""k""),
VALUE(REGEXEXTRACT(O611,""[0-9]+""))*1000,
VALUE(REGEXEXTRACT(O611,""[0-9]+""))
),
0
)"),0.0)</f>
        <v>0</v>
      </c>
      <c r="E611" s="1" t="s">
        <v>11</v>
      </c>
      <c r="F611" s="1" t="s">
        <v>20</v>
      </c>
      <c r="G611" s="4" t="b">
        <f t="shared" si="2"/>
        <v>1</v>
      </c>
      <c r="H611" s="1" t="str">
        <f t="shared" si="3"/>
        <v>Currently Unavailable</v>
      </c>
      <c r="I611" s="1" t="str">
        <f t="shared" si="4"/>
        <v>No Badges</v>
      </c>
      <c r="J611" s="3">
        <f t="shared" si="5"/>
        <v>0</v>
      </c>
    </row>
    <row r="612">
      <c r="A612" s="1" t="s">
        <v>556</v>
      </c>
      <c r="B612" s="3" t="str">
        <f t="shared" si="1"/>
        <v>Unavailable</v>
      </c>
      <c r="C612" s="3">
        <v>53.0</v>
      </c>
      <c r="D612" s="3">
        <f>IFERROR(__xludf.DUMMYFUNCTION("IFERROR(
IF(REGEXMATCH(LOWER(O612),""k""),
VALUE(REGEXEXTRACT(O612,""[0-9]+""))*1000,
VALUE(REGEXEXTRACT(O612,""[0-9]+""))
),
0
)"),0.0)</f>
        <v>0</v>
      </c>
      <c r="E612" s="1" t="s">
        <v>11</v>
      </c>
      <c r="F612" s="1" t="s">
        <v>20</v>
      </c>
      <c r="G612" s="4" t="b">
        <f t="shared" si="2"/>
        <v>1</v>
      </c>
      <c r="H612" s="1" t="str">
        <f t="shared" si="3"/>
        <v>Currently Unavailable</v>
      </c>
      <c r="I612" s="1" t="str">
        <f t="shared" si="4"/>
        <v>No Badges</v>
      </c>
      <c r="J612" s="3">
        <f t="shared" si="5"/>
        <v>0</v>
      </c>
    </row>
    <row r="613">
      <c r="A613" s="1" t="s">
        <v>557</v>
      </c>
      <c r="B613" s="3" t="str">
        <f t="shared" si="1"/>
        <v>Unavailable</v>
      </c>
      <c r="C613" s="5">
        <v>1586.0</v>
      </c>
      <c r="D613" s="3">
        <f>IFERROR(__xludf.DUMMYFUNCTION("IFERROR(
IF(REGEXMATCH(LOWER(O613),""k""),
VALUE(REGEXEXTRACT(O613,""[0-9]+""))*1000,
VALUE(REGEXEXTRACT(O613,""[0-9]+""))
),
0
)"),0.0)</f>
        <v>0</v>
      </c>
      <c r="E613" s="1" t="s">
        <v>11</v>
      </c>
      <c r="F613" s="1" t="s">
        <v>20</v>
      </c>
      <c r="G613" s="4" t="b">
        <f t="shared" si="2"/>
        <v>1</v>
      </c>
      <c r="H613" s="1" t="str">
        <f t="shared" si="3"/>
        <v>Currently Unavailable</v>
      </c>
      <c r="I613" s="1" t="str">
        <f t="shared" si="4"/>
        <v>No Badges</v>
      </c>
      <c r="J613" s="3">
        <f t="shared" si="5"/>
        <v>0</v>
      </c>
    </row>
    <row r="614">
      <c r="A614" s="1" t="s">
        <v>558</v>
      </c>
      <c r="B614" s="3" t="str">
        <f t="shared" si="1"/>
        <v>Unavailable</v>
      </c>
      <c r="C614" s="3">
        <v>224.0</v>
      </c>
      <c r="D614" s="3">
        <f>IFERROR(__xludf.DUMMYFUNCTION("IFERROR(
IF(REGEXMATCH(LOWER(O614),""k""),
VALUE(REGEXEXTRACT(O614,""[0-9]+""))*1000,
VALUE(REGEXEXTRACT(O614,""[0-9]+""))
),
0
)"),0.0)</f>
        <v>0</v>
      </c>
      <c r="E614" s="1" t="s">
        <v>11</v>
      </c>
      <c r="F614" s="1" t="s">
        <v>20</v>
      </c>
      <c r="G614" s="4" t="b">
        <f t="shared" si="2"/>
        <v>1</v>
      </c>
      <c r="H614" s="1" t="str">
        <f t="shared" si="3"/>
        <v>Currently Unavailable</v>
      </c>
      <c r="I614" s="1" t="str">
        <f t="shared" si="4"/>
        <v>No Badges</v>
      </c>
      <c r="J614" s="3">
        <f t="shared" si="5"/>
        <v>0</v>
      </c>
    </row>
    <row r="615">
      <c r="A615" s="1" t="s">
        <v>559</v>
      </c>
      <c r="B615" s="3" t="str">
        <f t="shared" si="1"/>
        <v>Unavailable</v>
      </c>
      <c r="C615" s="3">
        <v>657.0</v>
      </c>
      <c r="D615" s="3">
        <f>IFERROR(__xludf.DUMMYFUNCTION("IFERROR(
IF(REGEXMATCH(LOWER(O615),""k""),
VALUE(REGEXEXTRACT(O615,""[0-9]+""))*1000,
VALUE(REGEXEXTRACT(O615,""[0-9]+""))
),
0
)"),0.0)</f>
        <v>0</v>
      </c>
      <c r="E615" s="1" t="s">
        <v>11</v>
      </c>
      <c r="F615" s="1" t="s">
        <v>20</v>
      </c>
      <c r="G615" s="4" t="b">
        <f t="shared" si="2"/>
        <v>1</v>
      </c>
      <c r="H615" s="1" t="str">
        <f t="shared" si="3"/>
        <v>Currently Unavailable</v>
      </c>
      <c r="I615" s="1" t="str">
        <f t="shared" si="4"/>
        <v>No Badges</v>
      </c>
      <c r="J615" s="3">
        <f t="shared" si="5"/>
        <v>0</v>
      </c>
    </row>
    <row r="616">
      <c r="A616" s="1" t="s">
        <v>40</v>
      </c>
      <c r="B616" s="3" t="str">
        <f t="shared" si="1"/>
        <v>Unavailable</v>
      </c>
      <c r="C616" s="3">
        <v>171.0</v>
      </c>
      <c r="D616" s="3">
        <f>IFERROR(__xludf.DUMMYFUNCTION("IFERROR(
IF(REGEXMATCH(LOWER(O616),""k""),
VALUE(REGEXEXTRACT(O616,""[0-9]+""))*1000,
VALUE(REGEXEXTRACT(O616,""[0-9]+""))
),
0
)"),0.0)</f>
        <v>0</v>
      </c>
      <c r="E616" s="1" t="s">
        <v>11</v>
      </c>
      <c r="F616" s="1" t="s">
        <v>12</v>
      </c>
      <c r="G616" s="4" t="b">
        <f t="shared" si="2"/>
        <v>1</v>
      </c>
      <c r="H616" s="1" t="str">
        <f t="shared" si="3"/>
        <v>Currently Unavailable</v>
      </c>
      <c r="I616" s="1" t="str">
        <f t="shared" si="4"/>
        <v>No Badges</v>
      </c>
      <c r="J616" s="3">
        <f t="shared" si="5"/>
        <v>0</v>
      </c>
    </row>
    <row r="617">
      <c r="A617" s="1" t="s">
        <v>560</v>
      </c>
      <c r="B617" s="3" t="str">
        <f t="shared" si="1"/>
        <v>Unavailable</v>
      </c>
      <c r="C617" s="3">
        <v>332.0</v>
      </c>
      <c r="D617" s="3">
        <f>IFERROR(__xludf.DUMMYFUNCTION("IFERROR(
IF(REGEXMATCH(LOWER(O617),""k""),
VALUE(REGEXEXTRACT(O617,""[0-9]+""))*1000,
VALUE(REGEXEXTRACT(O617,""[0-9]+""))
),
0
)"),0.0)</f>
        <v>0</v>
      </c>
      <c r="E617" s="1" t="s">
        <v>11</v>
      </c>
      <c r="F617" s="1" t="s">
        <v>20</v>
      </c>
      <c r="G617" s="4" t="b">
        <f t="shared" si="2"/>
        <v>1</v>
      </c>
      <c r="H617" s="1" t="str">
        <f t="shared" si="3"/>
        <v>Currently Unavailable</v>
      </c>
      <c r="I617" s="1" t="str">
        <f t="shared" si="4"/>
        <v>No Badges</v>
      </c>
      <c r="J617" s="3">
        <f t="shared" si="5"/>
        <v>0</v>
      </c>
    </row>
    <row r="618">
      <c r="A618" s="1" t="s">
        <v>40</v>
      </c>
      <c r="B618" s="3" t="str">
        <f t="shared" si="1"/>
        <v>Unavailable</v>
      </c>
      <c r="C618" s="3">
        <v>171.0</v>
      </c>
      <c r="D618" s="3">
        <f>IFERROR(__xludf.DUMMYFUNCTION("IFERROR(
IF(REGEXMATCH(LOWER(O618),""k""),
VALUE(REGEXEXTRACT(O618,""[0-9]+""))*1000,
VALUE(REGEXEXTRACT(O618,""[0-9]+""))
),
0
)"),0.0)</f>
        <v>0</v>
      </c>
      <c r="E618" s="1" t="s">
        <v>11</v>
      </c>
      <c r="F618" s="1" t="s">
        <v>12</v>
      </c>
      <c r="G618" s="4" t="b">
        <f t="shared" si="2"/>
        <v>1</v>
      </c>
      <c r="H618" s="1" t="str">
        <f t="shared" si="3"/>
        <v>Currently Unavailable</v>
      </c>
      <c r="I618" s="1" t="str">
        <f t="shared" si="4"/>
        <v>No Badges</v>
      </c>
      <c r="J618" s="3">
        <f t="shared" si="5"/>
        <v>0</v>
      </c>
    </row>
    <row r="619">
      <c r="A619" s="1" t="s">
        <v>561</v>
      </c>
      <c r="B619" s="3" t="str">
        <f t="shared" si="1"/>
        <v>Unavailable</v>
      </c>
      <c r="C619" s="3">
        <v>279.0</v>
      </c>
      <c r="D619" s="3">
        <f>IFERROR(__xludf.DUMMYFUNCTION("IFERROR(
IF(REGEXMATCH(LOWER(O619),""k""),
VALUE(REGEXEXTRACT(O619,""[0-9]+""))*1000,
VALUE(REGEXEXTRACT(O619,""[0-9]+""))
),
0
)"),0.0)</f>
        <v>0</v>
      </c>
      <c r="E619" s="1" t="s">
        <v>11</v>
      </c>
      <c r="F619" s="1" t="s">
        <v>20</v>
      </c>
      <c r="G619" s="4" t="b">
        <f t="shared" si="2"/>
        <v>1</v>
      </c>
      <c r="H619" s="1" t="str">
        <f t="shared" si="3"/>
        <v>Currently Unavailable</v>
      </c>
      <c r="I619" s="1" t="str">
        <f t="shared" si="4"/>
        <v>No Badges</v>
      </c>
      <c r="J619" s="3">
        <f t="shared" si="5"/>
        <v>0</v>
      </c>
    </row>
    <row r="620">
      <c r="A620" s="1" t="s">
        <v>562</v>
      </c>
      <c r="B620" s="3" t="str">
        <f t="shared" si="1"/>
        <v>Unavailable</v>
      </c>
      <c r="C620" s="3">
        <v>166.0</v>
      </c>
      <c r="D620" s="3">
        <f>IFERROR(__xludf.DUMMYFUNCTION("IFERROR(
IF(REGEXMATCH(LOWER(O620),""k""),
VALUE(REGEXEXTRACT(O620,""[0-9]+""))*1000,
VALUE(REGEXEXTRACT(O620,""[0-9]+""))
),
0
)"),0.0)</f>
        <v>0</v>
      </c>
      <c r="E620" s="1" t="s">
        <v>11</v>
      </c>
      <c r="F620" s="1" t="s">
        <v>20</v>
      </c>
      <c r="G620" s="4" t="b">
        <f t="shared" si="2"/>
        <v>1</v>
      </c>
      <c r="H620" s="1" t="str">
        <f t="shared" si="3"/>
        <v>Currently Unavailable</v>
      </c>
      <c r="I620" s="1" t="str">
        <f t="shared" si="4"/>
        <v>No Badges</v>
      </c>
      <c r="J620" s="3">
        <f t="shared" si="5"/>
        <v>0</v>
      </c>
    </row>
    <row r="621">
      <c r="A621" s="1" t="s">
        <v>563</v>
      </c>
      <c r="B621" s="3" t="str">
        <f t="shared" si="1"/>
        <v>Unavailable</v>
      </c>
      <c r="C621" s="3">
        <v>256.0</v>
      </c>
      <c r="D621" s="3">
        <f>IFERROR(__xludf.DUMMYFUNCTION("IFERROR(
IF(REGEXMATCH(LOWER(O621),""k""),
VALUE(REGEXEXTRACT(O621,""[0-9]+""))*1000,
VALUE(REGEXEXTRACT(O621,""[0-9]+""))
),
0
)"),0.0)</f>
        <v>0</v>
      </c>
      <c r="E621" s="1" t="s">
        <v>11</v>
      </c>
      <c r="F621" s="1" t="s">
        <v>20</v>
      </c>
      <c r="G621" s="4" t="b">
        <f t="shared" si="2"/>
        <v>1</v>
      </c>
      <c r="H621" s="1" t="str">
        <f t="shared" si="3"/>
        <v>Currently Unavailable</v>
      </c>
      <c r="I621" s="1" t="str">
        <f t="shared" si="4"/>
        <v>No Badges</v>
      </c>
      <c r="J621" s="3">
        <f t="shared" si="5"/>
        <v>0</v>
      </c>
    </row>
    <row r="622">
      <c r="A622" s="1" t="s">
        <v>564</v>
      </c>
      <c r="B622" s="3" t="str">
        <f t="shared" si="1"/>
        <v>Unavailable</v>
      </c>
      <c r="C622" s="3">
        <v>65.0</v>
      </c>
      <c r="D622" s="3">
        <f>IFERROR(__xludf.DUMMYFUNCTION("IFERROR(
IF(REGEXMATCH(LOWER(O622),""k""),
VALUE(REGEXEXTRACT(O622,""[0-9]+""))*1000,
VALUE(REGEXEXTRACT(O622,""[0-9]+""))
),
0
)"),0.0)</f>
        <v>0</v>
      </c>
      <c r="E622" s="1" t="s">
        <v>11</v>
      </c>
      <c r="F622" s="1" t="s">
        <v>20</v>
      </c>
      <c r="G622" s="4" t="b">
        <f t="shared" si="2"/>
        <v>1</v>
      </c>
      <c r="H622" s="1" t="str">
        <f t="shared" si="3"/>
        <v>Currently Unavailable</v>
      </c>
      <c r="I622" s="1" t="str">
        <f t="shared" si="4"/>
        <v>No Badges</v>
      </c>
      <c r="J622" s="3">
        <f t="shared" si="5"/>
        <v>0</v>
      </c>
    </row>
    <row r="623">
      <c r="A623" s="1" t="s">
        <v>565</v>
      </c>
      <c r="B623" s="3" t="str">
        <f t="shared" si="1"/>
        <v>Unavailable</v>
      </c>
      <c r="C623" s="3">
        <v>14.0</v>
      </c>
      <c r="D623" s="3">
        <f>IFERROR(__xludf.DUMMYFUNCTION("IFERROR(
IF(REGEXMATCH(LOWER(O623),""k""),
VALUE(REGEXEXTRACT(O623,""[0-9]+""))*1000,
VALUE(REGEXEXTRACT(O623,""[0-9]+""))
),
0
)"),0.0)</f>
        <v>0</v>
      </c>
      <c r="E623" s="1" t="s">
        <v>11</v>
      </c>
      <c r="F623" s="1" t="s">
        <v>20</v>
      </c>
      <c r="G623" s="4" t="b">
        <f t="shared" si="2"/>
        <v>1</v>
      </c>
      <c r="H623" s="1" t="str">
        <f t="shared" si="3"/>
        <v>Currently Unavailable</v>
      </c>
      <c r="I623" s="1" t="str">
        <f t="shared" si="4"/>
        <v>No Badges</v>
      </c>
      <c r="J623" s="3">
        <f t="shared" si="5"/>
        <v>0</v>
      </c>
    </row>
    <row r="624">
      <c r="A624" s="1" t="s">
        <v>566</v>
      </c>
      <c r="B624" s="3" t="str">
        <f t="shared" si="1"/>
        <v>Unavailable</v>
      </c>
      <c r="C624" s="3">
        <v>763.0</v>
      </c>
      <c r="D624" s="3">
        <f>IFERROR(__xludf.DUMMYFUNCTION("IFERROR(
IF(REGEXMATCH(LOWER(O624),""k""),
VALUE(REGEXEXTRACT(O624,""[0-9]+""))*1000,
VALUE(REGEXEXTRACT(O624,""[0-9]+""))
),
0
)"),0.0)</f>
        <v>0</v>
      </c>
      <c r="E624" s="1" t="s">
        <v>11</v>
      </c>
      <c r="F624" s="1" t="s">
        <v>20</v>
      </c>
      <c r="G624" s="4" t="b">
        <f t="shared" si="2"/>
        <v>1</v>
      </c>
      <c r="H624" s="1" t="str">
        <f t="shared" si="3"/>
        <v>Currently Unavailable</v>
      </c>
      <c r="I624" s="1" t="str">
        <f t="shared" si="4"/>
        <v>No Badges</v>
      </c>
      <c r="J624" s="3">
        <f t="shared" si="5"/>
        <v>0</v>
      </c>
    </row>
    <row r="625">
      <c r="A625" s="1" t="s">
        <v>567</v>
      </c>
      <c r="B625" s="3" t="str">
        <f t="shared" si="1"/>
        <v>Unavailable</v>
      </c>
      <c r="C625" s="3">
        <v>399.0</v>
      </c>
      <c r="D625" s="3">
        <f>IFERROR(__xludf.DUMMYFUNCTION("IFERROR(
IF(REGEXMATCH(LOWER(O625),""k""),
VALUE(REGEXEXTRACT(O625,""[0-9]+""))*1000,
VALUE(REGEXEXTRACT(O625,""[0-9]+""))
),
0
)"),0.0)</f>
        <v>0</v>
      </c>
      <c r="E625" s="1" t="s">
        <v>11</v>
      </c>
      <c r="F625" s="1" t="s">
        <v>20</v>
      </c>
      <c r="G625" s="4" t="b">
        <f t="shared" si="2"/>
        <v>1</v>
      </c>
      <c r="H625" s="1" t="str">
        <f t="shared" si="3"/>
        <v>Currently Unavailable</v>
      </c>
      <c r="I625" s="1" t="str">
        <f t="shared" si="4"/>
        <v>No Badges</v>
      </c>
      <c r="J625" s="3">
        <f t="shared" si="5"/>
        <v>0</v>
      </c>
    </row>
    <row r="626">
      <c r="A626" s="1" t="s">
        <v>568</v>
      </c>
      <c r="B626" s="3" t="str">
        <f t="shared" si="1"/>
        <v>Unavailable</v>
      </c>
      <c r="C626" s="5">
        <v>1447.0</v>
      </c>
      <c r="D626" s="3">
        <f>IFERROR(__xludf.DUMMYFUNCTION("IFERROR(
IF(REGEXMATCH(LOWER(O626),""k""),
VALUE(REGEXEXTRACT(O626,""[0-9]+""))*1000,
VALUE(REGEXEXTRACT(O626,""[0-9]+""))
),
0
)"),0.0)</f>
        <v>0</v>
      </c>
      <c r="E626" s="1" t="s">
        <v>11</v>
      </c>
      <c r="F626" s="1" t="s">
        <v>20</v>
      </c>
      <c r="G626" s="4" t="b">
        <f t="shared" si="2"/>
        <v>1</v>
      </c>
      <c r="H626" s="1" t="str">
        <f t="shared" si="3"/>
        <v>Currently Unavailable</v>
      </c>
      <c r="I626" s="1" t="str">
        <f t="shared" si="4"/>
        <v>No Badges</v>
      </c>
      <c r="J626" s="3">
        <f t="shared" si="5"/>
        <v>0</v>
      </c>
    </row>
    <row r="627">
      <c r="A627" s="1" t="s">
        <v>569</v>
      </c>
      <c r="B627" s="3" t="str">
        <f t="shared" si="1"/>
        <v>Unavailable</v>
      </c>
      <c r="C627" s="5">
        <v>3420.0</v>
      </c>
      <c r="D627" s="3">
        <f>IFERROR(__xludf.DUMMYFUNCTION("IFERROR(
IF(REGEXMATCH(LOWER(O627),""k""),
VALUE(REGEXEXTRACT(O627,""[0-9]+""))*1000,
VALUE(REGEXEXTRACT(O627,""[0-9]+""))
),
0
)"),0.0)</f>
        <v>0</v>
      </c>
      <c r="E627" s="1" t="s">
        <v>11</v>
      </c>
      <c r="F627" s="1" t="s">
        <v>20</v>
      </c>
      <c r="G627" s="4" t="b">
        <f t="shared" si="2"/>
        <v>1</v>
      </c>
      <c r="H627" s="1" t="str">
        <f t="shared" si="3"/>
        <v>Currently Unavailable</v>
      </c>
      <c r="I627" s="1" t="str">
        <f t="shared" si="4"/>
        <v>No Badges</v>
      </c>
      <c r="J627" s="3">
        <f t="shared" si="5"/>
        <v>0</v>
      </c>
    </row>
    <row r="628">
      <c r="A628" s="1" t="s">
        <v>570</v>
      </c>
      <c r="B628" s="3" t="str">
        <f t="shared" si="1"/>
        <v>Unavailable</v>
      </c>
      <c r="C628" s="3">
        <v>575.0</v>
      </c>
      <c r="D628" s="3">
        <f>IFERROR(__xludf.DUMMYFUNCTION("IFERROR(
IF(REGEXMATCH(LOWER(O628),""k""),
VALUE(REGEXEXTRACT(O628,""[0-9]+""))*1000,
VALUE(REGEXEXTRACT(O628,""[0-9]+""))
),
0
)"),0.0)</f>
        <v>0</v>
      </c>
      <c r="E628" s="1" t="s">
        <v>11</v>
      </c>
      <c r="F628" s="1" t="s">
        <v>20</v>
      </c>
      <c r="G628" s="4" t="b">
        <f t="shared" si="2"/>
        <v>1</v>
      </c>
      <c r="H628" s="1" t="str">
        <f t="shared" si="3"/>
        <v>Currently Unavailable</v>
      </c>
      <c r="I628" s="1" t="str">
        <f t="shared" si="4"/>
        <v>No Badges</v>
      </c>
      <c r="J628" s="3">
        <f t="shared" si="5"/>
        <v>0</v>
      </c>
    </row>
    <row r="629">
      <c r="A629" s="1" t="s">
        <v>571</v>
      </c>
      <c r="B629" s="3" t="str">
        <f t="shared" si="1"/>
        <v>Unavailable</v>
      </c>
      <c r="C629" s="3">
        <v>72.0</v>
      </c>
      <c r="D629" s="3">
        <f>IFERROR(__xludf.DUMMYFUNCTION("IFERROR(
IF(REGEXMATCH(LOWER(O629),""k""),
VALUE(REGEXEXTRACT(O629,""[0-9]+""))*1000,
VALUE(REGEXEXTRACT(O629,""[0-9]+""))
),
0
)"),0.0)</f>
        <v>0</v>
      </c>
      <c r="E629" s="1" t="s">
        <v>11</v>
      </c>
      <c r="F629" s="1" t="s">
        <v>20</v>
      </c>
      <c r="G629" s="4" t="b">
        <f t="shared" si="2"/>
        <v>1</v>
      </c>
      <c r="H629" s="1" t="str">
        <f t="shared" si="3"/>
        <v>Currently Unavailable</v>
      </c>
      <c r="I629" s="1" t="str">
        <f t="shared" si="4"/>
        <v>No Badges</v>
      </c>
      <c r="J629" s="3">
        <f t="shared" si="5"/>
        <v>0</v>
      </c>
    </row>
    <row r="630">
      <c r="A630" s="1" t="s">
        <v>572</v>
      </c>
      <c r="B630" s="3" t="str">
        <f t="shared" si="1"/>
        <v>Unavailable</v>
      </c>
      <c r="C630" s="3">
        <v>184.0</v>
      </c>
      <c r="D630" s="3">
        <f>IFERROR(__xludf.DUMMYFUNCTION("IFERROR(
IF(REGEXMATCH(LOWER(O630),""k""),
VALUE(REGEXEXTRACT(O630,""[0-9]+""))*1000,
VALUE(REGEXEXTRACT(O630,""[0-9]+""))
),
0
)"),0.0)</f>
        <v>0</v>
      </c>
      <c r="E630" s="1" t="s">
        <v>11</v>
      </c>
      <c r="F630" s="1" t="s">
        <v>20</v>
      </c>
      <c r="G630" s="4" t="b">
        <f t="shared" si="2"/>
        <v>1</v>
      </c>
      <c r="H630" s="1" t="str">
        <f t="shared" si="3"/>
        <v>Currently Unavailable</v>
      </c>
      <c r="I630" s="1" t="str">
        <f t="shared" si="4"/>
        <v>No Badges</v>
      </c>
      <c r="J630" s="3">
        <f t="shared" si="5"/>
        <v>0</v>
      </c>
    </row>
    <row r="631">
      <c r="A631" s="1" t="s">
        <v>573</v>
      </c>
      <c r="B631" s="3" t="str">
        <f t="shared" si="1"/>
        <v>Unavailable</v>
      </c>
      <c r="C631" s="3">
        <v>292.0</v>
      </c>
      <c r="D631" s="3">
        <f>IFERROR(__xludf.DUMMYFUNCTION("IFERROR(
IF(REGEXMATCH(LOWER(O631),""k""),
VALUE(REGEXEXTRACT(O631,""[0-9]+""))*1000,
VALUE(REGEXEXTRACT(O631,""[0-9]+""))
),
0
)"),0.0)</f>
        <v>0</v>
      </c>
      <c r="E631" s="1" t="s">
        <v>11</v>
      </c>
      <c r="F631" s="1" t="s">
        <v>20</v>
      </c>
      <c r="G631" s="4" t="b">
        <f t="shared" si="2"/>
        <v>1</v>
      </c>
      <c r="H631" s="1" t="str">
        <f t="shared" si="3"/>
        <v>Currently Unavailable</v>
      </c>
      <c r="I631" s="1" t="str">
        <f t="shared" si="4"/>
        <v>No Badges</v>
      </c>
      <c r="J631" s="3">
        <f t="shared" si="5"/>
        <v>0</v>
      </c>
    </row>
    <row r="632">
      <c r="A632" s="1" t="s">
        <v>574</v>
      </c>
      <c r="B632" s="3" t="str">
        <f t="shared" si="1"/>
        <v>Unavailable</v>
      </c>
      <c r="C632" s="5">
        <v>1318.0</v>
      </c>
      <c r="D632" s="3">
        <f>IFERROR(__xludf.DUMMYFUNCTION("IFERROR(
IF(REGEXMATCH(LOWER(O632),""k""),
VALUE(REGEXEXTRACT(O632,""[0-9]+""))*1000,
VALUE(REGEXEXTRACT(O632,""[0-9]+""))
),
0
)"),0.0)</f>
        <v>0</v>
      </c>
      <c r="E632" s="1" t="s">
        <v>11</v>
      </c>
      <c r="F632" s="1" t="s">
        <v>20</v>
      </c>
      <c r="G632" s="4" t="b">
        <f t="shared" si="2"/>
        <v>1</v>
      </c>
      <c r="H632" s="1" t="str">
        <f t="shared" si="3"/>
        <v>Currently Unavailable</v>
      </c>
      <c r="I632" s="1" t="str">
        <f t="shared" si="4"/>
        <v>No Badges</v>
      </c>
      <c r="J632" s="3">
        <f t="shared" si="5"/>
        <v>0</v>
      </c>
    </row>
    <row r="633">
      <c r="A633" s="1" t="s">
        <v>286</v>
      </c>
      <c r="B633" s="3" t="str">
        <f t="shared" si="1"/>
        <v>Unavailable</v>
      </c>
      <c r="C633" s="3">
        <v>28.0</v>
      </c>
      <c r="D633" s="3">
        <f>IFERROR(__xludf.DUMMYFUNCTION("IFERROR(
IF(REGEXMATCH(LOWER(O633),""k""),
VALUE(REGEXEXTRACT(O633,""[0-9]+""))*1000,
VALUE(REGEXEXTRACT(O633,""[0-9]+""))
),
0
)"),0.0)</f>
        <v>0</v>
      </c>
      <c r="E633" s="1" t="s">
        <v>11</v>
      </c>
      <c r="F633" s="1" t="s">
        <v>12</v>
      </c>
      <c r="G633" s="4" t="b">
        <f t="shared" si="2"/>
        <v>1</v>
      </c>
      <c r="H633" s="1" t="str">
        <f t="shared" si="3"/>
        <v>Currently Unavailable</v>
      </c>
      <c r="I633" s="1" t="str">
        <f t="shared" si="4"/>
        <v>No Badges</v>
      </c>
      <c r="J633" s="3">
        <f t="shared" si="5"/>
        <v>0</v>
      </c>
    </row>
    <row r="634">
      <c r="A634" s="1" t="s">
        <v>575</v>
      </c>
      <c r="B634" s="3" t="str">
        <f t="shared" si="1"/>
        <v>Unavailable</v>
      </c>
      <c r="C634" s="5">
        <v>2836.0</v>
      </c>
      <c r="D634" s="3">
        <f>IFERROR(__xludf.DUMMYFUNCTION("IFERROR(
IF(REGEXMATCH(LOWER(O634),""k""),
VALUE(REGEXEXTRACT(O634,""[0-9]+""))*1000,
VALUE(REGEXEXTRACT(O634,""[0-9]+""))
),
0
)"),0.0)</f>
        <v>0</v>
      </c>
      <c r="E634" s="1" t="s">
        <v>11</v>
      </c>
      <c r="F634" s="1" t="s">
        <v>20</v>
      </c>
      <c r="G634" s="4" t="b">
        <f t="shared" si="2"/>
        <v>1</v>
      </c>
      <c r="H634" s="1" t="str">
        <f t="shared" si="3"/>
        <v>Currently Unavailable</v>
      </c>
      <c r="I634" s="1" t="str">
        <f t="shared" si="4"/>
        <v>No Badges</v>
      </c>
      <c r="J634" s="3">
        <f t="shared" si="5"/>
        <v>0</v>
      </c>
    </row>
    <row r="635">
      <c r="A635" s="1" t="s">
        <v>576</v>
      </c>
      <c r="B635" s="3" t="str">
        <f t="shared" si="1"/>
        <v>Unavailable</v>
      </c>
      <c r="C635" s="5">
        <v>1215.0</v>
      </c>
      <c r="D635" s="3">
        <f>IFERROR(__xludf.DUMMYFUNCTION("IFERROR(
IF(REGEXMATCH(LOWER(O635),""k""),
VALUE(REGEXEXTRACT(O635,""[0-9]+""))*1000,
VALUE(REGEXEXTRACT(O635,""[0-9]+""))
),
0
)"),0.0)</f>
        <v>0</v>
      </c>
      <c r="E635" s="1" t="s">
        <v>11</v>
      </c>
      <c r="F635" s="1" t="s">
        <v>20</v>
      </c>
      <c r="G635" s="4" t="b">
        <f t="shared" si="2"/>
        <v>1</v>
      </c>
      <c r="H635" s="1" t="str">
        <f t="shared" si="3"/>
        <v>Currently Unavailable</v>
      </c>
      <c r="I635" s="1" t="str">
        <f t="shared" si="4"/>
        <v>No Badges</v>
      </c>
      <c r="J635" s="3">
        <f t="shared" si="5"/>
        <v>0</v>
      </c>
    </row>
    <row r="636">
      <c r="A636" s="1" t="s">
        <v>577</v>
      </c>
      <c r="B636" s="3" t="str">
        <f t="shared" si="1"/>
        <v>Unavailable</v>
      </c>
      <c r="C636" s="5">
        <v>1043.0</v>
      </c>
      <c r="D636" s="3">
        <f>IFERROR(__xludf.DUMMYFUNCTION("IFERROR(
IF(REGEXMATCH(LOWER(O636),""k""),
VALUE(REGEXEXTRACT(O636,""[0-9]+""))*1000,
VALUE(REGEXEXTRACT(O636,""[0-9]+""))
),
0
)"),0.0)</f>
        <v>0</v>
      </c>
      <c r="E636" s="1" t="s">
        <v>11</v>
      </c>
      <c r="F636" s="1" t="s">
        <v>20</v>
      </c>
      <c r="G636" s="4" t="b">
        <f t="shared" si="2"/>
        <v>1</v>
      </c>
      <c r="H636" s="1" t="str">
        <f t="shared" si="3"/>
        <v>Currently Unavailable</v>
      </c>
      <c r="I636" s="1" t="str">
        <f t="shared" si="4"/>
        <v>No Badges</v>
      </c>
      <c r="J636" s="3">
        <f t="shared" si="5"/>
        <v>0</v>
      </c>
    </row>
    <row r="637">
      <c r="A637" s="1" t="s">
        <v>578</v>
      </c>
      <c r="B637" s="3" t="str">
        <f t="shared" si="1"/>
        <v>Unavailable</v>
      </c>
      <c r="C637" s="5">
        <v>1709.0</v>
      </c>
      <c r="D637" s="3">
        <f>IFERROR(__xludf.DUMMYFUNCTION("IFERROR(
IF(REGEXMATCH(LOWER(O637),""k""),
VALUE(REGEXEXTRACT(O637,""[0-9]+""))*1000,
VALUE(REGEXEXTRACT(O637,""[0-9]+""))
),
0
)"),0.0)</f>
        <v>0</v>
      </c>
      <c r="E637" s="1" t="s">
        <v>11</v>
      </c>
      <c r="F637" s="1" t="s">
        <v>20</v>
      </c>
      <c r="G637" s="4" t="b">
        <f t="shared" si="2"/>
        <v>1</v>
      </c>
      <c r="H637" s="1" t="str">
        <f t="shared" si="3"/>
        <v>Currently Unavailable</v>
      </c>
      <c r="I637" s="1" t="str">
        <f t="shared" si="4"/>
        <v>No Badges</v>
      </c>
      <c r="J637" s="3">
        <f t="shared" si="5"/>
        <v>0</v>
      </c>
    </row>
    <row r="638">
      <c r="A638" s="1" t="s">
        <v>579</v>
      </c>
      <c r="B638" s="3" t="str">
        <f t="shared" si="1"/>
        <v>Unavailable</v>
      </c>
      <c r="C638" s="3">
        <v>134.0</v>
      </c>
      <c r="D638" s="3">
        <f>IFERROR(__xludf.DUMMYFUNCTION("IFERROR(
IF(REGEXMATCH(LOWER(O638),""k""),
VALUE(REGEXEXTRACT(O638,""[0-9]+""))*1000,
VALUE(REGEXEXTRACT(O638,""[0-9]+""))
),
0
)"),0.0)</f>
        <v>0</v>
      </c>
      <c r="E638" s="1" t="s">
        <v>11</v>
      </c>
      <c r="F638" s="1" t="s">
        <v>20</v>
      </c>
      <c r="G638" s="4" t="b">
        <f t="shared" si="2"/>
        <v>1</v>
      </c>
      <c r="H638" s="1" t="str">
        <f t="shared" si="3"/>
        <v>Currently Unavailable</v>
      </c>
      <c r="I638" s="1" t="str">
        <f t="shared" si="4"/>
        <v>No Badges</v>
      </c>
      <c r="J638" s="3">
        <f t="shared" si="5"/>
        <v>0</v>
      </c>
    </row>
    <row r="639">
      <c r="A639" s="1" t="s">
        <v>580</v>
      </c>
      <c r="B639" s="3" t="str">
        <f t="shared" si="1"/>
        <v>Unavailable</v>
      </c>
      <c r="C639" s="5">
        <v>3695.0</v>
      </c>
      <c r="D639" s="3">
        <f>IFERROR(__xludf.DUMMYFUNCTION("IFERROR(
IF(REGEXMATCH(LOWER(O639),""k""),
VALUE(REGEXEXTRACT(O639,""[0-9]+""))*1000,
VALUE(REGEXEXTRACT(O639,""[0-9]+""))
),
0
)"),0.0)</f>
        <v>0</v>
      </c>
      <c r="E639" s="1" t="s">
        <v>11</v>
      </c>
      <c r="F639" s="1" t="s">
        <v>20</v>
      </c>
      <c r="G639" s="4" t="b">
        <f t="shared" si="2"/>
        <v>1</v>
      </c>
      <c r="H639" s="1" t="str">
        <f t="shared" si="3"/>
        <v>Currently Unavailable</v>
      </c>
      <c r="I639" s="1" t="str">
        <f t="shared" si="4"/>
        <v>No Badges</v>
      </c>
      <c r="J639" s="3">
        <f t="shared" si="5"/>
        <v>0</v>
      </c>
    </row>
    <row r="640">
      <c r="A640" s="1" t="s">
        <v>581</v>
      </c>
      <c r="B640" s="3" t="str">
        <f t="shared" si="1"/>
        <v>Unavailable</v>
      </c>
      <c r="C640" s="3">
        <v>283.0</v>
      </c>
      <c r="D640" s="3">
        <f>IFERROR(__xludf.DUMMYFUNCTION("IFERROR(
IF(REGEXMATCH(LOWER(O640),""k""),
VALUE(REGEXEXTRACT(O640,""[0-9]+""))*1000,
VALUE(REGEXEXTRACT(O640,""[0-9]+""))
),
0
)"),0.0)</f>
        <v>0</v>
      </c>
      <c r="E640" s="1" t="s">
        <v>11</v>
      </c>
      <c r="F640" s="1" t="s">
        <v>20</v>
      </c>
      <c r="G640" s="4" t="b">
        <f t="shared" si="2"/>
        <v>1</v>
      </c>
      <c r="H640" s="1" t="str">
        <f t="shared" si="3"/>
        <v>Currently Unavailable</v>
      </c>
      <c r="I640" s="1" t="str">
        <f t="shared" si="4"/>
        <v>No Badges</v>
      </c>
      <c r="J640" s="3">
        <f t="shared" si="5"/>
        <v>0</v>
      </c>
    </row>
    <row r="641">
      <c r="A641" s="1" t="s">
        <v>582</v>
      </c>
      <c r="B641" s="3" t="str">
        <f t="shared" si="1"/>
        <v>Unavailable</v>
      </c>
      <c r="C641" s="3">
        <v>174.0</v>
      </c>
      <c r="D641" s="3">
        <f>IFERROR(__xludf.DUMMYFUNCTION("IFERROR(
IF(REGEXMATCH(LOWER(O641),""k""),
VALUE(REGEXEXTRACT(O641,""[0-9]+""))*1000,
VALUE(REGEXEXTRACT(O641,""[0-9]+""))
),
0
)"),0.0)</f>
        <v>0</v>
      </c>
      <c r="E641" s="1" t="s">
        <v>11</v>
      </c>
      <c r="F641" s="1" t="s">
        <v>20</v>
      </c>
      <c r="G641" s="4" t="b">
        <f t="shared" si="2"/>
        <v>1</v>
      </c>
      <c r="H641" s="1" t="str">
        <f t="shared" si="3"/>
        <v>Currently Unavailable</v>
      </c>
      <c r="I641" s="1" t="str">
        <f t="shared" si="4"/>
        <v>No Badges</v>
      </c>
      <c r="J641" s="3">
        <f t="shared" si="5"/>
        <v>0</v>
      </c>
    </row>
    <row r="642">
      <c r="A642" s="1" t="s">
        <v>583</v>
      </c>
      <c r="B642" s="3" t="str">
        <f t="shared" si="1"/>
        <v>Unavailable</v>
      </c>
      <c r="C642" s="3">
        <v>17.0</v>
      </c>
      <c r="D642" s="3">
        <f>IFERROR(__xludf.DUMMYFUNCTION("IFERROR(
IF(REGEXMATCH(LOWER(O642),""k""),
VALUE(REGEXEXTRACT(O642,""[0-9]+""))*1000,
VALUE(REGEXEXTRACT(O642,""[0-9]+""))
),
0
)"),0.0)</f>
        <v>0</v>
      </c>
      <c r="E642" s="1" t="s">
        <v>11</v>
      </c>
      <c r="F642" s="1" t="s">
        <v>20</v>
      </c>
      <c r="G642" s="4" t="b">
        <f t="shared" si="2"/>
        <v>1</v>
      </c>
      <c r="H642" s="1" t="str">
        <f t="shared" si="3"/>
        <v>Currently Unavailable</v>
      </c>
      <c r="I642" s="1" t="str">
        <f t="shared" si="4"/>
        <v>No Badges</v>
      </c>
      <c r="J642" s="3">
        <f t="shared" si="5"/>
        <v>0</v>
      </c>
    </row>
    <row r="643">
      <c r="A643" s="1" t="s">
        <v>584</v>
      </c>
      <c r="B643" s="3" t="str">
        <f t="shared" si="1"/>
        <v>Unavailable</v>
      </c>
      <c r="C643" s="3">
        <v>688.0</v>
      </c>
      <c r="D643" s="3">
        <f>IFERROR(__xludf.DUMMYFUNCTION("IFERROR(
IF(REGEXMATCH(LOWER(O643),""k""),
VALUE(REGEXEXTRACT(O643,""[0-9]+""))*1000,
VALUE(REGEXEXTRACT(O643,""[0-9]+""))
),
0
)"),0.0)</f>
        <v>0</v>
      </c>
      <c r="E643" s="1" t="s">
        <v>11</v>
      </c>
      <c r="F643" s="1" t="s">
        <v>20</v>
      </c>
      <c r="G643" s="4" t="b">
        <f t="shared" si="2"/>
        <v>1</v>
      </c>
      <c r="H643" s="1" t="str">
        <f t="shared" si="3"/>
        <v>Currently Unavailable</v>
      </c>
      <c r="I643" s="1" t="str">
        <f t="shared" si="4"/>
        <v>No Badges</v>
      </c>
      <c r="J643" s="3">
        <f t="shared" si="5"/>
        <v>0</v>
      </c>
    </row>
    <row r="644">
      <c r="A644" s="1" t="s">
        <v>585</v>
      </c>
      <c r="B644" s="3" t="str">
        <f t="shared" si="1"/>
        <v>Unavailable</v>
      </c>
      <c r="C644" s="3">
        <v>74.0</v>
      </c>
      <c r="D644" s="3">
        <f>IFERROR(__xludf.DUMMYFUNCTION("IFERROR(
IF(REGEXMATCH(LOWER(O644),""k""),
VALUE(REGEXEXTRACT(O644,""[0-9]+""))*1000,
VALUE(REGEXEXTRACT(O644,""[0-9]+""))
),
0
)"),0.0)</f>
        <v>0</v>
      </c>
      <c r="E644" s="1" t="s">
        <v>11</v>
      </c>
      <c r="F644" s="1" t="s">
        <v>20</v>
      </c>
      <c r="G644" s="4" t="b">
        <f t="shared" si="2"/>
        <v>1</v>
      </c>
      <c r="H644" s="1" t="str">
        <f t="shared" si="3"/>
        <v>Currently Unavailable</v>
      </c>
      <c r="I644" s="1" t="str">
        <f t="shared" si="4"/>
        <v>No Badges</v>
      </c>
      <c r="J644" s="3">
        <f t="shared" si="5"/>
        <v>0</v>
      </c>
    </row>
    <row r="645">
      <c r="A645" s="1" t="s">
        <v>586</v>
      </c>
      <c r="B645" s="3" t="str">
        <f t="shared" si="1"/>
        <v>Unavailable</v>
      </c>
      <c r="C645" s="5">
        <v>1071.0</v>
      </c>
      <c r="D645" s="3">
        <f>IFERROR(__xludf.DUMMYFUNCTION("IFERROR(
IF(REGEXMATCH(LOWER(O645),""k""),
VALUE(REGEXEXTRACT(O645,""[0-9]+""))*1000,
VALUE(REGEXEXTRACT(O645,""[0-9]+""))
),
0
)"),0.0)</f>
        <v>0</v>
      </c>
      <c r="E645" s="1" t="s">
        <v>11</v>
      </c>
      <c r="F645" s="1" t="s">
        <v>20</v>
      </c>
      <c r="G645" s="4" t="b">
        <f t="shared" si="2"/>
        <v>1</v>
      </c>
      <c r="H645" s="1" t="str">
        <f t="shared" si="3"/>
        <v>Currently Unavailable</v>
      </c>
      <c r="I645" s="1" t="str">
        <f t="shared" si="4"/>
        <v>No Badges</v>
      </c>
      <c r="J645" s="3">
        <f t="shared" si="5"/>
        <v>0</v>
      </c>
    </row>
    <row r="646">
      <c r="A646" s="1" t="s">
        <v>587</v>
      </c>
      <c r="B646" s="3" t="str">
        <f t="shared" si="1"/>
        <v>Unavailable</v>
      </c>
      <c r="C646" s="5">
        <v>5853.0</v>
      </c>
      <c r="D646" s="3">
        <f>IFERROR(__xludf.DUMMYFUNCTION("IFERROR(
IF(REGEXMATCH(LOWER(O646),""k""),
VALUE(REGEXEXTRACT(O646,""[0-9]+""))*1000,
VALUE(REGEXEXTRACT(O646,""[0-9]+""))
),
0
)"),0.0)</f>
        <v>0</v>
      </c>
      <c r="E646" s="1" t="s">
        <v>11</v>
      </c>
      <c r="F646" s="1" t="s">
        <v>20</v>
      </c>
      <c r="G646" s="4" t="b">
        <f t="shared" si="2"/>
        <v>1</v>
      </c>
      <c r="H646" s="1" t="str">
        <f t="shared" si="3"/>
        <v>Currently Unavailable</v>
      </c>
      <c r="I646" s="1" t="str">
        <f t="shared" si="4"/>
        <v>No Badges</v>
      </c>
      <c r="J646" s="3">
        <f t="shared" si="5"/>
        <v>0</v>
      </c>
    </row>
    <row r="647">
      <c r="A647" s="1" t="s">
        <v>588</v>
      </c>
      <c r="B647" s="3" t="str">
        <f t="shared" si="1"/>
        <v>Unavailable</v>
      </c>
      <c r="C647" s="3">
        <v>220.0</v>
      </c>
      <c r="D647" s="3">
        <f>IFERROR(__xludf.DUMMYFUNCTION("IFERROR(
IF(REGEXMATCH(LOWER(O647),""k""),
VALUE(REGEXEXTRACT(O647,""[0-9]+""))*1000,
VALUE(REGEXEXTRACT(O647,""[0-9]+""))
),
0
)"),0.0)</f>
        <v>0</v>
      </c>
      <c r="E647" s="1" t="s">
        <v>11</v>
      </c>
      <c r="F647" s="1" t="s">
        <v>20</v>
      </c>
      <c r="G647" s="4" t="b">
        <f t="shared" si="2"/>
        <v>1</v>
      </c>
      <c r="H647" s="1" t="str">
        <f t="shared" si="3"/>
        <v>Currently Unavailable</v>
      </c>
      <c r="I647" s="1" t="str">
        <f t="shared" si="4"/>
        <v>No Badges</v>
      </c>
      <c r="J647" s="3">
        <f t="shared" si="5"/>
        <v>0</v>
      </c>
    </row>
    <row r="648">
      <c r="A648" s="1" t="s">
        <v>589</v>
      </c>
      <c r="B648" s="3" t="str">
        <f t="shared" si="1"/>
        <v>Unavailable</v>
      </c>
      <c r="C648" s="5">
        <v>7838.0</v>
      </c>
      <c r="D648" s="3">
        <f>IFERROR(__xludf.DUMMYFUNCTION("IFERROR(
IF(REGEXMATCH(LOWER(O648),""k""),
VALUE(REGEXEXTRACT(O648,""[0-9]+""))*1000,
VALUE(REGEXEXTRACT(O648,""[0-9]+""))
),
0
)"),0.0)</f>
        <v>0</v>
      </c>
      <c r="E648" s="1" t="s">
        <v>11</v>
      </c>
      <c r="F648" s="1" t="s">
        <v>20</v>
      </c>
      <c r="G648" s="4" t="b">
        <f t="shared" si="2"/>
        <v>1</v>
      </c>
      <c r="H648" s="1" t="str">
        <f t="shared" si="3"/>
        <v>Currently Unavailable</v>
      </c>
      <c r="I648" s="1" t="str">
        <f t="shared" si="4"/>
        <v>No Badges</v>
      </c>
      <c r="J648" s="3">
        <f t="shared" si="5"/>
        <v>0</v>
      </c>
    </row>
    <row r="649">
      <c r="A649" s="1" t="s">
        <v>143</v>
      </c>
      <c r="B649" s="3" t="str">
        <f t="shared" si="1"/>
        <v>Unavailable</v>
      </c>
      <c r="C649" s="3">
        <v>63.0</v>
      </c>
      <c r="D649" s="3">
        <f>IFERROR(__xludf.DUMMYFUNCTION("IFERROR(
IF(REGEXMATCH(LOWER(O649),""k""),
VALUE(REGEXEXTRACT(O649,""[0-9]+""))*1000,
VALUE(REGEXEXTRACT(O649,""[0-9]+""))
),
0
)"),0.0)</f>
        <v>0</v>
      </c>
      <c r="E649" s="1" t="s">
        <v>11</v>
      </c>
      <c r="F649" s="1" t="s">
        <v>12</v>
      </c>
      <c r="G649" s="4" t="b">
        <f t="shared" si="2"/>
        <v>1</v>
      </c>
      <c r="H649" s="1" t="str">
        <f t="shared" si="3"/>
        <v>Currently Unavailable</v>
      </c>
      <c r="I649" s="1" t="str">
        <f t="shared" si="4"/>
        <v>No Badges</v>
      </c>
      <c r="J649" s="3">
        <f t="shared" si="5"/>
        <v>0</v>
      </c>
    </row>
    <row r="650">
      <c r="A650" s="1" t="s">
        <v>590</v>
      </c>
      <c r="B650" s="3" t="str">
        <f t="shared" si="1"/>
        <v>Unavailable</v>
      </c>
      <c r="C650" s="3">
        <v>115.0</v>
      </c>
      <c r="D650" s="3">
        <f>IFERROR(__xludf.DUMMYFUNCTION("IFERROR(
IF(REGEXMATCH(LOWER(O650),""k""),
VALUE(REGEXEXTRACT(O650,""[0-9]+""))*1000,
VALUE(REGEXEXTRACT(O650,""[0-9]+""))
),
0
)"),0.0)</f>
        <v>0</v>
      </c>
      <c r="E650" s="1" t="s">
        <v>11</v>
      </c>
      <c r="F650" s="1" t="s">
        <v>20</v>
      </c>
      <c r="G650" s="4" t="b">
        <f t="shared" si="2"/>
        <v>1</v>
      </c>
      <c r="H650" s="1" t="str">
        <f t="shared" si="3"/>
        <v>Currently Unavailable</v>
      </c>
      <c r="I650" s="1" t="str">
        <f t="shared" si="4"/>
        <v>No Badges</v>
      </c>
      <c r="J650" s="3">
        <f t="shared" si="5"/>
        <v>0</v>
      </c>
    </row>
    <row r="651">
      <c r="A651" s="1" t="s">
        <v>67</v>
      </c>
      <c r="B651" s="3" t="str">
        <f t="shared" si="1"/>
        <v>Unavailable</v>
      </c>
      <c r="C651" s="3">
        <v>264.0</v>
      </c>
      <c r="D651" s="3">
        <f>IFERROR(__xludf.DUMMYFUNCTION("IFERROR(
IF(REGEXMATCH(LOWER(O651),""k""),
VALUE(REGEXEXTRACT(O651,""[0-9]+""))*1000,
VALUE(REGEXEXTRACT(O651,""[0-9]+""))
),
0
)"),0.0)</f>
        <v>0</v>
      </c>
      <c r="E651" s="1" t="s">
        <v>11</v>
      </c>
      <c r="F651" s="1" t="s">
        <v>12</v>
      </c>
      <c r="G651" s="4" t="b">
        <f t="shared" si="2"/>
        <v>1</v>
      </c>
      <c r="H651" s="1" t="str">
        <f t="shared" si="3"/>
        <v>Currently Unavailable</v>
      </c>
      <c r="I651" s="1" t="str">
        <f t="shared" si="4"/>
        <v>No Badges</v>
      </c>
      <c r="J651" s="3">
        <f t="shared" si="5"/>
        <v>0</v>
      </c>
    </row>
    <row r="652">
      <c r="A652" s="1" t="s">
        <v>591</v>
      </c>
      <c r="B652" s="3" t="str">
        <f t="shared" si="1"/>
        <v>Unavailable</v>
      </c>
      <c r="C652" s="3">
        <v>289.0</v>
      </c>
      <c r="D652" s="3">
        <f>IFERROR(__xludf.DUMMYFUNCTION("IFERROR(
IF(REGEXMATCH(LOWER(O652),""k""),
VALUE(REGEXEXTRACT(O652,""[0-9]+""))*1000,
VALUE(REGEXEXTRACT(O652,""[0-9]+""))
),
0
)"),0.0)</f>
        <v>0</v>
      </c>
      <c r="E652" s="1" t="s">
        <v>11</v>
      </c>
      <c r="F652" s="1" t="s">
        <v>20</v>
      </c>
      <c r="G652" s="4" t="b">
        <f t="shared" si="2"/>
        <v>1</v>
      </c>
      <c r="H652" s="1" t="str">
        <f t="shared" si="3"/>
        <v>Currently Unavailable</v>
      </c>
      <c r="I652" s="1" t="str">
        <f t="shared" si="4"/>
        <v>No Badges</v>
      </c>
      <c r="J652" s="3">
        <f t="shared" si="5"/>
        <v>0</v>
      </c>
    </row>
    <row r="653">
      <c r="A653" s="1" t="s">
        <v>592</v>
      </c>
      <c r="B653" s="3" t="str">
        <f t="shared" si="1"/>
        <v>Unavailable</v>
      </c>
      <c r="C653" s="3">
        <v>951.0</v>
      </c>
      <c r="D653" s="3">
        <f>IFERROR(__xludf.DUMMYFUNCTION("IFERROR(
IF(REGEXMATCH(LOWER(O653),""k""),
VALUE(REGEXEXTRACT(O653,""[0-9]+""))*1000,
VALUE(REGEXEXTRACT(O653,""[0-9]+""))
),
0
)"),0.0)</f>
        <v>0</v>
      </c>
      <c r="E653" s="1" t="s">
        <v>11</v>
      </c>
      <c r="F653" s="1" t="s">
        <v>20</v>
      </c>
      <c r="G653" s="4" t="b">
        <f t="shared" si="2"/>
        <v>1</v>
      </c>
      <c r="H653" s="1" t="str">
        <f t="shared" si="3"/>
        <v>Currently Unavailable</v>
      </c>
      <c r="I653" s="1" t="str">
        <f t="shared" si="4"/>
        <v>No Badges</v>
      </c>
      <c r="J653" s="3">
        <f t="shared" si="5"/>
        <v>0</v>
      </c>
    </row>
    <row r="654">
      <c r="A654" s="1" t="s">
        <v>593</v>
      </c>
      <c r="B654" s="3" t="str">
        <f t="shared" si="1"/>
        <v>Unavailable</v>
      </c>
      <c r="C654" s="5">
        <v>1135.0</v>
      </c>
      <c r="D654" s="3">
        <f>IFERROR(__xludf.DUMMYFUNCTION("IFERROR(
IF(REGEXMATCH(LOWER(O654),""k""),
VALUE(REGEXEXTRACT(O654,""[0-9]+""))*1000,
VALUE(REGEXEXTRACT(O654,""[0-9]+""))
),
0
)"),0.0)</f>
        <v>0</v>
      </c>
      <c r="E654" s="1" t="s">
        <v>11</v>
      </c>
      <c r="F654" s="1" t="s">
        <v>20</v>
      </c>
      <c r="G654" s="4" t="b">
        <f t="shared" si="2"/>
        <v>1</v>
      </c>
      <c r="H654" s="1" t="str">
        <f t="shared" si="3"/>
        <v>Currently Unavailable</v>
      </c>
      <c r="I654" s="1" t="str">
        <f t="shared" si="4"/>
        <v>No Badges</v>
      </c>
      <c r="J654" s="3">
        <f t="shared" si="5"/>
        <v>0</v>
      </c>
    </row>
    <row r="655">
      <c r="A655" s="1" t="s">
        <v>594</v>
      </c>
      <c r="B655" s="3" t="str">
        <f t="shared" si="1"/>
        <v>Unavailable</v>
      </c>
      <c r="C655" s="3">
        <v>585.0</v>
      </c>
      <c r="D655" s="3">
        <f>IFERROR(__xludf.DUMMYFUNCTION("IFERROR(
IF(REGEXMATCH(LOWER(O655),""k""),
VALUE(REGEXEXTRACT(O655,""[0-9]+""))*1000,
VALUE(REGEXEXTRACT(O655,""[0-9]+""))
),
0
)"),0.0)</f>
        <v>0</v>
      </c>
      <c r="E655" s="1" t="s">
        <v>18</v>
      </c>
      <c r="F655" s="1" t="s">
        <v>20</v>
      </c>
      <c r="G655" s="4" t="b">
        <f t="shared" si="2"/>
        <v>1</v>
      </c>
      <c r="H655" s="1" t="str">
        <f t="shared" si="3"/>
        <v>Currently Unavailable</v>
      </c>
      <c r="I655" s="1" t="str">
        <f t="shared" si="4"/>
        <v>No Badges</v>
      </c>
      <c r="J655" s="3">
        <f t="shared" si="5"/>
        <v>0</v>
      </c>
    </row>
    <row r="656">
      <c r="A656" s="1" t="s">
        <v>595</v>
      </c>
      <c r="B656" s="3" t="str">
        <f t="shared" si="1"/>
        <v>Unavailable</v>
      </c>
      <c r="C656" s="3">
        <v>422.0</v>
      </c>
      <c r="D656" s="3">
        <f>IFERROR(__xludf.DUMMYFUNCTION("IFERROR(
IF(REGEXMATCH(LOWER(O656),""k""),
VALUE(REGEXEXTRACT(O656,""[0-9]+""))*1000,
VALUE(REGEXEXTRACT(O656,""[0-9]+""))
),
0
)"),0.0)</f>
        <v>0</v>
      </c>
      <c r="E656" s="1" t="s">
        <v>11</v>
      </c>
      <c r="F656" s="1" t="s">
        <v>20</v>
      </c>
      <c r="G656" s="4" t="b">
        <f t="shared" si="2"/>
        <v>1</v>
      </c>
      <c r="H656" s="1" t="str">
        <f t="shared" si="3"/>
        <v>Currently Unavailable</v>
      </c>
      <c r="I656" s="1" t="str">
        <f t="shared" si="4"/>
        <v>No Badges</v>
      </c>
      <c r="J656" s="3">
        <f t="shared" si="5"/>
        <v>0</v>
      </c>
    </row>
    <row r="657">
      <c r="A657" s="1" t="s">
        <v>596</v>
      </c>
      <c r="B657" s="3" t="str">
        <f t="shared" si="1"/>
        <v>Unavailable</v>
      </c>
      <c r="C657" s="3">
        <v>18.0</v>
      </c>
      <c r="D657" s="3">
        <f>IFERROR(__xludf.DUMMYFUNCTION("IFERROR(
IF(REGEXMATCH(LOWER(O657),""k""),
VALUE(REGEXEXTRACT(O657,""[0-9]+""))*1000,
VALUE(REGEXEXTRACT(O657,""[0-9]+""))
),
0
)"),0.0)</f>
        <v>0</v>
      </c>
      <c r="E657" s="1" t="s">
        <v>11</v>
      </c>
      <c r="F657" s="1" t="s">
        <v>20</v>
      </c>
      <c r="G657" s="4" t="b">
        <f t="shared" si="2"/>
        <v>1</v>
      </c>
      <c r="H657" s="1" t="str">
        <f t="shared" si="3"/>
        <v>Currently Unavailable</v>
      </c>
      <c r="I657" s="1" t="str">
        <f t="shared" si="4"/>
        <v>No Badges</v>
      </c>
      <c r="J657" s="3">
        <f t="shared" si="5"/>
        <v>0</v>
      </c>
    </row>
    <row r="658">
      <c r="A658" s="1" t="s">
        <v>597</v>
      </c>
      <c r="B658" s="3" t="str">
        <f t="shared" si="1"/>
        <v>Unavailable</v>
      </c>
      <c r="C658" s="5">
        <v>14976.0</v>
      </c>
      <c r="D658" s="3">
        <f>IFERROR(__xludf.DUMMYFUNCTION("IFERROR(
IF(REGEXMATCH(LOWER(O658),""k""),
VALUE(REGEXEXTRACT(O658,""[0-9]+""))*1000,
VALUE(REGEXEXTRACT(O658,""[0-9]+""))
),
0
)"),0.0)</f>
        <v>0</v>
      </c>
      <c r="E658" s="1" t="s">
        <v>11</v>
      </c>
      <c r="F658" s="1" t="s">
        <v>20</v>
      </c>
      <c r="G658" s="4" t="b">
        <f t="shared" si="2"/>
        <v>1</v>
      </c>
      <c r="H658" s="1" t="str">
        <f t="shared" si="3"/>
        <v>Currently Unavailable</v>
      </c>
      <c r="I658" s="1" t="str">
        <f t="shared" si="4"/>
        <v>No Badges</v>
      </c>
      <c r="J658" s="3">
        <f t="shared" si="5"/>
        <v>0</v>
      </c>
    </row>
    <row r="659">
      <c r="A659" s="1" t="s">
        <v>598</v>
      </c>
      <c r="B659" s="3" t="str">
        <f t="shared" si="1"/>
        <v>Unavailable</v>
      </c>
      <c r="C659" s="5">
        <v>1739.0</v>
      </c>
      <c r="D659" s="3">
        <f>IFERROR(__xludf.DUMMYFUNCTION("IFERROR(
IF(REGEXMATCH(LOWER(O659),""k""),
VALUE(REGEXEXTRACT(O659,""[0-9]+""))*1000,
VALUE(REGEXEXTRACT(O659,""[0-9]+""))
),
0
)"),0.0)</f>
        <v>0</v>
      </c>
      <c r="E659" s="1" t="s">
        <v>11</v>
      </c>
      <c r="F659" s="1" t="s">
        <v>20</v>
      </c>
      <c r="G659" s="4" t="b">
        <f t="shared" si="2"/>
        <v>1</v>
      </c>
      <c r="H659" s="1" t="str">
        <f t="shared" si="3"/>
        <v>Currently Unavailable</v>
      </c>
      <c r="I659" s="1" t="str">
        <f t="shared" si="4"/>
        <v>No Badges</v>
      </c>
      <c r="J659" s="3">
        <f t="shared" si="5"/>
        <v>0</v>
      </c>
    </row>
    <row r="660">
      <c r="A660" s="1" t="s">
        <v>599</v>
      </c>
      <c r="B660" s="3" t="str">
        <f t="shared" si="1"/>
        <v>Unavailable</v>
      </c>
      <c r="C660" s="3">
        <v>88.0</v>
      </c>
      <c r="D660" s="3">
        <f>IFERROR(__xludf.DUMMYFUNCTION("IFERROR(
IF(REGEXMATCH(LOWER(O660),""k""),
VALUE(REGEXEXTRACT(O660,""[0-9]+""))*1000,
VALUE(REGEXEXTRACT(O660,""[0-9]+""))
),
0
)"),0.0)</f>
        <v>0</v>
      </c>
      <c r="E660" s="1" t="s">
        <v>11</v>
      </c>
      <c r="F660" s="1" t="s">
        <v>20</v>
      </c>
      <c r="G660" s="4" t="b">
        <f t="shared" si="2"/>
        <v>1</v>
      </c>
      <c r="H660" s="1" t="str">
        <f t="shared" si="3"/>
        <v>Currently Unavailable</v>
      </c>
      <c r="I660" s="1" t="str">
        <f t="shared" si="4"/>
        <v>No Badges</v>
      </c>
      <c r="J660" s="3">
        <f t="shared" si="5"/>
        <v>0</v>
      </c>
    </row>
    <row r="661">
      <c r="A661" s="1" t="s">
        <v>600</v>
      </c>
      <c r="B661" s="3" t="str">
        <f t="shared" si="1"/>
        <v>Unavailable</v>
      </c>
      <c r="C661" s="3">
        <v>219.0</v>
      </c>
      <c r="D661" s="3">
        <f>IFERROR(__xludf.DUMMYFUNCTION("IFERROR(
IF(REGEXMATCH(LOWER(O661),""k""),
VALUE(REGEXEXTRACT(O661,""[0-9]+""))*1000,
VALUE(REGEXEXTRACT(O661,""[0-9]+""))
),
0
)"),0.0)</f>
        <v>0</v>
      </c>
      <c r="E661" s="1" t="s">
        <v>11</v>
      </c>
      <c r="F661" s="1" t="s">
        <v>20</v>
      </c>
      <c r="G661" s="4" t="b">
        <f t="shared" si="2"/>
        <v>1</v>
      </c>
      <c r="H661" s="1" t="str">
        <f t="shared" si="3"/>
        <v>Currently Unavailable</v>
      </c>
      <c r="I661" s="1" t="str">
        <f t="shared" si="4"/>
        <v>No Badges</v>
      </c>
      <c r="J661" s="3">
        <f t="shared" si="5"/>
        <v>0</v>
      </c>
    </row>
    <row r="662">
      <c r="A662" s="1" t="s">
        <v>601</v>
      </c>
      <c r="B662" s="3" t="str">
        <f t="shared" si="1"/>
        <v>Unavailable</v>
      </c>
      <c r="C662" s="5">
        <v>3682.0</v>
      </c>
      <c r="D662" s="3">
        <f>IFERROR(__xludf.DUMMYFUNCTION("IFERROR(
IF(REGEXMATCH(LOWER(O662),""k""),
VALUE(REGEXEXTRACT(O662,""[0-9]+""))*1000,
VALUE(REGEXEXTRACT(O662,""[0-9]+""))
),
0
)"),0.0)</f>
        <v>0</v>
      </c>
      <c r="E662" s="1" t="s">
        <v>11</v>
      </c>
      <c r="F662" s="1" t="s">
        <v>20</v>
      </c>
      <c r="G662" s="4" t="b">
        <f t="shared" si="2"/>
        <v>1</v>
      </c>
      <c r="H662" s="1" t="str">
        <f t="shared" si="3"/>
        <v>Currently Unavailable</v>
      </c>
      <c r="I662" s="1" t="str">
        <f t="shared" si="4"/>
        <v>No Badges</v>
      </c>
      <c r="J662" s="3">
        <f t="shared" si="5"/>
        <v>0</v>
      </c>
    </row>
    <row r="663">
      <c r="A663" s="1" t="s">
        <v>602</v>
      </c>
      <c r="B663" s="3" t="str">
        <f t="shared" si="1"/>
        <v>Unavailable</v>
      </c>
      <c r="C663" s="3">
        <v>31.0</v>
      </c>
      <c r="D663" s="3">
        <f>IFERROR(__xludf.DUMMYFUNCTION("IFERROR(
IF(REGEXMATCH(LOWER(O663),""k""),
VALUE(REGEXEXTRACT(O663,""[0-9]+""))*1000,
VALUE(REGEXEXTRACT(O663,""[0-9]+""))
),
0
)"),0.0)</f>
        <v>0</v>
      </c>
      <c r="E663" s="1" t="s">
        <v>11</v>
      </c>
      <c r="F663" s="1" t="s">
        <v>20</v>
      </c>
      <c r="G663" s="4" t="b">
        <f t="shared" si="2"/>
        <v>1</v>
      </c>
      <c r="H663" s="1" t="str">
        <f t="shared" si="3"/>
        <v>Currently Unavailable</v>
      </c>
      <c r="I663" s="1" t="str">
        <f t="shared" si="4"/>
        <v>No Badges</v>
      </c>
      <c r="J663" s="3">
        <f t="shared" si="5"/>
        <v>0</v>
      </c>
    </row>
    <row r="664">
      <c r="A664" s="1" t="s">
        <v>603</v>
      </c>
      <c r="B664" s="3" t="str">
        <f t="shared" si="1"/>
        <v>Unavailable</v>
      </c>
      <c r="C664" s="3">
        <v>107.0</v>
      </c>
      <c r="D664" s="3">
        <f>IFERROR(__xludf.DUMMYFUNCTION("IFERROR(
IF(REGEXMATCH(LOWER(O664),""k""),
VALUE(REGEXEXTRACT(O664,""[0-9]+""))*1000,
VALUE(REGEXEXTRACT(O664,""[0-9]+""))
),
0
)"),0.0)</f>
        <v>0</v>
      </c>
      <c r="E664" s="1" t="s">
        <v>11</v>
      </c>
      <c r="F664" s="1" t="s">
        <v>20</v>
      </c>
      <c r="G664" s="4" t="b">
        <f t="shared" si="2"/>
        <v>1</v>
      </c>
      <c r="H664" s="1" t="str">
        <f t="shared" si="3"/>
        <v>Currently Unavailable</v>
      </c>
      <c r="I664" s="1" t="str">
        <f t="shared" si="4"/>
        <v>No Badges</v>
      </c>
      <c r="J664" s="3">
        <f t="shared" si="5"/>
        <v>0</v>
      </c>
    </row>
    <row r="665">
      <c r="A665" s="1" t="s">
        <v>604</v>
      </c>
      <c r="B665" s="3" t="str">
        <f t="shared" si="1"/>
        <v>Unavailable</v>
      </c>
      <c r="C665" s="3">
        <v>30.0</v>
      </c>
      <c r="D665" s="3">
        <f>IFERROR(__xludf.DUMMYFUNCTION("IFERROR(
IF(REGEXMATCH(LOWER(O665),""k""),
VALUE(REGEXEXTRACT(O665,""[0-9]+""))*1000,
VALUE(REGEXEXTRACT(O665,""[0-9]+""))
),
0
)"),0.0)</f>
        <v>0</v>
      </c>
      <c r="E665" s="1" t="s">
        <v>11</v>
      </c>
      <c r="F665" s="1" t="s">
        <v>12</v>
      </c>
      <c r="G665" s="4" t="b">
        <f t="shared" si="2"/>
        <v>1</v>
      </c>
      <c r="H665" s="1" t="str">
        <f t="shared" si="3"/>
        <v>Currently Unavailable</v>
      </c>
      <c r="I665" s="1" t="str">
        <f t="shared" si="4"/>
        <v>No Badges</v>
      </c>
      <c r="J665" s="3">
        <f t="shared" si="5"/>
        <v>0</v>
      </c>
    </row>
    <row r="666">
      <c r="A666" s="1" t="s">
        <v>40</v>
      </c>
      <c r="B666" s="3" t="str">
        <f t="shared" si="1"/>
        <v>Unavailable</v>
      </c>
      <c r="C666" s="3">
        <v>171.0</v>
      </c>
      <c r="D666" s="3">
        <f>IFERROR(__xludf.DUMMYFUNCTION("IFERROR(
IF(REGEXMATCH(LOWER(O666),""k""),
VALUE(REGEXEXTRACT(O666,""[0-9]+""))*1000,
VALUE(REGEXEXTRACT(O666,""[0-9]+""))
),
0
)"),0.0)</f>
        <v>0</v>
      </c>
      <c r="E666" s="1" t="s">
        <v>11</v>
      </c>
      <c r="F666" s="1" t="s">
        <v>12</v>
      </c>
      <c r="G666" s="4" t="b">
        <f t="shared" si="2"/>
        <v>1</v>
      </c>
      <c r="H666" s="1" t="str">
        <f t="shared" si="3"/>
        <v>Currently Unavailable</v>
      </c>
      <c r="I666" s="1" t="str">
        <f t="shared" si="4"/>
        <v>No Badges</v>
      </c>
      <c r="J666" s="3">
        <f t="shared" si="5"/>
        <v>0</v>
      </c>
    </row>
    <row r="667">
      <c r="A667" s="1" t="s">
        <v>605</v>
      </c>
      <c r="B667" s="3" t="str">
        <f t="shared" si="1"/>
        <v>Unavailable</v>
      </c>
      <c r="C667" s="3">
        <v>24.0</v>
      </c>
      <c r="D667" s="3">
        <f>IFERROR(__xludf.DUMMYFUNCTION("IFERROR(
IF(REGEXMATCH(LOWER(O667),""k""),
VALUE(REGEXEXTRACT(O667,""[0-9]+""))*1000,
VALUE(REGEXEXTRACT(O667,""[0-9]+""))
),
0
)"),0.0)</f>
        <v>0</v>
      </c>
      <c r="E667" s="1" t="s">
        <v>11</v>
      </c>
      <c r="F667" s="1" t="s">
        <v>20</v>
      </c>
      <c r="G667" s="4" t="b">
        <f t="shared" si="2"/>
        <v>1</v>
      </c>
      <c r="H667" s="1" t="str">
        <f t="shared" si="3"/>
        <v>Currently Unavailable</v>
      </c>
      <c r="I667" s="1" t="str">
        <f t="shared" si="4"/>
        <v>No Badges</v>
      </c>
      <c r="J667" s="3">
        <f t="shared" si="5"/>
        <v>0</v>
      </c>
    </row>
    <row r="668">
      <c r="A668" s="1" t="s">
        <v>606</v>
      </c>
      <c r="B668" s="3" t="str">
        <f t="shared" si="1"/>
        <v>Unavailable</v>
      </c>
      <c r="C668" s="3">
        <v>279.0</v>
      </c>
      <c r="D668" s="3">
        <f>IFERROR(__xludf.DUMMYFUNCTION("IFERROR(
IF(REGEXMATCH(LOWER(O668),""k""),
VALUE(REGEXEXTRACT(O668,""[0-9]+""))*1000,
VALUE(REGEXEXTRACT(O668,""[0-9]+""))
),
0
)"),0.0)</f>
        <v>0</v>
      </c>
      <c r="E668" s="1" t="s">
        <v>11</v>
      </c>
      <c r="F668" s="1" t="s">
        <v>20</v>
      </c>
      <c r="G668" s="4" t="b">
        <f t="shared" si="2"/>
        <v>1</v>
      </c>
      <c r="H668" s="1" t="str">
        <f t="shared" si="3"/>
        <v>Currently Unavailable</v>
      </c>
      <c r="I668" s="1" t="str">
        <f t="shared" si="4"/>
        <v>No Badges</v>
      </c>
      <c r="J668" s="3">
        <f t="shared" si="5"/>
        <v>0</v>
      </c>
    </row>
    <row r="669">
      <c r="A669" s="1" t="s">
        <v>607</v>
      </c>
      <c r="B669" s="3" t="str">
        <f t="shared" si="1"/>
        <v>Unavailable</v>
      </c>
      <c r="C669" s="3">
        <v>49.0</v>
      </c>
      <c r="D669" s="3">
        <f>IFERROR(__xludf.DUMMYFUNCTION("IFERROR(
IF(REGEXMATCH(LOWER(O669),""k""),
VALUE(REGEXEXTRACT(O669,""[0-9]+""))*1000,
VALUE(REGEXEXTRACT(O669,""[0-9]+""))
),
0
)"),0.0)</f>
        <v>0</v>
      </c>
      <c r="E669" s="1" t="s">
        <v>11</v>
      </c>
      <c r="F669" s="1" t="s">
        <v>20</v>
      </c>
      <c r="G669" s="4" t="b">
        <f t="shared" si="2"/>
        <v>1</v>
      </c>
      <c r="H669" s="1" t="str">
        <f t="shared" si="3"/>
        <v>Currently Unavailable</v>
      </c>
      <c r="I669" s="1" t="str">
        <f t="shared" si="4"/>
        <v>No Badges</v>
      </c>
      <c r="J669" s="3">
        <f t="shared" si="5"/>
        <v>0</v>
      </c>
    </row>
    <row r="670">
      <c r="A670" s="1" t="s">
        <v>608</v>
      </c>
      <c r="B670" s="3" t="str">
        <f t="shared" si="1"/>
        <v>Unavailable</v>
      </c>
      <c r="C670" s="5">
        <v>1273.0</v>
      </c>
      <c r="D670" s="3">
        <f>IFERROR(__xludf.DUMMYFUNCTION("IFERROR(
IF(REGEXMATCH(LOWER(O670),""k""),
VALUE(REGEXEXTRACT(O670,""[0-9]+""))*1000,
VALUE(REGEXEXTRACT(O670,""[0-9]+""))
),
0
)"),0.0)</f>
        <v>0</v>
      </c>
      <c r="E670" s="1" t="s">
        <v>11</v>
      </c>
      <c r="F670" s="1" t="s">
        <v>20</v>
      </c>
      <c r="G670" s="4" t="b">
        <f t="shared" si="2"/>
        <v>1</v>
      </c>
      <c r="H670" s="1" t="str">
        <f t="shared" si="3"/>
        <v>Currently Unavailable</v>
      </c>
      <c r="I670" s="1" t="str">
        <f t="shared" si="4"/>
        <v>No Badges</v>
      </c>
      <c r="J670" s="3">
        <f t="shared" si="5"/>
        <v>0</v>
      </c>
    </row>
    <row r="671">
      <c r="A671" s="1" t="s">
        <v>609</v>
      </c>
      <c r="B671" s="3" t="str">
        <f t="shared" si="1"/>
        <v>Unavailable</v>
      </c>
      <c r="C671" s="3">
        <v>251.0</v>
      </c>
      <c r="D671" s="3">
        <f>IFERROR(__xludf.DUMMYFUNCTION("IFERROR(
IF(REGEXMATCH(LOWER(O671),""k""),
VALUE(REGEXEXTRACT(O671,""[0-9]+""))*1000,
VALUE(REGEXEXTRACT(O671,""[0-9]+""))
),
0
)"),0.0)</f>
        <v>0</v>
      </c>
      <c r="E671" s="1" t="s">
        <v>11</v>
      </c>
      <c r="F671" s="1" t="s">
        <v>20</v>
      </c>
      <c r="G671" s="4" t="b">
        <f t="shared" si="2"/>
        <v>1</v>
      </c>
      <c r="H671" s="1" t="str">
        <f t="shared" si="3"/>
        <v>Currently Unavailable</v>
      </c>
      <c r="I671" s="1" t="str">
        <f t="shared" si="4"/>
        <v>No Badges</v>
      </c>
      <c r="J671" s="3">
        <f t="shared" si="5"/>
        <v>0</v>
      </c>
    </row>
    <row r="672">
      <c r="A672" s="1" t="s">
        <v>610</v>
      </c>
      <c r="B672" s="3" t="str">
        <f t="shared" si="1"/>
        <v>Unavailable</v>
      </c>
      <c r="C672" s="3">
        <v>36.0</v>
      </c>
      <c r="D672" s="3">
        <f>IFERROR(__xludf.DUMMYFUNCTION("IFERROR(
IF(REGEXMATCH(LOWER(O672),""k""),
VALUE(REGEXEXTRACT(O672,""[0-9]+""))*1000,
VALUE(REGEXEXTRACT(O672,""[0-9]+""))
),
0
)"),0.0)</f>
        <v>0</v>
      </c>
      <c r="E672" s="1" t="s">
        <v>11</v>
      </c>
      <c r="F672" s="1" t="s">
        <v>20</v>
      </c>
      <c r="G672" s="4" t="b">
        <f t="shared" si="2"/>
        <v>1</v>
      </c>
      <c r="H672" s="1" t="str">
        <f t="shared" si="3"/>
        <v>Currently Unavailable</v>
      </c>
      <c r="I672" s="1" t="str">
        <f t="shared" si="4"/>
        <v>No Badges</v>
      </c>
      <c r="J672" s="3">
        <f t="shared" si="5"/>
        <v>0</v>
      </c>
    </row>
    <row r="673">
      <c r="A673" s="1" t="s">
        <v>611</v>
      </c>
      <c r="B673" s="3" t="str">
        <f t="shared" si="1"/>
        <v>Unavailable</v>
      </c>
      <c r="C673" s="3">
        <v>140.0</v>
      </c>
      <c r="D673" s="3">
        <f>IFERROR(__xludf.DUMMYFUNCTION("IFERROR(
IF(REGEXMATCH(LOWER(O673),""k""),
VALUE(REGEXEXTRACT(O673,""[0-9]+""))*1000,
VALUE(REGEXEXTRACT(O673,""[0-9]+""))
),
0
)"),0.0)</f>
        <v>0</v>
      </c>
      <c r="E673" s="1" t="s">
        <v>11</v>
      </c>
      <c r="F673" s="1" t="s">
        <v>20</v>
      </c>
      <c r="G673" s="4" t="b">
        <f t="shared" si="2"/>
        <v>1</v>
      </c>
      <c r="H673" s="1" t="str">
        <f t="shared" si="3"/>
        <v>Currently Unavailable</v>
      </c>
      <c r="I673" s="1" t="str">
        <f t="shared" si="4"/>
        <v>No Badges</v>
      </c>
      <c r="J673" s="3">
        <f t="shared" si="5"/>
        <v>0</v>
      </c>
    </row>
    <row r="674">
      <c r="A674" s="1" t="s">
        <v>612</v>
      </c>
      <c r="B674" s="3" t="str">
        <f t="shared" si="1"/>
        <v>Unavailable</v>
      </c>
      <c r="C674" s="3">
        <v>48.0</v>
      </c>
      <c r="D674" s="3">
        <f>IFERROR(__xludf.DUMMYFUNCTION("IFERROR(
IF(REGEXMATCH(LOWER(O674),""k""),
VALUE(REGEXEXTRACT(O674,""[0-9]+""))*1000,
VALUE(REGEXEXTRACT(O674,""[0-9]+""))
),
0
)"),0.0)</f>
        <v>0</v>
      </c>
      <c r="E674" s="1" t="s">
        <v>11</v>
      </c>
      <c r="F674" s="1" t="s">
        <v>20</v>
      </c>
      <c r="G674" s="4" t="b">
        <f t="shared" si="2"/>
        <v>1</v>
      </c>
      <c r="H674" s="1" t="str">
        <f t="shared" si="3"/>
        <v>Currently Unavailable</v>
      </c>
      <c r="I674" s="1" t="str">
        <f t="shared" si="4"/>
        <v>No Badges</v>
      </c>
      <c r="J674" s="3">
        <f t="shared" si="5"/>
        <v>0</v>
      </c>
    </row>
    <row r="675">
      <c r="A675" s="1" t="s">
        <v>613</v>
      </c>
      <c r="B675" s="3" t="str">
        <f t="shared" si="1"/>
        <v>Unavailable</v>
      </c>
      <c r="C675" s="3">
        <v>107.0</v>
      </c>
      <c r="D675" s="3">
        <f>IFERROR(__xludf.DUMMYFUNCTION("IFERROR(
IF(REGEXMATCH(LOWER(O675),""k""),
VALUE(REGEXEXTRACT(O675,""[0-9]+""))*1000,
VALUE(REGEXEXTRACT(O675,""[0-9]+""))
),
0
)"),0.0)</f>
        <v>0</v>
      </c>
      <c r="E675" s="1" t="s">
        <v>11</v>
      </c>
      <c r="F675" s="1" t="s">
        <v>20</v>
      </c>
      <c r="G675" s="4" t="b">
        <f t="shared" si="2"/>
        <v>1</v>
      </c>
      <c r="H675" s="1" t="str">
        <f t="shared" si="3"/>
        <v>Currently Unavailable</v>
      </c>
      <c r="I675" s="1" t="str">
        <f t="shared" si="4"/>
        <v>No Badges</v>
      </c>
      <c r="J675" s="3">
        <f t="shared" si="5"/>
        <v>0</v>
      </c>
    </row>
    <row r="676">
      <c r="A676" s="1" t="s">
        <v>614</v>
      </c>
      <c r="B676" s="3" t="str">
        <f t="shared" si="1"/>
        <v>Unavailable</v>
      </c>
      <c r="C676" s="5">
        <v>4455.0</v>
      </c>
      <c r="D676" s="3">
        <f>IFERROR(__xludf.DUMMYFUNCTION("IFERROR(
IF(REGEXMATCH(LOWER(O676),""k""),
VALUE(REGEXEXTRACT(O676,""[0-9]+""))*1000,
VALUE(REGEXEXTRACT(O676,""[0-9]+""))
),
0
)"),0.0)</f>
        <v>0</v>
      </c>
      <c r="E676" s="1" t="s">
        <v>11</v>
      </c>
      <c r="F676" s="1" t="s">
        <v>20</v>
      </c>
      <c r="G676" s="4" t="b">
        <f t="shared" si="2"/>
        <v>1</v>
      </c>
      <c r="H676" s="1" t="str">
        <f t="shared" si="3"/>
        <v>Currently Unavailable</v>
      </c>
      <c r="I676" s="1" t="str">
        <f t="shared" si="4"/>
        <v>No Badges</v>
      </c>
      <c r="J676" s="3">
        <f t="shared" si="5"/>
        <v>0</v>
      </c>
    </row>
    <row r="677">
      <c r="A677" s="1" t="s">
        <v>615</v>
      </c>
      <c r="B677" s="3" t="str">
        <f t="shared" si="1"/>
        <v>Unavailable</v>
      </c>
      <c r="C677" s="3">
        <v>27.0</v>
      </c>
      <c r="D677" s="3">
        <f>IFERROR(__xludf.DUMMYFUNCTION("IFERROR(
IF(REGEXMATCH(LOWER(O677),""k""),
VALUE(REGEXEXTRACT(O677,""[0-9]+""))*1000,
VALUE(REGEXEXTRACT(O677,""[0-9]+""))
),
0
)"),0.0)</f>
        <v>0</v>
      </c>
      <c r="E677" s="1" t="s">
        <v>11</v>
      </c>
      <c r="F677" s="1" t="s">
        <v>20</v>
      </c>
      <c r="G677" s="4" t="b">
        <f t="shared" si="2"/>
        <v>1</v>
      </c>
      <c r="H677" s="1" t="str">
        <f t="shared" si="3"/>
        <v>Currently Unavailable</v>
      </c>
      <c r="I677" s="1" t="str">
        <f t="shared" si="4"/>
        <v>No Badges</v>
      </c>
      <c r="J677" s="3">
        <f t="shared" si="5"/>
        <v>0</v>
      </c>
    </row>
    <row r="678">
      <c r="A678" s="1" t="s">
        <v>616</v>
      </c>
      <c r="B678" s="3" t="str">
        <f t="shared" si="1"/>
        <v>Unavailable</v>
      </c>
      <c r="C678" s="3">
        <v>819.0</v>
      </c>
      <c r="D678" s="3">
        <f>IFERROR(__xludf.DUMMYFUNCTION("IFERROR(
IF(REGEXMATCH(LOWER(O678),""k""),
VALUE(REGEXEXTRACT(O678,""[0-9]+""))*1000,
VALUE(REGEXEXTRACT(O678,""[0-9]+""))
),
0
)"),0.0)</f>
        <v>0</v>
      </c>
      <c r="E678" s="1" t="s">
        <v>11</v>
      </c>
      <c r="F678" s="1" t="s">
        <v>20</v>
      </c>
      <c r="G678" s="4" t="b">
        <f t="shared" si="2"/>
        <v>1</v>
      </c>
      <c r="H678" s="1" t="str">
        <f t="shared" si="3"/>
        <v>Currently Unavailable</v>
      </c>
      <c r="I678" s="1" t="str">
        <f t="shared" si="4"/>
        <v>No Badges</v>
      </c>
      <c r="J678" s="3">
        <f t="shared" si="5"/>
        <v>0</v>
      </c>
    </row>
    <row r="679">
      <c r="A679" s="1" t="s">
        <v>617</v>
      </c>
      <c r="B679" s="3" t="str">
        <f t="shared" si="1"/>
        <v>Unavailable</v>
      </c>
      <c r="C679" s="5">
        <v>2894.0</v>
      </c>
      <c r="D679" s="3">
        <f>IFERROR(__xludf.DUMMYFUNCTION("IFERROR(
IF(REGEXMATCH(LOWER(O679),""k""),
VALUE(REGEXEXTRACT(O679,""[0-9]+""))*1000,
VALUE(REGEXEXTRACT(O679,""[0-9]+""))
),
0
)"),0.0)</f>
        <v>0</v>
      </c>
      <c r="E679" s="1" t="s">
        <v>11</v>
      </c>
      <c r="F679" s="1" t="s">
        <v>20</v>
      </c>
      <c r="G679" s="4" t="b">
        <f t="shared" si="2"/>
        <v>1</v>
      </c>
      <c r="H679" s="1" t="str">
        <f t="shared" si="3"/>
        <v>Currently Unavailable</v>
      </c>
      <c r="I679" s="1" t="str">
        <f t="shared" si="4"/>
        <v>No Badges</v>
      </c>
      <c r="J679" s="3">
        <f t="shared" si="5"/>
        <v>0</v>
      </c>
    </row>
    <row r="680">
      <c r="A680" s="1" t="s">
        <v>88</v>
      </c>
      <c r="B680" s="3" t="str">
        <f t="shared" si="1"/>
        <v>Unavailable</v>
      </c>
      <c r="C680" s="3">
        <v>5.0</v>
      </c>
      <c r="D680" s="3">
        <f>IFERROR(__xludf.DUMMYFUNCTION("IFERROR(
IF(REGEXMATCH(LOWER(O680),""k""),
VALUE(REGEXEXTRACT(O680,""[0-9]+""))*1000,
VALUE(REGEXEXTRACT(O680,""[0-9]+""))
),
0
)"),0.0)</f>
        <v>0</v>
      </c>
      <c r="E680" s="1" t="s">
        <v>11</v>
      </c>
      <c r="F680" s="1" t="s">
        <v>12</v>
      </c>
      <c r="G680" s="4" t="b">
        <f t="shared" si="2"/>
        <v>1</v>
      </c>
      <c r="H680" s="1" t="str">
        <f t="shared" si="3"/>
        <v>Currently Unavailable</v>
      </c>
      <c r="I680" s="1" t="str">
        <f t="shared" si="4"/>
        <v>No Badges</v>
      </c>
      <c r="J680" s="3">
        <f t="shared" si="5"/>
        <v>0</v>
      </c>
    </row>
    <row r="681">
      <c r="A681" s="1" t="s">
        <v>618</v>
      </c>
      <c r="B681" s="3" t="str">
        <f t="shared" si="1"/>
        <v>Unavailable</v>
      </c>
      <c r="C681" s="3">
        <v>37.0</v>
      </c>
      <c r="D681" s="3">
        <f>IFERROR(__xludf.DUMMYFUNCTION("IFERROR(
IF(REGEXMATCH(LOWER(O681),""k""),
VALUE(REGEXEXTRACT(O681,""[0-9]+""))*1000,
VALUE(REGEXEXTRACT(O681,""[0-9]+""))
),
0
)"),0.0)</f>
        <v>0</v>
      </c>
      <c r="E681" s="1" t="s">
        <v>11</v>
      </c>
      <c r="F681" s="1" t="s">
        <v>20</v>
      </c>
      <c r="G681" s="4" t="b">
        <f t="shared" si="2"/>
        <v>1</v>
      </c>
      <c r="H681" s="1" t="str">
        <f t="shared" si="3"/>
        <v>Currently Unavailable</v>
      </c>
      <c r="I681" s="1" t="str">
        <f t="shared" si="4"/>
        <v>No Badges</v>
      </c>
      <c r="J681" s="3">
        <f t="shared" si="5"/>
        <v>0</v>
      </c>
    </row>
    <row r="682">
      <c r="A682" s="1" t="s">
        <v>619</v>
      </c>
      <c r="B682" s="3" t="str">
        <f t="shared" si="1"/>
        <v>Unavailable</v>
      </c>
      <c r="C682" s="3">
        <v>190.0</v>
      </c>
      <c r="D682" s="3">
        <f>IFERROR(__xludf.DUMMYFUNCTION("IFERROR(
IF(REGEXMATCH(LOWER(O682),""k""),
VALUE(REGEXEXTRACT(O682,""[0-9]+""))*1000,
VALUE(REGEXEXTRACT(O682,""[0-9]+""))
),
0
)"),0.0)</f>
        <v>0</v>
      </c>
      <c r="E682" s="1" t="s">
        <v>11</v>
      </c>
      <c r="F682" s="1" t="s">
        <v>20</v>
      </c>
      <c r="G682" s="4" t="b">
        <f t="shared" si="2"/>
        <v>1</v>
      </c>
      <c r="H682" s="1" t="str">
        <f t="shared" si="3"/>
        <v>Currently Unavailable</v>
      </c>
      <c r="I682" s="1" t="str">
        <f t="shared" si="4"/>
        <v>No Badges</v>
      </c>
      <c r="J682" s="3">
        <f t="shared" si="5"/>
        <v>0</v>
      </c>
    </row>
    <row r="683">
      <c r="A683" s="1" t="s">
        <v>620</v>
      </c>
      <c r="B683" s="3" t="str">
        <f t="shared" si="1"/>
        <v>Unavailable</v>
      </c>
      <c r="C683" s="3">
        <v>59.0</v>
      </c>
      <c r="D683" s="3">
        <f>IFERROR(__xludf.DUMMYFUNCTION("IFERROR(
IF(REGEXMATCH(LOWER(O683),""k""),
VALUE(REGEXEXTRACT(O683,""[0-9]+""))*1000,
VALUE(REGEXEXTRACT(O683,""[0-9]+""))
),
0
)"),0.0)</f>
        <v>0</v>
      </c>
      <c r="E683" s="1" t="s">
        <v>11</v>
      </c>
      <c r="F683" s="1" t="s">
        <v>20</v>
      </c>
      <c r="G683" s="4" t="b">
        <f t="shared" si="2"/>
        <v>1</v>
      </c>
      <c r="H683" s="1" t="str">
        <f t="shared" si="3"/>
        <v>Currently Unavailable</v>
      </c>
      <c r="I683" s="1" t="str">
        <f t="shared" si="4"/>
        <v>No Badges</v>
      </c>
      <c r="J683" s="3">
        <f t="shared" si="5"/>
        <v>0</v>
      </c>
    </row>
    <row r="684">
      <c r="A684" s="1" t="s">
        <v>621</v>
      </c>
      <c r="B684" s="3" t="str">
        <f t="shared" si="1"/>
        <v>Unavailable</v>
      </c>
      <c r="C684" s="3">
        <v>317.0</v>
      </c>
      <c r="D684" s="3">
        <f>IFERROR(__xludf.DUMMYFUNCTION("IFERROR(
IF(REGEXMATCH(LOWER(O684),""k""),
VALUE(REGEXEXTRACT(O684,""[0-9]+""))*1000,
VALUE(REGEXEXTRACT(O684,""[0-9]+""))
),
0
)"),0.0)</f>
        <v>0</v>
      </c>
      <c r="E684" s="1" t="s">
        <v>11</v>
      </c>
      <c r="F684" s="1" t="s">
        <v>20</v>
      </c>
      <c r="G684" s="4" t="b">
        <f t="shared" si="2"/>
        <v>1</v>
      </c>
      <c r="H684" s="1" t="str">
        <f t="shared" si="3"/>
        <v>Currently Unavailable</v>
      </c>
      <c r="I684" s="1" t="str">
        <f t="shared" si="4"/>
        <v>No Badges</v>
      </c>
      <c r="J684" s="3">
        <f t="shared" si="5"/>
        <v>0</v>
      </c>
    </row>
    <row r="685">
      <c r="A685" s="1" t="s">
        <v>88</v>
      </c>
      <c r="B685" s="3" t="str">
        <f t="shared" si="1"/>
        <v>Unavailable</v>
      </c>
      <c r="C685" s="3">
        <v>5.0</v>
      </c>
      <c r="D685" s="3">
        <f>IFERROR(__xludf.DUMMYFUNCTION("IFERROR(
IF(REGEXMATCH(LOWER(O685),""k""),
VALUE(REGEXEXTRACT(O685,""[0-9]+""))*1000,
VALUE(REGEXEXTRACT(O685,""[0-9]+""))
),
0
)"),0.0)</f>
        <v>0</v>
      </c>
      <c r="E685" s="1" t="s">
        <v>11</v>
      </c>
      <c r="F685" s="1" t="s">
        <v>12</v>
      </c>
      <c r="G685" s="4" t="b">
        <f t="shared" si="2"/>
        <v>1</v>
      </c>
      <c r="H685" s="1" t="str">
        <f t="shared" si="3"/>
        <v>Currently Unavailable</v>
      </c>
      <c r="I685" s="1" t="str">
        <f t="shared" si="4"/>
        <v>No Badges</v>
      </c>
      <c r="J685" s="3">
        <f t="shared" si="5"/>
        <v>0</v>
      </c>
    </row>
    <row r="686">
      <c r="A686" s="1" t="s">
        <v>622</v>
      </c>
      <c r="B686" s="3" t="str">
        <f t="shared" si="1"/>
        <v>Unavailable</v>
      </c>
      <c r="C686" s="3">
        <v>5.0</v>
      </c>
      <c r="D686" s="3">
        <f>IFERROR(__xludf.DUMMYFUNCTION("IFERROR(
IF(REGEXMATCH(LOWER(O686),""k""),
VALUE(REGEXEXTRACT(O686,""[0-9]+""))*1000,
VALUE(REGEXEXTRACT(O686,""[0-9]+""))
),
0
)"),0.0)</f>
        <v>0</v>
      </c>
      <c r="E686" s="1" t="s">
        <v>11</v>
      </c>
      <c r="F686" s="1" t="s">
        <v>20</v>
      </c>
      <c r="G686" s="4" t="b">
        <f t="shared" si="2"/>
        <v>1</v>
      </c>
      <c r="H686" s="1" t="str">
        <f t="shared" si="3"/>
        <v>Currently Unavailable</v>
      </c>
      <c r="I686" s="1" t="str">
        <f t="shared" si="4"/>
        <v>No Badges</v>
      </c>
      <c r="J686" s="3">
        <f t="shared" si="5"/>
        <v>0</v>
      </c>
    </row>
    <row r="687">
      <c r="A687" s="1" t="s">
        <v>623</v>
      </c>
      <c r="B687" s="3" t="str">
        <f t="shared" si="1"/>
        <v>Unavailable</v>
      </c>
      <c r="C687" s="3">
        <v>92.0</v>
      </c>
      <c r="D687" s="3">
        <f>IFERROR(__xludf.DUMMYFUNCTION("IFERROR(
IF(REGEXMATCH(LOWER(O687),""k""),
VALUE(REGEXEXTRACT(O687,""[0-9]+""))*1000,
VALUE(REGEXEXTRACT(O687,""[0-9]+""))
),
0
)"),0.0)</f>
        <v>0</v>
      </c>
      <c r="E687" s="1" t="s">
        <v>11</v>
      </c>
      <c r="F687" s="1" t="s">
        <v>20</v>
      </c>
      <c r="G687" s="4" t="b">
        <f t="shared" si="2"/>
        <v>1</v>
      </c>
      <c r="H687" s="1" t="str">
        <f t="shared" si="3"/>
        <v>Currently Unavailable</v>
      </c>
      <c r="I687" s="1" t="str">
        <f t="shared" si="4"/>
        <v>No Badges</v>
      </c>
      <c r="J687" s="3">
        <f t="shared" si="5"/>
        <v>0</v>
      </c>
    </row>
    <row r="688">
      <c r="A688" s="1" t="s">
        <v>624</v>
      </c>
      <c r="B688" s="3" t="str">
        <f t="shared" si="1"/>
        <v>Unavailable</v>
      </c>
      <c r="C688" s="3">
        <v>28.0</v>
      </c>
      <c r="D688" s="3">
        <f>IFERROR(__xludf.DUMMYFUNCTION("IFERROR(
IF(REGEXMATCH(LOWER(O688),""k""),
VALUE(REGEXEXTRACT(O688,""[0-9]+""))*1000,
VALUE(REGEXEXTRACT(O688,""[0-9]+""))
),
0
)"),0.0)</f>
        <v>0</v>
      </c>
      <c r="E688" s="1" t="s">
        <v>11</v>
      </c>
      <c r="F688" s="1" t="s">
        <v>20</v>
      </c>
      <c r="G688" s="4" t="b">
        <f t="shared" si="2"/>
        <v>1</v>
      </c>
      <c r="H688" s="1" t="str">
        <f t="shared" si="3"/>
        <v>Currently Unavailable</v>
      </c>
      <c r="I688" s="1" t="str">
        <f t="shared" si="4"/>
        <v>No Badges</v>
      </c>
      <c r="J688" s="3">
        <f t="shared" si="5"/>
        <v>0</v>
      </c>
    </row>
    <row r="689">
      <c r="A689" s="1" t="s">
        <v>625</v>
      </c>
      <c r="B689" s="3" t="str">
        <f t="shared" si="1"/>
        <v>Unavailable</v>
      </c>
      <c r="C689" s="3">
        <v>627.0</v>
      </c>
      <c r="D689" s="3">
        <f>IFERROR(__xludf.DUMMYFUNCTION("IFERROR(
IF(REGEXMATCH(LOWER(O689),""k""),
VALUE(REGEXEXTRACT(O689,""[0-9]+""))*1000,
VALUE(REGEXEXTRACT(O689,""[0-9]+""))
),
0
)"),0.0)</f>
        <v>0</v>
      </c>
      <c r="E689" s="1" t="s">
        <v>11</v>
      </c>
      <c r="F689" s="1" t="s">
        <v>20</v>
      </c>
      <c r="G689" s="4" t="b">
        <f t="shared" si="2"/>
        <v>1</v>
      </c>
      <c r="H689" s="1" t="str">
        <f t="shared" si="3"/>
        <v>Currently Unavailable</v>
      </c>
      <c r="I689" s="1" t="str">
        <f t="shared" si="4"/>
        <v>No Badges</v>
      </c>
      <c r="J689" s="3">
        <f t="shared" si="5"/>
        <v>0</v>
      </c>
    </row>
    <row r="690">
      <c r="A690" s="1" t="s">
        <v>625</v>
      </c>
      <c r="B690" s="3" t="str">
        <f t="shared" si="1"/>
        <v>Unavailable</v>
      </c>
      <c r="C690" s="3">
        <v>627.0</v>
      </c>
      <c r="D690" s="3">
        <f>IFERROR(__xludf.DUMMYFUNCTION("IFERROR(
IF(REGEXMATCH(LOWER(O690),""k""),
VALUE(REGEXEXTRACT(O690,""[0-9]+""))*1000,
VALUE(REGEXEXTRACT(O690,""[0-9]+""))
),
0
)"),0.0)</f>
        <v>0</v>
      </c>
      <c r="E690" s="1" t="s">
        <v>11</v>
      </c>
      <c r="F690" s="1" t="s">
        <v>20</v>
      </c>
      <c r="G690" s="4" t="b">
        <f t="shared" si="2"/>
        <v>1</v>
      </c>
      <c r="H690" s="1" t="str">
        <f t="shared" si="3"/>
        <v>Currently Unavailable</v>
      </c>
      <c r="I690" s="1" t="str">
        <f t="shared" si="4"/>
        <v>No Badges</v>
      </c>
      <c r="J690" s="3">
        <f t="shared" si="5"/>
        <v>0</v>
      </c>
    </row>
    <row r="691">
      <c r="A691" s="1" t="s">
        <v>626</v>
      </c>
      <c r="B691" s="3" t="str">
        <f t="shared" si="1"/>
        <v>Unavailable</v>
      </c>
      <c r="C691" s="3">
        <v>61.0</v>
      </c>
      <c r="D691" s="3">
        <f>IFERROR(__xludf.DUMMYFUNCTION("IFERROR(
IF(REGEXMATCH(LOWER(O691),""k""),
VALUE(REGEXEXTRACT(O691,""[0-9]+""))*1000,
VALUE(REGEXEXTRACT(O691,""[0-9]+""))
),
0
)"),0.0)</f>
        <v>0</v>
      </c>
      <c r="E691" s="1" t="s">
        <v>11</v>
      </c>
      <c r="F691" s="1" t="s">
        <v>20</v>
      </c>
      <c r="G691" s="4" t="b">
        <f t="shared" si="2"/>
        <v>1</v>
      </c>
      <c r="H691" s="1" t="str">
        <f t="shared" si="3"/>
        <v>Currently Unavailable</v>
      </c>
      <c r="I691" s="1" t="str">
        <f t="shared" si="4"/>
        <v>No Badges</v>
      </c>
      <c r="J691" s="3">
        <f t="shared" si="5"/>
        <v>0</v>
      </c>
    </row>
    <row r="692">
      <c r="A692" s="1" t="s">
        <v>627</v>
      </c>
      <c r="B692" s="3" t="str">
        <f t="shared" si="1"/>
        <v>Unavailable</v>
      </c>
      <c r="C692" s="3">
        <v>85.0</v>
      </c>
      <c r="D692" s="3">
        <f>IFERROR(__xludf.DUMMYFUNCTION("IFERROR(
IF(REGEXMATCH(LOWER(O692),""k""),
VALUE(REGEXEXTRACT(O692,""[0-9]+""))*1000,
VALUE(REGEXEXTRACT(O692,""[0-9]+""))
),
0
)"),0.0)</f>
        <v>0</v>
      </c>
      <c r="E692" s="1" t="s">
        <v>11</v>
      </c>
      <c r="F692" s="1" t="s">
        <v>20</v>
      </c>
      <c r="G692" s="4" t="b">
        <f t="shared" si="2"/>
        <v>1</v>
      </c>
      <c r="H692" s="1" t="str">
        <f t="shared" si="3"/>
        <v>Currently Unavailable</v>
      </c>
      <c r="I692" s="1" t="str">
        <f t="shared" si="4"/>
        <v>No Badges</v>
      </c>
      <c r="J692" s="3">
        <f t="shared" si="5"/>
        <v>0</v>
      </c>
    </row>
    <row r="693">
      <c r="A693" s="1" t="s">
        <v>628</v>
      </c>
      <c r="B693" s="3" t="str">
        <f t="shared" si="1"/>
        <v>Unavailable</v>
      </c>
      <c r="C693" s="3">
        <v>626.0</v>
      </c>
      <c r="D693" s="3">
        <f>IFERROR(__xludf.DUMMYFUNCTION("IFERROR(
IF(REGEXMATCH(LOWER(O693),""k""),
VALUE(REGEXEXTRACT(O693,""[0-9]+""))*1000,
VALUE(REGEXEXTRACT(O693,""[0-9]+""))
),
0
)"),0.0)</f>
        <v>0</v>
      </c>
      <c r="E693" s="1" t="s">
        <v>11</v>
      </c>
      <c r="F693" s="1" t="s">
        <v>20</v>
      </c>
      <c r="G693" s="4" t="b">
        <f t="shared" si="2"/>
        <v>1</v>
      </c>
      <c r="H693" s="1" t="str">
        <f t="shared" si="3"/>
        <v>Currently Unavailable</v>
      </c>
      <c r="I693" s="1" t="str">
        <f t="shared" si="4"/>
        <v>No Badges</v>
      </c>
      <c r="J693" s="3">
        <f t="shared" si="5"/>
        <v>0</v>
      </c>
    </row>
    <row r="694">
      <c r="A694" s="1" t="s">
        <v>629</v>
      </c>
      <c r="B694" s="3" t="str">
        <f t="shared" si="1"/>
        <v>Unavailable</v>
      </c>
      <c r="C694" s="3">
        <v>229.0</v>
      </c>
      <c r="D694" s="3">
        <f>IFERROR(__xludf.DUMMYFUNCTION("IFERROR(
IF(REGEXMATCH(LOWER(O694),""k""),
VALUE(REGEXEXTRACT(O694,""[0-9]+""))*1000,
VALUE(REGEXEXTRACT(O694,""[0-9]+""))
),
0
)"),0.0)</f>
        <v>0</v>
      </c>
      <c r="E694" s="1" t="s">
        <v>11</v>
      </c>
      <c r="F694" s="1" t="s">
        <v>20</v>
      </c>
      <c r="G694" s="4" t="b">
        <f t="shared" si="2"/>
        <v>1</v>
      </c>
      <c r="H694" s="1" t="str">
        <f t="shared" si="3"/>
        <v>Currently Unavailable</v>
      </c>
      <c r="I694" s="1" t="str">
        <f t="shared" si="4"/>
        <v>No Badges</v>
      </c>
      <c r="J694" s="3">
        <f t="shared" si="5"/>
        <v>0</v>
      </c>
    </row>
    <row r="695">
      <c r="A695" s="1" t="s">
        <v>630</v>
      </c>
      <c r="B695" s="3" t="str">
        <f t="shared" si="1"/>
        <v>Unavailable</v>
      </c>
      <c r="C695" s="3">
        <v>56.0</v>
      </c>
      <c r="D695" s="3">
        <f>IFERROR(__xludf.DUMMYFUNCTION("IFERROR(
IF(REGEXMATCH(LOWER(O695),""k""),
VALUE(REGEXEXTRACT(O695,""[0-9]+""))*1000,
VALUE(REGEXEXTRACT(O695,""[0-9]+""))
),
0
)"),0.0)</f>
        <v>0</v>
      </c>
      <c r="E695" s="1" t="s">
        <v>11</v>
      </c>
      <c r="F695" s="1" t="s">
        <v>20</v>
      </c>
      <c r="G695" s="4" t="b">
        <f t="shared" si="2"/>
        <v>1</v>
      </c>
      <c r="H695" s="1" t="str">
        <f t="shared" si="3"/>
        <v>Currently Unavailable</v>
      </c>
      <c r="I695" s="1" t="str">
        <f t="shared" si="4"/>
        <v>No Badges</v>
      </c>
      <c r="J695" s="3">
        <f t="shared" si="5"/>
        <v>0</v>
      </c>
    </row>
    <row r="696">
      <c r="A696" s="1" t="s">
        <v>631</v>
      </c>
      <c r="B696" s="3" t="str">
        <f t="shared" si="1"/>
        <v>Unavailable</v>
      </c>
      <c r="C696" s="3">
        <v>58.0</v>
      </c>
      <c r="D696" s="3">
        <f>IFERROR(__xludf.DUMMYFUNCTION("IFERROR(
IF(REGEXMATCH(LOWER(O696),""k""),
VALUE(REGEXEXTRACT(O696,""[0-9]+""))*1000,
VALUE(REGEXEXTRACT(O696,""[0-9]+""))
),
0
)"),0.0)</f>
        <v>0</v>
      </c>
      <c r="E696" s="1" t="s">
        <v>11</v>
      </c>
      <c r="F696" s="1" t="s">
        <v>20</v>
      </c>
      <c r="G696" s="4" t="b">
        <f t="shared" si="2"/>
        <v>1</v>
      </c>
      <c r="H696" s="1" t="str">
        <f t="shared" si="3"/>
        <v>Currently Unavailable</v>
      </c>
      <c r="I696" s="1" t="str">
        <f t="shared" si="4"/>
        <v>No Badges</v>
      </c>
      <c r="J696" s="3">
        <f t="shared" si="5"/>
        <v>0</v>
      </c>
    </row>
    <row r="697">
      <c r="A697" s="1" t="s">
        <v>632</v>
      </c>
      <c r="B697" s="3" t="str">
        <f t="shared" si="1"/>
        <v>Unavailable</v>
      </c>
      <c r="C697" s="3">
        <v>44.0</v>
      </c>
      <c r="D697" s="3">
        <f>IFERROR(__xludf.DUMMYFUNCTION("IFERROR(
IF(REGEXMATCH(LOWER(O697),""k""),
VALUE(REGEXEXTRACT(O697,""[0-9]+""))*1000,
VALUE(REGEXEXTRACT(O697,""[0-9]+""))
),
0
)"),0.0)</f>
        <v>0</v>
      </c>
      <c r="E697" s="1" t="s">
        <v>11</v>
      </c>
      <c r="F697" s="1" t="s">
        <v>20</v>
      </c>
      <c r="G697" s="4" t="b">
        <f t="shared" si="2"/>
        <v>1</v>
      </c>
      <c r="H697" s="1" t="str">
        <f t="shared" si="3"/>
        <v>Currently Unavailable</v>
      </c>
      <c r="I697" s="1" t="str">
        <f t="shared" si="4"/>
        <v>No Badges</v>
      </c>
      <c r="J697" s="3">
        <f t="shared" si="5"/>
        <v>0</v>
      </c>
    </row>
    <row r="698">
      <c r="A698" s="1" t="s">
        <v>633</v>
      </c>
      <c r="B698" s="3" t="str">
        <f t="shared" si="1"/>
        <v>Unavailable</v>
      </c>
      <c r="C698" s="3">
        <v>330.0</v>
      </c>
      <c r="D698" s="3">
        <f>IFERROR(__xludf.DUMMYFUNCTION("IFERROR(
IF(REGEXMATCH(LOWER(O698),""k""),
VALUE(REGEXEXTRACT(O698,""[0-9]+""))*1000,
VALUE(REGEXEXTRACT(O698,""[0-9]+""))
),
0
)"),0.0)</f>
        <v>0</v>
      </c>
      <c r="E698" s="1" t="s">
        <v>11</v>
      </c>
      <c r="F698" s="1" t="s">
        <v>20</v>
      </c>
      <c r="G698" s="4" t="b">
        <f t="shared" si="2"/>
        <v>1</v>
      </c>
      <c r="H698" s="1" t="str">
        <f t="shared" si="3"/>
        <v>Currently Unavailable</v>
      </c>
      <c r="I698" s="1" t="str">
        <f t="shared" si="4"/>
        <v>No Badges</v>
      </c>
      <c r="J698" s="3">
        <f t="shared" si="5"/>
        <v>0</v>
      </c>
    </row>
    <row r="699">
      <c r="A699" s="1" t="s">
        <v>331</v>
      </c>
      <c r="B699" s="3" t="str">
        <f t="shared" si="1"/>
        <v>Unavailable</v>
      </c>
      <c r="C699" s="3">
        <v>9.0</v>
      </c>
      <c r="D699" s="3">
        <f>IFERROR(__xludf.DUMMYFUNCTION("IFERROR(
IF(REGEXMATCH(LOWER(O699),""k""),
VALUE(REGEXEXTRACT(O699,""[0-9]+""))*1000,
VALUE(REGEXEXTRACT(O699,""[0-9]+""))
),
0
)"),0.0)</f>
        <v>0</v>
      </c>
      <c r="E699" s="1" t="s">
        <v>11</v>
      </c>
      <c r="F699" s="1" t="s">
        <v>12</v>
      </c>
      <c r="G699" s="4" t="b">
        <f t="shared" si="2"/>
        <v>1</v>
      </c>
      <c r="H699" s="1" t="str">
        <f t="shared" si="3"/>
        <v>Currently Unavailable</v>
      </c>
      <c r="I699" s="1" t="str">
        <f t="shared" si="4"/>
        <v>No Badges</v>
      </c>
      <c r="J699" s="3">
        <f t="shared" si="5"/>
        <v>0</v>
      </c>
    </row>
    <row r="700">
      <c r="A700" s="1" t="s">
        <v>67</v>
      </c>
      <c r="B700" s="3" t="str">
        <f t="shared" si="1"/>
        <v>Unavailable</v>
      </c>
      <c r="C700" s="3">
        <v>264.0</v>
      </c>
      <c r="D700" s="3">
        <f>IFERROR(__xludf.DUMMYFUNCTION("IFERROR(
IF(REGEXMATCH(LOWER(O700),""k""),
VALUE(REGEXEXTRACT(O700,""[0-9]+""))*1000,
VALUE(REGEXEXTRACT(O700,""[0-9]+""))
),
0
)"),0.0)</f>
        <v>0</v>
      </c>
      <c r="E700" s="1" t="s">
        <v>11</v>
      </c>
      <c r="F700" s="1" t="s">
        <v>12</v>
      </c>
      <c r="G700" s="4" t="b">
        <f t="shared" si="2"/>
        <v>1</v>
      </c>
      <c r="H700" s="1" t="str">
        <f t="shared" si="3"/>
        <v>Currently Unavailable</v>
      </c>
      <c r="I700" s="1" t="str">
        <f t="shared" si="4"/>
        <v>No Badges</v>
      </c>
      <c r="J700" s="3">
        <f t="shared" si="5"/>
        <v>0</v>
      </c>
    </row>
    <row r="701">
      <c r="A701" s="1" t="s">
        <v>634</v>
      </c>
      <c r="B701" s="3" t="str">
        <f t="shared" si="1"/>
        <v>Unavailable</v>
      </c>
      <c r="C701" s="3">
        <v>279.0</v>
      </c>
      <c r="D701" s="3">
        <f>IFERROR(__xludf.DUMMYFUNCTION("IFERROR(
IF(REGEXMATCH(LOWER(O701),""k""),
VALUE(REGEXEXTRACT(O701,""[0-9]+""))*1000,
VALUE(REGEXEXTRACT(O701,""[0-9]+""))
),
0
)"),0.0)</f>
        <v>0</v>
      </c>
      <c r="E701" s="1" t="s">
        <v>11</v>
      </c>
      <c r="F701" s="1" t="s">
        <v>20</v>
      </c>
      <c r="G701" s="4" t="b">
        <f t="shared" si="2"/>
        <v>1</v>
      </c>
      <c r="H701" s="1" t="str">
        <f t="shared" si="3"/>
        <v>Currently Unavailable</v>
      </c>
      <c r="I701" s="1" t="str">
        <f t="shared" si="4"/>
        <v>No Badges</v>
      </c>
      <c r="J701" s="3">
        <f t="shared" si="5"/>
        <v>0</v>
      </c>
    </row>
    <row r="702">
      <c r="A702" s="1" t="s">
        <v>635</v>
      </c>
      <c r="B702" s="3" t="str">
        <f t="shared" si="1"/>
        <v>Unavailable</v>
      </c>
      <c r="C702" s="5">
        <v>6914.0</v>
      </c>
      <c r="D702" s="3">
        <f>IFERROR(__xludf.DUMMYFUNCTION("IFERROR(
IF(REGEXMATCH(LOWER(O702),""k""),
VALUE(REGEXEXTRACT(O702,""[0-9]+""))*1000,
VALUE(REGEXEXTRACT(O702,""[0-9]+""))
),
0
)"),0.0)</f>
        <v>0</v>
      </c>
      <c r="E702" s="1" t="s">
        <v>11</v>
      </c>
      <c r="F702" s="1" t="s">
        <v>20</v>
      </c>
      <c r="G702" s="4" t="b">
        <f t="shared" si="2"/>
        <v>1</v>
      </c>
      <c r="H702" s="1" t="str">
        <f t="shared" si="3"/>
        <v>Currently Unavailable</v>
      </c>
      <c r="I702" s="1" t="str">
        <f t="shared" si="4"/>
        <v>No Badges</v>
      </c>
      <c r="J702" s="3">
        <f t="shared" si="5"/>
        <v>0</v>
      </c>
    </row>
    <row r="703">
      <c r="A703" s="1" t="s">
        <v>636</v>
      </c>
      <c r="B703" s="3" t="str">
        <f t="shared" si="1"/>
        <v>Unavailable</v>
      </c>
      <c r="C703" s="5">
        <v>15170.0</v>
      </c>
      <c r="D703" s="3">
        <f>IFERROR(__xludf.DUMMYFUNCTION("IFERROR(
IF(REGEXMATCH(LOWER(O703),""k""),
VALUE(REGEXEXTRACT(O703,""[0-9]+""))*1000,
VALUE(REGEXEXTRACT(O703,""[0-9]+""))
),
0
)"),0.0)</f>
        <v>0</v>
      </c>
      <c r="E703" s="1" t="s">
        <v>11</v>
      </c>
      <c r="F703" s="1" t="s">
        <v>20</v>
      </c>
      <c r="G703" s="4" t="b">
        <f t="shared" si="2"/>
        <v>1</v>
      </c>
      <c r="H703" s="1" t="str">
        <f t="shared" si="3"/>
        <v>Currently Unavailable</v>
      </c>
      <c r="I703" s="1" t="str">
        <f t="shared" si="4"/>
        <v>No Badges</v>
      </c>
      <c r="J703" s="3">
        <f t="shared" si="5"/>
        <v>0</v>
      </c>
    </row>
    <row r="704">
      <c r="A704" s="1" t="s">
        <v>637</v>
      </c>
      <c r="B704" s="3" t="str">
        <f t="shared" si="1"/>
        <v>Unavailable</v>
      </c>
      <c r="C704" s="3">
        <v>221.0</v>
      </c>
      <c r="D704" s="3">
        <f>IFERROR(__xludf.DUMMYFUNCTION("IFERROR(
IF(REGEXMATCH(LOWER(O704),""k""),
VALUE(REGEXEXTRACT(O704,""[0-9]+""))*1000,
VALUE(REGEXEXTRACT(O704,""[0-9]+""))
),
0
)"),0.0)</f>
        <v>0</v>
      </c>
      <c r="E704" s="1" t="s">
        <v>18</v>
      </c>
      <c r="F704" s="1" t="s">
        <v>20</v>
      </c>
      <c r="G704" s="4" t="b">
        <f t="shared" si="2"/>
        <v>1</v>
      </c>
      <c r="H704" s="1" t="str">
        <f t="shared" si="3"/>
        <v>Currently Unavailable</v>
      </c>
      <c r="I704" s="1" t="str">
        <f t="shared" si="4"/>
        <v>No Badges</v>
      </c>
      <c r="J704" s="3">
        <f t="shared" si="5"/>
        <v>0</v>
      </c>
    </row>
    <row r="705">
      <c r="A705" s="1" t="s">
        <v>638</v>
      </c>
      <c r="B705" s="3" t="str">
        <f t="shared" si="1"/>
        <v>Unavailable</v>
      </c>
      <c r="C705" s="3">
        <v>68.0</v>
      </c>
      <c r="D705" s="3">
        <f>IFERROR(__xludf.DUMMYFUNCTION("IFERROR(
IF(REGEXMATCH(LOWER(O705),""k""),
VALUE(REGEXEXTRACT(O705,""[0-9]+""))*1000,
VALUE(REGEXEXTRACT(O705,""[0-9]+""))
),
0
)"),0.0)</f>
        <v>0</v>
      </c>
      <c r="E705" s="1" t="s">
        <v>11</v>
      </c>
      <c r="F705" s="1" t="s">
        <v>20</v>
      </c>
      <c r="G705" s="4" t="b">
        <f t="shared" si="2"/>
        <v>1</v>
      </c>
      <c r="H705" s="1" t="str">
        <f t="shared" si="3"/>
        <v>Currently Unavailable</v>
      </c>
      <c r="I705" s="1" t="str">
        <f t="shared" si="4"/>
        <v>No Badges</v>
      </c>
      <c r="J705" s="3">
        <f t="shared" si="5"/>
        <v>0</v>
      </c>
    </row>
    <row r="706">
      <c r="A706" s="1" t="s">
        <v>639</v>
      </c>
      <c r="B706" s="3" t="str">
        <f t="shared" si="1"/>
        <v>Unavailable</v>
      </c>
      <c r="C706" s="5">
        <v>8108.0</v>
      </c>
      <c r="D706" s="3">
        <f>IFERROR(__xludf.DUMMYFUNCTION("IFERROR(
IF(REGEXMATCH(LOWER(O706),""k""),
VALUE(REGEXEXTRACT(O706,""[0-9]+""))*1000,
VALUE(REGEXEXTRACT(O706,""[0-9]+""))
),
0
)"),0.0)</f>
        <v>0</v>
      </c>
      <c r="E706" s="1" t="s">
        <v>11</v>
      </c>
      <c r="F706" s="1" t="s">
        <v>20</v>
      </c>
      <c r="G706" s="4" t="b">
        <f t="shared" si="2"/>
        <v>1</v>
      </c>
      <c r="H706" s="1" t="str">
        <f t="shared" si="3"/>
        <v>Currently Unavailable</v>
      </c>
      <c r="I706" s="1" t="str">
        <f t="shared" si="4"/>
        <v>No Badges</v>
      </c>
      <c r="J706" s="3">
        <f t="shared" si="5"/>
        <v>0</v>
      </c>
    </row>
    <row r="707">
      <c r="A707" s="1" t="s">
        <v>640</v>
      </c>
      <c r="B707" s="3" t="str">
        <f t="shared" si="1"/>
        <v>Unavailable</v>
      </c>
      <c r="C707" s="3">
        <v>98.0</v>
      </c>
      <c r="D707" s="3">
        <f>IFERROR(__xludf.DUMMYFUNCTION("IFERROR(
IF(REGEXMATCH(LOWER(O707),""k""),
VALUE(REGEXEXTRACT(O707,""[0-9]+""))*1000,
VALUE(REGEXEXTRACT(O707,""[0-9]+""))
),
0
)"),0.0)</f>
        <v>0</v>
      </c>
      <c r="E707" s="1" t="s">
        <v>11</v>
      </c>
      <c r="F707" s="1" t="s">
        <v>20</v>
      </c>
      <c r="G707" s="4" t="b">
        <f t="shared" si="2"/>
        <v>1</v>
      </c>
      <c r="H707" s="1" t="str">
        <f t="shared" si="3"/>
        <v>Currently Unavailable</v>
      </c>
      <c r="I707" s="1" t="str">
        <f t="shared" si="4"/>
        <v>No Badges</v>
      </c>
      <c r="J707" s="3">
        <f t="shared" si="5"/>
        <v>0</v>
      </c>
    </row>
    <row r="708">
      <c r="A708" s="1" t="s">
        <v>130</v>
      </c>
      <c r="B708" s="3" t="str">
        <f t="shared" si="1"/>
        <v>Unavailable</v>
      </c>
      <c r="C708" s="3">
        <v>661.0</v>
      </c>
      <c r="D708" s="3">
        <f>IFERROR(__xludf.DUMMYFUNCTION("IFERROR(
IF(REGEXMATCH(LOWER(O708),""k""),
VALUE(REGEXEXTRACT(O708,""[0-9]+""))*1000,
VALUE(REGEXEXTRACT(O708,""[0-9]+""))
),
0
)"),0.0)</f>
        <v>0</v>
      </c>
      <c r="E708" s="1" t="s">
        <v>11</v>
      </c>
      <c r="F708" s="1" t="s">
        <v>12</v>
      </c>
      <c r="G708" s="4" t="b">
        <f t="shared" si="2"/>
        <v>1</v>
      </c>
      <c r="H708" s="1" t="str">
        <f t="shared" si="3"/>
        <v>Currently Unavailable</v>
      </c>
      <c r="I708" s="1" t="str">
        <f t="shared" si="4"/>
        <v>No Badges</v>
      </c>
      <c r="J708" s="3">
        <f t="shared" si="5"/>
        <v>0</v>
      </c>
    </row>
    <row r="709">
      <c r="A709" s="1" t="s">
        <v>641</v>
      </c>
      <c r="B709" s="3" t="str">
        <f t="shared" si="1"/>
        <v>Unavailable</v>
      </c>
      <c r="C709" s="3">
        <v>344.0</v>
      </c>
      <c r="D709" s="3">
        <f>IFERROR(__xludf.DUMMYFUNCTION("IFERROR(
IF(REGEXMATCH(LOWER(O709),""k""),
VALUE(REGEXEXTRACT(O709,""[0-9]+""))*1000,
VALUE(REGEXEXTRACT(O709,""[0-9]+""))
),
0
)"),0.0)</f>
        <v>0</v>
      </c>
      <c r="E709" s="1" t="s">
        <v>11</v>
      </c>
      <c r="F709" s="1" t="s">
        <v>20</v>
      </c>
      <c r="G709" s="4" t="b">
        <f t="shared" si="2"/>
        <v>1</v>
      </c>
      <c r="H709" s="1" t="str">
        <f t="shared" si="3"/>
        <v>Currently Unavailable</v>
      </c>
      <c r="I709" s="1" t="str">
        <f t="shared" si="4"/>
        <v>No Badges</v>
      </c>
      <c r="J709" s="3">
        <f t="shared" si="5"/>
        <v>0</v>
      </c>
    </row>
    <row r="710">
      <c r="A710" s="1" t="s">
        <v>642</v>
      </c>
      <c r="B710" s="3" t="str">
        <f t="shared" si="1"/>
        <v>Unavailable</v>
      </c>
      <c r="C710" s="3">
        <v>763.0</v>
      </c>
      <c r="D710" s="3">
        <f>IFERROR(__xludf.DUMMYFUNCTION("IFERROR(
IF(REGEXMATCH(LOWER(O710),""k""),
VALUE(REGEXEXTRACT(O710,""[0-9]+""))*1000,
VALUE(REGEXEXTRACT(O710,""[0-9]+""))
),
0
)"),0.0)</f>
        <v>0</v>
      </c>
      <c r="E710" s="1" t="s">
        <v>11</v>
      </c>
      <c r="F710" s="1" t="s">
        <v>20</v>
      </c>
      <c r="G710" s="4" t="b">
        <f t="shared" si="2"/>
        <v>1</v>
      </c>
      <c r="H710" s="1" t="str">
        <f t="shared" si="3"/>
        <v>Currently Unavailable</v>
      </c>
      <c r="I710" s="1" t="str">
        <f t="shared" si="4"/>
        <v>No Badges</v>
      </c>
      <c r="J710" s="3">
        <f t="shared" si="5"/>
        <v>0</v>
      </c>
    </row>
    <row r="711">
      <c r="A711" s="1" t="s">
        <v>643</v>
      </c>
      <c r="B711" s="3" t="str">
        <f t="shared" si="1"/>
        <v>Unavailable</v>
      </c>
      <c r="C711" s="3">
        <v>20.0</v>
      </c>
      <c r="D711" s="3">
        <f>IFERROR(__xludf.DUMMYFUNCTION("IFERROR(
IF(REGEXMATCH(LOWER(O711),""k""),
VALUE(REGEXEXTRACT(O711,""[0-9]+""))*1000,
VALUE(REGEXEXTRACT(O711,""[0-9]+""))
),
0
)"),0.0)</f>
        <v>0</v>
      </c>
      <c r="E711" s="1" t="s">
        <v>11</v>
      </c>
      <c r="F711" s="1" t="s">
        <v>20</v>
      </c>
      <c r="G711" s="4" t="b">
        <f t="shared" si="2"/>
        <v>1</v>
      </c>
      <c r="H711" s="1" t="str">
        <f t="shared" si="3"/>
        <v>Currently Unavailable</v>
      </c>
      <c r="I711" s="1" t="str">
        <f t="shared" si="4"/>
        <v>No Badges</v>
      </c>
      <c r="J711" s="3">
        <f t="shared" si="5"/>
        <v>0</v>
      </c>
    </row>
    <row r="712">
      <c r="A712" s="1" t="s">
        <v>644</v>
      </c>
      <c r="B712" s="3" t="str">
        <f t="shared" si="1"/>
        <v>Unavailable</v>
      </c>
      <c r="C712" s="5">
        <v>4177.0</v>
      </c>
      <c r="D712" s="3">
        <f>IFERROR(__xludf.DUMMYFUNCTION("IFERROR(
IF(REGEXMATCH(LOWER(O712),""k""),
VALUE(REGEXEXTRACT(O712,""[0-9]+""))*1000,
VALUE(REGEXEXTRACT(O712,""[0-9]+""))
),
0
)"),0.0)</f>
        <v>0</v>
      </c>
      <c r="E712" s="1" t="s">
        <v>11</v>
      </c>
      <c r="F712" s="1" t="s">
        <v>20</v>
      </c>
      <c r="G712" s="4" t="b">
        <f t="shared" si="2"/>
        <v>1</v>
      </c>
      <c r="H712" s="1" t="str">
        <f t="shared" si="3"/>
        <v>Currently Unavailable</v>
      </c>
      <c r="I712" s="1" t="str">
        <f t="shared" si="4"/>
        <v>No Badges</v>
      </c>
      <c r="J712" s="3">
        <f t="shared" si="5"/>
        <v>0</v>
      </c>
    </row>
    <row r="713">
      <c r="A713" s="1" t="s">
        <v>69</v>
      </c>
      <c r="B713" s="3" t="str">
        <f t="shared" si="1"/>
        <v>Unavailable</v>
      </c>
      <c r="C713" s="3">
        <v>45.0</v>
      </c>
      <c r="D713" s="3">
        <f>IFERROR(__xludf.DUMMYFUNCTION("IFERROR(
IF(REGEXMATCH(LOWER(O713),""k""),
VALUE(REGEXEXTRACT(O713,""[0-9]+""))*1000,
VALUE(REGEXEXTRACT(O713,""[0-9]+""))
),
0
)"),0.0)</f>
        <v>0</v>
      </c>
      <c r="E713" s="1" t="s">
        <v>11</v>
      </c>
      <c r="F713" s="1" t="s">
        <v>12</v>
      </c>
      <c r="G713" s="4" t="b">
        <f t="shared" si="2"/>
        <v>1</v>
      </c>
      <c r="H713" s="1" t="str">
        <f t="shared" si="3"/>
        <v>Currently Unavailable</v>
      </c>
      <c r="I713" s="1" t="str">
        <f t="shared" si="4"/>
        <v>No Badges</v>
      </c>
      <c r="J713" s="3">
        <f t="shared" si="5"/>
        <v>0</v>
      </c>
    </row>
    <row r="714">
      <c r="A714" s="1" t="s">
        <v>645</v>
      </c>
      <c r="B714" s="3" t="str">
        <f t="shared" si="1"/>
        <v>Unavailable</v>
      </c>
      <c r="C714" s="3">
        <v>286.0</v>
      </c>
      <c r="D714" s="3">
        <f>IFERROR(__xludf.DUMMYFUNCTION("IFERROR(
IF(REGEXMATCH(LOWER(O714),""k""),
VALUE(REGEXEXTRACT(O714,""[0-9]+""))*1000,
VALUE(REGEXEXTRACT(O714,""[0-9]+""))
),
0
)"),0.0)</f>
        <v>0</v>
      </c>
      <c r="E714" s="1" t="s">
        <v>11</v>
      </c>
      <c r="F714" s="1" t="s">
        <v>20</v>
      </c>
      <c r="G714" s="4" t="b">
        <f t="shared" si="2"/>
        <v>1</v>
      </c>
      <c r="H714" s="1" t="str">
        <f t="shared" si="3"/>
        <v>Currently Unavailable</v>
      </c>
      <c r="I714" s="1" t="str">
        <f t="shared" si="4"/>
        <v>No Badges</v>
      </c>
      <c r="J714" s="3">
        <f t="shared" si="5"/>
        <v>0</v>
      </c>
    </row>
    <row r="715">
      <c r="A715" s="1" t="s">
        <v>40</v>
      </c>
      <c r="B715" s="3" t="str">
        <f t="shared" si="1"/>
        <v>Unavailable</v>
      </c>
      <c r="C715" s="3">
        <v>171.0</v>
      </c>
      <c r="D715" s="3">
        <f>IFERROR(__xludf.DUMMYFUNCTION("IFERROR(
IF(REGEXMATCH(LOWER(O715),""k""),
VALUE(REGEXEXTRACT(O715,""[0-9]+""))*1000,
VALUE(REGEXEXTRACT(O715,""[0-9]+""))
),
0
)"),0.0)</f>
        <v>0</v>
      </c>
      <c r="E715" s="1" t="s">
        <v>11</v>
      </c>
      <c r="F715" s="1" t="s">
        <v>12</v>
      </c>
      <c r="G715" s="4" t="b">
        <f t="shared" si="2"/>
        <v>1</v>
      </c>
      <c r="H715" s="1" t="str">
        <f t="shared" si="3"/>
        <v>Currently Unavailable</v>
      </c>
      <c r="I715" s="1" t="str">
        <f t="shared" si="4"/>
        <v>No Badges</v>
      </c>
      <c r="J715" s="3">
        <f t="shared" si="5"/>
        <v>0</v>
      </c>
    </row>
    <row r="716">
      <c r="A716" s="1" t="s">
        <v>646</v>
      </c>
      <c r="B716" s="3" t="str">
        <f t="shared" si="1"/>
        <v>Unavailable</v>
      </c>
      <c r="C716" s="3">
        <v>9.0</v>
      </c>
      <c r="D716" s="3">
        <f>IFERROR(__xludf.DUMMYFUNCTION("IFERROR(
IF(REGEXMATCH(LOWER(O716),""k""),
VALUE(REGEXEXTRACT(O716,""[0-9]+""))*1000,
VALUE(REGEXEXTRACT(O716,""[0-9]+""))
),
0
)"),0.0)</f>
        <v>0</v>
      </c>
      <c r="E716" s="1" t="s">
        <v>11</v>
      </c>
      <c r="F716" s="1" t="s">
        <v>20</v>
      </c>
      <c r="G716" s="4" t="b">
        <f t="shared" si="2"/>
        <v>1</v>
      </c>
      <c r="H716" s="1" t="str">
        <f t="shared" si="3"/>
        <v>Currently Unavailable</v>
      </c>
      <c r="I716" s="1" t="str">
        <f t="shared" si="4"/>
        <v>No Badges</v>
      </c>
      <c r="J716" s="3">
        <f t="shared" si="5"/>
        <v>0</v>
      </c>
    </row>
    <row r="717">
      <c r="A717" s="1" t="s">
        <v>647</v>
      </c>
      <c r="B717" s="3" t="str">
        <f t="shared" si="1"/>
        <v>Unavailable</v>
      </c>
      <c r="C717" s="3">
        <v>42.0</v>
      </c>
      <c r="D717" s="3">
        <f>IFERROR(__xludf.DUMMYFUNCTION("IFERROR(
IF(REGEXMATCH(LOWER(O717),""k""),
VALUE(REGEXEXTRACT(O717,""[0-9]+""))*1000,
VALUE(REGEXEXTRACT(O717,""[0-9]+""))
),
0
)"),0.0)</f>
        <v>0</v>
      </c>
      <c r="E717" s="1" t="s">
        <v>11</v>
      </c>
      <c r="F717" s="1" t="s">
        <v>20</v>
      </c>
      <c r="G717" s="4" t="b">
        <f t="shared" si="2"/>
        <v>1</v>
      </c>
      <c r="H717" s="1" t="str">
        <f t="shared" si="3"/>
        <v>Currently Unavailable</v>
      </c>
      <c r="I717" s="1" t="str">
        <f t="shared" si="4"/>
        <v>No Badges</v>
      </c>
      <c r="J717" s="3">
        <f t="shared" si="5"/>
        <v>0</v>
      </c>
    </row>
    <row r="718">
      <c r="A718" s="1" t="s">
        <v>648</v>
      </c>
      <c r="B718" s="3" t="str">
        <f t="shared" si="1"/>
        <v>Unavailable</v>
      </c>
      <c r="C718" s="3">
        <v>67.0</v>
      </c>
      <c r="D718" s="3">
        <f>IFERROR(__xludf.DUMMYFUNCTION("IFERROR(
IF(REGEXMATCH(LOWER(O718),""k""),
VALUE(REGEXEXTRACT(O718,""[0-9]+""))*1000,
VALUE(REGEXEXTRACT(O718,""[0-9]+""))
),
0
)"),0.0)</f>
        <v>0</v>
      </c>
      <c r="E718" s="1" t="s">
        <v>11</v>
      </c>
      <c r="F718" s="1" t="s">
        <v>20</v>
      </c>
      <c r="G718" s="4" t="b">
        <f t="shared" si="2"/>
        <v>1</v>
      </c>
      <c r="H718" s="1" t="str">
        <f t="shared" si="3"/>
        <v>Currently Unavailable</v>
      </c>
      <c r="I718" s="1" t="str">
        <f t="shared" si="4"/>
        <v>No Badges</v>
      </c>
      <c r="J718" s="3">
        <f t="shared" si="5"/>
        <v>0</v>
      </c>
    </row>
    <row r="719">
      <c r="A719" s="1" t="s">
        <v>649</v>
      </c>
      <c r="B719" s="3" t="str">
        <f t="shared" si="1"/>
        <v>Unavailable</v>
      </c>
      <c r="C719" s="3">
        <v>891.0</v>
      </c>
      <c r="D719" s="3">
        <f>IFERROR(__xludf.DUMMYFUNCTION("IFERROR(
IF(REGEXMATCH(LOWER(O719),""k""),
VALUE(REGEXEXTRACT(O719,""[0-9]+""))*1000,
VALUE(REGEXEXTRACT(O719,""[0-9]+""))
),
0
)"),0.0)</f>
        <v>0</v>
      </c>
      <c r="E719" s="1" t="s">
        <v>11</v>
      </c>
      <c r="F719" s="1" t="s">
        <v>20</v>
      </c>
      <c r="G719" s="4" t="b">
        <f t="shared" si="2"/>
        <v>1</v>
      </c>
      <c r="H719" s="1" t="str">
        <f t="shared" si="3"/>
        <v>Currently Unavailable</v>
      </c>
      <c r="I719" s="1" t="str">
        <f t="shared" si="4"/>
        <v>No Badges</v>
      </c>
      <c r="J719" s="3">
        <f t="shared" si="5"/>
        <v>0</v>
      </c>
    </row>
    <row r="720">
      <c r="A720" s="1" t="s">
        <v>650</v>
      </c>
      <c r="B720" s="3" t="str">
        <f t="shared" si="1"/>
        <v>Unavailable</v>
      </c>
      <c r="C720" s="3">
        <v>567.0</v>
      </c>
      <c r="D720" s="3">
        <f>IFERROR(__xludf.DUMMYFUNCTION("IFERROR(
IF(REGEXMATCH(LOWER(O720),""k""),
VALUE(REGEXEXTRACT(O720,""[0-9]+""))*1000,
VALUE(REGEXEXTRACT(O720,""[0-9]+""))
),
0
)"),0.0)</f>
        <v>0</v>
      </c>
      <c r="E720" s="1" t="s">
        <v>11</v>
      </c>
      <c r="F720" s="1" t="s">
        <v>20</v>
      </c>
      <c r="G720" s="4" t="b">
        <f t="shared" si="2"/>
        <v>1</v>
      </c>
      <c r="H720" s="1" t="str">
        <f t="shared" si="3"/>
        <v>Currently Unavailable</v>
      </c>
      <c r="I720" s="1" t="str">
        <f t="shared" si="4"/>
        <v>No Badges</v>
      </c>
      <c r="J720" s="3">
        <f t="shared" si="5"/>
        <v>0</v>
      </c>
    </row>
    <row r="721">
      <c r="A721" s="1" t="s">
        <v>651</v>
      </c>
      <c r="B721" s="3" t="str">
        <f t="shared" si="1"/>
        <v>Unavailable</v>
      </c>
      <c r="C721" s="3">
        <v>505.0</v>
      </c>
      <c r="D721" s="3">
        <f>IFERROR(__xludf.DUMMYFUNCTION("IFERROR(
IF(REGEXMATCH(LOWER(O721),""k""),
VALUE(REGEXEXTRACT(O721,""[0-9]+""))*1000,
VALUE(REGEXEXTRACT(O721,""[0-9]+""))
),
0
)"),0.0)</f>
        <v>0</v>
      </c>
      <c r="E721" s="1" t="s">
        <v>11</v>
      </c>
      <c r="F721" s="1" t="s">
        <v>20</v>
      </c>
      <c r="G721" s="4" t="b">
        <f t="shared" si="2"/>
        <v>1</v>
      </c>
      <c r="H721" s="1" t="str">
        <f t="shared" si="3"/>
        <v>Currently Unavailable</v>
      </c>
      <c r="I721" s="1" t="str">
        <f t="shared" si="4"/>
        <v>No Badges</v>
      </c>
      <c r="J721" s="3">
        <f t="shared" si="5"/>
        <v>0</v>
      </c>
    </row>
    <row r="722">
      <c r="A722" s="1" t="s">
        <v>652</v>
      </c>
      <c r="B722" s="3" t="str">
        <f t="shared" si="1"/>
        <v>Unavailable</v>
      </c>
      <c r="C722" s="3">
        <v>320.0</v>
      </c>
      <c r="D722" s="3">
        <f>IFERROR(__xludf.DUMMYFUNCTION("IFERROR(
IF(REGEXMATCH(LOWER(O722),""k""),
VALUE(REGEXEXTRACT(O722,""[0-9]+""))*1000,
VALUE(REGEXEXTRACT(O722,""[0-9]+""))
),
0
)"),0.0)</f>
        <v>0</v>
      </c>
      <c r="E722" s="1" t="s">
        <v>11</v>
      </c>
      <c r="F722" s="1" t="s">
        <v>20</v>
      </c>
      <c r="G722" s="4" t="b">
        <f t="shared" si="2"/>
        <v>1</v>
      </c>
      <c r="H722" s="1" t="str">
        <f t="shared" si="3"/>
        <v>Currently Unavailable</v>
      </c>
      <c r="I722" s="1" t="str">
        <f t="shared" si="4"/>
        <v>No Badges</v>
      </c>
      <c r="J722" s="3">
        <f t="shared" si="5"/>
        <v>0</v>
      </c>
    </row>
    <row r="723">
      <c r="A723" s="1" t="s">
        <v>653</v>
      </c>
      <c r="B723" s="3" t="str">
        <f t="shared" si="1"/>
        <v>Unavailable</v>
      </c>
      <c r="C723" s="3">
        <v>316.0</v>
      </c>
      <c r="D723" s="3">
        <f>IFERROR(__xludf.DUMMYFUNCTION("IFERROR(
IF(REGEXMATCH(LOWER(O723),""k""),
VALUE(REGEXEXTRACT(O723,""[0-9]+""))*1000,
VALUE(REGEXEXTRACT(O723,""[0-9]+""))
),
0
)"),0.0)</f>
        <v>0</v>
      </c>
      <c r="E723" s="1" t="s">
        <v>11</v>
      </c>
      <c r="F723" s="1" t="s">
        <v>20</v>
      </c>
      <c r="G723" s="4" t="b">
        <f t="shared" si="2"/>
        <v>1</v>
      </c>
      <c r="H723" s="1" t="str">
        <f t="shared" si="3"/>
        <v>Currently Unavailable</v>
      </c>
      <c r="I723" s="1" t="str">
        <f t="shared" si="4"/>
        <v>No Badges</v>
      </c>
      <c r="J723" s="3">
        <f t="shared" si="5"/>
        <v>0</v>
      </c>
    </row>
    <row r="724">
      <c r="A724" s="1" t="s">
        <v>654</v>
      </c>
      <c r="B724" s="3" t="str">
        <f t="shared" si="1"/>
        <v>Unavailable</v>
      </c>
      <c r="C724" s="3">
        <v>182.0</v>
      </c>
      <c r="D724" s="3">
        <f>IFERROR(__xludf.DUMMYFUNCTION("IFERROR(
IF(REGEXMATCH(LOWER(O724),""k""),
VALUE(REGEXEXTRACT(O724,""[0-9]+""))*1000,
VALUE(REGEXEXTRACT(O724,""[0-9]+""))
),
0
)"),0.0)</f>
        <v>0</v>
      </c>
      <c r="E724" s="1" t="s">
        <v>11</v>
      </c>
      <c r="F724" s="1" t="s">
        <v>20</v>
      </c>
      <c r="G724" s="4" t="b">
        <f t="shared" si="2"/>
        <v>1</v>
      </c>
      <c r="H724" s="1" t="str">
        <f t="shared" si="3"/>
        <v>Currently Unavailable</v>
      </c>
      <c r="I724" s="1" t="str">
        <f t="shared" si="4"/>
        <v>No Badges</v>
      </c>
      <c r="J724" s="3">
        <f t="shared" si="5"/>
        <v>0</v>
      </c>
    </row>
    <row r="725">
      <c r="A725" s="1" t="s">
        <v>655</v>
      </c>
      <c r="B725" s="3" t="str">
        <f t="shared" si="1"/>
        <v>Unavailable</v>
      </c>
      <c r="C725" s="3">
        <v>34.0</v>
      </c>
      <c r="D725" s="3">
        <f>IFERROR(__xludf.DUMMYFUNCTION("IFERROR(
IF(REGEXMATCH(LOWER(O725),""k""),
VALUE(REGEXEXTRACT(O725,""[0-9]+""))*1000,
VALUE(REGEXEXTRACT(O725,""[0-9]+""))
),
0
)"),0.0)</f>
        <v>0</v>
      </c>
      <c r="E725" s="1" t="s">
        <v>11</v>
      </c>
      <c r="F725" s="1" t="s">
        <v>20</v>
      </c>
      <c r="G725" s="4" t="b">
        <f t="shared" si="2"/>
        <v>1</v>
      </c>
      <c r="H725" s="1" t="str">
        <f t="shared" si="3"/>
        <v>Currently Unavailable</v>
      </c>
      <c r="I725" s="1" t="str">
        <f t="shared" si="4"/>
        <v>No Badges</v>
      </c>
      <c r="J725" s="3">
        <f t="shared" si="5"/>
        <v>0</v>
      </c>
    </row>
    <row r="726">
      <c r="A726" s="1" t="s">
        <v>656</v>
      </c>
      <c r="B726" s="3" t="str">
        <f t="shared" si="1"/>
        <v>Unavailable</v>
      </c>
      <c r="C726" s="3">
        <v>134.0</v>
      </c>
      <c r="D726" s="3">
        <f>IFERROR(__xludf.DUMMYFUNCTION("IFERROR(
IF(REGEXMATCH(LOWER(O726),""k""),
VALUE(REGEXEXTRACT(O726,""[0-9]+""))*1000,
VALUE(REGEXEXTRACT(O726,""[0-9]+""))
),
0
)"),0.0)</f>
        <v>0</v>
      </c>
      <c r="E726" s="1" t="s">
        <v>11</v>
      </c>
      <c r="F726" s="1" t="s">
        <v>20</v>
      </c>
      <c r="G726" s="4" t="b">
        <f t="shared" si="2"/>
        <v>1</v>
      </c>
      <c r="H726" s="1" t="str">
        <f t="shared" si="3"/>
        <v>Currently Unavailable</v>
      </c>
      <c r="I726" s="1" t="str">
        <f t="shared" si="4"/>
        <v>No Badges</v>
      </c>
      <c r="J726" s="3">
        <f t="shared" si="5"/>
        <v>0</v>
      </c>
    </row>
    <row r="727">
      <c r="A727" s="1" t="s">
        <v>657</v>
      </c>
      <c r="B727" s="3" t="str">
        <f t="shared" si="1"/>
        <v>Unavailable</v>
      </c>
      <c r="C727" s="3">
        <v>541.0</v>
      </c>
      <c r="D727" s="3">
        <f>IFERROR(__xludf.DUMMYFUNCTION("IFERROR(
IF(REGEXMATCH(LOWER(O727),""k""),
VALUE(REGEXEXTRACT(O727,""[0-9]+""))*1000,
VALUE(REGEXEXTRACT(O727,""[0-9]+""))
),
0
)"),0.0)</f>
        <v>0</v>
      </c>
      <c r="E727" s="1" t="s">
        <v>11</v>
      </c>
      <c r="F727" s="1" t="s">
        <v>20</v>
      </c>
      <c r="G727" s="4" t="b">
        <f t="shared" si="2"/>
        <v>1</v>
      </c>
      <c r="H727" s="1" t="str">
        <f t="shared" si="3"/>
        <v>Currently Unavailable</v>
      </c>
      <c r="I727" s="1" t="str">
        <f t="shared" si="4"/>
        <v>No Badges</v>
      </c>
      <c r="J727" s="3">
        <f t="shared" si="5"/>
        <v>0</v>
      </c>
    </row>
    <row r="728">
      <c r="A728" s="1" t="s">
        <v>658</v>
      </c>
      <c r="B728" s="3" t="str">
        <f t="shared" si="1"/>
        <v>Unavailable</v>
      </c>
      <c r="C728" s="3">
        <v>47.0</v>
      </c>
      <c r="D728" s="3">
        <f>IFERROR(__xludf.DUMMYFUNCTION("IFERROR(
IF(REGEXMATCH(LOWER(O728),""k""),
VALUE(REGEXEXTRACT(O728,""[0-9]+""))*1000,
VALUE(REGEXEXTRACT(O728,""[0-9]+""))
),
0
)"),0.0)</f>
        <v>0</v>
      </c>
      <c r="E728" s="1" t="s">
        <v>11</v>
      </c>
      <c r="F728" s="1" t="s">
        <v>20</v>
      </c>
      <c r="G728" s="4" t="b">
        <f t="shared" si="2"/>
        <v>1</v>
      </c>
      <c r="H728" s="1" t="str">
        <f t="shared" si="3"/>
        <v>Currently Unavailable</v>
      </c>
      <c r="I728" s="1" t="str">
        <f t="shared" si="4"/>
        <v>No Badges</v>
      </c>
      <c r="J728" s="3">
        <f t="shared" si="5"/>
        <v>0</v>
      </c>
    </row>
    <row r="729">
      <c r="A729" s="1" t="s">
        <v>659</v>
      </c>
      <c r="B729" s="3" t="str">
        <f t="shared" si="1"/>
        <v>Unavailable</v>
      </c>
      <c r="C729" s="3">
        <v>120.0</v>
      </c>
      <c r="D729" s="3">
        <f>IFERROR(__xludf.DUMMYFUNCTION("IFERROR(
IF(REGEXMATCH(LOWER(O729),""k""),
VALUE(REGEXEXTRACT(O729,""[0-9]+""))*1000,
VALUE(REGEXEXTRACT(O729,""[0-9]+""))
),
0
)"),0.0)</f>
        <v>0</v>
      </c>
      <c r="E729" s="1" t="s">
        <v>11</v>
      </c>
      <c r="F729" s="1" t="s">
        <v>20</v>
      </c>
      <c r="G729" s="4" t="b">
        <f t="shared" si="2"/>
        <v>1</v>
      </c>
      <c r="H729" s="1" t="str">
        <f t="shared" si="3"/>
        <v>Currently Unavailable</v>
      </c>
      <c r="I729" s="1" t="str">
        <f t="shared" si="4"/>
        <v>No Badges</v>
      </c>
      <c r="J729" s="3">
        <f t="shared" si="5"/>
        <v>0</v>
      </c>
    </row>
    <row r="730">
      <c r="A730" s="1" t="s">
        <v>660</v>
      </c>
      <c r="B730" s="3" t="str">
        <f t="shared" si="1"/>
        <v>Unavailable</v>
      </c>
      <c r="C730" s="3">
        <v>167.0</v>
      </c>
      <c r="D730" s="3">
        <f>IFERROR(__xludf.DUMMYFUNCTION("IFERROR(
IF(REGEXMATCH(LOWER(O730),""k""),
VALUE(REGEXEXTRACT(O730,""[0-9]+""))*1000,
VALUE(REGEXEXTRACT(O730,""[0-9]+""))
),
0
)"),0.0)</f>
        <v>0</v>
      </c>
      <c r="E730" s="1" t="s">
        <v>11</v>
      </c>
      <c r="F730" s="1" t="s">
        <v>20</v>
      </c>
      <c r="G730" s="4" t="b">
        <f t="shared" si="2"/>
        <v>1</v>
      </c>
      <c r="H730" s="1" t="str">
        <f t="shared" si="3"/>
        <v>Currently Unavailable</v>
      </c>
      <c r="I730" s="1" t="str">
        <f t="shared" si="4"/>
        <v>No Badges</v>
      </c>
      <c r="J730" s="3">
        <f t="shared" si="5"/>
        <v>0</v>
      </c>
    </row>
    <row r="731">
      <c r="A731" s="1" t="s">
        <v>390</v>
      </c>
      <c r="B731" s="3" t="str">
        <f t="shared" si="1"/>
        <v>Unavailable</v>
      </c>
      <c r="C731" s="3">
        <v>476.0</v>
      </c>
      <c r="D731" s="3">
        <f>IFERROR(__xludf.DUMMYFUNCTION("IFERROR(
IF(REGEXMATCH(LOWER(O731),""k""),
VALUE(REGEXEXTRACT(O731,""[0-9]+""))*1000,
VALUE(REGEXEXTRACT(O731,""[0-9]+""))
),
0
)"),0.0)</f>
        <v>0</v>
      </c>
      <c r="E731" s="1" t="s">
        <v>11</v>
      </c>
      <c r="F731" s="1" t="s">
        <v>12</v>
      </c>
      <c r="G731" s="4" t="b">
        <f t="shared" si="2"/>
        <v>1</v>
      </c>
      <c r="H731" s="1" t="str">
        <f t="shared" si="3"/>
        <v>Currently Unavailable</v>
      </c>
      <c r="I731" s="1" t="str">
        <f t="shared" si="4"/>
        <v>No Badges</v>
      </c>
      <c r="J731" s="3">
        <f t="shared" si="5"/>
        <v>0</v>
      </c>
    </row>
    <row r="732">
      <c r="A732" s="1" t="s">
        <v>661</v>
      </c>
      <c r="B732" s="3" t="str">
        <f t="shared" si="1"/>
        <v>Unavailable</v>
      </c>
      <c r="C732" s="5">
        <v>2212.0</v>
      </c>
      <c r="D732" s="3">
        <f>IFERROR(__xludf.DUMMYFUNCTION("IFERROR(
IF(REGEXMATCH(LOWER(O732),""k""),
VALUE(REGEXEXTRACT(O732,""[0-9]+""))*1000,
VALUE(REGEXEXTRACT(O732,""[0-9]+""))
),
0
)"),0.0)</f>
        <v>0</v>
      </c>
      <c r="E732" s="1" t="s">
        <v>11</v>
      </c>
      <c r="F732" s="1" t="s">
        <v>20</v>
      </c>
      <c r="G732" s="4" t="b">
        <f t="shared" si="2"/>
        <v>1</v>
      </c>
      <c r="H732" s="1" t="str">
        <f t="shared" si="3"/>
        <v>Currently Unavailable</v>
      </c>
      <c r="I732" s="1" t="str">
        <f t="shared" si="4"/>
        <v>No Badges</v>
      </c>
      <c r="J732" s="3">
        <f t="shared" si="5"/>
        <v>0</v>
      </c>
    </row>
    <row r="733">
      <c r="A733" s="1" t="s">
        <v>40</v>
      </c>
      <c r="B733" s="3" t="str">
        <f t="shared" si="1"/>
        <v>Unavailable</v>
      </c>
      <c r="C733" s="3">
        <v>171.0</v>
      </c>
      <c r="D733" s="3">
        <f>IFERROR(__xludf.DUMMYFUNCTION("IFERROR(
IF(REGEXMATCH(LOWER(O733),""k""),
VALUE(REGEXEXTRACT(O733,""[0-9]+""))*1000,
VALUE(REGEXEXTRACT(O733,""[0-9]+""))
),
0
)"),0.0)</f>
        <v>0</v>
      </c>
      <c r="E733" s="1" t="s">
        <v>11</v>
      </c>
      <c r="F733" s="1" t="s">
        <v>12</v>
      </c>
      <c r="G733" s="4" t="b">
        <f t="shared" si="2"/>
        <v>1</v>
      </c>
      <c r="H733" s="1" t="str">
        <f t="shared" si="3"/>
        <v>Currently Unavailable</v>
      </c>
      <c r="I733" s="1" t="str">
        <f t="shared" si="4"/>
        <v>No Badges</v>
      </c>
      <c r="J733" s="3">
        <f t="shared" si="5"/>
        <v>0</v>
      </c>
    </row>
    <row r="734">
      <c r="A734" s="1" t="s">
        <v>662</v>
      </c>
      <c r="B734" s="3" t="str">
        <f t="shared" si="1"/>
        <v>Unavailable</v>
      </c>
      <c r="C734" s="5">
        <v>2324.0</v>
      </c>
      <c r="D734" s="3">
        <f>IFERROR(__xludf.DUMMYFUNCTION("IFERROR(
IF(REGEXMATCH(LOWER(O734),""k""),
VALUE(REGEXEXTRACT(O734,""[0-9]+""))*1000,
VALUE(REGEXEXTRACT(O734,""[0-9]+""))
),
0
)"),0.0)</f>
        <v>0</v>
      </c>
      <c r="E734" s="1" t="s">
        <v>11</v>
      </c>
      <c r="F734" s="1" t="s">
        <v>20</v>
      </c>
      <c r="G734" s="4" t="b">
        <f t="shared" si="2"/>
        <v>1</v>
      </c>
      <c r="H734" s="1" t="str">
        <f t="shared" si="3"/>
        <v>Currently Unavailable</v>
      </c>
      <c r="I734" s="1" t="str">
        <f t="shared" si="4"/>
        <v>No Badges</v>
      </c>
      <c r="J734" s="3">
        <f t="shared" si="5"/>
        <v>0</v>
      </c>
    </row>
    <row r="735">
      <c r="A735" s="1" t="s">
        <v>663</v>
      </c>
      <c r="B735" s="3" t="str">
        <f t="shared" si="1"/>
        <v>Unavailable</v>
      </c>
      <c r="C735" s="3">
        <v>411.0</v>
      </c>
      <c r="D735" s="3">
        <f>IFERROR(__xludf.DUMMYFUNCTION("IFERROR(
IF(REGEXMATCH(LOWER(O735),""k""),
VALUE(REGEXEXTRACT(O735,""[0-9]+""))*1000,
VALUE(REGEXEXTRACT(O735,""[0-9]+""))
),
0
)"),0.0)</f>
        <v>0</v>
      </c>
      <c r="E735" s="1" t="s">
        <v>11</v>
      </c>
      <c r="F735" s="1" t="s">
        <v>20</v>
      </c>
      <c r="G735" s="4" t="b">
        <f t="shared" si="2"/>
        <v>1</v>
      </c>
      <c r="H735" s="1" t="str">
        <f t="shared" si="3"/>
        <v>Currently Unavailable</v>
      </c>
      <c r="I735" s="1" t="str">
        <f t="shared" si="4"/>
        <v>No Badges</v>
      </c>
      <c r="J735" s="3">
        <f t="shared" si="5"/>
        <v>0</v>
      </c>
    </row>
    <row r="736">
      <c r="A736" s="1" t="s">
        <v>664</v>
      </c>
      <c r="B736" s="3" t="str">
        <f t="shared" si="1"/>
        <v>Unavailable</v>
      </c>
      <c r="C736" s="3">
        <v>49.0</v>
      </c>
      <c r="D736" s="3">
        <f>IFERROR(__xludf.DUMMYFUNCTION("IFERROR(
IF(REGEXMATCH(LOWER(O736),""k""),
VALUE(REGEXEXTRACT(O736,""[0-9]+""))*1000,
VALUE(REGEXEXTRACT(O736,""[0-9]+""))
),
0
)"),0.0)</f>
        <v>0</v>
      </c>
      <c r="E736" s="1" t="s">
        <v>11</v>
      </c>
      <c r="F736" s="1" t="s">
        <v>20</v>
      </c>
      <c r="G736" s="4" t="b">
        <f t="shared" si="2"/>
        <v>1</v>
      </c>
      <c r="H736" s="1" t="str">
        <f t="shared" si="3"/>
        <v>Currently Unavailable</v>
      </c>
      <c r="I736" s="1" t="str">
        <f t="shared" si="4"/>
        <v>No Badges</v>
      </c>
      <c r="J736" s="3">
        <f t="shared" si="5"/>
        <v>0</v>
      </c>
    </row>
    <row r="737">
      <c r="A737" s="1" t="s">
        <v>665</v>
      </c>
      <c r="B737" s="3" t="str">
        <f t="shared" si="1"/>
        <v>Unavailable</v>
      </c>
      <c r="C737" s="3">
        <v>425.0</v>
      </c>
      <c r="D737" s="3">
        <f>IFERROR(__xludf.DUMMYFUNCTION("IFERROR(
IF(REGEXMATCH(LOWER(O737),""k""),
VALUE(REGEXEXTRACT(O737,""[0-9]+""))*1000,
VALUE(REGEXEXTRACT(O737,""[0-9]+""))
),
0
)"),0.0)</f>
        <v>0</v>
      </c>
      <c r="E737" s="1" t="s">
        <v>11</v>
      </c>
      <c r="F737" s="1" t="s">
        <v>20</v>
      </c>
      <c r="G737" s="4" t="b">
        <f t="shared" si="2"/>
        <v>1</v>
      </c>
      <c r="H737" s="1" t="str">
        <f t="shared" si="3"/>
        <v>Currently Unavailable</v>
      </c>
      <c r="I737" s="1" t="str">
        <f t="shared" si="4"/>
        <v>No Badges</v>
      </c>
      <c r="J737" s="3">
        <f t="shared" si="5"/>
        <v>0</v>
      </c>
    </row>
    <row r="738">
      <c r="A738" s="1" t="s">
        <v>666</v>
      </c>
      <c r="B738" s="3" t="str">
        <f t="shared" si="1"/>
        <v>Unavailable</v>
      </c>
      <c r="C738" s="3">
        <v>377.0</v>
      </c>
      <c r="D738" s="3">
        <f>IFERROR(__xludf.DUMMYFUNCTION("IFERROR(
IF(REGEXMATCH(LOWER(O738),""k""),
VALUE(REGEXEXTRACT(O738,""[0-9]+""))*1000,
VALUE(REGEXEXTRACT(O738,""[0-9]+""))
),
0
)"),0.0)</f>
        <v>0</v>
      </c>
      <c r="E738" s="1" t="s">
        <v>11</v>
      </c>
      <c r="F738" s="1" t="s">
        <v>20</v>
      </c>
      <c r="G738" s="4" t="b">
        <f t="shared" si="2"/>
        <v>1</v>
      </c>
      <c r="H738" s="1" t="str">
        <f t="shared" si="3"/>
        <v>Currently Unavailable</v>
      </c>
      <c r="I738" s="1" t="str">
        <f t="shared" si="4"/>
        <v>No Badges</v>
      </c>
      <c r="J738" s="3">
        <f t="shared" si="5"/>
        <v>0</v>
      </c>
    </row>
    <row r="739">
      <c r="A739" s="1" t="s">
        <v>667</v>
      </c>
      <c r="B739" s="3" t="str">
        <f t="shared" si="1"/>
        <v>Unavailable</v>
      </c>
      <c r="C739" s="3">
        <v>74.0</v>
      </c>
      <c r="D739" s="3">
        <f>IFERROR(__xludf.DUMMYFUNCTION("IFERROR(
IF(REGEXMATCH(LOWER(O739),""k""),
VALUE(REGEXEXTRACT(O739,""[0-9]+""))*1000,
VALUE(REGEXEXTRACT(O739,""[0-9]+""))
),
0
)"),0.0)</f>
        <v>0</v>
      </c>
      <c r="E739" s="1" t="s">
        <v>11</v>
      </c>
      <c r="F739" s="1" t="s">
        <v>20</v>
      </c>
      <c r="G739" s="4" t="b">
        <f t="shared" si="2"/>
        <v>1</v>
      </c>
      <c r="H739" s="1" t="str">
        <f t="shared" si="3"/>
        <v>Currently Unavailable</v>
      </c>
      <c r="I739" s="1" t="str">
        <f t="shared" si="4"/>
        <v>No Badges</v>
      </c>
      <c r="J739" s="3">
        <f t="shared" si="5"/>
        <v>0</v>
      </c>
    </row>
    <row r="740">
      <c r="A740" s="1" t="s">
        <v>668</v>
      </c>
      <c r="B740" s="3" t="str">
        <f t="shared" si="1"/>
        <v>Unavailable</v>
      </c>
      <c r="C740" s="3">
        <v>690.0</v>
      </c>
      <c r="D740" s="3">
        <f>IFERROR(__xludf.DUMMYFUNCTION("IFERROR(
IF(REGEXMATCH(LOWER(O740),""k""),
VALUE(REGEXEXTRACT(O740,""[0-9]+""))*1000,
VALUE(REGEXEXTRACT(O740,""[0-9]+""))
),
0
)"),0.0)</f>
        <v>0</v>
      </c>
      <c r="E740" s="1" t="s">
        <v>11</v>
      </c>
      <c r="F740" s="1" t="s">
        <v>20</v>
      </c>
      <c r="G740" s="4" t="b">
        <f t="shared" si="2"/>
        <v>1</v>
      </c>
      <c r="H740" s="1" t="str">
        <f t="shared" si="3"/>
        <v>Currently Unavailable</v>
      </c>
      <c r="I740" s="1" t="str">
        <f t="shared" si="4"/>
        <v>No Badges</v>
      </c>
      <c r="J740" s="3">
        <f t="shared" si="5"/>
        <v>0</v>
      </c>
    </row>
    <row r="741">
      <c r="A741" s="1" t="s">
        <v>669</v>
      </c>
      <c r="B741" s="3" t="str">
        <f t="shared" si="1"/>
        <v>Unavailable</v>
      </c>
      <c r="C741" s="3">
        <v>191.0</v>
      </c>
      <c r="D741" s="3">
        <f>IFERROR(__xludf.DUMMYFUNCTION("IFERROR(
IF(REGEXMATCH(LOWER(O741),""k""),
VALUE(REGEXEXTRACT(O741,""[0-9]+""))*1000,
VALUE(REGEXEXTRACT(O741,""[0-9]+""))
),
0
)"),0.0)</f>
        <v>0</v>
      </c>
      <c r="E741" s="1" t="s">
        <v>11</v>
      </c>
      <c r="F741" s="1" t="s">
        <v>20</v>
      </c>
      <c r="G741" s="4" t="b">
        <f t="shared" si="2"/>
        <v>1</v>
      </c>
      <c r="H741" s="1" t="str">
        <f t="shared" si="3"/>
        <v>Currently Unavailable</v>
      </c>
      <c r="I741" s="1" t="str">
        <f t="shared" si="4"/>
        <v>No Badges</v>
      </c>
      <c r="J741" s="3">
        <f t="shared" si="5"/>
        <v>0</v>
      </c>
    </row>
    <row r="742">
      <c r="A742" s="1" t="s">
        <v>670</v>
      </c>
      <c r="B742" s="3" t="str">
        <f t="shared" si="1"/>
        <v>Unavailable</v>
      </c>
      <c r="C742" s="3">
        <v>5.0</v>
      </c>
      <c r="D742" s="3">
        <f>IFERROR(__xludf.DUMMYFUNCTION("IFERROR(
IF(REGEXMATCH(LOWER(O742),""k""),
VALUE(REGEXEXTRACT(O742,""[0-9]+""))*1000,
VALUE(REGEXEXTRACT(O742,""[0-9]+""))
),
0
)"),0.0)</f>
        <v>0</v>
      </c>
      <c r="E742" s="1" t="s">
        <v>11</v>
      </c>
      <c r="F742" s="1" t="s">
        <v>20</v>
      </c>
      <c r="G742" s="4" t="b">
        <f t="shared" si="2"/>
        <v>1</v>
      </c>
      <c r="H742" s="1" t="str">
        <f t="shared" si="3"/>
        <v>Currently Unavailable</v>
      </c>
      <c r="I742" s="1" t="str">
        <f t="shared" si="4"/>
        <v>No Badges</v>
      </c>
      <c r="J742" s="3">
        <f t="shared" si="5"/>
        <v>0</v>
      </c>
    </row>
    <row r="743">
      <c r="A743" s="1" t="s">
        <v>671</v>
      </c>
      <c r="B743" s="3" t="str">
        <f t="shared" si="1"/>
        <v>Unavailable</v>
      </c>
      <c r="C743" s="3">
        <v>803.0</v>
      </c>
      <c r="D743" s="3">
        <f>IFERROR(__xludf.DUMMYFUNCTION("IFERROR(
IF(REGEXMATCH(LOWER(O743),""k""),
VALUE(REGEXEXTRACT(O743,""[0-9]+""))*1000,
VALUE(REGEXEXTRACT(O743,""[0-9]+""))
),
0
)"),0.0)</f>
        <v>0</v>
      </c>
      <c r="E743" s="1" t="s">
        <v>11</v>
      </c>
      <c r="F743" s="1" t="s">
        <v>20</v>
      </c>
      <c r="G743" s="4" t="b">
        <f t="shared" si="2"/>
        <v>1</v>
      </c>
      <c r="H743" s="1" t="str">
        <f t="shared" si="3"/>
        <v>Currently Unavailable</v>
      </c>
      <c r="I743" s="1" t="str">
        <f t="shared" si="4"/>
        <v>No Badges</v>
      </c>
      <c r="J743" s="3">
        <f t="shared" si="5"/>
        <v>0</v>
      </c>
    </row>
    <row r="744">
      <c r="A744" s="1" t="s">
        <v>672</v>
      </c>
      <c r="B744" s="3" t="str">
        <f t="shared" si="1"/>
        <v>Unavailable</v>
      </c>
      <c r="C744" s="3">
        <v>645.0</v>
      </c>
      <c r="D744" s="3">
        <f>IFERROR(__xludf.DUMMYFUNCTION("IFERROR(
IF(REGEXMATCH(LOWER(O744),""k""),
VALUE(REGEXEXTRACT(O744,""[0-9]+""))*1000,
VALUE(REGEXEXTRACT(O744,""[0-9]+""))
),
0
)"),0.0)</f>
        <v>0</v>
      </c>
      <c r="E744" s="1" t="s">
        <v>11</v>
      </c>
      <c r="F744" s="1" t="s">
        <v>20</v>
      </c>
      <c r="G744" s="4" t="b">
        <f t="shared" si="2"/>
        <v>1</v>
      </c>
      <c r="H744" s="1" t="str">
        <f t="shared" si="3"/>
        <v>Currently Unavailable</v>
      </c>
      <c r="I744" s="1" t="str">
        <f t="shared" si="4"/>
        <v>No Badges</v>
      </c>
      <c r="J744" s="3">
        <f t="shared" si="5"/>
        <v>0</v>
      </c>
    </row>
    <row r="745">
      <c r="A745" s="1" t="s">
        <v>673</v>
      </c>
      <c r="B745" s="3" t="str">
        <f t="shared" si="1"/>
        <v>Unavailable</v>
      </c>
      <c r="C745" s="3">
        <v>200.0</v>
      </c>
      <c r="D745" s="3">
        <f>IFERROR(__xludf.DUMMYFUNCTION("IFERROR(
IF(REGEXMATCH(LOWER(O745),""k""),
VALUE(REGEXEXTRACT(O745,""[0-9]+""))*1000,
VALUE(REGEXEXTRACT(O745,""[0-9]+""))
),
0
)"),0.0)</f>
        <v>0</v>
      </c>
      <c r="E745" s="1" t="s">
        <v>11</v>
      </c>
      <c r="F745" s="1" t="s">
        <v>20</v>
      </c>
      <c r="G745" s="4" t="b">
        <f t="shared" si="2"/>
        <v>1</v>
      </c>
      <c r="H745" s="1" t="str">
        <f t="shared" si="3"/>
        <v>Currently Unavailable</v>
      </c>
      <c r="I745" s="1" t="str">
        <f t="shared" si="4"/>
        <v>No Badges</v>
      </c>
      <c r="J745" s="3">
        <f t="shared" si="5"/>
        <v>0</v>
      </c>
    </row>
    <row r="746">
      <c r="A746" s="1" t="s">
        <v>674</v>
      </c>
      <c r="B746" s="3" t="str">
        <f t="shared" si="1"/>
        <v>Unavailable</v>
      </c>
      <c r="C746" s="3">
        <v>433.0</v>
      </c>
      <c r="D746" s="3">
        <f>IFERROR(__xludf.DUMMYFUNCTION("IFERROR(
IF(REGEXMATCH(LOWER(O746),""k""),
VALUE(REGEXEXTRACT(O746,""[0-9]+""))*1000,
VALUE(REGEXEXTRACT(O746,""[0-9]+""))
),
0
)"),0.0)</f>
        <v>0</v>
      </c>
      <c r="E746" s="1" t="s">
        <v>11</v>
      </c>
      <c r="F746" s="1" t="s">
        <v>20</v>
      </c>
      <c r="G746" s="4" t="b">
        <f t="shared" si="2"/>
        <v>1</v>
      </c>
      <c r="H746" s="1" t="str">
        <f t="shared" si="3"/>
        <v>Currently Unavailable</v>
      </c>
      <c r="I746" s="1" t="str">
        <f t="shared" si="4"/>
        <v>No Badges</v>
      </c>
      <c r="J746" s="3">
        <f t="shared" si="5"/>
        <v>0</v>
      </c>
    </row>
    <row r="747">
      <c r="A747" s="1" t="s">
        <v>143</v>
      </c>
      <c r="B747" s="3" t="str">
        <f t="shared" si="1"/>
        <v>Unavailable</v>
      </c>
      <c r="C747" s="3">
        <v>63.0</v>
      </c>
      <c r="D747" s="3">
        <f>IFERROR(__xludf.DUMMYFUNCTION("IFERROR(
IF(REGEXMATCH(LOWER(O747),""k""),
VALUE(REGEXEXTRACT(O747,""[0-9]+""))*1000,
VALUE(REGEXEXTRACT(O747,""[0-9]+""))
),
0
)"),0.0)</f>
        <v>0</v>
      </c>
      <c r="E747" s="1" t="s">
        <v>11</v>
      </c>
      <c r="F747" s="1" t="s">
        <v>12</v>
      </c>
      <c r="G747" s="4" t="b">
        <f t="shared" si="2"/>
        <v>1</v>
      </c>
      <c r="H747" s="1" t="str">
        <f t="shared" si="3"/>
        <v>Currently Unavailable</v>
      </c>
      <c r="I747" s="1" t="str">
        <f t="shared" si="4"/>
        <v>No Badges</v>
      </c>
      <c r="J747" s="3">
        <f t="shared" si="5"/>
        <v>0</v>
      </c>
    </row>
    <row r="748">
      <c r="A748" s="1" t="s">
        <v>69</v>
      </c>
      <c r="B748" s="3" t="str">
        <f t="shared" si="1"/>
        <v>Unavailable</v>
      </c>
      <c r="C748" s="3">
        <v>45.0</v>
      </c>
      <c r="D748" s="3">
        <f>IFERROR(__xludf.DUMMYFUNCTION("IFERROR(
IF(REGEXMATCH(LOWER(O748),""k""),
VALUE(REGEXEXTRACT(O748,""[0-9]+""))*1000,
VALUE(REGEXEXTRACT(O748,""[0-9]+""))
),
0
)"),0.0)</f>
        <v>0</v>
      </c>
      <c r="E748" s="1" t="s">
        <v>11</v>
      </c>
      <c r="F748" s="1" t="s">
        <v>12</v>
      </c>
      <c r="G748" s="4" t="b">
        <f t="shared" si="2"/>
        <v>1</v>
      </c>
      <c r="H748" s="1" t="str">
        <f t="shared" si="3"/>
        <v>Currently Unavailable</v>
      </c>
      <c r="I748" s="1" t="str">
        <f t="shared" si="4"/>
        <v>No Badges</v>
      </c>
      <c r="J748" s="3">
        <f t="shared" si="5"/>
        <v>0</v>
      </c>
    </row>
    <row r="749">
      <c r="A749" s="1" t="s">
        <v>675</v>
      </c>
      <c r="B749" s="3" t="str">
        <f t="shared" si="1"/>
        <v>Unavailable</v>
      </c>
      <c r="C749" s="5">
        <v>1021.0</v>
      </c>
      <c r="D749" s="3">
        <f>IFERROR(__xludf.DUMMYFUNCTION("IFERROR(
IF(REGEXMATCH(LOWER(O749),""k""),
VALUE(REGEXEXTRACT(O749,""[0-9]+""))*1000,
VALUE(REGEXEXTRACT(O749,""[0-9]+""))
),
0
)"),0.0)</f>
        <v>0</v>
      </c>
      <c r="E749" s="1" t="s">
        <v>11</v>
      </c>
      <c r="F749" s="1" t="s">
        <v>20</v>
      </c>
      <c r="G749" s="4" t="b">
        <f t="shared" si="2"/>
        <v>1</v>
      </c>
      <c r="H749" s="1" t="str">
        <f t="shared" si="3"/>
        <v>Currently Unavailable</v>
      </c>
      <c r="I749" s="1" t="str">
        <f t="shared" si="4"/>
        <v>No Badges</v>
      </c>
      <c r="J749" s="3">
        <f t="shared" si="5"/>
        <v>0</v>
      </c>
    </row>
    <row r="750">
      <c r="A750" s="1" t="s">
        <v>676</v>
      </c>
      <c r="B750" s="3" t="str">
        <f t="shared" si="1"/>
        <v>Unavailable</v>
      </c>
      <c r="C750" s="3">
        <v>524.0</v>
      </c>
      <c r="D750" s="3">
        <f>IFERROR(__xludf.DUMMYFUNCTION("IFERROR(
IF(REGEXMATCH(LOWER(O750),""k""),
VALUE(REGEXEXTRACT(O750,""[0-9]+""))*1000,
VALUE(REGEXEXTRACT(O750,""[0-9]+""))
),
0
)"),0.0)</f>
        <v>0</v>
      </c>
      <c r="E750" s="1" t="s">
        <v>11</v>
      </c>
      <c r="F750" s="1" t="s">
        <v>20</v>
      </c>
      <c r="G750" s="4" t="b">
        <f t="shared" si="2"/>
        <v>1</v>
      </c>
      <c r="H750" s="1" t="str">
        <f t="shared" si="3"/>
        <v>Currently Unavailable</v>
      </c>
      <c r="I750" s="1" t="str">
        <f t="shared" si="4"/>
        <v>No Badges</v>
      </c>
      <c r="J750" s="3">
        <f t="shared" si="5"/>
        <v>0</v>
      </c>
    </row>
    <row r="751">
      <c r="A751" s="1" t="s">
        <v>69</v>
      </c>
      <c r="B751" s="3" t="str">
        <f t="shared" si="1"/>
        <v>Unavailable</v>
      </c>
      <c r="C751" s="3">
        <v>45.0</v>
      </c>
      <c r="D751" s="3">
        <f>IFERROR(__xludf.DUMMYFUNCTION("IFERROR(
IF(REGEXMATCH(LOWER(O751),""k""),
VALUE(REGEXEXTRACT(O751,""[0-9]+""))*1000,
VALUE(REGEXEXTRACT(O751,""[0-9]+""))
),
0
)"),0.0)</f>
        <v>0</v>
      </c>
      <c r="E751" s="1" t="s">
        <v>11</v>
      </c>
      <c r="F751" s="1" t="s">
        <v>12</v>
      </c>
      <c r="G751" s="4" t="b">
        <f t="shared" si="2"/>
        <v>1</v>
      </c>
      <c r="H751" s="1" t="str">
        <f t="shared" si="3"/>
        <v>Currently Unavailable</v>
      </c>
      <c r="I751" s="1" t="str">
        <f t="shared" si="4"/>
        <v>No Badges</v>
      </c>
      <c r="J751" s="3">
        <f t="shared" si="5"/>
        <v>0</v>
      </c>
    </row>
    <row r="752">
      <c r="A752" s="1" t="s">
        <v>677</v>
      </c>
      <c r="B752" s="3" t="str">
        <f t="shared" si="1"/>
        <v>Unavailable</v>
      </c>
      <c r="C752" s="5">
        <v>1295.0</v>
      </c>
      <c r="D752" s="3">
        <f>IFERROR(__xludf.DUMMYFUNCTION("IFERROR(
IF(REGEXMATCH(LOWER(O752),""k""),
VALUE(REGEXEXTRACT(O752,""[0-9]+""))*1000,
VALUE(REGEXEXTRACT(O752,""[0-9]+""))
),
0
)"),0.0)</f>
        <v>0</v>
      </c>
      <c r="E752" s="1" t="s">
        <v>11</v>
      </c>
      <c r="F752" s="1" t="s">
        <v>20</v>
      </c>
      <c r="G752" s="4" t="b">
        <f t="shared" si="2"/>
        <v>1</v>
      </c>
      <c r="H752" s="1" t="str">
        <f t="shared" si="3"/>
        <v>Currently Unavailable</v>
      </c>
      <c r="I752" s="1" t="str">
        <f t="shared" si="4"/>
        <v>No Badges</v>
      </c>
      <c r="J752" s="3">
        <f t="shared" si="5"/>
        <v>0</v>
      </c>
    </row>
    <row r="753">
      <c r="A753" s="1" t="s">
        <v>678</v>
      </c>
      <c r="B753" s="3" t="str">
        <f t="shared" si="1"/>
        <v>Unavailable</v>
      </c>
      <c r="C753" s="3">
        <v>283.0</v>
      </c>
      <c r="D753" s="3">
        <f>IFERROR(__xludf.DUMMYFUNCTION("IFERROR(
IF(REGEXMATCH(LOWER(O753),""k""),
VALUE(REGEXEXTRACT(O753,""[0-9]+""))*1000,
VALUE(REGEXEXTRACT(O753,""[0-9]+""))
),
0
)"),0.0)</f>
        <v>0</v>
      </c>
      <c r="E753" s="1" t="s">
        <v>11</v>
      </c>
      <c r="F753" s="1" t="s">
        <v>20</v>
      </c>
      <c r="G753" s="4" t="b">
        <f t="shared" si="2"/>
        <v>1</v>
      </c>
      <c r="H753" s="1" t="str">
        <f t="shared" si="3"/>
        <v>Currently Unavailable</v>
      </c>
      <c r="I753" s="1" t="str">
        <f t="shared" si="4"/>
        <v>No Badges</v>
      </c>
      <c r="J753" s="3">
        <f t="shared" si="5"/>
        <v>0</v>
      </c>
    </row>
    <row r="754">
      <c r="A754" s="1" t="s">
        <v>678</v>
      </c>
      <c r="B754" s="3" t="str">
        <f t="shared" si="1"/>
        <v>Unavailable</v>
      </c>
      <c r="C754" s="3">
        <v>283.0</v>
      </c>
      <c r="D754" s="3">
        <f>IFERROR(__xludf.DUMMYFUNCTION("IFERROR(
IF(REGEXMATCH(LOWER(O754),""k""),
VALUE(REGEXEXTRACT(O754,""[0-9]+""))*1000,
VALUE(REGEXEXTRACT(O754,""[0-9]+""))
),
0
)"),0.0)</f>
        <v>0</v>
      </c>
      <c r="E754" s="1" t="s">
        <v>11</v>
      </c>
      <c r="F754" s="1" t="s">
        <v>20</v>
      </c>
      <c r="G754" s="4" t="b">
        <f t="shared" si="2"/>
        <v>1</v>
      </c>
      <c r="H754" s="1" t="str">
        <f t="shared" si="3"/>
        <v>Currently Unavailable</v>
      </c>
      <c r="I754" s="1" t="str">
        <f t="shared" si="4"/>
        <v>No Badges</v>
      </c>
      <c r="J754" s="3">
        <f t="shared" si="5"/>
        <v>0</v>
      </c>
    </row>
    <row r="755">
      <c r="A755" s="1" t="s">
        <v>679</v>
      </c>
      <c r="B755" s="3" t="str">
        <f t="shared" si="1"/>
        <v>Unavailable</v>
      </c>
      <c r="C755" s="3">
        <v>18.0</v>
      </c>
      <c r="D755" s="3">
        <f>IFERROR(__xludf.DUMMYFUNCTION("IFERROR(
IF(REGEXMATCH(LOWER(O755),""k""),
VALUE(REGEXEXTRACT(O755,""[0-9]+""))*1000,
VALUE(REGEXEXTRACT(O755,""[0-9]+""))
),
0
)"),0.0)</f>
        <v>0</v>
      </c>
      <c r="E755" s="1" t="s">
        <v>11</v>
      </c>
      <c r="F755" s="1" t="s">
        <v>20</v>
      </c>
      <c r="G755" s="4" t="b">
        <f t="shared" si="2"/>
        <v>1</v>
      </c>
      <c r="H755" s="1" t="str">
        <f t="shared" si="3"/>
        <v>Currently Unavailable</v>
      </c>
      <c r="I755" s="1" t="str">
        <f t="shared" si="4"/>
        <v>No Badges</v>
      </c>
      <c r="J755" s="3">
        <f t="shared" si="5"/>
        <v>0</v>
      </c>
    </row>
    <row r="756">
      <c r="A756" s="1" t="s">
        <v>680</v>
      </c>
      <c r="B756" s="3" t="str">
        <f t="shared" si="1"/>
        <v>Unavailable</v>
      </c>
      <c r="C756" s="3">
        <v>193.0</v>
      </c>
      <c r="D756" s="3">
        <f>IFERROR(__xludf.DUMMYFUNCTION("IFERROR(
IF(REGEXMATCH(LOWER(O756),""k""),
VALUE(REGEXEXTRACT(O756,""[0-9]+""))*1000,
VALUE(REGEXEXTRACT(O756,""[0-9]+""))
),
0
)"),0.0)</f>
        <v>0</v>
      </c>
      <c r="E756" s="1" t="s">
        <v>11</v>
      </c>
      <c r="F756" s="1" t="s">
        <v>20</v>
      </c>
      <c r="G756" s="4" t="b">
        <f t="shared" si="2"/>
        <v>1</v>
      </c>
      <c r="H756" s="1" t="str">
        <f t="shared" si="3"/>
        <v>Currently Unavailable</v>
      </c>
      <c r="I756" s="1" t="str">
        <f t="shared" si="4"/>
        <v>No Badges</v>
      </c>
      <c r="J756" s="3">
        <f t="shared" si="5"/>
        <v>0</v>
      </c>
    </row>
    <row r="757">
      <c r="A757" s="1" t="s">
        <v>681</v>
      </c>
      <c r="B757" s="3" t="str">
        <f t="shared" si="1"/>
        <v>Unavailable</v>
      </c>
      <c r="C757" s="3">
        <v>2.0</v>
      </c>
      <c r="D757" s="3">
        <f>IFERROR(__xludf.DUMMYFUNCTION("IFERROR(
IF(REGEXMATCH(LOWER(O757),""k""),
VALUE(REGEXEXTRACT(O757,""[0-9]+""))*1000,
VALUE(REGEXEXTRACT(O757,""[0-9]+""))
),
0
)"),0.0)</f>
        <v>0</v>
      </c>
      <c r="E757" s="1" t="s">
        <v>11</v>
      </c>
      <c r="F757" s="1" t="s">
        <v>20</v>
      </c>
      <c r="G757" s="4" t="b">
        <f t="shared" si="2"/>
        <v>1</v>
      </c>
      <c r="H757" s="1" t="str">
        <f t="shared" si="3"/>
        <v>Currently Unavailable</v>
      </c>
      <c r="I757" s="1" t="str">
        <f t="shared" si="4"/>
        <v>No Badges</v>
      </c>
      <c r="J757" s="3">
        <f t="shared" si="5"/>
        <v>0</v>
      </c>
    </row>
    <row r="758">
      <c r="A758" s="1" t="s">
        <v>682</v>
      </c>
      <c r="B758" s="3" t="str">
        <f t="shared" si="1"/>
        <v>Unavailable</v>
      </c>
      <c r="C758" s="3">
        <v>354.0</v>
      </c>
      <c r="D758" s="3">
        <f>IFERROR(__xludf.DUMMYFUNCTION("IFERROR(
IF(REGEXMATCH(LOWER(O758),""k""),
VALUE(REGEXEXTRACT(O758,""[0-9]+""))*1000,
VALUE(REGEXEXTRACT(O758,""[0-9]+""))
),
0
)"),0.0)</f>
        <v>0</v>
      </c>
      <c r="E758" s="1" t="s">
        <v>11</v>
      </c>
      <c r="F758" s="1" t="s">
        <v>20</v>
      </c>
      <c r="G758" s="4" t="b">
        <f t="shared" si="2"/>
        <v>1</v>
      </c>
      <c r="H758" s="1" t="str">
        <f t="shared" si="3"/>
        <v>Currently Unavailable</v>
      </c>
      <c r="I758" s="1" t="str">
        <f t="shared" si="4"/>
        <v>No Badges</v>
      </c>
      <c r="J758" s="3">
        <f t="shared" si="5"/>
        <v>0</v>
      </c>
    </row>
    <row r="759">
      <c r="A759" s="1" t="s">
        <v>683</v>
      </c>
      <c r="B759" s="3" t="str">
        <f t="shared" si="1"/>
        <v>Unavailable</v>
      </c>
      <c r="C759" s="5">
        <v>2616.0</v>
      </c>
      <c r="D759" s="3">
        <f>IFERROR(__xludf.DUMMYFUNCTION("IFERROR(
IF(REGEXMATCH(LOWER(O759),""k""),
VALUE(REGEXEXTRACT(O759,""[0-9]+""))*1000,
VALUE(REGEXEXTRACT(O759,""[0-9]+""))
),
0
)"),0.0)</f>
        <v>0</v>
      </c>
      <c r="E759" s="1" t="s">
        <v>11</v>
      </c>
      <c r="F759" s="1" t="s">
        <v>20</v>
      </c>
      <c r="G759" s="4" t="b">
        <f t="shared" si="2"/>
        <v>1</v>
      </c>
      <c r="H759" s="1" t="str">
        <f t="shared" si="3"/>
        <v>Currently Unavailable</v>
      </c>
      <c r="I759" s="1" t="str">
        <f t="shared" si="4"/>
        <v>No Badges</v>
      </c>
      <c r="J759" s="3">
        <f t="shared" si="5"/>
        <v>0</v>
      </c>
    </row>
    <row r="760">
      <c r="A760" s="1" t="s">
        <v>684</v>
      </c>
      <c r="B760" s="3" t="str">
        <f t="shared" si="1"/>
        <v>Unavailable</v>
      </c>
      <c r="C760" s="3">
        <v>78.0</v>
      </c>
      <c r="D760" s="3">
        <f>IFERROR(__xludf.DUMMYFUNCTION("IFERROR(
IF(REGEXMATCH(LOWER(O760),""k""),
VALUE(REGEXEXTRACT(O760,""[0-9]+""))*1000,
VALUE(REGEXEXTRACT(O760,""[0-9]+""))
),
0
)"),0.0)</f>
        <v>0</v>
      </c>
      <c r="E760" s="1" t="s">
        <v>11</v>
      </c>
      <c r="F760" s="1" t="s">
        <v>20</v>
      </c>
      <c r="G760" s="4" t="b">
        <f t="shared" si="2"/>
        <v>1</v>
      </c>
      <c r="H760" s="1" t="str">
        <f t="shared" si="3"/>
        <v>Currently Unavailable</v>
      </c>
      <c r="I760" s="1" t="str">
        <f t="shared" si="4"/>
        <v>No Badges</v>
      </c>
      <c r="J760" s="3">
        <f t="shared" si="5"/>
        <v>0</v>
      </c>
    </row>
    <row r="761">
      <c r="A761" s="1" t="s">
        <v>685</v>
      </c>
      <c r="B761" s="3" t="str">
        <f t="shared" si="1"/>
        <v>Unavailable</v>
      </c>
      <c r="C761" s="5">
        <v>1240.0</v>
      </c>
      <c r="D761" s="3">
        <f>IFERROR(__xludf.DUMMYFUNCTION("IFERROR(
IF(REGEXMATCH(LOWER(O761),""k""),
VALUE(REGEXEXTRACT(O761,""[0-9]+""))*1000,
VALUE(REGEXEXTRACT(O761,""[0-9]+""))
),
0
)"),0.0)</f>
        <v>0</v>
      </c>
      <c r="E761" s="1" t="s">
        <v>11</v>
      </c>
      <c r="F761" s="1" t="s">
        <v>20</v>
      </c>
      <c r="G761" s="4" t="b">
        <f t="shared" si="2"/>
        <v>1</v>
      </c>
      <c r="H761" s="1" t="str">
        <f t="shared" si="3"/>
        <v>Currently Unavailable</v>
      </c>
      <c r="I761" s="1" t="str">
        <f t="shared" si="4"/>
        <v>No Badges</v>
      </c>
      <c r="J761" s="3">
        <f t="shared" si="5"/>
        <v>0</v>
      </c>
    </row>
    <row r="762">
      <c r="A762" s="1" t="s">
        <v>686</v>
      </c>
      <c r="B762" s="3" t="str">
        <f t="shared" si="1"/>
        <v>Unavailable</v>
      </c>
      <c r="C762" s="3">
        <v>37.0</v>
      </c>
      <c r="D762" s="3">
        <f>IFERROR(__xludf.DUMMYFUNCTION("IFERROR(
IF(REGEXMATCH(LOWER(O762),""k""),
VALUE(REGEXEXTRACT(O762,""[0-9]+""))*1000,
VALUE(REGEXEXTRACT(O762,""[0-9]+""))
),
0
)"),0.0)</f>
        <v>0</v>
      </c>
      <c r="E762" s="1" t="s">
        <v>11</v>
      </c>
      <c r="F762" s="1" t="s">
        <v>20</v>
      </c>
      <c r="G762" s="4" t="b">
        <f t="shared" si="2"/>
        <v>1</v>
      </c>
      <c r="H762" s="1" t="str">
        <f t="shared" si="3"/>
        <v>Currently Unavailable</v>
      </c>
      <c r="I762" s="1" t="str">
        <f t="shared" si="4"/>
        <v>No Badges</v>
      </c>
      <c r="J762" s="3">
        <f t="shared" si="5"/>
        <v>0</v>
      </c>
    </row>
    <row r="763">
      <c r="A763" s="1" t="s">
        <v>687</v>
      </c>
      <c r="B763" s="3" t="str">
        <f t="shared" si="1"/>
        <v>Unavailable</v>
      </c>
      <c r="C763" s="3">
        <v>75.0</v>
      </c>
      <c r="D763" s="3">
        <f>IFERROR(__xludf.DUMMYFUNCTION("IFERROR(
IF(REGEXMATCH(LOWER(O763),""k""),
VALUE(REGEXEXTRACT(O763,""[0-9]+""))*1000,
VALUE(REGEXEXTRACT(O763,""[0-9]+""))
),
0
)"),0.0)</f>
        <v>0</v>
      </c>
      <c r="E763" s="1" t="s">
        <v>11</v>
      </c>
      <c r="F763" s="1" t="s">
        <v>20</v>
      </c>
      <c r="G763" s="4" t="b">
        <f t="shared" si="2"/>
        <v>1</v>
      </c>
      <c r="H763" s="1" t="str">
        <f t="shared" si="3"/>
        <v>Currently Unavailable</v>
      </c>
      <c r="I763" s="1" t="str">
        <f t="shared" si="4"/>
        <v>No Badges</v>
      </c>
      <c r="J763" s="3">
        <f t="shared" si="5"/>
        <v>0</v>
      </c>
    </row>
    <row r="764">
      <c r="A764" s="1" t="s">
        <v>604</v>
      </c>
      <c r="B764" s="3" t="str">
        <f t="shared" si="1"/>
        <v>Unavailable</v>
      </c>
      <c r="C764" s="3">
        <v>30.0</v>
      </c>
      <c r="D764" s="3">
        <f>IFERROR(__xludf.DUMMYFUNCTION("IFERROR(
IF(REGEXMATCH(LOWER(O764),""k""),
VALUE(REGEXEXTRACT(O764,""[0-9]+""))*1000,
VALUE(REGEXEXTRACT(O764,""[0-9]+""))
),
0
)"),0.0)</f>
        <v>0</v>
      </c>
      <c r="E764" s="1" t="s">
        <v>11</v>
      </c>
      <c r="F764" s="1" t="s">
        <v>12</v>
      </c>
      <c r="G764" s="4" t="b">
        <f t="shared" si="2"/>
        <v>1</v>
      </c>
      <c r="H764" s="1" t="str">
        <f t="shared" si="3"/>
        <v>Currently Unavailable</v>
      </c>
      <c r="I764" s="1" t="str">
        <f t="shared" si="4"/>
        <v>No Badges</v>
      </c>
      <c r="J764" s="3">
        <f t="shared" si="5"/>
        <v>0</v>
      </c>
    </row>
    <row r="765">
      <c r="A765" s="1" t="s">
        <v>67</v>
      </c>
      <c r="B765" s="3" t="str">
        <f t="shared" si="1"/>
        <v>Unavailable</v>
      </c>
      <c r="C765" s="3">
        <v>264.0</v>
      </c>
      <c r="D765" s="3">
        <f>IFERROR(__xludf.DUMMYFUNCTION("IFERROR(
IF(REGEXMATCH(LOWER(O765),""k""),
VALUE(REGEXEXTRACT(O765,""[0-9]+""))*1000,
VALUE(REGEXEXTRACT(O765,""[0-9]+""))
),
0
)"),0.0)</f>
        <v>0</v>
      </c>
      <c r="E765" s="1" t="s">
        <v>11</v>
      </c>
      <c r="F765" s="1" t="s">
        <v>12</v>
      </c>
      <c r="G765" s="4" t="b">
        <f t="shared" si="2"/>
        <v>1</v>
      </c>
      <c r="H765" s="1" t="str">
        <f t="shared" si="3"/>
        <v>Currently Unavailable</v>
      </c>
      <c r="I765" s="1" t="str">
        <f t="shared" si="4"/>
        <v>No Badges</v>
      </c>
      <c r="J765" s="3">
        <f t="shared" si="5"/>
        <v>0</v>
      </c>
    </row>
    <row r="766">
      <c r="A766" s="1" t="s">
        <v>688</v>
      </c>
      <c r="B766" s="3" t="str">
        <f t="shared" si="1"/>
        <v>Unavailable</v>
      </c>
      <c r="C766" s="3">
        <v>96.0</v>
      </c>
      <c r="D766" s="3">
        <f>IFERROR(__xludf.DUMMYFUNCTION("IFERROR(
IF(REGEXMATCH(LOWER(O766),""k""),
VALUE(REGEXEXTRACT(O766,""[0-9]+""))*1000,
VALUE(REGEXEXTRACT(O766,""[0-9]+""))
),
0
)"),0.0)</f>
        <v>0</v>
      </c>
      <c r="E766" s="1" t="s">
        <v>11</v>
      </c>
      <c r="F766" s="1" t="s">
        <v>20</v>
      </c>
      <c r="G766" s="4" t="b">
        <f t="shared" si="2"/>
        <v>1</v>
      </c>
      <c r="H766" s="1" t="str">
        <f t="shared" si="3"/>
        <v>Currently Unavailable</v>
      </c>
      <c r="I766" s="1" t="str">
        <f t="shared" si="4"/>
        <v>No Badges</v>
      </c>
      <c r="J766" s="3">
        <f t="shared" si="5"/>
        <v>0</v>
      </c>
    </row>
    <row r="767">
      <c r="A767" s="1" t="s">
        <v>689</v>
      </c>
      <c r="B767" s="3" t="str">
        <f t="shared" si="1"/>
        <v>Unavailable</v>
      </c>
      <c r="C767" s="3">
        <v>758.0</v>
      </c>
      <c r="D767" s="3">
        <f>IFERROR(__xludf.DUMMYFUNCTION("IFERROR(
IF(REGEXMATCH(LOWER(O767),""k""),
VALUE(REGEXEXTRACT(O767,""[0-9]+""))*1000,
VALUE(REGEXEXTRACT(O767,""[0-9]+""))
),
0
)"),0.0)</f>
        <v>0</v>
      </c>
      <c r="E767" s="1" t="s">
        <v>11</v>
      </c>
      <c r="F767" s="1" t="s">
        <v>20</v>
      </c>
      <c r="G767" s="4" t="b">
        <f t="shared" si="2"/>
        <v>1</v>
      </c>
      <c r="H767" s="1" t="str">
        <f t="shared" si="3"/>
        <v>Currently Unavailable</v>
      </c>
      <c r="I767" s="1" t="str">
        <f t="shared" si="4"/>
        <v>No Badges</v>
      </c>
      <c r="J767" s="3">
        <f t="shared" si="5"/>
        <v>0</v>
      </c>
    </row>
    <row r="768">
      <c r="A768" s="1" t="s">
        <v>690</v>
      </c>
      <c r="B768" s="3" t="str">
        <f t="shared" si="1"/>
        <v>Unavailable</v>
      </c>
      <c r="C768" s="3">
        <v>99.0</v>
      </c>
      <c r="D768" s="3">
        <f>IFERROR(__xludf.DUMMYFUNCTION("IFERROR(
IF(REGEXMATCH(LOWER(O768),""k""),
VALUE(REGEXEXTRACT(O768,""[0-9]+""))*1000,
VALUE(REGEXEXTRACT(O768,""[0-9]+""))
),
0
)"),0.0)</f>
        <v>0</v>
      </c>
      <c r="E768" s="1" t="s">
        <v>11</v>
      </c>
      <c r="F768" s="1" t="s">
        <v>20</v>
      </c>
      <c r="G768" s="4" t="b">
        <f t="shared" si="2"/>
        <v>1</v>
      </c>
      <c r="H768" s="1" t="str">
        <f t="shared" si="3"/>
        <v>Currently Unavailable</v>
      </c>
      <c r="I768" s="1" t="str">
        <f t="shared" si="4"/>
        <v>No Badges</v>
      </c>
      <c r="J768" s="3">
        <f t="shared" si="5"/>
        <v>0</v>
      </c>
    </row>
    <row r="769">
      <c r="A769" s="1" t="s">
        <v>691</v>
      </c>
      <c r="B769" s="3" t="str">
        <f t="shared" si="1"/>
        <v>Unavailable</v>
      </c>
      <c r="C769" s="3">
        <v>178.0</v>
      </c>
      <c r="D769" s="3">
        <f>IFERROR(__xludf.DUMMYFUNCTION("IFERROR(
IF(REGEXMATCH(LOWER(O769),""k""),
VALUE(REGEXEXTRACT(O769,""[0-9]+""))*1000,
VALUE(REGEXEXTRACT(O769,""[0-9]+""))
),
0
)"),0.0)</f>
        <v>0</v>
      </c>
      <c r="E769" s="1" t="s">
        <v>11</v>
      </c>
      <c r="F769" s="1" t="s">
        <v>20</v>
      </c>
      <c r="G769" s="4" t="b">
        <f t="shared" si="2"/>
        <v>1</v>
      </c>
      <c r="H769" s="1" t="str">
        <f t="shared" si="3"/>
        <v>Currently Unavailable</v>
      </c>
      <c r="I769" s="1" t="str">
        <f t="shared" si="4"/>
        <v>No Badges</v>
      </c>
      <c r="J769" s="3">
        <f t="shared" si="5"/>
        <v>0</v>
      </c>
    </row>
    <row r="770">
      <c r="A770" s="1" t="s">
        <v>692</v>
      </c>
      <c r="B770" s="3" t="str">
        <f t="shared" si="1"/>
        <v>Unavailable</v>
      </c>
      <c r="C770" s="3">
        <v>38.0</v>
      </c>
      <c r="D770" s="3">
        <f>IFERROR(__xludf.DUMMYFUNCTION("IFERROR(
IF(REGEXMATCH(LOWER(O770),""k""),
VALUE(REGEXEXTRACT(O770,""[0-9]+""))*1000,
VALUE(REGEXEXTRACT(O770,""[0-9]+""))
),
0
)"),0.0)</f>
        <v>0</v>
      </c>
      <c r="E770" s="1" t="s">
        <v>11</v>
      </c>
      <c r="F770" s="1" t="s">
        <v>20</v>
      </c>
      <c r="G770" s="4" t="b">
        <f t="shared" si="2"/>
        <v>1</v>
      </c>
      <c r="H770" s="1" t="str">
        <f t="shared" si="3"/>
        <v>Currently Unavailable</v>
      </c>
      <c r="I770" s="1" t="str">
        <f t="shared" si="4"/>
        <v>No Badges</v>
      </c>
      <c r="J770" s="3">
        <f t="shared" si="5"/>
        <v>0</v>
      </c>
    </row>
    <row r="771">
      <c r="A771" s="1" t="s">
        <v>693</v>
      </c>
      <c r="B771" s="3" t="str">
        <f t="shared" si="1"/>
        <v>Unavailable</v>
      </c>
      <c r="C771" s="5">
        <v>1199.0</v>
      </c>
      <c r="D771" s="3">
        <f>IFERROR(__xludf.DUMMYFUNCTION("IFERROR(
IF(REGEXMATCH(LOWER(O771),""k""),
VALUE(REGEXEXTRACT(O771,""[0-9]+""))*1000,
VALUE(REGEXEXTRACT(O771,""[0-9]+""))
),
0
)"),0.0)</f>
        <v>0</v>
      </c>
      <c r="E771" s="1" t="s">
        <v>11</v>
      </c>
      <c r="F771" s="1" t="s">
        <v>20</v>
      </c>
      <c r="G771" s="4" t="b">
        <f t="shared" si="2"/>
        <v>1</v>
      </c>
      <c r="H771" s="1" t="str">
        <f t="shared" si="3"/>
        <v>Currently Unavailable</v>
      </c>
      <c r="I771" s="1" t="str">
        <f t="shared" si="4"/>
        <v>No Badges</v>
      </c>
      <c r="J771" s="3">
        <f t="shared" si="5"/>
        <v>0</v>
      </c>
    </row>
    <row r="772">
      <c r="A772" s="1" t="s">
        <v>694</v>
      </c>
      <c r="B772" s="3" t="str">
        <f t="shared" si="1"/>
        <v>Unavailable</v>
      </c>
      <c r="C772" s="3">
        <v>35.0</v>
      </c>
      <c r="D772" s="3">
        <f>IFERROR(__xludf.DUMMYFUNCTION("IFERROR(
IF(REGEXMATCH(LOWER(O772),""k""),
VALUE(REGEXEXTRACT(O772,""[0-9]+""))*1000,
VALUE(REGEXEXTRACT(O772,""[0-9]+""))
),
0
)"),0.0)</f>
        <v>0</v>
      </c>
      <c r="E772" s="1" t="s">
        <v>11</v>
      </c>
      <c r="F772" s="1" t="s">
        <v>20</v>
      </c>
      <c r="G772" s="4" t="b">
        <f t="shared" si="2"/>
        <v>1</v>
      </c>
      <c r="H772" s="1" t="str">
        <f t="shared" si="3"/>
        <v>Currently Unavailable</v>
      </c>
      <c r="I772" s="1" t="str">
        <f t="shared" si="4"/>
        <v>No Badges</v>
      </c>
      <c r="J772" s="3">
        <f t="shared" si="5"/>
        <v>0</v>
      </c>
    </row>
    <row r="773">
      <c r="A773" s="1" t="s">
        <v>695</v>
      </c>
      <c r="B773" s="3" t="str">
        <f t="shared" si="1"/>
        <v>Unavailable</v>
      </c>
      <c r="C773" s="3">
        <v>306.0</v>
      </c>
      <c r="D773" s="3">
        <f>IFERROR(__xludf.DUMMYFUNCTION("IFERROR(
IF(REGEXMATCH(LOWER(O773),""k""),
VALUE(REGEXEXTRACT(O773,""[0-9]+""))*1000,
VALUE(REGEXEXTRACT(O773,""[0-9]+""))
),
0
)"),0.0)</f>
        <v>0</v>
      </c>
      <c r="E773" s="1" t="s">
        <v>11</v>
      </c>
      <c r="F773" s="1" t="s">
        <v>20</v>
      </c>
      <c r="G773" s="4" t="b">
        <f t="shared" si="2"/>
        <v>1</v>
      </c>
      <c r="H773" s="1" t="str">
        <f t="shared" si="3"/>
        <v>Currently Unavailable</v>
      </c>
      <c r="I773" s="1" t="str">
        <f t="shared" si="4"/>
        <v>No Badges</v>
      </c>
      <c r="J773" s="3">
        <f t="shared" si="5"/>
        <v>0</v>
      </c>
    </row>
    <row r="774">
      <c r="A774" s="1" t="s">
        <v>696</v>
      </c>
      <c r="B774" s="3" t="str">
        <f t="shared" si="1"/>
        <v>Unavailable</v>
      </c>
      <c r="C774" s="3">
        <v>86.0</v>
      </c>
      <c r="D774" s="3">
        <f>IFERROR(__xludf.DUMMYFUNCTION("IFERROR(
IF(REGEXMATCH(LOWER(O774),""k""),
VALUE(REGEXEXTRACT(O774,""[0-9]+""))*1000,
VALUE(REGEXEXTRACT(O774,""[0-9]+""))
),
0
)"),0.0)</f>
        <v>0</v>
      </c>
      <c r="E774" s="1" t="s">
        <v>11</v>
      </c>
      <c r="F774" s="1" t="s">
        <v>20</v>
      </c>
      <c r="G774" s="4" t="b">
        <f t="shared" si="2"/>
        <v>1</v>
      </c>
      <c r="H774" s="1" t="str">
        <f t="shared" si="3"/>
        <v>Currently Unavailable</v>
      </c>
      <c r="I774" s="1" t="str">
        <f t="shared" si="4"/>
        <v>No Badges</v>
      </c>
      <c r="J774" s="3">
        <f t="shared" si="5"/>
        <v>0</v>
      </c>
    </row>
    <row r="775">
      <c r="A775" s="1" t="s">
        <v>697</v>
      </c>
      <c r="B775" s="3" t="str">
        <f t="shared" si="1"/>
        <v>Unavailable</v>
      </c>
      <c r="C775" s="3">
        <v>853.0</v>
      </c>
      <c r="D775" s="3">
        <f>IFERROR(__xludf.DUMMYFUNCTION("IFERROR(
IF(REGEXMATCH(LOWER(O775),""k""),
VALUE(REGEXEXTRACT(O775,""[0-9]+""))*1000,
VALUE(REGEXEXTRACT(O775,""[0-9]+""))
),
0
)"),0.0)</f>
        <v>0</v>
      </c>
      <c r="E775" s="1" t="s">
        <v>11</v>
      </c>
      <c r="F775" s="1" t="s">
        <v>20</v>
      </c>
      <c r="G775" s="4" t="b">
        <f t="shared" si="2"/>
        <v>1</v>
      </c>
      <c r="H775" s="1" t="str">
        <f t="shared" si="3"/>
        <v>Currently Unavailable</v>
      </c>
      <c r="I775" s="1" t="str">
        <f t="shared" si="4"/>
        <v>No Badges</v>
      </c>
      <c r="J775" s="3">
        <f t="shared" si="5"/>
        <v>0</v>
      </c>
    </row>
    <row r="776">
      <c r="A776" s="1" t="s">
        <v>698</v>
      </c>
      <c r="B776" s="3" t="str">
        <f t="shared" si="1"/>
        <v>Unavailable</v>
      </c>
      <c r="C776" s="3">
        <v>14.0</v>
      </c>
      <c r="D776" s="3">
        <f>IFERROR(__xludf.DUMMYFUNCTION("IFERROR(
IF(REGEXMATCH(LOWER(O776),""k""),
VALUE(REGEXEXTRACT(O776,""[0-9]+""))*1000,
VALUE(REGEXEXTRACT(O776,""[0-9]+""))
),
0
)"),0.0)</f>
        <v>0</v>
      </c>
      <c r="E776" s="1" t="s">
        <v>11</v>
      </c>
      <c r="F776" s="1" t="s">
        <v>20</v>
      </c>
      <c r="G776" s="4" t="b">
        <f t="shared" si="2"/>
        <v>1</v>
      </c>
      <c r="H776" s="1" t="str">
        <f t="shared" si="3"/>
        <v>Currently Unavailable</v>
      </c>
      <c r="I776" s="1" t="str">
        <f t="shared" si="4"/>
        <v>No Badges</v>
      </c>
      <c r="J776" s="3">
        <f t="shared" si="5"/>
        <v>0</v>
      </c>
    </row>
    <row r="777">
      <c r="A777" s="1" t="s">
        <v>699</v>
      </c>
      <c r="B777" s="3" t="str">
        <f t="shared" si="1"/>
        <v>Unavailable</v>
      </c>
      <c r="C777" s="3">
        <v>127.0</v>
      </c>
      <c r="D777" s="3">
        <f>IFERROR(__xludf.DUMMYFUNCTION("IFERROR(
IF(REGEXMATCH(LOWER(O777),""k""),
VALUE(REGEXEXTRACT(O777,""[0-9]+""))*1000,
VALUE(REGEXEXTRACT(O777,""[0-9]+""))
),
0
)"),0.0)</f>
        <v>0</v>
      </c>
      <c r="E777" s="1" t="s">
        <v>11</v>
      </c>
      <c r="F777" s="1" t="s">
        <v>20</v>
      </c>
      <c r="G777" s="4" t="b">
        <f t="shared" si="2"/>
        <v>1</v>
      </c>
      <c r="H777" s="1" t="str">
        <f t="shared" si="3"/>
        <v>Currently Unavailable</v>
      </c>
      <c r="I777" s="1" t="str">
        <f t="shared" si="4"/>
        <v>No Badges</v>
      </c>
      <c r="J777" s="3">
        <f t="shared" si="5"/>
        <v>0</v>
      </c>
    </row>
    <row r="778">
      <c r="A778" s="1" t="s">
        <v>700</v>
      </c>
      <c r="B778" s="3" t="str">
        <f t="shared" si="1"/>
        <v>Unavailable</v>
      </c>
      <c r="C778" s="3">
        <v>35.0</v>
      </c>
      <c r="D778" s="3">
        <f>IFERROR(__xludf.DUMMYFUNCTION("IFERROR(
IF(REGEXMATCH(LOWER(O778),""k""),
VALUE(REGEXEXTRACT(O778,""[0-9]+""))*1000,
VALUE(REGEXEXTRACT(O778,""[0-9]+""))
),
0
)"),0.0)</f>
        <v>0</v>
      </c>
      <c r="E778" s="1" t="s">
        <v>11</v>
      </c>
      <c r="F778" s="1" t="s">
        <v>20</v>
      </c>
      <c r="G778" s="4" t="b">
        <f t="shared" si="2"/>
        <v>1</v>
      </c>
      <c r="H778" s="1" t="str">
        <f t="shared" si="3"/>
        <v>Currently Unavailable</v>
      </c>
      <c r="I778" s="1" t="str">
        <f t="shared" si="4"/>
        <v>No Badges</v>
      </c>
      <c r="J778" s="3">
        <f t="shared" si="5"/>
        <v>0</v>
      </c>
    </row>
    <row r="779">
      <c r="A779" s="1" t="s">
        <v>701</v>
      </c>
      <c r="B779" s="3" t="str">
        <f t="shared" si="1"/>
        <v>Unavailable</v>
      </c>
      <c r="C779" s="3">
        <v>8.0</v>
      </c>
      <c r="D779" s="3">
        <f>IFERROR(__xludf.DUMMYFUNCTION("IFERROR(
IF(REGEXMATCH(LOWER(O779),""k""),
VALUE(REGEXEXTRACT(O779,""[0-9]+""))*1000,
VALUE(REGEXEXTRACT(O779,""[0-9]+""))
),
0
)"),0.0)</f>
        <v>0</v>
      </c>
      <c r="E779" s="1" t="s">
        <v>11</v>
      </c>
      <c r="F779" s="1" t="s">
        <v>12</v>
      </c>
      <c r="G779" s="4" t="b">
        <f t="shared" si="2"/>
        <v>1</v>
      </c>
      <c r="H779" s="1" t="str">
        <f t="shared" si="3"/>
        <v>Currently Unavailable</v>
      </c>
      <c r="I779" s="1" t="str">
        <f t="shared" si="4"/>
        <v>No Badges</v>
      </c>
      <c r="J779" s="3">
        <f t="shared" si="5"/>
        <v>0</v>
      </c>
    </row>
    <row r="780">
      <c r="A780" s="1" t="s">
        <v>702</v>
      </c>
      <c r="B780" s="3" t="str">
        <f t="shared" si="1"/>
        <v>Unavailable</v>
      </c>
      <c r="C780" s="5">
        <v>1236.0</v>
      </c>
      <c r="D780" s="3">
        <f>IFERROR(__xludf.DUMMYFUNCTION("IFERROR(
IF(REGEXMATCH(LOWER(O780),""k""),
VALUE(REGEXEXTRACT(O780,""[0-9]+""))*1000,
VALUE(REGEXEXTRACT(O780,""[0-9]+""))
),
0
)"),0.0)</f>
        <v>0</v>
      </c>
      <c r="E780" s="1" t="s">
        <v>11</v>
      </c>
      <c r="F780" s="1" t="s">
        <v>20</v>
      </c>
      <c r="G780" s="4" t="b">
        <f t="shared" si="2"/>
        <v>1</v>
      </c>
      <c r="H780" s="1" t="str">
        <f t="shared" si="3"/>
        <v>Currently Unavailable</v>
      </c>
      <c r="I780" s="1" t="str">
        <f t="shared" si="4"/>
        <v>No Badges</v>
      </c>
      <c r="J780" s="3">
        <f t="shared" si="5"/>
        <v>0</v>
      </c>
    </row>
    <row r="781">
      <c r="A781" s="1" t="s">
        <v>703</v>
      </c>
      <c r="B781" s="3" t="str">
        <f t="shared" si="1"/>
        <v>Unavailable</v>
      </c>
      <c r="C781" s="3">
        <v>117.0</v>
      </c>
      <c r="D781" s="3">
        <f>IFERROR(__xludf.DUMMYFUNCTION("IFERROR(
IF(REGEXMATCH(LOWER(O781),""k""),
VALUE(REGEXEXTRACT(O781,""[0-9]+""))*1000,
VALUE(REGEXEXTRACT(O781,""[0-9]+""))
),
0
)"),0.0)</f>
        <v>0</v>
      </c>
      <c r="E781" s="1" t="s">
        <v>11</v>
      </c>
      <c r="F781" s="1" t="s">
        <v>20</v>
      </c>
      <c r="G781" s="4" t="b">
        <f t="shared" si="2"/>
        <v>1</v>
      </c>
      <c r="H781" s="1" t="str">
        <f t="shared" si="3"/>
        <v>Currently Unavailable</v>
      </c>
      <c r="I781" s="1" t="str">
        <f t="shared" si="4"/>
        <v>No Badges</v>
      </c>
      <c r="J781" s="3">
        <f t="shared" si="5"/>
        <v>0</v>
      </c>
    </row>
    <row r="782">
      <c r="A782" s="1" t="s">
        <v>704</v>
      </c>
      <c r="B782" s="3" t="str">
        <f t="shared" si="1"/>
        <v>Unavailable</v>
      </c>
      <c r="C782" s="3">
        <v>14.0</v>
      </c>
      <c r="D782" s="3">
        <f>IFERROR(__xludf.DUMMYFUNCTION("IFERROR(
IF(REGEXMATCH(LOWER(O782),""k""),
VALUE(REGEXEXTRACT(O782,""[0-9]+""))*1000,
VALUE(REGEXEXTRACT(O782,""[0-9]+""))
),
0
)"),0.0)</f>
        <v>0</v>
      </c>
      <c r="E782" s="1" t="s">
        <v>11</v>
      </c>
      <c r="F782" s="1" t="s">
        <v>20</v>
      </c>
      <c r="G782" s="4" t="b">
        <f t="shared" si="2"/>
        <v>1</v>
      </c>
      <c r="H782" s="1" t="str">
        <f t="shared" si="3"/>
        <v>Currently Unavailable</v>
      </c>
      <c r="I782" s="1" t="str">
        <f t="shared" si="4"/>
        <v>No Badges</v>
      </c>
      <c r="J782" s="3">
        <f t="shared" si="5"/>
        <v>0</v>
      </c>
    </row>
    <row r="783">
      <c r="A783" s="1" t="s">
        <v>705</v>
      </c>
      <c r="B783" s="3" t="str">
        <f t="shared" si="1"/>
        <v>Unavailable</v>
      </c>
      <c r="C783" s="3">
        <v>988.0</v>
      </c>
      <c r="D783" s="3">
        <f>IFERROR(__xludf.DUMMYFUNCTION("IFERROR(
IF(REGEXMATCH(LOWER(O783),""k""),
VALUE(REGEXEXTRACT(O783,""[0-9]+""))*1000,
VALUE(REGEXEXTRACT(O783,""[0-9]+""))
),
0
)"),0.0)</f>
        <v>0</v>
      </c>
      <c r="E783" s="1" t="s">
        <v>11</v>
      </c>
      <c r="F783" s="1" t="s">
        <v>20</v>
      </c>
      <c r="G783" s="4" t="b">
        <f t="shared" si="2"/>
        <v>1</v>
      </c>
      <c r="H783" s="1" t="str">
        <f t="shared" si="3"/>
        <v>Currently Unavailable</v>
      </c>
      <c r="I783" s="1" t="str">
        <f t="shared" si="4"/>
        <v>No Badges</v>
      </c>
      <c r="J783" s="3">
        <f t="shared" si="5"/>
        <v>0</v>
      </c>
    </row>
    <row r="784">
      <c r="A784" s="1" t="s">
        <v>69</v>
      </c>
      <c r="B784" s="3" t="str">
        <f t="shared" si="1"/>
        <v>Unavailable</v>
      </c>
      <c r="C784" s="3">
        <v>45.0</v>
      </c>
      <c r="D784" s="3">
        <f>IFERROR(__xludf.DUMMYFUNCTION("IFERROR(
IF(REGEXMATCH(LOWER(O784),""k""),
VALUE(REGEXEXTRACT(O784,""[0-9]+""))*1000,
VALUE(REGEXEXTRACT(O784,""[0-9]+""))
),
0
)"),0.0)</f>
        <v>0</v>
      </c>
      <c r="E784" s="1" t="s">
        <v>11</v>
      </c>
      <c r="F784" s="1" t="s">
        <v>12</v>
      </c>
      <c r="G784" s="4" t="b">
        <f t="shared" si="2"/>
        <v>1</v>
      </c>
      <c r="H784" s="1" t="str">
        <f t="shared" si="3"/>
        <v>Currently Unavailable</v>
      </c>
      <c r="I784" s="1" t="str">
        <f t="shared" si="4"/>
        <v>No Badges</v>
      </c>
      <c r="J784" s="3">
        <f t="shared" si="5"/>
        <v>0</v>
      </c>
    </row>
    <row r="785">
      <c r="A785" s="1" t="s">
        <v>706</v>
      </c>
      <c r="B785" s="3" t="str">
        <f t="shared" si="1"/>
        <v>Unavailable</v>
      </c>
      <c r="C785" s="5">
        <v>7301.0</v>
      </c>
      <c r="D785" s="3">
        <f>IFERROR(__xludf.DUMMYFUNCTION("IFERROR(
IF(REGEXMATCH(LOWER(O785),""k""),
VALUE(REGEXEXTRACT(O785,""[0-9]+""))*1000,
VALUE(REGEXEXTRACT(O785,""[0-9]+""))
),
0
)"),0.0)</f>
        <v>0</v>
      </c>
      <c r="E785" s="1" t="s">
        <v>11</v>
      </c>
      <c r="F785" s="1" t="s">
        <v>20</v>
      </c>
      <c r="G785" s="4" t="b">
        <f t="shared" si="2"/>
        <v>1</v>
      </c>
      <c r="H785" s="1" t="str">
        <f t="shared" si="3"/>
        <v>Currently Unavailable</v>
      </c>
      <c r="I785" s="1" t="str">
        <f t="shared" si="4"/>
        <v>No Badges</v>
      </c>
      <c r="J785" s="3">
        <f t="shared" si="5"/>
        <v>0</v>
      </c>
    </row>
    <row r="786">
      <c r="A786" s="1" t="s">
        <v>707</v>
      </c>
      <c r="B786" s="3" t="str">
        <f t="shared" si="1"/>
        <v>Unavailable</v>
      </c>
      <c r="C786" s="3">
        <v>639.0</v>
      </c>
      <c r="D786" s="3">
        <f>IFERROR(__xludf.DUMMYFUNCTION("IFERROR(
IF(REGEXMATCH(LOWER(O786),""k""),
VALUE(REGEXEXTRACT(O786,""[0-9]+""))*1000,
VALUE(REGEXEXTRACT(O786,""[0-9]+""))
),
0
)"),0.0)</f>
        <v>0</v>
      </c>
      <c r="E786" s="1" t="s">
        <v>11</v>
      </c>
      <c r="F786" s="1" t="s">
        <v>20</v>
      </c>
      <c r="G786" s="4" t="b">
        <f t="shared" si="2"/>
        <v>1</v>
      </c>
      <c r="H786" s="1" t="str">
        <f t="shared" si="3"/>
        <v>Currently Unavailable</v>
      </c>
      <c r="I786" s="1" t="str">
        <f t="shared" si="4"/>
        <v>No Badges</v>
      </c>
      <c r="J786" s="3">
        <f t="shared" si="5"/>
        <v>0</v>
      </c>
    </row>
    <row r="787">
      <c r="A787" s="1" t="s">
        <v>708</v>
      </c>
      <c r="B787" s="3" t="str">
        <f t="shared" si="1"/>
        <v>Unavailable</v>
      </c>
      <c r="C787" s="5">
        <v>2025.0</v>
      </c>
      <c r="D787" s="3">
        <f>IFERROR(__xludf.DUMMYFUNCTION("IFERROR(
IF(REGEXMATCH(LOWER(O787),""k""),
VALUE(REGEXEXTRACT(O787,""[0-9]+""))*1000,
VALUE(REGEXEXTRACT(O787,""[0-9]+""))
),
0
)"),0.0)</f>
        <v>0</v>
      </c>
      <c r="E787" s="1" t="s">
        <v>11</v>
      </c>
      <c r="F787" s="1" t="s">
        <v>20</v>
      </c>
      <c r="G787" s="4" t="b">
        <f t="shared" si="2"/>
        <v>1</v>
      </c>
      <c r="H787" s="1" t="str">
        <f t="shared" si="3"/>
        <v>Currently Unavailable</v>
      </c>
      <c r="I787" s="1" t="str">
        <f t="shared" si="4"/>
        <v>No Badges</v>
      </c>
      <c r="J787" s="3">
        <f t="shared" si="5"/>
        <v>0</v>
      </c>
    </row>
    <row r="788">
      <c r="A788" s="1" t="s">
        <v>709</v>
      </c>
      <c r="B788" s="3" t="str">
        <f t="shared" si="1"/>
        <v>Unavailable</v>
      </c>
      <c r="C788" s="5">
        <v>1101.0</v>
      </c>
      <c r="D788" s="3">
        <f>IFERROR(__xludf.DUMMYFUNCTION("IFERROR(
IF(REGEXMATCH(LOWER(O788),""k""),
VALUE(REGEXEXTRACT(O788,""[0-9]+""))*1000,
VALUE(REGEXEXTRACT(O788,""[0-9]+""))
),
0
)"),0.0)</f>
        <v>0</v>
      </c>
      <c r="E788" s="1" t="s">
        <v>11</v>
      </c>
      <c r="F788" s="1" t="s">
        <v>12</v>
      </c>
      <c r="G788" s="4" t="b">
        <f t="shared" si="2"/>
        <v>1</v>
      </c>
      <c r="H788" s="1" t="str">
        <f t="shared" si="3"/>
        <v>Currently Unavailable</v>
      </c>
      <c r="I788" s="1" t="str">
        <f t="shared" si="4"/>
        <v>No Badges</v>
      </c>
      <c r="J788" s="3">
        <f t="shared" si="5"/>
        <v>0</v>
      </c>
    </row>
    <row r="789">
      <c r="A789" s="1" t="s">
        <v>710</v>
      </c>
      <c r="B789" s="3" t="str">
        <f t="shared" si="1"/>
        <v>Unavailable</v>
      </c>
      <c r="C789" s="5">
        <v>1340.0</v>
      </c>
      <c r="D789" s="3">
        <f>IFERROR(__xludf.DUMMYFUNCTION("IFERROR(
IF(REGEXMATCH(LOWER(O789),""k""),
VALUE(REGEXEXTRACT(O789,""[0-9]+""))*1000,
VALUE(REGEXEXTRACT(O789,""[0-9]+""))
),
0
)"),0.0)</f>
        <v>0</v>
      </c>
      <c r="E789" s="1" t="s">
        <v>11</v>
      </c>
      <c r="F789" s="1" t="s">
        <v>20</v>
      </c>
      <c r="G789" s="4" t="b">
        <f t="shared" si="2"/>
        <v>1</v>
      </c>
      <c r="H789" s="1" t="str">
        <f t="shared" si="3"/>
        <v>Currently Unavailable</v>
      </c>
      <c r="I789" s="1" t="str">
        <f t="shared" si="4"/>
        <v>No Badges</v>
      </c>
      <c r="J789" s="3">
        <f t="shared" si="5"/>
        <v>0</v>
      </c>
    </row>
    <row r="790">
      <c r="A790" s="1" t="s">
        <v>711</v>
      </c>
      <c r="B790" s="3" t="str">
        <f t="shared" si="1"/>
        <v>Unavailable</v>
      </c>
      <c r="C790" s="3">
        <v>707.0</v>
      </c>
      <c r="D790" s="3">
        <f>IFERROR(__xludf.DUMMYFUNCTION("IFERROR(
IF(REGEXMATCH(LOWER(O790),""k""),
VALUE(REGEXEXTRACT(O790,""[0-9]+""))*1000,
VALUE(REGEXEXTRACT(O790,""[0-9]+""))
),
0
)"),0.0)</f>
        <v>0</v>
      </c>
      <c r="E790" s="1" t="s">
        <v>11</v>
      </c>
      <c r="F790" s="1" t="s">
        <v>20</v>
      </c>
      <c r="G790" s="4" t="b">
        <f t="shared" si="2"/>
        <v>1</v>
      </c>
      <c r="H790" s="1" t="str">
        <f t="shared" si="3"/>
        <v>Currently Unavailable</v>
      </c>
      <c r="I790" s="1" t="str">
        <f t="shared" si="4"/>
        <v>No Badges</v>
      </c>
      <c r="J790" s="3">
        <f t="shared" si="5"/>
        <v>0</v>
      </c>
    </row>
    <row r="791">
      <c r="A791" s="1" t="s">
        <v>712</v>
      </c>
      <c r="B791" s="3" t="str">
        <f t="shared" si="1"/>
        <v>Unavailable</v>
      </c>
      <c r="C791" s="3">
        <v>37.0</v>
      </c>
      <c r="D791" s="3">
        <f>IFERROR(__xludf.DUMMYFUNCTION("IFERROR(
IF(REGEXMATCH(LOWER(O791),""k""),
VALUE(REGEXEXTRACT(O791,""[0-9]+""))*1000,
VALUE(REGEXEXTRACT(O791,""[0-9]+""))
),
0
)"),0.0)</f>
        <v>0</v>
      </c>
      <c r="E791" s="1" t="s">
        <v>11</v>
      </c>
      <c r="F791" s="1" t="s">
        <v>20</v>
      </c>
      <c r="G791" s="4" t="b">
        <f t="shared" si="2"/>
        <v>1</v>
      </c>
      <c r="H791" s="1" t="str">
        <f t="shared" si="3"/>
        <v>Currently Unavailable</v>
      </c>
      <c r="I791" s="1" t="str">
        <f t="shared" si="4"/>
        <v>No Badges</v>
      </c>
      <c r="J791" s="3">
        <f t="shared" si="5"/>
        <v>0</v>
      </c>
    </row>
    <row r="792">
      <c r="A792" s="1" t="s">
        <v>713</v>
      </c>
      <c r="B792" s="3" t="str">
        <f t="shared" si="1"/>
        <v>Unavailable</v>
      </c>
      <c r="C792" s="5">
        <v>1888.0</v>
      </c>
      <c r="D792" s="3">
        <f>IFERROR(__xludf.DUMMYFUNCTION("IFERROR(
IF(REGEXMATCH(LOWER(O792),""k""),
VALUE(REGEXEXTRACT(O792,""[0-9]+""))*1000,
VALUE(REGEXEXTRACT(O792,""[0-9]+""))
),
0
)"),0.0)</f>
        <v>0</v>
      </c>
      <c r="E792" s="1" t="s">
        <v>11</v>
      </c>
      <c r="F792" s="1" t="s">
        <v>20</v>
      </c>
      <c r="G792" s="4" t="b">
        <f t="shared" si="2"/>
        <v>1</v>
      </c>
      <c r="H792" s="1" t="str">
        <f t="shared" si="3"/>
        <v>Currently Unavailable</v>
      </c>
      <c r="I792" s="1" t="str">
        <f t="shared" si="4"/>
        <v>No Badges</v>
      </c>
      <c r="J792" s="3">
        <f t="shared" si="5"/>
        <v>0</v>
      </c>
    </row>
    <row r="793">
      <c r="A793" s="1" t="s">
        <v>714</v>
      </c>
      <c r="B793" s="3" t="str">
        <f t="shared" si="1"/>
        <v>Unavailable</v>
      </c>
      <c r="C793" s="3">
        <v>735.0</v>
      </c>
      <c r="D793" s="3">
        <f>IFERROR(__xludf.DUMMYFUNCTION("IFERROR(
IF(REGEXMATCH(LOWER(O793),""k""),
VALUE(REGEXEXTRACT(O793,""[0-9]+""))*1000,
VALUE(REGEXEXTRACT(O793,""[0-9]+""))
),
0
)"),0.0)</f>
        <v>0</v>
      </c>
      <c r="E793" s="1" t="s">
        <v>11</v>
      </c>
      <c r="F793" s="1" t="s">
        <v>20</v>
      </c>
      <c r="G793" s="4" t="b">
        <f t="shared" si="2"/>
        <v>1</v>
      </c>
      <c r="H793" s="1" t="str">
        <f t="shared" si="3"/>
        <v>Currently Unavailable</v>
      </c>
      <c r="I793" s="1" t="str">
        <f t="shared" si="4"/>
        <v>No Badges</v>
      </c>
      <c r="J793" s="3">
        <f t="shared" si="5"/>
        <v>0</v>
      </c>
    </row>
    <row r="794">
      <c r="A794" s="1" t="s">
        <v>715</v>
      </c>
      <c r="B794" s="3" t="str">
        <f t="shared" si="1"/>
        <v>Unavailable</v>
      </c>
      <c r="C794" s="3">
        <v>534.0</v>
      </c>
      <c r="D794" s="3">
        <f>IFERROR(__xludf.DUMMYFUNCTION("IFERROR(
IF(REGEXMATCH(LOWER(O794),""k""),
VALUE(REGEXEXTRACT(O794,""[0-9]+""))*1000,
VALUE(REGEXEXTRACT(O794,""[0-9]+""))
),
0
)"),0.0)</f>
        <v>0</v>
      </c>
      <c r="E794" s="1" t="s">
        <v>11</v>
      </c>
      <c r="F794" s="1" t="s">
        <v>20</v>
      </c>
      <c r="G794" s="4" t="b">
        <f t="shared" si="2"/>
        <v>1</v>
      </c>
      <c r="H794" s="1" t="str">
        <f t="shared" si="3"/>
        <v>Currently Unavailable</v>
      </c>
      <c r="I794" s="1" t="str">
        <f t="shared" si="4"/>
        <v>No Badges</v>
      </c>
      <c r="J794" s="3">
        <f t="shared" si="5"/>
        <v>0</v>
      </c>
    </row>
    <row r="795">
      <c r="A795" s="1" t="s">
        <v>716</v>
      </c>
      <c r="B795" s="3" t="str">
        <f t="shared" si="1"/>
        <v>Unavailable</v>
      </c>
      <c r="C795" s="3">
        <v>142.0</v>
      </c>
      <c r="D795" s="3">
        <f>IFERROR(__xludf.DUMMYFUNCTION("IFERROR(
IF(REGEXMATCH(LOWER(O795),""k""),
VALUE(REGEXEXTRACT(O795,""[0-9]+""))*1000,
VALUE(REGEXEXTRACT(O795,""[0-9]+""))
),
0
)"),0.0)</f>
        <v>0</v>
      </c>
      <c r="E795" s="1" t="s">
        <v>11</v>
      </c>
      <c r="F795" s="1" t="s">
        <v>20</v>
      </c>
      <c r="G795" s="4" t="b">
        <f t="shared" si="2"/>
        <v>1</v>
      </c>
      <c r="H795" s="1" t="str">
        <f t="shared" si="3"/>
        <v>Currently Unavailable</v>
      </c>
      <c r="I795" s="1" t="str">
        <f t="shared" si="4"/>
        <v>No Badges</v>
      </c>
      <c r="J795" s="3">
        <f t="shared" si="5"/>
        <v>0</v>
      </c>
    </row>
    <row r="796">
      <c r="A796" s="1" t="s">
        <v>717</v>
      </c>
      <c r="B796" s="3" t="str">
        <f t="shared" si="1"/>
        <v>Unavailable</v>
      </c>
      <c r="C796" s="3">
        <v>73.0</v>
      </c>
      <c r="D796" s="3">
        <f>IFERROR(__xludf.DUMMYFUNCTION("IFERROR(
IF(REGEXMATCH(LOWER(O796),""k""),
VALUE(REGEXEXTRACT(O796,""[0-9]+""))*1000,
VALUE(REGEXEXTRACT(O796,""[0-9]+""))
),
0
)"),0.0)</f>
        <v>0</v>
      </c>
      <c r="E796" s="1" t="s">
        <v>11</v>
      </c>
      <c r="F796" s="1" t="s">
        <v>20</v>
      </c>
      <c r="G796" s="4" t="b">
        <f t="shared" si="2"/>
        <v>1</v>
      </c>
      <c r="H796" s="1" t="str">
        <f t="shared" si="3"/>
        <v>Currently Unavailable</v>
      </c>
      <c r="I796" s="1" t="str">
        <f t="shared" si="4"/>
        <v>No Badges</v>
      </c>
      <c r="J796" s="3">
        <f t="shared" si="5"/>
        <v>0</v>
      </c>
    </row>
    <row r="797">
      <c r="A797" s="1" t="s">
        <v>718</v>
      </c>
      <c r="B797" s="3" t="str">
        <f t="shared" si="1"/>
        <v>Unavailable</v>
      </c>
      <c r="C797" s="3">
        <v>344.0</v>
      </c>
      <c r="D797" s="3">
        <f>IFERROR(__xludf.DUMMYFUNCTION("IFERROR(
IF(REGEXMATCH(LOWER(O797),""k""),
VALUE(REGEXEXTRACT(O797,""[0-9]+""))*1000,
VALUE(REGEXEXTRACT(O797,""[0-9]+""))
),
0
)"),0.0)</f>
        <v>0</v>
      </c>
      <c r="E797" s="1" t="s">
        <v>11</v>
      </c>
      <c r="F797" s="1" t="s">
        <v>20</v>
      </c>
      <c r="G797" s="4" t="b">
        <f t="shared" si="2"/>
        <v>1</v>
      </c>
      <c r="H797" s="1" t="str">
        <f t="shared" si="3"/>
        <v>Currently Unavailable</v>
      </c>
      <c r="I797" s="1" t="str">
        <f t="shared" si="4"/>
        <v>No Badges</v>
      </c>
      <c r="J797" s="3">
        <f t="shared" si="5"/>
        <v>0</v>
      </c>
    </row>
    <row r="798">
      <c r="A798" s="1" t="s">
        <v>67</v>
      </c>
      <c r="B798" s="3" t="str">
        <f t="shared" si="1"/>
        <v>Unavailable</v>
      </c>
      <c r="C798" s="3">
        <v>264.0</v>
      </c>
      <c r="D798" s="3">
        <f>IFERROR(__xludf.DUMMYFUNCTION("IFERROR(
IF(REGEXMATCH(LOWER(O798),""k""),
VALUE(REGEXEXTRACT(O798,""[0-9]+""))*1000,
VALUE(REGEXEXTRACT(O798,""[0-9]+""))
),
0
)"),0.0)</f>
        <v>0</v>
      </c>
      <c r="E798" s="1" t="s">
        <v>11</v>
      </c>
      <c r="F798" s="1" t="s">
        <v>12</v>
      </c>
      <c r="G798" s="4" t="b">
        <f t="shared" si="2"/>
        <v>1</v>
      </c>
      <c r="H798" s="1" t="str">
        <f t="shared" si="3"/>
        <v>Currently Unavailable</v>
      </c>
      <c r="I798" s="1" t="str">
        <f t="shared" si="4"/>
        <v>No Badges</v>
      </c>
      <c r="J798" s="3">
        <f t="shared" si="5"/>
        <v>0</v>
      </c>
    </row>
    <row r="799">
      <c r="A799" s="1" t="s">
        <v>719</v>
      </c>
      <c r="B799" s="3" t="str">
        <f t="shared" si="1"/>
        <v>Unavailable</v>
      </c>
      <c r="C799" s="3">
        <v>277.0</v>
      </c>
      <c r="D799" s="3">
        <f>IFERROR(__xludf.DUMMYFUNCTION("IFERROR(
IF(REGEXMATCH(LOWER(O799),""k""),
VALUE(REGEXEXTRACT(O799,""[0-9]+""))*1000,
VALUE(REGEXEXTRACT(O799,""[0-9]+""))
),
0
)"),0.0)</f>
        <v>0</v>
      </c>
      <c r="E799" s="1" t="s">
        <v>11</v>
      </c>
      <c r="F799" s="1" t="s">
        <v>20</v>
      </c>
      <c r="G799" s="4" t="b">
        <f t="shared" si="2"/>
        <v>1</v>
      </c>
      <c r="H799" s="1" t="str">
        <f t="shared" si="3"/>
        <v>Currently Unavailable</v>
      </c>
      <c r="I799" s="1" t="str">
        <f t="shared" si="4"/>
        <v>No Badges</v>
      </c>
      <c r="J799" s="3">
        <f t="shared" si="5"/>
        <v>0</v>
      </c>
    </row>
    <row r="800">
      <c r="A800" s="1" t="s">
        <v>720</v>
      </c>
      <c r="B800" s="3" t="str">
        <f t="shared" si="1"/>
        <v>Unavailable</v>
      </c>
      <c r="C800" s="3">
        <v>106.0</v>
      </c>
      <c r="D800" s="3">
        <f>IFERROR(__xludf.DUMMYFUNCTION("IFERROR(
IF(REGEXMATCH(LOWER(O800),""k""),
VALUE(REGEXEXTRACT(O800,""[0-9]+""))*1000,
VALUE(REGEXEXTRACT(O800,""[0-9]+""))
),
0
)"),0.0)</f>
        <v>0</v>
      </c>
      <c r="E800" s="1" t="s">
        <v>11</v>
      </c>
      <c r="F800" s="1" t="s">
        <v>20</v>
      </c>
      <c r="G800" s="4" t="b">
        <f t="shared" si="2"/>
        <v>1</v>
      </c>
      <c r="H800" s="1" t="str">
        <f t="shared" si="3"/>
        <v>Currently Unavailable</v>
      </c>
      <c r="I800" s="1" t="str">
        <f t="shared" si="4"/>
        <v>No Badges</v>
      </c>
      <c r="J800" s="3">
        <f t="shared" si="5"/>
        <v>0</v>
      </c>
    </row>
    <row r="801">
      <c r="A801" s="1" t="s">
        <v>721</v>
      </c>
      <c r="B801" s="3" t="str">
        <f t="shared" si="1"/>
        <v>Unavailable</v>
      </c>
      <c r="C801" s="5">
        <v>57813.0</v>
      </c>
      <c r="D801" s="3">
        <f>IFERROR(__xludf.DUMMYFUNCTION("IFERROR(
IF(REGEXMATCH(LOWER(O801),""k""),
VALUE(REGEXEXTRACT(O801,""[0-9]+""))*1000,
VALUE(REGEXEXTRACT(O801,""[0-9]+""))
),
0
)"),0.0)</f>
        <v>0</v>
      </c>
      <c r="E801" s="1" t="s">
        <v>11</v>
      </c>
      <c r="F801" s="1" t="s">
        <v>20</v>
      </c>
      <c r="G801" s="4" t="b">
        <f t="shared" si="2"/>
        <v>1</v>
      </c>
      <c r="H801" s="1" t="str">
        <f t="shared" si="3"/>
        <v>Currently Unavailable</v>
      </c>
      <c r="I801" s="1" t="str">
        <f t="shared" si="4"/>
        <v>No Badges</v>
      </c>
      <c r="J801" s="3">
        <f t="shared" si="5"/>
        <v>0</v>
      </c>
    </row>
    <row r="802">
      <c r="A802" s="1" t="s">
        <v>722</v>
      </c>
      <c r="B802" s="3" t="str">
        <f t="shared" si="1"/>
        <v>Unavailable</v>
      </c>
      <c r="C802" s="3">
        <v>49.0</v>
      </c>
      <c r="D802" s="3">
        <f>IFERROR(__xludf.DUMMYFUNCTION("IFERROR(
IF(REGEXMATCH(LOWER(O802),""k""),
VALUE(REGEXEXTRACT(O802,""[0-9]+""))*1000,
VALUE(REGEXEXTRACT(O802,""[0-9]+""))
),
0
)"),0.0)</f>
        <v>0</v>
      </c>
      <c r="E802" s="1" t="s">
        <v>11</v>
      </c>
      <c r="F802" s="1" t="s">
        <v>20</v>
      </c>
      <c r="G802" s="4" t="b">
        <f t="shared" si="2"/>
        <v>1</v>
      </c>
      <c r="H802" s="1" t="str">
        <f t="shared" si="3"/>
        <v>Currently Unavailable</v>
      </c>
      <c r="I802" s="1" t="str">
        <f t="shared" si="4"/>
        <v>No Badges</v>
      </c>
      <c r="J802" s="3">
        <f t="shared" si="5"/>
        <v>0</v>
      </c>
    </row>
    <row r="803">
      <c r="A803" s="1" t="s">
        <v>723</v>
      </c>
      <c r="B803" s="3" t="str">
        <f t="shared" si="1"/>
        <v>Unavailable</v>
      </c>
      <c r="C803" s="3">
        <v>10.0</v>
      </c>
      <c r="D803" s="3">
        <f>IFERROR(__xludf.DUMMYFUNCTION("IFERROR(
IF(REGEXMATCH(LOWER(O803),""k""),
VALUE(REGEXEXTRACT(O803,""[0-9]+""))*1000,
VALUE(REGEXEXTRACT(O803,""[0-9]+""))
),
0
)"),0.0)</f>
        <v>0</v>
      </c>
      <c r="E803" s="1" t="s">
        <v>11</v>
      </c>
      <c r="F803" s="1" t="s">
        <v>20</v>
      </c>
      <c r="G803" s="4" t="b">
        <f t="shared" si="2"/>
        <v>1</v>
      </c>
      <c r="H803" s="1" t="str">
        <f t="shared" si="3"/>
        <v>Currently Unavailable</v>
      </c>
      <c r="I803" s="1" t="str">
        <f t="shared" si="4"/>
        <v>No Badges</v>
      </c>
      <c r="J803" s="3">
        <f t="shared" si="5"/>
        <v>0</v>
      </c>
    </row>
    <row r="804">
      <c r="A804" s="1" t="s">
        <v>724</v>
      </c>
      <c r="B804" s="3" t="str">
        <f t="shared" si="1"/>
        <v>Unavailable</v>
      </c>
      <c r="C804" s="3">
        <v>6.0</v>
      </c>
      <c r="D804" s="3">
        <f>IFERROR(__xludf.DUMMYFUNCTION("IFERROR(
IF(REGEXMATCH(LOWER(O804),""k""),
VALUE(REGEXEXTRACT(O804,""[0-9]+""))*1000,
VALUE(REGEXEXTRACT(O804,""[0-9]+""))
),
0
)"),0.0)</f>
        <v>0</v>
      </c>
      <c r="E804" s="1" t="s">
        <v>11</v>
      </c>
      <c r="F804" s="1" t="s">
        <v>20</v>
      </c>
      <c r="G804" s="4" t="b">
        <f t="shared" si="2"/>
        <v>1</v>
      </c>
      <c r="H804" s="1" t="str">
        <f t="shared" si="3"/>
        <v>Currently Unavailable</v>
      </c>
      <c r="I804" s="1" t="str">
        <f t="shared" si="4"/>
        <v>No Badges</v>
      </c>
      <c r="J804" s="3">
        <f t="shared" si="5"/>
        <v>0</v>
      </c>
    </row>
    <row r="805">
      <c r="A805" s="1" t="s">
        <v>725</v>
      </c>
      <c r="B805" s="3" t="str">
        <f t="shared" si="1"/>
        <v>Unavailable</v>
      </c>
      <c r="C805" s="3">
        <v>213.0</v>
      </c>
      <c r="D805" s="3">
        <f>IFERROR(__xludf.DUMMYFUNCTION("IFERROR(
IF(REGEXMATCH(LOWER(O805),""k""),
VALUE(REGEXEXTRACT(O805,""[0-9]+""))*1000,
VALUE(REGEXEXTRACT(O805,""[0-9]+""))
),
0
)"),0.0)</f>
        <v>0</v>
      </c>
      <c r="E805" s="1" t="s">
        <v>11</v>
      </c>
      <c r="F805" s="1" t="s">
        <v>20</v>
      </c>
      <c r="G805" s="4" t="b">
        <f t="shared" si="2"/>
        <v>1</v>
      </c>
      <c r="H805" s="1" t="str">
        <f t="shared" si="3"/>
        <v>Currently Unavailable</v>
      </c>
      <c r="I805" s="1" t="str">
        <f t="shared" si="4"/>
        <v>No Badges</v>
      </c>
      <c r="J805" s="3">
        <f t="shared" si="5"/>
        <v>0</v>
      </c>
    </row>
    <row r="806">
      <c r="A806" s="1" t="s">
        <v>726</v>
      </c>
      <c r="B806" s="3" t="str">
        <f t="shared" si="1"/>
        <v>Unavailable</v>
      </c>
      <c r="C806" s="3">
        <v>84.0</v>
      </c>
      <c r="D806" s="3">
        <f>IFERROR(__xludf.DUMMYFUNCTION("IFERROR(
IF(REGEXMATCH(LOWER(O806),""k""),
VALUE(REGEXEXTRACT(O806,""[0-9]+""))*1000,
VALUE(REGEXEXTRACT(O806,""[0-9]+""))
),
0
)"),0.0)</f>
        <v>0</v>
      </c>
      <c r="E806" s="1" t="s">
        <v>11</v>
      </c>
      <c r="F806" s="1" t="s">
        <v>20</v>
      </c>
      <c r="G806" s="4" t="b">
        <f t="shared" si="2"/>
        <v>1</v>
      </c>
      <c r="H806" s="1" t="str">
        <f t="shared" si="3"/>
        <v>Currently Unavailable</v>
      </c>
      <c r="I806" s="1" t="str">
        <f t="shared" si="4"/>
        <v>No Badges</v>
      </c>
      <c r="J806" s="3">
        <f t="shared" si="5"/>
        <v>0</v>
      </c>
    </row>
    <row r="807">
      <c r="A807" s="1" t="s">
        <v>727</v>
      </c>
      <c r="B807" s="3" t="str">
        <f t="shared" si="1"/>
        <v>Unavailable</v>
      </c>
      <c r="C807" s="5">
        <v>2247.0</v>
      </c>
      <c r="D807" s="3">
        <f>IFERROR(__xludf.DUMMYFUNCTION("IFERROR(
IF(REGEXMATCH(LOWER(O807),""k""),
VALUE(REGEXEXTRACT(O807,""[0-9]+""))*1000,
VALUE(REGEXEXTRACT(O807,""[0-9]+""))
),
0
)"),0.0)</f>
        <v>0</v>
      </c>
      <c r="E807" s="1" t="s">
        <v>11</v>
      </c>
      <c r="F807" s="1" t="s">
        <v>20</v>
      </c>
      <c r="G807" s="4" t="b">
        <f t="shared" si="2"/>
        <v>1</v>
      </c>
      <c r="H807" s="1" t="str">
        <f t="shared" si="3"/>
        <v>Currently Unavailable</v>
      </c>
      <c r="I807" s="1" t="str">
        <f t="shared" si="4"/>
        <v>No Badges</v>
      </c>
      <c r="J807" s="3">
        <f t="shared" si="5"/>
        <v>0</v>
      </c>
    </row>
    <row r="808">
      <c r="A808" s="1" t="s">
        <v>728</v>
      </c>
      <c r="B808" s="3" t="str">
        <f t="shared" si="1"/>
        <v>Unavailable</v>
      </c>
      <c r="C808" s="3">
        <v>623.0</v>
      </c>
      <c r="D808" s="3">
        <f>IFERROR(__xludf.DUMMYFUNCTION("IFERROR(
IF(REGEXMATCH(LOWER(O808),""k""),
VALUE(REGEXEXTRACT(O808,""[0-9]+""))*1000,
VALUE(REGEXEXTRACT(O808,""[0-9]+""))
),
0
)"),0.0)</f>
        <v>0</v>
      </c>
      <c r="E808" s="1" t="s">
        <v>11</v>
      </c>
      <c r="F808" s="1" t="s">
        <v>20</v>
      </c>
      <c r="G808" s="4" t="b">
        <f t="shared" si="2"/>
        <v>1</v>
      </c>
      <c r="H808" s="1" t="str">
        <f t="shared" si="3"/>
        <v>Currently Unavailable</v>
      </c>
      <c r="I808" s="1" t="str">
        <f t="shared" si="4"/>
        <v>No Badges</v>
      </c>
      <c r="J808" s="3">
        <f t="shared" si="5"/>
        <v>0</v>
      </c>
    </row>
    <row r="809">
      <c r="A809" s="1" t="s">
        <v>729</v>
      </c>
      <c r="B809" s="3" t="str">
        <f t="shared" si="1"/>
        <v>Unavailable</v>
      </c>
      <c r="C809" s="3">
        <v>57.0</v>
      </c>
      <c r="D809" s="3">
        <f>IFERROR(__xludf.DUMMYFUNCTION("IFERROR(
IF(REGEXMATCH(LOWER(O809),""k""),
VALUE(REGEXEXTRACT(O809,""[0-9]+""))*1000,
VALUE(REGEXEXTRACT(O809,""[0-9]+""))
),
0
)"),0.0)</f>
        <v>0</v>
      </c>
      <c r="E809" s="1" t="s">
        <v>11</v>
      </c>
      <c r="F809" s="1" t="s">
        <v>20</v>
      </c>
      <c r="G809" s="4" t="b">
        <f t="shared" si="2"/>
        <v>1</v>
      </c>
      <c r="H809" s="1" t="str">
        <f t="shared" si="3"/>
        <v>Currently Unavailable</v>
      </c>
      <c r="I809" s="1" t="str">
        <f t="shared" si="4"/>
        <v>No Badges</v>
      </c>
      <c r="J809" s="3">
        <f t="shared" si="5"/>
        <v>0</v>
      </c>
    </row>
    <row r="810">
      <c r="A810" s="1" t="s">
        <v>730</v>
      </c>
      <c r="B810" s="3" t="str">
        <f t="shared" si="1"/>
        <v>Unavailable</v>
      </c>
      <c r="C810" s="3">
        <v>97.0</v>
      </c>
      <c r="D810" s="3">
        <f>IFERROR(__xludf.DUMMYFUNCTION("IFERROR(
IF(REGEXMATCH(LOWER(O810),""k""),
VALUE(REGEXEXTRACT(O810,""[0-9]+""))*1000,
VALUE(REGEXEXTRACT(O810,""[0-9]+""))
),
0
)"),0.0)</f>
        <v>0</v>
      </c>
      <c r="E810" s="1" t="s">
        <v>11</v>
      </c>
      <c r="F810" s="1" t="s">
        <v>20</v>
      </c>
      <c r="G810" s="4" t="b">
        <f t="shared" si="2"/>
        <v>1</v>
      </c>
      <c r="H810" s="1" t="str">
        <f t="shared" si="3"/>
        <v>Currently Unavailable</v>
      </c>
      <c r="I810" s="1" t="str">
        <f t="shared" si="4"/>
        <v>No Badges</v>
      </c>
      <c r="J810" s="3">
        <f t="shared" si="5"/>
        <v>0</v>
      </c>
    </row>
    <row r="811">
      <c r="A811" s="1" t="s">
        <v>731</v>
      </c>
      <c r="B811" s="3" t="str">
        <f t="shared" si="1"/>
        <v>Unavailable</v>
      </c>
      <c r="C811" s="3">
        <v>49.0</v>
      </c>
      <c r="D811" s="3">
        <f>IFERROR(__xludf.DUMMYFUNCTION("IFERROR(
IF(REGEXMATCH(LOWER(O811),""k""),
VALUE(REGEXEXTRACT(O811,""[0-9]+""))*1000,
VALUE(REGEXEXTRACT(O811,""[0-9]+""))
),
0
)"),0.0)</f>
        <v>0</v>
      </c>
      <c r="E811" s="1" t="s">
        <v>11</v>
      </c>
      <c r="F811" s="1" t="s">
        <v>20</v>
      </c>
      <c r="G811" s="4" t="b">
        <f t="shared" si="2"/>
        <v>1</v>
      </c>
      <c r="H811" s="1" t="str">
        <f t="shared" si="3"/>
        <v>Currently Unavailable</v>
      </c>
      <c r="I811" s="1" t="str">
        <f t="shared" si="4"/>
        <v>No Badges</v>
      </c>
      <c r="J811" s="3">
        <f t="shared" si="5"/>
        <v>0</v>
      </c>
    </row>
    <row r="812">
      <c r="A812" s="1" t="s">
        <v>701</v>
      </c>
      <c r="B812" s="3" t="str">
        <f t="shared" si="1"/>
        <v>Unavailable</v>
      </c>
      <c r="C812" s="3">
        <v>8.0</v>
      </c>
      <c r="D812" s="3">
        <f>IFERROR(__xludf.DUMMYFUNCTION("IFERROR(
IF(REGEXMATCH(LOWER(O812),""k""),
VALUE(REGEXEXTRACT(O812,""[0-9]+""))*1000,
VALUE(REGEXEXTRACT(O812,""[0-9]+""))
),
0
)"),0.0)</f>
        <v>0</v>
      </c>
      <c r="E812" s="1" t="s">
        <v>11</v>
      </c>
      <c r="F812" s="1" t="s">
        <v>12</v>
      </c>
      <c r="G812" s="4" t="b">
        <f t="shared" si="2"/>
        <v>1</v>
      </c>
      <c r="H812" s="1" t="str">
        <f t="shared" si="3"/>
        <v>Currently Unavailable</v>
      </c>
      <c r="I812" s="1" t="str">
        <f t="shared" si="4"/>
        <v>No Badges</v>
      </c>
      <c r="J812" s="3">
        <f t="shared" si="5"/>
        <v>0</v>
      </c>
    </row>
    <row r="813">
      <c r="A813" s="1" t="s">
        <v>732</v>
      </c>
      <c r="B813" s="3" t="str">
        <f t="shared" si="1"/>
        <v>Unavailable</v>
      </c>
      <c r="C813" s="3">
        <v>158.0</v>
      </c>
      <c r="D813" s="3">
        <f>IFERROR(__xludf.DUMMYFUNCTION("IFERROR(
IF(REGEXMATCH(LOWER(O813),""k""),
VALUE(REGEXEXTRACT(O813,""[0-9]+""))*1000,
VALUE(REGEXEXTRACT(O813,""[0-9]+""))
),
0
)"),0.0)</f>
        <v>0</v>
      </c>
      <c r="E813" s="1" t="s">
        <v>11</v>
      </c>
      <c r="F813" s="1" t="s">
        <v>20</v>
      </c>
      <c r="G813" s="4" t="b">
        <f t="shared" si="2"/>
        <v>1</v>
      </c>
      <c r="H813" s="1" t="str">
        <f t="shared" si="3"/>
        <v>Currently Unavailable</v>
      </c>
      <c r="I813" s="1" t="str">
        <f t="shared" si="4"/>
        <v>No Badges</v>
      </c>
      <c r="J813" s="3">
        <f t="shared" si="5"/>
        <v>0</v>
      </c>
    </row>
    <row r="814">
      <c r="A814" s="1" t="s">
        <v>733</v>
      </c>
      <c r="B814" s="3" t="str">
        <f t="shared" si="1"/>
        <v>Unavailable</v>
      </c>
      <c r="C814" s="3">
        <v>859.0</v>
      </c>
      <c r="D814" s="3">
        <f>IFERROR(__xludf.DUMMYFUNCTION("IFERROR(
IF(REGEXMATCH(LOWER(O814),""k""),
VALUE(REGEXEXTRACT(O814,""[0-9]+""))*1000,
VALUE(REGEXEXTRACT(O814,""[0-9]+""))
),
0
)"),0.0)</f>
        <v>0</v>
      </c>
      <c r="E814" s="1" t="s">
        <v>11</v>
      </c>
      <c r="F814" s="1" t="s">
        <v>20</v>
      </c>
      <c r="G814" s="4" t="b">
        <f t="shared" si="2"/>
        <v>1</v>
      </c>
      <c r="H814" s="1" t="str">
        <f t="shared" si="3"/>
        <v>Currently Unavailable</v>
      </c>
      <c r="I814" s="1" t="str">
        <f t="shared" si="4"/>
        <v>No Badges</v>
      </c>
      <c r="J814" s="3">
        <f t="shared" si="5"/>
        <v>0</v>
      </c>
    </row>
    <row r="815">
      <c r="A815" s="1" t="s">
        <v>734</v>
      </c>
      <c r="B815" s="3" t="str">
        <f t="shared" si="1"/>
        <v>Unavailable</v>
      </c>
      <c r="C815" s="3">
        <v>41.0</v>
      </c>
      <c r="D815" s="3">
        <f>IFERROR(__xludf.DUMMYFUNCTION("IFERROR(
IF(REGEXMATCH(LOWER(O815),""k""),
VALUE(REGEXEXTRACT(O815,""[0-9]+""))*1000,
VALUE(REGEXEXTRACT(O815,""[0-9]+""))
),
0
)"),0.0)</f>
        <v>0</v>
      </c>
      <c r="E815" s="1" t="s">
        <v>11</v>
      </c>
      <c r="F815" s="1" t="s">
        <v>20</v>
      </c>
      <c r="G815" s="4" t="b">
        <f t="shared" si="2"/>
        <v>1</v>
      </c>
      <c r="H815" s="1" t="str">
        <f t="shared" si="3"/>
        <v>Currently Unavailable</v>
      </c>
      <c r="I815" s="1" t="str">
        <f t="shared" si="4"/>
        <v>No Badges</v>
      </c>
      <c r="J815" s="3">
        <f t="shared" si="5"/>
        <v>0</v>
      </c>
    </row>
    <row r="816">
      <c r="A816" s="1" t="s">
        <v>735</v>
      </c>
      <c r="B816" s="3" t="str">
        <f t="shared" si="1"/>
        <v>Unavailable</v>
      </c>
      <c r="C816" s="3">
        <v>435.0</v>
      </c>
      <c r="D816" s="3">
        <f>IFERROR(__xludf.DUMMYFUNCTION("IFERROR(
IF(REGEXMATCH(LOWER(O816),""k""),
VALUE(REGEXEXTRACT(O816,""[0-9]+""))*1000,
VALUE(REGEXEXTRACT(O816,""[0-9]+""))
),
0
)"),0.0)</f>
        <v>0</v>
      </c>
      <c r="E816" s="1" t="s">
        <v>11</v>
      </c>
      <c r="F816" s="1" t="s">
        <v>20</v>
      </c>
      <c r="G816" s="4" t="b">
        <f t="shared" si="2"/>
        <v>1</v>
      </c>
      <c r="H816" s="1" t="str">
        <f t="shared" si="3"/>
        <v>Currently Unavailable</v>
      </c>
      <c r="I816" s="1" t="str">
        <f t="shared" si="4"/>
        <v>No Badges</v>
      </c>
      <c r="J816" s="3">
        <f t="shared" si="5"/>
        <v>0</v>
      </c>
    </row>
    <row r="817">
      <c r="A817" s="1" t="s">
        <v>736</v>
      </c>
      <c r="B817" s="3" t="str">
        <f t="shared" si="1"/>
        <v>Unavailable</v>
      </c>
      <c r="C817" s="3">
        <v>48.0</v>
      </c>
      <c r="D817" s="3">
        <f>IFERROR(__xludf.DUMMYFUNCTION("IFERROR(
IF(REGEXMATCH(LOWER(O817),""k""),
VALUE(REGEXEXTRACT(O817,""[0-9]+""))*1000,
VALUE(REGEXEXTRACT(O817,""[0-9]+""))
),
0
)"),0.0)</f>
        <v>0</v>
      </c>
      <c r="E817" s="1" t="s">
        <v>11</v>
      </c>
      <c r="F817" s="1" t="s">
        <v>20</v>
      </c>
      <c r="G817" s="4" t="b">
        <f t="shared" si="2"/>
        <v>1</v>
      </c>
      <c r="H817" s="1" t="str">
        <f t="shared" si="3"/>
        <v>Currently Unavailable</v>
      </c>
      <c r="I817" s="1" t="str">
        <f t="shared" si="4"/>
        <v>No Badges</v>
      </c>
      <c r="J817" s="3">
        <f t="shared" si="5"/>
        <v>0</v>
      </c>
    </row>
    <row r="818">
      <c r="A818" s="1" t="s">
        <v>737</v>
      </c>
      <c r="B818" s="3" t="str">
        <f t="shared" si="1"/>
        <v>Unavailable</v>
      </c>
      <c r="C818" s="3">
        <v>419.0</v>
      </c>
      <c r="D818" s="3">
        <f>IFERROR(__xludf.DUMMYFUNCTION("IFERROR(
IF(REGEXMATCH(LOWER(O818),""k""),
VALUE(REGEXEXTRACT(O818,""[0-9]+""))*1000,
VALUE(REGEXEXTRACT(O818,""[0-9]+""))
),
0
)"),0.0)</f>
        <v>0</v>
      </c>
      <c r="E818" s="1" t="s">
        <v>11</v>
      </c>
      <c r="F818" s="1" t="s">
        <v>20</v>
      </c>
      <c r="G818" s="4" t="b">
        <f t="shared" si="2"/>
        <v>1</v>
      </c>
      <c r="H818" s="1" t="str">
        <f t="shared" si="3"/>
        <v>Currently Unavailable</v>
      </c>
      <c r="I818" s="1" t="str">
        <f t="shared" si="4"/>
        <v>No Badges</v>
      </c>
      <c r="J818" s="3">
        <f t="shared" si="5"/>
        <v>0</v>
      </c>
    </row>
    <row r="819">
      <c r="A819" s="1" t="s">
        <v>738</v>
      </c>
      <c r="B819" s="3" t="str">
        <f t="shared" si="1"/>
        <v>Unavailable</v>
      </c>
      <c r="C819" s="5">
        <v>1066.0</v>
      </c>
      <c r="D819" s="3">
        <f>IFERROR(__xludf.DUMMYFUNCTION("IFERROR(
IF(REGEXMATCH(LOWER(O819),""k""),
VALUE(REGEXEXTRACT(O819,""[0-9]+""))*1000,
VALUE(REGEXEXTRACT(O819,""[0-9]+""))
),
0
)"),0.0)</f>
        <v>0</v>
      </c>
      <c r="E819" s="1" t="s">
        <v>11</v>
      </c>
      <c r="F819" s="1" t="s">
        <v>20</v>
      </c>
      <c r="G819" s="4" t="b">
        <f t="shared" si="2"/>
        <v>1</v>
      </c>
      <c r="H819" s="1" t="str">
        <f t="shared" si="3"/>
        <v>Currently Unavailable</v>
      </c>
      <c r="I819" s="1" t="str">
        <f t="shared" si="4"/>
        <v>No Badges</v>
      </c>
      <c r="J819" s="3">
        <f t="shared" si="5"/>
        <v>0</v>
      </c>
    </row>
    <row r="820">
      <c r="A820" s="1" t="s">
        <v>739</v>
      </c>
      <c r="B820" s="3" t="str">
        <f t="shared" si="1"/>
        <v>Unavailable</v>
      </c>
      <c r="C820" s="3">
        <v>108.0</v>
      </c>
      <c r="D820" s="3">
        <f>IFERROR(__xludf.DUMMYFUNCTION("IFERROR(
IF(REGEXMATCH(LOWER(O820),""k""),
VALUE(REGEXEXTRACT(O820,""[0-9]+""))*1000,
VALUE(REGEXEXTRACT(O820,""[0-9]+""))
),
0
)"),0.0)</f>
        <v>0</v>
      </c>
      <c r="E820" s="1" t="s">
        <v>11</v>
      </c>
      <c r="F820" s="1" t="s">
        <v>20</v>
      </c>
      <c r="G820" s="4" t="b">
        <f t="shared" si="2"/>
        <v>1</v>
      </c>
      <c r="H820" s="1" t="str">
        <f t="shared" si="3"/>
        <v>Currently Unavailable</v>
      </c>
      <c r="I820" s="1" t="str">
        <f t="shared" si="4"/>
        <v>No Badges</v>
      </c>
      <c r="J820" s="3">
        <f t="shared" si="5"/>
        <v>0</v>
      </c>
    </row>
    <row r="821">
      <c r="A821" s="1" t="s">
        <v>740</v>
      </c>
      <c r="B821" s="3" t="str">
        <f t="shared" si="1"/>
        <v>Unavailable</v>
      </c>
      <c r="C821" s="5">
        <v>1192.0</v>
      </c>
      <c r="D821" s="3">
        <f>IFERROR(__xludf.DUMMYFUNCTION("IFERROR(
IF(REGEXMATCH(LOWER(O821),""k""),
VALUE(REGEXEXTRACT(O821,""[0-9]+""))*1000,
VALUE(REGEXEXTRACT(O821,""[0-9]+""))
),
0
)"),0.0)</f>
        <v>0</v>
      </c>
      <c r="E821" s="1" t="s">
        <v>11</v>
      </c>
      <c r="F821" s="1" t="s">
        <v>20</v>
      </c>
      <c r="G821" s="4" t="b">
        <f t="shared" si="2"/>
        <v>1</v>
      </c>
      <c r="H821" s="1" t="str">
        <f t="shared" si="3"/>
        <v>Currently Unavailable</v>
      </c>
      <c r="I821" s="1" t="str">
        <f t="shared" si="4"/>
        <v>No Badges</v>
      </c>
      <c r="J821" s="3">
        <f t="shared" si="5"/>
        <v>0</v>
      </c>
    </row>
    <row r="822">
      <c r="A822" s="1" t="s">
        <v>741</v>
      </c>
      <c r="B822" s="3" t="str">
        <f t="shared" si="1"/>
        <v>Unavailable</v>
      </c>
      <c r="C822" s="5">
        <v>3318.0</v>
      </c>
      <c r="D822" s="3">
        <f>IFERROR(__xludf.DUMMYFUNCTION("IFERROR(
IF(REGEXMATCH(LOWER(O822),""k""),
VALUE(REGEXEXTRACT(O822,""[0-9]+""))*1000,
VALUE(REGEXEXTRACT(O822,""[0-9]+""))
),
0
)"),0.0)</f>
        <v>0</v>
      </c>
      <c r="E822" s="1" t="s">
        <v>11</v>
      </c>
      <c r="F822" s="1" t="s">
        <v>20</v>
      </c>
      <c r="G822" s="4" t="b">
        <f t="shared" si="2"/>
        <v>1</v>
      </c>
      <c r="H822" s="1" t="str">
        <f t="shared" si="3"/>
        <v>Currently Unavailable</v>
      </c>
      <c r="I822" s="1" t="str">
        <f t="shared" si="4"/>
        <v>No Badges</v>
      </c>
      <c r="J822" s="3">
        <f t="shared" si="5"/>
        <v>0</v>
      </c>
    </row>
    <row r="823">
      <c r="A823" s="1" t="s">
        <v>742</v>
      </c>
      <c r="B823" s="3" t="str">
        <f t="shared" si="1"/>
        <v>Unavailable</v>
      </c>
      <c r="C823" s="5">
        <v>9697.0</v>
      </c>
      <c r="D823" s="3">
        <f>IFERROR(__xludf.DUMMYFUNCTION("IFERROR(
IF(REGEXMATCH(LOWER(O823),""k""),
VALUE(REGEXEXTRACT(O823,""[0-9]+""))*1000,
VALUE(REGEXEXTRACT(O823,""[0-9]+""))
),
0
)"),0.0)</f>
        <v>0</v>
      </c>
      <c r="E823" s="1" t="s">
        <v>11</v>
      </c>
      <c r="F823" s="1" t="s">
        <v>20</v>
      </c>
      <c r="G823" s="4" t="b">
        <f t="shared" si="2"/>
        <v>1</v>
      </c>
      <c r="H823" s="1" t="str">
        <f t="shared" si="3"/>
        <v>Currently Unavailable</v>
      </c>
      <c r="I823" s="1" t="str">
        <f t="shared" si="4"/>
        <v>No Badges</v>
      </c>
      <c r="J823" s="3">
        <f t="shared" si="5"/>
        <v>0</v>
      </c>
    </row>
    <row r="824">
      <c r="A824" s="1" t="s">
        <v>743</v>
      </c>
      <c r="B824" s="3" t="str">
        <f t="shared" si="1"/>
        <v>Unavailable</v>
      </c>
      <c r="C824" s="5">
        <v>6950.0</v>
      </c>
      <c r="D824" s="3">
        <f>IFERROR(__xludf.DUMMYFUNCTION("IFERROR(
IF(REGEXMATCH(LOWER(O824),""k""),
VALUE(REGEXEXTRACT(O824,""[0-9]+""))*1000,
VALUE(REGEXEXTRACT(O824,""[0-9]+""))
),
0
)"),0.0)</f>
        <v>0</v>
      </c>
      <c r="E824" s="1" t="s">
        <v>11</v>
      </c>
      <c r="F824" s="1" t="s">
        <v>20</v>
      </c>
      <c r="G824" s="4" t="b">
        <f t="shared" si="2"/>
        <v>1</v>
      </c>
      <c r="H824" s="1" t="str">
        <f t="shared" si="3"/>
        <v>Currently Unavailable</v>
      </c>
      <c r="I824" s="1" t="str">
        <f t="shared" si="4"/>
        <v>No Badges</v>
      </c>
      <c r="J824" s="3">
        <f t="shared" si="5"/>
        <v>0</v>
      </c>
    </row>
    <row r="825">
      <c r="A825" s="1" t="s">
        <v>744</v>
      </c>
      <c r="B825" s="3" t="str">
        <f t="shared" si="1"/>
        <v>Unavailable</v>
      </c>
      <c r="C825" s="3">
        <v>55.0</v>
      </c>
      <c r="D825" s="3">
        <f>IFERROR(__xludf.DUMMYFUNCTION("IFERROR(
IF(REGEXMATCH(LOWER(O825),""k""),
VALUE(REGEXEXTRACT(O825,""[0-9]+""))*1000,
VALUE(REGEXEXTRACT(O825,""[0-9]+""))
),
0
)"),0.0)</f>
        <v>0</v>
      </c>
      <c r="E825" s="1" t="s">
        <v>11</v>
      </c>
      <c r="F825" s="1" t="s">
        <v>20</v>
      </c>
      <c r="G825" s="4" t="b">
        <f t="shared" si="2"/>
        <v>1</v>
      </c>
      <c r="H825" s="1" t="str">
        <f t="shared" si="3"/>
        <v>Currently Unavailable</v>
      </c>
      <c r="I825" s="1" t="str">
        <f t="shared" si="4"/>
        <v>No Badges</v>
      </c>
      <c r="J825" s="3">
        <f t="shared" si="5"/>
        <v>0</v>
      </c>
    </row>
    <row r="826">
      <c r="A826" s="1" t="s">
        <v>745</v>
      </c>
      <c r="B826" s="3" t="str">
        <f t="shared" si="1"/>
        <v>Unavailable</v>
      </c>
      <c r="C826" s="5">
        <v>17102.0</v>
      </c>
      <c r="D826" s="3">
        <f>IFERROR(__xludf.DUMMYFUNCTION("IFERROR(
IF(REGEXMATCH(LOWER(O826),""k""),
VALUE(REGEXEXTRACT(O826,""[0-9]+""))*1000,
VALUE(REGEXEXTRACT(O826,""[0-9]+""))
),
0
)"),0.0)</f>
        <v>0</v>
      </c>
      <c r="E826" s="1" t="s">
        <v>11</v>
      </c>
      <c r="F826" s="1" t="s">
        <v>20</v>
      </c>
      <c r="G826" s="4" t="b">
        <f t="shared" si="2"/>
        <v>1</v>
      </c>
      <c r="H826" s="1" t="str">
        <f t="shared" si="3"/>
        <v>Currently Unavailable</v>
      </c>
      <c r="I826" s="1" t="str">
        <f t="shared" si="4"/>
        <v>No Badges</v>
      </c>
      <c r="J826" s="3">
        <f t="shared" si="5"/>
        <v>0</v>
      </c>
    </row>
    <row r="827">
      <c r="A827" s="1" t="s">
        <v>746</v>
      </c>
      <c r="B827" s="3" t="str">
        <f t="shared" si="1"/>
        <v>Unavailable</v>
      </c>
      <c r="C827" s="3">
        <v>22.0</v>
      </c>
      <c r="D827" s="3">
        <f>IFERROR(__xludf.DUMMYFUNCTION("IFERROR(
IF(REGEXMATCH(LOWER(O827),""k""),
VALUE(REGEXEXTRACT(O827,""[0-9]+""))*1000,
VALUE(REGEXEXTRACT(O827,""[0-9]+""))
),
0
)"),0.0)</f>
        <v>0</v>
      </c>
      <c r="E827" s="1" t="s">
        <v>11</v>
      </c>
      <c r="F827" s="1" t="s">
        <v>20</v>
      </c>
      <c r="G827" s="4" t="b">
        <f t="shared" si="2"/>
        <v>1</v>
      </c>
      <c r="H827" s="1" t="str">
        <f t="shared" si="3"/>
        <v>Currently Unavailable</v>
      </c>
      <c r="I827" s="1" t="str">
        <f t="shared" si="4"/>
        <v>No Badges</v>
      </c>
      <c r="J827" s="3">
        <f t="shared" si="5"/>
        <v>0</v>
      </c>
    </row>
    <row r="828">
      <c r="A828" s="1" t="s">
        <v>747</v>
      </c>
      <c r="B828" s="3" t="str">
        <f t="shared" si="1"/>
        <v>Unavailable</v>
      </c>
      <c r="C828" s="3">
        <v>165.0</v>
      </c>
      <c r="D828" s="3">
        <f>IFERROR(__xludf.DUMMYFUNCTION("IFERROR(
IF(REGEXMATCH(LOWER(O828),""k""),
VALUE(REGEXEXTRACT(O828,""[0-9]+""))*1000,
VALUE(REGEXEXTRACT(O828,""[0-9]+""))
),
0
)"),0.0)</f>
        <v>0</v>
      </c>
      <c r="E828" s="1" t="s">
        <v>11</v>
      </c>
      <c r="F828" s="1" t="s">
        <v>20</v>
      </c>
      <c r="G828" s="4" t="b">
        <f t="shared" si="2"/>
        <v>1</v>
      </c>
      <c r="H828" s="1" t="str">
        <f t="shared" si="3"/>
        <v>Currently Unavailable</v>
      </c>
      <c r="I828" s="1" t="str">
        <f t="shared" si="4"/>
        <v>No Badges</v>
      </c>
      <c r="J828" s="3">
        <f t="shared" si="5"/>
        <v>0</v>
      </c>
    </row>
    <row r="829">
      <c r="A829" s="1" t="s">
        <v>748</v>
      </c>
      <c r="B829" s="3" t="str">
        <f t="shared" si="1"/>
        <v>Unavailable</v>
      </c>
      <c r="C829" s="5">
        <v>1054.0</v>
      </c>
      <c r="D829" s="3">
        <f>IFERROR(__xludf.DUMMYFUNCTION("IFERROR(
IF(REGEXMATCH(LOWER(O829),""k""),
VALUE(REGEXEXTRACT(O829,""[0-9]+""))*1000,
VALUE(REGEXEXTRACT(O829,""[0-9]+""))
),
0
)"),0.0)</f>
        <v>0</v>
      </c>
      <c r="E829" s="1" t="s">
        <v>11</v>
      </c>
      <c r="F829" s="1" t="s">
        <v>20</v>
      </c>
      <c r="G829" s="4" t="b">
        <f t="shared" si="2"/>
        <v>1</v>
      </c>
      <c r="H829" s="1" t="str">
        <f t="shared" si="3"/>
        <v>Currently Unavailable</v>
      </c>
      <c r="I829" s="1" t="str">
        <f t="shared" si="4"/>
        <v>No Badges</v>
      </c>
      <c r="J829" s="3">
        <f t="shared" si="5"/>
        <v>0</v>
      </c>
    </row>
    <row r="830">
      <c r="A830" s="1" t="s">
        <v>749</v>
      </c>
      <c r="B830" s="3" t="str">
        <f t="shared" si="1"/>
        <v>Unavailable</v>
      </c>
      <c r="C830" s="3">
        <v>90.0</v>
      </c>
      <c r="D830" s="3">
        <f>IFERROR(__xludf.DUMMYFUNCTION("IFERROR(
IF(REGEXMATCH(LOWER(O830),""k""),
VALUE(REGEXEXTRACT(O830,""[0-9]+""))*1000,
VALUE(REGEXEXTRACT(O830,""[0-9]+""))
),
0
)"),0.0)</f>
        <v>0</v>
      </c>
      <c r="E830" s="1" t="s">
        <v>11</v>
      </c>
      <c r="F830" s="1" t="s">
        <v>20</v>
      </c>
      <c r="G830" s="4" t="b">
        <f t="shared" si="2"/>
        <v>1</v>
      </c>
      <c r="H830" s="1" t="str">
        <f t="shared" si="3"/>
        <v>Currently Unavailable</v>
      </c>
      <c r="I830" s="1" t="str">
        <f t="shared" si="4"/>
        <v>No Badges</v>
      </c>
      <c r="J830" s="3">
        <f t="shared" si="5"/>
        <v>0</v>
      </c>
    </row>
    <row r="831">
      <c r="A831" s="1" t="s">
        <v>750</v>
      </c>
      <c r="B831" s="3" t="str">
        <f t="shared" si="1"/>
        <v>Unavailable</v>
      </c>
      <c r="C831" s="3">
        <v>74.0</v>
      </c>
      <c r="D831" s="3">
        <f>IFERROR(__xludf.DUMMYFUNCTION("IFERROR(
IF(REGEXMATCH(LOWER(O831),""k""),
VALUE(REGEXEXTRACT(O831,""[0-9]+""))*1000,
VALUE(REGEXEXTRACT(O831,""[0-9]+""))
),
0
)"),0.0)</f>
        <v>0</v>
      </c>
      <c r="E831" s="1" t="s">
        <v>11</v>
      </c>
      <c r="F831" s="1" t="s">
        <v>20</v>
      </c>
      <c r="G831" s="4" t="b">
        <f t="shared" si="2"/>
        <v>1</v>
      </c>
      <c r="H831" s="1" t="str">
        <f t="shared" si="3"/>
        <v>Currently Unavailable</v>
      </c>
      <c r="I831" s="1" t="str">
        <f t="shared" si="4"/>
        <v>No Badges</v>
      </c>
      <c r="J831" s="3">
        <f t="shared" si="5"/>
        <v>0</v>
      </c>
    </row>
    <row r="832">
      <c r="A832" s="1" t="s">
        <v>751</v>
      </c>
      <c r="B832" s="3" t="str">
        <f t="shared" si="1"/>
        <v>Unavailable</v>
      </c>
      <c r="C832" s="3">
        <v>347.0</v>
      </c>
      <c r="D832" s="3">
        <f>IFERROR(__xludf.DUMMYFUNCTION("IFERROR(
IF(REGEXMATCH(LOWER(O832),""k""),
VALUE(REGEXEXTRACT(O832,""[0-9]+""))*1000,
VALUE(REGEXEXTRACT(O832,""[0-9]+""))
),
0
)"),0.0)</f>
        <v>0</v>
      </c>
      <c r="E832" s="1" t="s">
        <v>11</v>
      </c>
      <c r="F832" s="1" t="s">
        <v>20</v>
      </c>
      <c r="G832" s="4" t="b">
        <f t="shared" si="2"/>
        <v>1</v>
      </c>
      <c r="H832" s="1" t="str">
        <f t="shared" si="3"/>
        <v>Currently Unavailable</v>
      </c>
      <c r="I832" s="1" t="str">
        <f t="shared" si="4"/>
        <v>No Badges</v>
      </c>
      <c r="J832" s="3">
        <f t="shared" si="5"/>
        <v>0</v>
      </c>
    </row>
    <row r="833">
      <c r="A833" s="1" t="s">
        <v>752</v>
      </c>
      <c r="B833" s="3" t="str">
        <f t="shared" si="1"/>
        <v>Unavailable</v>
      </c>
      <c r="C833" s="3">
        <v>103.0</v>
      </c>
      <c r="D833" s="3">
        <f>IFERROR(__xludf.DUMMYFUNCTION("IFERROR(
IF(REGEXMATCH(LOWER(O833),""k""),
VALUE(REGEXEXTRACT(O833,""[0-9]+""))*1000,
VALUE(REGEXEXTRACT(O833,""[0-9]+""))
),
0
)"),0.0)</f>
        <v>0</v>
      </c>
      <c r="E833" s="1" t="s">
        <v>11</v>
      </c>
      <c r="F833" s="1" t="s">
        <v>20</v>
      </c>
      <c r="G833" s="4" t="b">
        <f t="shared" si="2"/>
        <v>1</v>
      </c>
      <c r="H833" s="1" t="str">
        <f t="shared" si="3"/>
        <v>Currently Unavailable</v>
      </c>
      <c r="I833" s="1" t="str">
        <f t="shared" si="4"/>
        <v>No Badges</v>
      </c>
      <c r="J833" s="3">
        <f t="shared" si="5"/>
        <v>0</v>
      </c>
    </row>
    <row r="834">
      <c r="A834" s="1" t="s">
        <v>753</v>
      </c>
      <c r="B834" s="3" t="str">
        <f t="shared" si="1"/>
        <v>Unavailable</v>
      </c>
      <c r="C834" s="5">
        <v>2043.0</v>
      </c>
      <c r="D834" s="3">
        <f>IFERROR(__xludf.DUMMYFUNCTION("IFERROR(
IF(REGEXMATCH(LOWER(O834),""k""),
VALUE(REGEXEXTRACT(O834,""[0-9]+""))*1000,
VALUE(REGEXEXTRACT(O834,""[0-9]+""))
),
0
)"),0.0)</f>
        <v>0</v>
      </c>
      <c r="E834" s="1" t="s">
        <v>11</v>
      </c>
      <c r="F834" s="1" t="s">
        <v>20</v>
      </c>
      <c r="G834" s="4" t="b">
        <f t="shared" si="2"/>
        <v>1</v>
      </c>
      <c r="H834" s="1" t="str">
        <f t="shared" si="3"/>
        <v>Currently Unavailable</v>
      </c>
      <c r="I834" s="1" t="str">
        <f t="shared" si="4"/>
        <v>No Badges</v>
      </c>
      <c r="J834" s="3">
        <f t="shared" si="5"/>
        <v>0</v>
      </c>
    </row>
    <row r="835">
      <c r="A835" s="1" t="s">
        <v>754</v>
      </c>
      <c r="B835" s="3" t="str">
        <f t="shared" si="1"/>
        <v>Unavailable</v>
      </c>
      <c r="C835" s="3">
        <v>187.0</v>
      </c>
      <c r="D835" s="3">
        <f>IFERROR(__xludf.DUMMYFUNCTION("IFERROR(
IF(REGEXMATCH(LOWER(O835),""k""),
VALUE(REGEXEXTRACT(O835,""[0-9]+""))*1000,
VALUE(REGEXEXTRACT(O835,""[0-9]+""))
),
0
)"),0.0)</f>
        <v>0</v>
      </c>
      <c r="E835" s="1" t="s">
        <v>11</v>
      </c>
      <c r="F835" s="1" t="s">
        <v>20</v>
      </c>
      <c r="G835" s="4" t="b">
        <f t="shared" si="2"/>
        <v>1</v>
      </c>
      <c r="H835" s="1" t="str">
        <f t="shared" si="3"/>
        <v>Currently Unavailable</v>
      </c>
      <c r="I835" s="1" t="str">
        <f t="shared" si="4"/>
        <v>No Badges</v>
      </c>
      <c r="J835" s="3">
        <f t="shared" si="5"/>
        <v>0</v>
      </c>
    </row>
    <row r="836">
      <c r="A836" s="1" t="s">
        <v>755</v>
      </c>
      <c r="B836" s="3" t="str">
        <f t="shared" si="1"/>
        <v>Unavailable</v>
      </c>
      <c r="C836" s="3">
        <v>51.0</v>
      </c>
      <c r="D836" s="3">
        <f>IFERROR(__xludf.DUMMYFUNCTION("IFERROR(
IF(REGEXMATCH(LOWER(O836),""k""),
VALUE(REGEXEXTRACT(O836,""[0-9]+""))*1000,
VALUE(REGEXEXTRACT(O836,""[0-9]+""))
),
0
)"),0.0)</f>
        <v>0</v>
      </c>
      <c r="E836" s="1" t="s">
        <v>11</v>
      </c>
      <c r="F836" s="1" t="s">
        <v>20</v>
      </c>
      <c r="G836" s="4" t="b">
        <f t="shared" si="2"/>
        <v>1</v>
      </c>
      <c r="H836" s="1" t="str">
        <f t="shared" si="3"/>
        <v>Currently Unavailable</v>
      </c>
      <c r="I836" s="1" t="str">
        <f t="shared" si="4"/>
        <v>No Badges</v>
      </c>
      <c r="J836" s="3">
        <f t="shared" si="5"/>
        <v>0</v>
      </c>
    </row>
    <row r="837">
      <c r="A837" s="1" t="s">
        <v>756</v>
      </c>
      <c r="B837" s="3" t="str">
        <f t="shared" si="1"/>
        <v>Unavailable</v>
      </c>
      <c r="C837" s="3">
        <v>114.0</v>
      </c>
      <c r="D837" s="3">
        <f>IFERROR(__xludf.DUMMYFUNCTION("IFERROR(
IF(REGEXMATCH(LOWER(O837),""k""),
VALUE(REGEXEXTRACT(O837,""[0-9]+""))*1000,
VALUE(REGEXEXTRACT(O837,""[0-9]+""))
),
0
)"),0.0)</f>
        <v>0</v>
      </c>
      <c r="E837" s="1" t="s">
        <v>11</v>
      </c>
      <c r="F837" s="1" t="s">
        <v>20</v>
      </c>
      <c r="G837" s="4" t="b">
        <f t="shared" si="2"/>
        <v>1</v>
      </c>
      <c r="H837" s="1" t="str">
        <f t="shared" si="3"/>
        <v>Currently Unavailable</v>
      </c>
      <c r="I837" s="1" t="str">
        <f t="shared" si="4"/>
        <v>No Badges</v>
      </c>
      <c r="J837" s="3">
        <f t="shared" si="5"/>
        <v>0</v>
      </c>
    </row>
    <row r="838">
      <c r="A838" s="1" t="s">
        <v>757</v>
      </c>
      <c r="B838" s="3" t="str">
        <f t="shared" si="1"/>
        <v>Unavailable</v>
      </c>
      <c r="C838" s="5">
        <v>1211.0</v>
      </c>
      <c r="D838" s="3">
        <f>IFERROR(__xludf.DUMMYFUNCTION("IFERROR(
IF(REGEXMATCH(LOWER(O838),""k""),
VALUE(REGEXEXTRACT(O838,""[0-9]+""))*1000,
VALUE(REGEXEXTRACT(O838,""[0-9]+""))
),
0
)"),0.0)</f>
        <v>0</v>
      </c>
      <c r="E838" s="1" t="s">
        <v>11</v>
      </c>
      <c r="F838" s="1" t="s">
        <v>20</v>
      </c>
      <c r="G838" s="4" t="b">
        <f t="shared" si="2"/>
        <v>1</v>
      </c>
      <c r="H838" s="1" t="str">
        <f t="shared" si="3"/>
        <v>Currently Unavailable</v>
      </c>
      <c r="I838" s="1" t="str">
        <f t="shared" si="4"/>
        <v>No Badges</v>
      </c>
      <c r="J838" s="3">
        <f t="shared" si="5"/>
        <v>0</v>
      </c>
    </row>
    <row r="839">
      <c r="A839" s="1" t="s">
        <v>758</v>
      </c>
      <c r="B839" s="3" t="str">
        <f t="shared" si="1"/>
        <v>Unavailable</v>
      </c>
      <c r="C839" s="3">
        <v>361.0</v>
      </c>
      <c r="D839" s="3">
        <f>IFERROR(__xludf.DUMMYFUNCTION("IFERROR(
IF(REGEXMATCH(LOWER(O839),""k""),
VALUE(REGEXEXTRACT(O839,""[0-9]+""))*1000,
VALUE(REGEXEXTRACT(O839,""[0-9]+""))
),
0
)"),0.0)</f>
        <v>0</v>
      </c>
      <c r="E839" s="1" t="s">
        <v>11</v>
      </c>
      <c r="F839" s="1" t="s">
        <v>20</v>
      </c>
      <c r="G839" s="4" t="b">
        <f t="shared" si="2"/>
        <v>1</v>
      </c>
      <c r="H839" s="1" t="str">
        <f t="shared" si="3"/>
        <v>Currently Unavailable</v>
      </c>
      <c r="I839" s="1" t="str">
        <f t="shared" si="4"/>
        <v>No Badges</v>
      </c>
      <c r="J839" s="3">
        <f t="shared" si="5"/>
        <v>0</v>
      </c>
    </row>
    <row r="840">
      <c r="A840" s="1" t="s">
        <v>759</v>
      </c>
      <c r="B840" s="3" t="str">
        <f t="shared" si="1"/>
        <v>Unavailable</v>
      </c>
      <c r="C840" s="5">
        <v>1703.0</v>
      </c>
      <c r="D840" s="3">
        <f>IFERROR(__xludf.DUMMYFUNCTION("IFERROR(
IF(REGEXMATCH(LOWER(O840),""k""),
VALUE(REGEXEXTRACT(O840,""[0-9]+""))*1000,
VALUE(REGEXEXTRACT(O840,""[0-9]+""))
),
0
)"),0.0)</f>
        <v>0</v>
      </c>
      <c r="E840" s="1" t="s">
        <v>11</v>
      </c>
      <c r="F840" s="1" t="s">
        <v>20</v>
      </c>
      <c r="G840" s="4" t="b">
        <f t="shared" si="2"/>
        <v>1</v>
      </c>
      <c r="H840" s="1" t="str">
        <f t="shared" si="3"/>
        <v>Currently Unavailable</v>
      </c>
      <c r="I840" s="1" t="str">
        <f t="shared" si="4"/>
        <v>No Badges</v>
      </c>
      <c r="J840" s="3">
        <f t="shared" si="5"/>
        <v>0</v>
      </c>
    </row>
    <row r="841">
      <c r="A841" s="1" t="s">
        <v>701</v>
      </c>
      <c r="B841" s="3" t="str">
        <f t="shared" si="1"/>
        <v>Unavailable</v>
      </c>
      <c r="C841" s="3">
        <v>8.0</v>
      </c>
      <c r="D841" s="3">
        <f>IFERROR(__xludf.DUMMYFUNCTION("IFERROR(
IF(REGEXMATCH(LOWER(O841),""k""),
VALUE(REGEXEXTRACT(O841,""[0-9]+""))*1000,
VALUE(REGEXEXTRACT(O841,""[0-9]+""))
),
0
)"),0.0)</f>
        <v>0</v>
      </c>
      <c r="E841" s="1" t="s">
        <v>11</v>
      </c>
      <c r="F841" s="1" t="s">
        <v>12</v>
      </c>
      <c r="G841" s="4" t="b">
        <f t="shared" si="2"/>
        <v>1</v>
      </c>
      <c r="H841" s="1" t="str">
        <f t="shared" si="3"/>
        <v>Currently Unavailable</v>
      </c>
      <c r="I841" s="1" t="str">
        <f t="shared" si="4"/>
        <v>No Badges</v>
      </c>
      <c r="J841" s="3">
        <f t="shared" si="5"/>
        <v>0</v>
      </c>
    </row>
    <row r="842">
      <c r="A842" s="1" t="s">
        <v>760</v>
      </c>
      <c r="B842" s="3" t="str">
        <f t="shared" si="1"/>
        <v>Unavailable</v>
      </c>
      <c r="C842" s="3">
        <v>124.0</v>
      </c>
      <c r="D842" s="3">
        <f>IFERROR(__xludf.DUMMYFUNCTION("IFERROR(
IF(REGEXMATCH(LOWER(O842),""k""),
VALUE(REGEXEXTRACT(O842,""[0-9]+""))*1000,
VALUE(REGEXEXTRACT(O842,""[0-9]+""))
),
0
)"),0.0)</f>
        <v>0</v>
      </c>
      <c r="E842" s="1" t="s">
        <v>11</v>
      </c>
      <c r="F842" s="1" t="s">
        <v>20</v>
      </c>
      <c r="G842" s="4" t="b">
        <f t="shared" si="2"/>
        <v>1</v>
      </c>
      <c r="H842" s="1" t="str">
        <f t="shared" si="3"/>
        <v>Currently Unavailable</v>
      </c>
      <c r="I842" s="1" t="str">
        <f t="shared" si="4"/>
        <v>No Badges</v>
      </c>
      <c r="J842" s="3">
        <f t="shared" si="5"/>
        <v>0</v>
      </c>
    </row>
    <row r="843">
      <c r="A843" s="1" t="s">
        <v>761</v>
      </c>
      <c r="B843" s="3" t="str">
        <f t="shared" si="1"/>
        <v>Unavailable</v>
      </c>
      <c r="C843" s="3">
        <v>545.0</v>
      </c>
      <c r="D843" s="3">
        <f>IFERROR(__xludf.DUMMYFUNCTION("IFERROR(
IF(REGEXMATCH(LOWER(O843),""k""),
VALUE(REGEXEXTRACT(O843,""[0-9]+""))*1000,
VALUE(REGEXEXTRACT(O843,""[0-9]+""))
),
0
)"),0.0)</f>
        <v>0</v>
      </c>
      <c r="E843" s="1" t="s">
        <v>11</v>
      </c>
      <c r="F843" s="1" t="s">
        <v>20</v>
      </c>
      <c r="G843" s="4" t="b">
        <f t="shared" si="2"/>
        <v>1</v>
      </c>
      <c r="H843" s="1" t="str">
        <f t="shared" si="3"/>
        <v>Currently Unavailable</v>
      </c>
      <c r="I843" s="1" t="str">
        <f t="shared" si="4"/>
        <v>No Badges</v>
      </c>
      <c r="J843" s="3">
        <f t="shared" si="5"/>
        <v>0</v>
      </c>
    </row>
    <row r="844">
      <c r="A844" s="1" t="s">
        <v>762</v>
      </c>
      <c r="B844" s="3" t="str">
        <f t="shared" si="1"/>
        <v>Unavailable</v>
      </c>
      <c r="C844" s="3">
        <v>49.0</v>
      </c>
      <c r="D844" s="3">
        <f>IFERROR(__xludf.DUMMYFUNCTION("IFERROR(
IF(REGEXMATCH(LOWER(O844),""k""),
VALUE(REGEXEXTRACT(O844,""[0-9]+""))*1000,
VALUE(REGEXEXTRACT(O844,""[0-9]+""))
),
0
)"),0.0)</f>
        <v>0</v>
      </c>
      <c r="E844" s="1" t="s">
        <v>11</v>
      </c>
      <c r="F844" s="1" t="s">
        <v>20</v>
      </c>
      <c r="G844" s="4" t="b">
        <f t="shared" si="2"/>
        <v>1</v>
      </c>
      <c r="H844" s="1" t="str">
        <f t="shared" si="3"/>
        <v>Currently Unavailable</v>
      </c>
      <c r="I844" s="1" t="str">
        <f t="shared" si="4"/>
        <v>No Badges</v>
      </c>
      <c r="J844" s="3">
        <f t="shared" si="5"/>
        <v>0</v>
      </c>
    </row>
    <row r="845">
      <c r="A845" s="1" t="s">
        <v>568</v>
      </c>
      <c r="B845" s="3" t="str">
        <f t="shared" si="1"/>
        <v>Unavailable</v>
      </c>
      <c r="C845" s="5">
        <v>1453.0</v>
      </c>
      <c r="D845" s="3">
        <f>IFERROR(__xludf.DUMMYFUNCTION("IFERROR(
IF(REGEXMATCH(LOWER(O845),""k""),
VALUE(REGEXEXTRACT(O845,""[0-9]+""))*1000,
VALUE(REGEXEXTRACT(O845,""[0-9]+""))
),
0
)"),0.0)</f>
        <v>0</v>
      </c>
      <c r="E845" s="1" t="s">
        <v>11</v>
      </c>
      <c r="F845" s="1" t="s">
        <v>20</v>
      </c>
      <c r="G845" s="4" t="b">
        <f t="shared" si="2"/>
        <v>1</v>
      </c>
      <c r="H845" s="1" t="str">
        <f t="shared" si="3"/>
        <v>Currently Unavailable</v>
      </c>
      <c r="I845" s="1" t="str">
        <f t="shared" si="4"/>
        <v>No Badges</v>
      </c>
      <c r="J845" s="3">
        <f t="shared" si="5"/>
        <v>0</v>
      </c>
    </row>
    <row r="846">
      <c r="A846" s="1" t="s">
        <v>613</v>
      </c>
      <c r="B846" s="3" t="str">
        <f t="shared" si="1"/>
        <v>Unavailable</v>
      </c>
      <c r="C846" s="3">
        <v>107.0</v>
      </c>
      <c r="D846" s="3">
        <f>IFERROR(__xludf.DUMMYFUNCTION("IFERROR(
IF(REGEXMATCH(LOWER(O846),""k""),
VALUE(REGEXEXTRACT(O846,""[0-9]+""))*1000,
VALUE(REGEXEXTRACT(O846,""[0-9]+""))
),
0
)"),0.0)</f>
        <v>0</v>
      </c>
      <c r="E846" s="1" t="s">
        <v>11</v>
      </c>
      <c r="F846" s="1" t="s">
        <v>20</v>
      </c>
      <c r="G846" s="4" t="b">
        <f t="shared" si="2"/>
        <v>1</v>
      </c>
      <c r="H846" s="1" t="str">
        <f t="shared" si="3"/>
        <v>Currently Unavailable</v>
      </c>
      <c r="I846" s="1" t="str">
        <f t="shared" si="4"/>
        <v>No Badges</v>
      </c>
      <c r="J846" s="3">
        <f t="shared" si="5"/>
        <v>0</v>
      </c>
    </row>
    <row r="847">
      <c r="A847" s="1" t="s">
        <v>763</v>
      </c>
      <c r="B847" s="3" t="str">
        <f t="shared" si="1"/>
        <v>Unavailable</v>
      </c>
      <c r="C847" s="3">
        <v>692.0</v>
      </c>
      <c r="D847" s="3">
        <f>IFERROR(__xludf.DUMMYFUNCTION("IFERROR(
IF(REGEXMATCH(LOWER(O847),""k""),
VALUE(REGEXEXTRACT(O847,""[0-9]+""))*1000,
VALUE(REGEXEXTRACT(O847,""[0-9]+""))
),
0
)"),0.0)</f>
        <v>0</v>
      </c>
      <c r="E847" s="1" t="s">
        <v>11</v>
      </c>
      <c r="F847" s="1" t="s">
        <v>20</v>
      </c>
      <c r="G847" s="4" t="b">
        <f t="shared" si="2"/>
        <v>1</v>
      </c>
      <c r="H847" s="1" t="str">
        <f t="shared" si="3"/>
        <v>Currently Unavailable</v>
      </c>
      <c r="I847" s="1" t="str">
        <f t="shared" si="4"/>
        <v>No Badges</v>
      </c>
      <c r="J847" s="3">
        <f t="shared" si="5"/>
        <v>0</v>
      </c>
    </row>
    <row r="848">
      <c r="A848" s="1" t="s">
        <v>764</v>
      </c>
      <c r="B848" s="3" t="str">
        <f t="shared" si="1"/>
        <v>Unavailable</v>
      </c>
      <c r="C848" s="5">
        <v>1001.0</v>
      </c>
      <c r="D848" s="3">
        <f>IFERROR(__xludf.DUMMYFUNCTION("IFERROR(
IF(REGEXMATCH(LOWER(O848),""k""),
VALUE(REGEXEXTRACT(O848,""[0-9]+""))*1000,
VALUE(REGEXEXTRACT(O848,""[0-9]+""))
),
0
)"),0.0)</f>
        <v>0</v>
      </c>
      <c r="E848" s="1" t="s">
        <v>11</v>
      </c>
      <c r="F848" s="1" t="s">
        <v>20</v>
      </c>
      <c r="G848" s="4" t="b">
        <f t="shared" si="2"/>
        <v>1</v>
      </c>
      <c r="H848" s="1" t="str">
        <f t="shared" si="3"/>
        <v>Currently Unavailable</v>
      </c>
      <c r="I848" s="1" t="str">
        <f t="shared" si="4"/>
        <v>No Badges</v>
      </c>
      <c r="J848" s="3">
        <f t="shared" si="5"/>
        <v>0</v>
      </c>
    </row>
    <row r="849">
      <c r="A849" s="1" t="s">
        <v>765</v>
      </c>
      <c r="B849" s="3" t="str">
        <f t="shared" si="1"/>
        <v>Unavailable</v>
      </c>
      <c r="C849" s="3">
        <v>97.0</v>
      </c>
      <c r="D849" s="3">
        <f>IFERROR(__xludf.DUMMYFUNCTION("IFERROR(
IF(REGEXMATCH(LOWER(O849),""k""),
VALUE(REGEXEXTRACT(O849,""[0-9]+""))*1000,
VALUE(REGEXEXTRACT(O849,""[0-9]+""))
),
0
)"),0.0)</f>
        <v>0</v>
      </c>
      <c r="E849" s="1" t="s">
        <v>11</v>
      </c>
      <c r="F849" s="1" t="s">
        <v>20</v>
      </c>
      <c r="G849" s="4" t="b">
        <f t="shared" si="2"/>
        <v>1</v>
      </c>
      <c r="H849" s="1" t="str">
        <f t="shared" si="3"/>
        <v>Currently Unavailable</v>
      </c>
      <c r="I849" s="1" t="str">
        <f t="shared" si="4"/>
        <v>No Badges</v>
      </c>
      <c r="J849" s="3">
        <f t="shared" si="5"/>
        <v>0</v>
      </c>
    </row>
    <row r="850">
      <c r="A850" s="1" t="s">
        <v>766</v>
      </c>
      <c r="B850" s="3" t="str">
        <f t="shared" si="1"/>
        <v>Unavailable</v>
      </c>
      <c r="C850" s="3">
        <v>179.0</v>
      </c>
      <c r="D850" s="3">
        <f>IFERROR(__xludf.DUMMYFUNCTION("IFERROR(
IF(REGEXMATCH(LOWER(O850),""k""),
VALUE(REGEXEXTRACT(O850,""[0-9]+""))*1000,
VALUE(REGEXEXTRACT(O850,""[0-9]+""))
),
0
)"),0.0)</f>
        <v>0</v>
      </c>
      <c r="E850" s="1" t="s">
        <v>11</v>
      </c>
      <c r="F850" s="1" t="s">
        <v>20</v>
      </c>
      <c r="G850" s="4" t="b">
        <f t="shared" si="2"/>
        <v>1</v>
      </c>
      <c r="H850" s="1" t="str">
        <f t="shared" si="3"/>
        <v>Currently Unavailable</v>
      </c>
      <c r="I850" s="1" t="str">
        <f t="shared" si="4"/>
        <v>No Badges</v>
      </c>
      <c r="J850" s="3">
        <f t="shared" si="5"/>
        <v>0</v>
      </c>
    </row>
    <row r="851">
      <c r="A851" s="1" t="s">
        <v>767</v>
      </c>
      <c r="B851" s="3" t="str">
        <f t="shared" si="1"/>
        <v>Unavailable</v>
      </c>
      <c r="C851" s="5">
        <v>1196.0</v>
      </c>
      <c r="D851" s="3">
        <f>IFERROR(__xludf.DUMMYFUNCTION("IFERROR(
IF(REGEXMATCH(LOWER(O851),""k""),
VALUE(REGEXEXTRACT(O851,""[0-9]+""))*1000,
VALUE(REGEXEXTRACT(O851,""[0-9]+""))
),
0
)"),0.0)</f>
        <v>0</v>
      </c>
      <c r="E851" s="1" t="s">
        <v>11</v>
      </c>
      <c r="F851" s="1" t="s">
        <v>20</v>
      </c>
      <c r="G851" s="4" t="b">
        <f t="shared" si="2"/>
        <v>1</v>
      </c>
      <c r="H851" s="1" t="str">
        <f t="shared" si="3"/>
        <v>Currently Unavailable</v>
      </c>
      <c r="I851" s="1" t="str">
        <f t="shared" si="4"/>
        <v>No Badges</v>
      </c>
      <c r="J851" s="3">
        <f t="shared" si="5"/>
        <v>0</v>
      </c>
    </row>
    <row r="852">
      <c r="A852" s="1" t="s">
        <v>768</v>
      </c>
      <c r="B852" s="3" t="str">
        <f t="shared" si="1"/>
        <v>Unavailable</v>
      </c>
      <c r="C852" s="3">
        <v>55.0</v>
      </c>
      <c r="D852" s="3">
        <f>IFERROR(__xludf.DUMMYFUNCTION("IFERROR(
IF(REGEXMATCH(LOWER(O852),""k""),
VALUE(REGEXEXTRACT(O852,""[0-9]+""))*1000,
VALUE(REGEXEXTRACT(O852,""[0-9]+""))
),
0
)"),0.0)</f>
        <v>0</v>
      </c>
      <c r="E852" s="1" t="s">
        <v>11</v>
      </c>
      <c r="F852" s="1" t="s">
        <v>20</v>
      </c>
      <c r="G852" s="4" t="b">
        <f t="shared" si="2"/>
        <v>1</v>
      </c>
      <c r="H852" s="1" t="str">
        <f t="shared" si="3"/>
        <v>Currently Unavailable</v>
      </c>
      <c r="I852" s="1" t="str">
        <f t="shared" si="4"/>
        <v>No Badges</v>
      </c>
      <c r="J852" s="3">
        <f t="shared" si="5"/>
        <v>0</v>
      </c>
    </row>
    <row r="853">
      <c r="A853" s="1" t="s">
        <v>769</v>
      </c>
      <c r="B853" s="3" t="str">
        <f t="shared" si="1"/>
        <v>Unavailable</v>
      </c>
      <c r="C853" s="3">
        <v>448.0</v>
      </c>
      <c r="D853" s="3">
        <f>IFERROR(__xludf.DUMMYFUNCTION("IFERROR(
IF(REGEXMATCH(LOWER(O853),""k""),
VALUE(REGEXEXTRACT(O853,""[0-9]+""))*1000,
VALUE(REGEXEXTRACT(O853,""[0-9]+""))
),
0
)"),0.0)</f>
        <v>0</v>
      </c>
      <c r="E853" s="1" t="s">
        <v>11</v>
      </c>
      <c r="F853" s="1" t="s">
        <v>20</v>
      </c>
      <c r="G853" s="4" t="b">
        <f t="shared" si="2"/>
        <v>1</v>
      </c>
      <c r="H853" s="1" t="str">
        <f t="shared" si="3"/>
        <v>Currently Unavailable</v>
      </c>
      <c r="I853" s="1" t="str">
        <f t="shared" si="4"/>
        <v>No Badges</v>
      </c>
      <c r="J853" s="3">
        <f t="shared" si="5"/>
        <v>0</v>
      </c>
    </row>
    <row r="854">
      <c r="A854" s="1" t="s">
        <v>769</v>
      </c>
      <c r="B854" s="3" t="str">
        <f t="shared" si="1"/>
        <v>Unavailable</v>
      </c>
      <c r="C854" s="3">
        <v>448.0</v>
      </c>
      <c r="D854" s="3">
        <f>IFERROR(__xludf.DUMMYFUNCTION("IFERROR(
IF(REGEXMATCH(LOWER(O854),""k""),
VALUE(REGEXEXTRACT(O854,""[0-9]+""))*1000,
VALUE(REGEXEXTRACT(O854,""[0-9]+""))
),
0
)"),0.0)</f>
        <v>0</v>
      </c>
      <c r="E854" s="1" t="s">
        <v>11</v>
      </c>
      <c r="F854" s="1" t="s">
        <v>20</v>
      </c>
      <c r="G854" s="4" t="b">
        <f t="shared" si="2"/>
        <v>1</v>
      </c>
      <c r="H854" s="1" t="str">
        <f t="shared" si="3"/>
        <v>Currently Unavailable</v>
      </c>
      <c r="I854" s="1" t="str">
        <f t="shared" si="4"/>
        <v>No Badges</v>
      </c>
      <c r="J854" s="3">
        <f t="shared" si="5"/>
        <v>0</v>
      </c>
    </row>
    <row r="855">
      <c r="A855" s="1" t="s">
        <v>624</v>
      </c>
      <c r="B855" s="3" t="str">
        <f t="shared" si="1"/>
        <v>Unavailable</v>
      </c>
      <c r="C855" s="3">
        <v>30.0</v>
      </c>
      <c r="D855" s="3">
        <f>IFERROR(__xludf.DUMMYFUNCTION("IFERROR(
IF(REGEXMATCH(LOWER(O855),""k""),
VALUE(REGEXEXTRACT(O855,""[0-9]+""))*1000,
VALUE(REGEXEXTRACT(O855,""[0-9]+""))
),
0
)"),0.0)</f>
        <v>0</v>
      </c>
      <c r="E855" s="1" t="s">
        <v>11</v>
      </c>
      <c r="F855" s="1" t="s">
        <v>20</v>
      </c>
      <c r="G855" s="4" t="b">
        <f t="shared" si="2"/>
        <v>1</v>
      </c>
      <c r="H855" s="1" t="str">
        <f t="shared" si="3"/>
        <v>Currently Unavailable</v>
      </c>
      <c r="I855" s="1" t="str">
        <f t="shared" si="4"/>
        <v>No Badges</v>
      </c>
      <c r="J855" s="3">
        <f t="shared" si="5"/>
        <v>0</v>
      </c>
    </row>
    <row r="856">
      <c r="A856" s="1" t="s">
        <v>770</v>
      </c>
      <c r="B856" s="3" t="str">
        <f t="shared" si="1"/>
        <v>Unavailable</v>
      </c>
      <c r="C856" s="3">
        <v>308.0</v>
      </c>
      <c r="D856" s="3">
        <f>IFERROR(__xludf.DUMMYFUNCTION("IFERROR(
IF(REGEXMATCH(LOWER(O856),""k""),
VALUE(REGEXEXTRACT(O856,""[0-9]+""))*1000,
VALUE(REGEXEXTRACT(O856,""[0-9]+""))
),
0
)"),0.0)</f>
        <v>0</v>
      </c>
      <c r="E856" s="1" t="s">
        <v>11</v>
      </c>
      <c r="F856" s="1" t="s">
        <v>20</v>
      </c>
      <c r="G856" s="4" t="b">
        <f t="shared" si="2"/>
        <v>1</v>
      </c>
      <c r="H856" s="1" t="str">
        <f t="shared" si="3"/>
        <v>Currently Unavailable</v>
      </c>
      <c r="I856" s="1" t="str">
        <f t="shared" si="4"/>
        <v>No Badges</v>
      </c>
      <c r="J856" s="3">
        <f t="shared" si="5"/>
        <v>0</v>
      </c>
    </row>
    <row r="857">
      <c r="A857" s="1" t="s">
        <v>736</v>
      </c>
      <c r="B857" s="3" t="str">
        <f t="shared" si="1"/>
        <v>Unavailable</v>
      </c>
      <c r="C857" s="3">
        <v>50.0</v>
      </c>
      <c r="D857" s="3">
        <f>IFERROR(__xludf.DUMMYFUNCTION("IFERROR(
IF(REGEXMATCH(LOWER(O857),""k""),
VALUE(REGEXEXTRACT(O857,""[0-9]+""))*1000,
VALUE(REGEXEXTRACT(O857,""[0-9]+""))
),
0
)"),0.0)</f>
        <v>0</v>
      </c>
      <c r="E857" s="1" t="s">
        <v>11</v>
      </c>
      <c r="F857" s="1" t="s">
        <v>20</v>
      </c>
      <c r="G857" s="4" t="b">
        <f t="shared" si="2"/>
        <v>1</v>
      </c>
      <c r="H857" s="1" t="str">
        <f t="shared" si="3"/>
        <v>Currently Unavailable</v>
      </c>
      <c r="I857" s="1" t="str">
        <f t="shared" si="4"/>
        <v>No Badges</v>
      </c>
      <c r="J857" s="3">
        <f t="shared" si="5"/>
        <v>0</v>
      </c>
    </row>
    <row r="858">
      <c r="A858" s="1" t="s">
        <v>771</v>
      </c>
      <c r="B858" s="3" t="str">
        <f t="shared" si="1"/>
        <v>Unavailable</v>
      </c>
      <c r="C858" s="3">
        <v>106.0</v>
      </c>
      <c r="D858" s="3">
        <f>IFERROR(__xludf.DUMMYFUNCTION("IFERROR(
IF(REGEXMATCH(LOWER(O858),""k""),
VALUE(REGEXEXTRACT(O858,""[0-9]+""))*1000,
VALUE(REGEXEXTRACT(O858,""[0-9]+""))
),
0
)"),0.0)</f>
        <v>0</v>
      </c>
      <c r="E858" s="1" t="s">
        <v>11</v>
      </c>
      <c r="F858" s="1" t="s">
        <v>20</v>
      </c>
      <c r="G858" s="4" t="b">
        <f t="shared" si="2"/>
        <v>1</v>
      </c>
      <c r="H858" s="1" t="str">
        <f t="shared" si="3"/>
        <v>Currently Unavailable</v>
      </c>
      <c r="I858" s="1" t="str">
        <f t="shared" si="4"/>
        <v>No Badges</v>
      </c>
      <c r="J858" s="3">
        <f t="shared" si="5"/>
        <v>0</v>
      </c>
    </row>
    <row r="859">
      <c r="A859" s="1" t="s">
        <v>662</v>
      </c>
      <c r="B859" s="3" t="str">
        <f t="shared" si="1"/>
        <v>Unavailable</v>
      </c>
      <c r="C859" s="5">
        <v>2324.0</v>
      </c>
      <c r="D859" s="3">
        <f>IFERROR(__xludf.DUMMYFUNCTION("IFERROR(
IF(REGEXMATCH(LOWER(O859),""k""),
VALUE(REGEXEXTRACT(O859,""[0-9]+""))*1000,
VALUE(REGEXEXTRACT(O859,""[0-9]+""))
),
0
)"),0.0)</f>
        <v>0</v>
      </c>
      <c r="E859" s="1" t="s">
        <v>11</v>
      </c>
      <c r="F859" s="1" t="s">
        <v>20</v>
      </c>
      <c r="G859" s="4" t="b">
        <f t="shared" si="2"/>
        <v>1</v>
      </c>
      <c r="H859" s="1" t="str">
        <f t="shared" si="3"/>
        <v>Currently Unavailable</v>
      </c>
      <c r="I859" s="1" t="str">
        <f t="shared" si="4"/>
        <v>No Badges</v>
      </c>
      <c r="J859" s="3">
        <f t="shared" si="5"/>
        <v>0</v>
      </c>
    </row>
    <row r="860">
      <c r="A860" s="1" t="s">
        <v>772</v>
      </c>
      <c r="B860" s="3" t="str">
        <f t="shared" si="1"/>
        <v>Unavailable</v>
      </c>
      <c r="C860" s="3">
        <v>91.0</v>
      </c>
      <c r="D860" s="3">
        <f>IFERROR(__xludf.DUMMYFUNCTION("IFERROR(
IF(REGEXMATCH(LOWER(O860),""k""),
VALUE(REGEXEXTRACT(O860,""[0-9]+""))*1000,
VALUE(REGEXEXTRACT(O860,""[0-9]+""))
),
0
)"),0.0)</f>
        <v>0</v>
      </c>
      <c r="E860" s="1" t="s">
        <v>11</v>
      </c>
      <c r="F860" s="1" t="s">
        <v>20</v>
      </c>
      <c r="G860" s="4" t="b">
        <f t="shared" si="2"/>
        <v>1</v>
      </c>
      <c r="H860" s="1" t="str">
        <f t="shared" si="3"/>
        <v>Currently Unavailable</v>
      </c>
      <c r="I860" s="1" t="str">
        <f t="shared" si="4"/>
        <v>No Badges</v>
      </c>
      <c r="J860" s="3">
        <f t="shared" si="5"/>
        <v>0</v>
      </c>
    </row>
    <row r="861">
      <c r="A861" s="1" t="s">
        <v>773</v>
      </c>
      <c r="B861" s="3" t="str">
        <f t="shared" si="1"/>
        <v>Unavailable</v>
      </c>
      <c r="C861" s="3">
        <v>27.0</v>
      </c>
      <c r="D861" s="3">
        <f>IFERROR(__xludf.DUMMYFUNCTION("IFERROR(
IF(REGEXMATCH(LOWER(O861),""k""),
VALUE(REGEXEXTRACT(O861,""[0-9]+""))*1000,
VALUE(REGEXEXTRACT(O861,""[0-9]+""))
),
0
)"),0.0)</f>
        <v>0</v>
      </c>
      <c r="E861" s="1" t="s">
        <v>11</v>
      </c>
      <c r="F861" s="1" t="s">
        <v>20</v>
      </c>
      <c r="G861" s="4" t="b">
        <f t="shared" si="2"/>
        <v>1</v>
      </c>
      <c r="H861" s="1" t="str">
        <f t="shared" si="3"/>
        <v>Currently Unavailable</v>
      </c>
      <c r="I861" s="1" t="str">
        <f t="shared" si="4"/>
        <v>No Badges</v>
      </c>
      <c r="J861" s="3">
        <f t="shared" si="5"/>
        <v>0</v>
      </c>
    </row>
    <row r="862">
      <c r="A862" s="1" t="s">
        <v>774</v>
      </c>
      <c r="B862" s="3" t="str">
        <f t="shared" si="1"/>
        <v>Unavailable</v>
      </c>
      <c r="C862" s="3">
        <v>157.0</v>
      </c>
      <c r="D862" s="3">
        <f>IFERROR(__xludf.DUMMYFUNCTION("IFERROR(
IF(REGEXMATCH(LOWER(O862),""k""),
VALUE(REGEXEXTRACT(O862,""[0-9]+""))*1000,
VALUE(REGEXEXTRACT(O862,""[0-9]+""))
),
0
)"),0.0)</f>
        <v>0</v>
      </c>
      <c r="E862" s="1" t="s">
        <v>11</v>
      </c>
      <c r="F862" s="1" t="s">
        <v>20</v>
      </c>
      <c r="G862" s="4" t="b">
        <f t="shared" si="2"/>
        <v>1</v>
      </c>
      <c r="H862" s="1" t="str">
        <f t="shared" si="3"/>
        <v>Currently Unavailable</v>
      </c>
      <c r="I862" s="1" t="str">
        <f t="shared" si="4"/>
        <v>No Badges</v>
      </c>
      <c r="J862" s="3">
        <f t="shared" si="5"/>
        <v>0</v>
      </c>
    </row>
    <row r="863">
      <c r="A863" s="1" t="s">
        <v>775</v>
      </c>
      <c r="B863" s="3" t="str">
        <f t="shared" si="1"/>
        <v>Unavailable</v>
      </c>
      <c r="C863" s="3">
        <v>879.0</v>
      </c>
      <c r="D863" s="3">
        <f>IFERROR(__xludf.DUMMYFUNCTION("IFERROR(
IF(REGEXMATCH(LOWER(O863),""k""),
VALUE(REGEXEXTRACT(O863,""[0-9]+""))*1000,
VALUE(REGEXEXTRACT(O863,""[0-9]+""))
),
0
)"),0.0)</f>
        <v>0</v>
      </c>
      <c r="E863" s="1" t="s">
        <v>11</v>
      </c>
      <c r="F863" s="1" t="s">
        <v>20</v>
      </c>
      <c r="G863" s="4" t="b">
        <f t="shared" si="2"/>
        <v>1</v>
      </c>
      <c r="H863" s="1" t="str">
        <f t="shared" si="3"/>
        <v>Currently Unavailable</v>
      </c>
      <c r="I863" s="1" t="str">
        <f t="shared" si="4"/>
        <v>No Badges</v>
      </c>
      <c r="J863" s="3">
        <f t="shared" si="5"/>
        <v>0</v>
      </c>
    </row>
    <row r="864">
      <c r="A864" s="1" t="s">
        <v>776</v>
      </c>
      <c r="B864" s="3" t="str">
        <f t="shared" si="1"/>
        <v>Unavailable</v>
      </c>
      <c r="C864" s="5">
        <v>1564.0</v>
      </c>
      <c r="D864" s="3">
        <f>IFERROR(__xludf.DUMMYFUNCTION("IFERROR(
IF(REGEXMATCH(LOWER(O864),""k""),
VALUE(REGEXEXTRACT(O864,""[0-9]+""))*1000,
VALUE(REGEXEXTRACT(O864,""[0-9]+""))
),
0
)"),0.0)</f>
        <v>0</v>
      </c>
      <c r="E864" s="1" t="s">
        <v>11</v>
      </c>
      <c r="F864" s="1" t="s">
        <v>20</v>
      </c>
      <c r="G864" s="4" t="b">
        <f t="shared" si="2"/>
        <v>1</v>
      </c>
      <c r="H864" s="1" t="str">
        <f t="shared" si="3"/>
        <v>Currently Unavailable</v>
      </c>
      <c r="I864" s="1" t="str">
        <f t="shared" si="4"/>
        <v>No Badges</v>
      </c>
      <c r="J864" s="3">
        <f t="shared" si="5"/>
        <v>0</v>
      </c>
    </row>
    <row r="865">
      <c r="A865" s="1" t="s">
        <v>522</v>
      </c>
      <c r="B865" s="3" t="str">
        <f t="shared" si="1"/>
        <v>Unavailable</v>
      </c>
      <c r="C865" s="3">
        <v>196.0</v>
      </c>
      <c r="D865" s="3">
        <f>IFERROR(__xludf.DUMMYFUNCTION("IFERROR(
IF(REGEXMATCH(LOWER(O865),""k""),
VALUE(REGEXEXTRACT(O865,""[0-9]+""))*1000,
VALUE(REGEXEXTRACT(O865,""[0-9]+""))
),
0
)"),0.0)</f>
        <v>0</v>
      </c>
      <c r="E865" s="1" t="s">
        <v>11</v>
      </c>
      <c r="F865" s="1" t="s">
        <v>20</v>
      </c>
      <c r="G865" s="4" t="b">
        <f t="shared" si="2"/>
        <v>1</v>
      </c>
      <c r="H865" s="1" t="str">
        <f t="shared" si="3"/>
        <v>Currently Unavailable</v>
      </c>
      <c r="I865" s="1" t="str">
        <f t="shared" si="4"/>
        <v>No Badges</v>
      </c>
      <c r="J865" s="3">
        <f t="shared" si="5"/>
        <v>0</v>
      </c>
    </row>
    <row r="866">
      <c r="A866" s="1" t="s">
        <v>682</v>
      </c>
      <c r="B866" s="3" t="str">
        <f t="shared" si="1"/>
        <v>Unavailable</v>
      </c>
      <c r="C866" s="3">
        <v>355.0</v>
      </c>
      <c r="D866" s="3">
        <f>IFERROR(__xludf.DUMMYFUNCTION("IFERROR(
IF(REGEXMATCH(LOWER(O866),""k""),
VALUE(REGEXEXTRACT(O866,""[0-9]+""))*1000,
VALUE(REGEXEXTRACT(O866,""[0-9]+""))
),
0
)"),0.0)</f>
        <v>0</v>
      </c>
      <c r="E866" s="1" t="s">
        <v>11</v>
      </c>
      <c r="F866" s="1" t="s">
        <v>20</v>
      </c>
      <c r="G866" s="4" t="b">
        <f t="shared" si="2"/>
        <v>1</v>
      </c>
      <c r="H866" s="1" t="str">
        <f t="shared" si="3"/>
        <v>Currently Unavailable</v>
      </c>
      <c r="I866" s="1" t="str">
        <f t="shared" si="4"/>
        <v>No Badges</v>
      </c>
      <c r="J866" s="3">
        <f t="shared" si="5"/>
        <v>0</v>
      </c>
    </row>
    <row r="867">
      <c r="A867" s="1" t="s">
        <v>777</v>
      </c>
      <c r="B867" s="3" t="str">
        <f t="shared" si="1"/>
        <v>Unavailable</v>
      </c>
      <c r="C867" s="3">
        <v>963.0</v>
      </c>
      <c r="D867" s="3">
        <f>IFERROR(__xludf.DUMMYFUNCTION("IFERROR(
IF(REGEXMATCH(LOWER(O867),""k""),
VALUE(REGEXEXTRACT(O867,""[0-9]+""))*1000,
VALUE(REGEXEXTRACT(O867,""[0-9]+""))
),
0
)"),0.0)</f>
        <v>0</v>
      </c>
      <c r="E867" s="1" t="s">
        <v>11</v>
      </c>
      <c r="F867" s="1" t="s">
        <v>20</v>
      </c>
      <c r="G867" s="4" t="b">
        <f t="shared" si="2"/>
        <v>1</v>
      </c>
      <c r="H867" s="1" t="str">
        <f t="shared" si="3"/>
        <v>Currently Unavailable</v>
      </c>
      <c r="I867" s="1" t="str">
        <f t="shared" si="4"/>
        <v>No Badges</v>
      </c>
      <c r="J867" s="3">
        <f t="shared" si="5"/>
        <v>0</v>
      </c>
    </row>
    <row r="868">
      <c r="A868" s="1" t="s">
        <v>778</v>
      </c>
      <c r="B868" s="3" t="str">
        <f t="shared" si="1"/>
        <v>Unavailable</v>
      </c>
      <c r="C868" s="3">
        <v>22.0</v>
      </c>
      <c r="D868" s="3">
        <f>IFERROR(__xludf.DUMMYFUNCTION("IFERROR(
IF(REGEXMATCH(LOWER(O868),""k""),
VALUE(REGEXEXTRACT(O868,""[0-9]+""))*1000,
VALUE(REGEXEXTRACT(O868,""[0-9]+""))
),
0
)"),0.0)</f>
        <v>0</v>
      </c>
      <c r="E868" s="1" t="s">
        <v>11</v>
      </c>
      <c r="F868" s="1" t="s">
        <v>20</v>
      </c>
      <c r="G868" s="4" t="b">
        <f t="shared" si="2"/>
        <v>1</v>
      </c>
      <c r="H868" s="1" t="str">
        <f t="shared" si="3"/>
        <v>Currently Unavailable</v>
      </c>
      <c r="I868" s="1" t="str">
        <f t="shared" si="4"/>
        <v>No Badges</v>
      </c>
      <c r="J868" s="3">
        <f t="shared" si="5"/>
        <v>0</v>
      </c>
    </row>
    <row r="869">
      <c r="A869" s="1" t="s">
        <v>88</v>
      </c>
      <c r="B869" s="3" t="str">
        <f t="shared" si="1"/>
        <v>Unavailable</v>
      </c>
      <c r="C869" s="3">
        <v>5.0</v>
      </c>
      <c r="D869" s="3">
        <f>IFERROR(__xludf.DUMMYFUNCTION("IFERROR(
IF(REGEXMATCH(LOWER(O869),""k""),
VALUE(REGEXEXTRACT(O869,""[0-9]+""))*1000,
VALUE(REGEXEXTRACT(O869,""[0-9]+""))
),
0
)"),0.0)</f>
        <v>0</v>
      </c>
      <c r="E869" s="1" t="s">
        <v>11</v>
      </c>
      <c r="F869" s="1" t="s">
        <v>12</v>
      </c>
      <c r="G869" s="4" t="b">
        <f t="shared" si="2"/>
        <v>1</v>
      </c>
      <c r="H869" s="1" t="str">
        <f t="shared" si="3"/>
        <v>Currently Unavailable</v>
      </c>
      <c r="I869" s="1" t="str">
        <f t="shared" si="4"/>
        <v>No Badges</v>
      </c>
      <c r="J869" s="3">
        <f t="shared" si="5"/>
        <v>0</v>
      </c>
    </row>
    <row r="870">
      <c r="A870" s="1" t="s">
        <v>69</v>
      </c>
      <c r="B870" s="3" t="str">
        <f t="shared" si="1"/>
        <v>Unavailable</v>
      </c>
      <c r="C870" s="3">
        <v>45.0</v>
      </c>
      <c r="D870" s="3">
        <f>IFERROR(__xludf.DUMMYFUNCTION("IFERROR(
IF(REGEXMATCH(LOWER(O870),""k""),
VALUE(REGEXEXTRACT(O870,""[0-9]+""))*1000,
VALUE(REGEXEXTRACT(O870,""[0-9]+""))
),
0
)"),0.0)</f>
        <v>0</v>
      </c>
      <c r="E870" s="1" t="s">
        <v>11</v>
      </c>
      <c r="F870" s="1" t="s">
        <v>12</v>
      </c>
      <c r="G870" s="4" t="b">
        <f t="shared" si="2"/>
        <v>1</v>
      </c>
      <c r="H870" s="1" t="str">
        <f t="shared" si="3"/>
        <v>Currently Unavailable</v>
      </c>
      <c r="I870" s="1" t="str">
        <f t="shared" si="4"/>
        <v>No Badges</v>
      </c>
      <c r="J870" s="3">
        <f t="shared" si="5"/>
        <v>0</v>
      </c>
    </row>
    <row r="871">
      <c r="A871" s="1" t="s">
        <v>67</v>
      </c>
      <c r="B871" s="3" t="str">
        <f t="shared" si="1"/>
        <v>Unavailable</v>
      </c>
      <c r="C871" s="3">
        <v>264.0</v>
      </c>
      <c r="D871" s="3">
        <f>IFERROR(__xludf.DUMMYFUNCTION("IFERROR(
IF(REGEXMATCH(LOWER(O871),""k""),
VALUE(REGEXEXTRACT(O871,""[0-9]+""))*1000,
VALUE(REGEXEXTRACT(O871,""[0-9]+""))
),
0
)"),0.0)</f>
        <v>0</v>
      </c>
      <c r="E871" s="1" t="s">
        <v>11</v>
      </c>
      <c r="F871" s="1" t="s">
        <v>12</v>
      </c>
      <c r="G871" s="4" t="b">
        <f t="shared" si="2"/>
        <v>1</v>
      </c>
      <c r="H871" s="1" t="str">
        <f t="shared" si="3"/>
        <v>Currently Unavailable</v>
      </c>
      <c r="I871" s="1" t="str">
        <f t="shared" si="4"/>
        <v>No Badges</v>
      </c>
      <c r="J871" s="3">
        <f t="shared" si="5"/>
        <v>0</v>
      </c>
    </row>
    <row r="872">
      <c r="A872" s="1" t="s">
        <v>681</v>
      </c>
      <c r="B872" s="3" t="str">
        <f t="shared" si="1"/>
        <v>Unavailable</v>
      </c>
      <c r="C872" s="3">
        <v>2.0</v>
      </c>
      <c r="D872" s="3">
        <f>IFERROR(__xludf.DUMMYFUNCTION("IFERROR(
IF(REGEXMATCH(LOWER(O872),""k""),
VALUE(REGEXEXTRACT(O872,""[0-9]+""))*1000,
VALUE(REGEXEXTRACT(O872,""[0-9]+""))
),
0
)"),0.0)</f>
        <v>0</v>
      </c>
      <c r="E872" s="1" t="s">
        <v>11</v>
      </c>
      <c r="F872" s="1" t="s">
        <v>20</v>
      </c>
      <c r="G872" s="4" t="b">
        <f t="shared" si="2"/>
        <v>1</v>
      </c>
      <c r="H872" s="1" t="str">
        <f t="shared" si="3"/>
        <v>Currently Unavailable</v>
      </c>
      <c r="I872" s="1" t="str">
        <f t="shared" si="4"/>
        <v>No Badges</v>
      </c>
      <c r="J872" s="3">
        <f t="shared" si="5"/>
        <v>0</v>
      </c>
    </row>
    <row r="873">
      <c r="A873" s="1" t="s">
        <v>779</v>
      </c>
      <c r="B873" s="3" t="str">
        <f t="shared" si="1"/>
        <v>Unavailable</v>
      </c>
      <c r="C873" s="3">
        <v>617.0</v>
      </c>
      <c r="D873" s="3">
        <f>IFERROR(__xludf.DUMMYFUNCTION("IFERROR(
IF(REGEXMATCH(LOWER(O873),""k""),
VALUE(REGEXEXTRACT(O873,""[0-9]+""))*1000,
VALUE(REGEXEXTRACT(O873,""[0-9]+""))
),
0
)"),0.0)</f>
        <v>0</v>
      </c>
      <c r="E873" s="1" t="s">
        <v>11</v>
      </c>
      <c r="F873" s="1" t="s">
        <v>20</v>
      </c>
      <c r="G873" s="4" t="b">
        <f t="shared" si="2"/>
        <v>1</v>
      </c>
      <c r="H873" s="1" t="str">
        <f t="shared" si="3"/>
        <v>Currently Unavailable</v>
      </c>
      <c r="I873" s="1" t="str">
        <f t="shared" si="4"/>
        <v>No Badges</v>
      </c>
      <c r="J873" s="3">
        <f t="shared" si="5"/>
        <v>0</v>
      </c>
    </row>
    <row r="874">
      <c r="A874" s="1" t="s">
        <v>69</v>
      </c>
      <c r="B874" s="3" t="str">
        <f t="shared" si="1"/>
        <v>Unavailable</v>
      </c>
      <c r="C874" s="3">
        <v>45.0</v>
      </c>
      <c r="D874" s="3">
        <f>IFERROR(__xludf.DUMMYFUNCTION("IFERROR(
IF(REGEXMATCH(LOWER(O874),""k""),
VALUE(REGEXEXTRACT(O874,""[0-9]+""))*1000,
VALUE(REGEXEXTRACT(O874,""[0-9]+""))
),
0
)"),0.0)</f>
        <v>0</v>
      </c>
      <c r="E874" s="1" t="s">
        <v>11</v>
      </c>
      <c r="F874" s="1" t="s">
        <v>12</v>
      </c>
      <c r="G874" s="4" t="b">
        <f t="shared" si="2"/>
        <v>1</v>
      </c>
      <c r="H874" s="1" t="str">
        <f t="shared" si="3"/>
        <v>Currently Unavailable</v>
      </c>
      <c r="I874" s="1" t="str">
        <f t="shared" si="4"/>
        <v>No Badges</v>
      </c>
      <c r="J874" s="3">
        <f t="shared" si="5"/>
        <v>0</v>
      </c>
    </row>
    <row r="875">
      <c r="A875" s="1" t="s">
        <v>563</v>
      </c>
      <c r="B875" s="3" t="str">
        <f t="shared" si="1"/>
        <v>Unavailable</v>
      </c>
      <c r="C875" s="3">
        <v>258.0</v>
      </c>
      <c r="D875" s="3">
        <f>IFERROR(__xludf.DUMMYFUNCTION("IFERROR(
IF(REGEXMATCH(LOWER(O875),""k""),
VALUE(REGEXEXTRACT(O875,""[0-9]+""))*1000,
VALUE(REGEXEXTRACT(O875,""[0-9]+""))
),
0
)"),0.0)</f>
        <v>0</v>
      </c>
      <c r="E875" s="1" t="s">
        <v>11</v>
      </c>
      <c r="F875" s="1" t="s">
        <v>20</v>
      </c>
      <c r="G875" s="4" t="b">
        <f t="shared" si="2"/>
        <v>1</v>
      </c>
      <c r="H875" s="1" t="str">
        <f t="shared" si="3"/>
        <v>Currently Unavailable</v>
      </c>
      <c r="I875" s="1" t="str">
        <f t="shared" si="4"/>
        <v>No Badges</v>
      </c>
      <c r="J875" s="3">
        <f t="shared" si="5"/>
        <v>0</v>
      </c>
    </row>
    <row r="876">
      <c r="A876" s="1" t="s">
        <v>708</v>
      </c>
      <c r="B876" s="3" t="str">
        <f t="shared" si="1"/>
        <v>Unavailable</v>
      </c>
      <c r="C876" s="5">
        <v>2026.0</v>
      </c>
      <c r="D876" s="3">
        <f>IFERROR(__xludf.DUMMYFUNCTION("IFERROR(
IF(REGEXMATCH(LOWER(O876),""k""),
VALUE(REGEXEXTRACT(O876,""[0-9]+""))*1000,
VALUE(REGEXEXTRACT(O876,""[0-9]+""))
),
0
)"),0.0)</f>
        <v>0</v>
      </c>
      <c r="E876" s="1" t="s">
        <v>11</v>
      </c>
      <c r="F876" s="1" t="s">
        <v>20</v>
      </c>
      <c r="G876" s="4" t="b">
        <f t="shared" si="2"/>
        <v>1</v>
      </c>
      <c r="H876" s="1" t="str">
        <f t="shared" si="3"/>
        <v>Currently Unavailable</v>
      </c>
      <c r="I876" s="1" t="str">
        <f t="shared" si="4"/>
        <v>No Badges</v>
      </c>
      <c r="J876" s="3">
        <f t="shared" si="5"/>
        <v>0</v>
      </c>
    </row>
    <row r="877">
      <c r="A877" s="1" t="s">
        <v>780</v>
      </c>
      <c r="B877" s="3" t="str">
        <f t="shared" si="1"/>
        <v>Unavailable</v>
      </c>
      <c r="C877" s="3">
        <v>18.0</v>
      </c>
      <c r="D877" s="3">
        <f>IFERROR(__xludf.DUMMYFUNCTION("IFERROR(
IF(REGEXMATCH(LOWER(O877),""k""),
VALUE(REGEXEXTRACT(O877,""[0-9]+""))*1000,
VALUE(REGEXEXTRACT(O877,""[0-9]+""))
),
0
)"),0.0)</f>
        <v>0</v>
      </c>
      <c r="E877" s="1" t="s">
        <v>11</v>
      </c>
      <c r="F877" s="1" t="s">
        <v>20</v>
      </c>
      <c r="G877" s="4" t="b">
        <f t="shared" si="2"/>
        <v>1</v>
      </c>
      <c r="H877" s="1" t="str">
        <f t="shared" si="3"/>
        <v>Currently Unavailable</v>
      </c>
      <c r="I877" s="1" t="str">
        <f t="shared" si="4"/>
        <v>No Badges</v>
      </c>
      <c r="J877" s="3">
        <f t="shared" si="5"/>
        <v>0</v>
      </c>
    </row>
    <row r="878">
      <c r="A878" s="1" t="s">
        <v>705</v>
      </c>
      <c r="B878" s="3" t="str">
        <f t="shared" si="1"/>
        <v>Unavailable</v>
      </c>
      <c r="C878" s="3">
        <v>988.0</v>
      </c>
      <c r="D878" s="3">
        <f>IFERROR(__xludf.DUMMYFUNCTION("IFERROR(
IF(REGEXMATCH(LOWER(O878),""k""),
VALUE(REGEXEXTRACT(O878,""[0-9]+""))*1000,
VALUE(REGEXEXTRACT(O878,""[0-9]+""))
),
0
)"),0.0)</f>
        <v>0</v>
      </c>
      <c r="E878" s="1" t="s">
        <v>11</v>
      </c>
      <c r="F878" s="1" t="s">
        <v>20</v>
      </c>
      <c r="G878" s="4" t="b">
        <f t="shared" si="2"/>
        <v>1</v>
      </c>
      <c r="H878" s="1" t="str">
        <f t="shared" si="3"/>
        <v>Currently Unavailable</v>
      </c>
      <c r="I878" s="1" t="str">
        <f t="shared" si="4"/>
        <v>No Badges</v>
      </c>
      <c r="J878" s="3">
        <f t="shared" si="5"/>
        <v>0</v>
      </c>
    </row>
    <row r="879">
      <c r="A879" s="1" t="s">
        <v>661</v>
      </c>
      <c r="B879" s="3" t="str">
        <f t="shared" si="1"/>
        <v>Unavailable</v>
      </c>
      <c r="C879" s="5">
        <v>2213.0</v>
      </c>
      <c r="D879" s="3">
        <f>IFERROR(__xludf.DUMMYFUNCTION("IFERROR(
IF(REGEXMATCH(LOWER(O879),""k""),
VALUE(REGEXEXTRACT(O879,""[0-9]+""))*1000,
VALUE(REGEXEXTRACT(O879,""[0-9]+""))
),
0
)"),0.0)</f>
        <v>0</v>
      </c>
      <c r="E879" s="1" t="s">
        <v>11</v>
      </c>
      <c r="F879" s="1" t="s">
        <v>20</v>
      </c>
      <c r="G879" s="4" t="b">
        <f t="shared" si="2"/>
        <v>1</v>
      </c>
      <c r="H879" s="1" t="str">
        <f t="shared" si="3"/>
        <v>Currently Unavailable</v>
      </c>
      <c r="I879" s="1" t="str">
        <f t="shared" si="4"/>
        <v>No Badges</v>
      </c>
      <c r="J879" s="3">
        <f t="shared" si="5"/>
        <v>0</v>
      </c>
    </row>
    <row r="880">
      <c r="A880" s="1" t="s">
        <v>781</v>
      </c>
      <c r="B880" s="3" t="str">
        <f t="shared" si="1"/>
        <v>Unavailable</v>
      </c>
      <c r="C880" s="5">
        <v>1189.0</v>
      </c>
      <c r="D880" s="3">
        <f>IFERROR(__xludf.DUMMYFUNCTION("IFERROR(
IF(REGEXMATCH(LOWER(O880),""k""),
VALUE(REGEXEXTRACT(O880,""[0-9]+""))*1000,
VALUE(REGEXEXTRACT(O880,""[0-9]+""))
),
0
)"),0.0)</f>
        <v>0</v>
      </c>
      <c r="E880" s="1" t="s">
        <v>11</v>
      </c>
      <c r="F880" s="1" t="s">
        <v>20</v>
      </c>
      <c r="G880" s="4" t="b">
        <f t="shared" si="2"/>
        <v>1</v>
      </c>
      <c r="H880" s="1" t="str">
        <f t="shared" si="3"/>
        <v>Currently Unavailable</v>
      </c>
      <c r="I880" s="1" t="str">
        <f t="shared" si="4"/>
        <v>No Badges</v>
      </c>
      <c r="J880" s="3">
        <f t="shared" si="5"/>
        <v>0</v>
      </c>
    </row>
    <row r="881">
      <c r="A881" s="1" t="s">
        <v>782</v>
      </c>
      <c r="B881" s="3" t="str">
        <f t="shared" si="1"/>
        <v>Unavailable</v>
      </c>
      <c r="C881" s="3">
        <v>117.0</v>
      </c>
      <c r="D881" s="3">
        <f>IFERROR(__xludf.DUMMYFUNCTION("IFERROR(
IF(REGEXMATCH(LOWER(O881),""k""),
VALUE(REGEXEXTRACT(O881,""[0-9]+""))*1000,
VALUE(REGEXEXTRACT(O881,""[0-9]+""))
),
0
)"),0.0)</f>
        <v>0</v>
      </c>
      <c r="E881" s="1" t="s">
        <v>11</v>
      </c>
      <c r="F881" s="1" t="s">
        <v>20</v>
      </c>
      <c r="G881" s="4" t="b">
        <f t="shared" si="2"/>
        <v>1</v>
      </c>
      <c r="H881" s="1" t="str">
        <f t="shared" si="3"/>
        <v>Currently Unavailable</v>
      </c>
      <c r="I881" s="1" t="str">
        <f t="shared" si="4"/>
        <v>No Badges</v>
      </c>
      <c r="J881" s="3">
        <f t="shared" si="5"/>
        <v>0</v>
      </c>
    </row>
    <row r="882">
      <c r="A882" s="1" t="s">
        <v>783</v>
      </c>
      <c r="B882" s="3" t="str">
        <f t="shared" si="1"/>
        <v>Unavailable</v>
      </c>
      <c r="C882" s="3">
        <v>253.0</v>
      </c>
      <c r="D882" s="3">
        <f>IFERROR(__xludf.DUMMYFUNCTION("IFERROR(
IF(REGEXMATCH(LOWER(O882),""k""),
VALUE(REGEXEXTRACT(O882,""[0-9]+""))*1000,
VALUE(REGEXEXTRACT(O882,""[0-9]+""))
),
0
)"),0.0)</f>
        <v>0</v>
      </c>
      <c r="E882" s="1" t="s">
        <v>11</v>
      </c>
      <c r="F882" s="1" t="s">
        <v>20</v>
      </c>
      <c r="G882" s="4" t="b">
        <f t="shared" si="2"/>
        <v>1</v>
      </c>
      <c r="H882" s="1" t="str">
        <f t="shared" si="3"/>
        <v>Currently Unavailable</v>
      </c>
      <c r="I882" s="1" t="str">
        <f t="shared" si="4"/>
        <v>No Badges</v>
      </c>
      <c r="J882" s="3">
        <f t="shared" si="5"/>
        <v>0</v>
      </c>
    </row>
    <row r="883">
      <c r="A883" s="1" t="s">
        <v>784</v>
      </c>
      <c r="B883" s="3" t="str">
        <f t="shared" si="1"/>
        <v>Unavailable</v>
      </c>
      <c r="C883" s="3">
        <v>132.0</v>
      </c>
      <c r="D883" s="3">
        <f>IFERROR(__xludf.DUMMYFUNCTION("IFERROR(
IF(REGEXMATCH(LOWER(O883),""k""),
VALUE(REGEXEXTRACT(O883,""[0-9]+""))*1000,
VALUE(REGEXEXTRACT(O883,""[0-9]+""))
),
0
)"),0.0)</f>
        <v>0</v>
      </c>
      <c r="E883" s="1" t="s">
        <v>11</v>
      </c>
      <c r="F883" s="1" t="s">
        <v>20</v>
      </c>
      <c r="G883" s="4" t="b">
        <f t="shared" si="2"/>
        <v>1</v>
      </c>
      <c r="H883" s="1" t="str">
        <f t="shared" si="3"/>
        <v>Currently Unavailable</v>
      </c>
      <c r="I883" s="1" t="str">
        <f t="shared" si="4"/>
        <v>No Badges</v>
      </c>
      <c r="J883" s="3">
        <f t="shared" si="5"/>
        <v>0</v>
      </c>
    </row>
    <row r="884">
      <c r="A884" s="1" t="s">
        <v>785</v>
      </c>
      <c r="B884" s="3" t="str">
        <f t="shared" si="1"/>
        <v>Unavailable</v>
      </c>
      <c r="C884" s="3">
        <v>157.0</v>
      </c>
      <c r="D884" s="3">
        <f>IFERROR(__xludf.DUMMYFUNCTION("IFERROR(
IF(REGEXMATCH(LOWER(O884),""k""),
VALUE(REGEXEXTRACT(O884,""[0-9]+""))*1000,
VALUE(REGEXEXTRACT(O884,""[0-9]+""))
),
0
)"),0.0)</f>
        <v>0</v>
      </c>
      <c r="E884" s="1" t="s">
        <v>11</v>
      </c>
      <c r="F884" s="1" t="s">
        <v>20</v>
      </c>
      <c r="G884" s="4" t="b">
        <f t="shared" si="2"/>
        <v>1</v>
      </c>
      <c r="H884" s="1" t="str">
        <f t="shared" si="3"/>
        <v>Currently Unavailable</v>
      </c>
      <c r="I884" s="1" t="str">
        <f t="shared" si="4"/>
        <v>No Badges</v>
      </c>
      <c r="J884" s="3">
        <f t="shared" si="5"/>
        <v>0</v>
      </c>
    </row>
    <row r="885">
      <c r="A885" s="1" t="s">
        <v>786</v>
      </c>
      <c r="B885" s="3" t="str">
        <f t="shared" si="1"/>
        <v>Unavailable</v>
      </c>
      <c r="C885" s="3">
        <v>1.0</v>
      </c>
      <c r="D885" s="3">
        <f>IFERROR(__xludf.DUMMYFUNCTION("IFERROR(
IF(REGEXMATCH(LOWER(O885),""k""),
VALUE(REGEXEXTRACT(O885,""[0-9]+""))*1000,
VALUE(REGEXEXTRACT(O885,""[0-9]+""))
),
0
)"),0.0)</f>
        <v>0</v>
      </c>
      <c r="E885" s="1" t="s">
        <v>11</v>
      </c>
      <c r="F885" s="1" t="s">
        <v>20</v>
      </c>
      <c r="G885" s="4" t="b">
        <f t="shared" si="2"/>
        <v>1</v>
      </c>
      <c r="H885" s="1" t="str">
        <f t="shared" si="3"/>
        <v>Currently Unavailable</v>
      </c>
      <c r="I885" s="1" t="str">
        <f t="shared" si="4"/>
        <v>No Badges</v>
      </c>
      <c r="J885" s="3">
        <f t="shared" si="5"/>
        <v>0</v>
      </c>
    </row>
    <row r="886">
      <c r="A886" s="1" t="s">
        <v>787</v>
      </c>
      <c r="B886" s="3" t="str">
        <f t="shared" si="1"/>
        <v>Unavailable</v>
      </c>
      <c r="C886" s="3">
        <v>965.0</v>
      </c>
      <c r="D886" s="3">
        <f>IFERROR(__xludf.DUMMYFUNCTION("IFERROR(
IF(REGEXMATCH(LOWER(O886),""k""),
VALUE(REGEXEXTRACT(O886,""[0-9]+""))*1000,
VALUE(REGEXEXTRACT(O886,""[0-9]+""))
),
0
)"),0.0)</f>
        <v>0</v>
      </c>
      <c r="E886" s="1" t="s">
        <v>11</v>
      </c>
      <c r="F886" s="1" t="s">
        <v>20</v>
      </c>
      <c r="G886" s="4" t="b">
        <f t="shared" si="2"/>
        <v>1</v>
      </c>
      <c r="H886" s="1" t="str">
        <f t="shared" si="3"/>
        <v>Currently Unavailable</v>
      </c>
      <c r="I886" s="1" t="str">
        <f t="shared" si="4"/>
        <v>No Badges</v>
      </c>
      <c r="J886" s="3">
        <f t="shared" si="5"/>
        <v>0</v>
      </c>
    </row>
    <row r="887">
      <c r="A887" s="1" t="s">
        <v>67</v>
      </c>
      <c r="B887" s="3" t="str">
        <f t="shared" si="1"/>
        <v>Unavailable</v>
      </c>
      <c r="C887" s="3">
        <v>264.0</v>
      </c>
      <c r="D887" s="3">
        <f>IFERROR(__xludf.DUMMYFUNCTION("IFERROR(
IF(REGEXMATCH(LOWER(O887),""k""),
VALUE(REGEXEXTRACT(O887,""[0-9]+""))*1000,
VALUE(REGEXEXTRACT(O887,""[0-9]+""))
),
0
)"),0.0)</f>
        <v>0</v>
      </c>
      <c r="E887" s="1" t="s">
        <v>11</v>
      </c>
      <c r="F887" s="1" t="s">
        <v>12</v>
      </c>
      <c r="G887" s="4" t="b">
        <f t="shared" si="2"/>
        <v>1</v>
      </c>
      <c r="H887" s="1" t="str">
        <f t="shared" si="3"/>
        <v>Currently Unavailable</v>
      </c>
      <c r="I887" s="1" t="str">
        <f t="shared" si="4"/>
        <v>No Badges</v>
      </c>
      <c r="J887" s="3">
        <f t="shared" si="5"/>
        <v>0</v>
      </c>
    </row>
    <row r="888">
      <c r="A888" s="1" t="s">
        <v>788</v>
      </c>
      <c r="B888" s="3" t="str">
        <f t="shared" si="1"/>
        <v>Unavailable</v>
      </c>
      <c r="C888" s="3">
        <v>104.0</v>
      </c>
      <c r="D888" s="3">
        <f>IFERROR(__xludf.DUMMYFUNCTION("IFERROR(
IF(REGEXMATCH(LOWER(O888),""k""),
VALUE(REGEXEXTRACT(O888,""[0-9]+""))*1000,
VALUE(REGEXEXTRACT(O888,""[0-9]+""))
),
0
)"),0.0)</f>
        <v>0</v>
      </c>
      <c r="E888" s="1" t="s">
        <v>11</v>
      </c>
      <c r="F888" s="1" t="s">
        <v>20</v>
      </c>
      <c r="G888" s="4" t="b">
        <f t="shared" si="2"/>
        <v>1</v>
      </c>
      <c r="H888" s="1" t="str">
        <f t="shared" si="3"/>
        <v>Currently Unavailable</v>
      </c>
      <c r="I888" s="1" t="str">
        <f t="shared" si="4"/>
        <v>No Badges</v>
      </c>
      <c r="J888" s="3">
        <f t="shared" si="5"/>
        <v>0</v>
      </c>
    </row>
    <row r="889">
      <c r="A889" s="1" t="s">
        <v>701</v>
      </c>
      <c r="B889" s="3" t="str">
        <f t="shared" si="1"/>
        <v>Unavailable</v>
      </c>
      <c r="C889" s="3">
        <v>8.0</v>
      </c>
      <c r="D889" s="3">
        <f>IFERROR(__xludf.DUMMYFUNCTION("IFERROR(
IF(REGEXMATCH(LOWER(O889),""k""),
VALUE(REGEXEXTRACT(O889,""[0-9]+""))*1000,
VALUE(REGEXEXTRACT(O889,""[0-9]+""))
),
0
)"),0.0)</f>
        <v>0</v>
      </c>
      <c r="E889" s="1" t="s">
        <v>11</v>
      </c>
      <c r="F889" s="1" t="s">
        <v>12</v>
      </c>
      <c r="G889" s="4" t="b">
        <f t="shared" si="2"/>
        <v>1</v>
      </c>
      <c r="H889" s="1" t="str">
        <f t="shared" si="3"/>
        <v>Currently Unavailable</v>
      </c>
      <c r="I889" s="1" t="str">
        <f t="shared" si="4"/>
        <v>No Badges</v>
      </c>
      <c r="J889" s="3">
        <f t="shared" si="5"/>
        <v>0</v>
      </c>
    </row>
    <row r="890">
      <c r="A890" s="1" t="s">
        <v>789</v>
      </c>
      <c r="B890" s="3" t="str">
        <f t="shared" si="1"/>
        <v>Unavailable</v>
      </c>
      <c r="C890" s="3">
        <v>25.0</v>
      </c>
      <c r="D890" s="3">
        <f>IFERROR(__xludf.DUMMYFUNCTION("IFERROR(
IF(REGEXMATCH(LOWER(O890),""k""),
VALUE(REGEXEXTRACT(O890,""[0-9]+""))*1000,
VALUE(REGEXEXTRACT(O890,""[0-9]+""))
),
0
)"),0.0)</f>
        <v>0</v>
      </c>
      <c r="E890" s="1" t="s">
        <v>11</v>
      </c>
      <c r="F890" s="1" t="s">
        <v>20</v>
      </c>
      <c r="G890" s="4" t="b">
        <f t="shared" si="2"/>
        <v>1</v>
      </c>
      <c r="H890" s="1" t="str">
        <f t="shared" si="3"/>
        <v>Currently Unavailable</v>
      </c>
      <c r="I890" s="1" t="str">
        <f t="shared" si="4"/>
        <v>No Badges</v>
      </c>
      <c r="J890" s="3">
        <f t="shared" si="5"/>
        <v>0</v>
      </c>
    </row>
    <row r="891">
      <c r="A891" s="1" t="s">
        <v>790</v>
      </c>
      <c r="B891" s="3" t="str">
        <f t="shared" si="1"/>
        <v>Unavailable</v>
      </c>
      <c r="C891" s="5">
        <v>1028.0</v>
      </c>
      <c r="D891" s="3">
        <f>IFERROR(__xludf.DUMMYFUNCTION("IFERROR(
IF(REGEXMATCH(LOWER(O891),""k""),
VALUE(REGEXEXTRACT(O891,""[0-9]+""))*1000,
VALUE(REGEXEXTRACT(O891,""[0-9]+""))
),
0
)"),0.0)</f>
        <v>0</v>
      </c>
      <c r="E891" s="1" t="s">
        <v>11</v>
      </c>
      <c r="F891" s="1" t="s">
        <v>20</v>
      </c>
      <c r="G891" s="4" t="b">
        <f t="shared" si="2"/>
        <v>1</v>
      </c>
      <c r="H891" s="1" t="str">
        <f t="shared" si="3"/>
        <v>Currently Unavailable</v>
      </c>
      <c r="I891" s="1" t="str">
        <f t="shared" si="4"/>
        <v>No Badges</v>
      </c>
      <c r="J891" s="3">
        <f t="shared" si="5"/>
        <v>0</v>
      </c>
    </row>
    <row r="892">
      <c r="A892" s="1" t="s">
        <v>632</v>
      </c>
      <c r="B892" s="3" t="str">
        <f t="shared" si="1"/>
        <v>Unavailable</v>
      </c>
      <c r="C892" s="3">
        <v>44.0</v>
      </c>
      <c r="D892" s="3">
        <f>IFERROR(__xludf.DUMMYFUNCTION("IFERROR(
IF(REGEXMATCH(LOWER(O892),""k""),
VALUE(REGEXEXTRACT(O892,""[0-9]+""))*1000,
VALUE(REGEXEXTRACT(O892,""[0-9]+""))
),
0
)"),0.0)</f>
        <v>0</v>
      </c>
      <c r="E892" s="1" t="s">
        <v>11</v>
      </c>
      <c r="F892" s="1" t="s">
        <v>20</v>
      </c>
      <c r="G892" s="4" t="b">
        <f t="shared" si="2"/>
        <v>1</v>
      </c>
      <c r="H892" s="1" t="str">
        <f t="shared" si="3"/>
        <v>Currently Unavailable</v>
      </c>
      <c r="I892" s="1" t="str">
        <f t="shared" si="4"/>
        <v>No Badges</v>
      </c>
      <c r="J892" s="3">
        <f t="shared" si="5"/>
        <v>0</v>
      </c>
    </row>
    <row r="893">
      <c r="A893" s="1" t="s">
        <v>791</v>
      </c>
      <c r="B893" s="3" t="str">
        <f t="shared" si="1"/>
        <v>Unavailable</v>
      </c>
      <c r="C893" s="3">
        <v>10.0</v>
      </c>
      <c r="D893" s="3">
        <f>IFERROR(__xludf.DUMMYFUNCTION("IFERROR(
IF(REGEXMATCH(LOWER(O893),""k""),
VALUE(REGEXEXTRACT(O893,""[0-9]+""))*1000,
VALUE(REGEXEXTRACT(O893,""[0-9]+""))
),
0
)"),0.0)</f>
        <v>0</v>
      </c>
      <c r="E893" s="1" t="s">
        <v>11</v>
      </c>
      <c r="F893" s="1" t="s">
        <v>20</v>
      </c>
      <c r="G893" s="4" t="b">
        <f t="shared" si="2"/>
        <v>1</v>
      </c>
      <c r="H893" s="1" t="str">
        <f t="shared" si="3"/>
        <v>Currently Unavailable</v>
      </c>
      <c r="I893" s="1" t="str">
        <f t="shared" si="4"/>
        <v>No Badges</v>
      </c>
      <c r="J893" s="3">
        <f t="shared" si="5"/>
        <v>0</v>
      </c>
    </row>
    <row r="894">
      <c r="A894" s="1" t="s">
        <v>653</v>
      </c>
      <c r="B894" s="3" t="str">
        <f t="shared" si="1"/>
        <v>Unavailable</v>
      </c>
      <c r="C894" s="3">
        <v>318.0</v>
      </c>
      <c r="D894" s="3">
        <f>IFERROR(__xludf.DUMMYFUNCTION("IFERROR(
IF(REGEXMATCH(LOWER(O894),""k""),
VALUE(REGEXEXTRACT(O894,""[0-9]+""))*1000,
VALUE(REGEXEXTRACT(O894,""[0-9]+""))
),
0
)"),0.0)</f>
        <v>0</v>
      </c>
      <c r="E894" s="1" t="s">
        <v>11</v>
      </c>
      <c r="F894" s="1" t="s">
        <v>20</v>
      </c>
      <c r="G894" s="4" t="b">
        <f t="shared" si="2"/>
        <v>1</v>
      </c>
      <c r="H894" s="1" t="str">
        <f t="shared" si="3"/>
        <v>Currently Unavailable</v>
      </c>
      <c r="I894" s="1" t="str">
        <f t="shared" si="4"/>
        <v>No Badges</v>
      </c>
      <c r="J894" s="3">
        <f t="shared" si="5"/>
        <v>0</v>
      </c>
    </row>
    <row r="895">
      <c r="A895" s="1" t="s">
        <v>792</v>
      </c>
      <c r="B895" s="3" t="str">
        <f t="shared" si="1"/>
        <v>Unavailable</v>
      </c>
      <c r="C895" s="5">
        <v>2055.0</v>
      </c>
      <c r="D895" s="3">
        <f>IFERROR(__xludf.DUMMYFUNCTION("IFERROR(
IF(REGEXMATCH(LOWER(O895),""k""),
VALUE(REGEXEXTRACT(O895,""[0-9]+""))*1000,
VALUE(REGEXEXTRACT(O895,""[0-9]+""))
),
0
)"),0.0)</f>
        <v>0</v>
      </c>
      <c r="E895" s="1" t="s">
        <v>11</v>
      </c>
      <c r="F895" s="1" t="s">
        <v>20</v>
      </c>
      <c r="G895" s="4" t="b">
        <f t="shared" si="2"/>
        <v>1</v>
      </c>
      <c r="H895" s="1" t="str">
        <f t="shared" si="3"/>
        <v>Currently Unavailable</v>
      </c>
      <c r="I895" s="1" t="str">
        <f t="shared" si="4"/>
        <v>No Badges</v>
      </c>
      <c r="J895" s="3">
        <f t="shared" si="5"/>
        <v>0</v>
      </c>
    </row>
    <row r="896">
      <c r="A896" s="1" t="s">
        <v>793</v>
      </c>
      <c r="B896" s="3" t="str">
        <f t="shared" si="1"/>
        <v>Unavailable</v>
      </c>
      <c r="C896" s="3">
        <v>268.0</v>
      </c>
      <c r="D896" s="3">
        <f>IFERROR(__xludf.DUMMYFUNCTION("IFERROR(
IF(REGEXMATCH(LOWER(O896),""k""),
VALUE(REGEXEXTRACT(O896,""[0-9]+""))*1000,
VALUE(REGEXEXTRACT(O896,""[0-9]+""))
),
0
)"),0.0)</f>
        <v>0</v>
      </c>
      <c r="E896" s="1" t="s">
        <v>11</v>
      </c>
      <c r="F896" s="1" t="s">
        <v>20</v>
      </c>
      <c r="G896" s="4" t="b">
        <f t="shared" si="2"/>
        <v>1</v>
      </c>
      <c r="H896" s="1" t="str">
        <f t="shared" si="3"/>
        <v>Currently Unavailable</v>
      </c>
      <c r="I896" s="1" t="str">
        <f t="shared" si="4"/>
        <v>No Badges</v>
      </c>
      <c r="J896" s="3">
        <f t="shared" si="5"/>
        <v>0</v>
      </c>
    </row>
    <row r="897">
      <c r="A897" s="1" t="s">
        <v>794</v>
      </c>
      <c r="B897" s="3" t="str">
        <f t="shared" si="1"/>
        <v>Unavailable</v>
      </c>
      <c r="C897" s="3">
        <v>151.0</v>
      </c>
      <c r="D897" s="3">
        <f>IFERROR(__xludf.DUMMYFUNCTION("IFERROR(
IF(REGEXMATCH(LOWER(O897),""k""),
VALUE(REGEXEXTRACT(O897,""[0-9]+""))*1000,
VALUE(REGEXEXTRACT(O897,""[0-9]+""))
),
0
)"),0.0)</f>
        <v>0</v>
      </c>
      <c r="E897" s="1" t="s">
        <v>11</v>
      </c>
      <c r="F897" s="1" t="s">
        <v>20</v>
      </c>
      <c r="G897" s="4" t="b">
        <f t="shared" si="2"/>
        <v>1</v>
      </c>
      <c r="H897" s="1" t="str">
        <f t="shared" si="3"/>
        <v>Currently Unavailable</v>
      </c>
      <c r="I897" s="1" t="str">
        <f t="shared" si="4"/>
        <v>No Badges</v>
      </c>
      <c r="J897" s="3">
        <f t="shared" si="5"/>
        <v>0</v>
      </c>
    </row>
    <row r="898">
      <c r="A898" s="1" t="s">
        <v>795</v>
      </c>
      <c r="B898" s="3" t="str">
        <f t="shared" si="1"/>
        <v>Unavailable</v>
      </c>
      <c r="C898" s="5">
        <v>4729.0</v>
      </c>
      <c r="D898" s="3">
        <f>IFERROR(__xludf.DUMMYFUNCTION("IFERROR(
IF(REGEXMATCH(LOWER(O898),""k""),
VALUE(REGEXEXTRACT(O898,""[0-9]+""))*1000,
VALUE(REGEXEXTRACT(O898,""[0-9]+""))
),
0
)"),0.0)</f>
        <v>0</v>
      </c>
      <c r="E898" s="1" t="s">
        <v>11</v>
      </c>
      <c r="F898" s="1" t="s">
        <v>20</v>
      </c>
      <c r="G898" s="4" t="b">
        <f t="shared" si="2"/>
        <v>1</v>
      </c>
      <c r="H898" s="1" t="str">
        <f t="shared" si="3"/>
        <v>Currently Unavailable</v>
      </c>
      <c r="I898" s="1" t="str">
        <f t="shared" si="4"/>
        <v>No Badges</v>
      </c>
      <c r="J898" s="3">
        <f t="shared" si="5"/>
        <v>0</v>
      </c>
    </row>
    <row r="899">
      <c r="A899" s="1" t="s">
        <v>796</v>
      </c>
      <c r="B899" s="3" t="str">
        <f t="shared" si="1"/>
        <v>Unavailable</v>
      </c>
      <c r="C899" s="3">
        <v>755.0</v>
      </c>
      <c r="D899" s="3">
        <f>IFERROR(__xludf.DUMMYFUNCTION("IFERROR(
IF(REGEXMATCH(LOWER(O899),""k""),
VALUE(REGEXEXTRACT(O899,""[0-9]+""))*1000,
VALUE(REGEXEXTRACT(O899,""[0-9]+""))
),
0
)"),0.0)</f>
        <v>0</v>
      </c>
      <c r="E899" s="1" t="s">
        <v>11</v>
      </c>
      <c r="F899" s="1" t="s">
        <v>20</v>
      </c>
      <c r="G899" s="4" t="b">
        <f t="shared" si="2"/>
        <v>1</v>
      </c>
      <c r="H899" s="1" t="str">
        <f t="shared" si="3"/>
        <v>Currently Unavailable</v>
      </c>
      <c r="I899" s="1" t="str">
        <f t="shared" si="4"/>
        <v>No Badges</v>
      </c>
      <c r="J899" s="3">
        <f t="shared" si="5"/>
        <v>0</v>
      </c>
    </row>
    <row r="900">
      <c r="A900" s="1" t="s">
        <v>797</v>
      </c>
      <c r="B900" s="3" t="str">
        <f t="shared" si="1"/>
        <v>Unavailable</v>
      </c>
      <c r="C900" s="5">
        <v>3865.0</v>
      </c>
      <c r="D900" s="3">
        <f>IFERROR(__xludf.DUMMYFUNCTION("IFERROR(
IF(REGEXMATCH(LOWER(O900),""k""),
VALUE(REGEXEXTRACT(O900,""[0-9]+""))*1000,
VALUE(REGEXEXTRACT(O900,""[0-9]+""))
),
0
)"),0.0)</f>
        <v>0</v>
      </c>
      <c r="E900" s="1" t="s">
        <v>11</v>
      </c>
      <c r="F900" s="1" t="s">
        <v>20</v>
      </c>
      <c r="G900" s="4" t="b">
        <f t="shared" si="2"/>
        <v>1</v>
      </c>
      <c r="H900" s="1" t="str">
        <f t="shared" si="3"/>
        <v>Currently Unavailable</v>
      </c>
      <c r="I900" s="1" t="str">
        <f t="shared" si="4"/>
        <v>No Badges</v>
      </c>
      <c r="J900" s="3">
        <f t="shared" si="5"/>
        <v>0</v>
      </c>
    </row>
    <row r="901">
      <c r="A901" s="1" t="s">
        <v>798</v>
      </c>
      <c r="B901" s="3" t="str">
        <f t="shared" si="1"/>
        <v>Unavailable</v>
      </c>
      <c r="C901" s="3">
        <v>6.0</v>
      </c>
      <c r="D901" s="3">
        <f>IFERROR(__xludf.DUMMYFUNCTION("IFERROR(
IF(REGEXMATCH(LOWER(O901),""k""),
VALUE(REGEXEXTRACT(O901,""[0-9]+""))*1000,
VALUE(REGEXEXTRACT(O901,""[0-9]+""))
),
0
)"),0.0)</f>
        <v>0</v>
      </c>
      <c r="E901" s="1" t="s">
        <v>11</v>
      </c>
      <c r="F901" s="1" t="s">
        <v>20</v>
      </c>
      <c r="G901" s="4" t="b">
        <f t="shared" si="2"/>
        <v>1</v>
      </c>
      <c r="H901" s="1" t="str">
        <f t="shared" si="3"/>
        <v>Currently Unavailable</v>
      </c>
      <c r="I901" s="1" t="str">
        <f t="shared" si="4"/>
        <v>No Badges</v>
      </c>
      <c r="J901" s="3">
        <f t="shared" si="5"/>
        <v>0</v>
      </c>
    </row>
    <row r="902">
      <c r="A902" s="1" t="s">
        <v>799</v>
      </c>
      <c r="B902" s="3" t="str">
        <f t="shared" si="1"/>
        <v>Unavailable</v>
      </c>
      <c r="C902" s="3">
        <v>101.0</v>
      </c>
      <c r="D902" s="3">
        <f>IFERROR(__xludf.DUMMYFUNCTION("IFERROR(
IF(REGEXMATCH(LOWER(O902),""k""),
VALUE(REGEXEXTRACT(O902,""[0-9]+""))*1000,
VALUE(REGEXEXTRACT(O902,""[0-9]+""))
),
0
)"),0.0)</f>
        <v>0</v>
      </c>
      <c r="E902" s="1" t="s">
        <v>11</v>
      </c>
      <c r="F902" s="1" t="s">
        <v>20</v>
      </c>
      <c r="G902" s="4" t="b">
        <f t="shared" si="2"/>
        <v>1</v>
      </c>
      <c r="H902" s="1" t="str">
        <f t="shared" si="3"/>
        <v>Currently Unavailable</v>
      </c>
      <c r="I902" s="1" t="str">
        <f t="shared" si="4"/>
        <v>No Badges</v>
      </c>
      <c r="J902" s="3">
        <f t="shared" si="5"/>
        <v>0</v>
      </c>
    </row>
    <row r="903">
      <c r="A903" s="1" t="s">
        <v>800</v>
      </c>
      <c r="B903" s="3" t="str">
        <f t="shared" si="1"/>
        <v>Unavailable</v>
      </c>
      <c r="C903" s="3">
        <v>374.0</v>
      </c>
      <c r="D903" s="3">
        <f>IFERROR(__xludf.DUMMYFUNCTION("IFERROR(
IF(REGEXMATCH(LOWER(O903),""k""),
VALUE(REGEXEXTRACT(O903,""[0-9]+""))*1000,
VALUE(REGEXEXTRACT(O903,""[0-9]+""))
),
0
)"),0.0)</f>
        <v>0</v>
      </c>
      <c r="E903" s="1" t="s">
        <v>11</v>
      </c>
      <c r="F903" s="1" t="s">
        <v>20</v>
      </c>
      <c r="G903" s="4" t="b">
        <f t="shared" si="2"/>
        <v>1</v>
      </c>
      <c r="H903" s="1" t="str">
        <f t="shared" si="3"/>
        <v>Currently Unavailable</v>
      </c>
      <c r="I903" s="1" t="str">
        <f t="shared" si="4"/>
        <v>No Badges</v>
      </c>
      <c r="J903" s="3">
        <f t="shared" si="5"/>
        <v>0</v>
      </c>
    </row>
    <row r="904">
      <c r="A904" s="1" t="s">
        <v>88</v>
      </c>
      <c r="B904" s="3" t="str">
        <f t="shared" si="1"/>
        <v>Unavailable</v>
      </c>
      <c r="C904" s="3">
        <v>5.0</v>
      </c>
      <c r="D904" s="3">
        <f>IFERROR(__xludf.DUMMYFUNCTION("IFERROR(
IF(REGEXMATCH(LOWER(O904),""k""),
VALUE(REGEXEXTRACT(O904,""[0-9]+""))*1000,
VALUE(REGEXEXTRACT(O904,""[0-9]+""))
),
0
)"),0.0)</f>
        <v>0</v>
      </c>
      <c r="E904" s="1" t="s">
        <v>11</v>
      </c>
      <c r="F904" s="1" t="s">
        <v>12</v>
      </c>
      <c r="G904" s="4" t="b">
        <f t="shared" si="2"/>
        <v>1</v>
      </c>
      <c r="H904" s="1" t="str">
        <f t="shared" si="3"/>
        <v>Currently Unavailable</v>
      </c>
      <c r="I904" s="1" t="str">
        <f t="shared" si="4"/>
        <v>No Badges</v>
      </c>
      <c r="J904" s="3">
        <f t="shared" si="5"/>
        <v>0</v>
      </c>
    </row>
    <row r="905">
      <c r="A905" s="1" t="s">
        <v>801</v>
      </c>
      <c r="B905" s="3" t="str">
        <f t="shared" si="1"/>
        <v>Unavailable</v>
      </c>
      <c r="C905" s="3">
        <v>28.0</v>
      </c>
      <c r="D905" s="3">
        <f>IFERROR(__xludf.DUMMYFUNCTION("IFERROR(
IF(REGEXMATCH(LOWER(O905),""k""),
VALUE(REGEXEXTRACT(O905,""[0-9]+""))*1000,
VALUE(REGEXEXTRACT(O905,""[0-9]+""))
),
0
)"),0.0)</f>
        <v>0</v>
      </c>
      <c r="E905" s="1" t="s">
        <v>11</v>
      </c>
      <c r="F905" s="1" t="s">
        <v>20</v>
      </c>
      <c r="G905" s="4" t="b">
        <f t="shared" si="2"/>
        <v>1</v>
      </c>
      <c r="H905" s="1" t="str">
        <f t="shared" si="3"/>
        <v>Currently Unavailable</v>
      </c>
      <c r="I905" s="1" t="str">
        <f t="shared" si="4"/>
        <v>No Badges</v>
      </c>
      <c r="J905" s="3">
        <f t="shared" si="5"/>
        <v>0</v>
      </c>
    </row>
    <row r="906">
      <c r="A906" s="1" t="s">
        <v>631</v>
      </c>
      <c r="B906" s="3" t="str">
        <f t="shared" si="1"/>
        <v>Unavailable</v>
      </c>
      <c r="C906" s="3">
        <v>59.0</v>
      </c>
      <c r="D906" s="3">
        <f>IFERROR(__xludf.DUMMYFUNCTION("IFERROR(
IF(REGEXMATCH(LOWER(O906),""k""),
VALUE(REGEXEXTRACT(O906,""[0-9]+""))*1000,
VALUE(REGEXEXTRACT(O906,""[0-9]+""))
),
0
)"),0.0)</f>
        <v>0</v>
      </c>
      <c r="E906" s="1" t="s">
        <v>11</v>
      </c>
      <c r="F906" s="1" t="s">
        <v>20</v>
      </c>
      <c r="G906" s="4" t="b">
        <f t="shared" si="2"/>
        <v>1</v>
      </c>
      <c r="H906" s="1" t="str">
        <f t="shared" si="3"/>
        <v>Currently Unavailable</v>
      </c>
      <c r="I906" s="1" t="str">
        <f t="shared" si="4"/>
        <v>No Badges</v>
      </c>
      <c r="J906" s="3">
        <f t="shared" si="5"/>
        <v>0</v>
      </c>
    </row>
    <row r="907">
      <c r="A907" s="1" t="s">
        <v>69</v>
      </c>
      <c r="B907" s="3" t="str">
        <f t="shared" si="1"/>
        <v>Unavailable</v>
      </c>
      <c r="C907" s="3">
        <v>45.0</v>
      </c>
      <c r="D907" s="3">
        <f>IFERROR(__xludf.DUMMYFUNCTION("IFERROR(
IF(REGEXMATCH(LOWER(O907),""k""),
VALUE(REGEXEXTRACT(O907,""[0-9]+""))*1000,
VALUE(REGEXEXTRACT(O907,""[0-9]+""))
),
0
)"),0.0)</f>
        <v>0</v>
      </c>
      <c r="E907" s="1" t="s">
        <v>11</v>
      </c>
      <c r="F907" s="1" t="s">
        <v>12</v>
      </c>
      <c r="G907" s="4" t="b">
        <f t="shared" si="2"/>
        <v>1</v>
      </c>
      <c r="H907" s="1" t="str">
        <f t="shared" si="3"/>
        <v>Currently Unavailable</v>
      </c>
      <c r="I907" s="1" t="str">
        <f t="shared" si="4"/>
        <v>No Badges</v>
      </c>
      <c r="J907" s="3">
        <f t="shared" si="5"/>
        <v>0</v>
      </c>
    </row>
    <row r="908">
      <c r="A908" s="1" t="s">
        <v>802</v>
      </c>
      <c r="B908" s="3" t="str">
        <f t="shared" si="1"/>
        <v>Unavailable</v>
      </c>
      <c r="C908" s="3">
        <v>237.0</v>
      </c>
      <c r="D908" s="3">
        <f>IFERROR(__xludf.DUMMYFUNCTION("IFERROR(
IF(REGEXMATCH(LOWER(O908),""k""),
VALUE(REGEXEXTRACT(O908,""[0-9]+""))*1000,
VALUE(REGEXEXTRACT(O908,""[0-9]+""))
),
0
)"),0.0)</f>
        <v>0</v>
      </c>
      <c r="E908" s="1" t="s">
        <v>11</v>
      </c>
      <c r="F908" s="1" t="s">
        <v>20</v>
      </c>
      <c r="G908" s="4" t="b">
        <f t="shared" si="2"/>
        <v>1</v>
      </c>
      <c r="H908" s="1" t="str">
        <f t="shared" si="3"/>
        <v>Currently Unavailable</v>
      </c>
      <c r="I908" s="1" t="str">
        <f t="shared" si="4"/>
        <v>No Badges</v>
      </c>
      <c r="J908" s="3">
        <f t="shared" si="5"/>
        <v>0</v>
      </c>
    </row>
    <row r="909">
      <c r="A909" s="1" t="s">
        <v>803</v>
      </c>
      <c r="B909" s="3" t="str">
        <f t="shared" si="1"/>
        <v>Unavailable</v>
      </c>
      <c r="C909" s="3">
        <v>245.0</v>
      </c>
      <c r="D909" s="3">
        <f>IFERROR(__xludf.DUMMYFUNCTION("IFERROR(
IF(REGEXMATCH(LOWER(O909),""k""),
VALUE(REGEXEXTRACT(O909,""[0-9]+""))*1000,
VALUE(REGEXEXTRACT(O909,""[0-9]+""))
),
0
)"),0.0)</f>
        <v>0</v>
      </c>
      <c r="E909" s="1" t="s">
        <v>11</v>
      </c>
      <c r="F909" s="1" t="s">
        <v>20</v>
      </c>
      <c r="G909" s="4" t="b">
        <f t="shared" si="2"/>
        <v>1</v>
      </c>
      <c r="H909" s="1" t="str">
        <f t="shared" si="3"/>
        <v>Currently Unavailable</v>
      </c>
      <c r="I909" s="1" t="str">
        <f t="shared" si="4"/>
        <v>No Badges</v>
      </c>
      <c r="J909" s="3">
        <f t="shared" si="5"/>
        <v>0</v>
      </c>
    </row>
    <row r="910">
      <c r="A910" s="1" t="s">
        <v>722</v>
      </c>
      <c r="B910" s="3" t="str">
        <f t="shared" si="1"/>
        <v>Unavailable</v>
      </c>
      <c r="C910" s="3">
        <v>51.0</v>
      </c>
      <c r="D910" s="3">
        <f>IFERROR(__xludf.DUMMYFUNCTION("IFERROR(
IF(REGEXMATCH(LOWER(O910),""k""),
VALUE(REGEXEXTRACT(O910,""[0-9]+""))*1000,
VALUE(REGEXEXTRACT(O910,""[0-9]+""))
),
0
)"),0.0)</f>
        <v>0</v>
      </c>
      <c r="E910" s="1" t="s">
        <v>11</v>
      </c>
      <c r="F910" s="1" t="s">
        <v>20</v>
      </c>
      <c r="G910" s="4" t="b">
        <f t="shared" si="2"/>
        <v>1</v>
      </c>
      <c r="H910" s="1" t="str">
        <f t="shared" si="3"/>
        <v>Currently Unavailable</v>
      </c>
      <c r="I910" s="1" t="str">
        <f t="shared" si="4"/>
        <v>No Badges</v>
      </c>
      <c r="J910" s="3">
        <f t="shared" si="5"/>
        <v>0</v>
      </c>
    </row>
    <row r="911">
      <c r="A911" s="1" t="s">
        <v>804</v>
      </c>
      <c r="B911" s="3" t="str">
        <f t="shared" si="1"/>
        <v>Unavailable</v>
      </c>
      <c r="C911" s="3">
        <v>311.0</v>
      </c>
      <c r="D911" s="3">
        <f>IFERROR(__xludf.DUMMYFUNCTION("IFERROR(
IF(REGEXMATCH(LOWER(O911),""k""),
VALUE(REGEXEXTRACT(O911,""[0-9]+""))*1000,
VALUE(REGEXEXTRACT(O911,""[0-9]+""))
),
0
)"),0.0)</f>
        <v>0</v>
      </c>
      <c r="E911" s="1" t="s">
        <v>11</v>
      </c>
      <c r="F911" s="1" t="s">
        <v>20</v>
      </c>
      <c r="G911" s="4" t="b">
        <f t="shared" si="2"/>
        <v>1</v>
      </c>
      <c r="H911" s="1" t="str">
        <f t="shared" si="3"/>
        <v>Currently Unavailable</v>
      </c>
      <c r="I911" s="1" t="str">
        <f t="shared" si="4"/>
        <v>No Badges</v>
      </c>
      <c r="J911" s="3">
        <f t="shared" si="5"/>
        <v>0</v>
      </c>
    </row>
    <row r="912">
      <c r="A912" s="1" t="s">
        <v>805</v>
      </c>
      <c r="B912" s="3" t="str">
        <f t="shared" si="1"/>
        <v>Unavailable</v>
      </c>
      <c r="C912" s="3">
        <v>706.0</v>
      </c>
      <c r="D912" s="3">
        <f>IFERROR(__xludf.DUMMYFUNCTION("IFERROR(
IF(REGEXMATCH(LOWER(O912),""k""),
VALUE(REGEXEXTRACT(O912,""[0-9]+""))*1000,
VALUE(REGEXEXTRACT(O912,""[0-9]+""))
),
0
)"),0.0)</f>
        <v>0</v>
      </c>
      <c r="E912" s="1" t="s">
        <v>11</v>
      </c>
      <c r="F912" s="1" t="s">
        <v>20</v>
      </c>
      <c r="G912" s="4" t="b">
        <f t="shared" si="2"/>
        <v>1</v>
      </c>
      <c r="H912" s="1" t="str">
        <f t="shared" si="3"/>
        <v>Currently Unavailable</v>
      </c>
      <c r="I912" s="1" t="str">
        <f t="shared" si="4"/>
        <v>No Badges</v>
      </c>
      <c r="J912" s="3">
        <f t="shared" si="5"/>
        <v>0</v>
      </c>
    </row>
    <row r="913">
      <c r="A913" s="1" t="s">
        <v>753</v>
      </c>
      <c r="B913" s="3" t="str">
        <f t="shared" si="1"/>
        <v>Unavailable</v>
      </c>
      <c r="C913" s="5">
        <v>2043.0</v>
      </c>
      <c r="D913" s="3">
        <f>IFERROR(__xludf.DUMMYFUNCTION("IFERROR(
IF(REGEXMATCH(LOWER(O913),""k""),
VALUE(REGEXEXTRACT(O913,""[0-9]+""))*1000,
VALUE(REGEXEXTRACT(O913,""[0-9]+""))
),
0
)"),0.0)</f>
        <v>0</v>
      </c>
      <c r="E913" s="1" t="s">
        <v>11</v>
      </c>
      <c r="F913" s="1" t="s">
        <v>20</v>
      </c>
      <c r="G913" s="4" t="b">
        <f t="shared" si="2"/>
        <v>1</v>
      </c>
      <c r="H913" s="1" t="str">
        <f t="shared" si="3"/>
        <v>Currently Unavailable</v>
      </c>
      <c r="I913" s="1" t="str">
        <f t="shared" si="4"/>
        <v>No Badges</v>
      </c>
      <c r="J913" s="3">
        <f t="shared" si="5"/>
        <v>0</v>
      </c>
    </row>
    <row r="914">
      <c r="A914" s="1" t="s">
        <v>806</v>
      </c>
      <c r="B914" s="3" t="str">
        <f t="shared" si="1"/>
        <v>Unavailable</v>
      </c>
      <c r="C914" s="5">
        <v>1350.0</v>
      </c>
      <c r="D914" s="3">
        <f>IFERROR(__xludf.DUMMYFUNCTION("IFERROR(
IF(REGEXMATCH(LOWER(O914),""k""),
VALUE(REGEXEXTRACT(O914,""[0-9]+""))*1000,
VALUE(REGEXEXTRACT(O914,""[0-9]+""))
),
0
)"),0.0)</f>
        <v>0</v>
      </c>
      <c r="E914" s="1" t="s">
        <v>11</v>
      </c>
      <c r="F914" s="1" t="s">
        <v>20</v>
      </c>
      <c r="G914" s="4" t="b">
        <f t="shared" si="2"/>
        <v>1</v>
      </c>
      <c r="H914" s="1" t="str">
        <f t="shared" si="3"/>
        <v>Currently Unavailable</v>
      </c>
      <c r="I914" s="1" t="str">
        <f t="shared" si="4"/>
        <v>No Badges</v>
      </c>
      <c r="J914" s="3">
        <f t="shared" si="5"/>
        <v>0</v>
      </c>
    </row>
    <row r="915">
      <c r="A915" s="1" t="s">
        <v>754</v>
      </c>
      <c r="B915" s="3" t="str">
        <f t="shared" si="1"/>
        <v>Unavailable</v>
      </c>
      <c r="C915" s="3">
        <v>187.0</v>
      </c>
      <c r="D915" s="3">
        <f>IFERROR(__xludf.DUMMYFUNCTION("IFERROR(
IF(REGEXMATCH(LOWER(O915),""k""),
VALUE(REGEXEXTRACT(O915,""[0-9]+""))*1000,
VALUE(REGEXEXTRACT(O915,""[0-9]+""))
),
0
)"),0.0)</f>
        <v>0</v>
      </c>
      <c r="E915" s="1" t="s">
        <v>11</v>
      </c>
      <c r="F915" s="1" t="s">
        <v>20</v>
      </c>
      <c r="G915" s="4" t="b">
        <f t="shared" si="2"/>
        <v>1</v>
      </c>
      <c r="H915" s="1" t="str">
        <f t="shared" si="3"/>
        <v>Currently Unavailable</v>
      </c>
      <c r="I915" s="1" t="str">
        <f t="shared" si="4"/>
        <v>No Badges</v>
      </c>
      <c r="J915" s="3">
        <f t="shared" si="5"/>
        <v>0</v>
      </c>
    </row>
    <row r="916">
      <c r="A916" s="1" t="s">
        <v>807</v>
      </c>
      <c r="B916" s="3" t="str">
        <f t="shared" si="1"/>
        <v>Unavailable</v>
      </c>
      <c r="C916" s="3">
        <v>189.0</v>
      </c>
      <c r="D916" s="3">
        <f>IFERROR(__xludf.DUMMYFUNCTION("IFERROR(
IF(REGEXMATCH(LOWER(O916),""k""),
VALUE(REGEXEXTRACT(O916,""[0-9]+""))*1000,
VALUE(REGEXEXTRACT(O916,""[0-9]+""))
),
0
)"),0.0)</f>
        <v>0</v>
      </c>
      <c r="E916" s="1" t="s">
        <v>11</v>
      </c>
      <c r="F916" s="1" t="s">
        <v>20</v>
      </c>
      <c r="G916" s="4" t="b">
        <f t="shared" si="2"/>
        <v>1</v>
      </c>
      <c r="H916" s="1" t="str">
        <f t="shared" si="3"/>
        <v>Currently Unavailable</v>
      </c>
      <c r="I916" s="1" t="str">
        <f t="shared" si="4"/>
        <v>No Badges</v>
      </c>
      <c r="J916" s="3">
        <f t="shared" si="5"/>
        <v>0</v>
      </c>
    </row>
    <row r="917">
      <c r="A917" s="1" t="s">
        <v>808</v>
      </c>
      <c r="B917" s="3" t="str">
        <f t="shared" si="1"/>
        <v>Unavailable</v>
      </c>
      <c r="C917" s="3">
        <v>141.0</v>
      </c>
      <c r="D917" s="3">
        <f>IFERROR(__xludf.DUMMYFUNCTION("IFERROR(
IF(REGEXMATCH(LOWER(O917),""k""),
VALUE(REGEXEXTRACT(O917,""[0-9]+""))*1000,
VALUE(REGEXEXTRACT(O917,""[0-9]+""))
),
0
)"),0.0)</f>
        <v>0</v>
      </c>
      <c r="E917" s="1" t="s">
        <v>11</v>
      </c>
      <c r="F917" s="1" t="s">
        <v>20</v>
      </c>
      <c r="G917" s="4" t="b">
        <f t="shared" si="2"/>
        <v>1</v>
      </c>
      <c r="H917" s="1" t="str">
        <f t="shared" si="3"/>
        <v>Currently Unavailable</v>
      </c>
      <c r="I917" s="1" t="str">
        <f t="shared" si="4"/>
        <v>No Badges</v>
      </c>
      <c r="J917" s="3">
        <f t="shared" si="5"/>
        <v>0</v>
      </c>
    </row>
    <row r="918">
      <c r="A918" s="1" t="s">
        <v>809</v>
      </c>
      <c r="B918" s="3" t="str">
        <f t="shared" si="1"/>
        <v>Unavailable</v>
      </c>
      <c r="C918" s="5">
        <v>1001.0</v>
      </c>
      <c r="D918" s="3">
        <f>IFERROR(__xludf.DUMMYFUNCTION("IFERROR(
IF(REGEXMATCH(LOWER(O918),""k""),
VALUE(REGEXEXTRACT(O918,""[0-9]+""))*1000,
VALUE(REGEXEXTRACT(O918,""[0-9]+""))
),
0
)"),0.0)</f>
        <v>0</v>
      </c>
      <c r="E918" s="1" t="s">
        <v>11</v>
      </c>
      <c r="F918" s="1" t="s">
        <v>20</v>
      </c>
      <c r="G918" s="4" t="b">
        <f t="shared" si="2"/>
        <v>1</v>
      </c>
      <c r="H918" s="1" t="str">
        <f t="shared" si="3"/>
        <v>Currently Unavailable</v>
      </c>
      <c r="I918" s="1" t="str">
        <f t="shared" si="4"/>
        <v>No Badges</v>
      </c>
      <c r="J918" s="3">
        <f t="shared" si="5"/>
        <v>0</v>
      </c>
    </row>
    <row r="919">
      <c r="A919" s="1" t="s">
        <v>810</v>
      </c>
      <c r="B919" s="3" t="str">
        <f t="shared" si="1"/>
        <v>Unavailable</v>
      </c>
      <c r="C919" s="3">
        <v>183.0</v>
      </c>
      <c r="D919" s="3">
        <f>IFERROR(__xludf.DUMMYFUNCTION("IFERROR(
IF(REGEXMATCH(LOWER(O919),""k""),
VALUE(REGEXEXTRACT(O919,""[0-9]+""))*1000,
VALUE(REGEXEXTRACT(O919,""[0-9]+""))
),
0
)"),0.0)</f>
        <v>0</v>
      </c>
      <c r="E919" s="1" t="s">
        <v>11</v>
      </c>
      <c r="F919" s="1" t="s">
        <v>20</v>
      </c>
      <c r="G919" s="4" t="b">
        <f t="shared" si="2"/>
        <v>1</v>
      </c>
      <c r="H919" s="1" t="str">
        <f t="shared" si="3"/>
        <v>Currently Unavailable</v>
      </c>
      <c r="I919" s="1" t="str">
        <f t="shared" si="4"/>
        <v>No Badges</v>
      </c>
      <c r="J919" s="3">
        <f t="shared" si="5"/>
        <v>0</v>
      </c>
    </row>
    <row r="920">
      <c r="A920" s="1" t="s">
        <v>67</v>
      </c>
      <c r="B920" s="3" t="str">
        <f t="shared" si="1"/>
        <v>Unavailable</v>
      </c>
      <c r="C920" s="3">
        <v>264.0</v>
      </c>
      <c r="D920" s="3">
        <f>IFERROR(__xludf.DUMMYFUNCTION("IFERROR(
IF(REGEXMATCH(LOWER(O920),""k""),
VALUE(REGEXEXTRACT(O920,""[0-9]+""))*1000,
VALUE(REGEXEXTRACT(O920,""[0-9]+""))
),
0
)"),0.0)</f>
        <v>0</v>
      </c>
      <c r="E920" s="1" t="s">
        <v>11</v>
      </c>
      <c r="F920" s="1" t="s">
        <v>12</v>
      </c>
      <c r="G920" s="4" t="b">
        <f t="shared" si="2"/>
        <v>1</v>
      </c>
      <c r="H920" s="1" t="str">
        <f t="shared" si="3"/>
        <v>Currently Unavailable</v>
      </c>
      <c r="I920" s="1" t="str">
        <f t="shared" si="4"/>
        <v>No Badges</v>
      </c>
      <c r="J920" s="3">
        <f t="shared" si="5"/>
        <v>0</v>
      </c>
    </row>
    <row r="921">
      <c r="A921" s="1" t="s">
        <v>811</v>
      </c>
      <c r="B921" s="3" t="str">
        <f t="shared" si="1"/>
        <v>Unavailable</v>
      </c>
      <c r="C921" s="5">
        <v>3551.0</v>
      </c>
      <c r="D921" s="3">
        <f>IFERROR(__xludf.DUMMYFUNCTION("IFERROR(
IF(REGEXMATCH(LOWER(O921),""k""),
VALUE(REGEXEXTRACT(O921,""[0-9]+""))*1000,
VALUE(REGEXEXTRACT(O921,""[0-9]+""))
),
0
)"),0.0)</f>
        <v>0</v>
      </c>
      <c r="E921" s="1" t="s">
        <v>11</v>
      </c>
      <c r="F921" s="1" t="s">
        <v>20</v>
      </c>
      <c r="G921" s="4" t="b">
        <f t="shared" si="2"/>
        <v>1</v>
      </c>
      <c r="H921" s="1" t="str">
        <f t="shared" si="3"/>
        <v>Currently Unavailable</v>
      </c>
      <c r="I921" s="1" t="str">
        <f t="shared" si="4"/>
        <v>No Badges</v>
      </c>
      <c r="J921" s="3">
        <f t="shared" si="5"/>
        <v>0</v>
      </c>
    </row>
    <row r="922">
      <c r="A922" s="1" t="s">
        <v>701</v>
      </c>
      <c r="B922" s="3" t="str">
        <f t="shared" si="1"/>
        <v>Unavailable</v>
      </c>
      <c r="C922" s="3">
        <v>8.0</v>
      </c>
      <c r="D922" s="3">
        <f>IFERROR(__xludf.DUMMYFUNCTION("IFERROR(
IF(REGEXMATCH(LOWER(O922),""k""),
VALUE(REGEXEXTRACT(O922,""[0-9]+""))*1000,
VALUE(REGEXEXTRACT(O922,""[0-9]+""))
),
0
)"),0.0)</f>
        <v>0</v>
      </c>
      <c r="E922" s="1" t="s">
        <v>11</v>
      </c>
      <c r="F922" s="1" t="s">
        <v>12</v>
      </c>
      <c r="G922" s="4" t="b">
        <f t="shared" si="2"/>
        <v>1</v>
      </c>
      <c r="H922" s="1" t="str">
        <f t="shared" si="3"/>
        <v>Currently Unavailable</v>
      </c>
      <c r="I922" s="1" t="str">
        <f t="shared" si="4"/>
        <v>No Badges</v>
      </c>
      <c r="J922" s="3">
        <f t="shared" si="5"/>
        <v>0</v>
      </c>
    </row>
    <row r="923">
      <c r="A923" s="1" t="s">
        <v>812</v>
      </c>
      <c r="B923" s="3" t="str">
        <f t="shared" si="1"/>
        <v>Unavailable</v>
      </c>
      <c r="C923" s="3">
        <v>989.0</v>
      </c>
      <c r="D923" s="3">
        <f>IFERROR(__xludf.DUMMYFUNCTION("IFERROR(
IF(REGEXMATCH(LOWER(O923),""k""),
VALUE(REGEXEXTRACT(O923,""[0-9]+""))*1000,
VALUE(REGEXEXTRACT(O923,""[0-9]+""))
),
0
)"),0.0)</f>
        <v>0</v>
      </c>
      <c r="E923" s="1" t="s">
        <v>11</v>
      </c>
      <c r="F923" s="1" t="s">
        <v>20</v>
      </c>
      <c r="G923" s="4" t="b">
        <f t="shared" si="2"/>
        <v>1</v>
      </c>
      <c r="H923" s="1" t="str">
        <f t="shared" si="3"/>
        <v>Currently Unavailable</v>
      </c>
      <c r="I923" s="1" t="str">
        <f t="shared" si="4"/>
        <v>No Badges</v>
      </c>
      <c r="J923" s="3">
        <f t="shared" si="5"/>
        <v>0</v>
      </c>
    </row>
    <row r="924">
      <c r="A924" s="1" t="s">
        <v>620</v>
      </c>
      <c r="B924" s="3" t="str">
        <f t="shared" si="1"/>
        <v>Unavailable</v>
      </c>
      <c r="C924" s="3">
        <v>59.0</v>
      </c>
      <c r="D924" s="3">
        <f>IFERROR(__xludf.DUMMYFUNCTION("IFERROR(
IF(REGEXMATCH(LOWER(O924),""k""),
VALUE(REGEXEXTRACT(O924,""[0-9]+""))*1000,
VALUE(REGEXEXTRACT(O924,""[0-9]+""))
),
0
)"),0.0)</f>
        <v>0</v>
      </c>
      <c r="E924" s="1" t="s">
        <v>11</v>
      </c>
      <c r="F924" s="1" t="s">
        <v>20</v>
      </c>
      <c r="G924" s="4" t="b">
        <f t="shared" si="2"/>
        <v>1</v>
      </c>
      <c r="H924" s="1" t="str">
        <f t="shared" si="3"/>
        <v>Currently Unavailable</v>
      </c>
      <c r="I924" s="1" t="str">
        <f t="shared" si="4"/>
        <v>No Badges</v>
      </c>
      <c r="J924" s="3">
        <f t="shared" si="5"/>
        <v>0</v>
      </c>
    </row>
    <row r="925">
      <c r="A925" s="1" t="s">
        <v>691</v>
      </c>
      <c r="B925" s="3" t="str">
        <f t="shared" si="1"/>
        <v>Unavailable</v>
      </c>
      <c r="C925" s="3">
        <v>180.0</v>
      </c>
      <c r="D925" s="3">
        <f>IFERROR(__xludf.DUMMYFUNCTION("IFERROR(
IF(REGEXMATCH(LOWER(O925),""k""),
VALUE(REGEXEXTRACT(O925,""[0-9]+""))*1000,
VALUE(REGEXEXTRACT(O925,""[0-9]+""))
),
0
)"),0.0)</f>
        <v>0</v>
      </c>
      <c r="E925" s="1" t="s">
        <v>11</v>
      </c>
      <c r="F925" s="1" t="s">
        <v>20</v>
      </c>
      <c r="G925" s="4" t="b">
        <f t="shared" si="2"/>
        <v>1</v>
      </c>
      <c r="H925" s="1" t="str">
        <f t="shared" si="3"/>
        <v>Currently Unavailable</v>
      </c>
      <c r="I925" s="1" t="str">
        <f t="shared" si="4"/>
        <v>No Badges</v>
      </c>
      <c r="J925" s="3">
        <f t="shared" si="5"/>
        <v>0</v>
      </c>
    </row>
    <row r="926">
      <c r="A926" s="1" t="s">
        <v>813</v>
      </c>
      <c r="B926" s="3" t="str">
        <f t="shared" si="1"/>
        <v>Unavailable</v>
      </c>
      <c r="C926" s="3">
        <v>36.0</v>
      </c>
      <c r="D926" s="3">
        <f>IFERROR(__xludf.DUMMYFUNCTION("IFERROR(
IF(REGEXMATCH(LOWER(O926),""k""),
VALUE(REGEXEXTRACT(O926,""[0-9]+""))*1000,
VALUE(REGEXEXTRACT(O926,""[0-9]+""))
),
0
)"),0.0)</f>
        <v>0</v>
      </c>
      <c r="E926" s="1" t="s">
        <v>11</v>
      </c>
      <c r="F926" s="1" t="s">
        <v>20</v>
      </c>
      <c r="G926" s="4" t="b">
        <f t="shared" si="2"/>
        <v>1</v>
      </c>
      <c r="H926" s="1" t="str">
        <f t="shared" si="3"/>
        <v>Currently Unavailable</v>
      </c>
      <c r="I926" s="1" t="str">
        <f t="shared" si="4"/>
        <v>No Badges</v>
      </c>
      <c r="J926" s="3">
        <f t="shared" si="5"/>
        <v>0</v>
      </c>
    </row>
    <row r="927">
      <c r="A927" s="1" t="s">
        <v>814</v>
      </c>
      <c r="B927" s="3" t="str">
        <f t="shared" si="1"/>
        <v>Unavailable</v>
      </c>
      <c r="C927" s="3">
        <v>226.0</v>
      </c>
      <c r="D927" s="3">
        <f>IFERROR(__xludf.DUMMYFUNCTION("IFERROR(
IF(REGEXMATCH(LOWER(O927),""k""),
VALUE(REGEXEXTRACT(O927,""[0-9]+""))*1000,
VALUE(REGEXEXTRACT(O927,""[0-9]+""))
),
0
)"),0.0)</f>
        <v>0</v>
      </c>
      <c r="E927" s="1" t="s">
        <v>11</v>
      </c>
      <c r="F927" s="1" t="s">
        <v>20</v>
      </c>
      <c r="G927" s="4" t="b">
        <f t="shared" si="2"/>
        <v>1</v>
      </c>
      <c r="H927" s="1" t="str">
        <f t="shared" si="3"/>
        <v>Currently Unavailable</v>
      </c>
      <c r="I927" s="1" t="str">
        <f t="shared" si="4"/>
        <v>No Badges</v>
      </c>
      <c r="J927" s="3">
        <f t="shared" si="5"/>
        <v>0</v>
      </c>
    </row>
    <row r="928">
      <c r="A928" s="1" t="s">
        <v>815</v>
      </c>
      <c r="B928" s="3" t="str">
        <f t="shared" si="1"/>
        <v>Unavailable</v>
      </c>
      <c r="C928" s="3">
        <v>109.0</v>
      </c>
      <c r="D928" s="3">
        <f>IFERROR(__xludf.DUMMYFUNCTION("IFERROR(
IF(REGEXMATCH(LOWER(O928),""k""),
VALUE(REGEXEXTRACT(O928,""[0-9]+""))*1000,
VALUE(REGEXEXTRACT(O928,""[0-9]+""))
),
0
)"),0.0)</f>
        <v>0</v>
      </c>
      <c r="E928" s="1" t="s">
        <v>11</v>
      </c>
      <c r="F928" s="1" t="s">
        <v>20</v>
      </c>
      <c r="G928" s="4" t="b">
        <f t="shared" si="2"/>
        <v>1</v>
      </c>
      <c r="H928" s="1" t="str">
        <f t="shared" si="3"/>
        <v>Currently Unavailable</v>
      </c>
      <c r="I928" s="1" t="str">
        <f t="shared" si="4"/>
        <v>No Badges</v>
      </c>
      <c r="J928" s="3">
        <f t="shared" si="5"/>
        <v>0</v>
      </c>
    </row>
    <row r="929">
      <c r="A929" s="1" t="s">
        <v>816</v>
      </c>
      <c r="B929" s="3" t="str">
        <f t="shared" si="1"/>
        <v>Unavailable</v>
      </c>
      <c r="C929" s="3">
        <v>627.0</v>
      </c>
      <c r="D929" s="3">
        <f>IFERROR(__xludf.DUMMYFUNCTION("IFERROR(
IF(REGEXMATCH(LOWER(O929),""k""),
VALUE(REGEXEXTRACT(O929,""[0-9]+""))*1000,
VALUE(REGEXEXTRACT(O929,""[0-9]+""))
),
0
)"),0.0)</f>
        <v>0</v>
      </c>
      <c r="E929" s="1" t="s">
        <v>11</v>
      </c>
      <c r="F929" s="1" t="s">
        <v>20</v>
      </c>
      <c r="G929" s="4" t="b">
        <f t="shared" si="2"/>
        <v>1</v>
      </c>
      <c r="H929" s="1" t="str">
        <f t="shared" si="3"/>
        <v>Currently Unavailable</v>
      </c>
      <c r="I929" s="1" t="str">
        <f t="shared" si="4"/>
        <v>No Badges</v>
      </c>
      <c r="J929" s="3">
        <f t="shared" si="5"/>
        <v>0</v>
      </c>
    </row>
    <row r="930">
      <c r="A930" s="1" t="s">
        <v>817</v>
      </c>
      <c r="B930" s="3" t="str">
        <f t="shared" si="1"/>
        <v>Unavailable</v>
      </c>
      <c r="C930" s="3">
        <v>222.0</v>
      </c>
      <c r="D930" s="3">
        <f>IFERROR(__xludf.DUMMYFUNCTION("IFERROR(
IF(REGEXMATCH(LOWER(O930),""k""),
VALUE(REGEXEXTRACT(O930,""[0-9]+""))*1000,
VALUE(REGEXEXTRACT(O930,""[0-9]+""))
),
0
)"),0.0)</f>
        <v>0</v>
      </c>
      <c r="E930" s="1" t="s">
        <v>11</v>
      </c>
      <c r="F930" s="1" t="s">
        <v>20</v>
      </c>
      <c r="G930" s="4" t="b">
        <f t="shared" si="2"/>
        <v>1</v>
      </c>
      <c r="H930" s="1" t="str">
        <f t="shared" si="3"/>
        <v>Currently Unavailable</v>
      </c>
      <c r="I930" s="1" t="str">
        <f t="shared" si="4"/>
        <v>No Badges</v>
      </c>
      <c r="J930" s="3">
        <f t="shared" si="5"/>
        <v>0</v>
      </c>
    </row>
    <row r="931">
      <c r="A931" s="1" t="s">
        <v>818</v>
      </c>
      <c r="B931" s="3" t="str">
        <f t="shared" si="1"/>
        <v>Unavailable</v>
      </c>
      <c r="C931" s="3">
        <v>156.0</v>
      </c>
      <c r="D931" s="3">
        <f>IFERROR(__xludf.DUMMYFUNCTION("IFERROR(
IF(REGEXMATCH(LOWER(O931),""k""),
VALUE(REGEXEXTRACT(O931,""[0-9]+""))*1000,
VALUE(REGEXEXTRACT(O931,""[0-9]+""))
),
0
)"),0.0)</f>
        <v>0</v>
      </c>
      <c r="E931" s="1" t="s">
        <v>11</v>
      </c>
      <c r="F931" s="1" t="s">
        <v>20</v>
      </c>
      <c r="G931" s="4" t="b">
        <f t="shared" si="2"/>
        <v>1</v>
      </c>
      <c r="H931" s="1" t="str">
        <f t="shared" si="3"/>
        <v>Currently Unavailable</v>
      </c>
      <c r="I931" s="1" t="str">
        <f t="shared" si="4"/>
        <v>No Badges</v>
      </c>
      <c r="J931" s="3">
        <f t="shared" si="5"/>
        <v>0</v>
      </c>
    </row>
    <row r="932">
      <c r="A932" s="1" t="s">
        <v>819</v>
      </c>
      <c r="B932" s="3" t="str">
        <f t="shared" si="1"/>
        <v>Unavailable</v>
      </c>
      <c r="C932" s="3">
        <v>82.0</v>
      </c>
      <c r="D932" s="3">
        <f>IFERROR(__xludf.DUMMYFUNCTION("IFERROR(
IF(REGEXMATCH(LOWER(O932),""k""),
VALUE(REGEXEXTRACT(O932,""[0-9]+""))*1000,
VALUE(REGEXEXTRACT(O932,""[0-9]+""))
),
0
)"),0.0)</f>
        <v>0</v>
      </c>
      <c r="E932" s="1" t="s">
        <v>11</v>
      </c>
      <c r="F932" s="1" t="s">
        <v>20</v>
      </c>
      <c r="G932" s="4" t="b">
        <f t="shared" si="2"/>
        <v>1</v>
      </c>
      <c r="H932" s="1" t="str">
        <f t="shared" si="3"/>
        <v>Currently Unavailable</v>
      </c>
      <c r="I932" s="1" t="str">
        <f t="shared" si="4"/>
        <v>No Badges</v>
      </c>
      <c r="J932" s="3">
        <f t="shared" si="5"/>
        <v>0</v>
      </c>
    </row>
    <row r="933">
      <c r="A933" s="1" t="s">
        <v>820</v>
      </c>
      <c r="B933" s="3" t="str">
        <f t="shared" si="1"/>
        <v>Unavailable</v>
      </c>
      <c r="C933" s="3">
        <v>125.0</v>
      </c>
      <c r="D933" s="3">
        <f>IFERROR(__xludf.DUMMYFUNCTION("IFERROR(
IF(REGEXMATCH(LOWER(O933),""k""),
VALUE(REGEXEXTRACT(O933,""[0-9]+""))*1000,
VALUE(REGEXEXTRACT(O933,""[0-9]+""))
),
0
)"),0.0)</f>
        <v>0</v>
      </c>
      <c r="E933" s="1" t="s">
        <v>11</v>
      </c>
      <c r="F933" s="1" t="s">
        <v>20</v>
      </c>
      <c r="G933" s="4" t="b">
        <f t="shared" si="2"/>
        <v>1</v>
      </c>
      <c r="H933" s="1" t="str">
        <f t="shared" si="3"/>
        <v>Currently Unavailable</v>
      </c>
      <c r="I933" s="1" t="str">
        <f t="shared" si="4"/>
        <v>No Badges</v>
      </c>
      <c r="J933" s="3">
        <f t="shared" si="5"/>
        <v>0</v>
      </c>
    </row>
    <row r="934">
      <c r="A934" s="1" t="s">
        <v>821</v>
      </c>
      <c r="B934" s="3" t="str">
        <f t="shared" si="1"/>
        <v>Unavailable</v>
      </c>
      <c r="C934" s="5">
        <v>28120.0</v>
      </c>
      <c r="D934" s="3">
        <f>IFERROR(__xludf.DUMMYFUNCTION("IFERROR(
IF(REGEXMATCH(LOWER(O934),""k""),
VALUE(REGEXEXTRACT(O934,""[0-9]+""))*1000,
VALUE(REGEXEXTRACT(O934,""[0-9]+""))
),
0
)"),0.0)</f>
        <v>0</v>
      </c>
      <c r="E934" s="1" t="s">
        <v>11</v>
      </c>
      <c r="F934" s="1" t="s">
        <v>20</v>
      </c>
      <c r="G934" s="4" t="b">
        <f t="shared" si="2"/>
        <v>1</v>
      </c>
      <c r="H934" s="1" t="str">
        <f t="shared" si="3"/>
        <v>Currently Unavailable</v>
      </c>
      <c r="I934" s="1" t="str">
        <f t="shared" si="4"/>
        <v>No Badges</v>
      </c>
      <c r="J934" s="3">
        <f t="shared" si="5"/>
        <v>0</v>
      </c>
    </row>
    <row r="935">
      <c r="A935" s="1" t="s">
        <v>822</v>
      </c>
      <c r="B935" s="3" t="str">
        <f t="shared" si="1"/>
        <v>Unavailable</v>
      </c>
      <c r="C935" s="5">
        <v>1565.0</v>
      </c>
      <c r="D935" s="3">
        <f>IFERROR(__xludf.DUMMYFUNCTION("IFERROR(
IF(REGEXMATCH(LOWER(O935),""k""),
VALUE(REGEXEXTRACT(O935,""[0-9]+""))*1000,
VALUE(REGEXEXTRACT(O935,""[0-9]+""))
),
0
)"),0.0)</f>
        <v>0</v>
      </c>
      <c r="E935" s="1" t="s">
        <v>158</v>
      </c>
      <c r="F935" s="1" t="s">
        <v>20</v>
      </c>
      <c r="G935" s="4" t="b">
        <f t="shared" si="2"/>
        <v>1</v>
      </c>
      <c r="H935" s="1" t="str">
        <f t="shared" si="3"/>
        <v>Currently Unavailable</v>
      </c>
      <c r="I935" s="1" t="str">
        <f t="shared" si="4"/>
        <v>No Badges</v>
      </c>
      <c r="J935" s="3">
        <f t="shared" si="5"/>
        <v>0</v>
      </c>
    </row>
    <row r="936">
      <c r="A936" s="1" t="s">
        <v>88</v>
      </c>
      <c r="B936" s="3" t="str">
        <f t="shared" si="1"/>
        <v>Unavailable</v>
      </c>
      <c r="C936" s="3">
        <v>5.0</v>
      </c>
      <c r="D936" s="3">
        <f>IFERROR(__xludf.DUMMYFUNCTION("IFERROR(
IF(REGEXMATCH(LOWER(O936),""k""),
VALUE(REGEXEXTRACT(O936,""[0-9]+""))*1000,
VALUE(REGEXEXTRACT(O936,""[0-9]+""))
),
0
)"),0.0)</f>
        <v>0</v>
      </c>
      <c r="E936" s="1" t="s">
        <v>11</v>
      </c>
      <c r="F936" s="1" t="s">
        <v>12</v>
      </c>
      <c r="G936" s="4" t="b">
        <f t="shared" si="2"/>
        <v>1</v>
      </c>
      <c r="H936" s="1" t="str">
        <f t="shared" si="3"/>
        <v>Currently Unavailable</v>
      </c>
      <c r="I936" s="1" t="str">
        <f t="shared" si="4"/>
        <v>No Badges</v>
      </c>
      <c r="J936" s="3">
        <f t="shared" si="5"/>
        <v>0</v>
      </c>
    </row>
    <row r="937">
      <c r="A937" s="1" t="s">
        <v>40</v>
      </c>
      <c r="B937" s="3" t="str">
        <f t="shared" si="1"/>
        <v>Unavailable</v>
      </c>
      <c r="C937" s="3">
        <v>171.0</v>
      </c>
      <c r="D937" s="3">
        <f>IFERROR(__xludf.DUMMYFUNCTION("IFERROR(
IF(REGEXMATCH(LOWER(O937),""k""),
VALUE(REGEXEXTRACT(O937,""[0-9]+""))*1000,
VALUE(REGEXEXTRACT(O937,""[0-9]+""))
),
0
)"),0.0)</f>
        <v>0</v>
      </c>
      <c r="E937" s="1" t="s">
        <v>11</v>
      </c>
      <c r="F937" s="1" t="s">
        <v>12</v>
      </c>
      <c r="G937" s="4" t="b">
        <f t="shared" si="2"/>
        <v>1</v>
      </c>
      <c r="H937" s="1" t="str">
        <f t="shared" si="3"/>
        <v>Currently Unavailable</v>
      </c>
      <c r="I937" s="1" t="str">
        <f t="shared" si="4"/>
        <v>No Badges</v>
      </c>
      <c r="J937" s="3">
        <f t="shared" si="5"/>
        <v>0</v>
      </c>
    </row>
    <row r="938">
      <c r="A938" s="1" t="s">
        <v>823</v>
      </c>
      <c r="B938" s="3" t="str">
        <f t="shared" si="1"/>
        <v>Unavailable</v>
      </c>
      <c r="C938" s="3">
        <v>32.0</v>
      </c>
      <c r="D938" s="3">
        <f>IFERROR(__xludf.DUMMYFUNCTION("IFERROR(
IF(REGEXMATCH(LOWER(O938),""k""),
VALUE(REGEXEXTRACT(O938,""[0-9]+""))*1000,
VALUE(REGEXEXTRACT(O938,""[0-9]+""))
),
0
)"),0.0)</f>
        <v>0</v>
      </c>
      <c r="E938" s="1" t="s">
        <v>11</v>
      </c>
      <c r="F938" s="1" t="s">
        <v>20</v>
      </c>
      <c r="G938" s="4" t="b">
        <f t="shared" si="2"/>
        <v>1</v>
      </c>
      <c r="H938" s="1" t="str">
        <f t="shared" si="3"/>
        <v>Currently Unavailable</v>
      </c>
      <c r="I938" s="1" t="str">
        <f t="shared" si="4"/>
        <v>No Badges</v>
      </c>
      <c r="J938" s="3">
        <f t="shared" si="5"/>
        <v>0</v>
      </c>
    </row>
    <row r="939">
      <c r="A939" s="1" t="s">
        <v>824</v>
      </c>
      <c r="B939" s="3" t="str">
        <f t="shared" si="1"/>
        <v>Unavailable</v>
      </c>
      <c r="C939" s="5">
        <v>4523.0</v>
      </c>
      <c r="D939" s="3">
        <f>IFERROR(__xludf.DUMMYFUNCTION("IFERROR(
IF(REGEXMATCH(LOWER(O939),""k""),
VALUE(REGEXEXTRACT(O939,""[0-9]+""))*1000,
VALUE(REGEXEXTRACT(O939,""[0-9]+""))
),
0
)"),0.0)</f>
        <v>0</v>
      </c>
      <c r="E939" s="1" t="s">
        <v>11</v>
      </c>
      <c r="F939" s="1" t="s">
        <v>20</v>
      </c>
      <c r="G939" s="4" t="b">
        <f t="shared" si="2"/>
        <v>1</v>
      </c>
      <c r="H939" s="1" t="str">
        <f t="shared" si="3"/>
        <v>Currently Unavailable</v>
      </c>
      <c r="I939" s="1" t="str">
        <f t="shared" si="4"/>
        <v>No Badges</v>
      </c>
      <c r="J939" s="3">
        <f t="shared" si="5"/>
        <v>0</v>
      </c>
    </row>
    <row r="940">
      <c r="A940" s="1" t="s">
        <v>825</v>
      </c>
      <c r="B940" s="3" t="str">
        <f t="shared" si="1"/>
        <v>Unavailable</v>
      </c>
      <c r="C940" s="3">
        <v>135.0</v>
      </c>
      <c r="D940" s="3">
        <f>IFERROR(__xludf.DUMMYFUNCTION("IFERROR(
IF(REGEXMATCH(LOWER(O940),""k""),
VALUE(REGEXEXTRACT(O940,""[0-9]+""))*1000,
VALUE(REGEXEXTRACT(O940,""[0-9]+""))
),
0
)"),0.0)</f>
        <v>0</v>
      </c>
      <c r="E940" s="1" t="s">
        <v>11</v>
      </c>
      <c r="F940" s="1" t="s">
        <v>20</v>
      </c>
      <c r="G940" s="4" t="b">
        <f t="shared" si="2"/>
        <v>1</v>
      </c>
      <c r="H940" s="1" t="str">
        <f t="shared" si="3"/>
        <v>Currently Unavailable</v>
      </c>
      <c r="I940" s="1" t="str">
        <f t="shared" si="4"/>
        <v>No Badges</v>
      </c>
      <c r="J940" s="3">
        <f t="shared" si="5"/>
        <v>0</v>
      </c>
    </row>
    <row r="941">
      <c r="A941" s="1" t="s">
        <v>826</v>
      </c>
      <c r="B941" s="3" t="str">
        <f t="shared" si="1"/>
        <v>Unavailable</v>
      </c>
      <c r="C941" s="3">
        <v>189.0</v>
      </c>
      <c r="D941" s="3">
        <f>IFERROR(__xludf.DUMMYFUNCTION("IFERROR(
IF(REGEXMATCH(LOWER(O941),""k""),
VALUE(REGEXEXTRACT(O941,""[0-9]+""))*1000,
VALUE(REGEXEXTRACT(O941,""[0-9]+""))
),
0
)"),0.0)</f>
        <v>0</v>
      </c>
      <c r="E941" s="1" t="s">
        <v>11</v>
      </c>
      <c r="F941" s="1" t="s">
        <v>20</v>
      </c>
      <c r="G941" s="4" t="b">
        <f t="shared" si="2"/>
        <v>1</v>
      </c>
      <c r="H941" s="1" t="str">
        <f t="shared" si="3"/>
        <v>Currently Unavailable</v>
      </c>
      <c r="I941" s="1" t="str">
        <f t="shared" si="4"/>
        <v>No Badges</v>
      </c>
      <c r="J941" s="3">
        <f t="shared" si="5"/>
        <v>0</v>
      </c>
    </row>
    <row r="942">
      <c r="A942" s="1" t="s">
        <v>827</v>
      </c>
      <c r="B942" s="3" t="str">
        <f t="shared" si="1"/>
        <v>Unavailable</v>
      </c>
      <c r="C942" s="3">
        <v>988.0</v>
      </c>
      <c r="D942" s="3">
        <f>IFERROR(__xludf.DUMMYFUNCTION("IFERROR(
IF(REGEXMATCH(LOWER(O942),""k""),
VALUE(REGEXEXTRACT(O942,""[0-9]+""))*1000,
VALUE(REGEXEXTRACT(O942,""[0-9]+""))
),
0
)"),0.0)</f>
        <v>0</v>
      </c>
      <c r="E942" s="1" t="s">
        <v>11</v>
      </c>
      <c r="F942" s="1" t="s">
        <v>20</v>
      </c>
      <c r="G942" s="4" t="b">
        <f t="shared" si="2"/>
        <v>1</v>
      </c>
      <c r="H942" s="1" t="str">
        <f t="shared" si="3"/>
        <v>Currently Unavailable</v>
      </c>
      <c r="I942" s="1" t="str">
        <f t="shared" si="4"/>
        <v>No Badges</v>
      </c>
      <c r="J942" s="3">
        <f t="shared" si="5"/>
        <v>0</v>
      </c>
    </row>
    <row r="943">
      <c r="A943" s="1" t="s">
        <v>828</v>
      </c>
      <c r="B943" s="3" t="str">
        <f t="shared" si="1"/>
        <v>Unavailable</v>
      </c>
      <c r="C943" s="5">
        <v>8962.0</v>
      </c>
      <c r="D943" s="3">
        <f>IFERROR(__xludf.DUMMYFUNCTION("IFERROR(
IF(REGEXMATCH(LOWER(O943),""k""),
VALUE(REGEXEXTRACT(O943,""[0-9]+""))*1000,
VALUE(REGEXEXTRACT(O943,""[0-9]+""))
),
0
)"),0.0)</f>
        <v>0</v>
      </c>
      <c r="E943" s="1" t="s">
        <v>11</v>
      </c>
      <c r="F943" s="1" t="s">
        <v>20</v>
      </c>
      <c r="G943" s="4" t="b">
        <f t="shared" si="2"/>
        <v>1</v>
      </c>
      <c r="H943" s="1" t="str">
        <f t="shared" si="3"/>
        <v>Currently Unavailable</v>
      </c>
      <c r="I943" s="1" t="str">
        <f t="shared" si="4"/>
        <v>No Badges</v>
      </c>
      <c r="J943" s="3">
        <f t="shared" si="5"/>
        <v>0</v>
      </c>
    </row>
    <row r="944">
      <c r="A944" s="1" t="s">
        <v>829</v>
      </c>
      <c r="B944" s="3" t="str">
        <f t="shared" si="1"/>
        <v>Unavailable</v>
      </c>
      <c r="C944" s="3">
        <v>4.0</v>
      </c>
      <c r="D944" s="3">
        <f>IFERROR(__xludf.DUMMYFUNCTION("IFERROR(
IF(REGEXMATCH(LOWER(O944),""k""),
VALUE(REGEXEXTRACT(O944,""[0-9]+""))*1000,
VALUE(REGEXEXTRACT(O944,""[0-9]+""))
),
0
)"),0.0)</f>
        <v>0</v>
      </c>
      <c r="E944" s="1" t="s">
        <v>11</v>
      </c>
      <c r="F944" s="1" t="s">
        <v>20</v>
      </c>
      <c r="G944" s="4" t="b">
        <f t="shared" si="2"/>
        <v>1</v>
      </c>
      <c r="H944" s="1" t="str">
        <f t="shared" si="3"/>
        <v>Currently Unavailable</v>
      </c>
      <c r="I944" s="1" t="str">
        <f t="shared" si="4"/>
        <v>No Badges</v>
      </c>
      <c r="J944" s="3">
        <f t="shared" si="5"/>
        <v>0</v>
      </c>
    </row>
    <row r="945">
      <c r="A945" s="1" t="s">
        <v>830</v>
      </c>
      <c r="B945" s="3" t="str">
        <f t="shared" si="1"/>
        <v>Unavailable</v>
      </c>
      <c r="C945" s="5">
        <v>4414.0</v>
      </c>
      <c r="D945" s="3">
        <f>IFERROR(__xludf.DUMMYFUNCTION("IFERROR(
IF(REGEXMATCH(LOWER(O945),""k""),
VALUE(REGEXEXTRACT(O945,""[0-9]+""))*1000,
VALUE(REGEXEXTRACT(O945,""[0-9]+""))
),
0
)"),0.0)</f>
        <v>0</v>
      </c>
      <c r="E945" s="1" t="s">
        <v>11</v>
      </c>
      <c r="F945" s="1" t="s">
        <v>20</v>
      </c>
      <c r="G945" s="4" t="b">
        <f t="shared" si="2"/>
        <v>1</v>
      </c>
      <c r="H945" s="1" t="str">
        <f t="shared" si="3"/>
        <v>Currently Unavailable</v>
      </c>
      <c r="I945" s="1" t="str">
        <f t="shared" si="4"/>
        <v>No Badges</v>
      </c>
      <c r="J945" s="3">
        <f t="shared" si="5"/>
        <v>0</v>
      </c>
    </row>
    <row r="946">
      <c r="A946" s="1" t="s">
        <v>831</v>
      </c>
      <c r="B946" s="3" t="str">
        <f t="shared" si="1"/>
        <v>Unavailable</v>
      </c>
      <c r="C946" s="5">
        <v>9985.0</v>
      </c>
      <c r="D946" s="3">
        <f>IFERROR(__xludf.DUMMYFUNCTION("IFERROR(
IF(REGEXMATCH(LOWER(O946),""k""),
VALUE(REGEXEXTRACT(O946,""[0-9]+""))*1000,
VALUE(REGEXEXTRACT(O946,""[0-9]+""))
),
0
)"),0.0)</f>
        <v>0</v>
      </c>
      <c r="E946" s="1" t="s">
        <v>11</v>
      </c>
      <c r="F946" s="1" t="s">
        <v>20</v>
      </c>
      <c r="G946" s="4" t="b">
        <f t="shared" si="2"/>
        <v>1</v>
      </c>
      <c r="H946" s="1" t="str">
        <f t="shared" si="3"/>
        <v>Currently Unavailable</v>
      </c>
      <c r="I946" s="1" t="str">
        <f t="shared" si="4"/>
        <v>No Badges</v>
      </c>
      <c r="J946" s="3">
        <f t="shared" si="5"/>
        <v>0</v>
      </c>
    </row>
    <row r="947">
      <c r="A947" s="1" t="s">
        <v>832</v>
      </c>
      <c r="B947" s="3" t="str">
        <f t="shared" si="1"/>
        <v>Unavailable</v>
      </c>
      <c r="C947" s="3">
        <v>27.0</v>
      </c>
      <c r="D947" s="3">
        <f>IFERROR(__xludf.DUMMYFUNCTION("IFERROR(
IF(REGEXMATCH(LOWER(O947),""k""),
VALUE(REGEXEXTRACT(O947,""[0-9]+""))*1000,
VALUE(REGEXEXTRACT(O947,""[0-9]+""))
),
0
)"),0.0)</f>
        <v>0</v>
      </c>
      <c r="E947" s="1" t="s">
        <v>18</v>
      </c>
      <c r="F947" s="1" t="s">
        <v>20</v>
      </c>
      <c r="G947" s="4" t="b">
        <f t="shared" si="2"/>
        <v>1</v>
      </c>
      <c r="H947" s="1" t="str">
        <f t="shared" si="3"/>
        <v>Currently Unavailable</v>
      </c>
      <c r="I947" s="1" t="str">
        <f t="shared" si="4"/>
        <v>No Badges</v>
      </c>
      <c r="J947" s="3">
        <f t="shared" si="5"/>
        <v>0</v>
      </c>
    </row>
    <row r="948">
      <c r="A948" s="1" t="s">
        <v>833</v>
      </c>
      <c r="B948" s="3" t="str">
        <f t="shared" si="1"/>
        <v>Unavailable</v>
      </c>
      <c r="C948" s="3">
        <v>600.0</v>
      </c>
      <c r="D948" s="3">
        <f>IFERROR(__xludf.DUMMYFUNCTION("IFERROR(
IF(REGEXMATCH(LOWER(O948),""k""),
VALUE(REGEXEXTRACT(O948,""[0-9]+""))*1000,
VALUE(REGEXEXTRACT(O948,""[0-9]+""))
),
0
)"),0.0)</f>
        <v>0</v>
      </c>
      <c r="E948" s="1" t="s">
        <v>11</v>
      </c>
      <c r="F948" s="1" t="s">
        <v>20</v>
      </c>
      <c r="G948" s="4" t="b">
        <f t="shared" si="2"/>
        <v>1</v>
      </c>
      <c r="H948" s="1" t="str">
        <f t="shared" si="3"/>
        <v>Currently Unavailable</v>
      </c>
      <c r="I948" s="1" t="str">
        <f t="shared" si="4"/>
        <v>No Badges</v>
      </c>
      <c r="J948" s="3">
        <f t="shared" si="5"/>
        <v>0</v>
      </c>
    </row>
    <row r="949">
      <c r="A949" s="1" t="s">
        <v>834</v>
      </c>
      <c r="B949" s="3" t="str">
        <f t="shared" si="1"/>
        <v>Unavailable</v>
      </c>
      <c r="C949" s="3">
        <v>877.0</v>
      </c>
      <c r="D949" s="3">
        <f>IFERROR(__xludf.DUMMYFUNCTION("IFERROR(
IF(REGEXMATCH(LOWER(O949),""k""),
VALUE(REGEXEXTRACT(O949,""[0-9]+""))*1000,
VALUE(REGEXEXTRACT(O949,""[0-9]+""))
),
0
)"),0.0)</f>
        <v>0</v>
      </c>
      <c r="E949" s="1" t="s">
        <v>11</v>
      </c>
      <c r="F949" s="1" t="s">
        <v>20</v>
      </c>
      <c r="G949" s="4" t="b">
        <f t="shared" si="2"/>
        <v>1</v>
      </c>
      <c r="H949" s="1" t="str">
        <f t="shared" si="3"/>
        <v>Currently Unavailable</v>
      </c>
      <c r="I949" s="1" t="str">
        <f t="shared" si="4"/>
        <v>No Badges</v>
      </c>
      <c r="J949" s="3">
        <f t="shared" si="5"/>
        <v>0</v>
      </c>
    </row>
    <row r="950">
      <c r="A950" s="1" t="s">
        <v>835</v>
      </c>
      <c r="B950" s="3" t="str">
        <f t="shared" si="1"/>
        <v>Unavailable</v>
      </c>
      <c r="C950" s="3">
        <v>280.0</v>
      </c>
      <c r="D950" s="3">
        <f>IFERROR(__xludf.DUMMYFUNCTION("IFERROR(
IF(REGEXMATCH(LOWER(O950),""k""),
VALUE(REGEXEXTRACT(O950,""[0-9]+""))*1000,
VALUE(REGEXEXTRACT(O950,""[0-9]+""))
),
0
)"),0.0)</f>
        <v>0</v>
      </c>
      <c r="E950" s="1" t="s">
        <v>11</v>
      </c>
      <c r="F950" s="1" t="s">
        <v>20</v>
      </c>
      <c r="G950" s="4" t="b">
        <f t="shared" si="2"/>
        <v>1</v>
      </c>
      <c r="H950" s="1" t="str">
        <f t="shared" si="3"/>
        <v>Currently Unavailable</v>
      </c>
      <c r="I950" s="1" t="str">
        <f t="shared" si="4"/>
        <v>No Badges</v>
      </c>
      <c r="J950" s="3">
        <f t="shared" si="5"/>
        <v>0</v>
      </c>
    </row>
    <row r="951">
      <c r="A951" s="1" t="s">
        <v>836</v>
      </c>
      <c r="B951" s="3" t="str">
        <f t="shared" si="1"/>
        <v>Unavailable</v>
      </c>
      <c r="C951" s="3">
        <v>82.0</v>
      </c>
      <c r="D951" s="3">
        <f>IFERROR(__xludf.DUMMYFUNCTION("IFERROR(
IF(REGEXMATCH(LOWER(O951),""k""),
VALUE(REGEXEXTRACT(O951,""[0-9]+""))*1000,
VALUE(REGEXEXTRACT(O951,""[0-9]+""))
),
0
)"),0.0)</f>
        <v>0</v>
      </c>
      <c r="E951" s="1" t="s">
        <v>11</v>
      </c>
      <c r="F951" s="1" t="s">
        <v>20</v>
      </c>
      <c r="G951" s="4" t="b">
        <f t="shared" si="2"/>
        <v>1</v>
      </c>
      <c r="H951" s="1" t="str">
        <f t="shared" si="3"/>
        <v>Currently Unavailable</v>
      </c>
      <c r="I951" s="1" t="str">
        <f t="shared" si="4"/>
        <v>No Badges</v>
      </c>
      <c r="J951" s="3">
        <f t="shared" si="5"/>
        <v>0</v>
      </c>
    </row>
    <row r="952">
      <c r="A952" s="1" t="s">
        <v>837</v>
      </c>
      <c r="B952" s="3" t="str">
        <f t="shared" si="1"/>
        <v>Unavailable</v>
      </c>
      <c r="C952" s="3">
        <v>20.0</v>
      </c>
      <c r="D952" s="3">
        <f>IFERROR(__xludf.DUMMYFUNCTION("IFERROR(
IF(REGEXMATCH(LOWER(O952),""k""),
VALUE(REGEXEXTRACT(O952,""[0-9]+""))*1000,
VALUE(REGEXEXTRACT(O952,""[0-9]+""))
),
0
)"),0.0)</f>
        <v>0</v>
      </c>
      <c r="E952" s="1" t="s">
        <v>158</v>
      </c>
      <c r="F952" s="1" t="s">
        <v>20</v>
      </c>
      <c r="G952" s="4" t="b">
        <f t="shared" si="2"/>
        <v>1</v>
      </c>
      <c r="H952" s="1" t="str">
        <f t="shared" si="3"/>
        <v>Currently Unavailable</v>
      </c>
      <c r="I952" s="1" t="str">
        <f t="shared" si="4"/>
        <v>No Badges</v>
      </c>
      <c r="J952" s="3">
        <f t="shared" si="5"/>
        <v>0</v>
      </c>
    </row>
    <row r="953">
      <c r="A953" s="1" t="s">
        <v>838</v>
      </c>
      <c r="B953" s="3" t="str">
        <f t="shared" si="1"/>
        <v>Unavailable</v>
      </c>
      <c r="C953" s="3">
        <v>106.0</v>
      </c>
      <c r="D953" s="3">
        <f>IFERROR(__xludf.DUMMYFUNCTION("IFERROR(
IF(REGEXMATCH(LOWER(O953),""k""),
VALUE(REGEXEXTRACT(O953,""[0-9]+""))*1000,
VALUE(REGEXEXTRACT(O953,""[0-9]+""))
),
0
)"),0.0)</f>
        <v>0</v>
      </c>
      <c r="E953" s="1" t="s">
        <v>11</v>
      </c>
      <c r="F953" s="1" t="s">
        <v>20</v>
      </c>
      <c r="G953" s="4" t="b">
        <f t="shared" si="2"/>
        <v>1</v>
      </c>
      <c r="H953" s="1" t="str">
        <f t="shared" si="3"/>
        <v>Currently Unavailable</v>
      </c>
      <c r="I953" s="1" t="str">
        <f t="shared" si="4"/>
        <v>No Badges</v>
      </c>
      <c r="J953" s="3">
        <f t="shared" si="5"/>
        <v>0</v>
      </c>
    </row>
    <row r="954">
      <c r="A954" s="1" t="s">
        <v>650</v>
      </c>
      <c r="B954" s="3" t="str">
        <f t="shared" si="1"/>
        <v>Unavailable</v>
      </c>
      <c r="C954" s="3">
        <v>570.0</v>
      </c>
      <c r="D954" s="3">
        <f>IFERROR(__xludf.DUMMYFUNCTION("IFERROR(
IF(REGEXMATCH(LOWER(O954),""k""),
VALUE(REGEXEXTRACT(O954,""[0-9]+""))*1000,
VALUE(REGEXEXTRACT(O954,""[0-9]+""))
),
0
)"),0.0)</f>
        <v>0</v>
      </c>
      <c r="E954" s="1" t="s">
        <v>11</v>
      </c>
      <c r="F954" s="1" t="s">
        <v>20</v>
      </c>
      <c r="G954" s="4" t="b">
        <f t="shared" si="2"/>
        <v>1</v>
      </c>
      <c r="H954" s="1" t="str">
        <f t="shared" si="3"/>
        <v>Currently Unavailable</v>
      </c>
      <c r="I954" s="1" t="str">
        <f t="shared" si="4"/>
        <v>No Badges</v>
      </c>
      <c r="J954" s="3">
        <f t="shared" si="5"/>
        <v>0</v>
      </c>
    </row>
    <row r="955">
      <c r="A955" s="1" t="s">
        <v>839</v>
      </c>
      <c r="B955" s="3" t="str">
        <f t="shared" si="1"/>
        <v>Unavailable</v>
      </c>
      <c r="C955" s="5">
        <v>1247.0</v>
      </c>
      <c r="D955" s="3">
        <f>IFERROR(__xludf.DUMMYFUNCTION("IFERROR(
IF(REGEXMATCH(LOWER(O955),""k""),
VALUE(REGEXEXTRACT(O955,""[0-9]+""))*1000,
VALUE(REGEXEXTRACT(O955,""[0-9]+""))
),
0
)"),0.0)</f>
        <v>0</v>
      </c>
      <c r="E955" s="1" t="s">
        <v>11</v>
      </c>
      <c r="F955" s="1" t="s">
        <v>20</v>
      </c>
      <c r="G955" s="4" t="b">
        <f t="shared" si="2"/>
        <v>1</v>
      </c>
      <c r="H955" s="1" t="str">
        <f t="shared" si="3"/>
        <v>Currently Unavailable</v>
      </c>
      <c r="I955" s="1" t="str">
        <f t="shared" si="4"/>
        <v>No Badges</v>
      </c>
      <c r="J955" s="3">
        <f t="shared" si="5"/>
        <v>0</v>
      </c>
    </row>
    <row r="956">
      <c r="A956" s="1" t="s">
        <v>840</v>
      </c>
      <c r="B956" s="3" t="str">
        <f t="shared" si="1"/>
        <v>Unavailable</v>
      </c>
      <c r="C956" s="3">
        <v>103.0</v>
      </c>
      <c r="D956" s="3">
        <f>IFERROR(__xludf.DUMMYFUNCTION("IFERROR(
IF(REGEXMATCH(LOWER(O956),""k""),
VALUE(REGEXEXTRACT(O956,""[0-9]+""))*1000,
VALUE(REGEXEXTRACT(O956,""[0-9]+""))
),
0
)"),0.0)</f>
        <v>0</v>
      </c>
      <c r="E956" s="1" t="s">
        <v>11</v>
      </c>
      <c r="F956" s="1" t="s">
        <v>20</v>
      </c>
      <c r="G956" s="4" t="b">
        <f t="shared" si="2"/>
        <v>1</v>
      </c>
      <c r="H956" s="1" t="str">
        <f t="shared" si="3"/>
        <v>Currently Unavailable</v>
      </c>
      <c r="I956" s="1" t="str">
        <f t="shared" si="4"/>
        <v>No Badges</v>
      </c>
      <c r="J956" s="3">
        <f t="shared" si="5"/>
        <v>0</v>
      </c>
    </row>
    <row r="957">
      <c r="A957" s="1" t="s">
        <v>841</v>
      </c>
      <c r="B957" s="3" t="str">
        <f t="shared" si="1"/>
        <v>Unavailable</v>
      </c>
      <c r="C957" s="3">
        <v>589.0</v>
      </c>
      <c r="D957" s="3">
        <f>IFERROR(__xludf.DUMMYFUNCTION("IFERROR(
IF(REGEXMATCH(LOWER(O957),""k""),
VALUE(REGEXEXTRACT(O957,""[0-9]+""))*1000,
VALUE(REGEXEXTRACT(O957,""[0-9]+""))
),
0
)"),0.0)</f>
        <v>0</v>
      </c>
      <c r="E957" s="1" t="s">
        <v>11</v>
      </c>
      <c r="F957" s="1" t="s">
        <v>20</v>
      </c>
      <c r="G957" s="4" t="b">
        <f t="shared" si="2"/>
        <v>1</v>
      </c>
      <c r="H957" s="1" t="str">
        <f t="shared" si="3"/>
        <v>Currently Unavailable</v>
      </c>
      <c r="I957" s="1" t="str">
        <f t="shared" si="4"/>
        <v>No Badges</v>
      </c>
      <c r="J957" s="3">
        <f t="shared" si="5"/>
        <v>0</v>
      </c>
    </row>
    <row r="958">
      <c r="A958" s="1" t="s">
        <v>842</v>
      </c>
      <c r="B958" s="3" t="str">
        <f t="shared" si="1"/>
        <v>Unavailable</v>
      </c>
      <c r="C958" s="3">
        <v>673.0</v>
      </c>
      <c r="D958" s="3">
        <f>IFERROR(__xludf.DUMMYFUNCTION("IFERROR(
IF(REGEXMATCH(LOWER(O958),""k""),
VALUE(REGEXEXTRACT(O958,""[0-9]+""))*1000,
VALUE(REGEXEXTRACT(O958,""[0-9]+""))
),
0
)"),0.0)</f>
        <v>0</v>
      </c>
      <c r="E958" s="1" t="s">
        <v>11</v>
      </c>
      <c r="F958" s="1" t="s">
        <v>20</v>
      </c>
      <c r="G958" s="4" t="b">
        <f t="shared" si="2"/>
        <v>1</v>
      </c>
      <c r="H958" s="1" t="str">
        <f t="shared" si="3"/>
        <v>Currently Unavailable</v>
      </c>
      <c r="I958" s="1" t="str">
        <f t="shared" si="4"/>
        <v>No Badges</v>
      </c>
      <c r="J958" s="3">
        <f t="shared" si="5"/>
        <v>0</v>
      </c>
    </row>
    <row r="959">
      <c r="A959" s="1" t="s">
        <v>700</v>
      </c>
      <c r="B959" s="3" t="str">
        <f t="shared" si="1"/>
        <v>Unavailable</v>
      </c>
      <c r="C959" s="3">
        <v>35.0</v>
      </c>
      <c r="D959" s="3">
        <f>IFERROR(__xludf.DUMMYFUNCTION("IFERROR(
IF(REGEXMATCH(LOWER(O959),""k""),
VALUE(REGEXEXTRACT(O959,""[0-9]+""))*1000,
VALUE(REGEXEXTRACT(O959,""[0-9]+""))
),
0
)"),0.0)</f>
        <v>0</v>
      </c>
      <c r="E959" s="1" t="s">
        <v>11</v>
      </c>
      <c r="F959" s="1" t="s">
        <v>20</v>
      </c>
      <c r="G959" s="4" t="b">
        <f t="shared" si="2"/>
        <v>1</v>
      </c>
      <c r="H959" s="1" t="str">
        <f t="shared" si="3"/>
        <v>Currently Unavailable</v>
      </c>
      <c r="I959" s="1" t="str">
        <f t="shared" si="4"/>
        <v>No Badges</v>
      </c>
      <c r="J959" s="3">
        <f t="shared" si="5"/>
        <v>0</v>
      </c>
    </row>
    <row r="960">
      <c r="A960" s="1" t="s">
        <v>843</v>
      </c>
      <c r="B960" s="3" t="str">
        <f t="shared" si="1"/>
        <v>Unavailable</v>
      </c>
      <c r="C960" s="3">
        <v>654.0</v>
      </c>
      <c r="D960" s="3">
        <f>IFERROR(__xludf.DUMMYFUNCTION("IFERROR(
IF(REGEXMATCH(LOWER(O960),""k""),
VALUE(REGEXEXTRACT(O960,""[0-9]+""))*1000,
VALUE(REGEXEXTRACT(O960,""[0-9]+""))
),
0
)"),0.0)</f>
        <v>0</v>
      </c>
      <c r="E960" s="1" t="s">
        <v>11</v>
      </c>
      <c r="F960" s="1" t="s">
        <v>20</v>
      </c>
      <c r="G960" s="4" t="b">
        <f t="shared" si="2"/>
        <v>1</v>
      </c>
      <c r="H960" s="1" t="str">
        <f t="shared" si="3"/>
        <v>Currently Unavailable</v>
      </c>
      <c r="I960" s="1" t="str">
        <f t="shared" si="4"/>
        <v>No Badges</v>
      </c>
      <c r="J960" s="3">
        <f t="shared" si="5"/>
        <v>0</v>
      </c>
    </row>
    <row r="961">
      <c r="A961" s="1" t="s">
        <v>844</v>
      </c>
      <c r="B961" s="3" t="str">
        <f t="shared" si="1"/>
        <v>Unavailable</v>
      </c>
      <c r="C961" s="3">
        <v>418.0</v>
      </c>
      <c r="D961" s="3">
        <f>IFERROR(__xludf.DUMMYFUNCTION("IFERROR(
IF(REGEXMATCH(LOWER(O961),""k""),
VALUE(REGEXEXTRACT(O961,""[0-9]+""))*1000,
VALUE(REGEXEXTRACT(O961,""[0-9]+""))
),
0
)"),0.0)</f>
        <v>0</v>
      </c>
      <c r="E961" s="1" t="s">
        <v>11</v>
      </c>
      <c r="F961" s="1" t="s">
        <v>20</v>
      </c>
      <c r="G961" s="4" t="b">
        <f t="shared" si="2"/>
        <v>1</v>
      </c>
      <c r="H961" s="1" t="str">
        <f t="shared" si="3"/>
        <v>Currently Unavailable</v>
      </c>
      <c r="I961" s="1" t="str">
        <f t="shared" si="4"/>
        <v>No Badges</v>
      </c>
      <c r="J961" s="3">
        <f t="shared" si="5"/>
        <v>0</v>
      </c>
    </row>
    <row r="962">
      <c r="A962" s="1" t="s">
        <v>845</v>
      </c>
      <c r="B962" s="3" t="str">
        <f t="shared" si="1"/>
        <v>Unavailable</v>
      </c>
      <c r="C962" s="3">
        <v>567.0</v>
      </c>
      <c r="D962" s="3">
        <f>IFERROR(__xludf.DUMMYFUNCTION("IFERROR(
IF(REGEXMATCH(LOWER(O962),""k""),
VALUE(REGEXEXTRACT(O962,""[0-9]+""))*1000,
VALUE(REGEXEXTRACT(O962,""[0-9]+""))
),
0
)"),0.0)</f>
        <v>0</v>
      </c>
      <c r="E962" s="1" t="s">
        <v>11</v>
      </c>
      <c r="F962" s="1" t="s">
        <v>20</v>
      </c>
      <c r="G962" s="4" t="b">
        <f t="shared" si="2"/>
        <v>1</v>
      </c>
      <c r="H962" s="1" t="str">
        <f t="shared" si="3"/>
        <v>Currently Unavailable</v>
      </c>
      <c r="I962" s="1" t="str">
        <f t="shared" si="4"/>
        <v>No Badges</v>
      </c>
      <c r="J962" s="3">
        <f t="shared" si="5"/>
        <v>0</v>
      </c>
    </row>
    <row r="963">
      <c r="A963" s="1" t="s">
        <v>730</v>
      </c>
      <c r="B963" s="3" t="str">
        <f t="shared" si="1"/>
        <v>Unavailable</v>
      </c>
      <c r="C963" s="3">
        <v>97.0</v>
      </c>
      <c r="D963" s="3">
        <f>IFERROR(__xludf.DUMMYFUNCTION("IFERROR(
IF(REGEXMATCH(LOWER(O963),""k""),
VALUE(REGEXEXTRACT(O963,""[0-9]+""))*1000,
VALUE(REGEXEXTRACT(O963,""[0-9]+""))
),
0
)"),0.0)</f>
        <v>0</v>
      </c>
      <c r="E963" s="1" t="s">
        <v>11</v>
      </c>
      <c r="F963" s="1" t="s">
        <v>20</v>
      </c>
      <c r="G963" s="4" t="b">
        <f t="shared" si="2"/>
        <v>1</v>
      </c>
      <c r="H963" s="1" t="str">
        <f t="shared" si="3"/>
        <v>Currently Unavailable</v>
      </c>
      <c r="I963" s="1" t="str">
        <f t="shared" si="4"/>
        <v>No Badges</v>
      </c>
      <c r="J963" s="3">
        <f t="shared" si="5"/>
        <v>0</v>
      </c>
    </row>
    <row r="964">
      <c r="A964" s="1" t="s">
        <v>846</v>
      </c>
      <c r="B964" s="3" t="str">
        <f t="shared" si="1"/>
        <v>Unavailable</v>
      </c>
      <c r="C964" s="5">
        <v>10716.0</v>
      </c>
      <c r="D964" s="3">
        <f>IFERROR(__xludf.DUMMYFUNCTION("IFERROR(
IF(REGEXMATCH(LOWER(O964),""k""),
VALUE(REGEXEXTRACT(O964,""[0-9]+""))*1000,
VALUE(REGEXEXTRACT(O964,""[0-9]+""))
),
0
)"),0.0)</f>
        <v>0</v>
      </c>
      <c r="E964" s="1" t="s">
        <v>11</v>
      </c>
      <c r="F964" s="1" t="s">
        <v>20</v>
      </c>
      <c r="G964" s="4" t="b">
        <f t="shared" si="2"/>
        <v>1</v>
      </c>
      <c r="H964" s="1" t="str">
        <f t="shared" si="3"/>
        <v>Currently Unavailable</v>
      </c>
      <c r="I964" s="1" t="str">
        <f t="shared" si="4"/>
        <v>No Badges</v>
      </c>
      <c r="J964" s="3">
        <f t="shared" si="5"/>
        <v>0</v>
      </c>
    </row>
    <row r="965">
      <c r="A965" s="1" t="s">
        <v>847</v>
      </c>
      <c r="B965" s="3" t="str">
        <f t="shared" si="1"/>
        <v>Unavailable</v>
      </c>
      <c r="C965" s="3">
        <v>507.0</v>
      </c>
      <c r="D965" s="3">
        <f>IFERROR(__xludf.DUMMYFUNCTION("IFERROR(
IF(REGEXMATCH(LOWER(O965),""k""),
VALUE(REGEXEXTRACT(O965,""[0-9]+""))*1000,
VALUE(REGEXEXTRACT(O965,""[0-9]+""))
),
0
)"),0.0)</f>
        <v>0</v>
      </c>
      <c r="E965" s="1" t="s">
        <v>11</v>
      </c>
      <c r="F965" s="1" t="s">
        <v>20</v>
      </c>
      <c r="G965" s="4" t="b">
        <f t="shared" si="2"/>
        <v>1</v>
      </c>
      <c r="H965" s="1" t="str">
        <f t="shared" si="3"/>
        <v>Currently Unavailable</v>
      </c>
      <c r="I965" s="1" t="str">
        <f t="shared" si="4"/>
        <v>No Badges</v>
      </c>
      <c r="J965" s="3">
        <f t="shared" si="5"/>
        <v>0</v>
      </c>
    </row>
    <row r="966">
      <c r="A966" s="1" t="s">
        <v>848</v>
      </c>
      <c r="B966" s="3" t="str">
        <f t="shared" si="1"/>
        <v>Unavailable</v>
      </c>
      <c r="C966" s="3">
        <v>101.0</v>
      </c>
      <c r="D966" s="3">
        <f>IFERROR(__xludf.DUMMYFUNCTION("IFERROR(
IF(REGEXMATCH(LOWER(O966),""k""),
VALUE(REGEXEXTRACT(O966,""[0-9]+""))*1000,
VALUE(REGEXEXTRACT(O966,""[0-9]+""))
),
0
)"),0.0)</f>
        <v>0</v>
      </c>
      <c r="E966" s="1" t="s">
        <v>11</v>
      </c>
      <c r="F966" s="1" t="s">
        <v>20</v>
      </c>
      <c r="G966" s="4" t="b">
        <f t="shared" si="2"/>
        <v>1</v>
      </c>
      <c r="H966" s="1" t="str">
        <f t="shared" si="3"/>
        <v>Currently Unavailable</v>
      </c>
      <c r="I966" s="1" t="str">
        <f t="shared" si="4"/>
        <v>No Badges</v>
      </c>
      <c r="J966" s="3">
        <f t="shared" si="5"/>
        <v>0</v>
      </c>
    </row>
    <row r="967">
      <c r="A967" s="1" t="s">
        <v>849</v>
      </c>
      <c r="B967" s="3" t="str">
        <f t="shared" si="1"/>
        <v>Unavailable</v>
      </c>
      <c r="C967" s="5">
        <v>1382.0</v>
      </c>
      <c r="D967" s="3">
        <f>IFERROR(__xludf.DUMMYFUNCTION("IFERROR(
IF(REGEXMATCH(LOWER(O967),""k""),
VALUE(REGEXEXTRACT(O967,""[0-9]+""))*1000,
VALUE(REGEXEXTRACT(O967,""[0-9]+""))
),
0
)"),0.0)</f>
        <v>0</v>
      </c>
      <c r="E967" s="1" t="s">
        <v>11</v>
      </c>
      <c r="F967" s="1" t="s">
        <v>20</v>
      </c>
      <c r="G967" s="4" t="b">
        <f t="shared" si="2"/>
        <v>1</v>
      </c>
      <c r="H967" s="1" t="str">
        <f t="shared" si="3"/>
        <v>Currently Unavailable</v>
      </c>
      <c r="I967" s="1" t="str">
        <f t="shared" si="4"/>
        <v>No Badges</v>
      </c>
      <c r="J967" s="3">
        <f t="shared" si="5"/>
        <v>0</v>
      </c>
    </row>
    <row r="968">
      <c r="A968" s="1" t="s">
        <v>850</v>
      </c>
      <c r="B968" s="3" t="str">
        <f t="shared" si="1"/>
        <v>Unavailable</v>
      </c>
      <c r="C968" s="3">
        <v>756.0</v>
      </c>
      <c r="D968" s="3">
        <f>IFERROR(__xludf.DUMMYFUNCTION("IFERROR(
IF(REGEXMATCH(LOWER(O968),""k""),
VALUE(REGEXEXTRACT(O968,""[0-9]+""))*1000,
VALUE(REGEXEXTRACT(O968,""[0-9]+""))
),
0
)"),0.0)</f>
        <v>0</v>
      </c>
      <c r="E968" s="1" t="s">
        <v>11</v>
      </c>
      <c r="F968" s="1" t="s">
        <v>20</v>
      </c>
      <c r="G968" s="4" t="b">
        <f t="shared" si="2"/>
        <v>1</v>
      </c>
      <c r="H968" s="1" t="str">
        <f t="shared" si="3"/>
        <v>Currently Unavailable</v>
      </c>
      <c r="I968" s="1" t="str">
        <f t="shared" si="4"/>
        <v>No Badges</v>
      </c>
      <c r="J968" s="3">
        <f t="shared" si="5"/>
        <v>0</v>
      </c>
    </row>
    <row r="969">
      <c r="A969" s="1" t="s">
        <v>851</v>
      </c>
      <c r="B969" s="3" t="str">
        <f t="shared" si="1"/>
        <v>Unavailable</v>
      </c>
      <c r="C969" s="5">
        <v>1661.0</v>
      </c>
      <c r="D969" s="3">
        <f>IFERROR(__xludf.DUMMYFUNCTION("IFERROR(
IF(REGEXMATCH(LOWER(O969),""k""),
VALUE(REGEXEXTRACT(O969,""[0-9]+""))*1000,
VALUE(REGEXEXTRACT(O969,""[0-9]+""))
),
0
)"),0.0)</f>
        <v>0</v>
      </c>
      <c r="E969" s="1" t="s">
        <v>11</v>
      </c>
      <c r="F969" s="1" t="s">
        <v>20</v>
      </c>
      <c r="G969" s="4" t="b">
        <f t="shared" si="2"/>
        <v>1</v>
      </c>
      <c r="H969" s="1" t="str">
        <f t="shared" si="3"/>
        <v>Currently Unavailable</v>
      </c>
      <c r="I969" s="1" t="str">
        <f t="shared" si="4"/>
        <v>No Badges</v>
      </c>
      <c r="J969" s="3">
        <f t="shared" si="5"/>
        <v>0</v>
      </c>
    </row>
    <row r="970">
      <c r="A970" s="1" t="s">
        <v>852</v>
      </c>
      <c r="B970" s="3" t="str">
        <f t="shared" si="1"/>
        <v>Unavailable</v>
      </c>
      <c r="C970" s="5">
        <v>1023.0</v>
      </c>
      <c r="D970" s="3">
        <f>IFERROR(__xludf.DUMMYFUNCTION("IFERROR(
IF(REGEXMATCH(LOWER(O970),""k""),
VALUE(REGEXEXTRACT(O970,""[0-9]+""))*1000,
VALUE(REGEXEXTRACT(O970,""[0-9]+""))
),
0
)"),0.0)</f>
        <v>0</v>
      </c>
      <c r="E970" s="1" t="s">
        <v>11</v>
      </c>
      <c r="F970" s="1" t="s">
        <v>20</v>
      </c>
      <c r="G970" s="4" t="b">
        <f t="shared" si="2"/>
        <v>1</v>
      </c>
      <c r="H970" s="1" t="str">
        <f t="shared" si="3"/>
        <v>Currently Unavailable</v>
      </c>
      <c r="I970" s="1" t="str">
        <f t="shared" si="4"/>
        <v>No Badges</v>
      </c>
      <c r="J970" s="3">
        <f t="shared" si="5"/>
        <v>0</v>
      </c>
    </row>
    <row r="971">
      <c r="A971" s="1" t="s">
        <v>853</v>
      </c>
      <c r="B971" s="3" t="str">
        <f t="shared" si="1"/>
        <v>Unavailable</v>
      </c>
      <c r="C971" s="3">
        <v>70.0</v>
      </c>
      <c r="D971" s="3">
        <f>IFERROR(__xludf.DUMMYFUNCTION("IFERROR(
IF(REGEXMATCH(LOWER(O971),""k""),
VALUE(REGEXEXTRACT(O971,""[0-9]+""))*1000,
VALUE(REGEXEXTRACT(O971,""[0-9]+""))
),
0
)"),0.0)</f>
        <v>0</v>
      </c>
      <c r="E971" s="1" t="s">
        <v>11</v>
      </c>
      <c r="F971" s="1" t="s">
        <v>20</v>
      </c>
      <c r="G971" s="4" t="b">
        <f t="shared" si="2"/>
        <v>1</v>
      </c>
      <c r="H971" s="1" t="str">
        <f t="shared" si="3"/>
        <v>Currently Unavailable</v>
      </c>
      <c r="I971" s="1" t="str">
        <f t="shared" si="4"/>
        <v>No Badges</v>
      </c>
      <c r="J971" s="3">
        <f t="shared" si="5"/>
        <v>0</v>
      </c>
    </row>
    <row r="972">
      <c r="A972" s="1" t="s">
        <v>695</v>
      </c>
      <c r="B972" s="3" t="str">
        <f t="shared" si="1"/>
        <v>Unavailable</v>
      </c>
      <c r="C972" s="3">
        <v>306.0</v>
      </c>
      <c r="D972" s="3">
        <f>IFERROR(__xludf.DUMMYFUNCTION("IFERROR(
IF(REGEXMATCH(LOWER(O972),""k""),
VALUE(REGEXEXTRACT(O972,""[0-9]+""))*1000,
VALUE(REGEXEXTRACT(O972,""[0-9]+""))
),
0
)"),0.0)</f>
        <v>0</v>
      </c>
      <c r="E972" s="1" t="s">
        <v>11</v>
      </c>
      <c r="F972" s="1" t="s">
        <v>20</v>
      </c>
      <c r="G972" s="4" t="b">
        <f t="shared" si="2"/>
        <v>1</v>
      </c>
      <c r="H972" s="1" t="str">
        <f t="shared" si="3"/>
        <v>Currently Unavailable</v>
      </c>
      <c r="I972" s="1" t="str">
        <f t="shared" si="4"/>
        <v>No Badges</v>
      </c>
      <c r="J972" s="3">
        <f t="shared" si="5"/>
        <v>0</v>
      </c>
    </row>
    <row r="973">
      <c r="A973" s="1" t="s">
        <v>854</v>
      </c>
      <c r="B973" s="3" t="str">
        <f t="shared" si="1"/>
        <v>Unavailable</v>
      </c>
      <c r="C973" s="3">
        <v>631.0</v>
      </c>
      <c r="D973" s="3">
        <f>IFERROR(__xludf.DUMMYFUNCTION("IFERROR(
IF(REGEXMATCH(LOWER(O973),""k""),
VALUE(REGEXEXTRACT(O973,""[0-9]+""))*1000,
VALUE(REGEXEXTRACT(O973,""[0-9]+""))
),
0
)"),0.0)</f>
        <v>0</v>
      </c>
      <c r="E973" s="1" t="s">
        <v>11</v>
      </c>
      <c r="F973" s="1" t="s">
        <v>20</v>
      </c>
      <c r="G973" s="4" t="b">
        <f t="shared" si="2"/>
        <v>1</v>
      </c>
      <c r="H973" s="1" t="str">
        <f t="shared" si="3"/>
        <v>Currently Unavailable</v>
      </c>
      <c r="I973" s="1" t="str">
        <f t="shared" si="4"/>
        <v>No Badges</v>
      </c>
      <c r="J973" s="3">
        <f t="shared" si="5"/>
        <v>0</v>
      </c>
    </row>
    <row r="974">
      <c r="A974" s="1" t="s">
        <v>855</v>
      </c>
      <c r="B974" s="3" t="str">
        <f t="shared" si="1"/>
        <v>Unavailable</v>
      </c>
      <c r="C974" s="3">
        <v>566.0</v>
      </c>
      <c r="D974" s="3">
        <f>IFERROR(__xludf.DUMMYFUNCTION("IFERROR(
IF(REGEXMATCH(LOWER(O974),""k""),
VALUE(REGEXEXTRACT(O974,""[0-9]+""))*1000,
VALUE(REGEXEXTRACT(O974,""[0-9]+""))
),
0
)"),0.0)</f>
        <v>0</v>
      </c>
      <c r="E974" s="1" t="s">
        <v>11</v>
      </c>
      <c r="F974" s="1" t="s">
        <v>20</v>
      </c>
      <c r="G974" s="4" t="b">
        <f t="shared" si="2"/>
        <v>1</v>
      </c>
      <c r="H974" s="1" t="str">
        <f t="shared" si="3"/>
        <v>Currently Unavailable</v>
      </c>
      <c r="I974" s="1" t="str">
        <f t="shared" si="4"/>
        <v>No Badges</v>
      </c>
      <c r="J974" s="3">
        <f t="shared" si="5"/>
        <v>0</v>
      </c>
    </row>
    <row r="975">
      <c r="A975" s="1" t="s">
        <v>856</v>
      </c>
      <c r="B975" s="3" t="str">
        <f t="shared" si="1"/>
        <v>Unavailable</v>
      </c>
      <c r="C975" s="3">
        <v>197.0</v>
      </c>
      <c r="D975" s="3">
        <f>IFERROR(__xludf.DUMMYFUNCTION("IFERROR(
IF(REGEXMATCH(LOWER(O975),""k""),
VALUE(REGEXEXTRACT(O975,""[0-9]+""))*1000,
VALUE(REGEXEXTRACT(O975,""[0-9]+""))
),
0
)"),0.0)</f>
        <v>0</v>
      </c>
      <c r="E975" s="1" t="s">
        <v>11</v>
      </c>
      <c r="F975" s="1" t="s">
        <v>20</v>
      </c>
      <c r="G975" s="4" t="b">
        <f t="shared" si="2"/>
        <v>1</v>
      </c>
      <c r="H975" s="1" t="str">
        <f t="shared" si="3"/>
        <v>Currently Unavailable</v>
      </c>
      <c r="I975" s="1" t="str">
        <f t="shared" si="4"/>
        <v>No Badges</v>
      </c>
      <c r="J975" s="3">
        <f t="shared" si="5"/>
        <v>0</v>
      </c>
    </row>
    <row r="976">
      <c r="A976" s="1" t="s">
        <v>857</v>
      </c>
      <c r="B976" s="3" t="str">
        <f t="shared" si="1"/>
        <v>Unavailable</v>
      </c>
      <c r="C976" s="3">
        <v>212.0</v>
      </c>
      <c r="D976" s="3">
        <f>IFERROR(__xludf.DUMMYFUNCTION("IFERROR(
IF(REGEXMATCH(LOWER(O976),""k""),
VALUE(REGEXEXTRACT(O976,""[0-9]+""))*1000,
VALUE(REGEXEXTRACT(O976,""[0-9]+""))
),
0
)"),0.0)</f>
        <v>0</v>
      </c>
      <c r="E976" s="1" t="s">
        <v>11</v>
      </c>
      <c r="F976" s="1" t="s">
        <v>20</v>
      </c>
      <c r="G976" s="4" t="b">
        <f t="shared" si="2"/>
        <v>1</v>
      </c>
      <c r="H976" s="1" t="str">
        <f t="shared" si="3"/>
        <v>Currently Unavailable</v>
      </c>
      <c r="I976" s="1" t="str">
        <f t="shared" si="4"/>
        <v>No Badges</v>
      </c>
      <c r="J976" s="3">
        <f t="shared" si="5"/>
        <v>0</v>
      </c>
    </row>
    <row r="977">
      <c r="A977" s="1" t="s">
        <v>858</v>
      </c>
      <c r="B977" s="3" t="str">
        <f t="shared" si="1"/>
        <v>Unavailable</v>
      </c>
      <c r="C977" s="5">
        <v>8228.0</v>
      </c>
      <c r="D977" s="3">
        <f>IFERROR(__xludf.DUMMYFUNCTION("IFERROR(
IF(REGEXMATCH(LOWER(O977),""k""),
VALUE(REGEXEXTRACT(O977,""[0-9]+""))*1000,
VALUE(REGEXEXTRACT(O977,""[0-9]+""))
),
0
)"),0.0)</f>
        <v>0</v>
      </c>
      <c r="E977" s="1" t="s">
        <v>11</v>
      </c>
      <c r="F977" s="1" t="s">
        <v>20</v>
      </c>
      <c r="G977" s="4" t="b">
        <f t="shared" si="2"/>
        <v>1</v>
      </c>
      <c r="H977" s="1" t="str">
        <f t="shared" si="3"/>
        <v>Currently Unavailable</v>
      </c>
      <c r="I977" s="1" t="str">
        <f t="shared" si="4"/>
        <v>No Badges</v>
      </c>
      <c r="J977" s="3">
        <f t="shared" si="5"/>
        <v>0</v>
      </c>
    </row>
    <row r="978">
      <c r="A978" s="1" t="s">
        <v>859</v>
      </c>
      <c r="B978" s="3" t="str">
        <f t="shared" si="1"/>
        <v>Unavailable</v>
      </c>
      <c r="C978" s="3">
        <v>166.0</v>
      </c>
      <c r="D978" s="3">
        <f>IFERROR(__xludf.DUMMYFUNCTION("IFERROR(
IF(REGEXMATCH(LOWER(O978),""k""),
VALUE(REGEXEXTRACT(O978,""[0-9]+""))*1000,
VALUE(REGEXEXTRACT(O978,""[0-9]+""))
),
0
)"),0.0)</f>
        <v>0</v>
      </c>
      <c r="E978" s="1" t="s">
        <v>11</v>
      </c>
      <c r="F978" s="1" t="s">
        <v>20</v>
      </c>
      <c r="G978" s="4" t="b">
        <f t="shared" si="2"/>
        <v>1</v>
      </c>
      <c r="H978" s="1" t="str">
        <f t="shared" si="3"/>
        <v>Currently Unavailable</v>
      </c>
      <c r="I978" s="1" t="str">
        <f t="shared" si="4"/>
        <v>No Badges</v>
      </c>
      <c r="J978" s="3">
        <f t="shared" si="5"/>
        <v>0</v>
      </c>
    </row>
    <row r="979">
      <c r="A979" s="1" t="s">
        <v>860</v>
      </c>
      <c r="B979" s="3" t="str">
        <f t="shared" si="1"/>
        <v>Unavailable</v>
      </c>
      <c r="C979" s="5">
        <v>1481.0</v>
      </c>
      <c r="D979" s="3">
        <f>IFERROR(__xludf.DUMMYFUNCTION("IFERROR(
IF(REGEXMATCH(LOWER(O979),""k""),
VALUE(REGEXEXTRACT(O979,""[0-9]+""))*1000,
VALUE(REGEXEXTRACT(O979,""[0-9]+""))
),
0
)"),0.0)</f>
        <v>0</v>
      </c>
      <c r="E979" s="1" t="s">
        <v>11</v>
      </c>
      <c r="F979" s="1" t="s">
        <v>20</v>
      </c>
      <c r="G979" s="4" t="b">
        <f t="shared" si="2"/>
        <v>1</v>
      </c>
      <c r="H979" s="1" t="str">
        <f t="shared" si="3"/>
        <v>Currently Unavailable</v>
      </c>
      <c r="I979" s="1" t="str">
        <f t="shared" si="4"/>
        <v>No Badges</v>
      </c>
      <c r="J979" s="3">
        <f t="shared" si="5"/>
        <v>0</v>
      </c>
    </row>
    <row r="980">
      <c r="A980" s="1" t="s">
        <v>861</v>
      </c>
      <c r="B980" s="3" t="str">
        <f t="shared" si="1"/>
        <v>Unavailable</v>
      </c>
      <c r="C980" s="3">
        <v>142.0</v>
      </c>
      <c r="D980" s="3">
        <f>IFERROR(__xludf.DUMMYFUNCTION("IFERROR(
IF(REGEXMATCH(LOWER(O980),""k""),
VALUE(REGEXEXTRACT(O980,""[0-9]+""))*1000,
VALUE(REGEXEXTRACT(O980,""[0-9]+""))
),
0
)"),0.0)</f>
        <v>0</v>
      </c>
      <c r="E980" s="1" t="s">
        <v>11</v>
      </c>
      <c r="F980" s="1" t="s">
        <v>20</v>
      </c>
      <c r="G980" s="4" t="b">
        <f t="shared" si="2"/>
        <v>1</v>
      </c>
      <c r="H980" s="1" t="str">
        <f t="shared" si="3"/>
        <v>Currently Unavailable</v>
      </c>
      <c r="I980" s="1" t="str">
        <f t="shared" si="4"/>
        <v>No Badges</v>
      </c>
      <c r="J980" s="3">
        <f t="shared" si="5"/>
        <v>0</v>
      </c>
    </row>
    <row r="981">
      <c r="A981" s="1" t="s">
        <v>862</v>
      </c>
      <c r="B981" s="3" t="str">
        <f t="shared" si="1"/>
        <v>Unavailable</v>
      </c>
      <c r="C981" s="5">
        <v>1001.0</v>
      </c>
      <c r="D981" s="3">
        <f>IFERROR(__xludf.DUMMYFUNCTION("IFERROR(
IF(REGEXMATCH(LOWER(O981),""k""),
VALUE(REGEXEXTRACT(O981,""[0-9]+""))*1000,
VALUE(REGEXEXTRACT(O981,""[0-9]+""))
),
0
)"),0.0)</f>
        <v>0</v>
      </c>
      <c r="E981" s="1" t="s">
        <v>11</v>
      </c>
      <c r="F981" s="1" t="s">
        <v>20</v>
      </c>
      <c r="G981" s="4" t="b">
        <f t="shared" si="2"/>
        <v>1</v>
      </c>
      <c r="H981" s="1" t="str">
        <f t="shared" si="3"/>
        <v>Currently Unavailable</v>
      </c>
      <c r="I981" s="1" t="str">
        <f t="shared" si="4"/>
        <v>No Badges</v>
      </c>
      <c r="J981" s="3">
        <f t="shared" si="5"/>
        <v>0</v>
      </c>
    </row>
    <row r="982">
      <c r="A982" s="1" t="s">
        <v>863</v>
      </c>
      <c r="B982" s="3" t="str">
        <f t="shared" si="1"/>
        <v>Unavailable</v>
      </c>
      <c r="C982" s="5">
        <v>2790.0</v>
      </c>
      <c r="D982" s="3">
        <f>IFERROR(__xludf.DUMMYFUNCTION("IFERROR(
IF(REGEXMATCH(LOWER(O982),""k""),
VALUE(REGEXEXTRACT(O982,""[0-9]+""))*1000,
VALUE(REGEXEXTRACT(O982,""[0-9]+""))
),
0
)"),0.0)</f>
        <v>0</v>
      </c>
      <c r="E982" s="1" t="s">
        <v>11</v>
      </c>
      <c r="F982" s="1" t="s">
        <v>20</v>
      </c>
      <c r="G982" s="4" t="b">
        <f t="shared" si="2"/>
        <v>1</v>
      </c>
      <c r="H982" s="1" t="str">
        <f t="shared" si="3"/>
        <v>Currently Unavailable</v>
      </c>
      <c r="I982" s="1" t="str">
        <f t="shared" si="4"/>
        <v>No Badges</v>
      </c>
      <c r="J982" s="3">
        <f t="shared" si="5"/>
        <v>0</v>
      </c>
    </row>
    <row r="983">
      <c r="A983" s="1" t="s">
        <v>864</v>
      </c>
      <c r="B983" s="3" t="str">
        <f t="shared" si="1"/>
        <v>Unavailable</v>
      </c>
      <c r="C983" s="3">
        <v>859.0</v>
      </c>
      <c r="D983" s="3">
        <f>IFERROR(__xludf.DUMMYFUNCTION("IFERROR(
IF(REGEXMATCH(LOWER(O983),""k""),
VALUE(REGEXEXTRACT(O983,""[0-9]+""))*1000,
VALUE(REGEXEXTRACT(O983,""[0-9]+""))
),
0
)"),0.0)</f>
        <v>0</v>
      </c>
      <c r="E983" s="1" t="s">
        <v>11</v>
      </c>
      <c r="F983" s="1" t="s">
        <v>20</v>
      </c>
      <c r="G983" s="4" t="b">
        <f t="shared" si="2"/>
        <v>1</v>
      </c>
      <c r="H983" s="1" t="str">
        <f t="shared" si="3"/>
        <v>Currently Unavailable</v>
      </c>
      <c r="I983" s="1" t="str">
        <f t="shared" si="4"/>
        <v>No Badges</v>
      </c>
      <c r="J983" s="3">
        <f t="shared" si="5"/>
        <v>0</v>
      </c>
    </row>
    <row r="984">
      <c r="A984" s="1" t="s">
        <v>865</v>
      </c>
      <c r="B984" s="3" t="str">
        <f t="shared" si="1"/>
        <v>Unavailable</v>
      </c>
      <c r="C984" s="3">
        <v>512.0</v>
      </c>
      <c r="D984" s="3">
        <f>IFERROR(__xludf.DUMMYFUNCTION("IFERROR(
IF(REGEXMATCH(LOWER(O984),""k""),
VALUE(REGEXEXTRACT(O984,""[0-9]+""))*1000,
VALUE(REGEXEXTRACT(O984,""[0-9]+""))
),
0
)"),0.0)</f>
        <v>0</v>
      </c>
      <c r="E984" s="1" t="s">
        <v>11</v>
      </c>
      <c r="F984" s="1" t="s">
        <v>20</v>
      </c>
      <c r="G984" s="4" t="b">
        <f t="shared" si="2"/>
        <v>1</v>
      </c>
      <c r="H984" s="1" t="str">
        <f t="shared" si="3"/>
        <v>Currently Unavailable</v>
      </c>
      <c r="I984" s="1" t="str">
        <f t="shared" si="4"/>
        <v>No Badges</v>
      </c>
      <c r="J984" s="3">
        <f t="shared" si="5"/>
        <v>0</v>
      </c>
    </row>
    <row r="985">
      <c r="A985" s="1" t="s">
        <v>866</v>
      </c>
      <c r="B985" s="3" t="str">
        <f t="shared" si="1"/>
        <v>Unavailable</v>
      </c>
      <c r="C985" s="5">
        <v>1421.0</v>
      </c>
      <c r="D985" s="3">
        <f>IFERROR(__xludf.DUMMYFUNCTION("IFERROR(
IF(REGEXMATCH(LOWER(O985),""k""),
VALUE(REGEXEXTRACT(O985,""[0-9]+""))*1000,
VALUE(REGEXEXTRACT(O985,""[0-9]+""))
),
0
)"),0.0)</f>
        <v>0</v>
      </c>
      <c r="E985" s="1" t="s">
        <v>11</v>
      </c>
      <c r="F985" s="1" t="s">
        <v>20</v>
      </c>
      <c r="G985" s="4" t="b">
        <f t="shared" si="2"/>
        <v>1</v>
      </c>
      <c r="H985" s="1" t="str">
        <f t="shared" si="3"/>
        <v>Currently Unavailable</v>
      </c>
      <c r="I985" s="1" t="str">
        <f t="shared" si="4"/>
        <v>No Badges</v>
      </c>
      <c r="J985" s="3">
        <f t="shared" si="5"/>
        <v>0</v>
      </c>
    </row>
    <row r="986">
      <c r="A986" s="1" t="s">
        <v>867</v>
      </c>
      <c r="B986" s="3" t="str">
        <f t="shared" si="1"/>
        <v>Unavailable</v>
      </c>
      <c r="C986" s="5">
        <v>7795.0</v>
      </c>
      <c r="D986" s="3">
        <f>IFERROR(__xludf.DUMMYFUNCTION("IFERROR(
IF(REGEXMATCH(LOWER(O986),""k""),
VALUE(REGEXEXTRACT(O986,""[0-9]+""))*1000,
VALUE(REGEXEXTRACT(O986,""[0-9]+""))
),
0
)"),0.0)</f>
        <v>0</v>
      </c>
      <c r="E986" s="1" t="s">
        <v>11</v>
      </c>
      <c r="F986" s="1" t="s">
        <v>20</v>
      </c>
      <c r="G986" s="4" t="b">
        <f t="shared" si="2"/>
        <v>1</v>
      </c>
      <c r="H986" s="1" t="str">
        <f t="shared" si="3"/>
        <v>Currently Unavailable</v>
      </c>
      <c r="I986" s="1" t="str">
        <f t="shared" si="4"/>
        <v>No Badges</v>
      </c>
      <c r="J986" s="3">
        <f t="shared" si="5"/>
        <v>0</v>
      </c>
    </row>
    <row r="987">
      <c r="A987" s="1" t="s">
        <v>868</v>
      </c>
      <c r="B987" s="3" t="str">
        <f t="shared" si="1"/>
        <v>Unavailable</v>
      </c>
      <c r="C987" s="3">
        <v>426.0</v>
      </c>
      <c r="D987" s="3">
        <f>IFERROR(__xludf.DUMMYFUNCTION("IFERROR(
IF(REGEXMATCH(LOWER(O987),""k""),
VALUE(REGEXEXTRACT(O987,""[0-9]+""))*1000,
VALUE(REGEXEXTRACT(O987,""[0-9]+""))
),
0
)"),0.0)</f>
        <v>0</v>
      </c>
      <c r="E987" s="1" t="s">
        <v>11</v>
      </c>
      <c r="F987" s="1" t="s">
        <v>20</v>
      </c>
      <c r="G987" s="4" t="b">
        <f t="shared" si="2"/>
        <v>1</v>
      </c>
      <c r="H987" s="1" t="str">
        <f t="shared" si="3"/>
        <v>Currently Unavailable</v>
      </c>
      <c r="I987" s="1" t="str">
        <f t="shared" si="4"/>
        <v>No Badges</v>
      </c>
      <c r="J987" s="3">
        <f t="shared" si="5"/>
        <v>0</v>
      </c>
    </row>
    <row r="988">
      <c r="A988" s="1" t="s">
        <v>69</v>
      </c>
      <c r="B988" s="3" t="str">
        <f t="shared" si="1"/>
        <v>Unavailable</v>
      </c>
      <c r="C988" s="3">
        <v>45.0</v>
      </c>
      <c r="D988" s="3">
        <f>IFERROR(__xludf.DUMMYFUNCTION("IFERROR(
IF(REGEXMATCH(LOWER(O988),""k""),
VALUE(REGEXEXTRACT(O988,""[0-9]+""))*1000,
VALUE(REGEXEXTRACT(O988,""[0-9]+""))
),
0
)"),0.0)</f>
        <v>0</v>
      </c>
      <c r="E988" s="1" t="s">
        <v>11</v>
      </c>
      <c r="F988" s="1" t="s">
        <v>12</v>
      </c>
      <c r="G988" s="4" t="b">
        <f t="shared" si="2"/>
        <v>1</v>
      </c>
      <c r="H988" s="1" t="str">
        <f t="shared" si="3"/>
        <v>Currently Unavailable</v>
      </c>
      <c r="I988" s="1" t="str">
        <f t="shared" si="4"/>
        <v>No Badges</v>
      </c>
      <c r="J988" s="3">
        <f t="shared" si="5"/>
        <v>0</v>
      </c>
    </row>
    <row r="989">
      <c r="A989" s="1" t="s">
        <v>869</v>
      </c>
      <c r="B989" s="3" t="str">
        <f t="shared" si="1"/>
        <v>Unavailable</v>
      </c>
      <c r="C989" s="5">
        <v>1159.0</v>
      </c>
      <c r="D989" s="3">
        <f>IFERROR(__xludf.DUMMYFUNCTION("IFERROR(
IF(REGEXMATCH(LOWER(O989),""k""),
VALUE(REGEXEXTRACT(O989,""[0-9]+""))*1000,
VALUE(REGEXEXTRACT(O989,""[0-9]+""))
),
0
)"),0.0)</f>
        <v>0</v>
      </c>
      <c r="E989" s="1" t="s">
        <v>11</v>
      </c>
      <c r="F989" s="1" t="s">
        <v>20</v>
      </c>
      <c r="G989" s="4" t="b">
        <f t="shared" si="2"/>
        <v>1</v>
      </c>
      <c r="H989" s="1" t="str">
        <f t="shared" si="3"/>
        <v>Currently Unavailable</v>
      </c>
      <c r="I989" s="1" t="str">
        <f t="shared" si="4"/>
        <v>No Badges</v>
      </c>
      <c r="J989" s="3">
        <f t="shared" si="5"/>
        <v>0</v>
      </c>
    </row>
    <row r="990">
      <c r="A990" s="1" t="s">
        <v>870</v>
      </c>
      <c r="B990" s="3" t="str">
        <f t="shared" si="1"/>
        <v>Unavailable</v>
      </c>
      <c r="C990" s="5">
        <v>4089.0</v>
      </c>
      <c r="D990" s="3">
        <f>IFERROR(__xludf.DUMMYFUNCTION("IFERROR(
IF(REGEXMATCH(LOWER(O990),""k""),
VALUE(REGEXEXTRACT(O990,""[0-9]+""))*1000,
VALUE(REGEXEXTRACT(O990,""[0-9]+""))
),
0
)"),0.0)</f>
        <v>0</v>
      </c>
      <c r="E990" s="1" t="s">
        <v>11</v>
      </c>
      <c r="F990" s="1" t="s">
        <v>20</v>
      </c>
      <c r="G990" s="4" t="b">
        <f t="shared" si="2"/>
        <v>1</v>
      </c>
      <c r="H990" s="1" t="str">
        <f t="shared" si="3"/>
        <v>Currently Unavailable</v>
      </c>
      <c r="I990" s="1" t="str">
        <f t="shared" si="4"/>
        <v>No Badges</v>
      </c>
      <c r="J990" s="3">
        <f t="shared" si="5"/>
        <v>0</v>
      </c>
    </row>
    <row r="991">
      <c r="A991" s="1" t="s">
        <v>871</v>
      </c>
      <c r="B991" s="3" t="str">
        <f t="shared" si="1"/>
        <v>Unavailable</v>
      </c>
      <c r="C991" s="3">
        <v>17.0</v>
      </c>
      <c r="D991" s="3">
        <f>IFERROR(__xludf.DUMMYFUNCTION("IFERROR(
IF(REGEXMATCH(LOWER(O991),""k""),
VALUE(REGEXEXTRACT(O991,""[0-9]+""))*1000,
VALUE(REGEXEXTRACT(O991,""[0-9]+""))
),
0
)"),0.0)</f>
        <v>0</v>
      </c>
      <c r="E991" s="1" t="s">
        <v>11</v>
      </c>
      <c r="F991" s="1" t="s">
        <v>20</v>
      </c>
      <c r="G991" s="4" t="b">
        <f t="shared" si="2"/>
        <v>1</v>
      </c>
      <c r="H991" s="1" t="str">
        <f t="shared" si="3"/>
        <v>Currently Unavailable</v>
      </c>
      <c r="I991" s="1" t="str">
        <f t="shared" si="4"/>
        <v>No Badges</v>
      </c>
      <c r="J991" s="3">
        <f t="shared" si="5"/>
        <v>0</v>
      </c>
    </row>
    <row r="992">
      <c r="A992" s="1" t="s">
        <v>872</v>
      </c>
      <c r="B992" s="3" t="str">
        <f t="shared" si="1"/>
        <v>Unavailable</v>
      </c>
      <c r="C992" s="5">
        <v>5795.0</v>
      </c>
      <c r="D992" s="3">
        <f>IFERROR(__xludf.DUMMYFUNCTION("IFERROR(
IF(REGEXMATCH(LOWER(O992),""k""),
VALUE(REGEXEXTRACT(O992,""[0-9]+""))*1000,
VALUE(REGEXEXTRACT(O992,""[0-9]+""))
),
0
)"),0.0)</f>
        <v>0</v>
      </c>
      <c r="E992" s="1" t="s">
        <v>11</v>
      </c>
      <c r="F992" s="1" t="s">
        <v>20</v>
      </c>
      <c r="G992" s="4" t="b">
        <f t="shared" si="2"/>
        <v>1</v>
      </c>
      <c r="H992" s="1" t="str">
        <f t="shared" si="3"/>
        <v>Currently Unavailable</v>
      </c>
      <c r="I992" s="1" t="str">
        <f t="shared" si="4"/>
        <v>No Badges</v>
      </c>
      <c r="J992" s="3">
        <f t="shared" si="5"/>
        <v>0</v>
      </c>
    </row>
    <row r="993">
      <c r="A993" s="1" t="s">
        <v>873</v>
      </c>
      <c r="B993" s="3" t="str">
        <f t="shared" si="1"/>
        <v>Unavailable</v>
      </c>
      <c r="C993" s="3">
        <v>235.0</v>
      </c>
      <c r="D993" s="3">
        <f>IFERROR(__xludf.DUMMYFUNCTION("IFERROR(
IF(REGEXMATCH(LOWER(O993),""k""),
VALUE(REGEXEXTRACT(O993,""[0-9]+""))*1000,
VALUE(REGEXEXTRACT(O993,""[0-9]+""))
),
0
)"),0.0)</f>
        <v>0</v>
      </c>
      <c r="E993" s="1" t="s">
        <v>11</v>
      </c>
      <c r="F993" s="1" t="s">
        <v>20</v>
      </c>
      <c r="G993" s="4" t="b">
        <f t="shared" si="2"/>
        <v>1</v>
      </c>
      <c r="H993" s="1" t="str">
        <f t="shared" si="3"/>
        <v>Currently Unavailable</v>
      </c>
      <c r="I993" s="1" t="str">
        <f t="shared" si="4"/>
        <v>No Badges</v>
      </c>
      <c r="J993" s="3">
        <f t="shared" si="5"/>
        <v>0</v>
      </c>
    </row>
    <row r="994">
      <c r="A994" s="1" t="s">
        <v>874</v>
      </c>
      <c r="B994" s="3" t="str">
        <f t="shared" si="1"/>
        <v>Unavailable</v>
      </c>
      <c r="C994" s="3">
        <v>435.0</v>
      </c>
      <c r="D994" s="3">
        <f>IFERROR(__xludf.DUMMYFUNCTION("IFERROR(
IF(REGEXMATCH(LOWER(O994),""k""),
VALUE(REGEXEXTRACT(O994,""[0-9]+""))*1000,
VALUE(REGEXEXTRACT(O994,""[0-9]+""))
),
0
)"),0.0)</f>
        <v>0</v>
      </c>
      <c r="E994" s="1" t="s">
        <v>11</v>
      </c>
      <c r="F994" s="1" t="s">
        <v>20</v>
      </c>
      <c r="G994" s="4" t="b">
        <f t="shared" si="2"/>
        <v>1</v>
      </c>
      <c r="H994" s="1" t="str">
        <f t="shared" si="3"/>
        <v>Currently Unavailable</v>
      </c>
      <c r="I994" s="1" t="str">
        <f t="shared" si="4"/>
        <v>No Badges</v>
      </c>
      <c r="J994" s="3">
        <f t="shared" si="5"/>
        <v>0</v>
      </c>
    </row>
    <row r="995">
      <c r="A995" s="1" t="s">
        <v>875</v>
      </c>
      <c r="B995" s="3" t="str">
        <f t="shared" si="1"/>
        <v>Unavailable</v>
      </c>
      <c r="C995" s="3">
        <v>373.0</v>
      </c>
      <c r="D995" s="3">
        <f>IFERROR(__xludf.DUMMYFUNCTION("IFERROR(
IF(REGEXMATCH(LOWER(O995),""k""),
VALUE(REGEXEXTRACT(O995,""[0-9]+""))*1000,
VALUE(REGEXEXTRACT(O995,""[0-9]+""))
),
0
)"),0.0)</f>
        <v>0</v>
      </c>
      <c r="E995" s="1" t="s">
        <v>11</v>
      </c>
      <c r="F995" s="1" t="s">
        <v>20</v>
      </c>
      <c r="G995" s="4" t="b">
        <f t="shared" si="2"/>
        <v>1</v>
      </c>
      <c r="H995" s="1" t="str">
        <f t="shared" si="3"/>
        <v>Currently Unavailable</v>
      </c>
      <c r="I995" s="1" t="str">
        <f t="shared" si="4"/>
        <v>No Badges</v>
      </c>
      <c r="J995" s="3">
        <f t="shared" si="5"/>
        <v>0</v>
      </c>
    </row>
    <row r="996">
      <c r="A996" s="1" t="s">
        <v>876</v>
      </c>
      <c r="B996" s="3" t="str">
        <f t="shared" si="1"/>
        <v>Unavailable</v>
      </c>
      <c r="C996" s="3">
        <v>96.0</v>
      </c>
      <c r="D996" s="3">
        <f>IFERROR(__xludf.DUMMYFUNCTION("IFERROR(
IF(REGEXMATCH(LOWER(O996),""k""),
VALUE(REGEXEXTRACT(O996,""[0-9]+""))*1000,
VALUE(REGEXEXTRACT(O996,""[0-9]+""))
),
0
)"),0.0)</f>
        <v>0</v>
      </c>
      <c r="E996" s="1" t="s">
        <v>11</v>
      </c>
      <c r="F996" s="1" t="s">
        <v>20</v>
      </c>
      <c r="G996" s="4" t="b">
        <f t="shared" si="2"/>
        <v>1</v>
      </c>
      <c r="H996" s="1" t="str">
        <f t="shared" si="3"/>
        <v>Currently Unavailable</v>
      </c>
      <c r="I996" s="1" t="str">
        <f t="shared" si="4"/>
        <v>No Badges</v>
      </c>
      <c r="J996" s="3">
        <f t="shared" si="5"/>
        <v>0</v>
      </c>
    </row>
    <row r="997">
      <c r="A997" s="1" t="s">
        <v>877</v>
      </c>
      <c r="B997" s="3" t="str">
        <f t="shared" si="1"/>
        <v>Unavailable</v>
      </c>
      <c r="C997" s="5">
        <v>5686.0</v>
      </c>
      <c r="D997" s="3">
        <f>IFERROR(__xludf.DUMMYFUNCTION("IFERROR(
IF(REGEXMATCH(LOWER(O997),""k""),
VALUE(REGEXEXTRACT(O997,""[0-9]+""))*1000,
VALUE(REGEXEXTRACT(O997,""[0-9]+""))
),
0
)"),0.0)</f>
        <v>0</v>
      </c>
      <c r="E997" s="1" t="s">
        <v>11</v>
      </c>
      <c r="F997" s="1" t="s">
        <v>20</v>
      </c>
      <c r="G997" s="4" t="b">
        <f t="shared" si="2"/>
        <v>1</v>
      </c>
      <c r="H997" s="1" t="str">
        <f t="shared" si="3"/>
        <v>Currently Unavailable</v>
      </c>
      <c r="I997" s="1" t="str">
        <f t="shared" si="4"/>
        <v>No Badges</v>
      </c>
      <c r="J997" s="3">
        <f t="shared" si="5"/>
        <v>0</v>
      </c>
    </row>
    <row r="998">
      <c r="A998" s="1" t="s">
        <v>878</v>
      </c>
      <c r="B998" s="3" t="str">
        <f t="shared" si="1"/>
        <v>Unavailable</v>
      </c>
      <c r="C998" s="5">
        <v>39951.0</v>
      </c>
      <c r="D998" s="3">
        <f>IFERROR(__xludf.DUMMYFUNCTION("IFERROR(
IF(REGEXMATCH(LOWER(O998),""k""),
VALUE(REGEXEXTRACT(O998,""[0-9]+""))*1000,
VALUE(REGEXEXTRACT(O998,""[0-9]+""))
),
0
)"),0.0)</f>
        <v>0</v>
      </c>
      <c r="E998" s="1" t="s">
        <v>11</v>
      </c>
      <c r="F998" s="1" t="s">
        <v>20</v>
      </c>
      <c r="G998" s="4" t="b">
        <f t="shared" si="2"/>
        <v>1</v>
      </c>
      <c r="H998" s="1" t="str">
        <f t="shared" si="3"/>
        <v>Currently Unavailable</v>
      </c>
      <c r="I998" s="1" t="str">
        <f t="shared" si="4"/>
        <v>No Badges</v>
      </c>
      <c r="J998" s="3">
        <f t="shared" si="5"/>
        <v>0</v>
      </c>
    </row>
    <row r="999">
      <c r="A999" s="1" t="s">
        <v>879</v>
      </c>
      <c r="B999" s="3" t="str">
        <f t="shared" si="1"/>
        <v>Unavailable</v>
      </c>
      <c r="C999" s="3">
        <v>420.0</v>
      </c>
      <c r="D999" s="3">
        <f>IFERROR(__xludf.DUMMYFUNCTION("IFERROR(
IF(REGEXMATCH(LOWER(O999),""k""),
VALUE(REGEXEXTRACT(O999,""[0-9]+""))*1000,
VALUE(REGEXEXTRACT(O999,""[0-9]+""))
),
0
)"),0.0)</f>
        <v>0</v>
      </c>
      <c r="E999" s="1" t="s">
        <v>11</v>
      </c>
      <c r="F999" s="1" t="s">
        <v>20</v>
      </c>
      <c r="G999" s="4" t="b">
        <f t="shared" si="2"/>
        <v>1</v>
      </c>
      <c r="H999" s="1" t="str">
        <f t="shared" si="3"/>
        <v>Currently Unavailable</v>
      </c>
      <c r="I999" s="1" t="str">
        <f t="shared" si="4"/>
        <v>No Badges</v>
      </c>
      <c r="J999" s="3">
        <f t="shared" si="5"/>
        <v>0</v>
      </c>
    </row>
    <row r="1000">
      <c r="A1000" s="1" t="s">
        <v>880</v>
      </c>
      <c r="B1000" s="3" t="str">
        <f t="shared" si="1"/>
        <v>Unavailable</v>
      </c>
      <c r="C1000" s="5">
        <v>7503.0</v>
      </c>
      <c r="D1000" s="3">
        <f>IFERROR(__xludf.DUMMYFUNCTION("IFERROR(
IF(REGEXMATCH(LOWER(O1000),""k""),
VALUE(REGEXEXTRACT(O1000,""[0-9]+""))*1000,
VALUE(REGEXEXTRACT(O1000,""[0-9]+""))
),
0
)"),0.0)</f>
        <v>0</v>
      </c>
      <c r="E1000" s="1" t="s">
        <v>11</v>
      </c>
      <c r="F1000" s="1" t="s">
        <v>20</v>
      </c>
      <c r="G1000" s="4" t="b">
        <f t="shared" si="2"/>
        <v>1</v>
      </c>
      <c r="H1000" s="1" t="str">
        <f t="shared" si="3"/>
        <v>Currently Unavailable</v>
      </c>
      <c r="I1000" s="1" t="str">
        <f t="shared" si="4"/>
        <v>No Badges</v>
      </c>
      <c r="J1000" s="3">
        <f t="shared" si="5"/>
        <v>0</v>
      </c>
    </row>
    <row r="1001">
      <c r="A1001" s="1" t="s">
        <v>67</v>
      </c>
      <c r="B1001" s="3" t="str">
        <f t="shared" si="1"/>
        <v>Unavailable</v>
      </c>
      <c r="C1001" s="3">
        <v>264.0</v>
      </c>
      <c r="D1001" s="3">
        <f>IFERROR(__xludf.DUMMYFUNCTION("IFERROR(
IF(REGEXMATCH(LOWER(O1001),""k""),
VALUE(REGEXEXTRACT(O1001,""[0-9]+""))*1000,
VALUE(REGEXEXTRACT(O1001,""[0-9]+""))
),
0
)"),0.0)</f>
        <v>0</v>
      </c>
      <c r="E1001" s="1" t="s">
        <v>11</v>
      </c>
      <c r="F1001" s="1" t="s">
        <v>12</v>
      </c>
      <c r="G1001" s="4" t="b">
        <f t="shared" si="2"/>
        <v>1</v>
      </c>
      <c r="H1001" s="1" t="str">
        <f t="shared" si="3"/>
        <v>Currently Unavailable</v>
      </c>
      <c r="I1001" s="1" t="str">
        <f t="shared" si="4"/>
        <v>No Badges</v>
      </c>
      <c r="J1001" s="3">
        <f t="shared" si="5"/>
        <v>0</v>
      </c>
    </row>
    <row r="1002">
      <c r="A1002" s="1" t="s">
        <v>567</v>
      </c>
      <c r="B1002" s="3" t="str">
        <f t="shared" si="1"/>
        <v>Unavailable</v>
      </c>
      <c r="C1002" s="3">
        <v>399.0</v>
      </c>
      <c r="D1002" s="3">
        <f>IFERROR(__xludf.DUMMYFUNCTION("IFERROR(
IF(REGEXMATCH(LOWER(O1002),""k""),
VALUE(REGEXEXTRACT(O1002,""[0-9]+""))*1000,
VALUE(REGEXEXTRACT(O1002,""[0-9]+""))
),
0
)"),0.0)</f>
        <v>0</v>
      </c>
      <c r="E1002" s="1" t="s">
        <v>18</v>
      </c>
      <c r="F1002" s="1" t="s">
        <v>20</v>
      </c>
      <c r="G1002" s="4" t="b">
        <f t="shared" si="2"/>
        <v>1</v>
      </c>
      <c r="H1002" s="1" t="str">
        <f t="shared" si="3"/>
        <v>Currently Unavailable</v>
      </c>
      <c r="I1002" s="1" t="str">
        <f t="shared" si="4"/>
        <v>No Badges</v>
      </c>
      <c r="J1002" s="3">
        <f t="shared" si="5"/>
        <v>0</v>
      </c>
    </row>
    <row r="1003">
      <c r="A1003" s="1" t="s">
        <v>701</v>
      </c>
      <c r="B1003" s="3" t="str">
        <f t="shared" si="1"/>
        <v>Unavailable</v>
      </c>
      <c r="C1003" s="3">
        <v>8.0</v>
      </c>
      <c r="D1003" s="3">
        <f>IFERROR(__xludf.DUMMYFUNCTION("IFERROR(
IF(REGEXMATCH(LOWER(O1003),""k""),
VALUE(REGEXEXTRACT(O1003,""[0-9]+""))*1000,
VALUE(REGEXEXTRACT(O1003,""[0-9]+""))
),
0
)"),0.0)</f>
        <v>0</v>
      </c>
      <c r="E1003" s="1" t="s">
        <v>11</v>
      </c>
      <c r="F1003" s="1" t="s">
        <v>12</v>
      </c>
      <c r="G1003" s="4" t="b">
        <f t="shared" si="2"/>
        <v>1</v>
      </c>
      <c r="H1003" s="1" t="str">
        <f t="shared" si="3"/>
        <v>Currently Unavailable</v>
      </c>
      <c r="I1003" s="1" t="str">
        <f t="shared" si="4"/>
        <v>No Badges</v>
      </c>
      <c r="J1003" s="3">
        <f t="shared" si="5"/>
        <v>0</v>
      </c>
    </row>
    <row r="1004">
      <c r="A1004" s="1" t="s">
        <v>881</v>
      </c>
      <c r="B1004" s="3" t="str">
        <f t="shared" si="1"/>
        <v>Unavailable</v>
      </c>
      <c r="C1004" s="3">
        <v>303.0</v>
      </c>
      <c r="D1004" s="3">
        <f>IFERROR(__xludf.DUMMYFUNCTION("IFERROR(
IF(REGEXMATCH(LOWER(O1004),""k""),
VALUE(REGEXEXTRACT(O1004,""[0-9]+""))*1000,
VALUE(REGEXEXTRACT(O1004,""[0-9]+""))
),
0
)"),0.0)</f>
        <v>0</v>
      </c>
      <c r="E1004" s="1" t="s">
        <v>11</v>
      </c>
      <c r="F1004" s="1" t="s">
        <v>20</v>
      </c>
      <c r="G1004" s="4" t="b">
        <f t="shared" si="2"/>
        <v>1</v>
      </c>
      <c r="H1004" s="1" t="str">
        <f t="shared" si="3"/>
        <v>Currently Unavailable</v>
      </c>
      <c r="I1004" s="1" t="str">
        <f t="shared" si="4"/>
        <v>No Badges</v>
      </c>
      <c r="J1004" s="3">
        <f t="shared" si="5"/>
        <v>0</v>
      </c>
    </row>
    <row r="1005">
      <c r="A1005" s="1" t="s">
        <v>882</v>
      </c>
      <c r="B1005" s="3" t="str">
        <f t="shared" si="1"/>
        <v>Unavailable</v>
      </c>
      <c r="C1005" s="3">
        <v>263.0</v>
      </c>
      <c r="D1005" s="3">
        <f>IFERROR(__xludf.DUMMYFUNCTION("IFERROR(
IF(REGEXMATCH(LOWER(O1005),""k""),
VALUE(REGEXEXTRACT(O1005,""[0-9]+""))*1000,
VALUE(REGEXEXTRACT(O1005,""[0-9]+""))
),
0
)"),0.0)</f>
        <v>0</v>
      </c>
      <c r="E1005" s="1" t="s">
        <v>11</v>
      </c>
      <c r="F1005" s="1" t="s">
        <v>20</v>
      </c>
      <c r="G1005" s="4" t="b">
        <f t="shared" si="2"/>
        <v>1</v>
      </c>
      <c r="H1005" s="1" t="str">
        <f t="shared" si="3"/>
        <v>Currently Unavailable</v>
      </c>
      <c r="I1005" s="1" t="str">
        <f t="shared" si="4"/>
        <v>No Badges</v>
      </c>
      <c r="J1005" s="3">
        <f t="shared" si="5"/>
        <v>0</v>
      </c>
    </row>
    <row r="1006">
      <c r="A1006" s="1" t="s">
        <v>883</v>
      </c>
      <c r="B1006" s="3" t="str">
        <f t="shared" si="1"/>
        <v>Unavailable</v>
      </c>
      <c r="C1006" s="3">
        <v>566.0</v>
      </c>
      <c r="D1006" s="3">
        <f>IFERROR(__xludf.DUMMYFUNCTION("IFERROR(
IF(REGEXMATCH(LOWER(O1006),""k""),
VALUE(REGEXEXTRACT(O1006,""[0-9]+""))*1000,
VALUE(REGEXEXTRACT(O1006,""[0-9]+""))
),
0
)"),0.0)</f>
        <v>0</v>
      </c>
      <c r="E1006" s="1" t="s">
        <v>11</v>
      </c>
      <c r="F1006" s="1" t="s">
        <v>20</v>
      </c>
      <c r="G1006" s="4" t="b">
        <f t="shared" si="2"/>
        <v>1</v>
      </c>
      <c r="H1006" s="1" t="str">
        <f t="shared" si="3"/>
        <v>Currently Unavailable</v>
      </c>
      <c r="I1006" s="1" t="str">
        <f t="shared" si="4"/>
        <v>No Badges</v>
      </c>
      <c r="J1006" s="3">
        <f t="shared" si="5"/>
        <v>0</v>
      </c>
    </row>
    <row r="1007">
      <c r="A1007" s="1" t="s">
        <v>884</v>
      </c>
      <c r="B1007" s="3" t="str">
        <f t="shared" si="1"/>
        <v>Unavailable</v>
      </c>
      <c r="C1007" s="3">
        <v>944.0</v>
      </c>
      <c r="D1007" s="3">
        <f>IFERROR(__xludf.DUMMYFUNCTION("IFERROR(
IF(REGEXMATCH(LOWER(O1007),""k""),
VALUE(REGEXEXTRACT(O1007,""[0-9]+""))*1000,
VALUE(REGEXEXTRACT(O1007,""[0-9]+""))
),
0
)"),0.0)</f>
        <v>0</v>
      </c>
      <c r="E1007" s="1" t="s">
        <v>11</v>
      </c>
      <c r="F1007" s="1" t="s">
        <v>20</v>
      </c>
      <c r="G1007" s="4" t="b">
        <f t="shared" si="2"/>
        <v>1</v>
      </c>
      <c r="H1007" s="1" t="str">
        <f t="shared" si="3"/>
        <v>Currently Unavailable</v>
      </c>
      <c r="I1007" s="1" t="str">
        <f t="shared" si="4"/>
        <v>No Badges</v>
      </c>
      <c r="J1007" s="3">
        <f t="shared" si="5"/>
        <v>0</v>
      </c>
    </row>
    <row r="1008">
      <c r="A1008" s="1" t="s">
        <v>885</v>
      </c>
      <c r="B1008" s="3" t="str">
        <f t="shared" si="1"/>
        <v>Unavailable</v>
      </c>
      <c r="C1008" s="3">
        <v>160.0</v>
      </c>
      <c r="D1008" s="3">
        <f>IFERROR(__xludf.DUMMYFUNCTION("IFERROR(
IF(REGEXMATCH(LOWER(O1008),""k""),
VALUE(REGEXEXTRACT(O1008,""[0-9]+""))*1000,
VALUE(REGEXEXTRACT(O1008,""[0-9]+""))
),
0
)"),0.0)</f>
        <v>0</v>
      </c>
      <c r="E1008" s="1" t="s">
        <v>11</v>
      </c>
      <c r="F1008" s="1" t="s">
        <v>20</v>
      </c>
      <c r="G1008" s="4" t="b">
        <f t="shared" si="2"/>
        <v>1</v>
      </c>
      <c r="H1008" s="1" t="str">
        <f t="shared" si="3"/>
        <v>Currently Unavailable</v>
      </c>
      <c r="I1008" s="1" t="str">
        <f t="shared" si="4"/>
        <v>No Badges</v>
      </c>
      <c r="J1008" s="3">
        <f t="shared" si="5"/>
        <v>0</v>
      </c>
    </row>
    <row r="1009">
      <c r="A1009" s="1" t="s">
        <v>886</v>
      </c>
      <c r="B1009" s="3" t="str">
        <f t="shared" si="1"/>
        <v>Unavailable</v>
      </c>
      <c r="C1009" s="3">
        <v>18.0</v>
      </c>
      <c r="D1009" s="3">
        <f>IFERROR(__xludf.DUMMYFUNCTION("IFERROR(
IF(REGEXMATCH(LOWER(O1009),""k""),
VALUE(REGEXEXTRACT(O1009,""[0-9]+""))*1000,
VALUE(REGEXEXTRACT(O1009,""[0-9]+""))
),
0
)"),0.0)</f>
        <v>0</v>
      </c>
      <c r="E1009" s="1" t="s">
        <v>11</v>
      </c>
      <c r="F1009" s="1" t="s">
        <v>20</v>
      </c>
      <c r="G1009" s="4" t="b">
        <f t="shared" si="2"/>
        <v>1</v>
      </c>
      <c r="H1009" s="1" t="str">
        <f t="shared" si="3"/>
        <v>Currently Unavailable</v>
      </c>
      <c r="I1009" s="1" t="str">
        <f t="shared" si="4"/>
        <v>No Badges</v>
      </c>
      <c r="J1009" s="3">
        <f t="shared" si="5"/>
        <v>0</v>
      </c>
    </row>
    <row r="1010">
      <c r="A1010" s="1" t="s">
        <v>887</v>
      </c>
      <c r="B1010" s="3" t="str">
        <f t="shared" si="1"/>
        <v>Unavailable</v>
      </c>
      <c r="C1010" s="3">
        <v>89.0</v>
      </c>
      <c r="D1010" s="3">
        <f>IFERROR(__xludf.DUMMYFUNCTION("IFERROR(
IF(REGEXMATCH(LOWER(O1010),""k""),
VALUE(REGEXEXTRACT(O1010,""[0-9]+""))*1000,
VALUE(REGEXEXTRACT(O1010,""[0-9]+""))
),
0
)"),0.0)</f>
        <v>0</v>
      </c>
      <c r="E1010" s="1" t="s">
        <v>11</v>
      </c>
      <c r="F1010" s="1" t="s">
        <v>20</v>
      </c>
      <c r="G1010" s="4" t="b">
        <f t="shared" si="2"/>
        <v>1</v>
      </c>
      <c r="H1010" s="1" t="str">
        <f t="shared" si="3"/>
        <v>Currently Unavailable</v>
      </c>
      <c r="I1010" s="1" t="str">
        <f t="shared" si="4"/>
        <v>No Badges</v>
      </c>
      <c r="J1010" s="3">
        <f t="shared" si="5"/>
        <v>0</v>
      </c>
    </row>
    <row r="1011">
      <c r="A1011" s="1" t="s">
        <v>888</v>
      </c>
      <c r="B1011" s="3" t="str">
        <f t="shared" si="1"/>
        <v>Unavailable</v>
      </c>
      <c r="C1011" s="5">
        <v>11914.0</v>
      </c>
      <c r="D1011" s="3">
        <f>IFERROR(__xludf.DUMMYFUNCTION("IFERROR(
IF(REGEXMATCH(LOWER(O1011),""k""),
VALUE(REGEXEXTRACT(O1011,""[0-9]+""))*1000,
VALUE(REGEXEXTRACT(O1011,""[0-9]+""))
),
0
)"),0.0)</f>
        <v>0</v>
      </c>
      <c r="E1011" s="1" t="s">
        <v>11</v>
      </c>
      <c r="F1011" s="1" t="s">
        <v>20</v>
      </c>
      <c r="G1011" s="4" t="b">
        <f t="shared" si="2"/>
        <v>1</v>
      </c>
      <c r="H1011" s="1" t="str">
        <f t="shared" si="3"/>
        <v>Currently Unavailable</v>
      </c>
      <c r="I1011" s="1" t="str">
        <f t="shared" si="4"/>
        <v>No Badges</v>
      </c>
      <c r="J1011" s="3">
        <f t="shared" si="5"/>
        <v>0</v>
      </c>
    </row>
    <row r="1012">
      <c r="A1012" s="1" t="s">
        <v>889</v>
      </c>
      <c r="B1012" s="3" t="str">
        <f t="shared" si="1"/>
        <v>Unavailable</v>
      </c>
      <c r="C1012" s="3">
        <v>88.0</v>
      </c>
      <c r="D1012" s="3">
        <f>IFERROR(__xludf.DUMMYFUNCTION("IFERROR(
IF(REGEXMATCH(LOWER(O1012),""k""),
VALUE(REGEXEXTRACT(O1012,""[0-9]+""))*1000,
VALUE(REGEXEXTRACT(O1012,""[0-9]+""))
),
0
)"),0.0)</f>
        <v>0</v>
      </c>
      <c r="E1012" s="1" t="s">
        <v>11</v>
      </c>
      <c r="F1012" s="1" t="s">
        <v>20</v>
      </c>
      <c r="G1012" s="4" t="b">
        <f t="shared" si="2"/>
        <v>1</v>
      </c>
      <c r="H1012" s="1" t="str">
        <f t="shared" si="3"/>
        <v>Currently Unavailable</v>
      </c>
      <c r="I1012" s="1" t="str">
        <f t="shared" si="4"/>
        <v>No Badges</v>
      </c>
      <c r="J1012" s="3">
        <f t="shared" si="5"/>
        <v>0</v>
      </c>
    </row>
    <row r="1013">
      <c r="A1013" s="1" t="s">
        <v>890</v>
      </c>
      <c r="B1013" s="3" t="str">
        <f t="shared" si="1"/>
        <v>Unavailable</v>
      </c>
      <c r="C1013" s="3">
        <v>1.0</v>
      </c>
      <c r="D1013" s="3">
        <f>IFERROR(__xludf.DUMMYFUNCTION("IFERROR(
IF(REGEXMATCH(LOWER(O1013),""k""),
VALUE(REGEXEXTRACT(O1013,""[0-9]+""))*1000,
VALUE(REGEXEXTRACT(O1013,""[0-9]+""))
),
0
)"),0.0)</f>
        <v>0</v>
      </c>
      <c r="E1013" s="1" t="s">
        <v>11</v>
      </c>
      <c r="F1013" s="1" t="s">
        <v>20</v>
      </c>
      <c r="G1013" s="4" t="b">
        <f t="shared" si="2"/>
        <v>1</v>
      </c>
      <c r="H1013" s="1" t="str">
        <f t="shared" si="3"/>
        <v>Currently Unavailable</v>
      </c>
      <c r="I1013" s="1" t="str">
        <f t="shared" si="4"/>
        <v>No Badges</v>
      </c>
      <c r="J1013" s="3">
        <f t="shared" si="5"/>
        <v>0</v>
      </c>
    </row>
    <row r="1014">
      <c r="A1014" s="1" t="s">
        <v>891</v>
      </c>
      <c r="B1014" s="3" t="str">
        <f t="shared" si="1"/>
        <v>Unavailable</v>
      </c>
      <c r="C1014" s="3">
        <v>169.0</v>
      </c>
      <c r="D1014" s="3">
        <f>IFERROR(__xludf.DUMMYFUNCTION("IFERROR(
IF(REGEXMATCH(LOWER(O1014),""k""),
VALUE(REGEXEXTRACT(O1014,""[0-9]+""))*1000,
VALUE(REGEXEXTRACT(O1014,""[0-9]+""))
),
0
)"),0.0)</f>
        <v>0</v>
      </c>
      <c r="E1014" s="1" t="s">
        <v>11</v>
      </c>
      <c r="F1014" s="1" t="s">
        <v>20</v>
      </c>
      <c r="G1014" s="4" t="b">
        <f t="shared" si="2"/>
        <v>1</v>
      </c>
      <c r="H1014" s="1" t="str">
        <f t="shared" si="3"/>
        <v>Currently Unavailable</v>
      </c>
      <c r="I1014" s="1" t="str">
        <f t="shared" si="4"/>
        <v>No Badges</v>
      </c>
      <c r="J1014" s="3">
        <f t="shared" si="5"/>
        <v>0</v>
      </c>
    </row>
    <row r="1015">
      <c r="A1015" s="1" t="s">
        <v>892</v>
      </c>
      <c r="B1015" s="3" t="str">
        <f t="shared" si="1"/>
        <v>Unavailable</v>
      </c>
      <c r="C1015" s="3">
        <v>278.0</v>
      </c>
      <c r="D1015" s="3">
        <f>IFERROR(__xludf.DUMMYFUNCTION("IFERROR(
IF(REGEXMATCH(LOWER(O1015),""k""),
VALUE(REGEXEXTRACT(O1015,""[0-9]+""))*1000,
VALUE(REGEXEXTRACT(O1015,""[0-9]+""))
),
0
)"),0.0)</f>
        <v>0</v>
      </c>
      <c r="E1015" s="1" t="s">
        <v>11</v>
      </c>
      <c r="F1015" s="1" t="s">
        <v>20</v>
      </c>
      <c r="G1015" s="4" t="b">
        <f t="shared" si="2"/>
        <v>1</v>
      </c>
      <c r="H1015" s="1" t="str">
        <f t="shared" si="3"/>
        <v>Currently Unavailable</v>
      </c>
      <c r="I1015" s="1" t="str">
        <f t="shared" si="4"/>
        <v>No Badges</v>
      </c>
      <c r="J1015" s="3">
        <f t="shared" si="5"/>
        <v>0</v>
      </c>
    </row>
    <row r="1016">
      <c r="A1016" s="1" t="s">
        <v>893</v>
      </c>
      <c r="B1016" s="3" t="str">
        <f t="shared" si="1"/>
        <v>Unavailable</v>
      </c>
      <c r="C1016" s="3">
        <v>127.0</v>
      </c>
      <c r="D1016" s="3">
        <f>IFERROR(__xludf.DUMMYFUNCTION("IFERROR(
IF(REGEXMATCH(LOWER(O1016),""k""),
VALUE(REGEXEXTRACT(O1016,""[0-9]+""))*1000,
VALUE(REGEXEXTRACT(O1016,""[0-9]+""))
),
0
)"),0.0)</f>
        <v>0</v>
      </c>
      <c r="E1016" s="1" t="s">
        <v>11</v>
      </c>
      <c r="F1016" s="1" t="s">
        <v>20</v>
      </c>
      <c r="G1016" s="4" t="b">
        <f t="shared" si="2"/>
        <v>1</v>
      </c>
      <c r="H1016" s="1" t="str">
        <f t="shared" si="3"/>
        <v>Currently Unavailable</v>
      </c>
      <c r="I1016" s="1" t="str">
        <f t="shared" si="4"/>
        <v>No Badges</v>
      </c>
      <c r="J1016" s="3">
        <f t="shared" si="5"/>
        <v>0</v>
      </c>
    </row>
    <row r="1017">
      <c r="A1017" s="1" t="s">
        <v>40</v>
      </c>
      <c r="B1017" s="3" t="str">
        <f t="shared" si="1"/>
        <v>Unavailable</v>
      </c>
      <c r="C1017" s="3">
        <v>171.0</v>
      </c>
      <c r="D1017" s="3">
        <f>IFERROR(__xludf.DUMMYFUNCTION("IFERROR(
IF(REGEXMATCH(LOWER(O1017),""k""),
VALUE(REGEXEXTRACT(O1017,""[0-9]+""))*1000,
VALUE(REGEXEXTRACT(O1017,""[0-9]+""))
),
0
)"),0.0)</f>
        <v>0</v>
      </c>
      <c r="E1017" s="1" t="s">
        <v>11</v>
      </c>
      <c r="F1017" s="1" t="s">
        <v>12</v>
      </c>
      <c r="G1017" s="4" t="b">
        <f t="shared" si="2"/>
        <v>1</v>
      </c>
      <c r="H1017" s="1" t="str">
        <f t="shared" si="3"/>
        <v>Currently Unavailable</v>
      </c>
      <c r="I1017" s="1" t="str">
        <f t="shared" si="4"/>
        <v>No Badges</v>
      </c>
      <c r="J1017" s="3">
        <f t="shared" si="5"/>
        <v>0</v>
      </c>
    </row>
    <row r="1018">
      <c r="A1018" s="1" t="s">
        <v>894</v>
      </c>
      <c r="B1018" s="3" t="str">
        <f t="shared" si="1"/>
        <v>Unavailable</v>
      </c>
      <c r="C1018" s="5">
        <v>1847.0</v>
      </c>
      <c r="D1018" s="3">
        <f>IFERROR(__xludf.DUMMYFUNCTION("IFERROR(
IF(REGEXMATCH(LOWER(O1018),""k""),
VALUE(REGEXEXTRACT(O1018,""[0-9]+""))*1000,
VALUE(REGEXEXTRACT(O1018,""[0-9]+""))
),
0
)"),0.0)</f>
        <v>0</v>
      </c>
      <c r="E1018" s="1" t="s">
        <v>11</v>
      </c>
      <c r="F1018" s="1" t="s">
        <v>20</v>
      </c>
      <c r="G1018" s="4" t="b">
        <f t="shared" si="2"/>
        <v>1</v>
      </c>
      <c r="H1018" s="1" t="str">
        <f t="shared" si="3"/>
        <v>Currently Unavailable</v>
      </c>
      <c r="I1018" s="1" t="str">
        <f t="shared" si="4"/>
        <v>No Badges</v>
      </c>
      <c r="J1018" s="3">
        <f t="shared" si="5"/>
        <v>0</v>
      </c>
    </row>
    <row r="1019">
      <c r="A1019" s="1" t="s">
        <v>895</v>
      </c>
      <c r="B1019" s="3" t="str">
        <f t="shared" si="1"/>
        <v>Unavailable</v>
      </c>
      <c r="C1019" s="3">
        <v>102.0</v>
      </c>
      <c r="D1019" s="3">
        <f>IFERROR(__xludf.DUMMYFUNCTION("IFERROR(
IF(REGEXMATCH(LOWER(O1019),""k""),
VALUE(REGEXEXTRACT(O1019,""[0-9]+""))*1000,
VALUE(REGEXEXTRACT(O1019,""[0-9]+""))
),
0
)"),0.0)</f>
        <v>0</v>
      </c>
      <c r="E1019" s="1" t="s">
        <v>11</v>
      </c>
      <c r="F1019" s="1" t="s">
        <v>20</v>
      </c>
      <c r="G1019" s="4" t="b">
        <f t="shared" si="2"/>
        <v>1</v>
      </c>
      <c r="H1019" s="1" t="str">
        <f t="shared" si="3"/>
        <v>Currently Unavailable</v>
      </c>
      <c r="I1019" s="1" t="str">
        <f t="shared" si="4"/>
        <v>No Badges</v>
      </c>
      <c r="J1019" s="3">
        <f t="shared" si="5"/>
        <v>0</v>
      </c>
    </row>
    <row r="1020">
      <c r="A1020" s="1" t="s">
        <v>896</v>
      </c>
      <c r="B1020" s="3" t="str">
        <f t="shared" si="1"/>
        <v>Unavailable</v>
      </c>
      <c r="C1020" s="5">
        <v>2022.0</v>
      </c>
      <c r="D1020" s="3">
        <f>IFERROR(__xludf.DUMMYFUNCTION("IFERROR(
IF(REGEXMATCH(LOWER(O1020),""k""),
VALUE(REGEXEXTRACT(O1020,""[0-9]+""))*1000,
VALUE(REGEXEXTRACT(O1020,""[0-9]+""))
),
0
)"),0.0)</f>
        <v>0</v>
      </c>
      <c r="E1020" s="1" t="s">
        <v>11</v>
      </c>
      <c r="F1020" s="1" t="s">
        <v>20</v>
      </c>
      <c r="G1020" s="4" t="b">
        <f t="shared" si="2"/>
        <v>1</v>
      </c>
      <c r="H1020" s="1" t="str">
        <f t="shared" si="3"/>
        <v>Currently Unavailable</v>
      </c>
      <c r="I1020" s="1" t="str">
        <f t="shared" si="4"/>
        <v>No Badges</v>
      </c>
      <c r="J1020" s="3">
        <f t="shared" si="5"/>
        <v>0</v>
      </c>
    </row>
    <row r="1021">
      <c r="A1021" s="1" t="s">
        <v>69</v>
      </c>
      <c r="B1021" s="3" t="str">
        <f t="shared" si="1"/>
        <v>Unavailable</v>
      </c>
      <c r="C1021" s="3">
        <v>45.0</v>
      </c>
      <c r="D1021" s="3">
        <f>IFERROR(__xludf.DUMMYFUNCTION("IFERROR(
IF(REGEXMATCH(LOWER(O1021),""k""),
VALUE(REGEXEXTRACT(O1021,""[0-9]+""))*1000,
VALUE(REGEXEXTRACT(O1021,""[0-9]+""))
),
0
)"),0.0)</f>
        <v>0</v>
      </c>
      <c r="E1021" s="1" t="s">
        <v>11</v>
      </c>
      <c r="F1021" s="1" t="s">
        <v>12</v>
      </c>
      <c r="G1021" s="4" t="b">
        <f t="shared" si="2"/>
        <v>1</v>
      </c>
      <c r="H1021" s="1" t="str">
        <f t="shared" si="3"/>
        <v>Currently Unavailable</v>
      </c>
      <c r="I1021" s="1" t="str">
        <f t="shared" si="4"/>
        <v>No Badges</v>
      </c>
      <c r="J1021" s="3">
        <f t="shared" si="5"/>
        <v>0</v>
      </c>
    </row>
    <row r="1022">
      <c r="A1022" s="1" t="s">
        <v>897</v>
      </c>
      <c r="B1022" s="3" t="str">
        <f t="shared" si="1"/>
        <v>Unavailable</v>
      </c>
      <c r="C1022" s="3">
        <v>239.0</v>
      </c>
      <c r="D1022" s="3">
        <f>IFERROR(__xludf.DUMMYFUNCTION("IFERROR(
IF(REGEXMATCH(LOWER(O1022),""k""),
VALUE(REGEXEXTRACT(O1022,""[0-9]+""))*1000,
VALUE(REGEXEXTRACT(O1022,""[0-9]+""))
),
0
)"),0.0)</f>
        <v>0</v>
      </c>
      <c r="E1022" s="1" t="s">
        <v>11</v>
      </c>
      <c r="F1022" s="1" t="s">
        <v>20</v>
      </c>
      <c r="G1022" s="4" t="b">
        <f t="shared" si="2"/>
        <v>1</v>
      </c>
      <c r="H1022" s="1" t="str">
        <f t="shared" si="3"/>
        <v>Currently Unavailable</v>
      </c>
      <c r="I1022" s="1" t="str">
        <f t="shared" si="4"/>
        <v>No Badges</v>
      </c>
      <c r="J1022" s="3">
        <f t="shared" si="5"/>
        <v>0</v>
      </c>
    </row>
    <row r="1023">
      <c r="A1023" s="1" t="s">
        <v>898</v>
      </c>
      <c r="B1023" s="3" t="str">
        <f t="shared" si="1"/>
        <v>Unavailable</v>
      </c>
      <c r="C1023" s="5">
        <v>2143.0</v>
      </c>
      <c r="D1023" s="3">
        <f>IFERROR(__xludf.DUMMYFUNCTION("IFERROR(
IF(REGEXMATCH(LOWER(O1023),""k""),
VALUE(REGEXEXTRACT(O1023,""[0-9]+""))*1000,
VALUE(REGEXEXTRACT(O1023,""[0-9]+""))
),
0
)"),0.0)</f>
        <v>0</v>
      </c>
      <c r="E1023" s="1" t="s">
        <v>11</v>
      </c>
      <c r="F1023" s="1" t="s">
        <v>20</v>
      </c>
      <c r="G1023" s="4" t="b">
        <f t="shared" si="2"/>
        <v>1</v>
      </c>
      <c r="H1023" s="1" t="str">
        <f t="shared" si="3"/>
        <v>Currently Unavailable</v>
      </c>
      <c r="I1023" s="1" t="str">
        <f t="shared" si="4"/>
        <v>No Badges</v>
      </c>
      <c r="J1023" s="3">
        <f t="shared" si="5"/>
        <v>0</v>
      </c>
    </row>
    <row r="1024">
      <c r="A1024" s="1" t="s">
        <v>899</v>
      </c>
      <c r="B1024" s="3" t="str">
        <f t="shared" si="1"/>
        <v>Unavailable</v>
      </c>
      <c r="C1024" s="3">
        <v>772.0</v>
      </c>
      <c r="D1024" s="3">
        <f>IFERROR(__xludf.DUMMYFUNCTION("IFERROR(
IF(REGEXMATCH(LOWER(O1024),""k""),
VALUE(REGEXEXTRACT(O1024,""[0-9]+""))*1000,
VALUE(REGEXEXTRACT(O1024,""[0-9]+""))
),
0
)"),0.0)</f>
        <v>0</v>
      </c>
      <c r="E1024" s="1" t="s">
        <v>11</v>
      </c>
      <c r="F1024" s="1" t="s">
        <v>20</v>
      </c>
      <c r="G1024" s="4" t="b">
        <f t="shared" si="2"/>
        <v>1</v>
      </c>
      <c r="H1024" s="1" t="str">
        <f t="shared" si="3"/>
        <v>Currently Unavailable</v>
      </c>
      <c r="I1024" s="1" t="str">
        <f t="shared" si="4"/>
        <v>No Badges</v>
      </c>
      <c r="J1024" s="3">
        <f t="shared" si="5"/>
        <v>0</v>
      </c>
    </row>
    <row r="1025">
      <c r="A1025" s="1" t="s">
        <v>900</v>
      </c>
      <c r="B1025" s="3" t="str">
        <f t="shared" si="1"/>
        <v>Unavailable</v>
      </c>
      <c r="C1025" s="3">
        <v>325.0</v>
      </c>
      <c r="D1025" s="3">
        <f>IFERROR(__xludf.DUMMYFUNCTION("IFERROR(
IF(REGEXMATCH(LOWER(O1025),""k""),
VALUE(REGEXEXTRACT(O1025,""[0-9]+""))*1000,
VALUE(REGEXEXTRACT(O1025,""[0-9]+""))
),
0
)"),0.0)</f>
        <v>0</v>
      </c>
      <c r="E1025" s="1" t="s">
        <v>11</v>
      </c>
      <c r="F1025" s="1" t="s">
        <v>20</v>
      </c>
      <c r="G1025" s="4" t="b">
        <f t="shared" si="2"/>
        <v>1</v>
      </c>
      <c r="H1025" s="1" t="str">
        <f t="shared" si="3"/>
        <v>Currently Unavailable</v>
      </c>
      <c r="I1025" s="1" t="str">
        <f t="shared" si="4"/>
        <v>No Badges</v>
      </c>
      <c r="J1025" s="3">
        <f t="shared" si="5"/>
        <v>0</v>
      </c>
    </row>
    <row r="1026">
      <c r="A1026" s="1" t="s">
        <v>755</v>
      </c>
      <c r="B1026" s="3" t="str">
        <f t="shared" si="1"/>
        <v>Unavailable</v>
      </c>
      <c r="C1026" s="3">
        <v>51.0</v>
      </c>
      <c r="D1026" s="3">
        <f>IFERROR(__xludf.DUMMYFUNCTION("IFERROR(
IF(REGEXMATCH(LOWER(O1026),""k""),
VALUE(REGEXEXTRACT(O1026,""[0-9]+""))*1000,
VALUE(REGEXEXTRACT(O1026,""[0-9]+""))
),
0
)"),0.0)</f>
        <v>0</v>
      </c>
      <c r="E1026" s="1" t="s">
        <v>11</v>
      </c>
      <c r="F1026" s="1" t="s">
        <v>20</v>
      </c>
      <c r="G1026" s="4" t="b">
        <f t="shared" si="2"/>
        <v>1</v>
      </c>
      <c r="H1026" s="1" t="str">
        <f t="shared" si="3"/>
        <v>Currently Unavailable</v>
      </c>
      <c r="I1026" s="1" t="str">
        <f t="shared" si="4"/>
        <v>No Badges</v>
      </c>
      <c r="J1026" s="3">
        <f t="shared" si="5"/>
        <v>0</v>
      </c>
    </row>
    <row r="1027">
      <c r="A1027" s="1" t="s">
        <v>756</v>
      </c>
      <c r="B1027" s="3" t="str">
        <f t="shared" si="1"/>
        <v>Unavailable</v>
      </c>
      <c r="C1027" s="3">
        <v>114.0</v>
      </c>
      <c r="D1027" s="3">
        <f>IFERROR(__xludf.DUMMYFUNCTION("IFERROR(
IF(REGEXMATCH(LOWER(O1027),""k""),
VALUE(REGEXEXTRACT(O1027,""[0-9]+""))*1000,
VALUE(REGEXEXTRACT(O1027,""[0-9]+""))
),
0
)"),0.0)</f>
        <v>0</v>
      </c>
      <c r="E1027" s="1" t="s">
        <v>11</v>
      </c>
      <c r="F1027" s="1" t="s">
        <v>20</v>
      </c>
      <c r="G1027" s="4" t="b">
        <f t="shared" si="2"/>
        <v>1</v>
      </c>
      <c r="H1027" s="1" t="str">
        <f t="shared" si="3"/>
        <v>Currently Unavailable</v>
      </c>
      <c r="I1027" s="1" t="str">
        <f t="shared" si="4"/>
        <v>No Badges</v>
      </c>
      <c r="J1027" s="3">
        <f t="shared" si="5"/>
        <v>0</v>
      </c>
    </row>
    <row r="1028">
      <c r="A1028" s="1" t="s">
        <v>757</v>
      </c>
      <c r="B1028" s="3" t="str">
        <f t="shared" si="1"/>
        <v>Unavailable</v>
      </c>
      <c r="C1028" s="5">
        <v>1211.0</v>
      </c>
      <c r="D1028" s="3">
        <f>IFERROR(__xludf.DUMMYFUNCTION("IFERROR(
IF(REGEXMATCH(LOWER(O1028),""k""),
VALUE(REGEXEXTRACT(O1028,""[0-9]+""))*1000,
VALUE(REGEXEXTRACT(O1028,""[0-9]+""))
),
0
)"),0.0)</f>
        <v>0</v>
      </c>
      <c r="E1028" s="1" t="s">
        <v>11</v>
      </c>
      <c r="F1028" s="1" t="s">
        <v>20</v>
      </c>
      <c r="G1028" s="4" t="b">
        <f t="shared" si="2"/>
        <v>1</v>
      </c>
      <c r="H1028" s="1" t="str">
        <f t="shared" si="3"/>
        <v>Currently Unavailable</v>
      </c>
      <c r="I1028" s="1" t="str">
        <f t="shared" si="4"/>
        <v>No Badges</v>
      </c>
      <c r="J1028" s="3">
        <f t="shared" si="5"/>
        <v>0</v>
      </c>
    </row>
    <row r="1029">
      <c r="A1029" s="1" t="s">
        <v>901</v>
      </c>
      <c r="B1029" s="3" t="str">
        <f t="shared" si="1"/>
        <v>Unavailable</v>
      </c>
      <c r="C1029" s="5">
        <v>1870.0</v>
      </c>
      <c r="D1029" s="3">
        <f>IFERROR(__xludf.DUMMYFUNCTION("IFERROR(
IF(REGEXMATCH(LOWER(O1029),""k""),
VALUE(REGEXEXTRACT(O1029,""[0-9]+""))*1000,
VALUE(REGEXEXTRACT(O1029,""[0-9]+""))
),
0
)"),0.0)</f>
        <v>0</v>
      </c>
      <c r="E1029" s="1" t="s">
        <v>11</v>
      </c>
      <c r="F1029" s="1" t="s">
        <v>20</v>
      </c>
      <c r="G1029" s="4" t="b">
        <f t="shared" si="2"/>
        <v>1</v>
      </c>
      <c r="H1029" s="1" t="str">
        <f t="shared" si="3"/>
        <v>Currently Unavailable</v>
      </c>
      <c r="I1029" s="1" t="str">
        <f t="shared" si="4"/>
        <v>No Badges</v>
      </c>
      <c r="J1029" s="3">
        <f t="shared" si="5"/>
        <v>0</v>
      </c>
    </row>
    <row r="1030">
      <c r="A1030" s="1" t="s">
        <v>758</v>
      </c>
      <c r="B1030" s="3" t="str">
        <f t="shared" si="1"/>
        <v>Unavailable</v>
      </c>
      <c r="C1030" s="3">
        <v>361.0</v>
      </c>
      <c r="D1030" s="3">
        <f>IFERROR(__xludf.DUMMYFUNCTION("IFERROR(
IF(REGEXMATCH(LOWER(O1030),""k""),
VALUE(REGEXEXTRACT(O1030,""[0-9]+""))*1000,
VALUE(REGEXEXTRACT(O1030,""[0-9]+""))
),
0
)"),0.0)</f>
        <v>0</v>
      </c>
      <c r="E1030" s="1" t="s">
        <v>11</v>
      </c>
      <c r="F1030" s="1" t="s">
        <v>20</v>
      </c>
      <c r="G1030" s="4" t="b">
        <f t="shared" si="2"/>
        <v>1</v>
      </c>
      <c r="H1030" s="1" t="str">
        <f t="shared" si="3"/>
        <v>Currently Unavailable</v>
      </c>
      <c r="I1030" s="1" t="str">
        <f t="shared" si="4"/>
        <v>No Badges</v>
      </c>
      <c r="J1030" s="3">
        <f t="shared" si="5"/>
        <v>0</v>
      </c>
    </row>
    <row r="1031">
      <c r="A1031" s="1" t="s">
        <v>902</v>
      </c>
      <c r="B1031" s="3" t="str">
        <f t="shared" si="1"/>
        <v>Unavailable</v>
      </c>
      <c r="C1031" s="5">
        <v>1260.0</v>
      </c>
      <c r="D1031" s="3">
        <f>IFERROR(__xludf.DUMMYFUNCTION("IFERROR(
IF(REGEXMATCH(LOWER(O1031),""k""),
VALUE(REGEXEXTRACT(O1031,""[0-9]+""))*1000,
VALUE(REGEXEXTRACT(O1031,""[0-9]+""))
),
0
)"),0.0)</f>
        <v>0</v>
      </c>
      <c r="E1031" s="1" t="s">
        <v>11</v>
      </c>
      <c r="F1031" s="1" t="s">
        <v>20</v>
      </c>
      <c r="G1031" s="4" t="b">
        <f t="shared" si="2"/>
        <v>1</v>
      </c>
      <c r="H1031" s="1" t="str">
        <f t="shared" si="3"/>
        <v>Currently Unavailable</v>
      </c>
      <c r="I1031" s="1" t="str">
        <f t="shared" si="4"/>
        <v>No Badges</v>
      </c>
      <c r="J1031" s="3">
        <f t="shared" si="5"/>
        <v>0</v>
      </c>
    </row>
    <row r="1032">
      <c r="A1032" s="1" t="s">
        <v>903</v>
      </c>
      <c r="B1032" s="3" t="str">
        <f t="shared" si="1"/>
        <v>Unavailable</v>
      </c>
      <c r="C1032" s="5">
        <v>1557.0</v>
      </c>
      <c r="D1032" s="3">
        <f>IFERROR(__xludf.DUMMYFUNCTION("IFERROR(
IF(REGEXMATCH(LOWER(O1032),""k""),
VALUE(REGEXEXTRACT(O1032,""[0-9]+""))*1000,
VALUE(REGEXEXTRACT(O1032,""[0-9]+""))
),
0
)"),0.0)</f>
        <v>0</v>
      </c>
      <c r="E1032" s="1" t="s">
        <v>11</v>
      </c>
      <c r="F1032" s="1" t="s">
        <v>20</v>
      </c>
      <c r="G1032" s="4" t="b">
        <f t="shared" si="2"/>
        <v>1</v>
      </c>
      <c r="H1032" s="1" t="str">
        <f t="shared" si="3"/>
        <v>Currently Unavailable</v>
      </c>
      <c r="I1032" s="1" t="str">
        <f t="shared" si="4"/>
        <v>No Badges</v>
      </c>
      <c r="J1032" s="3">
        <f t="shared" si="5"/>
        <v>0</v>
      </c>
    </row>
    <row r="1033">
      <c r="A1033" s="1" t="s">
        <v>904</v>
      </c>
      <c r="B1033" s="3" t="str">
        <f t="shared" si="1"/>
        <v>Unavailable</v>
      </c>
      <c r="C1033" s="3">
        <v>14.0</v>
      </c>
      <c r="D1033" s="3">
        <f>IFERROR(__xludf.DUMMYFUNCTION("IFERROR(
IF(REGEXMATCH(LOWER(O1033),""k""),
VALUE(REGEXEXTRACT(O1033,""[0-9]+""))*1000,
VALUE(REGEXEXTRACT(O1033,""[0-9]+""))
),
0
)"),0.0)</f>
        <v>0</v>
      </c>
      <c r="E1033" s="1" t="s">
        <v>11</v>
      </c>
      <c r="F1033" s="1" t="s">
        <v>20</v>
      </c>
      <c r="G1033" s="4" t="b">
        <f t="shared" si="2"/>
        <v>1</v>
      </c>
      <c r="H1033" s="1" t="str">
        <f t="shared" si="3"/>
        <v>Currently Unavailable</v>
      </c>
      <c r="I1033" s="1" t="str">
        <f t="shared" si="4"/>
        <v>No Badges</v>
      </c>
      <c r="J1033" s="3">
        <f t="shared" si="5"/>
        <v>0</v>
      </c>
    </row>
    <row r="1034">
      <c r="A1034" s="1" t="s">
        <v>88</v>
      </c>
      <c r="B1034" s="3" t="str">
        <f t="shared" si="1"/>
        <v>Unavailable</v>
      </c>
      <c r="C1034" s="3">
        <v>5.0</v>
      </c>
      <c r="D1034" s="3">
        <f>IFERROR(__xludf.DUMMYFUNCTION("IFERROR(
IF(REGEXMATCH(LOWER(O1034),""k""),
VALUE(REGEXEXTRACT(O1034,""[0-9]+""))*1000,
VALUE(REGEXEXTRACT(O1034,""[0-9]+""))
),
0
)"),0.0)</f>
        <v>0</v>
      </c>
      <c r="E1034" s="1" t="s">
        <v>11</v>
      </c>
      <c r="F1034" s="1" t="s">
        <v>12</v>
      </c>
      <c r="G1034" s="4" t="b">
        <f t="shared" si="2"/>
        <v>1</v>
      </c>
      <c r="H1034" s="1" t="str">
        <f t="shared" si="3"/>
        <v>Currently Unavailable</v>
      </c>
      <c r="I1034" s="1" t="str">
        <f t="shared" si="4"/>
        <v>No Badges</v>
      </c>
      <c r="J1034" s="3">
        <f t="shared" si="5"/>
        <v>0</v>
      </c>
    </row>
    <row r="1035">
      <c r="A1035" s="1" t="s">
        <v>67</v>
      </c>
      <c r="B1035" s="3" t="str">
        <f t="shared" si="1"/>
        <v>Unavailable</v>
      </c>
      <c r="C1035" s="3">
        <v>264.0</v>
      </c>
      <c r="D1035" s="3">
        <f>IFERROR(__xludf.DUMMYFUNCTION("IFERROR(
IF(REGEXMATCH(LOWER(O1035),""k""),
VALUE(REGEXEXTRACT(O1035,""[0-9]+""))*1000,
VALUE(REGEXEXTRACT(O1035,""[0-9]+""))
),
0
)"),0.0)</f>
        <v>0</v>
      </c>
      <c r="E1035" s="1" t="s">
        <v>11</v>
      </c>
      <c r="F1035" s="1" t="s">
        <v>12</v>
      </c>
      <c r="G1035" s="4" t="b">
        <f t="shared" si="2"/>
        <v>1</v>
      </c>
      <c r="H1035" s="1" t="str">
        <f t="shared" si="3"/>
        <v>Currently Unavailable</v>
      </c>
      <c r="I1035" s="1" t="str">
        <f t="shared" si="4"/>
        <v>No Badges</v>
      </c>
      <c r="J1035" s="3">
        <f t="shared" si="5"/>
        <v>0</v>
      </c>
    </row>
    <row r="1036">
      <c r="A1036" s="1" t="s">
        <v>905</v>
      </c>
      <c r="B1036" s="3" t="str">
        <f t="shared" si="1"/>
        <v>Unavailable</v>
      </c>
      <c r="C1036" s="3">
        <v>230.0</v>
      </c>
      <c r="D1036" s="3">
        <f>IFERROR(__xludf.DUMMYFUNCTION("IFERROR(
IF(REGEXMATCH(LOWER(O1036),""k""),
VALUE(REGEXEXTRACT(O1036,""[0-9]+""))*1000,
VALUE(REGEXEXTRACT(O1036,""[0-9]+""))
),
0
)"),0.0)</f>
        <v>0</v>
      </c>
      <c r="E1036" s="1" t="s">
        <v>11</v>
      </c>
      <c r="F1036" s="1" t="s">
        <v>20</v>
      </c>
      <c r="G1036" s="4" t="b">
        <f t="shared" si="2"/>
        <v>1</v>
      </c>
      <c r="H1036" s="1" t="str">
        <f t="shared" si="3"/>
        <v>Currently Unavailable</v>
      </c>
      <c r="I1036" s="1" t="str">
        <f t="shared" si="4"/>
        <v>No Badges</v>
      </c>
      <c r="J1036" s="3">
        <f t="shared" si="5"/>
        <v>0</v>
      </c>
    </row>
    <row r="1037">
      <c r="A1037" s="1" t="s">
        <v>906</v>
      </c>
      <c r="B1037" s="3" t="str">
        <f t="shared" si="1"/>
        <v>Unavailable</v>
      </c>
      <c r="C1037" s="3">
        <v>172.0</v>
      </c>
      <c r="D1037" s="3">
        <f>IFERROR(__xludf.DUMMYFUNCTION("IFERROR(
IF(REGEXMATCH(LOWER(O1037),""k""),
VALUE(REGEXEXTRACT(O1037,""[0-9]+""))*1000,
VALUE(REGEXEXTRACT(O1037,""[0-9]+""))
),
0
)"),0.0)</f>
        <v>0</v>
      </c>
      <c r="E1037" s="1" t="s">
        <v>11</v>
      </c>
      <c r="F1037" s="1" t="s">
        <v>20</v>
      </c>
      <c r="G1037" s="4" t="b">
        <f t="shared" si="2"/>
        <v>1</v>
      </c>
      <c r="H1037" s="1" t="str">
        <f t="shared" si="3"/>
        <v>Currently Unavailable</v>
      </c>
      <c r="I1037" s="1" t="str">
        <f t="shared" si="4"/>
        <v>No Badges</v>
      </c>
      <c r="J1037" s="3">
        <f t="shared" si="5"/>
        <v>0</v>
      </c>
    </row>
    <row r="1038">
      <c r="A1038" s="1" t="s">
        <v>907</v>
      </c>
      <c r="B1038" s="3" t="str">
        <f t="shared" si="1"/>
        <v>Unavailable</v>
      </c>
      <c r="C1038" s="3">
        <v>68.0</v>
      </c>
      <c r="D1038" s="3">
        <f>IFERROR(__xludf.DUMMYFUNCTION("IFERROR(
IF(REGEXMATCH(LOWER(O1038),""k""),
VALUE(REGEXEXTRACT(O1038,""[0-9]+""))*1000,
VALUE(REGEXEXTRACT(O1038,""[0-9]+""))
),
0
)"),0.0)</f>
        <v>0</v>
      </c>
      <c r="E1038" s="1" t="s">
        <v>11</v>
      </c>
      <c r="F1038" s="1" t="s">
        <v>20</v>
      </c>
      <c r="G1038" s="4" t="b">
        <f t="shared" si="2"/>
        <v>1</v>
      </c>
      <c r="H1038" s="1" t="str">
        <f t="shared" si="3"/>
        <v>Currently Unavailable</v>
      </c>
      <c r="I1038" s="1" t="str">
        <f t="shared" si="4"/>
        <v>No Badges</v>
      </c>
      <c r="J1038" s="3">
        <f t="shared" si="5"/>
        <v>0</v>
      </c>
    </row>
    <row r="1039">
      <c r="A1039" s="1" t="s">
        <v>908</v>
      </c>
      <c r="B1039" s="3" t="str">
        <f t="shared" si="1"/>
        <v>Unavailable</v>
      </c>
      <c r="C1039" s="3">
        <v>462.0</v>
      </c>
      <c r="D1039" s="3">
        <f>IFERROR(__xludf.DUMMYFUNCTION("IFERROR(
IF(REGEXMATCH(LOWER(O1039),""k""),
VALUE(REGEXEXTRACT(O1039,""[0-9]+""))*1000,
VALUE(REGEXEXTRACT(O1039,""[0-9]+""))
),
0
)"),0.0)</f>
        <v>0</v>
      </c>
      <c r="E1039" s="1" t="s">
        <v>11</v>
      </c>
      <c r="F1039" s="1" t="s">
        <v>20</v>
      </c>
      <c r="G1039" s="4" t="b">
        <f t="shared" si="2"/>
        <v>1</v>
      </c>
      <c r="H1039" s="1" t="str">
        <f t="shared" si="3"/>
        <v>Currently Unavailable</v>
      </c>
      <c r="I1039" s="1" t="str">
        <f t="shared" si="4"/>
        <v>No Badges</v>
      </c>
      <c r="J1039" s="3">
        <f t="shared" si="5"/>
        <v>0</v>
      </c>
    </row>
    <row r="1040">
      <c r="A1040" s="1" t="s">
        <v>909</v>
      </c>
      <c r="B1040" s="3" t="str">
        <f t="shared" si="1"/>
        <v>Unavailable</v>
      </c>
      <c r="C1040" s="3">
        <v>292.0</v>
      </c>
      <c r="D1040" s="3">
        <f>IFERROR(__xludf.DUMMYFUNCTION("IFERROR(
IF(REGEXMATCH(LOWER(O1040),""k""),
VALUE(REGEXEXTRACT(O1040,""[0-9]+""))*1000,
VALUE(REGEXEXTRACT(O1040,""[0-9]+""))
),
0
)"),0.0)</f>
        <v>0</v>
      </c>
      <c r="E1040" s="1" t="s">
        <v>11</v>
      </c>
      <c r="F1040" s="1" t="s">
        <v>20</v>
      </c>
      <c r="G1040" s="4" t="b">
        <f t="shared" si="2"/>
        <v>1</v>
      </c>
      <c r="H1040" s="1" t="str">
        <f t="shared" si="3"/>
        <v>Currently Unavailable</v>
      </c>
      <c r="I1040" s="1" t="str">
        <f t="shared" si="4"/>
        <v>No Badges</v>
      </c>
      <c r="J1040" s="3">
        <f t="shared" si="5"/>
        <v>0</v>
      </c>
    </row>
    <row r="1041">
      <c r="A1041" s="1" t="s">
        <v>910</v>
      </c>
      <c r="B1041" s="3" t="str">
        <f t="shared" si="1"/>
        <v>Unavailable</v>
      </c>
      <c r="C1041" s="5">
        <v>1528.0</v>
      </c>
      <c r="D1041" s="3">
        <f>IFERROR(__xludf.DUMMYFUNCTION("IFERROR(
IF(REGEXMATCH(LOWER(O1041),""k""),
VALUE(REGEXEXTRACT(O1041,""[0-9]+""))*1000,
VALUE(REGEXEXTRACT(O1041,""[0-9]+""))
),
0
)"),0.0)</f>
        <v>0</v>
      </c>
      <c r="E1041" s="1" t="s">
        <v>11</v>
      </c>
      <c r="F1041" s="1" t="s">
        <v>20</v>
      </c>
      <c r="G1041" s="4" t="b">
        <f t="shared" si="2"/>
        <v>1</v>
      </c>
      <c r="H1041" s="1" t="str">
        <f t="shared" si="3"/>
        <v>Currently Unavailable</v>
      </c>
      <c r="I1041" s="1" t="str">
        <f t="shared" si="4"/>
        <v>No Badges</v>
      </c>
      <c r="J1041" s="3">
        <f t="shared" si="5"/>
        <v>0</v>
      </c>
    </row>
    <row r="1042">
      <c r="A1042" s="1" t="s">
        <v>911</v>
      </c>
      <c r="B1042" s="3" t="str">
        <f t="shared" si="1"/>
        <v>Unavailable</v>
      </c>
      <c r="C1042" s="3">
        <v>134.0</v>
      </c>
      <c r="D1042" s="3">
        <f>IFERROR(__xludf.DUMMYFUNCTION("IFERROR(
IF(REGEXMATCH(LOWER(O1042),""k""),
VALUE(REGEXEXTRACT(O1042,""[0-9]+""))*1000,
VALUE(REGEXEXTRACT(O1042,""[0-9]+""))
),
0
)"),0.0)</f>
        <v>0</v>
      </c>
      <c r="E1042" s="1" t="s">
        <v>11</v>
      </c>
      <c r="F1042" s="1" t="s">
        <v>20</v>
      </c>
      <c r="G1042" s="4" t="b">
        <f t="shared" si="2"/>
        <v>1</v>
      </c>
      <c r="H1042" s="1" t="str">
        <f t="shared" si="3"/>
        <v>Currently Unavailable</v>
      </c>
      <c r="I1042" s="1" t="str">
        <f t="shared" si="4"/>
        <v>No Badges</v>
      </c>
      <c r="J1042" s="3">
        <f t="shared" si="5"/>
        <v>0</v>
      </c>
    </row>
    <row r="1043">
      <c r="A1043" s="1" t="s">
        <v>912</v>
      </c>
      <c r="B1043" s="3" t="str">
        <f t="shared" si="1"/>
        <v>Unavailable</v>
      </c>
      <c r="C1043" s="3">
        <v>371.0</v>
      </c>
      <c r="D1043" s="3">
        <f>IFERROR(__xludf.DUMMYFUNCTION("IFERROR(
IF(REGEXMATCH(LOWER(O1043),""k""),
VALUE(REGEXEXTRACT(O1043,""[0-9]+""))*1000,
VALUE(REGEXEXTRACT(O1043,""[0-9]+""))
),
0
)"),0.0)</f>
        <v>0</v>
      </c>
      <c r="E1043" s="1" t="s">
        <v>11</v>
      </c>
      <c r="F1043" s="1" t="s">
        <v>20</v>
      </c>
      <c r="G1043" s="4" t="b">
        <f t="shared" si="2"/>
        <v>1</v>
      </c>
      <c r="H1043" s="1" t="str">
        <f t="shared" si="3"/>
        <v>Currently Unavailable</v>
      </c>
      <c r="I1043" s="1" t="str">
        <f t="shared" si="4"/>
        <v>No Badges</v>
      </c>
      <c r="J1043" s="3">
        <f t="shared" si="5"/>
        <v>0</v>
      </c>
    </row>
    <row r="1044">
      <c r="A1044" s="1" t="s">
        <v>913</v>
      </c>
      <c r="B1044" s="3" t="str">
        <f t="shared" si="1"/>
        <v>Unavailable</v>
      </c>
      <c r="C1044" s="3">
        <v>94.0</v>
      </c>
      <c r="D1044" s="3">
        <f>IFERROR(__xludf.DUMMYFUNCTION("IFERROR(
IF(REGEXMATCH(LOWER(O1044),""k""),
VALUE(REGEXEXTRACT(O1044,""[0-9]+""))*1000,
VALUE(REGEXEXTRACT(O1044,""[0-9]+""))
),
0
)"),0.0)</f>
        <v>0</v>
      </c>
      <c r="E1044" s="1" t="s">
        <v>11</v>
      </c>
      <c r="F1044" s="1" t="s">
        <v>20</v>
      </c>
      <c r="G1044" s="4" t="b">
        <f t="shared" si="2"/>
        <v>1</v>
      </c>
      <c r="H1044" s="1" t="str">
        <f t="shared" si="3"/>
        <v>Currently Unavailable</v>
      </c>
      <c r="I1044" s="1" t="str">
        <f t="shared" si="4"/>
        <v>No Badges</v>
      </c>
      <c r="J1044" s="3">
        <f t="shared" si="5"/>
        <v>0</v>
      </c>
    </row>
    <row r="1045">
      <c r="A1045" s="1" t="s">
        <v>913</v>
      </c>
      <c r="B1045" s="3" t="str">
        <f t="shared" si="1"/>
        <v>Unavailable</v>
      </c>
      <c r="C1045" s="3">
        <v>94.0</v>
      </c>
      <c r="D1045" s="3">
        <f>IFERROR(__xludf.DUMMYFUNCTION("IFERROR(
IF(REGEXMATCH(LOWER(O1045),""k""),
VALUE(REGEXEXTRACT(O1045,""[0-9]+""))*1000,
VALUE(REGEXEXTRACT(O1045,""[0-9]+""))
),
0
)"),0.0)</f>
        <v>0</v>
      </c>
      <c r="E1045" s="1" t="s">
        <v>11</v>
      </c>
      <c r="F1045" s="1" t="s">
        <v>20</v>
      </c>
      <c r="G1045" s="4" t="b">
        <f t="shared" si="2"/>
        <v>1</v>
      </c>
      <c r="H1045" s="1" t="str">
        <f t="shared" si="3"/>
        <v>Currently Unavailable</v>
      </c>
      <c r="I1045" s="1" t="str">
        <f t="shared" si="4"/>
        <v>No Badges</v>
      </c>
      <c r="J1045" s="3">
        <f t="shared" si="5"/>
        <v>0</v>
      </c>
    </row>
    <row r="1046">
      <c r="A1046" s="1" t="s">
        <v>914</v>
      </c>
      <c r="B1046" s="3" t="str">
        <f t="shared" si="1"/>
        <v>Unavailable</v>
      </c>
      <c r="C1046" s="5">
        <v>2886.0</v>
      </c>
      <c r="D1046" s="3">
        <f>IFERROR(__xludf.DUMMYFUNCTION("IFERROR(
IF(REGEXMATCH(LOWER(O1046),""k""),
VALUE(REGEXEXTRACT(O1046,""[0-9]+""))*1000,
VALUE(REGEXEXTRACT(O1046,""[0-9]+""))
),
0
)"),0.0)</f>
        <v>0</v>
      </c>
      <c r="E1046" s="1" t="s">
        <v>11</v>
      </c>
      <c r="F1046" s="1" t="s">
        <v>20</v>
      </c>
      <c r="G1046" s="4" t="b">
        <f t="shared" si="2"/>
        <v>1</v>
      </c>
      <c r="H1046" s="1" t="str">
        <f t="shared" si="3"/>
        <v>Currently Unavailable</v>
      </c>
      <c r="I1046" s="1" t="str">
        <f t="shared" si="4"/>
        <v>No Badges</v>
      </c>
      <c r="J1046" s="3">
        <f t="shared" si="5"/>
        <v>0</v>
      </c>
    </row>
    <row r="1047">
      <c r="A1047" s="1" t="s">
        <v>915</v>
      </c>
      <c r="B1047" s="3" t="str">
        <f t="shared" si="1"/>
        <v>Unavailable</v>
      </c>
      <c r="C1047" s="3">
        <v>564.0</v>
      </c>
      <c r="D1047" s="3">
        <f>IFERROR(__xludf.DUMMYFUNCTION("IFERROR(
IF(REGEXMATCH(LOWER(O1047),""k""),
VALUE(REGEXEXTRACT(O1047,""[0-9]+""))*1000,
VALUE(REGEXEXTRACT(O1047,""[0-9]+""))
),
0
)"),0.0)</f>
        <v>0</v>
      </c>
      <c r="E1047" s="1" t="s">
        <v>11</v>
      </c>
      <c r="F1047" s="1" t="s">
        <v>20</v>
      </c>
      <c r="G1047" s="4" t="b">
        <f t="shared" si="2"/>
        <v>1</v>
      </c>
      <c r="H1047" s="1" t="str">
        <f t="shared" si="3"/>
        <v>Currently Unavailable</v>
      </c>
      <c r="I1047" s="1" t="str">
        <f t="shared" si="4"/>
        <v>No Badges</v>
      </c>
      <c r="J1047" s="3">
        <f t="shared" si="5"/>
        <v>0</v>
      </c>
    </row>
    <row r="1048">
      <c r="A1048" s="1" t="s">
        <v>916</v>
      </c>
      <c r="B1048" s="3" t="str">
        <f t="shared" si="1"/>
        <v>Unavailable</v>
      </c>
      <c r="C1048" s="3">
        <v>419.0</v>
      </c>
      <c r="D1048" s="3">
        <f>IFERROR(__xludf.DUMMYFUNCTION("IFERROR(
IF(REGEXMATCH(LOWER(O1048),""k""),
VALUE(REGEXEXTRACT(O1048,""[0-9]+""))*1000,
VALUE(REGEXEXTRACT(O1048,""[0-9]+""))
),
0
)"),0.0)</f>
        <v>0</v>
      </c>
      <c r="E1048" s="1" t="s">
        <v>11</v>
      </c>
      <c r="F1048" s="1" t="s">
        <v>20</v>
      </c>
      <c r="G1048" s="4" t="b">
        <f t="shared" si="2"/>
        <v>1</v>
      </c>
      <c r="H1048" s="1" t="str">
        <f t="shared" si="3"/>
        <v>Currently Unavailable</v>
      </c>
      <c r="I1048" s="1" t="str">
        <f t="shared" si="4"/>
        <v>No Badges</v>
      </c>
      <c r="J1048" s="3">
        <f t="shared" si="5"/>
        <v>0</v>
      </c>
    </row>
    <row r="1049">
      <c r="A1049" s="1" t="s">
        <v>917</v>
      </c>
      <c r="B1049" s="3" t="str">
        <f t="shared" si="1"/>
        <v>Unavailable</v>
      </c>
      <c r="C1049" s="3">
        <v>106.0</v>
      </c>
      <c r="D1049" s="3">
        <f>IFERROR(__xludf.DUMMYFUNCTION("IFERROR(
IF(REGEXMATCH(LOWER(O1049),""k""),
VALUE(REGEXEXTRACT(O1049,""[0-9]+""))*1000,
VALUE(REGEXEXTRACT(O1049,""[0-9]+""))
),
0
)"),0.0)</f>
        <v>0</v>
      </c>
      <c r="E1049" s="1" t="s">
        <v>11</v>
      </c>
      <c r="F1049" s="1" t="s">
        <v>20</v>
      </c>
      <c r="G1049" s="4" t="b">
        <f t="shared" si="2"/>
        <v>1</v>
      </c>
      <c r="H1049" s="1" t="str">
        <f t="shared" si="3"/>
        <v>Currently Unavailable</v>
      </c>
      <c r="I1049" s="1" t="str">
        <f t="shared" si="4"/>
        <v>No Badges</v>
      </c>
      <c r="J1049" s="3">
        <f t="shared" si="5"/>
        <v>0</v>
      </c>
    </row>
    <row r="1050">
      <c r="A1050" s="1" t="s">
        <v>701</v>
      </c>
      <c r="B1050" s="3" t="str">
        <f t="shared" si="1"/>
        <v>Unavailable</v>
      </c>
      <c r="C1050" s="3">
        <v>8.0</v>
      </c>
      <c r="D1050" s="3">
        <f>IFERROR(__xludf.DUMMYFUNCTION("IFERROR(
IF(REGEXMATCH(LOWER(O1050),""k""),
VALUE(REGEXEXTRACT(O1050,""[0-9]+""))*1000,
VALUE(REGEXEXTRACT(O1050,""[0-9]+""))
),
0
)"),0.0)</f>
        <v>0</v>
      </c>
      <c r="E1050" s="1" t="s">
        <v>11</v>
      </c>
      <c r="F1050" s="1" t="s">
        <v>12</v>
      </c>
      <c r="G1050" s="4" t="b">
        <f t="shared" si="2"/>
        <v>1</v>
      </c>
      <c r="H1050" s="1" t="str">
        <f t="shared" si="3"/>
        <v>Currently Unavailable</v>
      </c>
      <c r="I1050" s="1" t="str">
        <f t="shared" si="4"/>
        <v>No Badges</v>
      </c>
      <c r="J1050" s="3">
        <f t="shared" si="5"/>
        <v>0</v>
      </c>
    </row>
    <row r="1051">
      <c r="A1051" s="1" t="s">
        <v>918</v>
      </c>
      <c r="B1051" s="3" t="str">
        <f t="shared" si="1"/>
        <v>Unavailable</v>
      </c>
      <c r="C1051" s="5">
        <v>1969.0</v>
      </c>
      <c r="D1051" s="3">
        <f>IFERROR(__xludf.DUMMYFUNCTION("IFERROR(
IF(REGEXMATCH(LOWER(O1051),""k""),
VALUE(REGEXEXTRACT(O1051,""[0-9]+""))*1000,
VALUE(REGEXEXTRACT(O1051,""[0-9]+""))
),
0
)"),0.0)</f>
        <v>0</v>
      </c>
      <c r="E1051" s="1" t="s">
        <v>11</v>
      </c>
      <c r="F1051" s="1" t="s">
        <v>20</v>
      </c>
      <c r="G1051" s="4" t="b">
        <f t="shared" si="2"/>
        <v>1</v>
      </c>
      <c r="H1051" s="1" t="str">
        <f t="shared" si="3"/>
        <v>Currently Unavailable</v>
      </c>
      <c r="I1051" s="1" t="str">
        <f t="shared" si="4"/>
        <v>No Badges</v>
      </c>
      <c r="J1051" s="3">
        <f t="shared" si="5"/>
        <v>0</v>
      </c>
    </row>
    <row r="1052">
      <c r="A1052" s="1" t="s">
        <v>919</v>
      </c>
      <c r="B1052" s="3" t="str">
        <f t="shared" si="1"/>
        <v>Unavailable</v>
      </c>
      <c r="C1052" s="5">
        <v>5061.0</v>
      </c>
      <c r="D1052" s="3">
        <f>IFERROR(__xludf.DUMMYFUNCTION("IFERROR(
IF(REGEXMATCH(LOWER(O1052),""k""),
VALUE(REGEXEXTRACT(O1052,""[0-9]+""))*1000,
VALUE(REGEXEXTRACT(O1052,""[0-9]+""))
),
0
)"),0.0)</f>
        <v>0</v>
      </c>
      <c r="E1052" s="1" t="s">
        <v>11</v>
      </c>
      <c r="F1052" s="1" t="s">
        <v>20</v>
      </c>
      <c r="G1052" s="4" t="b">
        <f t="shared" si="2"/>
        <v>1</v>
      </c>
      <c r="H1052" s="1" t="str">
        <f t="shared" si="3"/>
        <v>Currently Unavailable</v>
      </c>
      <c r="I1052" s="1" t="str">
        <f t="shared" si="4"/>
        <v>No Badges</v>
      </c>
      <c r="J1052" s="3">
        <f t="shared" si="5"/>
        <v>0</v>
      </c>
    </row>
    <row r="1053">
      <c r="A1053" s="1" t="s">
        <v>920</v>
      </c>
      <c r="B1053" s="3" t="str">
        <f t="shared" si="1"/>
        <v>Unavailable</v>
      </c>
      <c r="C1053" s="3">
        <v>399.0</v>
      </c>
      <c r="D1053" s="3">
        <f>IFERROR(__xludf.DUMMYFUNCTION("IFERROR(
IF(REGEXMATCH(LOWER(O1053),""k""),
VALUE(REGEXEXTRACT(O1053,""[0-9]+""))*1000,
VALUE(REGEXEXTRACT(O1053,""[0-9]+""))
),
0
)"),0.0)</f>
        <v>0</v>
      </c>
      <c r="E1053" s="1" t="s">
        <v>11</v>
      </c>
      <c r="F1053" s="1" t="s">
        <v>20</v>
      </c>
      <c r="G1053" s="4" t="b">
        <f t="shared" si="2"/>
        <v>1</v>
      </c>
      <c r="H1053" s="1" t="str">
        <f t="shared" si="3"/>
        <v>Currently Unavailable</v>
      </c>
      <c r="I1053" s="1" t="str">
        <f t="shared" si="4"/>
        <v>No Badges</v>
      </c>
      <c r="J1053" s="3">
        <f t="shared" si="5"/>
        <v>0</v>
      </c>
    </row>
    <row r="1054">
      <c r="A1054" s="1" t="s">
        <v>772</v>
      </c>
      <c r="B1054" s="3" t="str">
        <f t="shared" si="1"/>
        <v>Unavailable</v>
      </c>
      <c r="C1054" s="3">
        <v>91.0</v>
      </c>
      <c r="D1054" s="3">
        <f>IFERROR(__xludf.DUMMYFUNCTION("IFERROR(
IF(REGEXMATCH(LOWER(O1054),""k""),
VALUE(REGEXEXTRACT(O1054,""[0-9]+""))*1000,
VALUE(REGEXEXTRACT(O1054,""[0-9]+""))
),
0
)"),0.0)</f>
        <v>0</v>
      </c>
      <c r="E1054" s="1" t="s">
        <v>11</v>
      </c>
      <c r="F1054" s="1" t="s">
        <v>20</v>
      </c>
      <c r="G1054" s="4" t="b">
        <f t="shared" si="2"/>
        <v>1</v>
      </c>
      <c r="H1054" s="1" t="str">
        <f t="shared" si="3"/>
        <v>Currently Unavailable</v>
      </c>
      <c r="I1054" s="1" t="str">
        <f t="shared" si="4"/>
        <v>No Badges</v>
      </c>
      <c r="J1054" s="3">
        <f t="shared" si="5"/>
        <v>0</v>
      </c>
    </row>
    <row r="1055">
      <c r="A1055" s="1" t="s">
        <v>773</v>
      </c>
      <c r="B1055" s="3" t="str">
        <f t="shared" si="1"/>
        <v>Unavailable</v>
      </c>
      <c r="C1055" s="3">
        <v>27.0</v>
      </c>
      <c r="D1055" s="3">
        <f>IFERROR(__xludf.DUMMYFUNCTION("IFERROR(
IF(REGEXMATCH(LOWER(O1055),""k""),
VALUE(REGEXEXTRACT(O1055,""[0-9]+""))*1000,
VALUE(REGEXEXTRACT(O1055,""[0-9]+""))
),
0
)"),0.0)</f>
        <v>0</v>
      </c>
      <c r="E1055" s="1" t="s">
        <v>11</v>
      </c>
      <c r="F1055" s="1" t="s">
        <v>20</v>
      </c>
      <c r="G1055" s="4" t="b">
        <f t="shared" si="2"/>
        <v>1</v>
      </c>
      <c r="H1055" s="1" t="str">
        <f t="shared" si="3"/>
        <v>Currently Unavailable</v>
      </c>
      <c r="I1055" s="1" t="str">
        <f t="shared" si="4"/>
        <v>No Badges</v>
      </c>
      <c r="J1055" s="3">
        <f t="shared" si="5"/>
        <v>0</v>
      </c>
    </row>
    <row r="1056">
      <c r="A1056" s="1" t="s">
        <v>774</v>
      </c>
      <c r="B1056" s="3" t="str">
        <f t="shared" si="1"/>
        <v>Unavailable</v>
      </c>
      <c r="C1056" s="3">
        <v>157.0</v>
      </c>
      <c r="D1056" s="3">
        <f>IFERROR(__xludf.DUMMYFUNCTION("IFERROR(
IF(REGEXMATCH(LOWER(O1056),""k""),
VALUE(REGEXEXTRACT(O1056,""[0-9]+""))*1000,
VALUE(REGEXEXTRACT(O1056,""[0-9]+""))
),
0
)"),0.0)</f>
        <v>0</v>
      </c>
      <c r="E1056" s="1" t="s">
        <v>11</v>
      </c>
      <c r="F1056" s="1" t="s">
        <v>20</v>
      </c>
      <c r="G1056" s="4" t="b">
        <f t="shared" si="2"/>
        <v>1</v>
      </c>
      <c r="H1056" s="1" t="str">
        <f t="shared" si="3"/>
        <v>Currently Unavailable</v>
      </c>
      <c r="I1056" s="1" t="str">
        <f t="shared" si="4"/>
        <v>No Badges</v>
      </c>
      <c r="J1056" s="3">
        <f t="shared" si="5"/>
        <v>0</v>
      </c>
    </row>
    <row r="1057">
      <c r="A1057" s="1" t="s">
        <v>775</v>
      </c>
      <c r="B1057" s="3" t="str">
        <f t="shared" si="1"/>
        <v>Unavailable</v>
      </c>
      <c r="C1057" s="3">
        <v>879.0</v>
      </c>
      <c r="D1057" s="3">
        <f>IFERROR(__xludf.DUMMYFUNCTION("IFERROR(
IF(REGEXMATCH(LOWER(O1057),""k""),
VALUE(REGEXEXTRACT(O1057,""[0-9]+""))*1000,
VALUE(REGEXEXTRACT(O1057,""[0-9]+""))
),
0
)"),0.0)</f>
        <v>0</v>
      </c>
      <c r="E1057" s="1" t="s">
        <v>11</v>
      </c>
      <c r="F1057" s="1" t="s">
        <v>20</v>
      </c>
      <c r="G1057" s="4" t="b">
        <f t="shared" si="2"/>
        <v>1</v>
      </c>
      <c r="H1057" s="1" t="str">
        <f t="shared" si="3"/>
        <v>Currently Unavailable</v>
      </c>
      <c r="I1057" s="1" t="str">
        <f t="shared" si="4"/>
        <v>No Badges</v>
      </c>
      <c r="J1057" s="3">
        <f t="shared" si="5"/>
        <v>0</v>
      </c>
    </row>
    <row r="1058">
      <c r="A1058" s="1" t="s">
        <v>776</v>
      </c>
      <c r="B1058" s="3" t="str">
        <f t="shared" si="1"/>
        <v>Unavailable</v>
      </c>
      <c r="C1058" s="5">
        <v>1564.0</v>
      </c>
      <c r="D1058" s="3">
        <f>IFERROR(__xludf.DUMMYFUNCTION("IFERROR(
IF(REGEXMATCH(LOWER(O1058),""k""),
VALUE(REGEXEXTRACT(O1058,""[0-9]+""))*1000,
VALUE(REGEXEXTRACT(O1058,""[0-9]+""))
),
0
)"),0.0)</f>
        <v>0</v>
      </c>
      <c r="E1058" s="1" t="s">
        <v>11</v>
      </c>
      <c r="F1058" s="1" t="s">
        <v>20</v>
      </c>
      <c r="G1058" s="4" t="b">
        <f t="shared" si="2"/>
        <v>1</v>
      </c>
      <c r="H1058" s="1" t="str">
        <f t="shared" si="3"/>
        <v>Currently Unavailable</v>
      </c>
      <c r="I1058" s="1" t="str">
        <f t="shared" si="4"/>
        <v>No Badges</v>
      </c>
      <c r="J1058" s="3">
        <f t="shared" si="5"/>
        <v>0</v>
      </c>
    </row>
    <row r="1059">
      <c r="A1059" s="1" t="s">
        <v>921</v>
      </c>
      <c r="B1059" s="3" t="str">
        <f t="shared" si="1"/>
        <v>Unavailable</v>
      </c>
      <c r="C1059" s="3">
        <v>39.0</v>
      </c>
      <c r="D1059" s="3">
        <f>IFERROR(__xludf.DUMMYFUNCTION("IFERROR(
IF(REGEXMATCH(LOWER(O1059),""k""),
VALUE(REGEXEXTRACT(O1059,""[0-9]+""))*1000,
VALUE(REGEXEXTRACT(O1059,""[0-9]+""))
),
0
)"),0.0)</f>
        <v>0</v>
      </c>
      <c r="E1059" s="1" t="s">
        <v>11</v>
      </c>
      <c r="F1059" s="1" t="s">
        <v>20</v>
      </c>
      <c r="G1059" s="4" t="b">
        <f t="shared" si="2"/>
        <v>1</v>
      </c>
      <c r="H1059" s="1" t="str">
        <f t="shared" si="3"/>
        <v>Currently Unavailable</v>
      </c>
      <c r="I1059" s="1" t="str">
        <f t="shared" si="4"/>
        <v>No Badges</v>
      </c>
      <c r="J1059" s="3">
        <f t="shared" si="5"/>
        <v>0</v>
      </c>
    </row>
    <row r="1060">
      <c r="A1060" s="1" t="s">
        <v>922</v>
      </c>
      <c r="B1060" s="3" t="str">
        <f t="shared" si="1"/>
        <v>Unavailable</v>
      </c>
      <c r="C1060" s="3">
        <v>9.0</v>
      </c>
      <c r="D1060" s="3">
        <f>IFERROR(__xludf.DUMMYFUNCTION("IFERROR(
IF(REGEXMATCH(LOWER(O1060),""k""),
VALUE(REGEXEXTRACT(O1060,""[0-9]+""))*1000,
VALUE(REGEXEXTRACT(O1060,""[0-9]+""))
),
0
)"),0.0)</f>
        <v>0</v>
      </c>
      <c r="E1060" s="1" t="s">
        <v>11</v>
      </c>
      <c r="F1060" s="1" t="s">
        <v>20</v>
      </c>
      <c r="G1060" s="4" t="b">
        <f t="shared" si="2"/>
        <v>1</v>
      </c>
      <c r="H1060" s="1" t="str">
        <f t="shared" si="3"/>
        <v>Currently Unavailable</v>
      </c>
      <c r="I1060" s="1" t="str">
        <f t="shared" si="4"/>
        <v>No Badges</v>
      </c>
      <c r="J1060" s="3">
        <f t="shared" si="5"/>
        <v>0</v>
      </c>
    </row>
    <row r="1061">
      <c r="A1061" s="1" t="s">
        <v>923</v>
      </c>
      <c r="B1061" s="3" t="str">
        <f t="shared" si="1"/>
        <v>Unavailable</v>
      </c>
      <c r="C1061" s="3">
        <v>44.0</v>
      </c>
      <c r="D1061" s="3">
        <f>IFERROR(__xludf.DUMMYFUNCTION("IFERROR(
IF(REGEXMATCH(LOWER(O1061),""k""),
VALUE(REGEXEXTRACT(O1061,""[0-9]+""))*1000,
VALUE(REGEXEXTRACT(O1061,""[0-9]+""))
),
0
)"),0.0)</f>
        <v>0</v>
      </c>
      <c r="E1061" s="1" t="s">
        <v>11</v>
      </c>
      <c r="F1061" s="1" t="s">
        <v>20</v>
      </c>
      <c r="G1061" s="4" t="b">
        <f t="shared" si="2"/>
        <v>1</v>
      </c>
      <c r="H1061" s="1" t="str">
        <f t="shared" si="3"/>
        <v>Currently Unavailable</v>
      </c>
      <c r="I1061" s="1" t="str">
        <f t="shared" si="4"/>
        <v>No Badges</v>
      </c>
      <c r="J1061" s="3">
        <f t="shared" si="5"/>
        <v>0</v>
      </c>
    </row>
    <row r="1062">
      <c r="A1062" s="1" t="s">
        <v>745</v>
      </c>
      <c r="B1062" s="3" t="str">
        <f t="shared" si="1"/>
        <v>Unavailable</v>
      </c>
      <c r="C1062" s="5">
        <v>17142.0</v>
      </c>
      <c r="D1062" s="3">
        <f>IFERROR(__xludf.DUMMYFUNCTION("IFERROR(
IF(REGEXMATCH(LOWER(O1062),""k""),
VALUE(REGEXEXTRACT(O1062,""[0-9]+""))*1000,
VALUE(REGEXEXTRACT(O1062,""[0-9]+""))
),
0
)"),0.0)</f>
        <v>0</v>
      </c>
      <c r="E1062" s="1" t="s">
        <v>11</v>
      </c>
      <c r="F1062" s="1" t="s">
        <v>20</v>
      </c>
      <c r="G1062" s="4" t="b">
        <f t="shared" si="2"/>
        <v>1</v>
      </c>
      <c r="H1062" s="1" t="str">
        <f t="shared" si="3"/>
        <v>Currently Unavailable</v>
      </c>
      <c r="I1062" s="1" t="str">
        <f t="shared" si="4"/>
        <v>No Badges</v>
      </c>
      <c r="J1062" s="3">
        <f t="shared" si="5"/>
        <v>0</v>
      </c>
    </row>
    <row r="1063">
      <c r="A1063" s="1" t="s">
        <v>924</v>
      </c>
      <c r="B1063" s="3" t="str">
        <f t="shared" si="1"/>
        <v>Unavailable</v>
      </c>
      <c r="C1063" s="3">
        <v>405.0</v>
      </c>
      <c r="D1063" s="3">
        <f>IFERROR(__xludf.DUMMYFUNCTION("IFERROR(
IF(REGEXMATCH(LOWER(O1063),""k""),
VALUE(REGEXEXTRACT(O1063,""[0-9]+""))*1000,
VALUE(REGEXEXTRACT(O1063,""[0-9]+""))
),
0
)"),0.0)</f>
        <v>0</v>
      </c>
      <c r="E1063" s="1" t="s">
        <v>11</v>
      </c>
      <c r="F1063" s="1" t="s">
        <v>20</v>
      </c>
      <c r="G1063" s="4" t="b">
        <f t="shared" si="2"/>
        <v>1</v>
      </c>
      <c r="H1063" s="1" t="str">
        <f t="shared" si="3"/>
        <v>Currently Unavailable</v>
      </c>
      <c r="I1063" s="1" t="str">
        <f t="shared" si="4"/>
        <v>No Badges</v>
      </c>
      <c r="J1063" s="3">
        <f t="shared" si="5"/>
        <v>0</v>
      </c>
    </row>
    <row r="1064">
      <c r="A1064" s="1" t="s">
        <v>925</v>
      </c>
      <c r="B1064" s="3" t="str">
        <f t="shared" si="1"/>
        <v>Unavailable</v>
      </c>
      <c r="C1064" s="5">
        <v>4904.0</v>
      </c>
      <c r="D1064" s="3">
        <f>IFERROR(__xludf.DUMMYFUNCTION("IFERROR(
IF(REGEXMATCH(LOWER(O1064),""k""),
VALUE(REGEXEXTRACT(O1064,""[0-9]+""))*1000,
VALUE(REGEXEXTRACT(O1064,""[0-9]+""))
),
0
)"),0.0)</f>
        <v>0</v>
      </c>
      <c r="E1064" s="1" t="s">
        <v>11</v>
      </c>
      <c r="F1064" s="1" t="s">
        <v>20</v>
      </c>
      <c r="G1064" s="4" t="b">
        <f t="shared" si="2"/>
        <v>1</v>
      </c>
      <c r="H1064" s="1" t="str">
        <f t="shared" si="3"/>
        <v>Currently Unavailable</v>
      </c>
      <c r="I1064" s="1" t="str">
        <f t="shared" si="4"/>
        <v>No Badges</v>
      </c>
      <c r="J1064" s="3">
        <f t="shared" si="5"/>
        <v>0</v>
      </c>
    </row>
    <row r="1065">
      <c r="A1065" s="1" t="s">
        <v>926</v>
      </c>
      <c r="B1065" s="3" t="str">
        <f t="shared" si="1"/>
        <v>Unavailable</v>
      </c>
      <c r="C1065" s="3">
        <v>486.0</v>
      </c>
      <c r="D1065" s="3">
        <f>IFERROR(__xludf.DUMMYFUNCTION("IFERROR(
IF(REGEXMATCH(LOWER(O1065),""k""),
VALUE(REGEXEXTRACT(O1065,""[0-9]+""))*1000,
VALUE(REGEXEXTRACT(O1065,""[0-9]+""))
),
0
)"),0.0)</f>
        <v>0</v>
      </c>
      <c r="E1065" s="1" t="s">
        <v>18</v>
      </c>
      <c r="F1065" s="1" t="s">
        <v>20</v>
      </c>
      <c r="G1065" s="4" t="b">
        <f t="shared" si="2"/>
        <v>1</v>
      </c>
      <c r="H1065" s="1" t="str">
        <f t="shared" si="3"/>
        <v>Currently Unavailable</v>
      </c>
      <c r="I1065" s="1" t="str">
        <f t="shared" si="4"/>
        <v>No Badges</v>
      </c>
      <c r="J1065" s="3">
        <f t="shared" si="5"/>
        <v>0</v>
      </c>
    </row>
    <row r="1066">
      <c r="A1066" s="1" t="s">
        <v>927</v>
      </c>
      <c r="B1066" s="3" t="str">
        <f t="shared" si="1"/>
        <v>Unavailable</v>
      </c>
      <c r="C1066" s="3">
        <v>47.0</v>
      </c>
      <c r="D1066" s="3">
        <f>IFERROR(__xludf.DUMMYFUNCTION("IFERROR(
IF(REGEXMATCH(LOWER(O1066),""k""),
VALUE(REGEXEXTRACT(O1066,""[0-9]+""))*1000,
VALUE(REGEXEXTRACT(O1066,""[0-9]+""))
),
0
)"),0.0)</f>
        <v>0</v>
      </c>
      <c r="E1066" s="1" t="s">
        <v>11</v>
      </c>
      <c r="F1066" s="1" t="s">
        <v>20</v>
      </c>
      <c r="G1066" s="4" t="b">
        <f t="shared" si="2"/>
        <v>1</v>
      </c>
      <c r="H1066" s="1" t="str">
        <f t="shared" si="3"/>
        <v>Currently Unavailable</v>
      </c>
      <c r="I1066" s="1" t="str">
        <f t="shared" si="4"/>
        <v>No Badges</v>
      </c>
      <c r="J1066" s="3">
        <f t="shared" si="5"/>
        <v>0</v>
      </c>
    </row>
    <row r="1067">
      <c r="A1067" s="1" t="s">
        <v>928</v>
      </c>
      <c r="B1067" s="3" t="str">
        <f t="shared" si="1"/>
        <v>Unavailable</v>
      </c>
      <c r="C1067" s="3">
        <v>967.0</v>
      </c>
      <c r="D1067" s="3">
        <f>IFERROR(__xludf.DUMMYFUNCTION("IFERROR(
IF(REGEXMATCH(LOWER(O1067),""k""),
VALUE(REGEXEXTRACT(O1067,""[0-9]+""))*1000,
VALUE(REGEXEXTRACT(O1067,""[0-9]+""))
),
0
)"),0.0)</f>
        <v>0</v>
      </c>
      <c r="E1067" s="1" t="s">
        <v>11</v>
      </c>
      <c r="F1067" s="1" t="s">
        <v>20</v>
      </c>
      <c r="G1067" s="4" t="b">
        <f t="shared" si="2"/>
        <v>1</v>
      </c>
      <c r="H1067" s="1" t="str">
        <f t="shared" si="3"/>
        <v>Currently Unavailable</v>
      </c>
      <c r="I1067" s="1" t="str">
        <f t="shared" si="4"/>
        <v>No Badges</v>
      </c>
      <c r="J1067" s="3">
        <f t="shared" si="5"/>
        <v>0</v>
      </c>
    </row>
    <row r="1068">
      <c r="A1068" s="1" t="s">
        <v>929</v>
      </c>
      <c r="B1068" s="3" t="str">
        <f t="shared" si="1"/>
        <v>Unavailable</v>
      </c>
      <c r="C1068" s="3">
        <v>220.0</v>
      </c>
      <c r="D1068" s="3">
        <f>IFERROR(__xludf.DUMMYFUNCTION("IFERROR(
IF(REGEXMATCH(LOWER(O1068),""k""),
VALUE(REGEXEXTRACT(O1068,""[0-9]+""))*1000,
VALUE(REGEXEXTRACT(O1068,""[0-9]+""))
),
0
)"),0.0)</f>
        <v>0</v>
      </c>
      <c r="E1068" s="1" t="s">
        <v>11</v>
      </c>
      <c r="F1068" s="1" t="s">
        <v>20</v>
      </c>
      <c r="G1068" s="4" t="b">
        <f t="shared" si="2"/>
        <v>1</v>
      </c>
      <c r="H1068" s="1" t="str">
        <f t="shared" si="3"/>
        <v>Currently Unavailable</v>
      </c>
      <c r="I1068" s="1" t="str">
        <f t="shared" si="4"/>
        <v>No Badges</v>
      </c>
      <c r="J1068" s="3">
        <f t="shared" si="5"/>
        <v>0</v>
      </c>
    </row>
    <row r="1069">
      <c r="A1069" s="1" t="s">
        <v>930</v>
      </c>
      <c r="B1069" s="3" t="str">
        <f t="shared" si="1"/>
        <v>Unavailable</v>
      </c>
      <c r="C1069" s="5">
        <v>3414.0</v>
      </c>
      <c r="D1069" s="3">
        <f>IFERROR(__xludf.DUMMYFUNCTION("IFERROR(
IF(REGEXMATCH(LOWER(O1069),""k""),
VALUE(REGEXEXTRACT(O1069,""[0-9]+""))*1000,
VALUE(REGEXEXTRACT(O1069,""[0-9]+""))
),
0
)"),0.0)</f>
        <v>0</v>
      </c>
      <c r="E1069" s="1" t="s">
        <v>11</v>
      </c>
      <c r="F1069" s="1" t="s">
        <v>20</v>
      </c>
      <c r="G1069" s="4" t="b">
        <f t="shared" si="2"/>
        <v>1</v>
      </c>
      <c r="H1069" s="1" t="str">
        <f t="shared" si="3"/>
        <v>Currently Unavailable</v>
      </c>
      <c r="I1069" s="1" t="str">
        <f t="shared" si="4"/>
        <v>No Badges</v>
      </c>
      <c r="J1069" s="3">
        <f t="shared" si="5"/>
        <v>0</v>
      </c>
    </row>
    <row r="1070">
      <c r="A1070" s="1" t="s">
        <v>931</v>
      </c>
      <c r="B1070" s="3" t="str">
        <f t="shared" si="1"/>
        <v>Unavailable</v>
      </c>
      <c r="C1070" s="5">
        <v>1354.0</v>
      </c>
      <c r="D1070" s="3">
        <f>IFERROR(__xludf.DUMMYFUNCTION("IFERROR(
IF(REGEXMATCH(LOWER(O1070),""k""),
VALUE(REGEXEXTRACT(O1070,""[0-9]+""))*1000,
VALUE(REGEXEXTRACT(O1070,""[0-9]+""))
),
0
)"),0.0)</f>
        <v>0</v>
      </c>
      <c r="E1070" s="1" t="s">
        <v>11</v>
      </c>
      <c r="F1070" s="1" t="s">
        <v>20</v>
      </c>
      <c r="G1070" s="4" t="b">
        <f t="shared" si="2"/>
        <v>1</v>
      </c>
      <c r="H1070" s="1" t="str">
        <f t="shared" si="3"/>
        <v>Currently Unavailable</v>
      </c>
      <c r="I1070" s="1" t="str">
        <f t="shared" si="4"/>
        <v>No Badges</v>
      </c>
      <c r="J1070" s="3">
        <f t="shared" si="5"/>
        <v>0</v>
      </c>
    </row>
    <row r="1071">
      <c r="A1071" s="1" t="s">
        <v>731</v>
      </c>
      <c r="B1071" s="3" t="str">
        <f t="shared" si="1"/>
        <v>Unavailable</v>
      </c>
      <c r="C1071" s="3">
        <v>49.0</v>
      </c>
      <c r="D1071" s="3">
        <f>IFERROR(__xludf.DUMMYFUNCTION("IFERROR(
IF(REGEXMATCH(LOWER(O1071),""k""),
VALUE(REGEXEXTRACT(O1071,""[0-9]+""))*1000,
VALUE(REGEXEXTRACT(O1071,""[0-9]+""))
),
0
)"),0.0)</f>
        <v>0</v>
      </c>
      <c r="E1071" s="1" t="s">
        <v>11</v>
      </c>
      <c r="F1071" s="1" t="s">
        <v>20</v>
      </c>
      <c r="G1071" s="4" t="b">
        <f t="shared" si="2"/>
        <v>1</v>
      </c>
      <c r="H1071" s="1" t="str">
        <f t="shared" si="3"/>
        <v>Currently Unavailable</v>
      </c>
      <c r="I1071" s="1" t="str">
        <f t="shared" si="4"/>
        <v>No Badges</v>
      </c>
      <c r="J1071" s="3">
        <f t="shared" si="5"/>
        <v>0</v>
      </c>
    </row>
    <row r="1072">
      <c r="A1072" s="1" t="s">
        <v>932</v>
      </c>
      <c r="B1072" s="3" t="str">
        <f t="shared" si="1"/>
        <v>Unavailable</v>
      </c>
      <c r="C1072" s="3">
        <v>428.0</v>
      </c>
      <c r="D1072" s="3">
        <f>IFERROR(__xludf.DUMMYFUNCTION("IFERROR(
IF(REGEXMATCH(LOWER(O1072),""k""),
VALUE(REGEXEXTRACT(O1072,""[0-9]+""))*1000,
VALUE(REGEXEXTRACT(O1072,""[0-9]+""))
),
0
)"),0.0)</f>
        <v>0</v>
      </c>
      <c r="E1072" s="1" t="s">
        <v>11</v>
      </c>
      <c r="F1072" s="1" t="s">
        <v>20</v>
      </c>
      <c r="G1072" s="4" t="b">
        <f t="shared" si="2"/>
        <v>1</v>
      </c>
      <c r="H1072" s="1" t="str">
        <f t="shared" si="3"/>
        <v>Currently Unavailable</v>
      </c>
      <c r="I1072" s="1" t="str">
        <f t="shared" si="4"/>
        <v>No Badges</v>
      </c>
      <c r="J1072" s="3">
        <f t="shared" si="5"/>
        <v>0</v>
      </c>
    </row>
    <row r="1073">
      <c r="A1073" s="1" t="s">
        <v>933</v>
      </c>
      <c r="B1073" s="3" t="str">
        <f t="shared" si="1"/>
        <v>Unavailable</v>
      </c>
      <c r="C1073" s="3">
        <v>86.0</v>
      </c>
      <c r="D1073" s="3">
        <f>IFERROR(__xludf.DUMMYFUNCTION("IFERROR(
IF(REGEXMATCH(LOWER(O1073),""k""),
VALUE(REGEXEXTRACT(O1073,""[0-9]+""))*1000,
VALUE(REGEXEXTRACT(O1073,""[0-9]+""))
),
0
)"),0.0)</f>
        <v>0</v>
      </c>
      <c r="E1073" s="1" t="s">
        <v>11</v>
      </c>
      <c r="F1073" s="1" t="s">
        <v>20</v>
      </c>
      <c r="G1073" s="4" t="b">
        <f t="shared" si="2"/>
        <v>1</v>
      </c>
      <c r="H1073" s="1" t="str">
        <f t="shared" si="3"/>
        <v>Currently Unavailable</v>
      </c>
      <c r="I1073" s="1" t="str">
        <f t="shared" si="4"/>
        <v>No Badges</v>
      </c>
      <c r="J1073" s="3">
        <f t="shared" si="5"/>
        <v>0</v>
      </c>
    </row>
    <row r="1074">
      <c r="A1074" s="1" t="s">
        <v>49</v>
      </c>
      <c r="B1074" s="3" t="str">
        <f t="shared" si="1"/>
        <v>Unavailable</v>
      </c>
      <c r="C1074" s="3">
        <v>135.0</v>
      </c>
      <c r="D1074" s="3">
        <f>IFERROR(__xludf.DUMMYFUNCTION("IFERROR(
IF(REGEXMATCH(LOWER(O1074),""k""),
VALUE(REGEXEXTRACT(O1074,""[0-9]+""))*1000,
VALUE(REGEXEXTRACT(O1074,""[0-9]+""))
),
0
)"),0.0)</f>
        <v>0</v>
      </c>
      <c r="E1074" s="1" t="s">
        <v>11</v>
      </c>
      <c r="F1074" s="1" t="s">
        <v>20</v>
      </c>
      <c r="G1074" s="4" t="b">
        <f t="shared" si="2"/>
        <v>1</v>
      </c>
      <c r="H1074" s="1" t="str">
        <f t="shared" si="3"/>
        <v>Currently Unavailable</v>
      </c>
      <c r="I1074" s="1" t="str">
        <f t="shared" si="4"/>
        <v>No Badges</v>
      </c>
      <c r="J1074" s="3">
        <f t="shared" si="5"/>
        <v>0</v>
      </c>
    </row>
    <row r="1075">
      <c r="A1075" s="1" t="s">
        <v>791</v>
      </c>
      <c r="B1075" s="3" t="str">
        <f t="shared" si="1"/>
        <v>Unavailable</v>
      </c>
      <c r="C1075" s="3">
        <v>10.0</v>
      </c>
      <c r="D1075" s="3">
        <f>IFERROR(__xludf.DUMMYFUNCTION("IFERROR(
IF(REGEXMATCH(LOWER(O1075),""k""),
VALUE(REGEXEXTRACT(O1075,""[0-9]+""))*1000,
VALUE(REGEXEXTRACT(O1075,""[0-9]+""))
),
0
)"),0.0)</f>
        <v>0</v>
      </c>
      <c r="E1075" s="1" t="s">
        <v>11</v>
      </c>
      <c r="F1075" s="1" t="s">
        <v>20</v>
      </c>
      <c r="G1075" s="4" t="b">
        <f t="shared" si="2"/>
        <v>1</v>
      </c>
      <c r="H1075" s="1" t="str">
        <f t="shared" si="3"/>
        <v>Currently Unavailable</v>
      </c>
      <c r="I1075" s="1" t="str">
        <f t="shared" si="4"/>
        <v>No Badges</v>
      </c>
      <c r="J1075" s="3">
        <f t="shared" si="5"/>
        <v>0</v>
      </c>
    </row>
    <row r="1076">
      <c r="A1076" s="1" t="s">
        <v>653</v>
      </c>
      <c r="B1076" s="3" t="str">
        <f t="shared" si="1"/>
        <v>Unavailable</v>
      </c>
      <c r="C1076" s="3">
        <v>318.0</v>
      </c>
      <c r="D1076" s="3">
        <f>IFERROR(__xludf.DUMMYFUNCTION("IFERROR(
IF(REGEXMATCH(LOWER(O1076),""k""),
VALUE(REGEXEXTRACT(O1076,""[0-9]+""))*1000,
VALUE(REGEXEXTRACT(O1076,""[0-9]+""))
),
0
)"),0.0)</f>
        <v>0</v>
      </c>
      <c r="E1076" s="1" t="s">
        <v>11</v>
      </c>
      <c r="F1076" s="1" t="s">
        <v>20</v>
      </c>
      <c r="G1076" s="4" t="b">
        <f t="shared" si="2"/>
        <v>1</v>
      </c>
      <c r="H1076" s="1" t="str">
        <f t="shared" si="3"/>
        <v>Currently Unavailable</v>
      </c>
      <c r="I1076" s="1" t="str">
        <f t="shared" si="4"/>
        <v>No Badges</v>
      </c>
      <c r="J1076" s="3">
        <f t="shared" si="5"/>
        <v>0</v>
      </c>
    </row>
    <row r="1077">
      <c r="A1077" s="1" t="s">
        <v>934</v>
      </c>
      <c r="B1077" s="3" t="str">
        <f t="shared" si="1"/>
        <v>Unavailable</v>
      </c>
      <c r="C1077" s="3">
        <v>106.0</v>
      </c>
      <c r="D1077" s="3">
        <f>IFERROR(__xludf.DUMMYFUNCTION("IFERROR(
IF(REGEXMATCH(LOWER(O1077),""k""),
VALUE(REGEXEXTRACT(O1077,""[0-9]+""))*1000,
VALUE(REGEXEXTRACT(O1077,""[0-9]+""))
),
0
)"),0.0)</f>
        <v>0</v>
      </c>
      <c r="E1077" s="1" t="s">
        <v>11</v>
      </c>
      <c r="F1077" s="1" t="s">
        <v>20</v>
      </c>
      <c r="G1077" s="4" t="b">
        <f t="shared" si="2"/>
        <v>1</v>
      </c>
      <c r="H1077" s="1" t="str">
        <f t="shared" si="3"/>
        <v>Currently Unavailable</v>
      </c>
      <c r="I1077" s="1" t="str">
        <f t="shared" si="4"/>
        <v>No Badges</v>
      </c>
      <c r="J1077" s="3">
        <f t="shared" si="5"/>
        <v>0</v>
      </c>
    </row>
    <row r="1078">
      <c r="A1078" s="1" t="s">
        <v>792</v>
      </c>
      <c r="B1078" s="3" t="str">
        <f t="shared" si="1"/>
        <v>Unavailable</v>
      </c>
      <c r="C1078" s="5">
        <v>2055.0</v>
      </c>
      <c r="D1078" s="3">
        <f>IFERROR(__xludf.DUMMYFUNCTION("IFERROR(
IF(REGEXMATCH(LOWER(O1078),""k""),
VALUE(REGEXEXTRACT(O1078,""[0-9]+""))*1000,
VALUE(REGEXEXTRACT(O1078,""[0-9]+""))
),
0
)"),0.0)</f>
        <v>0</v>
      </c>
      <c r="E1078" s="1" t="s">
        <v>11</v>
      </c>
      <c r="F1078" s="1" t="s">
        <v>20</v>
      </c>
      <c r="G1078" s="4" t="b">
        <f t="shared" si="2"/>
        <v>1</v>
      </c>
      <c r="H1078" s="1" t="str">
        <f t="shared" si="3"/>
        <v>Currently Unavailable</v>
      </c>
      <c r="I1078" s="1" t="str">
        <f t="shared" si="4"/>
        <v>No Badges</v>
      </c>
      <c r="J1078" s="3">
        <f t="shared" si="5"/>
        <v>0</v>
      </c>
    </row>
    <row r="1079">
      <c r="A1079" s="1" t="s">
        <v>793</v>
      </c>
      <c r="B1079" s="3" t="str">
        <f t="shared" si="1"/>
        <v>Unavailable</v>
      </c>
      <c r="C1079" s="3">
        <v>268.0</v>
      </c>
      <c r="D1079" s="3">
        <f>IFERROR(__xludf.DUMMYFUNCTION("IFERROR(
IF(REGEXMATCH(LOWER(O1079),""k""),
VALUE(REGEXEXTRACT(O1079,""[0-9]+""))*1000,
VALUE(REGEXEXTRACT(O1079,""[0-9]+""))
),
0
)"),0.0)</f>
        <v>0</v>
      </c>
      <c r="E1079" s="1" t="s">
        <v>11</v>
      </c>
      <c r="F1079" s="1" t="s">
        <v>20</v>
      </c>
      <c r="G1079" s="4" t="b">
        <f t="shared" si="2"/>
        <v>1</v>
      </c>
      <c r="H1079" s="1" t="str">
        <f t="shared" si="3"/>
        <v>Currently Unavailable</v>
      </c>
      <c r="I1079" s="1" t="str">
        <f t="shared" si="4"/>
        <v>No Badges</v>
      </c>
      <c r="J1079" s="3">
        <f t="shared" si="5"/>
        <v>0</v>
      </c>
    </row>
    <row r="1080">
      <c r="A1080" s="1" t="s">
        <v>935</v>
      </c>
      <c r="B1080" s="3" t="str">
        <f t="shared" si="1"/>
        <v>Unavailable</v>
      </c>
      <c r="C1080" s="3">
        <v>233.0</v>
      </c>
      <c r="D1080" s="3">
        <f>IFERROR(__xludf.DUMMYFUNCTION("IFERROR(
IF(REGEXMATCH(LOWER(O1080),""k""),
VALUE(REGEXEXTRACT(O1080,""[0-9]+""))*1000,
VALUE(REGEXEXTRACT(O1080,""[0-9]+""))
),
0
)"),0.0)</f>
        <v>0</v>
      </c>
      <c r="E1080" s="1" t="s">
        <v>11</v>
      </c>
      <c r="F1080" s="1" t="s">
        <v>20</v>
      </c>
      <c r="G1080" s="4" t="b">
        <f t="shared" si="2"/>
        <v>1</v>
      </c>
      <c r="H1080" s="1" t="str">
        <f t="shared" si="3"/>
        <v>Currently Unavailable</v>
      </c>
      <c r="I1080" s="1" t="str">
        <f t="shared" si="4"/>
        <v>No Badges</v>
      </c>
      <c r="J1080" s="3">
        <f t="shared" si="5"/>
        <v>0</v>
      </c>
    </row>
    <row r="1081">
      <c r="A1081" s="1" t="s">
        <v>936</v>
      </c>
      <c r="B1081" s="3" t="str">
        <f t="shared" si="1"/>
        <v>Unavailable</v>
      </c>
      <c r="C1081" s="5">
        <v>1082.0</v>
      </c>
      <c r="D1081" s="3">
        <f>IFERROR(__xludf.DUMMYFUNCTION("IFERROR(
IF(REGEXMATCH(LOWER(O1081),""k""),
VALUE(REGEXEXTRACT(O1081,""[0-9]+""))*1000,
VALUE(REGEXEXTRACT(O1081,""[0-9]+""))
),
0
)"),0.0)</f>
        <v>0</v>
      </c>
      <c r="E1081" s="1" t="s">
        <v>11</v>
      </c>
      <c r="F1081" s="1" t="s">
        <v>20</v>
      </c>
      <c r="G1081" s="4" t="b">
        <f t="shared" si="2"/>
        <v>1</v>
      </c>
      <c r="H1081" s="1" t="str">
        <f t="shared" si="3"/>
        <v>Currently Unavailable</v>
      </c>
      <c r="I1081" s="1" t="str">
        <f t="shared" si="4"/>
        <v>No Badges</v>
      </c>
      <c r="J1081" s="3">
        <f t="shared" si="5"/>
        <v>0</v>
      </c>
    </row>
    <row r="1082">
      <c r="A1082" s="1" t="s">
        <v>794</v>
      </c>
      <c r="B1082" s="3" t="str">
        <f t="shared" si="1"/>
        <v>Unavailable</v>
      </c>
      <c r="C1082" s="3">
        <v>151.0</v>
      </c>
      <c r="D1082" s="3">
        <f>IFERROR(__xludf.DUMMYFUNCTION("IFERROR(
IF(REGEXMATCH(LOWER(O1082),""k""),
VALUE(REGEXEXTRACT(O1082,""[0-9]+""))*1000,
VALUE(REGEXEXTRACT(O1082,""[0-9]+""))
),
0
)"),0.0)</f>
        <v>0</v>
      </c>
      <c r="E1082" s="1" t="s">
        <v>11</v>
      </c>
      <c r="F1082" s="1" t="s">
        <v>20</v>
      </c>
      <c r="G1082" s="4" t="b">
        <f t="shared" si="2"/>
        <v>1</v>
      </c>
      <c r="H1082" s="1" t="str">
        <f t="shared" si="3"/>
        <v>Currently Unavailable</v>
      </c>
      <c r="I1082" s="1" t="str">
        <f t="shared" si="4"/>
        <v>No Badges</v>
      </c>
      <c r="J1082" s="3">
        <f t="shared" si="5"/>
        <v>0</v>
      </c>
    </row>
    <row r="1083">
      <c r="A1083" s="1" t="s">
        <v>795</v>
      </c>
      <c r="B1083" s="3" t="str">
        <f t="shared" si="1"/>
        <v>Unavailable</v>
      </c>
      <c r="C1083" s="5">
        <v>4729.0</v>
      </c>
      <c r="D1083" s="3">
        <f>IFERROR(__xludf.DUMMYFUNCTION("IFERROR(
IF(REGEXMATCH(LOWER(O1083),""k""),
VALUE(REGEXEXTRACT(O1083,""[0-9]+""))*1000,
VALUE(REGEXEXTRACT(O1083,""[0-9]+""))
),
0
)"),0.0)</f>
        <v>0</v>
      </c>
      <c r="E1083" s="1" t="s">
        <v>11</v>
      </c>
      <c r="F1083" s="1" t="s">
        <v>20</v>
      </c>
      <c r="G1083" s="4" t="b">
        <f t="shared" si="2"/>
        <v>1</v>
      </c>
      <c r="H1083" s="1" t="str">
        <f t="shared" si="3"/>
        <v>Currently Unavailable</v>
      </c>
      <c r="I1083" s="1" t="str">
        <f t="shared" si="4"/>
        <v>No Badges</v>
      </c>
      <c r="J1083" s="3">
        <f t="shared" si="5"/>
        <v>0</v>
      </c>
    </row>
    <row r="1084">
      <c r="A1084" s="1" t="s">
        <v>937</v>
      </c>
      <c r="B1084" s="3" t="str">
        <f t="shared" si="1"/>
        <v>Unavailable</v>
      </c>
      <c r="C1084" s="3">
        <v>856.0</v>
      </c>
      <c r="D1084" s="3">
        <f>IFERROR(__xludf.DUMMYFUNCTION("IFERROR(
IF(REGEXMATCH(LOWER(O1084),""k""),
VALUE(REGEXEXTRACT(O1084,""[0-9]+""))*1000,
VALUE(REGEXEXTRACT(O1084,""[0-9]+""))
),
0
)"),0.0)</f>
        <v>0</v>
      </c>
      <c r="E1084" s="1" t="s">
        <v>11</v>
      </c>
      <c r="F1084" s="1" t="s">
        <v>20</v>
      </c>
      <c r="G1084" s="4" t="b">
        <f t="shared" si="2"/>
        <v>1</v>
      </c>
      <c r="H1084" s="1" t="str">
        <f t="shared" si="3"/>
        <v>Currently Unavailable</v>
      </c>
      <c r="I1084" s="1" t="str">
        <f t="shared" si="4"/>
        <v>No Badges</v>
      </c>
      <c r="J1084" s="3">
        <f t="shared" si="5"/>
        <v>0</v>
      </c>
    </row>
    <row r="1085">
      <c r="A1085" s="1" t="s">
        <v>796</v>
      </c>
      <c r="B1085" s="3" t="str">
        <f t="shared" si="1"/>
        <v>Unavailable</v>
      </c>
      <c r="C1085" s="3">
        <v>755.0</v>
      </c>
      <c r="D1085" s="3">
        <f>IFERROR(__xludf.DUMMYFUNCTION("IFERROR(
IF(REGEXMATCH(LOWER(O1085),""k""),
VALUE(REGEXEXTRACT(O1085,""[0-9]+""))*1000,
VALUE(REGEXEXTRACT(O1085,""[0-9]+""))
),
0
)"),0.0)</f>
        <v>0</v>
      </c>
      <c r="E1085" s="1" t="s">
        <v>11</v>
      </c>
      <c r="F1085" s="1" t="s">
        <v>20</v>
      </c>
      <c r="G1085" s="4" t="b">
        <f t="shared" si="2"/>
        <v>1</v>
      </c>
      <c r="H1085" s="1" t="str">
        <f t="shared" si="3"/>
        <v>Currently Unavailable</v>
      </c>
      <c r="I1085" s="1" t="str">
        <f t="shared" si="4"/>
        <v>No Badges</v>
      </c>
      <c r="J1085" s="3">
        <f t="shared" si="5"/>
        <v>0</v>
      </c>
    </row>
    <row r="1086">
      <c r="A1086" s="1" t="s">
        <v>938</v>
      </c>
      <c r="B1086" s="3" t="str">
        <f t="shared" si="1"/>
        <v>Unavailable</v>
      </c>
      <c r="C1086" s="3">
        <v>787.0</v>
      </c>
      <c r="D1086" s="3">
        <f>IFERROR(__xludf.DUMMYFUNCTION("IFERROR(
IF(REGEXMATCH(LOWER(O1086),""k""),
VALUE(REGEXEXTRACT(O1086,""[0-9]+""))*1000,
VALUE(REGEXEXTRACT(O1086,""[0-9]+""))
),
0
)"),0.0)</f>
        <v>0</v>
      </c>
      <c r="E1086" s="1" t="s">
        <v>11</v>
      </c>
      <c r="F1086" s="1" t="s">
        <v>20</v>
      </c>
      <c r="G1086" s="4" t="b">
        <f t="shared" si="2"/>
        <v>1</v>
      </c>
      <c r="H1086" s="1" t="str">
        <f t="shared" si="3"/>
        <v>Currently Unavailable</v>
      </c>
      <c r="I1086" s="1" t="str">
        <f t="shared" si="4"/>
        <v>No Badges</v>
      </c>
      <c r="J1086" s="3">
        <f t="shared" si="5"/>
        <v>0</v>
      </c>
    </row>
    <row r="1087">
      <c r="A1087" s="1" t="s">
        <v>797</v>
      </c>
      <c r="B1087" s="3" t="str">
        <f t="shared" si="1"/>
        <v>Unavailable</v>
      </c>
      <c r="C1087" s="5">
        <v>3865.0</v>
      </c>
      <c r="D1087" s="3">
        <f>IFERROR(__xludf.DUMMYFUNCTION("IFERROR(
IF(REGEXMATCH(LOWER(O1087),""k""),
VALUE(REGEXEXTRACT(O1087,""[0-9]+""))*1000,
VALUE(REGEXEXTRACT(O1087,""[0-9]+""))
),
0
)"),0.0)</f>
        <v>0</v>
      </c>
      <c r="E1087" s="1" t="s">
        <v>11</v>
      </c>
      <c r="F1087" s="1" t="s">
        <v>20</v>
      </c>
      <c r="G1087" s="4" t="b">
        <f t="shared" si="2"/>
        <v>1</v>
      </c>
      <c r="H1087" s="1" t="str">
        <f t="shared" si="3"/>
        <v>Currently Unavailable</v>
      </c>
      <c r="I1087" s="1" t="str">
        <f t="shared" si="4"/>
        <v>No Badges</v>
      </c>
      <c r="J1087" s="3">
        <f t="shared" si="5"/>
        <v>0</v>
      </c>
    </row>
    <row r="1088">
      <c r="A1088" s="1" t="s">
        <v>939</v>
      </c>
      <c r="B1088" s="3" t="str">
        <f t="shared" si="1"/>
        <v>Unavailable</v>
      </c>
      <c r="C1088" s="5">
        <v>8714.0</v>
      </c>
      <c r="D1088" s="3">
        <f>IFERROR(__xludf.DUMMYFUNCTION("IFERROR(
IF(REGEXMATCH(LOWER(O1088),""k""),
VALUE(REGEXEXTRACT(O1088,""[0-9]+""))*1000,
VALUE(REGEXEXTRACT(O1088,""[0-9]+""))
),
0
)"),0.0)</f>
        <v>0</v>
      </c>
      <c r="E1088" s="1" t="s">
        <v>11</v>
      </c>
      <c r="F1088" s="1" t="s">
        <v>20</v>
      </c>
      <c r="G1088" s="4" t="b">
        <f t="shared" si="2"/>
        <v>1</v>
      </c>
      <c r="H1088" s="1" t="str">
        <f t="shared" si="3"/>
        <v>Currently Unavailable</v>
      </c>
      <c r="I1088" s="1" t="str">
        <f t="shared" si="4"/>
        <v>No Badges</v>
      </c>
      <c r="J1088" s="3">
        <f t="shared" si="5"/>
        <v>0</v>
      </c>
    </row>
    <row r="1089">
      <c r="A1089" s="1" t="s">
        <v>798</v>
      </c>
      <c r="B1089" s="3" t="str">
        <f t="shared" si="1"/>
        <v>Unavailable</v>
      </c>
      <c r="C1089" s="3">
        <v>6.0</v>
      </c>
      <c r="D1089" s="3">
        <f>IFERROR(__xludf.DUMMYFUNCTION("IFERROR(
IF(REGEXMATCH(LOWER(O1089),""k""),
VALUE(REGEXEXTRACT(O1089,""[0-9]+""))*1000,
VALUE(REGEXEXTRACT(O1089,""[0-9]+""))
),
0
)"),0.0)</f>
        <v>0</v>
      </c>
      <c r="E1089" s="1" t="s">
        <v>11</v>
      </c>
      <c r="F1089" s="1" t="s">
        <v>20</v>
      </c>
      <c r="G1089" s="4" t="b">
        <f t="shared" si="2"/>
        <v>1</v>
      </c>
      <c r="H1089" s="1" t="str">
        <f t="shared" si="3"/>
        <v>Currently Unavailable</v>
      </c>
      <c r="I1089" s="1" t="str">
        <f t="shared" si="4"/>
        <v>No Badges</v>
      </c>
      <c r="J1089" s="3">
        <f t="shared" si="5"/>
        <v>0</v>
      </c>
    </row>
    <row r="1090">
      <c r="A1090" s="1" t="s">
        <v>940</v>
      </c>
      <c r="B1090" s="3" t="str">
        <f t="shared" si="1"/>
        <v>Unavailable</v>
      </c>
      <c r="C1090" s="3">
        <v>45.0</v>
      </c>
      <c r="D1090" s="3">
        <f>IFERROR(__xludf.DUMMYFUNCTION("IFERROR(
IF(REGEXMATCH(LOWER(O1090),""k""),
VALUE(REGEXEXTRACT(O1090,""[0-9]+""))*1000,
VALUE(REGEXEXTRACT(O1090,""[0-9]+""))
),
0
)"),0.0)</f>
        <v>0</v>
      </c>
      <c r="E1090" s="1" t="s">
        <v>11</v>
      </c>
      <c r="F1090" s="1" t="s">
        <v>20</v>
      </c>
      <c r="G1090" s="4" t="b">
        <f t="shared" si="2"/>
        <v>1</v>
      </c>
      <c r="H1090" s="1" t="str">
        <f t="shared" si="3"/>
        <v>Currently Unavailable</v>
      </c>
      <c r="I1090" s="1" t="str">
        <f t="shared" si="4"/>
        <v>No Badges</v>
      </c>
      <c r="J1090" s="3">
        <f t="shared" si="5"/>
        <v>0</v>
      </c>
    </row>
    <row r="1091">
      <c r="A1091" s="1" t="s">
        <v>941</v>
      </c>
      <c r="B1091" s="3" t="str">
        <f t="shared" si="1"/>
        <v>Unavailable</v>
      </c>
      <c r="C1091" s="5">
        <v>1004.0</v>
      </c>
      <c r="D1091" s="3">
        <f>IFERROR(__xludf.DUMMYFUNCTION("IFERROR(
IF(REGEXMATCH(LOWER(O1091),""k""),
VALUE(REGEXEXTRACT(O1091,""[0-9]+""))*1000,
VALUE(REGEXEXTRACT(O1091,""[0-9]+""))
),
0
)"),0.0)</f>
        <v>0</v>
      </c>
      <c r="E1091" s="1" t="s">
        <v>11</v>
      </c>
      <c r="F1091" s="1" t="s">
        <v>20</v>
      </c>
      <c r="G1091" s="4" t="b">
        <f t="shared" si="2"/>
        <v>1</v>
      </c>
      <c r="H1091" s="1" t="str">
        <f t="shared" si="3"/>
        <v>Currently Unavailable</v>
      </c>
      <c r="I1091" s="1" t="str">
        <f t="shared" si="4"/>
        <v>No Badges</v>
      </c>
      <c r="J1091" s="3">
        <f t="shared" si="5"/>
        <v>0</v>
      </c>
    </row>
    <row r="1092">
      <c r="A1092" s="1" t="s">
        <v>942</v>
      </c>
      <c r="B1092" s="3" t="str">
        <f t="shared" si="1"/>
        <v>Unavailable</v>
      </c>
      <c r="C1092" s="5">
        <v>3523.0</v>
      </c>
      <c r="D1092" s="3">
        <f>IFERROR(__xludf.DUMMYFUNCTION("IFERROR(
IF(REGEXMATCH(LOWER(O1092),""k""),
VALUE(REGEXEXTRACT(O1092,""[0-9]+""))*1000,
VALUE(REGEXEXTRACT(O1092,""[0-9]+""))
),
0
)"),0.0)</f>
        <v>0</v>
      </c>
      <c r="E1092" s="1" t="s">
        <v>11</v>
      </c>
      <c r="F1092" s="1" t="s">
        <v>20</v>
      </c>
      <c r="G1092" s="4" t="b">
        <f t="shared" si="2"/>
        <v>1</v>
      </c>
      <c r="H1092" s="1" t="str">
        <f t="shared" si="3"/>
        <v>Currently Unavailable</v>
      </c>
      <c r="I1092" s="1" t="str">
        <f t="shared" si="4"/>
        <v>No Badges</v>
      </c>
      <c r="J1092" s="3">
        <f t="shared" si="5"/>
        <v>0</v>
      </c>
    </row>
    <row r="1093">
      <c r="A1093" s="1" t="s">
        <v>943</v>
      </c>
      <c r="B1093" s="3" t="str">
        <f t="shared" si="1"/>
        <v>Unavailable</v>
      </c>
      <c r="C1093" s="5">
        <v>4482.0</v>
      </c>
      <c r="D1093" s="3">
        <f>IFERROR(__xludf.DUMMYFUNCTION("IFERROR(
IF(REGEXMATCH(LOWER(O1093),""k""),
VALUE(REGEXEXTRACT(O1093,""[0-9]+""))*1000,
VALUE(REGEXEXTRACT(O1093,""[0-9]+""))
),
0
)"),0.0)</f>
        <v>0</v>
      </c>
      <c r="E1093" s="1" t="s">
        <v>11</v>
      </c>
      <c r="F1093" s="1" t="s">
        <v>20</v>
      </c>
      <c r="G1093" s="4" t="b">
        <f t="shared" si="2"/>
        <v>1</v>
      </c>
      <c r="H1093" s="1" t="str">
        <f t="shared" si="3"/>
        <v>Currently Unavailable</v>
      </c>
      <c r="I1093" s="1" t="str">
        <f t="shared" si="4"/>
        <v>No Badges</v>
      </c>
      <c r="J1093" s="3">
        <f t="shared" si="5"/>
        <v>0</v>
      </c>
    </row>
    <row r="1094">
      <c r="A1094" s="1" t="s">
        <v>944</v>
      </c>
      <c r="B1094" s="3" t="str">
        <f t="shared" si="1"/>
        <v>Unavailable</v>
      </c>
      <c r="C1094" s="3">
        <v>18.0</v>
      </c>
      <c r="D1094" s="3">
        <f>IFERROR(__xludf.DUMMYFUNCTION("IFERROR(
IF(REGEXMATCH(LOWER(O1094),""k""),
VALUE(REGEXEXTRACT(O1094,""[0-9]+""))*1000,
VALUE(REGEXEXTRACT(O1094,""[0-9]+""))
),
0
)"),0.0)</f>
        <v>0</v>
      </c>
      <c r="E1094" s="1" t="s">
        <v>11</v>
      </c>
      <c r="F1094" s="1" t="s">
        <v>20</v>
      </c>
      <c r="G1094" s="4" t="b">
        <f t="shared" si="2"/>
        <v>1</v>
      </c>
      <c r="H1094" s="1" t="str">
        <f t="shared" si="3"/>
        <v>Currently Unavailable</v>
      </c>
      <c r="I1094" s="1" t="str">
        <f t="shared" si="4"/>
        <v>No Badges</v>
      </c>
      <c r="J1094" s="3">
        <f t="shared" si="5"/>
        <v>0</v>
      </c>
    </row>
    <row r="1095">
      <c r="A1095" s="1" t="s">
        <v>945</v>
      </c>
      <c r="B1095" s="3" t="str">
        <f t="shared" si="1"/>
        <v>Unavailable</v>
      </c>
      <c r="C1095" s="3">
        <v>207.0</v>
      </c>
      <c r="D1095" s="3">
        <f>IFERROR(__xludf.DUMMYFUNCTION("IFERROR(
IF(REGEXMATCH(LOWER(O1095),""k""),
VALUE(REGEXEXTRACT(O1095,""[0-9]+""))*1000,
VALUE(REGEXEXTRACT(O1095,""[0-9]+""))
),
0
)"),0.0)</f>
        <v>0</v>
      </c>
      <c r="E1095" s="1" t="s">
        <v>11</v>
      </c>
      <c r="F1095" s="1" t="s">
        <v>20</v>
      </c>
      <c r="G1095" s="4" t="b">
        <f t="shared" si="2"/>
        <v>1</v>
      </c>
      <c r="H1095" s="1" t="str">
        <f t="shared" si="3"/>
        <v>Currently Unavailable</v>
      </c>
      <c r="I1095" s="1" t="str">
        <f t="shared" si="4"/>
        <v>No Badges</v>
      </c>
      <c r="J1095" s="3">
        <f t="shared" si="5"/>
        <v>0</v>
      </c>
    </row>
    <row r="1096">
      <c r="A1096" s="1" t="s">
        <v>946</v>
      </c>
      <c r="B1096" s="3" t="str">
        <f t="shared" si="1"/>
        <v>Unavailable</v>
      </c>
      <c r="C1096" s="3">
        <v>663.0</v>
      </c>
      <c r="D1096" s="3">
        <f>IFERROR(__xludf.DUMMYFUNCTION("IFERROR(
IF(REGEXMATCH(LOWER(O1096),""k""),
VALUE(REGEXEXTRACT(O1096,""[0-9]+""))*1000,
VALUE(REGEXEXTRACT(O1096,""[0-9]+""))
),
0
)"),0.0)</f>
        <v>0</v>
      </c>
      <c r="E1096" s="1" t="s">
        <v>11</v>
      </c>
      <c r="F1096" s="1" t="s">
        <v>20</v>
      </c>
      <c r="G1096" s="4" t="b">
        <f t="shared" si="2"/>
        <v>1</v>
      </c>
      <c r="H1096" s="1" t="str">
        <f t="shared" si="3"/>
        <v>Currently Unavailable</v>
      </c>
      <c r="I1096" s="1" t="str">
        <f t="shared" si="4"/>
        <v>No Badges</v>
      </c>
      <c r="J1096" s="3">
        <f t="shared" si="5"/>
        <v>0</v>
      </c>
    </row>
    <row r="1097">
      <c r="A1097" s="1" t="s">
        <v>671</v>
      </c>
      <c r="B1097" s="3" t="str">
        <f t="shared" si="1"/>
        <v>Unavailable</v>
      </c>
      <c r="C1097" s="3">
        <v>806.0</v>
      </c>
      <c r="D1097" s="3">
        <f>IFERROR(__xludf.DUMMYFUNCTION("IFERROR(
IF(REGEXMATCH(LOWER(O1097),""k""),
VALUE(REGEXEXTRACT(O1097,""[0-9]+""))*1000,
VALUE(REGEXEXTRACT(O1097,""[0-9]+""))
),
0
)"),0.0)</f>
        <v>0</v>
      </c>
      <c r="E1097" s="1" t="s">
        <v>11</v>
      </c>
      <c r="F1097" s="1" t="s">
        <v>20</v>
      </c>
      <c r="G1097" s="4" t="b">
        <f t="shared" si="2"/>
        <v>1</v>
      </c>
      <c r="H1097" s="1" t="str">
        <f t="shared" si="3"/>
        <v>Currently Unavailable</v>
      </c>
      <c r="I1097" s="1" t="str">
        <f t="shared" si="4"/>
        <v>No Badges</v>
      </c>
      <c r="J1097" s="3">
        <f t="shared" si="5"/>
        <v>0</v>
      </c>
    </row>
    <row r="1098">
      <c r="A1098" s="1" t="s">
        <v>947</v>
      </c>
      <c r="B1098" s="3" t="str">
        <f t="shared" si="1"/>
        <v>Unavailable</v>
      </c>
      <c r="C1098" s="3">
        <v>999.0</v>
      </c>
      <c r="D1098" s="3">
        <f>IFERROR(__xludf.DUMMYFUNCTION("IFERROR(
IF(REGEXMATCH(LOWER(O1098),""k""),
VALUE(REGEXEXTRACT(O1098,""[0-9]+""))*1000,
VALUE(REGEXEXTRACT(O1098,""[0-9]+""))
),
0
)"),0.0)</f>
        <v>0</v>
      </c>
      <c r="E1098" s="1" t="s">
        <v>11</v>
      </c>
      <c r="F1098" s="1" t="s">
        <v>20</v>
      </c>
      <c r="G1098" s="4" t="b">
        <f t="shared" si="2"/>
        <v>1</v>
      </c>
      <c r="H1098" s="1" t="str">
        <f t="shared" si="3"/>
        <v>Currently Unavailable</v>
      </c>
      <c r="I1098" s="1" t="str">
        <f t="shared" si="4"/>
        <v>No Badges</v>
      </c>
      <c r="J1098" s="3">
        <f t="shared" si="5"/>
        <v>0</v>
      </c>
    </row>
    <row r="1099">
      <c r="A1099" s="1" t="s">
        <v>948</v>
      </c>
      <c r="B1099" s="3" t="str">
        <f t="shared" si="1"/>
        <v>Unavailable</v>
      </c>
      <c r="C1099" s="3">
        <v>28.0</v>
      </c>
      <c r="D1099" s="3">
        <f>IFERROR(__xludf.DUMMYFUNCTION("IFERROR(
IF(REGEXMATCH(LOWER(O1099),""k""),
VALUE(REGEXEXTRACT(O1099,""[0-9]+""))*1000,
VALUE(REGEXEXTRACT(O1099,""[0-9]+""))
),
0
)"),0.0)</f>
        <v>0</v>
      </c>
      <c r="E1099" s="1" t="s">
        <v>18</v>
      </c>
      <c r="F1099" s="1" t="s">
        <v>20</v>
      </c>
      <c r="G1099" s="4" t="b">
        <f t="shared" si="2"/>
        <v>1</v>
      </c>
      <c r="H1099" s="1" t="str">
        <f t="shared" si="3"/>
        <v>Currently Unavailable</v>
      </c>
      <c r="I1099" s="1" t="str">
        <f t="shared" si="4"/>
        <v>No Badges</v>
      </c>
      <c r="J1099" s="3">
        <f t="shared" si="5"/>
        <v>0</v>
      </c>
    </row>
    <row r="1100">
      <c r="A1100" s="1" t="s">
        <v>40</v>
      </c>
      <c r="B1100" s="3" t="str">
        <f t="shared" si="1"/>
        <v>Unavailable</v>
      </c>
      <c r="C1100" s="3">
        <v>171.0</v>
      </c>
      <c r="D1100" s="3">
        <f>IFERROR(__xludf.DUMMYFUNCTION("IFERROR(
IF(REGEXMATCH(LOWER(O1100),""k""),
VALUE(REGEXEXTRACT(O1100,""[0-9]+""))*1000,
VALUE(REGEXEXTRACT(O1100,""[0-9]+""))
),
0
)"),0.0)</f>
        <v>0</v>
      </c>
      <c r="E1100" s="1" t="s">
        <v>11</v>
      </c>
      <c r="F1100" s="1" t="s">
        <v>12</v>
      </c>
      <c r="G1100" s="4" t="b">
        <f t="shared" si="2"/>
        <v>1</v>
      </c>
      <c r="H1100" s="1" t="str">
        <f t="shared" si="3"/>
        <v>Currently Unavailable</v>
      </c>
      <c r="I1100" s="1" t="str">
        <f t="shared" si="4"/>
        <v>No Badges</v>
      </c>
      <c r="J1100" s="3">
        <f t="shared" si="5"/>
        <v>0</v>
      </c>
    </row>
    <row r="1101">
      <c r="A1101" s="1" t="s">
        <v>949</v>
      </c>
      <c r="B1101" s="3" t="str">
        <f t="shared" si="1"/>
        <v>Unavailable</v>
      </c>
      <c r="C1101" s="3">
        <v>85.0</v>
      </c>
      <c r="D1101" s="3">
        <f>IFERROR(__xludf.DUMMYFUNCTION("IFERROR(
IF(REGEXMATCH(LOWER(O1101),""k""),
VALUE(REGEXEXTRACT(O1101,""[0-9]+""))*1000,
VALUE(REGEXEXTRACT(O1101,""[0-9]+""))
),
0
)"),0.0)</f>
        <v>0</v>
      </c>
      <c r="E1101" s="1" t="s">
        <v>11</v>
      </c>
      <c r="F1101" s="1" t="s">
        <v>20</v>
      </c>
      <c r="G1101" s="4" t="b">
        <f t="shared" si="2"/>
        <v>1</v>
      </c>
      <c r="H1101" s="1" t="str">
        <f t="shared" si="3"/>
        <v>Currently Unavailable</v>
      </c>
      <c r="I1101" s="1" t="str">
        <f t="shared" si="4"/>
        <v>No Badges</v>
      </c>
      <c r="J1101" s="3">
        <f t="shared" si="5"/>
        <v>0</v>
      </c>
    </row>
    <row r="1102">
      <c r="A1102" s="1" t="s">
        <v>950</v>
      </c>
      <c r="B1102" s="3" t="str">
        <f t="shared" si="1"/>
        <v>Unavailable</v>
      </c>
      <c r="C1102" s="3">
        <v>19.0</v>
      </c>
      <c r="D1102" s="3">
        <f>IFERROR(__xludf.DUMMYFUNCTION("IFERROR(
IF(REGEXMATCH(LOWER(O1102),""k""),
VALUE(REGEXEXTRACT(O1102,""[0-9]+""))*1000,
VALUE(REGEXEXTRACT(O1102,""[0-9]+""))
),
0
)"),0.0)</f>
        <v>0</v>
      </c>
      <c r="E1102" s="1" t="s">
        <v>11</v>
      </c>
      <c r="F1102" s="1" t="s">
        <v>20</v>
      </c>
      <c r="G1102" s="4" t="b">
        <f t="shared" si="2"/>
        <v>1</v>
      </c>
      <c r="H1102" s="1" t="str">
        <f t="shared" si="3"/>
        <v>Currently Unavailable</v>
      </c>
      <c r="I1102" s="1" t="str">
        <f t="shared" si="4"/>
        <v>No Badges</v>
      </c>
      <c r="J1102" s="3">
        <f t="shared" si="5"/>
        <v>0</v>
      </c>
    </row>
    <row r="1103">
      <c r="A1103" s="1" t="s">
        <v>951</v>
      </c>
      <c r="B1103" s="3" t="str">
        <f t="shared" si="1"/>
        <v>Unavailable</v>
      </c>
      <c r="C1103" s="3">
        <v>244.0</v>
      </c>
      <c r="D1103" s="3">
        <f>IFERROR(__xludf.DUMMYFUNCTION("IFERROR(
IF(REGEXMATCH(LOWER(O1103),""k""),
VALUE(REGEXEXTRACT(O1103,""[0-9]+""))*1000,
VALUE(REGEXEXTRACT(O1103,""[0-9]+""))
),
0
)"),0.0)</f>
        <v>0</v>
      </c>
      <c r="E1103" s="1" t="s">
        <v>11</v>
      </c>
      <c r="F1103" s="1" t="s">
        <v>20</v>
      </c>
      <c r="G1103" s="4" t="b">
        <f t="shared" si="2"/>
        <v>1</v>
      </c>
      <c r="H1103" s="1" t="str">
        <f t="shared" si="3"/>
        <v>Currently Unavailable</v>
      </c>
      <c r="I1103" s="1" t="str">
        <f t="shared" si="4"/>
        <v>No Badges</v>
      </c>
      <c r="J1103" s="3">
        <f t="shared" si="5"/>
        <v>0</v>
      </c>
    </row>
    <row r="1104">
      <c r="A1104" s="1" t="s">
        <v>952</v>
      </c>
      <c r="B1104" s="3" t="str">
        <f t="shared" si="1"/>
        <v>Unavailable</v>
      </c>
      <c r="C1104" s="3">
        <v>105.0</v>
      </c>
      <c r="D1104" s="3">
        <f>IFERROR(__xludf.DUMMYFUNCTION("IFERROR(
IF(REGEXMATCH(LOWER(O1104),""k""),
VALUE(REGEXEXTRACT(O1104,""[0-9]+""))*1000,
VALUE(REGEXEXTRACT(O1104,""[0-9]+""))
),
0
)"),0.0)</f>
        <v>0</v>
      </c>
      <c r="E1104" s="1" t="s">
        <v>11</v>
      </c>
      <c r="F1104" s="1" t="s">
        <v>20</v>
      </c>
      <c r="G1104" s="4" t="b">
        <f t="shared" si="2"/>
        <v>1</v>
      </c>
      <c r="H1104" s="1" t="str">
        <f t="shared" si="3"/>
        <v>Currently Unavailable</v>
      </c>
      <c r="I1104" s="1" t="str">
        <f t="shared" si="4"/>
        <v>No Badges</v>
      </c>
      <c r="J1104" s="3">
        <f t="shared" si="5"/>
        <v>0</v>
      </c>
    </row>
    <row r="1105">
      <c r="A1105" s="1" t="s">
        <v>953</v>
      </c>
      <c r="B1105" s="3" t="str">
        <f t="shared" si="1"/>
        <v>Unavailable</v>
      </c>
      <c r="C1105" s="3">
        <v>336.0</v>
      </c>
      <c r="D1105" s="3">
        <f>IFERROR(__xludf.DUMMYFUNCTION("IFERROR(
IF(REGEXMATCH(LOWER(O1105),""k""),
VALUE(REGEXEXTRACT(O1105,""[0-9]+""))*1000,
VALUE(REGEXEXTRACT(O1105,""[0-9]+""))
),
0
)"),0.0)</f>
        <v>0</v>
      </c>
      <c r="E1105" s="1" t="s">
        <v>11</v>
      </c>
      <c r="F1105" s="1" t="s">
        <v>20</v>
      </c>
      <c r="G1105" s="4" t="b">
        <f t="shared" si="2"/>
        <v>1</v>
      </c>
      <c r="H1105" s="1" t="str">
        <f t="shared" si="3"/>
        <v>Currently Unavailable</v>
      </c>
      <c r="I1105" s="1" t="str">
        <f t="shared" si="4"/>
        <v>No Badges</v>
      </c>
      <c r="J1105" s="3">
        <f t="shared" si="5"/>
        <v>0</v>
      </c>
    </row>
    <row r="1106">
      <c r="A1106" s="1" t="s">
        <v>954</v>
      </c>
      <c r="B1106" s="3" t="str">
        <f t="shared" si="1"/>
        <v>Unavailable</v>
      </c>
      <c r="C1106" s="3">
        <v>151.0</v>
      </c>
      <c r="D1106" s="3">
        <f>IFERROR(__xludf.DUMMYFUNCTION("IFERROR(
IF(REGEXMATCH(LOWER(O1106),""k""),
VALUE(REGEXEXTRACT(O1106,""[0-9]+""))*1000,
VALUE(REGEXEXTRACT(O1106,""[0-9]+""))
),
0
)"),0.0)</f>
        <v>0</v>
      </c>
      <c r="E1106" s="1" t="s">
        <v>11</v>
      </c>
      <c r="F1106" s="1" t="s">
        <v>20</v>
      </c>
      <c r="G1106" s="4" t="b">
        <f t="shared" si="2"/>
        <v>1</v>
      </c>
      <c r="H1106" s="1" t="str">
        <f t="shared" si="3"/>
        <v>Currently Unavailable</v>
      </c>
      <c r="I1106" s="1" t="str">
        <f t="shared" si="4"/>
        <v>No Badges</v>
      </c>
      <c r="J1106" s="3">
        <f t="shared" si="5"/>
        <v>0</v>
      </c>
    </row>
    <row r="1107">
      <c r="A1107" s="1" t="s">
        <v>955</v>
      </c>
      <c r="B1107" s="3" t="str">
        <f t="shared" si="1"/>
        <v>Unavailable</v>
      </c>
      <c r="C1107" s="3">
        <v>369.0</v>
      </c>
      <c r="D1107" s="3">
        <f>IFERROR(__xludf.DUMMYFUNCTION("IFERROR(
IF(REGEXMATCH(LOWER(O1107),""k""),
VALUE(REGEXEXTRACT(O1107,""[0-9]+""))*1000,
VALUE(REGEXEXTRACT(O1107,""[0-9]+""))
),
0
)"),0.0)</f>
        <v>0</v>
      </c>
      <c r="E1107" s="1" t="s">
        <v>11</v>
      </c>
      <c r="F1107" s="1" t="s">
        <v>20</v>
      </c>
      <c r="G1107" s="4" t="b">
        <f t="shared" si="2"/>
        <v>1</v>
      </c>
      <c r="H1107" s="1" t="str">
        <f t="shared" si="3"/>
        <v>Currently Unavailable</v>
      </c>
      <c r="I1107" s="1" t="str">
        <f t="shared" si="4"/>
        <v>No Badges</v>
      </c>
      <c r="J1107" s="3">
        <f t="shared" si="5"/>
        <v>0</v>
      </c>
    </row>
    <row r="1108">
      <c r="A1108" s="1" t="s">
        <v>956</v>
      </c>
      <c r="B1108" s="3" t="str">
        <f t="shared" si="1"/>
        <v>Unavailable</v>
      </c>
      <c r="C1108" s="3">
        <v>60.0</v>
      </c>
      <c r="D1108" s="3">
        <f>IFERROR(__xludf.DUMMYFUNCTION("IFERROR(
IF(REGEXMATCH(LOWER(O1108),""k""),
VALUE(REGEXEXTRACT(O1108,""[0-9]+""))*1000,
VALUE(REGEXEXTRACT(O1108,""[0-9]+""))
),
0
)"),0.0)</f>
        <v>0</v>
      </c>
      <c r="E1108" s="1" t="s">
        <v>11</v>
      </c>
      <c r="F1108" s="1" t="s">
        <v>20</v>
      </c>
      <c r="G1108" s="4" t="b">
        <f t="shared" si="2"/>
        <v>1</v>
      </c>
      <c r="H1108" s="1" t="str">
        <f t="shared" si="3"/>
        <v>Currently Unavailable</v>
      </c>
      <c r="I1108" s="1" t="str">
        <f t="shared" si="4"/>
        <v>No Badges</v>
      </c>
      <c r="J1108" s="3">
        <f t="shared" si="5"/>
        <v>0</v>
      </c>
    </row>
    <row r="1109">
      <c r="A1109" s="1" t="s">
        <v>957</v>
      </c>
      <c r="B1109" s="3" t="str">
        <f t="shared" si="1"/>
        <v>Unavailable</v>
      </c>
      <c r="C1109" s="3">
        <v>81.0</v>
      </c>
      <c r="D1109" s="3">
        <f>IFERROR(__xludf.DUMMYFUNCTION("IFERROR(
IF(REGEXMATCH(LOWER(O1109),""k""),
VALUE(REGEXEXTRACT(O1109,""[0-9]+""))*1000,
VALUE(REGEXEXTRACT(O1109,""[0-9]+""))
),
0
)"),0.0)</f>
        <v>0</v>
      </c>
      <c r="E1109" s="1" t="s">
        <v>11</v>
      </c>
      <c r="F1109" s="1" t="s">
        <v>20</v>
      </c>
      <c r="G1109" s="4" t="b">
        <f t="shared" si="2"/>
        <v>1</v>
      </c>
      <c r="H1109" s="1" t="str">
        <f t="shared" si="3"/>
        <v>Currently Unavailable</v>
      </c>
      <c r="I1109" s="1" t="str">
        <f t="shared" si="4"/>
        <v>No Badges</v>
      </c>
      <c r="J1109" s="3">
        <f t="shared" si="5"/>
        <v>0</v>
      </c>
    </row>
    <row r="1110">
      <c r="A1110" s="1" t="s">
        <v>958</v>
      </c>
      <c r="B1110" s="3" t="str">
        <f t="shared" si="1"/>
        <v>Unavailable</v>
      </c>
      <c r="C1110" s="3">
        <v>353.0</v>
      </c>
      <c r="D1110" s="3">
        <f>IFERROR(__xludf.DUMMYFUNCTION("IFERROR(
IF(REGEXMATCH(LOWER(O1110),""k""),
VALUE(REGEXEXTRACT(O1110,""[0-9]+""))*1000,
VALUE(REGEXEXTRACT(O1110,""[0-9]+""))
),
0
)"),0.0)</f>
        <v>0</v>
      </c>
      <c r="E1110" s="1" t="s">
        <v>11</v>
      </c>
      <c r="F1110" s="1" t="s">
        <v>20</v>
      </c>
      <c r="G1110" s="4" t="b">
        <f t="shared" si="2"/>
        <v>1</v>
      </c>
      <c r="H1110" s="1" t="str">
        <f t="shared" si="3"/>
        <v>Currently Unavailable</v>
      </c>
      <c r="I1110" s="1" t="str">
        <f t="shared" si="4"/>
        <v>No Badges</v>
      </c>
      <c r="J1110" s="3">
        <f t="shared" si="5"/>
        <v>0</v>
      </c>
    </row>
    <row r="1111">
      <c r="A1111" s="1" t="s">
        <v>959</v>
      </c>
      <c r="B1111" s="3" t="str">
        <f t="shared" si="1"/>
        <v>Unavailable</v>
      </c>
      <c r="C1111" s="5">
        <v>1507.0</v>
      </c>
      <c r="D1111" s="3">
        <f>IFERROR(__xludf.DUMMYFUNCTION("IFERROR(
IF(REGEXMATCH(LOWER(O1111),""k""),
VALUE(REGEXEXTRACT(O1111,""[0-9]+""))*1000,
VALUE(REGEXEXTRACT(O1111,""[0-9]+""))
),
0
)"),0.0)</f>
        <v>0</v>
      </c>
      <c r="E1111" s="1" t="s">
        <v>11</v>
      </c>
      <c r="F1111" s="1" t="s">
        <v>20</v>
      </c>
      <c r="G1111" s="4" t="b">
        <f t="shared" si="2"/>
        <v>1</v>
      </c>
      <c r="H1111" s="1" t="str">
        <f t="shared" si="3"/>
        <v>Currently Unavailable</v>
      </c>
      <c r="I1111" s="1" t="str">
        <f t="shared" si="4"/>
        <v>No Badges</v>
      </c>
      <c r="J1111" s="3">
        <f t="shared" si="5"/>
        <v>0</v>
      </c>
    </row>
    <row r="1112">
      <c r="A1112" s="1" t="s">
        <v>960</v>
      </c>
      <c r="B1112" s="3" t="str">
        <f t="shared" si="1"/>
        <v>Unavailable</v>
      </c>
      <c r="C1112" s="5">
        <v>2225.0</v>
      </c>
      <c r="D1112" s="3">
        <f>IFERROR(__xludf.DUMMYFUNCTION("IFERROR(
IF(REGEXMATCH(LOWER(O1112),""k""),
VALUE(REGEXEXTRACT(O1112,""[0-9]+""))*1000,
VALUE(REGEXEXTRACT(O1112,""[0-9]+""))
),
0
)"),0.0)</f>
        <v>0</v>
      </c>
      <c r="E1112" s="1" t="s">
        <v>18</v>
      </c>
      <c r="F1112" s="1" t="s">
        <v>20</v>
      </c>
      <c r="G1112" s="4" t="b">
        <f t="shared" si="2"/>
        <v>1</v>
      </c>
      <c r="H1112" s="1" t="str">
        <f t="shared" si="3"/>
        <v>Currently Unavailable</v>
      </c>
      <c r="I1112" s="1" t="str">
        <f t="shared" si="4"/>
        <v>No Badges</v>
      </c>
      <c r="J1112" s="3">
        <f t="shared" si="5"/>
        <v>0</v>
      </c>
    </row>
    <row r="1113">
      <c r="A1113" s="1" t="s">
        <v>961</v>
      </c>
      <c r="B1113" s="3" t="str">
        <f t="shared" si="1"/>
        <v>Unavailable</v>
      </c>
      <c r="C1113" s="3">
        <v>997.0</v>
      </c>
      <c r="D1113" s="3">
        <f>IFERROR(__xludf.DUMMYFUNCTION("IFERROR(
IF(REGEXMATCH(LOWER(O1113),""k""),
VALUE(REGEXEXTRACT(O1113,""[0-9]+""))*1000,
VALUE(REGEXEXTRACT(O1113,""[0-9]+""))
),
0
)"),0.0)</f>
        <v>0</v>
      </c>
      <c r="E1113" s="1" t="s">
        <v>11</v>
      </c>
      <c r="F1113" s="1" t="s">
        <v>20</v>
      </c>
      <c r="G1113" s="4" t="b">
        <f t="shared" si="2"/>
        <v>1</v>
      </c>
      <c r="H1113" s="1" t="str">
        <f t="shared" si="3"/>
        <v>Currently Unavailable</v>
      </c>
      <c r="I1113" s="1" t="str">
        <f t="shared" si="4"/>
        <v>No Badges</v>
      </c>
      <c r="J1113" s="3">
        <f t="shared" si="5"/>
        <v>0</v>
      </c>
    </row>
    <row r="1114">
      <c r="A1114" s="1" t="s">
        <v>962</v>
      </c>
      <c r="B1114" s="3" t="str">
        <f t="shared" si="1"/>
        <v>Unavailable</v>
      </c>
      <c r="C1114" s="3">
        <v>339.0</v>
      </c>
      <c r="D1114" s="3">
        <f>IFERROR(__xludf.DUMMYFUNCTION("IFERROR(
IF(REGEXMATCH(LOWER(O1114),""k""),
VALUE(REGEXEXTRACT(O1114,""[0-9]+""))*1000,
VALUE(REGEXEXTRACT(O1114,""[0-9]+""))
),
0
)"),0.0)</f>
        <v>0</v>
      </c>
      <c r="E1114" s="1" t="s">
        <v>11</v>
      </c>
      <c r="F1114" s="1" t="s">
        <v>20</v>
      </c>
      <c r="G1114" s="4" t="b">
        <f t="shared" si="2"/>
        <v>1</v>
      </c>
      <c r="H1114" s="1" t="str">
        <f t="shared" si="3"/>
        <v>Currently Unavailable</v>
      </c>
      <c r="I1114" s="1" t="str">
        <f t="shared" si="4"/>
        <v>No Badges</v>
      </c>
      <c r="J1114" s="3">
        <f t="shared" si="5"/>
        <v>0</v>
      </c>
    </row>
    <row r="1115">
      <c r="A1115" s="1" t="s">
        <v>963</v>
      </c>
      <c r="B1115" s="3" t="str">
        <f t="shared" si="1"/>
        <v>Unavailable</v>
      </c>
      <c r="C1115" s="3">
        <v>199.0</v>
      </c>
      <c r="D1115" s="3">
        <f>IFERROR(__xludf.DUMMYFUNCTION("IFERROR(
IF(REGEXMATCH(LOWER(O1115),""k""),
VALUE(REGEXEXTRACT(O1115,""[0-9]+""))*1000,
VALUE(REGEXEXTRACT(O1115,""[0-9]+""))
),
0
)"),0.0)</f>
        <v>0</v>
      </c>
      <c r="E1115" s="1" t="s">
        <v>11</v>
      </c>
      <c r="F1115" s="1" t="s">
        <v>20</v>
      </c>
      <c r="G1115" s="4" t="b">
        <f t="shared" si="2"/>
        <v>1</v>
      </c>
      <c r="H1115" s="1" t="str">
        <f t="shared" si="3"/>
        <v>Currently Unavailable</v>
      </c>
      <c r="I1115" s="1" t="str">
        <f t="shared" si="4"/>
        <v>No Badges</v>
      </c>
      <c r="J1115" s="3">
        <f t="shared" si="5"/>
        <v>0</v>
      </c>
    </row>
    <row r="1116">
      <c r="A1116" s="1" t="s">
        <v>964</v>
      </c>
      <c r="B1116" s="3" t="str">
        <f t="shared" si="1"/>
        <v>Unavailable</v>
      </c>
      <c r="C1116" s="3">
        <v>104.0</v>
      </c>
      <c r="D1116" s="3">
        <f>IFERROR(__xludf.DUMMYFUNCTION("IFERROR(
IF(REGEXMATCH(LOWER(O1116),""k""),
VALUE(REGEXEXTRACT(O1116,""[0-9]+""))*1000,
VALUE(REGEXEXTRACT(O1116,""[0-9]+""))
),
0
)"),0.0)</f>
        <v>0</v>
      </c>
      <c r="E1116" s="1" t="s">
        <v>11</v>
      </c>
      <c r="F1116" s="1" t="s">
        <v>20</v>
      </c>
      <c r="G1116" s="4" t="b">
        <f t="shared" si="2"/>
        <v>1</v>
      </c>
      <c r="H1116" s="1" t="str">
        <f t="shared" si="3"/>
        <v>Currently Unavailable</v>
      </c>
      <c r="I1116" s="1" t="str">
        <f t="shared" si="4"/>
        <v>No Badges</v>
      </c>
      <c r="J1116" s="3">
        <f t="shared" si="5"/>
        <v>0</v>
      </c>
    </row>
    <row r="1117">
      <c r="A1117" s="1" t="s">
        <v>965</v>
      </c>
      <c r="B1117" s="3" t="str">
        <f t="shared" si="1"/>
        <v>Unavailable</v>
      </c>
      <c r="C1117" s="3">
        <v>112.0</v>
      </c>
      <c r="D1117" s="3">
        <f>IFERROR(__xludf.DUMMYFUNCTION("IFERROR(
IF(REGEXMATCH(LOWER(O1117),""k""),
VALUE(REGEXEXTRACT(O1117,""[0-9]+""))*1000,
VALUE(REGEXEXTRACT(O1117,""[0-9]+""))
),
0
)"),0.0)</f>
        <v>0</v>
      </c>
      <c r="E1117" s="1" t="s">
        <v>11</v>
      </c>
      <c r="F1117" s="1" t="s">
        <v>20</v>
      </c>
      <c r="G1117" s="4" t="b">
        <f t="shared" si="2"/>
        <v>1</v>
      </c>
      <c r="H1117" s="1" t="str">
        <f t="shared" si="3"/>
        <v>Currently Unavailable</v>
      </c>
      <c r="I1117" s="1" t="str">
        <f t="shared" si="4"/>
        <v>No Badges</v>
      </c>
      <c r="J1117" s="3">
        <f t="shared" si="5"/>
        <v>0</v>
      </c>
    </row>
    <row r="1118">
      <c r="A1118" s="1" t="s">
        <v>966</v>
      </c>
      <c r="B1118" s="3" t="str">
        <f t="shared" si="1"/>
        <v>Unavailable</v>
      </c>
      <c r="C1118" s="3">
        <v>163.0</v>
      </c>
      <c r="D1118" s="3">
        <f>IFERROR(__xludf.DUMMYFUNCTION("IFERROR(
IF(REGEXMATCH(LOWER(O1118),""k""),
VALUE(REGEXEXTRACT(O1118,""[0-9]+""))*1000,
VALUE(REGEXEXTRACT(O1118,""[0-9]+""))
),
0
)"),0.0)</f>
        <v>0</v>
      </c>
      <c r="E1118" s="1" t="s">
        <v>11</v>
      </c>
      <c r="F1118" s="1" t="s">
        <v>20</v>
      </c>
      <c r="G1118" s="4" t="b">
        <f t="shared" si="2"/>
        <v>1</v>
      </c>
      <c r="H1118" s="1" t="str">
        <f t="shared" si="3"/>
        <v>Currently Unavailable</v>
      </c>
      <c r="I1118" s="1" t="str">
        <f t="shared" si="4"/>
        <v>No Badges</v>
      </c>
      <c r="J1118" s="3">
        <f t="shared" si="5"/>
        <v>0</v>
      </c>
    </row>
    <row r="1119">
      <c r="A1119" s="1" t="s">
        <v>967</v>
      </c>
      <c r="B1119" s="3" t="str">
        <f t="shared" si="1"/>
        <v>Unavailable</v>
      </c>
      <c r="C1119" s="3">
        <v>129.0</v>
      </c>
      <c r="D1119" s="3">
        <f>IFERROR(__xludf.DUMMYFUNCTION("IFERROR(
IF(REGEXMATCH(LOWER(O1119),""k""),
VALUE(REGEXEXTRACT(O1119,""[0-9]+""))*1000,
VALUE(REGEXEXTRACT(O1119,""[0-9]+""))
),
0
)"),0.0)</f>
        <v>0</v>
      </c>
      <c r="E1119" s="1" t="s">
        <v>11</v>
      </c>
      <c r="F1119" s="1" t="s">
        <v>20</v>
      </c>
      <c r="G1119" s="4" t="b">
        <f t="shared" si="2"/>
        <v>1</v>
      </c>
      <c r="H1119" s="1" t="str">
        <f t="shared" si="3"/>
        <v>Currently Unavailable</v>
      </c>
      <c r="I1119" s="1" t="str">
        <f t="shared" si="4"/>
        <v>No Badges</v>
      </c>
      <c r="J1119" s="3">
        <f t="shared" si="5"/>
        <v>0</v>
      </c>
    </row>
    <row r="1120">
      <c r="A1120" s="1" t="s">
        <v>968</v>
      </c>
      <c r="B1120" s="3" t="str">
        <f t="shared" si="1"/>
        <v>Unavailable</v>
      </c>
      <c r="C1120" s="5">
        <v>4160.0</v>
      </c>
      <c r="D1120" s="3">
        <f>IFERROR(__xludf.DUMMYFUNCTION("IFERROR(
IF(REGEXMATCH(LOWER(O1120),""k""),
VALUE(REGEXEXTRACT(O1120,""[0-9]+""))*1000,
VALUE(REGEXEXTRACT(O1120,""[0-9]+""))
),
0
)"),0.0)</f>
        <v>0</v>
      </c>
      <c r="E1120" s="1" t="s">
        <v>158</v>
      </c>
      <c r="F1120" s="1" t="s">
        <v>20</v>
      </c>
      <c r="G1120" s="4" t="b">
        <f t="shared" si="2"/>
        <v>1</v>
      </c>
      <c r="H1120" s="1" t="str">
        <f t="shared" si="3"/>
        <v>Currently Unavailable</v>
      </c>
      <c r="I1120" s="1" t="str">
        <f t="shared" si="4"/>
        <v>No Badges</v>
      </c>
      <c r="J1120" s="3">
        <f t="shared" si="5"/>
        <v>0</v>
      </c>
    </row>
    <row r="1121">
      <c r="A1121" s="1" t="s">
        <v>969</v>
      </c>
      <c r="B1121" s="3" t="str">
        <f t="shared" si="1"/>
        <v>Unavailable</v>
      </c>
      <c r="C1121" s="3">
        <v>304.0</v>
      </c>
      <c r="D1121" s="3">
        <f>IFERROR(__xludf.DUMMYFUNCTION("IFERROR(
IF(REGEXMATCH(LOWER(O1121),""k""),
VALUE(REGEXEXTRACT(O1121,""[0-9]+""))*1000,
VALUE(REGEXEXTRACT(O1121,""[0-9]+""))
),
0
)"),0.0)</f>
        <v>0</v>
      </c>
      <c r="E1121" s="1" t="s">
        <v>11</v>
      </c>
      <c r="F1121" s="1" t="s">
        <v>20</v>
      </c>
      <c r="G1121" s="4" t="b">
        <f t="shared" si="2"/>
        <v>1</v>
      </c>
      <c r="H1121" s="1" t="str">
        <f t="shared" si="3"/>
        <v>Currently Unavailable</v>
      </c>
      <c r="I1121" s="1" t="str">
        <f t="shared" si="4"/>
        <v>No Badges</v>
      </c>
      <c r="J1121" s="3">
        <f t="shared" si="5"/>
        <v>0</v>
      </c>
    </row>
    <row r="1122">
      <c r="A1122" s="1" t="s">
        <v>970</v>
      </c>
      <c r="B1122" s="3" t="str">
        <f t="shared" si="1"/>
        <v>Unavailable</v>
      </c>
      <c r="C1122" s="3">
        <v>187.0</v>
      </c>
      <c r="D1122" s="3">
        <f>IFERROR(__xludf.DUMMYFUNCTION("IFERROR(
IF(REGEXMATCH(LOWER(O1122),""k""),
VALUE(REGEXEXTRACT(O1122,""[0-9]+""))*1000,
VALUE(REGEXEXTRACT(O1122,""[0-9]+""))
),
0
)"),0.0)</f>
        <v>0</v>
      </c>
      <c r="E1122" s="1" t="s">
        <v>11</v>
      </c>
      <c r="F1122" s="1" t="s">
        <v>20</v>
      </c>
      <c r="G1122" s="4" t="b">
        <f t="shared" si="2"/>
        <v>1</v>
      </c>
      <c r="H1122" s="1" t="str">
        <f t="shared" si="3"/>
        <v>Currently Unavailable</v>
      </c>
      <c r="I1122" s="1" t="str">
        <f t="shared" si="4"/>
        <v>No Badges</v>
      </c>
      <c r="J1122" s="3">
        <f t="shared" si="5"/>
        <v>0</v>
      </c>
    </row>
    <row r="1123">
      <c r="A1123" s="1" t="s">
        <v>971</v>
      </c>
      <c r="B1123" s="3" t="str">
        <f t="shared" si="1"/>
        <v>Unavailable</v>
      </c>
      <c r="C1123" s="3">
        <v>891.0</v>
      </c>
      <c r="D1123" s="3">
        <f>IFERROR(__xludf.DUMMYFUNCTION("IFERROR(
IF(REGEXMATCH(LOWER(O1123),""k""),
VALUE(REGEXEXTRACT(O1123,""[0-9]+""))*1000,
VALUE(REGEXEXTRACT(O1123,""[0-9]+""))
),
0
)"),0.0)</f>
        <v>0</v>
      </c>
      <c r="E1123" s="1" t="s">
        <v>11</v>
      </c>
      <c r="F1123" s="1" t="s">
        <v>20</v>
      </c>
      <c r="G1123" s="4" t="b">
        <f t="shared" si="2"/>
        <v>1</v>
      </c>
      <c r="H1123" s="1" t="str">
        <f t="shared" si="3"/>
        <v>Currently Unavailable</v>
      </c>
      <c r="I1123" s="1" t="str">
        <f t="shared" si="4"/>
        <v>No Badges</v>
      </c>
      <c r="J1123" s="3">
        <f t="shared" si="5"/>
        <v>0</v>
      </c>
    </row>
    <row r="1124">
      <c r="A1124" s="1" t="s">
        <v>737</v>
      </c>
      <c r="B1124" s="3" t="str">
        <f t="shared" si="1"/>
        <v>Unavailable</v>
      </c>
      <c r="C1124" s="3">
        <v>418.0</v>
      </c>
      <c r="D1124" s="3">
        <f>IFERROR(__xludf.DUMMYFUNCTION("IFERROR(
IF(REGEXMATCH(LOWER(O1124),""k""),
VALUE(REGEXEXTRACT(O1124,""[0-9]+""))*1000,
VALUE(REGEXEXTRACT(O1124,""[0-9]+""))
),
0
)"),0.0)</f>
        <v>0</v>
      </c>
      <c r="E1124" s="1" t="s">
        <v>11</v>
      </c>
      <c r="F1124" s="1" t="s">
        <v>20</v>
      </c>
      <c r="G1124" s="4" t="b">
        <f t="shared" si="2"/>
        <v>1</v>
      </c>
      <c r="H1124" s="1" t="str">
        <f t="shared" si="3"/>
        <v>Currently Unavailable</v>
      </c>
      <c r="I1124" s="1" t="str">
        <f t="shared" si="4"/>
        <v>No Badges</v>
      </c>
      <c r="J1124" s="3">
        <f t="shared" si="5"/>
        <v>0</v>
      </c>
    </row>
    <row r="1125">
      <c r="A1125" s="1" t="s">
        <v>972</v>
      </c>
      <c r="B1125" s="3" t="str">
        <f t="shared" si="1"/>
        <v>Unavailable</v>
      </c>
      <c r="C1125" s="5">
        <v>4339.0</v>
      </c>
      <c r="D1125" s="3">
        <f>IFERROR(__xludf.DUMMYFUNCTION("IFERROR(
IF(REGEXMATCH(LOWER(O1125),""k""),
VALUE(REGEXEXTRACT(O1125,""[0-9]+""))*1000,
VALUE(REGEXEXTRACT(O1125,""[0-9]+""))
),
0
)"),0.0)</f>
        <v>0</v>
      </c>
      <c r="E1125" s="1" t="s">
        <v>11</v>
      </c>
      <c r="F1125" s="1" t="s">
        <v>20</v>
      </c>
      <c r="G1125" s="4" t="b">
        <f t="shared" si="2"/>
        <v>1</v>
      </c>
      <c r="H1125" s="1" t="str">
        <f t="shared" si="3"/>
        <v>Currently Unavailable</v>
      </c>
      <c r="I1125" s="1" t="str">
        <f t="shared" si="4"/>
        <v>No Badges</v>
      </c>
      <c r="J1125" s="3">
        <f t="shared" si="5"/>
        <v>0</v>
      </c>
    </row>
    <row r="1126">
      <c r="A1126" s="1" t="s">
        <v>973</v>
      </c>
      <c r="B1126" s="3" t="str">
        <f t="shared" si="1"/>
        <v>Unavailable</v>
      </c>
      <c r="C1126" s="5">
        <v>38841.0</v>
      </c>
      <c r="D1126" s="3">
        <f>IFERROR(__xludf.DUMMYFUNCTION("IFERROR(
IF(REGEXMATCH(LOWER(O1126),""k""),
VALUE(REGEXEXTRACT(O1126,""[0-9]+""))*1000,
VALUE(REGEXEXTRACT(O1126,""[0-9]+""))
),
0
)"),0.0)</f>
        <v>0</v>
      </c>
      <c r="E1126" s="1" t="s">
        <v>11</v>
      </c>
      <c r="F1126" s="1" t="s">
        <v>20</v>
      </c>
      <c r="G1126" s="4" t="b">
        <f t="shared" si="2"/>
        <v>1</v>
      </c>
      <c r="H1126" s="1" t="str">
        <f t="shared" si="3"/>
        <v>Currently Unavailable</v>
      </c>
      <c r="I1126" s="1" t="str">
        <f t="shared" si="4"/>
        <v>No Badges</v>
      </c>
      <c r="J1126" s="3">
        <f t="shared" si="5"/>
        <v>0</v>
      </c>
    </row>
    <row r="1127">
      <c r="A1127" s="1" t="s">
        <v>974</v>
      </c>
      <c r="B1127" s="3" t="str">
        <f t="shared" si="1"/>
        <v>Unavailable</v>
      </c>
      <c r="C1127" s="3">
        <v>602.0</v>
      </c>
      <c r="D1127" s="3">
        <f>IFERROR(__xludf.DUMMYFUNCTION("IFERROR(
IF(REGEXMATCH(LOWER(O1127),""k""),
VALUE(REGEXEXTRACT(O1127,""[0-9]+""))*1000,
VALUE(REGEXEXTRACT(O1127,""[0-9]+""))
),
0
)"),0.0)</f>
        <v>0</v>
      </c>
      <c r="E1127" s="1" t="s">
        <v>11</v>
      </c>
      <c r="F1127" s="1" t="s">
        <v>20</v>
      </c>
      <c r="G1127" s="4" t="b">
        <f t="shared" si="2"/>
        <v>1</v>
      </c>
      <c r="H1127" s="1" t="str">
        <f t="shared" si="3"/>
        <v>Currently Unavailable</v>
      </c>
      <c r="I1127" s="1" t="str">
        <f t="shared" si="4"/>
        <v>No Badges</v>
      </c>
      <c r="J1127" s="3">
        <f t="shared" si="5"/>
        <v>0</v>
      </c>
    </row>
    <row r="1128">
      <c r="A1128" s="1" t="s">
        <v>975</v>
      </c>
      <c r="B1128" s="3" t="str">
        <f t="shared" si="1"/>
        <v>Unavailable</v>
      </c>
      <c r="C1128" s="3">
        <v>103.0</v>
      </c>
      <c r="D1128" s="3">
        <f>IFERROR(__xludf.DUMMYFUNCTION("IFERROR(
IF(REGEXMATCH(LOWER(O1128),""k""),
VALUE(REGEXEXTRACT(O1128,""[0-9]+""))*1000,
VALUE(REGEXEXTRACT(O1128,""[0-9]+""))
),
0
)"),0.0)</f>
        <v>0</v>
      </c>
      <c r="E1128" s="1" t="s">
        <v>11</v>
      </c>
      <c r="F1128" s="1" t="s">
        <v>20</v>
      </c>
      <c r="G1128" s="4" t="b">
        <f t="shared" si="2"/>
        <v>1</v>
      </c>
      <c r="H1128" s="1" t="str">
        <f t="shared" si="3"/>
        <v>Currently Unavailable</v>
      </c>
      <c r="I1128" s="1" t="str">
        <f t="shared" si="4"/>
        <v>No Badges</v>
      </c>
      <c r="J1128" s="3">
        <f t="shared" si="5"/>
        <v>0</v>
      </c>
    </row>
    <row r="1129">
      <c r="A1129" s="1" t="s">
        <v>818</v>
      </c>
      <c r="B1129" s="3" t="str">
        <f t="shared" si="1"/>
        <v>Unavailable</v>
      </c>
      <c r="C1129" s="3">
        <v>156.0</v>
      </c>
      <c r="D1129" s="3">
        <f>IFERROR(__xludf.DUMMYFUNCTION("IFERROR(
IF(REGEXMATCH(LOWER(O1129),""k""),
VALUE(REGEXEXTRACT(O1129,""[0-9]+""))*1000,
VALUE(REGEXEXTRACT(O1129,""[0-9]+""))
),
0
)"),0.0)</f>
        <v>0</v>
      </c>
      <c r="E1129" s="1" t="s">
        <v>11</v>
      </c>
      <c r="F1129" s="1" t="s">
        <v>20</v>
      </c>
      <c r="G1129" s="4" t="b">
        <f t="shared" si="2"/>
        <v>1</v>
      </c>
      <c r="H1129" s="1" t="str">
        <f t="shared" si="3"/>
        <v>Currently Unavailable</v>
      </c>
      <c r="I1129" s="1" t="str">
        <f t="shared" si="4"/>
        <v>No Badges</v>
      </c>
      <c r="J1129" s="3">
        <f t="shared" si="5"/>
        <v>0</v>
      </c>
    </row>
    <row r="1130">
      <c r="A1130" s="1" t="s">
        <v>819</v>
      </c>
      <c r="B1130" s="3" t="str">
        <f t="shared" si="1"/>
        <v>Unavailable</v>
      </c>
      <c r="C1130" s="3">
        <v>82.0</v>
      </c>
      <c r="D1130" s="3">
        <f>IFERROR(__xludf.DUMMYFUNCTION("IFERROR(
IF(REGEXMATCH(LOWER(O1130),""k""),
VALUE(REGEXEXTRACT(O1130,""[0-9]+""))*1000,
VALUE(REGEXEXTRACT(O1130,""[0-9]+""))
),
0
)"),0.0)</f>
        <v>0</v>
      </c>
      <c r="E1130" s="1" t="s">
        <v>11</v>
      </c>
      <c r="F1130" s="1" t="s">
        <v>20</v>
      </c>
      <c r="G1130" s="4" t="b">
        <f t="shared" si="2"/>
        <v>1</v>
      </c>
      <c r="H1130" s="1" t="str">
        <f t="shared" si="3"/>
        <v>Currently Unavailable</v>
      </c>
      <c r="I1130" s="1" t="str">
        <f t="shared" si="4"/>
        <v>No Badges</v>
      </c>
      <c r="J1130" s="3">
        <f t="shared" si="5"/>
        <v>0</v>
      </c>
    </row>
    <row r="1131">
      <c r="A1131" s="1" t="s">
        <v>821</v>
      </c>
      <c r="B1131" s="3" t="str">
        <f t="shared" si="1"/>
        <v>Unavailable</v>
      </c>
      <c r="C1131" s="5">
        <v>28120.0</v>
      </c>
      <c r="D1131" s="3">
        <f>IFERROR(__xludf.DUMMYFUNCTION("IFERROR(
IF(REGEXMATCH(LOWER(O1131),""k""),
VALUE(REGEXEXTRACT(O1131,""[0-9]+""))*1000,
VALUE(REGEXEXTRACT(O1131,""[0-9]+""))
),
0
)"),0.0)</f>
        <v>0</v>
      </c>
      <c r="E1131" s="1" t="s">
        <v>11</v>
      </c>
      <c r="F1131" s="1" t="s">
        <v>20</v>
      </c>
      <c r="G1131" s="4" t="b">
        <f t="shared" si="2"/>
        <v>1</v>
      </c>
      <c r="H1131" s="1" t="str">
        <f t="shared" si="3"/>
        <v>Currently Unavailable</v>
      </c>
      <c r="I1131" s="1" t="str">
        <f t="shared" si="4"/>
        <v>No Badges</v>
      </c>
      <c r="J1131" s="3">
        <f t="shared" si="5"/>
        <v>0</v>
      </c>
    </row>
    <row r="1132">
      <c r="A1132" s="1" t="s">
        <v>69</v>
      </c>
      <c r="B1132" s="3" t="str">
        <f t="shared" si="1"/>
        <v>Unavailable</v>
      </c>
      <c r="C1132" s="3">
        <v>45.0</v>
      </c>
      <c r="D1132" s="3">
        <f>IFERROR(__xludf.DUMMYFUNCTION("IFERROR(
IF(REGEXMATCH(LOWER(O1132),""k""),
VALUE(REGEXEXTRACT(O1132,""[0-9]+""))*1000,
VALUE(REGEXEXTRACT(O1132,""[0-9]+""))
),
0
)"),0.0)</f>
        <v>0</v>
      </c>
      <c r="E1132" s="1" t="s">
        <v>11</v>
      </c>
      <c r="F1132" s="1" t="s">
        <v>12</v>
      </c>
      <c r="G1132" s="4" t="b">
        <f t="shared" si="2"/>
        <v>1</v>
      </c>
      <c r="H1132" s="1" t="str">
        <f t="shared" si="3"/>
        <v>Currently Unavailable</v>
      </c>
      <c r="I1132" s="1" t="str">
        <f t="shared" si="4"/>
        <v>No Badges</v>
      </c>
      <c r="J1132" s="3">
        <f t="shared" si="5"/>
        <v>0</v>
      </c>
    </row>
    <row r="1133">
      <c r="A1133" s="1" t="s">
        <v>822</v>
      </c>
      <c r="B1133" s="3" t="str">
        <f t="shared" si="1"/>
        <v>Unavailable</v>
      </c>
      <c r="C1133" s="5">
        <v>1565.0</v>
      </c>
      <c r="D1133" s="3">
        <f>IFERROR(__xludf.DUMMYFUNCTION("IFERROR(
IF(REGEXMATCH(LOWER(O1133),""k""),
VALUE(REGEXEXTRACT(O1133,""[0-9]+""))*1000,
VALUE(REGEXEXTRACT(O1133,""[0-9]+""))
),
0
)"),0.0)</f>
        <v>0</v>
      </c>
      <c r="E1133" s="1" t="s">
        <v>158</v>
      </c>
      <c r="F1133" s="1" t="s">
        <v>20</v>
      </c>
      <c r="G1133" s="4" t="b">
        <f t="shared" si="2"/>
        <v>1</v>
      </c>
      <c r="H1133" s="1" t="str">
        <f t="shared" si="3"/>
        <v>Currently Unavailable</v>
      </c>
      <c r="I1133" s="1" t="str">
        <f t="shared" si="4"/>
        <v>No Badges</v>
      </c>
      <c r="J1133" s="3">
        <f t="shared" si="5"/>
        <v>0</v>
      </c>
    </row>
    <row r="1134">
      <c r="A1134" s="1" t="s">
        <v>976</v>
      </c>
      <c r="B1134" s="3" t="str">
        <f t="shared" si="1"/>
        <v>Unavailable</v>
      </c>
      <c r="C1134" s="3">
        <v>356.0</v>
      </c>
      <c r="D1134" s="3">
        <f>IFERROR(__xludf.DUMMYFUNCTION("IFERROR(
IF(REGEXMATCH(LOWER(O1134),""k""),
VALUE(REGEXEXTRACT(O1134,""[0-9]+""))*1000,
VALUE(REGEXEXTRACT(O1134,""[0-9]+""))
),
0
)"),0.0)</f>
        <v>0</v>
      </c>
      <c r="E1134" s="1" t="s">
        <v>18</v>
      </c>
      <c r="F1134" s="1" t="s">
        <v>20</v>
      </c>
      <c r="G1134" s="4" t="b">
        <f t="shared" si="2"/>
        <v>1</v>
      </c>
      <c r="H1134" s="1" t="str">
        <f t="shared" si="3"/>
        <v>Currently Unavailable</v>
      </c>
      <c r="I1134" s="1" t="str">
        <f t="shared" si="4"/>
        <v>No Badges</v>
      </c>
      <c r="J1134" s="3">
        <f t="shared" si="5"/>
        <v>0</v>
      </c>
    </row>
    <row r="1135">
      <c r="A1135" s="1" t="s">
        <v>701</v>
      </c>
      <c r="B1135" s="3" t="str">
        <f t="shared" si="1"/>
        <v>Unavailable</v>
      </c>
      <c r="C1135" s="3">
        <v>8.0</v>
      </c>
      <c r="D1135" s="3">
        <f>IFERROR(__xludf.DUMMYFUNCTION("IFERROR(
IF(REGEXMATCH(LOWER(O1135),""k""),
VALUE(REGEXEXTRACT(O1135,""[0-9]+""))*1000,
VALUE(REGEXEXTRACT(O1135,""[0-9]+""))
),
0
)"),0.0)</f>
        <v>0</v>
      </c>
      <c r="E1135" s="1" t="s">
        <v>11</v>
      </c>
      <c r="F1135" s="1" t="s">
        <v>12</v>
      </c>
      <c r="G1135" s="4" t="b">
        <f t="shared" si="2"/>
        <v>1</v>
      </c>
      <c r="H1135" s="1" t="str">
        <f t="shared" si="3"/>
        <v>Currently Unavailable</v>
      </c>
      <c r="I1135" s="1" t="str">
        <f t="shared" si="4"/>
        <v>No Badges</v>
      </c>
      <c r="J1135" s="3">
        <f t="shared" si="5"/>
        <v>0</v>
      </c>
    </row>
    <row r="1136">
      <c r="A1136" s="1" t="s">
        <v>977</v>
      </c>
      <c r="B1136" s="3" t="str">
        <f t="shared" si="1"/>
        <v>Unavailable</v>
      </c>
      <c r="C1136" s="3">
        <v>517.0</v>
      </c>
      <c r="D1136" s="3">
        <f>IFERROR(__xludf.DUMMYFUNCTION("IFERROR(
IF(REGEXMATCH(LOWER(O1136),""k""),
VALUE(REGEXEXTRACT(O1136,""[0-9]+""))*1000,
VALUE(REGEXEXTRACT(O1136,""[0-9]+""))
),
0
)"),0.0)</f>
        <v>0</v>
      </c>
      <c r="E1136" s="1" t="s">
        <v>11</v>
      </c>
      <c r="F1136" s="1" t="s">
        <v>20</v>
      </c>
      <c r="G1136" s="4" t="b">
        <f t="shared" si="2"/>
        <v>1</v>
      </c>
      <c r="H1136" s="1" t="str">
        <f t="shared" si="3"/>
        <v>Currently Unavailable</v>
      </c>
      <c r="I1136" s="1" t="str">
        <f t="shared" si="4"/>
        <v>No Badges</v>
      </c>
      <c r="J1136" s="3">
        <f t="shared" si="5"/>
        <v>0</v>
      </c>
    </row>
    <row r="1137">
      <c r="A1137" s="1" t="s">
        <v>978</v>
      </c>
      <c r="B1137" s="3" t="str">
        <f t="shared" si="1"/>
        <v>Unavailable</v>
      </c>
      <c r="C1137" s="3">
        <v>853.0</v>
      </c>
      <c r="D1137" s="3">
        <f>IFERROR(__xludf.DUMMYFUNCTION("IFERROR(
IF(REGEXMATCH(LOWER(O1137),""k""),
VALUE(REGEXEXTRACT(O1137,""[0-9]+""))*1000,
VALUE(REGEXEXTRACT(O1137,""[0-9]+""))
),
0
)"),0.0)</f>
        <v>0</v>
      </c>
      <c r="E1137" s="1" t="s">
        <v>11</v>
      </c>
      <c r="F1137" s="1" t="s">
        <v>20</v>
      </c>
      <c r="G1137" s="4" t="b">
        <f t="shared" si="2"/>
        <v>1</v>
      </c>
      <c r="H1137" s="1" t="str">
        <f t="shared" si="3"/>
        <v>Currently Unavailable</v>
      </c>
      <c r="I1137" s="1" t="str">
        <f t="shared" si="4"/>
        <v>No Badges</v>
      </c>
      <c r="J1137" s="3">
        <f t="shared" si="5"/>
        <v>0</v>
      </c>
    </row>
    <row r="1138">
      <c r="A1138" s="1" t="s">
        <v>618</v>
      </c>
      <c r="B1138" s="3" t="str">
        <f t="shared" si="1"/>
        <v>Unavailable</v>
      </c>
      <c r="C1138" s="3">
        <v>37.0</v>
      </c>
      <c r="D1138" s="3">
        <f>IFERROR(__xludf.DUMMYFUNCTION("IFERROR(
IF(REGEXMATCH(LOWER(O1138),""k""),
VALUE(REGEXEXTRACT(O1138,""[0-9]+""))*1000,
VALUE(REGEXEXTRACT(O1138,""[0-9]+""))
),
0
)"),0.0)</f>
        <v>0</v>
      </c>
      <c r="E1138" s="1" t="s">
        <v>11</v>
      </c>
      <c r="F1138" s="1" t="s">
        <v>20</v>
      </c>
      <c r="G1138" s="4" t="b">
        <f t="shared" si="2"/>
        <v>1</v>
      </c>
      <c r="H1138" s="1" t="str">
        <f t="shared" si="3"/>
        <v>Currently Unavailable</v>
      </c>
      <c r="I1138" s="1" t="str">
        <f t="shared" si="4"/>
        <v>No Badges</v>
      </c>
      <c r="J1138" s="3">
        <f t="shared" si="5"/>
        <v>0</v>
      </c>
    </row>
    <row r="1139">
      <c r="A1139" s="1" t="s">
        <v>979</v>
      </c>
      <c r="B1139" s="3" t="str">
        <f t="shared" si="1"/>
        <v>Unavailable</v>
      </c>
      <c r="C1139" s="3">
        <v>815.0</v>
      </c>
      <c r="D1139" s="3">
        <f>IFERROR(__xludf.DUMMYFUNCTION("IFERROR(
IF(REGEXMATCH(LOWER(O1139),""k""),
VALUE(REGEXEXTRACT(O1139,""[0-9]+""))*1000,
VALUE(REGEXEXTRACT(O1139,""[0-9]+""))
),
0
)"),0.0)</f>
        <v>0</v>
      </c>
      <c r="E1139" s="1" t="s">
        <v>11</v>
      </c>
      <c r="F1139" s="1" t="s">
        <v>20</v>
      </c>
      <c r="G1139" s="4" t="b">
        <f t="shared" si="2"/>
        <v>1</v>
      </c>
      <c r="H1139" s="1" t="str">
        <f t="shared" si="3"/>
        <v>Currently Unavailable</v>
      </c>
      <c r="I1139" s="1" t="str">
        <f t="shared" si="4"/>
        <v>No Badges</v>
      </c>
      <c r="J1139" s="3">
        <f t="shared" si="5"/>
        <v>0</v>
      </c>
    </row>
    <row r="1140">
      <c r="A1140" s="1" t="s">
        <v>980</v>
      </c>
      <c r="B1140" s="3" t="str">
        <f t="shared" si="1"/>
        <v>Unavailable</v>
      </c>
      <c r="C1140" s="3">
        <v>421.0</v>
      </c>
      <c r="D1140" s="3">
        <f>IFERROR(__xludf.DUMMYFUNCTION("IFERROR(
IF(REGEXMATCH(LOWER(O1140),""k""),
VALUE(REGEXEXTRACT(O1140,""[0-9]+""))*1000,
VALUE(REGEXEXTRACT(O1140,""[0-9]+""))
),
0
)"),0.0)</f>
        <v>0</v>
      </c>
      <c r="E1140" s="1" t="s">
        <v>11</v>
      </c>
      <c r="F1140" s="1" t="s">
        <v>20</v>
      </c>
      <c r="G1140" s="4" t="b">
        <f t="shared" si="2"/>
        <v>1</v>
      </c>
      <c r="H1140" s="1" t="str">
        <f t="shared" si="3"/>
        <v>Currently Unavailable</v>
      </c>
      <c r="I1140" s="1" t="str">
        <f t="shared" si="4"/>
        <v>No Badges</v>
      </c>
      <c r="J1140" s="3">
        <f t="shared" si="5"/>
        <v>0</v>
      </c>
    </row>
    <row r="1141">
      <c r="A1141" s="1" t="s">
        <v>981</v>
      </c>
      <c r="B1141" s="3" t="str">
        <f t="shared" si="1"/>
        <v>Unavailable</v>
      </c>
      <c r="C1141" s="3">
        <v>347.0</v>
      </c>
      <c r="D1141" s="3">
        <f>IFERROR(__xludf.DUMMYFUNCTION("IFERROR(
IF(REGEXMATCH(LOWER(O1141),""k""),
VALUE(REGEXEXTRACT(O1141,""[0-9]+""))*1000,
VALUE(REGEXEXTRACT(O1141,""[0-9]+""))
),
0
)"),0.0)</f>
        <v>0</v>
      </c>
      <c r="E1141" s="1" t="s">
        <v>11</v>
      </c>
      <c r="F1141" s="1" t="s">
        <v>20</v>
      </c>
      <c r="G1141" s="4" t="b">
        <f t="shared" si="2"/>
        <v>1</v>
      </c>
      <c r="H1141" s="1" t="str">
        <f t="shared" si="3"/>
        <v>Currently Unavailable</v>
      </c>
      <c r="I1141" s="1" t="str">
        <f t="shared" si="4"/>
        <v>No Badges</v>
      </c>
      <c r="J1141" s="3">
        <f t="shared" si="5"/>
        <v>0</v>
      </c>
    </row>
    <row r="1142">
      <c r="A1142" s="1" t="s">
        <v>982</v>
      </c>
      <c r="B1142" s="3" t="str">
        <f t="shared" si="1"/>
        <v>Unavailable</v>
      </c>
      <c r="C1142" s="3">
        <v>288.0</v>
      </c>
      <c r="D1142" s="3">
        <f>IFERROR(__xludf.DUMMYFUNCTION("IFERROR(
IF(REGEXMATCH(LOWER(O1142),""k""),
VALUE(REGEXEXTRACT(O1142,""[0-9]+""))*1000,
VALUE(REGEXEXTRACT(O1142,""[0-9]+""))
),
0
)"),0.0)</f>
        <v>0</v>
      </c>
      <c r="E1142" s="1" t="s">
        <v>11</v>
      </c>
      <c r="F1142" s="1" t="s">
        <v>20</v>
      </c>
      <c r="G1142" s="4" t="b">
        <f t="shared" si="2"/>
        <v>1</v>
      </c>
      <c r="H1142" s="1" t="str">
        <f t="shared" si="3"/>
        <v>Currently Unavailable</v>
      </c>
      <c r="I1142" s="1" t="str">
        <f t="shared" si="4"/>
        <v>No Badges</v>
      </c>
      <c r="J1142" s="3">
        <f t="shared" si="5"/>
        <v>0</v>
      </c>
    </row>
    <row r="1143">
      <c r="A1143" s="1" t="s">
        <v>983</v>
      </c>
      <c r="B1143" s="3" t="str">
        <f t="shared" si="1"/>
        <v>Unavailable</v>
      </c>
      <c r="C1143" s="3">
        <v>52.0</v>
      </c>
      <c r="D1143" s="3">
        <f>IFERROR(__xludf.DUMMYFUNCTION("IFERROR(
IF(REGEXMATCH(LOWER(O1143),""k""),
VALUE(REGEXEXTRACT(O1143,""[0-9]+""))*1000,
VALUE(REGEXEXTRACT(O1143,""[0-9]+""))
),
0
)"),0.0)</f>
        <v>0</v>
      </c>
      <c r="E1143" s="1" t="s">
        <v>11</v>
      </c>
      <c r="F1143" s="1" t="s">
        <v>20</v>
      </c>
      <c r="G1143" s="4" t="b">
        <f t="shared" si="2"/>
        <v>1</v>
      </c>
      <c r="H1143" s="1" t="str">
        <f t="shared" si="3"/>
        <v>Currently Unavailable</v>
      </c>
      <c r="I1143" s="1" t="str">
        <f t="shared" si="4"/>
        <v>No Badges</v>
      </c>
      <c r="J1143" s="3">
        <f t="shared" si="5"/>
        <v>0</v>
      </c>
    </row>
    <row r="1144">
      <c r="A1144" s="1" t="s">
        <v>984</v>
      </c>
      <c r="B1144" s="3" t="str">
        <f t="shared" si="1"/>
        <v>Unavailable</v>
      </c>
      <c r="C1144" s="3">
        <v>409.0</v>
      </c>
      <c r="D1144" s="3">
        <f>IFERROR(__xludf.DUMMYFUNCTION("IFERROR(
IF(REGEXMATCH(LOWER(O1144),""k""),
VALUE(REGEXEXTRACT(O1144,""[0-9]+""))*1000,
VALUE(REGEXEXTRACT(O1144,""[0-9]+""))
),
0
)"),0.0)</f>
        <v>0</v>
      </c>
      <c r="E1144" s="1" t="s">
        <v>11</v>
      </c>
      <c r="F1144" s="1" t="s">
        <v>20</v>
      </c>
      <c r="G1144" s="4" t="b">
        <f t="shared" si="2"/>
        <v>1</v>
      </c>
      <c r="H1144" s="1" t="str">
        <f t="shared" si="3"/>
        <v>Currently Unavailable</v>
      </c>
      <c r="I1144" s="1" t="str">
        <f t="shared" si="4"/>
        <v>No Badges</v>
      </c>
      <c r="J1144" s="3">
        <f t="shared" si="5"/>
        <v>0</v>
      </c>
    </row>
    <row r="1145">
      <c r="A1145" s="1" t="s">
        <v>985</v>
      </c>
      <c r="B1145" s="3" t="str">
        <f t="shared" si="1"/>
        <v>Unavailable</v>
      </c>
      <c r="C1145" s="3">
        <v>863.0</v>
      </c>
      <c r="D1145" s="3">
        <f>IFERROR(__xludf.DUMMYFUNCTION("IFERROR(
IF(REGEXMATCH(LOWER(O1145),""k""),
VALUE(REGEXEXTRACT(O1145,""[0-9]+""))*1000,
VALUE(REGEXEXTRACT(O1145,""[0-9]+""))
),
0
)"),0.0)</f>
        <v>0</v>
      </c>
      <c r="E1145" s="1" t="s">
        <v>11</v>
      </c>
      <c r="F1145" s="1" t="s">
        <v>20</v>
      </c>
      <c r="G1145" s="4" t="b">
        <f t="shared" si="2"/>
        <v>1</v>
      </c>
      <c r="H1145" s="1" t="str">
        <f t="shared" si="3"/>
        <v>Currently Unavailable</v>
      </c>
      <c r="I1145" s="1" t="str">
        <f t="shared" si="4"/>
        <v>No Badges</v>
      </c>
      <c r="J1145" s="3">
        <f t="shared" si="5"/>
        <v>0</v>
      </c>
    </row>
    <row r="1146">
      <c r="A1146" s="1" t="s">
        <v>986</v>
      </c>
      <c r="B1146" s="3" t="str">
        <f t="shared" si="1"/>
        <v>Unavailable</v>
      </c>
      <c r="C1146" s="3">
        <v>43.0</v>
      </c>
      <c r="D1146" s="3">
        <f>IFERROR(__xludf.DUMMYFUNCTION("IFERROR(
IF(REGEXMATCH(LOWER(O1146),""k""),
VALUE(REGEXEXTRACT(O1146,""[0-9]+""))*1000,
VALUE(REGEXEXTRACT(O1146,""[0-9]+""))
),
0
)"),0.0)</f>
        <v>0</v>
      </c>
      <c r="E1146" s="1" t="s">
        <v>18</v>
      </c>
      <c r="F1146" s="1" t="s">
        <v>20</v>
      </c>
      <c r="G1146" s="4" t="b">
        <f t="shared" si="2"/>
        <v>1</v>
      </c>
      <c r="H1146" s="1" t="str">
        <f t="shared" si="3"/>
        <v>Currently Unavailable</v>
      </c>
      <c r="I1146" s="1" t="str">
        <f t="shared" si="4"/>
        <v>No Badges</v>
      </c>
      <c r="J1146" s="3">
        <f t="shared" si="5"/>
        <v>0</v>
      </c>
    </row>
    <row r="1147">
      <c r="A1147" s="1" t="s">
        <v>987</v>
      </c>
      <c r="B1147" s="3" t="str">
        <f t="shared" si="1"/>
        <v>Unavailable</v>
      </c>
      <c r="C1147" s="3">
        <v>771.0</v>
      </c>
      <c r="D1147" s="3">
        <f>IFERROR(__xludf.DUMMYFUNCTION("IFERROR(
IF(REGEXMATCH(LOWER(O1147),""k""),
VALUE(REGEXEXTRACT(O1147,""[0-9]+""))*1000,
VALUE(REGEXEXTRACT(O1147,""[0-9]+""))
),
0
)"),0.0)</f>
        <v>0</v>
      </c>
      <c r="E1147" s="1" t="s">
        <v>11</v>
      </c>
      <c r="F1147" s="1" t="s">
        <v>20</v>
      </c>
      <c r="G1147" s="4" t="b">
        <f t="shared" si="2"/>
        <v>1</v>
      </c>
      <c r="H1147" s="1" t="str">
        <f t="shared" si="3"/>
        <v>Currently Unavailable</v>
      </c>
      <c r="I1147" s="1" t="str">
        <f t="shared" si="4"/>
        <v>No Badges</v>
      </c>
      <c r="J1147" s="3">
        <f t="shared" si="5"/>
        <v>0</v>
      </c>
    </row>
    <row r="1148">
      <c r="A1148" s="1" t="s">
        <v>69</v>
      </c>
      <c r="B1148" s="3" t="str">
        <f t="shared" si="1"/>
        <v>Unavailable</v>
      </c>
      <c r="C1148" s="3">
        <v>45.0</v>
      </c>
      <c r="D1148" s="3">
        <f>IFERROR(__xludf.DUMMYFUNCTION("IFERROR(
IF(REGEXMATCH(LOWER(O1148),""k""),
VALUE(REGEXEXTRACT(O1148,""[0-9]+""))*1000,
VALUE(REGEXEXTRACT(O1148,""[0-9]+""))
),
0
)"),0.0)</f>
        <v>0</v>
      </c>
      <c r="E1148" s="1" t="s">
        <v>11</v>
      </c>
      <c r="F1148" s="1" t="s">
        <v>12</v>
      </c>
      <c r="G1148" s="4" t="b">
        <f t="shared" si="2"/>
        <v>1</v>
      </c>
      <c r="H1148" s="1" t="str">
        <f t="shared" si="3"/>
        <v>Currently Unavailable</v>
      </c>
      <c r="I1148" s="1" t="str">
        <f t="shared" si="4"/>
        <v>No Badges</v>
      </c>
      <c r="J1148" s="3">
        <f t="shared" si="5"/>
        <v>0</v>
      </c>
    </row>
    <row r="1149">
      <c r="A1149" s="1" t="s">
        <v>67</v>
      </c>
      <c r="B1149" s="3" t="str">
        <f t="shared" si="1"/>
        <v>Unavailable</v>
      </c>
      <c r="C1149" s="3">
        <v>264.0</v>
      </c>
      <c r="D1149" s="3">
        <f>IFERROR(__xludf.DUMMYFUNCTION("IFERROR(
IF(REGEXMATCH(LOWER(O1149),""k""),
VALUE(REGEXEXTRACT(O1149,""[0-9]+""))*1000,
VALUE(REGEXEXTRACT(O1149,""[0-9]+""))
),
0
)"),0.0)</f>
        <v>0</v>
      </c>
      <c r="E1149" s="1" t="s">
        <v>11</v>
      </c>
      <c r="F1149" s="1" t="s">
        <v>12</v>
      </c>
      <c r="G1149" s="4" t="b">
        <f t="shared" si="2"/>
        <v>1</v>
      </c>
      <c r="H1149" s="1" t="str">
        <f t="shared" si="3"/>
        <v>Currently Unavailable</v>
      </c>
      <c r="I1149" s="1" t="str">
        <f t="shared" si="4"/>
        <v>No Badges</v>
      </c>
      <c r="J1149" s="3">
        <f t="shared" si="5"/>
        <v>0</v>
      </c>
    </row>
    <row r="1150">
      <c r="A1150" s="1" t="s">
        <v>988</v>
      </c>
      <c r="B1150" s="3" t="str">
        <f t="shared" si="1"/>
        <v>Unavailable</v>
      </c>
      <c r="C1150" s="5">
        <v>1161.0</v>
      </c>
      <c r="D1150" s="3">
        <f>IFERROR(__xludf.DUMMYFUNCTION("IFERROR(
IF(REGEXMATCH(LOWER(O1150),""k""),
VALUE(REGEXEXTRACT(O1150,""[0-9]+""))*1000,
VALUE(REGEXEXTRACT(O1150,""[0-9]+""))
),
0
)"),0.0)</f>
        <v>0</v>
      </c>
      <c r="E1150" s="1" t="s">
        <v>11</v>
      </c>
      <c r="F1150" s="1" t="s">
        <v>20</v>
      </c>
      <c r="G1150" s="4" t="b">
        <f t="shared" si="2"/>
        <v>1</v>
      </c>
      <c r="H1150" s="1" t="str">
        <f t="shared" si="3"/>
        <v>Currently Unavailable</v>
      </c>
      <c r="I1150" s="1" t="str">
        <f t="shared" si="4"/>
        <v>No Badges</v>
      </c>
      <c r="J1150" s="3">
        <f t="shared" si="5"/>
        <v>0</v>
      </c>
    </row>
    <row r="1151">
      <c r="A1151" s="1" t="s">
        <v>989</v>
      </c>
      <c r="B1151" s="3" t="str">
        <f t="shared" si="1"/>
        <v>Unavailable</v>
      </c>
      <c r="C1151" s="5">
        <v>6787.0</v>
      </c>
      <c r="D1151" s="3">
        <f>IFERROR(__xludf.DUMMYFUNCTION("IFERROR(
IF(REGEXMATCH(LOWER(O1151),""k""),
VALUE(REGEXEXTRACT(O1151,""[0-9]+""))*1000,
VALUE(REGEXEXTRACT(O1151,""[0-9]+""))
),
0
)"),0.0)</f>
        <v>0</v>
      </c>
      <c r="E1151" s="1" t="s">
        <v>11</v>
      </c>
      <c r="F1151" s="1" t="s">
        <v>20</v>
      </c>
      <c r="G1151" s="4" t="b">
        <f t="shared" si="2"/>
        <v>1</v>
      </c>
      <c r="H1151" s="1" t="str">
        <f t="shared" si="3"/>
        <v>Currently Unavailable</v>
      </c>
      <c r="I1151" s="1" t="str">
        <f t="shared" si="4"/>
        <v>No Badges</v>
      </c>
      <c r="J1151" s="3">
        <f t="shared" si="5"/>
        <v>0</v>
      </c>
    </row>
    <row r="1152">
      <c r="A1152" s="1" t="s">
        <v>990</v>
      </c>
      <c r="B1152" s="3" t="str">
        <f t="shared" si="1"/>
        <v>Unavailable</v>
      </c>
      <c r="C1152" s="3">
        <v>185.0</v>
      </c>
      <c r="D1152" s="3">
        <f>IFERROR(__xludf.DUMMYFUNCTION("IFERROR(
IF(REGEXMATCH(LOWER(O1152),""k""),
VALUE(REGEXEXTRACT(O1152,""[0-9]+""))*1000,
VALUE(REGEXEXTRACT(O1152,""[0-9]+""))
),
0
)"),0.0)</f>
        <v>0</v>
      </c>
      <c r="E1152" s="1" t="s">
        <v>11</v>
      </c>
      <c r="F1152" s="1" t="s">
        <v>20</v>
      </c>
      <c r="G1152" s="4" t="b">
        <f t="shared" si="2"/>
        <v>1</v>
      </c>
      <c r="H1152" s="1" t="str">
        <f t="shared" si="3"/>
        <v>Currently Unavailable</v>
      </c>
      <c r="I1152" s="1" t="str">
        <f t="shared" si="4"/>
        <v>No Badges</v>
      </c>
      <c r="J1152" s="3">
        <f t="shared" si="5"/>
        <v>0</v>
      </c>
    </row>
    <row r="1153">
      <c r="A1153" s="1" t="s">
        <v>991</v>
      </c>
      <c r="B1153" s="3" t="str">
        <f t="shared" si="1"/>
        <v>Unavailable</v>
      </c>
      <c r="C1153" s="3">
        <v>10.0</v>
      </c>
      <c r="D1153" s="3">
        <f>IFERROR(__xludf.DUMMYFUNCTION("IFERROR(
IF(REGEXMATCH(LOWER(O1153),""k""),
VALUE(REGEXEXTRACT(O1153,""[0-9]+""))*1000,
VALUE(REGEXEXTRACT(O1153,""[0-9]+""))
),
0
)"),0.0)</f>
        <v>0</v>
      </c>
      <c r="E1153" s="1" t="s">
        <v>11</v>
      </c>
      <c r="F1153" s="1" t="s">
        <v>20</v>
      </c>
      <c r="G1153" s="4" t="b">
        <f t="shared" si="2"/>
        <v>1</v>
      </c>
      <c r="H1153" s="1" t="str">
        <f t="shared" si="3"/>
        <v>Currently Unavailable</v>
      </c>
      <c r="I1153" s="1" t="str">
        <f t="shared" si="4"/>
        <v>No Badges</v>
      </c>
      <c r="J1153" s="3">
        <f t="shared" si="5"/>
        <v>0</v>
      </c>
    </row>
    <row r="1154">
      <c r="A1154" s="1" t="s">
        <v>992</v>
      </c>
      <c r="B1154" s="3" t="str">
        <f t="shared" si="1"/>
        <v>Unavailable</v>
      </c>
      <c r="C1154" s="5">
        <v>5353.0</v>
      </c>
      <c r="D1154" s="3">
        <f>IFERROR(__xludf.DUMMYFUNCTION("IFERROR(
IF(REGEXMATCH(LOWER(O1154),""k""),
VALUE(REGEXEXTRACT(O1154,""[0-9]+""))*1000,
VALUE(REGEXEXTRACT(O1154,""[0-9]+""))
),
0
)"),0.0)</f>
        <v>0</v>
      </c>
      <c r="E1154" s="1" t="s">
        <v>11</v>
      </c>
      <c r="F1154" s="1" t="s">
        <v>20</v>
      </c>
      <c r="G1154" s="4" t="b">
        <f t="shared" si="2"/>
        <v>1</v>
      </c>
      <c r="H1154" s="1" t="str">
        <f t="shared" si="3"/>
        <v>Currently Unavailable</v>
      </c>
      <c r="I1154" s="1" t="str">
        <f t="shared" si="4"/>
        <v>No Badges</v>
      </c>
      <c r="J1154" s="3">
        <f t="shared" si="5"/>
        <v>0</v>
      </c>
    </row>
    <row r="1155">
      <c r="A1155" s="1" t="s">
        <v>993</v>
      </c>
      <c r="B1155" s="3" t="str">
        <f t="shared" si="1"/>
        <v>Unavailable</v>
      </c>
      <c r="C1155" s="3">
        <v>70.0</v>
      </c>
      <c r="D1155" s="3">
        <f>IFERROR(__xludf.DUMMYFUNCTION("IFERROR(
IF(REGEXMATCH(LOWER(O1155),""k""),
VALUE(REGEXEXTRACT(O1155,""[0-9]+""))*1000,
VALUE(REGEXEXTRACT(O1155,""[0-9]+""))
),
0
)"),0.0)</f>
        <v>0</v>
      </c>
      <c r="E1155" s="1" t="s">
        <v>11</v>
      </c>
      <c r="F1155" s="1" t="s">
        <v>20</v>
      </c>
      <c r="G1155" s="4" t="b">
        <f t="shared" si="2"/>
        <v>1</v>
      </c>
      <c r="H1155" s="1" t="str">
        <f t="shared" si="3"/>
        <v>Currently Unavailable</v>
      </c>
      <c r="I1155" s="1" t="str">
        <f t="shared" si="4"/>
        <v>No Badges</v>
      </c>
      <c r="J1155" s="3">
        <f t="shared" si="5"/>
        <v>0</v>
      </c>
    </row>
    <row r="1156">
      <c r="A1156" s="1" t="s">
        <v>994</v>
      </c>
      <c r="B1156" s="3" t="str">
        <f t="shared" si="1"/>
        <v>Unavailable</v>
      </c>
      <c r="C1156" s="3">
        <v>210.0</v>
      </c>
      <c r="D1156" s="3">
        <f>IFERROR(__xludf.DUMMYFUNCTION("IFERROR(
IF(REGEXMATCH(LOWER(O1156),""k""),
VALUE(REGEXEXTRACT(O1156,""[0-9]+""))*1000,
VALUE(REGEXEXTRACT(O1156,""[0-9]+""))
),
0
)"),0.0)</f>
        <v>0</v>
      </c>
      <c r="E1156" s="1" t="s">
        <v>11</v>
      </c>
      <c r="F1156" s="1" t="s">
        <v>20</v>
      </c>
      <c r="G1156" s="4" t="b">
        <f t="shared" si="2"/>
        <v>1</v>
      </c>
      <c r="H1156" s="1" t="str">
        <f t="shared" si="3"/>
        <v>Currently Unavailable</v>
      </c>
      <c r="I1156" s="1" t="str">
        <f t="shared" si="4"/>
        <v>No Badges</v>
      </c>
      <c r="J1156" s="3">
        <f t="shared" si="5"/>
        <v>0</v>
      </c>
    </row>
    <row r="1157">
      <c r="A1157" s="1" t="s">
        <v>995</v>
      </c>
      <c r="B1157" s="3" t="str">
        <f t="shared" si="1"/>
        <v>Unavailable</v>
      </c>
      <c r="C1157" s="3">
        <v>966.0</v>
      </c>
      <c r="D1157" s="3">
        <f>IFERROR(__xludf.DUMMYFUNCTION("IFERROR(
IF(REGEXMATCH(LOWER(O1157),""k""),
VALUE(REGEXEXTRACT(O1157,""[0-9]+""))*1000,
VALUE(REGEXEXTRACT(O1157,""[0-9]+""))
),
0
)"),0.0)</f>
        <v>0</v>
      </c>
      <c r="E1157" s="1" t="s">
        <v>11</v>
      </c>
      <c r="F1157" s="1" t="s">
        <v>20</v>
      </c>
      <c r="G1157" s="4" t="b">
        <f t="shared" si="2"/>
        <v>1</v>
      </c>
      <c r="H1157" s="1" t="str">
        <f t="shared" si="3"/>
        <v>Currently Unavailable</v>
      </c>
      <c r="I1157" s="1" t="str">
        <f t="shared" si="4"/>
        <v>No Badges</v>
      </c>
      <c r="J1157" s="3">
        <f t="shared" si="5"/>
        <v>0</v>
      </c>
    </row>
    <row r="1158">
      <c r="A1158" s="1" t="s">
        <v>996</v>
      </c>
      <c r="B1158" s="3" t="str">
        <f t="shared" si="1"/>
        <v>Unavailable</v>
      </c>
      <c r="C1158" s="3">
        <v>239.0</v>
      </c>
      <c r="D1158" s="3">
        <f>IFERROR(__xludf.DUMMYFUNCTION("IFERROR(
IF(REGEXMATCH(LOWER(O1158),""k""),
VALUE(REGEXEXTRACT(O1158,""[0-9]+""))*1000,
VALUE(REGEXEXTRACT(O1158,""[0-9]+""))
),
0
)"),0.0)</f>
        <v>0</v>
      </c>
      <c r="E1158" s="1" t="s">
        <v>11</v>
      </c>
      <c r="F1158" s="1" t="s">
        <v>20</v>
      </c>
      <c r="G1158" s="4" t="b">
        <f t="shared" si="2"/>
        <v>1</v>
      </c>
      <c r="H1158" s="1" t="str">
        <f t="shared" si="3"/>
        <v>Currently Unavailable</v>
      </c>
      <c r="I1158" s="1" t="str">
        <f t="shared" si="4"/>
        <v>No Badges</v>
      </c>
      <c r="J1158" s="3">
        <f t="shared" si="5"/>
        <v>0</v>
      </c>
    </row>
    <row r="1159">
      <c r="A1159" s="1" t="s">
        <v>997</v>
      </c>
      <c r="B1159" s="3" t="str">
        <f t="shared" si="1"/>
        <v>Unavailable</v>
      </c>
      <c r="C1159" s="5">
        <v>4399.0</v>
      </c>
      <c r="D1159" s="3">
        <f>IFERROR(__xludf.DUMMYFUNCTION("IFERROR(
IF(REGEXMATCH(LOWER(O1159),""k""),
VALUE(REGEXEXTRACT(O1159,""[0-9]+""))*1000,
VALUE(REGEXEXTRACT(O1159,""[0-9]+""))
),
0
)"),0.0)</f>
        <v>0</v>
      </c>
      <c r="E1159" s="1" t="s">
        <v>11</v>
      </c>
      <c r="F1159" s="1" t="s">
        <v>20</v>
      </c>
      <c r="G1159" s="4" t="b">
        <f t="shared" si="2"/>
        <v>1</v>
      </c>
      <c r="H1159" s="1" t="str">
        <f t="shared" si="3"/>
        <v>Currently Unavailable</v>
      </c>
      <c r="I1159" s="1" t="str">
        <f t="shared" si="4"/>
        <v>No Badges</v>
      </c>
      <c r="J1159" s="3">
        <f t="shared" si="5"/>
        <v>0</v>
      </c>
    </row>
    <row r="1160">
      <c r="A1160" s="1" t="s">
        <v>998</v>
      </c>
      <c r="B1160" s="3" t="str">
        <f t="shared" si="1"/>
        <v>Unavailable</v>
      </c>
      <c r="C1160" s="3">
        <v>11.0</v>
      </c>
      <c r="D1160" s="3">
        <f>IFERROR(__xludf.DUMMYFUNCTION("IFERROR(
IF(REGEXMATCH(LOWER(O1160),""k""),
VALUE(REGEXEXTRACT(O1160,""[0-9]+""))*1000,
VALUE(REGEXEXTRACT(O1160,""[0-9]+""))
),
0
)"),0.0)</f>
        <v>0</v>
      </c>
      <c r="E1160" s="1" t="s">
        <v>11</v>
      </c>
      <c r="F1160" s="1" t="s">
        <v>20</v>
      </c>
      <c r="G1160" s="4" t="b">
        <f t="shared" si="2"/>
        <v>1</v>
      </c>
      <c r="H1160" s="1" t="str">
        <f t="shared" si="3"/>
        <v>Currently Unavailable</v>
      </c>
      <c r="I1160" s="1" t="str">
        <f t="shared" si="4"/>
        <v>No Badges</v>
      </c>
      <c r="J1160" s="3">
        <f t="shared" si="5"/>
        <v>0</v>
      </c>
    </row>
    <row r="1161">
      <c r="A1161" s="1" t="s">
        <v>999</v>
      </c>
      <c r="B1161" s="3" t="str">
        <f t="shared" si="1"/>
        <v>Unavailable</v>
      </c>
      <c r="C1161" s="3">
        <v>23.0</v>
      </c>
      <c r="D1161" s="3">
        <f>IFERROR(__xludf.DUMMYFUNCTION("IFERROR(
IF(REGEXMATCH(LOWER(O1161),""k""),
VALUE(REGEXEXTRACT(O1161,""[0-9]+""))*1000,
VALUE(REGEXEXTRACT(O1161,""[0-9]+""))
),
0
)"),0.0)</f>
        <v>0</v>
      </c>
      <c r="E1161" s="1" t="s">
        <v>11</v>
      </c>
      <c r="F1161" s="1" t="s">
        <v>20</v>
      </c>
      <c r="G1161" s="4" t="b">
        <f t="shared" si="2"/>
        <v>1</v>
      </c>
      <c r="H1161" s="1" t="str">
        <f t="shared" si="3"/>
        <v>Currently Unavailable</v>
      </c>
      <c r="I1161" s="1" t="str">
        <f t="shared" si="4"/>
        <v>No Badges</v>
      </c>
      <c r="J1161" s="3">
        <f t="shared" si="5"/>
        <v>0</v>
      </c>
    </row>
    <row r="1162">
      <c r="A1162" s="1" t="s">
        <v>1000</v>
      </c>
      <c r="B1162" s="3" t="str">
        <f t="shared" si="1"/>
        <v>Unavailable</v>
      </c>
      <c r="C1162" s="3">
        <v>1.0</v>
      </c>
      <c r="D1162" s="3">
        <f>IFERROR(__xludf.DUMMYFUNCTION("IFERROR(
IF(REGEXMATCH(LOWER(O1162),""k""),
VALUE(REGEXEXTRACT(O1162,""[0-9]+""))*1000,
VALUE(REGEXEXTRACT(O1162,""[0-9]+""))
),
0
)"),0.0)</f>
        <v>0</v>
      </c>
      <c r="E1162" s="1" t="s">
        <v>11</v>
      </c>
      <c r="F1162" s="1" t="s">
        <v>20</v>
      </c>
      <c r="G1162" s="4" t="b">
        <f t="shared" si="2"/>
        <v>1</v>
      </c>
      <c r="H1162" s="1" t="str">
        <f t="shared" si="3"/>
        <v>Currently Unavailable</v>
      </c>
      <c r="I1162" s="1" t="str">
        <f t="shared" si="4"/>
        <v>No Badges</v>
      </c>
      <c r="J1162" s="3">
        <f t="shared" si="5"/>
        <v>0</v>
      </c>
    </row>
    <row r="1163">
      <c r="A1163" s="1" t="s">
        <v>1001</v>
      </c>
      <c r="B1163" s="3" t="str">
        <f t="shared" si="1"/>
        <v>Unavailable</v>
      </c>
      <c r="C1163" s="3">
        <v>29.0</v>
      </c>
      <c r="D1163" s="3">
        <f>IFERROR(__xludf.DUMMYFUNCTION("IFERROR(
IF(REGEXMATCH(LOWER(O1163),""k""),
VALUE(REGEXEXTRACT(O1163,""[0-9]+""))*1000,
VALUE(REGEXEXTRACT(O1163,""[0-9]+""))
),
0
)"),0.0)</f>
        <v>0</v>
      </c>
      <c r="E1163" s="1" t="s">
        <v>11</v>
      </c>
      <c r="F1163" s="1" t="s">
        <v>12</v>
      </c>
      <c r="G1163" s="4" t="b">
        <f t="shared" si="2"/>
        <v>1</v>
      </c>
      <c r="H1163" s="1" t="str">
        <f t="shared" si="3"/>
        <v>Currently Unavailable</v>
      </c>
      <c r="I1163" s="1" t="str">
        <f t="shared" si="4"/>
        <v>No Badges</v>
      </c>
      <c r="J1163" s="3">
        <f t="shared" si="5"/>
        <v>0</v>
      </c>
    </row>
    <row r="1164">
      <c r="A1164" s="1" t="s">
        <v>1002</v>
      </c>
      <c r="B1164" s="3" t="str">
        <f t="shared" si="1"/>
        <v>Unavailable</v>
      </c>
      <c r="C1164" s="3">
        <v>980.0</v>
      </c>
      <c r="D1164" s="3">
        <f>IFERROR(__xludf.DUMMYFUNCTION("IFERROR(
IF(REGEXMATCH(LOWER(O1164),""k""),
VALUE(REGEXEXTRACT(O1164,""[0-9]+""))*1000,
VALUE(REGEXEXTRACT(O1164,""[0-9]+""))
),
0
)"),0.0)</f>
        <v>0</v>
      </c>
      <c r="E1164" s="1" t="s">
        <v>11</v>
      </c>
      <c r="F1164" s="1" t="s">
        <v>20</v>
      </c>
      <c r="G1164" s="4" t="b">
        <f t="shared" si="2"/>
        <v>1</v>
      </c>
      <c r="H1164" s="1" t="str">
        <f t="shared" si="3"/>
        <v>Currently Unavailable</v>
      </c>
      <c r="I1164" s="1" t="str">
        <f t="shared" si="4"/>
        <v>No Badges</v>
      </c>
      <c r="J1164" s="3">
        <f t="shared" si="5"/>
        <v>0</v>
      </c>
    </row>
    <row r="1165">
      <c r="A1165" s="1" t="s">
        <v>646</v>
      </c>
      <c r="B1165" s="1" t="str">
        <f t="shared" si="1"/>
        <v>Unavailable</v>
      </c>
      <c r="C1165" s="1"/>
      <c r="D1165" s="3">
        <f>IFERROR(__xludf.DUMMYFUNCTION("IFERROR(
IF(REGEXMATCH(LOWER(O1165),""k""),
VALUE(REGEXEXTRACT(O1165,""[0-9]+""))*1000,
VALUE(REGEXEXTRACT(O1165,""[0-9]+""))
),
0
)"),0.0)</f>
        <v>0</v>
      </c>
      <c r="E1165" s="1" t="s">
        <v>11</v>
      </c>
      <c r="F1165" s="1" t="s">
        <v>20</v>
      </c>
      <c r="G1165" s="4" t="b">
        <f t="shared" si="2"/>
        <v>1</v>
      </c>
      <c r="H1165" s="1" t="str">
        <f t="shared" si="3"/>
        <v>Currently Unavailable</v>
      </c>
      <c r="I1165" s="1" t="str">
        <f t="shared" si="4"/>
        <v>No Badges</v>
      </c>
      <c r="J1165" s="3">
        <f t="shared" si="5"/>
        <v>0</v>
      </c>
    </row>
    <row r="1166">
      <c r="A1166" s="1" t="s">
        <v>1003</v>
      </c>
      <c r="B1166" s="3" t="str">
        <f t="shared" si="1"/>
        <v>Unavailable</v>
      </c>
      <c r="C1166" s="3">
        <v>58.0</v>
      </c>
      <c r="D1166" s="3">
        <f>IFERROR(__xludf.DUMMYFUNCTION("IFERROR(
IF(REGEXMATCH(LOWER(O1166),""k""),
VALUE(REGEXEXTRACT(O1166,""[0-9]+""))*1000,
VALUE(REGEXEXTRACT(O1166,""[0-9]+""))
),
0
)"),0.0)</f>
        <v>0</v>
      </c>
      <c r="E1166" s="1" t="s">
        <v>11</v>
      </c>
      <c r="F1166" s="1" t="s">
        <v>20</v>
      </c>
      <c r="G1166" s="4" t="b">
        <f t="shared" si="2"/>
        <v>1</v>
      </c>
      <c r="H1166" s="1" t="str">
        <f t="shared" si="3"/>
        <v>Currently Unavailable</v>
      </c>
      <c r="I1166" s="1" t="str">
        <f t="shared" si="4"/>
        <v>No Badges</v>
      </c>
      <c r="J1166" s="3">
        <f t="shared" si="5"/>
        <v>0</v>
      </c>
    </row>
    <row r="1167">
      <c r="A1167" s="1" t="s">
        <v>1004</v>
      </c>
      <c r="B1167" s="3" t="str">
        <f t="shared" si="1"/>
        <v>Unavailable</v>
      </c>
      <c r="C1167" s="5">
        <v>4317.0</v>
      </c>
      <c r="D1167" s="3">
        <f>IFERROR(__xludf.DUMMYFUNCTION("IFERROR(
IF(REGEXMATCH(LOWER(O1167),""k""),
VALUE(REGEXEXTRACT(O1167,""[0-9]+""))*1000,
VALUE(REGEXEXTRACT(O1167,""[0-9]+""))
),
0
)"),0.0)</f>
        <v>0</v>
      </c>
      <c r="E1167" s="1" t="s">
        <v>11</v>
      </c>
      <c r="F1167" s="1" t="s">
        <v>20</v>
      </c>
      <c r="G1167" s="4" t="b">
        <f t="shared" si="2"/>
        <v>1</v>
      </c>
      <c r="H1167" s="1" t="str">
        <f t="shared" si="3"/>
        <v>Currently Unavailable</v>
      </c>
      <c r="I1167" s="1" t="str">
        <f t="shared" si="4"/>
        <v>No Badges</v>
      </c>
      <c r="J1167" s="3">
        <f t="shared" si="5"/>
        <v>0</v>
      </c>
    </row>
    <row r="1168">
      <c r="A1168" s="1" t="s">
        <v>1005</v>
      </c>
      <c r="B1168" s="3" t="str">
        <f t="shared" si="1"/>
        <v>Unavailable</v>
      </c>
      <c r="C1168" s="3">
        <v>854.0</v>
      </c>
      <c r="D1168" s="3">
        <f>IFERROR(__xludf.DUMMYFUNCTION("IFERROR(
IF(REGEXMATCH(LOWER(O1168),""k""),
VALUE(REGEXEXTRACT(O1168,""[0-9]+""))*1000,
VALUE(REGEXEXTRACT(O1168,""[0-9]+""))
),
0
)"),0.0)</f>
        <v>0</v>
      </c>
      <c r="E1168" s="1" t="s">
        <v>11</v>
      </c>
      <c r="F1168" s="1" t="s">
        <v>20</v>
      </c>
      <c r="G1168" s="4" t="b">
        <f t="shared" si="2"/>
        <v>1</v>
      </c>
      <c r="H1168" s="1" t="str">
        <f t="shared" si="3"/>
        <v>Currently Unavailable</v>
      </c>
      <c r="I1168" s="1" t="str">
        <f t="shared" si="4"/>
        <v>No Badges</v>
      </c>
      <c r="J1168" s="3">
        <f t="shared" si="5"/>
        <v>0</v>
      </c>
    </row>
    <row r="1169">
      <c r="A1169" s="1" t="s">
        <v>1006</v>
      </c>
      <c r="B1169" s="3" t="str">
        <f t="shared" si="1"/>
        <v>Unavailable</v>
      </c>
      <c r="C1169" s="3">
        <v>545.0</v>
      </c>
      <c r="D1169" s="3">
        <f>IFERROR(__xludf.DUMMYFUNCTION("IFERROR(
IF(REGEXMATCH(LOWER(O1169),""k""),
VALUE(REGEXEXTRACT(O1169,""[0-9]+""))*1000,
VALUE(REGEXEXTRACT(O1169,""[0-9]+""))
),
0
)"),0.0)</f>
        <v>0</v>
      </c>
      <c r="E1169" s="1" t="s">
        <v>11</v>
      </c>
      <c r="F1169" s="1" t="s">
        <v>20</v>
      </c>
      <c r="G1169" s="4" t="b">
        <f t="shared" si="2"/>
        <v>1</v>
      </c>
      <c r="H1169" s="1" t="str">
        <f t="shared" si="3"/>
        <v>Currently Unavailable</v>
      </c>
      <c r="I1169" s="1" t="str">
        <f t="shared" si="4"/>
        <v>No Badges</v>
      </c>
      <c r="J1169" s="3">
        <f t="shared" si="5"/>
        <v>0</v>
      </c>
    </row>
    <row r="1170">
      <c r="A1170" s="1" t="s">
        <v>1007</v>
      </c>
      <c r="B1170" s="3" t="str">
        <f t="shared" si="1"/>
        <v>Unavailable</v>
      </c>
      <c r="C1170" s="5">
        <v>1044.0</v>
      </c>
      <c r="D1170" s="3">
        <f>IFERROR(__xludf.DUMMYFUNCTION("IFERROR(
IF(REGEXMATCH(LOWER(O1170),""k""),
VALUE(REGEXEXTRACT(O1170,""[0-9]+""))*1000,
VALUE(REGEXEXTRACT(O1170,""[0-9]+""))
),
0
)"),0.0)</f>
        <v>0</v>
      </c>
      <c r="E1170" s="1" t="s">
        <v>11</v>
      </c>
      <c r="F1170" s="1" t="s">
        <v>20</v>
      </c>
      <c r="G1170" s="4" t="b">
        <f t="shared" si="2"/>
        <v>1</v>
      </c>
      <c r="H1170" s="1" t="str">
        <f t="shared" si="3"/>
        <v>Currently Unavailable</v>
      </c>
      <c r="I1170" s="1" t="str">
        <f t="shared" si="4"/>
        <v>No Badges</v>
      </c>
      <c r="J1170" s="3">
        <f t="shared" si="5"/>
        <v>0</v>
      </c>
    </row>
    <row r="1171">
      <c r="A1171" s="1" t="s">
        <v>1008</v>
      </c>
      <c r="B1171" s="3" t="str">
        <f t="shared" si="1"/>
        <v>Unavailable</v>
      </c>
      <c r="C1171" s="3">
        <v>616.0</v>
      </c>
      <c r="D1171" s="3">
        <f>IFERROR(__xludf.DUMMYFUNCTION("IFERROR(
IF(REGEXMATCH(LOWER(O1171),""k""),
VALUE(REGEXEXTRACT(O1171,""[0-9]+""))*1000,
VALUE(REGEXEXTRACT(O1171,""[0-9]+""))
),
0
)"),0.0)</f>
        <v>0</v>
      </c>
      <c r="E1171" s="1" t="s">
        <v>11</v>
      </c>
      <c r="F1171" s="1" t="s">
        <v>20</v>
      </c>
      <c r="G1171" s="4" t="b">
        <f t="shared" si="2"/>
        <v>1</v>
      </c>
      <c r="H1171" s="1" t="str">
        <f t="shared" si="3"/>
        <v>Currently Unavailable</v>
      </c>
      <c r="I1171" s="1" t="str">
        <f t="shared" si="4"/>
        <v>No Badges</v>
      </c>
      <c r="J1171" s="3">
        <f t="shared" si="5"/>
        <v>0</v>
      </c>
    </row>
    <row r="1172">
      <c r="A1172" s="1" t="s">
        <v>1009</v>
      </c>
      <c r="B1172" s="3" t="str">
        <f t="shared" si="1"/>
        <v>Unavailable</v>
      </c>
      <c r="C1172" s="3">
        <v>288.0</v>
      </c>
      <c r="D1172" s="3">
        <f>IFERROR(__xludf.DUMMYFUNCTION("IFERROR(
IF(REGEXMATCH(LOWER(O1172),""k""),
VALUE(REGEXEXTRACT(O1172,""[0-9]+""))*1000,
VALUE(REGEXEXTRACT(O1172,""[0-9]+""))
),
0
)"),0.0)</f>
        <v>0</v>
      </c>
      <c r="E1172" s="1" t="s">
        <v>11</v>
      </c>
      <c r="F1172" s="1" t="s">
        <v>20</v>
      </c>
      <c r="G1172" s="4" t="b">
        <f t="shared" si="2"/>
        <v>1</v>
      </c>
      <c r="H1172" s="1" t="str">
        <f t="shared" si="3"/>
        <v>Currently Unavailable</v>
      </c>
      <c r="I1172" s="1" t="str">
        <f t="shared" si="4"/>
        <v>No Badges</v>
      </c>
      <c r="J1172" s="3">
        <f t="shared" si="5"/>
        <v>0</v>
      </c>
    </row>
    <row r="1173">
      <c r="A1173" s="1" t="s">
        <v>1010</v>
      </c>
      <c r="B1173" s="3" t="str">
        <f t="shared" si="1"/>
        <v>Unavailable</v>
      </c>
      <c r="C1173" s="5">
        <v>1086.0</v>
      </c>
      <c r="D1173" s="3">
        <f>IFERROR(__xludf.DUMMYFUNCTION("IFERROR(
IF(REGEXMATCH(LOWER(O1173),""k""),
VALUE(REGEXEXTRACT(O1173,""[0-9]+""))*1000,
VALUE(REGEXEXTRACT(O1173,""[0-9]+""))
),
0
)"),0.0)</f>
        <v>0</v>
      </c>
      <c r="E1173" s="1" t="s">
        <v>11</v>
      </c>
      <c r="F1173" s="1" t="s">
        <v>20</v>
      </c>
      <c r="G1173" s="4" t="b">
        <f t="shared" si="2"/>
        <v>1</v>
      </c>
      <c r="H1173" s="1" t="str">
        <f t="shared" si="3"/>
        <v>Currently Unavailable</v>
      </c>
      <c r="I1173" s="1" t="str">
        <f t="shared" si="4"/>
        <v>No Badges</v>
      </c>
      <c r="J1173" s="3">
        <f t="shared" si="5"/>
        <v>0</v>
      </c>
    </row>
    <row r="1174">
      <c r="A1174" s="1" t="s">
        <v>1011</v>
      </c>
      <c r="B1174" s="3" t="str">
        <f t="shared" si="1"/>
        <v>Unavailable</v>
      </c>
      <c r="C1174" s="3">
        <v>326.0</v>
      </c>
      <c r="D1174" s="3">
        <f>IFERROR(__xludf.DUMMYFUNCTION("IFERROR(
IF(REGEXMATCH(LOWER(O1174),""k""),
VALUE(REGEXEXTRACT(O1174,""[0-9]+""))*1000,
VALUE(REGEXEXTRACT(O1174,""[0-9]+""))
),
0
)"),0.0)</f>
        <v>0</v>
      </c>
      <c r="E1174" s="1" t="s">
        <v>11</v>
      </c>
      <c r="F1174" s="1" t="s">
        <v>20</v>
      </c>
      <c r="G1174" s="4" t="b">
        <f t="shared" si="2"/>
        <v>1</v>
      </c>
      <c r="H1174" s="1" t="str">
        <f t="shared" si="3"/>
        <v>Currently Unavailable</v>
      </c>
      <c r="I1174" s="1" t="str">
        <f t="shared" si="4"/>
        <v>No Badges</v>
      </c>
      <c r="J1174" s="3">
        <f t="shared" si="5"/>
        <v>0</v>
      </c>
    </row>
    <row r="1175">
      <c r="A1175" s="1" t="s">
        <v>1012</v>
      </c>
      <c r="B1175" s="3" t="str">
        <f t="shared" si="1"/>
        <v>Unavailable</v>
      </c>
      <c r="C1175" s="3">
        <v>109.0</v>
      </c>
      <c r="D1175" s="3">
        <f>IFERROR(__xludf.DUMMYFUNCTION("IFERROR(
IF(REGEXMATCH(LOWER(O1175),""k""),
VALUE(REGEXEXTRACT(O1175,""[0-9]+""))*1000,
VALUE(REGEXEXTRACT(O1175,""[0-9]+""))
),
0
)"),0.0)</f>
        <v>0</v>
      </c>
      <c r="E1175" s="1" t="s">
        <v>11</v>
      </c>
      <c r="F1175" s="1" t="s">
        <v>20</v>
      </c>
      <c r="G1175" s="4" t="b">
        <f t="shared" si="2"/>
        <v>1</v>
      </c>
      <c r="H1175" s="1" t="str">
        <f t="shared" si="3"/>
        <v>Currently Unavailable</v>
      </c>
      <c r="I1175" s="1" t="str">
        <f t="shared" si="4"/>
        <v>No Badges</v>
      </c>
      <c r="J1175" s="3">
        <f t="shared" si="5"/>
        <v>0</v>
      </c>
    </row>
    <row r="1176">
      <c r="A1176" s="1" t="s">
        <v>1013</v>
      </c>
      <c r="B1176" s="3" t="str">
        <f t="shared" si="1"/>
        <v>Unavailable</v>
      </c>
      <c r="C1176" s="5">
        <v>1395.0</v>
      </c>
      <c r="D1176" s="3">
        <f>IFERROR(__xludf.DUMMYFUNCTION("IFERROR(
IF(REGEXMATCH(LOWER(O1176),""k""),
VALUE(REGEXEXTRACT(O1176,""[0-9]+""))*1000,
VALUE(REGEXEXTRACT(O1176,""[0-9]+""))
),
0
)"),0.0)</f>
        <v>0</v>
      </c>
      <c r="E1176" s="1" t="s">
        <v>11</v>
      </c>
      <c r="F1176" s="1" t="s">
        <v>20</v>
      </c>
      <c r="G1176" s="4" t="b">
        <f t="shared" si="2"/>
        <v>1</v>
      </c>
      <c r="H1176" s="1" t="str">
        <f t="shared" si="3"/>
        <v>Currently Unavailable</v>
      </c>
      <c r="I1176" s="1" t="str">
        <f t="shared" si="4"/>
        <v>No Badges</v>
      </c>
      <c r="J1176" s="3">
        <f t="shared" si="5"/>
        <v>0</v>
      </c>
    </row>
    <row r="1177">
      <c r="A1177" s="1" t="s">
        <v>1014</v>
      </c>
      <c r="B1177" s="3" t="str">
        <f t="shared" si="1"/>
        <v>Unavailable</v>
      </c>
      <c r="C1177" s="3">
        <v>188.0</v>
      </c>
      <c r="D1177" s="3">
        <f>IFERROR(__xludf.DUMMYFUNCTION("IFERROR(
IF(REGEXMATCH(LOWER(O1177),""k""),
VALUE(REGEXEXTRACT(O1177,""[0-9]+""))*1000,
VALUE(REGEXEXTRACT(O1177,""[0-9]+""))
),
0
)"),0.0)</f>
        <v>0</v>
      </c>
      <c r="E1177" s="1" t="s">
        <v>11</v>
      </c>
      <c r="F1177" s="1" t="s">
        <v>20</v>
      </c>
      <c r="G1177" s="4" t="b">
        <f t="shared" si="2"/>
        <v>1</v>
      </c>
      <c r="H1177" s="1" t="str">
        <f t="shared" si="3"/>
        <v>Currently Unavailable</v>
      </c>
      <c r="I1177" s="1" t="str">
        <f t="shared" si="4"/>
        <v>No Badges</v>
      </c>
      <c r="J1177" s="3">
        <f t="shared" si="5"/>
        <v>0</v>
      </c>
    </row>
    <row r="1178">
      <c r="A1178" s="1" t="s">
        <v>1015</v>
      </c>
      <c r="B1178" s="3" t="str">
        <f t="shared" si="1"/>
        <v>Unavailable</v>
      </c>
      <c r="C1178" s="3">
        <v>659.0</v>
      </c>
      <c r="D1178" s="3">
        <f>IFERROR(__xludf.DUMMYFUNCTION("IFERROR(
IF(REGEXMATCH(LOWER(O1178),""k""),
VALUE(REGEXEXTRACT(O1178,""[0-9]+""))*1000,
VALUE(REGEXEXTRACT(O1178,""[0-9]+""))
),
0
)"),0.0)</f>
        <v>0</v>
      </c>
      <c r="E1178" s="1" t="s">
        <v>11</v>
      </c>
      <c r="F1178" s="1" t="s">
        <v>20</v>
      </c>
      <c r="G1178" s="4" t="b">
        <f t="shared" si="2"/>
        <v>1</v>
      </c>
      <c r="H1178" s="1" t="str">
        <f t="shared" si="3"/>
        <v>Currently Unavailable</v>
      </c>
      <c r="I1178" s="1" t="str">
        <f t="shared" si="4"/>
        <v>No Badges</v>
      </c>
      <c r="J1178" s="3">
        <f t="shared" si="5"/>
        <v>0</v>
      </c>
    </row>
    <row r="1179">
      <c r="A1179" s="1" t="s">
        <v>1016</v>
      </c>
      <c r="B1179" s="3" t="str">
        <f t="shared" si="1"/>
        <v>Unavailable</v>
      </c>
      <c r="C1179" s="3">
        <v>99.0</v>
      </c>
      <c r="D1179" s="3">
        <f>IFERROR(__xludf.DUMMYFUNCTION("IFERROR(
IF(REGEXMATCH(LOWER(O1179),""k""),
VALUE(REGEXEXTRACT(O1179,""[0-9]+""))*1000,
VALUE(REGEXEXTRACT(O1179,""[0-9]+""))
),
0
)"),0.0)</f>
        <v>0</v>
      </c>
      <c r="E1179" s="1" t="s">
        <v>11</v>
      </c>
      <c r="F1179" s="1" t="s">
        <v>20</v>
      </c>
      <c r="G1179" s="4" t="b">
        <f t="shared" si="2"/>
        <v>1</v>
      </c>
      <c r="H1179" s="1" t="str">
        <f t="shared" si="3"/>
        <v>Currently Unavailable</v>
      </c>
      <c r="I1179" s="1" t="str">
        <f t="shared" si="4"/>
        <v>No Badges</v>
      </c>
      <c r="J1179" s="3">
        <f t="shared" si="5"/>
        <v>0</v>
      </c>
    </row>
    <row r="1180">
      <c r="A1180" s="1" t="s">
        <v>1017</v>
      </c>
      <c r="B1180" s="3" t="str">
        <f t="shared" si="1"/>
        <v>Unavailable</v>
      </c>
      <c r="C1180" s="5">
        <v>1775.0</v>
      </c>
      <c r="D1180" s="3">
        <f>IFERROR(__xludf.DUMMYFUNCTION("IFERROR(
IF(REGEXMATCH(LOWER(O1180),""k""),
VALUE(REGEXEXTRACT(O1180,""[0-9]+""))*1000,
VALUE(REGEXEXTRACT(O1180,""[0-9]+""))
),
0
)"),0.0)</f>
        <v>0</v>
      </c>
      <c r="E1180" s="1" t="s">
        <v>11</v>
      </c>
      <c r="F1180" s="1" t="s">
        <v>20</v>
      </c>
      <c r="G1180" s="4" t="b">
        <f t="shared" si="2"/>
        <v>1</v>
      </c>
      <c r="H1180" s="1" t="str">
        <f t="shared" si="3"/>
        <v>Currently Unavailable</v>
      </c>
      <c r="I1180" s="1" t="str">
        <f t="shared" si="4"/>
        <v>No Badges</v>
      </c>
      <c r="J1180" s="3">
        <f t="shared" si="5"/>
        <v>0</v>
      </c>
    </row>
    <row r="1181">
      <c r="A1181" s="1" t="s">
        <v>69</v>
      </c>
      <c r="B1181" s="3" t="str">
        <f t="shared" si="1"/>
        <v>Unavailable</v>
      </c>
      <c r="C1181" s="3">
        <v>45.0</v>
      </c>
      <c r="D1181" s="3">
        <f>IFERROR(__xludf.DUMMYFUNCTION("IFERROR(
IF(REGEXMATCH(LOWER(O1181),""k""),
VALUE(REGEXEXTRACT(O1181,""[0-9]+""))*1000,
VALUE(REGEXEXTRACT(O1181,""[0-9]+""))
),
0
)"),0.0)</f>
        <v>0</v>
      </c>
      <c r="E1181" s="1" t="s">
        <v>11</v>
      </c>
      <c r="F1181" s="1" t="s">
        <v>12</v>
      </c>
      <c r="G1181" s="4" t="b">
        <f t="shared" si="2"/>
        <v>1</v>
      </c>
      <c r="H1181" s="1" t="str">
        <f t="shared" si="3"/>
        <v>Currently Unavailable</v>
      </c>
      <c r="I1181" s="1" t="str">
        <f t="shared" si="4"/>
        <v>No Badges</v>
      </c>
      <c r="J1181" s="3">
        <f t="shared" si="5"/>
        <v>0</v>
      </c>
    </row>
    <row r="1182">
      <c r="A1182" s="1" t="s">
        <v>67</v>
      </c>
      <c r="B1182" s="3" t="str">
        <f t="shared" si="1"/>
        <v>Unavailable</v>
      </c>
      <c r="C1182" s="3">
        <v>264.0</v>
      </c>
      <c r="D1182" s="3">
        <f>IFERROR(__xludf.DUMMYFUNCTION("IFERROR(
IF(REGEXMATCH(LOWER(O1182),""k""),
VALUE(REGEXEXTRACT(O1182,""[0-9]+""))*1000,
VALUE(REGEXEXTRACT(O1182,""[0-9]+""))
),
0
)"),0.0)</f>
        <v>0</v>
      </c>
      <c r="E1182" s="1" t="s">
        <v>11</v>
      </c>
      <c r="F1182" s="1" t="s">
        <v>12</v>
      </c>
      <c r="G1182" s="4" t="b">
        <f t="shared" si="2"/>
        <v>1</v>
      </c>
      <c r="H1182" s="1" t="str">
        <f t="shared" si="3"/>
        <v>Currently Unavailable</v>
      </c>
      <c r="I1182" s="1" t="str">
        <f t="shared" si="4"/>
        <v>No Badges</v>
      </c>
      <c r="J1182" s="3">
        <f t="shared" si="5"/>
        <v>0</v>
      </c>
    </row>
    <row r="1183">
      <c r="A1183" s="1" t="s">
        <v>1018</v>
      </c>
      <c r="B1183" s="3" t="str">
        <f t="shared" si="1"/>
        <v>Unavailable</v>
      </c>
      <c r="C1183" s="3">
        <v>358.0</v>
      </c>
      <c r="D1183" s="3">
        <f>IFERROR(__xludf.DUMMYFUNCTION("IFERROR(
IF(REGEXMATCH(LOWER(O1183),""k""),
VALUE(REGEXEXTRACT(O1183,""[0-9]+""))*1000,
VALUE(REGEXEXTRACT(O1183,""[0-9]+""))
),
0
)"),0.0)</f>
        <v>0</v>
      </c>
      <c r="E1183" s="1" t="s">
        <v>11</v>
      </c>
      <c r="F1183" s="1" t="s">
        <v>20</v>
      </c>
      <c r="G1183" s="4" t="b">
        <f t="shared" si="2"/>
        <v>1</v>
      </c>
      <c r="H1183" s="1" t="str">
        <f t="shared" si="3"/>
        <v>Currently Unavailable</v>
      </c>
      <c r="I1183" s="1" t="str">
        <f t="shared" si="4"/>
        <v>No Badges</v>
      </c>
      <c r="J1183" s="3">
        <f t="shared" si="5"/>
        <v>0</v>
      </c>
    </row>
    <row r="1184">
      <c r="A1184" s="1" t="s">
        <v>1019</v>
      </c>
      <c r="B1184" s="3" t="str">
        <f t="shared" si="1"/>
        <v>Unavailable</v>
      </c>
      <c r="C1184" s="3">
        <v>691.0</v>
      </c>
      <c r="D1184" s="3">
        <f>IFERROR(__xludf.DUMMYFUNCTION("IFERROR(
IF(REGEXMATCH(LOWER(O1184),""k""),
VALUE(REGEXEXTRACT(O1184,""[0-9]+""))*1000,
VALUE(REGEXEXTRACT(O1184,""[0-9]+""))
),
0
)"),0.0)</f>
        <v>0</v>
      </c>
      <c r="E1184" s="1" t="s">
        <v>11</v>
      </c>
      <c r="F1184" s="1" t="s">
        <v>20</v>
      </c>
      <c r="G1184" s="4" t="b">
        <f t="shared" si="2"/>
        <v>1</v>
      </c>
      <c r="H1184" s="1" t="str">
        <f t="shared" si="3"/>
        <v>Currently Unavailable</v>
      </c>
      <c r="I1184" s="1" t="str">
        <f t="shared" si="4"/>
        <v>No Badges</v>
      </c>
      <c r="J1184" s="3">
        <f t="shared" si="5"/>
        <v>0</v>
      </c>
    </row>
    <row r="1185">
      <c r="A1185" s="1" t="s">
        <v>1020</v>
      </c>
      <c r="B1185" s="3" t="str">
        <f t="shared" si="1"/>
        <v>Unavailable</v>
      </c>
      <c r="C1185" s="3">
        <v>621.0</v>
      </c>
      <c r="D1185" s="3">
        <f>IFERROR(__xludf.DUMMYFUNCTION("IFERROR(
IF(REGEXMATCH(LOWER(O1185),""k""),
VALUE(REGEXEXTRACT(O1185,""[0-9]+""))*1000,
VALUE(REGEXEXTRACT(O1185,""[0-9]+""))
),
0
)"),0.0)</f>
        <v>0</v>
      </c>
      <c r="E1185" s="1" t="s">
        <v>11</v>
      </c>
      <c r="F1185" s="1" t="s">
        <v>20</v>
      </c>
      <c r="G1185" s="4" t="b">
        <f t="shared" si="2"/>
        <v>1</v>
      </c>
      <c r="H1185" s="1" t="str">
        <f t="shared" si="3"/>
        <v>Currently Unavailable</v>
      </c>
      <c r="I1185" s="1" t="str">
        <f t="shared" si="4"/>
        <v>No Badges</v>
      </c>
      <c r="J1185" s="3">
        <f t="shared" si="5"/>
        <v>0</v>
      </c>
    </row>
    <row r="1186">
      <c r="A1186" s="1" t="s">
        <v>1021</v>
      </c>
      <c r="B1186" s="3" t="str">
        <f t="shared" si="1"/>
        <v>Unavailable</v>
      </c>
      <c r="C1186" s="3">
        <v>661.0</v>
      </c>
      <c r="D1186" s="3">
        <f>IFERROR(__xludf.DUMMYFUNCTION("IFERROR(
IF(REGEXMATCH(LOWER(O1186),""k""),
VALUE(REGEXEXTRACT(O1186,""[0-9]+""))*1000,
VALUE(REGEXEXTRACT(O1186,""[0-9]+""))
),
0
)"),0.0)</f>
        <v>0</v>
      </c>
      <c r="E1186" s="1" t="s">
        <v>11</v>
      </c>
      <c r="F1186" s="1" t="s">
        <v>20</v>
      </c>
      <c r="G1186" s="4" t="b">
        <f t="shared" si="2"/>
        <v>1</v>
      </c>
      <c r="H1186" s="1" t="str">
        <f t="shared" si="3"/>
        <v>Currently Unavailable</v>
      </c>
      <c r="I1186" s="1" t="str">
        <f t="shared" si="4"/>
        <v>No Badges</v>
      </c>
      <c r="J1186" s="3">
        <f t="shared" si="5"/>
        <v>0</v>
      </c>
    </row>
    <row r="1187">
      <c r="A1187" s="1" t="s">
        <v>1022</v>
      </c>
      <c r="B1187" s="3" t="str">
        <f t="shared" si="1"/>
        <v>Unavailable</v>
      </c>
      <c r="C1187" s="5">
        <v>1435.0</v>
      </c>
      <c r="D1187" s="3">
        <f>IFERROR(__xludf.DUMMYFUNCTION("IFERROR(
IF(REGEXMATCH(LOWER(O1187),""k""),
VALUE(REGEXEXTRACT(O1187,""[0-9]+""))*1000,
VALUE(REGEXEXTRACT(O1187,""[0-9]+""))
),
0
)"),0.0)</f>
        <v>0</v>
      </c>
      <c r="E1187" s="1" t="s">
        <v>11</v>
      </c>
      <c r="F1187" s="1" t="s">
        <v>20</v>
      </c>
      <c r="G1187" s="4" t="b">
        <f t="shared" si="2"/>
        <v>1</v>
      </c>
      <c r="H1187" s="1" t="str">
        <f t="shared" si="3"/>
        <v>Currently Unavailable</v>
      </c>
      <c r="I1187" s="1" t="str">
        <f t="shared" si="4"/>
        <v>No Badges</v>
      </c>
      <c r="J1187" s="3">
        <f t="shared" si="5"/>
        <v>0</v>
      </c>
    </row>
    <row r="1188">
      <c r="A1188" s="1" t="s">
        <v>1023</v>
      </c>
      <c r="B1188" s="3" t="str">
        <f t="shared" si="1"/>
        <v>Unavailable</v>
      </c>
      <c r="C1188" s="5">
        <v>10542.0</v>
      </c>
      <c r="D1188" s="3">
        <f>IFERROR(__xludf.DUMMYFUNCTION("IFERROR(
IF(REGEXMATCH(LOWER(O1188),""k""),
VALUE(REGEXEXTRACT(O1188,""[0-9]+""))*1000,
VALUE(REGEXEXTRACT(O1188,""[0-9]+""))
),
0
)"),0.0)</f>
        <v>0</v>
      </c>
      <c r="E1188" s="1" t="s">
        <v>11</v>
      </c>
      <c r="F1188" s="1" t="s">
        <v>20</v>
      </c>
      <c r="G1188" s="4" t="b">
        <f t="shared" si="2"/>
        <v>1</v>
      </c>
      <c r="H1188" s="1" t="str">
        <f t="shared" si="3"/>
        <v>Currently Unavailable</v>
      </c>
      <c r="I1188" s="1" t="str">
        <f t="shared" si="4"/>
        <v>No Badges</v>
      </c>
      <c r="J1188" s="3">
        <f t="shared" si="5"/>
        <v>0</v>
      </c>
    </row>
    <row r="1189">
      <c r="A1189" s="1" t="s">
        <v>1024</v>
      </c>
      <c r="B1189" s="3" t="str">
        <f t="shared" si="1"/>
        <v>Unavailable</v>
      </c>
      <c r="C1189" s="3">
        <v>157.0</v>
      </c>
      <c r="D1189" s="3">
        <f>IFERROR(__xludf.DUMMYFUNCTION("IFERROR(
IF(REGEXMATCH(LOWER(O1189),""k""),
VALUE(REGEXEXTRACT(O1189,""[0-9]+""))*1000,
VALUE(REGEXEXTRACT(O1189,""[0-9]+""))
),
0
)"),0.0)</f>
        <v>0</v>
      </c>
      <c r="E1189" s="1" t="s">
        <v>11</v>
      </c>
      <c r="F1189" s="1" t="s">
        <v>20</v>
      </c>
      <c r="G1189" s="4" t="b">
        <f t="shared" si="2"/>
        <v>1</v>
      </c>
      <c r="H1189" s="1" t="str">
        <f t="shared" si="3"/>
        <v>Currently Unavailable</v>
      </c>
      <c r="I1189" s="1" t="str">
        <f t="shared" si="4"/>
        <v>No Badges</v>
      </c>
      <c r="J1189" s="3">
        <f t="shared" si="5"/>
        <v>0</v>
      </c>
    </row>
    <row r="1190">
      <c r="A1190" s="1" t="s">
        <v>1025</v>
      </c>
      <c r="B1190" s="3" t="str">
        <f t="shared" si="1"/>
        <v>Unavailable</v>
      </c>
      <c r="C1190" s="3">
        <v>463.0</v>
      </c>
      <c r="D1190" s="3">
        <f>IFERROR(__xludf.DUMMYFUNCTION("IFERROR(
IF(REGEXMATCH(LOWER(O1190),""k""),
VALUE(REGEXEXTRACT(O1190,""[0-9]+""))*1000,
VALUE(REGEXEXTRACT(O1190,""[0-9]+""))
),
0
)"),0.0)</f>
        <v>0</v>
      </c>
      <c r="E1190" s="1" t="s">
        <v>11</v>
      </c>
      <c r="F1190" s="1" t="s">
        <v>20</v>
      </c>
      <c r="G1190" s="4" t="b">
        <f t="shared" si="2"/>
        <v>1</v>
      </c>
      <c r="H1190" s="1" t="str">
        <f t="shared" si="3"/>
        <v>Currently Unavailable</v>
      </c>
      <c r="I1190" s="1" t="str">
        <f t="shared" si="4"/>
        <v>No Badges</v>
      </c>
      <c r="J1190" s="3">
        <f t="shared" si="5"/>
        <v>0</v>
      </c>
    </row>
    <row r="1191">
      <c r="A1191" s="1" t="s">
        <v>1026</v>
      </c>
      <c r="B1191" s="3" t="str">
        <f t="shared" si="1"/>
        <v>Unavailable</v>
      </c>
      <c r="C1191" s="3">
        <v>179.0</v>
      </c>
      <c r="D1191" s="3">
        <f>IFERROR(__xludf.DUMMYFUNCTION("IFERROR(
IF(REGEXMATCH(LOWER(O1191),""k""),
VALUE(REGEXEXTRACT(O1191,""[0-9]+""))*1000,
VALUE(REGEXEXTRACT(O1191,""[0-9]+""))
),
0
)"),0.0)</f>
        <v>0</v>
      </c>
      <c r="E1191" s="1" t="s">
        <v>11</v>
      </c>
      <c r="F1191" s="1" t="s">
        <v>20</v>
      </c>
      <c r="G1191" s="4" t="b">
        <f t="shared" si="2"/>
        <v>1</v>
      </c>
      <c r="H1191" s="1" t="str">
        <f t="shared" si="3"/>
        <v>Currently Unavailable</v>
      </c>
      <c r="I1191" s="1" t="str">
        <f t="shared" si="4"/>
        <v>No Badges</v>
      </c>
      <c r="J1191" s="3">
        <f t="shared" si="5"/>
        <v>0</v>
      </c>
    </row>
    <row r="1192">
      <c r="A1192" s="1" t="s">
        <v>1027</v>
      </c>
      <c r="B1192" s="3" t="str">
        <f t="shared" si="1"/>
        <v>Unavailable</v>
      </c>
      <c r="C1192" s="3">
        <v>609.0</v>
      </c>
      <c r="D1192" s="3">
        <f>IFERROR(__xludf.DUMMYFUNCTION("IFERROR(
IF(REGEXMATCH(LOWER(O1192),""k""),
VALUE(REGEXEXTRACT(O1192,""[0-9]+""))*1000,
VALUE(REGEXEXTRACT(O1192,""[0-9]+""))
),
0
)"),0.0)</f>
        <v>0</v>
      </c>
      <c r="E1192" s="1" t="s">
        <v>11</v>
      </c>
      <c r="F1192" s="1" t="s">
        <v>20</v>
      </c>
      <c r="G1192" s="4" t="b">
        <f t="shared" si="2"/>
        <v>1</v>
      </c>
      <c r="H1192" s="1" t="str">
        <f t="shared" si="3"/>
        <v>Currently Unavailable</v>
      </c>
      <c r="I1192" s="1" t="str">
        <f t="shared" si="4"/>
        <v>No Badges</v>
      </c>
      <c r="J1192" s="3">
        <f t="shared" si="5"/>
        <v>0</v>
      </c>
    </row>
    <row r="1193">
      <c r="A1193" s="1" t="s">
        <v>1028</v>
      </c>
      <c r="B1193" s="3" t="str">
        <f t="shared" si="1"/>
        <v>Unavailable</v>
      </c>
      <c r="C1193" s="5">
        <v>2347.0</v>
      </c>
      <c r="D1193" s="3">
        <f>IFERROR(__xludf.DUMMYFUNCTION("IFERROR(
IF(REGEXMATCH(LOWER(O1193),""k""),
VALUE(REGEXEXTRACT(O1193,""[0-9]+""))*1000,
VALUE(REGEXEXTRACT(O1193,""[0-9]+""))
),
0
)"),0.0)</f>
        <v>0</v>
      </c>
      <c r="E1193" s="1" t="s">
        <v>11</v>
      </c>
      <c r="F1193" s="1" t="s">
        <v>20</v>
      </c>
      <c r="G1193" s="4" t="b">
        <f t="shared" si="2"/>
        <v>1</v>
      </c>
      <c r="H1193" s="1" t="str">
        <f t="shared" si="3"/>
        <v>Currently Unavailable</v>
      </c>
      <c r="I1193" s="1" t="str">
        <f t="shared" si="4"/>
        <v>No Badges</v>
      </c>
      <c r="J1193" s="3">
        <f t="shared" si="5"/>
        <v>0</v>
      </c>
    </row>
    <row r="1194">
      <c r="A1194" s="1" t="s">
        <v>1029</v>
      </c>
      <c r="B1194" s="3" t="str">
        <f t="shared" si="1"/>
        <v>Unavailable</v>
      </c>
      <c r="C1194" s="5">
        <v>2718.0</v>
      </c>
      <c r="D1194" s="3">
        <f>IFERROR(__xludf.DUMMYFUNCTION("IFERROR(
IF(REGEXMATCH(LOWER(O1194),""k""),
VALUE(REGEXEXTRACT(O1194,""[0-9]+""))*1000,
VALUE(REGEXEXTRACT(O1194,""[0-9]+""))
),
0
)"),0.0)</f>
        <v>0</v>
      </c>
      <c r="E1194" s="1" t="s">
        <v>11</v>
      </c>
      <c r="F1194" s="1" t="s">
        <v>20</v>
      </c>
      <c r="G1194" s="4" t="b">
        <f t="shared" si="2"/>
        <v>1</v>
      </c>
      <c r="H1194" s="1" t="str">
        <f t="shared" si="3"/>
        <v>Currently Unavailable</v>
      </c>
      <c r="I1194" s="1" t="str">
        <f t="shared" si="4"/>
        <v>No Badges</v>
      </c>
      <c r="J1194" s="3">
        <f t="shared" si="5"/>
        <v>0</v>
      </c>
    </row>
    <row r="1195">
      <c r="A1195" s="1" t="s">
        <v>1030</v>
      </c>
      <c r="B1195" s="3" t="str">
        <f t="shared" si="1"/>
        <v>Unavailable</v>
      </c>
      <c r="C1195" s="3">
        <v>559.0</v>
      </c>
      <c r="D1195" s="3">
        <f>IFERROR(__xludf.DUMMYFUNCTION("IFERROR(
IF(REGEXMATCH(LOWER(O1195),""k""),
VALUE(REGEXEXTRACT(O1195,""[0-9]+""))*1000,
VALUE(REGEXEXTRACT(O1195,""[0-9]+""))
),
0
)"),0.0)</f>
        <v>0</v>
      </c>
      <c r="E1195" s="1" t="s">
        <v>11</v>
      </c>
      <c r="F1195" s="1" t="s">
        <v>20</v>
      </c>
      <c r="G1195" s="4" t="b">
        <f t="shared" si="2"/>
        <v>1</v>
      </c>
      <c r="H1195" s="1" t="str">
        <f t="shared" si="3"/>
        <v>Currently Unavailable</v>
      </c>
      <c r="I1195" s="1" t="str">
        <f t="shared" si="4"/>
        <v>No Badges</v>
      </c>
      <c r="J1195" s="3">
        <f t="shared" si="5"/>
        <v>0</v>
      </c>
    </row>
    <row r="1196">
      <c r="A1196" s="1" t="s">
        <v>1031</v>
      </c>
      <c r="B1196" s="3" t="str">
        <f t="shared" si="1"/>
        <v>Unavailable</v>
      </c>
      <c r="C1196" s="3">
        <v>148.0</v>
      </c>
      <c r="D1196" s="3">
        <f>IFERROR(__xludf.DUMMYFUNCTION("IFERROR(
IF(REGEXMATCH(LOWER(O1196),""k""),
VALUE(REGEXEXTRACT(O1196,""[0-9]+""))*1000,
VALUE(REGEXEXTRACT(O1196,""[0-9]+""))
),
0
)"),0.0)</f>
        <v>0</v>
      </c>
      <c r="E1196" s="1" t="s">
        <v>11</v>
      </c>
      <c r="F1196" s="1" t="s">
        <v>20</v>
      </c>
      <c r="G1196" s="4" t="b">
        <f t="shared" si="2"/>
        <v>1</v>
      </c>
      <c r="H1196" s="1" t="str">
        <f t="shared" si="3"/>
        <v>Currently Unavailable</v>
      </c>
      <c r="I1196" s="1" t="str">
        <f t="shared" si="4"/>
        <v>No Badges</v>
      </c>
      <c r="J1196" s="3">
        <f t="shared" si="5"/>
        <v>0</v>
      </c>
    </row>
    <row r="1197">
      <c r="A1197" s="1" t="s">
        <v>1032</v>
      </c>
      <c r="B1197" s="3" t="str">
        <f t="shared" si="1"/>
        <v>Unavailable</v>
      </c>
      <c r="C1197" s="3">
        <v>72.0</v>
      </c>
      <c r="D1197" s="3">
        <f>IFERROR(__xludf.DUMMYFUNCTION("IFERROR(
IF(REGEXMATCH(LOWER(O1197),""k""),
VALUE(REGEXEXTRACT(O1197,""[0-9]+""))*1000,
VALUE(REGEXEXTRACT(O1197,""[0-9]+""))
),
0
)"),0.0)</f>
        <v>0</v>
      </c>
      <c r="E1197" s="1" t="s">
        <v>11</v>
      </c>
      <c r="F1197" s="1" t="s">
        <v>20</v>
      </c>
      <c r="G1197" s="4" t="b">
        <f t="shared" si="2"/>
        <v>1</v>
      </c>
      <c r="H1197" s="1" t="str">
        <f t="shared" si="3"/>
        <v>Currently Unavailable</v>
      </c>
      <c r="I1197" s="1" t="str">
        <f t="shared" si="4"/>
        <v>No Badges</v>
      </c>
      <c r="J1197" s="3">
        <f t="shared" si="5"/>
        <v>0</v>
      </c>
    </row>
    <row r="1198">
      <c r="A1198" s="1" t="s">
        <v>701</v>
      </c>
      <c r="B1198" s="3" t="str">
        <f t="shared" si="1"/>
        <v>Unavailable</v>
      </c>
      <c r="C1198" s="3">
        <v>8.0</v>
      </c>
      <c r="D1198" s="3">
        <f>IFERROR(__xludf.DUMMYFUNCTION("IFERROR(
IF(REGEXMATCH(LOWER(O1198),""k""),
VALUE(REGEXEXTRACT(O1198,""[0-9]+""))*1000,
VALUE(REGEXEXTRACT(O1198,""[0-9]+""))
),
0
)"),0.0)</f>
        <v>0</v>
      </c>
      <c r="E1198" s="1" t="s">
        <v>11</v>
      </c>
      <c r="F1198" s="1" t="s">
        <v>12</v>
      </c>
      <c r="G1198" s="4" t="b">
        <f t="shared" si="2"/>
        <v>1</v>
      </c>
      <c r="H1198" s="1" t="str">
        <f t="shared" si="3"/>
        <v>Currently Unavailable</v>
      </c>
      <c r="I1198" s="1" t="str">
        <f t="shared" si="4"/>
        <v>No Badges</v>
      </c>
      <c r="J1198" s="3">
        <f t="shared" si="5"/>
        <v>0</v>
      </c>
    </row>
    <row r="1199">
      <c r="A1199" s="1" t="s">
        <v>1033</v>
      </c>
      <c r="B1199" s="3" t="str">
        <f t="shared" si="1"/>
        <v>Unavailable</v>
      </c>
      <c r="C1199" s="3">
        <v>437.0</v>
      </c>
      <c r="D1199" s="3">
        <f>IFERROR(__xludf.DUMMYFUNCTION("IFERROR(
IF(REGEXMATCH(LOWER(O1199),""k""),
VALUE(REGEXEXTRACT(O1199,""[0-9]+""))*1000,
VALUE(REGEXEXTRACT(O1199,""[0-9]+""))
),
0
)"),0.0)</f>
        <v>0</v>
      </c>
      <c r="E1199" s="1" t="s">
        <v>11</v>
      </c>
      <c r="F1199" s="1" t="s">
        <v>20</v>
      </c>
      <c r="G1199" s="4" t="b">
        <f t="shared" si="2"/>
        <v>1</v>
      </c>
      <c r="H1199" s="1" t="str">
        <f t="shared" si="3"/>
        <v>Currently Unavailable</v>
      </c>
      <c r="I1199" s="1" t="str">
        <f t="shared" si="4"/>
        <v>No Badges</v>
      </c>
      <c r="J1199" s="3">
        <f t="shared" si="5"/>
        <v>0</v>
      </c>
    </row>
    <row r="1200">
      <c r="A1200" s="1" t="s">
        <v>1034</v>
      </c>
      <c r="B1200" s="3" t="str">
        <f t="shared" si="1"/>
        <v>Unavailable</v>
      </c>
      <c r="C1200" s="3">
        <v>201.0</v>
      </c>
      <c r="D1200" s="3">
        <f>IFERROR(__xludf.DUMMYFUNCTION("IFERROR(
IF(REGEXMATCH(LOWER(O1200),""k""),
VALUE(REGEXEXTRACT(O1200,""[0-9]+""))*1000,
VALUE(REGEXEXTRACT(O1200,""[0-9]+""))
),
0
)"),0.0)</f>
        <v>0</v>
      </c>
      <c r="E1200" s="1" t="s">
        <v>11</v>
      </c>
      <c r="F1200" s="1" t="s">
        <v>20</v>
      </c>
      <c r="G1200" s="4" t="b">
        <f t="shared" si="2"/>
        <v>1</v>
      </c>
      <c r="H1200" s="1" t="str">
        <f t="shared" si="3"/>
        <v>Currently Unavailable</v>
      </c>
      <c r="I1200" s="1" t="str">
        <f t="shared" si="4"/>
        <v>No Badges</v>
      </c>
      <c r="J1200" s="3">
        <f t="shared" si="5"/>
        <v>0</v>
      </c>
    </row>
    <row r="1201">
      <c r="A1201" s="1" t="s">
        <v>1035</v>
      </c>
      <c r="B1201" s="3" t="str">
        <f t="shared" si="1"/>
        <v>Unavailable</v>
      </c>
      <c r="C1201" s="5">
        <v>1072.0</v>
      </c>
      <c r="D1201" s="3">
        <f>IFERROR(__xludf.DUMMYFUNCTION("IFERROR(
IF(REGEXMATCH(LOWER(O1201),""k""),
VALUE(REGEXEXTRACT(O1201,""[0-9]+""))*1000,
VALUE(REGEXEXTRACT(O1201,""[0-9]+""))
),
0
)"),0.0)</f>
        <v>0</v>
      </c>
      <c r="E1201" s="1" t="s">
        <v>11</v>
      </c>
      <c r="F1201" s="1" t="s">
        <v>20</v>
      </c>
      <c r="G1201" s="4" t="b">
        <f t="shared" si="2"/>
        <v>1</v>
      </c>
      <c r="H1201" s="1" t="str">
        <f t="shared" si="3"/>
        <v>Currently Unavailable</v>
      </c>
      <c r="I1201" s="1" t="str">
        <f t="shared" si="4"/>
        <v>No Badges</v>
      </c>
      <c r="J1201" s="3">
        <f t="shared" si="5"/>
        <v>0</v>
      </c>
    </row>
    <row r="1202">
      <c r="A1202" s="1" t="s">
        <v>884</v>
      </c>
      <c r="B1202" s="3" t="str">
        <f t="shared" si="1"/>
        <v>Unavailable</v>
      </c>
      <c r="C1202" s="3">
        <v>944.0</v>
      </c>
      <c r="D1202" s="3">
        <f>IFERROR(__xludf.DUMMYFUNCTION("IFERROR(
IF(REGEXMATCH(LOWER(O1202),""k""),
VALUE(REGEXEXTRACT(O1202,""[0-9]+""))*1000,
VALUE(REGEXEXTRACT(O1202,""[0-9]+""))
),
0
)"),0.0)</f>
        <v>0</v>
      </c>
      <c r="E1202" s="1" t="s">
        <v>11</v>
      </c>
      <c r="F1202" s="1" t="s">
        <v>20</v>
      </c>
      <c r="G1202" s="4" t="b">
        <f t="shared" si="2"/>
        <v>1</v>
      </c>
      <c r="H1202" s="1" t="str">
        <f t="shared" si="3"/>
        <v>Currently Unavailable</v>
      </c>
      <c r="I1202" s="1" t="str">
        <f t="shared" si="4"/>
        <v>No Badges</v>
      </c>
      <c r="J1202" s="3">
        <f t="shared" si="5"/>
        <v>0</v>
      </c>
    </row>
    <row r="1203">
      <c r="A1203" s="1" t="s">
        <v>1036</v>
      </c>
      <c r="B1203" s="3" t="str">
        <f t="shared" si="1"/>
        <v>Unavailable</v>
      </c>
      <c r="C1203" s="3">
        <v>629.0</v>
      </c>
      <c r="D1203" s="3">
        <f>IFERROR(__xludf.DUMMYFUNCTION("IFERROR(
IF(REGEXMATCH(LOWER(O1203),""k""),
VALUE(REGEXEXTRACT(O1203,""[0-9]+""))*1000,
VALUE(REGEXEXTRACT(O1203,""[0-9]+""))
),
0
)"),0.0)</f>
        <v>0</v>
      </c>
      <c r="E1203" s="1" t="s">
        <v>11</v>
      </c>
      <c r="F1203" s="1" t="s">
        <v>20</v>
      </c>
      <c r="G1203" s="4" t="b">
        <f t="shared" si="2"/>
        <v>1</v>
      </c>
      <c r="H1203" s="1" t="str">
        <f t="shared" si="3"/>
        <v>Currently Unavailable</v>
      </c>
      <c r="I1203" s="1" t="str">
        <f t="shared" si="4"/>
        <v>No Badges</v>
      </c>
      <c r="J1203" s="3">
        <f t="shared" si="5"/>
        <v>0</v>
      </c>
    </row>
    <row r="1204">
      <c r="A1204" s="1" t="s">
        <v>885</v>
      </c>
      <c r="B1204" s="3" t="str">
        <f t="shared" si="1"/>
        <v>Unavailable</v>
      </c>
      <c r="C1204" s="3">
        <v>160.0</v>
      </c>
      <c r="D1204" s="3">
        <f>IFERROR(__xludf.DUMMYFUNCTION("IFERROR(
IF(REGEXMATCH(LOWER(O1204),""k""),
VALUE(REGEXEXTRACT(O1204,""[0-9]+""))*1000,
VALUE(REGEXEXTRACT(O1204,""[0-9]+""))
),
0
)"),0.0)</f>
        <v>0</v>
      </c>
      <c r="E1204" s="1" t="s">
        <v>11</v>
      </c>
      <c r="F1204" s="1" t="s">
        <v>20</v>
      </c>
      <c r="G1204" s="4" t="b">
        <f t="shared" si="2"/>
        <v>1</v>
      </c>
      <c r="H1204" s="1" t="str">
        <f t="shared" si="3"/>
        <v>Currently Unavailable</v>
      </c>
      <c r="I1204" s="1" t="str">
        <f t="shared" si="4"/>
        <v>No Badges</v>
      </c>
      <c r="J1204" s="3">
        <f t="shared" si="5"/>
        <v>0</v>
      </c>
    </row>
    <row r="1205">
      <c r="A1205" s="1" t="s">
        <v>886</v>
      </c>
      <c r="B1205" s="3" t="str">
        <f t="shared" si="1"/>
        <v>Unavailable</v>
      </c>
      <c r="C1205" s="3">
        <v>18.0</v>
      </c>
      <c r="D1205" s="3">
        <f>IFERROR(__xludf.DUMMYFUNCTION("IFERROR(
IF(REGEXMATCH(LOWER(O1205),""k""),
VALUE(REGEXEXTRACT(O1205,""[0-9]+""))*1000,
VALUE(REGEXEXTRACT(O1205,""[0-9]+""))
),
0
)"),0.0)</f>
        <v>0</v>
      </c>
      <c r="E1205" s="1" t="s">
        <v>11</v>
      </c>
      <c r="F1205" s="1" t="s">
        <v>20</v>
      </c>
      <c r="G1205" s="4" t="b">
        <f t="shared" si="2"/>
        <v>1</v>
      </c>
      <c r="H1205" s="1" t="str">
        <f t="shared" si="3"/>
        <v>Currently Unavailable</v>
      </c>
      <c r="I1205" s="1" t="str">
        <f t="shared" si="4"/>
        <v>No Badges</v>
      </c>
      <c r="J1205" s="3">
        <f t="shared" si="5"/>
        <v>0</v>
      </c>
    </row>
    <row r="1206">
      <c r="A1206" s="1" t="s">
        <v>887</v>
      </c>
      <c r="B1206" s="3" t="str">
        <f t="shared" si="1"/>
        <v>Unavailable</v>
      </c>
      <c r="C1206" s="3">
        <v>89.0</v>
      </c>
      <c r="D1206" s="3">
        <f>IFERROR(__xludf.DUMMYFUNCTION("IFERROR(
IF(REGEXMATCH(LOWER(O1206),""k""),
VALUE(REGEXEXTRACT(O1206,""[0-9]+""))*1000,
VALUE(REGEXEXTRACT(O1206,""[0-9]+""))
),
0
)"),0.0)</f>
        <v>0</v>
      </c>
      <c r="E1206" s="1" t="s">
        <v>11</v>
      </c>
      <c r="F1206" s="1" t="s">
        <v>20</v>
      </c>
      <c r="G1206" s="4" t="b">
        <f t="shared" si="2"/>
        <v>1</v>
      </c>
      <c r="H1206" s="1" t="str">
        <f t="shared" si="3"/>
        <v>Currently Unavailable</v>
      </c>
      <c r="I1206" s="1" t="str">
        <f t="shared" si="4"/>
        <v>No Badges</v>
      </c>
      <c r="J1206" s="3">
        <f t="shared" si="5"/>
        <v>0</v>
      </c>
    </row>
    <row r="1207">
      <c r="A1207" s="1" t="s">
        <v>888</v>
      </c>
      <c r="B1207" s="3" t="str">
        <f t="shared" si="1"/>
        <v>Unavailable</v>
      </c>
      <c r="C1207" s="5">
        <v>11914.0</v>
      </c>
      <c r="D1207" s="3">
        <f>IFERROR(__xludf.DUMMYFUNCTION("IFERROR(
IF(REGEXMATCH(LOWER(O1207),""k""),
VALUE(REGEXEXTRACT(O1207,""[0-9]+""))*1000,
VALUE(REGEXEXTRACT(O1207,""[0-9]+""))
),
0
)"),0.0)</f>
        <v>0</v>
      </c>
      <c r="E1207" s="1" t="s">
        <v>11</v>
      </c>
      <c r="F1207" s="1" t="s">
        <v>20</v>
      </c>
      <c r="G1207" s="4" t="b">
        <f t="shared" si="2"/>
        <v>1</v>
      </c>
      <c r="H1207" s="1" t="str">
        <f t="shared" si="3"/>
        <v>Currently Unavailable</v>
      </c>
      <c r="I1207" s="1" t="str">
        <f t="shared" si="4"/>
        <v>No Badges</v>
      </c>
      <c r="J1207" s="3">
        <f t="shared" si="5"/>
        <v>0</v>
      </c>
    </row>
    <row r="1208">
      <c r="A1208" s="1" t="s">
        <v>889</v>
      </c>
      <c r="B1208" s="3" t="str">
        <f t="shared" si="1"/>
        <v>Unavailable</v>
      </c>
      <c r="C1208" s="3">
        <v>88.0</v>
      </c>
      <c r="D1208" s="3">
        <f>IFERROR(__xludf.DUMMYFUNCTION("IFERROR(
IF(REGEXMATCH(LOWER(O1208),""k""),
VALUE(REGEXEXTRACT(O1208,""[0-9]+""))*1000,
VALUE(REGEXEXTRACT(O1208,""[0-9]+""))
),
0
)"),0.0)</f>
        <v>0</v>
      </c>
      <c r="E1208" s="1" t="s">
        <v>11</v>
      </c>
      <c r="F1208" s="1" t="s">
        <v>20</v>
      </c>
      <c r="G1208" s="4" t="b">
        <f t="shared" si="2"/>
        <v>1</v>
      </c>
      <c r="H1208" s="1" t="str">
        <f t="shared" si="3"/>
        <v>Currently Unavailable</v>
      </c>
      <c r="I1208" s="1" t="str">
        <f t="shared" si="4"/>
        <v>No Badges</v>
      </c>
      <c r="J1208" s="3">
        <f t="shared" si="5"/>
        <v>0</v>
      </c>
    </row>
    <row r="1209">
      <c r="A1209" s="1" t="s">
        <v>890</v>
      </c>
      <c r="B1209" s="3" t="str">
        <f t="shared" si="1"/>
        <v>Unavailable</v>
      </c>
      <c r="C1209" s="3">
        <v>1.0</v>
      </c>
      <c r="D1209" s="3">
        <f>IFERROR(__xludf.DUMMYFUNCTION("IFERROR(
IF(REGEXMATCH(LOWER(O1209),""k""),
VALUE(REGEXEXTRACT(O1209,""[0-9]+""))*1000,
VALUE(REGEXEXTRACT(O1209,""[0-9]+""))
),
0
)"),0.0)</f>
        <v>0</v>
      </c>
      <c r="E1209" s="1" t="s">
        <v>11</v>
      </c>
      <c r="F1209" s="1" t="s">
        <v>20</v>
      </c>
      <c r="G1209" s="4" t="b">
        <f t="shared" si="2"/>
        <v>1</v>
      </c>
      <c r="H1209" s="1" t="str">
        <f t="shared" si="3"/>
        <v>Currently Unavailable</v>
      </c>
      <c r="I1209" s="1" t="str">
        <f t="shared" si="4"/>
        <v>No Badges</v>
      </c>
      <c r="J1209" s="3">
        <f t="shared" si="5"/>
        <v>0</v>
      </c>
    </row>
    <row r="1210">
      <c r="A1210" s="1" t="s">
        <v>1037</v>
      </c>
      <c r="B1210" s="3" t="str">
        <f t="shared" si="1"/>
        <v>Unavailable</v>
      </c>
      <c r="C1210" s="3">
        <v>224.0</v>
      </c>
      <c r="D1210" s="3">
        <f>IFERROR(__xludf.DUMMYFUNCTION("IFERROR(
IF(REGEXMATCH(LOWER(O1210),""k""),
VALUE(REGEXEXTRACT(O1210,""[0-9]+""))*1000,
VALUE(REGEXEXTRACT(O1210,""[0-9]+""))
),
0
)"),0.0)</f>
        <v>0</v>
      </c>
      <c r="E1210" s="1" t="s">
        <v>11</v>
      </c>
      <c r="F1210" s="1" t="s">
        <v>20</v>
      </c>
      <c r="G1210" s="4" t="b">
        <f t="shared" si="2"/>
        <v>1</v>
      </c>
      <c r="H1210" s="1" t="str">
        <f t="shared" si="3"/>
        <v>Currently Unavailable</v>
      </c>
      <c r="I1210" s="1" t="str">
        <f t="shared" si="4"/>
        <v>No Badges</v>
      </c>
      <c r="J1210" s="3">
        <f t="shared" si="5"/>
        <v>0</v>
      </c>
    </row>
    <row r="1211">
      <c r="A1211" s="1" t="s">
        <v>891</v>
      </c>
      <c r="B1211" s="3" t="str">
        <f t="shared" si="1"/>
        <v>Unavailable</v>
      </c>
      <c r="C1211" s="3">
        <v>169.0</v>
      </c>
      <c r="D1211" s="3">
        <f>IFERROR(__xludf.DUMMYFUNCTION("IFERROR(
IF(REGEXMATCH(LOWER(O1211),""k""),
VALUE(REGEXEXTRACT(O1211,""[0-9]+""))*1000,
VALUE(REGEXEXTRACT(O1211,""[0-9]+""))
),
0
)"),0.0)</f>
        <v>0</v>
      </c>
      <c r="E1211" s="1" t="s">
        <v>11</v>
      </c>
      <c r="F1211" s="1" t="s">
        <v>20</v>
      </c>
      <c r="G1211" s="4" t="b">
        <f t="shared" si="2"/>
        <v>1</v>
      </c>
      <c r="H1211" s="1" t="str">
        <f t="shared" si="3"/>
        <v>Currently Unavailable</v>
      </c>
      <c r="I1211" s="1" t="str">
        <f t="shared" si="4"/>
        <v>No Badges</v>
      </c>
      <c r="J1211" s="3">
        <f t="shared" si="5"/>
        <v>0</v>
      </c>
    </row>
    <row r="1212">
      <c r="A1212" s="1" t="s">
        <v>892</v>
      </c>
      <c r="B1212" s="3" t="str">
        <f t="shared" si="1"/>
        <v>Unavailable</v>
      </c>
      <c r="C1212" s="3">
        <v>278.0</v>
      </c>
      <c r="D1212" s="3">
        <f>IFERROR(__xludf.DUMMYFUNCTION("IFERROR(
IF(REGEXMATCH(LOWER(O1212),""k""),
VALUE(REGEXEXTRACT(O1212,""[0-9]+""))*1000,
VALUE(REGEXEXTRACT(O1212,""[0-9]+""))
),
0
)"),0.0)</f>
        <v>0</v>
      </c>
      <c r="E1212" s="1" t="s">
        <v>11</v>
      </c>
      <c r="F1212" s="1" t="s">
        <v>20</v>
      </c>
      <c r="G1212" s="4" t="b">
        <f t="shared" si="2"/>
        <v>1</v>
      </c>
      <c r="H1212" s="1" t="str">
        <f t="shared" si="3"/>
        <v>Currently Unavailable</v>
      </c>
      <c r="I1212" s="1" t="str">
        <f t="shared" si="4"/>
        <v>No Badges</v>
      </c>
      <c r="J1212" s="3">
        <f t="shared" si="5"/>
        <v>0</v>
      </c>
    </row>
    <row r="1213">
      <c r="A1213" s="1" t="s">
        <v>1038</v>
      </c>
      <c r="B1213" s="3" t="str">
        <f t="shared" si="1"/>
        <v>Unavailable</v>
      </c>
      <c r="C1213" s="5">
        <v>2800.0</v>
      </c>
      <c r="D1213" s="3">
        <f>IFERROR(__xludf.DUMMYFUNCTION("IFERROR(
IF(REGEXMATCH(LOWER(O1213),""k""),
VALUE(REGEXEXTRACT(O1213,""[0-9]+""))*1000,
VALUE(REGEXEXTRACT(O1213,""[0-9]+""))
),
0
)"),0.0)</f>
        <v>0</v>
      </c>
      <c r="E1213" s="1" t="s">
        <v>11</v>
      </c>
      <c r="F1213" s="1" t="s">
        <v>20</v>
      </c>
      <c r="G1213" s="4" t="b">
        <f t="shared" si="2"/>
        <v>1</v>
      </c>
      <c r="H1213" s="1" t="str">
        <f t="shared" si="3"/>
        <v>Currently Unavailable</v>
      </c>
      <c r="I1213" s="1" t="str">
        <f t="shared" si="4"/>
        <v>No Badges</v>
      </c>
      <c r="J1213" s="3">
        <f t="shared" si="5"/>
        <v>0</v>
      </c>
    </row>
    <row r="1214">
      <c r="A1214" s="1" t="s">
        <v>1039</v>
      </c>
      <c r="B1214" s="3" t="str">
        <f t="shared" si="1"/>
        <v>Unavailable</v>
      </c>
      <c r="C1214" s="3">
        <v>136.0</v>
      </c>
      <c r="D1214" s="3">
        <f>IFERROR(__xludf.DUMMYFUNCTION("IFERROR(
IF(REGEXMATCH(LOWER(O1214),""k""),
VALUE(REGEXEXTRACT(O1214,""[0-9]+""))*1000,
VALUE(REGEXEXTRACT(O1214,""[0-9]+""))
),
0
)"),0.0)</f>
        <v>0</v>
      </c>
      <c r="E1214" s="1" t="s">
        <v>11</v>
      </c>
      <c r="F1214" s="1" t="s">
        <v>20</v>
      </c>
      <c r="G1214" s="4" t="b">
        <f t="shared" si="2"/>
        <v>1</v>
      </c>
      <c r="H1214" s="1" t="str">
        <f t="shared" si="3"/>
        <v>Currently Unavailable</v>
      </c>
      <c r="I1214" s="1" t="str">
        <f t="shared" si="4"/>
        <v>No Badges</v>
      </c>
      <c r="J1214" s="3">
        <f t="shared" si="5"/>
        <v>0</v>
      </c>
    </row>
    <row r="1215">
      <c r="A1215" s="1" t="s">
        <v>893</v>
      </c>
      <c r="B1215" s="3" t="str">
        <f t="shared" si="1"/>
        <v>Unavailable</v>
      </c>
      <c r="C1215" s="3">
        <v>127.0</v>
      </c>
      <c r="D1215" s="3">
        <f>IFERROR(__xludf.DUMMYFUNCTION("IFERROR(
IF(REGEXMATCH(LOWER(O1215),""k""),
VALUE(REGEXEXTRACT(O1215,""[0-9]+""))*1000,
VALUE(REGEXEXTRACT(O1215,""[0-9]+""))
),
0
)"),0.0)</f>
        <v>0</v>
      </c>
      <c r="E1215" s="1" t="s">
        <v>11</v>
      </c>
      <c r="F1215" s="1" t="s">
        <v>20</v>
      </c>
      <c r="G1215" s="4" t="b">
        <f t="shared" si="2"/>
        <v>1</v>
      </c>
      <c r="H1215" s="1" t="str">
        <f t="shared" si="3"/>
        <v>Currently Unavailable</v>
      </c>
      <c r="I1215" s="1" t="str">
        <f t="shared" si="4"/>
        <v>No Badges</v>
      </c>
      <c r="J1215" s="3">
        <f t="shared" si="5"/>
        <v>0</v>
      </c>
    </row>
    <row r="1216">
      <c r="A1216" s="1" t="s">
        <v>894</v>
      </c>
      <c r="B1216" s="3" t="str">
        <f t="shared" si="1"/>
        <v>Unavailable</v>
      </c>
      <c r="C1216" s="5">
        <v>1847.0</v>
      </c>
      <c r="D1216" s="3">
        <f>IFERROR(__xludf.DUMMYFUNCTION("IFERROR(
IF(REGEXMATCH(LOWER(O1216),""k""),
VALUE(REGEXEXTRACT(O1216,""[0-9]+""))*1000,
VALUE(REGEXEXTRACT(O1216,""[0-9]+""))
),
0
)"),0.0)</f>
        <v>0</v>
      </c>
      <c r="E1216" s="1" t="s">
        <v>11</v>
      </c>
      <c r="F1216" s="1" t="s">
        <v>20</v>
      </c>
      <c r="G1216" s="4" t="b">
        <f t="shared" si="2"/>
        <v>1</v>
      </c>
      <c r="H1216" s="1" t="str">
        <f t="shared" si="3"/>
        <v>Currently Unavailable</v>
      </c>
      <c r="I1216" s="1" t="str">
        <f t="shared" si="4"/>
        <v>No Badges</v>
      </c>
      <c r="J1216" s="3">
        <f t="shared" si="5"/>
        <v>0</v>
      </c>
    </row>
    <row r="1217">
      <c r="A1217" s="1" t="s">
        <v>895</v>
      </c>
      <c r="B1217" s="3" t="str">
        <f t="shared" si="1"/>
        <v>Unavailable</v>
      </c>
      <c r="C1217" s="3">
        <v>102.0</v>
      </c>
      <c r="D1217" s="3">
        <f>IFERROR(__xludf.DUMMYFUNCTION("IFERROR(
IF(REGEXMATCH(LOWER(O1217),""k""),
VALUE(REGEXEXTRACT(O1217,""[0-9]+""))*1000,
VALUE(REGEXEXTRACT(O1217,""[0-9]+""))
),
0
)"),0.0)</f>
        <v>0</v>
      </c>
      <c r="E1217" s="1" t="s">
        <v>11</v>
      </c>
      <c r="F1217" s="1" t="s">
        <v>20</v>
      </c>
      <c r="G1217" s="4" t="b">
        <f t="shared" si="2"/>
        <v>1</v>
      </c>
      <c r="H1217" s="1" t="str">
        <f t="shared" si="3"/>
        <v>Currently Unavailable</v>
      </c>
      <c r="I1217" s="1" t="str">
        <f t="shared" si="4"/>
        <v>No Badges</v>
      </c>
      <c r="J1217" s="3">
        <f t="shared" si="5"/>
        <v>0</v>
      </c>
    </row>
    <row r="1218">
      <c r="A1218" s="1" t="s">
        <v>896</v>
      </c>
      <c r="B1218" s="3" t="str">
        <f t="shared" si="1"/>
        <v>Unavailable</v>
      </c>
      <c r="C1218" s="5">
        <v>2022.0</v>
      </c>
      <c r="D1218" s="3">
        <f>IFERROR(__xludf.DUMMYFUNCTION("IFERROR(
IF(REGEXMATCH(LOWER(O1218),""k""),
VALUE(REGEXEXTRACT(O1218,""[0-9]+""))*1000,
VALUE(REGEXEXTRACT(O1218,""[0-9]+""))
),
0
)"),0.0)</f>
        <v>0</v>
      </c>
      <c r="E1218" s="1" t="s">
        <v>11</v>
      </c>
      <c r="F1218" s="1" t="s">
        <v>20</v>
      </c>
      <c r="G1218" s="4" t="b">
        <f t="shared" si="2"/>
        <v>1</v>
      </c>
      <c r="H1218" s="1" t="str">
        <f t="shared" si="3"/>
        <v>Currently Unavailable</v>
      </c>
      <c r="I1218" s="1" t="str">
        <f t="shared" si="4"/>
        <v>No Badges</v>
      </c>
      <c r="J1218" s="3">
        <f t="shared" si="5"/>
        <v>0</v>
      </c>
    </row>
    <row r="1219">
      <c r="A1219" s="1" t="s">
        <v>1040</v>
      </c>
      <c r="B1219" s="3" t="str">
        <f t="shared" si="1"/>
        <v>Unavailable</v>
      </c>
      <c r="C1219" s="3">
        <v>9.0</v>
      </c>
      <c r="D1219" s="3">
        <f>IFERROR(__xludf.DUMMYFUNCTION("IFERROR(
IF(REGEXMATCH(LOWER(O1219),""k""),
VALUE(REGEXEXTRACT(O1219,""[0-9]+""))*1000,
VALUE(REGEXEXTRACT(O1219,""[0-9]+""))
),
0
)"),0.0)</f>
        <v>0</v>
      </c>
      <c r="E1219" s="1" t="s">
        <v>11</v>
      </c>
      <c r="F1219" s="1" t="s">
        <v>20</v>
      </c>
      <c r="G1219" s="4" t="b">
        <f t="shared" si="2"/>
        <v>1</v>
      </c>
      <c r="H1219" s="1" t="str">
        <f t="shared" si="3"/>
        <v>Currently Unavailable</v>
      </c>
      <c r="I1219" s="1" t="str">
        <f t="shared" si="4"/>
        <v>No Badges</v>
      </c>
      <c r="J1219" s="3">
        <f t="shared" si="5"/>
        <v>0</v>
      </c>
    </row>
    <row r="1220">
      <c r="A1220" s="1" t="s">
        <v>1041</v>
      </c>
      <c r="B1220" s="3" t="str">
        <f t="shared" si="1"/>
        <v>Unavailable</v>
      </c>
      <c r="C1220" s="3">
        <v>676.0</v>
      </c>
      <c r="D1220" s="3">
        <f>IFERROR(__xludf.DUMMYFUNCTION("IFERROR(
IF(REGEXMATCH(LOWER(O1220),""k""),
VALUE(REGEXEXTRACT(O1220,""[0-9]+""))*1000,
VALUE(REGEXEXTRACT(O1220,""[0-9]+""))
),
0
)"),0.0)</f>
        <v>0</v>
      </c>
      <c r="E1220" s="1" t="s">
        <v>11</v>
      </c>
      <c r="F1220" s="1" t="s">
        <v>20</v>
      </c>
      <c r="G1220" s="4" t="b">
        <f t="shared" si="2"/>
        <v>1</v>
      </c>
      <c r="H1220" s="1" t="str">
        <f t="shared" si="3"/>
        <v>Currently Unavailable</v>
      </c>
      <c r="I1220" s="1" t="str">
        <f t="shared" si="4"/>
        <v>No Badges</v>
      </c>
      <c r="J1220" s="3">
        <f t="shared" si="5"/>
        <v>0</v>
      </c>
    </row>
    <row r="1221">
      <c r="A1221" s="1" t="s">
        <v>1042</v>
      </c>
      <c r="B1221" s="3" t="str">
        <f t="shared" si="1"/>
        <v>Unavailable</v>
      </c>
      <c r="C1221" s="5">
        <v>2186.0</v>
      </c>
      <c r="D1221" s="3">
        <f>IFERROR(__xludf.DUMMYFUNCTION("IFERROR(
IF(REGEXMATCH(LOWER(O1221),""k""),
VALUE(REGEXEXTRACT(O1221,""[0-9]+""))*1000,
VALUE(REGEXEXTRACT(O1221,""[0-9]+""))
),
0
)"),0.0)</f>
        <v>0</v>
      </c>
      <c r="E1221" s="1" t="s">
        <v>158</v>
      </c>
      <c r="F1221" s="1" t="s">
        <v>20</v>
      </c>
      <c r="G1221" s="4" t="b">
        <f t="shared" si="2"/>
        <v>1</v>
      </c>
      <c r="H1221" s="1" t="str">
        <f t="shared" si="3"/>
        <v>Currently Unavailable</v>
      </c>
      <c r="I1221" s="1" t="str">
        <f t="shared" si="4"/>
        <v>No Badges</v>
      </c>
      <c r="J1221" s="3">
        <f t="shared" si="5"/>
        <v>0</v>
      </c>
    </row>
    <row r="1222">
      <c r="A1222" s="1" t="s">
        <v>1043</v>
      </c>
      <c r="B1222" s="3" t="str">
        <f t="shared" si="1"/>
        <v>Unavailable</v>
      </c>
      <c r="C1222" s="3">
        <v>443.0</v>
      </c>
      <c r="D1222" s="3">
        <f>IFERROR(__xludf.DUMMYFUNCTION("IFERROR(
IF(REGEXMATCH(LOWER(O1222),""k""),
VALUE(REGEXEXTRACT(O1222,""[0-9]+""))*1000,
VALUE(REGEXEXTRACT(O1222,""[0-9]+""))
),
0
)"),0.0)</f>
        <v>0</v>
      </c>
      <c r="E1222" s="1" t="s">
        <v>11</v>
      </c>
      <c r="F1222" s="1" t="s">
        <v>20</v>
      </c>
      <c r="G1222" s="4" t="b">
        <f t="shared" si="2"/>
        <v>1</v>
      </c>
      <c r="H1222" s="1" t="str">
        <f t="shared" si="3"/>
        <v>Currently Unavailable</v>
      </c>
      <c r="I1222" s="1" t="str">
        <f t="shared" si="4"/>
        <v>No Badges</v>
      </c>
      <c r="J1222" s="3">
        <f t="shared" si="5"/>
        <v>0</v>
      </c>
    </row>
    <row r="1223">
      <c r="A1223" s="1" t="s">
        <v>1044</v>
      </c>
      <c r="B1223" s="3" t="str">
        <f t="shared" si="1"/>
        <v>Unavailable</v>
      </c>
      <c r="C1223" s="3">
        <v>91.0</v>
      </c>
      <c r="D1223" s="3">
        <f>IFERROR(__xludf.DUMMYFUNCTION("IFERROR(
IF(REGEXMATCH(LOWER(O1223),""k""),
VALUE(REGEXEXTRACT(O1223,""[0-9]+""))*1000,
VALUE(REGEXEXTRACT(O1223,""[0-9]+""))
),
0
)"),0.0)</f>
        <v>0</v>
      </c>
      <c r="E1223" s="1" t="s">
        <v>11</v>
      </c>
      <c r="F1223" s="1" t="s">
        <v>20</v>
      </c>
      <c r="G1223" s="4" t="b">
        <f t="shared" si="2"/>
        <v>1</v>
      </c>
      <c r="H1223" s="1" t="str">
        <f t="shared" si="3"/>
        <v>Currently Unavailable</v>
      </c>
      <c r="I1223" s="1" t="str">
        <f t="shared" si="4"/>
        <v>No Badges</v>
      </c>
      <c r="J1223" s="3">
        <f t="shared" si="5"/>
        <v>0</v>
      </c>
    </row>
    <row r="1224">
      <c r="A1224" s="1" t="s">
        <v>1045</v>
      </c>
      <c r="B1224" s="3" t="str">
        <f t="shared" si="1"/>
        <v>Unavailable</v>
      </c>
      <c r="C1224" s="5">
        <v>1182.0</v>
      </c>
      <c r="D1224" s="3">
        <f>IFERROR(__xludf.DUMMYFUNCTION("IFERROR(
IF(REGEXMATCH(LOWER(O1224),""k""),
VALUE(REGEXEXTRACT(O1224,""[0-9]+""))*1000,
VALUE(REGEXEXTRACT(O1224,""[0-9]+""))
),
0
)"),0.0)</f>
        <v>0</v>
      </c>
      <c r="E1224" s="1" t="s">
        <v>11</v>
      </c>
      <c r="F1224" s="1" t="s">
        <v>20</v>
      </c>
      <c r="G1224" s="4" t="b">
        <f t="shared" si="2"/>
        <v>1</v>
      </c>
      <c r="H1224" s="1" t="str">
        <f t="shared" si="3"/>
        <v>Currently Unavailable</v>
      </c>
      <c r="I1224" s="1" t="str">
        <f t="shared" si="4"/>
        <v>No Badges</v>
      </c>
      <c r="J1224" s="3">
        <f t="shared" si="5"/>
        <v>0</v>
      </c>
    </row>
    <row r="1225">
      <c r="A1225" s="1" t="s">
        <v>1046</v>
      </c>
      <c r="B1225" s="3" t="str">
        <f t="shared" si="1"/>
        <v>Unavailable</v>
      </c>
      <c r="C1225" s="3">
        <v>13.0</v>
      </c>
      <c r="D1225" s="3">
        <f>IFERROR(__xludf.DUMMYFUNCTION("IFERROR(
IF(REGEXMATCH(LOWER(O1225),""k""),
VALUE(REGEXEXTRACT(O1225,""[0-9]+""))*1000,
VALUE(REGEXEXTRACT(O1225,""[0-9]+""))
),
0
)"),0.0)</f>
        <v>0</v>
      </c>
      <c r="E1225" s="1" t="s">
        <v>11</v>
      </c>
      <c r="F1225" s="1" t="s">
        <v>20</v>
      </c>
      <c r="G1225" s="4" t="b">
        <f t="shared" si="2"/>
        <v>1</v>
      </c>
      <c r="H1225" s="1" t="str">
        <f t="shared" si="3"/>
        <v>Currently Unavailable</v>
      </c>
      <c r="I1225" s="1" t="str">
        <f t="shared" si="4"/>
        <v>No Badges</v>
      </c>
      <c r="J1225" s="3">
        <f t="shared" si="5"/>
        <v>0</v>
      </c>
    </row>
    <row r="1226">
      <c r="A1226" s="1" t="s">
        <v>1047</v>
      </c>
      <c r="B1226" s="3" t="str">
        <f t="shared" si="1"/>
        <v>Unavailable</v>
      </c>
      <c r="C1226" s="5">
        <v>1484.0</v>
      </c>
      <c r="D1226" s="3">
        <f>IFERROR(__xludf.DUMMYFUNCTION("IFERROR(
IF(REGEXMATCH(LOWER(O1226),""k""),
VALUE(REGEXEXTRACT(O1226,""[0-9]+""))*1000,
VALUE(REGEXEXTRACT(O1226,""[0-9]+""))
),
0
)"),0.0)</f>
        <v>0</v>
      </c>
      <c r="E1226" s="1" t="s">
        <v>11</v>
      </c>
      <c r="F1226" s="1" t="s">
        <v>20</v>
      </c>
      <c r="G1226" s="4" t="b">
        <f t="shared" si="2"/>
        <v>1</v>
      </c>
      <c r="H1226" s="1" t="str">
        <f t="shared" si="3"/>
        <v>Currently Unavailable</v>
      </c>
      <c r="I1226" s="1" t="str">
        <f t="shared" si="4"/>
        <v>No Badges</v>
      </c>
      <c r="J1226" s="3">
        <f t="shared" si="5"/>
        <v>0</v>
      </c>
    </row>
    <row r="1227">
      <c r="A1227" s="1" t="s">
        <v>1048</v>
      </c>
      <c r="B1227" s="3" t="str">
        <f t="shared" si="1"/>
        <v>Unavailable</v>
      </c>
      <c r="C1227" s="3">
        <v>544.0</v>
      </c>
      <c r="D1227" s="3">
        <f>IFERROR(__xludf.DUMMYFUNCTION("IFERROR(
IF(REGEXMATCH(LOWER(O1227),""k""),
VALUE(REGEXEXTRACT(O1227,""[0-9]+""))*1000,
VALUE(REGEXEXTRACT(O1227,""[0-9]+""))
),
0
)"),0.0)</f>
        <v>0</v>
      </c>
      <c r="E1227" s="1" t="s">
        <v>11</v>
      </c>
      <c r="F1227" s="1" t="s">
        <v>20</v>
      </c>
      <c r="G1227" s="4" t="b">
        <f t="shared" si="2"/>
        <v>1</v>
      </c>
      <c r="H1227" s="1" t="str">
        <f t="shared" si="3"/>
        <v>Currently Unavailable</v>
      </c>
      <c r="I1227" s="1" t="str">
        <f t="shared" si="4"/>
        <v>No Badges</v>
      </c>
      <c r="J1227" s="3">
        <f t="shared" si="5"/>
        <v>0</v>
      </c>
    </row>
    <row r="1228">
      <c r="A1228" s="1" t="s">
        <v>1049</v>
      </c>
      <c r="B1228" s="3" t="str">
        <f t="shared" si="1"/>
        <v>Unavailable</v>
      </c>
      <c r="C1228" s="3">
        <v>260.0</v>
      </c>
      <c r="D1228" s="3">
        <f>IFERROR(__xludf.DUMMYFUNCTION("IFERROR(
IF(REGEXMATCH(LOWER(O1228),""k""),
VALUE(REGEXEXTRACT(O1228,""[0-9]+""))*1000,
VALUE(REGEXEXTRACT(O1228,""[0-9]+""))
),
0
)"),0.0)</f>
        <v>0</v>
      </c>
      <c r="E1228" s="1" t="s">
        <v>11</v>
      </c>
      <c r="F1228" s="1" t="s">
        <v>20</v>
      </c>
      <c r="G1228" s="4" t="b">
        <f t="shared" si="2"/>
        <v>1</v>
      </c>
      <c r="H1228" s="1" t="str">
        <f t="shared" si="3"/>
        <v>Currently Unavailable</v>
      </c>
      <c r="I1228" s="1" t="str">
        <f t="shared" si="4"/>
        <v>No Badges</v>
      </c>
      <c r="J1228" s="3">
        <f t="shared" si="5"/>
        <v>0</v>
      </c>
    </row>
    <row r="1229">
      <c r="A1229" s="1" t="s">
        <v>1050</v>
      </c>
      <c r="B1229" s="3" t="str">
        <f t="shared" si="1"/>
        <v>Unavailable</v>
      </c>
      <c r="C1229" s="3">
        <v>282.0</v>
      </c>
      <c r="D1229" s="3">
        <f>IFERROR(__xludf.DUMMYFUNCTION("IFERROR(
IF(REGEXMATCH(LOWER(O1229),""k""),
VALUE(REGEXEXTRACT(O1229,""[0-9]+""))*1000,
VALUE(REGEXEXTRACT(O1229,""[0-9]+""))
),
0
)"),0.0)</f>
        <v>0</v>
      </c>
      <c r="E1229" s="1" t="s">
        <v>11</v>
      </c>
      <c r="F1229" s="1" t="s">
        <v>20</v>
      </c>
      <c r="G1229" s="4" t="b">
        <f t="shared" si="2"/>
        <v>1</v>
      </c>
      <c r="H1229" s="1" t="str">
        <f t="shared" si="3"/>
        <v>Currently Unavailable</v>
      </c>
      <c r="I1229" s="1" t="str">
        <f t="shared" si="4"/>
        <v>No Badges</v>
      </c>
      <c r="J1229" s="3">
        <f t="shared" si="5"/>
        <v>0</v>
      </c>
    </row>
    <row r="1230">
      <c r="A1230" s="1" t="s">
        <v>1051</v>
      </c>
      <c r="B1230" s="3" t="str">
        <f t="shared" si="1"/>
        <v>Unavailable</v>
      </c>
      <c r="C1230" s="3">
        <v>131.0</v>
      </c>
      <c r="D1230" s="3">
        <f>IFERROR(__xludf.DUMMYFUNCTION("IFERROR(
IF(REGEXMATCH(LOWER(O1230),""k""),
VALUE(REGEXEXTRACT(O1230,""[0-9]+""))*1000,
VALUE(REGEXEXTRACT(O1230,""[0-9]+""))
),
0
)"),0.0)</f>
        <v>0</v>
      </c>
      <c r="E1230" s="1" t="s">
        <v>11</v>
      </c>
      <c r="F1230" s="1" t="s">
        <v>20</v>
      </c>
      <c r="G1230" s="4" t="b">
        <f t="shared" si="2"/>
        <v>1</v>
      </c>
      <c r="H1230" s="1" t="str">
        <f t="shared" si="3"/>
        <v>Currently Unavailable</v>
      </c>
      <c r="I1230" s="1" t="str">
        <f t="shared" si="4"/>
        <v>No Badges</v>
      </c>
      <c r="J1230" s="3">
        <f t="shared" si="5"/>
        <v>0</v>
      </c>
    </row>
    <row r="1231">
      <c r="A1231" s="1" t="s">
        <v>1052</v>
      </c>
      <c r="B1231" s="3" t="str">
        <f t="shared" si="1"/>
        <v>Unavailable</v>
      </c>
      <c r="C1231" s="3">
        <v>103.0</v>
      </c>
      <c r="D1231" s="3">
        <f>IFERROR(__xludf.DUMMYFUNCTION("IFERROR(
IF(REGEXMATCH(LOWER(O1231),""k""),
VALUE(REGEXEXTRACT(O1231,""[0-9]+""))*1000,
VALUE(REGEXEXTRACT(O1231,""[0-9]+""))
),
0
)"),0.0)</f>
        <v>0</v>
      </c>
      <c r="E1231" s="1" t="s">
        <v>11</v>
      </c>
      <c r="F1231" s="1" t="s">
        <v>20</v>
      </c>
      <c r="G1231" s="4" t="b">
        <f t="shared" si="2"/>
        <v>1</v>
      </c>
      <c r="H1231" s="1" t="str">
        <f t="shared" si="3"/>
        <v>Currently Unavailable</v>
      </c>
      <c r="I1231" s="1" t="str">
        <f t="shared" si="4"/>
        <v>No Badges</v>
      </c>
      <c r="J1231" s="3">
        <f t="shared" si="5"/>
        <v>0</v>
      </c>
    </row>
    <row r="1232">
      <c r="A1232" s="1" t="s">
        <v>902</v>
      </c>
      <c r="B1232" s="3" t="str">
        <f t="shared" si="1"/>
        <v>Unavailable</v>
      </c>
      <c r="C1232" s="5">
        <v>1260.0</v>
      </c>
      <c r="D1232" s="3">
        <f>IFERROR(__xludf.DUMMYFUNCTION("IFERROR(
IF(REGEXMATCH(LOWER(O1232),""k""),
VALUE(REGEXEXTRACT(O1232,""[0-9]+""))*1000,
VALUE(REGEXEXTRACT(O1232,""[0-9]+""))
),
0
)"),0.0)</f>
        <v>0</v>
      </c>
      <c r="E1232" s="1" t="s">
        <v>11</v>
      </c>
      <c r="F1232" s="1" t="s">
        <v>20</v>
      </c>
      <c r="G1232" s="4" t="b">
        <f t="shared" si="2"/>
        <v>1</v>
      </c>
      <c r="H1232" s="1" t="str">
        <f t="shared" si="3"/>
        <v>Currently Unavailable</v>
      </c>
      <c r="I1232" s="1" t="str">
        <f t="shared" si="4"/>
        <v>No Badges</v>
      </c>
      <c r="J1232" s="3">
        <f t="shared" si="5"/>
        <v>0</v>
      </c>
    </row>
    <row r="1233">
      <c r="A1233" s="1" t="s">
        <v>903</v>
      </c>
      <c r="B1233" s="3" t="str">
        <f t="shared" si="1"/>
        <v>Unavailable</v>
      </c>
      <c r="C1233" s="5">
        <v>1557.0</v>
      </c>
      <c r="D1233" s="3">
        <f>IFERROR(__xludf.DUMMYFUNCTION("IFERROR(
IF(REGEXMATCH(LOWER(O1233),""k""),
VALUE(REGEXEXTRACT(O1233,""[0-9]+""))*1000,
VALUE(REGEXEXTRACT(O1233,""[0-9]+""))
),
0
)"),0.0)</f>
        <v>0</v>
      </c>
      <c r="E1233" s="1" t="s">
        <v>11</v>
      </c>
      <c r="F1233" s="1" t="s">
        <v>20</v>
      </c>
      <c r="G1233" s="4" t="b">
        <f t="shared" si="2"/>
        <v>1</v>
      </c>
      <c r="H1233" s="1" t="str">
        <f t="shared" si="3"/>
        <v>Currently Unavailable</v>
      </c>
      <c r="I1233" s="1" t="str">
        <f t="shared" si="4"/>
        <v>No Badges</v>
      </c>
      <c r="J1233" s="3">
        <f t="shared" si="5"/>
        <v>0</v>
      </c>
    </row>
    <row r="1234">
      <c r="A1234" s="1" t="s">
        <v>904</v>
      </c>
      <c r="B1234" s="3" t="str">
        <f t="shared" si="1"/>
        <v>Unavailable</v>
      </c>
      <c r="C1234" s="3">
        <v>14.0</v>
      </c>
      <c r="D1234" s="3">
        <f>IFERROR(__xludf.DUMMYFUNCTION("IFERROR(
IF(REGEXMATCH(LOWER(O1234),""k""),
VALUE(REGEXEXTRACT(O1234,""[0-9]+""))*1000,
VALUE(REGEXEXTRACT(O1234,""[0-9]+""))
),
0
)"),0.0)</f>
        <v>0</v>
      </c>
      <c r="E1234" s="1" t="s">
        <v>11</v>
      </c>
      <c r="F1234" s="1" t="s">
        <v>20</v>
      </c>
      <c r="G1234" s="4" t="b">
        <f t="shared" si="2"/>
        <v>1</v>
      </c>
      <c r="H1234" s="1" t="str">
        <f t="shared" si="3"/>
        <v>Currently Unavailable</v>
      </c>
      <c r="I1234" s="1" t="str">
        <f t="shared" si="4"/>
        <v>No Badges</v>
      </c>
      <c r="J1234" s="3">
        <f t="shared" si="5"/>
        <v>0</v>
      </c>
    </row>
    <row r="1235">
      <c r="A1235" s="1" t="s">
        <v>905</v>
      </c>
      <c r="B1235" s="3" t="str">
        <f t="shared" si="1"/>
        <v>Unavailable</v>
      </c>
      <c r="C1235" s="3">
        <v>230.0</v>
      </c>
      <c r="D1235" s="3">
        <f>IFERROR(__xludf.DUMMYFUNCTION("IFERROR(
IF(REGEXMATCH(LOWER(O1235),""k""),
VALUE(REGEXEXTRACT(O1235,""[0-9]+""))*1000,
VALUE(REGEXEXTRACT(O1235,""[0-9]+""))
),
0
)"),0.0)</f>
        <v>0</v>
      </c>
      <c r="E1235" s="1" t="s">
        <v>11</v>
      </c>
      <c r="F1235" s="1" t="s">
        <v>20</v>
      </c>
      <c r="G1235" s="4" t="b">
        <f t="shared" si="2"/>
        <v>1</v>
      </c>
      <c r="H1235" s="1" t="str">
        <f t="shared" si="3"/>
        <v>Currently Unavailable</v>
      </c>
      <c r="I1235" s="1" t="str">
        <f t="shared" si="4"/>
        <v>No Badges</v>
      </c>
      <c r="J1235" s="3">
        <f t="shared" si="5"/>
        <v>0</v>
      </c>
    </row>
    <row r="1236">
      <c r="A1236" s="1" t="s">
        <v>1053</v>
      </c>
      <c r="B1236" s="3" t="str">
        <f t="shared" si="1"/>
        <v>Unavailable</v>
      </c>
      <c r="C1236" s="3">
        <v>64.0</v>
      </c>
      <c r="D1236" s="3">
        <f>IFERROR(__xludf.DUMMYFUNCTION("IFERROR(
IF(REGEXMATCH(LOWER(O1236),""k""),
VALUE(REGEXEXTRACT(O1236,""[0-9]+""))*1000,
VALUE(REGEXEXTRACT(O1236,""[0-9]+""))
),
0
)"),0.0)</f>
        <v>0</v>
      </c>
      <c r="E1236" s="1" t="s">
        <v>11</v>
      </c>
      <c r="F1236" s="1" t="s">
        <v>20</v>
      </c>
      <c r="G1236" s="4" t="b">
        <f t="shared" si="2"/>
        <v>1</v>
      </c>
      <c r="H1236" s="1" t="str">
        <f t="shared" si="3"/>
        <v>Currently Unavailable</v>
      </c>
      <c r="I1236" s="1" t="str">
        <f t="shared" si="4"/>
        <v>No Badges</v>
      </c>
      <c r="J1236" s="3">
        <f t="shared" si="5"/>
        <v>0</v>
      </c>
    </row>
    <row r="1237">
      <c r="A1237" s="1" t="s">
        <v>907</v>
      </c>
      <c r="B1237" s="3" t="str">
        <f t="shared" si="1"/>
        <v>Unavailable</v>
      </c>
      <c r="C1237" s="3">
        <v>68.0</v>
      </c>
      <c r="D1237" s="3">
        <f>IFERROR(__xludf.DUMMYFUNCTION("IFERROR(
IF(REGEXMATCH(LOWER(O1237),""k""),
VALUE(REGEXEXTRACT(O1237,""[0-9]+""))*1000,
VALUE(REGEXEXTRACT(O1237,""[0-9]+""))
),
0
)"),0.0)</f>
        <v>0</v>
      </c>
      <c r="E1237" s="1" t="s">
        <v>11</v>
      </c>
      <c r="F1237" s="1" t="s">
        <v>20</v>
      </c>
      <c r="G1237" s="4" t="b">
        <f t="shared" si="2"/>
        <v>1</v>
      </c>
      <c r="H1237" s="1" t="str">
        <f t="shared" si="3"/>
        <v>Currently Unavailable</v>
      </c>
      <c r="I1237" s="1" t="str">
        <f t="shared" si="4"/>
        <v>No Badges</v>
      </c>
      <c r="J1237" s="3">
        <f t="shared" si="5"/>
        <v>0</v>
      </c>
    </row>
    <row r="1238">
      <c r="A1238" s="1" t="s">
        <v>701</v>
      </c>
      <c r="B1238" s="3" t="str">
        <f t="shared" si="1"/>
        <v>Unavailable</v>
      </c>
      <c r="C1238" s="3">
        <v>8.0</v>
      </c>
      <c r="D1238" s="3">
        <f>IFERROR(__xludf.DUMMYFUNCTION("IFERROR(
IF(REGEXMATCH(LOWER(O1238),""k""),
VALUE(REGEXEXTRACT(O1238,""[0-9]+""))*1000,
VALUE(REGEXEXTRACT(O1238,""[0-9]+""))
),
0
)"),0.0)</f>
        <v>0</v>
      </c>
      <c r="E1238" s="1" t="s">
        <v>11</v>
      </c>
      <c r="F1238" s="1" t="s">
        <v>12</v>
      </c>
      <c r="G1238" s="4" t="b">
        <f t="shared" si="2"/>
        <v>1</v>
      </c>
      <c r="H1238" s="1" t="str">
        <f t="shared" si="3"/>
        <v>Currently Unavailable</v>
      </c>
      <c r="I1238" s="1" t="str">
        <f t="shared" si="4"/>
        <v>No Badges</v>
      </c>
      <c r="J1238" s="3">
        <f t="shared" si="5"/>
        <v>0</v>
      </c>
    </row>
    <row r="1239">
      <c r="A1239" s="1" t="s">
        <v>69</v>
      </c>
      <c r="B1239" s="3" t="str">
        <f t="shared" si="1"/>
        <v>Unavailable</v>
      </c>
      <c r="C1239" s="3">
        <v>45.0</v>
      </c>
      <c r="D1239" s="3">
        <f>IFERROR(__xludf.DUMMYFUNCTION("IFERROR(
IF(REGEXMATCH(LOWER(O1239),""k""),
VALUE(REGEXEXTRACT(O1239,""[0-9]+""))*1000,
VALUE(REGEXEXTRACT(O1239,""[0-9]+""))
),
0
)"),0.0)</f>
        <v>0</v>
      </c>
      <c r="E1239" s="1" t="s">
        <v>11</v>
      </c>
      <c r="F1239" s="1" t="s">
        <v>12</v>
      </c>
      <c r="G1239" s="4" t="b">
        <f t="shared" si="2"/>
        <v>1</v>
      </c>
      <c r="H1239" s="1" t="str">
        <f t="shared" si="3"/>
        <v>Currently Unavailable</v>
      </c>
      <c r="I1239" s="1" t="str">
        <f t="shared" si="4"/>
        <v>No Badges</v>
      </c>
      <c r="J1239" s="3">
        <f t="shared" si="5"/>
        <v>0</v>
      </c>
    </row>
    <row r="1240">
      <c r="A1240" s="1" t="s">
        <v>1054</v>
      </c>
      <c r="B1240" s="3" t="str">
        <f t="shared" si="1"/>
        <v>Unavailable</v>
      </c>
      <c r="C1240" s="3">
        <v>3.0</v>
      </c>
      <c r="D1240" s="3">
        <f>IFERROR(__xludf.DUMMYFUNCTION("IFERROR(
IF(REGEXMATCH(LOWER(O1240),""k""),
VALUE(REGEXEXTRACT(O1240,""[0-9]+""))*1000,
VALUE(REGEXEXTRACT(O1240,""[0-9]+""))
),
0
)"),0.0)</f>
        <v>0</v>
      </c>
      <c r="E1240" s="1" t="s">
        <v>11</v>
      </c>
      <c r="F1240" s="1" t="s">
        <v>12</v>
      </c>
      <c r="G1240" s="4" t="b">
        <f t="shared" si="2"/>
        <v>1</v>
      </c>
      <c r="H1240" s="1" t="str">
        <f t="shared" si="3"/>
        <v>Currently Unavailable</v>
      </c>
      <c r="I1240" s="1" t="str">
        <f t="shared" si="4"/>
        <v>No Badges</v>
      </c>
      <c r="J1240" s="3">
        <f t="shared" si="5"/>
        <v>0</v>
      </c>
    </row>
    <row r="1241">
      <c r="A1241" s="1" t="s">
        <v>908</v>
      </c>
      <c r="B1241" s="3" t="str">
        <f t="shared" si="1"/>
        <v>Unavailable</v>
      </c>
      <c r="C1241" s="3">
        <v>462.0</v>
      </c>
      <c r="D1241" s="3">
        <f>IFERROR(__xludf.DUMMYFUNCTION("IFERROR(
IF(REGEXMATCH(LOWER(O1241),""k""),
VALUE(REGEXEXTRACT(O1241,""[0-9]+""))*1000,
VALUE(REGEXEXTRACT(O1241,""[0-9]+""))
),
0
)"),0.0)</f>
        <v>0</v>
      </c>
      <c r="E1241" s="1" t="s">
        <v>11</v>
      </c>
      <c r="F1241" s="1" t="s">
        <v>20</v>
      </c>
      <c r="G1241" s="4" t="b">
        <f t="shared" si="2"/>
        <v>1</v>
      </c>
      <c r="H1241" s="1" t="str">
        <f t="shared" si="3"/>
        <v>Currently Unavailable</v>
      </c>
      <c r="I1241" s="1" t="str">
        <f t="shared" si="4"/>
        <v>No Badges</v>
      </c>
      <c r="J1241" s="3">
        <f t="shared" si="5"/>
        <v>0</v>
      </c>
    </row>
    <row r="1242">
      <c r="A1242" s="1" t="s">
        <v>1055</v>
      </c>
      <c r="B1242" s="3" t="str">
        <f t="shared" si="1"/>
        <v>Unavailable</v>
      </c>
      <c r="C1242" s="3">
        <v>28.0</v>
      </c>
      <c r="D1242" s="3">
        <f>IFERROR(__xludf.DUMMYFUNCTION("IFERROR(
IF(REGEXMATCH(LOWER(O1242),""k""),
VALUE(REGEXEXTRACT(O1242,""[0-9]+""))*1000,
VALUE(REGEXEXTRACT(O1242,""[0-9]+""))
),
0
)"),0.0)</f>
        <v>0</v>
      </c>
      <c r="E1242" s="1" t="s">
        <v>11</v>
      </c>
      <c r="F1242" s="1" t="s">
        <v>20</v>
      </c>
      <c r="G1242" s="4" t="b">
        <f t="shared" si="2"/>
        <v>1</v>
      </c>
      <c r="H1242" s="1" t="str">
        <f t="shared" si="3"/>
        <v>Currently Unavailable</v>
      </c>
      <c r="I1242" s="1" t="str">
        <f t="shared" si="4"/>
        <v>No Badges</v>
      </c>
      <c r="J1242" s="3">
        <f t="shared" si="5"/>
        <v>0</v>
      </c>
    </row>
    <row r="1243">
      <c r="A1243" s="1" t="s">
        <v>909</v>
      </c>
      <c r="B1243" s="3" t="str">
        <f t="shared" si="1"/>
        <v>Unavailable</v>
      </c>
      <c r="C1243" s="3">
        <v>292.0</v>
      </c>
      <c r="D1243" s="3">
        <f>IFERROR(__xludf.DUMMYFUNCTION("IFERROR(
IF(REGEXMATCH(LOWER(O1243),""k""),
VALUE(REGEXEXTRACT(O1243,""[0-9]+""))*1000,
VALUE(REGEXEXTRACT(O1243,""[0-9]+""))
),
0
)"),0.0)</f>
        <v>0</v>
      </c>
      <c r="E1243" s="1" t="s">
        <v>11</v>
      </c>
      <c r="F1243" s="1" t="s">
        <v>20</v>
      </c>
      <c r="G1243" s="4" t="b">
        <f t="shared" si="2"/>
        <v>1</v>
      </c>
      <c r="H1243" s="1" t="str">
        <f t="shared" si="3"/>
        <v>Currently Unavailable</v>
      </c>
      <c r="I1243" s="1" t="str">
        <f t="shared" si="4"/>
        <v>No Badges</v>
      </c>
      <c r="J1243" s="3">
        <f t="shared" si="5"/>
        <v>0</v>
      </c>
    </row>
    <row r="1244">
      <c r="A1244" s="1" t="s">
        <v>1056</v>
      </c>
      <c r="B1244" s="3" t="str">
        <f t="shared" si="1"/>
        <v>Unavailable</v>
      </c>
      <c r="C1244" s="5">
        <v>1132.0</v>
      </c>
      <c r="D1244" s="3">
        <f>IFERROR(__xludf.DUMMYFUNCTION("IFERROR(
IF(REGEXMATCH(LOWER(O1244),""k""),
VALUE(REGEXEXTRACT(O1244,""[0-9]+""))*1000,
VALUE(REGEXEXTRACT(O1244,""[0-9]+""))
),
0
)"),0.0)</f>
        <v>0</v>
      </c>
      <c r="E1244" s="1" t="s">
        <v>11</v>
      </c>
      <c r="F1244" s="1" t="s">
        <v>20</v>
      </c>
      <c r="G1244" s="4" t="b">
        <f t="shared" si="2"/>
        <v>1</v>
      </c>
      <c r="H1244" s="1" t="str">
        <f t="shared" si="3"/>
        <v>Currently Unavailable</v>
      </c>
      <c r="I1244" s="1" t="str">
        <f t="shared" si="4"/>
        <v>No Badges</v>
      </c>
      <c r="J1244" s="3">
        <f t="shared" si="5"/>
        <v>0</v>
      </c>
    </row>
    <row r="1245">
      <c r="A1245" s="1" t="s">
        <v>1057</v>
      </c>
      <c r="B1245" s="3" t="str">
        <f t="shared" si="1"/>
        <v>Unavailable</v>
      </c>
      <c r="C1245" s="3">
        <v>344.0</v>
      </c>
      <c r="D1245" s="3">
        <f>IFERROR(__xludf.DUMMYFUNCTION("IFERROR(
IF(REGEXMATCH(LOWER(O1245),""k""),
VALUE(REGEXEXTRACT(O1245,""[0-9]+""))*1000,
VALUE(REGEXEXTRACT(O1245,""[0-9]+""))
),
0
)"),0.0)</f>
        <v>0</v>
      </c>
      <c r="E1245" s="1" t="s">
        <v>11</v>
      </c>
      <c r="F1245" s="1" t="s">
        <v>20</v>
      </c>
      <c r="G1245" s="4" t="b">
        <f t="shared" si="2"/>
        <v>1</v>
      </c>
      <c r="H1245" s="1" t="str">
        <f t="shared" si="3"/>
        <v>Currently Unavailable</v>
      </c>
      <c r="I1245" s="1" t="str">
        <f t="shared" si="4"/>
        <v>No Badges</v>
      </c>
      <c r="J1245" s="3">
        <f t="shared" si="5"/>
        <v>0</v>
      </c>
    </row>
    <row r="1246">
      <c r="A1246" s="1" t="s">
        <v>1058</v>
      </c>
      <c r="B1246" s="3" t="str">
        <f t="shared" si="1"/>
        <v>Unavailable</v>
      </c>
      <c r="C1246" s="5">
        <v>2305.0</v>
      </c>
      <c r="D1246" s="3">
        <f>IFERROR(__xludf.DUMMYFUNCTION("IFERROR(
IF(REGEXMATCH(LOWER(O1246),""k""),
VALUE(REGEXEXTRACT(O1246,""[0-9]+""))*1000,
VALUE(REGEXEXTRACT(O1246,""[0-9]+""))
),
0
)"),0.0)</f>
        <v>0</v>
      </c>
      <c r="E1246" s="1" t="s">
        <v>11</v>
      </c>
      <c r="F1246" s="1" t="s">
        <v>20</v>
      </c>
      <c r="G1246" s="4" t="b">
        <f t="shared" si="2"/>
        <v>1</v>
      </c>
      <c r="H1246" s="1" t="str">
        <f t="shared" si="3"/>
        <v>Currently Unavailable</v>
      </c>
      <c r="I1246" s="1" t="str">
        <f t="shared" si="4"/>
        <v>No Badges</v>
      </c>
      <c r="J1246" s="3">
        <f t="shared" si="5"/>
        <v>0</v>
      </c>
    </row>
    <row r="1247">
      <c r="A1247" s="1" t="s">
        <v>1059</v>
      </c>
      <c r="B1247" s="3" t="str">
        <f t="shared" si="1"/>
        <v>Unavailable</v>
      </c>
      <c r="C1247" s="3">
        <v>191.0</v>
      </c>
      <c r="D1247" s="3">
        <f>IFERROR(__xludf.DUMMYFUNCTION("IFERROR(
IF(REGEXMATCH(LOWER(O1247),""k""),
VALUE(REGEXEXTRACT(O1247,""[0-9]+""))*1000,
VALUE(REGEXEXTRACT(O1247,""[0-9]+""))
),
0
)"),0.0)</f>
        <v>0</v>
      </c>
      <c r="E1247" s="1" t="s">
        <v>11</v>
      </c>
      <c r="F1247" s="1" t="s">
        <v>20</v>
      </c>
      <c r="G1247" s="4" t="b">
        <f t="shared" si="2"/>
        <v>1</v>
      </c>
      <c r="H1247" s="1" t="str">
        <f t="shared" si="3"/>
        <v>Currently Unavailable</v>
      </c>
      <c r="I1247" s="1" t="str">
        <f t="shared" si="4"/>
        <v>No Badges</v>
      </c>
      <c r="J1247" s="3">
        <f t="shared" si="5"/>
        <v>0</v>
      </c>
    </row>
    <row r="1248">
      <c r="A1248" s="1" t="s">
        <v>1060</v>
      </c>
      <c r="B1248" s="3" t="str">
        <f t="shared" si="1"/>
        <v>Unavailable</v>
      </c>
      <c r="C1248" s="5">
        <v>1299.0</v>
      </c>
      <c r="D1248" s="3">
        <f>IFERROR(__xludf.DUMMYFUNCTION("IFERROR(
IF(REGEXMATCH(LOWER(O1248),""k""),
VALUE(REGEXEXTRACT(O1248,""[0-9]+""))*1000,
VALUE(REGEXEXTRACT(O1248,""[0-9]+""))
),
0
)"),0.0)</f>
        <v>0</v>
      </c>
      <c r="E1248" s="1" t="s">
        <v>11</v>
      </c>
      <c r="F1248" s="1" t="s">
        <v>20</v>
      </c>
      <c r="G1248" s="4" t="b">
        <f t="shared" si="2"/>
        <v>1</v>
      </c>
      <c r="H1248" s="1" t="str">
        <f t="shared" si="3"/>
        <v>Currently Unavailable</v>
      </c>
      <c r="I1248" s="1" t="str">
        <f t="shared" si="4"/>
        <v>No Badges</v>
      </c>
      <c r="J1248" s="3">
        <f t="shared" si="5"/>
        <v>0</v>
      </c>
    </row>
    <row r="1249">
      <c r="A1249" s="1" t="s">
        <v>1061</v>
      </c>
      <c r="B1249" s="3" t="str">
        <f t="shared" si="1"/>
        <v>Unavailable</v>
      </c>
      <c r="C1249" s="5">
        <v>2646.0</v>
      </c>
      <c r="D1249" s="3">
        <f>IFERROR(__xludf.DUMMYFUNCTION("IFERROR(
IF(REGEXMATCH(LOWER(O1249),""k""),
VALUE(REGEXEXTRACT(O1249,""[0-9]+""))*1000,
VALUE(REGEXEXTRACT(O1249,""[0-9]+""))
),
0
)"),0.0)</f>
        <v>0</v>
      </c>
      <c r="E1249" s="1" t="s">
        <v>11</v>
      </c>
      <c r="F1249" s="1" t="s">
        <v>20</v>
      </c>
      <c r="G1249" s="4" t="b">
        <f t="shared" si="2"/>
        <v>1</v>
      </c>
      <c r="H1249" s="1" t="str">
        <f t="shared" si="3"/>
        <v>Currently Unavailable</v>
      </c>
      <c r="I1249" s="1" t="str">
        <f t="shared" si="4"/>
        <v>No Badges</v>
      </c>
      <c r="J1249" s="3">
        <f t="shared" si="5"/>
        <v>0</v>
      </c>
    </row>
    <row r="1250">
      <c r="A1250" s="1" t="s">
        <v>1062</v>
      </c>
      <c r="B1250" s="3" t="str">
        <f t="shared" si="1"/>
        <v>Unavailable</v>
      </c>
      <c r="C1250" s="3">
        <v>169.0</v>
      </c>
      <c r="D1250" s="3">
        <f>IFERROR(__xludf.DUMMYFUNCTION("IFERROR(
IF(REGEXMATCH(LOWER(O1250),""k""),
VALUE(REGEXEXTRACT(O1250,""[0-9]+""))*1000,
VALUE(REGEXEXTRACT(O1250,""[0-9]+""))
),
0
)"),0.0)</f>
        <v>0</v>
      </c>
      <c r="E1250" s="1" t="s">
        <v>11</v>
      </c>
      <c r="F1250" s="1" t="s">
        <v>20</v>
      </c>
      <c r="G1250" s="4" t="b">
        <f t="shared" si="2"/>
        <v>1</v>
      </c>
      <c r="H1250" s="1" t="str">
        <f t="shared" si="3"/>
        <v>Currently Unavailable</v>
      </c>
      <c r="I1250" s="1" t="str">
        <f t="shared" si="4"/>
        <v>No Badges</v>
      </c>
      <c r="J1250" s="3">
        <f t="shared" si="5"/>
        <v>0</v>
      </c>
    </row>
    <row r="1251">
      <c r="A1251" s="1" t="s">
        <v>1063</v>
      </c>
      <c r="B1251" s="3" t="str">
        <f t="shared" si="1"/>
        <v>Unavailable</v>
      </c>
      <c r="C1251" s="3">
        <v>23.0</v>
      </c>
      <c r="D1251" s="3">
        <f>IFERROR(__xludf.DUMMYFUNCTION("IFERROR(
IF(REGEXMATCH(LOWER(O1251),""k""),
VALUE(REGEXEXTRACT(O1251,""[0-9]+""))*1000,
VALUE(REGEXEXTRACT(O1251,""[0-9]+""))
),
0
)"),0.0)</f>
        <v>0</v>
      </c>
      <c r="E1251" s="1" t="s">
        <v>11</v>
      </c>
      <c r="F1251" s="1" t="s">
        <v>20</v>
      </c>
      <c r="G1251" s="4" t="b">
        <f t="shared" si="2"/>
        <v>1</v>
      </c>
      <c r="H1251" s="1" t="str">
        <f t="shared" si="3"/>
        <v>Currently Unavailable</v>
      </c>
      <c r="I1251" s="1" t="str">
        <f t="shared" si="4"/>
        <v>No Badges</v>
      </c>
      <c r="J1251" s="3">
        <f t="shared" si="5"/>
        <v>0</v>
      </c>
    </row>
    <row r="1252">
      <c r="A1252" s="1" t="s">
        <v>1064</v>
      </c>
      <c r="B1252" s="3" t="str">
        <f t="shared" si="1"/>
        <v>Unavailable</v>
      </c>
      <c r="C1252" s="3">
        <v>691.0</v>
      </c>
      <c r="D1252" s="3">
        <f>IFERROR(__xludf.DUMMYFUNCTION("IFERROR(
IF(REGEXMATCH(LOWER(O1252),""k""),
VALUE(REGEXEXTRACT(O1252,""[0-9]+""))*1000,
VALUE(REGEXEXTRACT(O1252,""[0-9]+""))
),
0
)"),0.0)</f>
        <v>0</v>
      </c>
      <c r="E1252" s="1" t="s">
        <v>11</v>
      </c>
      <c r="F1252" s="1" t="s">
        <v>20</v>
      </c>
      <c r="G1252" s="4" t="b">
        <f t="shared" si="2"/>
        <v>1</v>
      </c>
      <c r="H1252" s="1" t="str">
        <f t="shared" si="3"/>
        <v>Currently Unavailable</v>
      </c>
      <c r="I1252" s="1" t="str">
        <f t="shared" si="4"/>
        <v>No Badges</v>
      </c>
      <c r="J1252" s="3">
        <f t="shared" si="5"/>
        <v>0</v>
      </c>
    </row>
    <row r="1253">
      <c r="A1253" s="1" t="s">
        <v>67</v>
      </c>
      <c r="B1253" s="3" t="str">
        <f t="shared" si="1"/>
        <v>Unavailable</v>
      </c>
      <c r="C1253" s="3">
        <v>264.0</v>
      </c>
      <c r="D1253" s="3">
        <f>IFERROR(__xludf.DUMMYFUNCTION("IFERROR(
IF(REGEXMATCH(LOWER(O1253),""k""),
VALUE(REGEXEXTRACT(O1253,""[0-9]+""))*1000,
VALUE(REGEXEXTRACT(O1253,""[0-9]+""))
),
0
)"),0.0)</f>
        <v>0</v>
      </c>
      <c r="E1253" s="1" t="s">
        <v>11</v>
      </c>
      <c r="F1253" s="1" t="s">
        <v>12</v>
      </c>
      <c r="G1253" s="4" t="b">
        <f t="shared" si="2"/>
        <v>1</v>
      </c>
      <c r="H1253" s="1" t="str">
        <f t="shared" si="3"/>
        <v>Currently Unavailable</v>
      </c>
      <c r="I1253" s="1" t="str">
        <f t="shared" si="4"/>
        <v>No Badges</v>
      </c>
      <c r="J1253" s="3">
        <f t="shared" si="5"/>
        <v>0</v>
      </c>
    </row>
    <row r="1254">
      <c r="A1254" s="1" t="s">
        <v>1065</v>
      </c>
      <c r="B1254" s="3" t="str">
        <f t="shared" si="1"/>
        <v>Unavailable</v>
      </c>
      <c r="C1254" s="3">
        <v>540.0</v>
      </c>
      <c r="D1254" s="3">
        <f>IFERROR(__xludf.DUMMYFUNCTION("IFERROR(
IF(REGEXMATCH(LOWER(O1254),""k""),
VALUE(REGEXEXTRACT(O1254,""[0-9]+""))*1000,
VALUE(REGEXEXTRACT(O1254,""[0-9]+""))
),
0
)"),0.0)</f>
        <v>0</v>
      </c>
      <c r="E1254" s="1" t="s">
        <v>11</v>
      </c>
      <c r="F1254" s="1" t="s">
        <v>20</v>
      </c>
      <c r="G1254" s="4" t="b">
        <f t="shared" si="2"/>
        <v>1</v>
      </c>
      <c r="H1254" s="1" t="str">
        <f t="shared" si="3"/>
        <v>Currently Unavailable</v>
      </c>
      <c r="I1254" s="1" t="str">
        <f t="shared" si="4"/>
        <v>No Badges</v>
      </c>
      <c r="J1254" s="3">
        <f t="shared" si="5"/>
        <v>0</v>
      </c>
    </row>
    <row r="1255">
      <c r="A1255" s="1" t="s">
        <v>1066</v>
      </c>
      <c r="B1255" s="3" t="str">
        <f t="shared" si="1"/>
        <v>Unavailable</v>
      </c>
      <c r="C1255" s="3">
        <v>610.0</v>
      </c>
      <c r="D1255" s="3">
        <f>IFERROR(__xludf.DUMMYFUNCTION("IFERROR(
IF(REGEXMATCH(LOWER(O1255),""k""),
VALUE(REGEXEXTRACT(O1255,""[0-9]+""))*1000,
VALUE(REGEXEXTRACT(O1255,""[0-9]+""))
),
0
)"),0.0)</f>
        <v>0</v>
      </c>
      <c r="E1255" s="1" t="s">
        <v>11</v>
      </c>
      <c r="F1255" s="1" t="s">
        <v>20</v>
      </c>
      <c r="G1255" s="4" t="b">
        <f t="shared" si="2"/>
        <v>1</v>
      </c>
      <c r="H1255" s="1" t="str">
        <f t="shared" si="3"/>
        <v>Currently Unavailable</v>
      </c>
      <c r="I1255" s="1" t="str">
        <f t="shared" si="4"/>
        <v>No Badges</v>
      </c>
      <c r="J1255" s="3">
        <f t="shared" si="5"/>
        <v>0</v>
      </c>
    </row>
    <row r="1256">
      <c r="A1256" s="1" t="s">
        <v>1067</v>
      </c>
      <c r="B1256" s="3" t="str">
        <f t="shared" si="1"/>
        <v>Unavailable</v>
      </c>
      <c r="C1256" s="3">
        <v>646.0</v>
      </c>
      <c r="D1256" s="3">
        <f>IFERROR(__xludf.DUMMYFUNCTION("IFERROR(
IF(REGEXMATCH(LOWER(O1256),""k""),
VALUE(REGEXEXTRACT(O1256,""[0-9]+""))*1000,
VALUE(REGEXEXTRACT(O1256,""[0-9]+""))
),
0
)"),0.0)</f>
        <v>0</v>
      </c>
      <c r="E1256" s="1" t="s">
        <v>11</v>
      </c>
      <c r="F1256" s="1" t="s">
        <v>20</v>
      </c>
      <c r="G1256" s="4" t="b">
        <f t="shared" si="2"/>
        <v>1</v>
      </c>
      <c r="H1256" s="1" t="str">
        <f t="shared" si="3"/>
        <v>Currently Unavailable</v>
      </c>
      <c r="I1256" s="1" t="str">
        <f t="shared" si="4"/>
        <v>No Badges</v>
      </c>
      <c r="J1256" s="3">
        <f t="shared" si="5"/>
        <v>0</v>
      </c>
    </row>
    <row r="1257">
      <c r="A1257" s="1" t="s">
        <v>1068</v>
      </c>
      <c r="B1257" s="3" t="str">
        <f t="shared" si="1"/>
        <v>Unavailable</v>
      </c>
      <c r="C1257" s="3">
        <v>209.0</v>
      </c>
      <c r="D1257" s="3">
        <f>IFERROR(__xludf.DUMMYFUNCTION("IFERROR(
IF(REGEXMATCH(LOWER(O1257),""k""),
VALUE(REGEXEXTRACT(O1257,""[0-9]+""))*1000,
VALUE(REGEXEXTRACT(O1257,""[0-9]+""))
),
0
)"),0.0)</f>
        <v>0</v>
      </c>
      <c r="E1257" s="1" t="s">
        <v>11</v>
      </c>
      <c r="F1257" s="1" t="s">
        <v>20</v>
      </c>
      <c r="G1257" s="4" t="b">
        <f t="shared" si="2"/>
        <v>1</v>
      </c>
      <c r="H1257" s="1" t="str">
        <f t="shared" si="3"/>
        <v>Currently Unavailable</v>
      </c>
      <c r="I1257" s="1" t="str">
        <f t="shared" si="4"/>
        <v>No Badges</v>
      </c>
      <c r="J1257" s="3">
        <f t="shared" si="5"/>
        <v>0</v>
      </c>
    </row>
    <row r="1258">
      <c r="A1258" s="1" t="s">
        <v>69</v>
      </c>
      <c r="B1258" s="3" t="str">
        <f t="shared" si="1"/>
        <v>Unavailable</v>
      </c>
      <c r="C1258" s="3">
        <v>45.0</v>
      </c>
      <c r="D1258" s="3">
        <f>IFERROR(__xludf.DUMMYFUNCTION("IFERROR(
IF(REGEXMATCH(LOWER(O1258),""k""),
VALUE(REGEXEXTRACT(O1258,""[0-9]+""))*1000,
VALUE(REGEXEXTRACT(O1258,""[0-9]+""))
),
0
)"),0.0)</f>
        <v>0</v>
      </c>
      <c r="E1258" s="1" t="s">
        <v>11</v>
      </c>
      <c r="F1258" s="1" t="s">
        <v>12</v>
      </c>
      <c r="G1258" s="4" t="b">
        <f t="shared" si="2"/>
        <v>1</v>
      </c>
      <c r="H1258" s="1" t="str">
        <f t="shared" si="3"/>
        <v>Currently Unavailable</v>
      </c>
      <c r="I1258" s="1" t="str">
        <f t="shared" si="4"/>
        <v>No Badges</v>
      </c>
      <c r="J1258" s="3">
        <f t="shared" si="5"/>
        <v>0</v>
      </c>
    </row>
    <row r="1259">
      <c r="A1259" s="1" t="s">
        <v>1069</v>
      </c>
      <c r="B1259" s="3" t="str">
        <f t="shared" si="1"/>
        <v>Unavailable</v>
      </c>
      <c r="C1259" s="3">
        <v>26.0</v>
      </c>
      <c r="D1259" s="3">
        <f>IFERROR(__xludf.DUMMYFUNCTION("IFERROR(
IF(REGEXMATCH(LOWER(O1259),""k""),
VALUE(REGEXEXTRACT(O1259,""[0-9]+""))*1000,
VALUE(REGEXEXTRACT(O1259,""[0-9]+""))
),
0
)"),0.0)</f>
        <v>0</v>
      </c>
      <c r="E1259" s="1" t="s">
        <v>11</v>
      </c>
      <c r="F1259" s="1" t="s">
        <v>20</v>
      </c>
      <c r="G1259" s="4" t="b">
        <f t="shared" si="2"/>
        <v>1</v>
      </c>
      <c r="H1259" s="1" t="str">
        <f t="shared" si="3"/>
        <v>Currently Unavailable</v>
      </c>
      <c r="I1259" s="1" t="str">
        <f t="shared" si="4"/>
        <v>No Badges</v>
      </c>
      <c r="J1259" s="3">
        <f t="shared" si="5"/>
        <v>0</v>
      </c>
    </row>
    <row r="1260">
      <c r="A1260" s="1" t="s">
        <v>1070</v>
      </c>
      <c r="B1260" s="3" t="str">
        <f t="shared" si="1"/>
        <v>Unavailable</v>
      </c>
      <c r="C1260" s="3">
        <v>595.0</v>
      </c>
      <c r="D1260" s="3">
        <f>IFERROR(__xludf.DUMMYFUNCTION("IFERROR(
IF(REGEXMATCH(LOWER(O1260),""k""),
VALUE(REGEXEXTRACT(O1260,""[0-9]+""))*1000,
VALUE(REGEXEXTRACT(O1260,""[0-9]+""))
),
0
)"),0.0)</f>
        <v>0</v>
      </c>
      <c r="E1260" s="1" t="s">
        <v>11</v>
      </c>
      <c r="F1260" s="1" t="s">
        <v>20</v>
      </c>
      <c r="G1260" s="4" t="b">
        <f t="shared" si="2"/>
        <v>1</v>
      </c>
      <c r="H1260" s="1" t="str">
        <f t="shared" si="3"/>
        <v>Currently Unavailable</v>
      </c>
      <c r="I1260" s="1" t="str">
        <f t="shared" si="4"/>
        <v>No Badges</v>
      </c>
      <c r="J1260" s="3">
        <f t="shared" si="5"/>
        <v>0</v>
      </c>
    </row>
    <row r="1261">
      <c r="A1261" s="1" t="s">
        <v>1071</v>
      </c>
      <c r="B1261" s="3" t="str">
        <f t="shared" si="1"/>
        <v>Unavailable</v>
      </c>
      <c r="C1261" s="3">
        <v>176.0</v>
      </c>
      <c r="D1261" s="3">
        <f>IFERROR(__xludf.DUMMYFUNCTION("IFERROR(
IF(REGEXMATCH(LOWER(O1261),""k""),
VALUE(REGEXEXTRACT(O1261,""[0-9]+""))*1000,
VALUE(REGEXEXTRACT(O1261,""[0-9]+""))
),
0
)"),0.0)</f>
        <v>0</v>
      </c>
      <c r="E1261" s="1" t="s">
        <v>11</v>
      </c>
      <c r="F1261" s="1" t="s">
        <v>20</v>
      </c>
      <c r="G1261" s="4" t="b">
        <f t="shared" si="2"/>
        <v>1</v>
      </c>
      <c r="H1261" s="1" t="str">
        <f t="shared" si="3"/>
        <v>Currently Unavailable</v>
      </c>
      <c r="I1261" s="1" t="str">
        <f t="shared" si="4"/>
        <v>No Badges</v>
      </c>
      <c r="J1261" s="3">
        <f t="shared" si="5"/>
        <v>0</v>
      </c>
    </row>
    <row r="1262">
      <c r="A1262" s="1" t="s">
        <v>1072</v>
      </c>
      <c r="B1262" s="3" t="str">
        <f t="shared" si="1"/>
        <v>Unavailable</v>
      </c>
      <c r="C1262" s="3">
        <v>77.0</v>
      </c>
      <c r="D1262" s="3">
        <f>IFERROR(__xludf.DUMMYFUNCTION("IFERROR(
IF(REGEXMATCH(LOWER(O1262),""k""),
VALUE(REGEXEXTRACT(O1262,""[0-9]+""))*1000,
VALUE(REGEXEXTRACT(O1262,""[0-9]+""))
),
0
)"),0.0)</f>
        <v>0</v>
      </c>
      <c r="E1262" s="1" t="s">
        <v>11</v>
      </c>
      <c r="F1262" s="1" t="s">
        <v>20</v>
      </c>
      <c r="G1262" s="4" t="b">
        <f t="shared" si="2"/>
        <v>1</v>
      </c>
      <c r="H1262" s="1" t="str">
        <f t="shared" si="3"/>
        <v>Currently Unavailable</v>
      </c>
      <c r="I1262" s="1" t="str">
        <f t="shared" si="4"/>
        <v>No Badges</v>
      </c>
      <c r="J1262" s="3">
        <f t="shared" si="5"/>
        <v>0</v>
      </c>
    </row>
    <row r="1263">
      <c r="A1263" s="1" t="s">
        <v>1073</v>
      </c>
      <c r="B1263" s="3" t="str">
        <f t="shared" si="1"/>
        <v>Unavailable</v>
      </c>
      <c r="C1263" s="5">
        <v>2452.0</v>
      </c>
      <c r="D1263" s="3">
        <f>IFERROR(__xludf.DUMMYFUNCTION("IFERROR(
IF(REGEXMATCH(LOWER(O1263),""k""),
VALUE(REGEXEXTRACT(O1263,""[0-9]+""))*1000,
VALUE(REGEXEXTRACT(O1263,""[0-9]+""))
),
0
)"),0.0)</f>
        <v>0</v>
      </c>
      <c r="E1263" s="1" t="s">
        <v>11</v>
      </c>
      <c r="F1263" s="1" t="s">
        <v>20</v>
      </c>
      <c r="G1263" s="4" t="b">
        <f t="shared" si="2"/>
        <v>1</v>
      </c>
      <c r="H1263" s="1" t="str">
        <f t="shared" si="3"/>
        <v>Currently Unavailable</v>
      </c>
      <c r="I1263" s="1" t="str">
        <f t="shared" si="4"/>
        <v>No Badges</v>
      </c>
      <c r="J1263" s="3">
        <f t="shared" si="5"/>
        <v>0</v>
      </c>
    </row>
    <row r="1264">
      <c r="A1264" s="1" t="s">
        <v>1074</v>
      </c>
      <c r="B1264" s="3" t="str">
        <f t="shared" si="1"/>
        <v>Unavailable</v>
      </c>
      <c r="C1264" s="5">
        <v>2446.0</v>
      </c>
      <c r="D1264" s="3">
        <f>IFERROR(__xludf.DUMMYFUNCTION("IFERROR(
IF(REGEXMATCH(LOWER(O1264),""k""),
VALUE(REGEXEXTRACT(O1264,""[0-9]+""))*1000,
VALUE(REGEXEXTRACT(O1264,""[0-9]+""))
),
0
)"),0.0)</f>
        <v>0</v>
      </c>
      <c r="E1264" s="1" t="s">
        <v>11</v>
      </c>
      <c r="F1264" s="1" t="s">
        <v>20</v>
      </c>
      <c r="G1264" s="4" t="b">
        <f t="shared" si="2"/>
        <v>1</v>
      </c>
      <c r="H1264" s="1" t="str">
        <f t="shared" si="3"/>
        <v>Currently Unavailable</v>
      </c>
      <c r="I1264" s="1" t="str">
        <f t="shared" si="4"/>
        <v>No Badges</v>
      </c>
      <c r="J1264" s="3">
        <f t="shared" si="5"/>
        <v>0</v>
      </c>
    </row>
    <row r="1265">
      <c r="A1265" s="1" t="s">
        <v>1075</v>
      </c>
      <c r="B1265" s="3" t="str">
        <f t="shared" si="1"/>
        <v>Unavailable</v>
      </c>
      <c r="C1265" s="5">
        <v>1160.0</v>
      </c>
      <c r="D1265" s="3">
        <f>IFERROR(__xludf.DUMMYFUNCTION("IFERROR(
IF(REGEXMATCH(LOWER(O1265),""k""),
VALUE(REGEXEXTRACT(O1265,""[0-9]+""))*1000,
VALUE(REGEXEXTRACT(O1265,""[0-9]+""))
),
0
)"),0.0)</f>
        <v>0</v>
      </c>
      <c r="E1265" s="1" t="s">
        <v>11</v>
      </c>
      <c r="F1265" s="1" t="s">
        <v>20</v>
      </c>
      <c r="G1265" s="4" t="b">
        <f t="shared" si="2"/>
        <v>1</v>
      </c>
      <c r="H1265" s="1" t="str">
        <f t="shared" si="3"/>
        <v>Currently Unavailable</v>
      </c>
      <c r="I1265" s="1" t="str">
        <f t="shared" si="4"/>
        <v>No Badges</v>
      </c>
      <c r="J1265" s="3">
        <f t="shared" si="5"/>
        <v>0</v>
      </c>
    </row>
    <row r="1266">
      <c r="A1266" s="1" t="s">
        <v>1076</v>
      </c>
      <c r="B1266" s="3" t="str">
        <f t="shared" si="1"/>
        <v>Unavailable</v>
      </c>
      <c r="C1266" s="5">
        <v>1093.0</v>
      </c>
      <c r="D1266" s="3">
        <f>IFERROR(__xludf.DUMMYFUNCTION("IFERROR(
IF(REGEXMATCH(LOWER(O1266),""k""),
VALUE(REGEXEXTRACT(O1266,""[0-9]+""))*1000,
VALUE(REGEXEXTRACT(O1266,""[0-9]+""))
),
0
)"),0.0)</f>
        <v>0</v>
      </c>
      <c r="E1266" s="1" t="s">
        <v>11</v>
      </c>
      <c r="F1266" s="1" t="s">
        <v>20</v>
      </c>
      <c r="G1266" s="4" t="b">
        <f t="shared" si="2"/>
        <v>1</v>
      </c>
      <c r="H1266" s="1" t="str">
        <f t="shared" si="3"/>
        <v>Currently Unavailable</v>
      </c>
      <c r="I1266" s="1" t="str">
        <f t="shared" si="4"/>
        <v>No Badges</v>
      </c>
      <c r="J1266" s="3">
        <f t="shared" si="5"/>
        <v>0</v>
      </c>
    </row>
    <row r="1267">
      <c r="A1267" s="1" t="s">
        <v>1077</v>
      </c>
      <c r="B1267" s="3" t="str">
        <f t="shared" si="1"/>
        <v>Unavailable</v>
      </c>
      <c r="C1267" s="5">
        <v>1345.0</v>
      </c>
      <c r="D1267" s="3">
        <f>IFERROR(__xludf.DUMMYFUNCTION("IFERROR(
IF(REGEXMATCH(LOWER(O1267),""k""),
VALUE(REGEXEXTRACT(O1267,""[0-9]+""))*1000,
VALUE(REGEXEXTRACT(O1267,""[0-9]+""))
),
0
)"),0.0)</f>
        <v>0</v>
      </c>
      <c r="E1267" s="1" t="s">
        <v>11</v>
      </c>
      <c r="F1267" s="1" t="s">
        <v>20</v>
      </c>
      <c r="G1267" s="4" t="b">
        <f t="shared" si="2"/>
        <v>1</v>
      </c>
      <c r="H1267" s="1" t="str">
        <f t="shared" si="3"/>
        <v>Currently Unavailable</v>
      </c>
      <c r="I1267" s="1" t="str">
        <f t="shared" si="4"/>
        <v>No Badges</v>
      </c>
      <c r="J1267" s="3">
        <f t="shared" si="5"/>
        <v>0</v>
      </c>
    </row>
    <row r="1268">
      <c r="A1268" s="1" t="s">
        <v>1078</v>
      </c>
      <c r="B1268" s="3" t="str">
        <f t="shared" si="1"/>
        <v>Unavailable</v>
      </c>
      <c r="C1268" s="5">
        <v>3681.0</v>
      </c>
      <c r="D1268" s="3">
        <f>IFERROR(__xludf.DUMMYFUNCTION("IFERROR(
IF(REGEXMATCH(LOWER(O1268),""k""),
VALUE(REGEXEXTRACT(O1268,""[0-9]+""))*1000,
VALUE(REGEXEXTRACT(O1268,""[0-9]+""))
),
0
)"),0.0)</f>
        <v>0</v>
      </c>
      <c r="E1268" s="1" t="s">
        <v>11</v>
      </c>
      <c r="F1268" s="1" t="s">
        <v>20</v>
      </c>
      <c r="G1268" s="4" t="b">
        <f t="shared" si="2"/>
        <v>1</v>
      </c>
      <c r="H1268" s="1" t="str">
        <f t="shared" si="3"/>
        <v>Currently Unavailable</v>
      </c>
      <c r="I1268" s="1" t="str">
        <f t="shared" si="4"/>
        <v>No Badges</v>
      </c>
      <c r="J1268" s="3">
        <f t="shared" si="5"/>
        <v>0</v>
      </c>
    </row>
    <row r="1269">
      <c r="A1269" s="1" t="s">
        <v>1079</v>
      </c>
      <c r="B1269" s="3" t="str">
        <f t="shared" si="1"/>
        <v>Unavailable</v>
      </c>
      <c r="C1269" s="3">
        <v>159.0</v>
      </c>
      <c r="D1269" s="3">
        <f>IFERROR(__xludf.DUMMYFUNCTION("IFERROR(
IF(REGEXMATCH(LOWER(O1269),""k""),
VALUE(REGEXEXTRACT(O1269,""[0-9]+""))*1000,
VALUE(REGEXEXTRACT(O1269,""[0-9]+""))
),
0
)"),0.0)</f>
        <v>0</v>
      </c>
      <c r="E1269" s="1" t="s">
        <v>11</v>
      </c>
      <c r="F1269" s="1" t="s">
        <v>20</v>
      </c>
      <c r="G1269" s="4" t="b">
        <f t="shared" si="2"/>
        <v>1</v>
      </c>
      <c r="H1269" s="1" t="str">
        <f t="shared" si="3"/>
        <v>Currently Unavailable</v>
      </c>
      <c r="I1269" s="1" t="str">
        <f t="shared" si="4"/>
        <v>No Badges</v>
      </c>
      <c r="J1269" s="3">
        <f t="shared" si="5"/>
        <v>0</v>
      </c>
    </row>
    <row r="1270">
      <c r="A1270" s="1" t="s">
        <v>1080</v>
      </c>
      <c r="B1270" s="3" t="str">
        <f t="shared" si="1"/>
        <v>Unavailable</v>
      </c>
      <c r="C1270" s="3">
        <v>308.0</v>
      </c>
      <c r="D1270" s="3">
        <f>IFERROR(__xludf.DUMMYFUNCTION("IFERROR(
IF(REGEXMATCH(LOWER(O1270),""k""),
VALUE(REGEXEXTRACT(O1270,""[0-9]+""))*1000,
VALUE(REGEXEXTRACT(O1270,""[0-9]+""))
),
0
)"),0.0)</f>
        <v>0</v>
      </c>
      <c r="E1270" s="1" t="s">
        <v>11</v>
      </c>
      <c r="F1270" s="1" t="s">
        <v>20</v>
      </c>
      <c r="G1270" s="4" t="b">
        <f t="shared" si="2"/>
        <v>1</v>
      </c>
      <c r="H1270" s="1" t="str">
        <f t="shared" si="3"/>
        <v>Currently Unavailable</v>
      </c>
      <c r="I1270" s="1" t="str">
        <f t="shared" si="4"/>
        <v>No Badges</v>
      </c>
      <c r="J1270" s="3">
        <f t="shared" si="5"/>
        <v>0</v>
      </c>
    </row>
    <row r="1271">
      <c r="A1271" s="1" t="s">
        <v>67</v>
      </c>
      <c r="B1271" s="3" t="str">
        <f t="shared" si="1"/>
        <v>Unavailable</v>
      </c>
      <c r="C1271" s="3">
        <v>264.0</v>
      </c>
      <c r="D1271" s="3">
        <f>IFERROR(__xludf.DUMMYFUNCTION("IFERROR(
IF(REGEXMATCH(LOWER(O1271),""k""),
VALUE(REGEXEXTRACT(O1271,""[0-9]+""))*1000,
VALUE(REGEXEXTRACT(O1271,""[0-9]+""))
),
0
)"),0.0)</f>
        <v>0</v>
      </c>
      <c r="E1271" s="1" t="s">
        <v>11</v>
      </c>
      <c r="F1271" s="1" t="s">
        <v>12</v>
      </c>
      <c r="G1271" s="4" t="b">
        <f t="shared" si="2"/>
        <v>1</v>
      </c>
      <c r="H1271" s="1" t="str">
        <f t="shared" si="3"/>
        <v>Currently Unavailable</v>
      </c>
      <c r="I1271" s="1" t="str">
        <f t="shared" si="4"/>
        <v>No Badges</v>
      </c>
      <c r="J1271" s="3">
        <f t="shared" si="5"/>
        <v>0</v>
      </c>
    </row>
    <row r="1272">
      <c r="A1272" s="1" t="s">
        <v>1081</v>
      </c>
      <c r="B1272" s="3" t="str">
        <f t="shared" si="1"/>
        <v>Unavailable</v>
      </c>
      <c r="C1272" s="3">
        <v>198.0</v>
      </c>
      <c r="D1272" s="3">
        <f>IFERROR(__xludf.DUMMYFUNCTION("IFERROR(
IF(REGEXMATCH(LOWER(O1272),""k""),
VALUE(REGEXEXTRACT(O1272,""[0-9]+""))*1000,
VALUE(REGEXEXTRACT(O1272,""[0-9]+""))
),
0
)"),0.0)</f>
        <v>0</v>
      </c>
      <c r="E1272" s="1" t="s">
        <v>11</v>
      </c>
      <c r="F1272" s="1" t="s">
        <v>20</v>
      </c>
      <c r="G1272" s="4" t="b">
        <f t="shared" si="2"/>
        <v>1</v>
      </c>
      <c r="H1272" s="1" t="str">
        <f t="shared" si="3"/>
        <v>Currently Unavailable</v>
      </c>
      <c r="I1272" s="1" t="str">
        <f t="shared" si="4"/>
        <v>No Badges</v>
      </c>
      <c r="J1272" s="3">
        <f t="shared" si="5"/>
        <v>0</v>
      </c>
    </row>
    <row r="1273">
      <c r="A1273" s="1" t="s">
        <v>701</v>
      </c>
      <c r="B1273" s="3" t="str">
        <f t="shared" si="1"/>
        <v>Unavailable</v>
      </c>
      <c r="C1273" s="3">
        <v>8.0</v>
      </c>
      <c r="D1273" s="3">
        <f>IFERROR(__xludf.DUMMYFUNCTION("IFERROR(
IF(REGEXMATCH(LOWER(O1273),""k""),
VALUE(REGEXEXTRACT(O1273,""[0-9]+""))*1000,
VALUE(REGEXEXTRACT(O1273,""[0-9]+""))
),
0
)"),0.0)</f>
        <v>0</v>
      </c>
      <c r="E1273" s="1" t="s">
        <v>11</v>
      </c>
      <c r="F1273" s="1" t="s">
        <v>12</v>
      </c>
      <c r="G1273" s="4" t="b">
        <f t="shared" si="2"/>
        <v>1</v>
      </c>
      <c r="H1273" s="1" t="str">
        <f t="shared" si="3"/>
        <v>Currently Unavailable</v>
      </c>
      <c r="I1273" s="1" t="str">
        <f t="shared" si="4"/>
        <v>No Badges</v>
      </c>
      <c r="J1273" s="3">
        <f t="shared" si="5"/>
        <v>0</v>
      </c>
    </row>
    <row r="1274">
      <c r="A1274" s="1" t="s">
        <v>1082</v>
      </c>
      <c r="B1274" s="3" t="str">
        <f t="shared" si="1"/>
        <v>Unavailable</v>
      </c>
      <c r="C1274" s="3">
        <v>29.0</v>
      </c>
      <c r="D1274" s="3">
        <f>IFERROR(__xludf.DUMMYFUNCTION("IFERROR(
IF(REGEXMATCH(LOWER(O1274),""k""),
VALUE(REGEXEXTRACT(O1274,""[0-9]+""))*1000,
VALUE(REGEXEXTRACT(O1274,""[0-9]+""))
),
0
)"),0.0)</f>
        <v>0</v>
      </c>
      <c r="E1274" s="1" t="s">
        <v>11</v>
      </c>
      <c r="F1274" s="1" t="s">
        <v>20</v>
      </c>
      <c r="G1274" s="4" t="b">
        <f t="shared" si="2"/>
        <v>1</v>
      </c>
      <c r="H1274" s="1" t="str">
        <f t="shared" si="3"/>
        <v>Currently Unavailable</v>
      </c>
      <c r="I1274" s="1" t="str">
        <f t="shared" si="4"/>
        <v>No Badges</v>
      </c>
      <c r="J1274" s="3">
        <f t="shared" si="5"/>
        <v>0</v>
      </c>
    </row>
    <row r="1275">
      <c r="A1275" s="1" t="s">
        <v>1083</v>
      </c>
      <c r="B1275" s="3" t="str">
        <f t="shared" si="1"/>
        <v>Unavailable</v>
      </c>
      <c r="C1275" s="3">
        <v>10.0</v>
      </c>
      <c r="D1275" s="3">
        <f>IFERROR(__xludf.DUMMYFUNCTION("IFERROR(
IF(REGEXMATCH(LOWER(O1275),""k""),
VALUE(REGEXEXTRACT(O1275,""[0-9]+""))*1000,
VALUE(REGEXEXTRACT(O1275,""[0-9]+""))
),
0
)"),0.0)</f>
        <v>0</v>
      </c>
      <c r="E1275" s="1" t="s">
        <v>11</v>
      </c>
      <c r="F1275" s="1" t="s">
        <v>20</v>
      </c>
      <c r="G1275" s="4" t="b">
        <f t="shared" si="2"/>
        <v>1</v>
      </c>
      <c r="H1275" s="1" t="str">
        <f t="shared" si="3"/>
        <v>Currently Unavailable</v>
      </c>
      <c r="I1275" s="1" t="str">
        <f t="shared" si="4"/>
        <v>No Badges</v>
      </c>
      <c r="J1275" s="3">
        <f t="shared" si="5"/>
        <v>0</v>
      </c>
    </row>
    <row r="1276">
      <c r="A1276" s="1" t="s">
        <v>1084</v>
      </c>
      <c r="B1276" s="3" t="str">
        <f t="shared" si="1"/>
        <v>Unavailable</v>
      </c>
      <c r="C1276" s="3">
        <v>162.0</v>
      </c>
      <c r="D1276" s="3">
        <f>IFERROR(__xludf.DUMMYFUNCTION("IFERROR(
IF(REGEXMATCH(LOWER(O1276),""k""),
VALUE(REGEXEXTRACT(O1276,""[0-9]+""))*1000,
VALUE(REGEXEXTRACT(O1276,""[0-9]+""))
),
0
)"),0.0)</f>
        <v>0</v>
      </c>
      <c r="E1276" s="1" t="s">
        <v>11</v>
      </c>
      <c r="F1276" s="1" t="s">
        <v>20</v>
      </c>
      <c r="G1276" s="4" t="b">
        <f t="shared" si="2"/>
        <v>1</v>
      </c>
      <c r="H1276" s="1" t="str">
        <f t="shared" si="3"/>
        <v>Currently Unavailable</v>
      </c>
      <c r="I1276" s="1" t="str">
        <f t="shared" si="4"/>
        <v>No Badges</v>
      </c>
      <c r="J1276" s="3">
        <f t="shared" si="5"/>
        <v>0</v>
      </c>
    </row>
    <row r="1277">
      <c r="A1277" s="1" t="s">
        <v>1085</v>
      </c>
      <c r="B1277" s="3" t="str">
        <f t="shared" si="1"/>
        <v>Unavailable</v>
      </c>
      <c r="C1277" s="5">
        <v>1060.0</v>
      </c>
      <c r="D1277" s="3">
        <f>IFERROR(__xludf.DUMMYFUNCTION("IFERROR(
IF(REGEXMATCH(LOWER(O1277),""k""),
VALUE(REGEXEXTRACT(O1277,""[0-9]+""))*1000,
VALUE(REGEXEXTRACT(O1277,""[0-9]+""))
),
0
)"),0.0)</f>
        <v>0</v>
      </c>
      <c r="E1277" s="1" t="s">
        <v>11</v>
      </c>
      <c r="F1277" s="1" t="s">
        <v>20</v>
      </c>
      <c r="G1277" s="4" t="b">
        <f t="shared" si="2"/>
        <v>1</v>
      </c>
      <c r="H1277" s="1" t="str">
        <f t="shared" si="3"/>
        <v>Currently Unavailable</v>
      </c>
      <c r="I1277" s="1" t="str">
        <f t="shared" si="4"/>
        <v>No Badges</v>
      </c>
      <c r="J1277" s="3">
        <f t="shared" si="5"/>
        <v>0</v>
      </c>
    </row>
    <row r="1278">
      <c r="A1278" s="1" t="s">
        <v>1086</v>
      </c>
      <c r="B1278" s="3" t="str">
        <f t="shared" si="1"/>
        <v>Unavailable</v>
      </c>
      <c r="C1278" s="5">
        <v>2015.0</v>
      </c>
      <c r="D1278" s="3">
        <f>IFERROR(__xludf.DUMMYFUNCTION("IFERROR(
IF(REGEXMATCH(LOWER(O1278),""k""),
VALUE(REGEXEXTRACT(O1278,""[0-9]+""))*1000,
VALUE(REGEXEXTRACT(O1278,""[0-9]+""))
),
0
)"),0.0)</f>
        <v>0</v>
      </c>
      <c r="E1278" s="1" t="s">
        <v>11</v>
      </c>
      <c r="F1278" s="1" t="s">
        <v>20</v>
      </c>
      <c r="G1278" s="4" t="b">
        <f t="shared" si="2"/>
        <v>1</v>
      </c>
      <c r="H1278" s="1" t="str">
        <f t="shared" si="3"/>
        <v>Currently Unavailable</v>
      </c>
      <c r="I1278" s="1" t="str">
        <f t="shared" si="4"/>
        <v>No Badges</v>
      </c>
      <c r="J1278" s="3">
        <f t="shared" si="5"/>
        <v>0</v>
      </c>
    </row>
    <row r="1279">
      <c r="A1279" s="1" t="s">
        <v>1087</v>
      </c>
      <c r="B1279" s="3" t="str">
        <f t="shared" si="1"/>
        <v>Unavailable</v>
      </c>
      <c r="C1279" s="5">
        <v>44522.0</v>
      </c>
      <c r="D1279" s="3">
        <f>IFERROR(__xludf.DUMMYFUNCTION("IFERROR(
IF(REGEXMATCH(LOWER(O1279),""k""),
VALUE(REGEXEXTRACT(O1279,""[0-9]+""))*1000,
VALUE(REGEXEXTRACT(O1279,""[0-9]+""))
),
0
)"),0.0)</f>
        <v>0</v>
      </c>
      <c r="E1279" s="1" t="s">
        <v>158</v>
      </c>
      <c r="F1279" s="1" t="s">
        <v>20</v>
      </c>
      <c r="G1279" s="4" t="b">
        <f t="shared" si="2"/>
        <v>1</v>
      </c>
      <c r="H1279" s="1" t="str">
        <f t="shared" si="3"/>
        <v>Currently Unavailable</v>
      </c>
      <c r="I1279" s="1" t="str">
        <f t="shared" si="4"/>
        <v>No Badges</v>
      </c>
      <c r="J1279" s="3">
        <f t="shared" si="5"/>
        <v>0</v>
      </c>
    </row>
    <row r="1280">
      <c r="A1280" s="1" t="s">
        <v>1088</v>
      </c>
      <c r="B1280" s="3" t="str">
        <f t="shared" si="1"/>
        <v>Unavailable</v>
      </c>
      <c r="C1280" s="5">
        <v>865598.0</v>
      </c>
      <c r="D1280" s="3">
        <f>IFERROR(__xludf.DUMMYFUNCTION("IFERROR(
IF(REGEXMATCH(LOWER(O1280),""k""),
VALUE(REGEXEXTRACT(O1280,""[0-9]+""))*1000,
VALUE(REGEXEXTRACT(O1280,""[0-9]+""))
),
0
)"),0.0)</f>
        <v>0</v>
      </c>
      <c r="E1280" s="1" t="s">
        <v>158</v>
      </c>
      <c r="F1280" s="1" t="s">
        <v>20</v>
      </c>
      <c r="G1280" s="4" t="b">
        <f t="shared" si="2"/>
        <v>1</v>
      </c>
      <c r="H1280" s="1" t="str">
        <f t="shared" si="3"/>
        <v>Currently Unavailable</v>
      </c>
      <c r="I1280" s="1" t="str">
        <f t="shared" si="4"/>
        <v>No Badges</v>
      </c>
      <c r="J1280" s="3">
        <f t="shared" si="5"/>
        <v>0</v>
      </c>
    </row>
    <row r="1281">
      <c r="A1281" s="1" t="s">
        <v>1089</v>
      </c>
      <c r="B1281" s="3" t="str">
        <f t="shared" si="1"/>
        <v>Unavailable</v>
      </c>
      <c r="C1281" s="5">
        <v>48468.0</v>
      </c>
      <c r="D1281" s="3">
        <f>IFERROR(__xludf.DUMMYFUNCTION("IFERROR(
IF(REGEXMATCH(LOWER(O1281),""k""),
VALUE(REGEXEXTRACT(O1281,""[0-9]+""))*1000,
VALUE(REGEXEXTRACT(O1281,""[0-9]+""))
),
0
)"),0.0)</f>
        <v>0</v>
      </c>
      <c r="E1281" s="1" t="s">
        <v>158</v>
      </c>
      <c r="F1281" s="1" t="s">
        <v>20</v>
      </c>
      <c r="G1281" s="4" t="b">
        <f t="shared" si="2"/>
        <v>1</v>
      </c>
      <c r="H1281" s="1" t="str">
        <f t="shared" si="3"/>
        <v>Currently Unavailable</v>
      </c>
      <c r="I1281" s="1" t="str">
        <f t="shared" si="4"/>
        <v>No Badges</v>
      </c>
      <c r="J1281" s="3">
        <f t="shared" si="5"/>
        <v>0</v>
      </c>
    </row>
    <row r="1282">
      <c r="A1282" s="1" t="s">
        <v>1090</v>
      </c>
      <c r="B1282" s="3" t="str">
        <f t="shared" si="1"/>
        <v>Unavailable</v>
      </c>
      <c r="C1282" s="5">
        <v>625776.0</v>
      </c>
      <c r="D1282" s="3">
        <f>IFERROR(__xludf.DUMMYFUNCTION("IFERROR(
IF(REGEXMATCH(LOWER(O1282),""k""),
VALUE(REGEXEXTRACT(O1282,""[0-9]+""))*1000,
VALUE(REGEXEXTRACT(O1282,""[0-9]+""))
),
0
)"),0.0)</f>
        <v>0</v>
      </c>
      <c r="E1282" s="1" t="s">
        <v>158</v>
      </c>
      <c r="F1282" s="1" t="s">
        <v>20</v>
      </c>
      <c r="G1282" s="4" t="b">
        <f t="shared" si="2"/>
        <v>1</v>
      </c>
      <c r="H1282" s="1" t="str">
        <f t="shared" si="3"/>
        <v>Currently Unavailable</v>
      </c>
      <c r="I1282" s="1" t="str">
        <f t="shared" si="4"/>
        <v>No Badges</v>
      </c>
      <c r="J1282" s="3">
        <f t="shared" si="5"/>
        <v>0</v>
      </c>
    </row>
    <row r="1283">
      <c r="A1283" s="1" t="s">
        <v>1091</v>
      </c>
      <c r="B1283" s="3" t="str">
        <f t="shared" si="1"/>
        <v>Unavailable</v>
      </c>
      <c r="C1283" s="5">
        <v>88965.0</v>
      </c>
      <c r="D1283" s="3">
        <f>IFERROR(__xludf.DUMMYFUNCTION("IFERROR(
IF(REGEXMATCH(LOWER(O1283),""k""),
VALUE(REGEXEXTRACT(O1283,""[0-9]+""))*1000,
VALUE(REGEXEXTRACT(O1283,""[0-9]+""))
),
0
)"),0.0)</f>
        <v>0</v>
      </c>
      <c r="E1283" s="1" t="s">
        <v>158</v>
      </c>
      <c r="F1283" s="1" t="s">
        <v>20</v>
      </c>
      <c r="G1283" s="4" t="b">
        <f t="shared" si="2"/>
        <v>1</v>
      </c>
      <c r="H1283" s="1" t="str">
        <f t="shared" si="3"/>
        <v>Currently Unavailable</v>
      </c>
      <c r="I1283" s="1" t="str">
        <f t="shared" si="4"/>
        <v>No Badges</v>
      </c>
      <c r="J1283" s="3">
        <f t="shared" si="5"/>
        <v>0</v>
      </c>
    </row>
    <row r="1284">
      <c r="A1284" s="1" t="s">
        <v>1092</v>
      </c>
      <c r="B1284" s="3" t="str">
        <f t="shared" si="1"/>
        <v>Unavailable</v>
      </c>
      <c r="C1284" s="5">
        <v>61157.0</v>
      </c>
      <c r="D1284" s="3">
        <f>IFERROR(__xludf.DUMMYFUNCTION("IFERROR(
IF(REGEXMATCH(LOWER(O1284),""k""),
VALUE(REGEXEXTRACT(O1284,""[0-9]+""))*1000,
VALUE(REGEXEXTRACT(O1284,""[0-9]+""))
),
0
)"),0.0)</f>
        <v>0</v>
      </c>
      <c r="E1284" s="1" t="s">
        <v>11</v>
      </c>
      <c r="F1284" s="1" t="s">
        <v>20</v>
      </c>
      <c r="G1284" s="4" t="b">
        <f t="shared" si="2"/>
        <v>1</v>
      </c>
      <c r="H1284" s="1" t="str">
        <f t="shared" si="3"/>
        <v>Currently Unavailable</v>
      </c>
      <c r="I1284" s="1" t="str">
        <f t="shared" si="4"/>
        <v>No Badges</v>
      </c>
      <c r="J1284" s="3">
        <f t="shared" si="5"/>
        <v>0</v>
      </c>
    </row>
    <row r="1285">
      <c r="A1285" s="1" t="s">
        <v>1093</v>
      </c>
      <c r="B1285" s="3" t="str">
        <f t="shared" si="1"/>
        <v>Unavailable</v>
      </c>
      <c r="C1285" s="5">
        <v>54244.0</v>
      </c>
      <c r="D1285" s="3">
        <f>IFERROR(__xludf.DUMMYFUNCTION("IFERROR(
IF(REGEXMATCH(LOWER(O1285),""k""),
VALUE(REGEXEXTRACT(O1285,""[0-9]+""))*1000,
VALUE(REGEXEXTRACT(O1285,""[0-9]+""))
),
0
)"),0.0)</f>
        <v>0</v>
      </c>
      <c r="E1285" s="1" t="s">
        <v>11</v>
      </c>
      <c r="F1285" s="1" t="s">
        <v>20</v>
      </c>
      <c r="G1285" s="4" t="b">
        <f t="shared" si="2"/>
        <v>1</v>
      </c>
      <c r="H1285" s="1" t="str">
        <f t="shared" si="3"/>
        <v>Currently Unavailable</v>
      </c>
      <c r="I1285" s="1" t="str">
        <f t="shared" si="4"/>
        <v>No Badges</v>
      </c>
      <c r="J1285" s="3">
        <f t="shared" si="5"/>
        <v>0</v>
      </c>
    </row>
    <row r="1286">
      <c r="A1286" s="1" t="s">
        <v>1094</v>
      </c>
      <c r="B1286" s="3" t="str">
        <f t="shared" si="1"/>
        <v>Unavailable</v>
      </c>
      <c r="C1286" s="5">
        <v>84821.0</v>
      </c>
      <c r="D1286" s="3">
        <f>IFERROR(__xludf.DUMMYFUNCTION("IFERROR(
IF(REGEXMATCH(LOWER(O1286),""k""),
VALUE(REGEXEXTRACT(O1286,""[0-9]+""))*1000,
VALUE(REGEXEXTRACT(O1286,""[0-9]+""))
),
0
)"),0.0)</f>
        <v>0</v>
      </c>
      <c r="E1286" s="1" t="s">
        <v>158</v>
      </c>
      <c r="F1286" s="1" t="s">
        <v>20</v>
      </c>
      <c r="G1286" s="4" t="b">
        <f t="shared" si="2"/>
        <v>1</v>
      </c>
      <c r="H1286" s="1" t="str">
        <f t="shared" si="3"/>
        <v>Currently Unavailable</v>
      </c>
      <c r="I1286" s="1" t="str">
        <f t="shared" si="4"/>
        <v>No Badges</v>
      </c>
      <c r="J1286" s="3">
        <f t="shared" si="5"/>
        <v>0</v>
      </c>
    </row>
    <row r="1287">
      <c r="A1287" s="1" t="s">
        <v>1092</v>
      </c>
      <c r="B1287" s="3" t="str">
        <f t="shared" si="1"/>
        <v>Unavailable</v>
      </c>
      <c r="C1287" s="5">
        <v>61158.0</v>
      </c>
      <c r="D1287" s="3">
        <f>IFERROR(__xludf.DUMMYFUNCTION("IFERROR(
IF(REGEXMATCH(LOWER(O1287),""k""),
VALUE(REGEXEXTRACT(O1287,""[0-9]+""))*1000,
VALUE(REGEXEXTRACT(O1287,""[0-9]+""))
),
0
)"),0.0)</f>
        <v>0</v>
      </c>
      <c r="E1287" s="1" t="s">
        <v>11</v>
      </c>
      <c r="F1287" s="1" t="s">
        <v>12</v>
      </c>
      <c r="G1287" s="4" t="b">
        <f t="shared" si="2"/>
        <v>1</v>
      </c>
      <c r="H1287" s="1" t="str">
        <f t="shared" si="3"/>
        <v>Currently Unavailable</v>
      </c>
      <c r="I1287" s="1" t="str">
        <f t="shared" si="4"/>
        <v>No Badges</v>
      </c>
      <c r="J1287" s="3">
        <f t="shared" si="5"/>
        <v>0</v>
      </c>
    </row>
    <row r="1288">
      <c r="A1288" s="1" t="s">
        <v>40</v>
      </c>
      <c r="B1288" s="3" t="str">
        <f t="shared" si="1"/>
        <v>Unavailable</v>
      </c>
      <c r="C1288" s="3">
        <v>171.0</v>
      </c>
      <c r="D1288" s="3">
        <f>IFERROR(__xludf.DUMMYFUNCTION("IFERROR(
IF(REGEXMATCH(LOWER(O1288),""k""),
VALUE(REGEXEXTRACT(O1288,""[0-9]+""))*1000,
VALUE(REGEXEXTRACT(O1288,""[0-9]+""))
),
0
)"),0.0)</f>
        <v>0</v>
      </c>
      <c r="E1288" s="1" t="s">
        <v>11</v>
      </c>
      <c r="F1288" s="1" t="s">
        <v>12</v>
      </c>
      <c r="G1288" s="4" t="b">
        <f t="shared" si="2"/>
        <v>1</v>
      </c>
      <c r="H1288" s="1" t="str">
        <f t="shared" si="3"/>
        <v>Currently Unavailable</v>
      </c>
      <c r="I1288" s="1" t="str">
        <f t="shared" si="4"/>
        <v>No Badges</v>
      </c>
      <c r="J1288" s="3">
        <f t="shared" si="5"/>
        <v>0</v>
      </c>
    </row>
    <row r="1289">
      <c r="A1289" s="1" t="s">
        <v>1092</v>
      </c>
      <c r="B1289" s="3" t="str">
        <f t="shared" si="1"/>
        <v>Unavailable</v>
      </c>
      <c r="C1289" s="5">
        <v>61158.0</v>
      </c>
      <c r="D1289" s="3">
        <f>IFERROR(__xludf.DUMMYFUNCTION("IFERROR(
IF(REGEXMATCH(LOWER(O1289),""k""),
VALUE(REGEXEXTRACT(O1289,""[0-9]+""))*1000,
VALUE(REGEXEXTRACT(O1289,""[0-9]+""))
),
0
)"),0.0)</f>
        <v>0</v>
      </c>
      <c r="E1289" s="1" t="s">
        <v>18</v>
      </c>
      <c r="F1289" s="1" t="s">
        <v>12</v>
      </c>
      <c r="G1289" s="4" t="b">
        <f t="shared" si="2"/>
        <v>1</v>
      </c>
      <c r="H1289" s="1" t="str">
        <f t="shared" si="3"/>
        <v>Currently Unavailable</v>
      </c>
      <c r="I1289" s="1" t="str">
        <f t="shared" si="4"/>
        <v>No Badges</v>
      </c>
      <c r="J1289" s="3">
        <f t="shared" si="5"/>
        <v>0</v>
      </c>
    </row>
    <row r="1290">
      <c r="A1290" s="1" t="s">
        <v>1092</v>
      </c>
      <c r="B1290" s="3" t="str">
        <f t="shared" si="1"/>
        <v>Unavailable</v>
      </c>
      <c r="C1290" s="5">
        <v>61158.0</v>
      </c>
      <c r="D1290" s="3">
        <f>IFERROR(__xludf.DUMMYFUNCTION("IFERROR(
IF(REGEXMATCH(LOWER(O1290),""k""),
VALUE(REGEXEXTRACT(O1290,""[0-9]+""))*1000,
VALUE(REGEXEXTRACT(O1290,""[0-9]+""))
),
0
)"),0.0)</f>
        <v>0</v>
      </c>
      <c r="E1290" s="1" t="s">
        <v>11</v>
      </c>
      <c r="F1290" s="1" t="s">
        <v>12</v>
      </c>
      <c r="G1290" s="4" t="b">
        <f t="shared" si="2"/>
        <v>1</v>
      </c>
      <c r="H1290" s="1" t="str">
        <f t="shared" si="3"/>
        <v>Currently Unavailable</v>
      </c>
      <c r="I1290" s="1" t="str">
        <f t="shared" si="4"/>
        <v>No Badges</v>
      </c>
      <c r="J1290" s="3">
        <f t="shared" si="5"/>
        <v>0</v>
      </c>
    </row>
    <row r="1291">
      <c r="A1291" s="1" t="s">
        <v>1095</v>
      </c>
      <c r="B1291" s="3" t="str">
        <f t="shared" si="1"/>
        <v>Unavailable</v>
      </c>
      <c r="C1291" s="3">
        <v>262.0</v>
      </c>
      <c r="D1291" s="3">
        <f>IFERROR(__xludf.DUMMYFUNCTION("IFERROR(
IF(REGEXMATCH(LOWER(O1291),""k""),
VALUE(REGEXEXTRACT(O1291,""[0-9]+""))*1000,
VALUE(REGEXEXTRACT(O1291,""[0-9]+""))
),
0
)"),0.0)</f>
        <v>0</v>
      </c>
      <c r="E1291" s="1" t="s">
        <v>11</v>
      </c>
      <c r="F1291" s="1" t="s">
        <v>12</v>
      </c>
      <c r="G1291" s="4" t="b">
        <f t="shared" si="2"/>
        <v>1</v>
      </c>
      <c r="H1291" s="1" t="str">
        <f t="shared" si="3"/>
        <v>Currently Unavailable</v>
      </c>
      <c r="I1291" s="1" t="str">
        <f t="shared" si="4"/>
        <v>No Badges</v>
      </c>
      <c r="J1291" s="3">
        <f t="shared" si="5"/>
        <v>0</v>
      </c>
    </row>
    <row r="1292">
      <c r="A1292" s="1" t="s">
        <v>1096</v>
      </c>
      <c r="B1292" s="3" t="str">
        <f t="shared" si="1"/>
        <v>Unavailable</v>
      </c>
      <c r="C1292" s="5">
        <v>1766.0</v>
      </c>
      <c r="D1292" s="3">
        <f>IFERROR(__xludf.DUMMYFUNCTION("IFERROR(
IF(REGEXMATCH(LOWER(O1292),""k""),
VALUE(REGEXEXTRACT(O1292,""[0-9]+""))*1000,
VALUE(REGEXEXTRACT(O1292,""[0-9]+""))
),
0
)"),0.0)</f>
        <v>0</v>
      </c>
      <c r="E1292" s="1" t="s">
        <v>11</v>
      </c>
      <c r="F1292" s="1" t="s">
        <v>20</v>
      </c>
      <c r="G1292" s="4" t="b">
        <f t="shared" si="2"/>
        <v>1</v>
      </c>
      <c r="H1292" s="1" t="str">
        <f t="shared" si="3"/>
        <v>Currently Unavailable</v>
      </c>
      <c r="I1292" s="1" t="str">
        <f t="shared" si="4"/>
        <v>No Badges</v>
      </c>
      <c r="J1292" s="3">
        <f t="shared" si="5"/>
        <v>0</v>
      </c>
    </row>
    <row r="1293">
      <c r="A1293" s="1" t="s">
        <v>1092</v>
      </c>
      <c r="B1293" s="3" t="str">
        <f t="shared" si="1"/>
        <v>Unavailable</v>
      </c>
      <c r="C1293" s="5">
        <v>61158.0</v>
      </c>
      <c r="D1293" s="3">
        <f>IFERROR(__xludf.DUMMYFUNCTION("IFERROR(
IF(REGEXMATCH(LOWER(O1293),""k""),
VALUE(REGEXEXTRACT(O1293,""[0-9]+""))*1000,
VALUE(REGEXEXTRACT(O1293,""[0-9]+""))
),
0
)"),0.0)</f>
        <v>0</v>
      </c>
      <c r="E1293" s="1" t="s">
        <v>11</v>
      </c>
      <c r="F1293" s="1" t="s">
        <v>12</v>
      </c>
      <c r="G1293" s="4" t="b">
        <f t="shared" si="2"/>
        <v>1</v>
      </c>
      <c r="H1293" s="1" t="str">
        <f t="shared" si="3"/>
        <v>Currently Unavailable</v>
      </c>
      <c r="I1293" s="1" t="str">
        <f t="shared" si="4"/>
        <v>No Badges</v>
      </c>
      <c r="J1293" s="3">
        <f t="shared" si="5"/>
        <v>0</v>
      </c>
    </row>
    <row r="1294">
      <c r="A1294" s="1" t="s">
        <v>1097</v>
      </c>
      <c r="B1294" s="3" t="str">
        <f t="shared" si="1"/>
        <v>Unavailable</v>
      </c>
      <c r="C1294" s="5">
        <v>1137.0</v>
      </c>
      <c r="D1294" s="3">
        <f>IFERROR(__xludf.DUMMYFUNCTION("IFERROR(
IF(REGEXMATCH(LOWER(O1294),""k""),
VALUE(REGEXEXTRACT(O1294,""[0-9]+""))*1000,
VALUE(REGEXEXTRACT(O1294,""[0-9]+""))
),
0
)"),0.0)</f>
        <v>0</v>
      </c>
      <c r="E1294" s="1" t="s">
        <v>11</v>
      </c>
      <c r="F1294" s="1" t="s">
        <v>20</v>
      </c>
      <c r="G1294" s="4" t="b">
        <f t="shared" si="2"/>
        <v>1</v>
      </c>
      <c r="H1294" s="1" t="str">
        <f t="shared" si="3"/>
        <v>Currently Unavailable</v>
      </c>
      <c r="I1294" s="1" t="str">
        <f t="shared" si="4"/>
        <v>No Badges</v>
      </c>
      <c r="J1294" s="3">
        <f t="shared" si="5"/>
        <v>0</v>
      </c>
    </row>
    <row r="1295">
      <c r="A1295" s="1" t="s">
        <v>1092</v>
      </c>
      <c r="B1295" s="3" t="str">
        <f t="shared" si="1"/>
        <v>Unavailable</v>
      </c>
      <c r="C1295" s="5">
        <v>61158.0</v>
      </c>
      <c r="D1295" s="3">
        <f>IFERROR(__xludf.DUMMYFUNCTION("IFERROR(
IF(REGEXMATCH(LOWER(O1295),""k""),
VALUE(REGEXEXTRACT(O1295,""[0-9]+""))*1000,
VALUE(REGEXEXTRACT(O1295,""[0-9]+""))
),
0
)"),0.0)</f>
        <v>0</v>
      </c>
      <c r="E1295" s="1" t="s">
        <v>18</v>
      </c>
      <c r="F1295" s="1" t="s">
        <v>12</v>
      </c>
      <c r="G1295" s="4" t="b">
        <f t="shared" si="2"/>
        <v>1</v>
      </c>
      <c r="H1295" s="1" t="str">
        <f t="shared" si="3"/>
        <v>Currently Unavailable</v>
      </c>
      <c r="I1295" s="1" t="str">
        <f t="shared" si="4"/>
        <v>No Badges</v>
      </c>
      <c r="J1295" s="3">
        <f t="shared" si="5"/>
        <v>0</v>
      </c>
    </row>
    <row r="1296">
      <c r="A1296" s="1" t="s">
        <v>1098</v>
      </c>
      <c r="B1296" s="3" t="str">
        <f t="shared" si="1"/>
        <v>Unavailable</v>
      </c>
      <c r="C1296" s="5">
        <v>35882.0</v>
      </c>
      <c r="D1296" s="3">
        <f>IFERROR(__xludf.DUMMYFUNCTION("IFERROR(
IF(REGEXMATCH(LOWER(O1296),""k""),
VALUE(REGEXEXTRACT(O1296,""[0-9]+""))*1000,
VALUE(REGEXEXTRACT(O1296,""[0-9]+""))
),
0
)"),0.0)</f>
        <v>0</v>
      </c>
      <c r="E1296" s="1" t="s">
        <v>158</v>
      </c>
      <c r="F1296" s="1" t="s">
        <v>20</v>
      </c>
      <c r="G1296" s="4" t="b">
        <f t="shared" si="2"/>
        <v>1</v>
      </c>
      <c r="H1296" s="1" t="str">
        <f t="shared" si="3"/>
        <v>Currently Unavailable</v>
      </c>
      <c r="I1296" s="1" t="str">
        <f t="shared" si="4"/>
        <v>No Badges</v>
      </c>
      <c r="J1296" s="3">
        <f t="shared" si="5"/>
        <v>0</v>
      </c>
    </row>
    <row r="1297">
      <c r="A1297" s="1" t="s">
        <v>1099</v>
      </c>
      <c r="B1297" s="3" t="str">
        <f t="shared" si="1"/>
        <v>Unavailable</v>
      </c>
      <c r="C1297" s="5">
        <v>28988.0</v>
      </c>
      <c r="D1297" s="3">
        <f>IFERROR(__xludf.DUMMYFUNCTION("IFERROR(
IF(REGEXMATCH(LOWER(O1297),""k""),
VALUE(REGEXEXTRACT(O1297,""[0-9]+""))*1000,
VALUE(REGEXEXTRACT(O1297,""[0-9]+""))
),
0
)"),0.0)</f>
        <v>0</v>
      </c>
      <c r="E1297" s="1" t="s">
        <v>11</v>
      </c>
      <c r="F1297" s="1" t="s">
        <v>20</v>
      </c>
      <c r="G1297" s="4" t="b">
        <f t="shared" si="2"/>
        <v>1</v>
      </c>
      <c r="H1297" s="1" t="str">
        <f t="shared" si="3"/>
        <v>Currently Unavailable</v>
      </c>
      <c r="I1297" s="1" t="str">
        <f t="shared" si="4"/>
        <v>No Badges</v>
      </c>
      <c r="J1297" s="3">
        <f t="shared" si="5"/>
        <v>0</v>
      </c>
    </row>
    <row r="1298">
      <c r="A1298" s="1" t="s">
        <v>1100</v>
      </c>
      <c r="B1298" s="3" t="str">
        <f t="shared" si="1"/>
        <v>Unavailable</v>
      </c>
      <c r="C1298" s="5">
        <v>13466.0</v>
      </c>
      <c r="D1298" s="3">
        <f>IFERROR(__xludf.DUMMYFUNCTION("IFERROR(
IF(REGEXMATCH(LOWER(O1298),""k""),
VALUE(REGEXEXTRACT(O1298,""[0-9]+""))*1000,
VALUE(REGEXEXTRACT(O1298,""[0-9]+""))
),
0
)"),0.0)</f>
        <v>0</v>
      </c>
      <c r="E1298" s="1" t="s">
        <v>11</v>
      </c>
      <c r="F1298" s="1" t="s">
        <v>20</v>
      </c>
      <c r="G1298" s="4" t="b">
        <f t="shared" si="2"/>
        <v>1</v>
      </c>
      <c r="H1298" s="1" t="str">
        <f t="shared" si="3"/>
        <v>Currently Unavailable</v>
      </c>
      <c r="I1298" s="1" t="str">
        <f t="shared" si="4"/>
        <v>No Badges</v>
      </c>
      <c r="J1298" s="3">
        <f t="shared" si="5"/>
        <v>0</v>
      </c>
    </row>
    <row r="1299">
      <c r="A1299" s="1" t="s">
        <v>1101</v>
      </c>
      <c r="B1299" s="3" t="str">
        <f t="shared" si="1"/>
        <v>Unavailable</v>
      </c>
      <c r="C1299" s="5">
        <v>38105.0</v>
      </c>
      <c r="D1299" s="3">
        <f>IFERROR(__xludf.DUMMYFUNCTION("IFERROR(
IF(REGEXMATCH(LOWER(O1299),""k""),
VALUE(REGEXEXTRACT(O1299,""[0-9]+""))*1000,
VALUE(REGEXEXTRACT(O1299,""[0-9]+""))
),
0
)"),0.0)</f>
        <v>0</v>
      </c>
      <c r="E1299" s="1" t="s">
        <v>158</v>
      </c>
      <c r="F1299" s="1" t="s">
        <v>20</v>
      </c>
      <c r="G1299" s="4" t="b">
        <f t="shared" si="2"/>
        <v>1</v>
      </c>
      <c r="H1299" s="1" t="str">
        <f t="shared" si="3"/>
        <v>Currently Unavailable</v>
      </c>
      <c r="I1299" s="1" t="str">
        <f t="shared" si="4"/>
        <v>No Badges</v>
      </c>
      <c r="J1299" s="3">
        <f t="shared" si="5"/>
        <v>0</v>
      </c>
    </row>
    <row r="1300">
      <c r="A1300" s="1" t="s">
        <v>1102</v>
      </c>
      <c r="B1300" s="3" t="str">
        <f t="shared" si="1"/>
        <v>Unavailable</v>
      </c>
      <c r="C1300" s="5">
        <v>7308.0</v>
      </c>
      <c r="D1300" s="3">
        <f>IFERROR(__xludf.DUMMYFUNCTION("IFERROR(
IF(REGEXMATCH(LOWER(O1300),""k""),
VALUE(REGEXEXTRACT(O1300,""[0-9]+""))*1000,
VALUE(REGEXEXTRACT(O1300,""[0-9]+""))
),
0
)"),0.0)</f>
        <v>0</v>
      </c>
      <c r="E1300" s="1" t="s">
        <v>158</v>
      </c>
      <c r="F1300" s="1" t="s">
        <v>20</v>
      </c>
      <c r="G1300" s="4" t="b">
        <f t="shared" si="2"/>
        <v>1</v>
      </c>
      <c r="H1300" s="1" t="str">
        <f t="shared" si="3"/>
        <v>Currently Unavailable</v>
      </c>
      <c r="I1300" s="1" t="str">
        <f t="shared" si="4"/>
        <v>No Badges</v>
      </c>
      <c r="J1300" s="3">
        <f t="shared" si="5"/>
        <v>0</v>
      </c>
    </row>
    <row r="1301">
      <c r="A1301" s="1" t="s">
        <v>1103</v>
      </c>
      <c r="B1301" s="3" t="str">
        <f t="shared" si="1"/>
        <v>Unavailable</v>
      </c>
      <c r="C1301" s="5">
        <v>1914.0</v>
      </c>
      <c r="D1301" s="3">
        <f>IFERROR(__xludf.DUMMYFUNCTION("IFERROR(
IF(REGEXMATCH(LOWER(O1301),""k""),
VALUE(REGEXEXTRACT(O1301,""[0-9]+""))*1000,
VALUE(REGEXEXTRACT(O1301,""[0-9]+""))
),
0
)"),0.0)</f>
        <v>0</v>
      </c>
      <c r="E1301" s="1" t="s">
        <v>158</v>
      </c>
      <c r="F1301" s="1" t="s">
        <v>20</v>
      </c>
      <c r="G1301" s="4" t="b">
        <f t="shared" si="2"/>
        <v>1</v>
      </c>
      <c r="H1301" s="1" t="str">
        <f t="shared" si="3"/>
        <v>Currently Unavailable</v>
      </c>
      <c r="I1301" s="1" t="str">
        <f t="shared" si="4"/>
        <v>No Badges</v>
      </c>
      <c r="J1301" s="3">
        <f t="shared" si="5"/>
        <v>0</v>
      </c>
    </row>
    <row r="1302">
      <c r="A1302" s="1" t="s">
        <v>1104</v>
      </c>
      <c r="B1302" s="3" t="str">
        <f t="shared" si="1"/>
        <v>Unavailable</v>
      </c>
      <c r="C1302" s="5">
        <v>1909.0</v>
      </c>
      <c r="D1302" s="3">
        <f>IFERROR(__xludf.DUMMYFUNCTION("IFERROR(
IF(REGEXMATCH(LOWER(O1302),""k""),
VALUE(REGEXEXTRACT(O1302,""[0-9]+""))*1000,
VALUE(REGEXEXTRACT(O1302,""[0-9]+""))
),
0
)"),0.0)</f>
        <v>0</v>
      </c>
      <c r="E1302" s="1" t="s">
        <v>11</v>
      </c>
      <c r="F1302" s="1" t="s">
        <v>20</v>
      </c>
      <c r="G1302" s="4" t="b">
        <f t="shared" si="2"/>
        <v>1</v>
      </c>
      <c r="H1302" s="1" t="str">
        <f t="shared" si="3"/>
        <v>Currently Unavailable</v>
      </c>
      <c r="I1302" s="1" t="str">
        <f t="shared" si="4"/>
        <v>No Badges</v>
      </c>
      <c r="J1302" s="3">
        <f t="shared" si="5"/>
        <v>0</v>
      </c>
    </row>
    <row r="1303">
      <c r="A1303" s="1" t="s">
        <v>1105</v>
      </c>
      <c r="B1303" s="3" t="str">
        <f t="shared" si="1"/>
        <v>Unavailable</v>
      </c>
      <c r="C1303" s="5">
        <v>12840.0</v>
      </c>
      <c r="D1303" s="3">
        <f>IFERROR(__xludf.DUMMYFUNCTION("IFERROR(
IF(REGEXMATCH(LOWER(O1303),""k""),
VALUE(REGEXEXTRACT(O1303,""[0-9]+""))*1000,
VALUE(REGEXEXTRACT(O1303,""[0-9]+""))
),
0
)"),0.0)</f>
        <v>0</v>
      </c>
      <c r="E1303" s="1" t="s">
        <v>11</v>
      </c>
      <c r="F1303" s="1" t="s">
        <v>20</v>
      </c>
      <c r="G1303" s="4" t="b">
        <f t="shared" si="2"/>
        <v>1</v>
      </c>
      <c r="H1303" s="1" t="str">
        <f t="shared" si="3"/>
        <v>Currently Unavailable</v>
      </c>
      <c r="I1303" s="1" t="str">
        <f t="shared" si="4"/>
        <v>No Badges</v>
      </c>
      <c r="J1303" s="3">
        <f t="shared" si="5"/>
        <v>0</v>
      </c>
    </row>
    <row r="1304">
      <c r="A1304" s="1" t="s">
        <v>69</v>
      </c>
      <c r="B1304" s="3" t="str">
        <f t="shared" si="1"/>
        <v>Unavailable</v>
      </c>
      <c r="C1304" s="3">
        <v>45.0</v>
      </c>
      <c r="D1304" s="3">
        <f>IFERROR(__xludf.DUMMYFUNCTION("IFERROR(
IF(REGEXMATCH(LOWER(O1304),""k""),
VALUE(REGEXEXTRACT(O1304,""[0-9]+""))*1000,
VALUE(REGEXEXTRACT(O1304,""[0-9]+""))
),
0
)"),0.0)</f>
        <v>0</v>
      </c>
      <c r="E1304" s="1" t="s">
        <v>11</v>
      </c>
      <c r="F1304" s="1" t="s">
        <v>12</v>
      </c>
      <c r="G1304" s="4" t="b">
        <f t="shared" si="2"/>
        <v>1</v>
      </c>
      <c r="H1304" s="1" t="str">
        <f t="shared" si="3"/>
        <v>Currently Unavailable</v>
      </c>
      <c r="I1304" s="1" t="str">
        <f t="shared" si="4"/>
        <v>No Badges</v>
      </c>
      <c r="J1304" s="3">
        <f t="shared" si="5"/>
        <v>0</v>
      </c>
    </row>
    <row r="1305">
      <c r="A1305" s="1" t="s">
        <v>67</v>
      </c>
      <c r="B1305" s="3" t="str">
        <f t="shared" si="1"/>
        <v>Unavailable</v>
      </c>
      <c r="C1305" s="3">
        <v>264.0</v>
      </c>
      <c r="D1305" s="3">
        <f>IFERROR(__xludf.DUMMYFUNCTION("IFERROR(
IF(REGEXMATCH(LOWER(O1305),""k""),
VALUE(REGEXEXTRACT(O1305,""[0-9]+""))*1000,
VALUE(REGEXEXTRACT(O1305,""[0-9]+""))
),
0
)"),0.0)</f>
        <v>0</v>
      </c>
      <c r="E1305" s="1" t="s">
        <v>11</v>
      </c>
      <c r="F1305" s="1" t="s">
        <v>12</v>
      </c>
      <c r="G1305" s="4" t="b">
        <f t="shared" si="2"/>
        <v>1</v>
      </c>
      <c r="H1305" s="1" t="str">
        <f t="shared" si="3"/>
        <v>Currently Unavailable</v>
      </c>
      <c r="I1305" s="1" t="str">
        <f t="shared" si="4"/>
        <v>No Badges</v>
      </c>
      <c r="J1305" s="3">
        <f t="shared" si="5"/>
        <v>0</v>
      </c>
    </row>
    <row r="1306">
      <c r="A1306" s="1" t="s">
        <v>1106</v>
      </c>
      <c r="B1306" s="3" t="str">
        <f t="shared" si="1"/>
        <v>Unavailable</v>
      </c>
      <c r="C1306" s="5">
        <v>15087.0</v>
      </c>
      <c r="D1306" s="3">
        <f>IFERROR(__xludf.DUMMYFUNCTION("IFERROR(
IF(REGEXMATCH(LOWER(O1306),""k""),
VALUE(REGEXEXTRACT(O1306,""[0-9]+""))*1000,
VALUE(REGEXEXTRACT(O1306,""[0-9]+""))
),
0
)"),0.0)</f>
        <v>0</v>
      </c>
      <c r="E1306" s="1" t="s">
        <v>11</v>
      </c>
      <c r="F1306" s="1" t="s">
        <v>20</v>
      </c>
      <c r="G1306" s="4" t="b">
        <f t="shared" si="2"/>
        <v>1</v>
      </c>
      <c r="H1306" s="1" t="str">
        <f t="shared" si="3"/>
        <v>Currently Unavailable</v>
      </c>
      <c r="I1306" s="1" t="str">
        <f t="shared" si="4"/>
        <v>No Badges</v>
      </c>
      <c r="J1306" s="3">
        <f t="shared" si="5"/>
        <v>0</v>
      </c>
    </row>
    <row r="1307">
      <c r="A1307" s="1" t="s">
        <v>1107</v>
      </c>
      <c r="B1307" s="3" t="str">
        <f t="shared" si="1"/>
        <v>Unavailable</v>
      </c>
      <c r="C1307" s="5">
        <v>108926.0</v>
      </c>
      <c r="D1307" s="3">
        <f>IFERROR(__xludf.DUMMYFUNCTION("IFERROR(
IF(REGEXMATCH(LOWER(O1307),""k""),
VALUE(REGEXEXTRACT(O1307,""[0-9]+""))*1000,
VALUE(REGEXEXTRACT(O1307,""[0-9]+""))
),
0
)"),0.0)</f>
        <v>0</v>
      </c>
      <c r="E1307" s="1" t="s">
        <v>158</v>
      </c>
      <c r="F1307" s="1" t="s">
        <v>20</v>
      </c>
      <c r="G1307" s="4" t="b">
        <f t="shared" si="2"/>
        <v>1</v>
      </c>
      <c r="H1307" s="1" t="str">
        <f t="shared" si="3"/>
        <v>Currently Unavailable</v>
      </c>
      <c r="I1307" s="1" t="str">
        <f t="shared" si="4"/>
        <v>No Badges</v>
      </c>
      <c r="J1307" s="3">
        <f t="shared" si="5"/>
        <v>0</v>
      </c>
    </row>
    <row r="1308">
      <c r="A1308" s="1" t="s">
        <v>1108</v>
      </c>
      <c r="B1308" s="3" t="str">
        <f t="shared" si="1"/>
        <v>Unavailable</v>
      </c>
      <c r="C1308" s="5">
        <v>1170.0</v>
      </c>
      <c r="D1308" s="3">
        <f>IFERROR(__xludf.DUMMYFUNCTION("IFERROR(
IF(REGEXMATCH(LOWER(O1308),""k""),
VALUE(REGEXEXTRACT(O1308,""[0-9]+""))*1000,
VALUE(REGEXEXTRACT(O1308,""[0-9]+""))
),
0
)"),0.0)</f>
        <v>0</v>
      </c>
      <c r="E1308" s="1" t="s">
        <v>11</v>
      </c>
      <c r="F1308" s="1" t="s">
        <v>20</v>
      </c>
      <c r="G1308" s="4" t="b">
        <f t="shared" si="2"/>
        <v>1</v>
      </c>
      <c r="H1308" s="1" t="str">
        <f t="shared" si="3"/>
        <v>Currently Unavailable</v>
      </c>
      <c r="I1308" s="1" t="str">
        <f t="shared" si="4"/>
        <v>No Badges</v>
      </c>
      <c r="J1308" s="3">
        <f t="shared" si="5"/>
        <v>0</v>
      </c>
    </row>
    <row r="1309">
      <c r="A1309" s="1" t="s">
        <v>1109</v>
      </c>
      <c r="B1309" s="3" t="str">
        <f t="shared" si="1"/>
        <v>Unavailable</v>
      </c>
      <c r="C1309" s="5">
        <v>123411.0</v>
      </c>
      <c r="D1309" s="3">
        <f>IFERROR(__xludf.DUMMYFUNCTION("IFERROR(
IF(REGEXMATCH(LOWER(O1309),""k""),
VALUE(REGEXEXTRACT(O1309,""[0-9]+""))*1000,
VALUE(REGEXEXTRACT(O1309,""[0-9]+""))
),
0
)"),0.0)</f>
        <v>0</v>
      </c>
      <c r="E1309" s="1" t="s">
        <v>158</v>
      </c>
      <c r="F1309" s="1" t="s">
        <v>20</v>
      </c>
      <c r="G1309" s="4" t="b">
        <f t="shared" si="2"/>
        <v>1</v>
      </c>
      <c r="H1309" s="1" t="str">
        <f t="shared" si="3"/>
        <v>Currently Unavailable</v>
      </c>
      <c r="I1309" s="1" t="str">
        <f t="shared" si="4"/>
        <v>No Badges</v>
      </c>
      <c r="J1309" s="3">
        <f t="shared" si="5"/>
        <v>0</v>
      </c>
    </row>
    <row r="1310">
      <c r="A1310" s="1" t="s">
        <v>1110</v>
      </c>
      <c r="B1310" s="3" t="str">
        <f t="shared" si="1"/>
        <v>Unavailable</v>
      </c>
      <c r="C1310" s="5">
        <v>44109.0</v>
      </c>
      <c r="D1310" s="3">
        <f>IFERROR(__xludf.DUMMYFUNCTION("IFERROR(
IF(REGEXMATCH(LOWER(O1310),""k""),
VALUE(REGEXEXTRACT(O1310,""[0-9]+""))*1000,
VALUE(REGEXEXTRACT(O1310,""[0-9]+""))
),
0
)"),0.0)</f>
        <v>0</v>
      </c>
      <c r="E1310" s="1" t="s">
        <v>158</v>
      </c>
      <c r="F1310" s="1" t="s">
        <v>20</v>
      </c>
      <c r="G1310" s="4" t="b">
        <f t="shared" si="2"/>
        <v>1</v>
      </c>
      <c r="H1310" s="1" t="str">
        <f t="shared" si="3"/>
        <v>Currently Unavailable</v>
      </c>
      <c r="I1310" s="1" t="str">
        <f t="shared" si="4"/>
        <v>No Badges</v>
      </c>
      <c r="J1310" s="3">
        <f t="shared" si="5"/>
        <v>0</v>
      </c>
    </row>
    <row r="1311">
      <c r="A1311" s="1" t="s">
        <v>1111</v>
      </c>
      <c r="B1311" s="3" t="str">
        <f t="shared" si="1"/>
        <v>Unavailable</v>
      </c>
      <c r="C1311" s="5">
        <v>103375.0</v>
      </c>
      <c r="D1311" s="3">
        <f>IFERROR(__xludf.DUMMYFUNCTION("IFERROR(
IF(REGEXMATCH(LOWER(O1311),""k""),
VALUE(REGEXEXTRACT(O1311,""[0-9]+""))*1000,
VALUE(REGEXEXTRACT(O1311,""[0-9]+""))
),
0
)"),0.0)</f>
        <v>0</v>
      </c>
      <c r="E1311" s="1" t="s">
        <v>158</v>
      </c>
      <c r="F1311" s="1" t="s">
        <v>20</v>
      </c>
      <c r="G1311" s="4" t="b">
        <f t="shared" si="2"/>
        <v>1</v>
      </c>
      <c r="H1311" s="1" t="str">
        <f t="shared" si="3"/>
        <v>Currently Unavailable</v>
      </c>
      <c r="I1311" s="1" t="str">
        <f t="shared" si="4"/>
        <v>No Badges</v>
      </c>
      <c r="J1311" s="3">
        <f t="shared" si="5"/>
        <v>0</v>
      </c>
    </row>
    <row r="1312">
      <c r="A1312" s="1" t="s">
        <v>1112</v>
      </c>
      <c r="B1312" s="3" t="str">
        <f t="shared" si="1"/>
        <v>Unavailable</v>
      </c>
      <c r="C1312" s="5">
        <v>26559.0</v>
      </c>
      <c r="D1312" s="3">
        <f>IFERROR(__xludf.DUMMYFUNCTION("IFERROR(
IF(REGEXMATCH(LOWER(O1312),""k""),
VALUE(REGEXEXTRACT(O1312,""[0-9]+""))*1000,
VALUE(REGEXEXTRACT(O1312,""[0-9]+""))
),
0
)"),0.0)</f>
        <v>0</v>
      </c>
      <c r="E1312" s="1" t="s">
        <v>11</v>
      </c>
      <c r="F1312" s="1" t="s">
        <v>20</v>
      </c>
      <c r="G1312" s="4" t="b">
        <f t="shared" si="2"/>
        <v>1</v>
      </c>
      <c r="H1312" s="1" t="str">
        <f t="shared" si="3"/>
        <v>Currently Unavailable</v>
      </c>
      <c r="I1312" s="1" t="str">
        <f t="shared" si="4"/>
        <v>No Badges</v>
      </c>
      <c r="J1312" s="3">
        <f t="shared" si="5"/>
        <v>0</v>
      </c>
    </row>
    <row r="1313">
      <c r="A1313" s="1" t="s">
        <v>1113</v>
      </c>
      <c r="B1313" s="3" t="str">
        <f t="shared" si="1"/>
        <v>Unavailable</v>
      </c>
      <c r="C1313" s="5">
        <v>4676.0</v>
      </c>
      <c r="D1313" s="3">
        <f>IFERROR(__xludf.DUMMYFUNCTION("IFERROR(
IF(REGEXMATCH(LOWER(O1313),""k""),
VALUE(REGEXEXTRACT(O1313,""[0-9]+""))*1000,
VALUE(REGEXEXTRACT(O1313,""[0-9]+""))
),
0
)"),0.0)</f>
        <v>0</v>
      </c>
      <c r="E1313" s="1" t="s">
        <v>11</v>
      </c>
      <c r="F1313" s="1" t="s">
        <v>20</v>
      </c>
      <c r="G1313" s="4" t="b">
        <f t="shared" si="2"/>
        <v>1</v>
      </c>
      <c r="H1313" s="1" t="str">
        <f t="shared" si="3"/>
        <v>Currently Unavailable</v>
      </c>
      <c r="I1313" s="1" t="str">
        <f t="shared" si="4"/>
        <v>No Badges</v>
      </c>
      <c r="J1313" s="3">
        <f t="shared" si="5"/>
        <v>0</v>
      </c>
    </row>
    <row r="1314">
      <c r="A1314" s="1" t="s">
        <v>1114</v>
      </c>
      <c r="B1314" s="3" t="str">
        <f t="shared" si="1"/>
        <v>Unavailable</v>
      </c>
      <c r="C1314" s="5">
        <v>33507.0</v>
      </c>
      <c r="D1314" s="3">
        <f>IFERROR(__xludf.DUMMYFUNCTION("IFERROR(
IF(REGEXMATCH(LOWER(O1314),""k""),
VALUE(REGEXEXTRACT(O1314,""[0-9]+""))*1000,
VALUE(REGEXEXTRACT(O1314,""[0-9]+""))
),
0
)"),0.0)</f>
        <v>0</v>
      </c>
      <c r="E1314" s="1" t="s">
        <v>158</v>
      </c>
      <c r="F1314" s="1" t="s">
        <v>20</v>
      </c>
      <c r="G1314" s="4" t="b">
        <f t="shared" si="2"/>
        <v>1</v>
      </c>
      <c r="H1314" s="1" t="str">
        <f t="shared" si="3"/>
        <v>Currently Unavailable</v>
      </c>
      <c r="I1314" s="1" t="str">
        <f t="shared" si="4"/>
        <v>No Badges</v>
      </c>
      <c r="J1314" s="3">
        <f t="shared" si="5"/>
        <v>0</v>
      </c>
    </row>
    <row r="1315">
      <c r="A1315" s="1" t="s">
        <v>1115</v>
      </c>
      <c r="B1315" s="3" t="str">
        <f t="shared" si="1"/>
        <v>Unavailable</v>
      </c>
      <c r="C1315" s="5">
        <v>15848.0</v>
      </c>
      <c r="D1315" s="3">
        <f>IFERROR(__xludf.DUMMYFUNCTION("IFERROR(
IF(REGEXMATCH(LOWER(O1315),""k""),
VALUE(REGEXEXTRACT(O1315,""[0-9]+""))*1000,
VALUE(REGEXEXTRACT(O1315,""[0-9]+""))
),
0
)"),0.0)</f>
        <v>0</v>
      </c>
      <c r="E1315" s="1" t="s">
        <v>11</v>
      </c>
      <c r="F1315" s="1" t="s">
        <v>20</v>
      </c>
      <c r="G1315" s="4" t="b">
        <f t="shared" si="2"/>
        <v>1</v>
      </c>
      <c r="H1315" s="1" t="str">
        <f t="shared" si="3"/>
        <v>Currently Unavailable</v>
      </c>
      <c r="I1315" s="1" t="str">
        <f t="shared" si="4"/>
        <v>No Badges</v>
      </c>
      <c r="J1315" s="3">
        <f t="shared" si="5"/>
        <v>0</v>
      </c>
    </row>
    <row r="1316">
      <c r="A1316" s="1" t="s">
        <v>1116</v>
      </c>
      <c r="B1316" s="3" t="str">
        <f t="shared" si="1"/>
        <v>Unavailable</v>
      </c>
      <c r="C1316" s="5">
        <v>11785.0</v>
      </c>
      <c r="D1316" s="3">
        <f>IFERROR(__xludf.DUMMYFUNCTION("IFERROR(
IF(REGEXMATCH(LOWER(O1316),""k""),
VALUE(REGEXEXTRACT(O1316,""[0-9]+""))*1000,
VALUE(REGEXEXTRACT(O1316,""[0-9]+""))
),
0
)"),0.0)</f>
        <v>0</v>
      </c>
      <c r="E1316" s="1" t="s">
        <v>158</v>
      </c>
      <c r="F1316" s="1" t="s">
        <v>20</v>
      </c>
      <c r="G1316" s="4" t="b">
        <f t="shared" si="2"/>
        <v>1</v>
      </c>
      <c r="H1316" s="1" t="str">
        <f t="shared" si="3"/>
        <v>Currently Unavailable</v>
      </c>
      <c r="I1316" s="1" t="str">
        <f t="shared" si="4"/>
        <v>No Badges</v>
      </c>
      <c r="J1316" s="3">
        <f t="shared" si="5"/>
        <v>0</v>
      </c>
    </row>
    <row r="1317">
      <c r="A1317" s="1" t="s">
        <v>1117</v>
      </c>
      <c r="B1317" s="3" t="str">
        <f t="shared" si="1"/>
        <v>Unavailable</v>
      </c>
      <c r="C1317" s="5">
        <v>72492.0</v>
      </c>
      <c r="D1317" s="3">
        <f>IFERROR(__xludf.DUMMYFUNCTION("IFERROR(
IF(REGEXMATCH(LOWER(O1317),""k""),
VALUE(REGEXEXTRACT(O1317,""[0-9]+""))*1000,
VALUE(REGEXEXTRACT(O1317,""[0-9]+""))
),
0
)"),0.0)</f>
        <v>0</v>
      </c>
      <c r="E1317" s="1" t="s">
        <v>158</v>
      </c>
      <c r="F1317" s="1" t="s">
        <v>20</v>
      </c>
      <c r="G1317" s="4" t="b">
        <f t="shared" si="2"/>
        <v>1</v>
      </c>
      <c r="H1317" s="1" t="str">
        <f t="shared" si="3"/>
        <v>Currently Unavailable</v>
      </c>
      <c r="I1317" s="1" t="str">
        <f t="shared" si="4"/>
        <v>No Badges</v>
      </c>
      <c r="J1317" s="3">
        <f t="shared" si="5"/>
        <v>0</v>
      </c>
    </row>
    <row r="1318">
      <c r="A1318" s="1" t="s">
        <v>1118</v>
      </c>
      <c r="B1318" s="3" t="str">
        <f t="shared" si="1"/>
        <v>Unavailable</v>
      </c>
      <c r="C1318" s="5">
        <v>16222.0</v>
      </c>
      <c r="D1318" s="3">
        <f>IFERROR(__xludf.DUMMYFUNCTION("IFERROR(
IF(REGEXMATCH(LOWER(O1318),""k""),
VALUE(REGEXEXTRACT(O1318,""[0-9]+""))*1000,
VALUE(REGEXEXTRACT(O1318,""[0-9]+""))
),
0
)"),0.0)</f>
        <v>0</v>
      </c>
      <c r="E1318" s="1" t="s">
        <v>11</v>
      </c>
      <c r="F1318" s="1" t="s">
        <v>20</v>
      </c>
      <c r="G1318" s="4" t="b">
        <f t="shared" si="2"/>
        <v>1</v>
      </c>
      <c r="H1318" s="1" t="str">
        <f t="shared" si="3"/>
        <v>Currently Unavailable</v>
      </c>
      <c r="I1318" s="1" t="str">
        <f t="shared" si="4"/>
        <v>No Badges</v>
      </c>
      <c r="J1318" s="3">
        <f t="shared" si="5"/>
        <v>0</v>
      </c>
    </row>
    <row r="1319">
      <c r="A1319" s="1" t="s">
        <v>701</v>
      </c>
      <c r="B1319" s="3" t="str">
        <f t="shared" si="1"/>
        <v>Unavailable</v>
      </c>
      <c r="C1319" s="3">
        <v>8.0</v>
      </c>
      <c r="D1319" s="3">
        <f>IFERROR(__xludf.DUMMYFUNCTION("IFERROR(
IF(REGEXMATCH(LOWER(O1319),""k""),
VALUE(REGEXEXTRACT(O1319,""[0-9]+""))*1000,
VALUE(REGEXEXTRACT(O1319,""[0-9]+""))
),
0
)"),0.0)</f>
        <v>0</v>
      </c>
      <c r="E1319" s="1" t="s">
        <v>11</v>
      </c>
      <c r="F1319" s="1" t="s">
        <v>12</v>
      </c>
      <c r="G1319" s="4" t="b">
        <f t="shared" si="2"/>
        <v>1</v>
      </c>
      <c r="H1319" s="1" t="str">
        <f t="shared" si="3"/>
        <v>Currently Unavailable</v>
      </c>
      <c r="I1319" s="1" t="str">
        <f t="shared" si="4"/>
        <v>No Badges</v>
      </c>
      <c r="J1319" s="3">
        <f t="shared" si="5"/>
        <v>0</v>
      </c>
    </row>
    <row r="1320">
      <c r="A1320" s="1" t="s">
        <v>1119</v>
      </c>
      <c r="B1320" s="3" t="str">
        <f t="shared" si="1"/>
        <v>Unavailable</v>
      </c>
      <c r="C1320" s="5">
        <v>2377.0</v>
      </c>
      <c r="D1320" s="3">
        <f>IFERROR(__xludf.DUMMYFUNCTION("IFERROR(
IF(REGEXMATCH(LOWER(O1320),""k""),
VALUE(REGEXEXTRACT(O1320,""[0-9]+""))*1000,
VALUE(REGEXEXTRACT(O1320,""[0-9]+""))
),
0
)"),0.0)</f>
        <v>0</v>
      </c>
      <c r="E1320" s="1" t="s">
        <v>158</v>
      </c>
      <c r="F1320" s="1" t="s">
        <v>20</v>
      </c>
      <c r="G1320" s="4" t="b">
        <f t="shared" si="2"/>
        <v>1</v>
      </c>
      <c r="H1320" s="1" t="str">
        <f t="shared" si="3"/>
        <v>Currently Unavailable</v>
      </c>
      <c r="I1320" s="1" t="str">
        <f t="shared" si="4"/>
        <v>No Badges</v>
      </c>
      <c r="J1320" s="3">
        <f t="shared" si="5"/>
        <v>0</v>
      </c>
    </row>
    <row r="1321">
      <c r="A1321" s="1" t="s">
        <v>1120</v>
      </c>
      <c r="B1321" s="3" t="str">
        <f t="shared" si="1"/>
        <v>Unavailable</v>
      </c>
      <c r="C1321" s="5">
        <v>262557.0</v>
      </c>
      <c r="D1321" s="3">
        <f>IFERROR(__xludf.DUMMYFUNCTION("IFERROR(
IF(REGEXMATCH(LOWER(O1321),""k""),
VALUE(REGEXEXTRACT(O1321,""[0-9]+""))*1000,
VALUE(REGEXEXTRACT(O1321,""[0-9]+""))
),
0
)"),0.0)</f>
        <v>0</v>
      </c>
      <c r="E1321" s="1" t="s">
        <v>158</v>
      </c>
      <c r="F1321" s="1" t="s">
        <v>20</v>
      </c>
      <c r="G1321" s="4" t="b">
        <f t="shared" si="2"/>
        <v>1</v>
      </c>
      <c r="H1321" s="1" t="str">
        <f t="shared" si="3"/>
        <v>Currently Unavailable</v>
      </c>
      <c r="I1321" s="1" t="str">
        <f t="shared" si="4"/>
        <v>No Badges</v>
      </c>
      <c r="J1321" s="3">
        <f t="shared" si="5"/>
        <v>0</v>
      </c>
    </row>
    <row r="1322">
      <c r="A1322" s="1" t="s">
        <v>1121</v>
      </c>
      <c r="B1322" s="3" t="str">
        <f t="shared" si="1"/>
        <v>Unavailable</v>
      </c>
      <c r="C1322" s="5">
        <v>6133.0</v>
      </c>
      <c r="D1322" s="3">
        <f>IFERROR(__xludf.DUMMYFUNCTION("IFERROR(
IF(REGEXMATCH(LOWER(O1322),""k""),
VALUE(REGEXEXTRACT(O1322,""[0-9]+""))*1000,
VALUE(REGEXEXTRACT(O1322,""[0-9]+""))
),
0
)"),0.0)</f>
        <v>0</v>
      </c>
      <c r="E1322" s="1" t="s">
        <v>11</v>
      </c>
      <c r="F1322" s="1" t="s">
        <v>20</v>
      </c>
      <c r="G1322" s="4" t="b">
        <f t="shared" si="2"/>
        <v>1</v>
      </c>
      <c r="H1322" s="1" t="str">
        <f t="shared" si="3"/>
        <v>Currently Unavailable</v>
      </c>
      <c r="I1322" s="1" t="str">
        <f t="shared" si="4"/>
        <v>No Badges</v>
      </c>
      <c r="J1322" s="3">
        <f t="shared" si="5"/>
        <v>0</v>
      </c>
    </row>
    <row r="1323">
      <c r="A1323" s="1" t="s">
        <v>1122</v>
      </c>
      <c r="B1323" s="3" t="str">
        <f t="shared" si="1"/>
        <v>Unavailable</v>
      </c>
      <c r="C1323" s="5">
        <v>4856.0</v>
      </c>
      <c r="D1323" s="3">
        <f>IFERROR(__xludf.DUMMYFUNCTION("IFERROR(
IF(REGEXMATCH(LOWER(O1323),""k""),
VALUE(REGEXEXTRACT(O1323,""[0-9]+""))*1000,
VALUE(REGEXEXTRACT(O1323,""[0-9]+""))
),
0
)"),0.0)</f>
        <v>0</v>
      </c>
      <c r="E1323" s="1" t="s">
        <v>158</v>
      </c>
      <c r="F1323" s="1" t="s">
        <v>20</v>
      </c>
      <c r="G1323" s="4" t="b">
        <f t="shared" si="2"/>
        <v>1</v>
      </c>
      <c r="H1323" s="1" t="str">
        <f t="shared" si="3"/>
        <v>Currently Unavailable</v>
      </c>
      <c r="I1323" s="1" t="str">
        <f t="shared" si="4"/>
        <v>No Badges</v>
      </c>
      <c r="J1323" s="3">
        <f t="shared" si="5"/>
        <v>0</v>
      </c>
    </row>
    <row r="1324">
      <c r="A1324" s="1" t="s">
        <v>88</v>
      </c>
      <c r="B1324" s="3" t="str">
        <f t="shared" si="1"/>
        <v>Unavailable</v>
      </c>
      <c r="C1324" s="3">
        <v>5.0</v>
      </c>
      <c r="D1324" s="3">
        <f>IFERROR(__xludf.DUMMYFUNCTION("IFERROR(
IF(REGEXMATCH(LOWER(O1324),""k""),
VALUE(REGEXEXTRACT(O1324,""[0-9]+""))*1000,
VALUE(REGEXEXTRACT(O1324,""[0-9]+""))
),
0
)"),0.0)</f>
        <v>0</v>
      </c>
      <c r="E1324" s="1" t="s">
        <v>11</v>
      </c>
      <c r="F1324" s="1" t="s">
        <v>12</v>
      </c>
      <c r="G1324" s="4" t="b">
        <f t="shared" si="2"/>
        <v>1</v>
      </c>
      <c r="H1324" s="1" t="str">
        <f t="shared" si="3"/>
        <v>Currently Unavailable</v>
      </c>
      <c r="I1324" s="1" t="str">
        <f t="shared" si="4"/>
        <v>No Badges</v>
      </c>
      <c r="J1324" s="3">
        <f t="shared" si="5"/>
        <v>0</v>
      </c>
    </row>
    <row r="1325">
      <c r="A1325" s="1" t="s">
        <v>1123</v>
      </c>
      <c r="B1325" s="3" t="str">
        <f t="shared" si="1"/>
        <v>Unavailable</v>
      </c>
      <c r="C1325" s="5">
        <v>24693.0</v>
      </c>
      <c r="D1325" s="3">
        <f>IFERROR(__xludf.DUMMYFUNCTION("IFERROR(
IF(REGEXMATCH(LOWER(O1325),""k""),
VALUE(REGEXEXTRACT(O1325,""[0-9]+""))*1000,
VALUE(REGEXEXTRACT(O1325,""[0-9]+""))
),
0
)"),0.0)</f>
        <v>0</v>
      </c>
      <c r="E1325" s="1" t="s">
        <v>158</v>
      </c>
      <c r="F1325" s="1" t="s">
        <v>20</v>
      </c>
      <c r="G1325" s="4" t="b">
        <f t="shared" si="2"/>
        <v>1</v>
      </c>
      <c r="H1325" s="1" t="str">
        <f t="shared" si="3"/>
        <v>Currently Unavailable</v>
      </c>
      <c r="I1325" s="1" t="str">
        <f t="shared" si="4"/>
        <v>No Badges</v>
      </c>
      <c r="J1325" s="3">
        <f t="shared" si="5"/>
        <v>0</v>
      </c>
    </row>
    <row r="1326">
      <c r="A1326" s="1" t="s">
        <v>1124</v>
      </c>
      <c r="B1326" s="3" t="str">
        <f t="shared" si="1"/>
        <v>Unavailable</v>
      </c>
      <c r="C1326" s="3">
        <v>744.0</v>
      </c>
      <c r="D1326" s="3">
        <f>IFERROR(__xludf.DUMMYFUNCTION("IFERROR(
IF(REGEXMATCH(LOWER(O1326),""k""),
VALUE(REGEXEXTRACT(O1326,""[0-9]+""))*1000,
VALUE(REGEXEXTRACT(O1326,""[0-9]+""))
),
0
)"),0.0)</f>
        <v>0</v>
      </c>
      <c r="E1326" s="1" t="s">
        <v>11</v>
      </c>
      <c r="F1326" s="1" t="s">
        <v>20</v>
      </c>
      <c r="G1326" s="4" t="b">
        <f t="shared" si="2"/>
        <v>1</v>
      </c>
      <c r="H1326" s="1" t="str">
        <f t="shared" si="3"/>
        <v>Currently Unavailable</v>
      </c>
      <c r="I1326" s="1" t="str">
        <f t="shared" si="4"/>
        <v>No Badges</v>
      </c>
      <c r="J1326" s="3">
        <f t="shared" si="5"/>
        <v>0</v>
      </c>
    </row>
    <row r="1327">
      <c r="A1327" s="1" t="s">
        <v>1125</v>
      </c>
      <c r="B1327" s="3" t="str">
        <f t="shared" si="1"/>
        <v>Unavailable</v>
      </c>
      <c r="C1327" s="5">
        <v>6350.0</v>
      </c>
      <c r="D1327" s="3">
        <f>IFERROR(__xludf.DUMMYFUNCTION("IFERROR(
IF(REGEXMATCH(LOWER(O1327),""k""),
VALUE(REGEXEXTRACT(O1327,""[0-9]+""))*1000,
VALUE(REGEXEXTRACT(O1327,""[0-9]+""))
),
0
)"),0.0)</f>
        <v>0</v>
      </c>
      <c r="E1327" s="1" t="s">
        <v>11</v>
      </c>
      <c r="F1327" s="1" t="s">
        <v>20</v>
      </c>
      <c r="G1327" s="4" t="b">
        <f t="shared" si="2"/>
        <v>1</v>
      </c>
      <c r="H1327" s="1" t="str">
        <f t="shared" si="3"/>
        <v>Currently Unavailable</v>
      </c>
      <c r="I1327" s="1" t="str">
        <f t="shared" si="4"/>
        <v>No Badges</v>
      </c>
      <c r="J1327" s="3">
        <f t="shared" si="5"/>
        <v>0</v>
      </c>
    </row>
    <row r="1328">
      <c r="A1328" s="1" t="s">
        <v>1126</v>
      </c>
      <c r="B1328" s="3" t="str">
        <f t="shared" si="1"/>
        <v>Unavailable</v>
      </c>
      <c r="C1328" s="5">
        <v>19724.0</v>
      </c>
      <c r="D1328" s="3">
        <f>IFERROR(__xludf.DUMMYFUNCTION("IFERROR(
IF(REGEXMATCH(LOWER(O1328),""k""),
VALUE(REGEXEXTRACT(O1328,""[0-9]+""))*1000,
VALUE(REGEXEXTRACT(O1328,""[0-9]+""))
),
0
)"),0.0)</f>
        <v>0</v>
      </c>
      <c r="E1328" s="1" t="s">
        <v>18</v>
      </c>
      <c r="F1328" s="1" t="s">
        <v>20</v>
      </c>
      <c r="G1328" s="4" t="b">
        <f t="shared" si="2"/>
        <v>1</v>
      </c>
      <c r="H1328" s="1" t="str">
        <f t="shared" si="3"/>
        <v>Currently Unavailable</v>
      </c>
      <c r="I1328" s="1" t="str">
        <f t="shared" si="4"/>
        <v>No Badges</v>
      </c>
      <c r="J1328" s="3">
        <f t="shared" si="5"/>
        <v>0</v>
      </c>
    </row>
    <row r="1329">
      <c r="A1329" s="1" t="s">
        <v>1127</v>
      </c>
      <c r="B1329" s="3" t="str">
        <f t="shared" si="1"/>
        <v>Unavailable</v>
      </c>
      <c r="C1329" s="5">
        <v>5591.0</v>
      </c>
      <c r="D1329" s="3">
        <f>IFERROR(__xludf.DUMMYFUNCTION("IFERROR(
IF(REGEXMATCH(LOWER(O1329),""k""),
VALUE(REGEXEXTRACT(O1329,""[0-9]+""))*1000,
VALUE(REGEXEXTRACT(O1329,""[0-9]+""))
),
0
)"),0.0)</f>
        <v>0</v>
      </c>
      <c r="E1329" s="1" t="s">
        <v>11</v>
      </c>
      <c r="F1329" s="1" t="s">
        <v>20</v>
      </c>
      <c r="G1329" s="4" t="b">
        <f t="shared" si="2"/>
        <v>1</v>
      </c>
      <c r="H1329" s="1" t="str">
        <f t="shared" si="3"/>
        <v>Currently Unavailable</v>
      </c>
      <c r="I1329" s="1" t="str">
        <f t="shared" si="4"/>
        <v>No Badges</v>
      </c>
      <c r="J1329" s="3">
        <f t="shared" si="5"/>
        <v>0</v>
      </c>
    </row>
    <row r="1330">
      <c r="A1330" s="1" t="s">
        <v>1128</v>
      </c>
      <c r="B1330" s="3" t="str">
        <f t="shared" si="1"/>
        <v>Unavailable</v>
      </c>
      <c r="C1330" s="5">
        <v>43204.0</v>
      </c>
      <c r="D1330" s="3">
        <f>IFERROR(__xludf.DUMMYFUNCTION("IFERROR(
IF(REGEXMATCH(LOWER(O1330),""k""),
VALUE(REGEXEXTRACT(O1330,""[0-9]+""))*1000,
VALUE(REGEXEXTRACT(O1330,""[0-9]+""))
),
0
)"),0.0)</f>
        <v>0</v>
      </c>
      <c r="E1330" s="1" t="s">
        <v>158</v>
      </c>
      <c r="F1330" s="1" t="s">
        <v>20</v>
      </c>
      <c r="G1330" s="4" t="b">
        <f t="shared" si="2"/>
        <v>1</v>
      </c>
      <c r="H1330" s="1" t="str">
        <f t="shared" si="3"/>
        <v>Currently Unavailable</v>
      </c>
      <c r="I1330" s="1" t="str">
        <f t="shared" si="4"/>
        <v>No Badges</v>
      </c>
      <c r="J1330" s="3">
        <f t="shared" si="5"/>
        <v>0</v>
      </c>
    </row>
    <row r="1331">
      <c r="A1331" s="1" t="s">
        <v>1129</v>
      </c>
      <c r="B1331" s="3" t="str">
        <f t="shared" si="1"/>
        <v>Unavailable</v>
      </c>
      <c r="C1331" s="3">
        <v>885.0</v>
      </c>
      <c r="D1331" s="3">
        <f>IFERROR(__xludf.DUMMYFUNCTION("IFERROR(
IF(REGEXMATCH(LOWER(O1331),""k""),
VALUE(REGEXEXTRACT(O1331,""[0-9]+""))*1000,
VALUE(REGEXEXTRACT(O1331,""[0-9]+""))
),
0
)"),0.0)</f>
        <v>0</v>
      </c>
      <c r="E1331" s="1" t="s">
        <v>11</v>
      </c>
      <c r="F1331" s="1" t="s">
        <v>20</v>
      </c>
      <c r="G1331" s="4" t="b">
        <f t="shared" si="2"/>
        <v>1</v>
      </c>
      <c r="H1331" s="1" t="str">
        <f t="shared" si="3"/>
        <v>Currently Unavailable</v>
      </c>
      <c r="I1331" s="1" t="str">
        <f t="shared" si="4"/>
        <v>No Badges</v>
      </c>
      <c r="J1331" s="3">
        <f t="shared" si="5"/>
        <v>0</v>
      </c>
    </row>
    <row r="1332">
      <c r="A1332" s="1" t="s">
        <v>1130</v>
      </c>
      <c r="B1332" s="3" t="str">
        <f t="shared" si="1"/>
        <v>Unavailable</v>
      </c>
      <c r="C1332" s="5">
        <v>14168.0</v>
      </c>
      <c r="D1332" s="3">
        <f>IFERROR(__xludf.DUMMYFUNCTION("IFERROR(
IF(REGEXMATCH(LOWER(O1332),""k""),
VALUE(REGEXEXTRACT(O1332,""[0-9]+""))*1000,
VALUE(REGEXEXTRACT(O1332,""[0-9]+""))
),
0
)"),0.0)</f>
        <v>0</v>
      </c>
      <c r="E1332" s="1" t="s">
        <v>11</v>
      </c>
      <c r="F1332" s="1" t="s">
        <v>20</v>
      </c>
      <c r="G1332" s="4" t="b">
        <f t="shared" si="2"/>
        <v>1</v>
      </c>
      <c r="H1332" s="1" t="str">
        <f t="shared" si="3"/>
        <v>Currently Unavailable</v>
      </c>
      <c r="I1332" s="1" t="str">
        <f t="shared" si="4"/>
        <v>No Badges</v>
      </c>
      <c r="J1332" s="3">
        <f t="shared" si="5"/>
        <v>0</v>
      </c>
    </row>
    <row r="1333">
      <c r="A1333" s="1" t="s">
        <v>1131</v>
      </c>
      <c r="B1333" s="3" t="str">
        <f t="shared" si="1"/>
        <v>Unavailable</v>
      </c>
      <c r="C1333" s="5">
        <v>20039.0</v>
      </c>
      <c r="D1333" s="3">
        <f>IFERROR(__xludf.DUMMYFUNCTION("IFERROR(
IF(REGEXMATCH(LOWER(O1333),""k""),
VALUE(REGEXEXTRACT(O1333,""[0-9]+""))*1000,
VALUE(REGEXEXTRACT(O1333,""[0-9]+""))
),
0
)"),0.0)</f>
        <v>0</v>
      </c>
      <c r="E1333" s="1" t="s">
        <v>158</v>
      </c>
      <c r="F1333" s="1" t="s">
        <v>20</v>
      </c>
      <c r="G1333" s="4" t="b">
        <f t="shared" si="2"/>
        <v>1</v>
      </c>
      <c r="H1333" s="1" t="str">
        <f t="shared" si="3"/>
        <v>Currently Unavailable</v>
      </c>
      <c r="I1333" s="1" t="str">
        <f t="shared" si="4"/>
        <v>No Badges</v>
      </c>
      <c r="J1333" s="3">
        <f t="shared" si="5"/>
        <v>0</v>
      </c>
    </row>
    <row r="1334">
      <c r="A1334" s="1" t="s">
        <v>1132</v>
      </c>
      <c r="B1334" s="3" t="str">
        <f t="shared" si="1"/>
        <v>Unavailable</v>
      </c>
      <c r="C1334" s="5">
        <v>18748.0</v>
      </c>
      <c r="D1334" s="3">
        <f>IFERROR(__xludf.DUMMYFUNCTION("IFERROR(
IF(REGEXMATCH(LOWER(O1334),""k""),
VALUE(REGEXEXTRACT(O1334,""[0-9]+""))*1000,
VALUE(REGEXEXTRACT(O1334,""[0-9]+""))
),
0
)"),0.0)</f>
        <v>0</v>
      </c>
      <c r="E1334" s="1" t="s">
        <v>11</v>
      </c>
      <c r="F1334" s="1" t="s">
        <v>20</v>
      </c>
      <c r="G1334" s="4" t="b">
        <f t="shared" si="2"/>
        <v>1</v>
      </c>
      <c r="H1334" s="1" t="str">
        <f t="shared" si="3"/>
        <v>Currently Unavailable</v>
      </c>
      <c r="I1334" s="1" t="str">
        <f t="shared" si="4"/>
        <v>No Badges</v>
      </c>
      <c r="J1334" s="3">
        <f t="shared" si="5"/>
        <v>0</v>
      </c>
    </row>
    <row r="1335">
      <c r="A1335" s="1" t="s">
        <v>1133</v>
      </c>
      <c r="B1335" s="3" t="str">
        <f t="shared" si="1"/>
        <v>Unavailable</v>
      </c>
      <c r="C1335" s="5">
        <v>2617.0</v>
      </c>
      <c r="D1335" s="3">
        <f>IFERROR(__xludf.DUMMYFUNCTION("IFERROR(
IF(REGEXMATCH(LOWER(O1335),""k""),
VALUE(REGEXEXTRACT(O1335,""[0-9]+""))*1000,
VALUE(REGEXEXTRACT(O1335,""[0-9]+""))
),
0
)"),0.0)</f>
        <v>0</v>
      </c>
      <c r="E1335" s="1" t="s">
        <v>11</v>
      </c>
      <c r="F1335" s="1" t="s">
        <v>20</v>
      </c>
      <c r="G1335" s="4" t="b">
        <f t="shared" si="2"/>
        <v>1</v>
      </c>
      <c r="H1335" s="1" t="str">
        <f t="shared" si="3"/>
        <v>Currently Unavailable</v>
      </c>
      <c r="I1335" s="1" t="str">
        <f t="shared" si="4"/>
        <v>No Badges</v>
      </c>
      <c r="J1335" s="3">
        <f t="shared" si="5"/>
        <v>0</v>
      </c>
    </row>
    <row r="1336">
      <c r="A1336" s="1" t="s">
        <v>1134</v>
      </c>
      <c r="B1336" s="3" t="str">
        <f t="shared" si="1"/>
        <v>Unavailable</v>
      </c>
      <c r="C1336" s="3">
        <v>541.0</v>
      </c>
      <c r="D1336" s="3">
        <f>IFERROR(__xludf.DUMMYFUNCTION("IFERROR(
IF(REGEXMATCH(LOWER(O1336),""k""),
VALUE(REGEXEXTRACT(O1336,""[0-9]+""))*1000,
VALUE(REGEXEXTRACT(O1336,""[0-9]+""))
),
0
)"),0.0)</f>
        <v>0</v>
      </c>
      <c r="E1336" s="1" t="s">
        <v>11</v>
      </c>
      <c r="F1336" s="1" t="s">
        <v>20</v>
      </c>
      <c r="G1336" s="4" t="b">
        <f t="shared" si="2"/>
        <v>1</v>
      </c>
      <c r="H1336" s="1" t="str">
        <f t="shared" si="3"/>
        <v>Currently Unavailable</v>
      </c>
      <c r="I1336" s="1" t="str">
        <f t="shared" si="4"/>
        <v>No Badges</v>
      </c>
      <c r="J1336" s="3">
        <f t="shared" si="5"/>
        <v>0</v>
      </c>
    </row>
    <row r="1337">
      <c r="A1337" s="1" t="s">
        <v>69</v>
      </c>
      <c r="B1337" s="3" t="str">
        <f t="shared" si="1"/>
        <v>Unavailable</v>
      </c>
      <c r="C1337" s="3">
        <v>45.0</v>
      </c>
      <c r="D1337" s="3">
        <f>IFERROR(__xludf.DUMMYFUNCTION("IFERROR(
IF(REGEXMATCH(LOWER(O1337),""k""),
VALUE(REGEXEXTRACT(O1337,""[0-9]+""))*1000,
VALUE(REGEXEXTRACT(O1337,""[0-9]+""))
),
0
)"),0.0)</f>
        <v>0</v>
      </c>
      <c r="E1337" s="1" t="s">
        <v>11</v>
      </c>
      <c r="F1337" s="1" t="s">
        <v>12</v>
      </c>
      <c r="G1337" s="4" t="b">
        <f t="shared" si="2"/>
        <v>1</v>
      </c>
      <c r="H1337" s="1" t="str">
        <f t="shared" si="3"/>
        <v>Currently Unavailable</v>
      </c>
      <c r="I1337" s="1" t="str">
        <f t="shared" si="4"/>
        <v>No Badges</v>
      </c>
      <c r="J1337" s="3">
        <f t="shared" si="5"/>
        <v>0</v>
      </c>
    </row>
    <row r="1338">
      <c r="A1338" s="1" t="s">
        <v>67</v>
      </c>
      <c r="B1338" s="3" t="str">
        <f t="shared" si="1"/>
        <v>Unavailable</v>
      </c>
      <c r="C1338" s="3">
        <v>264.0</v>
      </c>
      <c r="D1338" s="3">
        <f>IFERROR(__xludf.DUMMYFUNCTION("IFERROR(
IF(REGEXMATCH(LOWER(O1338),""k""),
VALUE(REGEXEXTRACT(O1338,""[0-9]+""))*1000,
VALUE(REGEXEXTRACT(O1338,""[0-9]+""))
),
0
)"),0.0)</f>
        <v>0</v>
      </c>
      <c r="E1338" s="1" t="s">
        <v>11</v>
      </c>
      <c r="F1338" s="1" t="s">
        <v>12</v>
      </c>
      <c r="G1338" s="4" t="b">
        <f t="shared" si="2"/>
        <v>1</v>
      </c>
      <c r="H1338" s="1" t="str">
        <f t="shared" si="3"/>
        <v>Currently Unavailable</v>
      </c>
      <c r="I1338" s="1" t="str">
        <f t="shared" si="4"/>
        <v>No Badges</v>
      </c>
      <c r="J1338" s="3">
        <f t="shared" si="5"/>
        <v>0</v>
      </c>
    </row>
    <row r="1339">
      <c r="A1339" s="1" t="s">
        <v>1135</v>
      </c>
      <c r="B1339" s="3" t="str">
        <f t="shared" si="1"/>
        <v>Unavailable</v>
      </c>
      <c r="C1339" s="5">
        <v>69082.0</v>
      </c>
      <c r="D1339" s="3">
        <f>IFERROR(__xludf.DUMMYFUNCTION("IFERROR(
IF(REGEXMATCH(LOWER(O1339),""k""),
VALUE(REGEXEXTRACT(O1339,""[0-9]+""))*1000,
VALUE(REGEXEXTRACT(O1339,""[0-9]+""))
),
0
)"),0.0)</f>
        <v>0</v>
      </c>
      <c r="E1339" s="1" t="s">
        <v>158</v>
      </c>
      <c r="F1339" s="1" t="s">
        <v>20</v>
      </c>
      <c r="G1339" s="4" t="b">
        <f t="shared" si="2"/>
        <v>1</v>
      </c>
      <c r="H1339" s="1" t="str">
        <f t="shared" si="3"/>
        <v>Currently Unavailable</v>
      </c>
      <c r="I1339" s="1" t="str">
        <f t="shared" si="4"/>
        <v>No Badges</v>
      </c>
      <c r="J1339" s="3">
        <f t="shared" si="5"/>
        <v>0</v>
      </c>
    </row>
    <row r="1340">
      <c r="A1340" s="1" t="s">
        <v>1136</v>
      </c>
      <c r="B1340" s="3" t="str">
        <f t="shared" si="1"/>
        <v>Unavailable</v>
      </c>
      <c r="C1340" s="5">
        <v>17279.0</v>
      </c>
      <c r="D1340" s="3">
        <f>IFERROR(__xludf.DUMMYFUNCTION("IFERROR(
IF(REGEXMATCH(LOWER(O1340),""k""),
VALUE(REGEXEXTRACT(O1340,""[0-9]+""))*1000,
VALUE(REGEXEXTRACT(O1340,""[0-9]+""))
),
0
)"),0.0)</f>
        <v>0</v>
      </c>
      <c r="E1340" s="1" t="s">
        <v>11</v>
      </c>
      <c r="F1340" s="1" t="s">
        <v>20</v>
      </c>
      <c r="G1340" s="4" t="b">
        <f t="shared" si="2"/>
        <v>1</v>
      </c>
      <c r="H1340" s="1" t="str">
        <f t="shared" si="3"/>
        <v>Currently Unavailable</v>
      </c>
      <c r="I1340" s="1" t="str">
        <f t="shared" si="4"/>
        <v>No Badges</v>
      </c>
      <c r="J1340" s="3">
        <f t="shared" si="5"/>
        <v>0</v>
      </c>
    </row>
    <row r="1341">
      <c r="A1341" s="1" t="s">
        <v>1137</v>
      </c>
      <c r="B1341" s="3" t="str">
        <f t="shared" si="1"/>
        <v>Unavailable</v>
      </c>
      <c r="C1341" s="5">
        <v>7091.0</v>
      </c>
      <c r="D1341" s="3">
        <f>IFERROR(__xludf.DUMMYFUNCTION("IFERROR(
IF(REGEXMATCH(LOWER(O1341),""k""),
VALUE(REGEXEXTRACT(O1341,""[0-9]+""))*1000,
VALUE(REGEXEXTRACT(O1341,""[0-9]+""))
),
0
)"),0.0)</f>
        <v>0</v>
      </c>
      <c r="E1341" s="1" t="s">
        <v>158</v>
      </c>
      <c r="F1341" s="1" t="s">
        <v>20</v>
      </c>
      <c r="G1341" s="4" t="b">
        <f t="shared" si="2"/>
        <v>1</v>
      </c>
      <c r="H1341" s="1" t="str">
        <f t="shared" si="3"/>
        <v>Currently Unavailable</v>
      </c>
      <c r="I1341" s="1" t="str">
        <f t="shared" si="4"/>
        <v>No Badges</v>
      </c>
      <c r="J1341" s="3">
        <f t="shared" si="5"/>
        <v>0</v>
      </c>
    </row>
    <row r="1342">
      <c r="A1342" s="1" t="s">
        <v>1138</v>
      </c>
      <c r="B1342" s="3" t="str">
        <f t="shared" si="1"/>
        <v>Unavailable</v>
      </c>
      <c r="C1342" s="5">
        <v>90262.0</v>
      </c>
      <c r="D1342" s="3">
        <f>IFERROR(__xludf.DUMMYFUNCTION("IFERROR(
IF(REGEXMATCH(LOWER(O1342),""k""),
VALUE(REGEXEXTRACT(O1342,""[0-9]+""))*1000,
VALUE(REGEXEXTRACT(O1342,""[0-9]+""))
),
0
)"),0.0)</f>
        <v>0</v>
      </c>
      <c r="E1342" s="1" t="s">
        <v>11</v>
      </c>
      <c r="F1342" s="1" t="s">
        <v>20</v>
      </c>
      <c r="G1342" s="4" t="b">
        <f t="shared" si="2"/>
        <v>1</v>
      </c>
      <c r="H1342" s="1" t="str">
        <f t="shared" si="3"/>
        <v>Currently Unavailable</v>
      </c>
      <c r="I1342" s="1" t="str">
        <f t="shared" si="4"/>
        <v>No Badges</v>
      </c>
      <c r="J1342" s="3">
        <f t="shared" si="5"/>
        <v>0</v>
      </c>
    </row>
    <row r="1343">
      <c r="A1343" s="1" t="s">
        <v>1139</v>
      </c>
      <c r="B1343" s="3" t="str">
        <f t="shared" si="1"/>
        <v>Unavailable</v>
      </c>
      <c r="C1343" s="5">
        <v>51663.0</v>
      </c>
      <c r="D1343" s="3">
        <f>IFERROR(__xludf.DUMMYFUNCTION("IFERROR(
IF(REGEXMATCH(LOWER(O1343),""k""),
VALUE(REGEXEXTRACT(O1343,""[0-9]+""))*1000,
VALUE(REGEXEXTRACT(O1343,""[0-9]+""))
),
0
)"),0.0)</f>
        <v>0</v>
      </c>
      <c r="E1343" s="1" t="s">
        <v>11</v>
      </c>
      <c r="F1343" s="1" t="s">
        <v>20</v>
      </c>
      <c r="G1343" s="4" t="b">
        <f t="shared" si="2"/>
        <v>1</v>
      </c>
      <c r="H1343" s="1" t="str">
        <f t="shared" si="3"/>
        <v>Currently Unavailable</v>
      </c>
      <c r="I1343" s="1" t="str">
        <f t="shared" si="4"/>
        <v>No Badges</v>
      </c>
      <c r="J1343" s="3">
        <f t="shared" si="5"/>
        <v>0</v>
      </c>
    </row>
    <row r="1344">
      <c r="A1344" s="1" t="s">
        <v>1140</v>
      </c>
      <c r="B1344" s="3" t="str">
        <f t="shared" si="1"/>
        <v>Unavailable</v>
      </c>
      <c r="C1344" s="5">
        <v>20903.0</v>
      </c>
      <c r="D1344" s="3">
        <f>IFERROR(__xludf.DUMMYFUNCTION("IFERROR(
IF(REGEXMATCH(LOWER(O1344),""k""),
VALUE(REGEXEXTRACT(O1344,""[0-9]+""))*1000,
VALUE(REGEXEXTRACT(O1344,""[0-9]+""))
),
0
)"),0.0)</f>
        <v>0</v>
      </c>
      <c r="E1344" s="1" t="s">
        <v>11</v>
      </c>
      <c r="F1344" s="1" t="s">
        <v>20</v>
      </c>
      <c r="G1344" s="4" t="b">
        <f t="shared" si="2"/>
        <v>1</v>
      </c>
      <c r="H1344" s="1" t="str">
        <f t="shared" si="3"/>
        <v>Currently Unavailable</v>
      </c>
      <c r="I1344" s="1" t="str">
        <f t="shared" si="4"/>
        <v>No Badges</v>
      </c>
      <c r="J1344" s="3">
        <f t="shared" si="5"/>
        <v>0</v>
      </c>
    </row>
    <row r="1345">
      <c r="A1345" s="1" t="s">
        <v>1141</v>
      </c>
      <c r="B1345" s="3" t="str">
        <f t="shared" si="1"/>
        <v>Unavailable</v>
      </c>
      <c r="C1345" s="5">
        <v>3209.0</v>
      </c>
      <c r="D1345" s="3">
        <f>IFERROR(__xludf.DUMMYFUNCTION("IFERROR(
IF(REGEXMATCH(LOWER(O1345),""k""),
VALUE(REGEXEXTRACT(O1345,""[0-9]+""))*1000,
VALUE(REGEXEXTRACT(O1345,""[0-9]+""))
),
0
)"),0.0)</f>
        <v>0</v>
      </c>
      <c r="E1345" s="1" t="s">
        <v>11</v>
      </c>
      <c r="F1345" s="1" t="s">
        <v>20</v>
      </c>
      <c r="G1345" s="4" t="b">
        <f t="shared" si="2"/>
        <v>1</v>
      </c>
      <c r="H1345" s="1" t="str">
        <f t="shared" si="3"/>
        <v>Currently Unavailable</v>
      </c>
      <c r="I1345" s="1" t="str">
        <f t="shared" si="4"/>
        <v>No Badges</v>
      </c>
      <c r="J1345" s="3">
        <f t="shared" si="5"/>
        <v>0</v>
      </c>
    </row>
    <row r="1346">
      <c r="A1346" s="1" t="s">
        <v>1142</v>
      </c>
      <c r="B1346" s="3" t="str">
        <f t="shared" si="1"/>
        <v>Unavailable</v>
      </c>
      <c r="C1346" s="5">
        <v>10222.0</v>
      </c>
      <c r="D1346" s="3">
        <f>IFERROR(__xludf.DUMMYFUNCTION("IFERROR(
IF(REGEXMATCH(LOWER(O1346),""k""),
VALUE(REGEXEXTRACT(O1346,""[0-9]+""))*1000,
VALUE(REGEXEXTRACT(O1346,""[0-9]+""))
),
0
)"),0.0)</f>
        <v>0</v>
      </c>
      <c r="E1346" s="1" t="s">
        <v>158</v>
      </c>
      <c r="F1346" s="1" t="s">
        <v>20</v>
      </c>
      <c r="G1346" s="4" t="b">
        <f t="shared" si="2"/>
        <v>1</v>
      </c>
      <c r="H1346" s="1" t="str">
        <f t="shared" si="3"/>
        <v>Currently Unavailable</v>
      </c>
      <c r="I1346" s="1" t="str">
        <f t="shared" si="4"/>
        <v>No Badges</v>
      </c>
      <c r="J1346" s="3">
        <f t="shared" si="5"/>
        <v>0</v>
      </c>
    </row>
    <row r="1347">
      <c r="A1347" s="1" t="s">
        <v>1143</v>
      </c>
      <c r="B1347" s="3" t="str">
        <f t="shared" si="1"/>
        <v>Unavailable</v>
      </c>
      <c r="C1347" s="5">
        <v>52857.0</v>
      </c>
      <c r="D1347" s="3">
        <f>IFERROR(__xludf.DUMMYFUNCTION("IFERROR(
IF(REGEXMATCH(LOWER(O1347),""k""),
VALUE(REGEXEXTRACT(O1347,""[0-9]+""))*1000,
VALUE(REGEXEXTRACT(O1347,""[0-9]+""))
),
0
)"),0.0)</f>
        <v>0</v>
      </c>
      <c r="E1347" s="1" t="s">
        <v>11</v>
      </c>
      <c r="F1347" s="1" t="s">
        <v>20</v>
      </c>
      <c r="G1347" s="4" t="b">
        <f t="shared" si="2"/>
        <v>1</v>
      </c>
      <c r="H1347" s="1" t="str">
        <f t="shared" si="3"/>
        <v>Currently Unavailable</v>
      </c>
      <c r="I1347" s="1" t="str">
        <f t="shared" si="4"/>
        <v>No Badges</v>
      </c>
      <c r="J1347" s="3">
        <f t="shared" si="5"/>
        <v>0</v>
      </c>
    </row>
    <row r="1348">
      <c r="A1348" s="1" t="s">
        <v>1144</v>
      </c>
      <c r="B1348" s="3" t="str">
        <f t="shared" si="1"/>
        <v>Unavailable</v>
      </c>
      <c r="C1348" s="5">
        <v>3818.0</v>
      </c>
      <c r="D1348" s="3">
        <f>IFERROR(__xludf.DUMMYFUNCTION("IFERROR(
IF(REGEXMATCH(LOWER(O1348),""k""),
VALUE(REGEXEXTRACT(O1348,""[0-9]+""))*1000,
VALUE(REGEXEXTRACT(O1348,""[0-9]+""))
),
0
)"),0.0)</f>
        <v>0</v>
      </c>
      <c r="E1348" s="1" t="s">
        <v>11</v>
      </c>
      <c r="F1348" s="1" t="s">
        <v>20</v>
      </c>
      <c r="G1348" s="4" t="b">
        <f t="shared" si="2"/>
        <v>1</v>
      </c>
      <c r="H1348" s="1" t="str">
        <f t="shared" si="3"/>
        <v>Currently Unavailable</v>
      </c>
      <c r="I1348" s="1" t="str">
        <f t="shared" si="4"/>
        <v>No Badges</v>
      </c>
      <c r="J1348" s="3">
        <f t="shared" si="5"/>
        <v>0</v>
      </c>
    </row>
    <row r="1349">
      <c r="A1349" s="1" t="s">
        <v>1145</v>
      </c>
      <c r="B1349" s="3" t="str">
        <f t="shared" si="1"/>
        <v>Unavailable</v>
      </c>
      <c r="C1349" s="5">
        <v>4657.0</v>
      </c>
      <c r="D1349" s="3">
        <f>IFERROR(__xludf.DUMMYFUNCTION("IFERROR(
IF(REGEXMATCH(LOWER(O1349),""k""),
VALUE(REGEXEXTRACT(O1349,""[0-9]+""))*1000,
VALUE(REGEXEXTRACT(O1349,""[0-9]+""))
),
0
)"),0.0)</f>
        <v>0</v>
      </c>
      <c r="E1349" s="1" t="s">
        <v>158</v>
      </c>
      <c r="F1349" s="1" t="s">
        <v>20</v>
      </c>
      <c r="G1349" s="4" t="b">
        <f t="shared" si="2"/>
        <v>1</v>
      </c>
      <c r="H1349" s="1" t="str">
        <f t="shared" si="3"/>
        <v>Currently Unavailable</v>
      </c>
      <c r="I1349" s="1" t="str">
        <f t="shared" si="4"/>
        <v>No Badges</v>
      </c>
      <c r="J1349" s="3">
        <f t="shared" si="5"/>
        <v>0</v>
      </c>
    </row>
    <row r="1350">
      <c r="A1350" s="1" t="s">
        <v>1146</v>
      </c>
      <c r="B1350" s="3" t="str">
        <f t="shared" si="1"/>
        <v>Unavailable</v>
      </c>
      <c r="C1350" s="5">
        <v>126587.0</v>
      </c>
      <c r="D1350" s="3">
        <f>IFERROR(__xludf.DUMMYFUNCTION("IFERROR(
IF(REGEXMATCH(LOWER(O1350),""k""),
VALUE(REGEXEXTRACT(O1350,""[0-9]+""))*1000,
VALUE(REGEXEXTRACT(O1350,""[0-9]+""))
),
0
)"),0.0)</f>
        <v>0</v>
      </c>
      <c r="E1350" s="1" t="s">
        <v>11</v>
      </c>
      <c r="F1350" s="1" t="s">
        <v>20</v>
      </c>
      <c r="G1350" s="4" t="b">
        <f t="shared" si="2"/>
        <v>1</v>
      </c>
      <c r="H1350" s="1" t="str">
        <f t="shared" si="3"/>
        <v>Currently Unavailable</v>
      </c>
      <c r="I1350" s="1" t="str">
        <f t="shared" si="4"/>
        <v>No Badges</v>
      </c>
      <c r="J1350" s="3">
        <f t="shared" si="5"/>
        <v>0</v>
      </c>
    </row>
    <row r="1351">
      <c r="A1351" s="1" t="s">
        <v>1147</v>
      </c>
      <c r="B1351" s="3" t="str">
        <f t="shared" si="1"/>
        <v>Unavailable</v>
      </c>
      <c r="C1351" s="5">
        <v>13112.0</v>
      </c>
      <c r="D1351" s="3">
        <f>IFERROR(__xludf.DUMMYFUNCTION("IFERROR(
IF(REGEXMATCH(LOWER(O1351),""k""),
VALUE(REGEXEXTRACT(O1351,""[0-9]+""))*1000,
VALUE(REGEXEXTRACT(O1351,""[0-9]+""))
),
0
)"),0.0)</f>
        <v>0</v>
      </c>
      <c r="E1351" s="1" t="s">
        <v>18</v>
      </c>
      <c r="F1351" s="1" t="s">
        <v>20</v>
      </c>
      <c r="G1351" s="4" t="b">
        <f t="shared" si="2"/>
        <v>1</v>
      </c>
      <c r="H1351" s="1" t="str">
        <f t="shared" si="3"/>
        <v>Currently Unavailable</v>
      </c>
      <c r="I1351" s="1" t="str">
        <f t="shared" si="4"/>
        <v>No Badges</v>
      </c>
      <c r="J1351" s="3">
        <f t="shared" si="5"/>
        <v>0</v>
      </c>
    </row>
    <row r="1352">
      <c r="A1352" s="1" t="s">
        <v>1148</v>
      </c>
      <c r="B1352" s="3" t="str">
        <f t="shared" si="1"/>
        <v>Unavailable</v>
      </c>
      <c r="C1352" s="5">
        <v>3724.0</v>
      </c>
      <c r="D1352" s="3">
        <f>IFERROR(__xludf.DUMMYFUNCTION("IFERROR(
IF(REGEXMATCH(LOWER(O1352),""k""),
VALUE(REGEXEXTRACT(O1352,""[0-9]+""))*1000,
VALUE(REGEXEXTRACT(O1352,""[0-9]+""))
),
0
)"),0.0)</f>
        <v>0</v>
      </c>
      <c r="E1352" s="1" t="s">
        <v>158</v>
      </c>
      <c r="F1352" s="1" t="s">
        <v>20</v>
      </c>
      <c r="G1352" s="4" t="b">
        <f t="shared" si="2"/>
        <v>1</v>
      </c>
      <c r="H1352" s="1" t="str">
        <f t="shared" si="3"/>
        <v>Currently Unavailable</v>
      </c>
      <c r="I1352" s="1" t="str">
        <f t="shared" si="4"/>
        <v>No Badges</v>
      </c>
      <c r="J1352" s="3">
        <f t="shared" si="5"/>
        <v>0</v>
      </c>
    </row>
    <row r="1353">
      <c r="A1353" s="1" t="s">
        <v>1149</v>
      </c>
      <c r="B1353" s="3" t="str">
        <f t="shared" si="1"/>
        <v>Unavailable</v>
      </c>
      <c r="C1353" s="5">
        <v>60696.0</v>
      </c>
      <c r="D1353" s="3">
        <f>IFERROR(__xludf.DUMMYFUNCTION("IFERROR(
IF(REGEXMATCH(LOWER(O1353),""k""),
VALUE(REGEXEXTRACT(O1353,""[0-9]+""))*1000,
VALUE(REGEXEXTRACT(O1353,""[0-9]+""))
),
0
)"),0.0)</f>
        <v>0</v>
      </c>
      <c r="E1353" s="1" t="s">
        <v>11</v>
      </c>
      <c r="F1353" s="1" t="s">
        <v>20</v>
      </c>
      <c r="G1353" s="4" t="b">
        <f t="shared" si="2"/>
        <v>1</v>
      </c>
      <c r="H1353" s="1" t="str">
        <f t="shared" si="3"/>
        <v>Currently Unavailable</v>
      </c>
      <c r="I1353" s="1" t="str">
        <f t="shared" si="4"/>
        <v>No Badges</v>
      </c>
      <c r="J1353" s="3">
        <f t="shared" si="5"/>
        <v>0</v>
      </c>
    </row>
    <row r="1354">
      <c r="A1354" s="1" t="s">
        <v>701</v>
      </c>
      <c r="B1354" s="3" t="str">
        <f t="shared" si="1"/>
        <v>Unavailable</v>
      </c>
      <c r="C1354" s="3">
        <v>8.0</v>
      </c>
      <c r="D1354" s="3">
        <f>IFERROR(__xludf.DUMMYFUNCTION("IFERROR(
IF(REGEXMATCH(LOWER(O1354),""k""),
VALUE(REGEXEXTRACT(O1354,""[0-9]+""))*1000,
VALUE(REGEXEXTRACT(O1354,""[0-9]+""))
),
0
)"),0.0)</f>
        <v>0</v>
      </c>
      <c r="E1354" s="1" t="s">
        <v>11</v>
      </c>
      <c r="F1354" s="1" t="s">
        <v>12</v>
      </c>
      <c r="G1354" s="4" t="b">
        <f t="shared" si="2"/>
        <v>1</v>
      </c>
      <c r="H1354" s="1" t="str">
        <f t="shared" si="3"/>
        <v>Currently Unavailable</v>
      </c>
      <c r="I1354" s="1" t="str">
        <f t="shared" si="4"/>
        <v>No Badges</v>
      </c>
      <c r="J1354" s="3">
        <f t="shared" si="5"/>
        <v>0</v>
      </c>
    </row>
    <row r="1355">
      <c r="A1355" s="1" t="s">
        <v>1150</v>
      </c>
      <c r="B1355" s="3" t="str">
        <f t="shared" si="1"/>
        <v>Unavailable</v>
      </c>
      <c r="C1355" s="5">
        <v>6853.0</v>
      </c>
      <c r="D1355" s="3">
        <f>IFERROR(__xludf.DUMMYFUNCTION("IFERROR(
IF(REGEXMATCH(LOWER(O1355),""k""),
VALUE(REGEXEXTRACT(O1355,""[0-9]+""))*1000,
VALUE(REGEXEXTRACT(O1355,""[0-9]+""))
),
0
)"),0.0)</f>
        <v>0</v>
      </c>
      <c r="E1355" s="1" t="s">
        <v>158</v>
      </c>
      <c r="F1355" s="1" t="s">
        <v>20</v>
      </c>
      <c r="G1355" s="4" t="b">
        <f t="shared" si="2"/>
        <v>1</v>
      </c>
      <c r="H1355" s="1" t="str">
        <f t="shared" si="3"/>
        <v>Currently Unavailable</v>
      </c>
      <c r="I1355" s="1" t="str">
        <f t="shared" si="4"/>
        <v>No Badges</v>
      </c>
      <c r="J1355" s="3">
        <f t="shared" si="5"/>
        <v>0</v>
      </c>
    </row>
    <row r="1356">
      <c r="A1356" s="1" t="s">
        <v>1151</v>
      </c>
      <c r="B1356" s="3" t="str">
        <f t="shared" si="1"/>
        <v>Unavailable</v>
      </c>
      <c r="C1356" s="5">
        <v>23337.0</v>
      </c>
      <c r="D1356" s="3">
        <f>IFERROR(__xludf.DUMMYFUNCTION("IFERROR(
IF(REGEXMATCH(LOWER(O1356),""k""),
VALUE(REGEXEXTRACT(O1356,""[0-9]+""))*1000,
VALUE(REGEXEXTRACT(O1356,""[0-9]+""))
),
0
)"),0.0)</f>
        <v>0</v>
      </c>
      <c r="E1356" s="1" t="s">
        <v>11</v>
      </c>
      <c r="F1356" s="1" t="s">
        <v>20</v>
      </c>
      <c r="G1356" s="4" t="b">
        <f t="shared" si="2"/>
        <v>1</v>
      </c>
      <c r="H1356" s="1" t="str">
        <f t="shared" si="3"/>
        <v>Currently Unavailable</v>
      </c>
      <c r="I1356" s="1" t="str">
        <f t="shared" si="4"/>
        <v>No Badges</v>
      </c>
      <c r="J1356" s="3">
        <f t="shared" si="5"/>
        <v>0</v>
      </c>
    </row>
    <row r="1357">
      <c r="A1357" s="1" t="s">
        <v>1152</v>
      </c>
      <c r="B1357" s="3" t="str">
        <f t="shared" si="1"/>
        <v>Unavailable</v>
      </c>
      <c r="C1357" s="5">
        <v>5990.0</v>
      </c>
      <c r="D1357" s="3">
        <f>IFERROR(__xludf.DUMMYFUNCTION("IFERROR(
IF(REGEXMATCH(LOWER(O1357),""k""),
VALUE(REGEXEXTRACT(O1357,""[0-9]+""))*1000,
VALUE(REGEXEXTRACT(O1357,""[0-9]+""))
),
0
)"),0.0)</f>
        <v>0</v>
      </c>
      <c r="E1357" s="1" t="s">
        <v>11</v>
      </c>
      <c r="F1357" s="1" t="s">
        <v>20</v>
      </c>
      <c r="G1357" s="4" t="b">
        <f t="shared" si="2"/>
        <v>1</v>
      </c>
      <c r="H1357" s="1" t="str">
        <f t="shared" si="3"/>
        <v>Currently Unavailable</v>
      </c>
      <c r="I1357" s="1" t="str">
        <f t="shared" si="4"/>
        <v>No Badges</v>
      </c>
      <c r="J1357" s="3">
        <f t="shared" si="5"/>
        <v>0</v>
      </c>
    </row>
    <row r="1358">
      <c r="A1358" s="1" t="s">
        <v>1153</v>
      </c>
      <c r="B1358" s="3" t="str">
        <f t="shared" si="1"/>
        <v>Unavailable</v>
      </c>
      <c r="C1358" s="5">
        <v>45015.0</v>
      </c>
      <c r="D1358" s="3">
        <f>IFERROR(__xludf.DUMMYFUNCTION("IFERROR(
IF(REGEXMATCH(LOWER(O1358),""k""),
VALUE(REGEXEXTRACT(O1358,""[0-9]+""))*1000,
VALUE(REGEXEXTRACT(O1358,""[0-9]+""))
),
0
)"),0.0)</f>
        <v>0</v>
      </c>
      <c r="E1358" s="1" t="s">
        <v>11</v>
      </c>
      <c r="F1358" s="1" t="s">
        <v>20</v>
      </c>
      <c r="G1358" s="4" t="b">
        <f t="shared" si="2"/>
        <v>1</v>
      </c>
      <c r="H1358" s="1" t="str">
        <f t="shared" si="3"/>
        <v>Currently Unavailable</v>
      </c>
      <c r="I1358" s="1" t="str">
        <f t="shared" si="4"/>
        <v>No Badges</v>
      </c>
      <c r="J1358" s="3">
        <f t="shared" si="5"/>
        <v>0</v>
      </c>
    </row>
    <row r="1359">
      <c r="A1359" s="1" t="s">
        <v>1154</v>
      </c>
      <c r="B1359" s="3" t="str">
        <f t="shared" si="1"/>
        <v>Unavailable</v>
      </c>
      <c r="C1359" s="5">
        <v>18869.0</v>
      </c>
      <c r="D1359" s="3">
        <f>IFERROR(__xludf.DUMMYFUNCTION("IFERROR(
IF(REGEXMATCH(LOWER(O1359),""k""),
VALUE(REGEXEXTRACT(O1359,""[0-9]+""))*1000,
VALUE(REGEXEXTRACT(O1359,""[0-9]+""))
),
0
)"),0.0)</f>
        <v>0</v>
      </c>
      <c r="E1359" s="1" t="s">
        <v>11</v>
      </c>
      <c r="F1359" s="1" t="s">
        <v>20</v>
      </c>
      <c r="G1359" s="4" t="b">
        <f t="shared" si="2"/>
        <v>1</v>
      </c>
      <c r="H1359" s="1" t="str">
        <f t="shared" si="3"/>
        <v>Currently Unavailable</v>
      </c>
      <c r="I1359" s="1" t="str">
        <f t="shared" si="4"/>
        <v>No Badges</v>
      </c>
      <c r="J1359" s="3">
        <f t="shared" si="5"/>
        <v>0</v>
      </c>
    </row>
    <row r="1360">
      <c r="A1360" s="1" t="s">
        <v>1155</v>
      </c>
      <c r="B1360" s="3" t="str">
        <f t="shared" si="1"/>
        <v>Unavailable</v>
      </c>
      <c r="C1360" s="5">
        <v>33246.0</v>
      </c>
      <c r="D1360" s="3">
        <f>IFERROR(__xludf.DUMMYFUNCTION("IFERROR(
IF(REGEXMATCH(LOWER(O1360),""k""),
VALUE(REGEXEXTRACT(O1360,""[0-9]+""))*1000,
VALUE(REGEXEXTRACT(O1360,""[0-9]+""))
),
0
)"),0.0)</f>
        <v>0</v>
      </c>
      <c r="E1360" s="1" t="s">
        <v>11</v>
      </c>
      <c r="F1360" s="1" t="s">
        <v>20</v>
      </c>
      <c r="G1360" s="4" t="b">
        <f t="shared" si="2"/>
        <v>1</v>
      </c>
      <c r="H1360" s="1" t="str">
        <f t="shared" si="3"/>
        <v>Currently Unavailable</v>
      </c>
      <c r="I1360" s="1" t="str">
        <f t="shared" si="4"/>
        <v>No Badges</v>
      </c>
      <c r="J1360" s="3">
        <f t="shared" si="5"/>
        <v>0</v>
      </c>
    </row>
    <row r="1361">
      <c r="A1361" s="1" t="s">
        <v>1156</v>
      </c>
      <c r="B1361" s="3" t="str">
        <f t="shared" si="1"/>
        <v>Unavailable</v>
      </c>
      <c r="C1361" s="5">
        <v>16761.0</v>
      </c>
      <c r="D1361" s="3">
        <f>IFERROR(__xludf.DUMMYFUNCTION("IFERROR(
IF(REGEXMATCH(LOWER(O1361),""k""),
VALUE(REGEXEXTRACT(O1361,""[0-9]+""))*1000,
VALUE(REGEXEXTRACT(O1361,""[0-9]+""))
),
0
)"),0.0)</f>
        <v>0</v>
      </c>
      <c r="E1361" s="1" t="s">
        <v>158</v>
      </c>
      <c r="F1361" s="1" t="s">
        <v>20</v>
      </c>
      <c r="G1361" s="4" t="b">
        <f t="shared" si="2"/>
        <v>1</v>
      </c>
      <c r="H1361" s="1" t="str">
        <f t="shared" si="3"/>
        <v>Currently Unavailable</v>
      </c>
      <c r="I1361" s="1" t="str">
        <f t="shared" si="4"/>
        <v>No Badges</v>
      </c>
      <c r="J1361" s="3">
        <f t="shared" si="5"/>
        <v>0</v>
      </c>
    </row>
    <row r="1362">
      <c r="A1362" s="1" t="s">
        <v>1157</v>
      </c>
      <c r="B1362" s="3" t="str">
        <f t="shared" si="1"/>
        <v>Unavailable</v>
      </c>
      <c r="C1362" s="5">
        <v>71952.0</v>
      </c>
      <c r="D1362" s="3">
        <f>IFERROR(__xludf.DUMMYFUNCTION("IFERROR(
IF(REGEXMATCH(LOWER(O1362),""k""),
VALUE(REGEXEXTRACT(O1362,""[0-9]+""))*1000,
VALUE(REGEXEXTRACT(O1362,""[0-9]+""))
),
0
)"),0.0)</f>
        <v>0</v>
      </c>
      <c r="E1362" s="1" t="s">
        <v>11</v>
      </c>
      <c r="F1362" s="1" t="s">
        <v>20</v>
      </c>
      <c r="G1362" s="4" t="b">
        <f t="shared" si="2"/>
        <v>1</v>
      </c>
      <c r="H1362" s="1" t="str">
        <f t="shared" si="3"/>
        <v>Currently Unavailable</v>
      </c>
      <c r="I1362" s="1" t="str">
        <f t="shared" si="4"/>
        <v>No Badges</v>
      </c>
      <c r="J1362" s="3">
        <f t="shared" si="5"/>
        <v>0</v>
      </c>
    </row>
    <row r="1363">
      <c r="A1363" s="1" t="s">
        <v>1158</v>
      </c>
      <c r="B1363" s="3" t="str">
        <f t="shared" si="1"/>
        <v>Unavailable</v>
      </c>
      <c r="C1363" s="5">
        <v>4543.0</v>
      </c>
      <c r="D1363" s="3">
        <f>IFERROR(__xludf.DUMMYFUNCTION("IFERROR(
IF(REGEXMATCH(LOWER(O1363),""k""),
VALUE(REGEXEXTRACT(O1363,""[0-9]+""))*1000,
VALUE(REGEXEXTRACT(O1363,""[0-9]+""))
),
0
)"),0.0)</f>
        <v>0</v>
      </c>
      <c r="E1363" s="1" t="s">
        <v>11</v>
      </c>
      <c r="F1363" s="1" t="s">
        <v>20</v>
      </c>
      <c r="G1363" s="4" t="b">
        <f t="shared" si="2"/>
        <v>1</v>
      </c>
      <c r="H1363" s="1" t="str">
        <f t="shared" si="3"/>
        <v>Currently Unavailable</v>
      </c>
      <c r="I1363" s="1" t="str">
        <f t="shared" si="4"/>
        <v>No Badges</v>
      </c>
      <c r="J1363" s="3">
        <f t="shared" si="5"/>
        <v>0</v>
      </c>
    </row>
    <row r="1364">
      <c r="A1364" s="1" t="s">
        <v>1159</v>
      </c>
      <c r="B1364" s="3" t="str">
        <f t="shared" si="1"/>
        <v>Unavailable</v>
      </c>
      <c r="C1364" s="5">
        <v>2665.0</v>
      </c>
      <c r="D1364" s="3">
        <f>IFERROR(__xludf.DUMMYFUNCTION("IFERROR(
IF(REGEXMATCH(LOWER(O1364),""k""),
VALUE(REGEXEXTRACT(O1364,""[0-9]+""))*1000,
VALUE(REGEXEXTRACT(O1364,""[0-9]+""))
),
0
)"),0.0)</f>
        <v>0</v>
      </c>
      <c r="E1364" s="1" t="s">
        <v>11</v>
      </c>
      <c r="F1364" s="1" t="s">
        <v>20</v>
      </c>
      <c r="G1364" s="4" t="b">
        <f t="shared" si="2"/>
        <v>1</v>
      </c>
      <c r="H1364" s="1" t="str">
        <f t="shared" si="3"/>
        <v>Currently Unavailable</v>
      </c>
      <c r="I1364" s="1" t="str">
        <f t="shared" si="4"/>
        <v>No Badges</v>
      </c>
      <c r="J1364" s="3">
        <f t="shared" si="5"/>
        <v>0</v>
      </c>
    </row>
    <row r="1365">
      <c r="A1365" s="1" t="s">
        <v>1160</v>
      </c>
      <c r="B1365" s="3" t="str">
        <f t="shared" si="1"/>
        <v>Unavailable</v>
      </c>
      <c r="C1365" s="5">
        <v>34391.0</v>
      </c>
      <c r="D1365" s="3">
        <f>IFERROR(__xludf.DUMMYFUNCTION("IFERROR(
IF(REGEXMATCH(LOWER(O1365),""k""),
VALUE(REGEXEXTRACT(O1365,""[0-9]+""))*1000,
VALUE(REGEXEXTRACT(O1365,""[0-9]+""))
),
0
)"),0.0)</f>
        <v>0</v>
      </c>
      <c r="E1365" s="1" t="s">
        <v>158</v>
      </c>
      <c r="F1365" s="1" t="s">
        <v>20</v>
      </c>
      <c r="G1365" s="4" t="b">
        <f t="shared" si="2"/>
        <v>1</v>
      </c>
      <c r="H1365" s="1" t="str">
        <f t="shared" si="3"/>
        <v>Currently Unavailable</v>
      </c>
      <c r="I1365" s="1" t="str">
        <f t="shared" si="4"/>
        <v>No Badges</v>
      </c>
      <c r="J1365" s="3">
        <f t="shared" si="5"/>
        <v>0</v>
      </c>
    </row>
    <row r="1366">
      <c r="A1366" s="1" t="s">
        <v>1161</v>
      </c>
      <c r="B1366" s="3" t="str">
        <f t="shared" si="1"/>
        <v>Unavailable</v>
      </c>
      <c r="C1366" s="5">
        <v>1184.0</v>
      </c>
      <c r="D1366" s="3">
        <f>IFERROR(__xludf.DUMMYFUNCTION("IFERROR(
IF(REGEXMATCH(LOWER(O1366),""k""),
VALUE(REGEXEXTRACT(O1366,""[0-9]+""))*1000,
VALUE(REGEXEXTRACT(O1366,""[0-9]+""))
),
0
)"),0.0)</f>
        <v>0</v>
      </c>
      <c r="E1366" s="1" t="s">
        <v>11</v>
      </c>
      <c r="F1366" s="1" t="s">
        <v>20</v>
      </c>
      <c r="G1366" s="4" t="b">
        <f t="shared" si="2"/>
        <v>1</v>
      </c>
      <c r="H1366" s="1" t="str">
        <f t="shared" si="3"/>
        <v>Currently Unavailable</v>
      </c>
      <c r="I1366" s="1" t="str">
        <f t="shared" si="4"/>
        <v>No Badges</v>
      </c>
      <c r="J1366" s="3">
        <f t="shared" si="5"/>
        <v>0</v>
      </c>
    </row>
    <row r="1367">
      <c r="A1367" s="1" t="s">
        <v>1162</v>
      </c>
      <c r="B1367" s="3" t="str">
        <f t="shared" si="1"/>
        <v>Unavailable</v>
      </c>
      <c r="C1367" s="5">
        <v>35746.0</v>
      </c>
      <c r="D1367" s="3">
        <f>IFERROR(__xludf.DUMMYFUNCTION("IFERROR(
IF(REGEXMATCH(LOWER(O1367),""k""),
VALUE(REGEXEXTRACT(O1367,""[0-9]+""))*1000,
VALUE(REGEXEXTRACT(O1367,""[0-9]+""))
),
0
)"),0.0)</f>
        <v>0</v>
      </c>
      <c r="E1367" s="1" t="s">
        <v>158</v>
      </c>
      <c r="F1367" s="1" t="s">
        <v>20</v>
      </c>
      <c r="G1367" s="4" t="b">
        <f t="shared" si="2"/>
        <v>1</v>
      </c>
      <c r="H1367" s="1" t="str">
        <f t="shared" si="3"/>
        <v>Currently Unavailable</v>
      </c>
      <c r="I1367" s="1" t="str">
        <f t="shared" si="4"/>
        <v>No Badges</v>
      </c>
      <c r="J1367" s="3">
        <f t="shared" si="5"/>
        <v>0</v>
      </c>
    </row>
    <row r="1368">
      <c r="A1368" s="1" t="s">
        <v>1163</v>
      </c>
      <c r="B1368" s="3" t="str">
        <f t="shared" si="1"/>
        <v>Unavailable</v>
      </c>
      <c r="C1368" s="5">
        <v>25104.0</v>
      </c>
      <c r="D1368" s="3">
        <f>IFERROR(__xludf.DUMMYFUNCTION("IFERROR(
IF(REGEXMATCH(LOWER(O1368),""k""),
VALUE(REGEXEXTRACT(O1368,""[0-9]+""))*1000,
VALUE(REGEXEXTRACT(O1368,""[0-9]+""))
),
0
)"),0.0)</f>
        <v>0</v>
      </c>
      <c r="E1368" s="1" t="s">
        <v>158</v>
      </c>
      <c r="F1368" s="1" t="s">
        <v>20</v>
      </c>
      <c r="G1368" s="4" t="b">
        <f t="shared" si="2"/>
        <v>1</v>
      </c>
      <c r="H1368" s="1" t="str">
        <f t="shared" si="3"/>
        <v>Currently Unavailable</v>
      </c>
      <c r="I1368" s="1" t="str">
        <f t="shared" si="4"/>
        <v>No Badges</v>
      </c>
      <c r="J1368" s="3">
        <f t="shared" si="5"/>
        <v>0</v>
      </c>
    </row>
    <row r="1369">
      <c r="A1369" s="1" t="s">
        <v>1164</v>
      </c>
      <c r="B1369" s="3" t="str">
        <f t="shared" si="1"/>
        <v>Unavailable</v>
      </c>
      <c r="C1369" s="5">
        <v>110456.0</v>
      </c>
      <c r="D1369" s="3">
        <f>IFERROR(__xludf.DUMMYFUNCTION("IFERROR(
IF(REGEXMATCH(LOWER(O1369),""k""),
VALUE(REGEXEXTRACT(O1369,""[0-9]+""))*1000,
VALUE(REGEXEXTRACT(O1369,""[0-9]+""))
),
0
)"),0.0)</f>
        <v>0</v>
      </c>
      <c r="E1369" s="1" t="s">
        <v>11</v>
      </c>
      <c r="F1369" s="1" t="s">
        <v>20</v>
      </c>
      <c r="G1369" s="4" t="b">
        <f t="shared" si="2"/>
        <v>1</v>
      </c>
      <c r="H1369" s="1" t="str">
        <f t="shared" si="3"/>
        <v>Currently Unavailable</v>
      </c>
      <c r="I1369" s="1" t="str">
        <f t="shared" si="4"/>
        <v>No Badges</v>
      </c>
      <c r="J1369" s="3">
        <f t="shared" si="5"/>
        <v>0</v>
      </c>
    </row>
    <row r="1370">
      <c r="A1370" s="1" t="s">
        <v>1165</v>
      </c>
      <c r="B1370" s="3" t="str">
        <f t="shared" si="1"/>
        <v>Unavailable</v>
      </c>
      <c r="C1370" s="5">
        <v>35827.0</v>
      </c>
      <c r="D1370" s="3">
        <f>IFERROR(__xludf.DUMMYFUNCTION("IFERROR(
IF(REGEXMATCH(LOWER(O1370),""k""),
VALUE(REGEXEXTRACT(O1370,""[0-9]+""))*1000,
VALUE(REGEXEXTRACT(O1370,""[0-9]+""))
),
0
)"),0.0)</f>
        <v>0</v>
      </c>
      <c r="E1370" s="1" t="s">
        <v>158</v>
      </c>
      <c r="F1370" s="1" t="s">
        <v>20</v>
      </c>
      <c r="G1370" s="4" t="b">
        <f t="shared" si="2"/>
        <v>1</v>
      </c>
      <c r="H1370" s="1" t="str">
        <f t="shared" si="3"/>
        <v>Currently Unavailable</v>
      </c>
      <c r="I1370" s="1" t="str">
        <f t="shared" si="4"/>
        <v>No Badges</v>
      </c>
      <c r="J1370" s="3">
        <f t="shared" si="5"/>
        <v>0</v>
      </c>
    </row>
    <row r="1371">
      <c r="A1371" s="1" t="s">
        <v>1166</v>
      </c>
      <c r="B1371" s="3" t="str">
        <f t="shared" si="1"/>
        <v>Unavailable</v>
      </c>
      <c r="C1371" s="5">
        <v>8104.0</v>
      </c>
      <c r="D1371" s="3">
        <f>IFERROR(__xludf.DUMMYFUNCTION("IFERROR(
IF(REGEXMATCH(LOWER(O1371),""k""),
VALUE(REGEXEXTRACT(O1371,""[0-9]+""))*1000,
VALUE(REGEXEXTRACT(O1371,""[0-9]+""))
),
0
)"),0.0)</f>
        <v>0</v>
      </c>
      <c r="E1371" s="1" t="s">
        <v>11</v>
      </c>
      <c r="F1371" s="1" t="s">
        <v>20</v>
      </c>
      <c r="G1371" s="4" t="b">
        <f t="shared" si="2"/>
        <v>1</v>
      </c>
      <c r="H1371" s="1" t="str">
        <f t="shared" si="3"/>
        <v>Currently Unavailable</v>
      </c>
      <c r="I1371" s="1" t="str">
        <f t="shared" si="4"/>
        <v>No Badges</v>
      </c>
      <c r="J1371" s="3">
        <f t="shared" si="5"/>
        <v>0</v>
      </c>
    </row>
    <row r="1372">
      <c r="A1372" s="1" t="s">
        <v>1167</v>
      </c>
      <c r="B1372" s="3" t="str">
        <f t="shared" si="1"/>
        <v>Unavailable</v>
      </c>
      <c r="C1372" s="5">
        <v>89633.0</v>
      </c>
      <c r="D1372" s="3">
        <f>IFERROR(__xludf.DUMMYFUNCTION("IFERROR(
IF(REGEXMATCH(LOWER(O1372),""k""),
VALUE(REGEXEXTRACT(O1372,""[0-9]+""))*1000,
VALUE(REGEXEXTRACT(O1372,""[0-9]+""))
),
0
)"),0.0)</f>
        <v>0</v>
      </c>
      <c r="E1372" s="1" t="s">
        <v>11</v>
      </c>
      <c r="F1372" s="1" t="s">
        <v>20</v>
      </c>
      <c r="G1372" s="4" t="b">
        <f t="shared" si="2"/>
        <v>1</v>
      </c>
      <c r="H1372" s="1" t="str">
        <f t="shared" si="3"/>
        <v>Currently Unavailable</v>
      </c>
      <c r="I1372" s="1" t="str">
        <f t="shared" si="4"/>
        <v>No Badges</v>
      </c>
      <c r="J1372" s="3">
        <f t="shared" si="5"/>
        <v>0</v>
      </c>
    </row>
    <row r="1373">
      <c r="A1373" s="1" t="s">
        <v>1168</v>
      </c>
      <c r="B1373" s="3" t="str">
        <f t="shared" si="1"/>
        <v>Unavailable</v>
      </c>
      <c r="C1373" s="5">
        <v>7425.0</v>
      </c>
      <c r="D1373" s="3">
        <f>IFERROR(__xludf.DUMMYFUNCTION("IFERROR(
IF(REGEXMATCH(LOWER(O1373),""k""),
VALUE(REGEXEXTRACT(O1373,""[0-9]+""))*1000,
VALUE(REGEXEXTRACT(O1373,""[0-9]+""))
),
0
)"),0.0)</f>
        <v>0</v>
      </c>
      <c r="E1373" s="1" t="s">
        <v>18</v>
      </c>
      <c r="F1373" s="1" t="s">
        <v>20</v>
      </c>
      <c r="G1373" s="4" t="b">
        <f t="shared" si="2"/>
        <v>1</v>
      </c>
      <c r="H1373" s="1" t="str">
        <f t="shared" si="3"/>
        <v>Currently Unavailable</v>
      </c>
      <c r="I1373" s="1" t="str">
        <f t="shared" si="4"/>
        <v>No Badges</v>
      </c>
      <c r="J1373" s="3">
        <f t="shared" si="5"/>
        <v>0</v>
      </c>
    </row>
    <row r="1374">
      <c r="A1374" s="1" t="s">
        <v>1169</v>
      </c>
      <c r="B1374" s="3" t="str">
        <f t="shared" si="1"/>
        <v>Unavailable</v>
      </c>
      <c r="C1374" s="5">
        <v>195798.0</v>
      </c>
      <c r="D1374" s="3">
        <f>IFERROR(__xludf.DUMMYFUNCTION("IFERROR(
IF(REGEXMATCH(LOWER(O1374),""k""),
VALUE(REGEXEXTRACT(O1374,""[0-9]+""))*1000,
VALUE(REGEXEXTRACT(O1374,""[0-9]+""))
),
0
)"),0.0)</f>
        <v>0</v>
      </c>
      <c r="E1374" s="1" t="s">
        <v>158</v>
      </c>
      <c r="F1374" s="1" t="s">
        <v>20</v>
      </c>
      <c r="G1374" s="4" t="b">
        <f t="shared" si="2"/>
        <v>1</v>
      </c>
      <c r="H1374" s="1" t="str">
        <f t="shared" si="3"/>
        <v>Currently Unavailable</v>
      </c>
      <c r="I1374" s="1" t="str">
        <f t="shared" si="4"/>
        <v>No Badges</v>
      </c>
      <c r="J1374" s="3">
        <f t="shared" si="5"/>
        <v>0</v>
      </c>
    </row>
    <row r="1375">
      <c r="A1375" s="1" t="s">
        <v>1170</v>
      </c>
      <c r="B1375" s="3" t="str">
        <f t="shared" si="1"/>
        <v>Unavailable</v>
      </c>
      <c r="C1375" s="5">
        <v>27903.0</v>
      </c>
      <c r="D1375" s="3">
        <f>IFERROR(__xludf.DUMMYFUNCTION("IFERROR(
IF(REGEXMATCH(LOWER(O1375),""k""),
VALUE(REGEXEXTRACT(O1375,""[0-9]+""))*1000,
VALUE(REGEXEXTRACT(O1375,""[0-9]+""))
),
0
)"),0.0)</f>
        <v>0</v>
      </c>
      <c r="E1375" s="1" t="s">
        <v>11</v>
      </c>
      <c r="F1375" s="1" t="s">
        <v>20</v>
      </c>
      <c r="G1375" s="4" t="b">
        <f t="shared" si="2"/>
        <v>1</v>
      </c>
      <c r="H1375" s="1" t="str">
        <f t="shared" si="3"/>
        <v>Currently Unavailable</v>
      </c>
      <c r="I1375" s="1" t="str">
        <f t="shared" si="4"/>
        <v>No Badges</v>
      </c>
      <c r="J1375" s="3">
        <f t="shared" si="5"/>
        <v>0</v>
      </c>
    </row>
    <row r="1376">
      <c r="A1376" s="1" t="s">
        <v>1171</v>
      </c>
      <c r="B1376" s="3" t="str">
        <f t="shared" si="1"/>
        <v>Unavailable</v>
      </c>
      <c r="C1376" s="5">
        <v>219712.0</v>
      </c>
      <c r="D1376" s="3">
        <f>IFERROR(__xludf.DUMMYFUNCTION("IFERROR(
IF(REGEXMATCH(LOWER(O1376),""k""),
VALUE(REGEXEXTRACT(O1376,""[0-9]+""))*1000,
VALUE(REGEXEXTRACT(O1376,""[0-9]+""))
),
0
)"),0.0)</f>
        <v>0</v>
      </c>
      <c r="E1376" s="1" t="s">
        <v>11</v>
      </c>
      <c r="F1376" s="1" t="s">
        <v>20</v>
      </c>
      <c r="G1376" s="4" t="b">
        <f t="shared" si="2"/>
        <v>1</v>
      </c>
      <c r="H1376" s="1" t="str">
        <f t="shared" si="3"/>
        <v>Currently Unavailable</v>
      </c>
      <c r="I1376" s="1" t="str">
        <f t="shared" si="4"/>
        <v>No Badges</v>
      </c>
      <c r="J1376" s="3">
        <f t="shared" si="5"/>
        <v>0</v>
      </c>
    </row>
    <row r="1377">
      <c r="A1377" s="1" t="s">
        <v>1172</v>
      </c>
      <c r="B1377" s="3" t="str">
        <f t="shared" si="1"/>
        <v>Unavailable</v>
      </c>
      <c r="C1377" s="5">
        <v>4889.0</v>
      </c>
      <c r="D1377" s="3">
        <f>IFERROR(__xludf.DUMMYFUNCTION("IFERROR(
IF(REGEXMATCH(LOWER(O1377),""k""),
VALUE(REGEXEXTRACT(O1377,""[0-9]+""))*1000,
VALUE(REGEXEXTRACT(O1377,""[0-9]+""))
),
0
)"),0.0)</f>
        <v>0</v>
      </c>
      <c r="E1377" s="1" t="s">
        <v>11</v>
      </c>
      <c r="F1377" s="1" t="s">
        <v>20</v>
      </c>
      <c r="G1377" s="4" t="b">
        <f t="shared" si="2"/>
        <v>1</v>
      </c>
      <c r="H1377" s="1" t="str">
        <f t="shared" si="3"/>
        <v>Currently Unavailable</v>
      </c>
      <c r="I1377" s="1" t="str">
        <f t="shared" si="4"/>
        <v>No Badges</v>
      </c>
      <c r="J1377" s="3">
        <f t="shared" si="5"/>
        <v>0</v>
      </c>
    </row>
    <row r="1378">
      <c r="A1378" s="1" t="s">
        <v>1173</v>
      </c>
      <c r="B1378" s="3" t="str">
        <f t="shared" si="1"/>
        <v>Unavailable</v>
      </c>
      <c r="C1378" s="5">
        <v>22417.0</v>
      </c>
      <c r="D1378" s="3">
        <f>IFERROR(__xludf.DUMMYFUNCTION("IFERROR(
IF(REGEXMATCH(LOWER(O1378),""k""),
VALUE(REGEXEXTRACT(O1378,""[0-9]+""))*1000,
VALUE(REGEXEXTRACT(O1378,""[0-9]+""))
),
0
)"),0.0)</f>
        <v>0</v>
      </c>
      <c r="E1378" s="1" t="s">
        <v>158</v>
      </c>
      <c r="F1378" s="1" t="s">
        <v>20</v>
      </c>
      <c r="G1378" s="4" t="b">
        <f t="shared" si="2"/>
        <v>1</v>
      </c>
      <c r="H1378" s="1" t="str">
        <f t="shared" si="3"/>
        <v>Currently Unavailable</v>
      </c>
      <c r="I1378" s="1" t="str">
        <f t="shared" si="4"/>
        <v>No Badges</v>
      </c>
      <c r="J1378" s="3">
        <f t="shared" si="5"/>
        <v>0</v>
      </c>
    </row>
    <row r="1379">
      <c r="A1379" s="1" t="s">
        <v>1174</v>
      </c>
      <c r="B1379" s="3" t="str">
        <f t="shared" si="1"/>
        <v>Unavailable</v>
      </c>
      <c r="C1379" s="5">
        <v>27222.0</v>
      </c>
      <c r="D1379" s="3">
        <f>IFERROR(__xludf.DUMMYFUNCTION("IFERROR(
IF(REGEXMATCH(LOWER(O1379),""k""),
VALUE(REGEXEXTRACT(O1379,""[0-9]+""))*1000,
VALUE(REGEXEXTRACT(O1379,""[0-9]+""))
),
0
)"),0.0)</f>
        <v>0</v>
      </c>
      <c r="E1379" s="1" t="s">
        <v>11</v>
      </c>
      <c r="F1379" s="1" t="s">
        <v>20</v>
      </c>
      <c r="G1379" s="4" t="b">
        <f t="shared" si="2"/>
        <v>1</v>
      </c>
      <c r="H1379" s="1" t="str">
        <f t="shared" si="3"/>
        <v>Currently Unavailable</v>
      </c>
      <c r="I1379" s="1" t="str">
        <f t="shared" si="4"/>
        <v>No Badges</v>
      </c>
      <c r="J1379" s="3">
        <f t="shared" si="5"/>
        <v>0</v>
      </c>
    </row>
    <row r="1380">
      <c r="A1380" s="1" t="s">
        <v>1175</v>
      </c>
      <c r="B1380" s="3" t="str">
        <f t="shared" si="1"/>
        <v>Unavailable</v>
      </c>
      <c r="C1380" s="5">
        <v>111424.0</v>
      </c>
      <c r="D1380" s="3">
        <f>IFERROR(__xludf.DUMMYFUNCTION("IFERROR(
IF(REGEXMATCH(LOWER(O1380),""k""),
VALUE(REGEXEXTRACT(O1380,""[0-9]+""))*1000,
VALUE(REGEXEXTRACT(O1380,""[0-9]+""))
),
0
)"),0.0)</f>
        <v>0</v>
      </c>
      <c r="E1380" s="1" t="s">
        <v>11</v>
      </c>
      <c r="F1380" s="1" t="s">
        <v>20</v>
      </c>
      <c r="G1380" s="4" t="b">
        <f t="shared" si="2"/>
        <v>1</v>
      </c>
      <c r="H1380" s="1" t="str">
        <f t="shared" si="3"/>
        <v>Currently Unavailable</v>
      </c>
      <c r="I1380" s="1" t="str">
        <f t="shared" si="4"/>
        <v>No Badges</v>
      </c>
      <c r="J1380" s="3">
        <f t="shared" si="5"/>
        <v>0</v>
      </c>
    </row>
    <row r="1381">
      <c r="A1381" s="1" t="s">
        <v>69</v>
      </c>
      <c r="B1381" s="3" t="str">
        <f t="shared" si="1"/>
        <v>Unavailable</v>
      </c>
      <c r="C1381" s="3">
        <v>45.0</v>
      </c>
      <c r="D1381" s="3">
        <f>IFERROR(__xludf.DUMMYFUNCTION("IFERROR(
IF(REGEXMATCH(LOWER(O1381),""k""),
VALUE(REGEXEXTRACT(O1381,""[0-9]+""))*1000,
VALUE(REGEXEXTRACT(O1381,""[0-9]+""))
),
0
)"),0.0)</f>
        <v>0</v>
      </c>
      <c r="E1381" s="1" t="s">
        <v>11</v>
      </c>
      <c r="F1381" s="1" t="s">
        <v>12</v>
      </c>
      <c r="G1381" s="4" t="b">
        <f t="shared" si="2"/>
        <v>1</v>
      </c>
      <c r="H1381" s="1" t="str">
        <f t="shared" si="3"/>
        <v>Currently Unavailable</v>
      </c>
      <c r="I1381" s="1" t="str">
        <f t="shared" si="4"/>
        <v>No Badges</v>
      </c>
      <c r="J1381" s="3">
        <f t="shared" si="5"/>
        <v>0</v>
      </c>
    </row>
    <row r="1382">
      <c r="A1382" s="1" t="s">
        <v>1176</v>
      </c>
      <c r="B1382" s="3" t="str">
        <f t="shared" si="1"/>
        <v>Unavailable</v>
      </c>
      <c r="C1382" s="5">
        <v>33424.0</v>
      </c>
      <c r="D1382" s="3">
        <f>IFERROR(__xludf.DUMMYFUNCTION("IFERROR(
IF(REGEXMATCH(LOWER(O1382),""k""),
VALUE(REGEXEXTRACT(O1382,""[0-9]+""))*1000,
VALUE(REGEXEXTRACT(O1382,""[0-9]+""))
),
0
)"),0.0)</f>
        <v>0</v>
      </c>
      <c r="E1382" s="1" t="s">
        <v>158</v>
      </c>
      <c r="F1382" s="1" t="s">
        <v>20</v>
      </c>
      <c r="G1382" s="4" t="b">
        <f t="shared" si="2"/>
        <v>1</v>
      </c>
      <c r="H1382" s="1" t="str">
        <f t="shared" si="3"/>
        <v>Currently Unavailable</v>
      </c>
      <c r="I1382" s="1" t="str">
        <f t="shared" si="4"/>
        <v>No Badges</v>
      </c>
      <c r="J1382" s="3">
        <f t="shared" si="5"/>
        <v>0</v>
      </c>
    </row>
    <row r="1383">
      <c r="A1383" s="1" t="s">
        <v>1177</v>
      </c>
      <c r="B1383" s="3" t="str">
        <f t="shared" si="1"/>
        <v>Unavailable</v>
      </c>
      <c r="C1383" s="5">
        <v>40618.0</v>
      </c>
      <c r="D1383" s="3">
        <f>IFERROR(__xludf.DUMMYFUNCTION("IFERROR(
IF(REGEXMATCH(LOWER(O1383),""k""),
VALUE(REGEXEXTRACT(O1383,""[0-9]+""))*1000,
VALUE(REGEXEXTRACT(O1383,""[0-9]+""))
),
0
)"),0.0)</f>
        <v>0</v>
      </c>
      <c r="E1383" s="1" t="s">
        <v>11</v>
      </c>
      <c r="F1383" s="1" t="s">
        <v>20</v>
      </c>
      <c r="G1383" s="4" t="b">
        <f t="shared" si="2"/>
        <v>1</v>
      </c>
      <c r="H1383" s="1" t="str">
        <f t="shared" si="3"/>
        <v>Currently Unavailable</v>
      </c>
      <c r="I1383" s="1" t="str">
        <f t="shared" si="4"/>
        <v>No Badges</v>
      </c>
      <c r="J1383" s="3">
        <f t="shared" si="5"/>
        <v>0</v>
      </c>
    </row>
    <row r="1384">
      <c r="A1384" s="1" t="s">
        <v>1178</v>
      </c>
      <c r="B1384" s="3" t="str">
        <f t="shared" si="1"/>
        <v>Unavailable</v>
      </c>
      <c r="C1384" s="5">
        <v>18697.0</v>
      </c>
      <c r="D1384" s="3">
        <f>IFERROR(__xludf.DUMMYFUNCTION("IFERROR(
IF(REGEXMATCH(LOWER(O1384),""k""),
VALUE(REGEXEXTRACT(O1384,""[0-9]+""))*1000,
VALUE(REGEXEXTRACT(O1384,""[0-9]+""))
),
0
)"),0.0)</f>
        <v>0</v>
      </c>
      <c r="E1384" s="1" t="s">
        <v>11</v>
      </c>
      <c r="F1384" s="1" t="s">
        <v>20</v>
      </c>
      <c r="G1384" s="4" t="b">
        <f t="shared" si="2"/>
        <v>1</v>
      </c>
      <c r="H1384" s="1" t="str">
        <f t="shared" si="3"/>
        <v>Currently Unavailable</v>
      </c>
      <c r="I1384" s="1" t="str">
        <f t="shared" si="4"/>
        <v>No Badges</v>
      </c>
      <c r="J1384" s="3">
        <f t="shared" si="5"/>
        <v>0</v>
      </c>
    </row>
    <row r="1385">
      <c r="A1385" s="1" t="s">
        <v>1179</v>
      </c>
      <c r="B1385" s="3" t="str">
        <f t="shared" si="1"/>
        <v>Unavailable</v>
      </c>
      <c r="C1385" s="5">
        <v>94055.0</v>
      </c>
      <c r="D1385" s="3">
        <f>IFERROR(__xludf.DUMMYFUNCTION("IFERROR(
IF(REGEXMATCH(LOWER(O1385),""k""),
VALUE(REGEXEXTRACT(O1385,""[0-9]+""))*1000,
VALUE(REGEXEXTRACT(O1385,""[0-9]+""))
),
0
)"),0.0)</f>
        <v>0</v>
      </c>
      <c r="E1385" s="1" t="s">
        <v>11</v>
      </c>
      <c r="F1385" s="1" t="s">
        <v>20</v>
      </c>
      <c r="G1385" s="4" t="b">
        <f t="shared" si="2"/>
        <v>1</v>
      </c>
      <c r="H1385" s="1" t="str">
        <f t="shared" si="3"/>
        <v>Currently Unavailable</v>
      </c>
      <c r="I1385" s="1" t="str">
        <f t="shared" si="4"/>
        <v>No Badges</v>
      </c>
      <c r="J1385" s="3">
        <f t="shared" si="5"/>
        <v>0</v>
      </c>
    </row>
    <row r="1386">
      <c r="A1386" s="1" t="s">
        <v>1180</v>
      </c>
      <c r="B1386" s="3" t="str">
        <f t="shared" si="1"/>
        <v>Unavailable</v>
      </c>
      <c r="C1386" s="5">
        <v>12972.0</v>
      </c>
      <c r="D1386" s="3">
        <f>IFERROR(__xludf.DUMMYFUNCTION("IFERROR(
IF(REGEXMATCH(LOWER(O1386),""k""),
VALUE(REGEXEXTRACT(O1386,""[0-9]+""))*1000,
VALUE(REGEXEXTRACT(O1386,""[0-9]+""))
),
0
)"),0.0)</f>
        <v>0</v>
      </c>
      <c r="E1386" s="1" t="s">
        <v>11</v>
      </c>
      <c r="F1386" s="1" t="s">
        <v>20</v>
      </c>
      <c r="G1386" s="4" t="b">
        <f t="shared" si="2"/>
        <v>1</v>
      </c>
      <c r="H1386" s="1" t="str">
        <f t="shared" si="3"/>
        <v>Currently Unavailable</v>
      </c>
      <c r="I1386" s="1" t="str">
        <f t="shared" si="4"/>
        <v>No Badges</v>
      </c>
      <c r="J1386" s="3">
        <f t="shared" si="5"/>
        <v>0</v>
      </c>
    </row>
    <row r="1387">
      <c r="A1387" s="1" t="s">
        <v>1181</v>
      </c>
      <c r="B1387" s="3" t="str">
        <f t="shared" si="1"/>
        <v>Unavailable</v>
      </c>
      <c r="C1387" s="5">
        <v>40282.0</v>
      </c>
      <c r="D1387" s="3">
        <f>IFERROR(__xludf.DUMMYFUNCTION("IFERROR(
IF(REGEXMATCH(LOWER(O1387),""k""),
VALUE(REGEXEXTRACT(O1387,""[0-9]+""))*1000,
VALUE(REGEXEXTRACT(O1387,""[0-9]+""))
),
0
)"),0.0)</f>
        <v>0</v>
      </c>
      <c r="E1387" s="1" t="s">
        <v>11</v>
      </c>
      <c r="F1387" s="1" t="s">
        <v>20</v>
      </c>
      <c r="G1387" s="4" t="b">
        <f t="shared" si="2"/>
        <v>1</v>
      </c>
      <c r="H1387" s="1" t="str">
        <f t="shared" si="3"/>
        <v>Currently Unavailable</v>
      </c>
      <c r="I1387" s="1" t="str">
        <f t="shared" si="4"/>
        <v>No Badges</v>
      </c>
      <c r="J1387" s="3">
        <f t="shared" si="5"/>
        <v>0</v>
      </c>
    </row>
    <row r="1388">
      <c r="A1388" s="1" t="s">
        <v>1182</v>
      </c>
      <c r="B1388" s="3" t="str">
        <f t="shared" si="1"/>
        <v>Unavailable</v>
      </c>
      <c r="C1388" s="5">
        <v>19802.0</v>
      </c>
      <c r="D1388" s="3">
        <f>IFERROR(__xludf.DUMMYFUNCTION("IFERROR(
IF(REGEXMATCH(LOWER(O1388),""k""),
VALUE(REGEXEXTRACT(O1388,""[0-9]+""))*1000,
VALUE(REGEXEXTRACT(O1388,""[0-9]+""))
),
0
)"),0.0)</f>
        <v>0</v>
      </c>
      <c r="E1388" s="1" t="s">
        <v>11</v>
      </c>
      <c r="F1388" s="1" t="s">
        <v>20</v>
      </c>
      <c r="G1388" s="4" t="b">
        <f t="shared" si="2"/>
        <v>1</v>
      </c>
      <c r="H1388" s="1" t="str">
        <f t="shared" si="3"/>
        <v>Currently Unavailable</v>
      </c>
      <c r="I1388" s="1" t="str">
        <f t="shared" si="4"/>
        <v>No Badges</v>
      </c>
      <c r="J1388" s="3">
        <f t="shared" si="5"/>
        <v>0</v>
      </c>
    </row>
    <row r="1389">
      <c r="A1389" s="1" t="s">
        <v>1183</v>
      </c>
      <c r="B1389" s="3" t="str">
        <f t="shared" si="1"/>
        <v>Unavailable</v>
      </c>
      <c r="C1389" s="5">
        <v>1729.0</v>
      </c>
      <c r="D1389" s="3">
        <f>IFERROR(__xludf.DUMMYFUNCTION("IFERROR(
IF(REGEXMATCH(LOWER(O1389),""k""),
VALUE(REGEXEXTRACT(O1389,""[0-9]+""))*1000,
VALUE(REGEXEXTRACT(O1389,""[0-9]+""))
),
0
)"),0.0)</f>
        <v>0</v>
      </c>
      <c r="E1389" s="1" t="s">
        <v>11</v>
      </c>
      <c r="F1389" s="1" t="s">
        <v>20</v>
      </c>
      <c r="G1389" s="4" t="b">
        <f t="shared" si="2"/>
        <v>1</v>
      </c>
      <c r="H1389" s="1" t="str">
        <f t="shared" si="3"/>
        <v>Currently Unavailable</v>
      </c>
      <c r="I1389" s="1" t="str">
        <f t="shared" si="4"/>
        <v>No Badges</v>
      </c>
      <c r="J1389" s="3">
        <f t="shared" si="5"/>
        <v>0</v>
      </c>
    </row>
    <row r="1390">
      <c r="A1390" s="1" t="s">
        <v>1184</v>
      </c>
      <c r="B1390" s="3" t="str">
        <f t="shared" si="1"/>
        <v>Unavailable</v>
      </c>
      <c r="C1390" s="5">
        <v>11704.0</v>
      </c>
      <c r="D1390" s="3">
        <f>IFERROR(__xludf.DUMMYFUNCTION("IFERROR(
IF(REGEXMATCH(LOWER(O1390),""k""),
VALUE(REGEXEXTRACT(O1390,""[0-9]+""))*1000,
VALUE(REGEXEXTRACT(O1390,""[0-9]+""))
),
0
)"),0.0)</f>
        <v>0</v>
      </c>
      <c r="E1390" s="1" t="s">
        <v>11</v>
      </c>
      <c r="F1390" s="1" t="s">
        <v>20</v>
      </c>
      <c r="G1390" s="4" t="b">
        <f t="shared" si="2"/>
        <v>1</v>
      </c>
      <c r="H1390" s="1" t="str">
        <f t="shared" si="3"/>
        <v>Currently Unavailable</v>
      </c>
      <c r="I1390" s="1" t="str">
        <f t="shared" si="4"/>
        <v>No Badges</v>
      </c>
      <c r="J1390" s="3">
        <f t="shared" si="5"/>
        <v>0</v>
      </c>
    </row>
    <row r="1391">
      <c r="A1391" s="1" t="s">
        <v>1185</v>
      </c>
      <c r="B1391" s="3" t="str">
        <f t="shared" si="1"/>
        <v>Unavailable</v>
      </c>
      <c r="C1391" s="5">
        <v>9929.0</v>
      </c>
      <c r="D1391" s="3">
        <f>IFERROR(__xludf.DUMMYFUNCTION("IFERROR(
IF(REGEXMATCH(LOWER(O1391),""k""),
VALUE(REGEXEXTRACT(O1391,""[0-9]+""))*1000,
VALUE(REGEXEXTRACT(O1391,""[0-9]+""))
),
0
)"),0.0)</f>
        <v>0</v>
      </c>
      <c r="E1391" s="1" t="s">
        <v>11</v>
      </c>
      <c r="F1391" s="1" t="s">
        <v>20</v>
      </c>
      <c r="G1391" s="4" t="b">
        <f t="shared" si="2"/>
        <v>1</v>
      </c>
      <c r="H1391" s="1" t="str">
        <f t="shared" si="3"/>
        <v>Currently Unavailable</v>
      </c>
      <c r="I1391" s="1" t="str">
        <f t="shared" si="4"/>
        <v>No Badges</v>
      </c>
      <c r="J1391" s="3">
        <f t="shared" si="5"/>
        <v>0</v>
      </c>
    </row>
    <row r="1392">
      <c r="A1392" s="1" t="s">
        <v>1186</v>
      </c>
      <c r="B1392" s="3" t="str">
        <f t="shared" si="1"/>
        <v>Unavailable</v>
      </c>
      <c r="C1392" s="5">
        <v>2913.0</v>
      </c>
      <c r="D1392" s="3">
        <f>IFERROR(__xludf.DUMMYFUNCTION("IFERROR(
IF(REGEXMATCH(LOWER(O1392),""k""),
VALUE(REGEXEXTRACT(O1392,""[0-9]+""))*1000,
VALUE(REGEXEXTRACT(O1392,""[0-9]+""))
),
0
)"),0.0)</f>
        <v>0</v>
      </c>
      <c r="E1392" s="1" t="s">
        <v>11</v>
      </c>
      <c r="F1392" s="1" t="s">
        <v>20</v>
      </c>
      <c r="G1392" s="4" t="b">
        <f t="shared" si="2"/>
        <v>1</v>
      </c>
      <c r="H1392" s="1" t="str">
        <f t="shared" si="3"/>
        <v>Currently Unavailable</v>
      </c>
      <c r="I1392" s="1" t="str">
        <f t="shared" si="4"/>
        <v>No Badges</v>
      </c>
      <c r="J1392" s="3">
        <f t="shared" si="5"/>
        <v>0</v>
      </c>
    </row>
    <row r="1393">
      <c r="A1393" s="1" t="s">
        <v>1187</v>
      </c>
      <c r="B1393" s="3" t="str">
        <f t="shared" si="1"/>
        <v>Unavailable</v>
      </c>
      <c r="C1393" s="3">
        <v>738.0</v>
      </c>
      <c r="D1393" s="3">
        <f>IFERROR(__xludf.DUMMYFUNCTION("IFERROR(
IF(REGEXMATCH(LOWER(O1393),""k""),
VALUE(REGEXEXTRACT(O1393,""[0-9]+""))*1000,
VALUE(REGEXEXTRACT(O1393,""[0-9]+""))
),
0
)"),0.0)</f>
        <v>0</v>
      </c>
      <c r="E1393" s="1" t="s">
        <v>11</v>
      </c>
      <c r="F1393" s="1" t="s">
        <v>20</v>
      </c>
      <c r="G1393" s="4" t="b">
        <f t="shared" si="2"/>
        <v>1</v>
      </c>
      <c r="H1393" s="1" t="str">
        <f t="shared" si="3"/>
        <v>Currently Unavailable</v>
      </c>
      <c r="I1393" s="1" t="str">
        <f t="shared" si="4"/>
        <v>No Badges</v>
      </c>
      <c r="J1393" s="3">
        <f t="shared" si="5"/>
        <v>0</v>
      </c>
    </row>
    <row r="1394">
      <c r="A1394" s="1" t="s">
        <v>67</v>
      </c>
      <c r="B1394" s="3" t="str">
        <f t="shared" si="1"/>
        <v>Unavailable</v>
      </c>
      <c r="C1394" s="3">
        <v>264.0</v>
      </c>
      <c r="D1394" s="3">
        <f>IFERROR(__xludf.DUMMYFUNCTION("IFERROR(
IF(REGEXMATCH(LOWER(O1394),""k""),
VALUE(REGEXEXTRACT(O1394,""[0-9]+""))*1000,
VALUE(REGEXEXTRACT(O1394,""[0-9]+""))
),
0
)"),0.0)</f>
        <v>0</v>
      </c>
      <c r="E1394" s="1" t="s">
        <v>11</v>
      </c>
      <c r="F1394" s="1" t="s">
        <v>12</v>
      </c>
      <c r="G1394" s="4" t="b">
        <f t="shared" si="2"/>
        <v>1</v>
      </c>
      <c r="H1394" s="1" t="str">
        <f t="shared" si="3"/>
        <v>Currently Unavailable</v>
      </c>
      <c r="I1394" s="1" t="str">
        <f t="shared" si="4"/>
        <v>No Badges</v>
      </c>
      <c r="J1394" s="3">
        <f t="shared" si="5"/>
        <v>0</v>
      </c>
    </row>
    <row r="1395">
      <c r="A1395" s="1" t="s">
        <v>1188</v>
      </c>
      <c r="B1395" s="3" t="str">
        <f t="shared" si="1"/>
        <v>Unavailable</v>
      </c>
      <c r="C1395" s="5">
        <v>80952.0</v>
      </c>
      <c r="D1395" s="3">
        <f>IFERROR(__xludf.DUMMYFUNCTION("IFERROR(
IF(REGEXMATCH(LOWER(O1395),""k""),
VALUE(REGEXEXTRACT(O1395,""[0-9]+""))*1000,
VALUE(REGEXEXTRACT(O1395,""[0-9]+""))
),
0
)"),0.0)</f>
        <v>0</v>
      </c>
      <c r="E1395" s="1" t="s">
        <v>11</v>
      </c>
      <c r="F1395" s="1" t="s">
        <v>20</v>
      </c>
      <c r="G1395" s="4" t="b">
        <f t="shared" si="2"/>
        <v>1</v>
      </c>
      <c r="H1395" s="1" t="str">
        <f t="shared" si="3"/>
        <v>Currently Unavailable</v>
      </c>
      <c r="I1395" s="1" t="str">
        <f t="shared" si="4"/>
        <v>No Badges</v>
      </c>
      <c r="J1395" s="3">
        <f t="shared" si="5"/>
        <v>0</v>
      </c>
    </row>
    <row r="1396">
      <c r="A1396" s="1" t="s">
        <v>701</v>
      </c>
      <c r="B1396" s="3" t="str">
        <f t="shared" si="1"/>
        <v>Unavailable</v>
      </c>
      <c r="C1396" s="3">
        <v>8.0</v>
      </c>
      <c r="D1396" s="3">
        <f>IFERROR(__xludf.DUMMYFUNCTION("IFERROR(
IF(REGEXMATCH(LOWER(O1396),""k""),
VALUE(REGEXEXTRACT(O1396,""[0-9]+""))*1000,
VALUE(REGEXEXTRACT(O1396,""[0-9]+""))
),
0
)"),0.0)</f>
        <v>0</v>
      </c>
      <c r="E1396" s="1" t="s">
        <v>11</v>
      </c>
      <c r="F1396" s="1" t="s">
        <v>12</v>
      </c>
      <c r="G1396" s="4" t="b">
        <f t="shared" si="2"/>
        <v>1</v>
      </c>
      <c r="H1396" s="1" t="str">
        <f t="shared" si="3"/>
        <v>Currently Unavailable</v>
      </c>
      <c r="I1396" s="1" t="str">
        <f t="shared" si="4"/>
        <v>No Badges</v>
      </c>
      <c r="J1396" s="3">
        <f t="shared" si="5"/>
        <v>0</v>
      </c>
    </row>
    <row r="1397">
      <c r="A1397" s="1" t="s">
        <v>1189</v>
      </c>
      <c r="B1397" s="3" t="str">
        <f t="shared" si="1"/>
        <v>Unavailable</v>
      </c>
      <c r="C1397" s="5">
        <v>33075.0</v>
      </c>
      <c r="D1397" s="3">
        <f>IFERROR(__xludf.DUMMYFUNCTION("IFERROR(
IF(REGEXMATCH(LOWER(O1397),""k""),
VALUE(REGEXEXTRACT(O1397,""[0-9]+""))*1000,
VALUE(REGEXEXTRACT(O1397,""[0-9]+""))
),
0
)"),0.0)</f>
        <v>0</v>
      </c>
      <c r="E1397" s="1" t="s">
        <v>11</v>
      </c>
      <c r="F1397" s="1" t="s">
        <v>20</v>
      </c>
      <c r="G1397" s="4" t="b">
        <f t="shared" si="2"/>
        <v>1</v>
      </c>
      <c r="H1397" s="1" t="str">
        <f t="shared" si="3"/>
        <v>Currently Unavailable</v>
      </c>
      <c r="I1397" s="1" t="str">
        <f t="shared" si="4"/>
        <v>No Badges</v>
      </c>
      <c r="J1397" s="3">
        <f t="shared" si="5"/>
        <v>0</v>
      </c>
    </row>
    <row r="1398">
      <c r="A1398" s="1" t="s">
        <v>1190</v>
      </c>
      <c r="B1398" s="3" t="str">
        <f t="shared" si="1"/>
        <v>Unavailable</v>
      </c>
      <c r="C1398" s="5">
        <v>2171.0</v>
      </c>
      <c r="D1398" s="3">
        <f>IFERROR(__xludf.DUMMYFUNCTION("IFERROR(
IF(REGEXMATCH(LOWER(O1398),""k""),
VALUE(REGEXEXTRACT(O1398,""[0-9]+""))*1000,
VALUE(REGEXEXTRACT(O1398,""[0-9]+""))
),
0
)"),0.0)</f>
        <v>0</v>
      </c>
      <c r="E1398" s="1" t="s">
        <v>11</v>
      </c>
      <c r="F1398" s="1" t="s">
        <v>20</v>
      </c>
      <c r="G1398" s="4" t="b">
        <f t="shared" si="2"/>
        <v>1</v>
      </c>
      <c r="H1398" s="1" t="str">
        <f t="shared" si="3"/>
        <v>Currently Unavailable</v>
      </c>
      <c r="I1398" s="1" t="str">
        <f t="shared" si="4"/>
        <v>No Badges</v>
      </c>
      <c r="J1398" s="3">
        <f t="shared" si="5"/>
        <v>0</v>
      </c>
    </row>
    <row r="1399">
      <c r="A1399" s="1" t="s">
        <v>1191</v>
      </c>
      <c r="B1399" s="3" t="str">
        <f t="shared" si="1"/>
        <v>Unavailable</v>
      </c>
      <c r="C1399" s="5">
        <v>17726.0</v>
      </c>
      <c r="D1399" s="3">
        <f>IFERROR(__xludf.DUMMYFUNCTION("IFERROR(
IF(REGEXMATCH(LOWER(O1399),""k""),
VALUE(REGEXEXTRACT(O1399,""[0-9]+""))*1000,
VALUE(REGEXEXTRACT(O1399,""[0-9]+""))
),
0
)"),0.0)</f>
        <v>0</v>
      </c>
      <c r="E1399" s="1" t="s">
        <v>11</v>
      </c>
      <c r="F1399" s="1" t="s">
        <v>20</v>
      </c>
      <c r="G1399" s="4" t="b">
        <f t="shared" si="2"/>
        <v>1</v>
      </c>
      <c r="H1399" s="1" t="str">
        <f t="shared" si="3"/>
        <v>Currently Unavailable</v>
      </c>
      <c r="I1399" s="1" t="str">
        <f t="shared" si="4"/>
        <v>No Badges</v>
      </c>
      <c r="J1399" s="3">
        <f t="shared" si="5"/>
        <v>0</v>
      </c>
    </row>
    <row r="1400">
      <c r="A1400" s="1" t="s">
        <v>1192</v>
      </c>
      <c r="B1400" s="3" t="str">
        <f t="shared" si="1"/>
        <v>Unavailable</v>
      </c>
      <c r="C1400" s="5">
        <v>20128.0</v>
      </c>
      <c r="D1400" s="3">
        <f>IFERROR(__xludf.DUMMYFUNCTION("IFERROR(
IF(REGEXMATCH(LOWER(O1400),""k""),
VALUE(REGEXEXTRACT(O1400,""[0-9]+""))*1000,
VALUE(REGEXEXTRACT(O1400,""[0-9]+""))
),
0
)"),0.0)</f>
        <v>0</v>
      </c>
      <c r="E1400" s="1" t="s">
        <v>11</v>
      </c>
      <c r="F1400" s="1" t="s">
        <v>20</v>
      </c>
      <c r="G1400" s="4" t="b">
        <f t="shared" si="2"/>
        <v>1</v>
      </c>
      <c r="H1400" s="1" t="str">
        <f t="shared" si="3"/>
        <v>Currently Unavailable</v>
      </c>
      <c r="I1400" s="1" t="str">
        <f t="shared" si="4"/>
        <v>No Badges</v>
      </c>
      <c r="J1400" s="3">
        <f t="shared" si="5"/>
        <v>0</v>
      </c>
    </row>
    <row r="1401">
      <c r="A1401" s="1" t="s">
        <v>1193</v>
      </c>
      <c r="B1401" s="3" t="str">
        <f t="shared" si="1"/>
        <v>Unavailable</v>
      </c>
      <c r="C1401" s="5">
        <v>8570.0</v>
      </c>
      <c r="D1401" s="3">
        <f>IFERROR(__xludf.DUMMYFUNCTION("IFERROR(
IF(REGEXMATCH(LOWER(O1401),""k""),
VALUE(REGEXEXTRACT(O1401,""[0-9]+""))*1000,
VALUE(REGEXEXTRACT(O1401,""[0-9]+""))
),
0
)"),0.0)</f>
        <v>0</v>
      </c>
      <c r="E1401" s="1" t="s">
        <v>158</v>
      </c>
      <c r="F1401" s="1" t="s">
        <v>20</v>
      </c>
      <c r="G1401" s="4" t="b">
        <f t="shared" si="2"/>
        <v>1</v>
      </c>
      <c r="H1401" s="1" t="str">
        <f t="shared" si="3"/>
        <v>Currently Unavailable</v>
      </c>
      <c r="I1401" s="1" t="str">
        <f t="shared" si="4"/>
        <v>No Badges</v>
      </c>
      <c r="J1401" s="3">
        <f t="shared" si="5"/>
        <v>0</v>
      </c>
    </row>
    <row r="1402">
      <c r="A1402" s="1" t="s">
        <v>1194</v>
      </c>
      <c r="B1402" s="3" t="str">
        <f t="shared" si="1"/>
        <v>Unavailable</v>
      </c>
      <c r="C1402" s="5">
        <v>1515.0</v>
      </c>
      <c r="D1402" s="3">
        <f>IFERROR(__xludf.DUMMYFUNCTION("IFERROR(
IF(REGEXMATCH(LOWER(O1402),""k""),
VALUE(REGEXEXTRACT(O1402,""[0-9]+""))*1000,
VALUE(REGEXEXTRACT(O1402,""[0-9]+""))
),
0
)"),0.0)</f>
        <v>0</v>
      </c>
      <c r="E1402" s="1" t="s">
        <v>11</v>
      </c>
      <c r="F1402" s="1" t="s">
        <v>20</v>
      </c>
      <c r="G1402" s="4" t="b">
        <f t="shared" si="2"/>
        <v>1</v>
      </c>
      <c r="H1402" s="1" t="str">
        <f t="shared" si="3"/>
        <v>Currently Unavailable</v>
      </c>
      <c r="I1402" s="1" t="str">
        <f t="shared" si="4"/>
        <v>No Badges</v>
      </c>
      <c r="J1402" s="3">
        <f t="shared" si="5"/>
        <v>0</v>
      </c>
    </row>
    <row r="1403">
      <c r="A1403" s="1" t="s">
        <v>1195</v>
      </c>
      <c r="B1403" s="3" t="str">
        <f t="shared" si="1"/>
        <v>Unavailable</v>
      </c>
      <c r="C1403" s="5">
        <v>61499.0</v>
      </c>
      <c r="D1403" s="3">
        <f>IFERROR(__xludf.DUMMYFUNCTION("IFERROR(
IF(REGEXMATCH(LOWER(O1403),""k""),
VALUE(REGEXEXTRACT(O1403,""[0-9]+""))*1000,
VALUE(REGEXEXTRACT(O1403,""[0-9]+""))
),
0
)"),0.0)</f>
        <v>0</v>
      </c>
      <c r="E1403" s="1" t="s">
        <v>11</v>
      </c>
      <c r="F1403" s="1" t="s">
        <v>20</v>
      </c>
      <c r="G1403" s="4" t="b">
        <f t="shared" si="2"/>
        <v>1</v>
      </c>
      <c r="H1403" s="1" t="str">
        <f t="shared" si="3"/>
        <v>Currently Unavailable</v>
      </c>
      <c r="I1403" s="1" t="str">
        <f t="shared" si="4"/>
        <v>No Badges</v>
      </c>
      <c r="J1403" s="3">
        <f t="shared" si="5"/>
        <v>0</v>
      </c>
    </row>
    <row r="1404">
      <c r="A1404" s="1" t="s">
        <v>1196</v>
      </c>
      <c r="B1404" s="3" t="str">
        <f t="shared" si="1"/>
        <v>Unavailable</v>
      </c>
      <c r="C1404" s="5">
        <v>28081.0</v>
      </c>
      <c r="D1404" s="3">
        <f>IFERROR(__xludf.DUMMYFUNCTION("IFERROR(
IF(REGEXMATCH(LOWER(O1404),""k""),
VALUE(REGEXEXTRACT(O1404,""[0-9]+""))*1000,
VALUE(REGEXEXTRACT(O1404,""[0-9]+""))
),
0
)"),0.0)</f>
        <v>0</v>
      </c>
      <c r="E1404" s="1" t="s">
        <v>11</v>
      </c>
      <c r="F1404" s="1" t="s">
        <v>20</v>
      </c>
      <c r="G1404" s="4" t="b">
        <f t="shared" si="2"/>
        <v>1</v>
      </c>
      <c r="H1404" s="1" t="str">
        <f t="shared" si="3"/>
        <v>Currently Unavailable</v>
      </c>
      <c r="I1404" s="1" t="str">
        <f t="shared" si="4"/>
        <v>No Badges</v>
      </c>
      <c r="J1404" s="3">
        <f t="shared" si="5"/>
        <v>0</v>
      </c>
    </row>
    <row r="1405">
      <c r="A1405" s="1" t="s">
        <v>1197</v>
      </c>
      <c r="B1405" s="3" t="str">
        <f t="shared" si="1"/>
        <v>Unavailable</v>
      </c>
      <c r="C1405" s="5">
        <v>21145.0</v>
      </c>
      <c r="D1405" s="3">
        <f>IFERROR(__xludf.DUMMYFUNCTION("IFERROR(
IF(REGEXMATCH(LOWER(O1405),""k""),
VALUE(REGEXEXTRACT(O1405,""[0-9]+""))*1000,
VALUE(REGEXEXTRACT(O1405,""[0-9]+""))
),
0
)"),0.0)</f>
        <v>0</v>
      </c>
      <c r="E1405" s="1" t="s">
        <v>11</v>
      </c>
      <c r="F1405" s="1" t="s">
        <v>20</v>
      </c>
      <c r="G1405" s="4" t="b">
        <f t="shared" si="2"/>
        <v>1</v>
      </c>
      <c r="H1405" s="1" t="str">
        <f t="shared" si="3"/>
        <v>Currently Unavailable</v>
      </c>
      <c r="I1405" s="1" t="str">
        <f t="shared" si="4"/>
        <v>No Badges</v>
      </c>
      <c r="J1405" s="3">
        <f t="shared" si="5"/>
        <v>0</v>
      </c>
    </row>
    <row r="1406">
      <c r="A1406" s="1" t="s">
        <v>1198</v>
      </c>
      <c r="B1406" s="3" t="str">
        <f t="shared" si="1"/>
        <v>Unavailable</v>
      </c>
      <c r="C1406" s="5">
        <v>81751.0</v>
      </c>
      <c r="D1406" s="3">
        <f>IFERROR(__xludf.DUMMYFUNCTION("IFERROR(
IF(REGEXMATCH(LOWER(O1406),""k""),
VALUE(REGEXEXTRACT(O1406,""[0-9]+""))*1000,
VALUE(REGEXEXTRACT(O1406,""[0-9]+""))
),
0
)"),0.0)</f>
        <v>0</v>
      </c>
      <c r="E1406" s="1" t="s">
        <v>11</v>
      </c>
      <c r="F1406" s="1" t="s">
        <v>20</v>
      </c>
      <c r="G1406" s="4" t="b">
        <f t="shared" si="2"/>
        <v>1</v>
      </c>
      <c r="H1406" s="1" t="str">
        <f t="shared" si="3"/>
        <v>Currently Unavailable</v>
      </c>
      <c r="I1406" s="1" t="str">
        <f t="shared" si="4"/>
        <v>No Badges</v>
      </c>
      <c r="J1406" s="3">
        <f t="shared" si="5"/>
        <v>0</v>
      </c>
    </row>
    <row r="1407">
      <c r="A1407" s="1" t="s">
        <v>1199</v>
      </c>
      <c r="B1407" s="3" t="str">
        <f t="shared" si="1"/>
        <v>Unavailable</v>
      </c>
      <c r="C1407" s="5">
        <v>28351.0</v>
      </c>
      <c r="D1407" s="3">
        <f>IFERROR(__xludf.DUMMYFUNCTION("IFERROR(
IF(REGEXMATCH(LOWER(O1407),""k""),
VALUE(REGEXEXTRACT(O1407,""[0-9]+""))*1000,
VALUE(REGEXEXTRACT(O1407,""[0-9]+""))
),
0
)"),0.0)</f>
        <v>0</v>
      </c>
      <c r="E1407" s="1" t="s">
        <v>11</v>
      </c>
      <c r="F1407" s="1" t="s">
        <v>20</v>
      </c>
      <c r="G1407" s="4" t="b">
        <f t="shared" si="2"/>
        <v>1</v>
      </c>
      <c r="H1407" s="1" t="str">
        <f t="shared" si="3"/>
        <v>Currently Unavailable</v>
      </c>
      <c r="I1407" s="1" t="str">
        <f t="shared" si="4"/>
        <v>No Badges</v>
      </c>
      <c r="J1407" s="3">
        <f t="shared" si="5"/>
        <v>0</v>
      </c>
    </row>
    <row r="1408">
      <c r="A1408" s="1" t="s">
        <v>1200</v>
      </c>
      <c r="B1408" s="3" t="str">
        <f t="shared" si="1"/>
        <v>Unavailable</v>
      </c>
      <c r="C1408" s="5">
        <v>133194.0</v>
      </c>
      <c r="D1408" s="3">
        <f>IFERROR(__xludf.DUMMYFUNCTION("IFERROR(
IF(REGEXMATCH(LOWER(O1408),""k""),
VALUE(REGEXEXTRACT(O1408,""[0-9]+""))*1000,
VALUE(REGEXEXTRACT(O1408,""[0-9]+""))
),
0
)"),0.0)</f>
        <v>0</v>
      </c>
      <c r="E1408" s="1" t="s">
        <v>158</v>
      </c>
      <c r="F1408" s="1" t="s">
        <v>20</v>
      </c>
      <c r="G1408" s="4" t="b">
        <f t="shared" si="2"/>
        <v>1</v>
      </c>
      <c r="H1408" s="1" t="str">
        <f t="shared" si="3"/>
        <v>Currently Unavailable</v>
      </c>
      <c r="I1408" s="1" t="str">
        <f t="shared" si="4"/>
        <v>No Badges</v>
      </c>
      <c r="J1408" s="3">
        <f t="shared" si="5"/>
        <v>0</v>
      </c>
    </row>
    <row r="1409">
      <c r="A1409" s="1" t="s">
        <v>1201</v>
      </c>
      <c r="B1409" s="3" t="str">
        <f t="shared" si="1"/>
        <v>Unavailable</v>
      </c>
      <c r="C1409" s="5">
        <v>4018.0</v>
      </c>
      <c r="D1409" s="3">
        <f>IFERROR(__xludf.DUMMYFUNCTION("IFERROR(
IF(REGEXMATCH(LOWER(O1409),""k""),
VALUE(REGEXEXTRACT(O1409,""[0-9]+""))*1000,
VALUE(REGEXEXTRACT(O1409,""[0-9]+""))
),
0
)"),0.0)</f>
        <v>0</v>
      </c>
      <c r="E1409" s="1" t="s">
        <v>11</v>
      </c>
      <c r="F1409" s="1" t="s">
        <v>20</v>
      </c>
      <c r="G1409" s="4" t="b">
        <f t="shared" si="2"/>
        <v>1</v>
      </c>
      <c r="H1409" s="1" t="str">
        <f t="shared" si="3"/>
        <v>Currently Unavailable</v>
      </c>
      <c r="I1409" s="1" t="str">
        <f t="shared" si="4"/>
        <v>No Badges</v>
      </c>
      <c r="J1409" s="3">
        <f t="shared" si="5"/>
        <v>0</v>
      </c>
    </row>
    <row r="1410">
      <c r="A1410" s="1" t="s">
        <v>88</v>
      </c>
      <c r="B1410" s="3" t="str">
        <f t="shared" si="1"/>
        <v>Unavailable</v>
      </c>
      <c r="C1410" s="3">
        <v>5.0</v>
      </c>
      <c r="D1410" s="3">
        <f>IFERROR(__xludf.DUMMYFUNCTION("IFERROR(
IF(REGEXMATCH(LOWER(O1410),""k""),
VALUE(REGEXEXTRACT(O1410,""[0-9]+""))*1000,
VALUE(REGEXEXTRACT(O1410,""[0-9]+""))
),
0
)"),0.0)</f>
        <v>0</v>
      </c>
      <c r="E1410" s="1" t="s">
        <v>11</v>
      </c>
      <c r="F1410" s="1" t="s">
        <v>12</v>
      </c>
      <c r="G1410" s="4" t="b">
        <f t="shared" si="2"/>
        <v>1</v>
      </c>
      <c r="H1410" s="1" t="str">
        <f t="shared" si="3"/>
        <v>Currently Unavailable</v>
      </c>
      <c r="I1410" s="1" t="str">
        <f t="shared" si="4"/>
        <v>No Badges</v>
      </c>
      <c r="J1410" s="3">
        <f t="shared" si="5"/>
        <v>0</v>
      </c>
    </row>
    <row r="1411">
      <c r="A1411" s="1" t="s">
        <v>40</v>
      </c>
      <c r="B1411" s="3" t="str">
        <f t="shared" si="1"/>
        <v>Unavailable</v>
      </c>
      <c r="C1411" s="3">
        <v>171.0</v>
      </c>
      <c r="D1411" s="3">
        <f>IFERROR(__xludf.DUMMYFUNCTION("IFERROR(
IF(REGEXMATCH(LOWER(O1411),""k""),
VALUE(REGEXEXTRACT(O1411,""[0-9]+""))*1000,
VALUE(REGEXEXTRACT(O1411,""[0-9]+""))
),
0
)"),0.0)</f>
        <v>0</v>
      </c>
      <c r="E1411" s="1" t="s">
        <v>11</v>
      </c>
      <c r="F1411" s="1" t="s">
        <v>12</v>
      </c>
      <c r="G1411" s="4" t="b">
        <f t="shared" si="2"/>
        <v>1</v>
      </c>
      <c r="H1411" s="1" t="str">
        <f t="shared" si="3"/>
        <v>Currently Unavailable</v>
      </c>
      <c r="I1411" s="1" t="str">
        <f t="shared" si="4"/>
        <v>No Badges</v>
      </c>
      <c r="J1411" s="3">
        <f t="shared" si="5"/>
        <v>0</v>
      </c>
    </row>
    <row r="1412">
      <c r="A1412" s="1" t="s">
        <v>1202</v>
      </c>
      <c r="B1412" s="3" t="str">
        <f t="shared" si="1"/>
        <v>Unavailable</v>
      </c>
      <c r="C1412" s="5">
        <v>22149.0</v>
      </c>
      <c r="D1412" s="3">
        <f>IFERROR(__xludf.DUMMYFUNCTION("IFERROR(
IF(REGEXMATCH(LOWER(O1412),""k""),
VALUE(REGEXEXTRACT(O1412,""[0-9]+""))*1000,
VALUE(REGEXEXTRACT(O1412,""[0-9]+""))
),
0
)"),0.0)</f>
        <v>0</v>
      </c>
      <c r="E1412" s="1" t="s">
        <v>11</v>
      </c>
      <c r="F1412" s="1" t="s">
        <v>20</v>
      </c>
      <c r="G1412" s="4" t="b">
        <f t="shared" si="2"/>
        <v>1</v>
      </c>
      <c r="H1412" s="1" t="str">
        <f t="shared" si="3"/>
        <v>Currently Unavailable</v>
      </c>
      <c r="I1412" s="1" t="str">
        <f t="shared" si="4"/>
        <v>No Badges</v>
      </c>
      <c r="J1412" s="3">
        <f t="shared" si="5"/>
        <v>0</v>
      </c>
    </row>
    <row r="1413">
      <c r="A1413" s="1" t="s">
        <v>1203</v>
      </c>
      <c r="B1413" s="3" t="str">
        <f t="shared" si="1"/>
        <v>Unavailable</v>
      </c>
      <c r="C1413" s="5">
        <v>43285.0</v>
      </c>
      <c r="D1413" s="3">
        <f>IFERROR(__xludf.DUMMYFUNCTION("IFERROR(
IF(REGEXMATCH(LOWER(O1413),""k""),
VALUE(REGEXEXTRACT(O1413,""[0-9]+""))*1000,
VALUE(REGEXEXTRACT(O1413,""[0-9]+""))
),
0
)"),0.0)</f>
        <v>0</v>
      </c>
      <c r="E1413" s="1" t="s">
        <v>11</v>
      </c>
      <c r="F1413" s="1" t="s">
        <v>20</v>
      </c>
      <c r="G1413" s="4" t="b">
        <f t="shared" si="2"/>
        <v>1</v>
      </c>
      <c r="H1413" s="1" t="str">
        <f t="shared" si="3"/>
        <v>Currently Unavailable</v>
      </c>
      <c r="I1413" s="1" t="str">
        <f t="shared" si="4"/>
        <v>No Badges</v>
      </c>
      <c r="J1413" s="3">
        <f t="shared" si="5"/>
        <v>0</v>
      </c>
    </row>
    <row r="1414">
      <c r="A1414" s="1" t="s">
        <v>69</v>
      </c>
      <c r="B1414" s="3" t="str">
        <f t="shared" si="1"/>
        <v>Unavailable</v>
      </c>
      <c r="C1414" s="3">
        <v>45.0</v>
      </c>
      <c r="D1414" s="3">
        <f>IFERROR(__xludf.DUMMYFUNCTION("IFERROR(
IF(REGEXMATCH(LOWER(O1414),""k""),
VALUE(REGEXEXTRACT(O1414,""[0-9]+""))*1000,
VALUE(REGEXEXTRACT(O1414,""[0-9]+""))
),
0
)"),0.0)</f>
        <v>0</v>
      </c>
      <c r="E1414" s="1" t="s">
        <v>11</v>
      </c>
      <c r="F1414" s="1" t="s">
        <v>12</v>
      </c>
      <c r="G1414" s="4" t="b">
        <f t="shared" si="2"/>
        <v>1</v>
      </c>
      <c r="H1414" s="1" t="str">
        <f t="shared" si="3"/>
        <v>Currently Unavailable</v>
      </c>
      <c r="I1414" s="1" t="str">
        <f t="shared" si="4"/>
        <v>No Badges</v>
      </c>
      <c r="J1414" s="3">
        <f t="shared" si="5"/>
        <v>0</v>
      </c>
    </row>
    <row r="1415">
      <c r="A1415" s="1" t="s">
        <v>1142</v>
      </c>
      <c r="B1415" s="3" t="str">
        <f t="shared" si="1"/>
        <v>Unavailable</v>
      </c>
      <c r="C1415" s="5">
        <v>10222.0</v>
      </c>
      <c r="D1415" s="3">
        <f>IFERROR(__xludf.DUMMYFUNCTION("IFERROR(
IF(REGEXMATCH(LOWER(O1415),""k""),
VALUE(REGEXEXTRACT(O1415,""[0-9]+""))*1000,
VALUE(REGEXEXTRACT(O1415,""[0-9]+""))
),
0
)"),0.0)</f>
        <v>0</v>
      </c>
      <c r="E1415" s="1" t="s">
        <v>158</v>
      </c>
      <c r="F1415" s="1" t="s">
        <v>12</v>
      </c>
      <c r="G1415" s="4" t="b">
        <f t="shared" si="2"/>
        <v>1</v>
      </c>
      <c r="H1415" s="1" t="str">
        <f t="shared" si="3"/>
        <v>Currently Unavailable</v>
      </c>
      <c r="I1415" s="1" t="str">
        <f t="shared" si="4"/>
        <v>No Badges</v>
      </c>
      <c r="J1415" s="3">
        <f t="shared" si="5"/>
        <v>0</v>
      </c>
    </row>
    <row r="1416">
      <c r="A1416" s="1" t="s">
        <v>1204</v>
      </c>
      <c r="B1416" s="3" t="str">
        <f t="shared" si="1"/>
        <v>Unavailable</v>
      </c>
      <c r="C1416" s="3">
        <v>13.0</v>
      </c>
      <c r="D1416" s="3">
        <f>IFERROR(__xludf.DUMMYFUNCTION("IFERROR(
IF(REGEXMATCH(LOWER(O1416),""k""),
VALUE(REGEXEXTRACT(O1416,""[0-9]+""))*1000,
VALUE(REGEXEXTRACT(O1416,""[0-9]+""))
),
0
)"),0.0)</f>
        <v>0</v>
      </c>
      <c r="E1416" s="1" t="s">
        <v>11</v>
      </c>
      <c r="F1416" s="1" t="s">
        <v>20</v>
      </c>
      <c r="G1416" s="4" t="b">
        <f t="shared" si="2"/>
        <v>1</v>
      </c>
      <c r="H1416" s="1" t="str">
        <f t="shared" si="3"/>
        <v>Currently Unavailable</v>
      </c>
      <c r="I1416" s="1" t="str">
        <f t="shared" si="4"/>
        <v>No Badges</v>
      </c>
      <c r="J1416" s="3">
        <f t="shared" si="5"/>
        <v>0</v>
      </c>
    </row>
    <row r="1417">
      <c r="A1417" s="1" t="s">
        <v>1205</v>
      </c>
      <c r="B1417" s="3" t="str">
        <f t="shared" si="1"/>
        <v>Unavailable</v>
      </c>
      <c r="C1417" s="5">
        <v>88282.0</v>
      </c>
      <c r="D1417" s="3">
        <f>IFERROR(__xludf.DUMMYFUNCTION("IFERROR(
IF(REGEXMATCH(LOWER(O1417),""k""),
VALUE(REGEXEXTRACT(O1417,""[0-9]+""))*1000,
VALUE(REGEXEXTRACT(O1417,""[0-9]+""))
),
0
)"),0.0)</f>
        <v>0</v>
      </c>
      <c r="E1417" s="1" t="s">
        <v>11</v>
      </c>
      <c r="F1417" s="1" t="s">
        <v>20</v>
      </c>
      <c r="G1417" s="4" t="b">
        <f t="shared" si="2"/>
        <v>1</v>
      </c>
      <c r="H1417" s="1" t="str">
        <f t="shared" si="3"/>
        <v>Currently Unavailable</v>
      </c>
      <c r="I1417" s="1" t="str">
        <f t="shared" si="4"/>
        <v>No Badges</v>
      </c>
      <c r="J1417" s="3">
        <f t="shared" si="5"/>
        <v>0</v>
      </c>
    </row>
    <row r="1418">
      <c r="A1418" s="1" t="s">
        <v>1206</v>
      </c>
      <c r="B1418" s="3" t="str">
        <f t="shared" si="1"/>
        <v>Unavailable</v>
      </c>
      <c r="C1418" s="5">
        <v>34183.0</v>
      </c>
      <c r="D1418" s="3">
        <f>IFERROR(__xludf.DUMMYFUNCTION("IFERROR(
IF(REGEXMATCH(LOWER(O1418),""k""),
VALUE(REGEXEXTRACT(O1418,""[0-9]+""))*1000,
VALUE(REGEXEXTRACT(O1418,""[0-9]+""))
),
0
)"),0.0)</f>
        <v>0</v>
      </c>
      <c r="E1418" s="1" t="s">
        <v>11</v>
      </c>
      <c r="F1418" s="1" t="s">
        <v>20</v>
      </c>
      <c r="G1418" s="4" t="b">
        <f t="shared" si="2"/>
        <v>1</v>
      </c>
      <c r="H1418" s="1" t="str">
        <f t="shared" si="3"/>
        <v>Currently Unavailable</v>
      </c>
      <c r="I1418" s="1" t="str">
        <f t="shared" si="4"/>
        <v>No Badges</v>
      </c>
      <c r="J1418" s="3">
        <f t="shared" si="5"/>
        <v>0</v>
      </c>
    </row>
    <row r="1419">
      <c r="A1419" s="1" t="s">
        <v>1207</v>
      </c>
      <c r="B1419" s="3" t="str">
        <f t="shared" si="1"/>
        <v>Unavailable</v>
      </c>
      <c r="C1419" s="5">
        <v>16987.0</v>
      </c>
      <c r="D1419" s="3">
        <f>IFERROR(__xludf.DUMMYFUNCTION("IFERROR(
IF(REGEXMATCH(LOWER(O1419),""k""),
VALUE(REGEXEXTRACT(O1419,""[0-9]+""))*1000,
VALUE(REGEXEXTRACT(O1419,""[0-9]+""))
),
0
)"),0.0)</f>
        <v>0</v>
      </c>
      <c r="E1419" s="1" t="s">
        <v>11</v>
      </c>
      <c r="F1419" s="1" t="s">
        <v>20</v>
      </c>
      <c r="G1419" s="4" t="b">
        <f t="shared" si="2"/>
        <v>1</v>
      </c>
      <c r="H1419" s="1" t="str">
        <f t="shared" si="3"/>
        <v>Currently Unavailable</v>
      </c>
      <c r="I1419" s="1" t="str">
        <f t="shared" si="4"/>
        <v>No Badges</v>
      </c>
      <c r="J1419" s="3">
        <f t="shared" si="5"/>
        <v>0</v>
      </c>
    </row>
    <row r="1420">
      <c r="A1420" s="1" t="s">
        <v>1208</v>
      </c>
      <c r="B1420" s="3" t="str">
        <f t="shared" si="1"/>
        <v>Unavailable</v>
      </c>
      <c r="C1420" s="5">
        <v>3398.0</v>
      </c>
      <c r="D1420" s="3">
        <f>IFERROR(__xludf.DUMMYFUNCTION("IFERROR(
IF(REGEXMATCH(LOWER(O1420),""k""),
VALUE(REGEXEXTRACT(O1420,""[0-9]+""))*1000,
VALUE(REGEXEXTRACT(O1420,""[0-9]+""))
),
0
)"),0.0)</f>
        <v>0</v>
      </c>
      <c r="E1420" s="1" t="s">
        <v>11</v>
      </c>
      <c r="F1420" s="1" t="s">
        <v>20</v>
      </c>
      <c r="G1420" s="4" t="b">
        <f t="shared" si="2"/>
        <v>1</v>
      </c>
      <c r="H1420" s="1" t="str">
        <f t="shared" si="3"/>
        <v>Currently Unavailable</v>
      </c>
      <c r="I1420" s="1" t="str">
        <f t="shared" si="4"/>
        <v>No Badges</v>
      </c>
      <c r="J1420" s="3">
        <f t="shared" si="5"/>
        <v>0</v>
      </c>
    </row>
    <row r="1421">
      <c r="A1421" s="1" t="s">
        <v>1209</v>
      </c>
      <c r="B1421" s="3" t="str">
        <f t="shared" si="1"/>
        <v>Unavailable</v>
      </c>
      <c r="C1421" s="5">
        <v>8134.0</v>
      </c>
      <c r="D1421" s="3">
        <f>IFERROR(__xludf.DUMMYFUNCTION("IFERROR(
IF(REGEXMATCH(LOWER(O1421),""k""),
VALUE(REGEXEXTRACT(O1421,""[0-9]+""))*1000,
VALUE(REGEXEXTRACT(O1421,""[0-9]+""))
),
0
)"),0.0)</f>
        <v>0</v>
      </c>
      <c r="E1421" s="1" t="s">
        <v>11</v>
      </c>
      <c r="F1421" s="1" t="s">
        <v>20</v>
      </c>
      <c r="G1421" s="4" t="b">
        <f t="shared" si="2"/>
        <v>1</v>
      </c>
      <c r="H1421" s="1" t="str">
        <f t="shared" si="3"/>
        <v>Currently Unavailable</v>
      </c>
      <c r="I1421" s="1" t="str">
        <f t="shared" si="4"/>
        <v>No Badges</v>
      </c>
      <c r="J1421" s="3">
        <f t="shared" si="5"/>
        <v>0</v>
      </c>
    </row>
    <row r="1422">
      <c r="A1422" s="1" t="s">
        <v>1210</v>
      </c>
      <c r="B1422" s="3" t="str">
        <f t="shared" si="1"/>
        <v>Unavailable</v>
      </c>
      <c r="C1422" s="5">
        <v>32954.0</v>
      </c>
      <c r="D1422" s="3">
        <f>IFERROR(__xludf.DUMMYFUNCTION("IFERROR(
IF(REGEXMATCH(LOWER(O1422),""k""),
VALUE(REGEXEXTRACT(O1422,""[0-9]+""))*1000,
VALUE(REGEXEXTRACT(O1422,""[0-9]+""))
),
0
)"),0.0)</f>
        <v>0</v>
      </c>
      <c r="E1422" s="1" t="s">
        <v>11</v>
      </c>
      <c r="F1422" s="1" t="s">
        <v>20</v>
      </c>
      <c r="G1422" s="4" t="b">
        <f t="shared" si="2"/>
        <v>1</v>
      </c>
      <c r="H1422" s="1" t="str">
        <f t="shared" si="3"/>
        <v>Currently Unavailable</v>
      </c>
      <c r="I1422" s="1" t="str">
        <f t="shared" si="4"/>
        <v>No Badges</v>
      </c>
      <c r="J1422" s="3">
        <f t="shared" si="5"/>
        <v>0</v>
      </c>
    </row>
    <row r="1423">
      <c r="A1423" s="1" t="s">
        <v>1211</v>
      </c>
      <c r="B1423" s="3" t="str">
        <f t="shared" si="1"/>
        <v>Unavailable</v>
      </c>
      <c r="C1423" s="5">
        <v>30709.0</v>
      </c>
      <c r="D1423" s="3">
        <f>IFERROR(__xludf.DUMMYFUNCTION("IFERROR(
IF(REGEXMATCH(LOWER(O1423),""k""),
VALUE(REGEXEXTRACT(O1423,""[0-9]+""))*1000,
VALUE(REGEXEXTRACT(O1423,""[0-9]+""))
),
0
)"),0.0)</f>
        <v>0</v>
      </c>
      <c r="E1423" s="1" t="s">
        <v>11</v>
      </c>
      <c r="F1423" s="1" t="s">
        <v>20</v>
      </c>
      <c r="G1423" s="4" t="b">
        <f t="shared" si="2"/>
        <v>1</v>
      </c>
      <c r="H1423" s="1" t="str">
        <f t="shared" si="3"/>
        <v>Currently Unavailable</v>
      </c>
      <c r="I1423" s="1" t="str">
        <f t="shared" si="4"/>
        <v>No Badges</v>
      </c>
      <c r="J1423" s="3">
        <f t="shared" si="5"/>
        <v>0</v>
      </c>
    </row>
    <row r="1424">
      <c r="A1424" s="1" t="s">
        <v>1212</v>
      </c>
      <c r="B1424" s="3" t="str">
        <f t="shared" si="1"/>
        <v>Unavailable</v>
      </c>
      <c r="C1424" s="5">
        <v>21475.0</v>
      </c>
      <c r="D1424" s="3">
        <f>IFERROR(__xludf.DUMMYFUNCTION("IFERROR(
IF(REGEXMATCH(LOWER(O1424),""k""),
VALUE(REGEXEXTRACT(O1424,""[0-9]+""))*1000,
VALUE(REGEXEXTRACT(O1424,""[0-9]+""))
),
0
)"),0.0)</f>
        <v>0</v>
      </c>
      <c r="E1424" s="1" t="s">
        <v>11</v>
      </c>
      <c r="F1424" s="1" t="s">
        <v>20</v>
      </c>
      <c r="G1424" s="4" t="b">
        <f t="shared" si="2"/>
        <v>1</v>
      </c>
      <c r="H1424" s="1" t="str">
        <f t="shared" si="3"/>
        <v>Currently Unavailable</v>
      </c>
      <c r="I1424" s="1" t="str">
        <f t="shared" si="4"/>
        <v>No Badges</v>
      </c>
      <c r="J1424" s="3">
        <f t="shared" si="5"/>
        <v>0</v>
      </c>
    </row>
    <row r="1425">
      <c r="A1425" s="1" t="s">
        <v>1213</v>
      </c>
      <c r="B1425" s="3" t="str">
        <f t="shared" si="1"/>
        <v>Unavailable</v>
      </c>
      <c r="C1425" s="5">
        <v>21264.0</v>
      </c>
      <c r="D1425" s="3">
        <f>IFERROR(__xludf.DUMMYFUNCTION("IFERROR(
IF(REGEXMATCH(LOWER(O1425),""k""),
VALUE(REGEXEXTRACT(O1425,""[0-9]+""))*1000,
VALUE(REGEXEXTRACT(O1425,""[0-9]+""))
),
0
)"),0.0)</f>
        <v>0</v>
      </c>
      <c r="E1425" s="1" t="s">
        <v>11</v>
      </c>
      <c r="F1425" s="1" t="s">
        <v>20</v>
      </c>
      <c r="G1425" s="4" t="b">
        <f t="shared" si="2"/>
        <v>1</v>
      </c>
      <c r="H1425" s="1" t="str">
        <f t="shared" si="3"/>
        <v>Currently Unavailable</v>
      </c>
      <c r="I1425" s="1" t="str">
        <f t="shared" si="4"/>
        <v>No Badges</v>
      </c>
      <c r="J1425" s="3">
        <f t="shared" si="5"/>
        <v>0</v>
      </c>
    </row>
    <row r="1426">
      <c r="A1426" s="1" t="s">
        <v>1214</v>
      </c>
      <c r="B1426" s="3" t="str">
        <f t="shared" si="1"/>
        <v>Unavailable</v>
      </c>
      <c r="C1426" s="5">
        <v>23655.0</v>
      </c>
      <c r="D1426" s="3">
        <f>IFERROR(__xludf.DUMMYFUNCTION("IFERROR(
IF(REGEXMATCH(LOWER(O1426),""k""),
VALUE(REGEXEXTRACT(O1426,""[0-9]+""))*1000,
VALUE(REGEXEXTRACT(O1426,""[0-9]+""))
),
0
)"),0.0)</f>
        <v>0</v>
      </c>
      <c r="E1426" s="1" t="s">
        <v>11</v>
      </c>
      <c r="F1426" s="1" t="s">
        <v>20</v>
      </c>
      <c r="G1426" s="4" t="b">
        <f t="shared" si="2"/>
        <v>1</v>
      </c>
      <c r="H1426" s="1" t="str">
        <f t="shared" si="3"/>
        <v>Currently Unavailable</v>
      </c>
      <c r="I1426" s="1" t="str">
        <f t="shared" si="4"/>
        <v>No Badges</v>
      </c>
      <c r="J1426" s="3">
        <f t="shared" si="5"/>
        <v>0</v>
      </c>
    </row>
    <row r="1427">
      <c r="A1427" s="1" t="s">
        <v>67</v>
      </c>
      <c r="B1427" s="3" t="str">
        <f t="shared" si="1"/>
        <v>Unavailable</v>
      </c>
      <c r="C1427" s="3">
        <v>264.0</v>
      </c>
      <c r="D1427" s="3">
        <f>IFERROR(__xludf.DUMMYFUNCTION("IFERROR(
IF(REGEXMATCH(LOWER(O1427),""k""),
VALUE(REGEXEXTRACT(O1427,""[0-9]+""))*1000,
VALUE(REGEXEXTRACT(O1427,""[0-9]+""))
),
0
)"),0.0)</f>
        <v>0</v>
      </c>
      <c r="E1427" s="1" t="s">
        <v>11</v>
      </c>
      <c r="F1427" s="1" t="s">
        <v>12</v>
      </c>
      <c r="G1427" s="4" t="b">
        <f t="shared" si="2"/>
        <v>1</v>
      </c>
      <c r="H1427" s="1" t="str">
        <f t="shared" si="3"/>
        <v>Currently Unavailable</v>
      </c>
      <c r="I1427" s="1" t="str">
        <f t="shared" si="4"/>
        <v>No Badges</v>
      </c>
      <c r="J1427" s="3">
        <f t="shared" si="5"/>
        <v>0</v>
      </c>
    </row>
    <row r="1428">
      <c r="A1428" s="1" t="s">
        <v>1215</v>
      </c>
      <c r="B1428" s="3" t="str">
        <f t="shared" si="1"/>
        <v>Unavailable</v>
      </c>
      <c r="C1428" s="5">
        <v>14533.0</v>
      </c>
      <c r="D1428" s="3">
        <f>IFERROR(__xludf.DUMMYFUNCTION("IFERROR(
IF(REGEXMATCH(LOWER(O1428),""k""),
VALUE(REGEXEXTRACT(O1428,""[0-9]+""))*1000,
VALUE(REGEXEXTRACT(O1428,""[0-9]+""))
),
0
)"),0.0)</f>
        <v>0</v>
      </c>
      <c r="E1428" s="1" t="s">
        <v>11</v>
      </c>
      <c r="F1428" s="1" t="s">
        <v>20</v>
      </c>
      <c r="G1428" s="4" t="b">
        <f t="shared" si="2"/>
        <v>1</v>
      </c>
      <c r="H1428" s="1" t="str">
        <f t="shared" si="3"/>
        <v>Currently Unavailable</v>
      </c>
      <c r="I1428" s="1" t="str">
        <f t="shared" si="4"/>
        <v>No Badges</v>
      </c>
      <c r="J1428" s="3">
        <f t="shared" si="5"/>
        <v>0</v>
      </c>
    </row>
    <row r="1429">
      <c r="A1429" s="1" t="s">
        <v>1216</v>
      </c>
      <c r="B1429" s="3" t="str">
        <f t="shared" si="1"/>
        <v>Unavailable</v>
      </c>
      <c r="C1429" s="5">
        <v>15567.0</v>
      </c>
      <c r="D1429" s="3">
        <f>IFERROR(__xludf.DUMMYFUNCTION("IFERROR(
IF(REGEXMATCH(LOWER(O1429),""k""),
VALUE(REGEXEXTRACT(O1429,""[0-9]+""))*1000,
VALUE(REGEXEXTRACT(O1429,""[0-9]+""))
),
0
)"),0.0)</f>
        <v>0</v>
      </c>
      <c r="E1429" s="1" t="s">
        <v>11</v>
      </c>
      <c r="F1429" s="1" t="s">
        <v>20</v>
      </c>
      <c r="G1429" s="4" t="b">
        <f t="shared" si="2"/>
        <v>1</v>
      </c>
      <c r="H1429" s="1" t="str">
        <f t="shared" si="3"/>
        <v>Currently Unavailable</v>
      </c>
      <c r="I1429" s="1" t="str">
        <f t="shared" si="4"/>
        <v>No Badges</v>
      </c>
      <c r="J1429" s="3">
        <f t="shared" si="5"/>
        <v>0</v>
      </c>
    </row>
    <row r="1430">
      <c r="A1430" s="1" t="s">
        <v>1217</v>
      </c>
      <c r="B1430" s="3" t="str">
        <f t="shared" si="1"/>
        <v>Unavailable</v>
      </c>
      <c r="C1430" s="5">
        <v>2131.0</v>
      </c>
      <c r="D1430" s="3">
        <f>IFERROR(__xludf.DUMMYFUNCTION("IFERROR(
IF(REGEXMATCH(LOWER(O1430),""k""),
VALUE(REGEXEXTRACT(O1430,""[0-9]+""))*1000,
VALUE(REGEXEXTRACT(O1430,""[0-9]+""))
),
0
)"),0.0)</f>
        <v>0</v>
      </c>
      <c r="E1430" s="1" t="s">
        <v>11</v>
      </c>
      <c r="F1430" s="1" t="s">
        <v>20</v>
      </c>
      <c r="G1430" s="4" t="b">
        <f t="shared" si="2"/>
        <v>1</v>
      </c>
      <c r="H1430" s="1" t="str">
        <f t="shared" si="3"/>
        <v>Currently Unavailable</v>
      </c>
      <c r="I1430" s="1" t="str">
        <f t="shared" si="4"/>
        <v>No Badges</v>
      </c>
      <c r="J1430" s="3">
        <f t="shared" si="5"/>
        <v>0</v>
      </c>
    </row>
    <row r="1431">
      <c r="A1431" s="1" t="s">
        <v>1218</v>
      </c>
      <c r="B1431" s="3" t="str">
        <f t="shared" si="1"/>
        <v>Unavailable</v>
      </c>
      <c r="C1431" s="5">
        <v>12469.0</v>
      </c>
      <c r="D1431" s="3">
        <f>IFERROR(__xludf.DUMMYFUNCTION("IFERROR(
IF(REGEXMATCH(LOWER(O1431),""k""),
VALUE(REGEXEXTRACT(O1431,""[0-9]+""))*1000,
VALUE(REGEXEXTRACT(O1431,""[0-9]+""))
),
0
)"),0.0)</f>
        <v>0</v>
      </c>
      <c r="E1431" s="1" t="s">
        <v>11</v>
      </c>
      <c r="F1431" s="1" t="s">
        <v>20</v>
      </c>
      <c r="G1431" s="4" t="b">
        <f t="shared" si="2"/>
        <v>1</v>
      </c>
      <c r="H1431" s="1" t="str">
        <f t="shared" si="3"/>
        <v>Currently Unavailable</v>
      </c>
      <c r="I1431" s="1" t="str">
        <f t="shared" si="4"/>
        <v>No Badges</v>
      </c>
      <c r="J1431" s="3">
        <f t="shared" si="5"/>
        <v>0</v>
      </c>
    </row>
    <row r="1432">
      <c r="A1432" s="1" t="s">
        <v>1219</v>
      </c>
      <c r="B1432" s="3" t="str">
        <f t="shared" si="1"/>
        <v>Unavailable</v>
      </c>
      <c r="C1432" s="5">
        <v>16532.0</v>
      </c>
      <c r="D1432" s="3">
        <f>IFERROR(__xludf.DUMMYFUNCTION("IFERROR(
IF(REGEXMATCH(LOWER(O1432),""k""),
VALUE(REGEXEXTRACT(O1432,""[0-9]+""))*1000,
VALUE(REGEXEXTRACT(O1432,""[0-9]+""))
),
0
)"),0.0)</f>
        <v>0</v>
      </c>
      <c r="E1432" s="1" t="s">
        <v>11</v>
      </c>
      <c r="F1432" s="1" t="s">
        <v>20</v>
      </c>
      <c r="G1432" s="4" t="b">
        <f t="shared" si="2"/>
        <v>1</v>
      </c>
      <c r="H1432" s="1" t="str">
        <f t="shared" si="3"/>
        <v>Currently Unavailable</v>
      </c>
      <c r="I1432" s="1" t="str">
        <f t="shared" si="4"/>
        <v>No Badges</v>
      </c>
      <c r="J1432" s="3">
        <f t="shared" si="5"/>
        <v>0</v>
      </c>
    </row>
    <row r="1433">
      <c r="A1433" s="1" t="s">
        <v>1220</v>
      </c>
      <c r="B1433" s="3" t="str">
        <f t="shared" si="1"/>
        <v>Unavailable</v>
      </c>
      <c r="C1433" s="5">
        <v>28920.0</v>
      </c>
      <c r="D1433" s="3">
        <f>IFERROR(__xludf.DUMMYFUNCTION("IFERROR(
IF(REGEXMATCH(LOWER(O1433),""k""),
VALUE(REGEXEXTRACT(O1433,""[0-9]+""))*1000,
VALUE(REGEXEXTRACT(O1433,""[0-9]+""))
),
0
)"),0.0)</f>
        <v>0</v>
      </c>
      <c r="E1433" s="1" t="s">
        <v>11</v>
      </c>
      <c r="F1433" s="1" t="s">
        <v>20</v>
      </c>
      <c r="G1433" s="4" t="b">
        <f t="shared" si="2"/>
        <v>1</v>
      </c>
      <c r="H1433" s="1" t="str">
        <f t="shared" si="3"/>
        <v>Currently Unavailable</v>
      </c>
      <c r="I1433" s="1" t="str">
        <f t="shared" si="4"/>
        <v>No Badges</v>
      </c>
      <c r="J1433" s="3">
        <f t="shared" si="5"/>
        <v>0</v>
      </c>
    </row>
    <row r="1434">
      <c r="A1434" s="1" t="s">
        <v>1221</v>
      </c>
      <c r="B1434" s="3" t="str">
        <f t="shared" si="1"/>
        <v>Unavailable</v>
      </c>
      <c r="C1434" s="5">
        <v>11806.0</v>
      </c>
      <c r="D1434" s="3">
        <f>IFERROR(__xludf.DUMMYFUNCTION("IFERROR(
IF(REGEXMATCH(LOWER(O1434),""k""),
VALUE(REGEXEXTRACT(O1434,""[0-9]+""))*1000,
VALUE(REGEXEXTRACT(O1434,""[0-9]+""))
),
0
)"),0.0)</f>
        <v>0</v>
      </c>
      <c r="E1434" s="1" t="s">
        <v>11</v>
      </c>
      <c r="F1434" s="1" t="s">
        <v>20</v>
      </c>
      <c r="G1434" s="4" t="b">
        <f t="shared" si="2"/>
        <v>1</v>
      </c>
      <c r="H1434" s="1" t="str">
        <f t="shared" si="3"/>
        <v>Currently Unavailable</v>
      </c>
      <c r="I1434" s="1" t="str">
        <f t="shared" si="4"/>
        <v>No Badges</v>
      </c>
      <c r="J1434" s="3">
        <f t="shared" si="5"/>
        <v>0</v>
      </c>
    </row>
    <row r="1435">
      <c r="A1435" s="1" t="s">
        <v>1222</v>
      </c>
      <c r="B1435" s="3" t="str">
        <f t="shared" si="1"/>
        <v>Unavailable</v>
      </c>
      <c r="C1435" s="5">
        <v>27637.0</v>
      </c>
      <c r="D1435" s="3">
        <f>IFERROR(__xludf.DUMMYFUNCTION("IFERROR(
IF(REGEXMATCH(LOWER(O1435),""k""),
VALUE(REGEXEXTRACT(O1435,""[0-9]+""))*1000,
VALUE(REGEXEXTRACT(O1435,""[0-9]+""))
),
0
)"),0.0)</f>
        <v>0</v>
      </c>
      <c r="E1435" s="1" t="s">
        <v>11</v>
      </c>
      <c r="F1435" s="1" t="s">
        <v>20</v>
      </c>
      <c r="G1435" s="4" t="b">
        <f t="shared" si="2"/>
        <v>1</v>
      </c>
      <c r="H1435" s="1" t="str">
        <f t="shared" si="3"/>
        <v>Currently Unavailable</v>
      </c>
      <c r="I1435" s="1" t="str">
        <f t="shared" si="4"/>
        <v>No Badges</v>
      </c>
      <c r="J1435" s="3">
        <f t="shared" si="5"/>
        <v>0</v>
      </c>
    </row>
    <row r="1436">
      <c r="A1436" s="1" t="s">
        <v>1223</v>
      </c>
      <c r="B1436" s="3" t="str">
        <f t="shared" si="1"/>
        <v>Unavailable</v>
      </c>
      <c r="C1436" s="5">
        <v>6753.0</v>
      </c>
      <c r="D1436" s="3">
        <f>IFERROR(__xludf.DUMMYFUNCTION("IFERROR(
IF(REGEXMATCH(LOWER(O1436),""k""),
VALUE(REGEXEXTRACT(O1436,""[0-9]+""))*1000,
VALUE(REGEXEXTRACT(O1436,""[0-9]+""))
),
0
)"),0.0)</f>
        <v>0</v>
      </c>
      <c r="E1436" s="1" t="s">
        <v>11</v>
      </c>
      <c r="F1436" s="1" t="s">
        <v>20</v>
      </c>
      <c r="G1436" s="4" t="b">
        <f t="shared" si="2"/>
        <v>1</v>
      </c>
      <c r="H1436" s="1" t="str">
        <f t="shared" si="3"/>
        <v>Currently Unavailable</v>
      </c>
      <c r="I1436" s="1" t="str">
        <f t="shared" si="4"/>
        <v>No Badges</v>
      </c>
      <c r="J1436" s="3">
        <f t="shared" si="5"/>
        <v>0</v>
      </c>
    </row>
    <row r="1437">
      <c r="A1437" s="1" t="s">
        <v>1224</v>
      </c>
      <c r="B1437" s="3" t="str">
        <f t="shared" si="1"/>
        <v>Unavailable</v>
      </c>
      <c r="C1437" s="5">
        <v>3060.0</v>
      </c>
      <c r="D1437" s="3">
        <f>IFERROR(__xludf.DUMMYFUNCTION("IFERROR(
IF(REGEXMATCH(LOWER(O1437),""k""),
VALUE(REGEXEXTRACT(O1437,""[0-9]+""))*1000,
VALUE(REGEXEXTRACT(O1437,""[0-9]+""))
),
0
)"),0.0)</f>
        <v>0</v>
      </c>
      <c r="E1437" s="1" t="s">
        <v>11</v>
      </c>
      <c r="F1437" s="1" t="s">
        <v>20</v>
      </c>
      <c r="G1437" s="4" t="b">
        <f t="shared" si="2"/>
        <v>1</v>
      </c>
      <c r="H1437" s="1" t="str">
        <f t="shared" si="3"/>
        <v>Currently Unavailable</v>
      </c>
      <c r="I1437" s="1" t="str">
        <f t="shared" si="4"/>
        <v>No Badges</v>
      </c>
      <c r="J1437" s="3">
        <f t="shared" si="5"/>
        <v>0</v>
      </c>
    </row>
    <row r="1438">
      <c r="A1438" s="1" t="s">
        <v>1225</v>
      </c>
      <c r="B1438" s="3" t="str">
        <f t="shared" si="1"/>
        <v>Unavailable</v>
      </c>
      <c r="C1438" s="5">
        <v>167901.0</v>
      </c>
      <c r="D1438" s="3">
        <f>IFERROR(__xludf.DUMMYFUNCTION("IFERROR(
IF(REGEXMATCH(LOWER(O1438),""k""),
VALUE(REGEXEXTRACT(O1438,""[0-9]+""))*1000,
VALUE(REGEXEXTRACT(O1438,""[0-9]+""))
),
0
)"),0.0)</f>
        <v>0</v>
      </c>
      <c r="E1438" s="1" t="s">
        <v>11</v>
      </c>
      <c r="F1438" s="1" t="s">
        <v>20</v>
      </c>
      <c r="G1438" s="4" t="b">
        <f t="shared" si="2"/>
        <v>1</v>
      </c>
      <c r="H1438" s="1" t="str">
        <f t="shared" si="3"/>
        <v>Currently Unavailable</v>
      </c>
      <c r="I1438" s="1" t="str">
        <f t="shared" si="4"/>
        <v>No Badges</v>
      </c>
      <c r="J1438" s="3">
        <f t="shared" si="5"/>
        <v>0</v>
      </c>
    </row>
    <row r="1439">
      <c r="A1439" s="1" t="s">
        <v>1226</v>
      </c>
      <c r="B1439" s="3" t="str">
        <f t="shared" si="1"/>
        <v>Unavailable</v>
      </c>
      <c r="C1439" s="5">
        <v>27900.0</v>
      </c>
      <c r="D1439" s="3">
        <f>IFERROR(__xludf.DUMMYFUNCTION("IFERROR(
IF(REGEXMATCH(LOWER(O1439),""k""),
VALUE(REGEXEXTRACT(O1439,""[0-9]+""))*1000,
VALUE(REGEXEXTRACT(O1439,""[0-9]+""))
),
0
)"),0.0)</f>
        <v>0</v>
      </c>
      <c r="E1439" s="1" t="s">
        <v>11</v>
      </c>
      <c r="F1439" s="1" t="s">
        <v>20</v>
      </c>
      <c r="G1439" s="4" t="b">
        <f t="shared" si="2"/>
        <v>1</v>
      </c>
      <c r="H1439" s="1" t="str">
        <f t="shared" si="3"/>
        <v>Currently Unavailable</v>
      </c>
      <c r="I1439" s="1" t="str">
        <f t="shared" si="4"/>
        <v>No Badges</v>
      </c>
      <c r="J1439" s="3">
        <f t="shared" si="5"/>
        <v>0</v>
      </c>
    </row>
    <row r="1440">
      <c r="A1440" s="1" t="s">
        <v>1227</v>
      </c>
      <c r="B1440" s="3" t="str">
        <f t="shared" si="1"/>
        <v>Unavailable</v>
      </c>
      <c r="C1440" s="5">
        <v>139913.0</v>
      </c>
      <c r="D1440" s="3">
        <f>IFERROR(__xludf.DUMMYFUNCTION("IFERROR(
IF(REGEXMATCH(LOWER(O1440),""k""),
VALUE(REGEXEXTRACT(O1440,""[0-9]+""))*1000,
VALUE(REGEXEXTRACT(O1440,""[0-9]+""))
),
0
)"),0.0)</f>
        <v>0</v>
      </c>
      <c r="E1440" s="1" t="s">
        <v>11</v>
      </c>
      <c r="F1440" s="1" t="s">
        <v>20</v>
      </c>
      <c r="G1440" s="4" t="b">
        <f t="shared" si="2"/>
        <v>1</v>
      </c>
      <c r="H1440" s="1" t="str">
        <f t="shared" si="3"/>
        <v>Currently Unavailable</v>
      </c>
      <c r="I1440" s="1" t="str">
        <f t="shared" si="4"/>
        <v>No Badges</v>
      </c>
      <c r="J1440" s="3">
        <f t="shared" si="5"/>
        <v>0</v>
      </c>
    </row>
    <row r="1441">
      <c r="A1441" s="1" t="s">
        <v>1228</v>
      </c>
      <c r="B1441" s="3" t="str">
        <f t="shared" si="1"/>
        <v>Unavailable</v>
      </c>
      <c r="C1441" s="5">
        <v>61748.0</v>
      </c>
      <c r="D1441" s="3">
        <f>IFERROR(__xludf.DUMMYFUNCTION("IFERROR(
IF(REGEXMATCH(LOWER(O1441),""k""),
VALUE(REGEXEXTRACT(O1441,""[0-9]+""))*1000,
VALUE(REGEXEXTRACT(O1441,""[0-9]+""))
),
0
)"),0.0)</f>
        <v>0</v>
      </c>
      <c r="E1441" s="1" t="s">
        <v>158</v>
      </c>
      <c r="F1441" s="1" t="s">
        <v>20</v>
      </c>
      <c r="G1441" s="4" t="b">
        <f t="shared" si="2"/>
        <v>1</v>
      </c>
      <c r="H1441" s="1" t="str">
        <f t="shared" si="3"/>
        <v>Currently Unavailable</v>
      </c>
      <c r="I1441" s="1" t="str">
        <f t="shared" si="4"/>
        <v>No Badges</v>
      </c>
      <c r="J1441" s="3">
        <f t="shared" si="5"/>
        <v>0</v>
      </c>
    </row>
    <row r="1442">
      <c r="A1442" s="1" t="s">
        <v>701</v>
      </c>
      <c r="B1442" s="3" t="str">
        <f t="shared" si="1"/>
        <v>Unavailable</v>
      </c>
      <c r="C1442" s="3">
        <v>8.0</v>
      </c>
      <c r="D1442" s="3">
        <f>IFERROR(__xludf.DUMMYFUNCTION("IFERROR(
IF(REGEXMATCH(LOWER(O1442),""k""),
VALUE(REGEXEXTRACT(O1442,""[0-9]+""))*1000,
VALUE(REGEXEXTRACT(O1442,""[0-9]+""))
),
0
)"),0.0)</f>
        <v>0</v>
      </c>
      <c r="E1442" s="1" t="s">
        <v>11</v>
      </c>
      <c r="F1442" s="1" t="s">
        <v>12</v>
      </c>
      <c r="G1442" s="4" t="b">
        <f t="shared" si="2"/>
        <v>1</v>
      </c>
      <c r="H1442" s="1" t="str">
        <f t="shared" si="3"/>
        <v>Currently Unavailable</v>
      </c>
      <c r="I1442" s="1" t="str">
        <f t="shared" si="4"/>
        <v>No Badges</v>
      </c>
      <c r="J1442" s="3">
        <f t="shared" si="5"/>
        <v>0</v>
      </c>
    </row>
    <row r="1443">
      <c r="A1443" s="1" t="s">
        <v>1229</v>
      </c>
      <c r="B1443" s="3" t="str">
        <f t="shared" si="1"/>
        <v>Unavailable</v>
      </c>
      <c r="C1443" s="5">
        <v>38090.0</v>
      </c>
      <c r="D1443" s="3">
        <f>IFERROR(__xludf.DUMMYFUNCTION("IFERROR(
IF(REGEXMATCH(LOWER(O1443),""k""),
VALUE(REGEXEXTRACT(O1443,""[0-9]+""))*1000,
VALUE(REGEXEXTRACT(O1443,""[0-9]+""))
),
0
)"),0.0)</f>
        <v>0</v>
      </c>
      <c r="E1443" s="1" t="s">
        <v>158</v>
      </c>
      <c r="F1443" s="1" t="s">
        <v>20</v>
      </c>
      <c r="G1443" s="4" t="b">
        <f t="shared" si="2"/>
        <v>1</v>
      </c>
      <c r="H1443" s="1" t="str">
        <f t="shared" si="3"/>
        <v>Currently Unavailable</v>
      </c>
      <c r="I1443" s="1" t="str">
        <f t="shared" si="4"/>
        <v>No Badges</v>
      </c>
      <c r="J1443" s="3">
        <f t="shared" si="5"/>
        <v>0</v>
      </c>
    </row>
    <row r="1444">
      <c r="A1444" s="1" t="s">
        <v>88</v>
      </c>
      <c r="B1444" s="3" t="str">
        <f t="shared" si="1"/>
        <v>Unavailable</v>
      </c>
      <c r="C1444" s="3">
        <v>5.0</v>
      </c>
      <c r="D1444" s="3">
        <f>IFERROR(__xludf.DUMMYFUNCTION("IFERROR(
IF(REGEXMATCH(LOWER(O1444),""k""),
VALUE(REGEXEXTRACT(O1444,""[0-9]+""))*1000,
VALUE(REGEXEXTRACT(O1444,""[0-9]+""))
),
0
)"),0.0)</f>
        <v>0</v>
      </c>
      <c r="E1444" s="1" t="s">
        <v>11</v>
      </c>
      <c r="F1444" s="1" t="s">
        <v>12</v>
      </c>
      <c r="G1444" s="4" t="b">
        <f t="shared" si="2"/>
        <v>1</v>
      </c>
      <c r="H1444" s="1" t="str">
        <f t="shared" si="3"/>
        <v>Currently Unavailable</v>
      </c>
      <c r="I1444" s="1" t="str">
        <f t="shared" si="4"/>
        <v>No Badges</v>
      </c>
      <c r="J1444" s="3">
        <f t="shared" si="5"/>
        <v>0</v>
      </c>
    </row>
    <row r="1445">
      <c r="A1445" s="1" t="s">
        <v>1230</v>
      </c>
      <c r="B1445" s="3" t="str">
        <f t="shared" si="1"/>
        <v>Unavailable</v>
      </c>
      <c r="C1445" s="5">
        <v>125648.0</v>
      </c>
      <c r="D1445" s="3">
        <f>IFERROR(__xludf.DUMMYFUNCTION("IFERROR(
IF(REGEXMATCH(LOWER(O1445),""k""),
VALUE(REGEXEXTRACT(O1445,""[0-9]+""))*1000,
VALUE(REGEXEXTRACT(O1445,""[0-9]+""))
),
0
)"),0.0)</f>
        <v>0</v>
      </c>
      <c r="E1445" s="1" t="s">
        <v>158</v>
      </c>
      <c r="F1445" s="1" t="s">
        <v>20</v>
      </c>
      <c r="G1445" s="4" t="b">
        <f t="shared" si="2"/>
        <v>1</v>
      </c>
      <c r="H1445" s="1" t="str">
        <f t="shared" si="3"/>
        <v>Currently Unavailable</v>
      </c>
      <c r="I1445" s="1" t="str">
        <f t="shared" si="4"/>
        <v>No Badges</v>
      </c>
      <c r="J1445" s="3">
        <f t="shared" si="5"/>
        <v>0</v>
      </c>
    </row>
    <row r="1446">
      <c r="A1446" s="1" t="s">
        <v>1231</v>
      </c>
      <c r="B1446" s="3" t="str">
        <f t="shared" si="1"/>
        <v>Unavailable</v>
      </c>
      <c r="C1446" s="5">
        <v>22981.0</v>
      </c>
      <c r="D1446" s="3">
        <f>IFERROR(__xludf.DUMMYFUNCTION("IFERROR(
IF(REGEXMATCH(LOWER(O1446),""k""),
VALUE(REGEXEXTRACT(O1446,""[0-9]+""))*1000,
VALUE(REGEXEXTRACT(O1446,""[0-9]+""))
),
0
)"),0.0)</f>
        <v>0</v>
      </c>
      <c r="E1446" s="1" t="s">
        <v>11</v>
      </c>
      <c r="F1446" s="1" t="s">
        <v>20</v>
      </c>
      <c r="G1446" s="4" t="b">
        <f t="shared" si="2"/>
        <v>1</v>
      </c>
      <c r="H1446" s="1" t="str">
        <f t="shared" si="3"/>
        <v>Currently Unavailable</v>
      </c>
      <c r="I1446" s="1" t="str">
        <f t="shared" si="4"/>
        <v>No Badges</v>
      </c>
      <c r="J1446" s="3">
        <f t="shared" si="5"/>
        <v>0</v>
      </c>
    </row>
    <row r="1447">
      <c r="A1447" s="1" t="s">
        <v>1232</v>
      </c>
      <c r="B1447" s="3" t="str">
        <f t="shared" si="1"/>
        <v>Unavailable</v>
      </c>
      <c r="C1447" s="5">
        <v>26303.0</v>
      </c>
      <c r="D1447" s="3">
        <f>IFERROR(__xludf.DUMMYFUNCTION("IFERROR(
IF(REGEXMATCH(LOWER(O1447),""k""),
VALUE(REGEXEXTRACT(O1447,""[0-9]+""))*1000,
VALUE(REGEXEXTRACT(O1447,""[0-9]+""))
),
0
)"),0.0)</f>
        <v>0</v>
      </c>
      <c r="E1447" s="1" t="s">
        <v>11</v>
      </c>
      <c r="F1447" s="1" t="s">
        <v>20</v>
      </c>
      <c r="G1447" s="4" t="b">
        <f t="shared" si="2"/>
        <v>1</v>
      </c>
      <c r="H1447" s="1" t="str">
        <f t="shared" si="3"/>
        <v>Currently Unavailable</v>
      </c>
      <c r="I1447" s="1" t="str">
        <f t="shared" si="4"/>
        <v>No Badges</v>
      </c>
      <c r="J1447" s="3">
        <f t="shared" si="5"/>
        <v>0</v>
      </c>
    </row>
    <row r="1448">
      <c r="A1448" s="1" t="s">
        <v>1142</v>
      </c>
      <c r="B1448" s="3" t="str">
        <f t="shared" si="1"/>
        <v>Unavailable</v>
      </c>
      <c r="C1448" s="5">
        <v>10222.0</v>
      </c>
      <c r="D1448" s="3">
        <f>IFERROR(__xludf.DUMMYFUNCTION("IFERROR(
IF(REGEXMATCH(LOWER(O1448),""k""),
VALUE(REGEXEXTRACT(O1448,""[0-9]+""))*1000,
VALUE(REGEXEXTRACT(O1448,""[0-9]+""))
),
0
)"),0.0)</f>
        <v>0</v>
      </c>
      <c r="E1448" s="1" t="s">
        <v>158</v>
      </c>
      <c r="F1448" s="1" t="s">
        <v>12</v>
      </c>
      <c r="G1448" s="4" t="b">
        <f t="shared" si="2"/>
        <v>1</v>
      </c>
      <c r="H1448" s="1" t="str">
        <f t="shared" si="3"/>
        <v>Currently Unavailable</v>
      </c>
      <c r="I1448" s="1" t="str">
        <f t="shared" si="4"/>
        <v>No Badges</v>
      </c>
      <c r="J1448" s="3">
        <f t="shared" si="5"/>
        <v>0</v>
      </c>
    </row>
    <row r="1449">
      <c r="A1449" s="1" t="s">
        <v>1233</v>
      </c>
      <c r="B1449" s="3" t="str">
        <f t="shared" si="1"/>
        <v>Unavailable</v>
      </c>
      <c r="C1449" s="5">
        <v>40774.0</v>
      </c>
      <c r="D1449" s="3">
        <f>IFERROR(__xludf.DUMMYFUNCTION("IFERROR(
IF(REGEXMATCH(LOWER(O1449),""k""),
VALUE(REGEXEXTRACT(O1449,""[0-9]+""))*1000,
VALUE(REGEXEXTRACT(O1449,""[0-9]+""))
),
0
)"),0.0)</f>
        <v>0</v>
      </c>
      <c r="E1449" s="1" t="s">
        <v>158</v>
      </c>
      <c r="F1449" s="1" t="s">
        <v>20</v>
      </c>
      <c r="G1449" s="4" t="b">
        <f t="shared" si="2"/>
        <v>1</v>
      </c>
      <c r="H1449" s="1" t="str">
        <f t="shared" si="3"/>
        <v>Currently Unavailable</v>
      </c>
      <c r="I1449" s="1" t="str">
        <f t="shared" si="4"/>
        <v>No Badges</v>
      </c>
      <c r="J1449" s="3">
        <f t="shared" si="5"/>
        <v>0</v>
      </c>
    </row>
    <row r="1450">
      <c r="A1450" s="1" t="s">
        <v>1234</v>
      </c>
      <c r="B1450" s="3" t="str">
        <f t="shared" si="1"/>
        <v>Unavailable</v>
      </c>
      <c r="C1450" s="5">
        <v>18726.0</v>
      </c>
      <c r="D1450" s="3">
        <f>IFERROR(__xludf.DUMMYFUNCTION("IFERROR(
IF(REGEXMATCH(LOWER(O1450),""k""),
VALUE(REGEXEXTRACT(O1450,""[0-9]+""))*1000,
VALUE(REGEXEXTRACT(O1450,""[0-9]+""))
),
0
)"),0.0)</f>
        <v>0</v>
      </c>
      <c r="E1450" s="1" t="s">
        <v>158</v>
      </c>
      <c r="F1450" s="1" t="s">
        <v>20</v>
      </c>
      <c r="G1450" s="4" t="b">
        <f t="shared" si="2"/>
        <v>1</v>
      </c>
      <c r="H1450" s="1" t="str">
        <f t="shared" si="3"/>
        <v>Currently Unavailable</v>
      </c>
      <c r="I1450" s="1" t="str">
        <f t="shared" si="4"/>
        <v>No Badges</v>
      </c>
      <c r="J1450" s="3">
        <f t="shared" si="5"/>
        <v>0</v>
      </c>
    </row>
    <row r="1451">
      <c r="A1451" s="1" t="s">
        <v>1235</v>
      </c>
      <c r="B1451" s="3" t="str">
        <f t="shared" si="1"/>
        <v>Unavailable</v>
      </c>
      <c r="C1451" s="5">
        <v>19848.0</v>
      </c>
      <c r="D1451" s="3">
        <f>IFERROR(__xludf.DUMMYFUNCTION("IFERROR(
IF(REGEXMATCH(LOWER(O1451),""k""),
VALUE(REGEXEXTRACT(O1451,""[0-9]+""))*1000,
VALUE(REGEXEXTRACT(O1451,""[0-9]+""))
),
0
)"),0.0)</f>
        <v>0</v>
      </c>
      <c r="E1451" s="1" t="s">
        <v>11</v>
      </c>
      <c r="F1451" s="1" t="s">
        <v>20</v>
      </c>
      <c r="G1451" s="4" t="b">
        <f t="shared" si="2"/>
        <v>1</v>
      </c>
      <c r="H1451" s="1" t="str">
        <f t="shared" si="3"/>
        <v>Currently Unavailable</v>
      </c>
      <c r="I1451" s="1" t="str">
        <f t="shared" si="4"/>
        <v>No Badges</v>
      </c>
      <c r="J1451" s="3">
        <f t="shared" si="5"/>
        <v>0</v>
      </c>
    </row>
    <row r="1452">
      <c r="A1452" s="1" t="s">
        <v>1236</v>
      </c>
      <c r="B1452" s="3" t="str">
        <f t="shared" si="1"/>
        <v>Unavailable</v>
      </c>
      <c r="C1452" s="5">
        <v>37880.0</v>
      </c>
      <c r="D1452" s="3">
        <f>IFERROR(__xludf.DUMMYFUNCTION("IFERROR(
IF(REGEXMATCH(LOWER(O1452),""k""),
VALUE(REGEXEXTRACT(O1452,""[0-9]+""))*1000,
VALUE(REGEXEXTRACT(O1452,""[0-9]+""))
),
0
)"),0.0)</f>
        <v>0</v>
      </c>
      <c r="E1452" s="1" t="s">
        <v>11</v>
      </c>
      <c r="F1452" s="1" t="s">
        <v>20</v>
      </c>
      <c r="G1452" s="4" t="b">
        <f t="shared" si="2"/>
        <v>1</v>
      </c>
      <c r="H1452" s="1" t="str">
        <f t="shared" si="3"/>
        <v>Currently Unavailable</v>
      </c>
      <c r="I1452" s="1" t="str">
        <f t="shared" si="4"/>
        <v>No Badges</v>
      </c>
      <c r="J1452" s="3">
        <f t="shared" si="5"/>
        <v>0</v>
      </c>
    </row>
    <row r="1453">
      <c r="A1453" s="1" t="s">
        <v>1237</v>
      </c>
      <c r="B1453" s="3" t="str">
        <f t="shared" si="1"/>
        <v>Unavailable</v>
      </c>
      <c r="C1453" s="5">
        <v>3731.0</v>
      </c>
      <c r="D1453" s="3">
        <f>IFERROR(__xludf.DUMMYFUNCTION("IFERROR(
IF(REGEXMATCH(LOWER(O1453),""k""),
VALUE(REGEXEXTRACT(O1453,""[0-9]+""))*1000,
VALUE(REGEXEXTRACT(O1453,""[0-9]+""))
),
0
)"),0.0)</f>
        <v>0</v>
      </c>
      <c r="E1453" s="1" t="s">
        <v>11</v>
      </c>
      <c r="F1453" s="1" t="s">
        <v>20</v>
      </c>
      <c r="G1453" s="4" t="b">
        <f t="shared" si="2"/>
        <v>1</v>
      </c>
      <c r="H1453" s="1" t="str">
        <f t="shared" si="3"/>
        <v>Currently Unavailable</v>
      </c>
      <c r="I1453" s="1" t="str">
        <f t="shared" si="4"/>
        <v>No Badges</v>
      </c>
      <c r="J1453" s="3">
        <f t="shared" si="5"/>
        <v>0</v>
      </c>
    </row>
    <row r="1454">
      <c r="A1454" s="1" t="s">
        <v>1238</v>
      </c>
      <c r="B1454" s="3" t="str">
        <f t="shared" si="1"/>
        <v>Unavailable</v>
      </c>
      <c r="C1454" s="5">
        <v>7409.0</v>
      </c>
      <c r="D1454" s="3">
        <f>IFERROR(__xludf.DUMMYFUNCTION("IFERROR(
IF(REGEXMATCH(LOWER(O1454),""k""),
VALUE(REGEXEXTRACT(O1454,""[0-9]+""))*1000,
VALUE(REGEXEXTRACT(O1454,""[0-9]+""))
),
0
)"),0.0)</f>
        <v>0</v>
      </c>
      <c r="E1454" s="1" t="s">
        <v>11</v>
      </c>
      <c r="F1454" s="1" t="s">
        <v>20</v>
      </c>
      <c r="G1454" s="4" t="b">
        <f t="shared" si="2"/>
        <v>1</v>
      </c>
      <c r="H1454" s="1" t="str">
        <f t="shared" si="3"/>
        <v>Currently Unavailable</v>
      </c>
      <c r="I1454" s="1" t="str">
        <f t="shared" si="4"/>
        <v>No Badges</v>
      </c>
      <c r="J1454" s="3">
        <f t="shared" si="5"/>
        <v>0</v>
      </c>
    </row>
    <row r="1455">
      <c r="A1455" s="1" t="s">
        <v>1239</v>
      </c>
      <c r="B1455" s="3" t="str">
        <f t="shared" si="1"/>
        <v>Unavailable</v>
      </c>
      <c r="C1455" s="5">
        <v>41490.0</v>
      </c>
      <c r="D1455" s="3">
        <f>IFERROR(__xludf.DUMMYFUNCTION("IFERROR(
IF(REGEXMATCH(LOWER(O1455),""k""),
VALUE(REGEXEXTRACT(O1455,""[0-9]+""))*1000,
VALUE(REGEXEXTRACT(O1455,""[0-9]+""))
),
0
)"),0.0)</f>
        <v>0</v>
      </c>
      <c r="E1455" s="1" t="s">
        <v>11</v>
      </c>
      <c r="F1455" s="1" t="s">
        <v>20</v>
      </c>
      <c r="G1455" s="4" t="b">
        <f t="shared" si="2"/>
        <v>1</v>
      </c>
      <c r="H1455" s="1" t="str">
        <f t="shared" si="3"/>
        <v>Currently Unavailable</v>
      </c>
      <c r="I1455" s="1" t="str">
        <f t="shared" si="4"/>
        <v>No Badges</v>
      </c>
      <c r="J1455" s="3">
        <f t="shared" si="5"/>
        <v>0</v>
      </c>
    </row>
    <row r="1456">
      <c r="A1456" s="1" t="s">
        <v>1240</v>
      </c>
      <c r="B1456" s="3" t="str">
        <f t="shared" si="1"/>
        <v>Unavailable</v>
      </c>
      <c r="C1456" s="5">
        <v>3457.0</v>
      </c>
      <c r="D1456" s="3">
        <f>IFERROR(__xludf.DUMMYFUNCTION("IFERROR(
IF(REGEXMATCH(LOWER(O1456),""k""),
VALUE(REGEXEXTRACT(O1456,""[0-9]+""))*1000,
VALUE(REGEXEXTRACT(O1456,""[0-9]+""))
),
0
)"),0.0)</f>
        <v>0</v>
      </c>
      <c r="E1456" s="1" t="s">
        <v>11</v>
      </c>
      <c r="F1456" s="1" t="s">
        <v>20</v>
      </c>
      <c r="G1456" s="4" t="b">
        <f t="shared" si="2"/>
        <v>1</v>
      </c>
      <c r="H1456" s="1" t="str">
        <f t="shared" si="3"/>
        <v>Currently Unavailable</v>
      </c>
      <c r="I1456" s="1" t="str">
        <f t="shared" si="4"/>
        <v>No Badges</v>
      </c>
      <c r="J1456" s="3">
        <f t="shared" si="5"/>
        <v>0</v>
      </c>
    </row>
    <row r="1457">
      <c r="A1457" s="1" t="s">
        <v>1241</v>
      </c>
      <c r="B1457" s="3" t="str">
        <f t="shared" si="1"/>
        <v>Unavailable</v>
      </c>
      <c r="C1457" s="5">
        <v>1941.0</v>
      </c>
      <c r="D1457" s="3">
        <f>IFERROR(__xludf.DUMMYFUNCTION("IFERROR(
IF(REGEXMATCH(LOWER(O1457),""k""),
VALUE(REGEXEXTRACT(O1457,""[0-9]+""))*1000,
VALUE(REGEXEXTRACT(O1457,""[0-9]+""))
),
0
)"),0.0)</f>
        <v>0</v>
      </c>
      <c r="E1457" s="1" t="s">
        <v>11</v>
      </c>
      <c r="F1457" s="1" t="s">
        <v>20</v>
      </c>
      <c r="G1457" s="4" t="b">
        <f t="shared" si="2"/>
        <v>1</v>
      </c>
      <c r="H1457" s="1" t="str">
        <f t="shared" si="3"/>
        <v>Currently Unavailable</v>
      </c>
      <c r="I1457" s="1" t="str">
        <f t="shared" si="4"/>
        <v>No Badges</v>
      </c>
      <c r="J1457" s="3">
        <f t="shared" si="5"/>
        <v>0</v>
      </c>
    </row>
    <row r="1458">
      <c r="A1458" s="1" t="s">
        <v>1242</v>
      </c>
      <c r="B1458" s="3" t="str">
        <f t="shared" si="1"/>
        <v>Unavailable</v>
      </c>
      <c r="C1458" s="5">
        <v>2171.0</v>
      </c>
      <c r="D1458" s="3">
        <f>IFERROR(__xludf.DUMMYFUNCTION("IFERROR(
IF(REGEXMATCH(LOWER(O1458),""k""),
VALUE(REGEXEXTRACT(O1458,""[0-9]+""))*1000,
VALUE(REGEXEXTRACT(O1458,""[0-9]+""))
),
0
)"),0.0)</f>
        <v>0</v>
      </c>
      <c r="E1458" s="1" t="s">
        <v>11</v>
      </c>
      <c r="F1458" s="1" t="s">
        <v>20</v>
      </c>
      <c r="G1458" s="4" t="b">
        <f t="shared" si="2"/>
        <v>1</v>
      </c>
      <c r="H1458" s="1" t="str">
        <f t="shared" si="3"/>
        <v>Currently Unavailable</v>
      </c>
      <c r="I1458" s="1" t="str">
        <f t="shared" si="4"/>
        <v>No Badges</v>
      </c>
      <c r="J1458" s="3">
        <f t="shared" si="5"/>
        <v>0</v>
      </c>
    </row>
    <row r="1459">
      <c r="A1459" s="1" t="s">
        <v>1243</v>
      </c>
      <c r="B1459" s="3" t="str">
        <f t="shared" si="1"/>
        <v>Unavailable</v>
      </c>
      <c r="C1459" s="5">
        <v>75547.0</v>
      </c>
      <c r="D1459" s="3">
        <f>IFERROR(__xludf.DUMMYFUNCTION("IFERROR(
IF(REGEXMATCH(LOWER(O1459),""k""),
VALUE(REGEXEXTRACT(O1459,""[0-9]+""))*1000,
VALUE(REGEXEXTRACT(O1459,""[0-9]+""))
),
0
)"),0.0)</f>
        <v>0</v>
      </c>
      <c r="E1459" s="1" t="s">
        <v>158</v>
      </c>
      <c r="F1459" s="1" t="s">
        <v>20</v>
      </c>
      <c r="G1459" s="4" t="b">
        <f t="shared" si="2"/>
        <v>1</v>
      </c>
      <c r="H1459" s="1" t="str">
        <f t="shared" si="3"/>
        <v>Currently Unavailable</v>
      </c>
      <c r="I1459" s="1" t="str">
        <f t="shared" si="4"/>
        <v>No Badges</v>
      </c>
      <c r="J1459" s="3">
        <f t="shared" si="5"/>
        <v>0</v>
      </c>
    </row>
    <row r="1460">
      <c r="A1460" s="1" t="s">
        <v>1244</v>
      </c>
      <c r="B1460" s="3" t="str">
        <f t="shared" si="1"/>
        <v>Unavailable</v>
      </c>
      <c r="C1460" s="5">
        <v>33999.0</v>
      </c>
      <c r="D1460" s="3">
        <f>IFERROR(__xludf.DUMMYFUNCTION("IFERROR(
IF(REGEXMATCH(LOWER(O1460),""k""),
VALUE(REGEXEXTRACT(O1460,""[0-9]+""))*1000,
VALUE(REGEXEXTRACT(O1460,""[0-9]+""))
),
0
)"),0.0)</f>
        <v>0</v>
      </c>
      <c r="E1460" s="1" t="s">
        <v>11</v>
      </c>
      <c r="F1460" s="1" t="s">
        <v>20</v>
      </c>
      <c r="G1460" s="4" t="b">
        <f t="shared" si="2"/>
        <v>1</v>
      </c>
      <c r="H1460" s="1" t="str">
        <f t="shared" si="3"/>
        <v>Currently Unavailable</v>
      </c>
      <c r="I1460" s="1" t="str">
        <f t="shared" si="4"/>
        <v>No Badges</v>
      </c>
      <c r="J1460" s="3">
        <f t="shared" si="5"/>
        <v>0</v>
      </c>
    </row>
    <row r="1461">
      <c r="A1461" s="1" t="s">
        <v>1245</v>
      </c>
      <c r="B1461" s="3" t="str">
        <f t="shared" si="1"/>
        <v>Unavailable</v>
      </c>
      <c r="C1461" s="5">
        <v>7037.0</v>
      </c>
      <c r="D1461" s="3">
        <f>IFERROR(__xludf.DUMMYFUNCTION("IFERROR(
IF(REGEXMATCH(LOWER(O1461),""k""),
VALUE(REGEXEXTRACT(O1461,""[0-9]+""))*1000,
VALUE(REGEXEXTRACT(O1461,""[0-9]+""))
),
0
)"),0.0)</f>
        <v>0</v>
      </c>
      <c r="E1461" s="1" t="s">
        <v>11</v>
      </c>
      <c r="F1461" s="1" t="s">
        <v>20</v>
      </c>
      <c r="G1461" s="4" t="b">
        <f t="shared" si="2"/>
        <v>1</v>
      </c>
      <c r="H1461" s="1" t="str">
        <f t="shared" si="3"/>
        <v>Currently Unavailable</v>
      </c>
      <c r="I1461" s="1" t="str">
        <f t="shared" si="4"/>
        <v>No Badges</v>
      </c>
      <c r="J1461" s="3">
        <f t="shared" si="5"/>
        <v>0</v>
      </c>
    </row>
    <row r="1462">
      <c r="A1462" s="1" t="s">
        <v>1246</v>
      </c>
      <c r="B1462" s="3" t="str">
        <f t="shared" si="1"/>
        <v>Unavailable</v>
      </c>
      <c r="C1462" s="5">
        <v>12997.0</v>
      </c>
      <c r="D1462" s="3">
        <f>IFERROR(__xludf.DUMMYFUNCTION("IFERROR(
IF(REGEXMATCH(LOWER(O1462),""k""),
VALUE(REGEXEXTRACT(O1462,""[0-9]+""))*1000,
VALUE(REGEXEXTRACT(O1462,""[0-9]+""))
),
0
)"),0.0)</f>
        <v>0</v>
      </c>
      <c r="E1462" s="1" t="s">
        <v>11</v>
      </c>
      <c r="F1462" s="1" t="s">
        <v>20</v>
      </c>
      <c r="G1462" s="4" t="b">
        <f t="shared" si="2"/>
        <v>1</v>
      </c>
      <c r="H1462" s="1" t="str">
        <f t="shared" si="3"/>
        <v>Currently Unavailable</v>
      </c>
      <c r="I1462" s="1" t="str">
        <f t="shared" si="4"/>
        <v>No Badges</v>
      </c>
      <c r="J1462" s="3">
        <f t="shared" si="5"/>
        <v>0</v>
      </c>
    </row>
    <row r="1463">
      <c r="A1463" s="1" t="s">
        <v>1247</v>
      </c>
      <c r="B1463" s="3" t="str">
        <f t="shared" si="1"/>
        <v>Unavailable</v>
      </c>
      <c r="C1463" s="5">
        <v>3297.0</v>
      </c>
      <c r="D1463" s="3">
        <f>IFERROR(__xludf.DUMMYFUNCTION("IFERROR(
IF(REGEXMATCH(LOWER(O1463),""k""),
VALUE(REGEXEXTRACT(O1463,""[0-9]+""))*1000,
VALUE(REGEXEXTRACT(O1463,""[0-9]+""))
),
0
)"),0.0)</f>
        <v>0</v>
      </c>
      <c r="E1463" s="1" t="s">
        <v>11</v>
      </c>
      <c r="F1463" s="1" t="s">
        <v>20</v>
      </c>
      <c r="G1463" s="4" t="b">
        <f t="shared" si="2"/>
        <v>1</v>
      </c>
      <c r="H1463" s="1" t="str">
        <f t="shared" si="3"/>
        <v>Currently Unavailable</v>
      </c>
      <c r="I1463" s="1" t="str">
        <f t="shared" si="4"/>
        <v>No Badges</v>
      </c>
      <c r="J1463" s="3">
        <f t="shared" si="5"/>
        <v>0</v>
      </c>
    </row>
    <row r="1464">
      <c r="A1464" s="1" t="s">
        <v>1248</v>
      </c>
      <c r="B1464" s="3" t="str">
        <f t="shared" si="1"/>
        <v>Unavailable</v>
      </c>
      <c r="C1464" s="5">
        <v>32475.0</v>
      </c>
      <c r="D1464" s="3">
        <f>IFERROR(__xludf.DUMMYFUNCTION("IFERROR(
IF(REGEXMATCH(LOWER(O1464),""k""),
VALUE(REGEXEXTRACT(O1464,""[0-9]+""))*1000,
VALUE(REGEXEXTRACT(O1464,""[0-9]+""))
),
0
)"),0.0)</f>
        <v>0</v>
      </c>
      <c r="E1464" s="1" t="s">
        <v>11</v>
      </c>
      <c r="F1464" s="1" t="s">
        <v>20</v>
      </c>
      <c r="G1464" s="4" t="b">
        <f t="shared" si="2"/>
        <v>1</v>
      </c>
      <c r="H1464" s="1" t="str">
        <f t="shared" si="3"/>
        <v>Currently Unavailable</v>
      </c>
      <c r="I1464" s="1" t="str">
        <f t="shared" si="4"/>
        <v>No Badges</v>
      </c>
      <c r="J1464" s="3">
        <f t="shared" si="5"/>
        <v>0</v>
      </c>
    </row>
    <row r="1465">
      <c r="A1465" s="1" t="s">
        <v>1145</v>
      </c>
      <c r="B1465" s="3" t="str">
        <f t="shared" si="1"/>
        <v>Unavailable</v>
      </c>
      <c r="C1465" s="5">
        <v>4657.0</v>
      </c>
      <c r="D1465" s="3">
        <f>IFERROR(__xludf.DUMMYFUNCTION("IFERROR(
IF(REGEXMATCH(LOWER(O1465),""k""),
VALUE(REGEXEXTRACT(O1465,""[0-9]+""))*1000,
VALUE(REGEXEXTRACT(O1465,""[0-9]+""))
),
0
)"),0.0)</f>
        <v>0</v>
      </c>
      <c r="E1465" s="1" t="s">
        <v>158</v>
      </c>
      <c r="F1465" s="1" t="s">
        <v>12</v>
      </c>
      <c r="G1465" s="4" t="b">
        <f t="shared" si="2"/>
        <v>1</v>
      </c>
      <c r="H1465" s="1" t="str">
        <f t="shared" si="3"/>
        <v>Currently Unavailable</v>
      </c>
      <c r="I1465" s="1" t="str">
        <f t="shared" si="4"/>
        <v>No Badges</v>
      </c>
      <c r="J1465" s="3">
        <f t="shared" si="5"/>
        <v>0</v>
      </c>
    </row>
    <row r="1466">
      <c r="A1466" s="1" t="s">
        <v>1249</v>
      </c>
      <c r="B1466" s="3" t="str">
        <f t="shared" si="1"/>
        <v>Unavailable</v>
      </c>
      <c r="C1466" s="5">
        <v>16219.0</v>
      </c>
      <c r="D1466" s="3">
        <f>IFERROR(__xludf.DUMMYFUNCTION("IFERROR(
IF(REGEXMATCH(LOWER(O1466),""k""),
VALUE(REGEXEXTRACT(O1466,""[0-9]+""))*1000,
VALUE(REGEXEXTRACT(O1466,""[0-9]+""))
),
0
)"),0.0)</f>
        <v>0</v>
      </c>
      <c r="E1466" s="1" t="s">
        <v>11</v>
      </c>
      <c r="F1466" s="1" t="s">
        <v>20</v>
      </c>
      <c r="G1466" s="4" t="b">
        <f t="shared" si="2"/>
        <v>1</v>
      </c>
      <c r="H1466" s="1" t="str">
        <f t="shared" si="3"/>
        <v>Currently Unavailable</v>
      </c>
      <c r="I1466" s="1" t="str">
        <f t="shared" si="4"/>
        <v>No Badges</v>
      </c>
      <c r="J1466" s="3">
        <f t="shared" si="5"/>
        <v>0</v>
      </c>
    </row>
    <row r="1467">
      <c r="A1467" s="1" t="s">
        <v>1250</v>
      </c>
      <c r="B1467" s="3" t="str">
        <f t="shared" si="1"/>
        <v>Unavailable</v>
      </c>
      <c r="C1467" s="5">
        <v>33263.0</v>
      </c>
      <c r="D1467" s="3">
        <f>IFERROR(__xludf.DUMMYFUNCTION("IFERROR(
IF(REGEXMATCH(LOWER(O1467),""k""),
VALUE(REGEXEXTRACT(O1467,""[0-9]+""))*1000,
VALUE(REGEXEXTRACT(O1467,""[0-9]+""))
),
0
)"),0.0)</f>
        <v>0</v>
      </c>
      <c r="E1467" s="1" t="s">
        <v>11</v>
      </c>
      <c r="F1467" s="1" t="s">
        <v>20</v>
      </c>
      <c r="G1467" s="4" t="b">
        <f t="shared" si="2"/>
        <v>1</v>
      </c>
      <c r="H1467" s="1" t="str">
        <f t="shared" si="3"/>
        <v>Currently Unavailable</v>
      </c>
      <c r="I1467" s="1" t="str">
        <f t="shared" si="4"/>
        <v>No Badges</v>
      </c>
      <c r="J1467" s="3">
        <f t="shared" si="5"/>
        <v>0</v>
      </c>
    </row>
    <row r="1468">
      <c r="A1468" s="1" t="s">
        <v>1251</v>
      </c>
      <c r="B1468" s="3" t="str">
        <f t="shared" si="1"/>
        <v>Unavailable</v>
      </c>
      <c r="C1468" s="5">
        <v>6343.0</v>
      </c>
      <c r="D1468" s="3">
        <f>IFERROR(__xludf.DUMMYFUNCTION("IFERROR(
IF(REGEXMATCH(LOWER(O1468),""k""),
VALUE(REGEXEXTRACT(O1468,""[0-9]+""))*1000,
VALUE(REGEXEXTRACT(O1468,""[0-9]+""))
),
0
)"),0.0)</f>
        <v>0</v>
      </c>
      <c r="E1468" s="1" t="s">
        <v>11</v>
      </c>
      <c r="F1468" s="1" t="s">
        <v>20</v>
      </c>
      <c r="G1468" s="4" t="b">
        <f t="shared" si="2"/>
        <v>1</v>
      </c>
      <c r="H1468" s="1" t="str">
        <f t="shared" si="3"/>
        <v>Currently Unavailable</v>
      </c>
      <c r="I1468" s="1" t="str">
        <f t="shared" si="4"/>
        <v>No Badges</v>
      </c>
      <c r="J1468" s="3">
        <f t="shared" si="5"/>
        <v>0</v>
      </c>
    </row>
    <row r="1469">
      <c r="A1469" s="1" t="s">
        <v>1252</v>
      </c>
      <c r="B1469" s="3" t="str">
        <f t="shared" si="1"/>
        <v>Unavailable</v>
      </c>
      <c r="C1469" s="5">
        <v>126187.0</v>
      </c>
      <c r="D1469" s="3">
        <f>IFERROR(__xludf.DUMMYFUNCTION("IFERROR(
IF(REGEXMATCH(LOWER(O1469),""k""),
VALUE(REGEXEXTRACT(O1469,""[0-9]+""))*1000,
VALUE(REGEXEXTRACT(O1469,""[0-9]+""))
),
0
)"),0.0)</f>
        <v>0</v>
      </c>
      <c r="E1469" s="1" t="s">
        <v>11</v>
      </c>
      <c r="F1469" s="1" t="s">
        <v>20</v>
      </c>
      <c r="G1469" s="4" t="b">
        <f t="shared" si="2"/>
        <v>1</v>
      </c>
      <c r="H1469" s="1" t="str">
        <f t="shared" si="3"/>
        <v>Currently Unavailable</v>
      </c>
      <c r="I1469" s="1" t="str">
        <f t="shared" si="4"/>
        <v>No Badges</v>
      </c>
      <c r="J1469" s="3">
        <f t="shared" si="5"/>
        <v>0</v>
      </c>
    </row>
    <row r="1470">
      <c r="A1470" s="1" t="s">
        <v>1253</v>
      </c>
      <c r="B1470" s="3" t="str">
        <f t="shared" si="1"/>
        <v>Unavailable</v>
      </c>
      <c r="C1470" s="5">
        <v>52817.0</v>
      </c>
      <c r="D1470" s="3">
        <f>IFERROR(__xludf.DUMMYFUNCTION("IFERROR(
IF(REGEXMATCH(LOWER(O1470),""k""),
VALUE(REGEXEXTRACT(O1470,""[0-9]+""))*1000,
VALUE(REGEXEXTRACT(O1470,""[0-9]+""))
),
0
)"),0.0)</f>
        <v>0</v>
      </c>
      <c r="E1470" s="1" t="s">
        <v>11</v>
      </c>
      <c r="F1470" s="1" t="s">
        <v>20</v>
      </c>
      <c r="G1470" s="4" t="b">
        <f t="shared" si="2"/>
        <v>1</v>
      </c>
      <c r="H1470" s="1" t="str">
        <f t="shared" si="3"/>
        <v>Currently Unavailable</v>
      </c>
      <c r="I1470" s="1" t="str">
        <f t="shared" si="4"/>
        <v>No Badges</v>
      </c>
      <c r="J1470" s="3">
        <f t="shared" si="5"/>
        <v>0</v>
      </c>
    </row>
    <row r="1471">
      <c r="A1471" s="1" t="s">
        <v>69</v>
      </c>
      <c r="B1471" s="3" t="str">
        <f t="shared" si="1"/>
        <v>Unavailable</v>
      </c>
      <c r="C1471" s="3">
        <v>45.0</v>
      </c>
      <c r="D1471" s="3">
        <f>IFERROR(__xludf.DUMMYFUNCTION("IFERROR(
IF(REGEXMATCH(LOWER(O1471),""k""),
VALUE(REGEXEXTRACT(O1471,""[0-9]+""))*1000,
VALUE(REGEXEXTRACT(O1471,""[0-9]+""))
),
0
)"),0.0)</f>
        <v>0</v>
      </c>
      <c r="E1471" s="1" t="s">
        <v>11</v>
      </c>
      <c r="F1471" s="1" t="s">
        <v>12</v>
      </c>
      <c r="G1471" s="4" t="b">
        <f t="shared" si="2"/>
        <v>1</v>
      </c>
      <c r="H1471" s="1" t="str">
        <f t="shared" si="3"/>
        <v>Currently Unavailable</v>
      </c>
      <c r="I1471" s="1" t="str">
        <f t="shared" si="4"/>
        <v>No Badges</v>
      </c>
      <c r="J1471" s="3">
        <f t="shared" si="5"/>
        <v>0</v>
      </c>
    </row>
    <row r="1472">
      <c r="A1472" s="1" t="s">
        <v>1254</v>
      </c>
      <c r="B1472" s="3" t="str">
        <f t="shared" si="1"/>
        <v>Unavailable</v>
      </c>
      <c r="C1472" s="5">
        <v>22856.0</v>
      </c>
      <c r="D1472" s="3">
        <f>IFERROR(__xludf.DUMMYFUNCTION("IFERROR(
IF(REGEXMATCH(LOWER(O1472),""k""),
VALUE(REGEXEXTRACT(O1472,""[0-9]+""))*1000,
VALUE(REGEXEXTRACT(O1472,""[0-9]+""))
),
0
)"),0.0)</f>
        <v>0</v>
      </c>
      <c r="E1472" s="1" t="s">
        <v>11</v>
      </c>
      <c r="F1472" s="1" t="s">
        <v>20</v>
      </c>
      <c r="G1472" s="4" t="b">
        <f t="shared" si="2"/>
        <v>1</v>
      </c>
      <c r="H1472" s="1" t="str">
        <f t="shared" si="3"/>
        <v>Currently Unavailable</v>
      </c>
      <c r="I1472" s="1" t="str">
        <f t="shared" si="4"/>
        <v>No Badges</v>
      </c>
      <c r="J1472" s="3">
        <f t="shared" si="5"/>
        <v>0</v>
      </c>
    </row>
    <row r="1473">
      <c r="A1473" s="1" t="s">
        <v>1255</v>
      </c>
      <c r="B1473" s="3" t="str">
        <f t="shared" si="1"/>
        <v>Unavailable</v>
      </c>
      <c r="C1473" s="5">
        <v>36570.0</v>
      </c>
      <c r="D1473" s="3">
        <f>IFERROR(__xludf.DUMMYFUNCTION("IFERROR(
IF(REGEXMATCH(LOWER(O1473),""k""),
VALUE(REGEXEXTRACT(O1473,""[0-9]+""))*1000,
VALUE(REGEXEXTRACT(O1473,""[0-9]+""))
),
0
)"),0.0)</f>
        <v>0</v>
      </c>
      <c r="E1473" s="1" t="s">
        <v>11</v>
      </c>
      <c r="F1473" s="1" t="s">
        <v>20</v>
      </c>
      <c r="G1473" s="4" t="b">
        <f t="shared" si="2"/>
        <v>1</v>
      </c>
      <c r="H1473" s="1" t="str">
        <f t="shared" si="3"/>
        <v>Currently Unavailable</v>
      </c>
      <c r="I1473" s="1" t="str">
        <f t="shared" si="4"/>
        <v>No Badges</v>
      </c>
      <c r="J1473" s="3">
        <f t="shared" si="5"/>
        <v>0</v>
      </c>
    </row>
    <row r="1474">
      <c r="A1474" s="1" t="s">
        <v>1256</v>
      </c>
      <c r="B1474" s="3" t="str">
        <f t="shared" si="1"/>
        <v>Unavailable</v>
      </c>
      <c r="C1474" s="5">
        <v>8671.0</v>
      </c>
      <c r="D1474" s="3">
        <f>IFERROR(__xludf.DUMMYFUNCTION("IFERROR(
IF(REGEXMATCH(LOWER(O1474),""k""),
VALUE(REGEXEXTRACT(O1474,""[0-9]+""))*1000,
VALUE(REGEXEXTRACT(O1474,""[0-9]+""))
),
0
)"),0.0)</f>
        <v>0</v>
      </c>
      <c r="E1474" s="1" t="s">
        <v>158</v>
      </c>
      <c r="F1474" s="1" t="s">
        <v>20</v>
      </c>
      <c r="G1474" s="4" t="b">
        <f t="shared" si="2"/>
        <v>1</v>
      </c>
      <c r="H1474" s="1" t="str">
        <f t="shared" si="3"/>
        <v>Currently Unavailable</v>
      </c>
      <c r="I1474" s="1" t="str">
        <f t="shared" si="4"/>
        <v>No Badges</v>
      </c>
      <c r="J1474" s="3">
        <f t="shared" si="5"/>
        <v>0</v>
      </c>
    </row>
    <row r="1475">
      <c r="A1475" s="1" t="s">
        <v>1257</v>
      </c>
      <c r="B1475" s="3" t="str">
        <f t="shared" si="1"/>
        <v>Unavailable</v>
      </c>
      <c r="C1475" s="5">
        <v>27747.0</v>
      </c>
      <c r="D1475" s="3">
        <f>IFERROR(__xludf.DUMMYFUNCTION("IFERROR(
IF(REGEXMATCH(LOWER(O1475),""k""),
VALUE(REGEXEXTRACT(O1475,""[0-9]+""))*1000,
VALUE(REGEXEXTRACT(O1475,""[0-9]+""))
),
0
)"),0.0)</f>
        <v>0</v>
      </c>
      <c r="E1475" s="1" t="s">
        <v>11</v>
      </c>
      <c r="F1475" s="1" t="s">
        <v>20</v>
      </c>
      <c r="G1475" s="4" t="b">
        <f t="shared" si="2"/>
        <v>1</v>
      </c>
      <c r="H1475" s="1" t="str">
        <f t="shared" si="3"/>
        <v>Currently Unavailable</v>
      </c>
      <c r="I1475" s="1" t="str">
        <f t="shared" si="4"/>
        <v>No Badges</v>
      </c>
      <c r="J1475" s="3">
        <f t="shared" si="5"/>
        <v>0</v>
      </c>
    </row>
    <row r="1476">
      <c r="A1476" s="1" t="s">
        <v>1258</v>
      </c>
      <c r="B1476" s="3" t="str">
        <f t="shared" si="1"/>
        <v>Unavailable</v>
      </c>
      <c r="C1476" s="5">
        <v>21077.0</v>
      </c>
      <c r="D1476" s="3">
        <f>IFERROR(__xludf.DUMMYFUNCTION("IFERROR(
IF(REGEXMATCH(LOWER(O1476),""k""),
VALUE(REGEXEXTRACT(O1476,""[0-9]+""))*1000,
VALUE(REGEXEXTRACT(O1476,""[0-9]+""))
),
0
)"),0.0)</f>
        <v>0</v>
      </c>
      <c r="E1476" s="1" t="s">
        <v>11</v>
      </c>
      <c r="F1476" s="1" t="s">
        <v>20</v>
      </c>
      <c r="G1476" s="4" t="b">
        <f t="shared" si="2"/>
        <v>1</v>
      </c>
      <c r="H1476" s="1" t="str">
        <f t="shared" si="3"/>
        <v>Currently Unavailable</v>
      </c>
      <c r="I1476" s="1" t="str">
        <f t="shared" si="4"/>
        <v>No Badges</v>
      </c>
      <c r="J1476" s="3">
        <f t="shared" si="5"/>
        <v>0</v>
      </c>
    </row>
    <row r="1477">
      <c r="A1477" s="1" t="s">
        <v>1259</v>
      </c>
      <c r="B1477" s="3" t="str">
        <f t="shared" si="1"/>
        <v>Unavailable</v>
      </c>
      <c r="C1477" s="5">
        <v>6922.0</v>
      </c>
      <c r="D1477" s="3">
        <f>IFERROR(__xludf.DUMMYFUNCTION("IFERROR(
IF(REGEXMATCH(LOWER(O1477),""k""),
VALUE(REGEXEXTRACT(O1477,""[0-9]+""))*1000,
VALUE(REGEXEXTRACT(O1477,""[0-9]+""))
),
0
)"),0.0)</f>
        <v>0</v>
      </c>
      <c r="E1477" s="1" t="s">
        <v>158</v>
      </c>
      <c r="F1477" s="1" t="s">
        <v>20</v>
      </c>
      <c r="G1477" s="4" t="b">
        <f t="shared" si="2"/>
        <v>1</v>
      </c>
      <c r="H1477" s="1" t="str">
        <f t="shared" si="3"/>
        <v>Currently Unavailable</v>
      </c>
      <c r="I1477" s="1" t="str">
        <f t="shared" si="4"/>
        <v>No Badges</v>
      </c>
      <c r="J1477" s="3">
        <f t="shared" si="5"/>
        <v>0</v>
      </c>
    </row>
    <row r="1478">
      <c r="A1478" s="1" t="s">
        <v>1260</v>
      </c>
      <c r="B1478" s="3" t="str">
        <f t="shared" si="1"/>
        <v>Unavailable</v>
      </c>
      <c r="C1478" s="5">
        <v>81296.0</v>
      </c>
      <c r="D1478" s="3">
        <f>IFERROR(__xludf.DUMMYFUNCTION("IFERROR(
IF(REGEXMATCH(LOWER(O1478),""k""),
VALUE(REGEXEXTRACT(O1478,""[0-9]+""))*1000,
VALUE(REGEXEXTRACT(O1478,""[0-9]+""))
),
0
)"),0.0)</f>
        <v>0</v>
      </c>
      <c r="E1478" s="1" t="s">
        <v>11</v>
      </c>
      <c r="F1478" s="1" t="s">
        <v>20</v>
      </c>
      <c r="G1478" s="4" t="b">
        <f t="shared" si="2"/>
        <v>1</v>
      </c>
      <c r="H1478" s="1" t="str">
        <f t="shared" si="3"/>
        <v>Currently Unavailable</v>
      </c>
      <c r="I1478" s="1" t="str">
        <f t="shared" si="4"/>
        <v>No Badges</v>
      </c>
      <c r="J1478" s="3">
        <f t="shared" si="5"/>
        <v>0</v>
      </c>
    </row>
    <row r="1479">
      <c r="A1479" s="1" t="s">
        <v>1261</v>
      </c>
      <c r="B1479" s="3" t="str">
        <f t="shared" si="1"/>
        <v>Unavailable</v>
      </c>
      <c r="C1479" s="5">
        <v>14296.0</v>
      </c>
      <c r="D1479" s="3">
        <f>IFERROR(__xludf.DUMMYFUNCTION("IFERROR(
IF(REGEXMATCH(LOWER(O1479),""k""),
VALUE(REGEXEXTRACT(O1479,""[0-9]+""))*1000,
VALUE(REGEXEXTRACT(O1479,""[0-9]+""))
),
0
)"),0.0)</f>
        <v>0</v>
      </c>
      <c r="E1479" s="1" t="s">
        <v>11</v>
      </c>
      <c r="F1479" s="1" t="s">
        <v>20</v>
      </c>
      <c r="G1479" s="4" t="b">
        <f t="shared" si="2"/>
        <v>1</v>
      </c>
      <c r="H1479" s="1" t="str">
        <f t="shared" si="3"/>
        <v>Currently Unavailable</v>
      </c>
      <c r="I1479" s="1" t="str">
        <f t="shared" si="4"/>
        <v>No Badges</v>
      </c>
      <c r="J1479" s="3">
        <f t="shared" si="5"/>
        <v>0</v>
      </c>
    </row>
    <row r="1480">
      <c r="A1480" s="1" t="s">
        <v>1262</v>
      </c>
      <c r="B1480" s="3" t="str">
        <f t="shared" si="1"/>
        <v>Unavailable</v>
      </c>
      <c r="C1480" s="5">
        <v>40732.0</v>
      </c>
      <c r="D1480" s="3">
        <f>IFERROR(__xludf.DUMMYFUNCTION("IFERROR(
IF(REGEXMATCH(LOWER(O1480),""k""),
VALUE(REGEXEXTRACT(O1480,""[0-9]+""))*1000,
VALUE(REGEXEXTRACT(O1480,""[0-9]+""))
),
0
)"),0.0)</f>
        <v>0</v>
      </c>
      <c r="E1480" s="1" t="s">
        <v>11</v>
      </c>
      <c r="F1480" s="1" t="s">
        <v>20</v>
      </c>
      <c r="G1480" s="4" t="b">
        <f t="shared" si="2"/>
        <v>1</v>
      </c>
      <c r="H1480" s="1" t="str">
        <f t="shared" si="3"/>
        <v>Currently Unavailable</v>
      </c>
      <c r="I1480" s="1" t="str">
        <f t="shared" si="4"/>
        <v>No Badges</v>
      </c>
      <c r="J1480" s="3">
        <f t="shared" si="5"/>
        <v>0</v>
      </c>
    </row>
    <row r="1481">
      <c r="A1481" s="1" t="s">
        <v>1263</v>
      </c>
      <c r="B1481" s="3" t="str">
        <f t="shared" si="1"/>
        <v>Unavailable</v>
      </c>
      <c r="C1481" s="5">
        <v>1272.0</v>
      </c>
      <c r="D1481" s="3">
        <f>IFERROR(__xludf.DUMMYFUNCTION("IFERROR(
IF(REGEXMATCH(LOWER(O1481),""k""),
VALUE(REGEXEXTRACT(O1481,""[0-9]+""))*1000,
VALUE(REGEXEXTRACT(O1481,""[0-9]+""))
),
0
)"),0.0)</f>
        <v>0</v>
      </c>
      <c r="E1481" s="1" t="s">
        <v>11</v>
      </c>
      <c r="F1481" s="1" t="s">
        <v>20</v>
      </c>
      <c r="G1481" s="4" t="b">
        <f t="shared" si="2"/>
        <v>1</v>
      </c>
      <c r="H1481" s="1" t="str">
        <f t="shared" si="3"/>
        <v>Currently Unavailable</v>
      </c>
      <c r="I1481" s="1" t="str">
        <f t="shared" si="4"/>
        <v>No Badges</v>
      </c>
      <c r="J1481" s="3">
        <f t="shared" si="5"/>
        <v>0</v>
      </c>
    </row>
    <row r="1482">
      <c r="A1482" s="1" t="s">
        <v>1264</v>
      </c>
      <c r="B1482" s="3" t="str">
        <f t="shared" si="1"/>
        <v>Unavailable</v>
      </c>
      <c r="C1482" s="5">
        <v>2922.0</v>
      </c>
      <c r="D1482" s="3">
        <f>IFERROR(__xludf.DUMMYFUNCTION("IFERROR(
IF(REGEXMATCH(LOWER(O1482),""k""),
VALUE(REGEXEXTRACT(O1482,""[0-9]+""))*1000,
VALUE(REGEXEXTRACT(O1482,""[0-9]+""))
),
0
)"),0.0)</f>
        <v>0</v>
      </c>
      <c r="E1482" s="1" t="s">
        <v>11</v>
      </c>
      <c r="F1482" s="1" t="s">
        <v>20</v>
      </c>
      <c r="G1482" s="4" t="b">
        <f t="shared" si="2"/>
        <v>1</v>
      </c>
      <c r="H1482" s="1" t="str">
        <f t="shared" si="3"/>
        <v>Currently Unavailable</v>
      </c>
      <c r="I1482" s="1" t="str">
        <f t="shared" si="4"/>
        <v>No Badges</v>
      </c>
      <c r="J1482" s="3">
        <f t="shared" si="5"/>
        <v>0</v>
      </c>
    </row>
    <row r="1483">
      <c r="A1483" s="1" t="s">
        <v>1265</v>
      </c>
      <c r="B1483" s="3" t="str">
        <f t="shared" si="1"/>
        <v>Unavailable</v>
      </c>
      <c r="C1483" s="5">
        <v>6313.0</v>
      </c>
      <c r="D1483" s="3">
        <f>IFERROR(__xludf.DUMMYFUNCTION("IFERROR(
IF(REGEXMATCH(LOWER(O1483),""k""),
VALUE(REGEXEXTRACT(O1483,""[0-9]+""))*1000,
VALUE(REGEXEXTRACT(O1483,""[0-9]+""))
),
0
)"),0.0)</f>
        <v>0</v>
      </c>
      <c r="E1483" s="1" t="s">
        <v>18</v>
      </c>
      <c r="F1483" s="1" t="s">
        <v>20</v>
      </c>
      <c r="G1483" s="4" t="b">
        <f t="shared" si="2"/>
        <v>1</v>
      </c>
      <c r="H1483" s="1" t="str">
        <f t="shared" si="3"/>
        <v>Currently Unavailable</v>
      </c>
      <c r="I1483" s="1" t="str">
        <f t="shared" si="4"/>
        <v>No Badges</v>
      </c>
      <c r="J1483" s="3">
        <f t="shared" si="5"/>
        <v>0</v>
      </c>
    </row>
    <row r="1484">
      <c r="A1484" s="1" t="s">
        <v>67</v>
      </c>
      <c r="B1484" s="3" t="str">
        <f t="shared" si="1"/>
        <v>Unavailable</v>
      </c>
      <c r="C1484" s="3">
        <v>264.0</v>
      </c>
      <c r="D1484" s="3">
        <f>IFERROR(__xludf.DUMMYFUNCTION("IFERROR(
IF(REGEXMATCH(LOWER(O1484),""k""),
VALUE(REGEXEXTRACT(O1484,""[0-9]+""))*1000,
VALUE(REGEXEXTRACT(O1484,""[0-9]+""))
),
0
)"),0.0)</f>
        <v>0</v>
      </c>
      <c r="E1484" s="1" t="s">
        <v>11</v>
      </c>
      <c r="F1484" s="1" t="s">
        <v>12</v>
      </c>
      <c r="G1484" s="4" t="b">
        <f t="shared" si="2"/>
        <v>1</v>
      </c>
      <c r="H1484" s="1" t="str">
        <f t="shared" si="3"/>
        <v>Currently Unavailable</v>
      </c>
      <c r="I1484" s="1" t="str">
        <f t="shared" si="4"/>
        <v>No Badges</v>
      </c>
      <c r="J1484" s="3">
        <f t="shared" si="5"/>
        <v>0</v>
      </c>
    </row>
    <row r="1485">
      <c r="A1485" s="1" t="s">
        <v>1266</v>
      </c>
      <c r="B1485" s="3" t="str">
        <f t="shared" si="1"/>
        <v>Unavailable</v>
      </c>
      <c r="C1485" s="5">
        <v>20265.0</v>
      </c>
      <c r="D1485" s="3">
        <f>IFERROR(__xludf.DUMMYFUNCTION("IFERROR(
IF(REGEXMATCH(LOWER(O1485),""k""),
VALUE(REGEXEXTRACT(O1485,""[0-9]+""))*1000,
VALUE(REGEXEXTRACT(O1485,""[0-9]+""))
),
0
)"),0.0)</f>
        <v>0</v>
      </c>
      <c r="E1485" s="1" t="s">
        <v>11</v>
      </c>
      <c r="F1485" s="1" t="s">
        <v>20</v>
      </c>
      <c r="G1485" s="4" t="b">
        <f t="shared" si="2"/>
        <v>1</v>
      </c>
      <c r="H1485" s="1" t="str">
        <f t="shared" si="3"/>
        <v>Currently Unavailable</v>
      </c>
      <c r="I1485" s="1" t="str">
        <f t="shared" si="4"/>
        <v>No Badges</v>
      </c>
      <c r="J1485" s="3">
        <f t="shared" si="5"/>
        <v>0</v>
      </c>
    </row>
    <row r="1486">
      <c r="A1486" s="1" t="s">
        <v>1267</v>
      </c>
      <c r="B1486" s="3" t="str">
        <f t="shared" si="1"/>
        <v>Unavailable</v>
      </c>
      <c r="C1486" s="3">
        <v>604.0</v>
      </c>
      <c r="D1486" s="3">
        <f>IFERROR(__xludf.DUMMYFUNCTION("IFERROR(
IF(REGEXMATCH(LOWER(O1486),""k""),
VALUE(REGEXEXTRACT(O1486,""[0-9]+""))*1000,
VALUE(REGEXEXTRACT(O1486,""[0-9]+""))
),
0
)"),0.0)</f>
        <v>0</v>
      </c>
      <c r="E1486" s="1" t="s">
        <v>11</v>
      </c>
      <c r="F1486" s="1" t="s">
        <v>20</v>
      </c>
      <c r="G1486" s="4" t="b">
        <f t="shared" si="2"/>
        <v>1</v>
      </c>
      <c r="H1486" s="1" t="str">
        <f t="shared" si="3"/>
        <v>Currently Unavailable</v>
      </c>
      <c r="I1486" s="1" t="str">
        <f t="shared" si="4"/>
        <v>No Badges</v>
      </c>
      <c r="J1486" s="3">
        <f t="shared" si="5"/>
        <v>0</v>
      </c>
    </row>
    <row r="1487">
      <c r="A1487" s="1" t="s">
        <v>1268</v>
      </c>
      <c r="B1487" s="3" t="str">
        <f t="shared" si="1"/>
        <v>Unavailable</v>
      </c>
      <c r="C1487" s="5">
        <v>67673.0</v>
      </c>
      <c r="D1487" s="3">
        <f>IFERROR(__xludf.DUMMYFUNCTION("IFERROR(
IF(REGEXMATCH(LOWER(O1487),""k""),
VALUE(REGEXEXTRACT(O1487,""[0-9]+""))*1000,
VALUE(REGEXEXTRACT(O1487,""[0-9]+""))
),
0
)"),0.0)</f>
        <v>0</v>
      </c>
      <c r="E1487" s="1" t="s">
        <v>158</v>
      </c>
      <c r="F1487" s="1" t="s">
        <v>20</v>
      </c>
      <c r="G1487" s="4" t="b">
        <f t="shared" si="2"/>
        <v>1</v>
      </c>
      <c r="H1487" s="1" t="str">
        <f t="shared" si="3"/>
        <v>Currently Unavailable</v>
      </c>
      <c r="I1487" s="1" t="str">
        <f t="shared" si="4"/>
        <v>No Badges</v>
      </c>
      <c r="J1487" s="3">
        <f t="shared" si="5"/>
        <v>0</v>
      </c>
    </row>
    <row r="1488">
      <c r="A1488" s="1" t="s">
        <v>1269</v>
      </c>
      <c r="B1488" s="3" t="str">
        <f t="shared" si="1"/>
        <v>Unavailable</v>
      </c>
      <c r="C1488" s="5">
        <v>553927.0</v>
      </c>
      <c r="D1488" s="3">
        <f>IFERROR(__xludf.DUMMYFUNCTION("IFERROR(
IF(REGEXMATCH(LOWER(O1488),""k""),
VALUE(REGEXEXTRACT(O1488,""[0-9]+""))*1000,
VALUE(REGEXEXTRACT(O1488,""[0-9]+""))
),
0
)"),0.0)</f>
        <v>0</v>
      </c>
      <c r="E1488" s="1" t="s">
        <v>11</v>
      </c>
      <c r="F1488" s="1" t="s">
        <v>20</v>
      </c>
      <c r="G1488" s="4" t="b">
        <f t="shared" si="2"/>
        <v>1</v>
      </c>
      <c r="H1488" s="1" t="str">
        <f t="shared" si="3"/>
        <v>Currently Unavailable</v>
      </c>
      <c r="I1488" s="1" t="str">
        <f t="shared" si="4"/>
        <v>No Badges</v>
      </c>
      <c r="J1488" s="3">
        <f t="shared" si="5"/>
        <v>0</v>
      </c>
    </row>
    <row r="1489">
      <c r="A1489" s="1" t="s">
        <v>1270</v>
      </c>
      <c r="B1489" s="3" t="str">
        <f t="shared" si="1"/>
        <v>Unavailable</v>
      </c>
      <c r="C1489" s="5">
        <v>4998.0</v>
      </c>
      <c r="D1489" s="3">
        <f>IFERROR(__xludf.DUMMYFUNCTION("IFERROR(
IF(REGEXMATCH(LOWER(O1489),""k""),
VALUE(REGEXEXTRACT(O1489,""[0-9]+""))*1000,
VALUE(REGEXEXTRACT(O1489,""[0-9]+""))
),
0
)"),0.0)</f>
        <v>0</v>
      </c>
      <c r="E1489" s="1" t="s">
        <v>11</v>
      </c>
      <c r="F1489" s="1" t="s">
        <v>20</v>
      </c>
      <c r="G1489" s="4" t="b">
        <f t="shared" si="2"/>
        <v>1</v>
      </c>
      <c r="H1489" s="1" t="str">
        <f t="shared" si="3"/>
        <v>Currently Unavailable</v>
      </c>
      <c r="I1489" s="1" t="str">
        <f t="shared" si="4"/>
        <v>No Badges</v>
      </c>
      <c r="J1489" s="3">
        <f t="shared" si="5"/>
        <v>0</v>
      </c>
    </row>
    <row r="1490">
      <c r="A1490" s="1" t="s">
        <v>1271</v>
      </c>
      <c r="B1490" s="3" t="str">
        <f t="shared" si="1"/>
        <v>Unavailable</v>
      </c>
      <c r="C1490" s="5">
        <v>9532.0</v>
      </c>
      <c r="D1490" s="3">
        <f>IFERROR(__xludf.DUMMYFUNCTION("IFERROR(
IF(REGEXMATCH(LOWER(O1490),""k""),
VALUE(REGEXEXTRACT(O1490,""[0-9]+""))*1000,
VALUE(REGEXEXTRACT(O1490,""[0-9]+""))
),
0
)"),0.0)</f>
        <v>0</v>
      </c>
      <c r="E1490" s="1" t="s">
        <v>11</v>
      </c>
      <c r="F1490" s="1" t="s">
        <v>20</v>
      </c>
      <c r="G1490" s="4" t="b">
        <f t="shared" si="2"/>
        <v>1</v>
      </c>
      <c r="H1490" s="1" t="str">
        <f t="shared" si="3"/>
        <v>Currently Unavailable</v>
      </c>
      <c r="I1490" s="1" t="str">
        <f t="shared" si="4"/>
        <v>No Badges</v>
      </c>
      <c r="J1490" s="3">
        <f t="shared" si="5"/>
        <v>0</v>
      </c>
    </row>
    <row r="1491">
      <c r="A1491" s="1" t="s">
        <v>1272</v>
      </c>
      <c r="B1491" s="3" t="str">
        <f t="shared" si="1"/>
        <v>Unavailable</v>
      </c>
      <c r="C1491" s="5">
        <v>7439.0</v>
      </c>
      <c r="D1491" s="3">
        <f>IFERROR(__xludf.DUMMYFUNCTION("IFERROR(
IF(REGEXMATCH(LOWER(O1491),""k""),
VALUE(REGEXEXTRACT(O1491,""[0-9]+""))*1000,
VALUE(REGEXEXTRACT(O1491,""[0-9]+""))
),
0
)"),0.0)</f>
        <v>0</v>
      </c>
      <c r="E1491" s="1" t="s">
        <v>11</v>
      </c>
      <c r="F1491" s="1" t="s">
        <v>20</v>
      </c>
      <c r="G1491" s="4" t="b">
        <f t="shared" si="2"/>
        <v>1</v>
      </c>
      <c r="H1491" s="1" t="str">
        <f t="shared" si="3"/>
        <v>Currently Unavailable</v>
      </c>
      <c r="I1491" s="1" t="str">
        <f t="shared" si="4"/>
        <v>No Badges</v>
      </c>
      <c r="J1491" s="3">
        <f t="shared" si="5"/>
        <v>0</v>
      </c>
    </row>
    <row r="1492">
      <c r="A1492" s="1" t="s">
        <v>1273</v>
      </c>
      <c r="B1492" s="3" t="str">
        <f t="shared" si="1"/>
        <v>Unavailable</v>
      </c>
      <c r="C1492" s="5">
        <v>15516.0</v>
      </c>
      <c r="D1492" s="3">
        <f>IFERROR(__xludf.DUMMYFUNCTION("IFERROR(
IF(REGEXMATCH(LOWER(O1492),""k""),
VALUE(REGEXEXTRACT(O1492,""[0-9]+""))*1000,
VALUE(REGEXEXTRACT(O1492,""[0-9]+""))
),
0
)"),0.0)</f>
        <v>0</v>
      </c>
      <c r="E1492" s="1" t="s">
        <v>18</v>
      </c>
      <c r="F1492" s="1" t="s">
        <v>20</v>
      </c>
      <c r="G1492" s="4" t="b">
        <f t="shared" si="2"/>
        <v>1</v>
      </c>
      <c r="H1492" s="1" t="str">
        <f t="shared" si="3"/>
        <v>Currently Unavailable</v>
      </c>
      <c r="I1492" s="1" t="str">
        <f t="shared" si="4"/>
        <v>No Badges</v>
      </c>
      <c r="J1492" s="3">
        <f t="shared" si="5"/>
        <v>0</v>
      </c>
    </row>
    <row r="1493">
      <c r="A1493" s="1" t="s">
        <v>1274</v>
      </c>
      <c r="B1493" s="3" t="str">
        <f t="shared" si="1"/>
        <v>Unavailable</v>
      </c>
      <c r="C1493" s="5">
        <v>4095.0</v>
      </c>
      <c r="D1493" s="3">
        <f>IFERROR(__xludf.DUMMYFUNCTION("IFERROR(
IF(REGEXMATCH(LOWER(O1493),""k""),
VALUE(REGEXEXTRACT(O1493,""[0-9]+""))*1000,
VALUE(REGEXEXTRACT(O1493,""[0-9]+""))
),
0
)"),0.0)</f>
        <v>0</v>
      </c>
      <c r="E1493" s="1" t="s">
        <v>11</v>
      </c>
      <c r="F1493" s="1" t="s">
        <v>20</v>
      </c>
      <c r="G1493" s="4" t="b">
        <f t="shared" si="2"/>
        <v>1</v>
      </c>
      <c r="H1493" s="1" t="str">
        <f t="shared" si="3"/>
        <v>Currently Unavailable</v>
      </c>
      <c r="I1493" s="1" t="str">
        <f t="shared" si="4"/>
        <v>No Badges</v>
      </c>
      <c r="J1493" s="3">
        <f t="shared" si="5"/>
        <v>0</v>
      </c>
    </row>
    <row r="1494">
      <c r="A1494" s="1" t="s">
        <v>1275</v>
      </c>
      <c r="B1494" s="3" t="str">
        <f t="shared" si="1"/>
        <v>Unavailable</v>
      </c>
      <c r="C1494" s="5">
        <v>10483.0</v>
      </c>
      <c r="D1494" s="3">
        <f>IFERROR(__xludf.DUMMYFUNCTION("IFERROR(
IF(REGEXMATCH(LOWER(O1494),""k""),
VALUE(REGEXEXTRACT(O1494,""[0-9]+""))*1000,
VALUE(REGEXEXTRACT(O1494,""[0-9]+""))
),
0
)"),0.0)</f>
        <v>0</v>
      </c>
      <c r="E1494" s="1" t="s">
        <v>158</v>
      </c>
      <c r="F1494" s="1" t="s">
        <v>12</v>
      </c>
      <c r="G1494" s="4" t="b">
        <f t="shared" si="2"/>
        <v>1</v>
      </c>
      <c r="H1494" s="1" t="str">
        <f t="shared" si="3"/>
        <v>Currently Unavailable</v>
      </c>
      <c r="I1494" s="1" t="str">
        <f t="shared" si="4"/>
        <v>No Badges</v>
      </c>
      <c r="J1494" s="3">
        <f t="shared" si="5"/>
        <v>0</v>
      </c>
    </row>
    <row r="1495">
      <c r="A1495" s="1" t="s">
        <v>1276</v>
      </c>
      <c r="B1495" s="3" t="str">
        <f t="shared" si="1"/>
        <v>Unavailable</v>
      </c>
      <c r="C1495" s="5">
        <v>28884.0</v>
      </c>
      <c r="D1495" s="3">
        <f>IFERROR(__xludf.DUMMYFUNCTION("IFERROR(
IF(REGEXMATCH(LOWER(O1495),""k""),
VALUE(REGEXEXTRACT(O1495,""[0-9]+""))*1000,
VALUE(REGEXEXTRACT(O1495,""[0-9]+""))
),
0
)"),0.0)</f>
        <v>0</v>
      </c>
      <c r="E1495" s="1" t="s">
        <v>11</v>
      </c>
      <c r="F1495" s="1" t="s">
        <v>20</v>
      </c>
      <c r="G1495" s="4" t="b">
        <f t="shared" si="2"/>
        <v>1</v>
      </c>
      <c r="H1495" s="1" t="str">
        <f t="shared" si="3"/>
        <v>Currently Unavailable</v>
      </c>
      <c r="I1495" s="1" t="str">
        <f t="shared" si="4"/>
        <v>No Badges</v>
      </c>
      <c r="J1495" s="3">
        <f t="shared" si="5"/>
        <v>0</v>
      </c>
    </row>
    <row r="1496">
      <c r="A1496" s="1" t="s">
        <v>1175</v>
      </c>
      <c r="B1496" s="3" t="str">
        <f t="shared" si="1"/>
        <v>Unavailable</v>
      </c>
      <c r="C1496" s="5">
        <v>111424.0</v>
      </c>
      <c r="D1496" s="3">
        <f>IFERROR(__xludf.DUMMYFUNCTION("IFERROR(
IF(REGEXMATCH(LOWER(O1496),""k""),
VALUE(REGEXEXTRACT(O1496,""[0-9]+""))*1000,
VALUE(REGEXEXTRACT(O1496,""[0-9]+""))
),
0
)"),0.0)</f>
        <v>0</v>
      </c>
      <c r="E1496" s="1" t="s">
        <v>18</v>
      </c>
      <c r="F1496" s="1" t="s">
        <v>12</v>
      </c>
      <c r="G1496" s="4" t="b">
        <f t="shared" si="2"/>
        <v>1</v>
      </c>
      <c r="H1496" s="1" t="str">
        <f t="shared" si="3"/>
        <v>Currently Unavailable</v>
      </c>
      <c r="I1496" s="1" t="str">
        <f t="shared" si="4"/>
        <v>No Badges</v>
      </c>
      <c r="J1496" s="3">
        <f t="shared" si="5"/>
        <v>0</v>
      </c>
    </row>
    <row r="1497">
      <c r="A1497" s="1" t="s">
        <v>1247</v>
      </c>
      <c r="B1497" s="3" t="str">
        <f t="shared" si="1"/>
        <v>Unavailable</v>
      </c>
      <c r="C1497" s="5">
        <v>3297.0</v>
      </c>
      <c r="D1497" s="3">
        <f>IFERROR(__xludf.DUMMYFUNCTION("IFERROR(
IF(REGEXMATCH(LOWER(O1497),""k""),
VALUE(REGEXEXTRACT(O1497,""[0-9]+""))*1000,
VALUE(REGEXEXTRACT(O1497,""[0-9]+""))
),
0
)"),0.0)</f>
        <v>0</v>
      </c>
      <c r="E1497" s="1" t="s">
        <v>11</v>
      </c>
      <c r="F1497" s="1" t="s">
        <v>12</v>
      </c>
      <c r="G1497" s="4" t="b">
        <f t="shared" si="2"/>
        <v>1</v>
      </c>
      <c r="H1497" s="1" t="str">
        <f t="shared" si="3"/>
        <v>Currently Unavailable</v>
      </c>
      <c r="I1497" s="1" t="str">
        <f t="shared" si="4"/>
        <v>No Badges</v>
      </c>
      <c r="J1497" s="3">
        <f t="shared" si="5"/>
        <v>0</v>
      </c>
    </row>
    <row r="1498">
      <c r="A1498" s="1" t="s">
        <v>1110</v>
      </c>
      <c r="B1498" s="3" t="str">
        <f t="shared" si="1"/>
        <v>Unavailable</v>
      </c>
      <c r="C1498" s="5">
        <v>44109.0</v>
      </c>
      <c r="D1498" s="3">
        <f>IFERROR(__xludf.DUMMYFUNCTION("IFERROR(
IF(REGEXMATCH(LOWER(O1498),""k""),
VALUE(REGEXEXTRACT(O1498,""[0-9]+""))*1000,
VALUE(REGEXEXTRACT(O1498,""[0-9]+""))
),
0
)"),0.0)</f>
        <v>0</v>
      </c>
      <c r="E1498" s="1" t="s">
        <v>158</v>
      </c>
      <c r="F1498" s="1" t="s">
        <v>12</v>
      </c>
      <c r="G1498" s="4" t="b">
        <f t="shared" si="2"/>
        <v>1</v>
      </c>
      <c r="H1498" s="1" t="str">
        <f t="shared" si="3"/>
        <v>Currently Unavailable</v>
      </c>
      <c r="I1498" s="1" t="str">
        <f t="shared" si="4"/>
        <v>No Badges</v>
      </c>
      <c r="J1498" s="3">
        <f t="shared" si="5"/>
        <v>0</v>
      </c>
    </row>
    <row r="1499">
      <c r="A1499" s="1" t="s">
        <v>701</v>
      </c>
      <c r="B1499" s="3" t="str">
        <f t="shared" si="1"/>
        <v>Unavailable</v>
      </c>
      <c r="C1499" s="3">
        <v>8.0</v>
      </c>
      <c r="D1499" s="3">
        <f>IFERROR(__xludf.DUMMYFUNCTION("IFERROR(
IF(REGEXMATCH(LOWER(O1499),""k""),
VALUE(REGEXEXTRACT(O1499,""[0-9]+""))*1000,
VALUE(REGEXEXTRACT(O1499,""[0-9]+""))
),
0
)"),0.0)</f>
        <v>0</v>
      </c>
      <c r="E1499" s="1" t="s">
        <v>11</v>
      </c>
      <c r="F1499" s="1" t="s">
        <v>12</v>
      </c>
      <c r="G1499" s="4" t="b">
        <f t="shared" si="2"/>
        <v>1</v>
      </c>
      <c r="H1499" s="1" t="str">
        <f t="shared" si="3"/>
        <v>Currently Unavailable</v>
      </c>
      <c r="I1499" s="1" t="str">
        <f t="shared" si="4"/>
        <v>No Badges</v>
      </c>
      <c r="J1499" s="3">
        <f t="shared" si="5"/>
        <v>0</v>
      </c>
    </row>
    <row r="1500">
      <c r="A1500" s="1" t="s">
        <v>40</v>
      </c>
      <c r="B1500" s="3" t="str">
        <f t="shared" si="1"/>
        <v>Unavailable</v>
      </c>
      <c r="C1500" s="3">
        <v>171.0</v>
      </c>
      <c r="D1500" s="3">
        <f>IFERROR(__xludf.DUMMYFUNCTION("IFERROR(
IF(REGEXMATCH(LOWER(O1500),""k""),
VALUE(REGEXEXTRACT(O1500,""[0-9]+""))*1000,
VALUE(REGEXEXTRACT(O1500,""[0-9]+""))
),
0
)"),0.0)</f>
        <v>0</v>
      </c>
      <c r="E1500" s="1" t="s">
        <v>11</v>
      </c>
      <c r="F1500" s="1" t="s">
        <v>12</v>
      </c>
      <c r="G1500" s="4" t="b">
        <f t="shared" si="2"/>
        <v>1</v>
      </c>
      <c r="H1500" s="1" t="str">
        <f t="shared" si="3"/>
        <v>Currently Unavailable</v>
      </c>
      <c r="I1500" s="1" t="str">
        <f t="shared" si="4"/>
        <v>No Badges</v>
      </c>
      <c r="J1500" s="3">
        <f t="shared" si="5"/>
        <v>0</v>
      </c>
    </row>
    <row r="1501">
      <c r="A1501" s="1" t="s">
        <v>1267</v>
      </c>
      <c r="B1501" s="3" t="str">
        <f t="shared" si="1"/>
        <v>Unavailable</v>
      </c>
      <c r="C1501" s="3">
        <v>604.0</v>
      </c>
      <c r="D1501" s="3">
        <f>IFERROR(__xludf.DUMMYFUNCTION("IFERROR(
IF(REGEXMATCH(LOWER(O1501),""k""),
VALUE(REGEXEXTRACT(O1501,""[0-9]+""))*1000,
VALUE(REGEXEXTRACT(O1501,""[0-9]+""))
),
0
)"),0.0)</f>
        <v>0</v>
      </c>
      <c r="E1501" s="1" t="s">
        <v>11</v>
      </c>
      <c r="F1501" s="1" t="s">
        <v>12</v>
      </c>
      <c r="G1501" s="4" t="b">
        <f t="shared" si="2"/>
        <v>1</v>
      </c>
      <c r="H1501" s="1" t="str">
        <f t="shared" si="3"/>
        <v>Currently Unavailable</v>
      </c>
      <c r="I1501" s="1" t="str">
        <f t="shared" si="4"/>
        <v>No Badges</v>
      </c>
      <c r="J1501" s="3">
        <f t="shared" si="5"/>
        <v>0</v>
      </c>
    </row>
    <row r="1502">
      <c r="A1502" s="1" t="s">
        <v>1247</v>
      </c>
      <c r="B1502" s="3" t="str">
        <f t="shared" si="1"/>
        <v>Unavailable</v>
      </c>
      <c r="C1502" s="5">
        <v>3297.0</v>
      </c>
      <c r="D1502" s="3">
        <f>IFERROR(__xludf.DUMMYFUNCTION("IFERROR(
IF(REGEXMATCH(LOWER(O1502),""k""),
VALUE(REGEXEXTRACT(O1502,""[0-9]+""))*1000,
VALUE(REGEXEXTRACT(O1502,""[0-9]+""))
),
0
)"),0.0)</f>
        <v>0</v>
      </c>
      <c r="E1502" s="1" t="s">
        <v>11</v>
      </c>
      <c r="F1502" s="1" t="s">
        <v>12</v>
      </c>
      <c r="G1502" s="4" t="b">
        <f t="shared" si="2"/>
        <v>1</v>
      </c>
      <c r="H1502" s="1" t="str">
        <f t="shared" si="3"/>
        <v>Currently Unavailable</v>
      </c>
      <c r="I1502" s="1" t="str">
        <f t="shared" si="4"/>
        <v>No Badges</v>
      </c>
      <c r="J1502" s="3">
        <f t="shared" si="5"/>
        <v>0</v>
      </c>
    </row>
    <row r="1503">
      <c r="A1503" s="1" t="s">
        <v>1277</v>
      </c>
      <c r="B1503" s="3" t="str">
        <f t="shared" si="1"/>
        <v>Unavailable</v>
      </c>
      <c r="C1503" s="5">
        <v>3297.0</v>
      </c>
      <c r="D1503" s="3">
        <f>IFERROR(__xludf.DUMMYFUNCTION("IFERROR(
IF(REGEXMATCH(LOWER(O1503),""k""),
VALUE(REGEXEXTRACT(O1503,""[0-9]+""))*1000,
VALUE(REGEXEXTRACT(O1503,""[0-9]+""))
),
0
)"),0.0)</f>
        <v>0</v>
      </c>
      <c r="E1503" s="1" t="s">
        <v>11</v>
      </c>
      <c r="F1503" s="1" t="s">
        <v>12</v>
      </c>
      <c r="G1503" s="4" t="b">
        <f t="shared" si="2"/>
        <v>1</v>
      </c>
      <c r="H1503" s="1" t="str">
        <f t="shared" si="3"/>
        <v>Currently Unavailable</v>
      </c>
      <c r="I1503" s="1" t="str">
        <f t="shared" si="4"/>
        <v>No Badges</v>
      </c>
      <c r="J1503" s="3">
        <f t="shared" si="5"/>
        <v>0</v>
      </c>
    </row>
    <row r="1504">
      <c r="A1504" s="1" t="s">
        <v>1247</v>
      </c>
      <c r="B1504" s="3" t="str">
        <f t="shared" si="1"/>
        <v>Unavailable</v>
      </c>
      <c r="C1504" s="5">
        <v>3297.0</v>
      </c>
      <c r="D1504" s="3">
        <f>IFERROR(__xludf.DUMMYFUNCTION("IFERROR(
IF(REGEXMATCH(LOWER(O1504),""k""),
VALUE(REGEXEXTRACT(O1504,""[0-9]+""))*1000,
VALUE(REGEXEXTRACT(O1504,""[0-9]+""))
),
0
)"),0.0)</f>
        <v>0</v>
      </c>
      <c r="E1504" s="1" t="s">
        <v>11</v>
      </c>
      <c r="F1504" s="1" t="s">
        <v>12</v>
      </c>
      <c r="G1504" s="4" t="b">
        <f t="shared" si="2"/>
        <v>1</v>
      </c>
      <c r="H1504" s="1" t="str">
        <f t="shared" si="3"/>
        <v>Currently Unavailable</v>
      </c>
      <c r="I1504" s="1" t="str">
        <f t="shared" si="4"/>
        <v>No Badges</v>
      </c>
      <c r="J1504" s="3">
        <f t="shared" si="5"/>
        <v>0</v>
      </c>
    </row>
    <row r="1505">
      <c r="A1505" s="1" t="s">
        <v>1110</v>
      </c>
      <c r="B1505" s="3" t="str">
        <f t="shared" si="1"/>
        <v>Unavailable</v>
      </c>
      <c r="C1505" s="5">
        <v>44109.0</v>
      </c>
      <c r="D1505" s="3">
        <f>IFERROR(__xludf.DUMMYFUNCTION("IFERROR(
IF(REGEXMATCH(LOWER(O1505),""k""),
VALUE(REGEXEXTRACT(O1505,""[0-9]+""))*1000,
VALUE(REGEXEXTRACT(O1505,""[0-9]+""))
),
0
)"),0.0)</f>
        <v>0</v>
      </c>
      <c r="E1505" s="1" t="s">
        <v>18</v>
      </c>
      <c r="F1505" s="1" t="s">
        <v>12</v>
      </c>
      <c r="G1505" s="4" t="b">
        <f t="shared" si="2"/>
        <v>1</v>
      </c>
      <c r="H1505" s="1" t="str">
        <f t="shared" si="3"/>
        <v>Currently Unavailable</v>
      </c>
      <c r="I1505" s="1" t="str">
        <f t="shared" si="4"/>
        <v>No Badges</v>
      </c>
      <c r="J1505" s="3">
        <f t="shared" si="5"/>
        <v>0</v>
      </c>
    </row>
    <row r="1506">
      <c r="A1506" s="1" t="s">
        <v>1110</v>
      </c>
      <c r="B1506" s="3" t="str">
        <f t="shared" si="1"/>
        <v>Unavailable</v>
      </c>
      <c r="C1506" s="5">
        <v>44109.0</v>
      </c>
      <c r="D1506" s="3">
        <f>IFERROR(__xludf.DUMMYFUNCTION("IFERROR(
IF(REGEXMATCH(LOWER(O1506),""k""),
VALUE(REGEXEXTRACT(O1506,""[0-9]+""))*1000,
VALUE(REGEXEXTRACT(O1506,""[0-9]+""))
),
0
)"),0.0)</f>
        <v>0</v>
      </c>
      <c r="E1506" s="1" t="s">
        <v>18</v>
      </c>
      <c r="F1506" s="1" t="s">
        <v>12</v>
      </c>
      <c r="G1506" s="4" t="b">
        <f t="shared" si="2"/>
        <v>1</v>
      </c>
      <c r="H1506" s="1" t="str">
        <f t="shared" si="3"/>
        <v>Currently Unavailable</v>
      </c>
      <c r="I1506" s="1" t="str">
        <f t="shared" si="4"/>
        <v>No Badges</v>
      </c>
      <c r="J1506" s="3">
        <f t="shared" si="5"/>
        <v>0</v>
      </c>
    </row>
    <row r="1507">
      <c r="A1507" s="1" t="s">
        <v>1226</v>
      </c>
      <c r="B1507" s="3" t="str">
        <f t="shared" si="1"/>
        <v>Unavailable</v>
      </c>
      <c r="C1507" s="5">
        <v>27900.0</v>
      </c>
      <c r="D1507" s="3">
        <f>IFERROR(__xludf.DUMMYFUNCTION("IFERROR(
IF(REGEXMATCH(LOWER(O1507),""k""),
VALUE(REGEXEXTRACT(O1507,""[0-9]+""))*1000,
VALUE(REGEXEXTRACT(O1507,""[0-9]+""))
),
0
)"),0.0)</f>
        <v>0</v>
      </c>
      <c r="E1507" s="1" t="s">
        <v>11</v>
      </c>
      <c r="F1507" s="1" t="s">
        <v>12</v>
      </c>
      <c r="G1507" s="4" t="b">
        <f t="shared" si="2"/>
        <v>1</v>
      </c>
      <c r="H1507" s="1" t="str">
        <f t="shared" si="3"/>
        <v>Currently Unavailable</v>
      </c>
      <c r="I1507" s="1" t="str">
        <f t="shared" si="4"/>
        <v>No Badges</v>
      </c>
      <c r="J1507" s="3">
        <f t="shared" si="5"/>
        <v>0</v>
      </c>
    </row>
    <row r="1508">
      <c r="A1508" s="1" t="s">
        <v>1175</v>
      </c>
      <c r="B1508" s="3" t="str">
        <f t="shared" si="1"/>
        <v>Unavailable</v>
      </c>
      <c r="C1508" s="5">
        <v>111424.0</v>
      </c>
      <c r="D1508" s="3">
        <f>IFERROR(__xludf.DUMMYFUNCTION("IFERROR(
IF(REGEXMATCH(LOWER(O1508),""k""),
VALUE(REGEXEXTRACT(O1508,""[0-9]+""))*1000,
VALUE(REGEXEXTRACT(O1508,""[0-9]+""))
),
0
)"),0.0)</f>
        <v>0</v>
      </c>
      <c r="E1508" s="1" t="s">
        <v>11</v>
      </c>
      <c r="F1508" s="1" t="s">
        <v>12</v>
      </c>
      <c r="G1508" s="4" t="b">
        <f t="shared" si="2"/>
        <v>1</v>
      </c>
      <c r="H1508" s="1" t="str">
        <f t="shared" si="3"/>
        <v>Currently Unavailable</v>
      </c>
      <c r="I1508" s="1" t="str">
        <f t="shared" si="4"/>
        <v>No Badges</v>
      </c>
      <c r="J1508" s="3">
        <f t="shared" si="5"/>
        <v>0</v>
      </c>
    </row>
    <row r="1509">
      <c r="A1509" s="1" t="s">
        <v>1227</v>
      </c>
      <c r="B1509" s="3" t="str">
        <f t="shared" si="1"/>
        <v>Unavailable</v>
      </c>
      <c r="C1509" s="5">
        <v>139943.0</v>
      </c>
      <c r="D1509" s="3">
        <f>IFERROR(__xludf.DUMMYFUNCTION("IFERROR(
IF(REGEXMATCH(LOWER(O1509),""k""),
VALUE(REGEXEXTRACT(O1509,""[0-9]+""))*1000,
VALUE(REGEXEXTRACT(O1509,""[0-9]+""))
),
0
)"),0.0)</f>
        <v>0</v>
      </c>
      <c r="E1509" s="1" t="s">
        <v>11</v>
      </c>
      <c r="F1509" s="1" t="s">
        <v>12</v>
      </c>
      <c r="G1509" s="4" t="b">
        <f t="shared" si="2"/>
        <v>1</v>
      </c>
      <c r="H1509" s="1" t="str">
        <f t="shared" si="3"/>
        <v>Currently Unavailable</v>
      </c>
      <c r="I1509" s="1" t="str">
        <f t="shared" si="4"/>
        <v>No Badges</v>
      </c>
      <c r="J1509" s="3">
        <f t="shared" si="5"/>
        <v>0</v>
      </c>
    </row>
    <row r="1510">
      <c r="A1510" s="1" t="s">
        <v>1227</v>
      </c>
      <c r="B1510" s="3" t="str">
        <f t="shared" si="1"/>
        <v>Unavailable</v>
      </c>
      <c r="C1510" s="5">
        <v>139943.0</v>
      </c>
      <c r="D1510" s="3">
        <f>IFERROR(__xludf.DUMMYFUNCTION("IFERROR(
IF(REGEXMATCH(LOWER(O1510),""k""),
VALUE(REGEXEXTRACT(O1510,""[0-9]+""))*1000,
VALUE(REGEXEXTRACT(O1510,""[0-9]+""))
),
0
)"),0.0)</f>
        <v>0</v>
      </c>
      <c r="E1510" s="1" t="s">
        <v>11</v>
      </c>
      <c r="F1510" s="1" t="s">
        <v>12</v>
      </c>
      <c r="G1510" s="4" t="b">
        <f t="shared" si="2"/>
        <v>1</v>
      </c>
      <c r="H1510" s="1" t="str">
        <f t="shared" si="3"/>
        <v>Currently Unavailable</v>
      </c>
      <c r="I1510" s="1" t="str">
        <f t="shared" si="4"/>
        <v>No Badges</v>
      </c>
      <c r="J1510" s="3">
        <f t="shared" si="5"/>
        <v>0</v>
      </c>
    </row>
    <row r="1511">
      <c r="A1511" s="1" t="s">
        <v>1278</v>
      </c>
      <c r="B1511" s="3" t="str">
        <f t="shared" si="1"/>
        <v>Unavailable</v>
      </c>
      <c r="C1511" s="5">
        <v>12076.0</v>
      </c>
      <c r="D1511" s="3">
        <f>IFERROR(__xludf.DUMMYFUNCTION("IFERROR(
IF(REGEXMATCH(LOWER(O1511),""k""),
VALUE(REGEXEXTRACT(O1511,""[0-9]+""))*1000,
VALUE(REGEXEXTRACT(O1511,""[0-9]+""))
),
0
)"),0.0)</f>
        <v>0</v>
      </c>
      <c r="E1511" s="1" t="s">
        <v>11</v>
      </c>
      <c r="F1511" s="1" t="s">
        <v>12</v>
      </c>
      <c r="G1511" s="4" t="b">
        <f t="shared" si="2"/>
        <v>1</v>
      </c>
      <c r="H1511" s="1" t="str">
        <f t="shared" si="3"/>
        <v>Currently Unavailable</v>
      </c>
      <c r="I1511" s="1" t="str">
        <f t="shared" si="4"/>
        <v>No Badges</v>
      </c>
      <c r="J1511" s="3">
        <f t="shared" si="5"/>
        <v>0</v>
      </c>
    </row>
    <row r="1512">
      <c r="A1512" s="1" t="s">
        <v>1279</v>
      </c>
      <c r="B1512" s="3" t="str">
        <f t="shared" si="1"/>
        <v>Unavailable</v>
      </c>
      <c r="C1512" s="3">
        <v>65.0</v>
      </c>
      <c r="D1512" s="3">
        <f>IFERROR(__xludf.DUMMYFUNCTION("IFERROR(
IF(REGEXMATCH(LOWER(O1512),""k""),
VALUE(REGEXEXTRACT(O1512,""[0-9]+""))*1000,
VALUE(REGEXEXTRACT(O1512,""[0-9]+""))
),
0
)"),0.0)</f>
        <v>0</v>
      </c>
      <c r="E1512" s="1" t="s">
        <v>11</v>
      </c>
      <c r="F1512" s="1" t="s">
        <v>12</v>
      </c>
      <c r="G1512" s="4" t="b">
        <f t="shared" si="2"/>
        <v>1</v>
      </c>
      <c r="H1512" s="1" t="str">
        <f t="shared" si="3"/>
        <v>Currently Unavailable</v>
      </c>
      <c r="I1512" s="1" t="str">
        <f t="shared" si="4"/>
        <v>No Badges</v>
      </c>
      <c r="J1512" s="3">
        <f t="shared" si="5"/>
        <v>0</v>
      </c>
    </row>
    <row r="1513">
      <c r="A1513" s="1" t="s">
        <v>1280</v>
      </c>
      <c r="B1513" s="3" t="str">
        <f t="shared" si="1"/>
        <v>Unavailable</v>
      </c>
      <c r="C1513" s="3">
        <v>825.0</v>
      </c>
      <c r="D1513" s="3">
        <f>IFERROR(__xludf.DUMMYFUNCTION("IFERROR(
IF(REGEXMATCH(LOWER(O1513),""k""),
VALUE(REGEXEXTRACT(O1513,""[0-9]+""))*1000,
VALUE(REGEXEXTRACT(O1513,""[0-9]+""))
),
0
)"),0.0)</f>
        <v>0</v>
      </c>
      <c r="E1513" s="1" t="s">
        <v>11</v>
      </c>
      <c r="F1513" s="1" t="s">
        <v>20</v>
      </c>
      <c r="G1513" s="4" t="b">
        <f t="shared" si="2"/>
        <v>1</v>
      </c>
      <c r="H1513" s="1" t="str">
        <f t="shared" si="3"/>
        <v>Currently Unavailable</v>
      </c>
      <c r="I1513" s="1" t="str">
        <f t="shared" si="4"/>
        <v>No Badges</v>
      </c>
      <c r="J1513" s="3">
        <f t="shared" si="5"/>
        <v>0</v>
      </c>
    </row>
    <row r="1514">
      <c r="A1514" s="1" t="s">
        <v>1281</v>
      </c>
      <c r="B1514" s="3" t="str">
        <f t="shared" si="1"/>
        <v>Unavailable</v>
      </c>
      <c r="C1514" s="5">
        <v>43940.0</v>
      </c>
      <c r="D1514" s="3">
        <f>IFERROR(__xludf.DUMMYFUNCTION("IFERROR(
IF(REGEXMATCH(LOWER(O1514),""k""),
VALUE(REGEXEXTRACT(O1514,""[0-9]+""))*1000,
VALUE(REGEXEXTRACT(O1514,""[0-9]+""))
),
0
)"),0.0)</f>
        <v>0</v>
      </c>
      <c r="E1514" s="1" t="s">
        <v>11</v>
      </c>
      <c r="F1514" s="1" t="s">
        <v>12</v>
      </c>
      <c r="G1514" s="4" t="b">
        <f t="shared" si="2"/>
        <v>1</v>
      </c>
      <c r="H1514" s="1" t="str">
        <f t="shared" si="3"/>
        <v>Currently Unavailable</v>
      </c>
      <c r="I1514" s="1" t="str">
        <f t="shared" si="4"/>
        <v>No Badges</v>
      </c>
      <c r="J1514" s="3">
        <f t="shared" si="5"/>
        <v>0</v>
      </c>
    </row>
    <row r="1515">
      <c r="A1515" s="1" t="s">
        <v>1282</v>
      </c>
      <c r="B1515" s="3" t="str">
        <f t="shared" si="1"/>
        <v>Unavailable</v>
      </c>
      <c r="C1515" s="3">
        <v>600.0</v>
      </c>
      <c r="D1515" s="3">
        <f>IFERROR(__xludf.DUMMYFUNCTION("IFERROR(
IF(REGEXMATCH(LOWER(O1515),""k""),
VALUE(REGEXEXTRACT(O1515,""[0-9]+""))*1000,
VALUE(REGEXEXTRACT(O1515,""[0-9]+""))
),
0
)"),0.0)</f>
        <v>0</v>
      </c>
      <c r="E1515" s="1" t="s">
        <v>11</v>
      </c>
      <c r="F1515" s="1" t="s">
        <v>20</v>
      </c>
      <c r="G1515" s="4" t="b">
        <f t="shared" si="2"/>
        <v>1</v>
      </c>
      <c r="H1515" s="1" t="str">
        <f t="shared" si="3"/>
        <v>Currently Unavailable</v>
      </c>
      <c r="I1515" s="1" t="str">
        <f t="shared" si="4"/>
        <v>No Badges</v>
      </c>
      <c r="J1515" s="3">
        <f t="shared" si="5"/>
        <v>0</v>
      </c>
    </row>
    <row r="1516">
      <c r="A1516" s="1" t="s">
        <v>1283</v>
      </c>
      <c r="B1516" s="3" t="str">
        <f t="shared" si="1"/>
        <v>Unavailable</v>
      </c>
      <c r="C1516" s="5">
        <v>1850.0</v>
      </c>
      <c r="D1516" s="3">
        <f>IFERROR(__xludf.DUMMYFUNCTION("IFERROR(
IF(REGEXMATCH(LOWER(O1516),""k""),
VALUE(REGEXEXTRACT(O1516,""[0-9]+""))*1000,
VALUE(REGEXEXTRACT(O1516,""[0-9]+""))
),
0
)"),0.0)</f>
        <v>0</v>
      </c>
      <c r="E1516" s="1" t="s">
        <v>11</v>
      </c>
      <c r="F1516" s="1" t="s">
        <v>20</v>
      </c>
      <c r="G1516" s="4" t="b">
        <f t="shared" si="2"/>
        <v>1</v>
      </c>
      <c r="H1516" s="1" t="str">
        <f t="shared" si="3"/>
        <v>Currently Unavailable</v>
      </c>
      <c r="I1516" s="1" t="str">
        <f t="shared" si="4"/>
        <v>No Badges</v>
      </c>
      <c r="J1516" s="3">
        <f t="shared" si="5"/>
        <v>0</v>
      </c>
    </row>
    <row r="1517">
      <c r="A1517" s="1" t="s">
        <v>69</v>
      </c>
      <c r="B1517" s="3" t="str">
        <f t="shared" si="1"/>
        <v>Unavailable</v>
      </c>
      <c r="C1517" s="3">
        <v>45.0</v>
      </c>
      <c r="D1517" s="3">
        <f>IFERROR(__xludf.DUMMYFUNCTION("IFERROR(
IF(REGEXMATCH(LOWER(O1517),""k""),
VALUE(REGEXEXTRACT(O1517,""[0-9]+""))*1000,
VALUE(REGEXEXTRACT(O1517,""[0-9]+""))
),
0
)"),0.0)</f>
        <v>0</v>
      </c>
      <c r="E1517" s="1" t="s">
        <v>11</v>
      </c>
      <c r="F1517" s="1" t="s">
        <v>12</v>
      </c>
      <c r="G1517" s="4" t="b">
        <f t="shared" si="2"/>
        <v>1</v>
      </c>
      <c r="H1517" s="1" t="str">
        <f t="shared" si="3"/>
        <v>Currently Unavailable</v>
      </c>
      <c r="I1517" s="1" t="str">
        <f t="shared" si="4"/>
        <v>No Badges</v>
      </c>
      <c r="J1517" s="3">
        <f t="shared" si="5"/>
        <v>0</v>
      </c>
    </row>
    <row r="1518">
      <c r="A1518" s="1" t="s">
        <v>67</v>
      </c>
      <c r="B1518" s="3" t="str">
        <f t="shared" si="1"/>
        <v>Unavailable</v>
      </c>
      <c r="C1518" s="3">
        <v>264.0</v>
      </c>
      <c r="D1518" s="3">
        <f>IFERROR(__xludf.DUMMYFUNCTION("IFERROR(
IF(REGEXMATCH(LOWER(O1518),""k""),
VALUE(REGEXEXTRACT(O1518,""[0-9]+""))*1000,
VALUE(REGEXEXTRACT(O1518,""[0-9]+""))
),
0
)"),0.0)</f>
        <v>0</v>
      </c>
      <c r="E1518" s="1" t="s">
        <v>11</v>
      </c>
      <c r="F1518" s="1" t="s">
        <v>12</v>
      </c>
      <c r="G1518" s="4" t="b">
        <f t="shared" si="2"/>
        <v>1</v>
      </c>
      <c r="H1518" s="1" t="str">
        <f t="shared" si="3"/>
        <v>Currently Unavailable</v>
      </c>
      <c r="I1518" s="1" t="str">
        <f t="shared" si="4"/>
        <v>No Badges</v>
      </c>
      <c r="J1518" s="3">
        <f t="shared" si="5"/>
        <v>0</v>
      </c>
    </row>
    <row r="1519">
      <c r="A1519" s="1" t="s">
        <v>1284</v>
      </c>
      <c r="B1519" s="3" t="str">
        <f t="shared" si="1"/>
        <v>Unavailable</v>
      </c>
      <c r="C1519" s="3">
        <v>172.0</v>
      </c>
      <c r="D1519" s="3">
        <f>IFERROR(__xludf.DUMMYFUNCTION("IFERROR(
IF(REGEXMATCH(LOWER(O1519),""k""),
VALUE(REGEXEXTRACT(O1519,""[0-9]+""))*1000,
VALUE(REGEXEXTRACT(O1519,""[0-9]+""))
),
0
)"),0.0)</f>
        <v>0</v>
      </c>
      <c r="E1519" s="1" t="s">
        <v>11</v>
      </c>
      <c r="F1519" s="1" t="s">
        <v>12</v>
      </c>
      <c r="G1519" s="4" t="b">
        <f t="shared" si="2"/>
        <v>1</v>
      </c>
      <c r="H1519" s="1" t="str">
        <f t="shared" si="3"/>
        <v>Currently Unavailable</v>
      </c>
      <c r="I1519" s="1" t="str">
        <f t="shared" si="4"/>
        <v>No Badges</v>
      </c>
      <c r="J1519" s="3">
        <f t="shared" si="5"/>
        <v>0</v>
      </c>
    </row>
    <row r="1520">
      <c r="A1520" s="1" t="s">
        <v>1285</v>
      </c>
      <c r="B1520" s="3" t="str">
        <f t="shared" si="1"/>
        <v>Unavailable</v>
      </c>
      <c r="C1520" s="5">
        <v>3520.0</v>
      </c>
      <c r="D1520" s="3">
        <f>IFERROR(__xludf.DUMMYFUNCTION("IFERROR(
IF(REGEXMATCH(LOWER(O1520),""k""),
VALUE(REGEXEXTRACT(O1520,""[0-9]+""))*1000,
VALUE(REGEXEXTRACT(O1520,""[0-9]+""))
),
0
)"),0.0)</f>
        <v>0</v>
      </c>
      <c r="E1520" s="1" t="s">
        <v>11</v>
      </c>
      <c r="F1520" s="1" t="s">
        <v>12</v>
      </c>
      <c r="G1520" s="4" t="b">
        <f t="shared" si="2"/>
        <v>1</v>
      </c>
      <c r="H1520" s="1" t="str">
        <f t="shared" si="3"/>
        <v>Currently Unavailable</v>
      </c>
      <c r="I1520" s="1" t="str">
        <f t="shared" si="4"/>
        <v>No Badges</v>
      </c>
      <c r="J1520" s="3">
        <f t="shared" si="5"/>
        <v>0</v>
      </c>
    </row>
    <row r="1521">
      <c r="A1521" s="1" t="s">
        <v>1285</v>
      </c>
      <c r="B1521" s="3" t="str">
        <f t="shared" si="1"/>
        <v>Unavailable</v>
      </c>
      <c r="C1521" s="5">
        <v>3520.0</v>
      </c>
      <c r="D1521" s="3">
        <f>IFERROR(__xludf.DUMMYFUNCTION("IFERROR(
IF(REGEXMATCH(LOWER(O1521),""k""),
VALUE(REGEXEXTRACT(O1521,""[0-9]+""))*1000,
VALUE(REGEXEXTRACT(O1521,""[0-9]+""))
),
0
)"),0.0)</f>
        <v>0</v>
      </c>
      <c r="E1521" s="1" t="s">
        <v>11</v>
      </c>
      <c r="F1521" s="1" t="s">
        <v>12</v>
      </c>
      <c r="G1521" s="4" t="b">
        <f t="shared" si="2"/>
        <v>1</v>
      </c>
      <c r="H1521" s="1" t="str">
        <f t="shared" si="3"/>
        <v>Currently Unavailable</v>
      </c>
      <c r="I1521" s="1" t="str">
        <f t="shared" si="4"/>
        <v>No Badges</v>
      </c>
      <c r="J1521" s="3">
        <f t="shared" si="5"/>
        <v>0</v>
      </c>
    </row>
    <row r="1522">
      <c r="A1522" s="1" t="s">
        <v>1286</v>
      </c>
      <c r="B1522" s="3" t="str">
        <f t="shared" si="1"/>
        <v>Unavailable</v>
      </c>
      <c r="C1522" s="5">
        <v>2045.0</v>
      </c>
      <c r="D1522" s="3">
        <f>IFERROR(__xludf.DUMMYFUNCTION("IFERROR(
IF(REGEXMATCH(LOWER(O1522),""k""),
VALUE(REGEXEXTRACT(O1522,""[0-9]+""))*1000,
VALUE(REGEXEXTRACT(O1522,""[0-9]+""))
),
0
)"),0.0)</f>
        <v>0</v>
      </c>
      <c r="E1522" s="1" t="s">
        <v>11</v>
      </c>
      <c r="F1522" s="1" t="s">
        <v>20</v>
      </c>
      <c r="G1522" s="4" t="b">
        <f t="shared" si="2"/>
        <v>1</v>
      </c>
      <c r="H1522" s="1" t="str">
        <f t="shared" si="3"/>
        <v>Currently Unavailable</v>
      </c>
      <c r="I1522" s="1" t="str">
        <f t="shared" si="4"/>
        <v>No Badges</v>
      </c>
      <c r="J1522" s="3">
        <f t="shared" si="5"/>
        <v>0</v>
      </c>
    </row>
    <row r="1523">
      <c r="A1523" s="1" t="s">
        <v>1287</v>
      </c>
      <c r="B1523" s="3" t="str">
        <f t="shared" si="1"/>
        <v>Unavailable</v>
      </c>
      <c r="C1523" s="3">
        <v>743.0</v>
      </c>
      <c r="D1523" s="3">
        <f>IFERROR(__xludf.DUMMYFUNCTION("IFERROR(
IF(REGEXMATCH(LOWER(O1523),""k""),
VALUE(REGEXEXTRACT(O1523,""[0-9]+""))*1000,
VALUE(REGEXEXTRACT(O1523,""[0-9]+""))
),
0
)"),0.0)</f>
        <v>0</v>
      </c>
      <c r="E1523" s="1" t="s">
        <v>11</v>
      </c>
      <c r="F1523" s="1" t="s">
        <v>20</v>
      </c>
      <c r="G1523" s="4" t="b">
        <f t="shared" si="2"/>
        <v>1</v>
      </c>
      <c r="H1523" s="1" t="str">
        <f t="shared" si="3"/>
        <v>Currently Unavailable</v>
      </c>
      <c r="I1523" s="1" t="str">
        <f t="shared" si="4"/>
        <v>No Badges</v>
      </c>
      <c r="J1523" s="3">
        <f t="shared" si="5"/>
        <v>0</v>
      </c>
    </row>
    <row r="1524">
      <c r="A1524" s="1" t="s">
        <v>1288</v>
      </c>
      <c r="B1524" s="3" t="str">
        <f t="shared" si="1"/>
        <v>Unavailable</v>
      </c>
      <c r="C1524" s="5">
        <v>4382.0</v>
      </c>
      <c r="D1524" s="3">
        <f>IFERROR(__xludf.DUMMYFUNCTION("IFERROR(
IF(REGEXMATCH(LOWER(O1524),""k""),
VALUE(REGEXEXTRACT(O1524,""[0-9]+""))*1000,
VALUE(REGEXEXTRACT(O1524,""[0-9]+""))
),
0
)"),0.0)</f>
        <v>0</v>
      </c>
      <c r="E1524" s="1" t="s">
        <v>11</v>
      </c>
      <c r="F1524" s="1" t="s">
        <v>20</v>
      </c>
      <c r="G1524" s="4" t="b">
        <f t="shared" si="2"/>
        <v>1</v>
      </c>
      <c r="H1524" s="1" t="str">
        <f t="shared" si="3"/>
        <v>Currently Unavailable</v>
      </c>
      <c r="I1524" s="1" t="str">
        <f t="shared" si="4"/>
        <v>No Badges</v>
      </c>
      <c r="J1524" s="3">
        <f t="shared" si="5"/>
        <v>0</v>
      </c>
    </row>
    <row r="1525">
      <c r="A1525" s="1" t="s">
        <v>1289</v>
      </c>
      <c r="B1525" s="3" t="str">
        <f t="shared" si="1"/>
        <v>Unavailable</v>
      </c>
      <c r="C1525" s="5">
        <v>2458.0</v>
      </c>
      <c r="D1525" s="3">
        <f>IFERROR(__xludf.DUMMYFUNCTION("IFERROR(
IF(REGEXMATCH(LOWER(O1525),""k""),
VALUE(REGEXEXTRACT(O1525,""[0-9]+""))*1000,
VALUE(REGEXEXTRACT(O1525,""[0-9]+""))
),
0
)"),0.0)</f>
        <v>0</v>
      </c>
      <c r="E1525" s="1" t="s">
        <v>11</v>
      </c>
      <c r="F1525" s="1" t="s">
        <v>12</v>
      </c>
      <c r="G1525" s="4" t="b">
        <f t="shared" si="2"/>
        <v>1</v>
      </c>
      <c r="H1525" s="1" t="str">
        <f t="shared" si="3"/>
        <v>Currently Unavailable</v>
      </c>
      <c r="I1525" s="1" t="str">
        <f t="shared" si="4"/>
        <v>No Badges</v>
      </c>
      <c r="J1525" s="3">
        <f t="shared" si="5"/>
        <v>0</v>
      </c>
    </row>
    <row r="1526">
      <c r="A1526" s="1" t="s">
        <v>1290</v>
      </c>
      <c r="B1526" s="3" t="str">
        <f t="shared" si="1"/>
        <v>Unavailable</v>
      </c>
      <c r="C1526" s="5">
        <v>3390.0</v>
      </c>
      <c r="D1526" s="3">
        <f>IFERROR(__xludf.DUMMYFUNCTION("IFERROR(
IF(REGEXMATCH(LOWER(O1526),""k""),
VALUE(REGEXEXTRACT(O1526,""[0-9]+""))*1000,
VALUE(REGEXEXTRACT(O1526,""[0-9]+""))
),
0
)"),0.0)</f>
        <v>0</v>
      </c>
      <c r="E1526" s="1" t="s">
        <v>11</v>
      </c>
      <c r="F1526" s="1" t="s">
        <v>12</v>
      </c>
      <c r="G1526" s="4" t="b">
        <f t="shared" si="2"/>
        <v>1</v>
      </c>
      <c r="H1526" s="1" t="str">
        <f t="shared" si="3"/>
        <v>Currently Unavailable</v>
      </c>
      <c r="I1526" s="1" t="str">
        <f t="shared" si="4"/>
        <v>No Badges</v>
      </c>
      <c r="J1526" s="3">
        <f t="shared" si="5"/>
        <v>0</v>
      </c>
    </row>
    <row r="1527">
      <c r="A1527" s="1" t="s">
        <v>1291</v>
      </c>
      <c r="B1527" s="3" t="str">
        <f t="shared" si="1"/>
        <v>Unavailable</v>
      </c>
      <c r="C1527" s="3">
        <v>293.0</v>
      </c>
      <c r="D1527" s="3">
        <f>IFERROR(__xludf.DUMMYFUNCTION("IFERROR(
IF(REGEXMATCH(LOWER(O1527),""k""),
VALUE(REGEXEXTRACT(O1527,""[0-9]+""))*1000,
VALUE(REGEXEXTRACT(O1527,""[0-9]+""))
),
0
)"),0.0)</f>
        <v>0</v>
      </c>
      <c r="E1527" s="1" t="s">
        <v>11</v>
      </c>
      <c r="F1527" s="1" t="s">
        <v>20</v>
      </c>
      <c r="G1527" s="4" t="b">
        <f t="shared" si="2"/>
        <v>1</v>
      </c>
      <c r="H1527" s="1" t="str">
        <f t="shared" si="3"/>
        <v>Currently Unavailable</v>
      </c>
      <c r="I1527" s="1" t="str">
        <f t="shared" si="4"/>
        <v>No Badges</v>
      </c>
      <c r="J1527" s="3">
        <f t="shared" si="5"/>
        <v>0</v>
      </c>
    </row>
    <row r="1528">
      <c r="A1528" s="1" t="s">
        <v>1292</v>
      </c>
      <c r="B1528" s="3" t="str">
        <f t="shared" si="1"/>
        <v>Unavailable</v>
      </c>
      <c r="C1528" s="5">
        <v>3252.0</v>
      </c>
      <c r="D1528" s="3">
        <f>IFERROR(__xludf.DUMMYFUNCTION("IFERROR(
IF(REGEXMATCH(LOWER(O1528),""k""),
VALUE(REGEXEXTRACT(O1528,""[0-9]+""))*1000,
VALUE(REGEXEXTRACT(O1528,""[0-9]+""))
),
0
)"),0.0)</f>
        <v>0</v>
      </c>
      <c r="E1528" s="1" t="s">
        <v>11</v>
      </c>
      <c r="F1528" s="1" t="s">
        <v>20</v>
      </c>
      <c r="G1528" s="4" t="b">
        <f t="shared" si="2"/>
        <v>1</v>
      </c>
      <c r="H1528" s="1" t="str">
        <f t="shared" si="3"/>
        <v>Currently Unavailable</v>
      </c>
      <c r="I1528" s="1" t="str">
        <f t="shared" si="4"/>
        <v>No Badges</v>
      </c>
      <c r="J1528" s="3">
        <f t="shared" si="5"/>
        <v>0</v>
      </c>
    </row>
    <row r="1529">
      <c r="A1529" s="1" t="s">
        <v>1285</v>
      </c>
      <c r="B1529" s="3" t="str">
        <f t="shared" si="1"/>
        <v>Unavailable</v>
      </c>
      <c r="C1529" s="5">
        <v>3520.0</v>
      </c>
      <c r="D1529" s="3">
        <f>IFERROR(__xludf.DUMMYFUNCTION("IFERROR(
IF(REGEXMATCH(LOWER(O1529),""k""),
VALUE(REGEXEXTRACT(O1529,""[0-9]+""))*1000,
VALUE(REGEXEXTRACT(O1529,""[0-9]+""))
),
0
)"),0.0)</f>
        <v>0</v>
      </c>
      <c r="E1529" s="1" t="s">
        <v>11</v>
      </c>
      <c r="F1529" s="1" t="s">
        <v>12</v>
      </c>
      <c r="G1529" s="4" t="b">
        <f t="shared" si="2"/>
        <v>1</v>
      </c>
      <c r="H1529" s="1" t="str">
        <f t="shared" si="3"/>
        <v>Currently Unavailable</v>
      </c>
      <c r="I1529" s="1" t="str">
        <f t="shared" si="4"/>
        <v>No Badges</v>
      </c>
      <c r="J1529" s="3">
        <f t="shared" si="5"/>
        <v>0</v>
      </c>
    </row>
    <row r="1530">
      <c r="A1530" s="1" t="s">
        <v>1284</v>
      </c>
      <c r="B1530" s="3" t="str">
        <f t="shared" si="1"/>
        <v>Unavailable</v>
      </c>
      <c r="C1530" s="3">
        <v>172.0</v>
      </c>
      <c r="D1530" s="3">
        <f>IFERROR(__xludf.DUMMYFUNCTION("IFERROR(
IF(REGEXMATCH(LOWER(O1530),""k""),
VALUE(REGEXEXTRACT(O1530,""[0-9]+""))*1000,
VALUE(REGEXEXTRACT(O1530,""[0-9]+""))
),
0
)"),0.0)</f>
        <v>0</v>
      </c>
      <c r="E1530" s="1" t="s">
        <v>11</v>
      </c>
      <c r="F1530" s="1" t="s">
        <v>12</v>
      </c>
      <c r="G1530" s="4" t="b">
        <f t="shared" si="2"/>
        <v>1</v>
      </c>
      <c r="H1530" s="1" t="str">
        <f t="shared" si="3"/>
        <v>Currently Unavailable</v>
      </c>
      <c r="I1530" s="1" t="str">
        <f t="shared" si="4"/>
        <v>No Badges</v>
      </c>
      <c r="J1530" s="3">
        <f t="shared" si="5"/>
        <v>0</v>
      </c>
    </row>
    <row r="1531">
      <c r="A1531" s="1" t="s">
        <v>1293</v>
      </c>
      <c r="B1531" s="3" t="str">
        <f t="shared" si="1"/>
        <v>Unavailable</v>
      </c>
      <c r="C1531" s="5">
        <v>3673.0</v>
      </c>
      <c r="D1531" s="3">
        <f>IFERROR(__xludf.DUMMYFUNCTION("IFERROR(
IF(REGEXMATCH(LOWER(O1531),""k""),
VALUE(REGEXEXTRACT(O1531,""[0-9]+""))*1000,
VALUE(REGEXEXTRACT(O1531,""[0-9]+""))
),
0
)"),0.0)</f>
        <v>0</v>
      </c>
      <c r="E1531" s="1" t="s">
        <v>11</v>
      </c>
      <c r="F1531" s="1" t="s">
        <v>20</v>
      </c>
      <c r="G1531" s="4" t="b">
        <f t="shared" si="2"/>
        <v>1</v>
      </c>
      <c r="H1531" s="1" t="str">
        <f t="shared" si="3"/>
        <v>Currently Unavailable</v>
      </c>
      <c r="I1531" s="1" t="str">
        <f t="shared" si="4"/>
        <v>No Badges</v>
      </c>
      <c r="J1531" s="3">
        <f t="shared" si="5"/>
        <v>0</v>
      </c>
    </row>
    <row r="1532">
      <c r="A1532" s="1" t="s">
        <v>701</v>
      </c>
      <c r="B1532" s="3" t="str">
        <f t="shared" si="1"/>
        <v>Unavailable</v>
      </c>
      <c r="C1532" s="3">
        <v>8.0</v>
      </c>
      <c r="D1532" s="3">
        <f>IFERROR(__xludf.DUMMYFUNCTION("IFERROR(
IF(REGEXMATCH(LOWER(O1532),""k""),
VALUE(REGEXEXTRACT(O1532,""[0-9]+""))*1000,
VALUE(REGEXEXTRACT(O1532,""[0-9]+""))
),
0
)"),0.0)</f>
        <v>0</v>
      </c>
      <c r="E1532" s="1" t="s">
        <v>11</v>
      </c>
      <c r="F1532" s="1" t="s">
        <v>12</v>
      </c>
      <c r="G1532" s="4" t="b">
        <f t="shared" si="2"/>
        <v>1</v>
      </c>
      <c r="H1532" s="1" t="str">
        <f t="shared" si="3"/>
        <v>Currently Unavailable</v>
      </c>
      <c r="I1532" s="1" t="str">
        <f t="shared" si="4"/>
        <v>No Badges</v>
      </c>
      <c r="J1532" s="3">
        <f t="shared" si="5"/>
        <v>0</v>
      </c>
    </row>
    <row r="1533">
      <c r="A1533" s="1" t="s">
        <v>88</v>
      </c>
      <c r="B1533" s="3" t="str">
        <f t="shared" si="1"/>
        <v>Unavailable</v>
      </c>
      <c r="C1533" s="3">
        <v>5.0</v>
      </c>
      <c r="D1533" s="3">
        <f>IFERROR(__xludf.DUMMYFUNCTION("IFERROR(
IF(REGEXMATCH(LOWER(O1533),""k""),
VALUE(REGEXEXTRACT(O1533,""[0-9]+""))*1000,
VALUE(REGEXEXTRACT(O1533,""[0-9]+""))
),
0
)"),0.0)</f>
        <v>0</v>
      </c>
      <c r="E1533" s="1" t="s">
        <v>11</v>
      </c>
      <c r="F1533" s="1" t="s">
        <v>12</v>
      </c>
      <c r="G1533" s="4" t="b">
        <f t="shared" si="2"/>
        <v>1</v>
      </c>
      <c r="H1533" s="1" t="str">
        <f t="shared" si="3"/>
        <v>Currently Unavailable</v>
      </c>
      <c r="I1533" s="1" t="str">
        <f t="shared" si="4"/>
        <v>No Badges</v>
      </c>
      <c r="J1533" s="3">
        <f t="shared" si="5"/>
        <v>0</v>
      </c>
    </row>
    <row r="1534">
      <c r="A1534" s="1" t="s">
        <v>40</v>
      </c>
      <c r="B1534" s="3" t="str">
        <f t="shared" si="1"/>
        <v>Unavailable</v>
      </c>
      <c r="C1534" s="3">
        <v>171.0</v>
      </c>
      <c r="D1534" s="3">
        <f>IFERROR(__xludf.DUMMYFUNCTION("IFERROR(
IF(REGEXMATCH(LOWER(O1534),""k""),
VALUE(REGEXEXTRACT(O1534,""[0-9]+""))*1000,
VALUE(REGEXEXTRACT(O1534,""[0-9]+""))
),
0
)"),0.0)</f>
        <v>0</v>
      </c>
      <c r="E1534" s="1" t="s">
        <v>11</v>
      </c>
      <c r="F1534" s="1" t="s">
        <v>12</v>
      </c>
      <c r="G1534" s="4" t="b">
        <f t="shared" si="2"/>
        <v>1</v>
      </c>
      <c r="H1534" s="1" t="str">
        <f t="shared" si="3"/>
        <v>Currently Unavailable</v>
      </c>
      <c r="I1534" s="1" t="str">
        <f t="shared" si="4"/>
        <v>No Badges</v>
      </c>
      <c r="J1534" s="3">
        <f t="shared" si="5"/>
        <v>0</v>
      </c>
    </row>
    <row r="1535">
      <c r="A1535" s="1" t="s">
        <v>1294</v>
      </c>
      <c r="B1535" s="3" t="str">
        <f t="shared" si="1"/>
        <v>Unavailable</v>
      </c>
      <c r="C1535" s="3">
        <v>598.0</v>
      </c>
      <c r="D1535" s="3">
        <f>IFERROR(__xludf.DUMMYFUNCTION("IFERROR(
IF(REGEXMATCH(LOWER(O1535),""k""),
VALUE(REGEXEXTRACT(O1535,""[0-9]+""))*1000,
VALUE(REGEXEXTRACT(O1535,""[0-9]+""))
),
0
)"),0.0)</f>
        <v>0</v>
      </c>
      <c r="E1535" s="1" t="s">
        <v>11</v>
      </c>
      <c r="F1535" s="1" t="s">
        <v>20</v>
      </c>
      <c r="G1535" s="4" t="b">
        <f t="shared" si="2"/>
        <v>1</v>
      </c>
      <c r="H1535" s="1" t="str">
        <f t="shared" si="3"/>
        <v>Currently Unavailable</v>
      </c>
      <c r="I1535" s="1" t="str">
        <f t="shared" si="4"/>
        <v>No Badges</v>
      </c>
      <c r="J1535" s="3">
        <f t="shared" si="5"/>
        <v>0</v>
      </c>
    </row>
    <row r="1536">
      <c r="A1536" s="1" t="s">
        <v>1295</v>
      </c>
      <c r="B1536" s="3" t="str">
        <f t="shared" si="1"/>
        <v>Unavailable</v>
      </c>
      <c r="C1536" s="5">
        <v>1046.0</v>
      </c>
      <c r="D1536" s="3">
        <f>IFERROR(__xludf.DUMMYFUNCTION("IFERROR(
IF(REGEXMATCH(LOWER(O1536),""k""),
VALUE(REGEXEXTRACT(O1536,""[0-9]+""))*1000,
VALUE(REGEXEXTRACT(O1536,""[0-9]+""))
),
0
)"),0.0)</f>
        <v>0</v>
      </c>
      <c r="E1536" s="1" t="s">
        <v>11</v>
      </c>
      <c r="F1536" s="1" t="s">
        <v>20</v>
      </c>
      <c r="G1536" s="4" t="b">
        <f t="shared" si="2"/>
        <v>1</v>
      </c>
      <c r="H1536" s="1" t="str">
        <f t="shared" si="3"/>
        <v>Currently Unavailable</v>
      </c>
      <c r="I1536" s="1" t="str">
        <f t="shared" si="4"/>
        <v>No Badges</v>
      </c>
      <c r="J1536" s="3">
        <f t="shared" si="5"/>
        <v>0</v>
      </c>
    </row>
    <row r="1537">
      <c r="A1537" s="1" t="s">
        <v>69</v>
      </c>
      <c r="B1537" s="3" t="str">
        <f t="shared" si="1"/>
        <v>Unavailable</v>
      </c>
      <c r="C1537" s="3">
        <v>45.0</v>
      </c>
      <c r="D1537" s="3">
        <f>IFERROR(__xludf.DUMMYFUNCTION("IFERROR(
IF(REGEXMATCH(LOWER(O1537),""k""),
VALUE(REGEXEXTRACT(O1537,""[0-9]+""))*1000,
VALUE(REGEXEXTRACT(O1537,""[0-9]+""))
),
0
)"),0.0)</f>
        <v>0</v>
      </c>
      <c r="E1537" s="1" t="s">
        <v>11</v>
      </c>
      <c r="F1537" s="1" t="s">
        <v>12</v>
      </c>
      <c r="G1537" s="4" t="b">
        <f t="shared" si="2"/>
        <v>1</v>
      </c>
      <c r="H1537" s="1" t="str">
        <f t="shared" si="3"/>
        <v>Currently Unavailable</v>
      </c>
      <c r="I1537" s="1" t="str">
        <f t="shared" si="4"/>
        <v>No Badges</v>
      </c>
      <c r="J1537" s="3">
        <f t="shared" si="5"/>
        <v>0</v>
      </c>
    </row>
    <row r="1538">
      <c r="A1538" s="1" t="s">
        <v>1296</v>
      </c>
      <c r="B1538" s="3" t="str">
        <f t="shared" si="1"/>
        <v>Unavailable</v>
      </c>
      <c r="C1538" s="5">
        <v>1204.0</v>
      </c>
      <c r="D1538" s="3">
        <f>IFERROR(__xludf.DUMMYFUNCTION("IFERROR(
IF(REGEXMATCH(LOWER(O1538),""k""),
VALUE(REGEXEXTRACT(O1538,""[0-9]+""))*1000,
VALUE(REGEXEXTRACT(O1538,""[0-9]+""))
),
0
)"),0.0)</f>
        <v>0</v>
      </c>
      <c r="E1538" s="1" t="s">
        <v>11</v>
      </c>
      <c r="F1538" s="1" t="s">
        <v>20</v>
      </c>
      <c r="G1538" s="4" t="b">
        <f t="shared" si="2"/>
        <v>1</v>
      </c>
      <c r="H1538" s="1" t="str">
        <f t="shared" si="3"/>
        <v>Currently Unavailable</v>
      </c>
      <c r="I1538" s="1" t="str">
        <f t="shared" si="4"/>
        <v>No Badges</v>
      </c>
      <c r="J1538" s="3">
        <f t="shared" si="5"/>
        <v>0</v>
      </c>
    </row>
    <row r="1539">
      <c r="A1539" s="1" t="s">
        <v>1297</v>
      </c>
      <c r="B1539" s="3" t="str">
        <f t="shared" si="1"/>
        <v>Unavailable</v>
      </c>
      <c r="C1539" s="5">
        <v>5449.0</v>
      </c>
      <c r="D1539" s="3">
        <f>IFERROR(__xludf.DUMMYFUNCTION("IFERROR(
IF(REGEXMATCH(LOWER(O1539),""k""),
VALUE(REGEXEXTRACT(O1539,""[0-9]+""))*1000,
VALUE(REGEXEXTRACT(O1539,""[0-9]+""))
),
0
)"),0.0)</f>
        <v>0</v>
      </c>
      <c r="E1539" s="1" t="s">
        <v>11</v>
      </c>
      <c r="F1539" s="1" t="s">
        <v>20</v>
      </c>
      <c r="G1539" s="4" t="b">
        <f t="shared" si="2"/>
        <v>1</v>
      </c>
      <c r="H1539" s="1" t="str">
        <f t="shared" si="3"/>
        <v>Currently Unavailable</v>
      </c>
      <c r="I1539" s="1" t="str">
        <f t="shared" si="4"/>
        <v>No Badges</v>
      </c>
      <c r="J1539" s="3">
        <f t="shared" si="5"/>
        <v>0</v>
      </c>
    </row>
    <row r="1540">
      <c r="A1540" s="1" t="s">
        <v>1298</v>
      </c>
      <c r="B1540" s="3" t="str">
        <f t="shared" si="1"/>
        <v>Unavailable</v>
      </c>
      <c r="C1540" s="5">
        <v>1776.0</v>
      </c>
      <c r="D1540" s="3">
        <f>IFERROR(__xludf.DUMMYFUNCTION("IFERROR(
IF(REGEXMATCH(LOWER(O1540),""k""),
VALUE(REGEXEXTRACT(O1540,""[0-9]+""))*1000,
VALUE(REGEXEXTRACT(O1540,""[0-9]+""))
),
0
)"),0.0)</f>
        <v>0</v>
      </c>
      <c r="E1540" s="1" t="s">
        <v>11</v>
      </c>
      <c r="F1540" s="1" t="s">
        <v>20</v>
      </c>
      <c r="G1540" s="4" t="b">
        <f t="shared" si="2"/>
        <v>1</v>
      </c>
      <c r="H1540" s="1" t="str">
        <f t="shared" si="3"/>
        <v>Currently Unavailable</v>
      </c>
      <c r="I1540" s="1" t="str">
        <f t="shared" si="4"/>
        <v>No Badges</v>
      </c>
      <c r="J1540" s="3">
        <f t="shared" si="5"/>
        <v>0</v>
      </c>
    </row>
    <row r="1541">
      <c r="A1541" s="1" t="s">
        <v>1299</v>
      </c>
      <c r="B1541" s="3" t="str">
        <f t="shared" si="1"/>
        <v>Unavailable</v>
      </c>
      <c r="C1541" s="5">
        <v>1045.0</v>
      </c>
      <c r="D1541" s="3">
        <f>IFERROR(__xludf.DUMMYFUNCTION("IFERROR(
IF(REGEXMATCH(LOWER(O1541),""k""),
VALUE(REGEXEXTRACT(O1541,""[0-9]+""))*1000,
VALUE(REGEXEXTRACT(O1541,""[0-9]+""))
),
0
)"),0.0)</f>
        <v>0</v>
      </c>
      <c r="E1541" s="1" t="s">
        <v>158</v>
      </c>
      <c r="F1541" s="1" t="s">
        <v>20</v>
      </c>
      <c r="G1541" s="4" t="b">
        <f t="shared" si="2"/>
        <v>1</v>
      </c>
      <c r="H1541" s="1" t="str">
        <f t="shared" si="3"/>
        <v>Currently Unavailable</v>
      </c>
      <c r="I1541" s="1" t="str">
        <f t="shared" si="4"/>
        <v>No Badges</v>
      </c>
      <c r="J1541" s="3">
        <f t="shared" si="5"/>
        <v>0</v>
      </c>
    </row>
    <row r="1542">
      <c r="A1542" s="1" t="s">
        <v>1300</v>
      </c>
      <c r="B1542" s="3" t="str">
        <f t="shared" si="1"/>
        <v>Unavailable</v>
      </c>
      <c r="C1542" s="5">
        <v>4160.0</v>
      </c>
      <c r="D1542" s="3">
        <f>IFERROR(__xludf.DUMMYFUNCTION("IFERROR(
IF(REGEXMATCH(LOWER(O1542),""k""),
VALUE(REGEXEXTRACT(O1542,""[0-9]+""))*1000,
VALUE(REGEXEXTRACT(O1542,""[0-9]+""))
),
0
)"),0.0)</f>
        <v>0</v>
      </c>
      <c r="E1542" s="1" t="s">
        <v>11</v>
      </c>
      <c r="F1542" s="1" t="s">
        <v>20</v>
      </c>
      <c r="G1542" s="4" t="b">
        <f t="shared" si="2"/>
        <v>1</v>
      </c>
      <c r="H1542" s="1" t="str">
        <f t="shared" si="3"/>
        <v>Currently Unavailable</v>
      </c>
      <c r="I1542" s="1" t="str">
        <f t="shared" si="4"/>
        <v>No Badges</v>
      </c>
      <c r="J1542" s="3">
        <f t="shared" si="5"/>
        <v>0</v>
      </c>
    </row>
    <row r="1543">
      <c r="A1543" s="1" t="s">
        <v>1301</v>
      </c>
      <c r="B1543" s="3" t="str">
        <f t="shared" si="1"/>
        <v>Unavailable</v>
      </c>
      <c r="C1543" s="5">
        <v>33024.0</v>
      </c>
      <c r="D1543" s="3">
        <f>IFERROR(__xludf.DUMMYFUNCTION("IFERROR(
IF(REGEXMATCH(LOWER(O1543),""k""),
VALUE(REGEXEXTRACT(O1543,""[0-9]+""))*1000,
VALUE(REGEXEXTRACT(O1543,""[0-9]+""))
),
0
)"),0.0)</f>
        <v>0</v>
      </c>
      <c r="E1543" s="1" t="s">
        <v>11</v>
      </c>
      <c r="F1543" s="1" t="s">
        <v>20</v>
      </c>
      <c r="G1543" s="4" t="b">
        <f t="shared" si="2"/>
        <v>1</v>
      </c>
      <c r="H1543" s="1" t="str">
        <f t="shared" si="3"/>
        <v>Currently Unavailable</v>
      </c>
      <c r="I1543" s="1" t="str">
        <f t="shared" si="4"/>
        <v>No Badges</v>
      </c>
      <c r="J1543" s="3">
        <f t="shared" si="5"/>
        <v>0</v>
      </c>
    </row>
    <row r="1544">
      <c r="A1544" s="1" t="s">
        <v>1284</v>
      </c>
      <c r="B1544" s="3" t="str">
        <f t="shared" si="1"/>
        <v>Unavailable</v>
      </c>
      <c r="C1544" s="3">
        <v>172.0</v>
      </c>
      <c r="D1544" s="3">
        <f>IFERROR(__xludf.DUMMYFUNCTION("IFERROR(
IF(REGEXMATCH(LOWER(O1544),""k""),
VALUE(REGEXEXTRACT(O1544,""[0-9]+""))*1000,
VALUE(REGEXEXTRACT(O1544,""[0-9]+""))
),
0
)"),0.0)</f>
        <v>0</v>
      </c>
      <c r="E1544" s="1" t="s">
        <v>11</v>
      </c>
      <c r="F1544" s="1" t="s">
        <v>12</v>
      </c>
      <c r="G1544" s="4" t="b">
        <f t="shared" si="2"/>
        <v>1</v>
      </c>
      <c r="H1544" s="1" t="str">
        <f t="shared" si="3"/>
        <v>Currently Unavailable</v>
      </c>
      <c r="I1544" s="1" t="str">
        <f t="shared" si="4"/>
        <v>No Badges</v>
      </c>
      <c r="J1544" s="3">
        <f t="shared" si="5"/>
        <v>0</v>
      </c>
    </row>
    <row r="1545">
      <c r="A1545" s="1" t="s">
        <v>1302</v>
      </c>
      <c r="B1545" s="3" t="str">
        <f t="shared" si="1"/>
        <v>Unavailable</v>
      </c>
      <c r="C1545" s="5">
        <v>5015.0</v>
      </c>
      <c r="D1545" s="3">
        <f>IFERROR(__xludf.DUMMYFUNCTION("IFERROR(
IF(REGEXMATCH(LOWER(O1545),""k""),
VALUE(REGEXEXTRACT(O1545,""[0-9]+""))*1000,
VALUE(REGEXEXTRACT(O1545,""[0-9]+""))
),
0
)"),0.0)</f>
        <v>0</v>
      </c>
      <c r="E1545" s="1" t="s">
        <v>11</v>
      </c>
      <c r="F1545" s="1" t="s">
        <v>20</v>
      </c>
      <c r="G1545" s="4" t="b">
        <f t="shared" si="2"/>
        <v>1</v>
      </c>
      <c r="H1545" s="1" t="str">
        <f t="shared" si="3"/>
        <v>Currently Unavailable</v>
      </c>
      <c r="I1545" s="1" t="str">
        <f t="shared" si="4"/>
        <v>No Badges</v>
      </c>
      <c r="J1545" s="3">
        <f t="shared" si="5"/>
        <v>0</v>
      </c>
    </row>
    <row r="1546">
      <c r="A1546" s="1" t="s">
        <v>1303</v>
      </c>
      <c r="B1546" s="3" t="str">
        <f t="shared" si="1"/>
        <v>Unavailable</v>
      </c>
      <c r="C1546" s="3">
        <v>581.0</v>
      </c>
      <c r="D1546" s="3">
        <f>IFERROR(__xludf.DUMMYFUNCTION("IFERROR(
IF(REGEXMATCH(LOWER(O1546),""k""),
VALUE(REGEXEXTRACT(O1546,""[0-9]+""))*1000,
VALUE(REGEXEXTRACT(O1546,""[0-9]+""))
),
0
)"),0.0)</f>
        <v>0</v>
      </c>
      <c r="E1546" s="1" t="s">
        <v>11</v>
      </c>
      <c r="F1546" s="1" t="s">
        <v>20</v>
      </c>
      <c r="G1546" s="4" t="b">
        <f t="shared" si="2"/>
        <v>1</v>
      </c>
      <c r="H1546" s="1" t="str">
        <f t="shared" si="3"/>
        <v>Currently Unavailable</v>
      </c>
      <c r="I1546" s="1" t="str">
        <f t="shared" si="4"/>
        <v>No Badges</v>
      </c>
      <c r="J1546" s="3">
        <f t="shared" si="5"/>
        <v>0</v>
      </c>
    </row>
    <row r="1547">
      <c r="A1547" s="1" t="s">
        <v>1304</v>
      </c>
      <c r="B1547" s="3" t="str">
        <f t="shared" si="1"/>
        <v>Unavailable</v>
      </c>
      <c r="C1547" s="5">
        <v>1753.0</v>
      </c>
      <c r="D1547" s="3">
        <f>IFERROR(__xludf.DUMMYFUNCTION("IFERROR(
IF(REGEXMATCH(LOWER(O1547),""k""),
VALUE(REGEXEXTRACT(O1547,""[0-9]+""))*1000,
VALUE(REGEXEXTRACT(O1547,""[0-9]+""))
),
0
)"),0.0)</f>
        <v>0</v>
      </c>
      <c r="E1547" s="1" t="s">
        <v>11</v>
      </c>
      <c r="F1547" s="1" t="s">
        <v>12</v>
      </c>
      <c r="G1547" s="4" t="b">
        <f t="shared" si="2"/>
        <v>1</v>
      </c>
      <c r="H1547" s="1" t="str">
        <f t="shared" si="3"/>
        <v>Currently Unavailable</v>
      </c>
      <c r="I1547" s="1" t="str">
        <f t="shared" si="4"/>
        <v>No Badges</v>
      </c>
      <c r="J1547" s="3">
        <f t="shared" si="5"/>
        <v>0</v>
      </c>
    </row>
    <row r="1548">
      <c r="A1548" s="1" t="s">
        <v>1305</v>
      </c>
      <c r="B1548" s="3" t="str">
        <f t="shared" si="1"/>
        <v>Unavailable</v>
      </c>
      <c r="C1548" s="3">
        <v>765.0</v>
      </c>
      <c r="D1548" s="3">
        <f>IFERROR(__xludf.DUMMYFUNCTION("IFERROR(
IF(REGEXMATCH(LOWER(O1548),""k""),
VALUE(REGEXEXTRACT(O1548,""[0-9]+""))*1000,
VALUE(REGEXEXTRACT(O1548,""[0-9]+""))
),
0
)"),0.0)</f>
        <v>0</v>
      </c>
      <c r="E1548" s="1" t="s">
        <v>11</v>
      </c>
      <c r="F1548" s="1" t="s">
        <v>20</v>
      </c>
      <c r="G1548" s="4" t="b">
        <f t="shared" si="2"/>
        <v>1</v>
      </c>
      <c r="H1548" s="1" t="str">
        <f t="shared" si="3"/>
        <v>Currently Unavailable</v>
      </c>
      <c r="I1548" s="1" t="str">
        <f t="shared" si="4"/>
        <v>No Badges</v>
      </c>
      <c r="J1548" s="3">
        <f t="shared" si="5"/>
        <v>0</v>
      </c>
    </row>
    <row r="1549">
      <c r="A1549" s="1" t="s">
        <v>1284</v>
      </c>
      <c r="B1549" s="3" t="str">
        <f t="shared" si="1"/>
        <v>Unavailable</v>
      </c>
      <c r="C1549" s="3">
        <v>172.0</v>
      </c>
      <c r="D1549" s="3">
        <f>IFERROR(__xludf.DUMMYFUNCTION("IFERROR(
IF(REGEXMATCH(LOWER(O1549),""k""),
VALUE(REGEXEXTRACT(O1549,""[0-9]+""))*1000,
VALUE(REGEXEXTRACT(O1549,""[0-9]+""))
),
0
)"),0.0)</f>
        <v>0</v>
      </c>
      <c r="E1549" s="1" t="s">
        <v>11</v>
      </c>
      <c r="F1549" s="1" t="s">
        <v>12</v>
      </c>
      <c r="G1549" s="4" t="b">
        <f t="shared" si="2"/>
        <v>1</v>
      </c>
      <c r="H1549" s="1" t="str">
        <f t="shared" si="3"/>
        <v>Currently Unavailable</v>
      </c>
      <c r="I1549" s="1" t="str">
        <f t="shared" si="4"/>
        <v>No Badges</v>
      </c>
      <c r="J1549" s="3">
        <f t="shared" si="5"/>
        <v>0</v>
      </c>
    </row>
    <row r="1550">
      <c r="A1550" s="1" t="s">
        <v>67</v>
      </c>
      <c r="B1550" s="3" t="str">
        <f t="shared" si="1"/>
        <v>Unavailable</v>
      </c>
      <c r="C1550" s="3">
        <v>264.0</v>
      </c>
      <c r="D1550" s="3">
        <f>IFERROR(__xludf.DUMMYFUNCTION("IFERROR(
IF(REGEXMATCH(LOWER(O1550),""k""),
VALUE(REGEXEXTRACT(O1550,""[0-9]+""))*1000,
VALUE(REGEXEXTRACT(O1550,""[0-9]+""))
),
0
)"),0.0)</f>
        <v>0</v>
      </c>
      <c r="E1550" s="1" t="s">
        <v>11</v>
      </c>
      <c r="F1550" s="1" t="s">
        <v>12</v>
      </c>
      <c r="G1550" s="4" t="b">
        <f t="shared" si="2"/>
        <v>1</v>
      </c>
      <c r="H1550" s="1" t="str">
        <f t="shared" si="3"/>
        <v>Currently Unavailable</v>
      </c>
      <c r="I1550" s="1" t="str">
        <f t="shared" si="4"/>
        <v>No Badges</v>
      </c>
      <c r="J1550" s="3">
        <f t="shared" si="5"/>
        <v>0</v>
      </c>
    </row>
    <row r="1551">
      <c r="A1551" s="1" t="s">
        <v>1306</v>
      </c>
      <c r="B1551" s="3" t="str">
        <f t="shared" si="1"/>
        <v>Unavailable</v>
      </c>
      <c r="C1551" s="5">
        <v>4438.0</v>
      </c>
      <c r="D1551" s="3">
        <f>IFERROR(__xludf.DUMMYFUNCTION("IFERROR(
IF(REGEXMATCH(LOWER(O1551),""k""),
VALUE(REGEXEXTRACT(O1551,""[0-9]+""))*1000,
VALUE(REGEXEXTRACT(O1551,""[0-9]+""))
),
0
)"),0.0)</f>
        <v>0</v>
      </c>
      <c r="E1551" s="1" t="s">
        <v>11</v>
      </c>
      <c r="F1551" s="1" t="s">
        <v>20</v>
      </c>
      <c r="G1551" s="4" t="b">
        <f t="shared" si="2"/>
        <v>1</v>
      </c>
      <c r="H1551" s="1" t="str">
        <f t="shared" si="3"/>
        <v>Currently Unavailable</v>
      </c>
      <c r="I1551" s="1" t="str">
        <f t="shared" si="4"/>
        <v>No Badges</v>
      </c>
      <c r="J1551" s="3">
        <f t="shared" si="5"/>
        <v>0</v>
      </c>
    </row>
    <row r="1552">
      <c r="A1552" s="1" t="s">
        <v>701</v>
      </c>
      <c r="B1552" s="3" t="str">
        <f t="shared" si="1"/>
        <v>Unavailable</v>
      </c>
      <c r="C1552" s="3">
        <v>8.0</v>
      </c>
      <c r="D1552" s="3">
        <f>IFERROR(__xludf.DUMMYFUNCTION("IFERROR(
IF(REGEXMATCH(LOWER(O1552),""k""),
VALUE(REGEXEXTRACT(O1552,""[0-9]+""))*1000,
VALUE(REGEXEXTRACT(O1552,""[0-9]+""))
),
0
)"),0.0)</f>
        <v>0</v>
      </c>
      <c r="E1552" s="1" t="s">
        <v>11</v>
      </c>
      <c r="F1552" s="1" t="s">
        <v>12</v>
      </c>
      <c r="G1552" s="4" t="b">
        <f t="shared" si="2"/>
        <v>1</v>
      </c>
      <c r="H1552" s="1" t="str">
        <f t="shared" si="3"/>
        <v>Currently Unavailable</v>
      </c>
      <c r="I1552" s="1" t="str">
        <f t="shared" si="4"/>
        <v>No Badges</v>
      </c>
      <c r="J1552" s="3">
        <f t="shared" si="5"/>
        <v>0</v>
      </c>
    </row>
    <row r="1553">
      <c r="A1553" s="1" t="s">
        <v>1307</v>
      </c>
      <c r="B1553" s="3" t="str">
        <f t="shared" si="1"/>
        <v>Unavailable</v>
      </c>
      <c r="C1553" s="3">
        <v>762.0</v>
      </c>
      <c r="D1553" s="3">
        <f>IFERROR(__xludf.DUMMYFUNCTION("IFERROR(
IF(REGEXMATCH(LOWER(O1553),""k""),
VALUE(REGEXEXTRACT(O1553,""[0-9]+""))*1000,
VALUE(REGEXEXTRACT(O1553,""[0-9]+""))
),
0
)"),0.0)</f>
        <v>0</v>
      </c>
      <c r="E1553" s="1" t="s">
        <v>11</v>
      </c>
      <c r="F1553" s="1" t="s">
        <v>20</v>
      </c>
      <c r="G1553" s="4" t="b">
        <f t="shared" si="2"/>
        <v>1</v>
      </c>
      <c r="H1553" s="1" t="str">
        <f t="shared" si="3"/>
        <v>Currently Unavailable</v>
      </c>
      <c r="I1553" s="1" t="str">
        <f t="shared" si="4"/>
        <v>No Badges</v>
      </c>
      <c r="J1553" s="3">
        <f t="shared" si="5"/>
        <v>0</v>
      </c>
    </row>
    <row r="1554">
      <c r="A1554" s="1" t="s">
        <v>1308</v>
      </c>
      <c r="B1554" s="3" t="str">
        <f t="shared" si="1"/>
        <v>Unavailable</v>
      </c>
      <c r="C1554" s="5">
        <v>2186.0</v>
      </c>
      <c r="D1554" s="3">
        <f>IFERROR(__xludf.DUMMYFUNCTION("IFERROR(
IF(REGEXMATCH(LOWER(O1554),""k""),
VALUE(REGEXEXTRACT(O1554,""[0-9]+""))*1000,
VALUE(REGEXEXTRACT(O1554,""[0-9]+""))
),
0
)"),0.0)</f>
        <v>0</v>
      </c>
      <c r="E1554" s="1" t="s">
        <v>11</v>
      </c>
      <c r="F1554" s="1" t="s">
        <v>20</v>
      </c>
      <c r="G1554" s="4" t="b">
        <f t="shared" si="2"/>
        <v>1</v>
      </c>
      <c r="H1554" s="1" t="str">
        <f t="shared" si="3"/>
        <v>Currently Unavailable</v>
      </c>
      <c r="I1554" s="1" t="str">
        <f t="shared" si="4"/>
        <v>No Badges</v>
      </c>
      <c r="J1554" s="3">
        <f t="shared" si="5"/>
        <v>0</v>
      </c>
    </row>
    <row r="1555">
      <c r="A1555" s="1" t="s">
        <v>1309</v>
      </c>
      <c r="B1555" s="3" t="str">
        <f t="shared" si="1"/>
        <v>Unavailable</v>
      </c>
      <c r="C1555" s="5">
        <v>7499.0</v>
      </c>
      <c r="D1555" s="3">
        <f>IFERROR(__xludf.DUMMYFUNCTION("IFERROR(
IF(REGEXMATCH(LOWER(O1555),""k""),
VALUE(REGEXEXTRACT(O1555,""[0-9]+""))*1000,
VALUE(REGEXEXTRACT(O1555,""[0-9]+""))
),
0
)"),0.0)</f>
        <v>0</v>
      </c>
      <c r="E1555" s="1" t="s">
        <v>11</v>
      </c>
      <c r="F1555" s="1" t="s">
        <v>20</v>
      </c>
      <c r="G1555" s="4" t="b">
        <f t="shared" si="2"/>
        <v>1</v>
      </c>
      <c r="H1555" s="1" t="str">
        <f t="shared" si="3"/>
        <v>Currently Unavailable</v>
      </c>
      <c r="I1555" s="1" t="str">
        <f t="shared" si="4"/>
        <v>No Badges</v>
      </c>
      <c r="J1555" s="3">
        <f t="shared" si="5"/>
        <v>0</v>
      </c>
    </row>
    <row r="1556">
      <c r="A1556" s="1" t="s">
        <v>1310</v>
      </c>
      <c r="B1556" s="3" t="str">
        <f t="shared" si="1"/>
        <v>Unavailable</v>
      </c>
      <c r="C1556" s="5">
        <v>3849.0</v>
      </c>
      <c r="D1556" s="3">
        <f>IFERROR(__xludf.DUMMYFUNCTION("IFERROR(
IF(REGEXMATCH(LOWER(O1556),""k""),
VALUE(REGEXEXTRACT(O1556,""[0-9]+""))*1000,
VALUE(REGEXEXTRACT(O1556,""[0-9]+""))
),
0
)"),0.0)</f>
        <v>0</v>
      </c>
      <c r="E1556" s="1" t="s">
        <v>11</v>
      </c>
      <c r="F1556" s="1" t="s">
        <v>20</v>
      </c>
      <c r="G1556" s="4" t="b">
        <f t="shared" si="2"/>
        <v>1</v>
      </c>
      <c r="H1556" s="1" t="str">
        <f t="shared" si="3"/>
        <v>Currently Unavailable</v>
      </c>
      <c r="I1556" s="1" t="str">
        <f t="shared" si="4"/>
        <v>No Badges</v>
      </c>
      <c r="J1556" s="3">
        <f t="shared" si="5"/>
        <v>0</v>
      </c>
    </row>
    <row r="1557">
      <c r="A1557" s="1" t="s">
        <v>1311</v>
      </c>
      <c r="B1557" s="3" t="str">
        <f t="shared" si="1"/>
        <v>Unavailable</v>
      </c>
      <c r="C1557" s="3">
        <v>925.0</v>
      </c>
      <c r="D1557" s="3">
        <f>IFERROR(__xludf.DUMMYFUNCTION("IFERROR(
IF(REGEXMATCH(LOWER(O1557),""k""),
VALUE(REGEXEXTRACT(O1557,""[0-9]+""))*1000,
VALUE(REGEXEXTRACT(O1557,""[0-9]+""))
),
0
)"),0.0)</f>
        <v>0</v>
      </c>
      <c r="E1557" s="1" t="s">
        <v>11</v>
      </c>
      <c r="F1557" s="1" t="s">
        <v>20</v>
      </c>
      <c r="G1557" s="4" t="b">
        <f t="shared" si="2"/>
        <v>1</v>
      </c>
      <c r="H1557" s="1" t="str">
        <f t="shared" si="3"/>
        <v>Currently Unavailable</v>
      </c>
      <c r="I1557" s="1" t="str">
        <f t="shared" si="4"/>
        <v>No Badges</v>
      </c>
      <c r="J1557" s="3">
        <f t="shared" si="5"/>
        <v>0</v>
      </c>
    </row>
    <row r="1558">
      <c r="A1558" s="1" t="s">
        <v>1312</v>
      </c>
      <c r="B1558" s="3" t="str">
        <f t="shared" si="1"/>
        <v>Unavailable</v>
      </c>
      <c r="C1558" s="5">
        <v>1079.0</v>
      </c>
      <c r="D1558" s="3">
        <f>IFERROR(__xludf.DUMMYFUNCTION("IFERROR(
IF(REGEXMATCH(LOWER(O1558),""k""),
VALUE(REGEXEXTRACT(O1558,""[0-9]+""))*1000,
VALUE(REGEXEXTRACT(O1558,""[0-9]+""))
),
0
)"),0.0)</f>
        <v>0</v>
      </c>
      <c r="E1558" s="1" t="s">
        <v>11</v>
      </c>
      <c r="F1558" s="1" t="s">
        <v>20</v>
      </c>
      <c r="G1558" s="4" t="b">
        <f t="shared" si="2"/>
        <v>1</v>
      </c>
      <c r="H1558" s="1" t="str">
        <f t="shared" si="3"/>
        <v>Currently Unavailable</v>
      </c>
      <c r="I1558" s="1" t="str">
        <f t="shared" si="4"/>
        <v>No Badges</v>
      </c>
      <c r="J1558" s="3">
        <f t="shared" si="5"/>
        <v>0</v>
      </c>
    </row>
    <row r="1559">
      <c r="A1559" s="1" t="s">
        <v>1285</v>
      </c>
      <c r="B1559" s="3" t="str">
        <f t="shared" si="1"/>
        <v>Unavailable</v>
      </c>
      <c r="C1559" s="5">
        <v>3520.0</v>
      </c>
      <c r="D1559" s="3">
        <f>IFERROR(__xludf.DUMMYFUNCTION("IFERROR(
IF(REGEXMATCH(LOWER(O1559),""k""),
VALUE(REGEXEXTRACT(O1559,""[0-9]+""))*1000,
VALUE(REGEXEXTRACT(O1559,""[0-9]+""))
),
0
)"),0.0)</f>
        <v>0</v>
      </c>
      <c r="E1559" s="1" t="s">
        <v>11</v>
      </c>
      <c r="F1559" s="1" t="s">
        <v>12</v>
      </c>
      <c r="G1559" s="4" t="b">
        <f t="shared" si="2"/>
        <v>1</v>
      </c>
      <c r="H1559" s="1" t="str">
        <f t="shared" si="3"/>
        <v>Currently Unavailable</v>
      </c>
      <c r="I1559" s="1" t="str">
        <f t="shared" si="4"/>
        <v>No Badges</v>
      </c>
      <c r="J1559" s="3">
        <f t="shared" si="5"/>
        <v>0</v>
      </c>
    </row>
    <row r="1560">
      <c r="A1560" s="1" t="s">
        <v>1313</v>
      </c>
      <c r="B1560" s="3" t="str">
        <f t="shared" si="1"/>
        <v>Unavailable</v>
      </c>
      <c r="C1560" s="5">
        <v>1623.0</v>
      </c>
      <c r="D1560" s="3">
        <f>IFERROR(__xludf.DUMMYFUNCTION("IFERROR(
IF(REGEXMATCH(LOWER(O1560),""k""),
VALUE(REGEXEXTRACT(O1560,""[0-9]+""))*1000,
VALUE(REGEXEXTRACT(O1560,""[0-9]+""))
),
0
)"),0.0)</f>
        <v>0</v>
      </c>
      <c r="E1560" s="1" t="s">
        <v>158</v>
      </c>
      <c r="F1560" s="1" t="s">
        <v>20</v>
      </c>
      <c r="G1560" s="4" t="b">
        <f t="shared" si="2"/>
        <v>1</v>
      </c>
      <c r="H1560" s="1" t="str">
        <f t="shared" si="3"/>
        <v>Currently Unavailable</v>
      </c>
      <c r="I1560" s="1" t="str">
        <f t="shared" si="4"/>
        <v>No Badges</v>
      </c>
      <c r="J1560" s="3">
        <f t="shared" si="5"/>
        <v>0</v>
      </c>
    </row>
    <row r="1561">
      <c r="A1561" s="1" t="s">
        <v>1284</v>
      </c>
      <c r="B1561" s="3" t="str">
        <f t="shared" si="1"/>
        <v>Unavailable</v>
      </c>
      <c r="C1561" s="3">
        <v>172.0</v>
      </c>
      <c r="D1561" s="3">
        <f>IFERROR(__xludf.DUMMYFUNCTION("IFERROR(
IF(REGEXMATCH(LOWER(O1561),""k""),
VALUE(REGEXEXTRACT(O1561,""[0-9]+""))*1000,
VALUE(REGEXEXTRACT(O1561,""[0-9]+""))
),
0
)"),0.0)</f>
        <v>0</v>
      </c>
      <c r="E1561" s="1" t="s">
        <v>11</v>
      </c>
      <c r="F1561" s="1" t="s">
        <v>12</v>
      </c>
      <c r="G1561" s="4" t="b">
        <f t="shared" si="2"/>
        <v>1</v>
      </c>
      <c r="H1561" s="1" t="str">
        <f t="shared" si="3"/>
        <v>Currently Unavailable</v>
      </c>
      <c r="I1561" s="1" t="str">
        <f t="shared" si="4"/>
        <v>No Badges</v>
      </c>
      <c r="J1561" s="3">
        <f t="shared" si="5"/>
        <v>0</v>
      </c>
    </row>
    <row r="1562">
      <c r="A1562" s="1" t="s">
        <v>1314</v>
      </c>
      <c r="B1562" s="3" t="str">
        <f t="shared" si="1"/>
        <v>Unavailable</v>
      </c>
      <c r="C1562" s="5">
        <v>37728.0</v>
      </c>
      <c r="D1562" s="3">
        <f>IFERROR(__xludf.DUMMYFUNCTION("IFERROR(
IF(REGEXMATCH(LOWER(O1562),""k""),
VALUE(REGEXEXTRACT(O1562,""[0-9]+""))*1000,
VALUE(REGEXEXTRACT(O1562,""[0-9]+""))
),
0
)"),0.0)</f>
        <v>0</v>
      </c>
      <c r="E1562" s="1" t="s">
        <v>11</v>
      </c>
      <c r="F1562" s="1" t="s">
        <v>20</v>
      </c>
      <c r="G1562" s="4" t="b">
        <f t="shared" si="2"/>
        <v>1</v>
      </c>
      <c r="H1562" s="1" t="str">
        <f t="shared" si="3"/>
        <v>Currently Unavailable</v>
      </c>
      <c r="I1562" s="1" t="str">
        <f t="shared" si="4"/>
        <v>No Badges</v>
      </c>
      <c r="J1562" s="3">
        <f t="shared" si="5"/>
        <v>0</v>
      </c>
    </row>
    <row r="1563">
      <c r="A1563" s="1" t="s">
        <v>1315</v>
      </c>
      <c r="B1563" s="3" t="str">
        <f t="shared" si="1"/>
        <v>Unavailable</v>
      </c>
      <c r="C1563" s="3">
        <v>379.0</v>
      </c>
      <c r="D1563" s="3">
        <f>IFERROR(__xludf.DUMMYFUNCTION("IFERROR(
IF(REGEXMATCH(LOWER(O1563),""k""),
VALUE(REGEXEXTRACT(O1563,""[0-9]+""))*1000,
VALUE(REGEXEXTRACT(O1563,""[0-9]+""))
),
0
)"),0.0)</f>
        <v>0</v>
      </c>
      <c r="E1563" s="1" t="s">
        <v>11</v>
      </c>
      <c r="F1563" s="1" t="s">
        <v>20</v>
      </c>
      <c r="G1563" s="4" t="b">
        <f t="shared" si="2"/>
        <v>1</v>
      </c>
      <c r="H1563" s="1" t="str">
        <f t="shared" si="3"/>
        <v>Currently Unavailable</v>
      </c>
      <c r="I1563" s="1" t="str">
        <f t="shared" si="4"/>
        <v>No Badges</v>
      </c>
      <c r="J1563" s="3">
        <f t="shared" si="5"/>
        <v>0</v>
      </c>
    </row>
    <row r="1564">
      <c r="A1564" s="1" t="s">
        <v>1316</v>
      </c>
      <c r="B1564" s="3" t="str">
        <f t="shared" si="1"/>
        <v>Unavailable</v>
      </c>
      <c r="C1564" s="3">
        <v>646.0</v>
      </c>
      <c r="D1564" s="3">
        <f>IFERROR(__xludf.DUMMYFUNCTION("IFERROR(
IF(REGEXMATCH(LOWER(O1564),""k""),
VALUE(REGEXEXTRACT(O1564,""[0-9]+""))*1000,
VALUE(REGEXEXTRACT(O1564,""[0-9]+""))
),
0
)"),0.0)</f>
        <v>0</v>
      </c>
      <c r="E1564" s="1" t="s">
        <v>11</v>
      </c>
      <c r="F1564" s="1" t="s">
        <v>20</v>
      </c>
      <c r="G1564" s="4" t="b">
        <f t="shared" si="2"/>
        <v>1</v>
      </c>
      <c r="H1564" s="1" t="str">
        <f t="shared" si="3"/>
        <v>Currently Unavailable</v>
      </c>
      <c r="I1564" s="1" t="str">
        <f t="shared" si="4"/>
        <v>No Badges</v>
      </c>
      <c r="J1564" s="3">
        <f t="shared" si="5"/>
        <v>0</v>
      </c>
    </row>
    <row r="1565">
      <c r="A1565" s="1" t="s">
        <v>1317</v>
      </c>
      <c r="B1565" s="3" t="str">
        <f t="shared" si="1"/>
        <v>Unavailable</v>
      </c>
      <c r="C1565" s="5">
        <v>3179.0</v>
      </c>
      <c r="D1565" s="3">
        <f>IFERROR(__xludf.DUMMYFUNCTION("IFERROR(
IF(REGEXMATCH(LOWER(O1565),""k""),
VALUE(REGEXEXTRACT(O1565,""[0-9]+""))*1000,
VALUE(REGEXEXTRACT(O1565,""[0-9]+""))
),
0
)"),0.0)</f>
        <v>0</v>
      </c>
      <c r="E1565" s="1" t="s">
        <v>11</v>
      </c>
      <c r="F1565" s="1" t="s">
        <v>20</v>
      </c>
      <c r="G1565" s="4" t="b">
        <f t="shared" si="2"/>
        <v>1</v>
      </c>
      <c r="H1565" s="1" t="str">
        <f t="shared" si="3"/>
        <v>Currently Unavailable</v>
      </c>
      <c r="I1565" s="1" t="str">
        <f t="shared" si="4"/>
        <v>No Badges</v>
      </c>
      <c r="J1565" s="3">
        <f t="shared" si="5"/>
        <v>0</v>
      </c>
    </row>
    <row r="1566">
      <c r="A1566" s="1" t="s">
        <v>88</v>
      </c>
      <c r="B1566" s="3" t="str">
        <f t="shared" si="1"/>
        <v>Unavailable</v>
      </c>
      <c r="C1566" s="3">
        <v>5.0</v>
      </c>
      <c r="D1566" s="3">
        <f>IFERROR(__xludf.DUMMYFUNCTION("IFERROR(
IF(REGEXMATCH(LOWER(O1566),""k""),
VALUE(REGEXEXTRACT(O1566,""[0-9]+""))*1000,
VALUE(REGEXEXTRACT(O1566,""[0-9]+""))
),
0
)"),0.0)</f>
        <v>0</v>
      </c>
      <c r="E1566" s="1" t="s">
        <v>11</v>
      </c>
      <c r="F1566" s="1" t="s">
        <v>12</v>
      </c>
      <c r="G1566" s="4" t="b">
        <f t="shared" si="2"/>
        <v>1</v>
      </c>
      <c r="H1566" s="1" t="str">
        <f t="shared" si="3"/>
        <v>Currently Unavailable</v>
      </c>
      <c r="I1566" s="1" t="str">
        <f t="shared" si="4"/>
        <v>No Badges</v>
      </c>
      <c r="J1566" s="3">
        <f t="shared" si="5"/>
        <v>0</v>
      </c>
    </row>
    <row r="1567">
      <c r="A1567" s="1" t="s">
        <v>1318</v>
      </c>
      <c r="B1567" s="3" t="str">
        <f t="shared" si="1"/>
        <v>Unavailable</v>
      </c>
      <c r="C1567" s="5">
        <v>6767.0</v>
      </c>
      <c r="D1567" s="3">
        <f>IFERROR(__xludf.DUMMYFUNCTION("IFERROR(
IF(REGEXMATCH(LOWER(O1567),""k""),
VALUE(REGEXEXTRACT(O1567,""[0-9]+""))*1000,
VALUE(REGEXEXTRACT(O1567,""[0-9]+""))
),
0
)"),0.0)</f>
        <v>0</v>
      </c>
      <c r="E1567" s="1" t="s">
        <v>11</v>
      </c>
      <c r="F1567" s="1" t="s">
        <v>20</v>
      </c>
      <c r="G1567" s="4" t="b">
        <f t="shared" si="2"/>
        <v>1</v>
      </c>
      <c r="H1567" s="1" t="str">
        <f t="shared" si="3"/>
        <v>Currently Unavailable</v>
      </c>
      <c r="I1567" s="1" t="str">
        <f t="shared" si="4"/>
        <v>No Badges</v>
      </c>
      <c r="J1567" s="3">
        <f t="shared" si="5"/>
        <v>0</v>
      </c>
    </row>
    <row r="1568">
      <c r="A1568" s="1" t="s">
        <v>1319</v>
      </c>
      <c r="B1568" s="3" t="str">
        <f t="shared" si="1"/>
        <v>Unavailable</v>
      </c>
      <c r="C1568" s="3">
        <v>491.0</v>
      </c>
      <c r="D1568" s="3">
        <f>IFERROR(__xludf.DUMMYFUNCTION("IFERROR(
IF(REGEXMATCH(LOWER(O1568),""k""),
VALUE(REGEXEXTRACT(O1568,""[0-9]+""))*1000,
VALUE(REGEXEXTRACT(O1568,""[0-9]+""))
),
0
)"),0.0)</f>
        <v>0</v>
      </c>
      <c r="E1568" s="1" t="s">
        <v>11</v>
      </c>
      <c r="F1568" s="1" t="s">
        <v>20</v>
      </c>
      <c r="G1568" s="4" t="b">
        <f t="shared" si="2"/>
        <v>1</v>
      </c>
      <c r="H1568" s="1" t="str">
        <f t="shared" si="3"/>
        <v>Currently Unavailable</v>
      </c>
      <c r="I1568" s="1" t="str">
        <f t="shared" si="4"/>
        <v>No Badges</v>
      </c>
      <c r="J1568" s="3">
        <f t="shared" si="5"/>
        <v>0</v>
      </c>
    </row>
    <row r="1569">
      <c r="A1569" s="1" t="s">
        <v>1320</v>
      </c>
      <c r="B1569" s="3" t="str">
        <f t="shared" si="1"/>
        <v>Unavailable</v>
      </c>
      <c r="C1569" s="5">
        <v>9075.0</v>
      </c>
      <c r="D1569" s="3">
        <f>IFERROR(__xludf.DUMMYFUNCTION("IFERROR(
IF(REGEXMATCH(LOWER(O1569),""k""),
VALUE(REGEXEXTRACT(O1569,""[0-9]+""))*1000,
VALUE(REGEXEXTRACT(O1569,""[0-9]+""))
),
0
)"),0.0)</f>
        <v>0</v>
      </c>
      <c r="E1569" s="1" t="s">
        <v>11</v>
      </c>
      <c r="F1569" s="1" t="s">
        <v>20</v>
      </c>
      <c r="G1569" s="4" t="b">
        <f t="shared" si="2"/>
        <v>1</v>
      </c>
      <c r="H1569" s="1" t="str">
        <f t="shared" si="3"/>
        <v>Currently Unavailable</v>
      </c>
      <c r="I1569" s="1" t="str">
        <f t="shared" si="4"/>
        <v>No Badges</v>
      </c>
      <c r="J1569" s="3">
        <f t="shared" si="5"/>
        <v>0</v>
      </c>
    </row>
    <row r="1570">
      <c r="A1570" s="1" t="s">
        <v>69</v>
      </c>
      <c r="B1570" s="3" t="str">
        <f t="shared" si="1"/>
        <v>Unavailable</v>
      </c>
      <c r="C1570" s="3">
        <v>45.0</v>
      </c>
      <c r="D1570" s="3">
        <f>IFERROR(__xludf.DUMMYFUNCTION("IFERROR(
IF(REGEXMATCH(LOWER(O1570),""k""),
VALUE(REGEXEXTRACT(O1570,""[0-9]+""))*1000,
VALUE(REGEXEXTRACT(O1570,""[0-9]+""))
),
0
)"),0.0)</f>
        <v>0</v>
      </c>
      <c r="E1570" s="1" t="s">
        <v>11</v>
      </c>
      <c r="F1570" s="1" t="s">
        <v>12</v>
      </c>
      <c r="G1570" s="4" t="b">
        <f t="shared" si="2"/>
        <v>1</v>
      </c>
      <c r="H1570" s="1" t="str">
        <f t="shared" si="3"/>
        <v>Currently Unavailable</v>
      </c>
      <c r="I1570" s="1" t="str">
        <f t="shared" si="4"/>
        <v>No Badges</v>
      </c>
      <c r="J1570" s="3">
        <f t="shared" si="5"/>
        <v>0</v>
      </c>
    </row>
    <row r="1571">
      <c r="A1571" s="1" t="s">
        <v>1321</v>
      </c>
      <c r="B1571" s="3" t="str">
        <f t="shared" si="1"/>
        <v>Unavailable</v>
      </c>
      <c r="C1571" s="5">
        <v>6538.0</v>
      </c>
      <c r="D1571" s="3">
        <f>IFERROR(__xludf.DUMMYFUNCTION("IFERROR(
IF(REGEXMATCH(LOWER(O1571),""k""),
VALUE(REGEXEXTRACT(O1571,""[0-9]+""))*1000,
VALUE(REGEXEXTRACT(O1571,""[0-9]+""))
),
0
)"),0.0)</f>
        <v>0</v>
      </c>
      <c r="E1571" s="1" t="s">
        <v>11</v>
      </c>
      <c r="F1571" s="1" t="s">
        <v>20</v>
      </c>
      <c r="G1571" s="4" t="b">
        <f t="shared" si="2"/>
        <v>1</v>
      </c>
      <c r="H1571" s="1" t="str">
        <f t="shared" si="3"/>
        <v>Currently Unavailable</v>
      </c>
      <c r="I1571" s="1" t="str">
        <f t="shared" si="4"/>
        <v>No Badges</v>
      </c>
      <c r="J1571" s="3">
        <f t="shared" si="5"/>
        <v>0</v>
      </c>
    </row>
    <row r="1572">
      <c r="A1572" s="1" t="s">
        <v>1284</v>
      </c>
      <c r="B1572" s="3" t="str">
        <f t="shared" si="1"/>
        <v>Unavailable</v>
      </c>
      <c r="C1572" s="3">
        <v>172.0</v>
      </c>
      <c r="D1572" s="3">
        <f>IFERROR(__xludf.DUMMYFUNCTION("IFERROR(
IF(REGEXMATCH(LOWER(O1572),""k""),
VALUE(REGEXEXTRACT(O1572,""[0-9]+""))*1000,
VALUE(REGEXEXTRACT(O1572,""[0-9]+""))
),
0
)"),0.0)</f>
        <v>0</v>
      </c>
      <c r="E1572" s="1" t="s">
        <v>11</v>
      </c>
      <c r="F1572" s="1" t="s">
        <v>12</v>
      </c>
      <c r="G1572" s="4" t="b">
        <f t="shared" si="2"/>
        <v>1</v>
      </c>
      <c r="H1572" s="1" t="str">
        <f t="shared" si="3"/>
        <v>Currently Unavailable</v>
      </c>
      <c r="I1572" s="1" t="str">
        <f t="shared" si="4"/>
        <v>No Badges</v>
      </c>
      <c r="J1572" s="3">
        <f t="shared" si="5"/>
        <v>0</v>
      </c>
    </row>
    <row r="1573">
      <c r="A1573" s="1" t="s">
        <v>1284</v>
      </c>
      <c r="B1573" s="3" t="str">
        <f t="shared" si="1"/>
        <v>Unavailable</v>
      </c>
      <c r="C1573" s="3">
        <v>172.0</v>
      </c>
      <c r="D1573" s="3">
        <f>IFERROR(__xludf.DUMMYFUNCTION("IFERROR(
IF(REGEXMATCH(LOWER(O1573),""k""),
VALUE(REGEXEXTRACT(O1573,""[0-9]+""))*1000,
VALUE(REGEXEXTRACT(O1573,""[0-9]+""))
),
0
)"),0.0)</f>
        <v>0</v>
      </c>
      <c r="E1573" s="1" t="s">
        <v>11</v>
      </c>
      <c r="F1573" s="1" t="s">
        <v>12</v>
      </c>
      <c r="G1573" s="4" t="b">
        <f t="shared" si="2"/>
        <v>1</v>
      </c>
      <c r="H1573" s="1" t="str">
        <f t="shared" si="3"/>
        <v>Currently Unavailable</v>
      </c>
      <c r="I1573" s="1" t="str">
        <f t="shared" si="4"/>
        <v>No Badges</v>
      </c>
      <c r="J1573" s="3">
        <f t="shared" si="5"/>
        <v>0</v>
      </c>
    </row>
    <row r="1574">
      <c r="A1574" s="1" t="s">
        <v>1322</v>
      </c>
      <c r="B1574" s="3" t="str">
        <f t="shared" si="1"/>
        <v>Unavailable</v>
      </c>
      <c r="C1574" s="5">
        <v>3652.0</v>
      </c>
      <c r="D1574" s="3">
        <f>IFERROR(__xludf.DUMMYFUNCTION("IFERROR(
IF(REGEXMATCH(LOWER(O1574),""k""),
VALUE(REGEXEXTRACT(O1574,""[0-9]+""))*1000,
VALUE(REGEXEXTRACT(O1574,""[0-9]+""))
),
0
)"),0.0)</f>
        <v>0</v>
      </c>
      <c r="E1574" s="1" t="s">
        <v>11</v>
      </c>
      <c r="F1574" s="1" t="s">
        <v>20</v>
      </c>
      <c r="G1574" s="4" t="b">
        <f t="shared" si="2"/>
        <v>1</v>
      </c>
      <c r="H1574" s="1" t="str">
        <f t="shared" si="3"/>
        <v>Currently Unavailable</v>
      </c>
      <c r="I1574" s="1" t="str">
        <f t="shared" si="4"/>
        <v>No Badges</v>
      </c>
      <c r="J1574" s="3">
        <f t="shared" si="5"/>
        <v>0</v>
      </c>
    </row>
    <row r="1575">
      <c r="A1575" s="1" t="s">
        <v>1323</v>
      </c>
      <c r="B1575" s="3" t="str">
        <f t="shared" si="1"/>
        <v>Unavailable</v>
      </c>
      <c r="C1575" s="5">
        <v>1335.0</v>
      </c>
      <c r="D1575" s="3">
        <f>IFERROR(__xludf.DUMMYFUNCTION("IFERROR(
IF(REGEXMATCH(LOWER(O1575),""k""),
VALUE(REGEXEXTRACT(O1575,""[0-9]+""))*1000,
VALUE(REGEXEXTRACT(O1575,""[0-9]+""))
),
0
)"),0.0)</f>
        <v>0</v>
      </c>
      <c r="E1575" s="1" t="s">
        <v>11</v>
      </c>
      <c r="F1575" s="1" t="s">
        <v>20</v>
      </c>
      <c r="G1575" s="4" t="b">
        <f t="shared" si="2"/>
        <v>1</v>
      </c>
      <c r="H1575" s="1" t="str">
        <f t="shared" si="3"/>
        <v>Currently Unavailable</v>
      </c>
      <c r="I1575" s="1" t="str">
        <f t="shared" si="4"/>
        <v>No Badges</v>
      </c>
      <c r="J1575" s="3">
        <f t="shared" si="5"/>
        <v>0</v>
      </c>
    </row>
    <row r="1576">
      <c r="A1576" s="1" t="s">
        <v>1278</v>
      </c>
      <c r="B1576" s="3" t="str">
        <f t="shared" si="1"/>
        <v>Unavailable</v>
      </c>
      <c r="C1576" s="5">
        <v>12076.0</v>
      </c>
      <c r="D1576" s="3">
        <f>IFERROR(__xludf.DUMMYFUNCTION("IFERROR(
IF(REGEXMATCH(LOWER(O1576),""k""),
VALUE(REGEXEXTRACT(O1576,""[0-9]+""))*1000,
VALUE(REGEXEXTRACT(O1576,""[0-9]+""))
),
0
)"),0.0)</f>
        <v>0</v>
      </c>
      <c r="E1576" s="1" t="s">
        <v>11</v>
      </c>
      <c r="F1576" s="1" t="s">
        <v>20</v>
      </c>
      <c r="G1576" s="4" t="b">
        <f t="shared" si="2"/>
        <v>1</v>
      </c>
      <c r="H1576" s="1" t="str">
        <f t="shared" si="3"/>
        <v>Currently Unavailable</v>
      </c>
      <c r="I1576" s="1" t="str">
        <f t="shared" si="4"/>
        <v>No Badges</v>
      </c>
      <c r="J1576" s="3">
        <f t="shared" si="5"/>
        <v>0</v>
      </c>
    </row>
    <row r="1577">
      <c r="A1577" s="1" t="s">
        <v>1285</v>
      </c>
      <c r="B1577" s="3" t="str">
        <f t="shared" si="1"/>
        <v>Unavailable</v>
      </c>
      <c r="C1577" s="5">
        <v>3520.0</v>
      </c>
      <c r="D1577" s="3">
        <f>IFERROR(__xludf.DUMMYFUNCTION("IFERROR(
IF(REGEXMATCH(LOWER(O1577),""k""),
VALUE(REGEXEXTRACT(O1577,""[0-9]+""))*1000,
VALUE(REGEXEXTRACT(O1577,""[0-9]+""))
),
0
)"),0.0)</f>
        <v>0</v>
      </c>
      <c r="E1577" s="1" t="s">
        <v>11</v>
      </c>
      <c r="F1577" s="1" t="s">
        <v>12</v>
      </c>
      <c r="G1577" s="4" t="b">
        <f t="shared" si="2"/>
        <v>1</v>
      </c>
      <c r="H1577" s="1" t="str">
        <f t="shared" si="3"/>
        <v>Currently Unavailable</v>
      </c>
      <c r="I1577" s="1" t="str">
        <f t="shared" si="4"/>
        <v>No Badges</v>
      </c>
      <c r="J1577" s="3">
        <f t="shared" si="5"/>
        <v>0</v>
      </c>
    </row>
    <row r="1578">
      <c r="A1578" s="1" t="s">
        <v>1324</v>
      </c>
      <c r="B1578" s="3" t="str">
        <f t="shared" si="1"/>
        <v>Unavailable</v>
      </c>
      <c r="C1578" s="5">
        <v>5690.0</v>
      </c>
      <c r="D1578" s="3">
        <f>IFERROR(__xludf.DUMMYFUNCTION("IFERROR(
IF(REGEXMATCH(LOWER(O1578),""k""),
VALUE(REGEXEXTRACT(O1578,""[0-9]+""))*1000,
VALUE(REGEXEXTRACT(O1578,""[0-9]+""))
),
0
)"),0.0)</f>
        <v>0</v>
      </c>
      <c r="E1578" s="1" t="s">
        <v>11</v>
      </c>
      <c r="F1578" s="1" t="s">
        <v>20</v>
      </c>
      <c r="G1578" s="4" t="b">
        <f t="shared" si="2"/>
        <v>1</v>
      </c>
      <c r="H1578" s="1" t="str">
        <f t="shared" si="3"/>
        <v>Currently Unavailable</v>
      </c>
      <c r="I1578" s="1" t="str">
        <f t="shared" si="4"/>
        <v>No Badges</v>
      </c>
      <c r="J1578" s="3">
        <f t="shared" si="5"/>
        <v>0</v>
      </c>
    </row>
    <row r="1579">
      <c r="A1579" s="1" t="s">
        <v>1284</v>
      </c>
      <c r="B1579" s="3" t="str">
        <f t="shared" si="1"/>
        <v>Unavailable</v>
      </c>
      <c r="C1579" s="3">
        <v>172.0</v>
      </c>
      <c r="D1579" s="3">
        <f>IFERROR(__xludf.DUMMYFUNCTION("IFERROR(
IF(REGEXMATCH(LOWER(O1579),""k""),
VALUE(REGEXEXTRACT(O1579,""[0-9]+""))*1000,
VALUE(REGEXEXTRACT(O1579,""[0-9]+""))
),
0
)"),0.0)</f>
        <v>0</v>
      </c>
      <c r="E1579" s="1" t="s">
        <v>11</v>
      </c>
      <c r="F1579" s="1" t="s">
        <v>12</v>
      </c>
      <c r="G1579" s="4" t="b">
        <f t="shared" si="2"/>
        <v>1</v>
      </c>
      <c r="H1579" s="1" t="str">
        <f t="shared" si="3"/>
        <v>Currently Unavailable</v>
      </c>
      <c r="I1579" s="1" t="str">
        <f t="shared" si="4"/>
        <v>No Badges</v>
      </c>
      <c r="J1579" s="3">
        <f t="shared" si="5"/>
        <v>0</v>
      </c>
    </row>
    <row r="1580">
      <c r="A1580" s="1" t="s">
        <v>1325</v>
      </c>
      <c r="B1580" s="3" t="str">
        <f t="shared" si="1"/>
        <v>Unavailable</v>
      </c>
      <c r="C1580" s="3">
        <v>124.0</v>
      </c>
      <c r="D1580" s="3">
        <f>IFERROR(__xludf.DUMMYFUNCTION("IFERROR(
IF(REGEXMATCH(LOWER(O1580),""k""),
VALUE(REGEXEXTRACT(O1580,""[0-9]+""))*1000,
VALUE(REGEXEXTRACT(O1580,""[0-9]+""))
),
0
)"),0.0)</f>
        <v>0</v>
      </c>
      <c r="E1580" s="1" t="s">
        <v>11</v>
      </c>
      <c r="F1580" s="1" t="s">
        <v>20</v>
      </c>
      <c r="G1580" s="4" t="b">
        <f t="shared" si="2"/>
        <v>1</v>
      </c>
      <c r="H1580" s="1" t="str">
        <f t="shared" si="3"/>
        <v>Currently Unavailable</v>
      </c>
      <c r="I1580" s="1" t="str">
        <f t="shared" si="4"/>
        <v>No Badges</v>
      </c>
      <c r="J1580" s="3">
        <f t="shared" si="5"/>
        <v>0</v>
      </c>
    </row>
    <row r="1581">
      <c r="A1581" s="1" t="s">
        <v>1326</v>
      </c>
      <c r="B1581" s="3" t="str">
        <f t="shared" si="1"/>
        <v>Unavailable</v>
      </c>
      <c r="C1581" s="3">
        <v>759.0</v>
      </c>
      <c r="D1581" s="3">
        <f>IFERROR(__xludf.DUMMYFUNCTION("IFERROR(
IF(REGEXMATCH(LOWER(O1581),""k""),
VALUE(REGEXEXTRACT(O1581,""[0-9]+""))*1000,
VALUE(REGEXEXTRACT(O1581,""[0-9]+""))
),
0
)"),0.0)</f>
        <v>0</v>
      </c>
      <c r="E1581" s="1" t="s">
        <v>11</v>
      </c>
      <c r="F1581" s="1" t="s">
        <v>20</v>
      </c>
      <c r="G1581" s="4" t="b">
        <f t="shared" si="2"/>
        <v>1</v>
      </c>
      <c r="H1581" s="1" t="str">
        <f t="shared" si="3"/>
        <v>Currently Unavailable</v>
      </c>
      <c r="I1581" s="1" t="str">
        <f t="shared" si="4"/>
        <v>No Badges</v>
      </c>
      <c r="J1581" s="3">
        <f t="shared" si="5"/>
        <v>0</v>
      </c>
    </row>
    <row r="1582">
      <c r="A1582" s="1" t="s">
        <v>1327</v>
      </c>
      <c r="B1582" s="3" t="str">
        <f t="shared" si="1"/>
        <v>Unavailable</v>
      </c>
      <c r="C1582" s="5">
        <v>4307.0</v>
      </c>
      <c r="D1582" s="3">
        <f>IFERROR(__xludf.DUMMYFUNCTION("IFERROR(
IF(REGEXMATCH(LOWER(O1582),""k""),
VALUE(REGEXEXTRACT(O1582,""[0-9]+""))*1000,
VALUE(REGEXEXTRACT(O1582,""[0-9]+""))
),
0
)"),0.0)</f>
        <v>0</v>
      </c>
      <c r="E1582" s="1" t="s">
        <v>11</v>
      </c>
      <c r="F1582" s="1" t="s">
        <v>20</v>
      </c>
      <c r="G1582" s="4" t="b">
        <f t="shared" si="2"/>
        <v>1</v>
      </c>
      <c r="H1582" s="1" t="str">
        <f t="shared" si="3"/>
        <v>Currently Unavailable</v>
      </c>
      <c r="I1582" s="1" t="str">
        <f t="shared" si="4"/>
        <v>No Badges</v>
      </c>
      <c r="J1582" s="3">
        <f t="shared" si="5"/>
        <v>0</v>
      </c>
    </row>
    <row r="1583">
      <c r="A1583" s="1" t="s">
        <v>88</v>
      </c>
      <c r="B1583" s="3" t="str">
        <f t="shared" si="1"/>
        <v>Unavailable</v>
      </c>
      <c r="C1583" s="3">
        <v>5.0</v>
      </c>
      <c r="D1583" s="3">
        <f>IFERROR(__xludf.DUMMYFUNCTION("IFERROR(
IF(REGEXMATCH(LOWER(O1583),""k""),
VALUE(REGEXEXTRACT(O1583,""[0-9]+""))*1000,
VALUE(REGEXEXTRACT(O1583,""[0-9]+""))
),
0
)"),0.0)</f>
        <v>0</v>
      </c>
      <c r="E1583" s="1" t="s">
        <v>11</v>
      </c>
      <c r="F1583" s="1" t="s">
        <v>12</v>
      </c>
      <c r="G1583" s="4" t="b">
        <f t="shared" si="2"/>
        <v>1</v>
      </c>
      <c r="H1583" s="1" t="str">
        <f t="shared" si="3"/>
        <v>Currently Unavailable</v>
      </c>
      <c r="I1583" s="1" t="str">
        <f t="shared" si="4"/>
        <v>No Badges</v>
      </c>
      <c r="J1583" s="3">
        <f t="shared" si="5"/>
        <v>0</v>
      </c>
    </row>
    <row r="1584">
      <c r="A1584" s="1" t="s">
        <v>1285</v>
      </c>
      <c r="B1584" s="3" t="str">
        <f t="shared" si="1"/>
        <v>Unavailable</v>
      </c>
      <c r="C1584" s="5">
        <v>3520.0</v>
      </c>
      <c r="D1584" s="3">
        <f>IFERROR(__xludf.DUMMYFUNCTION("IFERROR(
IF(REGEXMATCH(LOWER(O1584),""k""),
VALUE(REGEXEXTRACT(O1584,""[0-9]+""))*1000,
VALUE(REGEXEXTRACT(O1584,""[0-9]+""))
),
0
)"),0.0)</f>
        <v>0</v>
      </c>
      <c r="E1584" s="1" t="s">
        <v>11</v>
      </c>
      <c r="F1584" s="1" t="s">
        <v>12</v>
      </c>
      <c r="G1584" s="4" t="b">
        <f t="shared" si="2"/>
        <v>1</v>
      </c>
      <c r="H1584" s="1" t="str">
        <f t="shared" si="3"/>
        <v>Currently Unavailable</v>
      </c>
      <c r="I1584" s="1" t="str">
        <f t="shared" si="4"/>
        <v>No Badges</v>
      </c>
      <c r="J1584" s="3">
        <f t="shared" si="5"/>
        <v>0</v>
      </c>
    </row>
    <row r="1585">
      <c r="A1585" s="1" t="s">
        <v>67</v>
      </c>
      <c r="B1585" s="3" t="str">
        <f t="shared" si="1"/>
        <v>Unavailable</v>
      </c>
      <c r="C1585" s="3">
        <v>264.0</v>
      </c>
      <c r="D1585" s="3">
        <f>IFERROR(__xludf.DUMMYFUNCTION("IFERROR(
IF(REGEXMATCH(LOWER(O1585),""k""),
VALUE(REGEXEXTRACT(O1585,""[0-9]+""))*1000,
VALUE(REGEXEXTRACT(O1585,""[0-9]+""))
),
0
)"),0.0)</f>
        <v>0</v>
      </c>
      <c r="E1585" s="1" t="s">
        <v>11</v>
      </c>
      <c r="F1585" s="1" t="s">
        <v>12</v>
      </c>
      <c r="G1585" s="4" t="b">
        <f t="shared" si="2"/>
        <v>1</v>
      </c>
      <c r="H1585" s="1" t="str">
        <f t="shared" si="3"/>
        <v>Currently Unavailable</v>
      </c>
      <c r="I1585" s="1" t="str">
        <f t="shared" si="4"/>
        <v>No Badges</v>
      </c>
      <c r="J1585" s="3">
        <f t="shared" si="5"/>
        <v>0</v>
      </c>
    </row>
    <row r="1586">
      <c r="A1586" s="1" t="s">
        <v>1328</v>
      </c>
      <c r="B1586" s="3" t="str">
        <f t="shared" si="1"/>
        <v>Unavailable</v>
      </c>
      <c r="C1586" s="5">
        <v>1066.0</v>
      </c>
      <c r="D1586" s="3">
        <f>IFERROR(__xludf.DUMMYFUNCTION("IFERROR(
IF(REGEXMATCH(LOWER(O1586),""k""),
VALUE(REGEXEXTRACT(O1586,""[0-9]+""))*1000,
VALUE(REGEXEXTRACT(O1586,""[0-9]+""))
),
0
)"),0.0)</f>
        <v>0</v>
      </c>
      <c r="E1586" s="1" t="s">
        <v>11</v>
      </c>
      <c r="F1586" s="1" t="s">
        <v>20</v>
      </c>
      <c r="G1586" s="4" t="b">
        <f t="shared" si="2"/>
        <v>1</v>
      </c>
      <c r="H1586" s="1" t="str">
        <f t="shared" si="3"/>
        <v>Currently Unavailable</v>
      </c>
      <c r="I1586" s="1" t="str">
        <f t="shared" si="4"/>
        <v>No Badges</v>
      </c>
      <c r="J1586" s="3">
        <f t="shared" si="5"/>
        <v>0</v>
      </c>
    </row>
    <row r="1587">
      <c r="A1587" s="1" t="s">
        <v>1329</v>
      </c>
      <c r="B1587" s="3" t="str">
        <f t="shared" si="1"/>
        <v>Unavailable</v>
      </c>
      <c r="C1587" s="3">
        <v>615.0</v>
      </c>
      <c r="D1587" s="3">
        <f>IFERROR(__xludf.DUMMYFUNCTION("IFERROR(
IF(REGEXMATCH(LOWER(O1587),""k""),
VALUE(REGEXEXTRACT(O1587,""[0-9]+""))*1000,
VALUE(REGEXEXTRACT(O1587,""[0-9]+""))
),
0
)"),0.0)</f>
        <v>0</v>
      </c>
      <c r="E1587" s="1" t="s">
        <v>11</v>
      </c>
      <c r="F1587" s="1" t="s">
        <v>20</v>
      </c>
      <c r="G1587" s="4" t="b">
        <f t="shared" si="2"/>
        <v>1</v>
      </c>
      <c r="H1587" s="1" t="str">
        <f t="shared" si="3"/>
        <v>Currently Unavailable</v>
      </c>
      <c r="I1587" s="1" t="str">
        <f t="shared" si="4"/>
        <v>No Badges</v>
      </c>
      <c r="J1587" s="3">
        <f t="shared" si="5"/>
        <v>0</v>
      </c>
    </row>
    <row r="1588">
      <c r="A1588" s="1" t="s">
        <v>1330</v>
      </c>
      <c r="B1588" s="3" t="str">
        <f t="shared" si="1"/>
        <v>Unavailable</v>
      </c>
      <c r="C1588" s="5">
        <v>5774.0</v>
      </c>
      <c r="D1588" s="3">
        <f>IFERROR(__xludf.DUMMYFUNCTION("IFERROR(
IF(REGEXMATCH(LOWER(O1588),""k""),
VALUE(REGEXEXTRACT(O1588,""[0-9]+""))*1000,
VALUE(REGEXEXTRACT(O1588,""[0-9]+""))
),
0
)"),0.0)</f>
        <v>0</v>
      </c>
      <c r="E1588" s="1" t="s">
        <v>11</v>
      </c>
      <c r="F1588" s="1" t="s">
        <v>20</v>
      </c>
      <c r="G1588" s="4" t="b">
        <f t="shared" si="2"/>
        <v>1</v>
      </c>
      <c r="H1588" s="1" t="str">
        <f t="shared" si="3"/>
        <v>Currently Unavailable</v>
      </c>
      <c r="I1588" s="1" t="str">
        <f t="shared" si="4"/>
        <v>No Badges</v>
      </c>
      <c r="J1588" s="3">
        <f t="shared" si="5"/>
        <v>0</v>
      </c>
    </row>
    <row r="1589">
      <c r="A1589" s="1" t="s">
        <v>1331</v>
      </c>
      <c r="B1589" s="3" t="str">
        <f t="shared" si="1"/>
        <v>Unavailable</v>
      </c>
      <c r="C1589" s="5">
        <v>3386.0</v>
      </c>
      <c r="D1589" s="3">
        <f>IFERROR(__xludf.DUMMYFUNCTION("IFERROR(
IF(REGEXMATCH(LOWER(O1589),""k""),
VALUE(REGEXEXTRACT(O1589,""[0-9]+""))*1000,
VALUE(REGEXEXTRACT(O1589,""[0-9]+""))
),
0
)"),0.0)</f>
        <v>0</v>
      </c>
      <c r="E1589" s="1" t="s">
        <v>11</v>
      </c>
      <c r="F1589" s="1" t="s">
        <v>20</v>
      </c>
      <c r="G1589" s="4" t="b">
        <f t="shared" si="2"/>
        <v>1</v>
      </c>
      <c r="H1589" s="1" t="str">
        <f t="shared" si="3"/>
        <v>Currently Unavailable</v>
      </c>
      <c r="I1589" s="1" t="str">
        <f t="shared" si="4"/>
        <v>No Badges</v>
      </c>
      <c r="J1589" s="3">
        <f t="shared" si="5"/>
        <v>0</v>
      </c>
    </row>
    <row r="1590">
      <c r="A1590" s="1" t="s">
        <v>1332</v>
      </c>
      <c r="B1590" s="3" t="str">
        <f t="shared" si="1"/>
        <v>Unavailable</v>
      </c>
      <c r="C1590" s="3">
        <v>520.0</v>
      </c>
      <c r="D1590" s="3">
        <f>IFERROR(__xludf.DUMMYFUNCTION("IFERROR(
IF(REGEXMATCH(LOWER(O1590),""k""),
VALUE(REGEXEXTRACT(O1590,""[0-9]+""))*1000,
VALUE(REGEXEXTRACT(O1590,""[0-9]+""))
),
0
)"),0.0)</f>
        <v>0</v>
      </c>
      <c r="E1590" s="1" t="s">
        <v>11</v>
      </c>
      <c r="F1590" s="1" t="s">
        <v>20</v>
      </c>
      <c r="G1590" s="4" t="b">
        <f t="shared" si="2"/>
        <v>1</v>
      </c>
      <c r="H1590" s="1" t="str">
        <f t="shared" si="3"/>
        <v>Currently Unavailable</v>
      </c>
      <c r="I1590" s="1" t="str">
        <f t="shared" si="4"/>
        <v>No Badges</v>
      </c>
      <c r="J1590" s="3">
        <f t="shared" si="5"/>
        <v>0</v>
      </c>
    </row>
    <row r="1591">
      <c r="A1591" s="1" t="s">
        <v>1333</v>
      </c>
      <c r="B1591" s="3" t="str">
        <f t="shared" si="1"/>
        <v>Unavailable</v>
      </c>
      <c r="C1591" s="5">
        <v>17844.0</v>
      </c>
      <c r="D1591" s="3">
        <f>IFERROR(__xludf.DUMMYFUNCTION("IFERROR(
IF(REGEXMATCH(LOWER(O1591),""k""),
VALUE(REGEXEXTRACT(O1591,""[0-9]+""))*1000,
VALUE(REGEXEXTRACT(O1591,""[0-9]+""))
),
0
)"),0.0)</f>
        <v>0</v>
      </c>
      <c r="E1591" s="1" t="s">
        <v>11</v>
      </c>
      <c r="F1591" s="1" t="s">
        <v>20</v>
      </c>
      <c r="G1591" s="4" t="b">
        <f t="shared" si="2"/>
        <v>1</v>
      </c>
      <c r="H1591" s="1" t="str">
        <f t="shared" si="3"/>
        <v>Currently Unavailable</v>
      </c>
      <c r="I1591" s="1" t="str">
        <f t="shared" si="4"/>
        <v>No Badges</v>
      </c>
      <c r="J1591" s="3">
        <f t="shared" si="5"/>
        <v>0</v>
      </c>
    </row>
    <row r="1592">
      <c r="A1592" s="1" t="s">
        <v>1334</v>
      </c>
      <c r="B1592" s="3" t="str">
        <f t="shared" si="1"/>
        <v>Unavailable</v>
      </c>
      <c r="C1592" s="3">
        <v>478.0</v>
      </c>
      <c r="D1592" s="3">
        <f>IFERROR(__xludf.DUMMYFUNCTION("IFERROR(
IF(REGEXMATCH(LOWER(O1592),""k""),
VALUE(REGEXEXTRACT(O1592,""[0-9]+""))*1000,
VALUE(REGEXEXTRACT(O1592,""[0-9]+""))
),
0
)"),0.0)</f>
        <v>0</v>
      </c>
      <c r="E1592" s="1" t="s">
        <v>11</v>
      </c>
      <c r="F1592" s="1" t="s">
        <v>20</v>
      </c>
      <c r="G1592" s="4" t="b">
        <f t="shared" si="2"/>
        <v>1</v>
      </c>
      <c r="H1592" s="1" t="str">
        <f t="shared" si="3"/>
        <v>Currently Unavailable</v>
      </c>
      <c r="I1592" s="1" t="str">
        <f t="shared" si="4"/>
        <v>No Badges</v>
      </c>
      <c r="J1592" s="3">
        <f t="shared" si="5"/>
        <v>0</v>
      </c>
    </row>
    <row r="1593">
      <c r="A1593" s="1" t="s">
        <v>1335</v>
      </c>
      <c r="B1593" s="3" t="str">
        <f t="shared" si="1"/>
        <v>Unavailable</v>
      </c>
      <c r="C1593" s="5">
        <v>2184.0</v>
      </c>
      <c r="D1593" s="3">
        <f>IFERROR(__xludf.DUMMYFUNCTION("IFERROR(
IF(REGEXMATCH(LOWER(O1593),""k""),
VALUE(REGEXEXTRACT(O1593,""[0-9]+""))*1000,
VALUE(REGEXEXTRACT(O1593,""[0-9]+""))
),
0
)"),0.0)</f>
        <v>0</v>
      </c>
      <c r="E1593" s="1" t="s">
        <v>11</v>
      </c>
      <c r="F1593" s="1" t="s">
        <v>20</v>
      </c>
      <c r="G1593" s="4" t="b">
        <f t="shared" si="2"/>
        <v>1</v>
      </c>
      <c r="H1593" s="1" t="str">
        <f t="shared" si="3"/>
        <v>Currently Unavailable</v>
      </c>
      <c r="I1593" s="1" t="str">
        <f t="shared" si="4"/>
        <v>No Badges</v>
      </c>
      <c r="J1593" s="3">
        <f t="shared" si="5"/>
        <v>0</v>
      </c>
    </row>
    <row r="1594">
      <c r="A1594" s="1" t="s">
        <v>1336</v>
      </c>
      <c r="B1594" s="3" t="str">
        <f t="shared" si="1"/>
        <v>Unavailable</v>
      </c>
      <c r="C1594" s="5">
        <v>2472.0</v>
      </c>
      <c r="D1594" s="3">
        <f>IFERROR(__xludf.DUMMYFUNCTION("IFERROR(
IF(REGEXMATCH(LOWER(O1594),""k""),
VALUE(REGEXEXTRACT(O1594,""[0-9]+""))*1000,
VALUE(REGEXEXTRACT(O1594,""[0-9]+""))
),
0
)"),0.0)</f>
        <v>0</v>
      </c>
      <c r="E1594" s="1" t="s">
        <v>11</v>
      </c>
      <c r="F1594" s="1" t="s">
        <v>20</v>
      </c>
      <c r="G1594" s="4" t="b">
        <f t="shared" si="2"/>
        <v>1</v>
      </c>
      <c r="H1594" s="1" t="str">
        <f t="shared" si="3"/>
        <v>Currently Unavailable</v>
      </c>
      <c r="I1594" s="1" t="str">
        <f t="shared" si="4"/>
        <v>No Badges</v>
      </c>
      <c r="J1594" s="3">
        <f t="shared" si="5"/>
        <v>0</v>
      </c>
    </row>
    <row r="1595">
      <c r="A1595" s="1" t="s">
        <v>1284</v>
      </c>
      <c r="B1595" s="3" t="str">
        <f t="shared" si="1"/>
        <v>Unavailable</v>
      </c>
      <c r="C1595" s="3">
        <v>172.0</v>
      </c>
      <c r="D1595" s="3">
        <f>IFERROR(__xludf.DUMMYFUNCTION("IFERROR(
IF(REGEXMATCH(LOWER(O1595),""k""),
VALUE(REGEXEXTRACT(O1595,""[0-9]+""))*1000,
VALUE(REGEXEXTRACT(O1595,""[0-9]+""))
),
0
)"),0.0)</f>
        <v>0</v>
      </c>
      <c r="E1595" s="1" t="s">
        <v>11</v>
      </c>
      <c r="F1595" s="1" t="s">
        <v>12</v>
      </c>
      <c r="G1595" s="4" t="b">
        <f t="shared" si="2"/>
        <v>1</v>
      </c>
      <c r="H1595" s="1" t="str">
        <f t="shared" si="3"/>
        <v>Currently Unavailable</v>
      </c>
      <c r="I1595" s="1" t="str">
        <f t="shared" si="4"/>
        <v>No Badges</v>
      </c>
      <c r="J1595" s="3">
        <f t="shared" si="5"/>
        <v>0</v>
      </c>
    </row>
    <row r="1596">
      <c r="A1596" s="1" t="s">
        <v>1337</v>
      </c>
      <c r="B1596" s="3" t="str">
        <f t="shared" si="1"/>
        <v>Unavailable</v>
      </c>
      <c r="C1596" s="3">
        <v>553.0</v>
      </c>
      <c r="D1596" s="3">
        <f>IFERROR(__xludf.DUMMYFUNCTION("IFERROR(
IF(REGEXMATCH(LOWER(O1596),""k""),
VALUE(REGEXEXTRACT(O1596,""[0-9]+""))*1000,
VALUE(REGEXEXTRACT(O1596,""[0-9]+""))
),
0
)"),0.0)</f>
        <v>0</v>
      </c>
      <c r="E1596" s="1" t="s">
        <v>11</v>
      </c>
      <c r="F1596" s="1" t="s">
        <v>20</v>
      </c>
      <c r="G1596" s="4" t="b">
        <f t="shared" si="2"/>
        <v>1</v>
      </c>
      <c r="H1596" s="1" t="str">
        <f t="shared" si="3"/>
        <v>Currently Unavailable</v>
      </c>
      <c r="I1596" s="1" t="str">
        <f t="shared" si="4"/>
        <v>No Badges</v>
      </c>
      <c r="J1596" s="3">
        <f t="shared" si="5"/>
        <v>0</v>
      </c>
    </row>
    <row r="1597">
      <c r="A1597" s="1" t="s">
        <v>1338</v>
      </c>
      <c r="B1597" s="3" t="str">
        <f t="shared" si="1"/>
        <v>Unavailable</v>
      </c>
      <c r="C1597" s="5">
        <v>1908.0</v>
      </c>
      <c r="D1597" s="3">
        <f>IFERROR(__xludf.DUMMYFUNCTION("IFERROR(
IF(REGEXMATCH(LOWER(O1597),""k""),
VALUE(REGEXEXTRACT(O1597,""[0-9]+""))*1000,
VALUE(REGEXEXTRACT(O1597,""[0-9]+""))
),
0
)"),0.0)</f>
        <v>0</v>
      </c>
      <c r="E1597" s="1" t="s">
        <v>11</v>
      </c>
      <c r="F1597" s="1" t="s">
        <v>20</v>
      </c>
      <c r="G1597" s="4" t="b">
        <f t="shared" si="2"/>
        <v>1</v>
      </c>
      <c r="H1597" s="1" t="str">
        <f t="shared" si="3"/>
        <v>Currently Unavailable</v>
      </c>
      <c r="I1597" s="1" t="str">
        <f t="shared" si="4"/>
        <v>No Badges</v>
      </c>
      <c r="J1597" s="3">
        <f t="shared" si="5"/>
        <v>0</v>
      </c>
    </row>
    <row r="1598">
      <c r="A1598" s="1" t="s">
        <v>604</v>
      </c>
      <c r="B1598" s="3" t="str">
        <f t="shared" si="1"/>
        <v>Unavailable</v>
      </c>
      <c r="C1598" s="3">
        <v>30.0</v>
      </c>
      <c r="D1598" s="3">
        <f>IFERROR(__xludf.DUMMYFUNCTION("IFERROR(
IF(REGEXMATCH(LOWER(O1598),""k""),
VALUE(REGEXEXTRACT(O1598,""[0-9]+""))*1000,
VALUE(REGEXEXTRACT(O1598,""[0-9]+""))
),
0
)"),0.0)</f>
        <v>0</v>
      </c>
      <c r="E1598" s="1" t="s">
        <v>11</v>
      </c>
      <c r="F1598" s="1" t="s">
        <v>12</v>
      </c>
      <c r="G1598" s="4" t="b">
        <f t="shared" si="2"/>
        <v>1</v>
      </c>
      <c r="H1598" s="1" t="str">
        <f t="shared" si="3"/>
        <v>Currently Unavailable</v>
      </c>
      <c r="I1598" s="1" t="str">
        <f t="shared" si="4"/>
        <v>No Badges</v>
      </c>
      <c r="J1598" s="3">
        <f t="shared" si="5"/>
        <v>0</v>
      </c>
    </row>
    <row r="1599">
      <c r="A1599" s="1" t="s">
        <v>701</v>
      </c>
      <c r="B1599" s="3" t="str">
        <f t="shared" si="1"/>
        <v>Unavailable</v>
      </c>
      <c r="C1599" s="3">
        <v>8.0</v>
      </c>
      <c r="D1599" s="3">
        <f>IFERROR(__xludf.DUMMYFUNCTION("IFERROR(
IF(REGEXMATCH(LOWER(O1599),""k""),
VALUE(REGEXEXTRACT(O1599,""[0-9]+""))*1000,
VALUE(REGEXEXTRACT(O1599,""[0-9]+""))
),
0
)"),0.0)</f>
        <v>0</v>
      </c>
      <c r="E1599" s="1" t="s">
        <v>11</v>
      </c>
      <c r="F1599" s="1" t="s">
        <v>12</v>
      </c>
      <c r="G1599" s="4" t="b">
        <f t="shared" si="2"/>
        <v>1</v>
      </c>
      <c r="H1599" s="1" t="str">
        <f t="shared" si="3"/>
        <v>Currently Unavailable</v>
      </c>
      <c r="I1599" s="1" t="str">
        <f t="shared" si="4"/>
        <v>No Badges</v>
      </c>
      <c r="J1599" s="3">
        <f t="shared" si="5"/>
        <v>0</v>
      </c>
    </row>
    <row r="1600">
      <c r="A1600" s="1" t="s">
        <v>1339</v>
      </c>
      <c r="B1600" s="3" t="str">
        <f t="shared" si="1"/>
        <v>Unavailable</v>
      </c>
      <c r="C1600" s="3">
        <v>685.0</v>
      </c>
      <c r="D1600" s="3">
        <f>IFERROR(__xludf.DUMMYFUNCTION("IFERROR(
IF(REGEXMATCH(LOWER(O1600),""k""),
VALUE(REGEXEXTRACT(O1600,""[0-9]+""))*1000,
VALUE(REGEXEXTRACT(O1600,""[0-9]+""))
),
0
)"),0.0)</f>
        <v>0</v>
      </c>
      <c r="E1600" s="1" t="s">
        <v>11</v>
      </c>
      <c r="F1600" s="1" t="s">
        <v>20</v>
      </c>
      <c r="G1600" s="4" t="b">
        <f t="shared" si="2"/>
        <v>1</v>
      </c>
      <c r="H1600" s="1" t="str">
        <f t="shared" si="3"/>
        <v>Currently Unavailable</v>
      </c>
      <c r="I1600" s="1" t="str">
        <f t="shared" si="4"/>
        <v>No Badges</v>
      </c>
      <c r="J1600" s="3">
        <f t="shared" si="5"/>
        <v>0</v>
      </c>
    </row>
    <row r="1601">
      <c r="A1601" s="1" t="s">
        <v>1340</v>
      </c>
      <c r="B1601" s="3" t="str">
        <f t="shared" si="1"/>
        <v>Unavailable</v>
      </c>
      <c r="C1601" s="5">
        <v>7631.0</v>
      </c>
      <c r="D1601" s="3">
        <f>IFERROR(__xludf.DUMMYFUNCTION("IFERROR(
IF(REGEXMATCH(LOWER(O1601),""k""),
VALUE(REGEXEXTRACT(O1601,""[0-9]+""))*1000,
VALUE(REGEXEXTRACT(O1601,""[0-9]+""))
),
0
)"),0.0)</f>
        <v>0</v>
      </c>
      <c r="E1601" s="1" t="s">
        <v>11</v>
      </c>
      <c r="F1601" s="1" t="s">
        <v>20</v>
      </c>
      <c r="G1601" s="4" t="b">
        <f t="shared" si="2"/>
        <v>1</v>
      </c>
      <c r="H1601" s="1" t="str">
        <f t="shared" si="3"/>
        <v>Currently Unavailable</v>
      </c>
      <c r="I1601" s="1" t="str">
        <f t="shared" si="4"/>
        <v>No Badges</v>
      </c>
      <c r="J1601" s="3">
        <f t="shared" si="5"/>
        <v>0</v>
      </c>
    </row>
    <row r="1602">
      <c r="A1602" s="1" t="s">
        <v>1341</v>
      </c>
      <c r="B1602" s="3" t="str">
        <f t="shared" si="1"/>
        <v>Unavailable</v>
      </c>
      <c r="C1602" s="5">
        <v>2876.0</v>
      </c>
      <c r="D1602" s="3">
        <f>IFERROR(__xludf.DUMMYFUNCTION("IFERROR(
IF(REGEXMATCH(LOWER(O1602),""k""),
VALUE(REGEXEXTRACT(O1602,""[0-9]+""))*1000,
VALUE(REGEXEXTRACT(O1602,""[0-9]+""))
),
0
)"),0.0)</f>
        <v>0</v>
      </c>
      <c r="E1602" s="1" t="s">
        <v>11</v>
      </c>
      <c r="F1602" s="1" t="s">
        <v>20</v>
      </c>
      <c r="G1602" s="4" t="b">
        <f t="shared" si="2"/>
        <v>1</v>
      </c>
      <c r="H1602" s="1" t="str">
        <f t="shared" si="3"/>
        <v>Currently Unavailable</v>
      </c>
      <c r="I1602" s="1" t="str">
        <f t="shared" si="4"/>
        <v>No Badges</v>
      </c>
      <c r="J1602" s="3">
        <f t="shared" si="5"/>
        <v>0</v>
      </c>
    </row>
    <row r="1603">
      <c r="A1603" s="1" t="s">
        <v>1342</v>
      </c>
      <c r="B1603" s="3" t="str">
        <f t="shared" si="1"/>
        <v>Unavailable</v>
      </c>
      <c r="C1603" s="3">
        <v>925.0</v>
      </c>
      <c r="D1603" s="3">
        <f>IFERROR(__xludf.DUMMYFUNCTION("IFERROR(
IF(REGEXMATCH(LOWER(O1603),""k""),
VALUE(REGEXEXTRACT(O1603,""[0-9]+""))*1000,
VALUE(REGEXEXTRACT(O1603,""[0-9]+""))
),
0
)"),0.0)</f>
        <v>0</v>
      </c>
      <c r="E1603" s="1" t="s">
        <v>11</v>
      </c>
      <c r="F1603" s="1" t="s">
        <v>20</v>
      </c>
      <c r="G1603" s="4" t="b">
        <f t="shared" si="2"/>
        <v>1</v>
      </c>
      <c r="H1603" s="1" t="str">
        <f t="shared" si="3"/>
        <v>Currently Unavailable</v>
      </c>
      <c r="I1603" s="1" t="str">
        <f t="shared" si="4"/>
        <v>No Badges</v>
      </c>
      <c r="J1603" s="3">
        <f t="shared" si="5"/>
        <v>0</v>
      </c>
    </row>
    <row r="1604">
      <c r="A1604" s="1" t="s">
        <v>1284</v>
      </c>
      <c r="B1604" s="3" t="str">
        <f t="shared" si="1"/>
        <v>Unavailable</v>
      </c>
      <c r="C1604" s="3">
        <v>172.0</v>
      </c>
      <c r="D1604" s="3">
        <f>IFERROR(__xludf.DUMMYFUNCTION("IFERROR(
IF(REGEXMATCH(LOWER(O1604),""k""),
VALUE(REGEXEXTRACT(O1604,""[0-9]+""))*1000,
VALUE(REGEXEXTRACT(O1604,""[0-9]+""))
),
0
)"),0.0)</f>
        <v>0</v>
      </c>
      <c r="E1604" s="1" t="s">
        <v>11</v>
      </c>
      <c r="F1604" s="1" t="s">
        <v>12</v>
      </c>
      <c r="G1604" s="4" t="b">
        <f t="shared" si="2"/>
        <v>1</v>
      </c>
      <c r="H1604" s="1" t="str">
        <f t="shared" si="3"/>
        <v>Currently Unavailable</v>
      </c>
      <c r="I1604" s="1" t="str">
        <f t="shared" si="4"/>
        <v>No Badges</v>
      </c>
      <c r="J1604" s="3">
        <f t="shared" si="5"/>
        <v>0</v>
      </c>
    </row>
    <row r="1605">
      <c r="A1605" s="1" t="s">
        <v>1343</v>
      </c>
      <c r="B1605" s="3" t="str">
        <f t="shared" si="1"/>
        <v>Unavailable</v>
      </c>
      <c r="C1605" s="5">
        <v>1424.0</v>
      </c>
      <c r="D1605" s="3">
        <f>IFERROR(__xludf.DUMMYFUNCTION("IFERROR(
IF(REGEXMATCH(LOWER(O1605),""k""),
VALUE(REGEXEXTRACT(O1605,""[0-9]+""))*1000,
VALUE(REGEXEXTRACT(O1605,""[0-9]+""))
),
0
)"),0.0)</f>
        <v>0</v>
      </c>
      <c r="E1605" s="1" t="s">
        <v>11</v>
      </c>
      <c r="F1605" s="1" t="s">
        <v>20</v>
      </c>
      <c r="G1605" s="4" t="b">
        <f t="shared" si="2"/>
        <v>1</v>
      </c>
      <c r="H1605" s="1" t="str">
        <f t="shared" si="3"/>
        <v>Currently Unavailable</v>
      </c>
      <c r="I1605" s="1" t="str">
        <f t="shared" si="4"/>
        <v>No Badges</v>
      </c>
      <c r="J1605" s="3">
        <f t="shared" si="5"/>
        <v>0</v>
      </c>
    </row>
    <row r="1606">
      <c r="A1606" s="1" t="s">
        <v>1344</v>
      </c>
      <c r="B1606" s="3" t="str">
        <f t="shared" si="1"/>
        <v>Unavailable</v>
      </c>
      <c r="C1606" s="5">
        <v>3463.0</v>
      </c>
      <c r="D1606" s="3">
        <f>IFERROR(__xludf.DUMMYFUNCTION("IFERROR(
IF(REGEXMATCH(LOWER(O1606),""k""),
VALUE(REGEXEXTRACT(O1606,""[0-9]+""))*1000,
VALUE(REGEXEXTRACT(O1606,""[0-9]+""))
),
0
)"),0.0)</f>
        <v>0</v>
      </c>
      <c r="E1606" s="1" t="s">
        <v>11</v>
      </c>
      <c r="F1606" s="1" t="s">
        <v>20</v>
      </c>
      <c r="G1606" s="4" t="b">
        <f t="shared" si="2"/>
        <v>1</v>
      </c>
      <c r="H1606" s="1" t="str">
        <f t="shared" si="3"/>
        <v>Currently Unavailable</v>
      </c>
      <c r="I1606" s="1" t="str">
        <f t="shared" si="4"/>
        <v>No Badges</v>
      </c>
      <c r="J1606" s="3">
        <f t="shared" si="5"/>
        <v>0</v>
      </c>
    </row>
    <row r="1607">
      <c r="A1607" s="1" t="s">
        <v>1289</v>
      </c>
      <c r="B1607" s="3" t="str">
        <f t="shared" si="1"/>
        <v>Unavailable</v>
      </c>
      <c r="C1607" s="5">
        <v>2458.0</v>
      </c>
      <c r="D1607" s="3">
        <f>IFERROR(__xludf.DUMMYFUNCTION("IFERROR(
IF(REGEXMATCH(LOWER(O1607),""k""),
VALUE(REGEXEXTRACT(O1607,""[0-9]+""))*1000,
VALUE(REGEXEXTRACT(O1607,""[0-9]+""))
),
0
)"),0.0)</f>
        <v>0</v>
      </c>
      <c r="E1607" s="1" t="s">
        <v>11</v>
      </c>
      <c r="F1607" s="1" t="s">
        <v>20</v>
      </c>
      <c r="G1607" s="4" t="b">
        <f t="shared" si="2"/>
        <v>1</v>
      </c>
      <c r="H1607" s="1" t="str">
        <f t="shared" si="3"/>
        <v>Currently Unavailable</v>
      </c>
      <c r="I1607" s="1" t="str">
        <f t="shared" si="4"/>
        <v>No Badges</v>
      </c>
      <c r="J1607" s="3">
        <f t="shared" si="5"/>
        <v>0</v>
      </c>
    </row>
    <row r="1608">
      <c r="A1608" s="1" t="s">
        <v>1345</v>
      </c>
      <c r="B1608" s="3" t="str">
        <f t="shared" si="1"/>
        <v>Unavailable</v>
      </c>
      <c r="C1608" s="5">
        <v>1226.0</v>
      </c>
      <c r="D1608" s="3">
        <f>IFERROR(__xludf.DUMMYFUNCTION("IFERROR(
IF(REGEXMATCH(LOWER(O1608),""k""),
VALUE(REGEXEXTRACT(O1608,""[0-9]+""))*1000,
VALUE(REGEXEXTRACT(O1608,""[0-9]+""))
),
0
)"),0.0)</f>
        <v>0</v>
      </c>
      <c r="E1608" s="1" t="s">
        <v>11</v>
      </c>
      <c r="F1608" s="1" t="s">
        <v>20</v>
      </c>
      <c r="G1608" s="4" t="b">
        <f t="shared" si="2"/>
        <v>1</v>
      </c>
      <c r="H1608" s="1" t="str">
        <f t="shared" si="3"/>
        <v>Currently Unavailable</v>
      </c>
      <c r="I1608" s="1" t="str">
        <f t="shared" si="4"/>
        <v>No Badges</v>
      </c>
      <c r="J1608" s="3">
        <f t="shared" si="5"/>
        <v>0</v>
      </c>
    </row>
    <row r="1609">
      <c r="A1609" s="1" t="s">
        <v>1346</v>
      </c>
      <c r="B1609" s="3" t="str">
        <f t="shared" si="1"/>
        <v>Unavailable</v>
      </c>
      <c r="C1609" s="5">
        <v>3152.0</v>
      </c>
      <c r="D1609" s="3">
        <f>IFERROR(__xludf.DUMMYFUNCTION("IFERROR(
IF(REGEXMATCH(LOWER(O1609),""k""),
VALUE(REGEXEXTRACT(O1609,""[0-9]+""))*1000,
VALUE(REGEXEXTRACT(O1609,""[0-9]+""))
),
0
)"),0.0)</f>
        <v>0</v>
      </c>
      <c r="E1609" s="1" t="s">
        <v>11</v>
      </c>
      <c r="F1609" s="1" t="s">
        <v>20</v>
      </c>
      <c r="G1609" s="4" t="b">
        <f t="shared" si="2"/>
        <v>1</v>
      </c>
      <c r="H1609" s="1" t="str">
        <f t="shared" si="3"/>
        <v>Currently Unavailable</v>
      </c>
      <c r="I1609" s="1" t="str">
        <f t="shared" si="4"/>
        <v>No Badges</v>
      </c>
      <c r="J1609" s="3">
        <f t="shared" si="5"/>
        <v>0</v>
      </c>
    </row>
    <row r="1610">
      <c r="A1610" s="1" t="s">
        <v>1347</v>
      </c>
      <c r="B1610" s="3" t="str">
        <f t="shared" si="1"/>
        <v>Unavailable</v>
      </c>
      <c r="C1610" s="5">
        <v>31784.0</v>
      </c>
      <c r="D1610" s="3">
        <f>IFERROR(__xludf.DUMMYFUNCTION("IFERROR(
IF(REGEXMATCH(LOWER(O1610),""k""),
VALUE(REGEXEXTRACT(O1610,""[0-9]+""))*1000,
VALUE(REGEXEXTRACT(O1610,""[0-9]+""))
),
0
)"),0.0)</f>
        <v>0</v>
      </c>
      <c r="E1610" s="1" t="s">
        <v>11</v>
      </c>
      <c r="F1610" s="1" t="s">
        <v>20</v>
      </c>
      <c r="G1610" s="4" t="b">
        <f t="shared" si="2"/>
        <v>1</v>
      </c>
      <c r="H1610" s="1" t="str">
        <f t="shared" si="3"/>
        <v>Currently Unavailable</v>
      </c>
      <c r="I1610" s="1" t="str">
        <f t="shared" si="4"/>
        <v>No Badges</v>
      </c>
      <c r="J1610" s="3">
        <f t="shared" si="5"/>
        <v>0</v>
      </c>
    </row>
    <row r="1611">
      <c r="A1611" s="1" t="s">
        <v>1348</v>
      </c>
      <c r="B1611" s="3" t="str">
        <f t="shared" si="1"/>
        <v>Unavailable</v>
      </c>
      <c r="C1611" s="5">
        <v>1009.0</v>
      </c>
      <c r="D1611" s="3">
        <f>IFERROR(__xludf.DUMMYFUNCTION("IFERROR(
IF(REGEXMATCH(LOWER(O1611),""k""),
VALUE(REGEXEXTRACT(O1611,""[0-9]+""))*1000,
VALUE(REGEXEXTRACT(O1611,""[0-9]+""))
),
0
)"),0.0)</f>
        <v>0</v>
      </c>
      <c r="E1611" s="1" t="s">
        <v>11</v>
      </c>
      <c r="F1611" s="1" t="s">
        <v>20</v>
      </c>
      <c r="G1611" s="4" t="b">
        <f t="shared" si="2"/>
        <v>1</v>
      </c>
      <c r="H1611" s="1" t="str">
        <f t="shared" si="3"/>
        <v>Currently Unavailable</v>
      </c>
      <c r="I1611" s="1" t="str">
        <f t="shared" si="4"/>
        <v>No Badges</v>
      </c>
      <c r="J1611" s="3">
        <f t="shared" si="5"/>
        <v>0</v>
      </c>
    </row>
    <row r="1612">
      <c r="A1612" s="1" t="s">
        <v>1349</v>
      </c>
      <c r="B1612" s="3" t="str">
        <f t="shared" si="1"/>
        <v>Unavailable</v>
      </c>
      <c r="C1612" s="3">
        <v>393.0</v>
      </c>
      <c r="D1612" s="3">
        <f>IFERROR(__xludf.DUMMYFUNCTION("IFERROR(
IF(REGEXMATCH(LOWER(O1612),""k""),
VALUE(REGEXEXTRACT(O1612,""[0-9]+""))*1000,
VALUE(REGEXEXTRACT(O1612,""[0-9]+""))
),
0
)"),0.0)</f>
        <v>0</v>
      </c>
      <c r="E1612" s="1" t="s">
        <v>11</v>
      </c>
      <c r="F1612" s="1" t="s">
        <v>20</v>
      </c>
      <c r="G1612" s="4" t="b">
        <f t="shared" si="2"/>
        <v>1</v>
      </c>
      <c r="H1612" s="1" t="str">
        <f t="shared" si="3"/>
        <v>Currently Unavailable</v>
      </c>
      <c r="I1612" s="1" t="str">
        <f t="shared" si="4"/>
        <v>No Badges</v>
      </c>
      <c r="J1612" s="3">
        <f t="shared" si="5"/>
        <v>0</v>
      </c>
    </row>
    <row r="1613">
      <c r="A1613" s="1" t="s">
        <v>1285</v>
      </c>
      <c r="B1613" s="3" t="str">
        <f t="shared" si="1"/>
        <v>Unavailable</v>
      </c>
      <c r="C1613" s="5">
        <v>3520.0</v>
      </c>
      <c r="D1613" s="3">
        <f>IFERROR(__xludf.DUMMYFUNCTION("IFERROR(
IF(REGEXMATCH(LOWER(O1613),""k""),
VALUE(REGEXEXTRACT(O1613,""[0-9]+""))*1000,
VALUE(REGEXEXTRACT(O1613,""[0-9]+""))
),
0
)"),0.0)</f>
        <v>0</v>
      </c>
      <c r="E1613" s="1" t="s">
        <v>11</v>
      </c>
      <c r="F1613" s="1" t="s">
        <v>12</v>
      </c>
      <c r="G1613" s="4" t="b">
        <f t="shared" si="2"/>
        <v>1</v>
      </c>
      <c r="H1613" s="1" t="str">
        <f t="shared" si="3"/>
        <v>Currently Unavailable</v>
      </c>
      <c r="I1613" s="1" t="str">
        <f t="shared" si="4"/>
        <v>No Badges</v>
      </c>
      <c r="J1613" s="3">
        <f t="shared" si="5"/>
        <v>0</v>
      </c>
    </row>
    <row r="1614">
      <c r="A1614" s="1" t="s">
        <v>1284</v>
      </c>
      <c r="B1614" s="3" t="str">
        <f t="shared" si="1"/>
        <v>Unavailable</v>
      </c>
      <c r="C1614" s="3">
        <v>172.0</v>
      </c>
      <c r="D1614" s="3">
        <f>IFERROR(__xludf.DUMMYFUNCTION("IFERROR(
IF(REGEXMATCH(LOWER(O1614),""k""),
VALUE(REGEXEXTRACT(O1614,""[0-9]+""))*1000,
VALUE(REGEXEXTRACT(O1614,""[0-9]+""))
),
0
)"),0.0)</f>
        <v>0</v>
      </c>
      <c r="E1614" s="1" t="s">
        <v>11</v>
      </c>
      <c r="F1614" s="1" t="s">
        <v>12</v>
      </c>
      <c r="G1614" s="4" t="b">
        <f t="shared" si="2"/>
        <v>1</v>
      </c>
      <c r="H1614" s="1" t="str">
        <f t="shared" si="3"/>
        <v>Currently Unavailable</v>
      </c>
      <c r="I1614" s="1" t="str">
        <f t="shared" si="4"/>
        <v>No Badges</v>
      </c>
      <c r="J1614" s="3">
        <f t="shared" si="5"/>
        <v>0</v>
      </c>
    </row>
    <row r="1615">
      <c r="A1615" s="1" t="s">
        <v>1350</v>
      </c>
      <c r="B1615" s="3" t="str">
        <f t="shared" si="1"/>
        <v>Unavailable</v>
      </c>
      <c r="C1615" s="3">
        <v>384.0</v>
      </c>
      <c r="D1615" s="3">
        <f>IFERROR(__xludf.DUMMYFUNCTION("IFERROR(
IF(REGEXMATCH(LOWER(O1615),""k""),
VALUE(REGEXEXTRACT(O1615,""[0-9]+""))*1000,
VALUE(REGEXEXTRACT(O1615,""[0-9]+""))
),
0
)"),0.0)</f>
        <v>0</v>
      </c>
      <c r="E1615" s="1" t="s">
        <v>11</v>
      </c>
      <c r="F1615" s="1" t="s">
        <v>20</v>
      </c>
      <c r="G1615" s="4" t="b">
        <f t="shared" si="2"/>
        <v>1</v>
      </c>
      <c r="H1615" s="1" t="str">
        <f t="shared" si="3"/>
        <v>Currently Unavailable</v>
      </c>
      <c r="I1615" s="1" t="str">
        <f t="shared" si="4"/>
        <v>No Badges</v>
      </c>
      <c r="J1615" s="3">
        <f t="shared" si="5"/>
        <v>0</v>
      </c>
    </row>
    <row r="1616">
      <c r="A1616" s="1" t="s">
        <v>1351</v>
      </c>
      <c r="B1616" s="3" t="str">
        <f t="shared" si="1"/>
        <v>Unavailable</v>
      </c>
      <c r="C1616" s="3">
        <v>305.0</v>
      </c>
      <c r="D1616" s="3">
        <f>IFERROR(__xludf.DUMMYFUNCTION("IFERROR(
IF(REGEXMATCH(LOWER(O1616),""k""),
VALUE(REGEXEXTRACT(O1616,""[0-9]+""))*1000,
VALUE(REGEXEXTRACT(O1616,""[0-9]+""))
),
0
)"),0.0)</f>
        <v>0</v>
      </c>
      <c r="E1616" s="1" t="s">
        <v>11</v>
      </c>
      <c r="F1616" s="1" t="s">
        <v>20</v>
      </c>
      <c r="G1616" s="4" t="b">
        <f t="shared" si="2"/>
        <v>1</v>
      </c>
      <c r="H1616" s="1" t="str">
        <f t="shared" si="3"/>
        <v>Currently Unavailable</v>
      </c>
      <c r="I1616" s="1" t="str">
        <f t="shared" si="4"/>
        <v>No Badges</v>
      </c>
      <c r="J1616" s="3">
        <f t="shared" si="5"/>
        <v>0</v>
      </c>
    </row>
    <row r="1617">
      <c r="A1617" s="1" t="s">
        <v>1352</v>
      </c>
      <c r="B1617" s="3" t="str">
        <f t="shared" si="1"/>
        <v>Unavailable</v>
      </c>
      <c r="C1617" s="3">
        <v>628.0</v>
      </c>
      <c r="D1617" s="3">
        <f>IFERROR(__xludf.DUMMYFUNCTION("IFERROR(
IF(REGEXMATCH(LOWER(O1617),""k""),
VALUE(REGEXEXTRACT(O1617,""[0-9]+""))*1000,
VALUE(REGEXEXTRACT(O1617,""[0-9]+""))
),
0
)"),0.0)</f>
        <v>0</v>
      </c>
      <c r="E1617" s="1" t="s">
        <v>11</v>
      </c>
      <c r="F1617" s="1" t="s">
        <v>20</v>
      </c>
      <c r="G1617" s="4" t="b">
        <f t="shared" si="2"/>
        <v>1</v>
      </c>
      <c r="H1617" s="1" t="str">
        <f t="shared" si="3"/>
        <v>Currently Unavailable</v>
      </c>
      <c r="I1617" s="1" t="str">
        <f t="shared" si="4"/>
        <v>No Badges</v>
      </c>
      <c r="J1617" s="3">
        <f t="shared" si="5"/>
        <v>0</v>
      </c>
    </row>
    <row r="1618">
      <c r="A1618" s="1" t="s">
        <v>1353</v>
      </c>
      <c r="B1618" s="3" t="str">
        <f t="shared" si="1"/>
        <v>Unavailable</v>
      </c>
      <c r="C1618" s="5">
        <v>17033.0</v>
      </c>
      <c r="D1618" s="3">
        <f>IFERROR(__xludf.DUMMYFUNCTION("IFERROR(
IF(REGEXMATCH(LOWER(O1618),""k""),
VALUE(REGEXEXTRACT(O1618,""[0-9]+""))*1000,
VALUE(REGEXEXTRACT(O1618,""[0-9]+""))
),
0
)"),0.0)</f>
        <v>0</v>
      </c>
      <c r="E1618" s="1" t="s">
        <v>11</v>
      </c>
      <c r="F1618" s="1" t="s">
        <v>20</v>
      </c>
      <c r="G1618" s="4" t="b">
        <f t="shared" si="2"/>
        <v>1</v>
      </c>
      <c r="H1618" s="1" t="str">
        <f t="shared" si="3"/>
        <v>Currently Unavailable</v>
      </c>
      <c r="I1618" s="1" t="str">
        <f t="shared" si="4"/>
        <v>No Badges</v>
      </c>
      <c r="J1618" s="3">
        <f t="shared" si="5"/>
        <v>0</v>
      </c>
    </row>
    <row r="1619">
      <c r="A1619" s="1" t="s">
        <v>1354</v>
      </c>
      <c r="B1619" s="3" t="str">
        <f t="shared" si="1"/>
        <v>Unavailable</v>
      </c>
      <c r="C1619" s="3">
        <v>924.0</v>
      </c>
      <c r="D1619" s="3">
        <f>IFERROR(__xludf.DUMMYFUNCTION("IFERROR(
IF(REGEXMATCH(LOWER(O1619),""k""),
VALUE(REGEXEXTRACT(O1619,""[0-9]+""))*1000,
VALUE(REGEXEXTRACT(O1619,""[0-9]+""))
),
0
)"),0.0)</f>
        <v>0</v>
      </c>
      <c r="E1619" s="1" t="s">
        <v>158</v>
      </c>
      <c r="F1619" s="1" t="s">
        <v>20</v>
      </c>
      <c r="G1619" s="4" t="b">
        <f t="shared" si="2"/>
        <v>1</v>
      </c>
      <c r="H1619" s="1" t="str">
        <f t="shared" si="3"/>
        <v>Currently Unavailable</v>
      </c>
      <c r="I1619" s="1" t="str">
        <f t="shared" si="4"/>
        <v>No Badges</v>
      </c>
      <c r="J1619" s="3">
        <f t="shared" si="5"/>
        <v>0</v>
      </c>
    </row>
    <row r="1620">
      <c r="A1620" s="1" t="s">
        <v>1355</v>
      </c>
      <c r="B1620" s="3" t="str">
        <f t="shared" si="1"/>
        <v>Unavailable</v>
      </c>
      <c r="C1620" s="5">
        <v>1428.0</v>
      </c>
      <c r="D1620" s="3">
        <f>IFERROR(__xludf.DUMMYFUNCTION("IFERROR(
IF(REGEXMATCH(LOWER(O1620),""k""),
VALUE(REGEXEXTRACT(O1620,""[0-9]+""))*1000,
VALUE(REGEXEXTRACT(O1620,""[0-9]+""))
),
0
)"),0.0)</f>
        <v>0</v>
      </c>
      <c r="E1620" s="1" t="s">
        <v>11</v>
      </c>
      <c r="F1620" s="1" t="s">
        <v>20</v>
      </c>
      <c r="G1620" s="4" t="b">
        <f t="shared" si="2"/>
        <v>1</v>
      </c>
      <c r="H1620" s="1" t="str">
        <f t="shared" si="3"/>
        <v>Currently Unavailable</v>
      </c>
      <c r="I1620" s="1" t="str">
        <f t="shared" si="4"/>
        <v>No Badges</v>
      </c>
      <c r="J1620" s="3">
        <f t="shared" si="5"/>
        <v>0</v>
      </c>
    </row>
    <row r="1621">
      <c r="A1621" s="1" t="s">
        <v>1285</v>
      </c>
      <c r="B1621" s="3" t="str">
        <f t="shared" si="1"/>
        <v>Unavailable</v>
      </c>
      <c r="C1621" s="5">
        <v>3520.0</v>
      </c>
      <c r="D1621" s="3">
        <f>IFERROR(__xludf.DUMMYFUNCTION("IFERROR(
IF(REGEXMATCH(LOWER(O1621),""k""),
VALUE(REGEXEXTRACT(O1621,""[0-9]+""))*1000,
VALUE(REGEXEXTRACT(O1621,""[0-9]+""))
),
0
)"),0.0)</f>
        <v>0</v>
      </c>
      <c r="E1621" s="1" t="s">
        <v>11</v>
      </c>
      <c r="F1621" s="1" t="s">
        <v>12</v>
      </c>
      <c r="G1621" s="4" t="b">
        <f t="shared" si="2"/>
        <v>1</v>
      </c>
      <c r="H1621" s="1" t="str">
        <f t="shared" si="3"/>
        <v>Currently Unavailable</v>
      </c>
      <c r="I1621" s="1" t="str">
        <f t="shared" si="4"/>
        <v>No Badges</v>
      </c>
      <c r="J1621" s="3">
        <f t="shared" si="5"/>
        <v>0</v>
      </c>
    </row>
    <row r="1622">
      <c r="A1622" s="1" t="s">
        <v>1356</v>
      </c>
      <c r="B1622" s="3" t="str">
        <f t="shared" si="1"/>
        <v>Unavailable</v>
      </c>
      <c r="C1622" s="3">
        <v>561.0</v>
      </c>
      <c r="D1622" s="3">
        <f>IFERROR(__xludf.DUMMYFUNCTION("IFERROR(
IF(REGEXMATCH(LOWER(O1622),""k""),
VALUE(REGEXEXTRACT(O1622,""[0-9]+""))*1000,
VALUE(REGEXEXTRACT(O1622,""[0-9]+""))
),
0
)"),0.0)</f>
        <v>0</v>
      </c>
      <c r="E1622" s="1" t="s">
        <v>11</v>
      </c>
      <c r="F1622" s="1" t="s">
        <v>20</v>
      </c>
      <c r="G1622" s="4" t="b">
        <f t="shared" si="2"/>
        <v>1</v>
      </c>
      <c r="H1622" s="1" t="str">
        <f t="shared" si="3"/>
        <v>Currently Unavailable</v>
      </c>
      <c r="I1622" s="1" t="str">
        <f t="shared" si="4"/>
        <v>No Badges</v>
      </c>
      <c r="J1622" s="3">
        <f t="shared" si="5"/>
        <v>0</v>
      </c>
    </row>
    <row r="1623">
      <c r="A1623" s="1" t="s">
        <v>1357</v>
      </c>
      <c r="B1623" s="3" t="str">
        <f t="shared" si="1"/>
        <v>Unavailable</v>
      </c>
      <c r="C1623" s="5">
        <v>1047.0</v>
      </c>
      <c r="D1623" s="3">
        <f>IFERROR(__xludf.DUMMYFUNCTION("IFERROR(
IF(REGEXMATCH(LOWER(O1623),""k""),
VALUE(REGEXEXTRACT(O1623,""[0-9]+""))*1000,
VALUE(REGEXEXTRACT(O1623,""[0-9]+""))
),
0
)"),0.0)</f>
        <v>0</v>
      </c>
      <c r="E1623" s="1" t="s">
        <v>11</v>
      </c>
      <c r="F1623" s="1" t="s">
        <v>20</v>
      </c>
      <c r="G1623" s="4" t="b">
        <f t="shared" si="2"/>
        <v>1</v>
      </c>
      <c r="H1623" s="1" t="str">
        <f t="shared" si="3"/>
        <v>Currently Unavailable</v>
      </c>
      <c r="I1623" s="1" t="str">
        <f t="shared" si="4"/>
        <v>No Badges</v>
      </c>
      <c r="J1623" s="3">
        <f t="shared" si="5"/>
        <v>0</v>
      </c>
    </row>
    <row r="1624">
      <c r="A1624" s="1" t="s">
        <v>1358</v>
      </c>
      <c r="B1624" s="3" t="str">
        <f t="shared" si="1"/>
        <v>Unavailable</v>
      </c>
      <c r="C1624" s="5">
        <v>3970.0</v>
      </c>
      <c r="D1624" s="3">
        <f>IFERROR(__xludf.DUMMYFUNCTION("IFERROR(
IF(REGEXMATCH(LOWER(O1624),""k""),
VALUE(REGEXEXTRACT(O1624,""[0-9]+""))*1000,
VALUE(REGEXEXTRACT(O1624,""[0-9]+""))
),
0
)"),0.0)</f>
        <v>0</v>
      </c>
      <c r="E1624" s="1" t="s">
        <v>11</v>
      </c>
      <c r="F1624" s="1" t="s">
        <v>20</v>
      </c>
      <c r="G1624" s="4" t="b">
        <f t="shared" si="2"/>
        <v>1</v>
      </c>
      <c r="H1624" s="1" t="str">
        <f t="shared" si="3"/>
        <v>Currently Unavailable</v>
      </c>
      <c r="I1624" s="1" t="str">
        <f t="shared" si="4"/>
        <v>No Badges</v>
      </c>
      <c r="J1624" s="3">
        <f t="shared" si="5"/>
        <v>0</v>
      </c>
    </row>
    <row r="1625">
      <c r="A1625" s="1" t="s">
        <v>1359</v>
      </c>
      <c r="B1625" s="3" t="str">
        <f t="shared" si="1"/>
        <v>Unavailable</v>
      </c>
      <c r="C1625" s="3">
        <v>776.0</v>
      </c>
      <c r="D1625" s="3">
        <f>IFERROR(__xludf.DUMMYFUNCTION("IFERROR(
IF(REGEXMATCH(LOWER(O1625),""k""),
VALUE(REGEXEXTRACT(O1625,""[0-9]+""))*1000,
VALUE(REGEXEXTRACT(O1625,""[0-9]+""))
),
0
)"),0.0)</f>
        <v>0</v>
      </c>
      <c r="E1625" s="1" t="s">
        <v>11</v>
      </c>
      <c r="F1625" s="1" t="s">
        <v>20</v>
      </c>
      <c r="G1625" s="4" t="b">
        <f t="shared" si="2"/>
        <v>1</v>
      </c>
      <c r="H1625" s="1" t="str">
        <f t="shared" si="3"/>
        <v>Currently Unavailable</v>
      </c>
      <c r="I1625" s="1" t="str">
        <f t="shared" si="4"/>
        <v>No Badges</v>
      </c>
      <c r="J1625" s="3">
        <f t="shared" si="5"/>
        <v>0</v>
      </c>
    </row>
    <row r="1626">
      <c r="A1626" s="1" t="s">
        <v>1360</v>
      </c>
      <c r="B1626" s="3" t="str">
        <f t="shared" si="1"/>
        <v>Unavailable</v>
      </c>
      <c r="C1626" s="3">
        <v>576.0</v>
      </c>
      <c r="D1626" s="3">
        <f>IFERROR(__xludf.DUMMYFUNCTION("IFERROR(
IF(REGEXMATCH(LOWER(O1626),""k""),
VALUE(REGEXEXTRACT(O1626,""[0-9]+""))*1000,
VALUE(REGEXEXTRACT(O1626,""[0-9]+""))
),
0
)"),0.0)</f>
        <v>0</v>
      </c>
      <c r="E1626" s="1" t="s">
        <v>11</v>
      </c>
      <c r="F1626" s="1" t="s">
        <v>20</v>
      </c>
      <c r="G1626" s="4" t="b">
        <f t="shared" si="2"/>
        <v>1</v>
      </c>
      <c r="H1626" s="1" t="str">
        <f t="shared" si="3"/>
        <v>Currently Unavailable</v>
      </c>
      <c r="I1626" s="1" t="str">
        <f t="shared" si="4"/>
        <v>No Badges</v>
      </c>
      <c r="J1626" s="3">
        <f t="shared" si="5"/>
        <v>0</v>
      </c>
    </row>
    <row r="1627">
      <c r="A1627" s="1" t="s">
        <v>69</v>
      </c>
      <c r="B1627" s="3" t="str">
        <f t="shared" si="1"/>
        <v>Unavailable</v>
      </c>
      <c r="C1627" s="3">
        <v>45.0</v>
      </c>
      <c r="D1627" s="3">
        <f>IFERROR(__xludf.DUMMYFUNCTION("IFERROR(
IF(REGEXMATCH(LOWER(O1627),""k""),
VALUE(REGEXEXTRACT(O1627,""[0-9]+""))*1000,
VALUE(REGEXEXTRACT(O1627,""[0-9]+""))
),
0
)"),0.0)</f>
        <v>0</v>
      </c>
      <c r="E1627" s="1" t="s">
        <v>11</v>
      </c>
      <c r="F1627" s="1" t="s">
        <v>12</v>
      </c>
      <c r="G1627" s="4" t="b">
        <f t="shared" si="2"/>
        <v>1</v>
      </c>
      <c r="H1627" s="1" t="str">
        <f t="shared" si="3"/>
        <v>Currently Unavailable</v>
      </c>
      <c r="I1627" s="1" t="str">
        <f t="shared" si="4"/>
        <v>No Badges</v>
      </c>
      <c r="J1627" s="3">
        <f t="shared" si="5"/>
        <v>0</v>
      </c>
    </row>
    <row r="1628">
      <c r="A1628" s="1" t="s">
        <v>1361</v>
      </c>
      <c r="B1628" s="3" t="str">
        <f t="shared" si="1"/>
        <v>Unavailable</v>
      </c>
      <c r="C1628" s="5">
        <v>1061.0</v>
      </c>
      <c r="D1628" s="3">
        <f>IFERROR(__xludf.DUMMYFUNCTION("IFERROR(
IF(REGEXMATCH(LOWER(O1628),""k""),
VALUE(REGEXEXTRACT(O1628,""[0-9]+""))*1000,
VALUE(REGEXEXTRACT(O1628,""[0-9]+""))
),
0
)"),0.0)</f>
        <v>0</v>
      </c>
      <c r="E1628" s="1" t="s">
        <v>11</v>
      </c>
      <c r="F1628" s="1" t="s">
        <v>20</v>
      </c>
      <c r="G1628" s="4" t="b">
        <f t="shared" si="2"/>
        <v>1</v>
      </c>
      <c r="H1628" s="1" t="str">
        <f t="shared" si="3"/>
        <v>Currently Unavailable</v>
      </c>
      <c r="I1628" s="1" t="str">
        <f t="shared" si="4"/>
        <v>No Badges</v>
      </c>
      <c r="J1628" s="3">
        <f t="shared" si="5"/>
        <v>0</v>
      </c>
    </row>
    <row r="1629">
      <c r="A1629" s="1" t="s">
        <v>1362</v>
      </c>
      <c r="B1629" s="3" t="str">
        <f t="shared" si="1"/>
        <v>Unavailable</v>
      </c>
      <c r="C1629" s="3">
        <v>302.0</v>
      </c>
      <c r="D1629" s="3">
        <f>IFERROR(__xludf.DUMMYFUNCTION("IFERROR(
IF(REGEXMATCH(LOWER(O1629),""k""),
VALUE(REGEXEXTRACT(O1629,""[0-9]+""))*1000,
VALUE(REGEXEXTRACT(O1629,""[0-9]+""))
),
0
)"),0.0)</f>
        <v>0</v>
      </c>
      <c r="E1629" s="1" t="s">
        <v>18</v>
      </c>
      <c r="F1629" s="1" t="s">
        <v>20</v>
      </c>
      <c r="G1629" s="4" t="b">
        <f t="shared" si="2"/>
        <v>1</v>
      </c>
      <c r="H1629" s="1" t="str">
        <f t="shared" si="3"/>
        <v>Currently Unavailable</v>
      </c>
      <c r="I1629" s="1" t="str">
        <f t="shared" si="4"/>
        <v>No Badges</v>
      </c>
      <c r="J1629" s="3">
        <f t="shared" si="5"/>
        <v>0</v>
      </c>
    </row>
    <row r="1630">
      <c r="A1630" s="1" t="s">
        <v>1363</v>
      </c>
      <c r="B1630" s="3" t="str">
        <f t="shared" si="1"/>
        <v>Unavailable</v>
      </c>
      <c r="C1630" s="3">
        <v>697.0</v>
      </c>
      <c r="D1630" s="3">
        <f>IFERROR(__xludf.DUMMYFUNCTION("IFERROR(
IF(REGEXMATCH(LOWER(O1630),""k""),
VALUE(REGEXEXTRACT(O1630,""[0-9]+""))*1000,
VALUE(REGEXEXTRACT(O1630,""[0-9]+""))
),
0
)"),0.0)</f>
        <v>0</v>
      </c>
      <c r="E1630" s="1" t="s">
        <v>11</v>
      </c>
      <c r="F1630" s="1" t="s">
        <v>20</v>
      </c>
      <c r="G1630" s="4" t="b">
        <f t="shared" si="2"/>
        <v>1</v>
      </c>
      <c r="H1630" s="1" t="str">
        <f t="shared" si="3"/>
        <v>Currently Unavailable</v>
      </c>
      <c r="I1630" s="1" t="str">
        <f t="shared" si="4"/>
        <v>No Badges</v>
      </c>
      <c r="J1630" s="3">
        <f t="shared" si="5"/>
        <v>0</v>
      </c>
    </row>
    <row r="1631">
      <c r="A1631" s="1" t="s">
        <v>1364</v>
      </c>
      <c r="B1631" s="3" t="str">
        <f t="shared" si="1"/>
        <v>Unavailable</v>
      </c>
      <c r="C1631" s="5">
        <v>2188.0</v>
      </c>
      <c r="D1631" s="3">
        <f>IFERROR(__xludf.DUMMYFUNCTION("IFERROR(
IF(REGEXMATCH(LOWER(O1631),""k""),
VALUE(REGEXEXTRACT(O1631,""[0-9]+""))*1000,
VALUE(REGEXEXTRACT(O1631,""[0-9]+""))
),
0
)"),0.0)</f>
        <v>0</v>
      </c>
      <c r="E1631" s="1" t="s">
        <v>11</v>
      </c>
      <c r="F1631" s="1" t="s">
        <v>20</v>
      </c>
      <c r="G1631" s="4" t="b">
        <f t="shared" si="2"/>
        <v>1</v>
      </c>
      <c r="H1631" s="1" t="str">
        <f t="shared" si="3"/>
        <v>Currently Unavailable</v>
      </c>
      <c r="I1631" s="1" t="str">
        <f t="shared" si="4"/>
        <v>No Badges</v>
      </c>
      <c r="J1631" s="3">
        <f t="shared" si="5"/>
        <v>0</v>
      </c>
    </row>
    <row r="1632">
      <c r="A1632" s="1" t="s">
        <v>1365</v>
      </c>
      <c r="B1632" s="3" t="str">
        <f t="shared" si="1"/>
        <v>Unavailable</v>
      </c>
      <c r="C1632" s="5">
        <v>1264.0</v>
      </c>
      <c r="D1632" s="3">
        <f>IFERROR(__xludf.DUMMYFUNCTION("IFERROR(
IF(REGEXMATCH(LOWER(O1632),""k""),
VALUE(REGEXEXTRACT(O1632,""[0-9]+""))*1000,
VALUE(REGEXEXTRACT(O1632,""[0-9]+""))
),
0
)"),0.0)</f>
        <v>0</v>
      </c>
      <c r="E1632" s="1" t="s">
        <v>11</v>
      </c>
      <c r="F1632" s="1" t="s">
        <v>20</v>
      </c>
      <c r="G1632" s="4" t="b">
        <f t="shared" si="2"/>
        <v>1</v>
      </c>
      <c r="H1632" s="1" t="str">
        <f t="shared" si="3"/>
        <v>Currently Unavailable</v>
      </c>
      <c r="I1632" s="1" t="str">
        <f t="shared" si="4"/>
        <v>No Badges</v>
      </c>
      <c r="J1632" s="3">
        <f t="shared" si="5"/>
        <v>0</v>
      </c>
    </row>
    <row r="1633">
      <c r="A1633" s="1" t="s">
        <v>1366</v>
      </c>
      <c r="B1633" s="3" t="str">
        <f t="shared" si="1"/>
        <v>Unavailable</v>
      </c>
      <c r="C1633" s="3">
        <v>765.0</v>
      </c>
      <c r="D1633" s="3">
        <f>IFERROR(__xludf.DUMMYFUNCTION("IFERROR(
IF(REGEXMATCH(LOWER(O1633),""k""),
VALUE(REGEXEXTRACT(O1633,""[0-9]+""))*1000,
VALUE(REGEXEXTRACT(O1633,""[0-9]+""))
),
0
)"),0.0)</f>
        <v>0</v>
      </c>
      <c r="E1633" s="1" t="s">
        <v>11</v>
      </c>
      <c r="F1633" s="1" t="s">
        <v>20</v>
      </c>
      <c r="G1633" s="4" t="b">
        <f t="shared" si="2"/>
        <v>1</v>
      </c>
      <c r="H1633" s="1" t="str">
        <f t="shared" si="3"/>
        <v>Currently Unavailable</v>
      </c>
      <c r="I1633" s="1" t="str">
        <f t="shared" si="4"/>
        <v>No Badges</v>
      </c>
      <c r="J1633" s="3">
        <f t="shared" si="5"/>
        <v>0</v>
      </c>
    </row>
    <row r="1634">
      <c r="A1634" s="1" t="s">
        <v>1367</v>
      </c>
      <c r="B1634" s="3" t="str">
        <f t="shared" si="1"/>
        <v>Unavailable</v>
      </c>
      <c r="C1634" s="3">
        <v>37.0</v>
      </c>
      <c r="D1634" s="3">
        <f>IFERROR(__xludf.DUMMYFUNCTION("IFERROR(
IF(REGEXMATCH(LOWER(O1634),""k""),
VALUE(REGEXEXTRACT(O1634,""[0-9]+""))*1000,
VALUE(REGEXEXTRACT(O1634,""[0-9]+""))
),
0
)"),0.0)</f>
        <v>0</v>
      </c>
      <c r="E1634" s="1" t="s">
        <v>11</v>
      </c>
      <c r="F1634" s="1" t="s">
        <v>20</v>
      </c>
      <c r="G1634" s="4" t="b">
        <f t="shared" si="2"/>
        <v>1</v>
      </c>
      <c r="H1634" s="1" t="str">
        <f t="shared" si="3"/>
        <v>Currently Unavailable</v>
      </c>
      <c r="I1634" s="1" t="str">
        <f t="shared" si="4"/>
        <v>No Badges</v>
      </c>
      <c r="J1634" s="3">
        <f t="shared" si="5"/>
        <v>0</v>
      </c>
    </row>
    <row r="1635">
      <c r="A1635" s="1" t="s">
        <v>1290</v>
      </c>
      <c r="B1635" s="3" t="str">
        <f t="shared" si="1"/>
        <v>Unavailable</v>
      </c>
      <c r="C1635" s="5">
        <v>3390.0</v>
      </c>
      <c r="D1635" s="3">
        <f>IFERROR(__xludf.DUMMYFUNCTION("IFERROR(
IF(REGEXMATCH(LOWER(O1635),""k""),
VALUE(REGEXEXTRACT(O1635,""[0-9]+""))*1000,
VALUE(REGEXEXTRACT(O1635,""[0-9]+""))
),
0
)"),0.0)</f>
        <v>0</v>
      </c>
      <c r="E1635" s="1" t="s">
        <v>11</v>
      </c>
      <c r="F1635" s="1" t="s">
        <v>20</v>
      </c>
      <c r="G1635" s="4" t="b">
        <f t="shared" si="2"/>
        <v>1</v>
      </c>
      <c r="H1635" s="1" t="str">
        <f t="shared" si="3"/>
        <v>Currently Unavailable</v>
      </c>
      <c r="I1635" s="1" t="str">
        <f t="shared" si="4"/>
        <v>No Badges</v>
      </c>
      <c r="J1635" s="3">
        <f t="shared" si="5"/>
        <v>0</v>
      </c>
    </row>
    <row r="1636">
      <c r="A1636" s="1" t="s">
        <v>1368</v>
      </c>
      <c r="B1636" s="3" t="str">
        <f t="shared" si="1"/>
        <v>Unavailable</v>
      </c>
      <c r="C1636" s="5">
        <v>3393.0</v>
      </c>
      <c r="D1636" s="3">
        <f>IFERROR(__xludf.DUMMYFUNCTION("IFERROR(
IF(REGEXMATCH(LOWER(O1636),""k""),
VALUE(REGEXEXTRACT(O1636,""[0-9]+""))*1000,
VALUE(REGEXEXTRACT(O1636,""[0-9]+""))
),
0
)"),0.0)</f>
        <v>0</v>
      </c>
      <c r="E1636" s="1" t="s">
        <v>11</v>
      </c>
      <c r="F1636" s="1" t="s">
        <v>20</v>
      </c>
      <c r="G1636" s="4" t="b">
        <f t="shared" si="2"/>
        <v>1</v>
      </c>
      <c r="H1636" s="1" t="str">
        <f t="shared" si="3"/>
        <v>Currently Unavailable</v>
      </c>
      <c r="I1636" s="1" t="str">
        <f t="shared" si="4"/>
        <v>No Badges</v>
      </c>
      <c r="J1636" s="3">
        <f t="shared" si="5"/>
        <v>0</v>
      </c>
    </row>
    <row r="1637">
      <c r="A1637" s="1" t="s">
        <v>1369</v>
      </c>
      <c r="B1637" s="3" t="str">
        <f t="shared" si="1"/>
        <v>Unavailable</v>
      </c>
      <c r="C1637" s="3">
        <v>83.0</v>
      </c>
      <c r="D1637" s="3">
        <f>IFERROR(__xludf.DUMMYFUNCTION("IFERROR(
IF(REGEXMATCH(LOWER(O1637),""k""),
VALUE(REGEXEXTRACT(O1637,""[0-9]+""))*1000,
VALUE(REGEXEXTRACT(O1637,""[0-9]+""))
),
0
)"),0.0)</f>
        <v>0</v>
      </c>
      <c r="E1637" s="1" t="s">
        <v>11</v>
      </c>
      <c r="F1637" s="1" t="s">
        <v>20</v>
      </c>
      <c r="G1637" s="4" t="b">
        <f t="shared" si="2"/>
        <v>1</v>
      </c>
      <c r="H1637" s="1" t="str">
        <f t="shared" si="3"/>
        <v>Currently Unavailable</v>
      </c>
      <c r="I1637" s="1" t="str">
        <f t="shared" si="4"/>
        <v>No Badges</v>
      </c>
      <c r="J1637" s="3">
        <f t="shared" si="5"/>
        <v>0</v>
      </c>
    </row>
    <row r="1638">
      <c r="A1638" s="1" t="s">
        <v>1370</v>
      </c>
      <c r="B1638" s="3" t="str">
        <f t="shared" si="1"/>
        <v>Unavailable</v>
      </c>
      <c r="C1638" s="3">
        <v>645.0</v>
      </c>
      <c r="D1638" s="3">
        <f>IFERROR(__xludf.DUMMYFUNCTION("IFERROR(
IF(REGEXMATCH(LOWER(O1638),""k""),
VALUE(REGEXEXTRACT(O1638,""[0-9]+""))*1000,
VALUE(REGEXEXTRACT(O1638,""[0-9]+""))
),
0
)"),0.0)</f>
        <v>0</v>
      </c>
      <c r="E1638" s="1" t="s">
        <v>11</v>
      </c>
      <c r="F1638" s="1" t="s">
        <v>20</v>
      </c>
      <c r="G1638" s="4" t="b">
        <f t="shared" si="2"/>
        <v>1</v>
      </c>
      <c r="H1638" s="1" t="str">
        <f t="shared" si="3"/>
        <v>Currently Unavailable</v>
      </c>
      <c r="I1638" s="1" t="str">
        <f t="shared" si="4"/>
        <v>No Badges</v>
      </c>
      <c r="J1638" s="3">
        <f t="shared" si="5"/>
        <v>0</v>
      </c>
    </row>
    <row r="1639">
      <c r="A1639" s="1" t="s">
        <v>1371</v>
      </c>
      <c r="B1639" s="3" t="str">
        <f t="shared" si="1"/>
        <v>Unavailable</v>
      </c>
      <c r="C1639" s="5">
        <v>4820.0</v>
      </c>
      <c r="D1639" s="3">
        <f>IFERROR(__xludf.DUMMYFUNCTION("IFERROR(
IF(REGEXMATCH(LOWER(O1639),""k""),
VALUE(REGEXEXTRACT(O1639,""[0-9]+""))*1000,
VALUE(REGEXEXTRACT(O1639,""[0-9]+""))
),
0
)"),0.0)</f>
        <v>0</v>
      </c>
      <c r="E1639" s="1" t="s">
        <v>11</v>
      </c>
      <c r="F1639" s="1" t="s">
        <v>20</v>
      </c>
      <c r="G1639" s="4" t="b">
        <f t="shared" si="2"/>
        <v>1</v>
      </c>
      <c r="H1639" s="1" t="str">
        <f t="shared" si="3"/>
        <v>Currently Unavailable</v>
      </c>
      <c r="I1639" s="1" t="str">
        <f t="shared" si="4"/>
        <v>No Badges</v>
      </c>
      <c r="J1639" s="3">
        <f t="shared" si="5"/>
        <v>0</v>
      </c>
    </row>
    <row r="1640">
      <c r="A1640" s="1" t="s">
        <v>67</v>
      </c>
      <c r="B1640" s="3" t="str">
        <f t="shared" si="1"/>
        <v>Unavailable</v>
      </c>
      <c r="C1640" s="3">
        <v>264.0</v>
      </c>
      <c r="D1640" s="3">
        <f>IFERROR(__xludf.DUMMYFUNCTION("IFERROR(
IF(REGEXMATCH(LOWER(O1640),""k""),
VALUE(REGEXEXTRACT(O1640,""[0-9]+""))*1000,
VALUE(REGEXEXTRACT(O1640,""[0-9]+""))
),
0
)"),0.0)</f>
        <v>0</v>
      </c>
      <c r="E1640" s="1" t="s">
        <v>11</v>
      </c>
      <c r="F1640" s="1" t="s">
        <v>12</v>
      </c>
      <c r="G1640" s="4" t="b">
        <f t="shared" si="2"/>
        <v>1</v>
      </c>
      <c r="H1640" s="1" t="str">
        <f t="shared" si="3"/>
        <v>Currently Unavailable</v>
      </c>
      <c r="I1640" s="1" t="str">
        <f t="shared" si="4"/>
        <v>No Badges</v>
      </c>
      <c r="J1640" s="3">
        <f t="shared" si="5"/>
        <v>0</v>
      </c>
    </row>
    <row r="1641">
      <c r="A1641" s="1" t="s">
        <v>1372</v>
      </c>
      <c r="B1641" s="3" t="str">
        <f t="shared" si="1"/>
        <v>Unavailable</v>
      </c>
      <c r="C1641" s="3">
        <v>959.0</v>
      </c>
      <c r="D1641" s="3">
        <f>IFERROR(__xludf.DUMMYFUNCTION("IFERROR(
IF(REGEXMATCH(LOWER(O1641),""k""),
VALUE(REGEXEXTRACT(O1641,""[0-9]+""))*1000,
VALUE(REGEXEXTRACT(O1641,""[0-9]+""))
),
0
)"),0.0)</f>
        <v>0</v>
      </c>
      <c r="E1641" s="1" t="s">
        <v>11</v>
      </c>
      <c r="F1641" s="1" t="s">
        <v>20</v>
      </c>
      <c r="G1641" s="4" t="b">
        <f t="shared" si="2"/>
        <v>1</v>
      </c>
      <c r="H1641" s="1" t="str">
        <f t="shared" si="3"/>
        <v>Currently Unavailable</v>
      </c>
      <c r="I1641" s="1" t="str">
        <f t="shared" si="4"/>
        <v>No Badges</v>
      </c>
      <c r="J1641" s="3">
        <f t="shared" si="5"/>
        <v>0</v>
      </c>
    </row>
    <row r="1642">
      <c r="A1642" s="1" t="s">
        <v>1284</v>
      </c>
      <c r="B1642" s="3" t="str">
        <f t="shared" si="1"/>
        <v>Unavailable</v>
      </c>
      <c r="C1642" s="3">
        <v>172.0</v>
      </c>
      <c r="D1642" s="3">
        <f>IFERROR(__xludf.DUMMYFUNCTION("IFERROR(
IF(REGEXMATCH(LOWER(O1642),""k""),
VALUE(REGEXEXTRACT(O1642,""[0-9]+""))*1000,
VALUE(REGEXEXTRACT(O1642,""[0-9]+""))
),
0
)"),0.0)</f>
        <v>0</v>
      </c>
      <c r="E1642" s="1" t="s">
        <v>11</v>
      </c>
      <c r="F1642" s="1" t="s">
        <v>12</v>
      </c>
      <c r="G1642" s="4" t="b">
        <f t="shared" si="2"/>
        <v>1</v>
      </c>
      <c r="H1642" s="1" t="str">
        <f t="shared" si="3"/>
        <v>Currently Unavailable</v>
      </c>
      <c r="I1642" s="1" t="str">
        <f t="shared" si="4"/>
        <v>No Badges</v>
      </c>
      <c r="J1642" s="3">
        <f t="shared" si="5"/>
        <v>0</v>
      </c>
    </row>
    <row r="1643">
      <c r="A1643" s="1" t="s">
        <v>1373</v>
      </c>
      <c r="B1643" s="3" t="str">
        <f t="shared" si="1"/>
        <v>Unavailable</v>
      </c>
      <c r="C1643" s="5">
        <v>2311.0</v>
      </c>
      <c r="D1643" s="3">
        <f>IFERROR(__xludf.DUMMYFUNCTION("IFERROR(
IF(REGEXMATCH(LOWER(O1643),""k""),
VALUE(REGEXEXTRACT(O1643,""[0-9]+""))*1000,
VALUE(REGEXEXTRACT(O1643,""[0-9]+""))
),
0
)"),0.0)</f>
        <v>0</v>
      </c>
      <c r="E1643" s="1" t="s">
        <v>11</v>
      </c>
      <c r="F1643" s="1" t="s">
        <v>20</v>
      </c>
      <c r="G1643" s="4" t="b">
        <f t="shared" si="2"/>
        <v>1</v>
      </c>
      <c r="H1643" s="1" t="str">
        <f t="shared" si="3"/>
        <v>Currently Unavailable</v>
      </c>
      <c r="I1643" s="1" t="str">
        <f t="shared" si="4"/>
        <v>No Badges</v>
      </c>
      <c r="J1643" s="3">
        <f t="shared" si="5"/>
        <v>0</v>
      </c>
    </row>
    <row r="1644">
      <c r="A1644" s="1" t="s">
        <v>1374</v>
      </c>
      <c r="B1644" s="3" t="str">
        <f t="shared" si="1"/>
        <v>Unavailable</v>
      </c>
      <c r="C1644" s="5">
        <v>1640.0</v>
      </c>
      <c r="D1644" s="3">
        <f>IFERROR(__xludf.DUMMYFUNCTION("IFERROR(
IF(REGEXMATCH(LOWER(O1644),""k""),
VALUE(REGEXEXTRACT(O1644,""[0-9]+""))*1000,
VALUE(REGEXEXTRACT(O1644,""[0-9]+""))
),
0
)"),0.0)</f>
        <v>0</v>
      </c>
      <c r="E1644" s="1" t="s">
        <v>11</v>
      </c>
      <c r="F1644" s="1" t="s">
        <v>20</v>
      </c>
      <c r="G1644" s="4" t="b">
        <f t="shared" si="2"/>
        <v>1</v>
      </c>
      <c r="H1644" s="1" t="str">
        <f t="shared" si="3"/>
        <v>Currently Unavailable</v>
      </c>
      <c r="I1644" s="1" t="str">
        <f t="shared" si="4"/>
        <v>No Badges</v>
      </c>
      <c r="J1644" s="3">
        <f t="shared" si="5"/>
        <v>0</v>
      </c>
    </row>
    <row r="1645">
      <c r="A1645" s="1" t="s">
        <v>1375</v>
      </c>
      <c r="B1645" s="3" t="str">
        <f t="shared" si="1"/>
        <v>Unavailable</v>
      </c>
      <c r="C1645" s="5">
        <v>2100.0</v>
      </c>
      <c r="D1645" s="3">
        <f>IFERROR(__xludf.DUMMYFUNCTION("IFERROR(
IF(REGEXMATCH(LOWER(O1645),""k""),
VALUE(REGEXEXTRACT(O1645,""[0-9]+""))*1000,
VALUE(REGEXEXTRACT(O1645,""[0-9]+""))
),
0
)"),0.0)</f>
        <v>0</v>
      </c>
      <c r="E1645" s="1" t="s">
        <v>11</v>
      </c>
      <c r="F1645" s="1" t="s">
        <v>20</v>
      </c>
      <c r="G1645" s="4" t="b">
        <f t="shared" si="2"/>
        <v>1</v>
      </c>
      <c r="H1645" s="1" t="str">
        <f t="shared" si="3"/>
        <v>Currently Unavailable</v>
      </c>
      <c r="I1645" s="1" t="str">
        <f t="shared" si="4"/>
        <v>No Badges</v>
      </c>
      <c r="J1645" s="3">
        <f t="shared" si="5"/>
        <v>0</v>
      </c>
    </row>
    <row r="1646">
      <c r="A1646" s="1" t="s">
        <v>1376</v>
      </c>
      <c r="B1646" s="3" t="str">
        <f t="shared" si="1"/>
        <v>Unavailable</v>
      </c>
      <c r="C1646" s="3">
        <v>634.0</v>
      </c>
      <c r="D1646" s="3">
        <f>IFERROR(__xludf.DUMMYFUNCTION("IFERROR(
IF(REGEXMATCH(LOWER(O1646),""k""),
VALUE(REGEXEXTRACT(O1646,""[0-9]+""))*1000,
VALUE(REGEXEXTRACT(O1646,""[0-9]+""))
),
0
)"),0.0)</f>
        <v>0</v>
      </c>
      <c r="E1646" s="1" t="s">
        <v>11</v>
      </c>
      <c r="F1646" s="1" t="s">
        <v>20</v>
      </c>
      <c r="G1646" s="4" t="b">
        <f t="shared" si="2"/>
        <v>1</v>
      </c>
      <c r="H1646" s="1" t="str">
        <f t="shared" si="3"/>
        <v>Currently Unavailable</v>
      </c>
      <c r="I1646" s="1" t="str">
        <f t="shared" si="4"/>
        <v>No Badges</v>
      </c>
      <c r="J1646" s="3">
        <f t="shared" si="5"/>
        <v>0</v>
      </c>
    </row>
    <row r="1647">
      <c r="A1647" s="1" t="s">
        <v>1377</v>
      </c>
      <c r="B1647" s="3" t="str">
        <f t="shared" si="1"/>
        <v>Unavailable</v>
      </c>
      <c r="C1647" s="3">
        <v>288.0</v>
      </c>
      <c r="D1647" s="3">
        <f>IFERROR(__xludf.DUMMYFUNCTION("IFERROR(
IF(REGEXMATCH(LOWER(O1647),""k""),
VALUE(REGEXEXTRACT(O1647,""[0-9]+""))*1000,
VALUE(REGEXEXTRACT(O1647,""[0-9]+""))
),
0
)"),0.0)</f>
        <v>0</v>
      </c>
      <c r="E1647" s="1" t="s">
        <v>11</v>
      </c>
      <c r="F1647" s="1" t="s">
        <v>20</v>
      </c>
      <c r="G1647" s="4" t="b">
        <f t="shared" si="2"/>
        <v>1</v>
      </c>
      <c r="H1647" s="1" t="str">
        <f t="shared" si="3"/>
        <v>Currently Unavailable</v>
      </c>
      <c r="I1647" s="1" t="str">
        <f t="shared" si="4"/>
        <v>No Badges</v>
      </c>
      <c r="J1647" s="3">
        <f t="shared" si="5"/>
        <v>0</v>
      </c>
    </row>
    <row r="1648">
      <c r="A1648" s="1" t="s">
        <v>1285</v>
      </c>
      <c r="B1648" s="3" t="str">
        <f t="shared" si="1"/>
        <v>Unavailable</v>
      </c>
      <c r="C1648" s="5">
        <v>3520.0</v>
      </c>
      <c r="D1648" s="3">
        <f>IFERROR(__xludf.DUMMYFUNCTION("IFERROR(
IF(REGEXMATCH(LOWER(O1648),""k""),
VALUE(REGEXEXTRACT(O1648,""[0-9]+""))*1000,
VALUE(REGEXEXTRACT(O1648,""[0-9]+""))
),
0
)"),0.0)</f>
        <v>0</v>
      </c>
      <c r="E1648" s="1" t="s">
        <v>11</v>
      </c>
      <c r="F1648" s="1" t="s">
        <v>12</v>
      </c>
      <c r="G1648" s="4" t="b">
        <f t="shared" si="2"/>
        <v>1</v>
      </c>
      <c r="H1648" s="1" t="str">
        <f t="shared" si="3"/>
        <v>Currently Unavailable</v>
      </c>
      <c r="I1648" s="1" t="str">
        <f t="shared" si="4"/>
        <v>No Badges</v>
      </c>
      <c r="J1648" s="3">
        <f t="shared" si="5"/>
        <v>0</v>
      </c>
    </row>
    <row r="1649">
      <c r="A1649" s="1" t="s">
        <v>1284</v>
      </c>
      <c r="B1649" s="3" t="str">
        <f t="shared" si="1"/>
        <v>Unavailable</v>
      </c>
      <c r="C1649" s="3">
        <v>172.0</v>
      </c>
      <c r="D1649" s="3">
        <f>IFERROR(__xludf.DUMMYFUNCTION("IFERROR(
IF(REGEXMATCH(LOWER(O1649),""k""),
VALUE(REGEXEXTRACT(O1649,""[0-9]+""))*1000,
VALUE(REGEXEXTRACT(O1649,""[0-9]+""))
),
0
)"),0.0)</f>
        <v>0</v>
      </c>
      <c r="E1649" s="1" t="s">
        <v>11</v>
      </c>
      <c r="F1649" s="1" t="s">
        <v>12</v>
      </c>
      <c r="G1649" s="4" t="b">
        <f t="shared" si="2"/>
        <v>1</v>
      </c>
      <c r="H1649" s="1" t="str">
        <f t="shared" si="3"/>
        <v>Currently Unavailable</v>
      </c>
      <c r="I1649" s="1" t="str">
        <f t="shared" si="4"/>
        <v>No Badges</v>
      </c>
      <c r="J1649" s="3">
        <f t="shared" si="5"/>
        <v>0</v>
      </c>
    </row>
    <row r="1650">
      <c r="A1650" s="1" t="s">
        <v>1378</v>
      </c>
      <c r="B1650" s="3" t="str">
        <f t="shared" si="1"/>
        <v>Unavailable</v>
      </c>
      <c r="C1650" s="5">
        <v>3954.0</v>
      </c>
      <c r="D1650" s="3">
        <f>IFERROR(__xludf.DUMMYFUNCTION("IFERROR(
IF(REGEXMATCH(LOWER(O1650),""k""),
VALUE(REGEXEXTRACT(O1650,""[0-9]+""))*1000,
VALUE(REGEXEXTRACT(O1650,""[0-9]+""))
),
0
)"),0.0)</f>
        <v>0</v>
      </c>
      <c r="E1650" s="1" t="s">
        <v>18</v>
      </c>
      <c r="F1650" s="1" t="s">
        <v>20</v>
      </c>
      <c r="G1650" s="4" t="b">
        <f t="shared" si="2"/>
        <v>1</v>
      </c>
      <c r="H1650" s="1" t="str">
        <f t="shared" si="3"/>
        <v>Currently Unavailable</v>
      </c>
      <c r="I1650" s="1" t="str">
        <f t="shared" si="4"/>
        <v>No Badges</v>
      </c>
      <c r="J1650" s="3">
        <f t="shared" si="5"/>
        <v>0</v>
      </c>
    </row>
    <row r="1651">
      <c r="A1651" s="1" t="s">
        <v>1379</v>
      </c>
      <c r="B1651" s="3" t="str">
        <f t="shared" si="1"/>
        <v>Unavailable</v>
      </c>
      <c r="C1651" s="5">
        <v>1269.0</v>
      </c>
      <c r="D1651" s="3">
        <f>IFERROR(__xludf.DUMMYFUNCTION("IFERROR(
IF(REGEXMATCH(LOWER(O1651),""k""),
VALUE(REGEXEXTRACT(O1651,""[0-9]+""))*1000,
VALUE(REGEXEXTRACT(O1651,""[0-9]+""))
),
0
)"),0.0)</f>
        <v>0</v>
      </c>
      <c r="E1651" s="1" t="s">
        <v>11</v>
      </c>
      <c r="F1651" s="1" t="s">
        <v>20</v>
      </c>
      <c r="G1651" s="4" t="b">
        <f t="shared" si="2"/>
        <v>1</v>
      </c>
      <c r="H1651" s="1" t="str">
        <f t="shared" si="3"/>
        <v>Currently Unavailable</v>
      </c>
      <c r="I1651" s="1" t="str">
        <f t="shared" si="4"/>
        <v>No Badges</v>
      </c>
      <c r="J1651" s="3">
        <f t="shared" si="5"/>
        <v>0</v>
      </c>
    </row>
    <row r="1652">
      <c r="A1652" s="1" t="s">
        <v>1380</v>
      </c>
      <c r="B1652" s="3" t="str">
        <f t="shared" si="1"/>
        <v>Unavailable</v>
      </c>
      <c r="C1652" s="5">
        <v>1899.0</v>
      </c>
      <c r="D1652" s="3">
        <f>IFERROR(__xludf.DUMMYFUNCTION("IFERROR(
IF(REGEXMATCH(LOWER(O1652),""k""),
VALUE(REGEXEXTRACT(O1652,""[0-9]+""))*1000,
VALUE(REGEXEXTRACT(O1652,""[0-9]+""))
),
0
)"),0.0)</f>
        <v>0</v>
      </c>
      <c r="E1652" s="1" t="s">
        <v>158</v>
      </c>
      <c r="F1652" s="1" t="s">
        <v>20</v>
      </c>
      <c r="G1652" s="4" t="b">
        <f t="shared" si="2"/>
        <v>1</v>
      </c>
      <c r="H1652" s="1" t="str">
        <f t="shared" si="3"/>
        <v>Currently Unavailable</v>
      </c>
      <c r="I1652" s="1" t="str">
        <f t="shared" si="4"/>
        <v>No Badges</v>
      </c>
      <c r="J1652" s="3">
        <f t="shared" si="5"/>
        <v>0</v>
      </c>
    </row>
    <row r="1653">
      <c r="A1653" s="1" t="s">
        <v>1381</v>
      </c>
      <c r="B1653" s="3" t="str">
        <f t="shared" si="1"/>
        <v>Unavailable</v>
      </c>
      <c r="C1653" s="5">
        <v>2790.0</v>
      </c>
      <c r="D1653" s="3">
        <f>IFERROR(__xludf.DUMMYFUNCTION("IFERROR(
IF(REGEXMATCH(LOWER(O1653),""k""),
VALUE(REGEXEXTRACT(O1653,""[0-9]+""))*1000,
VALUE(REGEXEXTRACT(O1653,""[0-9]+""))
),
0
)"),0.0)</f>
        <v>0</v>
      </c>
      <c r="E1653" s="1" t="s">
        <v>11</v>
      </c>
      <c r="F1653" s="1" t="s">
        <v>20</v>
      </c>
      <c r="G1653" s="4" t="b">
        <f t="shared" si="2"/>
        <v>1</v>
      </c>
      <c r="H1653" s="1" t="str">
        <f t="shared" si="3"/>
        <v>Currently Unavailable</v>
      </c>
      <c r="I1653" s="1" t="str">
        <f t="shared" si="4"/>
        <v>No Badges</v>
      </c>
      <c r="J1653" s="3">
        <f t="shared" si="5"/>
        <v>0</v>
      </c>
    </row>
    <row r="1654">
      <c r="A1654" s="1" t="s">
        <v>1382</v>
      </c>
      <c r="B1654" s="3" t="str">
        <f t="shared" si="1"/>
        <v>Unavailable</v>
      </c>
      <c r="C1654" s="5">
        <v>23098.0</v>
      </c>
      <c r="D1654" s="3">
        <f>IFERROR(__xludf.DUMMYFUNCTION("IFERROR(
IF(REGEXMATCH(LOWER(O1654),""k""),
VALUE(REGEXEXTRACT(O1654,""[0-9]+""))*1000,
VALUE(REGEXEXTRACT(O1654,""[0-9]+""))
),
0
)"),0.0)</f>
        <v>0</v>
      </c>
      <c r="E1654" s="1" t="s">
        <v>11</v>
      </c>
      <c r="F1654" s="1" t="s">
        <v>20</v>
      </c>
      <c r="G1654" s="4" t="b">
        <f t="shared" si="2"/>
        <v>1</v>
      </c>
      <c r="H1654" s="1" t="str">
        <f t="shared" si="3"/>
        <v>Currently Unavailable</v>
      </c>
      <c r="I1654" s="1" t="str">
        <f t="shared" si="4"/>
        <v>No Badges</v>
      </c>
      <c r="J1654" s="3">
        <f t="shared" si="5"/>
        <v>0</v>
      </c>
    </row>
    <row r="1655">
      <c r="A1655" s="1" t="s">
        <v>1383</v>
      </c>
      <c r="B1655" s="3" t="str">
        <f t="shared" si="1"/>
        <v>Unavailable</v>
      </c>
      <c r="C1655" s="3">
        <v>67.0</v>
      </c>
      <c r="D1655" s="3">
        <f>IFERROR(__xludf.DUMMYFUNCTION("IFERROR(
IF(REGEXMATCH(LOWER(O1655),""k""),
VALUE(REGEXEXTRACT(O1655,""[0-9]+""))*1000,
VALUE(REGEXEXTRACT(O1655,""[0-9]+""))
),
0
)"),0.0)</f>
        <v>0</v>
      </c>
      <c r="E1655" s="1" t="s">
        <v>11</v>
      </c>
      <c r="F1655" s="1" t="s">
        <v>20</v>
      </c>
      <c r="G1655" s="4" t="b">
        <f t="shared" si="2"/>
        <v>1</v>
      </c>
      <c r="H1655" s="1" t="str">
        <f t="shared" si="3"/>
        <v>Currently Unavailable</v>
      </c>
      <c r="I1655" s="1" t="str">
        <f t="shared" si="4"/>
        <v>No Badges</v>
      </c>
      <c r="J1655" s="3">
        <f t="shared" si="5"/>
        <v>0</v>
      </c>
    </row>
    <row r="1656">
      <c r="A1656" s="1" t="s">
        <v>701</v>
      </c>
      <c r="B1656" s="3" t="str">
        <f t="shared" si="1"/>
        <v>Unavailable</v>
      </c>
      <c r="C1656" s="3">
        <v>8.0</v>
      </c>
      <c r="D1656" s="3">
        <f>IFERROR(__xludf.DUMMYFUNCTION("IFERROR(
IF(REGEXMATCH(LOWER(O1656),""k""),
VALUE(REGEXEXTRACT(O1656,""[0-9]+""))*1000,
VALUE(REGEXEXTRACT(O1656,""[0-9]+""))
),
0
)"),0.0)</f>
        <v>0</v>
      </c>
      <c r="E1656" s="1" t="s">
        <v>11</v>
      </c>
      <c r="F1656" s="1" t="s">
        <v>12</v>
      </c>
      <c r="G1656" s="4" t="b">
        <f t="shared" si="2"/>
        <v>1</v>
      </c>
      <c r="H1656" s="1" t="str">
        <f t="shared" si="3"/>
        <v>Currently Unavailable</v>
      </c>
      <c r="I1656" s="1" t="str">
        <f t="shared" si="4"/>
        <v>No Badges</v>
      </c>
      <c r="J1656" s="3">
        <f t="shared" si="5"/>
        <v>0</v>
      </c>
    </row>
    <row r="1657">
      <c r="A1657" s="1" t="s">
        <v>1384</v>
      </c>
      <c r="B1657" s="3" t="str">
        <f t="shared" si="1"/>
        <v>Unavailable</v>
      </c>
      <c r="C1657" s="3">
        <v>107.0</v>
      </c>
      <c r="D1657" s="3">
        <f>IFERROR(__xludf.DUMMYFUNCTION("IFERROR(
IF(REGEXMATCH(LOWER(O1657),""k""),
VALUE(REGEXEXTRACT(O1657,""[0-9]+""))*1000,
VALUE(REGEXEXTRACT(O1657,""[0-9]+""))
),
0
)"),0.0)</f>
        <v>0</v>
      </c>
      <c r="E1657" s="1" t="s">
        <v>11</v>
      </c>
      <c r="F1657" s="1" t="s">
        <v>12</v>
      </c>
      <c r="G1657" s="4" t="b">
        <f t="shared" si="2"/>
        <v>1</v>
      </c>
      <c r="H1657" s="1" t="str">
        <f t="shared" si="3"/>
        <v>Currently Unavailable</v>
      </c>
      <c r="I1657" s="1" t="str">
        <f t="shared" si="4"/>
        <v>No Badges</v>
      </c>
      <c r="J1657" s="3">
        <f t="shared" si="5"/>
        <v>0</v>
      </c>
    </row>
    <row r="1658">
      <c r="A1658" s="1" t="s">
        <v>1385</v>
      </c>
      <c r="B1658" s="3" t="str">
        <f t="shared" si="1"/>
        <v>Unavailable</v>
      </c>
      <c r="C1658" s="5">
        <v>12564.0</v>
      </c>
      <c r="D1658" s="3">
        <f>IFERROR(__xludf.DUMMYFUNCTION("IFERROR(
IF(REGEXMATCH(LOWER(O1658),""k""),
VALUE(REGEXEXTRACT(O1658,""[0-9]+""))*1000,
VALUE(REGEXEXTRACT(O1658,""[0-9]+""))
),
0
)"),0.0)</f>
        <v>0</v>
      </c>
      <c r="E1658" s="1" t="s">
        <v>11</v>
      </c>
      <c r="F1658" s="1" t="s">
        <v>20</v>
      </c>
      <c r="G1658" s="4" t="b">
        <f t="shared" si="2"/>
        <v>1</v>
      </c>
      <c r="H1658" s="1" t="str">
        <f t="shared" si="3"/>
        <v>Currently Unavailable</v>
      </c>
      <c r="I1658" s="1" t="str">
        <f t="shared" si="4"/>
        <v>No Badges</v>
      </c>
      <c r="J1658" s="3">
        <f t="shared" si="5"/>
        <v>0</v>
      </c>
    </row>
    <row r="1659">
      <c r="A1659" s="1" t="s">
        <v>1386</v>
      </c>
      <c r="B1659" s="3" t="str">
        <f t="shared" si="1"/>
        <v>Unavailable</v>
      </c>
      <c r="C1659" s="5">
        <v>1434.0</v>
      </c>
      <c r="D1659" s="3">
        <f>IFERROR(__xludf.DUMMYFUNCTION("IFERROR(
IF(REGEXMATCH(LOWER(O1659),""k""),
VALUE(REGEXEXTRACT(O1659,""[0-9]+""))*1000,
VALUE(REGEXEXTRACT(O1659,""[0-9]+""))
),
0
)"),0.0)</f>
        <v>0</v>
      </c>
      <c r="E1659" s="1" t="s">
        <v>11</v>
      </c>
      <c r="F1659" s="1" t="s">
        <v>20</v>
      </c>
      <c r="G1659" s="4" t="b">
        <f t="shared" si="2"/>
        <v>1</v>
      </c>
      <c r="H1659" s="1" t="str">
        <f t="shared" si="3"/>
        <v>Currently Unavailable</v>
      </c>
      <c r="I1659" s="1" t="str">
        <f t="shared" si="4"/>
        <v>No Badges</v>
      </c>
      <c r="J1659" s="3">
        <f t="shared" si="5"/>
        <v>0</v>
      </c>
    </row>
    <row r="1660">
      <c r="A1660" s="1" t="s">
        <v>69</v>
      </c>
      <c r="B1660" s="3" t="str">
        <f t="shared" si="1"/>
        <v>Unavailable</v>
      </c>
      <c r="C1660" s="3">
        <v>45.0</v>
      </c>
      <c r="D1660" s="3">
        <f>IFERROR(__xludf.DUMMYFUNCTION("IFERROR(
IF(REGEXMATCH(LOWER(O1660),""k""),
VALUE(REGEXEXTRACT(O1660,""[0-9]+""))*1000,
VALUE(REGEXEXTRACT(O1660,""[0-9]+""))
),
0
)"),0.0)</f>
        <v>0</v>
      </c>
      <c r="E1660" s="1" t="s">
        <v>11</v>
      </c>
      <c r="F1660" s="1" t="s">
        <v>12</v>
      </c>
      <c r="G1660" s="4" t="b">
        <f t="shared" si="2"/>
        <v>1</v>
      </c>
      <c r="H1660" s="1" t="str">
        <f t="shared" si="3"/>
        <v>Currently Unavailable</v>
      </c>
      <c r="I1660" s="1" t="str">
        <f t="shared" si="4"/>
        <v>No Badges</v>
      </c>
      <c r="J1660" s="3">
        <f t="shared" si="5"/>
        <v>0</v>
      </c>
    </row>
    <row r="1661">
      <c r="A1661" s="1" t="s">
        <v>1285</v>
      </c>
      <c r="B1661" s="3" t="str">
        <f t="shared" si="1"/>
        <v>Unavailable</v>
      </c>
      <c r="C1661" s="5">
        <v>3520.0</v>
      </c>
      <c r="D1661" s="3">
        <f>IFERROR(__xludf.DUMMYFUNCTION("IFERROR(
IF(REGEXMATCH(LOWER(O1661),""k""),
VALUE(REGEXEXTRACT(O1661,""[0-9]+""))*1000,
VALUE(REGEXEXTRACT(O1661,""[0-9]+""))
),
0
)"),0.0)</f>
        <v>0</v>
      </c>
      <c r="E1661" s="1" t="s">
        <v>11</v>
      </c>
      <c r="F1661" s="1" t="s">
        <v>12</v>
      </c>
      <c r="G1661" s="4" t="b">
        <f t="shared" si="2"/>
        <v>1</v>
      </c>
      <c r="H1661" s="1" t="str">
        <f t="shared" si="3"/>
        <v>Currently Unavailable</v>
      </c>
      <c r="I1661" s="1" t="str">
        <f t="shared" si="4"/>
        <v>No Badges</v>
      </c>
      <c r="J1661" s="3">
        <f t="shared" si="5"/>
        <v>0</v>
      </c>
    </row>
    <row r="1662">
      <c r="A1662" s="1" t="s">
        <v>1387</v>
      </c>
      <c r="B1662" s="3" t="str">
        <f t="shared" si="1"/>
        <v>Unavailable</v>
      </c>
      <c r="C1662" s="5">
        <v>1018.0</v>
      </c>
      <c r="D1662" s="3">
        <f>IFERROR(__xludf.DUMMYFUNCTION("IFERROR(
IF(REGEXMATCH(LOWER(O1662),""k""),
VALUE(REGEXEXTRACT(O1662,""[0-9]+""))*1000,
VALUE(REGEXEXTRACT(O1662,""[0-9]+""))
),
0
)"),0.0)</f>
        <v>0</v>
      </c>
      <c r="E1662" s="1" t="s">
        <v>11</v>
      </c>
      <c r="F1662" s="1" t="s">
        <v>20</v>
      </c>
      <c r="G1662" s="4" t="b">
        <f t="shared" si="2"/>
        <v>1</v>
      </c>
      <c r="H1662" s="1" t="str">
        <f t="shared" si="3"/>
        <v>Currently Unavailable</v>
      </c>
      <c r="I1662" s="1" t="str">
        <f t="shared" si="4"/>
        <v>No Badges</v>
      </c>
      <c r="J1662" s="3">
        <f t="shared" si="5"/>
        <v>0</v>
      </c>
    </row>
    <row r="1663">
      <c r="A1663" s="1" t="s">
        <v>1388</v>
      </c>
      <c r="B1663" s="3" t="str">
        <f t="shared" si="1"/>
        <v>Unavailable</v>
      </c>
      <c r="C1663" s="5">
        <v>2546.0</v>
      </c>
      <c r="D1663" s="3">
        <f>IFERROR(__xludf.DUMMYFUNCTION("IFERROR(
IF(REGEXMATCH(LOWER(O1663),""k""),
VALUE(REGEXEXTRACT(O1663,""[0-9]+""))*1000,
VALUE(REGEXEXTRACT(O1663,""[0-9]+""))
),
0
)"),0.0)</f>
        <v>0</v>
      </c>
      <c r="E1663" s="1" t="s">
        <v>11</v>
      </c>
      <c r="F1663" s="1" t="s">
        <v>20</v>
      </c>
      <c r="G1663" s="4" t="b">
        <f t="shared" si="2"/>
        <v>1</v>
      </c>
      <c r="H1663" s="1" t="str">
        <f t="shared" si="3"/>
        <v>Currently Unavailable</v>
      </c>
      <c r="I1663" s="1" t="str">
        <f t="shared" si="4"/>
        <v>No Badges</v>
      </c>
      <c r="J1663" s="3">
        <f t="shared" si="5"/>
        <v>0</v>
      </c>
    </row>
    <row r="1664">
      <c r="A1664" s="1" t="s">
        <v>1389</v>
      </c>
      <c r="B1664" s="3" t="str">
        <f t="shared" si="1"/>
        <v>Unavailable</v>
      </c>
      <c r="C1664" s="3">
        <v>728.0</v>
      </c>
      <c r="D1664" s="3">
        <f>IFERROR(__xludf.DUMMYFUNCTION("IFERROR(
IF(REGEXMATCH(LOWER(O1664),""k""),
VALUE(REGEXEXTRACT(O1664,""[0-9]+""))*1000,
VALUE(REGEXEXTRACT(O1664,""[0-9]+""))
),
0
)"),0.0)</f>
        <v>0</v>
      </c>
      <c r="E1664" s="1" t="s">
        <v>11</v>
      </c>
      <c r="F1664" s="1" t="s">
        <v>20</v>
      </c>
      <c r="G1664" s="4" t="b">
        <f t="shared" si="2"/>
        <v>1</v>
      </c>
      <c r="H1664" s="1" t="str">
        <f t="shared" si="3"/>
        <v>Currently Unavailable</v>
      </c>
      <c r="I1664" s="1" t="str">
        <f t="shared" si="4"/>
        <v>No Badges</v>
      </c>
      <c r="J1664" s="3">
        <f t="shared" si="5"/>
        <v>0</v>
      </c>
    </row>
    <row r="1665">
      <c r="A1665" s="1" t="s">
        <v>1390</v>
      </c>
      <c r="B1665" s="3" t="str">
        <f t="shared" si="1"/>
        <v>Unavailable</v>
      </c>
      <c r="C1665" s="3">
        <v>187.0</v>
      </c>
      <c r="D1665" s="3">
        <f>IFERROR(__xludf.DUMMYFUNCTION("IFERROR(
IF(REGEXMATCH(LOWER(O1665),""k""),
VALUE(REGEXEXTRACT(O1665,""[0-9]+""))*1000,
VALUE(REGEXEXTRACT(O1665,""[0-9]+""))
),
0
)"),0.0)</f>
        <v>0</v>
      </c>
      <c r="E1665" s="1" t="s">
        <v>11</v>
      </c>
      <c r="F1665" s="1" t="s">
        <v>20</v>
      </c>
      <c r="G1665" s="4" t="b">
        <f t="shared" si="2"/>
        <v>1</v>
      </c>
      <c r="H1665" s="1" t="str">
        <f t="shared" si="3"/>
        <v>Currently Unavailable</v>
      </c>
      <c r="I1665" s="1" t="str">
        <f t="shared" si="4"/>
        <v>No Badges</v>
      </c>
      <c r="J1665" s="3">
        <f t="shared" si="5"/>
        <v>0</v>
      </c>
    </row>
    <row r="1666">
      <c r="A1666" s="1" t="s">
        <v>1391</v>
      </c>
      <c r="B1666" s="3" t="str">
        <f t="shared" si="1"/>
        <v>Unavailable</v>
      </c>
      <c r="C1666" s="3">
        <v>83.0</v>
      </c>
      <c r="D1666" s="3">
        <f>IFERROR(__xludf.DUMMYFUNCTION("IFERROR(
IF(REGEXMATCH(LOWER(O1666),""k""),
VALUE(REGEXEXTRACT(O1666,""[0-9]+""))*1000,
VALUE(REGEXEXTRACT(O1666,""[0-9]+""))
),
0
)"),0.0)</f>
        <v>0</v>
      </c>
      <c r="E1666" s="1" t="s">
        <v>11</v>
      </c>
      <c r="F1666" s="1" t="s">
        <v>20</v>
      </c>
      <c r="G1666" s="4" t="b">
        <f t="shared" si="2"/>
        <v>1</v>
      </c>
      <c r="H1666" s="1" t="str">
        <f t="shared" si="3"/>
        <v>Currently Unavailable</v>
      </c>
      <c r="I1666" s="1" t="str">
        <f t="shared" si="4"/>
        <v>No Badges</v>
      </c>
      <c r="J1666" s="3">
        <f t="shared" si="5"/>
        <v>0</v>
      </c>
    </row>
    <row r="1667">
      <c r="A1667" s="1" t="s">
        <v>1392</v>
      </c>
      <c r="B1667" s="3" t="str">
        <f t="shared" si="1"/>
        <v>Unavailable</v>
      </c>
      <c r="C1667" s="5">
        <v>1750.0</v>
      </c>
      <c r="D1667" s="3">
        <f>IFERROR(__xludf.DUMMYFUNCTION("IFERROR(
IF(REGEXMATCH(LOWER(O1667),""k""),
VALUE(REGEXEXTRACT(O1667,""[0-9]+""))*1000,
VALUE(REGEXEXTRACT(O1667,""[0-9]+""))
),
0
)"),0.0)</f>
        <v>0</v>
      </c>
      <c r="E1667" s="1" t="s">
        <v>11</v>
      </c>
      <c r="F1667" s="1" t="s">
        <v>20</v>
      </c>
      <c r="G1667" s="4" t="b">
        <f t="shared" si="2"/>
        <v>1</v>
      </c>
      <c r="H1667" s="1" t="str">
        <f t="shared" si="3"/>
        <v>Currently Unavailable</v>
      </c>
      <c r="I1667" s="1" t="str">
        <f t="shared" si="4"/>
        <v>No Badges</v>
      </c>
      <c r="J1667" s="3">
        <f t="shared" si="5"/>
        <v>0</v>
      </c>
    </row>
    <row r="1668">
      <c r="A1668" s="1" t="s">
        <v>1393</v>
      </c>
      <c r="B1668" s="3" t="str">
        <f t="shared" si="1"/>
        <v>Unavailable</v>
      </c>
      <c r="C1668" s="3">
        <v>694.0</v>
      </c>
      <c r="D1668" s="3">
        <f>IFERROR(__xludf.DUMMYFUNCTION("IFERROR(
IF(REGEXMATCH(LOWER(O1668),""k""),
VALUE(REGEXEXTRACT(O1668,""[0-9]+""))*1000,
VALUE(REGEXEXTRACT(O1668,""[0-9]+""))
),
0
)"),0.0)</f>
        <v>0</v>
      </c>
      <c r="E1668" s="1" t="s">
        <v>11</v>
      </c>
      <c r="F1668" s="1" t="s">
        <v>20</v>
      </c>
      <c r="G1668" s="4" t="b">
        <f t="shared" si="2"/>
        <v>1</v>
      </c>
      <c r="H1668" s="1" t="str">
        <f t="shared" si="3"/>
        <v>Currently Unavailable</v>
      </c>
      <c r="I1668" s="1" t="str">
        <f t="shared" si="4"/>
        <v>No Badges</v>
      </c>
      <c r="J1668" s="3">
        <f t="shared" si="5"/>
        <v>0</v>
      </c>
    </row>
    <row r="1669">
      <c r="A1669" s="1" t="s">
        <v>1394</v>
      </c>
      <c r="B1669" s="3" t="str">
        <f t="shared" si="1"/>
        <v>Unavailable</v>
      </c>
      <c r="C1669" s="3">
        <v>925.0</v>
      </c>
      <c r="D1669" s="3">
        <f>IFERROR(__xludf.DUMMYFUNCTION("IFERROR(
IF(REGEXMATCH(LOWER(O1669),""k""),
VALUE(REGEXEXTRACT(O1669,""[0-9]+""))*1000,
VALUE(REGEXEXTRACT(O1669,""[0-9]+""))
),
0
)"),0.0)</f>
        <v>0</v>
      </c>
      <c r="E1669" s="1" t="s">
        <v>11</v>
      </c>
      <c r="F1669" s="1" t="s">
        <v>20</v>
      </c>
      <c r="G1669" s="4" t="b">
        <f t="shared" si="2"/>
        <v>1</v>
      </c>
      <c r="H1669" s="1" t="str">
        <f t="shared" si="3"/>
        <v>Currently Unavailable</v>
      </c>
      <c r="I1669" s="1" t="str">
        <f t="shared" si="4"/>
        <v>No Badges</v>
      </c>
      <c r="J1669" s="3">
        <f t="shared" si="5"/>
        <v>0</v>
      </c>
    </row>
    <row r="1670">
      <c r="A1670" s="1" t="s">
        <v>1395</v>
      </c>
      <c r="B1670" s="3" t="str">
        <f t="shared" si="1"/>
        <v>Unavailable</v>
      </c>
      <c r="C1670" s="5">
        <v>7940.0</v>
      </c>
      <c r="D1670" s="3">
        <f>IFERROR(__xludf.DUMMYFUNCTION("IFERROR(
IF(REGEXMATCH(LOWER(O1670),""k""),
VALUE(REGEXEXTRACT(O1670,""[0-9]+""))*1000,
VALUE(REGEXEXTRACT(O1670,""[0-9]+""))
),
0
)"),0.0)</f>
        <v>0</v>
      </c>
      <c r="E1670" s="1" t="s">
        <v>11</v>
      </c>
      <c r="F1670" s="1" t="s">
        <v>20</v>
      </c>
      <c r="G1670" s="4" t="b">
        <f t="shared" si="2"/>
        <v>1</v>
      </c>
      <c r="H1670" s="1" t="str">
        <f t="shared" si="3"/>
        <v>Currently Unavailable</v>
      </c>
      <c r="I1670" s="1" t="str">
        <f t="shared" si="4"/>
        <v>No Badges</v>
      </c>
      <c r="J1670" s="3">
        <f t="shared" si="5"/>
        <v>0</v>
      </c>
    </row>
    <row r="1671">
      <c r="A1671" s="1" t="s">
        <v>1396</v>
      </c>
      <c r="B1671" s="3" t="str">
        <f t="shared" si="1"/>
        <v>Unavailable</v>
      </c>
      <c r="C1671" s="5">
        <v>3464.0</v>
      </c>
      <c r="D1671" s="3">
        <f>IFERROR(__xludf.DUMMYFUNCTION("IFERROR(
IF(REGEXMATCH(LOWER(O1671),""k""),
VALUE(REGEXEXTRACT(O1671,""[0-9]+""))*1000,
VALUE(REGEXEXTRACT(O1671,""[0-9]+""))
),
0
)"),0.0)</f>
        <v>0</v>
      </c>
      <c r="E1671" s="1" t="s">
        <v>11</v>
      </c>
      <c r="F1671" s="1" t="s">
        <v>20</v>
      </c>
      <c r="G1671" s="4" t="b">
        <f t="shared" si="2"/>
        <v>1</v>
      </c>
      <c r="H1671" s="1" t="str">
        <f t="shared" si="3"/>
        <v>Currently Unavailable</v>
      </c>
      <c r="I1671" s="1" t="str">
        <f t="shared" si="4"/>
        <v>No Badges</v>
      </c>
      <c r="J1671" s="3">
        <f t="shared" si="5"/>
        <v>0</v>
      </c>
    </row>
    <row r="1672">
      <c r="A1672" s="1" t="s">
        <v>1397</v>
      </c>
      <c r="B1672" s="3" t="str">
        <f t="shared" si="1"/>
        <v>Unavailable</v>
      </c>
      <c r="C1672" s="5">
        <v>31163.0</v>
      </c>
      <c r="D1672" s="3">
        <f>IFERROR(__xludf.DUMMYFUNCTION("IFERROR(
IF(REGEXMATCH(LOWER(O1672),""k""),
VALUE(REGEXEXTRACT(O1672,""[0-9]+""))*1000,
VALUE(REGEXEXTRACT(O1672,""[0-9]+""))
),
0
)"),0.0)</f>
        <v>0</v>
      </c>
      <c r="E1672" s="1" t="s">
        <v>11</v>
      </c>
      <c r="F1672" s="1" t="s">
        <v>20</v>
      </c>
      <c r="G1672" s="4" t="b">
        <f t="shared" si="2"/>
        <v>1</v>
      </c>
      <c r="H1672" s="1" t="str">
        <f t="shared" si="3"/>
        <v>Currently Unavailable</v>
      </c>
      <c r="I1672" s="1" t="str">
        <f t="shared" si="4"/>
        <v>No Badges</v>
      </c>
      <c r="J1672" s="3">
        <f t="shared" si="5"/>
        <v>0</v>
      </c>
    </row>
    <row r="1673">
      <c r="A1673" s="1" t="s">
        <v>67</v>
      </c>
      <c r="B1673" s="3" t="str">
        <f t="shared" si="1"/>
        <v>Unavailable</v>
      </c>
      <c r="C1673" s="3">
        <v>264.0</v>
      </c>
      <c r="D1673" s="3">
        <f>IFERROR(__xludf.DUMMYFUNCTION("IFERROR(
IF(REGEXMATCH(LOWER(O1673),""k""),
VALUE(REGEXEXTRACT(O1673,""[0-9]+""))*1000,
VALUE(REGEXEXTRACT(O1673,""[0-9]+""))
),
0
)"),0.0)</f>
        <v>0</v>
      </c>
      <c r="E1673" s="1" t="s">
        <v>11</v>
      </c>
      <c r="F1673" s="1" t="s">
        <v>12</v>
      </c>
      <c r="G1673" s="4" t="b">
        <f t="shared" si="2"/>
        <v>1</v>
      </c>
      <c r="H1673" s="1" t="str">
        <f t="shared" si="3"/>
        <v>Currently Unavailable</v>
      </c>
      <c r="I1673" s="1" t="str">
        <f t="shared" si="4"/>
        <v>No Badges</v>
      </c>
      <c r="J1673" s="3">
        <f t="shared" si="5"/>
        <v>0</v>
      </c>
    </row>
    <row r="1674">
      <c r="A1674" s="1" t="s">
        <v>701</v>
      </c>
      <c r="B1674" s="3" t="str">
        <f t="shared" si="1"/>
        <v>Unavailable</v>
      </c>
      <c r="C1674" s="3">
        <v>8.0</v>
      </c>
      <c r="D1674" s="3">
        <f>IFERROR(__xludf.DUMMYFUNCTION("IFERROR(
IF(REGEXMATCH(LOWER(O1674),""k""),
VALUE(REGEXEXTRACT(O1674,""[0-9]+""))*1000,
VALUE(REGEXEXTRACT(O1674,""[0-9]+""))
),
0
)"),0.0)</f>
        <v>0</v>
      </c>
      <c r="E1674" s="1" t="s">
        <v>11</v>
      </c>
      <c r="F1674" s="1" t="s">
        <v>12</v>
      </c>
      <c r="G1674" s="4" t="b">
        <f t="shared" si="2"/>
        <v>1</v>
      </c>
      <c r="H1674" s="1" t="str">
        <f t="shared" si="3"/>
        <v>Currently Unavailable</v>
      </c>
      <c r="I1674" s="1" t="str">
        <f t="shared" si="4"/>
        <v>No Badges</v>
      </c>
      <c r="J1674" s="3">
        <f t="shared" si="5"/>
        <v>0</v>
      </c>
    </row>
    <row r="1675">
      <c r="A1675" s="1" t="s">
        <v>1398</v>
      </c>
      <c r="B1675" s="3" t="str">
        <f t="shared" si="1"/>
        <v>Unavailable</v>
      </c>
      <c r="C1675" s="3">
        <v>165.0</v>
      </c>
      <c r="D1675" s="3">
        <f>IFERROR(__xludf.DUMMYFUNCTION("IFERROR(
IF(REGEXMATCH(LOWER(O1675),""k""),
VALUE(REGEXEXTRACT(O1675,""[0-9]+""))*1000,
VALUE(REGEXEXTRACT(O1675,""[0-9]+""))
),
0
)"),0.0)</f>
        <v>0</v>
      </c>
      <c r="E1675" s="1" t="s">
        <v>11</v>
      </c>
      <c r="F1675" s="1" t="s">
        <v>20</v>
      </c>
      <c r="G1675" s="4" t="b">
        <f t="shared" si="2"/>
        <v>1</v>
      </c>
      <c r="H1675" s="1" t="str">
        <f t="shared" si="3"/>
        <v>Currently Unavailable</v>
      </c>
      <c r="I1675" s="1" t="str">
        <f t="shared" si="4"/>
        <v>No Badges</v>
      </c>
      <c r="J1675" s="3">
        <f t="shared" si="5"/>
        <v>0</v>
      </c>
    </row>
    <row r="1676">
      <c r="A1676" s="1" t="s">
        <v>1399</v>
      </c>
      <c r="B1676" s="3" t="str">
        <f t="shared" si="1"/>
        <v>Unavailable</v>
      </c>
      <c r="C1676" s="5">
        <v>2782.0</v>
      </c>
      <c r="D1676" s="3">
        <f>IFERROR(__xludf.DUMMYFUNCTION("IFERROR(
IF(REGEXMATCH(LOWER(O1676),""k""),
VALUE(REGEXEXTRACT(O1676,""[0-9]+""))*1000,
VALUE(REGEXEXTRACT(O1676,""[0-9]+""))
),
0
)"),0.0)</f>
        <v>0</v>
      </c>
      <c r="E1676" s="1" t="s">
        <v>11</v>
      </c>
      <c r="F1676" s="1" t="s">
        <v>20</v>
      </c>
      <c r="G1676" s="4" t="b">
        <f t="shared" si="2"/>
        <v>1</v>
      </c>
      <c r="H1676" s="1" t="str">
        <f t="shared" si="3"/>
        <v>Currently Unavailable</v>
      </c>
      <c r="I1676" s="1" t="str">
        <f t="shared" si="4"/>
        <v>No Badges</v>
      </c>
      <c r="J1676" s="3">
        <f t="shared" si="5"/>
        <v>0</v>
      </c>
    </row>
    <row r="1677">
      <c r="A1677" s="1" t="s">
        <v>1400</v>
      </c>
      <c r="B1677" s="3" t="str">
        <f t="shared" si="1"/>
        <v>Unavailable</v>
      </c>
      <c r="C1677" s="5">
        <v>3002.0</v>
      </c>
      <c r="D1677" s="3">
        <f>IFERROR(__xludf.DUMMYFUNCTION("IFERROR(
IF(REGEXMATCH(LOWER(O1677),""k""),
VALUE(REGEXEXTRACT(O1677,""[0-9]+""))*1000,
VALUE(REGEXEXTRACT(O1677,""[0-9]+""))
),
0
)"),0.0)</f>
        <v>0</v>
      </c>
      <c r="E1677" s="1" t="s">
        <v>11</v>
      </c>
      <c r="F1677" s="1" t="s">
        <v>20</v>
      </c>
      <c r="G1677" s="4" t="b">
        <f t="shared" si="2"/>
        <v>1</v>
      </c>
      <c r="H1677" s="1" t="str">
        <f t="shared" si="3"/>
        <v>Currently Unavailable</v>
      </c>
      <c r="I1677" s="1" t="str">
        <f t="shared" si="4"/>
        <v>No Badges</v>
      </c>
      <c r="J1677" s="3">
        <f t="shared" si="5"/>
        <v>0</v>
      </c>
    </row>
    <row r="1678">
      <c r="A1678" s="1" t="s">
        <v>1401</v>
      </c>
      <c r="B1678" s="3" t="str">
        <f t="shared" si="1"/>
        <v>Unavailable</v>
      </c>
      <c r="C1678" s="3">
        <v>64.0</v>
      </c>
      <c r="D1678" s="3">
        <f>IFERROR(__xludf.DUMMYFUNCTION("IFERROR(
IF(REGEXMATCH(LOWER(O1678),""k""),
VALUE(REGEXEXTRACT(O1678,""[0-9]+""))*1000,
VALUE(REGEXEXTRACT(O1678,""[0-9]+""))
),
0
)"),0.0)</f>
        <v>0</v>
      </c>
      <c r="E1678" s="1" t="s">
        <v>11</v>
      </c>
      <c r="F1678" s="1" t="s">
        <v>20</v>
      </c>
      <c r="G1678" s="4" t="b">
        <f t="shared" si="2"/>
        <v>1</v>
      </c>
      <c r="H1678" s="1" t="str">
        <f t="shared" si="3"/>
        <v>Currently Unavailable</v>
      </c>
      <c r="I1678" s="1" t="str">
        <f t="shared" si="4"/>
        <v>No Badges</v>
      </c>
      <c r="J1678" s="3">
        <f t="shared" si="5"/>
        <v>0</v>
      </c>
    </row>
    <row r="1679">
      <c r="A1679" s="1" t="s">
        <v>1402</v>
      </c>
      <c r="B1679" s="3" t="str">
        <f t="shared" si="1"/>
        <v>Unavailable</v>
      </c>
      <c r="C1679" s="5">
        <v>1348.0</v>
      </c>
      <c r="D1679" s="3">
        <f>IFERROR(__xludf.DUMMYFUNCTION("IFERROR(
IF(REGEXMATCH(LOWER(O1679),""k""),
VALUE(REGEXEXTRACT(O1679,""[0-9]+""))*1000,
VALUE(REGEXEXTRACT(O1679,""[0-9]+""))
),
0
)"),0.0)</f>
        <v>0</v>
      </c>
      <c r="E1679" s="1" t="s">
        <v>11</v>
      </c>
      <c r="F1679" s="1" t="s">
        <v>20</v>
      </c>
      <c r="G1679" s="4" t="b">
        <f t="shared" si="2"/>
        <v>1</v>
      </c>
      <c r="H1679" s="1" t="str">
        <f t="shared" si="3"/>
        <v>Currently Unavailable</v>
      </c>
      <c r="I1679" s="1" t="str">
        <f t="shared" si="4"/>
        <v>No Badges</v>
      </c>
      <c r="J1679" s="3">
        <f t="shared" si="5"/>
        <v>0</v>
      </c>
    </row>
    <row r="1680">
      <c r="A1680" s="1" t="s">
        <v>1403</v>
      </c>
      <c r="B1680" s="3" t="str">
        <f t="shared" si="1"/>
        <v>Unavailable</v>
      </c>
      <c r="C1680" s="5">
        <v>9167.0</v>
      </c>
      <c r="D1680" s="3">
        <f>IFERROR(__xludf.DUMMYFUNCTION("IFERROR(
IF(REGEXMATCH(LOWER(O1680),""k""),
VALUE(REGEXEXTRACT(O1680,""[0-9]+""))*1000,
VALUE(REGEXEXTRACT(O1680,""[0-9]+""))
),
0
)"),0.0)</f>
        <v>0</v>
      </c>
      <c r="E1680" s="1" t="s">
        <v>158</v>
      </c>
      <c r="F1680" s="1" t="s">
        <v>20</v>
      </c>
      <c r="G1680" s="4" t="b">
        <f t="shared" si="2"/>
        <v>1</v>
      </c>
      <c r="H1680" s="1" t="str">
        <f t="shared" si="3"/>
        <v>Currently Unavailable</v>
      </c>
      <c r="I1680" s="1" t="str">
        <f t="shared" si="4"/>
        <v>No Badges</v>
      </c>
      <c r="J1680" s="3">
        <f t="shared" si="5"/>
        <v>0</v>
      </c>
    </row>
    <row r="1681">
      <c r="A1681" s="1" t="s">
        <v>1404</v>
      </c>
      <c r="B1681" s="3" t="str">
        <f t="shared" si="1"/>
        <v>Unavailable</v>
      </c>
      <c r="C1681" s="5">
        <v>10077.0</v>
      </c>
      <c r="D1681" s="3">
        <f>IFERROR(__xludf.DUMMYFUNCTION("IFERROR(
IF(REGEXMATCH(LOWER(O1681),""k""),
VALUE(REGEXEXTRACT(O1681,""[0-9]+""))*1000,
VALUE(REGEXEXTRACT(O1681,""[0-9]+""))
),
0
)"),0.0)</f>
        <v>0</v>
      </c>
      <c r="E1681" s="1" t="s">
        <v>11</v>
      </c>
      <c r="F1681" s="1" t="s">
        <v>20</v>
      </c>
      <c r="G1681" s="4" t="b">
        <f t="shared" si="2"/>
        <v>1</v>
      </c>
      <c r="H1681" s="1" t="str">
        <f t="shared" si="3"/>
        <v>Currently Unavailable</v>
      </c>
      <c r="I1681" s="1" t="str">
        <f t="shared" si="4"/>
        <v>No Badges</v>
      </c>
      <c r="J1681" s="3">
        <f t="shared" si="5"/>
        <v>0</v>
      </c>
    </row>
    <row r="1682">
      <c r="A1682" s="1" t="s">
        <v>1405</v>
      </c>
      <c r="B1682" s="3" t="str">
        <f t="shared" si="1"/>
        <v>Unavailable</v>
      </c>
      <c r="C1682" s="5">
        <v>2673.0</v>
      </c>
      <c r="D1682" s="3">
        <f>IFERROR(__xludf.DUMMYFUNCTION("IFERROR(
IF(REGEXMATCH(LOWER(O1682),""k""),
VALUE(REGEXEXTRACT(O1682,""[0-9]+""))*1000,
VALUE(REGEXEXTRACT(O1682,""[0-9]+""))
),
0
)"),0.0)</f>
        <v>0</v>
      </c>
      <c r="E1682" s="1" t="s">
        <v>11</v>
      </c>
      <c r="F1682" s="1" t="s">
        <v>20</v>
      </c>
      <c r="G1682" s="4" t="b">
        <f t="shared" si="2"/>
        <v>1</v>
      </c>
      <c r="H1682" s="1" t="str">
        <f t="shared" si="3"/>
        <v>Currently Unavailable</v>
      </c>
      <c r="I1682" s="1" t="str">
        <f t="shared" si="4"/>
        <v>No Badges</v>
      </c>
      <c r="J1682" s="3">
        <f t="shared" si="5"/>
        <v>0</v>
      </c>
    </row>
    <row r="1683">
      <c r="A1683" s="1" t="s">
        <v>1406</v>
      </c>
      <c r="B1683" s="3" t="str">
        <f t="shared" si="1"/>
        <v>Unavailable</v>
      </c>
      <c r="C1683" s="5">
        <v>10602.0</v>
      </c>
      <c r="D1683" s="3">
        <f>IFERROR(__xludf.DUMMYFUNCTION("IFERROR(
IF(REGEXMATCH(LOWER(O1683),""k""),
VALUE(REGEXEXTRACT(O1683,""[0-9]+""))*1000,
VALUE(REGEXEXTRACT(O1683,""[0-9]+""))
),
0
)"),0.0)</f>
        <v>0</v>
      </c>
      <c r="E1683" s="1" t="s">
        <v>11</v>
      </c>
      <c r="F1683" s="1" t="s">
        <v>20</v>
      </c>
      <c r="G1683" s="4" t="b">
        <f t="shared" si="2"/>
        <v>1</v>
      </c>
      <c r="H1683" s="1" t="str">
        <f t="shared" si="3"/>
        <v>Currently Unavailable</v>
      </c>
      <c r="I1683" s="1" t="str">
        <f t="shared" si="4"/>
        <v>No Badges</v>
      </c>
      <c r="J1683" s="3">
        <f t="shared" si="5"/>
        <v>0</v>
      </c>
    </row>
    <row r="1684">
      <c r="A1684" s="1" t="s">
        <v>1407</v>
      </c>
      <c r="B1684" s="3" t="str">
        <f t="shared" si="1"/>
        <v>Unavailable</v>
      </c>
      <c r="C1684" s="3">
        <v>738.0</v>
      </c>
      <c r="D1684" s="3">
        <f>IFERROR(__xludf.DUMMYFUNCTION("IFERROR(
IF(REGEXMATCH(LOWER(O1684),""k""),
VALUE(REGEXEXTRACT(O1684,""[0-9]+""))*1000,
VALUE(REGEXEXTRACT(O1684,""[0-9]+""))
),
0
)"),0.0)</f>
        <v>0</v>
      </c>
      <c r="E1684" s="1" t="s">
        <v>11</v>
      </c>
      <c r="F1684" s="1" t="s">
        <v>20</v>
      </c>
      <c r="G1684" s="4" t="b">
        <f t="shared" si="2"/>
        <v>1</v>
      </c>
      <c r="H1684" s="1" t="str">
        <f t="shared" si="3"/>
        <v>Currently Unavailable</v>
      </c>
      <c r="I1684" s="1" t="str">
        <f t="shared" si="4"/>
        <v>No Badges</v>
      </c>
      <c r="J1684" s="3">
        <f t="shared" si="5"/>
        <v>0</v>
      </c>
    </row>
    <row r="1685">
      <c r="A1685" s="1" t="s">
        <v>1408</v>
      </c>
      <c r="B1685" s="3" t="str">
        <f t="shared" si="1"/>
        <v>Unavailable</v>
      </c>
      <c r="C1685" s="5">
        <v>9584.0</v>
      </c>
      <c r="D1685" s="3">
        <f>IFERROR(__xludf.DUMMYFUNCTION("IFERROR(
IF(REGEXMATCH(LOWER(O1685),""k""),
VALUE(REGEXEXTRACT(O1685,""[0-9]+""))*1000,
VALUE(REGEXEXTRACT(O1685,""[0-9]+""))
),
0
)"),0.0)</f>
        <v>0</v>
      </c>
      <c r="E1685" s="1" t="s">
        <v>158</v>
      </c>
      <c r="F1685" s="1" t="s">
        <v>20</v>
      </c>
      <c r="G1685" s="4" t="b">
        <f t="shared" si="2"/>
        <v>1</v>
      </c>
      <c r="H1685" s="1" t="str">
        <f t="shared" si="3"/>
        <v>Currently Unavailable</v>
      </c>
      <c r="I1685" s="1" t="str">
        <f t="shared" si="4"/>
        <v>No Badges</v>
      </c>
      <c r="J1685" s="3">
        <f t="shared" si="5"/>
        <v>0</v>
      </c>
    </row>
    <row r="1686">
      <c r="A1686" s="1" t="s">
        <v>1409</v>
      </c>
      <c r="B1686" s="3" t="str">
        <f t="shared" si="1"/>
        <v>Unavailable</v>
      </c>
      <c r="C1686" s="5">
        <v>3802.0</v>
      </c>
      <c r="D1686" s="3">
        <f>IFERROR(__xludf.DUMMYFUNCTION("IFERROR(
IF(REGEXMATCH(LOWER(O1686),""k""),
VALUE(REGEXEXTRACT(O1686,""[0-9]+""))*1000,
VALUE(REGEXEXTRACT(O1686,""[0-9]+""))
),
0
)"),0.0)</f>
        <v>0</v>
      </c>
      <c r="E1686" s="1" t="s">
        <v>11</v>
      </c>
      <c r="F1686" s="1" t="s">
        <v>20</v>
      </c>
      <c r="G1686" s="4" t="b">
        <f t="shared" si="2"/>
        <v>1</v>
      </c>
      <c r="H1686" s="1" t="str">
        <f t="shared" si="3"/>
        <v>Currently Unavailable</v>
      </c>
      <c r="I1686" s="1" t="str">
        <f t="shared" si="4"/>
        <v>No Badges</v>
      </c>
      <c r="J1686" s="3">
        <f t="shared" si="5"/>
        <v>0</v>
      </c>
    </row>
    <row r="1687">
      <c r="A1687" s="1" t="s">
        <v>1284</v>
      </c>
      <c r="B1687" s="3" t="str">
        <f t="shared" si="1"/>
        <v>Unavailable</v>
      </c>
      <c r="C1687" s="3">
        <v>172.0</v>
      </c>
      <c r="D1687" s="3">
        <f>IFERROR(__xludf.DUMMYFUNCTION("IFERROR(
IF(REGEXMATCH(LOWER(O1687),""k""),
VALUE(REGEXEXTRACT(O1687,""[0-9]+""))*1000,
VALUE(REGEXEXTRACT(O1687,""[0-9]+""))
),
0
)"),0.0)</f>
        <v>0</v>
      </c>
      <c r="E1687" s="1" t="s">
        <v>11</v>
      </c>
      <c r="F1687" s="1" t="s">
        <v>12</v>
      </c>
      <c r="G1687" s="4" t="b">
        <f t="shared" si="2"/>
        <v>1</v>
      </c>
      <c r="H1687" s="1" t="str">
        <f t="shared" si="3"/>
        <v>Currently Unavailable</v>
      </c>
      <c r="I1687" s="1" t="str">
        <f t="shared" si="4"/>
        <v>No Badges</v>
      </c>
      <c r="J1687" s="3">
        <f t="shared" si="5"/>
        <v>0</v>
      </c>
    </row>
    <row r="1688">
      <c r="A1688" s="1" t="s">
        <v>1410</v>
      </c>
      <c r="B1688" s="3" t="str">
        <f t="shared" si="1"/>
        <v>Unavailable</v>
      </c>
      <c r="C1688" s="3">
        <v>668.0</v>
      </c>
      <c r="D1688" s="3">
        <f>IFERROR(__xludf.DUMMYFUNCTION("IFERROR(
IF(REGEXMATCH(LOWER(O1688),""k""),
VALUE(REGEXEXTRACT(O1688,""[0-9]+""))*1000,
VALUE(REGEXEXTRACT(O1688,""[0-9]+""))
),
0
)"),0.0)</f>
        <v>0</v>
      </c>
      <c r="E1688" s="1" t="s">
        <v>11</v>
      </c>
      <c r="F1688" s="1" t="s">
        <v>20</v>
      </c>
      <c r="G1688" s="4" t="b">
        <f t="shared" si="2"/>
        <v>1</v>
      </c>
      <c r="H1688" s="1" t="str">
        <f t="shared" si="3"/>
        <v>Currently Unavailable</v>
      </c>
      <c r="I1688" s="1" t="str">
        <f t="shared" si="4"/>
        <v>No Badges</v>
      </c>
      <c r="J1688" s="3">
        <f t="shared" si="5"/>
        <v>0</v>
      </c>
    </row>
    <row r="1689">
      <c r="A1689" s="1" t="s">
        <v>1411</v>
      </c>
      <c r="B1689" s="3" t="str">
        <f t="shared" si="1"/>
        <v>Unavailable</v>
      </c>
      <c r="C1689" s="5">
        <v>12263.0</v>
      </c>
      <c r="D1689" s="3">
        <f>IFERROR(__xludf.DUMMYFUNCTION("IFERROR(
IF(REGEXMATCH(LOWER(O1689),""k""),
VALUE(REGEXEXTRACT(O1689,""[0-9]+""))*1000,
VALUE(REGEXEXTRACT(O1689,""[0-9]+""))
),
0
)"),0.0)</f>
        <v>0</v>
      </c>
      <c r="E1689" s="1" t="s">
        <v>11</v>
      </c>
      <c r="F1689" s="1" t="s">
        <v>20</v>
      </c>
      <c r="G1689" s="4" t="b">
        <f t="shared" si="2"/>
        <v>1</v>
      </c>
      <c r="H1689" s="1" t="str">
        <f t="shared" si="3"/>
        <v>Currently Unavailable</v>
      </c>
      <c r="I1689" s="1" t="str">
        <f t="shared" si="4"/>
        <v>No Badges</v>
      </c>
      <c r="J1689" s="3">
        <f t="shared" si="5"/>
        <v>0</v>
      </c>
    </row>
    <row r="1690">
      <c r="A1690" s="1" t="s">
        <v>88</v>
      </c>
      <c r="B1690" s="3" t="str">
        <f t="shared" si="1"/>
        <v>Unavailable</v>
      </c>
      <c r="C1690" s="3">
        <v>5.0</v>
      </c>
      <c r="D1690" s="3">
        <f>IFERROR(__xludf.DUMMYFUNCTION("IFERROR(
IF(REGEXMATCH(LOWER(O1690),""k""),
VALUE(REGEXEXTRACT(O1690,""[0-9]+""))*1000,
VALUE(REGEXEXTRACT(O1690,""[0-9]+""))
),
0
)"),0.0)</f>
        <v>0</v>
      </c>
      <c r="E1690" s="1" t="s">
        <v>11</v>
      </c>
      <c r="F1690" s="1" t="s">
        <v>12</v>
      </c>
      <c r="G1690" s="4" t="b">
        <f t="shared" si="2"/>
        <v>1</v>
      </c>
      <c r="H1690" s="1" t="str">
        <f t="shared" si="3"/>
        <v>Currently Unavailable</v>
      </c>
      <c r="I1690" s="1" t="str">
        <f t="shared" si="4"/>
        <v>No Badges</v>
      </c>
      <c r="J1690" s="3">
        <f t="shared" si="5"/>
        <v>0</v>
      </c>
    </row>
    <row r="1691">
      <c r="A1691" s="1" t="s">
        <v>1412</v>
      </c>
      <c r="B1691" s="3" t="str">
        <f t="shared" si="1"/>
        <v>Unavailable</v>
      </c>
      <c r="C1691" s="3">
        <v>919.0</v>
      </c>
      <c r="D1691" s="3">
        <f>IFERROR(__xludf.DUMMYFUNCTION("IFERROR(
IF(REGEXMATCH(LOWER(O1691),""k""),
VALUE(REGEXEXTRACT(O1691,""[0-9]+""))*1000,
VALUE(REGEXEXTRACT(O1691,""[0-9]+""))
),
0
)"),0.0)</f>
        <v>0</v>
      </c>
      <c r="E1691" s="1" t="s">
        <v>11</v>
      </c>
      <c r="F1691" s="1" t="s">
        <v>20</v>
      </c>
      <c r="G1691" s="4" t="b">
        <f t="shared" si="2"/>
        <v>1</v>
      </c>
      <c r="H1691" s="1" t="str">
        <f t="shared" si="3"/>
        <v>Currently Unavailable</v>
      </c>
      <c r="I1691" s="1" t="str">
        <f t="shared" si="4"/>
        <v>No Badges</v>
      </c>
      <c r="J1691" s="3">
        <f t="shared" si="5"/>
        <v>0</v>
      </c>
    </row>
    <row r="1692">
      <c r="A1692" s="1" t="s">
        <v>1413</v>
      </c>
      <c r="B1692" s="3" t="str">
        <f t="shared" si="1"/>
        <v>Unavailable</v>
      </c>
      <c r="C1692" s="3">
        <v>44.0</v>
      </c>
      <c r="D1692" s="3">
        <f>IFERROR(__xludf.DUMMYFUNCTION("IFERROR(
IF(REGEXMATCH(LOWER(O1692),""k""),
VALUE(REGEXEXTRACT(O1692,""[0-9]+""))*1000,
VALUE(REGEXEXTRACT(O1692,""[0-9]+""))
),
0
)"),0.0)</f>
        <v>0</v>
      </c>
      <c r="E1692" s="1" t="s">
        <v>11</v>
      </c>
      <c r="F1692" s="1" t="s">
        <v>20</v>
      </c>
      <c r="G1692" s="4" t="b">
        <f t="shared" si="2"/>
        <v>1</v>
      </c>
      <c r="H1692" s="1" t="str">
        <f t="shared" si="3"/>
        <v>Currently Unavailable</v>
      </c>
      <c r="I1692" s="1" t="str">
        <f t="shared" si="4"/>
        <v>No Badges</v>
      </c>
      <c r="J1692" s="3">
        <f t="shared" si="5"/>
        <v>0</v>
      </c>
    </row>
    <row r="1693">
      <c r="A1693" s="1" t="s">
        <v>69</v>
      </c>
      <c r="B1693" s="3" t="str">
        <f t="shared" si="1"/>
        <v>Unavailable</v>
      </c>
      <c r="C1693" s="3">
        <v>45.0</v>
      </c>
      <c r="D1693" s="3">
        <f>IFERROR(__xludf.DUMMYFUNCTION("IFERROR(
IF(REGEXMATCH(LOWER(O1693),""k""),
VALUE(REGEXEXTRACT(O1693,""[0-9]+""))*1000,
VALUE(REGEXEXTRACT(O1693,""[0-9]+""))
),
0
)"),0.0)</f>
        <v>0</v>
      </c>
      <c r="E1693" s="1" t="s">
        <v>11</v>
      </c>
      <c r="F1693" s="1" t="s">
        <v>12</v>
      </c>
      <c r="G1693" s="4" t="b">
        <f t="shared" si="2"/>
        <v>1</v>
      </c>
      <c r="H1693" s="1" t="str">
        <f t="shared" si="3"/>
        <v>Currently Unavailable</v>
      </c>
      <c r="I1693" s="1" t="str">
        <f t="shared" si="4"/>
        <v>No Badges</v>
      </c>
      <c r="J1693" s="3">
        <f t="shared" si="5"/>
        <v>0</v>
      </c>
    </row>
    <row r="1694">
      <c r="A1694" s="1" t="s">
        <v>1285</v>
      </c>
      <c r="B1694" s="3" t="str">
        <f t="shared" si="1"/>
        <v>Unavailable</v>
      </c>
      <c r="C1694" s="5">
        <v>3520.0</v>
      </c>
      <c r="D1694" s="3">
        <f>IFERROR(__xludf.DUMMYFUNCTION("IFERROR(
IF(REGEXMATCH(LOWER(O1694),""k""),
VALUE(REGEXEXTRACT(O1694,""[0-9]+""))*1000,
VALUE(REGEXEXTRACT(O1694,""[0-9]+""))
),
0
)"),0.0)</f>
        <v>0</v>
      </c>
      <c r="E1694" s="1" t="s">
        <v>11</v>
      </c>
      <c r="F1694" s="1" t="s">
        <v>12</v>
      </c>
      <c r="G1694" s="4" t="b">
        <f t="shared" si="2"/>
        <v>1</v>
      </c>
      <c r="H1694" s="1" t="str">
        <f t="shared" si="3"/>
        <v>Currently Unavailable</v>
      </c>
      <c r="I1694" s="1" t="str">
        <f t="shared" si="4"/>
        <v>No Badges</v>
      </c>
      <c r="J1694" s="3">
        <f t="shared" si="5"/>
        <v>0</v>
      </c>
    </row>
    <row r="1695">
      <c r="A1695" s="1" t="s">
        <v>1284</v>
      </c>
      <c r="B1695" s="3" t="str">
        <f t="shared" si="1"/>
        <v>Unavailable</v>
      </c>
      <c r="C1695" s="3">
        <v>172.0</v>
      </c>
      <c r="D1695" s="3">
        <f>IFERROR(__xludf.DUMMYFUNCTION("IFERROR(
IF(REGEXMATCH(LOWER(O1695),""k""),
VALUE(REGEXEXTRACT(O1695,""[0-9]+""))*1000,
VALUE(REGEXEXTRACT(O1695,""[0-9]+""))
),
0
)"),0.0)</f>
        <v>0</v>
      </c>
      <c r="E1695" s="1" t="s">
        <v>11</v>
      </c>
      <c r="F1695" s="1" t="s">
        <v>12</v>
      </c>
      <c r="G1695" s="4" t="b">
        <f t="shared" si="2"/>
        <v>1</v>
      </c>
      <c r="H1695" s="1" t="str">
        <f t="shared" si="3"/>
        <v>Currently Unavailable</v>
      </c>
      <c r="I1695" s="1" t="str">
        <f t="shared" si="4"/>
        <v>No Badges</v>
      </c>
      <c r="J1695" s="3">
        <f t="shared" si="5"/>
        <v>0</v>
      </c>
    </row>
    <row r="1696">
      <c r="A1696" s="1" t="s">
        <v>1414</v>
      </c>
      <c r="B1696" s="3" t="str">
        <f t="shared" si="1"/>
        <v>Unavailable</v>
      </c>
      <c r="C1696" s="3">
        <v>170.0</v>
      </c>
      <c r="D1696" s="3">
        <f>IFERROR(__xludf.DUMMYFUNCTION("IFERROR(
IF(REGEXMATCH(LOWER(O1696),""k""),
VALUE(REGEXEXTRACT(O1696,""[0-9]+""))*1000,
VALUE(REGEXEXTRACT(O1696,""[0-9]+""))
),
0
)"),0.0)</f>
        <v>0</v>
      </c>
      <c r="E1696" s="1" t="s">
        <v>11</v>
      </c>
      <c r="F1696" s="1" t="s">
        <v>20</v>
      </c>
      <c r="G1696" s="4" t="b">
        <f t="shared" si="2"/>
        <v>1</v>
      </c>
      <c r="H1696" s="1" t="str">
        <f t="shared" si="3"/>
        <v>Currently Unavailable</v>
      </c>
      <c r="I1696" s="1" t="str">
        <f t="shared" si="4"/>
        <v>No Badges</v>
      </c>
      <c r="J1696" s="3">
        <f t="shared" si="5"/>
        <v>0</v>
      </c>
    </row>
    <row r="1697">
      <c r="A1697" s="1" t="s">
        <v>1415</v>
      </c>
      <c r="B1697" s="3" t="str">
        <f t="shared" si="1"/>
        <v>Unavailable</v>
      </c>
      <c r="C1697" s="5">
        <v>2357.0</v>
      </c>
      <c r="D1697" s="3">
        <f>IFERROR(__xludf.DUMMYFUNCTION("IFERROR(
IF(REGEXMATCH(LOWER(O1697),""k""),
VALUE(REGEXEXTRACT(O1697,""[0-9]+""))*1000,
VALUE(REGEXEXTRACT(O1697,""[0-9]+""))
),
0
)"),0.0)</f>
        <v>0</v>
      </c>
      <c r="E1697" s="1" t="s">
        <v>158</v>
      </c>
      <c r="F1697" s="1" t="s">
        <v>20</v>
      </c>
      <c r="G1697" s="4" t="b">
        <f t="shared" si="2"/>
        <v>1</v>
      </c>
      <c r="H1697" s="1" t="str">
        <f t="shared" si="3"/>
        <v>Currently Unavailable</v>
      </c>
      <c r="I1697" s="1" t="str">
        <f t="shared" si="4"/>
        <v>No Badges</v>
      </c>
      <c r="J1697" s="3">
        <f t="shared" si="5"/>
        <v>0</v>
      </c>
    </row>
    <row r="1698">
      <c r="A1698" s="1" t="s">
        <v>1416</v>
      </c>
      <c r="B1698" s="3" t="str">
        <f t="shared" si="1"/>
        <v>Unavailable</v>
      </c>
      <c r="C1698" s="5">
        <v>3448.0</v>
      </c>
      <c r="D1698" s="3">
        <f>IFERROR(__xludf.DUMMYFUNCTION("IFERROR(
IF(REGEXMATCH(LOWER(O1698),""k""),
VALUE(REGEXEXTRACT(O1698,""[0-9]+""))*1000,
VALUE(REGEXEXTRACT(O1698,""[0-9]+""))
),
0
)"),0.0)</f>
        <v>0</v>
      </c>
      <c r="E1698" s="1" t="s">
        <v>11</v>
      </c>
      <c r="F1698" s="1" t="s">
        <v>20</v>
      </c>
      <c r="G1698" s="4" t="b">
        <f t="shared" si="2"/>
        <v>1</v>
      </c>
      <c r="H1698" s="1" t="str">
        <f t="shared" si="3"/>
        <v>Currently Unavailable</v>
      </c>
      <c r="I1698" s="1" t="str">
        <f t="shared" si="4"/>
        <v>No Badges</v>
      </c>
      <c r="J1698" s="3">
        <f t="shared" si="5"/>
        <v>0</v>
      </c>
    </row>
    <row r="1699">
      <c r="A1699" s="1" t="s">
        <v>1417</v>
      </c>
      <c r="B1699" s="3" t="str">
        <f t="shared" si="1"/>
        <v>Unavailable</v>
      </c>
      <c r="C1699" s="5">
        <v>1480.0</v>
      </c>
      <c r="D1699" s="3">
        <f>IFERROR(__xludf.DUMMYFUNCTION("IFERROR(
IF(REGEXMATCH(LOWER(O1699),""k""),
VALUE(REGEXEXTRACT(O1699,""[0-9]+""))*1000,
VALUE(REGEXEXTRACT(O1699,""[0-9]+""))
),
0
)"),0.0)</f>
        <v>0</v>
      </c>
      <c r="E1699" s="1" t="s">
        <v>11</v>
      </c>
      <c r="F1699" s="1" t="s">
        <v>20</v>
      </c>
      <c r="G1699" s="4" t="b">
        <f t="shared" si="2"/>
        <v>1</v>
      </c>
      <c r="H1699" s="1" t="str">
        <f t="shared" si="3"/>
        <v>Currently Unavailable</v>
      </c>
      <c r="I1699" s="1" t="str">
        <f t="shared" si="4"/>
        <v>No Badges</v>
      </c>
      <c r="J1699" s="3">
        <f t="shared" si="5"/>
        <v>0</v>
      </c>
    </row>
    <row r="1700">
      <c r="A1700" s="1" t="s">
        <v>1418</v>
      </c>
      <c r="B1700" s="3" t="str">
        <f t="shared" si="1"/>
        <v>Unavailable</v>
      </c>
      <c r="C1700" s="3">
        <v>691.0</v>
      </c>
      <c r="D1700" s="3">
        <f>IFERROR(__xludf.DUMMYFUNCTION("IFERROR(
IF(REGEXMATCH(LOWER(O1700),""k""),
VALUE(REGEXEXTRACT(O1700,""[0-9]+""))*1000,
VALUE(REGEXEXTRACT(O1700,""[0-9]+""))
),
0
)"),0.0)</f>
        <v>0</v>
      </c>
      <c r="E1700" s="1" t="s">
        <v>11</v>
      </c>
      <c r="F1700" s="1" t="s">
        <v>20</v>
      </c>
      <c r="G1700" s="4" t="b">
        <f t="shared" si="2"/>
        <v>1</v>
      </c>
      <c r="H1700" s="1" t="str">
        <f t="shared" si="3"/>
        <v>Currently Unavailable</v>
      </c>
      <c r="I1700" s="1" t="str">
        <f t="shared" si="4"/>
        <v>No Badges</v>
      </c>
      <c r="J1700" s="3">
        <f t="shared" si="5"/>
        <v>0</v>
      </c>
    </row>
    <row r="1701">
      <c r="A1701" s="1" t="s">
        <v>1419</v>
      </c>
      <c r="B1701" s="3" t="str">
        <f t="shared" si="1"/>
        <v>Unavailable</v>
      </c>
      <c r="C1701" s="5">
        <v>3020.0</v>
      </c>
      <c r="D1701" s="3">
        <f>IFERROR(__xludf.DUMMYFUNCTION("IFERROR(
IF(REGEXMATCH(LOWER(O1701),""k""),
VALUE(REGEXEXTRACT(O1701,""[0-9]+""))*1000,
VALUE(REGEXEXTRACT(O1701,""[0-9]+""))
),
0
)"),0.0)</f>
        <v>0</v>
      </c>
      <c r="E1701" s="1" t="s">
        <v>11</v>
      </c>
      <c r="F1701" s="1" t="s">
        <v>20</v>
      </c>
      <c r="G1701" s="4" t="b">
        <f t="shared" si="2"/>
        <v>1</v>
      </c>
      <c r="H1701" s="1" t="str">
        <f t="shared" si="3"/>
        <v>Currently Unavailable</v>
      </c>
      <c r="I1701" s="1" t="str">
        <f t="shared" si="4"/>
        <v>No Badges</v>
      </c>
      <c r="J1701" s="3">
        <f t="shared" si="5"/>
        <v>0</v>
      </c>
    </row>
    <row r="1702">
      <c r="A1702" s="1" t="s">
        <v>1285</v>
      </c>
      <c r="B1702" s="3" t="str">
        <f t="shared" si="1"/>
        <v>Unavailable</v>
      </c>
      <c r="C1702" s="5">
        <v>3520.0</v>
      </c>
      <c r="D1702" s="3">
        <f>IFERROR(__xludf.DUMMYFUNCTION("IFERROR(
IF(REGEXMATCH(LOWER(O1702),""k""),
VALUE(REGEXEXTRACT(O1702,""[0-9]+""))*1000,
VALUE(REGEXEXTRACT(O1702,""[0-9]+""))
),
0
)"),0.0)</f>
        <v>0</v>
      </c>
      <c r="E1702" s="1" t="s">
        <v>11</v>
      </c>
      <c r="F1702" s="1" t="s">
        <v>12</v>
      </c>
      <c r="G1702" s="4" t="b">
        <f t="shared" si="2"/>
        <v>1</v>
      </c>
      <c r="H1702" s="1" t="str">
        <f t="shared" si="3"/>
        <v>Currently Unavailable</v>
      </c>
      <c r="I1702" s="1" t="str">
        <f t="shared" si="4"/>
        <v>No Badges</v>
      </c>
      <c r="J1702" s="3">
        <f t="shared" si="5"/>
        <v>0</v>
      </c>
    </row>
    <row r="1703">
      <c r="A1703" s="1" t="s">
        <v>1284</v>
      </c>
      <c r="B1703" s="3" t="str">
        <f t="shared" si="1"/>
        <v>Unavailable</v>
      </c>
      <c r="C1703" s="3">
        <v>172.0</v>
      </c>
      <c r="D1703" s="3">
        <f>IFERROR(__xludf.DUMMYFUNCTION("IFERROR(
IF(REGEXMATCH(LOWER(O1703),""k""),
VALUE(REGEXEXTRACT(O1703,""[0-9]+""))*1000,
VALUE(REGEXEXTRACT(O1703,""[0-9]+""))
),
0
)"),0.0)</f>
        <v>0</v>
      </c>
      <c r="E1703" s="1" t="s">
        <v>11</v>
      </c>
      <c r="F1703" s="1" t="s">
        <v>12</v>
      </c>
      <c r="G1703" s="4" t="b">
        <f t="shared" si="2"/>
        <v>1</v>
      </c>
      <c r="H1703" s="1" t="str">
        <f t="shared" si="3"/>
        <v>Currently Unavailable</v>
      </c>
      <c r="I1703" s="1" t="str">
        <f t="shared" si="4"/>
        <v>No Badges</v>
      </c>
      <c r="J1703" s="3">
        <f t="shared" si="5"/>
        <v>0</v>
      </c>
    </row>
    <row r="1704">
      <c r="A1704" s="1" t="s">
        <v>1420</v>
      </c>
      <c r="B1704" s="3" t="str">
        <f t="shared" si="1"/>
        <v>Unavailable</v>
      </c>
      <c r="C1704" s="3">
        <v>84.0</v>
      </c>
      <c r="D1704" s="3">
        <f>IFERROR(__xludf.DUMMYFUNCTION("IFERROR(
IF(REGEXMATCH(LOWER(O1704),""k""),
VALUE(REGEXEXTRACT(O1704,""[0-9]+""))*1000,
VALUE(REGEXEXTRACT(O1704,""[0-9]+""))
),
0
)"),0.0)</f>
        <v>0</v>
      </c>
      <c r="E1704" s="1" t="s">
        <v>11</v>
      </c>
      <c r="F1704" s="1" t="s">
        <v>20</v>
      </c>
      <c r="G1704" s="4" t="b">
        <f t="shared" si="2"/>
        <v>1</v>
      </c>
      <c r="H1704" s="1" t="str">
        <f t="shared" si="3"/>
        <v>Currently Unavailable</v>
      </c>
      <c r="I1704" s="1" t="str">
        <f t="shared" si="4"/>
        <v>No Badges</v>
      </c>
      <c r="J1704" s="3">
        <f t="shared" si="5"/>
        <v>0</v>
      </c>
    </row>
    <row r="1705">
      <c r="A1705" s="1" t="s">
        <v>1421</v>
      </c>
      <c r="B1705" s="3" t="str">
        <f t="shared" si="1"/>
        <v>Unavailable</v>
      </c>
      <c r="C1705" s="3">
        <v>85.0</v>
      </c>
      <c r="D1705" s="3">
        <f>IFERROR(__xludf.DUMMYFUNCTION("IFERROR(
IF(REGEXMATCH(LOWER(O1705),""k""),
VALUE(REGEXEXTRACT(O1705,""[0-9]+""))*1000,
VALUE(REGEXEXTRACT(O1705,""[0-9]+""))
),
0
)"),0.0)</f>
        <v>0</v>
      </c>
      <c r="E1705" s="1" t="s">
        <v>11</v>
      </c>
      <c r="F1705" s="1" t="s">
        <v>12</v>
      </c>
      <c r="G1705" s="4" t="b">
        <f t="shared" si="2"/>
        <v>1</v>
      </c>
      <c r="H1705" s="1" t="str">
        <f t="shared" si="3"/>
        <v>Currently Unavailable</v>
      </c>
      <c r="I1705" s="1" t="str">
        <f t="shared" si="4"/>
        <v>No Badges</v>
      </c>
      <c r="J1705" s="3">
        <f t="shared" si="5"/>
        <v>0</v>
      </c>
    </row>
    <row r="1706">
      <c r="A1706" s="1" t="s">
        <v>67</v>
      </c>
      <c r="B1706" s="3" t="str">
        <f t="shared" si="1"/>
        <v>Unavailable</v>
      </c>
      <c r="C1706" s="3">
        <v>264.0</v>
      </c>
      <c r="D1706" s="3">
        <f>IFERROR(__xludf.DUMMYFUNCTION("IFERROR(
IF(REGEXMATCH(LOWER(O1706),""k""),
VALUE(REGEXEXTRACT(O1706,""[0-9]+""))*1000,
VALUE(REGEXEXTRACT(O1706,""[0-9]+""))
),
0
)"),0.0)</f>
        <v>0</v>
      </c>
      <c r="E1706" s="1" t="s">
        <v>11</v>
      </c>
      <c r="F1706" s="1" t="s">
        <v>12</v>
      </c>
      <c r="G1706" s="4" t="b">
        <f t="shared" si="2"/>
        <v>1</v>
      </c>
      <c r="H1706" s="1" t="str">
        <f t="shared" si="3"/>
        <v>Currently Unavailable</v>
      </c>
      <c r="I1706" s="1" t="str">
        <f t="shared" si="4"/>
        <v>No Badges</v>
      </c>
      <c r="J1706" s="3">
        <f t="shared" si="5"/>
        <v>0</v>
      </c>
    </row>
    <row r="1707">
      <c r="A1707" s="1" t="s">
        <v>1422</v>
      </c>
      <c r="B1707" s="3" t="str">
        <f t="shared" si="1"/>
        <v>Unavailable</v>
      </c>
      <c r="C1707" s="3">
        <v>664.0</v>
      </c>
      <c r="D1707" s="3">
        <f>IFERROR(__xludf.DUMMYFUNCTION("IFERROR(
IF(REGEXMATCH(LOWER(O1707),""k""),
VALUE(REGEXEXTRACT(O1707,""[0-9]+""))*1000,
VALUE(REGEXEXTRACT(O1707,""[0-9]+""))
),
0
)"),0.0)</f>
        <v>0</v>
      </c>
      <c r="E1707" s="1" t="s">
        <v>18</v>
      </c>
      <c r="F1707" s="1" t="s">
        <v>20</v>
      </c>
      <c r="G1707" s="4" t="b">
        <f t="shared" si="2"/>
        <v>1</v>
      </c>
      <c r="H1707" s="1" t="str">
        <f t="shared" si="3"/>
        <v>Currently Unavailable</v>
      </c>
      <c r="I1707" s="1" t="str">
        <f t="shared" si="4"/>
        <v>No Badges</v>
      </c>
      <c r="J1707" s="3">
        <f t="shared" si="5"/>
        <v>0</v>
      </c>
    </row>
    <row r="1708">
      <c r="A1708" s="1" t="s">
        <v>1423</v>
      </c>
      <c r="B1708" s="3" t="str">
        <f t="shared" si="1"/>
        <v>Unavailable</v>
      </c>
      <c r="C1708" s="5">
        <v>1622.0</v>
      </c>
      <c r="D1708" s="3">
        <f>IFERROR(__xludf.DUMMYFUNCTION("IFERROR(
IF(REGEXMATCH(LOWER(O1708),""k""),
VALUE(REGEXEXTRACT(O1708,""[0-9]+""))*1000,
VALUE(REGEXEXTRACT(O1708,""[0-9]+""))
),
0
)"),0.0)</f>
        <v>0</v>
      </c>
      <c r="E1708" s="1" t="s">
        <v>11</v>
      </c>
      <c r="F1708" s="1" t="s">
        <v>20</v>
      </c>
      <c r="G1708" s="4" t="b">
        <f t="shared" si="2"/>
        <v>1</v>
      </c>
      <c r="H1708" s="1" t="str">
        <f t="shared" si="3"/>
        <v>Currently Unavailable</v>
      </c>
      <c r="I1708" s="1" t="str">
        <f t="shared" si="4"/>
        <v>No Badges</v>
      </c>
      <c r="J1708" s="3">
        <f t="shared" si="5"/>
        <v>0</v>
      </c>
    </row>
    <row r="1709">
      <c r="A1709" s="1" t="s">
        <v>1424</v>
      </c>
      <c r="B1709" s="3" t="str">
        <f t="shared" si="1"/>
        <v>Unavailable</v>
      </c>
      <c r="C1709" s="5">
        <v>2068.0</v>
      </c>
      <c r="D1709" s="3">
        <f>IFERROR(__xludf.DUMMYFUNCTION("IFERROR(
IF(REGEXMATCH(LOWER(O1709),""k""),
VALUE(REGEXEXTRACT(O1709,""[0-9]+""))*1000,
VALUE(REGEXEXTRACT(O1709,""[0-9]+""))
),
0
)"),0.0)</f>
        <v>0</v>
      </c>
      <c r="E1709" s="1" t="s">
        <v>11</v>
      </c>
      <c r="F1709" s="1" t="s">
        <v>20</v>
      </c>
      <c r="G1709" s="4" t="b">
        <f t="shared" si="2"/>
        <v>1</v>
      </c>
      <c r="H1709" s="1" t="str">
        <f t="shared" si="3"/>
        <v>Currently Unavailable</v>
      </c>
      <c r="I1709" s="1" t="str">
        <f t="shared" si="4"/>
        <v>No Badges</v>
      </c>
      <c r="J1709" s="3">
        <f t="shared" si="5"/>
        <v>0</v>
      </c>
    </row>
    <row r="1710">
      <c r="A1710" s="1" t="s">
        <v>1425</v>
      </c>
      <c r="B1710" s="3" t="str">
        <f t="shared" si="1"/>
        <v>Unavailable</v>
      </c>
      <c r="C1710" s="5">
        <v>22261.0</v>
      </c>
      <c r="D1710" s="3">
        <f>IFERROR(__xludf.DUMMYFUNCTION("IFERROR(
IF(REGEXMATCH(LOWER(O1710),""k""),
VALUE(REGEXEXTRACT(O1710,""[0-9]+""))*1000,
VALUE(REGEXEXTRACT(O1710,""[0-9]+""))
),
0
)"),0.0)</f>
        <v>0</v>
      </c>
      <c r="E1710" s="1" t="s">
        <v>11</v>
      </c>
      <c r="F1710" s="1" t="s">
        <v>20</v>
      </c>
      <c r="G1710" s="4" t="b">
        <f t="shared" si="2"/>
        <v>1</v>
      </c>
      <c r="H1710" s="1" t="str">
        <f t="shared" si="3"/>
        <v>Currently Unavailable</v>
      </c>
      <c r="I1710" s="1" t="str">
        <f t="shared" si="4"/>
        <v>No Badges</v>
      </c>
      <c r="J1710" s="3">
        <f t="shared" si="5"/>
        <v>0</v>
      </c>
    </row>
    <row r="1711">
      <c r="A1711" s="1" t="s">
        <v>1426</v>
      </c>
      <c r="B1711" s="3" t="str">
        <f t="shared" si="1"/>
        <v>Unavailable</v>
      </c>
      <c r="C1711" s="3">
        <v>623.0</v>
      </c>
      <c r="D1711" s="3">
        <f>IFERROR(__xludf.DUMMYFUNCTION("IFERROR(
IF(REGEXMATCH(LOWER(O1711),""k""),
VALUE(REGEXEXTRACT(O1711,""[0-9]+""))*1000,
VALUE(REGEXEXTRACT(O1711,""[0-9]+""))
),
0
)"),0.0)</f>
        <v>0</v>
      </c>
      <c r="E1711" s="1" t="s">
        <v>11</v>
      </c>
      <c r="F1711" s="1" t="s">
        <v>20</v>
      </c>
      <c r="G1711" s="4" t="b">
        <f t="shared" si="2"/>
        <v>1</v>
      </c>
      <c r="H1711" s="1" t="str">
        <f t="shared" si="3"/>
        <v>Currently Unavailable</v>
      </c>
      <c r="I1711" s="1" t="str">
        <f t="shared" si="4"/>
        <v>No Badges</v>
      </c>
      <c r="J1711" s="3">
        <f t="shared" si="5"/>
        <v>0</v>
      </c>
    </row>
    <row r="1712">
      <c r="A1712" s="1" t="s">
        <v>1427</v>
      </c>
      <c r="B1712" s="3" t="str">
        <f t="shared" si="1"/>
        <v>Unavailable</v>
      </c>
      <c r="C1712" s="5">
        <v>1354.0</v>
      </c>
      <c r="D1712" s="3">
        <f>IFERROR(__xludf.DUMMYFUNCTION("IFERROR(
IF(REGEXMATCH(LOWER(O1712),""k""),
VALUE(REGEXEXTRACT(O1712,""[0-9]+""))*1000,
VALUE(REGEXEXTRACT(O1712,""[0-9]+""))
),
0
)"),0.0)</f>
        <v>0</v>
      </c>
      <c r="E1712" s="1" t="s">
        <v>11</v>
      </c>
      <c r="F1712" s="1" t="s">
        <v>20</v>
      </c>
      <c r="G1712" s="4" t="b">
        <f t="shared" si="2"/>
        <v>1</v>
      </c>
      <c r="H1712" s="1" t="str">
        <f t="shared" si="3"/>
        <v>Currently Unavailable</v>
      </c>
      <c r="I1712" s="1" t="str">
        <f t="shared" si="4"/>
        <v>No Badges</v>
      </c>
      <c r="J1712" s="3">
        <f t="shared" si="5"/>
        <v>0</v>
      </c>
    </row>
    <row r="1713">
      <c r="A1713" s="1" t="s">
        <v>1428</v>
      </c>
      <c r="B1713" s="3" t="str">
        <f t="shared" si="1"/>
        <v>Unavailable</v>
      </c>
      <c r="C1713" s="3">
        <v>135.0</v>
      </c>
      <c r="D1713" s="3">
        <f>IFERROR(__xludf.DUMMYFUNCTION("IFERROR(
IF(REGEXMATCH(LOWER(O1713),""k""),
VALUE(REGEXEXTRACT(O1713,""[0-9]+""))*1000,
VALUE(REGEXEXTRACT(O1713,""[0-9]+""))
),
0
)"),0.0)</f>
        <v>0</v>
      </c>
      <c r="E1713" s="1" t="s">
        <v>11</v>
      </c>
      <c r="F1713" s="1" t="s">
        <v>20</v>
      </c>
      <c r="G1713" s="4" t="b">
        <f t="shared" si="2"/>
        <v>1</v>
      </c>
      <c r="H1713" s="1" t="str">
        <f t="shared" si="3"/>
        <v>Currently Unavailable</v>
      </c>
      <c r="I1713" s="1" t="str">
        <f t="shared" si="4"/>
        <v>No Badges</v>
      </c>
      <c r="J1713" s="3">
        <f t="shared" si="5"/>
        <v>0</v>
      </c>
    </row>
    <row r="1714">
      <c r="A1714" s="1" t="s">
        <v>1429</v>
      </c>
      <c r="B1714" s="3" t="str">
        <f t="shared" si="1"/>
        <v>Unavailable</v>
      </c>
      <c r="C1714" s="3">
        <v>59.0</v>
      </c>
      <c r="D1714" s="3">
        <f>IFERROR(__xludf.DUMMYFUNCTION("IFERROR(
IF(REGEXMATCH(LOWER(O1714),""k""),
VALUE(REGEXEXTRACT(O1714,""[0-9]+""))*1000,
VALUE(REGEXEXTRACT(O1714,""[0-9]+""))
),
0
)"),0.0)</f>
        <v>0</v>
      </c>
      <c r="E1714" s="1" t="s">
        <v>11</v>
      </c>
      <c r="F1714" s="1" t="s">
        <v>20</v>
      </c>
      <c r="G1714" s="4" t="b">
        <f t="shared" si="2"/>
        <v>1</v>
      </c>
      <c r="H1714" s="1" t="str">
        <f t="shared" si="3"/>
        <v>Currently Unavailable</v>
      </c>
      <c r="I1714" s="1" t="str">
        <f t="shared" si="4"/>
        <v>No Badges</v>
      </c>
      <c r="J1714" s="3">
        <f t="shared" si="5"/>
        <v>0</v>
      </c>
    </row>
    <row r="1715">
      <c r="A1715" s="1" t="s">
        <v>1430</v>
      </c>
      <c r="B1715" s="3" t="str">
        <f t="shared" si="1"/>
        <v>Unavailable</v>
      </c>
      <c r="C1715" s="5">
        <v>15023.0</v>
      </c>
      <c r="D1715" s="3">
        <f>IFERROR(__xludf.DUMMYFUNCTION("IFERROR(
IF(REGEXMATCH(LOWER(O1715),""k""),
VALUE(REGEXEXTRACT(O1715,""[0-9]+""))*1000,
VALUE(REGEXEXTRACT(O1715,""[0-9]+""))
),
0
)"),0.0)</f>
        <v>0</v>
      </c>
      <c r="E1715" s="1" t="s">
        <v>11</v>
      </c>
      <c r="F1715" s="1" t="s">
        <v>20</v>
      </c>
      <c r="G1715" s="4" t="b">
        <f t="shared" si="2"/>
        <v>1</v>
      </c>
      <c r="H1715" s="1" t="str">
        <f t="shared" si="3"/>
        <v>Currently Unavailable</v>
      </c>
      <c r="I1715" s="1" t="str">
        <f t="shared" si="4"/>
        <v>No Badges</v>
      </c>
      <c r="J1715" s="3">
        <f t="shared" si="5"/>
        <v>0</v>
      </c>
    </row>
    <row r="1716">
      <c r="A1716" s="1" t="s">
        <v>1431</v>
      </c>
      <c r="B1716" s="3" t="str">
        <f t="shared" si="1"/>
        <v>Unavailable</v>
      </c>
      <c r="C1716" s="5">
        <v>3394.0</v>
      </c>
      <c r="D1716" s="3">
        <f>IFERROR(__xludf.DUMMYFUNCTION("IFERROR(
IF(REGEXMATCH(LOWER(O1716),""k""),
VALUE(REGEXEXTRACT(O1716,""[0-9]+""))*1000,
VALUE(REGEXEXTRACT(O1716,""[0-9]+""))
),
0
)"),0.0)</f>
        <v>0</v>
      </c>
      <c r="E1716" s="1" t="s">
        <v>18</v>
      </c>
      <c r="F1716" s="1" t="s">
        <v>20</v>
      </c>
      <c r="G1716" s="4" t="b">
        <f t="shared" si="2"/>
        <v>1</v>
      </c>
      <c r="H1716" s="1" t="str">
        <f t="shared" si="3"/>
        <v>Currently Unavailable</v>
      </c>
      <c r="I1716" s="1" t="str">
        <f t="shared" si="4"/>
        <v>No Badges</v>
      </c>
      <c r="J1716" s="3">
        <f t="shared" si="5"/>
        <v>0</v>
      </c>
    </row>
    <row r="1717">
      <c r="A1717" s="1" t="s">
        <v>1432</v>
      </c>
      <c r="B1717" s="3" t="str">
        <f t="shared" si="1"/>
        <v>Unavailable</v>
      </c>
      <c r="C1717" s="5">
        <v>7033.0</v>
      </c>
      <c r="D1717" s="3">
        <f>IFERROR(__xludf.DUMMYFUNCTION("IFERROR(
IF(REGEXMATCH(LOWER(O1717),""k""),
VALUE(REGEXEXTRACT(O1717,""[0-9]+""))*1000,
VALUE(REGEXEXTRACT(O1717,""[0-9]+""))
),
0
)"),0.0)</f>
        <v>0</v>
      </c>
      <c r="E1717" s="1" t="s">
        <v>11</v>
      </c>
      <c r="F1717" s="1" t="s">
        <v>20</v>
      </c>
      <c r="G1717" s="4" t="b">
        <f t="shared" si="2"/>
        <v>1</v>
      </c>
      <c r="H1717" s="1" t="str">
        <f t="shared" si="3"/>
        <v>Currently Unavailable</v>
      </c>
      <c r="I1717" s="1" t="str">
        <f t="shared" si="4"/>
        <v>No Badges</v>
      </c>
      <c r="J1717" s="3">
        <f t="shared" si="5"/>
        <v>0</v>
      </c>
    </row>
    <row r="1718">
      <c r="A1718" s="1" t="s">
        <v>1284</v>
      </c>
      <c r="B1718" s="3" t="str">
        <f t="shared" si="1"/>
        <v>Unavailable</v>
      </c>
      <c r="C1718" s="3">
        <v>172.0</v>
      </c>
      <c r="D1718" s="3">
        <f>IFERROR(__xludf.DUMMYFUNCTION("IFERROR(
IF(REGEXMATCH(LOWER(O1718),""k""),
VALUE(REGEXEXTRACT(O1718,""[0-9]+""))*1000,
VALUE(REGEXEXTRACT(O1718,""[0-9]+""))
),
0
)"),0.0)</f>
        <v>0</v>
      </c>
      <c r="E1718" s="1" t="s">
        <v>11</v>
      </c>
      <c r="F1718" s="1" t="s">
        <v>12</v>
      </c>
      <c r="G1718" s="4" t="b">
        <f t="shared" si="2"/>
        <v>1</v>
      </c>
      <c r="H1718" s="1" t="str">
        <f t="shared" si="3"/>
        <v>Currently Unavailable</v>
      </c>
      <c r="I1718" s="1" t="str">
        <f t="shared" si="4"/>
        <v>No Badges</v>
      </c>
      <c r="J1718" s="3">
        <f t="shared" si="5"/>
        <v>0</v>
      </c>
    </row>
    <row r="1719">
      <c r="A1719" s="1" t="s">
        <v>1433</v>
      </c>
      <c r="B1719" s="3" t="str">
        <f t="shared" si="1"/>
        <v>Unavailable</v>
      </c>
      <c r="C1719" s="5">
        <v>3858.0</v>
      </c>
      <c r="D1719" s="3">
        <f>IFERROR(__xludf.DUMMYFUNCTION("IFERROR(
IF(REGEXMATCH(LOWER(O1719),""k""),
VALUE(REGEXEXTRACT(O1719,""[0-9]+""))*1000,
VALUE(REGEXEXTRACT(O1719,""[0-9]+""))
),
0
)"),0.0)</f>
        <v>0</v>
      </c>
      <c r="E1719" s="1" t="s">
        <v>11</v>
      </c>
      <c r="F1719" s="1" t="s">
        <v>20</v>
      </c>
      <c r="G1719" s="4" t="b">
        <f t="shared" si="2"/>
        <v>1</v>
      </c>
      <c r="H1719" s="1" t="str">
        <f t="shared" si="3"/>
        <v>Currently Unavailable</v>
      </c>
      <c r="I1719" s="1" t="str">
        <f t="shared" si="4"/>
        <v>No Badges</v>
      </c>
      <c r="J1719" s="3">
        <f t="shared" si="5"/>
        <v>0</v>
      </c>
    </row>
    <row r="1720">
      <c r="A1720" s="1" t="s">
        <v>1434</v>
      </c>
      <c r="B1720" s="3" t="str">
        <f t="shared" si="1"/>
        <v>Unavailable</v>
      </c>
      <c r="C1720" s="5">
        <v>6427.0</v>
      </c>
      <c r="D1720" s="3">
        <f>IFERROR(__xludf.DUMMYFUNCTION("IFERROR(
IF(REGEXMATCH(LOWER(O1720),""k""),
VALUE(REGEXEXTRACT(O1720,""[0-9]+""))*1000,
VALUE(REGEXEXTRACT(O1720,""[0-9]+""))
),
0
)"),0.0)</f>
        <v>0</v>
      </c>
      <c r="E1720" s="1" t="s">
        <v>11</v>
      </c>
      <c r="F1720" s="1" t="s">
        <v>20</v>
      </c>
      <c r="G1720" s="4" t="b">
        <f t="shared" si="2"/>
        <v>1</v>
      </c>
      <c r="H1720" s="1" t="str">
        <f t="shared" si="3"/>
        <v>Currently Unavailable</v>
      </c>
      <c r="I1720" s="1" t="str">
        <f t="shared" si="4"/>
        <v>No Badges</v>
      </c>
      <c r="J1720" s="3">
        <f t="shared" si="5"/>
        <v>0</v>
      </c>
    </row>
    <row r="1721">
      <c r="A1721" s="1" t="s">
        <v>88</v>
      </c>
      <c r="B1721" s="3" t="str">
        <f t="shared" si="1"/>
        <v>Unavailable</v>
      </c>
      <c r="C1721" s="3">
        <v>5.0</v>
      </c>
      <c r="D1721" s="3">
        <f>IFERROR(__xludf.DUMMYFUNCTION("IFERROR(
IF(REGEXMATCH(LOWER(O1721),""k""),
VALUE(REGEXEXTRACT(O1721,""[0-9]+""))*1000,
VALUE(REGEXEXTRACT(O1721,""[0-9]+""))
),
0
)"),0.0)</f>
        <v>0</v>
      </c>
      <c r="E1721" s="1" t="s">
        <v>11</v>
      </c>
      <c r="F1721" s="1" t="s">
        <v>12</v>
      </c>
      <c r="G1721" s="4" t="b">
        <f t="shared" si="2"/>
        <v>1</v>
      </c>
      <c r="H1721" s="1" t="str">
        <f t="shared" si="3"/>
        <v>Currently Unavailable</v>
      </c>
      <c r="I1721" s="1" t="str">
        <f t="shared" si="4"/>
        <v>No Badges</v>
      </c>
      <c r="J1721" s="3">
        <f t="shared" si="5"/>
        <v>0</v>
      </c>
    </row>
    <row r="1722">
      <c r="A1722" s="1" t="s">
        <v>701</v>
      </c>
      <c r="B1722" s="3" t="str">
        <f t="shared" si="1"/>
        <v>Unavailable</v>
      </c>
      <c r="C1722" s="3">
        <v>8.0</v>
      </c>
      <c r="D1722" s="3">
        <f>IFERROR(__xludf.DUMMYFUNCTION("IFERROR(
IF(REGEXMATCH(LOWER(O1722),""k""),
VALUE(REGEXEXTRACT(O1722,""[0-9]+""))*1000,
VALUE(REGEXEXTRACT(O1722,""[0-9]+""))
),
0
)"),0.0)</f>
        <v>0</v>
      </c>
      <c r="E1722" s="1" t="s">
        <v>11</v>
      </c>
      <c r="F1722" s="1" t="s">
        <v>12</v>
      </c>
      <c r="G1722" s="4" t="b">
        <f t="shared" si="2"/>
        <v>1</v>
      </c>
      <c r="H1722" s="1" t="str">
        <f t="shared" si="3"/>
        <v>Currently Unavailable</v>
      </c>
      <c r="I1722" s="1" t="str">
        <f t="shared" si="4"/>
        <v>No Badges</v>
      </c>
      <c r="J1722" s="3">
        <f t="shared" si="5"/>
        <v>0</v>
      </c>
    </row>
    <row r="1723">
      <c r="A1723" s="1" t="s">
        <v>1435</v>
      </c>
      <c r="B1723" s="3" t="str">
        <f t="shared" si="1"/>
        <v>Unavailable</v>
      </c>
      <c r="C1723" s="3">
        <v>422.0</v>
      </c>
      <c r="D1723" s="3">
        <f>IFERROR(__xludf.DUMMYFUNCTION("IFERROR(
IF(REGEXMATCH(LOWER(O1723),""k""),
VALUE(REGEXEXTRACT(O1723,""[0-9]+""))*1000,
VALUE(REGEXEXTRACT(O1723,""[0-9]+""))
),
0
)"),0.0)</f>
        <v>0</v>
      </c>
      <c r="E1723" s="1" t="s">
        <v>158</v>
      </c>
      <c r="F1723" s="1" t="s">
        <v>20</v>
      </c>
      <c r="G1723" s="4" t="b">
        <f t="shared" si="2"/>
        <v>1</v>
      </c>
      <c r="H1723" s="1" t="str">
        <f t="shared" si="3"/>
        <v>Currently Unavailable</v>
      </c>
      <c r="I1723" s="1" t="str">
        <f t="shared" si="4"/>
        <v>No Badges</v>
      </c>
      <c r="J1723" s="3">
        <f t="shared" si="5"/>
        <v>0</v>
      </c>
    </row>
    <row r="1724">
      <c r="A1724" s="1" t="s">
        <v>1436</v>
      </c>
      <c r="B1724" s="3" t="str">
        <f t="shared" si="1"/>
        <v>Unavailable</v>
      </c>
      <c r="C1724" s="5">
        <v>9813.0</v>
      </c>
      <c r="D1724" s="3">
        <f>IFERROR(__xludf.DUMMYFUNCTION("IFERROR(
IF(REGEXMATCH(LOWER(O1724),""k""),
VALUE(REGEXEXTRACT(O1724,""[0-9]+""))*1000,
VALUE(REGEXEXTRACT(O1724,""[0-9]+""))
),
0
)"),0.0)</f>
        <v>0</v>
      </c>
      <c r="E1724" s="1" t="s">
        <v>11</v>
      </c>
      <c r="F1724" s="1" t="s">
        <v>20</v>
      </c>
      <c r="G1724" s="4" t="b">
        <f t="shared" si="2"/>
        <v>1</v>
      </c>
      <c r="H1724" s="1" t="str">
        <f t="shared" si="3"/>
        <v>Currently Unavailable</v>
      </c>
      <c r="I1724" s="1" t="str">
        <f t="shared" si="4"/>
        <v>No Badges</v>
      </c>
      <c r="J1724" s="3">
        <f t="shared" si="5"/>
        <v>0</v>
      </c>
    </row>
    <row r="1725">
      <c r="A1725" s="1" t="s">
        <v>1437</v>
      </c>
      <c r="B1725" s="3" t="str">
        <f t="shared" si="1"/>
        <v>Unavailable</v>
      </c>
      <c r="C1725" s="5">
        <v>2122.0</v>
      </c>
      <c r="D1725" s="3">
        <f>IFERROR(__xludf.DUMMYFUNCTION("IFERROR(
IF(REGEXMATCH(LOWER(O1725),""k""),
VALUE(REGEXEXTRACT(O1725,""[0-9]+""))*1000,
VALUE(REGEXEXTRACT(O1725,""[0-9]+""))
),
0
)"),0.0)</f>
        <v>0</v>
      </c>
      <c r="E1725" s="1" t="s">
        <v>11</v>
      </c>
      <c r="F1725" s="1" t="s">
        <v>20</v>
      </c>
      <c r="G1725" s="4" t="b">
        <f t="shared" si="2"/>
        <v>1</v>
      </c>
      <c r="H1725" s="1" t="str">
        <f t="shared" si="3"/>
        <v>Currently Unavailable</v>
      </c>
      <c r="I1725" s="1" t="str">
        <f t="shared" si="4"/>
        <v>No Badges</v>
      </c>
      <c r="J1725" s="3">
        <f t="shared" si="5"/>
        <v>0</v>
      </c>
    </row>
    <row r="1726">
      <c r="A1726" s="1" t="s">
        <v>69</v>
      </c>
      <c r="B1726" s="3" t="str">
        <f t="shared" si="1"/>
        <v>Unavailable</v>
      </c>
      <c r="C1726" s="3">
        <v>45.0</v>
      </c>
      <c r="D1726" s="3">
        <f>IFERROR(__xludf.DUMMYFUNCTION("IFERROR(
IF(REGEXMATCH(LOWER(O1726),""k""),
VALUE(REGEXEXTRACT(O1726,""[0-9]+""))*1000,
VALUE(REGEXEXTRACT(O1726,""[0-9]+""))
),
0
)"),0.0)</f>
        <v>0</v>
      </c>
      <c r="E1726" s="1" t="s">
        <v>11</v>
      </c>
      <c r="F1726" s="1" t="s">
        <v>12</v>
      </c>
      <c r="G1726" s="4" t="b">
        <f t="shared" si="2"/>
        <v>1</v>
      </c>
      <c r="H1726" s="1" t="str">
        <f t="shared" si="3"/>
        <v>Currently Unavailable</v>
      </c>
      <c r="I1726" s="1" t="str">
        <f t="shared" si="4"/>
        <v>No Badges</v>
      </c>
      <c r="J1726" s="3">
        <f t="shared" si="5"/>
        <v>0</v>
      </c>
    </row>
    <row r="1727">
      <c r="A1727" s="1" t="s">
        <v>1438</v>
      </c>
      <c r="B1727" s="3" t="str">
        <f t="shared" si="1"/>
        <v>Unavailable</v>
      </c>
      <c r="C1727" s="5">
        <v>1719.0</v>
      </c>
      <c r="D1727" s="3">
        <f>IFERROR(__xludf.DUMMYFUNCTION("IFERROR(
IF(REGEXMATCH(LOWER(O1727),""k""),
VALUE(REGEXEXTRACT(O1727,""[0-9]+""))*1000,
VALUE(REGEXEXTRACT(O1727,""[0-9]+""))
),
0
)"),0.0)</f>
        <v>0</v>
      </c>
      <c r="E1727" s="1" t="s">
        <v>11</v>
      </c>
      <c r="F1727" s="1" t="s">
        <v>20</v>
      </c>
      <c r="G1727" s="4" t="b">
        <f t="shared" si="2"/>
        <v>1</v>
      </c>
      <c r="H1727" s="1" t="str">
        <f t="shared" si="3"/>
        <v>Currently Unavailable</v>
      </c>
      <c r="I1727" s="1" t="str">
        <f t="shared" si="4"/>
        <v>No Badges</v>
      </c>
      <c r="J1727" s="3">
        <f t="shared" si="5"/>
        <v>0</v>
      </c>
    </row>
    <row r="1728">
      <c r="A1728" s="1" t="s">
        <v>1439</v>
      </c>
      <c r="B1728" s="3" t="str">
        <f t="shared" si="1"/>
        <v>Unavailable</v>
      </c>
      <c r="C1728" s="5">
        <v>27776.0</v>
      </c>
      <c r="D1728" s="3">
        <f>IFERROR(__xludf.DUMMYFUNCTION("IFERROR(
IF(REGEXMATCH(LOWER(O1728),""k""),
VALUE(REGEXEXTRACT(O1728,""[0-9]+""))*1000,
VALUE(REGEXEXTRACT(O1728,""[0-9]+""))
),
0
)"),0.0)</f>
        <v>0</v>
      </c>
      <c r="E1728" s="1" t="s">
        <v>11</v>
      </c>
      <c r="F1728" s="1" t="s">
        <v>20</v>
      </c>
      <c r="G1728" s="4" t="b">
        <f t="shared" si="2"/>
        <v>1</v>
      </c>
      <c r="H1728" s="1" t="str">
        <f t="shared" si="3"/>
        <v>Currently Unavailable</v>
      </c>
      <c r="I1728" s="1" t="str">
        <f t="shared" si="4"/>
        <v>No Badges</v>
      </c>
      <c r="J1728" s="3">
        <f t="shared" si="5"/>
        <v>0</v>
      </c>
    </row>
    <row r="1729">
      <c r="A1729" s="1" t="s">
        <v>1440</v>
      </c>
      <c r="B1729" s="3" t="str">
        <f t="shared" si="1"/>
        <v>Unavailable</v>
      </c>
      <c r="C1729" s="5">
        <v>4307.0</v>
      </c>
      <c r="D1729" s="3">
        <f>IFERROR(__xludf.DUMMYFUNCTION("IFERROR(
IF(REGEXMATCH(LOWER(O1729),""k""),
VALUE(REGEXEXTRACT(O1729,""[0-9]+""))*1000,
VALUE(REGEXEXTRACT(O1729,""[0-9]+""))
),
0
)"),0.0)</f>
        <v>0</v>
      </c>
      <c r="E1729" s="1" t="s">
        <v>11</v>
      </c>
      <c r="F1729" s="1" t="s">
        <v>20</v>
      </c>
      <c r="G1729" s="4" t="b">
        <f t="shared" si="2"/>
        <v>1</v>
      </c>
      <c r="H1729" s="1" t="str">
        <f t="shared" si="3"/>
        <v>Currently Unavailable</v>
      </c>
      <c r="I1729" s="1" t="str">
        <f t="shared" si="4"/>
        <v>No Badges</v>
      </c>
      <c r="J1729" s="3">
        <f t="shared" si="5"/>
        <v>0</v>
      </c>
    </row>
    <row r="1730">
      <c r="A1730" s="1" t="s">
        <v>1284</v>
      </c>
      <c r="B1730" s="3" t="str">
        <f t="shared" si="1"/>
        <v>Unavailable</v>
      </c>
      <c r="C1730" s="3">
        <v>172.0</v>
      </c>
      <c r="D1730" s="3">
        <f>IFERROR(__xludf.DUMMYFUNCTION("IFERROR(
IF(REGEXMATCH(LOWER(O1730),""k""),
VALUE(REGEXEXTRACT(O1730,""[0-9]+""))*1000,
VALUE(REGEXEXTRACT(O1730,""[0-9]+""))
),
0
)"),0.0)</f>
        <v>0</v>
      </c>
      <c r="E1730" s="1" t="s">
        <v>11</v>
      </c>
      <c r="F1730" s="1" t="s">
        <v>12</v>
      </c>
      <c r="G1730" s="4" t="b">
        <f t="shared" si="2"/>
        <v>1</v>
      </c>
      <c r="H1730" s="1" t="str">
        <f t="shared" si="3"/>
        <v>Currently Unavailable</v>
      </c>
      <c r="I1730" s="1" t="str">
        <f t="shared" si="4"/>
        <v>No Badges</v>
      </c>
      <c r="J1730" s="3">
        <f t="shared" si="5"/>
        <v>0</v>
      </c>
    </row>
    <row r="1731">
      <c r="A1731" s="1" t="s">
        <v>1441</v>
      </c>
      <c r="B1731" s="3" t="str">
        <f t="shared" si="1"/>
        <v>Unavailable</v>
      </c>
      <c r="C1731" s="3">
        <v>515.0</v>
      </c>
      <c r="D1731" s="3">
        <f>IFERROR(__xludf.DUMMYFUNCTION("IFERROR(
IF(REGEXMATCH(LOWER(O1731),""k""),
VALUE(REGEXEXTRACT(O1731,""[0-9]+""))*1000,
VALUE(REGEXEXTRACT(O1731,""[0-9]+""))
),
0
)"),0.0)</f>
        <v>0</v>
      </c>
      <c r="E1731" s="1" t="s">
        <v>11</v>
      </c>
      <c r="F1731" s="1" t="s">
        <v>20</v>
      </c>
      <c r="G1731" s="4" t="b">
        <f t="shared" si="2"/>
        <v>1</v>
      </c>
      <c r="H1731" s="1" t="str">
        <f t="shared" si="3"/>
        <v>Currently Unavailable</v>
      </c>
      <c r="I1731" s="1" t="str">
        <f t="shared" si="4"/>
        <v>No Badges</v>
      </c>
      <c r="J1731" s="3">
        <f t="shared" si="5"/>
        <v>0</v>
      </c>
    </row>
    <row r="1732">
      <c r="A1732" s="1" t="s">
        <v>1442</v>
      </c>
      <c r="B1732" s="3" t="str">
        <f t="shared" si="1"/>
        <v>Unavailable</v>
      </c>
      <c r="C1732" s="5">
        <v>1463.0</v>
      </c>
      <c r="D1732" s="3">
        <f>IFERROR(__xludf.DUMMYFUNCTION("IFERROR(
IF(REGEXMATCH(LOWER(O1732),""k""),
VALUE(REGEXEXTRACT(O1732,""[0-9]+""))*1000,
VALUE(REGEXEXTRACT(O1732,""[0-9]+""))
),
0
)"),0.0)</f>
        <v>0</v>
      </c>
      <c r="E1732" s="1" t="s">
        <v>11</v>
      </c>
      <c r="F1732" s="1" t="s">
        <v>20</v>
      </c>
      <c r="G1732" s="4" t="b">
        <f t="shared" si="2"/>
        <v>1</v>
      </c>
      <c r="H1732" s="1" t="str">
        <f t="shared" si="3"/>
        <v>Currently Unavailable</v>
      </c>
      <c r="I1732" s="1" t="str">
        <f t="shared" si="4"/>
        <v>No Badges</v>
      </c>
      <c r="J1732" s="3">
        <f t="shared" si="5"/>
        <v>0</v>
      </c>
    </row>
    <row r="1733">
      <c r="A1733" s="1" t="s">
        <v>1443</v>
      </c>
      <c r="B1733" s="3" t="str">
        <f t="shared" si="1"/>
        <v>Unavailable</v>
      </c>
      <c r="C1733" s="5">
        <v>2590.0</v>
      </c>
      <c r="D1733" s="3">
        <f>IFERROR(__xludf.DUMMYFUNCTION("IFERROR(
IF(REGEXMATCH(LOWER(O1733),""k""),
VALUE(REGEXEXTRACT(O1733,""[0-9]+""))*1000,
VALUE(REGEXEXTRACT(O1733,""[0-9]+""))
),
0
)"),0.0)</f>
        <v>0</v>
      </c>
      <c r="E1733" s="1" t="s">
        <v>11</v>
      </c>
      <c r="F1733" s="1" t="s">
        <v>20</v>
      </c>
      <c r="G1733" s="4" t="b">
        <f t="shared" si="2"/>
        <v>1</v>
      </c>
      <c r="H1733" s="1" t="str">
        <f t="shared" si="3"/>
        <v>Currently Unavailable</v>
      </c>
      <c r="I1733" s="1" t="str">
        <f t="shared" si="4"/>
        <v>No Badges</v>
      </c>
      <c r="J1733" s="3">
        <f t="shared" si="5"/>
        <v>0</v>
      </c>
    </row>
    <row r="1734">
      <c r="A1734" s="1" t="s">
        <v>1444</v>
      </c>
      <c r="B1734" s="3" t="str">
        <f t="shared" si="1"/>
        <v>Unavailable</v>
      </c>
      <c r="C1734" s="5">
        <v>3659.0</v>
      </c>
      <c r="D1734" s="3">
        <f>IFERROR(__xludf.DUMMYFUNCTION("IFERROR(
IF(REGEXMATCH(LOWER(O1734),""k""),
VALUE(REGEXEXTRACT(O1734,""[0-9]+""))*1000,
VALUE(REGEXEXTRACT(O1734,""[0-9]+""))
),
0
)"),0.0)</f>
        <v>0</v>
      </c>
      <c r="E1734" s="1" t="s">
        <v>11</v>
      </c>
      <c r="F1734" s="1" t="s">
        <v>20</v>
      </c>
      <c r="G1734" s="4" t="b">
        <f t="shared" si="2"/>
        <v>1</v>
      </c>
      <c r="H1734" s="1" t="str">
        <f t="shared" si="3"/>
        <v>Currently Unavailable</v>
      </c>
      <c r="I1734" s="1" t="str">
        <f t="shared" si="4"/>
        <v>No Badges</v>
      </c>
      <c r="J1734" s="3">
        <f t="shared" si="5"/>
        <v>0</v>
      </c>
    </row>
    <row r="1735">
      <c r="A1735" s="1" t="s">
        <v>1445</v>
      </c>
      <c r="B1735" s="3" t="str">
        <f t="shared" si="1"/>
        <v>Unavailable</v>
      </c>
      <c r="C1735" s="5">
        <v>2635.0</v>
      </c>
      <c r="D1735" s="3">
        <f>IFERROR(__xludf.DUMMYFUNCTION("IFERROR(
IF(REGEXMATCH(LOWER(O1735),""k""),
VALUE(REGEXEXTRACT(O1735,""[0-9]+""))*1000,
VALUE(REGEXEXTRACT(O1735,""[0-9]+""))
),
0
)"),0.0)</f>
        <v>0</v>
      </c>
      <c r="E1735" s="1" t="s">
        <v>11</v>
      </c>
      <c r="F1735" s="1" t="s">
        <v>20</v>
      </c>
      <c r="G1735" s="4" t="b">
        <f t="shared" si="2"/>
        <v>1</v>
      </c>
      <c r="H1735" s="1" t="str">
        <f t="shared" si="3"/>
        <v>Currently Unavailable</v>
      </c>
      <c r="I1735" s="1" t="str">
        <f t="shared" si="4"/>
        <v>No Badges</v>
      </c>
      <c r="J1735" s="3">
        <f t="shared" si="5"/>
        <v>0</v>
      </c>
    </row>
    <row r="1736">
      <c r="A1736" s="1" t="s">
        <v>1446</v>
      </c>
      <c r="B1736" s="3" t="str">
        <f t="shared" si="1"/>
        <v>Unavailable</v>
      </c>
      <c r="C1736" s="5">
        <v>2318.0</v>
      </c>
      <c r="D1736" s="3">
        <f>IFERROR(__xludf.DUMMYFUNCTION("IFERROR(
IF(REGEXMATCH(LOWER(O1736),""k""),
VALUE(REGEXEXTRACT(O1736,""[0-9]+""))*1000,
VALUE(REGEXEXTRACT(O1736,""[0-9]+""))
),
0
)"),0.0)</f>
        <v>0</v>
      </c>
      <c r="E1736" s="1" t="s">
        <v>11</v>
      </c>
      <c r="F1736" s="1" t="s">
        <v>20</v>
      </c>
      <c r="G1736" s="4" t="b">
        <f t="shared" si="2"/>
        <v>1</v>
      </c>
      <c r="H1736" s="1" t="str">
        <f t="shared" si="3"/>
        <v>Currently Unavailable</v>
      </c>
      <c r="I1736" s="1" t="str">
        <f t="shared" si="4"/>
        <v>No Badges</v>
      </c>
      <c r="J1736" s="3">
        <f t="shared" si="5"/>
        <v>0</v>
      </c>
    </row>
    <row r="1737">
      <c r="A1737" s="1" t="s">
        <v>1447</v>
      </c>
      <c r="B1737" s="3" t="str">
        <f t="shared" si="1"/>
        <v>Unavailable</v>
      </c>
      <c r="C1737" s="3">
        <v>178.0</v>
      </c>
      <c r="D1737" s="3">
        <f>IFERROR(__xludf.DUMMYFUNCTION("IFERROR(
IF(REGEXMATCH(LOWER(O1737),""k""),
VALUE(REGEXEXTRACT(O1737,""[0-9]+""))*1000,
VALUE(REGEXEXTRACT(O1737,""[0-9]+""))
),
0
)"),0.0)</f>
        <v>0</v>
      </c>
      <c r="E1737" s="1" t="s">
        <v>11</v>
      </c>
      <c r="F1737" s="1" t="s">
        <v>20</v>
      </c>
      <c r="G1737" s="4" t="b">
        <f t="shared" si="2"/>
        <v>1</v>
      </c>
      <c r="H1737" s="1" t="str">
        <f t="shared" si="3"/>
        <v>Currently Unavailable</v>
      </c>
      <c r="I1737" s="1" t="str">
        <f t="shared" si="4"/>
        <v>No Badges</v>
      </c>
      <c r="J1737" s="3">
        <f t="shared" si="5"/>
        <v>0</v>
      </c>
    </row>
    <row r="1738">
      <c r="A1738" s="1" t="s">
        <v>1448</v>
      </c>
      <c r="B1738" s="3" t="str">
        <f t="shared" si="1"/>
        <v>Unavailable</v>
      </c>
      <c r="C1738" s="5">
        <v>1324.0</v>
      </c>
      <c r="D1738" s="3">
        <f>IFERROR(__xludf.DUMMYFUNCTION("IFERROR(
IF(REGEXMATCH(LOWER(O1738),""k""),
VALUE(REGEXEXTRACT(O1738,""[0-9]+""))*1000,
VALUE(REGEXEXTRACT(O1738,""[0-9]+""))
),
0
)"),0.0)</f>
        <v>0</v>
      </c>
      <c r="E1738" s="1" t="s">
        <v>11</v>
      </c>
      <c r="F1738" s="1" t="s">
        <v>20</v>
      </c>
      <c r="G1738" s="4" t="b">
        <f t="shared" si="2"/>
        <v>1</v>
      </c>
      <c r="H1738" s="1" t="str">
        <f t="shared" si="3"/>
        <v>Currently Unavailable</v>
      </c>
      <c r="I1738" s="1" t="str">
        <f t="shared" si="4"/>
        <v>No Badges</v>
      </c>
      <c r="J1738" s="3">
        <f t="shared" si="5"/>
        <v>0</v>
      </c>
    </row>
    <row r="1739">
      <c r="A1739" s="1" t="s">
        <v>67</v>
      </c>
      <c r="B1739" s="3" t="str">
        <f t="shared" si="1"/>
        <v>Unavailable</v>
      </c>
      <c r="C1739" s="3">
        <v>264.0</v>
      </c>
      <c r="D1739" s="3">
        <f>IFERROR(__xludf.DUMMYFUNCTION("IFERROR(
IF(REGEXMATCH(LOWER(O1739),""k""),
VALUE(REGEXEXTRACT(O1739,""[0-9]+""))*1000,
VALUE(REGEXEXTRACT(O1739,""[0-9]+""))
),
0
)"),0.0)</f>
        <v>0</v>
      </c>
      <c r="E1739" s="1" t="s">
        <v>11</v>
      </c>
      <c r="F1739" s="1" t="s">
        <v>12</v>
      </c>
      <c r="G1739" s="4" t="b">
        <f t="shared" si="2"/>
        <v>1</v>
      </c>
      <c r="H1739" s="1" t="str">
        <f t="shared" si="3"/>
        <v>Currently Unavailable</v>
      </c>
      <c r="I1739" s="1" t="str">
        <f t="shared" si="4"/>
        <v>No Badges</v>
      </c>
      <c r="J1739" s="3">
        <f t="shared" si="5"/>
        <v>0</v>
      </c>
    </row>
    <row r="1740">
      <c r="A1740" s="1" t="s">
        <v>1449</v>
      </c>
      <c r="B1740" s="3" t="str">
        <f t="shared" si="1"/>
        <v>Unavailable</v>
      </c>
      <c r="C1740" s="3">
        <v>299.0</v>
      </c>
      <c r="D1740" s="3">
        <f>IFERROR(__xludf.DUMMYFUNCTION("IFERROR(
IF(REGEXMATCH(LOWER(O1740),""k""),
VALUE(REGEXEXTRACT(O1740,""[0-9]+""))*1000,
VALUE(REGEXEXTRACT(O1740,""[0-9]+""))
),
0
)"),0.0)</f>
        <v>0</v>
      </c>
      <c r="E1740" s="1" t="s">
        <v>11</v>
      </c>
      <c r="F1740" s="1" t="s">
        <v>20</v>
      </c>
      <c r="G1740" s="4" t="b">
        <f t="shared" si="2"/>
        <v>1</v>
      </c>
      <c r="H1740" s="1" t="str">
        <f t="shared" si="3"/>
        <v>Currently Unavailable</v>
      </c>
      <c r="I1740" s="1" t="str">
        <f t="shared" si="4"/>
        <v>No Badges</v>
      </c>
      <c r="J1740" s="3">
        <f t="shared" si="5"/>
        <v>0</v>
      </c>
    </row>
    <row r="1741">
      <c r="A1741" s="1" t="s">
        <v>701</v>
      </c>
      <c r="B1741" s="3" t="str">
        <f t="shared" si="1"/>
        <v>Unavailable</v>
      </c>
      <c r="C1741" s="3">
        <v>8.0</v>
      </c>
      <c r="D1741" s="3">
        <f>IFERROR(__xludf.DUMMYFUNCTION("IFERROR(
IF(REGEXMATCH(LOWER(O1741),""k""),
VALUE(REGEXEXTRACT(O1741,""[0-9]+""))*1000,
VALUE(REGEXEXTRACT(O1741,""[0-9]+""))
),
0
)"),0.0)</f>
        <v>0</v>
      </c>
      <c r="E1741" s="1" t="s">
        <v>11</v>
      </c>
      <c r="F1741" s="1" t="s">
        <v>12</v>
      </c>
      <c r="G1741" s="4" t="b">
        <f t="shared" si="2"/>
        <v>1</v>
      </c>
      <c r="H1741" s="1" t="str">
        <f t="shared" si="3"/>
        <v>Currently Unavailable</v>
      </c>
      <c r="I1741" s="1" t="str">
        <f t="shared" si="4"/>
        <v>No Badges</v>
      </c>
      <c r="J1741" s="3">
        <f t="shared" si="5"/>
        <v>0</v>
      </c>
    </row>
    <row r="1742">
      <c r="A1742" s="1" t="s">
        <v>1285</v>
      </c>
      <c r="B1742" s="3" t="str">
        <f t="shared" si="1"/>
        <v>Unavailable</v>
      </c>
      <c r="C1742" s="5">
        <v>3520.0</v>
      </c>
      <c r="D1742" s="3">
        <f>IFERROR(__xludf.DUMMYFUNCTION("IFERROR(
IF(REGEXMATCH(LOWER(O1742),""k""),
VALUE(REGEXEXTRACT(O1742,""[0-9]+""))*1000,
VALUE(REGEXEXTRACT(O1742,""[0-9]+""))
),
0
)"),0.0)</f>
        <v>0</v>
      </c>
      <c r="E1742" s="1" t="s">
        <v>11</v>
      </c>
      <c r="F1742" s="1" t="s">
        <v>12</v>
      </c>
      <c r="G1742" s="4" t="b">
        <f t="shared" si="2"/>
        <v>1</v>
      </c>
      <c r="H1742" s="1" t="str">
        <f t="shared" si="3"/>
        <v>Currently Unavailable</v>
      </c>
      <c r="I1742" s="1" t="str">
        <f t="shared" si="4"/>
        <v>No Badges</v>
      </c>
      <c r="J1742" s="3">
        <f t="shared" si="5"/>
        <v>0</v>
      </c>
    </row>
    <row r="1743">
      <c r="A1743" s="1" t="s">
        <v>1284</v>
      </c>
      <c r="B1743" s="3" t="str">
        <f t="shared" si="1"/>
        <v>Unavailable</v>
      </c>
      <c r="C1743" s="3">
        <v>172.0</v>
      </c>
      <c r="D1743" s="3">
        <f>IFERROR(__xludf.DUMMYFUNCTION("IFERROR(
IF(REGEXMATCH(LOWER(O1743),""k""),
VALUE(REGEXEXTRACT(O1743,""[0-9]+""))*1000,
VALUE(REGEXEXTRACT(O1743,""[0-9]+""))
),
0
)"),0.0)</f>
        <v>0</v>
      </c>
      <c r="E1743" s="1" t="s">
        <v>11</v>
      </c>
      <c r="F1743" s="1" t="s">
        <v>12</v>
      </c>
      <c r="G1743" s="4" t="b">
        <f t="shared" si="2"/>
        <v>1</v>
      </c>
      <c r="H1743" s="1" t="str">
        <f t="shared" si="3"/>
        <v>Currently Unavailable</v>
      </c>
      <c r="I1743" s="1" t="str">
        <f t="shared" si="4"/>
        <v>No Badges</v>
      </c>
      <c r="J1743" s="3">
        <f t="shared" si="5"/>
        <v>0</v>
      </c>
    </row>
    <row r="1744">
      <c r="A1744" s="1" t="s">
        <v>1450</v>
      </c>
      <c r="B1744" s="3" t="str">
        <f t="shared" si="1"/>
        <v>Unavailable</v>
      </c>
      <c r="C1744" s="5">
        <v>2078.0</v>
      </c>
      <c r="D1744" s="3">
        <f>IFERROR(__xludf.DUMMYFUNCTION("IFERROR(
IF(REGEXMATCH(LOWER(O1744),""k""),
VALUE(REGEXEXTRACT(O1744,""[0-9]+""))*1000,
VALUE(REGEXEXTRACT(O1744,""[0-9]+""))
),
0
)"),0.0)</f>
        <v>0</v>
      </c>
      <c r="E1744" s="1" t="s">
        <v>11</v>
      </c>
      <c r="F1744" s="1" t="s">
        <v>20</v>
      </c>
      <c r="G1744" s="4" t="b">
        <f t="shared" si="2"/>
        <v>1</v>
      </c>
      <c r="H1744" s="1" t="str">
        <f t="shared" si="3"/>
        <v>Currently Unavailable</v>
      </c>
      <c r="I1744" s="1" t="str">
        <f t="shared" si="4"/>
        <v>No Badges</v>
      </c>
      <c r="J1744" s="3">
        <f t="shared" si="5"/>
        <v>0</v>
      </c>
    </row>
    <row r="1745">
      <c r="A1745" s="1" t="s">
        <v>1451</v>
      </c>
      <c r="B1745" s="3" t="str">
        <f t="shared" si="1"/>
        <v>Unavailable</v>
      </c>
      <c r="C1745" s="5">
        <v>27033.0</v>
      </c>
      <c r="D1745" s="3">
        <f>IFERROR(__xludf.DUMMYFUNCTION("IFERROR(
IF(REGEXMATCH(LOWER(O1745),""k""),
VALUE(REGEXEXTRACT(O1745,""[0-9]+""))*1000,
VALUE(REGEXEXTRACT(O1745,""[0-9]+""))
),
0
)"),0.0)</f>
        <v>0</v>
      </c>
      <c r="E1745" s="1" t="s">
        <v>11</v>
      </c>
      <c r="F1745" s="1" t="s">
        <v>20</v>
      </c>
      <c r="G1745" s="4" t="b">
        <f t="shared" si="2"/>
        <v>1</v>
      </c>
      <c r="H1745" s="1" t="str">
        <f t="shared" si="3"/>
        <v>Currently Unavailable</v>
      </c>
      <c r="I1745" s="1" t="str">
        <f t="shared" si="4"/>
        <v>No Badges</v>
      </c>
      <c r="J1745" s="3">
        <f t="shared" si="5"/>
        <v>0</v>
      </c>
    </row>
    <row r="1746">
      <c r="A1746" s="1" t="s">
        <v>1452</v>
      </c>
      <c r="B1746" s="3" t="str">
        <f t="shared" si="1"/>
        <v>Unavailable</v>
      </c>
      <c r="C1746" s="5">
        <v>39749.0</v>
      </c>
      <c r="D1746" s="3">
        <f>IFERROR(__xludf.DUMMYFUNCTION("IFERROR(
IF(REGEXMATCH(LOWER(O1746),""k""),
VALUE(REGEXEXTRACT(O1746,""[0-9]+""))*1000,
VALUE(REGEXEXTRACT(O1746,""[0-9]+""))
),
0
)"),0.0)</f>
        <v>0</v>
      </c>
      <c r="E1746" s="1" t="s">
        <v>11</v>
      </c>
      <c r="F1746" s="1" t="s">
        <v>20</v>
      </c>
      <c r="G1746" s="4" t="b">
        <f t="shared" si="2"/>
        <v>1</v>
      </c>
      <c r="H1746" s="1" t="str">
        <f t="shared" si="3"/>
        <v>Currently Unavailable</v>
      </c>
      <c r="I1746" s="1" t="str">
        <f t="shared" si="4"/>
        <v>No Badges</v>
      </c>
      <c r="J1746" s="3">
        <f t="shared" si="5"/>
        <v>0</v>
      </c>
    </row>
    <row r="1747">
      <c r="A1747" s="1" t="s">
        <v>1453</v>
      </c>
      <c r="B1747" s="3" t="str">
        <f t="shared" si="1"/>
        <v>Unavailable</v>
      </c>
      <c r="C1747" s="3">
        <v>472.0</v>
      </c>
      <c r="D1747" s="3">
        <f>IFERROR(__xludf.DUMMYFUNCTION("IFERROR(
IF(REGEXMATCH(LOWER(O1747),""k""),
VALUE(REGEXEXTRACT(O1747,""[0-9]+""))*1000,
VALUE(REGEXEXTRACT(O1747,""[0-9]+""))
),
0
)"),0.0)</f>
        <v>0</v>
      </c>
      <c r="E1747" s="1" t="s">
        <v>11</v>
      </c>
      <c r="F1747" s="1" t="s">
        <v>20</v>
      </c>
      <c r="G1747" s="4" t="b">
        <f t="shared" si="2"/>
        <v>1</v>
      </c>
      <c r="H1747" s="1" t="str">
        <f t="shared" si="3"/>
        <v>Currently Unavailable</v>
      </c>
      <c r="I1747" s="1" t="str">
        <f t="shared" si="4"/>
        <v>No Badges</v>
      </c>
      <c r="J1747" s="3">
        <f t="shared" si="5"/>
        <v>0</v>
      </c>
    </row>
    <row r="1748">
      <c r="A1748" s="1" t="s">
        <v>1454</v>
      </c>
      <c r="B1748" s="3" t="str">
        <f t="shared" si="1"/>
        <v>Unavailable</v>
      </c>
      <c r="C1748" s="5">
        <v>10718.0</v>
      </c>
      <c r="D1748" s="3">
        <f>IFERROR(__xludf.DUMMYFUNCTION("IFERROR(
IF(REGEXMATCH(LOWER(O1748),""k""),
VALUE(REGEXEXTRACT(O1748,""[0-9]+""))*1000,
VALUE(REGEXEXTRACT(O1748,""[0-9]+""))
),
0
)"),0.0)</f>
        <v>0</v>
      </c>
      <c r="E1748" s="1" t="s">
        <v>11</v>
      </c>
      <c r="F1748" s="1" t="s">
        <v>20</v>
      </c>
      <c r="G1748" s="4" t="b">
        <f t="shared" si="2"/>
        <v>1</v>
      </c>
      <c r="H1748" s="1" t="str">
        <f t="shared" si="3"/>
        <v>Currently Unavailable</v>
      </c>
      <c r="I1748" s="1" t="str">
        <f t="shared" si="4"/>
        <v>No Badges</v>
      </c>
      <c r="J1748" s="3">
        <f t="shared" si="5"/>
        <v>0</v>
      </c>
    </row>
    <row r="1749">
      <c r="A1749" s="1" t="s">
        <v>1284</v>
      </c>
      <c r="B1749" s="3" t="str">
        <f t="shared" si="1"/>
        <v>Unavailable</v>
      </c>
      <c r="C1749" s="3">
        <v>172.0</v>
      </c>
      <c r="D1749" s="3">
        <f>IFERROR(__xludf.DUMMYFUNCTION("IFERROR(
IF(REGEXMATCH(LOWER(O1749),""k""),
VALUE(REGEXEXTRACT(O1749,""[0-9]+""))*1000,
VALUE(REGEXEXTRACT(O1749,""[0-9]+""))
),
0
)"),0.0)</f>
        <v>0</v>
      </c>
      <c r="E1749" s="1" t="s">
        <v>11</v>
      </c>
      <c r="F1749" s="1" t="s">
        <v>12</v>
      </c>
      <c r="G1749" s="4" t="b">
        <f t="shared" si="2"/>
        <v>1</v>
      </c>
      <c r="H1749" s="1" t="str">
        <f t="shared" si="3"/>
        <v>Currently Unavailable</v>
      </c>
      <c r="I1749" s="1" t="str">
        <f t="shared" si="4"/>
        <v>No Badges</v>
      </c>
      <c r="J1749" s="3">
        <f t="shared" si="5"/>
        <v>0</v>
      </c>
    </row>
    <row r="1750">
      <c r="A1750" s="1" t="s">
        <v>1455</v>
      </c>
      <c r="B1750" s="3" t="str">
        <f t="shared" si="1"/>
        <v>Unavailable</v>
      </c>
      <c r="C1750" s="5">
        <v>22350.0</v>
      </c>
      <c r="D1750" s="3">
        <f>IFERROR(__xludf.DUMMYFUNCTION("IFERROR(
IF(REGEXMATCH(LOWER(O1750),""k""),
VALUE(REGEXEXTRACT(O1750,""[0-9]+""))*1000,
VALUE(REGEXEXTRACT(O1750,""[0-9]+""))
),
0
)"),0.0)</f>
        <v>0</v>
      </c>
      <c r="E1750" s="1" t="s">
        <v>11</v>
      </c>
      <c r="F1750" s="1" t="s">
        <v>20</v>
      </c>
      <c r="G1750" s="4" t="b">
        <f t="shared" si="2"/>
        <v>1</v>
      </c>
      <c r="H1750" s="1" t="str">
        <f t="shared" si="3"/>
        <v>Currently Unavailable</v>
      </c>
      <c r="I1750" s="1" t="str">
        <f t="shared" si="4"/>
        <v>No Badges</v>
      </c>
      <c r="J1750" s="3">
        <f t="shared" si="5"/>
        <v>0</v>
      </c>
    </row>
    <row r="1751">
      <c r="A1751" s="1" t="s">
        <v>1456</v>
      </c>
      <c r="B1751" s="3" t="str">
        <f t="shared" si="1"/>
        <v>Unavailable</v>
      </c>
      <c r="C1751" s="5">
        <v>4256.0</v>
      </c>
      <c r="D1751" s="3">
        <f>IFERROR(__xludf.DUMMYFUNCTION("IFERROR(
IF(REGEXMATCH(LOWER(O1751),""k""),
VALUE(REGEXEXTRACT(O1751,""[0-9]+""))*1000,
VALUE(REGEXEXTRACT(O1751,""[0-9]+""))
),
0
)"),0.0)</f>
        <v>0</v>
      </c>
      <c r="E1751" s="1" t="s">
        <v>11</v>
      </c>
      <c r="F1751" s="1" t="s">
        <v>20</v>
      </c>
      <c r="G1751" s="4" t="b">
        <f t="shared" si="2"/>
        <v>1</v>
      </c>
      <c r="H1751" s="1" t="str">
        <f t="shared" si="3"/>
        <v>Currently Unavailable</v>
      </c>
      <c r="I1751" s="1" t="str">
        <f t="shared" si="4"/>
        <v>No Badges</v>
      </c>
      <c r="J1751" s="3">
        <f t="shared" si="5"/>
        <v>0</v>
      </c>
    </row>
    <row r="1752">
      <c r="A1752" s="1" t="s">
        <v>1457</v>
      </c>
      <c r="B1752" s="3" t="str">
        <f t="shared" si="1"/>
        <v>Unavailable</v>
      </c>
      <c r="C1752" s="5">
        <v>1699.0</v>
      </c>
      <c r="D1752" s="3">
        <f>IFERROR(__xludf.DUMMYFUNCTION("IFERROR(
IF(REGEXMATCH(LOWER(O1752),""k""),
VALUE(REGEXEXTRACT(O1752,""[0-9]+""))*1000,
VALUE(REGEXEXTRACT(O1752,""[0-9]+""))
),
0
)"),0.0)</f>
        <v>0</v>
      </c>
      <c r="E1752" s="1" t="s">
        <v>11</v>
      </c>
      <c r="F1752" s="1" t="s">
        <v>20</v>
      </c>
      <c r="G1752" s="4" t="b">
        <f t="shared" si="2"/>
        <v>1</v>
      </c>
      <c r="H1752" s="1" t="str">
        <f t="shared" si="3"/>
        <v>Currently Unavailable</v>
      </c>
      <c r="I1752" s="1" t="str">
        <f t="shared" si="4"/>
        <v>No Badges</v>
      </c>
      <c r="J1752" s="3">
        <f t="shared" si="5"/>
        <v>0</v>
      </c>
    </row>
    <row r="1753">
      <c r="A1753" s="1" t="s">
        <v>1458</v>
      </c>
      <c r="B1753" s="3" t="str">
        <f t="shared" si="1"/>
        <v>Unavailable</v>
      </c>
      <c r="C1753" s="5">
        <v>34027.0</v>
      </c>
      <c r="D1753" s="3">
        <f>IFERROR(__xludf.DUMMYFUNCTION("IFERROR(
IF(REGEXMATCH(LOWER(O1753),""k""),
VALUE(REGEXEXTRACT(O1753,""[0-9]+""))*1000,
VALUE(REGEXEXTRACT(O1753,""[0-9]+""))
),
0
)"),0.0)</f>
        <v>0</v>
      </c>
      <c r="E1753" s="1" t="s">
        <v>11</v>
      </c>
      <c r="F1753" s="1" t="s">
        <v>20</v>
      </c>
      <c r="G1753" s="4" t="b">
        <f t="shared" si="2"/>
        <v>1</v>
      </c>
      <c r="H1753" s="1" t="str">
        <f t="shared" si="3"/>
        <v>Currently Unavailable</v>
      </c>
      <c r="I1753" s="1" t="str">
        <f t="shared" si="4"/>
        <v>No Badges</v>
      </c>
      <c r="J1753" s="3">
        <f t="shared" si="5"/>
        <v>0</v>
      </c>
    </row>
    <row r="1754">
      <c r="A1754" s="1" t="s">
        <v>1459</v>
      </c>
      <c r="B1754" s="3" t="str">
        <f t="shared" si="1"/>
        <v>Unavailable</v>
      </c>
      <c r="C1754" s="5">
        <v>15786.0</v>
      </c>
      <c r="D1754" s="3">
        <f>IFERROR(__xludf.DUMMYFUNCTION("IFERROR(
IF(REGEXMATCH(LOWER(O1754),""k""),
VALUE(REGEXEXTRACT(O1754,""[0-9]+""))*1000,
VALUE(REGEXEXTRACT(O1754,""[0-9]+""))
),
0
)"),0.0)</f>
        <v>0</v>
      </c>
      <c r="E1754" s="1" t="s">
        <v>11</v>
      </c>
      <c r="F1754" s="1" t="s">
        <v>20</v>
      </c>
      <c r="G1754" s="4" t="b">
        <f t="shared" si="2"/>
        <v>1</v>
      </c>
      <c r="H1754" s="1" t="str">
        <f t="shared" si="3"/>
        <v>Currently Unavailable</v>
      </c>
      <c r="I1754" s="1" t="str">
        <f t="shared" si="4"/>
        <v>No Badges</v>
      </c>
      <c r="J1754" s="3">
        <f t="shared" si="5"/>
        <v>0</v>
      </c>
    </row>
    <row r="1755">
      <c r="A1755" s="1" t="s">
        <v>1460</v>
      </c>
      <c r="B1755" s="3" t="str">
        <f t="shared" si="1"/>
        <v>Unavailable</v>
      </c>
      <c r="C1755" s="5">
        <v>7766.0</v>
      </c>
      <c r="D1755" s="3">
        <f>IFERROR(__xludf.DUMMYFUNCTION("IFERROR(
IF(REGEXMATCH(LOWER(O1755),""k""),
VALUE(REGEXEXTRACT(O1755,""[0-9]+""))*1000,
VALUE(REGEXEXTRACT(O1755,""[0-9]+""))
),
0
)"),0.0)</f>
        <v>0</v>
      </c>
      <c r="E1755" s="1" t="s">
        <v>11</v>
      </c>
      <c r="F1755" s="1" t="s">
        <v>20</v>
      </c>
      <c r="G1755" s="4" t="b">
        <f t="shared" si="2"/>
        <v>1</v>
      </c>
      <c r="H1755" s="1" t="str">
        <f t="shared" si="3"/>
        <v>Currently Unavailable</v>
      </c>
      <c r="I1755" s="1" t="str">
        <f t="shared" si="4"/>
        <v>No Badges</v>
      </c>
      <c r="J1755" s="3">
        <f t="shared" si="5"/>
        <v>0</v>
      </c>
    </row>
    <row r="1756">
      <c r="A1756" s="1" t="s">
        <v>88</v>
      </c>
      <c r="B1756" s="3" t="str">
        <f t="shared" si="1"/>
        <v>Unavailable</v>
      </c>
      <c r="C1756" s="3">
        <v>5.0</v>
      </c>
      <c r="D1756" s="3">
        <f>IFERROR(__xludf.DUMMYFUNCTION("IFERROR(
IF(REGEXMATCH(LOWER(O1756),""k""),
VALUE(REGEXEXTRACT(O1756,""[0-9]+""))*1000,
VALUE(REGEXEXTRACT(O1756,""[0-9]+""))
),
0
)"),0.0)</f>
        <v>0</v>
      </c>
      <c r="E1756" s="1" t="s">
        <v>11</v>
      </c>
      <c r="F1756" s="1" t="s">
        <v>12</v>
      </c>
      <c r="G1756" s="4" t="b">
        <f t="shared" si="2"/>
        <v>1</v>
      </c>
      <c r="H1756" s="1" t="str">
        <f t="shared" si="3"/>
        <v>Currently Unavailable</v>
      </c>
      <c r="I1756" s="1" t="str">
        <f t="shared" si="4"/>
        <v>No Badges</v>
      </c>
      <c r="J1756" s="3">
        <f t="shared" si="5"/>
        <v>0</v>
      </c>
    </row>
    <row r="1757">
      <c r="A1757" s="1" t="s">
        <v>1461</v>
      </c>
      <c r="B1757" s="3" t="str">
        <f t="shared" si="1"/>
        <v>Unavailable</v>
      </c>
      <c r="C1757" s="5">
        <v>3330.0</v>
      </c>
      <c r="D1757" s="3">
        <f>IFERROR(__xludf.DUMMYFUNCTION("IFERROR(
IF(REGEXMATCH(LOWER(O1757),""k""),
VALUE(REGEXEXTRACT(O1757,""[0-9]+""))*1000,
VALUE(REGEXEXTRACT(O1757,""[0-9]+""))
),
0
)"),0.0)</f>
        <v>0</v>
      </c>
      <c r="E1757" s="1" t="s">
        <v>11</v>
      </c>
      <c r="F1757" s="1" t="s">
        <v>20</v>
      </c>
      <c r="G1757" s="4" t="b">
        <f t="shared" si="2"/>
        <v>1</v>
      </c>
      <c r="H1757" s="1" t="str">
        <f t="shared" si="3"/>
        <v>Currently Unavailable</v>
      </c>
      <c r="I1757" s="1" t="str">
        <f t="shared" si="4"/>
        <v>No Badges</v>
      </c>
      <c r="J1757" s="3">
        <f t="shared" si="5"/>
        <v>0</v>
      </c>
    </row>
    <row r="1758">
      <c r="A1758" s="1" t="s">
        <v>1462</v>
      </c>
      <c r="B1758" s="3" t="str">
        <f t="shared" si="1"/>
        <v>Unavailable</v>
      </c>
      <c r="C1758" s="5">
        <v>1824.0</v>
      </c>
      <c r="D1758" s="3">
        <f>IFERROR(__xludf.DUMMYFUNCTION("IFERROR(
IF(REGEXMATCH(LOWER(O1758),""k""),
VALUE(REGEXEXTRACT(O1758,""[0-9]+""))*1000,
VALUE(REGEXEXTRACT(O1758,""[0-9]+""))
),
0
)"),0.0)</f>
        <v>0</v>
      </c>
      <c r="E1758" s="1" t="s">
        <v>11</v>
      </c>
      <c r="F1758" s="1" t="s">
        <v>20</v>
      </c>
      <c r="G1758" s="4" t="b">
        <f t="shared" si="2"/>
        <v>1</v>
      </c>
      <c r="H1758" s="1" t="str">
        <f t="shared" si="3"/>
        <v>Currently Unavailable</v>
      </c>
      <c r="I1758" s="1" t="str">
        <f t="shared" si="4"/>
        <v>No Badges</v>
      </c>
      <c r="J1758" s="3">
        <f t="shared" si="5"/>
        <v>0</v>
      </c>
    </row>
    <row r="1759">
      <c r="A1759" s="1" t="s">
        <v>1463</v>
      </c>
      <c r="B1759" s="3" t="str">
        <f t="shared" si="1"/>
        <v>Unavailable</v>
      </c>
      <c r="C1759" s="3">
        <v>387.0</v>
      </c>
      <c r="D1759" s="3">
        <f>IFERROR(__xludf.DUMMYFUNCTION("IFERROR(
IF(REGEXMATCH(LOWER(O1759),""k""),
VALUE(REGEXEXTRACT(O1759,""[0-9]+""))*1000,
VALUE(REGEXEXTRACT(O1759,""[0-9]+""))
),
0
)"),0.0)</f>
        <v>0</v>
      </c>
      <c r="E1759" s="1" t="s">
        <v>11</v>
      </c>
      <c r="F1759" s="1" t="s">
        <v>20</v>
      </c>
      <c r="G1759" s="4" t="b">
        <f t="shared" si="2"/>
        <v>1</v>
      </c>
      <c r="H1759" s="1" t="str">
        <f t="shared" si="3"/>
        <v>Currently Unavailable</v>
      </c>
      <c r="I1759" s="1" t="str">
        <f t="shared" si="4"/>
        <v>No Badges</v>
      </c>
      <c r="J1759" s="3">
        <f t="shared" si="5"/>
        <v>0</v>
      </c>
    </row>
    <row r="1760">
      <c r="A1760" s="1" t="s">
        <v>1464</v>
      </c>
      <c r="B1760" s="3" t="str">
        <f t="shared" si="1"/>
        <v>Unavailable</v>
      </c>
      <c r="C1760" s="5">
        <v>1472.0</v>
      </c>
      <c r="D1760" s="3">
        <f>IFERROR(__xludf.DUMMYFUNCTION("IFERROR(
IF(REGEXMATCH(LOWER(O1760),""k""),
VALUE(REGEXEXTRACT(O1760,""[0-9]+""))*1000,
VALUE(REGEXEXTRACT(O1760,""[0-9]+""))
),
0
)"),0.0)</f>
        <v>0</v>
      </c>
      <c r="E1760" s="1" t="s">
        <v>11</v>
      </c>
      <c r="F1760" s="1" t="s">
        <v>20</v>
      </c>
      <c r="G1760" s="4" t="b">
        <f t="shared" si="2"/>
        <v>1</v>
      </c>
      <c r="H1760" s="1" t="str">
        <f t="shared" si="3"/>
        <v>Currently Unavailable</v>
      </c>
      <c r="I1760" s="1" t="str">
        <f t="shared" si="4"/>
        <v>No Badges</v>
      </c>
      <c r="J1760" s="3">
        <f t="shared" si="5"/>
        <v>0</v>
      </c>
    </row>
    <row r="1761">
      <c r="A1761" s="1" t="s">
        <v>1465</v>
      </c>
      <c r="B1761" s="3" t="str">
        <f t="shared" si="1"/>
        <v>Unavailable</v>
      </c>
      <c r="C1761" s="5">
        <v>1575.0</v>
      </c>
      <c r="D1761" s="3">
        <f>IFERROR(__xludf.DUMMYFUNCTION("IFERROR(
IF(REGEXMATCH(LOWER(O1761),""k""),
VALUE(REGEXEXTRACT(O1761,""[0-9]+""))*1000,
VALUE(REGEXEXTRACT(O1761,""[0-9]+""))
),
0
)"),0.0)</f>
        <v>0</v>
      </c>
      <c r="E1761" s="1" t="s">
        <v>11</v>
      </c>
      <c r="F1761" s="1" t="s">
        <v>20</v>
      </c>
      <c r="G1761" s="4" t="b">
        <f t="shared" si="2"/>
        <v>1</v>
      </c>
      <c r="H1761" s="1" t="str">
        <f t="shared" si="3"/>
        <v>Currently Unavailable</v>
      </c>
      <c r="I1761" s="1" t="str">
        <f t="shared" si="4"/>
        <v>No Badges</v>
      </c>
      <c r="J1761" s="3">
        <f t="shared" si="5"/>
        <v>0</v>
      </c>
    </row>
    <row r="1762">
      <c r="A1762" s="1" t="s">
        <v>1466</v>
      </c>
      <c r="B1762" s="3" t="str">
        <f t="shared" si="1"/>
        <v>Unavailable</v>
      </c>
      <c r="C1762" s="5">
        <v>2758.0</v>
      </c>
      <c r="D1762" s="3">
        <f>IFERROR(__xludf.DUMMYFUNCTION("IFERROR(
IF(REGEXMATCH(LOWER(O1762),""k""),
VALUE(REGEXEXTRACT(O1762,""[0-9]+""))*1000,
VALUE(REGEXEXTRACT(O1762,""[0-9]+""))
),
0
)"),0.0)</f>
        <v>0</v>
      </c>
      <c r="E1762" s="1" t="s">
        <v>158</v>
      </c>
      <c r="F1762" s="1" t="s">
        <v>20</v>
      </c>
      <c r="G1762" s="4" t="b">
        <f t="shared" si="2"/>
        <v>1</v>
      </c>
      <c r="H1762" s="1" t="str">
        <f t="shared" si="3"/>
        <v>Currently Unavailable</v>
      </c>
      <c r="I1762" s="1" t="str">
        <f t="shared" si="4"/>
        <v>No Badges</v>
      </c>
      <c r="J1762" s="3">
        <f t="shared" si="5"/>
        <v>0</v>
      </c>
    </row>
    <row r="1763">
      <c r="A1763" s="1" t="s">
        <v>1285</v>
      </c>
      <c r="B1763" s="3" t="str">
        <f t="shared" si="1"/>
        <v>Unavailable</v>
      </c>
      <c r="C1763" s="5">
        <v>3520.0</v>
      </c>
      <c r="D1763" s="3">
        <f>IFERROR(__xludf.DUMMYFUNCTION("IFERROR(
IF(REGEXMATCH(LOWER(O1763),""k""),
VALUE(REGEXEXTRACT(O1763,""[0-9]+""))*1000,
VALUE(REGEXEXTRACT(O1763,""[0-9]+""))
),
0
)"),0.0)</f>
        <v>0</v>
      </c>
      <c r="E1763" s="1" t="s">
        <v>11</v>
      </c>
      <c r="F1763" s="1" t="s">
        <v>12</v>
      </c>
      <c r="G1763" s="4" t="b">
        <f t="shared" si="2"/>
        <v>1</v>
      </c>
      <c r="H1763" s="1" t="str">
        <f t="shared" si="3"/>
        <v>Currently Unavailable</v>
      </c>
      <c r="I1763" s="1" t="str">
        <f t="shared" si="4"/>
        <v>No Badges</v>
      </c>
      <c r="J1763" s="3">
        <f t="shared" si="5"/>
        <v>0</v>
      </c>
    </row>
    <row r="1764">
      <c r="A1764" s="1" t="s">
        <v>1467</v>
      </c>
      <c r="B1764" s="3" t="str">
        <f t="shared" si="1"/>
        <v>Unavailable</v>
      </c>
      <c r="C1764" s="5">
        <v>7828.0</v>
      </c>
      <c r="D1764" s="3">
        <f>IFERROR(__xludf.DUMMYFUNCTION("IFERROR(
IF(REGEXMATCH(LOWER(O1764),""k""),
VALUE(REGEXEXTRACT(O1764,""[0-9]+""))*1000,
VALUE(REGEXEXTRACT(O1764,""[0-9]+""))
),
0
)"),0.0)</f>
        <v>0</v>
      </c>
      <c r="E1764" s="1" t="s">
        <v>11</v>
      </c>
      <c r="F1764" s="1" t="s">
        <v>20</v>
      </c>
      <c r="G1764" s="4" t="b">
        <f t="shared" si="2"/>
        <v>1</v>
      </c>
      <c r="H1764" s="1" t="str">
        <f t="shared" si="3"/>
        <v>Currently Unavailable</v>
      </c>
      <c r="I1764" s="1" t="str">
        <f t="shared" si="4"/>
        <v>No Badges</v>
      </c>
      <c r="J1764" s="3">
        <f t="shared" si="5"/>
        <v>0</v>
      </c>
    </row>
    <row r="1765">
      <c r="A1765" s="1" t="s">
        <v>1468</v>
      </c>
      <c r="B1765" s="3" t="str">
        <f t="shared" si="1"/>
        <v>Unavailable</v>
      </c>
      <c r="C1765" s="5">
        <v>7160.0</v>
      </c>
      <c r="D1765" s="3">
        <f>IFERROR(__xludf.DUMMYFUNCTION("IFERROR(
IF(REGEXMATCH(LOWER(O1765),""k""),
VALUE(REGEXEXTRACT(O1765,""[0-9]+""))*1000,
VALUE(REGEXEXTRACT(O1765,""[0-9]+""))
),
0
)"),0.0)</f>
        <v>0</v>
      </c>
      <c r="E1765" s="1" t="s">
        <v>11</v>
      </c>
      <c r="F1765" s="1" t="s">
        <v>20</v>
      </c>
      <c r="G1765" s="4" t="b">
        <f t="shared" si="2"/>
        <v>1</v>
      </c>
      <c r="H1765" s="1" t="str">
        <f t="shared" si="3"/>
        <v>Currently Unavailable</v>
      </c>
      <c r="I1765" s="1" t="str">
        <f t="shared" si="4"/>
        <v>No Badges</v>
      </c>
      <c r="J1765" s="3">
        <f t="shared" si="5"/>
        <v>0</v>
      </c>
    </row>
    <row r="1766">
      <c r="A1766" s="1" t="s">
        <v>1469</v>
      </c>
      <c r="B1766" s="3" t="str">
        <f t="shared" si="1"/>
        <v>Unavailable</v>
      </c>
      <c r="C1766" s="5">
        <v>5204.0</v>
      </c>
      <c r="D1766" s="3">
        <f>IFERROR(__xludf.DUMMYFUNCTION("IFERROR(
IF(REGEXMATCH(LOWER(O1766),""k""),
VALUE(REGEXEXTRACT(O1766,""[0-9]+""))*1000,
VALUE(REGEXEXTRACT(O1766,""[0-9]+""))
),
0
)"),0.0)</f>
        <v>0</v>
      </c>
      <c r="E1766" s="1" t="s">
        <v>11</v>
      </c>
      <c r="F1766" s="1" t="s">
        <v>20</v>
      </c>
      <c r="G1766" s="4" t="b">
        <f t="shared" si="2"/>
        <v>1</v>
      </c>
      <c r="H1766" s="1" t="str">
        <f t="shared" si="3"/>
        <v>Currently Unavailable</v>
      </c>
      <c r="I1766" s="1" t="str">
        <f t="shared" si="4"/>
        <v>No Badges</v>
      </c>
      <c r="J1766" s="3">
        <f t="shared" si="5"/>
        <v>0</v>
      </c>
    </row>
    <row r="1767">
      <c r="A1767" s="1" t="s">
        <v>1470</v>
      </c>
      <c r="B1767" s="3" t="str">
        <f t="shared" si="1"/>
        <v>Unavailable</v>
      </c>
      <c r="C1767" s="5">
        <v>10802.0</v>
      </c>
      <c r="D1767" s="3">
        <f>IFERROR(__xludf.DUMMYFUNCTION("IFERROR(
IF(REGEXMATCH(LOWER(O1767),""k""),
VALUE(REGEXEXTRACT(O1767,""[0-9]+""))*1000,
VALUE(REGEXEXTRACT(O1767,""[0-9]+""))
),
0
)"),0.0)</f>
        <v>0</v>
      </c>
      <c r="E1767" s="1" t="s">
        <v>11</v>
      </c>
      <c r="F1767" s="1" t="s">
        <v>20</v>
      </c>
      <c r="G1767" s="4" t="b">
        <f t="shared" si="2"/>
        <v>1</v>
      </c>
      <c r="H1767" s="1" t="str">
        <f t="shared" si="3"/>
        <v>Currently Unavailable</v>
      </c>
      <c r="I1767" s="1" t="str">
        <f t="shared" si="4"/>
        <v>No Badges</v>
      </c>
      <c r="J1767" s="3">
        <f t="shared" si="5"/>
        <v>0</v>
      </c>
    </row>
    <row r="1768">
      <c r="A1768" s="1" t="s">
        <v>1471</v>
      </c>
      <c r="B1768" s="3" t="str">
        <f t="shared" si="1"/>
        <v>Unavailable</v>
      </c>
      <c r="C1768" s="5">
        <v>6589.0</v>
      </c>
      <c r="D1768" s="3">
        <f>IFERROR(__xludf.DUMMYFUNCTION("IFERROR(
IF(REGEXMATCH(LOWER(O1768),""k""),
VALUE(REGEXEXTRACT(O1768,""[0-9]+""))*1000,
VALUE(REGEXEXTRACT(O1768,""[0-9]+""))
),
0
)"),0.0)</f>
        <v>0</v>
      </c>
      <c r="E1768" s="1" t="s">
        <v>11</v>
      </c>
      <c r="F1768" s="1" t="s">
        <v>20</v>
      </c>
      <c r="G1768" s="4" t="b">
        <f t="shared" si="2"/>
        <v>1</v>
      </c>
      <c r="H1768" s="1" t="str">
        <f t="shared" si="3"/>
        <v>Currently Unavailable</v>
      </c>
      <c r="I1768" s="1" t="str">
        <f t="shared" si="4"/>
        <v>No Badges</v>
      </c>
      <c r="J1768" s="3">
        <f t="shared" si="5"/>
        <v>0</v>
      </c>
    </row>
    <row r="1769">
      <c r="A1769" s="1" t="s">
        <v>1472</v>
      </c>
      <c r="B1769" s="3" t="str">
        <f t="shared" si="1"/>
        <v>Unavailable</v>
      </c>
      <c r="C1769" s="5">
        <v>1546.0</v>
      </c>
      <c r="D1769" s="3">
        <f>IFERROR(__xludf.DUMMYFUNCTION("IFERROR(
IF(REGEXMATCH(LOWER(O1769),""k""),
VALUE(REGEXEXTRACT(O1769,""[0-9]+""))*1000,
VALUE(REGEXEXTRACT(O1769,""[0-9]+""))
),
0
)"),0.0)</f>
        <v>0</v>
      </c>
      <c r="E1769" s="1" t="s">
        <v>11</v>
      </c>
      <c r="F1769" s="1" t="s">
        <v>20</v>
      </c>
      <c r="G1769" s="4" t="b">
        <f t="shared" si="2"/>
        <v>1</v>
      </c>
      <c r="H1769" s="1" t="str">
        <f t="shared" si="3"/>
        <v>Currently Unavailable</v>
      </c>
      <c r="I1769" s="1" t="str">
        <f t="shared" si="4"/>
        <v>No Badges</v>
      </c>
      <c r="J1769" s="3">
        <f t="shared" si="5"/>
        <v>0</v>
      </c>
    </row>
    <row r="1770">
      <c r="A1770" s="1" t="s">
        <v>1473</v>
      </c>
      <c r="B1770" s="3" t="str">
        <f t="shared" si="1"/>
        <v>Unavailable</v>
      </c>
      <c r="C1770" s="5">
        <v>3271.0</v>
      </c>
      <c r="D1770" s="3">
        <f>IFERROR(__xludf.DUMMYFUNCTION("IFERROR(
IF(REGEXMATCH(LOWER(O1770),""k""),
VALUE(REGEXEXTRACT(O1770,""[0-9]+""))*1000,
VALUE(REGEXEXTRACT(O1770,""[0-9]+""))
),
0
)"),0.0)</f>
        <v>0</v>
      </c>
      <c r="E1770" s="1" t="s">
        <v>11</v>
      </c>
      <c r="F1770" s="1" t="s">
        <v>20</v>
      </c>
      <c r="G1770" s="4" t="b">
        <f t="shared" si="2"/>
        <v>1</v>
      </c>
      <c r="H1770" s="1" t="str">
        <f t="shared" si="3"/>
        <v>Currently Unavailable</v>
      </c>
      <c r="I1770" s="1" t="str">
        <f t="shared" si="4"/>
        <v>No Badges</v>
      </c>
      <c r="J1770" s="3">
        <f t="shared" si="5"/>
        <v>0</v>
      </c>
    </row>
    <row r="1771">
      <c r="A1771" s="1" t="s">
        <v>1474</v>
      </c>
      <c r="B1771" s="3" t="str">
        <f t="shared" si="1"/>
        <v>Unavailable</v>
      </c>
      <c r="C1771" s="5">
        <v>17451.0</v>
      </c>
      <c r="D1771" s="3">
        <f>IFERROR(__xludf.DUMMYFUNCTION("IFERROR(
IF(REGEXMATCH(LOWER(O1771),""k""),
VALUE(REGEXEXTRACT(O1771,""[0-9]+""))*1000,
VALUE(REGEXEXTRACT(O1771,""[0-9]+""))
),
0
)"),0.0)</f>
        <v>0</v>
      </c>
      <c r="E1771" s="1" t="s">
        <v>11</v>
      </c>
      <c r="F1771" s="1" t="s">
        <v>20</v>
      </c>
      <c r="G1771" s="4" t="b">
        <f t="shared" si="2"/>
        <v>1</v>
      </c>
      <c r="H1771" s="1" t="str">
        <f t="shared" si="3"/>
        <v>Currently Unavailable</v>
      </c>
      <c r="I1771" s="1" t="str">
        <f t="shared" si="4"/>
        <v>No Badges</v>
      </c>
      <c r="J1771" s="3">
        <f t="shared" si="5"/>
        <v>0</v>
      </c>
    </row>
    <row r="1772">
      <c r="A1772" s="1" t="s">
        <v>1284</v>
      </c>
      <c r="B1772" s="3" t="str">
        <f t="shared" si="1"/>
        <v>Unavailable</v>
      </c>
      <c r="C1772" s="3">
        <v>172.0</v>
      </c>
      <c r="D1772" s="3">
        <f>IFERROR(__xludf.DUMMYFUNCTION("IFERROR(
IF(REGEXMATCH(LOWER(O1772),""k""),
VALUE(REGEXEXTRACT(O1772,""[0-9]+""))*1000,
VALUE(REGEXEXTRACT(O1772,""[0-9]+""))
),
0
)"),0.0)</f>
        <v>0</v>
      </c>
      <c r="E1772" s="1" t="s">
        <v>11</v>
      </c>
      <c r="F1772" s="1" t="s">
        <v>12</v>
      </c>
      <c r="G1772" s="4" t="b">
        <f t="shared" si="2"/>
        <v>1</v>
      </c>
      <c r="H1772" s="1" t="str">
        <f t="shared" si="3"/>
        <v>Currently Unavailable</v>
      </c>
      <c r="I1772" s="1" t="str">
        <f t="shared" si="4"/>
        <v>No Badges</v>
      </c>
      <c r="J1772" s="3">
        <f t="shared" si="5"/>
        <v>0</v>
      </c>
    </row>
    <row r="1773">
      <c r="A1773" s="1" t="s">
        <v>1475</v>
      </c>
      <c r="B1773" s="3" t="str">
        <f t="shared" si="1"/>
        <v>Unavailable</v>
      </c>
      <c r="C1773" s="5">
        <v>2500.0</v>
      </c>
      <c r="D1773" s="3">
        <f>IFERROR(__xludf.DUMMYFUNCTION("IFERROR(
IF(REGEXMATCH(LOWER(O1773),""k""),
VALUE(REGEXEXTRACT(O1773,""[0-9]+""))*1000,
VALUE(REGEXEXTRACT(O1773,""[0-9]+""))
),
0
)"),0.0)</f>
        <v>0</v>
      </c>
      <c r="E1773" s="1" t="s">
        <v>11</v>
      </c>
      <c r="F1773" s="1" t="s">
        <v>20</v>
      </c>
      <c r="G1773" s="4" t="b">
        <f t="shared" si="2"/>
        <v>1</v>
      </c>
      <c r="H1773" s="1" t="str">
        <f t="shared" si="3"/>
        <v>Currently Unavailable</v>
      </c>
      <c r="I1773" s="1" t="str">
        <f t="shared" si="4"/>
        <v>No Badges</v>
      </c>
      <c r="J1773" s="3">
        <f t="shared" si="5"/>
        <v>0</v>
      </c>
    </row>
    <row r="1774">
      <c r="A1774" s="1" t="s">
        <v>1476</v>
      </c>
      <c r="B1774" s="3" t="str">
        <f t="shared" si="1"/>
        <v>Unavailable</v>
      </c>
      <c r="C1774" s="3">
        <v>356.0</v>
      </c>
      <c r="D1774" s="3">
        <f>IFERROR(__xludf.DUMMYFUNCTION("IFERROR(
IF(REGEXMATCH(LOWER(O1774),""k""),
VALUE(REGEXEXTRACT(O1774,""[0-9]+""))*1000,
VALUE(REGEXEXTRACT(O1774,""[0-9]+""))
),
0
)"),0.0)</f>
        <v>0</v>
      </c>
      <c r="E1774" s="1" t="s">
        <v>11</v>
      </c>
      <c r="F1774" s="1" t="s">
        <v>20</v>
      </c>
      <c r="G1774" s="4" t="b">
        <f t="shared" si="2"/>
        <v>1</v>
      </c>
      <c r="H1774" s="1" t="str">
        <f t="shared" si="3"/>
        <v>Currently Unavailable</v>
      </c>
      <c r="I1774" s="1" t="str">
        <f t="shared" si="4"/>
        <v>No Badges</v>
      </c>
      <c r="J1774" s="3">
        <f t="shared" si="5"/>
        <v>0</v>
      </c>
    </row>
    <row r="1775">
      <c r="A1775" s="1" t="s">
        <v>1477</v>
      </c>
      <c r="B1775" s="3" t="str">
        <f t="shared" si="1"/>
        <v>Unavailable</v>
      </c>
      <c r="C1775" s="3">
        <v>68.0</v>
      </c>
      <c r="D1775" s="3">
        <f>IFERROR(__xludf.DUMMYFUNCTION("IFERROR(
IF(REGEXMATCH(LOWER(O1775),""k""),
VALUE(REGEXEXTRACT(O1775,""[0-9]+""))*1000,
VALUE(REGEXEXTRACT(O1775,""[0-9]+""))
),
0
)"),0.0)</f>
        <v>0</v>
      </c>
      <c r="E1775" s="1" t="s">
        <v>11</v>
      </c>
      <c r="F1775" s="1" t="s">
        <v>20</v>
      </c>
      <c r="G1775" s="4" t="b">
        <f t="shared" si="2"/>
        <v>1</v>
      </c>
      <c r="H1775" s="1" t="str">
        <f t="shared" si="3"/>
        <v>Currently Unavailable</v>
      </c>
      <c r="I1775" s="1" t="str">
        <f t="shared" si="4"/>
        <v>No Badges</v>
      </c>
      <c r="J1775" s="3">
        <f t="shared" si="5"/>
        <v>0</v>
      </c>
    </row>
    <row r="1776">
      <c r="A1776" s="1" t="s">
        <v>1478</v>
      </c>
      <c r="B1776" s="3" t="str">
        <f t="shared" si="1"/>
        <v>Unavailable</v>
      </c>
      <c r="C1776" s="5">
        <v>1984.0</v>
      </c>
      <c r="D1776" s="3">
        <f>IFERROR(__xludf.DUMMYFUNCTION("IFERROR(
IF(REGEXMATCH(LOWER(O1776),""k""),
VALUE(REGEXEXTRACT(O1776,""[0-9]+""))*1000,
VALUE(REGEXEXTRACT(O1776,""[0-9]+""))
),
0
)"),0.0)</f>
        <v>0</v>
      </c>
      <c r="E1776" s="1" t="s">
        <v>11</v>
      </c>
      <c r="F1776" s="1" t="s">
        <v>20</v>
      </c>
      <c r="G1776" s="4" t="b">
        <f t="shared" si="2"/>
        <v>1</v>
      </c>
      <c r="H1776" s="1" t="str">
        <f t="shared" si="3"/>
        <v>Currently Unavailable</v>
      </c>
      <c r="I1776" s="1" t="str">
        <f t="shared" si="4"/>
        <v>No Badges</v>
      </c>
      <c r="J1776" s="3">
        <f t="shared" si="5"/>
        <v>0</v>
      </c>
    </row>
    <row r="1777">
      <c r="A1777" s="1" t="s">
        <v>1479</v>
      </c>
      <c r="B1777" s="3" t="str">
        <f t="shared" si="1"/>
        <v>Unavailable</v>
      </c>
      <c r="C1777" s="5">
        <v>7778.0</v>
      </c>
      <c r="D1777" s="3">
        <f>IFERROR(__xludf.DUMMYFUNCTION("IFERROR(
IF(REGEXMATCH(LOWER(O1777),""k""),
VALUE(REGEXEXTRACT(O1777,""[0-9]+""))*1000,
VALUE(REGEXEXTRACT(O1777,""[0-9]+""))
),
0
)"),0.0)</f>
        <v>0</v>
      </c>
      <c r="E1777" s="1" t="s">
        <v>11</v>
      </c>
      <c r="F1777" s="1" t="s">
        <v>20</v>
      </c>
      <c r="G1777" s="4" t="b">
        <f t="shared" si="2"/>
        <v>1</v>
      </c>
      <c r="H1777" s="1" t="str">
        <f t="shared" si="3"/>
        <v>Currently Unavailable</v>
      </c>
      <c r="I1777" s="1" t="str">
        <f t="shared" si="4"/>
        <v>No Badges</v>
      </c>
      <c r="J1777" s="3">
        <f t="shared" si="5"/>
        <v>0</v>
      </c>
    </row>
    <row r="1778">
      <c r="A1778" s="1" t="s">
        <v>1480</v>
      </c>
      <c r="B1778" s="3" t="str">
        <f t="shared" si="1"/>
        <v>Unavailable</v>
      </c>
      <c r="C1778" s="5">
        <v>1400.0</v>
      </c>
      <c r="D1778" s="3">
        <f>IFERROR(__xludf.DUMMYFUNCTION("IFERROR(
IF(REGEXMATCH(LOWER(O1778),""k""),
VALUE(REGEXEXTRACT(O1778,""[0-9]+""))*1000,
VALUE(REGEXEXTRACT(O1778,""[0-9]+""))
),
0
)"),0.0)</f>
        <v>0</v>
      </c>
      <c r="E1778" s="1" t="s">
        <v>11</v>
      </c>
      <c r="F1778" s="1" t="s">
        <v>20</v>
      </c>
      <c r="G1778" s="4" t="b">
        <f t="shared" si="2"/>
        <v>1</v>
      </c>
      <c r="H1778" s="1" t="str">
        <f t="shared" si="3"/>
        <v>Currently Unavailable</v>
      </c>
      <c r="I1778" s="1" t="str">
        <f t="shared" si="4"/>
        <v>No Badges</v>
      </c>
      <c r="J1778" s="3">
        <f t="shared" si="5"/>
        <v>0</v>
      </c>
    </row>
    <row r="1779">
      <c r="A1779" s="1" t="s">
        <v>1481</v>
      </c>
      <c r="B1779" s="3" t="str">
        <f t="shared" si="1"/>
        <v>Unavailable</v>
      </c>
      <c r="C1779" s="3">
        <v>526.0</v>
      </c>
      <c r="D1779" s="3">
        <f>IFERROR(__xludf.DUMMYFUNCTION("IFERROR(
IF(REGEXMATCH(LOWER(O1779),""k""),
VALUE(REGEXEXTRACT(O1779,""[0-9]+""))*1000,
VALUE(REGEXEXTRACT(O1779,""[0-9]+""))
),
0
)"),0.0)</f>
        <v>0</v>
      </c>
      <c r="E1779" s="1" t="s">
        <v>11</v>
      </c>
      <c r="F1779" s="1" t="s">
        <v>20</v>
      </c>
      <c r="G1779" s="4" t="b">
        <f t="shared" si="2"/>
        <v>1</v>
      </c>
      <c r="H1779" s="1" t="str">
        <f t="shared" si="3"/>
        <v>Currently Unavailable</v>
      </c>
      <c r="I1779" s="1" t="str">
        <f t="shared" si="4"/>
        <v>No Badges</v>
      </c>
      <c r="J1779" s="3">
        <f t="shared" si="5"/>
        <v>0</v>
      </c>
    </row>
    <row r="1780">
      <c r="A1780" s="1" t="s">
        <v>1482</v>
      </c>
      <c r="B1780" s="3" t="str">
        <f t="shared" si="1"/>
        <v>Unavailable</v>
      </c>
      <c r="C1780" s="3">
        <v>290.0</v>
      </c>
      <c r="D1780" s="3">
        <f>IFERROR(__xludf.DUMMYFUNCTION("IFERROR(
IF(REGEXMATCH(LOWER(O1780),""k""),
VALUE(REGEXEXTRACT(O1780,""[0-9]+""))*1000,
VALUE(REGEXEXTRACT(O1780,""[0-9]+""))
),
0
)"),0.0)</f>
        <v>0</v>
      </c>
      <c r="E1780" s="1" t="s">
        <v>11</v>
      </c>
      <c r="F1780" s="1" t="s">
        <v>20</v>
      </c>
      <c r="G1780" s="4" t="b">
        <f t="shared" si="2"/>
        <v>1</v>
      </c>
      <c r="H1780" s="1" t="str">
        <f t="shared" si="3"/>
        <v>Currently Unavailable</v>
      </c>
      <c r="I1780" s="1" t="str">
        <f t="shared" si="4"/>
        <v>No Badges</v>
      </c>
      <c r="J1780" s="3">
        <f t="shared" si="5"/>
        <v>0</v>
      </c>
    </row>
    <row r="1781">
      <c r="A1781" s="1" t="s">
        <v>1483</v>
      </c>
      <c r="B1781" s="3" t="str">
        <f t="shared" si="1"/>
        <v>Unavailable</v>
      </c>
      <c r="C1781" s="5">
        <v>3192.0</v>
      </c>
      <c r="D1781" s="3">
        <f>IFERROR(__xludf.DUMMYFUNCTION("IFERROR(
IF(REGEXMATCH(LOWER(O1781),""k""),
VALUE(REGEXEXTRACT(O1781,""[0-9]+""))*1000,
VALUE(REGEXEXTRACT(O1781,""[0-9]+""))
),
0
)"),0.0)</f>
        <v>0</v>
      </c>
      <c r="E1781" s="1" t="s">
        <v>11</v>
      </c>
      <c r="F1781" s="1" t="s">
        <v>20</v>
      </c>
      <c r="G1781" s="4" t="b">
        <f t="shared" si="2"/>
        <v>1</v>
      </c>
      <c r="H1781" s="1" t="str">
        <f t="shared" si="3"/>
        <v>Currently Unavailable</v>
      </c>
      <c r="I1781" s="1" t="str">
        <f t="shared" si="4"/>
        <v>No Badges</v>
      </c>
      <c r="J1781" s="3">
        <f t="shared" si="5"/>
        <v>0</v>
      </c>
    </row>
    <row r="1782">
      <c r="A1782" s="1" t="s">
        <v>1484</v>
      </c>
      <c r="B1782" s="3" t="str">
        <f t="shared" si="1"/>
        <v>Unavailable</v>
      </c>
      <c r="C1782" s="5">
        <v>20507.0</v>
      </c>
      <c r="D1782" s="3">
        <f>IFERROR(__xludf.DUMMYFUNCTION("IFERROR(
IF(REGEXMATCH(LOWER(O1782),""k""),
VALUE(REGEXEXTRACT(O1782,""[0-9]+""))*1000,
VALUE(REGEXEXTRACT(O1782,""[0-9]+""))
),
0
)"),0.0)</f>
        <v>0</v>
      </c>
      <c r="E1782" s="1" t="s">
        <v>11</v>
      </c>
      <c r="F1782" s="1" t="s">
        <v>20</v>
      </c>
      <c r="G1782" s="4" t="b">
        <f t="shared" si="2"/>
        <v>1</v>
      </c>
      <c r="H1782" s="1" t="str">
        <f t="shared" si="3"/>
        <v>Currently Unavailable</v>
      </c>
      <c r="I1782" s="1" t="str">
        <f t="shared" si="4"/>
        <v>No Badges</v>
      </c>
      <c r="J1782" s="3">
        <f t="shared" si="5"/>
        <v>0</v>
      </c>
    </row>
    <row r="1783">
      <c r="A1783" s="1" t="s">
        <v>1285</v>
      </c>
      <c r="B1783" s="3" t="str">
        <f t="shared" si="1"/>
        <v>Unavailable</v>
      </c>
      <c r="C1783" s="5">
        <v>3520.0</v>
      </c>
      <c r="D1783" s="3">
        <f>IFERROR(__xludf.DUMMYFUNCTION("IFERROR(
IF(REGEXMATCH(LOWER(O1783),""k""),
VALUE(REGEXEXTRACT(O1783,""[0-9]+""))*1000,
VALUE(REGEXEXTRACT(O1783,""[0-9]+""))
),
0
)"),0.0)</f>
        <v>0</v>
      </c>
      <c r="E1783" s="1" t="s">
        <v>11</v>
      </c>
      <c r="F1783" s="1" t="s">
        <v>12</v>
      </c>
      <c r="G1783" s="4" t="b">
        <f t="shared" si="2"/>
        <v>1</v>
      </c>
      <c r="H1783" s="1" t="str">
        <f t="shared" si="3"/>
        <v>Currently Unavailable</v>
      </c>
      <c r="I1783" s="1" t="str">
        <f t="shared" si="4"/>
        <v>No Badges</v>
      </c>
      <c r="J1783" s="3">
        <f t="shared" si="5"/>
        <v>0</v>
      </c>
    </row>
    <row r="1784">
      <c r="A1784" s="1" t="s">
        <v>1284</v>
      </c>
      <c r="B1784" s="3" t="str">
        <f t="shared" si="1"/>
        <v>Unavailable</v>
      </c>
      <c r="C1784" s="3">
        <v>172.0</v>
      </c>
      <c r="D1784" s="3">
        <f>IFERROR(__xludf.DUMMYFUNCTION("IFERROR(
IF(REGEXMATCH(LOWER(O1784),""k""),
VALUE(REGEXEXTRACT(O1784,""[0-9]+""))*1000,
VALUE(REGEXEXTRACT(O1784,""[0-9]+""))
),
0
)"),0.0)</f>
        <v>0</v>
      </c>
      <c r="E1784" s="1" t="s">
        <v>11</v>
      </c>
      <c r="F1784" s="1" t="s">
        <v>12</v>
      </c>
      <c r="G1784" s="4" t="b">
        <f t="shared" si="2"/>
        <v>1</v>
      </c>
      <c r="H1784" s="1" t="str">
        <f t="shared" si="3"/>
        <v>Currently Unavailable</v>
      </c>
      <c r="I1784" s="1" t="str">
        <f t="shared" si="4"/>
        <v>No Badges</v>
      </c>
      <c r="J1784" s="3">
        <f t="shared" si="5"/>
        <v>0</v>
      </c>
    </row>
    <row r="1785">
      <c r="A1785" s="1" t="s">
        <v>1485</v>
      </c>
      <c r="B1785" s="3" t="str">
        <f t="shared" si="1"/>
        <v>Unavailable</v>
      </c>
      <c r="C1785" s="3">
        <v>254.0</v>
      </c>
      <c r="D1785" s="3">
        <f>IFERROR(__xludf.DUMMYFUNCTION("IFERROR(
IF(REGEXMATCH(LOWER(O1785),""k""),
VALUE(REGEXEXTRACT(O1785,""[0-9]+""))*1000,
VALUE(REGEXEXTRACT(O1785,""[0-9]+""))
),
0
)"),0.0)</f>
        <v>0</v>
      </c>
      <c r="E1785" s="1" t="s">
        <v>11</v>
      </c>
      <c r="F1785" s="1" t="s">
        <v>20</v>
      </c>
      <c r="G1785" s="4" t="b">
        <f t="shared" si="2"/>
        <v>1</v>
      </c>
      <c r="H1785" s="1" t="str">
        <f t="shared" si="3"/>
        <v>Currently Unavailable</v>
      </c>
      <c r="I1785" s="1" t="str">
        <f t="shared" si="4"/>
        <v>No Badges</v>
      </c>
      <c r="J1785" s="3">
        <f t="shared" si="5"/>
        <v>0</v>
      </c>
    </row>
    <row r="1786">
      <c r="A1786" s="1" t="s">
        <v>1486</v>
      </c>
      <c r="B1786" s="3" t="str">
        <f t="shared" si="1"/>
        <v>Unavailable</v>
      </c>
      <c r="C1786" s="5">
        <v>1326.0</v>
      </c>
      <c r="D1786" s="3">
        <f>IFERROR(__xludf.DUMMYFUNCTION("IFERROR(
IF(REGEXMATCH(LOWER(O1786),""k""),
VALUE(REGEXEXTRACT(O1786,""[0-9]+""))*1000,
VALUE(REGEXEXTRACT(O1786,""[0-9]+""))
),
0
)"),0.0)</f>
        <v>0</v>
      </c>
      <c r="E1786" s="1" t="s">
        <v>11</v>
      </c>
      <c r="F1786" s="1" t="s">
        <v>20</v>
      </c>
      <c r="G1786" s="4" t="b">
        <f t="shared" si="2"/>
        <v>1</v>
      </c>
      <c r="H1786" s="1" t="str">
        <f t="shared" si="3"/>
        <v>Currently Unavailable</v>
      </c>
      <c r="I1786" s="1" t="str">
        <f t="shared" si="4"/>
        <v>No Badges</v>
      </c>
      <c r="J1786" s="3">
        <f t="shared" si="5"/>
        <v>0</v>
      </c>
    </row>
    <row r="1787">
      <c r="A1787" s="1" t="s">
        <v>1487</v>
      </c>
      <c r="B1787" s="3" t="str">
        <f t="shared" si="1"/>
        <v>Unavailable</v>
      </c>
      <c r="C1787" s="5">
        <v>14465.0</v>
      </c>
      <c r="D1787" s="3">
        <f>IFERROR(__xludf.DUMMYFUNCTION("IFERROR(
IF(REGEXMATCH(LOWER(O1787),""k""),
VALUE(REGEXEXTRACT(O1787,""[0-9]+""))*1000,
VALUE(REGEXEXTRACT(O1787,""[0-9]+""))
),
0
)"),0.0)</f>
        <v>0</v>
      </c>
      <c r="E1787" s="1" t="s">
        <v>11</v>
      </c>
      <c r="F1787" s="1" t="s">
        <v>20</v>
      </c>
      <c r="G1787" s="4" t="b">
        <f t="shared" si="2"/>
        <v>1</v>
      </c>
      <c r="H1787" s="1" t="str">
        <f t="shared" si="3"/>
        <v>Currently Unavailable</v>
      </c>
      <c r="I1787" s="1" t="str">
        <f t="shared" si="4"/>
        <v>No Badges</v>
      </c>
      <c r="J1787" s="3">
        <f t="shared" si="5"/>
        <v>0</v>
      </c>
    </row>
    <row r="1788">
      <c r="A1788" s="1" t="s">
        <v>1488</v>
      </c>
      <c r="B1788" s="3" t="str">
        <f t="shared" si="1"/>
        <v>Unavailable</v>
      </c>
      <c r="C1788" s="5">
        <v>2474.0</v>
      </c>
      <c r="D1788" s="3">
        <f>IFERROR(__xludf.DUMMYFUNCTION("IFERROR(
IF(REGEXMATCH(LOWER(O1788),""k""),
VALUE(REGEXEXTRACT(O1788,""[0-9]+""))*1000,
VALUE(REGEXEXTRACT(O1788,""[0-9]+""))
),
0
)"),0.0)</f>
        <v>0</v>
      </c>
      <c r="E1788" s="1" t="s">
        <v>11</v>
      </c>
      <c r="F1788" s="1" t="s">
        <v>20</v>
      </c>
      <c r="G1788" s="4" t="b">
        <f t="shared" si="2"/>
        <v>1</v>
      </c>
      <c r="H1788" s="1" t="str">
        <f t="shared" si="3"/>
        <v>Currently Unavailable</v>
      </c>
      <c r="I1788" s="1" t="str">
        <f t="shared" si="4"/>
        <v>No Badges</v>
      </c>
      <c r="J1788" s="3">
        <f t="shared" si="5"/>
        <v>0</v>
      </c>
    </row>
    <row r="1789">
      <c r="A1789" s="1" t="s">
        <v>1285</v>
      </c>
      <c r="B1789" s="3" t="str">
        <f t="shared" si="1"/>
        <v>Unavailable</v>
      </c>
      <c r="C1789" s="5">
        <v>3520.0</v>
      </c>
      <c r="D1789" s="3">
        <f>IFERROR(__xludf.DUMMYFUNCTION("IFERROR(
IF(REGEXMATCH(LOWER(O1789),""k""),
VALUE(REGEXEXTRACT(O1789,""[0-9]+""))*1000,
VALUE(REGEXEXTRACT(O1789,""[0-9]+""))
),
0
)"),0.0)</f>
        <v>0</v>
      </c>
      <c r="E1789" s="1" t="s">
        <v>11</v>
      </c>
      <c r="F1789" s="1" t="s">
        <v>12</v>
      </c>
      <c r="G1789" s="4" t="b">
        <f t="shared" si="2"/>
        <v>1</v>
      </c>
      <c r="H1789" s="1" t="str">
        <f t="shared" si="3"/>
        <v>Currently Unavailable</v>
      </c>
      <c r="I1789" s="1" t="str">
        <f t="shared" si="4"/>
        <v>No Badges</v>
      </c>
      <c r="J1789" s="3">
        <f t="shared" si="5"/>
        <v>0</v>
      </c>
    </row>
    <row r="1790">
      <c r="A1790" s="1" t="s">
        <v>1489</v>
      </c>
      <c r="B1790" s="3" t="str">
        <f t="shared" si="1"/>
        <v>Unavailable</v>
      </c>
      <c r="C1790" s="5">
        <v>3815.0</v>
      </c>
      <c r="D1790" s="3">
        <f>IFERROR(__xludf.DUMMYFUNCTION("IFERROR(
IF(REGEXMATCH(LOWER(O1790),""k""),
VALUE(REGEXEXTRACT(O1790,""[0-9]+""))*1000,
VALUE(REGEXEXTRACT(O1790,""[0-9]+""))
),
0
)"),0.0)</f>
        <v>0</v>
      </c>
      <c r="E1790" s="1" t="s">
        <v>11</v>
      </c>
      <c r="F1790" s="1" t="s">
        <v>20</v>
      </c>
      <c r="G1790" s="4" t="b">
        <f t="shared" si="2"/>
        <v>1</v>
      </c>
      <c r="H1790" s="1" t="str">
        <f t="shared" si="3"/>
        <v>Currently Unavailable</v>
      </c>
      <c r="I1790" s="1" t="str">
        <f t="shared" si="4"/>
        <v>No Badges</v>
      </c>
      <c r="J1790" s="3">
        <f t="shared" si="5"/>
        <v>0</v>
      </c>
    </row>
    <row r="1791">
      <c r="A1791" s="1" t="s">
        <v>1490</v>
      </c>
      <c r="B1791" s="3" t="str">
        <f t="shared" si="1"/>
        <v>Unavailable</v>
      </c>
      <c r="C1791" s="5">
        <v>84252.0</v>
      </c>
      <c r="D1791" s="3">
        <f>IFERROR(__xludf.DUMMYFUNCTION("IFERROR(
IF(REGEXMATCH(LOWER(O1791),""k""),
VALUE(REGEXEXTRACT(O1791,""[0-9]+""))*1000,
VALUE(REGEXEXTRACT(O1791,""[0-9]+""))
),
0
)"),0.0)</f>
        <v>0</v>
      </c>
      <c r="E1791" s="1" t="s">
        <v>11</v>
      </c>
      <c r="F1791" s="1" t="s">
        <v>20</v>
      </c>
      <c r="G1791" s="4" t="b">
        <f t="shared" si="2"/>
        <v>1</v>
      </c>
      <c r="H1791" s="1" t="str">
        <f t="shared" si="3"/>
        <v>Currently Unavailable</v>
      </c>
      <c r="I1791" s="1" t="str">
        <f t="shared" si="4"/>
        <v>No Badges</v>
      </c>
      <c r="J1791" s="3">
        <f t="shared" si="5"/>
        <v>0</v>
      </c>
    </row>
    <row r="1792">
      <c r="A1792" s="1" t="s">
        <v>1491</v>
      </c>
      <c r="B1792" s="3" t="str">
        <f t="shared" si="1"/>
        <v>Unavailable</v>
      </c>
      <c r="C1792" s="5">
        <v>1309.0</v>
      </c>
      <c r="D1792" s="3">
        <f>IFERROR(__xludf.DUMMYFUNCTION("IFERROR(
IF(REGEXMATCH(LOWER(O1792),""k""),
VALUE(REGEXEXTRACT(O1792,""[0-9]+""))*1000,
VALUE(REGEXEXTRACT(O1792,""[0-9]+""))
),
0
)"),0.0)</f>
        <v>0</v>
      </c>
      <c r="E1792" s="1" t="s">
        <v>11</v>
      </c>
      <c r="F1792" s="1" t="s">
        <v>20</v>
      </c>
      <c r="G1792" s="4" t="b">
        <f t="shared" si="2"/>
        <v>1</v>
      </c>
      <c r="H1792" s="1" t="str">
        <f t="shared" si="3"/>
        <v>Currently Unavailable</v>
      </c>
      <c r="I1792" s="1" t="str">
        <f t="shared" si="4"/>
        <v>No Badges</v>
      </c>
      <c r="J1792" s="3">
        <f t="shared" si="5"/>
        <v>0</v>
      </c>
    </row>
    <row r="1793">
      <c r="A1793" s="1" t="s">
        <v>1492</v>
      </c>
      <c r="B1793" s="3" t="str">
        <f t="shared" si="1"/>
        <v>Unavailable</v>
      </c>
      <c r="C1793" s="3">
        <v>420.0</v>
      </c>
      <c r="D1793" s="3">
        <f>IFERROR(__xludf.DUMMYFUNCTION("IFERROR(
IF(REGEXMATCH(LOWER(O1793),""k""),
VALUE(REGEXEXTRACT(O1793,""[0-9]+""))*1000,
VALUE(REGEXEXTRACT(O1793,""[0-9]+""))
),
0
)"),0.0)</f>
        <v>0</v>
      </c>
      <c r="E1793" s="1" t="s">
        <v>158</v>
      </c>
      <c r="F1793" s="1" t="s">
        <v>20</v>
      </c>
      <c r="G1793" s="4" t="b">
        <f t="shared" si="2"/>
        <v>1</v>
      </c>
      <c r="H1793" s="1" t="str">
        <f t="shared" si="3"/>
        <v>Currently Unavailable</v>
      </c>
      <c r="I1793" s="1" t="str">
        <f t="shared" si="4"/>
        <v>No Badges</v>
      </c>
      <c r="J1793" s="3">
        <f t="shared" si="5"/>
        <v>0</v>
      </c>
    </row>
    <row r="1794">
      <c r="A1794" s="1" t="s">
        <v>1493</v>
      </c>
      <c r="B1794" s="3" t="str">
        <f t="shared" si="1"/>
        <v>Unavailable</v>
      </c>
      <c r="C1794" s="5">
        <v>4485.0</v>
      </c>
      <c r="D1794" s="3">
        <f>IFERROR(__xludf.DUMMYFUNCTION("IFERROR(
IF(REGEXMATCH(LOWER(O1794),""k""),
VALUE(REGEXEXTRACT(O1794,""[0-9]+""))*1000,
VALUE(REGEXEXTRACT(O1794,""[0-9]+""))
),
0
)"),0.0)</f>
        <v>0</v>
      </c>
      <c r="E1794" s="1" t="s">
        <v>11</v>
      </c>
      <c r="F1794" s="1" t="s">
        <v>20</v>
      </c>
      <c r="G1794" s="4" t="b">
        <f t="shared" si="2"/>
        <v>1</v>
      </c>
      <c r="H1794" s="1" t="str">
        <f t="shared" si="3"/>
        <v>Currently Unavailable</v>
      </c>
      <c r="I1794" s="1" t="str">
        <f t="shared" si="4"/>
        <v>No Badges</v>
      </c>
      <c r="J1794" s="3">
        <f t="shared" si="5"/>
        <v>0</v>
      </c>
    </row>
    <row r="1795">
      <c r="A1795" s="1" t="s">
        <v>1284</v>
      </c>
      <c r="B1795" s="3" t="str">
        <f t="shared" si="1"/>
        <v>Unavailable</v>
      </c>
      <c r="C1795" s="3">
        <v>172.0</v>
      </c>
      <c r="D1795" s="3">
        <f>IFERROR(__xludf.DUMMYFUNCTION("IFERROR(
IF(REGEXMATCH(LOWER(O1795),""k""),
VALUE(REGEXEXTRACT(O1795,""[0-9]+""))*1000,
VALUE(REGEXEXTRACT(O1795,""[0-9]+""))
),
0
)"),0.0)</f>
        <v>0</v>
      </c>
      <c r="E1795" s="1" t="s">
        <v>11</v>
      </c>
      <c r="F1795" s="1" t="s">
        <v>12</v>
      </c>
      <c r="G1795" s="4" t="b">
        <f t="shared" si="2"/>
        <v>1</v>
      </c>
      <c r="H1795" s="1" t="str">
        <f t="shared" si="3"/>
        <v>Currently Unavailable</v>
      </c>
      <c r="I1795" s="1" t="str">
        <f t="shared" si="4"/>
        <v>No Badges</v>
      </c>
      <c r="J1795" s="3">
        <f t="shared" si="5"/>
        <v>0</v>
      </c>
    </row>
    <row r="1796">
      <c r="A1796" s="1" t="s">
        <v>88</v>
      </c>
      <c r="B1796" s="3" t="str">
        <f t="shared" si="1"/>
        <v>Unavailable</v>
      </c>
      <c r="C1796" s="3">
        <v>5.0</v>
      </c>
      <c r="D1796" s="3">
        <f>IFERROR(__xludf.DUMMYFUNCTION("IFERROR(
IF(REGEXMATCH(LOWER(O1796),""k""),
VALUE(REGEXEXTRACT(O1796,""[0-9]+""))*1000,
VALUE(REGEXEXTRACT(O1796,""[0-9]+""))
),
0
)"),0.0)</f>
        <v>0</v>
      </c>
      <c r="E1796" s="1" t="s">
        <v>11</v>
      </c>
      <c r="F1796" s="1" t="s">
        <v>12</v>
      </c>
      <c r="G1796" s="4" t="b">
        <f t="shared" si="2"/>
        <v>1</v>
      </c>
      <c r="H1796" s="1" t="str">
        <f t="shared" si="3"/>
        <v>Currently Unavailable</v>
      </c>
      <c r="I1796" s="1" t="str">
        <f t="shared" si="4"/>
        <v>No Badges</v>
      </c>
      <c r="J1796" s="3">
        <f t="shared" si="5"/>
        <v>0</v>
      </c>
    </row>
    <row r="1797">
      <c r="A1797" s="1" t="s">
        <v>69</v>
      </c>
      <c r="B1797" s="3" t="str">
        <f t="shared" si="1"/>
        <v>Unavailable</v>
      </c>
      <c r="C1797" s="3">
        <v>45.0</v>
      </c>
      <c r="D1797" s="3">
        <f>IFERROR(__xludf.DUMMYFUNCTION("IFERROR(
IF(REGEXMATCH(LOWER(O1797),""k""),
VALUE(REGEXEXTRACT(O1797,""[0-9]+""))*1000,
VALUE(REGEXEXTRACT(O1797,""[0-9]+""))
),
0
)"),0.0)</f>
        <v>0</v>
      </c>
      <c r="E1797" s="1" t="s">
        <v>11</v>
      </c>
      <c r="F1797" s="1" t="s">
        <v>12</v>
      </c>
      <c r="G1797" s="4" t="b">
        <f t="shared" si="2"/>
        <v>1</v>
      </c>
      <c r="H1797" s="1" t="str">
        <f t="shared" si="3"/>
        <v>Currently Unavailable</v>
      </c>
      <c r="I1797" s="1" t="str">
        <f t="shared" si="4"/>
        <v>No Badges</v>
      </c>
      <c r="J1797" s="3">
        <f t="shared" si="5"/>
        <v>0</v>
      </c>
    </row>
    <row r="1798">
      <c r="A1798" s="1" t="s">
        <v>67</v>
      </c>
      <c r="B1798" s="3" t="str">
        <f t="shared" si="1"/>
        <v>Unavailable</v>
      </c>
      <c r="C1798" s="3">
        <v>264.0</v>
      </c>
      <c r="D1798" s="3">
        <f>IFERROR(__xludf.DUMMYFUNCTION("IFERROR(
IF(REGEXMATCH(LOWER(O1798),""k""),
VALUE(REGEXEXTRACT(O1798,""[0-9]+""))*1000,
VALUE(REGEXEXTRACT(O1798,""[0-9]+""))
),
0
)"),0.0)</f>
        <v>0</v>
      </c>
      <c r="E1798" s="1" t="s">
        <v>11</v>
      </c>
      <c r="F1798" s="1" t="s">
        <v>12</v>
      </c>
      <c r="G1798" s="4" t="b">
        <f t="shared" si="2"/>
        <v>1</v>
      </c>
      <c r="H1798" s="1" t="str">
        <f t="shared" si="3"/>
        <v>Currently Unavailable</v>
      </c>
      <c r="I1798" s="1" t="str">
        <f t="shared" si="4"/>
        <v>No Badges</v>
      </c>
      <c r="J1798" s="3">
        <f t="shared" si="5"/>
        <v>0</v>
      </c>
    </row>
    <row r="1799">
      <c r="A1799" s="1" t="s">
        <v>1494</v>
      </c>
      <c r="B1799" s="3" t="str">
        <f t="shared" si="1"/>
        <v>Unavailable</v>
      </c>
      <c r="C1799" s="5">
        <v>3273.0</v>
      </c>
      <c r="D1799" s="3">
        <f>IFERROR(__xludf.DUMMYFUNCTION("IFERROR(
IF(REGEXMATCH(LOWER(O1799),""k""),
VALUE(REGEXEXTRACT(O1799,""[0-9]+""))*1000,
VALUE(REGEXEXTRACT(O1799,""[0-9]+""))
),
0
)"),0.0)</f>
        <v>0</v>
      </c>
      <c r="E1799" s="1" t="s">
        <v>11</v>
      </c>
      <c r="F1799" s="1" t="s">
        <v>20</v>
      </c>
      <c r="G1799" s="4" t="b">
        <f t="shared" si="2"/>
        <v>1</v>
      </c>
      <c r="H1799" s="1" t="str">
        <f t="shared" si="3"/>
        <v>Currently Unavailable</v>
      </c>
      <c r="I1799" s="1" t="str">
        <f t="shared" si="4"/>
        <v>No Badges</v>
      </c>
      <c r="J1799" s="3">
        <f t="shared" si="5"/>
        <v>0</v>
      </c>
    </row>
    <row r="1800">
      <c r="A1800" s="1" t="s">
        <v>1495</v>
      </c>
      <c r="B1800" s="3" t="str">
        <f t="shared" si="1"/>
        <v>Unavailable</v>
      </c>
      <c r="C1800" s="5">
        <v>19094.0</v>
      </c>
      <c r="D1800" s="3">
        <f>IFERROR(__xludf.DUMMYFUNCTION("IFERROR(
IF(REGEXMATCH(LOWER(O1800),""k""),
VALUE(REGEXEXTRACT(O1800,""[0-9]+""))*1000,
VALUE(REGEXEXTRACT(O1800,""[0-9]+""))
),
0
)"),0.0)</f>
        <v>0</v>
      </c>
      <c r="E1800" s="1" t="s">
        <v>11</v>
      </c>
      <c r="F1800" s="1" t="s">
        <v>20</v>
      </c>
      <c r="G1800" s="4" t="b">
        <f t="shared" si="2"/>
        <v>1</v>
      </c>
      <c r="H1800" s="1" t="str">
        <f t="shared" si="3"/>
        <v>Currently Unavailable</v>
      </c>
      <c r="I1800" s="1" t="str">
        <f t="shared" si="4"/>
        <v>No Badges</v>
      </c>
      <c r="J1800" s="3">
        <f t="shared" si="5"/>
        <v>0</v>
      </c>
    </row>
    <row r="1801">
      <c r="A1801" s="1" t="s">
        <v>1496</v>
      </c>
      <c r="B1801" s="3" t="str">
        <f t="shared" si="1"/>
        <v>Unavailable</v>
      </c>
      <c r="C1801" s="5">
        <v>8126.0</v>
      </c>
      <c r="D1801" s="3">
        <f>IFERROR(__xludf.DUMMYFUNCTION("IFERROR(
IF(REGEXMATCH(LOWER(O1801),""k""),
VALUE(REGEXEXTRACT(O1801,""[0-9]+""))*1000,
VALUE(REGEXEXTRACT(O1801,""[0-9]+""))
),
0
)"),0.0)</f>
        <v>0</v>
      </c>
      <c r="E1801" s="1" t="s">
        <v>11</v>
      </c>
      <c r="F1801" s="1" t="s">
        <v>20</v>
      </c>
      <c r="G1801" s="4" t="b">
        <f t="shared" si="2"/>
        <v>1</v>
      </c>
      <c r="H1801" s="1" t="str">
        <f t="shared" si="3"/>
        <v>Currently Unavailable</v>
      </c>
      <c r="I1801" s="1" t="str">
        <f t="shared" si="4"/>
        <v>No Badges</v>
      </c>
      <c r="J1801" s="3">
        <f t="shared" si="5"/>
        <v>0</v>
      </c>
    </row>
    <row r="1802">
      <c r="A1802" s="1" t="s">
        <v>1497</v>
      </c>
      <c r="B1802" s="3" t="str">
        <f t="shared" si="1"/>
        <v>Unavailable</v>
      </c>
      <c r="C1802" s="5">
        <v>7882.0</v>
      </c>
      <c r="D1802" s="3">
        <f>IFERROR(__xludf.DUMMYFUNCTION("IFERROR(
IF(REGEXMATCH(LOWER(O1802),""k""),
VALUE(REGEXEXTRACT(O1802,""[0-9]+""))*1000,
VALUE(REGEXEXTRACT(O1802,""[0-9]+""))
),
0
)"),0.0)</f>
        <v>0</v>
      </c>
      <c r="E1802" s="1" t="s">
        <v>11</v>
      </c>
      <c r="F1802" s="1" t="s">
        <v>20</v>
      </c>
      <c r="G1802" s="4" t="b">
        <f t="shared" si="2"/>
        <v>1</v>
      </c>
      <c r="H1802" s="1" t="str">
        <f t="shared" si="3"/>
        <v>Currently Unavailable</v>
      </c>
      <c r="I1802" s="1" t="str">
        <f t="shared" si="4"/>
        <v>No Badges</v>
      </c>
      <c r="J1802" s="3">
        <f t="shared" si="5"/>
        <v>0</v>
      </c>
    </row>
    <row r="1803">
      <c r="A1803" s="1" t="s">
        <v>1498</v>
      </c>
      <c r="B1803" s="3" t="str">
        <f t="shared" si="1"/>
        <v>Unavailable</v>
      </c>
      <c r="C1803" s="5">
        <v>2322.0</v>
      </c>
      <c r="D1803" s="3">
        <f>IFERROR(__xludf.DUMMYFUNCTION("IFERROR(
IF(REGEXMATCH(LOWER(O1803),""k""),
VALUE(REGEXEXTRACT(O1803,""[0-9]+""))*1000,
VALUE(REGEXEXTRACT(O1803,""[0-9]+""))
),
0
)"),0.0)</f>
        <v>0</v>
      </c>
      <c r="E1803" s="1" t="s">
        <v>11</v>
      </c>
      <c r="F1803" s="1" t="s">
        <v>20</v>
      </c>
      <c r="G1803" s="4" t="b">
        <f t="shared" si="2"/>
        <v>1</v>
      </c>
      <c r="H1803" s="1" t="str">
        <f t="shared" si="3"/>
        <v>Currently Unavailable</v>
      </c>
      <c r="I1803" s="1" t="str">
        <f t="shared" si="4"/>
        <v>No Badges</v>
      </c>
      <c r="J1803" s="3">
        <f t="shared" si="5"/>
        <v>0</v>
      </c>
    </row>
    <row r="1804">
      <c r="A1804" s="1" t="s">
        <v>1499</v>
      </c>
      <c r="B1804" s="3" t="str">
        <f t="shared" si="1"/>
        <v>Unavailable</v>
      </c>
      <c r="C1804" s="5">
        <v>1606.0</v>
      </c>
      <c r="D1804" s="3">
        <f>IFERROR(__xludf.DUMMYFUNCTION("IFERROR(
IF(REGEXMATCH(LOWER(O1804),""k""),
VALUE(REGEXEXTRACT(O1804,""[0-9]+""))*1000,
VALUE(REGEXEXTRACT(O1804,""[0-9]+""))
),
0
)"),0.0)</f>
        <v>0</v>
      </c>
      <c r="E1804" s="1" t="s">
        <v>11</v>
      </c>
      <c r="F1804" s="1" t="s">
        <v>20</v>
      </c>
      <c r="G1804" s="4" t="b">
        <f t="shared" si="2"/>
        <v>1</v>
      </c>
      <c r="H1804" s="1" t="str">
        <f t="shared" si="3"/>
        <v>Currently Unavailable</v>
      </c>
      <c r="I1804" s="1" t="str">
        <f t="shared" si="4"/>
        <v>No Badges</v>
      </c>
      <c r="J1804" s="3">
        <f t="shared" si="5"/>
        <v>0</v>
      </c>
    </row>
    <row r="1805">
      <c r="A1805" s="1" t="s">
        <v>1500</v>
      </c>
      <c r="B1805" s="3" t="str">
        <f t="shared" si="1"/>
        <v>Unavailable</v>
      </c>
      <c r="C1805" s="3">
        <v>960.0</v>
      </c>
      <c r="D1805" s="3">
        <f>IFERROR(__xludf.DUMMYFUNCTION("IFERROR(
IF(REGEXMATCH(LOWER(O1805),""k""),
VALUE(REGEXEXTRACT(O1805,""[0-9]+""))*1000,
VALUE(REGEXEXTRACT(O1805,""[0-9]+""))
),
0
)"),0.0)</f>
        <v>0</v>
      </c>
      <c r="E1805" s="1" t="s">
        <v>11</v>
      </c>
      <c r="F1805" s="1" t="s">
        <v>20</v>
      </c>
      <c r="G1805" s="4" t="b">
        <f t="shared" si="2"/>
        <v>1</v>
      </c>
      <c r="H1805" s="1" t="str">
        <f t="shared" si="3"/>
        <v>Currently Unavailable</v>
      </c>
      <c r="I1805" s="1" t="str">
        <f t="shared" si="4"/>
        <v>No Badges</v>
      </c>
      <c r="J1805" s="3">
        <f t="shared" si="5"/>
        <v>0</v>
      </c>
    </row>
    <row r="1806">
      <c r="A1806" s="1" t="s">
        <v>1501</v>
      </c>
      <c r="B1806" s="3" t="str">
        <f t="shared" si="1"/>
        <v>Unavailable</v>
      </c>
      <c r="C1806" s="5">
        <v>11560.0</v>
      </c>
      <c r="D1806" s="3">
        <f>IFERROR(__xludf.DUMMYFUNCTION("IFERROR(
IF(REGEXMATCH(LOWER(O1806),""k""),
VALUE(REGEXEXTRACT(O1806,""[0-9]+""))*1000,
VALUE(REGEXEXTRACT(O1806,""[0-9]+""))
),
0
)"),0.0)</f>
        <v>0</v>
      </c>
      <c r="E1806" s="1" t="s">
        <v>11</v>
      </c>
      <c r="F1806" s="1" t="s">
        <v>20</v>
      </c>
      <c r="G1806" s="4" t="b">
        <f t="shared" si="2"/>
        <v>1</v>
      </c>
      <c r="H1806" s="1" t="str">
        <f t="shared" si="3"/>
        <v>Currently Unavailable</v>
      </c>
      <c r="I1806" s="1" t="str">
        <f t="shared" si="4"/>
        <v>No Badges</v>
      </c>
      <c r="J1806" s="3">
        <f t="shared" si="5"/>
        <v>0</v>
      </c>
    </row>
    <row r="1807">
      <c r="A1807" s="1" t="s">
        <v>1502</v>
      </c>
      <c r="B1807" s="3" t="str">
        <f t="shared" si="1"/>
        <v>Unavailable</v>
      </c>
      <c r="C1807" s="5">
        <v>1452.0</v>
      </c>
      <c r="D1807" s="3">
        <f>IFERROR(__xludf.DUMMYFUNCTION("IFERROR(
IF(REGEXMATCH(LOWER(O1807),""k""),
VALUE(REGEXEXTRACT(O1807,""[0-9]+""))*1000,
VALUE(REGEXEXTRACT(O1807,""[0-9]+""))
),
0
)"),0.0)</f>
        <v>0</v>
      </c>
      <c r="E1807" s="1" t="s">
        <v>11</v>
      </c>
      <c r="F1807" s="1" t="s">
        <v>20</v>
      </c>
      <c r="G1807" s="4" t="b">
        <f t="shared" si="2"/>
        <v>1</v>
      </c>
      <c r="H1807" s="1" t="str">
        <f t="shared" si="3"/>
        <v>Currently Unavailable</v>
      </c>
      <c r="I1807" s="1" t="str">
        <f t="shared" si="4"/>
        <v>No Badges</v>
      </c>
      <c r="J1807" s="3">
        <f t="shared" si="5"/>
        <v>0</v>
      </c>
    </row>
    <row r="1808">
      <c r="A1808" s="1" t="s">
        <v>1503</v>
      </c>
      <c r="B1808" s="3" t="str">
        <f t="shared" si="1"/>
        <v>Unavailable</v>
      </c>
      <c r="C1808" s="5">
        <v>21286.0</v>
      </c>
      <c r="D1808" s="3">
        <f>IFERROR(__xludf.DUMMYFUNCTION("IFERROR(
IF(REGEXMATCH(LOWER(O1808),""k""),
VALUE(REGEXEXTRACT(O1808,""[0-9]+""))*1000,
VALUE(REGEXEXTRACT(O1808,""[0-9]+""))
),
0
)"),0.0)</f>
        <v>0</v>
      </c>
      <c r="E1808" s="1" t="s">
        <v>11</v>
      </c>
      <c r="F1808" s="1" t="s">
        <v>20</v>
      </c>
      <c r="G1808" s="4" t="b">
        <f t="shared" si="2"/>
        <v>1</v>
      </c>
      <c r="H1808" s="1" t="str">
        <f t="shared" si="3"/>
        <v>Currently Unavailable</v>
      </c>
      <c r="I1808" s="1" t="str">
        <f t="shared" si="4"/>
        <v>No Badges</v>
      </c>
      <c r="J1808" s="3">
        <f t="shared" si="5"/>
        <v>0</v>
      </c>
    </row>
    <row r="1809">
      <c r="A1809" s="1" t="s">
        <v>1285</v>
      </c>
      <c r="B1809" s="3" t="str">
        <f t="shared" si="1"/>
        <v>Unavailable</v>
      </c>
      <c r="C1809" s="5">
        <v>3520.0</v>
      </c>
      <c r="D1809" s="3">
        <f>IFERROR(__xludf.DUMMYFUNCTION("IFERROR(
IF(REGEXMATCH(LOWER(O1809),""k""),
VALUE(REGEXEXTRACT(O1809,""[0-9]+""))*1000,
VALUE(REGEXEXTRACT(O1809,""[0-9]+""))
),
0
)"),0.0)</f>
        <v>0</v>
      </c>
      <c r="E1809" s="1" t="s">
        <v>11</v>
      </c>
      <c r="F1809" s="1" t="s">
        <v>12</v>
      </c>
      <c r="G1809" s="4" t="b">
        <f t="shared" si="2"/>
        <v>1</v>
      </c>
      <c r="H1809" s="1" t="str">
        <f t="shared" si="3"/>
        <v>Currently Unavailable</v>
      </c>
      <c r="I1809" s="1" t="str">
        <f t="shared" si="4"/>
        <v>No Badges</v>
      </c>
      <c r="J1809" s="3">
        <f t="shared" si="5"/>
        <v>0</v>
      </c>
    </row>
    <row r="1810">
      <c r="A1810" s="1" t="s">
        <v>1285</v>
      </c>
      <c r="B1810" s="3" t="str">
        <f t="shared" si="1"/>
        <v>Unavailable</v>
      </c>
      <c r="C1810" s="5">
        <v>3520.0</v>
      </c>
      <c r="D1810" s="3">
        <f>IFERROR(__xludf.DUMMYFUNCTION("IFERROR(
IF(REGEXMATCH(LOWER(O1810),""k""),
VALUE(REGEXEXTRACT(O1810,""[0-9]+""))*1000,
VALUE(REGEXEXTRACT(O1810,""[0-9]+""))
),
0
)"),0.0)</f>
        <v>0</v>
      </c>
      <c r="E1810" s="1" t="s">
        <v>11</v>
      </c>
      <c r="F1810" s="1" t="s">
        <v>12</v>
      </c>
      <c r="G1810" s="4" t="b">
        <f t="shared" si="2"/>
        <v>1</v>
      </c>
      <c r="H1810" s="1" t="str">
        <f t="shared" si="3"/>
        <v>Currently Unavailable</v>
      </c>
      <c r="I1810" s="1" t="str">
        <f t="shared" si="4"/>
        <v>No Badges</v>
      </c>
      <c r="J1810" s="3">
        <f t="shared" si="5"/>
        <v>0</v>
      </c>
    </row>
    <row r="1811">
      <c r="A1811" s="1" t="s">
        <v>604</v>
      </c>
      <c r="B1811" s="3" t="str">
        <f t="shared" si="1"/>
        <v>Unavailable</v>
      </c>
      <c r="C1811" s="3">
        <v>30.0</v>
      </c>
      <c r="D1811" s="3">
        <f>IFERROR(__xludf.DUMMYFUNCTION("IFERROR(
IF(REGEXMATCH(LOWER(O1811),""k""),
VALUE(REGEXEXTRACT(O1811,""[0-9]+""))*1000,
VALUE(REGEXEXTRACT(O1811,""[0-9]+""))
),
0
)"),0.0)</f>
        <v>0</v>
      </c>
      <c r="E1811" s="1" t="s">
        <v>11</v>
      </c>
      <c r="F1811" s="1" t="s">
        <v>12</v>
      </c>
      <c r="G1811" s="4" t="b">
        <f t="shared" si="2"/>
        <v>1</v>
      </c>
      <c r="H1811" s="1" t="str">
        <f t="shared" si="3"/>
        <v>Currently Unavailable</v>
      </c>
      <c r="I1811" s="1" t="str">
        <f t="shared" si="4"/>
        <v>No Badges</v>
      </c>
      <c r="J1811" s="3">
        <f t="shared" si="5"/>
        <v>0</v>
      </c>
    </row>
    <row r="1812">
      <c r="A1812" s="1" t="s">
        <v>1284</v>
      </c>
      <c r="B1812" s="3" t="str">
        <f t="shared" si="1"/>
        <v>Unavailable</v>
      </c>
      <c r="C1812" s="3">
        <v>172.0</v>
      </c>
      <c r="D1812" s="3">
        <f>IFERROR(__xludf.DUMMYFUNCTION("IFERROR(
IF(REGEXMATCH(LOWER(O1812),""k""),
VALUE(REGEXEXTRACT(O1812,""[0-9]+""))*1000,
VALUE(REGEXEXTRACT(O1812,""[0-9]+""))
),
0
)"),0.0)</f>
        <v>0</v>
      </c>
      <c r="E1812" s="1" t="s">
        <v>11</v>
      </c>
      <c r="F1812" s="1" t="s">
        <v>12</v>
      </c>
      <c r="G1812" s="4" t="b">
        <f t="shared" si="2"/>
        <v>1</v>
      </c>
      <c r="H1812" s="1" t="str">
        <f t="shared" si="3"/>
        <v>Currently Unavailable</v>
      </c>
      <c r="I1812" s="1" t="str">
        <f t="shared" si="4"/>
        <v>No Badges</v>
      </c>
      <c r="J1812" s="3">
        <f t="shared" si="5"/>
        <v>0</v>
      </c>
    </row>
    <row r="1813">
      <c r="A1813" s="1" t="s">
        <v>701</v>
      </c>
      <c r="B1813" s="3" t="str">
        <f t="shared" si="1"/>
        <v>Unavailable</v>
      </c>
      <c r="C1813" s="3">
        <v>8.0</v>
      </c>
      <c r="D1813" s="3">
        <f>IFERROR(__xludf.DUMMYFUNCTION("IFERROR(
IF(REGEXMATCH(LOWER(O1813),""k""),
VALUE(REGEXEXTRACT(O1813,""[0-9]+""))*1000,
VALUE(REGEXEXTRACT(O1813,""[0-9]+""))
),
0
)"),0.0)</f>
        <v>0</v>
      </c>
      <c r="E1813" s="1" t="s">
        <v>11</v>
      </c>
      <c r="F1813" s="1" t="s">
        <v>12</v>
      </c>
      <c r="G1813" s="4" t="b">
        <f t="shared" si="2"/>
        <v>1</v>
      </c>
      <c r="H1813" s="1" t="str">
        <f t="shared" si="3"/>
        <v>Currently Unavailable</v>
      </c>
      <c r="I1813" s="1" t="str">
        <f t="shared" si="4"/>
        <v>No Badges</v>
      </c>
      <c r="J1813" s="3">
        <f t="shared" si="5"/>
        <v>0</v>
      </c>
    </row>
    <row r="1814">
      <c r="A1814" s="1" t="s">
        <v>1504</v>
      </c>
      <c r="B1814" s="3" t="str">
        <f t="shared" si="1"/>
        <v>Unavailable</v>
      </c>
      <c r="C1814" s="5">
        <v>4562.0</v>
      </c>
      <c r="D1814" s="3">
        <f>IFERROR(__xludf.DUMMYFUNCTION("IFERROR(
IF(REGEXMATCH(LOWER(O1814),""k""),
VALUE(REGEXEXTRACT(O1814,""[0-9]+""))*1000,
VALUE(REGEXEXTRACT(O1814,""[0-9]+""))
),
0
)"),0.0)</f>
        <v>0</v>
      </c>
      <c r="E1814" s="1" t="s">
        <v>11</v>
      </c>
      <c r="F1814" s="1" t="s">
        <v>20</v>
      </c>
      <c r="G1814" s="4" t="b">
        <f t="shared" si="2"/>
        <v>1</v>
      </c>
      <c r="H1814" s="1" t="str">
        <f t="shared" si="3"/>
        <v>Currently Unavailable</v>
      </c>
      <c r="I1814" s="1" t="str">
        <f t="shared" si="4"/>
        <v>No Badges</v>
      </c>
      <c r="J1814" s="3">
        <f t="shared" si="5"/>
        <v>0</v>
      </c>
    </row>
    <row r="1815">
      <c r="A1815" s="1" t="s">
        <v>1505</v>
      </c>
      <c r="B1815" s="3" t="str">
        <f t="shared" si="1"/>
        <v>Unavailable</v>
      </c>
      <c r="C1815" s="3">
        <v>461.0</v>
      </c>
      <c r="D1815" s="3">
        <f>IFERROR(__xludf.DUMMYFUNCTION("IFERROR(
IF(REGEXMATCH(LOWER(O1815),""k""),
VALUE(REGEXEXTRACT(O1815,""[0-9]+""))*1000,
VALUE(REGEXEXTRACT(O1815,""[0-9]+""))
),
0
)"),0.0)</f>
        <v>0</v>
      </c>
      <c r="E1815" s="1" t="s">
        <v>11</v>
      </c>
      <c r="F1815" s="1" t="s">
        <v>20</v>
      </c>
      <c r="G1815" s="4" t="b">
        <f t="shared" si="2"/>
        <v>1</v>
      </c>
      <c r="H1815" s="1" t="str">
        <f t="shared" si="3"/>
        <v>Currently Unavailable</v>
      </c>
      <c r="I1815" s="1" t="str">
        <f t="shared" si="4"/>
        <v>No Badges</v>
      </c>
      <c r="J1815" s="3">
        <f t="shared" si="5"/>
        <v>0</v>
      </c>
    </row>
    <row r="1816">
      <c r="A1816" s="1" t="s">
        <v>1506</v>
      </c>
      <c r="B1816" s="3" t="str">
        <f t="shared" si="1"/>
        <v>Unavailable</v>
      </c>
      <c r="C1816" s="3">
        <v>87.0</v>
      </c>
      <c r="D1816" s="3">
        <f>IFERROR(__xludf.DUMMYFUNCTION("IFERROR(
IF(REGEXMATCH(LOWER(O1816),""k""),
VALUE(REGEXEXTRACT(O1816,""[0-9]+""))*1000,
VALUE(REGEXEXTRACT(O1816,""[0-9]+""))
),
0
)"),0.0)</f>
        <v>0</v>
      </c>
      <c r="E1816" s="1" t="s">
        <v>11</v>
      </c>
      <c r="F1816" s="1" t="s">
        <v>20</v>
      </c>
      <c r="G1816" s="4" t="b">
        <f t="shared" si="2"/>
        <v>1</v>
      </c>
      <c r="H1816" s="1" t="str">
        <f t="shared" si="3"/>
        <v>Currently Unavailable</v>
      </c>
      <c r="I1816" s="1" t="str">
        <f t="shared" si="4"/>
        <v>No Badges</v>
      </c>
      <c r="J1816" s="3">
        <f t="shared" si="5"/>
        <v>0</v>
      </c>
    </row>
    <row r="1817">
      <c r="A1817" s="1" t="s">
        <v>1507</v>
      </c>
      <c r="B1817" s="3" t="str">
        <f t="shared" si="1"/>
        <v>Unavailable</v>
      </c>
      <c r="C1817" s="5">
        <v>2410.0</v>
      </c>
      <c r="D1817" s="3">
        <f>IFERROR(__xludf.DUMMYFUNCTION("IFERROR(
IF(REGEXMATCH(LOWER(O1817),""k""),
VALUE(REGEXEXTRACT(O1817,""[0-9]+""))*1000,
VALUE(REGEXEXTRACT(O1817,""[0-9]+""))
),
0
)"),0.0)</f>
        <v>0</v>
      </c>
      <c r="E1817" s="1" t="s">
        <v>11</v>
      </c>
      <c r="F1817" s="1" t="s">
        <v>20</v>
      </c>
      <c r="G1817" s="4" t="b">
        <f t="shared" si="2"/>
        <v>1</v>
      </c>
      <c r="H1817" s="1" t="str">
        <f t="shared" si="3"/>
        <v>Currently Unavailable</v>
      </c>
      <c r="I1817" s="1" t="str">
        <f t="shared" si="4"/>
        <v>No Badges</v>
      </c>
      <c r="J1817" s="3">
        <f t="shared" si="5"/>
        <v>0</v>
      </c>
    </row>
    <row r="1818">
      <c r="A1818" s="1" t="s">
        <v>1508</v>
      </c>
      <c r="B1818" s="3" t="str">
        <f t="shared" si="1"/>
        <v>Unavailable</v>
      </c>
      <c r="C1818" s="5">
        <v>23501.0</v>
      </c>
      <c r="D1818" s="3">
        <f>IFERROR(__xludf.DUMMYFUNCTION("IFERROR(
IF(REGEXMATCH(LOWER(O1818),""k""),
VALUE(REGEXEXTRACT(O1818,""[0-9]+""))*1000,
VALUE(REGEXEXTRACT(O1818,""[0-9]+""))
),
0
)"),0.0)</f>
        <v>0</v>
      </c>
      <c r="E1818" s="1" t="s">
        <v>11</v>
      </c>
      <c r="F1818" s="1" t="s">
        <v>20</v>
      </c>
      <c r="G1818" s="4" t="b">
        <f t="shared" si="2"/>
        <v>1</v>
      </c>
      <c r="H1818" s="1" t="str">
        <f t="shared" si="3"/>
        <v>Currently Unavailable</v>
      </c>
      <c r="I1818" s="1" t="str">
        <f t="shared" si="4"/>
        <v>No Badges</v>
      </c>
      <c r="J1818" s="3">
        <f t="shared" si="5"/>
        <v>0</v>
      </c>
    </row>
    <row r="1819">
      <c r="A1819" s="1" t="s">
        <v>1509</v>
      </c>
      <c r="B1819" s="3" t="str">
        <f t="shared" si="1"/>
        <v>Unavailable</v>
      </c>
      <c r="C1819" s="3">
        <v>188.0</v>
      </c>
      <c r="D1819" s="3">
        <f>IFERROR(__xludf.DUMMYFUNCTION("IFERROR(
IF(REGEXMATCH(LOWER(O1819),""k""),
VALUE(REGEXEXTRACT(O1819,""[0-9]+""))*1000,
VALUE(REGEXEXTRACT(O1819,""[0-9]+""))
),
0
)"),0.0)</f>
        <v>0</v>
      </c>
      <c r="E1819" s="1" t="s">
        <v>11</v>
      </c>
      <c r="F1819" s="1" t="s">
        <v>20</v>
      </c>
      <c r="G1819" s="4" t="b">
        <f t="shared" si="2"/>
        <v>1</v>
      </c>
      <c r="H1819" s="1" t="str">
        <f t="shared" si="3"/>
        <v>Currently Unavailable</v>
      </c>
      <c r="I1819" s="1" t="str">
        <f t="shared" si="4"/>
        <v>No Badges</v>
      </c>
      <c r="J1819" s="3">
        <f t="shared" si="5"/>
        <v>0</v>
      </c>
    </row>
    <row r="1820">
      <c r="A1820" s="1" t="s">
        <v>1510</v>
      </c>
      <c r="B1820" s="3" t="str">
        <f t="shared" si="1"/>
        <v>Unavailable</v>
      </c>
      <c r="C1820" s="5">
        <v>1137.0</v>
      </c>
      <c r="D1820" s="3">
        <f>IFERROR(__xludf.DUMMYFUNCTION("IFERROR(
IF(REGEXMATCH(LOWER(O1820),""k""),
VALUE(REGEXEXTRACT(O1820,""[0-9]+""))*1000,
VALUE(REGEXEXTRACT(O1820,""[0-9]+""))
),
0
)"),0.0)</f>
        <v>0</v>
      </c>
      <c r="E1820" s="1" t="s">
        <v>11</v>
      </c>
      <c r="F1820" s="1" t="s">
        <v>20</v>
      </c>
      <c r="G1820" s="4" t="b">
        <f t="shared" si="2"/>
        <v>1</v>
      </c>
      <c r="H1820" s="1" t="str">
        <f t="shared" si="3"/>
        <v>Currently Unavailable</v>
      </c>
      <c r="I1820" s="1" t="str">
        <f t="shared" si="4"/>
        <v>No Badges</v>
      </c>
      <c r="J1820" s="3">
        <f t="shared" si="5"/>
        <v>0</v>
      </c>
    </row>
    <row r="1821">
      <c r="A1821" s="1" t="s">
        <v>1284</v>
      </c>
      <c r="B1821" s="3" t="str">
        <f t="shared" si="1"/>
        <v>Unavailable</v>
      </c>
      <c r="C1821" s="3">
        <v>172.0</v>
      </c>
      <c r="D1821" s="3">
        <f>IFERROR(__xludf.DUMMYFUNCTION("IFERROR(
IF(REGEXMATCH(LOWER(O1821),""k""),
VALUE(REGEXEXTRACT(O1821,""[0-9]+""))*1000,
VALUE(REGEXEXTRACT(O1821,""[0-9]+""))
),
0
)"),0.0)</f>
        <v>0</v>
      </c>
      <c r="E1821" s="1" t="s">
        <v>11</v>
      </c>
      <c r="F1821" s="1" t="s">
        <v>12</v>
      </c>
      <c r="G1821" s="4" t="b">
        <f t="shared" si="2"/>
        <v>1</v>
      </c>
      <c r="H1821" s="1" t="str">
        <f t="shared" si="3"/>
        <v>Currently Unavailable</v>
      </c>
      <c r="I1821" s="1" t="str">
        <f t="shared" si="4"/>
        <v>No Badges</v>
      </c>
      <c r="J1821" s="3">
        <f t="shared" si="5"/>
        <v>0</v>
      </c>
    </row>
    <row r="1822">
      <c r="A1822" s="1" t="s">
        <v>1511</v>
      </c>
      <c r="B1822" s="3" t="str">
        <f t="shared" si="1"/>
        <v>Unavailable</v>
      </c>
      <c r="C1822" s="5">
        <v>6449.0</v>
      </c>
      <c r="D1822" s="3">
        <f>IFERROR(__xludf.DUMMYFUNCTION("IFERROR(
IF(REGEXMATCH(LOWER(O1822),""k""),
VALUE(REGEXEXTRACT(O1822,""[0-9]+""))*1000,
VALUE(REGEXEXTRACT(O1822,""[0-9]+""))
),
0
)"),0.0)</f>
        <v>0</v>
      </c>
      <c r="E1822" s="1" t="s">
        <v>11</v>
      </c>
      <c r="F1822" s="1" t="s">
        <v>20</v>
      </c>
      <c r="G1822" s="4" t="b">
        <f t="shared" si="2"/>
        <v>1</v>
      </c>
      <c r="H1822" s="1" t="str">
        <f t="shared" si="3"/>
        <v>Currently Unavailable</v>
      </c>
      <c r="I1822" s="1" t="str">
        <f t="shared" si="4"/>
        <v>No Badges</v>
      </c>
      <c r="J1822" s="3">
        <f t="shared" si="5"/>
        <v>0</v>
      </c>
    </row>
    <row r="1823">
      <c r="A1823" s="1" t="s">
        <v>1512</v>
      </c>
      <c r="B1823" s="3" t="str">
        <f t="shared" si="1"/>
        <v>Unavailable</v>
      </c>
      <c r="C1823" s="5">
        <v>6442.0</v>
      </c>
      <c r="D1823" s="3">
        <f>IFERROR(__xludf.DUMMYFUNCTION("IFERROR(
IF(REGEXMATCH(LOWER(O1823),""k""),
VALUE(REGEXEXTRACT(O1823,""[0-9]+""))*1000,
VALUE(REGEXEXTRACT(O1823,""[0-9]+""))
),
0
)"),0.0)</f>
        <v>0</v>
      </c>
      <c r="E1823" s="1" t="s">
        <v>11</v>
      </c>
      <c r="F1823" s="1" t="s">
        <v>20</v>
      </c>
      <c r="G1823" s="4" t="b">
        <f t="shared" si="2"/>
        <v>1</v>
      </c>
      <c r="H1823" s="1" t="str">
        <f t="shared" si="3"/>
        <v>Currently Unavailable</v>
      </c>
      <c r="I1823" s="1" t="str">
        <f t="shared" si="4"/>
        <v>No Badges</v>
      </c>
      <c r="J1823" s="3">
        <f t="shared" si="5"/>
        <v>0</v>
      </c>
    </row>
    <row r="1824">
      <c r="A1824" s="1" t="s">
        <v>1513</v>
      </c>
      <c r="B1824" s="3" t="str">
        <f t="shared" si="1"/>
        <v>Unavailable</v>
      </c>
      <c r="C1824" s="5">
        <v>6810.0</v>
      </c>
      <c r="D1824" s="3">
        <f>IFERROR(__xludf.DUMMYFUNCTION("IFERROR(
IF(REGEXMATCH(LOWER(O1824),""k""),
VALUE(REGEXEXTRACT(O1824,""[0-9]+""))*1000,
VALUE(REGEXEXTRACT(O1824,""[0-9]+""))
),
0
)"),0.0)</f>
        <v>0</v>
      </c>
      <c r="E1824" s="1" t="s">
        <v>11</v>
      </c>
      <c r="F1824" s="1" t="s">
        <v>20</v>
      </c>
      <c r="G1824" s="4" t="b">
        <f t="shared" si="2"/>
        <v>1</v>
      </c>
      <c r="H1824" s="1" t="str">
        <f t="shared" si="3"/>
        <v>Currently Unavailable</v>
      </c>
      <c r="I1824" s="1" t="str">
        <f t="shared" si="4"/>
        <v>No Badges</v>
      </c>
      <c r="J1824" s="3">
        <f t="shared" si="5"/>
        <v>0</v>
      </c>
    </row>
    <row r="1825">
      <c r="A1825" s="1" t="s">
        <v>1285</v>
      </c>
      <c r="B1825" s="3" t="str">
        <f t="shared" si="1"/>
        <v>Unavailable</v>
      </c>
      <c r="C1825" s="5">
        <v>3520.0</v>
      </c>
      <c r="D1825" s="3">
        <f>IFERROR(__xludf.DUMMYFUNCTION("IFERROR(
IF(REGEXMATCH(LOWER(O1825),""k""),
VALUE(REGEXEXTRACT(O1825,""[0-9]+""))*1000,
VALUE(REGEXEXTRACT(O1825,""[0-9]+""))
),
0
)"),0.0)</f>
        <v>0</v>
      </c>
      <c r="E1825" s="1" t="s">
        <v>11</v>
      </c>
      <c r="F1825" s="1" t="s">
        <v>20</v>
      </c>
      <c r="G1825" s="4" t="b">
        <f t="shared" si="2"/>
        <v>1</v>
      </c>
      <c r="H1825" s="1" t="str">
        <f t="shared" si="3"/>
        <v>Currently Unavailable</v>
      </c>
      <c r="I1825" s="1" t="str">
        <f t="shared" si="4"/>
        <v>No Badges</v>
      </c>
      <c r="J1825" s="3">
        <f t="shared" si="5"/>
        <v>0</v>
      </c>
    </row>
    <row r="1826">
      <c r="A1826" s="1" t="s">
        <v>1514</v>
      </c>
      <c r="B1826" s="3" t="str">
        <f t="shared" si="1"/>
        <v>Unavailable</v>
      </c>
      <c r="C1826" s="3">
        <v>996.0</v>
      </c>
      <c r="D1826" s="3">
        <f>IFERROR(__xludf.DUMMYFUNCTION("IFERROR(
IF(REGEXMATCH(LOWER(O1826),""k""),
VALUE(REGEXEXTRACT(O1826,""[0-9]+""))*1000,
VALUE(REGEXEXTRACT(O1826,""[0-9]+""))
),
0
)"),0.0)</f>
        <v>0</v>
      </c>
      <c r="E1826" s="1" t="s">
        <v>11</v>
      </c>
      <c r="F1826" s="1" t="s">
        <v>20</v>
      </c>
      <c r="G1826" s="4" t="b">
        <f t="shared" si="2"/>
        <v>1</v>
      </c>
      <c r="H1826" s="1" t="str">
        <f t="shared" si="3"/>
        <v>Currently Unavailable</v>
      </c>
      <c r="I1826" s="1" t="str">
        <f t="shared" si="4"/>
        <v>No Badges</v>
      </c>
      <c r="J1826" s="3">
        <f t="shared" si="5"/>
        <v>0</v>
      </c>
    </row>
    <row r="1827">
      <c r="A1827" s="1" t="s">
        <v>1515</v>
      </c>
      <c r="B1827" s="3" t="str">
        <f t="shared" si="1"/>
        <v>Unavailable</v>
      </c>
      <c r="C1827" s="5">
        <v>4461.0</v>
      </c>
      <c r="D1827" s="3">
        <f>IFERROR(__xludf.DUMMYFUNCTION("IFERROR(
IF(REGEXMATCH(LOWER(O1827),""k""),
VALUE(REGEXEXTRACT(O1827,""[0-9]+""))*1000,
VALUE(REGEXEXTRACT(O1827,""[0-9]+""))
),
0
)"),0.0)</f>
        <v>0</v>
      </c>
      <c r="E1827" s="1" t="s">
        <v>11</v>
      </c>
      <c r="F1827" s="1" t="s">
        <v>20</v>
      </c>
      <c r="G1827" s="4" t="b">
        <f t="shared" si="2"/>
        <v>1</v>
      </c>
      <c r="H1827" s="1" t="str">
        <f t="shared" si="3"/>
        <v>Currently Unavailable</v>
      </c>
      <c r="I1827" s="1" t="str">
        <f t="shared" si="4"/>
        <v>No Badges</v>
      </c>
      <c r="J1827" s="3">
        <f t="shared" si="5"/>
        <v>0</v>
      </c>
    </row>
    <row r="1828">
      <c r="A1828" s="1" t="s">
        <v>1285</v>
      </c>
      <c r="B1828" s="3" t="str">
        <f t="shared" si="1"/>
        <v>Unavailable</v>
      </c>
      <c r="C1828" s="5">
        <v>3520.0</v>
      </c>
      <c r="D1828" s="3">
        <f>IFERROR(__xludf.DUMMYFUNCTION("IFERROR(
IF(REGEXMATCH(LOWER(O1828),""k""),
VALUE(REGEXEXTRACT(O1828,""[0-9]+""))*1000,
VALUE(REGEXEXTRACT(O1828,""[0-9]+""))
),
0
)"),0.0)</f>
        <v>0</v>
      </c>
      <c r="E1828" s="1" t="s">
        <v>11</v>
      </c>
      <c r="F1828" s="1" t="s">
        <v>12</v>
      </c>
      <c r="G1828" s="4" t="b">
        <f t="shared" si="2"/>
        <v>1</v>
      </c>
      <c r="H1828" s="1" t="str">
        <f t="shared" si="3"/>
        <v>Currently Unavailable</v>
      </c>
      <c r="I1828" s="1" t="str">
        <f t="shared" si="4"/>
        <v>No Badges</v>
      </c>
      <c r="J1828" s="3">
        <f t="shared" si="5"/>
        <v>0</v>
      </c>
    </row>
    <row r="1829">
      <c r="A1829" s="1" t="s">
        <v>1516</v>
      </c>
      <c r="B1829" s="3" t="str">
        <f t="shared" si="1"/>
        <v>Unavailable</v>
      </c>
      <c r="C1829" s="5">
        <v>1850.0</v>
      </c>
      <c r="D1829" s="3">
        <f>IFERROR(__xludf.DUMMYFUNCTION("IFERROR(
IF(REGEXMATCH(LOWER(O1829),""k""),
VALUE(REGEXEXTRACT(O1829,""[0-9]+""))*1000,
VALUE(REGEXEXTRACT(O1829,""[0-9]+""))
),
0
)"),0.0)</f>
        <v>0</v>
      </c>
      <c r="E1829" s="1" t="s">
        <v>11</v>
      </c>
      <c r="F1829" s="1" t="s">
        <v>12</v>
      </c>
      <c r="G1829" s="4" t="b">
        <f t="shared" si="2"/>
        <v>1</v>
      </c>
      <c r="H1829" s="1" t="str">
        <f t="shared" si="3"/>
        <v>Currently Unavailable</v>
      </c>
      <c r="I1829" s="1" t="str">
        <f t="shared" si="4"/>
        <v>No Badges</v>
      </c>
      <c r="J1829" s="3">
        <f t="shared" si="5"/>
        <v>0</v>
      </c>
    </row>
    <row r="1830">
      <c r="A1830" s="1" t="s">
        <v>1284</v>
      </c>
      <c r="B1830" s="3" t="str">
        <f t="shared" si="1"/>
        <v>Unavailable</v>
      </c>
      <c r="C1830" s="3">
        <v>172.0</v>
      </c>
      <c r="D1830" s="3">
        <f>IFERROR(__xludf.DUMMYFUNCTION("IFERROR(
IF(REGEXMATCH(LOWER(O1830),""k""),
VALUE(REGEXEXTRACT(O1830,""[0-9]+""))*1000,
VALUE(REGEXEXTRACT(O1830,""[0-9]+""))
),
0
)"),0.0)</f>
        <v>0</v>
      </c>
      <c r="E1830" s="1" t="s">
        <v>11</v>
      </c>
      <c r="F1830" s="1" t="s">
        <v>12</v>
      </c>
      <c r="G1830" s="4" t="b">
        <f t="shared" si="2"/>
        <v>1</v>
      </c>
      <c r="H1830" s="1" t="str">
        <f t="shared" si="3"/>
        <v>Currently Unavailable</v>
      </c>
      <c r="I1830" s="1" t="str">
        <f t="shared" si="4"/>
        <v>No Badges</v>
      </c>
      <c r="J1830" s="3">
        <f t="shared" si="5"/>
        <v>0</v>
      </c>
    </row>
    <row r="1831">
      <c r="A1831" s="1" t="s">
        <v>1517</v>
      </c>
      <c r="B1831" s="3" t="str">
        <f t="shared" si="1"/>
        <v>Unavailable</v>
      </c>
      <c r="C1831" s="3">
        <v>179.0</v>
      </c>
      <c r="D1831" s="3">
        <f>IFERROR(__xludf.DUMMYFUNCTION("IFERROR(
IF(REGEXMATCH(LOWER(O1831),""k""),
VALUE(REGEXEXTRACT(O1831,""[0-9]+""))*1000,
VALUE(REGEXEXTRACT(O1831,""[0-9]+""))
),
0
)"),0.0)</f>
        <v>0</v>
      </c>
      <c r="E1831" s="1" t="s">
        <v>11</v>
      </c>
      <c r="F1831" s="1" t="s">
        <v>20</v>
      </c>
      <c r="G1831" s="4" t="b">
        <f t="shared" si="2"/>
        <v>1</v>
      </c>
      <c r="H1831" s="1" t="str">
        <f t="shared" si="3"/>
        <v>Currently Unavailable</v>
      </c>
      <c r="I1831" s="1" t="str">
        <f t="shared" si="4"/>
        <v>No Badges</v>
      </c>
      <c r="J1831" s="3">
        <f t="shared" si="5"/>
        <v>0</v>
      </c>
    </row>
    <row r="1832">
      <c r="A1832" s="1" t="s">
        <v>1518</v>
      </c>
      <c r="B1832" s="3" t="str">
        <f t="shared" si="1"/>
        <v>Unavailable</v>
      </c>
      <c r="C1832" s="3">
        <v>32.0</v>
      </c>
      <c r="D1832" s="3">
        <f>IFERROR(__xludf.DUMMYFUNCTION("IFERROR(
IF(REGEXMATCH(LOWER(O1832),""k""),
VALUE(REGEXEXTRACT(O1832,""[0-9]+""))*1000,
VALUE(REGEXEXTRACT(O1832,""[0-9]+""))
),
0
)"),0.0)</f>
        <v>0</v>
      </c>
      <c r="E1832" s="1" t="s">
        <v>18</v>
      </c>
      <c r="F1832" s="1" t="s">
        <v>20</v>
      </c>
      <c r="G1832" s="4" t="b">
        <f t="shared" si="2"/>
        <v>1</v>
      </c>
      <c r="H1832" s="1" t="str">
        <f t="shared" si="3"/>
        <v>Currently Unavailable</v>
      </c>
      <c r="I1832" s="1" t="str">
        <f t="shared" si="4"/>
        <v>No Badges</v>
      </c>
      <c r="J1832" s="3">
        <f t="shared" si="5"/>
        <v>0</v>
      </c>
    </row>
    <row r="1833">
      <c r="A1833" s="1" t="s">
        <v>1519</v>
      </c>
      <c r="B1833" s="3" t="str">
        <f t="shared" si="1"/>
        <v>Unavailable</v>
      </c>
      <c r="C1833" s="5">
        <v>4119.0</v>
      </c>
      <c r="D1833" s="3">
        <f>IFERROR(__xludf.DUMMYFUNCTION("IFERROR(
IF(REGEXMATCH(LOWER(O1833),""k""),
VALUE(REGEXEXTRACT(O1833,""[0-9]+""))*1000,
VALUE(REGEXEXTRACT(O1833,""[0-9]+""))
),
0
)"),0.0)</f>
        <v>0</v>
      </c>
      <c r="E1833" s="1" t="s">
        <v>11</v>
      </c>
      <c r="F1833" s="1" t="s">
        <v>20</v>
      </c>
      <c r="G1833" s="4" t="b">
        <f t="shared" si="2"/>
        <v>1</v>
      </c>
      <c r="H1833" s="1" t="str">
        <f t="shared" si="3"/>
        <v>Currently Unavailable</v>
      </c>
      <c r="I1833" s="1" t="str">
        <f t="shared" si="4"/>
        <v>No Badges</v>
      </c>
      <c r="J1833" s="3">
        <f t="shared" si="5"/>
        <v>0</v>
      </c>
    </row>
    <row r="1834">
      <c r="A1834" s="1" t="s">
        <v>1520</v>
      </c>
      <c r="B1834" s="3" t="str">
        <f t="shared" si="1"/>
        <v>Unavailable</v>
      </c>
      <c r="C1834" s="5">
        <v>4674.0</v>
      </c>
      <c r="D1834" s="3">
        <f>IFERROR(__xludf.DUMMYFUNCTION("IFERROR(
IF(REGEXMATCH(LOWER(O1834),""k""),
VALUE(REGEXEXTRACT(O1834,""[0-9]+""))*1000,
VALUE(REGEXEXTRACT(O1834,""[0-9]+""))
),
0
)"),0.0)</f>
        <v>0</v>
      </c>
      <c r="E1834" s="1" t="s">
        <v>11</v>
      </c>
      <c r="F1834" s="1" t="s">
        <v>20</v>
      </c>
      <c r="G1834" s="4" t="b">
        <f t="shared" si="2"/>
        <v>1</v>
      </c>
      <c r="H1834" s="1" t="str">
        <f t="shared" si="3"/>
        <v>Currently Unavailable</v>
      </c>
      <c r="I1834" s="1" t="str">
        <f t="shared" si="4"/>
        <v>No Badges</v>
      </c>
      <c r="J1834" s="3">
        <f t="shared" si="5"/>
        <v>0</v>
      </c>
    </row>
    <row r="1835">
      <c r="A1835" s="1" t="s">
        <v>1521</v>
      </c>
      <c r="B1835" s="3" t="str">
        <f t="shared" si="1"/>
        <v>Unavailable</v>
      </c>
      <c r="C1835" s="3">
        <v>827.0</v>
      </c>
      <c r="D1835" s="3">
        <f>IFERROR(__xludf.DUMMYFUNCTION("IFERROR(
IF(REGEXMATCH(LOWER(O1835),""k""),
VALUE(REGEXEXTRACT(O1835,""[0-9]+""))*1000,
VALUE(REGEXEXTRACT(O1835,""[0-9]+""))
),
0
)"),0.0)</f>
        <v>0</v>
      </c>
      <c r="E1835" s="1" t="s">
        <v>11</v>
      </c>
      <c r="F1835" s="1" t="s">
        <v>20</v>
      </c>
      <c r="G1835" s="4" t="b">
        <f t="shared" si="2"/>
        <v>1</v>
      </c>
      <c r="H1835" s="1" t="str">
        <f t="shared" si="3"/>
        <v>Currently Unavailable</v>
      </c>
      <c r="I1835" s="1" t="str">
        <f t="shared" si="4"/>
        <v>No Badges</v>
      </c>
      <c r="J1835" s="3">
        <f t="shared" si="5"/>
        <v>0</v>
      </c>
    </row>
    <row r="1836">
      <c r="A1836" s="1" t="s">
        <v>1522</v>
      </c>
      <c r="B1836" s="3" t="str">
        <f t="shared" si="1"/>
        <v>Unavailable</v>
      </c>
      <c r="C1836" s="5">
        <v>1029.0</v>
      </c>
      <c r="D1836" s="3">
        <f>IFERROR(__xludf.DUMMYFUNCTION("IFERROR(
IF(REGEXMATCH(LOWER(O1836),""k""),
VALUE(REGEXEXTRACT(O1836,""[0-9]+""))*1000,
VALUE(REGEXEXTRACT(O1836,""[0-9]+""))
),
0
)"),0.0)</f>
        <v>0</v>
      </c>
      <c r="E1836" s="1" t="s">
        <v>11</v>
      </c>
      <c r="F1836" s="1" t="s">
        <v>20</v>
      </c>
      <c r="G1836" s="4" t="b">
        <f t="shared" si="2"/>
        <v>1</v>
      </c>
      <c r="H1836" s="1" t="str">
        <f t="shared" si="3"/>
        <v>Currently Unavailable</v>
      </c>
      <c r="I1836" s="1" t="str">
        <f t="shared" si="4"/>
        <v>No Badges</v>
      </c>
      <c r="J1836" s="3">
        <f t="shared" si="5"/>
        <v>0</v>
      </c>
    </row>
    <row r="1837">
      <c r="A1837" s="1" t="s">
        <v>1523</v>
      </c>
      <c r="B1837" s="3" t="str">
        <f t="shared" si="1"/>
        <v>Unavailable</v>
      </c>
      <c r="C1837" s="3">
        <v>591.0</v>
      </c>
      <c r="D1837" s="3">
        <f>IFERROR(__xludf.DUMMYFUNCTION("IFERROR(
IF(REGEXMATCH(LOWER(O1837),""k""),
VALUE(REGEXEXTRACT(O1837,""[0-9]+""))*1000,
VALUE(REGEXEXTRACT(O1837,""[0-9]+""))
),
0
)"),0.0)</f>
        <v>0</v>
      </c>
      <c r="E1837" s="1" t="s">
        <v>11</v>
      </c>
      <c r="F1837" s="1" t="s">
        <v>20</v>
      </c>
      <c r="G1837" s="4" t="b">
        <f t="shared" si="2"/>
        <v>1</v>
      </c>
      <c r="H1837" s="1" t="str">
        <f t="shared" si="3"/>
        <v>Currently Unavailable</v>
      </c>
      <c r="I1837" s="1" t="str">
        <f t="shared" si="4"/>
        <v>No Badges</v>
      </c>
      <c r="J1837" s="3">
        <f t="shared" si="5"/>
        <v>0</v>
      </c>
    </row>
    <row r="1838">
      <c r="A1838" s="1" t="s">
        <v>1285</v>
      </c>
      <c r="B1838" s="3" t="str">
        <f t="shared" si="1"/>
        <v>Unavailable</v>
      </c>
      <c r="C1838" s="5">
        <v>3520.0</v>
      </c>
      <c r="D1838" s="3">
        <f>IFERROR(__xludf.DUMMYFUNCTION("IFERROR(
IF(REGEXMATCH(LOWER(O1838),""k""),
VALUE(REGEXEXTRACT(O1838,""[0-9]+""))*1000,
VALUE(REGEXEXTRACT(O1838,""[0-9]+""))
),
0
)"),0.0)</f>
        <v>0</v>
      </c>
      <c r="E1838" s="1" t="s">
        <v>11</v>
      </c>
      <c r="F1838" s="1" t="s">
        <v>12</v>
      </c>
      <c r="G1838" s="4" t="b">
        <f t="shared" si="2"/>
        <v>1</v>
      </c>
      <c r="H1838" s="1" t="str">
        <f t="shared" si="3"/>
        <v>Currently Unavailable</v>
      </c>
      <c r="I1838" s="1" t="str">
        <f t="shared" si="4"/>
        <v>No Badges</v>
      </c>
      <c r="J1838" s="3">
        <f t="shared" si="5"/>
        <v>0</v>
      </c>
    </row>
    <row r="1839">
      <c r="A1839" s="1" t="s">
        <v>1524</v>
      </c>
      <c r="B1839" s="3" t="str">
        <f t="shared" si="1"/>
        <v>Unavailable</v>
      </c>
      <c r="C1839" s="5">
        <v>8583.0</v>
      </c>
      <c r="D1839" s="3">
        <f>IFERROR(__xludf.DUMMYFUNCTION("IFERROR(
IF(REGEXMATCH(LOWER(O1839),""k""),
VALUE(REGEXEXTRACT(O1839,""[0-9]+""))*1000,
VALUE(REGEXEXTRACT(O1839,""[0-9]+""))
),
0
)"),0.0)</f>
        <v>0</v>
      </c>
      <c r="E1839" s="1" t="s">
        <v>11</v>
      </c>
      <c r="F1839" s="1" t="s">
        <v>20</v>
      </c>
      <c r="G1839" s="4" t="b">
        <f t="shared" si="2"/>
        <v>1</v>
      </c>
      <c r="H1839" s="1" t="str">
        <f t="shared" si="3"/>
        <v>Currently Unavailable</v>
      </c>
      <c r="I1839" s="1" t="str">
        <f t="shared" si="4"/>
        <v>No Badges</v>
      </c>
      <c r="J1839" s="3">
        <f t="shared" si="5"/>
        <v>0</v>
      </c>
    </row>
    <row r="1840">
      <c r="A1840" s="1" t="s">
        <v>69</v>
      </c>
      <c r="B1840" s="3" t="str">
        <f t="shared" si="1"/>
        <v>Unavailable</v>
      </c>
      <c r="C1840" s="3">
        <v>45.0</v>
      </c>
      <c r="D1840" s="3">
        <f>IFERROR(__xludf.DUMMYFUNCTION("IFERROR(
IF(REGEXMATCH(LOWER(O1840),""k""),
VALUE(REGEXEXTRACT(O1840,""[0-9]+""))*1000,
VALUE(REGEXEXTRACT(O1840,""[0-9]+""))
),
0
)"),0.0)</f>
        <v>0</v>
      </c>
      <c r="E1840" s="1" t="s">
        <v>11</v>
      </c>
      <c r="F1840" s="1" t="s">
        <v>12</v>
      </c>
      <c r="G1840" s="4" t="b">
        <f t="shared" si="2"/>
        <v>1</v>
      </c>
      <c r="H1840" s="1" t="str">
        <f t="shared" si="3"/>
        <v>Currently Unavailable</v>
      </c>
      <c r="I1840" s="1" t="str">
        <f t="shared" si="4"/>
        <v>No Badges</v>
      </c>
      <c r="J1840" s="3">
        <f t="shared" si="5"/>
        <v>0</v>
      </c>
    </row>
    <row r="1841">
      <c r="A1841" s="1" t="s">
        <v>1525</v>
      </c>
      <c r="B1841" s="3" t="str">
        <f t="shared" si="1"/>
        <v>Unavailable</v>
      </c>
      <c r="C1841" s="3">
        <v>673.0</v>
      </c>
      <c r="D1841" s="3">
        <f>IFERROR(__xludf.DUMMYFUNCTION("IFERROR(
IF(REGEXMATCH(LOWER(O1841),""k""),
VALUE(REGEXEXTRACT(O1841,""[0-9]+""))*1000,
VALUE(REGEXEXTRACT(O1841,""[0-9]+""))
),
0
)"),0.0)</f>
        <v>0</v>
      </c>
      <c r="E1841" s="1" t="s">
        <v>11</v>
      </c>
      <c r="F1841" s="1" t="s">
        <v>20</v>
      </c>
      <c r="G1841" s="4" t="b">
        <f t="shared" si="2"/>
        <v>1</v>
      </c>
      <c r="H1841" s="1" t="str">
        <f t="shared" si="3"/>
        <v>Currently Unavailable</v>
      </c>
      <c r="I1841" s="1" t="str">
        <f t="shared" si="4"/>
        <v>No Badges</v>
      </c>
      <c r="J1841" s="3">
        <f t="shared" si="5"/>
        <v>0</v>
      </c>
    </row>
    <row r="1842">
      <c r="A1842" s="1" t="s">
        <v>1526</v>
      </c>
      <c r="B1842" s="3" t="str">
        <f t="shared" si="1"/>
        <v>Unavailable</v>
      </c>
      <c r="C1842" s="5">
        <v>1657.0</v>
      </c>
      <c r="D1842" s="3">
        <f>IFERROR(__xludf.DUMMYFUNCTION("IFERROR(
IF(REGEXMATCH(LOWER(O1842),""k""),
VALUE(REGEXEXTRACT(O1842,""[0-9]+""))*1000,
VALUE(REGEXEXTRACT(O1842,""[0-9]+""))
),
0
)"),0.0)</f>
        <v>0</v>
      </c>
      <c r="E1842" s="1" t="s">
        <v>11</v>
      </c>
      <c r="F1842" s="1" t="s">
        <v>20</v>
      </c>
      <c r="G1842" s="4" t="b">
        <f t="shared" si="2"/>
        <v>1</v>
      </c>
      <c r="H1842" s="1" t="str">
        <f t="shared" si="3"/>
        <v>Currently Unavailable</v>
      </c>
      <c r="I1842" s="1" t="str">
        <f t="shared" si="4"/>
        <v>No Badges</v>
      </c>
      <c r="J1842" s="3">
        <f t="shared" si="5"/>
        <v>0</v>
      </c>
    </row>
    <row r="1843">
      <c r="A1843" s="1" t="s">
        <v>1527</v>
      </c>
      <c r="B1843" s="3" t="str">
        <f t="shared" si="1"/>
        <v>Unavailable</v>
      </c>
      <c r="C1843" s="5">
        <v>5332.0</v>
      </c>
      <c r="D1843" s="3">
        <f>IFERROR(__xludf.DUMMYFUNCTION("IFERROR(
IF(REGEXMATCH(LOWER(O1843),""k""),
VALUE(REGEXEXTRACT(O1843,""[0-9]+""))*1000,
VALUE(REGEXEXTRACT(O1843,""[0-9]+""))
),
0
)"),0.0)</f>
        <v>0</v>
      </c>
      <c r="E1843" s="1" t="s">
        <v>11</v>
      </c>
      <c r="F1843" s="1" t="s">
        <v>20</v>
      </c>
      <c r="G1843" s="4" t="b">
        <f t="shared" si="2"/>
        <v>1</v>
      </c>
      <c r="H1843" s="1" t="str">
        <f t="shared" si="3"/>
        <v>Currently Unavailable</v>
      </c>
      <c r="I1843" s="1" t="str">
        <f t="shared" si="4"/>
        <v>No Badges</v>
      </c>
      <c r="J1843" s="3">
        <f t="shared" si="5"/>
        <v>0</v>
      </c>
    </row>
    <row r="1844">
      <c r="A1844" s="1" t="s">
        <v>1528</v>
      </c>
      <c r="B1844" s="3" t="str">
        <f t="shared" si="1"/>
        <v>Unavailable</v>
      </c>
      <c r="C1844" s="5">
        <v>17876.0</v>
      </c>
      <c r="D1844" s="3">
        <f>IFERROR(__xludf.DUMMYFUNCTION("IFERROR(
IF(REGEXMATCH(LOWER(O1844),""k""),
VALUE(REGEXEXTRACT(O1844,""[0-9]+""))*1000,
VALUE(REGEXEXTRACT(O1844,""[0-9]+""))
),
0
)"),0.0)</f>
        <v>0</v>
      </c>
      <c r="E1844" s="1" t="s">
        <v>11</v>
      </c>
      <c r="F1844" s="1" t="s">
        <v>20</v>
      </c>
      <c r="G1844" s="4" t="b">
        <f t="shared" si="2"/>
        <v>1</v>
      </c>
      <c r="H1844" s="1" t="str">
        <f t="shared" si="3"/>
        <v>Currently Unavailable</v>
      </c>
      <c r="I1844" s="1" t="str">
        <f t="shared" si="4"/>
        <v>No Badges</v>
      </c>
      <c r="J1844" s="3">
        <f t="shared" si="5"/>
        <v>0</v>
      </c>
    </row>
    <row r="1845">
      <c r="A1845" s="1" t="s">
        <v>1529</v>
      </c>
      <c r="B1845" s="3" t="str">
        <f t="shared" si="1"/>
        <v>Unavailable</v>
      </c>
      <c r="C1845" s="3">
        <v>795.0</v>
      </c>
      <c r="D1845" s="3">
        <f>IFERROR(__xludf.DUMMYFUNCTION("IFERROR(
IF(REGEXMATCH(LOWER(O1845),""k""),
VALUE(REGEXEXTRACT(O1845,""[0-9]+""))*1000,
VALUE(REGEXEXTRACT(O1845,""[0-9]+""))
),
0
)"),0.0)</f>
        <v>0</v>
      </c>
      <c r="E1845" s="1" t="s">
        <v>11</v>
      </c>
      <c r="F1845" s="1" t="s">
        <v>20</v>
      </c>
      <c r="G1845" s="4" t="b">
        <f t="shared" si="2"/>
        <v>1</v>
      </c>
      <c r="H1845" s="1" t="str">
        <f t="shared" si="3"/>
        <v>Currently Unavailable</v>
      </c>
      <c r="I1845" s="1" t="str">
        <f t="shared" si="4"/>
        <v>No Badges</v>
      </c>
      <c r="J1845" s="3">
        <f t="shared" si="5"/>
        <v>0</v>
      </c>
    </row>
    <row r="1846">
      <c r="A1846" s="1" t="s">
        <v>1530</v>
      </c>
      <c r="B1846" s="3" t="str">
        <f t="shared" si="1"/>
        <v>Unavailable</v>
      </c>
      <c r="C1846" s="5">
        <v>4693.0</v>
      </c>
      <c r="D1846" s="3">
        <f>IFERROR(__xludf.DUMMYFUNCTION("IFERROR(
IF(REGEXMATCH(LOWER(O1846),""k""),
VALUE(REGEXEXTRACT(O1846,""[0-9]+""))*1000,
VALUE(REGEXEXTRACT(O1846,""[0-9]+""))
),
0
)"),0.0)</f>
        <v>0</v>
      </c>
      <c r="E1846" s="1" t="s">
        <v>18</v>
      </c>
      <c r="F1846" s="1" t="s">
        <v>20</v>
      </c>
      <c r="G1846" s="4" t="b">
        <f t="shared" si="2"/>
        <v>1</v>
      </c>
      <c r="H1846" s="1" t="str">
        <f t="shared" si="3"/>
        <v>Currently Unavailable</v>
      </c>
      <c r="I1846" s="1" t="str">
        <f t="shared" si="4"/>
        <v>No Badges</v>
      </c>
      <c r="J1846" s="3">
        <f t="shared" si="5"/>
        <v>0</v>
      </c>
    </row>
    <row r="1847">
      <c r="A1847" s="1" t="s">
        <v>1531</v>
      </c>
      <c r="B1847" s="3" t="str">
        <f t="shared" si="1"/>
        <v>Unavailable</v>
      </c>
      <c r="C1847" s="5">
        <v>3121.0</v>
      </c>
      <c r="D1847" s="3">
        <f>IFERROR(__xludf.DUMMYFUNCTION("IFERROR(
IF(REGEXMATCH(LOWER(O1847),""k""),
VALUE(REGEXEXTRACT(O1847,""[0-9]+""))*1000,
VALUE(REGEXEXTRACT(O1847,""[0-9]+""))
),
0
)"),0.0)</f>
        <v>0</v>
      </c>
      <c r="E1847" s="1" t="s">
        <v>11</v>
      </c>
      <c r="F1847" s="1" t="s">
        <v>20</v>
      </c>
      <c r="G1847" s="4" t="b">
        <f t="shared" si="2"/>
        <v>1</v>
      </c>
      <c r="H1847" s="1" t="str">
        <f t="shared" si="3"/>
        <v>Currently Unavailable</v>
      </c>
      <c r="I1847" s="1" t="str">
        <f t="shared" si="4"/>
        <v>No Badges</v>
      </c>
      <c r="J1847" s="3">
        <f t="shared" si="5"/>
        <v>0</v>
      </c>
    </row>
    <row r="1848">
      <c r="A1848" s="1" t="s">
        <v>1532</v>
      </c>
      <c r="B1848" s="3" t="str">
        <f t="shared" si="1"/>
        <v>Unavailable</v>
      </c>
      <c r="C1848" s="3">
        <v>542.0</v>
      </c>
      <c r="D1848" s="3">
        <f>IFERROR(__xludf.DUMMYFUNCTION("IFERROR(
IF(REGEXMATCH(LOWER(O1848),""k""),
VALUE(REGEXEXTRACT(O1848,""[0-9]+""))*1000,
VALUE(REGEXEXTRACT(O1848,""[0-9]+""))
),
0
)"),0.0)</f>
        <v>0</v>
      </c>
      <c r="E1848" s="1" t="s">
        <v>11</v>
      </c>
      <c r="F1848" s="1" t="s">
        <v>20</v>
      </c>
      <c r="G1848" s="4" t="b">
        <f t="shared" si="2"/>
        <v>1</v>
      </c>
      <c r="H1848" s="1" t="str">
        <f t="shared" si="3"/>
        <v>Currently Unavailable</v>
      </c>
      <c r="I1848" s="1" t="str">
        <f t="shared" si="4"/>
        <v>No Badges</v>
      </c>
      <c r="J1848" s="3">
        <f t="shared" si="5"/>
        <v>0</v>
      </c>
    </row>
    <row r="1849">
      <c r="A1849" s="1" t="s">
        <v>1533</v>
      </c>
      <c r="B1849" s="3" t="str">
        <f t="shared" si="1"/>
        <v>Unavailable</v>
      </c>
      <c r="C1849" s="3">
        <v>562.0</v>
      </c>
      <c r="D1849" s="3">
        <f>IFERROR(__xludf.DUMMYFUNCTION("IFERROR(
IF(REGEXMATCH(LOWER(O1849),""k""),
VALUE(REGEXEXTRACT(O1849,""[0-9]+""))*1000,
VALUE(REGEXEXTRACT(O1849,""[0-9]+""))
),
0
)"),0.0)</f>
        <v>0</v>
      </c>
      <c r="E1849" s="1" t="s">
        <v>11</v>
      </c>
      <c r="F1849" s="1" t="s">
        <v>20</v>
      </c>
      <c r="G1849" s="4" t="b">
        <f t="shared" si="2"/>
        <v>1</v>
      </c>
      <c r="H1849" s="1" t="str">
        <f t="shared" si="3"/>
        <v>Currently Unavailable</v>
      </c>
      <c r="I1849" s="1" t="str">
        <f t="shared" si="4"/>
        <v>No Badges</v>
      </c>
      <c r="J1849" s="3">
        <f t="shared" si="5"/>
        <v>0</v>
      </c>
    </row>
    <row r="1850">
      <c r="A1850" s="1" t="s">
        <v>1534</v>
      </c>
      <c r="B1850" s="3" t="str">
        <f t="shared" si="1"/>
        <v>Unavailable</v>
      </c>
      <c r="C1850" s="5">
        <v>2260.0</v>
      </c>
      <c r="D1850" s="3">
        <f>IFERROR(__xludf.DUMMYFUNCTION("IFERROR(
IF(REGEXMATCH(LOWER(O1850),""k""),
VALUE(REGEXEXTRACT(O1850,""[0-9]+""))*1000,
VALUE(REGEXEXTRACT(O1850,""[0-9]+""))
),
0
)"),0.0)</f>
        <v>0</v>
      </c>
      <c r="E1850" s="1" t="s">
        <v>11</v>
      </c>
      <c r="F1850" s="1" t="s">
        <v>20</v>
      </c>
      <c r="G1850" s="4" t="b">
        <f t="shared" si="2"/>
        <v>1</v>
      </c>
      <c r="H1850" s="1" t="str">
        <f t="shared" si="3"/>
        <v>Currently Unavailable</v>
      </c>
      <c r="I1850" s="1" t="str">
        <f t="shared" si="4"/>
        <v>No Badges</v>
      </c>
      <c r="J1850" s="3">
        <f t="shared" si="5"/>
        <v>0</v>
      </c>
    </row>
    <row r="1851">
      <c r="A1851" s="1" t="s">
        <v>1284</v>
      </c>
      <c r="B1851" s="3" t="str">
        <f t="shared" si="1"/>
        <v>Unavailable</v>
      </c>
      <c r="C1851" s="3">
        <v>172.0</v>
      </c>
      <c r="D1851" s="3">
        <f>IFERROR(__xludf.DUMMYFUNCTION("IFERROR(
IF(REGEXMATCH(LOWER(O1851),""k""),
VALUE(REGEXEXTRACT(O1851,""[0-9]+""))*1000,
VALUE(REGEXEXTRACT(O1851,""[0-9]+""))
),
0
)"),0.0)</f>
        <v>0</v>
      </c>
      <c r="E1851" s="1" t="s">
        <v>11</v>
      </c>
      <c r="F1851" s="1" t="s">
        <v>12</v>
      </c>
      <c r="G1851" s="4" t="b">
        <f t="shared" si="2"/>
        <v>1</v>
      </c>
      <c r="H1851" s="1" t="str">
        <f t="shared" si="3"/>
        <v>Currently Unavailable</v>
      </c>
      <c r="I1851" s="1" t="str">
        <f t="shared" si="4"/>
        <v>No Badges</v>
      </c>
      <c r="J1851" s="3">
        <f t="shared" si="5"/>
        <v>0</v>
      </c>
    </row>
    <row r="1852">
      <c r="A1852" s="1" t="s">
        <v>1535</v>
      </c>
      <c r="B1852" s="3" t="str">
        <f t="shared" si="1"/>
        <v>Unavailable</v>
      </c>
      <c r="C1852" s="5">
        <v>2151.0</v>
      </c>
      <c r="D1852" s="3">
        <f>IFERROR(__xludf.DUMMYFUNCTION("IFERROR(
IF(REGEXMATCH(LOWER(O1852),""k""),
VALUE(REGEXEXTRACT(O1852,""[0-9]+""))*1000,
VALUE(REGEXEXTRACT(O1852,""[0-9]+""))
),
0
)"),0.0)</f>
        <v>0</v>
      </c>
      <c r="E1852" s="1" t="s">
        <v>11</v>
      </c>
      <c r="F1852" s="1" t="s">
        <v>20</v>
      </c>
      <c r="G1852" s="4" t="b">
        <f t="shared" si="2"/>
        <v>1</v>
      </c>
      <c r="H1852" s="1" t="str">
        <f t="shared" si="3"/>
        <v>Currently Unavailable</v>
      </c>
      <c r="I1852" s="1" t="str">
        <f t="shared" si="4"/>
        <v>No Badges</v>
      </c>
      <c r="J1852" s="3">
        <f t="shared" si="5"/>
        <v>0</v>
      </c>
    </row>
    <row r="1853">
      <c r="A1853" s="1" t="s">
        <v>67</v>
      </c>
      <c r="B1853" s="3" t="str">
        <f t="shared" si="1"/>
        <v>Unavailable</v>
      </c>
      <c r="C1853" s="3">
        <v>264.0</v>
      </c>
      <c r="D1853" s="3">
        <f>IFERROR(__xludf.DUMMYFUNCTION("IFERROR(
IF(REGEXMATCH(LOWER(O1853),""k""),
VALUE(REGEXEXTRACT(O1853,""[0-9]+""))*1000,
VALUE(REGEXEXTRACT(O1853,""[0-9]+""))
),
0
)"),0.0)</f>
        <v>0</v>
      </c>
      <c r="E1853" s="1" t="s">
        <v>11</v>
      </c>
      <c r="F1853" s="1" t="s">
        <v>12</v>
      </c>
      <c r="G1853" s="4" t="b">
        <f t="shared" si="2"/>
        <v>1</v>
      </c>
      <c r="H1853" s="1" t="str">
        <f t="shared" si="3"/>
        <v>Currently Unavailable</v>
      </c>
      <c r="I1853" s="1" t="str">
        <f t="shared" si="4"/>
        <v>No Badges</v>
      </c>
      <c r="J1853" s="3">
        <f t="shared" si="5"/>
        <v>0</v>
      </c>
    </row>
    <row r="1854">
      <c r="A1854" s="1" t="s">
        <v>1536</v>
      </c>
      <c r="B1854" s="3" t="str">
        <f t="shared" si="1"/>
        <v>Unavailable</v>
      </c>
      <c r="C1854" s="5">
        <v>112609.0</v>
      </c>
      <c r="D1854" s="3">
        <f>IFERROR(__xludf.DUMMYFUNCTION("IFERROR(
IF(REGEXMATCH(LOWER(O1854),""k""),
VALUE(REGEXEXTRACT(O1854,""[0-9]+""))*1000,
VALUE(REGEXEXTRACT(O1854,""[0-9]+""))
),
0
)"),0.0)</f>
        <v>0</v>
      </c>
      <c r="E1854" s="1" t="s">
        <v>11</v>
      </c>
      <c r="F1854" s="1" t="s">
        <v>20</v>
      </c>
      <c r="G1854" s="4" t="b">
        <f t="shared" si="2"/>
        <v>1</v>
      </c>
      <c r="H1854" s="1" t="str">
        <f t="shared" si="3"/>
        <v>Currently Unavailable</v>
      </c>
      <c r="I1854" s="1" t="str">
        <f t="shared" si="4"/>
        <v>No Badges</v>
      </c>
      <c r="J1854" s="3">
        <f t="shared" si="5"/>
        <v>0</v>
      </c>
    </row>
    <row r="1855">
      <c r="A1855" s="1" t="s">
        <v>1537</v>
      </c>
      <c r="B1855" s="3" t="str">
        <f t="shared" si="1"/>
        <v>Unavailable</v>
      </c>
      <c r="C1855" s="5">
        <v>2210.0</v>
      </c>
      <c r="D1855" s="3">
        <f>IFERROR(__xludf.DUMMYFUNCTION("IFERROR(
IF(REGEXMATCH(LOWER(O1855),""k""),
VALUE(REGEXEXTRACT(O1855,""[0-9]+""))*1000,
VALUE(REGEXEXTRACT(O1855,""[0-9]+""))
),
0
)"),0.0)</f>
        <v>0</v>
      </c>
      <c r="E1855" s="1" t="s">
        <v>11</v>
      </c>
      <c r="F1855" s="1" t="s">
        <v>20</v>
      </c>
      <c r="G1855" s="4" t="b">
        <f t="shared" si="2"/>
        <v>1</v>
      </c>
      <c r="H1855" s="1" t="str">
        <f t="shared" si="3"/>
        <v>Currently Unavailable</v>
      </c>
      <c r="I1855" s="1" t="str">
        <f t="shared" si="4"/>
        <v>No Badges</v>
      </c>
      <c r="J1855" s="3">
        <f t="shared" si="5"/>
        <v>0</v>
      </c>
    </row>
    <row r="1856">
      <c r="A1856" s="1" t="s">
        <v>1538</v>
      </c>
      <c r="B1856" s="3" t="str">
        <f t="shared" si="1"/>
        <v>Unavailable</v>
      </c>
      <c r="C1856" s="5">
        <v>5699.0</v>
      </c>
      <c r="D1856" s="3">
        <f>IFERROR(__xludf.DUMMYFUNCTION("IFERROR(
IF(REGEXMATCH(LOWER(O1856),""k""),
VALUE(REGEXEXTRACT(O1856,""[0-9]+""))*1000,
VALUE(REGEXEXTRACT(O1856,""[0-9]+""))
),
0
)"),0.0)</f>
        <v>0</v>
      </c>
      <c r="E1856" s="1" t="s">
        <v>11</v>
      </c>
      <c r="F1856" s="1" t="s">
        <v>20</v>
      </c>
      <c r="G1856" s="4" t="b">
        <f t="shared" si="2"/>
        <v>1</v>
      </c>
      <c r="H1856" s="1" t="str">
        <f t="shared" si="3"/>
        <v>Currently Unavailable</v>
      </c>
      <c r="I1856" s="1" t="str">
        <f t="shared" si="4"/>
        <v>No Badges</v>
      </c>
      <c r="J1856" s="3">
        <f t="shared" si="5"/>
        <v>0</v>
      </c>
    </row>
    <row r="1857">
      <c r="A1857" s="1" t="s">
        <v>1539</v>
      </c>
      <c r="B1857" s="3" t="str">
        <f t="shared" si="1"/>
        <v>Unavailable</v>
      </c>
      <c r="C1857" s="5">
        <v>10798.0</v>
      </c>
      <c r="D1857" s="3">
        <f>IFERROR(__xludf.DUMMYFUNCTION("IFERROR(
IF(REGEXMATCH(LOWER(O1857),""k""),
VALUE(REGEXEXTRACT(O1857,""[0-9]+""))*1000,
VALUE(REGEXEXTRACT(O1857,""[0-9]+""))
),
0
)"),0.0)</f>
        <v>0</v>
      </c>
      <c r="E1857" s="1" t="s">
        <v>11</v>
      </c>
      <c r="F1857" s="1" t="s">
        <v>20</v>
      </c>
      <c r="G1857" s="4" t="b">
        <f t="shared" si="2"/>
        <v>1</v>
      </c>
      <c r="H1857" s="1" t="str">
        <f t="shared" si="3"/>
        <v>Currently Unavailable</v>
      </c>
      <c r="I1857" s="1" t="str">
        <f t="shared" si="4"/>
        <v>No Badges</v>
      </c>
      <c r="J1857" s="3">
        <f t="shared" si="5"/>
        <v>0</v>
      </c>
    </row>
    <row r="1858">
      <c r="A1858" s="1" t="s">
        <v>1540</v>
      </c>
      <c r="B1858" s="3" t="str">
        <f t="shared" si="1"/>
        <v>Unavailable</v>
      </c>
      <c r="C1858" s="5">
        <v>4377.0</v>
      </c>
      <c r="D1858" s="3">
        <f>IFERROR(__xludf.DUMMYFUNCTION("IFERROR(
IF(REGEXMATCH(LOWER(O1858),""k""),
VALUE(REGEXEXTRACT(O1858,""[0-9]+""))*1000,
VALUE(REGEXEXTRACT(O1858,""[0-9]+""))
),
0
)"),0.0)</f>
        <v>0</v>
      </c>
      <c r="E1858" s="1" t="s">
        <v>11</v>
      </c>
      <c r="F1858" s="1" t="s">
        <v>20</v>
      </c>
      <c r="G1858" s="4" t="b">
        <f t="shared" si="2"/>
        <v>1</v>
      </c>
      <c r="H1858" s="1" t="str">
        <f t="shared" si="3"/>
        <v>Currently Unavailable</v>
      </c>
      <c r="I1858" s="1" t="str">
        <f t="shared" si="4"/>
        <v>No Badges</v>
      </c>
      <c r="J1858" s="3">
        <f t="shared" si="5"/>
        <v>0</v>
      </c>
    </row>
    <row r="1859">
      <c r="A1859" s="1" t="s">
        <v>1541</v>
      </c>
      <c r="B1859" s="3" t="str">
        <f t="shared" si="1"/>
        <v>Unavailable</v>
      </c>
      <c r="C1859" s="3">
        <v>758.0</v>
      </c>
      <c r="D1859" s="3">
        <f>IFERROR(__xludf.DUMMYFUNCTION("IFERROR(
IF(REGEXMATCH(LOWER(O1859),""k""),
VALUE(REGEXEXTRACT(O1859,""[0-9]+""))*1000,
VALUE(REGEXEXTRACT(O1859,""[0-9]+""))
),
0
)"),0.0)</f>
        <v>0</v>
      </c>
      <c r="E1859" s="1" t="s">
        <v>11</v>
      </c>
      <c r="F1859" s="1" t="s">
        <v>20</v>
      </c>
      <c r="G1859" s="4" t="b">
        <f t="shared" si="2"/>
        <v>1</v>
      </c>
      <c r="H1859" s="1" t="str">
        <f t="shared" si="3"/>
        <v>Currently Unavailable</v>
      </c>
      <c r="I1859" s="1" t="str">
        <f t="shared" si="4"/>
        <v>No Badges</v>
      </c>
      <c r="J1859" s="3">
        <f t="shared" si="5"/>
        <v>0</v>
      </c>
    </row>
    <row r="1860">
      <c r="A1860" s="1" t="s">
        <v>1542</v>
      </c>
      <c r="B1860" s="3" t="str">
        <f t="shared" si="1"/>
        <v>Unavailable</v>
      </c>
      <c r="C1860" s="3">
        <v>153.0</v>
      </c>
      <c r="D1860" s="3">
        <f>IFERROR(__xludf.DUMMYFUNCTION("IFERROR(
IF(REGEXMATCH(LOWER(O1860),""k""),
VALUE(REGEXEXTRACT(O1860,""[0-9]+""))*1000,
VALUE(REGEXEXTRACT(O1860,""[0-9]+""))
),
0
)"),0.0)</f>
        <v>0</v>
      </c>
      <c r="E1860" s="1" t="s">
        <v>11</v>
      </c>
      <c r="F1860" s="1" t="s">
        <v>20</v>
      </c>
      <c r="G1860" s="4" t="b">
        <f t="shared" si="2"/>
        <v>1</v>
      </c>
      <c r="H1860" s="1" t="str">
        <f t="shared" si="3"/>
        <v>Currently Unavailable</v>
      </c>
      <c r="I1860" s="1" t="str">
        <f t="shared" si="4"/>
        <v>No Badges</v>
      </c>
      <c r="J1860" s="3">
        <f t="shared" si="5"/>
        <v>0</v>
      </c>
    </row>
    <row r="1861">
      <c r="A1861" s="1" t="s">
        <v>1543</v>
      </c>
      <c r="B1861" s="3" t="str">
        <f t="shared" si="1"/>
        <v>Unavailable</v>
      </c>
      <c r="C1861" s="5">
        <v>2081.0</v>
      </c>
      <c r="D1861" s="3">
        <f>IFERROR(__xludf.DUMMYFUNCTION("IFERROR(
IF(REGEXMATCH(LOWER(O1861),""k""),
VALUE(REGEXEXTRACT(O1861,""[0-9]+""))*1000,
VALUE(REGEXEXTRACT(O1861,""[0-9]+""))
),
0
)"),0.0)</f>
        <v>0</v>
      </c>
      <c r="E1861" s="1" t="s">
        <v>11</v>
      </c>
      <c r="F1861" s="1" t="s">
        <v>20</v>
      </c>
      <c r="G1861" s="4" t="b">
        <f t="shared" si="2"/>
        <v>1</v>
      </c>
      <c r="H1861" s="1" t="str">
        <f t="shared" si="3"/>
        <v>Currently Unavailable</v>
      </c>
      <c r="I1861" s="1" t="str">
        <f t="shared" si="4"/>
        <v>No Badges</v>
      </c>
      <c r="J1861" s="3">
        <f t="shared" si="5"/>
        <v>0</v>
      </c>
    </row>
    <row r="1862">
      <c r="A1862" s="1" t="s">
        <v>1544</v>
      </c>
      <c r="B1862" s="3" t="str">
        <f t="shared" si="1"/>
        <v>Unavailable</v>
      </c>
      <c r="C1862" s="5">
        <v>8080.0</v>
      </c>
      <c r="D1862" s="3">
        <f>IFERROR(__xludf.DUMMYFUNCTION("IFERROR(
IF(REGEXMATCH(LOWER(O1862),""k""),
VALUE(REGEXEXTRACT(O1862,""[0-9]+""))*1000,
VALUE(REGEXEXTRACT(O1862,""[0-9]+""))
),
0
)"),0.0)</f>
        <v>0</v>
      </c>
      <c r="E1862" s="1" t="s">
        <v>11</v>
      </c>
      <c r="F1862" s="1" t="s">
        <v>20</v>
      </c>
      <c r="G1862" s="4" t="b">
        <f t="shared" si="2"/>
        <v>1</v>
      </c>
      <c r="H1862" s="1" t="str">
        <f t="shared" si="3"/>
        <v>Currently Unavailable</v>
      </c>
      <c r="I1862" s="1" t="str">
        <f t="shared" si="4"/>
        <v>No Badges</v>
      </c>
      <c r="J1862" s="3">
        <f t="shared" si="5"/>
        <v>0</v>
      </c>
    </row>
    <row r="1863">
      <c r="A1863" s="1" t="s">
        <v>1285</v>
      </c>
      <c r="B1863" s="3" t="str">
        <f t="shared" si="1"/>
        <v>Unavailable</v>
      </c>
      <c r="C1863" s="5">
        <v>3520.0</v>
      </c>
      <c r="D1863" s="3">
        <f>IFERROR(__xludf.DUMMYFUNCTION("IFERROR(
IF(REGEXMATCH(LOWER(O1863),""k""),
VALUE(REGEXEXTRACT(O1863,""[0-9]+""))*1000,
VALUE(REGEXEXTRACT(O1863,""[0-9]+""))
),
0
)"),0.0)</f>
        <v>0</v>
      </c>
      <c r="E1863" s="1" t="s">
        <v>11</v>
      </c>
      <c r="F1863" s="1" t="s">
        <v>12</v>
      </c>
      <c r="G1863" s="4" t="b">
        <f t="shared" si="2"/>
        <v>1</v>
      </c>
      <c r="H1863" s="1" t="str">
        <f t="shared" si="3"/>
        <v>Currently Unavailable</v>
      </c>
      <c r="I1863" s="1" t="str">
        <f t="shared" si="4"/>
        <v>No Badges</v>
      </c>
      <c r="J1863" s="3">
        <f t="shared" si="5"/>
        <v>0</v>
      </c>
    </row>
    <row r="1864">
      <c r="A1864" s="1" t="s">
        <v>1545</v>
      </c>
      <c r="B1864" s="3" t="str">
        <f t="shared" si="1"/>
        <v>Unavailable</v>
      </c>
      <c r="C1864" s="5">
        <v>3314.0</v>
      </c>
      <c r="D1864" s="3">
        <f>IFERROR(__xludf.DUMMYFUNCTION("IFERROR(
IF(REGEXMATCH(LOWER(O1864),""k""),
VALUE(REGEXEXTRACT(O1864,""[0-9]+""))*1000,
VALUE(REGEXEXTRACT(O1864,""[0-9]+""))
),
0
)"),0.0)</f>
        <v>0</v>
      </c>
      <c r="E1864" s="1" t="s">
        <v>11</v>
      </c>
      <c r="F1864" s="1" t="s">
        <v>20</v>
      </c>
      <c r="G1864" s="4" t="b">
        <f t="shared" si="2"/>
        <v>1</v>
      </c>
      <c r="H1864" s="1" t="str">
        <f t="shared" si="3"/>
        <v>Currently Unavailable</v>
      </c>
      <c r="I1864" s="1" t="str">
        <f t="shared" si="4"/>
        <v>No Badges</v>
      </c>
      <c r="J1864" s="3">
        <f t="shared" si="5"/>
        <v>0</v>
      </c>
    </row>
    <row r="1865">
      <c r="A1865" s="1" t="s">
        <v>1284</v>
      </c>
      <c r="B1865" s="3" t="str">
        <f t="shared" si="1"/>
        <v>Unavailable</v>
      </c>
      <c r="C1865" s="3">
        <v>172.0</v>
      </c>
      <c r="D1865" s="3">
        <f>IFERROR(__xludf.DUMMYFUNCTION("IFERROR(
IF(REGEXMATCH(LOWER(O1865),""k""),
VALUE(REGEXEXTRACT(O1865,""[0-9]+""))*1000,
VALUE(REGEXEXTRACT(O1865,""[0-9]+""))
),
0
)"),0.0)</f>
        <v>0</v>
      </c>
      <c r="E1865" s="1" t="s">
        <v>11</v>
      </c>
      <c r="F1865" s="1" t="s">
        <v>12</v>
      </c>
      <c r="G1865" s="4" t="b">
        <f t="shared" si="2"/>
        <v>1</v>
      </c>
      <c r="H1865" s="1" t="str">
        <f t="shared" si="3"/>
        <v>Currently Unavailable</v>
      </c>
      <c r="I1865" s="1" t="str">
        <f t="shared" si="4"/>
        <v>No Badges</v>
      </c>
      <c r="J1865" s="3">
        <f t="shared" si="5"/>
        <v>0</v>
      </c>
    </row>
    <row r="1866">
      <c r="A1866" s="1" t="s">
        <v>1546</v>
      </c>
      <c r="B1866" s="3" t="str">
        <f t="shared" si="1"/>
        <v>Unavailable</v>
      </c>
      <c r="C1866" s="5">
        <v>3281.0</v>
      </c>
      <c r="D1866" s="3">
        <f>IFERROR(__xludf.DUMMYFUNCTION("IFERROR(
IF(REGEXMATCH(LOWER(O1866),""k""),
VALUE(REGEXEXTRACT(O1866,""[0-9]+""))*1000,
VALUE(REGEXEXTRACT(O1866,""[0-9]+""))
),
0
)"),0.0)</f>
        <v>0</v>
      </c>
      <c r="E1866" s="1" t="s">
        <v>11</v>
      </c>
      <c r="F1866" s="1" t="s">
        <v>20</v>
      </c>
      <c r="G1866" s="4" t="b">
        <f t="shared" si="2"/>
        <v>1</v>
      </c>
      <c r="H1866" s="1" t="str">
        <f t="shared" si="3"/>
        <v>Currently Unavailable</v>
      </c>
      <c r="I1866" s="1" t="str">
        <f t="shared" si="4"/>
        <v>No Badges</v>
      </c>
      <c r="J1866" s="3">
        <f t="shared" si="5"/>
        <v>0</v>
      </c>
    </row>
    <row r="1867">
      <c r="A1867" s="1" t="s">
        <v>1547</v>
      </c>
      <c r="B1867" s="3" t="str">
        <f t="shared" si="1"/>
        <v>Unavailable</v>
      </c>
      <c r="C1867" s="3">
        <v>829.0</v>
      </c>
      <c r="D1867" s="3">
        <f>IFERROR(__xludf.DUMMYFUNCTION("IFERROR(
IF(REGEXMATCH(LOWER(O1867),""k""),
VALUE(REGEXEXTRACT(O1867,""[0-9]+""))*1000,
VALUE(REGEXEXTRACT(O1867,""[0-9]+""))
),
0
)"),0.0)</f>
        <v>0</v>
      </c>
      <c r="E1867" s="1" t="s">
        <v>11</v>
      </c>
      <c r="F1867" s="1" t="s">
        <v>20</v>
      </c>
      <c r="G1867" s="4" t="b">
        <f t="shared" si="2"/>
        <v>1</v>
      </c>
      <c r="H1867" s="1" t="str">
        <f t="shared" si="3"/>
        <v>Currently Unavailable</v>
      </c>
      <c r="I1867" s="1" t="str">
        <f t="shared" si="4"/>
        <v>No Badges</v>
      </c>
      <c r="J1867" s="3">
        <f t="shared" si="5"/>
        <v>0</v>
      </c>
    </row>
    <row r="1868">
      <c r="A1868" s="1" t="s">
        <v>1548</v>
      </c>
      <c r="B1868" s="3" t="str">
        <f t="shared" si="1"/>
        <v>Unavailable</v>
      </c>
      <c r="C1868" s="5">
        <v>7990.0</v>
      </c>
      <c r="D1868" s="3">
        <f>IFERROR(__xludf.DUMMYFUNCTION("IFERROR(
IF(REGEXMATCH(LOWER(O1868),""k""),
VALUE(REGEXEXTRACT(O1868,""[0-9]+""))*1000,
VALUE(REGEXEXTRACT(O1868,""[0-9]+""))
),
0
)"),0.0)</f>
        <v>0</v>
      </c>
      <c r="E1868" s="1" t="s">
        <v>11</v>
      </c>
      <c r="F1868" s="1" t="s">
        <v>20</v>
      </c>
      <c r="G1868" s="4" t="b">
        <f t="shared" si="2"/>
        <v>1</v>
      </c>
      <c r="H1868" s="1" t="str">
        <f t="shared" si="3"/>
        <v>Currently Unavailable</v>
      </c>
      <c r="I1868" s="1" t="str">
        <f t="shared" si="4"/>
        <v>No Badges</v>
      </c>
      <c r="J1868" s="3">
        <f t="shared" si="5"/>
        <v>0</v>
      </c>
    </row>
    <row r="1869">
      <c r="A1869" s="1" t="s">
        <v>701</v>
      </c>
      <c r="B1869" s="3" t="str">
        <f t="shared" si="1"/>
        <v>Unavailable</v>
      </c>
      <c r="C1869" s="3">
        <v>8.0</v>
      </c>
      <c r="D1869" s="3">
        <f>IFERROR(__xludf.DUMMYFUNCTION("IFERROR(
IF(REGEXMATCH(LOWER(O1869),""k""),
VALUE(REGEXEXTRACT(O1869,""[0-9]+""))*1000,
VALUE(REGEXEXTRACT(O1869,""[0-9]+""))
),
0
)"),0.0)</f>
        <v>0</v>
      </c>
      <c r="E1869" s="1" t="s">
        <v>11</v>
      </c>
      <c r="F1869" s="1" t="s">
        <v>12</v>
      </c>
      <c r="G1869" s="4" t="b">
        <f t="shared" si="2"/>
        <v>1</v>
      </c>
      <c r="H1869" s="1" t="str">
        <f t="shared" si="3"/>
        <v>Currently Unavailable</v>
      </c>
      <c r="I1869" s="1" t="str">
        <f t="shared" si="4"/>
        <v>No Badges</v>
      </c>
      <c r="J1869" s="3">
        <f t="shared" si="5"/>
        <v>0</v>
      </c>
    </row>
    <row r="1870">
      <c r="A1870" s="1" t="s">
        <v>1549</v>
      </c>
      <c r="B1870" s="3" t="str">
        <f t="shared" si="1"/>
        <v>Unavailable</v>
      </c>
      <c r="C1870" s="5">
        <v>6294.0</v>
      </c>
      <c r="D1870" s="3">
        <f>IFERROR(__xludf.DUMMYFUNCTION("IFERROR(
IF(REGEXMATCH(LOWER(O1870),""k""),
VALUE(REGEXEXTRACT(O1870,""[0-9]+""))*1000,
VALUE(REGEXEXTRACT(O1870,""[0-9]+""))
),
0
)"),0.0)</f>
        <v>0</v>
      </c>
      <c r="E1870" s="1" t="s">
        <v>11</v>
      </c>
      <c r="F1870" s="1" t="s">
        <v>20</v>
      </c>
      <c r="G1870" s="4" t="b">
        <f t="shared" si="2"/>
        <v>1</v>
      </c>
      <c r="H1870" s="1" t="str">
        <f t="shared" si="3"/>
        <v>Currently Unavailable</v>
      </c>
      <c r="I1870" s="1" t="str">
        <f t="shared" si="4"/>
        <v>No Badges</v>
      </c>
      <c r="J1870" s="3">
        <f t="shared" si="5"/>
        <v>0</v>
      </c>
    </row>
    <row r="1871">
      <c r="A1871" s="1" t="s">
        <v>1550</v>
      </c>
      <c r="B1871" s="3" t="str">
        <f t="shared" si="1"/>
        <v>Unavailable</v>
      </c>
      <c r="C1871" s="5">
        <v>75186.0</v>
      </c>
      <c r="D1871" s="3">
        <f>IFERROR(__xludf.DUMMYFUNCTION("IFERROR(
IF(REGEXMATCH(LOWER(O1871),""k""),
VALUE(REGEXEXTRACT(O1871,""[0-9]+""))*1000,
VALUE(REGEXEXTRACT(O1871,""[0-9]+""))
),
0
)"),0.0)</f>
        <v>0</v>
      </c>
      <c r="E1871" s="1" t="s">
        <v>11</v>
      </c>
      <c r="F1871" s="1" t="s">
        <v>20</v>
      </c>
      <c r="G1871" s="4" t="b">
        <f t="shared" si="2"/>
        <v>1</v>
      </c>
      <c r="H1871" s="1" t="str">
        <f t="shared" si="3"/>
        <v>Currently Unavailable</v>
      </c>
      <c r="I1871" s="1" t="str">
        <f t="shared" si="4"/>
        <v>No Badges</v>
      </c>
      <c r="J1871" s="3">
        <f t="shared" si="5"/>
        <v>0</v>
      </c>
    </row>
    <row r="1872">
      <c r="A1872" s="1" t="s">
        <v>1551</v>
      </c>
      <c r="B1872" s="3" t="str">
        <f t="shared" si="1"/>
        <v>Unavailable</v>
      </c>
      <c r="C1872" s="5">
        <v>5126.0</v>
      </c>
      <c r="D1872" s="3">
        <f>IFERROR(__xludf.DUMMYFUNCTION("IFERROR(
IF(REGEXMATCH(LOWER(O1872),""k""),
VALUE(REGEXEXTRACT(O1872,""[0-9]+""))*1000,
VALUE(REGEXEXTRACT(O1872,""[0-9]+""))
),
0
)"),0.0)</f>
        <v>0</v>
      </c>
      <c r="E1872" s="1" t="s">
        <v>11</v>
      </c>
      <c r="F1872" s="1" t="s">
        <v>20</v>
      </c>
      <c r="G1872" s="4" t="b">
        <f t="shared" si="2"/>
        <v>1</v>
      </c>
      <c r="H1872" s="1" t="str">
        <f t="shared" si="3"/>
        <v>Currently Unavailable</v>
      </c>
      <c r="I1872" s="1" t="str">
        <f t="shared" si="4"/>
        <v>No Badges</v>
      </c>
      <c r="J1872" s="3">
        <f t="shared" si="5"/>
        <v>0</v>
      </c>
    </row>
    <row r="1873">
      <c r="A1873" s="1" t="s">
        <v>69</v>
      </c>
      <c r="B1873" s="3" t="str">
        <f t="shared" si="1"/>
        <v>Unavailable</v>
      </c>
      <c r="C1873" s="3">
        <v>45.0</v>
      </c>
      <c r="D1873" s="3">
        <f>IFERROR(__xludf.DUMMYFUNCTION("IFERROR(
IF(REGEXMATCH(LOWER(O1873),""k""),
VALUE(REGEXEXTRACT(O1873,""[0-9]+""))*1000,
VALUE(REGEXEXTRACT(O1873,""[0-9]+""))
),
0
)"),0.0)</f>
        <v>0</v>
      </c>
      <c r="E1873" s="1" t="s">
        <v>11</v>
      </c>
      <c r="F1873" s="1" t="s">
        <v>12</v>
      </c>
      <c r="G1873" s="4" t="b">
        <f t="shared" si="2"/>
        <v>1</v>
      </c>
      <c r="H1873" s="1" t="str">
        <f t="shared" si="3"/>
        <v>Currently Unavailable</v>
      </c>
      <c r="I1873" s="1" t="str">
        <f t="shared" si="4"/>
        <v>No Badges</v>
      </c>
      <c r="J1873" s="3">
        <f t="shared" si="5"/>
        <v>0</v>
      </c>
    </row>
    <row r="1874">
      <c r="A1874" s="1" t="s">
        <v>1552</v>
      </c>
      <c r="B1874" s="3" t="str">
        <f t="shared" si="1"/>
        <v>Unavailable</v>
      </c>
      <c r="C1874" s="5">
        <v>10158.0</v>
      </c>
      <c r="D1874" s="3">
        <f>IFERROR(__xludf.DUMMYFUNCTION("IFERROR(
IF(REGEXMATCH(LOWER(O1874),""k""),
VALUE(REGEXEXTRACT(O1874,""[0-9]+""))*1000,
VALUE(REGEXEXTRACT(O1874,""[0-9]+""))
),
0
)"),0.0)</f>
        <v>0</v>
      </c>
      <c r="E1874" s="1" t="s">
        <v>11</v>
      </c>
      <c r="F1874" s="1" t="s">
        <v>20</v>
      </c>
      <c r="G1874" s="4" t="b">
        <f t="shared" si="2"/>
        <v>1</v>
      </c>
      <c r="H1874" s="1" t="str">
        <f t="shared" si="3"/>
        <v>Currently Unavailable</v>
      </c>
      <c r="I1874" s="1" t="str">
        <f t="shared" si="4"/>
        <v>No Badges</v>
      </c>
      <c r="J1874" s="3">
        <f t="shared" si="5"/>
        <v>0</v>
      </c>
    </row>
    <row r="1875">
      <c r="A1875" s="1" t="s">
        <v>1285</v>
      </c>
      <c r="B1875" s="3" t="str">
        <f t="shared" si="1"/>
        <v>Unavailable</v>
      </c>
      <c r="C1875" s="5">
        <v>3520.0</v>
      </c>
      <c r="D1875" s="3">
        <f>IFERROR(__xludf.DUMMYFUNCTION("IFERROR(
IF(REGEXMATCH(LOWER(O1875),""k""),
VALUE(REGEXEXTRACT(O1875,""[0-9]+""))*1000,
VALUE(REGEXEXTRACT(O1875,""[0-9]+""))
),
0
)"),0.0)</f>
        <v>0</v>
      </c>
      <c r="E1875" s="1" t="s">
        <v>11</v>
      </c>
      <c r="F1875" s="1" t="s">
        <v>12</v>
      </c>
      <c r="G1875" s="4" t="b">
        <f t="shared" si="2"/>
        <v>1</v>
      </c>
      <c r="H1875" s="1" t="str">
        <f t="shared" si="3"/>
        <v>Currently Unavailable</v>
      </c>
      <c r="I1875" s="1" t="str">
        <f t="shared" si="4"/>
        <v>No Badges</v>
      </c>
      <c r="J1875" s="3">
        <f t="shared" si="5"/>
        <v>0</v>
      </c>
    </row>
    <row r="1876">
      <c r="A1876" s="1" t="s">
        <v>1553</v>
      </c>
      <c r="B1876" s="3" t="str">
        <f t="shared" si="1"/>
        <v>Unavailable</v>
      </c>
      <c r="C1876" s="3">
        <v>156.0</v>
      </c>
      <c r="D1876" s="3">
        <f>IFERROR(__xludf.DUMMYFUNCTION("IFERROR(
IF(REGEXMATCH(LOWER(O1876),""k""),
VALUE(REGEXEXTRACT(O1876,""[0-9]+""))*1000,
VALUE(REGEXEXTRACT(O1876,""[0-9]+""))
),
0
)"),0.0)</f>
        <v>0</v>
      </c>
      <c r="E1876" s="1" t="s">
        <v>11</v>
      </c>
      <c r="F1876" s="1" t="s">
        <v>12</v>
      </c>
      <c r="G1876" s="4" t="b">
        <f t="shared" si="2"/>
        <v>1</v>
      </c>
      <c r="H1876" s="1" t="str">
        <f t="shared" si="3"/>
        <v>Currently Unavailable</v>
      </c>
      <c r="I1876" s="1" t="str">
        <f t="shared" si="4"/>
        <v>No Badges</v>
      </c>
      <c r="J1876" s="3">
        <f t="shared" si="5"/>
        <v>0</v>
      </c>
    </row>
    <row r="1877">
      <c r="A1877" s="1" t="s">
        <v>1284</v>
      </c>
      <c r="B1877" s="3" t="str">
        <f t="shared" si="1"/>
        <v>Unavailable</v>
      </c>
      <c r="C1877" s="3">
        <v>172.0</v>
      </c>
      <c r="D1877" s="3">
        <f>IFERROR(__xludf.DUMMYFUNCTION("IFERROR(
IF(REGEXMATCH(LOWER(O1877),""k""),
VALUE(REGEXEXTRACT(O1877,""[0-9]+""))*1000,
VALUE(REGEXEXTRACT(O1877,""[0-9]+""))
),
0
)"),0.0)</f>
        <v>0</v>
      </c>
      <c r="E1877" s="1" t="s">
        <v>18</v>
      </c>
      <c r="F1877" s="1" t="s">
        <v>12</v>
      </c>
      <c r="G1877" s="4" t="b">
        <f t="shared" si="2"/>
        <v>1</v>
      </c>
      <c r="H1877" s="1" t="str">
        <f t="shared" si="3"/>
        <v>Currently Unavailable</v>
      </c>
      <c r="I1877" s="1" t="str">
        <f t="shared" si="4"/>
        <v>No Badges</v>
      </c>
      <c r="J1877" s="3">
        <f t="shared" si="5"/>
        <v>0</v>
      </c>
    </row>
    <row r="1878">
      <c r="A1878" s="1" t="s">
        <v>1554</v>
      </c>
      <c r="B1878" s="3" t="str">
        <f t="shared" si="1"/>
        <v>Unavailable</v>
      </c>
      <c r="C1878" s="5">
        <v>3871.0</v>
      </c>
      <c r="D1878" s="3">
        <f>IFERROR(__xludf.DUMMYFUNCTION("IFERROR(
IF(REGEXMATCH(LOWER(O1878),""k""),
VALUE(REGEXEXTRACT(O1878,""[0-9]+""))*1000,
VALUE(REGEXEXTRACT(O1878,""[0-9]+""))
),
0
)"),0.0)</f>
        <v>0</v>
      </c>
      <c r="E1878" s="1" t="s">
        <v>11</v>
      </c>
      <c r="F1878" s="1" t="s">
        <v>20</v>
      </c>
      <c r="G1878" s="4" t="b">
        <f t="shared" si="2"/>
        <v>1</v>
      </c>
      <c r="H1878" s="1" t="str">
        <f t="shared" si="3"/>
        <v>Currently Unavailable</v>
      </c>
      <c r="I1878" s="1" t="str">
        <f t="shared" si="4"/>
        <v>No Badges</v>
      </c>
      <c r="J1878" s="3">
        <f t="shared" si="5"/>
        <v>0</v>
      </c>
    </row>
    <row r="1879">
      <c r="A1879" s="1" t="s">
        <v>1555</v>
      </c>
      <c r="B1879" s="3" t="str">
        <f t="shared" si="1"/>
        <v>Unavailable</v>
      </c>
      <c r="C1879" s="3">
        <v>180.0</v>
      </c>
      <c r="D1879" s="3">
        <f>IFERROR(__xludf.DUMMYFUNCTION("IFERROR(
IF(REGEXMATCH(LOWER(O1879),""k""),
VALUE(REGEXEXTRACT(O1879,""[0-9]+""))*1000,
VALUE(REGEXEXTRACT(O1879,""[0-9]+""))
),
0
)"),0.0)</f>
        <v>0</v>
      </c>
      <c r="E1879" s="1" t="s">
        <v>11</v>
      </c>
      <c r="F1879" s="1" t="s">
        <v>20</v>
      </c>
      <c r="G1879" s="4" t="b">
        <f t="shared" si="2"/>
        <v>1</v>
      </c>
      <c r="H1879" s="1" t="str">
        <f t="shared" si="3"/>
        <v>Currently Unavailable</v>
      </c>
      <c r="I1879" s="1" t="str">
        <f t="shared" si="4"/>
        <v>No Badges</v>
      </c>
      <c r="J1879" s="3">
        <f t="shared" si="5"/>
        <v>0</v>
      </c>
    </row>
    <row r="1880">
      <c r="A1880" s="1" t="s">
        <v>1556</v>
      </c>
      <c r="B1880" s="3" t="str">
        <f t="shared" si="1"/>
        <v>Unavailable</v>
      </c>
      <c r="C1880" s="3">
        <v>771.0</v>
      </c>
      <c r="D1880" s="3">
        <f>IFERROR(__xludf.DUMMYFUNCTION("IFERROR(
IF(REGEXMATCH(LOWER(O1880),""k""),
VALUE(REGEXEXTRACT(O1880,""[0-9]+""))*1000,
VALUE(REGEXEXTRACT(O1880,""[0-9]+""))
),
0
)"),0.0)</f>
        <v>0</v>
      </c>
      <c r="E1880" s="1" t="s">
        <v>11</v>
      </c>
      <c r="F1880" s="1" t="s">
        <v>20</v>
      </c>
      <c r="G1880" s="4" t="b">
        <f t="shared" si="2"/>
        <v>1</v>
      </c>
      <c r="H1880" s="1" t="str">
        <f t="shared" si="3"/>
        <v>Currently Unavailable</v>
      </c>
      <c r="I1880" s="1" t="str">
        <f t="shared" si="4"/>
        <v>No Badges</v>
      </c>
      <c r="J1880" s="3">
        <f t="shared" si="5"/>
        <v>0</v>
      </c>
    </row>
    <row r="1881">
      <c r="A1881" s="1" t="s">
        <v>1557</v>
      </c>
      <c r="B1881" s="3" t="str">
        <f t="shared" si="1"/>
        <v>Unavailable</v>
      </c>
      <c r="C1881" s="5">
        <v>2394.0</v>
      </c>
      <c r="D1881" s="3">
        <f>IFERROR(__xludf.DUMMYFUNCTION("IFERROR(
IF(REGEXMATCH(LOWER(O1881),""k""),
VALUE(REGEXEXTRACT(O1881,""[0-9]+""))*1000,
VALUE(REGEXEXTRACT(O1881,""[0-9]+""))
),
0
)"),0.0)</f>
        <v>0</v>
      </c>
      <c r="E1881" s="1" t="s">
        <v>11</v>
      </c>
      <c r="F1881" s="1" t="s">
        <v>20</v>
      </c>
      <c r="G1881" s="4" t="b">
        <f t="shared" si="2"/>
        <v>1</v>
      </c>
      <c r="H1881" s="1" t="str">
        <f t="shared" si="3"/>
        <v>Currently Unavailable</v>
      </c>
      <c r="I1881" s="1" t="str">
        <f t="shared" si="4"/>
        <v>No Badges</v>
      </c>
      <c r="J1881" s="3">
        <f t="shared" si="5"/>
        <v>0</v>
      </c>
    </row>
    <row r="1882">
      <c r="A1882" s="1" t="s">
        <v>1558</v>
      </c>
      <c r="B1882" s="3" t="str">
        <f t="shared" si="1"/>
        <v>Unavailable</v>
      </c>
      <c r="C1882" s="5">
        <v>2443.0</v>
      </c>
      <c r="D1882" s="3">
        <f>IFERROR(__xludf.DUMMYFUNCTION("IFERROR(
IF(REGEXMATCH(LOWER(O1882),""k""),
VALUE(REGEXEXTRACT(O1882,""[0-9]+""))*1000,
VALUE(REGEXEXTRACT(O1882,""[0-9]+""))
),
0
)"),0.0)</f>
        <v>0</v>
      </c>
      <c r="E1882" s="1" t="s">
        <v>11</v>
      </c>
      <c r="F1882" s="1" t="s">
        <v>20</v>
      </c>
      <c r="G1882" s="4" t="b">
        <f t="shared" si="2"/>
        <v>1</v>
      </c>
      <c r="H1882" s="1" t="str">
        <f t="shared" si="3"/>
        <v>Currently Unavailable</v>
      </c>
      <c r="I1882" s="1" t="str">
        <f t="shared" si="4"/>
        <v>No Badges</v>
      </c>
      <c r="J1882" s="3">
        <f t="shared" si="5"/>
        <v>0</v>
      </c>
    </row>
    <row r="1883">
      <c r="A1883" s="1" t="s">
        <v>1559</v>
      </c>
      <c r="B1883" s="3" t="str">
        <f t="shared" si="1"/>
        <v>Unavailable</v>
      </c>
      <c r="C1883" s="5">
        <v>1610.0</v>
      </c>
      <c r="D1883" s="3">
        <f>IFERROR(__xludf.DUMMYFUNCTION("IFERROR(
IF(REGEXMATCH(LOWER(O1883),""k""),
VALUE(REGEXEXTRACT(O1883,""[0-9]+""))*1000,
VALUE(REGEXEXTRACT(O1883,""[0-9]+""))
),
0
)"),0.0)</f>
        <v>0</v>
      </c>
      <c r="E1883" s="1" t="s">
        <v>11</v>
      </c>
      <c r="F1883" s="1" t="s">
        <v>20</v>
      </c>
      <c r="G1883" s="4" t="b">
        <f t="shared" si="2"/>
        <v>1</v>
      </c>
      <c r="H1883" s="1" t="str">
        <f t="shared" si="3"/>
        <v>Currently Unavailable</v>
      </c>
      <c r="I1883" s="1" t="str">
        <f t="shared" si="4"/>
        <v>No Badges</v>
      </c>
      <c r="J1883" s="3">
        <f t="shared" si="5"/>
        <v>0</v>
      </c>
    </row>
    <row r="1884">
      <c r="A1884" s="1" t="s">
        <v>1560</v>
      </c>
      <c r="B1884" s="3" t="str">
        <f t="shared" si="1"/>
        <v>Unavailable</v>
      </c>
      <c r="C1884" s="5">
        <v>9098.0</v>
      </c>
      <c r="D1884" s="3">
        <f>IFERROR(__xludf.DUMMYFUNCTION("IFERROR(
IF(REGEXMATCH(LOWER(O1884),""k""),
VALUE(REGEXEXTRACT(O1884,""[0-9]+""))*1000,
VALUE(REGEXEXTRACT(O1884,""[0-9]+""))
),
0
)"),0.0)</f>
        <v>0</v>
      </c>
      <c r="E1884" s="1" t="s">
        <v>158</v>
      </c>
      <c r="F1884" s="1" t="s">
        <v>20</v>
      </c>
      <c r="G1884" s="4" t="b">
        <f t="shared" si="2"/>
        <v>1</v>
      </c>
      <c r="H1884" s="1" t="str">
        <f t="shared" si="3"/>
        <v>Currently Unavailable</v>
      </c>
      <c r="I1884" s="1" t="str">
        <f t="shared" si="4"/>
        <v>No Badges</v>
      </c>
      <c r="J1884" s="3">
        <f t="shared" si="5"/>
        <v>0</v>
      </c>
    </row>
    <row r="1885">
      <c r="A1885" s="1" t="s">
        <v>1284</v>
      </c>
      <c r="B1885" s="3" t="str">
        <f t="shared" si="1"/>
        <v>Unavailable</v>
      </c>
      <c r="C1885" s="3">
        <v>172.0</v>
      </c>
      <c r="D1885" s="3">
        <f>IFERROR(__xludf.DUMMYFUNCTION("IFERROR(
IF(REGEXMATCH(LOWER(O1885),""k""),
VALUE(REGEXEXTRACT(O1885,""[0-9]+""))*1000,
VALUE(REGEXEXTRACT(O1885,""[0-9]+""))
),
0
)"),0.0)</f>
        <v>0</v>
      </c>
      <c r="E1885" s="1" t="s">
        <v>11</v>
      </c>
      <c r="F1885" s="1" t="s">
        <v>12</v>
      </c>
      <c r="G1885" s="4" t="b">
        <f t="shared" si="2"/>
        <v>1</v>
      </c>
      <c r="H1885" s="1" t="str">
        <f t="shared" si="3"/>
        <v>Currently Unavailable</v>
      </c>
      <c r="I1885" s="1" t="str">
        <f t="shared" si="4"/>
        <v>No Badges</v>
      </c>
      <c r="J1885" s="3">
        <f t="shared" si="5"/>
        <v>0</v>
      </c>
    </row>
    <row r="1886">
      <c r="A1886" s="1" t="s">
        <v>88</v>
      </c>
      <c r="B1886" s="3" t="str">
        <f t="shared" si="1"/>
        <v>Unavailable</v>
      </c>
      <c r="C1886" s="3">
        <v>5.0</v>
      </c>
      <c r="D1886" s="3">
        <f>IFERROR(__xludf.DUMMYFUNCTION("IFERROR(
IF(REGEXMATCH(LOWER(O1886),""k""),
VALUE(REGEXEXTRACT(O1886,""[0-9]+""))*1000,
VALUE(REGEXEXTRACT(O1886,""[0-9]+""))
),
0
)"),0.0)</f>
        <v>0</v>
      </c>
      <c r="E1886" s="1" t="s">
        <v>11</v>
      </c>
      <c r="F1886" s="1" t="s">
        <v>12</v>
      </c>
      <c r="G1886" s="4" t="b">
        <f t="shared" si="2"/>
        <v>1</v>
      </c>
      <c r="H1886" s="1" t="str">
        <f t="shared" si="3"/>
        <v>Currently Unavailable</v>
      </c>
      <c r="I1886" s="1" t="str">
        <f t="shared" si="4"/>
        <v>No Badges</v>
      </c>
      <c r="J1886" s="3">
        <f t="shared" si="5"/>
        <v>0</v>
      </c>
    </row>
    <row r="1887">
      <c r="A1887" s="1" t="s">
        <v>67</v>
      </c>
      <c r="B1887" s="3" t="str">
        <f t="shared" si="1"/>
        <v>Unavailable</v>
      </c>
      <c r="C1887" s="3">
        <v>264.0</v>
      </c>
      <c r="D1887" s="3">
        <f>IFERROR(__xludf.DUMMYFUNCTION("IFERROR(
IF(REGEXMATCH(LOWER(O1887),""k""),
VALUE(REGEXEXTRACT(O1887,""[0-9]+""))*1000,
VALUE(REGEXEXTRACT(O1887,""[0-9]+""))
),
0
)"),0.0)</f>
        <v>0</v>
      </c>
      <c r="E1887" s="1" t="s">
        <v>11</v>
      </c>
      <c r="F1887" s="1" t="s">
        <v>12</v>
      </c>
      <c r="G1887" s="4" t="b">
        <f t="shared" si="2"/>
        <v>1</v>
      </c>
      <c r="H1887" s="1" t="str">
        <f t="shared" si="3"/>
        <v>Currently Unavailable</v>
      </c>
      <c r="I1887" s="1" t="str">
        <f t="shared" si="4"/>
        <v>No Badges</v>
      </c>
      <c r="J1887" s="3">
        <f t="shared" si="5"/>
        <v>0</v>
      </c>
    </row>
    <row r="1888">
      <c r="A1888" s="1" t="s">
        <v>1561</v>
      </c>
      <c r="B1888" s="3" t="str">
        <f t="shared" si="1"/>
        <v>Unavailable</v>
      </c>
      <c r="C1888" s="3">
        <v>521.0</v>
      </c>
      <c r="D1888" s="3">
        <f>IFERROR(__xludf.DUMMYFUNCTION("IFERROR(
IF(REGEXMATCH(LOWER(O1888),""k""),
VALUE(REGEXEXTRACT(O1888,""[0-9]+""))*1000,
VALUE(REGEXEXTRACT(O1888,""[0-9]+""))
),
0
)"),0.0)</f>
        <v>0</v>
      </c>
      <c r="E1888" s="1" t="s">
        <v>11</v>
      </c>
      <c r="F1888" s="1" t="s">
        <v>20</v>
      </c>
      <c r="G1888" s="4" t="b">
        <f t="shared" si="2"/>
        <v>1</v>
      </c>
      <c r="H1888" s="1" t="str">
        <f t="shared" si="3"/>
        <v>Currently Unavailable</v>
      </c>
      <c r="I1888" s="1" t="str">
        <f t="shared" si="4"/>
        <v>No Badges</v>
      </c>
      <c r="J1888" s="3">
        <f t="shared" si="5"/>
        <v>0</v>
      </c>
    </row>
    <row r="1889">
      <c r="A1889" s="1" t="s">
        <v>1562</v>
      </c>
      <c r="B1889" s="3" t="str">
        <f t="shared" si="1"/>
        <v>Unavailable</v>
      </c>
      <c r="C1889" s="5">
        <v>2573.0</v>
      </c>
      <c r="D1889" s="3">
        <f>IFERROR(__xludf.DUMMYFUNCTION("IFERROR(
IF(REGEXMATCH(LOWER(O1889),""k""),
VALUE(REGEXEXTRACT(O1889,""[0-9]+""))*1000,
VALUE(REGEXEXTRACT(O1889,""[0-9]+""))
),
0
)"),0.0)</f>
        <v>0</v>
      </c>
      <c r="E1889" s="1" t="s">
        <v>11</v>
      </c>
      <c r="F1889" s="1" t="s">
        <v>20</v>
      </c>
      <c r="G1889" s="4" t="b">
        <f t="shared" si="2"/>
        <v>1</v>
      </c>
      <c r="H1889" s="1" t="str">
        <f t="shared" si="3"/>
        <v>Currently Unavailable</v>
      </c>
      <c r="I1889" s="1" t="str">
        <f t="shared" si="4"/>
        <v>No Badges</v>
      </c>
      <c r="J1889" s="3">
        <f t="shared" si="5"/>
        <v>0</v>
      </c>
    </row>
    <row r="1890">
      <c r="A1890" s="1" t="s">
        <v>1563</v>
      </c>
      <c r="B1890" s="3" t="str">
        <f t="shared" si="1"/>
        <v>Unavailable</v>
      </c>
      <c r="C1890" s="3">
        <v>781.0</v>
      </c>
      <c r="D1890" s="3">
        <f>IFERROR(__xludf.DUMMYFUNCTION("IFERROR(
IF(REGEXMATCH(LOWER(O1890),""k""),
VALUE(REGEXEXTRACT(O1890,""[0-9]+""))*1000,
VALUE(REGEXEXTRACT(O1890,""[0-9]+""))
),
0
)"),0.0)</f>
        <v>0</v>
      </c>
      <c r="E1890" s="1" t="s">
        <v>11</v>
      </c>
      <c r="F1890" s="1" t="s">
        <v>20</v>
      </c>
      <c r="G1890" s="4" t="b">
        <f t="shared" si="2"/>
        <v>1</v>
      </c>
      <c r="H1890" s="1" t="str">
        <f t="shared" si="3"/>
        <v>Currently Unavailable</v>
      </c>
      <c r="I1890" s="1" t="str">
        <f t="shared" si="4"/>
        <v>No Badges</v>
      </c>
      <c r="J1890" s="3">
        <f t="shared" si="5"/>
        <v>0</v>
      </c>
    </row>
    <row r="1891">
      <c r="A1891" s="1" t="s">
        <v>1564</v>
      </c>
      <c r="B1891" s="3" t="str">
        <f t="shared" si="1"/>
        <v>Unavailable</v>
      </c>
      <c r="C1891" s="3">
        <v>902.0</v>
      </c>
      <c r="D1891" s="3">
        <f>IFERROR(__xludf.DUMMYFUNCTION("IFERROR(
IF(REGEXMATCH(LOWER(O1891),""k""),
VALUE(REGEXEXTRACT(O1891,""[0-9]+""))*1000,
VALUE(REGEXEXTRACT(O1891,""[0-9]+""))
),
0
)"),0.0)</f>
        <v>0</v>
      </c>
      <c r="E1891" s="1" t="s">
        <v>11</v>
      </c>
      <c r="F1891" s="1" t="s">
        <v>20</v>
      </c>
      <c r="G1891" s="4" t="b">
        <f t="shared" si="2"/>
        <v>1</v>
      </c>
      <c r="H1891" s="1" t="str">
        <f t="shared" si="3"/>
        <v>Currently Unavailable</v>
      </c>
      <c r="I1891" s="1" t="str">
        <f t="shared" si="4"/>
        <v>No Badges</v>
      </c>
      <c r="J1891" s="3">
        <f t="shared" si="5"/>
        <v>0</v>
      </c>
    </row>
    <row r="1892">
      <c r="A1892" s="1" t="s">
        <v>1565</v>
      </c>
      <c r="B1892" s="3" t="str">
        <f t="shared" si="1"/>
        <v>Unavailable</v>
      </c>
      <c r="C1892" s="5">
        <v>1927.0</v>
      </c>
      <c r="D1892" s="3">
        <f>IFERROR(__xludf.DUMMYFUNCTION("IFERROR(
IF(REGEXMATCH(LOWER(O1892),""k""),
VALUE(REGEXEXTRACT(O1892,""[0-9]+""))*1000,
VALUE(REGEXEXTRACT(O1892,""[0-9]+""))
),
0
)"),0.0)</f>
        <v>0</v>
      </c>
      <c r="E1892" s="1" t="s">
        <v>11</v>
      </c>
      <c r="F1892" s="1" t="s">
        <v>20</v>
      </c>
      <c r="G1892" s="4" t="b">
        <f t="shared" si="2"/>
        <v>1</v>
      </c>
      <c r="H1892" s="1" t="str">
        <f t="shared" si="3"/>
        <v>Currently Unavailable</v>
      </c>
      <c r="I1892" s="1" t="str">
        <f t="shared" si="4"/>
        <v>No Badges</v>
      </c>
      <c r="J1892" s="3">
        <f t="shared" si="5"/>
        <v>0</v>
      </c>
    </row>
    <row r="1893">
      <c r="A1893" s="1" t="s">
        <v>1566</v>
      </c>
      <c r="B1893" s="3" t="str">
        <f t="shared" si="1"/>
        <v>Unavailable</v>
      </c>
      <c r="C1893" s="5">
        <v>5828.0</v>
      </c>
      <c r="D1893" s="3">
        <f>IFERROR(__xludf.DUMMYFUNCTION("IFERROR(
IF(REGEXMATCH(LOWER(O1893),""k""),
VALUE(REGEXEXTRACT(O1893,""[0-9]+""))*1000,
VALUE(REGEXEXTRACT(O1893,""[0-9]+""))
),
0
)"),0.0)</f>
        <v>0</v>
      </c>
      <c r="E1893" s="1" t="s">
        <v>11</v>
      </c>
      <c r="F1893" s="1" t="s">
        <v>20</v>
      </c>
      <c r="G1893" s="4" t="b">
        <f t="shared" si="2"/>
        <v>1</v>
      </c>
      <c r="H1893" s="1" t="str">
        <f t="shared" si="3"/>
        <v>Currently Unavailable</v>
      </c>
      <c r="I1893" s="1" t="str">
        <f t="shared" si="4"/>
        <v>No Badges</v>
      </c>
      <c r="J1893" s="3">
        <f t="shared" si="5"/>
        <v>0</v>
      </c>
    </row>
    <row r="1894">
      <c r="A1894" s="1" t="s">
        <v>1567</v>
      </c>
      <c r="B1894" s="3" t="str">
        <f t="shared" si="1"/>
        <v>Unavailable</v>
      </c>
      <c r="C1894" s="5">
        <v>4277.0</v>
      </c>
      <c r="D1894" s="3">
        <f>IFERROR(__xludf.DUMMYFUNCTION("IFERROR(
IF(REGEXMATCH(LOWER(O1894),""k""),
VALUE(REGEXEXTRACT(O1894,""[0-9]+""))*1000,
VALUE(REGEXEXTRACT(O1894,""[0-9]+""))
),
0
)"),0.0)</f>
        <v>0</v>
      </c>
      <c r="E1894" s="1" t="s">
        <v>11</v>
      </c>
      <c r="F1894" s="1" t="s">
        <v>20</v>
      </c>
      <c r="G1894" s="4" t="b">
        <f t="shared" si="2"/>
        <v>1</v>
      </c>
      <c r="H1894" s="1" t="str">
        <f t="shared" si="3"/>
        <v>Currently Unavailable</v>
      </c>
      <c r="I1894" s="1" t="str">
        <f t="shared" si="4"/>
        <v>No Badges</v>
      </c>
      <c r="J1894" s="3">
        <f t="shared" si="5"/>
        <v>0</v>
      </c>
    </row>
    <row r="1895">
      <c r="A1895" s="1" t="s">
        <v>1568</v>
      </c>
      <c r="B1895" s="3" t="str">
        <f t="shared" si="1"/>
        <v>Unavailable</v>
      </c>
      <c r="C1895" s="3">
        <v>143.0</v>
      </c>
      <c r="D1895" s="3">
        <f>IFERROR(__xludf.DUMMYFUNCTION("IFERROR(
IF(REGEXMATCH(LOWER(O1895),""k""),
VALUE(REGEXEXTRACT(O1895,""[0-9]+""))*1000,
VALUE(REGEXEXTRACT(O1895,""[0-9]+""))
),
0
)"),0.0)</f>
        <v>0</v>
      </c>
      <c r="E1895" s="1" t="s">
        <v>11</v>
      </c>
      <c r="F1895" s="1" t="s">
        <v>20</v>
      </c>
      <c r="G1895" s="4" t="b">
        <f t="shared" si="2"/>
        <v>1</v>
      </c>
      <c r="H1895" s="1" t="str">
        <f t="shared" si="3"/>
        <v>Currently Unavailable</v>
      </c>
      <c r="I1895" s="1" t="str">
        <f t="shared" si="4"/>
        <v>No Badges</v>
      </c>
      <c r="J1895" s="3">
        <f t="shared" si="5"/>
        <v>0</v>
      </c>
    </row>
    <row r="1896">
      <c r="A1896" s="1" t="s">
        <v>1569</v>
      </c>
      <c r="B1896" s="3" t="str">
        <f t="shared" si="1"/>
        <v>Unavailable</v>
      </c>
      <c r="C1896" s="3">
        <v>386.0</v>
      </c>
      <c r="D1896" s="3">
        <f>IFERROR(__xludf.DUMMYFUNCTION("IFERROR(
IF(REGEXMATCH(LOWER(O1896),""k""),
VALUE(REGEXEXTRACT(O1896,""[0-9]+""))*1000,
VALUE(REGEXEXTRACT(O1896,""[0-9]+""))
),
0
)"),0.0)</f>
        <v>0</v>
      </c>
      <c r="E1896" s="1" t="s">
        <v>11</v>
      </c>
      <c r="F1896" s="1" t="s">
        <v>20</v>
      </c>
      <c r="G1896" s="4" t="b">
        <f t="shared" si="2"/>
        <v>1</v>
      </c>
      <c r="H1896" s="1" t="str">
        <f t="shared" si="3"/>
        <v>Currently Unavailable</v>
      </c>
      <c r="I1896" s="1" t="str">
        <f t="shared" si="4"/>
        <v>No Badges</v>
      </c>
      <c r="J1896" s="3">
        <f t="shared" si="5"/>
        <v>0</v>
      </c>
    </row>
    <row r="1897">
      <c r="A1897" s="1" t="s">
        <v>1570</v>
      </c>
      <c r="B1897" s="3" t="str">
        <f t="shared" si="1"/>
        <v>Unavailable</v>
      </c>
      <c r="C1897" s="5">
        <v>8954.0</v>
      </c>
      <c r="D1897" s="3">
        <f>IFERROR(__xludf.DUMMYFUNCTION("IFERROR(
IF(REGEXMATCH(LOWER(O1897),""k""),
VALUE(REGEXEXTRACT(O1897,""[0-9]+""))*1000,
VALUE(REGEXEXTRACT(O1897,""[0-9]+""))
),
0
)"),0.0)</f>
        <v>0</v>
      </c>
      <c r="E1897" s="1" t="s">
        <v>11</v>
      </c>
      <c r="F1897" s="1" t="s">
        <v>20</v>
      </c>
      <c r="G1897" s="4" t="b">
        <f t="shared" si="2"/>
        <v>1</v>
      </c>
      <c r="H1897" s="1" t="str">
        <f t="shared" si="3"/>
        <v>Currently Unavailable</v>
      </c>
      <c r="I1897" s="1" t="str">
        <f t="shared" si="4"/>
        <v>No Badges</v>
      </c>
      <c r="J1897" s="3">
        <f t="shared" si="5"/>
        <v>0</v>
      </c>
    </row>
    <row r="1898">
      <c r="A1898" s="1" t="s">
        <v>1571</v>
      </c>
      <c r="B1898" s="3" t="str">
        <f t="shared" si="1"/>
        <v>Unavailable</v>
      </c>
      <c r="C1898" s="5">
        <v>3636.0</v>
      </c>
      <c r="D1898" s="3">
        <f>IFERROR(__xludf.DUMMYFUNCTION("IFERROR(
IF(REGEXMATCH(LOWER(O1898),""k""),
VALUE(REGEXEXTRACT(O1898,""[0-9]+""))*1000,
VALUE(REGEXEXTRACT(O1898,""[0-9]+""))
),
0
)"),0.0)</f>
        <v>0</v>
      </c>
      <c r="E1898" s="1" t="s">
        <v>11</v>
      </c>
      <c r="F1898" s="1" t="s">
        <v>20</v>
      </c>
      <c r="G1898" s="4" t="b">
        <f t="shared" si="2"/>
        <v>1</v>
      </c>
      <c r="H1898" s="1" t="str">
        <f t="shared" si="3"/>
        <v>Currently Unavailable</v>
      </c>
      <c r="I1898" s="1" t="str">
        <f t="shared" si="4"/>
        <v>No Badges</v>
      </c>
      <c r="J1898" s="3">
        <f t="shared" si="5"/>
        <v>0</v>
      </c>
    </row>
    <row r="1899">
      <c r="A1899" s="1" t="s">
        <v>1572</v>
      </c>
      <c r="B1899" s="3" t="str">
        <f t="shared" si="1"/>
        <v>Unavailable</v>
      </c>
      <c r="C1899" s="5">
        <v>5568.0</v>
      </c>
      <c r="D1899" s="3">
        <f>IFERROR(__xludf.DUMMYFUNCTION("IFERROR(
IF(REGEXMATCH(LOWER(O1899),""k""),
VALUE(REGEXEXTRACT(O1899,""[0-9]+""))*1000,
VALUE(REGEXEXTRACT(O1899,""[0-9]+""))
),
0
)"),0.0)</f>
        <v>0</v>
      </c>
      <c r="E1899" s="1" t="s">
        <v>11</v>
      </c>
      <c r="F1899" s="1" t="s">
        <v>20</v>
      </c>
      <c r="G1899" s="4" t="b">
        <f t="shared" si="2"/>
        <v>1</v>
      </c>
      <c r="H1899" s="1" t="str">
        <f t="shared" si="3"/>
        <v>Currently Unavailable</v>
      </c>
      <c r="I1899" s="1" t="str">
        <f t="shared" si="4"/>
        <v>No Badges</v>
      </c>
      <c r="J1899" s="3">
        <f t="shared" si="5"/>
        <v>0</v>
      </c>
    </row>
    <row r="1900">
      <c r="A1900" s="1" t="s">
        <v>1573</v>
      </c>
      <c r="B1900" s="3" t="str">
        <f t="shared" si="1"/>
        <v>Unavailable</v>
      </c>
      <c r="C1900" s="5">
        <v>1061.0</v>
      </c>
      <c r="D1900" s="3">
        <f>IFERROR(__xludf.DUMMYFUNCTION("IFERROR(
IF(REGEXMATCH(LOWER(O1900),""k""),
VALUE(REGEXEXTRACT(O1900,""[0-9]+""))*1000,
VALUE(REGEXEXTRACT(O1900,""[0-9]+""))
),
0
)"),0.0)</f>
        <v>0</v>
      </c>
      <c r="E1900" s="1" t="s">
        <v>11</v>
      </c>
      <c r="F1900" s="1" t="s">
        <v>20</v>
      </c>
      <c r="G1900" s="4" t="b">
        <f t="shared" si="2"/>
        <v>1</v>
      </c>
      <c r="H1900" s="1" t="str">
        <f t="shared" si="3"/>
        <v>Currently Unavailable</v>
      </c>
      <c r="I1900" s="1" t="str">
        <f t="shared" si="4"/>
        <v>No Badges</v>
      </c>
      <c r="J1900" s="3">
        <f t="shared" si="5"/>
        <v>0</v>
      </c>
    </row>
    <row r="1901">
      <c r="A1901" s="1" t="s">
        <v>1574</v>
      </c>
      <c r="B1901" s="3" t="str">
        <f t="shared" si="1"/>
        <v>Unavailable</v>
      </c>
      <c r="C1901" s="5">
        <v>1154.0</v>
      </c>
      <c r="D1901" s="3">
        <f>IFERROR(__xludf.DUMMYFUNCTION("IFERROR(
IF(REGEXMATCH(LOWER(O1901),""k""),
VALUE(REGEXEXTRACT(O1901,""[0-9]+""))*1000,
VALUE(REGEXEXTRACT(O1901,""[0-9]+""))
),
0
)"),0.0)</f>
        <v>0</v>
      </c>
      <c r="E1901" s="1" t="s">
        <v>11</v>
      </c>
      <c r="F1901" s="1" t="s">
        <v>20</v>
      </c>
      <c r="G1901" s="4" t="b">
        <f t="shared" si="2"/>
        <v>1</v>
      </c>
      <c r="H1901" s="1" t="str">
        <f t="shared" si="3"/>
        <v>Currently Unavailable</v>
      </c>
      <c r="I1901" s="1" t="str">
        <f t="shared" si="4"/>
        <v>No Badges</v>
      </c>
      <c r="J1901" s="3">
        <f t="shared" si="5"/>
        <v>0</v>
      </c>
    </row>
    <row r="1902">
      <c r="A1902" s="1" t="s">
        <v>701</v>
      </c>
      <c r="B1902" s="3" t="str">
        <f t="shared" si="1"/>
        <v>Unavailable</v>
      </c>
      <c r="C1902" s="3">
        <v>8.0</v>
      </c>
      <c r="D1902" s="3">
        <f>IFERROR(__xludf.DUMMYFUNCTION("IFERROR(
IF(REGEXMATCH(LOWER(O1902),""k""),
VALUE(REGEXEXTRACT(O1902,""[0-9]+""))*1000,
VALUE(REGEXEXTRACT(O1902,""[0-9]+""))
),
0
)"),0.0)</f>
        <v>0</v>
      </c>
      <c r="E1902" s="1" t="s">
        <v>11</v>
      </c>
      <c r="F1902" s="1" t="s">
        <v>12</v>
      </c>
      <c r="G1902" s="4" t="b">
        <f t="shared" si="2"/>
        <v>1</v>
      </c>
      <c r="H1902" s="1" t="str">
        <f t="shared" si="3"/>
        <v>Currently Unavailable</v>
      </c>
      <c r="I1902" s="1" t="str">
        <f t="shared" si="4"/>
        <v>No Badges</v>
      </c>
      <c r="J1902" s="3">
        <f t="shared" si="5"/>
        <v>0</v>
      </c>
    </row>
    <row r="1903">
      <c r="A1903" s="1" t="s">
        <v>1285</v>
      </c>
      <c r="B1903" s="3" t="str">
        <f t="shared" si="1"/>
        <v>Unavailable</v>
      </c>
      <c r="C1903" s="5">
        <v>3520.0</v>
      </c>
      <c r="D1903" s="3">
        <f>IFERROR(__xludf.DUMMYFUNCTION("IFERROR(
IF(REGEXMATCH(LOWER(O1903),""k""),
VALUE(REGEXEXTRACT(O1903,""[0-9]+""))*1000,
VALUE(REGEXEXTRACT(O1903,""[0-9]+""))
),
0
)"),0.0)</f>
        <v>0</v>
      </c>
      <c r="E1903" s="1" t="s">
        <v>11</v>
      </c>
      <c r="F1903" s="1" t="s">
        <v>12</v>
      </c>
      <c r="G1903" s="4" t="b">
        <f t="shared" si="2"/>
        <v>1</v>
      </c>
      <c r="H1903" s="1" t="str">
        <f t="shared" si="3"/>
        <v>Currently Unavailable</v>
      </c>
      <c r="I1903" s="1" t="str">
        <f t="shared" si="4"/>
        <v>No Badges</v>
      </c>
      <c r="J1903" s="3">
        <f t="shared" si="5"/>
        <v>0</v>
      </c>
    </row>
    <row r="1904">
      <c r="A1904" s="1" t="s">
        <v>1575</v>
      </c>
      <c r="B1904" s="3" t="str">
        <f t="shared" si="1"/>
        <v>Unavailable</v>
      </c>
      <c r="C1904" s="5">
        <v>13521.0</v>
      </c>
      <c r="D1904" s="3">
        <f>IFERROR(__xludf.DUMMYFUNCTION("IFERROR(
IF(REGEXMATCH(LOWER(O1904),""k""),
VALUE(REGEXEXTRACT(O1904,""[0-9]+""))*1000,
VALUE(REGEXEXTRACT(O1904,""[0-9]+""))
),
0
)"),0.0)</f>
        <v>0</v>
      </c>
      <c r="E1904" s="1" t="s">
        <v>11</v>
      </c>
      <c r="F1904" s="1" t="s">
        <v>20</v>
      </c>
      <c r="G1904" s="4" t="b">
        <f t="shared" si="2"/>
        <v>1</v>
      </c>
      <c r="H1904" s="1" t="str">
        <f t="shared" si="3"/>
        <v>Currently Unavailable</v>
      </c>
      <c r="I1904" s="1" t="str">
        <f t="shared" si="4"/>
        <v>No Badges</v>
      </c>
      <c r="J1904" s="3">
        <f t="shared" si="5"/>
        <v>0</v>
      </c>
    </row>
    <row r="1905">
      <c r="A1905" s="1" t="s">
        <v>1576</v>
      </c>
      <c r="B1905" s="3" t="str">
        <f t="shared" si="1"/>
        <v>Unavailable</v>
      </c>
      <c r="C1905" s="5">
        <v>18025.0</v>
      </c>
      <c r="D1905" s="3">
        <f>IFERROR(__xludf.DUMMYFUNCTION("IFERROR(
IF(REGEXMATCH(LOWER(O1905),""k""),
VALUE(REGEXEXTRACT(O1905,""[0-9]+""))*1000,
VALUE(REGEXEXTRACT(O1905,""[0-9]+""))
),
0
)"),0.0)</f>
        <v>0</v>
      </c>
      <c r="E1905" s="1" t="s">
        <v>11</v>
      </c>
      <c r="F1905" s="1" t="s">
        <v>20</v>
      </c>
      <c r="G1905" s="4" t="b">
        <f t="shared" si="2"/>
        <v>1</v>
      </c>
      <c r="H1905" s="1" t="str">
        <f t="shared" si="3"/>
        <v>Currently Unavailable</v>
      </c>
      <c r="I1905" s="1" t="str">
        <f t="shared" si="4"/>
        <v>No Badges</v>
      </c>
      <c r="J1905" s="3">
        <f t="shared" si="5"/>
        <v>0</v>
      </c>
    </row>
    <row r="1906">
      <c r="A1906" s="1" t="s">
        <v>69</v>
      </c>
      <c r="B1906" s="3" t="str">
        <f t="shared" si="1"/>
        <v>Unavailable</v>
      </c>
      <c r="C1906" s="3">
        <v>45.0</v>
      </c>
      <c r="D1906" s="3">
        <f>IFERROR(__xludf.DUMMYFUNCTION("IFERROR(
IF(REGEXMATCH(LOWER(O1906),""k""),
VALUE(REGEXEXTRACT(O1906,""[0-9]+""))*1000,
VALUE(REGEXEXTRACT(O1906,""[0-9]+""))
),
0
)"),0.0)</f>
        <v>0</v>
      </c>
      <c r="E1906" s="1" t="s">
        <v>11</v>
      </c>
      <c r="F1906" s="1" t="s">
        <v>12</v>
      </c>
      <c r="G1906" s="4" t="b">
        <f t="shared" si="2"/>
        <v>1</v>
      </c>
      <c r="H1906" s="1" t="str">
        <f t="shared" si="3"/>
        <v>Currently Unavailable</v>
      </c>
      <c r="I1906" s="1" t="str">
        <f t="shared" si="4"/>
        <v>No Badges</v>
      </c>
      <c r="J1906" s="3">
        <f t="shared" si="5"/>
        <v>0</v>
      </c>
    </row>
    <row r="1907">
      <c r="A1907" s="1" t="s">
        <v>1577</v>
      </c>
      <c r="B1907" s="3" t="str">
        <f t="shared" si="1"/>
        <v>Unavailable</v>
      </c>
      <c r="C1907" s="5">
        <v>3162.0</v>
      </c>
      <c r="D1907" s="3">
        <f>IFERROR(__xludf.DUMMYFUNCTION("IFERROR(
IF(REGEXMATCH(LOWER(O1907),""k""),
VALUE(REGEXEXTRACT(O1907,""[0-9]+""))*1000,
VALUE(REGEXEXTRACT(O1907,""[0-9]+""))
),
0
)"),0.0)</f>
        <v>0</v>
      </c>
      <c r="E1907" s="1" t="s">
        <v>158</v>
      </c>
      <c r="F1907" s="1" t="s">
        <v>20</v>
      </c>
      <c r="G1907" s="4" t="b">
        <f t="shared" si="2"/>
        <v>1</v>
      </c>
      <c r="H1907" s="1" t="str">
        <f t="shared" si="3"/>
        <v>Currently Unavailable</v>
      </c>
      <c r="I1907" s="1" t="str">
        <f t="shared" si="4"/>
        <v>No Badges</v>
      </c>
      <c r="J1907" s="3">
        <f t="shared" si="5"/>
        <v>0</v>
      </c>
    </row>
    <row r="1908">
      <c r="A1908" s="1" t="s">
        <v>1578</v>
      </c>
      <c r="B1908" s="3" t="str">
        <f t="shared" si="1"/>
        <v>Unavailable</v>
      </c>
      <c r="C1908" s="3">
        <v>99.0</v>
      </c>
      <c r="D1908" s="3">
        <f>IFERROR(__xludf.DUMMYFUNCTION("IFERROR(
IF(REGEXMATCH(LOWER(O1908),""k""),
VALUE(REGEXEXTRACT(O1908,""[0-9]+""))*1000,
VALUE(REGEXEXTRACT(O1908,""[0-9]+""))
),
0
)"),0.0)</f>
        <v>0</v>
      </c>
      <c r="E1908" s="1" t="s">
        <v>11</v>
      </c>
      <c r="F1908" s="1" t="s">
        <v>20</v>
      </c>
      <c r="G1908" s="4" t="b">
        <f t="shared" si="2"/>
        <v>1</v>
      </c>
      <c r="H1908" s="1" t="str">
        <f t="shared" si="3"/>
        <v>Currently Unavailable</v>
      </c>
      <c r="I1908" s="1" t="str">
        <f t="shared" si="4"/>
        <v>No Badges</v>
      </c>
      <c r="J1908" s="3">
        <f t="shared" si="5"/>
        <v>0</v>
      </c>
    </row>
    <row r="1909">
      <c r="A1909" s="1" t="s">
        <v>1579</v>
      </c>
      <c r="B1909" s="3" t="str">
        <f t="shared" si="1"/>
        <v>Unavailable</v>
      </c>
      <c r="C1909" s="3">
        <v>766.0</v>
      </c>
      <c r="D1909" s="3">
        <f>IFERROR(__xludf.DUMMYFUNCTION("IFERROR(
IF(REGEXMATCH(LOWER(O1909),""k""),
VALUE(REGEXEXTRACT(O1909,""[0-9]+""))*1000,
VALUE(REGEXEXTRACT(O1909,""[0-9]+""))
),
0
)"),0.0)</f>
        <v>0</v>
      </c>
      <c r="E1909" s="1" t="s">
        <v>11</v>
      </c>
      <c r="F1909" s="1" t="s">
        <v>20</v>
      </c>
      <c r="G1909" s="4" t="b">
        <f t="shared" si="2"/>
        <v>1</v>
      </c>
      <c r="H1909" s="1" t="str">
        <f t="shared" si="3"/>
        <v>Currently Unavailable</v>
      </c>
      <c r="I1909" s="1" t="str">
        <f t="shared" si="4"/>
        <v>No Badges</v>
      </c>
      <c r="J1909" s="3">
        <f t="shared" si="5"/>
        <v>0</v>
      </c>
    </row>
    <row r="1910">
      <c r="A1910" s="1" t="s">
        <v>1580</v>
      </c>
      <c r="B1910" s="3" t="str">
        <f t="shared" si="1"/>
        <v>Unavailable</v>
      </c>
      <c r="C1910" s="3">
        <v>238.0</v>
      </c>
      <c r="D1910" s="3">
        <f>IFERROR(__xludf.DUMMYFUNCTION("IFERROR(
IF(REGEXMATCH(LOWER(O1910),""k""),
VALUE(REGEXEXTRACT(O1910,""[0-9]+""))*1000,
VALUE(REGEXEXTRACT(O1910,""[0-9]+""))
),
0
)"),0.0)</f>
        <v>0</v>
      </c>
      <c r="E1910" s="1" t="s">
        <v>11</v>
      </c>
      <c r="F1910" s="1" t="s">
        <v>20</v>
      </c>
      <c r="G1910" s="4" t="b">
        <f t="shared" si="2"/>
        <v>1</v>
      </c>
      <c r="H1910" s="1" t="str">
        <f t="shared" si="3"/>
        <v>Currently Unavailable</v>
      </c>
      <c r="I1910" s="1" t="str">
        <f t="shared" si="4"/>
        <v>No Badges</v>
      </c>
      <c r="J1910" s="3">
        <f t="shared" si="5"/>
        <v>0</v>
      </c>
    </row>
    <row r="1911">
      <c r="A1911" s="1" t="s">
        <v>1581</v>
      </c>
      <c r="B1911" s="3" t="str">
        <f t="shared" si="1"/>
        <v>Unavailable</v>
      </c>
      <c r="C1911" s="5">
        <v>5915.0</v>
      </c>
      <c r="D1911" s="3">
        <f>IFERROR(__xludf.DUMMYFUNCTION("IFERROR(
IF(REGEXMATCH(LOWER(O1911),""k""),
VALUE(REGEXEXTRACT(O1911,""[0-9]+""))*1000,
VALUE(REGEXEXTRACT(O1911,""[0-9]+""))
),
0
)"),0.0)</f>
        <v>0</v>
      </c>
      <c r="E1911" s="1" t="s">
        <v>11</v>
      </c>
      <c r="F1911" s="1" t="s">
        <v>20</v>
      </c>
      <c r="G1911" s="4" t="b">
        <f t="shared" si="2"/>
        <v>1</v>
      </c>
      <c r="H1911" s="1" t="str">
        <f t="shared" si="3"/>
        <v>Currently Unavailable</v>
      </c>
      <c r="I1911" s="1" t="str">
        <f t="shared" si="4"/>
        <v>No Badges</v>
      </c>
      <c r="J1911" s="3">
        <f t="shared" si="5"/>
        <v>0</v>
      </c>
    </row>
    <row r="1912">
      <c r="A1912" s="1" t="s">
        <v>1582</v>
      </c>
      <c r="B1912" s="3" t="str">
        <f t="shared" si="1"/>
        <v>Unavailable</v>
      </c>
      <c r="C1912" s="5">
        <v>23162.0</v>
      </c>
      <c r="D1912" s="3">
        <f>IFERROR(__xludf.DUMMYFUNCTION("IFERROR(
IF(REGEXMATCH(LOWER(O1912),""k""),
VALUE(REGEXEXTRACT(O1912,""[0-9]+""))*1000,
VALUE(REGEXEXTRACT(O1912,""[0-9]+""))
),
0
)"),0.0)</f>
        <v>0</v>
      </c>
      <c r="E1912" s="1" t="s">
        <v>11</v>
      </c>
      <c r="F1912" s="1" t="s">
        <v>20</v>
      </c>
      <c r="G1912" s="4" t="b">
        <f t="shared" si="2"/>
        <v>1</v>
      </c>
      <c r="H1912" s="1" t="str">
        <f t="shared" si="3"/>
        <v>Currently Unavailable</v>
      </c>
      <c r="I1912" s="1" t="str">
        <f t="shared" si="4"/>
        <v>No Badges</v>
      </c>
      <c r="J1912" s="3">
        <f t="shared" si="5"/>
        <v>0</v>
      </c>
    </row>
    <row r="1913">
      <c r="A1913" s="1" t="s">
        <v>1285</v>
      </c>
      <c r="B1913" s="3" t="str">
        <f t="shared" si="1"/>
        <v>Unavailable</v>
      </c>
      <c r="C1913" s="5">
        <v>3520.0</v>
      </c>
      <c r="D1913" s="3">
        <f>IFERROR(__xludf.DUMMYFUNCTION("IFERROR(
IF(REGEXMATCH(LOWER(O1913),""k""),
VALUE(REGEXEXTRACT(O1913,""[0-9]+""))*1000,
VALUE(REGEXEXTRACT(O1913,""[0-9]+""))
),
0
)"),0.0)</f>
        <v>0</v>
      </c>
      <c r="E1913" s="1" t="s">
        <v>11</v>
      </c>
      <c r="F1913" s="1" t="s">
        <v>12</v>
      </c>
      <c r="G1913" s="4" t="b">
        <f t="shared" si="2"/>
        <v>1</v>
      </c>
      <c r="H1913" s="1" t="str">
        <f t="shared" si="3"/>
        <v>Currently Unavailable</v>
      </c>
      <c r="I1913" s="1" t="str">
        <f t="shared" si="4"/>
        <v>No Badges</v>
      </c>
      <c r="J1913" s="3">
        <f t="shared" si="5"/>
        <v>0</v>
      </c>
    </row>
    <row r="1914">
      <c r="A1914" s="1" t="s">
        <v>1583</v>
      </c>
      <c r="B1914" s="3" t="str">
        <f t="shared" si="1"/>
        <v>Unavailable</v>
      </c>
      <c r="C1914" s="3">
        <v>824.0</v>
      </c>
      <c r="D1914" s="3">
        <f>IFERROR(__xludf.DUMMYFUNCTION("IFERROR(
IF(REGEXMATCH(LOWER(O1914),""k""),
VALUE(REGEXEXTRACT(O1914,""[0-9]+""))*1000,
VALUE(REGEXEXTRACT(O1914,""[0-9]+""))
),
0
)"),0.0)</f>
        <v>0</v>
      </c>
      <c r="E1914" s="1" t="s">
        <v>11</v>
      </c>
      <c r="F1914" s="1" t="s">
        <v>20</v>
      </c>
      <c r="G1914" s="4" t="b">
        <f t="shared" si="2"/>
        <v>1</v>
      </c>
      <c r="H1914" s="1" t="str">
        <f t="shared" si="3"/>
        <v>Currently Unavailable</v>
      </c>
      <c r="I1914" s="1" t="str">
        <f t="shared" si="4"/>
        <v>No Badges</v>
      </c>
      <c r="J1914" s="3">
        <f t="shared" si="5"/>
        <v>0</v>
      </c>
    </row>
    <row r="1915">
      <c r="A1915" s="1" t="s">
        <v>1284</v>
      </c>
      <c r="B1915" s="3" t="str">
        <f t="shared" si="1"/>
        <v>Unavailable</v>
      </c>
      <c r="C1915" s="3">
        <v>172.0</v>
      </c>
      <c r="D1915" s="3">
        <f>IFERROR(__xludf.DUMMYFUNCTION("IFERROR(
IF(REGEXMATCH(LOWER(O1915),""k""),
VALUE(REGEXEXTRACT(O1915,""[0-9]+""))*1000,
VALUE(REGEXEXTRACT(O1915,""[0-9]+""))
),
0
)"),0.0)</f>
        <v>0</v>
      </c>
      <c r="E1915" s="1" t="s">
        <v>11</v>
      </c>
      <c r="F1915" s="1" t="s">
        <v>12</v>
      </c>
      <c r="G1915" s="4" t="b">
        <f t="shared" si="2"/>
        <v>1</v>
      </c>
      <c r="H1915" s="1" t="str">
        <f t="shared" si="3"/>
        <v>Currently Unavailable</v>
      </c>
      <c r="I1915" s="1" t="str">
        <f t="shared" si="4"/>
        <v>No Badges</v>
      </c>
      <c r="J1915" s="3">
        <f t="shared" si="5"/>
        <v>0</v>
      </c>
    </row>
    <row r="1916">
      <c r="A1916" s="1" t="s">
        <v>1584</v>
      </c>
      <c r="B1916" s="3" t="str">
        <f t="shared" si="1"/>
        <v>Unavailable</v>
      </c>
      <c r="C1916" s="3">
        <v>313.0</v>
      </c>
      <c r="D1916" s="3">
        <f>IFERROR(__xludf.DUMMYFUNCTION("IFERROR(
IF(REGEXMATCH(LOWER(O1916),""k""),
VALUE(REGEXEXTRACT(O1916,""[0-9]+""))*1000,
VALUE(REGEXEXTRACT(O1916,""[0-9]+""))
),
0
)"),0.0)</f>
        <v>0</v>
      </c>
      <c r="E1916" s="1" t="s">
        <v>11</v>
      </c>
      <c r="F1916" s="1" t="s">
        <v>20</v>
      </c>
      <c r="G1916" s="4" t="b">
        <f t="shared" si="2"/>
        <v>1</v>
      </c>
      <c r="H1916" s="1" t="str">
        <f t="shared" si="3"/>
        <v>Currently Unavailable</v>
      </c>
      <c r="I1916" s="1" t="str">
        <f t="shared" si="4"/>
        <v>No Badges</v>
      </c>
      <c r="J1916" s="3">
        <f t="shared" si="5"/>
        <v>0</v>
      </c>
    </row>
    <row r="1917">
      <c r="A1917" s="1" t="s">
        <v>1572</v>
      </c>
      <c r="B1917" s="3" t="str">
        <f t="shared" si="1"/>
        <v>Unavailable</v>
      </c>
      <c r="C1917" s="5">
        <v>25768.0</v>
      </c>
      <c r="D1917" s="3">
        <f>IFERROR(__xludf.DUMMYFUNCTION("IFERROR(
IF(REGEXMATCH(LOWER(O1917),""k""),
VALUE(REGEXEXTRACT(O1917,""[0-9]+""))*1000,
VALUE(REGEXEXTRACT(O1917,""[0-9]+""))
),
0
)"),0.0)</f>
        <v>0</v>
      </c>
      <c r="E1917" s="1" t="s">
        <v>11</v>
      </c>
      <c r="F1917" s="1" t="s">
        <v>20</v>
      </c>
      <c r="G1917" s="4" t="b">
        <f t="shared" si="2"/>
        <v>1</v>
      </c>
      <c r="H1917" s="1" t="str">
        <f t="shared" si="3"/>
        <v>Currently Unavailable</v>
      </c>
      <c r="I1917" s="1" t="str">
        <f t="shared" si="4"/>
        <v>No Badges</v>
      </c>
      <c r="J1917" s="3">
        <f t="shared" si="5"/>
        <v>0</v>
      </c>
    </row>
    <row r="1918">
      <c r="A1918" s="1" t="s">
        <v>1585</v>
      </c>
      <c r="B1918" s="3" t="str">
        <f t="shared" si="1"/>
        <v>Unavailable</v>
      </c>
      <c r="C1918" s="5">
        <v>1754.0</v>
      </c>
      <c r="D1918" s="3">
        <f>IFERROR(__xludf.DUMMYFUNCTION("IFERROR(
IF(REGEXMATCH(LOWER(O1918),""k""),
VALUE(REGEXEXTRACT(O1918,""[0-9]+""))*1000,
VALUE(REGEXEXTRACT(O1918,""[0-9]+""))
),
0
)"),0.0)</f>
        <v>0</v>
      </c>
      <c r="E1918" s="1" t="s">
        <v>11</v>
      </c>
      <c r="F1918" s="1" t="s">
        <v>20</v>
      </c>
      <c r="G1918" s="4" t="b">
        <f t="shared" si="2"/>
        <v>1</v>
      </c>
      <c r="H1918" s="1" t="str">
        <f t="shared" si="3"/>
        <v>Currently Unavailable</v>
      </c>
      <c r="I1918" s="1" t="str">
        <f t="shared" si="4"/>
        <v>No Badges</v>
      </c>
      <c r="J1918" s="3">
        <f t="shared" si="5"/>
        <v>0</v>
      </c>
    </row>
    <row r="1919">
      <c r="A1919" s="1" t="s">
        <v>67</v>
      </c>
      <c r="B1919" s="3" t="str">
        <f t="shared" si="1"/>
        <v>Unavailable</v>
      </c>
      <c r="C1919" s="3">
        <v>264.0</v>
      </c>
      <c r="D1919" s="3">
        <f>IFERROR(__xludf.DUMMYFUNCTION("IFERROR(
IF(REGEXMATCH(LOWER(O1919),""k""),
VALUE(REGEXEXTRACT(O1919,""[0-9]+""))*1000,
VALUE(REGEXEXTRACT(O1919,""[0-9]+""))
),
0
)"),0.0)</f>
        <v>0</v>
      </c>
      <c r="E1919" s="1" t="s">
        <v>11</v>
      </c>
      <c r="F1919" s="1" t="s">
        <v>12</v>
      </c>
      <c r="G1919" s="4" t="b">
        <f t="shared" si="2"/>
        <v>1</v>
      </c>
      <c r="H1919" s="1" t="str">
        <f t="shared" si="3"/>
        <v>Currently Unavailable</v>
      </c>
      <c r="I1919" s="1" t="str">
        <f t="shared" si="4"/>
        <v>No Badges</v>
      </c>
      <c r="J1919" s="3">
        <f t="shared" si="5"/>
        <v>0</v>
      </c>
    </row>
    <row r="1920">
      <c r="A1920" s="1" t="s">
        <v>701</v>
      </c>
      <c r="B1920" s="3" t="str">
        <f t="shared" si="1"/>
        <v>Unavailable</v>
      </c>
      <c r="C1920" s="3">
        <v>8.0</v>
      </c>
      <c r="D1920" s="3">
        <f>IFERROR(__xludf.DUMMYFUNCTION("IFERROR(
IF(REGEXMATCH(LOWER(O1920),""k""),
VALUE(REGEXEXTRACT(O1920,""[0-9]+""))*1000,
VALUE(REGEXEXTRACT(O1920,""[0-9]+""))
),
0
)"),0.0)</f>
        <v>0</v>
      </c>
      <c r="E1920" s="1" t="s">
        <v>11</v>
      </c>
      <c r="F1920" s="1" t="s">
        <v>12</v>
      </c>
      <c r="G1920" s="4" t="b">
        <f t="shared" si="2"/>
        <v>1</v>
      </c>
      <c r="H1920" s="1" t="str">
        <f t="shared" si="3"/>
        <v>Currently Unavailable</v>
      </c>
      <c r="I1920" s="1" t="str">
        <f t="shared" si="4"/>
        <v>No Badges</v>
      </c>
      <c r="J1920" s="3">
        <f t="shared" si="5"/>
        <v>0</v>
      </c>
    </row>
    <row r="1921">
      <c r="A1921" s="1" t="s">
        <v>1586</v>
      </c>
      <c r="B1921" s="3" t="str">
        <f t="shared" si="1"/>
        <v>Unavailable</v>
      </c>
      <c r="C1921" s="3">
        <v>880.0</v>
      </c>
      <c r="D1921" s="3">
        <f>IFERROR(__xludf.DUMMYFUNCTION("IFERROR(
IF(REGEXMATCH(LOWER(O1921),""k""),
VALUE(REGEXEXTRACT(O1921,""[0-9]+""))*1000,
VALUE(REGEXEXTRACT(O1921,""[0-9]+""))
),
0
)"),0.0)</f>
        <v>0</v>
      </c>
      <c r="E1921" s="1" t="s">
        <v>11</v>
      </c>
      <c r="F1921" s="1" t="s">
        <v>20</v>
      </c>
      <c r="G1921" s="4" t="b">
        <f t="shared" si="2"/>
        <v>1</v>
      </c>
      <c r="H1921" s="1" t="str">
        <f t="shared" si="3"/>
        <v>Currently Unavailable</v>
      </c>
      <c r="I1921" s="1" t="str">
        <f t="shared" si="4"/>
        <v>No Badges</v>
      </c>
      <c r="J1921" s="3">
        <f t="shared" si="5"/>
        <v>0</v>
      </c>
    </row>
    <row r="1922">
      <c r="A1922" s="1" t="s">
        <v>1587</v>
      </c>
      <c r="B1922" s="3" t="str">
        <f t="shared" si="1"/>
        <v>Unavailable</v>
      </c>
      <c r="C1922" s="5">
        <v>1355.0</v>
      </c>
      <c r="D1922" s="3">
        <f>IFERROR(__xludf.DUMMYFUNCTION("IFERROR(
IF(REGEXMATCH(LOWER(O1922),""k""),
VALUE(REGEXEXTRACT(O1922,""[0-9]+""))*1000,
VALUE(REGEXEXTRACT(O1922,""[0-9]+""))
),
0
)"),0.0)</f>
        <v>0</v>
      </c>
      <c r="E1922" s="1" t="s">
        <v>11</v>
      </c>
      <c r="F1922" s="1" t="s">
        <v>20</v>
      </c>
      <c r="G1922" s="4" t="b">
        <f t="shared" si="2"/>
        <v>1</v>
      </c>
      <c r="H1922" s="1" t="str">
        <f t="shared" si="3"/>
        <v>Currently Unavailable</v>
      </c>
      <c r="I1922" s="1" t="str">
        <f t="shared" si="4"/>
        <v>No Badges</v>
      </c>
      <c r="J1922" s="3">
        <f t="shared" si="5"/>
        <v>0</v>
      </c>
    </row>
    <row r="1923">
      <c r="A1923" s="1" t="s">
        <v>1588</v>
      </c>
      <c r="B1923" s="3" t="str">
        <f t="shared" si="1"/>
        <v>Unavailable</v>
      </c>
      <c r="C1923" s="5">
        <v>7562.0</v>
      </c>
      <c r="D1923" s="3">
        <f>IFERROR(__xludf.DUMMYFUNCTION("IFERROR(
IF(REGEXMATCH(LOWER(O1923),""k""),
VALUE(REGEXEXTRACT(O1923,""[0-9]+""))*1000,
VALUE(REGEXEXTRACT(O1923,""[0-9]+""))
),
0
)"),0.0)</f>
        <v>0</v>
      </c>
      <c r="E1923" s="1" t="s">
        <v>11</v>
      </c>
      <c r="F1923" s="1" t="s">
        <v>20</v>
      </c>
      <c r="G1923" s="4" t="b">
        <f t="shared" si="2"/>
        <v>1</v>
      </c>
      <c r="H1923" s="1" t="str">
        <f t="shared" si="3"/>
        <v>Currently Unavailable</v>
      </c>
      <c r="I1923" s="1" t="str">
        <f t="shared" si="4"/>
        <v>No Badges</v>
      </c>
      <c r="J1923" s="3">
        <f t="shared" si="5"/>
        <v>0</v>
      </c>
    </row>
    <row r="1924">
      <c r="A1924" s="1" t="s">
        <v>1589</v>
      </c>
      <c r="B1924" s="3" t="str">
        <f t="shared" si="1"/>
        <v>Unavailable</v>
      </c>
      <c r="C1924" s="5">
        <v>2230.0</v>
      </c>
      <c r="D1924" s="3">
        <f>IFERROR(__xludf.DUMMYFUNCTION("IFERROR(
IF(REGEXMATCH(LOWER(O1924),""k""),
VALUE(REGEXEXTRACT(O1924,""[0-9]+""))*1000,
VALUE(REGEXEXTRACT(O1924,""[0-9]+""))
),
0
)"),0.0)</f>
        <v>0</v>
      </c>
      <c r="E1924" s="1" t="s">
        <v>11</v>
      </c>
      <c r="F1924" s="1" t="s">
        <v>20</v>
      </c>
      <c r="G1924" s="4" t="b">
        <f t="shared" si="2"/>
        <v>1</v>
      </c>
      <c r="H1924" s="1" t="str">
        <f t="shared" si="3"/>
        <v>Currently Unavailable</v>
      </c>
      <c r="I1924" s="1" t="str">
        <f t="shared" si="4"/>
        <v>No Badges</v>
      </c>
      <c r="J1924" s="3">
        <f t="shared" si="5"/>
        <v>0</v>
      </c>
    </row>
    <row r="1925">
      <c r="A1925" s="1" t="s">
        <v>1590</v>
      </c>
      <c r="B1925" s="3" t="str">
        <f t="shared" si="1"/>
        <v>Unavailable</v>
      </c>
      <c r="C1925" s="5">
        <v>2416.0</v>
      </c>
      <c r="D1925" s="3">
        <f>IFERROR(__xludf.DUMMYFUNCTION("IFERROR(
IF(REGEXMATCH(LOWER(O1925),""k""),
VALUE(REGEXEXTRACT(O1925,""[0-9]+""))*1000,
VALUE(REGEXEXTRACT(O1925,""[0-9]+""))
),
0
)"),0.0)</f>
        <v>0</v>
      </c>
      <c r="E1925" s="1" t="s">
        <v>1591</v>
      </c>
      <c r="F1925" s="1" t="s">
        <v>20</v>
      </c>
      <c r="G1925" s="4" t="b">
        <f t="shared" si="2"/>
        <v>1</v>
      </c>
      <c r="H1925" s="1" t="str">
        <f t="shared" si="3"/>
        <v>Currently Unavailable</v>
      </c>
      <c r="I1925" s="1" t="str">
        <f t="shared" si="4"/>
        <v>No Badges</v>
      </c>
      <c r="J1925" s="3">
        <f t="shared" si="5"/>
        <v>0</v>
      </c>
    </row>
    <row r="1926">
      <c r="A1926" s="1" t="s">
        <v>1592</v>
      </c>
      <c r="B1926" s="3" t="str">
        <f t="shared" si="1"/>
        <v>Unavailable</v>
      </c>
      <c r="C1926" s="5">
        <v>3814.0</v>
      </c>
      <c r="D1926" s="3">
        <f>IFERROR(__xludf.DUMMYFUNCTION("IFERROR(
IF(REGEXMATCH(LOWER(O1926),""k""),
VALUE(REGEXEXTRACT(O1926,""[0-9]+""))*1000,
VALUE(REGEXEXTRACT(O1926,""[0-9]+""))
),
0
)"),0.0)</f>
        <v>0</v>
      </c>
      <c r="E1926" s="1" t="s">
        <v>11</v>
      </c>
      <c r="F1926" s="1" t="s">
        <v>20</v>
      </c>
      <c r="G1926" s="4" t="b">
        <f t="shared" si="2"/>
        <v>1</v>
      </c>
      <c r="H1926" s="1" t="str">
        <f t="shared" si="3"/>
        <v>Currently Unavailable</v>
      </c>
      <c r="I1926" s="1" t="str">
        <f t="shared" si="4"/>
        <v>No Badges</v>
      </c>
      <c r="J1926" s="3">
        <f t="shared" si="5"/>
        <v>0</v>
      </c>
    </row>
    <row r="1927">
      <c r="A1927" s="1" t="s">
        <v>1593</v>
      </c>
      <c r="B1927" s="3" t="str">
        <f t="shared" si="1"/>
        <v>Unavailable</v>
      </c>
      <c r="C1927" s="5">
        <v>3754.0</v>
      </c>
      <c r="D1927" s="3">
        <f>IFERROR(__xludf.DUMMYFUNCTION("IFERROR(
IF(REGEXMATCH(LOWER(O1927),""k""),
VALUE(REGEXEXTRACT(O1927,""[0-9]+""))*1000,
VALUE(REGEXEXTRACT(O1927,""[0-9]+""))
),
0
)"),0.0)</f>
        <v>0</v>
      </c>
      <c r="E1927" s="1" t="s">
        <v>11</v>
      </c>
      <c r="F1927" s="1" t="s">
        <v>20</v>
      </c>
      <c r="G1927" s="4" t="b">
        <f t="shared" si="2"/>
        <v>1</v>
      </c>
      <c r="H1927" s="1" t="str">
        <f t="shared" si="3"/>
        <v>Currently Unavailable</v>
      </c>
      <c r="I1927" s="1" t="str">
        <f t="shared" si="4"/>
        <v>No Badges</v>
      </c>
      <c r="J1927" s="3">
        <f t="shared" si="5"/>
        <v>0</v>
      </c>
    </row>
    <row r="1928">
      <c r="A1928" s="1" t="s">
        <v>1594</v>
      </c>
      <c r="B1928" s="3" t="str">
        <f t="shared" si="1"/>
        <v>Unavailable</v>
      </c>
      <c r="C1928" s="5">
        <v>5733.0</v>
      </c>
      <c r="D1928" s="3">
        <f>IFERROR(__xludf.DUMMYFUNCTION("IFERROR(
IF(REGEXMATCH(LOWER(O1928),""k""),
VALUE(REGEXEXTRACT(O1928,""[0-9]+""))*1000,
VALUE(REGEXEXTRACT(O1928,""[0-9]+""))
),
0
)"),0.0)</f>
        <v>0</v>
      </c>
      <c r="E1928" s="1" t="s">
        <v>11</v>
      </c>
      <c r="F1928" s="1" t="s">
        <v>20</v>
      </c>
      <c r="G1928" s="4" t="b">
        <f t="shared" si="2"/>
        <v>1</v>
      </c>
      <c r="H1928" s="1" t="str">
        <f t="shared" si="3"/>
        <v>Currently Unavailable</v>
      </c>
      <c r="I1928" s="1" t="str">
        <f t="shared" si="4"/>
        <v>No Badges</v>
      </c>
      <c r="J1928" s="3">
        <f t="shared" si="5"/>
        <v>0</v>
      </c>
    </row>
    <row r="1929">
      <c r="A1929" s="1" t="s">
        <v>1284</v>
      </c>
      <c r="B1929" s="3" t="str">
        <f t="shared" si="1"/>
        <v>Unavailable</v>
      </c>
      <c r="C1929" s="3">
        <v>172.0</v>
      </c>
      <c r="D1929" s="3">
        <f>IFERROR(__xludf.DUMMYFUNCTION("IFERROR(
IF(REGEXMATCH(LOWER(O1929),""k""),
VALUE(REGEXEXTRACT(O1929,""[0-9]+""))*1000,
VALUE(REGEXEXTRACT(O1929,""[0-9]+""))
),
0
)"),0.0)</f>
        <v>0</v>
      </c>
      <c r="E1929" s="1" t="s">
        <v>11</v>
      </c>
      <c r="F1929" s="1" t="s">
        <v>12</v>
      </c>
      <c r="G1929" s="4" t="b">
        <f t="shared" si="2"/>
        <v>1</v>
      </c>
      <c r="H1929" s="1" t="str">
        <f t="shared" si="3"/>
        <v>Currently Unavailable</v>
      </c>
      <c r="I1929" s="1" t="str">
        <f t="shared" si="4"/>
        <v>No Badges</v>
      </c>
      <c r="J1929" s="3">
        <f t="shared" si="5"/>
        <v>0</v>
      </c>
    </row>
    <row r="1930">
      <c r="A1930" s="1" t="s">
        <v>1595</v>
      </c>
      <c r="B1930" s="3" t="str">
        <f t="shared" si="1"/>
        <v>Unavailable</v>
      </c>
      <c r="C1930" s="3">
        <v>12.0</v>
      </c>
      <c r="D1930" s="3">
        <f>IFERROR(__xludf.DUMMYFUNCTION("IFERROR(
IF(REGEXMATCH(LOWER(O1930),""k""),
VALUE(REGEXEXTRACT(O1930,""[0-9]+""))*1000,
VALUE(REGEXEXTRACT(O1930,""[0-9]+""))
),
0
)"),0.0)</f>
        <v>0</v>
      </c>
      <c r="E1930" s="1" t="s">
        <v>11</v>
      </c>
      <c r="F1930" s="1" t="s">
        <v>20</v>
      </c>
      <c r="G1930" s="4" t="b">
        <f t="shared" si="2"/>
        <v>1</v>
      </c>
      <c r="H1930" s="1" t="str">
        <f t="shared" si="3"/>
        <v>Currently Unavailable</v>
      </c>
      <c r="I1930" s="1" t="str">
        <f t="shared" si="4"/>
        <v>No Badges</v>
      </c>
      <c r="J1930" s="3">
        <f t="shared" si="5"/>
        <v>0</v>
      </c>
    </row>
    <row r="1931">
      <c r="A1931" s="1" t="s">
        <v>1596</v>
      </c>
      <c r="B1931" s="3" t="str">
        <f t="shared" si="1"/>
        <v>Unavailable</v>
      </c>
      <c r="C1931" s="5">
        <v>4414.0</v>
      </c>
      <c r="D1931" s="3">
        <f>IFERROR(__xludf.DUMMYFUNCTION("IFERROR(
IF(REGEXMATCH(LOWER(O1931),""k""),
VALUE(REGEXEXTRACT(O1931,""[0-9]+""))*1000,
VALUE(REGEXEXTRACT(O1931,""[0-9]+""))
),
0
)"),0.0)</f>
        <v>0</v>
      </c>
      <c r="E1931" s="1" t="s">
        <v>11</v>
      </c>
      <c r="F1931" s="1" t="s">
        <v>20</v>
      </c>
      <c r="G1931" s="4" t="b">
        <f t="shared" si="2"/>
        <v>1</v>
      </c>
      <c r="H1931" s="1" t="str">
        <f t="shared" si="3"/>
        <v>Currently Unavailable</v>
      </c>
      <c r="I1931" s="1" t="str">
        <f t="shared" si="4"/>
        <v>No Badges</v>
      </c>
      <c r="J1931" s="3">
        <f t="shared" si="5"/>
        <v>0</v>
      </c>
    </row>
    <row r="1932">
      <c r="A1932" s="1" t="s">
        <v>1597</v>
      </c>
      <c r="B1932" s="3" t="str">
        <f t="shared" si="1"/>
        <v>Unavailable</v>
      </c>
      <c r="C1932" s="5">
        <v>2480.0</v>
      </c>
      <c r="D1932" s="3">
        <f>IFERROR(__xludf.DUMMYFUNCTION("IFERROR(
IF(REGEXMATCH(LOWER(O1932),""k""),
VALUE(REGEXEXTRACT(O1932,""[0-9]+""))*1000,
VALUE(REGEXEXTRACT(O1932,""[0-9]+""))
),
0
)"),0.0)</f>
        <v>0</v>
      </c>
      <c r="E1932" s="1" t="s">
        <v>11</v>
      </c>
      <c r="F1932" s="1" t="s">
        <v>20</v>
      </c>
      <c r="G1932" s="4" t="b">
        <f t="shared" si="2"/>
        <v>1</v>
      </c>
      <c r="H1932" s="1" t="str">
        <f t="shared" si="3"/>
        <v>Currently Unavailable</v>
      </c>
      <c r="I1932" s="1" t="str">
        <f t="shared" si="4"/>
        <v>No Badges</v>
      </c>
      <c r="J1932" s="3">
        <f t="shared" si="5"/>
        <v>0</v>
      </c>
    </row>
    <row r="1933">
      <c r="A1933" s="1" t="s">
        <v>1598</v>
      </c>
      <c r="B1933" s="3" t="str">
        <f t="shared" si="1"/>
        <v>Unavailable</v>
      </c>
      <c r="C1933" s="3">
        <v>97.0</v>
      </c>
      <c r="D1933" s="3">
        <f>IFERROR(__xludf.DUMMYFUNCTION("IFERROR(
IF(REGEXMATCH(LOWER(O1933),""k""),
VALUE(REGEXEXTRACT(O1933,""[0-9]+""))*1000,
VALUE(REGEXEXTRACT(O1933,""[0-9]+""))
),
0
)"),0.0)</f>
        <v>0</v>
      </c>
      <c r="E1933" s="1" t="s">
        <v>11</v>
      </c>
      <c r="F1933" s="1" t="s">
        <v>20</v>
      </c>
      <c r="G1933" s="4" t="b">
        <f t="shared" si="2"/>
        <v>1</v>
      </c>
      <c r="H1933" s="1" t="str">
        <f t="shared" si="3"/>
        <v>Currently Unavailable</v>
      </c>
      <c r="I1933" s="1" t="str">
        <f t="shared" si="4"/>
        <v>No Badges</v>
      </c>
      <c r="J1933" s="3">
        <f t="shared" si="5"/>
        <v>0</v>
      </c>
    </row>
    <row r="1934">
      <c r="A1934" s="1" t="s">
        <v>604</v>
      </c>
      <c r="B1934" s="3" t="str">
        <f t="shared" si="1"/>
        <v>Unavailable</v>
      </c>
      <c r="C1934" s="3">
        <v>30.0</v>
      </c>
      <c r="D1934" s="3">
        <f>IFERROR(__xludf.DUMMYFUNCTION("IFERROR(
IF(REGEXMATCH(LOWER(O1934),""k""),
VALUE(REGEXEXTRACT(O1934,""[0-9]+""))*1000,
VALUE(REGEXEXTRACT(O1934,""[0-9]+""))
),
0
)"),0.0)</f>
        <v>0</v>
      </c>
      <c r="E1934" s="1" t="s">
        <v>11</v>
      </c>
      <c r="F1934" s="1" t="s">
        <v>12</v>
      </c>
      <c r="G1934" s="4" t="b">
        <f t="shared" si="2"/>
        <v>1</v>
      </c>
      <c r="H1934" s="1" t="str">
        <f t="shared" si="3"/>
        <v>Currently Unavailable</v>
      </c>
      <c r="I1934" s="1" t="str">
        <f t="shared" si="4"/>
        <v>No Badges</v>
      </c>
      <c r="J1934" s="3">
        <f t="shared" si="5"/>
        <v>0</v>
      </c>
    </row>
    <row r="1935">
      <c r="A1935" s="1" t="s">
        <v>40</v>
      </c>
      <c r="B1935" s="3" t="str">
        <f t="shared" si="1"/>
        <v>Unavailable</v>
      </c>
      <c r="C1935" s="3">
        <v>171.0</v>
      </c>
      <c r="D1935" s="3">
        <f>IFERROR(__xludf.DUMMYFUNCTION("IFERROR(
IF(REGEXMATCH(LOWER(O1935),""k""),
VALUE(REGEXEXTRACT(O1935,""[0-9]+""))*1000,
VALUE(REGEXEXTRACT(O1935,""[0-9]+""))
),
0
)"),0.0)</f>
        <v>0</v>
      </c>
      <c r="E1935" s="1" t="s">
        <v>11</v>
      </c>
      <c r="F1935" s="1" t="s">
        <v>12</v>
      </c>
      <c r="G1935" s="4" t="b">
        <f t="shared" si="2"/>
        <v>1</v>
      </c>
      <c r="H1935" s="1" t="str">
        <f t="shared" si="3"/>
        <v>Currently Unavailable</v>
      </c>
      <c r="I1935" s="1" t="str">
        <f t="shared" si="4"/>
        <v>No Badges</v>
      </c>
      <c r="J1935" s="3">
        <f t="shared" si="5"/>
        <v>0</v>
      </c>
    </row>
    <row r="1936">
      <c r="A1936" s="1" t="s">
        <v>88</v>
      </c>
      <c r="B1936" s="3" t="str">
        <f t="shared" si="1"/>
        <v>Unavailable</v>
      </c>
      <c r="C1936" s="3">
        <v>5.0</v>
      </c>
      <c r="D1936" s="3">
        <f>IFERROR(__xludf.DUMMYFUNCTION("IFERROR(
IF(REGEXMATCH(LOWER(O1936),""k""),
VALUE(REGEXEXTRACT(O1936,""[0-9]+""))*1000,
VALUE(REGEXEXTRACT(O1936,""[0-9]+""))
),
0
)"),0.0)</f>
        <v>0</v>
      </c>
      <c r="E1936" s="1" t="s">
        <v>11</v>
      </c>
      <c r="F1936" s="1" t="s">
        <v>12</v>
      </c>
      <c r="G1936" s="4" t="b">
        <f t="shared" si="2"/>
        <v>1</v>
      </c>
      <c r="H1936" s="1" t="str">
        <f t="shared" si="3"/>
        <v>Currently Unavailable</v>
      </c>
      <c r="I1936" s="1" t="str">
        <f t="shared" si="4"/>
        <v>No Badges</v>
      </c>
      <c r="J1936" s="3">
        <f t="shared" si="5"/>
        <v>0</v>
      </c>
    </row>
    <row r="1937">
      <c r="A1937" s="1" t="s">
        <v>1599</v>
      </c>
      <c r="B1937" s="3" t="str">
        <f t="shared" si="1"/>
        <v>Unavailable</v>
      </c>
      <c r="C1937" s="3">
        <v>426.0</v>
      </c>
      <c r="D1937" s="3">
        <f>IFERROR(__xludf.DUMMYFUNCTION("IFERROR(
IF(REGEXMATCH(LOWER(O1937),""k""),
VALUE(REGEXEXTRACT(O1937,""[0-9]+""))*1000,
VALUE(REGEXEXTRACT(O1937,""[0-9]+""))
),
0
)"),0.0)</f>
        <v>0</v>
      </c>
      <c r="E1937" s="1" t="s">
        <v>11</v>
      </c>
      <c r="F1937" s="1" t="s">
        <v>20</v>
      </c>
      <c r="G1937" s="4" t="b">
        <f t="shared" si="2"/>
        <v>1</v>
      </c>
      <c r="H1937" s="1" t="str">
        <f t="shared" si="3"/>
        <v>Currently Unavailable</v>
      </c>
      <c r="I1937" s="1" t="str">
        <f t="shared" si="4"/>
        <v>No Badges</v>
      </c>
      <c r="J1937" s="3">
        <f t="shared" si="5"/>
        <v>0</v>
      </c>
    </row>
    <row r="1938">
      <c r="A1938" s="1" t="s">
        <v>1600</v>
      </c>
      <c r="B1938" s="3" t="str">
        <f t="shared" si="1"/>
        <v>Unavailable</v>
      </c>
      <c r="C1938" s="5">
        <v>4527.0</v>
      </c>
      <c r="D1938" s="3">
        <f>IFERROR(__xludf.DUMMYFUNCTION("IFERROR(
IF(REGEXMATCH(LOWER(O1938),""k""),
VALUE(REGEXEXTRACT(O1938,""[0-9]+""))*1000,
VALUE(REGEXEXTRACT(O1938,""[0-9]+""))
),
0
)"),0.0)</f>
        <v>0</v>
      </c>
      <c r="E1938" s="1" t="s">
        <v>11</v>
      </c>
      <c r="F1938" s="1" t="s">
        <v>20</v>
      </c>
      <c r="G1938" s="4" t="b">
        <f t="shared" si="2"/>
        <v>1</v>
      </c>
      <c r="H1938" s="1" t="str">
        <f t="shared" si="3"/>
        <v>Currently Unavailable</v>
      </c>
      <c r="I1938" s="1" t="str">
        <f t="shared" si="4"/>
        <v>No Badges</v>
      </c>
      <c r="J1938" s="3">
        <f t="shared" si="5"/>
        <v>0</v>
      </c>
    </row>
    <row r="1939">
      <c r="A1939" s="1" t="s">
        <v>1601</v>
      </c>
      <c r="B1939" s="3" t="str">
        <f t="shared" si="1"/>
        <v>Unavailable</v>
      </c>
      <c r="C1939" s="5">
        <v>1030.0</v>
      </c>
      <c r="D1939" s="3">
        <f>IFERROR(__xludf.DUMMYFUNCTION("IFERROR(
IF(REGEXMATCH(LOWER(O1939),""k""),
VALUE(REGEXEXTRACT(O1939,""[0-9]+""))*1000,
VALUE(REGEXEXTRACT(O1939,""[0-9]+""))
),
0
)"),0.0)</f>
        <v>0</v>
      </c>
      <c r="E1939" s="1" t="s">
        <v>11</v>
      </c>
      <c r="F1939" s="1" t="s">
        <v>20</v>
      </c>
      <c r="G1939" s="4" t="b">
        <f t="shared" si="2"/>
        <v>1</v>
      </c>
      <c r="H1939" s="1" t="str">
        <f t="shared" si="3"/>
        <v>Currently Unavailable</v>
      </c>
      <c r="I1939" s="1" t="str">
        <f t="shared" si="4"/>
        <v>No Badges</v>
      </c>
      <c r="J1939" s="3">
        <f t="shared" si="5"/>
        <v>0</v>
      </c>
    </row>
    <row r="1940">
      <c r="A1940" s="1" t="s">
        <v>1602</v>
      </c>
      <c r="B1940" s="3" t="str">
        <f t="shared" si="1"/>
        <v>Unavailable</v>
      </c>
      <c r="C1940" s="5">
        <v>2585.0</v>
      </c>
      <c r="D1940" s="3">
        <f>IFERROR(__xludf.DUMMYFUNCTION("IFERROR(
IF(REGEXMATCH(LOWER(O1940),""k""),
VALUE(REGEXEXTRACT(O1940,""[0-9]+""))*1000,
VALUE(REGEXEXTRACT(O1940,""[0-9]+""))
),
0
)"),0.0)</f>
        <v>0</v>
      </c>
      <c r="E1940" s="1" t="s">
        <v>11</v>
      </c>
      <c r="F1940" s="1" t="s">
        <v>20</v>
      </c>
      <c r="G1940" s="4" t="b">
        <f t="shared" si="2"/>
        <v>1</v>
      </c>
      <c r="H1940" s="1" t="str">
        <f t="shared" si="3"/>
        <v>Currently Unavailable</v>
      </c>
      <c r="I1940" s="1" t="str">
        <f t="shared" si="4"/>
        <v>No Badges</v>
      </c>
      <c r="J1940" s="3">
        <f t="shared" si="5"/>
        <v>0</v>
      </c>
    </row>
    <row r="1941">
      <c r="A1941" s="1" t="s">
        <v>1285</v>
      </c>
      <c r="B1941" s="3" t="str">
        <f t="shared" si="1"/>
        <v>Unavailable</v>
      </c>
      <c r="C1941" s="5">
        <v>3520.0</v>
      </c>
      <c r="D1941" s="3">
        <f>IFERROR(__xludf.DUMMYFUNCTION("IFERROR(
IF(REGEXMATCH(LOWER(O1941),""k""),
VALUE(REGEXEXTRACT(O1941,""[0-9]+""))*1000,
VALUE(REGEXEXTRACT(O1941,""[0-9]+""))
),
0
)"),0.0)</f>
        <v>0</v>
      </c>
      <c r="E1941" s="1" t="s">
        <v>11</v>
      </c>
      <c r="F1941" s="1" t="s">
        <v>12</v>
      </c>
      <c r="G1941" s="4" t="b">
        <f t="shared" si="2"/>
        <v>1</v>
      </c>
      <c r="H1941" s="1" t="str">
        <f t="shared" si="3"/>
        <v>Currently Unavailable</v>
      </c>
      <c r="I1941" s="1" t="str">
        <f t="shared" si="4"/>
        <v>No Badges</v>
      </c>
      <c r="J1941" s="3">
        <f t="shared" si="5"/>
        <v>0</v>
      </c>
    </row>
    <row r="1942">
      <c r="A1942" s="1" t="s">
        <v>1284</v>
      </c>
      <c r="B1942" s="3" t="str">
        <f t="shared" si="1"/>
        <v>Unavailable</v>
      </c>
      <c r="C1942" s="3">
        <v>172.0</v>
      </c>
      <c r="D1942" s="3">
        <f>IFERROR(__xludf.DUMMYFUNCTION("IFERROR(
IF(REGEXMATCH(LOWER(O1942),""k""),
VALUE(REGEXEXTRACT(O1942,""[0-9]+""))*1000,
VALUE(REGEXEXTRACT(O1942,""[0-9]+""))
),
0
)"),0.0)</f>
        <v>0</v>
      </c>
      <c r="E1942" s="1" t="s">
        <v>11</v>
      </c>
      <c r="F1942" s="1" t="s">
        <v>12</v>
      </c>
      <c r="G1942" s="4" t="b">
        <f t="shared" si="2"/>
        <v>1</v>
      </c>
      <c r="H1942" s="1" t="str">
        <f t="shared" si="3"/>
        <v>Currently Unavailable</v>
      </c>
      <c r="I1942" s="1" t="str">
        <f t="shared" si="4"/>
        <v>No Badges</v>
      </c>
      <c r="J1942" s="3">
        <f t="shared" si="5"/>
        <v>0</v>
      </c>
    </row>
    <row r="1943">
      <c r="A1943" s="1" t="s">
        <v>1603</v>
      </c>
      <c r="B1943" s="3" t="str">
        <f t="shared" si="1"/>
        <v>Unavailable</v>
      </c>
      <c r="C1943" s="5">
        <v>7024.0</v>
      </c>
      <c r="D1943" s="3">
        <f>IFERROR(__xludf.DUMMYFUNCTION("IFERROR(
IF(REGEXMATCH(LOWER(O1943),""k""),
VALUE(REGEXEXTRACT(O1943,""[0-9]+""))*1000,
VALUE(REGEXEXTRACT(O1943,""[0-9]+""))
),
0
)"),0.0)</f>
        <v>0</v>
      </c>
      <c r="E1943" s="1" t="s">
        <v>11</v>
      </c>
      <c r="F1943" s="1" t="s">
        <v>20</v>
      </c>
      <c r="G1943" s="4" t="b">
        <f t="shared" si="2"/>
        <v>1</v>
      </c>
      <c r="H1943" s="1" t="str">
        <f t="shared" si="3"/>
        <v>Currently Unavailable</v>
      </c>
      <c r="I1943" s="1" t="str">
        <f t="shared" si="4"/>
        <v>No Badges</v>
      </c>
      <c r="J1943" s="3">
        <f t="shared" si="5"/>
        <v>0</v>
      </c>
    </row>
    <row r="1944">
      <c r="A1944" s="1" t="s">
        <v>1604</v>
      </c>
      <c r="B1944" s="3" t="str">
        <f t="shared" si="1"/>
        <v>Unavailable</v>
      </c>
      <c r="C1944" s="3">
        <v>576.0</v>
      </c>
      <c r="D1944" s="3">
        <f>IFERROR(__xludf.DUMMYFUNCTION("IFERROR(
IF(REGEXMATCH(LOWER(O1944),""k""),
VALUE(REGEXEXTRACT(O1944,""[0-9]+""))*1000,
VALUE(REGEXEXTRACT(O1944,""[0-9]+""))
),
0
)"),0.0)</f>
        <v>0</v>
      </c>
      <c r="E1944" s="1" t="s">
        <v>11</v>
      </c>
      <c r="F1944" s="1" t="s">
        <v>20</v>
      </c>
      <c r="G1944" s="4" t="b">
        <f t="shared" si="2"/>
        <v>1</v>
      </c>
      <c r="H1944" s="1" t="str">
        <f t="shared" si="3"/>
        <v>Currently Unavailable</v>
      </c>
      <c r="I1944" s="1" t="str">
        <f t="shared" si="4"/>
        <v>No Badges</v>
      </c>
      <c r="J1944" s="3">
        <f t="shared" si="5"/>
        <v>0</v>
      </c>
    </row>
    <row r="1945">
      <c r="A1945" s="1" t="s">
        <v>1605</v>
      </c>
      <c r="B1945" s="3" t="str">
        <f t="shared" si="1"/>
        <v>Unavailable</v>
      </c>
      <c r="C1945" s="5">
        <v>18017.0</v>
      </c>
      <c r="D1945" s="3">
        <f>IFERROR(__xludf.DUMMYFUNCTION("IFERROR(
IF(REGEXMATCH(LOWER(O1945),""k""),
VALUE(REGEXEXTRACT(O1945,""[0-9]+""))*1000,
VALUE(REGEXEXTRACT(O1945,""[0-9]+""))
),
0
)"),0.0)</f>
        <v>0</v>
      </c>
      <c r="E1945" s="1" t="s">
        <v>18</v>
      </c>
      <c r="F1945" s="1" t="s">
        <v>20</v>
      </c>
      <c r="G1945" s="4" t="b">
        <f t="shared" si="2"/>
        <v>1</v>
      </c>
      <c r="H1945" s="1" t="str">
        <f t="shared" si="3"/>
        <v>Currently Unavailable</v>
      </c>
      <c r="I1945" s="1" t="str">
        <f t="shared" si="4"/>
        <v>No Badges</v>
      </c>
      <c r="J1945" s="3">
        <f t="shared" si="5"/>
        <v>0</v>
      </c>
    </row>
    <row r="1946">
      <c r="A1946" s="1" t="s">
        <v>1606</v>
      </c>
      <c r="B1946" s="3" t="str">
        <f t="shared" si="1"/>
        <v>Unavailable</v>
      </c>
      <c r="C1946" s="5">
        <v>3595.0</v>
      </c>
      <c r="D1946" s="3">
        <f>IFERROR(__xludf.DUMMYFUNCTION("IFERROR(
IF(REGEXMATCH(LOWER(O1946),""k""),
VALUE(REGEXEXTRACT(O1946,""[0-9]+""))*1000,
VALUE(REGEXEXTRACT(O1946,""[0-9]+""))
),
0
)"),0.0)</f>
        <v>0</v>
      </c>
      <c r="E1946" s="1" t="s">
        <v>11</v>
      </c>
      <c r="F1946" s="1" t="s">
        <v>20</v>
      </c>
      <c r="G1946" s="4" t="b">
        <f t="shared" si="2"/>
        <v>1</v>
      </c>
      <c r="H1946" s="1" t="str">
        <f t="shared" si="3"/>
        <v>Currently Unavailable</v>
      </c>
      <c r="I1946" s="1" t="str">
        <f t="shared" si="4"/>
        <v>No Badges</v>
      </c>
      <c r="J1946" s="3">
        <f t="shared" si="5"/>
        <v>0</v>
      </c>
    </row>
    <row r="1947">
      <c r="A1947" s="1" t="s">
        <v>1607</v>
      </c>
      <c r="B1947" s="3" t="str">
        <f t="shared" si="1"/>
        <v>Unavailable</v>
      </c>
      <c r="C1947" s="5">
        <v>9288.0</v>
      </c>
      <c r="D1947" s="3">
        <f>IFERROR(__xludf.DUMMYFUNCTION("IFERROR(
IF(REGEXMATCH(LOWER(O1947),""k""),
VALUE(REGEXEXTRACT(O1947,""[0-9]+""))*1000,
VALUE(REGEXEXTRACT(O1947,""[0-9]+""))
),
0
)"),0.0)</f>
        <v>0</v>
      </c>
      <c r="E1947" s="1" t="s">
        <v>158</v>
      </c>
      <c r="F1947" s="1" t="s">
        <v>20</v>
      </c>
      <c r="G1947" s="4" t="b">
        <f t="shared" si="2"/>
        <v>1</v>
      </c>
      <c r="H1947" s="1" t="str">
        <f t="shared" si="3"/>
        <v>Currently Unavailable</v>
      </c>
      <c r="I1947" s="1" t="str">
        <f t="shared" si="4"/>
        <v>No Badges</v>
      </c>
      <c r="J1947" s="3">
        <f t="shared" si="5"/>
        <v>0</v>
      </c>
    </row>
    <row r="1948">
      <c r="A1948" s="1" t="s">
        <v>1608</v>
      </c>
      <c r="B1948" s="3" t="str">
        <f t="shared" si="1"/>
        <v>Unavailable</v>
      </c>
      <c r="C1948" s="3">
        <v>209.0</v>
      </c>
      <c r="D1948" s="3">
        <f>IFERROR(__xludf.DUMMYFUNCTION("IFERROR(
IF(REGEXMATCH(LOWER(O1948),""k""),
VALUE(REGEXEXTRACT(O1948,""[0-9]+""))*1000,
VALUE(REGEXEXTRACT(O1948,""[0-9]+""))
),
0
)"),0.0)</f>
        <v>0</v>
      </c>
      <c r="E1948" s="1" t="s">
        <v>11</v>
      </c>
      <c r="F1948" s="1" t="s">
        <v>20</v>
      </c>
      <c r="G1948" s="4" t="b">
        <f t="shared" si="2"/>
        <v>1</v>
      </c>
      <c r="H1948" s="1" t="str">
        <f t="shared" si="3"/>
        <v>Currently Unavailable</v>
      </c>
      <c r="I1948" s="1" t="str">
        <f t="shared" si="4"/>
        <v>No Badges</v>
      </c>
      <c r="J1948" s="3">
        <f t="shared" si="5"/>
        <v>0</v>
      </c>
    </row>
    <row r="1949">
      <c r="A1949" s="1" t="s">
        <v>1609</v>
      </c>
      <c r="B1949" s="3" t="str">
        <f t="shared" si="1"/>
        <v>Unavailable</v>
      </c>
      <c r="C1949" s="5">
        <v>2815.0</v>
      </c>
      <c r="D1949" s="3">
        <f>IFERROR(__xludf.DUMMYFUNCTION("IFERROR(
IF(REGEXMATCH(LOWER(O1949),""k""),
VALUE(REGEXEXTRACT(O1949,""[0-9]+""))*1000,
VALUE(REGEXEXTRACT(O1949,""[0-9]+""))
),
0
)"),0.0)</f>
        <v>0</v>
      </c>
      <c r="E1949" s="1" t="s">
        <v>11</v>
      </c>
      <c r="F1949" s="1" t="s">
        <v>20</v>
      </c>
      <c r="G1949" s="4" t="b">
        <f t="shared" si="2"/>
        <v>1</v>
      </c>
      <c r="H1949" s="1" t="str">
        <f t="shared" si="3"/>
        <v>Currently Unavailable</v>
      </c>
      <c r="I1949" s="1" t="str">
        <f t="shared" si="4"/>
        <v>No Badges</v>
      </c>
      <c r="J1949" s="3">
        <f t="shared" si="5"/>
        <v>0</v>
      </c>
    </row>
    <row r="1950">
      <c r="A1950" s="1" t="s">
        <v>1610</v>
      </c>
      <c r="B1950" s="3" t="str">
        <f t="shared" si="1"/>
        <v>Unavailable</v>
      </c>
      <c r="C1950" s="3">
        <v>288.0</v>
      </c>
      <c r="D1950" s="3">
        <f>IFERROR(__xludf.DUMMYFUNCTION("IFERROR(
IF(REGEXMATCH(LOWER(O1950),""k""),
VALUE(REGEXEXTRACT(O1950,""[0-9]+""))*1000,
VALUE(REGEXEXTRACT(O1950,""[0-9]+""))
),
0
)"),0.0)</f>
        <v>0</v>
      </c>
      <c r="E1950" s="1" t="s">
        <v>11</v>
      </c>
      <c r="F1950" s="1" t="s">
        <v>20</v>
      </c>
      <c r="G1950" s="4" t="b">
        <f t="shared" si="2"/>
        <v>1</v>
      </c>
      <c r="H1950" s="1" t="str">
        <f t="shared" si="3"/>
        <v>Currently Unavailable</v>
      </c>
      <c r="I1950" s="1" t="str">
        <f t="shared" si="4"/>
        <v>No Badges</v>
      </c>
      <c r="J1950" s="3">
        <f t="shared" si="5"/>
        <v>0</v>
      </c>
    </row>
    <row r="1951">
      <c r="A1951" s="1" t="s">
        <v>1611</v>
      </c>
      <c r="B1951" s="3" t="str">
        <f t="shared" si="1"/>
        <v>Unavailable</v>
      </c>
      <c r="C1951" s="5">
        <v>2965.0</v>
      </c>
      <c r="D1951" s="3">
        <f>IFERROR(__xludf.DUMMYFUNCTION("IFERROR(
IF(REGEXMATCH(LOWER(O1951),""k""),
VALUE(REGEXEXTRACT(O1951,""[0-9]+""))*1000,
VALUE(REGEXEXTRACT(O1951,""[0-9]+""))
),
0
)"),0.0)</f>
        <v>0</v>
      </c>
      <c r="E1951" s="1" t="s">
        <v>11</v>
      </c>
      <c r="F1951" s="1" t="s">
        <v>20</v>
      </c>
      <c r="G1951" s="4" t="b">
        <f t="shared" si="2"/>
        <v>1</v>
      </c>
      <c r="H1951" s="1" t="str">
        <f t="shared" si="3"/>
        <v>Currently Unavailable</v>
      </c>
      <c r="I1951" s="1" t="str">
        <f t="shared" si="4"/>
        <v>No Badges</v>
      </c>
      <c r="J1951" s="3">
        <f t="shared" si="5"/>
        <v>0</v>
      </c>
    </row>
    <row r="1952">
      <c r="A1952" s="1" t="s">
        <v>69</v>
      </c>
      <c r="B1952" s="3" t="str">
        <f t="shared" si="1"/>
        <v>Unavailable</v>
      </c>
      <c r="C1952" s="3">
        <v>45.0</v>
      </c>
      <c r="D1952" s="3">
        <f>IFERROR(__xludf.DUMMYFUNCTION("IFERROR(
IF(REGEXMATCH(LOWER(O1952),""k""),
VALUE(REGEXEXTRACT(O1952,""[0-9]+""))*1000,
VALUE(REGEXEXTRACT(O1952,""[0-9]+""))
),
0
)"),0.0)</f>
        <v>0</v>
      </c>
      <c r="E1952" s="1" t="s">
        <v>11</v>
      </c>
      <c r="F1952" s="1" t="s">
        <v>12</v>
      </c>
      <c r="G1952" s="4" t="b">
        <f t="shared" si="2"/>
        <v>1</v>
      </c>
      <c r="H1952" s="1" t="str">
        <f t="shared" si="3"/>
        <v>Currently Unavailable</v>
      </c>
      <c r="I1952" s="1" t="str">
        <f t="shared" si="4"/>
        <v>No Badges</v>
      </c>
      <c r="J1952" s="3">
        <f t="shared" si="5"/>
        <v>0</v>
      </c>
    </row>
    <row r="1953">
      <c r="A1953" s="1" t="s">
        <v>67</v>
      </c>
      <c r="B1953" s="3" t="str">
        <f t="shared" si="1"/>
        <v>Unavailable</v>
      </c>
      <c r="C1953" s="3">
        <v>264.0</v>
      </c>
      <c r="D1953" s="3">
        <f>IFERROR(__xludf.DUMMYFUNCTION("IFERROR(
IF(REGEXMATCH(LOWER(O1953),""k""),
VALUE(REGEXEXTRACT(O1953,""[0-9]+""))*1000,
VALUE(REGEXEXTRACT(O1953,""[0-9]+""))
),
0
)"),0.0)</f>
        <v>0</v>
      </c>
      <c r="E1953" s="1" t="s">
        <v>11</v>
      </c>
      <c r="F1953" s="1" t="s">
        <v>12</v>
      </c>
      <c r="G1953" s="4" t="b">
        <f t="shared" si="2"/>
        <v>1</v>
      </c>
      <c r="H1953" s="1" t="str">
        <f t="shared" si="3"/>
        <v>Currently Unavailable</v>
      </c>
      <c r="I1953" s="1" t="str">
        <f t="shared" si="4"/>
        <v>No Badges</v>
      </c>
      <c r="J1953" s="3">
        <f t="shared" si="5"/>
        <v>0</v>
      </c>
    </row>
    <row r="1954">
      <c r="A1954" s="1" t="s">
        <v>1612</v>
      </c>
      <c r="B1954" s="3" t="str">
        <f t="shared" si="1"/>
        <v>Unavailable</v>
      </c>
      <c r="C1954" s="3">
        <v>5.0</v>
      </c>
      <c r="D1954" s="3">
        <f>IFERROR(__xludf.DUMMYFUNCTION("IFERROR(
IF(REGEXMATCH(LOWER(O1954),""k""),
VALUE(REGEXEXTRACT(O1954,""[0-9]+""))*1000,
VALUE(REGEXEXTRACT(O1954,""[0-9]+""))
),
0
)"),0.0)</f>
        <v>0</v>
      </c>
      <c r="E1954" s="1" t="s">
        <v>11</v>
      </c>
      <c r="F1954" s="1" t="s">
        <v>12</v>
      </c>
      <c r="G1954" s="4" t="b">
        <f t="shared" si="2"/>
        <v>1</v>
      </c>
      <c r="H1954" s="1" t="str">
        <f t="shared" si="3"/>
        <v>Currently Unavailable</v>
      </c>
      <c r="I1954" s="1" t="str">
        <f t="shared" si="4"/>
        <v>No Badges</v>
      </c>
      <c r="J1954" s="3">
        <f t="shared" si="5"/>
        <v>0</v>
      </c>
    </row>
    <row r="1955">
      <c r="A1955" s="1" t="s">
        <v>1613</v>
      </c>
      <c r="B1955" s="3" t="str">
        <f t="shared" si="1"/>
        <v>Unavailable</v>
      </c>
      <c r="C1955" s="5">
        <v>1527.0</v>
      </c>
      <c r="D1955" s="3">
        <f>IFERROR(__xludf.DUMMYFUNCTION("IFERROR(
IF(REGEXMATCH(LOWER(O1955),""k""),
VALUE(REGEXEXTRACT(O1955,""[0-9]+""))*1000,
VALUE(REGEXEXTRACT(O1955,""[0-9]+""))
),
0
)"),0.0)</f>
        <v>0</v>
      </c>
      <c r="E1955" s="1" t="s">
        <v>11</v>
      </c>
      <c r="F1955" s="1" t="s">
        <v>20</v>
      </c>
      <c r="G1955" s="4" t="b">
        <f t="shared" si="2"/>
        <v>1</v>
      </c>
      <c r="H1955" s="1" t="str">
        <f t="shared" si="3"/>
        <v>Currently Unavailable</v>
      </c>
      <c r="I1955" s="1" t="str">
        <f t="shared" si="4"/>
        <v>No Badges</v>
      </c>
      <c r="J1955" s="3">
        <f t="shared" si="5"/>
        <v>0</v>
      </c>
    </row>
    <row r="1956">
      <c r="A1956" s="1" t="s">
        <v>1284</v>
      </c>
      <c r="B1956" s="3" t="str">
        <f t="shared" si="1"/>
        <v>Unavailable</v>
      </c>
      <c r="C1956" s="3">
        <v>172.0</v>
      </c>
      <c r="D1956" s="3">
        <f>IFERROR(__xludf.DUMMYFUNCTION("IFERROR(
IF(REGEXMATCH(LOWER(O1956),""k""),
VALUE(REGEXEXTRACT(O1956,""[0-9]+""))*1000,
VALUE(REGEXEXTRACT(O1956,""[0-9]+""))
),
0
)"),0.0)</f>
        <v>0</v>
      </c>
      <c r="E1956" s="1" t="s">
        <v>11</v>
      </c>
      <c r="F1956" s="1" t="s">
        <v>12</v>
      </c>
      <c r="G1956" s="4" t="b">
        <f t="shared" si="2"/>
        <v>1</v>
      </c>
      <c r="H1956" s="1" t="str">
        <f t="shared" si="3"/>
        <v>Currently Unavailable</v>
      </c>
      <c r="I1956" s="1" t="str">
        <f t="shared" si="4"/>
        <v>No Badges</v>
      </c>
      <c r="J1956" s="3">
        <f t="shared" si="5"/>
        <v>0</v>
      </c>
    </row>
    <row r="1957">
      <c r="A1957" s="1" t="s">
        <v>1614</v>
      </c>
      <c r="B1957" s="3" t="str">
        <f t="shared" si="1"/>
        <v>Unavailable</v>
      </c>
      <c r="C1957" s="3">
        <v>774.0</v>
      </c>
      <c r="D1957" s="3">
        <f>IFERROR(__xludf.DUMMYFUNCTION("IFERROR(
IF(REGEXMATCH(LOWER(O1957),""k""),
VALUE(REGEXEXTRACT(O1957,""[0-9]+""))*1000,
VALUE(REGEXEXTRACT(O1957,""[0-9]+""))
),
0
)"),0.0)</f>
        <v>0</v>
      </c>
      <c r="E1957" s="1" t="s">
        <v>11</v>
      </c>
      <c r="F1957" s="1" t="s">
        <v>20</v>
      </c>
      <c r="G1957" s="4" t="b">
        <f t="shared" si="2"/>
        <v>1</v>
      </c>
      <c r="H1957" s="1" t="str">
        <f t="shared" si="3"/>
        <v>Currently Unavailable</v>
      </c>
      <c r="I1957" s="1" t="str">
        <f t="shared" si="4"/>
        <v>No Badges</v>
      </c>
      <c r="J1957" s="3">
        <f t="shared" si="5"/>
        <v>0</v>
      </c>
    </row>
    <row r="1958">
      <c r="A1958" s="1" t="s">
        <v>1615</v>
      </c>
      <c r="B1958" s="3" t="str">
        <f t="shared" si="1"/>
        <v>Unavailable</v>
      </c>
      <c r="C1958" s="3">
        <v>895.0</v>
      </c>
      <c r="D1958" s="3">
        <f>IFERROR(__xludf.DUMMYFUNCTION("IFERROR(
IF(REGEXMATCH(LOWER(O1958),""k""),
VALUE(REGEXEXTRACT(O1958,""[0-9]+""))*1000,
VALUE(REGEXEXTRACT(O1958,""[0-9]+""))
),
0
)"),0.0)</f>
        <v>0</v>
      </c>
      <c r="E1958" s="1" t="s">
        <v>11</v>
      </c>
      <c r="F1958" s="1" t="s">
        <v>20</v>
      </c>
      <c r="G1958" s="4" t="b">
        <f t="shared" si="2"/>
        <v>1</v>
      </c>
      <c r="H1958" s="1" t="str">
        <f t="shared" si="3"/>
        <v>Currently Unavailable</v>
      </c>
      <c r="I1958" s="1" t="str">
        <f t="shared" si="4"/>
        <v>No Badges</v>
      </c>
      <c r="J1958" s="3">
        <f t="shared" si="5"/>
        <v>0</v>
      </c>
    </row>
    <row r="1959">
      <c r="A1959" s="1" t="s">
        <v>1616</v>
      </c>
      <c r="B1959" s="3" t="str">
        <f t="shared" si="1"/>
        <v>Unavailable</v>
      </c>
      <c r="C1959" s="5">
        <v>1575.0</v>
      </c>
      <c r="D1959" s="3">
        <f>IFERROR(__xludf.DUMMYFUNCTION("IFERROR(
IF(REGEXMATCH(LOWER(O1959),""k""),
VALUE(REGEXEXTRACT(O1959,""[0-9]+""))*1000,
VALUE(REGEXEXTRACT(O1959,""[0-9]+""))
),
0
)"),0.0)</f>
        <v>0</v>
      </c>
      <c r="E1959" s="1" t="s">
        <v>11</v>
      </c>
      <c r="F1959" s="1" t="s">
        <v>20</v>
      </c>
      <c r="G1959" s="4" t="b">
        <f t="shared" si="2"/>
        <v>1</v>
      </c>
      <c r="H1959" s="1" t="str">
        <f t="shared" si="3"/>
        <v>Currently Unavailable</v>
      </c>
      <c r="I1959" s="1" t="str">
        <f t="shared" si="4"/>
        <v>No Badges</v>
      </c>
      <c r="J1959" s="3">
        <f t="shared" si="5"/>
        <v>0</v>
      </c>
    </row>
    <row r="1960">
      <c r="A1960" s="1" t="s">
        <v>1617</v>
      </c>
      <c r="B1960" s="3" t="str">
        <f t="shared" si="1"/>
        <v>Unavailable</v>
      </c>
      <c r="C1960" s="3">
        <v>748.0</v>
      </c>
      <c r="D1960" s="3">
        <f>IFERROR(__xludf.DUMMYFUNCTION("IFERROR(
IF(REGEXMATCH(LOWER(O1960),""k""),
VALUE(REGEXEXTRACT(O1960,""[0-9]+""))*1000,
VALUE(REGEXEXTRACT(O1960,""[0-9]+""))
),
0
)"),0.0)</f>
        <v>0</v>
      </c>
      <c r="E1960" s="1" t="s">
        <v>11</v>
      </c>
      <c r="F1960" s="1" t="s">
        <v>20</v>
      </c>
      <c r="G1960" s="4" t="b">
        <f t="shared" si="2"/>
        <v>1</v>
      </c>
      <c r="H1960" s="1" t="str">
        <f t="shared" si="3"/>
        <v>Currently Unavailable</v>
      </c>
      <c r="I1960" s="1" t="str">
        <f t="shared" si="4"/>
        <v>No Badges</v>
      </c>
      <c r="J1960" s="3">
        <f t="shared" si="5"/>
        <v>0</v>
      </c>
    </row>
    <row r="1961">
      <c r="A1961" s="1" t="s">
        <v>1618</v>
      </c>
      <c r="B1961" s="3" t="str">
        <f t="shared" si="1"/>
        <v>Unavailable</v>
      </c>
      <c r="C1961" s="5">
        <v>24671.0</v>
      </c>
      <c r="D1961" s="3">
        <f>IFERROR(__xludf.DUMMYFUNCTION("IFERROR(
IF(REGEXMATCH(LOWER(O1961),""k""),
VALUE(REGEXEXTRACT(O1961,""[0-9]+""))*1000,
VALUE(REGEXEXTRACT(O1961,""[0-9]+""))
),
0
)"),0.0)</f>
        <v>0</v>
      </c>
      <c r="E1961" s="1" t="s">
        <v>11</v>
      </c>
      <c r="F1961" s="1" t="s">
        <v>20</v>
      </c>
      <c r="G1961" s="4" t="b">
        <f t="shared" si="2"/>
        <v>1</v>
      </c>
      <c r="H1961" s="1" t="str">
        <f t="shared" si="3"/>
        <v>Currently Unavailable</v>
      </c>
      <c r="I1961" s="1" t="str">
        <f t="shared" si="4"/>
        <v>No Badges</v>
      </c>
      <c r="J1961" s="3">
        <f t="shared" si="5"/>
        <v>0</v>
      </c>
    </row>
    <row r="1962">
      <c r="A1962" s="1" t="s">
        <v>1285</v>
      </c>
      <c r="B1962" s="3" t="str">
        <f t="shared" si="1"/>
        <v>Unavailable</v>
      </c>
      <c r="C1962" s="5">
        <v>3520.0</v>
      </c>
      <c r="D1962" s="3">
        <f>IFERROR(__xludf.DUMMYFUNCTION("IFERROR(
IF(REGEXMATCH(LOWER(O1962),""k""),
VALUE(REGEXEXTRACT(O1962,""[0-9]+""))*1000,
VALUE(REGEXEXTRACT(O1962,""[0-9]+""))
),
0
)"),0.0)</f>
        <v>0</v>
      </c>
      <c r="E1962" s="1" t="s">
        <v>11</v>
      </c>
      <c r="F1962" s="1" t="s">
        <v>12</v>
      </c>
      <c r="G1962" s="4" t="b">
        <f t="shared" si="2"/>
        <v>1</v>
      </c>
      <c r="H1962" s="1" t="str">
        <f t="shared" si="3"/>
        <v>Currently Unavailable</v>
      </c>
      <c r="I1962" s="1" t="str">
        <f t="shared" si="4"/>
        <v>No Badges</v>
      </c>
      <c r="J1962" s="3">
        <f t="shared" si="5"/>
        <v>0</v>
      </c>
    </row>
    <row r="1963">
      <c r="A1963" s="1" t="s">
        <v>1619</v>
      </c>
      <c r="B1963" s="3" t="str">
        <f t="shared" si="1"/>
        <v>Unavailable</v>
      </c>
      <c r="C1963" s="5">
        <v>2679.0</v>
      </c>
      <c r="D1963" s="3">
        <f>IFERROR(__xludf.DUMMYFUNCTION("IFERROR(
IF(REGEXMATCH(LOWER(O1963),""k""),
VALUE(REGEXEXTRACT(O1963,""[0-9]+""))*1000,
VALUE(REGEXEXTRACT(O1963,""[0-9]+""))
),
0
)"),0.0)</f>
        <v>0</v>
      </c>
      <c r="E1963" s="1" t="s">
        <v>11</v>
      </c>
      <c r="F1963" s="1" t="s">
        <v>20</v>
      </c>
      <c r="G1963" s="4" t="b">
        <f t="shared" si="2"/>
        <v>1</v>
      </c>
      <c r="H1963" s="1" t="str">
        <f t="shared" si="3"/>
        <v>Currently Unavailable</v>
      </c>
      <c r="I1963" s="1" t="str">
        <f t="shared" si="4"/>
        <v>No Badges</v>
      </c>
      <c r="J1963" s="3">
        <f t="shared" si="5"/>
        <v>0</v>
      </c>
    </row>
    <row r="1964">
      <c r="A1964" s="1" t="s">
        <v>1620</v>
      </c>
      <c r="B1964" s="3" t="str">
        <f t="shared" si="1"/>
        <v>Unavailable</v>
      </c>
      <c r="C1964" s="3">
        <v>583.0</v>
      </c>
      <c r="D1964" s="3">
        <f>IFERROR(__xludf.DUMMYFUNCTION("IFERROR(
IF(REGEXMATCH(LOWER(O1964),""k""),
VALUE(REGEXEXTRACT(O1964,""[0-9]+""))*1000,
VALUE(REGEXEXTRACT(O1964,""[0-9]+""))
),
0
)"),0.0)</f>
        <v>0</v>
      </c>
      <c r="E1964" s="1" t="s">
        <v>11</v>
      </c>
      <c r="F1964" s="1" t="s">
        <v>20</v>
      </c>
      <c r="G1964" s="4" t="b">
        <f t="shared" si="2"/>
        <v>1</v>
      </c>
      <c r="H1964" s="1" t="str">
        <f t="shared" si="3"/>
        <v>Currently Unavailable</v>
      </c>
      <c r="I1964" s="1" t="str">
        <f t="shared" si="4"/>
        <v>No Badges</v>
      </c>
      <c r="J1964" s="3">
        <f t="shared" si="5"/>
        <v>0</v>
      </c>
    </row>
    <row r="1965">
      <c r="A1965" s="1" t="s">
        <v>1621</v>
      </c>
      <c r="B1965" s="3" t="str">
        <f t="shared" si="1"/>
        <v>Unavailable</v>
      </c>
      <c r="C1965" s="5">
        <v>6650.0</v>
      </c>
      <c r="D1965" s="3">
        <f>IFERROR(__xludf.DUMMYFUNCTION("IFERROR(
IF(REGEXMATCH(LOWER(O1965),""k""),
VALUE(REGEXEXTRACT(O1965,""[0-9]+""))*1000,
VALUE(REGEXEXTRACT(O1965,""[0-9]+""))
),
0
)"),0.0)</f>
        <v>0</v>
      </c>
      <c r="E1965" s="1" t="s">
        <v>11</v>
      </c>
      <c r="F1965" s="1" t="s">
        <v>20</v>
      </c>
      <c r="G1965" s="4" t="b">
        <f t="shared" si="2"/>
        <v>1</v>
      </c>
      <c r="H1965" s="1" t="str">
        <f t="shared" si="3"/>
        <v>Currently Unavailable</v>
      </c>
      <c r="I1965" s="1" t="str">
        <f t="shared" si="4"/>
        <v>No Badges</v>
      </c>
      <c r="J1965" s="3">
        <f t="shared" si="5"/>
        <v>0</v>
      </c>
    </row>
    <row r="1966">
      <c r="A1966" s="1" t="s">
        <v>1284</v>
      </c>
      <c r="B1966" s="3" t="str">
        <f t="shared" si="1"/>
        <v>Unavailable</v>
      </c>
      <c r="C1966" s="3">
        <v>172.0</v>
      </c>
      <c r="D1966" s="3">
        <f>IFERROR(__xludf.DUMMYFUNCTION("IFERROR(
IF(REGEXMATCH(LOWER(O1966),""k""),
VALUE(REGEXEXTRACT(O1966,""[0-9]+""))*1000,
VALUE(REGEXEXTRACT(O1966,""[0-9]+""))
),
0
)"),0.0)</f>
        <v>0</v>
      </c>
      <c r="E1966" s="1" t="s">
        <v>11</v>
      </c>
      <c r="F1966" s="1" t="s">
        <v>12</v>
      </c>
      <c r="G1966" s="4" t="b">
        <f t="shared" si="2"/>
        <v>1</v>
      </c>
      <c r="H1966" s="1" t="str">
        <f t="shared" si="3"/>
        <v>Currently Unavailable</v>
      </c>
      <c r="I1966" s="1" t="str">
        <f t="shared" si="4"/>
        <v>No Badges</v>
      </c>
      <c r="J1966" s="3">
        <f t="shared" si="5"/>
        <v>0</v>
      </c>
    </row>
    <row r="1967">
      <c r="A1967" s="1" t="s">
        <v>1622</v>
      </c>
      <c r="B1967" s="3" t="str">
        <f t="shared" si="1"/>
        <v>Unavailable</v>
      </c>
      <c r="C1967" s="5">
        <v>1118.0</v>
      </c>
      <c r="D1967" s="3">
        <f>IFERROR(__xludf.DUMMYFUNCTION("IFERROR(
IF(REGEXMATCH(LOWER(O1967),""k""),
VALUE(REGEXEXTRACT(O1967,""[0-9]+""))*1000,
VALUE(REGEXEXTRACT(O1967,""[0-9]+""))
),
0
)"),0.0)</f>
        <v>0</v>
      </c>
      <c r="E1967" s="1" t="s">
        <v>11</v>
      </c>
      <c r="F1967" s="1" t="s">
        <v>20</v>
      </c>
      <c r="G1967" s="4" t="b">
        <f t="shared" si="2"/>
        <v>1</v>
      </c>
      <c r="H1967" s="1" t="str">
        <f t="shared" si="3"/>
        <v>Currently Unavailable</v>
      </c>
      <c r="I1967" s="1" t="str">
        <f t="shared" si="4"/>
        <v>No Badges</v>
      </c>
      <c r="J1967" s="3">
        <f t="shared" si="5"/>
        <v>0</v>
      </c>
    </row>
    <row r="1968">
      <c r="A1968" s="1" t="s">
        <v>1623</v>
      </c>
      <c r="B1968" s="3" t="str">
        <f t="shared" si="1"/>
        <v>Unavailable</v>
      </c>
      <c r="C1968" s="3">
        <v>326.0</v>
      </c>
      <c r="D1968" s="3">
        <f>IFERROR(__xludf.DUMMYFUNCTION("IFERROR(
IF(REGEXMATCH(LOWER(O1968),""k""),
VALUE(REGEXEXTRACT(O1968,""[0-9]+""))*1000,
VALUE(REGEXEXTRACT(O1968,""[0-9]+""))
),
0
)"),0.0)</f>
        <v>0</v>
      </c>
      <c r="E1968" s="1" t="s">
        <v>11</v>
      </c>
      <c r="F1968" s="1" t="s">
        <v>20</v>
      </c>
      <c r="G1968" s="4" t="b">
        <f t="shared" si="2"/>
        <v>1</v>
      </c>
      <c r="H1968" s="1" t="str">
        <f t="shared" si="3"/>
        <v>Currently Unavailable</v>
      </c>
      <c r="I1968" s="1" t="str">
        <f t="shared" si="4"/>
        <v>No Badges</v>
      </c>
      <c r="J1968" s="3">
        <f t="shared" si="5"/>
        <v>0</v>
      </c>
    </row>
    <row r="1969">
      <c r="A1969" s="1" t="s">
        <v>1624</v>
      </c>
      <c r="B1969" s="3" t="str">
        <f t="shared" si="1"/>
        <v>Unavailable</v>
      </c>
      <c r="C1969" s="3">
        <v>14.0</v>
      </c>
      <c r="D1969" s="3">
        <f>IFERROR(__xludf.DUMMYFUNCTION("IFERROR(
IF(REGEXMATCH(LOWER(O1969),""k""),
VALUE(REGEXEXTRACT(O1969,""[0-9]+""))*1000,
VALUE(REGEXEXTRACT(O1969,""[0-9]+""))
),
0
)"),0.0)</f>
        <v>0</v>
      </c>
      <c r="E1969" s="1" t="s">
        <v>11</v>
      </c>
      <c r="F1969" s="1" t="s">
        <v>12</v>
      </c>
      <c r="G1969" s="4" t="b">
        <f t="shared" si="2"/>
        <v>1</v>
      </c>
      <c r="H1969" s="1" t="str">
        <f t="shared" si="3"/>
        <v>Currently Unavailable</v>
      </c>
      <c r="I1969" s="1" t="str">
        <f t="shared" si="4"/>
        <v>No Badges</v>
      </c>
      <c r="J1969" s="3">
        <f t="shared" si="5"/>
        <v>0</v>
      </c>
    </row>
    <row r="1970">
      <c r="A1970" s="1" t="s">
        <v>1625</v>
      </c>
      <c r="B1970" s="3" t="str">
        <f t="shared" si="1"/>
        <v>Unavailable</v>
      </c>
      <c r="C1970" s="5">
        <v>25512.0</v>
      </c>
      <c r="D1970" s="3">
        <f>IFERROR(__xludf.DUMMYFUNCTION("IFERROR(
IF(REGEXMATCH(LOWER(O1970),""k""),
VALUE(REGEXEXTRACT(O1970,""[0-9]+""))*1000,
VALUE(REGEXEXTRACT(O1970,""[0-9]+""))
),
0
)"),0.0)</f>
        <v>0</v>
      </c>
      <c r="E1970" s="1" t="s">
        <v>11</v>
      </c>
      <c r="F1970" s="1" t="s">
        <v>20</v>
      </c>
      <c r="G1970" s="4" t="b">
        <f t="shared" si="2"/>
        <v>1</v>
      </c>
      <c r="H1970" s="1" t="str">
        <f t="shared" si="3"/>
        <v>Currently Unavailable</v>
      </c>
      <c r="I1970" s="1" t="str">
        <f t="shared" si="4"/>
        <v>No Badges</v>
      </c>
      <c r="J1970" s="3">
        <f t="shared" si="5"/>
        <v>0</v>
      </c>
    </row>
    <row r="1971">
      <c r="A1971" s="1" t="s">
        <v>1626</v>
      </c>
      <c r="B1971" s="3" t="str">
        <f t="shared" si="1"/>
        <v>Unavailable</v>
      </c>
      <c r="C1971" s="5">
        <v>42455.0</v>
      </c>
      <c r="D1971" s="3">
        <f>IFERROR(__xludf.DUMMYFUNCTION("IFERROR(
IF(REGEXMATCH(LOWER(O1971),""k""),
VALUE(REGEXEXTRACT(O1971,""[0-9]+""))*1000,
VALUE(REGEXEXTRACT(O1971,""[0-9]+""))
),
0
)"),0.0)</f>
        <v>0</v>
      </c>
      <c r="E1971" s="1" t="s">
        <v>11</v>
      </c>
      <c r="F1971" s="1" t="s">
        <v>20</v>
      </c>
      <c r="G1971" s="4" t="b">
        <f t="shared" si="2"/>
        <v>1</v>
      </c>
      <c r="H1971" s="1" t="str">
        <f t="shared" si="3"/>
        <v>Currently Unavailable</v>
      </c>
      <c r="I1971" s="1" t="str">
        <f t="shared" si="4"/>
        <v>No Badges</v>
      </c>
      <c r="J1971" s="3">
        <f t="shared" si="5"/>
        <v>0</v>
      </c>
    </row>
    <row r="1972">
      <c r="A1972" s="1" t="s">
        <v>69</v>
      </c>
      <c r="B1972" s="3" t="str">
        <f t="shared" si="1"/>
        <v>Unavailable</v>
      </c>
      <c r="C1972" s="3">
        <v>45.0</v>
      </c>
      <c r="D1972" s="3">
        <f>IFERROR(__xludf.DUMMYFUNCTION("IFERROR(
IF(REGEXMATCH(LOWER(O1972),""k""),
VALUE(REGEXEXTRACT(O1972,""[0-9]+""))*1000,
VALUE(REGEXEXTRACT(O1972,""[0-9]+""))
),
0
)"),0.0)</f>
        <v>0</v>
      </c>
      <c r="E1972" s="1" t="s">
        <v>11</v>
      </c>
      <c r="F1972" s="1" t="s">
        <v>12</v>
      </c>
      <c r="G1972" s="4" t="b">
        <f t="shared" si="2"/>
        <v>1</v>
      </c>
      <c r="H1972" s="1" t="str">
        <f t="shared" si="3"/>
        <v>Currently Unavailable</v>
      </c>
      <c r="I1972" s="1" t="str">
        <f t="shared" si="4"/>
        <v>No Badges</v>
      </c>
      <c r="J1972" s="3">
        <f t="shared" si="5"/>
        <v>0</v>
      </c>
    </row>
    <row r="1973">
      <c r="A1973" s="1" t="s">
        <v>1627</v>
      </c>
      <c r="B1973" s="3" t="str">
        <f t="shared" si="1"/>
        <v>Unavailable</v>
      </c>
      <c r="C1973" s="5">
        <v>4322.0</v>
      </c>
      <c r="D1973" s="3">
        <f>IFERROR(__xludf.DUMMYFUNCTION("IFERROR(
IF(REGEXMATCH(LOWER(O1973),""k""),
VALUE(REGEXEXTRACT(O1973,""[0-9]+""))*1000,
VALUE(REGEXEXTRACT(O1973,""[0-9]+""))
),
0
)"),0.0)</f>
        <v>0</v>
      </c>
      <c r="E1973" s="1" t="s">
        <v>11</v>
      </c>
      <c r="F1973" s="1" t="s">
        <v>20</v>
      </c>
      <c r="G1973" s="4" t="b">
        <f t="shared" si="2"/>
        <v>1</v>
      </c>
      <c r="H1973" s="1" t="str">
        <f t="shared" si="3"/>
        <v>Currently Unavailable</v>
      </c>
      <c r="I1973" s="1" t="str">
        <f t="shared" si="4"/>
        <v>No Badges</v>
      </c>
      <c r="J1973" s="3">
        <f t="shared" si="5"/>
        <v>0</v>
      </c>
    </row>
    <row r="1974">
      <c r="A1974" s="1" t="s">
        <v>1628</v>
      </c>
      <c r="B1974" s="3" t="str">
        <f t="shared" si="1"/>
        <v>Unavailable</v>
      </c>
      <c r="C1974" s="5">
        <v>5162.0</v>
      </c>
      <c r="D1974" s="3">
        <f>IFERROR(__xludf.DUMMYFUNCTION("IFERROR(
IF(REGEXMATCH(LOWER(O1974),""k""),
VALUE(REGEXEXTRACT(O1974,""[0-9]+""))*1000,
VALUE(REGEXEXTRACT(O1974,""[0-9]+""))
),
0
)"),0.0)</f>
        <v>0</v>
      </c>
      <c r="E1974" s="1" t="s">
        <v>11</v>
      </c>
      <c r="F1974" s="1" t="s">
        <v>20</v>
      </c>
      <c r="G1974" s="4" t="b">
        <f t="shared" si="2"/>
        <v>1</v>
      </c>
      <c r="H1974" s="1" t="str">
        <f t="shared" si="3"/>
        <v>Currently Unavailable</v>
      </c>
      <c r="I1974" s="1" t="str">
        <f t="shared" si="4"/>
        <v>No Badges</v>
      </c>
      <c r="J1974" s="3">
        <f t="shared" si="5"/>
        <v>0</v>
      </c>
    </row>
    <row r="1975">
      <c r="A1975" s="1" t="s">
        <v>1629</v>
      </c>
      <c r="B1975" s="3" t="str">
        <f t="shared" si="1"/>
        <v>Unavailable</v>
      </c>
      <c r="C1975" s="3">
        <v>606.0</v>
      </c>
      <c r="D1975" s="3">
        <f>IFERROR(__xludf.DUMMYFUNCTION("IFERROR(
IF(REGEXMATCH(LOWER(O1975),""k""),
VALUE(REGEXEXTRACT(O1975,""[0-9]+""))*1000,
VALUE(REGEXEXTRACT(O1975,""[0-9]+""))
),
0
)"),0.0)</f>
        <v>0</v>
      </c>
      <c r="E1975" s="1" t="s">
        <v>11</v>
      </c>
      <c r="F1975" s="1" t="s">
        <v>20</v>
      </c>
      <c r="G1975" s="4" t="b">
        <f t="shared" si="2"/>
        <v>1</v>
      </c>
      <c r="H1975" s="1" t="str">
        <f t="shared" si="3"/>
        <v>Currently Unavailable</v>
      </c>
      <c r="I1975" s="1" t="str">
        <f t="shared" si="4"/>
        <v>No Badges</v>
      </c>
      <c r="J1975" s="3">
        <f t="shared" si="5"/>
        <v>0</v>
      </c>
    </row>
    <row r="1976">
      <c r="A1976" s="1" t="s">
        <v>1630</v>
      </c>
      <c r="B1976" s="3" t="str">
        <f t="shared" si="1"/>
        <v>Unavailable</v>
      </c>
      <c r="C1976" s="5">
        <v>11697.0</v>
      </c>
      <c r="D1976" s="3">
        <f>IFERROR(__xludf.DUMMYFUNCTION("IFERROR(
IF(REGEXMATCH(LOWER(O1976),""k""),
VALUE(REGEXEXTRACT(O1976,""[0-9]+""))*1000,
VALUE(REGEXEXTRACT(O1976,""[0-9]+""))
),
0
)"),0.0)</f>
        <v>0</v>
      </c>
      <c r="E1976" s="1" t="s">
        <v>11</v>
      </c>
      <c r="F1976" s="1" t="s">
        <v>20</v>
      </c>
      <c r="G1976" s="4" t="b">
        <f t="shared" si="2"/>
        <v>1</v>
      </c>
      <c r="H1976" s="1" t="str">
        <f t="shared" si="3"/>
        <v>Currently Unavailable</v>
      </c>
      <c r="I1976" s="1" t="str">
        <f t="shared" si="4"/>
        <v>No Badges</v>
      </c>
      <c r="J1976" s="3">
        <f t="shared" si="5"/>
        <v>0</v>
      </c>
    </row>
    <row r="1977">
      <c r="A1977" s="1" t="s">
        <v>1631</v>
      </c>
      <c r="B1977" s="3" t="str">
        <f t="shared" si="1"/>
        <v>Unavailable</v>
      </c>
      <c r="C1977" s="3">
        <v>59.0</v>
      </c>
      <c r="D1977" s="3">
        <f>IFERROR(__xludf.DUMMYFUNCTION("IFERROR(
IF(REGEXMATCH(LOWER(O1977),""k""),
VALUE(REGEXEXTRACT(O1977,""[0-9]+""))*1000,
VALUE(REGEXEXTRACT(O1977,""[0-9]+""))
),
0
)"),0.0)</f>
        <v>0</v>
      </c>
      <c r="E1977" s="1" t="s">
        <v>11</v>
      </c>
      <c r="F1977" s="1" t="s">
        <v>20</v>
      </c>
      <c r="G1977" s="4" t="b">
        <f t="shared" si="2"/>
        <v>1</v>
      </c>
      <c r="H1977" s="1" t="str">
        <f t="shared" si="3"/>
        <v>Currently Unavailable</v>
      </c>
      <c r="I1977" s="1" t="str">
        <f t="shared" si="4"/>
        <v>No Badges</v>
      </c>
      <c r="J1977" s="3">
        <f t="shared" si="5"/>
        <v>0</v>
      </c>
    </row>
    <row r="1978">
      <c r="A1978" s="1" t="s">
        <v>1632</v>
      </c>
      <c r="B1978" s="3" t="str">
        <f t="shared" si="1"/>
        <v>Unavailable</v>
      </c>
      <c r="C1978" s="5">
        <v>3246.0</v>
      </c>
      <c r="D1978" s="3">
        <f>IFERROR(__xludf.DUMMYFUNCTION("IFERROR(
IF(REGEXMATCH(LOWER(O1978),""k""),
VALUE(REGEXEXTRACT(O1978,""[0-9]+""))*1000,
VALUE(REGEXEXTRACT(O1978,""[0-9]+""))
),
0
)"),0.0)</f>
        <v>0</v>
      </c>
      <c r="E1978" s="1" t="s">
        <v>11</v>
      </c>
      <c r="F1978" s="1" t="s">
        <v>20</v>
      </c>
      <c r="G1978" s="4" t="b">
        <f t="shared" si="2"/>
        <v>1</v>
      </c>
      <c r="H1978" s="1" t="str">
        <f t="shared" si="3"/>
        <v>Currently Unavailable</v>
      </c>
      <c r="I1978" s="1" t="str">
        <f t="shared" si="4"/>
        <v>No Badges</v>
      </c>
      <c r="J1978" s="3">
        <f t="shared" si="5"/>
        <v>0</v>
      </c>
    </row>
    <row r="1979">
      <c r="A1979" s="1" t="s">
        <v>1633</v>
      </c>
      <c r="B1979" s="3" t="str">
        <f t="shared" si="1"/>
        <v>Unavailable</v>
      </c>
      <c r="C1979" s="5">
        <v>1057.0</v>
      </c>
      <c r="D1979" s="3">
        <f>IFERROR(__xludf.DUMMYFUNCTION("IFERROR(
IF(REGEXMATCH(LOWER(O1979),""k""),
VALUE(REGEXEXTRACT(O1979,""[0-9]+""))*1000,
VALUE(REGEXEXTRACT(O1979,""[0-9]+""))
),
0
)"),0.0)</f>
        <v>0</v>
      </c>
      <c r="E1979" s="1" t="s">
        <v>18</v>
      </c>
      <c r="F1979" s="1" t="s">
        <v>20</v>
      </c>
      <c r="G1979" s="4" t="b">
        <f t="shared" si="2"/>
        <v>1</v>
      </c>
      <c r="H1979" s="1" t="str">
        <f t="shared" si="3"/>
        <v>Currently Unavailable</v>
      </c>
      <c r="I1979" s="1" t="str">
        <f t="shared" si="4"/>
        <v>No Badges</v>
      </c>
      <c r="J1979" s="3">
        <f t="shared" si="5"/>
        <v>0</v>
      </c>
    </row>
    <row r="1980">
      <c r="A1980" s="1" t="s">
        <v>1634</v>
      </c>
      <c r="B1980" s="3" t="str">
        <f t="shared" si="1"/>
        <v>Unavailable</v>
      </c>
      <c r="C1980" s="5">
        <v>1878.0</v>
      </c>
      <c r="D1980" s="3">
        <f>IFERROR(__xludf.DUMMYFUNCTION("IFERROR(
IF(REGEXMATCH(LOWER(O1980),""k""),
VALUE(REGEXEXTRACT(O1980,""[0-9]+""))*1000,
VALUE(REGEXEXTRACT(O1980,""[0-9]+""))
),
0
)"),0.0)</f>
        <v>0</v>
      </c>
      <c r="E1980" s="1" t="s">
        <v>11</v>
      </c>
      <c r="F1980" s="1" t="s">
        <v>12</v>
      </c>
      <c r="G1980" s="4" t="b">
        <f t="shared" si="2"/>
        <v>1</v>
      </c>
      <c r="H1980" s="1" t="str">
        <f t="shared" si="3"/>
        <v>Currently Unavailable</v>
      </c>
      <c r="I1980" s="1" t="str">
        <f t="shared" si="4"/>
        <v>No Badges</v>
      </c>
      <c r="J1980" s="3">
        <f t="shared" si="5"/>
        <v>0</v>
      </c>
    </row>
    <row r="1981">
      <c r="A1981" s="1" t="s">
        <v>1284</v>
      </c>
      <c r="B1981" s="3" t="str">
        <f t="shared" si="1"/>
        <v>Unavailable</v>
      </c>
      <c r="C1981" s="3">
        <v>172.0</v>
      </c>
      <c r="D1981" s="3">
        <f>IFERROR(__xludf.DUMMYFUNCTION("IFERROR(
IF(REGEXMATCH(LOWER(O1981),""k""),
VALUE(REGEXEXTRACT(O1981,""[0-9]+""))*1000,
VALUE(REGEXEXTRACT(O1981,""[0-9]+""))
),
0
)"),0.0)</f>
        <v>0</v>
      </c>
      <c r="E1981" s="1" t="s">
        <v>11</v>
      </c>
      <c r="F1981" s="1" t="s">
        <v>12</v>
      </c>
      <c r="G1981" s="4" t="b">
        <f t="shared" si="2"/>
        <v>1</v>
      </c>
      <c r="H1981" s="1" t="str">
        <f t="shared" si="3"/>
        <v>Currently Unavailable</v>
      </c>
      <c r="I1981" s="1" t="str">
        <f t="shared" si="4"/>
        <v>No Badges</v>
      </c>
      <c r="J1981" s="3">
        <f t="shared" si="5"/>
        <v>0</v>
      </c>
    </row>
    <row r="1982">
      <c r="A1982" s="1" t="s">
        <v>1635</v>
      </c>
      <c r="B1982" s="3" t="str">
        <f t="shared" si="1"/>
        <v>Unavailable</v>
      </c>
      <c r="C1982" s="5">
        <v>12841.0</v>
      </c>
      <c r="D1982" s="3">
        <f>IFERROR(__xludf.DUMMYFUNCTION("IFERROR(
IF(REGEXMATCH(LOWER(O1982),""k""),
VALUE(REGEXEXTRACT(O1982,""[0-9]+""))*1000,
VALUE(REGEXEXTRACT(O1982,""[0-9]+""))
),
0
)"),0.0)</f>
        <v>0</v>
      </c>
      <c r="E1982" s="1" t="s">
        <v>11</v>
      </c>
      <c r="F1982" s="1" t="s">
        <v>20</v>
      </c>
      <c r="G1982" s="4" t="b">
        <f t="shared" si="2"/>
        <v>1</v>
      </c>
      <c r="H1982" s="1" t="str">
        <f t="shared" si="3"/>
        <v>Currently Unavailable</v>
      </c>
      <c r="I1982" s="1" t="str">
        <f t="shared" si="4"/>
        <v>No Badges</v>
      </c>
      <c r="J1982" s="3">
        <f t="shared" si="5"/>
        <v>0</v>
      </c>
    </row>
    <row r="1983">
      <c r="A1983" s="1" t="s">
        <v>1636</v>
      </c>
      <c r="B1983" s="3" t="str">
        <f t="shared" si="1"/>
        <v>Unavailable</v>
      </c>
      <c r="C1983" s="5">
        <v>6338.0</v>
      </c>
      <c r="D1983" s="3">
        <f>IFERROR(__xludf.DUMMYFUNCTION("IFERROR(
IF(REGEXMATCH(LOWER(O1983),""k""),
VALUE(REGEXEXTRACT(O1983,""[0-9]+""))*1000,
VALUE(REGEXEXTRACT(O1983,""[0-9]+""))
),
0
)"),0.0)</f>
        <v>0</v>
      </c>
      <c r="E1983" s="1" t="s">
        <v>11</v>
      </c>
      <c r="F1983" s="1" t="s">
        <v>20</v>
      </c>
      <c r="G1983" s="4" t="b">
        <f t="shared" si="2"/>
        <v>1</v>
      </c>
      <c r="H1983" s="1" t="str">
        <f t="shared" si="3"/>
        <v>Currently Unavailable</v>
      </c>
      <c r="I1983" s="1" t="str">
        <f t="shared" si="4"/>
        <v>No Badges</v>
      </c>
      <c r="J1983" s="3">
        <f t="shared" si="5"/>
        <v>0</v>
      </c>
    </row>
    <row r="1984">
      <c r="A1984" s="1" t="s">
        <v>1637</v>
      </c>
      <c r="B1984" s="3" t="str">
        <f t="shared" si="1"/>
        <v>Unavailable</v>
      </c>
      <c r="C1984" s="5">
        <v>2581.0</v>
      </c>
      <c r="D1984" s="3">
        <f>IFERROR(__xludf.DUMMYFUNCTION("IFERROR(
IF(REGEXMATCH(LOWER(O1984),""k""),
VALUE(REGEXEXTRACT(O1984,""[0-9]+""))*1000,
VALUE(REGEXEXTRACT(O1984,""[0-9]+""))
),
0
)"),0.0)</f>
        <v>0</v>
      </c>
      <c r="E1984" s="1" t="s">
        <v>11</v>
      </c>
      <c r="F1984" s="1" t="s">
        <v>20</v>
      </c>
      <c r="G1984" s="4" t="b">
        <f t="shared" si="2"/>
        <v>1</v>
      </c>
      <c r="H1984" s="1" t="str">
        <f t="shared" si="3"/>
        <v>Currently Unavailable</v>
      </c>
      <c r="I1984" s="1" t="str">
        <f t="shared" si="4"/>
        <v>No Badges</v>
      </c>
      <c r="J1984" s="3">
        <f t="shared" si="5"/>
        <v>0</v>
      </c>
    </row>
    <row r="1985">
      <c r="A1985" s="1" t="s">
        <v>67</v>
      </c>
      <c r="B1985" s="3" t="str">
        <f t="shared" si="1"/>
        <v>Unavailable</v>
      </c>
      <c r="C1985" s="3">
        <v>264.0</v>
      </c>
      <c r="D1985" s="3">
        <f>IFERROR(__xludf.DUMMYFUNCTION("IFERROR(
IF(REGEXMATCH(LOWER(O1985),""k""),
VALUE(REGEXEXTRACT(O1985,""[0-9]+""))*1000,
VALUE(REGEXEXTRACT(O1985,""[0-9]+""))
),
0
)"),0.0)</f>
        <v>0</v>
      </c>
      <c r="E1985" s="1" t="s">
        <v>11</v>
      </c>
      <c r="F1985" s="1" t="s">
        <v>12</v>
      </c>
      <c r="G1985" s="4" t="b">
        <f t="shared" si="2"/>
        <v>1</v>
      </c>
      <c r="H1985" s="1" t="str">
        <f t="shared" si="3"/>
        <v>Currently Unavailable</v>
      </c>
      <c r="I1985" s="1" t="str">
        <f t="shared" si="4"/>
        <v>No Badges</v>
      </c>
      <c r="J1985" s="3">
        <f t="shared" si="5"/>
        <v>0</v>
      </c>
    </row>
    <row r="1986">
      <c r="A1986" s="1" t="s">
        <v>701</v>
      </c>
      <c r="B1986" s="3" t="str">
        <f t="shared" si="1"/>
        <v>Unavailable</v>
      </c>
      <c r="C1986" s="3">
        <v>8.0</v>
      </c>
      <c r="D1986" s="3">
        <f>IFERROR(__xludf.DUMMYFUNCTION("IFERROR(
IF(REGEXMATCH(LOWER(O1986),""k""),
VALUE(REGEXEXTRACT(O1986,""[0-9]+""))*1000,
VALUE(REGEXEXTRACT(O1986,""[0-9]+""))
),
0
)"),0.0)</f>
        <v>0</v>
      </c>
      <c r="E1986" s="1" t="s">
        <v>11</v>
      </c>
      <c r="F1986" s="1" t="s">
        <v>12</v>
      </c>
      <c r="G1986" s="4" t="b">
        <f t="shared" si="2"/>
        <v>1</v>
      </c>
      <c r="H1986" s="1" t="str">
        <f t="shared" si="3"/>
        <v>Currently Unavailable</v>
      </c>
      <c r="I1986" s="1" t="str">
        <f t="shared" si="4"/>
        <v>No Badges</v>
      </c>
      <c r="J1986" s="3">
        <f t="shared" si="5"/>
        <v>0</v>
      </c>
    </row>
    <row r="1987">
      <c r="A1987" s="1" t="s">
        <v>1638</v>
      </c>
      <c r="B1987" s="3" t="str">
        <f t="shared" si="1"/>
        <v>Unavailable</v>
      </c>
      <c r="C1987" s="5">
        <v>4338.0</v>
      </c>
      <c r="D1987" s="3">
        <f>IFERROR(__xludf.DUMMYFUNCTION("IFERROR(
IF(REGEXMATCH(LOWER(O1987),""k""),
VALUE(REGEXEXTRACT(O1987,""[0-9]+""))*1000,
VALUE(REGEXEXTRACT(O1987,""[0-9]+""))
),
0
)"),0.0)</f>
        <v>0</v>
      </c>
      <c r="E1987" s="1" t="s">
        <v>11</v>
      </c>
      <c r="F1987" s="1" t="s">
        <v>20</v>
      </c>
      <c r="G1987" s="4" t="b">
        <f t="shared" si="2"/>
        <v>1</v>
      </c>
      <c r="H1987" s="1" t="str">
        <f t="shared" si="3"/>
        <v>Currently Unavailable</v>
      </c>
      <c r="I1987" s="1" t="str">
        <f t="shared" si="4"/>
        <v>No Badges</v>
      </c>
      <c r="J1987" s="3">
        <f t="shared" si="5"/>
        <v>0</v>
      </c>
    </row>
    <row r="1988">
      <c r="A1988" s="1" t="s">
        <v>1639</v>
      </c>
      <c r="B1988" s="3" t="str">
        <f t="shared" si="1"/>
        <v>Unavailable</v>
      </c>
      <c r="C1988" s="3">
        <v>122.0</v>
      </c>
      <c r="D1988" s="3">
        <f>IFERROR(__xludf.DUMMYFUNCTION("IFERROR(
IF(REGEXMATCH(LOWER(O1988),""k""),
VALUE(REGEXEXTRACT(O1988,""[0-9]+""))*1000,
VALUE(REGEXEXTRACT(O1988,""[0-9]+""))
),
0
)"),0.0)</f>
        <v>0</v>
      </c>
      <c r="E1988" s="1" t="s">
        <v>11</v>
      </c>
      <c r="F1988" s="1" t="s">
        <v>20</v>
      </c>
      <c r="G1988" s="4" t="b">
        <f t="shared" si="2"/>
        <v>1</v>
      </c>
      <c r="H1988" s="1" t="str">
        <f t="shared" si="3"/>
        <v>Currently Unavailable</v>
      </c>
      <c r="I1988" s="1" t="str">
        <f t="shared" si="4"/>
        <v>No Badges</v>
      </c>
      <c r="J1988" s="3">
        <f t="shared" si="5"/>
        <v>0</v>
      </c>
    </row>
    <row r="1989">
      <c r="A1989" s="1" t="s">
        <v>1640</v>
      </c>
      <c r="B1989" s="3" t="str">
        <f t="shared" si="1"/>
        <v>Unavailable</v>
      </c>
      <c r="C1989" s="5">
        <v>7769.0</v>
      </c>
      <c r="D1989" s="3">
        <f>IFERROR(__xludf.DUMMYFUNCTION("IFERROR(
IF(REGEXMATCH(LOWER(O1989),""k""),
VALUE(REGEXEXTRACT(O1989,""[0-9]+""))*1000,
VALUE(REGEXEXTRACT(O1989,""[0-9]+""))
),
0
)"),0.0)</f>
        <v>0</v>
      </c>
      <c r="E1989" s="1" t="s">
        <v>11</v>
      </c>
      <c r="F1989" s="1" t="s">
        <v>20</v>
      </c>
      <c r="G1989" s="4" t="b">
        <f t="shared" si="2"/>
        <v>1</v>
      </c>
      <c r="H1989" s="1" t="str">
        <f t="shared" si="3"/>
        <v>Currently Unavailable</v>
      </c>
      <c r="I1989" s="1" t="str">
        <f t="shared" si="4"/>
        <v>No Badges</v>
      </c>
      <c r="J1989" s="3">
        <f t="shared" si="5"/>
        <v>0</v>
      </c>
    </row>
    <row r="1990">
      <c r="A1990" s="1" t="s">
        <v>1641</v>
      </c>
      <c r="B1990" s="3" t="str">
        <f t="shared" si="1"/>
        <v>Unavailable</v>
      </c>
      <c r="C1990" s="5">
        <v>2348.0</v>
      </c>
      <c r="D1990" s="3">
        <f>IFERROR(__xludf.DUMMYFUNCTION("IFERROR(
IF(REGEXMATCH(LOWER(O1990),""k""),
VALUE(REGEXEXTRACT(O1990,""[0-9]+""))*1000,
VALUE(REGEXEXTRACT(O1990,""[0-9]+""))
),
0
)"),0.0)</f>
        <v>0</v>
      </c>
      <c r="E1990" s="1" t="s">
        <v>11</v>
      </c>
      <c r="F1990" s="1" t="s">
        <v>20</v>
      </c>
      <c r="G1990" s="4" t="b">
        <f t="shared" si="2"/>
        <v>1</v>
      </c>
      <c r="H1990" s="1" t="str">
        <f t="shared" si="3"/>
        <v>Currently Unavailable</v>
      </c>
      <c r="I1990" s="1" t="str">
        <f t="shared" si="4"/>
        <v>No Badges</v>
      </c>
      <c r="J1990" s="3">
        <f t="shared" si="5"/>
        <v>0</v>
      </c>
    </row>
    <row r="1991">
      <c r="A1991" s="1" t="s">
        <v>1285</v>
      </c>
      <c r="B1991" s="3" t="str">
        <f t="shared" si="1"/>
        <v>Unavailable</v>
      </c>
      <c r="C1991" s="5">
        <v>3520.0</v>
      </c>
      <c r="D1991" s="3">
        <f>IFERROR(__xludf.DUMMYFUNCTION("IFERROR(
IF(REGEXMATCH(LOWER(O1991),""k""),
VALUE(REGEXEXTRACT(O1991,""[0-9]+""))*1000,
VALUE(REGEXEXTRACT(O1991,""[0-9]+""))
),
0
)"),0.0)</f>
        <v>0</v>
      </c>
      <c r="E1991" s="1" t="s">
        <v>11</v>
      </c>
      <c r="F1991" s="1" t="s">
        <v>12</v>
      </c>
      <c r="G1991" s="4" t="b">
        <f t="shared" si="2"/>
        <v>1</v>
      </c>
      <c r="H1991" s="1" t="str">
        <f t="shared" si="3"/>
        <v>Currently Unavailable</v>
      </c>
      <c r="I1991" s="1" t="str">
        <f t="shared" si="4"/>
        <v>No Badges</v>
      </c>
      <c r="J1991" s="3">
        <f t="shared" si="5"/>
        <v>0</v>
      </c>
    </row>
    <row r="1992">
      <c r="A1992" s="1" t="s">
        <v>1284</v>
      </c>
      <c r="B1992" s="3" t="str">
        <f t="shared" si="1"/>
        <v>Unavailable</v>
      </c>
      <c r="C1992" s="3">
        <v>172.0</v>
      </c>
      <c r="D1992" s="3">
        <f>IFERROR(__xludf.DUMMYFUNCTION("IFERROR(
IF(REGEXMATCH(LOWER(O1992),""k""),
VALUE(REGEXEXTRACT(O1992,""[0-9]+""))*1000,
VALUE(REGEXEXTRACT(O1992,""[0-9]+""))
),
0
)"),0.0)</f>
        <v>0</v>
      </c>
      <c r="E1992" s="1" t="s">
        <v>11</v>
      </c>
      <c r="F1992" s="1" t="s">
        <v>12</v>
      </c>
      <c r="G1992" s="4" t="b">
        <f t="shared" si="2"/>
        <v>1</v>
      </c>
      <c r="H1992" s="1" t="str">
        <f t="shared" si="3"/>
        <v>Currently Unavailable</v>
      </c>
      <c r="I1992" s="1" t="str">
        <f t="shared" si="4"/>
        <v>No Badges</v>
      </c>
      <c r="J1992" s="3">
        <f t="shared" si="5"/>
        <v>0</v>
      </c>
    </row>
    <row r="1993">
      <c r="A1993" s="1" t="s">
        <v>1642</v>
      </c>
      <c r="B1993" s="3" t="str">
        <f t="shared" si="1"/>
        <v>Unavailable</v>
      </c>
      <c r="C1993" s="5">
        <v>1909.0</v>
      </c>
      <c r="D1993" s="3">
        <f>IFERROR(__xludf.DUMMYFUNCTION("IFERROR(
IF(REGEXMATCH(LOWER(O1993),""k""),
VALUE(REGEXEXTRACT(O1993,""[0-9]+""))*1000,
VALUE(REGEXEXTRACT(O1993,""[0-9]+""))
),
0
)"),0.0)</f>
        <v>0</v>
      </c>
      <c r="E1993" s="1" t="s">
        <v>11</v>
      </c>
      <c r="F1993" s="1" t="s">
        <v>20</v>
      </c>
      <c r="G1993" s="4" t="b">
        <f t="shared" si="2"/>
        <v>1</v>
      </c>
      <c r="H1993" s="1" t="str">
        <f t="shared" si="3"/>
        <v>Currently Unavailable</v>
      </c>
      <c r="I1993" s="1" t="str">
        <f t="shared" si="4"/>
        <v>No Badges</v>
      </c>
      <c r="J1993" s="3">
        <f t="shared" si="5"/>
        <v>0</v>
      </c>
    </row>
    <row r="1994">
      <c r="A1994" s="1" t="s">
        <v>1643</v>
      </c>
      <c r="B1994" s="3" t="str">
        <f t="shared" si="1"/>
        <v>Unavailable</v>
      </c>
      <c r="C1994" s="5">
        <v>1323.0</v>
      </c>
      <c r="D1994" s="3">
        <f>IFERROR(__xludf.DUMMYFUNCTION("IFERROR(
IF(REGEXMATCH(LOWER(O1994),""k""),
VALUE(REGEXEXTRACT(O1994,""[0-9]+""))*1000,
VALUE(REGEXEXTRACT(O1994,""[0-9]+""))
),
0
)"),0.0)</f>
        <v>0</v>
      </c>
      <c r="E1994" s="1" t="s">
        <v>11</v>
      </c>
      <c r="F1994" s="1" t="s">
        <v>20</v>
      </c>
      <c r="G1994" s="4" t="b">
        <f t="shared" si="2"/>
        <v>1</v>
      </c>
      <c r="H1994" s="1" t="str">
        <f t="shared" si="3"/>
        <v>Currently Unavailable</v>
      </c>
      <c r="I1994" s="1" t="str">
        <f t="shared" si="4"/>
        <v>No Badges</v>
      </c>
      <c r="J1994" s="3">
        <f t="shared" si="5"/>
        <v>0</v>
      </c>
    </row>
    <row r="1995">
      <c r="A1995" s="1" t="s">
        <v>1644</v>
      </c>
      <c r="B1995" s="3" t="str">
        <f t="shared" si="1"/>
        <v>Unavailable</v>
      </c>
      <c r="C1995" s="3">
        <v>618.0</v>
      </c>
      <c r="D1995" s="3">
        <f>IFERROR(__xludf.DUMMYFUNCTION("IFERROR(
IF(REGEXMATCH(LOWER(O1995),""k""),
VALUE(REGEXEXTRACT(O1995,""[0-9]+""))*1000,
VALUE(REGEXEXTRACT(O1995,""[0-9]+""))
),
0
)"),0.0)</f>
        <v>0</v>
      </c>
      <c r="E1995" s="1" t="s">
        <v>11</v>
      </c>
      <c r="F1995" s="1" t="s">
        <v>20</v>
      </c>
      <c r="G1995" s="4" t="b">
        <f t="shared" si="2"/>
        <v>1</v>
      </c>
      <c r="H1995" s="1" t="str">
        <f t="shared" si="3"/>
        <v>Currently Unavailable</v>
      </c>
      <c r="I1995" s="1" t="str">
        <f t="shared" si="4"/>
        <v>No Badges</v>
      </c>
      <c r="J1995" s="3">
        <f t="shared" si="5"/>
        <v>0</v>
      </c>
    </row>
    <row r="1996">
      <c r="A1996" s="1" t="s">
        <v>1645</v>
      </c>
      <c r="B1996" s="3" t="str">
        <f t="shared" si="1"/>
        <v>Unavailable</v>
      </c>
      <c r="C1996" s="5">
        <v>6127.0</v>
      </c>
      <c r="D1996" s="3">
        <f>IFERROR(__xludf.DUMMYFUNCTION("IFERROR(
IF(REGEXMATCH(LOWER(O1996),""k""),
VALUE(REGEXEXTRACT(O1996,""[0-9]+""))*1000,
VALUE(REGEXEXTRACT(O1996,""[0-9]+""))
),
0
)"),0.0)</f>
        <v>0</v>
      </c>
      <c r="E1996" s="1" t="s">
        <v>11</v>
      </c>
      <c r="F1996" s="1" t="s">
        <v>20</v>
      </c>
      <c r="G1996" s="4" t="b">
        <f t="shared" si="2"/>
        <v>1</v>
      </c>
      <c r="H1996" s="1" t="str">
        <f t="shared" si="3"/>
        <v>Currently Unavailable</v>
      </c>
      <c r="I1996" s="1" t="str">
        <f t="shared" si="4"/>
        <v>No Badges</v>
      </c>
      <c r="J1996" s="3">
        <f t="shared" si="5"/>
        <v>0</v>
      </c>
    </row>
    <row r="1997">
      <c r="A1997" s="1" t="s">
        <v>1646</v>
      </c>
      <c r="B1997" s="3" t="str">
        <f t="shared" si="1"/>
        <v>Unavailable</v>
      </c>
      <c r="C1997" s="5">
        <v>3924.0</v>
      </c>
      <c r="D1997" s="3">
        <f>IFERROR(__xludf.DUMMYFUNCTION("IFERROR(
IF(REGEXMATCH(LOWER(O1997),""k""),
VALUE(REGEXEXTRACT(O1997,""[0-9]+""))*1000,
VALUE(REGEXEXTRACT(O1997,""[0-9]+""))
),
0
)"),0.0)</f>
        <v>0</v>
      </c>
      <c r="E1997" s="1" t="s">
        <v>18</v>
      </c>
      <c r="F1997" s="1" t="s">
        <v>20</v>
      </c>
      <c r="G1997" s="4" t="b">
        <f t="shared" si="2"/>
        <v>1</v>
      </c>
      <c r="H1997" s="1" t="str">
        <f t="shared" si="3"/>
        <v>Currently Unavailable</v>
      </c>
      <c r="I1997" s="1" t="str">
        <f t="shared" si="4"/>
        <v>No Badges</v>
      </c>
      <c r="J1997" s="3">
        <f t="shared" si="5"/>
        <v>0</v>
      </c>
    </row>
    <row r="1998">
      <c r="A1998" s="1" t="s">
        <v>1647</v>
      </c>
      <c r="B1998" s="3" t="str">
        <f t="shared" si="1"/>
        <v>Unavailable</v>
      </c>
      <c r="C1998" s="3">
        <v>662.0</v>
      </c>
      <c r="D1998" s="3">
        <f>IFERROR(__xludf.DUMMYFUNCTION("IFERROR(
IF(REGEXMATCH(LOWER(O1998),""k""),
VALUE(REGEXEXTRACT(O1998,""[0-9]+""))*1000,
VALUE(REGEXEXTRACT(O1998,""[0-9]+""))
),
0
)"),0.0)</f>
        <v>0</v>
      </c>
      <c r="E1998" s="1" t="s">
        <v>11</v>
      </c>
      <c r="F1998" s="1" t="s">
        <v>20</v>
      </c>
      <c r="G1998" s="4" t="b">
        <f t="shared" si="2"/>
        <v>1</v>
      </c>
      <c r="H1998" s="1" t="str">
        <f t="shared" si="3"/>
        <v>Currently Unavailable</v>
      </c>
      <c r="I1998" s="1" t="str">
        <f t="shared" si="4"/>
        <v>No Badges</v>
      </c>
      <c r="J1998" s="3">
        <f t="shared" si="5"/>
        <v>0</v>
      </c>
    </row>
    <row r="1999">
      <c r="A1999" s="1" t="s">
        <v>1648</v>
      </c>
      <c r="B1999" s="3" t="str">
        <f t="shared" si="1"/>
        <v>Unavailable</v>
      </c>
      <c r="C1999" s="5">
        <v>2104.0</v>
      </c>
      <c r="D1999" s="3">
        <f>IFERROR(__xludf.DUMMYFUNCTION("IFERROR(
IF(REGEXMATCH(LOWER(O1999),""k""),
VALUE(REGEXEXTRACT(O1999,""[0-9]+""))*1000,
VALUE(REGEXEXTRACT(O1999,""[0-9]+""))
),
0
)"),0.0)</f>
        <v>0</v>
      </c>
      <c r="E1999" s="1" t="s">
        <v>11</v>
      </c>
      <c r="F1999" s="1" t="s">
        <v>20</v>
      </c>
      <c r="G1999" s="4" t="b">
        <f t="shared" si="2"/>
        <v>1</v>
      </c>
      <c r="H1999" s="1" t="str">
        <f t="shared" si="3"/>
        <v>Currently Unavailable</v>
      </c>
      <c r="I1999" s="1" t="str">
        <f t="shared" si="4"/>
        <v>No Badges</v>
      </c>
      <c r="J1999" s="3">
        <f t="shared" si="5"/>
        <v>0</v>
      </c>
    </row>
    <row r="2000">
      <c r="A2000" s="1" t="s">
        <v>1649</v>
      </c>
      <c r="B2000" s="3" t="str">
        <f t="shared" si="1"/>
        <v>Unavailable</v>
      </c>
      <c r="C2000" s="5">
        <v>3200.0</v>
      </c>
      <c r="D2000" s="3">
        <f>IFERROR(__xludf.DUMMYFUNCTION("IFERROR(
IF(REGEXMATCH(LOWER(O2000),""k""),
VALUE(REGEXEXTRACT(O2000,""[0-9]+""))*1000,
VALUE(REGEXEXTRACT(O2000,""[0-9]+""))
),
0
)"),0.0)</f>
        <v>0</v>
      </c>
      <c r="E2000" s="1" t="s">
        <v>11</v>
      </c>
      <c r="F2000" s="1" t="s">
        <v>20</v>
      </c>
      <c r="G2000" s="4" t="b">
        <f t="shared" si="2"/>
        <v>1</v>
      </c>
      <c r="H2000" s="1" t="str">
        <f t="shared" si="3"/>
        <v>Currently Unavailable</v>
      </c>
      <c r="I2000" s="1" t="str">
        <f t="shared" si="4"/>
        <v>No Badges</v>
      </c>
      <c r="J2000" s="3">
        <f t="shared" si="5"/>
        <v>0</v>
      </c>
    </row>
    <row r="2001">
      <c r="A2001" s="1" t="s">
        <v>88</v>
      </c>
      <c r="B2001" s="3" t="str">
        <f t="shared" si="1"/>
        <v>Unavailable</v>
      </c>
      <c r="C2001" s="3">
        <v>5.0</v>
      </c>
      <c r="D2001" s="3">
        <f>IFERROR(__xludf.DUMMYFUNCTION("IFERROR(
IF(REGEXMATCH(LOWER(O2001),""k""),
VALUE(REGEXEXTRACT(O2001,""[0-9]+""))*1000,
VALUE(REGEXEXTRACT(O2001,""[0-9]+""))
),
0
)"),0.0)</f>
        <v>0</v>
      </c>
      <c r="E2001" s="1" t="s">
        <v>11</v>
      </c>
      <c r="F2001" s="1" t="s">
        <v>12</v>
      </c>
      <c r="G2001" s="4" t="b">
        <f t="shared" si="2"/>
        <v>1</v>
      </c>
      <c r="H2001" s="1" t="str">
        <f t="shared" si="3"/>
        <v>Currently Unavailable</v>
      </c>
      <c r="I2001" s="1" t="str">
        <f t="shared" si="4"/>
        <v>No Badges</v>
      </c>
      <c r="J2001" s="3">
        <f t="shared" si="5"/>
        <v>0</v>
      </c>
    </row>
    <row r="2002">
      <c r="A2002" s="1" t="s">
        <v>1285</v>
      </c>
      <c r="B2002" s="3" t="str">
        <f t="shared" si="1"/>
        <v>Unavailable</v>
      </c>
      <c r="C2002" s="5">
        <v>3520.0</v>
      </c>
      <c r="D2002" s="3">
        <f>IFERROR(__xludf.DUMMYFUNCTION("IFERROR(
IF(REGEXMATCH(LOWER(O2002),""k""),
VALUE(REGEXEXTRACT(O2002,""[0-9]+""))*1000,
VALUE(REGEXEXTRACT(O2002,""[0-9]+""))
),
0
)"),0.0)</f>
        <v>0</v>
      </c>
      <c r="E2002" s="1" t="s">
        <v>11</v>
      </c>
      <c r="F2002" s="1" t="s">
        <v>12</v>
      </c>
      <c r="G2002" s="4" t="b">
        <f t="shared" si="2"/>
        <v>1</v>
      </c>
      <c r="H2002" s="1" t="str">
        <f t="shared" si="3"/>
        <v>Currently Unavailable</v>
      </c>
      <c r="I2002" s="1" t="str">
        <f t="shared" si="4"/>
        <v>No Badges</v>
      </c>
      <c r="J2002" s="3">
        <f t="shared" si="5"/>
        <v>0</v>
      </c>
    </row>
    <row r="2003">
      <c r="A2003" s="1" t="s">
        <v>1284</v>
      </c>
      <c r="B2003" s="3" t="str">
        <f t="shared" si="1"/>
        <v>Unavailable</v>
      </c>
      <c r="C2003" s="3">
        <v>172.0</v>
      </c>
      <c r="D2003" s="3">
        <f>IFERROR(__xludf.DUMMYFUNCTION("IFERROR(
IF(REGEXMATCH(LOWER(O2003),""k""),
VALUE(REGEXEXTRACT(O2003,""[0-9]+""))*1000,
VALUE(REGEXEXTRACT(O2003,""[0-9]+""))
),
0
)"),0.0)</f>
        <v>0</v>
      </c>
      <c r="E2003" s="1" t="s">
        <v>11</v>
      </c>
      <c r="F2003" s="1" t="s">
        <v>12</v>
      </c>
      <c r="G2003" s="4" t="b">
        <f t="shared" si="2"/>
        <v>1</v>
      </c>
      <c r="H2003" s="1" t="str">
        <f t="shared" si="3"/>
        <v>Currently Unavailable</v>
      </c>
      <c r="I2003" s="1" t="str">
        <f t="shared" si="4"/>
        <v>No Badges</v>
      </c>
      <c r="J2003" s="3">
        <f t="shared" si="5"/>
        <v>0</v>
      </c>
    </row>
    <row r="2004">
      <c r="A2004" s="1" t="s">
        <v>1650</v>
      </c>
      <c r="B2004" s="3" t="str">
        <f t="shared" si="1"/>
        <v>Unavailable</v>
      </c>
      <c r="C2004" s="5">
        <v>7545.0</v>
      </c>
      <c r="D2004" s="3">
        <f>IFERROR(__xludf.DUMMYFUNCTION("IFERROR(
IF(REGEXMATCH(LOWER(O2004),""k""),
VALUE(REGEXEXTRACT(O2004,""[0-9]+""))*1000,
VALUE(REGEXEXTRACT(O2004,""[0-9]+""))
),
0
)"),0.0)</f>
        <v>0</v>
      </c>
      <c r="E2004" s="1" t="s">
        <v>11</v>
      </c>
      <c r="F2004" s="1" t="s">
        <v>20</v>
      </c>
      <c r="G2004" s="4" t="b">
        <f t="shared" si="2"/>
        <v>1</v>
      </c>
      <c r="H2004" s="1" t="str">
        <f t="shared" si="3"/>
        <v>Currently Unavailable</v>
      </c>
      <c r="I2004" s="1" t="str">
        <f t="shared" si="4"/>
        <v>No Badges</v>
      </c>
      <c r="J2004" s="3">
        <f t="shared" si="5"/>
        <v>0</v>
      </c>
    </row>
    <row r="2005">
      <c r="A2005" s="1" t="s">
        <v>69</v>
      </c>
      <c r="B2005" s="3" t="str">
        <f t="shared" si="1"/>
        <v>Unavailable</v>
      </c>
      <c r="C2005" s="3">
        <v>45.0</v>
      </c>
      <c r="D2005" s="3">
        <f>IFERROR(__xludf.DUMMYFUNCTION("IFERROR(
IF(REGEXMATCH(LOWER(O2005),""k""),
VALUE(REGEXEXTRACT(O2005,""[0-9]+""))*1000,
VALUE(REGEXEXTRACT(O2005,""[0-9]+""))
),
0
)"),0.0)</f>
        <v>0</v>
      </c>
      <c r="E2005" s="1" t="s">
        <v>11</v>
      </c>
      <c r="F2005" s="1" t="s">
        <v>12</v>
      </c>
      <c r="G2005" s="4" t="b">
        <f t="shared" si="2"/>
        <v>1</v>
      </c>
      <c r="H2005" s="1" t="str">
        <f t="shared" si="3"/>
        <v>Currently Unavailable</v>
      </c>
      <c r="I2005" s="1" t="str">
        <f t="shared" si="4"/>
        <v>No Badges</v>
      </c>
      <c r="J2005" s="3">
        <f t="shared" si="5"/>
        <v>0</v>
      </c>
    </row>
    <row r="2006">
      <c r="A2006" s="1" t="s">
        <v>1651</v>
      </c>
      <c r="B2006" s="3" t="str">
        <f t="shared" si="1"/>
        <v>Unavailable</v>
      </c>
      <c r="C2006" s="3">
        <v>56.0</v>
      </c>
      <c r="D2006" s="3">
        <f>IFERROR(__xludf.DUMMYFUNCTION("IFERROR(
IF(REGEXMATCH(LOWER(O2006),""k""),
VALUE(REGEXEXTRACT(O2006,""[0-9]+""))*1000,
VALUE(REGEXEXTRACT(O2006,""[0-9]+""))
),
0
)"),0.0)</f>
        <v>0</v>
      </c>
      <c r="E2006" s="1" t="s">
        <v>11</v>
      </c>
      <c r="F2006" s="1" t="s">
        <v>20</v>
      </c>
      <c r="G2006" s="4" t="b">
        <f t="shared" si="2"/>
        <v>1</v>
      </c>
      <c r="H2006" s="1" t="str">
        <f t="shared" si="3"/>
        <v>Currently Unavailable</v>
      </c>
      <c r="I2006" s="1" t="str">
        <f t="shared" si="4"/>
        <v>No Badges</v>
      </c>
      <c r="J2006" s="3">
        <f t="shared" si="5"/>
        <v>0</v>
      </c>
    </row>
    <row r="2007">
      <c r="A2007" s="1" t="s">
        <v>1652</v>
      </c>
      <c r="B2007" s="3" t="str">
        <f t="shared" si="1"/>
        <v>Unavailable</v>
      </c>
      <c r="C2007" s="5">
        <v>101122.0</v>
      </c>
      <c r="D2007" s="3">
        <f>IFERROR(__xludf.DUMMYFUNCTION("IFERROR(
IF(REGEXMATCH(LOWER(O2007),""k""),
VALUE(REGEXEXTRACT(O2007,""[0-9]+""))*1000,
VALUE(REGEXEXTRACT(O2007,""[0-9]+""))
),
0
)"),0.0)</f>
        <v>0</v>
      </c>
      <c r="E2007" s="1" t="s">
        <v>11</v>
      </c>
      <c r="F2007" s="1" t="s">
        <v>20</v>
      </c>
      <c r="G2007" s="4" t="b">
        <f t="shared" si="2"/>
        <v>1</v>
      </c>
      <c r="H2007" s="1" t="str">
        <f t="shared" si="3"/>
        <v>Currently Unavailable</v>
      </c>
      <c r="I2007" s="1" t="str">
        <f t="shared" si="4"/>
        <v>No Badges</v>
      </c>
      <c r="J2007" s="3">
        <f t="shared" si="5"/>
        <v>0</v>
      </c>
    </row>
    <row r="2008">
      <c r="A2008" s="1" t="s">
        <v>1653</v>
      </c>
      <c r="B2008" s="3" t="str">
        <f t="shared" si="1"/>
        <v>Unavailable</v>
      </c>
      <c r="C2008" s="5">
        <v>1251.0</v>
      </c>
      <c r="D2008" s="3">
        <f>IFERROR(__xludf.DUMMYFUNCTION("IFERROR(
IF(REGEXMATCH(LOWER(O2008),""k""),
VALUE(REGEXEXTRACT(O2008,""[0-9]+""))*1000,
VALUE(REGEXEXTRACT(O2008,""[0-9]+""))
),
0
)"),0.0)</f>
        <v>0</v>
      </c>
      <c r="E2008" s="1" t="s">
        <v>11</v>
      </c>
      <c r="F2008" s="1" t="s">
        <v>20</v>
      </c>
      <c r="G2008" s="4" t="b">
        <f t="shared" si="2"/>
        <v>1</v>
      </c>
      <c r="H2008" s="1" t="str">
        <f t="shared" si="3"/>
        <v>Currently Unavailable</v>
      </c>
      <c r="I2008" s="1" t="str">
        <f t="shared" si="4"/>
        <v>No Badges</v>
      </c>
      <c r="J2008" s="3">
        <f t="shared" si="5"/>
        <v>0</v>
      </c>
    </row>
    <row r="2009">
      <c r="A2009" s="1" t="s">
        <v>1654</v>
      </c>
      <c r="B2009" s="3" t="str">
        <f t="shared" si="1"/>
        <v>Unavailable</v>
      </c>
      <c r="C2009" s="5">
        <v>6558.0</v>
      </c>
      <c r="D2009" s="3">
        <f>IFERROR(__xludf.DUMMYFUNCTION("IFERROR(
IF(REGEXMATCH(LOWER(O2009),""k""),
VALUE(REGEXEXTRACT(O2009,""[0-9]+""))*1000,
VALUE(REGEXEXTRACT(O2009,""[0-9]+""))
),
0
)"),0.0)</f>
        <v>0</v>
      </c>
      <c r="E2009" s="1" t="s">
        <v>11</v>
      </c>
      <c r="F2009" s="1" t="s">
        <v>20</v>
      </c>
      <c r="G2009" s="4" t="b">
        <f t="shared" si="2"/>
        <v>1</v>
      </c>
      <c r="H2009" s="1" t="str">
        <f t="shared" si="3"/>
        <v>Currently Unavailable</v>
      </c>
      <c r="I2009" s="1" t="str">
        <f t="shared" si="4"/>
        <v>No Badges</v>
      </c>
      <c r="J2009" s="3">
        <f t="shared" si="5"/>
        <v>0</v>
      </c>
    </row>
    <row r="2010">
      <c r="A2010" s="1" t="s">
        <v>1655</v>
      </c>
      <c r="B2010" s="3" t="str">
        <f t="shared" si="1"/>
        <v>Unavailable</v>
      </c>
      <c r="C2010" s="5">
        <v>15132.0</v>
      </c>
      <c r="D2010" s="3">
        <f>IFERROR(__xludf.DUMMYFUNCTION("IFERROR(
IF(REGEXMATCH(LOWER(O2010),""k""),
VALUE(REGEXEXTRACT(O2010,""[0-9]+""))*1000,
VALUE(REGEXEXTRACT(O2010,""[0-9]+""))
),
0
)"),0.0)</f>
        <v>0</v>
      </c>
      <c r="E2010" s="1" t="s">
        <v>18</v>
      </c>
      <c r="F2010" s="1" t="s">
        <v>20</v>
      </c>
      <c r="G2010" s="4" t="b">
        <f t="shared" si="2"/>
        <v>1</v>
      </c>
      <c r="H2010" s="1" t="str">
        <f t="shared" si="3"/>
        <v>Currently Unavailable</v>
      </c>
      <c r="I2010" s="1" t="str">
        <f t="shared" si="4"/>
        <v>No Badges</v>
      </c>
      <c r="J2010" s="3">
        <f t="shared" si="5"/>
        <v>0</v>
      </c>
    </row>
    <row r="2011">
      <c r="A2011" s="1" t="s">
        <v>1656</v>
      </c>
      <c r="B2011" s="3" t="str">
        <f t="shared" si="1"/>
        <v>Unavailable</v>
      </c>
      <c r="C2011" s="5">
        <v>3141.0</v>
      </c>
      <c r="D2011" s="3">
        <f>IFERROR(__xludf.DUMMYFUNCTION("IFERROR(
IF(REGEXMATCH(LOWER(O2011),""k""),
VALUE(REGEXEXTRACT(O2011,""[0-9]+""))*1000,
VALUE(REGEXEXTRACT(O2011,""[0-9]+""))
),
0
)"),0.0)</f>
        <v>0</v>
      </c>
      <c r="E2011" s="1" t="s">
        <v>11</v>
      </c>
      <c r="F2011" s="1" t="s">
        <v>20</v>
      </c>
      <c r="G2011" s="4" t="b">
        <f t="shared" si="2"/>
        <v>1</v>
      </c>
      <c r="H2011" s="1" t="str">
        <f t="shared" si="3"/>
        <v>Currently Unavailable</v>
      </c>
      <c r="I2011" s="1" t="str">
        <f t="shared" si="4"/>
        <v>No Badges</v>
      </c>
      <c r="J2011" s="3">
        <f t="shared" si="5"/>
        <v>0</v>
      </c>
    </row>
    <row r="2012">
      <c r="A2012" s="1" t="s">
        <v>1657</v>
      </c>
      <c r="B2012" s="3" t="str">
        <f t="shared" si="1"/>
        <v>Unavailable</v>
      </c>
      <c r="C2012" s="5">
        <v>6038.0</v>
      </c>
      <c r="D2012" s="3">
        <f>IFERROR(__xludf.DUMMYFUNCTION("IFERROR(
IF(REGEXMATCH(LOWER(O2012),""k""),
VALUE(REGEXEXTRACT(O2012,""[0-9]+""))*1000,
VALUE(REGEXEXTRACT(O2012,""[0-9]+""))
),
0
)"),0.0)</f>
        <v>0</v>
      </c>
      <c r="E2012" s="1" t="s">
        <v>11</v>
      </c>
      <c r="F2012" s="1" t="s">
        <v>20</v>
      </c>
      <c r="G2012" s="4" t="b">
        <f t="shared" si="2"/>
        <v>1</v>
      </c>
      <c r="H2012" s="1" t="str">
        <f t="shared" si="3"/>
        <v>Currently Unavailable</v>
      </c>
      <c r="I2012" s="1" t="str">
        <f t="shared" si="4"/>
        <v>No Badges</v>
      </c>
      <c r="J2012" s="3">
        <f t="shared" si="5"/>
        <v>0</v>
      </c>
    </row>
    <row r="2013">
      <c r="A2013" s="1" t="s">
        <v>1658</v>
      </c>
      <c r="B2013" s="3" t="str">
        <f t="shared" si="1"/>
        <v>Unavailable</v>
      </c>
      <c r="C2013" s="3">
        <v>374.0</v>
      </c>
      <c r="D2013" s="3">
        <f>IFERROR(__xludf.DUMMYFUNCTION("IFERROR(
IF(REGEXMATCH(LOWER(O2013),""k""),
VALUE(REGEXEXTRACT(O2013,""[0-9]+""))*1000,
VALUE(REGEXEXTRACT(O2013,""[0-9]+""))
),
0
)"),0.0)</f>
        <v>0</v>
      </c>
      <c r="E2013" s="1" t="s">
        <v>11</v>
      </c>
      <c r="F2013" s="1" t="s">
        <v>20</v>
      </c>
      <c r="G2013" s="4" t="b">
        <f t="shared" si="2"/>
        <v>1</v>
      </c>
      <c r="H2013" s="1" t="str">
        <f t="shared" si="3"/>
        <v>Currently Unavailable</v>
      </c>
      <c r="I2013" s="1" t="str">
        <f t="shared" si="4"/>
        <v>No Badges</v>
      </c>
      <c r="J2013" s="3">
        <f t="shared" si="5"/>
        <v>0</v>
      </c>
    </row>
    <row r="2014">
      <c r="A2014" s="1" t="s">
        <v>1284</v>
      </c>
      <c r="B2014" s="3" t="str">
        <f t="shared" si="1"/>
        <v>Unavailable</v>
      </c>
      <c r="C2014" s="3">
        <v>172.0</v>
      </c>
      <c r="D2014" s="3">
        <f>IFERROR(__xludf.DUMMYFUNCTION("IFERROR(
IF(REGEXMATCH(LOWER(O2014),""k""),
VALUE(REGEXEXTRACT(O2014,""[0-9]+""))*1000,
VALUE(REGEXEXTRACT(O2014,""[0-9]+""))
),
0
)"),0.0)</f>
        <v>0</v>
      </c>
      <c r="E2014" s="1" t="s">
        <v>11</v>
      </c>
      <c r="F2014" s="1" t="s">
        <v>12</v>
      </c>
      <c r="G2014" s="4" t="b">
        <f t="shared" si="2"/>
        <v>1</v>
      </c>
      <c r="H2014" s="1" t="str">
        <f t="shared" si="3"/>
        <v>Currently Unavailable</v>
      </c>
      <c r="I2014" s="1" t="str">
        <f t="shared" si="4"/>
        <v>No Badges</v>
      </c>
      <c r="J2014" s="3">
        <f t="shared" si="5"/>
        <v>0</v>
      </c>
    </row>
    <row r="2015">
      <c r="A2015" s="1" t="s">
        <v>1659</v>
      </c>
      <c r="B2015" s="3" t="str">
        <f t="shared" si="1"/>
        <v>Unavailable</v>
      </c>
      <c r="C2015" s="5">
        <v>1695.0</v>
      </c>
      <c r="D2015" s="3">
        <f>IFERROR(__xludf.DUMMYFUNCTION("IFERROR(
IF(REGEXMATCH(LOWER(O2015),""k""),
VALUE(REGEXEXTRACT(O2015,""[0-9]+""))*1000,
VALUE(REGEXEXTRACT(O2015,""[0-9]+""))
),
0
)"),0.0)</f>
        <v>0</v>
      </c>
      <c r="E2015" s="1" t="s">
        <v>11</v>
      </c>
      <c r="F2015" s="1" t="s">
        <v>20</v>
      </c>
      <c r="G2015" s="4" t="b">
        <f t="shared" si="2"/>
        <v>1</v>
      </c>
      <c r="H2015" s="1" t="str">
        <f t="shared" si="3"/>
        <v>Currently Unavailable</v>
      </c>
      <c r="I2015" s="1" t="str">
        <f t="shared" si="4"/>
        <v>No Badges</v>
      </c>
      <c r="J2015" s="3">
        <f t="shared" si="5"/>
        <v>0</v>
      </c>
    </row>
    <row r="2016">
      <c r="A2016" s="1" t="s">
        <v>1660</v>
      </c>
      <c r="B2016" s="3" t="str">
        <f t="shared" si="1"/>
        <v>Unavailable</v>
      </c>
      <c r="C2016" s="5">
        <v>5920.0</v>
      </c>
      <c r="D2016" s="3">
        <f>IFERROR(__xludf.DUMMYFUNCTION("IFERROR(
IF(REGEXMATCH(LOWER(O2016),""k""),
VALUE(REGEXEXTRACT(O2016,""[0-9]+""))*1000,
VALUE(REGEXEXTRACT(O2016,""[0-9]+""))
),
0
)"),0.0)</f>
        <v>0</v>
      </c>
      <c r="E2016" s="1" t="s">
        <v>11</v>
      </c>
      <c r="F2016" s="1" t="s">
        <v>20</v>
      </c>
      <c r="G2016" s="4" t="b">
        <f t="shared" si="2"/>
        <v>1</v>
      </c>
      <c r="H2016" s="1" t="str">
        <f t="shared" si="3"/>
        <v>Currently Unavailable</v>
      </c>
      <c r="I2016" s="1" t="str">
        <f t="shared" si="4"/>
        <v>No Badges</v>
      </c>
      <c r="J2016" s="3">
        <f t="shared" si="5"/>
        <v>0</v>
      </c>
    </row>
    <row r="2017">
      <c r="A2017" s="1" t="s">
        <v>1661</v>
      </c>
      <c r="B2017" s="3" t="str">
        <f t="shared" si="1"/>
        <v>Unavailable</v>
      </c>
      <c r="C2017" s="3">
        <v>310.0</v>
      </c>
      <c r="D2017" s="3">
        <f>IFERROR(__xludf.DUMMYFUNCTION("IFERROR(
IF(REGEXMATCH(LOWER(O2017),""k""),
VALUE(REGEXEXTRACT(O2017,""[0-9]+""))*1000,
VALUE(REGEXEXTRACT(O2017,""[0-9]+""))
),
0
)"),0.0)</f>
        <v>0</v>
      </c>
      <c r="E2017" s="1" t="s">
        <v>11</v>
      </c>
      <c r="F2017" s="1" t="s">
        <v>20</v>
      </c>
      <c r="G2017" s="4" t="b">
        <f t="shared" si="2"/>
        <v>1</v>
      </c>
      <c r="H2017" s="1" t="str">
        <f t="shared" si="3"/>
        <v>Currently Unavailable</v>
      </c>
      <c r="I2017" s="1" t="str">
        <f t="shared" si="4"/>
        <v>No Badges</v>
      </c>
      <c r="J2017" s="3">
        <f t="shared" si="5"/>
        <v>0</v>
      </c>
    </row>
    <row r="2018">
      <c r="A2018" s="1" t="s">
        <v>67</v>
      </c>
      <c r="B2018" s="3" t="str">
        <f t="shared" si="1"/>
        <v>Unavailable</v>
      </c>
      <c r="C2018" s="3">
        <v>264.0</v>
      </c>
      <c r="D2018" s="3">
        <f>IFERROR(__xludf.DUMMYFUNCTION("IFERROR(
IF(REGEXMATCH(LOWER(O2018),""k""),
VALUE(REGEXEXTRACT(O2018,""[0-9]+""))*1000,
VALUE(REGEXEXTRACT(O2018,""[0-9]+""))
),
0
)"),0.0)</f>
        <v>0</v>
      </c>
      <c r="E2018" s="1" t="s">
        <v>11</v>
      </c>
      <c r="F2018" s="1" t="s">
        <v>12</v>
      </c>
      <c r="G2018" s="4" t="b">
        <f t="shared" si="2"/>
        <v>1</v>
      </c>
      <c r="H2018" s="1" t="str">
        <f t="shared" si="3"/>
        <v>Currently Unavailable</v>
      </c>
      <c r="I2018" s="1" t="str">
        <f t="shared" si="4"/>
        <v>No Badges</v>
      </c>
      <c r="J2018" s="3">
        <f t="shared" si="5"/>
        <v>0</v>
      </c>
    </row>
    <row r="2019">
      <c r="A2019" s="1" t="s">
        <v>1662</v>
      </c>
      <c r="B2019" s="3" t="str">
        <f t="shared" si="1"/>
        <v>Unavailable</v>
      </c>
      <c r="C2019" s="5">
        <v>13924.0</v>
      </c>
      <c r="D2019" s="3">
        <f>IFERROR(__xludf.DUMMYFUNCTION("IFERROR(
IF(REGEXMATCH(LOWER(O2019),""k""),
VALUE(REGEXEXTRACT(O2019,""[0-9]+""))*1000,
VALUE(REGEXEXTRACT(O2019,""[0-9]+""))
),
0
)"),0.0)</f>
        <v>0</v>
      </c>
      <c r="E2019" s="1" t="s">
        <v>11</v>
      </c>
      <c r="F2019" s="1" t="s">
        <v>20</v>
      </c>
      <c r="G2019" s="4" t="b">
        <f t="shared" si="2"/>
        <v>1</v>
      </c>
      <c r="H2019" s="1" t="str">
        <f t="shared" si="3"/>
        <v>Currently Unavailable</v>
      </c>
      <c r="I2019" s="1" t="str">
        <f t="shared" si="4"/>
        <v>No Badges</v>
      </c>
      <c r="J2019" s="3">
        <f t="shared" si="5"/>
        <v>0</v>
      </c>
    </row>
    <row r="2020">
      <c r="A2020" s="1" t="s">
        <v>701</v>
      </c>
      <c r="B2020" s="3" t="str">
        <f t="shared" si="1"/>
        <v>Unavailable</v>
      </c>
      <c r="C2020" s="3">
        <v>8.0</v>
      </c>
      <c r="D2020" s="3">
        <f>IFERROR(__xludf.DUMMYFUNCTION("IFERROR(
IF(REGEXMATCH(LOWER(O2020),""k""),
VALUE(REGEXEXTRACT(O2020,""[0-9]+""))*1000,
VALUE(REGEXEXTRACT(O2020,""[0-9]+""))
),
0
)"),0.0)</f>
        <v>0</v>
      </c>
      <c r="E2020" s="1" t="s">
        <v>11</v>
      </c>
      <c r="F2020" s="1" t="s">
        <v>12</v>
      </c>
      <c r="G2020" s="4" t="b">
        <f t="shared" si="2"/>
        <v>1</v>
      </c>
      <c r="H2020" s="1" t="str">
        <f t="shared" si="3"/>
        <v>Currently Unavailable</v>
      </c>
      <c r="I2020" s="1" t="str">
        <f t="shared" si="4"/>
        <v>No Badges</v>
      </c>
      <c r="J2020" s="3">
        <f t="shared" si="5"/>
        <v>0</v>
      </c>
    </row>
    <row r="2021">
      <c r="A2021" s="1" t="s">
        <v>1285</v>
      </c>
      <c r="B2021" s="3" t="str">
        <f t="shared" si="1"/>
        <v>Unavailable</v>
      </c>
      <c r="C2021" s="5">
        <v>3520.0</v>
      </c>
      <c r="D2021" s="3">
        <f>IFERROR(__xludf.DUMMYFUNCTION("IFERROR(
IF(REGEXMATCH(LOWER(O2021),""k""),
VALUE(REGEXEXTRACT(O2021,""[0-9]+""))*1000,
VALUE(REGEXEXTRACT(O2021,""[0-9]+""))
),
0
)"),0.0)</f>
        <v>0</v>
      </c>
      <c r="E2021" s="1" t="s">
        <v>11</v>
      </c>
      <c r="F2021" s="1" t="s">
        <v>12</v>
      </c>
      <c r="G2021" s="4" t="b">
        <f t="shared" si="2"/>
        <v>1</v>
      </c>
      <c r="H2021" s="1" t="str">
        <f t="shared" si="3"/>
        <v>Currently Unavailable</v>
      </c>
      <c r="I2021" s="1" t="str">
        <f t="shared" si="4"/>
        <v>No Badges</v>
      </c>
      <c r="J2021" s="3">
        <f t="shared" si="5"/>
        <v>0</v>
      </c>
    </row>
    <row r="2022">
      <c r="A2022" s="1" t="s">
        <v>1663</v>
      </c>
      <c r="B2022" s="3" t="str">
        <f t="shared" si="1"/>
        <v>Unavailable</v>
      </c>
      <c r="C2022" s="5">
        <v>9622.0</v>
      </c>
      <c r="D2022" s="3">
        <f>IFERROR(__xludf.DUMMYFUNCTION("IFERROR(
IF(REGEXMATCH(LOWER(O2022),""k""),
VALUE(REGEXEXTRACT(O2022,""[0-9]+""))*1000,
VALUE(REGEXEXTRACT(O2022,""[0-9]+""))
),
0
)"),0.0)</f>
        <v>0</v>
      </c>
      <c r="E2022" s="1" t="s">
        <v>11</v>
      </c>
      <c r="F2022" s="1" t="s">
        <v>20</v>
      </c>
      <c r="G2022" s="4" t="b">
        <f t="shared" si="2"/>
        <v>1</v>
      </c>
      <c r="H2022" s="1" t="str">
        <f t="shared" si="3"/>
        <v>Currently Unavailable</v>
      </c>
      <c r="I2022" s="1" t="str">
        <f t="shared" si="4"/>
        <v>No Badges</v>
      </c>
      <c r="J2022" s="3">
        <f t="shared" si="5"/>
        <v>0</v>
      </c>
    </row>
    <row r="2023">
      <c r="A2023" s="1" t="s">
        <v>1664</v>
      </c>
      <c r="B2023" s="3" t="str">
        <f t="shared" si="1"/>
        <v>Unavailable</v>
      </c>
      <c r="C2023" s="3">
        <v>217.0</v>
      </c>
      <c r="D2023" s="3">
        <f>IFERROR(__xludf.DUMMYFUNCTION("IFERROR(
IF(REGEXMATCH(LOWER(O2023),""k""),
VALUE(REGEXEXTRACT(O2023,""[0-9]+""))*1000,
VALUE(REGEXEXTRACT(O2023,""[0-9]+""))
),
0
)"),0.0)</f>
        <v>0</v>
      </c>
      <c r="E2023" s="1" t="s">
        <v>11</v>
      </c>
      <c r="F2023" s="1" t="s">
        <v>20</v>
      </c>
      <c r="G2023" s="4" t="b">
        <f t="shared" si="2"/>
        <v>1</v>
      </c>
      <c r="H2023" s="1" t="str">
        <f t="shared" si="3"/>
        <v>Currently Unavailable</v>
      </c>
      <c r="I2023" s="1" t="str">
        <f t="shared" si="4"/>
        <v>No Badges</v>
      </c>
      <c r="J2023" s="3">
        <f t="shared" si="5"/>
        <v>0</v>
      </c>
    </row>
    <row r="2024">
      <c r="A2024" s="1" t="s">
        <v>1665</v>
      </c>
      <c r="B2024" s="3" t="str">
        <f t="shared" si="1"/>
        <v>Unavailable</v>
      </c>
      <c r="C2024" s="3">
        <v>210.0</v>
      </c>
      <c r="D2024" s="3">
        <f>IFERROR(__xludf.DUMMYFUNCTION("IFERROR(
IF(REGEXMATCH(LOWER(O2024),""k""),
VALUE(REGEXEXTRACT(O2024,""[0-9]+""))*1000,
VALUE(REGEXEXTRACT(O2024,""[0-9]+""))
),
0
)"),0.0)</f>
        <v>0</v>
      </c>
      <c r="E2024" s="1" t="s">
        <v>11</v>
      </c>
      <c r="F2024" s="1" t="s">
        <v>20</v>
      </c>
      <c r="G2024" s="4" t="b">
        <f t="shared" si="2"/>
        <v>1</v>
      </c>
      <c r="H2024" s="1" t="str">
        <f t="shared" si="3"/>
        <v>Currently Unavailable</v>
      </c>
      <c r="I2024" s="1" t="str">
        <f t="shared" si="4"/>
        <v>No Badges</v>
      </c>
      <c r="J2024" s="3">
        <f t="shared" si="5"/>
        <v>0</v>
      </c>
    </row>
    <row r="2025">
      <c r="A2025" s="1" t="s">
        <v>1666</v>
      </c>
      <c r="B2025" s="3" t="str">
        <f t="shared" si="1"/>
        <v>Unavailable</v>
      </c>
      <c r="C2025" s="5">
        <v>14098.0</v>
      </c>
      <c r="D2025" s="3">
        <f>IFERROR(__xludf.DUMMYFUNCTION("IFERROR(
IF(REGEXMATCH(LOWER(O2025),""k""),
VALUE(REGEXEXTRACT(O2025,""[0-9]+""))*1000,
VALUE(REGEXEXTRACT(O2025,""[0-9]+""))
),
0
)"),0.0)</f>
        <v>0</v>
      </c>
      <c r="E2025" s="1" t="s">
        <v>11</v>
      </c>
      <c r="F2025" s="1" t="s">
        <v>20</v>
      </c>
      <c r="G2025" s="4" t="b">
        <f t="shared" si="2"/>
        <v>1</v>
      </c>
      <c r="H2025" s="1" t="str">
        <f t="shared" si="3"/>
        <v>Currently Unavailable</v>
      </c>
      <c r="I2025" s="1" t="str">
        <f t="shared" si="4"/>
        <v>No Badges</v>
      </c>
      <c r="J2025" s="3">
        <f t="shared" si="5"/>
        <v>0</v>
      </c>
    </row>
    <row r="2026">
      <c r="A2026" s="1" t="s">
        <v>1667</v>
      </c>
      <c r="B2026" s="3" t="str">
        <f t="shared" si="1"/>
        <v>Unavailable</v>
      </c>
      <c r="C2026" s="3">
        <v>613.0</v>
      </c>
      <c r="D2026" s="3">
        <f>IFERROR(__xludf.DUMMYFUNCTION("IFERROR(
IF(REGEXMATCH(LOWER(O2026),""k""),
VALUE(REGEXEXTRACT(O2026,""[0-9]+""))*1000,
VALUE(REGEXEXTRACT(O2026,""[0-9]+""))
),
0
)"),0.0)</f>
        <v>0</v>
      </c>
      <c r="E2026" s="1" t="s">
        <v>11</v>
      </c>
      <c r="F2026" s="1" t="s">
        <v>20</v>
      </c>
      <c r="G2026" s="4" t="b">
        <f t="shared" si="2"/>
        <v>1</v>
      </c>
      <c r="H2026" s="1" t="str">
        <f t="shared" si="3"/>
        <v>Currently Unavailable</v>
      </c>
      <c r="I2026" s="1" t="str">
        <f t="shared" si="4"/>
        <v>No Badges</v>
      </c>
      <c r="J2026" s="3">
        <f t="shared" si="5"/>
        <v>0</v>
      </c>
    </row>
    <row r="2027">
      <c r="A2027" s="1" t="s">
        <v>1668</v>
      </c>
      <c r="B2027" s="3" t="str">
        <f t="shared" si="1"/>
        <v>Unavailable</v>
      </c>
      <c r="C2027" s="5">
        <v>3490.0</v>
      </c>
      <c r="D2027" s="3">
        <f>IFERROR(__xludf.DUMMYFUNCTION("IFERROR(
IF(REGEXMATCH(LOWER(O2027),""k""),
VALUE(REGEXEXTRACT(O2027,""[0-9]+""))*1000,
VALUE(REGEXEXTRACT(O2027,""[0-9]+""))
),
0
)"),0.0)</f>
        <v>0</v>
      </c>
      <c r="E2027" s="1" t="s">
        <v>11</v>
      </c>
      <c r="F2027" s="1" t="s">
        <v>20</v>
      </c>
      <c r="G2027" s="4" t="b">
        <f t="shared" si="2"/>
        <v>1</v>
      </c>
      <c r="H2027" s="1" t="str">
        <f t="shared" si="3"/>
        <v>Currently Unavailable</v>
      </c>
      <c r="I2027" s="1" t="str">
        <f t="shared" si="4"/>
        <v>No Badges</v>
      </c>
      <c r="J2027" s="3">
        <f t="shared" si="5"/>
        <v>0</v>
      </c>
    </row>
    <row r="2028">
      <c r="A2028" s="1" t="s">
        <v>1669</v>
      </c>
      <c r="B2028" s="3" t="str">
        <f t="shared" si="1"/>
        <v>Unavailable</v>
      </c>
      <c r="C2028" s="5">
        <v>33604.0</v>
      </c>
      <c r="D2028" s="3">
        <f>IFERROR(__xludf.DUMMYFUNCTION("IFERROR(
IF(REGEXMATCH(LOWER(O2028),""k""),
VALUE(REGEXEXTRACT(O2028,""[0-9]+""))*1000,
VALUE(REGEXEXTRACT(O2028,""[0-9]+""))
),
0
)"),0.0)</f>
        <v>0</v>
      </c>
      <c r="E2028" s="1" t="s">
        <v>11</v>
      </c>
      <c r="F2028" s="1" t="s">
        <v>20</v>
      </c>
      <c r="G2028" s="4" t="b">
        <f t="shared" si="2"/>
        <v>1</v>
      </c>
      <c r="H2028" s="1" t="str">
        <f t="shared" si="3"/>
        <v>Currently Unavailable</v>
      </c>
      <c r="I2028" s="1" t="str">
        <f t="shared" si="4"/>
        <v>No Badges</v>
      </c>
      <c r="J2028" s="3">
        <f t="shared" si="5"/>
        <v>0</v>
      </c>
    </row>
    <row r="2029">
      <c r="A2029" s="1" t="s">
        <v>1670</v>
      </c>
      <c r="B2029" s="3" t="str">
        <f t="shared" si="1"/>
        <v>Unavailable</v>
      </c>
      <c r="C2029" s="5">
        <v>14284.0</v>
      </c>
      <c r="D2029" s="3">
        <f>IFERROR(__xludf.DUMMYFUNCTION("IFERROR(
IF(REGEXMATCH(LOWER(O2029),""k""),
VALUE(REGEXEXTRACT(O2029,""[0-9]+""))*1000,
VALUE(REGEXEXTRACT(O2029,""[0-9]+""))
),
0
)"),0.0)</f>
        <v>0</v>
      </c>
      <c r="E2029" s="1" t="s">
        <v>11</v>
      </c>
      <c r="F2029" s="1" t="s">
        <v>20</v>
      </c>
      <c r="G2029" s="4" t="b">
        <f t="shared" si="2"/>
        <v>1</v>
      </c>
      <c r="H2029" s="1" t="str">
        <f t="shared" si="3"/>
        <v>Currently Unavailable</v>
      </c>
      <c r="I2029" s="1" t="str">
        <f t="shared" si="4"/>
        <v>No Badges</v>
      </c>
      <c r="J2029" s="3">
        <f t="shared" si="5"/>
        <v>0</v>
      </c>
    </row>
    <row r="2030">
      <c r="A2030" s="1" t="s">
        <v>1671</v>
      </c>
      <c r="B2030" s="3" t="str">
        <f t="shared" si="1"/>
        <v>Unavailable</v>
      </c>
      <c r="C2030" s="5">
        <v>1791.0</v>
      </c>
      <c r="D2030" s="3">
        <f>IFERROR(__xludf.DUMMYFUNCTION("IFERROR(
IF(REGEXMATCH(LOWER(O2030),""k""),
VALUE(REGEXEXTRACT(O2030,""[0-9]+""))*1000,
VALUE(REGEXEXTRACT(O2030,""[0-9]+""))
),
0
)"),0.0)</f>
        <v>0</v>
      </c>
      <c r="E2030" s="1" t="s">
        <v>11</v>
      </c>
      <c r="F2030" s="1" t="s">
        <v>20</v>
      </c>
      <c r="G2030" s="4" t="b">
        <f t="shared" si="2"/>
        <v>1</v>
      </c>
      <c r="H2030" s="1" t="str">
        <f t="shared" si="3"/>
        <v>Currently Unavailable</v>
      </c>
      <c r="I2030" s="1" t="str">
        <f t="shared" si="4"/>
        <v>No Badges</v>
      </c>
      <c r="J2030" s="3">
        <f t="shared" si="5"/>
        <v>0</v>
      </c>
    </row>
    <row r="2031">
      <c r="A2031" s="1" t="s">
        <v>1284</v>
      </c>
      <c r="B2031" s="3" t="str">
        <f t="shared" si="1"/>
        <v>Unavailable</v>
      </c>
      <c r="C2031" s="3">
        <v>172.0</v>
      </c>
      <c r="D2031" s="3">
        <f>IFERROR(__xludf.DUMMYFUNCTION("IFERROR(
IF(REGEXMATCH(LOWER(O2031),""k""),
VALUE(REGEXEXTRACT(O2031,""[0-9]+""))*1000,
VALUE(REGEXEXTRACT(O2031,""[0-9]+""))
),
0
)"),0.0)</f>
        <v>0</v>
      </c>
      <c r="E2031" s="1" t="s">
        <v>11</v>
      </c>
      <c r="F2031" s="1" t="s">
        <v>12</v>
      </c>
      <c r="G2031" s="4" t="b">
        <f t="shared" si="2"/>
        <v>1</v>
      </c>
      <c r="H2031" s="1" t="str">
        <f t="shared" si="3"/>
        <v>Currently Unavailable</v>
      </c>
      <c r="I2031" s="1" t="str">
        <f t="shared" si="4"/>
        <v>No Badges</v>
      </c>
      <c r="J2031" s="3">
        <f t="shared" si="5"/>
        <v>0</v>
      </c>
    </row>
    <row r="2032">
      <c r="A2032" s="1" t="s">
        <v>1672</v>
      </c>
      <c r="B2032" s="3" t="str">
        <f t="shared" si="1"/>
        <v>Unavailable</v>
      </c>
      <c r="C2032" s="5">
        <v>5337.0</v>
      </c>
      <c r="D2032" s="3">
        <f>IFERROR(__xludf.DUMMYFUNCTION("IFERROR(
IF(REGEXMATCH(LOWER(O2032),""k""),
VALUE(REGEXEXTRACT(O2032,""[0-9]+""))*1000,
VALUE(REGEXEXTRACT(O2032,""[0-9]+""))
),
0
)"),0.0)</f>
        <v>0</v>
      </c>
      <c r="E2032" s="1" t="s">
        <v>11</v>
      </c>
      <c r="F2032" s="1" t="s">
        <v>20</v>
      </c>
      <c r="G2032" s="4" t="b">
        <f t="shared" si="2"/>
        <v>1</v>
      </c>
      <c r="H2032" s="1" t="str">
        <f t="shared" si="3"/>
        <v>Currently Unavailable</v>
      </c>
      <c r="I2032" s="1" t="str">
        <f t="shared" si="4"/>
        <v>No Badges</v>
      </c>
      <c r="J2032" s="3">
        <f t="shared" si="5"/>
        <v>0</v>
      </c>
    </row>
    <row r="2033">
      <c r="A2033" s="1" t="s">
        <v>1673</v>
      </c>
      <c r="B2033" s="3" t="str">
        <f t="shared" si="1"/>
        <v>Unavailable</v>
      </c>
      <c r="C2033" s="5">
        <v>4999.0</v>
      </c>
      <c r="D2033" s="3">
        <f>IFERROR(__xludf.DUMMYFUNCTION("IFERROR(
IF(REGEXMATCH(LOWER(O2033),""k""),
VALUE(REGEXEXTRACT(O2033,""[0-9]+""))*1000,
VALUE(REGEXEXTRACT(O2033,""[0-9]+""))
),
0
)"),0.0)</f>
        <v>0</v>
      </c>
      <c r="E2033" s="1" t="s">
        <v>11</v>
      </c>
      <c r="F2033" s="1" t="s">
        <v>20</v>
      </c>
      <c r="G2033" s="4" t="b">
        <f t="shared" si="2"/>
        <v>1</v>
      </c>
      <c r="H2033" s="1" t="str">
        <f t="shared" si="3"/>
        <v>Currently Unavailable</v>
      </c>
      <c r="I2033" s="1" t="str">
        <f t="shared" si="4"/>
        <v>No Badges</v>
      </c>
      <c r="J2033" s="3">
        <f t="shared" si="5"/>
        <v>0</v>
      </c>
    </row>
    <row r="2034">
      <c r="A2034" s="1" t="s">
        <v>88</v>
      </c>
      <c r="B2034" s="3" t="str">
        <f t="shared" si="1"/>
        <v>Unavailable</v>
      </c>
      <c r="C2034" s="3">
        <v>5.0</v>
      </c>
      <c r="D2034" s="3">
        <f>IFERROR(__xludf.DUMMYFUNCTION("IFERROR(
IF(REGEXMATCH(LOWER(O2034),""k""),
VALUE(REGEXEXTRACT(O2034,""[0-9]+""))*1000,
VALUE(REGEXEXTRACT(O2034,""[0-9]+""))
),
0
)"),0.0)</f>
        <v>0</v>
      </c>
      <c r="E2034" s="1" t="s">
        <v>11</v>
      </c>
      <c r="F2034" s="1" t="s">
        <v>12</v>
      </c>
      <c r="G2034" s="4" t="b">
        <f t="shared" si="2"/>
        <v>1</v>
      </c>
      <c r="H2034" s="1" t="str">
        <f t="shared" si="3"/>
        <v>Currently Unavailable</v>
      </c>
      <c r="I2034" s="1" t="str">
        <f t="shared" si="4"/>
        <v>No Badges</v>
      </c>
      <c r="J2034" s="3">
        <f t="shared" si="5"/>
        <v>0</v>
      </c>
    </row>
    <row r="2035">
      <c r="A2035" s="1" t="s">
        <v>1285</v>
      </c>
      <c r="B2035" s="3" t="str">
        <f t="shared" si="1"/>
        <v>Unavailable</v>
      </c>
      <c r="C2035" s="5">
        <v>3520.0</v>
      </c>
      <c r="D2035" s="3">
        <f>IFERROR(__xludf.DUMMYFUNCTION("IFERROR(
IF(REGEXMATCH(LOWER(O2035),""k""),
VALUE(REGEXEXTRACT(O2035,""[0-9]+""))*1000,
VALUE(REGEXEXTRACT(O2035,""[0-9]+""))
),
0
)"),0.0)</f>
        <v>0</v>
      </c>
      <c r="E2035" s="1" t="s">
        <v>11</v>
      </c>
      <c r="F2035" s="1" t="s">
        <v>12</v>
      </c>
      <c r="G2035" s="4" t="b">
        <f t="shared" si="2"/>
        <v>1</v>
      </c>
      <c r="H2035" s="1" t="str">
        <f t="shared" si="3"/>
        <v>Currently Unavailable</v>
      </c>
      <c r="I2035" s="1" t="str">
        <f t="shared" si="4"/>
        <v>No Badges</v>
      </c>
      <c r="J2035" s="3">
        <f t="shared" si="5"/>
        <v>0</v>
      </c>
    </row>
    <row r="2036">
      <c r="A2036" s="1" t="s">
        <v>1284</v>
      </c>
      <c r="B2036" s="3" t="str">
        <f t="shared" si="1"/>
        <v>Unavailable</v>
      </c>
      <c r="C2036" s="3">
        <v>172.0</v>
      </c>
      <c r="D2036" s="3">
        <f>IFERROR(__xludf.DUMMYFUNCTION("IFERROR(
IF(REGEXMATCH(LOWER(O2036),""k""),
VALUE(REGEXEXTRACT(O2036,""[0-9]+""))*1000,
VALUE(REGEXEXTRACT(O2036,""[0-9]+""))
),
0
)"),0.0)</f>
        <v>0</v>
      </c>
      <c r="E2036" s="1" t="s">
        <v>11</v>
      </c>
      <c r="F2036" s="1" t="s">
        <v>12</v>
      </c>
      <c r="G2036" s="4" t="b">
        <f t="shared" si="2"/>
        <v>1</v>
      </c>
      <c r="H2036" s="1" t="str">
        <f t="shared" si="3"/>
        <v>Currently Unavailable</v>
      </c>
      <c r="I2036" s="1" t="str">
        <f t="shared" si="4"/>
        <v>No Badges</v>
      </c>
      <c r="J2036" s="3">
        <f t="shared" si="5"/>
        <v>0</v>
      </c>
    </row>
    <row r="2037">
      <c r="A2037" s="1" t="s">
        <v>1674</v>
      </c>
      <c r="B2037" s="3" t="str">
        <f t="shared" si="1"/>
        <v>Unavailable</v>
      </c>
      <c r="C2037" s="3">
        <v>31.0</v>
      </c>
      <c r="D2037" s="3">
        <f>IFERROR(__xludf.DUMMYFUNCTION("IFERROR(
IF(REGEXMATCH(LOWER(O2037),""k""),
VALUE(REGEXEXTRACT(O2037,""[0-9]+""))*1000,
VALUE(REGEXEXTRACT(O2037,""[0-9]+""))
),
0
)"),0.0)</f>
        <v>0</v>
      </c>
      <c r="E2037" s="1" t="s">
        <v>11</v>
      </c>
      <c r="F2037" s="1" t="s">
        <v>12</v>
      </c>
      <c r="G2037" s="4" t="b">
        <f t="shared" si="2"/>
        <v>1</v>
      </c>
      <c r="H2037" s="1" t="str">
        <f t="shared" si="3"/>
        <v>Currently Unavailable</v>
      </c>
      <c r="I2037" s="1" t="str">
        <f t="shared" si="4"/>
        <v>No Badges</v>
      </c>
      <c r="J2037" s="3">
        <f t="shared" si="5"/>
        <v>0</v>
      </c>
    </row>
    <row r="2038">
      <c r="A2038" s="1" t="s">
        <v>1675</v>
      </c>
      <c r="B2038" s="3" t="str">
        <f t="shared" si="1"/>
        <v>Unavailable</v>
      </c>
      <c r="C2038" s="3">
        <v>531.0</v>
      </c>
      <c r="D2038" s="3">
        <f>IFERROR(__xludf.DUMMYFUNCTION("IFERROR(
IF(REGEXMATCH(LOWER(O2038),""k""),
VALUE(REGEXEXTRACT(O2038,""[0-9]+""))*1000,
VALUE(REGEXEXTRACT(O2038,""[0-9]+""))
),
0
)"),0.0)</f>
        <v>0</v>
      </c>
      <c r="E2038" s="1" t="s">
        <v>11</v>
      </c>
      <c r="F2038" s="1" t="s">
        <v>20</v>
      </c>
      <c r="G2038" s="4" t="b">
        <f t="shared" si="2"/>
        <v>1</v>
      </c>
      <c r="H2038" s="1" t="str">
        <f t="shared" si="3"/>
        <v>Currently Unavailable</v>
      </c>
      <c r="I2038" s="1" t="str">
        <f t="shared" si="4"/>
        <v>No Badges</v>
      </c>
      <c r="J2038" s="3">
        <f t="shared" si="5"/>
        <v>0</v>
      </c>
    </row>
    <row r="2039">
      <c r="A2039" s="1" t="s">
        <v>1676</v>
      </c>
      <c r="B2039" s="3" t="str">
        <f t="shared" si="1"/>
        <v>Unavailable</v>
      </c>
      <c r="C2039" s="3">
        <v>791.0</v>
      </c>
      <c r="D2039" s="3">
        <f>IFERROR(__xludf.DUMMYFUNCTION("IFERROR(
IF(REGEXMATCH(LOWER(O2039),""k""),
VALUE(REGEXEXTRACT(O2039,""[0-9]+""))*1000,
VALUE(REGEXEXTRACT(O2039,""[0-9]+""))
),
0
)"),0.0)</f>
        <v>0</v>
      </c>
      <c r="E2039" s="1" t="s">
        <v>11</v>
      </c>
      <c r="F2039" s="1" t="s">
        <v>20</v>
      </c>
      <c r="G2039" s="4" t="b">
        <f t="shared" si="2"/>
        <v>1</v>
      </c>
      <c r="H2039" s="1" t="str">
        <f t="shared" si="3"/>
        <v>Currently Unavailable</v>
      </c>
      <c r="I2039" s="1" t="str">
        <f t="shared" si="4"/>
        <v>No Badges</v>
      </c>
      <c r="J2039" s="3">
        <f t="shared" si="5"/>
        <v>0</v>
      </c>
    </row>
    <row r="2040">
      <c r="A2040" s="1" t="s">
        <v>1677</v>
      </c>
      <c r="B2040" s="3" t="str">
        <f t="shared" si="1"/>
        <v>Unavailable</v>
      </c>
      <c r="C2040" s="5">
        <v>3449.0</v>
      </c>
      <c r="D2040" s="3">
        <f>IFERROR(__xludf.DUMMYFUNCTION("IFERROR(
IF(REGEXMATCH(LOWER(O2040),""k""),
VALUE(REGEXEXTRACT(O2040,""[0-9]+""))*1000,
VALUE(REGEXEXTRACT(O2040,""[0-9]+""))
),
0
)"),0.0)</f>
        <v>0</v>
      </c>
      <c r="E2040" s="1" t="s">
        <v>11</v>
      </c>
      <c r="F2040" s="1" t="s">
        <v>20</v>
      </c>
      <c r="G2040" s="4" t="b">
        <f t="shared" si="2"/>
        <v>1</v>
      </c>
      <c r="H2040" s="1" t="str">
        <f t="shared" si="3"/>
        <v>Currently Unavailable</v>
      </c>
      <c r="I2040" s="1" t="str">
        <f t="shared" si="4"/>
        <v>No Badges</v>
      </c>
      <c r="J2040" s="3">
        <f t="shared" si="5"/>
        <v>0</v>
      </c>
    </row>
    <row r="2041">
      <c r="A2041" s="1" t="s">
        <v>1678</v>
      </c>
      <c r="B2041" s="3" t="str">
        <f t="shared" si="1"/>
        <v>Unavailable</v>
      </c>
      <c r="C2041" s="5">
        <v>11804.0</v>
      </c>
      <c r="D2041" s="3">
        <f>IFERROR(__xludf.DUMMYFUNCTION("IFERROR(
IF(REGEXMATCH(LOWER(O2041),""k""),
VALUE(REGEXEXTRACT(O2041,""[0-9]+""))*1000,
VALUE(REGEXEXTRACT(O2041,""[0-9]+""))
),
0
)"),0.0)</f>
        <v>0</v>
      </c>
      <c r="E2041" s="1" t="s">
        <v>11</v>
      </c>
      <c r="F2041" s="1" t="s">
        <v>20</v>
      </c>
      <c r="G2041" s="4" t="b">
        <f t="shared" si="2"/>
        <v>1</v>
      </c>
      <c r="H2041" s="1" t="str">
        <f t="shared" si="3"/>
        <v>Currently Unavailable</v>
      </c>
      <c r="I2041" s="1" t="str">
        <f t="shared" si="4"/>
        <v>No Badges</v>
      </c>
      <c r="J2041" s="3">
        <f t="shared" si="5"/>
        <v>0</v>
      </c>
    </row>
    <row r="2042">
      <c r="A2042" s="1" t="s">
        <v>1679</v>
      </c>
      <c r="B2042" s="3" t="str">
        <f t="shared" si="1"/>
        <v>Unavailable</v>
      </c>
      <c r="C2042" s="5">
        <v>4206.0</v>
      </c>
      <c r="D2042" s="3">
        <f>IFERROR(__xludf.DUMMYFUNCTION("IFERROR(
IF(REGEXMATCH(LOWER(O2042),""k""),
VALUE(REGEXEXTRACT(O2042,""[0-9]+""))*1000,
VALUE(REGEXEXTRACT(O2042,""[0-9]+""))
),
0
)"),0.0)</f>
        <v>0</v>
      </c>
      <c r="E2042" s="1" t="s">
        <v>11</v>
      </c>
      <c r="F2042" s="1" t="s">
        <v>20</v>
      </c>
      <c r="G2042" s="4" t="b">
        <f t="shared" si="2"/>
        <v>1</v>
      </c>
      <c r="H2042" s="1" t="str">
        <f t="shared" si="3"/>
        <v>Currently Unavailable</v>
      </c>
      <c r="I2042" s="1" t="str">
        <f t="shared" si="4"/>
        <v>No Badges</v>
      </c>
      <c r="J2042" s="3">
        <f t="shared" si="5"/>
        <v>0</v>
      </c>
    </row>
    <row r="2043">
      <c r="A2043" s="1" t="s">
        <v>1680</v>
      </c>
      <c r="B2043" s="3" t="str">
        <f t="shared" si="1"/>
        <v>Unavailable</v>
      </c>
      <c r="C2043" s="5">
        <v>1710.0</v>
      </c>
      <c r="D2043" s="3">
        <f>IFERROR(__xludf.DUMMYFUNCTION("IFERROR(
IF(REGEXMATCH(LOWER(O2043),""k""),
VALUE(REGEXEXTRACT(O2043,""[0-9]+""))*1000,
VALUE(REGEXEXTRACT(O2043,""[0-9]+""))
),
0
)"),0.0)</f>
        <v>0</v>
      </c>
      <c r="E2043" s="1" t="s">
        <v>11</v>
      </c>
      <c r="F2043" s="1" t="s">
        <v>20</v>
      </c>
      <c r="G2043" s="4" t="b">
        <f t="shared" si="2"/>
        <v>1</v>
      </c>
      <c r="H2043" s="1" t="str">
        <f t="shared" si="3"/>
        <v>Currently Unavailable</v>
      </c>
      <c r="I2043" s="1" t="str">
        <f t="shared" si="4"/>
        <v>No Badges</v>
      </c>
      <c r="J2043" s="3">
        <f t="shared" si="5"/>
        <v>0</v>
      </c>
    </row>
    <row r="2044">
      <c r="A2044" s="1" t="s">
        <v>1681</v>
      </c>
      <c r="B2044" s="3" t="str">
        <f t="shared" si="1"/>
        <v>Unavailable</v>
      </c>
      <c r="C2044" s="3">
        <v>678.0</v>
      </c>
      <c r="D2044" s="3">
        <f>IFERROR(__xludf.DUMMYFUNCTION("IFERROR(
IF(REGEXMATCH(LOWER(O2044),""k""),
VALUE(REGEXEXTRACT(O2044,""[0-9]+""))*1000,
VALUE(REGEXEXTRACT(O2044,""[0-9]+""))
),
0
)"),0.0)</f>
        <v>0</v>
      </c>
      <c r="E2044" s="1" t="s">
        <v>11</v>
      </c>
      <c r="F2044" s="1" t="s">
        <v>20</v>
      </c>
      <c r="G2044" s="4" t="b">
        <f t="shared" si="2"/>
        <v>1</v>
      </c>
      <c r="H2044" s="1" t="str">
        <f t="shared" si="3"/>
        <v>Currently Unavailable</v>
      </c>
      <c r="I2044" s="1" t="str">
        <f t="shared" si="4"/>
        <v>No Badges</v>
      </c>
      <c r="J2044" s="3">
        <f t="shared" si="5"/>
        <v>0</v>
      </c>
    </row>
    <row r="2045">
      <c r="A2045" s="1" t="s">
        <v>1682</v>
      </c>
      <c r="B2045" s="3" t="str">
        <f t="shared" si="1"/>
        <v>Unavailable</v>
      </c>
      <c r="C2045" s="5">
        <v>2324.0</v>
      </c>
      <c r="D2045" s="3">
        <f>IFERROR(__xludf.DUMMYFUNCTION("IFERROR(
IF(REGEXMATCH(LOWER(O2045),""k""),
VALUE(REGEXEXTRACT(O2045,""[0-9]+""))*1000,
VALUE(REGEXEXTRACT(O2045,""[0-9]+""))
),
0
)"),0.0)</f>
        <v>0</v>
      </c>
      <c r="E2045" s="1" t="s">
        <v>11</v>
      </c>
      <c r="F2045" s="1" t="s">
        <v>20</v>
      </c>
      <c r="G2045" s="4" t="b">
        <f t="shared" si="2"/>
        <v>1</v>
      </c>
      <c r="H2045" s="1" t="str">
        <f t="shared" si="3"/>
        <v>Currently Unavailable</v>
      </c>
      <c r="I2045" s="1" t="str">
        <f t="shared" si="4"/>
        <v>No Badges</v>
      </c>
      <c r="J2045" s="3">
        <f t="shared" si="5"/>
        <v>0</v>
      </c>
    </row>
    <row r="2046">
      <c r="A2046" s="1" t="s">
        <v>1683</v>
      </c>
      <c r="B2046" s="3" t="str">
        <f t="shared" si="1"/>
        <v>Unavailable</v>
      </c>
      <c r="C2046" s="5">
        <v>4061.0</v>
      </c>
      <c r="D2046" s="3">
        <f>IFERROR(__xludf.DUMMYFUNCTION("IFERROR(
IF(REGEXMATCH(LOWER(O2046),""k""),
VALUE(REGEXEXTRACT(O2046,""[0-9]+""))*1000,
VALUE(REGEXEXTRACT(O2046,""[0-9]+""))
),
0
)"),0.0)</f>
        <v>0</v>
      </c>
      <c r="E2046" s="1" t="s">
        <v>11</v>
      </c>
      <c r="F2046" s="1" t="s">
        <v>20</v>
      </c>
      <c r="G2046" s="4" t="b">
        <f t="shared" si="2"/>
        <v>1</v>
      </c>
      <c r="H2046" s="1" t="str">
        <f t="shared" si="3"/>
        <v>Currently Unavailable</v>
      </c>
      <c r="I2046" s="1" t="str">
        <f t="shared" si="4"/>
        <v>No Badges</v>
      </c>
      <c r="J2046" s="3">
        <f t="shared" si="5"/>
        <v>0</v>
      </c>
    </row>
    <row r="2047">
      <c r="A2047" s="1" t="s">
        <v>1684</v>
      </c>
      <c r="B2047" s="3" t="str">
        <f t="shared" si="1"/>
        <v>Unavailable</v>
      </c>
      <c r="C2047" s="5">
        <v>10932.0</v>
      </c>
      <c r="D2047" s="3">
        <f>IFERROR(__xludf.DUMMYFUNCTION("IFERROR(
IF(REGEXMATCH(LOWER(O2047),""k""),
VALUE(REGEXEXTRACT(O2047,""[0-9]+""))*1000,
VALUE(REGEXEXTRACT(O2047,""[0-9]+""))
),
0
)"),0.0)</f>
        <v>0</v>
      </c>
      <c r="E2047" s="1" t="s">
        <v>11</v>
      </c>
      <c r="F2047" s="1" t="s">
        <v>20</v>
      </c>
      <c r="G2047" s="4" t="b">
        <f t="shared" si="2"/>
        <v>1</v>
      </c>
      <c r="H2047" s="1" t="str">
        <f t="shared" si="3"/>
        <v>Currently Unavailable</v>
      </c>
      <c r="I2047" s="1" t="str">
        <f t="shared" si="4"/>
        <v>No Badges</v>
      </c>
      <c r="J2047" s="3">
        <f t="shared" si="5"/>
        <v>0</v>
      </c>
    </row>
    <row r="2048">
      <c r="A2048" s="1" t="s">
        <v>1285</v>
      </c>
      <c r="B2048" s="3" t="str">
        <f t="shared" si="1"/>
        <v>Unavailable</v>
      </c>
      <c r="C2048" s="5">
        <v>3520.0</v>
      </c>
      <c r="D2048" s="3">
        <f>IFERROR(__xludf.DUMMYFUNCTION("IFERROR(
IF(REGEXMATCH(LOWER(O2048),""k""),
VALUE(REGEXEXTRACT(O2048,""[0-9]+""))*1000,
VALUE(REGEXEXTRACT(O2048,""[0-9]+""))
),
0
)"),0.0)</f>
        <v>0</v>
      </c>
      <c r="E2048" s="1" t="s">
        <v>11</v>
      </c>
      <c r="F2048" s="1" t="s">
        <v>12</v>
      </c>
      <c r="G2048" s="4" t="b">
        <f t="shared" si="2"/>
        <v>1</v>
      </c>
      <c r="H2048" s="1" t="str">
        <f t="shared" si="3"/>
        <v>Currently Unavailable</v>
      </c>
      <c r="I2048" s="1" t="str">
        <f t="shared" si="4"/>
        <v>No Badges</v>
      </c>
      <c r="J2048" s="3">
        <f t="shared" si="5"/>
        <v>0</v>
      </c>
    </row>
    <row r="2049">
      <c r="A2049" s="1" t="s">
        <v>1284</v>
      </c>
      <c r="B2049" s="3" t="str">
        <f t="shared" si="1"/>
        <v>Unavailable</v>
      </c>
      <c r="C2049" s="3">
        <v>172.0</v>
      </c>
      <c r="D2049" s="3">
        <f>IFERROR(__xludf.DUMMYFUNCTION("IFERROR(
IF(REGEXMATCH(LOWER(O2049),""k""),
VALUE(REGEXEXTRACT(O2049,""[0-9]+""))*1000,
VALUE(REGEXEXTRACT(O2049,""[0-9]+""))
),
0
)"),0.0)</f>
        <v>0</v>
      </c>
      <c r="E2049" s="1" t="s">
        <v>11</v>
      </c>
      <c r="F2049" s="1" t="s">
        <v>12</v>
      </c>
      <c r="G2049" s="4" t="b">
        <f t="shared" si="2"/>
        <v>1</v>
      </c>
      <c r="H2049" s="1" t="str">
        <f t="shared" si="3"/>
        <v>Currently Unavailable</v>
      </c>
      <c r="I2049" s="1" t="str">
        <f t="shared" si="4"/>
        <v>No Badges</v>
      </c>
      <c r="J2049" s="3">
        <f t="shared" si="5"/>
        <v>0</v>
      </c>
    </row>
    <row r="2050">
      <c r="A2050" s="1" t="s">
        <v>1684</v>
      </c>
      <c r="B2050" s="3" t="str">
        <f t="shared" si="1"/>
        <v>Unavailable</v>
      </c>
      <c r="C2050" s="5">
        <v>10932.0</v>
      </c>
      <c r="D2050" s="3">
        <f>IFERROR(__xludf.DUMMYFUNCTION("IFERROR(
IF(REGEXMATCH(LOWER(O2050),""k""),
VALUE(REGEXEXTRACT(O2050,""[0-9]+""))*1000,
VALUE(REGEXEXTRACT(O2050,""[0-9]+""))
),
0
)"),0.0)</f>
        <v>0</v>
      </c>
      <c r="E2050" s="1" t="s">
        <v>11</v>
      </c>
      <c r="F2050" s="1" t="s">
        <v>20</v>
      </c>
      <c r="G2050" s="4" t="b">
        <f t="shared" si="2"/>
        <v>1</v>
      </c>
      <c r="H2050" s="1" t="str">
        <f t="shared" si="3"/>
        <v>Currently Unavailable</v>
      </c>
      <c r="I2050" s="1" t="str">
        <f t="shared" si="4"/>
        <v>No Badges</v>
      </c>
      <c r="J2050" s="3">
        <f t="shared" si="5"/>
        <v>0</v>
      </c>
    </row>
    <row r="2051">
      <c r="A2051" s="1" t="s">
        <v>69</v>
      </c>
      <c r="B2051" s="3" t="str">
        <f t="shared" si="1"/>
        <v>Unavailable</v>
      </c>
      <c r="C2051" s="3">
        <v>45.0</v>
      </c>
      <c r="D2051" s="3">
        <f>IFERROR(__xludf.DUMMYFUNCTION("IFERROR(
IF(REGEXMATCH(LOWER(O2051),""k""),
VALUE(REGEXEXTRACT(O2051,""[0-9]+""))*1000,
VALUE(REGEXEXTRACT(O2051,""[0-9]+""))
),
0
)"),0.0)</f>
        <v>0</v>
      </c>
      <c r="E2051" s="1" t="s">
        <v>11</v>
      </c>
      <c r="F2051" s="1" t="s">
        <v>12</v>
      </c>
      <c r="G2051" s="4" t="b">
        <f t="shared" si="2"/>
        <v>1</v>
      </c>
      <c r="H2051" s="1" t="str">
        <f t="shared" si="3"/>
        <v>Currently Unavailable</v>
      </c>
      <c r="I2051" s="1" t="str">
        <f t="shared" si="4"/>
        <v>No Badges</v>
      </c>
      <c r="J2051" s="3">
        <f t="shared" si="5"/>
        <v>0</v>
      </c>
    </row>
    <row r="2052">
      <c r="A2052" s="1" t="s">
        <v>67</v>
      </c>
      <c r="B2052" s="3" t="str">
        <f t="shared" si="1"/>
        <v>Unavailable</v>
      </c>
      <c r="C2052" s="3">
        <v>264.0</v>
      </c>
      <c r="D2052" s="3">
        <f>IFERROR(__xludf.DUMMYFUNCTION("IFERROR(
IF(REGEXMATCH(LOWER(O2052),""k""),
VALUE(REGEXEXTRACT(O2052,""[0-9]+""))*1000,
VALUE(REGEXEXTRACT(O2052,""[0-9]+""))
),
0
)"),0.0)</f>
        <v>0</v>
      </c>
      <c r="E2052" s="1" t="s">
        <v>11</v>
      </c>
      <c r="F2052" s="1" t="s">
        <v>12</v>
      </c>
      <c r="G2052" s="4" t="b">
        <f t="shared" si="2"/>
        <v>1</v>
      </c>
      <c r="H2052" s="1" t="str">
        <f t="shared" si="3"/>
        <v>Currently Unavailable</v>
      </c>
      <c r="I2052" s="1" t="str">
        <f t="shared" si="4"/>
        <v>No Badges</v>
      </c>
      <c r="J2052" s="3">
        <f t="shared" si="5"/>
        <v>0</v>
      </c>
    </row>
    <row r="2053">
      <c r="A2053" s="1" t="s">
        <v>1685</v>
      </c>
      <c r="B2053" s="3" t="str">
        <f t="shared" si="1"/>
        <v>Unavailable</v>
      </c>
      <c r="C2053" s="5">
        <v>3944.0</v>
      </c>
      <c r="D2053" s="3">
        <f>IFERROR(__xludf.DUMMYFUNCTION("IFERROR(
IF(REGEXMATCH(LOWER(O2053),""k""),
VALUE(REGEXEXTRACT(O2053,""[0-9]+""))*1000,
VALUE(REGEXEXTRACT(O2053,""[0-9]+""))
),
0
)"),0.0)</f>
        <v>0</v>
      </c>
      <c r="E2053" s="1" t="s">
        <v>11</v>
      </c>
      <c r="F2053" s="1" t="s">
        <v>20</v>
      </c>
      <c r="G2053" s="4" t="b">
        <f t="shared" si="2"/>
        <v>1</v>
      </c>
      <c r="H2053" s="1" t="str">
        <f t="shared" si="3"/>
        <v>Currently Unavailable</v>
      </c>
      <c r="I2053" s="1" t="str">
        <f t="shared" si="4"/>
        <v>No Badges</v>
      </c>
      <c r="J2053" s="3">
        <f t="shared" si="5"/>
        <v>0</v>
      </c>
    </row>
    <row r="2054">
      <c r="A2054" s="1" t="s">
        <v>1686</v>
      </c>
      <c r="B2054" s="3" t="str">
        <f t="shared" si="1"/>
        <v>Unavailable</v>
      </c>
      <c r="C2054" s="3">
        <v>523.0</v>
      </c>
      <c r="D2054" s="3">
        <f>IFERROR(__xludf.DUMMYFUNCTION("IFERROR(
IF(REGEXMATCH(LOWER(O2054),""k""),
VALUE(REGEXEXTRACT(O2054,""[0-9]+""))*1000,
VALUE(REGEXEXTRACT(O2054,""[0-9]+""))
),
0
)"),0.0)</f>
        <v>0</v>
      </c>
      <c r="E2054" s="1" t="s">
        <v>11</v>
      </c>
      <c r="F2054" s="1" t="s">
        <v>20</v>
      </c>
      <c r="G2054" s="4" t="b">
        <f t="shared" si="2"/>
        <v>1</v>
      </c>
      <c r="H2054" s="1" t="str">
        <f t="shared" si="3"/>
        <v>Currently Unavailable</v>
      </c>
      <c r="I2054" s="1" t="str">
        <f t="shared" si="4"/>
        <v>No Badges</v>
      </c>
      <c r="J2054" s="3">
        <f t="shared" si="5"/>
        <v>0</v>
      </c>
    </row>
    <row r="2055">
      <c r="A2055" s="1" t="s">
        <v>1687</v>
      </c>
      <c r="B2055" s="3" t="str">
        <f t="shared" si="1"/>
        <v>Unavailable</v>
      </c>
      <c r="C2055" s="5">
        <v>6253.0</v>
      </c>
      <c r="D2055" s="3">
        <f>IFERROR(__xludf.DUMMYFUNCTION("IFERROR(
IF(REGEXMATCH(LOWER(O2055),""k""),
VALUE(REGEXEXTRACT(O2055,""[0-9]+""))*1000,
VALUE(REGEXEXTRACT(O2055,""[0-9]+""))
),
0
)"),0.0)</f>
        <v>0</v>
      </c>
      <c r="E2055" s="1" t="s">
        <v>11</v>
      </c>
      <c r="F2055" s="1" t="s">
        <v>20</v>
      </c>
      <c r="G2055" s="4" t="b">
        <f t="shared" si="2"/>
        <v>1</v>
      </c>
      <c r="H2055" s="1" t="str">
        <f t="shared" si="3"/>
        <v>Currently Unavailable</v>
      </c>
      <c r="I2055" s="1" t="str">
        <f t="shared" si="4"/>
        <v>No Badges</v>
      </c>
      <c r="J2055" s="3">
        <f t="shared" si="5"/>
        <v>0</v>
      </c>
    </row>
    <row r="2056">
      <c r="A2056" s="1" t="s">
        <v>1688</v>
      </c>
      <c r="B2056" s="3" t="str">
        <f t="shared" si="1"/>
        <v>Unavailable</v>
      </c>
      <c r="C2056" s="3">
        <v>701.0</v>
      </c>
      <c r="D2056" s="3">
        <f>IFERROR(__xludf.DUMMYFUNCTION("IFERROR(
IF(REGEXMATCH(LOWER(O2056),""k""),
VALUE(REGEXEXTRACT(O2056,""[0-9]+""))*1000,
VALUE(REGEXEXTRACT(O2056,""[0-9]+""))
),
0
)"),0.0)</f>
        <v>0</v>
      </c>
      <c r="E2056" s="1" t="s">
        <v>11</v>
      </c>
      <c r="F2056" s="1" t="s">
        <v>20</v>
      </c>
      <c r="G2056" s="4" t="b">
        <f t="shared" si="2"/>
        <v>1</v>
      </c>
      <c r="H2056" s="1" t="str">
        <f t="shared" si="3"/>
        <v>Currently Unavailable</v>
      </c>
      <c r="I2056" s="1" t="str">
        <f t="shared" si="4"/>
        <v>No Badges</v>
      </c>
      <c r="J2056" s="3">
        <f t="shared" si="5"/>
        <v>0</v>
      </c>
    </row>
    <row r="2057">
      <c r="A2057" s="1" t="s">
        <v>1689</v>
      </c>
      <c r="B2057" s="3" t="str">
        <f t="shared" si="1"/>
        <v>Unavailable</v>
      </c>
      <c r="C2057" s="3">
        <v>166.0</v>
      </c>
      <c r="D2057" s="3">
        <f>IFERROR(__xludf.DUMMYFUNCTION("IFERROR(
IF(REGEXMATCH(LOWER(O2057),""k""),
VALUE(REGEXEXTRACT(O2057,""[0-9]+""))*1000,
VALUE(REGEXEXTRACT(O2057,""[0-9]+""))
),
0
)"),0.0)</f>
        <v>0</v>
      </c>
      <c r="E2057" s="1" t="s">
        <v>11</v>
      </c>
      <c r="F2057" s="1" t="s">
        <v>20</v>
      </c>
      <c r="G2057" s="4" t="b">
        <f t="shared" si="2"/>
        <v>1</v>
      </c>
      <c r="H2057" s="1" t="str">
        <f t="shared" si="3"/>
        <v>Currently Unavailable</v>
      </c>
      <c r="I2057" s="1" t="str">
        <f t="shared" si="4"/>
        <v>No Badges</v>
      </c>
      <c r="J2057" s="3">
        <f t="shared" si="5"/>
        <v>0</v>
      </c>
    </row>
    <row r="2058">
      <c r="A2058" s="1" t="s">
        <v>1690</v>
      </c>
      <c r="B2058" s="3" t="str">
        <f t="shared" si="1"/>
        <v>Unavailable</v>
      </c>
      <c r="C2058" s="5">
        <v>10319.0</v>
      </c>
      <c r="D2058" s="3">
        <f>IFERROR(__xludf.DUMMYFUNCTION("IFERROR(
IF(REGEXMATCH(LOWER(O2058),""k""),
VALUE(REGEXEXTRACT(O2058,""[0-9]+""))*1000,
VALUE(REGEXEXTRACT(O2058,""[0-9]+""))
),
0
)"),0.0)</f>
        <v>0</v>
      </c>
      <c r="E2058" s="1" t="s">
        <v>11</v>
      </c>
      <c r="F2058" s="1" t="s">
        <v>20</v>
      </c>
      <c r="G2058" s="4" t="b">
        <f t="shared" si="2"/>
        <v>1</v>
      </c>
      <c r="H2058" s="1" t="str">
        <f t="shared" si="3"/>
        <v>Currently Unavailable</v>
      </c>
      <c r="I2058" s="1" t="str">
        <f t="shared" si="4"/>
        <v>No Badges</v>
      </c>
      <c r="J2058" s="3">
        <f t="shared" si="5"/>
        <v>0</v>
      </c>
    </row>
    <row r="2059">
      <c r="A2059" s="1" t="s">
        <v>1691</v>
      </c>
      <c r="B2059" s="3" t="str">
        <f t="shared" si="1"/>
        <v>Unavailable</v>
      </c>
      <c r="C2059" s="5">
        <v>8690.0</v>
      </c>
      <c r="D2059" s="3">
        <f>IFERROR(__xludf.DUMMYFUNCTION("IFERROR(
IF(REGEXMATCH(LOWER(O2059),""k""),
VALUE(REGEXEXTRACT(O2059,""[0-9]+""))*1000,
VALUE(REGEXEXTRACT(O2059,""[0-9]+""))
),
0
)"),0.0)</f>
        <v>0</v>
      </c>
      <c r="E2059" s="1" t="s">
        <v>11</v>
      </c>
      <c r="F2059" s="1" t="s">
        <v>20</v>
      </c>
      <c r="G2059" s="4" t="b">
        <f t="shared" si="2"/>
        <v>1</v>
      </c>
      <c r="H2059" s="1" t="str">
        <f t="shared" si="3"/>
        <v>Currently Unavailable</v>
      </c>
      <c r="I2059" s="1" t="str">
        <f t="shared" si="4"/>
        <v>No Badges</v>
      </c>
      <c r="J2059" s="3">
        <f t="shared" si="5"/>
        <v>0</v>
      </c>
    </row>
    <row r="2060">
      <c r="A2060" s="1" t="s">
        <v>1285</v>
      </c>
      <c r="B2060" s="3" t="str">
        <f t="shared" si="1"/>
        <v>Unavailable</v>
      </c>
      <c r="C2060" s="5">
        <v>3520.0</v>
      </c>
      <c r="D2060" s="3">
        <f>IFERROR(__xludf.DUMMYFUNCTION("IFERROR(
IF(REGEXMATCH(LOWER(O2060),""k""),
VALUE(REGEXEXTRACT(O2060,""[0-9]+""))*1000,
VALUE(REGEXEXTRACT(O2060,""[0-9]+""))
),
0
)"),0.0)</f>
        <v>0</v>
      </c>
      <c r="E2060" s="1" t="s">
        <v>11</v>
      </c>
      <c r="F2060" s="1" t="s">
        <v>12</v>
      </c>
      <c r="G2060" s="4" t="b">
        <f t="shared" si="2"/>
        <v>1</v>
      </c>
      <c r="H2060" s="1" t="str">
        <f t="shared" si="3"/>
        <v>Currently Unavailable</v>
      </c>
      <c r="I2060" s="1" t="str">
        <f t="shared" si="4"/>
        <v>No Badges</v>
      </c>
      <c r="J2060" s="3">
        <f t="shared" si="5"/>
        <v>0</v>
      </c>
    </row>
    <row r="2061">
      <c r="A2061" s="1" t="s">
        <v>1284</v>
      </c>
      <c r="B2061" s="3" t="str">
        <f t="shared" si="1"/>
        <v>Unavailable</v>
      </c>
      <c r="C2061" s="3">
        <v>172.0</v>
      </c>
      <c r="D2061" s="3">
        <f>IFERROR(__xludf.DUMMYFUNCTION("IFERROR(
IF(REGEXMATCH(LOWER(O2061),""k""),
VALUE(REGEXEXTRACT(O2061,""[0-9]+""))*1000,
VALUE(REGEXEXTRACT(O2061,""[0-9]+""))
),
0
)"),0.0)</f>
        <v>0</v>
      </c>
      <c r="E2061" s="1" t="s">
        <v>11</v>
      </c>
      <c r="F2061" s="1" t="s">
        <v>12</v>
      </c>
      <c r="G2061" s="4" t="b">
        <f t="shared" si="2"/>
        <v>1</v>
      </c>
      <c r="H2061" s="1" t="str">
        <f t="shared" si="3"/>
        <v>Currently Unavailable</v>
      </c>
      <c r="I2061" s="1" t="str">
        <f t="shared" si="4"/>
        <v>No Badges</v>
      </c>
      <c r="J2061" s="3">
        <f t="shared" si="5"/>
        <v>0</v>
      </c>
    </row>
    <row r="2062">
      <c r="A2062" s="1" t="s">
        <v>1692</v>
      </c>
      <c r="B2062" s="3" t="str">
        <f t="shared" si="1"/>
        <v>Unavailable</v>
      </c>
      <c r="C2062" s="5">
        <v>9542.0</v>
      </c>
      <c r="D2062" s="3">
        <f>IFERROR(__xludf.DUMMYFUNCTION("IFERROR(
IF(REGEXMATCH(LOWER(O2062),""k""),
VALUE(REGEXEXTRACT(O2062,""[0-9]+""))*1000,
VALUE(REGEXEXTRACT(O2062,""[0-9]+""))
),
0
)"),0.0)</f>
        <v>0</v>
      </c>
      <c r="E2062" s="1" t="s">
        <v>11</v>
      </c>
      <c r="F2062" s="1" t="s">
        <v>20</v>
      </c>
      <c r="G2062" s="4" t="b">
        <f t="shared" si="2"/>
        <v>1</v>
      </c>
      <c r="H2062" s="1" t="str">
        <f t="shared" si="3"/>
        <v>Currently Unavailable</v>
      </c>
      <c r="I2062" s="1" t="str">
        <f t="shared" si="4"/>
        <v>No Badges</v>
      </c>
      <c r="J2062" s="3">
        <f t="shared" si="5"/>
        <v>0</v>
      </c>
    </row>
    <row r="2063">
      <c r="A2063" s="1" t="s">
        <v>1693</v>
      </c>
      <c r="B2063" s="3" t="str">
        <f t="shared" si="1"/>
        <v>Unavailable</v>
      </c>
      <c r="C2063" s="5">
        <v>8498.0</v>
      </c>
      <c r="D2063" s="3">
        <f>IFERROR(__xludf.DUMMYFUNCTION("IFERROR(
IF(REGEXMATCH(LOWER(O2063),""k""),
VALUE(REGEXEXTRACT(O2063,""[0-9]+""))*1000,
VALUE(REGEXEXTRACT(O2063,""[0-9]+""))
),
0
)"),0.0)</f>
        <v>0</v>
      </c>
      <c r="E2063" s="1" t="s">
        <v>11</v>
      </c>
      <c r="F2063" s="1" t="s">
        <v>20</v>
      </c>
      <c r="G2063" s="4" t="b">
        <f t="shared" si="2"/>
        <v>1</v>
      </c>
      <c r="H2063" s="1" t="str">
        <f t="shared" si="3"/>
        <v>Currently Unavailable</v>
      </c>
      <c r="I2063" s="1" t="str">
        <f t="shared" si="4"/>
        <v>No Badges</v>
      </c>
      <c r="J2063" s="3">
        <f t="shared" si="5"/>
        <v>0</v>
      </c>
    </row>
    <row r="2064">
      <c r="A2064" s="1" t="s">
        <v>1694</v>
      </c>
      <c r="B2064" s="3" t="str">
        <f t="shared" si="1"/>
        <v>Unavailable</v>
      </c>
      <c r="C2064" s="5">
        <v>8146.0</v>
      </c>
      <c r="D2064" s="3">
        <f>IFERROR(__xludf.DUMMYFUNCTION("IFERROR(
IF(REGEXMATCH(LOWER(O2064),""k""),
VALUE(REGEXEXTRACT(O2064,""[0-9]+""))*1000,
VALUE(REGEXEXTRACT(O2064,""[0-9]+""))
),
0
)"),0.0)</f>
        <v>0</v>
      </c>
      <c r="E2064" s="1" t="s">
        <v>11</v>
      </c>
      <c r="F2064" s="1" t="s">
        <v>20</v>
      </c>
      <c r="G2064" s="4" t="b">
        <f t="shared" si="2"/>
        <v>1</v>
      </c>
      <c r="H2064" s="1" t="str">
        <f t="shared" si="3"/>
        <v>Currently Unavailable</v>
      </c>
      <c r="I2064" s="1" t="str">
        <f t="shared" si="4"/>
        <v>No Badges</v>
      </c>
      <c r="J2064" s="3">
        <f t="shared" si="5"/>
        <v>0</v>
      </c>
    </row>
    <row r="2065">
      <c r="A2065" s="1" t="s">
        <v>1695</v>
      </c>
      <c r="B2065" s="3" t="str">
        <f t="shared" si="1"/>
        <v>Unavailable</v>
      </c>
      <c r="C2065" s="5">
        <v>1426.0</v>
      </c>
      <c r="D2065" s="3">
        <f>IFERROR(__xludf.DUMMYFUNCTION("IFERROR(
IF(REGEXMATCH(LOWER(O2065),""k""),
VALUE(REGEXEXTRACT(O2065,""[0-9]+""))*1000,
VALUE(REGEXEXTRACT(O2065,""[0-9]+""))
),
0
)"),0.0)</f>
        <v>0</v>
      </c>
      <c r="E2065" s="1" t="s">
        <v>11</v>
      </c>
      <c r="F2065" s="1" t="s">
        <v>20</v>
      </c>
      <c r="G2065" s="4" t="b">
        <f t="shared" si="2"/>
        <v>1</v>
      </c>
      <c r="H2065" s="1" t="str">
        <f t="shared" si="3"/>
        <v>Currently Unavailable</v>
      </c>
      <c r="I2065" s="1" t="str">
        <f t="shared" si="4"/>
        <v>No Badges</v>
      </c>
      <c r="J2065" s="3">
        <f t="shared" si="5"/>
        <v>0</v>
      </c>
    </row>
    <row r="2066">
      <c r="A2066" s="1" t="s">
        <v>604</v>
      </c>
      <c r="B2066" s="3" t="str">
        <f t="shared" si="1"/>
        <v>Unavailable</v>
      </c>
      <c r="C2066" s="3">
        <v>30.0</v>
      </c>
      <c r="D2066" s="3">
        <f>IFERROR(__xludf.DUMMYFUNCTION("IFERROR(
IF(REGEXMATCH(LOWER(O2066),""k""),
VALUE(REGEXEXTRACT(O2066,""[0-9]+""))*1000,
VALUE(REGEXEXTRACT(O2066,""[0-9]+""))
),
0
)"),0.0)</f>
        <v>0</v>
      </c>
      <c r="E2066" s="1" t="s">
        <v>11</v>
      </c>
      <c r="F2066" s="1" t="s">
        <v>12</v>
      </c>
      <c r="G2066" s="4" t="b">
        <f t="shared" si="2"/>
        <v>1</v>
      </c>
      <c r="H2066" s="1" t="str">
        <f t="shared" si="3"/>
        <v>Currently Unavailable</v>
      </c>
      <c r="I2066" s="1" t="str">
        <f t="shared" si="4"/>
        <v>No Badges</v>
      </c>
      <c r="J2066" s="3">
        <f t="shared" si="5"/>
        <v>0</v>
      </c>
    </row>
    <row r="2067">
      <c r="A2067" s="1" t="s">
        <v>1696</v>
      </c>
      <c r="B2067" s="3" t="str">
        <f t="shared" si="1"/>
        <v>Unavailable</v>
      </c>
      <c r="C2067" s="5">
        <v>10145.0</v>
      </c>
      <c r="D2067" s="3">
        <f>IFERROR(__xludf.DUMMYFUNCTION("IFERROR(
IF(REGEXMATCH(LOWER(O2067),""k""),
VALUE(REGEXEXTRACT(O2067,""[0-9]+""))*1000,
VALUE(REGEXEXTRACT(O2067,""[0-9]+""))
),
0
)"),0.0)</f>
        <v>0</v>
      </c>
      <c r="E2067" s="1" t="s">
        <v>11</v>
      </c>
      <c r="F2067" s="1" t="s">
        <v>20</v>
      </c>
      <c r="G2067" s="4" t="b">
        <f t="shared" si="2"/>
        <v>1</v>
      </c>
      <c r="H2067" s="1" t="str">
        <f t="shared" si="3"/>
        <v>Currently Unavailable</v>
      </c>
      <c r="I2067" s="1" t="str">
        <f t="shared" si="4"/>
        <v>No Badges</v>
      </c>
      <c r="J2067" s="3">
        <f t="shared" si="5"/>
        <v>0</v>
      </c>
    </row>
    <row r="2068">
      <c r="A2068" s="1" t="s">
        <v>1697</v>
      </c>
      <c r="B2068" s="3" t="str">
        <f t="shared" si="1"/>
        <v>Unavailable</v>
      </c>
      <c r="C2068" s="5">
        <v>1541.0</v>
      </c>
      <c r="D2068" s="3">
        <f>IFERROR(__xludf.DUMMYFUNCTION("IFERROR(
IF(REGEXMATCH(LOWER(O2068),""k""),
VALUE(REGEXEXTRACT(O2068,""[0-9]+""))*1000,
VALUE(REGEXEXTRACT(O2068,""[0-9]+""))
),
0
)"),0.0)</f>
        <v>0</v>
      </c>
      <c r="E2068" s="1" t="s">
        <v>11</v>
      </c>
      <c r="F2068" s="1" t="s">
        <v>20</v>
      </c>
      <c r="G2068" s="4" t="b">
        <f t="shared" si="2"/>
        <v>1</v>
      </c>
      <c r="H2068" s="1" t="str">
        <f t="shared" si="3"/>
        <v>Currently Unavailable</v>
      </c>
      <c r="I2068" s="1" t="str">
        <f t="shared" si="4"/>
        <v>No Badges</v>
      </c>
      <c r="J2068" s="3">
        <f t="shared" si="5"/>
        <v>0</v>
      </c>
    </row>
    <row r="2069">
      <c r="A2069" s="1" t="s">
        <v>1285</v>
      </c>
      <c r="B2069" s="3" t="str">
        <f t="shared" si="1"/>
        <v>Unavailable</v>
      </c>
      <c r="C2069" s="5">
        <v>3520.0</v>
      </c>
      <c r="D2069" s="3">
        <f>IFERROR(__xludf.DUMMYFUNCTION("IFERROR(
IF(REGEXMATCH(LOWER(O2069),""k""),
VALUE(REGEXEXTRACT(O2069,""[0-9]+""))*1000,
VALUE(REGEXEXTRACT(O2069,""[0-9]+""))
),
0
)"),0.0)</f>
        <v>0</v>
      </c>
      <c r="E2069" s="1" t="s">
        <v>11</v>
      </c>
      <c r="F2069" s="1" t="s">
        <v>12</v>
      </c>
      <c r="G2069" s="4" t="b">
        <f t="shared" si="2"/>
        <v>1</v>
      </c>
      <c r="H2069" s="1" t="str">
        <f t="shared" si="3"/>
        <v>Currently Unavailable</v>
      </c>
      <c r="I2069" s="1" t="str">
        <f t="shared" si="4"/>
        <v>No Badges</v>
      </c>
      <c r="J2069" s="3">
        <f t="shared" si="5"/>
        <v>0</v>
      </c>
    </row>
    <row r="2070">
      <c r="A2070" s="1" t="s">
        <v>1284</v>
      </c>
      <c r="B2070" s="3" t="str">
        <f t="shared" si="1"/>
        <v>Unavailable</v>
      </c>
      <c r="C2070" s="3">
        <v>172.0</v>
      </c>
      <c r="D2070" s="3">
        <f>IFERROR(__xludf.DUMMYFUNCTION("IFERROR(
IF(REGEXMATCH(LOWER(O2070),""k""),
VALUE(REGEXEXTRACT(O2070,""[0-9]+""))*1000,
VALUE(REGEXEXTRACT(O2070,""[0-9]+""))
),
0
)"),0.0)</f>
        <v>0</v>
      </c>
      <c r="E2070" s="1" t="s">
        <v>11</v>
      </c>
      <c r="F2070" s="1" t="s">
        <v>12</v>
      </c>
      <c r="G2070" s="4" t="b">
        <f t="shared" si="2"/>
        <v>1</v>
      </c>
      <c r="H2070" s="1" t="str">
        <f t="shared" si="3"/>
        <v>Currently Unavailable</v>
      </c>
      <c r="I2070" s="1" t="str">
        <f t="shared" si="4"/>
        <v>No Badges</v>
      </c>
      <c r="J2070" s="3">
        <f t="shared" si="5"/>
        <v>0</v>
      </c>
    </row>
    <row r="2071">
      <c r="A2071" s="1" t="s">
        <v>701</v>
      </c>
      <c r="B2071" s="3" t="str">
        <f t="shared" si="1"/>
        <v>Unavailable</v>
      </c>
      <c r="C2071" s="3">
        <v>8.0</v>
      </c>
      <c r="D2071" s="3">
        <f>IFERROR(__xludf.DUMMYFUNCTION("IFERROR(
IF(REGEXMATCH(LOWER(O2071),""k""),
VALUE(REGEXEXTRACT(O2071,""[0-9]+""))*1000,
VALUE(REGEXEXTRACT(O2071,""[0-9]+""))
),
0
)"),0.0)</f>
        <v>0</v>
      </c>
      <c r="E2071" s="1" t="s">
        <v>11</v>
      </c>
      <c r="F2071" s="1" t="s">
        <v>12</v>
      </c>
      <c r="G2071" s="4" t="b">
        <f t="shared" si="2"/>
        <v>1</v>
      </c>
      <c r="H2071" s="1" t="str">
        <f t="shared" si="3"/>
        <v>Currently Unavailable</v>
      </c>
      <c r="I2071" s="1" t="str">
        <f t="shared" si="4"/>
        <v>No Badges</v>
      </c>
      <c r="J2071" s="3">
        <f t="shared" si="5"/>
        <v>0</v>
      </c>
    </row>
    <row r="2072">
      <c r="A2072" s="1" t="s">
        <v>1698</v>
      </c>
      <c r="B2072" s="3" t="str">
        <f t="shared" si="1"/>
        <v>Unavailable</v>
      </c>
      <c r="C2072" s="5">
        <v>1506.0</v>
      </c>
      <c r="D2072" s="3">
        <f>IFERROR(__xludf.DUMMYFUNCTION("IFERROR(
IF(REGEXMATCH(LOWER(O2072),""k""),
VALUE(REGEXEXTRACT(O2072,""[0-9]+""))*1000,
VALUE(REGEXEXTRACT(O2072,""[0-9]+""))
),
0
)"),0.0)</f>
        <v>0</v>
      </c>
      <c r="E2072" s="1" t="s">
        <v>11</v>
      </c>
      <c r="F2072" s="1" t="s">
        <v>20</v>
      </c>
      <c r="G2072" s="4" t="b">
        <f t="shared" si="2"/>
        <v>1</v>
      </c>
      <c r="H2072" s="1" t="str">
        <f t="shared" si="3"/>
        <v>Currently Unavailable</v>
      </c>
      <c r="I2072" s="1" t="str">
        <f t="shared" si="4"/>
        <v>No Badges</v>
      </c>
      <c r="J2072" s="3">
        <f t="shared" si="5"/>
        <v>0</v>
      </c>
    </row>
    <row r="2073">
      <c r="A2073" s="1" t="s">
        <v>1699</v>
      </c>
      <c r="B2073" s="3" t="str">
        <f t="shared" si="1"/>
        <v>Unavailable</v>
      </c>
      <c r="C2073" s="3">
        <v>454.0</v>
      </c>
      <c r="D2073" s="3">
        <f>IFERROR(__xludf.DUMMYFUNCTION("IFERROR(
IF(REGEXMATCH(LOWER(O2073),""k""),
VALUE(REGEXEXTRACT(O2073,""[0-9]+""))*1000,
VALUE(REGEXEXTRACT(O2073,""[0-9]+""))
),
0
)"),0.0)</f>
        <v>0</v>
      </c>
      <c r="E2073" s="1" t="s">
        <v>11</v>
      </c>
      <c r="F2073" s="1" t="s">
        <v>20</v>
      </c>
      <c r="G2073" s="4" t="b">
        <f t="shared" si="2"/>
        <v>1</v>
      </c>
      <c r="H2073" s="1" t="str">
        <f t="shared" si="3"/>
        <v>Currently Unavailable</v>
      </c>
      <c r="I2073" s="1" t="str">
        <f t="shared" si="4"/>
        <v>No Badges</v>
      </c>
      <c r="J2073" s="3">
        <f t="shared" si="5"/>
        <v>0</v>
      </c>
    </row>
    <row r="2074">
      <c r="A2074" s="1" t="s">
        <v>1700</v>
      </c>
      <c r="B2074" s="3" t="str">
        <f t="shared" si="1"/>
        <v>Unavailable</v>
      </c>
      <c r="C2074" s="3">
        <v>136.0</v>
      </c>
      <c r="D2074" s="3">
        <f>IFERROR(__xludf.DUMMYFUNCTION("IFERROR(
IF(REGEXMATCH(LOWER(O2074),""k""),
VALUE(REGEXEXTRACT(O2074,""[0-9]+""))*1000,
VALUE(REGEXEXTRACT(O2074,""[0-9]+""))
),
0
)"),0.0)</f>
        <v>0</v>
      </c>
      <c r="E2074" s="1" t="s">
        <v>11</v>
      </c>
      <c r="F2074" s="1" t="s">
        <v>20</v>
      </c>
      <c r="G2074" s="4" t="b">
        <f t="shared" si="2"/>
        <v>1</v>
      </c>
      <c r="H2074" s="1" t="str">
        <f t="shared" si="3"/>
        <v>Currently Unavailable</v>
      </c>
      <c r="I2074" s="1" t="str">
        <f t="shared" si="4"/>
        <v>No Badges</v>
      </c>
      <c r="J2074" s="3">
        <f t="shared" si="5"/>
        <v>0</v>
      </c>
    </row>
    <row r="2075">
      <c r="A2075" s="1" t="s">
        <v>1285</v>
      </c>
      <c r="B2075" s="3" t="str">
        <f t="shared" si="1"/>
        <v>Unavailable</v>
      </c>
      <c r="C2075" s="5">
        <v>3520.0</v>
      </c>
      <c r="D2075" s="3">
        <f>IFERROR(__xludf.DUMMYFUNCTION("IFERROR(
IF(REGEXMATCH(LOWER(O2075),""k""),
VALUE(REGEXEXTRACT(O2075,""[0-9]+""))*1000,
VALUE(REGEXEXTRACT(O2075,""[0-9]+""))
),
0
)"),0.0)</f>
        <v>0</v>
      </c>
      <c r="E2075" s="1" t="s">
        <v>11</v>
      </c>
      <c r="F2075" s="1" t="s">
        <v>12</v>
      </c>
      <c r="G2075" s="4" t="b">
        <f t="shared" si="2"/>
        <v>1</v>
      </c>
      <c r="H2075" s="1" t="str">
        <f t="shared" si="3"/>
        <v>Currently Unavailable</v>
      </c>
      <c r="I2075" s="1" t="str">
        <f t="shared" si="4"/>
        <v>No Badges</v>
      </c>
      <c r="J2075" s="3">
        <f t="shared" si="5"/>
        <v>0</v>
      </c>
    </row>
    <row r="2076">
      <c r="A2076" s="1" t="s">
        <v>1284</v>
      </c>
      <c r="B2076" s="3" t="str">
        <f t="shared" si="1"/>
        <v>Unavailable</v>
      </c>
      <c r="C2076" s="3">
        <v>172.0</v>
      </c>
      <c r="D2076" s="3">
        <f>IFERROR(__xludf.DUMMYFUNCTION("IFERROR(
IF(REGEXMATCH(LOWER(O2076),""k""),
VALUE(REGEXEXTRACT(O2076,""[0-9]+""))*1000,
VALUE(REGEXEXTRACT(O2076,""[0-9]+""))
),
0
)"),0.0)</f>
        <v>0</v>
      </c>
      <c r="E2076" s="1" t="s">
        <v>11</v>
      </c>
      <c r="F2076" s="1" t="s">
        <v>12</v>
      </c>
      <c r="G2076" s="4" t="b">
        <f t="shared" si="2"/>
        <v>1</v>
      </c>
      <c r="H2076" s="1" t="str">
        <f t="shared" si="3"/>
        <v>Currently Unavailable</v>
      </c>
      <c r="I2076" s="1" t="str">
        <f t="shared" si="4"/>
        <v>No Badges</v>
      </c>
      <c r="J2076" s="3">
        <f t="shared" si="5"/>
        <v>0</v>
      </c>
    </row>
    <row r="2077">
      <c r="A2077" s="1" t="s">
        <v>1701</v>
      </c>
      <c r="B2077" s="3" t="str">
        <f t="shared" si="1"/>
        <v>Unavailable</v>
      </c>
      <c r="C2077" s="5">
        <v>4448.0</v>
      </c>
      <c r="D2077" s="3">
        <f>IFERROR(__xludf.DUMMYFUNCTION("IFERROR(
IF(REGEXMATCH(LOWER(O2077),""k""),
VALUE(REGEXEXTRACT(O2077,""[0-9]+""))*1000,
VALUE(REGEXEXTRACT(O2077,""[0-9]+""))
),
0
)"),0.0)</f>
        <v>0</v>
      </c>
      <c r="E2077" s="1" t="s">
        <v>11</v>
      </c>
      <c r="F2077" s="1" t="s">
        <v>20</v>
      </c>
      <c r="G2077" s="4" t="b">
        <f t="shared" si="2"/>
        <v>1</v>
      </c>
      <c r="H2077" s="1" t="str">
        <f t="shared" si="3"/>
        <v>Currently Unavailable</v>
      </c>
      <c r="I2077" s="1" t="str">
        <f t="shared" si="4"/>
        <v>No Badges</v>
      </c>
      <c r="J2077" s="3">
        <f t="shared" si="5"/>
        <v>0</v>
      </c>
    </row>
    <row r="2078">
      <c r="A2078" s="1" t="s">
        <v>1702</v>
      </c>
      <c r="B2078" s="3" t="str">
        <f t="shared" si="1"/>
        <v>Unavailable</v>
      </c>
      <c r="C2078" s="5">
        <v>15694.0</v>
      </c>
      <c r="D2078" s="3">
        <f>IFERROR(__xludf.DUMMYFUNCTION("IFERROR(
IF(REGEXMATCH(LOWER(O2078),""k""),
VALUE(REGEXEXTRACT(O2078,""[0-9]+""))*1000,
VALUE(REGEXEXTRACT(O2078,""[0-9]+""))
),
0
)"),0.0)</f>
        <v>0</v>
      </c>
      <c r="E2078" s="1" t="s">
        <v>11</v>
      </c>
      <c r="F2078" s="1" t="s">
        <v>20</v>
      </c>
      <c r="G2078" s="4" t="b">
        <f t="shared" si="2"/>
        <v>1</v>
      </c>
      <c r="H2078" s="1" t="str">
        <f t="shared" si="3"/>
        <v>Currently Unavailable</v>
      </c>
      <c r="I2078" s="1" t="str">
        <f t="shared" si="4"/>
        <v>No Badges</v>
      </c>
      <c r="J2078" s="3">
        <f t="shared" si="5"/>
        <v>0</v>
      </c>
    </row>
    <row r="2079">
      <c r="A2079" s="1" t="s">
        <v>1703</v>
      </c>
      <c r="B2079" s="3" t="str">
        <f t="shared" si="1"/>
        <v>Unavailable</v>
      </c>
      <c r="C2079" s="5">
        <v>1408.0</v>
      </c>
      <c r="D2079" s="3">
        <f>IFERROR(__xludf.DUMMYFUNCTION("IFERROR(
IF(REGEXMATCH(LOWER(O2079),""k""),
VALUE(REGEXEXTRACT(O2079,""[0-9]+""))*1000,
VALUE(REGEXEXTRACT(O2079,""[0-9]+""))
),
0
)"),0.0)</f>
        <v>0</v>
      </c>
      <c r="E2079" s="1" t="s">
        <v>11</v>
      </c>
      <c r="F2079" s="1" t="s">
        <v>20</v>
      </c>
      <c r="G2079" s="4" t="b">
        <f t="shared" si="2"/>
        <v>1</v>
      </c>
      <c r="H2079" s="1" t="str">
        <f t="shared" si="3"/>
        <v>Currently Unavailable</v>
      </c>
      <c r="I2079" s="1" t="str">
        <f t="shared" si="4"/>
        <v>No Badges</v>
      </c>
      <c r="J2079" s="3">
        <f t="shared" si="5"/>
        <v>0</v>
      </c>
    </row>
    <row r="2080">
      <c r="A2080" s="1" t="s">
        <v>1704</v>
      </c>
      <c r="B2080" s="3" t="str">
        <f t="shared" si="1"/>
        <v>Unavailable</v>
      </c>
      <c r="C2080" s="5">
        <v>17785.0</v>
      </c>
      <c r="D2080" s="3">
        <f>IFERROR(__xludf.DUMMYFUNCTION("IFERROR(
IF(REGEXMATCH(LOWER(O2080),""k""),
VALUE(REGEXEXTRACT(O2080,""[0-9]+""))*1000,
VALUE(REGEXEXTRACT(O2080,""[0-9]+""))
),
0
)"),0.0)</f>
        <v>0</v>
      </c>
      <c r="E2080" s="1" t="s">
        <v>11</v>
      </c>
      <c r="F2080" s="1" t="s">
        <v>20</v>
      </c>
      <c r="G2080" s="4" t="b">
        <f t="shared" si="2"/>
        <v>1</v>
      </c>
      <c r="H2080" s="1" t="str">
        <f t="shared" si="3"/>
        <v>Currently Unavailable</v>
      </c>
      <c r="I2080" s="1" t="str">
        <f t="shared" si="4"/>
        <v>No Badges</v>
      </c>
      <c r="J2080" s="3">
        <f t="shared" si="5"/>
        <v>0</v>
      </c>
    </row>
    <row r="2081">
      <c r="A2081" s="1" t="s">
        <v>1285</v>
      </c>
      <c r="B2081" s="3" t="str">
        <f t="shared" si="1"/>
        <v>Unavailable</v>
      </c>
      <c r="C2081" s="5">
        <v>3520.0</v>
      </c>
      <c r="D2081" s="3">
        <f>IFERROR(__xludf.DUMMYFUNCTION("IFERROR(
IF(REGEXMATCH(LOWER(O2081),""k""),
VALUE(REGEXEXTRACT(O2081,""[0-9]+""))*1000,
VALUE(REGEXEXTRACT(O2081,""[0-9]+""))
),
0
)"),0.0)</f>
        <v>0</v>
      </c>
      <c r="E2081" s="1" t="s">
        <v>11</v>
      </c>
      <c r="F2081" s="1" t="s">
        <v>12</v>
      </c>
      <c r="G2081" s="4" t="b">
        <f t="shared" si="2"/>
        <v>1</v>
      </c>
      <c r="H2081" s="1" t="str">
        <f t="shared" si="3"/>
        <v>Currently Unavailable</v>
      </c>
      <c r="I2081" s="1" t="str">
        <f t="shared" si="4"/>
        <v>No Badges</v>
      </c>
      <c r="J2081" s="3">
        <f t="shared" si="5"/>
        <v>0</v>
      </c>
    </row>
    <row r="2082">
      <c r="A2082" s="1" t="s">
        <v>1705</v>
      </c>
      <c r="B2082" s="3" t="str">
        <f t="shared" si="1"/>
        <v>Unavailable</v>
      </c>
      <c r="C2082" s="3">
        <v>688.0</v>
      </c>
      <c r="D2082" s="3">
        <f>IFERROR(__xludf.DUMMYFUNCTION("IFERROR(
IF(REGEXMATCH(LOWER(O2082),""k""),
VALUE(REGEXEXTRACT(O2082,""[0-9]+""))*1000,
VALUE(REGEXEXTRACT(O2082,""[0-9]+""))
),
0
)"),0.0)</f>
        <v>0</v>
      </c>
      <c r="E2082" s="1" t="s">
        <v>11</v>
      </c>
      <c r="F2082" s="1" t="s">
        <v>20</v>
      </c>
      <c r="G2082" s="4" t="b">
        <f t="shared" si="2"/>
        <v>1</v>
      </c>
      <c r="H2082" s="1" t="str">
        <f t="shared" si="3"/>
        <v>Currently Unavailable</v>
      </c>
      <c r="I2082" s="1" t="str">
        <f t="shared" si="4"/>
        <v>No Badges</v>
      </c>
      <c r="J2082" s="3">
        <f t="shared" si="5"/>
        <v>0</v>
      </c>
    </row>
    <row r="2083">
      <c r="A2083" s="1" t="s">
        <v>1284</v>
      </c>
      <c r="B2083" s="3" t="str">
        <f t="shared" si="1"/>
        <v>Unavailable</v>
      </c>
      <c r="C2083" s="3">
        <v>172.0</v>
      </c>
      <c r="D2083" s="3">
        <f>IFERROR(__xludf.DUMMYFUNCTION("IFERROR(
IF(REGEXMATCH(LOWER(O2083),""k""),
VALUE(REGEXEXTRACT(O2083,""[0-9]+""))*1000,
VALUE(REGEXEXTRACT(O2083,""[0-9]+""))
),
0
)"),0.0)</f>
        <v>0</v>
      </c>
      <c r="E2083" s="1" t="s">
        <v>11</v>
      </c>
      <c r="F2083" s="1" t="s">
        <v>12</v>
      </c>
      <c r="G2083" s="4" t="b">
        <f t="shared" si="2"/>
        <v>1</v>
      </c>
      <c r="H2083" s="1" t="str">
        <f t="shared" si="3"/>
        <v>Currently Unavailable</v>
      </c>
      <c r="I2083" s="1" t="str">
        <f t="shared" si="4"/>
        <v>No Badges</v>
      </c>
      <c r="J2083" s="3">
        <f t="shared" si="5"/>
        <v>0</v>
      </c>
    </row>
    <row r="2084">
      <c r="A2084" s="1" t="s">
        <v>69</v>
      </c>
      <c r="B2084" s="3" t="str">
        <f t="shared" si="1"/>
        <v>Unavailable</v>
      </c>
      <c r="C2084" s="3">
        <v>45.0</v>
      </c>
      <c r="D2084" s="3">
        <f>IFERROR(__xludf.DUMMYFUNCTION("IFERROR(
IF(REGEXMATCH(LOWER(O2084),""k""),
VALUE(REGEXEXTRACT(O2084,""[0-9]+""))*1000,
VALUE(REGEXEXTRACT(O2084,""[0-9]+""))
),
0
)"),0.0)</f>
        <v>0</v>
      </c>
      <c r="E2084" s="1" t="s">
        <v>11</v>
      </c>
      <c r="F2084" s="1" t="s">
        <v>12</v>
      </c>
      <c r="G2084" s="4" t="b">
        <f t="shared" si="2"/>
        <v>1</v>
      </c>
      <c r="H2084" s="1" t="str">
        <f t="shared" si="3"/>
        <v>Currently Unavailable</v>
      </c>
      <c r="I2084" s="1" t="str">
        <f t="shared" si="4"/>
        <v>No Badges</v>
      </c>
      <c r="J2084" s="3">
        <f t="shared" si="5"/>
        <v>0</v>
      </c>
    </row>
    <row r="2085">
      <c r="A2085" s="1" t="s">
        <v>67</v>
      </c>
      <c r="B2085" s="3" t="str">
        <f t="shared" si="1"/>
        <v>Unavailable</v>
      </c>
      <c r="C2085" s="3">
        <v>264.0</v>
      </c>
      <c r="D2085" s="3">
        <f>IFERROR(__xludf.DUMMYFUNCTION("IFERROR(
IF(REGEXMATCH(LOWER(O2085),""k""),
VALUE(REGEXEXTRACT(O2085,""[0-9]+""))*1000,
VALUE(REGEXEXTRACT(O2085,""[0-9]+""))
),
0
)"),0.0)</f>
        <v>0</v>
      </c>
      <c r="E2085" s="1" t="s">
        <v>11</v>
      </c>
      <c r="F2085" s="1" t="s">
        <v>12</v>
      </c>
      <c r="G2085" s="4" t="b">
        <f t="shared" si="2"/>
        <v>1</v>
      </c>
      <c r="H2085" s="1" t="str">
        <f t="shared" si="3"/>
        <v>Currently Unavailable</v>
      </c>
      <c r="I2085" s="1" t="str">
        <f t="shared" si="4"/>
        <v>No Badges</v>
      </c>
      <c r="J2085" s="3">
        <f t="shared" si="5"/>
        <v>0</v>
      </c>
    </row>
    <row r="2086">
      <c r="A2086" s="1" t="s">
        <v>1706</v>
      </c>
      <c r="B2086" s="3" t="str">
        <f t="shared" si="1"/>
        <v>Unavailable</v>
      </c>
      <c r="C2086" s="3">
        <v>659.0</v>
      </c>
      <c r="D2086" s="3">
        <f>IFERROR(__xludf.DUMMYFUNCTION("IFERROR(
IF(REGEXMATCH(LOWER(O2086),""k""),
VALUE(REGEXEXTRACT(O2086,""[0-9]+""))*1000,
VALUE(REGEXEXTRACT(O2086,""[0-9]+""))
),
0
)"),0.0)</f>
        <v>0</v>
      </c>
      <c r="E2086" s="1" t="s">
        <v>11</v>
      </c>
      <c r="F2086" s="1" t="s">
        <v>20</v>
      </c>
      <c r="G2086" s="4" t="b">
        <f t="shared" si="2"/>
        <v>1</v>
      </c>
      <c r="H2086" s="1" t="str">
        <f t="shared" si="3"/>
        <v>Currently Unavailable</v>
      </c>
      <c r="I2086" s="1" t="str">
        <f t="shared" si="4"/>
        <v>No Badges</v>
      </c>
      <c r="J2086" s="3">
        <f t="shared" si="5"/>
        <v>0</v>
      </c>
    </row>
    <row r="2087">
      <c r="A2087" s="1" t="s">
        <v>1707</v>
      </c>
      <c r="B2087" s="3" t="str">
        <f t="shared" si="1"/>
        <v>Unavailable</v>
      </c>
      <c r="C2087" s="5">
        <v>3251.0</v>
      </c>
      <c r="D2087" s="3">
        <f>IFERROR(__xludf.DUMMYFUNCTION("IFERROR(
IF(REGEXMATCH(LOWER(O2087),""k""),
VALUE(REGEXEXTRACT(O2087,""[0-9]+""))*1000,
VALUE(REGEXEXTRACT(O2087,""[0-9]+""))
),
0
)"),0.0)</f>
        <v>0</v>
      </c>
      <c r="E2087" s="1" t="s">
        <v>11</v>
      </c>
      <c r="F2087" s="1" t="s">
        <v>20</v>
      </c>
      <c r="G2087" s="4" t="b">
        <f t="shared" si="2"/>
        <v>1</v>
      </c>
      <c r="H2087" s="1" t="str">
        <f t="shared" si="3"/>
        <v>Currently Unavailable</v>
      </c>
      <c r="I2087" s="1" t="str">
        <f t="shared" si="4"/>
        <v>No Badges</v>
      </c>
      <c r="J2087" s="3">
        <f t="shared" si="5"/>
        <v>0</v>
      </c>
    </row>
    <row r="2088">
      <c r="A2088" s="1" t="s">
        <v>1708</v>
      </c>
      <c r="B2088" s="3" t="str">
        <f t="shared" si="1"/>
        <v>Unavailable</v>
      </c>
      <c r="C2088" s="5">
        <v>5200.0</v>
      </c>
      <c r="D2088" s="3">
        <f>IFERROR(__xludf.DUMMYFUNCTION("IFERROR(
IF(REGEXMATCH(LOWER(O2088),""k""),
VALUE(REGEXEXTRACT(O2088,""[0-9]+""))*1000,
VALUE(REGEXEXTRACT(O2088,""[0-9]+""))
),
0
)"),0.0)</f>
        <v>0</v>
      </c>
      <c r="E2088" s="1" t="s">
        <v>11</v>
      </c>
      <c r="F2088" s="1" t="s">
        <v>20</v>
      </c>
      <c r="G2088" s="4" t="b">
        <f t="shared" si="2"/>
        <v>1</v>
      </c>
      <c r="H2088" s="1" t="str">
        <f t="shared" si="3"/>
        <v>Currently Unavailable</v>
      </c>
      <c r="I2088" s="1" t="str">
        <f t="shared" si="4"/>
        <v>No Badges</v>
      </c>
      <c r="J2088" s="3">
        <f t="shared" si="5"/>
        <v>0</v>
      </c>
    </row>
    <row r="2089">
      <c r="A2089" s="1" t="s">
        <v>1709</v>
      </c>
      <c r="B2089" s="3" t="str">
        <f t="shared" si="1"/>
        <v>Unavailable</v>
      </c>
      <c r="C2089" s="5">
        <v>1175.0</v>
      </c>
      <c r="D2089" s="3">
        <f>IFERROR(__xludf.DUMMYFUNCTION("IFERROR(
IF(REGEXMATCH(LOWER(O2089),""k""),
VALUE(REGEXEXTRACT(O2089,""[0-9]+""))*1000,
VALUE(REGEXEXTRACT(O2089,""[0-9]+""))
),
0
)"),0.0)</f>
        <v>0</v>
      </c>
      <c r="E2089" s="1" t="s">
        <v>11</v>
      </c>
      <c r="F2089" s="1" t="s">
        <v>20</v>
      </c>
      <c r="G2089" s="4" t="b">
        <f t="shared" si="2"/>
        <v>1</v>
      </c>
      <c r="H2089" s="1" t="str">
        <f t="shared" si="3"/>
        <v>Currently Unavailable</v>
      </c>
      <c r="I2089" s="1" t="str">
        <f t="shared" si="4"/>
        <v>No Badges</v>
      </c>
      <c r="J2089" s="3">
        <f t="shared" si="5"/>
        <v>0</v>
      </c>
    </row>
    <row r="2090">
      <c r="A2090" s="1" t="s">
        <v>1285</v>
      </c>
      <c r="B2090" s="3" t="str">
        <f t="shared" si="1"/>
        <v>Unavailable</v>
      </c>
      <c r="C2090" s="5">
        <v>3520.0</v>
      </c>
      <c r="D2090" s="3">
        <f>IFERROR(__xludf.DUMMYFUNCTION("IFERROR(
IF(REGEXMATCH(LOWER(O2090),""k""),
VALUE(REGEXEXTRACT(O2090,""[0-9]+""))*1000,
VALUE(REGEXEXTRACT(O2090,""[0-9]+""))
),
0
)"),0.0)</f>
        <v>0</v>
      </c>
      <c r="E2090" s="1" t="s">
        <v>11</v>
      </c>
      <c r="F2090" s="1" t="s">
        <v>12</v>
      </c>
      <c r="G2090" s="4" t="b">
        <f t="shared" si="2"/>
        <v>1</v>
      </c>
      <c r="H2090" s="1" t="str">
        <f t="shared" si="3"/>
        <v>Currently Unavailable</v>
      </c>
      <c r="I2090" s="1" t="str">
        <f t="shared" si="4"/>
        <v>No Badges</v>
      </c>
      <c r="J2090" s="3">
        <f t="shared" si="5"/>
        <v>0</v>
      </c>
    </row>
    <row r="2091">
      <c r="A2091" s="1" t="s">
        <v>1710</v>
      </c>
      <c r="B2091" s="3" t="str">
        <f t="shared" si="1"/>
        <v>Unavailable</v>
      </c>
      <c r="C2091" s="5">
        <v>3329.0</v>
      </c>
      <c r="D2091" s="3">
        <f>IFERROR(__xludf.DUMMYFUNCTION("IFERROR(
IF(REGEXMATCH(LOWER(O2091),""k""),
VALUE(REGEXEXTRACT(O2091,""[0-9]+""))*1000,
VALUE(REGEXEXTRACT(O2091,""[0-9]+""))
),
0
)"),0.0)</f>
        <v>0</v>
      </c>
      <c r="E2091" s="1" t="s">
        <v>11</v>
      </c>
      <c r="F2091" s="1" t="s">
        <v>20</v>
      </c>
      <c r="G2091" s="4" t="b">
        <f t="shared" si="2"/>
        <v>1</v>
      </c>
      <c r="H2091" s="1" t="str">
        <f t="shared" si="3"/>
        <v>Currently Unavailable</v>
      </c>
      <c r="I2091" s="1" t="str">
        <f t="shared" si="4"/>
        <v>No Badges</v>
      </c>
      <c r="J2091" s="3">
        <f t="shared" si="5"/>
        <v>0</v>
      </c>
    </row>
    <row r="2092">
      <c r="A2092" s="1" t="s">
        <v>1711</v>
      </c>
      <c r="B2092" s="3" t="str">
        <f t="shared" si="1"/>
        <v>Unavailable</v>
      </c>
      <c r="C2092" s="5">
        <v>2792.0</v>
      </c>
      <c r="D2092" s="3">
        <f>IFERROR(__xludf.DUMMYFUNCTION("IFERROR(
IF(REGEXMATCH(LOWER(O2092),""k""),
VALUE(REGEXEXTRACT(O2092,""[0-9]+""))*1000,
VALUE(REGEXEXTRACT(O2092,""[0-9]+""))
),
0
)"),0.0)</f>
        <v>0</v>
      </c>
      <c r="E2092" s="1" t="s">
        <v>11</v>
      </c>
      <c r="F2092" s="1" t="s">
        <v>20</v>
      </c>
      <c r="G2092" s="4" t="b">
        <f t="shared" si="2"/>
        <v>1</v>
      </c>
      <c r="H2092" s="1" t="str">
        <f t="shared" si="3"/>
        <v>Currently Unavailable</v>
      </c>
      <c r="I2092" s="1" t="str">
        <f t="shared" si="4"/>
        <v>No Badges</v>
      </c>
      <c r="J2092" s="3">
        <f t="shared" si="5"/>
        <v>0</v>
      </c>
    </row>
    <row r="2093">
      <c r="A2093" s="1" t="s">
        <v>1712</v>
      </c>
      <c r="B2093" s="3" t="str">
        <f t="shared" si="1"/>
        <v>Unavailable</v>
      </c>
      <c r="C2093" s="3">
        <v>542.0</v>
      </c>
      <c r="D2093" s="3">
        <f>IFERROR(__xludf.DUMMYFUNCTION("IFERROR(
IF(REGEXMATCH(LOWER(O2093),""k""),
VALUE(REGEXEXTRACT(O2093,""[0-9]+""))*1000,
VALUE(REGEXEXTRACT(O2093,""[0-9]+""))
),
0
)"),0.0)</f>
        <v>0</v>
      </c>
      <c r="E2093" s="1" t="s">
        <v>11</v>
      </c>
      <c r="F2093" s="1" t="s">
        <v>20</v>
      </c>
      <c r="G2093" s="4" t="b">
        <f t="shared" si="2"/>
        <v>1</v>
      </c>
      <c r="H2093" s="1" t="str">
        <f t="shared" si="3"/>
        <v>Currently Unavailable</v>
      </c>
      <c r="I2093" s="1" t="str">
        <f t="shared" si="4"/>
        <v>No Badges</v>
      </c>
      <c r="J2093" s="3">
        <f t="shared" si="5"/>
        <v>0</v>
      </c>
    </row>
    <row r="2094">
      <c r="A2094" s="1" t="s">
        <v>1713</v>
      </c>
      <c r="B2094" s="3" t="str">
        <f t="shared" si="1"/>
        <v>Unavailable</v>
      </c>
      <c r="C2094" s="5">
        <v>10940.0</v>
      </c>
      <c r="D2094" s="3">
        <f>IFERROR(__xludf.DUMMYFUNCTION("IFERROR(
IF(REGEXMATCH(LOWER(O2094),""k""),
VALUE(REGEXEXTRACT(O2094,""[0-9]+""))*1000,
VALUE(REGEXEXTRACT(O2094,""[0-9]+""))
),
0
)"),0.0)</f>
        <v>0</v>
      </c>
      <c r="E2094" s="1" t="s">
        <v>11</v>
      </c>
      <c r="F2094" s="1" t="s">
        <v>20</v>
      </c>
      <c r="G2094" s="4" t="b">
        <f t="shared" si="2"/>
        <v>1</v>
      </c>
      <c r="H2094" s="1" t="str">
        <f t="shared" si="3"/>
        <v>Currently Unavailable</v>
      </c>
      <c r="I2094" s="1" t="str">
        <f t="shared" si="4"/>
        <v>No Badges</v>
      </c>
      <c r="J2094" s="3">
        <f t="shared" si="5"/>
        <v>0</v>
      </c>
    </row>
    <row r="2095">
      <c r="A2095" s="1" t="s">
        <v>1714</v>
      </c>
      <c r="B2095" s="3" t="str">
        <f t="shared" si="1"/>
        <v>Unavailable</v>
      </c>
      <c r="C2095" s="5">
        <v>2845.0</v>
      </c>
      <c r="D2095" s="3">
        <f>IFERROR(__xludf.DUMMYFUNCTION("IFERROR(
IF(REGEXMATCH(LOWER(O2095),""k""),
VALUE(REGEXEXTRACT(O2095,""[0-9]+""))*1000,
VALUE(REGEXEXTRACT(O2095,""[0-9]+""))
),
0
)"),0.0)</f>
        <v>0</v>
      </c>
      <c r="E2095" s="1" t="s">
        <v>11</v>
      </c>
      <c r="F2095" s="1" t="s">
        <v>20</v>
      </c>
      <c r="G2095" s="4" t="b">
        <f t="shared" si="2"/>
        <v>1</v>
      </c>
      <c r="H2095" s="1" t="str">
        <f t="shared" si="3"/>
        <v>Currently Unavailable</v>
      </c>
      <c r="I2095" s="1" t="str">
        <f t="shared" si="4"/>
        <v>No Badges</v>
      </c>
      <c r="J2095" s="3">
        <f t="shared" si="5"/>
        <v>0</v>
      </c>
    </row>
    <row r="2096">
      <c r="A2096" s="1" t="s">
        <v>1715</v>
      </c>
      <c r="B2096" s="3" t="str">
        <f t="shared" si="1"/>
        <v>Unavailable</v>
      </c>
      <c r="C2096" s="5">
        <v>1818.0</v>
      </c>
      <c r="D2096" s="3">
        <f>IFERROR(__xludf.DUMMYFUNCTION("IFERROR(
IF(REGEXMATCH(LOWER(O2096),""k""),
VALUE(REGEXEXTRACT(O2096,""[0-9]+""))*1000,
VALUE(REGEXEXTRACT(O2096,""[0-9]+""))
),
0
)"),0.0)</f>
        <v>0</v>
      </c>
      <c r="E2096" s="1" t="s">
        <v>11</v>
      </c>
      <c r="F2096" s="1" t="s">
        <v>20</v>
      </c>
      <c r="G2096" s="4" t="b">
        <f t="shared" si="2"/>
        <v>1</v>
      </c>
      <c r="H2096" s="1" t="str">
        <f t="shared" si="3"/>
        <v>Currently Unavailable</v>
      </c>
      <c r="I2096" s="1" t="str">
        <f t="shared" si="4"/>
        <v>No Badges</v>
      </c>
      <c r="J2096" s="3">
        <f t="shared" si="5"/>
        <v>0</v>
      </c>
    </row>
    <row r="2097">
      <c r="A2097" s="1" t="s">
        <v>1716</v>
      </c>
      <c r="B2097" s="3" t="str">
        <f t="shared" si="1"/>
        <v>Unavailable</v>
      </c>
      <c r="C2097" s="5">
        <v>6786.0</v>
      </c>
      <c r="D2097" s="3">
        <f>IFERROR(__xludf.DUMMYFUNCTION("IFERROR(
IF(REGEXMATCH(LOWER(O2097),""k""),
VALUE(REGEXEXTRACT(O2097,""[0-9]+""))*1000,
VALUE(REGEXEXTRACT(O2097,""[0-9]+""))
),
0
)"),0.0)</f>
        <v>0</v>
      </c>
      <c r="E2097" s="1" t="s">
        <v>11</v>
      </c>
      <c r="F2097" s="1" t="s">
        <v>20</v>
      </c>
      <c r="G2097" s="4" t="b">
        <f t="shared" si="2"/>
        <v>1</v>
      </c>
      <c r="H2097" s="1" t="str">
        <f t="shared" si="3"/>
        <v>Currently Unavailable</v>
      </c>
      <c r="I2097" s="1" t="str">
        <f t="shared" si="4"/>
        <v>No Badges</v>
      </c>
      <c r="J2097" s="3">
        <f t="shared" si="5"/>
        <v>0</v>
      </c>
    </row>
    <row r="2098">
      <c r="A2098" s="1" t="s">
        <v>1717</v>
      </c>
      <c r="B2098" s="3" t="str">
        <f t="shared" si="1"/>
        <v>Unavailable</v>
      </c>
      <c r="C2098" s="5">
        <v>8361.0</v>
      </c>
      <c r="D2098" s="3">
        <f>IFERROR(__xludf.DUMMYFUNCTION("IFERROR(
IF(REGEXMATCH(LOWER(O2098),""k""),
VALUE(REGEXEXTRACT(O2098,""[0-9]+""))*1000,
VALUE(REGEXEXTRACT(O2098,""[0-9]+""))
),
0
)"),0.0)</f>
        <v>0</v>
      </c>
      <c r="E2098" s="1" t="s">
        <v>11</v>
      </c>
      <c r="F2098" s="1" t="s">
        <v>20</v>
      </c>
      <c r="G2098" s="4" t="b">
        <f t="shared" si="2"/>
        <v>1</v>
      </c>
      <c r="H2098" s="1" t="str">
        <f t="shared" si="3"/>
        <v>Currently Unavailable</v>
      </c>
      <c r="I2098" s="1" t="str">
        <f t="shared" si="4"/>
        <v>No Badges</v>
      </c>
      <c r="J2098" s="3">
        <f t="shared" si="5"/>
        <v>0</v>
      </c>
    </row>
    <row r="2099">
      <c r="A2099" s="1" t="s">
        <v>1284</v>
      </c>
      <c r="B2099" s="3" t="str">
        <f t="shared" si="1"/>
        <v>Unavailable</v>
      </c>
      <c r="C2099" s="3">
        <v>172.0</v>
      </c>
      <c r="D2099" s="3">
        <f>IFERROR(__xludf.DUMMYFUNCTION("IFERROR(
IF(REGEXMATCH(LOWER(O2099),""k""),
VALUE(REGEXEXTRACT(O2099,""[0-9]+""))*1000,
VALUE(REGEXEXTRACT(O2099,""[0-9]+""))
),
0
)"),0.0)</f>
        <v>0</v>
      </c>
      <c r="E2099" s="1" t="s">
        <v>11</v>
      </c>
      <c r="F2099" s="1" t="s">
        <v>12</v>
      </c>
      <c r="G2099" s="4" t="b">
        <f t="shared" si="2"/>
        <v>1</v>
      </c>
      <c r="H2099" s="1" t="str">
        <f t="shared" si="3"/>
        <v>Currently Unavailable</v>
      </c>
      <c r="I2099" s="1" t="str">
        <f t="shared" si="4"/>
        <v>No Badges</v>
      </c>
      <c r="J2099" s="3">
        <f t="shared" si="5"/>
        <v>0</v>
      </c>
    </row>
    <row r="2100">
      <c r="A2100" s="1" t="s">
        <v>88</v>
      </c>
      <c r="B2100" s="3" t="str">
        <f t="shared" si="1"/>
        <v>Unavailable</v>
      </c>
      <c r="C2100" s="3">
        <v>5.0</v>
      </c>
      <c r="D2100" s="3">
        <f>IFERROR(__xludf.DUMMYFUNCTION("IFERROR(
IF(REGEXMATCH(LOWER(O2100),""k""),
VALUE(REGEXEXTRACT(O2100,""[0-9]+""))*1000,
VALUE(REGEXEXTRACT(O2100,""[0-9]+""))
),
0
)"),0.0)</f>
        <v>0</v>
      </c>
      <c r="E2100" s="1" t="s">
        <v>11</v>
      </c>
      <c r="F2100" s="1" t="s">
        <v>12</v>
      </c>
      <c r="G2100" s="4" t="b">
        <f t="shared" si="2"/>
        <v>1</v>
      </c>
      <c r="H2100" s="1" t="str">
        <f t="shared" si="3"/>
        <v>Currently Unavailable</v>
      </c>
      <c r="I2100" s="1" t="str">
        <f t="shared" si="4"/>
        <v>No Badges</v>
      </c>
      <c r="J2100" s="3">
        <f t="shared" si="5"/>
        <v>0</v>
      </c>
    </row>
    <row r="2101">
      <c r="A2101" s="1" t="s">
        <v>40</v>
      </c>
      <c r="B2101" s="3" t="str">
        <f t="shared" si="1"/>
        <v>Unavailable</v>
      </c>
      <c r="C2101" s="3">
        <v>171.0</v>
      </c>
      <c r="D2101" s="3">
        <f>IFERROR(__xludf.DUMMYFUNCTION("IFERROR(
IF(REGEXMATCH(LOWER(O2101),""k""),
VALUE(REGEXEXTRACT(O2101,""[0-9]+""))*1000,
VALUE(REGEXEXTRACT(O2101,""[0-9]+""))
),
0
)"),0.0)</f>
        <v>0</v>
      </c>
      <c r="E2101" s="1" t="s">
        <v>11</v>
      </c>
      <c r="F2101" s="1" t="s">
        <v>12</v>
      </c>
      <c r="G2101" s="4" t="b">
        <f t="shared" si="2"/>
        <v>1</v>
      </c>
      <c r="H2101" s="1" t="str">
        <f t="shared" si="3"/>
        <v>Currently Unavailable</v>
      </c>
      <c r="I2101" s="1" t="str">
        <f t="shared" si="4"/>
        <v>No Badges</v>
      </c>
      <c r="J2101" s="3">
        <f t="shared" si="5"/>
        <v>0</v>
      </c>
    </row>
    <row r="2102">
      <c r="A2102" s="1" t="s">
        <v>1718</v>
      </c>
      <c r="B2102" s="3" t="str">
        <f t="shared" si="1"/>
        <v>Unavailable</v>
      </c>
      <c r="C2102" s="5">
        <v>2762.0</v>
      </c>
      <c r="D2102" s="3">
        <f>IFERROR(__xludf.DUMMYFUNCTION("IFERROR(
IF(REGEXMATCH(LOWER(O2102),""k""),
VALUE(REGEXEXTRACT(O2102,""[0-9]+""))*1000,
VALUE(REGEXEXTRACT(O2102,""[0-9]+""))
),
0
)"),0.0)</f>
        <v>0</v>
      </c>
      <c r="E2102" s="1" t="s">
        <v>18</v>
      </c>
      <c r="F2102" s="1" t="s">
        <v>20</v>
      </c>
      <c r="G2102" s="4" t="b">
        <f t="shared" si="2"/>
        <v>1</v>
      </c>
      <c r="H2102" s="1" t="str">
        <f t="shared" si="3"/>
        <v>Currently Unavailable</v>
      </c>
      <c r="I2102" s="1" t="str">
        <f t="shared" si="4"/>
        <v>No Badges</v>
      </c>
      <c r="J2102" s="3">
        <f t="shared" si="5"/>
        <v>0</v>
      </c>
    </row>
    <row r="2103">
      <c r="A2103" s="1" t="s">
        <v>1719</v>
      </c>
      <c r="B2103" s="3" t="str">
        <f t="shared" si="1"/>
        <v>Unavailable</v>
      </c>
      <c r="C2103" s="5">
        <v>48149.0</v>
      </c>
      <c r="D2103" s="3">
        <f>IFERROR(__xludf.DUMMYFUNCTION("IFERROR(
IF(REGEXMATCH(LOWER(O2103),""k""),
VALUE(REGEXEXTRACT(O2103,""[0-9]+""))*1000,
VALUE(REGEXEXTRACT(O2103,""[0-9]+""))
),
0
)"),0.0)</f>
        <v>0</v>
      </c>
      <c r="E2103" s="1" t="s">
        <v>11</v>
      </c>
      <c r="F2103" s="1" t="s">
        <v>20</v>
      </c>
      <c r="G2103" s="4" t="b">
        <f t="shared" si="2"/>
        <v>1</v>
      </c>
      <c r="H2103" s="1" t="str">
        <f t="shared" si="3"/>
        <v>Currently Unavailable</v>
      </c>
      <c r="I2103" s="1" t="str">
        <f t="shared" si="4"/>
        <v>No Badges</v>
      </c>
      <c r="J2103" s="3">
        <f t="shared" si="5"/>
        <v>0</v>
      </c>
    </row>
    <row r="2104">
      <c r="A2104" s="1" t="s">
        <v>1720</v>
      </c>
      <c r="B2104" s="3" t="str">
        <f t="shared" si="1"/>
        <v>Unavailable</v>
      </c>
      <c r="C2104" s="3">
        <v>702.0</v>
      </c>
      <c r="D2104" s="3">
        <f>IFERROR(__xludf.DUMMYFUNCTION("IFERROR(
IF(REGEXMATCH(LOWER(O2104),""k""),
VALUE(REGEXEXTRACT(O2104,""[0-9]+""))*1000,
VALUE(REGEXEXTRACT(O2104,""[0-9]+""))
),
0
)"),0.0)</f>
        <v>0</v>
      </c>
      <c r="E2104" s="1" t="s">
        <v>11</v>
      </c>
      <c r="F2104" s="1" t="s">
        <v>20</v>
      </c>
      <c r="G2104" s="4" t="b">
        <f t="shared" si="2"/>
        <v>1</v>
      </c>
      <c r="H2104" s="1" t="str">
        <f t="shared" si="3"/>
        <v>Currently Unavailable</v>
      </c>
      <c r="I2104" s="1" t="str">
        <f t="shared" si="4"/>
        <v>No Badges</v>
      </c>
      <c r="J2104" s="3">
        <f t="shared" si="5"/>
        <v>0</v>
      </c>
    </row>
    <row r="2105">
      <c r="A2105" s="1" t="s">
        <v>1721</v>
      </c>
      <c r="B2105" s="3" t="str">
        <f t="shared" si="1"/>
        <v>Unavailable</v>
      </c>
      <c r="C2105" s="5">
        <v>1505.0</v>
      </c>
      <c r="D2105" s="3">
        <f>IFERROR(__xludf.DUMMYFUNCTION("IFERROR(
IF(REGEXMATCH(LOWER(O2105),""k""),
VALUE(REGEXEXTRACT(O2105,""[0-9]+""))*1000,
VALUE(REGEXEXTRACT(O2105,""[0-9]+""))
),
0
)"),0.0)</f>
        <v>0</v>
      </c>
      <c r="E2105" s="1" t="s">
        <v>11</v>
      </c>
      <c r="F2105" s="1" t="s">
        <v>20</v>
      </c>
      <c r="G2105" s="4" t="b">
        <f t="shared" si="2"/>
        <v>1</v>
      </c>
      <c r="H2105" s="1" t="str">
        <f t="shared" si="3"/>
        <v>Currently Unavailable</v>
      </c>
      <c r="I2105" s="1" t="str">
        <f t="shared" si="4"/>
        <v>No Badges</v>
      </c>
      <c r="J2105" s="3">
        <f t="shared" si="5"/>
        <v>0</v>
      </c>
    </row>
    <row r="2106">
      <c r="A2106" s="1" t="s">
        <v>1722</v>
      </c>
      <c r="B2106" s="3" t="str">
        <f t="shared" si="1"/>
        <v>Unavailable</v>
      </c>
      <c r="C2106" s="3">
        <v>685.0</v>
      </c>
      <c r="D2106" s="3">
        <f>IFERROR(__xludf.DUMMYFUNCTION("IFERROR(
IF(REGEXMATCH(LOWER(O2106),""k""),
VALUE(REGEXEXTRACT(O2106,""[0-9]+""))*1000,
VALUE(REGEXEXTRACT(O2106,""[0-9]+""))
),
0
)"),0.0)</f>
        <v>0</v>
      </c>
      <c r="E2106" s="1" t="s">
        <v>11</v>
      </c>
      <c r="F2106" s="1" t="s">
        <v>20</v>
      </c>
      <c r="G2106" s="4" t="b">
        <f t="shared" si="2"/>
        <v>1</v>
      </c>
      <c r="H2106" s="1" t="str">
        <f t="shared" si="3"/>
        <v>Currently Unavailable</v>
      </c>
      <c r="I2106" s="1" t="str">
        <f t="shared" si="4"/>
        <v>No Badges</v>
      </c>
      <c r="J2106" s="3">
        <f t="shared" si="5"/>
        <v>0</v>
      </c>
    </row>
    <row r="2107">
      <c r="A2107" s="1" t="s">
        <v>1723</v>
      </c>
      <c r="B2107" s="3" t="str">
        <f t="shared" si="1"/>
        <v>Unavailable</v>
      </c>
      <c r="C2107" s="3">
        <v>901.0</v>
      </c>
      <c r="D2107" s="3">
        <f>IFERROR(__xludf.DUMMYFUNCTION("IFERROR(
IF(REGEXMATCH(LOWER(O2107),""k""),
VALUE(REGEXEXTRACT(O2107,""[0-9]+""))*1000,
VALUE(REGEXEXTRACT(O2107,""[0-9]+""))
),
0
)"),0.0)</f>
        <v>0</v>
      </c>
      <c r="E2107" s="1" t="s">
        <v>11</v>
      </c>
      <c r="F2107" s="1" t="s">
        <v>20</v>
      </c>
      <c r="G2107" s="4" t="b">
        <f t="shared" si="2"/>
        <v>1</v>
      </c>
      <c r="H2107" s="1" t="str">
        <f t="shared" si="3"/>
        <v>Currently Unavailable</v>
      </c>
      <c r="I2107" s="1" t="str">
        <f t="shared" si="4"/>
        <v>No Badges</v>
      </c>
      <c r="J2107" s="3">
        <f t="shared" si="5"/>
        <v>0</v>
      </c>
    </row>
    <row r="2108">
      <c r="A2108" s="1" t="s">
        <v>1279</v>
      </c>
      <c r="B2108" s="3" t="str">
        <f t="shared" si="1"/>
        <v>Unavailable</v>
      </c>
      <c r="C2108" s="3">
        <v>65.0</v>
      </c>
      <c r="D2108" s="3">
        <f>IFERROR(__xludf.DUMMYFUNCTION("IFERROR(
IF(REGEXMATCH(LOWER(O2108),""k""),
VALUE(REGEXEXTRACT(O2108,""[0-9]+""))*1000,
VALUE(REGEXEXTRACT(O2108,""[0-9]+""))
),
0
)"),0.0)</f>
        <v>0</v>
      </c>
      <c r="E2108" s="1" t="s">
        <v>11</v>
      </c>
      <c r="F2108" s="1" t="s">
        <v>20</v>
      </c>
      <c r="G2108" s="4" t="b">
        <f t="shared" si="2"/>
        <v>1</v>
      </c>
      <c r="H2108" s="1" t="str">
        <f t="shared" si="3"/>
        <v>Currently Unavailable</v>
      </c>
      <c r="I2108" s="1" t="str">
        <f t="shared" si="4"/>
        <v>No Badges</v>
      </c>
      <c r="J2108" s="3">
        <f t="shared" si="5"/>
        <v>0</v>
      </c>
    </row>
    <row r="2109">
      <c r="A2109" s="1" t="s">
        <v>1724</v>
      </c>
      <c r="B2109" s="3" t="str">
        <f t="shared" si="1"/>
        <v>Unavailable</v>
      </c>
      <c r="C2109" s="5">
        <v>12307.0</v>
      </c>
      <c r="D2109" s="3">
        <f>IFERROR(__xludf.DUMMYFUNCTION("IFERROR(
IF(REGEXMATCH(LOWER(O2109),""k""),
VALUE(REGEXEXTRACT(O2109,""[0-9]+""))*1000,
VALUE(REGEXEXTRACT(O2109,""[0-9]+""))
),
0
)"),0.0)</f>
        <v>0</v>
      </c>
      <c r="E2109" s="1" t="s">
        <v>11</v>
      </c>
      <c r="F2109" s="1" t="s">
        <v>20</v>
      </c>
      <c r="G2109" s="4" t="b">
        <f t="shared" si="2"/>
        <v>1</v>
      </c>
      <c r="H2109" s="1" t="str">
        <f t="shared" si="3"/>
        <v>Currently Unavailable</v>
      </c>
      <c r="I2109" s="1" t="str">
        <f t="shared" si="4"/>
        <v>No Badges</v>
      </c>
      <c r="J2109" s="3">
        <f t="shared" si="5"/>
        <v>0</v>
      </c>
    </row>
    <row r="2110">
      <c r="A2110" s="1" t="s">
        <v>1284</v>
      </c>
      <c r="B2110" s="3" t="str">
        <f t="shared" si="1"/>
        <v>Unavailable</v>
      </c>
      <c r="C2110" s="3">
        <v>172.0</v>
      </c>
      <c r="D2110" s="3">
        <f>IFERROR(__xludf.DUMMYFUNCTION("IFERROR(
IF(REGEXMATCH(LOWER(O2110),""k""),
VALUE(REGEXEXTRACT(O2110,""[0-9]+""))*1000,
VALUE(REGEXEXTRACT(O2110,""[0-9]+""))
),
0
)"),0.0)</f>
        <v>0</v>
      </c>
      <c r="E2110" s="1" t="s">
        <v>11</v>
      </c>
      <c r="F2110" s="1" t="s">
        <v>12</v>
      </c>
      <c r="G2110" s="4" t="b">
        <f t="shared" si="2"/>
        <v>1</v>
      </c>
      <c r="H2110" s="1" t="str">
        <f t="shared" si="3"/>
        <v>Currently Unavailable</v>
      </c>
      <c r="I2110" s="1" t="str">
        <f t="shared" si="4"/>
        <v>No Badges</v>
      </c>
      <c r="J2110" s="3">
        <f t="shared" si="5"/>
        <v>0</v>
      </c>
    </row>
    <row r="2111">
      <c r="A2111" s="1" t="s">
        <v>1725</v>
      </c>
      <c r="B2111" s="3" t="str">
        <f t="shared" si="1"/>
        <v>Unavailable</v>
      </c>
      <c r="C2111" s="5">
        <v>2433.0</v>
      </c>
      <c r="D2111" s="3">
        <f>IFERROR(__xludf.DUMMYFUNCTION("IFERROR(
IF(REGEXMATCH(LOWER(O2111),""k""),
VALUE(REGEXEXTRACT(O2111,""[0-9]+""))*1000,
VALUE(REGEXEXTRACT(O2111,""[0-9]+""))
),
0
)"),0.0)</f>
        <v>0</v>
      </c>
      <c r="E2111" s="1" t="s">
        <v>11</v>
      </c>
      <c r="F2111" s="1" t="s">
        <v>20</v>
      </c>
      <c r="G2111" s="4" t="b">
        <f t="shared" si="2"/>
        <v>1</v>
      </c>
      <c r="H2111" s="1" t="str">
        <f t="shared" si="3"/>
        <v>Currently Unavailable</v>
      </c>
      <c r="I2111" s="1" t="str">
        <f t="shared" si="4"/>
        <v>No Badges</v>
      </c>
      <c r="J2111" s="3">
        <f t="shared" si="5"/>
        <v>0</v>
      </c>
    </row>
    <row r="2112">
      <c r="A2112" s="1" t="s">
        <v>1726</v>
      </c>
      <c r="B2112" s="3" t="str">
        <f t="shared" si="1"/>
        <v>Unavailable</v>
      </c>
      <c r="C2112" s="3">
        <v>411.0</v>
      </c>
      <c r="D2112" s="3">
        <f>IFERROR(__xludf.DUMMYFUNCTION("IFERROR(
IF(REGEXMATCH(LOWER(O2112),""k""),
VALUE(REGEXEXTRACT(O2112,""[0-9]+""))*1000,
VALUE(REGEXEXTRACT(O2112,""[0-9]+""))
),
0
)"),0.0)</f>
        <v>0</v>
      </c>
      <c r="E2112" s="1" t="s">
        <v>158</v>
      </c>
      <c r="F2112" s="1" t="s">
        <v>20</v>
      </c>
      <c r="G2112" s="4" t="b">
        <f t="shared" si="2"/>
        <v>1</v>
      </c>
      <c r="H2112" s="1" t="str">
        <f t="shared" si="3"/>
        <v>Currently Unavailable</v>
      </c>
      <c r="I2112" s="1" t="str">
        <f t="shared" si="4"/>
        <v>No Badges</v>
      </c>
      <c r="J2112" s="3">
        <f t="shared" si="5"/>
        <v>0</v>
      </c>
    </row>
    <row r="2113">
      <c r="A2113" s="1" t="s">
        <v>1727</v>
      </c>
      <c r="B2113" s="3" t="str">
        <f t="shared" si="1"/>
        <v>Unavailable</v>
      </c>
      <c r="C2113" s="3">
        <v>75.0</v>
      </c>
      <c r="D2113" s="3">
        <f>IFERROR(__xludf.DUMMYFUNCTION("IFERROR(
IF(REGEXMATCH(LOWER(O2113),""k""),
VALUE(REGEXEXTRACT(O2113,""[0-9]+""))*1000,
VALUE(REGEXEXTRACT(O2113,""[0-9]+""))
),
0
)"),0.0)</f>
        <v>0</v>
      </c>
      <c r="E2113" s="1" t="s">
        <v>11</v>
      </c>
      <c r="F2113" s="1" t="s">
        <v>20</v>
      </c>
      <c r="G2113" s="4" t="b">
        <f t="shared" si="2"/>
        <v>1</v>
      </c>
      <c r="H2113" s="1" t="str">
        <f t="shared" si="3"/>
        <v>Currently Unavailable</v>
      </c>
      <c r="I2113" s="1" t="str">
        <f t="shared" si="4"/>
        <v>No Badges</v>
      </c>
      <c r="J2113" s="3">
        <f t="shared" si="5"/>
        <v>0</v>
      </c>
    </row>
    <row r="2114">
      <c r="A2114" s="1" t="s">
        <v>1728</v>
      </c>
      <c r="B2114" s="3" t="str">
        <f t="shared" si="1"/>
        <v>Unavailable</v>
      </c>
      <c r="C2114" s="3">
        <v>419.0</v>
      </c>
      <c r="D2114" s="3">
        <f>IFERROR(__xludf.DUMMYFUNCTION("IFERROR(
IF(REGEXMATCH(LOWER(O2114),""k""),
VALUE(REGEXEXTRACT(O2114,""[0-9]+""))*1000,
VALUE(REGEXEXTRACT(O2114,""[0-9]+""))
),
0
)"),0.0)</f>
        <v>0</v>
      </c>
      <c r="E2114" s="1" t="s">
        <v>11</v>
      </c>
      <c r="F2114" s="1" t="s">
        <v>20</v>
      </c>
      <c r="G2114" s="4" t="b">
        <f t="shared" si="2"/>
        <v>1</v>
      </c>
      <c r="H2114" s="1" t="str">
        <f t="shared" si="3"/>
        <v>Currently Unavailable</v>
      </c>
      <c r="I2114" s="1" t="str">
        <f t="shared" si="4"/>
        <v>No Badges</v>
      </c>
      <c r="J2114" s="3">
        <f t="shared" si="5"/>
        <v>0</v>
      </c>
    </row>
    <row r="2115">
      <c r="A2115" s="1" t="s">
        <v>1285</v>
      </c>
      <c r="B2115" s="3" t="str">
        <f t="shared" si="1"/>
        <v>Unavailable</v>
      </c>
      <c r="C2115" s="5">
        <v>3520.0</v>
      </c>
      <c r="D2115" s="3">
        <f>IFERROR(__xludf.DUMMYFUNCTION("IFERROR(
IF(REGEXMATCH(LOWER(O2115),""k""),
VALUE(REGEXEXTRACT(O2115,""[0-9]+""))*1000,
VALUE(REGEXEXTRACT(O2115,""[0-9]+""))
),
0
)"),0.0)</f>
        <v>0</v>
      </c>
      <c r="E2115" s="1" t="s">
        <v>11</v>
      </c>
      <c r="F2115" s="1" t="s">
        <v>12</v>
      </c>
      <c r="G2115" s="4" t="b">
        <f t="shared" si="2"/>
        <v>1</v>
      </c>
      <c r="H2115" s="1" t="str">
        <f t="shared" si="3"/>
        <v>Currently Unavailable</v>
      </c>
      <c r="I2115" s="1" t="str">
        <f t="shared" si="4"/>
        <v>No Badges</v>
      </c>
      <c r="J2115" s="3">
        <f t="shared" si="5"/>
        <v>0</v>
      </c>
    </row>
    <row r="2116">
      <c r="A2116" s="1" t="s">
        <v>1284</v>
      </c>
      <c r="B2116" s="3" t="str">
        <f t="shared" si="1"/>
        <v>Unavailable</v>
      </c>
      <c r="C2116" s="3">
        <v>172.0</v>
      </c>
      <c r="D2116" s="3">
        <f>IFERROR(__xludf.DUMMYFUNCTION("IFERROR(
IF(REGEXMATCH(LOWER(O2116),""k""),
VALUE(REGEXEXTRACT(O2116,""[0-9]+""))*1000,
VALUE(REGEXEXTRACT(O2116,""[0-9]+""))
),
0
)"),0.0)</f>
        <v>0</v>
      </c>
      <c r="E2116" s="1" t="s">
        <v>11</v>
      </c>
      <c r="F2116" s="1" t="s">
        <v>12</v>
      </c>
      <c r="G2116" s="4" t="b">
        <f t="shared" si="2"/>
        <v>1</v>
      </c>
      <c r="H2116" s="1" t="str">
        <f t="shared" si="3"/>
        <v>Currently Unavailable</v>
      </c>
      <c r="I2116" s="1" t="str">
        <f t="shared" si="4"/>
        <v>No Badges</v>
      </c>
      <c r="J2116" s="3">
        <f t="shared" si="5"/>
        <v>0</v>
      </c>
    </row>
    <row r="2117">
      <c r="A2117" s="1" t="s">
        <v>1729</v>
      </c>
      <c r="B2117" s="3" t="str">
        <f t="shared" si="1"/>
        <v>Unavailable</v>
      </c>
      <c r="C2117" s="3">
        <v>659.0</v>
      </c>
      <c r="D2117" s="3">
        <f>IFERROR(__xludf.DUMMYFUNCTION("IFERROR(
IF(REGEXMATCH(LOWER(O2117),""k""),
VALUE(REGEXEXTRACT(O2117,""[0-9]+""))*1000,
VALUE(REGEXEXTRACT(O2117,""[0-9]+""))
),
0
)"),0.0)</f>
        <v>0</v>
      </c>
      <c r="E2117" s="1" t="s">
        <v>11</v>
      </c>
      <c r="F2117" s="1" t="s">
        <v>20</v>
      </c>
      <c r="G2117" s="4" t="b">
        <f t="shared" si="2"/>
        <v>1</v>
      </c>
      <c r="H2117" s="1" t="str">
        <f t="shared" si="3"/>
        <v>Currently Unavailable</v>
      </c>
      <c r="I2117" s="1" t="str">
        <f t="shared" si="4"/>
        <v>No Badges</v>
      </c>
      <c r="J2117" s="3">
        <f t="shared" si="5"/>
        <v>0</v>
      </c>
    </row>
    <row r="2118">
      <c r="A2118" s="1" t="s">
        <v>1730</v>
      </c>
      <c r="B2118" s="3" t="str">
        <f t="shared" si="1"/>
        <v>Unavailable</v>
      </c>
      <c r="C2118" s="5">
        <v>15448.0</v>
      </c>
      <c r="D2118" s="3">
        <f>IFERROR(__xludf.DUMMYFUNCTION("IFERROR(
IF(REGEXMATCH(LOWER(O2118),""k""),
VALUE(REGEXEXTRACT(O2118,""[0-9]+""))*1000,
VALUE(REGEXEXTRACT(O2118,""[0-9]+""))
),
0
)"),0.0)</f>
        <v>0</v>
      </c>
      <c r="E2118" s="1" t="s">
        <v>11</v>
      </c>
      <c r="F2118" s="1" t="s">
        <v>20</v>
      </c>
      <c r="G2118" s="4" t="b">
        <f t="shared" si="2"/>
        <v>1</v>
      </c>
      <c r="H2118" s="1" t="str">
        <f t="shared" si="3"/>
        <v>Currently Unavailable</v>
      </c>
      <c r="I2118" s="1" t="str">
        <f t="shared" si="4"/>
        <v>No Badges</v>
      </c>
      <c r="J2118" s="3">
        <f t="shared" si="5"/>
        <v>0</v>
      </c>
    </row>
    <row r="2119">
      <c r="A2119" s="1" t="s">
        <v>1731</v>
      </c>
      <c r="B2119" s="3" t="str">
        <f t="shared" si="1"/>
        <v>Unavailable</v>
      </c>
      <c r="C2119" s="5">
        <v>4750.0</v>
      </c>
      <c r="D2119" s="3">
        <f>IFERROR(__xludf.DUMMYFUNCTION("IFERROR(
IF(REGEXMATCH(LOWER(O2119),""k""),
VALUE(REGEXEXTRACT(O2119,""[0-9]+""))*1000,
VALUE(REGEXEXTRACT(O2119,""[0-9]+""))
),
0
)"),0.0)</f>
        <v>0</v>
      </c>
      <c r="E2119" s="1" t="s">
        <v>11</v>
      </c>
      <c r="F2119" s="1" t="s">
        <v>20</v>
      </c>
      <c r="G2119" s="4" t="b">
        <f t="shared" si="2"/>
        <v>1</v>
      </c>
      <c r="H2119" s="1" t="str">
        <f t="shared" si="3"/>
        <v>Currently Unavailable</v>
      </c>
      <c r="I2119" s="1" t="str">
        <f t="shared" si="4"/>
        <v>No Badges</v>
      </c>
      <c r="J2119" s="3">
        <f t="shared" si="5"/>
        <v>0</v>
      </c>
    </row>
    <row r="2120">
      <c r="A2120" s="1" t="s">
        <v>1285</v>
      </c>
      <c r="B2120" s="3" t="str">
        <f t="shared" si="1"/>
        <v>Unavailable</v>
      </c>
      <c r="C2120" s="5">
        <v>3520.0</v>
      </c>
      <c r="D2120" s="3">
        <f>IFERROR(__xludf.DUMMYFUNCTION("IFERROR(
IF(REGEXMATCH(LOWER(O2120),""k""),
VALUE(REGEXEXTRACT(O2120,""[0-9]+""))*1000,
VALUE(REGEXEXTRACT(O2120,""[0-9]+""))
),
0
)"),0.0)</f>
        <v>0</v>
      </c>
      <c r="E2120" s="1" t="s">
        <v>11</v>
      </c>
      <c r="F2120" s="1" t="s">
        <v>12</v>
      </c>
      <c r="G2120" s="4" t="b">
        <f t="shared" si="2"/>
        <v>1</v>
      </c>
      <c r="H2120" s="1" t="str">
        <f t="shared" si="3"/>
        <v>Currently Unavailable</v>
      </c>
      <c r="I2120" s="1" t="str">
        <f t="shared" si="4"/>
        <v>No Badges</v>
      </c>
      <c r="J2120" s="3">
        <f t="shared" si="5"/>
        <v>0</v>
      </c>
    </row>
    <row r="2121">
      <c r="A2121" s="1" t="s">
        <v>1732</v>
      </c>
      <c r="B2121" s="3" t="str">
        <f t="shared" si="1"/>
        <v>Unavailable</v>
      </c>
      <c r="C2121" s="3">
        <v>110.0</v>
      </c>
      <c r="D2121" s="3">
        <f>IFERROR(__xludf.DUMMYFUNCTION("IFERROR(
IF(REGEXMATCH(LOWER(O2121),""k""),
VALUE(REGEXEXTRACT(O2121,""[0-9]+""))*1000,
VALUE(REGEXEXTRACT(O2121,""[0-9]+""))
),
0
)"),0.0)</f>
        <v>0</v>
      </c>
      <c r="E2121" s="1" t="s">
        <v>11</v>
      </c>
      <c r="F2121" s="1" t="s">
        <v>20</v>
      </c>
      <c r="G2121" s="4" t="b">
        <f t="shared" si="2"/>
        <v>1</v>
      </c>
      <c r="H2121" s="1" t="str">
        <f t="shared" si="3"/>
        <v>Currently Unavailable</v>
      </c>
      <c r="I2121" s="1" t="str">
        <f t="shared" si="4"/>
        <v>No Badges</v>
      </c>
      <c r="J2121" s="3">
        <f t="shared" si="5"/>
        <v>0</v>
      </c>
    </row>
    <row r="2122">
      <c r="A2122" s="1" t="s">
        <v>1733</v>
      </c>
      <c r="B2122" s="3" t="str">
        <f t="shared" si="1"/>
        <v>Unavailable</v>
      </c>
      <c r="C2122" s="5">
        <v>13191.0</v>
      </c>
      <c r="D2122" s="3">
        <f>IFERROR(__xludf.DUMMYFUNCTION("IFERROR(
IF(REGEXMATCH(LOWER(O2122),""k""),
VALUE(REGEXEXTRACT(O2122,""[0-9]+""))*1000,
VALUE(REGEXEXTRACT(O2122,""[0-9]+""))
),
0
)"),0.0)</f>
        <v>0</v>
      </c>
      <c r="E2122" s="1" t="s">
        <v>11</v>
      </c>
      <c r="F2122" s="1" t="s">
        <v>20</v>
      </c>
      <c r="G2122" s="4" t="b">
        <f t="shared" si="2"/>
        <v>1</v>
      </c>
      <c r="H2122" s="1" t="str">
        <f t="shared" si="3"/>
        <v>Currently Unavailable</v>
      </c>
      <c r="I2122" s="1" t="str">
        <f t="shared" si="4"/>
        <v>No Badges</v>
      </c>
      <c r="J2122" s="3">
        <f t="shared" si="5"/>
        <v>0</v>
      </c>
    </row>
    <row r="2123">
      <c r="A2123" s="1" t="s">
        <v>1734</v>
      </c>
      <c r="B2123" s="3" t="str">
        <f t="shared" si="1"/>
        <v>Unavailable</v>
      </c>
      <c r="C2123" s="3">
        <v>57.0</v>
      </c>
      <c r="D2123" s="3">
        <f>IFERROR(__xludf.DUMMYFUNCTION("IFERROR(
IF(REGEXMATCH(LOWER(O2123),""k""),
VALUE(REGEXEXTRACT(O2123,""[0-9]+""))*1000,
VALUE(REGEXEXTRACT(O2123,""[0-9]+""))
),
0
)"),0.0)</f>
        <v>0</v>
      </c>
      <c r="E2123" s="1" t="s">
        <v>11</v>
      </c>
      <c r="F2123" s="1" t="s">
        <v>20</v>
      </c>
      <c r="G2123" s="4" t="b">
        <f t="shared" si="2"/>
        <v>1</v>
      </c>
      <c r="H2123" s="1" t="str">
        <f t="shared" si="3"/>
        <v>Currently Unavailable</v>
      </c>
      <c r="I2123" s="1" t="str">
        <f t="shared" si="4"/>
        <v>No Badges</v>
      </c>
      <c r="J2123" s="3">
        <f t="shared" si="5"/>
        <v>0</v>
      </c>
    </row>
    <row r="2124">
      <c r="A2124" s="1" t="s">
        <v>1735</v>
      </c>
      <c r="B2124" s="3" t="str">
        <f t="shared" si="1"/>
        <v>Unavailable</v>
      </c>
      <c r="C2124" s="5">
        <v>1385.0</v>
      </c>
      <c r="D2124" s="3">
        <f>IFERROR(__xludf.DUMMYFUNCTION("IFERROR(
IF(REGEXMATCH(LOWER(O2124),""k""),
VALUE(REGEXEXTRACT(O2124,""[0-9]+""))*1000,
VALUE(REGEXEXTRACT(O2124,""[0-9]+""))
),
0
)"),0.0)</f>
        <v>0</v>
      </c>
      <c r="E2124" s="1" t="s">
        <v>18</v>
      </c>
      <c r="F2124" s="1" t="s">
        <v>20</v>
      </c>
      <c r="G2124" s="4" t="b">
        <f t="shared" si="2"/>
        <v>1</v>
      </c>
      <c r="H2124" s="1" t="str">
        <f t="shared" si="3"/>
        <v>Currently Unavailable</v>
      </c>
      <c r="I2124" s="1" t="str">
        <f t="shared" si="4"/>
        <v>No Badges</v>
      </c>
      <c r="J2124" s="3">
        <f t="shared" si="5"/>
        <v>0</v>
      </c>
    </row>
    <row r="2125">
      <c r="A2125" s="1" t="s">
        <v>1736</v>
      </c>
      <c r="B2125" s="3" t="str">
        <f t="shared" si="1"/>
        <v>Unavailable</v>
      </c>
      <c r="C2125" s="3">
        <v>581.0</v>
      </c>
      <c r="D2125" s="3">
        <f>IFERROR(__xludf.DUMMYFUNCTION("IFERROR(
IF(REGEXMATCH(LOWER(O2125),""k""),
VALUE(REGEXEXTRACT(O2125,""[0-9]+""))*1000,
VALUE(REGEXEXTRACT(O2125,""[0-9]+""))
),
0
)"),0.0)</f>
        <v>0</v>
      </c>
      <c r="E2125" s="1" t="s">
        <v>11</v>
      </c>
      <c r="F2125" s="1" t="s">
        <v>20</v>
      </c>
      <c r="G2125" s="4" t="b">
        <f t="shared" si="2"/>
        <v>1</v>
      </c>
      <c r="H2125" s="1" t="str">
        <f t="shared" si="3"/>
        <v>Currently Unavailable</v>
      </c>
      <c r="I2125" s="1" t="str">
        <f t="shared" si="4"/>
        <v>No Badges</v>
      </c>
      <c r="J2125" s="3">
        <f t="shared" si="5"/>
        <v>0</v>
      </c>
    </row>
    <row r="2126">
      <c r="A2126" s="1" t="s">
        <v>1284</v>
      </c>
      <c r="B2126" s="3" t="str">
        <f t="shared" si="1"/>
        <v>Unavailable</v>
      </c>
      <c r="C2126" s="3">
        <v>172.0</v>
      </c>
      <c r="D2126" s="3">
        <f>IFERROR(__xludf.DUMMYFUNCTION("IFERROR(
IF(REGEXMATCH(LOWER(O2126),""k""),
VALUE(REGEXEXTRACT(O2126,""[0-9]+""))*1000,
VALUE(REGEXEXTRACT(O2126,""[0-9]+""))
),
0
)"),0.0)</f>
        <v>0</v>
      </c>
      <c r="E2126" s="1" t="s">
        <v>11</v>
      </c>
      <c r="F2126" s="1" t="s">
        <v>12</v>
      </c>
      <c r="G2126" s="4" t="b">
        <f t="shared" si="2"/>
        <v>1</v>
      </c>
      <c r="H2126" s="1" t="str">
        <f t="shared" si="3"/>
        <v>Currently Unavailable</v>
      </c>
      <c r="I2126" s="1" t="str">
        <f t="shared" si="4"/>
        <v>No Badges</v>
      </c>
      <c r="J2126" s="3">
        <f t="shared" si="5"/>
        <v>0</v>
      </c>
    </row>
    <row r="2127">
      <c r="A2127" s="1" t="s">
        <v>1737</v>
      </c>
      <c r="B2127" s="3" t="str">
        <f t="shared" si="1"/>
        <v>Unavailable</v>
      </c>
      <c r="C2127" s="5">
        <v>3521.0</v>
      </c>
      <c r="D2127" s="3">
        <f>IFERROR(__xludf.DUMMYFUNCTION("IFERROR(
IF(REGEXMATCH(LOWER(O2127),""k""),
VALUE(REGEXEXTRACT(O2127,""[0-9]+""))*1000,
VALUE(REGEXEXTRACT(O2127,""[0-9]+""))
),
0
)"),0.0)</f>
        <v>0</v>
      </c>
      <c r="E2127" s="1" t="s">
        <v>11</v>
      </c>
      <c r="F2127" s="1" t="s">
        <v>20</v>
      </c>
      <c r="G2127" s="4" t="b">
        <f t="shared" si="2"/>
        <v>1</v>
      </c>
      <c r="H2127" s="1" t="str">
        <f t="shared" si="3"/>
        <v>Currently Unavailable</v>
      </c>
      <c r="I2127" s="1" t="str">
        <f t="shared" si="4"/>
        <v>No Badges</v>
      </c>
      <c r="J2127" s="3">
        <f t="shared" si="5"/>
        <v>0</v>
      </c>
    </row>
    <row r="2128">
      <c r="A2128" s="1" t="s">
        <v>69</v>
      </c>
      <c r="B2128" s="3" t="str">
        <f t="shared" si="1"/>
        <v>Unavailable</v>
      </c>
      <c r="C2128" s="3">
        <v>45.0</v>
      </c>
      <c r="D2128" s="3">
        <f>IFERROR(__xludf.DUMMYFUNCTION("IFERROR(
IF(REGEXMATCH(LOWER(O2128),""k""),
VALUE(REGEXEXTRACT(O2128,""[0-9]+""))*1000,
VALUE(REGEXEXTRACT(O2128,""[0-9]+""))
),
0
)"),0.0)</f>
        <v>0</v>
      </c>
      <c r="E2128" s="1" t="s">
        <v>11</v>
      </c>
      <c r="F2128" s="1" t="s">
        <v>12</v>
      </c>
      <c r="G2128" s="4" t="b">
        <f t="shared" si="2"/>
        <v>1</v>
      </c>
      <c r="H2128" s="1" t="str">
        <f t="shared" si="3"/>
        <v>Currently Unavailable</v>
      </c>
      <c r="I2128" s="1" t="str">
        <f t="shared" si="4"/>
        <v>No Badges</v>
      </c>
      <c r="J2128" s="3">
        <f t="shared" si="5"/>
        <v>0</v>
      </c>
    </row>
    <row r="2129">
      <c r="A2129" s="1" t="s">
        <v>1738</v>
      </c>
      <c r="B2129" s="3" t="str">
        <f t="shared" si="1"/>
        <v>Unavailable</v>
      </c>
      <c r="C2129" s="3">
        <v>828.0</v>
      </c>
      <c r="D2129" s="3">
        <f>IFERROR(__xludf.DUMMYFUNCTION("IFERROR(
IF(REGEXMATCH(LOWER(O2129),""k""),
VALUE(REGEXEXTRACT(O2129,""[0-9]+""))*1000,
VALUE(REGEXEXTRACT(O2129,""[0-9]+""))
),
0
)"),0.0)</f>
        <v>0</v>
      </c>
      <c r="E2129" s="1" t="s">
        <v>11</v>
      </c>
      <c r="F2129" s="1" t="s">
        <v>20</v>
      </c>
      <c r="G2129" s="4" t="b">
        <f t="shared" si="2"/>
        <v>1</v>
      </c>
      <c r="H2129" s="1" t="str">
        <f t="shared" si="3"/>
        <v>Currently Unavailable</v>
      </c>
      <c r="I2129" s="1" t="str">
        <f t="shared" si="4"/>
        <v>No Badges</v>
      </c>
      <c r="J2129" s="3">
        <f t="shared" si="5"/>
        <v>0</v>
      </c>
    </row>
    <row r="2130">
      <c r="A2130" s="1" t="s">
        <v>1739</v>
      </c>
      <c r="B2130" s="3" t="str">
        <f t="shared" si="1"/>
        <v>Unavailable</v>
      </c>
      <c r="C2130" s="5">
        <v>5074.0</v>
      </c>
      <c r="D2130" s="3">
        <f>IFERROR(__xludf.DUMMYFUNCTION("IFERROR(
IF(REGEXMATCH(LOWER(O2130),""k""),
VALUE(REGEXEXTRACT(O2130,""[0-9]+""))*1000,
VALUE(REGEXEXTRACT(O2130,""[0-9]+""))
),
0
)"),0.0)</f>
        <v>0</v>
      </c>
      <c r="E2130" s="1" t="s">
        <v>11</v>
      </c>
      <c r="F2130" s="1" t="s">
        <v>20</v>
      </c>
      <c r="G2130" s="4" t="b">
        <f t="shared" si="2"/>
        <v>1</v>
      </c>
      <c r="H2130" s="1" t="str">
        <f t="shared" si="3"/>
        <v>Currently Unavailable</v>
      </c>
      <c r="I2130" s="1" t="str">
        <f t="shared" si="4"/>
        <v>No Badges</v>
      </c>
      <c r="J2130" s="3">
        <f t="shared" si="5"/>
        <v>0</v>
      </c>
    </row>
    <row r="2131">
      <c r="A2131" s="1" t="s">
        <v>1740</v>
      </c>
      <c r="B2131" s="3" t="str">
        <f t="shared" si="1"/>
        <v>Unavailable</v>
      </c>
      <c r="C2131" s="3">
        <v>269.0</v>
      </c>
      <c r="D2131" s="3">
        <f>IFERROR(__xludf.DUMMYFUNCTION("IFERROR(
IF(REGEXMATCH(LOWER(O2131),""k""),
VALUE(REGEXEXTRACT(O2131,""[0-9]+""))*1000,
VALUE(REGEXEXTRACT(O2131,""[0-9]+""))
),
0
)"),0.0)</f>
        <v>0</v>
      </c>
      <c r="E2131" s="1" t="s">
        <v>11</v>
      </c>
      <c r="F2131" s="1" t="s">
        <v>20</v>
      </c>
      <c r="G2131" s="4" t="b">
        <f t="shared" si="2"/>
        <v>1</v>
      </c>
      <c r="H2131" s="1" t="str">
        <f t="shared" si="3"/>
        <v>Currently Unavailable</v>
      </c>
      <c r="I2131" s="1" t="str">
        <f t="shared" si="4"/>
        <v>No Badges</v>
      </c>
      <c r="J2131" s="3">
        <f t="shared" si="5"/>
        <v>0</v>
      </c>
    </row>
    <row r="2132">
      <c r="A2132" s="1" t="s">
        <v>1741</v>
      </c>
      <c r="B2132" s="3" t="str">
        <f t="shared" si="1"/>
        <v>Unavailable</v>
      </c>
      <c r="C2132" s="5">
        <v>3851.0</v>
      </c>
      <c r="D2132" s="3">
        <f>IFERROR(__xludf.DUMMYFUNCTION("IFERROR(
IF(REGEXMATCH(LOWER(O2132),""k""),
VALUE(REGEXEXTRACT(O2132,""[0-9]+""))*1000,
VALUE(REGEXEXTRACT(O2132,""[0-9]+""))
),
0
)"),0.0)</f>
        <v>0</v>
      </c>
      <c r="E2132" s="1" t="s">
        <v>11</v>
      </c>
      <c r="F2132" s="1" t="s">
        <v>20</v>
      </c>
      <c r="G2132" s="4" t="b">
        <f t="shared" si="2"/>
        <v>1</v>
      </c>
      <c r="H2132" s="1" t="str">
        <f t="shared" si="3"/>
        <v>Currently Unavailable</v>
      </c>
      <c r="I2132" s="1" t="str">
        <f t="shared" si="4"/>
        <v>No Badges</v>
      </c>
      <c r="J2132" s="3">
        <f t="shared" si="5"/>
        <v>0</v>
      </c>
    </row>
    <row r="2133">
      <c r="A2133" s="1" t="s">
        <v>1742</v>
      </c>
      <c r="B2133" s="3" t="str">
        <f t="shared" si="1"/>
        <v>Unavailable</v>
      </c>
      <c r="C2133" s="5">
        <v>12338.0</v>
      </c>
      <c r="D2133" s="3">
        <f>IFERROR(__xludf.DUMMYFUNCTION("IFERROR(
IF(REGEXMATCH(LOWER(O2133),""k""),
VALUE(REGEXEXTRACT(O2133,""[0-9]+""))*1000,
VALUE(REGEXEXTRACT(O2133,""[0-9]+""))
),
0
)"),0.0)</f>
        <v>0</v>
      </c>
      <c r="E2133" s="1" t="s">
        <v>11</v>
      </c>
      <c r="F2133" s="1" t="s">
        <v>20</v>
      </c>
      <c r="G2133" s="4" t="b">
        <f t="shared" si="2"/>
        <v>1</v>
      </c>
      <c r="H2133" s="1" t="str">
        <f t="shared" si="3"/>
        <v>Currently Unavailable</v>
      </c>
      <c r="I2133" s="1" t="str">
        <f t="shared" si="4"/>
        <v>No Badges</v>
      </c>
      <c r="J2133" s="3">
        <f t="shared" si="5"/>
        <v>0</v>
      </c>
    </row>
    <row r="2134">
      <c r="A2134" s="1" t="s">
        <v>1743</v>
      </c>
      <c r="B2134" s="3" t="str">
        <f t="shared" si="1"/>
        <v>Unavailable</v>
      </c>
      <c r="C2134" s="3">
        <v>817.0</v>
      </c>
      <c r="D2134" s="3">
        <f>IFERROR(__xludf.DUMMYFUNCTION("IFERROR(
IF(REGEXMATCH(LOWER(O2134),""k""),
VALUE(REGEXEXTRACT(O2134,""[0-9]+""))*1000,
VALUE(REGEXEXTRACT(O2134,""[0-9]+""))
),
0
)"),0.0)</f>
        <v>0</v>
      </c>
      <c r="E2134" s="1" t="s">
        <v>11</v>
      </c>
      <c r="F2134" s="1" t="s">
        <v>20</v>
      </c>
      <c r="G2134" s="4" t="b">
        <f t="shared" si="2"/>
        <v>1</v>
      </c>
      <c r="H2134" s="1" t="str">
        <f t="shared" si="3"/>
        <v>Currently Unavailable</v>
      </c>
      <c r="I2134" s="1" t="str">
        <f t="shared" si="4"/>
        <v>No Badges</v>
      </c>
      <c r="J2134" s="3">
        <f t="shared" si="5"/>
        <v>0</v>
      </c>
    </row>
    <row r="2135">
      <c r="A2135" s="1" t="s">
        <v>1744</v>
      </c>
      <c r="B2135" s="3" t="str">
        <f t="shared" si="1"/>
        <v>Unavailable</v>
      </c>
      <c r="C2135" s="5">
        <v>1506.0</v>
      </c>
      <c r="D2135" s="3">
        <f>IFERROR(__xludf.DUMMYFUNCTION("IFERROR(
IF(REGEXMATCH(LOWER(O2135),""k""),
VALUE(REGEXEXTRACT(O2135,""[0-9]+""))*1000,
VALUE(REGEXEXTRACT(O2135,""[0-9]+""))
),
0
)"),0.0)</f>
        <v>0</v>
      </c>
      <c r="E2135" s="1" t="s">
        <v>11</v>
      </c>
      <c r="F2135" s="1" t="s">
        <v>20</v>
      </c>
      <c r="G2135" s="4" t="b">
        <f t="shared" si="2"/>
        <v>1</v>
      </c>
      <c r="H2135" s="1" t="str">
        <f t="shared" si="3"/>
        <v>Currently Unavailable</v>
      </c>
      <c r="I2135" s="1" t="str">
        <f t="shared" si="4"/>
        <v>No Badges</v>
      </c>
      <c r="J2135" s="3">
        <f t="shared" si="5"/>
        <v>0</v>
      </c>
    </row>
    <row r="2136">
      <c r="A2136" s="1" t="s">
        <v>1745</v>
      </c>
      <c r="B2136" s="3" t="str">
        <f t="shared" si="1"/>
        <v>Unavailable</v>
      </c>
      <c r="C2136" s="5">
        <v>1204.0</v>
      </c>
      <c r="D2136" s="3">
        <f>IFERROR(__xludf.DUMMYFUNCTION("IFERROR(
IF(REGEXMATCH(LOWER(O2136),""k""),
VALUE(REGEXEXTRACT(O2136,""[0-9]+""))*1000,
VALUE(REGEXEXTRACT(O2136,""[0-9]+""))
),
0
)"),0.0)</f>
        <v>0</v>
      </c>
      <c r="E2136" s="1" t="s">
        <v>11</v>
      </c>
      <c r="F2136" s="1" t="s">
        <v>20</v>
      </c>
      <c r="G2136" s="4" t="b">
        <f t="shared" si="2"/>
        <v>1</v>
      </c>
      <c r="H2136" s="1" t="str">
        <f t="shared" si="3"/>
        <v>Currently Unavailable</v>
      </c>
      <c r="I2136" s="1" t="str">
        <f t="shared" si="4"/>
        <v>No Badges</v>
      </c>
      <c r="J2136" s="3">
        <f t="shared" si="5"/>
        <v>0</v>
      </c>
    </row>
    <row r="2137">
      <c r="A2137" s="1" t="s">
        <v>1284</v>
      </c>
      <c r="B2137" s="3" t="str">
        <f t="shared" si="1"/>
        <v>Unavailable</v>
      </c>
      <c r="C2137" s="3">
        <v>172.0</v>
      </c>
      <c r="D2137" s="3">
        <f>IFERROR(__xludf.DUMMYFUNCTION("IFERROR(
IF(REGEXMATCH(LOWER(O2137),""k""),
VALUE(REGEXEXTRACT(O2137,""[0-9]+""))*1000,
VALUE(REGEXEXTRACT(O2137,""[0-9]+""))
),
0
)"),0.0)</f>
        <v>0</v>
      </c>
      <c r="E2137" s="1" t="s">
        <v>11</v>
      </c>
      <c r="F2137" s="1" t="s">
        <v>12</v>
      </c>
      <c r="G2137" s="4" t="b">
        <f t="shared" si="2"/>
        <v>1</v>
      </c>
      <c r="H2137" s="1" t="str">
        <f t="shared" si="3"/>
        <v>Currently Unavailable</v>
      </c>
      <c r="I2137" s="1" t="str">
        <f t="shared" si="4"/>
        <v>No Badges</v>
      </c>
      <c r="J2137" s="3">
        <f t="shared" si="5"/>
        <v>0</v>
      </c>
    </row>
    <row r="2138">
      <c r="A2138" s="1" t="s">
        <v>1746</v>
      </c>
      <c r="B2138" s="3" t="str">
        <f t="shared" si="1"/>
        <v>Unavailable</v>
      </c>
      <c r="C2138" s="5">
        <v>46281.0</v>
      </c>
      <c r="D2138" s="3">
        <f>IFERROR(__xludf.DUMMYFUNCTION("IFERROR(
IF(REGEXMATCH(LOWER(O2138),""k""),
VALUE(REGEXEXTRACT(O2138,""[0-9]+""))*1000,
VALUE(REGEXEXTRACT(O2138,""[0-9]+""))
),
0
)"),0.0)</f>
        <v>0</v>
      </c>
      <c r="E2138" s="1" t="s">
        <v>11</v>
      </c>
      <c r="F2138" s="1" t="s">
        <v>20</v>
      </c>
      <c r="G2138" s="4" t="b">
        <f t="shared" si="2"/>
        <v>1</v>
      </c>
      <c r="H2138" s="1" t="str">
        <f t="shared" si="3"/>
        <v>Currently Unavailable</v>
      </c>
      <c r="I2138" s="1" t="str">
        <f t="shared" si="4"/>
        <v>No Badges</v>
      </c>
      <c r="J2138" s="3">
        <f t="shared" si="5"/>
        <v>0</v>
      </c>
    </row>
    <row r="2139">
      <c r="A2139" s="1" t="s">
        <v>1747</v>
      </c>
      <c r="B2139" s="3" t="str">
        <f t="shared" si="1"/>
        <v>Unavailable</v>
      </c>
      <c r="C2139" s="3">
        <v>278.0</v>
      </c>
      <c r="D2139" s="3">
        <f>IFERROR(__xludf.DUMMYFUNCTION("IFERROR(
IF(REGEXMATCH(LOWER(O2139),""k""),
VALUE(REGEXEXTRACT(O2139,""[0-9]+""))*1000,
VALUE(REGEXEXTRACT(O2139,""[0-9]+""))
),
0
)"),0.0)</f>
        <v>0</v>
      </c>
      <c r="E2139" s="1" t="s">
        <v>11</v>
      </c>
      <c r="F2139" s="1" t="s">
        <v>20</v>
      </c>
      <c r="G2139" s="4" t="b">
        <f t="shared" si="2"/>
        <v>1</v>
      </c>
      <c r="H2139" s="1" t="str">
        <f t="shared" si="3"/>
        <v>Currently Unavailable</v>
      </c>
      <c r="I2139" s="1" t="str">
        <f t="shared" si="4"/>
        <v>No Badges</v>
      </c>
      <c r="J2139" s="3">
        <f t="shared" si="5"/>
        <v>0</v>
      </c>
    </row>
    <row r="2140">
      <c r="A2140" s="1" t="s">
        <v>1748</v>
      </c>
      <c r="B2140" s="3" t="str">
        <f t="shared" si="1"/>
        <v>Unavailable</v>
      </c>
      <c r="C2140" s="3">
        <v>541.0</v>
      </c>
      <c r="D2140" s="3">
        <f>IFERROR(__xludf.DUMMYFUNCTION("IFERROR(
IF(REGEXMATCH(LOWER(O2140),""k""),
VALUE(REGEXEXTRACT(O2140,""[0-9]+""))*1000,
VALUE(REGEXEXTRACT(O2140,""[0-9]+""))
),
0
)"),0.0)</f>
        <v>0</v>
      </c>
      <c r="E2140" s="1" t="s">
        <v>11</v>
      </c>
      <c r="F2140" s="1" t="s">
        <v>20</v>
      </c>
      <c r="G2140" s="4" t="b">
        <f t="shared" si="2"/>
        <v>1</v>
      </c>
      <c r="H2140" s="1" t="str">
        <f t="shared" si="3"/>
        <v>Currently Unavailable</v>
      </c>
      <c r="I2140" s="1" t="str">
        <f t="shared" si="4"/>
        <v>No Badges</v>
      </c>
      <c r="J2140" s="3">
        <f t="shared" si="5"/>
        <v>0</v>
      </c>
    </row>
    <row r="2141">
      <c r="A2141" s="1" t="s">
        <v>67</v>
      </c>
      <c r="B2141" s="3" t="str">
        <f t="shared" si="1"/>
        <v>Unavailable</v>
      </c>
      <c r="C2141" s="3">
        <v>264.0</v>
      </c>
      <c r="D2141" s="3">
        <f>IFERROR(__xludf.DUMMYFUNCTION("IFERROR(
IF(REGEXMATCH(LOWER(O2141),""k""),
VALUE(REGEXEXTRACT(O2141,""[0-9]+""))*1000,
VALUE(REGEXEXTRACT(O2141,""[0-9]+""))
),
0
)"),0.0)</f>
        <v>0</v>
      </c>
      <c r="E2141" s="1" t="s">
        <v>11</v>
      </c>
      <c r="F2141" s="1" t="s">
        <v>12</v>
      </c>
      <c r="G2141" s="4" t="b">
        <f t="shared" si="2"/>
        <v>1</v>
      </c>
      <c r="H2141" s="1" t="str">
        <f t="shared" si="3"/>
        <v>Currently Unavailable</v>
      </c>
      <c r="I2141" s="1" t="str">
        <f t="shared" si="4"/>
        <v>No Badges</v>
      </c>
      <c r="J2141" s="3">
        <f t="shared" si="5"/>
        <v>0</v>
      </c>
    </row>
    <row r="2142">
      <c r="A2142" s="1" t="s">
        <v>1749</v>
      </c>
      <c r="B2142" s="3" t="str">
        <f t="shared" si="1"/>
        <v>Unavailable</v>
      </c>
      <c r="C2142" s="5">
        <v>5966.0</v>
      </c>
      <c r="D2142" s="3">
        <f>IFERROR(__xludf.DUMMYFUNCTION("IFERROR(
IF(REGEXMATCH(LOWER(O2142),""k""),
VALUE(REGEXEXTRACT(O2142,""[0-9]+""))*1000,
VALUE(REGEXEXTRACT(O2142,""[0-9]+""))
),
0
)"),0.0)</f>
        <v>0</v>
      </c>
      <c r="E2142" s="1" t="s">
        <v>11</v>
      </c>
      <c r="F2142" s="1" t="s">
        <v>20</v>
      </c>
      <c r="G2142" s="4" t="b">
        <f t="shared" si="2"/>
        <v>1</v>
      </c>
      <c r="H2142" s="1" t="str">
        <f t="shared" si="3"/>
        <v>Currently Unavailable</v>
      </c>
      <c r="I2142" s="1" t="str">
        <f t="shared" si="4"/>
        <v>No Badges</v>
      </c>
      <c r="J2142" s="3">
        <f t="shared" si="5"/>
        <v>0</v>
      </c>
    </row>
    <row r="2143">
      <c r="A2143" s="1" t="s">
        <v>1750</v>
      </c>
      <c r="B2143" s="3" t="str">
        <f t="shared" si="1"/>
        <v>Unavailable</v>
      </c>
      <c r="C2143" s="5">
        <v>7161.0</v>
      </c>
      <c r="D2143" s="3">
        <f>IFERROR(__xludf.DUMMYFUNCTION("IFERROR(
IF(REGEXMATCH(LOWER(O2143),""k""),
VALUE(REGEXEXTRACT(O2143,""[0-9]+""))*1000,
VALUE(REGEXEXTRACT(O2143,""[0-9]+""))
),
0
)"),0.0)</f>
        <v>0</v>
      </c>
      <c r="E2143" s="1" t="s">
        <v>11</v>
      </c>
      <c r="F2143" s="1" t="s">
        <v>20</v>
      </c>
      <c r="G2143" s="4" t="b">
        <f t="shared" si="2"/>
        <v>1</v>
      </c>
      <c r="H2143" s="1" t="str">
        <f t="shared" si="3"/>
        <v>Currently Unavailable</v>
      </c>
      <c r="I2143" s="1" t="str">
        <f t="shared" si="4"/>
        <v>No Badges</v>
      </c>
      <c r="J2143" s="3">
        <f t="shared" si="5"/>
        <v>0</v>
      </c>
    </row>
    <row r="2144">
      <c r="A2144" s="1" t="s">
        <v>1751</v>
      </c>
      <c r="B2144" s="3" t="str">
        <f t="shared" si="1"/>
        <v>Unavailable</v>
      </c>
      <c r="C2144" s="5">
        <v>1684.0</v>
      </c>
      <c r="D2144" s="3">
        <f>IFERROR(__xludf.DUMMYFUNCTION("IFERROR(
IF(REGEXMATCH(LOWER(O2144),""k""),
VALUE(REGEXEXTRACT(O2144,""[0-9]+""))*1000,
VALUE(REGEXEXTRACT(O2144,""[0-9]+""))
),
0
)"),0.0)</f>
        <v>0</v>
      </c>
      <c r="E2144" s="1" t="s">
        <v>11</v>
      </c>
      <c r="F2144" s="1" t="s">
        <v>20</v>
      </c>
      <c r="G2144" s="4" t="b">
        <f t="shared" si="2"/>
        <v>1</v>
      </c>
      <c r="H2144" s="1" t="str">
        <f t="shared" si="3"/>
        <v>Currently Unavailable</v>
      </c>
      <c r="I2144" s="1" t="str">
        <f t="shared" si="4"/>
        <v>No Badges</v>
      </c>
      <c r="J2144" s="3">
        <f t="shared" si="5"/>
        <v>0</v>
      </c>
    </row>
    <row r="2145">
      <c r="A2145" s="1" t="s">
        <v>1752</v>
      </c>
      <c r="B2145" s="3" t="str">
        <f t="shared" si="1"/>
        <v>Unavailable</v>
      </c>
      <c r="C2145" s="5">
        <v>1628.0</v>
      </c>
      <c r="D2145" s="3">
        <f>IFERROR(__xludf.DUMMYFUNCTION("IFERROR(
IF(REGEXMATCH(LOWER(O2145),""k""),
VALUE(REGEXEXTRACT(O2145,""[0-9]+""))*1000,
VALUE(REGEXEXTRACT(O2145,""[0-9]+""))
),
0
)"),0.0)</f>
        <v>0</v>
      </c>
      <c r="E2145" s="1" t="s">
        <v>11</v>
      </c>
      <c r="F2145" s="1" t="s">
        <v>20</v>
      </c>
      <c r="G2145" s="4" t="b">
        <f t="shared" si="2"/>
        <v>1</v>
      </c>
      <c r="H2145" s="1" t="str">
        <f t="shared" si="3"/>
        <v>Currently Unavailable</v>
      </c>
      <c r="I2145" s="1" t="str">
        <f t="shared" si="4"/>
        <v>No Badges</v>
      </c>
      <c r="J2145" s="3">
        <f t="shared" si="5"/>
        <v>0</v>
      </c>
    </row>
    <row r="2146">
      <c r="A2146" s="1" t="s">
        <v>1753</v>
      </c>
      <c r="B2146" s="3" t="str">
        <f t="shared" si="1"/>
        <v>Unavailable</v>
      </c>
      <c r="C2146" s="3">
        <v>64.0</v>
      </c>
      <c r="D2146" s="3">
        <f>IFERROR(__xludf.DUMMYFUNCTION("IFERROR(
IF(REGEXMATCH(LOWER(O2146),""k""),
VALUE(REGEXEXTRACT(O2146,""[0-9]+""))*1000,
VALUE(REGEXEXTRACT(O2146,""[0-9]+""))
),
0
)"),0.0)</f>
        <v>0</v>
      </c>
      <c r="E2146" s="1" t="s">
        <v>11</v>
      </c>
      <c r="F2146" s="1" t="s">
        <v>20</v>
      </c>
      <c r="G2146" s="4" t="b">
        <f t="shared" si="2"/>
        <v>1</v>
      </c>
      <c r="H2146" s="1" t="str">
        <f t="shared" si="3"/>
        <v>Currently Unavailable</v>
      </c>
      <c r="I2146" s="1" t="str">
        <f t="shared" si="4"/>
        <v>No Badges</v>
      </c>
      <c r="J2146" s="3">
        <f t="shared" si="5"/>
        <v>0</v>
      </c>
    </row>
    <row r="2147">
      <c r="A2147" s="1" t="s">
        <v>1754</v>
      </c>
      <c r="B2147" s="3" t="str">
        <f t="shared" si="1"/>
        <v>Unavailable</v>
      </c>
      <c r="C2147" s="5">
        <v>3143.0</v>
      </c>
      <c r="D2147" s="3">
        <f>IFERROR(__xludf.DUMMYFUNCTION("IFERROR(
IF(REGEXMATCH(LOWER(O2147),""k""),
VALUE(REGEXEXTRACT(O2147,""[0-9]+""))*1000,
VALUE(REGEXEXTRACT(O2147,""[0-9]+""))
),
0
)"),0.0)</f>
        <v>0</v>
      </c>
      <c r="E2147" s="1" t="s">
        <v>11</v>
      </c>
      <c r="F2147" s="1" t="s">
        <v>20</v>
      </c>
      <c r="G2147" s="4" t="b">
        <f t="shared" si="2"/>
        <v>1</v>
      </c>
      <c r="H2147" s="1" t="str">
        <f t="shared" si="3"/>
        <v>Currently Unavailable</v>
      </c>
      <c r="I2147" s="1" t="str">
        <f t="shared" si="4"/>
        <v>No Badges</v>
      </c>
      <c r="J2147" s="3">
        <f t="shared" si="5"/>
        <v>0</v>
      </c>
    </row>
    <row r="2148">
      <c r="A2148" s="1" t="s">
        <v>1755</v>
      </c>
      <c r="B2148" s="3" t="str">
        <f t="shared" si="1"/>
        <v>Unavailable</v>
      </c>
      <c r="C2148" s="5">
        <v>3396.0</v>
      </c>
      <c r="D2148" s="3">
        <f>IFERROR(__xludf.DUMMYFUNCTION("IFERROR(
IF(REGEXMATCH(LOWER(O2148),""k""),
VALUE(REGEXEXTRACT(O2148,""[0-9]+""))*1000,
VALUE(REGEXEXTRACT(O2148,""[0-9]+""))
),
0
)"),0.0)</f>
        <v>0</v>
      </c>
      <c r="E2148" s="1" t="s">
        <v>11</v>
      </c>
      <c r="F2148" s="1" t="s">
        <v>20</v>
      </c>
      <c r="G2148" s="4" t="b">
        <f t="shared" si="2"/>
        <v>1</v>
      </c>
      <c r="H2148" s="1" t="str">
        <f t="shared" si="3"/>
        <v>Currently Unavailable</v>
      </c>
      <c r="I2148" s="1" t="str">
        <f t="shared" si="4"/>
        <v>No Badges</v>
      </c>
      <c r="J2148" s="3">
        <f t="shared" si="5"/>
        <v>0</v>
      </c>
    </row>
    <row r="2149">
      <c r="A2149" s="1" t="s">
        <v>1756</v>
      </c>
      <c r="B2149" s="3" t="str">
        <f t="shared" si="1"/>
        <v>Unavailable</v>
      </c>
      <c r="C2149" s="5">
        <v>65165.0</v>
      </c>
      <c r="D2149" s="3">
        <f>IFERROR(__xludf.DUMMYFUNCTION("IFERROR(
IF(REGEXMATCH(LOWER(O2149),""k""),
VALUE(REGEXEXTRACT(O2149,""[0-9]+""))*1000,
VALUE(REGEXEXTRACT(O2149,""[0-9]+""))
),
0
)"),0.0)</f>
        <v>0</v>
      </c>
      <c r="E2149" s="1" t="s">
        <v>11</v>
      </c>
      <c r="F2149" s="1" t="s">
        <v>20</v>
      </c>
      <c r="G2149" s="4" t="b">
        <f t="shared" si="2"/>
        <v>1</v>
      </c>
      <c r="H2149" s="1" t="str">
        <f t="shared" si="3"/>
        <v>Currently Unavailable</v>
      </c>
      <c r="I2149" s="1" t="str">
        <f t="shared" si="4"/>
        <v>No Badges</v>
      </c>
      <c r="J2149" s="3">
        <f t="shared" si="5"/>
        <v>0</v>
      </c>
    </row>
    <row r="2150">
      <c r="A2150" s="1" t="s">
        <v>1757</v>
      </c>
      <c r="B2150" s="3" t="str">
        <f t="shared" si="1"/>
        <v>Unavailable</v>
      </c>
      <c r="C2150" s="3">
        <v>75.0</v>
      </c>
      <c r="D2150" s="3">
        <f>IFERROR(__xludf.DUMMYFUNCTION("IFERROR(
IF(REGEXMATCH(LOWER(O2150),""k""),
VALUE(REGEXEXTRACT(O2150,""[0-9]+""))*1000,
VALUE(REGEXEXTRACT(O2150,""[0-9]+""))
),
0
)"),0.0)</f>
        <v>0</v>
      </c>
      <c r="E2150" s="1" t="s">
        <v>11</v>
      </c>
      <c r="F2150" s="1" t="s">
        <v>20</v>
      </c>
      <c r="G2150" s="4" t="b">
        <f t="shared" si="2"/>
        <v>1</v>
      </c>
      <c r="H2150" s="1" t="str">
        <f t="shared" si="3"/>
        <v>Currently Unavailable</v>
      </c>
      <c r="I2150" s="1" t="str">
        <f t="shared" si="4"/>
        <v>No Badges</v>
      </c>
      <c r="J2150" s="3">
        <f t="shared" si="5"/>
        <v>0</v>
      </c>
    </row>
    <row r="2151">
      <c r="A2151" s="1" t="s">
        <v>1758</v>
      </c>
      <c r="B2151" s="3" t="str">
        <f t="shared" si="1"/>
        <v>Unavailable</v>
      </c>
      <c r="C2151" s="5">
        <v>18638.0</v>
      </c>
      <c r="D2151" s="3">
        <f>IFERROR(__xludf.DUMMYFUNCTION("IFERROR(
IF(REGEXMATCH(LOWER(O2151),""k""),
VALUE(REGEXEXTRACT(O2151,""[0-9]+""))*1000,
VALUE(REGEXEXTRACT(O2151,""[0-9]+""))
),
0
)"),0.0)</f>
        <v>0</v>
      </c>
      <c r="E2151" s="1" t="s">
        <v>11</v>
      </c>
      <c r="F2151" s="1" t="s">
        <v>20</v>
      </c>
      <c r="G2151" s="4" t="b">
        <f t="shared" si="2"/>
        <v>1</v>
      </c>
      <c r="H2151" s="1" t="str">
        <f t="shared" si="3"/>
        <v>Currently Unavailable</v>
      </c>
      <c r="I2151" s="1" t="str">
        <f t="shared" si="4"/>
        <v>No Badges</v>
      </c>
      <c r="J2151" s="3">
        <f t="shared" si="5"/>
        <v>0</v>
      </c>
    </row>
    <row r="2152">
      <c r="A2152" s="1" t="s">
        <v>1285</v>
      </c>
      <c r="B2152" s="3" t="str">
        <f t="shared" si="1"/>
        <v>Unavailable</v>
      </c>
      <c r="C2152" s="5">
        <v>3520.0</v>
      </c>
      <c r="D2152" s="3">
        <f>IFERROR(__xludf.DUMMYFUNCTION("IFERROR(
IF(REGEXMATCH(LOWER(O2152),""k""),
VALUE(REGEXEXTRACT(O2152,""[0-9]+""))*1000,
VALUE(REGEXEXTRACT(O2152,""[0-9]+""))
),
0
)"),0.0)</f>
        <v>0</v>
      </c>
      <c r="E2152" s="1" t="s">
        <v>11</v>
      </c>
      <c r="F2152" s="1" t="s">
        <v>12</v>
      </c>
      <c r="G2152" s="4" t="b">
        <f t="shared" si="2"/>
        <v>1</v>
      </c>
      <c r="H2152" s="1" t="str">
        <f t="shared" si="3"/>
        <v>Currently Unavailable</v>
      </c>
      <c r="I2152" s="1" t="str">
        <f t="shared" si="4"/>
        <v>No Badges</v>
      </c>
      <c r="J2152" s="3">
        <f t="shared" si="5"/>
        <v>0</v>
      </c>
    </row>
    <row r="2153">
      <c r="A2153" s="1" t="s">
        <v>1284</v>
      </c>
      <c r="B2153" s="3" t="str">
        <f t="shared" si="1"/>
        <v>Unavailable</v>
      </c>
      <c r="C2153" s="3">
        <v>172.0</v>
      </c>
      <c r="D2153" s="3">
        <f>IFERROR(__xludf.DUMMYFUNCTION("IFERROR(
IF(REGEXMATCH(LOWER(O2153),""k""),
VALUE(REGEXEXTRACT(O2153,""[0-9]+""))*1000,
VALUE(REGEXEXTRACT(O2153,""[0-9]+""))
),
0
)"),0.0)</f>
        <v>0</v>
      </c>
      <c r="E2153" s="1" t="s">
        <v>11</v>
      </c>
      <c r="F2153" s="1" t="s">
        <v>12</v>
      </c>
      <c r="G2153" s="4" t="b">
        <f t="shared" si="2"/>
        <v>1</v>
      </c>
      <c r="H2153" s="1" t="str">
        <f t="shared" si="3"/>
        <v>Currently Unavailable</v>
      </c>
      <c r="I2153" s="1" t="str">
        <f t="shared" si="4"/>
        <v>No Badges</v>
      </c>
      <c r="J2153" s="3">
        <f t="shared" si="5"/>
        <v>0</v>
      </c>
    </row>
    <row r="2154">
      <c r="A2154" s="1" t="s">
        <v>1759</v>
      </c>
      <c r="B2154" s="3" t="str">
        <f t="shared" si="1"/>
        <v>Unavailable</v>
      </c>
      <c r="C2154" s="3">
        <v>781.0</v>
      </c>
      <c r="D2154" s="3">
        <f>IFERROR(__xludf.DUMMYFUNCTION("IFERROR(
IF(REGEXMATCH(LOWER(O2154),""k""),
VALUE(REGEXEXTRACT(O2154,""[0-9]+""))*1000,
VALUE(REGEXEXTRACT(O2154,""[0-9]+""))
),
0
)"),0.0)</f>
        <v>0</v>
      </c>
      <c r="E2154" s="1" t="s">
        <v>11</v>
      </c>
      <c r="F2154" s="1" t="s">
        <v>20</v>
      </c>
      <c r="G2154" s="4" t="b">
        <f t="shared" si="2"/>
        <v>1</v>
      </c>
      <c r="H2154" s="1" t="str">
        <f t="shared" si="3"/>
        <v>Currently Unavailable</v>
      </c>
      <c r="I2154" s="1" t="str">
        <f t="shared" si="4"/>
        <v>No Badges</v>
      </c>
      <c r="J2154" s="3">
        <f t="shared" si="5"/>
        <v>0</v>
      </c>
    </row>
    <row r="2155">
      <c r="A2155" s="1" t="s">
        <v>1760</v>
      </c>
      <c r="B2155" s="3" t="str">
        <f t="shared" si="1"/>
        <v>Unavailable</v>
      </c>
      <c r="C2155" s="5">
        <v>1840.0</v>
      </c>
      <c r="D2155" s="3">
        <f>IFERROR(__xludf.DUMMYFUNCTION("IFERROR(
IF(REGEXMATCH(LOWER(O2155),""k""),
VALUE(REGEXEXTRACT(O2155,""[0-9]+""))*1000,
VALUE(REGEXEXTRACT(O2155,""[0-9]+""))
),
0
)"),0.0)</f>
        <v>0</v>
      </c>
      <c r="E2155" s="1" t="s">
        <v>11</v>
      </c>
      <c r="F2155" s="1" t="s">
        <v>20</v>
      </c>
      <c r="G2155" s="4" t="b">
        <f t="shared" si="2"/>
        <v>1</v>
      </c>
      <c r="H2155" s="1" t="str">
        <f t="shared" si="3"/>
        <v>Currently Unavailable</v>
      </c>
      <c r="I2155" s="1" t="str">
        <f t="shared" si="4"/>
        <v>No Badges</v>
      </c>
      <c r="J2155" s="3">
        <f t="shared" si="5"/>
        <v>0</v>
      </c>
    </row>
    <row r="2156">
      <c r="A2156" s="1" t="s">
        <v>701</v>
      </c>
      <c r="B2156" s="3" t="str">
        <f t="shared" si="1"/>
        <v>Unavailable</v>
      </c>
      <c r="C2156" s="3">
        <v>8.0</v>
      </c>
      <c r="D2156" s="3">
        <f>IFERROR(__xludf.DUMMYFUNCTION("IFERROR(
IF(REGEXMATCH(LOWER(O2156),""k""),
VALUE(REGEXEXTRACT(O2156,""[0-9]+""))*1000,
VALUE(REGEXEXTRACT(O2156,""[0-9]+""))
),
0
)"),0.0)</f>
        <v>0</v>
      </c>
      <c r="E2156" s="1" t="s">
        <v>11</v>
      </c>
      <c r="F2156" s="1" t="s">
        <v>12</v>
      </c>
      <c r="G2156" s="4" t="b">
        <f t="shared" si="2"/>
        <v>1</v>
      </c>
      <c r="H2156" s="1" t="str">
        <f t="shared" si="3"/>
        <v>Currently Unavailable</v>
      </c>
      <c r="I2156" s="1" t="str">
        <f t="shared" si="4"/>
        <v>No Badges</v>
      </c>
      <c r="J2156" s="3">
        <f t="shared" si="5"/>
        <v>0</v>
      </c>
    </row>
    <row r="2157">
      <c r="A2157" s="1" t="s">
        <v>1761</v>
      </c>
      <c r="B2157" s="3" t="str">
        <f t="shared" si="1"/>
        <v>Unavailable</v>
      </c>
      <c r="C2157" s="3">
        <v>437.0</v>
      </c>
      <c r="D2157" s="3">
        <f>IFERROR(__xludf.DUMMYFUNCTION("IFERROR(
IF(REGEXMATCH(LOWER(O2157),""k""),
VALUE(REGEXEXTRACT(O2157,""[0-9]+""))*1000,
VALUE(REGEXEXTRACT(O2157,""[0-9]+""))
),
0
)"),0.0)</f>
        <v>0</v>
      </c>
      <c r="E2157" s="1" t="s">
        <v>11</v>
      </c>
      <c r="F2157" s="1" t="s">
        <v>20</v>
      </c>
      <c r="G2157" s="4" t="b">
        <f t="shared" si="2"/>
        <v>1</v>
      </c>
      <c r="H2157" s="1" t="str">
        <f t="shared" si="3"/>
        <v>Currently Unavailable</v>
      </c>
      <c r="I2157" s="1" t="str">
        <f t="shared" si="4"/>
        <v>No Badges</v>
      </c>
      <c r="J2157" s="3">
        <f t="shared" si="5"/>
        <v>0</v>
      </c>
    </row>
    <row r="2158">
      <c r="A2158" s="1" t="s">
        <v>88</v>
      </c>
      <c r="B2158" s="3" t="str">
        <f t="shared" si="1"/>
        <v>Unavailable</v>
      </c>
      <c r="C2158" s="3">
        <v>5.0</v>
      </c>
      <c r="D2158" s="3">
        <f>IFERROR(__xludf.DUMMYFUNCTION("IFERROR(
IF(REGEXMATCH(LOWER(O2158),""k""),
VALUE(REGEXEXTRACT(O2158,""[0-9]+""))*1000,
VALUE(REGEXEXTRACT(O2158,""[0-9]+""))
),
0
)"),0.0)</f>
        <v>0</v>
      </c>
      <c r="E2158" s="1" t="s">
        <v>11</v>
      </c>
      <c r="F2158" s="1" t="s">
        <v>12</v>
      </c>
      <c r="G2158" s="4" t="b">
        <f t="shared" si="2"/>
        <v>1</v>
      </c>
      <c r="H2158" s="1" t="str">
        <f t="shared" si="3"/>
        <v>Currently Unavailable</v>
      </c>
      <c r="I2158" s="1" t="str">
        <f t="shared" si="4"/>
        <v>No Badges</v>
      </c>
      <c r="J2158" s="3">
        <f t="shared" si="5"/>
        <v>0</v>
      </c>
    </row>
    <row r="2159">
      <c r="A2159" s="1" t="s">
        <v>1762</v>
      </c>
      <c r="B2159" s="3" t="str">
        <f t="shared" si="1"/>
        <v>Unavailable</v>
      </c>
      <c r="C2159" s="5">
        <v>10026.0</v>
      </c>
      <c r="D2159" s="3">
        <f>IFERROR(__xludf.DUMMYFUNCTION("IFERROR(
IF(REGEXMATCH(LOWER(O2159),""k""),
VALUE(REGEXEXTRACT(O2159,""[0-9]+""))*1000,
VALUE(REGEXEXTRACT(O2159,""[0-9]+""))
),
0
)"),0.0)</f>
        <v>0</v>
      </c>
      <c r="E2159" s="1" t="s">
        <v>11</v>
      </c>
      <c r="F2159" s="1" t="s">
        <v>20</v>
      </c>
      <c r="G2159" s="4" t="b">
        <f t="shared" si="2"/>
        <v>1</v>
      </c>
      <c r="H2159" s="1" t="str">
        <f t="shared" si="3"/>
        <v>Currently Unavailable</v>
      </c>
      <c r="I2159" s="1" t="str">
        <f t="shared" si="4"/>
        <v>No Badges</v>
      </c>
      <c r="J2159" s="3">
        <f t="shared" si="5"/>
        <v>0</v>
      </c>
    </row>
    <row r="2160">
      <c r="A2160" s="1" t="s">
        <v>1763</v>
      </c>
      <c r="B2160" s="3" t="str">
        <f t="shared" si="1"/>
        <v>Unavailable</v>
      </c>
      <c r="C2160" s="5">
        <v>5505.0</v>
      </c>
      <c r="D2160" s="3">
        <f>IFERROR(__xludf.DUMMYFUNCTION("IFERROR(
IF(REGEXMATCH(LOWER(O2160),""k""),
VALUE(REGEXEXTRACT(O2160,""[0-9]+""))*1000,
VALUE(REGEXEXTRACT(O2160,""[0-9]+""))
),
0
)"),0.0)</f>
        <v>0</v>
      </c>
      <c r="E2160" s="1" t="s">
        <v>11</v>
      </c>
      <c r="F2160" s="1" t="s">
        <v>20</v>
      </c>
      <c r="G2160" s="4" t="b">
        <f t="shared" si="2"/>
        <v>1</v>
      </c>
      <c r="H2160" s="1" t="str">
        <f t="shared" si="3"/>
        <v>Currently Unavailable</v>
      </c>
      <c r="I2160" s="1" t="str">
        <f t="shared" si="4"/>
        <v>No Badges</v>
      </c>
      <c r="J2160" s="3">
        <f t="shared" si="5"/>
        <v>0</v>
      </c>
    </row>
    <row r="2161">
      <c r="A2161" s="1" t="s">
        <v>69</v>
      </c>
      <c r="B2161" s="3" t="str">
        <f t="shared" si="1"/>
        <v>Unavailable</v>
      </c>
      <c r="C2161" s="3">
        <v>45.0</v>
      </c>
      <c r="D2161" s="3">
        <f>IFERROR(__xludf.DUMMYFUNCTION("IFERROR(
IF(REGEXMATCH(LOWER(O2161),""k""),
VALUE(REGEXEXTRACT(O2161,""[0-9]+""))*1000,
VALUE(REGEXEXTRACT(O2161,""[0-9]+""))
),
0
)"),0.0)</f>
        <v>0</v>
      </c>
      <c r="E2161" s="1" t="s">
        <v>11</v>
      </c>
      <c r="F2161" s="1" t="s">
        <v>12</v>
      </c>
      <c r="G2161" s="4" t="b">
        <f t="shared" si="2"/>
        <v>1</v>
      </c>
      <c r="H2161" s="1" t="str">
        <f t="shared" si="3"/>
        <v>Currently Unavailable</v>
      </c>
      <c r="I2161" s="1" t="str">
        <f t="shared" si="4"/>
        <v>No Badges</v>
      </c>
      <c r="J2161" s="3">
        <f t="shared" si="5"/>
        <v>0</v>
      </c>
    </row>
    <row r="2162">
      <c r="A2162" s="1" t="s">
        <v>1764</v>
      </c>
      <c r="B2162" s="3" t="str">
        <f t="shared" si="1"/>
        <v>Unavailable</v>
      </c>
      <c r="C2162" s="5">
        <v>7160.0</v>
      </c>
      <c r="D2162" s="3">
        <f>IFERROR(__xludf.DUMMYFUNCTION("IFERROR(
IF(REGEXMATCH(LOWER(O2162),""k""),
VALUE(REGEXEXTRACT(O2162,""[0-9]+""))*1000,
VALUE(REGEXEXTRACT(O2162,""[0-9]+""))
),
0
)"),0.0)</f>
        <v>0</v>
      </c>
      <c r="E2162" s="1" t="s">
        <v>11</v>
      </c>
      <c r="F2162" s="1" t="s">
        <v>20</v>
      </c>
      <c r="G2162" s="4" t="b">
        <f t="shared" si="2"/>
        <v>1</v>
      </c>
      <c r="H2162" s="1" t="str">
        <f t="shared" si="3"/>
        <v>Currently Unavailable</v>
      </c>
      <c r="I2162" s="1" t="str">
        <f t="shared" si="4"/>
        <v>No Badges</v>
      </c>
      <c r="J2162" s="3">
        <f t="shared" si="5"/>
        <v>0</v>
      </c>
    </row>
    <row r="2163">
      <c r="A2163" s="1" t="s">
        <v>1765</v>
      </c>
      <c r="B2163" s="3" t="str">
        <f t="shared" si="1"/>
        <v>Unavailable</v>
      </c>
      <c r="C2163" s="5">
        <v>9879.0</v>
      </c>
      <c r="D2163" s="3">
        <f>IFERROR(__xludf.DUMMYFUNCTION("IFERROR(
IF(REGEXMATCH(LOWER(O2163),""k""),
VALUE(REGEXEXTRACT(O2163,""[0-9]+""))*1000,
VALUE(REGEXEXTRACT(O2163,""[0-9]+""))
),
0
)"),0.0)</f>
        <v>0</v>
      </c>
      <c r="E2163" s="1" t="s">
        <v>158</v>
      </c>
      <c r="F2163" s="1" t="s">
        <v>20</v>
      </c>
      <c r="G2163" s="4" t="b">
        <f t="shared" si="2"/>
        <v>1</v>
      </c>
      <c r="H2163" s="1" t="str">
        <f t="shared" si="3"/>
        <v>Currently Unavailable</v>
      </c>
      <c r="I2163" s="1" t="str">
        <f t="shared" si="4"/>
        <v>No Badges</v>
      </c>
      <c r="J2163" s="3">
        <f t="shared" si="5"/>
        <v>0</v>
      </c>
    </row>
    <row r="2164">
      <c r="A2164" s="1" t="s">
        <v>1766</v>
      </c>
      <c r="B2164" s="3" t="str">
        <f t="shared" si="1"/>
        <v>Unavailable</v>
      </c>
      <c r="C2164" s="5">
        <v>1842.0</v>
      </c>
      <c r="D2164" s="3">
        <f>IFERROR(__xludf.DUMMYFUNCTION("IFERROR(
IF(REGEXMATCH(LOWER(O2164),""k""),
VALUE(REGEXEXTRACT(O2164,""[0-9]+""))*1000,
VALUE(REGEXEXTRACT(O2164,""[0-9]+""))
),
0
)"),0.0)</f>
        <v>0</v>
      </c>
      <c r="E2164" s="1" t="s">
        <v>11</v>
      </c>
      <c r="F2164" s="1" t="s">
        <v>20</v>
      </c>
      <c r="G2164" s="4" t="b">
        <f t="shared" si="2"/>
        <v>1</v>
      </c>
      <c r="H2164" s="1" t="str">
        <f t="shared" si="3"/>
        <v>Currently Unavailable</v>
      </c>
      <c r="I2164" s="1" t="str">
        <f t="shared" si="4"/>
        <v>No Badges</v>
      </c>
      <c r="J2164" s="3">
        <f t="shared" si="5"/>
        <v>0</v>
      </c>
    </row>
    <row r="2165">
      <c r="A2165" s="1" t="s">
        <v>1767</v>
      </c>
      <c r="B2165" s="3" t="str">
        <f t="shared" si="1"/>
        <v>Unavailable</v>
      </c>
      <c r="C2165" s="5">
        <v>4490.0</v>
      </c>
      <c r="D2165" s="3">
        <f>IFERROR(__xludf.DUMMYFUNCTION("IFERROR(
IF(REGEXMATCH(LOWER(O2165),""k""),
VALUE(REGEXEXTRACT(O2165,""[0-9]+""))*1000,
VALUE(REGEXEXTRACT(O2165,""[0-9]+""))
),
0
)"),0.0)</f>
        <v>0</v>
      </c>
      <c r="E2165" s="1" t="s">
        <v>11</v>
      </c>
      <c r="F2165" s="1" t="s">
        <v>20</v>
      </c>
      <c r="G2165" s="4" t="b">
        <f t="shared" si="2"/>
        <v>1</v>
      </c>
      <c r="H2165" s="1" t="str">
        <f t="shared" si="3"/>
        <v>Currently Unavailable</v>
      </c>
      <c r="I2165" s="1" t="str">
        <f t="shared" si="4"/>
        <v>No Badges</v>
      </c>
      <c r="J2165" s="3">
        <f t="shared" si="5"/>
        <v>0</v>
      </c>
    </row>
    <row r="2166">
      <c r="A2166" s="1" t="s">
        <v>1768</v>
      </c>
      <c r="B2166" s="3" t="str">
        <f t="shared" si="1"/>
        <v>Unavailable</v>
      </c>
      <c r="C2166" s="5">
        <v>6260.0</v>
      </c>
      <c r="D2166" s="3">
        <f>IFERROR(__xludf.DUMMYFUNCTION("IFERROR(
IF(REGEXMATCH(LOWER(O2166),""k""),
VALUE(REGEXEXTRACT(O2166,""[0-9]+""))*1000,
VALUE(REGEXEXTRACT(O2166,""[0-9]+""))
),
0
)"),0.0)</f>
        <v>0</v>
      </c>
      <c r="E2166" s="1" t="s">
        <v>11</v>
      </c>
      <c r="F2166" s="1" t="s">
        <v>20</v>
      </c>
      <c r="G2166" s="4" t="b">
        <f t="shared" si="2"/>
        <v>1</v>
      </c>
      <c r="H2166" s="1" t="str">
        <f t="shared" si="3"/>
        <v>Currently Unavailable</v>
      </c>
      <c r="I2166" s="1" t="str">
        <f t="shared" si="4"/>
        <v>No Badges</v>
      </c>
      <c r="J2166" s="3">
        <f t="shared" si="5"/>
        <v>0</v>
      </c>
    </row>
    <row r="2167">
      <c r="A2167" s="1" t="s">
        <v>1769</v>
      </c>
      <c r="B2167" s="3" t="str">
        <f t="shared" si="1"/>
        <v>Unavailable</v>
      </c>
      <c r="C2167" s="5">
        <v>5051.0</v>
      </c>
      <c r="D2167" s="3">
        <f>IFERROR(__xludf.DUMMYFUNCTION("IFERROR(
IF(REGEXMATCH(LOWER(O2167),""k""),
VALUE(REGEXEXTRACT(O2167,""[0-9]+""))*1000,
VALUE(REGEXEXTRACT(O2167,""[0-9]+""))
),
0
)"),0.0)</f>
        <v>0</v>
      </c>
      <c r="E2167" s="1" t="s">
        <v>11</v>
      </c>
      <c r="F2167" s="1" t="s">
        <v>20</v>
      </c>
      <c r="G2167" s="4" t="b">
        <f t="shared" si="2"/>
        <v>1</v>
      </c>
      <c r="H2167" s="1" t="str">
        <f t="shared" si="3"/>
        <v>Currently Unavailable</v>
      </c>
      <c r="I2167" s="1" t="str">
        <f t="shared" si="4"/>
        <v>No Badges</v>
      </c>
      <c r="J2167" s="3">
        <f t="shared" si="5"/>
        <v>0</v>
      </c>
    </row>
    <row r="2168">
      <c r="A2168" s="1" t="s">
        <v>1284</v>
      </c>
      <c r="B2168" s="3" t="str">
        <f t="shared" si="1"/>
        <v>Unavailable</v>
      </c>
      <c r="C2168" s="3">
        <v>172.0</v>
      </c>
      <c r="D2168" s="3">
        <f>IFERROR(__xludf.DUMMYFUNCTION("IFERROR(
IF(REGEXMATCH(LOWER(O2168),""k""),
VALUE(REGEXEXTRACT(O2168,""[0-9]+""))*1000,
VALUE(REGEXEXTRACT(O2168,""[0-9]+""))
),
0
)"),0.0)</f>
        <v>0</v>
      </c>
      <c r="E2168" s="1" t="s">
        <v>11</v>
      </c>
      <c r="F2168" s="1" t="s">
        <v>12</v>
      </c>
      <c r="G2168" s="4" t="b">
        <f t="shared" si="2"/>
        <v>1</v>
      </c>
      <c r="H2168" s="1" t="str">
        <f t="shared" si="3"/>
        <v>Currently Unavailable</v>
      </c>
      <c r="I2168" s="1" t="str">
        <f t="shared" si="4"/>
        <v>No Badges</v>
      </c>
      <c r="J2168" s="3">
        <f t="shared" si="5"/>
        <v>0</v>
      </c>
    </row>
    <row r="2169">
      <c r="A2169" s="1" t="s">
        <v>1770</v>
      </c>
      <c r="B2169" s="3" t="str">
        <f t="shared" si="1"/>
        <v>Unavailable</v>
      </c>
      <c r="C2169" s="5">
        <v>1998.0</v>
      </c>
      <c r="D2169" s="3">
        <f>IFERROR(__xludf.DUMMYFUNCTION("IFERROR(
IF(REGEXMATCH(LOWER(O2169),""k""),
VALUE(REGEXEXTRACT(O2169,""[0-9]+""))*1000,
VALUE(REGEXEXTRACT(O2169,""[0-9]+""))
),
0
)"),0.0)</f>
        <v>0</v>
      </c>
      <c r="E2169" s="1" t="s">
        <v>11</v>
      </c>
      <c r="F2169" s="1" t="s">
        <v>20</v>
      </c>
      <c r="G2169" s="4" t="b">
        <f t="shared" si="2"/>
        <v>1</v>
      </c>
      <c r="H2169" s="1" t="str">
        <f t="shared" si="3"/>
        <v>Currently Unavailable</v>
      </c>
      <c r="I2169" s="1" t="str">
        <f t="shared" si="4"/>
        <v>No Badges</v>
      </c>
      <c r="J2169" s="3">
        <f t="shared" si="5"/>
        <v>0</v>
      </c>
    </row>
    <row r="2170">
      <c r="A2170" s="1" t="s">
        <v>1771</v>
      </c>
      <c r="B2170" s="3" t="str">
        <f t="shared" si="1"/>
        <v>Unavailable</v>
      </c>
      <c r="C2170" s="5">
        <v>2162.0</v>
      </c>
      <c r="D2170" s="3">
        <f>IFERROR(__xludf.DUMMYFUNCTION("IFERROR(
IF(REGEXMATCH(LOWER(O2170),""k""),
VALUE(REGEXEXTRACT(O2170,""[0-9]+""))*1000,
VALUE(REGEXEXTRACT(O2170,""[0-9]+""))
),
0
)"),0.0)</f>
        <v>0</v>
      </c>
      <c r="E2170" s="1" t="s">
        <v>11</v>
      </c>
      <c r="F2170" s="1" t="s">
        <v>20</v>
      </c>
      <c r="G2170" s="4" t="b">
        <f t="shared" si="2"/>
        <v>1</v>
      </c>
      <c r="H2170" s="1" t="str">
        <f t="shared" si="3"/>
        <v>Currently Unavailable</v>
      </c>
      <c r="I2170" s="1" t="str">
        <f t="shared" si="4"/>
        <v>No Badges</v>
      </c>
      <c r="J2170" s="3">
        <f t="shared" si="5"/>
        <v>0</v>
      </c>
    </row>
    <row r="2171">
      <c r="A2171" s="1" t="s">
        <v>1772</v>
      </c>
      <c r="B2171" s="3" t="str">
        <f t="shared" si="1"/>
        <v>Unavailable</v>
      </c>
      <c r="C2171" s="3">
        <v>112.0</v>
      </c>
      <c r="D2171" s="3">
        <f>IFERROR(__xludf.DUMMYFUNCTION("IFERROR(
IF(REGEXMATCH(LOWER(O2171),""k""),
VALUE(REGEXEXTRACT(O2171,""[0-9]+""))*1000,
VALUE(REGEXEXTRACT(O2171,""[0-9]+""))
),
0
)"),0.0)</f>
        <v>0</v>
      </c>
      <c r="E2171" s="1" t="s">
        <v>11</v>
      </c>
      <c r="F2171" s="1" t="s">
        <v>20</v>
      </c>
      <c r="G2171" s="4" t="b">
        <f t="shared" si="2"/>
        <v>1</v>
      </c>
      <c r="H2171" s="1" t="str">
        <f t="shared" si="3"/>
        <v>Currently Unavailable</v>
      </c>
      <c r="I2171" s="1" t="str">
        <f t="shared" si="4"/>
        <v>No Badges</v>
      </c>
      <c r="J2171" s="3">
        <f t="shared" si="5"/>
        <v>0</v>
      </c>
    </row>
    <row r="2172">
      <c r="A2172" s="1" t="s">
        <v>1773</v>
      </c>
      <c r="B2172" s="3" t="str">
        <f t="shared" si="1"/>
        <v>Unavailable</v>
      </c>
      <c r="C2172" s="3">
        <v>791.0</v>
      </c>
      <c r="D2172" s="3">
        <f>IFERROR(__xludf.DUMMYFUNCTION("IFERROR(
IF(REGEXMATCH(LOWER(O2172),""k""),
VALUE(REGEXEXTRACT(O2172,""[0-9]+""))*1000,
VALUE(REGEXEXTRACT(O2172,""[0-9]+""))
),
0
)"),0.0)</f>
        <v>0</v>
      </c>
      <c r="E2172" s="1" t="s">
        <v>11</v>
      </c>
      <c r="F2172" s="1" t="s">
        <v>20</v>
      </c>
      <c r="G2172" s="4" t="b">
        <f t="shared" si="2"/>
        <v>1</v>
      </c>
      <c r="H2172" s="1" t="str">
        <f t="shared" si="3"/>
        <v>Currently Unavailable</v>
      </c>
      <c r="I2172" s="1" t="str">
        <f t="shared" si="4"/>
        <v>No Badges</v>
      </c>
      <c r="J2172" s="3">
        <f t="shared" si="5"/>
        <v>0</v>
      </c>
    </row>
    <row r="2173">
      <c r="A2173" s="1" t="s">
        <v>1774</v>
      </c>
      <c r="B2173" s="3" t="str">
        <f t="shared" si="1"/>
        <v>Unavailable</v>
      </c>
      <c r="C2173" s="5">
        <v>4492.0</v>
      </c>
      <c r="D2173" s="3">
        <f>IFERROR(__xludf.DUMMYFUNCTION("IFERROR(
IF(REGEXMATCH(LOWER(O2173),""k""),
VALUE(REGEXEXTRACT(O2173,""[0-9]+""))*1000,
VALUE(REGEXEXTRACT(O2173,""[0-9]+""))
),
0
)"),0.0)</f>
        <v>0</v>
      </c>
      <c r="E2173" s="1" t="s">
        <v>11</v>
      </c>
      <c r="F2173" s="1" t="s">
        <v>20</v>
      </c>
      <c r="G2173" s="4" t="b">
        <f t="shared" si="2"/>
        <v>1</v>
      </c>
      <c r="H2173" s="1" t="str">
        <f t="shared" si="3"/>
        <v>Currently Unavailable</v>
      </c>
      <c r="I2173" s="1" t="str">
        <f t="shared" si="4"/>
        <v>No Badges</v>
      </c>
      <c r="J2173" s="3">
        <f t="shared" si="5"/>
        <v>0</v>
      </c>
    </row>
    <row r="2174">
      <c r="A2174" s="1" t="s">
        <v>701</v>
      </c>
      <c r="B2174" s="3" t="str">
        <f t="shared" si="1"/>
        <v>Unavailable</v>
      </c>
      <c r="C2174" s="3">
        <v>8.0</v>
      </c>
      <c r="D2174" s="3">
        <f>IFERROR(__xludf.DUMMYFUNCTION("IFERROR(
IF(REGEXMATCH(LOWER(O2174),""k""),
VALUE(REGEXEXTRACT(O2174,""[0-9]+""))*1000,
VALUE(REGEXEXTRACT(O2174,""[0-9]+""))
),
0
)"),0.0)</f>
        <v>0</v>
      </c>
      <c r="E2174" s="1" t="s">
        <v>11</v>
      </c>
      <c r="F2174" s="1" t="s">
        <v>12</v>
      </c>
      <c r="G2174" s="4" t="b">
        <f t="shared" si="2"/>
        <v>1</v>
      </c>
      <c r="H2174" s="1" t="str">
        <f t="shared" si="3"/>
        <v>Currently Unavailable</v>
      </c>
      <c r="I2174" s="1" t="str">
        <f t="shared" si="4"/>
        <v>No Badges</v>
      </c>
      <c r="J2174" s="3">
        <f t="shared" si="5"/>
        <v>0</v>
      </c>
    </row>
    <row r="2175">
      <c r="A2175" s="1" t="s">
        <v>1775</v>
      </c>
      <c r="B2175" s="3" t="str">
        <f t="shared" si="1"/>
        <v>Unavailable</v>
      </c>
      <c r="C2175" s="5">
        <v>12032.0</v>
      </c>
      <c r="D2175" s="3">
        <f>IFERROR(__xludf.DUMMYFUNCTION("IFERROR(
IF(REGEXMATCH(LOWER(O2175),""k""),
VALUE(REGEXEXTRACT(O2175,""[0-9]+""))*1000,
VALUE(REGEXEXTRACT(O2175,""[0-9]+""))
),
0
)"),0.0)</f>
        <v>0</v>
      </c>
      <c r="E2175" s="1" t="s">
        <v>11</v>
      </c>
      <c r="F2175" s="1" t="s">
        <v>20</v>
      </c>
      <c r="G2175" s="4" t="b">
        <f t="shared" si="2"/>
        <v>1</v>
      </c>
      <c r="H2175" s="1" t="str">
        <f t="shared" si="3"/>
        <v>Currently Unavailable</v>
      </c>
      <c r="I2175" s="1" t="str">
        <f t="shared" si="4"/>
        <v>No Badges</v>
      </c>
      <c r="J2175" s="3">
        <f t="shared" si="5"/>
        <v>0</v>
      </c>
    </row>
    <row r="2176">
      <c r="A2176" s="1" t="s">
        <v>1776</v>
      </c>
      <c r="B2176" s="3" t="str">
        <f t="shared" si="1"/>
        <v>Unavailable</v>
      </c>
      <c r="C2176" s="5">
        <v>6177.0</v>
      </c>
      <c r="D2176" s="3">
        <f>IFERROR(__xludf.DUMMYFUNCTION("IFERROR(
IF(REGEXMATCH(LOWER(O2176),""k""),
VALUE(REGEXEXTRACT(O2176,""[0-9]+""))*1000,
VALUE(REGEXEXTRACT(O2176,""[0-9]+""))
),
0
)"),0.0)</f>
        <v>0</v>
      </c>
      <c r="E2176" s="1" t="s">
        <v>11</v>
      </c>
      <c r="F2176" s="1" t="s">
        <v>20</v>
      </c>
      <c r="G2176" s="4" t="b">
        <f t="shared" si="2"/>
        <v>1</v>
      </c>
      <c r="H2176" s="1" t="str">
        <f t="shared" si="3"/>
        <v>Currently Unavailable</v>
      </c>
      <c r="I2176" s="1" t="str">
        <f t="shared" si="4"/>
        <v>No Badges</v>
      </c>
      <c r="J2176" s="3">
        <f t="shared" si="5"/>
        <v>0</v>
      </c>
    </row>
    <row r="2177">
      <c r="A2177" s="1" t="s">
        <v>1777</v>
      </c>
      <c r="B2177" s="3" t="str">
        <f t="shared" si="1"/>
        <v>Unavailable</v>
      </c>
      <c r="C2177" s="3">
        <v>294.0</v>
      </c>
      <c r="D2177" s="3">
        <f>IFERROR(__xludf.DUMMYFUNCTION("IFERROR(
IF(REGEXMATCH(LOWER(O2177),""k""),
VALUE(REGEXEXTRACT(O2177,""[0-9]+""))*1000,
VALUE(REGEXEXTRACT(O2177,""[0-9]+""))
),
0
)"),0.0)</f>
        <v>0</v>
      </c>
      <c r="E2177" s="1" t="s">
        <v>11</v>
      </c>
      <c r="F2177" s="1" t="s">
        <v>20</v>
      </c>
      <c r="G2177" s="4" t="b">
        <f t="shared" si="2"/>
        <v>1</v>
      </c>
      <c r="H2177" s="1" t="str">
        <f t="shared" si="3"/>
        <v>Currently Unavailable</v>
      </c>
      <c r="I2177" s="1" t="str">
        <f t="shared" si="4"/>
        <v>No Badges</v>
      </c>
      <c r="J2177" s="3">
        <f t="shared" si="5"/>
        <v>0</v>
      </c>
    </row>
    <row r="2178">
      <c r="A2178" s="1" t="s">
        <v>1285</v>
      </c>
      <c r="B2178" s="3" t="str">
        <f t="shared" si="1"/>
        <v>Unavailable</v>
      </c>
      <c r="C2178" s="5">
        <v>3520.0</v>
      </c>
      <c r="D2178" s="3">
        <f>IFERROR(__xludf.DUMMYFUNCTION("IFERROR(
IF(REGEXMATCH(LOWER(O2178),""k""),
VALUE(REGEXEXTRACT(O2178,""[0-9]+""))*1000,
VALUE(REGEXEXTRACT(O2178,""[0-9]+""))
),
0
)"),0.0)</f>
        <v>0</v>
      </c>
      <c r="E2178" s="1" t="s">
        <v>11</v>
      </c>
      <c r="F2178" s="1" t="s">
        <v>12</v>
      </c>
      <c r="G2178" s="4" t="b">
        <f t="shared" si="2"/>
        <v>1</v>
      </c>
      <c r="H2178" s="1" t="str">
        <f t="shared" si="3"/>
        <v>Currently Unavailable</v>
      </c>
      <c r="I2178" s="1" t="str">
        <f t="shared" si="4"/>
        <v>No Badges</v>
      </c>
      <c r="J2178" s="3">
        <f t="shared" si="5"/>
        <v>0</v>
      </c>
    </row>
    <row r="2179">
      <c r="A2179" s="1" t="s">
        <v>1284</v>
      </c>
      <c r="B2179" s="3" t="str">
        <f t="shared" si="1"/>
        <v>Unavailable</v>
      </c>
      <c r="C2179" s="3">
        <v>172.0</v>
      </c>
      <c r="D2179" s="3">
        <f>IFERROR(__xludf.DUMMYFUNCTION("IFERROR(
IF(REGEXMATCH(LOWER(O2179),""k""),
VALUE(REGEXEXTRACT(O2179,""[0-9]+""))*1000,
VALUE(REGEXEXTRACT(O2179,""[0-9]+""))
),
0
)"),0.0)</f>
        <v>0</v>
      </c>
      <c r="E2179" s="1" t="s">
        <v>11</v>
      </c>
      <c r="F2179" s="1" t="s">
        <v>12</v>
      </c>
      <c r="G2179" s="4" t="b">
        <f t="shared" si="2"/>
        <v>1</v>
      </c>
      <c r="H2179" s="1" t="str">
        <f t="shared" si="3"/>
        <v>Currently Unavailable</v>
      </c>
      <c r="I2179" s="1" t="str">
        <f t="shared" si="4"/>
        <v>No Badges</v>
      </c>
      <c r="J2179" s="3">
        <f t="shared" si="5"/>
        <v>0</v>
      </c>
    </row>
    <row r="2180">
      <c r="A2180" s="1" t="s">
        <v>1778</v>
      </c>
      <c r="B2180" s="3" t="str">
        <f t="shared" si="1"/>
        <v>Unavailable</v>
      </c>
      <c r="C2180" s="5">
        <v>2451.0</v>
      </c>
      <c r="D2180" s="3">
        <f>IFERROR(__xludf.DUMMYFUNCTION("IFERROR(
IF(REGEXMATCH(LOWER(O2180),""k""),
VALUE(REGEXEXTRACT(O2180,""[0-9]+""))*1000,
VALUE(REGEXEXTRACT(O2180,""[0-9]+""))
),
0
)"),0.0)</f>
        <v>0</v>
      </c>
      <c r="E2180" s="1" t="s">
        <v>18</v>
      </c>
      <c r="F2180" s="1" t="s">
        <v>20</v>
      </c>
      <c r="G2180" s="4" t="b">
        <f t="shared" si="2"/>
        <v>1</v>
      </c>
      <c r="H2180" s="1" t="str">
        <f t="shared" si="3"/>
        <v>Currently Unavailable</v>
      </c>
      <c r="I2180" s="1" t="str">
        <f t="shared" si="4"/>
        <v>No Badges</v>
      </c>
      <c r="J2180" s="3">
        <f t="shared" si="5"/>
        <v>0</v>
      </c>
    </row>
    <row r="2181">
      <c r="A2181" s="1" t="s">
        <v>1779</v>
      </c>
      <c r="B2181" s="3" t="str">
        <f t="shared" si="1"/>
        <v>Unavailable</v>
      </c>
      <c r="C2181" s="5">
        <v>2957.0</v>
      </c>
      <c r="D2181" s="3">
        <f>IFERROR(__xludf.DUMMYFUNCTION("IFERROR(
IF(REGEXMATCH(LOWER(O2181),""k""),
VALUE(REGEXEXTRACT(O2181,""[0-9]+""))*1000,
VALUE(REGEXEXTRACT(O2181,""[0-9]+""))
),
0
)"),0.0)</f>
        <v>0</v>
      </c>
      <c r="E2181" s="1" t="s">
        <v>11</v>
      </c>
      <c r="F2181" s="1" t="s">
        <v>20</v>
      </c>
      <c r="G2181" s="4" t="b">
        <f t="shared" si="2"/>
        <v>1</v>
      </c>
      <c r="H2181" s="1" t="str">
        <f t="shared" si="3"/>
        <v>Currently Unavailable</v>
      </c>
      <c r="I2181" s="1" t="str">
        <f t="shared" si="4"/>
        <v>No Badges</v>
      </c>
      <c r="J2181" s="3">
        <f t="shared" si="5"/>
        <v>0</v>
      </c>
    </row>
    <row r="2182">
      <c r="A2182" s="1" t="s">
        <v>1780</v>
      </c>
      <c r="B2182" s="3" t="str">
        <f t="shared" si="1"/>
        <v>Unavailable</v>
      </c>
      <c r="C2182" s="3">
        <v>275.0</v>
      </c>
      <c r="D2182" s="3">
        <f>IFERROR(__xludf.DUMMYFUNCTION("IFERROR(
IF(REGEXMATCH(LOWER(O2182),""k""),
VALUE(REGEXEXTRACT(O2182,""[0-9]+""))*1000,
VALUE(REGEXEXTRACT(O2182,""[0-9]+""))
),
0
)"),0.0)</f>
        <v>0</v>
      </c>
      <c r="E2182" s="1" t="s">
        <v>11</v>
      </c>
      <c r="F2182" s="1" t="s">
        <v>20</v>
      </c>
      <c r="G2182" s="4" t="b">
        <f t="shared" si="2"/>
        <v>1</v>
      </c>
      <c r="H2182" s="1" t="str">
        <f t="shared" si="3"/>
        <v>Currently Unavailable</v>
      </c>
      <c r="I2182" s="1" t="str">
        <f t="shared" si="4"/>
        <v>No Badges</v>
      </c>
      <c r="J2182" s="3">
        <f t="shared" si="5"/>
        <v>0</v>
      </c>
    </row>
    <row r="2183">
      <c r="A2183" s="1" t="s">
        <v>1781</v>
      </c>
      <c r="B2183" s="3" t="str">
        <f t="shared" si="1"/>
        <v>Unavailable</v>
      </c>
      <c r="C2183" s="5">
        <v>3750.0</v>
      </c>
      <c r="D2183" s="3">
        <f>IFERROR(__xludf.DUMMYFUNCTION("IFERROR(
IF(REGEXMATCH(LOWER(O2183),""k""),
VALUE(REGEXEXTRACT(O2183,""[0-9]+""))*1000,
VALUE(REGEXEXTRACT(O2183,""[0-9]+""))
),
0
)"),0.0)</f>
        <v>0</v>
      </c>
      <c r="E2183" s="1" t="s">
        <v>11</v>
      </c>
      <c r="F2183" s="1" t="s">
        <v>20</v>
      </c>
      <c r="G2183" s="4" t="b">
        <f t="shared" si="2"/>
        <v>1</v>
      </c>
      <c r="H2183" s="1" t="str">
        <f t="shared" si="3"/>
        <v>Currently Unavailable</v>
      </c>
      <c r="I2183" s="1" t="str">
        <f t="shared" si="4"/>
        <v>No Badges</v>
      </c>
      <c r="J2183" s="3">
        <f t="shared" si="5"/>
        <v>0</v>
      </c>
    </row>
    <row r="2184">
      <c r="A2184" s="1" t="s">
        <v>1782</v>
      </c>
      <c r="B2184" s="3" t="str">
        <f t="shared" si="1"/>
        <v>Unavailable</v>
      </c>
      <c r="C2184" s="5">
        <v>10100.0</v>
      </c>
      <c r="D2184" s="3">
        <f>IFERROR(__xludf.DUMMYFUNCTION("IFERROR(
IF(REGEXMATCH(LOWER(O2184),""k""),
VALUE(REGEXEXTRACT(O2184,""[0-9]+""))*1000,
VALUE(REGEXEXTRACT(O2184,""[0-9]+""))
),
0
)"),0.0)</f>
        <v>0</v>
      </c>
      <c r="E2184" s="1" t="s">
        <v>11</v>
      </c>
      <c r="F2184" s="1" t="s">
        <v>20</v>
      </c>
      <c r="G2184" s="4" t="b">
        <f t="shared" si="2"/>
        <v>1</v>
      </c>
      <c r="H2184" s="1" t="str">
        <f t="shared" si="3"/>
        <v>Currently Unavailable</v>
      </c>
      <c r="I2184" s="1" t="str">
        <f t="shared" si="4"/>
        <v>No Badges</v>
      </c>
      <c r="J2184" s="3">
        <f t="shared" si="5"/>
        <v>0</v>
      </c>
    </row>
    <row r="2185">
      <c r="A2185" s="1" t="s">
        <v>1783</v>
      </c>
      <c r="B2185" s="3" t="str">
        <f t="shared" si="1"/>
        <v>Unavailable</v>
      </c>
      <c r="C2185" s="5">
        <v>1354.0</v>
      </c>
      <c r="D2185" s="3">
        <f>IFERROR(__xludf.DUMMYFUNCTION("IFERROR(
IF(REGEXMATCH(LOWER(O2185),""k""),
VALUE(REGEXEXTRACT(O2185,""[0-9]+""))*1000,
VALUE(REGEXEXTRACT(O2185,""[0-9]+""))
),
0
)"),0.0)</f>
        <v>0</v>
      </c>
      <c r="E2185" s="1" t="s">
        <v>11</v>
      </c>
      <c r="F2185" s="1" t="s">
        <v>20</v>
      </c>
      <c r="G2185" s="4" t="b">
        <f t="shared" si="2"/>
        <v>1</v>
      </c>
      <c r="H2185" s="1" t="str">
        <f t="shared" si="3"/>
        <v>Currently Unavailable</v>
      </c>
      <c r="I2185" s="1" t="str">
        <f t="shared" si="4"/>
        <v>No Badges</v>
      </c>
      <c r="J2185" s="3">
        <f t="shared" si="5"/>
        <v>0</v>
      </c>
    </row>
    <row r="2186">
      <c r="A2186" s="1" t="s">
        <v>1784</v>
      </c>
      <c r="B2186" s="3" t="str">
        <f t="shared" si="1"/>
        <v>Unavailable</v>
      </c>
      <c r="C2186" s="5">
        <v>17558.0</v>
      </c>
      <c r="D2186" s="3">
        <f>IFERROR(__xludf.DUMMYFUNCTION("IFERROR(
IF(REGEXMATCH(LOWER(O2186),""k""),
VALUE(REGEXEXTRACT(O2186,""[0-9]+""))*1000,
VALUE(REGEXEXTRACT(O2186,""[0-9]+""))
),
0
)"),0.0)</f>
        <v>0</v>
      </c>
      <c r="E2186" s="1" t="s">
        <v>11</v>
      </c>
      <c r="F2186" s="1" t="s">
        <v>20</v>
      </c>
      <c r="G2186" s="4" t="b">
        <f t="shared" si="2"/>
        <v>1</v>
      </c>
      <c r="H2186" s="1" t="str">
        <f t="shared" si="3"/>
        <v>Currently Unavailable</v>
      </c>
      <c r="I2186" s="1" t="str">
        <f t="shared" si="4"/>
        <v>No Badges</v>
      </c>
      <c r="J2186" s="3">
        <f t="shared" si="5"/>
        <v>0</v>
      </c>
    </row>
    <row r="2187">
      <c r="A2187" s="1" t="s">
        <v>1285</v>
      </c>
      <c r="B2187" s="3" t="str">
        <f t="shared" si="1"/>
        <v>Unavailable</v>
      </c>
      <c r="C2187" s="5">
        <v>3520.0</v>
      </c>
      <c r="D2187" s="3">
        <f>IFERROR(__xludf.DUMMYFUNCTION("IFERROR(
IF(REGEXMATCH(LOWER(O2187),""k""),
VALUE(REGEXEXTRACT(O2187,""[0-9]+""))*1000,
VALUE(REGEXEXTRACT(O2187,""[0-9]+""))
),
0
)"),0.0)</f>
        <v>0</v>
      </c>
      <c r="E2187" s="1" t="s">
        <v>11</v>
      </c>
      <c r="F2187" s="1" t="s">
        <v>12</v>
      </c>
      <c r="G2187" s="4" t="b">
        <f t="shared" si="2"/>
        <v>1</v>
      </c>
      <c r="H2187" s="1" t="str">
        <f t="shared" si="3"/>
        <v>Currently Unavailable</v>
      </c>
      <c r="I2187" s="1" t="str">
        <f t="shared" si="4"/>
        <v>No Badges</v>
      </c>
      <c r="J2187" s="3">
        <f t="shared" si="5"/>
        <v>0</v>
      </c>
    </row>
    <row r="2188">
      <c r="A2188" s="1" t="s">
        <v>1284</v>
      </c>
      <c r="B2188" s="3" t="str">
        <f t="shared" si="1"/>
        <v>Unavailable</v>
      </c>
      <c r="C2188" s="3">
        <v>172.0</v>
      </c>
      <c r="D2188" s="3">
        <f>IFERROR(__xludf.DUMMYFUNCTION("IFERROR(
IF(REGEXMATCH(LOWER(O2188),""k""),
VALUE(REGEXEXTRACT(O2188,""[0-9]+""))*1000,
VALUE(REGEXEXTRACT(O2188,""[0-9]+""))
),
0
)"),0.0)</f>
        <v>0</v>
      </c>
      <c r="E2188" s="1" t="s">
        <v>11</v>
      </c>
      <c r="F2188" s="1" t="s">
        <v>12</v>
      </c>
      <c r="G2188" s="4" t="b">
        <f t="shared" si="2"/>
        <v>1</v>
      </c>
      <c r="H2188" s="1" t="str">
        <f t="shared" si="3"/>
        <v>Currently Unavailable</v>
      </c>
      <c r="I2188" s="1" t="str">
        <f t="shared" si="4"/>
        <v>No Badges</v>
      </c>
      <c r="J2188" s="3">
        <f t="shared" si="5"/>
        <v>0</v>
      </c>
    </row>
    <row r="2189">
      <c r="A2189" s="1" t="s">
        <v>67</v>
      </c>
      <c r="B2189" s="3" t="str">
        <f t="shared" si="1"/>
        <v>Unavailable</v>
      </c>
      <c r="C2189" s="3">
        <v>264.0</v>
      </c>
      <c r="D2189" s="3">
        <f>IFERROR(__xludf.DUMMYFUNCTION("IFERROR(
IF(REGEXMATCH(LOWER(O2189),""k""),
VALUE(REGEXEXTRACT(O2189,""[0-9]+""))*1000,
VALUE(REGEXEXTRACT(O2189,""[0-9]+""))
),
0
)"),0.0)</f>
        <v>0</v>
      </c>
      <c r="E2189" s="1" t="s">
        <v>11</v>
      </c>
      <c r="F2189" s="1" t="s">
        <v>12</v>
      </c>
      <c r="G2189" s="4" t="b">
        <f t="shared" si="2"/>
        <v>1</v>
      </c>
      <c r="H2189" s="1" t="str">
        <f t="shared" si="3"/>
        <v>Currently Unavailable</v>
      </c>
      <c r="I2189" s="1" t="str">
        <f t="shared" si="4"/>
        <v>No Badges</v>
      </c>
      <c r="J2189" s="3">
        <f t="shared" si="5"/>
        <v>0</v>
      </c>
    </row>
    <row r="2190">
      <c r="A2190" s="1" t="s">
        <v>1785</v>
      </c>
      <c r="B2190" s="3" t="str">
        <f t="shared" si="1"/>
        <v>Unavailable</v>
      </c>
      <c r="C2190" s="5">
        <v>1560.0</v>
      </c>
      <c r="D2190" s="3">
        <f>IFERROR(__xludf.DUMMYFUNCTION("IFERROR(
IF(REGEXMATCH(LOWER(O2190),""k""),
VALUE(REGEXEXTRACT(O2190,""[0-9]+""))*1000,
VALUE(REGEXEXTRACT(O2190,""[0-9]+""))
),
0
)"),0.0)</f>
        <v>0</v>
      </c>
      <c r="E2190" s="1" t="s">
        <v>11</v>
      </c>
      <c r="F2190" s="1" t="s">
        <v>20</v>
      </c>
      <c r="G2190" s="4" t="b">
        <f t="shared" si="2"/>
        <v>1</v>
      </c>
      <c r="H2190" s="1" t="str">
        <f t="shared" si="3"/>
        <v>Currently Unavailable</v>
      </c>
      <c r="I2190" s="1" t="str">
        <f t="shared" si="4"/>
        <v>No Badges</v>
      </c>
      <c r="J2190" s="3">
        <f t="shared" si="5"/>
        <v>0</v>
      </c>
    </row>
    <row r="2191">
      <c r="A2191" s="1" t="s">
        <v>1786</v>
      </c>
      <c r="B2191" s="3" t="str">
        <f t="shared" si="1"/>
        <v>Unavailable</v>
      </c>
      <c r="C2191" s="5">
        <v>5675.0</v>
      </c>
      <c r="D2191" s="3">
        <f>IFERROR(__xludf.DUMMYFUNCTION("IFERROR(
IF(REGEXMATCH(LOWER(O2191),""k""),
VALUE(REGEXEXTRACT(O2191,""[0-9]+""))*1000,
VALUE(REGEXEXTRACT(O2191,""[0-9]+""))
),
0
)"),0.0)</f>
        <v>0</v>
      </c>
      <c r="E2191" s="1" t="s">
        <v>11</v>
      </c>
      <c r="F2191" s="1" t="s">
        <v>20</v>
      </c>
      <c r="G2191" s="4" t="b">
        <f t="shared" si="2"/>
        <v>1</v>
      </c>
      <c r="H2191" s="1" t="str">
        <f t="shared" si="3"/>
        <v>Currently Unavailable</v>
      </c>
      <c r="I2191" s="1" t="str">
        <f t="shared" si="4"/>
        <v>No Badges</v>
      </c>
      <c r="J2191" s="3">
        <f t="shared" si="5"/>
        <v>0</v>
      </c>
    </row>
    <row r="2192">
      <c r="A2192" s="1" t="s">
        <v>1787</v>
      </c>
      <c r="B2192" s="3" t="str">
        <f t="shared" si="1"/>
        <v>Unavailable</v>
      </c>
      <c r="C2192" s="5">
        <v>14260.0</v>
      </c>
      <c r="D2192" s="3">
        <f>IFERROR(__xludf.DUMMYFUNCTION("IFERROR(
IF(REGEXMATCH(LOWER(O2192),""k""),
VALUE(REGEXEXTRACT(O2192,""[0-9]+""))*1000,
VALUE(REGEXEXTRACT(O2192,""[0-9]+""))
),
0
)"),0.0)</f>
        <v>0</v>
      </c>
      <c r="E2192" s="1" t="s">
        <v>11</v>
      </c>
      <c r="F2192" s="1" t="s">
        <v>20</v>
      </c>
      <c r="G2192" s="4" t="b">
        <f t="shared" si="2"/>
        <v>1</v>
      </c>
      <c r="H2192" s="1" t="str">
        <f t="shared" si="3"/>
        <v>Currently Unavailable</v>
      </c>
      <c r="I2192" s="1" t="str">
        <f t="shared" si="4"/>
        <v>No Badges</v>
      </c>
      <c r="J2192" s="3">
        <f t="shared" si="5"/>
        <v>0</v>
      </c>
    </row>
    <row r="2193">
      <c r="A2193" s="1" t="s">
        <v>1788</v>
      </c>
      <c r="B2193" s="3" t="str">
        <f t="shared" si="1"/>
        <v>Unavailable</v>
      </c>
      <c r="C2193" s="5">
        <v>18105.0</v>
      </c>
      <c r="D2193" s="3">
        <f>IFERROR(__xludf.DUMMYFUNCTION("IFERROR(
IF(REGEXMATCH(LOWER(O2193),""k""),
VALUE(REGEXEXTRACT(O2193,""[0-9]+""))*1000,
VALUE(REGEXEXTRACT(O2193,""[0-9]+""))
),
0
)"),0.0)</f>
        <v>0</v>
      </c>
      <c r="E2193" s="1" t="s">
        <v>11</v>
      </c>
      <c r="F2193" s="1" t="s">
        <v>20</v>
      </c>
      <c r="G2193" s="4" t="b">
        <f t="shared" si="2"/>
        <v>1</v>
      </c>
      <c r="H2193" s="1" t="str">
        <f t="shared" si="3"/>
        <v>Currently Unavailable</v>
      </c>
      <c r="I2193" s="1" t="str">
        <f t="shared" si="4"/>
        <v>No Badges</v>
      </c>
      <c r="J2193" s="3">
        <f t="shared" si="5"/>
        <v>0</v>
      </c>
    </row>
    <row r="2194">
      <c r="A2194" s="1" t="s">
        <v>69</v>
      </c>
      <c r="B2194" s="3" t="str">
        <f t="shared" si="1"/>
        <v>Unavailable</v>
      </c>
      <c r="C2194" s="3">
        <v>45.0</v>
      </c>
      <c r="D2194" s="3">
        <f>IFERROR(__xludf.DUMMYFUNCTION("IFERROR(
IF(REGEXMATCH(LOWER(O2194),""k""),
VALUE(REGEXEXTRACT(O2194,""[0-9]+""))*1000,
VALUE(REGEXEXTRACT(O2194,""[0-9]+""))
),
0
)"),0.0)</f>
        <v>0</v>
      </c>
      <c r="E2194" s="1" t="s">
        <v>11</v>
      </c>
      <c r="F2194" s="1" t="s">
        <v>12</v>
      </c>
      <c r="G2194" s="4" t="b">
        <f t="shared" si="2"/>
        <v>1</v>
      </c>
      <c r="H2194" s="1" t="str">
        <f t="shared" si="3"/>
        <v>Currently Unavailable</v>
      </c>
      <c r="I2194" s="1" t="str">
        <f t="shared" si="4"/>
        <v>No Badges</v>
      </c>
      <c r="J2194" s="3">
        <f t="shared" si="5"/>
        <v>0</v>
      </c>
    </row>
    <row r="2195">
      <c r="A2195" s="1" t="s">
        <v>1789</v>
      </c>
      <c r="B2195" s="3" t="str">
        <f t="shared" si="1"/>
        <v>Unavailable</v>
      </c>
      <c r="C2195" s="5">
        <v>10533.0</v>
      </c>
      <c r="D2195" s="3">
        <f>IFERROR(__xludf.DUMMYFUNCTION("IFERROR(
IF(REGEXMATCH(LOWER(O2195),""k""),
VALUE(REGEXEXTRACT(O2195,""[0-9]+""))*1000,
VALUE(REGEXEXTRACT(O2195,""[0-9]+""))
),
0
)"),0.0)</f>
        <v>0</v>
      </c>
      <c r="E2195" s="1" t="s">
        <v>11</v>
      </c>
      <c r="F2195" s="1" t="s">
        <v>20</v>
      </c>
      <c r="G2195" s="4" t="b">
        <f t="shared" si="2"/>
        <v>1</v>
      </c>
      <c r="H2195" s="1" t="str">
        <f t="shared" si="3"/>
        <v>Currently Unavailable</v>
      </c>
      <c r="I2195" s="1" t="str">
        <f t="shared" si="4"/>
        <v>No Badges</v>
      </c>
      <c r="J2195" s="3">
        <f t="shared" si="5"/>
        <v>0</v>
      </c>
    </row>
    <row r="2196">
      <c r="A2196" s="1" t="s">
        <v>1790</v>
      </c>
      <c r="B2196" s="3" t="str">
        <f t="shared" si="1"/>
        <v>Unavailable</v>
      </c>
      <c r="C2196" s="3">
        <v>134.0</v>
      </c>
      <c r="D2196" s="3">
        <f>IFERROR(__xludf.DUMMYFUNCTION("IFERROR(
IF(REGEXMATCH(LOWER(O2196),""k""),
VALUE(REGEXEXTRACT(O2196,""[0-9]+""))*1000,
VALUE(REGEXEXTRACT(O2196,""[0-9]+""))
),
0
)"),0.0)</f>
        <v>0</v>
      </c>
      <c r="E2196" s="1" t="s">
        <v>11</v>
      </c>
      <c r="F2196" s="1" t="s">
        <v>12</v>
      </c>
      <c r="G2196" s="4" t="b">
        <f t="shared" si="2"/>
        <v>1</v>
      </c>
      <c r="H2196" s="1" t="str">
        <f t="shared" si="3"/>
        <v>Currently Unavailable</v>
      </c>
      <c r="I2196" s="1" t="str">
        <f t="shared" si="4"/>
        <v>No Badges</v>
      </c>
      <c r="J2196" s="3">
        <f t="shared" si="5"/>
        <v>0</v>
      </c>
    </row>
    <row r="2197">
      <c r="A2197" s="1" t="s">
        <v>1791</v>
      </c>
      <c r="B2197" s="3" t="str">
        <f t="shared" si="1"/>
        <v>Unavailable</v>
      </c>
      <c r="C2197" s="5">
        <v>12713.0</v>
      </c>
      <c r="D2197" s="3">
        <f>IFERROR(__xludf.DUMMYFUNCTION("IFERROR(
IF(REGEXMATCH(LOWER(O2197),""k""),
VALUE(REGEXEXTRACT(O2197,""[0-9]+""))*1000,
VALUE(REGEXEXTRACT(O2197,""[0-9]+""))
),
0
)"),0.0)</f>
        <v>0</v>
      </c>
      <c r="E2197" s="1" t="s">
        <v>11</v>
      </c>
      <c r="F2197" s="1" t="s">
        <v>20</v>
      </c>
      <c r="G2197" s="4" t="b">
        <f t="shared" si="2"/>
        <v>1</v>
      </c>
      <c r="H2197" s="1" t="str">
        <f t="shared" si="3"/>
        <v>Currently Unavailable</v>
      </c>
      <c r="I2197" s="1" t="str">
        <f t="shared" si="4"/>
        <v>No Badges</v>
      </c>
      <c r="J2197" s="3">
        <f t="shared" si="5"/>
        <v>0</v>
      </c>
    </row>
    <row r="2198">
      <c r="A2198" s="1" t="s">
        <v>1792</v>
      </c>
      <c r="B2198" s="3" t="str">
        <f t="shared" si="1"/>
        <v>Unavailable</v>
      </c>
      <c r="C2198" s="3">
        <v>746.0</v>
      </c>
      <c r="D2198" s="3">
        <f>IFERROR(__xludf.DUMMYFUNCTION("IFERROR(
IF(REGEXMATCH(LOWER(O2198),""k""),
VALUE(REGEXEXTRACT(O2198,""[0-9]+""))*1000,
VALUE(REGEXEXTRACT(O2198,""[0-9]+""))
),
0
)"),0.0)</f>
        <v>0</v>
      </c>
      <c r="E2198" s="1" t="s">
        <v>11</v>
      </c>
      <c r="F2198" s="1" t="s">
        <v>20</v>
      </c>
      <c r="G2198" s="4" t="b">
        <f t="shared" si="2"/>
        <v>1</v>
      </c>
      <c r="H2198" s="1" t="str">
        <f t="shared" si="3"/>
        <v>Currently Unavailable</v>
      </c>
      <c r="I2198" s="1" t="str">
        <f t="shared" si="4"/>
        <v>No Badges</v>
      </c>
      <c r="J2198" s="3">
        <f t="shared" si="5"/>
        <v>0</v>
      </c>
    </row>
    <row r="2199">
      <c r="A2199" s="1" t="s">
        <v>1793</v>
      </c>
      <c r="B2199" s="3" t="str">
        <f t="shared" si="1"/>
        <v>Unavailable</v>
      </c>
      <c r="C2199" s="3">
        <v>359.0</v>
      </c>
      <c r="D2199" s="3">
        <f>IFERROR(__xludf.DUMMYFUNCTION("IFERROR(
IF(REGEXMATCH(LOWER(O2199),""k""),
VALUE(REGEXEXTRACT(O2199,""[0-9]+""))*1000,
VALUE(REGEXEXTRACT(O2199,""[0-9]+""))
),
0
)"),0.0)</f>
        <v>0</v>
      </c>
      <c r="E2199" s="1" t="s">
        <v>11</v>
      </c>
      <c r="F2199" s="1" t="s">
        <v>20</v>
      </c>
      <c r="G2199" s="4" t="b">
        <f t="shared" si="2"/>
        <v>1</v>
      </c>
      <c r="H2199" s="1" t="str">
        <f t="shared" si="3"/>
        <v>Currently Unavailable</v>
      </c>
      <c r="I2199" s="1" t="str">
        <f t="shared" si="4"/>
        <v>No Badges</v>
      </c>
      <c r="J2199" s="3">
        <f t="shared" si="5"/>
        <v>0</v>
      </c>
    </row>
    <row r="2200">
      <c r="A2200" s="1" t="s">
        <v>1794</v>
      </c>
      <c r="B2200" s="3" t="str">
        <f t="shared" si="1"/>
        <v>Unavailable</v>
      </c>
      <c r="C2200" s="5">
        <v>32639.0</v>
      </c>
      <c r="D2200" s="3">
        <f>IFERROR(__xludf.DUMMYFUNCTION("IFERROR(
IF(REGEXMATCH(LOWER(O2200),""k""),
VALUE(REGEXEXTRACT(O2200,""[0-9]+""))*1000,
VALUE(REGEXEXTRACT(O2200,""[0-9]+""))
),
0
)"),0.0)</f>
        <v>0</v>
      </c>
      <c r="E2200" s="1" t="s">
        <v>11</v>
      </c>
      <c r="F2200" s="1" t="s">
        <v>20</v>
      </c>
      <c r="G2200" s="4" t="b">
        <f t="shared" si="2"/>
        <v>1</v>
      </c>
      <c r="H2200" s="1" t="str">
        <f t="shared" si="3"/>
        <v>Currently Unavailable</v>
      </c>
      <c r="I2200" s="1" t="str">
        <f t="shared" si="4"/>
        <v>No Badges</v>
      </c>
      <c r="J2200" s="3">
        <f t="shared" si="5"/>
        <v>0</v>
      </c>
    </row>
    <row r="2201">
      <c r="A2201" s="1" t="s">
        <v>1285</v>
      </c>
      <c r="B2201" s="3" t="str">
        <f t="shared" si="1"/>
        <v>Unavailable</v>
      </c>
      <c r="C2201" s="5">
        <v>3520.0</v>
      </c>
      <c r="D2201" s="3">
        <f>IFERROR(__xludf.DUMMYFUNCTION("IFERROR(
IF(REGEXMATCH(LOWER(O2201),""k""),
VALUE(REGEXEXTRACT(O2201,""[0-9]+""))*1000,
VALUE(REGEXEXTRACT(O2201,""[0-9]+""))
),
0
)"),0.0)</f>
        <v>0</v>
      </c>
      <c r="E2201" s="1" t="s">
        <v>11</v>
      </c>
      <c r="F2201" s="1" t="s">
        <v>12</v>
      </c>
      <c r="G2201" s="4" t="b">
        <f t="shared" si="2"/>
        <v>1</v>
      </c>
      <c r="H2201" s="1" t="str">
        <f t="shared" si="3"/>
        <v>Currently Unavailable</v>
      </c>
      <c r="I2201" s="1" t="str">
        <f t="shared" si="4"/>
        <v>No Badges</v>
      </c>
      <c r="J2201" s="3">
        <f t="shared" si="5"/>
        <v>0</v>
      </c>
    </row>
    <row r="2202">
      <c r="A2202" s="1" t="s">
        <v>1279</v>
      </c>
      <c r="B2202" s="3" t="str">
        <f t="shared" si="1"/>
        <v>Unavailable</v>
      </c>
      <c r="C2202" s="3">
        <v>65.0</v>
      </c>
      <c r="D2202" s="3">
        <f>IFERROR(__xludf.DUMMYFUNCTION("IFERROR(
IF(REGEXMATCH(LOWER(O2202),""k""),
VALUE(REGEXEXTRACT(O2202,""[0-9]+""))*1000,
VALUE(REGEXEXTRACT(O2202,""[0-9]+""))
),
0
)"),0.0)</f>
        <v>0</v>
      </c>
      <c r="E2202" s="1" t="s">
        <v>18</v>
      </c>
      <c r="F2202" s="1" t="s">
        <v>12</v>
      </c>
      <c r="G2202" s="4" t="b">
        <f t="shared" si="2"/>
        <v>1</v>
      </c>
      <c r="H2202" s="1" t="str">
        <f t="shared" si="3"/>
        <v>Currently Unavailable</v>
      </c>
      <c r="I2202" s="1" t="str">
        <f t="shared" si="4"/>
        <v>No Badges</v>
      </c>
      <c r="J2202" s="3">
        <f t="shared" si="5"/>
        <v>0</v>
      </c>
    </row>
    <row r="2203">
      <c r="A2203" s="1" t="s">
        <v>1795</v>
      </c>
      <c r="B2203" s="3" t="str">
        <f t="shared" si="1"/>
        <v>Unavailable</v>
      </c>
      <c r="C2203" s="5">
        <v>1025.0</v>
      </c>
      <c r="D2203" s="3">
        <f>IFERROR(__xludf.DUMMYFUNCTION("IFERROR(
IF(REGEXMATCH(LOWER(O2203),""k""),
VALUE(REGEXEXTRACT(O2203,""[0-9]+""))*1000,
VALUE(REGEXEXTRACT(O2203,""[0-9]+""))
),
0
)"),0.0)</f>
        <v>0</v>
      </c>
      <c r="E2203" s="1" t="s">
        <v>11</v>
      </c>
      <c r="F2203" s="1" t="s">
        <v>20</v>
      </c>
      <c r="G2203" s="4" t="b">
        <f t="shared" si="2"/>
        <v>1</v>
      </c>
      <c r="H2203" s="1" t="str">
        <f t="shared" si="3"/>
        <v>Currently Unavailable</v>
      </c>
      <c r="I2203" s="1" t="str">
        <f t="shared" si="4"/>
        <v>No Badges</v>
      </c>
      <c r="J2203" s="3">
        <f t="shared" si="5"/>
        <v>0</v>
      </c>
    </row>
    <row r="2204">
      <c r="A2204" s="1" t="s">
        <v>1284</v>
      </c>
      <c r="B2204" s="3" t="str">
        <f t="shared" si="1"/>
        <v>Unavailable</v>
      </c>
      <c r="C2204" s="3">
        <v>172.0</v>
      </c>
      <c r="D2204" s="3">
        <f>IFERROR(__xludf.DUMMYFUNCTION("IFERROR(
IF(REGEXMATCH(LOWER(O2204),""k""),
VALUE(REGEXEXTRACT(O2204,""[0-9]+""))*1000,
VALUE(REGEXEXTRACT(O2204,""[0-9]+""))
),
0
)"),0.0)</f>
        <v>0</v>
      </c>
      <c r="E2204" s="1" t="s">
        <v>11</v>
      </c>
      <c r="F2204" s="1" t="s">
        <v>12</v>
      </c>
      <c r="G2204" s="4" t="b">
        <f t="shared" si="2"/>
        <v>1</v>
      </c>
      <c r="H2204" s="1" t="str">
        <f t="shared" si="3"/>
        <v>Currently Unavailable</v>
      </c>
      <c r="I2204" s="1" t="str">
        <f t="shared" si="4"/>
        <v>No Badges</v>
      </c>
      <c r="J2204" s="3">
        <f t="shared" si="5"/>
        <v>0</v>
      </c>
    </row>
    <row r="2205">
      <c r="A2205" s="1" t="s">
        <v>1796</v>
      </c>
      <c r="B2205" s="3" t="str">
        <f t="shared" si="1"/>
        <v>Unavailable</v>
      </c>
      <c r="C2205" s="5">
        <v>2446.0</v>
      </c>
      <c r="D2205" s="3">
        <f>IFERROR(__xludf.DUMMYFUNCTION("IFERROR(
IF(REGEXMATCH(LOWER(O2205),""k""),
VALUE(REGEXEXTRACT(O2205,""[0-9]+""))*1000,
VALUE(REGEXEXTRACT(O2205,""[0-9]+""))
),
0
)"),0.0)</f>
        <v>0</v>
      </c>
      <c r="E2205" s="1" t="s">
        <v>11</v>
      </c>
      <c r="F2205" s="1" t="s">
        <v>20</v>
      </c>
      <c r="G2205" s="4" t="b">
        <f t="shared" si="2"/>
        <v>1</v>
      </c>
      <c r="H2205" s="1" t="str">
        <f t="shared" si="3"/>
        <v>Currently Unavailable</v>
      </c>
      <c r="I2205" s="1" t="str">
        <f t="shared" si="4"/>
        <v>No Badges</v>
      </c>
      <c r="J2205" s="3">
        <f t="shared" si="5"/>
        <v>0</v>
      </c>
    </row>
    <row r="2206">
      <c r="A2206" s="1" t="s">
        <v>1797</v>
      </c>
      <c r="B2206" s="3" t="str">
        <f t="shared" si="1"/>
        <v>Unavailable</v>
      </c>
      <c r="C2206" s="5">
        <v>3486.0</v>
      </c>
      <c r="D2206" s="3">
        <f>IFERROR(__xludf.DUMMYFUNCTION("IFERROR(
IF(REGEXMATCH(LOWER(O2206),""k""),
VALUE(REGEXEXTRACT(O2206,""[0-9]+""))*1000,
VALUE(REGEXEXTRACT(O2206,""[0-9]+""))
),
0
)"),0.0)</f>
        <v>0</v>
      </c>
      <c r="E2206" s="1" t="s">
        <v>11</v>
      </c>
      <c r="F2206" s="1" t="s">
        <v>20</v>
      </c>
      <c r="G2206" s="4" t="b">
        <f t="shared" si="2"/>
        <v>1</v>
      </c>
      <c r="H2206" s="1" t="str">
        <f t="shared" si="3"/>
        <v>Currently Unavailable</v>
      </c>
      <c r="I2206" s="1" t="str">
        <f t="shared" si="4"/>
        <v>No Badges</v>
      </c>
      <c r="J2206" s="3">
        <f t="shared" si="5"/>
        <v>0</v>
      </c>
    </row>
    <row r="2207">
      <c r="A2207" s="1" t="s">
        <v>67</v>
      </c>
      <c r="B2207" s="3" t="str">
        <f t="shared" si="1"/>
        <v>Unavailable</v>
      </c>
      <c r="C2207" s="3">
        <v>264.0</v>
      </c>
      <c r="D2207" s="3">
        <f>IFERROR(__xludf.DUMMYFUNCTION("IFERROR(
IF(REGEXMATCH(LOWER(O2207),""k""),
VALUE(REGEXEXTRACT(O2207,""[0-9]+""))*1000,
VALUE(REGEXEXTRACT(O2207,""[0-9]+""))
),
0
)"),0.0)</f>
        <v>0</v>
      </c>
      <c r="E2207" s="1" t="s">
        <v>11</v>
      </c>
      <c r="F2207" s="1" t="s">
        <v>12</v>
      </c>
      <c r="G2207" s="4" t="b">
        <f t="shared" si="2"/>
        <v>1</v>
      </c>
      <c r="H2207" s="1" t="str">
        <f t="shared" si="3"/>
        <v>Currently Unavailable</v>
      </c>
      <c r="I2207" s="1" t="str">
        <f t="shared" si="4"/>
        <v>No Badges</v>
      </c>
      <c r="J2207" s="3">
        <f t="shared" si="5"/>
        <v>0</v>
      </c>
    </row>
    <row r="2208">
      <c r="A2208" s="1" t="s">
        <v>1798</v>
      </c>
      <c r="B2208" s="3" t="str">
        <f t="shared" si="1"/>
        <v>Unavailable</v>
      </c>
      <c r="C2208" s="5">
        <v>2820.0</v>
      </c>
      <c r="D2208" s="3">
        <f>IFERROR(__xludf.DUMMYFUNCTION("IFERROR(
IF(REGEXMATCH(LOWER(O2208),""k""),
VALUE(REGEXEXTRACT(O2208,""[0-9]+""))*1000,
VALUE(REGEXEXTRACT(O2208,""[0-9]+""))
),
0
)"),0.0)</f>
        <v>0</v>
      </c>
      <c r="E2208" s="1" t="s">
        <v>11</v>
      </c>
      <c r="F2208" s="1" t="s">
        <v>20</v>
      </c>
      <c r="G2208" s="4" t="b">
        <f t="shared" si="2"/>
        <v>1</v>
      </c>
      <c r="H2208" s="1" t="str">
        <f t="shared" si="3"/>
        <v>Currently Unavailable</v>
      </c>
      <c r="I2208" s="1" t="str">
        <f t="shared" si="4"/>
        <v>No Badges</v>
      </c>
      <c r="J2208" s="3">
        <f t="shared" si="5"/>
        <v>0</v>
      </c>
    </row>
    <row r="2209">
      <c r="A2209" s="1" t="s">
        <v>701</v>
      </c>
      <c r="B2209" s="3" t="str">
        <f t="shared" si="1"/>
        <v>Unavailable</v>
      </c>
      <c r="C2209" s="3">
        <v>8.0</v>
      </c>
      <c r="D2209" s="3">
        <f>IFERROR(__xludf.DUMMYFUNCTION("IFERROR(
IF(REGEXMATCH(LOWER(O2209),""k""),
VALUE(REGEXEXTRACT(O2209,""[0-9]+""))*1000,
VALUE(REGEXEXTRACT(O2209,""[0-9]+""))
),
0
)"),0.0)</f>
        <v>0</v>
      </c>
      <c r="E2209" s="1" t="s">
        <v>11</v>
      </c>
      <c r="F2209" s="1" t="s">
        <v>12</v>
      </c>
      <c r="G2209" s="4" t="b">
        <f t="shared" si="2"/>
        <v>1</v>
      </c>
      <c r="H2209" s="1" t="str">
        <f t="shared" si="3"/>
        <v>Currently Unavailable</v>
      </c>
      <c r="I2209" s="1" t="str">
        <f t="shared" si="4"/>
        <v>No Badges</v>
      </c>
      <c r="J2209" s="3">
        <f t="shared" si="5"/>
        <v>0</v>
      </c>
    </row>
    <row r="2210">
      <c r="A2210" s="1" t="s">
        <v>1799</v>
      </c>
      <c r="B2210" s="3" t="str">
        <f t="shared" si="1"/>
        <v>Unavailable</v>
      </c>
      <c r="C2210" s="5">
        <v>7229.0</v>
      </c>
      <c r="D2210" s="3">
        <f>IFERROR(__xludf.DUMMYFUNCTION("IFERROR(
IF(REGEXMATCH(LOWER(O2210),""k""),
VALUE(REGEXEXTRACT(O2210,""[0-9]+""))*1000,
VALUE(REGEXEXTRACT(O2210,""[0-9]+""))
),
0
)"),0.0)</f>
        <v>0</v>
      </c>
      <c r="E2210" s="1" t="s">
        <v>11</v>
      </c>
      <c r="F2210" s="1" t="s">
        <v>20</v>
      </c>
      <c r="G2210" s="4" t="b">
        <f t="shared" si="2"/>
        <v>1</v>
      </c>
      <c r="H2210" s="1" t="str">
        <f t="shared" si="3"/>
        <v>Currently Unavailable</v>
      </c>
      <c r="I2210" s="1" t="str">
        <f t="shared" si="4"/>
        <v>No Badges</v>
      </c>
      <c r="J2210" s="3">
        <f t="shared" si="5"/>
        <v>0</v>
      </c>
    </row>
    <row r="2211">
      <c r="A2211" s="1" t="s">
        <v>1800</v>
      </c>
      <c r="B2211" s="3" t="str">
        <f t="shared" si="1"/>
        <v>Unavailable</v>
      </c>
      <c r="C2211" s="5">
        <v>1977.0</v>
      </c>
      <c r="D2211" s="3">
        <f>IFERROR(__xludf.DUMMYFUNCTION("IFERROR(
IF(REGEXMATCH(LOWER(O2211),""k""),
VALUE(REGEXEXTRACT(O2211,""[0-9]+""))*1000,
VALUE(REGEXEXTRACT(O2211,""[0-9]+""))
),
0
)"),0.0)</f>
        <v>0</v>
      </c>
      <c r="E2211" s="1" t="s">
        <v>11</v>
      </c>
      <c r="F2211" s="1" t="s">
        <v>20</v>
      </c>
      <c r="G2211" s="4" t="b">
        <f t="shared" si="2"/>
        <v>1</v>
      </c>
      <c r="H2211" s="1" t="str">
        <f t="shared" si="3"/>
        <v>Currently Unavailable</v>
      </c>
      <c r="I2211" s="1" t="str">
        <f t="shared" si="4"/>
        <v>No Badges</v>
      </c>
      <c r="J2211" s="3">
        <f t="shared" si="5"/>
        <v>0</v>
      </c>
    </row>
    <row r="2212">
      <c r="A2212" s="1" t="s">
        <v>1801</v>
      </c>
      <c r="B2212" s="3" t="str">
        <f t="shared" si="1"/>
        <v>Unavailable</v>
      </c>
      <c r="C2212" s="5">
        <v>1990.0</v>
      </c>
      <c r="D2212" s="3">
        <f>IFERROR(__xludf.DUMMYFUNCTION("IFERROR(
IF(REGEXMATCH(LOWER(O2212),""k""),
VALUE(REGEXEXTRACT(O2212,""[0-9]+""))*1000,
VALUE(REGEXEXTRACT(O2212,""[0-9]+""))
),
0
)"),0.0)</f>
        <v>0</v>
      </c>
      <c r="E2212" s="1" t="s">
        <v>11</v>
      </c>
      <c r="F2212" s="1" t="s">
        <v>20</v>
      </c>
      <c r="G2212" s="4" t="b">
        <f t="shared" si="2"/>
        <v>1</v>
      </c>
      <c r="H2212" s="1" t="str">
        <f t="shared" si="3"/>
        <v>Currently Unavailable</v>
      </c>
      <c r="I2212" s="1" t="str">
        <f t="shared" si="4"/>
        <v>No Badges</v>
      </c>
      <c r="J2212" s="3">
        <f t="shared" si="5"/>
        <v>0</v>
      </c>
    </row>
    <row r="2213">
      <c r="A2213" s="1" t="s">
        <v>1802</v>
      </c>
      <c r="B2213" s="3" t="str">
        <f t="shared" si="1"/>
        <v>Unavailable</v>
      </c>
      <c r="C2213" s="5">
        <v>7333.0</v>
      </c>
      <c r="D2213" s="3">
        <f>IFERROR(__xludf.DUMMYFUNCTION("IFERROR(
IF(REGEXMATCH(LOWER(O2213),""k""),
VALUE(REGEXEXTRACT(O2213,""[0-9]+""))*1000,
VALUE(REGEXEXTRACT(O2213,""[0-9]+""))
),
0
)"),0.0)</f>
        <v>0</v>
      </c>
      <c r="E2213" s="1" t="s">
        <v>11</v>
      </c>
      <c r="F2213" s="1" t="s">
        <v>20</v>
      </c>
      <c r="G2213" s="4" t="b">
        <f t="shared" si="2"/>
        <v>1</v>
      </c>
      <c r="H2213" s="1" t="str">
        <f t="shared" si="3"/>
        <v>Currently Unavailable</v>
      </c>
      <c r="I2213" s="1" t="str">
        <f t="shared" si="4"/>
        <v>No Badges</v>
      </c>
      <c r="J2213" s="3">
        <f t="shared" si="5"/>
        <v>0</v>
      </c>
    </row>
    <row r="2214">
      <c r="A2214" s="1" t="s">
        <v>1285</v>
      </c>
      <c r="B2214" s="3" t="str">
        <f t="shared" si="1"/>
        <v>Unavailable</v>
      </c>
      <c r="C2214" s="5">
        <v>3520.0</v>
      </c>
      <c r="D2214" s="3">
        <f>IFERROR(__xludf.DUMMYFUNCTION("IFERROR(
IF(REGEXMATCH(LOWER(O2214),""k""),
VALUE(REGEXEXTRACT(O2214,""[0-9]+""))*1000,
VALUE(REGEXEXTRACT(O2214,""[0-9]+""))
),
0
)"),0.0)</f>
        <v>0</v>
      </c>
      <c r="E2214" s="1" t="s">
        <v>11</v>
      </c>
      <c r="F2214" s="1" t="s">
        <v>12</v>
      </c>
      <c r="G2214" s="4" t="b">
        <f t="shared" si="2"/>
        <v>1</v>
      </c>
      <c r="H2214" s="1" t="str">
        <f t="shared" si="3"/>
        <v>Currently Unavailable</v>
      </c>
      <c r="I2214" s="1" t="str">
        <f t="shared" si="4"/>
        <v>No Badges</v>
      </c>
      <c r="J2214" s="3">
        <f t="shared" si="5"/>
        <v>0</v>
      </c>
    </row>
    <row r="2215">
      <c r="A2215" s="1" t="s">
        <v>1803</v>
      </c>
      <c r="B2215" s="3" t="str">
        <f t="shared" si="1"/>
        <v>Unavailable</v>
      </c>
      <c r="C2215" s="3">
        <v>972.0</v>
      </c>
      <c r="D2215" s="3">
        <f>IFERROR(__xludf.DUMMYFUNCTION("IFERROR(
IF(REGEXMATCH(LOWER(O2215),""k""),
VALUE(REGEXEXTRACT(O2215,""[0-9]+""))*1000,
VALUE(REGEXEXTRACT(O2215,""[0-9]+""))
),
0
)"),0.0)</f>
        <v>0</v>
      </c>
      <c r="E2215" s="1" t="s">
        <v>11</v>
      </c>
      <c r="F2215" s="1" t="s">
        <v>20</v>
      </c>
      <c r="G2215" s="4" t="b">
        <f t="shared" si="2"/>
        <v>1</v>
      </c>
      <c r="H2215" s="1" t="str">
        <f t="shared" si="3"/>
        <v>Currently Unavailable</v>
      </c>
      <c r="I2215" s="1" t="str">
        <f t="shared" si="4"/>
        <v>No Badges</v>
      </c>
      <c r="J2215" s="3">
        <f t="shared" si="5"/>
        <v>0</v>
      </c>
    </row>
    <row r="2216">
      <c r="A2216" s="1" t="s">
        <v>1285</v>
      </c>
      <c r="B2216" s="3" t="str">
        <f t="shared" si="1"/>
        <v>Unavailable</v>
      </c>
      <c r="C2216" s="5">
        <v>3520.0</v>
      </c>
      <c r="D2216" s="3">
        <f>IFERROR(__xludf.DUMMYFUNCTION("IFERROR(
IF(REGEXMATCH(LOWER(O2216),""k""),
VALUE(REGEXEXTRACT(O2216,""[0-9]+""))*1000,
VALUE(REGEXEXTRACT(O2216,""[0-9]+""))
),
0
)"),0.0)</f>
        <v>0</v>
      </c>
      <c r="E2216" s="1" t="s">
        <v>11</v>
      </c>
      <c r="F2216" s="1" t="s">
        <v>12</v>
      </c>
      <c r="G2216" s="4" t="b">
        <f t="shared" si="2"/>
        <v>1</v>
      </c>
      <c r="H2216" s="1" t="str">
        <f t="shared" si="3"/>
        <v>Currently Unavailable</v>
      </c>
      <c r="I2216" s="1" t="str">
        <f t="shared" si="4"/>
        <v>No Badges</v>
      </c>
      <c r="J2216" s="3">
        <f t="shared" si="5"/>
        <v>0</v>
      </c>
    </row>
    <row r="2217">
      <c r="A2217" s="1" t="s">
        <v>1284</v>
      </c>
      <c r="B2217" s="3" t="str">
        <f t="shared" si="1"/>
        <v>Unavailable</v>
      </c>
      <c r="C2217" s="3">
        <v>172.0</v>
      </c>
      <c r="D2217" s="3">
        <f>IFERROR(__xludf.DUMMYFUNCTION("IFERROR(
IF(REGEXMATCH(LOWER(O2217),""k""),
VALUE(REGEXEXTRACT(O2217,""[0-9]+""))*1000,
VALUE(REGEXEXTRACT(O2217,""[0-9]+""))
),
0
)"),0.0)</f>
        <v>0</v>
      </c>
      <c r="E2217" s="1" t="s">
        <v>11</v>
      </c>
      <c r="F2217" s="1" t="s">
        <v>12</v>
      </c>
      <c r="G2217" s="4" t="b">
        <f t="shared" si="2"/>
        <v>1</v>
      </c>
      <c r="H2217" s="1" t="str">
        <f t="shared" si="3"/>
        <v>Currently Unavailable</v>
      </c>
      <c r="I2217" s="1" t="str">
        <f t="shared" si="4"/>
        <v>No Badges</v>
      </c>
      <c r="J2217" s="3">
        <f t="shared" si="5"/>
        <v>0</v>
      </c>
    </row>
    <row r="2218">
      <c r="A2218" s="1" t="s">
        <v>1804</v>
      </c>
      <c r="B2218" s="3" t="str">
        <f t="shared" si="1"/>
        <v>Unavailable</v>
      </c>
      <c r="C2218" s="5">
        <v>13606.0</v>
      </c>
      <c r="D2218" s="3">
        <f>IFERROR(__xludf.DUMMYFUNCTION("IFERROR(
IF(REGEXMATCH(LOWER(O2218),""k""),
VALUE(REGEXEXTRACT(O2218,""[0-9]+""))*1000,
VALUE(REGEXEXTRACT(O2218,""[0-9]+""))
),
0
)"),0.0)</f>
        <v>0</v>
      </c>
      <c r="E2218" s="1" t="s">
        <v>11</v>
      </c>
      <c r="F2218" s="1" t="s">
        <v>20</v>
      </c>
      <c r="G2218" s="4" t="b">
        <f t="shared" si="2"/>
        <v>1</v>
      </c>
      <c r="H2218" s="1" t="str">
        <f t="shared" si="3"/>
        <v>Currently Unavailable</v>
      </c>
      <c r="I2218" s="1" t="str">
        <f t="shared" si="4"/>
        <v>No Badges</v>
      </c>
      <c r="J2218" s="3">
        <f t="shared" si="5"/>
        <v>0</v>
      </c>
    </row>
    <row r="2219">
      <c r="A2219" s="1" t="s">
        <v>1805</v>
      </c>
      <c r="B2219" s="3" t="str">
        <f t="shared" si="1"/>
        <v>Unavailable</v>
      </c>
      <c r="C2219" s="5">
        <v>10248.0</v>
      </c>
      <c r="D2219" s="3">
        <f>IFERROR(__xludf.DUMMYFUNCTION("IFERROR(
IF(REGEXMATCH(LOWER(O2219),""k""),
VALUE(REGEXEXTRACT(O2219,""[0-9]+""))*1000,
VALUE(REGEXEXTRACT(O2219,""[0-9]+""))
),
0
)"),0.0)</f>
        <v>0</v>
      </c>
      <c r="E2219" s="1" t="s">
        <v>11</v>
      </c>
      <c r="F2219" s="1" t="s">
        <v>20</v>
      </c>
      <c r="G2219" s="4" t="b">
        <f t="shared" si="2"/>
        <v>1</v>
      </c>
      <c r="H2219" s="1" t="str">
        <f t="shared" si="3"/>
        <v>Currently Unavailable</v>
      </c>
      <c r="I2219" s="1" t="str">
        <f t="shared" si="4"/>
        <v>No Badges</v>
      </c>
      <c r="J2219" s="3">
        <f t="shared" si="5"/>
        <v>0</v>
      </c>
    </row>
    <row r="2220">
      <c r="A2220" s="1" t="s">
        <v>1806</v>
      </c>
      <c r="B2220" s="3" t="str">
        <f t="shared" si="1"/>
        <v>Unavailable</v>
      </c>
      <c r="C2220" s="5">
        <v>16564.0</v>
      </c>
      <c r="D2220" s="3">
        <f>IFERROR(__xludf.DUMMYFUNCTION("IFERROR(
IF(REGEXMATCH(LOWER(O2220),""k""),
VALUE(REGEXEXTRACT(O2220,""[0-9]+""))*1000,
VALUE(REGEXEXTRACT(O2220,""[0-9]+""))
),
0
)"),0.0)</f>
        <v>0</v>
      </c>
      <c r="E2220" s="1" t="s">
        <v>11</v>
      </c>
      <c r="F2220" s="1" t="s">
        <v>20</v>
      </c>
      <c r="G2220" s="4" t="b">
        <f t="shared" si="2"/>
        <v>1</v>
      </c>
      <c r="H2220" s="1" t="str">
        <f t="shared" si="3"/>
        <v>Currently Unavailable</v>
      </c>
      <c r="I2220" s="1" t="str">
        <f t="shared" si="4"/>
        <v>No Badges</v>
      </c>
      <c r="J2220" s="3">
        <f t="shared" si="5"/>
        <v>0</v>
      </c>
    </row>
    <row r="2221">
      <c r="A2221" s="1" t="s">
        <v>1807</v>
      </c>
      <c r="B2221" s="3" t="str">
        <f t="shared" si="1"/>
        <v>Unavailable</v>
      </c>
      <c r="C2221" s="5">
        <v>2954.0</v>
      </c>
      <c r="D2221" s="3">
        <f>IFERROR(__xludf.DUMMYFUNCTION("IFERROR(
IF(REGEXMATCH(LOWER(O2221),""k""),
VALUE(REGEXEXTRACT(O2221,""[0-9]+""))*1000,
VALUE(REGEXEXTRACT(O2221,""[0-9]+""))
),
0
)"),0.0)</f>
        <v>0</v>
      </c>
      <c r="E2221" s="1" t="s">
        <v>11</v>
      </c>
      <c r="F2221" s="1" t="s">
        <v>20</v>
      </c>
      <c r="G2221" s="4" t="b">
        <f t="shared" si="2"/>
        <v>1</v>
      </c>
      <c r="H2221" s="1" t="str">
        <f t="shared" si="3"/>
        <v>Currently Unavailable</v>
      </c>
      <c r="I2221" s="1" t="str">
        <f t="shared" si="4"/>
        <v>No Badges</v>
      </c>
      <c r="J2221" s="3">
        <f t="shared" si="5"/>
        <v>0</v>
      </c>
    </row>
    <row r="2222">
      <c r="A2222" s="1" t="s">
        <v>1808</v>
      </c>
      <c r="B2222" s="3" t="str">
        <f t="shared" si="1"/>
        <v>Unavailable</v>
      </c>
      <c r="C2222" s="5">
        <v>20208.0</v>
      </c>
      <c r="D2222" s="3">
        <f>IFERROR(__xludf.DUMMYFUNCTION("IFERROR(
IF(REGEXMATCH(LOWER(O2222),""k""),
VALUE(REGEXEXTRACT(O2222,""[0-9]+""))*1000,
VALUE(REGEXEXTRACT(O2222,""[0-9]+""))
),
0
)"),0.0)</f>
        <v>0</v>
      </c>
      <c r="E2222" s="1" t="s">
        <v>11</v>
      </c>
      <c r="F2222" s="1" t="s">
        <v>20</v>
      </c>
      <c r="G2222" s="4" t="b">
        <f t="shared" si="2"/>
        <v>1</v>
      </c>
      <c r="H2222" s="1" t="str">
        <f t="shared" si="3"/>
        <v>Currently Unavailable</v>
      </c>
      <c r="I2222" s="1" t="str">
        <f t="shared" si="4"/>
        <v>No Badges</v>
      </c>
      <c r="J2222" s="3">
        <f t="shared" si="5"/>
        <v>0</v>
      </c>
    </row>
    <row r="2223">
      <c r="A2223" s="1" t="s">
        <v>1809</v>
      </c>
      <c r="B2223" s="3" t="str">
        <f t="shared" si="1"/>
        <v>Unavailable</v>
      </c>
      <c r="C2223" s="3">
        <v>929.0</v>
      </c>
      <c r="D2223" s="3">
        <f>IFERROR(__xludf.DUMMYFUNCTION("IFERROR(
IF(REGEXMATCH(LOWER(O2223),""k""),
VALUE(REGEXEXTRACT(O2223,""[0-9]+""))*1000,
VALUE(REGEXEXTRACT(O2223,""[0-9]+""))
),
0
)"),0.0)</f>
        <v>0</v>
      </c>
      <c r="E2223" s="1" t="s">
        <v>11</v>
      </c>
      <c r="F2223" s="1" t="s">
        <v>20</v>
      </c>
      <c r="G2223" s="4" t="b">
        <f t="shared" si="2"/>
        <v>1</v>
      </c>
      <c r="H2223" s="1" t="str">
        <f t="shared" si="3"/>
        <v>Currently Unavailable</v>
      </c>
      <c r="I2223" s="1" t="str">
        <f t="shared" si="4"/>
        <v>No Badges</v>
      </c>
      <c r="J2223" s="3">
        <f t="shared" si="5"/>
        <v>0</v>
      </c>
    </row>
    <row r="2224">
      <c r="A2224" s="1" t="s">
        <v>88</v>
      </c>
      <c r="B2224" s="3" t="str">
        <f t="shared" si="1"/>
        <v>Unavailable</v>
      </c>
      <c r="C2224" s="3">
        <v>5.0</v>
      </c>
      <c r="D2224" s="3">
        <f>IFERROR(__xludf.DUMMYFUNCTION("IFERROR(
IF(REGEXMATCH(LOWER(O2224),""k""),
VALUE(REGEXEXTRACT(O2224,""[0-9]+""))*1000,
VALUE(REGEXEXTRACT(O2224,""[0-9]+""))
),
0
)"),0.0)</f>
        <v>0</v>
      </c>
      <c r="E2224" s="1" t="s">
        <v>11</v>
      </c>
      <c r="F2224" s="1" t="s">
        <v>12</v>
      </c>
      <c r="G2224" s="4" t="b">
        <f t="shared" si="2"/>
        <v>1</v>
      </c>
      <c r="H2224" s="1" t="str">
        <f t="shared" si="3"/>
        <v>Currently Unavailable</v>
      </c>
      <c r="I2224" s="1" t="str">
        <f t="shared" si="4"/>
        <v>No Badges</v>
      </c>
      <c r="J2224" s="3">
        <f t="shared" si="5"/>
        <v>0</v>
      </c>
    </row>
    <row r="2225">
      <c r="A2225" s="1" t="s">
        <v>1810</v>
      </c>
      <c r="B2225" s="3" t="str">
        <f t="shared" si="1"/>
        <v>Unavailable</v>
      </c>
      <c r="C2225" s="3">
        <v>951.0</v>
      </c>
      <c r="D2225" s="3">
        <f>IFERROR(__xludf.DUMMYFUNCTION("IFERROR(
IF(REGEXMATCH(LOWER(O2225),""k""),
VALUE(REGEXEXTRACT(O2225,""[0-9]+""))*1000,
VALUE(REGEXEXTRACT(O2225,""[0-9]+""))
),
0
)"),0.0)</f>
        <v>0</v>
      </c>
      <c r="E2225" s="1" t="s">
        <v>11</v>
      </c>
      <c r="F2225" s="1" t="s">
        <v>20</v>
      </c>
      <c r="G2225" s="4" t="b">
        <f t="shared" si="2"/>
        <v>1</v>
      </c>
      <c r="H2225" s="1" t="str">
        <f t="shared" si="3"/>
        <v>Currently Unavailable</v>
      </c>
      <c r="I2225" s="1" t="str">
        <f t="shared" si="4"/>
        <v>No Badges</v>
      </c>
      <c r="J2225" s="3">
        <f t="shared" si="5"/>
        <v>0</v>
      </c>
    </row>
    <row r="2226">
      <c r="A2226" s="1" t="s">
        <v>1811</v>
      </c>
      <c r="B2226" s="3" t="str">
        <f t="shared" si="1"/>
        <v>Unavailable</v>
      </c>
      <c r="C2226" s="5">
        <v>14104.0</v>
      </c>
      <c r="D2226" s="3">
        <f>IFERROR(__xludf.DUMMYFUNCTION("IFERROR(
IF(REGEXMATCH(LOWER(O2226),""k""),
VALUE(REGEXEXTRACT(O2226,""[0-9]+""))*1000,
VALUE(REGEXEXTRACT(O2226,""[0-9]+""))
),
0
)"),0.0)</f>
        <v>0</v>
      </c>
      <c r="E2226" s="1" t="s">
        <v>11</v>
      </c>
      <c r="F2226" s="1" t="s">
        <v>20</v>
      </c>
      <c r="G2226" s="4" t="b">
        <f t="shared" si="2"/>
        <v>1</v>
      </c>
      <c r="H2226" s="1" t="str">
        <f t="shared" si="3"/>
        <v>Currently Unavailable</v>
      </c>
      <c r="I2226" s="1" t="str">
        <f t="shared" si="4"/>
        <v>No Badges</v>
      </c>
      <c r="J2226" s="3">
        <f t="shared" si="5"/>
        <v>0</v>
      </c>
    </row>
    <row r="2227">
      <c r="A2227" s="1" t="s">
        <v>69</v>
      </c>
      <c r="B2227" s="3" t="str">
        <f t="shared" si="1"/>
        <v>Unavailable</v>
      </c>
      <c r="C2227" s="3">
        <v>45.0</v>
      </c>
      <c r="D2227" s="3">
        <f>IFERROR(__xludf.DUMMYFUNCTION("IFERROR(
IF(REGEXMATCH(LOWER(O2227),""k""),
VALUE(REGEXEXTRACT(O2227,""[0-9]+""))*1000,
VALUE(REGEXEXTRACT(O2227,""[0-9]+""))
),
0
)"),0.0)</f>
        <v>0</v>
      </c>
      <c r="E2227" s="1" t="s">
        <v>11</v>
      </c>
      <c r="F2227" s="1" t="s">
        <v>12</v>
      </c>
      <c r="G2227" s="4" t="b">
        <f t="shared" si="2"/>
        <v>1</v>
      </c>
      <c r="H2227" s="1" t="str">
        <f t="shared" si="3"/>
        <v>Currently Unavailable</v>
      </c>
      <c r="I2227" s="1" t="str">
        <f t="shared" si="4"/>
        <v>No Badges</v>
      </c>
      <c r="J2227" s="3">
        <f t="shared" si="5"/>
        <v>0</v>
      </c>
    </row>
    <row r="2228">
      <c r="A2228" s="1" t="s">
        <v>1812</v>
      </c>
      <c r="B2228" s="3" t="str">
        <f t="shared" si="1"/>
        <v>Unavailable</v>
      </c>
      <c r="C2228" s="5">
        <v>2383.0</v>
      </c>
      <c r="D2228" s="3">
        <f>IFERROR(__xludf.DUMMYFUNCTION("IFERROR(
IF(REGEXMATCH(LOWER(O2228),""k""),
VALUE(REGEXEXTRACT(O2228,""[0-9]+""))*1000,
VALUE(REGEXEXTRACT(O2228,""[0-9]+""))
),
0
)"),0.0)</f>
        <v>0</v>
      </c>
      <c r="E2228" s="1" t="s">
        <v>18</v>
      </c>
      <c r="F2228" s="1" t="s">
        <v>12</v>
      </c>
      <c r="G2228" s="4" t="b">
        <f t="shared" si="2"/>
        <v>1</v>
      </c>
      <c r="H2228" s="1" t="str">
        <f t="shared" si="3"/>
        <v>Currently Unavailable</v>
      </c>
      <c r="I2228" s="1" t="str">
        <f t="shared" si="4"/>
        <v>No Badges</v>
      </c>
      <c r="J2228" s="3">
        <f t="shared" si="5"/>
        <v>0</v>
      </c>
    </row>
    <row r="2229">
      <c r="A2229" s="1" t="s">
        <v>1284</v>
      </c>
      <c r="B2229" s="3" t="str">
        <f t="shared" si="1"/>
        <v>Unavailable</v>
      </c>
      <c r="C2229" s="3">
        <v>172.0</v>
      </c>
      <c r="D2229" s="3">
        <f>IFERROR(__xludf.DUMMYFUNCTION("IFERROR(
IF(REGEXMATCH(LOWER(O2229),""k""),
VALUE(REGEXEXTRACT(O2229,""[0-9]+""))*1000,
VALUE(REGEXEXTRACT(O2229,""[0-9]+""))
),
0
)"),0.0)</f>
        <v>0</v>
      </c>
      <c r="E2229" s="1" t="s">
        <v>11</v>
      </c>
      <c r="F2229" s="1" t="s">
        <v>12</v>
      </c>
      <c r="G2229" s="4" t="b">
        <f t="shared" si="2"/>
        <v>1</v>
      </c>
      <c r="H2229" s="1" t="str">
        <f t="shared" si="3"/>
        <v>Currently Unavailable</v>
      </c>
      <c r="I2229" s="1" t="str">
        <f t="shared" si="4"/>
        <v>No Badges</v>
      </c>
      <c r="J2229" s="3">
        <f t="shared" si="5"/>
        <v>0</v>
      </c>
    </row>
    <row r="2230">
      <c r="A2230" s="1" t="s">
        <v>1813</v>
      </c>
      <c r="B2230" s="3" t="str">
        <f t="shared" si="1"/>
        <v>Unavailable</v>
      </c>
      <c r="C2230" s="5">
        <v>8224.0</v>
      </c>
      <c r="D2230" s="3">
        <f>IFERROR(__xludf.DUMMYFUNCTION("IFERROR(
IF(REGEXMATCH(LOWER(O2230),""k""),
VALUE(REGEXEXTRACT(O2230,""[0-9]+""))*1000,
VALUE(REGEXEXTRACT(O2230,""[0-9]+""))
),
0
)"),0.0)</f>
        <v>0</v>
      </c>
      <c r="E2230" s="1" t="s">
        <v>11</v>
      </c>
      <c r="F2230" s="1" t="s">
        <v>20</v>
      </c>
      <c r="G2230" s="4" t="b">
        <f t="shared" si="2"/>
        <v>1</v>
      </c>
      <c r="H2230" s="1" t="str">
        <f t="shared" si="3"/>
        <v>Currently Unavailable</v>
      </c>
      <c r="I2230" s="1" t="str">
        <f t="shared" si="4"/>
        <v>No Badges</v>
      </c>
      <c r="J2230" s="3">
        <f t="shared" si="5"/>
        <v>0</v>
      </c>
    </row>
    <row r="2231">
      <c r="A2231" s="1" t="s">
        <v>1814</v>
      </c>
      <c r="B2231" s="3" t="str">
        <f t="shared" si="1"/>
        <v>Unavailable</v>
      </c>
      <c r="C2231" s="5">
        <v>1695.0</v>
      </c>
      <c r="D2231" s="3">
        <f>IFERROR(__xludf.DUMMYFUNCTION("IFERROR(
IF(REGEXMATCH(LOWER(O2231),""k""),
VALUE(REGEXEXTRACT(O2231,""[0-9]+""))*1000,
VALUE(REGEXEXTRACT(O2231,""[0-9]+""))
),
0
)"),0.0)</f>
        <v>0</v>
      </c>
      <c r="E2231" s="1" t="s">
        <v>11</v>
      </c>
      <c r="F2231" s="1" t="s">
        <v>20</v>
      </c>
      <c r="G2231" s="4" t="b">
        <f t="shared" si="2"/>
        <v>1</v>
      </c>
      <c r="H2231" s="1" t="str">
        <f t="shared" si="3"/>
        <v>Currently Unavailable</v>
      </c>
      <c r="I2231" s="1" t="str">
        <f t="shared" si="4"/>
        <v>No Badges</v>
      </c>
      <c r="J2231" s="3">
        <f t="shared" si="5"/>
        <v>0</v>
      </c>
    </row>
    <row r="2232">
      <c r="A2232" s="1" t="s">
        <v>1815</v>
      </c>
      <c r="B2232" s="3" t="str">
        <f t="shared" si="1"/>
        <v>Unavailable</v>
      </c>
      <c r="C2232" s="5">
        <v>5376.0</v>
      </c>
      <c r="D2232" s="3">
        <f>IFERROR(__xludf.DUMMYFUNCTION("IFERROR(
IF(REGEXMATCH(LOWER(O2232),""k""),
VALUE(REGEXEXTRACT(O2232,""[0-9]+""))*1000,
VALUE(REGEXEXTRACT(O2232,""[0-9]+""))
),
0
)"),0.0)</f>
        <v>0</v>
      </c>
      <c r="E2232" s="1" t="s">
        <v>11</v>
      </c>
      <c r="F2232" s="1" t="s">
        <v>20</v>
      </c>
      <c r="G2232" s="4" t="b">
        <f t="shared" si="2"/>
        <v>1</v>
      </c>
      <c r="H2232" s="1" t="str">
        <f t="shared" si="3"/>
        <v>Currently Unavailable</v>
      </c>
      <c r="I2232" s="1" t="str">
        <f t="shared" si="4"/>
        <v>No Badges</v>
      </c>
      <c r="J2232" s="3">
        <f t="shared" si="5"/>
        <v>0</v>
      </c>
    </row>
    <row r="2233">
      <c r="A2233" s="1" t="s">
        <v>1816</v>
      </c>
      <c r="B2233" s="3" t="str">
        <f t="shared" si="1"/>
        <v>Unavailable</v>
      </c>
      <c r="C2233" s="3">
        <v>999.0</v>
      </c>
      <c r="D2233" s="3">
        <f>IFERROR(__xludf.DUMMYFUNCTION("IFERROR(
IF(REGEXMATCH(LOWER(O2233),""k""),
VALUE(REGEXEXTRACT(O2233,""[0-9]+""))*1000,
VALUE(REGEXEXTRACT(O2233,""[0-9]+""))
),
0
)"),0.0)</f>
        <v>0</v>
      </c>
      <c r="E2233" s="1" t="s">
        <v>11</v>
      </c>
      <c r="F2233" s="1" t="s">
        <v>20</v>
      </c>
      <c r="G2233" s="4" t="b">
        <f t="shared" si="2"/>
        <v>1</v>
      </c>
      <c r="H2233" s="1" t="str">
        <f t="shared" si="3"/>
        <v>Currently Unavailable</v>
      </c>
      <c r="I2233" s="1" t="str">
        <f t="shared" si="4"/>
        <v>No Badges</v>
      </c>
      <c r="J2233" s="3">
        <f t="shared" si="5"/>
        <v>0</v>
      </c>
    </row>
    <row r="2234">
      <c r="A2234" s="1" t="s">
        <v>1817</v>
      </c>
      <c r="B2234" s="3" t="str">
        <f t="shared" si="1"/>
        <v>Unavailable</v>
      </c>
      <c r="C2234" s="5">
        <v>35135.0</v>
      </c>
      <c r="D2234" s="3">
        <f>IFERROR(__xludf.DUMMYFUNCTION("IFERROR(
IF(REGEXMATCH(LOWER(O2234),""k""),
VALUE(REGEXEXTRACT(O2234,""[0-9]+""))*1000,
VALUE(REGEXEXTRACT(O2234,""[0-9]+""))
),
0
)"),0.0)</f>
        <v>0</v>
      </c>
      <c r="E2234" s="1" t="s">
        <v>11</v>
      </c>
      <c r="F2234" s="1" t="s">
        <v>20</v>
      </c>
      <c r="G2234" s="4" t="b">
        <f t="shared" si="2"/>
        <v>1</v>
      </c>
      <c r="H2234" s="1" t="str">
        <f t="shared" si="3"/>
        <v>Currently Unavailable</v>
      </c>
      <c r="I2234" s="1" t="str">
        <f t="shared" si="4"/>
        <v>No Badges</v>
      </c>
      <c r="J2234" s="3">
        <f t="shared" si="5"/>
        <v>0</v>
      </c>
    </row>
    <row r="2235">
      <c r="A2235" s="1" t="s">
        <v>1818</v>
      </c>
      <c r="B2235" s="3" t="str">
        <f t="shared" si="1"/>
        <v>Unavailable</v>
      </c>
      <c r="C2235" s="5">
        <v>10426.0</v>
      </c>
      <c r="D2235" s="3">
        <f>IFERROR(__xludf.DUMMYFUNCTION("IFERROR(
IF(REGEXMATCH(LOWER(O2235),""k""),
VALUE(REGEXEXTRACT(O2235,""[0-9]+""))*1000,
VALUE(REGEXEXTRACT(O2235,""[0-9]+""))
),
0
)"),0.0)</f>
        <v>0</v>
      </c>
      <c r="E2235" s="1" t="s">
        <v>11</v>
      </c>
      <c r="F2235" s="1" t="s">
        <v>20</v>
      </c>
      <c r="G2235" s="4" t="b">
        <f t="shared" si="2"/>
        <v>1</v>
      </c>
      <c r="H2235" s="1" t="str">
        <f t="shared" si="3"/>
        <v>Currently Unavailable</v>
      </c>
      <c r="I2235" s="1" t="str">
        <f t="shared" si="4"/>
        <v>No Badges</v>
      </c>
      <c r="J2235" s="3">
        <f t="shared" si="5"/>
        <v>0</v>
      </c>
    </row>
    <row r="2236">
      <c r="A2236" s="1" t="s">
        <v>1819</v>
      </c>
      <c r="B2236" s="3" t="str">
        <f t="shared" si="1"/>
        <v>Unavailable</v>
      </c>
      <c r="C2236" s="5">
        <v>1768.0</v>
      </c>
      <c r="D2236" s="3">
        <f>IFERROR(__xludf.DUMMYFUNCTION("IFERROR(
IF(REGEXMATCH(LOWER(O2236),""k""),
VALUE(REGEXEXTRACT(O2236,""[0-9]+""))*1000,
VALUE(REGEXEXTRACT(O2236,""[0-9]+""))
),
0
)"),0.0)</f>
        <v>0</v>
      </c>
      <c r="E2236" s="1" t="s">
        <v>11</v>
      </c>
      <c r="F2236" s="1" t="s">
        <v>20</v>
      </c>
      <c r="G2236" s="4" t="b">
        <f t="shared" si="2"/>
        <v>1</v>
      </c>
      <c r="H2236" s="1" t="str">
        <f t="shared" si="3"/>
        <v>Currently Unavailable</v>
      </c>
      <c r="I2236" s="1" t="str">
        <f t="shared" si="4"/>
        <v>No Badges</v>
      </c>
      <c r="J2236" s="3">
        <f t="shared" si="5"/>
        <v>0</v>
      </c>
    </row>
    <row r="2237">
      <c r="A2237" s="1" t="s">
        <v>1820</v>
      </c>
      <c r="B2237" s="3" t="str">
        <f t="shared" si="1"/>
        <v>Unavailable</v>
      </c>
      <c r="C2237" s="5">
        <v>9828.0</v>
      </c>
      <c r="D2237" s="3">
        <f>IFERROR(__xludf.DUMMYFUNCTION("IFERROR(
IF(REGEXMATCH(LOWER(O2237),""k""),
VALUE(REGEXEXTRACT(O2237,""[0-9]+""))*1000,
VALUE(REGEXEXTRACT(O2237,""[0-9]+""))
),
0
)"),0.0)</f>
        <v>0</v>
      </c>
      <c r="E2237" s="1" t="s">
        <v>11</v>
      </c>
      <c r="F2237" s="1" t="s">
        <v>20</v>
      </c>
      <c r="G2237" s="4" t="b">
        <f t="shared" si="2"/>
        <v>1</v>
      </c>
      <c r="H2237" s="1" t="str">
        <f t="shared" si="3"/>
        <v>Currently Unavailable</v>
      </c>
      <c r="I2237" s="1" t="str">
        <f t="shared" si="4"/>
        <v>No Badges</v>
      </c>
      <c r="J2237" s="3">
        <f t="shared" si="5"/>
        <v>0</v>
      </c>
    </row>
    <row r="2238">
      <c r="A2238" s="1" t="s">
        <v>1285</v>
      </c>
      <c r="B2238" s="3" t="str">
        <f t="shared" si="1"/>
        <v>Unavailable</v>
      </c>
      <c r="C2238" s="5">
        <v>3520.0</v>
      </c>
      <c r="D2238" s="3">
        <f>IFERROR(__xludf.DUMMYFUNCTION("IFERROR(
IF(REGEXMATCH(LOWER(O2238),""k""),
VALUE(REGEXEXTRACT(O2238,""[0-9]+""))*1000,
VALUE(REGEXEXTRACT(O2238,""[0-9]+""))
),
0
)"),0.0)</f>
        <v>0</v>
      </c>
      <c r="E2238" s="1" t="s">
        <v>11</v>
      </c>
      <c r="F2238" s="1" t="s">
        <v>12</v>
      </c>
      <c r="G2238" s="4" t="b">
        <f t="shared" si="2"/>
        <v>1</v>
      </c>
      <c r="H2238" s="1" t="str">
        <f t="shared" si="3"/>
        <v>Currently Unavailable</v>
      </c>
      <c r="I2238" s="1" t="str">
        <f t="shared" si="4"/>
        <v>No Badges</v>
      </c>
      <c r="J2238" s="3">
        <f t="shared" si="5"/>
        <v>0</v>
      </c>
    </row>
    <row r="2239">
      <c r="A2239" s="1" t="s">
        <v>1284</v>
      </c>
      <c r="B2239" s="3" t="str">
        <f t="shared" si="1"/>
        <v>Unavailable</v>
      </c>
      <c r="C2239" s="3">
        <v>172.0</v>
      </c>
      <c r="D2239" s="3">
        <f>IFERROR(__xludf.DUMMYFUNCTION("IFERROR(
IF(REGEXMATCH(LOWER(O2239),""k""),
VALUE(REGEXEXTRACT(O2239,""[0-9]+""))*1000,
VALUE(REGEXEXTRACT(O2239,""[0-9]+""))
),
0
)"),0.0)</f>
        <v>0</v>
      </c>
      <c r="E2239" s="1" t="s">
        <v>11</v>
      </c>
      <c r="F2239" s="1" t="s">
        <v>12</v>
      </c>
      <c r="G2239" s="4" t="b">
        <f t="shared" si="2"/>
        <v>1</v>
      </c>
      <c r="H2239" s="1" t="str">
        <f t="shared" si="3"/>
        <v>Currently Unavailable</v>
      </c>
      <c r="I2239" s="1" t="str">
        <f t="shared" si="4"/>
        <v>No Badges</v>
      </c>
      <c r="J2239" s="3">
        <f t="shared" si="5"/>
        <v>0</v>
      </c>
    </row>
    <row r="2240">
      <c r="A2240" s="1" t="s">
        <v>67</v>
      </c>
      <c r="B2240" s="3" t="str">
        <f t="shared" si="1"/>
        <v>Unavailable</v>
      </c>
      <c r="C2240" s="3">
        <v>264.0</v>
      </c>
      <c r="D2240" s="3">
        <f>IFERROR(__xludf.DUMMYFUNCTION("IFERROR(
IF(REGEXMATCH(LOWER(O2240),""k""),
VALUE(REGEXEXTRACT(O2240,""[0-9]+""))*1000,
VALUE(REGEXEXTRACT(O2240,""[0-9]+""))
),
0
)"),0.0)</f>
        <v>0</v>
      </c>
      <c r="E2240" s="1" t="s">
        <v>11</v>
      </c>
      <c r="F2240" s="1" t="s">
        <v>12</v>
      </c>
      <c r="G2240" s="4" t="b">
        <f t="shared" si="2"/>
        <v>1</v>
      </c>
      <c r="H2240" s="1" t="str">
        <f t="shared" si="3"/>
        <v>Currently Unavailable</v>
      </c>
      <c r="I2240" s="1" t="str">
        <f t="shared" si="4"/>
        <v>No Badges</v>
      </c>
      <c r="J2240" s="3">
        <f t="shared" si="5"/>
        <v>0</v>
      </c>
    </row>
    <row r="2241">
      <c r="A2241" s="1" t="s">
        <v>1821</v>
      </c>
      <c r="B2241" s="3" t="str">
        <f t="shared" si="1"/>
        <v>Unavailable</v>
      </c>
      <c r="C2241" s="3">
        <v>381.0</v>
      </c>
      <c r="D2241" s="3">
        <f>IFERROR(__xludf.DUMMYFUNCTION("IFERROR(
IF(REGEXMATCH(LOWER(O2241),""k""),
VALUE(REGEXEXTRACT(O2241,""[0-9]+""))*1000,
VALUE(REGEXEXTRACT(O2241,""[0-9]+""))
),
0
)"),0.0)</f>
        <v>0</v>
      </c>
      <c r="E2241" s="1" t="s">
        <v>11</v>
      </c>
      <c r="F2241" s="1" t="s">
        <v>20</v>
      </c>
      <c r="G2241" s="4" t="b">
        <f t="shared" si="2"/>
        <v>1</v>
      </c>
      <c r="H2241" s="1" t="str">
        <f t="shared" si="3"/>
        <v>Currently Unavailable</v>
      </c>
      <c r="I2241" s="1" t="str">
        <f t="shared" si="4"/>
        <v>No Badges</v>
      </c>
      <c r="J2241" s="3">
        <f t="shared" si="5"/>
        <v>0</v>
      </c>
    </row>
    <row r="2242">
      <c r="A2242" s="1" t="s">
        <v>701</v>
      </c>
      <c r="B2242" s="3" t="str">
        <f t="shared" si="1"/>
        <v>Unavailable</v>
      </c>
      <c r="C2242" s="3">
        <v>8.0</v>
      </c>
      <c r="D2242" s="3">
        <f>IFERROR(__xludf.DUMMYFUNCTION("IFERROR(
IF(REGEXMATCH(LOWER(O2242),""k""),
VALUE(REGEXEXTRACT(O2242,""[0-9]+""))*1000,
VALUE(REGEXEXTRACT(O2242,""[0-9]+""))
),
0
)"),0.0)</f>
        <v>0</v>
      </c>
      <c r="E2242" s="1" t="s">
        <v>11</v>
      </c>
      <c r="F2242" s="1" t="s">
        <v>12</v>
      </c>
      <c r="G2242" s="4" t="b">
        <f t="shared" si="2"/>
        <v>1</v>
      </c>
      <c r="H2242" s="1" t="str">
        <f t="shared" si="3"/>
        <v>Currently Unavailable</v>
      </c>
      <c r="I2242" s="1" t="str">
        <f t="shared" si="4"/>
        <v>No Badges</v>
      </c>
      <c r="J2242" s="3">
        <f t="shared" si="5"/>
        <v>0</v>
      </c>
    </row>
    <row r="2243">
      <c r="A2243" s="1" t="s">
        <v>1822</v>
      </c>
      <c r="B2243" s="3" t="str">
        <f t="shared" si="1"/>
        <v>Unavailable</v>
      </c>
      <c r="C2243" s="5">
        <v>1379.0</v>
      </c>
      <c r="D2243" s="3">
        <f>IFERROR(__xludf.DUMMYFUNCTION("IFERROR(
IF(REGEXMATCH(LOWER(O2243),""k""),
VALUE(REGEXEXTRACT(O2243,""[0-9]+""))*1000,
VALUE(REGEXEXTRACT(O2243,""[0-9]+""))
),
0
)"),0.0)</f>
        <v>0</v>
      </c>
      <c r="E2243" s="1" t="s">
        <v>11</v>
      </c>
      <c r="F2243" s="1" t="s">
        <v>20</v>
      </c>
      <c r="G2243" s="4" t="b">
        <f t="shared" si="2"/>
        <v>1</v>
      </c>
      <c r="H2243" s="1" t="str">
        <f t="shared" si="3"/>
        <v>Currently Unavailable</v>
      </c>
      <c r="I2243" s="1" t="str">
        <f t="shared" si="4"/>
        <v>No Badges</v>
      </c>
      <c r="J2243" s="3">
        <f t="shared" si="5"/>
        <v>0</v>
      </c>
    </row>
    <row r="2244">
      <c r="A2244" s="1" t="s">
        <v>1823</v>
      </c>
      <c r="B2244" s="3" t="str">
        <f t="shared" si="1"/>
        <v>Unavailable</v>
      </c>
      <c r="C2244" s="5">
        <v>3523.0</v>
      </c>
      <c r="D2244" s="3">
        <f>IFERROR(__xludf.DUMMYFUNCTION("IFERROR(
IF(REGEXMATCH(LOWER(O2244),""k""),
VALUE(REGEXEXTRACT(O2244,""[0-9]+""))*1000,
VALUE(REGEXEXTRACT(O2244,""[0-9]+""))
),
0
)"),0.0)</f>
        <v>0</v>
      </c>
      <c r="E2244" s="1" t="s">
        <v>11</v>
      </c>
      <c r="F2244" s="1" t="s">
        <v>20</v>
      </c>
      <c r="G2244" s="4" t="b">
        <f t="shared" si="2"/>
        <v>1</v>
      </c>
      <c r="H2244" s="1" t="str">
        <f t="shared" si="3"/>
        <v>Currently Unavailable</v>
      </c>
      <c r="I2244" s="1" t="str">
        <f t="shared" si="4"/>
        <v>No Badges</v>
      </c>
      <c r="J2244" s="3">
        <f t="shared" si="5"/>
        <v>0</v>
      </c>
    </row>
    <row r="2245">
      <c r="A2245" s="1" t="s">
        <v>1824</v>
      </c>
      <c r="B2245" s="3" t="str">
        <f t="shared" si="1"/>
        <v>Unavailable</v>
      </c>
      <c r="C2245" s="5">
        <v>2654.0</v>
      </c>
      <c r="D2245" s="3">
        <f>IFERROR(__xludf.DUMMYFUNCTION("IFERROR(
IF(REGEXMATCH(LOWER(O2245),""k""),
VALUE(REGEXEXTRACT(O2245,""[0-9]+""))*1000,
VALUE(REGEXEXTRACT(O2245,""[0-9]+""))
),
0
)"),0.0)</f>
        <v>0</v>
      </c>
      <c r="E2245" s="1" t="s">
        <v>11</v>
      </c>
      <c r="F2245" s="1" t="s">
        <v>20</v>
      </c>
      <c r="G2245" s="4" t="b">
        <f t="shared" si="2"/>
        <v>1</v>
      </c>
      <c r="H2245" s="1" t="str">
        <f t="shared" si="3"/>
        <v>Currently Unavailable</v>
      </c>
      <c r="I2245" s="1" t="str">
        <f t="shared" si="4"/>
        <v>No Badges</v>
      </c>
      <c r="J2245" s="3">
        <f t="shared" si="5"/>
        <v>0</v>
      </c>
    </row>
    <row r="2246">
      <c r="A2246" s="1" t="s">
        <v>1825</v>
      </c>
      <c r="B2246" s="3" t="str">
        <f t="shared" si="1"/>
        <v>Unavailable</v>
      </c>
      <c r="C2246" s="3">
        <v>658.0</v>
      </c>
      <c r="D2246" s="3">
        <f>IFERROR(__xludf.DUMMYFUNCTION("IFERROR(
IF(REGEXMATCH(LOWER(O2246),""k""),
VALUE(REGEXEXTRACT(O2246,""[0-9]+""))*1000,
VALUE(REGEXEXTRACT(O2246,""[0-9]+""))
),
0
)"),0.0)</f>
        <v>0</v>
      </c>
      <c r="E2246" s="1" t="s">
        <v>11</v>
      </c>
      <c r="F2246" s="1" t="s">
        <v>20</v>
      </c>
      <c r="G2246" s="4" t="b">
        <f t="shared" si="2"/>
        <v>1</v>
      </c>
      <c r="H2246" s="1" t="str">
        <f t="shared" si="3"/>
        <v>Currently Unavailable</v>
      </c>
      <c r="I2246" s="1" t="str">
        <f t="shared" si="4"/>
        <v>No Badges</v>
      </c>
      <c r="J2246" s="3">
        <f t="shared" si="5"/>
        <v>0</v>
      </c>
    </row>
    <row r="2247">
      <c r="A2247" s="1" t="s">
        <v>1826</v>
      </c>
      <c r="B2247" s="3" t="str">
        <f t="shared" si="1"/>
        <v>Unavailable</v>
      </c>
      <c r="C2247" s="5">
        <v>4606.0</v>
      </c>
      <c r="D2247" s="3">
        <f>IFERROR(__xludf.DUMMYFUNCTION("IFERROR(
IF(REGEXMATCH(LOWER(O2247),""k""),
VALUE(REGEXEXTRACT(O2247,""[0-9]+""))*1000,
VALUE(REGEXEXTRACT(O2247,""[0-9]+""))
),
0
)"),0.0)</f>
        <v>0</v>
      </c>
      <c r="E2247" s="1" t="s">
        <v>11</v>
      </c>
      <c r="F2247" s="1" t="s">
        <v>20</v>
      </c>
      <c r="G2247" s="4" t="b">
        <f t="shared" si="2"/>
        <v>1</v>
      </c>
      <c r="H2247" s="1" t="str">
        <f t="shared" si="3"/>
        <v>Currently Unavailable</v>
      </c>
      <c r="I2247" s="1" t="str">
        <f t="shared" si="4"/>
        <v>No Badges</v>
      </c>
      <c r="J2247" s="3">
        <f t="shared" si="5"/>
        <v>0</v>
      </c>
    </row>
    <row r="2248">
      <c r="A2248" s="1" t="s">
        <v>1827</v>
      </c>
      <c r="B2248" s="3" t="str">
        <f t="shared" si="1"/>
        <v>Unavailable</v>
      </c>
      <c r="C2248" s="3">
        <v>571.0</v>
      </c>
      <c r="D2248" s="3">
        <f>IFERROR(__xludf.DUMMYFUNCTION("IFERROR(
IF(REGEXMATCH(LOWER(O2248),""k""),
VALUE(REGEXEXTRACT(O2248,""[0-9]+""))*1000,
VALUE(REGEXEXTRACT(O2248,""[0-9]+""))
),
0
)"),0.0)</f>
        <v>0</v>
      </c>
      <c r="E2248" s="1" t="s">
        <v>11</v>
      </c>
      <c r="F2248" s="1" t="s">
        <v>20</v>
      </c>
      <c r="G2248" s="4" t="b">
        <f t="shared" si="2"/>
        <v>1</v>
      </c>
      <c r="H2248" s="1" t="str">
        <f t="shared" si="3"/>
        <v>Currently Unavailable</v>
      </c>
      <c r="I2248" s="1" t="str">
        <f t="shared" si="4"/>
        <v>No Badges</v>
      </c>
      <c r="J2248" s="3">
        <f t="shared" si="5"/>
        <v>0</v>
      </c>
    </row>
    <row r="2249">
      <c r="A2249" s="1" t="s">
        <v>1828</v>
      </c>
      <c r="B2249" s="3" t="str">
        <f t="shared" si="1"/>
        <v>Unavailable</v>
      </c>
      <c r="C2249" s="5">
        <v>4984.0</v>
      </c>
      <c r="D2249" s="3">
        <f>IFERROR(__xludf.DUMMYFUNCTION("IFERROR(
IF(REGEXMATCH(LOWER(O2249),""k""),
VALUE(REGEXEXTRACT(O2249,""[0-9]+""))*1000,
VALUE(REGEXEXTRACT(O2249,""[0-9]+""))
),
0
)"),0.0)</f>
        <v>0</v>
      </c>
      <c r="E2249" s="1" t="s">
        <v>11</v>
      </c>
      <c r="F2249" s="1" t="s">
        <v>20</v>
      </c>
      <c r="G2249" s="4" t="b">
        <f t="shared" si="2"/>
        <v>1</v>
      </c>
      <c r="H2249" s="1" t="str">
        <f t="shared" si="3"/>
        <v>Currently Unavailable</v>
      </c>
      <c r="I2249" s="1" t="str">
        <f t="shared" si="4"/>
        <v>No Badges</v>
      </c>
      <c r="J2249" s="3">
        <f t="shared" si="5"/>
        <v>0</v>
      </c>
    </row>
    <row r="2250">
      <c r="A2250" s="1" t="s">
        <v>1829</v>
      </c>
      <c r="B2250" s="3" t="str">
        <f t="shared" si="1"/>
        <v>Unavailable</v>
      </c>
      <c r="C2250" s="5">
        <v>2102.0</v>
      </c>
      <c r="D2250" s="3">
        <f>IFERROR(__xludf.DUMMYFUNCTION("IFERROR(
IF(REGEXMATCH(LOWER(O2250),""k""),
VALUE(REGEXEXTRACT(O2250,""[0-9]+""))*1000,
VALUE(REGEXEXTRACT(O2250,""[0-9]+""))
),
0
)"),0.0)</f>
        <v>0</v>
      </c>
      <c r="E2250" s="1" t="s">
        <v>11</v>
      </c>
      <c r="F2250" s="1" t="s">
        <v>20</v>
      </c>
      <c r="G2250" s="4" t="b">
        <f t="shared" si="2"/>
        <v>1</v>
      </c>
      <c r="H2250" s="1" t="str">
        <f t="shared" si="3"/>
        <v>Currently Unavailable</v>
      </c>
      <c r="I2250" s="1" t="str">
        <f t="shared" si="4"/>
        <v>No Badges</v>
      </c>
      <c r="J2250" s="3">
        <f t="shared" si="5"/>
        <v>0</v>
      </c>
    </row>
    <row r="2251">
      <c r="A2251" s="1" t="s">
        <v>1285</v>
      </c>
      <c r="B2251" s="3" t="str">
        <f t="shared" si="1"/>
        <v>Unavailable</v>
      </c>
      <c r="C2251" s="5">
        <v>3520.0</v>
      </c>
      <c r="D2251" s="3">
        <f>IFERROR(__xludf.DUMMYFUNCTION("IFERROR(
IF(REGEXMATCH(LOWER(O2251),""k""),
VALUE(REGEXEXTRACT(O2251,""[0-9]+""))*1000,
VALUE(REGEXEXTRACT(O2251,""[0-9]+""))
),
0
)"),0.0)</f>
        <v>0</v>
      </c>
      <c r="E2251" s="1" t="s">
        <v>11</v>
      </c>
      <c r="F2251" s="1" t="s">
        <v>12</v>
      </c>
      <c r="G2251" s="4" t="b">
        <f t="shared" si="2"/>
        <v>1</v>
      </c>
      <c r="H2251" s="1" t="str">
        <f t="shared" si="3"/>
        <v>Currently Unavailable</v>
      </c>
      <c r="I2251" s="1" t="str">
        <f t="shared" si="4"/>
        <v>No Badges</v>
      </c>
      <c r="J2251" s="3">
        <f t="shared" si="5"/>
        <v>0</v>
      </c>
    </row>
    <row r="2252">
      <c r="A2252" s="1" t="s">
        <v>1830</v>
      </c>
      <c r="B2252" s="3" t="str">
        <f t="shared" si="1"/>
        <v>Unavailable</v>
      </c>
      <c r="C2252" s="5">
        <v>43471.0</v>
      </c>
      <c r="D2252" s="3">
        <f>IFERROR(__xludf.DUMMYFUNCTION("IFERROR(
IF(REGEXMATCH(LOWER(O2252),""k""),
VALUE(REGEXEXTRACT(O2252,""[0-9]+""))*1000,
VALUE(REGEXEXTRACT(O2252,""[0-9]+""))
),
0
)"),0.0)</f>
        <v>0</v>
      </c>
      <c r="E2252" s="1" t="s">
        <v>11</v>
      </c>
      <c r="F2252" s="1" t="s">
        <v>20</v>
      </c>
      <c r="G2252" s="4" t="b">
        <f t="shared" si="2"/>
        <v>1</v>
      </c>
      <c r="H2252" s="1" t="str">
        <f t="shared" si="3"/>
        <v>Currently Unavailable</v>
      </c>
      <c r="I2252" s="1" t="str">
        <f t="shared" si="4"/>
        <v>No Badges</v>
      </c>
      <c r="J2252" s="3">
        <f t="shared" si="5"/>
        <v>0</v>
      </c>
    </row>
    <row r="2253">
      <c r="A2253" s="1" t="s">
        <v>1831</v>
      </c>
      <c r="B2253" s="3" t="str">
        <f t="shared" si="1"/>
        <v>Unavailable</v>
      </c>
      <c r="C2253" s="5">
        <v>7400.0</v>
      </c>
      <c r="D2253" s="3">
        <f>IFERROR(__xludf.DUMMYFUNCTION("IFERROR(
IF(REGEXMATCH(LOWER(O2253),""k""),
VALUE(REGEXEXTRACT(O2253,""[0-9]+""))*1000,
VALUE(REGEXEXTRACT(O2253,""[0-9]+""))
),
0
)"),0.0)</f>
        <v>0</v>
      </c>
      <c r="E2253" s="1" t="s">
        <v>11</v>
      </c>
      <c r="F2253" s="1" t="s">
        <v>20</v>
      </c>
      <c r="G2253" s="4" t="b">
        <f t="shared" si="2"/>
        <v>1</v>
      </c>
      <c r="H2253" s="1" t="str">
        <f t="shared" si="3"/>
        <v>Currently Unavailable</v>
      </c>
      <c r="I2253" s="1" t="str">
        <f t="shared" si="4"/>
        <v>No Badges</v>
      </c>
      <c r="J2253" s="3">
        <f t="shared" si="5"/>
        <v>0</v>
      </c>
    </row>
    <row r="2254">
      <c r="A2254" s="1" t="s">
        <v>1832</v>
      </c>
      <c r="B2254" s="3" t="str">
        <f t="shared" si="1"/>
        <v>Unavailable</v>
      </c>
      <c r="C2254" s="5">
        <v>10895.0</v>
      </c>
      <c r="D2254" s="3">
        <f>IFERROR(__xludf.DUMMYFUNCTION("IFERROR(
IF(REGEXMATCH(LOWER(O2254),""k""),
VALUE(REGEXEXTRACT(O2254,""[0-9]+""))*1000,
VALUE(REGEXEXTRACT(O2254,""[0-9]+""))
),
0
)"),0.0)</f>
        <v>0</v>
      </c>
      <c r="E2254" s="1" t="s">
        <v>11</v>
      </c>
      <c r="F2254" s="1" t="s">
        <v>20</v>
      </c>
      <c r="G2254" s="4" t="b">
        <f t="shared" si="2"/>
        <v>1</v>
      </c>
      <c r="H2254" s="1" t="str">
        <f t="shared" si="3"/>
        <v>Currently Unavailable</v>
      </c>
      <c r="I2254" s="1" t="str">
        <f t="shared" si="4"/>
        <v>No Badges</v>
      </c>
      <c r="J2254" s="3">
        <f t="shared" si="5"/>
        <v>0</v>
      </c>
    </row>
    <row r="2255">
      <c r="A2255" s="1" t="s">
        <v>1833</v>
      </c>
      <c r="B2255" s="3" t="str">
        <f t="shared" si="1"/>
        <v>Unavailable</v>
      </c>
      <c r="C2255" s="5">
        <v>3432.0</v>
      </c>
      <c r="D2255" s="3">
        <f>IFERROR(__xludf.DUMMYFUNCTION("IFERROR(
IF(REGEXMATCH(LOWER(O2255),""k""),
VALUE(REGEXEXTRACT(O2255,""[0-9]+""))*1000,
VALUE(REGEXEXTRACT(O2255,""[0-9]+""))
),
0
)"),0.0)</f>
        <v>0</v>
      </c>
      <c r="E2255" s="1" t="s">
        <v>158</v>
      </c>
      <c r="F2255" s="1" t="s">
        <v>20</v>
      </c>
      <c r="G2255" s="4" t="b">
        <f t="shared" si="2"/>
        <v>1</v>
      </c>
      <c r="H2255" s="1" t="str">
        <f t="shared" si="3"/>
        <v>Currently Unavailable</v>
      </c>
      <c r="I2255" s="1" t="str">
        <f t="shared" si="4"/>
        <v>No Badges</v>
      </c>
      <c r="J2255" s="3">
        <f t="shared" si="5"/>
        <v>0</v>
      </c>
    </row>
    <row r="2256">
      <c r="A2256" s="1" t="s">
        <v>88</v>
      </c>
      <c r="B2256" s="3" t="str">
        <f t="shared" si="1"/>
        <v>Unavailable</v>
      </c>
      <c r="C2256" s="3">
        <v>5.0</v>
      </c>
      <c r="D2256" s="3">
        <f>IFERROR(__xludf.DUMMYFUNCTION("IFERROR(
IF(REGEXMATCH(LOWER(O2256),""k""),
VALUE(REGEXEXTRACT(O2256,""[0-9]+""))*1000,
VALUE(REGEXEXTRACT(O2256,""[0-9]+""))
),
0
)"),0.0)</f>
        <v>0</v>
      </c>
      <c r="E2256" s="1" t="s">
        <v>11</v>
      </c>
      <c r="F2256" s="1" t="s">
        <v>12</v>
      </c>
      <c r="G2256" s="4" t="b">
        <f t="shared" si="2"/>
        <v>1</v>
      </c>
      <c r="H2256" s="1" t="str">
        <f t="shared" si="3"/>
        <v>Currently Unavailable</v>
      </c>
      <c r="I2256" s="1" t="str">
        <f t="shared" si="4"/>
        <v>No Badges</v>
      </c>
      <c r="J2256" s="3">
        <f t="shared" si="5"/>
        <v>0</v>
      </c>
    </row>
    <row r="2257">
      <c r="A2257" s="1" t="s">
        <v>40</v>
      </c>
      <c r="B2257" s="3" t="str">
        <f t="shared" si="1"/>
        <v>Unavailable</v>
      </c>
      <c r="C2257" s="3">
        <v>171.0</v>
      </c>
      <c r="D2257" s="3">
        <f>IFERROR(__xludf.DUMMYFUNCTION("IFERROR(
IF(REGEXMATCH(LOWER(O2257),""k""),
VALUE(REGEXEXTRACT(O2257,""[0-9]+""))*1000,
VALUE(REGEXEXTRACT(O2257,""[0-9]+""))
),
0
)"),0.0)</f>
        <v>0</v>
      </c>
      <c r="E2257" s="1" t="s">
        <v>11</v>
      </c>
      <c r="F2257" s="1" t="s">
        <v>12</v>
      </c>
      <c r="G2257" s="4" t="b">
        <f t="shared" si="2"/>
        <v>1</v>
      </c>
      <c r="H2257" s="1" t="str">
        <f t="shared" si="3"/>
        <v>Currently Unavailable</v>
      </c>
      <c r="I2257" s="1" t="str">
        <f t="shared" si="4"/>
        <v>No Badges</v>
      </c>
      <c r="J2257" s="3">
        <f t="shared" si="5"/>
        <v>0</v>
      </c>
    </row>
    <row r="2258">
      <c r="A2258" s="1" t="s">
        <v>1834</v>
      </c>
      <c r="B2258" s="3" t="str">
        <f t="shared" si="1"/>
        <v>Unavailable</v>
      </c>
      <c r="C2258" s="3">
        <v>767.0</v>
      </c>
      <c r="D2258" s="3">
        <f>IFERROR(__xludf.DUMMYFUNCTION("IFERROR(
IF(REGEXMATCH(LOWER(O2258),""k""),
VALUE(REGEXEXTRACT(O2258,""[0-9]+""))*1000,
VALUE(REGEXEXTRACT(O2258,""[0-9]+""))
),
0
)"),0.0)</f>
        <v>0</v>
      </c>
      <c r="E2258" s="1" t="s">
        <v>11</v>
      </c>
      <c r="F2258" s="1" t="s">
        <v>20</v>
      </c>
      <c r="G2258" s="4" t="b">
        <f t="shared" si="2"/>
        <v>1</v>
      </c>
      <c r="H2258" s="1" t="str">
        <f t="shared" si="3"/>
        <v>Currently Unavailable</v>
      </c>
      <c r="I2258" s="1" t="str">
        <f t="shared" si="4"/>
        <v>No Badges</v>
      </c>
      <c r="J2258" s="3">
        <f t="shared" si="5"/>
        <v>0</v>
      </c>
    </row>
    <row r="2259">
      <c r="A2259" s="1" t="s">
        <v>1835</v>
      </c>
      <c r="B2259" s="3" t="str">
        <f t="shared" si="1"/>
        <v>Unavailable</v>
      </c>
      <c r="C2259" s="5">
        <v>1331.0</v>
      </c>
      <c r="D2259" s="3">
        <f>IFERROR(__xludf.DUMMYFUNCTION("IFERROR(
IF(REGEXMATCH(LOWER(O2259),""k""),
VALUE(REGEXEXTRACT(O2259,""[0-9]+""))*1000,
VALUE(REGEXEXTRACT(O2259,""[0-9]+""))
),
0
)"),0.0)</f>
        <v>0</v>
      </c>
      <c r="E2259" s="1" t="s">
        <v>11</v>
      </c>
      <c r="F2259" s="1" t="s">
        <v>20</v>
      </c>
      <c r="G2259" s="4" t="b">
        <f t="shared" si="2"/>
        <v>1</v>
      </c>
      <c r="H2259" s="1" t="str">
        <f t="shared" si="3"/>
        <v>Currently Unavailable</v>
      </c>
      <c r="I2259" s="1" t="str">
        <f t="shared" si="4"/>
        <v>No Badges</v>
      </c>
      <c r="J2259" s="3">
        <f t="shared" si="5"/>
        <v>0</v>
      </c>
    </row>
    <row r="2260">
      <c r="A2260" s="1" t="s">
        <v>69</v>
      </c>
      <c r="B2260" s="3" t="str">
        <f t="shared" si="1"/>
        <v>Unavailable</v>
      </c>
      <c r="C2260" s="3">
        <v>45.0</v>
      </c>
      <c r="D2260" s="3">
        <f>IFERROR(__xludf.DUMMYFUNCTION("IFERROR(
IF(REGEXMATCH(LOWER(O2260),""k""),
VALUE(REGEXEXTRACT(O2260,""[0-9]+""))*1000,
VALUE(REGEXEXTRACT(O2260,""[0-9]+""))
),
0
)"),0.0)</f>
        <v>0</v>
      </c>
      <c r="E2260" s="1" t="s">
        <v>11</v>
      </c>
      <c r="F2260" s="1" t="s">
        <v>12</v>
      </c>
      <c r="G2260" s="4" t="b">
        <f t="shared" si="2"/>
        <v>1</v>
      </c>
      <c r="H2260" s="1" t="str">
        <f t="shared" si="3"/>
        <v>Currently Unavailable</v>
      </c>
      <c r="I2260" s="1" t="str">
        <f t="shared" si="4"/>
        <v>No Badges</v>
      </c>
      <c r="J2260" s="3">
        <f t="shared" si="5"/>
        <v>0</v>
      </c>
    </row>
    <row r="2261">
      <c r="A2261" s="1" t="s">
        <v>1836</v>
      </c>
      <c r="B2261" s="3" t="str">
        <f t="shared" si="1"/>
        <v>Unavailable</v>
      </c>
      <c r="C2261" s="3">
        <v>197.0</v>
      </c>
      <c r="D2261" s="3">
        <f>IFERROR(__xludf.DUMMYFUNCTION("IFERROR(
IF(REGEXMATCH(LOWER(O2261),""k""),
VALUE(REGEXEXTRACT(O2261,""[0-9]+""))*1000,
VALUE(REGEXEXTRACT(O2261,""[0-9]+""))
),
0
)"),0.0)</f>
        <v>0</v>
      </c>
      <c r="E2261" s="1" t="s">
        <v>11</v>
      </c>
      <c r="F2261" s="1" t="s">
        <v>20</v>
      </c>
      <c r="G2261" s="4" t="b">
        <f t="shared" si="2"/>
        <v>1</v>
      </c>
      <c r="H2261" s="1" t="str">
        <f t="shared" si="3"/>
        <v>Currently Unavailable</v>
      </c>
      <c r="I2261" s="1" t="str">
        <f t="shared" si="4"/>
        <v>No Badges</v>
      </c>
      <c r="J2261" s="3">
        <f t="shared" si="5"/>
        <v>0</v>
      </c>
    </row>
    <row r="2262">
      <c r="A2262" s="1" t="s">
        <v>1837</v>
      </c>
      <c r="B2262" s="3" t="str">
        <f t="shared" si="1"/>
        <v>Unavailable</v>
      </c>
      <c r="C2262" s="5">
        <v>3825.0</v>
      </c>
      <c r="D2262" s="3">
        <f>IFERROR(__xludf.DUMMYFUNCTION("IFERROR(
IF(REGEXMATCH(LOWER(O2262),""k""),
VALUE(REGEXEXTRACT(O2262,""[0-9]+""))*1000,
VALUE(REGEXEXTRACT(O2262,""[0-9]+""))
),
0
)"),0.0)</f>
        <v>0</v>
      </c>
      <c r="E2262" s="1" t="s">
        <v>11</v>
      </c>
      <c r="F2262" s="1" t="s">
        <v>20</v>
      </c>
      <c r="G2262" s="4" t="b">
        <f t="shared" si="2"/>
        <v>1</v>
      </c>
      <c r="H2262" s="1" t="str">
        <f t="shared" si="3"/>
        <v>Currently Unavailable</v>
      </c>
      <c r="I2262" s="1" t="str">
        <f t="shared" si="4"/>
        <v>No Badges</v>
      </c>
      <c r="J2262" s="3">
        <f t="shared" si="5"/>
        <v>0</v>
      </c>
    </row>
    <row r="2263">
      <c r="A2263" s="1" t="s">
        <v>1838</v>
      </c>
      <c r="B2263" s="3" t="str">
        <f t="shared" si="1"/>
        <v>Unavailable</v>
      </c>
      <c r="C2263" s="5">
        <v>4747.0</v>
      </c>
      <c r="D2263" s="3">
        <f>IFERROR(__xludf.DUMMYFUNCTION("IFERROR(
IF(REGEXMATCH(LOWER(O2263),""k""),
VALUE(REGEXEXTRACT(O2263,""[0-9]+""))*1000,
VALUE(REGEXEXTRACT(O2263,""[0-9]+""))
),
0
)"),0.0)</f>
        <v>0</v>
      </c>
      <c r="E2263" s="1" t="s">
        <v>11</v>
      </c>
      <c r="F2263" s="1" t="s">
        <v>20</v>
      </c>
      <c r="G2263" s="4" t="b">
        <f t="shared" si="2"/>
        <v>1</v>
      </c>
      <c r="H2263" s="1" t="str">
        <f t="shared" si="3"/>
        <v>Currently Unavailable</v>
      </c>
      <c r="I2263" s="1" t="str">
        <f t="shared" si="4"/>
        <v>No Badges</v>
      </c>
      <c r="J2263" s="3">
        <f t="shared" si="5"/>
        <v>0</v>
      </c>
    </row>
    <row r="2264">
      <c r="A2264" s="1" t="s">
        <v>1839</v>
      </c>
      <c r="B2264" s="3" t="str">
        <f t="shared" si="1"/>
        <v>Unavailable</v>
      </c>
      <c r="C2264" s="3">
        <v>251.0</v>
      </c>
      <c r="D2264" s="3">
        <f>IFERROR(__xludf.DUMMYFUNCTION("IFERROR(
IF(REGEXMATCH(LOWER(O2264),""k""),
VALUE(REGEXEXTRACT(O2264,""[0-9]+""))*1000,
VALUE(REGEXEXTRACT(O2264,""[0-9]+""))
),
0
)"),0.0)</f>
        <v>0</v>
      </c>
      <c r="E2264" s="1" t="s">
        <v>11</v>
      </c>
      <c r="F2264" s="1" t="s">
        <v>20</v>
      </c>
      <c r="G2264" s="4" t="b">
        <f t="shared" si="2"/>
        <v>1</v>
      </c>
      <c r="H2264" s="1" t="str">
        <f t="shared" si="3"/>
        <v>Currently Unavailable</v>
      </c>
      <c r="I2264" s="1" t="str">
        <f t="shared" si="4"/>
        <v>No Badges</v>
      </c>
      <c r="J2264" s="3">
        <f t="shared" si="5"/>
        <v>0</v>
      </c>
    </row>
    <row r="2265">
      <c r="A2265" s="1" t="s">
        <v>1284</v>
      </c>
      <c r="B2265" s="3" t="str">
        <f t="shared" si="1"/>
        <v>Unavailable</v>
      </c>
      <c r="C2265" s="3">
        <v>172.0</v>
      </c>
      <c r="D2265" s="3">
        <f>IFERROR(__xludf.DUMMYFUNCTION("IFERROR(
IF(REGEXMATCH(LOWER(O2265),""k""),
VALUE(REGEXEXTRACT(O2265,""[0-9]+""))*1000,
VALUE(REGEXEXTRACT(O2265,""[0-9]+""))
),
0
)"),0.0)</f>
        <v>0</v>
      </c>
      <c r="E2265" s="1" t="s">
        <v>11</v>
      </c>
      <c r="F2265" s="1" t="s">
        <v>12</v>
      </c>
      <c r="G2265" s="4" t="b">
        <f t="shared" si="2"/>
        <v>1</v>
      </c>
      <c r="H2265" s="1" t="str">
        <f t="shared" si="3"/>
        <v>Currently Unavailable</v>
      </c>
      <c r="I2265" s="1" t="str">
        <f t="shared" si="4"/>
        <v>No Badges</v>
      </c>
      <c r="J2265" s="3">
        <f t="shared" si="5"/>
        <v>0</v>
      </c>
    </row>
    <row r="2266">
      <c r="A2266" s="1" t="s">
        <v>1840</v>
      </c>
      <c r="B2266" s="3" t="str">
        <f t="shared" si="1"/>
        <v>Unavailable</v>
      </c>
      <c r="C2266" s="5">
        <v>2040.0</v>
      </c>
      <c r="D2266" s="3">
        <f>IFERROR(__xludf.DUMMYFUNCTION("IFERROR(
IF(REGEXMATCH(LOWER(O2266),""k""),
VALUE(REGEXEXTRACT(O2266,""[0-9]+""))*1000,
VALUE(REGEXEXTRACT(O2266,""[0-9]+""))
),
0
)"),0.0)</f>
        <v>0</v>
      </c>
      <c r="E2266" s="1" t="s">
        <v>11</v>
      </c>
      <c r="F2266" s="1" t="s">
        <v>20</v>
      </c>
      <c r="G2266" s="4" t="b">
        <f t="shared" si="2"/>
        <v>1</v>
      </c>
      <c r="H2266" s="1" t="str">
        <f t="shared" si="3"/>
        <v>Currently Unavailable</v>
      </c>
      <c r="I2266" s="1" t="str">
        <f t="shared" si="4"/>
        <v>No Badges</v>
      </c>
      <c r="J2266" s="3">
        <f t="shared" si="5"/>
        <v>0</v>
      </c>
    </row>
    <row r="2267">
      <c r="A2267" s="1" t="s">
        <v>1841</v>
      </c>
      <c r="B2267" s="3" t="str">
        <f t="shared" si="1"/>
        <v>Unavailable</v>
      </c>
      <c r="C2267" s="5">
        <v>9698.0</v>
      </c>
      <c r="D2267" s="3">
        <f>IFERROR(__xludf.DUMMYFUNCTION("IFERROR(
IF(REGEXMATCH(LOWER(O2267),""k""),
VALUE(REGEXEXTRACT(O2267,""[0-9]+""))*1000,
VALUE(REGEXEXTRACT(O2267,""[0-9]+""))
),
0
)"),0.0)</f>
        <v>0</v>
      </c>
      <c r="E2267" s="1" t="s">
        <v>11</v>
      </c>
      <c r="F2267" s="1" t="s">
        <v>20</v>
      </c>
      <c r="G2267" s="4" t="b">
        <f t="shared" si="2"/>
        <v>1</v>
      </c>
      <c r="H2267" s="1" t="str">
        <f t="shared" si="3"/>
        <v>Currently Unavailable</v>
      </c>
      <c r="I2267" s="1" t="str">
        <f t="shared" si="4"/>
        <v>No Badges</v>
      </c>
      <c r="J2267" s="3">
        <f t="shared" si="5"/>
        <v>0</v>
      </c>
    </row>
    <row r="2268">
      <c r="A2268" s="1" t="s">
        <v>1285</v>
      </c>
      <c r="B2268" s="3" t="str">
        <f t="shared" si="1"/>
        <v>Unavailable</v>
      </c>
      <c r="C2268" s="5">
        <v>3520.0</v>
      </c>
      <c r="D2268" s="3">
        <f>IFERROR(__xludf.DUMMYFUNCTION("IFERROR(
IF(REGEXMATCH(LOWER(O2268),""k""),
VALUE(REGEXEXTRACT(O2268,""[0-9]+""))*1000,
VALUE(REGEXEXTRACT(O2268,""[0-9]+""))
),
0
)"),0.0)</f>
        <v>0</v>
      </c>
      <c r="E2268" s="1" t="s">
        <v>11</v>
      </c>
      <c r="F2268" s="1" t="s">
        <v>12</v>
      </c>
      <c r="G2268" s="4" t="b">
        <f t="shared" si="2"/>
        <v>1</v>
      </c>
      <c r="H2268" s="1" t="str">
        <f t="shared" si="3"/>
        <v>Currently Unavailable</v>
      </c>
      <c r="I2268" s="1" t="str">
        <f t="shared" si="4"/>
        <v>No Badges</v>
      </c>
      <c r="J2268" s="3">
        <f t="shared" si="5"/>
        <v>0</v>
      </c>
    </row>
    <row r="2269">
      <c r="A2269" s="1" t="s">
        <v>1284</v>
      </c>
      <c r="B2269" s="3" t="str">
        <f t="shared" si="1"/>
        <v>Unavailable</v>
      </c>
      <c r="C2269" s="3">
        <v>172.0</v>
      </c>
      <c r="D2269" s="3">
        <f>IFERROR(__xludf.DUMMYFUNCTION("IFERROR(
IF(REGEXMATCH(LOWER(O2269),""k""),
VALUE(REGEXEXTRACT(O2269,""[0-9]+""))*1000,
VALUE(REGEXEXTRACT(O2269,""[0-9]+""))
),
0
)"),0.0)</f>
        <v>0</v>
      </c>
      <c r="E2269" s="1" t="s">
        <v>11</v>
      </c>
      <c r="F2269" s="1" t="s">
        <v>12</v>
      </c>
      <c r="G2269" s="4" t="b">
        <f t="shared" si="2"/>
        <v>1</v>
      </c>
      <c r="H2269" s="1" t="str">
        <f t="shared" si="3"/>
        <v>Currently Unavailable</v>
      </c>
      <c r="I2269" s="1" t="str">
        <f t="shared" si="4"/>
        <v>No Badges</v>
      </c>
      <c r="J2269" s="3">
        <f t="shared" si="5"/>
        <v>0</v>
      </c>
    </row>
    <row r="2270">
      <c r="A2270" s="1" t="s">
        <v>1842</v>
      </c>
      <c r="B2270" s="3" t="str">
        <f t="shared" si="1"/>
        <v>Unavailable</v>
      </c>
      <c r="C2270" s="3">
        <v>670.0</v>
      </c>
      <c r="D2270" s="3">
        <f>IFERROR(__xludf.DUMMYFUNCTION("IFERROR(
IF(REGEXMATCH(LOWER(O2270),""k""),
VALUE(REGEXEXTRACT(O2270,""[0-9]+""))*1000,
VALUE(REGEXEXTRACT(O2270,""[0-9]+""))
),
0
)"),0.0)</f>
        <v>0</v>
      </c>
      <c r="E2270" s="1" t="s">
        <v>11</v>
      </c>
      <c r="F2270" s="1" t="s">
        <v>20</v>
      </c>
      <c r="G2270" s="4" t="b">
        <f t="shared" si="2"/>
        <v>1</v>
      </c>
      <c r="H2270" s="1" t="str">
        <f t="shared" si="3"/>
        <v>Currently Unavailable</v>
      </c>
      <c r="I2270" s="1" t="str">
        <f t="shared" si="4"/>
        <v>No Badges</v>
      </c>
      <c r="J2270" s="3">
        <f t="shared" si="5"/>
        <v>0</v>
      </c>
    </row>
    <row r="2271">
      <c r="A2271" s="1" t="s">
        <v>1843</v>
      </c>
      <c r="B2271" s="3" t="str">
        <f t="shared" si="1"/>
        <v>Unavailable</v>
      </c>
      <c r="C2271" s="5">
        <v>1850.0</v>
      </c>
      <c r="D2271" s="3">
        <f>IFERROR(__xludf.DUMMYFUNCTION("IFERROR(
IF(REGEXMATCH(LOWER(O2271),""k""),
VALUE(REGEXEXTRACT(O2271,""[0-9]+""))*1000,
VALUE(REGEXEXTRACT(O2271,""[0-9]+""))
),
0
)"),0.0)</f>
        <v>0</v>
      </c>
      <c r="E2271" s="1" t="s">
        <v>11</v>
      </c>
      <c r="F2271" s="1" t="s">
        <v>20</v>
      </c>
      <c r="G2271" s="4" t="b">
        <f t="shared" si="2"/>
        <v>1</v>
      </c>
      <c r="H2271" s="1" t="str">
        <f t="shared" si="3"/>
        <v>Currently Unavailable</v>
      </c>
      <c r="I2271" s="1" t="str">
        <f t="shared" si="4"/>
        <v>No Badges</v>
      </c>
      <c r="J2271" s="3">
        <f t="shared" si="5"/>
        <v>0</v>
      </c>
    </row>
    <row r="2272">
      <c r="A2272" s="1" t="s">
        <v>1844</v>
      </c>
      <c r="B2272" s="3" t="str">
        <f t="shared" si="1"/>
        <v>Unavailable</v>
      </c>
      <c r="C2272" s="3">
        <v>87.0</v>
      </c>
      <c r="D2272" s="3">
        <f>IFERROR(__xludf.DUMMYFUNCTION("IFERROR(
IF(REGEXMATCH(LOWER(O2272),""k""),
VALUE(REGEXEXTRACT(O2272,""[0-9]+""))*1000,
VALUE(REGEXEXTRACT(O2272,""[0-9]+""))
),
0
)"),0.0)</f>
        <v>0</v>
      </c>
      <c r="E2272" s="1" t="s">
        <v>11</v>
      </c>
      <c r="F2272" s="1" t="s">
        <v>20</v>
      </c>
      <c r="G2272" s="4" t="b">
        <f t="shared" si="2"/>
        <v>1</v>
      </c>
      <c r="H2272" s="1" t="str">
        <f t="shared" si="3"/>
        <v>Currently Unavailable</v>
      </c>
      <c r="I2272" s="1" t="str">
        <f t="shared" si="4"/>
        <v>No Badges</v>
      </c>
      <c r="J2272" s="3">
        <f t="shared" si="5"/>
        <v>0</v>
      </c>
    </row>
    <row r="2273">
      <c r="A2273" s="1" t="s">
        <v>67</v>
      </c>
      <c r="B2273" s="3" t="str">
        <f t="shared" si="1"/>
        <v>Unavailable</v>
      </c>
      <c r="C2273" s="3">
        <v>264.0</v>
      </c>
      <c r="D2273" s="3">
        <f>IFERROR(__xludf.DUMMYFUNCTION("IFERROR(
IF(REGEXMATCH(LOWER(O2273),""k""),
VALUE(REGEXEXTRACT(O2273,""[0-9]+""))*1000,
VALUE(REGEXEXTRACT(O2273,""[0-9]+""))
),
0
)"),0.0)</f>
        <v>0</v>
      </c>
      <c r="E2273" s="1" t="s">
        <v>11</v>
      </c>
      <c r="F2273" s="1" t="s">
        <v>12</v>
      </c>
      <c r="G2273" s="4" t="b">
        <f t="shared" si="2"/>
        <v>1</v>
      </c>
      <c r="H2273" s="1" t="str">
        <f t="shared" si="3"/>
        <v>Currently Unavailable</v>
      </c>
      <c r="I2273" s="1" t="str">
        <f t="shared" si="4"/>
        <v>No Badges</v>
      </c>
      <c r="J2273" s="3">
        <f t="shared" si="5"/>
        <v>0</v>
      </c>
    </row>
    <row r="2274">
      <c r="A2274" s="1" t="s">
        <v>1845</v>
      </c>
      <c r="B2274" s="3" t="str">
        <f t="shared" si="1"/>
        <v>Unavailable</v>
      </c>
      <c r="C2274" s="5">
        <v>5427.0</v>
      </c>
      <c r="D2274" s="3">
        <f>IFERROR(__xludf.DUMMYFUNCTION("IFERROR(
IF(REGEXMATCH(LOWER(O2274),""k""),
VALUE(REGEXEXTRACT(O2274,""[0-9]+""))*1000,
VALUE(REGEXEXTRACT(O2274,""[0-9]+""))
),
0
)"),0.0)</f>
        <v>0</v>
      </c>
      <c r="E2274" s="1" t="s">
        <v>11</v>
      </c>
      <c r="F2274" s="1" t="s">
        <v>20</v>
      </c>
      <c r="G2274" s="4" t="b">
        <f t="shared" si="2"/>
        <v>1</v>
      </c>
      <c r="H2274" s="1" t="str">
        <f t="shared" si="3"/>
        <v>Currently Unavailable</v>
      </c>
      <c r="I2274" s="1" t="str">
        <f t="shared" si="4"/>
        <v>No Badges</v>
      </c>
      <c r="J2274" s="3">
        <f t="shared" si="5"/>
        <v>0</v>
      </c>
    </row>
    <row r="2275">
      <c r="A2275" s="1" t="s">
        <v>701</v>
      </c>
      <c r="B2275" s="3" t="str">
        <f t="shared" si="1"/>
        <v>Unavailable</v>
      </c>
      <c r="C2275" s="3">
        <v>8.0</v>
      </c>
      <c r="D2275" s="3">
        <f>IFERROR(__xludf.DUMMYFUNCTION("IFERROR(
IF(REGEXMATCH(LOWER(O2275),""k""),
VALUE(REGEXEXTRACT(O2275,""[0-9]+""))*1000,
VALUE(REGEXEXTRACT(O2275,""[0-9]+""))
),
0
)"),0.0)</f>
        <v>0</v>
      </c>
      <c r="E2275" s="1" t="s">
        <v>11</v>
      </c>
      <c r="F2275" s="1" t="s">
        <v>12</v>
      </c>
      <c r="G2275" s="4" t="b">
        <f t="shared" si="2"/>
        <v>1</v>
      </c>
      <c r="H2275" s="1" t="str">
        <f t="shared" si="3"/>
        <v>Currently Unavailable</v>
      </c>
      <c r="I2275" s="1" t="str">
        <f t="shared" si="4"/>
        <v>No Badges</v>
      </c>
      <c r="J2275" s="3">
        <f t="shared" si="5"/>
        <v>0</v>
      </c>
    </row>
    <row r="2276">
      <c r="A2276" s="1" t="s">
        <v>1846</v>
      </c>
      <c r="B2276" s="3" t="str">
        <f t="shared" si="1"/>
        <v>Unavailable</v>
      </c>
      <c r="C2276" s="3">
        <v>558.0</v>
      </c>
      <c r="D2276" s="3">
        <f>IFERROR(__xludf.DUMMYFUNCTION("IFERROR(
IF(REGEXMATCH(LOWER(O2276),""k""),
VALUE(REGEXEXTRACT(O2276,""[0-9]+""))*1000,
VALUE(REGEXEXTRACT(O2276,""[0-9]+""))
),
0
)"),0.0)</f>
        <v>0</v>
      </c>
      <c r="E2276" s="1" t="s">
        <v>11</v>
      </c>
      <c r="F2276" s="1" t="s">
        <v>20</v>
      </c>
      <c r="G2276" s="4" t="b">
        <f t="shared" si="2"/>
        <v>1</v>
      </c>
      <c r="H2276" s="1" t="str">
        <f t="shared" si="3"/>
        <v>Currently Unavailable</v>
      </c>
      <c r="I2276" s="1" t="str">
        <f t="shared" si="4"/>
        <v>No Badges</v>
      </c>
      <c r="J2276" s="3">
        <f t="shared" si="5"/>
        <v>0</v>
      </c>
    </row>
    <row r="2277">
      <c r="A2277" s="1" t="s">
        <v>1847</v>
      </c>
      <c r="B2277" s="3" t="str">
        <f t="shared" si="1"/>
        <v>Unavailable</v>
      </c>
      <c r="C2277" s="3">
        <v>617.0</v>
      </c>
      <c r="D2277" s="3">
        <f>IFERROR(__xludf.DUMMYFUNCTION("IFERROR(
IF(REGEXMATCH(LOWER(O2277),""k""),
VALUE(REGEXEXTRACT(O2277,""[0-9]+""))*1000,
VALUE(REGEXEXTRACT(O2277,""[0-9]+""))
),
0
)"),0.0)</f>
        <v>0</v>
      </c>
      <c r="E2277" s="1" t="s">
        <v>11</v>
      </c>
      <c r="F2277" s="1" t="s">
        <v>20</v>
      </c>
      <c r="G2277" s="4" t="b">
        <f t="shared" si="2"/>
        <v>1</v>
      </c>
      <c r="H2277" s="1" t="str">
        <f t="shared" si="3"/>
        <v>Currently Unavailable</v>
      </c>
      <c r="I2277" s="1" t="str">
        <f t="shared" si="4"/>
        <v>No Badges</v>
      </c>
      <c r="J2277" s="3">
        <f t="shared" si="5"/>
        <v>0</v>
      </c>
    </row>
    <row r="2278">
      <c r="A2278" s="1" t="s">
        <v>1285</v>
      </c>
      <c r="B2278" s="3" t="str">
        <f t="shared" si="1"/>
        <v>Unavailable</v>
      </c>
      <c r="C2278" s="5">
        <v>3520.0</v>
      </c>
      <c r="D2278" s="3">
        <f>IFERROR(__xludf.DUMMYFUNCTION("IFERROR(
IF(REGEXMATCH(LOWER(O2278),""k""),
VALUE(REGEXEXTRACT(O2278,""[0-9]+""))*1000,
VALUE(REGEXEXTRACT(O2278,""[0-9]+""))
),
0
)"),0.0)</f>
        <v>0</v>
      </c>
      <c r="E2278" s="1" t="s">
        <v>11</v>
      </c>
      <c r="F2278" s="1" t="s">
        <v>12</v>
      </c>
      <c r="G2278" s="4" t="b">
        <f t="shared" si="2"/>
        <v>1</v>
      </c>
      <c r="H2278" s="1" t="str">
        <f t="shared" si="3"/>
        <v>Currently Unavailable</v>
      </c>
      <c r="I2278" s="1" t="str">
        <f t="shared" si="4"/>
        <v>No Badges</v>
      </c>
      <c r="J2278" s="3">
        <f t="shared" si="5"/>
        <v>0</v>
      </c>
    </row>
    <row r="2279">
      <c r="A2279" s="1" t="s">
        <v>1848</v>
      </c>
      <c r="B2279" s="3" t="str">
        <f t="shared" si="1"/>
        <v>Unavailable</v>
      </c>
      <c r="C2279" s="5">
        <v>9206.0</v>
      </c>
      <c r="D2279" s="3">
        <f>IFERROR(__xludf.DUMMYFUNCTION("IFERROR(
IF(REGEXMATCH(LOWER(O2279),""k""),
VALUE(REGEXEXTRACT(O2279,""[0-9]+""))*1000,
VALUE(REGEXEXTRACT(O2279,""[0-9]+""))
),
0
)"),0.0)</f>
        <v>0</v>
      </c>
      <c r="E2279" s="1" t="s">
        <v>158</v>
      </c>
      <c r="F2279" s="1" t="s">
        <v>20</v>
      </c>
      <c r="G2279" s="4" t="b">
        <f t="shared" si="2"/>
        <v>1</v>
      </c>
      <c r="H2279" s="1" t="str">
        <f t="shared" si="3"/>
        <v>Currently Unavailable</v>
      </c>
      <c r="I2279" s="1" t="str">
        <f t="shared" si="4"/>
        <v>No Badges</v>
      </c>
      <c r="J2279" s="3">
        <f t="shared" si="5"/>
        <v>0</v>
      </c>
    </row>
    <row r="2280">
      <c r="A2280" s="1" t="s">
        <v>1849</v>
      </c>
      <c r="B2280" s="3" t="str">
        <f t="shared" si="1"/>
        <v>Unavailable</v>
      </c>
      <c r="C2280" s="5">
        <v>3131.0</v>
      </c>
      <c r="D2280" s="3">
        <f>IFERROR(__xludf.DUMMYFUNCTION("IFERROR(
IF(REGEXMATCH(LOWER(O2280),""k""),
VALUE(REGEXEXTRACT(O2280,""[0-9]+""))*1000,
VALUE(REGEXEXTRACT(O2280,""[0-9]+""))
),
0
)"),0.0)</f>
        <v>0</v>
      </c>
      <c r="E2280" s="1" t="s">
        <v>11</v>
      </c>
      <c r="F2280" s="1" t="s">
        <v>20</v>
      </c>
      <c r="G2280" s="4" t="b">
        <f t="shared" si="2"/>
        <v>1</v>
      </c>
      <c r="H2280" s="1" t="str">
        <f t="shared" si="3"/>
        <v>Currently Unavailable</v>
      </c>
      <c r="I2280" s="1" t="str">
        <f t="shared" si="4"/>
        <v>No Badges</v>
      </c>
      <c r="J2280" s="3">
        <f t="shared" si="5"/>
        <v>0</v>
      </c>
    </row>
    <row r="2281">
      <c r="A2281" s="1" t="s">
        <v>1850</v>
      </c>
      <c r="B2281" s="3" t="str">
        <f t="shared" si="1"/>
        <v>Unavailable</v>
      </c>
      <c r="C2281" s="3">
        <v>139.0</v>
      </c>
      <c r="D2281" s="3">
        <f>IFERROR(__xludf.DUMMYFUNCTION("IFERROR(
IF(REGEXMATCH(LOWER(O2281),""k""),
VALUE(REGEXEXTRACT(O2281,""[0-9]+""))*1000,
VALUE(REGEXEXTRACT(O2281,""[0-9]+""))
),
0
)"),0.0)</f>
        <v>0</v>
      </c>
      <c r="E2281" s="1" t="s">
        <v>11</v>
      </c>
      <c r="F2281" s="1" t="s">
        <v>20</v>
      </c>
      <c r="G2281" s="4" t="b">
        <f t="shared" si="2"/>
        <v>1</v>
      </c>
      <c r="H2281" s="1" t="str">
        <f t="shared" si="3"/>
        <v>Currently Unavailable</v>
      </c>
      <c r="I2281" s="1" t="str">
        <f t="shared" si="4"/>
        <v>No Badges</v>
      </c>
      <c r="J2281" s="3">
        <f t="shared" si="5"/>
        <v>0</v>
      </c>
    </row>
    <row r="2282">
      <c r="A2282" s="1" t="s">
        <v>1284</v>
      </c>
      <c r="B2282" s="3" t="str">
        <f t="shared" si="1"/>
        <v>Unavailable</v>
      </c>
      <c r="C2282" s="3">
        <v>172.0</v>
      </c>
      <c r="D2282" s="3">
        <f>IFERROR(__xludf.DUMMYFUNCTION("IFERROR(
IF(REGEXMATCH(LOWER(O2282),""k""),
VALUE(REGEXEXTRACT(O2282,""[0-9]+""))*1000,
VALUE(REGEXEXTRACT(O2282,""[0-9]+""))
),
0
)"),0.0)</f>
        <v>0</v>
      </c>
      <c r="E2282" s="1" t="s">
        <v>11</v>
      </c>
      <c r="F2282" s="1" t="s">
        <v>12</v>
      </c>
      <c r="G2282" s="4" t="b">
        <f t="shared" si="2"/>
        <v>1</v>
      </c>
      <c r="H2282" s="1" t="str">
        <f t="shared" si="3"/>
        <v>Currently Unavailable</v>
      </c>
      <c r="I2282" s="1" t="str">
        <f t="shared" si="4"/>
        <v>No Badges</v>
      </c>
      <c r="J2282" s="3">
        <f t="shared" si="5"/>
        <v>0</v>
      </c>
    </row>
    <row r="2283">
      <c r="A2283" s="1" t="s">
        <v>1851</v>
      </c>
      <c r="B2283" s="3" t="str">
        <f t="shared" si="1"/>
        <v>Unavailable</v>
      </c>
      <c r="C2283" s="5">
        <v>18685.0</v>
      </c>
      <c r="D2283" s="3">
        <f>IFERROR(__xludf.DUMMYFUNCTION("IFERROR(
IF(REGEXMATCH(LOWER(O2283),""k""),
VALUE(REGEXEXTRACT(O2283,""[0-9]+""))*1000,
VALUE(REGEXEXTRACT(O2283,""[0-9]+""))
),
0
)"),0.0)</f>
        <v>0</v>
      </c>
      <c r="E2283" s="1" t="s">
        <v>11</v>
      </c>
      <c r="F2283" s="1" t="s">
        <v>20</v>
      </c>
      <c r="G2283" s="4" t="b">
        <f t="shared" si="2"/>
        <v>1</v>
      </c>
      <c r="H2283" s="1" t="str">
        <f t="shared" si="3"/>
        <v>Currently Unavailable</v>
      </c>
      <c r="I2283" s="1" t="str">
        <f t="shared" si="4"/>
        <v>No Badges</v>
      </c>
      <c r="J2283" s="3">
        <f t="shared" si="5"/>
        <v>0</v>
      </c>
    </row>
    <row r="2284">
      <c r="A2284" s="1" t="s">
        <v>1852</v>
      </c>
      <c r="B2284" s="3" t="str">
        <f t="shared" si="1"/>
        <v>Unavailable</v>
      </c>
      <c r="C2284" s="5">
        <v>17712.0</v>
      </c>
      <c r="D2284" s="3">
        <f>IFERROR(__xludf.DUMMYFUNCTION("IFERROR(
IF(REGEXMATCH(LOWER(O2284),""k""),
VALUE(REGEXEXTRACT(O2284,""[0-9]+""))*1000,
VALUE(REGEXEXTRACT(O2284,""[0-9]+""))
),
0
)"),0.0)</f>
        <v>0</v>
      </c>
      <c r="E2284" s="1" t="s">
        <v>11</v>
      </c>
      <c r="F2284" s="1" t="s">
        <v>20</v>
      </c>
      <c r="G2284" s="4" t="b">
        <f t="shared" si="2"/>
        <v>1</v>
      </c>
      <c r="H2284" s="1" t="str">
        <f t="shared" si="3"/>
        <v>Currently Unavailable</v>
      </c>
      <c r="I2284" s="1" t="str">
        <f t="shared" si="4"/>
        <v>No Badges</v>
      </c>
      <c r="J2284" s="3">
        <f t="shared" si="5"/>
        <v>0</v>
      </c>
    </row>
    <row r="2285">
      <c r="A2285" s="1" t="s">
        <v>1853</v>
      </c>
      <c r="B2285" s="3" t="str">
        <f t="shared" si="1"/>
        <v>Unavailable</v>
      </c>
      <c r="C2285" s="5">
        <v>2695.0</v>
      </c>
      <c r="D2285" s="3">
        <f>IFERROR(__xludf.DUMMYFUNCTION("IFERROR(
IF(REGEXMATCH(LOWER(O2285),""k""),
VALUE(REGEXEXTRACT(O2285,""[0-9]+""))*1000,
VALUE(REGEXEXTRACT(O2285,""[0-9]+""))
),
0
)"),0.0)</f>
        <v>0</v>
      </c>
      <c r="E2285" s="1" t="s">
        <v>11</v>
      </c>
      <c r="F2285" s="1" t="s">
        <v>20</v>
      </c>
      <c r="G2285" s="4" t="b">
        <f t="shared" si="2"/>
        <v>1</v>
      </c>
      <c r="H2285" s="1" t="str">
        <f t="shared" si="3"/>
        <v>Currently Unavailable</v>
      </c>
      <c r="I2285" s="1" t="str">
        <f t="shared" si="4"/>
        <v>No Badges</v>
      </c>
      <c r="J2285" s="3">
        <f t="shared" si="5"/>
        <v>0</v>
      </c>
    </row>
    <row r="2286">
      <c r="A2286" s="1" t="s">
        <v>1854</v>
      </c>
      <c r="B2286" s="3" t="str">
        <f t="shared" si="1"/>
        <v>Unavailable</v>
      </c>
      <c r="C2286" s="5">
        <v>3373.0</v>
      </c>
      <c r="D2286" s="3">
        <f>IFERROR(__xludf.DUMMYFUNCTION("IFERROR(
IF(REGEXMATCH(LOWER(O2286),""k""),
VALUE(REGEXEXTRACT(O2286,""[0-9]+""))*1000,
VALUE(REGEXEXTRACT(O2286,""[0-9]+""))
),
0
)"),0.0)</f>
        <v>0</v>
      </c>
      <c r="E2286" s="1" t="s">
        <v>11</v>
      </c>
      <c r="F2286" s="1" t="s">
        <v>20</v>
      </c>
      <c r="G2286" s="4" t="b">
        <f t="shared" si="2"/>
        <v>1</v>
      </c>
      <c r="H2286" s="1" t="str">
        <f t="shared" si="3"/>
        <v>Currently Unavailable</v>
      </c>
      <c r="I2286" s="1" t="str">
        <f t="shared" si="4"/>
        <v>No Badges</v>
      </c>
      <c r="J2286" s="3">
        <f t="shared" si="5"/>
        <v>0</v>
      </c>
    </row>
    <row r="2287">
      <c r="A2287" s="1" t="s">
        <v>1855</v>
      </c>
      <c r="B2287" s="3" t="str">
        <f t="shared" si="1"/>
        <v>Unavailable</v>
      </c>
      <c r="C2287" s="3">
        <v>336.0</v>
      </c>
      <c r="D2287" s="3">
        <f>IFERROR(__xludf.DUMMYFUNCTION("IFERROR(
IF(REGEXMATCH(LOWER(O2287),""k""),
VALUE(REGEXEXTRACT(O2287,""[0-9]+""))*1000,
VALUE(REGEXEXTRACT(O2287,""[0-9]+""))
),
0
)"),0.0)</f>
        <v>0</v>
      </c>
      <c r="E2287" s="1" t="s">
        <v>11</v>
      </c>
      <c r="F2287" s="1" t="s">
        <v>20</v>
      </c>
      <c r="G2287" s="4" t="b">
        <f t="shared" si="2"/>
        <v>1</v>
      </c>
      <c r="H2287" s="1" t="str">
        <f t="shared" si="3"/>
        <v>Currently Unavailable</v>
      </c>
      <c r="I2287" s="1" t="str">
        <f t="shared" si="4"/>
        <v>No Badges</v>
      </c>
      <c r="J2287" s="3">
        <f t="shared" si="5"/>
        <v>0</v>
      </c>
    </row>
    <row r="2288">
      <c r="A2288" s="1" t="s">
        <v>1856</v>
      </c>
      <c r="B2288" s="3" t="str">
        <f t="shared" si="1"/>
        <v>Unavailable</v>
      </c>
      <c r="C2288" s="5">
        <v>2715.0</v>
      </c>
      <c r="D2288" s="3">
        <f>IFERROR(__xludf.DUMMYFUNCTION("IFERROR(
IF(REGEXMATCH(LOWER(O2288),""k""),
VALUE(REGEXEXTRACT(O2288,""[0-9]+""))*1000,
VALUE(REGEXEXTRACT(O2288,""[0-9]+""))
),
0
)"),0.0)</f>
        <v>0</v>
      </c>
      <c r="E2288" s="1" t="s">
        <v>11</v>
      </c>
      <c r="F2288" s="1" t="s">
        <v>20</v>
      </c>
      <c r="G2288" s="4" t="b">
        <f t="shared" si="2"/>
        <v>1</v>
      </c>
      <c r="H2288" s="1" t="str">
        <f t="shared" si="3"/>
        <v>Currently Unavailable</v>
      </c>
      <c r="I2288" s="1" t="str">
        <f t="shared" si="4"/>
        <v>No Badges</v>
      </c>
      <c r="J2288" s="3">
        <f t="shared" si="5"/>
        <v>0</v>
      </c>
    </row>
    <row r="2289">
      <c r="A2289" s="1" t="s">
        <v>88</v>
      </c>
      <c r="B2289" s="3" t="str">
        <f t="shared" si="1"/>
        <v>Unavailable</v>
      </c>
      <c r="C2289" s="3">
        <v>5.0</v>
      </c>
      <c r="D2289" s="3">
        <f>IFERROR(__xludf.DUMMYFUNCTION("IFERROR(
IF(REGEXMATCH(LOWER(O2289),""k""),
VALUE(REGEXEXTRACT(O2289,""[0-9]+""))*1000,
VALUE(REGEXEXTRACT(O2289,""[0-9]+""))
),
0
)"),0.0)</f>
        <v>0</v>
      </c>
      <c r="E2289" s="1" t="s">
        <v>11</v>
      </c>
      <c r="F2289" s="1" t="s">
        <v>12</v>
      </c>
      <c r="G2289" s="4" t="b">
        <f t="shared" si="2"/>
        <v>1</v>
      </c>
      <c r="H2289" s="1" t="str">
        <f t="shared" si="3"/>
        <v>Currently Unavailable</v>
      </c>
      <c r="I2289" s="1" t="str">
        <f t="shared" si="4"/>
        <v>No Badges</v>
      </c>
      <c r="J2289" s="3">
        <f t="shared" si="5"/>
        <v>0</v>
      </c>
    </row>
    <row r="2290">
      <c r="A2290" s="1" t="s">
        <v>40</v>
      </c>
      <c r="B2290" s="3" t="str">
        <f t="shared" si="1"/>
        <v>Unavailable</v>
      </c>
      <c r="C2290" s="3">
        <v>171.0</v>
      </c>
      <c r="D2290" s="3">
        <f>IFERROR(__xludf.DUMMYFUNCTION("IFERROR(
IF(REGEXMATCH(LOWER(O2290),""k""),
VALUE(REGEXEXTRACT(O2290,""[0-9]+""))*1000,
VALUE(REGEXEXTRACT(O2290,""[0-9]+""))
),
0
)"),0.0)</f>
        <v>0</v>
      </c>
      <c r="E2290" s="1" t="s">
        <v>11</v>
      </c>
      <c r="F2290" s="1" t="s">
        <v>12</v>
      </c>
      <c r="G2290" s="4" t="b">
        <f t="shared" si="2"/>
        <v>1</v>
      </c>
      <c r="H2290" s="1" t="str">
        <f t="shared" si="3"/>
        <v>Currently Unavailable</v>
      </c>
      <c r="I2290" s="1" t="str">
        <f t="shared" si="4"/>
        <v>No Badges</v>
      </c>
      <c r="J2290" s="3">
        <f t="shared" si="5"/>
        <v>0</v>
      </c>
    </row>
    <row r="2291">
      <c r="A2291" s="1" t="s">
        <v>1857</v>
      </c>
      <c r="B2291" s="3" t="str">
        <f t="shared" si="1"/>
        <v>Unavailable</v>
      </c>
      <c r="C2291" s="5">
        <v>29689.0</v>
      </c>
      <c r="D2291" s="3">
        <f>IFERROR(__xludf.DUMMYFUNCTION("IFERROR(
IF(REGEXMATCH(LOWER(O2291),""k""),
VALUE(REGEXEXTRACT(O2291,""[0-9]+""))*1000,
VALUE(REGEXEXTRACT(O2291,""[0-9]+""))
),
0
)"),0.0)</f>
        <v>0</v>
      </c>
      <c r="E2291" s="1" t="s">
        <v>11</v>
      </c>
      <c r="F2291" s="1" t="s">
        <v>20</v>
      </c>
      <c r="G2291" s="4" t="b">
        <f t="shared" si="2"/>
        <v>1</v>
      </c>
      <c r="H2291" s="1" t="str">
        <f t="shared" si="3"/>
        <v>Currently Unavailable</v>
      </c>
      <c r="I2291" s="1" t="str">
        <f t="shared" si="4"/>
        <v>No Badges</v>
      </c>
      <c r="J2291" s="3">
        <f t="shared" si="5"/>
        <v>0</v>
      </c>
    </row>
    <row r="2292">
      <c r="A2292" s="1" t="s">
        <v>1858</v>
      </c>
      <c r="B2292" s="3" t="str">
        <f t="shared" si="1"/>
        <v>Unavailable</v>
      </c>
      <c r="C2292" s="3">
        <v>724.0</v>
      </c>
      <c r="D2292" s="3">
        <f>IFERROR(__xludf.DUMMYFUNCTION("IFERROR(
IF(REGEXMATCH(LOWER(O2292),""k""),
VALUE(REGEXEXTRACT(O2292,""[0-9]+""))*1000,
VALUE(REGEXEXTRACT(O2292,""[0-9]+""))
),
0
)"),0.0)</f>
        <v>0</v>
      </c>
      <c r="E2292" s="1" t="s">
        <v>11</v>
      </c>
      <c r="F2292" s="1" t="s">
        <v>20</v>
      </c>
      <c r="G2292" s="4" t="b">
        <f t="shared" si="2"/>
        <v>1</v>
      </c>
      <c r="H2292" s="1" t="str">
        <f t="shared" si="3"/>
        <v>Currently Unavailable</v>
      </c>
      <c r="I2292" s="1" t="str">
        <f t="shared" si="4"/>
        <v>No Badges</v>
      </c>
      <c r="J2292" s="3">
        <f t="shared" si="5"/>
        <v>0</v>
      </c>
    </row>
    <row r="2293">
      <c r="A2293" s="1" t="s">
        <v>69</v>
      </c>
      <c r="B2293" s="3" t="str">
        <f t="shared" si="1"/>
        <v>Unavailable</v>
      </c>
      <c r="C2293" s="3">
        <v>45.0</v>
      </c>
      <c r="D2293" s="3">
        <f>IFERROR(__xludf.DUMMYFUNCTION("IFERROR(
IF(REGEXMATCH(LOWER(O2293),""k""),
VALUE(REGEXEXTRACT(O2293,""[0-9]+""))*1000,
VALUE(REGEXEXTRACT(O2293,""[0-9]+""))
),
0
)"),0.0)</f>
        <v>0</v>
      </c>
      <c r="E2293" s="1" t="s">
        <v>11</v>
      </c>
      <c r="F2293" s="1" t="s">
        <v>12</v>
      </c>
      <c r="G2293" s="4" t="b">
        <f t="shared" si="2"/>
        <v>1</v>
      </c>
      <c r="H2293" s="1" t="str">
        <f t="shared" si="3"/>
        <v>Currently Unavailable</v>
      </c>
      <c r="I2293" s="1" t="str">
        <f t="shared" si="4"/>
        <v>No Badges</v>
      </c>
      <c r="J2293" s="3">
        <f t="shared" si="5"/>
        <v>0</v>
      </c>
    </row>
    <row r="2294">
      <c r="A2294" s="1" t="s">
        <v>1285</v>
      </c>
      <c r="B2294" s="3" t="str">
        <f t="shared" si="1"/>
        <v>Unavailable</v>
      </c>
      <c r="C2294" s="5">
        <v>3520.0</v>
      </c>
      <c r="D2294" s="3">
        <f>IFERROR(__xludf.DUMMYFUNCTION("IFERROR(
IF(REGEXMATCH(LOWER(O2294),""k""),
VALUE(REGEXEXTRACT(O2294,""[0-9]+""))*1000,
VALUE(REGEXEXTRACT(O2294,""[0-9]+""))
),
0
)"),0.0)</f>
        <v>0</v>
      </c>
      <c r="E2294" s="1" t="s">
        <v>11</v>
      </c>
      <c r="F2294" s="1" t="s">
        <v>12</v>
      </c>
      <c r="G2294" s="4" t="b">
        <f t="shared" si="2"/>
        <v>1</v>
      </c>
      <c r="H2294" s="1" t="str">
        <f t="shared" si="3"/>
        <v>Currently Unavailable</v>
      </c>
      <c r="I2294" s="1" t="str">
        <f t="shared" si="4"/>
        <v>No Badges</v>
      </c>
      <c r="J2294" s="3">
        <f t="shared" si="5"/>
        <v>0</v>
      </c>
    </row>
    <row r="2295">
      <c r="A2295" s="1" t="s">
        <v>1284</v>
      </c>
      <c r="B2295" s="3" t="str">
        <f t="shared" si="1"/>
        <v>Unavailable</v>
      </c>
      <c r="C2295" s="3">
        <v>172.0</v>
      </c>
      <c r="D2295" s="3">
        <f>IFERROR(__xludf.DUMMYFUNCTION("IFERROR(
IF(REGEXMATCH(LOWER(O2295),""k""),
VALUE(REGEXEXTRACT(O2295,""[0-9]+""))*1000,
VALUE(REGEXEXTRACT(O2295,""[0-9]+""))
),
0
)"),0.0)</f>
        <v>0</v>
      </c>
      <c r="E2295" s="1" t="s">
        <v>11</v>
      </c>
      <c r="F2295" s="1" t="s">
        <v>12</v>
      </c>
      <c r="G2295" s="4" t="b">
        <f t="shared" si="2"/>
        <v>1</v>
      </c>
      <c r="H2295" s="1" t="str">
        <f t="shared" si="3"/>
        <v>Currently Unavailable</v>
      </c>
      <c r="I2295" s="1" t="str">
        <f t="shared" si="4"/>
        <v>No Badges</v>
      </c>
      <c r="J2295" s="3">
        <f t="shared" si="5"/>
        <v>0</v>
      </c>
    </row>
    <row r="2296">
      <c r="A2296" s="1" t="s">
        <v>1859</v>
      </c>
      <c r="B2296" s="3" t="str">
        <f t="shared" si="1"/>
        <v>Unavailable</v>
      </c>
      <c r="C2296" s="5">
        <v>5019.0</v>
      </c>
      <c r="D2296" s="3">
        <f>IFERROR(__xludf.DUMMYFUNCTION("IFERROR(
IF(REGEXMATCH(LOWER(O2296),""k""),
VALUE(REGEXEXTRACT(O2296,""[0-9]+""))*1000,
VALUE(REGEXEXTRACT(O2296,""[0-9]+""))
),
0
)"),0.0)</f>
        <v>0</v>
      </c>
      <c r="E2296" s="1" t="s">
        <v>11</v>
      </c>
      <c r="F2296" s="1" t="s">
        <v>20</v>
      </c>
      <c r="G2296" s="4" t="b">
        <f t="shared" si="2"/>
        <v>1</v>
      </c>
      <c r="H2296" s="1" t="str">
        <f t="shared" si="3"/>
        <v>Currently Unavailable</v>
      </c>
      <c r="I2296" s="1" t="str">
        <f t="shared" si="4"/>
        <v>No Badges</v>
      </c>
      <c r="J2296" s="3">
        <f t="shared" si="5"/>
        <v>0</v>
      </c>
    </row>
    <row r="2297">
      <c r="A2297" s="1" t="s">
        <v>1860</v>
      </c>
      <c r="B2297" s="3" t="str">
        <f t="shared" si="1"/>
        <v>Unavailable</v>
      </c>
      <c r="C2297" s="5">
        <v>2126.0</v>
      </c>
      <c r="D2297" s="3">
        <f>IFERROR(__xludf.DUMMYFUNCTION("IFERROR(
IF(REGEXMATCH(LOWER(O2297),""k""),
VALUE(REGEXEXTRACT(O2297,""[0-9]+""))*1000,
VALUE(REGEXEXTRACT(O2297,""[0-9]+""))
),
0
)"),0.0)</f>
        <v>0</v>
      </c>
      <c r="E2297" s="1" t="s">
        <v>11</v>
      </c>
      <c r="F2297" s="1" t="s">
        <v>20</v>
      </c>
      <c r="G2297" s="4" t="b">
        <f t="shared" si="2"/>
        <v>1</v>
      </c>
      <c r="H2297" s="1" t="str">
        <f t="shared" si="3"/>
        <v>Currently Unavailable</v>
      </c>
      <c r="I2297" s="1" t="str">
        <f t="shared" si="4"/>
        <v>No Badges</v>
      </c>
      <c r="J2297" s="3">
        <f t="shared" si="5"/>
        <v>0</v>
      </c>
    </row>
    <row r="2298">
      <c r="A2298" s="1" t="s">
        <v>1861</v>
      </c>
      <c r="B2298" s="3" t="str">
        <f t="shared" si="1"/>
        <v>Unavailable</v>
      </c>
      <c r="C2298" s="5">
        <v>2643.0</v>
      </c>
      <c r="D2298" s="3">
        <f>IFERROR(__xludf.DUMMYFUNCTION("IFERROR(
IF(REGEXMATCH(LOWER(O2298),""k""),
VALUE(REGEXEXTRACT(O2298,""[0-9]+""))*1000,
VALUE(REGEXEXTRACT(O2298,""[0-9]+""))
),
0
)"),0.0)</f>
        <v>0</v>
      </c>
      <c r="E2298" s="1" t="s">
        <v>11</v>
      </c>
      <c r="F2298" s="1" t="s">
        <v>20</v>
      </c>
      <c r="G2298" s="4" t="b">
        <f t="shared" si="2"/>
        <v>1</v>
      </c>
      <c r="H2298" s="1" t="str">
        <f t="shared" si="3"/>
        <v>Currently Unavailable</v>
      </c>
      <c r="I2298" s="1" t="str">
        <f t="shared" si="4"/>
        <v>No Badges</v>
      </c>
      <c r="J2298" s="3">
        <f t="shared" si="5"/>
        <v>0</v>
      </c>
    </row>
    <row r="2299">
      <c r="A2299" s="1" t="s">
        <v>1862</v>
      </c>
      <c r="B2299" s="3" t="str">
        <f t="shared" si="1"/>
        <v>Unavailable</v>
      </c>
      <c r="C2299" s="5">
        <v>25245.0</v>
      </c>
      <c r="D2299" s="3">
        <f>IFERROR(__xludf.DUMMYFUNCTION("IFERROR(
IF(REGEXMATCH(LOWER(O2299),""k""),
VALUE(REGEXEXTRACT(O2299,""[0-9]+""))*1000,
VALUE(REGEXEXTRACT(O2299,""[0-9]+""))
),
0
)"),0.0)</f>
        <v>0</v>
      </c>
      <c r="E2299" s="1" t="s">
        <v>11</v>
      </c>
      <c r="F2299" s="1" t="s">
        <v>20</v>
      </c>
      <c r="G2299" s="4" t="b">
        <f t="shared" si="2"/>
        <v>1</v>
      </c>
      <c r="H2299" s="1" t="str">
        <f t="shared" si="3"/>
        <v>Currently Unavailable</v>
      </c>
      <c r="I2299" s="1" t="str">
        <f t="shared" si="4"/>
        <v>No Badges</v>
      </c>
      <c r="J2299" s="3">
        <f t="shared" si="5"/>
        <v>0</v>
      </c>
    </row>
    <row r="2300">
      <c r="A2300" s="1" t="s">
        <v>1285</v>
      </c>
      <c r="B2300" s="3" t="str">
        <f t="shared" si="1"/>
        <v>Unavailable</v>
      </c>
      <c r="C2300" s="5">
        <v>3520.0</v>
      </c>
      <c r="D2300" s="3">
        <f>IFERROR(__xludf.DUMMYFUNCTION("IFERROR(
IF(REGEXMATCH(LOWER(O2300),""k""),
VALUE(REGEXEXTRACT(O2300,""[0-9]+""))*1000,
VALUE(REGEXEXTRACT(O2300,""[0-9]+""))
),
0
)"),0.0)</f>
        <v>0</v>
      </c>
      <c r="E2300" s="1" t="s">
        <v>11</v>
      </c>
      <c r="F2300" s="1" t="s">
        <v>12</v>
      </c>
      <c r="G2300" s="4" t="b">
        <f t="shared" si="2"/>
        <v>1</v>
      </c>
      <c r="H2300" s="1" t="str">
        <f t="shared" si="3"/>
        <v>Currently Unavailable</v>
      </c>
      <c r="I2300" s="1" t="str">
        <f t="shared" si="4"/>
        <v>No Badges</v>
      </c>
      <c r="J2300" s="3">
        <f t="shared" si="5"/>
        <v>0</v>
      </c>
    </row>
    <row r="2301">
      <c r="A2301" s="1" t="s">
        <v>1863</v>
      </c>
      <c r="B2301" s="3" t="str">
        <f t="shared" si="1"/>
        <v>Unavailable</v>
      </c>
      <c r="C2301" s="3">
        <v>409.0</v>
      </c>
      <c r="D2301" s="3">
        <f>IFERROR(__xludf.DUMMYFUNCTION("IFERROR(
IF(REGEXMATCH(LOWER(O2301),""k""),
VALUE(REGEXEXTRACT(O2301,""[0-9]+""))*1000,
VALUE(REGEXEXTRACT(O2301,""[0-9]+""))
),
0
)"),0.0)</f>
        <v>0</v>
      </c>
      <c r="E2301" s="1" t="s">
        <v>11</v>
      </c>
      <c r="F2301" s="1" t="s">
        <v>20</v>
      </c>
      <c r="G2301" s="4" t="b">
        <f t="shared" si="2"/>
        <v>1</v>
      </c>
      <c r="H2301" s="1" t="str">
        <f t="shared" si="3"/>
        <v>Currently Unavailable</v>
      </c>
      <c r="I2301" s="1" t="str">
        <f t="shared" si="4"/>
        <v>No Badges</v>
      </c>
      <c r="J2301" s="3">
        <f t="shared" si="5"/>
        <v>0</v>
      </c>
    </row>
    <row r="2302">
      <c r="A2302" s="1" t="s">
        <v>1864</v>
      </c>
      <c r="B2302" s="3" t="str">
        <f t="shared" si="1"/>
        <v>Unavailable</v>
      </c>
      <c r="C2302" s="5">
        <v>1669.0</v>
      </c>
      <c r="D2302" s="3">
        <f>IFERROR(__xludf.DUMMYFUNCTION("IFERROR(
IF(REGEXMATCH(LOWER(O2302),""k""),
VALUE(REGEXEXTRACT(O2302,""[0-9]+""))*1000,
VALUE(REGEXEXTRACT(O2302,""[0-9]+""))
),
0
)"),0.0)</f>
        <v>0</v>
      </c>
      <c r="E2302" s="1" t="s">
        <v>11</v>
      </c>
      <c r="F2302" s="1" t="s">
        <v>20</v>
      </c>
      <c r="G2302" s="4" t="b">
        <f t="shared" si="2"/>
        <v>1</v>
      </c>
      <c r="H2302" s="1" t="str">
        <f t="shared" si="3"/>
        <v>Currently Unavailable</v>
      </c>
      <c r="I2302" s="1" t="str">
        <f t="shared" si="4"/>
        <v>No Badges</v>
      </c>
      <c r="J2302" s="3">
        <f t="shared" si="5"/>
        <v>0</v>
      </c>
    </row>
    <row r="2303">
      <c r="A2303" s="1" t="s">
        <v>1865</v>
      </c>
      <c r="B2303" s="3" t="str">
        <f t="shared" si="1"/>
        <v>Unavailable</v>
      </c>
      <c r="C2303" s="5">
        <v>7101.0</v>
      </c>
      <c r="D2303" s="3">
        <f>IFERROR(__xludf.DUMMYFUNCTION("IFERROR(
IF(REGEXMATCH(LOWER(O2303),""k""),
VALUE(REGEXEXTRACT(O2303,""[0-9]+""))*1000,
VALUE(REGEXEXTRACT(O2303,""[0-9]+""))
),
0
)"),0.0)</f>
        <v>0</v>
      </c>
      <c r="E2303" s="1" t="s">
        <v>18</v>
      </c>
      <c r="F2303" s="1" t="s">
        <v>20</v>
      </c>
      <c r="G2303" s="4" t="b">
        <f t="shared" si="2"/>
        <v>1</v>
      </c>
      <c r="H2303" s="1" t="str">
        <f t="shared" si="3"/>
        <v>Currently Unavailable</v>
      </c>
      <c r="I2303" s="1" t="str">
        <f t="shared" si="4"/>
        <v>No Badges</v>
      </c>
      <c r="J2303" s="3">
        <f t="shared" si="5"/>
        <v>0</v>
      </c>
    </row>
    <row r="2304">
      <c r="A2304" s="1" t="s">
        <v>1866</v>
      </c>
      <c r="B2304" s="3" t="str">
        <f t="shared" si="1"/>
        <v>Unavailable</v>
      </c>
      <c r="C2304" s="5">
        <v>7036.0</v>
      </c>
      <c r="D2304" s="3">
        <f>IFERROR(__xludf.DUMMYFUNCTION("IFERROR(
IF(REGEXMATCH(LOWER(O2304),""k""),
VALUE(REGEXEXTRACT(O2304,""[0-9]+""))*1000,
VALUE(REGEXEXTRACT(O2304,""[0-9]+""))
),
0
)"),0.0)</f>
        <v>0</v>
      </c>
      <c r="E2304" s="1" t="s">
        <v>11</v>
      </c>
      <c r="F2304" s="1" t="s">
        <v>20</v>
      </c>
      <c r="G2304" s="4" t="b">
        <f t="shared" si="2"/>
        <v>1</v>
      </c>
      <c r="H2304" s="1" t="str">
        <f t="shared" si="3"/>
        <v>Currently Unavailable</v>
      </c>
      <c r="I2304" s="1" t="str">
        <f t="shared" si="4"/>
        <v>No Badges</v>
      </c>
      <c r="J2304" s="3">
        <f t="shared" si="5"/>
        <v>0</v>
      </c>
    </row>
    <row r="2305">
      <c r="A2305" s="1" t="s">
        <v>1867</v>
      </c>
      <c r="B2305" s="3" t="str">
        <f t="shared" si="1"/>
        <v>Unavailable</v>
      </c>
      <c r="C2305" s="3">
        <v>140.0</v>
      </c>
      <c r="D2305" s="3">
        <f>IFERROR(__xludf.DUMMYFUNCTION("IFERROR(
IF(REGEXMATCH(LOWER(O2305),""k""),
VALUE(REGEXEXTRACT(O2305,""[0-9]+""))*1000,
VALUE(REGEXEXTRACT(O2305,""[0-9]+""))
),
0
)"),0.0)</f>
        <v>0</v>
      </c>
      <c r="E2305" s="1" t="s">
        <v>11</v>
      </c>
      <c r="F2305" s="1" t="s">
        <v>20</v>
      </c>
      <c r="G2305" s="4" t="b">
        <f t="shared" si="2"/>
        <v>1</v>
      </c>
      <c r="H2305" s="1" t="str">
        <f t="shared" si="3"/>
        <v>Currently Unavailable</v>
      </c>
      <c r="I2305" s="1" t="str">
        <f t="shared" si="4"/>
        <v>No Badges</v>
      </c>
      <c r="J2305" s="3">
        <f t="shared" si="5"/>
        <v>0</v>
      </c>
    </row>
    <row r="2306">
      <c r="A2306" s="1" t="s">
        <v>67</v>
      </c>
      <c r="B2306" s="3" t="str">
        <f t="shared" si="1"/>
        <v>Unavailable</v>
      </c>
      <c r="C2306" s="3">
        <v>264.0</v>
      </c>
      <c r="D2306" s="3">
        <f>IFERROR(__xludf.DUMMYFUNCTION("IFERROR(
IF(REGEXMATCH(LOWER(O2306),""k""),
VALUE(REGEXEXTRACT(O2306,""[0-9]+""))*1000,
VALUE(REGEXEXTRACT(O2306,""[0-9]+""))
),
0
)"),0.0)</f>
        <v>0</v>
      </c>
      <c r="E2306" s="1" t="s">
        <v>11</v>
      </c>
      <c r="F2306" s="1" t="s">
        <v>12</v>
      </c>
      <c r="G2306" s="4" t="b">
        <f t="shared" si="2"/>
        <v>1</v>
      </c>
      <c r="H2306" s="1" t="str">
        <f t="shared" si="3"/>
        <v>Currently Unavailable</v>
      </c>
      <c r="I2306" s="1" t="str">
        <f t="shared" si="4"/>
        <v>No Badges</v>
      </c>
      <c r="J2306" s="3">
        <f t="shared" si="5"/>
        <v>0</v>
      </c>
    </row>
    <row r="2307">
      <c r="A2307" s="1" t="s">
        <v>1868</v>
      </c>
      <c r="B2307" s="3" t="str">
        <f t="shared" si="1"/>
        <v>Unavailable</v>
      </c>
      <c r="C2307" s="5">
        <v>4635.0</v>
      </c>
      <c r="D2307" s="3">
        <f>IFERROR(__xludf.DUMMYFUNCTION("IFERROR(
IF(REGEXMATCH(LOWER(O2307),""k""),
VALUE(REGEXEXTRACT(O2307,""[0-9]+""))*1000,
VALUE(REGEXEXTRACT(O2307,""[0-9]+""))
),
0
)"),0.0)</f>
        <v>0</v>
      </c>
      <c r="E2307" s="1" t="s">
        <v>11</v>
      </c>
      <c r="F2307" s="1" t="s">
        <v>20</v>
      </c>
      <c r="G2307" s="4" t="b">
        <f t="shared" si="2"/>
        <v>1</v>
      </c>
      <c r="H2307" s="1" t="str">
        <f t="shared" si="3"/>
        <v>Currently Unavailable</v>
      </c>
      <c r="I2307" s="1" t="str">
        <f t="shared" si="4"/>
        <v>No Badges</v>
      </c>
      <c r="J2307" s="3">
        <f t="shared" si="5"/>
        <v>0</v>
      </c>
    </row>
    <row r="2308">
      <c r="A2308" s="1" t="s">
        <v>701</v>
      </c>
      <c r="B2308" s="3" t="str">
        <f t="shared" si="1"/>
        <v>Unavailable</v>
      </c>
      <c r="C2308" s="3">
        <v>8.0</v>
      </c>
      <c r="D2308" s="3">
        <f>IFERROR(__xludf.DUMMYFUNCTION("IFERROR(
IF(REGEXMATCH(LOWER(O2308),""k""),
VALUE(REGEXEXTRACT(O2308,""[0-9]+""))*1000,
VALUE(REGEXEXTRACT(O2308,""[0-9]+""))
),
0
)"),0.0)</f>
        <v>0</v>
      </c>
      <c r="E2308" s="1" t="s">
        <v>11</v>
      </c>
      <c r="F2308" s="1" t="s">
        <v>12</v>
      </c>
      <c r="G2308" s="4" t="b">
        <f t="shared" si="2"/>
        <v>1</v>
      </c>
      <c r="H2308" s="1" t="str">
        <f t="shared" si="3"/>
        <v>Currently Unavailable</v>
      </c>
      <c r="I2308" s="1" t="str">
        <f t="shared" si="4"/>
        <v>No Badges</v>
      </c>
      <c r="J2308" s="3">
        <f t="shared" si="5"/>
        <v>0</v>
      </c>
    </row>
    <row r="2309">
      <c r="A2309" s="1" t="s">
        <v>1284</v>
      </c>
      <c r="B2309" s="3" t="str">
        <f t="shared" si="1"/>
        <v>Unavailable</v>
      </c>
      <c r="C2309" s="3">
        <v>172.0</v>
      </c>
      <c r="D2309" s="3">
        <f>IFERROR(__xludf.DUMMYFUNCTION("IFERROR(
IF(REGEXMATCH(LOWER(O2309),""k""),
VALUE(REGEXEXTRACT(O2309,""[0-9]+""))*1000,
VALUE(REGEXEXTRACT(O2309,""[0-9]+""))
),
0
)"),0.0)</f>
        <v>0</v>
      </c>
      <c r="E2309" s="1" t="s">
        <v>11</v>
      </c>
      <c r="F2309" s="1" t="s">
        <v>12</v>
      </c>
      <c r="G2309" s="4" t="b">
        <f t="shared" si="2"/>
        <v>1</v>
      </c>
      <c r="H2309" s="1" t="str">
        <f t="shared" si="3"/>
        <v>Currently Unavailable</v>
      </c>
      <c r="I2309" s="1" t="str">
        <f t="shared" si="4"/>
        <v>No Badges</v>
      </c>
      <c r="J2309" s="3">
        <f t="shared" si="5"/>
        <v>0</v>
      </c>
    </row>
    <row r="2310">
      <c r="A2310" s="1" t="s">
        <v>1869</v>
      </c>
      <c r="B2310" s="3" t="str">
        <f t="shared" si="1"/>
        <v>Unavailable</v>
      </c>
      <c r="C2310" s="5">
        <v>2765.0</v>
      </c>
      <c r="D2310" s="3">
        <f>IFERROR(__xludf.DUMMYFUNCTION("IFERROR(
IF(REGEXMATCH(LOWER(O2310),""k""),
VALUE(REGEXEXTRACT(O2310,""[0-9]+""))*1000,
VALUE(REGEXEXTRACT(O2310,""[0-9]+""))
),
0
)"),0.0)</f>
        <v>0</v>
      </c>
      <c r="E2310" s="1" t="s">
        <v>11</v>
      </c>
      <c r="F2310" s="1" t="s">
        <v>20</v>
      </c>
      <c r="G2310" s="4" t="b">
        <f t="shared" si="2"/>
        <v>1</v>
      </c>
      <c r="H2310" s="1" t="str">
        <f t="shared" si="3"/>
        <v>Currently Unavailable</v>
      </c>
      <c r="I2310" s="1" t="str">
        <f t="shared" si="4"/>
        <v>No Badges</v>
      </c>
      <c r="J2310" s="3">
        <f t="shared" si="5"/>
        <v>0</v>
      </c>
    </row>
    <row r="2311">
      <c r="A2311" s="1" t="s">
        <v>1870</v>
      </c>
      <c r="B2311" s="3" t="str">
        <f t="shared" si="1"/>
        <v>Unavailable</v>
      </c>
      <c r="C2311" s="5">
        <v>5442.0</v>
      </c>
      <c r="D2311" s="3">
        <f>IFERROR(__xludf.DUMMYFUNCTION("IFERROR(
IF(REGEXMATCH(LOWER(O2311),""k""),
VALUE(REGEXEXTRACT(O2311,""[0-9]+""))*1000,
VALUE(REGEXEXTRACT(O2311,""[0-9]+""))
),
0
)"),0.0)</f>
        <v>0</v>
      </c>
      <c r="E2311" s="1" t="s">
        <v>11</v>
      </c>
      <c r="F2311" s="1" t="s">
        <v>20</v>
      </c>
      <c r="G2311" s="4" t="b">
        <f t="shared" si="2"/>
        <v>1</v>
      </c>
      <c r="H2311" s="1" t="str">
        <f t="shared" si="3"/>
        <v>Currently Unavailable</v>
      </c>
      <c r="I2311" s="1" t="str">
        <f t="shared" si="4"/>
        <v>No Badges</v>
      </c>
      <c r="J2311" s="3">
        <f t="shared" si="5"/>
        <v>0</v>
      </c>
    </row>
    <row r="2312">
      <c r="A2312" s="1" t="s">
        <v>1871</v>
      </c>
      <c r="B2312" s="3" t="str">
        <f t="shared" si="1"/>
        <v>Unavailable</v>
      </c>
      <c r="C2312" s="5">
        <v>4186.0</v>
      </c>
      <c r="D2312" s="3">
        <f>IFERROR(__xludf.DUMMYFUNCTION("IFERROR(
IF(REGEXMATCH(LOWER(O2312),""k""),
VALUE(REGEXEXTRACT(O2312,""[0-9]+""))*1000,
VALUE(REGEXEXTRACT(O2312,""[0-9]+""))
),
0
)"),0.0)</f>
        <v>0</v>
      </c>
      <c r="E2312" s="1" t="s">
        <v>11</v>
      </c>
      <c r="F2312" s="1" t="s">
        <v>20</v>
      </c>
      <c r="G2312" s="4" t="b">
        <f t="shared" si="2"/>
        <v>1</v>
      </c>
      <c r="H2312" s="1" t="str">
        <f t="shared" si="3"/>
        <v>Currently Unavailable</v>
      </c>
      <c r="I2312" s="1" t="str">
        <f t="shared" si="4"/>
        <v>No Badges</v>
      </c>
      <c r="J2312" s="3">
        <f t="shared" si="5"/>
        <v>0</v>
      </c>
    </row>
    <row r="2313">
      <c r="A2313" s="1" t="s">
        <v>1872</v>
      </c>
      <c r="B2313" s="3" t="str">
        <f t="shared" si="1"/>
        <v>Unavailable</v>
      </c>
      <c r="C2313" s="3">
        <v>78.0</v>
      </c>
      <c r="D2313" s="3">
        <f>IFERROR(__xludf.DUMMYFUNCTION("IFERROR(
IF(REGEXMATCH(LOWER(O2313),""k""),
VALUE(REGEXEXTRACT(O2313,""[0-9]+""))*1000,
VALUE(REGEXEXTRACT(O2313,""[0-9]+""))
),
0
)"),0.0)</f>
        <v>0</v>
      </c>
      <c r="E2313" s="1" t="s">
        <v>11</v>
      </c>
      <c r="F2313" s="1" t="s">
        <v>20</v>
      </c>
      <c r="G2313" s="4" t="b">
        <f t="shared" si="2"/>
        <v>1</v>
      </c>
      <c r="H2313" s="1" t="str">
        <f t="shared" si="3"/>
        <v>Currently Unavailable</v>
      </c>
      <c r="I2313" s="1" t="str">
        <f t="shared" si="4"/>
        <v>No Badges</v>
      </c>
      <c r="J2313" s="3">
        <f t="shared" si="5"/>
        <v>0</v>
      </c>
    </row>
    <row r="2314">
      <c r="A2314" s="1" t="s">
        <v>1873</v>
      </c>
      <c r="B2314" s="3" t="str">
        <f t="shared" si="1"/>
        <v>Unavailable</v>
      </c>
      <c r="C2314" s="5">
        <v>8884.0</v>
      </c>
      <c r="D2314" s="3">
        <f>IFERROR(__xludf.DUMMYFUNCTION("IFERROR(
IF(REGEXMATCH(LOWER(O2314),""k""),
VALUE(REGEXEXTRACT(O2314,""[0-9]+""))*1000,
VALUE(REGEXEXTRACT(O2314,""[0-9]+""))
),
0
)"),0.0)</f>
        <v>0</v>
      </c>
      <c r="E2314" s="1" t="s">
        <v>11</v>
      </c>
      <c r="F2314" s="1" t="s">
        <v>20</v>
      </c>
      <c r="G2314" s="4" t="b">
        <f t="shared" si="2"/>
        <v>1</v>
      </c>
      <c r="H2314" s="1" t="str">
        <f t="shared" si="3"/>
        <v>Currently Unavailable</v>
      </c>
      <c r="I2314" s="1" t="str">
        <f t="shared" si="4"/>
        <v>No Badges</v>
      </c>
      <c r="J2314" s="3">
        <f t="shared" si="5"/>
        <v>0</v>
      </c>
    </row>
    <row r="2315">
      <c r="A2315" s="1" t="s">
        <v>1874</v>
      </c>
      <c r="B2315" s="3" t="str">
        <f t="shared" si="1"/>
        <v>Unavailable</v>
      </c>
      <c r="C2315" s="5">
        <v>2531.0</v>
      </c>
      <c r="D2315" s="3">
        <f>IFERROR(__xludf.DUMMYFUNCTION("IFERROR(
IF(REGEXMATCH(LOWER(O2315),""k""),
VALUE(REGEXEXTRACT(O2315,""[0-9]+""))*1000,
VALUE(REGEXEXTRACT(O2315,""[0-9]+""))
),
0
)"),0.0)</f>
        <v>0</v>
      </c>
      <c r="E2315" s="1" t="s">
        <v>11</v>
      </c>
      <c r="F2315" s="1" t="s">
        <v>20</v>
      </c>
      <c r="G2315" s="4" t="b">
        <f t="shared" si="2"/>
        <v>1</v>
      </c>
      <c r="H2315" s="1" t="str">
        <f t="shared" si="3"/>
        <v>Currently Unavailable</v>
      </c>
      <c r="I2315" s="1" t="str">
        <f t="shared" si="4"/>
        <v>No Badges</v>
      </c>
      <c r="J2315" s="3">
        <f t="shared" si="5"/>
        <v>0</v>
      </c>
    </row>
    <row r="2316">
      <c r="A2316" s="1" t="s">
        <v>1875</v>
      </c>
      <c r="B2316" s="3" t="str">
        <f t="shared" si="1"/>
        <v>Unavailable</v>
      </c>
      <c r="C2316" s="5">
        <v>10133.0</v>
      </c>
      <c r="D2316" s="3">
        <f>IFERROR(__xludf.DUMMYFUNCTION("IFERROR(
IF(REGEXMATCH(LOWER(O2316),""k""),
VALUE(REGEXEXTRACT(O2316,""[0-9]+""))*1000,
VALUE(REGEXEXTRACT(O2316,""[0-9]+""))
),
0
)"),0.0)</f>
        <v>0</v>
      </c>
      <c r="E2316" s="1" t="s">
        <v>11</v>
      </c>
      <c r="F2316" s="1" t="s">
        <v>20</v>
      </c>
      <c r="G2316" s="4" t="b">
        <f t="shared" si="2"/>
        <v>1</v>
      </c>
      <c r="H2316" s="1" t="str">
        <f t="shared" si="3"/>
        <v>Currently Unavailable</v>
      </c>
      <c r="I2316" s="1" t="str">
        <f t="shared" si="4"/>
        <v>No Badges</v>
      </c>
      <c r="J2316" s="3">
        <f t="shared" si="5"/>
        <v>0</v>
      </c>
    </row>
    <row r="2317">
      <c r="A2317" s="1" t="s">
        <v>1285</v>
      </c>
      <c r="B2317" s="3" t="str">
        <f t="shared" si="1"/>
        <v>Unavailable</v>
      </c>
      <c r="C2317" s="5">
        <v>3520.0</v>
      </c>
      <c r="D2317" s="3">
        <f>IFERROR(__xludf.DUMMYFUNCTION("IFERROR(
IF(REGEXMATCH(LOWER(O2317),""k""),
VALUE(REGEXEXTRACT(O2317,""[0-9]+""))*1000,
VALUE(REGEXEXTRACT(O2317,""[0-9]+""))
),
0
)"),0.0)</f>
        <v>0</v>
      </c>
      <c r="E2317" s="1" t="s">
        <v>11</v>
      </c>
      <c r="F2317" s="1" t="s">
        <v>12</v>
      </c>
      <c r="G2317" s="4" t="b">
        <f t="shared" si="2"/>
        <v>1</v>
      </c>
      <c r="H2317" s="1" t="str">
        <f t="shared" si="3"/>
        <v>Currently Unavailable</v>
      </c>
      <c r="I2317" s="1" t="str">
        <f t="shared" si="4"/>
        <v>No Badges</v>
      </c>
      <c r="J2317" s="3">
        <f t="shared" si="5"/>
        <v>0</v>
      </c>
    </row>
    <row r="2318">
      <c r="A2318" s="1" t="s">
        <v>1284</v>
      </c>
      <c r="B2318" s="3" t="str">
        <f t="shared" si="1"/>
        <v>Unavailable</v>
      </c>
      <c r="C2318" s="3">
        <v>172.0</v>
      </c>
      <c r="D2318" s="3">
        <f>IFERROR(__xludf.DUMMYFUNCTION("IFERROR(
IF(REGEXMATCH(LOWER(O2318),""k""),
VALUE(REGEXEXTRACT(O2318,""[0-9]+""))*1000,
VALUE(REGEXEXTRACT(O2318,""[0-9]+""))
),
0
)"),0.0)</f>
        <v>0</v>
      </c>
      <c r="E2318" s="1" t="s">
        <v>11</v>
      </c>
      <c r="F2318" s="1" t="s">
        <v>12</v>
      </c>
      <c r="G2318" s="4" t="b">
        <f t="shared" si="2"/>
        <v>1</v>
      </c>
      <c r="H2318" s="1" t="str">
        <f t="shared" si="3"/>
        <v>Currently Unavailable</v>
      </c>
      <c r="I2318" s="1" t="str">
        <f t="shared" si="4"/>
        <v>No Badges</v>
      </c>
      <c r="J2318" s="3">
        <f t="shared" si="5"/>
        <v>0</v>
      </c>
    </row>
    <row r="2319">
      <c r="A2319" s="1" t="s">
        <v>1876</v>
      </c>
      <c r="B2319" s="3" t="str">
        <f t="shared" si="1"/>
        <v>Unavailable</v>
      </c>
      <c r="C2319" s="5">
        <v>1036.0</v>
      </c>
      <c r="D2319" s="3">
        <f>IFERROR(__xludf.DUMMYFUNCTION("IFERROR(
IF(REGEXMATCH(LOWER(O2319),""k""),
VALUE(REGEXEXTRACT(O2319,""[0-9]+""))*1000,
VALUE(REGEXEXTRACT(O2319,""[0-9]+""))
),
0
)"),0.0)</f>
        <v>0</v>
      </c>
      <c r="E2319" s="1" t="s">
        <v>11</v>
      </c>
      <c r="F2319" s="1" t="s">
        <v>20</v>
      </c>
      <c r="G2319" s="4" t="b">
        <f t="shared" si="2"/>
        <v>1</v>
      </c>
      <c r="H2319" s="1" t="str">
        <f t="shared" si="3"/>
        <v>Currently Unavailable</v>
      </c>
      <c r="I2319" s="1" t="str">
        <f t="shared" si="4"/>
        <v>No Badges</v>
      </c>
      <c r="J2319" s="3">
        <f t="shared" si="5"/>
        <v>0</v>
      </c>
    </row>
    <row r="2320">
      <c r="A2320" s="1" t="s">
        <v>1877</v>
      </c>
      <c r="B2320" s="3" t="str">
        <f t="shared" si="1"/>
        <v>Unavailable</v>
      </c>
      <c r="C2320" s="3">
        <v>573.0</v>
      </c>
      <c r="D2320" s="3">
        <f>IFERROR(__xludf.DUMMYFUNCTION("IFERROR(
IF(REGEXMATCH(LOWER(O2320),""k""),
VALUE(REGEXEXTRACT(O2320,""[0-9]+""))*1000,
VALUE(REGEXEXTRACT(O2320,""[0-9]+""))
),
0
)"),0.0)</f>
        <v>0</v>
      </c>
      <c r="E2320" s="1" t="s">
        <v>11</v>
      </c>
      <c r="F2320" s="1" t="s">
        <v>20</v>
      </c>
      <c r="G2320" s="4" t="b">
        <f t="shared" si="2"/>
        <v>1</v>
      </c>
      <c r="H2320" s="1" t="str">
        <f t="shared" si="3"/>
        <v>Currently Unavailable</v>
      </c>
      <c r="I2320" s="1" t="str">
        <f t="shared" si="4"/>
        <v>No Badges</v>
      </c>
      <c r="J2320" s="3">
        <f t="shared" si="5"/>
        <v>0</v>
      </c>
    </row>
    <row r="2321">
      <c r="A2321" s="1" t="s">
        <v>1878</v>
      </c>
      <c r="B2321" s="3" t="str">
        <f t="shared" si="1"/>
        <v>Unavailable</v>
      </c>
      <c r="C2321" s="5">
        <v>23725.0</v>
      </c>
      <c r="D2321" s="3">
        <f>IFERROR(__xludf.DUMMYFUNCTION("IFERROR(
IF(REGEXMATCH(LOWER(O2321),""k""),
VALUE(REGEXEXTRACT(O2321,""[0-9]+""))*1000,
VALUE(REGEXEXTRACT(O2321,""[0-9]+""))
),
0
)"),0.0)</f>
        <v>0</v>
      </c>
      <c r="E2321" s="1" t="s">
        <v>11</v>
      </c>
      <c r="F2321" s="1" t="s">
        <v>20</v>
      </c>
      <c r="G2321" s="4" t="b">
        <f t="shared" si="2"/>
        <v>1</v>
      </c>
      <c r="H2321" s="1" t="str">
        <f t="shared" si="3"/>
        <v>Currently Unavailable</v>
      </c>
      <c r="I2321" s="1" t="str">
        <f t="shared" si="4"/>
        <v>No Badges</v>
      </c>
      <c r="J2321" s="3">
        <f t="shared" si="5"/>
        <v>0</v>
      </c>
    </row>
    <row r="2322">
      <c r="A2322" s="1" t="s">
        <v>1879</v>
      </c>
      <c r="B2322" s="3" t="str">
        <f t="shared" si="1"/>
        <v>Unavailable</v>
      </c>
      <c r="C2322" s="5">
        <v>16249.0</v>
      </c>
      <c r="D2322" s="3">
        <f>IFERROR(__xludf.DUMMYFUNCTION("IFERROR(
IF(REGEXMATCH(LOWER(O2322),""k""),
VALUE(REGEXEXTRACT(O2322,""[0-9]+""))*1000,
VALUE(REGEXEXTRACT(O2322,""[0-9]+""))
),
0
)"),0.0)</f>
        <v>0</v>
      </c>
      <c r="E2322" s="1" t="s">
        <v>11</v>
      </c>
      <c r="F2322" s="1" t="s">
        <v>20</v>
      </c>
      <c r="G2322" s="4" t="b">
        <f t="shared" si="2"/>
        <v>1</v>
      </c>
      <c r="H2322" s="1" t="str">
        <f t="shared" si="3"/>
        <v>Currently Unavailable</v>
      </c>
      <c r="I2322" s="1" t="str">
        <f t="shared" si="4"/>
        <v>No Badges</v>
      </c>
      <c r="J2322" s="3">
        <f t="shared" si="5"/>
        <v>0</v>
      </c>
    </row>
    <row r="2323">
      <c r="A2323" s="1" t="s">
        <v>1880</v>
      </c>
      <c r="B2323" s="3" t="str">
        <f t="shared" si="1"/>
        <v>Unavailable</v>
      </c>
      <c r="C2323" s="3">
        <v>5.0</v>
      </c>
      <c r="D2323" s="3">
        <f>IFERROR(__xludf.DUMMYFUNCTION("IFERROR(
IF(REGEXMATCH(LOWER(O2323),""k""),
VALUE(REGEXEXTRACT(O2323,""[0-9]+""))*1000,
VALUE(REGEXEXTRACT(O2323,""[0-9]+""))
),
0
)"),0.0)</f>
        <v>0</v>
      </c>
      <c r="E2323" s="1" t="s">
        <v>11</v>
      </c>
      <c r="F2323" s="1" t="s">
        <v>12</v>
      </c>
      <c r="G2323" s="4" t="b">
        <f t="shared" si="2"/>
        <v>1</v>
      </c>
      <c r="H2323" s="1" t="str">
        <f t="shared" si="3"/>
        <v>Currently Unavailable</v>
      </c>
      <c r="I2323" s="1" t="str">
        <f t="shared" si="4"/>
        <v>No Badges</v>
      </c>
      <c r="J2323" s="3">
        <f t="shared" si="5"/>
        <v>0</v>
      </c>
    </row>
    <row r="2324">
      <c r="A2324" s="1" t="s">
        <v>1881</v>
      </c>
      <c r="B2324" s="3" t="str">
        <f t="shared" si="1"/>
        <v>Unavailable</v>
      </c>
      <c r="C2324" s="5">
        <v>7488.0</v>
      </c>
      <c r="D2324" s="3">
        <f>IFERROR(__xludf.DUMMYFUNCTION("IFERROR(
IF(REGEXMATCH(LOWER(O2324),""k""),
VALUE(REGEXEXTRACT(O2324,""[0-9]+""))*1000,
VALUE(REGEXEXTRACT(O2324,""[0-9]+""))
),
0
)"),0.0)</f>
        <v>0</v>
      </c>
      <c r="E2324" s="1" t="s">
        <v>11</v>
      </c>
      <c r="F2324" s="1" t="s">
        <v>20</v>
      </c>
      <c r="G2324" s="4" t="b">
        <f t="shared" si="2"/>
        <v>1</v>
      </c>
      <c r="H2324" s="1" t="str">
        <f t="shared" si="3"/>
        <v>Currently Unavailable</v>
      </c>
      <c r="I2324" s="1" t="str">
        <f t="shared" si="4"/>
        <v>No Badges</v>
      </c>
      <c r="J2324" s="3">
        <f t="shared" si="5"/>
        <v>0</v>
      </c>
    </row>
    <row r="2325">
      <c r="A2325" s="1" t="s">
        <v>1285</v>
      </c>
      <c r="B2325" s="3" t="str">
        <f t="shared" si="1"/>
        <v>Unavailable</v>
      </c>
      <c r="C2325" s="5">
        <v>3520.0</v>
      </c>
      <c r="D2325" s="3">
        <f>IFERROR(__xludf.DUMMYFUNCTION("IFERROR(
IF(REGEXMATCH(LOWER(O2325),""k""),
VALUE(REGEXEXTRACT(O2325,""[0-9]+""))*1000,
VALUE(REGEXEXTRACT(O2325,""[0-9]+""))
),
0
)"),0.0)</f>
        <v>0</v>
      </c>
      <c r="E2325" s="1" t="s">
        <v>11</v>
      </c>
      <c r="F2325" s="1" t="s">
        <v>12</v>
      </c>
      <c r="G2325" s="4" t="b">
        <f t="shared" si="2"/>
        <v>1</v>
      </c>
      <c r="H2325" s="1" t="str">
        <f t="shared" si="3"/>
        <v>Currently Unavailable</v>
      </c>
      <c r="I2325" s="1" t="str">
        <f t="shared" si="4"/>
        <v>No Badges</v>
      </c>
      <c r="J2325" s="3">
        <f t="shared" si="5"/>
        <v>0</v>
      </c>
    </row>
    <row r="2326">
      <c r="A2326" s="1" t="s">
        <v>88</v>
      </c>
      <c r="B2326" s="3" t="str">
        <f t="shared" si="1"/>
        <v>Unavailable</v>
      </c>
      <c r="C2326" s="3">
        <v>5.0</v>
      </c>
      <c r="D2326" s="3">
        <f>IFERROR(__xludf.DUMMYFUNCTION("IFERROR(
IF(REGEXMATCH(LOWER(O2326),""k""),
VALUE(REGEXEXTRACT(O2326,""[0-9]+""))*1000,
VALUE(REGEXEXTRACT(O2326,""[0-9]+""))
),
0
)"),0.0)</f>
        <v>0</v>
      </c>
      <c r="E2326" s="1" t="s">
        <v>11</v>
      </c>
      <c r="F2326" s="1" t="s">
        <v>12</v>
      </c>
      <c r="G2326" s="4" t="b">
        <f t="shared" si="2"/>
        <v>1</v>
      </c>
      <c r="H2326" s="1" t="str">
        <f t="shared" si="3"/>
        <v>Currently Unavailable</v>
      </c>
      <c r="I2326" s="1" t="str">
        <f t="shared" si="4"/>
        <v>No Badges</v>
      </c>
      <c r="J2326" s="3">
        <f t="shared" si="5"/>
        <v>0</v>
      </c>
    </row>
    <row r="2327">
      <c r="A2327" s="1" t="s">
        <v>1882</v>
      </c>
      <c r="B2327" s="3" t="str">
        <f t="shared" si="1"/>
        <v>Unavailable</v>
      </c>
      <c r="C2327" s="5">
        <v>89160.0</v>
      </c>
      <c r="D2327" s="3">
        <f>IFERROR(__xludf.DUMMYFUNCTION("IFERROR(
IF(REGEXMATCH(LOWER(O2327),""k""),
VALUE(REGEXEXTRACT(O2327,""[0-9]+""))*1000,
VALUE(REGEXEXTRACT(O2327,""[0-9]+""))
),
0
)"),0.0)</f>
        <v>0</v>
      </c>
      <c r="E2327" s="1" t="s">
        <v>11</v>
      </c>
      <c r="F2327" s="1" t="s">
        <v>20</v>
      </c>
      <c r="G2327" s="4" t="b">
        <f t="shared" si="2"/>
        <v>1</v>
      </c>
      <c r="H2327" s="1" t="str">
        <f t="shared" si="3"/>
        <v>Currently Unavailable</v>
      </c>
      <c r="I2327" s="1" t="str">
        <f t="shared" si="4"/>
        <v>No Badges</v>
      </c>
      <c r="J2327" s="3">
        <f t="shared" si="5"/>
        <v>0</v>
      </c>
    </row>
    <row r="2328">
      <c r="A2328" s="1" t="s">
        <v>1883</v>
      </c>
      <c r="B2328" s="3" t="str">
        <f t="shared" si="1"/>
        <v>Unavailable</v>
      </c>
      <c r="C2328" s="5">
        <v>10990.0</v>
      </c>
      <c r="D2328" s="3">
        <f>IFERROR(__xludf.DUMMYFUNCTION("IFERROR(
IF(REGEXMATCH(LOWER(O2328),""k""),
VALUE(REGEXEXTRACT(O2328,""[0-9]+""))*1000,
VALUE(REGEXEXTRACT(O2328,""[0-9]+""))
),
0
)"),0.0)</f>
        <v>0</v>
      </c>
      <c r="E2328" s="1" t="s">
        <v>11</v>
      </c>
      <c r="F2328" s="1" t="s">
        <v>20</v>
      </c>
      <c r="G2328" s="4" t="b">
        <f t="shared" si="2"/>
        <v>1</v>
      </c>
      <c r="H2328" s="1" t="str">
        <f t="shared" si="3"/>
        <v>Currently Unavailable</v>
      </c>
      <c r="I2328" s="1" t="str">
        <f t="shared" si="4"/>
        <v>No Badges</v>
      </c>
      <c r="J2328" s="3">
        <f t="shared" si="5"/>
        <v>0</v>
      </c>
    </row>
    <row r="2329">
      <c r="A2329" s="1" t="s">
        <v>1884</v>
      </c>
      <c r="B2329" s="3" t="str">
        <f t="shared" si="1"/>
        <v>Unavailable</v>
      </c>
      <c r="C2329" s="5">
        <v>8406.0</v>
      </c>
      <c r="D2329" s="3">
        <f>IFERROR(__xludf.DUMMYFUNCTION("IFERROR(
IF(REGEXMATCH(LOWER(O2329),""k""),
VALUE(REGEXEXTRACT(O2329,""[0-9]+""))*1000,
VALUE(REGEXEXTRACT(O2329,""[0-9]+""))
),
0
)"),0.0)</f>
        <v>0</v>
      </c>
      <c r="E2329" s="1" t="s">
        <v>11</v>
      </c>
      <c r="F2329" s="1" t="s">
        <v>20</v>
      </c>
      <c r="G2329" s="4" t="b">
        <f t="shared" si="2"/>
        <v>1</v>
      </c>
      <c r="H2329" s="1" t="str">
        <f t="shared" si="3"/>
        <v>Currently Unavailable</v>
      </c>
      <c r="I2329" s="1" t="str">
        <f t="shared" si="4"/>
        <v>No Badges</v>
      </c>
      <c r="J2329" s="3">
        <f t="shared" si="5"/>
        <v>0</v>
      </c>
    </row>
    <row r="2330">
      <c r="A2330" s="1" t="s">
        <v>1885</v>
      </c>
      <c r="B2330" s="3" t="str">
        <f t="shared" si="1"/>
        <v>Unavailable</v>
      </c>
      <c r="C2330" s="5">
        <v>6109.0</v>
      </c>
      <c r="D2330" s="3">
        <f>IFERROR(__xludf.DUMMYFUNCTION("IFERROR(
IF(REGEXMATCH(LOWER(O2330),""k""),
VALUE(REGEXEXTRACT(O2330,""[0-9]+""))*1000,
VALUE(REGEXEXTRACT(O2330,""[0-9]+""))
),
0
)"),0.0)</f>
        <v>0</v>
      </c>
      <c r="E2330" s="1" t="s">
        <v>11</v>
      </c>
      <c r="F2330" s="1" t="s">
        <v>20</v>
      </c>
      <c r="G2330" s="4" t="b">
        <f t="shared" si="2"/>
        <v>1</v>
      </c>
      <c r="H2330" s="1" t="str">
        <f t="shared" si="3"/>
        <v>Currently Unavailable</v>
      </c>
      <c r="I2330" s="1" t="str">
        <f t="shared" si="4"/>
        <v>No Badges</v>
      </c>
      <c r="J2330" s="3">
        <f t="shared" si="5"/>
        <v>0</v>
      </c>
    </row>
    <row r="2331">
      <c r="A2331" s="1" t="s">
        <v>1886</v>
      </c>
      <c r="B2331" s="3" t="str">
        <f t="shared" si="1"/>
        <v>Unavailable</v>
      </c>
      <c r="C2331" s="5">
        <v>9667.0</v>
      </c>
      <c r="D2331" s="3">
        <f>IFERROR(__xludf.DUMMYFUNCTION("IFERROR(
IF(REGEXMATCH(LOWER(O2331),""k""),
VALUE(REGEXEXTRACT(O2331,""[0-9]+""))*1000,
VALUE(REGEXEXTRACT(O2331,""[0-9]+""))
),
0
)"),0.0)</f>
        <v>0</v>
      </c>
      <c r="E2331" s="1" t="s">
        <v>11</v>
      </c>
      <c r="F2331" s="1" t="s">
        <v>20</v>
      </c>
      <c r="G2331" s="4" t="b">
        <f t="shared" si="2"/>
        <v>1</v>
      </c>
      <c r="H2331" s="1" t="str">
        <f t="shared" si="3"/>
        <v>Currently Unavailable</v>
      </c>
      <c r="I2331" s="1" t="str">
        <f t="shared" si="4"/>
        <v>No Badges</v>
      </c>
      <c r="J2331" s="3">
        <f t="shared" si="5"/>
        <v>0</v>
      </c>
    </row>
    <row r="2332">
      <c r="A2332" s="1" t="s">
        <v>1887</v>
      </c>
      <c r="B2332" s="3" t="str">
        <f t="shared" si="1"/>
        <v>Unavailable</v>
      </c>
      <c r="C2332" s="5">
        <v>3657.0</v>
      </c>
      <c r="D2332" s="3">
        <f>IFERROR(__xludf.DUMMYFUNCTION("IFERROR(
IF(REGEXMATCH(LOWER(O2332),""k""),
VALUE(REGEXEXTRACT(O2332,""[0-9]+""))*1000,
VALUE(REGEXEXTRACT(O2332,""[0-9]+""))
),
0
)"),0.0)</f>
        <v>0</v>
      </c>
      <c r="E2332" s="1" t="s">
        <v>11</v>
      </c>
      <c r="F2332" s="1" t="s">
        <v>20</v>
      </c>
      <c r="G2332" s="4" t="b">
        <f t="shared" si="2"/>
        <v>1</v>
      </c>
      <c r="H2332" s="1" t="str">
        <f t="shared" si="3"/>
        <v>Currently Unavailable</v>
      </c>
      <c r="I2332" s="1" t="str">
        <f t="shared" si="4"/>
        <v>No Badges</v>
      </c>
      <c r="J2332" s="3">
        <f t="shared" si="5"/>
        <v>0</v>
      </c>
    </row>
    <row r="2333">
      <c r="A2333" s="1" t="s">
        <v>1888</v>
      </c>
      <c r="B2333" s="3" t="str">
        <f t="shared" si="1"/>
        <v>Unavailable</v>
      </c>
      <c r="C2333" s="5">
        <v>3030.0</v>
      </c>
      <c r="D2333" s="3">
        <f>IFERROR(__xludf.DUMMYFUNCTION("IFERROR(
IF(REGEXMATCH(LOWER(O2333),""k""),
VALUE(REGEXEXTRACT(O2333,""[0-9]+""))*1000,
VALUE(REGEXEXTRACT(O2333,""[0-9]+""))
),
0
)"),0.0)</f>
        <v>0</v>
      </c>
      <c r="E2333" s="1" t="s">
        <v>158</v>
      </c>
      <c r="F2333" s="1" t="s">
        <v>20</v>
      </c>
      <c r="G2333" s="4" t="b">
        <f t="shared" si="2"/>
        <v>1</v>
      </c>
      <c r="H2333" s="1" t="str">
        <f t="shared" si="3"/>
        <v>Currently Unavailable</v>
      </c>
      <c r="I2333" s="1" t="str">
        <f t="shared" si="4"/>
        <v>No Badges</v>
      </c>
      <c r="J2333" s="3">
        <f t="shared" si="5"/>
        <v>0</v>
      </c>
    </row>
    <row r="2334">
      <c r="A2334" s="1" t="s">
        <v>1889</v>
      </c>
      <c r="B2334" s="3" t="str">
        <f t="shared" si="1"/>
        <v>Unavailable</v>
      </c>
      <c r="C2334" s="5">
        <v>13958.0</v>
      </c>
      <c r="D2334" s="3">
        <f>IFERROR(__xludf.DUMMYFUNCTION("IFERROR(
IF(REGEXMATCH(LOWER(O2334),""k""),
VALUE(REGEXEXTRACT(O2334,""[0-9]+""))*1000,
VALUE(REGEXEXTRACT(O2334,""[0-9]+""))
),
0
)"),0.0)</f>
        <v>0</v>
      </c>
      <c r="E2334" s="1" t="s">
        <v>11</v>
      </c>
      <c r="F2334" s="1" t="s">
        <v>20</v>
      </c>
      <c r="G2334" s="4" t="b">
        <f t="shared" si="2"/>
        <v>1</v>
      </c>
      <c r="H2334" s="1" t="str">
        <f t="shared" si="3"/>
        <v>Currently Unavailable</v>
      </c>
      <c r="I2334" s="1" t="str">
        <f t="shared" si="4"/>
        <v>No Badges</v>
      </c>
      <c r="J2334" s="3">
        <f t="shared" si="5"/>
        <v>0</v>
      </c>
    </row>
    <row r="2335">
      <c r="A2335" s="1" t="s">
        <v>1890</v>
      </c>
      <c r="B2335" s="3" t="str">
        <f t="shared" si="1"/>
        <v>Unavailable</v>
      </c>
      <c r="C2335" s="5">
        <v>10482.0</v>
      </c>
      <c r="D2335" s="3">
        <f>IFERROR(__xludf.DUMMYFUNCTION("IFERROR(
IF(REGEXMATCH(LOWER(O2335),""k""),
VALUE(REGEXEXTRACT(O2335,""[0-9]+""))*1000,
VALUE(REGEXEXTRACT(O2335,""[0-9]+""))
),
0
)"),0.0)</f>
        <v>0</v>
      </c>
      <c r="E2335" s="1" t="s">
        <v>11</v>
      </c>
      <c r="F2335" s="1" t="s">
        <v>20</v>
      </c>
      <c r="G2335" s="4" t="b">
        <f t="shared" si="2"/>
        <v>1</v>
      </c>
      <c r="H2335" s="1" t="str">
        <f t="shared" si="3"/>
        <v>Currently Unavailable</v>
      </c>
      <c r="I2335" s="1" t="str">
        <f t="shared" si="4"/>
        <v>No Badges</v>
      </c>
      <c r="J2335" s="3">
        <f t="shared" si="5"/>
        <v>0</v>
      </c>
    </row>
    <row r="2336">
      <c r="A2336" s="1" t="s">
        <v>1891</v>
      </c>
      <c r="B2336" s="3" t="str">
        <f t="shared" si="1"/>
        <v>Unavailable</v>
      </c>
      <c r="C2336" s="5">
        <v>1113.0</v>
      </c>
      <c r="D2336" s="3">
        <f>IFERROR(__xludf.DUMMYFUNCTION("IFERROR(
IF(REGEXMATCH(LOWER(O2336),""k""),
VALUE(REGEXEXTRACT(O2336,""[0-9]+""))*1000,
VALUE(REGEXEXTRACT(O2336,""[0-9]+""))
),
0
)"),0.0)</f>
        <v>0</v>
      </c>
      <c r="E2336" s="1" t="s">
        <v>11</v>
      </c>
      <c r="F2336" s="1" t="s">
        <v>20</v>
      </c>
      <c r="G2336" s="4" t="b">
        <f t="shared" si="2"/>
        <v>1</v>
      </c>
      <c r="H2336" s="1" t="str">
        <f t="shared" si="3"/>
        <v>Currently Unavailable</v>
      </c>
      <c r="I2336" s="1" t="str">
        <f t="shared" si="4"/>
        <v>No Badges</v>
      </c>
      <c r="J2336" s="3">
        <f t="shared" si="5"/>
        <v>0</v>
      </c>
    </row>
    <row r="2337">
      <c r="A2337" s="1" t="s">
        <v>1284</v>
      </c>
      <c r="B2337" s="3" t="str">
        <f t="shared" si="1"/>
        <v>Unavailable</v>
      </c>
      <c r="C2337" s="3">
        <v>172.0</v>
      </c>
      <c r="D2337" s="3">
        <f>IFERROR(__xludf.DUMMYFUNCTION("IFERROR(
IF(REGEXMATCH(LOWER(O2337),""k""),
VALUE(REGEXEXTRACT(O2337,""[0-9]+""))*1000,
VALUE(REGEXEXTRACT(O2337,""[0-9]+""))
),
0
)"),0.0)</f>
        <v>0</v>
      </c>
      <c r="E2337" s="1" t="s">
        <v>11</v>
      </c>
      <c r="F2337" s="1" t="s">
        <v>12</v>
      </c>
      <c r="G2337" s="4" t="b">
        <f t="shared" si="2"/>
        <v>1</v>
      </c>
      <c r="H2337" s="1" t="str">
        <f t="shared" si="3"/>
        <v>Currently Unavailable</v>
      </c>
      <c r="I2337" s="1" t="str">
        <f t="shared" si="4"/>
        <v>No Badges</v>
      </c>
      <c r="J2337" s="3">
        <f t="shared" si="5"/>
        <v>0</v>
      </c>
    </row>
    <row r="2338">
      <c r="A2338" s="1" t="s">
        <v>1892</v>
      </c>
      <c r="B2338" s="3" t="str">
        <f t="shared" si="1"/>
        <v>Unavailable</v>
      </c>
      <c r="C2338" s="5">
        <v>3518.0</v>
      </c>
      <c r="D2338" s="3">
        <f>IFERROR(__xludf.DUMMYFUNCTION("IFERROR(
IF(REGEXMATCH(LOWER(O2338),""k""),
VALUE(REGEXEXTRACT(O2338,""[0-9]+""))*1000,
VALUE(REGEXEXTRACT(O2338,""[0-9]+""))
),
0
)"),0.0)</f>
        <v>0</v>
      </c>
      <c r="E2338" s="1" t="s">
        <v>11</v>
      </c>
      <c r="F2338" s="1" t="s">
        <v>20</v>
      </c>
      <c r="G2338" s="4" t="b">
        <f t="shared" si="2"/>
        <v>1</v>
      </c>
      <c r="H2338" s="1" t="str">
        <f t="shared" si="3"/>
        <v>Currently Unavailable</v>
      </c>
      <c r="I2338" s="1" t="str">
        <f t="shared" si="4"/>
        <v>No Badges</v>
      </c>
      <c r="J2338" s="3">
        <f t="shared" si="5"/>
        <v>0</v>
      </c>
    </row>
    <row r="2339">
      <c r="A2339" s="1" t="s">
        <v>1893</v>
      </c>
      <c r="B2339" s="3" t="str">
        <f t="shared" si="1"/>
        <v>Unavailable</v>
      </c>
      <c r="C2339" s="5">
        <v>3028.0</v>
      </c>
      <c r="D2339" s="3">
        <f>IFERROR(__xludf.DUMMYFUNCTION("IFERROR(
IF(REGEXMATCH(LOWER(O2339),""k""),
VALUE(REGEXEXTRACT(O2339,""[0-9]+""))*1000,
VALUE(REGEXEXTRACT(O2339,""[0-9]+""))
),
0
)"),0.0)</f>
        <v>0</v>
      </c>
      <c r="E2339" s="1" t="s">
        <v>11</v>
      </c>
      <c r="F2339" s="1" t="s">
        <v>20</v>
      </c>
      <c r="G2339" s="4" t="b">
        <f t="shared" si="2"/>
        <v>1</v>
      </c>
      <c r="H2339" s="1" t="str">
        <f t="shared" si="3"/>
        <v>Currently Unavailable</v>
      </c>
      <c r="I2339" s="1" t="str">
        <f t="shared" si="4"/>
        <v>No Badges</v>
      </c>
      <c r="J2339" s="3">
        <f t="shared" si="5"/>
        <v>0</v>
      </c>
    </row>
    <row r="2340">
      <c r="A2340" s="1" t="s">
        <v>69</v>
      </c>
      <c r="B2340" s="3" t="str">
        <f t="shared" si="1"/>
        <v>Unavailable</v>
      </c>
      <c r="C2340" s="3">
        <v>45.0</v>
      </c>
      <c r="D2340" s="3">
        <f>IFERROR(__xludf.DUMMYFUNCTION("IFERROR(
IF(REGEXMATCH(LOWER(O2340),""k""),
VALUE(REGEXEXTRACT(O2340,""[0-9]+""))*1000,
VALUE(REGEXEXTRACT(O2340,""[0-9]+""))
),
0
)"),0.0)</f>
        <v>0</v>
      </c>
      <c r="E2340" s="1" t="s">
        <v>11</v>
      </c>
      <c r="F2340" s="1" t="s">
        <v>12</v>
      </c>
      <c r="G2340" s="4" t="b">
        <f t="shared" si="2"/>
        <v>1</v>
      </c>
      <c r="H2340" s="1" t="str">
        <f t="shared" si="3"/>
        <v>Currently Unavailable</v>
      </c>
      <c r="I2340" s="1" t="str">
        <f t="shared" si="4"/>
        <v>No Badges</v>
      </c>
      <c r="J2340" s="3">
        <f t="shared" si="5"/>
        <v>0</v>
      </c>
    </row>
    <row r="2341">
      <c r="A2341" s="1" t="s">
        <v>67</v>
      </c>
      <c r="B2341" s="3" t="str">
        <f t="shared" si="1"/>
        <v>Unavailable</v>
      </c>
      <c r="C2341" s="3">
        <v>264.0</v>
      </c>
      <c r="D2341" s="3">
        <f>IFERROR(__xludf.DUMMYFUNCTION("IFERROR(
IF(REGEXMATCH(LOWER(O2341),""k""),
VALUE(REGEXEXTRACT(O2341,""[0-9]+""))*1000,
VALUE(REGEXEXTRACT(O2341,""[0-9]+""))
),
0
)"),0.0)</f>
        <v>0</v>
      </c>
      <c r="E2341" s="1" t="s">
        <v>11</v>
      </c>
      <c r="F2341" s="1" t="s">
        <v>12</v>
      </c>
      <c r="G2341" s="4" t="b">
        <f t="shared" si="2"/>
        <v>1</v>
      </c>
      <c r="H2341" s="1" t="str">
        <f t="shared" si="3"/>
        <v>Currently Unavailable</v>
      </c>
      <c r="I2341" s="1" t="str">
        <f t="shared" si="4"/>
        <v>No Badges</v>
      </c>
      <c r="J2341" s="3">
        <f t="shared" si="5"/>
        <v>0</v>
      </c>
    </row>
    <row r="2342">
      <c r="A2342" s="1" t="s">
        <v>1894</v>
      </c>
      <c r="B2342" s="3" t="str">
        <f t="shared" si="1"/>
        <v>Unavailable</v>
      </c>
      <c r="C2342" s="5">
        <v>1211.0</v>
      </c>
      <c r="D2342" s="3">
        <f>IFERROR(__xludf.DUMMYFUNCTION("IFERROR(
IF(REGEXMATCH(LOWER(O2342),""k""),
VALUE(REGEXEXTRACT(O2342,""[0-9]+""))*1000,
VALUE(REGEXEXTRACT(O2342,""[0-9]+""))
),
0
)"),0.0)</f>
        <v>0</v>
      </c>
      <c r="E2342" s="1" t="s">
        <v>11</v>
      </c>
      <c r="F2342" s="1" t="s">
        <v>20</v>
      </c>
      <c r="G2342" s="4" t="b">
        <f t="shared" si="2"/>
        <v>1</v>
      </c>
      <c r="H2342" s="1" t="str">
        <f t="shared" si="3"/>
        <v>Currently Unavailable</v>
      </c>
      <c r="I2342" s="1" t="str">
        <f t="shared" si="4"/>
        <v>No Badges</v>
      </c>
      <c r="J2342" s="3">
        <f t="shared" si="5"/>
        <v>0</v>
      </c>
    </row>
    <row r="2343">
      <c r="A2343" s="1" t="s">
        <v>1895</v>
      </c>
      <c r="B2343" s="3" t="str">
        <f t="shared" si="1"/>
        <v>Unavailable</v>
      </c>
      <c r="C2343" s="5">
        <v>14390.0</v>
      </c>
      <c r="D2343" s="3">
        <f>IFERROR(__xludf.DUMMYFUNCTION("IFERROR(
IF(REGEXMATCH(LOWER(O2343),""k""),
VALUE(REGEXEXTRACT(O2343,""[0-9]+""))*1000,
VALUE(REGEXEXTRACT(O2343,""[0-9]+""))
),
0
)"),0.0)</f>
        <v>0</v>
      </c>
      <c r="E2343" s="1" t="s">
        <v>11</v>
      </c>
      <c r="F2343" s="1" t="s">
        <v>20</v>
      </c>
      <c r="G2343" s="4" t="b">
        <f t="shared" si="2"/>
        <v>1</v>
      </c>
      <c r="H2343" s="1" t="str">
        <f t="shared" si="3"/>
        <v>Currently Unavailable</v>
      </c>
      <c r="I2343" s="1" t="str">
        <f t="shared" si="4"/>
        <v>No Badges</v>
      </c>
      <c r="J2343" s="3">
        <f t="shared" si="5"/>
        <v>0</v>
      </c>
    </row>
    <row r="2344">
      <c r="A2344" s="1" t="s">
        <v>1896</v>
      </c>
      <c r="B2344" s="3" t="str">
        <f t="shared" si="1"/>
        <v>Unavailable</v>
      </c>
      <c r="C2344" s="3">
        <v>180.0</v>
      </c>
      <c r="D2344" s="3">
        <f>IFERROR(__xludf.DUMMYFUNCTION("IFERROR(
IF(REGEXMATCH(LOWER(O2344),""k""),
VALUE(REGEXEXTRACT(O2344,""[0-9]+""))*1000,
VALUE(REGEXEXTRACT(O2344,""[0-9]+""))
),
0
)"),0.0)</f>
        <v>0</v>
      </c>
      <c r="E2344" s="1" t="s">
        <v>11</v>
      </c>
      <c r="F2344" s="1" t="s">
        <v>20</v>
      </c>
      <c r="G2344" s="4" t="b">
        <f t="shared" si="2"/>
        <v>1</v>
      </c>
      <c r="H2344" s="1" t="str">
        <f t="shared" si="3"/>
        <v>Currently Unavailable</v>
      </c>
      <c r="I2344" s="1" t="str">
        <f t="shared" si="4"/>
        <v>No Badges</v>
      </c>
      <c r="J2344" s="3">
        <f t="shared" si="5"/>
        <v>0</v>
      </c>
    </row>
    <row r="2345">
      <c r="A2345" s="1" t="s">
        <v>1285</v>
      </c>
      <c r="B2345" s="3" t="str">
        <f t="shared" si="1"/>
        <v>Unavailable</v>
      </c>
      <c r="C2345" s="5">
        <v>3520.0</v>
      </c>
      <c r="D2345" s="3">
        <f>IFERROR(__xludf.DUMMYFUNCTION("IFERROR(
IF(REGEXMATCH(LOWER(O2345),""k""),
VALUE(REGEXEXTRACT(O2345,""[0-9]+""))*1000,
VALUE(REGEXEXTRACT(O2345,""[0-9]+""))
),
0
)"),0.0)</f>
        <v>0</v>
      </c>
      <c r="E2345" s="1" t="s">
        <v>11</v>
      </c>
      <c r="F2345" s="1" t="s">
        <v>12</v>
      </c>
      <c r="G2345" s="4" t="b">
        <f t="shared" si="2"/>
        <v>1</v>
      </c>
      <c r="H2345" s="1" t="str">
        <f t="shared" si="3"/>
        <v>Currently Unavailable</v>
      </c>
      <c r="I2345" s="1" t="str">
        <f t="shared" si="4"/>
        <v>No Badges</v>
      </c>
      <c r="J2345" s="3">
        <f t="shared" si="5"/>
        <v>0</v>
      </c>
    </row>
    <row r="2346">
      <c r="A2346" s="1" t="s">
        <v>1897</v>
      </c>
      <c r="B2346" s="3" t="str">
        <f t="shared" si="1"/>
        <v>Unavailable</v>
      </c>
      <c r="C2346" s="5">
        <v>1137.0</v>
      </c>
      <c r="D2346" s="3">
        <f>IFERROR(__xludf.DUMMYFUNCTION("IFERROR(
IF(REGEXMATCH(LOWER(O2346),""k""),
VALUE(REGEXEXTRACT(O2346,""[0-9]+""))*1000,
VALUE(REGEXEXTRACT(O2346,""[0-9]+""))
),
0
)"),0.0)</f>
        <v>0</v>
      </c>
      <c r="E2346" s="1" t="s">
        <v>11</v>
      </c>
      <c r="F2346" s="1" t="s">
        <v>20</v>
      </c>
      <c r="G2346" s="4" t="b">
        <f t="shared" si="2"/>
        <v>1</v>
      </c>
      <c r="H2346" s="1" t="str">
        <f t="shared" si="3"/>
        <v>Currently Unavailable</v>
      </c>
      <c r="I2346" s="1" t="str">
        <f t="shared" si="4"/>
        <v>No Badges</v>
      </c>
      <c r="J2346" s="3">
        <f t="shared" si="5"/>
        <v>0</v>
      </c>
    </row>
    <row r="2347">
      <c r="A2347" s="1" t="s">
        <v>1516</v>
      </c>
      <c r="B2347" s="3" t="str">
        <f t="shared" si="1"/>
        <v>Unavailable</v>
      </c>
      <c r="C2347" s="5">
        <v>1850.0</v>
      </c>
      <c r="D2347" s="3">
        <f>IFERROR(__xludf.DUMMYFUNCTION("IFERROR(
IF(REGEXMATCH(LOWER(O2347),""k""),
VALUE(REGEXEXTRACT(O2347,""[0-9]+""))*1000,
VALUE(REGEXEXTRACT(O2347,""[0-9]+""))
),
0
)"),0.0)</f>
        <v>0</v>
      </c>
      <c r="E2347" s="1" t="s">
        <v>18</v>
      </c>
      <c r="F2347" s="1" t="s">
        <v>20</v>
      </c>
      <c r="G2347" s="4" t="b">
        <f t="shared" si="2"/>
        <v>1</v>
      </c>
      <c r="H2347" s="1" t="str">
        <f t="shared" si="3"/>
        <v>Currently Unavailable</v>
      </c>
      <c r="I2347" s="1" t="str">
        <f t="shared" si="4"/>
        <v>No Badges</v>
      </c>
      <c r="J2347" s="3">
        <f t="shared" si="5"/>
        <v>0</v>
      </c>
    </row>
    <row r="2348">
      <c r="A2348" s="1" t="s">
        <v>1898</v>
      </c>
      <c r="B2348" s="3" t="str">
        <f t="shared" si="1"/>
        <v>Unavailable</v>
      </c>
      <c r="C2348" s="3">
        <v>135.0</v>
      </c>
      <c r="D2348" s="3">
        <f>IFERROR(__xludf.DUMMYFUNCTION("IFERROR(
IF(REGEXMATCH(LOWER(O2348),""k""),
VALUE(REGEXEXTRACT(O2348,""[0-9]+""))*1000,
VALUE(REGEXEXTRACT(O2348,""[0-9]+""))
),
0
)"),0.0)</f>
        <v>0</v>
      </c>
      <c r="E2348" s="1" t="s">
        <v>11</v>
      </c>
      <c r="F2348" s="1" t="s">
        <v>20</v>
      </c>
      <c r="G2348" s="4" t="b">
        <f t="shared" si="2"/>
        <v>1</v>
      </c>
      <c r="H2348" s="1" t="str">
        <f t="shared" si="3"/>
        <v>Currently Unavailable</v>
      </c>
      <c r="I2348" s="1" t="str">
        <f t="shared" si="4"/>
        <v>No Badges</v>
      </c>
      <c r="J2348" s="3">
        <f t="shared" si="5"/>
        <v>0</v>
      </c>
    </row>
    <row r="2349">
      <c r="A2349" s="1" t="s">
        <v>1284</v>
      </c>
      <c r="B2349" s="3" t="str">
        <f t="shared" si="1"/>
        <v>Unavailable</v>
      </c>
      <c r="C2349" s="3">
        <v>172.0</v>
      </c>
      <c r="D2349" s="3">
        <f>IFERROR(__xludf.DUMMYFUNCTION("IFERROR(
IF(REGEXMATCH(LOWER(O2349),""k""),
VALUE(REGEXEXTRACT(O2349,""[0-9]+""))*1000,
VALUE(REGEXEXTRACT(O2349,""[0-9]+""))
),
0
)"),0.0)</f>
        <v>0</v>
      </c>
      <c r="E2349" s="1" t="s">
        <v>11</v>
      </c>
      <c r="F2349" s="1" t="s">
        <v>12</v>
      </c>
      <c r="G2349" s="4" t="b">
        <f t="shared" si="2"/>
        <v>1</v>
      </c>
      <c r="H2349" s="1" t="str">
        <f t="shared" si="3"/>
        <v>Currently Unavailable</v>
      </c>
      <c r="I2349" s="1" t="str">
        <f t="shared" si="4"/>
        <v>No Badges</v>
      </c>
      <c r="J2349" s="3">
        <f t="shared" si="5"/>
        <v>0</v>
      </c>
    </row>
    <row r="2350">
      <c r="A2350" s="1" t="s">
        <v>1899</v>
      </c>
      <c r="B2350" s="3" t="str">
        <f t="shared" si="1"/>
        <v>Unavailable</v>
      </c>
      <c r="C2350" s="5">
        <v>90078.0</v>
      </c>
      <c r="D2350" s="3">
        <f>IFERROR(__xludf.DUMMYFUNCTION("IFERROR(
IF(REGEXMATCH(LOWER(O2350),""k""),
VALUE(REGEXEXTRACT(O2350,""[0-9]+""))*1000,
VALUE(REGEXEXTRACT(O2350,""[0-9]+""))
),
0
)"),0.0)</f>
        <v>0</v>
      </c>
      <c r="E2350" s="1" t="s">
        <v>11</v>
      </c>
      <c r="F2350" s="1" t="s">
        <v>20</v>
      </c>
      <c r="G2350" s="4" t="b">
        <f t="shared" si="2"/>
        <v>1</v>
      </c>
      <c r="H2350" s="1" t="str">
        <f t="shared" si="3"/>
        <v>Currently Unavailable</v>
      </c>
      <c r="I2350" s="1" t="str">
        <f t="shared" si="4"/>
        <v>No Badges</v>
      </c>
      <c r="J2350" s="3">
        <f t="shared" si="5"/>
        <v>0</v>
      </c>
    </row>
    <row r="2351">
      <c r="A2351" s="1" t="s">
        <v>1900</v>
      </c>
      <c r="B2351" s="3" t="str">
        <f t="shared" si="1"/>
        <v>Unavailable</v>
      </c>
      <c r="C2351" s="5">
        <v>12714.0</v>
      </c>
      <c r="D2351" s="3">
        <f>IFERROR(__xludf.DUMMYFUNCTION("IFERROR(
IF(REGEXMATCH(LOWER(O2351),""k""),
VALUE(REGEXEXTRACT(O2351,""[0-9]+""))*1000,
VALUE(REGEXEXTRACT(O2351,""[0-9]+""))
),
0
)"),0.0)</f>
        <v>0</v>
      </c>
      <c r="E2351" s="1" t="s">
        <v>11</v>
      </c>
      <c r="F2351" s="1" t="s">
        <v>20</v>
      </c>
      <c r="G2351" s="4" t="b">
        <f t="shared" si="2"/>
        <v>1</v>
      </c>
      <c r="H2351" s="1" t="str">
        <f t="shared" si="3"/>
        <v>Currently Unavailable</v>
      </c>
      <c r="I2351" s="1" t="str">
        <f t="shared" si="4"/>
        <v>No Badges</v>
      </c>
      <c r="J2351" s="3">
        <f t="shared" si="5"/>
        <v>0</v>
      </c>
    </row>
    <row r="2352">
      <c r="A2352" s="1" t="s">
        <v>1901</v>
      </c>
      <c r="B2352" s="3" t="str">
        <f t="shared" si="1"/>
        <v>Unavailable</v>
      </c>
      <c r="C2352" s="5">
        <v>2075.0</v>
      </c>
      <c r="D2352" s="3">
        <f>IFERROR(__xludf.DUMMYFUNCTION("IFERROR(
IF(REGEXMATCH(LOWER(O2352),""k""),
VALUE(REGEXEXTRACT(O2352,""[0-9]+""))*1000,
VALUE(REGEXEXTRACT(O2352,""[0-9]+""))
),
0
)"),0.0)</f>
        <v>0</v>
      </c>
      <c r="E2352" s="1" t="s">
        <v>11</v>
      </c>
      <c r="F2352" s="1" t="s">
        <v>20</v>
      </c>
      <c r="G2352" s="4" t="b">
        <f t="shared" si="2"/>
        <v>1</v>
      </c>
      <c r="H2352" s="1" t="str">
        <f t="shared" si="3"/>
        <v>Currently Unavailable</v>
      </c>
      <c r="I2352" s="1" t="str">
        <f t="shared" si="4"/>
        <v>No Badges</v>
      </c>
      <c r="J2352" s="3">
        <f t="shared" si="5"/>
        <v>0</v>
      </c>
    </row>
    <row r="2353">
      <c r="A2353" s="1" t="s">
        <v>1902</v>
      </c>
      <c r="B2353" s="3" t="str">
        <f t="shared" si="1"/>
        <v>Unavailable</v>
      </c>
      <c r="C2353" s="5">
        <v>1781.0</v>
      </c>
      <c r="D2353" s="3">
        <f>IFERROR(__xludf.DUMMYFUNCTION("IFERROR(
IF(REGEXMATCH(LOWER(O2353),""k""),
VALUE(REGEXEXTRACT(O2353,""[0-9]+""))*1000,
VALUE(REGEXEXTRACT(O2353,""[0-9]+""))
),
0
)"),0.0)</f>
        <v>0</v>
      </c>
      <c r="E2353" s="1" t="s">
        <v>11</v>
      </c>
      <c r="F2353" s="1" t="s">
        <v>20</v>
      </c>
      <c r="G2353" s="4" t="b">
        <f t="shared" si="2"/>
        <v>1</v>
      </c>
      <c r="H2353" s="1" t="str">
        <f t="shared" si="3"/>
        <v>Currently Unavailable</v>
      </c>
      <c r="I2353" s="1" t="str">
        <f t="shared" si="4"/>
        <v>No Badges</v>
      </c>
      <c r="J2353" s="3">
        <f t="shared" si="5"/>
        <v>0</v>
      </c>
    </row>
    <row r="2354">
      <c r="A2354" s="1" t="s">
        <v>1285</v>
      </c>
      <c r="B2354" s="3" t="str">
        <f t="shared" si="1"/>
        <v>Unavailable</v>
      </c>
      <c r="C2354" s="5">
        <v>3520.0</v>
      </c>
      <c r="D2354" s="3">
        <f>IFERROR(__xludf.DUMMYFUNCTION("IFERROR(
IF(REGEXMATCH(LOWER(O2354),""k""),
VALUE(REGEXEXTRACT(O2354,""[0-9]+""))*1000,
VALUE(REGEXEXTRACT(O2354,""[0-9]+""))
),
0
)"),0.0)</f>
        <v>0</v>
      </c>
      <c r="E2354" s="1" t="s">
        <v>11</v>
      </c>
      <c r="F2354" s="1" t="s">
        <v>12</v>
      </c>
      <c r="G2354" s="4" t="b">
        <f t="shared" si="2"/>
        <v>1</v>
      </c>
      <c r="H2354" s="1" t="str">
        <f t="shared" si="3"/>
        <v>Currently Unavailable</v>
      </c>
      <c r="I2354" s="1" t="str">
        <f t="shared" si="4"/>
        <v>No Badges</v>
      </c>
      <c r="J2354" s="3">
        <f t="shared" si="5"/>
        <v>0</v>
      </c>
    </row>
    <row r="2355">
      <c r="A2355" s="1" t="s">
        <v>701</v>
      </c>
      <c r="B2355" s="3" t="str">
        <f t="shared" si="1"/>
        <v>Unavailable</v>
      </c>
      <c r="C2355" s="3">
        <v>8.0</v>
      </c>
      <c r="D2355" s="3">
        <f>IFERROR(__xludf.DUMMYFUNCTION("IFERROR(
IF(REGEXMATCH(LOWER(O2355),""k""),
VALUE(REGEXEXTRACT(O2355,""[0-9]+""))*1000,
VALUE(REGEXEXTRACT(O2355,""[0-9]+""))
),
0
)"),0.0)</f>
        <v>0</v>
      </c>
      <c r="E2355" s="1" t="s">
        <v>11</v>
      </c>
      <c r="F2355" s="1" t="s">
        <v>12</v>
      </c>
      <c r="G2355" s="4" t="b">
        <f t="shared" si="2"/>
        <v>1</v>
      </c>
      <c r="H2355" s="1" t="str">
        <f t="shared" si="3"/>
        <v>Currently Unavailable</v>
      </c>
      <c r="I2355" s="1" t="str">
        <f t="shared" si="4"/>
        <v>No Badges</v>
      </c>
      <c r="J2355" s="3">
        <f t="shared" si="5"/>
        <v>0</v>
      </c>
    </row>
    <row r="2356">
      <c r="A2356" s="1" t="s">
        <v>1800</v>
      </c>
      <c r="B2356" s="3" t="str">
        <f t="shared" si="1"/>
        <v>Unavailable</v>
      </c>
      <c r="C2356" s="5">
        <v>1977.0</v>
      </c>
      <c r="D2356" s="3">
        <f>IFERROR(__xludf.DUMMYFUNCTION("IFERROR(
IF(REGEXMATCH(LOWER(O2356),""k""),
VALUE(REGEXEXTRACT(O2356,""[0-9]+""))*1000,
VALUE(REGEXEXTRACT(O2356,""[0-9]+""))
),
0
)"),0.0)</f>
        <v>0</v>
      </c>
      <c r="E2356" s="1" t="s">
        <v>11</v>
      </c>
      <c r="F2356" s="1" t="s">
        <v>12</v>
      </c>
      <c r="G2356" s="4" t="b">
        <f t="shared" si="2"/>
        <v>1</v>
      </c>
      <c r="H2356" s="1" t="str">
        <f t="shared" si="3"/>
        <v>Currently Unavailable</v>
      </c>
      <c r="I2356" s="1" t="str">
        <f t="shared" si="4"/>
        <v>No Badges</v>
      </c>
      <c r="J2356" s="3">
        <f t="shared" si="5"/>
        <v>0</v>
      </c>
    </row>
    <row r="2357">
      <c r="A2357" s="1" t="s">
        <v>1284</v>
      </c>
      <c r="B2357" s="3" t="str">
        <f t="shared" si="1"/>
        <v>Unavailable</v>
      </c>
      <c r="C2357" s="3">
        <v>172.0</v>
      </c>
      <c r="D2357" s="3">
        <f>IFERROR(__xludf.DUMMYFUNCTION("IFERROR(
IF(REGEXMATCH(LOWER(O2357),""k""),
VALUE(REGEXEXTRACT(O2357,""[0-9]+""))*1000,
VALUE(REGEXEXTRACT(O2357,""[0-9]+""))
),
0
)"),0.0)</f>
        <v>0</v>
      </c>
      <c r="E2357" s="1" t="s">
        <v>18</v>
      </c>
      <c r="F2357" s="1" t="s">
        <v>12</v>
      </c>
      <c r="G2357" s="4" t="b">
        <f t="shared" si="2"/>
        <v>1</v>
      </c>
      <c r="H2357" s="1" t="str">
        <f t="shared" si="3"/>
        <v>Currently Unavailable</v>
      </c>
      <c r="I2357" s="1" t="str">
        <f t="shared" si="4"/>
        <v>No Badges</v>
      </c>
      <c r="J2357" s="3">
        <f t="shared" si="5"/>
        <v>0</v>
      </c>
    </row>
    <row r="2358">
      <c r="A2358" s="1" t="s">
        <v>1903</v>
      </c>
      <c r="B2358" s="3" t="str">
        <f t="shared" si="1"/>
        <v>Unavailable</v>
      </c>
      <c r="C2358" s="5">
        <v>1990.0</v>
      </c>
      <c r="D2358" s="3">
        <f>IFERROR(__xludf.DUMMYFUNCTION("IFERROR(
IF(REGEXMATCH(LOWER(O2358),""k""),
VALUE(REGEXEXTRACT(O2358,""[0-9]+""))*1000,
VALUE(REGEXEXTRACT(O2358,""[0-9]+""))
),
0
)"),0.0)</f>
        <v>0</v>
      </c>
      <c r="E2358" s="1" t="s">
        <v>11</v>
      </c>
      <c r="F2358" s="1" t="s">
        <v>20</v>
      </c>
      <c r="G2358" s="4" t="b">
        <f t="shared" si="2"/>
        <v>1</v>
      </c>
      <c r="H2358" s="1" t="str">
        <f t="shared" si="3"/>
        <v>Currently Unavailable</v>
      </c>
      <c r="I2358" s="1" t="str">
        <f t="shared" si="4"/>
        <v>No Badges</v>
      </c>
      <c r="J2358" s="3">
        <f t="shared" si="5"/>
        <v>0</v>
      </c>
    </row>
    <row r="2359">
      <c r="A2359" s="1" t="s">
        <v>1904</v>
      </c>
      <c r="B2359" s="3" t="str">
        <f t="shared" si="1"/>
        <v>Unavailable</v>
      </c>
      <c r="C2359" s="5">
        <v>2389.0</v>
      </c>
      <c r="D2359" s="3">
        <f>IFERROR(__xludf.DUMMYFUNCTION("IFERROR(
IF(REGEXMATCH(LOWER(O2359),""k""),
VALUE(REGEXEXTRACT(O2359,""[0-9]+""))*1000,
VALUE(REGEXEXTRACT(O2359,""[0-9]+""))
),
0
)"),0.0)</f>
        <v>0</v>
      </c>
      <c r="E2359" s="1" t="s">
        <v>11</v>
      </c>
      <c r="F2359" s="1" t="s">
        <v>20</v>
      </c>
      <c r="G2359" s="4" t="b">
        <f t="shared" si="2"/>
        <v>1</v>
      </c>
      <c r="H2359" s="1" t="str">
        <f t="shared" si="3"/>
        <v>Currently Unavailable</v>
      </c>
      <c r="I2359" s="1" t="str">
        <f t="shared" si="4"/>
        <v>No Badges</v>
      </c>
      <c r="J2359" s="3">
        <f t="shared" si="5"/>
        <v>0</v>
      </c>
    </row>
    <row r="2360">
      <c r="A2360" s="1" t="s">
        <v>1905</v>
      </c>
      <c r="B2360" s="3" t="str">
        <f t="shared" si="1"/>
        <v>Unavailable</v>
      </c>
      <c r="C2360" s="5">
        <v>4094.0</v>
      </c>
      <c r="D2360" s="3">
        <f>IFERROR(__xludf.DUMMYFUNCTION("IFERROR(
IF(REGEXMATCH(LOWER(O2360),""k""),
VALUE(REGEXEXTRACT(O2360,""[0-9]+""))*1000,
VALUE(REGEXEXTRACT(O2360,""[0-9]+""))
),
0
)"),0.0)</f>
        <v>0</v>
      </c>
      <c r="E2360" s="1" t="s">
        <v>11</v>
      </c>
      <c r="F2360" s="1" t="s">
        <v>20</v>
      </c>
      <c r="G2360" s="4" t="b">
        <f t="shared" si="2"/>
        <v>1</v>
      </c>
      <c r="H2360" s="1" t="str">
        <f t="shared" si="3"/>
        <v>Currently Unavailable</v>
      </c>
      <c r="I2360" s="1" t="str">
        <f t="shared" si="4"/>
        <v>No Badges</v>
      </c>
      <c r="J2360" s="3">
        <f t="shared" si="5"/>
        <v>0</v>
      </c>
    </row>
    <row r="2361">
      <c r="A2361" s="1" t="s">
        <v>1906</v>
      </c>
      <c r="B2361" s="3" t="str">
        <f t="shared" si="1"/>
        <v>Unavailable</v>
      </c>
      <c r="C2361" s="5">
        <v>2299.0</v>
      </c>
      <c r="D2361" s="3">
        <f>IFERROR(__xludf.DUMMYFUNCTION("IFERROR(
IF(REGEXMATCH(LOWER(O2361),""k""),
VALUE(REGEXEXTRACT(O2361,""[0-9]+""))*1000,
VALUE(REGEXEXTRACT(O2361,""[0-9]+""))
),
0
)"),0.0)</f>
        <v>0</v>
      </c>
      <c r="E2361" s="1" t="s">
        <v>11</v>
      </c>
      <c r="F2361" s="1" t="s">
        <v>20</v>
      </c>
      <c r="G2361" s="4" t="b">
        <f t="shared" si="2"/>
        <v>1</v>
      </c>
      <c r="H2361" s="1" t="str">
        <f t="shared" si="3"/>
        <v>Currently Unavailable</v>
      </c>
      <c r="I2361" s="1" t="str">
        <f t="shared" si="4"/>
        <v>No Badges</v>
      </c>
      <c r="J2361" s="3">
        <f t="shared" si="5"/>
        <v>0</v>
      </c>
    </row>
    <row r="2362">
      <c r="A2362" s="1" t="s">
        <v>1907</v>
      </c>
      <c r="B2362" s="3" t="str">
        <f t="shared" si="1"/>
        <v>Unavailable</v>
      </c>
      <c r="C2362" s="5">
        <v>4561.0</v>
      </c>
      <c r="D2362" s="3">
        <f>IFERROR(__xludf.DUMMYFUNCTION("IFERROR(
IF(REGEXMATCH(LOWER(O2362),""k""),
VALUE(REGEXEXTRACT(O2362,""[0-9]+""))*1000,
VALUE(REGEXEXTRACT(O2362,""[0-9]+""))
),
0
)"),0.0)</f>
        <v>0</v>
      </c>
      <c r="E2362" s="1" t="s">
        <v>11</v>
      </c>
      <c r="F2362" s="1" t="s">
        <v>20</v>
      </c>
      <c r="G2362" s="4" t="b">
        <f t="shared" si="2"/>
        <v>1</v>
      </c>
      <c r="H2362" s="1" t="str">
        <f t="shared" si="3"/>
        <v>Currently Unavailable</v>
      </c>
      <c r="I2362" s="1" t="str">
        <f t="shared" si="4"/>
        <v>No Badges</v>
      </c>
      <c r="J2362" s="3">
        <f t="shared" si="5"/>
        <v>0</v>
      </c>
    </row>
    <row r="2363">
      <c r="A2363" s="1" t="s">
        <v>1908</v>
      </c>
      <c r="B2363" s="3" t="str">
        <f t="shared" si="1"/>
        <v>Unavailable</v>
      </c>
      <c r="C2363" s="3">
        <v>450.0</v>
      </c>
      <c r="D2363" s="3">
        <f>IFERROR(__xludf.DUMMYFUNCTION("IFERROR(
IF(REGEXMATCH(LOWER(O2363),""k""),
VALUE(REGEXEXTRACT(O2363,""[0-9]+""))*1000,
VALUE(REGEXEXTRACT(O2363,""[0-9]+""))
),
0
)"),0.0)</f>
        <v>0</v>
      </c>
      <c r="E2363" s="1" t="s">
        <v>11</v>
      </c>
      <c r="F2363" s="1" t="s">
        <v>20</v>
      </c>
      <c r="G2363" s="4" t="b">
        <f t="shared" si="2"/>
        <v>1</v>
      </c>
      <c r="H2363" s="1" t="str">
        <f t="shared" si="3"/>
        <v>Currently Unavailable</v>
      </c>
      <c r="I2363" s="1" t="str">
        <f t="shared" si="4"/>
        <v>No Badges</v>
      </c>
      <c r="J2363" s="3">
        <f t="shared" si="5"/>
        <v>0</v>
      </c>
    </row>
    <row r="2364">
      <c r="A2364" s="1" t="s">
        <v>1909</v>
      </c>
      <c r="B2364" s="3" t="str">
        <f t="shared" si="1"/>
        <v>Unavailable</v>
      </c>
      <c r="C2364" s="5">
        <v>3792.0</v>
      </c>
      <c r="D2364" s="3">
        <f>IFERROR(__xludf.DUMMYFUNCTION("IFERROR(
IF(REGEXMATCH(LOWER(O2364),""k""),
VALUE(REGEXEXTRACT(O2364,""[0-9]+""))*1000,
VALUE(REGEXEXTRACT(O2364,""[0-9]+""))
),
0
)"),0.0)</f>
        <v>0</v>
      </c>
      <c r="E2364" s="1" t="s">
        <v>11</v>
      </c>
      <c r="F2364" s="1" t="s">
        <v>20</v>
      </c>
      <c r="G2364" s="4" t="b">
        <f t="shared" si="2"/>
        <v>1</v>
      </c>
      <c r="H2364" s="1" t="str">
        <f t="shared" si="3"/>
        <v>Currently Unavailable</v>
      </c>
      <c r="I2364" s="1" t="str">
        <f t="shared" si="4"/>
        <v>No Badges</v>
      </c>
      <c r="J2364" s="3">
        <f t="shared" si="5"/>
        <v>0</v>
      </c>
    </row>
    <row r="2365">
      <c r="A2365" s="1" t="s">
        <v>1285</v>
      </c>
      <c r="B2365" s="3" t="str">
        <f t="shared" si="1"/>
        <v>Unavailable</v>
      </c>
      <c r="C2365" s="5">
        <v>3520.0</v>
      </c>
      <c r="D2365" s="3">
        <f>IFERROR(__xludf.DUMMYFUNCTION("IFERROR(
IF(REGEXMATCH(LOWER(O2365),""k""),
VALUE(REGEXEXTRACT(O2365,""[0-9]+""))*1000,
VALUE(REGEXEXTRACT(O2365,""[0-9]+""))
),
0
)"),0.0)</f>
        <v>0</v>
      </c>
      <c r="E2365" s="1" t="s">
        <v>11</v>
      </c>
      <c r="F2365" s="1" t="s">
        <v>12</v>
      </c>
      <c r="G2365" s="4" t="b">
        <f t="shared" si="2"/>
        <v>1</v>
      </c>
      <c r="H2365" s="1" t="str">
        <f t="shared" si="3"/>
        <v>Currently Unavailable</v>
      </c>
      <c r="I2365" s="1" t="str">
        <f t="shared" si="4"/>
        <v>No Badges</v>
      </c>
      <c r="J2365" s="3">
        <f t="shared" si="5"/>
        <v>0</v>
      </c>
    </row>
    <row r="2366">
      <c r="A2366" s="1" t="s">
        <v>1284</v>
      </c>
      <c r="B2366" s="3" t="str">
        <f t="shared" si="1"/>
        <v>Unavailable</v>
      </c>
      <c r="C2366" s="3">
        <v>172.0</v>
      </c>
      <c r="D2366" s="3">
        <f>IFERROR(__xludf.DUMMYFUNCTION("IFERROR(
IF(REGEXMATCH(LOWER(O2366),""k""),
VALUE(REGEXEXTRACT(O2366,""[0-9]+""))*1000,
VALUE(REGEXEXTRACT(O2366,""[0-9]+""))
),
0
)"),0.0)</f>
        <v>0</v>
      </c>
      <c r="E2366" s="1" t="s">
        <v>11</v>
      </c>
      <c r="F2366" s="1" t="s">
        <v>12</v>
      </c>
      <c r="G2366" s="4" t="b">
        <f t="shared" si="2"/>
        <v>1</v>
      </c>
      <c r="H2366" s="1" t="str">
        <f t="shared" si="3"/>
        <v>Currently Unavailable</v>
      </c>
      <c r="I2366" s="1" t="str">
        <f t="shared" si="4"/>
        <v>No Badges</v>
      </c>
      <c r="J2366" s="3">
        <f t="shared" si="5"/>
        <v>0</v>
      </c>
    </row>
    <row r="2367">
      <c r="A2367" s="1" t="s">
        <v>1910</v>
      </c>
      <c r="B2367" s="3" t="str">
        <f t="shared" si="1"/>
        <v>Unavailable</v>
      </c>
      <c r="C2367" s="5">
        <v>2477.0</v>
      </c>
      <c r="D2367" s="3">
        <f>IFERROR(__xludf.DUMMYFUNCTION("IFERROR(
IF(REGEXMATCH(LOWER(O2367),""k""),
VALUE(REGEXEXTRACT(O2367,""[0-9]+""))*1000,
VALUE(REGEXEXTRACT(O2367,""[0-9]+""))
),
0
)"),0.0)</f>
        <v>0</v>
      </c>
      <c r="E2367" s="1" t="s">
        <v>11</v>
      </c>
      <c r="F2367" s="1" t="s">
        <v>20</v>
      </c>
      <c r="G2367" s="4" t="b">
        <f t="shared" si="2"/>
        <v>1</v>
      </c>
      <c r="H2367" s="1" t="str">
        <f t="shared" si="3"/>
        <v>Currently Unavailable</v>
      </c>
      <c r="I2367" s="1" t="str">
        <f t="shared" si="4"/>
        <v>No Badges</v>
      </c>
      <c r="J2367" s="3">
        <f t="shared" si="5"/>
        <v>0</v>
      </c>
    </row>
    <row r="2368">
      <c r="A2368" s="1" t="s">
        <v>1911</v>
      </c>
      <c r="B2368" s="3" t="str">
        <f t="shared" si="1"/>
        <v>Unavailable</v>
      </c>
      <c r="C2368" s="5">
        <v>2497.0</v>
      </c>
      <c r="D2368" s="3">
        <f>IFERROR(__xludf.DUMMYFUNCTION("IFERROR(
IF(REGEXMATCH(LOWER(O2368),""k""),
VALUE(REGEXEXTRACT(O2368,""[0-9]+""))*1000,
VALUE(REGEXEXTRACT(O2368,""[0-9]+""))
),
0
)"),0.0)</f>
        <v>0</v>
      </c>
      <c r="E2368" s="1" t="s">
        <v>18</v>
      </c>
      <c r="F2368" s="1" t="s">
        <v>20</v>
      </c>
      <c r="G2368" s="4" t="b">
        <f t="shared" si="2"/>
        <v>1</v>
      </c>
      <c r="H2368" s="1" t="str">
        <f t="shared" si="3"/>
        <v>Currently Unavailable</v>
      </c>
      <c r="I2368" s="1" t="str">
        <f t="shared" si="4"/>
        <v>No Badges</v>
      </c>
      <c r="J2368" s="3">
        <f t="shared" si="5"/>
        <v>0</v>
      </c>
    </row>
    <row r="2369">
      <c r="A2369" s="1" t="s">
        <v>1912</v>
      </c>
      <c r="B2369" s="3" t="str">
        <f t="shared" si="1"/>
        <v>Unavailable</v>
      </c>
      <c r="C2369" s="3">
        <v>769.0</v>
      </c>
      <c r="D2369" s="3">
        <f>IFERROR(__xludf.DUMMYFUNCTION("IFERROR(
IF(REGEXMATCH(LOWER(O2369),""k""),
VALUE(REGEXEXTRACT(O2369,""[0-9]+""))*1000,
VALUE(REGEXEXTRACT(O2369,""[0-9]+""))
),
0
)"),0.0)</f>
        <v>0</v>
      </c>
      <c r="E2369" s="1" t="s">
        <v>11</v>
      </c>
      <c r="F2369" s="1" t="s">
        <v>20</v>
      </c>
      <c r="G2369" s="4" t="b">
        <f t="shared" si="2"/>
        <v>1</v>
      </c>
      <c r="H2369" s="1" t="str">
        <f t="shared" si="3"/>
        <v>Currently Unavailable</v>
      </c>
      <c r="I2369" s="1" t="str">
        <f t="shared" si="4"/>
        <v>No Badges</v>
      </c>
      <c r="J2369" s="3">
        <f t="shared" si="5"/>
        <v>0</v>
      </c>
    </row>
    <row r="2370">
      <c r="A2370" s="1" t="s">
        <v>1913</v>
      </c>
      <c r="B2370" s="3" t="str">
        <f t="shared" si="1"/>
        <v>Unavailable</v>
      </c>
      <c r="C2370" s="5">
        <v>11905.0</v>
      </c>
      <c r="D2370" s="3">
        <f>IFERROR(__xludf.DUMMYFUNCTION("IFERROR(
IF(REGEXMATCH(LOWER(O2370),""k""),
VALUE(REGEXEXTRACT(O2370,""[0-9]+""))*1000,
VALUE(REGEXEXTRACT(O2370,""[0-9]+""))
),
0
)"),0.0)</f>
        <v>0</v>
      </c>
      <c r="E2370" s="1" t="s">
        <v>11</v>
      </c>
      <c r="F2370" s="1" t="s">
        <v>20</v>
      </c>
      <c r="G2370" s="4" t="b">
        <f t="shared" si="2"/>
        <v>1</v>
      </c>
      <c r="H2370" s="1" t="str">
        <f t="shared" si="3"/>
        <v>Currently Unavailable</v>
      </c>
      <c r="I2370" s="1" t="str">
        <f t="shared" si="4"/>
        <v>No Badges</v>
      </c>
      <c r="J2370" s="3">
        <f t="shared" si="5"/>
        <v>0</v>
      </c>
    </row>
    <row r="2371">
      <c r="A2371" s="1" t="s">
        <v>1914</v>
      </c>
      <c r="B2371" s="3" t="str">
        <f t="shared" si="1"/>
        <v>Unavailable</v>
      </c>
      <c r="C2371" s="5">
        <v>2052.0</v>
      </c>
      <c r="D2371" s="3">
        <f>IFERROR(__xludf.DUMMYFUNCTION("IFERROR(
IF(REGEXMATCH(LOWER(O2371),""k""),
VALUE(REGEXEXTRACT(O2371,""[0-9]+""))*1000,
VALUE(REGEXEXTRACT(O2371,""[0-9]+""))
),
0
)"),0.0)</f>
        <v>0</v>
      </c>
      <c r="E2371" s="1" t="s">
        <v>11</v>
      </c>
      <c r="F2371" s="1" t="s">
        <v>20</v>
      </c>
      <c r="G2371" s="4" t="b">
        <f t="shared" si="2"/>
        <v>1</v>
      </c>
      <c r="H2371" s="1" t="str">
        <f t="shared" si="3"/>
        <v>Currently Unavailable</v>
      </c>
      <c r="I2371" s="1" t="str">
        <f t="shared" si="4"/>
        <v>No Badges</v>
      </c>
      <c r="J2371" s="3">
        <f t="shared" si="5"/>
        <v>0</v>
      </c>
    </row>
    <row r="2372">
      <c r="A2372" s="1" t="s">
        <v>1915</v>
      </c>
      <c r="B2372" s="3" t="str">
        <f t="shared" si="1"/>
        <v>Unavailable</v>
      </c>
      <c r="C2372" s="3">
        <v>77.0</v>
      </c>
      <c r="D2372" s="3">
        <f>IFERROR(__xludf.DUMMYFUNCTION("IFERROR(
IF(REGEXMATCH(LOWER(O2372),""k""),
VALUE(REGEXEXTRACT(O2372,""[0-9]+""))*1000,
VALUE(REGEXEXTRACT(O2372,""[0-9]+""))
),
0
)"),0.0)</f>
        <v>0</v>
      </c>
      <c r="E2372" s="1" t="s">
        <v>11</v>
      </c>
      <c r="F2372" s="1" t="s">
        <v>20</v>
      </c>
      <c r="G2372" s="4" t="b">
        <f t="shared" si="2"/>
        <v>1</v>
      </c>
      <c r="H2372" s="1" t="str">
        <f t="shared" si="3"/>
        <v>Currently Unavailable</v>
      </c>
      <c r="I2372" s="1" t="str">
        <f t="shared" si="4"/>
        <v>No Badges</v>
      </c>
      <c r="J2372" s="3">
        <f t="shared" si="5"/>
        <v>0</v>
      </c>
    </row>
    <row r="2373">
      <c r="A2373" s="1" t="s">
        <v>1916</v>
      </c>
      <c r="B2373" s="3" t="str">
        <f t="shared" si="1"/>
        <v>Unavailable</v>
      </c>
      <c r="C2373" s="3">
        <v>619.0</v>
      </c>
      <c r="D2373" s="3">
        <f>IFERROR(__xludf.DUMMYFUNCTION("IFERROR(
IF(REGEXMATCH(LOWER(O2373),""k""),
VALUE(REGEXEXTRACT(O2373,""[0-9]+""))*1000,
VALUE(REGEXEXTRACT(O2373,""[0-9]+""))
),
0
)"),0.0)</f>
        <v>0</v>
      </c>
      <c r="E2373" s="1" t="s">
        <v>11</v>
      </c>
      <c r="F2373" s="1" t="s">
        <v>20</v>
      </c>
      <c r="G2373" s="4" t="b">
        <f t="shared" si="2"/>
        <v>1</v>
      </c>
      <c r="H2373" s="1" t="str">
        <f t="shared" si="3"/>
        <v>Currently Unavailable</v>
      </c>
      <c r="I2373" s="1" t="str">
        <f t="shared" si="4"/>
        <v>No Badges</v>
      </c>
      <c r="J2373" s="3">
        <f t="shared" si="5"/>
        <v>0</v>
      </c>
    </row>
    <row r="2374">
      <c r="A2374" s="1" t="s">
        <v>1917</v>
      </c>
      <c r="B2374" s="3" t="str">
        <f t="shared" si="1"/>
        <v>Unavailable</v>
      </c>
      <c r="C2374" s="5">
        <v>60912.0</v>
      </c>
      <c r="D2374" s="3">
        <f>IFERROR(__xludf.DUMMYFUNCTION("IFERROR(
IF(REGEXMATCH(LOWER(O2374),""k""),
VALUE(REGEXEXTRACT(O2374,""[0-9]+""))*1000,
VALUE(REGEXEXTRACT(O2374,""[0-9]+""))
),
0
)"),0.0)</f>
        <v>0</v>
      </c>
      <c r="E2374" s="1" t="s">
        <v>11</v>
      </c>
      <c r="F2374" s="1" t="s">
        <v>20</v>
      </c>
      <c r="G2374" s="4" t="b">
        <f t="shared" si="2"/>
        <v>1</v>
      </c>
      <c r="H2374" s="1" t="str">
        <f t="shared" si="3"/>
        <v>Currently Unavailable</v>
      </c>
      <c r="I2374" s="1" t="str">
        <f t="shared" si="4"/>
        <v>No Badges</v>
      </c>
      <c r="J2374" s="3">
        <f t="shared" si="5"/>
        <v>0</v>
      </c>
    </row>
    <row r="2375">
      <c r="A2375" s="1" t="s">
        <v>1918</v>
      </c>
      <c r="B2375" s="3" t="str">
        <f t="shared" si="1"/>
        <v>Unavailable</v>
      </c>
      <c r="C2375" s="3">
        <v>56.0</v>
      </c>
      <c r="D2375" s="3">
        <f>IFERROR(__xludf.DUMMYFUNCTION("IFERROR(
IF(REGEXMATCH(LOWER(O2375),""k""),
VALUE(REGEXEXTRACT(O2375,""[0-9]+""))*1000,
VALUE(REGEXEXTRACT(O2375,""[0-9]+""))
),
0
)"),0.0)</f>
        <v>0</v>
      </c>
      <c r="E2375" s="1" t="s">
        <v>11</v>
      </c>
      <c r="F2375" s="1" t="s">
        <v>20</v>
      </c>
      <c r="G2375" s="4" t="b">
        <f t="shared" si="2"/>
        <v>1</v>
      </c>
      <c r="H2375" s="1" t="str">
        <f t="shared" si="3"/>
        <v>Currently Unavailable</v>
      </c>
      <c r="I2375" s="1" t="str">
        <f t="shared" si="4"/>
        <v>No Badges</v>
      </c>
      <c r="J2375" s="3">
        <f t="shared" si="5"/>
        <v>0</v>
      </c>
    </row>
    <row r="2376">
      <c r="A2376" s="1" t="s">
        <v>1919</v>
      </c>
      <c r="B2376" s="3" t="str">
        <f t="shared" si="1"/>
        <v>Unavailable</v>
      </c>
      <c r="C2376" s="3">
        <v>735.0</v>
      </c>
      <c r="D2376" s="3">
        <f>IFERROR(__xludf.DUMMYFUNCTION("IFERROR(
IF(REGEXMATCH(LOWER(O2376),""k""),
VALUE(REGEXEXTRACT(O2376,""[0-9]+""))*1000,
VALUE(REGEXEXTRACT(O2376,""[0-9]+""))
),
0
)"),0.0)</f>
        <v>0</v>
      </c>
      <c r="E2376" s="1" t="s">
        <v>11</v>
      </c>
      <c r="F2376" s="1" t="s">
        <v>20</v>
      </c>
      <c r="G2376" s="4" t="b">
        <f t="shared" si="2"/>
        <v>1</v>
      </c>
      <c r="H2376" s="1" t="str">
        <f t="shared" si="3"/>
        <v>Currently Unavailable</v>
      </c>
      <c r="I2376" s="1" t="str">
        <f t="shared" si="4"/>
        <v>No Badges</v>
      </c>
      <c r="J2376" s="3">
        <f t="shared" si="5"/>
        <v>0</v>
      </c>
    </row>
    <row r="2377">
      <c r="A2377" s="1" t="s">
        <v>1920</v>
      </c>
      <c r="B2377" s="3" t="str">
        <f t="shared" si="1"/>
        <v>Unavailable</v>
      </c>
      <c r="C2377" s="5">
        <v>2482.0</v>
      </c>
      <c r="D2377" s="3">
        <f>IFERROR(__xludf.DUMMYFUNCTION("IFERROR(
IF(REGEXMATCH(LOWER(O2377),""k""),
VALUE(REGEXEXTRACT(O2377,""[0-9]+""))*1000,
VALUE(REGEXEXTRACT(O2377,""[0-9]+""))
),
0
)"),0.0)</f>
        <v>0</v>
      </c>
      <c r="E2377" s="1" t="s">
        <v>18</v>
      </c>
      <c r="F2377" s="1" t="s">
        <v>12</v>
      </c>
      <c r="G2377" s="4" t="b">
        <f t="shared" si="2"/>
        <v>1</v>
      </c>
      <c r="H2377" s="1" t="str">
        <f t="shared" si="3"/>
        <v>Currently Unavailable</v>
      </c>
      <c r="I2377" s="1" t="str">
        <f t="shared" si="4"/>
        <v>No Badges</v>
      </c>
      <c r="J2377" s="3">
        <f t="shared" si="5"/>
        <v>0</v>
      </c>
    </row>
    <row r="2378">
      <c r="A2378" s="1" t="s">
        <v>1284</v>
      </c>
      <c r="B2378" s="3" t="str">
        <f t="shared" si="1"/>
        <v>Unavailable</v>
      </c>
      <c r="C2378" s="3">
        <v>172.0</v>
      </c>
      <c r="D2378" s="3">
        <f>IFERROR(__xludf.DUMMYFUNCTION("IFERROR(
IF(REGEXMATCH(LOWER(O2378),""k""),
VALUE(REGEXEXTRACT(O2378,""[0-9]+""))*1000,
VALUE(REGEXEXTRACT(O2378,""[0-9]+""))
),
0
)"),0.0)</f>
        <v>0</v>
      </c>
      <c r="E2378" s="1" t="s">
        <v>11</v>
      </c>
      <c r="F2378" s="1" t="s">
        <v>12</v>
      </c>
      <c r="G2378" s="4" t="b">
        <f t="shared" si="2"/>
        <v>1</v>
      </c>
      <c r="H2378" s="1" t="str">
        <f t="shared" si="3"/>
        <v>Currently Unavailable</v>
      </c>
      <c r="I2378" s="1" t="str">
        <f t="shared" si="4"/>
        <v>No Badges</v>
      </c>
      <c r="J2378" s="3">
        <f t="shared" si="5"/>
        <v>0</v>
      </c>
    </row>
    <row r="2379">
      <c r="A2379" s="1" t="s">
        <v>1921</v>
      </c>
      <c r="B2379" s="3" t="str">
        <f t="shared" si="1"/>
        <v>Unavailable</v>
      </c>
      <c r="C2379" s="5">
        <v>9552.0</v>
      </c>
      <c r="D2379" s="3">
        <f>IFERROR(__xludf.DUMMYFUNCTION("IFERROR(
IF(REGEXMATCH(LOWER(O2379),""k""),
VALUE(REGEXEXTRACT(O2379,""[0-9]+""))*1000,
VALUE(REGEXEXTRACT(O2379,""[0-9]+""))
),
0
)"),0.0)</f>
        <v>0</v>
      </c>
      <c r="E2379" s="1" t="s">
        <v>11</v>
      </c>
      <c r="F2379" s="1" t="s">
        <v>20</v>
      </c>
      <c r="G2379" s="4" t="b">
        <f t="shared" si="2"/>
        <v>1</v>
      </c>
      <c r="H2379" s="1" t="str">
        <f t="shared" si="3"/>
        <v>Currently Unavailable</v>
      </c>
      <c r="I2379" s="1" t="str">
        <f t="shared" si="4"/>
        <v>No Badges</v>
      </c>
      <c r="J2379" s="3">
        <f t="shared" si="5"/>
        <v>0</v>
      </c>
    </row>
    <row r="2380">
      <c r="A2380" s="1" t="s">
        <v>1922</v>
      </c>
      <c r="B2380" s="3" t="str">
        <f t="shared" si="1"/>
        <v>Unavailable</v>
      </c>
      <c r="C2380" s="5">
        <v>4091.0</v>
      </c>
      <c r="D2380" s="3">
        <f>IFERROR(__xludf.DUMMYFUNCTION("IFERROR(
IF(REGEXMATCH(LOWER(O2380),""k""),
VALUE(REGEXEXTRACT(O2380,""[0-9]+""))*1000,
VALUE(REGEXEXTRACT(O2380,""[0-9]+""))
),
0
)"),0.0)</f>
        <v>0</v>
      </c>
      <c r="E2380" s="1" t="s">
        <v>11</v>
      </c>
      <c r="F2380" s="1" t="s">
        <v>20</v>
      </c>
      <c r="G2380" s="4" t="b">
        <f t="shared" si="2"/>
        <v>1</v>
      </c>
      <c r="H2380" s="1" t="str">
        <f t="shared" si="3"/>
        <v>Currently Unavailable</v>
      </c>
      <c r="I2380" s="1" t="str">
        <f t="shared" si="4"/>
        <v>No Badges</v>
      </c>
      <c r="J2380" s="3">
        <f t="shared" si="5"/>
        <v>0</v>
      </c>
    </row>
    <row r="2381">
      <c r="A2381" s="1" t="s">
        <v>1923</v>
      </c>
      <c r="B2381" s="3" t="str">
        <f t="shared" si="1"/>
        <v>Unavailable</v>
      </c>
      <c r="C2381" s="5">
        <v>53372.0</v>
      </c>
      <c r="D2381" s="3">
        <f>IFERROR(__xludf.DUMMYFUNCTION("IFERROR(
IF(REGEXMATCH(LOWER(O2381),""k""),
VALUE(REGEXEXTRACT(O2381,""[0-9]+""))*1000,
VALUE(REGEXEXTRACT(O2381,""[0-9]+""))
),
0
)"),0.0)</f>
        <v>0</v>
      </c>
      <c r="E2381" s="1" t="s">
        <v>11</v>
      </c>
      <c r="F2381" s="1" t="s">
        <v>20</v>
      </c>
      <c r="G2381" s="4" t="b">
        <f t="shared" si="2"/>
        <v>1</v>
      </c>
      <c r="H2381" s="1" t="str">
        <f t="shared" si="3"/>
        <v>Currently Unavailable</v>
      </c>
      <c r="I2381" s="1" t="str">
        <f t="shared" si="4"/>
        <v>No Badges</v>
      </c>
      <c r="J2381" s="3">
        <f t="shared" si="5"/>
        <v>0</v>
      </c>
    </row>
    <row r="2382">
      <c r="A2382" s="1" t="s">
        <v>1924</v>
      </c>
      <c r="B2382" s="3" t="str">
        <f t="shared" si="1"/>
        <v>Unavailable</v>
      </c>
      <c r="C2382" s="5">
        <v>1878.0</v>
      </c>
      <c r="D2382" s="3">
        <f>IFERROR(__xludf.DUMMYFUNCTION("IFERROR(
IF(REGEXMATCH(LOWER(O2382),""k""),
VALUE(REGEXEXTRACT(O2382,""[0-9]+""))*1000,
VALUE(REGEXEXTRACT(O2382,""[0-9]+""))
),
0
)"),0.0)</f>
        <v>0</v>
      </c>
      <c r="E2382" s="1" t="s">
        <v>11</v>
      </c>
      <c r="F2382" s="1" t="s">
        <v>20</v>
      </c>
      <c r="G2382" s="4" t="b">
        <f t="shared" si="2"/>
        <v>1</v>
      </c>
      <c r="H2382" s="1" t="str">
        <f t="shared" si="3"/>
        <v>Currently Unavailable</v>
      </c>
      <c r="I2382" s="1" t="str">
        <f t="shared" si="4"/>
        <v>No Badges</v>
      </c>
      <c r="J2382" s="3">
        <f t="shared" si="5"/>
        <v>0</v>
      </c>
    </row>
    <row r="2383">
      <c r="A2383" s="1" t="s">
        <v>69</v>
      </c>
      <c r="B2383" s="3" t="str">
        <f t="shared" si="1"/>
        <v>Unavailable</v>
      </c>
      <c r="C2383" s="3">
        <v>45.0</v>
      </c>
      <c r="D2383" s="3">
        <f>IFERROR(__xludf.DUMMYFUNCTION("IFERROR(
IF(REGEXMATCH(LOWER(O2383),""k""),
VALUE(REGEXEXTRACT(O2383,""[0-9]+""))*1000,
VALUE(REGEXEXTRACT(O2383,""[0-9]+""))
),
0
)"),0.0)</f>
        <v>0</v>
      </c>
      <c r="E2383" s="1" t="s">
        <v>11</v>
      </c>
      <c r="F2383" s="1" t="s">
        <v>12</v>
      </c>
      <c r="G2383" s="4" t="b">
        <f t="shared" si="2"/>
        <v>1</v>
      </c>
      <c r="H2383" s="1" t="str">
        <f t="shared" si="3"/>
        <v>Currently Unavailable</v>
      </c>
      <c r="I2383" s="1" t="str">
        <f t="shared" si="4"/>
        <v>No Badges</v>
      </c>
      <c r="J2383" s="3">
        <f t="shared" si="5"/>
        <v>0</v>
      </c>
    </row>
    <row r="2384">
      <c r="A2384" s="1" t="s">
        <v>1925</v>
      </c>
      <c r="B2384" s="3" t="str">
        <f t="shared" si="1"/>
        <v>Unavailable</v>
      </c>
      <c r="C2384" s="5">
        <v>11750.0</v>
      </c>
      <c r="D2384" s="3">
        <f>IFERROR(__xludf.DUMMYFUNCTION("IFERROR(
IF(REGEXMATCH(LOWER(O2384),""k""),
VALUE(REGEXEXTRACT(O2384,""[0-9]+""))*1000,
VALUE(REGEXEXTRACT(O2384,""[0-9]+""))
),
0
)"),0.0)</f>
        <v>0</v>
      </c>
      <c r="E2384" s="1" t="s">
        <v>11</v>
      </c>
      <c r="F2384" s="1" t="s">
        <v>20</v>
      </c>
      <c r="G2384" s="4" t="b">
        <f t="shared" si="2"/>
        <v>1</v>
      </c>
      <c r="H2384" s="1" t="str">
        <f t="shared" si="3"/>
        <v>Currently Unavailable</v>
      </c>
      <c r="I2384" s="1" t="str">
        <f t="shared" si="4"/>
        <v>No Badges</v>
      </c>
      <c r="J2384" s="3">
        <f t="shared" si="5"/>
        <v>0</v>
      </c>
    </row>
    <row r="2385">
      <c r="A2385" s="1" t="s">
        <v>1926</v>
      </c>
      <c r="B2385" s="3" t="str">
        <f t="shared" si="1"/>
        <v>Unavailable</v>
      </c>
      <c r="C2385" s="5">
        <v>40553.0</v>
      </c>
      <c r="D2385" s="3">
        <f>IFERROR(__xludf.DUMMYFUNCTION("IFERROR(
IF(REGEXMATCH(LOWER(O2385),""k""),
VALUE(REGEXEXTRACT(O2385,""[0-9]+""))*1000,
VALUE(REGEXEXTRACT(O2385,""[0-9]+""))
),
0
)"),0.0)</f>
        <v>0</v>
      </c>
      <c r="E2385" s="1" t="s">
        <v>11</v>
      </c>
      <c r="F2385" s="1" t="s">
        <v>20</v>
      </c>
      <c r="G2385" s="4" t="b">
        <f t="shared" si="2"/>
        <v>1</v>
      </c>
      <c r="H2385" s="1" t="str">
        <f t="shared" si="3"/>
        <v>Currently Unavailable</v>
      </c>
      <c r="I2385" s="1" t="str">
        <f t="shared" si="4"/>
        <v>No Badges</v>
      </c>
      <c r="J2385" s="3">
        <f t="shared" si="5"/>
        <v>0</v>
      </c>
    </row>
    <row r="2386">
      <c r="A2386" s="1" t="s">
        <v>1927</v>
      </c>
      <c r="B2386" s="3" t="str">
        <f t="shared" si="1"/>
        <v>Unavailable</v>
      </c>
      <c r="C2386" s="3">
        <v>143.0</v>
      </c>
      <c r="D2386" s="3">
        <f>IFERROR(__xludf.DUMMYFUNCTION("IFERROR(
IF(REGEXMATCH(LOWER(O2386),""k""),
VALUE(REGEXEXTRACT(O2386,""[0-9]+""))*1000,
VALUE(REGEXEXTRACT(O2386,""[0-9]+""))
),
0
)"),0.0)</f>
        <v>0</v>
      </c>
      <c r="E2386" s="1" t="s">
        <v>11</v>
      </c>
      <c r="F2386" s="1" t="s">
        <v>20</v>
      </c>
      <c r="G2386" s="4" t="b">
        <f t="shared" si="2"/>
        <v>1</v>
      </c>
      <c r="H2386" s="1" t="str">
        <f t="shared" si="3"/>
        <v>Currently Unavailable</v>
      </c>
      <c r="I2386" s="1" t="str">
        <f t="shared" si="4"/>
        <v>No Badges</v>
      </c>
      <c r="J2386" s="3">
        <f t="shared" si="5"/>
        <v>0</v>
      </c>
    </row>
    <row r="2387">
      <c r="A2387" s="1" t="s">
        <v>1928</v>
      </c>
      <c r="B2387" s="3" t="str">
        <f t="shared" si="1"/>
        <v>Unavailable</v>
      </c>
      <c r="C2387" s="5">
        <v>10078.0</v>
      </c>
      <c r="D2387" s="3">
        <f>IFERROR(__xludf.DUMMYFUNCTION("IFERROR(
IF(REGEXMATCH(LOWER(O2387),""k""),
VALUE(REGEXEXTRACT(O2387,""[0-9]+""))*1000,
VALUE(REGEXEXTRACT(O2387,""[0-9]+""))
),
0
)"),0.0)</f>
        <v>0</v>
      </c>
      <c r="E2387" s="1" t="s">
        <v>11</v>
      </c>
      <c r="F2387" s="1" t="s">
        <v>20</v>
      </c>
      <c r="G2387" s="4" t="b">
        <f t="shared" si="2"/>
        <v>1</v>
      </c>
      <c r="H2387" s="1" t="str">
        <f t="shared" si="3"/>
        <v>Currently Unavailable</v>
      </c>
      <c r="I2387" s="1" t="str">
        <f t="shared" si="4"/>
        <v>No Badges</v>
      </c>
      <c r="J2387" s="3">
        <f t="shared" si="5"/>
        <v>0</v>
      </c>
    </row>
    <row r="2388">
      <c r="A2388" s="1" t="s">
        <v>1285</v>
      </c>
      <c r="B2388" s="3" t="str">
        <f t="shared" si="1"/>
        <v>Unavailable</v>
      </c>
      <c r="C2388" s="5">
        <v>3520.0</v>
      </c>
      <c r="D2388" s="3">
        <f>IFERROR(__xludf.DUMMYFUNCTION("IFERROR(
IF(REGEXMATCH(LOWER(O2388),""k""),
VALUE(REGEXEXTRACT(O2388,""[0-9]+""))*1000,
VALUE(REGEXEXTRACT(O2388,""[0-9]+""))
),
0
)"),0.0)</f>
        <v>0</v>
      </c>
      <c r="E2388" s="1" t="s">
        <v>11</v>
      </c>
      <c r="F2388" s="1" t="s">
        <v>12</v>
      </c>
      <c r="G2388" s="4" t="b">
        <f t="shared" si="2"/>
        <v>1</v>
      </c>
      <c r="H2388" s="1" t="str">
        <f t="shared" si="3"/>
        <v>Currently Unavailable</v>
      </c>
      <c r="I2388" s="1" t="str">
        <f t="shared" si="4"/>
        <v>No Badges</v>
      </c>
      <c r="J2388" s="3">
        <f t="shared" si="5"/>
        <v>0</v>
      </c>
    </row>
    <row r="2389">
      <c r="A2389" s="1" t="s">
        <v>1929</v>
      </c>
      <c r="B2389" s="3" t="str">
        <f t="shared" si="1"/>
        <v>Unavailable</v>
      </c>
      <c r="C2389" s="5">
        <v>7170.0</v>
      </c>
      <c r="D2389" s="3">
        <f>IFERROR(__xludf.DUMMYFUNCTION("IFERROR(
IF(REGEXMATCH(LOWER(O2389),""k""),
VALUE(REGEXEXTRACT(O2389,""[0-9]+""))*1000,
VALUE(REGEXEXTRACT(O2389,""[0-9]+""))
),
0
)"),0.0)</f>
        <v>0</v>
      </c>
      <c r="E2389" s="1" t="s">
        <v>11</v>
      </c>
      <c r="F2389" s="1" t="s">
        <v>20</v>
      </c>
      <c r="G2389" s="4" t="b">
        <f t="shared" si="2"/>
        <v>1</v>
      </c>
      <c r="H2389" s="1" t="str">
        <f t="shared" si="3"/>
        <v>Currently Unavailable</v>
      </c>
      <c r="I2389" s="1" t="str">
        <f t="shared" si="4"/>
        <v>No Badges</v>
      </c>
      <c r="J2389" s="3">
        <f t="shared" si="5"/>
        <v>0</v>
      </c>
    </row>
    <row r="2390">
      <c r="A2390" s="1" t="s">
        <v>1930</v>
      </c>
      <c r="B2390" s="3" t="str">
        <f t="shared" si="1"/>
        <v>Unavailable</v>
      </c>
      <c r="C2390" s="5">
        <v>1055.0</v>
      </c>
      <c r="D2390" s="3">
        <f>IFERROR(__xludf.DUMMYFUNCTION("IFERROR(
IF(REGEXMATCH(LOWER(O2390),""k""),
VALUE(REGEXEXTRACT(O2390,""[0-9]+""))*1000,
VALUE(REGEXEXTRACT(O2390,""[0-9]+""))
),
0
)"),0.0)</f>
        <v>0</v>
      </c>
      <c r="E2390" s="1" t="s">
        <v>11</v>
      </c>
      <c r="F2390" s="1" t="s">
        <v>20</v>
      </c>
      <c r="G2390" s="4" t="b">
        <f t="shared" si="2"/>
        <v>1</v>
      </c>
      <c r="H2390" s="1" t="str">
        <f t="shared" si="3"/>
        <v>Currently Unavailable</v>
      </c>
      <c r="I2390" s="1" t="str">
        <f t="shared" si="4"/>
        <v>No Badges</v>
      </c>
      <c r="J2390" s="3">
        <f t="shared" si="5"/>
        <v>0</v>
      </c>
    </row>
    <row r="2391">
      <c r="A2391" s="1" t="s">
        <v>1931</v>
      </c>
      <c r="B2391" s="3" t="str">
        <f t="shared" si="1"/>
        <v>Unavailable</v>
      </c>
      <c r="C2391" s="5">
        <v>3864.0</v>
      </c>
      <c r="D2391" s="3">
        <f>IFERROR(__xludf.DUMMYFUNCTION("IFERROR(
IF(REGEXMATCH(LOWER(O2391),""k""),
VALUE(REGEXEXTRACT(O2391,""[0-9]+""))*1000,
VALUE(REGEXEXTRACT(O2391,""[0-9]+""))
),
0
)"),0.0)</f>
        <v>0</v>
      </c>
      <c r="E2391" s="1" t="s">
        <v>11</v>
      </c>
      <c r="F2391" s="1" t="s">
        <v>20</v>
      </c>
      <c r="G2391" s="4" t="b">
        <f t="shared" si="2"/>
        <v>1</v>
      </c>
      <c r="H2391" s="1" t="str">
        <f t="shared" si="3"/>
        <v>Currently Unavailable</v>
      </c>
      <c r="I2391" s="1" t="str">
        <f t="shared" si="4"/>
        <v>No Badges</v>
      </c>
      <c r="J2391" s="3">
        <f t="shared" si="5"/>
        <v>0</v>
      </c>
    </row>
    <row r="2392">
      <c r="A2392" s="1" t="s">
        <v>1932</v>
      </c>
      <c r="B2392" s="3" t="str">
        <f t="shared" si="1"/>
        <v>Unavailable</v>
      </c>
      <c r="C2392" s="5">
        <v>1574.0</v>
      </c>
      <c r="D2392" s="3">
        <f>IFERROR(__xludf.DUMMYFUNCTION("IFERROR(
IF(REGEXMATCH(LOWER(O2392),""k""),
VALUE(REGEXEXTRACT(O2392,""[0-9]+""))*1000,
VALUE(REGEXEXTRACT(O2392,""[0-9]+""))
),
0
)"),0.0)</f>
        <v>0</v>
      </c>
      <c r="E2392" s="1" t="s">
        <v>11</v>
      </c>
      <c r="F2392" s="1" t="s">
        <v>20</v>
      </c>
      <c r="G2392" s="4" t="b">
        <f t="shared" si="2"/>
        <v>1</v>
      </c>
      <c r="H2392" s="1" t="str">
        <f t="shared" si="3"/>
        <v>Currently Unavailable</v>
      </c>
      <c r="I2392" s="1" t="str">
        <f t="shared" si="4"/>
        <v>No Badges</v>
      </c>
      <c r="J2392" s="3">
        <f t="shared" si="5"/>
        <v>0</v>
      </c>
    </row>
    <row r="2393">
      <c r="A2393" s="1" t="s">
        <v>1933</v>
      </c>
      <c r="B2393" s="3" t="str">
        <f t="shared" si="1"/>
        <v>Unavailable</v>
      </c>
      <c r="C2393" s="3">
        <v>317.0</v>
      </c>
      <c r="D2393" s="3">
        <f>IFERROR(__xludf.DUMMYFUNCTION("IFERROR(
IF(REGEXMATCH(LOWER(O2393),""k""),
VALUE(REGEXEXTRACT(O2393,""[0-9]+""))*1000,
VALUE(REGEXEXTRACT(O2393,""[0-9]+""))
),
0
)"),0.0)</f>
        <v>0</v>
      </c>
      <c r="E2393" s="1" t="s">
        <v>18</v>
      </c>
      <c r="F2393" s="1" t="s">
        <v>20</v>
      </c>
      <c r="G2393" s="4" t="b">
        <f t="shared" si="2"/>
        <v>1</v>
      </c>
      <c r="H2393" s="1" t="str">
        <f t="shared" si="3"/>
        <v>Currently Unavailable</v>
      </c>
      <c r="I2393" s="1" t="str">
        <f t="shared" si="4"/>
        <v>No Badges</v>
      </c>
      <c r="J2393" s="3">
        <f t="shared" si="5"/>
        <v>0</v>
      </c>
    </row>
    <row r="2394">
      <c r="A2394" s="1" t="s">
        <v>1934</v>
      </c>
      <c r="B2394" s="3" t="str">
        <f t="shared" si="1"/>
        <v>Unavailable</v>
      </c>
      <c r="C2394" s="5">
        <v>3665.0</v>
      </c>
      <c r="D2394" s="3">
        <f>IFERROR(__xludf.DUMMYFUNCTION("IFERROR(
IF(REGEXMATCH(LOWER(O2394),""k""),
VALUE(REGEXEXTRACT(O2394,""[0-9]+""))*1000,
VALUE(REGEXEXTRACT(O2394,""[0-9]+""))
),
0
)"),0.0)</f>
        <v>0</v>
      </c>
      <c r="E2394" s="1" t="s">
        <v>11</v>
      </c>
      <c r="F2394" s="1" t="s">
        <v>20</v>
      </c>
      <c r="G2394" s="4" t="b">
        <f t="shared" si="2"/>
        <v>1</v>
      </c>
      <c r="H2394" s="1" t="str">
        <f t="shared" si="3"/>
        <v>Currently Unavailable</v>
      </c>
      <c r="I2394" s="1" t="str">
        <f t="shared" si="4"/>
        <v>No Badges</v>
      </c>
      <c r="J2394" s="3">
        <f t="shared" si="5"/>
        <v>0</v>
      </c>
    </row>
    <row r="2395">
      <c r="A2395" s="1" t="s">
        <v>1935</v>
      </c>
      <c r="B2395" s="3" t="str">
        <f t="shared" si="1"/>
        <v>Unavailable</v>
      </c>
      <c r="C2395" s="5">
        <v>10064.0</v>
      </c>
      <c r="D2395" s="3">
        <f>IFERROR(__xludf.DUMMYFUNCTION("IFERROR(
IF(REGEXMATCH(LOWER(O2395),""k""),
VALUE(REGEXEXTRACT(O2395,""[0-9]+""))*1000,
VALUE(REGEXEXTRACT(O2395,""[0-9]+""))
),
0
)"),0.0)</f>
        <v>0</v>
      </c>
      <c r="E2395" s="1" t="s">
        <v>11</v>
      </c>
      <c r="F2395" s="1" t="s">
        <v>20</v>
      </c>
      <c r="G2395" s="4" t="b">
        <f t="shared" si="2"/>
        <v>1</v>
      </c>
      <c r="H2395" s="1" t="str">
        <f t="shared" si="3"/>
        <v>Currently Unavailable</v>
      </c>
      <c r="I2395" s="1" t="str">
        <f t="shared" si="4"/>
        <v>No Badges</v>
      </c>
      <c r="J2395" s="3">
        <f t="shared" si="5"/>
        <v>0</v>
      </c>
    </row>
    <row r="2396">
      <c r="A2396" s="1" t="s">
        <v>1284</v>
      </c>
      <c r="B2396" s="3" t="str">
        <f t="shared" si="1"/>
        <v>Unavailable</v>
      </c>
      <c r="C2396" s="3">
        <v>172.0</v>
      </c>
      <c r="D2396" s="3">
        <f>IFERROR(__xludf.DUMMYFUNCTION("IFERROR(
IF(REGEXMATCH(LOWER(O2396),""k""),
VALUE(REGEXEXTRACT(O2396,""[0-9]+""))*1000,
VALUE(REGEXEXTRACT(O2396,""[0-9]+""))
),
0
)"),0.0)</f>
        <v>0</v>
      </c>
      <c r="E2396" s="1" t="s">
        <v>11</v>
      </c>
      <c r="F2396" s="1" t="s">
        <v>12</v>
      </c>
      <c r="G2396" s="4" t="b">
        <f t="shared" si="2"/>
        <v>1</v>
      </c>
      <c r="H2396" s="1" t="str">
        <f t="shared" si="3"/>
        <v>Currently Unavailable</v>
      </c>
      <c r="I2396" s="1" t="str">
        <f t="shared" si="4"/>
        <v>No Badges</v>
      </c>
      <c r="J2396" s="3">
        <f t="shared" si="5"/>
        <v>0</v>
      </c>
    </row>
    <row r="2397">
      <c r="A2397" s="1" t="s">
        <v>67</v>
      </c>
      <c r="B2397" s="3" t="str">
        <f t="shared" si="1"/>
        <v>Unavailable</v>
      </c>
      <c r="C2397" s="3">
        <v>264.0</v>
      </c>
      <c r="D2397" s="3">
        <f>IFERROR(__xludf.DUMMYFUNCTION("IFERROR(
IF(REGEXMATCH(LOWER(O2397),""k""),
VALUE(REGEXEXTRACT(O2397,""[0-9]+""))*1000,
VALUE(REGEXEXTRACT(O2397,""[0-9]+""))
),
0
)"),0.0)</f>
        <v>0</v>
      </c>
      <c r="E2397" s="1" t="s">
        <v>11</v>
      </c>
      <c r="F2397" s="1" t="s">
        <v>12</v>
      </c>
      <c r="G2397" s="4" t="b">
        <f t="shared" si="2"/>
        <v>1</v>
      </c>
      <c r="H2397" s="1" t="str">
        <f t="shared" si="3"/>
        <v>Currently Unavailable</v>
      </c>
      <c r="I2397" s="1" t="str">
        <f t="shared" si="4"/>
        <v>No Badges</v>
      </c>
      <c r="J2397" s="3">
        <f t="shared" si="5"/>
        <v>0</v>
      </c>
    </row>
    <row r="2398">
      <c r="A2398" s="1" t="s">
        <v>1936</v>
      </c>
      <c r="B2398" s="3" t="str">
        <f t="shared" si="1"/>
        <v>Unavailable</v>
      </c>
      <c r="C2398" s="5">
        <v>5959.0</v>
      </c>
      <c r="D2398" s="3">
        <f>IFERROR(__xludf.DUMMYFUNCTION("IFERROR(
IF(REGEXMATCH(LOWER(O2398),""k""),
VALUE(REGEXEXTRACT(O2398,""[0-9]+""))*1000,
VALUE(REGEXEXTRACT(O2398,""[0-9]+""))
),
0
)"),0.0)</f>
        <v>0</v>
      </c>
      <c r="E2398" s="1" t="s">
        <v>11</v>
      </c>
      <c r="F2398" s="1" t="s">
        <v>20</v>
      </c>
      <c r="G2398" s="4" t="b">
        <f t="shared" si="2"/>
        <v>1</v>
      </c>
      <c r="H2398" s="1" t="str">
        <f t="shared" si="3"/>
        <v>Currently Unavailable</v>
      </c>
      <c r="I2398" s="1" t="str">
        <f t="shared" si="4"/>
        <v>No Badges</v>
      </c>
      <c r="J2398" s="3">
        <f t="shared" si="5"/>
        <v>0</v>
      </c>
    </row>
    <row r="2399">
      <c r="A2399" s="1" t="s">
        <v>1937</v>
      </c>
      <c r="B2399" s="3" t="str">
        <f t="shared" si="1"/>
        <v>Unavailable</v>
      </c>
      <c r="C2399" s="5">
        <v>20286.0</v>
      </c>
      <c r="D2399" s="3">
        <f>IFERROR(__xludf.DUMMYFUNCTION("IFERROR(
IF(REGEXMATCH(LOWER(O2399),""k""),
VALUE(REGEXEXTRACT(O2399,""[0-9]+""))*1000,
VALUE(REGEXEXTRACT(O2399,""[0-9]+""))
),
0
)"),0.0)</f>
        <v>0</v>
      </c>
      <c r="E2399" s="1" t="s">
        <v>11</v>
      </c>
      <c r="F2399" s="1" t="s">
        <v>20</v>
      </c>
      <c r="G2399" s="4" t="b">
        <f t="shared" si="2"/>
        <v>1</v>
      </c>
      <c r="H2399" s="1" t="str">
        <f t="shared" si="3"/>
        <v>Currently Unavailable</v>
      </c>
      <c r="I2399" s="1" t="str">
        <f t="shared" si="4"/>
        <v>No Badges</v>
      </c>
      <c r="J2399" s="3">
        <f t="shared" si="5"/>
        <v>0</v>
      </c>
    </row>
    <row r="2400">
      <c r="A2400" s="1" t="s">
        <v>1938</v>
      </c>
      <c r="B2400" s="3" t="str">
        <f t="shared" si="1"/>
        <v>Unavailable</v>
      </c>
      <c r="C2400" s="5">
        <v>6323.0</v>
      </c>
      <c r="D2400" s="3">
        <f>IFERROR(__xludf.DUMMYFUNCTION("IFERROR(
IF(REGEXMATCH(LOWER(O2400),""k""),
VALUE(REGEXEXTRACT(O2400,""[0-9]+""))*1000,
VALUE(REGEXEXTRACT(O2400,""[0-9]+""))
),
0
)"),0.0)</f>
        <v>0</v>
      </c>
      <c r="E2400" s="1" t="s">
        <v>11</v>
      </c>
      <c r="F2400" s="1" t="s">
        <v>20</v>
      </c>
      <c r="G2400" s="4" t="b">
        <f t="shared" si="2"/>
        <v>1</v>
      </c>
      <c r="H2400" s="1" t="str">
        <f t="shared" si="3"/>
        <v>Currently Unavailable</v>
      </c>
      <c r="I2400" s="1" t="str">
        <f t="shared" si="4"/>
        <v>No Badges</v>
      </c>
      <c r="J2400" s="3">
        <f t="shared" si="5"/>
        <v>0</v>
      </c>
    </row>
    <row r="2401">
      <c r="A2401" s="1" t="s">
        <v>1939</v>
      </c>
      <c r="B2401" s="3" t="str">
        <f t="shared" si="1"/>
        <v>Unavailable</v>
      </c>
      <c r="C2401" s="5">
        <v>2575.0</v>
      </c>
      <c r="D2401" s="3">
        <f>IFERROR(__xludf.DUMMYFUNCTION("IFERROR(
IF(REGEXMATCH(LOWER(O2401),""k""),
VALUE(REGEXEXTRACT(O2401,""[0-9]+""))*1000,
VALUE(REGEXEXTRACT(O2401,""[0-9]+""))
),
0
)"),0.0)</f>
        <v>0</v>
      </c>
      <c r="E2401" s="1" t="s">
        <v>11</v>
      </c>
      <c r="F2401" s="1" t="s">
        <v>20</v>
      </c>
      <c r="G2401" s="4" t="b">
        <f t="shared" si="2"/>
        <v>1</v>
      </c>
      <c r="H2401" s="1" t="str">
        <f t="shared" si="3"/>
        <v>Currently Unavailable</v>
      </c>
      <c r="I2401" s="1" t="str">
        <f t="shared" si="4"/>
        <v>No Badges</v>
      </c>
      <c r="J2401" s="3">
        <f t="shared" si="5"/>
        <v>0</v>
      </c>
    </row>
    <row r="2402">
      <c r="A2402" s="1" t="s">
        <v>1285</v>
      </c>
      <c r="B2402" s="3" t="str">
        <f t="shared" si="1"/>
        <v>Unavailable</v>
      </c>
      <c r="C2402" s="5">
        <v>3520.0</v>
      </c>
      <c r="D2402" s="3">
        <f>IFERROR(__xludf.DUMMYFUNCTION("IFERROR(
IF(REGEXMATCH(LOWER(O2402),""k""),
VALUE(REGEXEXTRACT(O2402,""[0-9]+""))*1000,
VALUE(REGEXEXTRACT(O2402,""[0-9]+""))
),
0
)"),0.0)</f>
        <v>0</v>
      </c>
      <c r="E2402" s="1" t="s">
        <v>11</v>
      </c>
      <c r="F2402" s="1" t="s">
        <v>12</v>
      </c>
      <c r="G2402" s="4" t="b">
        <f t="shared" si="2"/>
        <v>1</v>
      </c>
      <c r="H2402" s="1" t="str">
        <f t="shared" si="3"/>
        <v>Currently Unavailable</v>
      </c>
      <c r="I2402" s="1" t="str">
        <f t="shared" si="4"/>
        <v>No Badges</v>
      </c>
      <c r="J2402" s="3">
        <f t="shared" si="5"/>
        <v>0</v>
      </c>
    </row>
    <row r="2403">
      <c r="A2403" s="1" t="s">
        <v>1285</v>
      </c>
      <c r="B2403" s="3" t="str">
        <f t="shared" si="1"/>
        <v>Unavailable</v>
      </c>
      <c r="C2403" s="5">
        <v>3520.0</v>
      </c>
      <c r="D2403" s="3">
        <f>IFERROR(__xludf.DUMMYFUNCTION("IFERROR(
IF(REGEXMATCH(LOWER(O2403),""k""),
VALUE(REGEXEXTRACT(O2403,""[0-9]+""))*1000,
VALUE(REGEXEXTRACT(O2403,""[0-9]+""))
),
0
)"),0.0)</f>
        <v>0</v>
      </c>
      <c r="E2403" s="1" t="s">
        <v>11</v>
      </c>
      <c r="F2403" s="1" t="s">
        <v>12</v>
      </c>
      <c r="G2403" s="4" t="b">
        <f t="shared" si="2"/>
        <v>1</v>
      </c>
      <c r="H2403" s="1" t="str">
        <f t="shared" si="3"/>
        <v>Currently Unavailable</v>
      </c>
      <c r="I2403" s="1" t="str">
        <f t="shared" si="4"/>
        <v>No Badges</v>
      </c>
      <c r="J2403" s="3">
        <f t="shared" si="5"/>
        <v>0</v>
      </c>
    </row>
    <row r="2404">
      <c r="A2404" s="1" t="s">
        <v>1284</v>
      </c>
      <c r="B2404" s="3" t="str">
        <f t="shared" si="1"/>
        <v>Unavailable</v>
      </c>
      <c r="C2404" s="3">
        <v>172.0</v>
      </c>
      <c r="D2404" s="3">
        <f>IFERROR(__xludf.DUMMYFUNCTION("IFERROR(
IF(REGEXMATCH(LOWER(O2404),""k""),
VALUE(REGEXEXTRACT(O2404,""[0-9]+""))*1000,
VALUE(REGEXEXTRACT(O2404,""[0-9]+""))
),
0
)"),0.0)</f>
        <v>0</v>
      </c>
      <c r="E2404" s="1" t="s">
        <v>11</v>
      </c>
      <c r="F2404" s="1" t="s">
        <v>12</v>
      </c>
      <c r="G2404" s="4" t="b">
        <f t="shared" si="2"/>
        <v>1</v>
      </c>
      <c r="H2404" s="1" t="str">
        <f t="shared" si="3"/>
        <v>Currently Unavailable</v>
      </c>
      <c r="I2404" s="1" t="str">
        <f t="shared" si="4"/>
        <v>No Badges</v>
      </c>
      <c r="J2404" s="3">
        <f t="shared" si="5"/>
        <v>0</v>
      </c>
    </row>
    <row r="2405">
      <c r="A2405" s="1" t="s">
        <v>1940</v>
      </c>
      <c r="B2405" s="3" t="str">
        <f t="shared" si="1"/>
        <v>Unavailable</v>
      </c>
      <c r="C2405" s="5">
        <v>51287.0</v>
      </c>
      <c r="D2405" s="3">
        <f>IFERROR(__xludf.DUMMYFUNCTION("IFERROR(
IF(REGEXMATCH(LOWER(O2405),""k""),
VALUE(REGEXEXTRACT(O2405,""[0-9]+""))*1000,
VALUE(REGEXEXTRACT(O2405,""[0-9]+""))
),
0
)"),0.0)</f>
        <v>0</v>
      </c>
      <c r="E2405" s="1" t="s">
        <v>11</v>
      </c>
      <c r="F2405" s="1" t="s">
        <v>20</v>
      </c>
      <c r="G2405" s="4" t="b">
        <f t="shared" si="2"/>
        <v>1</v>
      </c>
      <c r="H2405" s="1" t="str">
        <f t="shared" si="3"/>
        <v>Currently Unavailable</v>
      </c>
      <c r="I2405" s="1" t="str">
        <f t="shared" si="4"/>
        <v>No Badges</v>
      </c>
      <c r="J2405" s="3">
        <f t="shared" si="5"/>
        <v>0</v>
      </c>
    </row>
    <row r="2406">
      <c r="A2406" s="1" t="s">
        <v>1941</v>
      </c>
      <c r="B2406" s="3" t="str">
        <f t="shared" si="1"/>
        <v>Unavailable</v>
      </c>
      <c r="C2406" s="5">
        <v>4219.0</v>
      </c>
      <c r="D2406" s="3">
        <f>IFERROR(__xludf.DUMMYFUNCTION("IFERROR(
IF(REGEXMATCH(LOWER(O2406),""k""),
VALUE(REGEXEXTRACT(O2406,""[0-9]+""))*1000,
VALUE(REGEXEXTRACT(O2406,""[0-9]+""))
),
0
)"),0.0)</f>
        <v>0</v>
      </c>
      <c r="E2406" s="1" t="s">
        <v>11</v>
      </c>
      <c r="F2406" s="1" t="s">
        <v>20</v>
      </c>
      <c r="G2406" s="4" t="b">
        <f t="shared" si="2"/>
        <v>1</v>
      </c>
      <c r="H2406" s="1" t="str">
        <f t="shared" si="3"/>
        <v>Currently Unavailable</v>
      </c>
      <c r="I2406" s="1" t="str">
        <f t="shared" si="4"/>
        <v>No Badges</v>
      </c>
      <c r="J2406" s="3">
        <f t="shared" si="5"/>
        <v>0</v>
      </c>
    </row>
    <row r="2407">
      <c r="A2407" s="1" t="s">
        <v>1942</v>
      </c>
      <c r="B2407" s="3" t="str">
        <f t="shared" si="1"/>
        <v>Unavailable</v>
      </c>
      <c r="C2407" s="5">
        <v>18144.0</v>
      </c>
      <c r="D2407" s="3">
        <f>IFERROR(__xludf.DUMMYFUNCTION("IFERROR(
IF(REGEXMATCH(LOWER(O2407),""k""),
VALUE(REGEXEXTRACT(O2407,""[0-9]+""))*1000,
VALUE(REGEXEXTRACT(O2407,""[0-9]+""))
),
0
)"),0.0)</f>
        <v>0</v>
      </c>
      <c r="E2407" s="1" t="s">
        <v>11</v>
      </c>
      <c r="F2407" s="1" t="s">
        <v>20</v>
      </c>
      <c r="G2407" s="4" t="b">
        <f t="shared" si="2"/>
        <v>1</v>
      </c>
      <c r="H2407" s="1" t="str">
        <f t="shared" si="3"/>
        <v>Currently Unavailable</v>
      </c>
      <c r="I2407" s="1" t="str">
        <f t="shared" si="4"/>
        <v>No Badges</v>
      </c>
      <c r="J2407" s="3">
        <f t="shared" si="5"/>
        <v>0</v>
      </c>
    </row>
    <row r="2408">
      <c r="A2408" s="1" t="s">
        <v>1943</v>
      </c>
      <c r="B2408" s="3" t="str">
        <f t="shared" si="1"/>
        <v>Unavailable</v>
      </c>
      <c r="C2408" s="5">
        <v>1114.0</v>
      </c>
      <c r="D2408" s="3">
        <f>IFERROR(__xludf.DUMMYFUNCTION("IFERROR(
IF(REGEXMATCH(LOWER(O2408),""k""),
VALUE(REGEXEXTRACT(O2408,""[0-9]+""))*1000,
VALUE(REGEXEXTRACT(O2408,""[0-9]+""))
),
0
)"),0.0)</f>
        <v>0</v>
      </c>
      <c r="E2408" s="1" t="s">
        <v>11</v>
      </c>
      <c r="F2408" s="1" t="s">
        <v>20</v>
      </c>
      <c r="G2408" s="4" t="b">
        <f t="shared" si="2"/>
        <v>1</v>
      </c>
      <c r="H2408" s="1" t="str">
        <f t="shared" si="3"/>
        <v>Currently Unavailable</v>
      </c>
      <c r="I2408" s="1" t="str">
        <f t="shared" si="4"/>
        <v>No Badges</v>
      </c>
      <c r="J2408" s="3">
        <f t="shared" si="5"/>
        <v>0</v>
      </c>
    </row>
    <row r="2409">
      <c r="A2409" s="1" t="s">
        <v>1944</v>
      </c>
      <c r="B2409" s="3" t="str">
        <f t="shared" si="1"/>
        <v>Unavailable</v>
      </c>
      <c r="C2409" s="3">
        <v>848.0</v>
      </c>
      <c r="D2409" s="3">
        <f>IFERROR(__xludf.DUMMYFUNCTION("IFERROR(
IF(REGEXMATCH(LOWER(O2409),""k""),
VALUE(REGEXEXTRACT(O2409,""[0-9]+""))*1000,
VALUE(REGEXEXTRACT(O2409,""[0-9]+""))
),
0
)"),0.0)</f>
        <v>0</v>
      </c>
      <c r="E2409" s="1" t="s">
        <v>11</v>
      </c>
      <c r="F2409" s="1" t="s">
        <v>20</v>
      </c>
      <c r="G2409" s="4" t="b">
        <f t="shared" si="2"/>
        <v>1</v>
      </c>
      <c r="H2409" s="1" t="str">
        <f t="shared" si="3"/>
        <v>Currently Unavailable</v>
      </c>
      <c r="I2409" s="1" t="str">
        <f t="shared" si="4"/>
        <v>No Badges</v>
      </c>
      <c r="J2409" s="3">
        <f t="shared" si="5"/>
        <v>0</v>
      </c>
    </row>
    <row r="2410">
      <c r="A2410" s="1" t="s">
        <v>1945</v>
      </c>
      <c r="B2410" s="3" t="str">
        <f t="shared" si="1"/>
        <v>Unavailable</v>
      </c>
      <c r="C2410" s="5">
        <v>2043.0</v>
      </c>
      <c r="D2410" s="3">
        <f>IFERROR(__xludf.DUMMYFUNCTION("IFERROR(
IF(REGEXMATCH(LOWER(O2410),""k""),
VALUE(REGEXEXTRACT(O2410,""[0-9]+""))*1000,
VALUE(REGEXEXTRACT(O2410,""[0-9]+""))
),
0
)"),0.0)</f>
        <v>0</v>
      </c>
      <c r="E2410" s="1" t="s">
        <v>11</v>
      </c>
      <c r="F2410" s="1" t="s">
        <v>20</v>
      </c>
      <c r="G2410" s="4" t="b">
        <f t="shared" si="2"/>
        <v>1</v>
      </c>
      <c r="H2410" s="1" t="str">
        <f t="shared" si="3"/>
        <v>Currently Unavailable</v>
      </c>
      <c r="I2410" s="1" t="str">
        <f t="shared" si="4"/>
        <v>No Badges</v>
      </c>
      <c r="J2410" s="3">
        <f t="shared" si="5"/>
        <v>0</v>
      </c>
    </row>
    <row r="2411">
      <c r="A2411" s="1" t="s">
        <v>1946</v>
      </c>
      <c r="B2411" s="3" t="str">
        <f t="shared" si="1"/>
        <v>Unavailable</v>
      </c>
      <c r="C2411" s="5">
        <v>111991.0</v>
      </c>
      <c r="D2411" s="3">
        <f>IFERROR(__xludf.DUMMYFUNCTION("IFERROR(
IF(REGEXMATCH(LOWER(O2411),""k""),
VALUE(REGEXEXTRACT(O2411,""[0-9]+""))*1000,
VALUE(REGEXEXTRACT(O2411,""[0-9]+""))
),
0
)"),0.0)</f>
        <v>0</v>
      </c>
      <c r="E2411" s="1" t="s">
        <v>11</v>
      </c>
      <c r="F2411" s="1" t="s">
        <v>20</v>
      </c>
      <c r="G2411" s="4" t="b">
        <f t="shared" si="2"/>
        <v>1</v>
      </c>
      <c r="H2411" s="1" t="str">
        <f t="shared" si="3"/>
        <v>Currently Unavailable</v>
      </c>
      <c r="I2411" s="1" t="str">
        <f t="shared" si="4"/>
        <v>No Badges</v>
      </c>
      <c r="J2411" s="3">
        <f t="shared" si="5"/>
        <v>0</v>
      </c>
    </row>
    <row r="2412">
      <c r="A2412" s="1" t="s">
        <v>1284</v>
      </c>
      <c r="B2412" s="3" t="str">
        <f t="shared" si="1"/>
        <v>Unavailable</v>
      </c>
      <c r="C2412" s="3">
        <v>172.0</v>
      </c>
      <c r="D2412" s="3">
        <f>IFERROR(__xludf.DUMMYFUNCTION("IFERROR(
IF(REGEXMATCH(LOWER(O2412),""k""),
VALUE(REGEXEXTRACT(O2412,""[0-9]+""))*1000,
VALUE(REGEXEXTRACT(O2412,""[0-9]+""))
),
0
)"),0.0)</f>
        <v>0</v>
      </c>
      <c r="E2412" s="1" t="s">
        <v>11</v>
      </c>
      <c r="F2412" s="1" t="s">
        <v>12</v>
      </c>
      <c r="G2412" s="4" t="b">
        <f t="shared" si="2"/>
        <v>1</v>
      </c>
      <c r="H2412" s="1" t="str">
        <f t="shared" si="3"/>
        <v>Currently Unavailable</v>
      </c>
      <c r="I2412" s="1" t="str">
        <f t="shared" si="4"/>
        <v>No Badges</v>
      </c>
      <c r="J2412" s="3">
        <f t="shared" si="5"/>
        <v>0</v>
      </c>
    </row>
    <row r="2413">
      <c r="A2413" s="1" t="s">
        <v>1624</v>
      </c>
      <c r="B2413" s="3" t="str">
        <f t="shared" si="1"/>
        <v>Unavailable</v>
      </c>
      <c r="C2413" s="3">
        <v>14.0</v>
      </c>
      <c r="D2413" s="3">
        <f>IFERROR(__xludf.DUMMYFUNCTION("IFERROR(
IF(REGEXMATCH(LOWER(O2413),""k""),
VALUE(REGEXEXTRACT(O2413,""[0-9]+""))*1000,
VALUE(REGEXEXTRACT(O2413,""[0-9]+""))
),
0
)"),0.0)</f>
        <v>0</v>
      </c>
      <c r="E2413" s="1" t="s">
        <v>11</v>
      </c>
      <c r="F2413" s="1" t="s">
        <v>12</v>
      </c>
      <c r="G2413" s="4" t="b">
        <f t="shared" si="2"/>
        <v>1</v>
      </c>
      <c r="H2413" s="1" t="str">
        <f t="shared" si="3"/>
        <v>Currently Unavailable</v>
      </c>
      <c r="I2413" s="1" t="str">
        <f t="shared" si="4"/>
        <v>No Badges</v>
      </c>
      <c r="J2413" s="3">
        <f t="shared" si="5"/>
        <v>0</v>
      </c>
    </row>
    <row r="2414">
      <c r="A2414" s="1" t="s">
        <v>1947</v>
      </c>
      <c r="B2414" s="3" t="str">
        <f t="shared" si="1"/>
        <v>Unavailable</v>
      </c>
      <c r="C2414" s="3">
        <v>288.0</v>
      </c>
      <c r="D2414" s="3">
        <f>IFERROR(__xludf.DUMMYFUNCTION("IFERROR(
IF(REGEXMATCH(LOWER(O2414),""k""),
VALUE(REGEXEXTRACT(O2414,""[0-9]+""))*1000,
VALUE(REGEXEXTRACT(O2414,""[0-9]+""))
),
0
)"),0.0)</f>
        <v>0</v>
      </c>
      <c r="E2414" s="1" t="s">
        <v>11</v>
      </c>
      <c r="F2414" s="1" t="s">
        <v>20</v>
      </c>
      <c r="G2414" s="4" t="b">
        <f t="shared" si="2"/>
        <v>1</v>
      </c>
      <c r="H2414" s="1" t="str">
        <f t="shared" si="3"/>
        <v>Currently Unavailable</v>
      </c>
      <c r="I2414" s="1" t="str">
        <f t="shared" si="4"/>
        <v>No Badges</v>
      </c>
      <c r="J2414" s="3">
        <f t="shared" si="5"/>
        <v>0</v>
      </c>
    </row>
    <row r="2415">
      <c r="A2415" s="1" t="s">
        <v>1948</v>
      </c>
      <c r="B2415" s="3" t="str">
        <f t="shared" si="1"/>
        <v>Unavailable</v>
      </c>
      <c r="C2415" s="5">
        <v>3783.0</v>
      </c>
      <c r="D2415" s="3">
        <f>IFERROR(__xludf.DUMMYFUNCTION("IFERROR(
IF(REGEXMATCH(LOWER(O2415),""k""),
VALUE(REGEXEXTRACT(O2415,""[0-9]+""))*1000,
VALUE(REGEXEXTRACT(O2415,""[0-9]+""))
),
0
)"),0.0)</f>
        <v>0</v>
      </c>
      <c r="E2415" s="1" t="s">
        <v>11</v>
      </c>
      <c r="F2415" s="1" t="s">
        <v>20</v>
      </c>
      <c r="G2415" s="4" t="b">
        <f t="shared" si="2"/>
        <v>1</v>
      </c>
      <c r="H2415" s="1" t="str">
        <f t="shared" si="3"/>
        <v>Currently Unavailable</v>
      </c>
      <c r="I2415" s="1" t="str">
        <f t="shared" si="4"/>
        <v>No Badges</v>
      </c>
      <c r="J2415" s="3">
        <f t="shared" si="5"/>
        <v>0</v>
      </c>
    </row>
    <row r="2416">
      <c r="A2416" s="1" t="s">
        <v>69</v>
      </c>
      <c r="B2416" s="3" t="str">
        <f t="shared" si="1"/>
        <v>Unavailable</v>
      </c>
      <c r="C2416" s="3">
        <v>45.0</v>
      </c>
      <c r="D2416" s="3">
        <f>IFERROR(__xludf.DUMMYFUNCTION("IFERROR(
IF(REGEXMATCH(LOWER(O2416),""k""),
VALUE(REGEXEXTRACT(O2416,""[0-9]+""))*1000,
VALUE(REGEXEXTRACT(O2416,""[0-9]+""))
),
0
)"),0.0)</f>
        <v>0</v>
      </c>
      <c r="E2416" s="1" t="s">
        <v>11</v>
      </c>
      <c r="F2416" s="1" t="s">
        <v>12</v>
      </c>
      <c r="G2416" s="4" t="b">
        <f t="shared" si="2"/>
        <v>1</v>
      </c>
      <c r="H2416" s="1" t="str">
        <f t="shared" si="3"/>
        <v>Currently Unavailable</v>
      </c>
      <c r="I2416" s="1" t="str">
        <f t="shared" si="4"/>
        <v>No Badges</v>
      </c>
      <c r="J2416" s="3">
        <f t="shared" si="5"/>
        <v>0</v>
      </c>
    </row>
    <row r="2417">
      <c r="A2417" s="1" t="s">
        <v>1949</v>
      </c>
      <c r="B2417" s="3" t="str">
        <f t="shared" si="1"/>
        <v>Unavailable</v>
      </c>
      <c r="C2417" s="5">
        <v>3340.0</v>
      </c>
      <c r="D2417" s="3">
        <f>IFERROR(__xludf.DUMMYFUNCTION("IFERROR(
IF(REGEXMATCH(LOWER(O2417),""k""),
VALUE(REGEXEXTRACT(O2417,""[0-9]+""))*1000,
VALUE(REGEXEXTRACT(O2417,""[0-9]+""))
),
0
)"),0.0)</f>
        <v>0</v>
      </c>
      <c r="E2417" s="1" t="s">
        <v>11</v>
      </c>
      <c r="F2417" s="1" t="s">
        <v>20</v>
      </c>
      <c r="G2417" s="4" t="b">
        <f t="shared" si="2"/>
        <v>1</v>
      </c>
      <c r="H2417" s="1" t="str">
        <f t="shared" si="3"/>
        <v>Currently Unavailable</v>
      </c>
      <c r="I2417" s="1" t="str">
        <f t="shared" si="4"/>
        <v>No Badges</v>
      </c>
      <c r="J2417" s="3">
        <f t="shared" si="5"/>
        <v>0</v>
      </c>
    </row>
    <row r="2418">
      <c r="A2418" s="1" t="s">
        <v>1950</v>
      </c>
      <c r="B2418" s="3" t="str">
        <f t="shared" si="1"/>
        <v>Unavailable</v>
      </c>
      <c r="C2418" s="3">
        <v>456.0</v>
      </c>
      <c r="D2418" s="3">
        <f>IFERROR(__xludf.DUMMYFUNCTION("IFERROR(
IF(REGEXMATCH(LOWER(O2418),""k""),
VALUE(REGEXEXTRACT(O2418,""[0-9]+""))*1000,
VALUE(REGEXEXTRACT(O2418,""[0-9]+""))
),
0
)"),0.0)</f>
        <v>0</v>
      </c>
      <c r="E2418" s="1" t="s">
        <v>11</v>
      </c>
      <c r="F2418" s="1" t="s">
        <v>20</v>
      </c>
      <c r="G2418" s="4" t="b">
        <f t="shared" si="2"/>
        <v>1</v>
      </c>
      <c r="H2418" s="1" t="str">
        <f t="shared" si="3"/>
        <v>Currently Unavailable</v>
      </c>
      <c r="I2418" s="1" t="str">
        <f t="shared" si="4"/>
        <v>No Badges</v>
      </c>
      <c r="J2418" s="3">
        <f t="shared" si="5"/>
        <v>0</v>
      </c>
    </row>
    <row r="2419">
      <c r="A2419" s="1" t="s">
        <v>1951</v>
      </c>
      <c r="B2419" s="3" t="str">
        <f t="shared" si="1"/>
        <v>Unavailable</v>
      </c>
      <c r="C2419" s="5">
        <v>1511.0</v>
      </c>
      <c r="D2419" s="3">
        <f>IFERROR(__xludf.DUMMYFUNCTION("IFERROR(
IF(REGEXMATCH(LOWER(O2419),""k""),
VALUE(REGEXEXTRACT(O2419,""[0-9]+""))*1000,
VALUE(REGEXEXTRACT(O2419,""[0-9]+""))
),
0
)"),0.0)</f>
        <v>0</v>
      </c>
      <c r="E2419" s="1" t="s">
        <v>11</v>
      </c>
      <c r="F2419" s="1" t="s">
        <v>20</v>
      </c>
      <c r="G2419" s="4" t="b">
        <f t="shared" si="2"/>
        <v>1</v>
      </c>
      <c r="H2419" s="1" t="str">
        <f t="shared" si="3"/>
        <v>Currently Unavailable</v>
      </c>
      <c r="I2419" s="1" t="str">
        <f t="shared" si="4"/>
        <v>No Badges</v>
      </c>
      <c r="J2419" s="3">
        <f t="shared" si="5"/>
        <v>0</v>
      </c>
    </row>
    <row r="2420">
      <c r="A2420" s="1" t="s">
        <v>1952</v>
      </c>
      <c r="B2420" s="3" t="str">
        <f t="shared" si="1"/>
        <v>Unavailable</v>
      </c>
      <c r="C2420" s="5">
        <v>1766.0</v>
      </c>
      <c r="D2420" s="3">
        <f>IFERROR(__xludf.DUMMYFUNCTION("IFERROR(
IF(REGEXMATCH(LOWER(O2420),""k""),
VALUE(REGEXEXTRACT(O2420,""[0-9]+""))*1000,
VALUE(REGEXEXTRACT(O2420,""[0-9]+""))
),
0
)"),0.0)</f>
        <v>0</v>
      </c>
      <c r="E2420" s="1" t="s">
        <v>11</v>
      </c>
      <c r="F2420" s="1" t="s">
        <v>20</v>
      </c>
      <c r="G2420" s="4" t="b">
        <f t="shared" si="2"/>
        <v>1</v>
      </c>
      <c r="H2420" s="1" t="str">
        <f t="shared" si="3"/>
        <v>Currently Unavailable</v>
      </c>
      <c r="I2420" s="1" t="str">
        <f t="shared" si="4"/>
        <v>No Badges</v>
      </c>
      <c r="J2420" s="3">
        <f t="shared" si="5"/>
        <v>0</v>
      </c>
    </row>
    <row r="2421">
      <c r="A2421" s="1" t="s">
        <v>1953</v>
      </c>
      <c r="B2421" s="3" t="str">
        <f t="shared" si="1"/>
        <v>Unavailable</v>
      </c>
      <c r="C2421" s="3">
        <v>6.0</v>
      </c>
      <c r="D2421" s="3">
        <f>IFERROR(__xludf.DUMMYFUNCTION("IFERROR(
IF(REGEXMATCH(LOWER(O2421),""k""),
VALUE(REGEXEXTRACT(O2421,""[0-9]+""))*1000,
VALUE(REGEXEXTRACT(O2421,""[0-9]+""))
),
0
)"),0.0)</f>
        <v>0</v>
      </c>
      <c r="E2421" s="1" t="s">
        <v>11</v>
      </c>
      <c r="F2421" s="1" t="s">
        <v>20</v>
      </c>
      <c r="G2421" s="4" t="b">
        <f t="shared" si="2"/>
        <v>1</v>
      </c>
      <c r="H2421" s="1" t="str">
        <f t="shared" si="3"/>
        <v>Currently Unavailable</v>
      </c>
      <c r="I2421" s="1" t="str">
        <f t="shared" si="4"/>
        <v>No Badges</v>
      </c>
      <c r="J2421" s="3">
        <f t="shared" si="5"/>
        <v>0</v>
      </c>
    </row>
    <row r="2422">
      <c r="A2422" s="1" t="s">
        <v>1954</v>
      </c>
      <c r="B2422" s="3" t="str">
        <f t="shared" si="1"/>
        <v>Unavailable</v>
      </c>
      <c r="C2422" s="3">
        <v>798.0</v>
      </c>
      <c r="D2422" s="3">
        <f>IFERROR(__xludf.DUMMYFUNCTION("IFERROR(
IF(REGEXMATCH(LOWER(O2422),""k""),
VALUE(REGEXEXTRACT(O2422,""[0-9]+""))*1000,
VALUE(REGEXEXTRACT(O2422,""[0-9]+""))
),
0
)"),0.0)</f>
        <v>0</v>
      </c>
      <c r="E2422" s="1" t="s">
        <v>11</v>
      </c>
      <c r="F2422" s="1" t="s">
        <v>20</v>
      </c>
      <c r="G2422" s="4" t="b">
        <f t="shared" si="2"/>
        <v>1</v>
      </c>
      <c r="H2422" s="1" t="str">
        <f t="shared" si="3"/>
        <v>Currently Unavailable</v>
      </c>
      <c r="I2422" s="1" t="str">
        <f t="shared" si="4"/>
        <v>No Badges</v>
      </c>
      <c r="J2422" s="3">
        <f t="shared" si="5"/>
        <v>0</v>
      </c>
    </row>
    <row r="2423">
      <c r="A2423" s="1" t="s">
        <v>1955</v>
      </c>
      <c r="B2423" s="3" t="str">
        <f t="shared" si="1"/>
        <v>Unavailable</v>
      </c>
      <c r="C2423" s="5">
        <v>1417.0</v>
      </c>
      <c r="D2423" s="3">
        <f>IFERROR(__xludf.DUMMYFUNCTION("IFERROR(
IF(REGEXMATCH(LOWER(O2423),""k""),
VALUE(REGEXEXTRACT(O2423,""[0-9]+""))*1000,
VALUE(REGEXEXTRACT(O2423,""[0-9]+""))
),
0
)"),0.0)</f>
        <v>0</v>
      </c>
      <c r="E2423" s="1" t="s">
        <v>11</v>
      </c>
      <c r="F2423" s="1" t="s">
        <v>20</v>
      </c>
      <c r="G2423" s="4" t="b">
        <f t="shared" si="2"/>
        <v>1</v>
      </c>
      <c r="H2423" s="1" t="str">
        <f t="shared" si="3"/>
        <v>Currently Unavailable</v>
      </c>
      <c r="I2423" s="1" t="str">
        <f t="shared" si="4"/>
        <v>No Badges</v>
      </c>
      <c r="J2423" s="3">
        <f t="shared" si="5"/>
        <v>0</v>
      </c>
    </row>
    <row r="2424">
      <c r="A2424" s="1" t="s">
        <v>1956</v>
      </c>
      <c r="B2424" s="3" t="str">
        <f t="shared" si="1"/>
        <v>Unavailable</v>
      </c>
      <c r="C2424" s="5">
        <v>1422.0</v>
      </c>
      <c r="D2424" s="3">
        <f>IFERROR(__xludf.DUMMYFUNCTION("IFERROR(
IF(REGEXMATCH(LOWER(O2424),""k""),
VALUE(REGEXEXTRACT(O2424,""[0-9]+""))*1000,
VALUE(REGEXEXTRACT(O2424,""[0-9]+""))
),
0
)"),0.0)</f>
        <v>0</v>
      </c>
      <c r="E2424" s="1" t="s">
        <v>11</v>
      </c>
      <c r="F2424" s="1" t="s">
        <v>20</v>
      </c>
      <c r="G2424" s="4" t="b">
        <f t="shared" si="2"/>
        <v>1</v>
      </c>
      <c r="H2424" s="1" t="str">
        <f t="shared" si="3"/>
        <v>Currently Unavailable</v>
      </c>
      <c r="I2424" s="1" t="str">
        <f t="shared" si="4"/>
        <v>No Badges</v>
      </c>
      <c r="J2424" s="3">
        <f t="shared" si="5"/>
        <v>0</v>
      </c>
    </row>
    <row r="2425">
      <c r="A2425" s="1" t="s">
        <v>1957</v>
      </c>
      <c r="B2425" s="3" t="str">
        <f t="shared" si="1"/>
        <v>Unavailable</v>
      </c>
      <c r="C2425" s="5">
        <v>4736.0</v>
      </c>
      <c r="D2425" s="3">
        <f>IFERROR(__xludf.DUMMYFUNCTION("IFERROR(
IF(REGEXMATCH(LOWER(O2425),""k""),
VALUE(REGEXEXTRACT(O2425,""[0-9]+""))*1000,
VALUE(REGEXEXTRACT(O2425,""[0-9]+""))
),
0
)"),0.0)</f>
        <v>0</v>
      </c>
      <c r="E2425" s="1" t="s">
        <v>11</v>
      </c>
      <c r="F2425" s="1" t="s">
        <v>20</v>
      </c>
      <c r="G2425" s="4" t="b">
        <f t="shared" si="2"/>
        <v>1</v>
      </c>
      <c r="H2425" s="1" t="str">
        <f t="shared" si="3"/>
        <v>Currently Unavailable</v>
      </c>
      <c r="I2425" s="1" t="str">
        <f t="shared" si="4"/>
        <v>No Badges</v>
      </c>
      <c r="J2425" s="3">
        <f t="shared" si="5"/>
        <v>0</v>
      </c>
    </row>
    <row r="2426">
      <c r="A2426" s="1" t="s">
        <v>1958</v>
      </c>
      <c r="B2426" s="3" t="str">
        <f t="shared" si="1"/>
        <v>Unavailable</v>
      </c>
      <c r="C2426" s="5">
        <v>1765.0</v>
      </c>
      <c r="D2426" s="3">
        <f>IFERROR(__xludf.DUMMYFUNCTION("IFERROR(
IF(REGEXMATCH(LOWER(O2426),""k""),
VALUE(REGEXEXTRACT(O2426,""[0-9]+""))*1000,
VALUE(REGEXEXTRACT(O2426,""[0-9]+""))
),
0
)"),0.0)</f>
        <v>0</v>
      </c>
      <c r="E2426" s="1" t="s">
        <v>11</v>
      </c>
      <c r="F2426" s="1" t="s">
        <v>20</v>
      </c>
      <c r="G2426" s="4" t="b">
        <f t="shared" si="2"/>
        <v>1</v>
      </c>
      <c r="H2426" s="1" t="str">
        <f t="shared" si="3"/>
        <v>Currently Unavailable</v>
      </c>
      <c r="I2426" s="1" t="str">
        <f t="shared" si="4"/>
        <v>No Badges</v>
      </c>
      <c r="J2426" s="3">
        <f t="shared" si="5"/>
        <v>0</v>
      </c>
    </row>
    <row r="2427">
      <c r="A2427" s="1" t="s">
        <v>1959</v>
      </c>
      <c r="B2427" s="3" t="str">
        <f t="shared" si="1"/>
        <v>Unavailable</v>
      </c>
      <c r="C2427" s="5">
        <v>10769.0</v>
      </c>
      <c r="D2427" s="3">
        <f>IFERROR(__xludf.DUMMYFUNCTION("IFERROR(
IF(REGEXMATCH(LOWER(O2427),""k""),
VALUE(REGEXEXTRACT(O2427,""[0-9]+""))*1000,
VALUE(REGEXEXTRACT(O2427,""[0-9]+""))
),
0
)"),0.0)</f>
        <v>0</v>
      </c>
      <c r="E2427" s="1" t="s">
        <v>11</v>
      </c>
      <c r="F2427" s="1" t="s">
        <v>20</v>
      </c>
      <c r="G2427" s="4" t="b">
        <f t="shared" si="2"/>
        <v>1</v>
      </c>
      <c r="H2427" s="1" t="str">
        <f t="shared" si="3"/>
        <v>Currently Unavailable</v>
      </c>
      <c r="I2427" s="1" t="str">
        <f t="shared" si="4"/>
        <v>No Badges</v>
      </c>
      <c r="J2427" s="3">
        <f t="shared" si="5"/>
        <v>0</v>
      </c>
    </row>
    <row r="2428">
      <c r="A2428" s="1" t="s">
        <v>1285</v>
      </c>
      <c r="B2428" s="3" t="str">
        <f t="shared" si="1"/>
        <v>Unavailable</v>
      </c>
      <c r="C2428" s="5">
        <v>3520.0</v>
      </c>
      <c r="D2428" s="3">
        <f>IFERROR(__xludf.DUMMYFUNCTION("IFERROR(
IF(REGEXMATCH(LOWER(O2428),""k""),
VALUE(REGEXEXTRACT(O2428,""[0-9]+""))*1000,
VALUE(REGEXEXTRACT(O2428,""[0-9]+""))
),
0
)"),0.0)</f>
        <v>0</v>
      </c>
      <c r="E2428" s="1" t="s">
        <v>11</v>
      </c>
      <c r="F2428" s="1" t="s">
        <v>12</v>
      </c>
      <c r="G2428" s="4" t="b">
        <f t="shared" si="2"/>
        <v>1</v>
      </c>
      <c r="H2428" s="1" t="str">
        <f t="shared" si="3"/>
        <v>Currently Unavailable</v>
      </c>
      <c r="I2428" s="1" t="str">
        <f t="shared" si="4"/>
        <v>No Badges</v>
      </c>
      <c r="J2428" s="3">
        <f t="shared" si="5"/>
        <v>0</v>
      </c>
    </row>
    <row r="2429">
      <c r="A2429" s="1" t="s">
        <v>701</v>
      </c>
      <c r="B2429" s="3" t="str">
        <f t="shared" si="1"/>
        <v>Unavailable</v>
      </c>
      <c r="C2429" s="3">
        <v>8.0</v>
      </c>
      <c r="D2429" s="3">
        <f>IFERROR(__xludf.DUMMYFUNCTION("IFERROR(
IF(REGEXMATCH(LOWER(O2429),""k""),
VALUE(REGEXEXTRACT(O2429,""[0-9]+""))*1000,
VALUE(REGEXEXTRACT(O2429,""[0-9]+""))
),
0
)"),0.0)</f>
        <v>0</v>
      </c>
      <c r="E2429" s="1" t="s">
        <v>11</v>
      </c>
      <c r="F2429" s="1" t="s">
        <v>12</v>
      </c>
      <c r="G2429" s="4" t="b">
        <f t="shared" si="2"/>
        <v>1</v>
      </c>
      <c r="H2429" s="1" t="str">
        <f t="shared" si="3"/>
        <v>Currently Unavailable</v>
      </c>
      <c r="I2429" s="1" t="str">
        <f t="shared" si="4"/>
        <v>No Badges</v>
      </c>
      <c r="J2429" s="3">
        <f t="shared" si="5"/>
        <v>0</v>
      </c>
    </row>
    <row r="2430">
      <c r="A2430" s="1" t="s">
        <v>67</v>
      </c>
      <c r="B2430" s="3" t="str">
        <f t="shared" si="1"/>
        <v>Unavailable</v>
      </c>
      <c r="C2430" s="3">
        <v>264.0</v>
      </c>
      <c r="D2430" s="3">
        <f>IFERROR(__xludf.DUMMYFUNCTION("IFERROR(
IF(REGEXMATCH(LOWER(O2430),""k""),
VALUE(REGEXEXTRACT(O2430,""[0-9]+""))*1000,
VALUE(REGEXEXTRACT(O2430,""[0-9]+""))
),
0
)"),0.0)</f>
        <v>0</v>
      </c>
      <c r="E2430" s="1" t="s">
        <v>11</v>
      </c>
      <c r="F2430" s="1" t="s">
        <v>12</v>
      </c>
      <c r="G2430" s="4" t="b">
        <f t="shared" si="2"/>
        <v>1</v>
      </c>
      <c r="H2430" s="1" t="str">
        <f t="shared" si="3"/>
        <v>Currently Unavailable</v>
      </c>
      <c r="I2430" s="1" t="str">
        <f t="shared" si="4"/>
        <v>No Badges</v>
      </c>
      <c r="J2430" s="3">
        <f t="shared" si="5"/>
        <v>0</v>
      </c>
    </row>
    <row r="2431">
      <c r="A2431" s="1" t="s">
        <v>1284</v>
      </c>
      <c r="B2431" s="3" t="str">
        <f t="shared" si="1"/>
        <v>Unavailable</v>
      </c>
      <c r="C2431" s="3">
        <v>172.0</v>
      </c>
      <c r="D2431" s="3">
        <f>IFERROR(__xludf.DUMMYFUNCTION("IFERROR(
IF(REGEXMATCH(LOWER(O2431),""k""),
VALUE(REGEXEXTRACT(O2431,""[0-9]+""))*1000,
VALUE(REGEXEXTRACT(O2431,""[0-9]+""))
),
0
)"),0.0)</f>
        <v>0</v>
      </c>
      <c r="E2431" s="1" t="s">
        <v>18</v>
      </c>
      <c r="F2431" s="1" t="s">
        <v>12</v>
      </c>
      <c r="G2431" s="4" t="b">
        <f t="shared" si="2"/>
        <v>1</v>
      </c>
      <c r="H2431" s="1" t="str">
        <f t="shared" si="3"/>
        <v>Currently Unavailable</v>
      </c>
      <c r="I2431" s="1" t="str">
        <f t="shared" si="4"/>
        <v>No Badges</v>
      </c>
      <c r="J2431" s="3">
        <f t="shared" si="5"/>
        <v>0</v>
      </c>
    </row>
    <row r="2432">
      <c r="A2432" s="1" t="s">
        <v>1634</v>
      </c>
      <c r="B2432" s="3" t="str">
        <f t="shared" si="1"/>
        <v>Unavailable</v>
      </c>
      <c r="C2432" s="5">
        <v>1878.0</v>
      </c>
      <c r="D2432" s="3">
        <f>IFERROR(__xludf.DUMMYFUNCTION("IFERROR(
IF(REGEXMATCH(LOWER(O2432),""k""),
VALUE(REGEXEXTRACT(O2432,""[0-9]+""))*1000,
VALUE(REGEXEXTRACT(O2432,""[0-9]+""))
),
0
)"),0.0)</f>
        <v>0</v>
      </c>
      <c r="E2432" s="1" t="s">
        <v>11</v>
      </c>
      <c r="F2432" s="1" t="s">
        <v>20</v>
      </c>
      <c r="G2432" s="4" t="b">
        <f t="shared" si="2"/>
        <v>1</v>
      </c>
      <c r="H2432" s="1" t="str">
        <f t="shared" si="3"/>
        <v>Currently Unavailable</v>
      </c>
      <c r="I2432" s="1" t="str">
        <f t="shared" si="4"/>
        <v>No Badges</v>
      </c>
      <c r="J2432" s="3">
        <f t="shared" si="5"/>
        <v>0</v>
      </c>
    </row>
    <row r="2433">
      <c r="A2433" s="1" t="s">
        <v>1960</v>
      </c>
      <c r="B2433" s="3" t="str">
        <f t="shared" si="1"/>
        <v>Unavailable</v>
      </c>
      <c r="C2433" s="5">
        <v>11169.0</v>
      </c>
      <c r="D2433" s="3">
        <f>IFERROR(__xludf.DUMMYFUNCTION("IFERROR(
IF(REGEXMATCH(LOWER(O2433),""k""),
VALUE(REGEXEXTRACT(O2433,""[0-9]+""))*1000,
VALUE(REGEXEXTRACT(O2433,""[0-9]+""))
),
0
)"),0.0)</f>
        <v>0</v>
      </c>
      <c r="E2433" s="1" t="s">
        <v>11</v>
      </c>
      <c r="F2433" s="1" t="s">
        <v>20</v>
      </c>
      <c r="G2433" s="4" t="b">
        <f t="shared" si="2"/>
        <v>1</v>
      </c>
      <c r="H2433" s="1" t="str">
        <f t="shared" si="3"/>
        <v>Currently Unavailable</v>
      </c>
      <c r="I2433" s="1" t="str">
        <f t="shared" si="4"/>
        <v>No Badges</v>
      </c>
      <c r="J2433" s="3">
        <f t="shared" si="5"/>
        <v>0</v>
      </c>
    </row>
    <row r="2434">
      <c r="A2434" s="1" t="s">
        <v>1961</v>
      </c>
      <c r="B2434" s="3" t="str">
        <f t="shared" si="1"/>
        <v>Unavailable</v>
      </c>
      <c r="C2434" s="5">
        <v>26435.0</v>
      </c>
      <c r="D2434" s="3">
        <f>IFERROR(__xludf.DUMMYFUNCTION("IFERROR(
IF(REGEXMATCH(LOWER(O2434),""k""),
VALUE(REGEXEXTRACT(O2434,""[0-9]+""))*1000,
VALUE(REGEXEXTRACT(O2434,""[0-9]+""))
),
0
)"),0.0)</f>
        <v>0</v>
      </c>
      <c r="E2434" s="1" t="s">
        <v>11</v>
      </c>
      <c r="F2434" s="1" t="s">
        <v>20</v>
      </c>
      <c r="G2434" s="4" t="b">
        <f t="shared" si="2"/>
        <v>1</v>
      </c>
      <c r="H2434" s="1" t="str">
        <f t="shared" si="3"/>
        <v>Currently Unavailable</v>
      </c>
      <c r="I2434" s="1" t="str">
        <f t="shared" si="4"/>
        <v>No Badges</v>
      </c>
      <c r="J2434" s="3">
        <f t="shared" si="5"/>
        <v>0</v>
      </c>
    </row>
    <row r="2435">
      <c r="A2435" s="1" t="s">
        <v>1962</v>
      </c>
      <c r="B2435" s="3" t="str">
        <f t="shared" si="1"/>
        <v>Unavailable</v>
      </c>
      <c r="C2435" s="5">
        <v>14161.0</v>
      </c>
      <c r="D2435" s="3">
        <f>IFERROR(__xludf.DUMMYFUNCTION("IFERROR(
IF(REGEXMATCH(LOWER(O2435),""k""),
VALUE(REGEXEXTRACT(O2435,""[0-9]+""))*1000,
VALUE(REGEXEXTRACT(O2435,""[0-9]+""))
),
0
)"),0.0)</f>
        <v>0</v>
      </c>
      <c r="E2435" s="1" t="s">
        <v>11</v>
      </c>
      <c r="F2435" s="1" t="s">
        <v>20</v>
      </c>
      <c r="G2435" s="4" t="b">
        <f t="shared" si="2"/>
        <v>1</v>
      </c>
      <c r="H2435" s="1" t="str">
        <f t="shared" si="3"/>
        <v>Currently Unavailable</v>
      </c>
      <c r="I2435" s="1" t="str">
        <f t="shared" si="4"/>
        <v>No Badges</v>
      </c>
      <c r="J2435" s="3">
        <f t="shared" si="5"/>
        <v>0</v>
      </c>
    </row>
    <row r="2436">
      <c r="A2436" s="1" t="s">
        <v>1963</v>
      </c>
      <c r="B2436" s="3" t="str">
        <f t="shared" si="1"/>
        <v>Unavailable</v>
      </c>
      <c r="C2436" s="5">
        <v>38353.0</v>
      </c>
      <c r="D2436" s="3">
        <f>IFERROR(__xludf.DUMMYFUNCTION("IFERROR(
IF(REGEXMATCH(LOWER(O2436),""k""),
VALUE(REGEXEXTRACT(O2436,""[0-9]+""))*1000,
VALUE(REGEXEXTRACT(O2436,""[0-9]+""))
),
0
)"),0.0)</f>
        <v>0</v>
      </c>
      <c r="E2436" s="1" t="s">
        <v>11</v>
      </c>
      <c r="F2436" s="1" t="s">
        <v>20</v>
      </c>
      <c r="G2436" s="4" t="b">
        <f t="shared" si="2"/>
        <v>1</v>
      </c>
      <c r="H2436" s="1" t="str">
        <f t="shared" si="3"/>
        <v>Currently Unavailable</v>
      </c>
      <c r="I2436" s="1" t="str">
        <f t="shared" si="4"/>
        <v>No Badges</v>
      </c>
      <c r="J2436" s="3">
        <f t="shared" si="5"/>
        <v>0</v>
      </c>
    </row>
    <row r="2437">
      <c r="A2437" s="1" t="s">
        <v>1964</v>
      </c>
      <c r="B2437" s="3" t="str">
        <f t="shared" si="1"/>
        <v>Unavailable</v>
      </c>
      <c r="C2437" s="5">
        <v>17794.0</v>
      </c>
      <c r="D2437" s="3">
        <f>IFERROR(__xludf.DUMMYFUNCTION("IFERROR(
IF(REGEXMATCH(LOWER(O2437),""k""),
VALUE(REGEXEXTRACT(O2437,""[0-9]+""))*1000,
VALUE(REGEXEXTRACT(O2437,""[0-9]+""))
),
0
)"),0.0)</f>
        <v>0</v>
      </c>
      <c r="E2437" s="1" t="s">
        <v>11</v>
      </c>
      <c r="F2437" s="1" t="s">
        <v>20</v>
      </c>
      <c r="G2437" s="4" t="b">
        <f t="shared" si="2"/>
        <v>1</v>
      </c>
      <c r="H2437" s="1" t="str">
        <f t="shared" si="3"/>
        <v>Currently Unavailable</v>
      </c>
      <c r="I2437" s="1" t="str">
        <f t="shared" si="4"/>
        <v>No Badges</v>
      </c>
      <c r="J2437" s="3">
        <f t="shared" si="5"/>
        <v>0</v>
      </c>
    </row>
    <row r="2438">
      <c r="A2438" s="1" t="s">
        <v>1965</v>
      </c>
      <c r="B2438" s="3" t="str">
        <f t="shared" si="1"/>
        <v>Unavailable</v>
      </c>
      <c r="C2438" s="3">
        <v>678.0</v>
      </c>
      <c r="D2438" s="3">
        <f>IFERROR(__xludf.DUMMYFUNCTION("IFERROR(
IF(REGEXMATCH(LOWER(O2438),""k""),
VALUE(REGEXEXTRACT(O2438,""[0-9]+""))*1000,
VALUE(REGEXEXTRACT(O2438,""[0-9]+""))
),
0
)"),0.0)</f>
        <v>0</v>
      </c>
      <c r="E2438" s="1" t="s">
        <v>11</v>
      </c>
      <c r="F2438" s="1" t="s">
        <v>20</v>
      </c>
      <c r="G2438" s="4" t="b">
        <f t="shared" si="2"/>
        <v>1</v>
      </c>
      <c r="H2438" s="1" t="str">
        <f t="shared" si="3"/>
        <v>Currently Unavailable</v>
      </c>
      <c r="I2438" s="1" t="str">
        <f t="shared" si="4"/>
        <v>No Badges</v>
      </c>
      <c r="J2438" s="3">
        <f t="shared" si="5"/>
        <v>0</v>
      </c>
    </row>
    <row r="2439">
      <c r="A2439" s="1" t="s">
        <v>1966</v>
      </c>
      <c r="B2439" s="3" t="str">
        <f t="shared" si="1"/>
        <v>Unavailable</v>
      </c>
      <c r="C2439" s="5">
        <v>79201.0</v>
      </c>
      <c r="D2439" s="3">
        <f>IFERROR(__xludf.DUMMYFUNCTION("IFERROR(
IF(REGEXMATCH(LOWER(O2439),""k""),
VALUE(REGEXEXTRACT(O2439,""[0-9]+""))*1000,
VALUE(REGEXEXTRACT(O2439,""[0-9]+""))
),
0
)"),0.0)</f>
        <v>0</v>
      </c>
      <c r="E2439" s="1" t="s">
        <v>11</v>
      </c>
      <c r="F2439" s="1" t="s">
        <v>20</v>
      </c>
      <c r="G2439" s="4" t="b">
        <f t="shared" si="2"/>
        <v>1</v>
      </c>
      <c r="H2439" s="1" t="str">
        <f t="shared" si="3"/>
        <v>Currently Unavailable</v>
      </c>
      <c r="I2439" s="1" t="str">
        <f t="shared" si="4"/>
        <v>No Badges</v>
      </c>
      <c r="J2439" s="3">
        <f t="shared" si="5"/>
        <v>0</v>
      </c>
    </row>
    <row r="2440">
      <c r="A2440" s="1" t="s">
        <v>1967</v>
      </c>
      <c r="B2440" s="3" t="str">
        <f t="shared" si="1"/>
        <v>Unavailable</v>
      </c>
      <c r="C2440" s="5">
        <v>1413.0</v>
      </c>
      <c r="D2440" s="3">
        <f>IFERROR(__xludf.DUMMYFUNCTION("IFERROR(
IF(REGEXMATCH(LOWER(O2440),""k""),
VALUE(REGEXEXTRACT(O2440,""[0-9]+""))*1000,
VALUE(REGEXEXTRACT(O2440,""[0-9]+""))
),
0
)"),0.0)</f>
        <v>0</v>
      </c>
      <c r="E2440" s="1" t="s">
        <v>11</v>
      </c>
      <c r="F2440" s="1" t="s">
        <v>20</v>
      </c>
      <c r="G2440" s="4" t="b">
        <f t="shared" si="2"/>
        <v>1</v>
      </c>
      <c r="H2440" s="1" t="str">
        <f t="shared" si="3"/>
        <v>Currently Unavailable</v>
      </c>
      <c r="I2440" s="1" t="str">
        <f t="shared" si="4"/>
        <v>No Badges</v>
      </c>
      <c r="J2440" s="3">
        <f t="shared" si="5"/>
        <v>0</v>
      </c>
    </row>
    <row r="2441">
      <c r="A2441" s="1" t="s">
        <v>1285</v>
      </c>
      <c r="B2441" s="3" t="str">
        <f t="shared" si="1"/>
        <v>Unavailable</v>
      </c>
      <c r="C2441" s="5">
        <v>3520.0</v>
      </c>
      <c r="D2441" s="3">
        <f>IFERROR(__xludf.DUMMYFUNCTION("IFERROR(
IF(REGEXMATCH(LOWER(O2441),""k""),
VALUE(REGEXEXTRACT(O2441,""[0-9]+""))*1000,
VALUE(REGEXEXTRACT(O2441,""[0-9]+""))
),
0
)"),0.0)</f>
        <v>0</v>
      </c>
      <c r="E2441" s="1" t="s">
        <v>11</v>
      </c>
      <c r="F2441" s="1" t="s">
        <v>12</v>
      </c>
      <c r="G2441" s="4" t="b">
        <f t="shared" si="2"/>
        <v>1</v>
      </c>
      <c r="H2441" s="1" t="str">
        <f t="shared" si="3"/>
        <v>Currently Unavailable</v>
      </c>
      <c r="I2441" s="1" t="str">
        <f t="shared" si="4"/>
        <v>No Badges</v>
      </c>
      <c r="J2441" s="3">
        <f t="shared" si="5"/>
        <v>0</v>
      </c>
    </row>
    <row r="2442">
      <c r="A2442" s="1" t="s">
        <v>1285</v>
      </c>
      <c r="B2442" s="3" t="str">
        <f t="shared" si="1"/>
        <v>Unavailable</v>
      </c>
      <c r="C2442" s="5">
        <v>3520.0</v>
      </c>
      <c r="D2442" s="3">
        <f>IFERROR(__xludf.DUMMYFUNCTION("IFERROR(
IF(REGEXMATCH(LOWER(O2442),""k""),
VALUE(REGEXEXTRACT(O2442,""[0-9]+""))*1000,
VALUE(REGEXEXTRACT(O2442,""[0-9]+""))
),
0
)"),0.0)</f>
        <v>0</v>
      </c>
      <c r="E2442" s="1" t="s">
        <v>11</v>
      </c>
      <c r="F2442" s="1" t="s">
        <v>12</v>
      </c>
      <c r="G2442" s="4" t="b">
        <f t="shared" si="2"/>
        <v>1</v>
      </c>
      <c r="H2442" s="1" t="str">
        <f t="shared" si="3"/>
        <v>Currently Unavailable</v>
      </c>
      <c r="I2442" s="1" t="str">
        <f t="shared" si="4"/>
        <v>No Badges</v>
      </c>
      <c r="J2442" s="3">
        <f t="shared" si="5"/>
        <v>0</v>
      </c>
    </row>
    <row r="2443">
      <c r="A2443" s="1" t="s">
        <v>1968</v>
      </c>
      <c r="B2443" s="3" t="str">
        <f t="shared" si="1"/>
        <v>Unavailable</v>
      </c>
      <c r="C2443" s="5">
        <v>1257.0</v>
      </c>
      <c r="D2443" s="3">
        <f>IFERROR(__xludf.DUMMYFUNCTION("IFERROR(
IF(REGEXMATCH(LOWER(O2443),""k""),
VALUE(REGEXEXTRACT(O2443,""[0-9]+""))*1000,
VALUE(REGEXEXTRACT(O2443,""[0-9]+""))
),
0
)"),0.0)</f>
        <v>0</v>
      </c>
      <c r="E2443" s="1" t="s">
        <v>11</v>
      </c>
      <c r="F2443" s="1" t="s">
        <v>20</v>
      </c>
      <c r="G2443" s="4" t="b">
        <f t="shared" si="2"/>
        <v>1</v>
      </c>
      <c r="H2443" s="1" t="str">
        <f t="shared" si="3"/>
        <v>Currently Unavailable</v>
      </c>
      <c r="I2443" s="1" t="str">
        <f t="shared" si="4"/>
        <v>No Badges</v>
      </c>
      <c r="J2443" s="3">
        <f t="shared" si="5"/>
        <v>0</v>
      </c>
    </row>
    <row r="2444">
      <c r="A2444" s="1" t="s">
        <v>88</v>
      </c>
      <c r="B2444" s="3" t="str">
        <f t="shared" si="1"/>
        <v>Unavailable</v>
      </c>
      <c r="C2444" s="3">
        <v>5.0</v>
      </c>
      <c r="D2444" s="3">
        <f>IFERROR(__xludf.DUMMYFUNCTION("IFERROR(
IF(REGEXMATCH(LOWER(O2444),""k""),
VALUE(REGEXEXTRACT(O2444,""[0-9]+""))*1000,
VALUE(REGEXEXTRACT(O2444,""[0-9]+""))
),
0
)"),0.0)</f>
        <v>0</v>
      </c>
      <c r="E2444" s="1" t="s">
        <v>11</v>
      </c>
      <c r="F2444" s="1" t="s">
        <v>12</v>
      </c>
      <c r="G2444" s="4" t="b">
        <f t="shared" si="2"/>
        <v>1</v>
      </c>
      <c r="H2444" s="1" t="str">
        <f t="shared" si="3"/>
        <v>Currently Unavailable</v>
      </c>
      <c r="I2444" s="1" t="str">
        <f t="shared" si="4"/>
        <v>No Badges</v>
      </c>
      <c r="J2444" s="3">
        <f t="shared" si="5"/>
        <v>0</v>
      </c>
    </row>
    <row r="2445">
      <c r="A2445" s="1" t="s">
        <v>1969</v>
      </c>
      <c r="B2445" s="3" t="str">
        <f t="shared" si="1"/>
        <v>Unavailable</v>
      </c>
      <c r="C2445" s="5">
        <v>2081.0</v>
      </c>
      <c r="D2445" s="3">
        <f>IFERROR(__xludf.DUMMYFUNCTION("IFERROR(
IF(REGEXMATCH(LOWER(O2445),""k""),
VALUE(REGEXEXTRACT(O2445,""[0-9]+""))*1000,
VALUE(REGEXEXTRACT(O2445,""[0-9]+""))
),
0
)"),0.0)</f>
        <v>0</v>
      </c>
      <c r="E2445" s="1" t="s">
        <v>11</v>
      </c>
      <c r="F2445" s="1" t="s">
        <v>20</v>
      </c>
      <c r="G2445" s="4" t="b">
        <f t="shared" si="2"/>
        <v>1</v>
      </c>
      <c r="H2445" s="1" t="str">
        <f t="shared" si="3"/>
        <v>Currently Unavailable</v>
      </c>
      <c r="I2445" s="1" t="str">
        <f t="shared" si="4"/>
        <v>No Badges</v>
      </c>
      <c r="J2445" s="3">
        <f t="shared" si="5"/>
        <v>0</v>
      </c>
    </row>
    <row r="2446">
      <c r="A2446" s="1" t="s">
        <v>40</v>
      </c>
      <c r="B2446" s="3" t="str">
        <f t="shared" si="1"/>
        <v>Unavailable</v>
      </c>
      <c r="C2446" s="3">
        <v>171.0</v>
      </c>
      <c r="D2446" s="3">
        <f>IFERROR(__xludf.DUMMYFUNCTION("IFERROR(
IF(REGEXMATCH(LOWER(O2446),""k""),
VALUE(REGEXEXTRACT(O2446,""[0-9]+""))*1000,
VALUE(REGEXEXTRACT(O2446,""[0-9]+""))
),
0
)"),0.0)</f>
        <v>0</v>
      </c>
      <c r="E2446" s="1" t="s">
        <v>11</v>
      </c>
      <c r="F2446" s="1" t="s">
        <v>12</v>
      </c>
      <c r="G2446" s="4" t="b">
        <f t="shared" si="2"/>
        <v>1</v>
      </c>
      <c r="H2446" s="1" t="str">
        <f t="shared" si="3"/>
        <v>Currently Unavailable</v>
      </c>
      <c r="I2446" s="1" t="str">
        <f t="shared" si="4"/>
        <v>No Badges</v>
      </c>
      <c r="J2446" s="3">
        <f t="shared" si="5"/>
        <v>0</v>
      </c>
    </row>
    <row r="2447">
      <c r="A2447" s="1" t="s">
        <v>1970</v>
      </c>
      <c r="B2447" s="3" t="str">
        <f t="shared" si="1"/>
        <v>Unavailable</v>
      </c>
      <c r="C2447" s="5">
        <v>9051.0</v>
      </c>
      <c r="D2447" s="3">
        <f>IFERROR(__xludf.DUMMYFUNCTION("IFERROR(
IF(REGEXMATCH(LOWER(O2447),""k""),
VALUE(REGEXEXTRACT(O2447,""[0-9]+""))*1000,
VALUE(REGEXEXTRACT(O2447,""[0-9]+""))
),
0
)"),0.0)</f>
        <v>0</v>
      </c>
      <c r="E2447" s="1" t="s">
        <v>11</v>
      </c>
      <c r="F2447" s="1" t="s">
        <v>20</v>
      </c>
      <c r="G2447" s="4" t="b">
        <f t="shared" si="2"/>
        <v>1</v>
      </c>
      <c r="H2447" s="1" t="str">
        <f t="shared" si="3"/>
        <v>Currently Unavailable</v>
      </c>
      <c r="I2447" s="1" t="str">
        <f t="shared" si="4"/>
        <v>No Badges</v>
      </c>
      <c r="J2447" s="3">
        <f t="shared" si="5"/>
        <v>0</v>
      </c>
    </row>
    <row r="2448">
      <c r="A2448" s="1" t="s">
        <v>1971</v>
      </c>
      <c r="B2448" s="3" t="str">
        <f t="shared" si="1"/>
        <v>Unavailable</v>
      </c>
      <c r="C2448" s="5">
        <v>1532.0</v>
      </c>
      <c r="D2448" s="3">
        <f>IFERROR(__xludf.DUMMYFUNCTION("IFERROR(
IF(REGEXMATCH(LOWER(O2448),""k""),
VALUE(REGEXEXTRACT(O2448,""[0-9]+""))*1000,
VALUE(REGEXEXTRACT(O2448,""[0-9]+""))
),
0
)"),0.0)</f>
        <v>0</v>
      </c>
      <c r="E2448" s="1" t="s">
        <v>11</v>
      </c>
      <c r="F2448" s="1" t="s">
        <v>20</v>
      </c>
      <c r="G2448" s="4" t="b">
        <f t="shared" si="2"/>
        <v>1</v>
      </c>
      <c r="H2448" s="1" t="str">
        <f t="shared" si="3"/>
        <v>Currently Unavailable</v>
      </c>
      <c r="I2448" s="1" t="str">
        <f t="shared" si="4"/>
        <v>No Badges</v>
      </c>
      <c r="J2448" s="3">
        <f t="shared" si="5"/>
        <v>0</v>
      </c>
    </row>
    <row r="2449">
      <c r="A2449" s="1" t="s">
        <v>69</v>
      </c>
      <c r="B2449" s="3" t="str">
        <f t="shared" si="1"/>
        <v>Unavailable</v>
      </c>
      <c r="C2449" s="3">
        <v>45.0</v>
      </c>
      <c r="D2449" s="3">
        <f>IFERROR(__xludf.DUMMYFUNCTION("IFERROR(
IF(REGEXMATCH(LOWER(O2449),""k""),
VALUE(REGEXEXTRACT(O2449,""[0-9]+""))*1000,
VALUE(REGEXEXTRACT(O2449,""[0-9]+""))
),
0
)"),0.0)</f>
        <v>0</v>
      </c>
      <c r="E2449" s="1" t="s">
        <v>11</v>
      </c>
      <c r="F2449" s="1" t="s">
        <v>12</v>
      </c>
      <c r="G2449" s="4" t="b">
        <f t="shared" si="2"/>
        <v>1</v>
      </c>
      <c r="H2449" s="1" t="str">
        <f t="shared" si="3"/>
        <v>Currently Unavailable</v>
      </c>
      <c r="I2449" s="1" t="str">
        <f t="shared" si="4"/>
        <v>No Badges</v>
      </c>
      <c r="J2449" s="3">
        <f t="shared" si="5"/>
        <v>0</v>
      </c>
    </row>
    <row r="2450">
      <c r="A2450" s="1" t="s">
        <v>1284</v>
      </c>
      <c r="B2450" s="3" t="str">
        <f t="shared" si="1"/>
        <v>Unavailable</v>
      </c>
      <c r="C2450" s="3">
        <v>172.0</v>
      </c>
      <c r="D2450" s="3">
        <f>IFERROR(__xludf.DUMMYFUNCTION("IFERROR(
IF(REGEXMATCH(LOWER(O2450),""k""),
VALUE(REGEXEXTRACT(O2450,""[0-9]+""))*1000,
VALUE(REGEXEXTRACT(O2450,""[0-9]+""))
),
0
)"),0.0)</f>
        <v>0</v>
      </c>
      <c r="E2450" s="1" t="s">
        <v>11</v>
      </c>
      <c r="F2450" s="1" t="s">
        <v>12</v>
      </c>
      <c r="G2450" s="4" t="b">
        <f t="shared" si="2"/>
        <v>1</v>
      </c>
      <c r="H2450" s="1" t="str">
        <f t="shared" si="3"/>
        <v>Currently Unavailable</v>
      </c>
      <c r="I2450" s="1" t="str">
        <f t="shared" si="4"/>
        <v>No Badges</v>
      </c>
      <c r="J2450" s="3">
        <f t="shared" si="5"/>
        <v>0</v>
      </c>
    </row>
    <row r="2451">
      <c r="A2451" s="1" t="s">
        <v>1972</v>
      </c>
      <c r="B2451" s="3" t="str">
        <f t="shared" si="1"/>
        <v>Unavailable</v>
      </c>
      <c r="C2451" s="5">
        <v>8099.0</v>
      </c>
      <c r="D2451" s="3">
        <f>IFERROR(__xludf.DUMMYFUNCTION("IFERROR(
IF(REGEXMATCH(LOWER(O2451),""k""),
VALUE(REGEXEXTRACT(O2451,""[0-9]+""))*1000,
VALUE(REGEXEXTRACT(O2451,""[0-9]+""))
),
0
)"),0.0)</f>
        <v>0</v>
      </c>
      <c r="E2451" s="1" t="s">
        <v>11</v>
      </c>
      <c r="F2451" s="1" t="s">
        <v>20</v>
      </c>
      <c r="G2451" s="4" t="b">
        <f t="shared" si="2"/>
        <v>1</v>
      </c>
      <c r="H2451" s="1" t="str">
        <f t="shared" si="3"/>
        <v>Currently Unavailable</v>
      </c>
      <c r="I2451" s="1" t="str">
        <f t="shared" si="4"/>
        <v>No Badges</v>
      </c>
      <c r="J2451" s="3">
        <f t="shared" si="5"/>
        <v>0</v>
      </c>
    </row>
    <row r="2452">
      <c r="A2452" s="1" t="s">
        <v>1973</v>
      </c>
      <c r="B2452" s="3" t="str">
        <f t="shared" si="1"/>
        <v>Unavailable</v>
      </c>
      <c r="C2452" s="3">
        <v>834.0</v>
      </c>
      <c r="D2452" s="3">
        <f>IFERROR(__xludf.DUMMYFUNCTION("IFERROR(
IF(REGEXMATCH(LOWER(O2452),""k""),
VALUE(REGEXEXTRACT(O2452,""[0-9]+""))*1000,
VALUE(REGEXEXTRACT(O2452,""[0-9]+""))
),
0
)"),0.0)</f>
        <v>0</v>
      </c>
      <c r="E2452" s="1" t="s">
        <v>11</v>
      </c>
      <c r="F2452" s="1" t="s">
        <v>20</v>
      </c>
      <c r="G2452" s="4" t="b">
        <f t="shared" si="2"/>
        <v>1</v>
      </c>
      <c r="H2452" s="1" t="str">
        <f t="shared" si="3"/>
        <v>Currently Unavailable</v>
      </c>
      <c r="I2452" s="1" t="str">
        <f t="shared" si="4"/>
        <v>No Badges</v>
      </c>
      <c r="J2452" s="3">
        <f t="shared" si="5"/>
        <v>0</v>
      </c>
    </row>
    <row r="2453">
      <c r="A2453" s="1" t="s">
        <v>1284</v>
      </c>
      <c r="B2453" s="3" t="str">
        <f t="shared" si="1"/>
        <v>Unavailable</v>
      </c>
      <c r="C2453" s="3">
        <v>172.0</v>
      </c>
      <c r="D2453" s="3">
        <f>IFERROR(__xludf.DUMMYFUNCTION("IFERROR(
IF(REGEXMATCH(LOWER(O2453),""k""),
VALUE(REGEXEXTRACT(O2453,""[0-9]+""))*1000,
VALUE(REGEXEXTRACT(O2453,""[0-9]+""))
),
0
)"),0.0)</f>
        <v>0</v>
      </c>
      <c r="E2453" s="1" t="s">
        <v>11</v>
      </c>
      <c r="F2453" s="1" t="s">
        <v>12</v>
      </c>
      <c r="G2453" s="4" t="b">
        <f t="shared" si="2"/>
        <v>1</v>
      </c>
      <c r="H2453" s="1" t="str">
        <f t="shared" si="3"/>
        <v>Currently Unavailable</v>
      </c>
      <c r="I2453" s="1" t="str">
        <f t="shared" si="4"/>
        <v>No Badges</v>
      </c>
      <c r="J2453" s="3">
        <f t="shared" si="5"/>
        <v>0</v>
      </c>
    </row>
    <row r="2454">
      <c r="A2454" s="1" t="s">
        <v>1974</v>
      </c>
      <c r="B2454" s="3" t="str">
        <f t="shared" si="1"/>
        <v>Unavailable</v>
      </c>
      <c r="C2454" s="5">
        <v>1885.0</v>
      </c>
      <c r="D2454" s="3">
        <f>IFERROR(__xludf.DUMMYFUNCTION("IFERROR(
IF(REGEXMATCH(LOWER(O2454),""k""),
VALUE(REGEXEXTRACT(O2454,""[0-9]+""))*1000,
VALUE(REGEXEXTRACT(O2454,""[0-9]+""))
),
0
)"),0.0)</f>
        <v>0</v>
      </c>
      <c r="E2454" s="1" t="s">
        <v>11</v>
      </c>
      <c r="F2454" s="1" t="s">
        <v>20</v>
      </c>
      <c r="G2454" s="4" t="b">
        <f t="shared" si="2"/>
        <v>1</v>
      </c>
      <c r="H2454" s="1" t="str">
        <f t="shared" si="3"/>
        <v>Currently Unavailable</v>
      </c>
      <c r="I2454" s="1" t="str">
        <f t="shared" si="4"/>
        <v>No Badges</v>
      </c>
      <c r="J2454" s="3">
        <f t="shared" si="5"/>
        <v>0</v>
      </c>
    </row>
    <row r="2455">
      <c r="A2455" s="1" t="s">
        <v>1975</v>
      </c>
      <c r="B2455" s="3" t="str">
        <f t="shared" si="1"/>
        <v>Unavailable</v>
      </c>
      <c r="C2455" s="3">
        <v>118.0</v>
      </c>
      <c r="D2455" s="3">
        <f>IFERROR(__xludf.DUMMYFUNCTION("IFERROR(
IF(REGEXMATCH(LOWER(O2455),""k""),
VALUE(REGEXEXTRACT(O2455,""[0-9]+""))*1000,
VALUE(REGEXEXTRACT(O2455,""[0-9]+""))
),
0
)"),0.0)</f>
        <v>0</v>
      </c>
      <c r="E2455" s="1" t="s">
        <v>11</v>
      </c>
      <c r="F2455" s="1" t="s">
        <v>20</v>
      </c>
      <c r="G2455" s="4" t="b">
        <f t="shared" si="2"/>
        <v>1</v>
      </c>
      <c r="H2455" s="1" t="str">
        <f t="shared" si="3"/>
        <v>Currently Unavailable</v>
      </c>
      <c r="I2455" s="1" t="str">
        <f t="shared" si="4"/>
        <v>No Badges</v>
      </c>
      <c r="J2455" s="3">
        <f t="shared" si="5"/>
        <v>0</v>
      </c>
    </row>
    <row r="2456">
      <c r="A2456" s="1" t="s">
        <v>1976</v>
      </c>
      <c r="B2456" s="3" t="str">
        <f t="shared" si="1"/>
        <v>Unavailable</v>
      </c>
      <c r="C2456" s="5">
        <v>4186.0</v>
      </c>
      <c r="D2456" s="3">
        <f>IFERROR(__xludf.DUMMYFUNCTION("IFERROR(
IF(REGEXMATCH(LOWER(O2456),""k""),
VALUE(REGEXEXTRACT(O2456,""[0-9]+""))*1000,
VALUE(REGEXEXTRACT(O2456,""[0-9]+""))
),
0
)"),0.0)</f>
        <v>0</v>
      </c>
      <c r="E2456" s="1" t="s">
        <v>11</v>
      </c>
      <c r="F2456" s="1" t="s">
        <v>20</v>
      </c>
      <c r="G2456" s="4" t="b">
        <f t="shared" si="2"/>
        <v>1</v>
      </c>
      <c r="H2456" s="1" t="str">
        <f t="shared" si="3"/>
        <v>Currently Unavailable</v>
      </c>
      <c r="I2456" s="1" t="str">
        <f t="shared" si="4"/>
        <v>No Badges</v>
      </c>
      <c r="J2456" s="3">
        <f t="shared" si="5"/>
        <v>0</v>
      </c>
    </row>
    <row r="2457">
      <c r="A2457" s="1" t="s">
        <v>1977</v>
      </c>
      <c r="B2457" s="3" t="str">
        <f t="shared" si="1"/>
        <v>Unavailable</v>
      </c>
      <c r="C2457" s="5">
        <v>3411.0</v>
      </c>
      <c r="D2457" s="3">
        <f>IFERROR(__xludf.DUMMYFUNCTION("IFERROR(
IF(REGEXMATCH(LOWER(O2457),""k""),
VALUE(REGEXEXTRACT(O2457,""[0-9]+""))*1000,
VALUE(REGEXEXTRACT(O2457,""[0-9]+""))
),
0
)"),0.0)</f>
        <v>0</v>
      </c>
      <c r="E2457" s="1" t="s">
        <v>11</v>
      </c>
      <c r="F2457" s="1" t="s">
        <v>20</v>
      </c>
      <c r="G2457" s="4" t="b">
        <f t="shared" si="2"/>
        <v>1</v>
      </c>
      <c r="H2457" s="1" t="str">
        <f t="shared" si="3"/>
        <v>Currently Unavailable</v>
      </c>
      <c r="I2457" s="1" t="str">
        <f t="shared" si="4"/>
        <v>No Badges</v>
      </c>
      <c r="J2457" s="3">
        <f t="shared" si="5"/>
        <v>0</v>
      </c>
    </row>
    <row r="2458">
      <c r="A2458" s="1" t="s">
        <v>1978</v>
      </c>
      <c r="B2458" s="3" t="str">
        <f t="shared" si="1"/>
        <v>Unavailable</v>
      </c>
      <c r="C2458" s="5">
        <v>1024.0</v>
      </c>
      <c r="D2458" s="3">
        <f>IFERROR(__xludf.DUMMYFUNCTION("IFERROR(
IF(REGEXMATCH(LOWER(O2458),""k""),
VALUE(REGEXEXTRACT(O2458,""[0-9]+""))*1000,
VALUE(REGEXEXTRACT(O2458,""[0-9]+""))
),
0
)"),0.0)</f>
        <v>0</v>
      </c>
      <c r="E2458" s="1" t="s">
        <v>11</v>
      </c>
      <c r="F2458" s="1" t="s">
        <v>20</v>
      </c>
      <c r="G2458" s="4" t="b">
        <f t="shared" si="2"/>
        <v>1</v>
      </c>
      <c r="H2458" s="1" t="str">
        <f t="shared" si="3"/>
        <v>Currently Unavailable</v>
      </c>
      <c r="I2458" s="1" t="str">
        <f t="shared" si="4"/>
        <v>No Badges</v>
      </c>
      <c r="J2458" s="3">
        <f t="shared" si="5"/>
        <v>0</v>
      </c>
    </row>
    <row r="2459">
      <c r="A2459" s="1" t="s">
        <v>1979</v>
      </c>
      <c r="B2459" s="3" t="str">
        <f t="shared" si="1"/>
        <v>Unavailable</v>
      </c>
      <c r="C2459" s="5">
        <v>35140.0</v>
      </c>
      <c r="D2459" s="3">
        <f>IFERROR(__xludf.DUMMYFUNCTION("IFERROR(
IF(REGEXMATCH(LOWER(O2459),""k""),
VALUE(REGEXEXTRACT(O2459,""[0-9]+""))*1000,
VALUE(REGEXEXTRACT(O2459,""[0-9]+""))
),
0
)"),0.0)</f>
        <v>0</v>
      </c>
      <c r="E2459" s="1" t="s">
        <v>18</v>
      </c>
      <c r="F2459" s="1" t="s">
        <v>20</v>
      </c>
      <c r="G2459" s="4" t="b">
        <f t="shared" si="2"/>
        <v>1</v>
      </c>
      <c r="H2459" s="1" t="str">
        <f t="shared" si="3"/>
        <v>Currently Unavailable</v>
      </c>
      <c r="I2459" s="1" t="str">
        <f t="shared" si="4"/>
        <v>No Badges</v>
      </c>
      <c r="J2459" s="3">
        <f t="shared" si="5"/>
        <v>0</v>
      </c>
    </row>
    <row r="2460">
      <c r="A2460" s="1" t="s">
        <v>1980</v>
      </c>
      <c r="B2460" s="3" t="str">
        <f t="shared" si="1"/>
        <v>Unavailable</v>
      </c>
      <c r="C2460" s="5">
        <v>7571.0</v>
      </c>
      <c r="D2460" s="3">
        <f>IFERROR(__xludf.DUMMYFUNCTION("IFERROR(
IF(REGEXMATCH(LOWER(O2460),""k""),
VALUE(REGEXEXTRACT(O2460,""[0-9]+""))*1000,
VALUE(REGEXEXTRACT(O2460,""[0-9]+""))
),
0
)"),0.0)</f>
        <v>0</v>
      </c>
      <c r="E2460" s="1" t="s">
        <v>11</v>
      </c>
      <c r="F2460" s="1" t="s">
        <v>20</v>
      </c>
      <c r="G2460" s="4" t="b">
        <f t="shared" si="2"/>
        <v>1</v>
      </c>
      <c r="H2460" s="1" t="str">
        <f t="shared" si="3"/>
        <v>Currently Unavailable</v>
      </c>
      <c r="I2460" s="1" t="str">
        <f t="shared" si="4"/>
        <v>No Badges</v>
      </c>
      <c r="J2460" s="3">
        <f t="shared" si="5"/>
        <v>0</v>
      </c>
    </row>
    <row r="2461">
      <c r="A2461" s="1" t="s">
        <v>1284</v>
      </c>
      <c r="B2461" s="3" t="str">
        <f t="shared" si="1"/>
        <v>Unavailable</v>
      </c>
      <c r="C2461" s="3">
        <v>172.0</v>
      </c>
      <c r="D2461" s="3">
        <f>IFERROR(__xludf.DUMMYFUNCTION("IFERROR(
IF(REGEXMATCH(LOWER(O2461),""k""),
VALUE(REGEXEXTRACT(O2461,""[0-9]+""))*1000,
VALUE(REGEXEXTRACT(O2461,""[0-9]+""))
),
0
)"),0.0)</f>
        <v>0</v>
      </c>
      <c r="E2461" s="1" t="s">
        <v>11</v>
      </c>
      <c r="F2461" s="1" t="s">
        <v>12</v>
      </c>
      <c r="G2461" s="4" t="b">
        <f t="shared" si="2"/>
        <v>1</v>
      </c>
      <c r="H2461" s="1" t="str">
        <f t="shared" si="3"/>
        <v>Currently Unavailable</v>
      </c>
      <c r="I2461" s="1" t="str">
        <f t="shared" si="4"/>
        <v>No Badges</v>
      </c>
      <c r="J2461" s="3">
        <f t="shared" si="5"/>
        <v>0</v>
      </c>
    </row>
    <row r="2462">
      <c r="A2462" s="1" t="s">
        <v>67</v>
      </c>
      <c r="B2462" s="3" t="str">
        <f t="shared" si="1"/>
        <v>Unavailable</v>
      </c>
      <c r="C2462" s="3">
        <v>264.0</v>
      </c>
      <c r="D2462" s="3">
        <f>IFERROR(__xludf.DUMMYFUNCTION("IFERROR(
IF(REGEXMATCH(LOWER(O2462),""k""),
VALUE(REGEXEXTRACT(O2462,""[0-9]+""))*1000,
VALUE(REGEXEXTRACT(O2462,""[0-9]+""))
),
0
)"),0.0)</f>
        <v>0</v>
      </c>
      <c r="E2462" s="1" t="s">
        <v>11</v>
      </c>
      <c r="F2462" s="1" t="s">
        <v>12</v>
      </c>
      <c r="G2462" s="4" t="b">
        <f t="shared" si="2"/>
        <v>1</v>
      </c>
      <c r="H2462" s="1" t="str">
        <f t="shared" si="3"/>
        <v>Currently Unavailable</v>
      </c>
      <c r="I2462" s="1" t="str">
        <f t="shared" si="4"/>
        <v>No Badges</v>
      </c>
      <c r="J2462" s="3">
        <f t="shared" si="5"/>
        <v>0</v>
      </c>
    </row>
    <row r="2463">
      <c r="A2463" s="1" t="s">
        <v>1981</v>
      </c>
      <c r="B2463" s="3" t="str">
        <f t="shared" si="1"/>
        <v>Unavailable</v>
      </c>
      <c r="C2463" s="5">
        <v>1270.0</v>
      </c>
      <c r="D2463" s="3">
        <f>IFERROR(__xludf.DUMMYFUNCTION("IFERROR(
IF(REGEXMATCH(LOWER(O2463),""k""),
VALUE(REGEXEXTRACT(O2463,""[0-9]+""))*1000,
VALUE(REGEXEXTRACT(O2463,""[0-9]+""))
),
0
)"),0.0)</f>
        <v>0</v>
      </c>
      <c r="E2463" s="1" t="s">
        <v>11</v>
      </c>
      <c r="F2463" s="1" t="s">
        <v>20</v>
      </c>
      <c r="G2463" s="4" t="b">
        <f t="shared" si="2"/>
        <v>1</v>
      </c>
      <c r="H2463" s="1" t="str">
        <f t="shared" si="3"/>
        <v>Currently Unavailable</v>
      </c>
      <c r="I2463" s="1" t="str">
        <f t="shared" si="4"/>
        <v>No Badges</v>
      </c>
      <c r="J2463" s="3">
        <f t="shared" si="5"/>
        <v>0</v>
      </c>
    </row>
    <row r="2464">
      <c r="A2464" s="1" t="s">
        <v>701</v>
      </c>
      <c r="B2464" s="3" t="str">
        <f t="shared" si="1"/>
        <v>Unavailable</v>
      </c>
      <c r="C2464" s="3">
        <v>8.0</v>
      </c>
      <c r="D2464" s="3">
        <f>IFERROR(__xludf.DUMMYFUNCTION("IFERROR(
IF(REGEXMATCH(LOWER(O2464),""k""),
VALUE(REGEXEXTRACT(O2464,""[0-9]+""))*1000,
VALUE(REGEXEXTRACT(O2464,""[0-9]+""))
),
0
)"),0.0)</f>
        <v>0</v>
      </c>
      <c r="E2464" s="1" t="s">
        <v>11</v>
      </c>
      <c r="F2464" s="1" t="s">
        <v>12</v>
      </c>
      <c r="G2464" s="4" t="b">
        <f t="shared" si="2"/>
        <v>1</v>
      </c>
      <c r="H2464" s="1" t="str">
        <f t="shared" si="3"/>
        <v>Currently Unavailable</v>
      </c>
      <c r="I2464" s="1" t="str">
        <f t="shared" si="4"/>
        <v>No Badges</v>
      </c>
      <c r="J2464" s="3">
        <f t="shared" si="5"/>
        <v>0</v>
      </c>
    </row>
    <row r="2465">
      <c r="A2465" s="1" t="s">
        <v>1982</v>
      </c>
      <c r="B2465" s="3" t="str">
        <f t="shared" si="1"/>
        <v>Unavailable</v>
      </c>
      <c r="C2465" s="5">
        <v>3274.0</v>
      </c>
      <c r="D2465" s="3">
        <f>IFERROR(__xludf.DUMMYFUNCTION("IFERROR(
IF(REGEXMATCH(LOWER(O2465),""k""),
VALUE(REGEXEXTRACT(O2465,""[0-9]+""))*1000,
VALUE(REGEXEXTRACT(O2465,""[0-9]+""))
),
0
)"),0.0)</f>
        <v>0</v>
      </c>
      <c r="E2465" s="1" t="s">
        <v>11</v>
      </c>
      <c r="F2465" s="1" t="s">
        <v>20</v>
      </c>
      <c r="G2465" s="4" t="b">
        <f t="shared" si="2"/>
        <v>1</v>
      </c>
      <c r="H2465" s="1" t="str">
        <f t="shared" si="3"/>
        <v>Currently Unavailable</v>
      </c>
      <c r="I2465" s="1" t="str">
        <f t="shared" si="4"/>
        <v>No Badges</v>
      </c>
      <c r="J2465" s="3">
        <f t="shared" si="5"/>
        <v>0</v>
      </c>
    </row>
    <row r="2466">
      <c r="A2466" s="1" t="s">
        <v>1983</v>
      </c>
      <c r="B2466" s="3" t="str">
        <f t="shared" si="1"/>
        <v>Unavailable</v>
      </c>
      <c r="C2466" s="5">
        <v>7094.0</v>
      </c>
      <c r="D2466" s="3">
        <f>IFERROR(__xludf.DUMMYFUNCTION("IFERROR(
IF(REGEXMATCH(LOWER(O2466),""k""),
VALUE(REGEXEXTRACT(O2466,""[0-9]+""))*1000,
VALUE(REGEXEXTRACT(O2466,""[0-9]+""))
),
0
)"),0.0)</f>
        <v>0</v>
      </c>
      <c r="E2466" s="1" t="s">
        <v>11</v>
      </c>
      <c r="F2466" s="1" t="s">
        <v>20</v>
      </c>
      <c r="G2466" s="4" t="b">
        <f t="shared" si="2"/>
        <v>1</v>
      </c>
      <c r="H2466" s="1" t="str">
        <f t="shared" si="3"/>
        <v>Currently Unavailable</v>
      </c>
      <c r="I2466" s="1" t="str">
        <f t="shared" si="4"/>
        <v>No Badges</v>
      </c>
      <c r="J2466" s="3">
        <f t="shared" si="5"/>
        <v>0</v>
      </c>
    </row>
    <row r="2467">
      <c r="A2467" s="1" t="s">
        <v>1984</v>
      </c>
      <c r="B2467" s="3" t="str">
        <f t="shared" si="1"/>
        <v>Unavailable</v>
      </c>
      <c r="C2467" s="3">
        <v>473.0</v>
      </c>
      <c r="D2467" s="3">
        <f>IFERROR(__xludf.DUMMYFUNCTION("IFERROR(
IF(REGEXMATCH(LOWER(O2467),""k""),
VALUE(REGEXEXTRACT(O2467,""[0-9]+""))*1000,
VALUE(REGEXEXTRACT(O2467,""[0-9]+""))
),
0
)"),0.0)</f>
        <v>0</v>
      </c>
      <c r="E2467" s="1" t="s">
        <v>11</v>
      </c>
      <c r="F2467" s="1" t="s">
        <v>20</v>
      </c>
      <c r="G2467" s="4" t="b">
        <f t="shared" si="2"/>
        <v>1</v>
      </c>
      <c r="H2467" s="1" t="str">
        <f t="shared" si="3"/>
        <v>Currently Unavailable</v>
      </c>
      <c r="I2467" s="1" t="str">
        <f t="shared" si="4"/>
        <v>No Badges</v>
      </c>
      <c r="J2467" s="3">
        <f t="shared" si="5"/>
        <v>0</v>
      </c>
    </row>
    <row r="2468">
      <c r="A2468" s="1" t="s">
        <v>1985</v>
      </c>
      <c r="B2468" s="3" t="str">
        <f t="shared" si="1"/>
        <v>Unavailable</v>
      </c>
      <c r="C2468" s="3">
        <v>736.0</v>
      </c>
      <c r="D2468" s="3">
        <f>IFERROR(__xludf.DUMMYFUNCTION("IFERROR(
IF(REGEXMATCH(LOWER(O2468),""k""),
VALUE(REGEXEXTRACT(O2468,""[0-9]+""))*1000,
VALUE(REGEXEXTRACT(O2468,""[0-9]+""))
),
0
)"),0.0)</f>
        <v>0</v>
      </c>
      <c r="E2468" s="1" t="s">
        <v>11</v>
      </c>
      <c r="F2468" s="1" t="s">
        <v>20</v>
      </c>
      <c r="G2468" s="4" t="b">
        <f t="shared" si="2"/>
        <v>1</v>
      </c>
      <c r="H2468" s="1" t="str">
        <f t="shared" si="3"/>
        <v>Currently Unavailable</v>
      </c>
      <c r="I2468" s="1" t="str">
        <f t="shared" si="4"/>
        <v>No Badges</v>
      </c>
      <c r="J2468" s="3">
        <f t="shared" si="5"/>
        <v>0</v>
      </c>
    </row>
    <row r="2469">
      <c r="A2469" s="1" t="s">
        <v>1986</v>
      </c>
      <c r="B2469" s="3" t="str">
        <f t="shared" si="1"/>
        <v>Unavailable</v>
      </c>
      <c r="C2469" s="5">
        <v>15322.0</v>
      </c>
      <c r="D2469" s="3">
        <f>IFERROR(__xludf.DUMMYFUNCTION("IFERROR(
IF(REGEXMATCH(LOWER(O2469),""k""),
VALUE(REGEXEXTRACT(O2469,""[0-9]+""))*1000,
VALUE(REGEXEXTRACT(O2469,""[0-9]+""))
),
0
)"),0.0)</f>
        <v>0</v>
      </c>
      <c r="E2469" s="1" t="s">
        <v>11</v>
      </c>
      <c r="F2469" s="1" t="s">
        <v>20</v>
      </c>
      <c r="G2469" s="4" t="b">
        <f t="shared" si="2"/>
        <v>1</v>
      </c>
      <c r="H2469" s="1" t="str">
        <f t="shared" si="3"/>
        <v>Currently Unavailable</v>
      </c>
      <c r="I2469" s="1" t="str">
        <f t="shared" si="4"/>
        <v>No Badges</v>
      </c>
      <c r="J2469" s="3">
        <f t="shared" si="5"/>
        <v>0</v>
      </c>
    </row>
    <row r="2470">
      <c r="A2470" s="1" t="s">
        <v>1987</v>
      </c>
      <c r="B2470" s="3" t="str">
        <f t="shared" si="1"/>
        <v>Unavailable</v>
      </c>
      <c r="C2470" s="5">
        <v>1086.0</v>
      </c>
      <c r="D2470" s="3">
        <f>IFERROR(__xludf.DUMMYFUNCTION("IFERROR(
IF(REGEXMATCH(LOWER(O2470),""k""),
VALUE(REGEXEXTRACT(O2470,""[0-9]+""))*1000,
VALUE(REGEXEXTRACT(O2470,""[0-9]+""))
),
0
)"),0.0)</f>
        <v>0</v>
      </c>
      <c r="E2470" s="1" t="s">
        <v>11</v>
      </c>
      <c r="F2470" s="1" t="s">
        <v>20</v>
      </c>
      <c r="G2470" s="4" t="b">
        <f t="shared" si="2"/>
        <v>1</v>
      </c>
      <c r="H2470" s="1" t="str">
        <f t="shared" si="3"/>
        <v>Currently Unavailable</v>
      </c>
      <c r="I2470" s="1" t="str">
        <f t="shared" si="4"/>
        <v>No Badges</v>
      </c>
      <c r="J2470" s="3">
        <f t="shared" si="5"/>
        <v>0</v>
      </c>
    </row>
    <row r="2471">
      <c r="A2471" s="1" t="s">
        <v>1988</v>
      </c>
      <c r="B2471" s="3" t="str">
        <f t="shared" si="1"/>
        <v>Unavailable</v>
      </c>
      <c r="C2471" s="5">
        <v>3736.0</v>
      </c>
      <c r="D2471" s="3">
        <f>IFERROR(__xludf.DUMMYFUNCTION("IFERROR(
IF(REGEXMATCH(LOWER(O2471),""k""),
VALUE(REGEXEXTRACT(O2471,""[0-9]+""))*1000,
VALUE(REGEXEXTRACT(O2471,""[0-9]+""))
),
0
)"),0.0)</f>
        <v>0</v>
      </c>
      <c r="E2471" s="1" t="s">
        <v>158</v>
      </c>
      <c r="F2471" s="1" t="s">
        <v>20</v>
      </c>
      <c r="G2471" s="4" t="b">
        <f t="shared" si="2"/>
        <v>1</v>
      </c>
      <c r="H2471" s="1" t="str">
        <f t="shared" si="3"/>
        <v>Currently Unavailable</v>
      </c>
      <c r="I2471" s="1" t="str">
        <f t="shared" si="4"/>
        <v>No Badges</v>
      </c>
      <c r="J2471" s="3">
        <f t="shared" si="5"/>
        <v>0</v>
      </c>
    </row>
    <row r="2472">
      <c r="A2472" s="1" t="s">
        <v>1285</v>
      </c>
      <c r="B2472" s="3" t="str">
        <f t="shared" si="1"/>
        <v>Unavailable</v>
      </c>
      <c r="C2472" s="5">
        <v>3520.0</v>
      </c>
      <c r="D2472" s="3">
        <f>IFERROR(__xludf.DUMMYFUNCTION("IFERROR(
IF(REGEXMATCH(LOWER(O2472),""k""),
VALUE(REGEXEXTRACT(O2472,""[0-9]+""))*1000,
VALUE(REGEXEXTRACT(O2472,""[0-9]+""))
),
0
)"),0.0)</f>
        <v>0</v>
      </c>
      <c r="E2472" s="1" t="s">
        <v>11</v>
      </c>
      <c r="F2472" s="1" t="s">
        <v>12</v>
      </c>
      <c r="G2472" s="4" t="b">
        <f t="shared" si="2"/>
        <v>1</v>
      </c>
      <c r="H2472" s="1" t="str">
        <f t="shared" si="3"/>
        <v>Currently Unavailable</v>
      </c>
      <c r="I2472" s="1" t="str">
        <f t="shared" si="4"/>
        <v>No Badges</v>
      </c>
      <c r="J2472" s="3">
        <f t="shared" si="5"/>
        <v>0</v>
      </c>
    </row>
    <row r="2473">
      <c r="A2473" s="1" t="s">
        <v>1284</v>
      </c>
      <c r="B2473" s="3" t="str">
        <f t="shared" si="1"/>
        <v>Unavailable</v>
      </c>
      <c r="C2473" s="3">
        <v>172.0</v>
      </c>
      <c r="D2473" s="3">
        <f>IFERROR(__xludf.DUMMYFUNCTION("IFERROR(
IF(REGEXMATCH(LOWER(O2473),""k""),
VALUE(REGEXEXTRACT(O2473,""[0-9]+""))*1000,
VALUE(REGEXEXTRACT(O2473,""[0-9]+""))
),
0
)"),0.0)</f>
        <v>0</v>
      </c>
      <c r="E2473" s="1" t="s">
        <v>11</v>
      </c>
      <c r="F2473" s="1" t="s">
        <v>12</v>
      </c>
      <c r="G2473" s="4" t="b">
        <f t="shared" si="2"/>
        <v>1</v>
      </c>
      <c r="H2473" s="1" t="str">
        <f t="shared" si="3"/>
        <v>Currently Unavailable</v>
      </c>
      <c r="I2473" s="1" t="str">
        <f t="shared" si="4"/>
        <v>No Badges</v>
      </c>
      <c r="J2473" s="3">
        <f t="shared" si="5"/>
        <v>0</v>
      </c>
    </row>
    <row r="2474">
      <c r="A2474" s="1" t="s">
        <v>1989</v>
      </c>
      <c r="B2474" s="3" t="str">
        <f t="shared" si="1"/>
        <v>Unavailable</v>
      </c>
      <c r="C2474" s="3">
        <v>181.0</v>
      </c>
      <c r="D2474" s="3">
        <f>IFERROR(__xludf.DUMMYFUNCTION("IFERROR(
IF(REGEXMATCH(LOWER(O2474),""k""),
VALUE(REGEXEXTRACT(O2474,""[0-9]+""))*1000,
VALUE(REGEXEXTRACT(O2474,""[0-9]+""))
),
0
)"),0.0)</f>
        <v>0</v>
      </c>
      <c r="E2474" s="1" t="s">
        <v>11</v>
      </c>
      <c r="F2474" s="1" t="s">
        <v>20</v>
      </c>
      <c r="G2474" s="4" t="b">
        <f t="shared" si="2"/>
        <v>1</v>
      </c>
      <c r="H2474" s="1" t="str">
        <f t="shared" si="3"/>
        <v>Currently Unavailable</v>
      </c>
      <c r="I2474" s="1" t="str">
        <f t="shared" si="4"/>
        <v>No Badges</v>
      </c>
      <c r="J2474" s="3">
        <f t="shared" si="5"/>
        <v>0</v>
      </c>
    </row>
    <row r="2475">
      <c r="A2475" s="1" t="s">
        <v>1990</v>
      </c>
      <c r="B2475" s="3" t="str">
        <f t="shared" si="1"/>
        <v>Unavailable</v>
      </c>
      <c r="C2475" s="3">
        <v>35.0</v>
      </c>
      <c r="D2475" s="3">
        <f>IFERROR(__xludf.DUMMYFUNCTION("IFERROR(
IF(REGEXMATCH(LOWER(O2475),""k""),
VALUE(REGEXEXTRACT(O2475,""[0-9]+""))*1000,
VALUE(REGEXEXTRACT(O2475,""[0-9]+""))
),
0
)"),0.0)</f>
        <v>0</v>
      </c>
      <c r="E2475" s="1" t="s">
        <v>11</v>
      </c>
      <c r="F2475" s="1" t="s">
        <v>20</v>
      </c>
      <c r="G2475" s="4" t="b">
        <f t="shared" si="2"/>
        <v>1</v>
      </c>
      <c r="H2475" s="1" t="str">
        <f t="shared" si="3"/>
        <v>Currently Unavailable</v>
      </c>
      <c r="I2475" s="1" t="str">
        <f t="shared" si="4"/>
        <v>No Badges</v>
      </c>
      <c r="J2475" s="3">
        <f t="shared" si="5"/>
        <v>0</v>
      </c>
    </row>
    <row r="2476">
      <c r="A2476" s="1" t="s">
        <v>1991</v>
      </c>
      <c r="B2476" s="3" t="str">
        <f t="shared" si="1"/>
        <v>Unavailable</v>
      </c>
      <c r="C2476" s="3">
        <v>409.0</v>
      </c>
      <c r="D2476" s="3">
        <f>IFERROR(__xludf.DUMMYFUNCTION("IFERROR(
IF(REGEXMATCH(LOWER(O2476),""k""),
VALUE(REGEXEXTRACT(O2476,""[0-9]+""))*1000,
VALUE(REGEXEXTRACT(O2476,""[0-9]+""))
),
0
)"),0.0)</f>
        <v>0</v>
      </c>
      <c r="E2476" s="1" t="s">
        <v>11</v>
      </c>
      <c r="F2476" s="1" t="s">
        <v>20</v>
      </c>
      <c r="G2476" s="4" t="b">
        <f t="shared" si="2"/>
        <v>1</v>
      </c>
      <c r="H2476" s="1" t="str">
        <f t="shared" si="3"/>
        <v>Currently Unavailable</v>
      </c>
      <c r="I2476" s="1" t="str">
        <f t="shared" si="4"/>
        <v>No Badges</v>
      </c>
      <c r="J2476" s="3">
        <f t="shared" si="5"/>
        <v>0</v>
      </c>
    </row>
    <row r="2477">
      <c r="A2477" s="1" t="s">
        <v>1992</v>
      </c>
      <c r="B2477" s="3" t="str">
        <f t="shared" si="1"/>
        <v>Unavailable</v>
      </c>
      <c r="C2477" s="5">
        <v>7079.0</v>
      </c>
      <c r="D2477" s="3">
        <f>IFERROR(__xludf.DUMMYFUNCTION("IFERROR(
IF(REGEXMATCH(LOWER(O2477),""k""),
VALUE(REGEXEXTRACT(O2477,""[0-9]+""))*1000,
VALUE(REGEXEXTRACT(O2477,""[0-9]+""))
),
0
)"),0.0)</f>
        <v>0</v>
      </c>
      <c r="E2477" s="1" t="s">
        <v>11</v>
      </c>
      <c r="F2477" s="1" t="s">
        <v>20</v>
      </c>
      <c r="G2477" s="4" t="b">
        <f t="shared" si="2"/>
        <v>1</v>
      </c>
      <c r="H2477" s="1" t="str">
        <f t="shared" si="3"/>
        <v>Currently Unavailable</v>
      </c>
      <c r="I2477" s="1" t="str">
        <f t="shared" si="4"/>
        <v>No Badges</v>
      </c>
      <c r="J2477" s="3">
        <f t="shared" si="5"/>
        <v>0</v>
      </c>
    </row>
    <row r="2478">
      <c r="A2478" s="1" t="s">
        <v>1993</v>
      </c>
      <c r="B2478" s="3" t="str">
        <f t="shared" si="1"/>
        <v>Unavailable</v>
      </c>
      <c r="C2478" s="5">
        <v>3082.0</v>
      </c>
      <c r="D2478" s="3">
        <f>IFERROR(__xludf.DUMMYFUNCTION("IFERROR(
IF(REGEXMATCH(LOWER(O2478),""k""),
VALUE(REGEXEXTRACT(O2478,""[0-9]+""))*1000,
VALUE(REGEXEXTRACT(O2478,""[0-9]+""))
),
0
)"),0.0)</f>
        <v>0</v>
      </c>
      <c r="E2478" s="1" t="s">
        <v>11</v>
      </c>
      <c r="F2478" s="1" t="s">
        <v>20</v>
      </c>
      <c r="G2478" s="4" t="b">
        <f t="shared" si="2"/>
        <v>1</v>
      </c>
      <c r="H2478" s="1" t="str">
        <f t="shared" si="3"/>
        <v>Currently Unavailable</v>
      </c>
      <c r="I2478" s="1" t="str">
        <f t="shared" si="4"/>
        <v>No Badges</v>
      </c>
      <c r="J2478" s="3">
        <f t="shared" si="5"/>
        <v>0</v>
      </c>
    </row>
    <row r="2479">
      <c r="A2479" s="1" t="s">
        <v>88</v>
      </c>
      <c r="B2479" s="3" t="str">
        <f t="shared" si="1"/>
        <v>Unavailable</v>
      </c>
      <c r="C2479" s="3">
        <v>5.0</v>
      </c>
      <c r="D2479" s="3">
        <f>IFERROR(__xludf.DUMMYFUNCTION("IFERROR(
IF(REGEXMATCH(LOWER(O2479),""k""),
VALUE(REGEXEXTRACT(O2479,""[0-9]+""))*1000,
VALUE(REGEXEXTRACT(O2479,""[0-9]+""))
),
0
)"),0.0)</f>
        <v>0</v>
      </c>
      <c r="E2479" s="1" t="s">
        <v>11</v>
      </c>
      <c r="F2479" s="1" t="s">
        <v>12</v>
      </c>
      <c r="G2479" s="4" t="b">
        <f t="shared" si="2"/>
        <v>1</v>
      </c>
      <c r="H2479" s="1" t="str">
        <f t="shared" si="3"/>
        <v>Currently Unavailable</v>
      </c>
      <c r="I2479" s="1" t="str">
        <f t="shared" si="4"/>
        <v>No Badges</v>
      </c>
      <c r="J2479" s="3">
        <f t="shared" si="5"/>
        <v>0</v>
      </c>
    </row>
    <row r="2480">
      <c r="A2480" s="1" t="s">
        <v>1994</v>
      </c>
      <c r="B2480" s="3" t="str">
        <f t="shared" si="1"/>
        <v>Unavailable</v>
      </c>
      <c r="C2480" s="5">
        <v>2710.0</v>
      </c>
      <c r="D2480" s="3">
        <f>IFERROR(__xludf.DUMMYFUNCTION("IFERROR(
IF(REGEXMATCH(LOWER(O2480),""k""),
VALUE(REGEXEXTRACT(O2480,""[0-9]+""))*1000,
VALUE(REGEXEXTRACT(O2480,""[0-9]+""))
),
0
)"),0.0)</f>
        <v>0</v>
      </c>
      <c r="E2480" s="1" t="s">
        <v>11</v>
      </c>
      <c r="F2480" s="1" t="s">
        <v>20</v>
      </c>
      <c r="G2480" s="4" t="b">
        <f t="shared" si="2"/>
        <v>1</v>
      </c>
      <c r="H2480" s="1" t="str">
        <f t="shared" si="3"/>
        <v>Currently Unavailable</v>
      </c>
      <c r="I2480" s="1" t="str">
        <f t="shared" si="4"/>
        <v>No Badges</v>
      </c>
      <c r="J2480" s="3">
        <f t="shared" si="5"/>
        <v>0</v>
      </c>
    </row>
    <row r="2481">
      <c r="A2481" s="1" t="s">
        <v>1285</v>
      </c>
      <c r="B2481" s="3" t="str">
        <f t="shared" si="1"/>
        <v>Unavailable</v>
      </c>
      <c r="C2481" s="5">
        <v>3520.0</v>
      </c>
      <c r="D2481" s="3">
        <f>IFERROR(__xludf.DUMMYFUNCTION("IFERROR(
IF(REGEXMATCH(LOWER(O2481),""k""),
VALUE(REGEXEXTRACT(O2481,""[0-9]+""))*1000,
VALUE(REGEXEXTRACT(O2481,""[0-9]+""))
),
0
)"),0.0)</f>
        <v>0</v>
      </c>
      <c r="E2481" s="1" t="s">
        <v>11</v>
      </c>
      <c r="F2481" s="1" t="s">
        <v>12</v>
      </c>
      <c r="G2481" s="4" t="b">
        <f t="shared" si="2"/>
        <v>1</v>
      </c>
      <c r="H2481" s="1" t="str">
        <f t="shared" si="3"/>
        <v>Currently Unavailable</v>
      </c>
      <c r="I2481" s="1" t="str">
        <f t="shared" si="4"/>
        <v>No Badges</v>
      </c>
      <c r="J2481" s="3">
        <f t="shared" si="5"/>
        <v>0</v>
      </c>
    </row>
    <row r="2482">
      <c r="A2482" s="1" t="s">
        <v>1284</v>
      </c>
      <c r="B2482" s="3" t="str">
        <f t="shared" si="1"/>
        <v>Unavailable</v>
      </c>
      <c r="C2482" s="3">
        <v>172.0</v>
      </c>
      <c r="D2482" s="3">
        <f>IFERROR(__xludf.DUMMYFUNCTION("IFERROR(
IF(REGEXMATCH(LOWER(O2482),""k""),
VALUE(REGEXEXTRACT(O2482,""[0-9]+""))*1000,
VALUE(REGEXEXTRACT(O2482,""[0-9]+""))
),
0
)"),0.0)</f>
        <v>0</v>
      </c>
      <c r="E2482" s="1" t="s">
        <v>11</v>
      </c>
      <c r="F2482" s="1" t="s">
        <v>12</v>
      </c>
      <c r="G2482" s="4" t="b">
        <f t="shared" si="2"/>
        <v>1</v>
      </c>
      <c r="H2482" s="1" t="str">
        <f t="shared" si="3"/>
        <v>Currently Unavailable</v>
      </c>
      <c r="I2482" s="1" t="str">
        <f t="shared" si="4"/>
        <v>No Badges</v>
      </c>
      <c r="J2482" s="3">
        <f t="shared" si="5"/>
        <v>0</v>
      </c>
    </row>
    <row r="2483">
      <c r="A2483" s="1" t="s">
        <v>1995</v>
      </c>
      <c r="B2483" s="3" t="str">
        <f t="shared" si="1"/>
        <v>Unavailable</v>
      </c>
      <c r="C2483" s="5">
        <v>1409.0</v>
      </c>
      <c r="D2483" s="3">
        <f>IFERROR(__xludf.DUMMYFUNCTION("IFERROR(
IF(REGEXMATCH(LOWER(O2483),""k""),
VALUE(REGEXEXTRACT(O2483,""[0-9]+""))*1000,
VALUE(REGEXEXTRACT(O2483,""[0-9]+""))
),
0
)"),0.0)</f>
        <v>0</v>
      </c>
      <c r="E2483" s="1" t="s">
        <v>11</v>
      </c>
      <c r="F2483" s="1" t="s">
        <v>20</v>
      </c>
      <c r="G2483" s="4" t="b">
        <f t="shared" si="2"/>
        <v>1</v>
      </c>
      <c r="H2483" s="1" t="str">
        <f t="shared" si="3"/>
        <v>Currently Unavailable</v>
      </c>
      <c r="I2483" s="1" t="str">
        <f t="shared" si="4"/>
        <v>No Badges</v>
      </c>
      <c r="J2483" s="3">
        <f t="shared" si="5"/>
        <v>0</v>
      </c>
    </row>
    <row r="2484">
      <c r="A2484" s="1" t="s">
        <v>1996</v>
      </c>
      <c r="B2484" s="3" t="str">
        <f t="shared" si="1"/>
        <v>Unavailable</v>
      </c>
      <c r="C2484" s="5">
        <v>60303.0</v>
      </c>
      <c r="D2484" s="3">
        <f>IFERROR(__xludf.DUMMYFUNCTION("IFERROR(
IF(REGEXMATCH(LOWER(O2484),""k""),
VALUE(REGEXEXTRACT(O2484,""[0-9]+""))*1000,
VALUE(REGEXEXTRACT(O2484,""[0-9]+""))
),
0
)"),0.0)</f>
        <v>0</v>
      </c>
      <c r="E2484" s="1" t="s">
        <v>11</v>
      </c>
      <c r="F2484" s="1" t="s">
        <v>20</v>
      </c>
      <c r="G2484" s="4" t="b">
        <f t="shared" si="2"/>
        <v>1</v>
      </c>
      <c r="H2484" s="1" t="str">
        <f t="shared" si="3"/>
        <v>Currently Unavailable</v>
      </c>
      <c r="I2484" s="1" t="str">
        <f t="shared" si="4"/>
        <v>No Badges</v>
      </c>
      <c r="J2484" s="3">
        <f t="shared" si="5"/>
        <v>0</v>
      </c>
    </row>
    <row r="2485">
      <c r="A2485" s="1" t="s">
        <v>1997</v>
      </c>
      <c r="B2485" s="3" t="str">
        <f t="shared" si="1"/>
        <v>Unavailable</v>
      </c>
      <c r="C2485" s="5">
        <v>185776.0</v>
      </c>
      <c r="D2485" s="3">
        <f>IFERROR(__xludf.DUMMYFUNCTION("IFERROR(
IF(REGEXMATCH(LOWER(O2485),""k""),
VALUE(REGEXEXTRACT(O2485,""[0-9]+""))*1000,
VALUE(REGEXEXTRACT(O2485,""[0-9]+""))
),
0
)"),0.0)</f>
        <v>0</v>
      </c>
      <c r="E2485" s="1" t="s">
        <v>11</v>
      </c>
      <c r="F2485" s="1" t="s">
        <v>20</v>
      </c>
      <c r="G2485" s="4" t="b">
        <f t="shared" si="2"/>
        <v>1</v>
      </c>
      <c r="H2485" s="1" t="str">
        <f t="shared" si="3"/>
        <v>Currently Unavailable</v>
      </c>
      <c r="I2485" s="1" t="str">
        <f t="shared" si="4"/>
        <v>No Badges</v>
      </c>
      <c r="J2485" s="3">
        <f t="shared" si="5"/>
        <v>0</v>
      </c>
    </row>
    <row r="2486">
      <c r="A2486" s="1" t="s">
        <v>1998</v>
      </c>
      <c r="B2486" s="3" t="str">
        <f t="shared" si="1"/>
        <v>Unavailable</v>
      </c>
      <c r="C2486" s="3">
        <v>95.0</v>
      </c>
      <c r="D2486" s="3">
        <f>IFERROR(__xludf.DUMMYFUNCTION("IFERROR(
IF(REGEXMATCH(LOWER(O2486),""k""),
VALUE(REGEXEXTRACT(O2486,""[0-9]+""))*1000,
VALUE(REGEXEXTRACT(O2486,""[0-9]+""))
),
0
)"),0.0)</f>
        <v>0</v>
      </c>
      <c r="E2486" s="1" t="s">
        <v>11</v>
      </c>
      <c r="F2486" s="1" t="s">
        <v>20</v>
      </c>
      <c r="G2486" s="4" t="b">
        <f t="shared" si="2"/>
        <v>1</v>
      </c>
      <c r="H2486" s="1" t="str">
        <f t="shared" si="3"/>
        <v>Currently Unavailable</v>
      </c>
      <c r="I2486" s="1" t="str">
        <f t="shared" si="4"/>
        <v>No Badges</v>
      </c>
      <c r="J2486" s="3">
        <f t="shared" si="5"/>
        <v>0</v>
      </c>
    </row>
    <row r="2487">
      <c r="A2487" s="1" t="s">
        <v>1999</v>
      </c>
      <c r="B2487" s="3" t="str">
        <f t="shared" si="1"/>
        <v>Unavailable</v>
      </c>
      <c r="C2487" s="5">
        <v>1013.0</v>
      </c>
      <c r="D2487" s="3">
        <f>IFERROR(__xludf.DUMMYFUNCTION("IFERROR(
IF(REGEXMATCH(LOWER(O2487),""k""),
VALUE(REGEXEXTRACT(O2487,""[0-9]+""))*1000,
VALUE(REGEXEXTRACT(O2487,""[0-9]+""))
),
0
)"),0.0)</f>
        <v>0</v>
      </c>
      <c r="E2487" s="1" t="s">
        <v>11</v>
      </c>
      <c r="F2487" s="1" t="s">
        <v>20</v>
      </c>
      <c r="G2487" s="4" t="b">
        <f t="shared" si="2"/>
        <v>1</v>
      </c>
      <c r="H2487" s="1" t="str">
        <f t="shared" si="3"/>
        <v>Currently Unavailable</v>
      </c>
      <c r="I2487" s="1" t="str">
        <f t="shared" si="4"/>
        <v>No Badges</v>
      </c>
      <c r="J2487" s="3">
        <f t="shared" si="5"/>
        <v>0</v>
      </c>
    </row>
    <row r="2488">
      <c r="A2488" s="1" t="s">
        <v>2000</v>
      </c>
      <c r="B2488" s="3" t="str">
        <f t="shared" si="1"/>
        <v>Unavailable</v>
      </c>
      <c r="C2488" s="5">
        <v>27619.0</v>
      </c>
      <c r="D2488" s="3">
        <f>IFERROR(__xludf.DUMMYFUNCTION("IFERROR(
IF(REGEXMATCH(LOWER(O2488),""k""),
VALUE(REGEXEXTRACT(O2488,""[0-9]+""))*1000,
VALUE(REGEXEXTRACT(O2488,""[0-9]+""))
),
0
)"),0.0)</f>
        <v>0</v>
      </c>
      <c r="E2488" s="1" t="s">
        <v>11</v>
      </c>
      <c r="F2488" s="1" t="s">
        <v>20</v>
      </c>
      <c r="G2488" s="4" t="b">
        <f t="shared" si="2"/>
        <v>1</v>
      </c>
      <c r="H2488" s="1" t="str">
        <f t="shared" si="3"/>
        <v>Currently Unavailable</v>
      </c>
      <c r="I2488" s="1" t="str">
        <f t="shared" si="4"/>
        <v>No Badges</v>
      </c>
      <c r="J2488" s="3">
        <f t="shared" si="5"/>
        <v>0</v>
      </c>
    </row>
    <row r="2489">
      <c r="A2489" s="1" t="s">
        <v>1285</v>
      </c>
      <c r="B2489" s="3" t="str">
        <f t="shared" si="1"/>
        <v>Unavailable</v>
      </c>
      <c r="C2489" s="5">
        <v>3520.0</v>
      </c>
      <c r="D2489" s="3">
        <f>IFERROR(__xludf.DUMMYFUNCTION("IFERROR(
IF(REGEXMATCH(LOWER(O2489),""k""),
VALUE(REGEXEXTRACT(O2489,""[0-9]+""))*1000,
VALUE(REGEXEXTRACT(O2489,""[0-9]+""))
),
0
)"),0.0)</f>
        <v>0</v>
      </c>
      <c r="E2489" s="1" t="s">
        <v>11</v>
      </c>
      <c r="F2489" s="1" t="s">
        <v>12</v>
      </c>
      <c r="G2489" s="4" t="b">
        <f t="shared" si="2"/>
        <v>1</v>
      </c>
      <c r="H2489" s="1" t="str">
        <f t="shared" si="3"/>
        <v>Currently Unavailable</v>
      </c>
      <c r="I2489" s="1" t="str">
        <f t="shared" si="4"/>
        <v>No Badges</v>
      </c>
      <c r="J2489" s="3">
        <f t="shared" si="5"/>
        <v>0</v>
      </c>
    </row>
    <row r="2490">
      <c r="A2490" s="1" t="s">
        <v>2001</v>
      </c>
      <c r="B2490" s="3" t="str">
        <f t="shared" si="1"/>
        <v>Unavailable</v>
      </c>
      <c r="C2490" s="5">
        <v>4813.0</v>
      </c>
      <c r="D2490" s="3">
        <f>IFERROR(__xludf.DUMMYFUNCTION("IFERROR(
IF(REGEXMATCH(LOWER(O2490),""k""),
VALUE(REGEXEXTRACT(O2490,""[0-9]+""))*1000,
VALUE(REGEXEXTRACT(O2490,""[0-9]+""))
),
0
)"),0.0)</f>
        <v>0</v>
      </c>
      <c r="E2490" s="1" t="s">
        <v>11</v>
      </c>
      <c r="F2490" s="1" t="s">
        <v>20</v>
      </c>
      <c r="G2490" s="4" t="b">
        <f t="shared" si="2"/>
        <v>1</v>
      </c>
      <c r="H2490" s="1" t="str">
        <f t="shared" si="3"/>
        <v>Currently Unavailable</v>
      </c>
      <c r="I2490" s="1" t="str">
        <f t="shared" si="4"/>
        <v>No Badges</v>
      </c>
      <c r="J2490" s="3">
        <f t="shared" si="5"/>
        <v>0</v>
      </c>
    </row>
    <row r="2491">
      <c r="A2491" s="1" t="s">
        <v>2002</v>
      </c>
      <c r="B2491" s="3" t="str">
        <f t="shared" si="1"/>
        <v>Unavailable</v>
      </c>
      <c r="C2491" s="3">
        <v>265.0</v>
      </c>
      <c r="D2491" s="3">
        <f>IFERROR(__xludf.DUMMYFUNCTION("IFERROR(
IF(REGEXMATCH(LOWER(O2491),""k""),
VALUE(REGEXEXTRACT(O2491,""[0-9]+""))*1000,
VALUE(REGEXEXTRACT(O2491,""[0-9]+""))
),
0
)"),0.0)</f>
        <v>0</v>
      </c>
      <c r="E2491" s="1" t="s">
        <v>11</v>
      </c>
      <c r="F2491" s="1" t="s">
        <v>20</v>
      </c>
      <c r="G2491" s="4" t="b">
        <f t="shared" si="2"/>
        <v>1</v>
      </c>
      <c r="H2491" s="1" t="str">
        <f t="shared" si="3"/>
        <v>Currently Unavailable</v>
      </c>
      <c r="I2491" s="1" t="str">
        <f t="shared" si="4"/>
        <v>No Badges</v>
      </c>
      <c r="J2491" s="3">
        <f t="shared" si="5"/>
        <v>0</v>
      </c>
    </row>
    <row r="2492">
      <c r="A2492" s="1" t="s">
        <v>2003</v>
      </c>
      <c r="B2492" s="3" t="str">
        <f t="shared" si="1"/>
        <v>Unavailable</v>
      </c>
      <c r="C2492" s="5">
        <v>4538.0</v>
      </c>
      <c r="D2492" s="3">
        <f>IFERROR(__xludf.DUMMYFUNCTION("IFERROR(
IF(REGEXMATCH(LOWER(O2492),""k""),
VALUE(REGEXEXTRACT(O2492,""[0-9]+""))*1000,
VALUE(REGEXEXTRACT(O2492,""[0-9]+""))
),
0
)"),0.0)</f>
        <v>0</v>
      </c>
      <c r="E2492" s="1" t="s">
        <v>11</v>
      </c>
      <c r="F2492" s="1" t="s">
        <v>20</v>
      </c>
      <c r="G2492" s="4" t="b">
        <f t="shared" si="2"/>
        <v>1</v>
      </c>
      <c r="H2492" s="1" t="str">
        <f t="shared" si="3"/>
        <v>Currently Unavailable</v>
      </c>
      <c r="I2492" s="1" t="str">
        <f t="shared" si="4"/>
        <v>No Badges</v>
      </c>
      <c r="J2492" s="3">
        <f t="shared" si="5"/>
        <v>0</v>
      </c>
    </row>
    <row r="2493">
      <c r="A2493" s="1" t="s">
        <v>2004</v>
      </c>
      <c r="B2493" s="3" t="str">
        <f t="shared" si="1"/>
        <v>Unavailable</v>
      </c>
      <c r="C2493" s="5">
        <v>1592.0</v>
      </c>
      <c r="D2493" s="3">
        <f>IFERROR(__xludf.DUMMYFUNCTION("IFERROR(
IF(REGEXMATCH(LOWER(O2493),""k""),
VALUE(REGEXEXTRACT(O2493,""[0-9]+""))*1000,
VALUE(REGEXEXTRACT(O2493,""[0-9]+""))
),
0
)"),0.0)</f>
        <v>0</v>
      </c>
      <c r="E2493" s="1" t="s">
        <v>11</v>
      </c>
      <c r="F2493" s="1" t="s">
        <v>20</v>
      </c>
      <c r="G2493" s="4" t="b">
        <f t="shared" si="2"/>
        <v>1</v>
      </c>
      <c r="H2493" s="1" t="str">
        <f t="shared" si="3"/>
        <v>Currently Unavailable</v>
      </c>
      <c r="I2493" s="1" t="str">
        <f t="shared" si="4"/>
        <v>No Badges</v>
      </c>
      <c r="J2493" s="3">
        <f t="shared" si="5"/>
        <v>0</v>
      </c>
    </row>
    <row r="2494">
      <c r="A2494" s="1" t="s">
        <v>2005</v>
      </c>
      <c r="B2494" s="3" t="str">
        <f t="shared" si="1"/>
        <v>Unavailable</v>
      </c>
      <c r="C2494" s="5">
        <v>8496.0</v>
      </c>
      <c r="D2494" s="3">
        <f>IFERROR(__xludf.DUMMYFUNCTION("IFERROR(
IF(REGEXMATCH(LOWER(O2494),""k""),
VALUE(REGEXEXTRACT(O2494,""[0-9]+""))*1000,
VALUE(REGEXEXTRACT(O2494,""[0-9]+""))
),
0
)"),0.0)</f>
        <v>0</v>
      </c>
      <c r="E2494" s="1" t="s">
        <v>11</v>
      </c>
      <c r="F2494" s="1" t="s">
        <v>20</v>
      </c>
      <c r="G2494" s="4" t="b">
        <f t="shared" si="2"/>
        <v>1</v>
      </c>
      <c r="H2494" s="1" t="str">
        <f t="shared" si="3"/>
        <v>Currently Unavailable</v>
      </c>
      <c r="I2494" s="1" t="str">
        <f t="shared" si="4"/>
        <v>No Badges</v>
      </c>
      <c r="J2494" s="3">
        <f t="shared" si="5"/>
        <v>0</v>
      </c>
    </row>
    <row r="2495">
      <c r="A2495" s="1" t="s">
        <v>2006</v>
      </c>
      <c r="B2495" s="3" t="str">
        <f t="shared" si="1"/>
        <v>Unavailable</v>
      </c>
      <c r="C2495" s="5">
        <v>2547.0</v>
      </c>
      <c r="D2495" s="3">
        <f>IFERROR(__xludf.DUMMYFUNCTION("IFERROR(
IF(REGEXMATCH(LOWER(O2495),""k""),
VALUE(REGEXEXTRACT(O2495,""[0-9]+""))*1000,
VALUE(REGEXEXTRACT(O2495,""[0-9]+""))
),
0
)"),0.0)</f>
        <v>0</v>
      </c>
      <c r="E2495" s="1" t="s">
        <v>11</v>
      </c>
      <c r="F2495" s="1" t="s">
        <v>20</v>
      </c>
      <c r="G2495" s="4" t="b">
        <f t="shared" si="2"/>
        <v>1</v>
      </c>
      <c r="H2495" s="1" t="str">
        <f t="shared" si="3"/>
        <v>Currently Unavailable</v>
      </c>
      <c r="I2495" s="1" t="str">
        <f t="shared" si="4"/>
        <v>No Badges</v>
      </c>
      <c r="J2495" s="3">
        <f t="shared" si="5"/>
        <v>0</v>
      </c>
    </row>
    <row r="2496">
      <c r="A2496" s="1" t="s">
        <v>2007</v>
      </c>
      <c r="B2496" s="3" t="str">
        <f t="shared" si="1"/>
        <v>Unavailable</v>
      </c>
      <c r="C2496" s="3">
        <v>158.0</v>
      </c>
      <c r="D2496" s="3">
        <f>IFERROR(__xludf.DUMMYFUNCTION("IFERROR(
IF(REGEXMATCH(LOWER(O2496),""k""),
VALUE(REGEXEXTRACT(O2496,""[0-9]+""))*1000,
VALUE(REGEXEXTRACT(O2496,""[0-9]+""))
),
0
)"),0.0)</f>
        <v>0</v>
      </c>
      <c r="E2496" s="1" t="s">
        <v>11</v>
      </c>
      <c r="F2496" s="1" t="s">
        <v>20</v>
      </c>
      <c r="G2496" s="4" t="b">
        <f t="shared" si="2"/>
        <v>1</v>
      </c>
      <c r="H2496" s="1" t="str">
        <f t="shared" si="3"/>
        <v>Currently Unavailable</v>
      </c>
      <c r="I2496" s="1" t="str">
        <f t="shared" si="4"/>
        <v>No Badges</v>
      </c>
      <c r="J2496" s="3">
        <f t="shared" si="5"/>
        <v>0</v>
      </c>
    </row>
    <row r="2497">
      <c r="A2497" s="1" t="s">
        <v>2008</v>
      </c>
      <c r="B2497" s="3" t="str">
        <f t="shared" si="1"/>
        <v>Unavailable</v>
      </c>
      <c r="C2497" s="5">
        <v>1206.0</v>
      </c>
      <c r="D2497" s="3">
        <f>IFERROR(__xludf.DUMMYFUNCTION("IFERROR(
IF(REGEXMATCH(LOWER(O2497),""k""),
VALUE(REGEXEXTRACT(O2497,""[0-9]+""))*1000,
VALUE(REGEXEXTRACT(O2497,""[0-9]+""))
),
0
)"),0.0)</f>
        <v>0</v>
      </c>
      <c r="E2497" s="1" t="s">
        <v>11</v>
      </c>
      <c r="F2497" s="1" t="s">
        <v>20</v>
      </c>
      <c r="G2497" s="4" t="b">
        <f t="shared" si="2"/>
        <v>1</v>
      </c>
      <c r="H2497" s="1" t="str">
        <f t="shared" si="3"/>
        <v>Currently Unavailable</v>
      </c>
      <c r="I2497" s="1" t="str">
        <f t="shared" si="4"/>
        <v>No Badges</v>
      </c>
      <c r="J2497" s="3">
        <f t="shared" si="5"/>
        <v>0</v>
      </c>
    </row>
    <row r="2498">
      <c r="A2498" s="1" t="s">
        <v>2009</v>
      </c>
      <c r="B2498" s="3" t="str">
        <f t="shared" si="1"/>
        <v>Unavailable</v>
      </c>
      <c r="C2498" s="5">
        <v>5593.0</v>
      </c>
      <c r="D2498" s="3">
        <f>IFERROR(__xludf.DUMMYFUNCTION("IFERROR(
IF(REGEXMATCH(LOWER(O2498),""k""),
VALUE(REGEXEXTRACT(O2498,""[0-9]+""))*1000,
VALUE(REGEXEXTRACT(O2498,""[0-9]+""))
),
0
)"),0.0)</f>
        <v>0</v>
      </c>
      <c r="E2498" s="1" t="s">
        <v>11</v>
      </c>
      <c r="F2498" s="1" t="s">
        <v>20</v>
      </c>
      <c r="G2498" s="4" t="b">
        <f t="shared" si="2"/>
        <v>1</v>
      </c>
      <c r="H2498" s="1" t="str">
        <f t="shared" si="3"/>
        <v>Currently Unavailable</v>
      </c>
      <c r="I2498" s="1" t="str">
        <f t="shared" si="4"/>
        <v>No Badges</v>
      </c>
      <c r="J2498" s="3">
        <f t="shared" si="5"/>
        <v>0</v>
      </c>
    </row>
    <row r="2499">
      <c r="A2499" s="1" t="s">
        <v>2010</v>
      </c>
      <c r="B2499" s="3" t="str">
        <f t="shared" si="1"/>
        <v>Unavailable</v>
      </c>
      <c r="C2499" s="3">
        <v>47.0</v>
      </c>
      <c r="D2499" s="3">
        <f>IFERROR(__xludf.DUMMYFUNCTION("IFERROR(
IF(REGEXMATCH(LOWER(O2499),""k""),
VALUE(REGEXEXTRACT(O2499,""[0-9]+""))*1000,
VALUE(REGEXEXTRACT(O2499,""[0-9]+""))
),
0
)"),0.0)</f>
        <v>0</v>
      </c>
      <c r="E2499" s="1" t="s">
        <v>11</v>
      </c>
      <c r="F2499" s="1" t="s">
        <v>20</v>
      </c>
      <c r="G2499" s="4" t="b">
        <f t="shared" si="2"/>
        <v>1</v>
      </c>
      <c r="H2499" s="1" t="str">
        <f t="shared" si="3"/>
        <v>Currently Unavailable</v>
      </c>
      <c r="I2499" s="1" t="str">
        <f t="shared" si="4"/>
        <v>No Badges</v>
      </c>
      <c r="J2499" s="3">
        <f t="shared" si="5"/>
        <v>0</v>
      </c>
    </row>
    <row r="2500">
      <c r="A2500" s="1" t="s">
        <v>2011</v>
      </c>
      <c r="B2500" s="3" t="str">
        <f t="shared" si="1"/>
        <v>Unavailable</v>
      </c>
      <c r="C2500" s="5">
        <v>3766.0</v>
      </c>
      <c r="D2500" s="3">
        <f>IFERROR(__xludf.DUMMYFUNCTION("IFERROR(
IF(REGEXMATCH(LOWER(O2500),""k""),
VALUE(REGEXEXTRACT(O2500,""[0-9]+""))*1000,
VALUE(REGEXEXTRACT(O2500,""[0-9]+""))
),
0
)"),0.0)</f>
        <v>0</v>
      </c>
      <c r="E2500" s="1" t="s">
        <v>11</v>
      </c>
      <c r="F2500" s="1" t="s">
        <v>20</v>
      </c>
      <c r="G2500" s="4" t="b">
        <f t="shared" si="2"/>
        <v>1</v>
      </c>
      <c r="H2500" s="1" t="str">
        <f t="shared" si="3"/>
        <v>Currently Unavailable</v>
      </c>
      <c r="I2500" s="1" t="str">
        <f t="shared" si="4"/>
        <v>No Badges</v>
      </c>
      <c r="J2500" s="3">
        <f t="shared" si="5"/>
        <v>0</v>
      </c>
    </row>
    <row r="2501">
      <c r="A2501" s="1" t="s">
        <v>2012</v>
      </c>
      <c r="B2501" s="3" t="str">
        <f t="shared" si="1"/>
        <v>Unavailable</v>
      </c>
      <c r="C2501" s="3">
        <v>383.0</v>
      </c>
      <c r="D2501" s="3">
        <f>IFERROR(__xludf.DUMMYFUNCTION("IFERROR(
IF(REGEXMATCH(LOWER(O2501),""k""),
VALUE(REGEXEXTRACT(O2501,""[0-9]+""))*1000,
VALUE(REGEXEXTRACT(O2501,""[0-9]+""))
),
0
)"),0.0)</f>
        <v>0</v>
      </c>
      <c r="E2501" s="1" t="s">
        <v>11</v>
      </c>
      <c r="F2501" s="1" t="s">
        <v>20</v>
      </c>
      <c r="G2501" s="4" t="b">
        <f t="shared" si="2"/>
        <v>1</v>
      </c>
      <c r="H2501" s="1" t="str">
        <f t="shared" si="3"/>
        <v>Currently Unavailable</v>
      </c>
      <c r="I2501" s="1" t="str">
        <f t="shared" si="4"/>
        <v>No Badges</v>
      </c>
      <c r="J2501" s="3">
        <f t="shared" si="5"/>
        <v>0</v>
      </c>
    </row>
    <row r="2502">
      <c r="A2502" s="1" t="s">
        <v>1284</v>
      </c>
      <c r="B2502" s="3" t="str">
        <f t="shared" si="1"/>
        <v>Unavailable</v>
      </c>
      <c r="C2502" s="3">
        <v>172.0</v>
      </c>
      <c r="D2502" s="3">
        <f>IFERROR(__xludf.DUMMYFUNCTION("IFERROR(
IF(REGEXMATCH(LOWER(O2502),""k""),
VALUE(REGEXEXTRACT(O2502,""[0-9]+""))*1000,
VALUE(REGEXEXTRACT(O2502,""[0-9]+""))
),
0
)"),0.0)</f>
        <v>0</v>
      </c>
      <c r="E2502" s="1" t="s">
        <v>11</v>
      </c>
      <c r="F2502" s="1" t="s">
        <v>12</v>
      </c>
      <c r="G2502" s="4" t="b">
        <f t="shared" si="2"/>
        <v>1</v>
      </c>
      <c r="H2502" s="1" t="str">
        <f t="shared" si="3"/>
        <v>Currently Unavailable</v>
      </c>
      <c r="I2502" s="1" t="str">
        <f t="shared" si="4"/>
        <v>No Badges</v>
      </c>
      <c r="J2502" s="3">
        <f t="shared" si="5"/>
        <v>0</v>
      </c>
    </row>
    <row r="2503">
      <c r="A2503" s="1" t="s">
        <v>2013</v>
      </c>
      <c r="B2503" s="3" t="str">
        <f t="shared" si="1"/>
        <v>Unavailable</v>
      </c>
      <c r="C2503" s="5">
        <v>5041.0</v>
      </c>
      <c r="D2503" s="3">
        <f>IFERROR(__xludf.DUMMYFUNCTION("IFERROR(
IF(REGEXMATCH(LOWER(O2503),""k""),
VALUE(REGEXEXTRACT(O2503,""[0-9]+""))*1000,
VALUE(REGEXEXTRACT(O2503,""[0-9]+""))
),
0
)"),0.0)</f>
        <v>0</v>
      </c>
      <c r="E2503" s="1" t="s">
        <v>11</v>
      </c>
      <c r="F2503" s="1" t="s">
        <v>20</v>
      </c>
      <c r="G2503" s="4" t="b">
        <f t="shared" si="2"/>
        <v>1</v>
      </c>
      <c r="H2503" s="1" t="str">
        <f t="shared" si="3"/>
        <v>Currently Unavailable</v>
      </c>
      <c r="I2503" s="1" t="str">
        <f t="shared" si="4"/>
        <v>No Badges</v>
      </c>
      <c r="J2503" s="3">
        <f t="shared" si="5"/>
        <v>0</v>
      </c>
    </row>
    <row r="2504">
      <c r="A2504" s="1" t="s">
        <v>2014</v>
      </c>
      <c r="B2504" s="3" t="str">
        <f t="shared" si="1"/>
        <v>Unavailable</v>
      </c>
      <c r="C2504" s="5">
        <v>3155.0</v>
      </c>
      <c r="D2504" s="3">
        <f>IFERROR(__xludf.DUMMYFUNCTION("IFERROR(
IF(REGEXMATCH(LOWER(O2504),""k""),
VALUE(REGEXEXTRACT(O2504,""[0-9]+""))*1000,
VALUE(REGEXEXTRACT(O2504,""[0-9]+""))
),
0
)"),0.0)</f>
        <v>0</v>
      </c>
      <c r="E2504" s="1" t="s">
        <v>11</v>
      </c>
      <c r="F2504" s="1" t="s">
        <v>20</v>
      </c>
      <c r="G2504" s="4" t="b">
        <f t="shared" si="2"/>
        <v>1</v>
      </c>
      <c r="H2504" s="1" t="str">
        <f t="shared" si="3"/>
        <v>Currently Unavailable</v>
      </c>
      <c r="I2504" s="1" t="str">
        <f t="shared" si="4"/>
        <v>No Badges</v>
      </c>
      <c r="J2504" s="3">
        <f t="shared" si="5"/>
        <v>0</v>
      </c>
    </row>
    <row r="2505">
      <c r="A2505" s="1" t="s">
        <v>2015</v>
      </c>
      <c r="B2505" s="3" t="str">
        <f t="shared" si="1"/>
        <v>Unavailable</v>
      </c>
      <c r="C2505" s="5">
        <v>1016.0</v>
      </c>
      <c r="D2505" s="3">
        <f>IFERROR(__xludf.DUMMYFUNCTION("IFERROR(
IF(REGEXMATCH(LOWER(O2505),""k""),
VALUE(REGEXEXTRACT(O2505,""[0-9]+""))*1000,
VALUE(REGEXEXTRACT(O2505,""[0-9]+""))
),
0
)"),0.0)</f>
        <v>0</v>
      </c>
      <c r="E2505" s="1" t="s">
        <v>11</v>
      </c>
      <c r="F2505" s="1" t="s">
        <v>20</v>
      </c>
      <c r="G2505" s="4" t="b">
        <f t="shared" si="2"/>
        <v>1</v>
      </c>
      <c r="H2505" s="1" t="str">
        <f t="shared" si="3"/>
        <v>Currently Unavailable</v>
      </c>
      <c r="I2505" s="1" t="str">
        <f t="shared" si="4"/>
        <v>No Badges</v>
      </c>
      <c r="J2505" s="3">
        <f t="shared" si="5"/>
        <v>0</v>
      </c>
    </row>
    <row r="2506">
      <c r="A2506" s="1" t="s">
        <v>2016</v>
      </c>
      <c r="B2506" s="3" t="str">
        <f t="shared" si="1"/>
        <v>Unavailable</v>
      </c>
      <c r="C2506" s="5">
        <v>4305.0</v>
      </c>
      <c r="D2506" s="3">
        <f>IFERROR(__xludf.DUMMYFUNCTION("IFERROR(
IF(REGEXMATCH(LOWER(O2506),""k""),
VALUE(REGEXEXTRACT(O2506,""[0-9]+""))*1000,
VALUE(REGEXEXTRACT(O2506,""[0-9]+""))
),
0
)"),0.0)</f>
        <v>0</v>
      </c>
      <c r="E2506" s="1" t="s">
        <v>11</v>
      </c>
      <c r="F2506" s="1" t="s">
        <v>20</v>
      </c>
      <c r="G2506" s="4" t="b">
        <f t="shared" si="2"/>
        <v>1</v>
      </c>
      <c r="H2506" s="1" t="str">
        <f t="shared" si="3"/>
        <v>Currently Unavailable</v>
      </c>
      <c r="I2506" s="1" t="str">
        <f t="shared" si="4"/>
        <v>No Badges</v>
      </c>
      <c r="J2506" s="3">
        <f t="shared" si="5"/>
        <v>0</v>
      </c>
    </row>
    <row r="2507">
      <c r="A2507" s="1" t="s">
        <v>2017</v>
      </c>
      <c r="B2507" s="3" t="str">
        <f t="shared" si="1"/>
        <v>Unavailable</v>
      </c>
      <c r="C2507" s="5">
        <v>11437.0</v>
      </c>
      <c r="D2507" s="3">
        <f>IFERROR(__xludf.DUMMYFUNCTION("IFERROR(
IF(REGEXMATCH(LOWER(O2507),""k""),
VALUE(REGEXEXTRACT(O2507,""[0-9]+""))*1000,
VALUE(REGEXEXTRACT(O2507,""[0-9]+""))
),
0
)"),0.0)</f>
        <v>0</v>
      </c>
      <c r="E2507" s="1" t="s">
        <v>11</v>
      </c>
      <c r="F2507" s="1" t="s">
        <v>20</v>
      </c>
      <c r="G2507" s="4" t="b">
        <f t="shared" si="2"/>
        <v>1</v>
      </c>
      <c r="H2507" s="1" t="str">
        <f t="shared" si="3"/>
        <v>Currently Unavailable</v>
      </c>
      <c r="I2507" s="1" t="str">
        <f t="shared" si="4"/>
        <v>No Badges</v>
      </c>
      <c r="J2507" s="3">
        <f t="shared" si="5"/>
        <v>0</v>
      </c>
    </row>
    <row r="2508">
      <c r="A2508" s="1" t="s">
        <v>2018</v>
      </c>
      <c r="B2508" s="3" t="str">
        <f t="shared" si="1"/>
        <v>Unavailable</v>
      </c>
      <c r="C2508" s="5">
        <v>4728.0</v>
      </c>
      <c r="D2508" s="3">
        <f>IFERROR(__xludf.DUMMYFUNCTION("IFERROR(
IF(REGEXMATCH(LOWER(O2508),""k""),
VALUE(REGEXEXTRACT(O2508,""[0-9]+""))*1000,
VALUE(REGEXEXTRACT(O2508,""[0-9]+""))
),
0
)"),0.0)</f>
        <v>0</v>
      </c>
      <c r="E2508" s="1" t="s">
        <v>11</v>
      </c>
      <c r="F2508" s="1" t="s">
        <v>20</v>
      </c>
      <c r="G2508" s="4" t="b">
        <f t="shared" si="2"/>
        <v>1</v>
      </c>
      <c r="H2508" s="1" t="str">
        <f t="shared" si="3"/>
        <v>Currently Unavailable</v>
      </c>
      <c r="I2508" s="1" t="str">
        <f t="shared" si="4"/>
        <v>No Badges</v>
      </c>
      <c r="J2508" s="3">
        <f t="shared" si="5"/>
        <v>0</v>
      </c>
    </row>
    <row r="2509">
      <c r="A2509" s="1" t="s">
        <v>2019</v>
      </c>
      <c r="B2509" s="3" t="str">
        <f t="shared" si="1"/>
        <v>Unavailable</v>
      </c>
      <c r="C2509" s="5">
        <v>1669.0</v>
      </c>
      <c r="D2509" s="3">
        <f>IFERROR(__xludf.DUMMYFUNCTION("IFERROR(
IF(REGEXMATCH(LOWER(O2509),""k""),
VALUE(REGEXEXTRACT(O2509,""[0-9]+""))*1000,
VALUE(REGEXEXTRACT(O2509,""[0-9]+""))
),
0
)"),0.0)</f>
        <v>0</v>
      </c>
      <c r="E2509" s="1" t="s">
        <v>11</v>
      </c>
      <c r="F2509" s="1" t="s">
        <v>20</v>
      </c>
      <c r="G2509" s="4" t="b">
        <f t="shared" si="2"/>
        <v>1</v>
      </c>
      <c r="H2509" s="1" t="str">
        <f t="shared" si="3"/>
        <v>Currently Unavailable</v>
      </c>
      <c r="I2509" s="1" t="str">
        <f t="shared" si="4"/>
        <v>No Badges</v>
      </c>
      <c r="J2509" s="3">
        <f t="shared" si="5"/>
        <v>0</v>
      </c>
    </row>
    <row r="2510">
      <c r="A2510" s="1" t="s">
        <v>2020</v>
      </c>
      <c r="B2510" s="3" t="str">
        <f t="shared" si="1"/>
        <v>Unavailable</v>
      </c>
      <c r="C2510" s="3">
        <v>958.0</v>
      </c>
      <c r="D2510" s="3">
        <f>IFERROR(__xludf.DUMMYFUNCTION("IFERROR(
IF(REGEXMATCH(LOWER(O2510),""k""),
VALUE(REGEXEXTRACT(O2510,""[0-9]+""))*1000,
VALUE(REGEXEXTRACT(O2510,""[0-9]+""))
),
0
)"),0.0)</f>
        <v>0</v>
      </c>
      <c r="E2510" s="1" t="s">
        <v>11</v>
      </c>
      <c r="F2510" s="1" t="s">
        <v>20</v>
      </c>
      <c r="G2510" s="4" t="b">
        <f t="shared" si="2"/>
        <v>1</v>
      </c>
      <c r="H2510" s="1" t="str">
        <f t="shared" si="3"/>
        <v>Currently Unavailable</v>
      </c>
      <c r="I2510" s="1" t="str">
        <f t="shared" si="4"/>
        <v>No Badges</v>
      </c>
      <c r="J2510" s="3">
        <f t="shared" si="5"/>
        <v>0</v>
      </c>
    </row>
    <row r="2511">
      <c r="A2511" s="1" t="s">
        <v>2021</v>
      </c>
      <c r="B2511" s="3" t="str">
        <f t="shared" si="1"/>
        <v>Unavailable</v>
      </c>
      <c r="C2511" s="5">
        <v>5716.0</v>
      </c>
      <c r="D2511" s="3">
        <f>IFERROR(__xludf.DUMMYFUNCTION("IFERROR(
IF(REGEXMATCH(LOWER(O2511),""k""),
VALUE(REGEXEXTRACT(O2511,""[0-9]+""))*1000,
VALUE(REGEXEXTRACT(O2511,""[0-9]+""))
),
0
)"),0.0)</f>
        <v>0</v>
      </c>
      <c r="E2511" s="1" t="s">
        <v>11</v>
      </c>
      <c r="F2511" s="1" t="s">
        <v>20</v>
      </c>
      <c r="G2511" s="4" t="b">
        <f t="shared" si="2"/>
        <v>1</v>
      </c>
      <c r="H2511" s="1" t="str">
        <f t="shared" si="3"/>
        <v>Currently Unavailable</v>
      </c>
      <c r="I2511" s="1" t="str">
        <f t="shared" si="4"/>
        <v>No Badges</v>
      </c>
      <c r="J2511" s="3">
        <f t="shared" si="5"/>
        <v>0</v>
      </c>
    </row>
    <row r="2512">
      <c r="A2512" s="1" t="s">
        <v>2022</v>
      </c>
      <c r="B2512" s="3" t="str">
        <f t="shared" si="1"/>
        <v>Unavailable</v>
      </c>
      <c r="C2512" s="5">
        <v>7540.0</v>
      </c>
      <c r="D2512" s="3">
        <f>IFERROR(__xludf.DUMMYFUNCTION("IFERROR(
IF(REGEXMATCH(LOWER(O2512),""k""),
VALUE(REGEXEXTRACT(O2512,""[0-9]+""))*1000,
VALUE(REGEXEXTRACT(O2512,""[0-9]+""))
),
0
)"),0.0)</f>
        <v>0</v>
      </c>
      <c r="E2512" s="1" t="s">
        <v>11</v>
      </c>
      <c r="F2512" s="1" t="s">
        <v>20</v>
      </c>
      <c r="G2512" s="4" t="b">
        <f t="shared" si="2"/>
        <v>1</v>
      </c>
      <c r="H2512" s="1" t="str">
        <f t="shared" si="3"/>
        <v>Currently Unavailable</v>
      </c>
      <c r="I2512" s="1" t="str">
        <f t="shared" si="4"/>
        <v>No Badges</v>
      </c>
      <c r="J2512" s="3">
        <f t="shared" si="5"/>
        <v>0</v>
      </c>
    </row>
    <row r="2513">
      <c r="A2513" s="1" t="s">
        <v>2023</v>
      </c>
      <c r="B2513" s="3" t="str">
        <f t="shared" si="1"/>
        <v>Unavailable</v>
      </c>
      <c r="C2513" s="5">
        <v>1575.0</v>
      </c>
      <c r="D2513" s="3">
        <f>IFERROR(__xludf.DUMMYFUNCTION("IFERROR(
IF(REGEXMATCH(LOWER(O2513),""k""),
VALUE(REGEXEXTRACT(O2513,""[0-9]+""))*1000,
VALUE(REGEXEXTRACT(O2513,""[0-9]+""))
),
0
)"),0.0)</f>
        <v>0</v>
      </c>
      <c r="E2513" s="1" t="s">
        <v>11</v>
      </c>
      <c r="F2513" s="1" t="s">
        <v>20</v>
      </c>
      <c r="G2513" s="4" t="b">
        <f t="shared" si="2"/>
        <v>1</v>
      </c>
      <c r="H2513" s="1" t="str">
        <f t="shared" si="3"/>
        <v>Currently Unavailable</v>
      </c>
      <c r="I2513" s="1" t="str">
        <f t="shared" si="4"/>
        <v>No Badges</v>
      </c>
      <c r="J2513" s="3">
        <f t="shared" si="5"/>
        <v>0</v>
      </c>
    </row>
    <row r="2514">
      <c r="A2514" s="1" t="s">
        <v>2024</v>
      </c>
      <c r="B2514" s="3" t="str">
        <f t="shared" si="1"/>
        <v>Unavailable</v>
      </c>
      <c r="C2514" s="5">
        <v>31274.0</v>
      </c>
      <c r="D2514" s="3">
        <f>IFERROR(__xludf.DUMMYFUNCTION("IFERROR(
IF(REGEXMATCH(LOWER(O2514),""k""),
VALUE(REGEXEXTRACT(O2514,""[0-9]+""))*1000,
VALUE(REGEXEXTRACT(O2514,""[0-9]+""))
),
0
)"),0.0)</f>
        <v>0</v>
      </c>
      <c r="E2514" s="1" t="s">
        <v>158</v>
      </c>
      <c r="F2514" s="1" t="s">
        <v>20</v>
      </c>
      <c r="G2514" s="4" t="b">
        <f t="shared" si="2"/>
        <v>1</v>
      </c>
      <c r="H2514" s="1" t="str">
        <f t="shared" si="3"/>
        <v>Currently Unavailable</v>
      </c>
      <c r="I2514" s="1" t="str">
        <f t="shared" si="4"/>
        <v>No Badges</v>
      </c>
      <c r="J2514" s="3">
        <f t="shared" si="5"/>
        <v>0</v>
      </c>
    </row>
    <row r="2515">
      <c r="A2515" s="1" t="s">
        <v>2025</v>
      </c>
      <c r="B2515" s="3" t="str">
        <f t="shared" si="1"/>
        <v>Unavailable</v>
      </c>
      <c r="C2515" s="5">
        <v>12097.0</v>
      </c>
      <c r="D2515" s="3">
        <f>IFERROR(__xludf.DUMMYFUNCTION("IFERROR(
IF(REGEXMATCH(LOWER(O2515),""k""),
VALUE(REGEXEXTRACT(O2515,""[0-9]+""))*1000,
VALUE(REGEXEXTRACT(O2515,""[0-9]+""))
),
0
)"),0.0)</f>
        <v>0</v>
      </c>
      <c r="E2515" s="1" t="s">
        <v>11</v>
      </c>
      <c r="F2515" s="1" t="s">
        <v>20</v>
      </c>
      <c r="G2515" s="4" t="b">
        <f t="shared" si="2"/>
        <v>1</v>
      </c>
      <c r="H2515" s="1" t="str">
        <f t="shared" si="3"/>
        <v>Currently Unavailable</v>
      </c>
      <c r="I2515" s="1" t="str">
        <f t="shared" si="4"/>
        <v>No Badges</v>
      </c>
      <c r="J2515" s="3">
        <f t="shared" si="5"/>
        <v>0</v>
      </c>
    </row>
    <row r="2516">
      <c r="A2516" s="1" t="s">
        <v>1284</v>
      </c>
      <c r="B2516" s="3" t="str">
        <f t="shared" si="1"/>
        <v>Unavailable</v>
      </c>
      <c r="C2516" s="3">
        <v>172.0</v>
      </c>
      <c r="D2516" s="3">
        <f>IFERROR(__xludf.DUMMYFUNCTION("IFERROR(
IF(REGEXMATCH(LOWER(O2516),""k""),
VALUE(REGEXEXTRACT(O2516,""[0-9]+""))*1000,
VALUE(REGEXEXTRACT(O2516,""[0-9]+""))
),
0
)"),0.0)</f>
        <v>0</v>
      </c>
      <c r="E2516" s="1" t="s">
        <v>11</v>
      </c>
      <c r="F2516" s="1" t="s">
        <v>12</v>
      </c>
      <c r="G2516" s="4" t="b">
        <f t="shared" si="2"/>
        <v>1</v>
      </c>
      <c r="H2516" s="1" t="str">
        <f t="shared" si="3"/>
        <v>Currently Unavailable</v>
      </c>
      <c r="I2516" s="1" t="str">
        <f t="shared" si="4"/>
        <v>No Badges</v>
      </c>
      <c r="J2516" s="3">
        <f t="shared" si="5"/>
        <v>0</v>
      </c>
    </row>
    <row r="2517">
      <c r="A2517" s="1" t="s">
        <v>2026</v>
      </c>
      <c r="B2517" s="3" t="str">
        <f t="shared" si="1"/>
        <v>Unavailable</v>
      </c>
      <c r="C2517" s="5">
        <v>1758.0</v>
      </c>
      <c r="D2517" s="3">
        <f>IFERROR(__xludf.DUMMYFUNCTION("IFERROR(
IF(REGEXMATCH(LOWER(O2517),""k""),
VALUE(REGEXEXTRACT(O2517,""[0-9]+""))*1000,
VALUE(REGEXEXTRACT(O2517,""[0-9]+""))
),
0
)"),0.0)</f>
        <v>0</v>
      </c>
      <c r="E2517" s="1" t="s">
        <v>11</v>
      </c>
      <c r="F2517" s="1" t="s">
        <v>20</v>
      </c>
      <c r="G2517" s="4" t="b">
        <f t="shared" si="2"/>
        <v>1</v>
      </c>
      <c r="H2517" s="1" t="str">
        <f t="shared" si="3"/>
        <v>Currently Unavailable</v>
      </c>
      <c r="I2517" s="1" t="str">
        <f t="shared" si="4"/>
        <v>No Badges</v>
      </c>
      <c r="J2517" s="3">
        <f t="shared" si="5"/>
        <v>0</v>
      </c>
    </row>
    <row r="2518">
      <c r="A2518" s="1" t="s">
        <v>2027</v>
      </c>
      <c r="B2518" s="3" t="str">
        <f t="shared" si="1"/>
        <v>Unavailable</v>
      </c>
      <c r="C2518" s="5">
        <v>14463.0</v>
      </c>
      <c r="D2518" s="3">
        <f>IFERROR(__xludf.DUMMYFUNCTION("IFERROR(
IF(REGEXMATCH(LOWER(O2518),""k""),
VALUE(REGEXEXTRACT(O2518,""[0-9]+""))*1000,
VALUE(REGEXEXTRACT(O2518,""[0-9]+""))
),
0
)"),0.0)</f>
        <v>0</v>
      </c>
      <c r="E2518" s="1" t="s">
        <v>11</v>
      </c>
      <c r="F2518" s="1" t="s">
        <v>20</v>
      </c>
      <c r="G2518" s="4" t="b">
        <f t="shared" si="2"/>
        <v>1</v>
      </c>
      <c r="H2518" s="1" t="str">
        <f t="shared" si="3"/>
        <v>Currently Unavailable</v>
      </c>
      <c r="I2518" s="1" t="str">
        <f t="shared" si="4"/>
        <v>No Badges</v>
      </c>
      <c r="J2518" s="3">
        <f t="shared" si="5"/>
        <v>0</v>
      </c>
    </row>
    <row r="2519">
      <c r="A2519" s="1" t="s">
        <v>2028</v>
      </c>
      <c r="B2519" s="3" t="str">
        <f t="shared" si="1"/>
        <v>Unavailable</v>
      </c>
      <c r="C2519" s="5">
        <v>1780.0</v>
      </c>
      <c r="D2519" s="3">
        <f>IFERROR(__xludf.DUMMYFUNCTION("IFERROR(
IF(REGEXMATCH(LOWER(O2519),""k""),
VALUE(REGEXEXTRACT(O2519,""[0-9]+""))*1000,
VALUE(REGEXEXTRACT(O2519,""[0-9]+""))
),
0
)"),0.0)</f>
        <v>0</v>
      </c>
      <c r="E2519" s="1" t="s">
        <v>11</v>
      </c>
      <c r="F2519" s="1" t="s">
        <v>20</v>
      </c>
      <c r="G2519" s="4" t="b">
        <f t="shared" si="2"/>
        <v>1</v>
      </c>
      <c r="H2519" s="1" t="str">
        <f t="shared" si="3"/>
        <v>Currently Unavailable</v>
      </c>
      <c r="I2519" s="1" t="str">
        <f t="shared" si="4"/>
        <v>No Badges</v>
      </c>
      <c r="J2519" s="3">
        <f t="shared" si="5"/>
        <v>0</v>
      </c>
    </row>
    <row r="2520">
      <c r="A2520" s="1" t="s">
        <v>69</v>
      </c>
      <c r="B2520" s="3" t="str">
        <f t="shared" si="1"/>
        <v>Unavailable</v>
      </c>
      <c r="C2520" s="3">
        <v>45.0</v>
      </c>
      <c r="D2520" s="3">
        <f>IFERROR(__xludf.DUMMYFUNCTION("IFERROR(
IF(REGEXMATCH(LOWER(O2520),""k""),
VALUE(REGEXEXTRACT(O2520,""[0-9]+""))*1000,
VALUE(REGEXEXTRACT(O2520,""[0-9]+""))
),
0
)"),0.0)</f>
        <v>0</v>
      </c>
      <c r="E2520" s="1" t="s">
        <v>11</v>
      </c>
      <c r="F2520" s="1" t="s">
        <v>12</v>
      </c>
      <c r="G2520" s="4" t="b">
        <f t="shared" si="2"/>
        <v>1</v>
      </c>
      <c r="H2520" s="1" t="str">
        <f t="shared" si="3"/>
        <v>Currently Unavailable</v>
      </c>
      <c r="I2520" s="1" t="str">
        <f t="shared" si="4"/>
        <v>No Badges</v>
      </c>
      <c r="J2520" s="3">
        <f t="shared" si="5"/>
        <v>0</v>
      </c>
    </row>
    <row r="2521">
      <c r="A2521" s="1" t="s">
        <v>67</v>
      </c>
      <c r="B2521" s="3" t="str">
        <f t="shared" si="1"/>
        <v>Unavailable</v>
      </c>
      <c r="C2521" s="3">
        <v>264.0</v>
      </c>
      <c r="D2521" s="3">
        <f>IFERROR(__xludf.DUMMYFUNCTION("IFERROR(
IF(REGEXMATCH(LOWER(O2521),""k""),
VALUE(REGEXEXTRACT(O2521,""[0-9]+""))*1000,
VALUE(REGEXEXTRACT(O2521,""[0-9]+""))
),
0
)"),0.0)</f>
        <v>0</v>
      </c>
      <c r="E2521" s="1" t="s">
        <v>11</v>
      </c>
      <c r="F2521" s="1" t="s">
        <v>12</v>
      </c>
      <c r="G2521" s="4" t="b">
        <f t="shared" si="2"/>
        <v>1</v>
      </c>
      <c r="H2521" s="1" t="str">
        <f t="shared" si="3"/>
        <v>Currently Unavailable</v>
      </c>
      <c r="I2521" s="1" t="str">
        <f t="shared" si="4"/>
        <v>No Badges</v>
      </c>
      <c r="J2521" s="3">
        <f t="shared" si="5"/>
        <v>0</v>
      </c>
    </row>
    <row r="2522">
      <c r="A2522" s="1" t="s">
        <v>1285</v>
      </c>
      <c r="B2522" s="3" t="str">
        <f t="shared" si="1"/>
        <v>Unavailable</v>
      </c>
      <c r="C2522" s="5">
        <v>3520.0</v>
      </c>
      <c r="D2522" s="3">
        <f>IFERROR(__xludf.DUMMYFUNCTION("IFERROR(
IF(REGEXMATCH(LOWER(O2522),""k""),
VALUE(REGEXEXTRACT(O2522,""[0-9]+""))*1000,
VALUE(REGEXEXTRACT(O2522,""[0-9]+""))
),
0
)"),0.0)</f>
        <v>0</v>
      </c>
      <c r="E2522" s="1" t="s">
        <v>11</v>
      </c>
      <c r="F2522" s="1" t="s">
        <v>12</v>
      </c>
      <c r="G2522" s="4" t="b">
        <f t="shared" si="2"/>
        <v>1</v>
      </c>
      <c r="H2522" s="1" t="str">
        <f t="shared" si="3"/>
        <v>Currently Unavailable</v>
      </c>
      <c r="I2522" s="1" t="str">
        <f t="shared" si="4"/>
        <v>No Badges</v>
      </c>
      <c r="J2522" s="3">
        <f t="shared" si="5"/>
        <v>0</v>
      </c>
    </row>
    <row r="2523">
      <c r="A2523" s="1" t="s">
        <v>2029</v>
      </c>
      <c r="B2523" s="3" t="str">
        <f t="shared" si="1"/>
        <v>Unavailable</v>
      </c>
      <c r="C2523" s="5">
        <v>1873.0</v>
      </c>
      <c r="D2523" s="3">
        <f>IFERROR(__xludf.DUMMYFUNCTION("IFERROR(
IF(REGEXMATCH(LOWER(O2523),""k""),
VALUE(REGEXEXTRACT(O2523,""[0-9]+""))*1000,
VALUE(REGEXEXTRACT(O2523,""[0-9]+""))
),
0
)"),0.0)</f>
        <v>0</v>
      </c>
      <c r="E2523" s="1" t="s">
        <v>11</v>
      </c>
      <c r="F2523" s="1" t="s">
        <v>20</v>
      </c>
      <c r="G2523" s="4" t="b">
        <f t="shared" si="2"/>
        <v>1</v>
      </c>
      <c r="H2523" s="1" t="str">
        <f t="shared" si="3"/>
        <v>Currently Unavailable</v>
      </c>
      <c r="I2523" s="1" t="str">
        <f t="shared" si="4"/>
        <v>No Badges</v>
      </c>
      <c r="J2523" s="3">
        <f t="shared" si="5"/>
        <v>0</v>
      </c>
    </row>
    <row r="2524">
      <c r="A2524" s="1" t="s">
        <v>2030</v>
      </c>
      <c r="B2524" s="3" t="str">
        <f t="shared" si="1"/>
        <v>Unavailable</v>
      </c>
      <c r="C2524" s="3">
        <v>377.0</v>
      </c>
      <c r="D2524" s="3">
        <f>IFERROR(__xludf.DUMMYFUNCTION("IFERROR(
IF(REGEXMATCH(LOWER(O2524),""k""),
VALUE(REGEXEXTRACT(O2524,""[0-9]+""))*1000,
VALUE(REGEXEXTRACT(O2524,""[0-9]+""))
),
0
)"),0.0)</f>
        <v>0</v>
      </c>
      <c r="E2524" s="1" t="s">
        <v>11</v>
      </c>
      <c r="F2524" s="1" t="s">
        <v>20</v>
      </c>
      <c r="G2524" s="4" t="b">
        <f t="shared" si="2"/>
        <v>1</v>
      </c>
      <c r="H2524" s="1" t="str">
        <f t="shared" si="3"/>
        <v>Currently Unavailable</v>
      </c>
      <c r="I2524" s="1" t="str">
        <f t="shared" si="4"/>
        <v>No Badges</v>
      </c>
      <c r="J2524" s="3">
        <f t="shared" si="5"/>
        <v>0</v>
      </c>
    </row>
    <row r="2525">
      <c r="A2525" s="1" t="s">
        <v>1284</v>
      </c>
      <c r="B2525" s="3" t="str">
        <f t="shared" si="1"/>
        <v>Unavailable</v>
      </c>
      <c r="C2525" s="3">
        <v>172.0</v>
      </c>
      <c r="D2525" s="3">
        <f>IFERROR(__xludf.DUMMYFUNCTION("IFERROR(
IF(REGEXMATCH(LOWER(O2525),""k""),
VALUE(REGEXEXTRACT(O2525,""[0-9]+""))*1000,
VALUE(REGEXEXTRACT(O2525,""[0-9]+""))
),
0
)"),0.0)</f>
        <v>0</v>
      </c>
      <c r="E2525" s="1" t="s">
        <v>18</v>
      </c>
      <c r="F2525" s="1" t="s">
        <v>12</v>
      </c>
      <c r="G2525" s="4" t="b">
        <f t="shared" si="2"/>
        <v>1</v>
      </c>
      <c r="H2525" s="1" t="str">
        <f t="shared" si="3"/>
        <v>Currently Unavailable</v>
      </c>
      <c r="I2525" s="1" t="str">
        <f t="shared" si="4"/>
        <v>No Badges</v>
      </c>
      <c r="J2525" s="3">
        <f t="shared" si="5"/>
        <v>0</v>
      </c>
    </row>
    <row r="2526">
      <c r="A2526" s="1" t="s">
        <v>2031</v>
      </c>
      <c r="B2526" s="3" t="str">
        <f t="shared" si="1"/>
        <v>Unavailable</v>
      </c>
      <c r="C2526" s="5">
        <v>5041.0</v>
      </c>
      <c r="D2526" s="3">
        <f>IFERROR(__xludf.DUMMYFUNCTION("IFERROR(
IF(REGEXMATCH(LOWER(O2526),""k""),
VALUE(REGEXEXTRACT(O2526,""[0-9]+""))*1000,
VALUE(REGEXEXTRACT(O2526,""[0-9]+""))
),
0
)"),0.0)</f>
        <v>0</v>
      </c>
      <c r="E2526" s="1" t="s">
        <v>11</v>
      </c>
      <c r="F2526" s="1" t="s">
        <v>20</v>
      </c>
      <c r="G2526" s="4" t="b">
        <f t="shared" si="2"/>
        <v>1</v>
      </c>
      <c r="H2526" s="1" t="str">
        <f t="shared" si="3"/>
        <v>Currently Unavailable</v>
      </c>
      <c r="I2526" s="1" t="str">
        <f t="shared" si="4"/>
        <v>No Badges</v>
      </c>
      <c r="J2526" s="3">
        <f t="shared" si="5"/>
        <v>0</v>
      </c>
    </row>
    <row r="2527">
      <c r="A2527" s="1" t="s">
        <v>2032</v>
      </c>
      <c r="B2527" s="3" t="str">
        <f t="shared" si="1"/>
        <v>Unavailable</v>
      </c>
      <c r="C2527" s="5">
        <v>6433.0</v>
      </c>
      <c r="D2527" s="3">
        <f>IFERROR(__xludf.DUMMYFUNCTION("IFERROR(
IF(REGEXMATCH(LOWER(O2527),""k""),
VALUE(REGEXEXTRACT(O2527,""[0-9]+""))*1000,
VALUE(REGEXEXTRACT(O2527,""[0-9]+""))
),
0
)"),0.0)</f>
        <v>0</v>
      </c>
      <c r="E2527" s="1" t="s">
        <v>11</v>
      </c>
      <c r="F2527" s="1" t="s">
        <v>20</v>
      </c>
      <c r="G2527" s="4" t="b">
        <f t="shared" si="2"/>
        <v>1</v>
      </c>
      <c r="H2527" s="1" t="str">
        <f t="shared" si="3"/>
        <v>Currently Unavailable</v>
      </c>
      <c r="I2527" s="1" t="str">
        <f t="shared" si="4"/>
        <v>No Badges</v>
      </c>
      <c r="J2527" s="3">
        <f t="shared" si="5"/>
        <v>0</v>
      </c>
    </row>
    <row r="2528">
      <c r="A2528" s="1" t="s">
        <v>2033</v>
      </c>
      <c r="B2528" s="3" t="str">
        <f t="shared" si="1"/>
        <v>Unavailable</v>
      </c>
      <c r="C2528" s="5">
        <v>2835.0</v>
      </c>
      <c r="D2528" s="3">
        <f>IFERROR(__xludf.DUMMYFUNCTION("IFERROR(
IF(REGEXMATCH(LOWER(O2528),""k""),
VALUE(REGEXEXTRACT(O2528,""[0-9]+""))*1000,
VALUE(REGEXEXTRACT(O2528,""[0-9]+""))
),
0
)"),0.0)</f>
        <v>0</v>
      </c>
      <c r="E2528" s="1" t="s">
        <v>11</v>
      </c>
      <c r="F2528" s="1" t="s">
        <v>20</v>
      </c>
      <c r="G2528" s="4" t="b">
        <f t="shared" si="2"/>
        <v>1</v>
      </c>
      <c r="H2528" s="1" t="str">
        <f t="shared" si="3"/>
        <v>Currently Unavailable</v>
      </c>
      <c r="I2528" s="1" t="str">
        <f t="shared" si="4"/>
        <v>No Badges</v>
      </c>
      <c r="J2528" s="3">
        <f t="shared" si="5"/>
        <v>0</v>
      </c>
    </row>
    <row r="2529">
      <c r="A2529" s="1" t="s">
        <v>2034</v>
      </c>
      <c r="B2529" s="3" t="str">
        <f t="shared" si="1"/>
        <v>Unavailable</v>
      </c>
      <c r="C2529" s="5">
        <v>1164.0</v>
      </c>
      <c r="D2529" s="3">
        <f>IFERROR(__xludf.DUMMYFUNCTION("IFERROR(
IF(REGEXMATCH(LOWER(O2529),""k""),
VALUE(REGEXEXTRACT(O2529,""[0-9]+""))*1000,
VALUE(REGEXEXTRACT(O2529,""[0-9]+""))
),
0
)"),0.0)</f>
        <v>0</v>
      </c>
      <c r="E2529" s="1" t="s">
        <v>11</v>
      </c>
      <c r="F2529" s="1" t="s">
        <v>20</v>
      </c>
      <c r="G2529" s="4" t="b">
        <f t="shared" si="2"/>
        <v>1</v>
      </c>
      <c r="H2529" s="1" t="str">
        <f t="shared" si="3"/>
        <v>Currently Unavailable</v>
      </c>
      <c r="I2529" s="1" t="str">
        <f t="shared" si="4"/>
        <v>No Badges</v>
      </c>
      <c r="J2529" s="3">
        <f t="shared" si="5"/>
        <v>0</v>
      </c>
    </row>
    <row r="2530">
      <c r="A2530" s="1" t="s">
        <v>1284</v>
      </c>
      <c r="B2530" s="3" t="str">
        <f t="shared" si="1"/>
        <v>Unavailable</v>
      </c>
      <c r="C2530" s="3">
        <v>172.0</v>
      </c>
      <c r="D2530" s="3">
        <f>IFERROR(__xludf.DUMMYFUNCTION("IFERROR(
IF(REGEXMATCH(LOWER(O2530),""k""),
VALUE(REGEXEXTRACT(O2530,""[0-9]+""))*1000,
VALUE(REGEXEXTRACT(O2530,""[0-9]+""))
),
0
)"),0.0)</f>
        <v>0</v>
      </c>
      <c r="E2530" s="1" t="s">
        <v>11</v>
      </c>
      <c r="F2530" s="1" t="s">
        <v>12</v>
      </c>
      <c r="G2530" s="4" t="b">
        <f t="shared" si="2"/>
        <v>1</v>
      </c>
      <c r="H2530" s="1" t="str">
        <f t="shared" si="3"/>
        <v>Currently Unavailable</v>
      </c>
      <c r="I2530" s="1" t="str">
        <f t="shared" si="4"/>
        <v>No Badges</v>
      </c>
      <c r="J2530" s="3">
        <f t="shared" si="5"/>
        <v>0</v>
      </c>
    </row>
    <row r="2531">
      <c r="A2531" s="1" t="s">
        <v>2035</v>
      </c>
      <c r="B2531" s="3" t="str">
        <f t="shared" si="1"/>
        <v>Unavailable</v>
      </c>
      <c r="C2531" s="3">
        <v>146.0</v>
      </c>
      <c r="D2531" s="3">
        <f>IFERROR(__xludf.DUMMYFUNCTION("IFERROR(
IF(REGEXMATCH(LOWER(O2531),""k""),
VALUE(REGEXEXTRACT(O2531,""[0-9]+""))*1000,
VALUE(REGEXEXTRACT(O2531,""[0-9]+""))
),
0
)"),0.0)</f>
        <v>0</v>
      </c>
      <c r="E2531" s="1" t="s">
        <v>11</v>
      </c>
      <c r="F2531" s="1" t="s">
        <v>20</v>
      </c>
      <c r="G2531" s="4" t="b">
        <f t="shared" si="2"/>
        <v>1</v>
      </c>
      <c r="H2531" s="1" t="str">
        <f t="shared" si="3"/>
        <v>Currently Unavailable</v>
      </c>
      <c r="I2531" s="1" t="str">
        <f t="shared" si="4"/>
        <v>No Badges</v>
      </c>
      <c r="J2531" s="3">
        <f t="shared" si="5"/>
        <v>0</v>
      </c>
    </row>
    <row r="2532">
      <c r="A2532" s="1" t="s">
        <v>2036</v>
      </c>
      <c r="B2532" s="3" t="str">
        <f t="shared" si="1"/>
        <v>Unavailable</v>
      </c>
      <c r="C2532" s="5">
        <v>6478.0</v>
      </c>
      <c r="D2532" s="3">
        <f>IFERROR(__xludf.DUMMYFUNCTION("IFERROR(
IF(REGEXMATCH(LOWER(O2532),""k""),
VALUE(REGEXEXTRACT(O2532,""[0-9]+""))*1000,
VALUE(REGEXEXTRACT(O2532,""[0-9]+""))
),
0
)"),0.0)</f>
        <v>0</v>
      </c>
      <c r="E2532" s="1" t="s">
        <v>11</v>
      </c>
      <c r="F2532" s="1" t="s">
        <v>20</v>
      </c>
      <c r="G2532" s="4" t="b">
        <f t="shared" si="2"/>
        <v>1</v>
      </c>
      <c r="H2532" s="1" t="str">
        <f t="shared" si="3"/>
        <v>Currently Unavailable</v>
      </c>
      <c r="I2532" s="1" t="str">
        <f t="shared" si="4"/>
        <v>No Badges</v>
      </c>
      <c r="J2532" s="3">
        <f t="shared" si="5"/>
        <v>0</v>
      </c>
    </row>
    <row r="2533">
      <c r="A2533" s="1" t="s">
        <v>2037</v>
      </c>
      <c r="B2533" s="3" t="str">
        <f t="shared" si="1"/>
        <v>Unavailable</v>
      </c>
      <c r="C2533" s="3">
        <v>362.0</v>
      </c>
      <c r="D2533" s="3">
        <f>IFERROR(__xludf.DUMMYFUNCTION("IFERROR(
IF(REGEXMATCH(LOWER(O2533),""k""),
VALUE(REGEXEXTRACT(O2533,""[0-9]+""))*1000,
VALUE(REGEXEXTRACT(O2533,""[0-9]+""))
),
0
)"),0.0)</f>
        <v>0</v>
      </c>
      <c r="E2533" s="1" t="s">
        <v>11</v>
      </c>
      <c r="F2533" s="1" t="s">
        <v>20</v>
      </c>
      <c r="G2533" s="4" t="b">
        <f t="shared" si="2"/>
        <v>1</v>
      </c>
      <c r="H2533" s="1" t="str">
        <f t="shared" si="3"/>
        <v>Currently Unavailable</v>
      </c>
      <c r="I2533" s="1" t="str">
        <f t="shared" si="4"/>
        <v>No Badges</v>
      </c>
      <c r="J2533" s="3">
        <f t="shared" si="5"/>
        <v>0</v>
      </c>
    </row>
    <row r="2534">
      <c r="A2534" s="1" t="s">
        <v>2038</v>
      </c>
      <c r="B2534" s="3" t="str">
        <f t="shared" si="1"/>
        <v>Unavailable</v>
      </c>
      <c r="C2534" s="5">
        <v>3803.0</v>
      </c>
      <c r="D2534" s="3">
        <f>IFERROR(__xludf.DUMMYFUNCTION("IFERROR(
IF(REGEXMATCH(LOWER(O2534),""k""),
VALUE(REGEXEXTRACT(O2534,""[0-9]+""))*1000,
VALUE(REGEXEXTRACT(O2534,""[0-9]+""))
),
0
)"),0.0)</f>
        <v>0</v>
      </c>
      <c r="E2534" s="1" t="s">
        <v>11</v>
      </c>
      <c r="F2534" s="1" t="s">
        <v>20</v>
      </c>
      <c r="G2534" s="4" t="b">
        <f t="shared" si="2"/>
        <v>1</v>
      </c>
      <c r="H2534" s="1" t="str">
        <f t="shared" si="3"/>
        <v>Currently Unavailable</v>
      </c>
      <c r="I2534" s="1" t="str">
        <f t="shared" si="4"/>
        <v>No Badges</v>
      </c>
      <c r="J2534" s="3">
        <f t="shared" si="5"/>
        <v>0</v>
      </c>
    </row>
    <row r="2535">
      <c r="A2535" s="1" t="s">
        <v>2039</v>
      </c>
      <c r="B2535" s="3" t="str">
        <f t="shared" si="1"/>
        <v>Unavailable</v>
      </c>
      <c r="C2535" s="5">
        <v>3848.0</v>
      </c>
      <c r="D2535" s="3">
        <f>IFERROR(__xludf.DUMMYFUNCTION("IFERROR(
IF(REGEXMATCH(LOWER(O2535),""k""),
VALUE(REGEXEXTRACT(O2535,""[0-9]+""))*1000,
VALUE(REGEXEXTRACT(O2535,""[0-9]+""))
),
0
)"),0.0)</f>
        <v>0</v>
      </c>
      <c r="E2535" s="1" t="s">
        <v>11</v>
      </c>
      <c r="F2535" s="1" t="s">
        <v>20</v>
      </c>
      <c r="G2535" s="4" t="b">
        <f t="shared" si="2"/>
        <v>1</v>
      </c>
      <c r="H2535" s="1" t="str">
        <f t="shared" si="3"/>
        <v>Currently Unavailable</v>
      </c>
      <c r="I2535" s="1" t="str">
        <f t="shared" si="4"/>
        <v>No Badges</v>
      </c>
      <c r="J2535" s="3">
        <f t="shared" si="5"/>
        <v>0</v>
      </c>
    </row>
    <row r="2536">
      <c r="A2536" s="1" t="s">
        <v>1515</v>
      </c>
      <c r="B2536" s="3" t="str">
        <f t="shared" si="1"/>
        <v>Unavailable</v>
      </c>
      <c r="C2536" s="5">
        <v>4461.0</v>
      </c>
      <c r="D2536" s="3">
        <f>IFERROR(__xludf.DUMMYFUNCTION("IFERROR(
IF(REGEXMATCH(LOWER(O2536),""k""),
VALUE(REGEXEXTRACT(O2536,""[0-9]+""))*1000,
VALUE(REGEXEXTRACT(O2536,""[0-9]+""))
),
0
)"),0.0)</f>
        <v>0</v>
      </c>
      <c r="E2536" s="1" t="s">
        <v>11</v>
      </c>
      <c r="F2536" s="1" t="s">
        <v>12</v>
      </c>
      <c r="G2536" s="4" t="b">
        <f t="shared" si="2"/>
        <v>1</v>
      </c>
      <c r="H2536" s="1" t="str">
        <f t="shared" si="3"/>
        <v>Currently Unavailable</v>
      </c>
      <c r="I2536" s="1" t="str">
        <f t="shared" si="4"/>
        <v>No Badges</v>
      </c>
      <c r="J2536" s="3">
        <f t="shared" si="5"/>
        <v>0</v>
      </c>
    </row>
    <row r="2537">
      <c r="A2537" s="1" t="s">
        <v>1285</v>
      </c>
      <c r="B2537" s="3" t="str">
        <f t="shared" si="1"/>
        <v>Unavailable</v>
      </c>
      <c r="C2537" s="5">
        <v>3520.0</v>
      </c>
      <c r="D2537" s="3">
        <f>IFERROR(__xludf.DUMMYFUNCTION("IFERROR(
IF(REGEXMATCH(LOWER(O2537),""k""),
VALUE(REGEXEXTRACT(O2537,""[0-9]+""))*1000,
VALUE(REGEXEXTRACT(O2537,""[0-9]+""))
),
0
)"),0.0)</f>
        <v>0</v>
      </c>
      <c r="E2537" s="1" t="s">
        <v>11</v>
      </c>
      <c r="F2537" s="1" t="s">
        <v>12</v>
      </c>
      <c r="G2537" s="4" t="b">
        <f t="shared" si="2"/>
        <v>1</v>
      </c>
      <c r="H2537" s="1" t="str">
        <f t="shared" si="3"/>
        <v>Currently Unavailable</v>
      </c>
      <c r="I2537" s="1" t="str">
        <f t="shared" si="4"/>
        <v>No Badges</v>
      </c>
      <c r="J2537" s="3">
        <f t="shared" si="5"/>
        <v>0</v>
      </c>
    </row>
    <row r="2538">
      <c r="A2538" s="1" t="s">
        <v>1284</v>
      </c>
      <c r="B2538" s="3" t="str">
        <f t="shared" si="1"/>
        <v>Unavailable</v>
      </c>
      <c r="C2538" s="3">
        <v>172.0</v>
      </c>
      <c r="D2538" s="3">
        <f>IFERROR(__xludf.DUMMYFUNCTION("IFERROR(
IF(REGEXMATCH(LOWER(O2538),""k""),
VALUE(REGEXEXTRACT(O2538,""[0-9]+""))*1000,
VALUE(REGEXEXTRACT(O2538,""[0-9]+""))
),
0
)"),0.0)</f>
        <v>0</v>
      </c>
      <c r="E2538" s="1" t="s">
        <v>11</v>
      </c>
      <c r="F2538" s="1" t="s">
        <v>12</v>
      </c>
      <c r="G2538" s="4" t="b">
        <f t="shared" si="2"/>
        <v>1</v>
      </c>
      <c r="H2538" s="1" t="str">
        <f t="shared" si="3"/>
        <v>Currently Unavailable</v>
      </c>
      <c r="I2538" s="1" t="str">
        <f t="shared" si="4"/>
        <v>No Badges</v>
      </c>
      <c r="J2538" s="3">
        <f t="shared" si="5"/>
        <v>0</v>
      </c>
    </row>
    <row r="2539">
      <c r="A2539" s="1" t="s">
        <v>69</v>
      </c>
      <c r="B2539" s="3" t="str">
        <f t="shared" si="1"/>
        <v>Unavailable</v>
      </c>
      <c r="C2539" s="3">
        <v>45.0</v>
      </c>
      <c r="D2539" s="3">
        <f>IFERROR(__xludf.DUMMYFUNCTION("IFERROR(
IF(REGEXMATCH(LOWER(O2539),""k""),
VALUE(REGEXEXTRACT(O2539,""[0-9]+""))*1000,
VALUE(REGEXEXTRACT(O2539,""[0-9]+""))
),
0
)"),0.0)</f>
        <v>0</v>
      </c>
      <c r="E2539" s="1" t="s">
        <v>11</v>
      </c>
      <c r="F2539" s="1" t="s">
        <v>12</v>
      </c>
      <c r="G2539" s="4" t="b">
        <f t="shared" si="2"/>
        <v>1</v>
      </c>
      <c r="H2539" s="1" t="str">
        <f t="shared" si="3"/>
        <v>Currently Unavailable</v>
      </c>
      <c r="I2539" s="1" t="str">
        <f t="shared" si="4"/>
        <v>No Badges</v>
      </c>
      <c r="J2539" s="3">
        <f t="shared" si="5"/>
        <v>0</v>
      </c>
    </row>
    <row r="2540">
      <c r="A2540" s="1" t="s">
        <v>2040</v>
      </c>
      <c r="B2540" s="3" t="str">
        <f t="shared" si="1"/>
        <v>Unavailable</v>
      </c>
      <c r="C2540" s="5">
        <v>7465.0</v>
      </c>
      <c r="D2540" s="3">
        <f>IFERROR(__xludf.DUMMYFUNCTION("IFERROR(
IF(REGEXMATCH(LOWER(O2540),""k""),
VALUE(REGEXEXTRACT(O2540,""[0-9]+""))*1000,
VALUE(REGEXEXTRACT(O2540,""[0-9]+""))
),
0
)"),0.0)</f>
        <v>0</v>
      </c>
      <c r="E2540" s="1" t="s">
        <v>11</v>
      </c>
      <c r="F2540" s="1" t="s">
        <v>20</v>
      </c>
      <c r="G2540" s="4" t="b">
        <f t="shared" si="2"/>
        <v>1</v>
      </c>
      <c r="H2540" s="1" t="str">
        <f t="shared" si="3"/>
        <v>Currently Unavailable</v>
      </c>
      <c r="I2540" s="1" t="str">
        <f t="shared" si="4"/>
        <v>No Badges</v>
      </c>
      <c r="J2540" s="3">
        <f t="shared" si="5"/>
        <v>0</v>
      </c>
    </row>
    <row r="2541">
      <c r="A2541" s="1" t="s">
        <v>2041</v>
      </c>
      <c r="B2541" s="3" t="str">
        <f t="shared" si="1"/>
        <v>Unavailable</v>
      </c>
      <c r="C2541" s="5">
        <v>11293.0</v>
      </c>
      <c r="D2541" s="3">
        <f>IFERROR(__xludf.DUMMYFUNCTION("IFERROR(
IF(REGEXMATCH(LOWER(O2541),""k""),
VALUE(REGEXEXTRACT(O2541,""[0-9]+""))*1000,
VALUE(REGEXEXTRACT(O2541,""[0-9]+""))
),
0
)"),0.0)</f>
        <v>0</v>
      </c>
      <c r="E2541" s="1" t="s">
        <v>11</v>
      </c>
      <c r="F2541" s="1" t="s">
        <v>20</v>
      </c>
      <c r="G2541" s="4" t="b">
        <f t="shared" si="2"/>
        <v>1</v>
      </c>
      <c r="H2541" s="1" t="str">
        <f t="shared" si="3"/>
        <v>Currently Unavailable</v>
      </c>
      <c r="I2541" s="1" t="str">
        <f t="shared" si="4"/>
        <v>No Badges</v>
      </c>
      <c r="J2541" s="3">
        <f t="shared" si="5"/>
        <v>0</v>
      </c>
    </row>
    <row r="2542">
      <c r="A2542" s="1" t="s">
        <v>2042</v>
      </c>
      <c r="B2542" s="3" t="str">
        <f t="shared" si="1"/>
        <v>Unavailable</v>
      </c>
      <c r="C2542" s="5">
        <v>1193.0</v>
      </c>
      <c r="D2542" s="3">
        <f>IFERROR(__xludf.DUMMYFUNCTION("IFERROR(
IF(REGEXMATCH(LOWER(O2542),""k""),
VALUE(REGEXEXTRACT(O2542,""[0-9]+""))*1000,
VALUE(REGEXEXTRACT(O2542,""[0-9]+""))
),
0
)"),0.0)</f>
        <v>0</v>
      </c>
      <c r="E2542" s="1" t="s">
        <v>11</v>
      </c>
      <c r="F2542" s="1" t="s">
        <v>20</v>
      </c>
      <c r="G2542" s="4" t="b">
        <f t="shared" si="2"/>
        <v>1</v>
      </c>
      <c r="H2542" s="1" t="str">
        <f t="shared" si="3"/>
        <v>Currently Unavailable</v>
      </c>
      <c r="I2542" s="1" t="str">
        <f t="shared" si="4"/>
        <v>No Badges</v>
      </c>
      <c r="J2542" s="3">
        <f t="shared" si="5"/>
        <v>0</v>
      </c>
    </row>
    <row r="2543">
      <c r="A2543" s="1" t="s">
        <v>2043</v>
      </c>
      <c r="B2543" s="3" t="str">
        <f t="shared" si="1"/>
        <v>Unavailable</v>
      </c>
      <c r="C2543" s="5">
        <v>11679.0</v>
      </c>
      <c r="D2543" s="3">
        <f>IFERROR(__xludf.DUMMYFUNCTION("IFERROR(
IF(REGEXMATCH(LOWER(O2543),""k""),
VALUE(REGEXEXTRACT(O2543,""[0-9]+""))*1000,
VALUE(REGEXEXTRACT(O2543,""[0-9]+""))
),
0
)"),0.0)</f>
        <v>0</v>
      </c>
      <c r="E2543" s="1" t="s">
        <v>11</v>
      </c>
      <c r="F2543" s="1" t="s">
        <v>20</v>
      </c>
      <c r="G2543" s="4" t="b">
        <f t="shared" si="2"/>
        <v>1</v>
      </c>
      <c r="H2543" s="1" t="str">
        <f t="shared" si="3"/>
        <v>Currently Unavailable</v>
      </c>
      <c r="I2543" s="1" t="str">
        <f t="shared" si="4"/>
        <v>No Badges</v>
      </c>
      <c r="J2543" s="3">
        <f t="shared" si="5"/>
        <v>0</v>
      </c>
    </row>
    <row r="2544">
      <c r="A2544" s="1" t="s">
        <v>2044</v>
      </c>
      <c r="B2544" s="3" t="str">
        <f t="shared" si="1"/>
        <v>Unavailable</v>
      </c>
      <c r="C2544" s="3">
        <v>944.0</v>
      </c>
      <c r="D2544" s="3">
        <f>IFERROR(__xludf.DUMMYFUNCTION("IFERROR(
IF(REGEXMATCH(LOWER(O2544),""k""),
VALUE(REGEXEXTRACT(O2544,""[0-9]+""))*1000,
VALUE(REGEXEXTRACT(O2544,""[0-9]+""))
),
0
)"),0.0)</f>
        <v>0</v>
      </c>
      <c r="E2544" s="1" t="s">
        <v>11</v>
      </c>
      <c r="F2544" s="1" t="s">
        <v>20</v>
      </c>
      <c r="G2544" s="4" t="b">
        <f t="shared" si="2"/>
        <v>1</v>
      </c>
      <c r="H2544" s="1" t="str">
        <f t="shared" si="3"/>
        <v>Currently Unavailable</v>
      </c>
      <c r="I2544" s="1" t="str">
        <f t="shared" si="4"/>
        <v>No Badges</v>
      </c>
      <c r="J2544" s="3">
        <f t="shared" si="5"/>
        <v>0</v>
      </c>
    </row>
    <row r="2545">
      <c r="A2545" s="1" t="s">
        <v>1284</v>
      </c>
      <c r="B2545" s="3" t="str">
        <f t="shared" si="1"/>
        <v>Unavailable</v>
      </c>
      <c r="C2545" s="3">
        <v>172.0</v>
      </c>
      <c r="D2545" s="3">
        <f>IFERROR(__xludf.DUMMYFUNCTION("IFERROR(
IF(REGEXMATCH(LOWER(O2545),""k""),
VALUE(REGEXEXTRACT(O2545,""[0-9]+""))*1000,
VALUE(REGEXEXTRACT(O2545,""[0-9]+""))
),
0
)"),0.0)</f>
        <v>0</v>
      </c>
      <c r="E2545" s="1" t="s">
        <v>11</v>
      </c>
      <c r="F2545" s="1" t="s">
        <v>12</v>
      </c>
      <c r="G2545" s="4" t="b">
        <f t="shared" si="2"/>
        <v>1</v>
      </c>
      <c r="H2545" s="1" t="str">
        <f t="shared" si="3"/>
        <v>Currently Unavailable</v>
      </c>
      <c r="I2545" s="1" t="str">
        <f t="shared" si="4"/>
        <v>No Badges</v>
      </c>
      <c r="J2545" s="3">
        <f t="shared" si="5"/>
        <v>0</v>
      </c>
    </row>
    <row r="2546">
      <c r="A2546" s="1" t="s">
        <v>2045</v>
      </c>
      <c r="B2546" s="3" t="str">
        <f t="shared" si="1"/>
        <v>Unavailable</v>
      </c>
      <c r="C2546" s="5">
        <v>1754.0</v>
      </c>
      <c r="D2546" s="3">
        <f>IFERROR(__xludf.DUMMYFUNCTION("IFERROR(
IF(REGEXMATCH(LOWER(O2546),""k""),
VALUE(REGEXEXTRACT(O2546,""[0-9]+""))*1000,
VALUE(REGEXEXTRACT(O2546,""[0-9]+""))
),
0
)"),0.0)</f>
        <v>0</v>
      </c>
      <c r="E2546" s="1" t="s">
        <v>11</v>
      </c>
      <c r="F2546" s="1" t="s">
        <v>20</v>
      </c>
      <c r="G2546" s="4" t="b">
        <f t="shared" si="2"/>
        <v>1</v>
      </c>
      <c r="H2546" s="1" t="str">
        <f t="shared" si="3"/>
        <v>Currently Unavailable</v>
      </c>
      <c r="I2546" s="1" t="str">
        <f t="shared" si="4"/>
        <v>No Badges</v>
      </c>
      <c r="J2546" s="3">
        <f t="shared" si="5"/>
        <v>0</v>
      </c>
    </row>
    <row r="2547">
      <c r="A2547" s="1" t="s">
        <v>2046</v>
      </c>
      <c r="B2547" s="3" t="str">
        <f t="shared" si="1"/>
        <v>Unavailable</v>
      </c>
      <c r="C2547" s="5">
        <v>3321.0</v>
      </c>
      <c r="D2547" s="3">
        <f>IFERROR(__xludf.DUMMYFUNCTION("IFERROR(
IF(REGEXMATCH(LOWER(O2547),""k""),
VALUE(REGEXEXTRACT(O2547,""[0-9]+""))*1000,
VALUE(REGEXEXTRACT(O2547,""[0-9]+""))
),
0
)"),0.0)</f>
        <v>0</v>
      </c>
      <c r="E2547" s="1" t="s">
        <v>11</v>
      </c>
      <c r="F2547" s="1" t="s">
        <v>20</v>
      </c>
      <c r="G2547" s="4" t="b">
        <f t="shared" si="2"/>
        <v>1</v>
      </c>
      <c r="H2547" s="1" t="str">
        <f t="shared" si="3"/>
        <v>Currently Unavailable</v>
      </c>
      <c r="I2547" s="1" t="str">
        <f t="shared" si="4"/>
        <v>No Badges</v>
      </c>
      <c r="J2547" s="3">
        <f t="shared" si="5"/>
        <v>0</v>
      </c>
    </row>
    <row r="2548">
      <c r="A2548" s="1" t="s">
        <v>2047</v>
      </c>
      <c r="B2548" s="3" t="str">
        <f t="shared" si="1"/>
        <v>Unavailable</v>
      </c>
      <c r="C2548" s="5">
        <v>20874.0</v>
      </c>
      <c r="D2548" s="3">
        <f>IFERROR(__xludf.DUMMYFUNCTION("IFERROR(
IF(REGEXMATCH(LOWER(O2548),""k""),
VALUE(REGEXEXTRACT(O2548,""[0-9]+""))*1000,
VALUE(REGEXEXTRACT(O2548,""[0-9]+""))
),
0
)"),0.0)</f>
        <v>0</v>
      </c>
      <c r="E2548" s="1" t="s">
        <v>11</v>
      </c>
      <c r="F2548" s="1" t="s">
        <v>20</v>
      </c>
      <c r="G2548" s="4" t="b">
        <f t="shared" si="2"/>
        <v>1</v>
      </c>
      <c r="H2548" s="1" t="str">
        <f t="shared" si="3"/>
        <v>Currently Unavailable</v>
      </c>
      <c r="I2548" s="1" t="str">
        <f t="shared" si="4"/>
        <v>No Badges</v>
      </c>
      <c r="J2548" s="3">
        <f t="shared" si="5"/>
        <v>0</v>
      </c>
    </row>
    <row r="2549">
      <c r="A2549" s="1" t="s">
        <v>2048</v>
      </c>
      <c r="B2549" s="3" t="str">
        <f t="shared" si="1"/>
        <v>Unavailable</v>
      </c>
      <c r="C2549" s="5">
        <v>2492.0</v>
      </c>
      <c r="D2549" s="3">
        <f>IFERROR(__xludf.DUMMYFUNCTION("IFERROR(
IF(REGEXMATCH(LOWER(O2549),""k""),
VALUE(REGEXEXTRACT(O2549,""[0-9]+""))*1000,
VALUE(REGEXEXTRACT(O2549,""[0-9]+""))
),
0
)"),0.0)</f>
        <v>0</v>
      </c>
      <c r="E2549" s="1" t="s">
        <v>11</v>
      </c>
      <c r="F2549" s="1" t="s">
        <v>20</v>
      </c>
      <c r="G2549" s="4" t="b">
        <f t="shared" si="2"/>
        <v>1</v>
      </c>
      <c r="H2549" s="1" t="str">
        <f t="shared" si="3"/>
        <v>Currently Unavailable</v>
      </c>
      <c r="I2549" s="1" t="str">
        <f t="shared" si="4"/>
        <v>No Badges</v>
      </c>
      <c r="J2549" s="3">
        <f t="shared" si="5"/>
        <v>0</v>
      </c>
    </row>
    <row r="2550">
      <c r="A2550" s="1" t="s">
        <v>2049</v>
      </c>
      <c r="B2550" s="3" t="str">
        <f t="shared" si="1"/>
        <v>Unavailable</v>
      </c>
      <c r="C2550" s="5">
        <v>54220.0</v>
      </c>
      <c r="D2550" s="3">
        <f>IFERROR(__xludf.DUMMYFUNCTION("IFERROR(
IF(REGEXMATCH(LOWER(O2550),""k""),
VALUE(REGEXEXTRACT(O2550,""[0-9]+""))*1000,
VALUE(REGEXEXTRACT(O2550,""[0-9]+""))
),
0
)"),0.0)</f>
        <v>0</v>
      </c>
      <c r="E2550" s="1" t="s">
        <v>11</v>
      </c>
      <c r="F2550" s="1" t="s">
        <v>20</v>
      </c>
      <c r="G2550" s="4" t="b">
        <f t="shared" si="2"/>
        <v>1</v>
      </c>
      <c r="H2550" s="1" t="str">
        <f t="shared" si="3"/>
        <v>Currently Unavailable</v>
      </c>
      <c r="I2550" s="1" t="str">
        <f t="shared" si="4"/>
        <v>No Badges</v>
      </c>
      <c r="J2550" s="3">
        <f t="shared" si="5"/>
        <v>0</v>
      </c>
    </row>
    <row r="2551">
      <c r="A2551" s="1" t="s">
        <v>2050</v>
      </c>
      <c r="B2551" s="3" t="str">
        <f t="shared" si="1"/>
        <v>Unavailable</v>
      </c>
      <c r="C2551" s="3">
        <v>761.0</v>
      </c>
      <c r="D2551" s="3">
        <f>IFERROR(__xludf.DUMMYFUNCTION("IFERROR(
IF(REGEXMATCH(LOWER(O2551),""k""),
VALUE(REGEXEXTRACT(O2551,""[0-9]+""))*1000,
VALUE(REGEXEXTRACT(O2551,""[0-9]+""))
),
0
)"),0.0)</f>
        <v>0</v>
      </c>
      <c r="E2551" s="1" t="s">
        <v>11</v>
      </c>
      <c r="F2551" s="1" t="s">
        <v>20</v>
      </c>
      <c r="G2551" s="4" t="b">
        <f t="shared" si="2"/>
        <v>1</v>
      </c>
      <c r="H2551" s="1" t="str">
        <f t="shared" si="3"/>
        <v>Currently Unavailable</v>
      </c>
      <c r="I2551" s="1" t="str">
        <f t="shared" si="4"/>
        <v>No Badges</v>
      </c>
      <c r="J2551" s="3">
        <f t="shared" si="5"/>
        <v>0</v>
      </c>
    </row>
    <row r="2552">
      <c r="A2552" s="1" t="s">
        <v>2051</v>
      </c>
      <c r="B2552" s="3" t="str">
        <f t="shared" si="1"/>
        <v>Unavailable</v>
      </c>
      <c r="C2552" s="3">
        <v>770.0</v>
      </c>
      <c r="D2552" s="3">
        <f>IFERROR(__xludf.DUMMYFUNCTION("IFERROR(
IF(REGEXMATCH(LOWER(O2552),""k""),
VALUE(REGEXEXTRACT(O2552,""[0-9]+""))*1000,
VALUE(REGEXEXTRACT(O2552,""[0-9]+""))
),
0
)"),0.0)</f>
        <v>0</v>
      </c>
      <c r="E2552" s="1" t="s">
        <v>11</v>
      </c>
      <c r="F2552" s="1" t="s">
        <v>20</v>
      </c>
      <c r="G2552" s="4" t="b">
        <f t="shared" si="2"/>
        <v>1</v>
      </c>
      <c r="H2552" s="1" t="str">
        <f t="shared" si="3"/>
        <v>Currently Unavailable</v>
      </c>
      <c r="I2552" s="1" t="str">
        <f t="shared" si="4"/>
        <v>No Badges</v>
      </c>
      <c r="J2552" s="3">
        <f t="shared" si="5"/>
        <v>0</v>
      </c>
    </row>
    <row r="2553">
      <c r="A2553" s="1" t="s">
        <v>67</v>
      </c>
      <c r="B2553" s="3" t="str">
        <f t="shared" si="1"/>
        <v>Unavailable</v>
      </c>
      <c r="C2553" s="3">
        <v>264.0</v>
      </c>
      <c r="D2553" s="3">
        <f>IFERROR(__xludf.DUMMYFUNCTION("IFERROR(
IF(REGEXMATCH(LOWER(O2553),""k""),
VALUE(REGEXEXTRACT(O2553,""[0-9]+""))*1000,
VALUE(REGEXEXTRACT(O2553,""[0-9]+""))
),
0
)"),0.0)</f>
        <v>0</v>
      </c>
      <c r="E2553" s="1" t="s">
        <v>11</v>
      </c>
      <c r="F2553" s="1" t="s">
        <v>12</v>
      </c>
      <c r="G2553" s="4" t="b">
        <f t="shared" si="2"/>
        <v>1</v>
      </c>
      <c r="H2553" s="1" t="str">
        <f t="shared" si="3"/>
        <v>Currently Unavailable</v>
      </c>
      <c r="I2553" s="1" t="str">
        <f t="shared" si="4"/>
        <v>No Badges</v>
      </c>
      <c r="J2553" s="3">
        <f t="shared" si="5"/>
        <v>0</v>
      </c>
    </row>
    <row r="2554">
      <c r="A2554" s="1" t="s">
        <v>1285</v>
      </c>
      <c r="B2554" s="3" t="str">
        <f t="shared" si="1"/>
        <v>Unavailable</v>
      </c>
      <c r="C2554" s="5">
        <v>3520.0</v>
      </c>
      <c r="D2554" s="3">
        <f>IFERROR(__xludf.DUMMYFUNCTION("IFERROR(
IF(REGEXMATCH(LOWER(O2554),""k""),
VALUE(REGEXEXTRACT(O2554,""[0-9]+""))*1000,
VALUE(REGEXEXTRACT(O2554,""[0-9]+""))
),
0
)"),0.0)</f>
        <v>0</v>
      </c>
      <c r="E2554" s="1" t="s">
        <v>11</v>
      </c>
      <c r="F2554" s="1" t="s">
        <v>12</v>
      </c>
      <c r="G2554" s="4" t="b">
        <f t="shared" si="2"/>
        <v>1</v>
      </c>
      <c r="H2554" s="1" t="str">
        <f t="shared" si="3"/>
        <v>Currently Unavailable</v>
      </c>
      <c r="I2554" s="1" t="str">
        <f t="shared" si="4"/>
        <v>No Badges</v>
      </c>
      <c r="J2554" s="3">
        <f t="shared" si="5"/>
        <v>0</v>
      </c>
    </row>
    <row r="2555">
      <c r="A2555" s="1" t="s">
        <v>1284</v>
      </c>
      <c r="B2555" s="3" t="str">
        <f t="shared" si="1"/>
        <v>Unavailable</v>
      </c>
      <c r="C2555" s="3">
        <v>172.0</v>
      </c>
      <c r="D2555" s="3">
        <f>IFERROR(__xludf.DUMMYFUNCTION("IFERROR(
IF(REGEXMATCH(LOWER(O2555),""k""),
VALUE(REGEXEXTRACT(O2555,""[0-9]+""))*1000,
VALUE(REGEXEXTRACT(O2555,""[0-9]+""))
),
0
)"),0.0)</f>
        <v>0</v>
      </c>
      <c r="E2555" s="1" t="s">
        <v>11</v>
      </c>
      <c r="F2555" s="1" t="s">
        <v>12</v>
      </c>
      <c r="G2555" s="4" t="b">
        <f t="shared" si="2"/>
        <v>1</v>
      </c>
      <c r="H2555" s="1" t="str">
        <f t="shared" si="3"/>
        <v>Currently Unavailable</v>
      </c>
      <c r="I2555" s="1" t="str">
        <f t="shared" si="4"/>
        <v>No Badges</v>
      </c>
      <c r="J2555" s="3">
        <f t="shared" si="5"/>
        <v>0</v>
      </c>
    </row>
    <row r="2556">
      <c r="A2556" s="1" t="s">
        <v>2051</v>
      </c>
      <c r="B2556" s="3" t="str">
        <f t="shared" si="1"/>
        <v>Unavailable</v>
      </c>
      <c r="C2556" s="3">
        <v>770.0</v>
      </c>
      <c r="D2556" s="3">
        <f>IFERROR(__xludf.DUMMYFUNCTION("IFERROR(
IF(REGEXMATCH(LOWER(O2556),""k""),
VALUE(REGEXEXTRACT(O2556,""[0-9]+""))*1000,
VALUE(REGEXEXTRACT(O2556,""[0-9]+""))
),
0
)"),0.0)</f>
        <v>0</v>
      </c>
      <c r="E2556" s="1" t="s">
        <v>11</v>
      </c>
      <c r="F2556" s="1" t="s">
        <v>20</v>
      </c>
      <c r="G2556" s="4" t="b">
        <f t="shared" si="2"/>
        <v>1</v>
      </c>
      <c r="H2556" s="1" t="str">
        <f t="shared" si="3"/>
        <v>Currently Unavailable</v>
      </c>
      <c r="I2556" s="1" t="str">
        <f t="shared" si="4"/>
        <v>No Badges</v>
      </c>
      <c r="J2556" s="3">
        <f t="shared" si="5"/>
        <v>0</v>
      </c>
    </row>
    <row r="2557">
      <c r="A2557" s="1" t="s">
        <v>2052</v>
      </c>
      <c r="B2557" s="3" t="str">
        <f t="shared" si="1"/>
        <v>Unavailable</v>
      </c>
      <c r="C2557" s="5">
        <v>12679.0</v>
      </c>
      <c r="D2557" s="3">
        <f>IFERROR(__xludf.DUMMYFUNCTION("IFERROR(
IF(REGEXMATCH(LOWER(O2557),""k""),
VALUE(REGEXEXTRACT(O2557,""[0-9]+""))*1000,
VALUE(REGEXEXTRACT(O2557,""[0-9]+""))
),
0
)"),0.0)</f>
        <v>0</v>
      </c>
      <c r="E2557" s="1" t="s">
        <v>11</v>
      </c>
      <c r="F2557" s="1" t="s">
        <v>20</v>
      </c>
      <c r="G2557" s="4" t="b">
        <f t="shared" si="2"/>
        <v>1</v>
      </c>
      <c r="H2557" s="1" t="str">
        <f t="shared" si="3"/>
        <v>Currently Unavailable</v>
      </c>
      <c r="I2557" s="1" t="str">
        <f t="shared" si="4"/>
        <v>No Badges</v>
      </c>
      <c r="J2557" s="3">
        <f t="shared" si="5"/>
        <v>0</v>
      </c>
    </row>
    <row r="2558">
      <c r="A2558" s="1" t="s">
        <v>2053</v>
      </c>
      <c r="B2558" s="3" t="str">
        <f t="shared" si="1"/>
        <v>Unavailable</v>
      </c>
      <c r="C2558" s="5">
        <v>5702.0</v>
      </c>
      <c r="D2558" s="3">
        <f>IFERROR(__xludf.DUMMYFUNCTION("IFERROR(
IF(REGEXMATCH(LOWER(O2558),""k""),
VALUE(REGEXEXTRACT(O2558,""[0-9]+""))*1000,
VALUE(REGEXEXTRACT(O2558,""[0-9]+""))
),
0
)"),0.0)</f>
        <v>0</v>
      </c>
      <c r="E2558" s="1" t="s">
        <v>11</v>
      </c>
      <c r="F2558" s="1" t="s">
        <v>20</v>
      </c>
      <c r="G2558" s="4" t="b">
        <f t="shared" si="2"/>
        <v>1</v>
      </c>
      <c r="H2558" s="1" t="str">
        <f t="shared" si="3"/>
        <v>Currently Unavailable</v>
      </c>
      <c r="I2558" s="1" t="str">
        <f t="shared" si="4"/>
        <v>No Badges</v>
      </c>
      <c r="J2558" s="3">
        <f t="shared" si="5"/>
        <v>0</v>
      </c>
    </row>
    <row r="2559">
      <c r="A2559" s="1" t="s">
        <v>2054</v>
      </c>
      <c r="B2559" s="3" t="str">
        <f t="shared" si="1"/>
        <v>Unavailable</v>
      </c>
      <c r="C2559" s="5">
        <v>6859.0</v>
      </c>
      <c r="D2559" s="3">
        <f>IFERROR(__xludf.DUMMYFUNCTION("IFERROR(
IF(REGEXMATCH(LOWER(O2559),""k""),
VALUE(REGEXEXTRACT(O2559,""[0-9]+""))*1000,
VALUE(REGEXEXTRACT(O2559,""[0-9]+""))
),
0
)"),0.0)</f>
        <v>0</v>
      </c>
      <c r="E2559" s="1" t="s">
        <v>11</v>
      </c>
      <c r="F2559" s="1" t="s">
        <v>20</v>
      </c>
      <c r="G2559" s="4" t="b">
        <f t="shared" si="2"/>
        <v>1</v>
      </c>
      <c r="H2559" s="1" t="str">
        <f t="shared" si="3"/>
        <v>Currently Unavailable</v>
      </c>
      <c r="I2559" s="1" t="str">
        <f t="shared" si="4"/>
        <v>No Badges</v>
      </c>
      <c r="J2559" s="3">
        <f t="shared" si="5"/>
        <v>0</v>
      </c>
    </row>
    <row r="2560">
      <c r="A2560" s="1" t="s">
        <v>1279</v>
      </c>
      <c r="B2560" s="3" t="str">
        <f t="shared" si="1"/>
        <v>Unavailable</v>
      </c>
      <c r="C2560" s="3">
        <v>65.0</v>
      </c>
      <c r="D2560" s="3">
        <f>IFERROR(__xludf.DUMMYFUNCTION("IFERROR(
IF(REGEXMATCH(LOWER(O2560),""k""),
VALUE(REGEXEXTRACT(O2560,""[0-9]+""))*1000,
VALUE(REGEXEXTRACT(O2560,""[0-9]+""))
),
0
)"),0.0)</f>
        <v>0</v>
      </c>
      <c r="E2560" s="1" t="s">
        <v>11</v>
      </c>
      <c r="F2560" s="1" t="s">
        <v>12</v>
      </c>
      <c r="G2560" s="4" t="b">
        <f t="shared" si="2"/>
        <v>1</v>
      </c>
      <c r="H2560" s="1" t="str">
        <f t="shared" si="3"/>
        <v>Currently Unavailable</v>
      </c>
      <c r="I2560" s="1" t="str">
        <f t="shared" si="4"/>
        <v>No Badges</v>
      </c>
      <c r="J2560" s="3">
        <f t="shared" si="5"/>
        <v>0</v>
      </c>
    </row>
    <row r="2561">
      <c r="A2561" s="1" t="s">
        <v>2055</v>
      </c>
      <c r="B2561" s="3" t="str">
        <f t="shared" si="1"/>
        <v>Unavailable</v>
      </c>
      <c r="C2561" s="3">
        <v>681.0</v>
      </c>
      <c r="D2561" s="3">
        <f>IFERROR(__xludf.DUMMYFUNCTION("IFERROR(
IF(REGEXMATCH(LOWER(O2561),""k""),
VALUE(REGEXEXTRACT(O2561,""[0-9]+""))*1000,
VALUE(REGEXEXTRACT(O2561,""[0-9]+""))
),
0
)"),0.0)</f>
        <v>0</v>
      </c>
      <c r="E2561" s="1" t="s">
        <v>11</v>
      </c>
      <c r="F2561" s="1" t="s">
        <v>20</v>
      </c>
      <c r="G2561" s="4" t="b">
        <f t="shared" si="2"/>
        <v>1</v>
      </c>
      <c r="H2561" s="1" t="str">
        <f t="shared" si="3"/>
        <v>Currently Unavailable</v>
      </c>
      <c r="I2561" s="1" t="str">
        <f t="shared" si="4"/>
        <v>No Badges</v>
      </c>
      <c r="J2561" s="3">
        <f t="shared" si="5"/>
        <v>0</v>
      </c>
    </row>
    <row r="2562">
      <c r="A2562" s="1" t="s">
        <v>1285</v>
      </c>
      <c r="B2562" s="3" t="str">
        <f t="shared" si="1"/>
        <v>Unavailable</v>
      </c>
      <c r="C2562" s="5">
        <v>3520.0</v>
      </c>
      <c r="D2562" s="3">
        <f>IFERROR(__xludf.DUMMYFUNCTION("IFERROR(
IF(REGEXMATCH(LOWER(O2562),""k""),
VALUE(REGEXEXTRACT(O2562,""[0-9]+""))*1000,
VALUE(REGEXEXTRACT(O2562,""[0-9]+""))
),
0
)"),0.0)</f>
        <v>0</v>
      </c>
      <c r="E2562" s="1" t="s">
        <v>11</v>
      </c>
      <c r="F2562" s="1" t="s">
        <v>12</v>
      </c>
      <c r="G2562" s="4" t="b">
        <f t="shared" si="2"/>
        <v>1</v>
      </c>
      <c r="H2562" s="1" t="str">
        <f t="shared" si="3"/>
        <v>Currently Unavailable</v>
      </c>
      <c r="I2562" s="1" t="str">
        <f t="shared" si="4"/>
        <v>No Badges</v>
      </c>
      <c r="J2562" s="3">
        <f t="shared" si="5"/>
        <v>0</v>
      </c>
    </row>
    <row r="2563">
      <c r="A2563" s="1" t="s">
        <v>1284</v>
      </c>
      <c r="B2563" s="3" t="str">
        <f t="shared" si="1"/>
        <v>Unavailable</v>
      </c>
      <c r="C2563" s="3">
        <v>172.0</v>
      </c>
      <c r="D2563" s="3">
        <f>IFERROR(__xludf.DUMMYFUNCTION("IFERROR(
IF(REGEXMATCH(LOWER(O2563),""k""),
VALUE(REGEXEXTRACT(O2563,""[0-9]+""))*1000,
VALUE(REGEXEXTRACT(O2563,""[0-9]+""))
),
0
)"),0.0)</f>
        <v>0</v>
      </c>
      <c r="E2563" s="1" t="s">
        <v>11</v>
      </c>
      <c r="F2563" s="1" t="s">
        <v>12</v>
      </c>
      <c r="G2563" s="4" t="b">
        <f t="shared" si="2"/>
        <v>1</v>
      </c>
      <c r="H2563" s="1" t="str">
        <f t="shared" si="3"/>
        <v>Currently Unavailable</v>
      </c>
      <c r="I2563" s="1" t="str">
        <f t="shared" si="4"/>
        <v>No Badges</v>
      </c>
      <c r="J2563" s="3">
        <f t="shared" si="5"/>
        <v>0</v>
      </c>
    </row>
    <row r="2564">
      <c r="A2564" s="1" t="s">
        <v>2056</v>
      </c>
      <c r="B2564" s="3" t="str">
        <f t="shared" si="1"/>
        <v>Unavailable</v>
      </c>
      <c r="C2564" s="5">
        <v>5368.0</v>
      </c>
      <c r="D2564" s="3">
        <f>IFERROR(__xludf.DUMMYFUNCTION("IFERROR(
IF(REGEXMATCH(LOWER(O2564),""k""),
VALUE(REGEXEXTRACT(O2564,""[0-9]+""))*1000,
VALUE(REGEXEXTRACT(O2564,""[0-9]+""))
),
0
)"),0.0)</f>
        <v>0</v>
      </c>
      <c r="E2564" s="1" t="s">
        <v>11</v>
      </c>
      <c r="F2564" s="1" t="s">
        <v>20</v>
      </c>
      <c r="G2564" s="4" t="b">
        <f t="shared" si="2"/>
        <v>1</v>
      </c>
      <c r="H2564" s="1" t="str">
        <f t="shared" si="3"/>
        <v>Currently Unavailable</v>
      </c>
      <c r="I2564" s="1" t="str">
        <f t="shared" si="4"/>
        <v>No Badges</v>
      </c>
      <c r="J2564" s="3">
        <f t="shared" si="5"/>
        <v>0</v>
      </c>
    </row>
    <row r="2565">
      <c r="A2565" s="1" t="s">
        <v>2057</v>
      </c>
      <c r="B2565" s="3" t="str">
        <f t="shared" si="1"/>
        <v>Unavailable</v>
      </c>
      <c r="C2565" s="3">
        <v>72.0</v>
      </c>
      <c r="D2565" s="3">
        <f>IFERROR(__xludf.DUMMYFUNCTION("IFERROR(
IF(REGEXMATCH(LOWER(O2565),""k""),
VALUE(REGEXEXTRACT(O2565,""[0-9]+""))*1000,
VALUE(REGEXEXTRACT(O2565,""[0-9]+""))
),
0
)"),0.0)</f>
        <v>0</v>
      </c>
      <c r="E2565" s="1" t="s">
        <v>11</v>
      </c>
      <c r="F2565" s="1" t="s">
        <v>20</v>
      </c>
      <c r="G2565" s="4" t="b">
        <f t="shared" si="2"/>
        <v>1</v>
      </c>
      <c r="H2565" s="1" t="str">
        <f t="shared" si="3"/>
        <v>Currently Unavailable</v>
      </c>
      <c r="I2565" s="1" t="str">
        <f t="shared" si="4"/>
        <v>No Badges</v>
      </c>
      <c r="J2565" s="3">
        <f t="shared" si="5"/>
        <v>0</v>
      </c>
    </row>
    <row r="2566">
      <c r="A2566" s="1" t="s">
        <v>2058</v>
      </c>
      <c r="B2566" s="3" t="str">
        <f t="shared" si="1"/>
        <v>Unavailable</v>
      </c>
      <c r="C2566" s="5">
        <v>5464.0</v>
      </c>
      <c r="D2566" s="3">
        <f>IFERROR(__xludf.DUMMYFUNCTION("IFERROR(
IF(REGEXMATCH(LOWER(O2566),""k""),
VALUE(REGEXEXTRACT(O2566,""[0-9]+""))*1000,
VALUE(REGEXEXTRACT(O2566,""[0-9]+""))
),
0
)"),0.0)</f>
        <v>0</v>
      </c>
      <c r="E2566" s="1" t="s">
        <v>11</v>
      </c>
      <c r="F2566" s="1" t="s">
        <v>20</v>
      </c>
      <c r="G2566" s="4" t="b">
        <f t="shared" si="2"/>
        <v>1</v>
      </c>
      <c r="H2566" s="1" t="str">
        <f t="shared" si="3"/>
        <v>Currently Unavailable</v>
      </c>
      <c r="I2566" s="1" t="str">
        <f t="shared" si="4"/>
        <v>No Badges</v>
      </c>
      <c r="J2566" s="3">
        <f t="shared" si="5"/>
        <v>0</v>
      </c>
    </row>
    <row r="2567">
      <c r="A2567" s="1" t="s">
        <v>701</v>
      </c>
      <c r="B2567" s="3" t="str">
        <f t="shared" si="1"/>
        <v>Unavailable</v>
      </c>
      <c r="C2567" s="3">
        <v>8.0</v>
      </c>
      <c r="D2567" s="3">
        <f>IFERROR(__xludf.DUMMYFUNCTION("IFERROR(
IF(REGEXMATCH(LOWER(O2567),""k""),
VALUE(REGEXEXTRACT(O2567,""[0-9]+""))*1000,
VALUE(REGEXEXTRACT(O2567,""[0-9]+""))
),
0
)"),0.0)</f>
        <v>0</v>
      </c>
      <c r="E2567" s="1" t="s">
        <v>11</v>
      </c>
      <c r="F2567" s="1" t="s">
        <v>12</v>
      </c>
      <c r="G2567" s="4" t="b">
        <f t="shared" si="2"/>
        <v>1</v>
      </c>
      <c r="H2567" s="1" t="str">
        <f t="shared" si="3"/>
        <v>Currently Unavailable</v>
      </c>
      <c r="I2567" s="1" t="str">
        <f t="shared" si="4"/>
        <v>No Badges</v>
      </c>
      <c r="J2567" s="3">
        <f t="shared" si="5"/>
        <v>0</v>
      </c>
    </row>
    <row r="2568">
      <c r="A2568" s="1" t="s">
        <v>2059</v>
      </c>
      <c r="B2568" s="3" t="str">
        <f t="shared" si="1"/>
        <v>Unavailable</v>
      </c>
      <c r="C2568" s="5">
        <v>8588.0</v>
      </c>
      <c r="D2568" s="3">
        <f>IFERROR(__xludf.DUMMYFUNCTION("IFERROR(
IF(REGEXMATCH(LOWER(O2568),""k""),
VALUE(REGEXEXTRACT(O2568,""[0-9]+""))*1000,
VALUE(REGEXEXTRACT(O2568,""[0-9]+""))
),
0
)"),0.0)</f>
        <v>0</v>
      </c>
      <c r="E2568" s="1" t="s">
        <v>11</v>
      </c>
      <c r="F2568" s="1" t="s">
        <v>20</v>
      </c>
      <c r="G2568" s="4" t="b">
        <f t="shared" si="2"/>
        <v>1</v>
      </c>
      <c r="H2568" s="1" t="str">
        <f t="shared" si="3"/>
        <v>Currently Unavailable</v>
      </c>
      <c r="I2568" s="1" t="str">
        <f t="shared" si="4"/>
        <v>No Badges</v>
      </c>
      <c r="J2568" s="3">
        <f t="shared" si="5"/>
        <v>0</v>
      </c>
    </row>
    <row r="2569">
      <c r="A2569" s="1" t="s">
        <v>1812</v>
      </c>
      <c r="B2569" s="3" t="str">
        <f t="shared" si="1"/>
        <v>Unavailable</v>
      </c>
      <c r="C2569" s="5">
        <v>2383.0</v>
      </c>
      <c r="D2569" s="3">
        <f>IFERROR(__xludf.DUMMYFUNCTION("IFERROR(
IF(REGEXMATCH(LOWER(O2569),""k""),
VALUE(REGEXEXTRACT(O2569,""[0-9]+""))*1000,
VALUE(REGEXEXTRACT(O2569,""[0-9]+""))
),
0
)"),0.0)</f>
        <v>0</v>
      </c>
      <c r="E2569" s="1" t="s">
        <v>11</v>
      </c>
      <c r="F2569" s="1" t="s">
        <v>20</v>
      </c>
      <c r="G2569" s="4" t="b">
        <f t="shared" si="2"/>
        <v>1</v>
      </c>
      <c r="H2569" s="1" t="str">
        <f t="shared" si="3"/>
        <v>Currently Unavailable</v>
      </c>
      <c r="I2569" s="1" t="str">
        <f t="shared" si="4"/>
        <v>No Badges</v>
      </c>
      <c r="J2569" s="3">
        <f t="shared" si="5"/>
        <v>0</v>
      </c>
    </row>
    <row r="2570">
      <c r="A2570" s="1" t="s">
        <v>2060</v>
      </c>
      <c r="B2570" s="3" t="str">
        <f t="shared" si="1"/>
        <v>Unavailable</v>
      </c>
      <c r="C2570" s="5">
        <v>11190.0</v>
      </c>
      <c r="D2570" s="3">
        <f>IFERROR(__xludf.DUMMYFUNCTION("IFERROR(
IF(REGEXMATCH(LOWER(O2570),""k""),
VALUE(REGEXEXTRACT(O2570,""[0-9]+""))*1000,
VALUE(REGEXEXTRACT(O2570,""[0-9]+""))
),
0
)"),0.0)</f>
        <v>0</v>
      </c>
      <c r="E2570" s="1" t="s">
        <v>11</v>
      </c>
      <c r="F2570" s="1" t="s">
        <v>20</v>
      </c>
      <c r="G2570" s="4" t="b">
        <f t="shared" si="2"/>
        <v>1</v>
      </c>
      <c r="H2570" s="1" t="str">
        <f t="shared" si="3"/>
        <v>Currently Unavailable</v>
      </c>
      <c r="I2570" s="1" t="str">
        <f t="shared" si="4"/>
        <v>No Badges</v>
      </c>
      <c r="J2570" s="3">
        <f t="shared" si="5"/>
        <v>0</v>
      </c>
    </row>
    <row r="2571">
      <c r="A2571" s="1" t="s">
        <v>1285</v>
      </c>
      <c r="B2571" s="3" t="str">
        <f t="shared" si="1"/>
        <v>Unavailable</v>
      </c>
      <c r="C2571" s="5">
        <v>3520.0</v>
      </c>
      <c r="D2571" s="3">
        <f>IFERROR(__xludf.DUMMYFUNCTION("IFERROR(
IF(REGEXMATCH(LOWER(O2571),""k""),
VALUE(REGEXEXTRACT(O2571,""[0-9]+""))*1000,
VALUE(REGEXEXTRACT(O2571,""[0-9]+""))
),
0
)"),0.0)</f>
        <v>0</v>
      </c>
      <c r="E2571" s="1" t="s">
        <v>11</v>
      </c>
      <c r="F2571" s="1" t="s">
        <v>12</v>
      </c>
      <c r="G2571" s="4" t="b">
        <f t="shared" si="2"/>
        <v>1</v>
      </c>
      <c r="H2571" s="1" t="str">
        <f t="shared" si="3"/>
        <v>Currently Unavailable</v>
      </c>
      <c r="I2571" s="1" t="str">
        <f t="shared" si="4"/>
        <v>No Badges</v>
      </c>
      <c r="J2571" s="3">
        <f t="shared" si="5"/>
        <v>0</v>
      </c>
    </row>
    <row r="2572">
      <c r="A2572" s="1" t="s">
        <v>69</v>
      </c>
      <c r="B2572" s="3" t="str">
        <f t="shared" si="1"/>
        <v>Unavailable</v>
      </c>
      <c r="C2572" s="3">
        <v>45.0</v>
      </c>
      <c r="D2572" s="3">
        <f>IFERROR(__xludf.DUMMYFUNCTION("IFERROR(
IF(REGEXMATCH(LOWER(O2572),""k""),
VALUE(REGEXEXTRACT(O2572,""[0-9]+""))*1000,
VALUE(REGEXEXTRACT(O2572,""[0-9]+""))
),
0
)"),0.0)</f>
        <v>0</v>
      </c>
      <c r="E2572" s="1" t="s">
        <v>11</v>
      </c>
      <c r="F2572" s="1" t="s">
        <v>12</v>
      </c>
      <c r="G2572" s="4" t="b">
        <f t="shared" si="2"/>
        <v>1</v>
      </c>
      <c r="H2572" s="1" t="str">
        <f t="shared" si="3"/>
        <v>Currently Unavailable</v>
      </c>
      <c r="I2572" s="1" t="str">
        <f t="shared" si="4"/>
        <v>No Badges</v>
      </c>
      <c r="J2572" s="3">
        <f t="shared" si="5"/>
        <v>0</v>
      </c>
    </row>
    <row r="2573">
      <c r="A2573" s="1" t="s">
        <v>1284</v>
      </c>
      <c r="B2573" s="3" t="str">
        <f t="shared" si="1"/>
        <v>Unavailable</v>
      </c>
      <c r="C2573" s="3">
        <v>172.0</v>
      </c>
      <c r="D2573" s="3">
        <f>IFERROR(__xludf.DUMMYFUNCTION("IFERROR(
IF(REGEXMATCH(LOWER(O2573),""k""),
VALUE(REGEXEXTRACT(O2573,""[0-9]+""))*1000,
VALUE(REGEXEXTRACT(O2573,""[0-9]+""))
),
0
)"),0.0)</f>
        <v>0</v>
      </c>
      <c r="E2573" s="1" t="s">
        <v>11</v>
      </c>
      <c r="F2573" s="1" t="s">
        <v>12</v>
      </c>
      <c r="G2573" s="4" t="b">
        <f t="shared" si="2"/>
        <v>1</v>
      </c>
      <c r="H2573" s="1" t="str">
        <f t="shared" si="3"/>
        <v>Currently Unavailable</v>
      </c>
      <c r="I2573" s="1" t="str">
        <f t="shared" si="4"/>
        <v>No Badges</v>
      </c>
      <c r="J2573" s="3">
        <f t="shared" si="5"/>
        <v>0</v>
      </c>
    </row>
    <row r="2574">
      <c r="A2574" s="1" t="s">
        <v>2061</v>
      </c>
      <c r="B2574" s="3" t="str">
        <f t="shared" si="1"/>
        <v>Unavailable</v>
      </c>
      <c r="C2574" s="3">
        <v>578.0</v>
      </c>
      <c r="D2574" s="3">
        <f>IFERROR(__xludf.DUMMYFUNCTION("IFERROR(
IF(REGEXMATCH(LOWER(O2574),""k""),
VALUE(REGEXEXTRACT(O2574,""[0-9]+""))*1000,
VALUE(REGEXEXTRACT(O2574,""[0-9]+""))
),
0
)"),0.0)</f>
        <v>0</v>
      </c>
      <c r="E2574" s="1" t="s">
        <v>11</v>
      </c>
      <c r="F2574" s="1" t="s">
        <v>20</v>
      </c>
      <c r="G2574" s="4" t="b">
        <f t="shared" si="2"/>
        <v>1</v>
      </c>
      <c r="H2574" s="1" t="str">
        <f t="shared" si="3"/>
        <v>Currently Unavailable</v>
      </c>
      <c r="I2574" s="1" t="str">
        <f t="shared" si="4"/>
        <v>No Badges</v>
      </c>
      <c r="J2574" s="3">
        <f t="shared" si="5"/>
        <v>0</v>
      </c>
    </row>
    <row r="2575">
      <c r="A2575" s="1" t="s">
        <v>2062</v>
      </c>
      <c r="B2575" s="3" t="str">
        <f t="shared" si="1"/>
        <v>Unavailable</v>
      </c>
      <c r="C2575" s="5">
        <v>39348.0</v>
      </c>
      <c r="D2575" s="3">
        <f>IFERROR(__xludf.DUMMYFUNCTION("IFERROR(
IF(REGEXMATCH(LOWER(O2575),""k""),
VALUE(REGEXEXTRACT(O2575,""[0-9]+""))*1000,
VALUE(REGEXEXTRACT(O2575,""[0-9]+""))
),
0
)"),0.0)</f>
        <v>0</v>
      </c>
      <c r="E2575" s="1" t="s">
        <v>158</v>
      </c>
      <c r="F2575" s="1" t="s">
        <v>20</v>
      </c>
      <c r="G2575" s="4" t="b">
        <f t="shared" si="2"/>
        <v>1</v>
      </c>
      <c r="H2575" s="1" t="str">
        <f t="shared" si="3"/>
        <v>Currently Unavailable</v>
      </c>
      <c r="I2575" s="1" t="str">
        <f t="shared" si="4"/>
        <v>No Badges</v>
      </c>
      <c r="J2575" s="3">
        <f t="shared" si="5"/>
        <v>0</v>
      </c>
    </row>
    <row r="2576">
      <c r="A2576" s="1" t="s">
        <v>2063</v>
      </c>
      <c r="B2576" s="3" t="str">
        <f t="shared" si="1"/>
        <v>Unavailable</v>
      </c>
      <c r="C2576" s="5">
        <v>2364.0</v>
      </c>
      <c r="D2576" s="3">
        <f>IFERROR(__xludf.DUMMYFUNCTION("IFERROR(
IF(REGEXMATCH(LOWER(O2576),""k""),
VALUE(REGEXEXTRACT(O2576,""[0-9]+""))*1000,
VALUE(REGEXEXTRACT(O2576,""[0-9]+""))
),
0
)"),0.0)</f>
        <v>0</v>
      </c>
      <c r="E2576" s="1" t="s">
        <v>11</v>
      </c>
      <c r="F2576" s="1" t="s">
        <v>20</v>
      </c>
      <c r="G2576" s="4" t="b">
        <f t="shared" si="2"/>
        <v>1</v>
      </c>
      <c r="H2576" s="1" t="str">
        <f t="shared" si="3"/>
        <v>Currently Unavailable</v>
      </c>
      <c r="I2576" s="1" t="str">
        <f t="shared" si="4"/>
        <v>No Badges</v>
      </c>
      <c r="J2576" s="3">
        <f t="shared" si="5"/>
        <v>0</v>
      </c>
    </row>
    <row r="2577">
      <c r="A2577" s="1" t="s">
        <v>2064</v>
      </c>
      <c r="B2577" s="3" t="str">
        <f t="shared" si="1"/>
        <v>Unavailable</v>
      </c>
      <c r="C2577" s="3">
        <v>141.0</v>
      </c>
      <c r="D2577" s="3">
        <f>IFERROR(__xludf.DUMMYFUNCTION("IFERROR(
IF(REGEXMATCH(LOWER(O2577),""k""),
VALUE(REGEXEXTRACT(O2577,""[0-9]+""))*1000,
VALUE(REGEXEXTRACT(O2577,""[0-9]+""))
),
0
)"),0.0)</f>
        <v>0</v>
      </c>
      <c r="E2577" s="1" t="s">
        <v>11</v>
      </c>
      <c r="F2577" s="1" t="s">
        <v>20</v>
      </c>
      <c r="G2577" s="4" t="b">
        <f t="shared" si="2"/>
        <v>1</v>
      </c>
      <c r="H2577" s="1" t="str">
        <f t="shared" si="3"/>
        <v>Currently Unavailable</v>
      </c>
      <c r="I2577" s="1" t="str">
        <f t="shared" si="4"/>
        <v>No Badges</v>
      </c>
      <c r="J2577" s="3">
        <f t="shared" si="5"/>
        <v>0</v>
      </c>
    </row>
    <row r="2578">
      <c r="A2578" s="1" t="s">
        <v>2065</v>
      </c>
      <c r="B2578" s="3" t="str">
        <f t="shared" si="1"/>
        <v>Unavailable</v>
      </c>
      <c r="C2578" s="5">
        <v>3454.0</v>
      </c>
      <c r="D2578" s="3">
        <f>IFERROR(__xludf.DUMMYFUNCTION("IFERROR(
IF(REGEXMATCH(LOWER(O2578),""k""),
VALUE(REGEXEXTRACT(O2578,""[0-9]+""))*1000,
VALUE(REGEXEXTRACT(O2578,""[0-9]+""))
),
0
)"),0.0)</f>
        <v>0</v>
      </c>
      <c r="E2578" s="1" t="s">
        <v>11</v>
      </c>
      <c r="F2578" s="1" t="s">
        <v>20</v>
      </c>
      <c r="G2578" s="4" t="b">
        <f t="shared" si="2"/>
        <v>1</v>
      </c>
      <c r="H2578" s="1" t="str">
        <f t="shared" si="3"/>
        <v>Currently Unavailable</v>
      </c>
      <c r="I2578" s="1" t="str">
        <f t="shared" si="4"/>
        <v>No Badges</v>
      </c>
      <c r="J2578" s="3">
        <f t="shared" si="5"/>
        <v>0</v>
      </c>
    </row>
    <row r="2579">
      <c r="A2579" s="1" t="s">
        <v>1285</v>
      </c>
      <c r="B2579" s="3" t="str">
        <f t="shared" si="1"/>
        <v>Unavailable</v>
      </c>
      <c r="C2579" s="5">
        <v>3520.0</v>
      </c>
      <c r="D2579" s="3">
        <f>IFERROR(__xludf.DUMMYFUNCTION("IFERROR(
IF(REGEXMATCH(LOWER(O2579),""k""),
VALUE(REGEXEXTRACT(O2579,""[0-9]+""))*1000,
VALUE(REGEXEXTRACT(O2579,""[0-9]+""))
),
0
)"),0.0)</f>
        <v>0</v>
      </c>
      <c r="E2579" s="1" t="s">
        <v>11</v>
      </c>
      <c r="F2579" s="1" t="s">
        <v>12</v>
      </c>
      <c r="G2579" s="4" t="b">
        <f t="shared" si="2"/>
        <v>1</v>
      </c>
      <c r="H2579" s="1" t="str">
        <f t="shared" si="3"/>
        <v>Currently Unavailable</v>
      </c>
      <c r="I2579" s="1" t="str">
        <f t="shared" si="4"/>
        <v>No Badges</v>
      </c>
      <c r="J2579" s="3">
        <f t="shared" si="5"/>
        <v>0</v>
      </c>
    </row>
    <row r="2580">
      <c r="A2580" s="1" t="s">
        <v>2066</v>
      </c>
      <c r="B2580" s="3" t="str">
        <f t="shared" si="1"/>
        <v>Unavailable</v>
      </c>
      <c r="C2580" s="5">
        <v>3480.0</v>
      </c>
      <c r="D2580" s="3">
        <f>IFERROR(__xludf.DUMMYFUNCTION("IFERROR(
IF(REGEXMATCH(LOWER(O2580),""k""),
VALUE(REGEXEXTRACT(O2580,""[0-9]+""))*1000,
VALUE(REGEXEXTRACT(O2580,""[0-9]+""))
),
0
)"),0.0)</f>
        <v>0</v>
      </c>
      <c r="E2580" s="1" t="s">
        <v>11</v>
      </c>
      <c r="F2580" s="1" t="s">
        <v>20</v>
      </c>
      <c r="G2580" s="4" t="b">
        <f t="shared" si="2"/>
        <v>1</v>
      </c>
      <c r="H2580" s="1" t="str">
        <f t="shared" si="3"/>
        <v>Currently Unavailable</v>
      </c>
      <c r="I2580" s="1" t="str">
        <f t="shared" si="4"/>
        <v>No Badges</v>
      </c>
      <c r="J2580" s="3">
        <f t="shared" si="5"/>
        <v>0</v>
      </c>
    </row>
    <row r="2581">
      <c r="A2581" s="1" t="s">
        <v>2067</v>
      </c>
      <c r="B2581" s="3" t="str">
        <f t="shared" si="1"/>
        <v>Unavailable</v>
      </c>
      <c r="C2581" s="5">
        <v>7180.0</v>
      </c>
      <c r="D2581" s="3">
        <f>IFERROR(__xludf.DUMMYFUNCTION("IFERROR(
IF(REGEXMATCH(LOWER(O2581),""k""),
VALUE(REGEXEXTRACT(O2581,""[0-9]+""))*1000,
VALUE(REGEXEXTRACT(O2581,""[0-9]+""))
),
0
)"),0.0)</f>
        <v>0</v>
      </c>
      <c r="E2581" s="1" t="s">
        <v>11</v>
      </c>
      <c r="F2581" s="1" t="s">
        <v>20</v>
      </c>
      <c r="G2581" s="4" t="b">
        <f t="shared" si="2"/>
        <v>1</v>
      </c>
      <c r="H2581" s="1" t="str">
        <f t="shared" si="3"/>
        <v>Currently Unavailable</v>
      </c>
      <c r="I2581" s="1" t="str">
        <f t="shared" si="4"/>
        <v>No Badges</v>
      </c>
      <c r="J2581" s="3">
        <f t="shared" si="5"/>
        <v>0</v>
      </c>
    </row>
    <row r="2582">
      <c r="A2582" s="1" t="s">
        <v>2068</v>
      </c>
      <c r="B2582" s="3" t="str">
        <f t="shared" si="1"/>
        <v>Unavailable</v>
      </c>
      <c r="C2582" s="5">
        <v>1398.0</v>
      </c>
      <c r="D2582" s="3">
        <f>IFERROR(__xludf.DUMMYFUNCTION("IFERROR(
IF(REGEXMATCH(LOWER(O2582),""k""),
VALUE(REGEXEXTRACT(O2582,""[0-9]+""))*1000,
VALUE(REGEXEXTRACT(O2582,""[0-9]+""))
),
0
)"),0.0)</f>
        <v>0</v>
      </c>
      <c r="E2582" s="1" t="s">
        <v>11</v>
      </c>
      <c r="F2582" s="1" t="s">
        <v>20</v>
      </c>
      <c r="G2582" s="4" t="b">
        <f t="shared" si="2"/>
        <v>1</v>
      </c>
      <c r="H2582" s="1" t="str">
        <f t="shared" si="3"/>
        <v>Currently Unavailable</v>
      </c>
      <c r="I2582" s="1" t="str">
        <f t="shared" si="4"/>
        <v>No Badges</v>
      </c>
      <c r="J2582" s="3">
        <f t="shared" si="5"/>
        <v>0</v>
      </c>
    </row>
    <row r="2583">
      <c r="A2583" s="1" t="s">
        <v>2069</v>
      </c>
      <c r="B2583" s="3" t="str">
        <f t="shared" si="1"/>
        <v>Unavailable</v>
      </c>
      <c r="C2583" s="3">
        <v>347.0</v>
      </c>
      <c r="D2583" s="3">
        <f>IFERROR(__xludf.DUMMYFUNCTION("IFERROR(
IF(REGEXMATCH(LOWER(O2583),""k""),
VALUE(REGEXEXTRACT(O2583,""[0-9]+""))*1000,
VALUE(REGEXEXTRACT(O2583,""[0-9]+""))
),
0
)"),0.0)</f>
        <v>0</v>
      </c>
      <c r="E2583" s="1" t="s">
        <v>11</v>
      </c>
      <c r="F2583" s="1" t="s">
        <v>20</v>
      </c>
      <c r="G2583" s="4" t="b">
        <f t="shared" si="2"/>
        <v>1</v>
      </c>
      <c r="H2583" s="1" t="str">
        <f t="shared" si="3"/>
        <v>Currently Unavailable</v>
      </c>
      <c r="I2583" s="1" t="str">
        <f t="shared" si="4"/>
        <v>No Badges</v>
      </c>
      <c r="J2583" s="3">
        <f t="shared" si="5"/>
        <v>0</v>
      </c>
    </row>
    <row r="2584">
      <c r="A2584" s="1" t="s">
        <v>2070</v>
      </c>
      <c r="B2584" s="3" t="str">
        <f t="shared" si="1"/>
        <v>Unavailable</v>
      </c>
      <c r="C2584" s="5">
        <v>2624.0</v>
      </c>
      <c r="D2584" s="3">
        <f>IFERROR(__xludf.DUMMYFUNCTION("IFERROR(
IF(REGEXMATCH(LOWER(O2584),""k""),
VALUE(REGEXEXTRACT(O2584,""[0-9]+""))*1000,
VALUE(REGEXEXTRACT(O2584,""[0-9]+""))
),
0
)"),0.0)</f>
        <v>0</v>
      </c>
      <c r="E2584" s="1" t="s">
        <v>11</v>
      </c>
      <c r="F2584" s="1" t="s">
        <v>20</v>
      </c>
      <c r="G2584" s="4" t="b">
        <f t="shared" si="2"/>
        <v>1</v>
      </c>
      <c r="H2584" s="1" t="str">
        <f t="shared" si="3"/>
        <v>Currently Unavailable</v>
      </c>
      <c r="I2584" s="1" t="str">
        <f t="shared" si="4"/>
        <v>No Badges</v>
      </c>
      <c r="J2584" s="3">
        <f t="shared" si="5"/>
        <v>0</v>
      </c>
    </row>
    <row r="2585">
      <c r="A2585" s="1" t="s">
        <v>67</v>
      </c>
      <c r="B2585" s="3" t="str">
        <f t="shared" si="1"/>
        <v>Unavailable</v>
      </c>
      <c r="C2585" s="3">
        <v>264.0</v>
      </c>
      <c r="D2585" s="3">
        <f>IFERROR(__xludf.DUMMYFUNCTION("IFERROR(
IF(REGEXMATCH(LOWER(O2585),""k""),
VALUE(REGEXEXTRACT(O2585,""[0-9]+""))*1000,
VALUE(REGEXEXTRACT(O2585,""[0-9]+""))
),
0
)"),0.0)</f>
        <v>0</v>
      </c>
      <c r="E2585" s="1" t="s">
        <v>11</v>
      </c>
      <c r="F2585" s="1" t="s">
        <v>12</v>
      </c>
      <c r="G2585" s="4" t="b">
        <f t="shared" si="2"/>
        <v>1</v>
      </c>
      <c r="H2585" s="1" t="str">
        <f t="shared" si="3"/>
        <v>Currently Unavailable</v>
      </c>
      <c r="I2585" s="1" t="str">
        <f t="shared" si="4"/>
        <v>No Badges</v>
      </c>
      <c r="J2585" s="3">
        <f t="shared" si="5"/>
        <v>0</v>
      </c>
    </row>
    <row r="2586">
      <c r="A2586" s="1" t="s">
        <v>2071</v>
      </c>
      <c r="B2586" s="3" t="str">
        <f t="shared" si="1"/>
        <v>Unavailable</v>
      </c>
      <c r="C2586" s="5">
        <v>4627.0</v>
      </c>
      <c r="D2586" s="3">
        <f>IFERROR(__xludf.DUMMYFUNCTION("IFERROR(
IF(REGEXMATCH(LOWER(O2586),""k""),
VALUE(REGEXEXTRACT(O2586,""[0-9]+""))*1000,
VALUE(REGEXEXTRACT(O2586,""[0-9]+""))
),
0
)"),0.0)</f>
        <v>0</v>
      </c>
      <c r="E2586" s="1" t="s">
        <v>11</v>
      </c>
      <c r="F2586" s="1" t="s">
        <v>20</v>
      </c>
      <c r="G2586" s="4" t="b">
        <f t="shared" si="2"/>
        <v>1</v>
      </c>
      <c r="H2586" s="1" t="str">
        <f t="shared" si="3"/>
        <v>Currently Unavailable</v>
      </c>
      <c r="I2586" s="1" t="str">
        <f t="shared" si="4"/>
        <v>No Badges</v>
      </c>
      <c r="J2586" s="3">
        <f t="shared" si="5"/>
        <v>0</v>
      </c>
    </row>
    <row r="2587">
      <c r="A2587" s="1" t="s">
        <v>701</v>
      </c>
      <c r="B2587" s="3" t="str">
        <f t="shared" si="1"/>
        <v>Unavailable</v>
      </c>
      <c r="C2587" s="3">
        <v>8.0</v>
      </c>
      <c r="D2587" s="3">
        <f>IFERROR(__xludf.DUMMYFUNCTION("IFERROR(
IF(REGEXMATCH(LOWER(O2587),""k""),
VALUE(REGEXEXTRACT(O2587,""[0-9]+""))*1000,
VALUE(REGEXEXTRACT(O2587,""[0-9]+""))
),
0
)"),0.0)</f>
        <v>0</v>
      </c>
      <c r="E2587" s="1" t="s">
        <v>11</v>
      </c>
      <c r="F2587" s="1" t="s">
        <v>12</v>
      </c>
      <c r="G2587" s="4" t="b">
        <f t="shared" si="2"/>
        <v>1</v>
      </c>
      <c r="H2587" s="1" t="str">
        <f t="shared" si="3"/>
        <v>Currently Unavailable</v>
      </c>
      <c r="I2587" s="1" t="str">
        <f t="shared" si="4"/>
        <v>No Badges</v>
      </c>
      <c r="J2587" s="3">
        <f t="shared" si="5"/>
        <v>0</v>
      </c>
    </row>
    <row r="2588">
      <c r="A2588" s="1" t="s">
        <v>2072</v>
      </c>
      <c r="B2588" s="3" t="str">
        <f t="shared" si="1"/>
        <v>Unavailable</v>
      </c>
      <c r="C2588" s="5">
        <v>4878.0</v>
      </c>
      <c r="D2588" s="3">
        <f>IFERROR(__xludf.DUMMYFUNCTION("IFERROR(
IF(REGEXMATCH(LOWER(O2588),""k""),
VALUE(REGEXEXTRACT(O2588,""[0-9]+""))*1000,
VALUE(REGEXEXTRACT(O2588,""[0-9]+""))
),
0
)"),0.0)</f>
        <v>0</v>
      </c>
      <c r="E2588" s="1" t="s">
        <v>11</v>
      </c>
      <c r="F2588" s="1" t="s">
        <v>20</v>
      </c>
      <c r="G2588" s="4" t="b">
        <f t="shared" si="2"/>
        <v>1</v>
      </c>
      <c r="H2588" s="1" t="str">
        <f t="shared" si="3"/>
        <v>Currently Unavailable</v>
      </c>
      <c r="I2588" s="1" t="str">
        <f t="shared" si="4"/>
        <v>No Badges</v>
      </c>
      <c r="J2588" s="3">
        <f t="shared" si="5"/>
        <v>0</v>
      </c>
    </row>
    <row r="2589">
      <c r="A2589" s="1" t="s">
        <v>1284</v>
      </c>
      <c r="B2589" s="3" t="str">
        <f t="shared" si="1"/>
        <v>Unavailable</v>
      </c>
      <c r="C2589" s="3">
        <v>172.0</v>
      </c>
      <c r="D2589" s="3">
        <f>IFERROR(__xludf.DUMMYFUNCTION("IFERROR(
IF(REGEXMATCH(LOWER(O2589),""k""),
VALUE(REGEXEXTRACT(O2589,""[0-9]+""))*1000,
VALUE(REGEXEXTRACT(O2589,""[0-9]+""))
),
0
)"),0.0)</f>
        <v>0</v>
      </c>
      <c r="E2589" s="1" t="s">
        <v>11</v>
      </c>
      <c r="F2589" s="1" t="s">
        <v>12</v>
      </c>
      <c r="G2589" s="4" t="b">
        <f t="shared" si="2"/>
        <v>1</v>
      </c>
      <c r="H2589" s="1" t="str">
        <f t="shared" si="3"/>
        <v>Currently Unavailable</v>
      </c>
      <c r="I2589" s="1" t="str">
        <f t="shared" si="4"/>
        <v>No Badges</v>
      </c>
      <c r="J2589" s="3">
        <f t="shared" si="5"/>
        <v>0</v>
      </c>
    </row>
    <row r="2590">
      <c r="A2590" s="1" t="s">
        <v>2073</v>
      </c>
      <c r="B2590" s="3" t="str">
        <f t="shared" si="1"/>
        <v>Unavailable</v>
      </c>
      <c r="C2590" s="5">
        <v>36519.0</v>
      </c>
      <c r="D2590" s="3">
        <f>IFERROR(__xludf.DUMMYFUNCTION("IFERROR(
IF(REGEXMATCH(LOWER(O2590),""k""),
VALUE(REGEXEXTRACT(O2590,""[0-9]+""))*1000,
VALUE(REGEXEXTRACT(O2590,""[0-9]+""))
),
0
)"),0.0)</f>
        <v>0</v>
      </c>
      <c r="E2590" s="1" t="s">
        <v>11</v>
      </c>
      <c r="F2590" s="1" t="s">
        <v>20</v>
      </c>
      <c r="G2590" s="4" t="b">
        <f t="shared" si="2"/>
        <v>1</v>
      </c>
      <c r="H2590" s="1" t="str">
        <f t="shared" si="3"/>
        <v>Currently Unavailable</v>
      </c>
      <c r="I2590" s="1" t="str">
        <f t="shared" si="4"/>
        <v>No Badges</v>
      </c>
      <c r="J2590" s="3">
        <f t="shared" si="5"/>
        <v>0</v>
      </c>
    </row>
    <row r="2591">
      <c r="A2591" s="1" t="s">
        <v>2074</v>
      </c>
      <c r="B2591" s="3" t="str">
        <f t="shared" si="1"/>
        <v>Unavailable</v>
      </c>
      <c r="C2591" s="5">
        <v>5407.0</v>
      </c>
      <c r="D2591" s="3">
        <f>IFERROR(__xludf.DUMMYFUNCTION("IFERROR(
IF(REGEXMATCH(LOWER(O2591),""k""),
VALUE(REGEXEXTRACT(O2591,""[0-9]+""))*1000,
VALUE(REGEXEXTRACT(O2591,""[0-9]+""))
),
0
)"),0.0)</f>
        <v>0</v>
      </c>
      <c r="E2591" s="1" t="s">
        <v>11</v>
      </c>
      <c r="F2591" s="1" t="s">
        <v>20</v>
      </c>
      <c r="G2591" s="4" t="b">
        <f t="shared" si="2"/>
        <v>1</v>
      </c>
      <c r="H2591" s="1" t="str">
        <f t="shared" si="3"/>
        <v>Currently Unavailable</v>
      </c>
      <c r="I2591" s="1" t="str">
        <f t="shared" si="4"/>
        <v>No Badges</v>
      </c>
      <c r="J2591" s="3">
        <f t="shared" si="5"/>
        <v>0</v>
      </c>
    </row>
    <row r="2592">
      <c r="A2592" s="1" t="s">
        <v>2075</v>
      </c>
      <c r="B2592" s="3" t="str">
        <f t="shared" si="1"/>
        <v>Unavailable</v>
      </c>
      <c r="C2592" s="5">
        <v>10888.0</v>
      </c>
      <c r="D2592" s="3">
        <f>IFERROR(__xludf.DUMMYFUNCTION("IFERROR(
IF(REGEXMATCH(LOWER(O2592),""k""),
VALUE(REGEXEXTRACT(O2592,""[0-9]+""))*1000,
VALUE(REGEXEXTRACT(O2592,""[0-9]+""))
),
0
)"),0.0)</f>
        <v>0</v>
      </c>
      <c r="E2592" s="1" t="s">
        <v>11</v>
      </c>
      <c r="F2592" s="1" t="s">
        <v>20</v>
      </c>
      <c r="G2592" s="4" t="b">
        <f t="shared" si="2"/>
        <v>1</v>
      </c>
      <c r="H2592" s="1" t="str">
        <f t="shared" si="3"/>
        <v>Currently Unavailable</v>
      </c>
      <c r="I2592" s="1" t="str">
        <f t="shared" si="4"/>
        <v>No Badges</v>
      </c>
      <c r="J2592" s="3">
        <f t="shared" si="5"/>
        <v>0</v>
      </c>
    </row>
    <row r="2593">
      <c r="A2593" s="1" t="s">
        <v>2076</v>
      </c>
      <c r="B2593" s="3" t="str">
        <f t="shared" si="1"/>
        <v>Unavailable</v>
      </c>
      <c r="C2593" s="5">
        <v>141679.0</v>
      </c>
      <c r="D2593" s="3">
        <f>IFERROR(__xludf.DUMMYFUNCTION("IFERROR(
IF(REGEXMATCH(LOWER(O2593),""k""),
VALUE(REGEXEXTRACT(O2593,""[0-9]+""))*1000,
VALUE(REGEXEXTRACT(O2593,""[0-9]+""))
),
0
)"),0.0)</f>
        <v>0</v>
      </c>
      <c r="E2593" s="1" t="s">
        <v>11</v>
      </c>
      <c r="F2593" s="1" t="s">
        <v>20</v>
      </c>
      <c r="G2593" s="4" t="b">
        <f t="shared" si="2"/>
        <v>1</v>
      </c>
      <c r="H2593" s="1" t="str">
        <f t="shared" si="3"/>
        <v>Currently Unavailable</v>
      </c>
      <c r="I2593" s="1" t="str">
        <f t="shared" si="4"/>
        <v>No Badges</v>
      </c>
      <c r="J2593" s="3">
        <f t="shared" si="5"/>
        <v>0</v>
      </c>
    </row>
    <row r="2594">
      <c r="A2594" s="1" t="s">
        <v>2077</v>
      </c>
      <c r="B2594" s="3" t="str">
        <f t="shared" si="1"/>
        <v>Unavailable</v>
      </c>
      <c r="C2594" s="5">
        <v>10553.0</v>
      </c>
      <c r="D2594" s="3">
        <f>IFERROR(__xludf.DUMMYFUNCTION("IFERROR(
IF(REGEXMATCH(LOWER(O2594),""k""),
VALUE(REGEXEXTRACT(O2594,""[0-9]+""))*1000,
VALUE(REGEXEXTRACT(O2594,""[0-9]+""))
),
0
)"),0.0)</f>
        <v>0</v>
      </c>
      <c r="E2594" s="1" t="s">
        <v>11</v>
      </c>
      <c r="F2594" s="1" t="s">
        <v>20</v>
      </c>
      <c r="G2594" s="4" t="b">
        <f t="shared" si="2"/>
        <v>1</v>
      </c>
      <c r="H2594" s="1" t="str">
        <f t="shared" si="3"/>
        <v>Currently Unavailable</v>
      </c>
      <c r="I2594" s="1" t="str">
        <f t="shared" si="4"/>
        <v>No Badges</v>
      </c>
      <c r="J2594" s="3">
        <f t="shared" si="5"/>
        <v>0</v>
      </c>
    </row>
    <row r="2595">
      <c r="A2595" s="1" t="s">
        <v>2078</v>
      </c>
      <c r="B2595" s="3" t="str">
        <f t="shared" si="1"/>
        <v>Unavailable</v>
      </c>
      <c r="C2595" s="5">
        <v>315834.0</v>
      </c>
      <c r="D2595" s="3">
        <f>IFERROR(__xludf.DUMMYFUNCTION("IFERROR(
IF(REGEXMATCH(LOWER(O2595),""k""),
VALUE(REGEXEXTRACT(O2595,""[0-9]+""))*1000,
VALUE(REGEXEXTRACT(O2595,""[0-9]+""))
),
0
)"),0.0)</f>
        <v>0</v>
      </c>
      <c r="E2595" s="1" t="s">
        <v>11</v>
      </c>
      <c r="F2595" s="1" t="s">
        <v>20</v>
      </c>
      <c r="G2595" s="4" t="b">
        <f t="shared" si="2"/>
        <v>1</v>
      </c>
      <c r="H2595" s="1" t="str">
        <f t="shared" si="3"/>
        <v>Currently Unavailable</v>
      </c>
      <c r="I2595" s="1" t="str">
        <f t="shared" si="4"/>
        <v>No Badges</v>
      </c>
      <c r="J2595" s="3">
        <f t="shared" si="5"/>
        <v>0</v>
      </c>
    </row>
    <row r="2596">
      <c r="A2596" s="1" t="s">
        <v>2079</v>
      </c>
      <c r="B2596" s="3" t="str">
        <f t="shared" si="1"/>
        <v>Unavailable</v>
      </c>
      <c r="C2596" s="5">
        <v>2512.0</v>
      </c>
      <c r="D2596" s="3">
        <f>IFERROR(__xludf.DUMMYFUNCTION("IFERROR(
IF(REGEXMATCH(LOWER(O2596),""k""),
VALUE(REGEXEXTRACT(O2596,""[0-9]+""))*1000,
VALUE(REGEXEXTRACT(O2596,""[0-9]+""))
),
0
)"),0.0)</f>
        <v>0</v>
      </c>
      <c r="E2596" s="1" t="s">
        <v>11</v>
      </c>
      <c r="F2596" s="1" t="s">
        <v>20</v>
      </c>
      <c r="G2596" s="4" t="b">
        <f t="shared" si="2"/>
        <v>1</v>
      </c>
      <c r="H2596" s="1" t="str">
        <f t="shared" si="3"/>
        <v>Currently Unavailable</v>
      </c>
      <c r="I2596" s="1" t="str">
        <f t="shared" si="4"/>
        <v>No Badges</v>
      </c>
      <c r="J2596" s="3">
        <f t="shared" si="5"/>
        <v>0</v>
      </c>
    </row>
    <row r="2597">
      <c r="A2597" s="1" t="s">
        <v>2080</v>
      </c>
      <c r="B2597" s="3" t="str">
        <f t="shared" si="1"/>
        <v>Unavailable</v>
      </c>
      <c r="C2597" s="5">
        <v>1109.0</v>
      </c>
      <c r="D2597" s="3">
        <f>IFERROR(__xludf.DUMMYFUNCTION("IFERROR(
IF(REGEXMATCH(LOWER(O2597),""k""),
VALUE(REGEXEXTRACT(O2597,""[0-9]+""))*1000,
VALUE(REGEXEXTRACT(O2597,""[0-9]+""))
),
0
)"),0.0)</f>
        <v>0</v>
      </c>
      <c r="E2597" s="1" t="s">
        <v>11</v>
      </c>
      <c r="F2597" s="1" t="s">
        <v>20</v>
      </c>
      <c r="G2597" s="4" t="b">
        <f t="shared" si="2"/>
        <v>1</v>
      </c>
      <c r="H2597" s="1" t="str">
        <f t="shared" si="3"/>
        <v>Currently Unavailable</v>
      </c>
      <c r="I2597" s="1" t="str">
        <f t="shared" si="4"/>
        <v>No Badges</v>
      </c>
      <c r="J2597" s="3">
        <f t="shared" si="5"/>
        <v>0</v>
      </c>
    </row>
    <row r="2598">
      <c r="A2598" s="1" t="s">
        <v>1285</v>
      </c>
      <c r="B2598" s="3" t="str">
        <f t="shared" si="1"/>
        <v>Unavailable</v>
      </c>
      <c r="C2598" s="5">
        <v>3520.0</v>
      </c>
      <c r="D2598" s="3">
        <f>IFERROR(__xludf.DUMMYFUNCTION("IFERROR(
IF(REGEXMATCH(LOWER(O2598),""k""),
VALUE(REGEXEXTRACT(O2598,""[0-9]+""))*1000,
VALUE(REGEXEXTRACT(O2598,""[0-9]+""))
),
0
)"),0.0)</f>
        <v>0</v>
      </c>
      <c r="E2598" s="1" t="s">
        <v>11</v>
      </c>
      <c r="F2598" s="1" t="s">
        <v>12</v>
      </c>
      <c r="G2598" s="4" t="b">
        <f t="shared" si="2"/>
        <v>1</v>
      </c>
      <c r="H2598" s="1" t="str">
        <f t="shared" si="3"/>
        <v>Currently Unavailable</v>
      </c>
      <c r="I2598" s="1" t="str">
        <f t="shared" si="4"/>
        <v>No Badges</v>
      </c>
      <c r="J2598" s="3">
        <f t="shared" si="5"/>
        <v>0</v>
      </c>
    </row>
    <row r="2599">
      <c r="A2599" s="1" t="s">
        <v>1284</v>
      </c>
      <c r="B2599" s="3" t="str">
        <f t="shared" si="1"/>
        <v>Unavailable</v>
      </c>
      <c r="C2599" s="3">
        <v>172.0</v>
      </c>
      <c r="D2599" s="3">
        <f>IFERROR(__xludf.DUMMYFUNCTION("IFERROR(
IF(REGEXMATCH(LOWER(O2599),""k""),
VALUE(REGEXEXTRACT(O2599,""[0-9]+""))*1000,
VALUE(REGEXEXTRACT(O2599,""[0-9]+""))
),
0
)"),0.0)</f>
        <v>0</v>
      </c>
      <c r="E2599" s="1" t="s">
        <v>11</v>
      </c>
      <c r="F2599" s="1" t="s">
        <v>12</v>
      </c>
      <c r="G2599" s="4" t="b">
        <f t="shared" si="2"/>
        <v>1</v>
      </c>
      <c r="H2599" s="1" t="str">
        <f t="shared" si="3"/>
        <v>Currently Unavailable</v>
      </c>
      <c r="I2599" s="1" t="str">
        <f t="shared" si="4"/>
        <v>No Badges</v>
      </c>
      <c r="J2599" s="3">
        <f t="shared" si="5"/>
        <v>0</v>
      </c>
    </row>
    <row r="2600">
      <c r="A2600" s="1" t="s">
        <v>2081</v>
      </c>
      <c r="B2600" s="3" t="str">
        <f t="shared" si="1"/>
        <v>Unavailable</v>
      </c>
      <c r="C2600" s="3">
        <v>1.0</v>
      </c>
      <c r="D2600" s="3">
        <f>IFERROR(__xludf.DUMMYFUNCTION("IFERROR(
IF(REGEXMATCH(LOWER(O2600),""k""),
VALUE(REGEXEXTRACT(O2600,""[0-9]+""))*1000,
VALUE(REGEXEXTRACT(O2600,""[0-9]+""))
),
0
)"),0.0)</f>
        <v>0</v>
      </c>
      <c r="E2600" s="1" t="s">
        <v>11</v>
      </c>
      <c r="F2600" s="1" t="s">
        <v>12</v>
      </c>
      <c r="G2600" s="4" t="b">
        <f t="shared" si="2"/>
        <v>1</v>
      </c>
      <c r="H2600" s="1" t="str">
        <f t="shared" si="3"/>
        <v>Currently Unavailable</v>
      </c>
      <c r="I2600" s="1" t="str">
        <f t="shared" si="4"/>
        <v>No Badges</v>
      </c>
      <c r="J2600" s="3">
        <f t="shared" si="5"/>
        <v>0</v>
      </c>
    </row>
    <row r="2601">
      <c r="A2601" s="1" t="s">
        <v>2082</v>
      </c>
      <c r="B2601" s="1" t="str">
        <f t="shared" si="1"/>
        <v>Unavailable</v>
      </c>
      <c r="C2601" s="1"/>
      <c r="D2601" s="3">
        <f>IFERROR(__xludf.DUMMYFUNCTION("IFERROR(
IF(REGEXMATCH(LOWER(O2601),""k""),
VALUE(REGEXEXTRACT(O2601,""[0-9]+""))*1000,
VALUE(REGEXEXTRACT(O2601,""[0-9]+""))
),
0
)"),0.0)</f>
        <v>0</v>
      </c>
      <c r="E2601" s="1" t="s">
        <v>11</v>
      </c>
      <c r="F2601" s="1" t="s">
        <v>12</v>
      </c>
      <c r="G2601" s="4" t="b">
        <f t="shared" si="2"/>
        <v>1</v>
      </c>
      <c r="H2601" s="1" t="str">
        <f t="shared" si="3"/>
        <v>Currently Unavailable</v>
      </c>
      <c r="I2601" s="1" t="str">
        <f t="shared" si="4"/>
        <v>No Badges</v>
      </c>
      <c r="J2601" s="3">
        <f t="shared" si="5"/>
        <v>0</v>
      </c>
    </row>
    <row r="2602">
      <c r="A2602" s="1" t="s">
        <v>2083</v>
      </c>
      <c r="B2602" s="1" t="str">
        <f t="shared" si="1"/>
        <v>Unavailable</v>
      </c>
      <c r="C2602" s="1"/>
      <c r="D2602" s="3">
        <f>IFERROR(__xludf.DUMMYFUNCTION("IFERROR(
IF(REGEXMATCH(LOWER(O2602),""k""),
VALUE(REGEXEXTRACT(O2602,""[0-9]+""))*1000,
VALUE(REGEXEXTRACT(O2602,""[0-9]+""))
),
0
)"),0.0)</f>
        <v>0</v>
      </c>
      <c r="E2602" s="1" t="s">
        <v>11</v>
      </c>
      <c r="F2602" s="1" t="s">
        <v>12</v>
      </c>
      <c r="G2602" s="4" t="b">
        <f t="shared" si="2"/>
        <v>1</v>
      </c>
      <c r="H2602" s="1" t="str">
        <f t="shared" si="3"/>
        <v>Currently Unavailable</v>
      </c>
      <c r="I2602" s="1" t="str">
        <f t="shared" si="4"/>
        <v>No Badges</v>
      </c>
      <c r="J2602" s="3">
        <f t="shared" si="5"/>
        <v>0</v>
      </c>
    </row>
    <row r="2603">
      <c r="A2603" s="1" t="s">
        <v>2084</v>
      </c>
      <c r="B2603" s="3" t="str">
        <f t="shared" si="1"/>
        <v>Unavailable</v>
      </c>
      <c r="C2603" s="5">
        <v>4395.0</v>
      </c>
      <c r="D2603" s="3">
        <f>IFERROR(__xludf.DUMMYFUNCTION("IFERROR(
IF(REGEXMATCH(LOWER(O2603),""k""),
VALUE(REGEXEXTRACT(O2603,""[0-9]+""))*1000,
VALUE(REGEXEXTRACT(O2603,""[0-9]+""))
),
0
)"),0.0)</f>
        <v>0</v>
      </c>
      <c r="E2603" s="1" t="s">
        <v>11</v>
      </c>
      <c r="F2603" s="1" t="s">
        <v>20</v>
      </c>
      <c r="G2603" s="4" t="b">
        <f t="shared" si="2"/>
        <v>1</v>
      </c>
      <c r="H2603" s="1" t="str">
        <f t="shared" si="3"/>
        <v>Currently Unavailable</v>
      </c>
      <c r="I2603" s="1" t="str">
        <f t="shared" si="4"/>
        <v>No Badges</v>
      </c>
      <c r="J2603" s="3">
        <f t="shared" si="5"/>
        <v>0</v>
      </c>
    </row>
    <row r="2604">
      <c r="A2604" s="1" t="s">
        <v>2085</v>
      </c>
      <c r="B2604" s="3" t="str">
        <f t="shared" si="1"/>
        <v>Unavailable</v>
      </c>
      <c r="C2604" s="3">
        <v>846.0</v>
      </c>
      <c r="D2604" s="3">
        <f>IFERROR(__xludf.DUMMYFUNCTION("IFERROR(
IF(REGEXMATCH(LOWER(O2604),""k""),
VALUE(REGEXEXTRACT(O2604,""[0-9]+""))*1000,
VALUE(REGEXEXTRACT(O2604,""[0-9]+""))
),
0
)"),0.0)</f>
        <v>0</v>
      </c>
      <c r="E2604" s="1" t="s">
        <v>11</v>
      </c>
      <c r="F2604" s="1" t="s">
        <v>20</v>
      </c>
      <c r="G2604" s="4" t="b">
        <f t="shared" si="2"/>
        <v>1</v>
      </c>
      <c r="H2604" s="1" t="str">
        <f t="shared" si="3"/>
        <v>Currently Unavailable</v>
      </c>
      <c r="I2604" s="1" t="str">
        <f t="shared" si="4"/>
        <v>No Badges</v>
      </c>
      <c r="J2604" s="3">
        <f t="shared" si="5"/>
        <v>0</v>
      </c>
    </row>
    <row r="2605">
      <c r="A2605" s="1" t="s">
        <v>69</v>
      </c>
      <c r="B2605" s="3" t="str">
        <f t="shared" si="1"/>
        <v>Unavailable</v>
      </c>
      <c r="C2605" s="3">
        <v>45.0</v>
      </c>
      <c r="D2605" s="3">
        <f>IFERROR(__xludf.DUMMYFUNCTION("IFERROR(
IF(REGEXMATCH(LOWER(O2605),""k""),
VALUE(REGEXEXTRACT(O2605,""[0-9]+""))*1000,
VALUE(REGEXEXTRACT(O2605,""[0-9]+""))
),
0
)"),0.0)</f>
        <v>0</v>
      </c>
      <c r="E2605" s="1" t="s">
        <v>11</v>
      </c>
      <c r="F2605" s="1" t="s">
        <v>12</v>
      </c>
      <c r="G2605" s="4" t="b">
        <f t="shared" si="2"/>
        <v>1</v>
      </c>
      <c r="H2605" s="1" t="str">
        <f t="shared" si="3"/>
        <v>Currently Unavailable</v>
      </c>
      <c r="I2605" s="1" t="str">
        <f t="shared" si="4"/>
        <v>No Badges</v>
      </c>
      <c r="J2605" s="3">
        <f t="shared" si="5"/>
        <v>0</v>
      </c>
    </row>
    <row r="2606">
      <c r="A2606" s="1" t="s">
        <v>2086</v>
      </c>
      <c r="B2606" s="3" t="str">
        <f t="shared" si="1"/>
        <v>Unavailable</v>
      </c>
      <c r="C2606" s="5">
        <v>17839.0</v>
      </c>
      <c r="D2606" s="3">
        <f>IFERROR(__xludf.DUMMYFUNCTION("IFERROR(
IF(REGEXMATCH(LOWER(O2606),""k""),
VALUE(REGEXEXTRACT(O2606,""[0-9]+""))*1000,
VALUE(REGEXEXTRACT(O2606,""[0-9]+""))
),
0
)"),0.0)</f>
        <v>0</v>
      </c>
      <c r="E2606" s="1" t="s">
        <v>11</v>
      </c>
      <c r="F2606" s="1" t="s">
        <v>20</v>
      </c>
      <c r="G2606" s="4" t="b">
        <f t="shared" si="2"/>
        <v>1</v>
      </c>
      <c r="H2606" s="1" t="str">
        <f t="shared" si="3"/>
        <v>Currently Unavailable</v>
      </c>
      <c r="I2606" s="1" t="str">
        <f t="shared" si="4"/>
        <v>No Badges</v>
      </c>
      <c r="J2606" s="3">
        <f t="shared" si="5"/>
        <v>0</v>
      </c>
    </row>
    <row r="2607">
      <c r="A2607" s="1" t="s">
        <v>1285</v>
      </c>
      <c r="B2607" s="3" t="str">
        <f t="shared" si="1"/>
        <v>Unavailable</v>
      </c>
      <c r="C2607" s="5">
        <v>3520.0</v>
      </c>
      <c r="D2607" s="3">
        <f>IFERROR(__xludf.DUMMYFUNCTION("IFERROR(
IF(REGEXMATCH(LOWER(O2607),""k""),
VALUE(REGEXEXTRACT(O2607,""[0-9]+""))*1000,
VALUE(REGEXEXTRACT(O2607,""[0-9]+""))
),
0
)"),0.0)</f>
        <v>0</v>
      </c>
      <c r="E2607" s="1" t="s">
        <v>11</v>
      </c>
      <c r="F2607" s="1" t="s">
        <v>12</v>
      </c>
      <c r="G2607" s="4" t="b">
        <f t="shared" si="2"/>
        <v>1</v>
      </c>
      <c r="H2607" s="1" t="str">
        <f t="shared" si="3"/>
        <v>Currently Unavailable</v>
      </c>
      <c r="I2607" s="1" t="str">
        <f t="shared" si="4"/>
        <v>No Badges</v>
      </c>
      <c r="J2607" s="3">
        <f t="shared" si="5"/>
        <v>0</v>
      </c>
    </row>
    <row r="2608">
      <c r="A2608" s="1" t="s">
        <v>1284</v>
      </c>
      <c r="B2608" s="3" t="str">
        <f t="shared" si="1"/>
        <v>Unavailable</v>
      </c>
      <c r="C2608" s="3">
        <v>172.0</v>
      </c>
      <c r="D2608" s="3">
        <f>IFERROR(__xludf.DUMMYFUNCTION("IFERROR(
IF(REGEXMATCH(LOWER(O2608),""k""),
VALUE(REGEXEXTRACT(O2608,""[0-9]+""))*1000,
VALUE(REGEXEXTRACT(O2608,""[0-9]+""))
),
0
)"),0.0)</f>
        <v>0</v>
      </c>
      <c r="E2608" s="1" t="s">
        <v>11</v>
      </c>
      <c r="F2608" s="1" t="s">
        <v>12</v>
      </c>
      <c r="G2608" s="4" t="b">
        <f t="shared" si="2"/>
        <v>1</v>
      </c>
      <c r="H2608" s="1" t="str">
        <f t="shared" si="3"/>
        <v>Currently Unavailable</v>
      </c>
      <c r="I2608" s="1" t="str">
        <f t="shared" si="4"/>
        <v>No Badges</v>
      </c>
      <c r="J2608" s="3">
        <f t="shared" si="5"/>
        <v>0</v>
      </c>
    </row>
    <row r="2609">
      <c r="A2609" s="1" t="s">
        <v>2087</v>
      </c>
      <c r="B2609" s="3" t="str">
        <f t="shared" si="1"/>
        <v>Unavailable</v>
      </c>
      <c r="C2609" s="5">
        <v>27117.0</v>
      </c>
      <c r="D2609" s="3">
        <f>IFERROR(__xludf.DUMMYFUNCTION("IFERROR(
IF(REGEXMATCH(LOWER(O2609),""k""),
VALUE(REGEXEXTRACT(O2609,""[0-9]+""))*1000,
VALUE(REGEXEXTRACT(O2609,""[0-9]+""))
),
0
)"),0.0)</f>
        <v>0</v>
      </c>
      <c r="E2609" s="1" t="s">
        <v>11</v>
      </c>
      <c r="F2609" s="1" t="s">
        <v>20</v>
      </c>
      <c r="G2609" s="4" t="b">
        <f t="shared" si="2"/>
        <v>1</v>
      </c>
      <c r="H2609" s="1" t="str">
        <f t="shared" si="3"/>
        <v>Currently Unavailable</v>
      </c>
      <c r="I2609" s="1" t="str">
        <f t="shared" si="4"/>
        <v>No Badges</v>
      </c>
      <c r="J2609" s="3">
        <f t="shared" si="5"/>
        <v>0</v>
      </c>
    </row>
    <row r="2610">
      <c r="A2610" s="1" t="s">
        <v>2088</v>
      </c>
      <c r="B2610" s="3" t="str">
        <f t="shared" si="1"/>
        <v>Unavailable</v>
      </c>
      <c r="C2610" s="5">
        <v>8024.0</v>
      </c>
      <c r="D2610" s="3">
        <f>IFERROR(__xludf.DUMMYFUNCTION("IFERROR(
IF(REGEXMATCH(LOWER(O2610),""k""),
VALUE(REGEXEXTRACT(O2610,""[0-9]+""))*1000,
VALUE(REGEXEXTRACT(O2610,""[0-9]+""))
),
0
)"),0.0)</f>
        <v>0</v>
      </c>
      <c r="E2610" s="1" t="s">
        <v>11</v>
      </c>
      <c r="F2610" s="1" t="s">
        <v>20</v>
      </c>
      <c r="G2610" s="4" t="b">
        <f t="shared" si="2"/>
        <v>1</v>
      </c>
      <c r="H2610" s="1" t="str">
        <f t="shared" si="3"/>
        <v>Currently Unavailable</v>
      </c>
      <c r="I2610" s="1" t="str">
        <f t="shared" si="4"/>
        <v>No Badges</v>
      </c>
      <c r="J2610" s="3">
        <f t="shared" si="5"/>
        <v>0</v>
      </c>
    </row>
    <row r="2611">
      <c r="A2611" s="1" t="s">
        <v>2089</v>
      </c>
      <c r="B2611" s="3" t="str">
        <f t="shared" si="1"/>
        <v>Unavailable</v>
      </c>
      <c r="C2611" s="5">
        <v>14096.0</v>
      </c>
      <c r="D2611" s="3">
        <f>IFERROR(__xludf.DUMMYFUNCTION("IFERROR(
IF(REGEXMATCH(LOWER(O2611),""k""),
VALUE(REGEXEXTRACT(O2611,""[0-9]+""))*1000,
VALUE(REGEXEXTRACT(O2611,""[0-9]+""))
),
0
)"),0.0)</f>
        <v>0</v>
      </c>
      <c r="E2611" s="1" t="s">
        <v>11</v>
      </c>
      <c r="F2611" s="1" t="s">
        <v>20</v>
      </c>
      <c r="G2611" s="4" t="b">
        <f t="shared" si="2"/>
        <v>1</v>
      </c>
      <c r="H2611" s="1" t="str">
        <f t="shared" si="3"/>
        <v>Currently Unavailable</v>
      </c>
      <c r="I2611" s="1" t="str">
        <f t="shared" si="4"/>
        <v>No Badges</v>
      </c>
      <c r="J2611" s="3">
        <f t="shared" si="5"/>
        <v>0</v>
      </c>
    </row>
    <row r="2612">
      <c r="A2612" s="1" t="s">
        <v>2090</v>
      </c>
      <c r="B2612" s="3" t="str">
        <f t="shared" si="1"/>
        <v>Unavailable</v>
      </c>
      <c r="C2612" s="5">
        <v>27636.0</v>
      </c>
      <c r="D2612" s="3">
        <f>IFERROR(__xludf.DUMMYFUNCTION("IFERROR(
IF(REGEXMATCH(LOWER(O2612),""k""),
VALUE(REGEXEXTRACT(O2612,""[0-9]+""))*1000,
VALUE(REGEXEXTRACT(O2612,""[0-9]+""))
),
0
)"),0.0)</f>
        <v>0</v>
      </c>
      <c r="E2612" s="1" t="s">
        <v>11</v>
      </c>
      <c r="F2612" s="1" t="s">
        <v>20</v>
      </c>
      <c r="G2612" s="4" t="b">
        <f t="shared" si="2"/>
        <v>1</v>
      </c>
      <c r="H2612" s="1" t="str">
        <f t="shared" si="3"/>
        <v>Currently Unavailable</v>
      </c>
      <c r="I2612" s="1" t="str">
        <f t="shared" si="4"/>
        <v>No Badges</v>
      </c>
      <c r="J2612" s="3">
        <f t="shared" si="5"/>
        <v>0</v>
      </c>
    </row>
    <row r="2613">
      <c r="A2613" s="1" t="s">
        <v>2091</v>
      </c>
      <c r="B2613" s="3" t="str">
        <f t="shared" si="1"/>
        <v>Unavailable</v>
      </c>
      <c r="C2613" s="3">
        <v>151.0</v>
      </c>
      <c r="D2613" s="3">
        <f>IFERROR(__xludf.DUMMYFUNCTION("IFERROR(
IF(REGEXMATCH(LOWER(O2613),""k""),
VALUE(REGEXEXTRACT(O2613,""[0-9]+""))*1000,
VALUE(REGEXEXTRACT(O2613,""[0-9]+""))
),
0
)"),0.0)</f>
        <v>0</v>
      </c>
      <c r="E2613" s="1" t="s">
        <v>11</v>
      </c>
      <c r="F2613" s="1" t="s">
        <v>20</v>
      </c>
      <c r="G2613" s="4" t="b">
        <f t="shared" si="2"/>
        <v>1</v>
      </c>
      <c r="H2613" s="1" t="str">
        <f t="shared" si="3"/>
        <v>Currently Unavailable</v>
      </c>
      <c r="I2613" s="1" t="str">
        <f t="shared" si="4"/>
        <v>No Badges</v>
      </c>
      <c r="J2613" s="3">
        <f t="shared" si="5"/>
        <v>0</v>
      </c>
    </row>
    <row r="2614">
      <c r="A2614" s="1" t="s">
        <v>2092</v>
      </c>
      <c r="B2614" s="3" t="str">
        <f t="shared" si="1"/>
        <v>Unavailable</v>
      </c>
      <c r="C2614" s="5">
        <v>4523.0</v>
      </c>
      <c r="D2614" s="3">
        <f>IFERROR(__xludf.DUMMYFUNCTION("IFERROR(
IF(REGEXMATCH(LOWER(O2614),""k""),
VALUE(REGEXEXTRACT(O2614,""[0-9]+""))*1000,
VALUE(REGEXEXTRACT(O2614,""[0-9]+""))
),
0
)"),0.0)</f>
        <v>0</v>
      </c>
      <c r="E2614" s="1" t="s">
        <v>11</v>
      </c>
      <c r="F2614" s="1" t="s">
        <v>20</v>
      </c>
      <c r="G2614" s="4" t="b">
        <f t="shared" si="2"/>
        <v>1</v>
      </c>
      <c r="H2614" s="1" t="str">
        <f t="shared" si="3"/>
        <v>Currently Unavailable</v>
      </c>
      <c r="I2614" s="1" t="str">
        <f t="shared" si="4"/>
        <v>No Badges</v>
      </c>
      <c r="J2614" s="3">
        <f t="shared" si="5"/>
        <v>0</v>
      </c>
    </row>
    <row r="2615">
      <c r="A2615" s="1" t="s">
        <v>2093</v>
      </c>
      <c r="B2615" s="3" t="str">
        <f t="shared" si="1"/>
        <v>Unavailable</v>
      </c>
      <c r="C2615" s="5">
        <v>5282.0</v>
      </c>
      <c r="D2615" s="3">
        <f>IFERROR(__xludf.DUMMYFUNCTION("IFERROR(
IF(REGEXMATCH(LOWER(O2615),""k""),
VALUE(REGEXEXTRACT(O2615,""[0-9]+""))*1000,
VALUE(REGEXEXTRACT(O2615,""[0-9]+""))
),
0
)"),0.0)</f>
        <v>0</v>
      </c>
      <c r="E2615" s="1" t="s">
        <v>11</v>
      </c>
      <c r="F2615" s="1" t="s">
        <v>20</v>
      </c>
      <c r="G2615" s="4" t="b">
        <f t="shared" si="2"/>
        <v>1</v>
      </c>
      <c r="H2615" s="1" t="str">
        <f t="shared" si="3"/>
        <v>Currently Unavailable</v>
      </c>
      <c r="I2615" s="1" t="str">
        <f t="shared" si="4"/>
        <v>No Badges</v>
      </c>
      <c r="J2615" s="3">
        <f t="shared" si="5"/>
        <v>0</v>
      </c>
    </row>
    <row r="2616">
      <c r="A2616" s="1" t="s">
        <v>1285</v>
      </c>
      <c r="B2616" s="3" t="str">
        <f t="shared" si="1"/>
        <v>Unavailable</v>
      </c>
      <c r="C2616" s="5">
        <v>3520.0</v>
      </c>
      <c r="D2616" s="3">
        <f>IFERROR(__xludf.DUMMYFUNCTION("IFERROR(
IF(REGEXMATCH(LOWER(O2616),""k""),
VALUE(REGEXEXTRACT(O2616,""[0-9]+""))*1000,
VALUE(REGEXEXTRACT(O2616,""[0-9]+""))
),
0
)"),0.0)</f>
        <v>0</v>
      </c>
      <c r="E2616" s="1" t="s">
        <v>11</v>
      </c>
      <c r="F2616" s="1" t="s">
        <v>12</v>
      </c>
      <c r="G2616" s="4" t="b">
        <f t="shared" si="2"/>
        <v>1</v>
      </c>
      <c r="H2616" s="1" t="str">
        <f t="shared" si="3"/>
        <v>Currently Unavailable</v>
      </c>
      <c r="I2616" s="1" t="str">
        <f t="shared" si="4"/>
        <v>No Badges</v>
      </c>
      <c r="J2616" s="3">
        <f t="shared" si="5"/>
        <v>0</v>
      </c>
    </row>
    <row r="2617">
      <c r="A2617" s="1" t="s">
        <v>1284</v>
      </c>
      <c r="B2617" s="3" t="str">
        <f t="shared" si="1"/>
        <v>Unavailable</v>
      </c>
      <c r="C2617" s="3">
        <v>172.0</v>
      </c>
      <c r="D2617" s="3">
        <f>IFERROR(__xludf.DUMMYFUNCTION("IFERROR(
IF(REGEXMATCH(LOWER(O2617),""k""),
VALUE(REGEXEXTRACT(O2617,""[0-9]+""))*1000,
VALUE(REGEXEXTRACT(O2617,""[0-9]+""))
),
0
)"),0.0)</f>
        <v>0</v>
      </c>
      <c r="E2617" s="1" t="s">
        <v>11</v>
      </c>
      <c r="F2617" s="1" t="s">
        <v>12</v>
      </c>
      <c r="G2617" s="4" t="b">
        <f t="shared" si="2"/>
        <v>1</v>
      </c>
      <c r="H2617" s="1" t="str">
        <f t="shared" si="3"/>
        <v>Currently Unavailable</v>
      </c>
      <c r="I2617" s="1" t="str">
        <f t="shared" si="4"/>
        <v>No Badges</v>
      </c>
      <c r="J2617" s="3">
        <f t="shared" si="5"/>
        <v>0</v>
      </c>
    </row>
    <row r="2618">
      <c r="A2618" s="1" t="s">
        <v>67</v>
      </c>
      <c r="B2618" s="3" t="str">
        <f t="shared" si="1"/>
        <v>Unavailable</v>
      </c>
      <c r="C2618" s="3">
        <v>264.0</v>
      </c>
      <c r="D2618" s="3">
        <f>IFERROR(__xludf.DUMMYFUNCTION("IFERROR(
IF(REGEXMATCH(LOWER(O2618),""k""),
VALUE(REGEXEXTRACT(O2618,""[0-9]+""))*1000,
VALUE(REGEXEXTRACT(O2618,""[0-9]+""))
),
0
)"),0.0)</f>
        <v>0</v>
      </c>
      <c r="E2618" s="1" t="s">
        <v>11</v>
      </c>
      <c r="F2618" s="1" t="s">
        <v>12</v>
      </c>
      <c r="G2618" s="4" t="b">
        <f t="shared" si="2"/>
        <v>1</v>
      </c>
      <c r="H2618" s="1" t="str">
        <f t="shared" si="3"/>
        <v>Currently Unavailable</v>
      </c>
      <c r="I2618" s="1" t="str">
        <f t="shared" si="4"/>
        <v>No Badges</v>
      </c>
      <c r="J2618" s="3">
        <f t="shared" si="5"/>
        <v>0</v>
      </c>
    </row>
    <row r="2619">
      <c r="A2619" s="1" t="s">
        <v>2094</v>
      </c>
      <c r="B2619" s="3" t="str">
        <f t="shared" si="1"/>
        <v>Unavailable</v>
      </c>
      <c r="C2619" s="5">
        <v>3213.0</v>
      </c>
      <c r="D2619" s="3">
        <f>IFERROR(__xludf.DUMMYFUNCTION("IFERROR(
IF(REGEXMATCH(LOWER(O2619),""k""),
VALUE(REGEXEXTRACT(O2619,""[0-9]+""))*1000,
VALUE(REGEXEXTRACT(O2619,""[0-9]+""))
),
0
)"),0.0)</f>
        <v>0</v>
      </c>
      <c r="E2619" s="1" t="s">
        <v>11</v>
      </c>
      <c r="F2619" s="1" t="s">
        <v>20</v>
      </c>
      <c r="G2619" s="4" t="b">
        <f t="shared" si="2"/>
        <v>1</v>
      </c>
      <c r="H2619" s="1" t="str">
        <f t="shared" si="3"/>
        <v>Currently Unavailable</v>
      </c>
      <c r="I2619" s="1" t="str">
        <f t="shared" si="4"/>
        <v>No Badges</v>
      </c>
      <c r="J2619" s="3">
        <f t="shared" si="5"/>
        <v>0</v>
      </c>
    </row>
    <row r="2620">
      <c r="A2620" s="1" t="s">
        <v>701</v>
      </c>
      <c r="B2620" s="3" t="str">
        <f t="shared" si="1"/>
        <v>Unavailable</v>
      </c>
      <c r="C2620" s="3">
        <v>8.0</v>
      </c>
      <c r="D2620" s="3">
        <f>IFERROR(__xludf.DUMMYFUNCTION("IFERROR(
IF(REGEXMATCH(LOWER(O2620),""k""),
VALUE(REGEXEXTRACT(O2620,""[0-9]+""))*1000,
VALUE(REGEXEXTRACT(O2620,""[0-9]+""))
),
0
)"),0.0)</f>
        <v>0</v>
      </c>
      <c r="E2620" s="1" t="s">
        <v>11</v>
      </c>
      <c r="F2620" s="1" t="s">
        <v>12</v>
      </c>
      <c r="G2620" s="4" t="b">
        <f t="shared" si="2"/>
        <v>1</v>
      </c>
      <c r="H2620" s="1" t="str">
        <f t="shared" si="3"/>
        <v>Currently Unavailable</v>
      </c>
      <c r="I2620" s="1" t="str">
        <f t="shared" si="4"/>
        <v>No Badges</v>
      </c>
      <c r="J2620" s="3">
        <f t="shared" si="5"/>
        <v>0</v>
      </c>
    </row>
    <row r="2621">
      <c r="A2621" s="1" t="s">
        <v>2095</v>
      </c>
      <c r="B2621" s="3" t="str">
        <f t="shared" si="1"/>
        <v>Unavailable</v>
      </c>
      <c r="C2621" s="3">
        <v>79.0</v>
      </c>
      <c r="D2621" s="3">
        <f>IFERROR(__xludf.DUMMYFUNCTION("IFERROR(
IF(REGEXMATCH(LOWER(O2621),""k""),
VALUE(REGEXEXTRACT(O2621,""[0-9]+""))*1000,
VALUE(REGEXEXTRACT(O2621,""[0-9]+""))
),
0
)"),0.0)</f>
        <v>0</v>
      </c>
      <c r="E2621" s="1" t="s">
        <v>11</v>
      </c>
      <c r="F2621" s="1" t="s">
        <v>20</v>
      </c>
      <c r="G2621" s="4" t="b">
        <f t="shared" si="2"/>
        <v>1</v>
      </c>
      <c r="H2621" s="1" t="str">
        <f t="shared" si="3"/>
        <v>Currently Unavailable</v>
      </c>
      <c r="I2621" s="1" t="str">
        <f t="shared" si="4"/>
        <v>No Badges</v>
      </c>
      <c r="J2621" s="3">
        <f t="shared" si="5"/>
        <v>0</v>
      </c>
    </row>
    <row r="2622">
      <c r="A2622" s="1" t="s">
        <v>2096</v>
      </c>
      <c r="B2622" s="3" t="str">
        <f t="shared" si="1"/>
        <v>Unavailable</v>
      </c>
      <c r="C2622" s="5">
        <v>23113.0</v>
      </c>
      <c r="D2622" s="3">
        <f>IFERROR(__xludf.DUMMYFUNCTION("IFERROR(
IF(REGEXMATCH(LOWER(O2622),""k""),
VALUE(REGEXEXTRACT(O2622,""[0-9]+""))*1000,
VALUE(REGEXEXTRACT(O2622,""[0-9]+""))
),
0
)"),0.0)</f>
        <v>0</v>
      </c>
      <c r="E2622" s="1" t="s">
        <v>11</v>
      </c>
      <c r="F2622" s="1" t="s">
        <v>20</v>
      </c>
      <c r="G2622" s="4" t="b">
        <f t="shared" si="2"/>
        <v>1</v>
      </c>
      <c r="H2622" s="1" t="str">
        <f t="shared" si="3"/>
        <v>Currently Unavailable</v>
      </c>
      <c r="I2622" s="1" t="str">
        <f t="shared" si="4"/>
        <v>No Badges</v>
      </c>
      <c r="J2622" s="3">
        <f t="shared" si="5"/>
        <v>0</v>
      </c>
    </row>
    <row r="2623">
      <c r="A2623" s="1" t="s">
        <v>1284</v>
      </c>
      <c r="B2623" s="3" t="str">
        <f t="shared" si="1"/>
        <v>Unavailable</v>
      </c>
      <c r="C2623" s="3">
        <v>172.0</v>
      </c>
      <c r="D2623" s="3">
        <f>IFERROR(__xludf.DUMMYFUNCTION("IFERROR(
IF(REGEXMATCH(LOWER(O2623),""k""),
VALUE(REGEXEXTRACT(O2623,""[0-9]+""))*1000,
VALUE(REGEXEXTRACT(O2623,""[0-9]+""))
),
0
)"),0.0)</f>
        <v>0</v>
      </c>
      <c r="E2623" s="1" t="s">
        <v>11</v>
      </c>
      <c r="F2623" s="1" t="s">
        <v>12</v>
      </c>
      <c r="G2623" s="4" t="b">
        <f t="shared" si="2"/>
        <v>1</v>
      </c>
      <c r="H2623" s="1" t="str">
        <f t="shared" si="3"/>
        <v>Currently Unavailable</v>
      </c>
      <c r="I2623" s="1" t="str">
        <f t="shared" si="4"/>
        <v>No Badges</v>
      </c>
      <c r="J2623" s="3">
        <f t="shared" si="5"/>
        <v>0</v>
      </c>
    </row>
    <row r="2624">
      <c r="A2624" s="1" t="s">
        <v>2097</v>
      </c>
      <c r="B2624" s="3" t="str">
        <f t="shared" si="1"/>
        <v>Unavailable</v>
      </c>
      <c r="C2624" s="5">
        <v>17698.0</v>
      </c>
      <c r="D2624" s="3">
        <f>IFERROR(__xludf.DUMMYFUNCTION("IFERROR(
IF(REGEXMATCH(LOWER(O2624),""k""),
VALUE(REGEXEXTRACT(O2624,""[0-9]+""))*1000,
VALUE(REGEXEXTRACT(O2624,""[0-9]+""))
),
0
)"),0.0)</f>
        <v>0</v>
      </c>
      <c r="E2624" s="1" t="s">
        <v>11</v>
      </c>
      <c r="F2624" s="1" t="s">
        <v>20</v>
      </c>
      <c r="G2624" s="4" t="b">
        <f t="shared" si="2"/>
        <v>1</v>
      </c>
      <c r="H2624" s="1" t="str">
        <f t="shared" si="3"/>
        <v>Currently Unavailable</v>
      </c>
      <c r="I2624" s="1" t="str">
        <f t="shared" si="4"/>
        <v>No Badges</v>
      </c>
      <c r="J2624" s="3">
        <f t="shared" si="5"/>
        <v>0</v>
      </c>
    </row>
    <row r="2625">
      <c r="A2625" s="1" t="s">
        <v>1920</v>
      </c>
      <c r="B2625" s="3" t="str">
        <f t="shared" si="1"/>
        <v>Unavailable</v>
      </c>
      <c r="C2625" s="5">
        <v>2482.0</v>
      </c>
      <c r="D2625" s="3">
        <f>IFERROR(__xludf.DUMMYFUNCTION("IFERROR(
IF(REGEXMATCH(LOWER(O2625),""k""),
VALUE(REGEXEXTRACT(O2625,""[0-9]+""))*1000,
VALUE(REGEXEXTRACT(O2625,""[0-9]+""))
),
0
)"),0.0)</f>
        <v>0</v>
      </c>
      <c r="E2625" s="1" t="s">
        <v>11</v>
      </c>
      <c r="F2625" s="1" t="s">
        <v>20</v>
      </c>
      <c r="G2625" s="4" t="b">
        <f t="shared" si="2"/>
        <v>1</v>
      </c>
      <c r="H2625" s="1" t="str">
        <f t="shared" si="3"/>
        <v>Currently Unavailable</v>
      </c>
      <c r="I2625" s="1" t="str">
        <f t="shared" si="4"/>
        <v>No Badges</v>
      </c>
      <c r="J2625" s="3">
        <f t="shared" si="5"/>
        <v>0</v>
      </c>
    </row>
    <row r="2626">
      <c r="A2626" s="1" t="s">
        <v>2098</v>
      </c>
      <c r="B2626" s="3" t="str">
        <f t="shared" si="1"/>
        <v>Unavailable</v>
      </c>
      <c r="C2626" s="3">
        <v>374.0</v>
      </c>
      <c r="D2626" s="3">
        <f>IFERROR(__xludf.DUMMYFUNCTION("IFERROR(
IF(REGEXMATCH(LOWER(O2626),""k""),
VALUE(REGEXEXTRACT(O2626,""[0-9]+""))*1000,
VALUE(REGEXEXTRACT(O2626,""[0-9]+""))
),
0
)"),0.0)</f>
        <v>0</v>
      </c>
      <c r="E2626" s="1" t="s">
        <v>1591</v>
      </c>
      <c r="F2626" s="1" t="s">
        <v>20</v>
      </c>
      <c r="G2626" s="4" t="b">
        <f t="shared" si="2"/>
        <v>1</v>
      </c>
      <c r="H2626" s="1" t="str">
        <f t="shared" si="3"/>
        <v>Currently Unavailable</v>
      </c>
      <c r="I2626" s="1" t="str">
        <f t="shared" si="4"/>
        <v>No Badges</v>
      </c>
      <c r="J2626" s="3">
        <f t="shared" si="5"/>
        <v>0</v>
      </c>
    </row>
    <row r="2627">
      <c r="A2627" s="1" t="s">
        <v>1284</v>
      </c>
      <c r="B2627" s="3" t="str">
        <f t="shared" si="1"/>
        <v>Unavailable</v>
      </c>
      <c r="C2627" s="3">
        <v>172.0</v>
      </c>
      <c r="D2627" s="3">
        <f>IFERROR(__xludf.DUMMYFUNCTION("IFERROR(
IF(REGEXMATCH(LOWER(O2627),""k""),
VALUE(REGEXEXTRACT(O2627,""[0-9]+""))*1000,
VALUE(REGEXEXTRACT(O2627,""[0-9]+""))
),
0
)"),0.0)</f>
        <v>0</v>
      </c>
      <c r="E2627" s="1" t="s">
        <v>11</v>
      </c>
      <c r="F2627" s="1" t="s">
        <v>12</v>
      </c>
      <c r="G2627" s="4" t="b">
        <f t="shared" si="2"/>
        <v>1</v>
      </c>
      <c r="H2627" s="1" t="str">
        <f t="shared" si="3"/>
        <v>Currently Unavailable</v>
      </c>
      <c r="I2627" s="1" t="str">
        <f t="shared" si="4"/>
        <v>No Badges</v>
      </c>
      <c r="J2627" s="3">
        <f t="shared" si="5"/>
        <v>0</v>
      </c>
    </row>
    <row r="2628">
      <c r="A2628" s="1" t="s">
        <v>2099</v>
      </c>
      <c r="B2628" s="3" t="str">
        <f t="shared" si="1"/>
        <v>Unavailable</v>
      </c>
      <c r="C2628" s="5">
        <v>58605.0</v>
      </c>
      <c r="D2628" s="3">
        <f>IFERROR(__xludf.DUMMYFUNCTION("IFERROR(
IF(REGEXMATCH(LOWER(O2628),""k""),
VALUE(REGEXEXTRACT(O2628,""[0-9]+""))*1000,
VALUE(REGEXEXTRACT(O2628,""[0-9]+""))
),
0
)"),0.0)</f>
        <v>0</v>
      </c>
      <c r="E2628" s="1" t="s">
        <v>11</v>
      </c>
      <c r="F2628" s="1" t="s">
        <v>20</v>
      </c>
      <c r="G2628" s="4" t="b">
        <f t="shared" si="2"/>
        <v>1</v>
      </c>
      <c r="H2628" s="1" t="str">
        <f t="shared" si="3"/>
        <v>Currently Unavailable</v>
      </c>
      <c r="I2628" s="1" t="str">
        <f t="shared" si="4"/>
        <v>No Badges</v>
      </c>
      <c r="J2628" s="3">
        <f t="shared" si="5"/>
        <v>0</v>
      </c>
    </row>
    <row r="2629">
      <c r="A2629" s="1" t="s">
        <v>2100</v>
      </c>
      <c r="B2629" s="3" t="str">
        <f t="shared" si="1"/>
        <v>Unavailable</v>
      </c>
      <c r="C2629" s="3">
        <v>406.0</v>
      </c>
      <c r="D2629" s="3">
        <f>IFERROR(__xludf.DUMMYFUNCTION("IFERROR(
IF(REGEXMATCH(LOWER(O2629),""k""),
VALUE(REGEXEXTRACT(O2629,""[0-9]+""))*1000,
VALUE(REGEXEXTRACT(O2629,""[0-9]+""))
),
0
)"),0.0)</f>
        <v>0</v>
      </c>
      <c r="E2629" s="1" t="s">
        <v>11</v>
      </c>
      <c r="F2629" s="1" t="s">
        <v>20</v>
      </c>
      <c r="G2629" s="4" t="b">
        <f t="shared" si="2"/>
        <v>1</v>
      </c>
      <c r="H2629" s="1" t="str">
        <f t="shared" si="3"/>
        <v>Currently Unavailable</v>
      </c>
      <c r="I2629" s="1" t="str">
        <f t="shared" si="4"/>
        <v>No Badges</v>
      </c>
      <c r="J2629" s="3">
        <f t="shared" si="5"/>
        <v>0</v>
      </c>
    </row>
    <row r="2630">
      <c r="A2630" s="1" t="s">
        <v>2101</v>
      </c>
      <c r="B2630" s="3" t="str">
        <f t="shared" si="1"/>
        <v>Unavailable</v>
      </c>
      <c r="C2630" s="5">
        <v>30443.0</v>
      </c>
      <c r="D2630" s="3">
        <f>IFERROR(__xludf.DUMMYFUNCTION("IFERROR(
IF(REGEXMATCH(LOWER(O2630),""k""),
VALUE(REGEXEXTRACT(O2630,""[0-9]+""))*1000,
VALUE(REGEXEXTRACT(O2630,""[0-9]+""))
),
0
)"),0.0)</f>
        <v>0</v>
      </c>
      <c r="E2630" s="1" t="s">
        <v>11</v>
      </c>
      <c r="F2630" s="1" t="s">
        <v>20</v>
      </c>
      <c r="G2630" s="4" t="b">
        <f t="shared" si="2"/>
        <v>1</v>
      </c>
      <c r="H2630" s="1" t="str">
        <f t="shared" si="3"/>
        <v>Currently Unavailable</v>
      </c>
      <c r="I2630" s="1" t="str">
        <f t="shared" si="4"/>
        <v>No Badges</v>
      </c>
      <c r="J2630" s="3">
        <f t="shared" si="5"/>
        <v>0</v>
      </c>
    </row>
    <row r="2631">
      <c r="A2631" s="1" t="s">
        <v>1553</v>
      </c>
      <c r="B2631" s="3" t="str">
        <f t="shared" si="1"/>
        <v>Unavailable</v>
      </c>
      <c r="C2631" s="3">
        <v>156.0</v>
      </c>
      <c r="D2631" s="3">
        <f>IFERROR(__xludf.DUMMYFUNCTION("IFERROR(
IF(REGEXMATCH(LOWER(O2631),""k""),
VALUE(REGEXEXTRACT(O2631,""[0-9]+""))*1000,
VALUE(REGEXEXTRACT(O2631,""[0-9]+""))
),
0
)"),0.0)</f>
        <v>0</v>
      </c>
      <c r="E2631" s="1" t="s">
        <v>11</v>
      </c>
      <c r="F2631" s="1" t="s">
        <v>20</v>
      </c>
      <c r="G2631" s="4" t="b">
        <f t="shared" si="2"/>
        <v>1</v>
      </c>
      <c r="H2631" s="1" t="str">
        <f t="shared" si="3"/>
        <v>Currently Unavailable</v>
      </c>
      <c r="I2631" s="1" t="str">
        <f t="shared" si="4"/>
        <v>No Badges</v>
      </c>
      <c r="J2631" s="3">
        <f t="shared" si="5"/>
        <v>0</v>
      </c>
    </row>
    <row r="2632">
      <c r="A2632" s="1" t="s">
        <v>2102</v>
      </c>
      <c r="B2632" s="3" t="str">
        <f t="shared" si="1"/>
        <v>Unavailable</v>
      </c>
      <c r="C2632" s="5">
        <v>2709.0</v>
      </c>
      <c r="D2632" s="3">
        <f>IFERROR(__xludf.DUMMYFUNCTION("IFERROR(
IF(REGEXMATCH(LOWER(O2632),""k""),
VALUE(REGEXEXTRACT(O2632,""[0-9]+""))*1000,
VALUE(REGEXEXTRACT(O2632,""[0-9]+""))
),
0
)"),0.0)</f>
        <v>0</v>
      </c>
      <c r="E2632" s="1" t="s">
        <v>11</v>
      </c>
      <c r="F2632" s="1" t="s">
        <v>20</v>
      </c>
      <c r="G2632" s="4" t="b">
        <f t="shared" si="2"/>
        <v>1</v>
      </c>
      <c r="H2632" s="1" t="str">
        <f t="shared" si="3"/>
        <v>Currently Unavailable</v>
      </c>
      <c r="I2632" s="1" t="str">
        <f t="shared" si="4"/>
        <v>No Badges</v>
      </c>
      <c r="J2632" s="3">
        <f t="shared" si="5"/>
        <v>0</v>
      </c>
    </row>
    <row r="2633">
      <c r="A2633" s="1" t="s">
        <v>2103</v>
      </c>
      <c r="B2633" s="3" t="str">
        <f t="shared" si="1"/>
        <v>Unavailable</v>
      </c>
      <c r="C2633" s="3">
        <v>36.0</v>
      </c>
      <c r="D2633" s="3">
        <f>IFERROR(__xludf.DUMMYFUNCTION("IFERROR(
IF(REGEXMATCH(LOWER(O2633),""k""),
VALUE(REGEXEXTRACT(O2633,""[0-9]+""))*1000,
VALUE(REGEXEXTRACT(O2633,""[0-9]+""))
),
0
)"),0.0)</f>
        <v>0</v>
      </c>
      <c r="E2633" s="1" t="s">
        <v>11</v>
      </c>
      <c r="F2633" s="1" t="s">
        <v>12</v>
      </c>
      <c r="G2633" s="4" t="b">
        <f t="shared" si="2"/>
        <v>1</v>
      </c>
      <c r="H2633" s="1" t="str">
        <f t="shared" si="3"/>
        <v>Currently Unavailable</v>
      </c>
      <c r="I2633" s="1" t="str">
        <f t="shared" si="4"/>
        <v>No Badges</v>
      </c>
      <c r="J2633" s="3">
        <f t="shared" si="5"/>
        <v>0</v>
      </c>
    </row>
    <row r="2634">
      <c r="A2634" s="1" t="s">
        <v>2104</v>
      </c>
      <c r="B2634" s="3" t="str">
        <f t="shared" si="1"/>
        <v>Unavailable</v>
      </c>
      <c r="C2634" s="5">
        <v>3233.0</v>
      </c>
      <c r="D2634" s="3">
        <f>IFERROR(__xludf.DUMMYFUNCTION("IFERROR(
IF(REGEXMATCH(LOWER(O2634),""k""),
VALUE(REGEXEXTRACT(O2634,""[0-9]+""))*1000,
VALUE(REGEXEXTRACT(O2634,""[0-9]+""))
),
0
)"),0.0)</f>
        <v>0</v>
      </c>
      <c r="E2634" s="1" t="s">
        <v>11</v>
      </c>
      <c r="F2634" s="1" t="s">
        <v>20</v>
      </c>
      <c r="G2634" s="4" t="b">
        <f t="shared" si="2"/>
        <v>1</v>
      </c>
      <c r="H2634" s="1" t="str">
        <f t="shared" si="3"/>
        <v>Currently Unavailable</v>
      </c>
      <c r="I2634" s="1" t="str">
        <f t="shared" si="4"/>
        <v>No Badges</v>
      </c>
      <c r="J2634" s="3">
        <f t="shared" si="5"/>
        <v>0</v>
      </c>
    </row>
    <row r="2635">
      <c r="A2635" s="1" t="s">
        <v>2105</v>
      </c>
      <c r="B2635" s="3" t="str">
        <f t="shared" si="1"/>
        <v>Unavailable</v>
      </c>
      <c r="C2635" s="5">
        <v>10071.0</v>
      </c>
      <c r="D2635" s="3">
        <f>IFERROR(__xludf.DUMMYFUNCTION("IFERROR(
IF(REGEXMATCH(LOWER(O2635),""k""),
VALUE(REGEXEXTRACT(O2635,""[0-9]+""))*1000,
VALUE(REGEXEXTRACT(O2635,""[0-9]+""))
),
0
)"),0.0)</f>
        <v>0</v>
      </c>
      <c r="E2635" s="1" t="s">
        <v>11</v>
      </c>
      <c r="F2635" s="1" t="s">
        <v>20</v>
      </c>
      <c r="G2635" s="4" t="b">
        <f t="shared" si="2"/>
        <v>1</v>
      </c>
      <c r="H2635" s="1" t="str">
        <f t="shared" si="3"/>
        <v>Currently Unavailable</v>
      </c>
      <c r="I2635" s="1" t="str">
        <f t="shared" si="4"/>
        <v>No Badges</v>
      </c>
      <c r="J2635" s="3">
        <f t="shared" si="5"/>
        <v>0</v>
      </c>
    </row>
    <row r="2636">
      <c r="A2636" s="1" t="s">
        <v>2106</v>
      </c>
      <c r="B2636" s="3" t="str">
        <f t="shared" si="1"/>
        <v>Unavailable</v>
      </c>
      <c r="C2636" s="5">
        <v>1166.0</v>
      </c>
      <c r="D2636" s="3">
        <f>IFERROR(__xludf.DUMMYFUNCTION("IFERROR(
IF(REGEXMATCH(LOWER(O2636),""k""),
VALUE(REGEXEXTRACT(O2636,""[0-9]+""))*1000,
VALUE(REGEXEXTRACT(O2636,""[0-9]+""))
),
0
)"),0.0)</f>
        <v>0</v>
      </c>
      <c r="E2636" s="1" t="s">
        <v>158</v>
      </c>
      <c r="F2636" s="1" t="s">
        <v>20</v>
      </c>
      <c r="G2636" s="4" t="b">
        <f t="shared" si="2"/>
        <v>1</v>
      </c>
      <c r="H2636" s="1" t="str">
        <f t="shared" si="3"/>
        <v>Currently Unavailable</v>
      </c>
      <c r="I2636" s="1" t="str">
        <f t="shared" si="4"/>
        <v>No Badges</v>
      </c>
      <c r="J2636" s="3">
        <f t="shared" si="5"/>
        <v>0</v>
      </c>
    </row>
    <row r="2637">
      <c r="A2637" s="1" t="s">
        <v>1279</v>
      </c>
      <c r="B2637" s="3" t="str">
        <f t="shared" si="1"/>
        <v>Unavailable</v>
      </c>
      <c r="C2637" s="3">
        <v>65.0</v>
      </c>
      <c r="D2637" s="3">
        <f>IFERROR(__xludf.DUMMYFUNCTION("IFERROR(
IF(REGEXMATCH(LOWER(O2637),""k""),
VALUE(REGEXEXTRACT(O2637,""[0-9]+""))*1000,
VALUE(REGEXEXTRACT(O2637,""[0-9]+""))
),
0
)"),0.0)</f>
        <v>0</v>
      </c>
      <c r="E2637" s="1" t="s">
        <v>18</v>
      </c>
      <c r="F2637" s="1" t="s">
        <v>12</v>
      </c>
      <c r="G2637" s="4" t="b">
        <f t="shared" si="2"/>
        <v>1</v>
      </c>
      <c r="H2637" s="1" t="str">
        <f t="shared" si="3"/>
        <v>Currently Unavailable</v>
      </c>
      <c r="I2637" s="1" t="str">
        <f t="shared" si="4"/>
        <v>No Badges</v>
      </c>
      <c r="J2637" s="3">
        <f t="shared" si="5"/>
        <v>0</v>
      </c>
    </row>
    <row r="2638">
      <c r="A2638" s="1" t="s">
        <v>88</v>
      </c>
      <c r="B2638" s="3" t="str">
        <f t="shared" si="1"/>
        <v>Unavailable</v>
      </c>
      <c r="C2638" s="3">
        <v>5.0</v>
      </c>
      <c r="D2638" s="3">
        <f>IFERROR(__xludf.DUMMYFUNCTION("IFERROR(
IF(REGEXMATCH(LOWER(O2638),""k""),
VALUE(REGEXEXTRACT(O2638,""[0-9]+""))*1000,
VALUE(REGEXEXTRACT(O2638,""[0-9]+""))
),
0
)"),0.0)</f>
        <v>0</v>
      </c>
      <c r="E2638" s="1" t="s">
        <v>11</v>
      </c>
      <c r="F2638" s="1" t="s">
        <v>12</v>
      </c>
      <c r="G2638" s="4" t="b">
        <f t="shared" si="2"/>
        <v>1</v>
      </c>
      <c r="H2638" s="1" t="str">
        <f t="shared" si="3"/>
        <v>Currently Unavailable</v>
      </c>
      <c r="I2638" s="1" t="str">
        <f t="shared" si="4"/>
        <v>No Badges</v>
      </c>
      <c r="J2638" s="3">
        <f t="shared" si="5"/>
        <v>0</v>
      </c>
    </row>
    <row r="2639">
      <c r="A2639" s="1" t="s">
        <v>1284</v>
      </c>
      <c r="B2639" s="3" t="str">
        <f t="shared" si="1"/>
        <v>Unavailable</v>
      </c>
      <c r="C2639" s="3">
        <v>172.0</v>
      </c>
      <c r="D2639" s="3">
        <f>IFERROR(__xludf.DUMMYFUNCTION("IFERROR(
IF(REGEXMATCH(LOWER(O2639),""k""),
VALUE(REGEXEXTRACT(O2639,""[0-9]+""))*1000,
VALUE(REGEXEXTRACT(O2639,""[0-9]+""))
),
0
)"),0.0)</f>
        <v>0</v>
      </c>
      <c r="E2639" s="1" t="s">
        <v>11</v>
      </c>
      <c r="F2639" s="1" t="s">
        <v>12</v>
      </c>
      <c r="G2639" s="4" t="b">
        <f t="shared" si="2"/>
        <v>1</v>
      </c>
      <c r="H2639" s="1" t="str">
        <f t="shared" si="3"/>
        <v>Currently Unavailable</v>
      </c>
      <c r="I2639" s="1" t="str">
        <f t="shared" si="4"/>
        <v>No Badges</v>
      </c>
      <c r="J2639" s="3">
        <f t="shared" si="5"/>
        <v>0</v>
      </c>
    </row>
    <row r="2640">
      <c r="A2640" s="1" t="s">
        <v>2106</v>
      </c>
      <c r="B2640" s="3" t="str">
        <f t="shared" si="1"/>
        <v>Unavailable</v>
      </c>
      <c r="C2640" s="5">
        <v>1166.0</v>
      </c>
      <c r="D2640" s="3">
        <f>IFERROR(__xludf.DUMMYFUNCTION("IFERROR(
IF(REGEXMATCH(LOWER(O2640),""k""),
VALUE(REGEXEXTRACT(O2640,""[0-9]+""))*1000,
VALUE(REGEXEXTRACT(O2640,""[0-9]+""))
),
0
)"),0.0)</f>
        <v>0</v>
      </c>
      <c r="E2640" s="1" t="s">
        <v>158</v>
      </c>
      <c r="F2640" s="1" t="s">
        <v>20</v>
      </c>
      <c r="G2640" s="4" t="b">
        <f t="shared" si="2"/>
        <v>1</v>
      </c>
      <c r="H2640" s="1" t="str">
        <f t="shared" si="3"/>
        <v>Currently Unavailable</v>
      </c>
      <c r="I2640" s="1" t="str">
        <f t="shared" si="4"/>
        <v>No Badges</v>
      </c>
      <c r="J2640" s="3">
        <f t="shared" si="5"/>
        <v>0</v>
      </c>
    </row>
    <row r="2641">
      <c r="A2641" s="1" t="s">
        <v>2107</v>
      </c>
      <c r="B2641" s="3" t="str">
        <f t="shared" si="1"/>
        <v>Unavailable</v>
      </c>
      <c r="C2641" s="5">
        <v>20751.0</v>
      </c>
      <c r="D2641" s="3">
        <f>IFERROR(__xludf.DUMMYFUNCTION("IFERROR(
IF(REGEXMATCH(LOWER(O2641),""k""),
VALUE(REGEXEXTRACT(O2641,""[0-9]+""))*1000,
VALUE(REGEXEXTRACT(O2641,""[0-9]+""))
),
0
)"),0.0)</f>
        <v>0</v>
      </c>
      <c r="E2641" s="1" t="s">
        <v>158</v>
      </c>
      <c r="F2641" s="1" t="s">
        <v>20</v>
      </c>
      <c r="G2641" s="4" t="b">
        <f t="shared" si="2"/>
        <v>1</v>
      </c>
      <c r="H2641" s="1" t="str">
        <f t="shared" si="3"/>
        <v>Currently Unavailable</v>
      </c>
      <c r="I2641" s="1" t="str">
        <f t="shared" si="4"/>
        <v>No Badges</v>
      </c>
      <c r="J2641" s="3">
        <f t="shared" si="5"/>
        <v>0</v>
      </c>
    </row>
    <row r="2642">
      <c r="A2642" s="1" t="s">
        <v>2108</v>
      </c>
      <c r="B2642" s="3" t="str">
        <f t="shared" si="1"/>
        <v>Unavailable</v>
      </c>
      <c r="C2642" s="5">
        <v>6547.0</v>
      </c>
      <c r="D2642" s="3">
        <f>IFERROR(__xludf.DUMMYFUNCTION("IFERROR(
IF(REGEXMATCH(LOWER(O2642),""k""),
VALUE(REGEXEXTRACT(O2642,""[0-9]+""))*1000,
VALUE(REGEXEXTRACT(O2642,""[0-9]+""))
),
0
)"),0.0)</f>
        <v>0</v>
      </c>
      <c r="E2642" s="1" t="s">
        <v>11</v>
      </c>
      <c r="F2642" s="1" t="s">
        <v>20</v>
      </c>
      <c r="G2642" s="4" t="b">
        <f t="shared" si="2"/>
        <v>1</v>
      </c>
      <c r="H2642" s="1" t="str">
        <f t="shared" si="3"/>
        <v>Currently Unavailable</v>
      </c>
      <c r="I2642" s="1" t="str">
        <f t="shared" si="4"/>
        <v>No Badges</v>
      </c>
      <c r="J2642" s="3">
        <f t="shared" si="5"/>
        <v>0</v>
      </c>
    </row>
    <row r="2643">
      <c r="A2643" s="1" t="s">
        <v>2109</v>
      </c>
      <c r="B2643" s="3" t="str">
        <f t="shared" si="1"/>
        <v>Unavailable</v>
      </c>
      <c r="C2643" s="5">
        <v>5539.0</v>
      </c>
      <c r="D2643" s="3">
        <f>IFERROR(__xludf.DUMMYFUNCTION("IFERROR(
IF(REGEXMATCH(LOWER(O2643),""k""),
VALUE(REGEXEXTRACT(O2643,""[0-9]+""))*1000,
VALUE(REGEXEXTRACT(O2643,""[0-9]+""))
),
0
)"),0.0)</f>
        <v>0</v>
      </c>
      <c r="E2643" s="1" t="s">
        <v>11</v>
      </c>
      <c r="F2643" s="1" t="s">
        <v>20</v>
      </c>
      <c r="G2643" s="4" t="b">
        <f t="shared" si="2"/>
        <v>1</v>
      </c>
      <c r="H2643" s="1" t="str">
        <f t="shared" si="3"/>
        <v>Currently Unavailable</v>
      </c>
      <c r="I2643" s="1" t="str">
        <f t="shared" si="4"/>
        <v>No Badges</v>
      </c>
      <c r="J2643" s="3">
        <f t="shared" si="5"/>
        <v>0</v>
      </c>
    </row>
    <row r="2644">
      <c r="A2644" s="1" t="s">
        <v>2110</v>
      </c>
      <c r="B2644" s="3" t="str">
        <f t="shared" si="1"/>
        <v>Unavailable</v>
      </c>
      <c r="C2644" s="5">
        <v>11163.0</v>
      </c>
      <c r="D2644" s="3">
        <f>IFERROR(__xludf.DUMMYFUNCTION("IFERROR(
IF(REGEXMATCH(LOWER(O2644),""k""),
VALUE(REGEXEXTRACT(O2644,""[0-9]+""))*1000,
VALUE(REGEXEXTRACT(O2644,""[0-9]+""))
),
0
)"),0.0)</f>
        <v>0</v>
      </c>
      <c r="E2644" s="1" t="s">
        <v>11</v>
      </c>
      <c r="F2644" s="1" t="s">
        <v>20</v>
      </c>
      <c r="G2644" s="4" t="b">
        <f t="shared" si="2"/>
        <v>1</v>
      </c>
      <c r="H2644" s="1" t="str">
        <f t="shared" si="3"/>
        <v>Currently Unavailable</v>
      </c>
      <c r="I2644" s="1" t="str">
        <f t="shared" si="4"/>
        <v>No Badges</v>
      </c>
      <c r="J2644" s="3">
        <f t="shared" si="5"/>
        <v>0</v>
      </c>
    </row>
    <row r="2645">
      <c r="A2645" s="1" t="s">
        <v>2111</v>
      </c>
      <c r="B2645" s="3" t="str">
        <f t="shared" si="1"/>
        <v>Unavailable</v>
      </c>
      <c r="C2645" s="3">
        <v>465.0</v>
      </c>
      <c r="D2645" s="3">
        <f>IFERROR(__xludf.DUMMYFUNCTION("IFERROR(
IF(REGEXMATCH(LOWER(O2645),""k""),
VALUE(REGEXEXTRACT(O2645,""[0-9]+""))*1000,
VALUE(REGEXEXTRACT(O2645,""[0-9]+""))
),
0
)"),0.0)</f>
        <v>0</v>
      </c>
      <c r="E2645" s="1" t="s">
        <v>11</v>
      </c>
      <c r="F2645" s="1" t="s">
        <v>20</v>
      </c>
      <c r="G2645" s="4" t="b">
        <f t="shared" si="2"/>
        <v>1</v>
      </c>
      <c r="H2645" s="1" t="str">
        <f t="shared" si="3"/>
        <v>Currently Unavailable</v>
      </c>
      <c r="I2645" s="1" t="str">
        <f t="shared" si="4"/>
        <v>No Badges</v>
      </c>
      <c r="J2645" s="3">
        <f t="shared" si="5"/>
        <v>0</v>
      </c>
    </row>
    <row r="2646">
      <c r="A2646" s="1" t="s">
        <v>2112</v>
      </c>
      <c r="B2646" s="3" t="str">
        <f t="shared" si="1"/>
        <v>Unavailable</v>
      </c>
      <c r="C2646" s="3">
        <v>91.0</v>
      </c>
      <c r="D2646" s="3">
        <f>IFERROR(__xludf.DUMMYFUNCTION("IFERROR(
IF(REGEXMATCH(LOWER(O2646),""k""),
VALUE(REGEXEXTRACT(O2646,""[0-9]+""))*1000,
VALUE(REGEXEXTRACT(O2646,""[0-9]+""))
),
0
)"),0.0)</f>
        <v>0</v>
      </c>
      <c r="E2646" s="1" t="s">
        <v>11</v>
      </c>
      <c r="F2646" s="1" t="s">
        <v>20</v>
      </c>
      <c r="G2646" s="4" t="b">
        <f t="shared" si="2"/>
        <v>1</v>
      </c>
      <c r="H2646" s="1" t="str">
        <f t="shared" si="3"/>
        <v>Currently Unavailable</v>
      </c>
      <c r="I2646" s="1" t="str">
        <f t="shared" si="4"/>
        <v>No Badges</v>
      </c>
      <c r="J2646" s="3">
        <f t="shared" si="5"/>
        <v>0</v>
      </c>
    </row>
    <row r="2647">
      <c r="A2647" s="1" t="s">
        <v>2113</v>
      </c>
      <c r="B2647" s="3" t="str">
        <f t="shared" si="1"/>
        <v>Unavailable</v>
      </c>
      <c r="C2647" s="5">
        <v>3368.0</v>
      </c>
      <c r="D2647" s="3">
        <f>IFERROR(__xludf.DUMMYFUNCTION("IFERROR(
IF(REGEXMATCH(LOWER(O2647),""k""),
VALUE(REGEXEXTRACT(O2647,""[0-9]+""))*1000,
VALUE(REGEXEXTRACT(O2647,""[0-9]+""))
),
0
)"),0.0)</f>
        <v>0</v>
      </c>
      <c r="E2647" s="1" t="s">
        <v>11</v>
      </c>
      <c r="F2647" s="1" t="s">
        <v>20</v>
      </c>
      <c r="G2647" s="4" t="b">
        <f t="shared" si="2"/>
        <v>1</v>
      </c>
      <c r="H2647" s="1" t="str">
        <f t="shared" si="3"/>
        <v>Currently Unavailable</v>
      </c>
      <c r="I2647" s="1" t="str">
        <f t="shared" si="4"/>
        <v>No Badges</v>
      </c>
      <c r="J2647" s="3">
        <f t="shared" si="5"/>
        <v>0</v>
      </c>
    </row>
    <row r="2648">
      <c r="A2648" s="1" t="s">
        <v>1606</v>
      </c>
      <c r="B2648" s="3" t="str">
        <f t="shared" si="1"/>
        <v>Unavailable</v>
      </c>
      <c r="C2648" s="3">
        <v>19.0</v>
      </c>
      <c r="D2648" s="3">
        <f>IFERROR(__xludf.DUMMYFUNCTION("IFERROR(
IF(REGEXMATCH(LOWER(O2648),""k""),
VALUE(REGEXEXTRACT(O2648,""[0-9]+""))*1000,
VALUE(REGEXEXTRACT(O2648,""[0-9]+""))
),
0
)"),0.0)</f>
        <v>0</v>
      </c>
      <c r="E2648" s="1" t="s">
        <v>11</v>
      </c>
      <c r="F2648" s="1" t="s">
        <v>20</v>
      </c>
      <c r="G2648" s="4" t="b">
        <f t="shared" si="2"/>
        <v>1</v>
      </c>
      <c r="H2648" s="1" t="str">
        <f t="shared" si="3"/>
        <v>Currently Unavailable</v>
      </c>
      <c r="I2648" s="1" t="str">
        <f t="shared" si="4"/>
        <v>No Badges</v>
      </c>
      <c r="J2648" s="3">
        <f t="shared" si="5"/>
        <v>0</v>
      </c>
    </row>
    <row r="2649">
      <c r="A2649" s="1" t="s">
        <v>1284</v>
      </c>
      <c r="B2649" s="3" t="str">
        <f t="shared" si="1"/>
        <v>Unavailable</v>
      </c>
      <c r="C2649" s="3">
        <v>172.0</v>
      </c>
      <c r="D2649" s="3">
        <f>IFERROR(__xludf.DUMMYFUNCTION("IFERROR(
IF(REGEXMATCH(LOWER(O2649),""k""),
VALUE(REGEXEXTRACT(O2649,""[0-9]+""))*1000,
VALUE(REGEXEXTRACT(O2649,""[0-9]+""))
),
0
)"),0.0)</f>
        <v>0</v>
      </c>
      <c r="E2649" s="1" t="s">
        <v>11</v>
      </c>
      <c r="F2649" s="1" t="s">
        <v>12</v>
      </c>
      <c r="G2649" s="4" t="b">
        <f t="shared" si="2"/>
        <v>1</v>
      </c>
      <c r="H2649" s="1" t="str">
        <f t="shared" si="3"/>
        <v>Currently Unavailable</v>
      </c>
      <c r="I2649" s="1" t="str">
        <f t="shared" si="4"/>
        <v>No Badges</v>
      </c>
      <c r="J2649" s="3">
        <f t="shared" si="5"/>
        <v>0</v>
      </c>
    </row>
    <row r="2650">
      <c r="A2650" s="1" t="s">
        <v>2114</v>
      </c>
      <c r="B2650" s="3" t="str">
        <f t="shared" si="1"/>
        <v>Unavailable</v>
      </c>
      <c r="C2650" s="3">
        <v>180.0</v>
      </c>
      <c r="D2650" s="3">
        <f>IFERROR(__xludf.DUMMYFUNCTION("IFERROR(
IF(REGEXMATCH(LOWER(O2650),""k""),
VALUE(REGEXEXTRACT(O2650,""[0-9]+""))*1000,
VALUE(REGEXEXTRACT(O2650,""[0-9]+""))
),
0
)"),0.0)</f>
        <v>0</v>
      </c>
      <c r="E2650" s="1" t="s">
        <v>11</v>
      </c>
      <c r="F2650" s="1" t="s">
        <v>20</v>
      </c>
      <c r="G2650" s="4" t="b">
        <f t="shared" si="2"/>
        <v>1</v>
      </c>
      <c r="H2650" s="1" t="str">
        <f t="shared" si="3"/>
        <v>Currently Unavailable</v>
      </c>
      <c r="I2650" s="1" t="str">
        <f t="shared" si="4"/>
        <v>No Badges</v>
      </c>
      <c r="J2650" s="3">
        <f t="shared" si="5"/>
        <v>0</v>
      </c>
    </row>
    <row r="2651">
      <c r="A2651" s="1" t="s">
        <v>69</v>
      </c>
      <c r="B2651" s="3" t="str">
        <f t="shared" si="1"/>
        <v>Unavailable</v>
      </c>
      <c r="C2651" s="3">
        <v>45.0</v>
      </c>
      <c r="D2651" s="3">
        <f>IFERROR(__xludf.DUMMYFUNCTION("IFERROR(
IF(REGEXMATCH(LOWER(O2651),""k""),
VALUE(REGEXEXTRACT(O2651,""[0-9]+""))*1000,
VALUE(REGEXEXTRACT(O2651,""[0-9]+""))
),
0
)"),0.0)</f>
        <v>0</v>
      </c>
      <c r="E2651" s="1" t="s">
        <v>11</v>
      </c>
      <c r="F2651" s="1" t="s">
        <v>12</v>
      </c>
      <c r="G2651" s="4" t="b">
        <f t="shared" si="2"/>
        <v>1</v>
      </c>
      <c r="H2651" s="1" t="str">
        <f t="shared" si="3"/>
        <v>Currently Unavailable</v>
      </c>
      <c r="I2651" s="1" t="str">
        <f t="shared" si="4"/>
        <v>No Badges</v>
      </c>
      <c r="J2651" s="3">
        <f t="shared" si="5"/>
        <v>0</v>
      </c>
    </row>
    <row r="2652">
      <c r="A2652" s="1" t="s">
        <v>67</v>
      </c>
      <c r="B2652" s="3" t="str">
        <f t="shared" si="1"/>
        <v>Unavailable</v>
      </c>
      <c r="C2652" s="3">
        <v>264.0</v>
      </c>
      <c r="D2652" s="3">
        <f>IFERROR(__xludf.DUMMYFUNCTION("IFERROR(
IF(REGEXMATCH(LOWER(O2652),""k""),
VALUE(REGEXEXTRACT(O2652,""[0-9]+""))*1000,
VALUE(REGEXEXTRACT(O2652,""[0-9]+""))
),
0
)"),0.0)</f>
        <v>0</v>
      </c>
      <c r="E2652" s="1" t="s">
        <v>11</v>
      </c>
      <c r="F2652" s="1" t="s">
        <v>12</v>
      </c>
      <c r="G2652" s="4" t="b">
        <f t="shared" si="2"/>
        <v>1</v>
      </c>
      <c r="H2652" s="1" t="str">
        <f t="shared" si="3"/>
        <v>Currently Unavailable</v>
      </c>
      <c r="I2652" s="1" t="str">
        <f t="shared" si="4"/>
        <v>No Badges</v>
      </c>
      <c r="J2652" s="3">
        <f t="shared" si="5"/>
        <v>0</v>
      </c>
    </row>
    <row r="2653">
      <c r="A2653" s="1" t="s">
        <v>2115</v>
      </c>
      <c r="B2653" s="3" t="str">
        <f t="shared" si="1"/>
        <v>Unavailable</v>
      </c>
      <c r="C2653" s="5">
        <v>1669.0</v>
      </c>
      <c r="D2653" s="3">
        <f>IFERROR(__xludf.DUMMYFUNCTION("IFERROR(
IF(REGEXMATCH(LOWER(O2653),""k""),
VALUE(REGEXEXTRACT(O2653,""[0-9]+""))*1000,
VALUE(REGEXEXTRACT(O2653,""[0-9]+""))
),
0
)"),0.0)</f>
        <v>0</v>
      </c>
      <c r="E2653" s="1" t="s">
        <v>11</v>
      </c>
      <c r="F2653" s="1" t="s">
        <v>20</v>
      </c>
      <c r="G2653" s="4" t="b">
        <f t="shared" si="2"/>
        <v>1</v>
      </c>
      <c r="H2653" s="1" t="str">
        <f t="shared" si="3"/>
        <v>Currently Unavailable</v>
      </c>
      <c r="I2653" s="1" t="str">
        <f t="shared" si="4"/>
        <v>No Badges</v>
      </c>
      <c r="J2653" s="3">
        <f t="shared" si="5"/>
        <v>0</v>
      </c>
    </row>
    <row r="2654">
      <c r="A2654" s="1" t="s">
        <v>2116</v>
      </c>
      <c r="B2654" s="3" t="str">
        <f t="shared" si="1"/>
        <v>Unavailable</v>
      </c>
      <c r="C2654" s="5">
        <v>38381.0</v>
      </c>
      <c r="D2654" s="3">
        <f>IFERROR(__xludf.DUMMYFUNCTION("IFERROR(
IF(REGEXMATCH(LOWER(O2654),""k""),
VALUE(REGEXEXTRACT(O2654,""[0-9]+""))*1000,
VALUE(REGEXEXTRACT(O2654,""[0-9]+""))
),
0
)"),0.0)</f>
        <v>0</v>
      </c>
      <c r="E2654" s="1" t="s">
        <v>11</v>
      </c>
      <c r="F2654" s="1" t="s">
        <v>20</v>
      </c>
      <c r="G2654" s="4" t="b">
        <f t="shared" si="2"/>
        <v>1</v>
      </c>
      <c r="H2654" s="1" t="str">
        <f t="shared" si="3"/>
        <v>Currently Unavailable</v>
      </c>
      <c r="I2654" s="1" t="str">
        <f t="shared" si="4"/>
        <v>No Badges</v>
      </c>
      <c r="J2654" s="3">
        <f t="shared" si="5"/>
        <v>0</v>
      </c>
    </row>
    <row r="2655">
      <c r="A2655" s="1" t="s">
        <v>2117</v>
      </c>
      <c r="B2655" s="3" t="str">
        <f t="shared" si="1"/>
        <v>Unavailable</v>
      </c>
      <c r="C2655" s="5">
        <v>14886.0</v>
      </c>
      <c r="D2655" s="3">
        <f>IFERROR(__xludf.DUMMYFUNCTION("IFERROR(
IF(REGEXMATCH(LOWER(O2655),""k""),
VALUE(REGEXEXTRACT(O2655,""[0-9]+""))*1000,
VALUE(REGEXEXTRACT(O2655,""[0-9]+""))
),
0
)"),0.0)</f>
        <v>0</v>
      </c>
      <c r="E2655" s="1" t="s">
        <v>11</v>
      </c>
      <c r="F2655" s="1" t="s">
        <v>20</v>
      </c>
      <c r="G2655" s="4" t="b">
        <f t="shared" si="2"/>
        <v>1</v>
      </c>
      <c r="H2655" s="1" t="str">
        <f t="shared" si="3"/>
        <v>Currently Unavailable</v>
      </c>
      <c r="I2655" s="1" t="str">
        <f t="shared" si="4"/>
        <v>No Badges</v>
      </c>
      <c r="J2655" s="3">
        <f t="shared" si="5"/>
        <v>0</v>
      </c>
    </row>
    <row r="2656">
      <c r="A2656" s="1" t="s">
        <v>2118</v>
      </c>
      <c r="B2656" s="3" t="str">
        <f t="shared" si="1"/>
        <v>Unavailable</v>
      </c>
      <c r="C2656" s="3">
        <v>236.0</v>
      </c>
      <c r="D2656" s="3">
        <f>IFERROR(__xludf.DUMMYFUNCTION("IFERROR(
IF(REGEXMATCH(LOWER(O2656),""k""),
VALUE(REGEXEXTRACT(O2656,""[0-9]+""))*1000,
VALUE(REGEXEXTRACT(O2656,""[0-9]+""))
),
0
)"),0.0)</f>
        <v>0</v>
      </c>
      <c r="E2656" s="1" t="s">
        <v>11</v>
      </c>
      <c r="F2656" s="1" t="s">
        <v>20</v>
      </c>
      <c r="G2656" s="4" t="b">
        <f t="shared" si="2"/>
        <v>1</v>
      </c>
      <c r="H2656" s="1" t="str">
        <f t="shared" si="3"/>
        <v>Currently Unavailable</v>
      </c>
      <c r="I2656" s="1" t="str">
        <f t="shared" si="4"/>
        <v>No Badges</v>
      </c>
      <c r="J2656" s="3">
        <f t="shared" si="5"/>
        <v>0</v>
      </c>
    </row>
    <row r="2657">
      <c r="A2657" s="1" t="s">
        <v>2119</v>
      </c>
      <c r="B2657" s="3" t="str">
        <f t="shared" si="1"/>
        <v>Unavailable</v>
      </c>
      <c r="C2657" s="5">
        <v>11028.0</v>
      </c>
      <c r="D2657" s="3">
        <f>IFERROR(__xludf.DUMMYFUNCTION("IFERROR(
IF(REGEXMATCH(LOWER(O2657),""k""),
VALUE(REGEXEXTRACT(O2657,""[0-9]+""))*1000,
VALUE(REGEXEXTRACT(O2657,""[0-9]+""))
),
0
)"),0.0)</f>
        <v>0</v>
      </c>
      <c r="E2657" s="1" t="s">
        <v>11</v>
      </c>
      <c r="F2657" s="1" t="s">
        <v>20</v>
      </c>
      <c r="G2657" s="4" t="b">
        <f t="shared" si="2"/>
        <v>1</v>
      </c>
      <c r="H2657" s="1" t="str">
        <f t="shared" si="3"/>
        <v>Currently Unavailable</v>
      </c>
      <c r="I2657" s="1" t="str">
        <f t="shared" si="4"/>
        <v>No Badges</v>
      </c>
      <c r="J2657" s="3">
        <f t="shared" si="5"/>
        <v>0</v>
      </c>
    </row>
    <row r="2658">
      <c r="A2658" s="1" t="s">
        <v>1285</v>
      </c>
      <c r="B2658" s="3" t="str">
        <f t="shared" si="1"/>
        <v>Unavailable</v>
      </c>
      <c r="C2658" s="5">
        <v>3520.0</v>
      </c>
      <c r="D2658" s="3">
        <f>IFERROR(__xludf.DUMMYFUNCTION("IFERROR(
IF(REGEXMATCH(LOWER(O2658),""k""),
VALUE(REGEXEXTRACT(O2658,""[0-9]+""))*1000,
VALUE(REGEXEXTRACT(O2658,""[0-9]+""))
),
0
)"),0.0)</f>
        <v>0</v>
      </c>
      <c r="E2658" s="1" t="s">
        <v>11</v>
      </c>
      <c r="F2658" s="1" t="s">
        <v>12</v>
      </c>
      <c r="G2658" s="4" t="b">
        <f t="shared" si="2"/>
        <v>1</v>
      </c>
      <c r="H2658" s="1" t="str">
        <f t="shared" si="3"/>
        <v>Currently Unavailable</v>
      </c>
      <c r="I2658" s="1" t="str">
        <f t="shared" si="4"/>
        <v>No Badges</v>
      </c>
      <c r="J2658" s="3">
        <f t="shared" si="5"/>
        <v>0</v>
      </c>
    </row>
    <row r="2659">
      <c r="A2659" s="1" t="s">
        <v>1284</v>
      </c>
      <c r="B2659" s="3" t="str">
        <f t="shared" si="1"/>
        <v>Unavailable</v>
      </c>
      <c r="C2659" s="3">
        <v>172.0</v>
      </c>
      <c r="D2659" s="3">
        <f>IFERROR(__xludf.DUMMYFUNCTION("IFERROR(
IF(REGEXMATCH(LOWER(O2659),""k""),
VALUE(REGEXEXTRACT(O2659,""[0-9]+""))*1000,
VALUE(REGEXEXTRACT(O2659,""[0-9]+""))
),
0
)"),0.0)</f>
        <v>0</v>
      </c>
      <c r="E2659" s="1" t="s">
        <v>11</v>
      </c>
      <c r="F2659" s="1" t="s">
        <v>12</v>
      </c>
      <c r="G2659" s="4" t="b">
        <f t="shared" si="2"/>
        <v>1</v>
      </c>
      <c r="H2659" s="1" t="str">
        <f t="shared" si="3"/>
        <v>Currently Unavailable</v>
      </c>
      <c r="I2659" s="1" t="str">
        <f t="shared" si="4"/>
        <v>No Badges</v>
      </c>
      <c r="J2659" s="3">
        <f t="shared" si="5"/>
        <v>0</v>
      </c>
    </row>
    <row r="2660">
      <c r="A2660" s="1" t="s">
        <v>2120</v>
      </c>
      <c r="B2660" s="3" t="str">
        <f t="shared" si="1"/>
        <v>Unavailable</v>
      </c>
      <c r="C2660" s="5">
        <v>6646.0</v>
      </c>
      <c r="D2660" s="3">
        <f>IFERROR(__xludf.DUMMYFUNCTION("IFERROR(
IF(REGEXMATCH(LOWER(O2660),""k""),
VALUE(REGEXEXTRACT(O2660,""[0-9]+""))*1000,
VALUE(REGEXEXTRACT(O2660,""[0-9]+""))
),
0
)"),0.0)</f>
        <v>0</v>
      </c>
      <c r="E2660" s="1" t="s">
        <v>11</v>
      </c>
      <c r="F2660" s="1" t="s">
        <v>20</v>
      </c>
      <c r="G2660" s="4" t="b">
        <f t="shared" si="2"/>
        <v>1</v>
      </c>
      <c r="H2660" s="1" t="str">
        <f t="shared" si="3"/>
        <v>Currently Unavailable</v>
      </c>
      <c r="I2660" s="1" t="str">
        <f t="shared" si="4"/>
        <v>No Badges</v>
      </c>
      <c r="J2660" s="3">
        <f t="shared" si="5"/>
        <v>0</v>
      </c>
    </row>
    <row r="2661">
      <c r="A2661" s="1" t="s">
        <v>2121</v>
      </c>
      <c r="B2661" s="3" t="str">
        <f t="shared" si="1"/>
        <v>Unavailable</v>
      </c>
      <c r="C2661" s="5">
        <v>47288.0</v>
      </c>
      <c r="D2661" s="3">
        <f>IFERROR(__xludf.DUMMYFUNCTION("IFERROR(
IF(REGEXMATCH(LOWER(O2661),""k""),
VALUE(REGEXEXTRACT(O2661,""[0-9]+""))*1000,
VALUE(REGEXEXTRACT(O2661,""[0-9]+""))
),
0
)"),0.0)</f>
        <v>0</v>
      </c>
      <c r="E2661" s="1" t="s">
        <v>11</v>
      </c>
      <c r="F2661" s="1" t="s">
        <v>20</v>
      </c>
      <c r="G2661" s="4" t="b">
        <f t="shared" si="2"/>
        <v>1</v>
      </c>
      <c r="H2661" s="1" t="str">
        <f t="shared" si="3"/>
        <v>Currently Unavailable</v>
      </c>
      <c r="I2661" s="1" t="str">
        <f t="shared" si="4"/>
        <v>No Badges</v>
      </c>
      <c r="J2661" s="3">
        <f t="shared" si="5"/>
        <v>0</v>
      </c>
    </row>
    <row r="2662">
      <c r="A2662" s="1" t="s">
        <v>2122</v>
      </c>
      <c r="B2662" s="3" t="str">
        <f t="shared" si="1"/>
        <v>Unavailable</v>
      </c>
      <c r="C2662" s="5">
        <v>24209.0</v>
      </c>
      <c r="D2662" s="3">
        <f>IFERROR(__xludf.DUMMYFUNCTION("IFERROR(
IF(REGEXMATCH(LOWER(O2662),""k""),
VALUE(REGEXEXTRACT(O2662,""[0-9]+""))*1000,
VALUE(REGEXEXTRACT(O2662,""[0-9]+""))
),
0
)"),0.0)</f>
        <v>0</v>
      </c>
      <c r="E2662" s="1" t="s">
        <v>11</v>
      </c>
      <c r="F2662" s="1" t="s">
        <v>20</v>
      </c>
      <c r="G2662" s="4" t="b">
        <f t="shared" si="2"/>
        <v>1</v>
      </c>
      <c r="H2662" s="1" t="str">
        <f t="shared" si="3"/>
        <v>Currently Unavailable</v>
      </c>
      <c r="I2662" s="1" t="str">
        <f t="shared" si="4"/>
        <v>No Badges</v>
      </c>
      <c r="J2662" s="3">
        <f t="shared" si="5"/>
        <v>0</v>
      </c>
    </row>
    <row r="2663">
      <c r="A2663" s="1" t="s">
        <v>2123</v>
      </c>
      <c r="B2663" s="3" t="str">
        <f t="shared" si="1"/>
        <v>Unavailable</v>
      </c>
      <c r="C2663" s="5">
        <v>4649.0</v>
      </c>
      <c r="D2663" s="3">
        <f>IFERROR(__xludf.DUMMYFUNCTION("IFERROR(
IF(REGEXMATCH(LOWER(O2663),""k""),
VALUE(REGEXEXTRACT(O2663,""[0-9]+""))*1000,
VALUE(REGEXEXTRACT(O2663,""[0-9]+""))
),
0
)"),0.0)</f>
        <v>0</v>
      </c>
      <c r="E2663" s="1" t="s">
        <v>11</v>
      </c>
      <c r="F2663" s="1" t="s">
        <v>20</v>
      </c>
      <c r="G2663" s="4" t="b">
        <f t="shared" si="2"/>
        <v>1</v>
      </c>
      <c r="H2663" s="1" t="str">
        <f t="shared" si="3"/>
        <v>Currently Unavailable</v>
      </c>
      <c r="I2663" s="1" t="str">
        <f t="shared" si="4"/>
        <v>No Badges</v>
      </c>
      <c r="J2663" s="3">
        <f t="shared" si="5"/>
        <v>0</v>
      </c>
    </row>
    <row r="2664">
      <c r="A2664" s="1" t="s">
        <v>1285</v>
      </c>
      <c r="B2664" s="3" t="str">
        <f t="shared" si="1"/>
        <v>Unavailable</v>
      </c>
      <c r="C2664" s="5">
        <v>3520.0</v>
      </c>
      <c r="D2664" s="3">
        <f>IFERROR(__xludf.DUMMYFUNCTION("IFERROR(
IF(REGEXMATCH(LOWER(O2664),""k""),
VALUE(REGEXEXTRACT(O2664,""[0-9]+""))*1000,
VALUE(REGEXEXTRACT(O2664,""[0-9]+""))
),
0
)"),0.0)</f>
        <v>0</v>
      </c>
      <c r="E2664" s="1" t="s">
        <v>11</v>
      </c>
      <c r="F2664" s="1" t="s">
        <v>12</v>
      </c>
      <c r="G2664" s="4" t="b">
        <f t="shared" si="2"/>
        <v>1</v>
      </c>
      <c r="H2664" s="1" t="str">
        <f t="shared" si="3"/>
        <v>Currently Unavailable</v>
      </c>
      <c r="I2664" s="1" t="str">
        <f t="shared" si="4"/>
        <v>No Badges</v>
      </c>
      <c r="J2664" s="3">
        <f t="shared" si="5"/>
        <v>0</v>
      </c>
    </row>
    <row r="2665">
      <c r="A2665" s="1" t="s">
        <v>2124</v>
      </c>
      <c r="B2665" s="3" t="str">
        <f t="shared" si="1"/>
        <v>Unavailable</v>
      </c>
      <c r="C2665" s="5">
        <v>2548.0</v>
      </c>
      <c r="D2665" s="3">
        <f>IFERROR(__xludf.DUMMYFUNCTION("IFERROR(
IF(REGEXMATCH(LOWER(O2665),""k""),
VALUE(REGEXEXTRACT(O2665,""[0-9]+""))*1000,
VALUE(REGEXEXTRACT(O2665,""[0-9]+""))
),
0
)"),0.0)</f>
        <v>0</v>
      </c>
      <c r="E2665" s="1" t="s">
        <v>11</v>
      </c>
      <c r="F2665" s="1" t="s">
        <v>20</v>
      </c>
      <c r="G2665" s="4" t="b">
        <f t="shared" si="2"/>
        <v>1</v>
      </c>
      <c r="H2665" s="1" t="str">
        <f t="shared" si="3"/>
        <v>Currently Unavailable</v>
      </c>
      <c r="I2665" s="1" t="str">
        <f t="shared" si="4"/>
        <v>No Badges</v>
      </c>
      <c r="J2665" s="3">
        <f t="shared" si="5"/>
        <v>0</v>
      </c>
    </row>
    <row r="2666">
      <c r="A2666" s="1" t="s">
        <v>1284</v>
      </c>
      <c r="B2666" s="3" t="str">
        <f t="shared" si="1"/>
        <v>Unavailable</v>
      </c>
      <c r="C2666" s="3">
        <v>172.0</v>
      </c>
      <c r="D2666" s="3">
        <f>IFERROR(__xludf.DUMMYFUNCTION("IFERROR(
IF(REGEXMATCH(LOWER(O2666),""k""),
VALUE(REGEXEXTRACT(O2666,""[0-9]+""))*1000,
VALUE(REGEXEXTRACT(O2666,""[0-9]+""))
),
0
)"),0.0)</f>
        <v>0</v>
      </c>
      <c r="E2666" s="1" t="s">
        <v>11</v>
      </c>
      <c r="F2666" s="1" t="s">
        <v>12</v>
      </c>
      <c r="G2666" s="4" t="b">
        <f t="shared" si="2"/>
        <v>1</v>
      </c>
      <c r="H2666" s="1" t="str">
        <f t="shared" si="3"/>
        <v>Currently Unavailable</v>
      </c>
      <c r="I2666" s="1" t="str">
        <f t="shared" si="4"/>
        <v>No Badges</v>
      </c>
      <c r="J2666" s="3">
        <f t="shared" si="5"/>
        <v>0</v>
      </c>
    </row>
    <row r="2667">
      <c r="A2667" s="1" t="s">
        <v>701</v>
      </c>
      <c r="B2667" s="3" t="str">
        <f t="shared" si="1"/>
        <v>Unavailable</v>
      </c>
      <c r="C2667" s="3">
        <v>8.0</v>
      </c>
      <c r="D2667" s="3">
        <f>IFERROR(__xludf.DUMMYFUNCTION("IFERROR(
IF(REGEXMATCH(LOWER(O2667),""k""),
VALUE(REGEXEXTRACT(O2667,""[0-9]+""))*1000,
VALUE(REGEXEXTRACT(O2667,""[0-9]+""))
),
0
)"),0.0)</f>
        <v>0</v>
      </c>
      <c r="E2667" s="1" t="s">
        <v>11</v>
      </c>
      <c r="F2667" s="1" t="s">
        <v>12</v>
      </c>
      <c r="G2667" s="4" t="b">
        <f t="shared" si="2"/>
        <v>1</v>
      </c>
      <c r="H2667" s="1" t="str">
        <f t="shared" si="3"/>
        <v>Currently Unavailable</v>
      </c>
      <c r="I2667" s="1" t="str">
        <f t="shared" si="4"/>
        <v>No Badges</v>
      </c>
      <c r="J2667" s="3">
        <f t="shared" si="5"/>
        <v>0</v>
      </c>
    </row>
    <row r="2668">
      <c r="A2668" s="1" t="s">
        <v>2125</v>
      </c>
      <c r="B2668" s="3" t="str">
        <f t="shared" si="1"/>
        <v>Unavailable</v>
      </c>
      <c r="C2668" s="3">
        <v>182.0</v>
      </c>
      <c r="D2668" s="3">
        <f>IFERROR(__xludf.DUMMYFUNCTION("IFERROR(
IF(REGEXMATCH(LOWER(O2668),""k""),
VALUE(REGEXEXTRACT(O2668,""[0-9]+""))*1000,
VALUE(REGEXEXTRACT(O2668,""[0-9]+""))
),
0
)"),0.0)</f>
        <v>0</v>
      </c>
      <c r="E2668" s="1" t="s">
        <v>11</v>
      </c>
      <c r="F2668" s="1" t="s">
        <v>12</v>
      </c>
      <c r="G2668" s="4" t="b">
        <f t="shared" si="2"/>
        <v>1</v>
      </c>
      <c r="H2668" s="1" t="str">
        <f t="shared" si="3"/>
        <v>Currently Unavailable</v>
      </c>
      <c r="I2668" s="1" t="str">
        <f t="shared" si="4"/>
        <v>No Badges</v>
      </c>
      <c r="J2668" s="3">
        <f t="shared" si="5"/>
        <v>0</v>
      </c>
    </row>
    <row r="2669">
      <c r="A2669" s="1" t="s">
        <v>2126</v>
      </c>
      <c r="B2669" s="3" t="str">
        <f t="shared" si="1"/>
        <v>Unavailable</v>
      </c>
      <c r="C2669" s="5">
        <v>44497.0</v>
      </c>
      <c r="D2669" s="3">
        <f>IFERROR(__xludf.DUMMYFUNCTION("IFERROR(
IF(REGEXMATCH(LOWER(O2669),""k""),
VALUE(REGEXEXTRACT(O2669,""[0-9]+""))*1000,
VALUE(REGEXEXTRACT(O2669,""[0-9]+""))
),
0
)"),0.0)</f>
        <v>0</v>
      </c>
      <c r="E2669" s="1" t="s">
        <v>11</v>
      </c>
      <c r="F2669" s="1" t="s">
        <v>20</v>
      </c>
      <c r="G2669" s="4" t="b">
        <f t="shared" si="2"/>
        <v>1</v>
      </c>
      <c r="H2669" s="1" t="str">
        <f t="shared" si="3"/>
        <v>Currently Unavailable</v>
      </c>
      <c r="I2669" s="1" t="str">
        <f t="shared" si="4"/>
        <v>No Badges</v>
      </c>
      <c r="J2669" s="3">
        <f t="shared" si="5"/>
        <v>0</v>
      </c>
    </row>
    <row r="2670">
      <c r="A2670" s="1" t="s">
        <v>2127</v>
      </c>
      <c r="B2670" s="3" t="str">
        <f t="shared" si="1"/>
        <v>Unavailable</v>
      </c>
      <c r="C2670" s="5">
        <v>7409.0</v>
      </c>
      <c r="D2670" s="3">
        <f>IFERROR(__xludf.DUMMYFUNCTION("IFERROR(
IF(REGEXMATCH(LOWER(O2670),""k""),
VALUE(REGEXEXTRACT(O2670,""[0-9]+""))*1000,
VALUE(REGEXEXTRACT(O2670,""[0-9]+""))
),
0
)"),0.0)</f>
        <v>0</v>
      </c>
      <c r="E2670" s="1" t="s">
        <v>11</v>
      </c>
      <c r="F2670" s="1" t="s">
        <v>20</v>
      </c>
      <c r="G2670" s="4" t="b">
        <f t="shared" si="2"/>
        <v>1</v>
      </c>
      <c r="H2670" s="1" t="str">
        <f t="shared" si="3"/>
        <v>Currently Unavailable</v>
      </c>
      <c r="I2670" s="1" t="str">
        <f t="shared" si="4"/>
        <v>No Badges</v>
      </c>
      <c r="J2670" s="3">
        <f t="shared" si="5"/>
        <v>0</v>
      </c>
    </row>
    <row r="2671">
      <c r="A2671" s="1" t="s">
        <v>69</v>
      </c>
      <c r="B2671" s="3" t="str">
        <f t="shared" si="1"/>
        <v>Unavailable</v>
      </c>
      <c r="C2671" s="3">
        <v>45.0</v>
      </c>
      <c r="D2671" s="3">
        <f>IFERROR(__xludf.DUMMYFUNCTION("IFERROR(
IF(REGEXMATCH(LOWER(O2671),""k""),
VALUE(REGEXEXTRACT(O2671,""[0-9]+""))*1000,
VALUE(REGEXEXTRACT(O2671,""[0-9]+""))
),
0
)"),0.0)</f>
        <v>0</v>
      </c>
      <c r="E2671" s="1" t="s">
        <v>11</v>
      </c>
      <c r="F2671" s="1" t="s">
        <v>12</v>
      </c>
      <c r="G2671" s="4" t="b">
        <f t="shared" si="2"/>
        <v>1</v>
      </c>
      <c r="H2671" s="1" t="str">
        <f t="shared" si="3"/>
        <v>Currently Unavailable</v>
      </c>
      <c r="I2671" s="1" t="str">
        <f t="shared" si="4"/>
        <v>No Badges</v>
      </c>
      <c r="J2671" s="3">
        <f t="shared" si="5"/>
        <v>0</v>
      </c>
    </row>
    <row r="2672">
      <c r="A2672" s="1" t="s">
        <v>2128</v>
      </c>
      <c r="B2672" s="3" t="str">
        <f t="shared" si="1"/>
        <v>Unavailable</v>
      </c>
      <c r="C2672" s="5">
        <v>3858.0</v>
      </c>
      <c r="D2672" s="3">
        <f>IFERROR(__xludf.DUMMYFUNCTION("IFERROR(
IF(REGEXMATCH(LOWER(O2672),""k""),
VALUE(REGEXEXTRACT(O2672,""[0-9]+""))*1000,
VALUE(REGEXEXTRACT(O2672,""[0-9]+""))
),
0
)"),0.0)</f>
        <v>0</v>
      </c>
      <c r="E2672" s="1" t="s">
        <v>11</v>
      </c>
      <c r="F2672" s="1" t="s">
        <v>20</v>
      </c>
      <c r="G2672" s="4" t="b">
        <f t="shared" si="2"/>
        <v>1</v>
      </c>
      <c r="H2672" s="1" t="str">
        <f t="shared" si="3"/>
        <v>Currently Unavailable</v>
      </c>
      <c r="I2672" s="1" t="str">
        <f t="shared" si="4"/>
        <v>No Badges</v>
      </c>
      <c r="J2672" s="3">
        <f t="shared" si="5"/>
        <v>0</v>
      </c>
    </row>
    <row r="2673">
      <c r="A2673" s="1" t="s">
        <v>2129</v>
      </c>
      <c r="B2673" s="3" t="str">
        <f t="shared" si="1"/>
        <v>Unavailable</v>
      </c>
      <c r="C2673" s="5">
        <v>2710.0</v>
      </c>
      <c r="D2673" s="3">
        <f>IFERROR(__xludf.DUMMYFUNCTION("IFERROR(
IF(REGEXMATCH(LOWER(O2673),""k""),
VALUE(REGEXEXTRACT(O2673,""[0-9]+""))*1000,
VALUE(REGEXEXTRACT(O2673,""[0-9]+""))
),
0
)"),0.0)</f>
        <v>0</v>
      </c>
      <c r="E2673" s="1" t="s">
        <v>11</v>
      </c>
      <c r="F2673" s="1" t="s">
        <v>20</v>
      </c>
      <c r="G2673" s="4" t="b">
        <f t="shared" si="2"/>
        <v>1</v>
      </c>
      <c r="H2673" s="1" t="str">
        <f t="shared" si="3"/>
        <v>Currently Unavailable</v>
      </c>
      <c r="I2673" s="1" t="str">
        <f t="shared" si="4"/>
        <v>No Badges</v>
      </c>
      <c r="J2673" s="3">
        <f t="shared" si="5"/>
        <v>0</v>
      </c>
    </row>
    <row r="2674">
      <c r="A2674" s="1" t="s">
        <v>2130</v>
      </c>
      <c r="B2674" s="3" t="str">
        <f t="shared" si="1"/>
        <v>Unavailable</v>
      </c>
      <c r="C2674" s="5">
        <v>10373.0</v>
      </c>
      <c r="D2674" s="3">
        <f>IFERROR(__xludf.DUMMYFUNCTION("IFERROR(
IF(REGEXMATCH(LOWER(O2674),""k""),
VALUE(REGEXEXTRACT(O2674,""[0-9]+""))*1000,
VALUE(REGEXEXTRACT(O2674,""[0-9]+""))
),
0
)"),0.0)</f>
        <v>0</v>
      </c>
      <c r="E2674" s="1" t="s">
        <v>11</v>
      </c>
      <c r="F2674" s="1" t="s">
        <v>20</v>
      </c>
      <c r="G2674" s="4" t="b">
        <f t="shared" si="2"/>
        <v>1</v>
      </c>
      <c r="H2674" s="1" t="str">
        <f t="shared" si="3"/>
        <v>Currently Unavailable</v>
      </c>
      <c r="I2674" s="1" t="str">
        <f t="shared" si="4"/>
        <v>No Badges</v>
      </c>
      <c r="J2674" s="3">
        <f t="shared" si="5"/>
        <v>0</v>
      </c>
    </row>
    <row r="2675">
      <c r="A2675" s="1" t="s">
        <v>1285</v>
      </c>
      <c r="B2675" s="3" t="str">
        <f t="shared" si="1"/>
        <v>Unavailable</v>
      </c>
      <c r="C2675" s="5">
        <v>3520.0</v>
      </c>
      <c r="D2675" s="3">
        <f>IFERROR(__xludf.DUMMYFUNCTION("IFERROR(
IF(REGEXMATCH(LOWER(O2675),""k""),
VALUE(REGEXEXTRACT(O2675,""[0-9]+""))*1000,
VALUE(REGEXEXTRACT(O2675,""[0-9]+""))
),
0
)"),0.0)</f>
        <v>0</v>
      </c>
      <c r="E2675" s="1" t="s">
        <v>11</v>
      </c>
      <c r="F2675" s="1" t="s">
        <v>12</v>
      </c>
      <c r="G2675" s="4" t="b">
        <f t="shared" si="2"/>
        <v>1</v>
      </c>
      <c r="H2675" s="1" t="str">
        <f t="shared" si="3"/>
        <v>Currently Unavailable</v>
      </c>
      <c r="I2675" s="1" t="str">
        <f t="shared" si="4"/>
        <v>No Badges</v>
      </c>
      <c r="J2675" s="3">
        <f t="shared" si="5"/>
        <v>0</v>
      </c>
    </row>
    <row r="2676">
      <c r="A2676" s="1" t="s">
        <v>1284</v>
      </c>
      <c r="B2676" s="3" t="str">
        <f t="shared" si="1"/>
        <v>Unavailable</v>
      </c>
      <c r="C2676" s="3">
        <v>172.0</v>
      </c>
      <c r="D2676" s="3">
        <f>IFERROR(__xludf.DUMMYFUNCTION("IFERROR(
IF(REGEXMATCH(LOWER(O2676),""k""),
VALUE(REGEXEXTRACT(O2676,""[0-9]+""))*1000,
VALUE(REGEXEXTRACT(O2676,""[0-9]+""))
),
0
)"),0.0)</f>
        <v>0</v>
      </c>
      <c r="E2676" s="1" t="s">
        <v>11</v>
      </c>
      <c r="F2676" s="1" t="s">
        <v>12</v>
      </c>
      <c r="G2676" s="4" t="b">
        <f t="shared" si="2"/>
        <v>1</v>
      </c>
      <c r="H2676" s="1" t="str">
        <f t="shared" si="3"/>
        <v>Currently Unavailable</v>
      </c>
      <c r="I2676" s="1" t="str">
        <f t="shared" si="4"/>
        <v>No Badges</v>
      </c>
      <c r="J2676" s="3">
        <f t="shared" si="5"/>
        <v>0</v>
      </c>
    </row>
    <row r="2677">
      <c r="A2677" s="1" t="s">
        <v>2131</v>
      </c>
      <c r="B2677" s="3" t="str">
        <f t="shared" si="1"/>
        <v>Unavailable</v>
      </c>
      <c r="C2677" s="5">
        <v>55411.0</v>
      </c>
      <c r="D2677" s="3">
        <f>IFERROR(__xludf.DUMMYFUNCTION("IFERROR(
IF(REGEXMATCH(LOWER(O2677),""k""),
VALUE(REGEXEXTRACT(O2677,""[0-9]+""))*1000,
VALUE(REGEXEXTRACT(O2677,""[0-9]+""))
),
0
)"),0.0)</f>
        <v>0</v>
      </c>
      <c r="E2677" s="1" t="s">
        <v>11</v>
      </c>
      <c r="F2677" s="1" t="s">
        <v>20</v>
      </c>
      <c r="G2677" s="4" t="b">
        <f t="shared" si="2"/>
        <v>1</v>
      </c>
      <c r="H2677" s="1" t="str">
        <f t="shared" si="3"/>
        <v>Currently Unavailable</v>
      </c>
      <c r="I2677" s="1" t="str">
        <f t="shared" si="4"/>
        <v>No Badges</v>
      </c>
      <c r="J2677" s="3">
        <f t="shared" si="5"/>
        <v>0</v>
      </c>
    </row>
    <row r="2678">
      <c r="A2678" s="1" t="s">
        <v>2132</v>
      </c>
      <c r="B2678" s="3" t="str">
        <f t="shared" si="1"/>
        <v>Unavailable</v>
      </c>
      <c r="C2678" s="3">
        <v>884.0</v>
      </c>
      <c r="D2678" s="3">
        <f>IFERROR(__xludf.DUMMYFUNCTION("IFERROR(
IF(REGEXMATCH(LOWER(O2678),""k""),
VALUE(REGEXEXTRACT(O2678,""[0-9]+""))*1000,
VALUE(REGEXEXTRACT(O2678,""[0-9]+""))
),
0
)"),0.0)</f>
        <v>0</v>
      </c>
      <c r="E2678" s="1" t="s">
        <v>11</v>
      </c>
      <c r="F2678" s="1" t="s">
        <v>20</v>
      </c>
      <c r="G2678" s="4" t="b">
        <f t="shared" si="2"/>
        <v>1</v>
      </c>
      <c r="H2678" s="1" t="str">
        <f t="shared" si="3"/>
        <v>Currently Unavailable</v>
      </c>
      <c r="I2678" s="1" t="str">
        <f t="shared" si="4"/>
        <v>No Badges</v>
      </c>
      <c r="J2678" s="3">
        <f t="shared" si="5"/>
        <v>0</v>
      </c>
    </row>
    <row r="2679">
      <c r="A2679" s="1" t="s">
        <v>2133</v>
      </c>
      <c r="B2679" s="3" t="str">
        <f t="shared" si="1"/>
        <v>Unavailable</v>
      </c>
      <c r="C2679" s="5">
        <v>1458.0</v>
      </c>
      <c r="D2679" s="3">
        <f>IFERROR(__xludf.DUMMYFUNCTION("IFERROR(
IF(REGEXMATCH(LOWER(O2679),""k""),
VALUE(REGEXEXTRACT(O2679,""[0-9]+""))*1000,
VALUE(REGEXEXTRACT(O2679,""[0-9]+""))
),
0
)"),0.0)</f>
        <v>0</v>
      </c>
      <c r="E2679" s="1" t="s">
        <v>11</v>
      </c>
      <c r="F2679" s="1" t="s">
        <v>20</v>
      </c>
      <c r="G2679" s="4" t="b">
        <f t="shared" si="2"/>
        <v>1</v>
      </c>
      <c r="H2679" s="1" t="str">
        <f t="shared" si="3"/>
        <v>Currently Unavailable</v>
      </c>
      <c r="I2679" s="1" t="str">
        <f t="shared" si="4"/>
        <v>No Badges</v>
      </c>
      <c r="J2679" s="3">
        <f t="shared" si="5"/>
        <v>0</v>
      </c>
    </row>
    <row r="2680">
      <c r="A2680" s="1" t="s">
        <v>1285</v>
      </c>
      <c r="B2680" s="3" t="str">
        <f t="shared" si="1"/>
        <v>Unavailable</v>
      </c>
      <c r="C2680" s="5">
        <v>3520.0</v>
      </c>
      <c r="D2680" s="3">
        <f>IFERROR(__xludf.DUMMYFUNCTION("IFERROR(
IF(REGEXMATCH(LOWER(O2680),""k""),
VALUE(REGEXEXTRACT(O2680,""[0-9]+""))*1000,
VALUE(REGEXEXTRACT(O2680,""[0-9]+""))
),
0
)"),0.0)</f>
        <v>0</v>
      </c>
      <c r="E2680" s="1" t="s">
        <v>11</v>
      </c>
      <c r="F2680" s="1" t="s">
        <v>12</v>
      </c>
      <c r="G2680" s="4" t="b">
        <f t="shared" si="2"/>
        <v>1</v>
      </c>
      <c r="H2680" s="1" t="str">
        <f t="shared" si="3"/>
        <v>Currently Unavailable</v>
      </c>
      <c r="I2680" s="1" t="str">
        <f t="shared" si="4"/>
        <v>No Badges</v>
      </c>
      <c r="J2680" s="3">
        <f t="shared" si="5"/>
        <v>0</v>
      </c>
    </row>
    <row r="2681">
      <c r="A2681" s="1" t="s">
        <v>1284</v>
      </c>
      <c r="B2681" s="3" t="str">
        <f t="shared" si="1"/>
        <v>Unavailable</v>
      </c>
      <c r="C2681" s="3">
        <v>172.0</v>
      </c>
      <c r="D2681" s="3">
        <f>IFERROR(__xludf.DUMMYFUNCTION("IFERROR(
IF(REGEXMATCH(LOWER(O2681),""k""),
VALUE(REGEXEXTRACT(O2681,""[0-9]+""))*1000,
VALUE(REGEXEXTRACT(O2681,""[0-9]+""))
),
0
)"),0.0)</f>
        <v>0</v>
      </c>
      <c r="E2681" s="1" t="s">
        <v>11</v>
      </c>
      <c r="F2681" s="1" t="s">
        <v>12</v>
      </c>
      <c r="G2681" s="4" t="b">
        <f t="shared" si="2"/>
        <v>1</v>
      </c>
      <c r="H2681" s="1" t="str">
        <f t="shared" si="3"/>
        <v>Currently Unavailable</v>
      </c>
      <c r="I2681" s="1" t="str">
        <f t="shared" si="4"/>
        <v>No Badges</v>
      </c>
      <c r="J2681" s="3">
        <f t="shared" si="5"/>
        <v>0</v>
      </c>
    </row>
    <row r="2682">
      <c r="A2682" s="1" t="s">
        <v>2134</v>
      </c>
      <c r="B2682" s="3" t="str">
        <f t="shared" si="1"/>
        <v>Unavailable</v>
      </c>
      <c r="C2682" s="5">
        <v>18535.0</v>
      </c>
      <c r="D2682" s="3">
        <f>IFERROR(__xludf.DUMMYFUNCTION("IFERROR(
IF(REGEXMATCH(LOWER(O2682),""k""),
VALUE(REGEXEXTRACT(O2682,""[0-9]+""))*1000,
VALUE(REGEXEXTRACT(O2682,""[0-9]+""))
),
0
)"),0.0)</f>
        <v>0</v>
      </c>
      <c r="E2682" s="1" t="s">
        <v>11</v>
      </c>
      <c r="F2682" s="1" t="s">
        <v>20</v>
      </c>
      <c r="G2682" s="4" t="b">
        <f t="shared" si="2"/>
        <v>1</v>
      </c>
      <c r="H2682" s="1" t="str">
        <f t="shared" si="3"/>
        <v>Currently Unavailable</v>
      </c>
      <c r="I2682" s="1" t="str">
        <f t="shared" si="4"/>
        <v>No Badges</v>
      </c>
      <c r="J2682" s="3">
        <f t="shared" si="5"/>
        <v>0</v>
      </c>
    </row>
    <row r="2683">
      <c r="A2683" s="1" t="s">
        <v>1790</v>
      </c>
      <c r="B2683" s="3" t="str">
        <f t="shared" si="1"/>
        <v>Unavailable</v>
      </c>
      <c r="C2683" s="3">
        <v>134.0</v>
      </c>
      <c r="D2683" s="3">
        <f>IFERROR(__xludf.DUMMYFUNCTION("IFERROR(
IF(REGEXMATCH(LOWER(O2683),""k""),
VALUE(REGEXEXTRACT(O2683,""[0-9]+""))*1000,
VALUE(REGEXEXTRACT(O2683,""[0-9]+""))
),
0
)"),0.0)</f>
        <v>0</v>
      </c>
      <c r="E2683" s="1" t="s">
        <v>11</v>
      </c>
      <c r="F2683" s="1" t="s">
        <v>20</v>
      </c>
      <c r="G2683" s="4" t="b">
        <f t="shared" si="2"/>
        <v>1</v>
      </c>
      <c r="H2683" s="1" t="str">
        <f t="shared" si="3"/>
        <v>Currently Unavailable</v>
      </c>
      <c r="I2683" s="1" t="str">
        <f t="shared" si="4"/>
        <v>No Badges</v>
      </c>
      <c r="J2683" s="3">
        <f t="shared" si="5"/>
        <v>0</v>
      </c>
    </row>
    <row r="2684">
      <c r="A2684" s="1" t="s">
        <v>2135</v>
      </c>
      <c r="B2684" s="3" t="str">
        <f t="shared" si="1"/>
        <v>Unavailable</v>
      </c>
      <c r="C2684" s="3">
        <v>825.0</v>
      </c>
      <c r="D2684" s="3">
        <f>IFERROR(__xludf.DUMMYFUNCTION("IFERROR(
IF(REGEXMATCH(LOWER(O2684),""k""),
VALUE(REGEXEXTRACT(O2684,""[0-9]+""))*1000,
VALUE(REGEXEXTRACT(O2684,""[0-9]+""))
),
0
)"),0.0)</f>
        <v>0</v>
      </c>
      <c r="E2684" s="1" t="s">
        <v>11</v>
      </c>
      <c r="F2684" s="1" t="s">
        <v>20</v>
      </c>
      <c r="G2684" s="4" t="b">
        <f t="shared" si="2"/>
        <v>1</v>
      </c>
      <c r="H2684" s="1" t="str">
        <f t="shared" si="3"/>
        <v>Currently Unavailable</v>
      </c>
      <c r="I2684" s="1" t="str">
        <f t="shared" si="4"/>
        <v>No Badges</v>
      </c>
      <c r="J2684" s="3">
        <f t="shared" si="5"/>
        <v>0</v>
      </c>
    </row>
    <row r="2685">
      <c r="A2685" s="1" t="s">
        <v>67</v>
      </c>
      <c r="B2685" s="3" t="str">
        <f t="shared" si="1"/>
        <v>Unavailable</v>
      </c>
      <c r="C2685" s="3">
        <v>264.0</v>
      </c>
      <c r="D2685" s="3">
        <f>IFERROR(__xludf.DUMMYFUNCTION("IFERROR(
IF(REGEXMATCH(LOWER(O2685),""k""),
VALUE(REGEXEXTRACT(O2685,""[0-9]+""))*1000,
VALUE(REGEXEXTRACT(O2685,""[0-9]+""))
),
0
)"),0.0)</f>
        <v>0</v>
      </c>
      <c r="E2685" s="1" t="s">
        <v>11</v>
      </c>
      <c r="F2685" s="1" t="s">
        <v>12</v>
      </c>
      <c r="G2685" s="4" t="b">
        <f t="shared" si="2"/>
        <v>1</v>
      </c>
      <c r="H2685" s="1" t="str">
        <f t="shared" si="3"/>
        <v>Currently Unavailable</v>
      </c>
      <c r="I2685" s="1" t="str">
        <f t="shared" si="4"/>
        <v>No Badges</v>
      </c>
      <c r="J2685" s="3">
        <f t="shared" si="5"/>
        <v>0</v>
      </c>
    </row>
    <row r="2686">
      <c r="A2686" s="1" t="s">
        <v>1285</v>
      </c>
      <c r="B2686" s="3" t="str">
        <f t="shared" si="1"/>
        <v>Unavailable</v>
      </c>
      <c r="C2686" s="5">
        <v>3520.0</v>
      </c>
      <c r="D2686" s="3">
        <f>IFERROR(__xludf.DUMMYFUNCTION("IFERROR(
IF(REGEXMATCH(LOWER(O2686),""k""),
VALUE(REGEXEXTRACT(O2686,""[0-9]+""))*1000,
VALUE(REGEXEXTRACT(O2686,""[0-9]+""))
),
0
)"),0.0)</f>
        <v>0</v>
      </c>
      <c r="E2686" s="1" t="s">
        <v>11</v>
      </c>
      <c r="F2686" s="1" t="s">
        <v>12</v>
      </c>
      <c r="G2686" s="4" t="b">
        <f t="shared" si="2"/>
        <v>1</v>
      </c>
      <c r="H2686" s="1" t="str">
        <f t="shared" si="3"/>
        <v>Currently Unavailable</v>
      </c>
      <c r="I2686" s="1" t="str">
        <f t="shared" si="4"/>
        <v>No Badges</v>
      </c>
      <c r="J2686" s="3">
        <f t="shared" si="5"/>
        <v>0</v>
      </c>
    </row>
    <row r="2687">
      <c r="A2687" s="1" t="s">
        <v>1284</v>
      </c>
      <c r="B2687" s="3" t="str">
        <f t="shared" si="1"/>
        <v>Unavailable</v>
      </c>
      <c r="C2687" s="3">
        <v>172.0</v>
      </c>
      <c r="D2687" s="3">
        <f>IFERROR(__xludf.DUMMYFUNCTION("IFERROR(
IF(REGEXMATCH(LOWER(O2687),""k""),
VALUE(REGEXEXTRACT(O2687,""[0-9]+""))*1000,
VALUE(REGEXEXTRACT(O2687,""[0-9]+""))
),
0
)"),0.0)</f>
        <v>0</v>
      </c>
      <c r="E2687" s="1" t="s">
        <v>18</v>
      </c>
      <c r="F2687" s="1" t="s">
        <v>12</v>
      </c>
      <c r="G2687" s="4" t="b">
        <f t="shared" si="2"/>
        <v>1</v>
      </c>
      <c r="H2687" s="1" t="str">
        <f t="shared" si="3"/>
        <v>Currently Unavailable</v>
      </c>
      <c r="I2687" s="1" t="str">
        <f t="shared" si="4"/>
        <v>No Badges</v>
      </c>
      <c r="J2687" s="3">
        <f t="shared" si="5"/>
        <v>0</v>
      </c>
    </row>
    <row r="2688">
      <c r="A2688" s="1" t="s">
        <v>2136</v>
      </c>
      <c r="B2688" s="3" t="str">
        <f t="shared" si="1"/>
        <v>Unavailable</v>
      </c>
      <c r="C2688" s="5">
        <v>3520.0</v>
      </c>
      <c r="D2688" s="3">
        <f>IFERROR(__xludf.DUMMYFUNCTION("IFERROR(
IF(REGEXMATCH(LOWER(O2688),""k""),
VALUE(REGEXEXTRACT(O2688,""[0-9]+""))*1000,
VALUE(REGEXEXTRACT(O2688,""[0-9]+""))
),
0
)"),0.0)</f>
        <v>0</v>
      </c>
      <c r="E2688" s="1" t="s">
        <v>11</v>
      </c>
      <c r="F2688" s="1" t="s">
        <v>12</v>
      </c>
      <c r="G2688" s="4" t="b">
        <f t="shared" si="2"/>
        <v>1</v>
      </c>
      <c r="H2688" s="1" t="str">
        <f t="shared" si="3"/>
        <v>Currently Unavailable</v>
      </c>
      <c r="I2688" s="1" t="str">
        <f t="shared" si="4"/>
        <v>No Badges</v>
      </c>
      <c r="J2688" s="3">
        <f t="shared" si="5"/>
        <v>0</v>
      </c>
    </row>
    <row r="2689">
      <c r="A2689" s="1" t="s">
        <v>2137</v>
      </c>
      <c r="B2689" s="3" t="str">
        <f t="shared" si="1"/>
        <v>Unavailable</v>
      </c>
      <c r="C2689" s="5">
        <v>6865.0</v>
      </c>
      <c r="D2689" s="3">
        <f>IFERROR(__xludf.DUMMYFUNCTION("IFERROR(
IF(REGEXMATCH(LOWER(O2689),""k""),
VALUE(REGEXEXTRACT(O2689,""[0-9]+""))*1000,
VALUE(REGEXEXTRACT(O2689,""[0-9]+""))
),
0
)"),0.0)</f>
        <v>0</v>
      </c>
      <c r="E2689" s="1" t="s">
        <v>11</v>
      </c>
      <c r="F2689" s="1" t="s">
        <v>20</v>
      </c>
      <c r="G2689" s="4" t="b">
        <f t="shared" si="2"/>
        <v>1</v>
      </c>
      <c r="H2689" s="1" t="str">
        <f t="shared" si="3"/>
        <v>Currently Unavailable</v>
      </c>
      <c r="I2689" s="1" t="str">
        <f t="shared" si="4"/>
        <v>No Badges</v>
      </c>
      <c r="J2689" s="3">
        <f t="shared" si="5"/>
        <v>0</v>
      </c>
    </row>
    <row r="2690">
      <c r="A2690" s="1" t="s">
        <v>2138</v>
      </c>
      <c r="B2690" s="3" t="str">
        <f t="shared" si="1"/>
        <v>Unavailable</v>
      </c>
      <c r="C2690" s="5">
        <v>8187.0</v>
      </c>
      <c r="D2690" s="3">
        <f>IFERROR(__xludf.DUMMYFUNCTION("IFERROR(
IF(REGEXMATCH(LOWER(O2690),""k""),
VALUE(REGEXEXTRACT(O2690,""[0-9]+""))*1000,
VALUE(REGEXEXTRACT(O2690,""[0-9]+""))
),
0
)"),0.0)</f>
        <v>0</v>
      </c>
      <c r="E2690" s="1" t="s">
        <v>11</v>
      </c>
      <c r="F2690" s="1" t="s">
        <v>20</v>
      </c>
      <c r="G2690" s="4" t="b">
        <f t="shared" si="2"/>
        <v>1</v>
      </c>
      <c r="H2690" s="1" t="str">
        <f t="shared" si="3"/>
        <v>Currently Unavailable</v>
      </c>
      <c r="I2690" s="1" t="str">
        <f t="shared" si="4"/>
        <v>No Badges</v>
      </c>
      <c r="J2690" s="3">
        <f t="shared" si="5"/>
        <v>0</v>
      </c>
    </row>
    <row r="2691">
      <c r="A2691" s="1" t="s">
        <v>2139</v>
      </c>
      <c r="B2691" s="3" t="str">
        <f t="shared" si="1"/>
        <v>Unavailable</v>
      </c>
      <c r="C2691" s="3">
        <v>374.0</v>
      </c>
      <c r="D2691" s="3">
        <f>IFERROR(__xludf.DUMMYFUNCTION("IFERROR(
IF(REGEXMATCH(LOWER(O2691),""k""),
VALUE(REGEXEXTRACT(O2691,""[0-9]+""))*1000,
VALUE(REGEXEXTRACT(O2691,""[0-9]+""))
),
0
)"),0.0)</f>
        <v>0</v>
      </c>
      <c r="E2691" s="1" t="s">
        <v>11</v>
      </c>
      <c r="F2691" s="1" t="s">
        <v>20</v>
      </c>
      <c r="G2691" s="4" t="b">
        <f t="shared" si="2"/>
        <v>1</v>
      </c>
      <c r="H2691" s="1" t="str">
        <f t="shared" si="3"/>
        <v>Currently Unavailable</v>
      </c>
      <c r="I2691" s="1" t="str">
        <f t="shared" si="4"/>
        <v>No Badges</v>
      </c>
      <c r="J2691" s="3">
        <f t="shared" si="5"/>
        <v>0</v>
      </c>
    </row>
    <row r="2692">
      <c r="A2692" s="1" t="s">
        <v>2140</v>
      </c>
      <c r="B2692" s="3" t="str">
        <f t="shared" si="1"/>
        <v>Unavailable</v>
      </c>
      <c r="C2692" s="5">
        <v>8836.0</v>
      </c>
      <c r="D2692" s="3">
        <f>IFERROR(__xludf.DUMMYFUNCTION("IFERROR(
IF(REGEXMATCH(LOWER(O2692),""k""),
VALUE(REGEXEXTRACT(O2692,""[0-9]+""))*1000,
VALUE(REGEXEXTRACT(O2692,""[0-9]+""))
),
0
)"),0.0)</f>
        <v>0</v>
      </c>
      <c r="E2692" s="1" t="s">
        <v>11</v>
      </c>
      <c r="F2692" s="1" t="s">
        <v>20</v>
      </c>
      <c r="G2692" s="4" t="b">
        <f t="shared" si="2"/>
        <v>1</v>
      </c>
      <c r="H2692" s="1" t="str">
        <f t="shared" si="3"/>
        <v>Currently Unavailable</v>
      </c>
      <c r="I2692" s="1" t="str">
        <f t="shared" si="4"/>
        <v>No Badges</v>
      </c>
      <c r="J2692" s="3">
        <f t="shared" si="5"/>
        <v>0</v>
      </c>
    </row>
    <row r="2693">
      <c r="A2693" s="1" t="s">
        <v>1284</v>
      </c>
      <c r="B2693" s="3" t="str">
        <f t="shared" si="1"/>
        <v>Unavailable</v>
      </c>
      <c r="C2693" s="3">
        <v>172.0</v>
      </c>
      <c r="D2693" s="3">
        <f>IFERROR(__xludf.DUMMYFUNCTION("IFERROR(
IF(REGEXMATCH(LOWER(O2693),""k""),
VALUE(REGEXEXTRACT(O2693,""[0-9]+""))*1000,
VALUE(REGEXEXTRACT(O2693,""[0-9]+""))
),
0
)"),0.0)</f>
        <v>0</v>
      </c>
      <c r="E2693" s="1" t="s">
        <v>11</v>
      </c>
      <c r="F2693" s="1" t="s">
        <v>12</v>
      </c>
      <c r="G2693" s="4" t="b">
        <f t="shared" si="2"/>
        <v>1</v>
      </c>
      <c r="H2693" s="1" t="str">
        <f t="shared" si="3"/>
        <v>Currently Unavailable</v>
      </c>
      <c r="I2693" s="1" t="str">
        <f t="shared" si="4"/>
        <v>No Badges</v>
      </c>
      <c r="J2693" s="3">
        <f t="shared" si="5"/>
        <v>0</v>
      </c>
    </row>
    <row r="2694">
      <c r="A2694" s="1" t="s">
        <v>2140</v>
      </c>
      <c r="B2694" s="3" t="str">
        <f t="shared" si="1"/>
        <v>Unavailable</v>
      </c>
      <c r="C2694" s="5">
        <v>8836.0</v>
      </c>
      <c r="D2694" s="3">
        <f>IFERROR(__xludf.DUMMYFUNCTION("IFERROR(
IF(REGEXMATCH(LOWER(O2694),""k""),
VALUE(REGEXEXTRACT(O2694,""[0-9]+""))*1000,
VALUE(REGEXEXTRACT(O2694,""[0-9]+""))
),
0
)"),0.0)</f>
        <v>0</v>
      </c>
      <c r="E2694" s="1" t="s">
        <v>11</v>
      </c>
      <c r="F2694" s="1" t="s">
        <v>20</v>
      </c>
      <c r="G2694" s="4" t="b">
        <f t="shared" si="2"/>
        <v>1</v>
      </c>
      <c r="H2694" s="1" t="str">
        <f t="shared" si="3"/>
        <v>Currently Unavailable</v>
      </c>
      <c r="I2694" s="1" t="str">
        <f t="shared" si="4"/>
        <v>No Badges</v>
      </c>
      <c r="J2694" s="3">
        <f t="shared" si="5"/>
        <v>0</v>
      </c>
    </row>
    <row r="2695">
      <c r="A2695" s="1" t="s">
        <v>2141</v>
      </c>
      <c r="B2695" s="3" t="str">
        <f t="shared" si="1"/>
        <v>Unavailable</v>
      </c>
      <c r="C2695" s="5">
        <v>18776.0</v>
      </c>
      <c r="D2695" s="3">
        <f>IFERROR(__xludf.DUMMYFUNCTION("IFERROR(
IF(REGEXMATCH(LOWER(O2695),""k""),
VALUE(REGEXEXTRACT(O2695,""[0-9]+""))*1000,
VALUE(REGEXEXTRACT(O2695,""[0-9]+""))
),
0
)"),0.0)</f>
        <v>0</v>
      </c>
      <c r="E2695" s="1" t="s">
        <v>11</v>
      </c>
      <c r="F2695" s="1" t="s">
        <v>20</v>
      </c>
      <c r="G2695" s="4" t="b">
        <f t="shared" si="2"/>
        <v>1</v>
      </c>
      <c r="H2695" s="1" t="str">
        <f t="shared" si="3"/>
        <v>Currently Unavailable</v>
      </c>
      <c r="I2695" s="1" t="str">
        <f t="shared" si="4"/>
        <v>No Badges</v>
      </c>
      <c r="J2695" s="3">
        <f t="shared" si="5"/>
        <v>0</v>
      </c>
    </row>
    <row r="2696">
      <c r="A2696" s="1" t="s">
        <v>2142</v>
      </c>
      <c r="B2696" s="3" t="str">
        <f t="shared" si="1"/>
        <v>Unavailable</v>
      </c>
      <c r="C2696" s="3">
        <v>285.0</v>
      </c>
      <c r="D2696" s="3">
        <f>IFERROR(__xludf.DUMMYFUNCTION("IFERROR(
IF(REGEXMATCH(LOWER(O2696),""k""),
VALUE(REGEXEXTRACT(O2696,""[0-9]+""))*1000,
VALUE(REGEXEXTRACT(O2696,""[0-9]+""))
),
0
)"),0.0)</f>
        <v>0</v>
      </c>
      <c r="E2696" s="1" t="s">
        <v>11</v>
      </c>
      <c r="F2696" s="1" t="s">
        <v>20</v>
      </c>
      <c r="G2696" s="4" t="b">
        <f t="shared" si="2"/>
        <v>1</v>
      </c>
      <c r="H2696" s="1" t="str">
        <f t="shared" si="3"/>
        <v>Currently Unavailable</v>
      </c>
      <c r="I2696" s="1" t="str">
        <f t="shared" si="4"/>
        <v>No Badges</v>
      </c>
      <c r="J2696" s="3">
        <f t="shared" si="5"/>
        <v>0</v>
      </c>
    </row>
    <row r="2697">
      <c r="A2697" s="1" t="s">
        <v>2143</v>
      </c>
      <c r="B2697" s="3" t="str">
        <f t="shared" si="1"/>
        <v>Unavailable</v>
      </c>
      <c r="C2697" s="3">
        <v>208.0</v>
      </c>
      <c r="D2697" s="3">
        <f>IFERROR(__xludf.DUMMYFUNCTION("IFERROR(
IF(REGEXMATCH(LOWER(O2697),""k""),
VALUE(REGEXEXTRACT(O2697,""[0-9]+""))*1000,
VALUE(REGEXEXTRACT(O2697,""[0-9]+""))
),
0
)"),0.0)</f>
        <v>0</v>
      </c>
      <c r="E2697" s="1" t="s">
        <v>11</v>
      </c>
      <c r="F2697" s="1" t="s">
        <v>20</v>
      </c>
      <c r="G2697" s="4" t="b">
        <f t="shared" si="2"/>
        <v>1</v>
      </c>
      <c r="H2697" s="1" t="str">
        <f t="shared" si="3"/>
        <v>Currently Unavailable</v>
      </c>
      <c r="I2697" s="1" t="str">
        <f t="shared" si="4"/>
        <v>No Badges</v>
      </c>
      <c r="J2697" s="3">
        <f t="shared" si="5"/>
        <v>0</v>
      </c>
    </row>
    <row r="2698">
      <c r="A2698" s="1" t="s">
        <v>2144</v>
      </c>
      <c r="B2698" s="3" t="str">
        <f t="shared" si="1"/>
        <v>Unavailable</v>
      </c>
      <c r="C2698" s="5">
        <v>4224.0</v>
      </c>
      <c r="D2698" s="3">
        <f>IFERROR(__xludf.DUMMYFUNCTION("IFERROR(
IF(REGEXMATCH(LOWER(O2698),""k""),
VALUE(REGEXEXTRACT(O2698,""[0-9]+""))*1000,
VALUE(REGEXEXTRACT(O2698,""[0-9]+""))
),
0
)"),0.0)</f>
        <v>0</v>
      </c>
      <c r="E2698" s="1" t="s">
        <v>11</v>
      </c>
      <c r="F2698" s="1" t="s">
        <v>20</v>
      </c>
      <c r="G2698" s="4" t="b">
        <f t="shared" si="2"/>
        <v>1</v>
      </c>
      <c r="H2698" s="1" t="str">
        <f t="shared" si="3"/>
        <v>Currently Unavailable</v>
      </c>
      <c r="I2698" s="1" t="str">
        <f t="shared" si="4"/>
        <v>No Badges</v>
      </c>
      <c r="J2698" s="3">
        <f t="shared" si="5"/>
        <v>0</v>
      </c>
    </row>
    <row r="2699">
      <c r="A2699" s="1" t="s">
        <v>701</v>
      </c>
      <c r="B2699" s="3" t="str">
        <f t="shared" si="1"/>
        <v>Unavailable</v>
      </c>
      <c r="C2699" s="3">
        <v>8.0</v>
      </c>
      <c r="D2699" s="3">
        <f>IFERROR(__xludf.DUMMYFUNCTION("IFERROR(
IF(REGEXMATCH(LOWER(O2699),""k""),
VALUE(REGEXEXTRACT(O2699,""[0-9]+""))*1000,
VALUE(REGEXEXTRACT(O2699,""[0-9]+""))
),
0
)"),0.0)</f>
        <v>0</v>
      </c>
      <c r="E2699" s="1" t="s">
        <v>11</v>
      </c>
      <c r="F2699" s="1" t="s">
        <v>12</v>
      </c>
      <c r="G2699" s="4" t="b">
        <f t="shared" si="2"/>
        <v>1</v>
      </c>
      <c r="H2699" s="1" t="str">
        <f t="shared" si="3"/>
        <v>Currently Unavailable</v>
      </c>
      <c r="I2699" s="1" t="str">
        <f t="shared" si="4"/>
        <v>No Badges</v>
      </c>
      <c r="J2699" s="3">
        <f t="shared" si="5"/>
        <v>0</v>
      </c>
    </row>
    <row r="2700">
      <c r="A2700" s="1" t="s">
        <v>2145</v>
      </c>
      <c r="B2700" s="3" t="str">
        <f t="shared" si="1"/>
        <v>Unavailable</v>
      </c>
      <c r="C2700" s="5">
        <v>1215.0</v>
      </c>
      <c r="D2700" s="3">
        <f>IFERROR(__xludf.DUMMYFUNCTION("IFERROR(
IF(REGEXMATCH(LOWER(O2700),""k""),
VALUE(REGEXEXTRACT(O2700,""[0-9]+""))*1000,
VALUE(REGEXEXTRACT(O2700,""[0-9]+""))
),
0
)"),0.0)</f>
        <v>0</v>
      </c>
      <c r="E2700" s="1" t="s">
        <v>11</v>
      </c>
      <c r="F2700" s="1" t="s">
        <v>20</v>
      </c>
      <c r="G2700" s="4" t="b">
        <f t="shared" si="2"/>
        <v>1</v>
      </c>
      <c r="H2700" s="1" t="str">
        <f t="shared" si="3"/>
        <v>Currently Unavailable</v>
      </c>
      <c r="I2700" s="1" t="str">
        <f t="shared" si="4"/>
        <v>No Badges</v>
      </c>
      <c r="J2700" s="3">
        <f t="shared" si="5"/>
        <v>0</v>
      </c>
    </row>
    <row r="2701">
      <c r="A2701" s="1" t="s">
        <v>2146</v>
      </c>
      <c r="B2701" s="3" t="str">
        <f t="shared" si="1"/>
        <v>Unavailable</v>
      </c>
      <c r="C2701" s="3">
        <v>288.0</v>
      </c>
      <c r="D2701" s="3">
        <f>IFERROR(__xludf.DUMMYFUNCTION("IFERROR(
IF(REGEXMATCH(LOWER(O2701),""k""),
VALUE(REGEXEXTRACT(O2701,""[0-9]+""))*1000,
VALUE(REGEXEXTRACT(O2701,""[0-9]+""))
),
0
)"),0.0)</f>
        <v>0</v>
      </c>
      <c r="E2701" s="1" t="s">
        <v>11</v>
      </c>
      <c r="F2701" s="1" t="s">
        <v>20</v>
      </c>
      <c r="G2701" s="4" t="b">
        <f t="shared" si="2"/>
        <v>1</v>
      </c>
      <c r="H2701" s="1" t="str">
        <f t="shared" si="3"/>
        <v>Currently Unavailable</v>
      </c>
      <c r="I2701" s="1" t="str">
        <f t="shared" si="4"/>
        <v>No Badges</v>
      </c>
      <c r="J2701" s="3">
        <f t="shared" si="5"/>
        <v>0</v>
      </c>
    </row>
    <row r="2702">
      <c r="A2702" s="1" t="s">
        <v>2147</v>
      </c>
      <c r="B2702" s="3" t="str">
        <f t="shared" si="1"/>
        <v>Unavailable</v>
      </c>
      <c r="C2702" s="3">
        <v>206.0</v>
      </c>
      <c r="D2702" s="3">
        <f>IFERROR(__xludf.DUMMYFUNCTION("IFERROR(
IF(REGEXMATCH(LOWER(O2702),""k""),
VALUE(REGEXEXTRACT(O2702,""[0-9]+""))*1000,
VALUE(REGEXEXTRACT(O2702,""[0-9]+""))
),
0
)"),0.0)</f>
        <v>0</v>
      </c>
      <c r="E2702" s="1" t="s">
        <v>11</v>
      </c>
      <c r="F2702" s="1" t="s">
        <v>20</v>
      </c>
      <c r="G2702" s="4" t="b">
        <f t="shared" si="2"/>
        <v>1</v>
      </c>
      <c r="H2702" s="1" t="str">
        <f t="shared" si="3"/>
        <v>Currently Unavailable</v>
      </c>
      <c r="I2702" s="1" t="str">
        <f t="shared" si="4"/>
        <v>No Badges</v>
      </c>
      <c r="J2702" s="3">
        <f t="shared" si="5"/>
        <v>0</v>
      </c>
    </row>
    <row r="2703">
      <c r="A2703" s="1" t="s">
        <v>1285</v>
      </c>
      <c r="B2703" s="3" t="str">
        <f t="shared" si="1"/>
        <v>Unavailable</v>
      </c>
      <c r="C2703" s="5">
        <v>3520.0</v>
      </c>
      <c r="D2703" s="3">
        <f>IFERROR(__xludf.DUMMYFUNCTION("IFERROR(
IF(REGEXMATCH(LOWER(O2703),""k""),
VALUE(REGEXEXTRACT(O2703,""[0-9]+""))*1000,
VALUE(REGEXEXTRACT(O2703,""[0-9]+""))
),
0
)"),0.0)</f>
        <v>0</v>
      </c>
      <c r="E2703" s="1" t="s">
        <v>11</v>
      </c>
      <c r="F2703" s="1" t="s">
        <v>12</v>
      </c>
      <c r="G2703" s="4" t="b">
        <f t="shared" si="2"/>
        <v>1</v>
      </c>
      <c r="H2703" s="1" t="str">
        <f t="shared" si="3"/>
        <v>Currently Unavailable</v>
      </c>
      <c r="I2703" s="1" t="str">
        <f t="shared" si="4"/>
        <v>No Badges</v>
      </c>
      <c r="J2703" s="3">
        <f t="shared" si="5"/>
        <v>0</v>
      </c>
    </row>
    <row r="2704">
      <c r="A2704" s="1" t="s">
        <v>69</v>
      </c>
      <c r="B2704" s="3" t="str">
        <f t="shared" si="1"/>
        <v>Unavailable</v>
      </c>
      <c r="C2704" s="3">
        <v>45.0</v>
      </c>
      <c r="D2704" s="3">
        <f>IFERROR(__xludf.DUMMYFUNCTION("IFERROR(
IF(REGEXMATCH(LOWER(O2704),""k""),
VALUE(REGEXEXTRACT(O2704,""[0-9]+""))*1000,
VALUE(REGEXEXTRACT(O2704,""[0-9]+""))
),
0
)"),0.0)</f>
        <v>0</v>
      </c>
      <c r="E2704" s="1" t="s">
        <v>11</v>
      </c>
      <c r="F2704" s="1" t="s">
        <v>12</v>
      </c>
      <c r="G2704" s="4" t="b">
        <f t="shared" si="2"/>
        <v>1</v>
      </c>
      <c r="H2704" s="1" t="str">
        <f t="shared" si="3"/>
        <v>Currently Unavailable</v>
      </c>
      <c r="I2704" s="1" t="str">
        <f t="shared" si="4"/>
        <v>No Badges</v>
      </c>
      <c r="J2704" s="3">
        <f t="shared" si="5"/>
        <v>0</v>
      </c>
    </row>
    <row r="2705">
      <c r="A2705" s="1" t="s">
        <v>1284</v>
      </c>
      <c r="B2705" s="3" t="str">
        <f t="shared" si="1"/>
        <v>Unavailable</v>
      </c>
      <c r="C2705" s="3">
        <v>172.0</v>
      </c>
      <c r="D2705" s="3">
        <f>IFERROR(__xludf.DUMMYFUNCTION("IFERROR(
IF(REGEXMATCH(LOWER(O2705),""k""),
VALUE(REGEXEXTRACT(O2705,""[0-9]+""))*1000,
VALUE(REGEXEXTRACT(O2705,""[0-9]+""))
),
0
)"),0.0)</f>
        <v>0</v>
      </c>
      <c r="E2705" s="1" t="s">
        <v>11</v>
      </c>
      <c r="F2705" s="1" t="s">
        <v>12</v>
      </c>
      <c r="G2705" s="4" t="b">
        <f t="shared" si="2"/>
        <v>1</v>
      </c>
      <c r="H2705" s="1" t="str">
        <f t="shared" si="3"/>
        <v>Currently Unavailable</v>
      </c>
      <c r="I2705" s="1" t="str">
        <f t="shared" si="4"/>
        <v>No Badges</v>
      </c>
      <c r="J2705" s="3">
        <f t="shared" si="5"/>
        <v>0</v>
      </c>
    </row>
    <row r="2706">
      <c r="A2706" s="1" t="s">
        <v>2148</v>
      </c>
      <c r="B2706" s="3" t="str">
        <f t="shared" si="1"/>
        <v>Unavailable</v>
      </c>
      <c r="C2706" s="5">
        <v>42590.0</v>
      </c>
      <c r="D2706" s="3">
        <f>IFERROR(__xludf.DUMMYFUNCTION("IFERROR(
IF(REGEXMATCH(LOWER(O2706),""k""),
VALUE(REGEXEXTRACT(O2706,""[0-9]+""))*1000,
VALUE(REGEXEXTRACT(O2706,""[0-9]+""))
),
0
)"),0.0)</f>
        <v>0</v>
      </c>
      <c r="E2706" s="1" t="s">
        <v>11</v>
      </c>
      <c r="F2706" s="1" t="s">
        <v>20</v>
      </c>
      <c r="G2706" s="4" t="b">
        <f t="shared" si="2"/>
        <v>1</v>
      </c>
      <c r="H2706" s="1" t="str">
        <f t="shared" si="3"/>
        <v>Currently Unavailable</v>
      </c>
      <c r="I2706" s="1" t="str">
        <f t="shared" si="4"/>
        <v>No Badges</v>
      </c>
      <c r="J2706" s="3">
        <f t="shared" si="5"/>
        <v>0</v>
      </c>
    </row>
    <row r="2707">
      <c r="A2707" s="1" t="s">
        <v>2149</v>
      </c>
      <c r="B2707" s="3" t="str">
        <f t="shared" si="1"/>
        <v>Unavailable</v>
      </c>
      <c r="C2707" s="5">
        <v>2104.0</v>
      </c>
      <c r="D2707" s="3">
        <f>IFERROR(__xludf.DUMMYFUNCTION("IFERROR(
IF(REGEXMATCH(LOWER(O2707),""k""),
VALUE(REGEXEXTRACT(O2707,""[0-9]+""))*1000,
VALUE(REGEXEXTRACT(O2707,""[0-9]+""))
),
0
)"),0.0)</f>
        <v>0</v>
      </c>
      <c r="E2707" s="1" t="s">
        <v>11</v>
      </c>
      <c r="F2707" s="1" t="s">
        <v>20</v>
      </c>
      <c r="G2707" s="4" t="b">
        <f t="shared" si="2"/>
        <v>1</v>
      </c>
      <c r="H2707" s="1" t="str">
        <f t="shared" si="3"/>
        <v>Currently Unavailable</v>
      </c>
      <c r="I2707" s="1" t="str">
        <f t="shared" si="4"/>
        <v>No Badges</v>
      </c>
      <c r="J2707" s="3">
        <f t="shared" si="5"/>
        <v>0</v>
      </c>
    </row>
    <row r="2708">
      <c r="A2708" s="1" t="s">
        <v>1285</v>
      </c>
      <c r="B2708" s="3" t="str">
        <f t="shared" si="1"/>
        <v>Unavailable</v>
      </c>
      <c r="C2708" s="5">
        <v>3520.0</v>
      </c>
      <c r="D2708" s="3">
        <f>IFERROR(__xludf.DUMMYFUNCTION("IFERROR(
IF(REGEXMATCH(LOWER(O2708),""k""),
VALUE(REGEXEXTRACT(O2708,""[0-9]+""))*1000,
VALUE(REGEXEXTRACT(O2708,""[0-9]+""))
),
0
)"),0.0)</f>
        <v>0</v>
      </c>
      <c r="E2708" s="1" t="s">
        <v>11</v>
      </c>
      <c r="F2708" s="1" t="s">
        <v>12</v>
      </c>
      <c r="G2708" s="4" t="b">
        <f t="shared" si="2"/>
        <v>1</v>
      </c>
      <c r="H2708" s="1" t="str">
        <f t="shared" si="3"/>
        <v>Currently Unavailable</v>
      </c>
      <c r="I2708" s="1" t="str">
        <f t="shared" si="4"/>
        <v>No Badges</v>
      </c>
      <c r="J2708" s="3">
        <f t="shared" si="5"/>
        <v>0</v>
      </c>
    </row>
    <row r="2709">
      <c r="A2709" s="1" t="s">
        <v>2150</v>
      </c>
      <c r="B2709" s="3" t="str">
        <f t="shared" si="1"/>
        <v>Unavailable</v>
      </c>
      <c r="C2709" s="5">
        <v>15484.0</v>
      </c>
      <c r="D2709" s="3">
        <f>IFERROR(__xludf.DUMMYFUNCTION("IFERROR(
IF(REGEXMATCH(LOWER(O2709),""k""),
VALUE(REGEXEXTRACT(O2709,""[0-9]+""))*1000,
VALUE(REGEXEXTRACT(O2709,""[0-9]+""))
),
0
)"),0.0)</f>
        <v>0</v>
      </c>
      <c r="E2709" s="1" t="s">
        <v>11</v>
      </c>
      <c r="F2709" s="1" t="s">
        <v>20</v>
      </c>
      <c r="G2709" s="4" t="b">
        <f t="shared" si="2"/>
        <v>1</v>
      </c>
      <c r="H2709" s="1" t="str">
        <f t="shared" si="3"/>
        <v>Currently Unavailable</v>
      </c>
      <c r="I2709" s="1" t="str">
        <f t="shared" si="4"/>
        <v>No Badges</v>
      </c>
      <c r="J2709" s="3">
        <f t="shared" si="5"/>
        <v>0</v>
      </c>
    </row>
    <row r="2710">
      <c r="A2710" s="1" t="s">
        <v>2151</v>
      </c>
      <c r="B2710" s="3" t="str">
        <f t="shared" si="1"/>
        <v>Unavailable</v>
      </c>
      <c r="C2710" s="3">
        <v>276.0</v>
      </c>
      <c r="D2710" s="3">
        <f>IFERROR(__xludf.DUMMYFUNCTION("IFERROR(
IF(REGEXMATCH(LOWER(O2710),""k""),
VALUE(REGEXEXTRACT(O2710,""[0-9]+""))*1000,
VALUE(REGEXEXTRACT(O2710,""[0-9]+""))
),
0
)"),0.0)</f>
        <v>0</v>
      </c>
      <c r="E2710" s="1" t="s">
        <v>11</v>
      </c>
      <c r="F2710" s="1" t="s">
        <v>20</v>
      </c>
      <c r="G2710" s="4" t="b">
        <f t="shared" si="2"/>
        <v>1</v>
      </c>
      <c r="H2710" s="1" t="str">
        <f t="shared" si="3"/>
        <v>Currently Unavailable</v>
      </c>
      <c r="I2710" s="1" t="str">
        <f t="shared" si="4"/>
        <v>No Badges</v>
      </c>
      <c r="J2710" s="3">
        <f t="shared" si="5"/>
        <v>0</v>
      </c>
    </row>
    <row r="2711">
      <c r="A2711" s="1" t="s">
        <v>1284</v>
      </c>
      <c r="B2711" s="3" t="str">
        <f t="shared" si="1"/>
        <v>Unavailable</v>
      </c>
      <c r="C2711" s="3">
        <v>172.0</v>
      </c>
      <c r="D2711" s="3">
        <f>IFERROR(__xludf.DUMMYFUNCTION("IFERROR(
IF(REGEXMATCH(LOWER(O2711),""k""),
VALUE(REGEXEXTRACT(O2711,""[0-9]+""))*1000,
VALUE(REGEXEXTRACT(O2711,""[0-9]+""))
),
0
)"),0.0)</f>
        <v>0</v>
      </c>
      <c r="E2711" s="1" t="s">
        <v>11</v>
      </c>
      <c r="F2711" s="1" t="s">
        <v>12</v>
      </c>
      <c r="G2711" s="4" t="b">
        <f t="shared" si="2"/>
        <v>1</v>
      </c>
      <c r="H2711" s="1" t="str">
        <f t="shared" si="3"/>
        <v>Currently Unavailable</v>
      </c>
      <c r="I2711" s="1" t="str">
        <f t="shared" si="4"/>
        <v>No Badges</v>
      </c>
      <c r="J2711" s="3">
        <f t="shared" si="5"/>
        <v>0</v>
      </c>
    </row>
    <row r="2712">
      <c r="A2712" s="1" t="s">
        <v>2152</v>
      </c>
      <c r="B2712" s="3" t="str">
        <f t="shared" si="1"/>
        <v>Unavailable</v>
      </c>
      <c r="C2712" s="5">
        <v>2674.0</v>
      </c>
      <c r="D2712" s="3">
        <f>IFERROR(__xludf.DUMMYFUNCTION("IFERROR(
IF(REGEXMATCH(LOWER(O2712),""k""),
VALUE(REGEXEXTRACT(O2712,""[0-9]+""))*1000,
VALUE(REGEXEXTRACT(O2712,""[0-9]+""))
),
0
)"),0.0)</f>
        <v>0</v>
      </c>
      <c r="E2712" s="1" t="s">
        <v>11</v>
      </c>
      <c r="F2712" s="1" t="s">
        <v>20</v>
      </c>
      <c r="G2712" s="4" t="b">
        <f t="shared" si="2"/>
        <v>1</v>
      </c>
      <c r="H2712" s="1" t="str">
        <f t="shared" si="3"/>
        <v>Currently Unavailable</v>
      </c>
      <c r="I2712" s="1" t="str">
        <f t="shared" si="4"/>
        <v>No Badges</v>
      </c>
      <c r="J2712" s="3">
        <f t="shared" si="5"/>
        <v>0</v>
      </c>
    </row>
    <row r="2713">
      <c r="A2713" s="1" t="s">
        <v>2153</v>
      </c>
      <c r="B2713" s="3" t="str">
        <f t="shared" si="1"/>
        <v>Unavailable</v>
      </c>
      <c r="C2713" s="5">
        <v>15515.0</v>
      </c>
      <c r="D2713" s="3">
        <f>IFERROR(__xludf.DUMMYFUNCTION("IFERROR(
IF(REGEXMATCH(LOWER(O2713),""k""),
VALUE(REGEXEXTRACT(O2713,""[0-9]+""))*1000,
VALUE(REGEXEXTRACT(O2713,""[0-9]+""))
),
0
)"),0.0)</f>
        <v>0</v>
      </c>
      <c r="E2713" s="1" t="s">
        <v>11</v>
      </c>
      <c r="F2713" s="1" t="s">
        <v>20</v>
      </c>
      <c r="G2713" s="4" t="b">
        <f t="shared" si="2"/>
        <v>1</v>
      </c>
      <c r="H2713" s="1" t="str">
        <f t="shared" si="3"/>
        <v>Currently Unavailable</v>
      </c>
      <c r="I2713" s="1" t="str">
        <f t="shared" si="4"/>
        <v>No Badges</v>
      </c>
      <c r="J2713" s="3">
        <f t="shared" si="5"/>
        <v>0</v>
      </c>
    </row>
    <row r="2714">
      <c r="A2714" s="1" t="s">
        <v>1285</v>
      </c>
      <c r="B2714" s="3" t="str">
        <f t="shared" si="1"/>
        <v>Unavailable</v>
      </c>
      <c r="C2714" s="5">
        <v>3520.0</v>
      </c>
      <c r="D2714" s="3">
        <f>IFERROR(__xludf.DUMMYFUNCTION("IFERROR(
IF(REGEXMATCH(LOWER(O2714),""k""),
VALUE(REGEXEXTRACT(O2714,""[0-9]+""))*1000,
VALUE(REGEXEXTRACT(O2714,""[0-9]+""))
),
0
)"),0.0)</f>
        <v>0</v>
      </c>
      <c r="E2714" s="1" t="s">
        <v>11</v>
      </c>
      <c r="F2714" s="1" t="s">
        <v>12</v>
      </c>
      <c r="G2714" s="4" t="b">
        <f t="shared" si="2"/>
        <v>1</v>
      </c>
      <c r="H2714" s="1" t="str">
        <f t="shared" si="3"/>
        <v>Currently Unavailable</v>
      </c>
      <c r="I2714" s="1" t="str">
        <f t="shared" si="4"/>
        <v>No Badges</v>
      </c>
      <c r="J2714" s="3">
        <f t="shared" si="5"/>
        <v>0</v>
      </c>
    </row>
    <row r="2715">
      <c r="A2715" s="1" t="s">
        <v>1284</v>
      </c>
      <c r="B2715" s="3" t="str">
        <f t="shared" si="1"/>
        <v>Unavailable</v>
      </c>
      <c r="C2715" s="3">
        <v>172.0</v>
      </c>
      <c r="D2715" s="3">
        <f>IFERROR(__xludf.DUMMYFUNCTION("IFERROR(
IF(REGEXMATCH(LOWER(O2715),""k""),
VALUE(REGEXEXTRACT(O2715,""[0-9]+""))*1000,
VALUE(REGEXEXTRACT(O2715,""[0-9]+""))
),
0
)"),0.0)</f>
        <v>0</v>
      </c>
      <c r="E2715" s="1" t="s">
        <v>11</v>
      </c>
      <c r="F2715" s="1" t="s">
        <v>12</v>
      </c>
      <c r="G2715" s="4" t="b">
        <f t="shared" si="2"/>
        <v>1</v>
      </c>
      <c r="H2715" s="1" t="str">
        <f t="shared" si="3"/>
        <v>Currently Unavailable</v>
      </c>
      <c r="I2715" s="1" t="str">
        <f t="shared" si="4"/>
        <v>No Badges</v>
      </c>
      <c r="J2715" s="3">
        <f t="shared" si="5"/>
        <v>0</v>
      </c>
    </row>
    <row r="2716">
      <c r="A2716" s="1" t="s">
        <v>2154</v>
      </c>
      <c r="B2716" s="3" t="str">
        <f t="shared" si="1"/>
        <v>Unavailable</v>
      </c>
      <c r="C2716" s="5">
        <v>32408.0</v>
      </c>
      <c r="D2716" s="3">
        <f>IFERROR(__xludf.DUMMYFUNCTION("IFERROR(
IF(REGEXMATCH(LOWER(O2716),""k""),
VALUE(REGEXEXTRACT(O2716,""[0-9]+""))*1000,
VALUE(REGEXEXTRACT(O2716,""[0-9]+""))
),
0
)"),0.0)</f>
        <v>0</v>
      </c>
      <c r="E2716" s="1" t="s">
        <v>11</v>
      </c>
      <c r="F2716" s="1" t="s">
        <v>20</v>
      </c>
      <c r="G2716" s="4" t="b">
        <f t="shared" si="2"/>
        <v>1</v>
      </c>
      <c r="H2716" s="1" t="str">
        <f t="shared" si="3"/>
        <v>Currently Unavailable</v>
      </c>
      <c r="I2716" s="1" t="str">
        <f t="shared" si="4"/>
        <v>No Badges</v>
      </c>
      <c r="J2716" s="3">
        <f t="shared" si="5"/>
        <v>0</v>
      </c>
    </row>
    <row r="2717">
      <c r="A2717" s="1" t="s">
        <v>67</v>
      </c>
      <c r="B2717" s="3" t="str">
        <f t="shared" si="1"/>
        <v>Unavailable</v>
      </c>
      <c r="C2717" s="3">
        <v>264.0</v>
      </c>
      <c r="D2717" s="3">
        <f>IFERROR(__xludf.DUMMYFUNCTION("IFERROR(
IF(REGEXMATCH(LOWER(O2717),""k""),
VALUE(REGEXEXTRACT(O2717,""[0-9]+""))*1000,
VALUE(REGEXEXTRACT(O2717,""[0-9]+""))
),
0
)"),0.0)</f>
        <v>0</v>
      </c>
      <c r="E2717" s="1" t="s">
        <v>11</v>
      </c>
      <c r="F2717" s="1" t="s">
        <v>12</v>
      </c>
      <c r="G2717" s="4" t="b">
        <f t="shared" si="2"/>
        <v>1</v>
      </c>
      <c r="H2717" s="1" t="str">
        <f t="shared" si="3"/>
        <v>Currently Unavailable</v>
      </c>
      <c r="I2717" s="1" t="str">
        <f t="shared" si="4"/>
        <v>No Badges</v>
      </c>
      <c r="J2717" s="3">
        <f t="shared" si="5"/>
        <v>0</v>
      </c>
    </row>
    <row r="2718">
      <c r="A2718" s="1" t="s">
        <v>2155</v>
      </c>
      <c r="B2718" s="3" t="str">
        <f t="shared" si="1"/>
        <v>Unavailable</v>
      </c>
      <c r="C2718" s="5">
        <v>115933.0</v>
      </c>
      <c r="D2718" s="3">
        <f>IFERROR(__xludf.DUMMYFUNCTION("IFERROR(
IF(REGEXMATCH(LOWER(O2718),""k""),
VALUE(REGEXEXTRACT(O2718,""[0-9]+""))*1000,
VALUE(REGEXEXTRACT(O2718,""[0-9]+""))
),
0
)"),0.0)</f>
        <v>0</v>
      </c>
      <c r="E2718" s="1" t="s">
        <v>11</v>
      </c>
      <c r="F2718" s="1" t="s">
        <v>20</v>
      </c>
      <c r="G2718" s="4" t="b">
        <f t="shared" si="2"/>
        <v>1</v>
      </c>
      <c r="H2718" s="1" t="str">
        <f t="shared" si="3"/>
        <v>Currently Unavailable</v>
      </c>
      <c r="I2718" s="1" t="str">
        <f t="shared" si="4"/>
        <v>No Badges</v>
      </c>
      <c r="J2718" s="3">
        <f t="shared" si="5"/>
        <v>0</v>
      </c>
    </row>
    <row r="2719">
      <c r="A2719" s="1" t="s">
        <v>2156</v>
      </c>
      <c r="B2719" s="3" t="str">
        <f t="shared" si="1"/>
        <v>Unavailable</v>
      </c>
      <c r="C2719" s="5">
        <v>4371.0</v>
      </c>
      <c r="D2719" s="3">
        <f>IFERROR(__xludf.DUMMYFUNCTION("IFERROR(
IF(REGEXMATCH(LOWER(O2719),""k""),
VALUE(REGEXEXTRACT(O2719,""[0-9]+""))*1000,
VALUE(REGEXEXTRACT(O2719,""[0-9]+""))
),
0
)"),0.0)</f>
        <v>0</v>
      </c>
      <c r="E2719" s="1" t="s">
        <v>11</v>
      </c>
      <c r="F2719" s="1" t="s">
        <v>20</v>
      </c>
      <c r="G2719" s="4" t="b">
        <f t="shared" si="2"/>
        <v>1</v>
      </c>
      <c r="H2719" s="1" t="str">
        <f t="shared" si="3"/>
        <v>Currently Unavailable</v>
      </c>
      <c r="I2719" s="1" t="str">
        <f t="shared" si="4"/>
        <v>No Badges</v>
      </c>
      <c r="J2719" s="3">
        <f t="shared" si="5"/>
        <v>0</v>
      </c>
    </row>
    <row r="2720">
      <c r="A2720" s="1" t="s">
        <v>2157</v>
      </c>
      <c r="B2720" s="3" t="str">
        <f t="shared" si="1"/>
        <v>Unavailable</v>
      </c>
      <c r="C2720" s="5">
        <v>2484.0</v>
      </c>
      <c r="D2720" s="3">
        <f>IFERROR(__xludf.DUMMYFUNCTION("IFERROR(
IF(REGEXMATCH(LOWER(O2720),""k""),
VALUE(REGEXEXTRACT(O2720,""[0-9]+""))*1000,
VALUE(REGEXEXTRACT(O2720,""[0-9]+""))
),
0
)"),0.0)</f>
        <v>0</v>
      </c>
      <c r="E2720" s="1" t="s">
        <v>11</v>
      </c>
      <c r="F2720" s="1" t="s">
        <v>20</v>
      </c>
      <c r="G2720" s="4" t="b">
        <f t="shared" si="2"/>
        <v>1</v>
      </c>
      <c r="H2720" s="1" t="str">
        <f t="shared" si="3"/>
        <v>Currently Unavailable</v>
      </c>
      <c r="I2720" s="1" t="str">
        <f t="shared" si="4"/>
        <v>No Badges</v>
      </c>
      <c r="J2720" s="3">
        <f t="shared" si="5"/>
        <v>0</v>
      </c>
    </row>
    <row r="2721">
      <c r="A2721" s="1" t="s">
        <v>2158</v>
      </c>
      <c r="B2721" s="3" t="str">
        <f t="shared" si="1"/>
        <v>Unavailable</v>
      </c>
      <c r="C2721" s="5">
        <v>1739.0</v>
      </c>
      <c r="D2721" s="3">
        <f>IFERROR(__xludf.DUMMYFUNCTION("IFERROR(
IF(REGEXMATCH(LOWER(O2721),""k""),
VALUE(REGEXEXTRACT(O2721,""[0-9]+""))*1000,
VALUE(REGEXEXTRACT(O2721,""[0-9]+""))
),
0
)"),0.0)</f>
        <v>0</v>
      </c>
      <c r="E2721" s="1" t="s">
        <v>11</v>
      </c>
      <c r="F2721" s="1" t="s">
        <v>20</v>
      </c>
      <c r="G2721" s="4" t="b">
        <f t="shared" si="2"/>
        <v>1</v>
      </c>
      <c r="H2721" s="1" t="str">
        <f t="shared" si="3"/>
        <v>Currently Unavailable</v>
      </c>
      <c r="I2721" s="1" t="str">
        <f t="shared" si="4"/>
        <v>No Badges</v>
      </c>
      <c r="J2721" s="3">
        <f t="shared" si="5"/>
        <v>0</v>
      </c>
    </row>
    <row r="2722">
      <c r="A2722" s="1" t="s">
        <v>2159</v>
      </c>
      <c r="B2722" s="3" t="str">
        <f t="shared" si="1"/>
        <v>Unavailable</v>
      </c>
      <c r="C2722" s="3">
        <v>575.0</v>
      </c>
      <c r="D2722" s="3">
        <f>IFERROR(__xludf.DUMMYFUNCTION("IFERROR(
IF(REGEXMATCH(LOWER(O2722),""k""),
VALUE(REGEXEXTRACT(O2722,""[0-9]+""))*1000,
VALUE(REGEXEXTRACT(O2722,""[0-9]+""))
),
0
)"),0.0)</f>
        <v>0</v>
      </c>
      <c r="E2722" s="1" t="s">
        <v>11</v>
      </c>
      <c r="F2722" s="1" t="s">
        <v>20</v>
      </c>
      <c r="G2722" s="4" t="b">
        <f t="shared" si="2"/>
        <v>1</v>
      </c>
      <c r="H2722" s="1" t="str">
        <f t="shared" si="3"/>
        <v>Currently Unavailable</v>
      </c>
      <c r="I2722" s="1" t="str">
        <f t="shared" si="4"/>
        <v>No Badges</v>
      </c>
      <c r="J2722" s="3">
        <f t="shared" si="5"/>
        <v>0</v>
      </c>
    </row>
    <row r="2723">
      <c r="A2723" s="1" t="s">
        <v>2160</v>
      </c>
      <c r="B2723" s="3" t="str">
        <f t="shared" si="1"/>
        <v>Unavailable</v>
      </c>
      <c r="C2723" s="5">
        <v>34175.0</v>
      </c>
      <c r="D2723" s="3">
        <f>IFERROR(__xludf.DUMMYFUNCTION("IFERROR(
IF(REGEXMATCH(LOWER(O2723),""k""),
VALUE(REGEXEXTRACT(O2723,""[0-9]+""))*1000,
VALUE(REGEXEXTRACT(O2723,""[0-9]+""))
),
0
)"),0.0)</f>
        <v>0</v>
      </c>
      <c r="E2723" s="1" t="s">
        <v>11</v>
      </c>
      <c r="F2723" s="1" t="s">
        <v>20</v>
      </c>
      <c r="G2723" s="4" t="b">
        <f t="shared" si="2"/>
        <v>1</v>
      </c>
      <c r="H2723" s="1" t="str">
        <f t="shared" si="3"/>
        <v>Currently Unavailable</v>
      </c>
      <c r="I2723" s="1" t="str">
        <f t="shared" si="4"/>
        <v>No Badges</v>
      </c>
      <c r="J2723" s="3">
        <f t="shared" si="5"/>
        <v>0</v>
      </c>
    </row>
    <row r="2724">
      <c r="A2724" s="1" t="s">
        <v>1285</v>
      </c>
      <c r="B2724" s="3" t="str">
        <f t="shared" si="1"/>
        <v>Unavailable</v>
      </c>
      <c r="C2724" s="5">
        <v>3520.0</v>
      </c>
      <c r="D2724" s="3">
        <f>IFERROR(__xludf.DUMMYFUNCTION("IFERROR(
IF(REGEXMATCH(LOWER(O2724),""k""),
VALUE(REGEXEXTRACT(O2724,""[0-9]+""))*1000,
VALUE(REGEXEXTRACT(O2724,""[0-9]+""))
),
0
)"),0.0)</f>
        <v>0</v>
      </c>
      <c r="E2724" s="1" t="s">
        <v>11</v>
      </c>
      <c r="F2724" s="1" t="s">
        <v>12</v>
      </c>
      <c r="G2724" s="4" t="b">
        <f t="shared" si="2"/>
        <v>1</v>
      </c>
      <c r="H2724" s="1" t="str">
        <f t="shared" si="3"/>
        <v>Currently Unavailable</v>
      </c>
      <c r="I2724" s="1" t="str">
        <f t="shared" si="4"/>
        <v>No Badges</v>
      </c>
      <c r="J2724" s="3">
        <f t="shared" si="5"/>
        <v>0</v>
      </c>
    </row>
    <row r="2725">
      <c r="A2725" s="1" t="s">
        <v>1284</v>
      </c>
      <c r="B2725" s="3" t="str">
        <f t="shared" si="1"/>
        <v>Unavailable</v>
      </c>
      <c r="C2725" s="3">
        <v>172.0</v>
      </c>
      <c r="D2725" s="3">
        <f>IFERROR(__xludf.DUMMYFUNCTION("IFERROR(
IF(REGEXMATCH(LOWER(O2725),""k""),
VALUE(REGEXEXTRACT(O2725,""[0-9]+""))*1000,
VALUE(REGEXEXTRACT(O2725,""[0-9]+""))
),
0
)"),0.0)</f>
        <v>0</v>
      </c>
      <c r="E2725" s="1" t="s">
        <v>11</v>
      </c>
      <c r="F2725" s="1" t="s">
        <v>12</v>
      </c>
      <c r="G2725" s="4" t="b">
        <f t="shared" si="2"/>
        <v>1</v>
      </c>
      <c r="H2725" s="1" t="str">
        <f t="shared" si="3"/>
        <v>Currently Unavailable</v>
      </c>
      <c r="I2725" s="1" t="str">
        <f t="shared" si="4"/>
        <v>No Badges</v>
      </c>
      <c r="J2725" s="3">
        <f t="shared" si="5"/>
        <v>0</v>
      </c>
    </row>
    <row r="2726">
      <c r="A2726" s="1" t="s">
        <v>2161</v>
      </c>
      <c r="B2726" s="3" t="str">
        <f t="shared" si="1"/>
        <v>Unavailable</v>
      </c>
      <c r="C2726" s="5">
        <v>12713.0</v>
      </c>
      <c r="D2726" s="3">
        <f>IFERROR(__xludf.DUMMYFUNCTION("IFERROR(
IF(REGEXMATCH(LOWER(O2726),""k""),
VALUE(REGEXEXTRACT(O2726,""[0-9]+""))*1000,
VALUE(REGEXEXTRACT(O2726,""[0-9]+""))
),
0
)"),0.0)</f>
        <v>0</v>
      </c>
      <c r="E2726" s="1" t="s">
        <v>11</v>
      </c>
      <c r="F2726" s="1" t="s">
        <v>20</v>
      </c>
      <c r="G2726" s="4" t="b">
        <f t="shared" si="2"/>
        <v>1</v>
      </c>
      <c r="H2726" s="1" t="str">
        <f t="shared" si="3"/>
        <v>Currently Unavailable</v>
      </c>
      <c r="I2726" s="1" t="str">
        <f t="shared" si="4"/>
        <v>No Badges</v>
      </c>
      <c r="J2726" s="3">
        <f t="shared" si="5"/>
        <v>0</v>
      </c>
    </row>
    <row r="2727">
      <c r="A2727" s="1" t="s">
        <v>2162</v>
      </c>
      <c r="B2727" s="3" t="str">
        <f t="shared" si="1"/>
        <v>Unavailable</v>
      </c>
      <c r="C2727" s="5">
        <v>2143.0</v>
      </c>
      <c r="D2727" s="3">
        <f>IFERROR(__xludf.DUMMYFUNCTION("IFERROR(
IF(REGEXMATCH(LOWER(O2727),""k""),
VALUE(REGEXEXTRACT(O2727,""[0-9]+""))*1000,
VALUE(REGEXEXTRACT(O2727,""[0-9]+""))
),
0
)"),0.0)</f>
        <v>0</v>
      </c>
      <c r="E2727" s="1" t="s">
        <v>11</v>
      </c>
      <c r="F2727" s="1" t="s">
        <v>20</v>
      </c>
      <c r="G2727" s="4" t="b">
        <f t="shared" si="2"/>
        <v>1</v>
      </c>
      <c r="H2727" s="1" t="str">
        <f t="shared" si="3"/>
        <v>Currently Unavailable</v>
      </c>
      <c r="I2727" s="1" t="str">
        <f t="shared" si="4"/>
        <v>No Badges</v>
      </c>
      <c r="J2727" s="3">
        <f t="shared" si="5"/>
        <v>0</v>
      </c>
    </row>
    <row r="2728">
      <c r="A2728" s="1" t="s">
        <v>2163</v>
      </c>
      <c r="B2728" s="3" t="str">
        <f t="shared" si="1"/>
        <v>Unavailable</v>
      </c>
      <c r="C2728" s="3">
        <v>491.0</v>
      </c>
      <c r="D2728" s="3">
        <f>IFERROR(__xludf.DUMMYFUNCTION("IFERROR(
IF(REGEXMATCH(LOWER(O2728),""k""),
VALUE(REGEXEXTRACT(O2728,""[0-9]+""))*1000,
VALUE(REGEXEXTRACT(O2728,""[0-9]+""))
),
0
)"),0.0)</f>
        <v>0</v>
      </c>
      <c r="E2728" s="1" t="s">
        <v>11</v>
      </c>
      <c r="F2728" s="1" t="s">
        <v>20</v>
      </c>
      <c r="G2728" s="4" t="b">
        <f t="shared" si="2"/>
        <v>1</v>
      </c>
      <c r="H2728" s="1" t="str">
        <f t="shared" si="3"/>
        <v>Currently Unavailable</v>
      </c>
      <c r="I2728" s="1" t="str">
        <f t="shared" si="4"/>
        <v>No Badges</v>
      </c>
      <c r="J2728" s="3">
        <f t="shared" si="5"/>
        <v>0</v>
      </c>
    </row>
    <row r="2729">
      <c r="A2729" s="1" t="s">
        <v>2164</v>
      </c>
      <c r="B2729" s="3" t="str">
        <f t="shared" si="1"/>
        <v>Unavailable</v>
      </c>
      <c r="C2729" s="5">
        <v>27934.0</v>
      </c>
      <c r="D2729" s="3">
        <f>IFERROR(__xludf.DUMMYFUNCTION("IFERROR(
IF(REGEXMATCH(LOWER(O2729),""k""),
VALUE(REGEXEXTRACT(O2729,""[0-9]+""))*1000,
VALUE(REGEXEXTRACT(O2729,""[0-9]+""))
),
0
)"),0.0)</f>
        <v>0</v>
      </c>
      <c r="E2729" s="1" t="s">
        <v>11</v>
      </c>
      <c r="F2729" s="1" t="s">
        <v>20</v>
      </c>
      <c r="G2729" s="4" t="b">
        <f t="shared" si="2"/>
        <v>1</v>
      </c>
      <c r="H2729" s="1" t="str">
        <f t="shared" si="3"/>
        <v>Currently Unavailable</v>
      </c>
      <c r="I2729" s="1" t="str">
        <f t="shared" si="4"/>
        <v>No Badges</v>
      </c>
      <c r="J2729" s="3">
        <f t="shared" si="5"/>
        <v>0</v>
      </c>
    </row>
    <row r="2730">
      <c r="A2730" s="1" t="s">
        <v>2165</v>
      </c>
      <c r="B2730" s="3" t="str">
        <f t="shared" si="1"/>
        <v>Unavailable</v>
      </c>
      <c r="C2730" s="3">
        <v>161.0</v>
      </c>
      <c r="D2730" s="3">
        <f>IFERROR(__xludf.DUMMYFUNCTION("IFERROR(
IF(REGEXMATCH(LOWER(O2730),""k""),
VALUE(REGEXEXTRACT(O2730,""[0-9]+""))*1000,
VALUE(REGEXEXTRACT(O2730,""[0-9]+""))
),
0
)"),0.0)</f>
        <v>0</v>
      </c>
      <c r="E2730" s="1" t="s">
        <v>11</v>
      </c>
      <c r="F2730" s="1" t="s">
        <v>20</v>
      </c>
      <c r="G2730" s="4" t="b">
        <f t="shared" si="2"/>
        <v>1</v>
      </c>
      <c r="H2730" s="1" t="str">
        <f t="shared" si="3"/>
        <v>Currently Unavailable</v>
      </c>
      <c r="I2730" s="1" t="str">
        <f t="shared" si="4"/>
        <v>No Badges</v>
      </c>
      <c r="J2730" s="3">
        <f t="shared" si="5"/>
        <v>0</v>
      </c>
    </row>
    <row r="2731">
      <c r="A2731" s="1" t="s">
        <v>2166</v>
      </c>
      <c r="B2731" s="3" t="str">
        <f t="shared" si="1"/>
        <v>Unavailable</v>
      </c>
      <c r="C2731" s="5">
        <v>19600.0</v>
      </c>
      <c r="D2731" s="3">
        <f>IFERROR(__xludf.DUMMYFUNCTION("IFERROR(
IF(REGEXMATCH(LOWER(O2731),""k""),
VALUE(REGEXEXTRACT(O2731,""[0-9]+""))*1000,
VALUE(REGEXEXTRACT(O2731,""[0-9]+""))
),
0
)"),0.0)</f>
        <v>0</v>
      </c>
      <c r="E2731" s="1" t="s">
        <v>11</v>
      </c>
      <c r="F2731" s="1" t="s">
        <v>20</v>
      </c>
      <c r="G2731" s="4" t="b">
        <f t="shared" si="2"/>
        <v>1</v>
      </c>
      <c r="H2731" s="1" t="str">
        <f t="shared" si="3"/>
        <v>Currently Unavailable</v>
      </c>
      <c r="I2731" s="1" t="str">
        <f t="shared" si="4"/>
        <v>No Badges</v>
      </c>
      <c r="J2731" s="3">
        <f t="shared" si="5"/>
        <v>0</v>
      </c>
    </row>
    <row r="2732">
      <c r="A2732" s="1" t="s">
        <v>701</v>
      </c>
      <c r="B2732" s="3" t="str">
        <f t="shared" si="1"/>
        <v>Unavailable</v>
      </c>
      <c r="C2732" s="3">
        <v>8.0</v>
      </c>
      <c r="D2732" s="3">
        <f>IFERROR(__xludf.DUMMYFUNCTION("IFERROR(
IF(REGEXMATCH(LOWER(O2732),""k""),
VALUE(REGEXEXTRACT(O2732,""[0-9]+""))*1000,
VALUE(REGEXEXTRACT(O2732,""[0-9]+""))
),
0
)"),0.0)</f>
        <v>0</v>
      </c>
      <c r="E2732" s="1" t="s">
        <v>11</v>
      </c>
      <c r="F2732" s="1" t="s">
        <v>12</v>
      </c>
      <c r="G2732" s="4" t="b">
        <f t="shared" si="2"/>
        <v>1</v>
      </c>
      <c r="H2732" s="1" t="str">
        <f t="shared" si="3"/>
        <v>Currently Unavailable</v>
      </c>
      <c r="I2732" s="1" t="str">
        <f t="shared" si="4"/>
        <v>No Badges</v>
      </c>
      <c r="J2732" s="3">
        <f t="shared" si="5"/>
        <v>0</v>
      </c>
    </row>
    <row r="2733">
      <c r="A2733" s="1" t="s">
        <v>2167</v>
      </c>
      <c r="B2733" s="3" t="str">
        <f t="shared" si="1"/>
        <v>Unavailable</v>
      </c>
      <c r="C2733" s="5">
        <v>9516.0</v>
      </c>
      <c r="D2733" s="3">
        <f>IFERROR(__xludf.DUMMYFUNCTION("IFERROR(
IF(REGEXMATCH(LOWER(O2733),""k""),
VALUE(REGEXEXTRACT(O2733,""[0-9]+""))*1000,
VALUE(REGEXEXTRACT(O2733,""[0-9]+""))
),
0
)"),0.0)</f>
        <v>0</v>
      </c>
      <c r="E2733" s="1" t="s">
        <v>11</v>
      </c>
      <c r="F2733" s="1" t="s">
        <v>20</v>
      </c>
      <c r="G2733" s="4" t="b">
        <f t="shared" si="2"/>
        <v>1</v>
      </c>
      <c r="H2733" s="1" t="str">
        <f t="shared" si="3"/>
        <v>Currently Unavailable</v>
      </c>
      <c r="I2733" s="1" t="str">
        <f t="shared" si="4"/>
        <v>No Badges</v>
      </c>
      <c r="J2733" s="3">
        <f t="shared" si="5"/>
        <v>0</v>
      </c>
    </row>
    <row r="2734">
      <c r="A2734" s="1" t="s">
        <v>2168</v>
      </c>
      <c r="B2734" s="3" t="str">
        <f t="shared" si="1"/>
        <v>Unavailable</v>
      </c>
      <c r="C2734" s="5">
        <v>1752.0</v>
      </c>
      <c r="D2734" s="3">
        <f>IFERROR(__xludf.DUMMYFUNCTION("IFERROR(
IF(REGEXMATCH(LOWER(O2734),""k""),
VALUE(REGEXEXTRACT(O2734,""[0-9]+""))*1000,
VALUE(REGEXEXTRACT(O2734,""[0-9]+""))
),
0
)"),0.0)</f>
        <v>0</v>
      </c>
      <c r="E2734" s="1" t="s">
        <v>11</v>
      </c>
      <c r="F2734" s="1" t="s">
        <v>20</v>
      </c>
      <c r="G2734" s="4" t="b">
        <f t="shared" si="2"/>
        <v>1</v>
      </c>
      <c r="H2734" s="1" t="str">
        <f t="shared" si="3"/>
        <v>Currently Unavailable</v>
      </c>
      <c r="I2734" s="1" t="str">
        <f t="shared" si="4"/>
        <v>No Badges</v>
      </c>
      <c r="J2734" s="3">
        <f t="shared" si="5"/>
        <v>0</v>
      </c>
    </row>
    <row r="2735">
      <c r="A2735" s="1" t="s">
        <v>2169</v>
      </c>
      <c r="B2735" s="3" t="str">
        <f t="shared" si="1"/>
        <v>Unavailable</v>
      </c>
      <c r="C2735" s="3">
        <v>878.0</v>
      </c>
      <c r="D2735" s="3">
        <f>IFERROR(__xludf.DUMMYFUNCTION("IFERROR(
IF(REGEXMATCH(LOWER(O2735),""k""),
VALUE(REGEXEXTRACT(O2735,""[0-9]+""))*1000,
VALUE(REGEXEXTRACT(O2735,""[0-9]+""))
),
0
)"),0.0)</f>
        <v>0</v>
      </c>
      <c r="E2735" s="1" t="s">
        <v>11</v>
      </c>
      <c r="F2735" s="1" t="s">
        <v>20</v>
      </c>
      <c r="G2735" s="4" t="b">
        <f t="shared" si="2"/>
        <v>1</v>
      </c>
      <c r="H2735" s="1" t="str">
        <f t="shared" si="3"/>
        <v>Currently Unavailable</v>
      </c>
      <c r="I2735" s="1" t="str">
        <f t="shared" si="4"/>
        <v>No Badges</v>
      </c>
      <c r="J2735" s="3">
        <f t="shared" si="5"/>
        <v>0</v>
      </c>
    </row>
    <row r="2736">
      <c r="A2736" s="1" t="s">
        <v>1284</v>
      </c>
      <c r="B2736" s="3" t="str">
        <f t="shared" si="1"/>
        <v>Unavailable</v>
      </c>
      <c r="C2736" s="3">
        <v>172.0</v>
      </c>
      <c r="D2736" s="3">
        <f>IFERROR(__xludf.DUMMYFUNCTION("IFERROR(
IF(REGEXMATCH(LOWER(O2736),""k""),
VALUE(REGEXEXTRACT(O2736,""[0-9]+""))*1000,
VALUE(REGEXEXTRACT(O2736,""[0-9]+""))
),
0
)"),0.0)</f>
        <v>0</v>
      </c>
      <c r="E2736" s="1" t="s">
        <v>11</v>
      </c>
      <c r="F2736" s="1" t="s">
        <v>12</v>
      </c>
      <c r="G2736" s="4" t="b">
        <f t="shared" si="2"/>
        <v>1</v>
      </c>
      <c r="H2736" s="1" t="str">
        <f t="shared" si="3"/>
        <v>Currently Unavailable</v>
      </c>
      <c r="I2736" s="1" t="str">
        <f t="shared" si="4"/>
        <v>No Badges</v>
      </c>
      <c r="J2736" s="3">
        <f t="shared" si="5"/>
        <v>0</v>
      </c>
    </row>
    <row r="2737">
      <c r="A2737" s="1" t="s">
        <v>2170</v>
      </c>
      <c r="B2737" s="3" t="str">
        <f t="shared" si="1"/>
        <v>Unavailable</v>
      </c>
      <c r="C2737" s="5">
        <v>3112.0</v>
      </c>
      <c r="D2737" s="3">
        <f>IFERROR(__xludf.DUMMYFUNCTION("IFERROR(
IF(REGEXMATCH(LOWER(O2737),""k""),
VALUE(REGEXEXTRACT(O2737,""[0-9]+""))*1000,
VALUE(REGEXEXTRACT(O2737,""[0-9]+""))
),
0
)"),0.0)</f>
        <v>0</v>
      </c>
      <c r="E2737" s="1" t="s">
        <v>11</v>
      </c>
      <c r="F2737" s="1" t="s">
        <v>20</v>
      </c>
      <c r="G2737" s="4" t="b">
        <f t="shared" si="2"/>
        <v>1</v>
      </c>
      <c r="H2737" s="1" t="str">
        <f t="shared" si="3"/>
        <v>Currently Unavailable</v>
      </c>
      <c r="I2737" s="1" t="str">
        <f t="shared" si="4"/>
        <v>No Badges</v>
      </c>
      <c r="J2737" s="3">
        <f t="shared" si="5"/>
        <v>0</v>
      </c>
    </row>
    <row r="2738">
      <c r="A2738" s="1" t="s">
        <v>2171</v>
      </c>
      <c r="B2738" s="3" t="str">
        <f t="shared" si="1"/>
        <v>Unavailable</v>
      </c>
      <c r="C2738" s="3">
        <v>648.0</v>
      </c>
      <c r="D2738" s="3">
        <f>IFERROR(__xludf.DUMMYFUNCTION("IFERROR(
IF(REGEXMATCH(LOWER(O2738),""k""),
VALUE(REGEXEXTRACT(O2738,""[0-9]+""))*1000,
VALUE(REGEXEXTRACT(O2738,""[0-9]+""))
),
0
)"),0.0)</f>
        <v>0</v>
      </c>
      <c r="E2738" s="1" t="s">
        <v>11</v>
      </c>
      <c r="F2738" s="1" t="s">
        <v>20</v>
      </c>
      <c r="G2738" s="4" t="b">
        <f t="shared" si="2"/>
        <v>1</v>
      </c>
      <c r="H2738" s="1" t="str">
        <f t="shared" si="3"/>
        <v>Currently Unavailable</v>
      </c>
      <c r="I2738" s="1" t="str">
        <f t="shared" si="4"/>
        <v>No Badges</v>
      </c>
      <c r="J2738" s="3">
        <f t="shared" si="5"/>
        <v>0</v>
      </c>
    </row>
    <row r="2739">
      <c r="A2739" s="1" t="s">
        <v>2172</v>
      </c>
      <c r="B2739" s="3" t="str">
        <f t="shared" si="1"/>
        <v>Unavailable</v>
      </c>
      <c r="C2739" s="5">
        <v>28075.0</v>
      </c>
      <c r="D2739" s="3">
        <f>IFERROR(__xludf.DUMMYFUNCTION("IFERROR(
IF(REGEXMATCH(LOWER(O2739),""k""),
VALUE(REGEXEXTRACT(O2739,""[0-9]+""))*1000,
VALUE(REGEXEXTRACT(O2739,""[0-9]+""))
),
0
)"),0.0)</f>
        <v>0</v>
      </c>
      <c r="E2739" s="1" t="s">
        <v>11</v>
      </c>
      <c r="F2739" s="1" t="s">
        <v>20</v>
      </c>
      <c r="G2739" s="4" t="b">
        <f t="shared" si="2"/>
        <v>1</v>
      </c>
      <c r="H2739" s="1" t="str">
        <f t="shared" si="3"/>
        <v>Currently Unavailable</v>
      </c>
      <c r="I2739" s="1" t="str">
        <f t="shared" si="4"/>
        <v>No Badges</v>
      </c>
      <c r="J2739" s="3">
        <f t="shared" si="5"/>
        <v>0</v>
      </c>
    </row>
    <row r="2740">
      <c r="A2740" s="1" t="s">
        <v>1285</v>
      </c>
      <c r="B2740" s="3" t="str">
        <f t="shared" si="1"/>
        <v>Unavailable</v>
      </c>
      <c r="C2740" s="5">
        <v>3520.0</v>
      </c>
      <c r="D2740" s="3">
        <f>IFERROR(__xludf.DUMMYFUNCTION("IFERROR(
IF(REGEXMATCH(LOWER(O2740),""k""),
VALUE(REGEXEXTRACT(O2740,""[0-9]+""))*1000,
VALUE(REGEXEXTRACT(O2740,""[0-9]+""))
),
0
)"),0.0)</f>
        <v>0</v>
      </c>
      <c r="E2740" s="1" t="s">
        <v>11</v>
      </c>
      <c r="F2740" s="1" t="s">
        <v>12</v>
      </c>
      <c r="G2740" s="4" t="b">
        <f t="shared" si="2"/>
        <v>1</v>
      </c>
      <c r="H2740" s="1" t="str">
        <f t="shared" si="3"/>
        <v>Currently Unavailable</v>
      </c>
      <c r="I2740" s="1" t="str">
        <f t="shared" si="4"/>
        <v>No Badges</v>
      </c>
      <c r="J2740" s="3">
        <f t="shared" si="5"/>
        <v>0</v>
      </c>
    </row>
    <row r="2741">
      <c r="A2741" s="1" t="s">
        <v>2173</v>
      </c>
      <c r="B2741" s="3" t="str">
        <f t="shared" si="1"/>
        <v>Unavailable</v>
      </c>
      <c r="C2741" s="3">
        <v>974.0</v>
      </c>
      <c r="D2741" s="3">
        <f>IFERROR(__xludf.DUMMYFUNCTION("IFERROR(
IF(REGEXMATCH(LOWER(O2741),""k""),
VALUE(REGEXEXTRACT(O2741,""[0-9]+""))*1000,
VALUE(REGEXEXTRACT(O2741,""[0-9]+""))
),
0
)"),0.0)</f>
        <v>0</v>
      </c>
      <c r="E2741" s="1" t="s">
        <v>11</v>
      </c>
      <c r="F2741" s="1" t="s">
        <v>20</v>
      </c>
      <c r="G2741" s="4" t="b">
        <f t="shared" si="2"/>
        <v>1</v>
      </c>
      <c r="H2741" s="1" t="str">
        <f t="shared" si="3"/>
        <v>Currently Unavailable</v>
      </c>
      <c r="I2741" s="1" t="str">
        <f t="shared" si="4"/>
        <v>No Badges</v>
      </c>
      <c r="J2741" s="3">
        <f t="shared" si="5"/>
        <v>0</v>
      </c>
    </row>
    <row r="2742">
      <c r="A2742" s="1" t="s">
        <v>1284</v>
      </c>
      <c r="B2742" s="3" t="str">
        <f t="shared" si="1"/>
        <v>Unavailable</v>
      </c>
      <c r="C2742" s="3">
        <v>172.0</v>
      </c>
      <c r="D2742" s="3">
        <f>IFERROR(__xludf.DUMMYFUNCTION("IFERROR(
IF(REGEXMATCH(LOWER(O2742),""k""),
VALUE(REGEXEXTRACT(O2742,""[0-9]+""))*1000,
VALUE(REGEXEXTRACT(O2742,""[0-9]+""))
),
0
)"),0.0)</f>
        <v>0</v>
      </c>
      <c r="E2742" s="1" t="s">
        <v>11</v>
      </c>
      <c r="F2742" s="1" t="s">
        <v>12</v>
      </c>
      <c r="G2742" s="4" t="b">
        <f t="shared" si="2"/>
        <v>1</v>
      </c>
      <c r="H2742" s="1" t="str">
        <f t="shared" si="3"/>
        <v>Currently Unavailable</v>
      </c>
      <c r="I2742" s="1" t="str">
        <f t="shared" si="4"/>
        <v>No Badges</v>
      </c>
      <c r="J2742" s="3">
        <f t="shared" si="5"/>
        <v>0</v>
      </c>
    </row>
    <row r="2743">
      <c r="A2743" s="1" t="s">
        <v>2174</v>
      </c>
      <c r="B2743" s="3" t="str">
        <f t="shared" si="1"/>
        <v>Unavailable</v>
      </c>
      <c r="C2743" s="3">
        <v>436.0</v>
      </c>
      <c r="D2743" s="3">
        <f>IFERROR(__xludf.DUMMYFUNCTION("IFERROR(
IF(REGEXMATCH(LOWER(O2743),""k""),
VALUE(REGEXEXTRACT(O2743,""[0-9]+""))*1000,
VALUE(REGEXEXTRACT(O2743,""[0-9]+""))
),
0
)"),0.0)</f>
        <v>0</v>
      </c>
      <c r="E2743" s="1" t="s">
        <v>18</v>
      </c>
      <c r="F2743" s="1" t="s">
        <v>20</v>
      </c>
      <c r="G2743" s="4" t="b">
        <f t="shared" si="2"/>
        <v>1</v>
      </c>
      <c r="H2743" s="1" t="str">
        <f t="shared" si="3"/>
        <v>Currently Unavailable</v>
      </c>
      <c r="I2743" s="1" t="str">
        <f t="shared" si="4"/>
        <v>No Badges</v>
      </c>
      <c r="J2743" s="3">
        <f t="shared" si="5"/>
        <v>0</v>
      </c>
    </row>
    <row r="2744">
      <c r="A2744" s="1" t="s">
        <v>2175</v>
      </c>
      <c r="B2744" s="3" t="str">
        <f t="shared" si="1"/>
        <v>Unavailable</v>
      </c>
      <c r="C2744" s="3">
        <v>252.0</v>
      </c>
      <c r="D2744" s="3">
        <f>IFERROR(__xludf.DUMMYFUNCTION("IFERROR(
IF(REGEXMATCH(LOWER(O2744),""k""),
VALUE(REGEXEXTRACT(O2744,""[0-9]+""))*1000,
VALUE(REGEXEXTRACT(O2744,""[0-9]+""))
),
0
)"),0.0)</f>
        <v>0</v>
      </c>
      <c r="E2744" s="1" t="s">
        <v>11</v>
      </c>
      <c r="F2744" s="1" t="s">
        <v>20</v>
      </c>
      <c r="G2744" s="4" t="b">
        <f t="shared" si="2"/>
        <v>1</v>
      </c>
      <c r="H2744" s="1" t="str">
        <f t="shared" si="3"/>
        <v>Currently Unavailable</v>
      </c>
      <c r="I2744" s="1" t="str">
        <f t="shared" si="4"/>
        <v>No Badges</v>
      </c>
      <c r="J2744" s="3">
        <f t="shared" si="5"/>
        <v>0</v>
      </c>
    </row>
    <row r="2745">
      <c r="A2745" s="1" t="s">
        <v>2176</v>
      </c>
      <c r="B2745" s="3" t="str">
        <f t="shared" si="1"/>
        <v>Unavailable</v>
      </c>
      <c r="C2745" s="5">
        <v>4716.0</v>
      </c>
      <c r="D2745" s="3">
        <f>IFERROR(__xludf.DUMMYFUNCTION("IFERROR(
IF(REGEXMATCH(LOWER(O2745),""k""),
VALUE(REGEXEXTRACT(O2745,""[0-9]+""))*1000,
VALUE(REGEXEXTRACT(O2745,""[0-9]+""))
),
0
)"),0.0)</f>
        <v>0</v>
      </c>
      <c r="E2745" s="1" t="s">
        <v>11</v>
      </c>
      <c r="F2745" s="1" t="s">
        <v>20</v>
      </c>
      <c r="G2745" s="4" t="b">
        <f t="shared" si="2"/>
        <v>1</v>
      </c>
      <c r="H2745" s="1" t="str">
        <f t="shared" si="3"/>
        <v>Currently Unavailable</v>
      </c>
      <c r="I2745" s="1" t="str">
        <f t="shared" si="4"/>
        <v>No Badges</v>
      </c>
      <c r="J2745" s="3">
        <f t="shared" si="5"/>
        <v>0</v>
      </c>
    </row>
    <row r="2746">
      <c r="A2746" s="1" t="s">
        <v>2177</v>
      </c>
      <c r="B2746" s="3" t="str">
        <f t="shared" si="1"/>
        <v>Unavailable</v>
      </c>
      <c r="C2746" s="3">
        <v>695.0</v>
      </c>
      <c r="D2746" s="3">
        <f>IFERROR(__xludf.DUMMYFUNCTION("IFERROR(
IF(REGEXMATCH(LOWER(O2746),""k""),
VALUE(REGEXEXTRACT(O2746,""[0-9]+""))*1000,
VALUE(REGEXEXTRACT(O2746,""[0-9]+""))
),
0
)"),0.0)</f>
        <v>0</v>
      </c>
      <c r="E2746" s="1" t="s">
        <v>11</v>
      </c>
      <c r="F2746" s="1" t="s">
        <v>20</v>
      </c>
      <c r="G2746" s="4" t="b">
        <f t="shared" si="2"/>
        <v>1</v>
      </c>
      <c r="H2746" s="1" t="str">
        <f t="shared" si="3"/>
        <v>Currently Unavailable</v>
      </c>
      <c r="I2746" s="1" t="str">
        <f t="shared" si="4"/>
        <v>No Badges</v>
      </c>
      <c r="J2746" s="3">
        <f t="shared" si="5"/>
        <v>0</v>
      </c>
    </row>
    <row r="2747">
      <c r="A2747" s="1" t="s">
        <v>2178</v>
      </c>
      <c r="B2747" s="3" t="str">
        <f t="shared" si="1"/>
        <v>Unavailable</v>
      </c>
      <c r="C2747" s="5">
        <v>4484.0</v>
      </c>
      <c r="D2747" s="3">
        <f>IFERROR(__xludf.DUMMYFUNCTION("IFERROR(
IF(REGEXMATCH(LOWER(O2747),""k""),
VALUE(REGEXEXTRACT(O2747,""[0-9]+""))*1000,
VALUE(REGEXEXTRACT(O2747,""[0-9]+""))
),
0
)"),0.0)</f>
        <v>0</v>
      </c>
      <c r="E2747" s="1" t="s">
        <v>11</v>
      </c>
      <c r="F2747" s="1" t="s">
        <v>20</v>
      </c>
      <c r="G2747" s="4" t="b">
        <f t="shared" si="2"/>
        <v>1</v>
      </c>
      <c r="H2747" s="1" t="str">
        <f t="shared" si="3"/>
        <v>Currently Unavailable</v>
      </c>
      <c r="I2747" s="1" t="str">
        <f t="shared" si="4"/>
        <v>No Badges</v>
      </c>
      <c r="J2747" s="3">
        <f t="shared" si="5"/>
        <v>0</v>
      </c>
    </row>
    <row r="2748">
      <c r="A2748" s="1" t="s">
        <v>1285</v>
      </c>
      <c r="B2748" s="3" t="str">
        <f t="shared" si="1"/>
        <v>Unavailable</v>
      </c>
      <c r="C2748" s="5">
        <v>3520.0</v>
      </c>
      <c r="D2748" s="3">
        <f>IFERROR(__xludf.DUMMYFUNCTION("IFERROR(
IF(REGEXMATCH(LOWER(O2748),""k""),
VALUE(REGEXEXTRACT(O2748,""[0-9]+""))*1000,
VALUE(REGEXEXTRACT(O2748,""[0-9]+""))
),
0
)"),0.0)</f>
        <v>0</v>
      </c>
      <c r="E2748" s="1" t="s">
        <v>11</v>
      </c>
      <c r="F2748" s="1" t="s">
        <v>12</v>
      </c>
      <c r="G2748" s="4" t="b">
        <f t="shared" si="2"/>
        <v>1</v>
      </c>
      <c r="H2748" s="1" t="str">
        <f t="shared" si="3"/>
        <v>Currently Unavailable</v>
      </c>
      <c r="I2748" s="1" t="str">
        <f t="shared" si="4"/>
        <v>No Badges</v>
      </c>
      <c r="J2748" s="3">
        <f t="shared" si="5"/>
        <v>0</v>
      </c>
    </row>
    <row r="2749">
      <c r="A2749" s="1" t="s">
        <v>1285</v>
      </c>
      <c r="B2749" s="3" t="str">
        <f t="shared" si="1"/>
        <v>Unavailable</v>
      </c>
      <c r="C2749" s="5">
        <v>3520.0</v>
      </c>
      <c r="D2749" s="3">
        <f>IFERROR(__xludf.DUMMYFUNCTION("IFERROR(
IF(REGEXMATCH(LOWER(O2749),""k""),
VALUE(REGEXEXTRACT(O2749,""[0-9]+""))*1000,
VALUE(REGEXEXTRACT(O2749,""[0-9]+""))
),
0
)"),0.0)</f>
        <v>0</v>
      </c>
      <c r="E2749" s="1" t="s">
        <v>11</v>
      </c>
      <c r="F2749" s="1" t="s">
        <v>12</v>
      </c>
      <c r="G2749" s="4" t="b">
        <f t="shared" si="2"/>
        <v>1</v>
      </c>
      <c r="H2749" s="1" t="str">
        <f t="shared" si="3"/>
        <v>Currently Unavailable</v>
      </c>
      <c r="I2749" s="1" t="str">
        <f t="shared" si="4"/>
        <v>No Badges</v>
      </c>
      <c r="J2749" s="3">
        <f t="shared" si="5"/>
        <v>0</v>
      </c>
    </row>
    <row r="2750">
      <c r="A2750" s="1" t="s">
        <v>69</v>
      </c>
      <c r="B2750" s="3" t="str">
        <f t="shared" si="1"/>
        <v>Unavailable</v>
      </c>
      <c r="C2750" s="3">
        <v>45.0</v>
      </c>
      <c r="D2750" s="3">
        <f>IFERROR(__xludf.DUMMYFUNCTION("IFERROR(
IF(REGEXMATCH(LOWER(O2750),""k""),
VALUE(REGEXEXTRACT(O2750,""[0-9]+""))*1000,
VALUE(REGEXEXTRACT(O2750,""[0-9]+""))
),
0
)"),0.0)</f>
        <v>0</v>
      </c>
      <c r="E2750" s="1" t="s">
        <v>11</v>
      </c>
      <c r="F2750" s="1" t="s">
        <v>12</v>
      </c>
      <c r="G2750" s="4" t="b">
        <f t="shared" si="2"/>
        <v>1</v>
      </c>
      <c r="H2750" s="1" t="str">
        <f t="shared" si="3"/>
        <v>Currently Unavailable</v>
      </c>
      <c r="I2750" s="1" t="str">
        <f t="shared" si="4"/>
        <v>No Badges</v>
      </c>
      <c r="J2750" s="3">
        <f t="shared" si="5"/>
        <v>0</v>
      </c>
    </row>
    <row r="2751">
      <c r="A2751" s="1" t="s">
        <v>67</v>
      </c>
      <c r="B2751" s="3" t="str">
        <f t="shared" si="1"/>
        <v>Unavailable</v>
      </c>
      <c r="C2751" s="3">
        <v>264.0</v>
      </c>
      <c r="D2751" s="3">
        <f>IFERROR(__xludf.DUMMYFUNCTION("IFERROR(
IF(REGEXMATCH(LOWER(O2751),""k""),
VALUE(REGEXEXTRACT(O2751,""[0-9]+""))*1000,
VALUE(REGEXEXTRACT(O2751,""[0-9]+""))
),
0
)"),0.0)</f>
        <v>0</v>
      </c>
      <c r="E2751" s="1" t="s">
        <v>11</v>
      </c>
      <c r="F2751" s="1" t="s">
        <v>12</v>
      </c>
      <c r="G2751" s="4" t="b">
        <f t="shared" si="2"/>
        <v>1</v>
      </c>
      <c r="H2751" s="1" t="str">
        <f t="shared" si="3"/>
        <v>Currently Unavailable</v>
      </c>
      <c r="I2751" s="1" t="str">
        <f t="shared" si="4"/>
        <v>No Badges</v>
      </c>
      <c r="J2751" s="3">
        <f t="shared" si="5"/>
        <v>0</v>
      </c>
    </row>
    <row r="2752">
      <c r="A2752" s="1" t="s">
        <v>1284</v>
      </c>
      <c r="B2752" s="3" t="str">
        <f t="shared" si="1"/>
        <v>Unavailable</v>
      </c>
      <c r="C2752" s="3">
        <v>172.0</v>
      </c>
      <c r="D2752" s="3">
        <f>IFERROR(__xludf.DUMMYFUNCTION("IFERROR(
IF(REGEXMATCH(LOWER(O2752),""k""),
VALUE(REGEXEXTRACT(O2752,""[0-9]+""))*1000,
VALUE(REGEXEXTRACT(O2752,""[0-9]+""))
),
0
)"),0.0)</f>
        <v>0</v>
      </c>
      <c r="E2752" s="1" t="s">
        <v>11</v>
      </c>
      <c r="F2752" s="1" t="s">
        <v>12</v>
      </c>
      <c r="G2752" s="4" t="b">
        <f t="shared" si="2"/>
        <v>1</v>
      </c>
      <c r="H2752" s="1" t="str">
        <f t="shared" si="3"/>
        <v>Currently Unavailable</v>
      </c>
      <c r="I2752" s="1" t="str">
        <f t="shared" si="4"/>
        <v>No Badges</v>
      </c>
      <c r="J2752" s="3">
        <f t="shared" si="5"/>
        <v>0</v>
      </c>
    </row>
    <row r="2753">
      <c r="A2753" s="1" t="s">
        <v>2179</v>
      </c>
      <c r="B2753" s="3" t="str">
        <f t="shared" si="1"/>
        <v>Unavailable</v>
      </c>
      <c r="C2753" s="3">
        <v>472.0</v>
      </c>
      <c r="D2753" s="3">
        <f>IFERROR(__xludf.DUMMYFUNCTION("IFERROR(
IF(REGEXMATCH(LOWER(O2753),""k""),
VALUE(REGEXEXTRACT(O2753,""[0-9]+""))*1000,
VALUE(REGEXEXTRACT(O2753,""[0-9]+""))
),
0
)"),0.0)</f>
        <v>0</v>
      </c>
      <c r="E2753" s="1" t="s">
        <v>11</v>
      </c>
      <c r="F2753" s="1" t="s">
        <v>20</v>
      </c>
      <c r="G2753" s="4" t="b">
        <f t="shared" si="2"/>
        <v>1</v>
      </c>
      <c r="H2753" s="1" t="str">
        <f t="shared" si="3"/>
        <v>Currently Unavailable</v>
      </c>
      <c r="I2753" s="1" t="str">
        <f t="shared" si="4"/>
        <v>No Badges</v>
      </c>
      <c r="J2753" s="3">
        <f t="shared" si="5"/>
        <v>0</v>
      </c>
    </row>
    <row r="2754">
      <c r="A2754" s="1" t="s">
        <v>2180</v>
      </c>
      <c r="B2754" s="3" t="str">
        <f t="shared" si="1"/>
        <v>Unavailable</v>
      </c>
      <c r="C2754" s="5">
        <v>4806.0</v>
      </c>
      <c r="D2754" s="3">
        <f>IFERROR(__xludf.DUMMYFUNCTION("IFERROR(
IF(REGEXMATCH(LOWER(O2754),""k""),
VALUE(REGEXEXTRACT(O2754,""[0-9]+""))*1000,
VALUE(REGEXEXTRACT(O2754,""[0-9]+""))
),
0
)"),0.0)</f>
        <v>0</v>
      </c>
      <c r="E2754" s="1" t="s">
        <v>11</v>
      </c>
      <c r="F2754" s="1" t="s">
        <v>20</v>
      </c>
      <c r="G2754" s="4" t="b">
        <f t="shared" si="2"/>
        <v>1</v>
      </c>
      <c r="H2754" s="1" t="str">
        <f t="shared" si="3"/>
        <v>Currently Unavailable</v>
      </c>
      <c r="I2754" s="1" t="str">
        <f t="shared" si="4"/>
        <v>No Badges</v>
      </c>
      <c r="J2754" s="3">
        <f t="shared" si="5"/>
        <v>0</v>
      </c>
    </row>
    <row r="2755">
      <c r="A2755" s="1" t="s">
        <v>2181</v>
      </c>
      <c r="B2755" s="3" t="str">
        <f t="shared" si="1"/>
        <v>Unavailable</v>
      </c>
      <c r="C2755" s="3">
        <v>485.0</v>
      </c>
      <c r="D2755" s="3">
        <f>IFERROR(__xludf.DUMMYFUNCTION("IFERROR(
IF(REGEXMATCH(LOWER(O2755),""k""),
VALUE(REGEXEXTRACT(O2755,""[0-9]+""))*1000,
VALUE(REGEXEXTRACT(O2755,""[0-9]+""))
),
0
)"),0.0)</f>
        <v>0</v>
      </c>
      <c r="E2755" s="1" t="s">
        <v>11</v>
      </c>
      <c r="F2755" s="1" t="s">
        <v>20</v>
      </c>
      <c r="G2755" s="4" t="b">
        <f t="shared" si="2"/>
        <v>1</v>
      </c>
      <c r="H2755" s="1" t="str">
        <f t="shared" si="3"/>
        <v>Currently Unavailable</v>
      </c>
      <c r="I2755" s="1" t="str">
        <f t="shared" si="4"/>
        <v>No Badges</v>
      </c>
      <c r="J2755" s="3">
        <f t="shared" si="5"/>
        <v>0</v>
      </c>
    </row>
    <row r="2756">
      <c r="A2756" s="1" t="s">
        <v>2182</v>
      </c>
      <c r="B2756" s="3" t="str">
        <f t="shared" si="1"/>
        <v>Unavailable</v>
      </c>
      <c r="C2756" s="5">
        <v>10127.0</v>
      </c>
      <c r="D2756" s="3">
        <f>IFERROR(__xludf.DUMMYFUNCTION("IFERROR(
IF(REGEXMATCH(LOWER(O2756),""k""),
VALUE(REGEXEXTRACT(O2756,""[0-9]+""))*1000,
VALUE(REGEXEXTRACT(O2756,""[0-9]+""))
),
0
)"),0.0)</f>
        <v>0</v>
      </c>
      <c r="E2756" s="1" t="s">
        <v>11</v>
      </c>
      <c r="F2756" s="1" t="s">
        <v>20</v>
      </c>
      <c r="G2756" s="4" t="b">
        <f t="shared" si="2"/>
        <v>1</v>
      </c>
      <c r="H2756" s="1" t="str">
        <f t="shared" si="3"/>
        <v>Currently Unavailable</v>
      </c>
      <c r="I2756" s="1" t="str">
        <f t="shared" si="4"/>
        <v>No Badges</v>
      </c>
      <c r="J2756" s="3">
        <f t="shared" si="5"/>
        <v>0</v>
      </c>
    </row>
    <row r="2757">
      <c r="A2757" s="1" t="s">
        <v>2183</v>
      </c>
      <c r="B2757" s="3" t="str">
        <f t="shared" si="1"/>
        <v>Unavailable</v>
      </c>
      <c r="C2757" s="5">
        <v>3069.0</v>
      </c>
      <c r="D2757" s="3">
        <f>IFERROR(__xludf.DUMMYFUNCTION("IFERROR(
IF(REGEXMATCH(LOWER(O2757),""k""),
VALUE(REGEXEXTRACT(O2757,""[0-9]+""))*1000,
VALUE(REGEXEXTRACT(O2757,""[0-9]+""))
),
0
)"),0.0)</f>
        <v>0</v>
      </c>
      <c r="E2757" s="1" t="s">
        <v>11</v>
      </c>
      <c r="F2757" s="1" t="s">
        <v>20</v>
      </c>
      <c r="G2757" s="4" t="b">
        <f t="shared" si="2"/>
        <v>1</v>
      </c>
      <c r="H2757" s="1" t="str">
        <f t="shared" si="3"/>
        <v>Currently Unavailable</v>
      </c>
      <c r="I2757" s="1" t="str">
        <f t="shared" si="4"/>
        <v>No Badges</v>
      </c>
      <c r="J2757" s="3">
        <f t="shared" si="5"/>
        <v>0</v>
      </c>
    </row>
    <row r="2758">
      <c r="A2758" s="1" t="s">
        <v>2184</v>
      </c>
      <c r="B2758" s="3" t="str">
        <f t="shared" si="1"/>
        <v>Unavailable</v>
      </c>
      <c r="C2758" s="5">
        <v>9147.0</v>
      </c>
      <c r="D2758" s="3">
        <f>IFERROR(__xludf.DUMMYFUNCTION("IFERROR(
IF(REGEXMATCH(LOWER(O2758),""k""),
VALUE(REGEXEXTRACT(O2758,""[0-9]+""))*1000,
VALUE(REGEXEXTRACT(O2758,""[0-9]+""))
),
0
)"),0.0)</f>
        <v>0</v>
      </c>
      <c r="E2758" s="1" t="s">
        <v>11</v>
      </c>
      <c r="F2758" s="1" t="s">
        <v>20</v>
      </c>
      <c r="G2758" s="4" t="b">
        <f t="shared" si="2"/>
        <v>1</v>
      </c>
      <c r="H2758" s="1" t="str">
        <f t="shared" si="3"/>
        <v>Currently Unavailable</v>
      </c>
      <c r="I2758" s="1" t="str">
        <f t="shared" si="4"/>
        <v>No Badges</v>
      </c>
      <c r="J2758" s="3">
        <f t="shared" si="5"/>
        <v>0</v>
      </c>
    </row>
    <row r="2759">
      <c r="A2759" s="1" t="s">
        <v>1284</v>
      </c>
      <c r="B2759" s="3" t="str">
        <f t="shared" si="1"/>
        <v>Unavailable</v>
      </c>
      <c r="C2759" s="3">
        <v>172.0</v>
      </c>
      <c r="D2759" s="3">
        <f>IFERROR(__xludf.DUMMYFUNCTION("IFERROR(
IF(REGEXMATCH(LOWER(O2759),""k""),
VALUE(REGEXEXTRACT(O2759,""[0-9]+""))*1000,
VALUE(REGEXEXTRACT(O2759,""[0-9]+""))
),
0
)"),0.0)</f>
        <v>0</v>
      </c>
      <c r="E2759" s="1" t="s">
        <v>11</v>
      </c>
      <c r="F2759" s="1" t="s">
        <v>12</v>
      </c>
      <c r="G2759" s="4" t="b">
        <f t="shared" si="2"/>
        <v>1</v>
      </c>
      <c r="H2759" s="1" t="str">
        <f t="shared" si="3"/>
        <v>Currently Unavailable</v>
      </c>
      <c r="I2759" s="1" t="str">
        <f t="shared" si="4"/>
        <v>No Badges</v>
      </c>
      <c r="J2759" s="3">
        <f t="shared" si="5"/>
        <v>0</v>
      </c>
    </row>
    <row r="2760">
      <c r="A2760" s="1" t="s">
        <v>2185</v>
      </c>
      <c r="B2760" s="3" t="str">
        <f t="shared" si="1"/>
        <v>Unavailable</v>
      </c>
      <c r="C2760" s="5">
        <v>1622.0</v>
      </c>
      <c r="D2760" s="3">
        <f>IFERROR(__xludf.DUMMYFUNCTION("IFERROR(
IF(REGEXMATCH(LOWER(O2760),""k""),
VALUE(REGEXEXTRACT(O2760,""[0-9]+""))*1000,
VALUE(REGEXEXTRACT(O2760,""[0-9]+""))
),
0
)"),0.0)</f>
        <v>0</v>
      </c>
      <c r="E2760" s="1" t="s">
        <v>11</v>
      </c>
      <c r="F2760" s="1" t="s">
        <v>20</v>
      </c>
      <c r="G2760" s="4" t="b">
        <f t="shared" si="2"/>
        <v>1</v>
      </c>
      <c r="H2760" s="1" t="str">
        <f t="shared" si="3"/>
        <v>Currently Unavailable</v>
      </c>
      <c r="I2760" s="1" t="str">
        <f t="shared" si="4"/>
        <v>No Badges</v>
      </c>
      <c r="J2760" s="3">
        <f t="shared" si="5"/>
        <v>0</v>
      </c>
    </row>
    <row r="2761">
      <c r="A2761" s="1" t="s">
        <v>2186</v>
      </c>
      <c r="B2761" s="3" t="str">
        <f t="shared" si="1"/>
        <v>Unavailable</v>
      </c>
      <c r="C2761" s="5">
        <v>1325.0</v>
      </c>
      <c r="D2761" s="3">
        <f>IFERROR(__xludf.DUMMYFUNCTION("IFERROR(
IF(REGEXMATCH(LOWER(O2761),""k""),
VALUE(REGEXEXTRACT(O2761,""[0-9]+""))*1000,
VALUE(REGEXEXTRACT(O2761,""[0-9]+""))
),
0
)"),0.0)</f>
        <v>0</v>
      </c>
      <c r="E2761" s="1" t="s">
        <v>11</v>
      </c>
      <c r="F2761" s="1" t="s">
        <v>20</v>
      </c>
      <c r="G2761" s="4" t="b">
        <f t="shared" si="2"/>
        <v>1</v>
      </c>
      <c r="H2761" s="1" t="str">
        <f t="shared" si="3"/>
        <v>Currently Unavailable</v>
      </c>
      <c r="I2761" s="1" t="str">
        <f t="shared" si="4"/>
        <v>No Badges</v>
      </c>
      <c r="J2761" s="3">
        <f t="shared" si="5"/>
        <v>0</v>
      </c>
    </row>
    <row r="2762">
      <c r="A2762" s="1" t="s">
        <v>1285</v>
      </c>
      <c r="B2762" s="3" t="str">
        <f t="shared" si="1"/>
        <v>Unavailable</v>
      </c>
      <c r="C2762" s="5">
        <v>3520.0</v>
      </c>
      <c r="D2762" s="3">
        <f>IFERROR(__xludf.DUMMYFUNCTION("IFERROR(
IF(REGEXMATCH(LOWER(O2762),""k""),
VALUE(REGEXEXTRACT(O2762,""[0-9]+""))*1000,
VALUE(REGEXEXTRACT(O2762,""[0-9]+""))
),
0
)"),0.0)</f>
        <v>0</v>
      </c>
      <c r="E2762" s="1" t="s">
        <v>11</v>
      </c>
      <c r="F2762" s="1" t="s">
        <v>12</v>
      </c>
      <c r="G2762" s="4" t="b">
        <f t="shared" si="2"/>
        <v>1</v>
      </c>
      <c r="H2762" s="1" t="str">
        <f t="shared" si="3"/>
        <v>Currently Unavailable</v>
      </c>
      <c r="I2762" s="1" t="str">
        <f t="shared" si="4"/>
        <v>No Badges</v>
      </c>
      <c r="J2762" s="3">
        <f t="shared" si="5"/>
        <v>0</v>
      </c>
    </row>
    <row r="2763">
      <c r="A2763" s="1" t="s">
        <v>1284</v>
      </c>
      <c r="B2763" s="3" t="str">
        <f t="shared" si="1"/>
        <v>Unavailable</v>
      </c>
      <c r="C2763" s="3">
        <v>172.0</v>
      </c>
      <c r="D2763" s="3">
        <f>IFERROR(__xludf.DUMMYFUNCTION("IFERROR(
IF(REGEXMATCH(LOWER(O2763),""k""),
VALUE(REGEXEXTRACT(O2763,""[0-9]+""))*1000,
VALUE(REGEXEXTRACT(O2763,""[0-9]+""))
),
0
)"),0.0)</f>
        <v>0</v>
      </c>
      <c r="E2763" s="1" t="s">
        <v>11</v>
      </c>
      <c r="F2763" s="1" t="s">
        <v>12</v>
      </c>
      <c r="G2763" s="4" t="b">
        <f t="shared" si="2"/>
        <v>1</v>
      </c>
      <c r="H2763" s="1" t="str">
        <f t="shared" si="3"/>
        <v>Currently Unavailable</v>
      </c>
      <c r="I2763" s="1" t="str">
        <f t="shared" si="4"/>
        <v>No Badges</v>
      </c>
      <c r="J2763" s="3">
        <f t="shared" si="5"/>
        <v>0</v>
      </c>
    </row>
    <row r="2764">
      <c r="A2764" s="1" t="s">
        <v>2187</v>
      </c>
      <c r="B2764" s="3" t="str">
        <f t="shared" si="1"/>
        <v>Unavailable</v>
      </c>
      <c r="C2764" s="3">
        <v>516.0</v>
      </c>
      <c r="D2764" s="3">
        <f>IFERROR(__xludf.DUMMYFUNCTION("IFERROR(
IF(REGEXMATCH(LOWER(O2764),""k""),
VALUE(REGEXEXTRACT(O2764,""[0-9]+""))*1000,
VALUE(REGEXEXTRACT(O2764,""[0-9]+""))
),
0
)"),0.0)</f>
        <v>0</v>
      </c>
      <c r="E2764" s="1" t="s">
        <v>11</v>
      </c>
      <c r="F2764" s="1" t="s">
        <v>20</v>
      </c>
      <c r="G2764" s="4" t="b">
        <f t="shared" si="2"/>
        <v>1</v>
      </c>
      <c r="H2764" s="1" t="str">
        <f t="shared" si="3"/>
        <v>Currently Unavailable</v>
      </c>
      <c r="I2764" s="1" t="str">
        <f t="shared" si="4"/>
        <v>No Badges</v>
      </c>
      <c r="J2764" s="3">
        <f t="shared" si="5"/>
        <v>0</v>
      </c>
    </row>
    <row r="2765">
      <c r="A2765" s="1" t="s">
        <v>88</v>
      </c>
      <c r="B2765" s="3" t="str">
        <f t="shared" si="1"/>
        <v>Unavailable</v>
      </c>
      <c r="C2765" s="3">
        <v>5.0</v>
      </c>
      <c r="D2765" s="3">
        <f>IFERROR(__xludf.DUMMYFUNCTION("IFERROR(
IF(REGEXMATCH(LOWER(O2765),""k""),
VALUE(REGEXEXTRACT(O2765,""[0-9]+""))*1000,
VALUE(REGEXEXTRACT(O2765,""[0-9]+""))
),
0
)"),0.0)</f>
        <v>0</v>
      </c>
      <c r="E2765" s="1" t="s">
        <v>11</v>
      </c>
      <c r="F2765" s="1" t="s">
        <v>12</v>
      </c>
      <c r="G2765" s="4" t="b">
        <f t="shared" si="2"/>
        <v>1</v>
      </c>
      <c r="H2765" s="1" t="str">
        <f t="shared" si="3"/>
        <v>Currently Unavailable</v>
      </c>
      <c r="I2765" s="1" t="str">
        <f t="shared" si="4"/>
        <v>No Badges</v>
      </c>
      <c r="J2765" s="3">
        <f t="shared" si="5"/>
        <v>0</v>
      </c>
    </row>
    <row r="2766">
      <c r="A2766" s="1" t="s">
        <v>701</v>
      </c>
      <c r="B2766" s="3" t="str">
        <f t="shared" si="1"/>
        <v>Unavailable</v>
      </c>
      <c r="C2766" s="3">
        <v>8.0</v>
      </c>
      <c r="D2766" s="3">
        <f>IFERROR(__xludf.DUMMYFUNCTION("IFERROR(
IF(REGEXMATCH(LOWER(O2766),""k""),
VALUE(REGEXEXTRACT(O2766,""[0-9]+""))*1000,
VALUE(REGEXEXTRACT(O2766,""[0-9]+""))
),
0
)"),0.0)</f>
        <v>0</v>
      </c>
      <c r="E2766" s="1" t="s">
        <v>11</v>
      </c>
      <c r="F2766" s="1" t="s">
        <v>12</v>
      </c>
      <c r="G2766" s="4" t="b">
        <f t="shared" si="2"/>
        <v>1</v>
      </c>
      <c r="H2766" s="1" t="str">
        <f t="shared" si="3"/>
        <v>Currently Unavailable</v>
      </c>
      <c r="I2766" s="1" t="str">
        <f t="shared" si="4"/>
        <v>No Badges</v>
      </c>
      <c r="J2766" s="3">
        <f t="shared" si="5"/>
        <v>0</v>
      </c>
    </row>
    <row r="2767">
      <c r="A2767" s="1" t="s">
        <v>2188</v>
      </c>
      <c r="B2767" s="3" t="str">
        <f t="shared" si="1"/>
        <v>Unavailable</v>
      </c>
      <c r="C2767" s="5">
        <v>2533.0</v>
      </c>
      <c r="D2767" s="3">
        <f>IFERROR(__xludf.DUMMYFUNCTION("IFERROR(
IF(REGEXMATCH(LOWER(O2767),""k""),
VALUE(REGEXEXTRACT(O2767,""[0-9]+""))*1000,
VALUE(REGEXEXTRACT(O2767,""[0-9]+""))
),
0
)"),0.0)</f>
        <v>0</v>
      </c>
      <c r="E2767" s="1" t="s">
        <v>11</v>
      </c>
      <c r="F2767" s="1" t="s">
        <v>20</v>
      </c>
      <c r="G2767" s="4" t="b">
        <f t="shared" si="2"/>
        <v>1</v>
      </c>
      <c r="H2767" s="1" t="str">
        <f t="shared" si="3"/>
        <v>Currently Unavailable</v>
      </c>
      <c r="I2767" s="1" t="str">
        <f t="shared" si="4"/>
        <v>No Badges</v>
      </c>
      <c r="J2767" s="3">
        <f t="shared" si="5"/>
        <v>0</v>
      </c>
    </row>
    <row r="2768">
      <c r="A2768" s="1" t="s">
        <v>1279</v>
      </c>
      <c r="B2768" s="3" t="str">
        <f t="shared" si="1"/>
        <v>Unavailable</v>
      </c>
      <c r="C2768" s="3">
        <v>65.0</v>
      </c>
      <c r="D2768" s="3">
        <f>IFERROR(__xludf.DUMMYFUNCTION("IFERROR(
IF(REGEXMATCH(LOWER(O2768),""k""),
VALUE(REGEXEXTRACT(O2768,""[0-9]+""))*1000,
VALUE(REGEXEXTRACT(O2768,""[0-9]+""))
),
0
)"),0.0)</f>
        <v>0</v>
      </c>
      <c r="E2768" s="1" t="s">
        <v>11</v>
      </c>
      <c r="F2768" s="1" t="s">
        <v>12</v>
      </c>
      <c r="G2768" s="4" t="b">
        <f t="shared" si="2"/>
        <v>1</v>
      </c>
      <c r="H2768" s="1" t="str">
        <f t="shared" si="3"/>
        <v>Currently Unavailable</v>
      </c>
      <c r="I2768" s="1" t="str">
        <f t="shared" si="4"/>
        <v>No Badges</v>
      </c>
      <c r="J2768" s="3">
        <f t="shared" si="5"/>
        <v>0</v>
      </c>
    </row>
    <row r="2769">
      <c r="A2769" s="1" t="s">
        <v>2189</v>
      </c>
      <c r="B2769" s="3" t="str">
        <f t="shared" si="1"/>
        <v>Unavailable</v>
      </c>
      <c r="C2769" s="5">
        <v>5543.0</v>
      </c>
      <c r="D2769" s="3">
        <f>IFERROR(__xludf.DUMMYFUNCTION("IFERROR(
IF(REGEXMATCH(LOWER(O2769),""k""),
VALUE(REGEXEXTRACT(O2769,""[0-9]+""))*1000,
VALUE(REGEXEXTRACT(O2769,""[0-9]+""))
),
0
)"),0.0)</f>
        <v>0</v>
      </c>
      <c r="E2769" s="1" t="s">
        <v>11</v>
      </c>
      <c r="F2769" s="1" t="s">
        <v>20</v>
      </c>
      <c r="G2769" s="4" t="b">
        <f t="shared" si="2"/>
        <v>1</v>
      </c>
      <c r="H2769" s="1" t="str">
        <f t="shared" si="3"/>
        <v>Currently Unavailable</v>
      </c>
      <c r="I2769" s="1" t="str">
        <f t="shared" si="4"/>
        <v>No Badges</v>
      </c>
      <c r="J2769" s="3">
        <f t="shared" si="5"/>
        <v>0</v>
      </c>
    </row>
    <row r="2770">
      <c r="A2770" s="1" t="s">
        <v>69</v>
      </c>
      <c r="B2770" s="3" t="str">
        <f t="shared" si="1"/>
        <v>Unavailable</v>
      </c>
      <c r="C2770" s="3">
        <v>45.0</v>
      </c>
      <c r="D2770" s="3">
        <f>IFERROR(__xludf.DUMMYFUNCTION("IFERROR(
IF(REGEXMATCH(LOWER(O2770),""k""),
VALUE(REGEXEXTRACT(O2770,""[0-9]+""))*1000,
VALUE(REGEXEXTRACT(O2770,""[0-9]+""))
),
0
)"),0.0)</f>
        <v>0</v>
      </c>
      <c r="E2770" s="1" t="s">
        <v>11</v>
      </c>
      <c r="F2770" s="1" t="s">
        <v>12</v>
      </c>
      <c r="G2770" s="4" t="b">
        <f t="shared" si="2"/>
        <v>1</v>
      </c>
      <c r="H2770" s="1" t="str">
        <f t="shared" si="3"/>
        <v>Currently Unavailable</v>
      </c>
      <c r="I2770" s="1" t="str">
        <f t="shared" si="4"/>
        <v>No Badges</v>
      </c>
      <c r="J2770" s="3">
        <f t="shared" si="5"/>
        <v>0</v>
      </c>
    </row>
    <row r="2771">
      <c r="A2771" s="1" t="s">
        <v>1285</v>
      </c>
      <c r="B2771" s="3" t="str">
        <f t="shared" si="1"/>
        <v>Unavailable</v>
      </c>
      <c r="C2771" s="5">
        <v>3520.0</v>
      </c>
      <c r="D2771" s="3">
        <f>IFERROR(__xludf.DUMMYFUNCTION("IFERROR(
IF(REGEXMATCH(LOWER(O2771),""k""),
VALUE(REGEXEXTRACT(O2771,""[0-9]+""))*1000,
VALUE(REGEXEXTRACT(O2771,""[0-9]+""))
),
0
)"),0.0)</f>
        <v>0</v>
      </c>
      <c r="E2771" s="1" t="s">
        <v>11</v>
      </c>
      <c r="F2771" s="1" t="s">
        <v>12</v>
      </c>
      <c r="G2771" s="4" t="b">
        <f t="shared" si="2"/>
        <v>1</v>
      </c>
      <c r="H2771" s="1" t="str">
        <f t="shared" si="3"/>
        <v>Currently Unavailable</v>
      </c>
      <c r="I2771" s="1" t="str">
        <f t="shared" si="4"/>
        <v>No Badges</v>
      </c>
      <c r="J2771" s="3">
        <f t="shared" si="5"/>
        <v>0</v>
      </c>
    </row>
    <row r="2772">
      <c r="A2772" s="1" t="s">
        <v>1284</v>
      </c>
      <c r="B2772" s="3" t="str">
        <f t="shared" si="1"/>
        <v>Unavailable</v>
      </c>
      <c r="C2772" s="3">
        <v>172.0</v>
      </c>
      <c r="D2772" s="3">
        <f>IFERROR(__xludf.DUMMYFUNCTION("IFERROR(
IF(REGEXMATCH(LOWER(O2772),""k""),
VALUE(REGEXEXTRACT(O2772,""[0-9]+""))*1000,
VALUE(REGEXEXTRACT(O2772,""[0-9]+""))
),
0
)"),0.0)</f>
        <v>0</v>
      </c>
      <c r="E2772" s="1" t="s">
        <v>11</v>
      </c>
      <c r="F2772" s="1" t="s">
        <v>12</v>
      </c>
      <c r="G2772" s="4" t="b">
        <f t="shared" si="2"/>
        <v>1</v>
      </c>
      <c r="H2772" s="1" t="str">
        <f t="shared" si="3"/>
        <v>Currently Unavailable</v>
      </c>
      <c r="I2772" s="1" t="str">
        <f t="shared" si="4"/>
        <v>No Badges</v>
      </c>
      <c r="J2772" s="3">
        <f t="shared" si="5"/>
        <v>0</v>
      </c>
    </row>
    <row r="2773">
      <c r="A2773" s="1" t="s">
        <v>2190</v>
      </c>
      <c r="B2773" s="3" t="str">
        <f t="shared" si="1"/>
        <v>Unavailable</v>
      </c>
      <c r="C2773" s="5">
        <v>5634.0</v>
      </c>
      <c r="D2773" s="3">
        <f>IFERROR(__xludf.DUMMYFUNCTION("IFERROR(
IF(REGEXMATCH(LOWER(O2773),""k""),
VALUE(REGEXEXTRACT(O2773,""[0-9]+""))*1000,
VALUE(REGEXEXTRACT(O2773,""[0-9]+""))
),
0
)"),0.0)</f>
        <v>0</v>
      </c>
      <c r="E2773" s="1" t="s">
        <v>11</v>
      </c>
      <c r="F2773" s="1" t="s">
        <v>20</v>
      </c>
      <c r="G2773" s="4" t="b">
        <f t="shared" si="2"/>
        <v>1</v>
      </c>
      <c r="H2773" s="1" t="str">
        <f t="shared" si="3"/>
        <v>Currently Unavailable</v>
      </c>
      <c r="I2773" s="1" t="str">
        <f t="shared" si="4"/>
        <v>No Badges</v>
      </c>
      <c r="J2773" s="3">
        <f t="shared" si="5"/>
        <v>0</v>
      </c>
    </row>
    <row r="2774">
      <c r="A2774" s="1" t="s">
        <v>2191</v>
      </c>
      <c r="B2774" s="3" t="str">
        <f t="shared" si="1"/>
        <v>Unavailable</v>
      </c>
      <c r="C2774" s="3">
        <v>63.0</v>
      </c>
      <c r="D2774" s="3">
        <f>IFERROR(__xludf.DUMMYFUNCTION("IFERROR(
IF(REGEXMATCH(LOWER(O2774),""k""),
VALUE(REGEXEXTRACT(O2774,""[0-9]+""))*1000,
VALUE(REGEXEXTRACT(O2774,""[0-9]+""))
),
0
)"),0.0)</f>
        <v>0</v>
      </c>
      <c r="E2774" s="1" t="s">
        <v>11</v>
      </c>
      <c r="F2774" s="1" t="s">
        <v>20</v>
      </c>
      <c r="G2774" s="4" t="b">
        <f t="shared" si="2"/>
        <v>1</v>
      </c>
      <c r="H2774" s="1" t="str">
        <f t="shared" si="3"/>
        <v>Currently Unavailable</v>
      </c>
      <c r="I2774" s="1" t="str">
        <f t="shared" si="4"/>
        <v>No Badges</v>
      </c>
      <c r="J2774" s="3">
        <f t="shared" si="5"/>
        <v>0</v>
      </c>
    </row>
    <row r="2775">
      <c r="A2775" s="1" t="s">
        <v>2192</v>
      </c>
      <c r="B2775" s="3" t="str">
        <f t="shared" si="1"/>
        <v>Unavailable</v>
      </c>
      <c r="C2775" s="5">
        <v>7375.0</v>
      </c>
      <c r="D2775" s="3">
        <f>IFERROR(__xludf.DUMMYFUNCTION("IFERROR(
IF(REGEXMATCH(LOWER(O2775),""k""),
VALUE(REGEXEXTRACT(O2775,""[0-9]+""))*1000,
VALUE(REGEXEXTRACT(O2775,""[0-9]+""))
),
0
)"),0.0)</f>
        <v>0</v>
      </c>
      <c r="E2775" s="1" t="s">
        <v>11</v>
      </c>
      <c r="F2775" s="1" t="s">
        <v>20</v>
      </c>
      <c r="G2775" s="4" t="b">
        <f t="shared" si="2"/>
        <v>1</v>
      </c>
      <c r="H2775" s="1" t="str">
        <f t="shared" si="3"/>
        <v>Currently Unavailable</v>
      </c>
      <c r="I2775" s="1" t="str">
        <f t="shared" si="4"/>
        <v>No Badges</v>
      </c>
      <c r="J2775" s="3">
        <f t="shared" si="5"/>
        <v>0</v>
      </c>
    </row>
    <row r="2776">
      <c r="A2776" s="1" t="s">
        <v>1285</v>
      </c>
      <c r="B2776" s="3" t="str">
        <f t="shared" si="1"/>
        <v>Unavailable</v>
      </c>
      <c r="C2776" s="5">
        <v>3520.0</v>
      </c>
      <c r="D2776" s="3">
        <f>IFERROR(__xludf.DUMMYFUNCTION("IFERROR(
IF(REGEXMATCH(LOWER(O2776),""k""),
VALUE(REGEXEXTRACT(O2776,""[0-9]+""))*1000,
VALUE(REGEXEXTRACT(O2776,""[0-9]+""))
),
0
)"),0.0)</f>
        <v>0</v>
      </c>
      <c r="E2776" s="1" t="s">
        <v>11</v>
      </c>
      <c r="F2776" s="1" t="s">
        <v>12</v>
      </c>
      <c r="G2776" s="4" t="b">
        <f t="shared" si="2"/>
        <v>1</v>
      </c>
      <c r="H2776" s="1" t="str">
        <f t="shared" si="3"/>
        <v>Currently Unavailable</v>
      </c>
      <c r="I2776" s="1" t="str">
        <f t="shared" si="4"/>
        <v>No Badges</v>
      </c>
      <c r="J2776" s="3">
        <f t="shared" si="5"/>
        <v>0</v>
      </c>
    </row>
    <row r="2777">
      <c r="A2777" s="1" t="s">
        <v>1284</v>
      </c>
      <c r="B2777" s="3" t="str">
        <f t="shared" si="1"/>
        <v>Unavailable</v>
      </c>
      <c r="C2777" s="3">
        <v>172.0</v>
      </c>
      <c r="D2777" s="3">
        <f>IFERROR(__xludf.DUMMYFUNCTION("IFERROR(
IF(REGEXMATCH(LOWER(O2777),""k""),
VALUE(REGEXEXTRACT(O2777,""[0-9]+""))*1000,
VALUE(REGEXEXTRACT(O2777,""[0-9]+""))
),
0
)"),0.0)</f>
        <v>0</v>
      </c>
      <c r="E2777" s="1" t="s">
        <v>11</v>
      </c>
      <c r="F2777" s="1" t="s">
        <v>12</v>
      </c>
      <c r="G2777" s="4" t="b">
        <f t="shared" si="2"/>
        <v>1</v>
      </c>
      <c r="H2777" s="1" t="str">
        <f t="shared" si="3"/>
        <v>Currently Unavailable</v>
      </c>
      <c r="I2777" s="1" t="str">
        <f t="shared" si="4"/>
        <v>No Badges</v>
      </c>
      <c r="J2777" s="3">
        <f t="shared" si="5"/>
        <v>0</v>
      </c>
    </row>
    <row r="2778">
      <c r="A2778" s="1" t="s">
        <v>2193</v>
      </c>
      <c r="B2778" s="3" t="str">
        <f t="shared" si="1"/>
        <v>Unavailable</v>
      </c>
      <c r="C2778" s="5">
        <v>54347.0</v>
      </c>
      <c r="D2778" s="3">
        <f>IFERROR(__xludf.DUMMYFUNCTION("IFERROR(
IF(REGEXMATCH(LOWER(O2778),""k""),
VALUE(REGEXEXTRACT(O2778,""[0-9]+""))*1000,
VALUE(REGEXEXTRACT(O2778,""[0-9]+""))
),
0
)"),0.0)</f>
        <v>0</v>
      </c>
      <c r="E2778" s="1" t="s">
        <v>11</v>
      </c>
      <c r="F2778" s="1" t="s">
        <v>20</v>
      </c>
      <c r="G2778" s="4" t="b">
        <f t="shared" si="2"/>
        <v>1</v>
      </c>
      <c r="H2778" s="1" t="str">
        <f t="shared" si="3"/>
        <v>Currently Unavailable</v>
      </c>
      <c r="I2778" s="1" t="str">
        <f t="shared" si="4"/>
        <v>No Badges</v>
      </c>
      <c r="J2778" s="3">
        <f t="shared" si="5"/>
        <v>0</v>
      </c>
    </row>
    <row r="2779">
      <c r="A2779" s="1" t="s">
        <v>2194</v>
      </c>
      <c r="B2779" s="3" t="str">
        <f t="shared" si="1"/>
        <v>Unavailable</v>
      </c>
      <c r="C2779" s="5">
        <v>1216.0</v>
      </c>
      <c r="D2779" s="3">
        <f>IFERROR(__xludf.DUMMYFUNCTION("IFERROR(
IF(REGEXMATCH(LOWER(O2779),""k""),
VALUE(REGEXEXTRACT(O2779,""[0-9]+""))*1000,
VALUE(REGEXEXTRACT(O2779,""[0-9]+""))
),
0
)"),0.0)</f>
        <v>0</v>
      </c>
      <c r="E2779" s="1" t="s">
        <v>11</v>
      </c>
      <c r="F2779" s="1" t="s">
        <v>20</v>
      </c>
      <c r="G2779" s="4" t="b">
        <f t="shared" si="2"/>
        <v>1</v>
      </c>
      <c r="H2779" s="1" t="str">
        <f t="shared" si="3"/>
        <v>Currently Unavailable</v>
      </c>
      <c r="I2779" s="1" t="str">
        <f t="shared" si="4"/>
        <v>No Badges</v>
      </c>
      <c r="J2779" s="3">
        <f t="shared" si="5"/>
        <v>0</v>
      </c>
    </row>
    <row r="2780">
      <c r="A2780" s="1" t="s">
        <v>2195</v>
      </c>
      <c r="B2780" s="3" t="str">
        <f t="shared" si="1"/>
        <v>Unavailable</v>
      </c>
      <c r="C2780" s="5">
        <v>12148.0</v>
      </c>
      <c r="D2780" s="3">
        <f>IFERROR(__xludf.DUMMYFUNCTION("IFERROR(
IF(REGEXMATCH(LOWER(O2780),""k""),
VALUE(REGEXEXTRACT(O2780,""[0-9]+""))*1000,
VALUE(REGEXEXTRACT(O2780,""[0-9]+""))
),
0
)"),0.0)</f>
        <v>0</v>
      </c>
      <c r="E2780" s="1" t="s">
        <v>11</v>
      </c>
      <c r="F2780" s="1" t="s">
        <v>20</v>
      </c>
      <c r="G2780" s="4" t="b">
        <f t="shared" si="2"/>
        <v>1</v>
      </c>
      <c r="H2780" s="1" t="str">
        <f t="shared" si="3"/>
        <v>Currently Unavailable</v>
      </c>
      <c r="I2780" s="1" t="str">
        <f t="shared" si="4"/>
        <v>No Badges</v>
      </c>
      <c r="J2780" s="3">
        <f t="shared" si="5"/>
        <v>0</v>
      </c>
    </row>
    <row r="2781">
      <c r="A2781" s="1" t="s">
        <v>2196</v>
      </c>
      <c r="B2781" s="3" t="str">
        <f t="shared" si="1"/>
        <v>Unavailable</v>
      </c>
      <c r="C2781" s="5">
        <v>3460.0</v>
      </c>
      <c r="D2781" s="3">
        <f>IFERROR(__xludf.DUMMYFUNCTION("IFERROR(
IF(REGEXMATCH(LOWER(O2781),""k""),
VALUE(REGEXEXTRACT(O2781,""[0-9]+""))*1000,
VALUE(REGEXEXTRACT(O2781,""[0-9]+""))
),
0
)"),0.0)</f>
        <v>0</v>
      </c>
      <c r="E2781" s="1" t="s">
        <v>11</v>
      </c>
      <c r="F2781" s="1" t="s">
        <v>20</v>
      </c>
      <c r="G2781" s="4" t="b">
        <f t="shared" si="2"/>
        <v>1</v>
      </c>
      <c r="H2781" s="1" t="str">
        <f t="shared" si="3"/>
        <v>Currently Unavailable</v>
      </c>
      <c r="I2781" s="1" t="str">
        <f t="shared" si="4"/>
        <v>No Badges</v>
      </c>
      <c r="J2781" s="3">
        <f t="shared" si="5"/>
        <v>0</v>
      </c>
    </row>
    <row r="2782">
      <c r="A2782" s="1" t="s">
        <v>2197</v>
      </c>
      <c r="B2782" s="3" t="str">
        <f t="shared" si="1"/>
        <v>Unavailable</v>
      </c>
      <c r="C2782" s="5">
        <v>3123.0</v>
      </c>
      <c r="D2782" s="3">
        <f>IFERROR(__xludf.DUMMYFUNCTION("IFERROR(
IF(REGEXMATCH(LOWER(O2782),""k""),
VALUE(REGEXEXTRACT(O2782,""[0-9]+""))*1000,
VALUE(REGEXEXTRACT(O2782,""[0-9]+""))
),
0
)"),0.0)</f>
        <v>0</v>
      </c>
      <c r="E2782" s="1" t="s">
        <v>11</v>
      </c>
      <c r="F2782" s="1" t="s">
        <v>20</v>
      </c>
      <c r="G2782" s="4" t="b">
        <f t="shared" si="2"/>
        <v>1</v>
      </c>
      <c r="H2782" s="1" t="str">
        <f t="shared" si="3"/>
        <v>Currently Unavailable</v>
      </c>
      <c r="I2782" s="1" t="str">
        <f t="shared" si="4"/>
        <v>No Badges</v>
      </c>
      <c r="J2782" s="3">
        <f t="shared" si="5"/>
        <v>0</v>
      </c>
    </row>
    <row r="2783">
      <c r="A2783" s="1" t="s">
        <v>67</v>
      </c>
      <c r="B2783" s="3" t="str">
        <f t="shared" si="1"/>
        <v>Unavailable</v>
      </c>
      <c r="C2783" s="3">
        <v>264.0</v>
      </c>
      <c r="D2783" s="3">
        <f>IFERROR(__xludf.DUMMYFUNCTION("IFERROR(
IF(REGEXMATCH(LOWER(O2783),""k""),
VALUE(REGEXEXTRACT(O2783,""[0-9]+""))*1000,
VALUE(REGEXEXTRACT(O2783,""[0-9]+""))
),
0
)"),0.0)</f>
        <v>0</v>
      </c>
      <c r="E2783" s="1" t="s">
        <v>11</v>
      </c>
      <c r="F2783" s="1" t="s">
        <v>12</v>
      </c>
      <c r="G2783" s="4" t="b">
        <f t="shared" si="2"/>
        <v>1</v>
      </c>
      <c r="H2783" s="1" t="str">
        <f t="shared" si="3"/>
        <v>Currently Unavailable</v>
      </c>
      <c r="I2783" s="1" t="str">
        <f t="shared" si="4"/>
        <v>No Badges</v>
      </c>
      <c r="J2783" s="3">
        <f t="shared" si="5"/>
        <v>0</v>
      </c>
    </row>
    <row r="2784">
      <c r="A2784" s="1" t="s">
        <v>1285</v>
      </c>
      <c r="B2784" s="3" t="str">
        <f t="shared" si="1"/>
        <v>Unavailable</v>
      </c>
      <c r="C2784" s="5">
        <v>3520.0</v>
      </c>
      <c r="D2784" s="3">
        <f>IFERROR(__xludf.DUMMYFUNCTION("IFERROR(
IF(REGEXMATCH(LOWER(O2784),""k""),
VALUE(REGEXEXTRACT(O2784,""[0-9]+""))*1000,
VALUE(REGEXEXTRACT(O2784,""[0-9]+""))
),
0
)"),0.0)</f>
        <v>0</v>
      </c>
      <c r="E2784" s="1" t="s">
        <v>11</v>
      </c>
      <c r="F2784" s="1" t="s">
        <v>12</v>
      </c>
      <c r="G2784" s="4" t="b">
        <f t="shared" si="2"/>
        <v>1</v>
      </c>
      <c r="H2784" s="1" t="str">
        <f t="shared" si="3"/>
        <v>Currently Unavailable</v>
      </c>
      <c r="I2784" s="1" t="str">
        <f t="shared" si="4"/>
        <v>No Badges</v>
      </c>
      <c r="J2784" s="3">
        <f t="shared" si="5"/>
        <v>0</v>
      </c>
    </row>
    <row r="2785">
      <c r="A2785" s="1" t="s">
        <v>1284</v>
      </c>
      <c r="B2785" s="3" t="str">
        <f t="shared" si="1"/>
        <v>Unavailable</v>
      </c>
      <c r="C2785" s="3">
        <v>172.0</v>
      </c>
      <c r="D2785" s="3">
        <f>IFERROR(__xludf.DUMMYFUNCTION("IFERROR(
IF(REGEXMATCH(LOWER(O2785),""k""),
VALUE(REGEXEXTRACT(O2785,""[0-9]+""))*1000,
VALUE(REGEXEXTRACT(O2785,""[0-9]+""))
),
0
)"),0.0)</f>
        <v>0</v>
      </c>
      <c r="E2785" s="1" t="s">
        <v>11</v>
      </c>
      <c r="F2785" s="1" t="s">
        <v>12</v>
      </c>
      <c r="G2785" s="4" t="b">
        <f t="shared" si="2"/>
        <v>1</v>
      </c>
      <c r="H2785" s="1" t="str">
        <f t="shared" si="3"/>
        <v>Currently Unavailable</v>
      </c>
      <c r="I2785" s="1" t="str">
        <f t="shared" si="4"/>
        <v>No Badges</v>
      </c>
      <c r="J2785" s="3">
        <f t="shared" si="5"/>
        <v>0</v>
      </c>
    </row>
    <row r="2786">
      <c r="A2786" s="1" t="s">
        <v>2198</v>
      </c>
      <c r="B2786" s="3" t="str">
        <f t="shared" si="1"/>
        <v>Unavailable</v>
      </c>
      <c r="C2786" s="5">
        <v>1496.0</v>
      </c>
      <c r="D2786" s="3">
        <f>IFERROR(__xludf.DUMMYFUNCTION("IFERROR(
IF(REGEXMATCH(LOWER(O2786),""k""),
VALUE(REGEXEXTRACT(O2786,""[0-9]+""))*1000,
VALUE(REGEXEXTRACT(O2786,""[0-9]+""))
),
0
)"),0.0)</f>
        <v>0</v>
      </c>
      <c r="E2786" s="1" t="s">
        <v>11</v>
      </c>
      <c r="F2786" s="1" t="s">
        <v>20</v>
      </c>
      <c r="G2786" s="4" t="b">
        <f t="shared" si="2"/>
        <v>1</v>
      </c>
      <c r="H2786" s="1" t="str">
        <f t="shared" si="3"/>
        <v>Currently Unavailable</v>
      </c>
      <c r="I2786" s="1" t="str">
        <f t="shared" si="4"/>
        <v>No Badges</v>
      </c>
      <c r="J2786" s="3">
        <f t="shared" si="5"/>
        <v>0</v>
      </c>
    </row>
    <row r="2787">
      <c r="A2787" s="1" t="s">
        <v>2199</v>
      </c>
      <c r="B2787" s="3" t="str">
        <f t="shared" si="1"/>
        <v>Unavailable</v>
      </c>
      <c r="C2787" s="5">
        <v>1679.0</v>
      </c>
      <c r="D2787" s="3">
        <f>IFERROR(__xludf.DUMMYFUNCTION("IFERROR(
IF(REGEXMATCH(LOWER(O2787),""k""),
VALUE(REGEXEXTRACT(O2787,""[0-9]+""))*1000,
VALUE(REGEXEXTRACT(O2787,""[0-9]+""))
),
0
)"),0.0)</f>
        <v>0</v>
      </c>
      <c r="E2787" s="1" t="s">
        <v>11</v>
      </c>
      <c r="F2787" s="1" t="s">
        <v>20</v>
      </c>
      <c r="G2787" s="4" t="b">
        <f t="shared" si="2"/>
        <v>1</v>
      </c>
      <c r="H2787" s="1" t="str">
        <f t="shared" si="3"/>
        <v>Currently Unavailable</v>
      </c>
      <c r="I2787" s="1" t="str">
        <f t="shared" si="4"/>
        <v>No Badges</v>
      </c>
      <c r="J2787" s="3">
        <f t="shared" si="5"/>
        <v>0</v>
      </c>
    </row>
    <row r="2788">
      <c r="A2788" s="1" t="s">
        <v>1279</v>
      </c>
      <c r="B2788" s="3" t="str">
        <f t="shared" si="1"/>
        <v>Unavailable</v>
      </c>
      <c r="C2788" s="3">
        <v>65.0</v>
      </c>
      <c r="D2788" s="3">
        <f>IFERROR(__xludf.DUMMYFUNCTION("IFERROR(
IF(REGEXMATCH(LOWER(O2788),""k""),
VALUE(REGEXEXTRACT(O2788,""[0-9]+""))*1000,
VALUE(REGEXEXTRACT(O2788,""[0-9]+""))
),
0
)"),0.0)</f>
        <v>0</v>
      </c>
      <c r="E2788" s="1" t="s">
        <v>11</v>
      </c>
      <c r="F2788" s="1" t="s">
        <v>12</v>
      </c>
      <c r="G2788" s="4" t="b">
        <f t="shared" si="2"/>
        <v>1</v>
      </c>
      <c r="H2788" s="1" t="str">
        <f t="shared" si="3"/>
        <v>Currently Unavailable</v>
      </c>
      <c r="I2788" s="1" t="str">
        <f t="shared" si="4"/>
        <v>No Badges</v>
      </c>
      <c r="J2788" s="3">
        <f t="shared" si="5"/>
        <v>0</v>
      </c>
    </row>
    <row r="2789">
      <c r="A2789" s="1" t="s">
        <v>2200</v>
      </c>
      <c r="B2789" s="3" t="str">
        <f t="shared" si="1"/>
        <v>Unavailable</v>
      </c>
      <c r="C2789" s="5">
        <v>14476.0</v>
      </c>
      <c r="D2789" s="3">
        <f>IFERROR(__xludf.DUMMYFUNCTION("IFERROR(
IF(REGEXMATCH(LOWER(O2789),""k""),
VALUE(REGEXEXTRACT(O2789,""[0-9]+""))*1000,
VALUE(REGEXEXTRACT(O2789,""[0-9]+""))
),
0
)"),0.0)</f>
        <v>0</v>
      </c>
      <c r="E2789" s="1" t="s">
        <v>11</v>
      </c>
      <c r="F2789" s="1" t="s">
        <v>20</v>
      </c>
      <c r="G2789" s="4" t="b">
        <f t="shared" si="2"/>
        <v>1</v>
      </c>
      <c r="H2789" s="1" t="str">
        <f t="shared" si="3"/>
        <v>Currently Unavailable</v>
      </c>
      <c r="I2789" s="1" t="str">
        <f t="shared" si="4"/>
        <v>No Badges</v>
      </c>
      <c r="J2789" s="3">
        <f t="shared" si="5"/>
        <v>0</v>
      </c>
    </row>
    <row r="2790">
      <c r="A2790" s="1" t="s">
        <v>2201</v>
      </c>
      <c r="B2790" s="3" t="str">
        <f t="shared" si="1"/>
        <v>Unavailable</v>
      </c>
      <c r="C2790" s="5">
        <v>4336.0</v>
      </c>
      <c r="D2790" s="3">
        <f>IFERROR(__xludf.DUMMYFUNCTION("IFERROR(
IF(REGEXMATCH(LOWER(O2790),""k""),
VALUE(REGEXEXTRACT(O2790,""[0-9]+""))*1000,
VALUE(REGEXEXTRACT(O2790,""[0-9]+""))
),
0
)"),0.0)</f>
        <v>0</v>
      </c>
      <c r="E2790" s="1" t="s">
        <v>11</v>
      </c>
      <c r="F2790" s="1" t="s">
        <v>20</v>
      </c>
      <c r="G2790" s="4" t="b">
        <f t="shared" si="2"/>
        <v>1</v>
      </c>
      <c r="H2790" s="1" t="str">
        <f t="shared" si="3"/>
        <v>Currently Unavailable</v>
      </c>
      <c r="I2790" s="1" t="str">
        <f t="shared" si="4"/>
        <v>No Badges</v>
      </c>
      <c r="J2790" s="3">
        <f t="shared" si="5"/>
        <v>0</v>
      </c>
    </row>
    <row r="2791">
      <c r="A2791" s="1" t="s">
        <v>1285</v>
      </c>
      <c r="B2791" s="3" t="str">
        <f t="shared" si="1"/>
        <v>Unavailable</v>
      </c>
      <c r="C2791" s="5">
        <v>3520.0</v>
      </c>
      <c r="D2791" s="3">
        <f>IFERROR(__xludf.DUMMYFUNCTION("IFERROR(
IF(REGEXMATCH(LOWER(O2791),""k""),
VALUE(REGEXEXTRACT(O2791,""[0-9]+""))*1000,
VALUE(REGEXEXTRACT(O2791,""[0-9]+""))
),
0
)"),0.0)</f>
        <v>0</v>
      </c>
      <c r="E2791" s="1" t="s">
        <v>11</v>
      </c>
      <c r="F2791" s="1" t="s">
        <v>12</v>
      </c>
      <c r="G2791" s="4" t="b">
        <f t="shared" si="2"/>
        <v>1</v>
      </c>
      <c r="H2791" s="1" t="str">
        <f t="shared" si="3"/>
        <v>Currently Unavailable</v>
      </c>
      <c r="I2791" s="1" t="str">
        <f t="shared" si="4"/>
        <v>No Badges</v>
      </c>
      <c r="J2791" s="3">
        <f t="shared" si="5"/>
        <v>0</v>
      </c>
    </row>
    <row r="2792">
      <c r="A2792" s="1" t="s">
        <v>1284</v>
      </c>
      <c r="B2792" s="3" t="str">
        <f t="shared" si="1"/>
        <v>Unavailable</v>
      </c>
      <c r="C2792" s="3">
        <v>172.0</v>
      </c>
      <c r="D2792" s="3">
        <f>IFERROR(__xludf.DUMMYFUNCTION("IFERROR(
IF(REGEXMATCH(LOWER(O2792),""k""),
VALUE(REGEXEXTRACT(O2792,""[0-9]+""))*1000,
VALUE(REGEXEXTRACT(O2792,""[0-9]+""))
),
0
)"),0.0)</f>
        <v>0</v>
      </c>
      <c r="E2792" s="1" t="s">
        <v>11</v>
      </c>
      <c r="F2792" s="1" t="s">
        <v>12</v>
      </c>
      <c r="G2792" s="4" t="b">
        <f t="shared" si="2"/>
        <v>1</v>
      </c>
      <c r="H2792" s="1" t="str">
        <f t="shared" si="3"/>
        <v>Currently Unavailable</v>
      </c>
      <c r="I2792" s="1" t="str">
        <f t="shared" si="4"/>
        <v>No Badges</v>
      </c>
      <c r="J2792" s="3">
        <f t="shared" si="5"/>
        <v>0</v>
      </c>
    </row>
    <row r="2793">
      <c r="A2793" s="1" t="s">
        <v>2202</v>
      </c>
      <c r="B2793" s="3" t="str">
        <f t="shared" si="1"/>
        <v>Unavailable</v>
      </c>
      <c r="C2793" s="5">
        <v>10748.0</v>
      </c>
      <c r="D2793" s="3">
        <f>IFERROR(__xludf.DUMMYFUNCTION("IFERROR(
IF(REGEXMATCH(LOWER(O2793),""k""),
VALUE(REGEXEXTRACT(O2793,""[0-9]+""))*1000,
VALUE(REGEXEXTRACT(O2793,""[0-9]+""))
),
0
)"),0.0)</f>
        <v>0</v>
      </c>
      <c r="E2793" s="1" t="s">
        <v>11</v>
      </c>
      <c r="F2793" s="1" t="s">
        <v>20</v>
      </c>
      <c r="G2793" s="4" t="b">
        <f t="shared" si="2"/>
        <v>1</v>
      </c>
      <c r="H2793" s="1" t="str">
        <f t="shared" si="3"/>
        <v>Currently Unavailable</v>
      </c>
      <c r="I2793" s="1" t="str">
        <f t="shared" si="4"/>
        <v>No Badges</v>
      </c>
      <c r="J2793" s="3">
        <f t="shared" si="5"/>
        <v>0</v>
      </c>
    </row>
    <row r="2794">
      <c r="A2794" s="1" t="s">
        <v>2203</v>
      </c>
      <c r="B2794" s="3" t="str">
        <f t="shared" si="1"/>
        <v>Unavailable</v>
      </c>
      <c r="C2794" s="5">
        <v>1917.0</v>
      </c>
      <c r="D2794" s="3">
        <f>IFERROR(__xludf.DUMMYFUNCTION("IFERROR(
IF(REGEXMATCH(LOWER(O2794),""k""),
VALUE(REGEXEXTRACT(O2794,""[0-9]+""))*1000,
VALUE(REGEXEXTRACT(O2794,""[0-9]+""))
),
0
)"),0.0)</f>
        <v>0</v>
      </c>
      <c r="E2794" s="1" t="s">
        <v>11</v>
      </c>
      <c r="F2794" s="1" t="s">
        <v>20</v>
      </c>
      <c r="G2794" s="4" t="b">
        <f t="shared" si="2"/>
        <v>1</v>
      </c>
      <c r="H2794" s="1" t="str">
        <f t="shared" si="3"/>
        <v>Currently Unavailable</v>
      </c>
      <c r="I2794" s="1" t="str">
        <f t="shared" si="4"/>
        <v>No Badges</v>
      </c>
      <c r="J2794" s="3">
        <f t="shared" si="5"/>
        <v>0</v>
      </c>
    </row>
    <row r="2795">
      <c r="A2795" s="1" t="s">
        <v>2204</v>
      </c>
      <c r="B2795" s="3" t="str">
        <f t="shared" si="1"/>
        <v>Unavailable</v>
      </c>
      <c r="C2795" s="3">
        <v>767.0</v>
      </c>
      <c r="D2795" s="3">
        <f>IFERROR(__xludf.DUMMYFUNCTION("IFERROR(
IF(REGEXMATCH(LOWER(O2795),""k""),
VALUE(REGEXEXTRACT(O2795,""[0-9]+""))*1000,
VALUE(REGEXEXTRACT(O2795,""[0-9]+""))
),
0
)"),0.0)</f>
        <v>0</v>
      </c>
      <c r="E2795" s="1" t="s">
        <v>11</v>
      </c>
      <c r="F2795" s="1" t="s">
        <v>20</v>
      </c>
      <c r="G2795" s="4" t="b">
        <f t="shared" si="2"/>
        <v>1</v>
      </c>
      <c r="H2795" s="1" t="str">
        <f t="shared" si="3"/>
        <v>Currently Unavailable</v>
      </c>
      <c r="I2795" s="1" t="str">
        <f t="shared" si="4"/>
        <v>No Badges</v>
      </c>
      <c r="J2795" s="3">
        <f t="shared" si="5"/>
        <v>0</v>
      </c>
    </row>
    <row r="2796">
      <c r="A2796" s="1" t="s">
        <v>2205</v>
      </c>
      <c r="B2796" s="3" t="str">
        <f t="shared" si="1"/>
        <v>Unavailable</v>
      </c>
      <c r="C2796" s="5">
        <v>5037.0</v>
      </c>
      <c r="D2796" s="3">
        <f>IFERROR(__xludf.DUMMYFUNCTION("IFERROR(
IF(REGEXMATCH(LOWER(O2796),""k""),
VALUE(REGEXEXTRACT(O2796,""[0-9]+""))*1000,
VALUE(REGEXEXTRACT(O2796,""[0-9]+""))
),
0
)"),0.0)</f>
        <v>0</v>
      </c>
      <c r="E2796" s="1" t="s">
        <v>11</v>
      </c>
      <c r="F2796" s="1" t="s">
        <v>20</v>
      </c>
      <c r="G2796" s="4" t="b">
        <f t="shared" si="2"/>
        <v>1</v>
      </c>
      <c r="H2796" s="1" t="str">
        <f t="shared" si="3"/>
        <v>Currently Unavailable</v>
      </c>
      <c r="I2796" s="1" t="str">
        <f t="shared" si="4"/>
        <v>No Badges</v>
      </c>
      <c r="J2796" s="3">
        <f t="shared" si="5"/>
        <v>0</v>
      </c>
    </row>
    <row r="2797">
      <c r="A2797" s="1" t="s">
        <v>2206</v>
      </c>
      <c r="B2797" s="3" t="str">
        <f t="shared" si="1"/>
        <v>Unavailable</v>
      </c>
      <c r="C2797" s="5">
        <v>4220.0</v>
      </c>
      <c r="D2797" s="3">
        <f>IFERROR(__xludf.DUMMYFUNCTION("IFERROR(
IF(REGEXMATCH(LOWER(O2797),""k""),
VALUE(REGEXEXTRACT(O2797,""[0-9]+""))*1000,
VALUE(REGEXEXTRACT(O2797,""[0-9]+""))
),
0
)"),0.0)</f>
        <v>0</v>
      </c>
      <c r="E2797" s="1" t="s">
        <v>11</v>
      </c>
      <c r="F2797" s="1" t="s">
        <v>20</v>
      </c>
      <c r="G2797" s="4" t="b">
        <f t="shared" si="2"/>
        <v>1</v>
      </c>
      <c r="H2797" s="1" t="str">
        <f t="shared" si="3"/>
        <v>Currently Unavailable</v>
      </c>
      <c r="I2797" s="1" t="str">
        <f t="shared" si="4"/>
        <v>No Badges</v>
      </c>
      <c r="J2797" s="3">
        <f t="shared" si="5"/>
        <v>0</v>
      </c>
    </row>
    <row r="2798">
      <c r="A2798" s="1" t="s">
        <v>701</v>
      </c>
      <c r="B2798" s="3" t="str">
        <f t="shared" si="1"/>
        <v>Unavailable</v>
      </c>
      <c r="C2798" s="3">
        <v>8.0</v>
      </c>
      <c r="D2798" s="3">
        <f>IFERROR(__xludf.DUMMYFUNCTION("IFERROR(
IF(REGEXMATCH(LOWER(O2798),""k""),
VALUE(REGEXEXTRACT(O2798,""[0-9]+""))*1000,
VALUE(REGEXEXTRACT(O2798,""[0-9]+""))
),
0
)"),0.0)</f>
        <v>0</v>
      </c>
      <c r="E2798" s="1" t="s">
        <v>11</v>
      </c>
      <c r="F2798" s="1" t="s">
        <v>12</v>
      </c>
      <c r="G2798" s="4" t="b">
        <f t="shared" si="2"/>
        <v>1</v>
      </c>
      <c r="H2798" s="1" t="str">
        <f t="shared" si="3"/>
        <v>Currently Unavailable</v>
      </c>
      <c r="I2798" s="1" t="str">
        <f t="shared" si="4"/>
        <v>No Badges</v>
      </c>
      <c r="J2798" s="3">
        <f t="shared" si="5"/>
        <v>0</v>
      </c>
    </row>
    <row r="2799">
      <c r="A2799" s="1" t="s">
        <v>2207</v>
      </c>
      <c r="B2799" s="3" t="str">
        <f t="shared" si="1"/>
        <v>Unavailable</v>
      </c>
      <c r="C2799" s="5">
        <v>2010.0</v>
      </c>
      <c r="D2799" s="3">
        <f>IFERROR(__xludf.DUMMYFUNCTION("IFERROR(
IF(REGEXMATCH(LOWER(O2799),""k""),
VALUE(REGEXEXTRACT(O2799,""[0-9]+""))*1000,
VALUE(REGEXEXTRACT(O2799,""[0-9]+""))
),
0
)"),0.0)</f>
        <v>0</v>
      </c>
      <c r="E2799" s="1" t="s">
        <v>11</v>
      </c>
      <c r="F2799" s="1" t="s">
        <v>20</v>
      </c>
      <c r="G2799" s="4" t="b">
        <f t="shared" si="2"/>
        <v>1</v>
      </c>
      <c r="H2799" s="1" t="str">
        <f t="shared" si="3"/>
        <v>Currently Unavailable</v>
      </c>
      <c r="I2799" s="1" t="str">
        <f t="shared" si="4"/>
        <v>No Badges</v>
      </c>
      <c r="J2799" s="3">
        <f t="shared" si="5"/>
        <v>0</v>
      </c>
    </row>
    <row r="2800">
      <c r="A2800" s="1" t="s">
        <v>88</v>
      </c>
      <c r="B2800" s="3" t="str">
        <f t="shared" si="1"/>
        <v>Unavailable</v>
      </c>
      <c r="C2800" s="3">
        <v>5.0</v>
      </c>
      <c r="D2800" s="3">
        <f>IFERROR(__xludf.DUMMYFUNCTION("IFERROR(
IF(REGEXMATCH(LOWER(O2800),""k""),
VALUE(REGEXEXTRACT(O2800,""[0-9]+""))*1000,
VALUE(REGEXEXTRACT(O2800,""[0-9]+""))
),
0
)"),0.0)</f>
        <v>0</v>
      </c>
      <c r="E2800" s="1" t="s">
        <v>11</v>
      </c>
      <c r="F2800" s="1" t="s">
        <v>12</v>
      </c>
      <c r="G2800" s="4" t="b">
        <f t="shared" si="2"/>
        <v>1</v>
      </c>
      <c r="H2800" s="1" t="str">
        <f t="shared" si="3"/>
        <v>Currently Unavailable</v>
      </c>
      <c r="I2800" s="1" t="str">
        <f t="shared" si="4"/>
        <v>No Badges</v>
      </c>
      <c r="J2800" s="3">
        <f t="shared" si="5"/>
        <v>0</v>
      </c>
    </row>
    <row r="2801">
      <c r="A2801" s="1" t="s">
        <v>2208</v>
      </c>
      <c r="B2801" s="3" t="str">
        <f t="shared" si="1"/>
        <v>Unavailable</v>
      </c>
      <c r="C2801" s="5">
        <v>20346.0</v>
      </c>
      <c r="D2801" s="3">
        <f>IFERROR(__xludf.DUMMYFUNCTION("IFERROR(
IF(REGEXMATCH(LOWER(O2801),""k""),
VALUE(REGEXEXTRACT(O2801,""[0-9]+""))*1000,
VALUE(REGEXEXTRACT(O2801,""[0-9]+""))
),
0
)"),0.0)</f>
        <v>0</v>
      </c>
      <c r="E2801" s="1" t="s">
        <v>11</v>
      </c>
      <c r="F2801" s="1" t="s">
        <v>20</v>
      </c>
      <c r="G2801" s="4" t="b">
        <f t="shared" si="2"/>
        <v>1</v>
      </c>
      <c r="H2801" s="1" t="str">
        <f t="shared" si="3"/>
        <v>Currently Unavailable</v>
      </c>
      <c r="I2801" s="1" t="str">
        <f t="shared" si="4"/>
        <v>No Badges</v>
      </c>
      <c r="J2801" s="3">
        <f t="shared" si="5"/>
        <v>0</v>
      </c>
    </row>
    <row r="2802">
      <c r="A2802" s="1" t="s">
        <v>1285</v>
      </c>
      <c r="B2802" s="3" t="str">
        <f t="shared" si="1"/>
        <v>Unavailable</v>
      </c>
      <c r="C2802" s="5">
        <v>3520.0</v>
      </c>
      <c r="D2802" s="3">
        <f>IFERROR(__xludf.DUMMYFUNCTION("IFERROR(
IF(REGEXMATCH(LOWER(O2802),""k""),
VALUE(REGEXEXTRACT(O2802,""[0-9]+""))*1000,
VALUE(REGEXEXTRACT(O2802,""[0-9]+""))
),
0
)"),0.0)</f>
        <v>0</v>
      </c>
      <c r="E2802" s="1" t="s">
        <v>11</v>
      </c>
      <c r="F2802" s="1" t="s">
        <v>12</v>
      </c>
      <c r="G2802" s="4" t="b">
        <f t="shared" si="2"/>
        <v>1</v>
      </c>
      <c r="H2802" s="1" t="str">
        <f t="shared" si="3"/>
        <v>Currently Unavailable</v>
      </c>
      <c r="I2802" s="1" t="str">
        <f t="shared" si="4"/>
        <v>No Badges</v>
      </c>
      <c r="J2802" s="3">
        <f t="shared" si="5"/>
        <v>0</v>
      </c>
    </row>
    <row r="2803">
      <c r="A2803" s="1" t="s">
        <v>69</v>
      </c>
      <c r="B2803" s="3" t="str">
        <f t="shared" si="1"/>
        <v>Unavailable</v>
      </c>
      <c r="C2803" s="3">
        <v>45.0</v>
      </c>
      <c r="D2803" s="3">
        <f>IFERROR(__xludf.DUMMYFUNCTION("IFERROR(
IF(REGEXMATCH(LOWER(O2803),""k""),
VALUE(REGEXEXTRACT(O2803,""[0-9]+""))*1000,
VALUE(REGEXEXTRACT(O2803,""[0-9]+""))
),
0
)"),0.0)</f>
        <v>0</v>
      </c>
      <c r="E2803" s="1" t="s">
        <v>11</v>
      </c>
      <c r="F2803" s="1" t="s">
        <v>12</v>
      </c>
      <c r="G2803" s="4" t="b">
        <f t="shared" si="2"/>
        <v>1</v>
      </c>
      <c r="H2803" s="1" t="str">
        <f t="shared" si="3"/>
        <v>Currently Unavailable</v>
      </c>
      <c r="I2803" s="1" t="str">
        <f t="shared" si="4"/>
        <v>No Badges</v>
      </c>
      <c r="J2803" s="3">
        <f t="shared" si="5"/>
        <v>0</v>
      </c>
    </row>
    <row r="2804">
      <c r="A2804" s="1" t="s">
        <v>2209</v>
      </c>
      <c r="B2804" s="3" t="str">
        <f t="shared" si="1"/>
        <v>Unavailable</v>
      </c>
      <c r="C2804" s="5">
        <v>16471.0</v>
      </c>
      <c r="D2804" s="3">
        <f>IFERROR(__xludf.DUMMYFUNCTION("IFERROR(
IF(REGEXMATCH(LOWER(O2804),""k""),
VALUE(REGEXEXTRACT(O2804,""[0-9]+""))*1000,
VALUE(REGEXEXTRACT(O2804,""[0-9]+""))
),
0
)"),0.0)</f>
        <v>0</v>
      </c>
      <c r="E2804" s="1" t="s">
        <v>11</v>
      </c>
      <c r="F2804" s="1" t="s">
        <v>20</v>
      </c>
      <c r="G2804" s="4" t="b">
        <f t="shared" si="2"/>
        <v>1</v>
      </c>
      <c r="H2804" s="1" t="str">
        <f t="shared" si="3"/>
        <v>Currently Unavailable</v>
      </c>
      <c r="I2804" s="1" t="str">
        <f t="shared" si="4"/>
        <v>No Badges</v>
      </c>
      <c r="J2804" s="3">
        <f t="shared" si="5"/>
        <v>0</v>
      </c>
    </row>
    <row r="2805">
      <c r="A2805" s="1" t="s">
        <v>2210</v>
      </c>
      <c r="B2805" s="3" t="str">
        <f t="shared" si="1"/>
        <v>Unavailable</v>
      </c>
      <c r="C2805" s="3">
        <v>985.0</v>
      </c>
      <c r="D2805" s="3">
        <f>IFERROR(__xludf.DUMMYFUNCTION("IFERROR(
IF(REGEXMATCH(LOWER(O2805),""k""),
VALUE(REGEXEXTRACT(O2805,""[0-9]+""))*1000,
VALUE(REGEXEXTRACT(O2805,""[0-9]+""))
),
0
)"),0.0)</f>
        <v>0</v>
      </c>
      <c r="E2805" s="1" t="s">
        <v>11</v>
      </c>
      <c r="F2805" s="1" t="s">
        <v>20</v>
      </c>
      <c r="G2805" s="4" t="b">
        <f t="shared" si="2"/>
        <v>1</v>
      </c>
      <c r="H2805" s="1" t="str">
        <f t="shared" si="3"/>
        <v>Currently Unavailable</v>
      </c>
      <c r="I2805" s="1" t="str">
        <f t="shared" si="4"/>
        <v>No Badges</v>
      </c>
      <c r="J2805" s="3">
        <f t="shared" si="5"/>
        <v>0</v>
      </c>
    </row>
    <row r="2806">
      <c r="A2806" s="1" t="s">
        <v>1284</v>
      </c>
      <c r="B2806" s="3" t="str">
        <f t="shared" si="1"/>
        <v>Unavailable</v>
      </c>
      <c r="C2806" s="3">
        <v>172.0</v>
      </c>
      <c r="D2806" s="3">
        <f>IFERROR(__xludf.DUMMYFUNCTION("IFERROR(
IF(REGEXMATCH(LOWER(O2806),""k""),
VALUE(REGEXEXTRACT(O2806,""[0-9]+""))*1000,
VALUE(REGEXEXTRACT(O2806,""[0-9]+""))
),
0
)"),0.0)</f>
        <v>0</v>
      </c>
      <c r="E2806" s="1" t="s">
        <v>11</v>
      </c>
      <c r="F2806" s="1" t="s">
        <v>12</v>
      </c>
      <c r="G2806" s="4" t="b">
        <f t="shared" si="2"/>
        <v>1</v>
      </c>
      <c r="H2806" s="1" t="str">
        <f t="shared" si="3"/>
        <v>Currently Unavailable</v>
      </c>
      <c r="I2806" s="1" t="str">
        <f t="shared" si="4"/>
        <v>No Badges</v>
      </c>
      <c r="J2806" s="3">
        <f t="shared" si="5"/>
        <v>0</v>
      </c>
    </row>
    <row r="2807">
      <c r="A2807" s="1" t="s">
        <v>2211</v>
      </c>
      <c r="B2807" s="3" t="str">
        <f t="shared" si="1"/>
        <v>Unavailable</v>
      </c>
      <c r="C2807" s="5">
        <v>13391.0</v>
      </c>
      <c r="D2807" s="3">
        <f>IFERROR(__xludf.DUMMYFUNCTION("IFERROR(
IF(REGEXMATCH(LOWER(O2807),""k""),
VALUE(REGEXEXTRACT(O2807,""[0-9]+""))*1000,
VALUE(REGEXEXTRACT(O2807,""[0-9]+""))
),
0
)"),0.0)</f>
        <v>0</v>
      </c>
      <c r="E2807" s="1" t="s">
        <v>11</v>
      </c>
      <c r="F2807" s="1" t="s">
        <v>20</v>
      </c>
      <c r="G2807" s="4" t="b">
        <f t="shared" si="2"/>
        <v>1</v>
      </c>
      <c r="H2807" s="1" t="str">
        <f t="shared" si="3"/>
        <v>Currently Unavailable</v>
      </c>
      <c r="I2807" s="1" t="str">
        <f t="shared" si="4"/>
        <v>No Badges</v>
      </c>
      <c r="J2807" s="3">
        <f t="shared" si="5"/>
        <v>0</v>
      </c>
    </row>
    <row r="2808">
      <c r="A2808" s="1" t="s">
        <v>2212</v>
      </c>
      <c r="B2808" s="3" t="str">
        <f t="shared" si="1"/>
        <v>Unavailable</v>
      </c>
      <c r="C2808" s="5">
        <v>4958.0</v>
      </c>
      <c r="D2808" s="3">
        <f>IFERROR(__xludf.DUMMYFUNCTION("IFERROR(
IF(REGEXMATCH(LOWER(O2808),""k""),
VALUE(REGEXEXTRACT(O2808,""[0-9]+""))*1000,
VALUE(REGEXEXTRACT(O2808,""[0-9]+""))
),
0
)"),0.0)</f>
        <v>0</v>
      </c>
      <c r="E2808" s="1" t="s">
        <v>11</v>
      </c>
      <c r="F2808" s="1" t="s">
        <v>20</v>
      </c>
      <c r="G2808" s="4" t="b">
        <f t="shared" si="2"/>
        <v>1</v>
      </c>
      <c r="H2808" s="1" t="str">
        <f t="shared" si="3"/>
        <v>Currently Unavailable</v>
      </c>
      <c r="I2808" s="1" t="str">
        <f t="shared" si="4"/>
        <v>No Badges</v>
      </c>
      <c r="J2808" s="3">
        <f t="shared" si="5"/>
        <v>0</v>
      </c>
    </row>
    <row r="2809">
      <c r="A2809" s="1" t="s">
        <v>2213</v>
      </c>
      <c r="B2809" s="3" t="str">
        <f t="shared" si="1"/>
        <v>Unavailable</v>
      </c>
      <c r="C2809" s="5">
        <v>3363.0</v>
      </c>
      <c r="D2809" s="3">
        <f>IFERROR(__xludf.DUMMYFUNCTION("IFERROR(
IF(REGEXMATCH(LOWER(O2809),""k""),
VALUE(REGEXEXTRACT(O2809,""[0-9]+""))*1000,
VALUE(REGEXEXTRACT(O2809,""[0-9]+""))
),
0
)"),0.0)</f>
        <v>0</v>
      </c>
      <c r="E2809" s="1" t="s">
        <v>11</v>
      </c>
      <c r="F2809" s="1" t="s">
        <v>20</v>
      </c>
      <c r="G2809" s="4" t="b">
        <f t="shared" si="2"/>
        <v>1</v>
      </c>
      <c r="H2809" s="1" t="str">
        <f t="shared" si="3"/>
        <v>Currently Unavailable</v>
      </c>
      <c r="I2809" s="1" t="str">
        <f t="shared" si="4"/>
        <v>No Badges</v>
      </c>
      <c r="J2809" s="3">
        <f t="shared" si="5"/>
        <v>0</v>
      </c>
    </row>
    <row r="2810">
      <c r="A2810" s="1" t="s">
        <v>1285</v>
      </c>
      <c r="B2810" s="3" t="str">
        <f t="shared" si="1"/>
        <v>Unavailable</v>
      </c>
      <c r="C2810" s="5">
        <v>3520.0</v>
      </c>
      <c r="D2810" s="3">
        <f>IFERROR(__xludf.DUMMYFUNCTION("IFERROR(
IF(REGEXMATCH(LOWER(O2810),""k""),
VALUE(REGEXEXTRACT(O2810,""[0-9]+""))*1000,
VALUE(REGEXEXTRACT(O2810,""[0-9]+""))
),
0
)"),0.0)</f>
        <v>0</v>
      </c>
      <c r="E2810" s="1" t="s">
        <v>11</v>
      </c>
      <c r="F2810" s="1" t="s">
        <v>12</v>
      </c>
      <c r="G2810" s="4" t="b">
        <f t="shared" si="2"/>
        <v>1</v>
      </c>
      <c r="H2810" s="1" t="str">
        <f t="shared" si="3"/>
        <v>Currently Unavailable</v>
      </c>
      <c r="I2810" s="1" t="str">
        <f t="shared" si="4"/>
        <v>No Badges</v>
      </c>
      <c r="J2810" s="3">
        <f t="shared" si="5"/>
        <v>0</v>
      </c>
    </row>
    <row r="2811">
      <c r="A2811" s="1" t="s">
        <v>2214</v>
      </c>
      <c r="B2811" s="3" t="str">
        <f t="shared" si="1"/>
        <v>Unavailable</v>
      </c>
      <c r="C2811" s="3">
        <v>998.0</v>
      </c>
      <c r="D2811" s="3">
        <f>IFERROR(__xludf.DUMMYFUNCTION("IFERROR(
IF(REGEXMATCH(LOWER(O2811),""k""),
VALUE(REGEXEXTRACT(O2811,""[0-9]+""))*1000,
VALUE(REGEXEXTRACT(O2811,""[0-9]+""))
),
0
)"),0.0)</f>
        <v>0</v>
      </c>
      <c r="E2811" s="1" t="s">
        <v>11</v>
      </c>
      <c r="F2811" s="1" t="s">
        <v>20</v>
      </c>
      <c r="G2811" s="4" t="b">
        <f t="shared" si="2"/>
        <v>1</v>
      </c>
      <c r="H2811" s="1" t="str">
        <f t="shared" si="3"/>
        <v>Currently Unavailable</v>
      </c>
      <c r="I2811" s="1" t="str">
        <f t="shared" si="4"/>
        <v>No Badges</v>
      </c>
      <c r="J2811" s="3">
        <f t="shared" si="5"/>
        <v>0</v>
      </c>
    </row>
    <row r="2812">
      <c r="A2812" s="1" t="s">
        <v>2215</v>
      </c>
      <c r="B2812" s="3" t="str">
        <f t="shared" si="1"/>
        <v>Unavailable</v>
      </c>
      <c r="C2812" s="5">
        <v>55237.0</v>
      </c>
      <c r="D2812" s="3">
        <f>IFERROR(__xludf.DUMMYFUNCTION("IFERROR(
IF(REGEXMATCH(LOWER(O2812),""k""),
VALUE(REGEXEXTRACT(O2812,""[0-9]+""))*1000,
VALUE(REGEXEXTRACT(O2812,""[0-9]+""))
),
0
)"),0.0)</f>
        <v>0</v>
      </c>
      <c r="E2812" s="1" t="s">
        <v>11</v>
      </c>
      <c r="F2812" s="1" t="s">
        <v>20</v>
      </c>
      <c r="G2812" s="4" t="b">
        <f t="shared" si="2"/>
        <v>1</v>
      </c>
      <c r="H2812" s="1" t="str">
        <f t="shared" si="3"/>
        <v>Currently Unavailable</v>
      </c>
      <c r="I2812" s="1" t="str">
        <f t="shared" si="4"/>
        <v>No Badges</v>
      </c>
      <c r="J2812" s="3">
        <f t="shared" si="5"/>
        <v>0</v>
      </c>
    </row>
    <row r="2813">
      <c r="A2813" s="1" t="s">
        <v>2216</v>
      </c>
      <c r="B2813" s="3" t="str">
        <f t="shared" si="1"/>
        <v>Unavailable</v>
      </c>
      <c r="C2813" s="5">
        <v>11074.0</v>
      </c>
      <c r="D2813" s="3">
        <f>IFERROR(__xludf.DUMMYFUNCTION("IFERROR(
IF(REGEXMATCH(LOWER(O2813),""k""),
VALUE(REGEXEXTRACT(O2813,""[0-9]+""))*1000,
VALUE(REGEXEXTRACT(O2813,""[0-9]+""))
),
0
)"),0.0)</f>
        <v>0</v>
      </c>
      <c r="E2813" s="1" t="s">
        <v>11</v>
      </c>
      <c r="F2813" s="1" t="s">
        <v>20</v>
      </c>
      <c r="G2813" s="4" t="b">
        <f t="shared" si="2"/>
        <v>1</v>
      </c>
      <c r="H2813" s="1" t="str">
        <f t="shared" si="3"/>
        <v>Currently Unavailable</v>
      </c>
      <c r="I2813" s="1" t="str">
        <f t="shared" si="4"/>
        <v>No Badges</v>
      </c>
      <c r="J2813" s="3">
        <f t="shared" si="5"/>
        <v>0</v>
      </c>
    </row>
    <row r="2814">
      <c r="A2814" s="1" t="s">
        <v>2217</v>
      </c>
      <c r="B2814" s="3" t="str">
        <f t="shared" si="1"/>
        <v>Unavailable</v>
      </c>
      <c r="C2814" s="5">
        <v>5750.0</v>
      </c>
      <c r="D2814" s="3">
        <f>IFERROR(__xludf.DUMMYFUNCTION("IFERROR(
IF(REGEXMATCH(LOWER(O2814),""k""),
VALUE(REGEXEXTRACT(O2814,""[0-9]+""))*1000,
VALUE(REGEXEXTRACT(O2814,""[0-9]+""))
),
0
)"),0.0)</f>
        <v>0</v>
      </c>
      <c r="E2814" s="1" t="s">
        <v>11</v>
      </c>
      <c r="F2814" s="1" t="s">
        <v>20</v>
      </c>
      <c r="G2814" s="4" t="b">
        <f t="shared" si="2"/>
        <v>1</v>
      </c>
      <c r="H2814" s="1" t="str">
        <f t="shared" si="3"/>
        <v>Currently Unavailable</v>
      </c>
      <c r="I2814" s="1" t="str">
        <f t="shared" si="4"/>
        <v>No Badges</v>
      </c>
      <c r="J2814" s="3">
        <f t="shared" si="5"/>
        <v>0</v>
      </c>
    </row>
    <row r="2815">
      <c r="A2815" s="1" t="s">
        <v>2218</v>
      </c>
      <c r="B2815" s="3" t="str">
        <f t="shared" si="1"/>
        <v>Unavailable</v>
      </c>
      <c r="C2815" s="3">
        <v>675.0</v>
      </c>
      <c r="D2815" s="3">
        <f>IFERROR(__xludf.DUMMYFUNCTION("IFERROR(
IF(REGEXMATCH(LOWER(O2815),""k""),
VALUE(REGEXEXTRACT(O2815,""[0-9]+""))*1000,
VALUE(REGEXEXTRACT(O2815,""[0-9]+""))
),
0
)"),0.0)</f>
        <v>0</v>
      </c>
      <c r="E2815" s="1" t="s">
        <v>11</v>
      </c>
      <c r="F2815" s="1" t="s">
        <v>20</v>
      </c>
      <c r="G2815" s="4" t="b">
        <f t="shared" si="2"/>
        <v>1</v>
      </c>
      <c r="H2815" s="1" t="str">
        <f t="shared" si="3"/>
        <v>Currently Unavailable</v>
      </c>
      <c r="I2815" s="1" t="str">
        <f t="shared" si="4"/>
        <v>No Badges</v>
      </c>
      <c r="J2815" s="3">
        <f t="shared" si="5"/>
        <v>0</v>
      </c>
    </row>
    <row r="2816">
      <c r="A2816" s="1" t="s">
        <v>67</v>
      </c>
      <c r="B2816" s="3" t="str">
        <f t="shared" si="1"/>
        <v>Unavailable</v>
      </c>
      <c r="C2816" s="3">
        <v>264.0</v>
      </c>
      <c r="D2816" s="3">
        <f>IFERROR(__xludf.DUMMYFUNCTION("IFERROR(
IF(REGEXMATCH(LOWER(O2816),""k""),
VALUE(REGEXEXTRACT(O2816,""[0-9]+""))*1000,
VALUE(REGEXEXTRACT(O2816,""[0-9]+""))
),
0
)"),0.0)</f>
        <v>0</v>
      </c>
      <c r="E2816" s="1" t="s">
        <v>11</v>
      </c>
      <c r="F2816" s="1" t="s">
        <v>12</v>
      </c>
      <c r="G2816" s="4" t="b">
        <f t="shared" si="2"/>
        <v>1</v>
      </c>
      <c r="H2816" s="1" t="str">
        <f t="shared" si="3"/>
        <v>Currently Unavailable</v>
      </c>
      <c r="I2816" s="1" t="str">
        <f t="shared" si="4"/>
        <v>No Badges</v>
      </c>
      <c r="J2816" s="3">
        <f t="shared" si="5"/>
        <v>0</v>
      </c>
    </row>
    <row r="2817">
      <c r="A2817" s="1" t="s">
        <v>2219</v>
      </c>
      <c r="B2817" s="3" t="str">
        <f t="shared" si="1"/>
        <v>Unavailable</v>
      </c>
      <c r="C2817" s="3">
        <v>614.0</v>
      </c>
      <c r="D2817" s="3">
        <f>IFERROR(__xludf.DUMMYFUNCTION("IFERROR(
IF(REGEXMATCH(LOWER(O2817),""k""),
VALUE(REGEXEXTRACT(O2817,""[0-9]+""))*1000,
VALUE(REGEXEXTRACT(O2817,""[0-9]+""))
),
0
)"),0.0)</f>
        <v>0</v>
      </c>
      <c r="E2817" s="1" t="s">
        <v>11</v>
      </c>
      <c r="F2817" s="1" t="s">
        <v>20</v>
      </c>
      <c r="G2817" s="4" t="b">
        <f t="shared" si="2"/>
        <v>1</v>
      </c>
      <c r="H2817" s="1" t="str">
        <f t="shared" si="3"/>
        <v>Currently Unavailable</v>
      </c>
      <c r="I2817" s="1" t="str">
        <f t="shared" si="4"/>
        <v>No Badges</v>
      </c>
      <c r="J2817" s="3">
        <f t="shared" si="5"/>
        <v>0</v>
      </c>
    </row>
    <row r="2818">
      <c r="A2818" s="1" t="s">
        <v>701</v>
      </c>
      <c r="B2818" s="3" t="str">
        <f t="shared" si="1"/>
        <v>Unavailable</v>
      </c>
      <c r="C2818" s="3">
        <v>8.0</v>
      </c>
      <c r="D2818" s="3">
        <f>IFERROR(__xludf.DUMMYFUNCTION("IFERROR(
IF(REGEXMATCH(LOWER(O2818),""k""),
VALUE(REGEXEXTRACT(O2818,""[0-9]+""))*1000,
VALUE(REGEXEXTRACT(O2818,""[0-9]+""))
),
0
)"),0.0)</f>
        <v>0</v>
      </c>
      <c r="E2818" s="1" t="s">
        <v>11</v>
      </c>
      <c r="F2818" s="1" t="s">
        <v>12</v>
      </c>
      <c r="G2818" s="4" t="b">
        <f t="shared" si="2"/>
        <v>1</v>
      </c>
      <c r="H2818" s="1" t="str">
        <f t="shared" si="3"/>
        <v>Currently Unavailable</v>
      </c>
      <c r="I2818" s="1" t="str">
        <f t="shared" si="4"/>
        <v>No Badges</v>
      </c>
      <c r="J2818" s="3">
        <f t="shared" si="5"/>
        <v>0</v>
      </c>
    </row>
    <row r="2819">
      <c r="A2819" s="1" t="s">
        <v>2220</v>
      </c>
      <c r="B2819" s="3" t="str">
        <f t="shared" si="1"/>
        <v>Unavailable</v>
      </c>
      <c r="C2819" s="3">
        <v>864.0</v>
      </c>
      <c r="D2819" s="3">
        <f>IFERROR(__xludf.DUMMYFUNCTION("IFERROR(
IF(REGEXMATCH(LOWER(O2819),""k""),
VALUE(REGEXEXTRACT(O2819,""[0-9]+""))*1000,
VALUE(REGEXEXTRACT(O2819,""[0-9]+""))
),
0
)"),0.0)</f>
        <v>0</v>
      </c>
      <c r="E2819" s="1" t="s">
        <v>11</v>
      </c>
      <c r="F2819" s="1" t="s">
        <v>20</v>
      </c>
      <c r="G2819" s="4" t="b">
        <f t="shared" si="2"/>
        <v>1</v>
      </c>
      <c r="H2819" s="1" t="str">
        <f t="shared" si="3"/>
        <v>Currently Unavailable</v>
      </c>
      <c r="I2819" s="1" t="str">
        <f t="shared" si="4"/>
        <v>No Badges</v>
      </c>
      <c r="J2819" s="3">
        <f t="shared" si="5"/>
        <v>0</v>
      </c>
    </row>
    <row r="2820">
      <c r="A2820" s="1" t="s">
        <v>1284</v>
      </c>
      <c r="B2820" s="3" t="str">
        <f t="shared" si="1"/>
        <v>Unavailable</v>
      </c>
      <c r="C2820" s="3">
        <v>172.0</v>
      </c>
      <c r="D2820" s="3">
        <f>IFERROR(__xludf.DUMMYFUNCTION("IFERROR(
IF(REGEXMATCH(LOWER(O2820),""k""),
VALUE(REGEXEXTRACT(O2820,""[0-9]+""))*1000,
VALUE(REGEXEXTRACT(O2820,""[0-9]+""))
),
0
)"),0.0)</f>
        <v>0</v>
      </c>
      <c r="E2820" s="1" t="s">
        <v>11</v>
      </c>
      <c r="F2820" s="1" t="s">
        <v>12</v>
      </c>
      <c r="G2820" s="4" t="b">
        <f t="shared" si="2"/>
        <v>1</v>
      </c>
      <c r="H2820" s="1" t="str">
        <f t="shared" si="3"/>
        <v>Currently Unavailable</v>
      </c>
      <c r="I2820" s="1" t="str">
        <f t="shared" si="4"/>
        <v>No Badges</v>
      </c>
      <c r="J2820" s="3">
        <f t="shared" si="5"/>
        <v>0</v>
      </c>
    </row>
    <row r="2821">
      <c r="A2821" s="1" t="s">
        <v>2221</v>
      </c>
      <c r="B2821" s="3" t="str">
        <f t="shared" si="1"/>
        <v>Unavailable</v>
      </c>
      <c r="C2821" s="3">
        <v>992.0</v>
      </c>
      <c r="D2821" s="3">
        <f>IFERROR(__xludf.DUMMYFUNCTION("IFERROR(
IF(REGEXMATCH(LOWER(O2821),""k""),
VALUE(REGEXEXTRACT(O2821,""[0-9]+""))*1000,
VALUE(REGEXEXTRACT(O2821,""[0-9]+""))
),
0
)"),0.0)</f>
        <v>0</v>
      </c>
      <c r="E2821" s="1" t="s">
        <v>11</v>
      </c>
      <c r="F2821" s="1" t="s">
        <v>20</v>
      </c>
      <c r="G2821" s="4" t="b">
        <f t="shared" si="2"/>
        <v>1</v>
      </c>
      <c r="H2821" s="1" t="str">
        <f t="shared" si="3"/>
        <v>Currently Unavailable</v>
      </c>
      <c r="I2821" s="1" t="str">
        <f t="shared" si="4"/>
        <v>No Badges</v>
      </c>
      <c r="J2821" s="3">
        <f t="shared" si="5"/>
        <v>0</v>
      </c>
    </row>
    <row r="2822">
      <c r="A2822" s="1" t="s">
        <v>2222</v>
      </c>
      <c r="B2822" s="3" t="str">
        <f t="shared" si="1"/>
        <v>Unavailable</v>
      </c>
      <c r="C2822" s="3">
        <v>955.0</v>
      </c>
      <c r="D2822" s="3">
        <f>IFERROR(__xludf.DUMMYFUNCTION("IFERROR(
IF(REGEXMATCH(LOWER(O2822),""k""),
VALUE(REGEXEXTRACT(O2822,""[0-9]+""))*1000,
VALUE(REGEXEXTRACT(O2822,""[0-9]+""))
),
0
)"),0.0)</f>
        <v>0</v>
      </c>
      <c r="E2822" s="1" t="s">
        <v>11</v>
      </c>
      <c r="F2822" s="1" t="s">
        <v>20</v>
      </c>
      <c r="G2822" s="4" t="b">
        <f t="shared" si="2"/>
        <v>1</v>
      </c>
      <c r="H2822" s="1" t="str">
        <f t="shared" si="3"/>
        <v>Currently Unavailable</v>
      </c>
      <c r="I2822" s="1" t="str">
        <f t="shared" si="4"/>
        <v>No Badges</v>
      </c>
      <c r="J2822" s="3">
        <f t="shared" si="5"/>
        <v>0</v>
      </c>
    </row>
    <row r="2823">
      <c r="A2823" s="1" t="s">
        <v>2223</v>
      </c>
      <c r="B2823" s="3" t="str">
        <f t="shared" si="1"/>
        <v>Unavailable</v>
      </c>
      <c r="C2823" s="5">
        <v>8793.0</v>
      </c>
      <c r="D2823" s="3">
        <f>IFERROR(__xludf.DUMMYFUNCTION("IFERROR(
IF(REGEXMATCH(LOWER(O2823),""k""),
VALUE(REGEXEXTRACT(O2823,""[0-9]+""))*1000,
VALUE(REGEXEXTRACT(O2823,""[0-9]+""))
),
0
)"),0.0)</f>
        <v>0</v>
      </c>
      <c r="E2823" s="1" t="s">
        <v>11</v>
      </c>
      <c r="F2823" s="1" t="s">
        <v>20</v>
      </c>
      <c r="G2823" s="4" t="b">
        <f t="shared" si="2"/>
        <v>1</v>
      </c>
      <c r="H2823" s="1" t="str">
        <f t="shared" si="3"/>
        <v>Currently Unavailable</v>
      </c>
      <c r="I2823" s="1" t="str">
        <f t="shared" si="4"/>
        <v>No Badges</v>
      </c>
      <c r="J2823" s="3">
        <f t="shared" si="5"/>
        <v>0</v>
      </c>
    </row>
    <row r="2824">
      <c r="A2824" s="1" t="s">
        <v>1284</v>
      </c>
      <c r="B2824" s="3" t="str">
        <f t="shared" si="1"/>
        <v>Unavailable</v>
      </c>
      <c r="C2824" s="3">
        <v>172.0</v>
      </c>
      <c r="D2824" s="3">
        <f>IFERROR(__xludf.DUMMYFUNCTION("IFERROR(
IF(REGEXMATCH(LOWER(O2824),""k""),
VALUE(REGEXEXTRACT(O2824,""[0-9]+""))*1000,
VALUE(REGEXEXTRACT(O2824,""[0-9]+""))
),
0
)"),0.0)</f>
        <v>0</v>
      </c>
      <c r="E2824" s="1" t="s">
        <v>11</v>
      </c>
      <c r="F2824" s="1" t="s">
        <v>12</v>
      </c>
      <c r="G2824" s="4" t="b">
        <f t="shared" si="2"/>
        <v>1</v>
      </c>
      <c r="H2824" s="1" t="str">
        <f t="shared" si="3"/>
        <v>Currently Unavailable</v>
      </c>
      <c r="I2824" s="1" t="str">
        <f t="shared" si="4"/>
        <v>No Badges</v>
      </c>
      <c r="J2824" s="3">
        <f t="shared" si="5"/>
        <v>0</v>
      </c>
    </row>
    <row r="2825">
      <c r="A2825" s="1" t="s">
        <v>2224</v>
      </c>
      <c r="B2825" s="3" t="str">
        <f t="shared" si="1"/>
        <v>Unavailable</v>
      </c>
      <c r="C2825" s="5">
        <v>2448.0</v>
      </c>
      <c r="D2825" s="3">
        <f>IFERROR(__xludf.DUMMYFUNCTION("IFERROR(
IF(REGEXMATCH(LOWER(O2825),""k""),
VALUE(REGEXEXTRACT(O2825,""[0-9]+""))*1000,
VALUE(REGEXEXTRACT(O2825,""[0-9]+""))
),
0
)"),0.0)</f>
        <v>0</v>
      </c>
      <c r="E2825" s="1" t="s">
        <v>11</v>
      </c>
      <c r="F2825" s="1" t="s">
        <v>20</v>
      </c>
      <c r="G2825" s="4" t="b">
        <f t="shared" si="2"/>
        <v>1</v>
      </c>
      <c r="H2825" s="1" t="str">
        <f t="shared" si="3"/>
        <v>Currently Unavailable</v>
      </c>
      <c r="I2825" s="1" t="str">
        <f t="shared" si="4"/>
        <v>No Badges</v>
      </c>
      <c r="J2825" s="3">
        <f t="shared" si="5"/>
        <v>0</v>
      </c>
    </row>
    <row r="2826">
      <c r="A2826" s="1" t="s">
        <v>2225</v>
      </c>
      <c r="B2826" s="3" t="str">
        <f t="shared" si="1"/>
        <v>Unavailable</v>
      </c>
      <c r="C2826" s="3">
        <v>188.0</v>
      </c>
      <c r="D2826" s="3">
        <f>IFERROR(__xludf.DUMMYFUNCTION("IFERROR(
IF(REGEXMATCH(LOWER(O2826),""k""),
VALUE(REGEXEXTRACT(O2826,""[0-9]+""))*1000,
VALUE(REGEXEXTRACT(O2826,""[0-9]+""))
),
0
)"),0.0)</f>
        <v>0</v>
      </c>
      <c r="E2826" s="1" t="s">
        <v>11</v>
      </c>
      <c r="F2826" s="1" t="s">
        <v>20</v>
      </c>
      <c r="G2826" s="4" t="b">
        <f t="shared" si="2"/>
        <v>1</v>
      </c>
      <c r="H2826" s="1" t="str">
        <f t="shared" si="3"/>
        <v>Currently Unavailable</v>
      </c>
      <c r="I2826" s="1" t="str">
        <f t="shared" si="4"/>
        <v>No Badges</v>
      </c>
      <c r="J2826" s="3">
        <f t="shared" si="5"/>
        <v>0</v>
      </c>
    </row>
    <row r="2827">
      <c r="A2827" s="1" t="s">
        <v>2226</v>
      </c>
      <c r="B2827" s="3" t="str">
        <f t="shared" si="1"/>
        <v>Unavailable</v>
      </c>
      <c r="C2827" s="3">
        <v>204.0</v>
      </c>
      <c r="D2827" s="3">
        <f>IFERROR(__xludf.DUMMYFUNCTION("IFERROR(
IF(REGEXMATCH(LOWER(O2827),""k""),
VALUE(REGEXEXTRACT(O2827,""[0-9]+""))*1000,
VALUE(REGEXEXTRACT(O2827,""[0-9]+""))
),
0
)"),0.0)</f>
        <v>0</v>
      </c>
      <c r="E2827" s="1" t="s">
        <v>11</v>
      </c>
      <c r="F2827" s="1" t="s">
        <v>20</v>
      </c>
      <c r="G2827" s="4" t="b">
        <f t="shared" si="2"/>
        <v>1</v>
      </c>
      <c r="H2827" s="1" t="str">
        <f t="shared" si="3"/>
        <v>Currently Unavailable</v>
      </c>
      <c r="I2827" s="1" t="str">
        <f t="shared" si="4"/>
        <v>No Badges</v>
      </c>
      <c r="J2827" s="3">
        <f t="shared" si="5"/>
        <v>0</v>
      </c>
    </row>
    <row r="2828">
      <c r="A2828" s="1" t="s">
        <v>1285</v>
      </c>
      <c r="B2828" s="3" t="str">
        <f t="shared" si="1"/>
        <v>Unavailable</v>
      </c>
      <c r="C2828" s="5">
        <v>3520.0</v>
      </c>
      <c r="D2828" s="3">
        <f>IFERROR(__xludf.DUMMYFUNCTION("IFERROR(
IF(REGEXMATCH(LOWER(O2828),""k""),
VALUE(REGEXEXTRACT(O2828,""[0-9]+""))*1000,
VALUE(REGEXEXTRACT(O2828,""[0-9]+""))
),
0
)"),0.0)</f>
        <v>0</v>
      </c>
      <c r="E2828" s="1" t="s">
        <v>11</v>
      </c>
      <c r="F2828" s="1" t="s">
        <v>12</v>
      </c>
      <c r="G2828" s="4" t="b">
        <f t="shared" si="2"/>
        <v>1</v>
      </c>
      <c r="H2828" s="1" t="str">
        <f t="shared" si="3"/>
        <v>Currently Unavailable</v>
      </c>
      <c r="I2828" s="1" t="str">
        <f t="shared" si="4"/>
        <v>No Badges</v>
      </c>
      <c r="J2828" s="3">
        <f t="shared" si="5"/>
        <v>0</v>
      </c>
    </row>
    <row r="2829">
      <c r="A2829" s="1" t="s">
        <v>1284</v>
      </c>
      <c r="B2829" s="3" t="str">
        <f t="shared" si="1"/>
        <v>Unavailable</v>
      </c>
      <c r="C2829" s="3">
        <v>172.0</v>
      </c>
      <c r="D2829" s="3">
        <f>IFERROR(__xludf.DUMMYFUNCTION("IFERROR(
IF(REGEXMATCH(LOWER(O2829),""k""),
VALUE(REGEXEXTRACT(O2829,""[0-9]+""))*1000,
VALUE(REGEXEXTRACT(O2829,""[0-9]+""))
),
0
)"),0.0)</f>
        <v>0</v>
      </c>
      <c r="E2829" s="1" t="s">
        <v>11</v>
      </c>
      <c r="F2829" s="1" t="s">
        <v>12</v>
      </c>
      <c r="G2829" s="4" t="b">
        <f t="shared" si="2"/>
        <v>1</v>
      </c>
      <c r="H2829" s="1" t="str">
        <f t="shared" si="3"/>
        <v>Currently Unavailable</v>
      </c>
      <c r="I2829" s="1" t="str">
        <f t="shared" si="4"/>
        <v>No Badges</v>
      </c>
      <c r="J2829" s="3">
        <f t="shared" si="5"/>
        <v>0</v>
      </c>
    </row>
    <row r="2830">
      <c r="A2830" s="1" t="s">
        <v>2227</v>
      </c>
      <c r="B2830" s="3" t="str">
        <f t="shared" si="1"/>
        <v>Unavailable</v>
      </c>
      <c r="C2830" s="5">
        <v>13852.0</v>
      </c>
      <c r="D2830" s="3">
        <f>IFERROR(__xludf.DUMMYFUNCTION("IFERROR(
IF(REGEXMATCH(LOWER(O2830),""k""),
VALUE(REGEXEXTRACT(O2830,""[0-9]+""))*1000,
VALUE(REGEXEXTRACT(O2830,""[0-9]+""))
),
0
)"),0.0)</f>
        <v>0</v>
      </c>
      <c r="E2830" s="1" t="s">
        <v>11</v>
      </c>
      <c r="F2830" s="1" t="s">
        <v>20</v>
      </c>
      <c r="G2830" s="4" t="b">
        <f t="shared" si="2"/>
        <v>1</v>
      </c>
      <c r="H2830" s="1" t="str">
        <f t="shared" si="3"/>
        <v>Currently Unavailable</v>
      </c>
      <c r="I2830" s="1" t="str">
        <f t="shared" si="4"/>
        <v>No Badges</v>
      </c>
      <c r="J2830" s="3">
        <f t="shared" si="5"/>
        <v>0</v>
      </c>
    </row>
    <row r="2831">
      <c r="A2831" s="1" t="s">
        <v>2228</v>
      </c>
      <c r="B2831" s="3" t="str">
        <f t="shared" si="1"/>
        <v>Unavailable</v>
      </c>
      <c r="C2831" s="3">
        <v>290.0</v>
      </c>
      <c r="D2831" s="3">
        <f>IFERROR(__xludf.DUMMYFUNCTION("IFERROR(
IF(REGEXMATCH(LOWER(O2831),""k""),
VALUE(REGEXEXTRACT(O2831,""[0-9]+""))*1000,
VALUE(REGEXEXTRACT(O2831,""[0-9]+""))
),
0
)"),0.0)</f>
        <v>0</v>
      </c>
      <c r="E2831" s="1" t="s">
        <v>11</v>
      </c>
      <c r="F2831" s="1" t="s">
        <v>20</v>
      </c>
      <c r="G2831" s="4" t="b">
        <f t="shared" si="2"/>
        <v>1</v>
      </c>
      <c r="H2831" s="1" t="str">
        <f t="shared" si="3"/>
        <v>Currently Unavailable</v>
      </c>
      <c r="I2831" s="1" t="str">
        <f t="shared" si="4"/>
        <v>No Badges</v>
      </c>
      <c r="J2831" s="3">
        <f t="shared" si="5"/>
        <v>0</v>
      </c>
    </row>
    <row r="2832">
      <c r="A2832" s="1" t="s">
        <v>88</v>
      </c>
      <c r="B2832" s="3" t="str">
        <f t="shared" si="1"/>
        <v>Unavailable</v>
      </c>
      <c r="C2832" s="3">
        <v>5.0</v>
      </c>
      <c r="D2832" s="3">
        <f>IFERROR(__xludf.DUMMYFUNCTION("IFERROR(
IF(REGEXMATCH(LOWER(O2832),""k""),
VALUE(REGEXEXTRACT(O2832,""[0-9]+""))*1000,
VALUE(REGEXEXTRACT(O2832,""[0-9]+""))
),
0
)"),0.0)</f>
        <v>0</v>
      </c>
      <c r="E2832" s="1" t="s">
        <v>11</v>
      </c>
      <c r="F2832" s="1" t="s">
        <v>12</v>
      </c>
      <c r="G2832" s="4" t="b">
        <f t="shared" si="2"/>
        <v>1</v>
      </c>
      <c r="H2832" s="1" t="str">
        <f t="shared" si="3"/>
        <v>Currently Unavailable</v>
      </c>
      <c r="I2832" s="1" t="str">
        <f t="shared" si="4"/>
        <v>No Badges</v>
      </c>
      <c r="J2832" s="3">
        <f t="shared" si="5"/>
        <v>0</v>
      </c>
    </row>
    <row r="2833">
      <c r="A2833" s="1" t="s">
        <v>2229</v>
      </c>
      <c r="B2833" s="3" t="str">
        <f t="shared" si="1"/>
        <v>Unavailable</v>
      </c>
      <c r="C2833" s="3">
        <v>30.0</v>
      </c>
      <c r="D2833" s="3">
        <f>IFERROR(__xludf.DUMMYFUNCTION("IFERROR(
IF(REGEXMATCH(LOWER(O2833),""k""),
VALUE(REGEXEXTRACT(O2833,""[0-9]+""))*1000,
VALUE(REGEXEXTRACT(O2833,""[0-9]+""))
),
0
)"),0.0)</f>
        <v>0</v>
      </c>
      <c r="E2833" s="1" t="s">
        <v>11</v>
      </c>
      <c r="F2833" s="1" t="s">
        <v>12</v>
      </c>
      <c r="G2833" s="4" t="b">
        <f t="shared" si="2"/>
        <v>1</v>
      </c>
      <c r="H2833" s="1" t="str">
        <f t="shared" si="3"/>
        <v>Currently Unavailable</v>
      </c>
      <c r="I2833" s="1" t="str">
        <f t="shared" si="4"/>
        <v>No Badges</v>
      </c>
      <c r="J2833" s="3">
        <f t="shared" si="5"/>
        <v>0</v>
      </c>
    </row>
    <row r="2834">
      <c r="A2834" s="1" t="s">
        <v>1285</v>
      </c>
      <c r="B2834" s="3" t="str">
        <f t="shared" si="1"/>
        <v>Unavailable</v>
      </c>
      <c r="C2834" s="5">
        <v>3520.0</v>
      </c>
      <c r="D2834" s="3">
        <f>IFERROR(__xludf.DUMMYFUNCTION("IFERROR(
IF(REGEXMATCH(LOWER(O2834),""k""),
VALUE(REGEXEXTRACT(O2834,""[0-9]+""))*1000,
VALUE(REGEXEXTRACT(O2834,""[0-9]+""))
),
0
)"),0.0)</f>
        <v>0</v>
      </c>
      <c r="E2834" s="1" t="s">
        <v>11</v>
      </c>
      <c r="F2834" s="1" t="s">
        <v>12</v>
      </c>
      <c r="G2834" s="4" t="b">
        <f t="shared" si="2"/>
        <v>1</v>
      </c>
      <c r="H2834" s="1" t="str">
        <f t="shared" si="3"/>
        <v>Currently Unavailable</v>
      </c>
      <c r="I2834" s="1" t="str">
        <f t="shared" si="4"/>
        <v>No Badges</v>
      </c>
      <c r="J2834" s="3">
        <f t="shared" si="5"/>
        <v>0</v>
      </c>
    </row>
    <row r="2835">
      <c r="A2835" s="1" t="s">
        <v>1285</v>
      </c>
      <c r="B2835" s="3" t="str">
        <f t="shared" si="1"/>
        <v>Unavailable</v>
      </c>
      <c r="C2835" s="5">
        <v>3520.0</v>
      </c>
      <c r="D2835" s="3">
        <f>IFERROR(__xludf.DUMMYFUNCTION("IFERROR(
IF(REGEXMATCH(LOWER(O2835),""k""),
VALUE(REGEXEXTRACT(O2835,""[0-9]+""))*1000,
VALUE(REGEXEXTRACT(O2835,""[0-9]+""))
),
0
)"),0.0)</f>
        <v>0</v>
      </c>
      <c r="E2835" s="1" t="s">
        <v>11</v>
      </c>
      <c r="F2835" s="1" t="s">
        <v>12</v>
      </c>
      <c r="G2835" s="4" t="b">
        <f t="shared" si="2"/>
        <v>1</v>
      </c>
      <c r="H2835" s="1" t="str">
        <f t="shared" si="3"/>
        <v>Currently Unavailable</v>
      </c>
      <c r="I2835" s="1" t="str">
        <f t="shared" si="4"/>
        <v>No Badges</v>
      </c>
      <c r="J2835" s="3">
        <f t="shared" si="5"/>
        <v>0</v>
      </c>
    </row>
    <row r="2836">
      <c r="A2836" s="1" t="s">
        <v>1284</v>
      </c>
      <c r="B2836" s="3" t="str">
        <f t="shared" si="1"/>
        <v>Unavailable</v>
      </c>
      <c r="C2836" s="3">
        <v>172.0</v>
      </c>
      <c r="D2836" s="3">
        <f>IFERROR(__xludf.DUMMYFUNCTION("IFERROR(
IF(REGEXMATCH(LOWER(O2836),""k""),
VALUE(REGEXEXTRACT(O2836,""[0-9]+""))*1000,
VALUE(REGEXEXTRACT(O2836,""[0-9]+""))
),
0
)"),0.0)</f>
        <v>0</v>
      </c>
      <c r="E2836" s="1" t="s">
        <v>11</v>
      </c>
      <c r="F2836" s="1" t="s">
        <v>12</v>
      </c>
      <c r="G2836" s="4" t="b">
        <f t="shared" si="2"/>
        <v>1</v>
      </c>
      <c r="H2836" s="1" t="str">
        <f t="shared" si="3"/>
        <v>Currently Unavailable</v>
      </c>
      <c r="I2836" s="1" t="str">
        <f t="shared" si="4"/>
        <v>No Badges</v>
      </c>
      <c r="J2836" s="3">
        <f t="shared" si="5"/>
        <v>0</v>
      </c>
    </row>
    <row r="2837">
      <c r="A2837" s="1" t="s">
        <v>2230</v>
      </c>
      <c r="B2837" s="3" t="str">
        <f t="shared" si="1"/>
        <v>Unavailable</v>
      </c>
      <c r="C2837" s="5">
        <v>6227.0</v>
      </c>
      <c r="D2837" s="3">
        <f>IFERROR(__xludf.DUMMYFUNCTION("IFERROR(
IF(REGEXMATCH(LOWER(O2837),""k""),
VALUE(REGEXEXTRACT(O2837,""[0-9]+""))*1000,
VALUE(REGEXEXTRACT(O2837,""[0-9]+""))
),
0
)"),0.0)</f>
        <v>0</v>
      </c>
      <c r="E2837" s="1" t="s">
        <v>158</v>
      </c>
      <c r="F2837" s="1" t="s">
        <v>20</v>
      </c>
      <c r="G2837" s="4" t="b">
        <f t="shared" si="2"/>
        <v>1</v>
      </c>
      <c r="H2837" s="1" t="str">
        <f t="shared" si="3"/>
        <v>Currently Unavailable</v>
      </c>
      <c r="I2837" s="1" t="str">
        <f t="shared" si="4"/>
        <v>No Badges</v>
      </c>
      <c r="J2837" s="3">
        <f t="shared" si="5"/>
        <v>0</v>
      </c>
    </row>
    <row r="2838">
      <c r="A2838" s="1" t="s">
        <v>2231</v>
      </c>
      <c r="B2838" s="3" t="str">
        <f t="shared" si="1"/>
        <v>Unavailable</v>
      </c>
      <c r="C2838" s="5">
        <v>19397.0</v>
      </c>
      <c r="D2838" s="3">
        <f>IFERROR(__xludf.DUMMYFUNCTION("IFERROR(
IF(REGEXMATCH(LOWER(O2838),""k""),
VALUE(REGEXEXTRACT(O2838,""[0-9]+""))*1000,
VALUE(REGEXEXTRACT(O2838,""[0-9]+""))
),
0
)"),0.0)</f>
        <v>0</v>
      </c>
      <c r="E2838" s="1" t="s">
        <v>158</v>
      </c>
      <c r="F2838" s="1" t="s">
        <v>20</v>
      </c>
      <c r="G2838" s="4" t="b">
        <f t="shared" si="2"/>
        <v>1</v>
      </c>
      <c r="H2838" s="1" t="str">
        <f t="shared" si="3"/>
        <v>Currently Unavailable</v>
      </c>
      <c r="I2838" s="1" t="str">
        <f t="shared" si="4"/>
        <v>No Badges</v>
      </c>
      <c r="J2838" s="3">
        <f t="shared" si="5"/>
        <v>0</v>
      </c>
    </row>
    <row r="2839">
      <c r="A2839" s="1" t="s">
        <v>2232</v>
      </c>
      <c r="B2839" s="3" t="str">
        <f t="shared" si="1"/>
        <v>Unavailable</v>
      </c>
      <c r="C2839" s="5">
        <v>7804.0</v>
      </c>
      <c r="D2839" s="3">
        <f>IFERROR(__xludf.DUMMYFUNCTION("IFERROR(
IF(REGEXMATCH(LOWER(O2839),""k""),
VALUE(REGEXEXTRACT(O2839,""[0-9]+""))*1000,
VALUE(REGEXEXTRACT(O2839,""[0-9]+""))
),
0
)"),0.0)</f>
        <v>0</v>
      </c>
      <c r="E2839" s="1" t="s">
        <v>11</v>
      </c>
      <c r="F2839" s="1" t="s">
        <v>20</v>
      </c>
      <c r="G2839" s="4" t="b">
        <f t="shared" si="2"/>
        <v>1</v>
      </c>
      <c r="H2839" s="1" t="str">
        <f t="shared" si="3"/>
        <v>Currently Unavailable</v>
      </c>
      <c r="I2839" s="1" t="str">
        <f t="shared" si="4"/>
        <v>No Badges</v>
      </c>
      <c r="J2839" s="3">
        <f t="shared" si="5"/>
        <v>0</v>
      </c>
    </row>
    <row r="2840">
      <c r="A2840" s="1" t="s">
        <v>2233</v>
      </c>
      <c r="B2840" s="3" t="str">
        <f t="shared" si="1"/>
        <v>Unavailable</v>
      </c>
      <c r="C2840" s="5">
        <v>84275.0</v>
      </c>
      <c r="D2840" s="3">
        <f>IFERROR(__xludf.DUMMYFUNCTION("IFERROR(
IF(REGEXMATCH(LOWER(O2840),""k""),
VALUE(REGEXEXTRACT(O2840,""[0-9]+""))*1000,
VALUE(REGEXEXTRACT(O2840,""[0-9]+""))
),
0
)"),0.0)</f>
        <v>0</v>
      </c>
      <c r="E2840" s="1" t="s">
        <v>11</v>
      </c>
      <c r="F2840" s="1" t="s">
        <v>20</v>
      </c>
      <c r="G2840" s="4" t="b">
        <f t="shared" si="2"/>
        <v>1</v>
      </c>
      <c r="H2840" s="1" t="str">
        <f t="shared" si="3"/>
        <v>Currently Unavailable</v>
      </c>
      <c r="I2840" s="1" t="str">
        <f t="shared" si="4"/>
        <v>No Badges</v>
      </c>
      <c r="J2840" s="3">
        <f t="shared" si="5"/>
        <v>0</v>
      </c>
    </row>
    <row r="2841">
      <c r="A2841" s="1" t="s">
        <v>2234</v>
      </c>
      <c r="B2841" s="3" t="str">
        <f t="shared" si="1"/>
        <v>Unavailable</v>
      </c>
      <c r="C2841" s="5">
        <v>12989.0</v>
      </c>
      <c r="D2841" s="3">
        <f>IFERROR(__xludf.DUMMYFUNCTION("IFERROR(
IF(REGEXMATCH(LOWER(O2841),""k""),
VALUE(REGEXEXTRACT(O2841,""[0-9]+""))*1000,
VALUE(REGEXEXTRACT(O2841,""[0-9]+""))
),
0
)"),0.0)</f>
        <v>0</v>
      </c>
      <c r="E2841" s="1" t="s">
        <v>11</v>
      </c>
      <c r="F2841" s="1" t="s">
        <v>20</v>
      </c>
      <c r="G2841" s="4" t="b">
        <f t="shared" si="2"/>
        <v>1</v>
      </c>
      <c r="H2841" s="1" t="str">
        <f t="shared" si="3"/>
        <v>Currently Unavailable</v>
      </c>
      <c r="I2841" s="1" t="str">
        <f t="shared" si="4"/>
        <v>No Badges</v>
      </c>
      <c r="J2841" s="3">
        <f t="shared" si="5"/>
        <v>0</v>
      </c>
    </row>
    <row r="2842">
      <c r="A2842" s="1" t="s">
        <v>2235</v>
      </c>
      <c r="B2842" s="3" t="str">
        <f t="shared" si="1"/>
        <v>Unavailable</v>
      </c>
      <c r="C2842" s="5">
        <v>4728.0</v>
      </c>
      <c r="D2842" s="3">
        <f>IFERROR(__xludf.DUMMYFUNCTION("IFERROR(
IF(REGEXMATCH(LOWER(O2842),""k""),
VALUE(REGEXEXTRACT(O2842,""[0-9]+""))*1000,
VALUE(REGEXEXTRACT(O2842,""[0-9]+""))
),
0
)"),0.0)</f>
        <v>0</v>
      </c>
      <c r="E2842" s="1" t="s">
        <v>11</v>
      </c>
      <c r="F2842" s="1" t="s">
        <v>20</v>
      </c>
      <c r="G2842" s="4" t="b">
        <f t="shared" si="2"/>
        <v>1</v>
      </c>
      <c r="H2842" s="1" t="str">
        <f t="shared" si="3"/>
        <v>Currently Unavailable</v>
      </c>
      <c r="I2842" s="1" t="str">
        <f t="shared" si="4"/>
        <v>No Badges</v>
      </c>
      <c r="J2842" s="3">
        <f t="shared" si="5"/>
        <v>0</v>
      </c>
    </row>
    <row r="2843">
      <c r="A2843" s="1" t="s">
        <v>2236</v>
      </c>
      <c r="B2843" s="3" t="str">
        <f t="shared" si="1"/>
        <v>Unavailable</v>
      </c>
      <c r="C2843" s="5">
        <v>7528.0</v>
      </c>
      <c r="D2843" s="3">
        <f>IFERROR(__xludf.DUMMYFUNCTION("IFERROR(
IF(REGEXMATCH(LOWER(O2843),""k""),
VALUE(REGEXEXTRACT(O2843,""[0-9]+""))*1000,
VALUE(REGEXEXTRACT(O2843,""[0-9]+""))
),
0
)"),0.0)</f>
        <v>0</v>
      </c>
      <c r="E2843" s="1" t="s">
        <v>11</v>
      </c>
      <c r="F2843" s="1" t="s">
        <v>20</v>
      </c>
      <c r="G2843" s="4" t="b">
        <f t="shared" si="2"/>
        <v>1</v>
      </c>
      <c r="H2843" s="1" t="str">
        <f t="shared" si="3"/>
        <v>Currently Unavailable</v>
      </c>
      <c r="I2843" s="1" t="str">
        <f t="shared" si="4"/>
        <v>No Badges</v>
      </c>
      <c r="J2843" s="3">
        <f t="shared" si="5"/>
        <v>0</v>
      </c>
    </row>
    <row r="2844">
      <c r="A2844" s="1" t="s">
        <v>2237</v>
      </c>
      <c r="B2844" s="3" t="str">
        <f t="shared" si="1"/>
        <v>Unavailable</v>
      </c>
      <c r="C2844" s="5">
        <v>7810.0</v>
      </c>
      <c r="D2844" s="3">
        <f>IFERROR(__xludf.DUMMYFUNCTION("IFERROR(
IF(REGEXMATCH(LOWER(O2844),""k""),
VALUE(REGEXEXTRACT(O2844,""[0-9]+""))*1000,
VALUE(REGEXEXTRACT(O2844,""[0-9]+""))
),
0
)"),0.0)</f>
        <v>0</v>
      </c>
      <c r="E2844" s="1" t="s">
        <v>11</v>
      </c>
      <c r="F2844" s="1" t="s">
        <v>20</v>
      </c>
      <c r="G2844" s="4" t="b">
        <f t="shared" si="2"/>
        <v>1</v>
      </c>
      <c r="H2844" s="1" t="str">
        <f t="shared" si="3"/>
        <v>Currently Unavailable</v>
      </c>
      <c r="I2844" s="1" t="str">
        <f t="shared" si="4"/>
        <v>No Badges</v>
      </c>
      <c r="J2844" s="3">
        <f t="shared" si="5"/>
        <v>0</v>
      </c>
    </row>
    <row r="2845">
      <c r="A2845" s="1" t="s">
        <v>2238</v>
      </c>
      <c r="B2845" s="3" t="str">
        <f t="shared" si="1"/>
        <v>Unavailable</v>
      </c>
      <c r="C2845" s="5">
        <v>1851.0</v>
      </c>
      <c r="D2845" s="3">
        <f>IFERROR(__xludf.DUMMYFUNCTION("IFERROR(
IF(REGEXMATCH(LOWER(O2845),""k""),
VALUE(REGEXEXTRACT(O2845,""[0-9]+""))*1000,
VALUE(REGEXEXTRACT(O2845,""[0-9]+""))
),
0
)"),0.0)</f>
        <v>0</v>
      </c>
      <c r="E2845" s="1" t="s">
        <v>11</v>
      </c>
      <c r="F2845" s="1" t="s">
        <v>20</v>
      </c>
      <c r="G2845" s="4" t="b">
        <f t="shared" si="2"/>
        <v>1</v>
      </c>
      <c r="H2845" s="1" t="str">
        <f t="shared" si="3"/>
        <v>Currently Unavailable</v>
      </c>
      <c r="I2845" s="1" t="str">
        <f t="shared" si="4"/>
        <v>No Badges</v>
      </c>
      <c r="J2845" s="3">
        <f t="shared" si="5"/>
        <v>0</v>
      </c>
    </row>
    <row r="2846">
      <c r="A2846" s="1" t="s">
        <v>2239</v>
      </c>
      <c r="B2846" s="3" t="str">
        <f t="shared" si="1"/>
        <v>Unavailable</v>
      </c>
      <c r="C2846" s="5">
        <v>10403.0</v>
      </c>
      <c r="D2846" s="3">
        <f>IFERROR(__xludf.DUMMYFUNCTION("IFERROR(
IF(REGEXMATCH(LOWER(O2846),""k""),
VALUE(REGEXEXTRACT(O2846,""[0-9]+""))*1000,
VALUE(REGEXEXTRACT(O2846,""[0-9]+""))
),
0
)"),0.0)</f>
        <v>0</v>
      </c>
      <c r="E2846" s="1" t="s">
        <v>11</v>
      </c>
      <c r="F2846" s="1" t="s">
        <v>20</v>
      </c>
      <c r="G2846" s="4" t="b">
        <f t="shared" si="2"/>
        <v>1</v>
      </c>
      <c r="H2846" s="1" t="str">
        <f t="shared" si="3"/>
        <v>Currently Unavailable</v>
      </c>
      <c r="I2846" s="1" t="str">
        <f t="shared" si="4"/>
        <v>No Badges</v>
      </c>
      <c r="J2846" s="3">
        <f t="shared" si="5"/>
        <v>0</v>
      </c>
    </row>
    <row r="2847">
      <c r="A2847" s="1" t="s">
        <v>2240</v>
      </c>
      <c r="B2847" s="3" t="str">
        <f t="shared" si="1"/>
        <v>Unavailable</v>
      </c>
      <c r="C2847" s="5">
        <v>5273.0</v>
      </c>
      <c r="D2847" s="3">
        <f>IFERROR(__xludf.DUMMYFUNCTION("IFERROR(
IF(REGEXMATCH(LOWER(O2847),""k""),
VALUE(REGEXEXTRACT(O2847,""[0-9]+""))*1000,
VALUE(REGEXEXTRACT(O2847,""[0-9]+""))
),
0
)"),0.0)</f>
        <v>0</v>
      </c>
      <c r="E2847" s="1" t="s">
        <v>11</v>
      </c>
      <c r="F2847" s="1" t="s">
        <v>20</v>
      </c>
      <c r="G2847" s="4" t="b">
        <f t="shared" si="2"/>
        <v>1</v>
      </c>
      <c r="H2847" s="1" t="str">
        <f t="shared" si="3"/>
        <v>Currently Unavailable</v>
      </c>
      <c r="I2847" s="1" t="str">
        <f t="shared" si="4"/>
        <v>No Badges</v>
      </c>
      <c r="J2847" s="3">
        <f t="shared" si="5"/>
        <v>0</v>
      </c>
    </row>
    <row r="2848">
      <c r="A2848" s="1" t="s">
        <v>1284</v>
      </c>
      <c r="B2848" s="3" t="str">
        <f t="shared" si="1"/>
        <v>Unavailable</v>
      </c>
      <c r="C2848" s="3">
        <v>172.0</v>
      </c>
      <c r="D2848" s="3">
        <f>IFERROR(__xludf.DUMMYFUNCTION("IFERROR(
IF(REGEXMATCH(LOWER(O2848),""k""),
VALUE(REGEXEXTRACT(O2848,""[0-9]+""))*1000,
VALUE(REGEXEXTRACT(O2848,""[0-9]+""))
),
0
)"),0.0)</f>
        <v>0</v>
      </c>
      <c r="E2848" s="1" t="s">
        <v>11</v>
      </c>
      <c r="F2848" s="1" t="s">
        <v>12</v>
      </c>
      <c r="G2848" s="4" t="b">
        <f t="shared" si="2"/>
        <v>1</v>
      </c>
      <c r="H2848" s="1" t="str">
        <f t="shared" si="3"/>
        <v>Currently Unavailable</v>
      </c>
      <c r="I2848" s="1" t="str">
        <f t="shared" si="4"/>
        <v>No Badges</v>
      </c>
      <c r="J2848" s="3">
        <f t="shared" si="5"/>
        <v>0</v>
      </c>
    </row>
    <row r="2849">
      <c r="A2849" s="1" t="s">
        <v>2241</v>
      </c>
      <c r="B2849" s="3" t="str">
        <f t="shared" si="1"/>
        <v>Unavailable</v>
      </c>
      <c r="C2849" s="5">
        <v>5958.0</v>
      </c>
      <c r="D2849" s="3">
        <f>IFERROR(__xludf.DUMMYFUNCTION("IFERROR(
IF(REGEXMATCH(LOWER(O2849),""k""),
VALUE(REGEXEXTRACT(O2849,""[0-9]+""))*1000,
VALUE(REGEXEXTRACT(O2849,""[0-9]+""))
),
0
)"),0.0)</f>
        <v>0</v>
      </c>
      <c r="E2849" s="1" t="s">
        <v>11</v>
      </c>
      <c r="F2849" s="1" t="s">
        <v>20</v>
      </c>
      <c r="G2849" s="4" t="b">
        <f t="shared" si="2"/>
        <v>1</v>
      </c>
      <c r="H2849" s="1" t="str">
        <f t="shared" si="3"/>
        <v>Currently Unavailable</v>
      </c>
      <c r="I2849" s="1" t="str">
        <f t="shared" si="4"/>
        <v>No Badges</v>
      </c>
      <c r="J2849" s="3">
        <f t="shared" si="5"/>
        <v>0</v>
      </c>
    </row>
    <row r="2850">
      <c r="A2850" s="1" t="s">
        <v>2242</v>
      </c>
      <c r="B2850" s="3" t="str">
        <f t="shared" si="1"/>
        <v>Unavailable</v>
      </c>
      <c r="C2850" s="5">
        <v>6328.0</v>
      </c>
      <c r="D2850" s="3">
        <f>IFERROR(__xludf.DUMMYFUNCTION("IFERROR(
IF(REGEXMATCH(LOWER(O2850),""k""),
VALUE(REGEXEXTRACT(O2850,""[0-9]+""))*1000,
VALUE(REGEXEXTRACT(O2850,""[0-9]+""))
),
0
)"),0.0)</f>
        <v>0</v>
      </c>
      <c r="E2850" s="1" t="s">
        <v>11</v>
      </c>
      <c r="F2850" s="1" t="s">
        <v>20</v>
      </c>
      <c r="G2850" s="4" t="b">
        <f t="shared" si="2"/>
        <v>1</v>
      </c>
      <c r="H2850" s="1" t="str">
        <f t="shared" si="3"/>
        <v>Currently Unavailable</v>
      </c>
      <c r="I2850" s="1" t="str">
        <f t="shared" si="4"/>
        <v>No Badges</v>
      </c>
      <c r="J2850" s="3">
        <f t="shared" si="5"/>
        <v>0</v>
      </c>
    </row>
    <row r="2851">
      <c r="A2851" s="1" t="s">
        <v>2243</v>
      </c>
      <c r="B2851" s="3" t="str">
        <f t="shared" si="1"/>
        <v>Unavailable</v>
      </c>
      <c r="C2851" s="5">
        <v>26865.0</v>
      </c>
      <c r="D2851" s="3">
        <f>IFERROR(__xludf.DUMMYFUNCTION("IFERROR(
IF(REGEXMATCH(LOWER(O2851),""k""),
VALUE(REGEXEXTRACT(O2851,""[0-9]+""))*1000,
VALUE(REGEXEXTRACT(O2851,""[0-9]+""))
),
0
)"),0.0)</f>
        <v>0</v>
      </c>
      <c r="E2851" s="1" t="s">
        <v>11</v>
      </c>
      <c r="F2851" s="1" t="s">
        <v>20</v>
      </c>
      <c r="G2851" s="4" t="b">
        <f t="shared" si="2"/>
        <v>1</v>
      </c>
      <c r="H2851" s="1" t="str">
        <f t="shared" si="3"/>
        <v>Currently Unavailable</v>
      </c>
      <c r="I2851" s="1" t="str">
        <f t="shared" si="4"/>
        <v>No Badges</v>
      </c>
      <c r="J2851" s="3">
        <f t="shared" si="5"/>
        <v>0</v>
      </c>
    </row>
    <row r="2852">
      <c r="A2852" s="1" t="s">
        <v>1285</v>
      </c>
      <c r="B2852" s="3" t="str">
        <f t="shared" si="1"/>
        <v>Unavailable</v>
      </c>
      <c r="C2852" s="5">
        <v>3520.0</v>
      </c>
      <c r="D2852" s="3">
        <f>IFERROR(__xludf.DUMMYFUNCTION("IFERROR(
IF(REGEXMATCH(LOWER(O2852),""k""),
VALUE(REGEXEXTRACT(O2852,""[0-9]+""))*1000,
VALUE(REGEXEXTRACT(O2852,""[0-9]+""))
),
0
)"),0.0)</f>
        <v>0</v>
      </c>
      <c r="E2852" s="1" t="s">
        <v>11</v>
      </c>
      <c r="F2852" s="1" t="s">
        <v>12</v>
      </c>
      <c r="G2852" s="4" t="b">
        <f t="shared" si="2"/>
        <v>1</v>
      </c>
      <c r="H2852" s="1" t="str">
        <f t="shared" si="3"/>
        <v>Currently Unavailable</v>
      </c>
      <c r="I2852" s="1" t="str">
        <f t="shared" si="4"/>
        <v>No Badges</v>
      </c>
      <c r="J2852" s="3">
        <f t="shared" si="5"/>
        <v>0</v>
      </c>
    </row>
    <row r="2853">
      <c r="A2853" s="1" t="s">
        <v>2244</v>
      </c>
      <c r="B2853" s="3" t="str">
        <f t="shared" si="1"/>
        <v>Unavailable</v>
      </c>
      <c r="C2853" s="3">
        <v>253.0</v>
      </c>
      <c r="D2853" s="3">
        <f>IFERROR(__xludf.DUMMYFUNCTION("IFERROR(
IF(REGEXMATCH(LOWER(O2853),""k""),
VALUE(REGEXEXTRACT(O2853,""[0-9]+""))*1000,
VALUE(REGEXEXTRACT(O2853,""[0-9]+""))
),
0
)"),0.0)</f>
        <v>0</v>
      </c>
      <c r="E2853" s="1" t="s">
        <v>11</v>
      </c>
      <c r="F2853" s="1" t="s">
        <v>20</v>
      </c>
      <c r="G2853" s="4" t="b">
        <f t="shared" si="2"/>
        <v>1</v>
      </c>
      <c r="H2853" s="1" t="str">
        <f t="shared" si="3"/>
        <v>Currently Unavailable</v>
      </c>
      <c r="I2853" s="1" t="str">
        <f t="shared" si="4"/>
        <v>No Badges</v>
      </c>
      <c r="J2853" s="3">
        <f t="shared" si="5"/>
        <v>0</v>
      </c>
    </row>
    <row r="2854">
      <c r="A2854" s="1" t="s">
        <v>1284</v>
      </c>
      <c r="B2854" s="3" t="str">
        <f t="shared" si="1"/>
        <v>Unavailable</v>
      </c>
      <c r="C2854" s="3">
        <v>172.0</v>
      </c>
      <c r="D2854" s="3">
        <f>IFERROR(__xludf.DUMMYFUNCTION("IFERROR(
IF(REGEXMATCH(LOWER(O2854),""k""),
VALUE(REGEXEXTRACT(O2854,""[0-9]+""))*1000,
VALUE(REGEXEXTRACT(O2854,""[0-9]+""))
),
0
)"),0.0)</f>
        <v>0</v>
      </c>
      <c r="E2854" s="1" t="s">
        <v>11</v>
      </c>
      <c r="F2854" s="1" t="s">
        <v>12</v>
      </c>
      <c r="G2854" s="4" t="b">
        <f t="shared" si="2"/>
        <v>1</v>
      </c>
      <c r="H2854" s="1" t="str">
        <f t="shared" si="3"/>
        <v>Currently Unavailable</v>
      </c>
      <c r="I2854" s="1" t="str">
        <f t="shared" si="4"/>
        <v>No Badges</v>
      </c>
      <c r="J2854" s="3">
        <f t="shared" si="5"/>
        <v>0</v>
      </c>
    </row>
    <row r="2855">
      <c r="A2855" s="1" t="s">
        <v>2245</v>
      </c>
      <c r="B2855" s="3" t="str">
        <f t="shared" si="1"/>
        <v>Unavailable</v>
      </c>
      <c r="C2855" s="5">
        <v>3513.0</v>
      </c>
      <c r="D2855" s="3">
        <f>IFERROR(__xludf.DUMMYFUNCTION("IFERROR(
IF(REGEXMATCH(LOWER(O2855),""k""),
VALUE(REGEXEXTRACT(O2855,""[0-9]+""))*1000,
VALUE(REGEXEXTRACT(O2855,""[0-9]+""))
),
0
)"),0.0)</f>
        <v>0</v>
      </c>
      <c r="E2855" s="1" t="s">
        <v>11</v>
      </c>
      <c r="F2855" s="1" t="s">
        <v>20</v>
      </c>
      <c r="G2855" s="4" t="b">
        <f t="shared" si="2"/>
        <v>1</v>
      </c>
      <c r="H2855" s="1" t="str">
        <f t="shared" si="3"/>
        <v>Currently Unavailable</v>
      </c>
      <c r="I2855" s="1" t="str">
        <f t="shared" si="4"/>
        <v>No Badges</v>
      </c>
      <c r="J2855" s="3">
        <f t="shared" si="5"/>
        <v>0</v>
      </c>
    </row>
    <row r="2856">
      <c r="A2856" s="1" t="s">
        <v>2246</v>
      </c>
      <c r="B2856" s="3" t="str">
        <f t="shared" si="1"/>
        <v>Unavailable</v>
      </c>
      <c r="C2856" s="5">
        <v>9195.0</v>
      </c>
      <c r="D2856" s="3">
        <f>IFERROR(__xludf.DUMMYFUNCTION("IFERROR(
IF(REGEXMATCH(LOWER(O2856),""k""),
VALUE(REGEXEXTRACT(O2856,""[0-9]+""))*1000,
VALUE(REGEXEXTRACT(O2856,""[0-9]+""))
),
0
)"),0.0)</f>
        <v>0</v>
      </c>
      <c r="E2856" s="1" t="s">
        <v>158</v>
      </c>
      <c r="F2856" s="1" t="s">
        <v>20</v>
      </c>
      <c r="G2856" s="4" t="b">
        <f t="shared" si="2"/>
        <v>1</v>
      </c>
      <c r="H2856" s="1" t="str">
        <f t="shared" si="3"/>
        <v>Currently Unavailable</v>
      </c>
      <c r="I2856" s="1" t="str">
        <f t="shared" si="4"/>
        <v>No Badges</v>
      </c>
      <c r="J2856" s="3">
        <f t="shared" si="5"/>
        <v>0</v>
      </c>
    </row>
    <row r="2857">
      <c r="A2857" s="1" t="s">
        <v>2247</v>
      </c>
      <c r="B2857" s="3" t="str">
        <f t="shared" si="1"/>
        <v>Unavailable</v>
      </c>
      <c r="C2857" s="5">
        <v>13188.0</v>
      </c>
      <c r="D2857" s="3">
        <f>IFERROR(__xludf.DUMMYFUNCTION("IFERROR(
IF(REGEXMATCH(LOWER(O2857),""k""),
VALUE(REGEXEXTRACT(O2857,""[0-9]+""))*1000,
VALUE(REGEXEXTRACT(O2857,""[0-9]+""))
),
0
)"),0.0)</f>
        <v>0</v>
      </c>
      <c r="E2857" s="1" t="s">
        <v>11</v>
      </c>
      <c r="F2857" s="1" t="s">
        <v>20</v>
      </c>
      <c r="G2857" s="4" t="b">
        <f t="shared" si="2"/>
        <v>1</v>
      </c>
      <c r="H2857" s="1" t="str">
        <f t="shared" si="3"/>
        <v>Currently Unavailable</v>
      </c>
      <c r="I2857" s="1" t="str">
        <f t="shared" si="4"/>
        <v>No Badges</v>
      </c>
      <c r="J2857" s="3">
        <f t="shared" si="5"/>
        <v>0</v>
      </c>
    </row>
    <row r="2858">
      <c r="A2858" s="1" t="s">
        <v>1285</v>
      </c>
      <c r="B2858" s="3" t="str">
        <f t="shared" si="1"/>
        <v>Unavailable</v>
      </c>
      <c r="C2858" s="5">
        <v>3520.0</v>
      </c>
      <c r="D2858" s="3">
        <f>IFERROR(__xludf.DUMMYFUNCTION("IFERROR(
IF(REGEXMATCH(LOWER(O2858),""k""),
VALUE(REGEXEXTRACT(O2858,""[0-9]+""))*1000,
VALUE(REGEXEXTRACT(O2858,""[0-9]+""))
),
0
)"),0.0)</f>
        <v>0</v>
      </c>
      <c r="E2858" s="1" t="s">
        <v>11</v>
      </c>
      <c r="F2858" s="1" t="s">
        <v>12</v>
      </c>
      <c r="G2858" s="4" t="b">
        <f t="shared" si="2"/>
        <v>1</v>
      </c>
      <c r="H2858" s="1" t="str">
        <f t="shared" si="3"/>
        <v>Currently Unavailable</v>
      </c>
      <c r="I2858" s="1" t="str">
        <f t="shared" si="4"/>
        <v>No Badges</v>
      </c>
      <c r="J2858" s="3">
        <f t="shared" si="5"/>
        <v>0</v>
      </c>
    </row>
    <row r="2859">
      <c r="A2859" s="1" t="s">
        <v>1284</v>
      </c>
      <c r="B2859" s="3" t="str">
        <f t="shared" si="1"/>
        <v>Unavailable</v>
      </c>
      <c r="C2859" s="3">
        <v>172.0</v>
      </c>
      <c r="D2859" s="3">
        <f>IFERROR(__xludf.DUMMYFUNCTION("IFERROR(
IF(REGEXMATCH(LOWER(O2859),""k""),
VALUE(REGEXEXTRACT(O2859,""[0-9]+""))*1000,
VALUE(REGEXEXTRACT(O2859,""[0-9]+""))
),
0
)"),0.0)</f>
        <v>0</v>
      </c>
      <c r="E2859" s="1" t="s">
        <v>11</v>
      </c>
      <c r="F2859" s="1" t="s">
        <v>12</v>
      </c>
      <c r="G2859" s="4" t="b">
        <f t="shared" si="2"/>
        <v>1</v>
      </c>
      <c r="H2859" s="1" t="str">
        <f t="shared" si="3"/>
        <v>Currently Unavailable</v>
      </c>
      <c r="I2859" s="1" t="str">
        <f t="shared" si="4"/>
        <v>No Badges</v>
      </c>
      <c r="J2859" s="3">
        <f t="shared" si="5"/>
        <v>0</v>
      </c>
    </row>
    <row r="2860">
      <c r="A2860" s="1" t="s">
        <v>69</v>
      </c>
      <c r="B2860" s="3" t="str">
        <f t="shared" si="1"/>
        <v>Unavailable</v>
      </c>
      <c r="C2860" s="3">
        <v>45.0</v>
      </c>
      <c r="D2860" s="3">
        <f>IFERROR(__xludf.DUMMYFUNCTION("IFERROR(
IF(REGEXMATCH(LOWER(O2860),""k""),
VALUE(REGEXEXTRACT(O2860,""[0-9]+""))*1000,
VALUE(REGEXEXTRACT(O2860,""[0-9]+""))
),
0
)"),0.0)</f>
        <v>0</v>
      </c>
      <c r="E2860" s="1" t="s">
        <v>11</v>
      </c>
      <c r="F2860" s="1" t="s">
        <v>12</v>
      </c>
      <c r="G2860" s="4" t="b">
        <f t="shared" si="2"/>
        <v>1</v>
      </c>
      <c r="H2860" s="1" t="str">
        <f t="shared" si="3"/>
        <v>Currently Unavailable</v>
      </c>
      <c r="I2860" s="1" t="str">
        <f t="shared" si="4"/>
        <v>No Badges</v>
      </c>
      <c r="J2860" s="3">
        <f t="shared" si="5"/>
        <v>0</v>
      </c>
    </row>
    <row r="2861">
      <c r="A2861" s="1" t="s">
        <v>2248</v>
      </c>
      <c r="B2861" s="3" t="str">
        <f t="shared" si="1"/>
        <v>Unavailable</v>
      </c>
      <c r="C2861" s="5">
        <v>2343.0</v>
      </c>
      <c r="D2861" s="3">
        <f>IFERROR(__xludf.DUMMYFUNCTION("IFERROR(
IF(REGEXMATCH(LOWER(O2861),""k""),
VALUE(REGEXEXTRACT(O2861,""[0-9]+""))*1000,
VALUE(REGEXEXTRACT(O2861,""[0-9]+""))
),
0
)"),0.0)</f>
        <v>0</v>
      </c>
      <c r="E2861" s="1" t="s">
        <v>11</v>
      </c>
      <c r="F2861" s="1" t="s">
        <v>20</v>
      </c>
      <c r="G2861" s="4" t="b">
        <f t="shared" si="2"/>
        <v>1</v>
      </c>
      <c r="H2861" s="1" t="str">
        <f t="shared" si="3"/>
        <v>Currently Unavailable</v>
      </c>
      <c r="I2861" s="1" t="str">
        <f t="shared" si="4"/>
        <v>No Badges</v>
      </c>
      <c r="J2861" s="3">
        <f t="shared" si="5"/>
        <v>0</v>
      </c>
    </row>
    <row r="2862">
      <c r="A2862" s="1" t="s">
        <v>2249</v>
      </c>
      <c r="B2862" s="3" t="str">
        <f t="shared" si="1"/>
        <v>Unavailable</v>
      </c>
      <c r="C2862" s="5">
        <v>1064.0</v>
      </c>
      <c r="D2862" s="3">
        <f>IFERROR(__xludf.DUMMYFUNCTION("IFERROR(
IF(REGEXMATCH(LOWER(O2862),""k""),
VALUE(REGEXEXTRACT(O2862,""[0-9]+""))*1000,
VALUE(REGEXEXTRACT(O2862,""[0-9]+""))
),
0
)"),0.0)</f>
        <v>0</v>
      </c>
      <c r="E2862" s="1" t="s">
        <v>11</v>
      </c>
      <c r="F2862" s="1" t="s">
        <v>20</v>
      </c>
      <c r="G2862" s="4" t="b">
        <f t="shared" si="2"/>
        <v>1</v>
      </c>
      <c r="H2862" s="1" t="str">
        <f t="shared" si="3"/>
        <v>Currently Unavailable</v>
      </c>
      <c r="I2862" s="1" t="str">
        <f t="shared" si="4"/>
        <v>No Badges</v>
      </c>
      <c r="J2862" s="3">
        <f t="shared" si="5"/>
        <v>0</v>
      </c>
    </row>
    <row r="2863">
      <c r="A2863" s="1" t="s">
        <v>2250</v>
      </c>
      <c r="B2863" s="3" t="str">
        <f t="shared" si="1"/>
        <v>Unavailable</v>
      </c>
      <c r="C2863" s="5">
        <v>3022.0</v>
      </c>
      <c r="D2863" s="3">
        <f>IFERROR(__xludf.DUMMYFUNCTION("IFERROR(
IF(REGEXMATCH(LOWER(O2863),""k""),
VALUE(REGEXEXTRACT(O2863,""[0-9]+""))*1000,
VALUE(REGEXEXTRACT(O2863,""[0-9]+""))
),
0
)"),0.0)</f>
        <v>0</v>
      </c>
      <c r="E2863" s="1" t="s">
        <v>11</v>
      </c>
      <c r="F2863" s="1" t="s">
        <v>20</v>
      </c>
      <c r="G2863" s="4" t="b">
        <f t="shared" si="2"/>
        <v>1</v>
      </c>
      <c r="H2863" s="1" t="str">
        <f t="shared" si="3"/>
        <v>Currently Unavailable</v>
      </c>
      <c r="I2863" s="1" t="str">
        <f t="shared" si="4"/>
        <v>No Badges</v>
      </c>
      <c r="J2863" s="3">
        <f t="shared" si="5"/>
        <v>0</v>
      </c>
    </row>
    <row r="2864">
      <c r="A2864" s="1" t="s">
        <v>1285</v>
      </c>
      <c r="B2864" s="3" t="str">
        <f t="shared" si="1"/>
        <v>Unavailable</v>
      </c>
      <c r="C2864" s="5">
        <v>3520.0</v>
      </c>
      <c r="D2864" s="3">
        <f>IFERROR(__xludf.DUMMYFUNCTION("IFERROR(
IF(REGEXMATCH(LOWER(O2864),""k""),
VALUE(REGEXEXTRACT(O2864,""[0-9]+""))*1000,
VALUE(REGEXEXTRACT(O2864,""[0-9]+""))
),
0
)"),0.0)</f>
        <v>0</v>
      </c>
      <c r="E2864" s="1" t="s">
        <v>11</v>
      </c>
      <c r="F2864" s="1" t="s">
        <v>12</v>
      </c>
      <c r="G2864" s="4" t="b">
        <f t="shared" si="2"/>
        <v>1</v>
      </c>
      <c r="H2864" s="1" t="str">
        <f t="shared" si="3"/>
        <v>Currently Unavailable</v>
      </c>
      <c r="I2864" s="1" t="str">
        <f t="shared" si="4"/>
        <v>No Badges</v>
      </c>
      <c r="J2864" s="3">
        <f t="shared" si="5"/>
        <v>0</v>
      </c>
    </row>
    <row r="2865">
      <c r="A2865" s="1" t="s">
        <v>1285</v>
      </c>
      <c r="B2865" s="3" t="str">
        <f t="shared" si="1"/>
        <v>Unavailable</v>
      </c>
      <c r="C2865" s="5">
        <v>3520.0</v>
      </c>
      <c r="D2865" s="3">
        <f>IFERROR(__xludf.DUMMYFUNCTION("IFERROR(
IF(REGEXMATCH(LOWER(O2865),""k""),
VALUE(REGEXEXTRACT(O2865,""[0-9]+""))*1000,
VALUE(REGEXEXTRACT(O2865,""[0-9]+""))
),
0
)"),0.0)</f>
        <v>0</v>
      </c>
      <c r="E2865" s="1" t="s">
        <v>11</v>
      </c>
      <c r="F2865" s="1" t="s">
        <v>12</v>
      </c>
      <c r="G2865" s="4" t="b">
        <f t="shared" si="2"/>
        <v>1</v>
      </c>
      <c r="H2865" s="1" t="str">
        <f t="shared" si="3"/>
        <v>Currently Unavailable</v>
      </c>
      <c r="I2865" s="1" t="str">
        <f t="shared" si="4"/>
        <v>No Badges</v>
      </c>
      <c r="J2865" s="3">
        <f t="shared" si="5"/>
        <v>0</v>
      </c>
    </row>
    <row r="2866">
      <c r="A2866" s="1" t="s">
        <v>1284</v>
      </c>
      <c r="B2866" s="3" t="str">
        <f t="shared" si="1"/>
        <v>Unavailable</v>
      </c>
      <c r="C2866" s="3">
        <v>172.0</v>
      </c>
      <c r="D2866" s="3">
        <f>IFERROR(__xludf.DUMMYFUNCTION("IFERROR(
IF(REGEXMATCH(LOWER(O2866),""k""),
VALUE(REGEXEXTRACT(O2866,""[0-9]+""))*1000,
VALUE(REGEXEXTRACT(O2866,""[0-9]+""))
),
0
)"),0.0)</f>
        <v>0</v>
      </c>
      <c r="E2866" s="1" t="s">
        <v>11</v>
      </c>
      <c r="F2866" s="1" t="s">
        <v>12</v>
      </c>
      <c r="G2866" s="4" t="b">
        <f t="shared" si="2"/>
        <v>1</v>
      </c>
      <c r="H2866" s="1" t="str">
        <f t="shared" si="3"/>
        <v>Currently Unavailable</v>
      </c>
      <c r="I2866" s="1" t="str">
        <f t="shared" si="4"/>
        <v>No Badges</v>
      </c>
      <c r="J2866" s="3">
        <f t="shared" si="5"/>
        <v>0</v>
      </c>
    </row>
    <row r="2867">
      <c r="A2867" s="1" t="s">
        <v>2251</v>
      </c>
      <c r="B2867" s="3" t="str">
        <f t="shared" si="1"/>
        <v>Unavailable</v>
      </c>
      <c r="C2867" s="5">
        <v>45906.0</v>
      </c>
      <c r="D2867" s="3">
        <f>IFERROR(__xludf.DUMMYFUNCTION("IFERROR(
IF(REGEXMATCH(LOWER(O2867),""k""),
VALUE(REGEXEXTRACT(O2867,""[0-9]+""))*1000,
VALUE(REGEXEXTRACT(O2867,""[0-9]+""))
),
0
)"),0.0)</f>
        <v>0</v>
      </c>
      <c r="E2867" s="1" t="s">
        <v>11</v>
      </c>
      <c r="F2867" s="1" t="s">
        <v>20</v>
      </c>
      <c r="G2867" s="4" t="b">
        <f t="shared" si="2"/>
        <v>1</v>
      </c>
      <c r="H2867" s="1" t="str">
        <f t="shared" si="3"/>
        <v>Currently Unavailable</v>
      </c>
      <c r="I2867" s="1" t="str">
        <f t="shared" si="4"/>
        <v>No Badges</v>
      </c>
      <c r="J2867" s="3">
        <f t="shared" si="5"/>
        <v>0</v>
      </c>
    </row>
    <row r="2868">
      <c r="A2868" s="1" t="s">
        <v>2252</v>
      </c>
      <c r="B2868" s="3" t="str">
        <f t="shared" si="1"/>
        <v>Unavailable</v>
      </c>
      <c r="C2868" s="5">
        <v>4796.0</v>
      </c>
      <c r="D2868" s="3">
        <f>IFERROR(__xludf.DUMMYFUNCTION("IFERROR(
IF(REGEXMATCH(LOWER(O2868),""k""),
VALUE(REGEXEXTRACT(O2868,""[0-9]+""))*1000,
VALUE(REGEXEXTRACT(O2868,""[0-9]+""))
),
0
)"),0.0)</f>
        <v>0</v>
      </c>
      <c r="E2868" s="1" t="s">
        <v>11</v>
      </c>
      <c r="F2868" s="1" t="s">
        <v>20</v>
      </c>
      <c r="G2868" s="4" t="b">
        <f t="shared" si="2"/>
        <v>1</v>
      </c>
      <c r="H2868" s="1" t="str">
        <f t="shared" si="3"/>
        <v>Currently Unavailable</v>
      </c>
      <c r="I2868" s="1" t="str">
        <f t="shared" si="4"/>
        <v>No Badges</v>
      </c>
      <c r="J2868" s="3">
        <f t="shared" si="5"/>
        <v>0</v>
      </c>
    </row>
    <row r="2869">
      <c r="A2869" s="1" t="s">
        <v>1284</v>
      </c>
      <c r="B2869" s="3" t="str">
        <f t="shared" si="1"/>
        <v>Unavailable</v>
      </c>
      <c r="C2869" s="3">
        <v>172.0</v>
      </c>
      <c r="D2869" s="3">
        <f>IFERROR(__xludf.DUMMYFUNCTION("IFERROR(
IF(REGEXMATCH(LOWER(O2869),""k""),
VALUE(REGEXEXTRACT(O2869,""[0-9]+""))*1000,
VALUE(REGEXEXTRACT(O2869,""[0-9]+""))
),
0
)"),0.0)</f>
        <v>0</v>
      </c>
      <c r="E2869" s="1" t="s">
        <v>11</v>
      </c>
      <c r="F2869" s="1" t="s">
        <v>12</v>
      </c>
      <c r="G2869" s="4" t="b">
        <f t="shared" si="2"/>
        <v>1</v>
      </c>
      <c r="H2869" s="1" t="str">
        <f t="shared" si="3"/>
        <v>Currently Unavailable</v>
      </c>
      <c r="I2869" s="1" t="str">
        <f t="shared" si="4"/>
        <v>No Badges</v>
      </c>
      <c r="J2869" s="3">
        <f t="shared" si="5"/>
        <v>0</v>
      </c>
    </row>
    <row r="2870">
      <c r="A2870" s="1" t="s">
        <v>1285</v>
      </c>
      <c r="B2870" s="3" t="str">
        <f t="shared" si="1"/>
        <v>Unavailable</v>
      </c>
      <c r="C2870" s="5">
        <v>3520.0</v>
      </c>
      <c r="D2870" s="3">
        <f>IFERROR(__xludf.DUMMYFUNCTION("IFERROR(
IF(REGEXMATCH(LOWER(O2870),""k""),
VALUE(REGEXEXTRACT(O2870,""[0-9]+""))*1000,
VALUE(REGEXEXTRACT(O2870,""[0-9]+""))
),
0
)"),0.0)</f>
        <v>0</v>
      </c>
      <c r="E2870" s="1" t="s">
        <v>11</v>
      </c>
      <c r="F2870" s="1" t="s">
        <v>12</v>
      </c>
      <c r="G2870" s="4" t="b">
        <f t="shared" si="2"/>
        <v>1</v>
      </c>
      <c r="H2870" s="1" t="str">
        <f t="shared" si="3"/>
        <v>Currently Unavailable</v>
      </c>
      <c r="I2870" s="1" t="str">
        <f t="shared" si="4"/>
        <v>No Badges</v>
      </c>
      <c r="J2870" s="3">
        <f t="shared" si="5"/>
        <v>0</v>
      </c>
    </row>
    <row r="2871">
      <c r="A2871" s="1" t="s">
        <v>1284</v>
      </c>
      <c r="B2871" s="3" t="str">
        <f t="shared" si="1"/>
        <v>Unavailable</v>
      </c>
      <c r="C2871" s="3">
        <v>172.0</v>
      </c>
      <c r="D2871" s="3">
        <f>IFERROR(__xludf.DUMMYFUNCTION("IFERROR(
IF(REGEXMATCH(LOWER(O2871),""k""),
VALUE(REGEXEXTRACT(O2871,""[0-9]+""))*1000,
VALUE(REGEXEXTRACT(O2871,""[0-9]+""))
),
0
)"),0.0)</f>
        <v>0</v>
      </c>
      <c r="E2871" s="1" t="s">
        <v>11</v>
      </c>
      <c r="F2871" s="1" t="s">
        <v>12</v>
      </c>
      <c r="G2871" s="4" t="b">
        <f t="shared" si="2"/>
        <v>1</v>
      </c>
      <c r="H2871" s="1" t="str">
        <f t="shared" si="3"/>
        <v>Currently Unavailable</v>
      </c>
      <c r="I2871" s="1" t="str">
        <f t="shared" si="4"/>
        <v>No Badges</v>
      </c>
      <c r="J2871" s="3">
        <f t="shared" si="5"/>
        <v>0</v>
      </c>
    </row>
    <row r="2872">
      <c r="A2872" s="1" t="s">
        <v>2253</v>
      </c>
      <c r="B2872" s="3" t="str">
        <f t="shared" si="1"/>
        <v>Unavailable</v>
      </c>
      <c r="C2872" s="5">
        <v>14267.0</v>
      </c>
      <c r="D2872" s="3">
        <f>IFERROR(__xludf.DUMMYFUNCTION("IFERROR(
IF(REGEXMATCH(LOWER(O2872),""k""),
VALUE(REGEXEXTRACT(O2872,""[0-9]+""))*1000,
VALUE(REGEXEXTRACT(O2872,""[0-9]+""))
),
0
)"),0.0)</f>
        <v>0</v>
      </c>
      <c r="E2872" s="1" t="s">
        <v>11</v>
      </c>
      <c r="F2872" s="1" t="s">
        <v>20</v>
      </c>
      <c r="G2872" s="4" t="b">
        <f t="shared" si="2"/>
        <v>1</v>
      </c>
      <c r="H2872" s="1" t="str">
        <f t="shared" si="3"/>
        <v>Currently Unavailable</v>
      </c>
      <c r="I2872" s="1" t="str">
        <f t="shared" si="4"/>
        <v>No Badges</v>
      </c>
      <c r="J2872" s="3">
        <f t="shared" si="5"/>
        <v>0</v>
      </c>
    </row>
    <row r="2873">
      <c r="A2873" s="1" t="s">
        <v>67</v>
      </c>
      <c r="B2873" s="3" t="str">
        <f t="shared" si="1"/>
        <v>Unavailable</v>
      </c>
      <c r="C2873" s="3">
        <v>264.0</v>
      </c>
      <c r="D2873" s="3">
        <f>IFERROR(__xludf.DUMMYFUNCTION("IFERROR(
IF(REGEXMATCH(LOWER(O2873),""k""),
VALUE(REGEXEXTRACT(O2873,""[0-9]+""))*1000,
VALUE(REGEXEXTRACT(O2873,""[0-9]+""))
),
0
)"),0.0)</f>
        <v>0</v>
      </c>
      <c r="E2873" s="1" t="s">
        <v>11</v>
      </c>
      <c r="F2873" s="1" t="s">
        <v>12</v>
      </c>
      <c r="G2873" s="4" t="b">
        <f t="shared" si="2"/>
        <v>1</v>
      </c>
      <c r="H2873" s="1" t="str">
        <f t="shared" si="3"/>
        <v>Currently Unavailable</v>
      </c>
      <c r="I2873" s="1" t="str">
        <f t="shared" si="4"/>
        <v>No Badges</v>
      </c>
      <c r="J2873" s="3">
        <f t="shared" si="5"/>
        <v>0</v>
      </c>
    </row>
    <row r="2874">
      <c r="A2874" s="1" t="s">
        <v>2254</v>
      </c>
      <c r="B2874" s="3" t="str">
        <f t="shared" si="1"/>
        <v>Unavailable</v>
      </c>
      <c r="C2874" s="5">
        <v>2929.0</v>
      </c>
      <c r="D2874" s="3">
        <f>IFERROR(__xludf.DUMMYFUNCTION("IFERROR(
IF(REGEXMATCH(LOWER(O2874),""k""),
VALUE(REGEXEXTRACT(O2874,""[0-9]+""))*1000,
VALUE(REGEXEXTRACT(O2874,""[0-9]+""))
),
0
)"),0.0)</f>
        <v>0</v>
      </c>
      <c r="E2874" s="1" t="s">
        <v>11</v>
      </c>
      <c r="F2874" s="1" t="s">
        <v>20</v>
      </c>
      <c r="G2874" s="4" t="b">
        <f t="shared" si="2"/>
        <v>1</v>
      </c>
      <c r="H2874" s="1" t="str">
        <f t="shared" si="3"/>
        <v>Currently Unavailable</v>
      </c>
      <c r="I2874" s="1" t="str">
        <f t="shared" si="4"/>
        <v>No Badges</v>
      </c>
      <c r="J2874" s="3">
        <f t="shared" si="5"/>
        <v>0</v>
      </c>
    </row>
    <row r="2875">
      <c r="A2875" s="1" t="s">
        <v>701</v>
      </c>
      <c r="B2875" s="3" t="str">
        <f t="shared" si="1"/>
        <v>Unavailable</v>
      </c>
      <c r="C2875" s="3">
        <v>8.0</v>
      </c>
      <c r="D2875" s="3">
        <f>IFERROR(__xludf.DUMMYFUNCTION("IFERROR(
IF(REGEXMATCH(LOWER(O2875),""k""),
VALUE(REGEXEXTRACT(O2875,""[0-9]+""))*1000,
VALUE(REGEXEXTRACT(O2875,""[0-9]+""))
),
0
)"),0.0)</f>
        <v>0</v>
      </c>
      <c r="E2875" s="1" t="s">
        <v>11</v>
      </c>
      <c r="F2875" s="1" t="s">
        <v>12</v>
      </c>
      <c r="G2875" s="4" t="b">
        <f t="shared" si="2"/>
        <v>1</v>
      </c>
      <c r="H2875" s="1" t="str">
        <f t="shared" si="3"/>
        <v>Currently Unavailable</v>
      </c>
      <c r="I2875" s="1" t="str">
        <f t="shared" si="4"/>
        <v>No Badges</v>
      </c>
      <c r="J2875" s="3">
        <f t="shared" si="5"/>
        <v>0</v>
      </c>
    </row>
    <row r="2876">
      <c r="A2876" s="1" t="s">
        <v>2255</v>
      </c>
      <c r="B2876" s="3" t="str">
        <f t="shared" si="1"/>
        <v>Unavailable</v>
      </c>
      <c r="C2876" s="3">
        <v>662.0</v>
      </c>
      <c r="D2876" s="3">
        <f>IFERROR(__xludf.DUMMYFUNCTION("IFERROR(
IF(REGEXMATCH(LOWER(O2876),""k""),
VALUE(REGEXEXTRACT(O2876,""[0-9]+""))*1000,
VALUE(REGEXEXTRACT(O2876,""[0-9]+""))
),
0
)"),0.0)</f>
        <v>0</v>
      </c>
      <c r="E2876" s="1" t="s">
        <v>11</v>
      </c>
      <c r="F2876" s="1" t="s">
        <v>20</v>
      </c>
      <c r="G2876" s="4" t="b">
        <f t="shared" si="2"/>
        <v>1</v>
      </c>
      <c r="H2876" s="1" t="str">
        <f t="shared" si="3"/>
        <v>Currently Unavailable</v>
      </c>
      <c r="I2876" s="1" t="str">
        <f t="shared" si="4"/>
        <v>No Badges</v>
      </c>
      <c r="J2876" s="3">
        <f t="shared" si="5"/>
        <v>0</v>
      </c>
    </row>
    <row r="2877">
      <c r="A2877" s="1" t="s">
        <v>1284</v>
      </c>
      <c r="B2877" s="3" t="str">
        <f t="shared" si="1"/>
        <v>Unavailable</v>
      </c>
      <c r="C2877" s="3">
        <v>172.0</v>
      </c>
      <c r="D2877" s="3">
        <f>IFERROR(__xludf.DUMMYFUNCTION("IFERROR(
IF(REGEXMATCH(LOWER(O2877),""k""),
VALUE(REGEXEXTRACT(O2877,""[0-9]+""))*1000,
VALUE(REGEXEXTRACT(O2877,""[0-9]+""))
),
0
)"),0.0)</f>
        <v>0</v>
      </c>
      <c r="E2877" s="1" t="s">
        <v>11</v>
      </c>
      <c r="F2877" s="1" t="s">
        <v>12</v>
      </c>
      <c r="G2877" s="4" t="b">
        <f t="shared" si="2"/>
        <v>1</v>
      </c>
      <c r="H2877" s="1" t="str">
        <f t="shared" si="3"/>
        <v>Currently Unavailable</v>
      </c>
      <c r="I2877" s="1" t="str">
        <f t="shared" si="4"/>
        <v>No Badges</v>
      </c>
      <c r="J2877" s="3">
        <f t="shared" si="5"/>
        <v>0</v>
      </c>
    </row>
    <row r="2878">
      <c r="A2878" s="1" t="s">
        <v>2256</v>
      </c>
      <c r="B2878" s="3" t="str">
        <f t="shared" si="1"/>
        <v>Unavailable</v>
      </c>
      <c r="C2878" s="5">
        <v>3108.0</v>
      </c>
      <c r="D2878" s="3">
        <f>IFERROR(__xludf.DUMMYFUNCTION("IFERROR(
IF(REGEXMATCH(LOWER(O2878),""k""),
VALUE(REGEXEXTRACT(O2878,""[0-9]+""))*1000,
VALUE(REGEXEXTRACT(O2878,""[0-9]+""))
),
0
)"),0.0)</f>
        <v>0</v>
      </c>
      <c r="E2878" s="1" t="s">
        <v>11</v>
      </c>
      <c r="F2878" s="1" t="s">
        <v>20</v>
      </c>
      <c r="G2878" s="4" t="b">
        <f t="shared" si="2"/>
        <v>1</v>
      </c>
      <c r="H2878" s="1" t="str">
        <f t="shared" si="3"/>
        <v>Currently Unavailable</v>
      </c>
      <c r="I2878" s="1" t="str">
        <f t="shared" si="4"/>
        <v>No Badges</v>
      </c>
      <c r="J2878" s="3">
        <f t="shared" si="5"/>
        <v>0</v>
      </c>
    </row>
    <row r="2879">
      <c r="A2879" s="1" t="s">
        <v>1279</v>
      </c>
      <c r="B2879" s="3" t="str">
        <f t="shared" si="1"/>
        <v>Unavailable</v>
      </c>
      <c r="C2879" s="3">
        <v>65.0</v>
      </c>
      <c r="D2879" s="3">
        <f>IFERROR(__xludf.DUMMYFUNCTION("IFERROR(
IF(REGEXMATCH(LOWER(O2879),""k""),
VALUE(REGEXEXTRACT(O2879,""[0-9]+""))*1000,
VALUE(REGEXEXTRACT(O2879,""[0-9]+""))
),
0
)"),0.0)</f>
        <v>0</v>
      </c>
      <c r="E2879" s="1" t="s">
        <v>11</v>
      </c>
      <c r="F2879" s="1" t="s">
        <v>12</v>
      </c>
      <c r="G2879" s="4" t="b">
        <f t="shared" si="2"/>
        <v>1</v>
      </c>
      <c r="H2879" s="1" t="str">
        <f t="shared" si="3"/>
        <v>Currently Unavailable</v>
      </c>
      <c r="I2879" s="1" t="str">
        <f t="shared" si="4"/>
        <v>No Badges</v>
      </c>
      <c r="J2879" s="3">
        <f t="shared" si="5"/>
        <v>0</v>
      </c>
    </row>
    <row r="2880">
      <c r="A2880" s="1" t="s">
        <v>2257</v>
      </c>
      <c r="B2880" s="3" t="str">
        <f t="shared" si="1"/>
        <v>Unavailable</v>
      </c>
      <c r="C2880" s="5">
        <v>9521.0</v>
      </c>
      <c r="D2880" s="3">
        <f>IFERROR(__xludf.DUMMYFUNCTION("IFERROR(
IF(REGEXMATCH(LOWER(O2880),""k""),
VALUE(REGEXEXTRACT(O2880,""[0-9]+""))*1000,
VALUE(REGEXEXTRACT(O2880,""[0-9]+""))
),
0
)"),0.0)</f>
        <v>0</v>
      </c>
      <c r="E2880" s="1" t="s">
        <v>158</v>
      </c>
      <c r="F2880" s="1" t="s">
        <v>20</v>
      </c>
      <c r="G2880" s="4" t="b">
        <f t="shared" si="2"/>
        <v>1</v>
      </c>
      <c r="H2880" s="1" t="str">
        <f t="shared" si="3"/>
        <v>Currently Unavailable</v>
      </c>
      <c r="I2880" s="1" t="str">
        <f t="shared" si="4"/>
        <v>No Badges</v>
      </c>
      <c r="J2880" s="3">
        <f t="shared" si="5"/>
        <v>0</v>
      </c>
    </row>
    <row r="2881">
      <c r="A2881" s="1" t="s">
        <v>2258</v>
      </c>
      <c r="B2881" s="3" t="str">
        <f t="shared" si="1"/>
        <v>Unavailable</v>
      </c>
      <c r="C2881" s="5">
        <v>29933.0</v>
      </c>
      <c r="D2881" s="3">
        <f>IFERROR(__xludf.DUMMYFUNCTION("IFERROR(
IF(REGEXMATCH(LOWER(O2881),""k""),
VALUE(REGEXEXTRACT(O2881,""[0-9]+""))*1000,
VALUE(REGEXEXTRACT(O2881,""[0-9]+""))
),
0
)"),0.0)</f>
        <v>0</v>
      </c>
      <c r="E2881" s="1" t="s">
        <v>11</v>
      </c>
      <c r="F2881" s="1" t="s">
        <v>20</v>
      </c>
      <c r="G2881" s="4" t="b">
        <f t="shared" si="2"/>
        <v>1</v>
      </c>
      <c r="H2881" s="1" t="str">
        <f t="shared" si="3"/>
        <v>Currently Unavailable</v>
      </c>
      <c r="I2881" s="1" t="str">
        <f t="shared" si="4"/>
        <v>No Badges</v>
      </c>
      <c r="J2881" s="3">
        <f t="shared" si="5"/>
        <v>0</v>
      </c>
    </row>
    <row r="2882">
      <c r="A2882" s="1" t="s">
        <v>1285</v>
      </c>
      <c r="B2882" s="3" t="str">
        <f t="shared" si="1"/>
        <v>Unavailable</v>
      </c>
      <c r="C2882" s="5">
        <v>3520.0</v>
      </c>
      <c r="D2882" s="3">
        <f>IFERROR(__xludf.DUMMYFUNCTION("IFERROR(
IF(REGEXMATCH(LOWER(O2882),""k""),
VALUE(REGEXEXTRACT(O2882,""[0-9]+""))*1000,
VALUE(REGEXEXTRACT(O2882,""[0-9]+""))
),
0
)"),0.0)</f>
        <v>0</v>
      </c>
      <c r="E2882" s="1" t="s">
        <v>11</v>
      </c>
      <c r="F2882" s="1" t="s">
        <v>12</v>
      </c>
      <c r="G2882" s="4" t="b">
        <f t="shared" si="2"/>
        <v>1</v>
      </c>
      <c r="H2882" s="1" t="str">
        <f t="shared" si="3"/>
        <v>Currently Unavailable</v>
      </c>
      <c r="I2882" s="1" t="str">
        <f t="shared" si="4"/>
        <v>No Badges</v>
      </c>
      <c r="J2882" s="3">
        <f t="shared" si="5"/>
        <v>0</v>
      </c>
    </row>
    <row r="2883">
      <c r="A2883" s="1" t="s">
        <v>2259</v>
      </c>
      <c r="B2883" s="3" t="str">
        <f t="shared" si="1"/>
        <v>Unavailable</v>
      </c>
      <c r="C2883" s="5">
        <v>1313.0</v>
      </c>
      <c r="D2883" s="3">
        <f>IFERROR(__xludf.DUMMYFUNCTION("IFERROR(
IF(REGEXMATCH(LOWER(O2883),""k""),
VALUE(REGEXEXTRACT(O2883,""[0-9]+""))*1000,
VALUE(REGEXEXTRACT(O2883,""[0-9]+""))
),
0
)"),0.0)</f>
        <v>0</v>
      </c>
      <c r="E2883" s="1" t="s">
        <v>11</v>
      </c>
      <c r="F2883" s="1" t="s">
        <v>20</v>
      </c>
      <c r="G2883" s="4" t="b">
        <f t="shared" si="2"/>
        <v>1</v>
      </c>
      <c r="H2883" s="1" t="str">
        <f t="shared" si="3"/>
        <v>Currently Unavailable</v>
      </c>
      <c r="I2883" s="1" t="str">
        <f t="shared" si="4"/>
        <v>No Badges</v>
      </c>
      <c r="J2883" s="3">
        <f t="shared" si="5"/>
        <v>0</v>
      </c>
    </row>
    <row r="2884">
      <c r="A2884" s="1" t="s">
        <v>2260</v>
      </c>
      <c r="B2884" s="3" t="str">
        <f t="shared" si="1"/>
        <v>Unavailable</v>
      </c>
      <c r="C2884" s="5">
        <v>8459.0</v>
      </c>
      <c r="D2884" s="3">
        <f>IFERROR(__xludf.DUMMYFUNCTION("IFERROR(
IF(REGEXMATCH(LOWER(O2884),""k""),
VALUE(REGEXEXTRACT(O2884,""[0-9]+""))*1000,
VALUE(REGEXEXTRACT(O2884,""[0-9]+""))
),
0
)"),0.0)</f>
        <v>0</v>
      </c>
      <c r="E2884" s="1" t="s">
        <v>11</v>
      </c>
      <c r="F2884" s="1" t="s">
        <v>20</v>
      </c>
      <c r="G2884" s="4" t="b">
        <f t="shared" si="2"/>
        <v>1</v>
      </c>
      <c r="H2884" s="1" t="str">
        <f t="shared" si="3"/>
        <v>Currently Unavailable</v>
      </c>
      <c r="I2884" s="1" t="str">
        <f t="shared" si="4"/>
        <v>No Badges</v>
      </c>
      <c r="J2884" s="3">
        <f t="shared" si="5"/>
        <v>0</v>
      </c>
    </row>
    <row r="2885">
      <c r="A2885" s="1" t="s">
        <v>1284</v>
      </c>
      <c r="B2885" s="3" t="str">
        <f t="shared" si="1"/>
        <v>Unavailable</v>
      </c>
      <c r="C2885" s="3">
        <v>172.0</v>
      </c>
      <c r="D2885" s="3">
        <f>IFERROR(__xludf.DUMMYFUNCTION("IFERROR(
IF(REGEXMATCH(LOWER(O2885),""k""),
VALUE(REGEXEXTRACT(O2885,""[0-9]+""))*1000,
VALUE(REGEXEXTRACT(O2885,""[0-9]+""))
),
0
)"),0.0)</f>
        <v>0</v>
      </c>
      <c r="E2885" s="1" t="s">
        <v>11</v>
      </c>
      <c r="F2885" s="1" t="s">
        <v>12</v>
      </c>
      <c r="G2885" s="4" t="b">
        <f t="shared" si="2"/>
        <v>1</v>
      </c>
      <c r="H2885" s="1" t="str">
        <f t="shared" si="3"/>
        <v>Currently Unavailable</v>
      </c>
      <c r="I2885" s="1" t="str">
        <f t="shared" si="4"/>
        <v>No Badges</v>
      </c>
      <c r="J2885" s="3">
        <f t="shared" si="5"/>
        <v>0</v>
      </c>
    </row>
    <row r="2886">
      <c r="A2886" s="1" t="s">
        <v>2261</v>
      </c>
      <c r="B2886" s="3" t="str">
        <f t="shared" si="1"/>
        <v>Unavailable</v>
      </c>
      <c r="C2886" s="5">
        <v>16151.0</v>
      </c>
      <c r="D2886" s="3">
        <f>IFERROR(__xludf.DUMMYFUNCTION("IFERROR(
IF(REGEXMATCH(LOWER(O2886),""k""),
VALUE(REGEXEXTRACT(O2886,""[0-9]+""))*1000,
VALUE(REGEXEXTRACT(O2886,""[0-9]+""))
),
0
)"),0.0)</f>
        <v>0</v>
      </c>
      <c r="E2886" s="1" t="s">
        <v>11</v>
      </c>
      <c r="F2886" s="1" t="s">
        <v>20</v>
      </c>
      <c r="G2886" s="4" t="b">
        <f t="shared" si="2"/>
        <v>1</v>
      </c>
      <c r="H2886" s="1" t="str">
        <f t="shared" si="3"/>
        <v>Currently Unavailable</v>
      </c>
      <c r="I2886" s="1" t="str">
        <f t="shared" si="4"/>
        <v>No Badges</v>
      </c>
      <c r="J2886" s="3">
        <f t="shared" si="5"/>
        <v>0</v>
      </c>
    </row>
    <row r="2887">
      <c r="A2887" s="1" t="s">
        <v>2262</v>
      </c>
      <c r="B2887" s="3" t="str">
        <f t="shared" si="1"/>
        <v>Unavailable</v>
      </c>
      <c r="C2887" s="5">
        <v>5056.0</v>
      </c>
      <c r="D2887" s="3">
        <f>IFERROR(__xludf.DUMMYFUNCTION("IFERROR(
IF(REGEXMATCH(LOWER(O2887),""k""),
VALUE(REGEXEXTRACT(O2887,""[0-9]+""))*1000,
VALUE(REGEXEXTRACT(O2887,""[0-9]+""))
),
0
)"),0.0)</f>
        <v>0</v>
      </c>
      <c r="E2887" s="1" t="s">
        <v>11</v>
      </c>
      <c r="F2887" s="1" t="s">
        <v>20</v>
      </c>
      <c r="G2887" s="4" t="b">
        <f t="shared" si="2"/>
        <v>1</v>
      </c>
      <c r="H2887" s="1" t="str">
        <f t="shared" si="3"/>
        <v>Currently Unavailable</v>
      </c>
      <c r="I2887" s="1" t="str">
        <f t="shared" si="4"/>
        <v>No Badges</v>
      </c>
      <c r="J2887" s="3">
        <f t="shared" si="5"/>
        <v>0</v>
      </c>
    </row>
    <row r="2888">
      <c r="A2888" s="1" t="s">
        <v>1285</v>
      </c>
      <c r="B2888" s="3" t="str">
        <f t="shared" si="1"/>
        <v>Unavailable</v>
      </c>
      <c r="C2888" s="5">
        <v>3520.0</v>
      </c>
      <c r="D2888" s="3">
        <f>IFERROR(__xludf.DUMMYFUNCTION("IFERROR(
IF(REGEXMATCH(LOWER(O2888),""k""),
VALUE(REGEXEXTRACT(O2888,""[0-9]+""))*1000,
VALUE(REGEXEXTRACT(O2888,""[0-9]+""))
),
0
)"),0.0)</f>
        <v>0</v>
      </c>
      <c r="E2888" s="1" t="s">
        <v>11</v>
      </c>
      <c r="F2888" s="1" t="s">
        <v>12</v>
      </c>
      <c r="G2888" s="4" t="b">
        <f t="shared" si="2"/>
        <v>1</v>
      </c>
      <c r="H2888" s="1" t="str">
        <f t="shared" si="3"/>
        <v>Currently Unavailable</v>
      </c>
      <c r="I2888" s="1" t="str">
        <f t="shared" si="4"/>
        <v>No Badges</v>
      </c>
      <c r="J2888" s="3">
        <f t="shared" si="5"/>
        <v>0</v>
      </c>
    </row>
    <row r="2889">
      <c r="A2889" s="1" t="s">
        <v>1285</v>
      </c>
      <c r="B2889" s="3" t="str">
        <f t="shared" si="1"/>
        <v>Unavailable</v>
      </c>
      <c r="C2889" s="5">
        <v>3520.0</v>
      </c>
      <c r="D2889" s="3">
        <f>IFERROR(__xludf.DUMMYFUNCTION("IFERROR(
IF(REGEXMATCH(LOWER(O2889),""k""),
VALUE(REGEXEXTRACT(O2889,""[0-9]+""))*1000,
VALUE(REGEXEXTRACT(O2889,""[0-9]+""))
),
0
)"),0.0)</f>
        <v>0</v>
      </c>
      <c r="E2889" s="1" t="s">
        <v>11</v>
      </c>
      <c r="F2889" s="1" t="s">
        <v>12</v>
      </c>
      <c r="G2889" s="4" t="b">
        <f t="shared" si="2"/>
        <v>1</v>
      </c>
      <c r="H2889" s="1" t="str">
        <f t="shared" si="3"/>
        <v>Currently Unavailable</v>
      </c>
      <c r="I2889" s="1" t="str">
        <f t="shared" si="4"/>
        <v>No Badges</v>
      </c>
      <c r="J2889" s="3">
        <f t="shared" si="5"/>
        <v>0</v>
      </c>
    </row>
    <row r="2890">
      <c r="A2890" s="1" t="s">
        <v>88</v>
      </c>
      <c r="B2890" s="3" t="str">
        <f t="shared" si="1"/>
        <v>Unavailable</v>
      </c>
      <c r="C2890" s="3">
        <v>5.0</v>
      </c>
      <c r="D2890" s="3">
        <f>IFERROR(__xludf.DUMMYFUNCTION("IFERROR(
IF(REGEXMATCH(LOWER(O2890),""k""),
VALUE(REGEXEXTRACT(O2890,""[0-9]+""))*1000,
VALUE(REGEXEXTRACT(O2890,""[0-9]+""))
),
0
)"),0.0)</f>
        <v>0</v>
      </c>
      <c r="E2890" s="1" t="s">
        <v>11</v>
      </c>
      <c r="F2890" s="1" t="s">
        <v>12</v>
      </c>
      <c r="G2890" s="4" t="b">
        <f t="shared" si="2"/>
        <v>1</v>
      </c>
      <c r="H2890" s="1" t="str">
        <f t="shared" si="3"/>
        <v>Currently Unavailable</v>
      </c>
      <c r="I2890" s="1" t="str">
        <f t="shared" si="4"/>
        <v>No Badges</v>
      </c>
      <c r="J2890" s="3">
        <f t="shared" si="5"/>
        <v>0</v>
      </c>
    </row>
    <row r="2891">
      <c r="A2891" s="1" t="s">
        <v>1284</v>
      </c>
      <c r="B2891" s="3" t="str">
        <f t="shared" si="1"/>
        <v>Unavailable</v>
      </c>
      <c r="C2891" s="3">
        <v>172.0</v>
      </c>
      <c r="D2891" s="3">
        <f>IFERROR(__xludf.DUMMYFUNCTION("IFERROR(
IF(REGEXMATCH(LOWER(O2891),""k""),
VALUE(REGEXEXTRACT(O2891,""[0-9]+""))*1000,
VALUE(REGEXEXTRACT(O2891,""[0-9]+""))
),
0
)"),0.0)</f>
        <v>0</v>
      </c>
      <c r="E2891" s="1" t="s">
        <v>11</v>
      </c>
      <c r="F2891" s="1" t="s">
        <v>12</v>
      </c>
      <c r="G2891" s="4" t="b">
        <f t="shared" si="2"/>
        <v>1</v>
      </c>
      <c r="H2891" s="1" t="str">
        <f t="shared" si="3"/>
        <v>Currently Unavailable</v>
      </c>
      <c r="I2891" s="1" t="str">
        <f t="shared" si="4"/>
        <v>No Badges</v>
      </c>
      <c r="J2891" s="3">
        <f t="shared" si="5"/>
        <v>0</v>
      </c>
    </row>
    <row r="2892">
      <c r="A2892" s="1" t="s">
        <v>1284</v>
      </c>
      <c r="B2892" s="3" t="str">
        <f t="shared" si="1"/>
        <v>Unavailable</v>
      </c>
      <c r="C2892" s="3">
        <v>172.0</v>
      </c>
      <c r="D2892" s="3">
        <f>IFERROR(__xludf.DUMMYFUNCTION("IFERROR(
IF(REGEXMATCH(LOWER(O2892),""k""),
VALUE(REGEXEXTRACT(O2892,""[0-9]+""))*1000,
VALUE(REGEXEXTRACT(O2892,""[0-9]+""))
),
0
)"),0.0)</f>
        <v>0</v>
      </c>
      <c r="E2892" s="1" t="s">
        <v>11</v>
      </c>
      <c r="F2892" s="1" t="s">
        <v>12</v>
      </c>
      <c r="G2892" s="4" t="b">
        <f t="shared" si="2"/>
        <v>1</v>
      </c>
      <c r="H2892" s="1" t="str">
        <f t="shared" si="3"/>
        <v>Currently Unavailable</v>
      </c>
      <c r="I2892" s="1" t="str">
        <f t="shared" si="4"/>
        <v>No Badges</v>
      </c>
      <c r="J2892" s="3">
        <f t="shared" si="5"/>
        <v>0</v>
      </c>
    </row>
    <row r="2893">
      <c r="A2893" s="1" t="s">
        <v>69</v>
      </c>
      <c r="B2893" s="3" t="str">
        <f t="shared" si="1"/>
        <v>Unavailable</v>
      </c>
      <c r="C2893" s="3">
        <v>45.0</v>
      </c>
      <c r="D2893" s="3">
        <f>IFERROR(__xludf.DUMMYFUNCTION("IFERROR(
IF(REGEXMATCH(LOWER(O2893),""k""),
VALUE(REGEXEXTRACT(O2893,""[0-9]+""))*1000,
VALUE(REGEXEXTRACT(O2893,""[0-9]+""))
),
0
)"),0.0)</f>
        <v>0</v>
      </c>
      <c r="E2893" s="1" t="s">
        <v>11</v>
      </c>
      <c r="F2893" s="1" t="s">
        <v>12</v>
      </c>
      <c r="G2893" s="4" t="b">
        <f t="shared" si="2"/>
        <v>1</v>
      </c>
      <c r="H2893" s="1" t="str">
        <f t="shared" si="3"/>
        <v>Currently Unavailable</v>
      </c>
      <c r="I2893" s="1" t="str">
        <f t="shared" si="4"/>
        <v>No Badges</v>
      </c>
      <c r="J2893" s="3">
        <f t="shared" si="5"/>
        <v>0</v>
      </c>
    </row>
    <row r="2894">
      <c r="A2894" s="1" t="s">
        <v>2263</v>
      </c>
      <c r="B2894" s="3" t="str">
        <f t="shared" si="1"/>
        <v>Unavailable</v>
      </c>
      <c r="C2894" s="5">
        <v>4895.0</v>
      </c>
      <c r="D2894" s="3">
        <f>IFERROR(__xludf.DUMMYFUNCTION("IFERROR(
IF(REGEXMATCH(LOWER(O2894),""k""),
VALUE(REGEXEXTRACT(O2894,""[0-9]+""))*1000,
VALUE(REGEXEXTRACT(O2894,""[0-9]+""))
),
0
)"),0.0)</f>
        <v>0</v>
      </c>
      <c r="E2894" s="1" t="s">
        <v>11</v>
      </c>
      <c r="F2894" s="1" t="s">
        <v>20</v>
      </c>
      <c r="G2894" s="4" t="b">
        <f t="shared" si="2"/>
        <v>1</v>
      </c>
      <c r="H2894" s="1" t="str">
        <f t="shared" si="3"/>
        <v>Currently Unavailable</v>
      </c>
      <c r="I2894" s="1" t="str">
        <f t="shared" si="4"/>
        <v>No Badges</v>
      </c>
      <c r="J2894" s="3">
        <f t="shared" si="5"/>
        <v>0</v>
      </c>
    </row>
    <row r="2895">
      <c r="A2895" s="1" t="s">
        <v>2264</v>
      </c>
      <c r="B2895" s="3" t="str">
        <f t="shared" si="1"/>
        <v>Unavailable</v>
      </c>
      <c r="C2895" s="5">
        <v>5198.0</v>
      </c>
      <c r="D2895" s="3">
        <f>IFERROR(__xludf.DUMMYFUNCTION("IFERROR(
IF(REGEXMATCH(LOWER(O2895),""k""),
VALUE(REGEXEXTRACT(O2895,""[0-9]+""))*1000,
VALUE(REGEXEXTRACT(O2895,""[0-9]+""))
),
0
)"),0.0)</f>
        <v>0</v>
      </c>
      <c r="E2895" s="1" t="s">
        <v>11</v>
      </c>
      <c r="F2895" s="1" t="s">
        <v>20</v>
      </c>
      <c r="G2895" s="4" t="b">
        <f t="shared" si="2"/>
        <v>1</v>
      </c>
      <c r="H2895" s="1" t="str">
        <f t="shared" si="3"/>
        <v>Currently Unavailable</v>
      </c>
      <c r="I2895" s="1" t="str">
        <f t="shared" si="4"/>
        <v>No Badges</v>
      </c>
      <c r="J2895" s="3">
        <f t="shared" si="5"/>
        <v>0</v>
      </c>
    </row>
    <row r="2896">
      <c r="A2896" s="1" t="s">
        <v>1285</v>
      </c>
      <c r="B2896" s="3" t="str">
        <f t="shared" si="1"/>
        <v>Unavailable</v>
      </c>
      <c r="C2896" s="5">
        <v>3520.0</v>
      </c>
      <c r="D2896" s="3">
        <f>IFERROR(__xludf.DUMMYFUNCTION("IFERROR(
IF(REGEXMATCH(LOWER(O2896),""k""),
VALUE(REGEXEXTRACT(O2896,""[0-9]+""))*1000,
VALUE(REGEXEXTRACT(O2896,""[0-9]+""))
),
0
)"),0.0)</f>
        <v>0</v>
      </c>
      <c r="E2896" s="1" t="s">
        <v>11</v>
      </c>
      <c r="F2896" s="1" t="s">
        <v>12</v>
      </c>
      <c r="G2896" s="4" t="b">
        <f t="shared" si="2"/>
        <v>1</v>
      </c>
      <c r="H2896" s="1" t="str">
        <f t="shared" si="3"/>
        <v>Currently Unavailable</v>
      </c>
      <c r="I2896" s="1" t="str">
        <f t="shared" si="4"/>
        <v>No Badges</v>
      </c>
      <c r="J2896" s="3">
        <f t="shared" si="5"/>
        <v>0</v>
      </c>
    </row>
    <row r="2897">
      <c r="A2897" s="1" t="s">
        <v>2265</v>
      </c>
      <c r="B2897" s="3" t="str">
        <f t="shared" si="1"/>
        <v>Unavailable</v>
      </c>
      <c r="C2897" s="5">
        <v>42441.0</v>
      </c>
      <c r="D2897" s="3">
        <f>IFERROR(__xludf.DUMMYFUNCTION("IFERROR(
IF(REGEXMATCH(LOWER(O2897),""k""),
VALUE(REGEXEXTRACT(O2897,""[0-9]+""))*1000,
VALUE(REGEXEXTRACT(O2897,""[0-9]+""))
),
0
)"),0.0)</f>
        <v>0</v>
      </c>
      <c r="E2897" s="1" t="s">
        <v>11</v>
      </c>
      <c r="F2897" s="1" t="s">
        <v>20</v>
      </c>
      <c r="G2897" s="4" t="b">
        <f t="shared" si="2"/>
        <v>1</v>
      </c>
      <c r="H2897" s="1" t="str">
        <f t="shared" si="3"/>
        <v>Currently Unavailable</v>
      </c>
      <c r="I2897" s="1" t="str">
        <f t="shared" si="4"/>
        <v>No Badges</v>
      </c>
      <c r="J2897" s="3">
        <f t="shared" si="5"/>
        <v>0</v>
      </c>
    </row>
    <row r="2898">
      <c r="A2898" s="1" t="s">
        <v>2266</v>
      </c>
      <c r="B2898" s="3" t="str">
        <f t="shared" si="1"/>
        <v>Unavailable</v>
      </c>
      <c r="C2898" s="5">
        <v>10369.0</v>
      </c>
      <c r="D2898" s="3">
        <f>IFERROR(__xludf.DUMMYFUNCTION("IFERROR(
IF(REGEXMATCH(LOWER(O2898),""k""),
VALUE(REGEXEXTRACT(O2898,""[0-9]+""))*1000,
VALUE(REGEXEXTRACT(O2898,""[0-9]+""))
),
0
)"),0.0)</f>
        <v>0</v>
      </c>
      <c r="E2898" s="1" t="s">
        <v>11</v>
      </c>
      <c r="F2898" s="1" t="s">
        <v>20</v>
      </c>
      <c r="G2898" s="4" t="b">
        <f t="shared" si="2"/>
        <v>1</v>
      </c>
      <c r="H2898" s="1" t="str">
        <f t="shared" si="3"/>
        <v>Currently Unavailable</v>
      </c>
      <c r="I2898" s="1" t="str">
        <f t="shared" si="4"/>
        <v>No Badges</v>
      </c>
      <c r="J2898" s="3">
        <f t="shared" si="5"/>
        <v>0</v>
      </c>
    </row>
    <row r="2899">
      <c r="A2899" s="1" t="s">
        <v>1284</v>
      </c>
      <c r="B2899" s="3" t="str">
        <f t="shared" si="1"/>
        <v>Unavailable</v>
      </c>
      <c r="C2899" s="3">
        <v>172.0</v>
      </c>
      <c r="D2899" s="3">
        <f>IFERROR(__xludf.DUMMYFUNCTION("IFERROR(
IF(REGEXMATCH(LOWER(O2899),""k""),
VALUE(REGEXEXTRACT(O2899,""[0-9]+""))*1000,
VALUE(REGEXEXTRACT(O2899,""[0-9]+""))
),
0
)"),0.0)</f>
        <v>0</v>
      </c>
      <c r="E2899" s="1" t="s">
        <v>11</v>
      </c>
      <c r="F2899" s="1" t="s">
        <v>12</v>
      </c>
      <c r="G2899" s="4" t="b">
        <f t="shared" si="2"/>
        <v>1</v>
      </c>
      <c r="H2899" s="1" t="str">
        <f t="shared" si="3"/>
        <v>Currently Unavailable</v>
      </c>
      <c r="I2899" s="1" t="str">
        <f t="shared" si="4"/>
        <v>No Badges</v>
      </c>
      <c r="J2899" s="3">
        <f t="shared" si="5"/>
        <v>0</v>
      </c>
    </row>
    <row r="2900">
      <c r="A2900" s="1" t="s">
        <v>2267</v>
      </c>
      <c r="B2900" s="3" t="str">
        <f t="shared" si="1"/>
        <v>Unavailable</v>
      </c>
      <c r="C2900" s="5">
        <v>10234.0</v>
      </c>
      <c r="D2900" s="3">
        <f>IFERROR(__xludf.DUMMYFUNCTION("IFERROR(
IF(REGEXMATCH(LOWER(O2900),""k""),
VALUE(REGEXEXTRACT(O2900,""[0-9]+""))*1000,
VALUE(REGEXEXTRACT(O2900,""[0-9]+""))
),
0
)"),0.0)</f>
        <v>0</v>
      </c>
      <c r="E2900" s="1" t="s">
        <v>11</v>
      </c>
      <c r="F2900" s="1" t="s">
        <v>20</v>
      </c>
      <c r="G2900" s="4" t="b">
        <f t="shared" si="2"/>
        <v>1</v>
      </c>
      <c r="H2900" s="1" t="str">
        <f t="shared" si="3"/>
        <v>Currently Unavailable</v>
      </c>
      <c r="I2900" s="1" t="str">
        <f t="shared" si="4"/>
        <v>No Badges</v>
      </c>
      <c r="J2900" s="3">
        <f t="shared" si="5"/>
        <v>0</v>
      </c>
    </row>
    <row r="2901">
      <c r="A2901" s="1" t="s">
        <v>1285</v>
      </c>
      <c r="B2901" s="3" t="str">
        <f t="shared" si="1"/>
        <v>Unavailable</v>
      </c>
      <c r="C2901" s="5">
        <v>3520.0</v>
      </c>
      <c r="D2901" s="3">
        <f>IFERROR(__xludf.DUMMYFUNCTION("IFERROR(
IF(REGEXMATCH(LOWER(O2901),""k""),
VALUE(REGEXEXTRACT(O2901,""[0-9]+""))*1000,
VALUE(REGEXEXTRACT(O2901,""[0-9]+""))
),
0
)"),0.0)</f>
        <v>0</v>
      </c>
      <c r="E2901" s="1" t="s">
        <v>11</v>
      </c>
      <c r="F2901" s="1" t="s">
        <v>12</v>
      </c>
      <c r="G2901" s="4" t="b">
        <f t="shared" si="2"/>
        <v>1</v>
      </c>
      <c r="H2901" s="1" t="str">
        <f t="shared" si="3"/>
        <v>Currently Unavailable</v>
      </c>
      <c r="I2901" s="1" t="str">
        <f t="shared" si="4"/>
        <v>No Badges</v>
      </c>
      <c r="J2901" s="3">
        <f t="shared" si="5"/>
        <v>0</v>
      </c>
    </row>
    <row r="2902">
      <c r="A2902" s="1" t="s">
        <v>1284</v>
      </c>
      <c r="B2902" s="3" t="str">
        <f t="shared" si="1"/>
        <v>Unavailable</v>
      </c>
      <c r="C2902" s="3">
        <v>172.0</v>
      </c>
      <c r="D2902" s="3">
        <f>IFERROR(__xludf.DUMMYFUNCTION("IFERROR(
IF(REGEXMATCH(LOWER(O2902),""k""),
VALUE(REGEXEXTRACT(O2902,""[0-9]+""))*1000,
VALUE(REGEXEXTRACT(O2902,""[0-9]+""))
),
0
)"),0.0)</f>
        <v>0</v>
      </c>
      <c r="E2902" s="1" t="s">
        <v>11</v>
      </c>
      <c r="F2902" s="1" t="s">
        <v>12</v>
      </c>
      <c r="G2902" s="4" t="b">
        <f t="shared" si="2"/>
        <v>1</v>
      </c>
      <c r="H2902" s="1" t="str">
        <f t="shared" si="3"/>
        <v>Currently Unavailable</v>
      </c>
      <c r="I2902" s="1" t="str">
        <f t="shared" si="4"/>
        <v>No Badges</v>
      </c>
      <c r="J2902" s="3">
        <f t="shared" si="5"/>
        <v>0</v>
      </c>
    </row>
    <row r="2903">
      <c r="A2903" s="1" t="s">
        <v>1285</v>
      </c>
      <c r="B2903" s="3" t="str">
        <f t="shared" si="1"/>
        <v>Unavailable</v>
      </c>
      <c r="C2903" s="5">
        <v>3520.0</v>
      </c>
      <c r="D2903" s="3">
        <f>IFERROR(__xludf.DUMMYFUNCTION("IFERROR(
IF(REGEXMATCH(LOWER(O2903),""k""),
VALUE(REGEXEXTRACT(O2903,""[0-9]+""))*1000,
VALUE(REGEXEXTRACT(O2903,""[0-9]+""))
),
0
)"),0.0)</f>
        <v>0</v>
      </c>
      <c r="E2903" s="1" t="s">
        <v>11</v>
      </c>
      <c r="F2903" s="1" t="s">
        <v>12</v>
      </c>
      <c r="G2903" s="4" t="b">
        <f t="shared" si="2"/>
        <v>1</v>
      </c>
      <c r="H2903" s="1" t="str">
        <f t="shared" si="3"/>
        <v>Currently Unavailable</v>
      </c>
      <c r="I2903" s="1" t="str">
        <f t="shared" si="4"/>
        <v>No Badges</v>
      </c>
      <c r="J2903" s="3">
        <f t="shared" si="5"/>
        <v>0</v>
      </c>
    </row>
    <row r="2904">
      <c r="A2904" s="1" t="s">
        <v>1284</v>
      </c>
      <c r="B2904" s="3" t="str">
        <f t="shared" si="1"/>
        <v>Unavailable</v>
      </c>
      <c r="C2904" s="3">
        <v>172.0</v>
      </c>
      <c r="D2904" s="3">
        <f>IFERROR(__xludf.DUMMYFUNCTION("IFERROR(
IF(REGEXMATCH(LOWER(O2904),""k""),
VALUE(REGEXEXTRACT(O2904,""[0-9]+""))*1000,
VALUE(REGEXEXTRACT(O2904,""[0-9]+""))
),
0
)"),0.0)</f>
        <v>0</v>
      </c>
      <c r="E2904" s="1" t="s">
        <v>11</v>
      </c>
      <c r="F2904" s="1" t="s">
        <v>12</v>
      </c>
      <c r="G2904" s="4" t="b">
        <f t="shared" si="2"/>
        <v>1</v>
      </c>
      <c r="H2904" s="1" t="str">
        <f t="shared" si="3"/>
        <v>Currently Unavailable</v>
      </c>
      <c r="I2904" s="1" t="str">
        <f t="shared" si="4"/>
        <v>No Badges</v>
      </c>
      <c r="J2904" s="3">
        <f t="shared" si="5"/>
        <v>0</v>
      </c>
    </row>
    <row r="2905">
      <c r="A2905" s="1" t="s">
        <v>2268</v>
      </c>
      <c r="B2905" s="3" t="str">
        <f t="shared" si="1"/>
        <v>Unavailable</v>
      </c>
      <c r="C2905" s="5">
        <v>10738.0</v>
      </c>
      <c r="D2905" s="3">
        <f>IFERROR(__xludf.DUMMYFUNCTION("IFERROR(
IF(REGEXMATCH(LOWER(O2905),""k""),
VALUE(REGEXEXTRACT(O2905,""[0-9]+""))*1000,
VALUE(REGEXEXTRACT(O2905,""[0-9]+""))
),
0
)"),0.0)</f>
        <v>0</v>
      </c>
      <c r="E2905" s="1" t="s">
        <v>11</v>
      </c>
      <c r="F2905" s="1" t="s">
        <v>20</v>
      </c>
      <c r="G2905" s="4" t="b">
        <f t="shared" si="2"/>
        <v>1</v>
      </c>
      <c r="H2905" s="1" t="str">
        <f t="shared" si="3"/>
        <v>Currently Unavailable</v>
      </c>
      <c r="I2905" s="1" t="str">
        <f t="shared" si="4"/>
        <v>No Badges</v>
      </c>
      <c r="J2905" s="3">
        <f t="shared" si="5"/>
        <v>0</v>
      </c>
    </row>
    <row r="2906">
      <c r="A2906" s="1" t="s">
        <v>67</v>
      </c>
      <c r="B2906" s="3" t="str">
        <f t="shared" si="1"/>
        <v>Unavailable</v>
      </c>
      <c r="C2906" s="3">
        <v>264.0</v>
      </c>
      <c r="D2906" s="3">
        <f>IFERROR(__xludf.DUMMYFUNCTION("IFERROR(
IF(REGEXMATCH(LOWER(O2906),""k""),
VALUE(REGEXEXTRACT(O2906,""[0-9]+""))*1000,
VALUE(REGEXEXTRACT(O2906,""[0-9]+""))
),
0
)"),0.0)</f>
        <v>0</v>
      </c>
      <c r="E2906" s="1" t="s">
        <v>11</v>
      </c>
      <c r="F2906" s="1" t="s">
        <v>12</v>
      </c>
      <c r="G2906" s="4" t="b">
        <f t="shared" si="2"/>
        <v>1</v>
      </c>
      <c r="H2906" s="1" t="str">
        <f t="shared" si="3"/>
        <v>Currently Unavailable</v>
      </c>
      <c r="I2906" s="1" t="str">
        <f t="shared" si="4"/>
        <v>No Badges</v>
      </c>
      <c r="J2906" s="3">
        <f t="shared" si="5"/>
        <v>0</v>
      </c>
    </row>
    <row r="2907">
      <c r="A2907" s="1" t="s">
        <v>701</v>
      </c>
      <c r="B2907" s="3" t="str">
        <f t="shared" si="1"/>
        <v>Unavailable</v>
      </c>
      <c r="C2907" s="3">
        <v>8.0</v>
      </c>
      <c r="D2907" s="3">
        <f>IFERROR(__xludf.DUMMYFUNCTION("IFERROR(
IF(REGEXMATCH(LOWER(O2907),""k""),
VALUE(REGEXEXTRACT(O2907,""[0-9]+""))*1000,
VALUE(REGEXEXTRACT(O2907,""[0-9]+""))
),
0
)"),0.0)</f>
        <v>0</v>
      </c>
      <c r="E2907" s="1" t="s">
        <v>11</v>
      </c>
      <c r="F2907" s="1" t="s">
        <v>12</v>
      </c>
      <c r="G2907" s="4" t="b">
        <f t="shared" si="2"/>
        <v>1</v>
      </c>
      <c r="H2907" s="1" t="str">
        <f t="shared" si="3"/>
        <v>Currently Unavailable</v>
      </c>
      <c r="I2907" s="1" t="str">
        <f t="shared" si="4"/>
        <v>No Badges</v>
      </c>
      <c r="J2907" s="3">
        <f t="shared" si="5"/>
        <v>0</v>
      </c>
    </row>
    <row r="2908">
      <c r="A2908" s="1" t="s">
        <v>1285</v>
      </c>
      <c r="B2908" s="3" t="str">
        <f t="shared" si="1"/>
        <v>Unavailable</v>
      </c>
      <c r="C2908" s="5">
        <v>3520.0</v>
      </c>
      <c r="D2908" s="3">
        <f>IFERROR(__xludf.DUMMYFUNCTION("IFERROR(
IF(REGEXMATCH(LOWER(O2908),""k""),
VALUE(REGEXEXTRACT(O2908,""[0-9]+""))*1000,
VALUE(REGEXEXTRACT(O2908,""[0-9]+""))
),
0
)"),0.0)</f>
        <v>0</v>
      </c>
      <c r="E2908" s="1" t="s">
        <v>11</v>
      </c>
      <c r="F2908" s="1" t="s">
        <v>12</v>
      </c>
      <c r="G2908" s="4" t="b">
        <f t="shared" si="2"/>
        <v>1</v>
      </c>
      <c r="H2908" s="1" t="str">
        <f t="shared" si="3"/>
        <v>Currently Unavailable</v>
      </c>
      <c r="I2908" s="1" t="str">
        <f t="shared" si="4"/>
        <v>No Badges</v>
      </c>
      <c r="J2908" s="3">
        <f t="shared" si="5"/>
        <v>0</v>
      </c>
    </row>
    <row r="2909">
      <c r="A2909" s="1" t="s">
        <v>2269</v>
      </c>
      <c r="B2909" s="3" t="str">
        <f t="shared" si="1"/>
        <v>Unavailable</v>
      </c>
      <c r="C2909" s="5">
        <v>30862.0</v>
      </c>
      <c r="D2909" s="3">
        <f>IFERROR(__xludf.DUMMYFUNCTION("IFERROR(
IF(REGEXMATCH(LOWER(O2909),""k""),
VALUE(REGEXEXTRACT(O2909,""[0-9]+""))*1000,
VALUE(REGEXEXTRACT(O2909,""[0-9]+""))
),
0
)"),0.0)</f>
        <v>0</v>
      </c>
      <c r="E2909" s="1" t="s">
        <v>11</v>
      </c>
      <c r="F2909" s="1" t="s">
        <v>20</v>
      </c>
      <c r="G2909" s="4" t="b">
        <f t="shared" si="2"/>
        <v>1</v>
      </c>
      <c r="H2909" s="1" t="str">
        <f t="shared" si="3"/>
        <v>Currently Unavailable</v>
      </c>
      <c r="I2909" s="1" t="str">
        <f t="shared" si="4"/>
        <v>No Badges</v>
      </c>
      <c r="J2909" s="3">
        <f t="shared" si="5"/>
        <v>0</v>
      </c>
    </row>
    <row r="2910">
      <c r="A2910" s="1" t="s">
        <v>2270</v>
      </c>
      <c r="B2910" s="3" t="str">
        <f t="shared" si="1"/>
        <v>Unavailable</v>
      </c>
      <c r="C2910" s="3">
        <v>402.0</v>
      </c>
      <c r="D2910" s="3">
        <f>IFERROR(__xludf.DUMMYFUNCTION("IFERROR(
IF(REGEXMATCH(LOWER(O2910),""k""),
VALUE(REGEXEXTRACT(O2910,""[0-9]+""))*1000,
VALUE(REGEXEXTRACT(O2910,""[0-9]+""))
),
0
)"),0.0)</f>
        <v>0</v>
      </c>
      <c r="E2910" s="1" t="s">
        <v>11</v>
      </c>
      <c r="F2910" s="1" t="s">
        <v>20</v>
      </c>
      <c r="G2910" s="4" t="b">
        <f t="shared" si="2"/>
        <v>1</v>
      </c>
      <c r="H2910" s="1" t="str">
        <f t="shared" si="3"/>
        <v>Currently Unavailable</v>
      </c>
      <c r="I2910" s="1" t="str">
        <f t="shared" si="4"/>
        <v>No Badges</v>
      </c>
      <c r="J2910" s="3">
        <f t="shared" si="5"/>
        <v>0</v>
      </c>
    </row>
    <row r="2911">
      <c r="A2911" s="1" t="s">
        <v>1284</v>
      </c>
      <c r="B2911" s="3" t="str">
        <f t="shared" si="1"/>
        <v>Unavailable</v>
      </c>
      <c r="C2911" s="3">
        <v>172.0</v>
      </c>
      <c r="D2911" s="3">
        <f>IFERROR(__xludf.DUMMYFUNCTION("IFERROR(
IF(REGEXMATCH(LOWER(O2911),""k""),
VALUE(REGEXEXTRACT(O2911,""[0-9]+""))*1000,
VALUE(REGEXEXTRACT(O2911,""[0-9]+""))
),
0
)"),0.0)</f>
        <v>0</v>
      </c>
      <c r="E2911" s="1" t="s">
        <v>11</v>
      </c>
      <c r="F2911" s="1" t="s">
        <v>12</v>
      </c>
      <c r="G2911" s="4" t="b">
        <f t="shared" si="2"/>
        <v>1</v>
      </c>
      <c r="H2911" s="1" t="str">
        <f t="shared" si="3"/>
        <v>Currently Unavailable</v>
      </c>
      <c r="I2911" s="1" t="str">
        <f t="shared" si="4"/>
        <v>No Badges</v>
      </c>
      <c r="J2911" s="3">
        <f t="shared" si="5"/>
        <v>0</v>
      </c>
    </row>
    <row r="2912">
      <c r="A2912" s="1" t="s">
        <v>2271</v>
      </c>
      <c r="B2912" s="3" t="str">
        <f t="shared" si="1"/>
        <v>Unavailable</v>
      </c>
      <c r="C2912" s="5">
        <v>3755.0</v>
      </c>
      <c r="D2912" s="3">
        <f>IFERROR(__xludf.DUMMYFUNCTION("IFERROR(
IF(REGEXMATCH(LOWER(O2912),""k""),
VALUE(REGEXEXTRACT(O2912,""[0-9]+""))*1000,
VALUE(REGEXEXTRACT(O2912,""[0-9]+""))
),
0
)"),0.0)</f>
        <v>0</v>
      </c>
      <c r="E2912" s="1" t="s">
        <v>11</v>
      </c>
      <c r="F2912" s="1" t="s">
        <v>20</v>
      </c>
      <c r="G2912" s="4" t="b">
        <f t="shared" si="2"/>
        <v>1</v>
      </c>
      <c r="H2912" s="1" t="str">
        <f t="shared" si="3"/>
        <v>Currently Unavailable</v>
      </c>
      <c r="I2912" s="1" t="str">
        <f t="shared" si="4"/>
        <v>No Badges</v>
      </c>
      <c r="J2912" s="3">
        <f t="shared" si="5"/>
        <v>0</v>
      </c>
    </row>
    <row r="2913">
      <c r="A2913" s="1" t="s">
        <v>2272</v>
      </c>
      <c r="B2913" s="3" t="str">
        <f t="shared" si="1"/>
        <v>Unavailable</v>
      </c>
      <c r="C2913" s="5">
        <v>2221.0</v>
      </c>
      <c r="D2913" s="3">
        <f>IFERROR(__xludf.DUMMYFUNCTION("IFERROR(
IF(REGEXMATCH(LOWER(O2913),""k""),
VALUE(REGEXEXTRACT(O2913,""[0-9]+""))*1000,
VALUE(REGEXEXTRACT(O2913,""[0-9]+""))
),
0
)"),0.0)</f>
        <v>0</v>
      </c>
      <c r="E2913" s="1" t="s">
        <v>11</v>
      </c>
      <c r="F2913" s="1" t="s">
        <v>20</v>
      </c>
      <c r="G2913" s="4" t="b">
        <f t="shared" si="2"/>
        <v>1</v>
      </c>
      <c r="H2913" s="1" t="str">
        <f t="shared" si="3"/>
        <v>Currently Unavailable</v>
      </c>
      <c r="I2913" s="1" t="str">
        <f t="shared" si="4"/>
        <v>No Badges</v>
      </c>
      <c r="J2913" s="3">
        <f t="shared" si="5"/>
        <v>0</v>
      </c>
    </row>
    <row r="2914">
      <c r="A2914" s="1" t="s">
        <v>2273</v>
      </c>
      <c r="B2914" s="3" t="str">
        <f t="shared" si="1"/>
        <v>Unavailable</v>
      </c>
      <c r="C2914" s="3">
        <v>764.0</v>
      </c>
      <c r="D2914" s="3">
        <f>IFERROR(__xludf.DUMMYFUNCTION("IFERROR(
IF(REGEXMATCH(LOWER(O2914),""k""),
VALUE(REGEXEXTRACT(O2914,""[0-9]+""))*1000,
VALUE(REGEXEXTRACT(O2914,""[0-9]+""))
),
0
)"),0.0)</f>
        <v>0</v>
      </c>
      <c r="E2914" s="1" t="s">
        <v>11</v>
      </c>
      <c r="F2914" s="1" t="s">
        <v>20</v>
      </c>
      <c r="G2914" s="4" t="b">
        <f t="shared" si="2"/>
        <v>1</v>
      </c>
      <c r="H2914" s="1" t="str">
        <f t="shared" si="3"/>
        <v>Currently Unavailable</v>
      </c>
      <c r="I2914" s="1" t="str">
        <f t="shared" si="4"/>
        <v>No Badges</v>
      </c>
      <c r="J2914" s="3">
        <f t="shared" si="5"/>
        <v>0</v>
      </c>
    </row>
    <row r="2915">
      <c r="A2915" s="1" t="s">
        <v>1285</v>
      </c>
      <c r="B2915" s="3" t="str">
        <f t="shared" si="1"/>
        <v>Unavailable</v>
      </c>
      <c r="C2915" s="5">
        <v>3520.0</v>
      </c>
      <c r="D2915" s="3">
        <f>IFERROR(__xludf.DUMMYFUNCTION("IFERROR(
IF(REGEXMATCH(LOWER(O2915),""k""),
VALUE(REGEXEXTRACT(O2915,""[0-9]+""))*1000,
VALUE(REGEXEXTRACT(O2915,""[0-9]+""))
),
0
)"),0.0)</f>
        <v>0</v>
      </c>
      <c r="E2915" s="1" t="s">
        <v>11</v>
      </c>
      <c r="F2915" s="1" t="s">
        <v>12</v>
      </c>
      <c r="G2915" s="4" t="b">
        <f t="shared" si="2"/>
        <v>1</v>
      </c>
      <c r="H2915" s="1" t="str">
        <f t="shared" si="3"/>
        <v>Currently Unavailable</v>
      </c>
      <c r="I2915" s="1" t="str">
        <f t="shared" si="4"/>
        <v>No Badges</v>
      </c>
      <c r="J2915" s="3">
        <f t="shared" si="5"/>
        <v>0</v>
      </c>
    </row>
    <row r="2916">
      <c r="A2916" s="1" t="s">
        <v>2274</v>
      </c>
      <c r="B2916" s="3" t="str">
        <f t="shared" si="1"/>
        <v>Unavailable</v>
      </c>
      <c r="C2916" s="5">
        <v>3427.0</v>
      </c>
      <c r="D2916" s="3">
        <f>IFERROR(__xludf.DUMMYFUNCTION("IFERROR(
IF(REGEXMATCH(LOWER(O2916),""k""),
VALUE(REGEXEXTRACT(O2916,""[0-9]+""))*1000,
VALUE(REGEXEXTRACT(O2916,""[0-9]+""))
),
0
)"),0.0)</f>
        <v>0</v>
      </c>
      <c r="E2916" s="1" t="s">
        <v>18</v>
      </c>
      <c r="F2916" s="1" t="s">
        <v>12</v>
      </c>
      <c r="G2916" s="4" t="b">
        <f t="shared" si="2"/>
        <v>1</v>
      </c>
      <c r="H2916" s="1" t="str">
        <f t="shared" si="3"/>
        <v>Currently Unavailable</v>
      </c>
      <c r="I2916" s="1" t="str">
        <f t="shared" si="4"/>
        <v>No Badges</v>
      </c>
      <c r="J2916" s="3">
        <f t="shared" si="5"/>
        <v>0</v>
      </c>
    </row>
    <row r="2917">
      <c r="A2917" s="1" t="s">
        <v>1285</v>
      </c>
      <c r="B2917" s="3" t="str">
        <f t="shared" si="1"/>
        <v>Unavailable</v>
      </c>
      <c r="C2917" s="5">
        <v>3520.0</v>
      </c>
      <c r="D2917" s="3">
        <f>IFERROR(__xludf.DUMMYFUNCTION("IFERROR(
IF(REGEXMATCH(LOWER(O2917),""k""),
VALUE(REGEXEXTRACT(O2917,""[0-9]+""))*1000,
VALUE(REGEXEXTRACT(O2917,""[0-9]+""))
),
0
)"),0.0)</f>
        <v>0</v>
      </c>
      <c r="E2917" s="1" t="s">
        <v>11</v>
      </c>
      <c r="F2917" s="1" t="s">
        <v>12</v>
      </c>
      <c r="G2917" s="4" t="b">
        <f t="shared" si="2"/>
        <v>1</v>
      </c>
      <c r="H2917" s="1" t="str">
        <f t="shared" si="3"/>
        <v>Currently Unavailable</v>
      </c>
      <c r="I2917" s="1" t="str">
        <f t="shared" si="4"/>
        <v>No Badges</v>
      </c>
      <c r="J2917" s="3">
        <f t="shared" si="5"/>
        <v>0</v>
      </c>
    </row>
    <row r="2918">
      <c r="A2918" s="1" t="s">
        <v>1284</v>
      </c>
      <c r="B2918" s="3" t="str">
        <f t="shared" si="1"/>
        <v>Unavailable</v>
      </c>
      <c r="C2918" s="3">
        <v>172.0</v>
      </c>
      <c r="D2918" s="3">
        <f>IFERROR(__xludf.DUMMYFUNCTION("IFERROR(
IF(REGEXMATCH(LOWER(O2918),""k""),
VALUE(REGEXEXTRACT(O2918,""[0-9]+""))*1000,
VALUE(REGEXEXTRACT(O2918,""[0-9]+""))
),
0
)"),0.0)</f>
        <v>0</v>
      </c>
      <c r="E2918" s="1" t="s">
        <v>11</v>
      </c>
      <c r="F2918" s="1" t="s">
        <v>12</v>
      </c>
      <c r="G2918" s="4" t="b">
        <f t="shared" si="2"/>
        <v>1</v>
      </c>
      <c r="H2918" s="1" t="str">
        <f t="shared" si="3"/>
        <v>Currently Unavailable</v>
      </c>
      <c r="I2918" s="1" t="str">
        <f t="shared" si="4"/>
        <v>No Badges</v>
      </c>
      <c r="J2918" s="3">
        <f t="shared" si="5"/>
        <v>0</v>
      </c>
    </row>
    <row r="2919">
      <c r="A2919" s="1" t="s">
        <v>2275</v>
      </c>
      <c r="B2919" s="3" t="str">
        <f t="shared" si="1"/>
        <v>Unavailable</v>
      </c>
      <c r="C2919" s="5">
        <v>2759.0</v>
      </c>
      <c r="D2919" s="3">
        <f>IFERROR(__xludf.DUMMYFUNCTION("IFERROR(
IF(REGEXMATCH(LOWER(O2919),""k""),
VALUE(REGEXEXTRACT(O2919,""[0-9]+""))*1000,
VALUE(REGEXEXTRACT(O2919,""[0-9]+""))
),
0
)"),0.0)</f>
        <v>0</v>
      </c>
      <c r="E2919" s="1" t="s">
        <v>11</v>
      </c>
      <c r="F2919" s="1" t="s">
        <v>20</v>
      </c>
      <c r="G2919" s="4" t="b">
        <f t="shared" si="2"/>
        <v>1</v>
      </c>
      <c r="H2919" s="1" t="str">
        <f t="shared" si="3"/>
        <v>Currently Unavailable</v>
      </c>
      <c r="I2919" s="1" t="str">
        <f t="shared" si="4"/>
        <v>No Badges</v>
      </c>
      <c r="J2919" s="3">
        <f t="shared" si="5"/>
        <v>0</v>
      </c>
    </row>
    <row r="2920">
      <c r="A2920" s="1" t="s">
        <v>2276</v>
      </c>
      <c r="B2920" s="3" t="str">
        <f t="shared" si="1"/>
        <v>Unavailable</v>
      </c>
      <c r="C2920" s="5">
        <v>13319.0</v>
      </c>
      <c r="D2920" s="3">
        <f>IFERROR(__xludf.DUMMYFUNCTION("IFERROR(
IF(REGEXMATCH(LOWER(O2920),""k""),
VALUE(REGEXEXTRACT(O2920,""[0-9]+""))*1000,
VALUE(REGEXEXTRACT(O2920,""[0-9]+""))
),
0
)"),0.0)</f>
        <v>0</v>
      </c>
      <c r="E2920" s="1" t="s">
        <v>11</v>
      </c>
      <c r="F2920" s="1" t="s">
        <v>20</v>
      </c>
      <c r="G2920" s="4" t="b">
        <f t="shared" si="2"/>
        <v>1</v>
      </c>
      <c r="H2920" s="1" t="str">
        <f t="shared" si="3"/>
        <v>Currently Unavailable</v>
      </c>
      <c r="I2920" s="1" t="str">
        <f t="shared" si="4"/>
        <v>No Badges</v>
      </c>
      <c r="J2920" s="3">
        <f t="shared" si="5"/>
        <v>0</v>
      </c>
    </row>
    <row r="2921">
      <c r="A2921" s="1" t="s">
        <v>1284</v>
      </c>
      <c r="B2921" s="3" t="str">
        <f t="shared" si="1"/>
        <v>Unavailable</v>
      </c>
      <c r="C2921" s="3">
        <v>172.0</v>
      </c>
      <c r="D2921" s="3">
        <f>IFERROR(__xludf.DUMMYFUNCTION("IFERROR(
IF(REGEXMATCH(LOWER(O2921),""k""),
VALUE(REGEXEXTRACT(O2921,""[0-9]+""))*1000,
VALUE(REGEXEXTRACT(O2921,""[0-9]+""))
),
0
)"),0.0)</f>
        <v>0</v>
      </c>
      <c r="E2921" s="1" t="s">
        <v>11</v>
      </c>
      <c r="F2921" s="1" t="s">
        <v>12</v>
      </c>
      <c r="G2921" s="4" t="b">
        <f t="shared" si="2"/>
        <v>1</v>
      </c>
      <c r="H2921" s="1" t="str">
        <f t="shared" si="3"/>
        <v>Currently Unavailable</v>
      </c>
      <c r="I2921" s="1" t="str">
        <f t="shared" si="4"/>
        <v>No Badges</v>
      </c>
      <c r="J2921" s="3">
        <f t="shared" si="5"/>
        <v>0</v>
      </c>
    </row>
    <row r="2922">
      <c r="A2922" s="1" t="s">
        <v>88</v>
      </c>
      <c r="B2922" s="3" t="str">
        <f t="shared" si="1"/>
        <v>Unavailable</v>
      </c>
      <c r="C2922" s="3">
        <v>5.0</v>
      </c>
      <c r="D2922" s="3">
        <f>IFERROR(__xludf.DUMMYFUNCTION("IFERROR(
IF(REGEXMATCH(LOWER(O2922),""k""),
VALUE(REGEXEXTRACT(O2922,""[0-9]+""))*1000,
VALUE(REGEXEXTRACT(O2922,""[0-9]+""))
),
0
)"),0.0)</f>
        <v>0</v>
      </c>
      <c r="E2922" s="1" t="s">
        <v>11</v>
      </c>
      <c r="F2922" s="1" t="s">
        <v>12</v>
      </c>
      <c r="G2922" s="4" t="b">
        <f t="shared" si="2"/>
        <v>1</v>
      </c>
      <c r="H2922" s="1" t="str">
        <f t="shared" si="3"/>
        <v>Currently Unavailable</v>
      </c>
      <c r="I2922" s="1" t="str">
        <f t="shared" si="4"/>
        <v>No Badges</v>
      </c>
      <c r="J2922" s="3">
        <f t="shared" si="5"/>
        <v>0</v>
      </c>
    </row>
    <row r="2923">
      <c r="A2923" s="1" t="s">
        <v>40</v>
      </c>
      <c r="B2923" s="3" t="str">
        <f t="shared" si="1"/>
        <v>Unavailable</v>
      </c>
      <c r="C2923" s="3">
        <v>171.0</v>
      </c>
      <c r="D2923" s="3">
        <f>IFERROR(__xludf.DUMMYFUNCTION("IFERROR(
IF(REGEXMATCH(LOWER(O2923),""k""),
VALUE(REGEXEXTRACT(O2923,""[0-9]+""))*1000,
VALUE(REGEXEXTRACT(O2923,""[0-9]+""))
),
0
)"),0.0)</f>
        <v>0</v>
      </c>
      <c r="E2923" s="1" t="s">
        <v>11</v>
      </c>
      <c r="F2923" s="1" t="s">
        <v>12</v>
      </c>
      <c r="G2923" s="4" t="b">
        <f t="shared" si="2"/>
        <v>1</v>
      </c>
      <c r="H2923" s="1" t="str">
        <f t="shared" si="3"/>
        <v>Currently Unavailable</v>
      </c>
      <c r="I2923" s="1" t="str">
        <f t="shared" si="4"/>
        <v>No Badges</v>
      </c>
      <c r="J2923" s="3">
        <f t="shared" si="5"/>
        <v>0</v>
      </c>
    </row>
    <row r="2924">
      <c r="A2924" s="1" t="s">
        <v>1285</v>
      </c>
      <c r="B2924" s="3" t="str">
        <f t="shared" si="1"/>
        <v>Unavailable</v>
      </c>
      <c r="C2924" s="5">
        <v>3520.0</v>
      </c>
      <c r="D2924" s="3">
        <f>IFERROR(__xludf.DUMMYFUNCTION("IFERROR(
IF(REGEXMATCH(LOWER(O2924),""k""),
VALUE(REGEXEXTRACT(O2924,""[0-9]+""))*1000,
VALUE(REGEXEXTRACT(O2924,""[0-9]+""))
),
0
)"),0.0)</f>
        <v>0</v>
      </c>
      <c r="E2924" s="1" t="s">
        <v>11</v>
      </c>
      <c r="F2924" s="1" t="s">
        <v>12</v>
      </c>
      <c r="G2924" s="4" t="b">
        <f t="shared" si="2"/>
        <v>1</v>
      </c>
      <c r="H2924" s="1" t="str">
        <f t="shared" si="3"/>
        <v>Currently Unavailable</v>
      </c>
      <c r="I2924" s="1" t="str">
        <f t="shared" si="4"/>
        <v>No Badges</v>
      </c>
      <c r="J2924" s="3">
        <f t="shared" si="5"/>
        <v>0</v>
      </c>
    </row>
    <row r="2925">
      <c r="A2925" s="1" t="s">
        <v>1284</v>
      </c>
      <c r="B2925" s="3" t="str">
        <f t="shared" si="1"/>
        <v>Unavailable</v>
      </c>
      <c r="C2925" s="3">
        <v>172.0</v>
      </c>
      <c r="D2925" s="3">
        <f>IFERROR(__xludf.DUMMYFUNCTION("IFERROR(
IF(REGEXMATCH(LOWER(O2925),""k""),
VALUE(REGEXEXTRACT(O2925,""[0-9]+""))*1000,
VALUE(REGEXEXTRACT(O2925,""[0-9]+""))
),
0
)"),0.0)</f>
        <v>0</v>
      </c>
      <c r="E2925" s="1" t="s">
        <v>11</v>
      </c>
      <c r="F2925" s="1" t="s">
        <v>12</v>
      </c>
      <c r="G2925" s="4" t="b">
        <f t="shared" si="2"/>
        <v>1</v>
      </c>
      <c r="H2925" s="1" t="str">
        <f t="shared" si="3"/>
        <v>Currently Unavailable</v>
      </c>
      <c r="I2925" s="1" t="str">
        <f t="shared" si="4"/>
        <v>No Badges</v>
      </c>
      <c r="J2925" s="3">
        <f t="shared" si="5"/>
        <v>0</v>
      </c>
    </row>
    <row r="2926">
      <c r="A2926" s="1" t="s">
        <v>69</v>
      </c>
      <c r="B2926" s="3" t="str">
        <f t="shared" si="1"/>
        <v>Unavailable</v>
      </c>
      <c r="C2926" s="3">
        <v>45.0</v>
      </c>
      <c r="D2926" s="3">
        <f>IFERROR(__xludf.DUMMYFUNCTION("IFERROR(
IF(REGEXMATCH(LOWER(O2926),""k""),
VALUE(REGEXEXTRACT(O2926,""[0-9]+""))*1000,
VALUE(REGEXEXTRACT(O2926,""[0-9]+""))
),
0
)"),0.0)</f>
        <v>0</v>
      </c>
      <c r="E2926" s="1" t="s">
        <v>11</v>
      </c>
      <c r="F2926" s="1" t="s">
        <v>12</v>
      </c>
      <c r="G2926" s="4" t="b">
        <f t="shared" si="2"/>
        <v>1</v>
      </c>
      <c r="H2926" s="1" t="str">
        <f t="shared" si="3"/>
        <v>Currently Unavailable</v>
      </c>
      <c r="I2926" s="1" t="str">
        <f t="shared" si="4"/>
        <v>No Badges</v>
      </c>
      <c r="J2926" s="3">
        <f t="shared" si="5"/>
        <v>0</v>
      </c>
    </row>
    <row r="2927">
      <c r="A2927" s="1" t="s">
        <v>2277</v>
      </c>
      <c r="B2927" s="3" t="str">
        <f t="shared" si="1"/>
        <v>Unavailable</v>
      </c>
      <c r="C2927" s="5">
        <v>4978.0</v>
      </c>
      <c r="D2927" s="3">
        <f>IFERROR(__xludf.DUMMYFUNCTION("IFERROR(
IF(REGEXMATCH(LOWER(O2927),""k""),
VALUE(REGEXEXTRACT(O2927,""[0-9]+""))*1000,
VALUE(REGEXEXTRACT(O2927,""[0-9]+""))
),
0
)"),0.0)</f>
        <v>0</v>
      </c>
      <c r="E2927" s="1" t="s">
        <v>11</v>
      </c>
      <c r="F2927" s="1" t="s">
        <v>20</v>
      </c>
      <c r="G2927" s="4" t="b">
        <f t="shared" si="2"/>
        <v>1</v>
      </c>
      <c r="H2927" s="1" t="str">
        <f t="shared" si="3"/>
        <v>Currently Unavailable</v>
      </c>
      <c r="I2927" s="1" t="str">
        <f t="shared" si="4"/>
        <v>No Badges</v>
      </c>
      <c r="J2927" s="3">
        <f t="shared" si="5"/>
        <v>0</v>
      </c>
    </row>
    <row r="2928">
      <c r="A2928" s="1" t="s">
        <v>2278</v>
      </c>
      <c r="B2928" s="3" t="str">
        <f t="shared" si="1"/>
        <v>Unavailable</v>
      </c>
      <c r="C2928" s="5">
        <v>8119.0</v>
      </c>
      <c r="D2928" s="3">
        <f>IFERROR(__xludf.DUMMYFUNCTION("IFERROR(
IF(REGEXMATCH(LOWER(O2928),""k""),
VALUE(REGEXEXTRACT(O2928,""[0-9]+""))*1000,
VALUE(REGEXEXTRACT(O2928,""[0-9]+""))
),
0
)"),0.0)</f>
        <v>0</v>
      </c>
      <c r="E2928" s="1" t="s">
        <v>11</v>
      </c>
      <c r="F2928" s="1" t="s">
        <v>20</v>
      </c>
      <c r="G2928" s="4" t="b">
        <f t="shared" si="2"/>
        <v>1</v>
      </c>
      <c r="H2928" s="1" t="str">
        <f t="shared" si="3"/>
        <v>Currently Unavailable</v>
      </c>
      <c r="I2928" s="1" t="str">
        <f t="shared" si="4"/>
        <v>No Badges</v>
      </c>
      <c r="J2928" s="3">
        <f t="shared" si="5"/>
        <v>0</v>
      </c>
    </row>
    <row r="2929">
      <c r="A2929" s="1" t="s">
        <v>1284</v>
      </c>
      <c r="B2929" s="3" t="str">
        <f t="shared" si="1"/>
        <v>Unavailable</v>
      </c>
      <c r="C2929" s="3">
        <v>172.0</v>
      </c>
      <c r="D2929" s="3">
        <f>IFERROR(__xludf.DUMMYFUNCTION("IFERROR(
IF(REGEXMATCH(LOWER(O2929),""k""),
VALUE(REGEXEXTRACT(O2929,""[0-9]+""))*1000,
VALUE(REGEXEXTRACT(O2929,""[0-9]+""))
),
0
)"),0.0)</f>
        <v>0</v>
      </c>
      <c r="E2929" s="1" t="s">
        <v>11</v>
      </c>
      <c r="F2929" s="1" t="s">
        <v>12</v>
      </c>
      <c r="G2929" s="4" t="b">
        <f t="shared" si="2"/>
        <v>1</v>
      </c>
      <c r="H2929" s="1" t="str">
        <f t="shared" si="3"/>
        <v>Currently Unavailable</v>
      </c>
      <c r="I2929" s="1" t="str">
        <f t="shared" si="4"/>
        <v>No Badges</v>
      </c>
      <c r="J2929" s="3">
        <f t="shared" si="5"/>
        <v>0</v>
      </c>
    </row>
    <row r="2930">
      <c r="A2930" s="1" t="s">
        <v>2279</v>
      </c>
      <c r="B2930" s="3" t="str">
        <f t="shared" si="1"/>
        <v>Unavailable</v>
      </c>
      <c r="C2930" s="5">
        <v>2717.0</v>
      </c>
      <c r="D2930" s="3">
        <f>IFERROR(__xludf.DUMMYFUNCTION("IFERROR(
IF(REGEXMATCH(LOWER(O2930),""k""),
VALUE(REGEXEXTRACT(O2930,""[0-9]+""))*1000,
VALUE(REGEXEXTRACT(O2930,""[0-9]+""))
),
0
)"),0.0)</f>
        <v>0</v>
      </c>
      <c r="E2930" s="1" t="s">
        <v>11</v>
      </c>
      <c r="F2930" s="1" t="s">
        <v>20</v>
      </c>
      <c r="G2930" s="4" t="b">
        <f t="shared" si="2"/>
        <v>1</v>
      </c>
      <c r="H2930" s="1" t="str">
        <f t="shared" si="3"/>
        <v>Currently Unavailable</v>
      </c>
      <c r="I2930" s="1" t="str">
        <f t="shared" si="4"/>
        <v>No Badges</v>
      </c>
      <c r="J2930" s="3">
        <f t="shared" si="5"/>
        <v>0</v>
      </c>
    </row>
    <row r="2931">
      <c r="A2931" s="1" t="s">
        <v>2280</v>
      </c>
      <c r="B2931" s="3" t="str">
        <f t="shared" si="1"/>
        <v>Unavailable</v>
      </c>
      <c r="C2931" s="3">
        <v>173.0</v>
      </c>
      <c r="D2931" s="3">
        <f>IFERROR(__xludf.DUMMYFUNCTION("IFERROR(
IF(REGEXMATCH(LOWER(O2931),""k""),
VALUE(REGEXEXTRACT(O2931,""[0-9]+""))*1000,
VALUE(REGEXEXTRACT(O2931,""[0-9]+""))
),
0
)"),0.0)</f>
        <v>0</v>
      </c>
      <c r="E2931" s="1" t="s">
        <v>11</v>
      </c>
      <c r="F2931" s="1" t="s">
        <v>20</v>
      </c>
      <c r="G2931" s="4" t="b">
        <f t="shared" si="2"/>
        <v>1</v>
      </c>
      <c r="H2931" s="1" t="str">
        <f t="shared" si="3"/>
        <v>Currently Unavailable</v>
      </c>
      <c r="I2931" s="1" t="str">
        <f t="shared" si="4"/>
        <v>No Badges</v>
      </c>
      <c r="J2931" s="3">
        <f t="shared" si="5"/>
        <v>0</v>
      </c>
    </row>
    <row r="2932">
      <c r="A2932" s="1" t="s">
        <v>1285</v>
      </c>
      <c r="B2932" s="3" t="str">
        <f t="shared" si="1"/>
        <v>Unavailable</v>
      </c>
      <c r="C2932" s="5">
        <v>3520.0</v>
      </c>
      <c r="D2932" s="3">
        <f>IFERROR(__xludf.DUMMYFUNCTION("IFERROR(
IF(REGEXMATCH(LOWER(O2932),""k""),
VALUE(REGEXEXTRACT(O2932,""[0-9]+""))*1000,
VALUE(REGEXEXTRACT(O2932,""[0-9]+""))
),
0
)"),0.0)</f>
        <v>0</v>
      </c>
      <c r="E2932" s="1" t="s">
        <v>11</v>
      </c>
      <c r="F2932" s="1" t="s">
        <v>12</v>
      </c>
      <c r="G2932" s="4" t="b">
        <f t="shared" si="2"/>
        <v>1</v>
      </c>
      <c r="H2932" s="1" t="str">
        <f t="shared" si="3"/>
        <v>Currently Unavailable</v>
      </c>
      <c r="I2932" s="1" t="str">
        <f t="shared" si="4"/>
        <v>No Badges</v>
      </c>
      <c r="J2932" s="3">
        <f t="shared" si="5"/>
        <v>0</v>
      </c>
    </row>
    <row r="2933">
      <c r="A2933" s="1" t="s">
        <v>1284</v>
      </c>
      <c r="B2933" s="3" t="str">
        <f t="shared" si="1"/>
        <v>Unavailable</v>
      </c>
      <c r="C2933" s="3">
        <v>172.0</v>
      </c>
      <c r="D2933" s="3">
        <f>IFERROR(__xludf.DUMMYFUNCTION("IFERROR(
IF(REGEXMATCH(LOWER(O2933),""k""),
VALUE(REGEXEXTRACT(O2933,""[0-9]+""))*1000,
VALUE(REGEXEXTRACT(O2933,""[0-9]+""))
),
0
)"),0.0)</f>
        <v>0</v>
      </c>
      <c r="E2933" s="1" t="s">
        <v>11</v>
      </c>
      <c r="F2933" s="1" t="s">
        <v>12</v>
      </c>
      <c r="G2933" s="4" t="b">
        <f t="shared" si="2"/>
        <v>1</v>
      </c>
      <c r="H2933" s="1" t="str">
        <f t="shared" si="3"/>
        <v>Currently Unavailable</v>
      </c>
      <c r="I2933" s="1" t="str">
        <f t="shared" si="4"/>
        <v>No Badges</v>
      </c>
      <c r="J2933" s="3">
        <f t="shared" si="5"/>
        <v>0</v>
      </c>
    </row>
    <row r="2934">
      <c r="A2934" s="1" t="s">
        <v>2281</v>
      </c>
      <c r="B2934" s="3" t="str">
        <f t="shared" si="1"/>
        <v>Unavailable</v>
      </c>
      <c r="C2934" s="5">
        <v>3937.0</v>
      </c>
      <c r="D2934" s="3">
        <f>IFERROR(__xludf.DUMMYFUNCTION("IFERROR(
IF(REGEXMATCH(LOWER(O2934),""k""),
VALUE(REGEXEXTRACT(O2934,""[0-9]+""))*1000,
VALUE(REGEXEXTRACT(O2934,""[0-9]+""))
),
0
)"),0.0)</f>
        <v>0</v>
      </c>
      <c r="E2934" s="1" t="s">
        <v>11</v>
      </c>
      <c r="F2934" s="1" t="s">
        <v>20</v>
      </c>
      <c r="G2934" s="4" t="b">
        <f t="shared" si="2"/>
        <v>1</v>
      </c>
      <c r="H2934" s="1" t="str">
        <f t="shared" si="3"/>
        <v>Currently Unavailable</v>
      </c>
      <c r="I2934" s="1" t="str">
        <f t="shared" si="4"/>
        <v>No Badges</v>
      </c>
      <c r="J2934" s="3">
        <f t="shared" si="5"/>
        <v>0</v>
      </c>
    </row>
    <row r="2935">
      <c r="A2935" s="1" t="s">
        <v>1285</v>
      </c>
      <c r="B2935" s="3" t="str">
        <f t="shared" si="1"/>
        <v>Unavailable</v>
      </c>
      <c r="C2935" s="5">
        <v>3520.0</v>
      </c>
      <c r="D2935" s="3">
        <f>IFERROR(__xludf.DUMMYFUNCTION("IFERROR(
IF(REGEXMATCH(LOWER(O2935),""k""),
VALUE(REGEXEXTRACT(O2935,""[0-9]+""))*1000,
VALUE(REGEXEXTRACT(O2935,""[0-9]+""))
),
0
)"),0.0)</f>
        <v>0</v>
      </c>
      <c r="E2935" s="1" t="s">
        <v>11</v>
      </c>
      <c r="F2935" s="1" t="s">
        <v>12</v>
      </c>
      <c r="G2935" s="4" t="b">
        <f t="shared" si="2"/>
        <v>1</v>
      </c>
      <c r="H2935" s="1" t="str">
        <f t="shared" si="3"/>
        <v>Currently Unavailable</v>
      </c>
      <c r="I2935" s="1" t="str">
        <f t="shared" si="4"/>
        <v>No Badges</v>
      </c>
      <c r="J2935" s="3">
        <f t="shared" si="5"/>
        <v>0</v>
      </c>
    </row>
    <row r="2936">
      <c r="A2936" s="1" t="s">
        <v>2282</v>
      </c>
      <c r="B2936" s="3" t="str">
        <f t="shared" si="1"/>
        <v>Unavailable</v>
      </c>
      <c r="C2936" s="3">
        <v>667.0</v>
      </c>
      <c r="D2936" s="3">
        <f>IFERROR(__xludf.DUMMYFUNCTION("IFERROR(
IF(REGEXMATCH(LOWER(O2936),""k""),
VALUE(REGEXEXTRACT(O2936,""[0-9]+""))*1000,
VALUE(REGEXEXTRACT(O2936,""[0-9]+""))
),
0
)"),0.0)</f>
        <v>0</v>
      </c>
      <c r="E2936" s="1" t="s">
        <v>11</v>
      </c>
      <c r="F2936" s="1" t="s">
        <v>20</v>
      </c>
      <c r="G2936" s="4" t="b">
        <f t="shared" si="2"/>
        <v>1</v>
      </c>
      <c r="H2936" s="1" t="str">
        <f t="shared" si="3"/>
        <v>Currently Unavailable</v>
      </c>
      <c r="I2936" s="1" t="str">
        <f t="shared" si="4"/>
        <v>No Badges</v>
      </c>
      <c r="J2936" s="3">
        <f t="shared" si="5"/>
        <v>0</v>
      </c>
    </row>
    <row r="2937">
      <c r="A2937" s="1" t="s">
        <v>1284</v>
      </c>
      <c r="B2937" s="3" t="str">
        <f t="shared" si="1"/>
        <v>Unavailable</v>
      </c>
      <c r="C2937" s="3">
        <v>172.0</v>
      </c>
      <c r="D2937" s="3">
        <f>IFERROR(__xludf.DUMMYFUNCTION("IFERROR(
IF(REGEXMATCH(LOWER(O2937),""k""),
VALUE(REGEXEXTRACT(O2937,""[0-9]+""))*1000,
VALUE(REGEXEXTRACT(O2937,""[0-9]+""))
),
0
)"),0.0)</f>
        <v>0</v>
      </c>
      <c r="E2937" s="1" t="s">
        <v>11</v>
      </c>
      <c r="F2937" s="1" t="s">
        <v>12</v>
      </c>
      <c r="G2937" s="4" t="b">
        <f t="shared" si="2"/>
        <v>1</v>
      </c>
      <c r="H2937" s="1" t="str">
        <f t="shared" si="3"/>
        <v>Currently Unavailable</v>
      </c>
      <c r="I2937" s="1" t="str">
        <f t="shared" si="4"/>
        <v>No Badges</v>
      </c>
      <c r="J2937" s="3">
        <f t="shared" si="5"/>
        <v>0</v>
      </c>
    </row>
    <row r="2938">
      <c r="A2938" s="1" t="s">
        <v>2283</v>
      </c>
      <c r="B2938" s="3" t="str">
        <f t="shared" si="1"/>
        <v>Unavailable</v>
      </c>
      <c r="C2938" s="5">
        <v>8675.0</v>
      </c>
      <c r="D2938" s="3">
        <f>IFERROR(__xludf.DUMMYFUNCTION("IFERROR(
IF(REGEXMATCH(LOWER(O2938),""k""),
VALUE(REGEXEXTRACT(O2938,""[0-9]+""))*1000,
VALUE(REGEXEXTRACT(O2938,""[0-9]+""))
),
0
)"),0.0)</f>
        <v>0</v>
      </c>
      <c r="E2938" s="1" t="s">
        <v>11</v>
      </c>
      <c r="F2938" s="1" t="s">
        <v>20</v>
      </c>
      <c r="G2938" s="4" t="b">
        <f t="shared" si="2"/>
        <v>1</v>
      </c>
      <c r="H2938" s="1" t="str">
        <f t="shared" si="3"/>
        <v>Currently Unavailable</v>
      </c>
      <c r="I2938" s="1" t="str">
        <f t="shared" si="4"/>
        <v>No Badges</v>
      </c>
      <c r="J2938" s="3">
        <f t="shared" si="5"/>
        <v>0</v>
      </c>
    </row>
    <row r="2939">
      <c r="A2939" s="1" t="s">
        <v>88</v>
      </c>
      <c r="B2939" s="3" t="str">
        <f t="shared" si="1"/>
        <v>Unavailable</v>
      </c>
      <c r="C2939" s="3">
        <v>5.0</v>
      </c>
      <c r="D2939" s="3">
        <f>IFERROR(__xludf.DUMMYFUNCTION("IFERROR(
IF(REGEXMATCH(LOWER(O2939),""k""),
VALUE(REGEXEXTRACT(O2939,""[0-9]+""))*1000,
VALUE(REGEXEXTRACT(O2939,""[0-9]+""))
),
0
)"),0.0)</f>
        <v>0</v>
      </c>
      <c r="E2939" s="1" t="s">
        <v>11</v>
      </c>
      <c r="F2939" s="1" t="s">
        <v>12</v>
      </c>
      <c r="G2939" s="4" t="b">
        <f t="shared" si="2"/>
        <v>1</v>
      </c>
      <c r="H2939" s="1" t="str">
        <f t="shared" si="3"/>
        <v>Currently Unavailable</v>
      </c>
      <c r="I2939" s="1" t="str">
        <f t="shared" si="4"/>
        <v>No Badges</v>
      </c>
      <c r="J2939" s="3">
        <f t="shared" si="5"/>
        <v>0</v>
      </c>
    </row>
    <row r="2940">
      <c r="A2940" s="1" t="s">
        <v>67</v>
      </c>
      <c r="B2940" s="3" t="str">
        <f t="shared" si="1"/>
        <v>Unavailable</v>
      </c>
      <c r="C2940" s="3">
        <v>264.0</v>
      </c>
      <c r="D2940" s="3">
        <f>IFERROR(__xludf.DUMMYFUNCTION("IFERROR(
IF(REGEXMATCH(LOWER(O2940),""k""),
VALUE(REGEXEXTRACT(O2940,""[0-9]+""))*1000,
VALUE(REGEXEXTRACT(O2940,""[0-9]+""))
),
0
)"),0.0)</f>
        <v>0</v>
      </c>
      <c r="E2940" s="1" t="s">
        <v>11</v>
      </c>
      <c r="F2940" s="1" t="s">
        <v>12</v>
      </c>
      <c r="G2940" s="4" t="b">
        <f t="shared" si="2"/>
        <v>1</v>
      </c>
      <c r="H2940" s="1" t="str">
        <f t="shared" si="3"/>
        <v>Currently Unavailable</v>
      </c>
      <c r="I2940" s="1" t="str">
        <f t="shared" si="4"/>
        <v>No Badges</v>
      </c>
      <c r="J2940" s="3">
        <f t="shared" si="5"/>
        <v>0</v>
      </c>
    </row>
    <row r="2941">
      <c r="A2941" s="1" t="s">
        <v>2284</v>
      </c>
      <c r="B2941" s="3" t="str">
        <f t="shared" si="1"/>
        <v>Unavailable</v>
      </c>
      <c r="C2941" s="5">
        <v>5463.0</v>
      </c>
      <c r="D2941" s="3">
        <f>IFERROR(__xludf.DUMMYFUNCTION("IFERROR(
IF(REGEXMATCH(LOWER(O2941),""k""),
VALUE(REGEXEXTRACT(O2941,""[0-9]+""))*1000,
VALUE(REGEXEXTRACT(O2941,""[0-9]+""))
),
0
)"),0.0)</f>
        <v>0</v>
      </c>
      <c r="E2941" s="1" t="s">
        <v>11</v>
      </c>
      <c r="F2941" s="1" t="s">
        <v>20</v>
      </c>
      <c r="G2941" s="4" t="b">
        <f t="shared" si="2"/>
        <v>1</v>
      </c>
      <c r="H2941" s="1" t="str">
        <f t="shared" si="3"/>
        <v>Currently Unavailable</v>
      </c>
      <c r="I2941" s="1" t="str">
        <f t="shared" si="4"/>
        <v>No Badges</v>
      </c>
      <c r="J2941" s="3">
        <f t="shared" si="5"/>
        <v>0</v>
      </c>
    </row>
    <row r="2942">
      <c r="A2942" s="1" t="s">
        <v>1285</v>
      </c>
      <c r="B2942" s="3" t="str">
        <f t="shared" si="1"/>
        <v>Unavailable</v>
      </c>
      <c r="C2942" s="5">
        <v>3520.0</v>
      </c>
      <c r="D2942" s="3">
        <f>IFERROR(__xludf.DUMMYFUNCTION("IFERROR(
IF(REGEXMATCH(LOWER(O2942),""k""),
VALUE(REGEXEXTRACT(O2942,""[0-9]+""))*1000,
VALUE(REGEXEXTRACT(O2942,""[0-9]+""))
),
0
)"),0.0)</f>
        <v>0</v>
      </c>
      <c r="E2942" s="1" t="s">
        <v>11</v>
      </c>
      <c r="F2942" s="1" t="s">
        <v>12</v>
      </c>
      <c r="G2942" s="4" t="b">
        <f t="shared" si="2"/>
        <v>1</v>
      </c>
      <c r="H2942" s="1" t="str">
        <f t="shared" si="3"/>
        <v>Currently Unavailable</v>
      </c>
      <c r="I2942" s="1" t="str">
        <f t="shared" si="4"/>
        <v>No Badges</v>
      </c>
      <c r="J2942" s="3">
        <f t="shared" si="5"/>
        <v>0</v>
      </c>
    </row>
    <row r="2943">
      <c r="A2943" s="1" t="s">
        <v>1284</v>
      </c>
      <c r="B2943" s="3" t="str">
        <f t="shared" si="1"/>
        <v>Unavailable</v>
      </c>
      <c r="C2943" s="3">
        <v>172.0</v>
      </c>
      <c r="D2943" s="3">
        <f>IFERROR(__xludf.DUMMYFUNCTION("IFERROR(
IF(REGEXMATCH(LOWER(O2943),""k""),
VALUE(REGEXEXTRACT(O2943,""[0-9]+""))*1000,
VALUE(REGEXEXTRACT(O2943,""[0-9]+""))
),
0
)"),0.0)</f>
        <v>0</v>
      </c>
      <c r="E2943" s="1" t="s">
        <v>11</v>
      </c>
      <c r="F2943" s="1" t="s">
        <v>12</v>
      </c>
      <c r="G2943" s="4" t="b">
        <f t="shared" si="2"/>
        <v>1</v>
      </c>
      <c r="H2943" s="1" t="str">
        <f t="shared" si="3"/>
        <v>Currently Unavailable</v>
      </c>
      <c r="I2943" s="1" t="str">
        <f t="shared" si="4"/>
        <v>No Badges</v>
      </c>
      <c r="J2943" s="3">
        <f t="shared" si="5"/>
        <v>0</v>
      </c>
    </row>
    <row r="2944">
      <c r="A2944" s="1" t="s">
        <v>2285</v>
      </c>
      <c r="B2944" s="3" t="str">
        <f t="shared" si="1"/>
        <v>Unavailable</v>
      </c>
      <c r="C2944" s="5">
        <v>5578.0</v>
      </c>
      <c r="D2944" s="3">
        <f>IFERROR(__xludf.DUMMYFUNCTION("IFERROR(
IF(REGEXMATCH(LOWER(O2944),""k""),
VALUE(REGEXEXTRACT(O2944,""[0-9]+""))*1000,
VALUE(REGEXEXTRACT(O2944,""[0-9]+""))
),
0
)"),0.0)</f>
        <v>0</v>
      </c>
      <c r="E2944" s="1" t="s">
        <v>11</v>
      </c>
      <c r="F2944" s="1" t="s">
        <v>20</v>
      </c>
      <c r="G2944" s="4" t="b">
        <f t="shared" si="2"/>
        <v>1</v>
      </c>
      <c r="H2944" s="1" t="str">
        <f t="shared" si="3"/>
        <v>Currently Unavailable</v>
      </c>
      <c r="I2944" s="1" t="str">
        <f t="shared" si="4"/>
        <v>No Badges</v>
      </c>
      <c r="J2944" s="3">
        <f t="shared" si="5"/>
        <v>0</v>
      </c>
    </row>
    <row r="2945">
      <c r="A2945" s="1" t="s">
        <v>2286</v>
      </c>
      <c r="B2945" s="3" t="str">
        <f t="shared" si="1"/>
        <v>Unavailable</v>
      </c>
      <c r="C2945" s="3">
        <v>814.0</v>
      </c>
      <c r="D2945" s="3">
        <f>IFERROR(__xludf.DUMMYFUNCTION("IFERROR(
IF(REGEXMATCH(LOWER(O2945),""k""),
VALUE(REGEXEXTRACT(O2945,""[0-9]+""))*1000,
VALUE(REGEXEXTRACT(O2945,""[0-9]+""))
),
0
)"),0.0)</f>
        <v>0</v>
      </c>
      <c r="E2945" s="1" t="s">
        <v>11</v>
      </c>
      <c r="F2945" s="1" t="s">
        <v>20</v>
      </c>
      <c r="G2945" s="4" t="b">
        <f t="shared" si="2"/>
        <v>1</v>
      </c>
      <c r="H2945" s="1" t="str">
        <f t="shared" si="3"/>
        <v>Currently Unavailable</v>
      </c>
      <c r="I2945" s="1" t="str">
        <f t="shared" si="4"/>
        <v>No Badges</v>
      </c>
      <c r="J2945" s="3">
        <f t="shared" si="5"/>
        <v>0</v>
      </c>
    </row>
    <row r="2946">
      <c r="A2946" s="1" t="s">
        <v>2287</v>
      </c>
      <c r="B2946" s="3" t="str">
        <f t="shared" si="1"/>
        <v>Unavailable</v>
      </c>
      <c r="C2946" s="5">
        <v>54042.0</v>
      </c>
      <c r="D2946" s="3">
        <f>IFERROR(__xludf.DUMMYFUNCTION("IFERROR(
IF(REGEXMATCH(LOWER(O2946),""k""),
VALUE(REGEXEXTRACT(O2946,""[0-9]+""))*1000,
VALUE(REGEXEXTRACT(O2946,""[0-9]+""))
),
0
)"),0.0)</f>
        <v>0</v>
      </c>
      <c r="E2946" s="1" t="s">
        <v>11</v>
      </c>
      <c r="F2946" s="1" t="s">
        <v>20</v>
      </c>
      <c r="G2946" s="4" t="b">
        <f t="shared" si="2"/>
        <v>1</v>
      </c>
      <c r="H2946" s="1" t="str">
        <f t="shared" si="3"/>
        <v>Currently Unavailable</v>
      </c>
      <c r="I2946" s="1" t="str">
        <f t="shared" si="4"/>
        <v>No Badges</v>
      </c>
      <c r="J2946" s="3">
        <f t="shared" si="5"/>
        <v>0</v>
      </c>
    </row>
    <row r="2947">
      <c r="A2947" s="1" t="s">
        <v>2288</v>
      </c>
      <c r="B2947" s="3" t="str">
        <f t="shared" si="1"/>
        <v>Unavailable</v>
      </c>
      <c r="C2947" s="5">
        <v>11727.0</v>
      </c>
      <c r="D2947" s="3">
        <f>IFERROR(__xludf.DUMMYFUNCTION("IFERROR(
IF(REGEXMATCH(LOWER(O2947),""k""),
VALUE(REGEXEXTRACT(O2947,""[0-9]+""))*1000,
VALUE(REGEXEXTRACT(O2947,""[0-9]+""))
),
0
)"),0.0)</f>
        <v>0</v>
      </c>
      <c r="E2947" s="1" t="s">
        <v>11</v>
      </c>
      <c r="F2947" s="1" t="s">
        <v>20</v>
      </c>
      <c r="G2947" s="4" t="b">
        <f t="shared" si="2"/>
        <v>1</v>
      </c>
      <c r="H2947" s="1" t="str">
        <f t="shared" si="3"/>
        <v>Currently Unavailable</v>
      </c>
      <c r="I2947" s="1" t="str">
        <f t="shared" si="4"/>
        <v>No Badges</v>
      </c>
      <c r="J2947" s="3">
        <f t="shared" si="5"/>
        <v>0</v>
      </c>
    </row>
    <row r="2948">
      <c r="A2948" s="1" t="s">
        <v>2289</v>
      </c>
      <c r="B2948" s="3" t="str">
        <f t="shared" si="1"/>
        <v>Unavailable</v>
      </c>
      <c r="C2948" s="5">
        <v>4587.0</v>
      </c>
      <c r="D2948" s="3">
        <f>IFERROR(__xludf.DUMMYFUNCTION("IFERROR(
IF(REGEXMATCH(LOWER(O2948),""k""),
VALUE(REGEXEXTRACT(O2948,""[0-9]+""))*1000,
VALUE(REGEXEXTRACT(O2948,""[0-9]+""))
),
0
)"),0.0)</f>
        <v>0</v>
      </c>
      <c r="E2948" s="1" t="s">
        <v>11</v>
      </c>
      <c r="F2948" s="1" t="s">
        <v>20</v>
      </c>
      <c r="G2948" s="4" t="b">
        <f t="shared" si="2"/>
        <v>1</v>
      </c>
      <c r="H2948" s="1" t="str">
        <f t="shared" si="3"/>
        <v>Currently Unavailable</v>
      </c>
      <c r="I2948" s="1" t="str">
        <f t="shared" si="4"/>
        <v>No Badges</v>
      </c>
      <c r="J2948" s="3">
        <f t="shared" si="5"/>
        <v>0</v>
      </c>
    </row>
    <row r="2949">
      <c r="A2949" s="1" t="s">
        <v>1285</v>
      </c>
      <c r="B2949" s="3" t="str">
        <f t="shared" si="1"/>
        <v>Unavailable</v>
      </c>
      <c r="C2949" s="5">
        <v>3520.0</v>
      </c>
      <c r="D2949" s="3">
        <f>IFERROR(__xludf.DUMMYFUNCTION("IFERROR(
IF(REGEXMATCH(LOWER(O2949),""k""),
VALUE(REGEXEXTRACT(O2949,""[0-9]+""))*1000,
VALUE(REGEXEXTRACT(O2949,""[0-9]+""))
),
0
)"),0.0)</f>
        <v>0</v>
      </c>
      <c r="E2949" s="1" t="s">
        <v>11</v>
      </c>
      <c r="F2949" s="1" t="s">
        <v>12</v>
      </c>
      <c r="G2949" s="4" t="b">
        <f t="shared" si="2"/>
        <v>1</v>
      </c>
      <c r="H2949" s="1" t="str">
        <f t="shared" si="3"/>
        <v>Currently Unavailable</v>
      </c>
      <c r="I2949" s="1" t="str">
        <f t="shared" si="4"/>
        <v>No Badges</v>
      </c>
      <c r="J2949" s="3">
        <f t="shared" si="5"/>
        <v>0</v>
      </c>
    </row>
    <row r="2950">
      <c r="A2950" s="1" t="s">
        <v>2290</v>
      </c>
      <c r="B2950" s="3" t="str">
        <f t="shared" si="1"/>
        <v>Unavailable</v>
      </c>
      <c r="C2950" s="3">
        <v>11.0</v>
      </c>
      <c r="D2950" s="3">
        <f>IFERROR(__xludf.DUMMYFUNCTION("IFERROR(
IF(REGEXMATCH(LOWER(O2950),""k""),
VALUE(REGEXEXTRACT(O2950,""[0-9]+""))*1000,
VALUE(REGEXEXTRACT(O2950,""[0-9]+""))
),
0
)"),0.0)</f>
        <v>0</v>
      </c>
      <c r="E2950" s="1" t="s">
        <v>11</v>
      </c>
      <c r="F2950" s="1" t="s">
        <v>20</v>
      </c>
      <c r="G2950" s="4" t="b">
        <f t="shared" si="2"/>
        <v>1</v>
      </c>
      <c r="H2950" s="1" t="str">
        <f t="shared" si="3"/>
        <v>Currently Unavailable</v>
      </c>
      <c r="I2950" s="1" t="str">
        <f t="shared" si="4"/>
        <v>No Badges</v>
      </c>
      <c r="J2950" s="3">
        <f t="shared" si="5"/>
        <v>0</v>
      </c>
    </row>
    <row r="2951">
      <c r="A2951" s="1" t="s">
        <v>1285</v>
      </c>
      <c r="B2951" s="3" t="str">
        <f t="shared" si="1"/>
        <v>Unavailable</v>
      </c>
      <c r="C2951" s="5">
        <v>3520.0</v>
      </c>
      <c r="D2951" s="3">
        <f>IFERROR(__xludf.DUMMYFUNCTION("IFERROR(
IF(REGEXMATCH(LOWER(O2951),""k""),
VALUE(REGEXEXTRACT(O2951,""[0-9]+""))*1000,
VALUE(REGEXEXTRACT(O2951,""[0-9]+""))
),
0
)"),0.0)</f>
        <v>0</v>
      </c>
      <c r="E2951" s="1" t="s">
        <v>11</v>
      </c>
      <c r="F2951" s="1" t="s">
        <v>12</v>
      </c>
      <c r="G2951" s="4" t="b">
        <f t="shared" si="2"/>
        <v>1</v>
      </c>
      <c r="H2951" s="1" t="str">
        <f t="shared" si="3"/>
        <v>Currently Unavailable</v>
      </c>
      <c r="I2951" s="1" t="str">
        <f t="shared" si="4"/>
        <v>No Badges</v>
      </c>
      <c r="J2951" s="3">
        <f t="shared" si="5"/>
        <v>0</v>
      </c>
    </row>
    <row r="2952">
      <c r="A2952" s="1" t="s">
        <v>2291</v>
      </c>
      <c r="B2952" s="3" t="str">
        <f t="shared" si="1"/>
        <v>Unavailable</v>
      </c>
      <c r="C2952" s="5">
        <v>10193.0</v>
      </c>
      <c r="D2952" s="3">
        <f>IFERROR(__xludf.DUMMYFUNCTION("IFERROR(
IF(REGEXMATCH(LOWER(O2952),""k""),
VALUE(REGEXEXTRACT(O2952,""[0-9]+""))*1000,
VALUE(REGEXEXTRACT(O2952,""[0-9]+""))
),
0
)"),0.0)</f>
        <v>0</v>
      </c>
      <c r="E2952" s="1" t="s">
        <v>11</v>
      </c>
      <c r="F2952" s="1" t="s">
        <v>20</v>
      </c>
      <c r="G2952" s="4" t="b">
        <f t="shared" si="2"/>
        <v>1</v>
      </c>
      <c r="H2952" s="1" t="str">
        <f t="shared" si="3"/>
        <v>Currently Unavailable</v>
      </c>
      <c r="I2952" s="1" t="str">
        <f t="shared" si="4"/>
        <v>No Badges</v>
      </c>
      <c r="J2952" s="3">
        <f t="shared" si="5"/>
        <v>0</v>
      </c>
    </row>
    <row r="2953">
      <c r="A2953" s="1" t="s">
        <v>1284</v>
      </c>
      <c r="B2953" s="3" t="str">
        <f t="shared" si="1"/>
        <v>Unavailable</v>
      </c>
      <c r="C2953" s="3">
        <v>172.0</v>
      </c>
      <c r="D2953" s="3">
        <f>IFERROR(__xludf.DUMMYFUNCTION("IFERROR(
IF(REGEXMATCH(LOWER(O2953),""k""),
VALUE(REGEXEXTRACT(O2953,""[0-9]+""))*1000,
VALUE(REGEXEXTRACT(O2953,""[0-9]+""))
),
0
)"),0.0)</f>
        <v>0</v>
      </c>
      <c r="E2953" s="1" t="s">
        <v>11</v>
      </c>
      <c r="F2953" s="1" t="s">
        <v>12</v>
      </c>
      <c r="G2953" s="4" t="b">
        <f t="shared" si="2"/>
        <v>1</v>
      </c>
      <c r="H2953" s="1" t="str">
        <f t="shared" si="3"/>
        <v>Currently Unavailable</v>
      </c>
      <c r="I2953" s="1" t="str">
        <f t="shared" si="4"/>
        <v>No Badges</v>
      </c>
      <c r="J2953" s="3">
        <f t="shared" si="5"/>
        <v>0</v>
      </c>
    </row>
    <row r="2954">
      <c r="A2954" s="1" t="s">
        <v>1284</v>
      </c>
      <c r="B2954" s="3" t="str">
        <f t="shared" si="1"/>
        <v>Unavailable</v>
      </c>
      <c r="C2954" s="3">
        <v>172.0</v>
      </c>
      <c r="D2954" s="3">
        <f>IFERROR(__xludf.DUMMYFUNCTION("IFERROR(
IF(REGEXMATCH(LOWER(O2954),""k""),
VALUE(REGEXEXTRACT(O2954,""[0-9]+""))*1000,
VALUE(REGEXEXTRACT(O2954,""[0-9]+""))
),
0
)"),0.0)</f>
        <v>0</v>
      </c>
      <c r="E2954" s="1" t="s">
        <v>11</v>
      </c>
      <c r="F2954" s="1" t="s">
        <v>12</v>
      </c>
      <c r="G2954" s="4" t="b">
        <f t="shared" si="2"/>
        <v>1</v>
      </c>
      <c r="H2954" s="1" t="str">
        <f t="shared" si="3"/>
        <v>Currently Unavailable</v>
      </c>
      <c r="I2954" s="1" t="str">
        <f t="shared" si="4"/>
        <v>No Badges</v>
      </c>
      <c r="J2954" s="3">
        <f t="shared" si="5"/>
        <v>0</v>
      </c>
    </row>
    <row r="2955">
      <c r="A2955" s="1" t="s">
        <v>701</v>
      </c>
      <c r="B2955" s="3" t="str">
        <f t="shared" si="1"/>
        <v>Unavailable</v>
      </c>
      <c r="C2955" s="3">
        <v>8.0</v>
      </c>
      <c r="D2955" s="3">
        <f>IFERROR(__xludf.DUMMYFUNCTION("IFERROR(
IF(REGEXMATCH(LOWER(O2955),""k""),
VALUE(REGEXEXTRACT(O2955,""[0-9]+""))*1000,
VALUE(REGEXEXTRACT(O2955,""[0-9]+""))
),
0
)"),0.0)</f>
        <v>0</v>
      </c>
      <c r="E2955" s="1" t="s">
        <v>11</v>
      </c>
      <c r="F2955" s="1" t="s">
        <v>12</v>
      </c>
      <c r="G2955" s="4" t="b">
        <f t="shared" si="2"/>
        <v>1</v>
      </c>
      <c r="H2955" s="1" t="str">
        <f t="shared" si="3"/>
        <v>Currently Unavailable</v>
      </c>
      <c r="I2955" s="1" t="str">
        <f t="shared" si="4"/>
        <v>No Badges</v>
      </c>
      <c r="J2955" s="3">
        <f t="shared" si="5"/>
        <v>0</v>
      </c>
    </row>
    <row r="2956">
      <c r="A2956" s="1" t="s">
        <v>2292</v>
      </c>
      <c r="B2956" s="3" t="str">
        <f t="shared" si="1"/>
        <v>Unavailable</v>
      </c>
      <c r="C2956" s="5">
        <v>1729.0</v>
      </c>
      <c r="D2956" s="3">
        <f>IFERROR(__xludf.DUMMYFUNCTION("IFERROR(
IF(REGEXMATCH(LOWER(O2956),""k""),
VALUE(REGEXEXTRACT(O2956,""[0-9]+""))*1000,
VALUE(REGEXEXTRACT(O2956,""[0-9]+""))
),
0
)"),0.0)</f>
        <v>0</v>
      </c>
      <c r="E2956" s="1" t="s">
        <v>11</v>
      </c>
      <c r="F2956" s="1" t="s">
        <v>20</v>
      </c>
      <c r="G2956" s="4" t="b">
        <f t="shared" si="2"/>
        <v>1</v>
      </c>
      <c r="H2956" s="1" t="str">
        <f t="shared" si="3"/>
        <v>Currently Unavailable</v>
      </c>
      <c r="I2956" s="1" t="str">
        <f t="shared" si="4"/>
        <v>No Badges</v>
      </c>
      <c r="J2956" s="3">
        <f t="shared" si="5"/>
        <v>0</v>
      </c>
    </row>
    <row r="2957">
      <c r="A2957" s="1" t="s">
        <v>1285</v>
      </c>
      <c r="B2957" s="3" t="str">
        <f t="shared" si="1"/>
        <v>Unavailable</v>
      </c>
      <c r="C2957" s="5">
        <v>3520.0</v>
      </c>
      <c r="D2957" s="3">
        <f>IFERROR(__xludf.DUMMYFUNCTION("IFERROR(
IF(REGEXMATCH(LOWER(O2957),""k""),
VALUE(REGEXEXTRACT(O2957,""[0-9]+""))*1000,
VALUE(REGEXEXTRACT(O2957,""[0-9]+""))
),
0
)"),0.0)</f>
        <v>0</v>
      </c>
      <c r="E2957" s="1" t="s">
        <v>11</v>
      </c>
      <c r="F2957" s="1" t="s">
        <v>12</v>
      </c>
      <c r="G2957" s="4" t="b">
        <f t="shared" si="2"/>
        <v>1</v>
      </c>
      <c r="H2957" s="1" t="str">
        <f t="shared" si="3"/>
        <v>Currently Unavailable</v>
      </c>
      <c r="I2957" s="1" t="str">
        <f t="shared" si="4"/>
        <v>No Badges</v>
      </c>
      <c r="J2957" s="3">
        <f t="shared" si="5"/>
        <v>0</v>
      </c>
    </row>
    <row r="2958">
      <c r="A2958" s="1" t="s">
        <v>1284</v>
      </c>
      <c r="B2958" s="3" t="str">
        <f t="shared" si="1"/>
        <v>Unavailable</v>
      </c>
      <c r="C2958" s="3">
        <v>172.0</v>
      </c>
      <c r="D2958" s="3">
        <f>IFERROR(__xludf.DUMMYFUNCTION("IFERROR(
IF(REGEXMATCH(LOWER(O2958),""k""),
VALUE(REGEXEXTRACT(O2958,""[0-9]+""))*1000,
VALUE(REGEXEXTRACT(O2958,""[0-9]+""))
),
0
)"),0.0)</f>
        <v>0</v>
      </c>
      <c r="E2958" s="1" t="s">
        <v>11</v>
      </c>
      <c r="F2958" s="1" t="s">
        <v>12</v>
      </c>
      <c r="G2958" s="4" t="b">
        <f t="shared" si="2"/>
        <v>1</v>
      </c>
      <c r="H2958" s="1" t="str">
        <f t="shared" si="3"/>
        <v>Currently Unavailable</v>
      </c>
      <c r="I2958" s="1" t="str">
        <f t="shared" si="4"/>
        <v>No Badges</v>
      </c>
      <c r="J2958" s="3">
        <f t="shared" si="5"/>
        <v>0</v>
      </c>
    </row>
    <row r="2959">
      <c r="A2959" s="1" t="s">
        <v>88</v>
      </c>
      <c r="B2959" s="3" t="str">
        <f t="shared" si="1"/>
        <v>Unavailable</v>
      </c>
      <c r="C2959" s="3">
        <v>5.0</v>
      </c>
      <c r="D2959" s="3">
        <f>IFERROR(__xludf.DUMMYFUNCTION("IFERROR(
IF(REGEXMATCH(LOWER(O2959),""k""),
VALUE(REGEXEXTRACT(O2959,""[0-9]+""))*1000,
VALUE(REGEXEXTRACT(O2959,""[0-9]+""))
),
0
)"),0.0)</f>
        <v>0</v>
      </c>
      <c r="E2959" s="1" t="s">
        <v>11</v>
      </c>
      <c r="F2959" s="1" t="s">
        <v>12</v>
      </c>
      <c r="G2959" s="4" t="b">
        <f t="shared" si="2"/>
        <v>1</v>
      </c>
      <c r="H2959" s="1" t="str">
        <f t="shared" si="3"/>
        <v>Currently Unavailable</v>
      </c>
      <c r="I2959" s="1" t="str">
        <f t="shared" si="4"/>
        <v>No Badges</v>
      </c>
      <c r="J2959" s="3">
        <f t="shared" si="5"/>
        <v>0</v>
      </c>
    </row>
    <row r="2960">
      <c r="A2960" s="1" t="s">
        <v>2293</v>
      </c>
      <c r="B2960" s="3" t="str">
        <f t="shared" si="1"/>
        <v>Unavailable</v>
      </c>
      <c r="C2960" s="5">
        <v>5212.0</v>
      </c>
      <c r="D2960" s="3">
        <f>IFERROR(__xludf.DUMMYFUNCTION("IFERROR(
IF(REGEXMATCH(LOWER(O2960),""k""),
VALUE(REGEXEXTRACT(O2960,""[0-9]+""))*1000,
VALUE(REGEXEXTRACT(O2960,""[0-9]+""))
),
0
)"),0.0)</f>
        <v>0</v>
      </c>
      <c r="E2960" s="1" t="s">
        <v>11</v>
      </c>
      <c r="F2960" s="1" t="s">
        <v>20</v>
      </c>
      <c r="G2960" s="4" t="b">
        <f t="shared" si="2"/>
        <v>1</v>
      </c>
      <c r="H2960" s="1" t="str">
        <f t="shared" si="3"/>
        <v>Currently Unavailable</v>
      </c>
      <c r="I2960" s="1" t="str">
        <f t="shared" si="4"/>
        <v>No Badges</v>
      </c>
      <c r="J2960" s="3">
        <f t="shared" si="5"/>
        <v>0</v>
      </c>
    </row>
    <row r="2961">
      <c r="A2961" s="1" t="s">
        <v>1285</v>
      </c>
      <c r="B2961" s="3" t="str">
        <f t="shared" si="1"/>
        <v>Unavailable</v>
      </c>
      <c r="C2961" s="5">
        <v>3520.0</v>
      </c>
      <c r="D2961" s="3">
        <f>IFERROR(__xludf.DUMMYFUNCTION("IFERROR(
IF(REGEXMATCH(LOWER(O2961),""k""),
VALUE(REGEXEXTRACT(O2961,""[0-9]+""))*1000,
VALUE(REGEXEXTRACT(O2961,""[0-9]+""))
),
0
)"),0.0)</f>
        <v>0</v>
      </c>
      <c r="E2961" s="1" t="s">
        <v>11</v>
      </c>
      <c r="F2961" s="1" t="s">
        <v>12</v>
      </c>
      <c r="G2961" s="4" t="b">
        <f t="shared" si="2"/>
        <v>1</v>
      </c>
      <c r="H2961" s="1" t="str">
        <f t="shared" si="3"/>
        <v>Currently Unavailable</v>
      </c>
      <c r="I2961" s="1" t="str">
        <f t="shared" si="4"/>
        <v>No Badges</v>
      </c>
      <c r="J2961" s="3">
        <f t="shared" si="5"/>
        <v>0</v>
      </c>
    </row>
    <row r="2962">
      <c r="A2962" s="1" t="s">
        <v>2294</v>
      </c>
      <c r="B2962" s="3" t="str">
        <f t="shared" si="1"/>
        <v>Unavailable</v>
      </c>
      <c r="C2962" s="5">
        <v>3032.0</v>
      </c>
      <c r="D2962" s="3">
        <f>IFERROR(__xludf.DUMMYFUNCTION("IFERROR(
IF(REGEXMATCH(LOWER(O2962),""k""),
VALUE(REGEXEXTRACT(O2962,""[0-9]+""))*1000,
VALUE(REGEXEXTRACT(O2962,""[0-9]+""))
),
0
)"),0.0)</f>
        <v>0</v>
      </c>
      <c r="E2962" s="1" t="s">
        <v>11</v>
      </c>
      <c r="F2962" s="1" t="s">
        <v>20</v>
      </c>
      <c r="G2962" s="4" t="b">
        <f t="shared" si="2"/>
        <v>1</v>
      </c>
      <c r="H2962" s="1" t="str">
        <f t="shared" si="3"/>
        <v>Currently Unavailable</v>
      </c>
      <c r="I2962" s="1" t="str">
        <f t="shared" si="4"/>
        <v>No Badges</v>
      </c>
      <c r="J2962" s="3">
        <f t="shared" si="5"/>
        <v>0</v>
      </c>
    </row>
    <row r="2963">
      <c r="A2963" s="1" t="s">
        <v>2295</v>
      </c>
      <c r="B2963" s="3" t="str">
        <f t="shared" si="1"/>
        <v>Unavailable</v>
      </c>
      <c r="C2963" s="3">
        <v>527.0</v>
      </c>
      <c r="D2963" s="3">
        <f>IFERROR(__xludf.DUMMYFUNCTION("IFERROR(
IF(REGEXMATCH(LOWER(O2963),""k""),
VALUE(REGEXEXTRACT(O2963,""[0-9]+""))*1000,
VALUE(REGEXEXTRACT(O2963,""[0-9]+""))
),
0
)"),0.0)</f>
        <v>0</v>
      </c>
      <c r="E2963" s="1" t="s">
        <v>11</v>
      </c>
      <c r="F2963" s="1" t="s">
        <v>20</v>
      </c>
      <c r="G2963" s="4" t="b">
        <f t="shared" si="2"/>
        <v>1</v>
      </c>
      <c r="H2963" s="1" t="str">
        <f t="shared" si="3"/>
        <v>Currently Unavailable</v>
      </c>
      <c r="I2963" s="1" t="str">
        <f t="shared" si="4"/>
        <v>No Badges</v>
      </c>
      <c r="J2963" s="3">
        <f t="shared" si="5"/>
        <v>0</v>
      </c>
    </row>
    <row r="2964">
      <c r="A2964" s="1" t="s">
        <v>1284</v>
      </c>
      <c r="B2964" s="3" t="str">
        <f t="shared" si="1"/>
        <v>Unavailable</v>
      </c>
      <c r="C2964" s="3">
        <v>172.0</v>
      </c>
      <c r="D2964" s="3">
        <f>IFERROR(__xludf.DUMMYFUNCTION("IFERROR(
IF(REGEXMATCH(LOWER(O2964),""k""),
VALUE(REGEXEXTRACT(O2964,""[0-9]+""))*1000,
VALUE(REGEXEXTRACT(O2964,""[0-9]+""))
),
0
)"),0.0)</f>
        <v>0</v>
      </c>
      <c r="E2964" s="1" t="s">
        <v>11</v>
      </c>
      <c r="F2964" s="1" t="s">
        <v>12</v>
      </c>
      <c r="G2964" s="4" t="b">
        <f t="shared" si="2"/>
        <v>1</v>
      </c>
      <c r="H2964" s="1" t="str">
        <f t="shared" si="3"/>
        <v>Currently Unavailable</v>
      </c>
      <c r="I2964" s="1" t="str">
        <f t="shared" si="4"/>
        <v>No Badges</v>
      </c>
      <c r="J2964" s="3">
        <f t="shared" si="5"/>
        <v>0</v>
      </c>
    </row>
    <row r="2965">
      <c r="A2965" s="1" t="s">
        <v>1285</v>
      </c>
      <c r="B2965" s="3" t="str">
        <f t="shared" si="1"/>
        <v>Unavailable</v>
      </c>
      <c r="C2965" s="5">
        <v>3520.0</v>
      </c>
      <c r="D2965" s="3">
        <f>IFERROR(__xludf.DUMMYFUNCTION("IFERROR(
IF(REGEXMATCH(LOWER(O2965),""k""),
VALUE(REGEXEXTRACT(O2965,""[0-9]+""))*1000,
VALUE(REGEXEXTRACT(O2965,""[0-9]+""))
),
0
)"),0.0)</f>
        <v>0</v>
      </c>
      <c r="E2965" s="1" t="s">
        <v>11</v>
      </c>
      <c r="F2965" s="1" t="s">
        <v>12</v>
      </c>
      <c r="G2965" s="4" t="b">
        <f t="shared" si="2"/>
        <v>1</v>
      </c>
      <c r="H2965" s="1" t="str">
        <f t="shared" si="3"/>
        <v>Currently Unavailable</v>
      </c>
      <c r="I2965" s="1" t="str">
        <f t="shared" si="4"/>
        <v>No Badges</v>
      </c>
      <c r="J2965" s="3">
        <f t="shared" si="5"/>
        <v>0</v>
      </c>
    </row>
    <row r="2966">
      <c r="A2966" s="1" t="s">
        <v>1284</v>
      </c>
      <c r="B2966" s="3" t="str">
        <f t="shared" si="1"/>
        <v>Unavailable</v>
      </c>
      <c r="C2966" s="3">
        <v>172.0</v>
      </c>
      <c r="D2966" s="3">
        <f>IFERROR(__xludf.DUMMYFUNCTION("IFERROR(
IF(REGEXMATCH(LOWER(O2966),""k""),
VALUE(REGEXEXTRACT(O2966,""[0-9]+""))*1000,
VALUE(REGEXEXTRACT(O2966,""[0-9]+""))
),
0
)"),0.0)</f>
        <v>0</v>
      </c>
      <c r="E2966" s="1" t="s">
        <v>11</v>
      </c>
      <c r="F2966" s="1" t="s">
        <v>12</v>
      </c>
      <c r="G2966" s="4" t="b">
        <f t="shared" si="2"/>
        <v>1</v>
      </c>
      <c r="H2966" s="1" t="str">
        <f t="shared" si="3"/>
        <v>Currently Unavailable</v>
      </c>
      <c r="I2966" s="1" t="str">
        <f t="shared" si="4"/>
        <v>No Badges</v>
      </c>
      <c r="J2966" s="3">
        <f t="shared" si="5"/>
        <v>0</v>
      </c>
    </row>
    <row r="2967">
      <c r="A2967" s="1" t="s">
        <v>1285</v>
      </c>
      <c r="B2967" s="3" t="str">
        <f t="shared" si="1"/>
        <v>Unavailable</v>
      </c>
      <c r="C2967" s="5">
        <v>3520.0</v>
      </c>
      <c r="D2967" s="3">
        <f>IFERROR(__xludf.DUMMYFUNCTION("IFERROR(
IF(REGEXMATCH(LOWER(O2967),""k""),
VALUE(REGEXEXTRACT(O2967,""[0-9]+""))*1000,
VALUE(REGEXEXTRACT(O2967,""[0-9]+""))
),
0
)"),0.0)</f>
        <v>0</v>
      </c>
      <c r="E2967" s="1" t="s">
        <v>11</v>
      </c>
      <c r="F2967" s="1" t="s">
        <v>12</v>
      </c>
      <c r="G2967" s="4" t="b">
        <f t="shared" si="2"/>
        <v>1</v>
      </c>
      <c r="H2967" s="1" t="str">
        <f t="shared" si="3"/>
        <v>Currently Unavailable</v>
      </c>
      <c r="I2967" s="1" t="str">
        <f t="shared" si="4"/>
        <v>No Badges</v>
      </c>
      <c r="J2967" s="3">
        <f t="shared" si="5"/>
        <v>0</v>
      </c>
    </row>
    <row r="2968">
      <c r="A2968" s="1" t="s">
        <v>1284</v>
      </c>
      <c r="B2968" s="3" t="str">
        <f t="shared" si="1"/>
        <v>Unavailable</v>
      </c>
      <c r="C2968" s="3">
        <v>172.0</v>
      </c>
      <c r="D2968" s="3">
        <f>IFERROR(__xludf.DUMMYFUNCTION("IFERROR(
IF(REGEXMATCH(LOWER(O2968),""k""),
VALUE(REGEXEXTRACT(O2968,""[0-9]+""))*1000,
VALUE(REGEXEXTRACT(O2968,""[0-9]+""))
),
0
)"),0.0)</f>
        <v>0</v>
      </c>
      <c r="E2968" s="1" t="s">
        <v>11</v>
      </c>
      <c r="F2968" s="1" t="s">
        <v>12</v>
      </c>
      <c r="G2968" s="4" t="b">
        <f t="shared" si="2"/>
        <v>1</v>
      </c>
      <c r="H2968" s="1" t="str">
        <f t="shared" si="3"/>
        <v>Currently Unavailable</v>
      </c>
      <c r="I2968" s="1" t="str">
        <f t="shared" si="4"/>
        <v>No Badges</v>
      </c>
      <c r="J2968" s="3">
        <f t="shared" si="5"/>
        <v>0</v>
      </c>
    </row>
    <row r="2969">
      <c r="A2969" s="1" t="s">
        <v>2296</v>
      </c>
      <c r="B2969" s="3" t="str">
        <f t="shared" si="1"/>
        <v>Unavailable</v>
      </c>
      <c r="C2969" s="5">
        <v>58198.0</v>
      </c>
      <c r="D2969" s="3">
        <f>IFERROR(__xludf.DUMMYFUNCTION("IFERROR(
IF(REGEXMATCH(LOWER(O2969),""k""),
VALUE(REGEXEXTRACT(O2969,""[0-9]+""))*1000,
VALUE(REGEXEXTRACT(O2969,""[0-9]+""))
),
0
)"),0.0)</f>
        <v>0</v>
      </c>
      <c r="E2969" s="1" t="s">
        <v>11</v>
      </c>
      <c r="F2969" s="1" t="s">
        <v>20</v>
      </c>
      <c r="G2969" s="4" t="b">
        <f t="shared" si="2"/>
        <v>1</v>
      </c>
      <c r="H2969" s="1" t="str">
        <f t="shared" si="3"/>
        <v>Currently Unavailable</v>
      </c>
      <c r="I2969" s="1" t="str">
        <f t="shared" si="4"/>
        <v>No Badges</v>
      </c>
      <c r="J2969" s="3">
        <f t="shared" si="5"/>
        <v>0</v>
      </c>
    </row>
    <row r="2970">
      <c r="A2970" s="1" t="s">
        <v>2297</v>
      </c>
      <c r="B2970" s="3" t="str">
        <f t="shared" si="1"/>
        <v>Unavailable</v>
      </c>
      <c r="C2970" s="5">
        <v>2380.0</v>
      </c>
      <c r="D2970" s="3">
        <f>IFERROR(__xludf.DUMMYFUNCTION("IFERROR(
IF(REGEXMATCH(LOWER(O2970),""k""),
VALUE(REGEXEXTRACT(O2970,""[0-9]+""))*1000,
VALUE(REGEXEXTRACT(O2970,""[0-9]+""))
),
0
)"),0.0)</f>
        <v>0</v>
      </c>
      <c r="E2970" s="1" t="s">
        <v>11</v>
      </c>
      <c r="F2970" s="1" t="s">
        <v>20</v>
      </c>
      <c r="G2970" s="4" t="b">
        <f t="shared" si="2"/>
        <v>1</v>
      </c>
      <c r="H2970" s="1" t="str">
        <f t="shared" si="3"/>
        <v>Currently Unavailable</v>
      </c>
      <c r="I2970" s="1" t="str">
        <f t="shared" si="4"/>
        <v>No Badges</v>
      </c>
      <c r="J2970" s="3">
        <f t="shared" si="5"/>
        <v>0</v>
      </c>
    </row>
    <row r="2971">
      <c r="A2971" s="1" t="s">
        <v>2298</v>
      </c>
      <c r="B2971" s="3" t="str">
        <f t="shared" si="1"/>
        <v>Unavailable</v>
      </c>
      <c r="C2971" s="5">
        <v>1806.0</v>
      </c>
      <c r="D2971" s="3">
        <f>IFERROR(__xludf.DUMMYFUNCTION("IFERROR(
IF(REGEXMATCH(LOWER(O2971),""k""),
VALUE(REGEXEXTRACT(O2971,""[0-9]+""))*1000,
VALUE(REGEXEXTRACT(O2971,""[0-9]+""))
),
0
)"),0.0)</f>
        <v>0</v>
      </c>
      <c r="E2971" s="1" t="s">
        <v>11</v>
      </c>
      <c r="F2971" s="1" t="s">
        <v>20</v>
      </c>
      <c r="G2971" s="4" t="b">
        <f t="shared" si="2"/>
        <v>1</v>
      </c>
      <c r="H2971" s="1" t="str">
        <f t="shared" si="3"/>
        <v>Currently Unavailable</v>
      </c>
      <c r="I2971" s="1" t="str">
        <f t="shared" si="4"/>
        <v>No Badges</v>
      </c>
      <c r="J2971" s="3">
        <f t="shared" si="5"/>
        <v>0</v>
      </c>
    </row>
    <row r="2972">
      <c r="A2972" s="1" t="s">
        <v>1285</v>
      </c>
      <c r="B2972" s="3" t="str">
        <f t="shared" si="1"/>
        <v>Unavailable</v>
      </c>
      <c r="C2972" s="5">
        <v>3520.0</v>
      </c>
      <c r="D2972" s="3">
        <f>IFERROR(__xludf.DUMMYFUNCTION("IFERROR(
IF(REGEXMATCH(LOWER(O2972),""k""),
VALUE(REGEXEXTRACT(O2972,""[0-9]+""))*1000,
VALUE(REGEXEXTRACT(O2972,""[0-9]+""))
),
0
)"),0.0)</f>
        <v>0</v>
      </c>
      <c r="E2972" s="1" t="s">
        <v>11</v>
      </c>
      <c r="F2972" s="1" t="s">
        <v>12</v>
      </c>
      <c r="G2972" s="4" t="b">
        <f t="shared" si="2"/>
        <v>1</v>
      </c>
      <c r="H2972" s="1" t="str">
        <f t="shared" si="3"/>
        <v>Currently Unavailable</v>
      </c>
      <c r="I2972" s="1" t="str">
        <f t="shared" si="4"/>
        <v>No Badges</v>
      </c>
      <c r="J2972" s="3">
        <f t="shared" si="5"/>
        <v>0</v>
      </c>
    </row>
    <row r="2973">
      <c r="A2973" s="1" t="s">
        <v>604</v>
      </c>
      <c r="B2973" s="3" t="str">
        <f t="shared" si="1"/>
        <v>Unavailable</v>
      </c>
      <c r="C2973" s="3">
        <v>30.0</v>
      </c>
      <c r="D2973" s="3">
        <f>IFERROR(__xludf.DUMMYFUNCTION("IFERROR(
IF(REGEXMATCH(LOWER(O2973),""k""),
VALUE(REGEXEXTRACT(O2973,""[0-9]+""))*1000,
VALUE(REGEXEXTRACT(O2973,""[0-9]+""))
),
0
)"),0.0)</f>
        <v>0</v>
      </c>
      <c r="E2973" s="1" t="s">
        <v>11</v>
      </c>
      <c r="F2973" s="1" t="s">
        <v>12</v>
      </c>
      <c r="G2973" s="4" t="b">
        <f t="shared" si="2"/>
        <v>1</v>
      </c>
      <c r="H2973" s="1" t="str">
        <f t="shared" si="3"/>
        <v>Currently Unavailable</v>
      </c>
      <c r="I2973" s="1" t="str">
        <f t="shared" si="4"/>
        <v>No Badges</v>
      </c>
      <c r="J2973" s="3">
        <f t="shared" si="5"/>
        <v>0</v>
      </c>
    </row>
    <row r="2974">
      <c r="A2974" s="1" t="s">
        <v>69</v>
      </c>
      <c r="B2974" s="3" t="str">
        <f t="shared" si="1"/>
        <v>Unavailable</v>
      </c>
      <c r="C2974" s="3">
        <v>45.0</v>
      </c>
      <c r="D2974" s="3">
        <f>IFERROR(__xludf.DUMMYFUNCTION("IFERROR(
IF(REGEXMATCH(LOWER(O2974),""k""),
VALUE(REGEXEXTRACT(O2974,""[0-9]+""))*1000,
VALUE(REGEXEXTRACT(O2974,""[0-9]+""))
),
0
)"),0.0)</f>
        <v>0</v>
      </c>
      <c r="E2974" s="1" t="s">
        <v>11</v>
      </c>
      <c r="F2974" s="1" t="s">
        <v>12</v>
      </c>
      <c r="G2974" s="4" t="b">
        <f t="shared" si="2"/>
        <v>1</v>
      </c>
      <c r="H2974" s="1" t="str">
        <f t="shared" si="3"/>
        <v>Currently Unavailable</v>
      </c>
      <c r="I2974" s="1" t="str">
        <f t="shared" si="4"/>
        <v>No Badges</v>
      </c>
      <c r="J2974" s="3">
        <f t="shared" si="5"/>
        <v>0</v>
      </c>
    </row>
    <row r="2975">
      <c r="A2975" s="1" t="s">
        <v>1284</v>
      </c>
      <c r="B2975" s="3" t="str">
        <f t="shared" si="1"/>
        <v>Unavailable</v>
      </c>
      <c r="C2975" s="3">
        <v>172.0</v>
      </c>
      <c r="D2975" s="3">
        <f>IFERROR(__xludf.DUMMYFUNCTION("IFERROR(
IF(REGEXMATCH(LOWER(O2975),""k""),
VALUE(REGEXEXTRACT(O2975,""[0-9]+""))*1000,
VALUE(REGEXEXTRACT(O2975,""[0-9]+""))
),
0
)"),0.0)</f>
        <v>0</v>
      </c>
      <c r="E2975" s="1" t="s">
        <v>11</v>
      </c>
      <c r="F2975" s="1" t="s">
        <v>12</v>
      </c>
      <c r="G2975" s="4" t="b">
        <f t="shared" si="2"/>
        <v>1</v>
      </c>
      <c r="H2975" s="1" t="str">
        <f t="shared" si="3"/>
        <v>Currently Unavailable</v>
      </c>
      <c r="I2975" s="1" t="str">
        <f t="shared" si="4"/>
        <v>No Badges</v>
      </c>
      <c r="J2975" s="3">
        <f t="shared" si="5"/>
        <v>0</v>
      </c>
    </row>
    <row r="2976">
      <c r="A2976" s="1" t="s">
        <v>2299</v>
      </c>
      <c r="B2976" s="3" t="str">
        <f t="shared" si="1"/>
        <v>Unavailable</v>
      </c>
      <c r="C2976" s="3">
        <v>43.0</v>
      </c>
      <c r="D2976" s="3">
        <f>IFERROR(__xludf.DUMMYFUNCTION("IFERROR(
IF(REGEXMATCH(LOWER(O2976),""k""),
VALUE(REGEXEXTRACT(O2976,""[0-9]+""))*1000,
VALUE(REGEXEXTRACT(O2976,""[0-9]+""))
),
0
)"),0.0)</f>
        <v>0</v>
      </c>
      <c r="E2976" s="1" t="s">
        <v>11</v>
      </c>
      <c r="F2976" s="1" t="s">
        <v>20</v>
      </c>
      <c r="G2976" s="4" t="b">
        <f t="shared" si="2"/>
        <v>1</v>
      </c>
      <c r="H2976" s="1" t="str">
        <f t="shared" si="3"/>
        <v>Currently Unavailable</v>
      </c>
      <c r="I2976" s="1" t="str">
        <f t="shared" si="4"/>
        <v>No Badges</v>
      </c>
      <c r="J2976" s="3">
        <f t="shared" si="5"/>
        <v>0</v>
      </c>
    </row>
    <row r="2977">
      <c r="A2977" s="1" t="s">
        <v>1285</v>
      </c>
      <c r="B2977" s="3" t="str">
        <f t="shared" si="1"/>
        <v>Unavailable</v>
      </c>
      <c r="C2977" s="5">
        <v>3520.0</v>
      </c>
      <c r="D2977" s="3">
        <f>IFERROR(__xludf.DUMMYFUNCTION("IFERROR(
IF(REGEXMATCH(LOWER(O2977),""k""),
VALUE(REGEXEXTRACT(O2977,""[0-9]+""))*1000,
VALUE(REGEXEXTRACT(O2977,""[0-9]+""))
),
0
)"),0.0)</f>
        <v>0</v>
      </c>
      <c r="E2977" s="1" t="s">
        <v>11</v>
      </c>
      <c r="F2977" s="1" t="s">
        <v>12</v>
      </c>
      <c r="G2977" s="4" t="b">
        <f t="shared" si="2"/>
        <v>1</v>
      </c>
      <c r="H2977" s="1" t="str">
        <f t="shared" si="3"/>
        <v>Currently Unavailable</v>
      </c>
      <c r="I2977" s="1" t="str">
        <f t="shared" si="4"/>
        <v>No Badges</v>
      </c>
      <c r="J2977" s="3">
        <f t="shared" si="5"/>
        <v>0</v>
      </c>
    </row>
    <row r="2978">
      <c r="A2978" s="1" t="s">
        <v>2300</v>
      </c>
      <c r="B2978" s="3" t="str">
        <f t="shared" si="1"/>
        <v>Unavailable</v>
      </c>
      <c r="C2978" s="5">
        <v>9344.0</v>
      </c>
      <c r="D2978" s="3">
        <f>IFERROR(__xludf.DUMMYFUNCTION("IFERROR(
IF(REGEXMATCH(LOWER(O2978),""k""),
VALUE(REGEXEXTRACT(O2978,""[0-9]+""))*1000,
VALUE(REGEXEXTRACT(O2978,""[0-9]+""))
),
0
)"),0.0)</f>
        <v>0</v>
      </c>
      <c r="E2978" s="1" t="s">
        <v>11</v>
      </c>
      <c r="F2978" s="1" t="s">
        <v>20</v>
      </c>
      <c r="G2978" s="4" t="b">
        <f t="shared" si="2"/>
        <v>1</v>
      </c>
      <c r="H2978" s="1" t="str">
        <f t="shared" si="3"/>
        <v>Currently Unavailable</v>
      </c>
      <c r="I2978" s="1" t="str">
        <f t="shared" si="4"/>
        <v>No Badges</v>
      </c>
      <c r="J2978" s="3">
        <f t="shared" si="5"/>
        <v>0</v>
      </c>
    </row>
    <row r="2979">
      <c r="A2979" s="1" t="s">
        <v>1284</v>
      </c>
      <c r="B2979" s="3" t="str">
        <f t="shared" si="1"/>
        <v>Unavailable</v>
      </c>
      <c r="C2979" s="3">
        <v>172.0</v>
      </c>
      <c r="D2979" s="3">
        <f>IFERROR(__xludf.DUMMYFUNCTION("IFERROR(
IF(REGEXMATCH(LOWER(O2979),""k""),
VALUE(REGEXEXTRACT(O2979,""[0-9]+""))*1000,
VALUE(REGEXEXTRACT(O2979,""[0-9]+""))
),
0
)"),0.0)</f>
        <v>0</v>
      </c>
      <c r="E2979" s="1" t="s">
        <v>11</v>
      </c>
      <c r="F2979" s="1" t="s">
        <v>12</v>
      </c>
      <c r="G2979" s="4" t="b">
        <f t="shared" si="2"/>
        <v>1</v>
      </c>
      <c r="H2979" s="1" t="str">
        <f t="shared" si="3"/>
        <v>Currently Unavailable</v>
      </c>
      <c r="I2979" s="1" t="str">
        <f t="shared" si="4"/>
        <v>No Badges</v>
      </c>
      <c r="J2979" s="3">
        <f t="shared" si="5"/>
        <v>0</v>
      </c>
    </row>
    <row r="2980">
      <c r="A2980" s="1" t="s">
        <v>1285</v>
      </c>
      <c r="B2980" s="3" t="str">
        <f t="shared" si="1"/>
        <v>Unavailable</v>
      </c>
      <c r="C2980" s="5">
        <v>3520.0</v>
      </c>
      <c r="D2980" s="3">
        <f>IFERROR(__xludf.DUMMYFUNCTION("IFERROR(
IF(REGEXMATCH(LOWER(O2980),""k""),
VALUE(REGEXEXTRACT(O2980,""[0-9]+""))*1000,
VALUE(REGEXEXTRACT(O2980,""[0-9]+""))
),
0
)"),0.0)</f>
        <v>0</v>
      </c>
      <c r="E2980" s="1" t="s">
        <v>11</v>
      </c>
      <c r="F2980" s="1" t="s">
        <v>12</v>
      </c>
      <c r="G2980" s="4" t="b">
        <f t="shared" si="2"/>
        <v>1</v>
      </c>
      <c r="H2980" s="1" t="str">
        <f t="shared" si="3"/>
        <v>Currently Unavailable</v>
      </c>
      <c r="I2980" s="1" t="str">
        <f t="shared" si="4"/>
        <v>No Badges</v>
      </c>
      <c r="J2980" s="3">
        <f t="shared" si="5"/>
        <v>0</v>
      </c>
    </row>
    <row r="2981">
      <c r="A2981" s="1" t="s">
        <v>1284</v>
      </c>
      <c r="B2981" s="3" t="str">
        <f t="shared" si="1"/>
        <v>Unavailable</v>
      </c>
      <c r="C2981" s="3">
        <v>172.0</v>
      </c>
      <c r="D2981" s="3">
        <f>IFERROR(__xludf.DUMMYFUNCTION("IFERROR(
IF(REGEXMATCH(LOWER(O2981),""k""),
VALUE(REGEXEXTRACT(O2981,""[0-9]+""))*1000,
VALUE(REGEXEXTRACT(O2981,""[0-9]+""))
),
0
)"),0.0)</f>
        <v>0</v>
      </c>
      <c r="E2981" s="1" t="s">
        <v>11</v>
      </c>
      <c r="F2981" s="1" t="s">
        <v>12</v>
      </c>
      <c r="G2981" s="4" t="b">
        <f t="shared" si="2"/>
        <v>1</v>
      </c>
      <c r="H2981" s="1" t="str">
        <f t="shared" si="3"/>
        <v>Currently Unavailable</v>
      </c>
      <c r="I2981" s="1" t="str">
        <f t="shared" si="4"/>
        <v>No Badges</v>
      </c>
      <c r="J2981" s="3">
        <f t="shared" si="5"/>
        <v>0</v>
      </c>
    </row>
    <row r="2982">
      <c r="A2982" s="1" t="s">
        <v>2301</v>
      </c>
      <c r="B2982" s="3" t="str">
        <f t="shared" si="1"/>
        <v>Unavailable</v>
      </c>
      <c r="C2982" s="5">
        <v>1580.0</v>
      </c>
      <c r="D2982" s="3">
        <f>IFERROR(__xludf.DUMMYFUNCTION("IFERROR(
IF(REGEXMATCH(LOWER(O2982),""k""),
VALUE(REGEXEXTRACT(O2982,""[0-9]+""))*1000,
VALUE(REGEXEXTRACT(O2982,""[0-9]+""))
),
0
)"),0.0)</f>
        <v>0</v>
      </c>
      <c r="E2982" s="1" t="s">
        <v>11</v>
      </c>
      <c r="F2982" s="1" t="s">
        <v>20</v>
      </c>
      <c r="G2982" s="4" t="b">
        <f t="shared" si="2"/>
        <v>1</v>
      </c>
      <c r="H2982" s="1" t="str">
        <f t="shared" si="3"/>
        <v>Currently Unavailable</v>
      </c>
      <c r="I2982" s="1" t="str">
        <f t="shared" si="4"/>
        <v>No Badges</v>
      </c>
      <c r="J2982" s="3">
        <f t="shared" si="5"/>
        <v>0</v>
      </c>
    </row>
    <row r="2983">
      <c r="A2983" s="1" t="s">
        <v>1285</v>
      </c>
      <c r="B2983" s="3" t="str">
        <f t="shared" si="1"/>
        <v>Unavailable</v>
      </c>
      <c r="C2983" s="5">
        <v>3520.0</v>
      </c>
      <c r="D2983" s="3">
        <f>IFERROR(__xludf.DUMMYFUNCTION("IFERROR(
IF(REGEXMATCH(LOWER(O2983),""k""),
VALUE(REGEXEXTRACT(O2983,""[0-9]+""))*1000,
VALUE(REGEXEXTRACT(O2983,""[0-9]+""))
),
0
)"),0.0)</f>
        <v>0</v>
      </c>
      <c r="E2983" s="1" t="s">
        <v>11</v>
      </c>
      <c r="F2983" s="1" t="s">
        <v>12</v>
      </c>
      <c r="G2983" s="4" t="b">
        <f t="shared" si="2"/>
        <v>1</v>
      </c>
      <c r="H2983" s="1" t="str">
        <f t="shared" si="3"/>
        <v>Currently Unavailable</v>
      </c>
      <c r="I2983" s="1" t="str">
        <f t="shared" si="4"/>
        <v>No Badges</v>
      </c>
      <c r="J2983" s="3">
        <f t="shared" si="5"/>
        <v>0</v>
      </c>
    </row>
    <row r="2984">
      <c r="A2984" s="1" t="s">
        <v>1285</v>
      </c>
      <c r="B2984" s="3" t="str">
        <f t="shared" si="1"/>
        <v>Unavailable</v>
      </c>
      <c r="C2984" s="5">
        <v>3520.0</v>
      </c>
      <c r="D2984" s="3">
        <f>IFERROR(__xludf.DUMMYFUNCTION("IFERROR(
IF(REGEXMATCH(LOWER(O2984),""k""),
VALUE(REGEXEXTRACT(O2984,""[0-9]+""))*1000,
VALUE(REGEXEXTRACT(O2984,""[0-9]+""))
),
0
)"),0.0)</f>
        <v>0</v>
      </c>
      <c r="E2984" s="1" t="s">
        <v>11</v>
      </c>
      <c r="F2984" s="1" t="s">
        <v>12</v>
      </c>
      <c r="G2984" s="4" t="b">
        <f t="shared" si="2"/>
        <v>1</v>
      </c>
      <c r="H2984" s="1" t="str">
        <f t="shared" si="3"/>
        <v>Currently Unavailable</v>
      </c>
      <c r="I2984" s="1" t="str">
        <f t="shared" si="4"/>
        <v>No Badges</v>
      </c>
      <c r="J2984" s="3">
        <f t="shared" si="5"/>
        <v>0</v>
      </c>
    </row>
    <row r="2985">
      <c r="A2985" s="1" t="s">
        <v>1284</v>
      </c>
      <c r="B2985" s="3" t="str">
        <f t="shared" si="1"/>
        <v>Unavailable</v>
      </c>
      <c r="C2985" s="3">
        <v>172.0</v>
      </c>
      <c r="D2985" s="3">
        <f>IFERROR(__xludf.DUMMYFUNCTION("IFERROR(
IF(REGEXMATCH(LOWER(O2985),""k""),
VALUE(REGEXEXTRACT(O2985,""[0-9]+""))*1000,
VALUE(REGEXEXTRACT(O2985,""[0-9]+""))
),
0
)"),0.0)</f>
        <v>0</v>
      </c>
      <c r="E2985" s="1" t="s">
        <v>11</v>
      </c>
      <c r="F2985" s="1" t="s">
        <v>12</v>
      </c>
      <c r="G2985" s="4" t="b">
        <f t="shared" si="2"/>
        <v>1</v>
      </c>
      <c r="H2985" s="1" t="str">
        <f t="shared" si="3"/>
        <v>Currently Unavailable</v>
      </c>
      <c r="I2985" s="1" t="str">
        <f t="shared" si="4"/>
        <v>No Badges</v>
      </c>
      <c r="J2985" s="3">
        <f t="shared" si="5"/>
        <v>0</v>
      </c>
    </row>
    <row r="2986">
      <c r="A2986" s="1" t="s">
        <v>2026</v>
      </c>
      <c r="B2986" s="3" t="str">
        <f t="shared" si="1"/>
        <v>Unavailable</v>
      </c>
      <c r="C2986" s="5">
        <v>1758.0</v>
      </c>
      <c r="D2986" s="3">
        <f>IFERROR(__xludf.DUMMYFUNCTION("IFERROR(
IF(REGEXMATCH(LOWER(O2986),""k""),
VALUE(REGEXEXTRACT(O2986,""[0-9]+""))*1000,
VALUE(REGEXEXTRACT(O2986,""[0-9]+""))
),
0
)"),0.0)</f>
        <v>0</v>
      </c>
      <c r="E2986" s="1" t="s">
        <v>18</v>
      </c>
      <c r="F2986" s="1" t="s">
        <v>12</v>
      </c>
      <c r="G2986" s="4" t="b">
        <f t="shared" si="2"/>
        <v>1</v>
      </c>
      <c r="H2986" s="1" t="str">
        <f t="shared" si="3"/>
        <v>Currently Unavailable</v>
      </c>
      <c r="I2986" s="1" t="str">
        <f t="shared" si="4"/>
        <v>No Badges</v>
      </c>
      <c r="J2986" s="3">
        <f t="shared" si="5"/>
        <v>0</v>
      </c>
    </row>
    <row r="2987">
      <c r="A2987" s="1" t="s">
        <v>67</v>
      </c>
      <c r="B2987" s="3" t="str">
        <f t="shared" si="1"/>
        <v>Unavailable</v>
      </c>
      <c r="C2987" s="3">
        <v>264.0</v>
      </c>
      <c r="D2987" s="3">
        <f>IFERROR(__xludf.DUMMYFUNCTION("IFERROR(
IF(REGEXMATCH(LOWER(O2987),""k""),
VALUE(REGEXEXTRACT(O2987,""[0-9]+""))*1000,
VALUE(REGEXEXTRACT(O2987,""[0-9]+""))
),
0
)"),0.0)</f>
        <v>0</v>
      </c>
      <c r="E2987" s="1" t="s">
        <v>11</v>
      </c>
      <c r="F2987" s="1" t="s">
        <v>12</v>
      </c>
      <c r="G2987" s="4" t="b">
        <f t="shared" si="2"/>
        <v>1</v>
      </c>
      <c r="H2987" s="1" t="str">
        <f t="shared" si="3"/>
        <v>Currently Unavailable</v>
      </c>
      <c r="I2987" s="1" t="str">
        <f t="shared" si="4"/>
        <v>No Badges</v>
      </c>
      <c r="J2987" s="3">
        <f t="shared" si="5"/>
        <v>0</v>
      </c>
    </row>
    <row r="2988">
      <c r="A2988" s="1" t="s">
        <v>2302</v>
      </c>
      <c r="B2988" s="3" t="str">
        <f t="shared" si="1"/>
        <v>Unavailable</v>
      </c>
      <c r="C2988" s="3">
        <v>13.0</v>
      </c>
      <c r="D2988" s="3">
        <f>IFERROR(__xludf.DUMMYFUNCTION("IFERROR(
IF(REGEXMATCH(LOWER(O2988),""k""),
VALUE(REGEXEXTRACT(O2988,""[0-9]+""))*1000,
VALUE(REGEXEXTRACT(O2988,""[0-9]+""))
),
0
)"),0.0)</f>
        <v>0</v>
      </c>
      <c r="E2988" s="1" t="s">
        <v>11</v>
      </c>
      <c r="F2988" s="1" t="s">
        <v>12</v>
      </c>
      <c r="G2988" s="4" t="b">
        <f t="shared" si="2"/>
        <v>1</v>
      </c>
      <c r="H2988" s="1" t="str">
        <f t="shared" si="3"/>
        <v>Currently Unavailable</v>
      </c>
      <c r="I2988" s="1" t="str">
        <f t="shared" si="4"/>
        <v>No Badges</v>
      </c>
      <c r="J2988" s="3">
        <f t="shared" si="5"/>
        <v>0</v>
      </c>
    </row>
    <row r="2989">
      <c r="A2989" s="1" t="s">
        <v>701</v>
      </c>
      <c r="B2989" s="3" t="str">
        <f t="shared" si="1"/>
        <v>Unavailable</v>
      </c>
      <c r="C2989" s="3">
        <v>8.0</v>
      </c>
      <c r="D2989" s="3">
        <f>IFERROR(__xludf.DUMMYFUNCTION("IFERROR(
IF(REGEXMATCH(LOWER(O2989),""k""),
VALUE(REGEXEXTRACT(O2989,""[0-9]+""))*1000,
VALUE(REGEXEXTRACT(O2989,""[0-9]+""))
),
0
)"),0.0)</f>
        <v>0</v>
      </c>
      <c r="E2989" s="1" t="s">
        <v>11</v>
      </c>
      <c r="F2989" s="1" t="s">
        <v>12</v>
      </c>
      <c r="G2989" s="4" t="b">
        <f t="shared" si="2"/>
        <v>1</v>
      </c>
      <c r="H2989" s="1" t="str">
        <f t="shared" si="3"/>
        <v>Currently Unavailable</v>
      </c>
      <c r="I2989" s="1" t="str">
        <f t="shared" si="4"/>
        <v>No Badges</v>
      </c>
      <c r="J2989" s="3">
        <f t="shared" si="5"/>
        <v>0</v>
      </c>
    </row>
    <row r="2990">
      <c r="A2990" s="1" t="s">
        <v>1284</v>
      </c>
      <c r="B2990" s="3" t="str">
        <f t="shared" si="1"/>
        <v>Unavailable</v>
      </c>
      <c r="C2990" s="3">
        <v>172.0</v>
      </c>
      <c r="D2990" s="3">
        <f>IFERROR(__xludf.DUMMYFUNCTION("IFERROR(
IF(REGEXMATCH(LOWER(O2990),""k""),
VALUE(REGEXEXTRACT(O2990,""[0-9]+""))*1000,
VALUE(REGEXEXTRACT(O2990,""[0-9]+""))
),
0
)"),0.0)</f>
        <v>0</v>
      </c>
      <c r="E2990" s="1" t="s">
        <v>11</v>
      </c>
      <c r="F2990" s="1" t="s">
        <v>12</v>
      </c>
      <c r="G2990" s="4" t="b">
        <f t="shared" si="2"/>
        <v>1</v>
      </c>
      <c r="H2990" s="1" t="str">
        <f t="shared" si="3"/>
        <v>Currently Unavailable</v>
      </c>
      <c r="I2990" s="1" t="str">
        <f t="shared" si="4"/>
        <v>No Badges</v>
      </c>
      <c r="J2990" s="3">
        <f t="shared" si="5"/>
        <v>0</v>
      </c>
    </row>
    <row r="2991">
      <c r="A2991" s="1" t="s">
        <v>1285</v>
      </c>
      <c r="B2991" s="3" t="str">
        <f t="shared" si="1"/>
        <v>Unavailable</v>
      </c>
      <c r="C2991" s="5">
        <v>3520.0</v>
      </c>
      <c r="D2991" s="3">
        <f>IFERROR(__xludf.DUMMYFUNCTION("IFERROR(
IF(REGEXMATCH(LOWER(O2991),""k""),
VALUE(REGEXEXTRACT(O2991,""[0-9]+""))*1000,
VALUE(REGEXEXTRACT(O2991,""[0-9]+""))
),
0
)"),0.0)</f>
        <v>0</v>
      </c>
      <c r="E2991" s="1" t="s">
        <v>11</v>
      </c>
      <c r="F2991" s="1" t="s">
        <v>12</v>
      </c>
      <c r="G2991" s="4" t="b">
        <f t="shared" si="2"/>
        <v>1</v>
      </c>
      <c r="H2991" s="1" t="str">
        <f t="shared" si="3"/>
        <v>Currently Unavailable</v>
      </c>
      <c r="I2991" s="1" t="str">
        <f t="shared" si="4"/>
        <v>No Badges</v>
      </c>
      <c r="J2991" s="3">
        <f t="shared" si="5"/>
        <v>0</v>
      </c>
    </row>
    <row r="2992">
      <c r="A2992" s="1" t="s">
        <v>1284</v>
      </c>
      <c r="B2992" s="3" t="str">
        <f t="shared" si="1"/>
        <v>Unavailable</v>
      </c>
      <c r="C2992" s="3">
        <v>172.0</v>
      </c>
      <c r="D2992" s="3">
        <f>IFERROR(__xludf.DUMMYFUNCTION("IFERROR(
IF(REGEXMATCH(LOWER(O2992),""k""),
VALUE(REGEXEXTRACT(O2992,""[0-9]+""))*1000,
VALUE(REGEXEXTRACT(O2992,""[0-9]+""))
),
0
)"),0.0)</f>
        <v>0</v>
      </c>
      <c r="E2992" s="1" t="s">
        <v>11</v>
      </c>
      <c r="F2992" s="1" t="s">
        <v>12</v>
      </c>
      <c r="G2992" s="4" t="b">
        <f t="shared" si="2"/>
        <v>1</v>
      </c>
      <c r="H2992" s="1" t="str">
        <f t="shared" si="3"/>
        <v>Currently Unavailable</v>
      </c>
      <c r="I2992" s="1" t="str">
        <f t="shared" si="4"/>
        <v>No Badges</v>
      </c>
      <c r="J2992" s="3">
        <f t="shared" si="5"/>
        <v>0</v>
      </c>
    </row>
    <row r="2993">
      <c r="A2993" s="1" t="s">
        <v>2303</v>
      </c>
      <c r="B2993" s="3" t="str">
        <f t="shared" si="1"/>
        <v>Unavailable</v>
      </c>
      <c r="C2993" s="5">
        <v>4543.0</v>
      </c>
      <c r="D2993" s="3">
        <f>IFERROR(__xludf.DUMMYFUNCTION("IFERROR(
IF(REGEXMATCH(LOWER(O2993),""k""),
VALUE(REGEXEXTRACT(O2993,""[0-9]+""))*1000,
VALUE(REGEXEXTRACT(O2993,""[0-9]+""))
),
0
)"),0.0)</f>
        <v>0</v>
      </c>
      <c r="E2993" s="1" t="s">
        <v>11</v>
      </c>
      <c r="F2993" s="1" t="s">
        <v>20</v>
      </c>
      <c r="G2993" s="4" t="b">
        <f t="shared" si="2"/>
        <v>1</v>
      </c>
      <c r="H2993" s="1" t="str">
        <f t="shared" si="3"/>
        <v>Currently Unavailable</v>
      </c>
      <c r="I2993" s="1" t="str">
        <f t="shared" si="4"/>
        <v>No Badges</v>
      </c>
      <c r="J2993" s="3">
        <f t="shared" si="5"/>
        <v>0</v>
      </c>
    </row>
    <row r="2994">
      <c r="A2994" s="1" t="s">
        <v>2304</v>
      </c>
      <c r="B2994" s="3" t="str">
        <f t="shared" si="1"/>
        <v>Unavailable</v>
      </c>
      <c r="C2994" s="5">
        <v>33779.0</v>
      </c>
      <c r="D2994" s="3">
        <f>IFERROR(__xludf.DUMMYFUNCTION("IFERROR(
IF(REGEXMATCH(LOWER(O2994),""k""),
VALUE(REGEXEXTRACT(O2994,""[0-9]+""))*1000,
VALUE(REGEXEXTRACT(O2994,""[0-9]+""))
),
0
)"),0.0)</f>
        <v>0</v>
      </c>
      <c r="E2994" s="1" t="s">
        <v>11</v>
      </c>
      <c r="F2994" s="1" t="s">
        <v>20</v>
      </c>
      <c r="G2994" s="4" t="b">
        <f t="shared" si="2"/>
        <v>1</v>
      </c>
      <c r="H2994" s="1" t="str">
        <f t="shared" si="3"/>
        <v>Currently Unavailable</v>
      </c>
      <c r="I2994" s="1" t="str">
        <f t="shared" si="4"/>
        <v>No Badges</v>
      </c>
      <c r="J2994" s="3">
        <f t="shared" si="5"/>
        <v>0</v>
      </c>
    </row>
    <row r="2995">
      <c r="A2995" s="1" t="s">
        <v>1285</v>
      </c>
      <c r="B2995" s="3" t="str">
        <f t="shared" si="1"/>
        <v>Unavailable</v>
      </c>
      <c r="C2995" s="5">
        <v>3520.0</v>
      </c>
      <c r="D2995" s="3">
        <f>IFERROR(__xludf.DUMMYFUNCTION("IFERROR(
IF(REGEXMATCH(LOWER(O2995),""k""),
VALUE(REGEXEXTRACT(O2995,""[0-9]+""))*1000,
VALUE(REGEXEXTRACT(O2995,""[0-9]+""))
),
0
)"),0.0)</f>
        <v>0</v>
      </c>
      <c r="E2995" s="1" t="s">
        <v>11</v>
      </c>
      <c r="F2995" s="1" t="s">
        <v>12</v>
      </c>
      <c r="G2995" s="4" t="b">
        <f t="shared" si="2"/>
        <v>1</v>
      </c>
      <c r="H2995" s="1" t="str">
        <f t="shared" si="3"/>
        <v>Currently Unavailable</v>
      </c>
      <c r="I2995" s="1" t="str">
        <f t="shared" si="4"/>
        <v>No Badges</v>
      </c>
      <c r="J2995" s="3">
        <f t="shared" si="5"/>
        <v>0</v>
      </c>
    </row>
    <row r="2996">
      <c r="A2996" s="1" t="s">
        <v>2305</v>
      </c>
      <c r="B2996" s="3" t="str">
        <f t="shared" si="1"/>
        <v>Unavailable</v>
      </c>
      <c r="C2996" s="3">
        <v>542.0</v>
      </c>
      <c r="D2996" s="3">
        <f>IFERROR(__xludf.DUMMYFUNCTION("IFERROR(
IF(REGEXMATCH(LOWER(O2996),""k""),
VALUE(REGEXEXTRACT(O2996,""[0-9]+""))*1000,
VALUE(REGEXEXTRACT(O2996,""[0-9]+""))
),
0
)"),0.0)</f>
        <v>0</v>
      </c>
      <c r="E2996" s="1" t="s">
        <v>11</v>
      </c>
      <c r="F2996" s="1" t="s">
        <v>20</v>
      </c>
      <c r="G2996" s="4" t="b">
        <f t="shared" si="2"/>
        <v>1</v>
      </c>
      <c r="H2996" s="1" t="str">
        <f t="shared" si="3"/>
        <v>Currently Unavailable</v>
      </c>
      <c r="I2996" s="1" t="str">
        <f t="shared" si="4"/>
        <v>No Badges</v>
      </c>
      <c r="J2996" s="3">
        <f t="shared" si="5"/>
        <v>0</v>
      </c>
    </row>
    <row r="2997">
      <c r="A2997" s="1" t="s">
        <v>2306</v>
      </c>
      <c r="B2997" s="3" t="str">
        <f t="shared" si="1"/>
        <v>Unavailable</v>
      </c>
      <c r="C2997" s="5">
        <v>1267.0</v>
      </c>
      <c r="D2997" s="3">
        <f>IFERROR(__xludf.DUMMYFUNCTION("IFERROR(
IF(REGEXMATCH(LOWER(O2997),""k""),
VALUE(REGEXEXTRACT(O2997,""[0-9]+""))*1000,
VALUE(REGEXEXTRACT(O2997,""[0-9]+""))
),
0
)"),0.0)</f>
        <v>0</v>
      </c>
      <c r="E2997" s="1" t="s">
        <v>11</v>
      </c>
      <c r="F2997" s="1" t="s">
        <v>20</v>
      </c>
      <c r="G2997" s="4" t="b">
        <f t="shared" si="2"/>
        <v>1</v>
      </c>
      <c r="H2997" s="1" t="str">
        <f t="shared" si="3"/>
        <v>Currently Unavailable</v>
      </c>
      <c r="I2997" s="1" t="str">
        <f t="shared" si="4"/>
        <v>No Badges</v>
      </c>
      <c r="J2997" s="3">
        <f t="shared" si="5"/>
        <v>0</v>
      </c>
    </row>
    <row r="2998">
      <c r="A2998" s="1" t="s">
        <v>1284</v>
      </c>
      <c r="B2998" s="3" t="str">
        <f t="shared" si="1"/>
        <v>Unavailable</v>
      </c>
      <c r="C2998" s="3">
        <v>172.0</v>
      </c>
      <c r="D2998" s="3">
        <f>IFERROR(__xludf.DUMMYFUNCTION("IFERROR(
IF(REGEXMATCH(LOWER(O2998),""k""),
VALUE(REGEXEXTRACT(O2998,""[0-9]+""))*1000,
VALUE(REGEXEXTRACT(O2998,""[0-9]+""))
),
0
)"),0.0)</f>
        <v>0</v>
      </c>
      <c r="E2998" s="1" t="s">
        <v>11</v>
      </c>
      <c r="F2998" s="1" t="s">
        <v>12</v>
      </c>
      <c r="G2998" s="4" t="b">
        <f t="shared" si="2"/>
        <v>1</v>
      </c>
      <c r="H2998" s="1" t="str">
        <f t="shared" si="3"/>
        <v>Currently Unavailable</v>
      </c>
      <c r="I2998" s="1" t="str">
        <f t="shared" si="4"/>
        <v>No Badges</v>
      </c>
      <c r="J2998" s="3">
        <f t="shared" si="5"/>
        <v>0</v>
      </c>
    </row>
    <row r="2999">
      <c r="A2999" s="1" t="s">
        <v>2307</v>
      </c>
      <c r="B2999" s="3" t="str">
        <f t="shared" si="1"/>
        <v>Unavailable</v>
      </c>
      <c r="C2999" s="5">
        <v>10462.0</v>
      </c>
      <c r="D2999" s="3">
        <f>IFERROR(__xludf.DUMMYFUNCTION("IFERROR(
IF(REGEXMATCH(LOWER(O2999),""k""),
VALUE(REGEXEXTRACT(O2999,""[0-9]+""))*1000,
VALUE(REGEXEXTRACT(O2999,""[0-9]+""))
),
0
)"),0.0)</f>
        <v>0</v>
      </c>
      <c r="E2999" s="1" t="s">
        <v>11</v>
      </c>
      <c r="F2999" s="1" t="s">
        <v>20</v>
      </c>
      <c r="G2999" s="4" t="b">
        <f t="shared" si="2"/>
        <v>1</v>
      </c>
      <c r="H2999" s="1" t="str">
        <f t="shared" si="3"/>
        <v>Currently Unavailable</v>
      </c>
      <c r="I2999" s="1" t="str">
        <f t="shared" si="4"/>
        <v>No Badges</v>
      </c>
      <c r="J2999" s="3">
        <f t="shared" si="5"/>
        <v>0</v>
      </c>
    </row>
    <row r="3000">
      <c r="A3000" s="1" t="s">
        <v>1285</v>
      </c>
      <c r="B3000" s="3" t="str">
        <f t="shared" si="1"/>
        <v>Unavailable</v>
      </c>
      <c r="C3000" s="5">
        <v>3520.0</v>
      </c>
      <c r="D3000" s="3">
        <f>IFERROR(__xludf.DUMMYFUNCTION("IFERROR(
IF(REGEXMATCH(LOWER(O3000),""k""),
VALUE(REGEXEXTRACT(O3000,""[0-9]+""))*1000,
VALUE(REGEXEXTRACT(O3000,""[0-9]+""))
),
0
)"),0.0)</f>
        <v>0</v>
      </c>
      <c r="E3000" s="1" t="s">
        <v>11</v>
      </c>
      <c r="F3000" s="1" t="s">
        <v>12</v>
      </c>
      <c r="G3000" s="4" t="b">
        <f t="shared" si="2"/>
        <v>1</v>
      </c>
      <c r="H3000" s="1" t="str">
        <f t="shared" si="3"/>
        <v>Currently Unavailable</v>
      </c>
      <c r="I3000" s="1" t="str">
        <f t="shared" si="4"/>
        <v>No Badges</v>
      </c>
      <c r="J3000" s="3">
        <f t="shared" si="5"/>
        <v>0</v>
      </c>
    </row>
    <row r="3001">
      <c r="A3001" s="1" t="s">
        <v>1284</v>
      </c>
      <c r="B3001" s="3" t="str">
        <f t="shared" si="1"/>
        <v>Unavailable</v>
      </c>
      <c r="C3001" s="3">
        <v>172.0</v>
      </c>
      <c r="D3001" s="3">
        <f>IFERROR(__xludf.DUMMYFUNCTION("IFERROR(
IF(REGEXMATCH(LOWER(O3001),""k""),
VALUE(REGEXEXTRACT(O3001,""[0-9]+""))*1000,
VALUE(REGEXEXTRACT(O3001,""[0-9]+""))
),
0
)"),0.0)</f>
        <v>0</v>
      </c>
      <c r="E3001" s="1" t="s">
        <v>11</v>
      </c>
      <c r="F3001" s="1" t="s">
        <v>12</v>
      </c>
      <c r="G3001" s="4" t="b">
        <f t="shared" si="2"/>
        <v>1</v>
      </c>
      <c r="H3001" s="1" t="str">
        <f t="shared" si="3"/>
        <v>Currently Unavailable</v>
      </c>
      <c r="I3001" s="1" t="str">
        <f t="shared" si="4"/>
        <v>No Badges</v>
      </c>
      <c r="J3001" s="3">
        <f t="shared" si="5"/>
        <v>0</v>
      </c>
    </row>
    <row r="3002">
      <c r="A3002" s="1" t="s">
        <v>2308</v>
      </c>
      <c r="B3002" s="3" t="str">
        <f t="shared" si="1"/>
        <v>Unavailable</v>
      </c>
      <c r="C3002" s="5">
        <v>1670.0</v>
      </c>
      <c r="D3002" s="3">
        <f>IFERROR(__xludf.DUMMYFUNCTION("IFERROR(
IF(REGEXMATCH(LOWER(O3002),""k""),
VALUE(REGEXEXTRACT(O3002,""[0-9]+""))*1000,
VALUE(REGEXEXTRACT(O3002,""[0-9]+""))
),
0
)"),0.0)</f>
        <v>0</v>
      </c>
      <c r="E3002" s="1" t="s">
        <v>11</v>
      </c>
      <c r="F3002" s="1" t="s">
        <v>20</v>
      </c>
      <c r="G3002" s="4" t="b">
        <f t="shared" si="2"/>
        <v>1</v>
      </c>
      <c r="H3002" s="1" t="str">
        <f t="shared" si="3"/>
        <v>Currently Unavailable</v>
      </c>
      <c r="I3002" s="1" t="str">
        <f t="shared" si="4"/>
        <v>No Badges</v>
      </c>
      <c r="J3002" s="3">
        <f t="shared" si="5"/>
        <v>0</v>
      </c>
    </row>
    <row r="3003">
      <c r="A3003" s="1" t="s">
        <v>1285</v>
      </c>
      <c r="B3003" s="3" t="str">
        <f t="shared" si="1"/>
        <v>Unavailable</v>
      </c>
      <c r="C3003" s="5">
        <v>3520.0</v>
      </c>
      <c r="D3003" s="3">
        <f>IFERROR(__xludf.DUMMYFUNCTION("IFERROR(
IF(REGEXMATCH(LOWER(O3003),""k""),
VALUE(REGEXEXTRACT(O3003,""[0-9]+""))*1000,
VALUE(REGEXEXTRACT(O3003,""[0-9]+""))
),
0
)"),0.0)</f>
        <v>0</v>
      </c>
      <c r="E3003" s="1" t="s">
        <v>11</v>
      </c>
      <c r="F3003" s="1" t="s">
        <v>12</v>
      </c>
      <c r="G3003" s="4" t="b">
        <f t="shared" si="2"/>
        <v>1</v>
      </c>
      <c r="H3003" s="1" t="str">
        <f t="shared" si="3"/>
        <v>Currently Unavailable</v>
      </c>
      <c r="I3003" s="1" t="str">
        <f t="shared" si="4"/>
        <v>No Badges</v>
      </c>
      <c r="J3003" s="3">
        <f t="shared" si="5"/>
        <v>0</v>
      </c>
    </row>
    <row r="3004">
      <c r="A3004" s="1" t="s">
        <v>1284</v>
      </c>
      <c r="B3004" s="3" t="str">
        <f t="shared" si="1"/>
        <v>Unavailable</v>
      </c>
      <c r="C3004" s="3">
        <v>172.0</v>
      </c>
      <c r="D3004" s="3">
        <f>IFERROR(__xludf.DUMMYFUNCTION("IFERROR(
IF(REGEXMATCH(LOWER(O3004),""k""),
VALUE(REGEXEXTRACT(O3004,""[0-9]+""))*1000,
VALUE(REGEXEXTRACT(O3004,""[0-9]+""))
),
0
)"),0.0)</f>
        <v>0</v>
      </c>
      <c r="E3004" s="1" t="s">
        <v>11</v>
      </c>
      <c r="F3004" s="1" t="s">
        <v>12</v>
      </c>
      <c r="G3004" s="4" t="b">
        <f t="shared" si="2"/>
        <v>1</v>
      </c>
      <c r="H3004" s="1" t="str">
        <f t="shared" si="3"/>
        <v>Currently Unavailable</v>
      </c>
      <c r="I3004" s="1" t="str">
        <f t="shared" si="4"/>
        <v>No Badges</v>
      </c>
      <c r="J3004" s="3">
        <f t="shared" si="5"/>
        <v>0</v>
      </c>
    </row>
    <row r="3005">
      <c r="A3005" s="1" t="s">
        <v>2309</v>
      </c>
      <c r="B3005" s="3" t="str">
        <f t="shared" si="1"/>
        <v>Unavailable</v>
      </c>
      <c r="C3005" s="5">
        <v>1807.0</v>
      </c>
      <c r="D3005" s="3">
        <f>IFERROR(__xludf.DUMMYFUNCTION("IFERROR(
IF(REGEXMATCH(LOWER(O3005),""k""),
VALUE(REGEXEXTRACT(O3005,""[0-9]+""))*1000,
VALUE(REGEXEXTRACT(O3005,""[0-9]+""))
),
0
)"),0.0)</f>
        <v>0</v>
      </c>
      <c r="E3005" s="1" t="s">
        <v>11</v>
      </c>
      <c r="F3005" s="1" t="s">
        <v>20</v>
      </c>
      <c r="G3005" s="4" t="b">
        <f t="shared" si="2"/>
        <v>1</v>
      </c>
      <c r="H3005" s="1" t="str">
        <f t="shared" si="3"/>
        <v>Currently Unavailable</v>
      </c>
      <c r="I3005" s="1" t="str">
        <f t="shared" si="4"/>
        <v>No Badges</v>
      </c>
      <c r="J3005" s="3">
        <f t="shared" si="5"/>
        <v>0</v>
      </c>
    </row>
    <row r="3006">
      <c r="A3006" s="1" t="s">
        <v>2310</v>
      </c>
      <c r="B3006" s="3" t="str">
        <f t="shared" si="1"/>
        <v>Unavailable</v>
      </c>
      <c r="C3006" s="3">
        <v>284.0</v>
      </c>
      <c r="D3006" s="3">
        <f>IFERROR(__xludf.DUMMYFUNCTION("IFERROR(
IF(REGEXMATCH(LOWER(O3006),""k""),
VALUE(REGEXEXTRACT(O3006,""[0-9]+""))*1000,
VALUE(REGEXEXTRACT(O3006,""[0-9]+""))
),
0
)"),0.0)</f>
        <v>0</v>
      </c>
      <c r="E3006" s="1" t="s">
        <v>11</v>
      </c>
      <c r="F3006" s="1" t="s">
        <v>20</v>
      </c>
      <c r="G3006" s="4" t="b">
        <f t="shared" si="2"/>
        <v>1</v>
      </c>
      <c r="H3006" s="1" t="str">
        <f t="shared" si="3"/>
        <v>Currently Unavailable</v>
      </c>
      <c r="I3006" s="1" t="str">
        <f t="shared" si="4"/>
        <v>No Badges</v>
      </c>
      <c r="J3006" s="3">
        <f t="shared" si="5"/>
        <v>0</v>
      </c>
    </row>
    <row r="3007">
      <c r="A3007" s="1" t="s">
        <v>1284</v>
      </c>
      <c r="B3007" s="3" t="str">
        <f t="shared" si="1"/>
        <v>Unavailable</v>
      </c>
      <c r="C3007" s="3">
        <v>172.0</v>
      </c>
      <c r="D3007" s="3">
        <f>IFERROR(__xludf.DUMMYFUNCTION("IFERROR(
IF(REGEXMATCH(LOWER(O3007),""k""),
VALUE(REGEXEXTRACT(O3007,""[0-9]+""))*1000,
VALUE(REGEXEXTRACT(O3007,""[0-9]+""))
),
0
)"),0.0)</f>
        <v>0</v>
      </c>
      <c r="E3007" s="1" t="s">
        <v>11</v>
      </c>
      <c r="F3007" s="1" t="s">
        <v>12</v>
      </c>
      <c r="G3007" s="4" t="b">
        <f t="shared" si="2"/>
        <v>1</v>
      </c>
      <c r="H3007" s="1" t="str">
        <f t="shared" si="3"/>
        <v>Currently Unavailable</v>
      </c>
      <c r="I3007" s="1" t="str">
        <f t="shared" si="4"/>
        <v>No Badges</v>
      </c>
      <c r="J3007" s="3">
        <f t="shared" si="5"/>
        <v>0</v>
      </c>
    </row>
    <row r="3008">
      <c r="A3008" s="1" t="s">
        <v>1285</v>
      </c>
      <c r="B3008" s="3" t="str">
        <f t="shared" si="1"/>
        <v>Unavailable</v>
      </c>
      <c r="C3008" s="5">
        <v>3520.0</v>
      </c>
      <c r="D3008" s="3">
        <f>IFERROR(__xludf.DUMMYFUNCTION("IFERROR(
IF(REGEXMATCH(LOWER(O3008),""k""),
VALUE(REGEXEXTRACT(O3008,""[0-9]+""))*1000,
VALUE(REGEXEXTRACT(O3008,""[0-9]+""))
),
0
)"),0.0)</f>
        <v>0</v>
      </c>
      <c r="E3008" s="1" t="s">
        <v>11</v>
      </c>
      <c r="F3008" s="1" t="s">
        <v>12</v>
      </c>
      <c r="G3008" s="4" t="b">
        <f t="shared" si="2"/>
        <v>1</v>
      </c>
      <c r="H3008" s="1" t="str">
        <f t="shared" si="3"/>
        <v>Currently Unavailable</v>
      </c>
      <c r="I3008" s="1" t="str">
        <f t="shared" si="4"/>
        <v>No Badges</v>
      </c>
      <c r="J3008" s="3">
        <f t="shared" si="5"/>
        <v>0</v>
      </c>
    </row>
    <row r="3009">
      <c r="A3009" s="1" t="s">
        <v>1284</v>
      </c>
      <c r="B3009" s="3" t="str">
        <f t="shared" si="1"/>
        <v>Unavailable</v>
      </c>
      <c r="C3009" s="3">
        <v>172.0</v>
      </c>
      <c r="D3009" s="3">
        <f>IFERROR(__xludf.DUMMYFUNCTION("IFERROR(
IF(REGEXMATCH(LOWER(O3009),""k""),
VALUE(REGEXEXTRACT(O3009,""[0-9]+""))*1000,
VALUE(REGEXEXTRACT(O3009,""[0-9]+""))
),
0
)"),0.0)</f>
        <v>0</v>
      </c>
      <c r="E3009" s="1" t="s">
        <v>11</v>
      </c>
      <c r="F3009" s="1" t="s">
        <v>12</v>
      </c>
      <c r="G3009" s="4" t="b">
        <f t="shared" si="2"/>
        <v>1</v>
      </c>
      <c r="H3009" s="1" t="str">
        <f t="shared" si="3"/>
        <v>Currently Unavailable</v>
      </c>
      <c r="I3009" s="1" t="str">
        <f t="shared" si="4"/>
        <v>No Badges</v>
      </c>
      <c r="J3009" s="3">
        <f t="shared" si="5"/>
        <v>0</v>
      </c>
    </row>
    <row r="3010">
      <c r="A3010" s="1" t="s">
        <v>1285</v>
      </c>
      <c r="B3010" s="3" t="str">
        <f t="shared" si="1"/>
        <v>Unavailable</v>
      </c>
      <c r="C3010" s="5">
        <v>3520.0</v>
      </c>
      <c r="D3010" s="3">
        <f>IFERROR(__xludf.DUMMYFUNCTION("IFERROR(
IF(REGEXMATCH(LOWER(O3010),""k""),
VALUE(REGEXEXTRACT(O3010,""[0-9]+""))*1000,
VALUE(REGEXEXTRACT(O3010,""[0-9]+""))
),
0
)"),0.0)</f>
        <v>0</v>
      </c>
      <c r="E3010" s="1" t="s">
        <v>11</v>
      </c>
      <c r="F3010" s="1" t="s">
        <v>12</v>
      </c>
      <c r="G3010" s="4" t="b">
        <f t="shared" si="2"/>
        <v>1</v>
      </c>
      <c r="H3010" s="1" t="str">
        <f t="shared" si="3"/>
        <v>Currently Unavailable</v>
      </c>
      <c r="I3010" s="1" t="str">
        <f t="shared" si="4"/>
        <v>No Badges</v>
      </c>
      <c r="J3010" s="3">
        <f t="shared" si="5"/>
        <v>0</v>
      </c>
    </row>
    <row r="3011">
      <c r="A3011" s="1" t="s">
        <v>2311</v>
      </c>
      <c r="B3011" s="3" t="str">
        <f t="shared" si="1"/>
        <v>Unavailable</v>
      </c>
      <c r="C3011" s="3">
        <v>67.0</v>
      </c>
      <c r="D3011" s="3">
        <f>IFERROR(__xludf.DUMMYFUNCTION("IFERROR(
IF(REGEXMATCH(LOWER(O3011),""k""),
VALUE(REGEXEXTRACT(O3011,""[0-9]+""))*1000,
VALUE(REGEXEXTRACT(O3011,""[0-9]+""))
),
0
)"),0.0)</f>
        <v>0</v>
      </c>
      <c r="E3011" s="1" t="s">
        <v>11</v>
      </c>
      <c r="F3011" s="1" t="s">
        <v>20</v>
      </c>
      <c r="G3011" s="4" t="b">
        <f t="shared" si="2"/>
        <v>1</v>
      </c>
      <c r="H3011" s="1" t="str">
        <f t="shared" si="3"/>
        <v>Currently Unavailable</v>
      </c>
      <c r="I3011" s="1" t="str">
        <f t="shared" si="4"/>
        <v>No Badges</v>
      </c>
      <c r="J3011" s="3">
        <f t="shared" si="5"/>
        <v>0</v>
      </c>
    </row>
    <row r="3012">
      <c r="A3012" s="1" t="s">
        <v>1284</v>
      </c>
      <c r="B3012" s="3" t="str">
        <f t="shared" si="1"/>
        <v>Unavailable</v>
      </c>
      <c r="C3012" s="3">
        <v>172.0</v>
      </c>
      <c r="D3012" s="3">
        <f>IFERROR(__xludf.DUMMYFUNCTION("IFERROR(
IF(REGEXMATCH(LOWER(O3012),""k""),
VALUE(REGEXEXTRACT(O3012,""[0-9]+""))*1000,
VALUE(REGEXEXTRACT(O3012,""[0-9]+""))
),
0
)"),0.0)</f>
        <v>0</v>
      </c>
      <c r="E3012" s="1" t="s">
        <v>11</v>
      </c>
      <c r="F3012" s="1" t="s">
        <v>12</v>
      </c>
      <c r="G3012" s="4" t="b">
        <f t="shared" si="2"/>
        <v>1</v>
      </c>
      <c r="H3012" s="1" t="str">
        <f t="shared" si="3"/>
        <v>Currently Unavailable</v>
      </c>
      <c r="I3012" s="1" t="str">
        <f t="shared" si="4"/>
        <v>No Badges</v>
      </c>
      <c r="J3012" s="3">
        <f t="shared" si="5"/>
        <v>0</v>
      </c>
    </row>
    <row r="3013">
      <c r="A3013" s="1" t="s">
        <v>2312</v>
      </c>
      <c r="B3013" s="3" t="str">
        <f t="shared" si="1"/>
        <v>Unavailable</v>
      </c>
      <c r="C3013" s="5">
        <v>1159.0</v>
      </c>
      <c r="D3013" s="3">
        <f>IFERROR(__xludf.DUMMYFUNCTION("IFERROR(
IF(REGEXMATCH(LOWER(O3013),""k""),
VALUE(REGEXEXTRACT(O3013,""[0-9]+""))*1000,
VALUE(REGEXEXTRACT(O3013,""[0-9]+""))
),
0
)"),0.0)</f>
        <v>0</v>
      </c>
      <c r="E3013" s="1" t="s">
        <v>11</v>
      </c>
      <c r="F3013" s="1" t="s">
        <v>20</v>
      </c>
      <c r="G3013" s="4" t="b">
        <f t="shared" si="2"/>
        <v>1</v>
      </c>
      <c r="H3013" s="1" t="str">
        <f t="shared" si="3"/>
        <v>Currently Unavailable</v>
      </c>
      <c r="I3013" s="1" t="str">
        <f t="shared" si="4"/>
        <v>No Badges</v>
      </c>
      <c r="J3013" s="3">
        <f t="shared" si="5"/>
        <v>0</v>
      </c>
    </row>
    <row r="3014">
      <c r="A3014" s="1" t="s">
        <v>2313</v>
      </c>
      <c r="B3014" s="3" t="str">
        <f t="shared" si="1"/>
        <v>Unavailable</v>
      </c>
      <c r="C3014" s="3">
        <v>658.0</v>
      </c>
      <c r="D3014" s="3">
        <f>IFERROR(__xludf.DUMMYFUNCTION("IFERROR(
IF(REGEXMATCH(LOWER(O3014),""k""),
VALUE(REGEXEXTRACT(O3014,""[0-9]+""))*1000,
VALUE(REGEXEXTRACT(O3014,""[0-9]+""))
),
0
)"),0.0)</f>
        <v>0</v>
      </c>
      <c r="E3014" s="1" t="s">
        <v>11</v>
      </c>
      <c r="F3014" s="1" t="s">
        <v>20</v>
      </c>
      <c r="G3014" s="4" t="b">
        <f t="shared" si="2"/>
        <v>1</v>
      </c>
      <c r="H3014" s="1" t="str">
        <f t="shared" si="3"/>
        <v>Currently Unavailable</v>
      </c>
      <c r="I3014" s="1" t="str">
        <f t="shared" si="4"/>
        <v>No Badges</v>
      </c>
      <c r="J3014" s="3">
        <f t="shared" si="5"/>
        <v>0</v>
      </c>
    </row>
    <row r="3015">
      <c r="A3015" s="1" t="s">
        <v>604</v>
      </c>
      <c r="B3015" s="3" t="str">
        <f t="shared" si="1"/>
        <v>Unavailable</v>
      </c>
      <c r="C3015" s="3">
        <v>30.0</v>
      </c>
      <c r="D3015" s="3">
        <f>IFERROR(__xludf.DUMMYFUNCTION("IFERROR(
IF(REGEXMATCH(LOWER(O3015),""k""),
VALUE(REGEXEXTRACT(O3015,""[0-9]+""))*1000,
VALUE(REGEXEXTRACT(O3015,""[0-9]+""))
),
0
)"),0.0)</f>
        <v>0</v>
      </c>
      <c r="E3015" s="1" t="s">
        <v>11</v>
      </c>
      <c r="F3015" s="1" t="s">
        <v>12</v>
      </c>
      <c r="G3015" s="4" t="b">
        <f t="shared" si="2"/>
        <v>1</v>
      </c>
      <c r="H3015" s="1" t="str">
        <f t="shared" si="3"/>
        <v>Currently Unavailable</v>
      </c>
      <c r="I3015" s="1" t="str">
        <f t="shared" si="4"/>
        <v>No Badges</v>
      </c>
      <c r="J3015" s="3">
        <f t="shared" si="5"/>
        <v>0</v>
      </c>
    </row>
    <row r="3016">
      <c r="A3016" s="1" t="s">
        <v>1285</v>
      </c>
      <c r="B3016" s="3" t="str">
        <f t="shared" si="1"/>
        <v>Unavailable</v>
      </c>
      <c r="C3016" s="5">
        <v>3520.0</v>
      </c>
      <c r="D3016" s="3">
        <f>IFERROR(__xludf.DUMMYFUNCTION("IFERROR(
IF(REGEXMATCH(LOWER(O3016),""k""),
VALUE(REGEXEXTRACT(O3016,""[0-9]+""))*1000,
VALUE(REGEXEXTRACT(O3016,""[0-9]+""))
),
0
)"),0.0)</f>
        <v>0</v>
      </c>
      <c r="E3016" s="1" t="s">
        <v>11</v>
      </c>
      <c r="F3016" s="1" t="s">
        <v>12</v>
      </c>
      <c r="G3016" s="4" t="b">
        <f t="shared" si="2"/>
        <v>1</v>
      </c>
      <c r="H3016" s="1" t="str">
        <f t="shared" si="3"/>
        <v>Currently Unavailable</v>
      </c>
      <c r="I3016" s="1" t="str">
        <f t="shared" si="4"/>
        <v>No Badges</v>
      </c>
      <c r="J3016" s="3">
        <f t="shared" si="5"/>
        <v>0</v>
      </c>
    </row>
    <row r="3017">
      <c r="A3017" s="1" t="s">
        <v>1284</v>
      </c>
      <c r="B3017" s="3" t="str">
        <f t="shared" si="1"/>
        <v>Unavailable</v>
      </c>
      <c r="C3017" s="3">
        <v>172.0</v>
      </c>
      <c r="D3017" s="3">
        <f>IFERROR(__xludf.DUMMYFUNCTION("IFERROR(
IF(REGEXMATCH(LOWER(O3017),""k""),
VALUE(REGEXEXTRACT(O3017,""[0-9]+""))*1000,
VALUE(REGEXEXTRACT(O3017,""[0-9]+""))
),
0
)"),0.0)</f>
        <v>0</v>
      </c>
      <c r="E3017" s="1" t="s">
        <v>11</v>
      </c>
      <c r="F3017" s="1" t="s">
        <v>12</v>
      </c>
      <c r="G3017" s="4" t="b">
        <f t="shared" si="2"/>
        <v>1</v>
      </c>
      <c r="H3017" s="1" t="str">
        <f t="shared" si="3"/>
        <v>Currently Unavailable</v>
      </c>
      <c r="I3017" s="1" t="str">
        <f t="shared" si="4"/>
        <v>No Badges</v>
      </c>
      <c r="J3017" s="3">
        <f t="shared" si="5"/>
        <v>0</v>
      </c>
    </row>
    <row r="3018">
      <c r="A3018" s="1" t="s">
        <v>1285</v>
      </c>
      <c r="B3018" s="3" t="str">
        <f t="shared" si="1"/>
        <v>Unavailable</v>
      </c>
      <c r="C3018" s="5">
        <v>3520.0</v>
      </c>
      <c r="D3018" s="3">
        <f>IFERROR(__xludf.DUMMYFUNCTION("IFERROR(
IF(REGEXMATCH(LOWER(O3018),""k""),
VALUE(REGEXEXTRACT(O3018,""[0-9]+""))*1000,
VALUE(REGEXEXTRACT(O3018,""[0-9]+""))
),
0
)"),0.0)</f>
        <v>0</v>
      </c>
      <c r="E3018" s="1" t="s">
        <v>11</v>
      </c>
      <c r="F3018" s="1" t="s">
        <v>12</v>
      </c>
      <c r="G3018" s="4" t="b">
        <f t="shared" si="2"/>
        <v>1</v>
      </c>
      <c r="H3018" s="1" t="str">
        <f t="shared" si="3"/>
        <v>Currently Unavailable</v>
      </c>
      <c r="I3018" s="1" t="str">
        <f t="shared" si="4"/>
        <v>No Badges</v>
      </c>
      <c r="J3018" s="3">
        <f t="shared" si="5"/>
        <v>0</v>
      </c>
    </row>
    <row r="3019">
      <c r="A3019" s="1" t="s">
        <v>2314</v>
      </c>
      <c r="B3019" s="3" t="str">
        <f t="shared" si="1"/>
        <v>Unavailable</v>
      </c>
      <c r="C3019" s="5">
        <v>2514.0</v>
      </c>
      <c r="D3019" s="3">
        <f>IFERROR(__xludf.DUMMYFUNCTION("IFERROR(
IF(REGEXMATCH(LOWER(O3019),""k""),
VALUE(REGEXEXTRACT(O3019,""[0-9]+""))*1000,
VALUE(REGEXEXTRACT(O3019,""[0-9]+""))
),
0
)"),0.0)</f>
        <v>0</v>
      </c>
      <c r="E3019" s="1" t="s">
        <v>11</v>
      </c>
      <c r="F3019" s="1" t="s">
        <v>20</v>
      </c>
      <c r="G3019" s="4" t="b">
        <f t="shared" si="2"/>
        <v>1</v>
      </c>
      <c r="H3019" s="1" t="str">
        <f t="shared" si="3"/>
        <v>Currently Unavailable</v>
      </c>
      <c r="I3019" s="1" t="str">
        <f t="shared" si="4"/>
        <v>No Badges</v>
      </c>
      <c r="J3019" s="3">
        <f t="shared" si="5"/>
        <v>0</v>
      </c>
    </row>
    <row r="3020">
      <c r="A3020" s="1" t="s">
        <v>1284</v>
      </c>
      <c r="B3020" s="3" t="str">
        <f t="shared" si="1"/>
        <v>Unavailable</v>
      </c>
      <c r="C3020" s="3">
        <v>172.0</v>
      </c>
      <c r="D3020" s="3">
        <f>IFERROR(__xludf.DUMMYFUNCTION("IFERROR(
IF(REGEXMATCH(LOWER(O3020),""k""),
VALUE(REGEXEXTRACT(O3020,""[0-9]+""))*1000,
VALUE(REGEXEXTRACT(O3020,""[0-9]+""))
),
0
)"),0.0)</f>
        <v>0</v>
      </c>
      <c r="E3020" s="1" t="s">
        <v>11</v>
      </c>
      <c r="F3020" s="1" t="s">
        <v>12</v>
      </c>
      <c r="G3020" s="4" t="b">
        <f t="shared" si="2"/>
        <v>1</v>
      </c>
      <c r="H3020" s="1" t="str">
        <f t="shared" si="3"/>
        <v>Currently Unavailable</v>
      </c>
      <c r="I3020" s="1" t="str">
        <f t="shared" si="4"/>
        <v>No Badges</v>
      </c>
      <c r="J3020" s="3">
        <f t="shared" si="5"/>
        <v>0</v>
      </c>
    </row>
    <row r="3021">
      <c r="A3021" s="1" t="s">
        <v>2315</v>
      </c>
      <c r="B3021" s="3" t="str">
        <f t="shared" si="1"/>
        <v>Unavailable</v>
      </c>
      <c r="C3021" s="5">
        <v>1859.0</v>
      </c>
      <c r="D3021" s="3">
        <f>IFERROR(__xludf.DUMMYFUNCTION("IFERROR(
IF(REGEXMATCH(LOWER(O3021),""k""),
VALUE(REGEXEXTRACT(O3021,""[0-9]+""))*1000,
VALUE(REGEXEXTRACT(O3021,""[0-9]+""))
),
0
)"),0.0)</f>
        <v>0</v>
      </c>
      <c r="E3021" s="1" t="s">
        <v>11</v>
      </c>
      <c r="F3021" s="1" t="s">
        <v>20</v>
      </c>
      <c r="G3021" s="4" t="b">
        <f t="shared" si="2"/>
        <v>1</v>
      </c>
      <c r="H3021" s="1" t="str">
        <f t="shared" si="3"/>
        <v>Currently Unavailable</v>
      </c>
      <c r="I3021" s="1" t="str">
        <f t="shared" si="4"/>
        <v>No Badges</v>
      </c>
      <c r="J3021" s="3">
        <f t="shared" si="5"/>
        <v>0</v>
      </c>
    </row>
    <row r="3022">
      <c r="A3022" s="1" t="s">
        <v>1285</v>
      </c>
      <c r="B3022" s="3" t="str">
        <f t="shared" si="1"/>
        <v>Unavailable</v>
      </c>
      <c r="C3022" s="5">
        <v>3520.0</v>
      </c>
      <c r="D3022" s="3">
        <f>IFERROR(__xludf.DUMMYFUNCTION("IFERROR(
IF(REGEXMATCH(LOWER(O3022),""k""),
VALUE(REGEXEXTRACT(O3022,""[0-9]+""))*1000,
VALUE(REGEXEXTRACT(O3022,""[0-9]+""))
),
0
)"),0.0)</f>
        <v>0</v>
      </c>
      <c r="E3022" s="1" t="s">
        <v>11</v>
      </c>
      <c r="F3022" s="1" t="s">
        <v>12</v>
      </c>
      <c r="G3022" s="4" t="b">
        <f t="shared" si="2"/>
        <v>1</v>
      </c>
      <c r="H3022" s="1" t="str">
        <f t="shared" si="3"/>
        <v>Currently Unavailable</v>
      </c>
      <c r="I3022" s="1" t="str">
        <f t="shared" si="4"/>
        <v>No Badges</v>
      </c>
      <c r="J3022" s="3">
        <f t="shared" si="5"/>
        <v>0</v>
      </c>
    </row>
    <row r="3023">
      <c r="A3023" s="1" t="s">
        <v>2316</v>
      </c>
      <c r="B3023" s="3" t="str">
        <f t="shared" si="1"/>
        <v>Unavailable</v>
      </c>
      <c r="C3023" s="5">
        <v>1279.0</v>
      </c>
      <c r="D3023" s="3">
        <f>IFERROR(__xludf.DUMMYFUNCTION("IFERROR(
IF(REGEXMATCH(LOWER(O3023),""k""),
VALUE(REGEXEXTRACT(O3023,""[0-9]+""))*1000,
VALUE(REGEXEXTRACT(O3023,""[0-9]+""))
),
0
)"),0.0)</f>
        <v>0</v>
      </c>
      <c r="E3023" s="1" t="s">
        <v>11</v>
      </c>
      <c r="F3023" s="1" t="s">
        <v>20</v>
      </c>
      <c r="G3023" s="4" t="b">
        <f t="shared" si="2"/>
        <v>1</v>
      </c>
      <c r="H3023" s="1" t="str">
        <f t="shared" si="3"/>
        <v>Currently Unavailable</v>
      </c>
      <c r="I3023" s="1" t="str">
        <f t="shared" si="4"/>
        <v>No Badges</v>
      </c>
      <c r="J3023" s="3">
        <f t="shared" si="5"/>
        <v>0</v>
      </c>
    </row>
    <row r="3024">
      <c r="A3024" s="1" t="s">
        <v>1284</v>
      </c>
      <c r="B3024" s="3" t="str">
        <f t="shared" si="1"/>
        <v>Unavailable</v>
      </c>
      <c r="C3024" s="3">
        <v>172.0</v>
      </c>
      <c r="D3024" s="3">
        <f>IFERROR(__xludf.DUMMYFUNCTION("IFERROR(
IF(REGEXMATCH(LOWER(O3024),""k""),
VALUE(REGEXEXTRACT(O3024,""[0-9]+""))*1000,
VALUE(REGEXEXTRACT(O3024,""[0-9]+""))
),
0
)"),0.0)</f>
        <v>0</v>
      </c>
      <c r="E3024" s="1" t="s">
        <v>11</v>
      </c>
      <c r="F3024" s="1" t="s">
        <v>12</v>
      </c>
      <c r="G3024" s="4" t="b">
        <f t="shared" si="2"/>
        <v>1</v>
      </c>
      <c r="H3024" s="1" t="str">
        <f t="shared" si="3"/>
        <v>Currently Unavailable</v>
      </c>
      <c r="I3024" s="1" t="str">
        <f t="shared" si="4"/>
        <v>No Badges</v>
      </c>
      <c r="J3024" s="3">
        <f t="shared" si="5"/>
        <v>0</v>
      </c>
    </row>
    <row r="3025">
      <c r="A3025" s="1" t="s">
        <v>2317</v>
      </c>
      <c r="B3025" s="3" t="str">
        <f t="shared" si="1"/>
        <v>Unavailable</v>
      </c>
      <c r="C3025" s="5">
        <v>10969.0</v>
      </c>
      <c r="D3025" s="3">
        <f>IFERROR(__xludf.DUMMYFUNCTION("IFERROR(
IF(REGEXMATCH(LOWER(O3025),""k""),
VALUE(REGEXEXTRACT(O3025,""[0-9]+""))*1000,
VALUE(REGEXEXTRACT(O3025,""[0-9]+""))
),
0
)"),0.0)</f>
        <v>0</v>
      </c>
      <c r="E3025" s="1" t="s">
        <v>11</v>
      </c>
      <c r="F3025" s="1" t="s">
        <v>20</v>
      </c>
      <c r="G3025" s="4" t="b">
        <f t="shared" si="2"/>
        <v>1</v>
      </c>
      <c r="H3025" s="1" t="str">
        <f t="shared" si="3"/>
        <v>Currently Unavailable</v>
      </c>
      <c r="I3025" s="1" t="str">
        <f t="shared" si="4"/>
        <v>No Badges</v>
      </c>
      <c r="J3025" s="3">
        <f t="shared" si="5"/>
        <v>0</v>
      </c>
    </row>
    <row r="3026">
      <c r="A3026" s="1" t="s">
        <v>1285</v>
      </c>
      <c r="B3026" s="3" t="str">
        <f t="shared" si="1"/>
        <v>Unavailable</v>
      </c>
      <c r="C3026" s="5">
        <v>3520.0</v>
      </c>
      <c r="D3026" s="3">
        <f>IFERROR(__xludf.DUMMYFUNCTION("IFERROR(
IF(REGEXMATCH(LOWER(O3026),""k""),
VALUE(REGEXEXTRACT(O3026,""[0-9]+""))*1000,
VALUE(REGEXEXTRACT(O3026,""[0-9]+""))
),
0
)"),0.0)</f>
        <v>0</v>
      </c>
      <c r="E3026" s="1" t="s">
        <v>11</v>
      </c>
      <c r="F3026" s="1" t="s">
        <v>12</v>
      </c>
      <c r="G3026" s="4" t="b">
        <f t="shared" si="2"/>
        <v>1</v>
      </c>
      <c r="H3026" s="1" t="str">
        <f t="shared" si="3"/>
        <v>Currently Unavailable</v>
      </c>
      <c r="I3026" s="1" t="str">
        <f t="shared" si="4"/>
        <v>No Badges</v>
      </c>
      <c r="J3026" s="3">
        <f t="shared" si="5"/>
        <v>0</v>
      </c>
    </row>
    <row r="3027">
      <c r="A3027" s="1" t="s">
        <v>2318</v>
      </c>
      <c r="B3027" s="3" t="str">
        <f t="shared" si="1"/>
        <v>Unavailable</v>
      </c>
      <c r="C3027" s="5">
        <v>13309.0</v>
      </c>
      <c r="D3027" s="3">
        <f>IFERROR(__xludf.DUMMYFUNCTION("IFERROR(
IF(REGEXMATCH(LOWER(O3027),""k""),
VALUE(REGEXEXTRACT(O3027,""[0-9]+""))*1000,
VALUE(REGEXEXTRACT(O3027,""[0-9]+""))
),
0
)"),0.0)</f>
        <v>0</v>
      </c>
      <c r="E3027" s="1" t="s">
        <v>11</v>
      </c>
      <c r="F3027" s="1" t="s">
        <v>20</v>
      </c>
      <c r="G3027" s="4" t="b">
        <f t="shared" si="2"/>
        <v>1</v>
      </c>
      <c r="H3027" s="1" t="str">
        <f t="shared" si="3"/>
        <v>Currently Unavailable</v>
      </c>
      <c r="I3027" s="1" t="str">
        <f t="shared" si="4"/>
        <v>No Badges</v>
      </c>
      <c r="J3027" s="3">
        <f t="shared" si="5"/>
        <v>0</v>
      </c>
    </row>
    <row r="3028">
      <c r="A3028" s="1" t="s">
        <v>1284</v>
      </c>
      <c r="B3028" s="3" t="str">
        <f t="shared" si="1"/>
        <v>Unavailable</v>
      </c>
      <c r="C3028" s="3">
        <v>172.0</v>
      </c>
      <c r="D3028" s="3">
        <f>IFERROR(__xludf.DUMMYFUNCTION("IFERROR(
IF(REGEXMATCH(LOWER(O3028),""k""),
VALUE(REGEXEXTRACT(O3028,""[0-9]+""))*1000,
VALUE(REGEXEXTRACT(O3028,""[0-9]+""))
),
0
)"),0.0)</f>
        <v>0</v>
      </c>
      <c r="E3028" s="1" t="s">
        <v>11</v>
      </c>
      <c r="F3028" s="1" t="s">
        <v>12</v>
      </c>
      <c r="G3028" s="4" t="b">
        <f t="shared" si="2"/>
        <v>1</v>
      </c>
      <c r="H3028" s="1" t="str">
        <f t="shared" si="3"/>
        <v>Currently Unavailable</v>
      </c>
      <c r="I3028" s="1" t="str">
        <f t="shared" si="4"/>
        <v>No Badges</v>
      </c>
      <c r="J3028" s="3">
        <f t="shared" si="5"/>
        <v>0</v>
      </c>
    </row>
    <row r="3029">
      <c r="A3029" s="1" t="s">
        <v>69</v>
      </c>
      <c r="B3029" s="3" t="str">
        <f t="shared" si="1"/>
        <v>Unavailable</v>
      </c>
      <c r="C3029" s="3">
        <v>45.0</v>
      </c>
      <c r="D3029" s="3">
        <f>IFERROR(__xludf.DUMMYFUNCTION("IFERROR(
IF(REGEXMATCH(LOWER(O3029),""k""),
VALUE(REGEXEXTRACT(O3029,""[0-9]+""))*1000,
VALUE(REGEXEXTRACT(O3029,""[0-9]+""))
),
0
)"),0.0)</f>
        <v>0</v>
      </c>
      <c r="E3029" s="1" t="s">
        <v>11</v>
      </c>
      <c r="F3029" s="1" t="s">
        <v>12</v>
      </c>
      <c r="G3029" s="4" t="b">
        <f t="shared" si="2"/>
        <v>1</v>
      </c>
      <c r="H3029" s="1" t="str">
        <f t="shared" si="3"/>
        <v>Currently Unavailable</v>
      </c>
      <c r="I3029" s="1" t="str">
        <f t="shared" si="4"/>
        <v>No Badges</v>
      </c>
      <c r="J3029" s="3">
        <f t="shared" si="5"/>
        <v>0</v>
      </c>
    </row>
    <row r="3030">
      <c r="A3030" s="1" t="s">
        <v>67</v>
      </c>
      <c r="B3030" s="3" t="str">
        <f t="shared" si="1"/>
        <v>Unavailable</v>
      </c>
      <c r="C3030" s="3">
        <v>264.0</v>
      </c>
      <c r="D3030" s="3">
        <f>IFERROR(__xludf.DUMMYFUNCTION("IFERROR(
IF(REGEXMATCH(LOWER(O3030),""k""),
VALUE(REGEXEXTRACT(O3030,""[0-9]+""))*1000,
VALUE(REGEXEXTRACT(O3030,""[0-9]+""))
),
0
)"),0.0)</f>
        <v>0</v>
      </c>
      <c r="E3030" s="1" t="s">
        <v>11</v>
      </c>
      <c r="F3030" s="1" t="s">
        <v>12</v>
      </c>
      <c r="G3030" s="4" t="b">
        <f t="shared" si="2"/>
        <v>1</v>
      </c>
      <c r="H3030" s="1" t="str">
        <f t="shared" si="3"/>
        <v>Currently Unavailable</v>
      </c>
      <c r="I3030" s="1" t="str">
        <f t="shared" si="4"/>
        <v>No Badges</v>
      </c>
      <c r="J3030" s="3">
        <f t="shared" si="5"/>
        <v>0</v>
      </c>
    </row>
    <row r="3031">
      <c r="A3031" s="1" t="s">
        <v>1285</v>
      </c>
      <c r="B3031" s="3" t="str">
        <f t="shared" si="1"/>
        <v>Unavailable</v>
      </c>
      <c r="C3031" s="5">
        <v>3520.0</v>
      </c>
      <c r="D3031" s="3">
        <f>IFERROR(__xludf.DUMMYFUNCTION("IFERROR(
IF(REGEXMATCH(LOWER(O3031),""k""),
VALUE(REGEXEXTRACT(O3031,""[0-9]+""))*1000,
VALUE(REGEXEXTRACT(O3031,""[0-9]+""))
),
0
)"),0.0)</f>
        <v>0</v>
      </c>
      <c r="E3031" s="1" t="s">
        <v>11</v>
      </c>
      <c r="F3031" s="1" t="s">
        <v>12</v>
      </c>
      <c r="G3031" s="4" t="b">
        <f t="shared" si="2"/>
        <v>1</v>
      </c>
      <c r="H3031" s="1" t="str">
        <f t="shared" si="3"/>
        <v>Currently Unavailable</v>
      </c>
      <c r="I3031" s="1" t="str">
        <f t="shared" si="4"/>
        <v>No Badges</v>
      </c>
      <c r="J3031" s="3">
        <f t="shared" si="5"/>
        <v>0</v>
      </c>
    </row>
    <row r="3032">
      <c r="A3032" s="1" t="s">
        <v>1284</v>
      </c>
      <c r="B3032" s="3" t="str">
        <f t="shared" si="1"/>
        <v>Unavailable</v>
      </c>
      <c r="C3032" s="3">
        <v>172.0</v>
      </c>
      <c r="D3032" s="3">
        <f>IFERROR(__xludf.DUMMYFUNCTION("IFERROR(
IF(REGEXMATCH(LOWER(O3032),""k""),
VALUE(REGEXEXTRACT(O3032,""[0-9]+""))*1000,
VALUE(REGEXEXTRACT(O3032,""[0-9]+""))
),
0
)"),0.0)</f>
        <v>0</v>
      </c>
      <c r="E3032" s="1" t="s">
        <v>11</v>
      </c>
      <c r="F3032" s="1" t="s">
        <v>12</v>
      </c>
      <c r="G3032" s="4" t="b">
        <f t="shared" si="2"/>
        <v>1</v>
      </c>
      <c r="H3032" s="1" t="str">
        <f t="shared" si="3"/>
        <v>Currently Unavailable</v>
      </c>
      <c r="I3032" s="1" t="str">
        <f t="shared" si="4"/>
        <v>No Badges</v>
      </c>
      <c r="J3032" s="3">
        <f t="shared" si="5"/>
        <v>0</v>
      </c>
    </row>
    <row r="3033">
      <c r="A3033" s="1" t="s">
        <v>1285</v>
      </c>
      <c r="B3033" s="3" t="str">
        <f t="shared" si="1"/>
        <v>Unavailable</v>
      </c>
      <c r="C3033" s="5">
        <v>3520.0</v>
      </c>
      <c r="D3033" s="3">
        <f>IFERROR(__xludf.DUMMYFUNCTION("IFERROR(
IF(REGEXMATCH(LOWER(O3033),""k""),
VALUE(REGEXEXTRACT(O3033,""[0-9]+""))*1000,
VALUE(REGEXEXTRACT(O3033,""[0-9]+""))
),
0
)"),0.0)</f>
        <v>0</v>
      </c>
      <c r="E3033" s="1" t="s">
        <v>11</v>
      </c>
      <c r="F3033" s="1" t="s">
        <v>12</v>
      </c>
      <c r="G3033" s="4" t="b">
        <f t="shared" si="2"/>
        <v>1</v>
      </c>
      <c r="H3033" s="1" t="str">
        <f t="shared" si="3"/>
        <v>Currently Unavailable</v>
      </c>
      <c r="I3033" s="1" t="str">
        <f t="shared" si="4"/>
        <v>No Badges</v>
      </c>
      <c r="J3033" s="3">
        <f t="shared" si="5"/>
        <v>0</v>
      </c>
    </row>
    <row r="3034">
      <c r="A3034" s="1" t="s">
        <v>1284</v>
      </c>
      <c r="B3034" s="3" t="str">
        <f t="shared" si="1"/>
        <v>Unavailable</v>
      </c>
      <c r="C3034" s="3">
        <v>172.0</v>
      </c>
      <c r="D3034" s="3">
        <f>IFERROR(__xludf.DUMMYFUNCTION("IFERROR(
IF(REGEXMATCH(LOWER(O3034),""k""),
VALUE(REGEXEXTRACT(O3034,""[0-9]+""))*1000,
VALUE(REGEXEXTRACT(O3034,""[0-9]+""))
),
0
)"),0.0)</f>
        <v>0</v>
      </c>
      <c r="E3034" s="1" t="s">
        <v>11</v>
      </c>
      <c r="F3034" s="1" t="s">
        <v>12</v>
      </c>
      <c r="G3034" s="4" t="b">
        <f t="shared" si="2"/>
        <v>1</v>
      </c>
      <c r="H3034" s="1" t="str">
        <f t="shared" si="3"/>
        <v>Currently Unavailable</v>
      </c>
      <c r="I3034" s="1" t="str">
        <f t="shared" si="4"/>
        <v>No Badges</v>
      </c>
      <c r="J3034" s="3">
        <f t="shared" si="5"/>
        <v>0</v>
      </c>
    </row>
    <row r="3035">
      <c r="A3035" s="1" t="s">
        <v>2319</v>
      </c>
      <c r="B3035" s="3" t="str">
        <f t="shared" si="1"/>
        <v>Unavailable</v>
      </c>
      <c r="C3035" s="5">
        <v>2216.0</v>
      </c>
      <c r="D3035" s="3">
        <f>IFERROR(__xludf.DUMMYFUNCTION("IFERROR(
IF(REGEXMATCH(LOWER(O3035),""k""),
VALUE(REGEXEXTRACT(O3035,""[0-9]+""))*1000,
VALUE(REGEXEXTRACT(O3035,""[0-9]+""))
),
0
)"),0.0)</f>
        <v>0</v>
      </c>
      <c r="E3035" s="1" t="s">
        <v>11</v>
      </c>
      <c r="F3035" s="1" t="s">
        <v>20</v>
      </c>
      <c r="G3035" s="4" t="b">
        <f t="shared" si="2"/>
        <v>1</v>
      </c>
      <c r="H3035" s="1" t="str">
        <f t="shared" si="3"/>
        <v>Currently Unavailable</v>
      </c>
      <c r="I3035" s="1" t="str">
        <f t="shared" si="4"/>
        <v>No Badges</v>
      </c>
      <c r="J3035" s="3">
        <f t="shared" si="5"/>
        <v>0</v>
      </c>
    </row>
    <row r="3036">
      <c r="A3036" s="1" t="s">
        <v>1285</v>
      </c>
      <c r="B3036" s="3" t="str">
        <f t="shared" si="1"/>
        <v>Unavailable</v>
      </c>
      <c r="C3036" s="5">
        <v>3520.0</v>
      </c>
      <c r="D3036" s="3">
        <f>IFERROR(__xludf.DUMMYFUNCTION("IFERROR(
IF(REGEXMATCH(LOWER(O3036),""k""),
VALUE(REGEXEXTRACT(O3036,""[0-9]+""))*1000,
VALUE(REGEXEXTRACT(O3036,""[0-9]+""))
),
0
)"),0.0)</f>
        <v>0</v>
      </c>
      <c r="E3036" s="1" t="s">
        <v>11</v>
      </c>
      <c r="F3036" s="1" t="s">
        <v>12</v>
      </c>
      <c r="G3036" s="4" t="b">
        <f t="shared" si="2"/>
        <v>1</v>
      </c>
      <c r="H3036" s="1" t="str">
        <f t="shared" si="3"/>
        <v>Currently Unavailable</v>
      </c>
      <c r="I3036" s="1" t="str">
        <f t="shared" si="4"/>
        <v>No Badges</v>
      </c>
      <c r="J3036" s="3">
        <f t="shared" si="5"/>
        <v>0</v>
      </c>
    </row>
    <row r="3037">
      <c r="A3037" s="1" t="s">
        <v>1284</v>
      </c>
      <c r="B3037" s="3" t="str">
        <f t="shared" si="1"/>
        <v>Unavailable</v>
      </c>
      <c r="C3037" s="3">
        <v>172.0</v>
      </c>
      <c r="D3037" s="3">
        <f>IFERROR(__xludf.DUMMYFUNCTION("IFERROR(
IF(REGEXMATCH(LOWER(O3037),""k""),
VALUE(REGEXEXTRACT(O3037,""[0-9]+""))*1000,
VALUE(REGEXEXTRACT(O3037,""[0-9]+""))
),
0
)"),0.0)</f>
        <v>0</v>
      </c>
      <c r="E3037" s="1" t="s">
        <v>11</v>
      </c>
      <c r="F3037" s="1" t="s">
        <v>12</v>
      </c>
      <c r="G3037" s="4" t="b">
        <f t="shared" si="2"/>
        <v>1</v>
      </c>
      <c r="H3037" s="1" t="str">
        <f t="shared" si="3"/>
        <v>Currently Unavailable</v>
      </c>
      <c r="I3037" s="1" t="str">
        <f t="shared" si="4"/>
        <v>No Badges</v>
      </c>
      <c r="J3037" s="3">
        <f t="shared" si="5"/>
        <v>0</v>
      </c>
    </row>
    <row r="3038">
      <c r="A3038" s="1" t="s">
        <v>2320</v>
      </c>
      <c r="B3038" s="3" t="str">
        <f t="shared" si="1"/>
        <v>Unavailable</v>
      </c>
      <c r="C3038" s="3">
        <v>228.0</v>
      </c>
      <c r="D3038" s="3">
        <f>IFERROR(__xludf.DUMMYFUNCTION("IFERROR(
IF(REGEXMATCH(LOWER(O3038),""k""),
VALUE(REGEXEXTRACT(O3038,""[0-9]+""))*1000,
VALUE(REGEXEXTRACT(O3038,""[0-9]+""))
),
0
)"),0.0)</f>
        <v>0</v>
      </c>
      <c r="E3038" s="1" t="s">
        <v>11</v>
      </c>
      <c r="F3038" s="1" t="s">
        <v>20</v>
      </c>
      <c r="G3038" s="4" t="b">
        <f t="shared" si="2"/>
        <v>1</v>
      </c>
      <c r="H3038" s="1" t="str">
        <f t="shared" si="3"/>
        <v>Currently Unavailable</v>
      </c>
      <c r="I3038" s="1" t="str">
        <f t="shared" si="4"/>
        <v>No Badges</v>
      </c>
      <c r="J3038" s="3">
        <f t="shared" si="5"/>
        <v>0</v>
      </c>
    </row>
    <row r="3039">
      <c r="A3039" s="1" t="s">
        <v>2321</v>
      </c>
      <c r="B3039" s="3" t="str">
        <f t="shared" si="1"/>
        <v>Unavailable</v>
      </c>
      <c r="C3039" s="5">
        <v>3613.0</v>
      </c>
      <c r="D3039" s="3">
        <f>IFERROR(__xludf.DUMMYFUNCTION("IFERROR(
IF(REGEXMATCH(LOWER(O3039),""k""),
VALUE(REGEXEXTRACT(O3039,""[0-9]+""))*1000,
VALUE(REGEXEXTRACT(O3039,""[0-9]+""))
),
0
)"),0.0)</f>
        <v>0</v>
      </c>
      <c r="E3039" s="1" t="s">
        <v>11</v>
      </c>
      <c r="F3039" s="1" t="s">
        <v>20</v>
      </c>
      <c r="G3039" s="4" t="b">
        <f t="shared" si="2"/>
        <v>1</v>
      </c>
      <c r="H3039" s="1" t="str">
        <f t="shared" si="3"/>
        <v>Currently Unavailable</v>
      </c>
      <c r="I3039" s="1" t="str">
        <f t="shared" si="4"/>
        <v>No Badges</v>
      </c>
      <c r="J3039" s="3">
        <f t="shared" si="5"/>
        <v>0</v>
      </c>
    </row>
    <row r="3040">
      <c r="A3040" s="1" t="s">
        <v>1284</v>
      </c>
      <c r="B3040" s="3" t="str">
        <f t="shared" si="1"/>
        <v>Unavailable</v>
      </c>
      <c r="C3040" s="3">
        <v>172.0</v>
      </c>
      <c r="D3040" s="3">
        <f>IFERROR(__xludf.DUMMYFUNCTION("IFERROR(
IF(REGEXMATCH(LOWER(O3040),""k""),
VALUE(REGEXEXTRACT(O3040,""[0-9]+""))*1000,
VALUE(REGEXEXTRACT(O3040,""[0-9]+""))
),
0
)"),0.0)</f>
        <v>0</v>
      </c>
      <c r="E3040" s="1" t="s">
        <v>11</v>
      </c>
      <c r="F3040" s="1" t="s">
        <v>12</v>
      </c>
      <c r="G3040" s="4" t="b">
        <f t="shared" si="2"/>
        <v>1</v>
      </c>
      <c r="H3040" s="1" t="str">
        <f t="shared" si="3"/>
        <v>Currently Unavailable</v>
      </c>
      <c r="I3040" s="1" t="str">
        <f t="shared" si="4"/>
        <v>No Badges</v>
      </c>
      <c r="J3040" s="3">
        <f t="shared" si="5"/>
        <v>0</v>
      </c>
    </row>
    <row r="3041">
      <c r="A3041" s="1" t="s">
        <v>1285</v>
      </c>
      <c r="B3041" s="3" t="str">
        <f t="shared" si="1"/>
        <v>Unavailable</v>
      </c>
      <c r="C3041" s="5">
        <v>3520.0</v>
      </c>
      <c r="D3041" s="3">
        <f>IFERROR(__xludf.DUMMYFUNCTION("IFERROR(
IF(REGEXMATCH(LOWER(O3041),""k""),
VALUE(REGEXEXTRACT(O3041,""[0-9]+""))*1000,
VALUE(REGEXEXTRACT(O3041,""[0-9]+""))
),
0
)"),0.0)</f>
        <v>0</v>
      </c>
      <c r="E3041" s="1" t="s">
        <v>11</v>
      </c>
      <c r="F3041" s="1" t="s">
        <v>12</v>
      </c>
      <c r="G3041" s="4" t="b">
        <f t="shared" si="2"/>
        <v>1</v>
      </c>
      <c r="H3041" s="1" t="str">
        <f t="shared" si="3"/>
        <v>Currently Unavailable</v>
      </c>
      <c r="I3041" s="1" t="str">
        <f t="shared" si="4"/>
        <v>No Badges</v>
      </c>
      <c r="J3041" s="3">
        <f t="shared" si="5"/>
        <v>0</v>
      </c>
    </row>
    <row r="3042">
      <c r="A3042" s="1" t="s">
        <v>1284</v>
      </c>
      <c r="B3042" s="3" t="str">
        <f t="shared" si="1"/>
        <v>Unavailable</v>
      </c>
      <c r="C3042" s="3">
        <v>172.0</v>
      </c>
      <c r="D3042" s="3">
        <f>IFERROR(__xludf.DUMMYFUNCTION("IFERROR(
IF(REGEXMATCH(LOWER(O3042),""k""),
VALUE(REGEXEXTRACT(O3042,""[0-9]+""))*1000,
VALUE(REGEXEXTRACT(O3042,""[0-9]+""))
),
0
)"),0.0)</f>
        <v>0</v>
      </c>
      <c r="E3042" s="1" t="s">
        <v>11</v>
      </c>
      <c r="F3042" s="1" t="s">
        <v>12</v>
      </c>
      <c r="G3042" s="4" t="b">
        <f t="shared" si="2"/>
        <v>1</v>
      </c>
      <c r="H3042" s="1" t="str">
        <f t="shared" si="3"/>
        <v>Currently Unavailable</v>
      </c>
      <c r="I3042" s="1" t="str">
        <f t="shared" si="4"/>
        <v>No Badges</v>
      </c>
      <c r="J3042" s="3">
        <f t="shared" si="5"/>
        <v>0</v>
      </c>
    </row>
    <row r="3043">
      <c r="A3043" s="1" t="s">
        <v>2322</v>
      </c>
      <c r="B3043" s="3" t="str">
        <f t="shared" si="1"/>
        <v>Unavailable</v>
      </c>
      <c r="C3043" s="3">
        <v>379.0</v>
      </c>
      <c r="D3043" s="3">
        <f>IFERROR(__xludf.DUMMYFUNCTION("IFERROR(
IF(REGEXMATCH(LOWER(O3043),""k""),
VALUE(REGEXEXTRACT(O3043,""[0-9]+""))*1000,
VALUE(REGEXEXTRACT(O3043,""[0-9]+""))
),
0
)"),0.0)</f>
        <v>0</v>
      </c>
      <c r="E3043" s="1" t="s">
        <v>11</v>
      </c>
      <c r="F3043" s="1" t="s">
        <v>20</v>
      </c>
      <c r="G3043" s="4" t="b">
        <f t="shared" si="2"/>
        <v>1</v>
      </c>
      <c r="H3043" s="1" t="str">
        <f t="shared" si="3"/>
        <v>Currently Unavailable</v>
      </c>
      <c r="I3043" s="1" t="str">
        <f t="shared" si="4"/>
        <v>No Badges</v>
      </c>
      <c r="J3043" s="3">
        <f t="shared" si="5"/>
        <v>0</v>
      </c>
    </row>
    <row r="3044">
      <c r="A3044" s="1" t="s">
        <v>701</v>
      </c>
      <c r="B3044" s="3" t="str">
        <f t="shared" si="1"/>
        <v>Unavailable</v>
      </c>
      <c r="C3044" s="3">
        <v>8.0</v>
      </c>
      <c r="D3044" s="3">
        <f>IFERROR(__xludf.DUMMYFUNCTION("IFERROR(
IF(REGEXMATCH(LOWER(O3044),""k""),
VALUE(REGEXEXTRACT(O3044,""[0-9]+""))*1000,
VALUE(REGEXEXTRACT(O3044,""[0-9]+""))
),
0
)"),0.0)</f>
        <v>0</v>
      </c>
      <c r="E3044" s="1" t="s">
        <v>11</v>
      </c>
      <c r="F3044" s="1" t="s">
        <v>12</v>
      </c>
      <c r="G3044" s="4" t="b">
        <f t="shared" si="2"/>
        <v>1</v>
      </c>
      <c r="H3044" s="1" t="str">
        <f t="shared" si="3"/>
        <v>Currently Unavailable</v>
      </c>
      <c r="I3044" s="1" t="str">
        <f t="shared" si="4"/>
        <v>No Badges</v>
      </c>
      <c r="J3044" s="3">
        <f t="shared" si="5"/>
        <v>0</v>
      </c>
    </row>
    <row r="3045">
      <c r="A3045" s="1" t="s">
        <v>1285</v>
      </c>
      <c r="B3045" s="3" t="str">
        <f t="shared" si="1"/>
        <v>Unavailable</v>
      </c>
      <c r="C3045" s="5">
        <v>3520.0</v>
      </c>
      <c r="D3045" s="3">
        <f>IFERROR(__xludf.DUMMYFUNCTION("IFERROR(
IF(REGEXMATCH(LOWER(O3045),""k""),
VALUE(REGEXEXTRACT(O3045,""[0-9]+""))*1000,
VALUE(REGEXEXTRACT(O3045,""[0-9]+""))
),
0
)"),0.0)</f>
        <v>0</v>
      </c>
      <c r="E3045" s="1" t="s">
        <v>11</v>
      </c>
      <c r="F3045" s="1" t="s">
        <v>12</v>
      </c>
      <c r="G3045" s="4" t="b">
        <f t="shared" si="2"/>
        <v>1</v>
      </c>
      <c r="H3045" s="1" t="str">
        <f t="shared" si="3"/>
        <v>Currently Unavailable</v>
      </c>
      <c r="I3045" s="1" t="str">
        <f t="shared" si="4"/>
        <v>No Badges</v>
      </c>
      <c r="J3045" s="3">
        <f t="shared" si="5"/>
        <v>0</v>
      </c>
    </row>
    <row r="3046">
      <c r="A3046" s="1" t="s">
        <v>88</v>
      </c>
      <c r="B3046" s="3" t="str">
        <f t="shared" si="1"/>
        <v>Unavailable</v>
      </c>
      <c r="C3046" s="3">
        <v>5.0</v>
      </c>
      <c r="D3046" s="3">
        <f>IFERROR(__xludf.DUMMYFUNCTION("IFERROR(
IF(REGEXMATCH(LOWER(O3046),""k""),
VALUE(REGEXEXTRACT(O3046,""[0-9]+""))*1000,
VALUE(REGEXEXTRACT(O3046,""[0-9]+""))
),
0
)"),0.0)</f>
        <v>0</v>
      </c>
      <c r="E3046" s="1" t="s">
        <v>11</v>
      </c>
      <c r="F3046" s="1" t="s">
        <v>12</v>
      </c>
      <c r="G3046" s="4" t="b">
        <f t="shared" si="2"/>
        <v>1</v>
      </c>
      <c r="H3046" s="1" t="str">
        <f t="shared" si="3"/>
        <v>Currently Unavailable</v>
      </c>
      <c r="I3046" s="1" t="str">
        <f t="shared" si="4"/>
        <v>No Badges</v>
      </c>
      <c r="J3046" s="3">
        <f t="shared" si="5"/>
        <v>0</v>
      </c>
    </row>
    <row r="3047">
      <c r="A3047" s="1" t="s">
        <v>2038</v>
      </c>
      <c r="B3047" s="3" t="str">
        <f t="shared" si="1"/>
        <v>Unavailable</v>
      </c>
      <c r="C3047" s="5">
        <v>3803.0</v>
      </c>
      <c r="D3047" s="3">
        <f>IFERROR(__xludf.DUMMYFUNCTION("IFERROR(
IF(REGEXMATCH(LOWER(O3047),""k""),
VALUE(REGEXEXTRACT(O3047,""[0-9]+""))*1000,
VALUE(REGEXEXTRACT(O3047,""[0-9]+""))
),
0
)"),0.0)</f>
        <v>0</v>
      </c>
      <c r="E3047" s="1" t="s">
        <v>11</v>
      </c>
      <c r="F3047" s="1" t="s">
        <v>12</v>
      </c>
      <c r="G3047" s="4" t="b">
        <f t="shared" si="2"/>
        <v>1</v>
      </c>
      <c r="H3047" s="1" t="str">
        <f t="shared" si="3"/>
        <v>Currently Unavailable</v>
      </c>
      <c r="I3047" s="1" t="str">
        <f t="shared" si="4"/>
        <v>No Badges</v>
      </c>
      <c r="J3047" s="3">
        <f t="shared" si="5"/>
        <v>0</v>
      </c>
    </row>
    <row r="3048">
      <c r="A3048" s="1" t="s">
        <v>604</v>
      </c>
      <c r="B3048" s="3" t="str">
        <f t="shared" si="1"/>
        <v>Unavailable</v>
      </c>
      <c r="C3048" s="3">
        <v>30.0</v>
      </c>
      <c r="D3048" s="3">
        <f>IFERROR(__xludf.DUMMYFUNCTION("IFERROR(
IF(REGEXMATCH(LOWER(O3048),""k""),
VALUE(REGEXEXTRACT(O3048,""[0-9]+""))*1000,
VALUE(REGEXEXTRACT(O3048,""[0-9]+""))
),
0
)"),0.0)</f>
        <v>0</v>
      </c>
      <c r="E3048" s="1" t="s">
        <v>11</v>
      </c>
      <c r="F3048" s="1" t="s">
        <v>12</v>
      </c>
      <c r="G3048" s="4" t="b">
        <f t="shared" si="2"/>
        <v>1</v>
      </c>
      <c r="H3048" s="1" t="str">
        <f t="shared" si="3"/>
        <v>Currently Unavailable</v>
      </c>
      <c r="I3048" s="1" t="str">
        <f t="shared" si="4"/>
        <v>No Badges</v>
      </c>
      <c r="J3048" s="3">
        <f t="shared" si="5"/>
        <v>0</v>
      </c>
    </row>
    <row r="3049">
      <c r="A3049" s="1" t="s">
        <v>1284</v>
      </c>
      <c r="B3049" s="3" t="str">
        <f t="shared" si="1"/>
        <v>Unavailable</v>
      </c>
      <c r="C3049" s="3">
        <v>172.0</v>
      </c>
      <c r="D3049" s="3">
        <f>IFERROR(__xludf.DUMMYFUNCTION("IFERROR(
IF(REGEXMATCH(LOWER(O3049),""k""),
VALUE(REGEXEXTRACT(O3049,""[0-9]+""))*1000,
VALUE(REGEXEXTRACT(O3049,""[0-9]+""))
),
0
)"),0.0)</f>
        <v>0</v>
      </c>
      <c r="E3049" s="1" t="s">
        <v>11</v>
      </c>
      <c r="F3049" s="1" t="s">
        <v>12</v>
      </c>
      <c r="G3049" s="4" t="b">
        <f t="shared" si="2"/>
        <v>1</v>
      </c>
      <c r="H3049" s="1" t="str">
        <f t="shared" si="3"/>
        <v>Currently Unavailable</v>
      </c>
      <c r="I3049" s="1" t="str">
        <f t="shared" si="4"/>
        <v>No Badges</v>
      </c>
      <c r="J3049" s="3">
        <f t="shared" si="5"/>
        <v>0</v>
      </c>
    </row>
    <row r="3050">
      <c r="A3050" s="1" t="s">
        <v>1285</v>
      </c>
      <c r="B3050" s="3" t="str">
        <f t="shared" si="1"/>
        <v>Unavailable</v>
      </c>
      <c r="C3050" s="5">
        <v>3520.0</v>
      </c>
      <c r="D3050" s="3">
        <f>IFERROR(__xludf.DUMMYFUNCTION("IFERROR(
IF(REGEXMATCH(LOWER(O3050),""k""),
VALUE(REGEXEXTRACT(O3050,""[0-9]+""))*1000,
VALUE(REGEXEXTRACT(O3050,""[0-9]+""))
),
0
)"),0.0)</f>
        <v>0</v>
      </c>
      <c r="E3050" s="1" t="s">
        <v>11</v>
      </c>
      <c r="F3050" s="1" t="s">
        <v>12</v>
      </c>
      <c r="G3050" s="4" t="b">
        <f t="shared" si="2"/>
        <v>1</v>
      </c>
      <c r="H3050" s="1" t="str">
        <f t="shared" si="3"/>
        <v>Currently Unavailable</v>
      </c>
      <c r="I3050" s="1" t="str">
        <f t="shared" si="4"/>
        <v>No Badges</v>
      </c>
      <c r="J3050" s="3">
        <f t="shared" si="5"/>
        <v>0</v>
      </c>
    </row>
    <row r="3051">
      <c r="A3051" s="1" t="s">
        <v>1284</v>
      </c>
      <c r="B3051" s="3" t="str">
        <f t="shared" si="1"/>
        <v>Unavailable</v>
      </c>
      <c r="C3051" s="3">
        <v>172.0</v>
      </c>
      <c r="D3051" s="3">
        <f>IFERROR(__xludf.DUMMYFUNCTION("IFERROR(
IF(REGEXMATCH(LOWER(O3051),""k""),
VALUE(REGEXEXTRACT(O3051,""[0-9]+""))*1000,
VALUE(REGEXEXTRACT(O3051,""[0-9]+""))
),
0
)"),0.0)</f>
        <v>0</v>
      </c>
      <c r="E3051" s="1" t="s">
        <v>18</v>
      </c>
      <c r="F3051" s="1" t="s">
        <v>12</v>
      </c>
      <c r="G3051" s="4" t="b">
        <f t="shared" si="2"/>
        <v>1</v>
      </c>
      <c r="H3051" s="1" t="str">
        <f t="shared" si="3"/>
        <v>Currently Unavailable</v>
      </c>
      <c r="I3051" s="1" t="str">
        <f t="shared" si="4"/>
        <v>No Badges</v>
      </c>
      <c r="J3051" s="3">
        <f t="shared" si="5"/>
        <v>0</v>
      </c>
    </row>
    <row r="3052">
      <c r="A3052" s="1" t="s">
        <v>2323</v>
      </c>
      <c r="B3052" s="3" t="str">
        <f t="shared" si="1"/>
        <v>Unavailable</v>
      </c>
      <c r="C3052" s="5">
        <v>8246.0</v>
      </c>
      <c r="D3052" s="3">
        <f>IFERROR(__xludf.DUMMYFUNCTION("IFERROR(
IF(REGEXMATCH(LOWER(O3052),""k""),
VALUE(REGEXEXTRACT(O3052,""[0-9]+""))*1000,
VALUE(REGEXEXTRACT(O3052,""[0-9]+""))
),
0
)"),0.0)</f>
        <v>0</v>
      </c>
      <c r="E3052" s="1" t="s">
        <v>11</v>
      </c>
      <c r="F3052" s="1" t="s">
        <v>20</v>
      </c>
      <c r="G3052" s="4" t="b">
        <f t="shared" si="2"/>
        <v>1</v>
      </c>
      <c r="H3052" s="1" t="str">
        <f t="shared" si="3"/>
        <v>Currently Unavailable</v>
      </c>
      <c r="I3052" s="1" t="str">
        <f t="shared" si="4"/>
        <v>No Badges</v>
      </c>
      <c r="J3052" s="3">
        <f t="shared" si="5"/>
        <v>0</v>
      </c>
    </row>
    <row r="3053">
      <c r="A3053" s="1" t="s">
        <v>2324</v>
      </c>
      <c r="B3053" s="3" t="str">
        <f t="shared" si="1"/>
        <v>Unavailable</v>
      </c>
      <c r="C3053" s="3">
        <v>140.0</v>
      </c>
      <c r="D3053" s="3">
        <f>IFERROR(__xludf.DUMMYFUNCTION("IFERROR(
IF(REGEXMATCH(LOWER(O3053),""k""),
VALUE(REGEXEXTRACT(O3053,""[0-9]+""))*1000,
VALUE(REGEXEXTRACT(O3053,""[0-9]+""))
),
0
)"),0.0)</f>
        <v>0</v>
      </c>
      <c r="E3053" s="1" t="s">
        <v>11</v>
      </c>
      <c r="F3053" s="1" t="s">
        <v>20</v>
      </c>
      <c r="G3053" s="4" t="b">
        <f t="shared" si="2"/>
        <v>1</v>
      </c>
      <c r="H3053" s="1" t="str">
        <f t="shared" si="3"/>
        <v>Currently Unavailable</v>
      </c>
      <c r="I3053" s="1" t="str">
        <f t="shared" si="4"/>
        <v>No Badges</v>
      </c>
      <c r="J3053" s="3">
        <f t="shared" si="5"/>
        <v>0</v>
      </c>
    </row>
    <row r="3054">
      <c r="A3054" s="1" t="s">
        <v>1285</v>
      </c>
      <c r="B3054" s="3" t="str">
        <f t="shared" si="1"/>
        <v>Unavailable</v>
      </c>
      <c r="C3054" s="5">
        <v>3520.0</v>
      </c>
      <c r="D3054" s="3">
        <f>IFERROR(__xludf.DUMMYFUNCTION("IFERROR(
IF(REGEXMATCH(LOWER(O3054),""k""),
VALUE(REGEXEXTRACT(O3054,""[0-9]+""))*1000,
VALUE(REGEXEXTRACT(O3054,""[0-9]+""))
),
0
)"),0.0)</f>
        <v>0</v>
      </c>
      <c r="E3054" s="1" t="s">
        <v>11</v>
      </c>
      <c r="F3054" s="1" t="s">
        <v>12</v>
      </c>
      <c r="G3054" s="4" t="b">
        <f t="shared" si="2"/>
        <v>1</v>
      </c>
      <c r="H3054" s="1" t="str">
        <f t="shared" si="3"/>
        <v>Currently Unavailable</v>
      </c>
      <c r="I3054" s="1" t="str">
        <f t="shared" si="4"/>
        <v>No Badges</v>
      </c>
      <c r="J3054" s="3">
        <f t="shared" si="5"/>
        <v>0</v>
      </c>
    </row>
    <row r="3055">
      <c r="A3055" s="1" t="s">
        <v>1284</v>
      </c>
      <c r="B3055" s="3" t="str">
        <f t="shared" si="1"/>
        <v>Unavailable</v>
      </c>
      <c r="C3055" s="3">
        <v>172.0</v>
      </c>
      <c r="D3055" s="3">
        <f>IFERROR(__xludf.DUMMYFUNCTION("IFERROR(
IF(REGEXMATCH(LOWER(O3055),""k""),
VALUE(REGEXEXTRACT(O3055,""[0-9]+""))*1000,
VALUE(REGEXEXTRACT(O3055,""[0-9]+""))
),
0
)"),0.0)</f>
        <v>0</v>
      </c>
      <c r="E3055" s="1" t="s">
        <v>11</v>
      </c>
      <c r="F3055" s="1" t="s">
        <v>12</v>
      </c>
      <c r="G3055" s="4" t="b">
        <f t="shared" si="2"/>
        <v>1</v>
      </c>
      <c r="H3055" s="1" t="str">
        <f t="shared" si="3"/>
        <v>Currently Unavailable</v>
      </c>
      <c r="I3055" s="1" t="str">
        <f t="shared" si="4"/>
        <v>No Badges</v>
      </c>
      <c r="J3055" s="3">
        <f t="shared" si="5"/>
        <v>0</v>
      </c>
    </row>
    <row r="3056">
      <c r="A3056" s="1" t="s">
        <v>2325</v>
      </c>
      <c r="B3056" s="3" t="str">
        <f t="shared" si="1"/>
        <v>Unavailable</v>
      </c>
      <c r="C3056" s="3">
        <v>495.0</v>
      </c>
      <c r="D3056" s="3">
        <f>IFERROR(__xludf.DUMMYFUNCTION("IFERROR(
IF(REGEXMATCH(LOWER(O3056),""k""),
VALUE(REGEXEXTRACT(O3056,""[0-9]+""))*1000,
VALUE(REGEXEXTRACT(O3056,""[0-9]+""))
),
0
)"),0.0)</f>
        <v>0</v>
      </c>
      <c r="E3056" s="1" t="s">
        <v>11</v>
      </c>
      <c r="F3056" s="1" t="s">
        <v>20</v>
      </c>
      <c r="G3056" s="4" t="b">
        <f t="shared" si="2"/>
        <v>1</v>
      </c>
      <c r="H3056" s="1" t="str">
        <f t="shared" si="3"/>
        <v>Currently Unavailable</v>
      </c>
      <c r="I3056" s="1" t="str">
        <f t="shared" si="4"/>
        <v>No Badges</v>
      </c>
      <c r="J3056" s="3">
        <f t="shared" si="5"/>
        <v>0</v>
      </c>
    </row>
    <row r="3057">
      <c r="A3057" s="1" t="s">
        <v>1285</v>
      </c>
      <c r="B3057" s="3" t="str">
        <f t="shared" si="1"/>
        <v>Unavailable</v>
      </c>
      <c r="C3057" s="5">
        <v>3520.0</v>
      </c>
      <c r="D3057" s="3">
        <f>IFERROR(__xludf.DUMMYFUNCTION("IFERROR(
IF(REGEXMATCH(LOWER(O3057),""k""),
VALUE(REGEXEXTRACT(O3057,""[0-9]+""))*1000,
VALUE(REGEXEXTRACT(O3057,""[0-9]+""))
),
0
)"),0.0)</f>
        <v>0</v>
      </c>
      <c r="E3057" s="1" t="s">
        <v>11</v>
      </c>
      <c r="F3057" s="1" t="s">
        <v>12</v>
      </c>
      <c r="G3057" s="4" t="b">
        <f t="shared" si="2"/>
        <v>1</v>
      </c>
      <c r="H3057" s="1" t="str">
        <f t="shared" si="3"/>
        <v>Currently Unavailable</v>
      </c>
      <c r="I3057" s="1" t="str">
        <f t="shared" si="4"/>
        <v>No Badges</v>
      </c>
      <c r="J3057" s="3">
        <f t="shared" si="5"/>
        <v>0</v>
      </c>
    </row>
    <row r="3058">
      <c r="A3058" s="1" t="s">
        <v>1284</v>
      </c>
      <c r="B3058" s="3" t="str">
        <f t="shared" si="1"/>
        <v>Unavailable</v>
      </c>
      <c r="C3058" s="3">
        <v>172.0</v>
      </c>
      <c r="D3058" s="3">
        <f>IFERROR(__xludf.DUMMYFUNCTION("IFERROR(
IF(REGEXMATCH(LOWER(O3058),""k""),
VALUE(REGEXEXTRACT(O3058,""[0-9]+""))*1000,
VALUE(REGEXEXTRACT(O3058,""[0-9]+""))
),
0
)"),0.0)</f>
        <v>0</v>
      </c>
      <c r="E3058" s="1" t="s">
        <v>11</v>
      </c>
      <c r="F3058" s="1" t="s">
        <v>12</v>
      </c>
      <c r="G3058" s="4" t="b">
        <f t="shared" si="2"/>
        <v>1</v>
      </c>
      <c r="H3058" s="1" t="str">
        <f t="shared" si="3"/>
        <v>Currently Unavailable</v>
      </c>
      <c r="I3058" s="1" t="str">
        <f t="shared" si="4"/>
        <v>No Badges</v>
      </c>
      <c r="J3058" s="3">
        <f t="shared" si="5"/>
        <v>0</v>
      </c>
    </row>
    <row r="3059">
      <c r="A3059" s="1" t="s">
        <v>2326</v>
      </c>
      <c r="B3059" s="3" t="str">
        <f t="shared" si="1"/>
        <v>Unavailable</v>
      </c>
      <c r="C3059" s="5">
        <v>9307.0</v>
      </c>
      <c r="D3059" s="3">
        <f>IFERROR(__xludf.DUMMYFUNCTION("IFERROR(
IF(REGEXMATCH(LOWER(O3059),""k""),
VALUE(REGEXEXTRACT(O3059,""[0-9]+""))*1000,
VALUE(REGEXEXTRACT(O3059,""[0-9]+""))
),
0
)"),0.0)</f>
        <v>0</v>
      </c>
      <c r="E3059" s="1" t="s">
        <v>18</v>
      </c>
      <c r="F3059" s="1" t="s">
        <v>20</v>
      </c>
      <c r="G3059" s="4" t="b">
        <f t="shared" si="2"/>
        <v>1</v>
      </c>
      <c r="H3059" s="1" t="str">
        <f t="shared" si="3"/>
        <v>Currently Unavailable</v>
      </c>
      <c r="I3059" s="1" t="str">
        <f t="shared" si="4"/>
        <v>No Badges</v>
      </c>
      <c r="J3059" s="3">
        <f t="shared" si="5"/>
        <v>0</v>
      </c>
    </row>
    <row r="3060">
      <c r="A3060" s="1" t="s">
        <v>1285</v>
      </c>
      <c r="B3060" s="3" t="str">
        <f t="shared" si="1"/>
        <v>Unavailable</v>
      </c>
      <c r="C3060" s="5">
        <v>3520.0</v>
      </c>
      <c r="D3060" s="3">
        <f>IFERROR(__xludf.DUMMYFUNCTION("IFERROR(
IF(REGEXMATCH(LOWER(O3060),""k""),
VALUE(REGEXEXTRACT(O3060,""[0-9]+""))*1000,
VALUE(REGEXEXTRACT(O3060,""[0-9]+""))
),
0
)"),0.0)</f>
        <v>0</v>
      </c>
      <c r="E3060" s="1" t="s">
        <v>11</v>
      </c>
      <c r="F3060" s="1" t="s">
        <v>12</v>
      </c>
      <c r="G3060" s="4" t="b">
        <f t="shared" si="2"/>
        <v>1</v>
      </c>
      <c r="H3060" s="1" t="str">
        <f t="shared" si="3"/>
        <v>Currently Unavailable</v>
      </c>
      <c r="I3060" s="1" t="str">
        <f t="shared" si="4"/>
        <v>No Badges</v>
      </c>
      <c r="J3060" s="3">
        <f t="shared" si="5"/>
        <v>0</v>
      </c>
    </row>
    <row r="3061">
      <c r="A3061" s="1" t="s">
        <v>1284</v>
      </c>
      <c r="B3061" s="3" t="str">
        <f t="shared" si="1"/>
        <v>Unavailable</v>
      </c>
      <c r="C3061" s="3">
        <v>172.0</v>
      </c>
      <c r="D3061" s="3">
        <f>IFERROR(__xludf.DUMMYFUNCTION("IFERROR(
IF(REGEXMATCH(LOWER(O3061),""k""),
VALUE(REGEXEXTRACT(O3061,""[0-9]+""))*1000,
VALUE(REGEXEXTRACT(O3061,""[0-9]+""))
),
0
)"),0.0)</f>
        <v>0</v>
      </c>
      <c r="E3061" s="1" t="s">
        <v>11</v>
      </c>
      <c r="F3061" s="1" t="s">
        <v>12</v>
      </c>
      <c r="G3061" s="4" t="b">
        <f t="shared" si="2"/>
        <v>1</v>
      </c>
      <c r="H3061" s="1" t="str">
        <f t="shared" si="3"/>
        <v>Currently Unavailable</v>
      </c>
      <c r="I3061" s="1" t="str">
        <f t="shared" si="4"/>
        <v>No Badges</v>
      </c>
      <c r="J3061" s="3">
        <f t="shared" si="5"/>
        <v>0</v>
      </c>
    </row>
    <row r="3062">
      <c r="A3062" s="1" t="s">
        <v>69</v>
      </c>
      <c r="B3062" s="3" t="str">
        <f t="shared" si="1"/>
        <v>Unavailable</v>
      </c>
      <c r="C3062" s="3">
        <v>45.0</v>
      </c>
      <c r="D3062" s="3">
        <f>IFERROR(__xludf.DUMMYFUNCTION("IFERROR(
IF(REGEXMATCH(LOWER(O3062),""k""),
VALUE(REGEXEXTRACT(O3062,""[0-9]+""))*1000,
VALUE(REGEXEXTRACT(O3062,""[0-9]+""))
),
0
)"),0.0)</f>
        <v>0</v>
      </c>
      <c r="E3062" s="1" t="s">
        <v>11</v>
      </c>
      <c r="F3062" s="1" t="s">
        <v>12</v>
      </c>
      <c r="G3062" s="4" t="b">
        <f t="shared" si="2"/>
        <v>1</v>
      </c>
      <c r="H3062" s="1" t="str">
        <f t="shared" si="3"/>
        <v>Currently Unavailable</v>
      </c>
      <c r="I3062" s="1" t="str">
        <f t="shared" si="4"/>
        <v>No Badges</v>
      </c>
      <c r="J3062" s="3">
        <f t="shared" si="5"/>
        <v>0</v>
      </c>
    </row>
    <row r="3063">
      <c r="A3063" s="1" t="s">
        <v>67</v>
      </c>
      <c r="B3063" s="3" t="str">
        <f t="shared" si="1"/>
        <v>Unavailable</v>
      </c>
      <c r="C3063" s="3">
        <v>264.0</v>
      </c>
      <c r="D3063" s="3">
        <f>IFERROR(__xludf.DUMMYFUNCTION("IFERROR(
IF(REGEXMATCH(LOWER(O3063),""k""),
VALUE(REGEXEXTRACT(O3063,""[0-9]+""))*1000,
VALUE(REGEXEXTRACT(O3063,""[0-9]+""))
),
0
)"),0.0)</f>
        <v>0</v>
      </c>
      <c r="E3063" s="1" t="s">
        <v>11</v>
      </c>
      <c r="F3063" s="1" t="s">
        <v>12</v>
      </c>
      <c r="G3063" s="4" t="b">
        <f t="shared" si="2"/>
        <v>1</v>
      </c>
      <c r="H3063" s="1" t="str">
        <f t="shared" si="3"/>
        <v>Currently Unavailable</v>
      </c>
      <c r="I3063" s="1" t="str">
        <f t="shared" si="4"/>
        <v>No Badges</v>
      </c>
      <c r="J3063" s="3">
        <f t="shared" si="5"/>
        <v>0</v>
      </c>
    </row>
    <row r="3064">
      <c r="A3064" s="1" t="s">
        <v>1285</v>
      </c>
      <c r="B3064" s="3" t="str">
        <f t="shared" si="1"/>
        <v>Unavailable</v>
      </c>
      <c r="C3064" s="5">
        <v>3520.0</v>
      </c>
      <c r="D3064" s="3">
        <f>IFERROR(__xludf.DUMMYFUNCTION("IFERROR(
IF(REGEXMATCH(LOWER(O3064),""k""),
VALUE(REGEXEXTRACT(O3064,""[0-9]+""))*1000,
VALUE(REGEXEXTRACT(O3064,""[0-9]+""))
),
0
)"),0.0)</f>
        <v>0</v>
      </c>
      <c r="E3064" s="1" t="s">
        <v>11</v>
      </c>
      <c r="F3064" s="1" t="s">
        <v>12</v>
      </c>
      <c r="G3064" s="4" t="b">
        <f t="shared" si="2"/>
        <v>1</v>
      </c>
      <c r="H3064" s="1" t="str">
        <f t="shared" si="3"/>
        <v>Currently Unavailable</v>
      </c>
      <c r="I3064" s="1" t="str">
        <f t="shared" si="4"/>
        <v>No Badges</v>
      </c>
      <c r="J3064" s="3">
        <f t="shared" si="5"/>
        <v>0</v>
      </c>
    </row>
    <row r="3065">
      <c r="A3065" s="1" t="s">
        <v>1284</v>
      </c>
      <c r="B3065" s="3" t="str">
        <f t="shared" si="1"/>
        <v>Unavailable</v>
      </c>
      <c r="C3065" s="3">
        <v>172.0</v>
      </c>
      <c r="D3065" s="3">
        <f>IFERROR(__xludf.DUMMYFUNCTION("IFERROR(
IF(REGEXMATCH(LOWER(O3065),""k""),
VALUE(REGEXEXTRACT(O3065,""[0-9]+""))*1000,
VALUE(REGEXEXTRACT(O3065,""[0-9]+""))
),
0
)"),0.0)</f>
        <v>0</v>
      </c>
      <c r="E3065" s="1" t="s">
        <v>11</v>
      </c>
      <c r="F3065" s="1" t="s">
        <v>12</v>
      </c>
      <c r="G3065" s="4" t="b">
        <f t="shared" si="2"/>
        <v>1</v>
      </c>
      <c r="H3065" s="1" t="str">
        <f t="shared" si="3"/>
        <v>Currently Unavailable</v>
      </c>
      <c r="I3065" s="1" t="str">
        <f t="shared" si="4"/>
        <v>No Badges</v>
      </c>
      <c r="J3065" s="3">
        <f t="shared" si="5"/>
        <v>0</v>
      </c>
    </row>
    <row r="3066">
      <c r="A3066" s="1" t="s">
        <v>1285</v>
      </c>
      <c r="B3066" s="3" t="str">
        <f t="shared" si="1"/>
        <v>Unavailable</v>
      </c>
      <c r="C3066" s="5">
        <v>3520.0</v>
      </c>
      <c r="D3066" s="3">
        <f>IFERROR(__xludf.DUMMYFUNCTION("IFERROR(
IF(REGEXMATCH(LOWER(O3066),""k""),
VALUE(REGEXEXTRACT(O3066,""[0-9]+""))*1000,
VALUE(REGEXEXTRACT(O3066,""[0-9]+""))
),
0
)"),0.0)</f>
        <v>0</v>
      </c>
      <c r="E3066" s="1" t="s">
        <v>11</v>
      </c>
      <c r="F3066" s="1" t="s">
        <v>12</v>
      </c>
      <c r="G3066" s="4" t="b">
        <f t="shared" si="2"/>
        <v>1</v>
      </c>
      <c r="H3066" s="1" t="str">
        <f t="shared" si="3"/>
        <v>Currently Unavailable</v>
      </c>
      <c r="I3066" s="1" t="str">
        <f t="shared" si="4"/>
        <v>No Badges</v>
      </c>
      <c r="J3066" s="3">
        <f t="shared" si="5"/>
        <v>0</v>
      </c>
    </row>
    <row r="3067">
      <c r="A3067" s="1" t="s">
        <v>2327</v>
      </c>
      <c r="B3067" s="3" t="str">
        <f t="shared" si="1"/>
        <v>Unavailable</v>
      </c>
      <c r="C3067" s="5">
        <v>3019.0</v>
      </c>
      <c r="D3067" s="3">
        <f>IFERROR(__xludf.DUMMYFUNCTION("IFERROR(
IF(REGEXMATCH(LOWER(O3067),""k""),
VALUE(REGEXEXTRACT(O3067,""[0-9]+""))*1000,
VALUE(REGEXEXTRACT(O3067,""[0-9]+""))
),
0
)"),0.0)</f>
        <v>0</v>
      </c>
      <c r="E3067" s="1" t="s">
        <v>11</v>
      </c>
      <c r="F3067" s="1" t="s">
        <v>20</v>
      </c>
      <c r="G3067" s="4" t="b">
        <f t="shared" si="2"/>
        <v>1</v>
      </c>
      <c r="H3067" s="1" t="str">
        <f t="shared" si="3"/>
        <v>Currently Unavailable</v>
      </c>
      <c r="I3067" s="1" t="str">
        <f t="shared" si="4"/>
        <v>No Badges</v>
      </c>
      <c r="J3067" s="3">
        <f t="shared" si="5"/>
        <v>0</v>
      </c>
    </row>
    <row r="3068">
      <c r="A3068" s="1" t="s">
        <v>1284</v>
      </c>
      <c r="B3068" s="3" t="str">
        <f t="shared" si="1"/>
        <v>Unavailable</v>
      </c>
      <c r="C3068" s="3">
        <v>172.0</v>
      </c>
      <c r="D3068" s="3">
        <f>IFERROR(__xludf.DUMMYFUNCTION("IFERROR(
IF(REGEXMATCH(LOWER(O3068),""k""),
VALUE(REGEXEXTRACT(O3068,""[0-9]+""))*1000,
VALUE(REGEXEXTRACT(O3068,""[0-9]+""))
),
0
)"),0.0)</f>
        <v>0</v>
      </c>
      <c r="E3068" s="1" t="s">
        <v>11</v>
      </c>
      <c r="F3068" s="1" t="s">
        <v>12</v>
      </c>
      <c r="G3068" s="4" t="b">
        <f t="shared" si="2"/>
        <v>1</v>
      </c>
      <c r="H3068" s="1" t="str">
        <f t="shared" si="3"/>
        <v>Currently Unavailable</v>
      </c>
      <c r="I3068" s="1" t="str">
        <f t="shared" si="4"/>
        <v>No Badges</v>
      </c>
      <c r="J3068" s="3">
        <f t="shared" si="5"/>
        <v>0</v>
      </c>
    </row>
    <row r="3069">
      <c r="A3069" s="1" t="s">
        <v>1285</v>
      </c>
      <c r="B3069" s="3" t="str">
        <f t="shared" si="1"/>
        <v>Unavailable</v>
      </c>
      <c r="C3069" s="5">
        <v>3520.0</v>
      </c>
      <c r="D3069" s="3">
        <f>IFERROR(__xludf.DUMMYFUNCTION("IFERROR(
IF(REGEXMATCH(LOWER(O3069),""k""),
VALUE(REGEXEXTRACT(O3069,""[0-9]+""))*1000,
VALUE(REGEXEXTRACT(O3069,""[0-9]+""))
),
0
)"),0.0)</f>
        <v>0</v>
      </c>
      <c r="E3069" s="1" t="s">
        <v>11</v>
      </c>
      <c r="F3069" s="1" t="s">
        <v>12</v>
      </c>
      <c r="G3069" s="4" t="b">
        <f t="shared" si="2"/>
        <v>1</v>
      </c>
      <c r="H3069" s="1" t="str">
        <f t="shared" si="3"/>
        <v>Currently Unavailable</v>
      </c>
      <c r="I3069" s="1" t="str">
        <f t="shared" si="4"/>
        <v>No Badges</v>
      </c>
      <c r="J3069" s="3">
        <f t="shared" si="5"/>
        <v>0</v>
      </c>
    </row>
    <row r="3070">
      <c r="A3070" s="1" t="s">
        <v>1285</v>
      </c>
      <c r="B3070" s="3" t="str">
        <f t="shared" si="1"/>
        <v>Unavailable</v>
      </c>
      <c r="C3070" s="5">
        <v>3520.0</v>
      </c>
      <c r="D3070" s="3">
        <f>IFERROR(__xludf.DUMMYFUNCTION("IFERROR(
IF(REGEXMATCH(LOWER(O3070),""k""),
VALUE(REGEXEXTRACT(O3070,""[0-9]+""))*1000,
VALUE(REGEXEXTRACT(O3070,""[0-9]+""))
),
0
)"),0.0)</f>
        <v>0</v>
      </c>
      <c r="E3070" s="1" t="s">
        <v>11</v>
      </c>
      <c r="F3070" s="1" t="s">
        <v>12</v>
      </c>
      <c r="G3070" s="4" t="b">
        <f t="shared" si="2"/>
        <v>1</v>
      </c>
      <c r="H3070" s="1" t="str">
        <f t="shared" si="3"/>
        <v>Currently Unavailable</v>
      </c>
      <c r="I3070" s="1" t="str">
        <f t="shared" si="4"/>
        <v>No Badges</v>
      </c>
      <c r="J3070" s="3">
        <f t="shared" si="5"/>
        <v>0</v>
      </c>
    </row>
    <row r="3071">
      <c r="A3071" s="1" t="s">
        <v>2328</v>
      </c>
      <c r="B3071" s="3" t="str">
        <f t="shared" si="1"/>
        <v>Unavailable</v>
      </c>
      <c r="C3071" s="5">
        <v>1252.0</v>
      </c>
      <c r="D3071" s="3">
        <f>IFERROR(__xludf.DUMMYFUNCTION("IFERROR(
IF(REGEXMATCH(LOWER(O3071),""k""),
VALUE(REGEXEXTRACT(O3071,""[0-9]+""))*1000,
VALUE(REGEXEXTRACT(O3071,""[0-9]+""))
),
0
)"),0.0)</f>
        <v>0</v>
      </c>
      <c r="E3071" s="1" t="s">
        <v>11</v>
      </c>
      <c r="F3071" s="1" t="s">
        <v>20</v>
      </c>
      <c r="G3071" s="4" t="b">
        <f t="shared" si="2"/>
        <v>1</v>
      </c>
      <c r="H3071" s="1" t="str">
        <f t="shared" si="3"/>
        <v>Currently Unavailable</v>
      </c>
      <c r="I3071" s="1" t="str">
        <f t="shared" si="4"/>
        <v>No Badges</v>
      </c>
      <c r="J3071" s="3">
        <f t="shared" si="5"/>
        <v>0</v>
      </c>
    </row>
    <row r="3072">
      <c r="A3072" s="1" t="s">
        <v>1284</v>
      </c>
      <c r="B3072" s="3" t="str">
        <f t="shared" si="1"/>
        <v>Unavailable</v>
      </c>
      <c r="C3072" s="3">
        <v>172.0</v>
      </c>
      <c r="D3072" s="3">
        <f>IFERROR(__xludf.DUMMYFUNCTION("IFERROR(
IF(REGEXMATCH(LOWER(O3072),""k""),
VALUE(REGEXEXTRACT(O3072,""[0-9]+""))*1000,
VALUE(REGEXEXTRACT(O3072,""[0-9]+""))
),
0
)"),0.0)</f>
        <v>0</v>
      </c>
      <c r="E3072" s="1" t="s">
        <v>11</v>
      </c>
      <c r="F3072" s="1" t="s">
        <v>12</v>
      </c>
      <c r="G3072" s="4" t="b">
        <f t="shared" si="2"/>
        <v>1</v>
      </c>
      <c r="H3072" s="1" t="str">
        <f t="shared" si="3"/>
        <v>Currently Unavailable</v>
      </c>
      <c r="I3072" s="1" t="str">
        <f t="shared" si="4"/>
        <v>No Badges</v>
      </c>
      <c r="J3072" s="3">
        <f t="shared" si="5"/>
        <v>0</v>
      </c>
    </row>
    <row r="3073">
      <c r="A3073" s="1" t="s">
        <v>1284</v>
      </c>
      <c r="B3073" s="3" t="str">
        <f t="shared" si="1"/>
        <v>Unavailable</v>
      </c>
      <c r="C3073" s="3">
        <v>172.0</v>
      </c>
      <c r="D3073" s="3">
        <f>IFERROR(__xludf.DUMMYFUNCTION("IFERROR(
IF(REGEXMATCH(LOWER(O3073),""k""),
VALUE(REGEXEXTRACT(O3073,""[0-9]+""))*1000,
VALUE(REGEXEXTRACT(O3073,""[0-9]+""))
),
0
)"),0.0)</f>
        <v>0</v>
      </c>
      <c r="E3073" s="1" t="s">
        <v>11</v>
      </c>
      <c r="F3073" s="1" t="s">
        <v>12</v>
      </c>
      <c r="G3073" s="4" t="b">
        <f t="shared" si="2"/>
        <v>1</v>
      </c>
      <c r="H3073" s="1" t="str">
        <f t="shared" si="3"/>
        <v>Currently Unavailable</v>
      </c>
      <c r="I3073" s="1" t="str">
        <f t="shared" si="4"/>
        <v>No Badges</v>
      </c>
      <c r="J3073" s="3">
        <f t="shared" si="5"/>
        <v>0</v>
      </c>
    </row>
    <row r="3074">
      <c r="A3074" s="1" t="s">
        <v>2329</v>
      </c>
      <c r="B3074" s="3" t="str">
        <f t="shared" si="1"/>
        <v>Unavailable</v>
      </c>
      <c r="C3074" s="3">
        <v>647.0</v>
      </c>
      <c r="D3074" s="3">
        <f>IFERROR(__xludf.DUMMYFUNCTION("IFERROR(
IF(REGEXMATCH(LOWER(O3074),""k""),
VALUE(REGEXEXTRACT(O3074,""[0-9]+""))*1000,
VALUE(REGEXEXTRACT(O3074,""[0-9]+""))
),
0
)"),0.0)</f>
        <v>0</v>
      </c>
      <c r="E3074" s="1" t="s">
        <v>11</v>
      </c>
      <c r="F3074" s="1" t="s">
        <v>20</v>
      </c>
      <c r="G3074" s="4" t="b">
        <f t="shared" si="2"/>
        <v>1</v>
      </c>
      <c r="H3074" s="1" t="str">
        <f t="shared" si="3"/>
        <v>Currently Unavailable</v>
      </c>
      <c r="I3074" s="1" t="str">
        <f t="shared" si="4"/>
        <v>No Badges</v>
      </c>
      <c r="J3074" s="3">
        <f t="shared" si="5"/>
        <v>0</v>
      </c>
    </row>
    <row r="3075">
      <c r="A3075" s="1" t="s">
        <v>2330</v>
      </c>
      <c r="B3075" s="3" t="str">
        <f t="shared" si="1"/>
        <v>Unavailable</v>
      </c>
      <c r="C3075" s="5">
        <v>8157.0</v>
      </c>
      <c r="D3075" s="3">
        <f>IFERROR(__xludf.DUMMYFUNCTION("IFERROR(
IF(REGEXMATCH(LOWER(O3075),""k""),
VALUE(REGEXEXTRACT(O3075,""[0-9]+""))*1000,
VALUE(REGEXEXTRACT(O3075,""[0-9]+""))
),
0
)"),0.0)</f>
        <v>0</v>
      </c>
      <c r="E3075" s="1" t="s">
        <v>11</v>
      </c>
      <c r="F3075" s="1" t="s">
        <v>20</v>
      </c>
      <c r="G3075" s="4" t="b">
        <f t="shared" si="2"/>
        <v>1</v>
      </c>
      <c r="H3075" s="1" t="str">
        <f t="shared" si="3"/>
        <v>Currently Unavailable</v>
      </c>
      <c r="I3075" s="1" t="str">
        <f t="shared" si="4"/>
        <v>No Badges</v>
      </c>
      <c r="J3075" s="3">
        <f t="shared" si="5"/>
        <v>0</v>
      </c>
    </row>
    <row r="3076">
      <c r="A3076" s="1" t="s">
        <v>1279</v>
      </c>
      <c r="B3076" s="3" t="str">
        <f t="shared" si="1"/>
        <v>Unavailable</v>
      </c>
      <c r="C3076" s="3">
        <v>65.0</v>
      </c>
      <c r="D3076" s="3">
        <f>IFERROR(__xludf.DUMMYFUNCTION("IFERROR(
IF(REGEXMATCH(LOWER(O3076),""k""),
VALUE(REGEXEXTRACT(O3076,""[0-9]+""))*1000,
VALUE(REGEXEXTRACT(O3076,""[0-9]+""))
),
0
)"),0.0)</f>
        <v>0</v>
      </c>
      <c r="E3076" s="1" t="s">
        <v>11</v>
      </c>
      <c r="F3076" s="1" t="s">
        <v>12</v>
      </c>
      <c r="G3076" s="4" t="b">
        <f t="shared" si="2"/>
        <v>1</v>
      </c>
      <c r="H3076" s="1" t="str">
        <f t="shared" si="3"/>
        <v>Currently Unavailable</v>
      </c>
      <c r="I3076" s="1" t="str">
        <f t="shared" si="4"/>
        <v>No Badges</v>
      </c>
      <c r="J3076" s="3">
        <f t="shared" si="5"/>
        <v>0</v>
      </c>
    </row>
    <row r="3077">
      <c r="A3077" s="1" t="s">
        <v>1285</v>
      </c>
      <c r="B3077" s="3" t="str">
        <f t="shared" si="1"/>
        <v>Unavailable</v>
      </c>
      <c r="C3077" s="5">
        <v>3520.0</v>
      </c>
      <c r="D3077" s="3">
        <f>IFERROR(__xludf.DUMMYFUNCTION("IFERROR(
IF(REGEXMATCH(LOWER(O3077),""k""),
VALUE(REGEXEXTRACT(O3077,""[0-9]+""))*1000,
VALUE(REGEXEXTRACT(O3077,""[0-9]+""))
),
0
)"),0.0)</f>
        <v>0</v>
      </c>
      <c r="E3077" s="1" t="s">
        <v>11</v>
      </c>
      <c r="F3077" s="1" t="s">
        <v>12</v>
      </c>
      <c r="G3077" s="4" t="b">
        <f t="shared" si="2"/>
        <v>1</v>
      </c>
      <c r="H3077" s="1" t="str">
        <f t="shared" si="3"/>
        <v>Currently Unavailable</v>
      </c>
      <c r="I3077" s="1" t="str">
        <f t="shared" si="4"/>
        <v>No Badges</v>
      </c>
      <c r="J3077" s="3">
        <f t="shared" si="5"/>
        <v>0</v>
      </c>
    </row>
    <row r="3078">
      <c r="A3078" s="1" t="s">
        <v>701</v>
      </c>
      <c r="B3078" s="3" t="str">
        <f t="shared" si="1"/>
        <v>Unavailable</v>
      </c>
      <c r="C3078" s="3">
        <v>8.0</v>
      </c>
      <c r="D3078" s="3">
        <f>IFERROR(__xludf.DUMMYFUNCTION("IFERROR(
IF(REGEXMATCH(LOWER(O3078),""k""),
VALUE(REGEXEXTRACT(O3078,""[0-9]+""))*1000,
VALUE(REGEXEXTRACT(O3078,""[0-9]+""))
),
0
)"),0.0)</f>
        <v>0</v>
      </c>
      <c r="E3078" s="1" t="s">
        <v>11</v>
      </c>
      <c r="F3078" s="1" t="s">
        <v>12</v>
      </c>
      <c r="G3078" s="4" t="b">
        <f t="shared" si="2"/>
        <v>1</v>
      </c>
      <c r="H3078" s="1" t="str">
        <f t="shared" si="3"/>
        <v>Currently Unavailable</v>
      </c>
      <c r="I3078" s="1" t="str">
        <f t="shared" si="4"/>
        <v>No Badges</v>
      </c>
      <c r="J3078" s="3">
        <f t="shared" si="5"/>
        <v>0</v>
      </c>
    </row>
    <row r="3079">
      <c r="A3079" s="1" t="s">
        <v>1284</v>
      </c>
      <c r="B3079" s="3" t="str">
        <f t="shared" si="1"/>
        <v>Unavailable</v>
      </c>
      <c r="C3079" s="3">
        <v>172.0</v>
      </c>
      <c r="D3079" s="3">
        <f>IFERROR(__xludf.DUMMYFUNCTION("IFERROR(
IF(REGEXMATCH(LOWER(O3079),""k""),
VALUE(REGEXEXTRACT(O3079,""[0-9]+""))*1000,
VALUE(REGEXEXTRACT(O3079,""[0-9]+""))
),
0
)"),0.0)</f>
        <v>0</v>
      </c>
      <c r="E3079" s="1" t="s">
        <v>11</v>
      </c>
      <c r="F3079" s="1" t="s">
        <v>12</v>
      </c>
      <c r="G3079" s="4" t="b">
        <f t="shared" si="2"/>
        <v>1</v>
      </c>
      <c r="H3079" s="1" t="str">
        <f t="shared" si="3"/>
        <v>Currently Unavailable</v>
      </c>
      <c r="I3079" s="1" t="str">
        <f t="shared" si="4"/>
        <v>No Badges</v>
      </c>
      <c r="J3079" s="3">
        <f t="shared" si="5"/>
        <v>0</v>
      </c>
    </row>
    <row r="3080">
      <c r="A3080" s="1" t="s">
        <v>1285</v>
      </c>
      <c r="B3080" s="3" t="str">
        <f t="shared" si="1"/>
        <v>Unavailable</v>
      </c>
      <c r="C3080" s="5">
        <v>3520.0</v>
      </c>
      <c r="D3080" s="3">
        <f>IFERROR(__xludf.DUMMYFUNCTION("IFERROR(
IF(REGEXMATCH(LOWER(O3080),""k""),
VALUE(REGEXEXTRACT(O3080,""[0-9]+""))*1000,
VALUE(REGEXEXTRACT(O3080,""[0-9]+""))
),
0
)"),0.0)</f>
        <v>0</v>
      </c>
      <c r="E3080" s="1" t="s">
        <v>11</v>
      </c>
      <c r="F3080" s="1" t="s">
        <v>12</v>
      </c>
      <c r="G3080" s="4" t="b">
        <f t="shared" si="2"/>
        <v>1</v>
      </c>
      <c r="H3080" s="1" t="str">
        <f t="shared" si="3"/>
        <v>Currently Unavailable</v>
      </c>
      <c r="I3080" s="1" t="str">
        <f t="shared" si="4"/>
        <v>No Badges</v>
      </c>
      <c r="J3080" s="3">
        <f t="shared" si="5"/>
        <v>0</v>
      </c>
    </row>
    <row r="3081">
      <c r="A3081" s="1" t="s">
        <v>1284</v>
      </c>
      <c r="B3081" s="3" t="str">
        <f t="shared" si="1"/>
        <v>Unavailable</v>
      </c>
      <c r="C3081" s="3">
        <v>172.0</v>
      </c>
      <c r="D3081" s="3">
        <f>IFERROR(__xludf.DUMMYFUNCTION("IFERROR(
IF(REGEXMATCH(LOWER(O3081),""k""),
VALUE(REGEXEXTRACT(O3081,""[0-9]+""))*1000,
VALUE(REGEXEXTRACT(O3081,""[0-9]+""))
),
0
)"),0.0)</f>
        <v>0</v>
      </c>
      <c r="E3081" s="1" t="s">
        <v>11</v>
      </c>
      <c r="F3081" s="1" t="s">
        <v>12</v>
      </c>
      <c r="G3081" s="4" t="b">
        <f t="shared" si="2"/>
        <v>1</v>
      </c>
      <c r="H3081" s="1" t="str">
        <f t="shared" si="3"/>
        <v>Currently Unavailable</v>
      </c>
      <c r="I3081" s="1" t="str">
        <f t="shared" si="4"/>
        <v>No Badges</v>
      </c>
      <c r="J3081" s="3">
        <f t="shared" si="5"/>
        <v>0</v>
      </c>
    </row>
    <row r="3082">
      <c r="A3082" s="1" t="s">
        <v>2331</v>
      </c>
      <c r="B3082" s="3" t="str">
        <f t="shared" si="1"/>
        <v>Unavailable</v>
      </c>
      <c r="C3082" s="3">
        <v>433.0</v>
      </c>
      <c r="D3082" s="3">
        <f>IFERROR(__xludf.DUMMYFUNCTION("IFERROR(
IF(REGEXMATCH(LOWER(O3082),""k""),
VALUE(REGEXEXTRACT(O3082,""[0-9]+""))*1000,
VALUE(REGEXEXTRACT(O3082,""[0-9]+""))
),
0
)"),0.0)</f>
        <v>0</v>
      </c>
      <c r="E3082" s="1" t="s">
        <v>11</v>
      </c>
      <c r="F3082" s="1" t="s">
        <v>20</v>
      </c>
      <c r="G3082" s="4" t="b">
        <f t="shared" si="2"/>
        <v>1</v>
      </c>
      <c r="H3082" s="1" t="str">
        <f t="shared" si="3"/>
        <v>Currently Unavailable</v>
      </c>
      <c r="I3082" s="1" t="str">
        <f t="shared" si="4"/>
        <v>No Badges</v>
      </c>
      <c r="J3082" s="3">
        <f t="shared" si="5"/>
        <v>0</v>
      </c>
    </row>
    <row r="3083">
      <c r="A3083" s="1" t="s">
        <v>1285</v>
      </c>
      <c r="B3083" s="3" t="str">
        <f t="shared" si="1"/>
        <v>Unavailable</v>
      </c>
      <c r="C3083" s="5">
        <v>3520.0</v>
      </c>
      <c r="D3083" s="3">
        <f>IFERROR(__xludf.DUMMYFUNCTION("IFERROR(
IF(REGEXMATCH(LOWER(O3083),""k""),
VALUE(REGEXEXTRACT(O3083,""[0-9]+""))*1000,
VALUE(REGEXEXTRACT(O3083,""[0-9]+""))
),
0
)"),0.0)</f>
        <v>0</v>
      </c>
      <c r="E3083" s="1" t="s">
        <v>11</v>
      </c>
      <c r="F3083" s="1" t="s">
        <v>12</v>
      </c>
      <c r="G3083" s="4" t="b">
        <f t="shared" si="2"/>
        <v>1</v>
      </c>
      <c r="H3083" s="1" t="str">
        <f t="shared" si="3"/>
        <v>Currently Unavailable</v>
      </c>
      <c r="I3083" s="1" t="str">
        <f t="shared" si="4"/>
        <v>No Badges</v>
      </c>
      <c r="J3083" s="3">
        <f t="shared" si="5"/>
        <v>0</v>
      </c>
    </row>
    <row r="3084">
      <c r="A3084" s="1" t="s">
        <v>1284</v>
      </c>
      <c r="B3084" s="3" t="str">
        <f t="shared" si="1"/>
        <v>Unavailable</v>
      </c>
      <c r="C3084" s="3">
        <v>172.0</v>
      </c>
      <c r="D3084" s="3">
        <f>IFERROR(__xludf.DUMMYFUNCTION("IFERROR(
IF(REGEXMATCH(LOWER(O3084),""k""),
VALUE(REGEXEXTRACT(O3084,""[0-9]+""))*1000,
VALUE(REGEXEXTRACT(O3084,""[0-9]+""))
),
0
)"),0.0)</f>
        <v>0</v>
      </c>
      <c r="E3084" s="1" t="s">
        <v>11</v>
      </c>
      <c r="F3084" s="1" t="s">
        <v>12</v>
      </c>
      <c r="G3084" s="4" t="b">
        <f t="shared" si="2"/>
        <v>1</v>
      </c>
      <c r="H3084" s="1" t="str">
        <f t="shared" si="3"/>
        <v>Currently Unavailable</v>
      </c>
      <c r="I3084" s="1" t="str">
        <f t="shared" si="4"/>
        <v>No Badges</v>
      </c>
      <c r="J3084" s="3">
        <f t="shared" si="5"/>
        <v>0</v>
      </c>
    </row>
    <row r="3085">
      <c r="A3085" s="1" t="s">
        <v>1285</v>
      </c>
      <c r="B3085" s="3" t="str">
        <f t="shared" si="1"/>
        <v>Unavailable</v>
      </c>
      <c r="C3085" s="5">
        <v>3520.0</v>
      </c>
      <c r="D3085" s="3">
        <f>IFERROR(__xludf.DUMMYFUNCTION("IFERROR(
IF(REGEXMATCH(LOWER(O3085),""k""),
VALUE(REGEXEXTRACT(O3085,""[0-9]+""))*1000,
VALUE(REGEXEXTRACT(O3085,""[0-9]+""))
),
0
)"),0.0)</f>
        <v>0</v>
      </c>
      <c r="E3085" s="1" t="s">
        <v>11</v>
      </c>
      <c r="F3085" s="1" t="s">
        <v>12</v>
      </c>
      <c r="G3085" s="4" t="b">
        <f t="shared" si="2"/>
        <v>1</v>
      </c>
      <c r="H3085" s="1" t="str">
        <f t="shared" si="3"/>
        <v>Currently Unavailable</v>
      </c>
      <c r="I3085" s="1" t="str">
        <f t="shared" si="4"/>
        <v>No Badges</v>
      </c>
      <c r="J3085" s="3">
        <f t="shared" si="5"/>
        <v>0</v>
      </c>
    </row>
    <row r="3086">
      <c r="A3086" s="1" t="s">
        <v>1284</v>
      </c>
      <c r="B3086" s="3" t="str">
        <f t="shared" si="1"/>
        <v>Unavailable</v>
      </c>
      <c r="C3086" s="3">
        <v>172.0</v>
      </c>
      <c r="D3086" s="3">
        <f>IFERROR(__xludf.DUMMYFUNCTION("IFERROR(
IF(REGEXMATCH(LOWER(O3086),""k""),
VALUE(REGEXEXTRACT(O3086,""[0-9]+""))*1000,
VALUE(REGEXEXTRACT(O3086,""[0-9]+""))
),
0
)"),0.0)</f>
        <v>0</v>
      </c>
      <c r="E3086" s="1" t="s">
        <v>11</v>
      </c>
      <c r="F3086" s="1" t="s">
        <v>12</v>
      </c>
      <c r="G3086" s="4" t="b">
        <f t="shared" si="2"/>
        <v>1</v>
      </c>
      <c r="H3086" s="1" t="str">
        <f t="shared" si="3"/>
        <v>Currently Unavailable</v>
      </c>
      <c r="I3086" s="1" t="str">
        <f t="shared" si="4"/>
        <v>No Badges</v>
      </c>
      <c r="J3086" s="3">
        <f t="shared" si="5"/>
        <v>0</v>
      </c>
    </row>
    <row r="3087">
      <c r="A3087" s="1" t="s">
        <v>1285</v>
      </c>
      <c r="B3087" s="3" t="str">
        <f t="shared" si="1"/>
        <v>Unavailable</v>
      </c>
      <c r="C3087" s="5">
        <v>3520.0</v>
      </c>
      <c r="D3087" s="3">
        <f>IFERROR(__xludf.DUMMYFUNCTION("IFERROR(
IF(REGEXMATCH(LOWER(O3087),""k""),
VALUE(REGEXEXTRACT(O3087,""[0-9]+""))*1000,
VALUE(REGEXEXTRACT(O3087,""[0-9]+""))
),
0
)"),0.0)</f>
        <v>0</v>
      </c>
      <c r="E3087" s="1" t="s">
        <v>11</v>
      </c>
      <c r="F3087" s="1" t="s">
        <v>12</v>
      </c>
      <c r="G3087" s="4" t="b">
        <f t="shared" si="2"/>
        <v>1</v>
      </c>
      <c r="H3087" s="1" t="str">
        <f t="shared" si="3"/>
        <v>Currently Unavailable</v>
      </c>
      <c r="I3087" s="1" t="str">
        <f t="shared" si="4"/>
        <v>No Badges</v>
      </c>
      <c r="J3087" s="3">
        <f t="shared" si="5"/>
        <v>0</v>
      </c>
    </row>
    <row r="3088">
      <c r="A3088" s="1" t="s">
        <v>1284</v>
      </c>
      <c r="B3088" s="3" t="str">
        <f t="shared" si="1"/>
        <v>Unavailable</v>
      </c>
      <c r="C3088" s="3">
        <v>172.0</v>
      </c>
      <c r="D3088" s="3">
        <f>IFERROR(__xludf.DUMMYFUNCTION("IFERROR(
IF(REGEXMATCH(LOWER(O3088),""k""),
VALUE(REGEXEXTRACT(O3088,""[0-9]+""))*1000,
VALUE(REGEXEXTRACT(O3088,""[0-9]+""))
),
0
)"),0.0)</f>
        <v>0</v>
      </c>
      <c r="E3088" s="1" t="s">
        <v>18</v>
      </c>
      <c r="F3088" s="1" t="s">
        <v>12</v>
      </c>
      <c r="G3088" s="4" t="b">
        <f t="shared" si="2"/>
        <v>1</v>
      </c>
      <c r="H3088" s="1" t="str">
        <f t="shared" si="3"/>
        <v>Currently Unavailable</v>
      </c>
      <c r="I3088" s="1" t="str">
        <f t="shared" si="4"/>
        <v>No Badges</v>
      </c>
      <c r="J3088" s="3">
        <f t="shared" si="5"/>
        <v>0</v>
      </c>
    </row>
    <row r="3089">
      <c r="A3089" s="1" t="s">
        <v>2332</v>
      </c>
      <c r="B3089" s="3" t="str">
        <f t="shared" si="1"/>
        <v>Unavailable</v>
      </c>
      <c r="C3089" s="5">
        <v>1522.0</v>
      </c>
      <c r="D3089" s="3">
        <f>IFERROR(__xludf.DUMMYFUNCTION("IFERROR(
IF(REGEXMATCH(LOWER(O3089),""k""),
VALUE(REGEXEXTRACT(O3089,""[0-9]+""))*1000,
VALUE(REGEXEXTRACT(O3089,""[0-9]+""))
),
0
)"),0.0)</f>
        <v>0</v>
      </c>
      <c r="E3089" s="1" t="s">
        <v>11</v>
      </c>
      <c r="F3089" s="1" t="s">
        <v>20</v>
      </c>
      <c r="G3089" s="4" t="b">
        <f t="shared" si="2"/>
        <v>1</v>
      </c>
      <c r="H3089" s="1" t="str">
        <f t="shared" si="3"/>
        <v>Currently Unavailable</v>
      </c>
      <c r="I3089" s="1" t="str">
        <f t="shared" si="4"/>
        <v>No Badges</v>
      </c>
      <c r="J3089" s="3">
        <f t="shared" si="5"/>
        <v>0</v>
      </c>
    </row>
    <row r="3090">
      <c r="A3090" s="1" t="s">
        <v>1285</v>
      </c>
      <c r="B3090" s="3" t="str">
        <f t="shared" si="1"/>
        <v>Unavailable</v>
      </c>
      <c r="C3090" s="5">
        <v>3520.0</v>
      </c>
      <c r="D3090" s="3">
        <f>IFERROR(__xludf.DUMMYFUNCTION("IFERROR(
IF(REGEXMATCH(LOWER(O3090),""k""),
VALUE(REGEXEXTRACT(O3090,""[0-9]+""))*1000,
VALUE(REGEXEXTRACT(O3090,""[0-9]+""))
),
0
)"),0.0)</f>
        <v>0</v>
      </c>
      <c r="E3090" s="1" t="s">
        <v>11</v>
      </c>
      <c r="F3090" s="1" t="s">
        <v>12</v>
      </c>
      <c r="G3090" s="4" t="b">
        <f t="shared" si="2"/>
        <v>1</v>
      </c>
      <c r="H3090" s="1" t="str">
        <f t="shared" si="3"/>
        <v>Currently Unavailable</v>
      </c>
      <c r="I3090" s="1" t="str">
        <f t="shared" si="4"/>
        <v>No Badges</v>
      </c>
      <c r="J3090" s="3">
        <f t="shared" si="5"/>
        <v>0</v>
      </c>
    </row>
    <row r="3091">
      <c r="A3091" s="1" t="s">
        <v>1284</v>
      </c>
      <c r="B3091" s="3" t="str">
        <f t="shared" si="1"/>
        <v>Unavailable</v>
      </c>
      <c r="C3091" s="3">
        <v>172.0</v>
      </c>
      <c r="D3091" s="3">
        <f>IFERROR(__xludf.DUMMYFUNCTION("IFERROR(
IF(REGEXMATCH(LOWER(O3091),""k""),
VALUE(REGEXEXTRACT(O3091,""[0-9]+""))*1000,
VALUE(REGEXEXTRACT(O3091,""[0-9]+""))
),
0
)"),0.0)</f>
        <v>0</v>
      </c>
      <c r="E3091" s="1" t="s">
        <v>11</v>
      </c>
      <c r="F3091" s="1" t="s">
        <v>12</v>
      </c>
      <c r="G3091" s="4" t="b">
        <f t="shared" si="2"/>
        <v>1</v>
      </c>
      <c r="H3091" s="1" t="str">
        <f t="shared" si="3"/>
        <v>Currently Unavailable</v>
      </c>
      <c r="I3091" s="1" t="str">
        <f t="shared" si="4"/>
        <v>No Badges</v>
      </c>
      <c r="J3091" s="3">
        <f t="shared" si="5"/>
        <v>0</v>
      </c>
    </row>
    <row r="3092">
      <c r="A3092" s="1" t="s">
        <v>1285</v>
      </c>
      <c r="B3092" s="3" t="str">
        <f t="shared" si="1"/>
        <v>Unavailable</v>
      </c>
      <c r="C3092" s="5">
        <v>3520.0</v>
      </c>
      <c r="D3092" s="3">
        <f>IFERROR(__xludf.DUMMYFUNCTION("IFERROR(
IF(REGEXMATCH(LOWER(O3092),""k""),
VALUE(REGEXEXTRACT(O3092,""[0-9]+""))*1000,
VALUE(REGEXEXTRACT(O3092,""[0-9]+""))
),
0
)"),0.0)</f>
        <v>0</v>
      </c>
      <c r="E3092" s="1" t="s">
        <v>11</v>
      </c>
      <c r="F3092" s="1" t="s">
        <v>12</v>
      </c>
      <c r="G3092" s="4" t="b">
        <f t="shared" si="2"/>
        <v>1</v>
      </c>
      <c r="H3092" s="1" t="str">
        <f t="shared" si="3"/>
        <v>Currently Unavailable</v>
      </c>
      <c r="I3092" s="1" t="str">
        <f t="shared" si="4"/>
        <v>No Badges</v>
      </c>
      <c r="J3092" s="3">
        <f t="shared" si="5"/>
        <v>0</v>
      </c>
    </row>
    <row r="3093">
      <c r="A3093" s="1" t="s">
        <v>1284</v>
      </c>
      <c r="B3093" s="3" t="str">
        <f t="shared" si="1"/>
        <v>Unavailable</v>
      </c>
      <c r="C3093" s="3">
        <v>172.0</v>
      </c>
      <c r="D3093" s="3">
        <f>IFERROR(__xludf.DUMMYFUNCTION("IFERROR(
IF(REGEXMATCH(LOWER(O3093),""k""),
VALUE(REGEXEXTRACT(O3093,""[0-9]+""))*1000,
VALUE(REGEXEXTRACT(O3093,""[0-9]+""))
),
0
)"),0.0)</f>
        <v>0</v>
      </c>
      <c r="E3093" s="1" t="s">
        <v>11</v>
      </c>
      <c r="F3093" s="1" t="s">
        <v>12</v>
      </c>
      <c r="G3093" s="4" t="b">
        <f t="shared" si="2"/>
        <v>1</v>
      </c>
      <c r="H3093" s="1" t="str">
        <f t="shared" si="3"/>
        <v>Currently Unavailable</v>
      </c>
      <c r="I3093" s="1" t="str">
        <f t="shared" si="4"/>
        <v>No Badges</v>
      </c>
      <c r="J3093" s="3">
        <f t="shared" si="5"/>
        <v>0</v>
      </c>
    </row>
    <row r="3094">
      <c r="A3094" s="1" t="s">
        <v>2333</v>
      </c>
      <c r="B3094" s="3" t="str">
        <f t="shared" si="1"/>
        <v>Unavailable</v>
      </c>
      <c r="C3094" s="3">
        <v>500.0</v>
      </c>
      <c r="D3094" s="3">
        <f>IFERROR(__xludf.DUMMYFUNCTION("IFERROR(
IF(REGEXMATCH(LOWER(O3094),""k""),
VALUE(REGEXEXTRACT(O3094,""[0-9]+""))*1000,
VALUE(REGEXEXTRACT(O3094,""[0-9]+""))
),
0
)"),0.0)</f>
        <v>0</v>
      </c>
      <c r="E3094" s="1" t="s">
        <v>11</v>
      </c>
      <c r="F3094" s="1" t="s">
        <v>20</v>
      </c>
      <c r="G3094" s="4" t="b">
        <f t="shared" si="2"/>
        <v>1</v>
      </c>
      <c r="H3094" s="1" t="str">
        <f t="shared" si="3"/>
        <v>Currently Unavailable</v>
      </c>
      <c r="I3094" s="1" t="str">
        <f t="shared" si="4"/>
        <v>No Badges</v>
      </c>
      <c r="J3094" s="3">
        <f t="shared" si="5"/>
        <v>0</v>
      </c>
    </row>
    <row r="3095">
      <c r="A3095" s="1" t="s">
        <v>1285</v>
      </c>
      <c r="B3095" s="3" t="str">
        <f t="shared" si="1"/>
        <v>Unavailable</v>
      </c>
      <c r="C3095" s="5">
        <v>3520.0</v>
      </c>
      <c r="D3095" s="3">
        <f>IFERROR(__xludf.DUMMYFUNCTION("IFERROR(
IF(REGEXMATCH(LOWER(O3095),""k""),
VALUE(REGEXEXTRACT(O3095,""[0-9]+""))*1000,
VALUE(REGEXEXTRACT(O3095,""[0-9]+""))
),
0
)"),0.0)</f>
        <v>0</v>
      </c>
      <c r="E3095" s="1" t="s">
        <v>11</v>
      </c>
      <c r="F3095" s="1" t="s">
        <v>12</v>
      </c>
      <c r="G3095" s="4" t="b">
        <f t="shared" si="2"/>
        <v>1</v>
      </c>
      <c r="H3095" s="1" t="str">
        <f t="shared" si="3"/>
        <v>Currently Unavailable</v>
      </c>
      <c r="I3095" s="1" t="str">
        <f t="shared" si="4"/>
        <v>No Badges</v>
      </c>
      <c r="J3095" s="3">
        <f t="shared" si="5"/>
        <v>0</v>
      </c>
    </row>
    <row r="3096">
      <c r="A3096" s="1" t="s">
        <v>1284</v>
      </c>
      <c r="B3096" s="3" t="str">
        <f t="shared" si="1"/>
        <v>Unavailable</v>
      </c>
      <c r="C3096" s="3">
        <v>172.0</v>
      </c>
      <c r="D3096" s="3">
        <f>IFERROR(__xludf.DUMMYFUNCTION("IFERROR(
IF(REGEXMATCH(LOWER(O3096),""k""),
VALUE(REGEXEXTRACT(O3096,""[0-9]+""))*1000,
VALUE(REGEXEXTRACT(O3096,""[0-9]+""))
),
0
)"),0.0)</f>
        <v>0</v>
      </c>
      <c r="E3096" s="1" t="s">
        <v>11</v>
      </c>
      <c r="F3096" s="1" t="s">
        <v>12</v>
      </c>
      <c r="G3096" s="4" t="b">
        <f t="shared" si="2"/>
        <v>1</v>
      </c>
      <c r="H3096" s="1" t="str">
        <f t="shared" si="3"/>
        <v>Currently Unavailable</v>
      </c>
      <c r="I3096" s="1" t="str">
        <f t="shared" si="4"/>
        <v>No Badges</v>
      </c>
      <c r="J3096" s="3">
        <f t="shared" si="5"/>
        <v>0</v>
      </c>
    </row>
    <row r="3097">
      <c r="A3097" s="1" t="s">
        <v>1285</v>
      </c>
      <c r="B3097" s="3" t="str">
        <f t="shared" si="1"/>
        <v>Unavailable</v>
      </c>
      <c r="C3097" s="5">
        <v>3520.0</v>
      </c>
      <c r="D3097" s="3">
        <f>IFERROR(__xludf.DUMMYFUNCTION("IFERROR(
IF(REGEXMATCH(LOWER(O3097),""k""),
VALUE(REGEXEXTRACT(O3097,""[0-9]+""))*1000,
VALUE(REGEXEXTRACT(O3097,""[0-9]+""))
),
0
)"),0.0)</f>
        <v>0</v>
      </c>
      <c r="E3097" s="1" t="s">
        <v>11</v>
      </c>
      <c r="F3097" s="1" t="s">
        <v>12</v>
      </c>
      <c r="G3097" s="4" t="b">
        <f t="shared" si="2"/>
        <v>1</v>
      </c>
      <c r="H3097" s="1" t="str">
        <f t="shared" si="3"/>
        <v>Currently Unavailable</v>
      </c>
      <c r="I3097" s="1" t="str">
        <f t="shared" si="4"/>
        <v>No Badges</v>
      </c>
      <c r="J3097" s="3">
        <f t="shared" si="5"/>
        <v>0</v>
      </c>
    </row>
    <row r="3098">
      <c r="A3098" s="1" t="s">
        <v>1284</v>
      </c>
      <c r="B3098" s="3" t="str">
        <f t="shared" si="1"/>
        <v>Unavailable</v>
      </c>
      <c r="C3098" s="3">
        <v>172.0</v>
      </c>
      <c r="D3098" s="3">
        <f>IFERROR(__xludf.DUMMYFUNCTION("IFERROR(
IF(REGEXMATCH(LOWER(O3098),""k""),
VALUE(REGEXEXTRACT(O3098,""[0-9]+""))*1000,
VALUE(REGEXEXTRACT(O3098,""[0-9]+""))
),
0
)"),0.0)</f>
        <v>0</v>
      </c>
      <c r="E3098" s="1" t="s">
        <v>11</v>
      </c>
      <c r="F3098" s="1" t="s">
        <v>12</v>
      </c>
      <c r="G3098" s="4" t="b">
        <f t="shared" si="2"/>
        <v>1</v>
      </c>
      <c r="H3098" s="1" t="str">
        <f t="shared" si="3"/>
        <v>Currently Unavailable</v>
      </c>
      <c r="I3098" s="1" t="str">
        <f t="shared" si="4"/>
        <v>No Badges</v>
      </c>
      <c r="J3098" s="3">
        <f t="shared" si="5"/>
        <v>0</v>
      </c>
    </row>
    <row r="3099">
      <c r="A3099" s="1" t="s">
        <v>1285</v>
      </c>
      <c r="B3099" s="3" t="str">
        <f t="shared" si="1"/>
        <v>Unavailable</v>
      </c>
      <c r="C3099" s="5">
        <v>3520.0</v>
      </c>
      <c r="D3099" s="3">
        <f>IFERROR(__xludf.DUMMYFUNCTION("IFERROR(
IF(REGEXMATCH(LOWER(O3099),""k""),
VALUE(REGEXEXTRACT(O3099,""[0-9]+""))*1000,
VALUE(REGEXEXTRACT(O3099,""[0-9]+""))
),
0
)"),0.0)</f>
        <v>0</v>
      </c>
      <c r="E3099" s="1" t="s">
        <v>11</v>
      </c>
      <c r="F3099" s="1" t="s">
        <v>12</v>
      </c>
      <c r="G3099" s="4" t="b">
        <f t="shared" si="2"/>
        <v>1</v>
      </c>
      <c r="H3099" s="1" t="str">
        <f t="shared" si="3"/>
        <v>Currently Unavailable</v>
      </c>
      <c r="I3099" s="1" t="str">
        <f t="shared" si="4"/>
        <v>No Badges</v>
      </c>
      <c r="J3099" s="3">
        <f t="shared" si="5"/>
        <v>0</v>
      </c>
    </row>
    <row r="3100">
      <c r="A3100" s="1" t="s">
        <v>1284</v>
      </c>
      <c r="B3100" s="3" t="str">
        <f t="shared" si="1"/>
        <v>Unavailable</v>
      </c>
      <c r="C3100" s="3">
        <v>172.0</v>
      </c>
      <c r="D3100" s="3">
        <f>IFERROR(__xludf.DUMMYFUNCTION("IFERROR(
IF(REGEXMATCH(LOWER(O3100),""k""),
VALUE(REGEXEXTRACT(O3100,""[0-9]+""))*1000,
VALUE(REGEXEXTRACT(O3100,""[0-9]+""))
),
0
)"),0.0)</f>
        <v>0</v>
      </c>
      <c r="E3100" s="1" t="s">
        <v>11</v>
      </c>
      <c r="F3100" s="1" t="s">
        <v>12</v>
      </c>
      <c r="G3100" s="4" t="b">
        <f t="shared" si="2"/>
        <v>1</v>
      </c>
      <c r="H3100" s="1" t="str">
        <f t="shared" si="3"/>
        <v>Currently Unavailable</v>
      </c>
      <c r="I3100" s="1" t="str">
        <f t="shared" si="4"/>
        <v>No Badges</v>
      </c>
      <c r="J3100" s="3">
        <f t="shared" si="5"/>
        <v>0</v>
      </c>
    </row>
    <row r="3101">
      <c r="A3101" s="1" t="s">
        <v>2334</v>
      </c>
      <c r="B3101" s="3" t="str">
        <f t="shared" si="1"/>
        <v>Unavailable</v>
      </c>
      <c r="C3101" s="5">
        <v>6343.0</v>
      </c>
      <c r="D3101" s="3">
        <f>IFERROR(__xludf.DUMMYFUNCTION("IFERROR(
IF(REGEXMATCH(LOWER(O3101),""k""),
VALUE(REGEXEXTRACT(O3101,""[0-9]+""))*1000,
VALUE(REGEXEXTRACT(O3101,""[0-9]+""))
),
0
)"),0.0)</f>
        <v>0</v>
      </c>
      <c r="E3101" s="1" t="s">
        <v>11</v>
      </c>
      <c r="F3101" s="1" t="s">
        <v>20</v>
      </c>
      <c r="G3101" s="4" t="b">
        <f t="shared" si="2"/>
        <v>1</v>
      </c>
      <c r="H3101" s="1" t="str">
        <f t="shared" si="3"/>
        <v>Currently Unavailable</v>
      </c>
      <c r="I3101" s="1" t="str">
        <f t="shared" si="4"/>
        <v>No Badges</v>
      </c>
      <c r="J3101" s="3">
        <f t="shared" si="5"/>
        <v>0</v>
      </c>
    </row>
    <row r="3102">
      <c r="A3102" s="1" t="s">
        <v>1285</v>
      </c>
      <c r="B3102" s="3" t="str">
        <f t="shared" si="1"/>
        <v>Unavailable</v>
      </c>
      <c r="C3102" s="5">
        <v>3520.0</v>
      </c>
      <c r="D3102" s="3">
        <f>IFERROR(__xludf.DUMMYFUNCTION("IFERROR(
IF(REGEXMATCH(LOWER(O3102),""k""),
VALUE(REGEXEXTRACT(O3102,""[0-9]+""))*1000,
VALUE(REGEXEXTRACT(O3102,""[0-9]+""))
),
0
)"),0.0)</f>
        <v>0</v>
      </c>
      <c r="E3102" s="1" t="s">
        <v>11</v>
      </c>
      <c r="F3102" s="1" t="s">
        <v>12</v>
      </c>
      <c r="G3102" s="4" t="b">
        <f t="shared" si="2"/>
        <v>1</v>
      </c>
      <c r="H3102" s="1" t="str">
        <f t="shared" si="3"/>
        <v>Currently Unavailable</v>
      </c>
      <c r="I3102" s="1" t="str">
        <f t="shared" si="4"/>
        <v>No Badges</v>
      </c>
      <c r="J3102" s="3">
        <f t="shared" si="5"/>
        <v>0</v>
      </c>
    </row>
    <row r="3103">
      <c r="A3103" s="1" t="s">
        <v>1284</v>
      </c>
      <c r="B3103" s="3" t="str">
        <f t="shared" si="1"/>
        <v>Unavailable</v>
      </c>
      <c r="C3103" s="3">
        <v>172.0</v>
      </c>
      <c r="D3103" s="3">
        <f>IFERROR(__xludf.DUMMYFUNCTION("IFERROR(
IF(REGEXMATCH(LOWER(O3103),""k""),
VALUE(REGEXEXTRACT(O3103,""[0-9]+""))*1000,
VALUE(REGEXEXTRACT(O3103,""[0-9]+""))
),
0
)"),0.0)</f>
        <v>0</v>
      </c>
      <c r="E3103" s="1" t="s">
        <v>11</v>
      </c>
      <c r="F3103" s="1" t="s">
        <v>12</v>
      </c>
      <c r="G3103" s="4" t="b">
        <f t="shared" si="2"/>
        <v>1</v>
      </c>
      <c r="H3103" s="1" t="str">
        <f t="shared" si="3"/>
        <v>Currently Unavailable</v>
      </c>
      <c r="I3103" s="1" t="str">
        <f t="shared" si="4"/>
        <v>No Badges</v>
      </c>
      <c r="J3103" s="3">
        <f t="shared" si="5"/>
        <v>0</v>
      </c>
    </row>
    <row r="3104">
      <c r="A3104" s="1" t="s">
        <v>1285</v>
      </c>
      <c r="B3104" s="3" t="str">
        <f t="shared" si="1"/>
        <v>Unavailable</v>
      </c>
      <c r="C3104" s="5">
        <v>3520.0</v>
      </c>
      <c r="D3104" s="3">
        <f>IFERROR(__xludf.DUMMYFUNCTION("IFERROR(
IF(REGEXMATCH(LOWER(O3104),""k""),
VALUE(REGEXEXTRACT(O3104,""[0-9]+""))*1000,
VALUE(REGEXEXTRACT(O3104,""[0-9]+""))
),
0
)"),0.0)</f>
        <v>0</v>
      </c>
      <c r="E3104" s="1" t="s">
        <v>11</v>
      </c>
      <c r="F3104" s="1" t="s">
        <v>12</v>
      </c>
      <c r="G3104" s="4" t="b">
        <f t="shared" si="2"/>
        <v>1</v>
      </c>
      <c r="H3104" s="1" t="str">
        <f t="shared" si="3"/>
        <v>Currently Unavailable</v>
      </c>
      <c r="I3104" s="1" t="str">
        <f t="shared" si="4"/>
        <v>No Badges</v>
      </c>
      <c r="J3104" s="3">
        <f t="shared" si="5"/>
        <v>0</v>
      </c>
    </row>
    <row r="3105">
      <c r="A3105" s="1" t="s">
        <v>1284</v>
      </c>
      <c r="B3105" s="3" t="str">
        <f t="shared" si="1"/>
        <v>Unavailable</v>
      </c>
      <c r="C3105" s="3">
        <v>172.0</v>
      </c>
      <c r="D3105" s="3">
        <f>IFERROR(__xludf.DUMMYFUNCTION("IFERROR(
IF(REGEXMATCH(LOWER(O3105),""k""),
VALUE(REGEXEXTRACT(O3105,""[0-9]+""))*1000,
VALUE(REGEXEXTRACT(O3105,""[0-9]+""))
),
0
)"),0.0)</f>
        <v>0</v>
      </c>
      <c r="E3105" s="1" t="s">
        <v>11</v>
      </c>
      <c r="F3105" s="1" t="s">
        <v>12</v>
      </c>
      <c r="G3105" s="4" t="b">
        <f t="shared" si="2"/>
        <v>1</v>
      </c>
      <c r="H3105" s="1" t="str">
        <f t="shared" si="3"/>
        <v>Currently Unavailable</v>
      </c>
      <c r="I3105" s="1" t="str">
        <f t="shared" si="4"/>
        <v>No Badges</v>
      </c>
      <c r="J3105" s="3">
        <f t="shared" si="5"/>
        <v>0</v>
      </c>
    </row>
    <row r="3106">
      <c r="A3106" s="1" t="s">
        <v>69</v>
      </c>
      <c r="B3106" s="3" t="str">
        <f t="shared" si="1"/>
        <v>Unavailable</v>
      </c>
      <c r="C3106" s="3">
        <v>45.0</v>
      </c>
      <c r="D3106" s="3">
        <f>IFERROR(__xludf.DUMMYFUNCTION("IFERROR(
IF(REGEXMATCH(LOWER(O3106),""k""),
VALUE(REGEXEXTRACT(O3106,""[0-9]+""))*1000,
VALUE(REGEXEXTRACT(O3106,""[0-9]+""))
),
0
)"),0.0)</f>
        <v>0</v>
      </c>
      <c r="E3106" s="1" t="s">
        <v>11</v>
      </c>
      <c r="F3106" s="1" t="s">
        <v>12</v>
      </c>
      <c r="G3106" s="4" t="b">
        <f t="shared" si="2"/>
        <v>1</v>
      </c>
      <c r="H3106" s="1" t="str">
        <f t="shared" si="3"/>
        <v>Currently Unavailable</v>
      </c>
      <c r="I3106" s="1" t="str">
        <f t="shared" si="4"/>
        <v>No Badges</v>
      </c>
      <c r="J3106" s="3">
        <f t="shared" si="5"/>
        <v>0</v>
      </c>
    </row>
    <row r="3107">
      <c r="A3107" s="1" t="s">
        <v>1285</v>
      </c>
      <c r="B3107" s="3" t="str">
        <f t="shared" si="1"/>
        <v>Unavailable</v>
      </c>
      <c r="C3107" s="5">
        <v>3520.0</v>
      </c>
      <c r="D3107" s="3">
        <f>IFERROR(__xludf.DUMMYFUNCTION("IFERROR(
IF(REGEXMATCH(LOWER(O3107),""k""),
VALUE(REGEXEXTRACT(O3107,""[0-9]+""))*1000,
VALUE(REGEXEXTRACT(O3107,""[0-9]+""))
),
0
)"),0.0)</f>
        <v>0</v>
      </c>
      <c r="E3107" s="1" t="s">
        <v>11</v>
      </c>
      <c r="F3107" s="1" t="s">
        <v>12</v>
      </c>
      <c r="G3107" s="4" t="b">
        <f t="shared" si="2"/>
        <v>1</v>
      </c>
      <c r="H3107" s="1" t="str">
        <f t="shared" si="3"/>
        <v>Currently Unavailable</v>
      </c>
      <c r="I3107" s="1" t="str">
        <f t="shared" si="4"/>
        <v>No Badges</v>
      </c>
      <c r="J3107" s="3">
        <f t="shared" si="5"/>
        <v>0</v>
      </c>
    </row>
    <row r="3108">
      <c r="A3108" s="1" t="s">
        <v>1284</v>
      </c>
      <c r="B3108" s="3" t="str">
        <f t="shared" si="1"/>
        <v>Unavailable</v>
      </c>
      <c r="C3108" s="3">
        <v>172.0</v>
      </c>
      <c r="D3108" s="3">
        <f>IFERROR(__xludf.DUMMYFUNCTION("IFERROR(
IF(REGEXMATCH(LOWER(O3108),""k""),
VALUE(REGEXEXTRACT(O3108,""[0-9]+""))*1000,
VALUE(REGEXEXTRACT(O3108,""[0-9]+""))
),
0
)"),0.0)</f>
        <v>0</v>
      </c>
      <c r="E3108" s="1" t="s">
        <v>11</v>
      </c>
      <c r="F3108" s="1" t="s">
        <v>12</v>
      </c>
      <c r="G3108" s="4" t="b">
        <f t="shared" si="2"/>
        <v>1</v>
      </c>
      <c r="H3108" s="1" t="str">
        <f t="shared" si="3"/>
        <v>Currently Unavailable</v>
      </c>
      <c r="I3108" s="1" t="str">
        <f t="shared" si="4"/>
        <v>No Badges</v>
      </c>
      <c r="J3108" s="3">
        <f t="shared" si="5"/>
        <v>0</v>
      </c>
    </row>
    <row r="3109">
      <c r="A3109" s="1" t="s">
        <v>2335</v>
      </c>
      <c r="B3109" s="3" t="str">
        <f t="shared" si="1"/>
        <v>Unavailable</v>
      </c>
      <c r="C3109" s="5">
        <v>2405.0</v>
      </c>
      <c r="D3109" s="3">
        <f>IFERROR(__xludf.DUMMYFUNCTION("IFERROR(
IF(REGEXMATCH(LOWER(O3109),""k""),
VALUE(REGEXEXTRACT(O3109,""[0-9]+""))*1000,
VALUE(REGEXEXTRACT(O3109,""[0-9]+""))
),
0
)"),0.0)</f>
        <v>0</v>
      </c>
      <c r="E3109" s="1" t="s">
        <v>11</v>
      </c>
      <c r="F3109" s="1" t="s">
        <v>20</v>
      </c>
      <c r="G3109" s="4" t="b">
        <f t="shared" si="2"/>
        <v>1</v>
      </c>
      <c r="H3109" s="1" t="str">
        <f t="shared" si="3"/>
        <v>Currently Unavailable</v>
      </c>
      <c r="I3109" s="1" t="str">
        <f t="shared" si="4"/>
        <v>No Badges</v>
      </c>
      <c r="J3109" s="3">
        <f t="shared" si="5"/>
        <v>0</v>
      </c>
    </row>
    <row r="3110">
      <c r="A3110" s="1" t="s">
        <v>1284</v>
      </c>
      <c r="B3110" s="3" t="str">
        <f t="shared" si="1"/>
        <v>Unavailable</v>
      </c>
      <c r="C3110" s="3">
        <v>172.0</v>
      </c>
      <c r="D3110" s="3">
        <f>IFERROR(__xludf.DUMMYFUNCTION("IFERROR(
IF(REGEXMATCH(LOWER(O3110),""k""),
VALUE(REGEXEXTRACT(O3110,""[0-9]+""))*1000,
VALUE(REGEXEXTRACT(O3110,""[0-9]+""))
),
0
)"),0.0)</f>
        <v>0</v>
      </c>
      <c r="E3110" s="1" t="s">
        <v>11</v>
      </c>
      <c r="F3110" s="1" t="s">
        <v>12</v>
      </c>
      <c r="G3110" s="4" t="b">
        <f t="shared" si="2"/>
        <v>1</v>
      </c>
      <c r="H3110" s="1" t="str">
        <f t="shared" si="3"/>
        <v>Currently Unavailable</v>
      </c>
      <c r="I3110" s="1" t="str">
        <f t="shared" si="4"/>
        <v>No Badges</v>
      </c>
      <c r="J3110" s="3">
        <f t="shared" si="5"/>
        <v>0</v>
      </c>
    </row>
    <row r="3111">
      <c r="A3111" s="1" t="s">
        <v>1285</v>
      </c>
      <c r="B3111" s="3" t="str">
        <f t="shared" si="1"/>
        <v>Unavailable</v>
      </c>
      <c r="C3111" s="5">
        <v>3520.0</v>
      </c>
      <c r="D3111" s="3">
        <f>IFERROR(__xludf.DUMMYFUNCTION("IFERROR(
IF(REGEXMATCH(LOWER(O3111),""k""),
VALUE(REGEXEXTRACT(O3111,""[0-9]+""))*1000,
VALUE(REGEXEXTRACT(O3111,""[0-9]+""))
),
0
)"),0.0)</f>
        <v>0</v>
      </c>
      <c r="E3111" s="1" t="s">
        <v>11</v>
      </c>
      <c r="F3111" s="1" t="s">
        <v>12</v>
      </c>
      <c r="G3111" s="4" t="b">
        <f t="shared" si="2"/>
        <v>1</v>
      </c>
      <c r="H3111" s="1" t="str">
        <f t="shared" si="3"/>
        <v>Currently Unavailable</v>
      </c>
      <c r="I3111" s="1" t="str">
        <f t="shared" si="4"/>
        <v>No Badges</v>
      </c>
      <c r="J3111" s="3">
        <f t="shared" si="5"/>
        <v>0</v>
      </c>
    </row>
    <row r="3112">
      <c r="A3112" s="1" t="s">
        <v>1284</v>
      </c>
      <c r="B3112" s="3" t="str">
        <f t="shared" si="1"/>
        <v>Unavailable</v>
      </c>
      <c r="C3112" s="3">
        <v>172.0</v>
      </c>
      <c r="D3112" s="3">
        <f>IFERROR(__xludf.DUMMYFUNCTION("IFERROR(
IF(REGEXMATCH(LOWER(O3112),""k""),
VALUE(REGEXEXTRACT(O3112,""[0-9]+""))*1000,
VALUE(REGEXEXTRACT(O3112,""[0-9]+""))
),
0
)"),0.0)</f>
        <v>0</v>
      </c>
      <c r="E3112" s="1" t="s">
        <v>11</v>
      </c>
      <c r="F3112" s="1" t="s">
        <v>12</v>
      </c>
      <c r="G3112" s="4" t="b">
        <f t="shared" si="2"/>
        <v>1</v>
      </c>
      <c r="H3112" s="1" t="str">
        <f t="shared" si="3"/>
        <v>Currently Unavailable</v>
      </c>
      <c r="I3112" s="1" t="str">
        <f t="shared" si="4"/>
        <v>No Badges</v>
      </c>
      <c r="J3112" s="3">
        <f t="shared" si="5"/>
        <v>0</v>
      </c>
    </row>
    <row r="3113">
      <c r="A3113" s="1" t="s">
        <v>1285</v>
      </c>
      <c r="B3113" s="3" t="str">
        <f t="shared" si="1"/>
        <v>Unavailable</v>
      </c>
      <c r="C3113" s="5">
        <v>3520.0</v>
      </c>
      <c r="D3113" s="3">
        <f>IFERROR(__xludf.DUMMYFUNCTION("IFERROR(
IF(REGEXMATCH(LOWER(O3113),""k""),
VALUE(REGEXEXTRACT(O3113,""[0-9]+""))*1000,
VALUE(REGEXEXTRACT(O3113,""[0-9]+""))
),
0
)"),0.0)</f>
        <v>0</v>
      </c>
      <c r="E3113" s="1" t="s">
        <v>11</v>
      </c>
      <c r="F3113" s="1" t="s">
        <v>12</v>
      </c>
      <c r="G3113" s="4" t="b">
        <f t="shared" si="2"/>
        <v>1</v>
      </c>
      <c r="H3113" s="1" t="str">
        <f t="shared" si="3"/>
        <v>Currently Unavailable</v>
      </c>
      <c r="I3113" s="1" t="str">
        <f t="shared" si="4"/>
        <v>No Badges</v>
      </c>
      <c r="J3113" s="3">
        <f t="shared" si="5"/>
        <v>0</v>
      </c>
    </row>
    <row r="3114">
      <c r="A3114" s="1" t="s">
        <v>1284</v>
      </c>
      <c r="B3114" s="3" t="str">
        <f t="shared" si="1"/>
        <v>Unavailable</v>
      </c>
      <c r="C3114" s="3">
        <v>172.0</v>
      </c>
      <c r="D3114" s="3">
        <f>IFERROR(__xludf.DUMMYFUNCTION("IFERROR(
IF(REGEXMATCH(LOWER(O3114),""k""),
VALUE(REGEXEXTRACT(O3114,""[0-9]+""))*1000,
VALUE(REGEXEXTRACT(O3114,""[0-9]+""))
),
0
)"),0.0)</f>
        <v>0</v>
      </c>
      <c r="E3114" s="1" t="s">
        <v>11</v>
      </c>
      <c r="F3114" s="1" t="s">
        <v>12</v>
      </c>
      <c r="G3114" s="4" t="b">
        <f t="shared" si="2"/>
        <v>1</v>
      </c>
      <c r="H3114" s="1" t="str">
        <f t="shared" si="3"/>
        <v>Currently Unavailable</v>
      </c>
      <c r="I3114" s="1" t="str">
        <f t="shared" si="4"/>
        <v>No Badges</v>
      </c>
      <c r="J3114" s="3">
        <f t="shared" si="5"/>
        <v>0</v>
      </c>
    </row>
    <row r="3115">
      <c r="A3115" s="1" t="s">
        <v>1285</v>
      </c>
      <c r="B3115" s="3" t="str">
        <f t="shared" si="1"/>
        <v>Unavailable</v>
      </c>
      <c r="C3115" s="5">
        <v>3520.0</v>
      </c>
      <c r="D3115" s="3">
        <f>IFERROR(__xludf.DUMMYFUNCTION("IFERROR(
IF(REGEXMATCH(LOWER(O3115),""k""),
VALUE(REGEXEXTRACT(O3115,""[0-9]+""))*1000,
VALUE(REGEXEXTRACT(O3115,""[0-9]+""))
),
0
)"),0.0)</f>
        <v>0</v>
      </c>
      <c r="E3115" s="1" t="s">
        <v>11</v>
      </c>
      <c r="F3115" s="1" t="s">
        <v>12</v>
      </c>
      <c r="G3115" s="4" t="b">
        <f t="shared" si="2"/>
        <v>1</v>
      </c>
      <c r="H3115" s="1" t="str">
        <f t="shared" si="3"/>
        <v>Currently Unavailable</v>
      </c>
      <c r="I3115" s="1" t="str">
        <f t="shared" si="4"/>
        <v>No Badges</v>
      </c>
      <c r="J3115" s="3">
        <f t="shared" si="5"/>
        <v>0</v>
      </c>
    </row>
    <row r="3116">
      <c r="A3116" s="1" t="s">
        <v>1284</v>
      </c>
      <c r="B3116" s="3" t="str">
        <f t="shared" si="1"/>
        <v>Unavailable</v>
      </c>
      <c r="C3116" s="3">
        <v>172.0</v>
      </c>
      <c r="D3116" s="3">
        <f>IFERROR(__xludf.DUMMYFUNCTION("IFERROR(
IF(REGEXMATCH(LOWER(O3116),""k""),
VALUE(REGEXEXTRACT(O3116,""[0-9]+""))*1000,
VALUE(REGEXEXTRACT(O3116,""[0-9]+""))
),
0
)"),0.0)</f>
        <v>0</v>
      </c>
      <c r="E3116" s="1" t="s">
        <v>11</v>
      </c>
      <c r="F3116" s="1" t="s">
        <v>12</v>
      </c>
      <c r="G3116" s="4" t="b">
        <f t="shared" si="2"/>
        <v>1</v>
      </c>
      <c r="H3116" s="1" t="str">
        <f t="shared" si="3"/>
        <v>Currently Unavailable</v>
      </c>
      <c r="I3116" s="1" t="str">
        <f t="shared" si="4"/>
        <v>No Badges</v>
      </c>
      <c r="J3116" s="3">
        <f t="shared" si="5"/>
        <v>0</v>
      </c>
    </row>
    <row r="3117">
      <c r="A3117" s="1" t="s">
        <v>1285</v>
      </c>
      <c r="B3117" s="3" t="str">
        <f t="shared" si="1"/>
        <v>Unavailable</v>
      </c>
      <c r="C3117" s="5">
        <v>3520.0</v>
      </c>
      <c r="D3117" s="3">
        <f>IFERROR(__xludf.DUMMYFUNCTION("IFERROR(
IF(REGEXMATCH(LOWER(O3117),""k""),
VALUE(REGEXEXTRACT(O3117,""[0-9]+""))*1000,
VALUE(REGEXEXTRACT(O3117,""[0-9]+""))
),
0
)"),0.0)</f>
        <v>0</v>
      </c>
      <c r="E3117" s="1" t="s">
        <v>11</v>
      </c>
      <c r="F3117" s="1" t="s">
        <v>12</v>
      </c>
      <c r="G3117" s="4" t="b">
        <f t="shared" si="2"/>
        <v>1</v>
      </c>
      <c r="H3117" s="1" t="str">
        <f t="shared" si="3"/>
        <v>Currently Unavailable</v>
      </c>
      <c r="I3117" s="1" t="str">
        <f t="shared" si="4"/>
        <v>No Badges</v>
      </c>
      <c r="J3117" s="3">
        <f t="shared" si="5"/>
        <v>0</v>
      </c>
    </row>
    <row r="3118">
      <c r="A3118" s="1" t="s">
        <v>1284</v>
      </c>
      <c r="B3118" s="3" t="str">
        <f t="shared" si="1"/>
        <v>Unavailable</v>
      </c>
      <c r="C3118" s="3">
        <v>172.0</v>
      </c>
      <c r="D3118" s="3">
        <f>IFERROR(__xludf.DUMMYFUNCTION("IFERROR(
IF(REGEXMATCH(LOWER(O3118),""k""),
VALUE(REGEXEXTRACT(O3118,""[0-9]+""))*1000,
VALUE(REGEXEXTRACT(O3118,""[0-9]+""))
),
0
)"),0.0)</f>
        <v>0</v>
      </c>
      <c r="E3118" s="1" t="s">
        <v>11</v>
      </c>
      <c r="F3118" s="1" t="s">
        <v>12</v>
      </c>
      <c r="G3118" s="4" t="b">
        <f t="shared" si="2"/>
        <v>1</v>
      </c>
      <c r="H3118" s="1" t="str">
        <f t="shared" si="3"/>
        <v>Currently Unavailable</v>
      </c>
      <c r="I3118" s="1" t="str">
        <f t="shared" si="4"/>
        <v>No Badges</v>
      </c>
      <c r="J3118" s="3">
        <f t="shared" si="5"/>
        <v>0</v>
      </c>
    </row>
    <row r="3119">
      <c r="A3119" s="1" t="s">
        <v>701</v>
      </c>
      <c r="B3119" s="3" t="str">
        <f t="shared" si="1"/>
        <v>Unavailable</v>
      </c>
      <c r="C3119" s="3">
        <v>8.0</v>
      </c>
      <c r="D3119" s="3">
        <f>IFERROR(__xludf.DUMMYFUNCTION("IFERROR(
IF(REGEXMATCH(LOWER(O3119),""k""),
VALUE(REGEXEXTRACT(O3119,""[0-9]+""))*1000,
VALUE(REGEXEXTRACT(O3119,""[0-9]+""))
),
0
)"),0.0)</f>
        <v>0</v>
      </c>
      <c r="E3119" s="1" t="s">
        <v>11</v>
      </c>
      <c r="F3119" s="1" t="s">
        <v>12</v>
      </c>
      <c r="G3119" s="4" t="b">
        <f t="shared" si="2"/>
        <v>1</v>
      </c>
      <c r="H3119" s="1" t="str">
        <f t="shared" si="3"/>
        <v>Currently Unavailable</v>
      </c>
      <c r="I3119" s="1" t="str">
        <f t="shared" si="4"/>
        <v>No Badges</v>
      </c>
      <c r="J3119" s="3">
        <f t="shared" si="5"/>
        <v>0</v>
      </c>
    </row>
    <row r="3120">
      <c r="A3120" s="1" t="s">
        <v>1285</v>
      </c>
      <c r="B3120" s="3" t="str">
        <f t="shared" si="1"/>
        <v>Unavailable</v>
      </c>
      <c r="C3120" s="5">
        <v>3520.0</v>
      </c>
      <c r="D3120" s="3">
        <f>IFERROR(__xludf.DUMMYFUNCTION("IFERROR(
IF(REGEXMATCH(LOWER(O3120),""k""),
VALUE(REGEXEXTRACT(O3120,""[0-9]+""))*1000,
VALUE(REGEXEXTRACT(O3120,""[0-9]+""))
),
0
)"),0.0)</f>
        <v>0</v>
      </c>
      <c r="E3120" s="1" t="s">
        <v>11</v>
      </c>
      <c r="F3120" s="1" t="s">
        <v>12</v>
      </c>
      <c r="G3120" s="4" t="b">
        <f t="shared" si="2"/>
        <v>1</v>
      </c>
      <c r="H3120" s="1" t="str">
        <f t="shared" si="3"/>
        <v>Currently Unavailable</v>
      </c>
      <c r="I3120" s="1" t="str">
        <f t="shared" si="4"/>
        <v>No Badges</v>
      </c>
      <c r="J3120" s="3">
        <f t="shared" si="5"/>
        <v>0</v>
      </c>
    </row>
    <row r="3121">
      <c r="A3121" s="1" t="s">
        <v>67</v>
      </c>
      <c r="B3121" s="3" t="str">
        <f t="shared" si="1"/>
        <v>Unavailable</v>
      </c>
      <c r="C3121" s="3">
        <v>264.0</v>
      </c>
      <c r="D3121" s="3">
        <f>IFERROR(__xludf.DUMMYFUNCTION("IFERROR(
IF(REGEXMATCH(LOWER(O3121),""k""),
VALUE(REGEXEXTRACT(O3121,""[0-9]+""))*1000,
VALUE(REGEXEXTRACT(O3121,""[0-9]+""))
),
0
)"),0.0)</f>
        <v>0</v>
      </c>
      <c r="E3121" s="1" t="s">
        <v>11</v>
      </c>
      <c r="F3121" s="1" t="s">
        <v>12</v>
      </c>
      <c r="G3121" s="4" t="b">
        <f t="shared" si="2"/>
        <v>1</v>
      </c>
      <c r="H3121" s="1" t="str">
        <f t="shared" si="3"/>
        <v>Currently Unavailable</v>
      </c>
      <c r="I3121" s="1" t="str">
        <f t="shared" si="4"/>
        <v>No Badges</v>
      </c>
      <c r="J3121" s="3">
        <f t="shared" si="5"/>
        <v>0</v>
      </c>
    </row>
    <row r="3122">
      <c r="A3122" s="1" t="s">
        <v>2336</v>
      </c>
      <c r="B3122" s="3" t="str">
        <f t="shared" si="1"/>
        <v>Unavailable</v>
      </c>
      <c r="C3122" s="5">
        <v>6627.0</v>
      </c>
      <c r="D3122" s="3">
        <f>IFERROR(__xludf.DUMMYFUNCTION("IFERROR(
IF(REGEXMATCH(LOWER(O3122),""k""),
VALUE(REGEXEXTRACT(O3122,""[0-9]+""))*1000,
VALUE(REGEXEXTRACT(O3122,""[0-9]+""))
),
0
)"),0.0)</f>
        <v>0</v>
      </c>
      <c r="E3122" s="1" t="s">
        <v>11</v>
      </c>
      <c r="F3122" s="1" t="s">
        <v>20</v>
      </c>
      <c r="G3122" s="4" t="b">
        <f t="shared" si="2"/>
        <v>1</v>
      </c>
      <c r="H3122" s="1" t="str">
        <f t="shared" si="3"/>
        <v>Currently Unavailable</v>
      </c>
      <c r="I3122" s="1" t="str">
        <f t="shared" si="4"/>
        <v>No Badges</v>
      </c>
      <c r="J3122" s="3">
        <f t="shared" si="5"/>
        <v>0</v>
      </c>
    </row>
    <row r="3123">
      <c r="A3123" s="1" t="s">
        <v>1284</v>
      </c>
      <c r="B3123" s="3" t="str">
        <f t="shared" si="1"/>
        <v>Unavailable</v>
      </c>
      <c r="C3123" s="3">
        <v>172.0</v>
      </c>
      <c r="D3123" s="3">
        <f>IFERROR(__xludf.DUMMYFUNCTION("IFERROR(
IF(REGEXMATCH(LOWER(O3123),""k""),
VALUE(REGEXEXTRACT(O3123,""[0-9]+""))*1000,
VALUE(REGEXEXTRACT(O3123,""[0-9]+""))
),
0
)"),0.0)</f>
        <v>0</v>
      </c>
      <c r="E3123" s="1" t="s">
        <v>11</v>
      </c>
      <c r="F3123" s="1" t="s">
        <v>12</v>
      </c>
      <c r="G3123" s="4" t="b">
        <f t="shared" si="2"/>
        <v>1</v>
      </c>
      <c r="H3123" s="1" t="str">
        <f t="shared" si="3"/>
        <v>Currently Unavailable</v>
      </c>
      <c r="I3123" s="1" t="str">
        <f t="shared" si="4"/>
        <v>No Badges</v>
      </c>
      <c r="J3123" s="3">
        <f t="shared" si="5"/>
        <v>0</v>
      </c>
    </row>
    <row r="3124">
      <c r="A3124" s="1" t="s">
        <v>2337</v>
      </c>
      <c r="B3124" s="3" t="str">
        <f t="shared" si="1"/>
        <v>Unavailable</v>
      </c>
      <c r="C3124" s="3">
        <v>95.0</v>
      </c>
      <c r="D3124" s="3">
        <f>IFERROR(__xludf.DUMMYFUNCTION("IFERROR(
IF(REGEXMATCH(LOWER(O3124),""k""),
VALUE(REGEXEXTRACT(O3124,""[0-9]+""))*1000,
VALUE(REGEXEXTRACT(O3124,""[0-9]+""))
),
0
)"),0.0)</f>
        <v>0</v>
      </c>
      <c r="E3124" s="1" t="s">
        <v>11</v>
      </c>
      <c r="F3124" s="1" t="s">
        <v>20</v>
      </c>
      <c r="G3124" s="4" t="b">
        <f t="shared" si="2"/>
        <v>1</v>
      </c>
      <c r="H3124" s="1" t="str">
        <f t="shared" si="3"/>
        <v>Currently Unavailable</v>
      </c>
      <c r="I3124" s="1" t="str">
        <f t="shared" si="4"/>
        <v>No Badges</v>
      </c>
      <c r="J3124" s="3">
        <f t="shared" si="5"/>
        <v>0</v>
      </c>
    </row>
    <row r="3125">
      <c r="A3125" s="1" t="s">
        <v>2338</v>
      </c>
      <c r="B3125" s="3" t="str">
        <f t="shared" si="1"/>
        <v>Unavailable</v>
      </c>
      <c r="C3125" s="3">
        <v>556.0</v>
      </c>
      <c r="D3125" s="3">
        <f>IFERROR(__xludf.DUMMYFUNCTION("IFERROR(
IF(REGEXMATCH(LOWER(O3125),""k""),
VALUE(REGEXEXTRACT(O3125,""[0-9]+""))*1000,
VALUE(REGEXEXTRACT(O3125,""[0-9]+""))
),
0
)"),0.0)</f>
        <v>0</v>
      </c>
      <c r="E3125" s="1" t="s">
        <v>11</v>
      </c>
      <c r="F3125" s="1" t="s">
        <v>20</v>
      </c>
      <c r="G3125" s="4" t="b">
        <f t="shared" si="2"/>
        <v>1</v>
      </c>
      <c r="H3125" s="1" t="str">
        <f t="shared" si="3"/>
        <v>Currently Unavailable</v>
      </c>
      <c r="I3125" s="1" t="str">
        <f t="shared" si="4"/>
        <v>No Badges</v>
      </c>
      <c r="J3125" s="3">
        <f t="shared" si="5"/>
        <v>0</v>
      </c>
    </row>
    <row r="3126">
      <c r="A3126" s="1" t="s">
        <v>2339</v>
      </c>
      <c r="B3126" s="3" t="str">
        <f t="shared" si="1"/>
        <v>Unavailable</v>
      </c>
      <c r="C3126" s="5">
        <v>17477.0</v>
      </c>
      <c r="D3126" s="3">
        <f>IFERROR(__xludf.DUMMYFUNCTION("IFERROR(
IF(REGEXMATCH(LOWER(O3126),""k""),
VALUE(REGEXEXTRACT(O3126,""[0-9]+""))*1000,
VALUE(REGEXEXTRACT(O3126,""[0-9]+""))
),
0
)"),0.0)</f>
        <v>0</v>
      </c>
      <c r="E3126" s="1" t="s">
        <v>11</v>
      </c>
      <c r="F3126" s="1" t="s">
        <v>20</v>
      </c>
      <c r="G3126" s="4" t="b">
        <f t="shared" si="2"/>
        <v>1</v>
      </c>
      <c r="H3126" s="1" t="str">
        <f t="shared" si="3"/>
        <v>Currently Unavailable</v>
      </c>
      <c r="I3126" s="1" t="str">
        <f t="shared" si="4"/>
        <v>No Badges</v>
      </c>
      <c r="J3126" s="3">
        <f t="shared" si="5"/>
        <v>0</v>
      </c>
    </row>
    <row r="3127">
      <c r="A3127" s="1" t="s">
        <v>1284</v>
      </c>
      <c r="B3127" s="3" t="str">
        <f t="shared" si="1"/>
        <v>Unavailable</v>
      </c>
      <c r="C3127" s="3">
        <v>172.0</v>
      </c>
      <c r="D3127" s="3">
        <f>IFERROR(__xludf.DUMMYFUNCTION("IFERROR(
IF(REGEXMATCH(LOWER(O3127),""k""),
VALUE(REGEXEXTRACT(O3127,""[0-9]+""))*1000,
VALUE(REGEXEXTRACT(O3127,""[0-9]+""))
),
0
)"),0.0)</f>
        <v>0</v>
      </c>
      <c r="E3127" s="1" t="s">
        <v>11</v>
      </c>
      <c r="F3127" s="1" t="s">
        <v>12</v>
      </c>
      <c r="G3127" s="4" t="b">
        <f t="shared" si="2"/>
        <v>1</v>
      </c>
      <c r="H3127" s="1" t="str">
        <f t="shared" si="3"/>
        <v>Currently Unavailable</v>
      </c>
      <c r="I3127" s="1" t="str">
        <f t="shared" si="4"/>
        <v>No Badges</v>
      </c>
      <c r="J3127" s="3">
        <f t="shared" si="5"/>
        <v>0</v>
      </c>
    </row>
    <row r="3128">
      <c r="A3128" s="1" t="s">
        <v>1285</v>
      </c>
      <c r="B3128" s="3" t="str">
        <f t="shared" si="1"/>
        <v>Unavailable</v>
      </c>
      <c r="C3128" s="5">
        <v>3520.0</v>
      </c>
      <c r="D3128" s="3">
        <f>IFERROR(__xludf.DUMMYFUNCTION("IFERROR(
IF(REGEXMATCH(LOWER(O3128),""k""),
VALUE(REGEXEXTRACT(O3128,""[0-9]+""))*1000,
VALUE(REGEXEXTRACT(O3128,""[0-9]+""))
),
0
)"),0.0)</f>
        <v>0</v>
      </c>
      <c r="E3128" s="1" t="s">
        <v>11</v>
      </c>
      <c r="F3128" s="1" t="s">
        <v>12</v>
      </c>
      <c r="G3128" s="4" t="b">
        <f t="shared" si="2"/>
        <v>1</v>
      </c>
      <c r="H3128" s="1" t="str">
        <f t="shared" si="3"/>
        <v>Currently Unavailable</v>
      </c>
      <c r="I3128" s="1" t="str">
        <f t="shared" si="4"/>
        <v>No Badges</v>
      </c>
      <c r="J3128" s="3">
        <f t="shared" si="5"/>
        <v>0</v>
      </c>
    </row>
    <row r="3129">
      <c r="A3129" s="1" t="s">
        <v>2340</v>
      </c>
      <c r="B3129" s="3" t="str">
        <f t="shared" si="1"/>
        <v>Unavailable</v>
      </c>
      <c r="C3129" s="5">
        <v>3559.0</v>
      </c>
      <c r="D3129" s="3">
        <f>IFERROR(__xludf.DUMMYFUNCTION("IFERROR(
IF(REGEXMATCH(LOWER(O3129),""k""),
VALUE(REGEXEXTRACT(O3129,""[0-9]+""))*1000,
VALUE(REGEXEXTRACT(O3129,""[0-9]+""))
),
0
)"),0.0)</f>
        <v>0</v>
      </c>
      <c r="E3129" s="1" t="s">
        <v>11</v>
      </c>
      <c r="F3129" s="1" t="s">
        <v>20</v>
      </c>
      <c r="G3129" s="4" t="b">
        <f t="shared" si="2"/>
        <v>1</v>
      </c>
      <c r="H3129" s="1" t="str">
        <f t="shared" si="3"/>
        <v>Currently Unavailable</v>
      </c>
      <c r="I3129" s="1" t="str">
        <f t="shared" si="4"/>
        <v>No Badges</v>
      </c>
      <c r="J3129" s="3">
        <f t="shared" si="5"/>
        <v>0</v>
      </c>
    </row>
    <row r="3130">
      <c r="A3130" s="1" t="s">
        <v>1284</v>
      </c>
      <c r="B3130" s="3" t="str">
        <f t="shared" si="1"/>
        <v>Unavailable</v>
      </c>
      <c r="C3130" s="3">
        <v>172.0</v>
      </c>
      <c r="D3130" s="3">
        <f>IFERROR(__xludf.DUMMYFUNCTION("IFERROR(
IF(REGEXMATCH(LOWER(O3130),""k""),
VALUE(REGEXEXTRACT(O3130,""[0-9]+""))*1000,
VALUE(REGEXEXTRACT(O3130,""[0-9]+""))
),
0
)"),0.0)</f>
        <v>0</v>
      </c>
      <c r="E3130" s="1" t="s">
        <v>11</v>
      </c>
      <c r="F3130" s="1" t="s">
        <v>12</v>
      </c>
      <c r="G3130" s="4" t="b">
        <f t="shared" si="2"/>
        <v>1</v>
      </c>
      <c r="H3130" s="1" t="str">
        <f t="shared" si="3"/>
        <v>Currently Unavailable</v>
      </c>
      <c r="I3130" s="1" t="str">
        <f t="shared" si="4"/>
        <v>No Badges</v>
      </c>
      <c r="J3130" s="3">
        <f t="shared" si="5"/>
        <v>0</v>
      </c>
    </row>
    <row r="3131">
      <c r="A3131" s="1" t="s">
        <v>1285</v>
      </c>
      <c r="B3131" s="3" t="str">
        <f t="shared" si="1"/>
        <v>Unavailable</v>
      </c>
      <c r="C3131" s="5">
        <v>3520.0</v>
      </c>
      <c r="D3131" s="3">
        <f>IFERROR(__xludf.DUMMYFUNCTION("IFERROR(
IF(REGEXMATCH(LOWER(O3131),""k""),
VALUE(REGEXEXTRACT(O3131,""[0-9]+""))*1000,
VALUE(REGEXEXTRACT(O3131,""[0-9]+""))
),
0
)"),0.0)</f>
        <v>0</v>
      </c>
      <c r="E3131" s="1" t="s">
        <v>11</v>
      </c>
      <c r="F3131" s="1" t="s">
        <v>12</v>
      </c>
      <c r="G3131" s="4" t="b">
        <f t="shared" si="2"/>
        <v>1</v>
      </c>
      <c r="H3131" s="1" t="str">
        <f t="shared" si="3"/>
        <v>Currently Unavailable</v>
      </c>
      <c r="I3131" s="1" t="str">
        <f t="shared" si="4"/>
        <v>No Badges</v>
      </c>
      <c r="J3131" s="3">
        <f t="shared" si="5"/>
        <v>0</v>
      </c>
    </row>
    <row r="3132">
      <c r="A3132" s="1" t="s">
        <v>1284</v>
      </c>
      <c r="B3132" s="3" t="str">
        <f t="shared" si="1"/>
        <v>Unavailable</v>
      </c>
      <c r="C3132" s="3">
        <v>172.0</v>
      </c>
      <c r="D3132" s="3">
        <f>IFERROR(__xludf.DUMMYFUNCTION("IFERROR(
IF(REGEXMATCH(LOWER(O3132),""k""),
VALUE(REGEXEXTRACT(O3132,""[0-9]+""))*1000,
VALUE(REGEXEXTRACT(O3132,""[0-9]+""))
),
0
)"),0.0)</f>
        <v>0</v>
      </c>
      <c r="E3132" s="1" t="s">
        <v>11</v>
      </c>
      <c r="F3132" s="1" t="s">
        <v>12</v>
      </c>
      <c r="G3132" s="4" t="b">
        <f t="shared" si="2"/>
        <v>1</v>
      </c>
      <c r="H3132" s="1" t="str">
        <f t="shared" si="3"/>
        <v>Currently Unavailable</v>
      </c>
      <c r="I3132" s="1" t="str">
        <f t="shared" si="4"/>
        <v>No Badges</v>
      </c>
      <c r="J3132" s="3">
        <f t="shared" si="5"/>
        <v>0</v>
      </c>
    </row>
    <row r="3133">
      <c r="A3133" s="1" t="s">
        <v>1285</v>
      </c>
      <c r="B3133" s="3" t="str">
        <f t="shared" si="1"/>
        <v>Unavailable</v>
      </c>
      <c r="C3133" s="5">
        <v>3520.0</v>
      </c>
      <c r="D3133" s="3">
        <f>IFERROR(__xludf.DUMMYFUNCTION("IFERROR(
IF(REGEXMATCH(LOWER(O3133),""k""),
VALUE(REGEXEXTRACT(O3133,""[0-9]+""))*1000,
VALUE(REGEXEXTRACT(O3133,""[0-9]+""))
),
0
)"),0.0)</f>
        <v>0</v>
      </c>
      <c r="E3133" s="1" t="s">
        <v>11</v>
      </c>
      <c r="F3133" s="1" t="s">
        <v>12</v>
      </c>
      <c r="G3133" s="4" t="b">
        <f t="shared" si="2"/>
        <v>1</v>
      </c>
      <c r="H3133" s="1" t="str">
        <f t="shared" si="3"/>
        <v>Currently Unavailable</v>
      </c>
      <c r="I3133" s="1" t="str">
        <f t="shared" si="4"/>
        <v>No Badges</v>
      </c>
      <c r="J3133" s="3">
        <f t="shared" si="5"/>
        <v>0</v>
      </c>
    </row>
    <row r="3134">
      <c r="A3134" s="1" t="s">
        <v>2341</v>
      </c>
      <c r="B3134" s="3" t="str">
        <f t="shared" si="1"/>
        <v>Unavailable</v>
      </c>
      <c r="C3134" s="3">
        <v>69.0</v>
      </c>
      <c r="D3134" s="3">
        <f>IFERROR(__xludf.DUMMYFUNCTION("IFERROR(
IF(REGEXMATCH(LOWER(O3134),""k""),
VALUE(REGEXEXTRACT(O3134,""[0-9]+""))*1000,
VALUE(REGEXEXTRACT(O3134,""[0-9]+""))
),
0
)"),0.0)</f>
        <v>0</v>
      </c>
      <c r="E3134" s="1" t="s">
        <v>11</v>
      </c>
      <c r="F3134" s="1" t="s">
        <v>12</v>
      </c>
      <c r="G3134" s="4" t="b">
        <f t="shared" si="2"/>
        <v>1</v>
      </c>
      <c r="H3134" s="1" t="str">
        <f t="shared" si="3"/>
        <v>Currently Unavailable</v>
      </c>
      <c r="I3134" s="1" t="str">
        <f t="shared" si="4"/>
        <v>No Badges</v>
      </c>
      <c r="J3134" s="3">
        <f t="shared" si="5"/>
        <v>0</v>
      </c>
    </row>
    <row r="3135">
      <c r="A3135" s="1" t="s">
        <v>1284</v>
      </c>
      <c r="B3135" s="3" t="str">
        <f t="shared" si="1"/>
        <v>Unavailable</v>
      </c>
      <c r="C3135" s="3">
        <v>172.0</v>
      </c>
      <c r="D3135" s="3">
        <f>IFERROR(__xludf.DUMMYFUNCTION("IFERROR(
IF(REGEXMATCH(LOWER(O3135),""k""),
VALUE(REGEXEXTRACT(O3135,""[0-9]+""))*1000,
VALUE(REGEXEXTRACT(O3135,""[0-9]+""))
),
0
)"),0.0)</f>
        <v>0</v>
      </c>
      <c r="E3135" s="1" t="s">
        <v>11</v>
      </c>
      <c r="F3135" s="1" t="s">
        <v>12</v>
      </c>
      <c r="G3135" s="4" t="b">
        <f t="shared" si="2"/>
        <v>1</v>
      </c>
      <c r="H3135" s="1" t="str">
        <f t="shared" si="3"/>
        <v>Currently Unavailable</v>
      </c>
      <c r="I3135" s="1" t="str">
        <f t="shared" si="4"/>
        <v>No Badges</v>
      </c>
      <c r="J3135" s="3">
        <f t="shared" si="5"/>
        <v>0</v>
      </c>
    </row>
    <row r="3136">
      <c r="A3136" s="1" t="s">
        <v>1285</v>
      </c>
      <c r="B3136" s="3" t="str">
        <f t="shared" si="1"/>
        <v>Unavailable</v>
      </c>
      <c r="C3136" s="5">
        <v>3520.0</v>
      </c>
      <c r="D3136" s="3">
        <f>IFERROR(__xludf.DUMMYFUNCTION("IFERROR(
IF(REGEXMATCH(LOWER(O3136),""k""),
VALUE(REGEXEXTRACT(O3136,""[0-9]+""))*1000,
VALUE(REGEXEXTRACT(O3136,""[0-9]+""))
),
0
)"),0.0)</f>
        <v>0</v>
      </c>
      <c r="E3136" s="1" t="s">
        <v>11</v>
      </c>
      <c r="F3136" s="1" t="s">
        <v>12</v>
      </c>
      <c r="G3136" s="4" t="b">
        <f t="shared" si="2"/>
        <v>1</v>
      </c>
      <c r="H3136" s="1" t="str">
        <f t="shared" si="3"/>
        <v>Currently Unavailable</v>
      </c>
      <c r="I3136" s="1" t="str">
        <f t="shared" si="4"/>
        <v>No Badges</v>
      </c>
      <c r="J3136" s="3">
        <f t="shared" si="5"/>
        <v>0</v>
      </c>
    </row>
    <row r="3137">
      <c r="A3137" s="1" t="s">
        <v>1284</v>
      </c>
      <c r="B3137" s="3" t="str">
        <f t="shared" si="1"/>
        <v>Unavailable</v>
      </c>
      <c r="C3137" s="3">
        <v>172.0</v>
      </c>
      <c r="D3137" s="3">
        <f>IFERROR(__xludf.DUMMYFUNCTION("IFERROR(
IF(REGEXMATCH(LOWER(O3137),""k""),
VALUE(REGEXEXTRACT(O3137,""[0-9]+""))*1000,
VALUE(REGEXEXTRACT(O3137,""[0-9]+""))
),
0
)"),0.0)</f>
        <v>0</v>
      </c>
      <c r="E3137" s="1" t="s">
        <v>11</v>
      </c>
      <c r="F3137" s="1" t="s">
        <v>12</v>
      </c>
      <c r="G3137" s="4" t="b">
        <f t="shared" si="2"/>
        <v>1</v>
      </c>
      <c r="H3137" s="1" t="str">
        <f t="shared" si="3"/>
        <v>Currently Unavailable</v>
      </c>
      <c r="I3137" s="1" t="str">
        <f t="shared" si="4"/>
        <v>No Badges</v>
      </c>
      <c r="J3137" s="3">
        <f t="shared" si="5"/>
        <v>0</v>
      </c>
    </row>
    <row r="3138">
      <c r="A3138" s="1" t="s">
        <v>1285</v>
      </c>
      <c r="B3138" s="3" t="str">
        <f t="shared" si="1"/>
        <v>Unavailable</v>
      </c>
      <c r="C3138" s="5">
        <v>3520.0</v>
      </c>
      <c r="D3138" s="3">
        <f>IFERROR(__xludf.DUMMYFUNCTION("IFERROR(
IF(REGEXMATCH(LOWER(O3138),""k""),
VALUE(REGEXEXTRACT(O3138,""[0-9]+""))*1000,
VALUE(REGEXEXTRACT(O3138,""[0-9]+""))
),
0
)"),0.0)</f>
        <v>0</v>
      </c>
      <c r="E3138" s="1" t="s">
        <v>11</v>
      </c>
      <c r="F3138" s="1" t="s">
        <v>12</v>
      </c>
      <c r="G3138" s="4" t="b">
        <f t="shared" si="2"/>
        <v>1</v>
      </c>
      <c r="H3138" s="1" t="str">
        <f t="shared" si="3"/>
        <v>Currently Unavailable</v>
      </c>
      <c r="I3138" s="1" t="str">
        <f t="shared" si="4"/>
        <v>No Badges</v>
      </c>
      <c r="J3138" s="3">
        <f t="shared" si="5"/>
        <v>0</v>
      </c>
    </row>
    <row r="3139">
      <c r="A3139" s="1" t="s">
        <v>1284</v>
      </c>
      <c r="B3139" s="3" t="str">
        <f t="shared" si="1"/>
        <v>Unavailable</v>
      </c>
      <c r="C3139" s="3">
        <v>172.0</v>
      </c>
      <c r="D3139" s="3">
        <f>IFERROR(__xludf.DUMMYFUNCTION("IFERROR(
IF(REGEXMATCH(LOWER(O3139),""k""),
VALUE(REGEXEXTRACT(O3139,""[0-9]+""))*1000,
VALUE(REGEXEXTRACT(O3139,""[0-9]+""))
),
0
)"),0.0)</f>
        <v>0</v>
      </c>
      <c r="E3139" s="1" t="s">
        <v>11</v>
      </c>
      <c r="F3139" s="1" t="s">
        <v>12</v>
      </c>
      <c r="G3139" s="4" t="b">
        <f t="shared" si="2"/>
        <v>1</v>
      </c>
      <c r="H3139" s="1" t="str">
        <f t="shared" si="3"/>
        <v>Currently Unavailable</v>
      </c>
      <c r="I3139" s="1" t="str">
        <f t="shared" si="4"/>
        <v>No Badges</v>
      </c>
      <c r="J3139" s="3">
        <f t="shared" si="5"/>
        <v>0</v>
      </c>
    </row>
    <row r="3140">
      <c r="A3140" s="1" t="s">
        <v>1285</v>
      </c>
      <c r="B3140" s="3" t="str">
        <f t="shared" si="1"/>
        <v>Unavailable</v>
      </c>
      <c r="C3140" s="5">
        <v>3520.0</v>
      </c>
      <c r="D3140" s="3">
        <f>IFERROR(__xludf.DUMMYFUNCTION("IFERROR(
IF(REGEXMATCH(LOWER(O3140),""k""),
VALUE(REGEXEXTRACT(O3140,""[0-9]+""))*1000,
VALUE(REGEXEXTRACT(O3140,""[0-9]+""))
),
0
)"),0.0)</f>
        <v>0</v>
      </c>
      <c r="E3140" s="1" t="s">
        <v>11</v>
      </c>
      <c r="F3140" s="1" t="s">
        <v>12</v>
      </c>
      <c r="G3140" s="4" t="b">
        <f t="shared" si="2"/>
        <v>1</v>
      </c>
      <c r="H3140" s="1" t="str">
        <f t="shared" si="3"/>
        <v>Currently Unavailable</v>
      </c>
      <c r="I3140" s="1" t="str">
        <f t="shared" si="4"/>
        <v>No Badges</v>
      </c>
      <c r="J3140" s="3">
        <f t="shared" si="5"/>
        <v>0</v>
      </c>
    </row>
    <row r="3141">
      <c r="A3141" s="1" t="s">
        <v>1285</v>
      </c>
      <c r="B3141" s="3" t="str">
        <f t="shared" si="1"/>
        <v>Unavailable</v>
      </c>
      <c r="C3141" s="5">
        <v>3520.0</v>
      </c>
      <c r="D3141" s="3">
        <f>IFERROR(__xludf.DUMMYFUNCTION("IFERROR(
IF(REGEXMATCH(LOWER(O3141),""k""),
VALUE(REGEXEXTRACT(O3141,""[0-9]+""))*1000,
VALUE(REGEXEXTRACT(O3141,""[0-9]+""))
),
0
)"),0.0)</f>
        <v>0</v>
      </c>
      <c r="E3141" s="1" t="s">
        <v>11</v>
      </c>
      <c r="F3141" s="1" t="s">
        <v>12</v>
      </c>
      <c r="G3141" s="4" t="b">
        <f t="shared" si="2"/>
        <v>1</v>
      </c>
      <c r="H3141" s="1" t="str">
        <f t="shared" si="3"/>
        <v>Currently Unavailable</v>
      </c>
      <c r="I3141" s="1" t="str">
        <f t="shared" si="4"/>
        <v>No Badges</v>
      </c>
      <c r="J3141" s="3">
        <f t="shared" si="5"/>
        <v>0</v>
      </c>
    </row>
    <row r="3142">
      <c r="A3142" s="1" t="s">
        <v>1284</v>
      </c>
      <c r="B3142" s="3" t="str">
        <f t="shared" si="1"/>
        <v>Unavailable</v>
      </c>
      <c r="C3142" s="3">
        <v>172.0</v>
      </c>
      <c r="D3142" s="3">
        <f>IFERROR(__xludf.DUMMYFUNCTION("IFERROR(
IF(REGEXMATCH(LOWER(O3142),""k""),
VALUE(REGEXEXTRACT(O3142,""[0-9]+""))*1000,
VALUE(REGEXEXTRACT(O3142,""[0-9]+""))
),
0
)"),0.0)</f>
        <v>0</v>
      </c>
      <c r="E3142" s="1" t="s">
        <v>11</v>
      </c>
      <c r="F3142" s="1" t="s">
        <v>12</v>
      </c>
      <c r="G3142" s="4" t="b">
        <f t="shared" si="2"/>
        <v>1</v>
      </c>
      <c r="H3142" s="1" t="str">
        <f t="shared" si="3"/>
        <v>Currently Unavailable</v>
      </c>
      <c r="I3142" s="1" t="str">
        <f t="shared" si="4"/>
        <v>No Badges</v>
      </c>
      <c r="J3142" s="3">
        <f t="shared" si="5"/>
        <v>0</v>
      </c>
    </row>
    <row r="3143">
      <c r="A3143" s="1" t="s">
        <v>1285</v>
      </c>
      <c r="B3143" s="3" t="str">
        <f t="shared" si="1"/>
        <v>Unavailable</v>
      </c>
      <c r="C3143" s="5">
        <v>3520.0</v>
      </c>
      <c r="D3143" s="3">
        <f>IFERROR(__xludf.DUMMYFUNCTION("IFERROR(
IF(REGEXMATCH(LOWER(O3143),""k""),
VALUE(REGEXEXTRACT(O3143,""[0-9]+""))*1000,
VALUE(REGEXEXTRACT(O3143,""[0-9]+""))
),
0
)"),0.0)</f>
        <v>0</v>
      </c>
      <c r="E3143" s="1" t="s">
        <v>11</v>
      </c>
      <c r="F3143" s="1" t="s">
        <v>12</v>
      </c>
      <c r="G3143" s="4" t="b">
        <f t="shared" si="2"/>
        <v>1</v>
      </c>
      <c r="H3143" s="1" t="str">
        <f t="shared" si="3"/>
        <v>Currently Unavailable</v>
      </c>
      <c r="I3143" s="1" t="str">
        <f t="shared" si="4"/>
        <v>No Badges</v>
      </c>
      <c r="J3143" s="3">
        <f t="shared" si="5"/>
        <v>0</v>
      </c>
    </row>
    <row r="3144">
      <c r="A3144" s="1" t="s">
        <v>1284</v>
      </c>
      <c r="B3144" s="3" t="str">
        <f t="shared" si="1"/>
        <v>Unavailable</v>
      </c>
      <c r="C3144" s="3">
        <v>172.0</v>
      </c>
      <c r="D3144" s="3">
        <f>IFERROR(__xludf.DUMMYFUNCTION("IFERROR(
IF(REGEXMATCH(LOWER(O3144),""k""),
VALUE(REGEXEXTRACT(O3144,""[0-9]+""))*1000,
VALUE(REGEXEXTRACT(O3144,""[0-9]+""))
),
0
)"),0.0)</f>
        <v>0</v>
      </c>
      <c r="E3144" s="1" t="s">
        <v>11</v>
      </c>
      <c r="F3144" s="1" t="s">
        <v>12</v>
      </c>
      <c r="G3144" s="4" t="b">
        <f t="shared" si="2"/>
        <v>1</v>
      </c>
      <c r="H3144" s="1" t="str">
        <f t="shared" si="3"/>
        <v>Currently Unavailable</v>
      </c>
      <c r="I3144" s="1" t="str">
        <f t="shared" si="4"/>
        <v>No Badges</v>
      </c>
      <c r="J3144" s="3">
        <f t="shared" si="5"/>
        <v>0</v>
      </c>
    </row>
    <row r="3145">
      <c r="A3145" s="1" t="s">
        <v>2342</v>
      </c>
      <c r="B3145" s="3" t="str">
        <f t="shared" si="1"/>
        <v>Unavailable</v>
      </c>
      <c r="C3145" s="3">
        <v>145.0</v>
      </c>
      <c r="D3145" s="3">
        <f>IFERROR(__xludf.DUMMYFUNCTION("IFERROR(
IF(REGEXMATCH(LOWER(O3145),""k""),
VALUE(REGEXEXTRACT(O3145,""[0-9]+""))*1000,
VALUE(REGEXEXTRACT(O3145,""[0-9]+""))
),
0
)"),0.0)</f>
        <v>0</v>
      </c>
      <c r="E3145" s="1" t="s">
        <v>11</v>
      </c>
      <c r="F3145" s="1" t="s">
        <v>20</v>
      </c>
      <c r="G3145" s="4" t="b">
        <f t="shared" si="2"/>
        <v>1</v>
      </c>
      <c r="H3145" s="1" t="str">
        <f t="shared" si="3"/>
        <v>Currently Unavailable</v>
      </c>
      <c r="I3145" s="1" t="str">
        <f t="shared" si="4"/>
        <v>No Badges</v>
      </c>
      <c r="J3145" s="3">
        <f t="shared" si="5"/>
        <v>0</v>
      </c>
    </row>
    <row r="3146">
      <c r="A3146" s="1" t="s">
        <v>2343</v>
      </c>
      <c r="B3146" s="3" t="str">
        <f t="shared" si="1"/>
        <v>Unavailable</v>
      </c>
      <c r="C3146" s="5">
        <v>5273.0</v>
      </c>
      <c r="D3146" s="3">
        <f>IFERROR(__xludf.DUMMYFUNCTION("IFERROR(
IF(REGEXMATCH(LOWER(O3146),""k""),
VALUE(REGEXEXTRACT(O3146,""[0-9]+""))*1000,
VALUE(REGEXEXTRACT(O3146,""[0-9]+""))
),
0
)"),0.0)</f>
        <v>0</v>
      </c>
      <c r="E3146" s="1" t="s">
        <v>11</v>
      </c>
      <c r="F3146" s="1" t="s">
        <v>20</v>
      </c>
      <c r="G3146" s="4" t="b">
        <f t="shared" si="2"/>
        <v>1</v>
      </c>
      <c r="H3146" s="1" t="str">
        <f t="shared" si="3"/>
        <v>Currently Unavailable</v>
      </c>
      <c r="I3146" s="1" t="str">
        <f t="shared" si="4"/>
        <v>No Badges</v>
      </c>
      <c r="J3146" s="3">
        <f t="shared" si="5"/>
        <v>0</v>
      </c>
    </row>
    <row r="3147">
      <c r="A3147" s="1" t="s">
        <v>1284</v>
      </c>
      <c r="B3147" s="3" t="str">
        <f t="shared" si="1"/>
        <v>Unavailable</v>
      </c>
      <c r="C3147" s="3">
        <v>172.0</v>
      </c>
      <c r="D3147" s="3">
        <f>IFERROR(__xludf.DUMMYFUNCTION("IFERROR(
IF(REGEXMATCH(LOWER(O3147),""k""),
VALUE(REGEXEXTRACT(O3147,""[0-9]+""))*1000,
VALUE(REGEXEXTRACT(O3147,""[0-9]+""))
),
0
)"),0.0)</f>
        <v>0</v>
      </c>
      <c r="E3147" s="1" t="s">
        <v>11</v>
      </c>
      <c r="F3147" s="1" t="s">
        <v>12</v>
      </c>
      <c r="G3147" s="4" t="b">
        <f t="shared" si="2"/>
        <v>1</v>
      </c>
      <c r="H3147" s="1" t="str">
        <f t="shared" si="3"/>
        <v>Currently Unavailable</v>
      </c>
      <c r="I3147" s="1" t="str">
        <f t="shared" si="4"/>
        <v>No Badges</v>
      </c>
      <c r="J3147" s="3">
        <f t="shared" si="5"/>
        <v>0</v>
      </c>
    </row>
    <row r="3148">
      <c r="A3148" s="1" t="s">
        <v>1285</v>
      </c>
      <c r="B3148" s="3" t="str">
        <f t="shared" si="1"/>
        <v>Unavailable</v>
      </c>
      <c r="C3148" s="5">
        <v>3520.0</v>
      </c>
      <c r="D3148" s="3">
        <f>IFERROR(__xludf.DUMMYFUNCTION("IFERROR(
IF(REGEXMATCH(LOWER(O3148),""k""),
VALUE(REGEXEXTRACT(O3148,""[0-9]+""))*1000,
VALUE(REGEXEXTRACT(O3148,""[0-9]+""))
),
0
)"),0.0)</f>
        <v>0</v>
      </c>
      <c r="E3148" s="1" t="s">
        <v>11</v>
      </c>
      <c r="F3148" s="1" t="s">
        <v>12</v>
      </c>
      <c r="G3148" s="4" t="b">
        <f t="shared" si="2"/>
        <v>1</v>
      </c>
      <c r="H3148" s="1" t="str">
        <f t="shared" si="3"/>
        <v>Currently Unavailable</v>
      </c>
      <c r="I3148" s="1" t="str">
        <f t="shared" si="4"/>
        <v>No Badges</v>
      </c>
      <c r="J3148" s="3">
        <f t="shared" si="5"/>
        <v>0</v>
      </c>
    </row>
    <row r="3149">
      <c r="A3149" s="1" t="s">
        <v>1284</v>
      </c>
      <c r="B3149" s="3" t="str">
        <f t="shared" si="1"/>
        <v>Unavailable</v>
      </c>
      <c r="C3149" s="3">
        <v>172.0</v>
      </c>
      <c r="D3149" s="3">
        <f>IFERROR(__xludf.DUMMYFUNCTION("IFERROR(
IF(REGEXMATCH(LOWER(O3149),""k""),
VALUE(REGEXEXTRACT(O3149,""[0-9]+""))*1000,
VALUE(REGEXEXTRACT(O3149,""[0-9]+""))
),
0
)"),0.0)</f>
        <v>0</v>
      </c>
      <c r="E3149" s="1" t="s">
        <v>11</v>
      </c>
      <c r="F3149" s="1" t="s">
        <v>12</v>
      </c>
      <c r="G3149" s="4" t="b">
        <f t="shared" si="2"/>
        <v>1</v>
      </c>
      <c r="H3149" s="1" t="str">
        <f t="shared" si="3"/>
        <v>Currently Unavailable</v>
      </c>
      <c r="I3149" s="1" t="str">
        <f t="shared" si="4"/>
        <v>No Badges</v>
      </c>
      <c r="J3149" s="3">
        <f t="shared" si="5"/>
        <v>0</v>
      </c>
    </row>
    <row r="3150">
      <c r="A3150" s="1" t="s">
        <v>1285</v>
      </c>
      <c r="B3150" s="3" t="str">
        <f t="shared" si="1"/>
        <v>Unavailable</v>
      </c>
      <c r="C3150" s="5">
        <v>3520.0</v>
      </c>
      <c r="D3150" s="3">
        <f>IFERROR(__xludf.DUMMYFUNCTION("IFERROR(
IF(REGEXMATCH(LOWER(O3150),""k""),
VALUE(REGEXEXTRACT(O3150,""[0-9]+""))*1000,
VALUE(REGEXEXTRACT(O3150,""[0-9]+""))
),
0
)"),0.0)</f>
        <v>0</v>
      </c>
      <c r="E3150" s="1" t="s">
        <v>11</v>
      </c>
      <c r="F3150" s="1" t="s">
        <v>12</v>
      </c>
      <c r="G3150" s="4" t="b">
        <f t="shared" si="2"/>
        <v>1</v>
      </c>
      <c r="H3150" s="1" t="str">
        <f t="shared" si="3"/>
        <v>Currently Unavailable</v>
      </c>
      <c r="I3150" s="1" t="str">
        <f t="shared" si="4"/>
        <v>No Badges</v>
      </c>
      <c r="J3150" s="3">
        <f t="shared" si="5"/>
        <v>0</v>
      </c>
    </row>
    <row r="3151">
      <c r="A3151" s="1" t="s">
        <v>2344</v>
      </c>
      <c r="B3151" s="3" t="str">
        <f t="shared" si="1"/>
        <v>Unavailable</v>
      </c>
      <c r="C3151" s="5">
        <v>645418.0</v>
      </c>
      <c r="D3151" s="3">
        <f>IFERROR(__xludf.DUMMYFUNCTION("IFERROR(
IF(REGEXMATCH(LOWER(O3151),""k""),
VALUE(REGEXEXTRACT(O3151,""[0-9]+""))*1000,
VALUE(REGEXEXTRACT(O3151,""[0-9]+""))
),
0
)"),0.0)</f>
        <v>0</v>
      </c>
      <c r="E3151" s="1" t="s">
        <v>11</v>
      </c>
      <c r="F3151" s="1" t="s">
        <v>20</v>
      </c>
      <c r="G3151" s="4" t="b">
        <f t="shared" si="2"/>
        <v>1</v>
      </c>
      <c r="H3151" s="1" t="str">
        <f t="shared" si="3"/>
        <v>Currently Unavailable</v>
      </c>
      <c r="I3151" s="1" t="str">
        <f t="shared" si="4"/>
        <v>No Badges</v>
      </c>
      <c r="J3151" s="3">
        <f t="shared" si="5"/>
        <v>0</v>
      </c>
    </row>
    <row r="3152">
      <c r="A3152" s="1" t="s">
        <v>2345</v>
      </c>
      <c r="B3152" s="3" t="str">
        <f t="shared" si="1"/>
        <v>Unavailable</v>
      </c>
      <c r="C3152" s="5">
        <v>3185.0</v>
      </c>
      <c r="D3152" s="3">
        <f>IFERROR(__xludf.DUMMYFUNCTION("IFERROR(
IF(REGEXMATCH(LOWER(O3152),""k""),
VALUE(REGEXEXTRACT(O3152,""[0-9]+""))*1000,
VALUE(REGEXEXTRACT(O3152,""[0-9]+""))
),
0
)"),0.0)</f>
        <v>0</v>
      </c>
      <c r="E3152" s="1" t="s">
        <v>11</v>
      </c>
      <c r="F3152" s="1" t="s">
        <v>20</v>
      </c>
      <c r="G3152" s="4" t="b">
        <f t="shared" si="2"/>
        <v>1</v>
      </c>
      <c r="H3152" s="1" t="str">
        <f t="shared" si="3"/>
        <v>Currently Unavailable</v>
      </c>
      <c r="I3152" s="1" t="str">
        <f t="shared" si="4"/>
        <v>No Badges</v>
      </c>
      <c r="J3152" s="3">
        <f t="shared" si="5"/>
        <v>0</v>
      </c>
    </row>
    <row r="3153">
      <c r="A3153" s="1" t="s">
        <v>2346</v>
      </c>
      <c r="B3153" s="3" t="str">
        <f t="shared" si="1"/>
        <v>Unavailable</v>
      </c>
      <c r="C3153" s="5">
        <v>27704.0</v>
      </c>
      <c r="D3153" s="3">
        <f>IFERROR(__xludf.DUMMYFUNCTION("IFERROR(
IF(REGEXMATCH(LOWER(O3153),""k""),
VALUE(REGEXEXTRACT(O3153,""[0-9]+""))*1000,
VALUE(REGEXEXTRACT(O3153,""[0-9]+""))
),
0
)"),0.0)</f>
        <v>0</v>
      </c>
      <c r="E3153" s="1" t="s">
        <v>158</v>
      </c>
      <c r="F3153" s="1" t="s">
        <v>20</v>
      </c>
      <c r="G3153" s="4" t="b">
        <f t="shared" si="2"/>
        <v>1</v>
      </c>
      <c r="H3153" s="1" t="str">
        <f t="shared" si="3"/>
        <v>Currently Unavailable</v>
      </c>
      <c r="I3153" s="1" t="str">
        <f t="shared" si="4"/>
        <v>No Badges</v>
      </c>
      <c r="J3153" s="3">
        <f t="shared" si="5"/>
        <v>0</v>
      </c>
    </row>
    <row r="3154">
      <c r="A3154" s="1" t="s">
        <v>2133</v>
      </c>
      <c r="B3154" s="3" t="str">
        <f t="shared" si="1"/>
        <v>Unavailable</v>
      </c>
      <c r="C3154" s="5">
        <v>1463.0</v>
      </c>
      <c r="D3154" s="3">
        <f>IFERROR(__xludf.DUMMYFUNCTION("IFERROR(
IF(REGEXMATCH(LOWER(O3154),""k""),
VALUE(REGEXEXTRACT(O3154,""[0-9]+""))*1000,
VALUE(REGEXEXTRACT(O3154,""[0-9]+""))
),
0
)"),0.0)</f>
        <v>0</v>
      </c>
      <c r="E3154" s="1" t="s">
        <v>11</v>
      </c>
      <c r="F3154" s="1" t="s">
        <v>12</v>
      </c>
      <c r="G3154" s="4" t="b">
        <f t="shared" si="2"/>
        <v>1</v>
      </c>
      <c r="H3154" s="1" t="str">
        <f t="shared" si="3"/>
        <v>Currently Unavailable</v>
      </c>
      <c r="I3154" s="1" t="str">
        <f t="shared" si="4"/>
        <v>No Badges</v>
      </c>
      <c r="J3154" s="3">
        <f t="shared" si="5"/>
        <v>0</v>
      </c>
    </row>
    <row r="3155">
      <c r="A3155" s="1" t="s">
        <v>2133</v>
      </c>
      <c r="B3155" s="3" t="str">
        <f t="shared" si="1"/>
        <v>Unavailable</v>
      </c>
      <c r="C3155" s="5">
        <v>1463.0</v>
      </c>
      <c r="D3155" s="3">
        <f>IFERROR(__xludf.DUMMYFUNCTION("IFERROR(
IF(REGEXMATCH(LOWER(O3155),""k""),
VALUE(REGEXEXTRACT(O3155,""[0-9]+""))*1000,
VALUE(REGEXEXTRACT(O3155,""[0-9]+""))
),
0
)"),0.0)</f>
        <v>0</v>
      </c>
      <c r="E3155" s="1" t="s">
        <v>11</v>
      </c>
      <c r="F3155" s="1" t="s">
        <v>12</v>
      </c>
      <c r="G3155" s="4" t="b">
        <f t="shared" si="2"/>
        <v>1</v>
      </c>
      <c r="H3155" s="1" t="str">
        <f t="shared" si="3"/>
        <v>Currently Unavailable</v>
      </c>
      <c r="I3155" s="1" t="str">
        <f t="shared" si="4"/>
        <v>No Badges</v>
      </c>
      <c r="J3155" s="3">
        <f t="shared" si="5"/>
        <v>0</v>
      </c>
    </row>
    <row r="3156">
      <c r="A3156" s="1" t="s">
        <v>2347</v>
      </c>
      <c r="B3156" s="3" t="str">
        <f t="shared" si="1"/>
        <v>Unavailable</v>
      </c>
      <c r="C3156" s="5">
        <v>9706.0</v>
      </c>
      <c r="D3156" s="3">
        <f>IFERROR(__xludf.DUMMYFUNCTION("IFERROR(
IF(REGEXMATCH(LOWER(O3156),""k""),
VALUE(REGEXEXTRACT(O3156,""[0-9]+""))*1000,
VALUE(REGEXEXTRACT(O3156,""[0-9]+""))
),
0
)"),0.0)</f>
        <v>0</v>
      </c>
      <c r="E3156" s="1" t="s">
        <v>11</v>
      </c>
      <c r="F3156" s="1" t="s">
        <v>20</v>
      </c>
      <c r="G3156" s="4" t="b">
        <f t="shared" si="2"/>
        <v>1</v>
      </c>
      <c r="H3156" s="1" t="str">
        <f t="shared" si="3"/>
        <v>Currently Unavailable</v>
      </c>
      <c r="I3156" s="1" t="str">
        <f t="shared" si="4"/>
        <v>No Badges</v>
      </c>
      <c r="J3156" s="3">
        <f t="shared" si="5"/>
        <v>0</v>
      </c>
    </row>
    <row r="3157">
      <c r="A3157" s="1" t="s">
        <v>2133</v>
      </c>
      <c r="B3157" s="3" t="str">
        <f t="shared" si="1"/>
        <v>Unavailable</v>
      </c>
      <c r="C3157" s="5">
        <v>1463.0</v>
      </c>
      <c r="D3157" s="3">
        <f>IFERROR(__xludf.DUMMYFUNCTION("IFERROR(
IF(REGEXMATCH(LOWER(O3157),""k""),
VALUE(REGEXEXTRACT(O3157,""[0-9]+""))*1000,
VALUE(REGEXEXTRACT(O3157,""[0-9]+""))
),
0
)"),0.0)</f>
        <v>0</v>
      </c>
      <c r="E3157" s="1" t="s">
        <v>11</v>
      </c>
      <c r="F3157" s="1" t="s">
        <v>12</v>
      </c>
      <c r="G3157" s="4" t="b">
        <f t="shared" si="2"/>
        <v>1</v>
      </c>
      <c r="H3157" s="1" t="str">
        <f t="shared" si="3"/>
        <v>Currently Unavailable</v>
      </c>
      <c r="I3157" s="1" t="str">
        <f t="shared" si="4"/>
        <v>No Badges</v>
      </c>
      <c r="J3157" s="3">
        <f t="shared" si="5"/>
        <v>0</v>
      </c>
    </row>
    <row r="3158">
      <c r="A3158" s="1" t="s">
        <v>2133</v>
      </c>
      <c r="B3158" s="3" t="str">
        <f t="shared" si="1"/>
        <v>Unavailable</v>
      </c>
      <c r="C3158" s="5">
        <v>1463.0</v>
      </c>
      <c r="D3158" s="3">
        <f>IFERROR(__xludf.DUMMYFUNCTION("IFERROR(
IF(REGEXMATCH(LOWER(O3158),""k""),
VALUE(REGEXEXTRACT(O3158,""[0-9]+""))*1000,
VALUE(REGEXEXTRACT(O3158,""[0-9]+""))
),
0
)"),0.0)</f>
        <v>0</v>
      </c>
      <c r="E3158" s="1" t="s">
        <v>11</v>
      </c>
      <c r="F3158" s="1" t="s">
        <v>12</v>
      </c>
      <c r="G3158" s="4" t="b">
        <f t="shared" si="2"/>
        <v>1</v>
      </c>
      <c r="H3158" s="1" t="str">
        <f t="shared" si="3"/>
        <v>Currently Unavailable</v>
      </c>
      <c r="I3158" s="1" t="str">
        <f t="shared" si="4"/>
        <v>No Badges</v>
      </c>
      <c r="J3158" s="3">
        <f t="shared" si="5"/>
        <v>0</v>
      </c>
    </row>
    <row r="3159">
      <c r="A3159" s="1" t="s">
        <v>2133</v>
      </c>
      <c r="B3159" s="3" t="str">
        <f t="shared" si="1"/>
        <v>Unavailable</v>
      </c>
      <c r="C3159" s="5">
        <v>1463.0</v>
      </c>
      <c r="D3159" s="3">
        <f>IFERROR(__xludf.DUMMYFUNCTION("IFERROR(
IF(REGEXMATCH(LOWER(O3159),""k""),
VALUE(REGEXEXTRACT(O3159,""[0-9]+""))*1000,
VALUE(REGEXEXTRACT(O3159,""[0-9]+""))
),
0
)"),0.0)</f>
        <v>0</v>
      </c>
      <c r="E3159" s="1" t="s">
        <v>11</v>
      </c>
      <c r="F3159" s="1" t="s">
        <v>12</v>
      </c>
      <c r="G3159" s="4" t="b">
        <f t="shared" si="2"/>
        <v>1</v>
      </c>
      <c r="H3159" s="1" t="str">
        <f t="shared" si="3"/>
        <v>Currently Unavailable</v>
      </c>
      <c r="I3159" s="1" t="str">
        <f t="shared" si="4"/>
        <v>No Badges</v>
      </c>
      <c r="J3159" s="3">
        <f t="shared" si="5"/>
        <v>0</v>
      </c>
    </row>
    <row r="3160">
      <c r="A3160" s="1" t="s">
        <v>2133</v>
      </c>
      <c r="B3160" s="3" t="str">
        <f t="shared" si="1"/>
        <v>Unavailable</v>
      </c>
      <c r="C3160" s="5">
        <v>1463.0</v>
      </c>
      <c r="D3160" s="3">
        <f>IFERROR(__xludf.DUMMYFUNCTION("IFERROR(
IF(REGEXMATCH(LOWER(O3160),""k""),
VALUE(REGEXEXTRACT(O3160,""[0-9]+""))*1000,
VALUE(REGEXEXTRACT(O3160,""[0-9]+""))
),
0
)"),0.0)</f>
        <v>0</v>
      </c>
      <c r="E3160" s="1" t="s">
        <v>11</v>
      </c>
      <c r="F3160" s="1" t="s">
        <v>12</v>
      </c>
      <c r="G3160" s="4" t="b">
        <f t="shared" si="2"/>
        <v>1</v>
      </c>
      <c r="H3160" s="1" t="str">
        <f t="shared" si="3"/>
        <v>Currently Unavailable</v>
      </c>
      <c r="I3160" s="1" t="str">
        <f t="shared" si="4"/>
        <v>No Badges</v>
      </c>
      <c r="J3160" s="3">
        <f t="shared" si="5"/>
        <v>0</v>
      </c>
    </row>
    <row r="3161">
      <c r="A3161" s="1" t="s">
        <v>2339</v>
      </c>
      <c r="B3161" s="3" t="str">
        <f t="shared" si="1"/>
        <v>Unavailable</v>
      </c>
      <c r="C3161" s="5">
        <v>17488.0</v>
      </c>
      <c r="D3161" s="3">
        <f>IFERROR(__xludf.DUMMYFUNCTION("IFERROR(
IF(REGEXMATCH(LOWER(O3161),""k""),
VALUE(REGEXEXTRACT(O3161,""[0-9]+""))*1000,
VALUE(REGEXEXTRACT(O3161,""[0-9]+""))
),
0
)"),0.0)</f>
        <v>0</v>
      </c>
      <c r="E3161" s="1" t="s">
        <v>11</v>
      </c>
      <c r="F3161" s="1" t="s">
        <v>20</v>
      </c>
      <c r="G3161" s="4" t="b">
        <f t="shared" si="2"/>
        <v>1</v>
      </c>
      <c r="H3161" s="1" t="str">
        <f t="shared" si="3"/>
        <v>Currently Unavailable</v>
      </c>
      <c r="I3161" s="1" t="str">
        <f t="shared" si="4"/>
        <v>No Badges</v>
      </c>
      <c r="J3161" s="3">
        <f t="shared" si="5"/>
        <v>0</v>
      </c>
    </row>
    <row r="3162">
      <c r="A3162" s="1" t="s">
        <v>2133</v>
      </c>
      <c r="B3162" s="3" t="str">
        <f t="shared" si="1"/>
        <v>Unavailable</v>
      </c>
      <c r="C3162" s="5">
        <v>1463.0</v>
      </c>
      <c r="D3162" s="3">
        <f>IFERROR(__xludf.DUMMYFUNCTION("IFERROR(
IF(REGEXMATCH(LOWER(O3162),""k""),
VALUE(REGEXEXTRACT(O3162,""[0-9]+""))*1000,
VALUE(REGEXEXTRACT(O3162,""[0-9]+""))
),
0
)"),0.0)</f>
        <v>0</v>
      </c>
      <c r="E3162" s="1" t="s">
        <v>11</v>
      </c>
      <c r="F3162" s="1" t="s">
        <v>12</v>
      </c>
      <c r="G3162" s="4" t="b">
        <f t="shared" si="2"/>
        <v>1</v>
      </c>
      <c r="H3162" s="1" t="str">
        <f t="shared" si="3"/>
        <v>Currently Unavailable</v>
      </c>
      <c r="I3162" s="1" t="str">
        <f t="shared" si="4"/>
        <v>No Badges</v>
      </c>
      <c r="J3162" s="3">
        <f t="shared" si="5"/>
        <v>0</v>
      </c>
    </row>
    <row r="3163">
      <c r="A3163" s="1" t="s">
        <v>69</v>
      </c>
      <c r="B3163" s="3" t="str">
        <f t="shared" si="1"/>
        <v>Unavailable</v>
      </c>
      <c r="C3163" s="3">
        <v>45.0</v>
      </c>
      <c r="D3163" s="3">
        <f>IFERROR(__xludf.DUMMYFUNCTION("IFERROR(
IF(REGEXMATCH(LOWER(O3163),""k""),
VALUE(REGEXEXTRACT(O3163,""[0-9]+""))*1000,
VALUE(REGEXEXTRACT(O3163,""[0-9]+""))
),
0
)"),0.0)</f>
        <v>0</v>
      </c>
      <c r="E3163" s="1" t="s">
        <v>11</v>
      </c>
      <c r="F3163" s="1" t="s">
        <v>12</v>
      </c>
      <c r="G3163" s="4" t="b">
        <f t="shared" si="2"/>
        <v>1</v>
      </c>
      <c r="H3163" s="1" t="str">
        <f t="shared" si="3"/>
        <v>Currently Unavailable</v>
      </c>
      <c r="I3163" s="1" t="str">
        <f t="shared" si="4"/>
        <v>No Badges</v>
      </c>
      <c r="J3163" s="3">
        <f t="shared" si="5"/>
        <v>0</v>
      </c>
    </row>
    <row r="3164">
      <c r="A3164" s="1" t="s">
        <v>2133</v>
      </c>
      <c r="B3164" s="3" t="str">
        <f t="shared" si="1"/>
        <v>Unavailable</v>
      </c>
      <c r="C3164" s="5">
        <v>1463.0</v>
      </c>
      <c r="D3164" s="3">
        <f>IFERROR(__xludf.DUMMYFUNCTION("IFERROR(
IF(REGEXMATCH(LOWER(O3164),""k""),
VALUE(REGEXEXTRACT(O3164,""[0-9]+""))*1000,
VALUE(REGEXEXTRACT(O3164,""[0-9]+""))
),
0
)"),0.0)</f>
        <v>0</v>
      </c>
      <c r="E3164" s="1" t="s">
        <v>11</v>
      </c>
      <c r="F3164" s="1" t="s">
        <v>12</v>
      </c>
      <c r="G3164" s="4" t="b">
        <f t="shared" si="2"/>
        <v>1</v>
      </c>
      <c r="H3164" s="1" t="str">
        <f t="shared" si="3"/>
        <v>Currently Unavailable</v>
      </c>
      <c r="I3164" s="1" t="str">
        <f t="shared" si="4"/>
        <v>No Badges</v>
      </c>
      <c r="J3164" s="3">
        <f t="shared" si="5"/>
        <v>0</v>
      </c>
    </row>
    <row r="3165">
      <c r="A3165" s="1" t="s">
        <v>2133</v>
      </c>
      <c r="B3165" s="3" t="str">
        <f t="shared" si="1"/>
        <v>Unavailable</v>
      </c>
      <c r="C3165" s="5">
        <v>1463.0</v>
      </c>
      <c r="D3165" s="3">
        <f>IFERROR(__xludf.DUMMYFUNCTION("IFERROR(
IF(REGEXMATCH(LOWER(O3165),""k""),
VALUE(REGEXEXTRACT(O3165,""[0-9]+""))*1000,
VALUE(REGEXEXTRACT(O3165,""[0-9]+""))
),
0
)"),0.0)</f>
        <v>0</v>
      </c>
      <c r="E3165" s="1" t="s">
        <v>11</v>
      </c>
      <c r="F3165" s="1" t="s">
        <v>12</v>
      </c>
      <c r="G3165" s="4" t="b">
        <f t="shared" si="2"/>
        <v>1</v>
      </c>
      <c r="H3165" s="1" t="str">
        <f t="shared" si="3"/>
        <v>Currently Unavailable</v>
      </c>
      <c r="I3165" s="1" t="str">
        <f t="shared" si="4"/>
        <v>No Badges</v>
      </c>
      <c r="J3165" s="3">
        <f t="shared" si="5"/>
        <v>0</v>
      </c>
    </row>
    <row r="3166">
      <c r="A3166" s="1" t="s">
        <v>2133</v>
      </c>
      <c r="B3166" s="3" t="str">
        <f t="shared" si="1"/>
        <v>Unavailable</v>
      </c>
      <c r="C3166" s="5">
        <v>1463.0</v>
      </c>
      <c r="D3166" s="3">
        <f>IFERROR(__xludf.DUMMYFUNCTION("IFERROR(
IF(REGEXMATCH(LOWER(O3166),""k""),
VALUE(REGEXEXTRACT(O3166,""[0-9]+""))*1000,
VALUE(REGEXEXTRACT(O3166,""[0-9]+""))
),
0
)"),0.0)</f>
        <v>0</v>
      </c>
      <c r="E3166" s="1" t="s">
        <v>11</v>
      </c>
      <c r="F3166" s="1" t="s">
        <v>12</v>
      </c>
      <c r="G3166" s="4" t="b">
        <f t="shared" si="2"/>
        <v>1</v>
      </c>
      <c r="H3166" s="1" t="str">
        <f t="shared" si="3"/>
        <v>Currently Unavailable</v>
      </c>
      <c r="I3166" s="1" t="str">
        <f t="shared" si="4"/>
        <v>No Badges</v>
      </c>
      <c r="J3166" s="3">
        <f t="shared" si="5"/>
        <v>0</v>
      </c>
    </row>
    <row r="3167">
      <c r="A3167" s="1" t="s">
        <v>2345</v>
      </c>
      <c r="B3167" s="3" t="str">
        <f t="shared" si="1"/>
        <v>Unavailable</v>
      </c>
      <c r="C3167" s="5">
        <v>3185.0</v>
      </c>
      <c r="D3167" s="3">
        <f>IFERROR(__xludf.DUMMYFUNCTION("IFERROR(
IF(REGEXMATCH(LOWER(O3167),""k""),
VALUE(REGEXEXTRACT(O3167,""[0-9]+""))*1000,
VALUE(REGEXEXTRACT(O3167,""[0-9]+""))
),
0
)"),0.0)</f>
        <v>0</v>
      </c>
      <c r="E3167" s="1" t="s">
        <v>11</v>
      </c>
      <c r="F3167" s="1" t="s">
        <v>20</v>
      </c>
      <c r="G3167" s="4" t="b">
        <f t="shared" si="2"/>
        <v>1</v>
      </c>
      <c r="H3167" s="1" t="str">
        <f t="shared" si="3"/>
        <v>Currently Unavailable</v>
      </c>
      <c r="I3167" s="1" t="str">
        <f t="shared" si="4"/>
        <v>No Badges</v>
      </c>
      <c r="J3167" s="3">
        <f t="shared" si="5"/>
        <v>0</v>
      </c>
    </row>
    <row r="3168">
      <c r="A3168" s="1" t="s">
        <v>2133</v>
      </c>
      <c r="B3168" s="3" t="str">
        <f t="shared" si="1"/>
        <v>Unavailable</v>
      </c>
      <c r="C3168" s="5">
        <v>1463.0</v>
      </c>
      <c r="D3168" s="3">
        <f>IFERROR(__xludf.DUMMYFUNCTION("IFERROR(
IF(REGEXMATCH(LOWER(O3168),""k""),
VALUE(REGEXEXTRACT(O3168,""[0-9]+""))*1000,
VALUE(REGEXEXTRACT(O3168,""[0-9]+""))
),
0
)"),0.0)</f>
        <v>0</v>
      </c>
      <c r="E3168" s="1" t="s">
        <v>11</v>
      </c>
      <c r="F3168" s="1" t="s">
        <v>12</v>
      </c>
      <c r="G3168" s="4" t="b">
        <f t="shared" si="2"/>
        <v>1</v>
      </c>
      <c r="H3168" s="1" t="str">
        <f t="shared" si="3"/>
        <v>Currently Unavailable</v>
      </c>
      <c r="I3168" s="1" t="str">
        <f t="shared" si="4"/>
        <v>No Badges</v>
      </c>
      <c r="J3168" s="3">
        <f t="shared" si="5"/>
        <v>0</v>
      </c>
    </row>
    <row r="3169">
      <c r="A3169" s="1" t="s">
        <v>2133</v>
      </c>
      <c r="B3169" s="3" t="str">
        <f t="shared" si="1"/>
        <v>Unavailable</v>
      </c>
      <c r="C3169" s="5">
        <v>1463.0</v>
      </c>
      <c r="D3169" s="3">
        <f>IFERROR(__xludf.DUMMYFUNCTION("IFERROR(
IF(REGEXMATCH(LOWER(O3169),""k""),
VALUE(REGEXEXTRACT(O3169,""[0-9]+""))*1000,
VALUE(REGEXEXTRACT(O3169,""[0-9]+""))
),
0
)"),0.0)</f>
        <v>0</v>
      </c>
      <c r="E3169" s="1" t="s">
        <v>11</v>
      </c>
      <c r="F3169" s="1" t="s">
        <v>12</v>
      </c>
      <c r="G3169" s="4" t="b">
        <f t="shared" si="2"/>
        <v>1</v>
      </c>
      <c r="H3169" s="1" t="str">
        <f t="shared" si="3"/>
        <v>Currently Unavailable</v>
      </c>
      <c r="I3169" s="1" t="str">
        <f t="shared" si="4"/>
        <v>No Badges</v>
      </c>
      <c r="J3169" s="3">
        <f t="shared" si="5"/>
        <v>0</v>
      </c>
    </row>
    <row r="3170">
      <c r="A3170" s="1" t="s">
        <v>2133</v>
      </c>
      <c r="B3170" s="3" t="str">
        <f t="shared" si="1"/>
        <v>Unavailable</v>
      </c>
      <c r="C3170" s="5">
        <v>1463.0</v>
      </c>
      <c r="D3170" s="3">
        <f>IFERROR(__xludf.DUMMYFUNCTION("IFERROR(
IF(REGEXMATCH(LOWER(O3170),""k""),
VALUE(REGEXEXTRACT(O3170,""[0-9]+""))*1000,
VALUE(REGEXEXTRACT(O3170,""[0-9]+""))
),
0
)"),0.0)</f>
        <v>0</v>
      </c>
      <c r="E3170" s="1" t="s">
        <v>11</v>
      </c>
      <c r="F3170" s="1" t="s">
        <v>12</v>
      </c>
      <c r="G3170" s="4" t="b">
        <f t="shared" si="2"/>
        <v>1</v>
      </c>
      <c r="H3170" s="1" t="str">
        <f t="shared" si="3"/>
        <v>Currently Unavailable</v>
      </c>
      <c r="I3170" s="1" t="str">
        <f t="shared" si="4"/>
        <v>No Badges</v>
      </c>
      <c r="J3170" s="3">
        <f t="shared" si="5"/>
        <v>0</v>
      </c>
    </row>
    <row r="3171">
      <c r="A3171" s="1" t="s">
        <v>2133</v>
      </c>
      <c r="B3171" s="3" t="str">
        <f t="shared" si="1"/>
        <v>Unavailable</v>
      </c>
      <c r="C3171" s="5">
        <v>1463.0</v>
      </c>
      <c r="D3171" s="3">
        <f>IFERROR(__xludf.DUMMYFUNCTION("IFERROR(
IF(REGEXMATCH(LOWER(O3171),""k""),
VALUE(REGEXEXTRACT(O3171,""[0-9]+""))*1000,
VALUE(REGEXEXTRACT(O3171,""[0-9]+""))
),
0
)"),0.0)</f>
        <v>0</v>
      </c>
      <c r="E3171" s="1" t="s">
        <v>11</v>
      </c>
      <c r="F3171" s="1" t="s">
        <v>12</v>
      </c>
      <c r="G3171" s="4" t="b">
        <f t="shared" si="2"/>
        <v>1</v>
      </c>
      <c r="H3171" s="1" t="str">
        <f t="shared" si="3"/>
        <v>Currently Unavailable</v>
      </c>
      <c r="I3171" s="1" t="str">
        <f t="shared" si="4"/>
        <v>No Badges</v>
      </c>
      <c r="J3171" s="3">
        <f t="shared" si="5"/>
        <v>0</v>
      </c>
    </row>
    <row r="3172">
      <c r="A3172" s="1" t="s">
        <v>2348</v>
      </c>
      <c r="B3172" s="3" t="str">
        <f t="shared" si="1"/>
        <v>Unavailable</v>
      </c>
      <c r="C3172" s="5">
        <v>2860.0</v>
      </c>
      <c r="D3172" s="3">
        <f>IFERROR(__xludf.DUMMYFUNCTION("IFERROR(
IF(REGEXMATCH(LOWER(O3172),""k""),
VALUE(REGEXEXTRACT(O3172,""[0-9]+""))*1000,
VALUE(REGEXEXTRACT(O3172,""[0-9]+""))
),
0
)"),0.0)</f>
        <v>0</v>
      </c>
      <c r="E3172" s="1" t="s">
        <v>11</v>
      </c>
      <c r="F3172" s="1" t="s">
        <v>20</v>
      </c>
      <c r="G3172" s="4" t="b">
        <f t="shared" si="2"/>
        <v>1</v>
      </c>
      <c r="H3172" s="1" t="str">
        <f t="shared" si="3"/>
        <v>Currently Unavailable</v>
      </c>
      <c r="I3172" s="1" t="str">
        <f t="shared" si="4"/>
        <v>No Badges</v>
      </c>
      <c r="J3172" s="3">
        <f t="shared" si="5"/>
        <v>0</v>
      </c>
    </row>
    <row r="3173">
      <c r="A3173" s="1" t="s">
        <v>2133</v>
      </c>
      <c r="B3173" s="3" t="str">
        <f t="shared" si="1"/>
        <v>Unavailable</v>
      </c>
      <c r="C3173" s="5">
        <v>1463.0</v>
      </c>
      <c r="D3173" s="3">
        <f>IFERROR(__xludf.DUMMYFUNCTION("IFERROR(
IF(REGEXMATCH(LOWER(O3173),""k""),
VALUE(REGEXEXTRACT(O3173,""[0-9]+""))*1000,
VALUE(REGEXEXTRACT(O3173,""[0-9]+""))
),
0
)"),0.0)</f>
        <v>0</v>
      </c>
      <c r="E3173" s="1" t="s">
        <v>11</v>
      </c>
      <c r="F3173" s="1" t="s">
        <v>12</v>
      </c>
      <c r="G3173" s="4" t="b">
        <f t="shared" si="2"/>
        <v>1</v>
      </c>
      <c r="H3173" s="1" t="str">
        <f t="shared" si="3"/>
        <v>Currently Unavailable</v>
      </c>
      <c r="I3173" s="1" t="str">
        <f t="shared" si="4"/>
        <v>No Badges</v>
      </c>
      <c r="J3173" s="3">
        <f t="shared" si="5"/>
        <v>0</v>
      </c>
    </row>
    <row r="3174">
      <c r="A3174" s="1" t="s">
        <v>2133</v>
      </c>
      <c r="B3174" s="3" t="str">
        <f t="shared" si="1"/>
        <v>Unavailable</v>
      </c>
      <c r="C3174" s="5">
        <v>1463.0</v>
      </c>
      <c r="D3174" s="3">
        <f>IFERROR(__xludf.DUMMYFUNCTION("IFERROR(
IF(REGEXMATCH(LOWER(O3174),""k""),
VALUE(REGEXEXTRACT(O3174,""[0-9]+""))*1000,
VALUE(REGEXEXTRACT(O3174,""[0-9]+""))
),
0
)"),0.0)</f>
        <v>0</v>
      </c>
      <c r="E3174" s="1" t="s">
        <v>11</v>
      </c>
      <c r="F3174" s="1" t="s">
        <v>12</v>
      </c>
      <c r="G3174" s="4" t="b">
        <f t="shared" si="2"/>
        <v>1</v>
      </c>
      <c r="H3174" s="1" t="str">
        <f t="shared" si="3"/>
        <v>Currently Unavailable</v>
      </c>
      <c r="I3174" s="1" t="str">
        <f t="shared" si="4"/>
        <v>No Badges</v>
      </c>
      <c r="J3174" s="3">
        <f t="shared" si="5"/>
        <v>0</v>
      </c>
    </row>
    <row r="3175">
      <c r="A3175" s="1" t="s">
        <v>2349</v>
      </c>
      <c r="B3175" s="3" t="str">
        <f t="shared" si="1"/>
        <v>Unavailable</v>
      </c>
      <c r="C3175" s="5">
        <v>2890.0</v>
      </c>
      <c r="D3175" s="3">
        <f>IFERROR(__xludf.DUMMYFUNCTION("IFERROR(
IF(REGEXMATCH(LOWER(O3175),""k""),
VALUE(REGEXEXTRACT(O3175,""[0-9]+""))*1000,
VALUE(REGEXEXTRACT(O3175,""[0-9]+""))
),
0
)"),0.0)</f>
        <v>0</v>
      </c>
      <c r="E3175" s="1" t="s">
        <v>11</v>
      </c>
      <c r="F3175" s="1" t="s">
        <v>20</v>
      </c>
      <c r="G3175" s="4" t="b">
        <f t="shared" si="2"/>
        <v>1</v>
      </c>
      <c r="H3175" s="1" t="str">
        <f t="shared" si="3"/>
        <v>Currently Unavailable</v>
      </c>
      <c r="I3175" s="1" t="str">
        <f t="shared" si="4"/>
        <v>No Badges</v>
      </c>
      <c r="J3175" s="3">
        <f t="shared" si="5"/>
        <v>0</v>
      </c>
    </row>
    <row r="3176">
      <c r="A3176" s="1" t="s">
        <v>67</v>
      </c>
      <c r="B3176" s="3" t="str">
        <f t="shared" si="1"/>
        <v>Unavailable</v>
      </c>
      <c r="C3176" s="3">
        <v>264.0</v>
      </c>
      <c r="D3176" s="3">
        <f>IFERROR(__xludf.DUMMYFUNCTION("IFERROR(
IF(REGEXMATCH(LOWER(O3176),""k""),
VALUE(REGEXEXTRACT(O3176,""[0-9]+""))*1000,
VALUE(REGEXEXTRACT(O3176,""[0-9]+""))
),
0
)"),0.0)</f>
        <v>0</v>
      </c>
      <c r="E3176" s="1" t="s">
        <v>11</v>
      </c>
      <c r="F3176" s="1" t="s">
        <v>12</v>
      </c>
      <c r="G3176" s="4" t="b">
        <f t="shared" si="2"/>
        <v>1</v>
      </c>
      <c r="H3176" s="1" t="str">
        <f t="shared" si="3"/>
        <v>Currently Unavailable</v>
      </c>
      <c r="I3176" s="1" t="str">
        <f t="shared" si="4"/>
        <v>No Badges</v>
      </c>
      <c r="J3176" s="3">
        <f t="shared" si="5"/>
        <v>0</v>
      </c>
    </row>
    <row r="3177">
      <c r="A3177" s="1" t="s">
        <v>2133</v>
      </c>
      <c r="B3177" s="3" t="str">
        <f t="shared" si="1"/>
        <v>Unavailable</v>
      </c>
      <c r="C3177" s="5">
        <v>1463.0</v>
      </c>
      <c r="D3177" s="3">
        <f>IFERROR(__xludf.DUMMYFUNCTION("IFERROR(
IF(REGEXMATCH(LOWER(O3177),""k""),
VALUE(REGEXEXTRACT(O3177,""[0-9]+""))*1000,
VALUE(REGEXEXTRACT(O3177,""[0-9]+""))
),
0
)"),0.0)</f>
        <v>0</v>
      </c>
      <c r="E3177" s="1" t="s">
        <v>11</v>
      </c>
      <c r="F3177" s="1" t="s">
        <v>12</v>
      </c>
      <c r="G3177" s="4" t="b">
        <f t="shared" si="2"/>
        <v>1</v>
      </c>
      <c r="H3177" s="1" t="str">
        <f t="shared" si="3"/>
        <v>Currently Unavailable</v>
      </c>
      <c r="I3177" s="1" t="str">
        <f t="shared" si="4"/>
        <v>No Badges</v>
      </c>
      <c r="J3177" s="3">
        <f t="shared" si="5"/>
        <v>0</v>
      </c>
    </row>
    <row r="3178">
      <c r="A3178" s="1" t="s">
        <v>701</v>
      </c>
      <c r="B3178" s="3" t="str">
        <f t="shared" si="1"/>
        <v>Unavailable</v>
      </c>
      <c r="C3178" s="3">
        <v>8.0</v>
      </c>
      <c r="D3178" s="3">
        <f>IFERROR(__xludf.DUMMYFUNCTION("IFERROR(
IF(REGEXMATCH(LOWER(O3178),""k""),
VALUE(REGEXEXTRACT(O3178,""[0-9]+""))*1000,
VALUE(REGEXEXTRACT(O3178,""[0-9]+""))
),
0
)"),0.0)</f>
        <v>0</v>
      </c>
      <c r="E3178" s="1" t="s">
        <v>11</v>
      </c>
      <c r="F3178" s="1" t="s">
        <v>12</v>
      </c>
      <c r="G3178" s="4" t="b">
        <f t="shared" si="2"/>
        <v>1</v>
      </c>
      <c r="H3178" s="1" t="str">
        <f t="shared" si="3"/>
        <v>Currently Unavailable</v>
      </c>
      <c r="I3178" s="1" t="str">
        <f t="shared" si="4"/>
        <v>No Badges</v>
      </c>
      <c r="J3178" s="3">
        <f t="shared" si="5"/>
        <v>0</v>
      </c>
    </row>
    <row r="3179">
      <c r="A3179" s="1" t="s">
        <v>2350</v>
      </c>
      <c r="B3179" s="3" t="str">
        <f t="shared" si="1"/>
        <v>Unavailable</v>
      </c>
      <c r="C3179" s="3">
        <v>154.0</v>
      </c>
      <c r="D3179" s="3">
        <f>IFERROR(__xludf.DUMMYFUNCTION("IFERROR(
IF(REGEXMATCH(LOWER(O3179),""k""),
VALUE(REGEXEXTRACT(O3179,""[0-9]+""))*1000,
VALUE(REGEXEXTRACT(O3179,""[0-9]+""))
),
0
)"),0.0)</f>
        <v>0</v>
      </c>
      <c r="E3179" s="1" t="s">
        <v>11</v>
      </c>
      <c r="F3179" s="1" t="s">
        <v>12</v>
      </c>
      <c r="G3179" s="4" t="b">
        <f t="shared" si="2"/>
        <v>1</v>
      </c>
      <c r="H3179" s="1" t="str">
        <f t="shared" si="3"/>
        <v>Currently Unavailable</v>
      </c>
      <c r="I3179" s="1" t="str">
        <f t="shared" si="4"/>
        <v>No Badges</v>
      </c>
      <c r="J3179" s="3">
        <f t="shared" si="5"/>
        <v>0</v>
      </c>
    </row>
    <row r="3180">
      <c r="A3180" s="1" t="s">
        <v>2351</v>
      </c>
      <c r="B3180" s="3" t="str">
        <f t="shared" si="1"/>
        <v>Unavailable</v>
      </c>
      <c r="C3180" s="3">
        <v>198.0</v>
      </c>
      <c r="D3180" s="3">
        <f>IFERROR(__xludf.DUMMYFUNCTION("IFERROR(
IF(REGEXMATCH(LOWER(O3180),""k""),
VALUE(REGEXEXTRACT(O3180,""[0-9]+""))*1000,
VALUE(REGEXEXTRACT(O3180,""[0-9]+""))
),
0
)"),0.0)</f>
        <v>0</v>
      </c>
      <c r="E3180" s="1" t="s">
        <v>11</v>
      </c>
      <c r="F3180" s="1" t="s">
        <v>12</v>
      </c>
      <c r="G3180" s="4" t="b">
        <f t="shared" si="2"/>
        <v>1</v>
      </c>
      <c r="H3180" s="1" t="str">
        <f t="shared" si="3"/>
        <v>Currently Unavailable</v>
      </c>
      <c r="I3180" s="1" t="str">
        <f t="shared" si="4"/>
        <v>No Badges</v>
      </c>
      <c r="J3180" s="3">
        <f t="shared" si="5"/>
        <v>0</v>
      </c>
    </row>
    <row r="3181">
      <c r="A3181" s="1" t="s">
        <v>2352</v>
      </c>
      <c r="B3181" s="3" t="str">
        <f t="shared" si="1"/>
        <v>Unavailable</v>
      </c>
      <c r="C3181" s="3">
        <v>196.0</v>
      </c>
      <c r="D3181" s="3">
        <f>IFERROR(__xludf.DUMMYFUNCTION("IFERROR(
IF(REGEXMATCH(LOWER(O3181),""k""),
VALUE(REGEXEXTRACT(O3181,""[0-9]+""))*1000,
VALUE(REGEXEXTRACT(O3181,""[0-9]+""))
),
0
)"),0.0)</f>
        <v>0</v>
      </c>
      <c r="E3181" s="1" t="s">
        <v>11</v>
      </c>
      <c r="F3181" s="1" t="s">
        <v>12</v>
      </c>
      <c r="G3181" s="4" t="b">
        <f t="shared" si="2"/>
        <v>1</v>
      </c>
      <c r="H3181" s="1" t="str">
        <f t="shared" si="3"/>
        <v>Currently Unavailable</v>
      </c>
      <c r="I3181" s="1" t="str">
        <f t="shared" si="4"/>
        <v>No Badges</v>
      </c>
      <c r="J3181" s="3">
        <f t="shared" si="5"/>
        <v>0</v>
      </c>
    </row>
    <row r="3182">
      <c r="A3182" s="1" t="s">
        <v>2352</v>
      </c>
      <c r="B3182" s="3" t="str">
        <f t="shared" si="1"/>
        <v>Unavailable</v>
      </c>
      <c r="C3182" s="3">
        <v>196.0</v>
      </c>
      <c r="D3182" s="3">
        <f>IFERROR(__xludf.DUMMYFUNCTION("IFERROR(
IF(REGEXMATCH(LOWER(O3182),""k""),
VALUE(REGEXEXTRACT(O3182,""[0-9]+""))*1000,
VALUE(REGEXEXTRACT(O3182,""[0-9]+""))
),
0
)"),0.0)</f>
        <v>0</v>
      </c>
      <c r="E3182" s="1" t="s">
        <v>18</v>
      </c>
      <c r="F3182" s="1" t="s">
        <v>12</v>
      </c>
      <c r="G3182" s="4" t="b">
        <f t="shared" si="2"/>
        <v>1</v>
      </c>
      <c r="H3182" s="1" t="str">
        <f t="shared" si="3"/>
        <v>Currently Unavailable</v>
      </c>
      <c r="I3182" s="1" t="str">
        <f t="shared" si="4"/>
        <v>No Badges</v>
      </c>
      <c r="J3182" s="3">
        <f t="shared" si="5"/>
        <v>0</v>
      </c>
    </row>
    <row r="3183">
      <c r="A3183" s="1" t="s">
        <v>2353</v>
      </c>
      <c r="B3183" s="3" t="str">
        <f t="shared" si="1"/>
        <v>Unavailable</v>
      </c>
      <c r="C3183" s="3">
        <v>128.0</v>
      </c>
      <c r="D3183" s="3">
        <f>IFERROR(__xludf.DUMMYFUNCTION("IFERROR(
IF(REGEXMATCH(LOWER(O3183),""k""),
VALUE(REGEXEXTRACT(O3183,""[0-9]+""))*1000,
VALUE(REGEXEXTRACT(O3183,""[0-9]+""))
),
0
)"),0.0)</f>
        <v>0</v>
      </c>
      <c r="E3183" s="1" t="s">
        <v>11</v>
      </c>
      <c r="F3183" s="1" t="s">
        <v>12</v>
      </c>
      <c r="G3183" s="4" t="b">
        <f t="shared" si="2"/>
        <v>1</v>
      </c>
      <c r="H3183" s="1" t="str">
        <f t="shared" si="3"/>
        <v>Currently Unavailable</v>
      </c>
      <c r="I3183" s="1" t="str">
        <f t="shared" si="4"/>
        <v>No Badges</v>
      </c>
      <c r="J3183" s="3">
        <f t="shared" si="5"/>
        <v>0</v>
      </c>
    </row>
    <row r="3184">
      <c r="A3184" s="1" t="s">
        <v>2352</v>
      </c>
      <c r="B3184" s="3" t="str">
        <f t="shared" si="1"/>
        <v>Unavailable</v>
      </c>
      <c r="C3184" s="3">
        <v>196.0</v>
      </c>
      <c r="D3184" s="3">
        <f>IFERROR(__xludf.DUMMYFUNCTION("IFERROR(
IF(REGEXMATCH(LOWER(O3184),""k""),
VALUE(REGEXEXTRACT(O3184,""[0-9]+""))*1000,
VALUE(REGEXEXTRACT(O3184,""[0-9]+""))
),
0
)"),0.0)</f>
        <v>0</v>
      </c>
      <c r="E3184" s="1" t="s">
        <v>11</v>
      </c>
      <c r="F3184" s="1" t="s">
        <v>12</v>
      </c>
      <c r="G3184" s="4" t="b">
        <f t="shared" si="2"/>
        <v>1</v>
      </c>
      <c r="H3184" s="1" t="str">
        <f t="shared" si="3"/>
        <v>Currently Unavailable</v>
      </c>
      <c r="I3184" s="1" t="str">
        <f t="shared" si="4"/>
        <v>No Badges</v>
      </c>
      <c r="J3184" s="3">
        <f t="shared" si="5"/>
        <v>0</v>
      </c>
    </row>
    <row r="3185">
      <c r="A3185" s="1" t="s">
        <v>2352</v>
      </c>
      <c r="B3185" s="3" t="str">
        <f t="shared" si="1"/>
        <v>Unavailable</v>
      </c>
      <c r="C3185" s="3">
        <v>196.0</v>
      </c>
      <c r="D3185" s="3">
        <f>IFERROR(__xludf.DUMMYFUNCTION("IFERROR(
IF(REGEXMATCH(LOWER(O3185),""k""),
VALUE(REGEXEXTRACT(O3185,""[0-9]+""))*1000,
VALUE(REGEXEXTRACT(O3185,""[0-9]+""))
),
0
)"),0.0)</f>
        <v>0</v>
      </c>
      <c r="E3185" s="1" t="s">
        <v>11</v>
      </c>
      <c r="F3185" s="1" t="s">
        <v>12</v>
      </c>
      <c r="G3185" s="4" t="b">
        <f t="shared" si="2"/>
        <v>1</v>
      </c>
      <c r="H3185" s="1" t="str">
        <f t="shared" si="3"/>
        <v>Currently Unavailable</v>
      </c>
      <c r="I3185" s="1" t="str">
        <f t="shared" si="4"/>
        <v>No Badges</v>
      </c>
      <c r="J3185" s="3">
        <f t="shared" si="5"/>
        <v>0</v>
      </c>
    </row>
    <row r="3186">
      <c r="A3186" s="1" t="s">
        <v>2354</v>
      </c>
      <c r="B3186" s="3" t="str">
        <f t="shared" si="1"/>
        <v>Unavailable</v>
      </c>
      <c r="C3186" s="5">
        <v>1878.0</v>
      </c>
      <c r="D3186" s="3">
        <f>IFERROR(__xludf.DUMMYFUNCTION("IFERROR(
IF(REGEXMATCH(LOWER(O3186),""k""),
VALUE(REGEXEXTRACT(O3186,""[0-9]+""))*1000,
VALUE(REGEXEXTRACT(O3186,""[0-9]+""))
),
0
)"),0.0)</f>
        <v>0</v>
      </c>
      <c r="E3186" s="1" t="s">
        <v>11</v>
      </c>
      <c r="F3186" s="1" t="s">
        <v>12</v>
      </c>
      <c r="G3186" s="4" t="b">
        <f t="shared" si="2"/>
        <v>1</v>
      </c>
      <c r="H3186" s="1" t="str">
        <f t="shared" si="3"/>
        <v>Currently Unavailable</v>
      </c>
      <c r="I3186" s="1" t="str">
        <f t="shared" si="4"/>
        <v>No Badges</v>
      </c>
      <c r="J3186" s="3">
        <f t="shared" si="5"/>
        <v>0</v>
      </c>
    </row>
    <row r="3187">
      <c r="A3187" s="1" t="s">
        <v>2355</v>
      </c>
      <c r="B3187" s="3" t="str">
        <f t="shared" si="1"/>
        <v>Unavailable</v>
      </c>
      <c r="C3187" s="3">
        <v>110.0</v>
      </c>
      <c r="D3187" s="3">
        <f>IFERROR(__xludf.DUMMYFUNCTION("IFERROR(
IF(REGEXMATCH(LOWER(O3187),""k""),
VALUE(REGEXEXTRACT(O3187,""[0-9]+""))*1000,
VALUE(REGEXEXTRACT(O3187,""[0-9]+""))
),
0
)"),0.0)</f>
        <v>0</v>
      </c>
      <c r="E3187" s="1" t="s">
        <v>11</v>
      </c>
      <c r="F3187" s="1" t="s">
        <v>20</v>
      </c>
      <c r="G3187" s="4" t="b">
        <f t="shared" si="2"/>
        <v>1</v>
      </c>
      <c r="H3187" s="1" t="str">
        <f t="shared" si="3"/>
        <v>Currently Unavailable</v>
      </c>
      <c r="I3187" s="1" t="str">
        <f t="shared" si="4"/>
        <v>No Badges</v>
      </c>
      <c r="J3187" s="3">
        <f t="shared" si="5"/>
        <v>0</v>
      </c>
    </row>
    <row r="3188">
      <c r="A3188" s="1" t="s">
        <v>2356</v>
      </c>
      <c r="B3188" s="3" t="str">
        <f t="shared" si="1"/>
        <v>Unavailable</v>
      </c>
      <c r="C3188" s="5">
        <v>1139.0</v>
      </c>
      <c r="D3188" s="3">
        <f>IFERROR(__xludf.DUMMYFUNCTION("IFERROR(
IF(REGEXMATCH(LOWER(O3188),""k""),
VALUE(REGEXEXTRACT(O3188,""[0-9]+""))*1000,
VALUE(REGEXEXTRACT(O3188,""[0-9]+""))
),
0
)"),0.0)</f>
        <v>0</v>
      </c>
      <c r="E3188" s="1" t="s">
        <v>11</v>
      </c>
      <c r="F3188" s="1" t="s">
        <v>20</v>
      </c>
      <c r="G3188" s="4" t="b">
        <f t="shared" si="2"/>
        <v>1</v>
      </c>
      <c r="H3188" s="1" t="str">
        <f t="shared" si="3"/>
        <v>Currently Unavailable</v>
      </c>
      <c r="I3188" s="1" t="str">
        <f t="shared" si="4"/>
        <v>No Badges</v>
      </c>
      <c r="J3188" s="3">
        <f t="shared" si="5"/>
        <v>0</v>
      </c>
    </row>
    <row r="3189">
      <c r="A3189" s="1" t="s">
        <v>2354</v>
      </c>
      <c r="B3189" s="3" t="str">
        <f t="shared" si="1"/>
        <v>Unavailable</v>
      </c>
      <c r="C3189" s="5">
        <v>1878.0</v>
      </c>
      <c r="D3189" s="3">
        <f>IFERROR(__xludf.DUMMYFUNCTION("IFERROR(
IF(REGEXMATCH(LOWER(O3189),""k""),
VALUE(REGEXEXTRACT(O3189,""[0-9]+""))*1000,
VALUE(REGEXEXTRACT(O3189,""[0-9]+""))
),
0
)"),0.0)</f>
        <v>0</v>
      </c>
      <c r="E3189" s="1" t="s">
        <v>11</v>
      </c>
      <c r="F3189" s="1" t="s">
        <v>12</v>
      </c>
      <c r="G3189" s="4" t="b">
        <f t="shared" si="2"/>
        <v>1</v>
      </c>
      <c r="H3189" s="1" t="str">
        <f t="shared" si="3"/>
        <v>Currently Unavailable</v>
      </c>
      <c r="I3189" s="1" t="str">
        <f t="shared" si="4"/>
        <v>No Badges</v>
      </c>
      <c r="J3189" s="3">
        <f t="shared" si="5"/>
        <v>0</v>
      </c>
    </row>
    <row r="3190">
      <c r="A3190" s="1" t="s">
        <v>2357</v>
      </c>
      <c r="B3190" s="3" t="str">
        <f t="shared" si="1"/>
        <v>Unavailable</v>
      </c>
      <c r="C3190" s="3">
        <v>74.0</v>
      </c>
      <c r="D3190" s="3">
        <f>IFERROR(__xludf.DUMMYFUNCTION("IFERROR(
IF(REGEXMATCH(LOWER(O3190),""k""),
VALUE(REGEXEXTRACT(O3190,""[0-9]+""))*1000,
VALUE(REGEXEXTRACT(O3190,""[0-9]+""))
),
0
)"),0.0)</f>
        <v>0</v>
      </c>
      <c r="E3190" s="1" t="s">
        <v>11</v>
      </c>
      <c r="F3190" s="1" t="s">
        <v>12</v>
      </c>
      <c r="G3190" s="4" t="b">
        <f t="shared" si="2"/>
        <v>1</v>
      </c>
      <c r="H3190" s="1" t="str">
        <f t="shared" si="3"/>
        <v>Currently Unavailable</v>
      </c>
      <c r="I3190" s="1" t="str">
        <f t="shared" si="4"/>
        <v>No Badges</v>
      </c>
      <c r="J3190" s="3">
        <f t="shared" si="5"/>
        <v>0</v>
      </c>
    </row>
    <row r="3191">
      <c r="A3191" s="1" t="s">
        <v>2358</v>
      </c>
      <c r="B3191" s="3" t="str">
        <f t="shared" si="1"/>
        <v>Unavailable</v>
      </c>
      <c r="C3191" s="3">
        <v>21.0</v>
      </c>
      <c r="D3191" s="3">
        <f>IFERROR(__xludf.DUMMYFUNCTION("IFERROR(
IF(REGEXMATCH(LOWER(O3191),""k""),
VALUE(REGEXEXTRACT(O3191,""[0-9]+""))*1000,
VALUE(REGEXEXTRACT(O3191,""[0-9]+""))
),
0
)"),0.0)</f>
        <v>0</v>
      </c>
      <c r="E3191" s="1" t="s">
        <v>11</v>
      </c>
      <c r="F3191" s="1" t="s">
        <v>20</v>
      </c>
      <c r="G3191" s="4" t="b">
        <f t="shared" si="2"/>
        <v>1</v>
      </c>
      <c r="H3191" s="1" t="str">
        <f t="shared" si="3"/>
        <v>Currently Unavailable</v>
      </c>
      <c r="I3191" s="1" t="str">
        <f t="shared" si="4"/>
        <v>No Badges</v>
      </c>
      <c r="J3191" s="3">
        <f t="shared" si="5"/>
        <v>0</v>
      </c>
    </row>
    <row r="3192">
      <c r="A3192" s="1" t="s">
        <v>88</v>
      </c>
      <c r="B3192" s="3" t="str">
        <f t="shared" si="1"/>
        <v>Unavailable</v>
      </c>
      <c r="C3192" s="3">
        <v>5.0</v>
      </c>
      <c r="D3192" s="3">
        <f>IFERROR(__xludf.DUMMYFUNCTION("IFERROR(
IF(REGEXMATCH(LOWER(O3192),""k""),
VALUE(REGEXEXTRACT(O3192,""[0-9]+""))*1000,
VALUE(REGEXEXTRACT(O3192,""[0-9]+""))
),
0
)"),0.0)</f>
        <v>0</v>
      </c>
      <c r="E3192" s="1" t="s">
        <v>11</v>
      </c>
      <c r="F3192" s="1" t="s">
        <v>12</v>
      </c>
      <c r="G3192" s="4" t="b">
        <f t="shared" si="2"/>
        <v>1</v>
      </c>
      <c r="H3192" s="1" t="str">
        <f t="shared" si="3"/>
        <v>Currently Unavailable</v>
      </c>
      <c r="I3192" s="1" t="str">
        <f t="shared" si="4"/>
        <v>No Badges</v>
      </c>
      <c r="J3192" s="3">
        <f t="shared" si="5"/>
        <v>0</v>
      </c>
    </row>
    <row r="3193">
      <c r="A3193" s="1" t="s">
        <v>2359</v>
      </c>
      <c r="B3193" s="3" t="str">
        <f t="shared" si="1"/>
        <v>Unavailable</v>
      </c>
      <c r="C3193" s="3">
        <v>544.0</v>
      </c>
      <c r="D3193" s="3">
        <f>IFERROR(__xludf.DUMMYFUNCTION("IFERROR(
IF(REGEXMATCH(LOWER(O3193),""k""),
VALUE(REGEXEXTRACT(O3193,""[0-9]+""))*1000,
VALUE(REGEXEXTRACT(O3193,""[0-9]+""))
),
0
)"),0.0)</f>
        <v>0</v>
      </c>
      <c r="E3193" s="1" t="s">
        <v>11</v>
      </c>
      <c r="F3193" s="1" t="s">
        <v>20</v>
      </c>
      <c r="G3193" s="4" t="b">
        <f t="shared" si="2"/>
        <v>1</v>
      </c>
      <c r="H3193" s="1" t="str">
        <f t="shared" si="3"/>
        <v>Currently Unavailable</v>
      </c>
      <c r="I3193" s="1" t="str">
        <f t="shared" si="4"/>
        <v>No Badges</v>
      </c>
      <c r="J3193" s="6">
        <f t="shared" si="5"/>
        <v>0</v>
      </c>
    </row>
    <row r="3194">
      <c r="A3194" s="1" t="s">
        <v>2360</v>
      </c>
      <c r="B3194" s="3" t="str">
        <f t="shared" si="1"/>
        <v>Unavailable</v>
      </c>
      <c r="C3194" s="3">
        <v>44.0</v>
      </c>
      <c r="D3194" s="3">
        <f>IFERROR(__xludf.DUMMYFUNCTION("IFERROR(
IF(REGEXMATCH(LOWER(O3194),""k""),
VALUE(REGEXEXTRACT(O3194,""[0-9]+""))*1000,
VALUE(REGEXEXTRACT(O3194,""[0-9]+""))
),
0
)"),0.0)</f>
        <v>0</v>
      </c>
      <c r="E3194" s="1" t="s">
        <v>11</v>
      </c>
      <c r="F3194" s="1" t="s">
        <v>20</v>
      </c>
      <c r="G3194" s="4" t="b">
        <f t="shared" si="2"/>
        <v>1</v>
      </c>
      <c r="H3194" s="1" t="str">
        <f t="shared" si="3"/>
        <v>Currently Unavailable</v>
      </c>
      <c r="I3194" s="1" t="str">
        <f t="shared" si="4"/>
        <v>No Badges</v>
      </c>
      <c r="J3194" s="6">
        <f t="shared" si="5"/>
        <v>0</v>
      </c>
    </row>
    <row r="3195">
      <c r="A3195" s="1" t="s">
        <v>2361</v>
      </c>
      <c r="B3195" s="3" t="str">
        <f t="shared" si="1"/>
        <v>Unavailable</v>
      </c>
      <c r="C3195" s="3">
        <v>375.0</v>
      </c>
      <c r="D3195" s="3">
        <f>IFERROR(__xludf.DUMMYFUNCTION("IFERROR(
IF(REGEXMATCH(LOWER(O3195),""k""),
VALUE(REGEXEXTRACT(O3195,""[0-9]+""))*1000,
VALUE(REGEXEXTRACT(O3195,""[0-9]+""))
),
0
)"),0.0)</f>
        <v>0</v>
      </c>
      <c r="E3195" s="1" t="s">
        <v>11</v>
      </c>
      <c r="F3195" s="1" t="s">
        <v>20</v>
      </c>
      <c r="G3195" s="4" t="b">
        <f t="shared" si="2"/>
        <v>1</v>
      </c>
      <c r="H3195" s="1" t="str">
        <f t="shared" si="3"/>
        <v>Currently Unavailable</v>
      </c>
      <c r="I3195" s="1" t="str">
        <f t="shared" si="4"/>
        <v>No Badges</v>
      </c>
      <c r="J3195" s="3">
        <f t="shared" si="5"/>
        <v>0</v>
      </c>
    </row>
    <row r="3196">
      <c r="A3196" s="1" t="s">
        <v>69</v>
      </c>
      <c r="B3196" s="3" t="str">
        <f t="shared" si="1"/>
        <v>Unavailable</v>
      </c>
      <c r="C3196" s="3">
        <v>45.0</v>
      </c>
      <c r="D3196" s="3">
        <f>IFERROR(__xludf.DUMMYFUNCTION("IFERROR(
IF(REGEXMATCH(LOWER(O3196),""k""),
VALUE(REGEXEXTRACT(O3196,""[0-9]+""))*1000,
VALUE(REGEXEXTRACT(O3196,""[0-9]+""))
),
0
)"),0.0)</f>
        <v>0</v>
      </c>
      <c r="E3196" s="1" t="s">
        <v>11</v>
      </c>
      <c r="F3196" s="1" t="s">
        <v>12</v>
      </c>
      <c r="G3196" s="4" t="b">
        <f t="shared" si="2"/>
        <v>1</v>
      </c>
      <c r="H3196" s="1" t="str">
        <f t="shared" si="3"/>
        <v>Currently Unavailable</v>
      </c>
      <c r="I3196" s="1" t="str">
        <f t="shared" si="4"/>
        <v>No Badges</v>
      </c>
      <c r="J3196" s="3">
        <f t="shared" si="5"/>
        <v>0</v>
      </c>
    </row>
    <row r="3197">
      <c r="A3197" s="1" t="s">
        <v>2352</v>
      </c>
      <c r="B3197" s="3" t="str">
        <f t="shared" si="1"/>
        <v>Unavailable</v>
      </c>
      <c r="C3197" s="3">
        <v>196.0</v>
      </c>
      <c r="D3197" s="3">
        <f>IFERROR(__xludf.DUMMYFUNCTION("IFERROR(
IF(REGEXMATCH(LOWER(O3197),""k""),
VALUE(REGEXEXTRACT(O3197,""[0-9]+""))*1000,
VALUE(REGEXEXTRACT(O3197,""[0-9]+""))
),
0
)"),0.0)</f>
        <v>0</v>
      </c>
      <c r="E3197" s="1" t="s">
        <v>11</v>
      </c>
      <c r="F3197" s="1" t="s">
        <v>12</v>
      </c>
      <c r="G3197" s="4" t="b">
        <f t="shared" si="2"/>
        <v>1</v>
      </c>
      <c r="H3197" s="1" t="str">
        <f t="shared" si="3"/>
        <v>Currently Unavailable</v>
      </c>
      <c r="I3197" s="1" t="str">
        <f t="shared" si="4"/>
        <v>No Badges</v>
      </c>
      <c r="J3197" s="3">
        <f t="shared" si="5"/>
        <v>0</v>
      </c>
    </row>
    <row r="3198">
      <c r="A3198" s="1" t="s">
        <v>2362</v>
      </c>
      <c r="B3198" s="1" t="str">
        <f t="shared" si="1"/>
        <v>Unavailable</v>
      </c>
      <c r="C3198" s="1"/>
      <c r="D3198" s="3">
        <f>IFERROR(__xludf.DUMMYFUNCTION("IFERROR(
IF(REGEXMATCH(LOWER(O3198),""k""),
VALUE(REGEXEXTRACT(O3198,""[0-9]+""))*1000,
VALUE(REGEXEXTRACT(O3198,""[0-9]+""))
),
0
)"),0.0)</f>
        <v>0</v>
      </c>
      <c r="E3198" s="1" t="s">
        <v>11</v>
      </c>
      <c r="F3198" s="1" t="s">
        <v>20</v>
      </c>
      <c r="G3198" s="4" t="b">
        <f t="shared" si="2"/>
        <v>1</v>
      </c>
      <c r="H3198" s="1" t="str">
        <f t="shared" si="3"/>
        <v>Currently Unavailable</v>
      </c>
      <c r="I3198" s="1" t="str">
        <f t="shared" si="4"/>
        <v>No Badges</v>
      </c>
      <c r="J3198" s="3">
        <f t="shared" si="5"/>
        <v>0</v>
      </c>
    </row>
    <row r="3199">
      <c r="A3199" s="1" t="s">
        <v>2354</v>
      </c>
      <c r="B3199" s="3" t="str">
        <f t="shared" si="1"/>
        <v>Unavailable</v>
      </c>
      <c r="C3199" s="5">
        <v>1878.0</v>
      </c>
      <c r="D3199" s="3">
        <f>IFERROR(__xludf.DUMMYFUNCTION("IFERROR(
IF(REGEXMATCH(LOWER(O3199),""k""),
VALUE(REGEXEXTRACT(O3199,""[0-9]+""))*1000,
VALUE(REGEXEXTRACT(O3199,""[0-9]+""))
),
0
)"),0.0)</f>
        <v>0</v>
      </c>
      <c r="E3199" s="1" t="s">
        <v>11</v>
      </c>
      <c r="F3199" s="1" t="s">
        <v>12</v>
      </c>
      <c r="G3199" s="4" t="b">
        <f t="shared" si="2"/>
        <v>1</v>
      </c>
      <c r="H3199" s="1" t="str">
        <f t="shared" si="3"/>
        <v>Currently Unavailable</v>
      </c>
      <c r="I3199" s="1" t="str">
        <f t="shared" si="4"/>
        <v>No Badges</v>
      </c>
      <c r="J3199" s="3">
        <f t="shared" si="5"/>
        <v>0</v>
      </c>
    </row>
    <row r="3200">
      <c r="A3200" s="1" t="s">
        <v>2363</v>
      </c>
      <c r="B3200" s="3" t="str">
        <f t="shared" si="1"/>
        <v>Unavailable</v>
      </c>
      <c r="C3200" s="3">
        <v>865.0</v>
      </c>
      <c r="D3200" s="3">
        <f>IFERROR(__xludf.DUMMYFUNCTION("IFERROR(
IF(REGEXMATCH(LOWER(O3200),""k""),
VALUE(REGEXEXTRACT(O3200,""[0-9]+""))*1000,
VALUE(REGEXEXTRACT(O3200,""[0-9]+""))
),
0
)"),0.0)</f>
        <v>0</v>
      </c>
      <c r="E3200" s="1" t="s">
        <v>11</v>
      </c>
      <c r="F3200" s="1" t="s">
        <v>20</v>
      </c>
      <c r="G3200" s="4" t="b">
        <f t="shared" si="2"/>
        <v>1</v>
      </c>
      <c r="H3200" s="1" t="str">
        <f t="shared" si="3"/>
        <v>Currently Unavailable</v>
      </c>
      <c r="I3200" s="1" t="str">
        <f t="shared" si="4"/>
        <v>No Badges</v>
      </c>
      <c r="J3200" s="3">
        <f t="shared" si="5"/>
        <v>0</v>
      </c>
    </row>
    <row r="3201">
      <c r="A3201" s="1" t="s">
        <v>2364</v>
      </c>
      <c r="B3201" s="3" t="str">
        <f t="shared" si="1"/>
        <v>Unavailable</v>
      </c>
      <c r="C3201" s="3">
        <v>35.0</v>
      </c>
      <c r="D3201" s="3">
        <f>IFERROR(__xludf.DUMMYFUNCTION("IFERROR(
IF(REGEXMATCH(LOWER(O3201),""k""),
VALUE(REGEXEXTRACT(O3201,""[0-9]+""))*1000,
VALUE(REGEXEXTRACT(O3201,""[0-9]+""))
),
0
)"),0.0)</f>
        <v>0</v>
      </c>
      <c r="E3201" s="1" t="s">
        <v>11</v>
      </c>
      <c r="F3201" s="1" t="s">
        <v>20</v>
      </c>
      <c r="G3201" s="4" t="b">
        <f t="shared" si="2"/>
        <v>1</v>
      </c>
      <c r="H3201" s="1" t="str">
        <f t="shared" si="3"/>
        <v>Currently Unavailable</v>
      </c>
      <c r="I3201" s="1" t="str">
        <f t="shared" si="4"/>
        <v>No Badges</v>
      </c>
      <c r="J3201" s="3">
        <f t="shared" si="5"/>
        <v>0</v>
      </c>
    </row>
    <row r="3202">
      <c r="A3202" s="1" t="s">
        <v>2365</v>
      </c>
      <c r="B3202" s="3" t="str">
        <f t="shared" si="1"/>
        <v>Unavailable</v>
      </c>
      <c r="C3202" s="3">
        <v>568.0</v>
      </c>
      <c r="D3202" s="3">
        <f>IFERROR(__xludf.DUMMYFUNCTION("IFERROR(
IF(REGEXMATCH(LOWER(O3202),""k""),
VALUE(REGEXEXTRACT(O3202,""[0-9]+""))*1000,
VALUE(REGEXEXTRACT(O3202,""[0-9]+""))
),
0
)"),0.0)</f>
        <v>0</v>
      </c>
      <c r="E3202" s="1" t="s">
        <v>11</v>
      </c>
      <c r="F3202" s="1" t="s">
        <v>20</v>
      </c>
      <c r="G3202" s="4" t="b">
        <f t="shared" si="2"/>
        <v>1</v>
      </c>
      <c r="H3202" s="1" t="str">
        <f t="shared" si="3"/>
        <v>Currently Unavailable</v>
      </c>
      <c r="I3202" s="1" t="str">
        <f t="shared" si="4"/>
        <v>No Badges</v>
      </c>
      <c r="J3202" s="3">
        <f t="shared" si="5"/>
        <v>0</v>
      </c>
    </row>
    <row r="3203">
      <c r="A3203" s="1" t="s">
        <v>2366</v>
      </c>
      <c r="B3203" s="3" t="str">
        <f t="shared" si="1"/>
        <v>Unavailable</v>
      </c>
      <c r="C3203" s="5">
        <v>1608.0</v>
      </c>
      <c r="D3203" s="3">
        <f>IFERROR(__xludf.DUMMYFUNCTION("IFERROR(
IF(REGEXMATCH(LOWER(O3203),""k""),
VALUE(REGEXEXTRACT(O3203,""[0-9]+""))*1000,
VALUE(REGEXEXTRACT(O3203,""[0-9]+""))
),
0
)"),0.0)</f>
        <v>0</v>
      </c>
      <c r="E3203" s="1" t="s">
        <v>11</v>
      </c>
      <c r="F3203" s="1" t="s">
        <v>20</v>
      </c>
      <c r="G3203" s="4" t="b">
        <f t="shared" si="2"/>
        <v>1</v>
      </c>
      <c r="H3203" s="1" t="str">
        <f t="shared" si="3"/>
        <v>Currently Unavailable</v>
      </c>
      <c r="I3203" s="1" t="str">
        <f t="shared" si="4"/>
        <v>No Badges</v>
      </c>
      <c r="J3203" s="3">
        <f t="shared" si="5"/>
        <v>0</v>
      </c>
    </row>
    <row r="3204">
      <c r="A3204" s="1" t="s">
        <v>2352</v>
      </c>
      <c r="B3204" s="3" t="str">
        <f t="shared" si="1"/>
        <v>Unavailable</v>
      </c>
      <c r="C3204" s="3">
        <v>196.0</v>
      </c>
      <c r="D3204" s="3">
        <f>IFERROR(__xludf.DUMMYFUNCTION("IFERROR(
IF(REGEXMATCH(LOWER(O3204),""k""),
VALUE(REGEXEXTRACT(O3204,""[0-9]+""))*1000,
VALUE(REGEXEXTRACT(O3204,""[0-9]+""))
),
0
)"),0.0)</f>
        <v>0</v>
      </c>
      <c r="E3204" s="1" t="s">
        <v>11</v>
      </c>
      <c r="F3204" s="1" t="s">
        <v>12</v>
      </c>
      <c r="G3204" s="4" t="b">
        <f t="shared" si="2"/>
        <v>1</v>
      </c>
      <c r="H3204" s="1" t="str">
        <f t="shared" si="3"/>
        <v>Currently Unavailable</v>
      </c>
      <c r="I3204" s="1" t="str">
        <f t="shared" si="4"/>
        <v>No Badges</v>
      </c>
      <c r="J3204" s="3">
        <f t="shared" si="5"/>
        <v>0</v>
      </c>
    </row>
    <row r="3205">
      <c r="A3205" s="1" t="s">
        <v>2367</v>
      </c>
      <c r="B3205" s="3" t="str">
        <f t="shared" si="1"/>
        <v>Unavailable</v>
      </c>
      <c r="C3205" s="3">
        <v>230.0</v>
      </c>
      <c r="D3205" s="3">
        <f>IFERROR(__xludf.DUMMYFUNCTION("IFERROR(
IF(REGEXMATCH(LOWER(O3205),""k""),
VALUE(REGEXEXTRACT(O3205,""[0-9]+""))*1000,
VALUE(REGEXEXTRACT(O3205,""[0-9]+""))
),
0
)"),0.0)</f>
        <v>0</v>
      </c>
      <c r="E3205" s="1" t="s">
        <v>11</v>
      </c>
      <c r="F3205" s="1" t="s">
        <v>20</v>
      </c>
      <c r="G3205" s="4" t="b">
        <f t="shared" si="2"/>
        <v>1</v>
      </c>
      <c r="H3205" s="1" t="str">
        <f t="shared" si="3"/>
        <v>Currently Unavailable</v>
      </c>
      <c r="I3205" s="1" t="str">
        <f t="shared" si="4"/>
        <v>No Badges</v>
      </c>
      <c r="J3205" s="3">
        <f t="shared" si="5"/>
        <v>0</v>
      </c>
    </row>
    <row r="3206">
      <c r="A3206" s="1" t="s">
        <v>2368</v>
      </c>
      <c r="B3206" s="3" t="str">
        <f t="shared" si="1"/>
        <v>Unavailable</v>
      </c>
      <c r="C3206" s="3">
        <v>15.0</v>
      </c>
      <c r="D3206" s="3">
        <f>IFERROR(__xludf.DUMMYFUNCTION("IFERROR(
IF(REGEXMATCH(LOWER(O3206),""k""),
VALUE(REGEXEXTRACT(O3206,""[0-9]+""))*1000,
VALUE(REGEXEXTRACT(O3206,""[0-9]+""))
),
0
)"),0.0)</f>
        <v>0</v>
      </c>
      <c r="E3206" s="1" t="s">
        <v>11</v>
      </c>
      <c r="F3206" s="1" t="s">
        <v>20</v>
      </c>
      <c r="G3206" s="4" t="b">
        <f t="shared" si="2"/>
        <v>1</v>
      </c>
      <c r="H3206" s="1" t="str">
        <f t="shared" si="3"/>
        <v>Currently Unavailable</v>
      </c>
      <c r="I3206" s="1" t="str">
        <f t="shared" si="4"/>
        <v>No Badges</v>
      </c>
      <c r="J3206" s="3">
        <f t="shared" si="5"/>
        <v>0</v>
      </c>
    </row>
    <row r="3207">
      <c r="A3207" s="1" t="s">
        <v>2369</v>
      </c>
      <c r="B3207" s="3" t="str">
        <f t="shared" si="1"/>
        <v>Unavailable</v>
      </c>
      <c r="C3207" s="3">
        <v>152.0</v>
      </c>
      <c r="D3207" s="3">
        <f>IFERROR(__xludf.DUMMYFUNCTION("IFERROR(
IF(REGEXMATCH(LOWER(O3207),""k""),
VALUE(REGEXEXTRACT(O3207,""[0-9]+""))*1000,
VALUE(REGEXEXTRACT(O3207,""[0-9]+""))
),
0
)"),0.0)</f>
        <v>0</v>
      </c>
      <c r="E3207" s="1" t="s">
        <v>11</v>
      </c>
      <c r="F3207" s="1" t="s">
        <v>20</v>
      </c>
      <c r="G3207" s="4" t="b">
        <f t="shared" si="2"/>
        <v>1</v>
      </c>
      <c r="H3207" s="1" t="str">
        <f t="shared" si="3"/>
        <v>Currently Unavailable</v>
      </c>
      <c r="I3207" s="1" t="str">
        <f t="shared" si="4"/>
        <v>No Badges</v>
      </c>
      <c r="J3207" s="3">
        <f t="shared" si="5"/>
        <v>0</v>
      </c>
    </row>
    <row r="3208">
      <c r="A3208" s="1" t="s">
        <v>2370</v>
      </c>
      <c r="B3208" s="3" t="str">
        <f t="shared" si="1"/>
        <v>Unavailable</v>
      </c>
      <c r="C3208" s="3">
        <v>463.0</v>
      </c>
      <c r="D3208" s="3">
        <f>IFERROR(__xludf.DUMMYFUNCTION("IFERROR(
IF(REGEXMATCH(LOWER(O3208),""k""),
VALUE(REGEXEXTRACT(O3208,""[0-9]+""))*1000,
VALUE(REGEXEXTRACT(O3208,""[0-9]+""))
),
0
)"),0.0)</f>
        <v>0</v>
      </c>
      <c r="E3208" s="1" t="s">
        <v>11</v>
      </c>
      <c r="F3208" s="1" t="s">
        <v>20</v>
      </c>
      <c r="G3208" s="4" t="b">
        <f t="shared" si="2"/>
        <v>1</v>
      </c>
      <c r="H3208" s="1" t="str">
        <f t="shared" si="3"/>
        <v>Currently Unavailable</v>
      </c>
      <c r="I3208" s="1" t="str">
        <f t="shared" si="4"/>
        <v>No Badges</v>
      </c>
      <c r="J3208" s="3">
        <f t="shared" si="5"/>
        <v>0</v>
      </c>
    </row>
    <row r="3209">
      <c r="A3209" s="1" t="s">
        <v>67</v>
      </c>
      <c r="B3209" s="3" t="str">
        <f t="shared" si="1"/>
        <v>Unavailable</v>
      </c>
      <c r="C3209" s="3">
        <v>264.0</v>
      </c>
      <c r="D3209" s="3">
        <f>IFERROR(__xludf.DUMMYFUNCTION("IFERROR(
IF(REGEXMATCH(LOWER(O3209),""k""),
VALUE(REGEXEXTRACT(O3209,""[0-9]+""))*1000,
VALUE(REGEXEXTRACT(O3209,""[0-9]+""))
),
0
)"),0.0)</f>
        <v>0</v>
      </c>
      <c r="E3209" s="1" t="s">
        <v>11</v>
      </c>
      <c r="F3209" s="1" t="s">
        <v>12</v>
      </c>
      <c r="G3209" s="4" t="b">
        <f t="shared" si="2"/>
        <v>1</v>
      </c>
      <c r="H3209" s="1" t="str">
        <f t="shared" si="3"/>
        <v>Currently Unavailable</v>
      </c>
      <c r="I3209" s="1" t="str">
        <f t="shared" si="4"/>
        <v>No Badges</v>
      </c>
      <c r="J3209" s="3">
        <f t="shared" si="5"/>
        <v>0</v>
      </c>
    </row>
    <row r="3210">
      <c r="A3210" s="1" t="s">
        <v>2371</v>
      </c>
      <c r="B3210" s="3" t="str">
        <f t="shared" si="1"/>
        <v>Unavailable</v>
      </c>
      <c r="C3210" s="3">
        <v>56.0</v>
      </c>
      <c r="D3210" s="3">
        <f>IFERROR(__xludf.DUMMYFUNCTION("IFERROR(
IF(REGEXMATCH(LOWER(O3210),""k""),
VALUE(REGEXEXTRACT(O3210,""[0-9]+""))*1000,
VALUE(REGEXEXTRACT(O3210,""[0-9]+""))
),
0
)"),0.0)</f>
        <v>0</v>
      </c>
      <c r="E3210" s="1" t="s">
        <v>11</v>
      </c>
      <c r="F3210" s="1" t="s">
        <v>20</v>
      </c>
      <c r="G3210" s="4" t="b">
        <f t="shared" si="2"/>
        <v>1</v>
      </c>
      <c r="H3210" s="1" t="str">
        <f t="shared" si="3"/>
        <v>Currently Unavailable</v>
      </c>
      <c r="I3210" s="1" t="str">
        <f t="shared" si="4"/>
        <v>No Badges</v>
      </c>
      <c r="J3210" s="3">
        <f t="shared" si="5"/>
        <v>0</v>
      </c>
    </row>
    <row r="3211">
      <c r="A3211" s="1" t="s">
        <v>1624</v>
      </c>
      <c r="B3211" s="3" t="str">
        <f t="shared" si="1"/>
        <v>Unavailable</v>
      </c>
      <c r="C3211" s="3">
        <v>14.0</v>
      </c>
      <c r="D3211" s="3">
        <f>IFERROR(__xludf.DUMMYFUNCTION("IFERROR(
IF(REGEXMATCH(LOWER(O3211),""k""),
VALUE(REGEXEXTRACT(O3211,""[0-9]+""))*1000,
VALUE(REGEXEXTRACT(O3211,""[0-9]+""))
),
0
)"),0.0)</f>
        <v>0</v>
      </c>
      <c r="E3211" s="1" t="s">
        <v>11</v>
      </c>
      <c r="F3211" s="1" t="s">
        <v>12</v>
      </c>
      <c r="G3211" s="4" t="b">
        <f t="shared" si="2"/>
        <v>1</v>
      </c>
      <c r="H3211" s="1" t="str">
        <f t="shared" si="3"/>
        <v>Currently Unavailable</v>
      </c>
      <c r="I3211" s="1" t="str">
        <f t="shared" si="4"/>
        <v>No Badges</v>
      </c>
      <c r="J3211" s="3">
        <f t="shared" si="5"/>
        <v>0</v>
      </c>
    </row>
    <row r="3212">
      <c r="A3212" s="1" t="s">
        <v>2372</v>
      </c>
      <c r="B3212" s="3" t="str">
        <f t="shared" si="1"/>
        <v>Unavailable</v>
      </c>
      <c r="C3212" s="3">
        <v>400.0</v>
      </c>
      <c r="D3212" s="3">
        <f>IFERROR(__xludf.DUMMYFUNCTION("IFERROR(
IF(REGEXMATCH(LOWER(O3212),""k""),
VALUE(REGEXEXTRACT(O3212,""[0-9]+""))*1000,
VALUE(REGEXEXTRACT(O3212,""[0-9]+""))
),
0
)"),0.0)</f>
        <v>0</v>
      </c>
      <c r="E3212" s="1" t="s">
        <v>11</v>
      </c>
      <c r="F3212" s="1" t="s">
        <v>20</v>
      </c>
      <c r="G3212" s="4" t="b">
        <f t="shared" si="2"/>
        <v>1</v>
      </c>
      <c r="H3212" s="1" t="str">
        <f t="shared" si="3"/>
        <v>Currently Unavailable</v>
      </c>
      <c r="I3212" s="1" t="str">
        <f t="shared" si="4"/>
        <v>No Badges</v>
      </c>
      <c r="J3212" s="3">
        <f t="shared" si="5"/>
        <v>0</v>
      </c>
    </row>
    <row r="3213">
      <c r="A3213" s="1" t="s">
        <v>2373</v>
      </c>
      <c r="B3213" s="3" t="str">
        <f t="shared" si="1"/>
        <v>Unavailable</v>
      </c>
      <c r="C3213" s="3">
        <v>45.0</v>
      </c>
      <c r="D3213" s="3">
        <f>IFERROR(__xludf.DUMMYFUNCTION("IFERROR(
IF(REGEXMATCH(LOWER(O3213),""k""),
VALUE(REGEXEXTRACT(O3213,""[0-9]+""))*1000,
VALUE(REGEXEXTRACT(O3213,""[0-9]+""))
),
0
)"),0.0)</f>
        <v>0</v>
      </c>
      <c r="E3213" s="1" t="s">
        <v>11</v>
      </c>
      <c r="F3213" s="1" t="s">
        <v>20</v>
      </c>
      <c r="G3213" s="4" t="b">
        <f t="shared" si="2"/>
        <v>1</v>
      </c>
      <c r="H3213" s="1" t="str">
        <f t="shared" si="3"/>
        <v>Currently Unavailable</v>
      </c>
      <c r="I3213" s="1" t="str">
        <f t="shared" si="4"/>
        <v>No Badges</v>
      </c>
      <c r="J3213" s="3">
        <f t="shared" si="5"/>
        <v>0</v>
      </c>
    </row>
    <row r="3214">
      <c r="A3214" s="1" t="s">
        <v>2374</v>
      </c>
      <c r="B3214" s="3" t="str">
        <f t="shared" si="1"/>
        <v>Unavailable</v>
      </c>
      <c r="C3214" s="3">
        <v>24.0</v>
      </c>
      <c r="D3214" s="3">
        <f>IFERROR(__xludf.DUMMYFUNCTION("IFERROR(
IF(REGEXMATCH(LOWER(O3214),""k""),
VALUE(REGEXEXTRACT(O3214,""[0-9]+""))*1000,
VALUE(REGEXEXTRACT(O3214,""[0-9]+""))
),
0
)"),0.0)</f>
        <v>0</v>
      </c>
      <c r="E3214" s="1" t="s">
        <v>11</v>
      </c>
      <c r="F3214" s="1" t="s">
        <v>20</v>
      </c>
      <c r="G3214" s="4" t="b">
        <f t="shared" si="2"/>
        <v>1</v>
      </c>
      <c r="H3214" s="1" t="str">
        <f t="shared" si="3"/>
        <v>Currently Unavailable</v>
      </c>
      <c r="I3214" s="1" t="str">
        <f t="shared" si="4"/>
        <v>No Badges</v>
      </c>
      <c r="J3214" s="3">
        <f t="shared" si="5"/>
        <v>0</v>
      </c>
    </row>
    <row r="3215">
      <c r="A3215" s="1" t="s">
        <v>2375</v>
      </c>
      <c r="B3215" s="3" t="str">
        <f t="shared" si="1"/>
        <v>Unavailable</v>
      </c>
      <c r="C3215" s="3">
        <v>19.0</v>
      </c>
      <c r="D3215" s="3">
        <f>IFERROR(__xludf.DUMMYFUNCTION("IFERROR(
IF(REGEXMATCH(LOWER(O3215),""k""),
VALUE(REGEXEXTRACT(O3215,""[0-9]+""))*1000,
VALUE(REGEXEXTRACT(O3215,""[0-9]+""))
),
0
)"),0.0)</f>
        <v>0</v>
      </c>
      <c r="E3215" s="1" t="s">
        <v>11</v>
      </c>
      <c r="F3215" s="1" t="s">
        <v>20</v>
      </c>
      <c r="G3215" s="4" t="b">
        <f t="shared" si="2"/>
        <v>1</v>
      </c>
      <c r="H3215" s="1" t="str">
        <f t="shared" si="3"/>
        <v>Currently Unavailable</v>
      </c>
      <c r="I3215" s="1" t="str">
        <f t="shared" si="4"/>
        <v>No Badges</v>
      </c>
      <c r="J3215" s="3">
        <f t="shared" si="5"/>
        <v>0</v>
      </c>
    </row>
    <row r="3216">
      <c r="A3216" s="1" t="s">
        <v>2376</v>
      </c>
      <c r="B3216" s="3" t="str">
        <f t="shared" si="1"/>
        <v>Unavailable</v>
      </c>
      <c r="C3216" s="3">
        <v>284.0</v>
      </c>
      <c r="D3216" s="3">
        <f>IFERROR(__xludf.DUMMYFUNCTION("IFERROR(
IF(REGEXMATCH(LOWER(O3216),""k""),
VALUE(REGEXEXTRACT(O3216,""[0-9]+""))*1000,
VALUE(REGEXEXTRACT(O3216,""[0-9]+""))
),
0
)"),0.0)</f>
        <v>0</v>
      </c>
      <c r="E3216" s="1" t="s">
        <v>11</v>
      </c>
      <c r="F3216" s="1" t="s">
        <v>20</v>
      </c>
      <c r="G3216" s="4" t="b">
        <f t="shared" si="2"/>
        <v>1</v>
      </c>
      <c r="H3216" s="1" t="str">
        <f t="shared" si="3"/>
        <v>Currently Unavailable</v>
      </c>
      <c r="I3216" s="1" t="str">
        <f t="shared" si="4"/>
        <v>No Badges</v>
      </c>
      <c r="J3216" s="6">
        <f t="shared" si="5"/>
        <v>0</v>
      </c>
    </row>
    <row r="3217">
      <c r="A3217" s="1" t="s">
        <v>2377</v>
      </c>
      <c r="B3217" s="3" t="str">
        <f t="shared" si="1"/>
        <v>Unavailable</v>
      </c>
      <c r="C3217" s="3">
        <v>81.0</v>
      </c>
      <c r="D3217" s="3">
        <f>IFERROR(__xludf.DUMMYFUNCTION("IFERROR(
IF(REGEXMATCH(LOWER(O3217),""k""),
VALUE(REGEXEXTRACT(O3217,""[0-9]+""))*1000,
VALUE(REGEXEXTRACT(O3217,""[0-9]+""))
),
0
)"),0.0)</f>
        <v>0</v>
      </c>
      <c r="E3217" s="1" t="s">
        <v>11</v>
      </c>
      <c r="F3217" s="1" t="s">
        <v>20</v>
      </c>
      <c r="G3217" s="4" t="b">
        <f t="shared" si="2"/>
        <v>1</v>
      </c>
      <c r="H3217" s="1" t="str">
        <f t="shared" si="3"/>
        <v>Currently Unavailable</v>
      </c>
      <c r="I3217" s="1" t="str">
        <f t="shared" si="4"/>
        <v>No Badges</v>
      </c>
      <c r="J3217" s="3">
        <f t="shared" si="5"/>
        <v>0</v>
      </c>
    </row>
    <row r="3218">
      <c r="A3218" s="1" t="s">
        <v>2378</v>
      </c>
      <c r="B3218" s="3" t="str">
        <f t="shared" si="1"/>
        <v>Unavailable</v>
      </c>
      <c r="C3218" s="3">
        <v>204.0</v>
      </c>
      <c r="D3218" s="3">
        <f>IFERROR(__xludf.DUMMYFUNCTION("IFERROR(
IF(REGEXMATCH(LOWER(O3218),""k""),
VALUE(REGEXEXTRACT(O3218,""[0-9]+""))*1000,
VALUE(REGEXEXTRACT(O3218,""[0-9]+""))
),
0
)"),0.0)</f>
        <v>0</v>
      </c>
      <c r="E3218" s="1" t="s">
        <v>11</v>
      </c>
      <c r="F3218" s="1" t="s">
        <v>20</v>
      </c>
      <c r="G3218" s="4" t="b">
        <f t="shared" si="2"/>
        <v>1</v>
      </c>
      <c r="H3218" s="1" t="str">
        <f t="shared" si="3"/>
        <v>Currently Unavailable</v>
      </c>
      <c r="I3218" s="1" t="str">
        <f t="shared" si="4"/>
        <v>No Badges</v>
      </c>
      <c r="J3218" s="3">
        <f t="shared" si="5"/>
        <v>0</v>
      </c>
    </row>
    <row r="3219">
      <c r="A3219" s="1" t="s">
        <v>2379</v>
      </c>
      <c r="B3219" s="3" t="str">
        <f t="shared" si="1"/>
        <v>Unavailable</v>
      </c>
      <c r="C3219" s="3">
        <v>131.0</v>
      </c>
      <c r="D3219" s="3">
        <f>IFERROR(__xludf.DUMMYFUNCTION("IFERROR(
IF(REGEXMATCH(LOWER(O3219),""k""),
VALUE(REGEXEXTRACT(O3219,""[0-9]+""))*1000,
VALUE(REGEXEXTRACT(O3219,""[0-9]+""))
),
0
)"),0.0)</f>
        <v>0</v>
      </c>
      <c r="E3219" s="1" t="s">
        <v>11</v>
      </c>
      <c r="F3219" s="1" t="s">
        <v>20</v>
      </c>
      <c r="G3219" s="4" t="b">
        <f t="shared" si="2"/>
        <v>1</v>
      </c>
      <c r="H3219" s="1" t="str">
        <f t="shared" si="3"/>
        <v>Currently Unavailable</v>
      </c>
      <c r="I3219" s="1" t="str">
        <f t="shared" si="4"/>
        <v>No Badges</v>
      </c>
      <c r="J3219" s="3">
        <f t="shared" si="5"/>
        <v>0</v>
      </c>
    </row>
    <row r="3220">
      <c r="A3220" s="1" t="s">
        <v>2354</v>
      </c>
      <c r="B3220" s="3" t="str">
        <f t="shared" si="1"/>
        <v>Unavailable</v>
      </c>
      <c r="C3220" s="5">
        <v>1878.0</v>
      </c>
      <c r="D3220" s="3">
        <f>IFERROR(__xludf.DUMMYFUNCTION("IFERROR(
IF(REGEXMATCH(LOWER(O3220),""k""),
VALUE(REGEXEXTRACT(O3220,""[0-9]+""))*1000,
VALUE(REGEXEXTRACT(O3220,""[0-9]+""))
),
0
)"),0.0)</f>
        <v>0</v>
      </c>
      <c r="E3220" s="1" t="s">
        <v>11</v>
      </c>
      <c r="F3220" s="1" t="s">
        <v>12</v>
      </c>
      <c r="G3220" s="4" t="b">
        <f t="shared" si="2"/>
        <v>1</v>
      </c>
      <c r="H3220" s="1" t="str">
        <f t="shared" si="3"/>
        <v>Currently Unavailable</v>
      </c>
      <c r="I3220" s="1" t="str">
        <f t="shared" si="4"/>
        <v>No Badges</v>
      </c>
      <c r="J3220" s="3">
        <f t="shared" si="5"/>
        <v>0</v>
      </c>
    </row>
    <row r="3221">
      <c r="A3221" s="1" t="s">
        <v>2380</v>
      </c>
      <c r="B3221" s="3" t="str">
        <f t="shared" si="1"/>
        <v>Unavailable</v>
      </c>
      <c r="C3221" s="5">
        <v>3566.0</v>
      </c>
      <c r="D3221" s="3">
        <f>IFERROR(__xludf.DUMMYFUNCTION("IFERROR(
IF(REGEXMATCH(LOWER(O3221),""k""),
VALUE(REGEXEXTRACT(O3221,""[0-9]+""))*1000,
VALUE(REGEXEXTRACT(O3221,""[0-9]+""))
),
0
)"),0.0)</f>
        <v>0</v>
      </c>
      <c r="E3221" s="1" t="s">
        <v>11</v>
      </c>
      <c r="F3221" s="1" t="s">
        <v>20</v>
      </c>
      <c r="G3221" s="4" t="b">
        <f t="shared" si="2"/>
        <v>1</v>
      </c>
      <c r="H3221" s="1" t="str">
        <f t="shared" si="3"/>
        <v>Currently Unavailable</v>
      </c>
      <c r="I3221" s="1" t="str">
        <f t="shared" si="4"/>
        <v>No Badges</v>
      </c>
      <c r="J3221" s="3">
        <f t="shared" si="5"/>
        <v>0</v>
      </c>
    </row>
    <row r="3222">
      <c r="A3222" s="1" t="s">
        <v>2381</v>
      </c>
      <c r="B3222" s="3" t="str">
        <f t="shared" si="1"/>
        <v>Unavailable</v>
      </c>
      <c r="C3222" s="3">
        <v>779.0</v>
      </c>
      <c r="D3222" s="3">
        <f>IFERROR(__xludf.DUMMYFUNCTION("IFERROR(
IF(REGEXMATCH(LOWER(O3222),""k""),
VALUE(REGEXEXTRACT(O3222,""[0-9]+""))*1000,
VALUE(REGEXEXTRACT(O3222,""[0-9]+""))
),
0
)"),0.0)</f>
        <v>0</v>
      </c>
      <c r="E3222" s="1" t="s">
        <v>11</v>
      </c>
      <c r="F3222" s="1" t="s">
        <v>20</v>
      </c>
      <c r="G3222" s="4" t="b">
        <f t="shared" si="2"/>
        <v>1</v>
      </c>
      <c r="H3222" s="1" t="str">
        <f t="shared" si="3"/>
        <v>Currently Unavailable</v>
      </c>
      <c r="I3222" s="1" t="str">
        <f t="shared" si="4"/>
        <v>No Badges</v>
      </c>
      <c r="J3222" s="3">
        <f t="shared" si="5"/>
        <v>0</v>
      </c>
    </row>
    <row r="3223">
      <c r="A3223" s="1" t="s">
        <v>2352</v>
      </c>
      <c r="B3223" s="3" t="str">
        <f t="shared" si="1"/>
        <v>Unavailable</v>
      </c>
      <c r="C3223" s="3">
        <v>196.0</v>
      </c>
      <c r="D3223" s="3">
        <f>IFERROR(__xludf.DUMMYFUNCTION("IFERROR(
IF(REGEXMATCH(LOWER(O3223),""k""),
VALUE(REGEXEXTRACT(O3223,""[0-9]+""))*1000,
VALUE(REGEXEXTRACT(O3223,""[0-9]+""))
),
0
)"),0.0)</f>
        <v>0</v>
      </c>
      <c r="E3223" s="1" t="s">
        <v>11</v>
      </c>
      <c r="F3223" s="1" t="s">
        <v>12</v>
      </c>
      <c r="G3223" s="4" t="b">
        <f t="shared" si="2"/>
        <v>1</v>
      </c>
      <c r="H3223" s="1" t="str">
        <f t="shared" si="3"/>
        <v>Currently Unavailable</v>
      </c>
      <c r="I3223" s="1" t="str">
        <f t="shared" si="4"/>
        <v>No Badges</v>
      </c>
      <c r="J3223" s="3">
        <f t="shared" si="5"/>
        <v>0</v>
      </c>
    </row>
    <row r="3224">
      <c r="A3224" s="1" t="s">
        <v>701</v>
      </c>
      <c r="B3224" s="3" t="str">
        <f t="shared" si="1"/>
        <v>Unavailable</v>
      </c>
      <c r="C3224" s="3">
        <v>8.0</v>
      </c>
      <c r="D3224" s="3">
        <f>IFERROR(__xludf.DUMMYFUNCTION("IFERROR(
IF(REGEXMATCH(LOWER(O3224),""k""),
VALUE(REGEXEXTRACT(O3224,""[0-9]+""))*1000,
VALUE(REGEXEXTRACT(O3224,""[0-9]+""))
),
0
)"),0.0)</f>
        <v>0</v>
      </c>
      <c r="E3224" s="1" t="s">
        <v>11</v>
      </c>
      <c r="F3224" s="1" t="s">
        <v>12</v>
      </c>
      <c r="G3224" s="4" t="b">
        <f t="shared" si="2"/>
        <v>1</v>
      </c>
      <c r="H3224" s="1" t="str">
        <f t="shared" si="3"/>
        <v>Currently Unavailable</v>
      </c>
      <c r="I3224" s="1" t="str">
        <f t="shared" si="4"/>
        <v>No Badges</v>
      </c>
      <c r="J3224" s="3">
        <f t="shared" si="5"/>
        <v>0</v>
      </c>
    </row>
    <row r="3225">
      <c r="A3225" s="1" t="s">
        <v>2382</v>
      </c>
      <c r="B3225" s="3" t="str">
        <f t="shared" si="1"/>
        <v>Unavailable</v>
      </c>
      <c r="C3225" s="3">
        <v>115.0</v>
      </c>
      <c r="D3225" s="3">
        <f>IFERROR(__xludf.DUMMYFUNCTION("IFERROR(
IF(REGEXMATCH(LOWER(O3225),""k""),
VALUE(REGEXEXTRACT(O3225,""[0-9]+""))*1000,
VALUE(REGEXEXTRACT(O3225,""[0-9]+""))
),
0
)"),0.0)</f>
        <v>0</v>
      </c>
      <c r="E3225" s="1" t="s">
        <v>11</v>
      </c>
      <c r="F3225" s="1" t="s">
        <v>20</v>
      </c>
      <c r="G3225" s="4" t="b">
        <f t="shared" si="2"/>
        <v>1</v>
      </c>
      <c r="H3225" s="1" t="str">
        <f t="shared" si="3"/>
        <v>Currently Unavailable</v>
      </c>
      <c r="I3225" s="1" t="str">
        <f t="shared" si="4"/>
        <v>No Badges</v>
      </c>
      <c r="J3225" s="3">
        <f t="shared" si="5"/>
        <v>0</v>
      </c>
    </row>
    <row r="3226">
      <c r="A3226" s="1" t="s">
        <v>2383</v>
      </c>
      <c r="B3226" s="3" t="str">
        <f t="shared" si="1"/>
        <v>Unavailable</v>
      </c>
      <c r="C3226" s="3">
        <v>165.0</v>
      </c>
      <c r="D3226" s="3">
        <f>IFERROR(__xludf.DUMMYFUNCTION("IFERROR(
IF(REGEXMATCH(LOWER(O3226),""k""),
VALUE(REGEXEXTRACT(O3226,""[0-9]+""))*1000,
VALUE(REGEXEXTRACT(O3226,""[0-9]+""))
),
0
)"),0.0)</f>
        <v>0</v>
      </c>
      <c r="E3226" s="1" t="s">
        <v>11</v>
      </c>
      <c r="F3226" s="1" t="s">
        <v>20</v>
      </c>
      <c r="G3226" s="4" t="b">
        <f t="shared" si="2"/>
        <v>1</v>
      </c>
      <c r="H3226" s="1" t="str">
        <f t="shared" si="3"/>
        <v>Currently Unavailable</v>
      </c>
      <c r="I3226" s="1" t="str">
        <f t="shared" si="4"/>
        <v>No Badges</v>
      </c>
      <c r="J3226" s="3">
        <f t="shared" si="5"/>
        <v>0</v>
      </c>
    </row>
    <row r="3227">
      <c r="A3227" s="1" t="s">
        <v>2384</v>
      </c>
      <c r="B3227" s="3" t="str">
        <f t="shared" si="1"/>
        <v>Unavailable</v>
      </c>
      <c r="C3227" s="3">
        <v>245.0</v>
      </c>
      <c r="D3227" s="3">
        <f>IFERROR(__xludf.DUMMYFUNCTION("IFERROR(
IF(REGEXMATCH(LOWER(O3227),""k""),
VALUE(REGEXEXTRACT(O3227,""[0-9]+""))*1000,
VALUE(REGEXEXTRACT(O3227,""[0-9]+""))
),
0
)"),0.0)</f>
        <v>0</v>
      </c>
      <c r="E3227" s="1" t="s">
        <v>11</v>
      </c>
      <c r="F3227" s="1" t="s">
        <v>12</v>
      </c>
      <c r="G3227" s="4" t="b">
        <f t="shared" si="2"/>
        <v>1</v>
      </c>
      <c r="H3227" s="1" t="str">
        <f t="shared" si="3"/>
        <v>Currently Unavailable</v>
      </c>
      <c r="I3227" s="1" t="str">
        <f t="shared" si="4"/>
        <v>No Badges</v>
      </c>
      <c r="J3227" s="3">
        <f t="shared" si="5"/>
        <v>0</v>
      </c>
    </row>
    <row r="3228">
      <c r="A3228" s="1" t="s">
        <v>2385</v>
      </c>
      <c r="B3228" s="3" t="str">
        <f t="shared" si="1"/>
        <v>Unavailable</v>
      </c>
      <c r="C3228" s="3">
        <v>61.0</v>
      </c>
      <c r="D3228" s="3">
        <f>IFERROR(__xludf.DUMMYFUNCTION("IFERROR(
IF(REGEXMATCH(LOWER(O3228),""k""),
VALUE(REGEXEXTRACT(O3228,""[0-9]+""))*1000,
VALUE(REGEXEXTRACT(O3228,""[0-9]+""))
),
0
)"),0.0)</f>
        <v>0</v>
      </c>
      <c r="E3228" s="1" t="s">
        <v>11</v>
      </c>
      <c r="F3228" s="1" t="s">
        <v>20</v>
      </c>
      <c r="G3228" s="4" t="b">
        <f t="shared" si="2"/>
        <v>1</v>
      </c>
      <c r="H3228" s="1" t="str">
        <f t="shared" si="3"/>
        <v>Currently Unavailable</v>
      </c>
      <c r="I3228" s="1" t="str">
        <f t="shared" si="4"/>
        <v>No Badges</v>
      </c>
      <c r="J3228" s="3">
        <f t="shared" si="5"/>
        <v>0</v>
      </c>
    </row>
    <row r="3229">
      <c r="A3229" s="1" t="s">
        <v>2386</v>
      </c>
      <c r="B3229" s="3" t="str">
        <f t="shared" si="1"/>
        <v>Unavailable</v>
      </c>
      <c r="C3229" s="3">
        <v>77.0</v>
      </c>
      <c r="D3229" s="3">
        <f>IFERROR(__xludf.DUMMYFUNCTION("IFERROR(
IF(REGEXMATCH(LOWER(O3229),""k""),
VALUE(REGEXEXTRACT(O3229,""[0-9]+""))*1000,
VALUE(REGEXEXTRACT(O3229,""[0-9]+""))
),
0
)"),0.0)</f>
        <v>0</v>
      </c>
      <c r="E3229" s="1" t="s">
        <v>11</v>
      </c>
      <c r="F3229" s="1" t="s">
        <v>20</v>
      </c>
      <c r="G3229" s="4" t="b">
        <f t="shared" si="2"/>
        <v>1</v>
      </c>
      <c r="H3229" s="1" t="str">
        <f t="shared" si="3"/>
        <v>Currently Unavailable</v>
      </c>
      <c r="I3229" s="1" t="str">
        <f t="shared" si="4"/>
        <v>No Badges</v>
      </c>
      <c r="J3229" s="6">
        <f t="shared" si="5"/>
        <v>0</v>
      </c>
    </row>
    <row r="3230">
      <c r="A3230" s="1" t="s">
        <v>2387</v>
      </c>
      <c r="B3230" s="3" t="str">
        <f t="shared" si="1"/>
        <v>Unavailable</v>
      </c>
      <c r="C3230" s="5">
        <v>2132.0</v>
      </c>
      <c r="D3230" s="3">
        <f>IFERROR(__xludf.DUMMYFUNCTION("IFERROR(
IF(REGEXMATCH(LOWER(O3230),""k""),
VALUE(REGEXEXTRACT(O3230,""[0-9]+""))*1000,
VALUE(REGEXEXTRACT(O3230,""[0-9]+""))
),
0
)"),0.0)</f>
        <v>0</v>
      </c>
      <c r="E3230" s="1" t="s">
        <v>11</v>
      </c>
      <c r="F3230" s="1" t="s">
        <v>20</v>
      </c>
      <c r="G3230" s="4" t="b">
        <f t="shared" si="2"/>
        <v>1</v>
      </c>
      <c r="H3230" s="1" t="str">
        <f t="shared" si="3"/>
        <v>Currently Unavailable</v>
      </c>
      <c r="I3230" s="1" t="str">
        <f t="shared" si="4"/>
        <v>No Badges</v>
      </c>
      <c r="J3230" s="3">
        <f t="shared" si="5"/>
        <v>0</v>
      </c>
    </row>
    <row r="3231">
      <c r="A3231" s="1" t="s">
        <v>2388</v>
      </c>
      <c r="B3231" s="3" t="str">
        <f t="shared" si="1"/>
        <v>Unavailable</v>
      </c>
      <c r="C3231" s="3">
        <v>623.0</v>
      </c>
      <c r="D3231" s="3">
        <f>IFERROR(__xludf.DUMMYFUNCTION("IFERROR(
IF(REGEXMATCH(LOWER(O3231),""k""),
VALUE(REGEXEXTRACT(O3231,""[0-9]+""))*1000,
VALUE(REGEXEXTRACT(O3231,""[0-9]+""))
),
0
)"),0.0)</f>
        <v>0</v>
      </c>
      <c r="E3231" s="1" t="s">
        <v>11</v>
      </c>
      <c r="F3231" s="1" t="s">
        <v>20</v>
      </c>
      <c r="G3231" s="4" t="b">
        <f t="shared" si="2"/>
        <v>1</v>
      </c>
      <c r="H3231" s="1" t="str">
        <f t="shared" si="3"/>
        <v>Currently Unavailable</v>
      </c>
      <c r="I3231" s="1" t="str">
        <f t="shared" si="4"/>
        <v>No Badges</v>
      </c>
      <c r="J3231" s="3">
        <f t="shared" si="5"/>
        <v>0</v>
      </c>
    </row>
    <row r="3232">
      <c r="A3232" s="1" t="s">
        <v>2389</v>
      </c>
      <c r="B3232" s="3" t="str">
        <f t="shared" si="1"/>
        <v>Unavailable</v>
      </c>
      <c r="C3232" s="3">
        <v>161.0</v>
      </c>
      <c r="D3232" s="3">
        <f>IFERROR(__xludf.DUMMYFUNCTION("IFERROR(
IF(REGEXMATCH(LOWER(O3232),""k""),
VALUE(REGEXEXTRACT(O3232,""[0-9]+""))*1000,
VALUE(REGEXEXTRACT(O3232,""[0-9]+""))
),
0
)"),0.0)</f>
        <v>0</v>
      </c>
      <c r="E3232" s="1" t="s">
        <v>18</v>
      </c>
      <c r="F3232" s="1" t="s">
        <v>20</v>
      </c>
      <c r="G3232" s="4" t="b">
        <f t="shared" si="2"/>
        <v>1</v>
      </c>
      <c r="H3232" s="1" t="str">
        <f t="shared" si="3"/>
        <v>Currently Unavailable</v>
      </c>
      <c r="I3232" s="1" t="str">
        <f t="shared" si="4"/>
        <v>No Badges</v>
      </c>
      <c r="J3232" s="3">
        <f t="shared" si="5"/>
        <v>0</v>
      </c>
    </row>
    <row r="3233">
      <c r="A3233" s="1" t="s">
        <v>2390</v>
      </c>
      <c r="B3233" s="3" t="str">
        <f t="shared" si="1"/>
        <v>Unavailable</v>
      </c>
      <c r="C3233" s="3">
        <v>925.0</v>
      </c>
      <c r="D3233" s="3">
        <f>IFERROR(__xludf.DUMMYFUNCTION("IFERROR(
IF(REGEXMATCH(LOWER(O3233),""k""),
VALUE(REGEXEXTRACT(O3233,""[0-9]+""))*1000,
VALUE(REGEXEXTRACT(O3233,""[0-9]+""))
),
0
)"),0.0)</f>
        <v>0</v>
      </c>
      <c r="E3233" s="1" t="s">
        <v>11</v>
      </c>
      <c r="F3233" s="1" t="s">
        <v>20</v>
      </c>
      <c r="G3233" s="4" t="b">
        <f t="shared" si="2"/>
        <v>1</v>
      </c>
      <c r="H3233" s="1" t="str">
        <f t="shared" si="3"/>
        <v>Currently Unavailable</v>
      </c>
      <c r="I3233" s="1" t="str">
        <f t="shared" si="4"/>
        <v>No Badges</v>
      </c>
      <c r="J3233" s="3">
        <f t="shared" si="5"/>
        <v>0</v>
      </c>
    </row>
    <row r="3234">
      <c r="A3234" s="1" t="s">
        <v>2391</v>
      </c>
      <c r="B3234" s="3" t="str">
        <f t="shared" si="1"/>
        <v>Unavailable</v>
      </c>
      <c r="C3234" s="3">
        <v>124.0</v>
      </c>
      <c r="D3234" s="3">
        <f>IFERROR(__xludf.DUMMYFUNCTION("IFERROR(
IF(REGEXMATCH(LOWER(O3234),""k""),
VALUE(REGEXEXTRACT(O3234,""[0-9]+""))*1000,
VALUE(REGEXEXTRACT(O3234,""[0-9]+""))
),
0
)"),0.0)</f>
        <v>0</v>
      </c>
      <c r="E3234" s="1" t="s">
        <v>11</v>
      </c>
      <c r="F3234" s="1" t="s">
        <v>20</v>
      </c>
      <c r="G3234" s="4" t="b">
        <f t="shared" si="2"/>
        <v>1</v>
      </c>
      <c r="H3234" s="1" t="str">
        <f t="shared" si="3"/>
        <v>Currently Unavailable</v>
      </c>
      <c r="I3234" s="1" t="str">
        <f t="shared" si="4"/>
        <v>No Badges</v>
      </c>
      <c r="J3234" s="3">
        <f t="shared" si="5"/>
        <v>0</v>
      </c>
    </row>
    <row r="3235">
      <c r="A3235" s="1" t="s">
        <v>2392</v>
      </c>
      <c r="B3235" s="3" t="str">
        <f t="shared" si="1"/>
        <v>Unavailable</v>
      </c>
      <c r="C3235" s="3">
        <v>152.0</v>
      </c>
      <c r="D3235" s="3">
        <f>IFERROR(__xludf.DUMMYFUNCTION("IFERROR(
IF(REGEXMATCH(LOWER(O3235),""k""),
VALUE(REGEXEXTRACT(O3235,""[0-9]+""))*1000,
VALUE(REGEXEXTRACT(O3235,""[0-9]+""))
),
0
)"),0.0)</f>
        <v>0</v>
      </c>
      <c r="E3235" s="1" t="s">
        <v>11</v>
      </c>
      <c r="F3235" s="1" t="s">
        <v>20</v>
      </c>
      <c r="G3235" s="4" t="b">
        <f t="shared" si="2"/>
        <v>1</v>
      </c>
      <c r="H3235" s="1" t="str">
        <f t="shared" si="3"/>
        <v>Currently Unavailable</v>
      </c>
      <c r="I3235" s="1" t="str">
        <f t="shared" si="4"/>
        <v>No Badges</v>
      </c>
      <c r="J3235" s="6">
        <f t="shared" si="5"/>
        <v>0</v>
      </c>
    </row>
    <row r="3236">
      <c r="A3236" s="1" t="s">
        <v>2393</v>
      </c>
      <c r="B3236" s="3" t="str">
        <f t="shared" si="1"/>
        <v>Unavailable</v>
      </c>
      <c r="C3236" s="5">
        <v>5009.0</v>
      </c>
      <c r="D3236" s="3">
        <f>IFERROR(__xludf.DUMMYFUNCTION("IFERROR(
IF(REGEXMATCH(LOWER(O3236),""k""),
VALUE(REGEXEXTRACT(O3236,""[0-9]+""))*1000,
VALUE(REGEXEXTRACT(O3236,""[0-9]+""))
),
0
)"),0.0)</f>
        <v>0</v>
      </c>
      <c r="E3236" s="1" t="s">
        <v>11</v>
      </c>
      <c r="F3236" s="1" t="s">
        <v>20</v>
      </c>
      <c r="G3236" s="4" t="b">
        <f t="shared" si="2"/>
        <v>1</v>
      </c>
      <c r="H3236" s="1" t="str">
        <f t="shared" si="3"/>
        <v>Currently Unavailable</v>
      </c>
      <c r="I3236" s="1" t="str">
        <f t="shared" si="4"/>
        <v>No Badges</v>
      </c>
      <c r="J3236" s="3">
        <f t="shared" si="5"/>
        <v>0</v>
      </c>
    </row>
    <row r="3237">
      <c r="A3237" s="1" t="s">
        <v>2394</v>
      </c>
      <c r="B3237" s="3" t="str">
        <f t="shared" si="1"/>
        <v>Unavailable</v>
      </c>
      <c r="C3237" s="5">
        <v>4406.0</v>
      </c>
      <c r="D3237" s="3">
        <f>IFERROR(__xludf.DUMMYFUNCTION("IFERROR(
IF(REGEXMATCH(LOWER(O3237),""k""),
VALUE(REGEXEXTRACT(O3237,""[0-9]+""))*1000,
VALUE(REGEXEXTRACT(O3237,""[0-9]+""))
),
0
)"),0.0)</f>
        <v>0</v>
      </c>
      <c r="E3237" s="1" t="s">
        <v>11</v>
      </c>
      <c r="F3237" s="1" t="s">
        <v>20</v>
      </c>
      <c r="G3237" s="4" t="b">
        <f t="shared" si="2"/>
        <v>1</v>
      </c>
      <c r="H3237" s="1" t="str">
        <f t="shared" si="3"/>
        <v>Currently Unavailable</v>
      </c>
      <c r="I3237" s="1" t="str">
        <f t="shared" si="4"/>
        <v>No Badges</v>
      </c>
      <c r="J3237" s="3">
        <f t="shared" si="5"/>
        <v>0</v>
      </c>
    </row>
    <row r="3238">
      <c r="A3238" s="1" t="s">
        <v>2395</v>
      </c>
      <c r="B3238" s="3" t="str">
        <f t="shared" si="1"/>
        <v>Unavailable</v>
      </c>
      <c r="C3238" s="3">
        <v>405.0</v>
      </c>
      <c r="D3238" s="3">
        <f>IFERROR(__xludf.DUMMYFUNCTION("IFERROR(
IF(REGEXMATCH(LOWER(O3238),""k""),
VALUE(REGEXEXTRACT(O3238,""[0-9]+""))*1000,
VALUE(REGEXEXTRACT(O3238,""[0-9]+""))
),
0
)"),0.0)</f>
        <v>0</v>
      </c>
      <c r="E3238" s="1" t="s">
        <v>11</v>
      </c>
      <c r="F3238" s="1" t="s">
        <v>20</v>
      </c>
      <c r="G3238" s="4" t="b">
        <f t="shared" si="2"/>
        <v>1</v>
      </c>
      <c r="H3238" s="1" t="str">
        <f t="shared" si="3"/>
        <v>Currently Unavailable</v>
      </c>
      <c r="I3238" s="1" t="str">
        <f t="shared" si="4"/>
        <v>No Badges</v>
      </c>
      <c r="J3238" s="3">
        <f t="shared" si="5"/>
        <v>0</v>
      </c>
    </row>
    <row r="3239">
      <c r="A3239" s="1" t="s">
        <v>2396</v>
      </c>
      <c r="B3239" s="3" t="str">
        <f t="shared" si="1"/>
        <v>Unavailable</v>
      </c>
      <c r="C3239" s="3">
        <v>36.0</v>
      </c>
      <c r="D3239" s="3">
        <f>IFERROR(__xludf.DUMMYFUNCTION("IFERROR(
IF(REGEXMATCH(LOWER(O3239),""k""),
VALUE(REGEXEXTRACT(O3239,""[0-9]+""))*1000,
VALUE(REGEXEXTRACT(O3239,""[0-9]+""))
),
0
)"),0.0)</f>
        <v>0</v>
      </c>
      <c r="E3239" s="1" t="s">
        <v>11</v>
      </c>
      <c r="F3239" s="1" t="s">
        <v>20</v>
      </c>
      <c r="G3239" s="4" t="b">
        <f t="shared" si="2"/>
        <v>1</v>
      </c>
      <c r="H3239" s="1" t="str">
        <f t="shared" si="3"/>
        <v>Currently Unavailable</v>
      </c>
      <c r="I3239" s="1" t="str">
        <f t="shared" si="4"/>
        <v>No Badges</v>
      </c>
      <c r="J3239" s="3">
        <f t="shared" si="5"/>
        <v>0</v>
      </c>
    </row>
    <row r="3240">
      <c r="A3240" s="1" t="s">
        <v>2397</v>
      </c>
      <c r="B3240" s="3" t="str">
        <f t="shared" si="1"/>
        <v>Unavailable</v>
      </c>
      <c r="C3240" s="3">
        <v>35.0</v>
      </c>
      <c r="D3240" s="3">
        <f>IFERROR(__xludf.DUMMYFUNCTION("IFERROR(
IF(REGEXMATCH(LOWER(O3240),""k""),
VALUE(REGEXEXTRACT(O3240,""[0-9]+""))*1000,
VALUE(REGEXEXTRACT(O3240,""[0-9]+""))
),
0
)"),0.0)</f>
        <v>0</v>
      </c>
      <c r="E3240" s="1" t="s">
        <v>11</v>
      </c>
      <c r="F3240" s="1" t="s">
        <v>20</v>
      </c>
      <c r="G3240" s="4" t="b">
        <f t="shared" si="2"/>
        <v>1</v>
      </c>
      <c r="H3240" s="1" t="str">
        <f t="shared" si="3"/>
        <v>Currently Unavailable</v>
      </c>
      <c r="I3240" s="1" t="str">
        <f t="shared" si="4"/>
        <v>No Badges</v>
      </c>
      <c r="J3240" s="3">
        <f t="shared" si="5"/>
        <v>0</v>
      </c>
    </row>
    <row r="3241">
      <c r="A3241" s="1" t="s">
        <v>2398</v>
      </c>
      <c r="B3241" s="3" t="str">
        <f t="shared" si="1"/>
        <v>Unavailable</v>
      </c>
      <c r="C3241" s="5">
        <v>2262.0</v>
      </c>
      <c r="D3241" s="3">
        <f>IFERROR(__xludf.DUMMYFUNCTION("IFERROR(
IF(REGEXMATCH(LOWER(O3241),""k""),
VALUE(REGEXEXTRACT(O3241,""[0-9]+""))*1000,
VALUE(REGEXEXTRACT(O3241,""[0-9]+""))
),
0
)"),0.0)</f>
        <v>0</v>
      </c>
      <c r="E3241" s="1" t="s">
        <v>11</v>
      </c>
      <c r="F3241" s="1" t="s">
        <v>20</v>
      </c>
      <c r="G3241" s="4" t="b">
        <f t="shared" si="2"/>
        <v>1</v>
      </c>
      <c r="H3241" s="1" t="str">
        <f t="shared" si="3"/>
        <v>Currently Unavailable</v>
      </c>
      <c r="I3241" s="1" t="str">
        <f t="shared" si="4"/>
        <v>No Badges</v>
      </c>
      <c r="J3241" s="6">
        <f t="shared" si="5"/>
        <v>0</v>
      </c>
    </row>
    <row r="3242">
      <c r="A3242" s="1" t="s">
        <v>604</v>
      </c>
      <c r="B3242" s="3" t="str">
        <f t="shared" si="1"/>
        <v>Unavailable</v>
      </c>
      <c r="C3242" s="3">
        <v>30.0</v>
      </c>
      <c r="D3242" s="3">
        <f>IFERROR(__xludf.DUMMYFUNCTION("IFERROR(
IF(REGEXMATCH(LOWER(O3242),""k""),
VALUE(REGEXEXTRACT(O3242,""[0-9]+""))*1000,
VALUE(REGEXEXTRACT(O3242,""[0-9]+""))
),
0
)"),0.0)</f>
        <v>0</v>
      </c>
      <c r="E3242" s="1" t="s">
        <v>11</v>
      </c>
      <c r="F3242" s="1" t="s">
        <v>12</v>
      </c>
      <c r="G3242" s="4" t="b">
        <f t="shared" si="2"/>
        <v>1</v>
      </c>
      <c r="H3242" s="1" t="str">
        <f t="shared" si="3"/>
        <v>Currently Unavailable</v>
      </c>
      <c r="I3242" s="1" t="str">
        <f t="shared" si="4"/>
        <v>No Badges</v>
      </c>
      <c r="J3242" s="3">
        <f t="shared" si="5"/>
        <v>0</v>
      </c>
    </row>
    <row r="3243">
      <c r="A3243" s="1" t="s">
        <v>69</v>
      </c>
      <c r="B3243" s="3" t="str">
        <f t="shared" si="1"/>
        <v>Unavailable</v>
      </c>
      <c r="C3243" s="3">
        <v>45.0</v>
      </c>
      <c r="D3243" s="3">
        <f>IFERROR(__xludf.DUMMYFUNCTION("IFERROR(
IF(REGEXMATCH(LOWER(O3243),""k""),
VALUE(REGEXEXTRACT(O3243,""[0-9]+""))*1000,
VALUE(REGEXEXTRACT(O3243,""[0-9]+""))
),
0
)"),0.0)</f>
        <v>0</v>
      </c>
      <c r="E3243" s="1" t="s">
        <v>11</v>
      </c>
      <c r="F3243" s="1" t="s">
        <v>12</v>
      </c>
      <c r="G3243" s="4" t="b">
        <f t="shared" si="2"/>
        <v>1</v>
      </c>
      <c r="H3243" s="1" t="str">
        <f t="shared" si="3"/>
        <v>Currently Unavailable</v>
      </c>
      <c r="I3243" s="1" t="str">
        <f t="shared" si="4"/>
        <v>No Badges</v>
      </c>
      <c r="J3243" s="3">
        <f t="shared" si="5"/>
        <v>0</v>
      </c>
    </row>
    <row r="3244">
      <c r="A3244" s="1" t="s">
        <v>67</v>
      </c>
      <c r="B3244" s="3" t="str">
        <f t="shared" si="1"/>
        <v>Unavailable</v>
      </c>
      <c r="C3244" s="3">
        <v>264.0</v>
      </c>
      <c r="D3244" s="3">
        <f>IFERROR(__xludf.DUMMYFUNCTION("IFERROR(
IF(REGEXMATCH(LOWER(O3244),""k""),
VALUE(REGEXEXTRACT(O3244,""[0-9]+""))*1000,
VALUE(REGEXEXTRACT(O3244,""[0-9]+""))
),
0
)"),0.0)</f>
        <v>0</v>
      </c>
      <c r="E3244" s="1" t="s">
        <v>11</v>
      </c>
      <c r="F3244" s="1" t="s">
        <v>12</v>
      </c>
      <c r="G3244" s="4" t="b">
        <f t="shared" si="2"/>
        <v>1</v>
      </c>
      <c r="H3244" s="1" t="str">
        <f t="shared" si="3"/>
        <v>Currently Unavailable</v>
      </c>
      <c r="I3244" s="1" t="str">
        <f t="shared" si="4"/>
        <v>No Badges</v>
      </c>
      <c r="J3244" s="3">
        <f t="shared" si="5"/>
        <v>0</v>
      </c>
    </row>
    <row r="3245">
      <c r="A3245" s="1" t="s">
        <v>2399</v>
      </c>
      <c r="B3245" s="3" t="str">
        <f t="shared" si="1"/>
        <v>Unavailable</v>
      </c>
      <c r="C3245" s="3">
        <v>412.0</v>
      </c>
      <c r="D3245" s="3">
        <f>IFERROR(__xludf.DUMMYFUNCTION("IFERROR(
IF(REGEXMATCH(LOWER(O3245),""k""),
VALUE(REGEXEXTRACT(O3245,""[0-9]+""))*1000,
VALUE(REGEXEXTRACT(O3245,""[0-9]+""))
),
0
)"),0.0)</f>
        <v>0</v>
      </c>
      <c r="E3245" s="1" t="s">
        <v>11</v>
      </c>
      <c r="F3245" s="1" t="s">
        <v>20</v>
      </c>
      <c r="G3245" s="4" t="b">
        <f t="shared" si="2"/>
        <v>1</v>
      </c>
      <c r="H3245" s="1" t="str">
        <f t="shared" si="3"/>
        <v>Currently Unavailable</v>
      </c>
      <c r="I3245" s="1" t="str">
        <f t="shared" si="4"/>
        <v>No Badges</v>
      </c>
      <c r="J3245" s="3">
        <f t="shared" si="5"/>
        <v>0</v>
      </c>
    </row>
    <row r="3246">
      <c r="A3246" s="1" t="s">
        <v>2400</v>
      </c>
      <c r="B3246" s="3" t="str">
        <f t="shared" si="1"/>
        <v>Unavailable</v>
      </c>
      <c r="C3246" s="3">
        <v>395.0</v>
      </c>
      <c r="D3246" s="3">
        <f>IFERROR(__xludf.DUMMYFUNCTION("IFERROR(
IF(REGEXMATCH(LOWER(O3246),""k""),
VALUE(REGEXEXTRACT(O3246,""[0-9]+""))*1000,
VALUE(REGEXEXTRACT(O3246,""[0-9]+""))
),
0
)"),0.0)</f>
        <v>0</v>
      </c>
      <c r="E3246" s="1" t="s">
        <v>11</v>
      </c>
      <c r="F3246" s="1" t="s">
        <v>20</v>
      </c>
      <c r="G3246" s="4" t="b">
        <f t="shared" si="2"/>
        <v>1</v>
      </c>
      <c r="H3246" s="1" t="str">
        <f t="shared" si="3"/>
        <v>Currently Unavailable</v>
      </c>
      <c r="I3246" s="1" t="str">
        <f t="shared" si="4"/>
        <v>No Badges</v>
      </c>
      <c r="J3246" s="3">
        <f t="shared" si="5"/>
        <v>0</v>
      </c>
    </row>
    <row r="3247">
      <c r="A3247" s="1" t="s">
        <v>2401</v>
      </c>
      <c r="B3247" s="3" t="str">
        <f t="shared" si="1"/>
        <v>Unavailable</v>
      </c>
      <c r="C3247" s="5">
        <v>1338.0</v>
      </c>
      <c r="D3247" s="3">
        <f>IFERROR(__xludf.DUMMYFUNCTION("IFERROR(
IF(REGEXMATCH(LOWER(O3247),""k""),
VALUE(REGEXEXTRACT(O3247,""[0-9]+""))*1000,
VALUE(REGEXEXTRACT(O3247,""[0-9]+""))
),
0
)"),0.0)</f>
        <v>0</v>
      </c>
      <c r="E3247" s="1" t="s">
        <v>11</v>
      </c>
      <c r="F3247" s="1" t="s">
        <v>20</v>
      </c>
      <c r="G3247" s="4" t="b">
        <f t="shared" si="2"/>
        <v>1</v>
      </c>
      <c r="H3247" s="1" t="str">
        <f t="shared" si="3"/>
        <v>Currently Unavailable</v>
      </c>
      <c r="I3247" s="1" t="str">
        <f t="shared" si="4"/>
        <v>No Badges</v>
      </c>
      <c r="J3247" s="3">
        <f t="shared" si="5"/>
        <v>0</v>
      </c>
    </row>
    <row r="3248">
      <c r="A3248" s="1" t="s">
        <v>2402</v>
      </c>
      <c r="B3248" s="3" t="str">
        <f t="shared" si="1"/>
        <v>Unavailable</v>
      </c>
      <c r="C3248" s="3">
        <v>565.0</v>
      </c>
      <c r="D3248" s="3">
        <f>IFERROR(__xludf.DUMMYFUNCTION("IFERROR(
IF(REGEXMATCH(LOWER(O3248),""k""),
VALUE(REGEXEXTRACT(O3248,""[0-9]+""))*1000,
VALUE(REGEXEXTRACT(O3248,""[0-9]+""))
),
0
)"),0.0)</f>
        <v>0</v>
      </c>
      <c r="E3248" s="1" t="s">
        <v>11</v>
      </c>
      <c r="F3248" s="1" t="s">
        <v>20</v>
      </c>
      <c r="G3248" s="4" t="b">
        <f t="shared" si="2"/>
        <v>1</v>
      </c>
      <c r="H3248" s="1" t="str">
        <f t="shared" si="3"/>
        <v>Currently Unavailable</v>
      </c>
      <c r="I3248" s="1" t="str">
        <f t="shared" si="4"/>
        <v>No Badges</v>
      </c>
      <c r="J3248" s="6">
        <f t="shared" si="5"/>
        <v>0</v>
      </c>
    </row>
    <row r="3249">
      <c r="A3249" s="1" t="s">
        <v>2403</v>
      </c>
      <c r="B3249" s="3" t="str">
        <f t="shared" si="1"/>
        <v>Unavailable</v>
      </c>
      <c r="C3249" s="3">
        <v>44.0</v>
      </c>
      <c r="D3249" s="3">
        <f>IFERROR(__xludf.DUMMYFUNCTION("IFERROR(
IF(REGEXMATCH(LOWER(O3249),""k""),
VALUE(REGEXEXTRACT(O3249,""[0-9]+""))*1000,
VALUE(REGEXEXTRACT(O3249,""[0-9]+""))
),
0
)"),0.0)</f>
        <v>0</v>
      </c>
      <c r="E3249" s="1" t="s">
        <v>11</v>
      </c>
      <c r="F3249" s="1" t="s">
        <v>20</v>
      </c>
      <c r="G3249" s="4" t="b">
        <f t="shared" si="2"/>
        <v>1</v>
      </c>
      <c r="H3249" s="1" t="str">
        <f t="shared" si="3"/>
        <v>Currently Unavailable</v>
      </c>
      <c r="I3249" s="1" t="str">
        <f t="shared" si="4"/>
        <v>No Badges</v>
      </c>
      <c r="J3249" s="3">
        <f t="shared" si="5"/>
        <v>0</v>
      </c>
    </row>
    <row r="3250">
      <c r="A3250" s="1" t="s">
        <v>2404</v>
      </c>
      <c r="B3250" s="3" t="str">
        <f t="shared" si="1"/>
        <v>Unavailable</v>
      </c>
      <c r="C3250" s="3">
        <v>640.0</v>
      </c>
      <c r="D3250" s="3">
        <f>IFERROR(__xludf.DUMMYFUNCTION("IFERROR(
IF(REGEXMATCH(LOWER(O3250),""k""),
VALUE(REGEXEXTRACT(O3250,""[0-9]+""))*1000,
VALUE(REGEXEXTRACT(O3250,""[0-9]+""))
),
0
)"),0.0)</f>
        <v>0</v>
      </c>
      <c r="E3250" s="1" t="s">
        <v>11</v>
      </c>
      <c r="F3250" s="1" t="s">
        <v>20</v>
      </c>
      <c r="G3250" s="4" t="b">
        <f t="shared" si="2"/>
        <v>1</v>
      </c>
      <c r="H3250" s="1" t="str">
        <f t="shared" si="3"/>
        <v>Currently Unavailable</v>
      </c>
      <c r="I3250" s="1" t="str">
        <f t="shared" si="4"/>
        <v>No Badges</v>
      </c>
      <c r="J3250" s="3">
        <f t="shared" si="5"/>
        <v>0</v>
      </c>
    </row>
    <row r="3251">
      <c r="A3251" s="1" t="s">
        <v>2405</v>
      </c>
      <c r="B3251" s="3" t="str">
        <f t="shared" si="1"/>
        <v>Unavailable</v>
      </c>
      <c r="C3251" s="3">
        <v>62.0</v>
      </c>
      <c r="D3251" s="3">
        <f>IFERROR(__xludf.DUMMYFUNCTION("IFERROR(
IF(REGEXMATCH(LOWER(O3251),""k""),
VALUE(REGEXEXTRACT(O3251,""[0-9]+""))*1000,
VALUE(REGEXEXTRACT(O3251,""[0-9]+""))
),
0
)"),0.0)</f>
        <v>0</v>
      </c>
      <c r="E3251" s="1" t="s">
        <v>11</v>
      </c>
      <c r="F3251" s="1" t="s">
        <v>20</v>
      </c>
      <c r="G3251" s="4" t="b">
        <f t="shared" si="2"/>
        <v>1</v>
      </c>
      <c r="H3251" s="1" t="str">
        <f t="shared" si="3"/>
        <v>Currently Unavailable</v>
      </c>
      <c r="I3251" s="1" t="str">
        <f t="shared" si="4"/>
        <v>No Badges</v>
      </c>
      <c r="J3251" s="3">
        <f t="shared" si="5"/>
        <v>0</v>
      </c>
    </row>
    <row r="3252">
      <c r="A3252" s="1" t="s">
        <v>2406</v>
      </c>
      <c r="B3252" s="3" t="str">
        <f t="shared" si="1"/>
        <v>Unavailable</v>
      </c>
      <c r="C3252" s="3">
        <v>506.0</v>
      </c>
      <c r="D3252" s="3">
        <f>IFERROR(__xludf.DUMMYFUNCTION("IFERROR(
IF(REGEXMATCH(LOWER(O3252),""k""),
VALUE(REGEXEXTRACT(O3252,""[0-9]+""))*1000,
VALUE(REGEXEXTRACT(O3252,""[0-9]+""))
),
0
)"),0.0)</f>
        <v>0</v>
      </c>
      <c r="E3252" s="1" t="s">
        <v>11</v>
      </c>
      <c r="F3252" s="1" t="s">
        <v>20</v>
      </c>
      <c r="G3252" s="4" t="b">
        <f t="shared" si="2"/>
        <v>1</v>
      </c>
      <c r="H3252" s="1" t="str">
        <f t="shared" si="3"/>
        <v>Currently Unavailable</v>
      </c>
      <c r="I3252" s="1" t="str">
        <f t="shared" si="4"/>
        <v>No Badges</v>
      </c>
      <c r="J3252" s="3">
        <f t="shared" si="5"/>
        <v>0</v>
      </c>
    </row>
    <row r="3253">
      <c r="A3253" s="1" t="s">
        <v>2407</v>
      </c>
      <c r="B3253" s="3" t="str">
        <f t="shared" si="1"/>
        <v>Unavailable</v>
      </c>
      <c r="C3253" s="5">
        <v>10627.0</v>
      </c>
      <c r="D3253" s="3">
        <f>IFERROR(__xludf.DUMMYFUNCTION("IFERROR(
IF(REGEXMATCH(LOWER(O3253),""k""),
VALUE(REGEXEXTRACT(O3253,""[0-9]+""))*1000,
VALUE(REGEXEXTRACT(O3253,""[0-9]+""))
),
0
)"),0.0)</f>
        <v>0</v>
      </c>
      <c r="E3253" s="1" t="s">
        <v>11</v>
      </c>
      <c r="F3253" s="1" t="s">
        <v>20</v>
      </c>
      <c r="G3253" s="4" t="b">
        <f t="shared" si="2"/>
        <v>1</v>
      </c>
      <c r="H3253" s="1" t="str">
        <f t="shared" si="3"/>
        <v>Currently Unavailable</v>
      </c>
      <c r="I3253" s="1" t="str">
        <f t="shared" si="4"/>
        <v>No Badges</v>
      </c>
      <c r="J3253" s="3">
        <f t="shared" si="5"/>
        <v>0</v>
      </c>
    </row>
    <row r="3254">
      <c r="A3254" s="1" t="s">
        <v>2408</v>
      </c>
      <c r="B3254" s="3" t="str">
        <f t="shared" si="1"/>
        <v>Unavailable</v>
      </c>
      <c r="C3254" s="3">
        <v>76.0</v>
      </c>
      <c r="D3254" s="3">
        <f>IFERROR(__xludf.DUMMYFUNCTION("IFERROR(
IF(REGEXMATCH(LOWER(O3254),""k""),
VALUE(REGEXEXTRACT(O3254,""[0-9]+""))*1000,
VALUE(REGEXEXTRACT(O3254,""[0-9]+""))
),
0
)"),0.0)</f>
        <v>0</v>
      </c>
      <c r="E3254" s="1" t="s">
        <v>11</v>
      </c>
      <c r="F3254" s="1" t="s">
        <v>20</v>
      </c>
      <c r="G3254" s="4" t="b">
        <f t="shared" si="2"/>
        <v>1</v>
      </c>
      <c r="H3254" s="1" t="str">
        <f t="shared" si="3"/>
        <v>Currently Unavailable</v>
      </c>
      <c r="I3254" s="1" t="str">
        <f t="shared" si="4"/>
        <v>No Badges</v>
      </c>
      <c r="J3254" s="3">
        <f t="shared" si="5"/>
        <v>0</v>
      </c>
    </row>
    <row r="3255">
      <c r="A3255" s="1" t="s">
        <v>2409</v>
      </c>
      <c r="B3255" s="3" t="str">
        <f t="shared" si="1"/>
        <v>Unavailable</v>
      </c>
      <c r="C3255" s="5">
        <v>4382.0</v>
      </c>
      <c r="D3255" s="3">
        <f>IFERROR(__xludf.DUMMYFUNCTION("IFERROR(
IF(REGEXMATCH(LOWER(O3255),""k""),
VALUE(REGEXEXTRACT(O3255,""[0-9]+""))*1000,
VALUE(REGEXEXTRACT(O3255,""[0-9]+""))
),
0
)"),0.0)</f>
        <v>0</v>
      </c>
      <c r="E3255" s="1" t="s">
        <v>11</v>
      </c>
      <c r="F3255" s="1" t="s">
        <v>20</v>
      </c>
      <c r="G3255" s="4" t="b">
        <f t="shared" si="2"/>
        <v>1</v>
      </c>
      <c r="H3255" s="1" t="str">
        <f t="shared" si="3"/>
        <v>Currently Unavailable</v>
      </c>
      <c r="I3255" s="1" t="str">
        <f t="shared" si="4"/>
        <v>No Badges</v>
      </c>
      <c r="J3255" s="3">
        <f t="shared" si="5"/>
        <v>0</v>
      </c>
    </row>
    <row r="3256">
      <c r="A3256" s="1" t="s">
        <v>2410</v>
      </c>
      <c r="B3256" s="3" t="str">
        <f t="shared" si="1"/>
        <v>Unavailable</v>
      </c>
      <c r="C3256" s="3">
        <v>753.0</v>
      </c>
      <c r="D3256" s="3">
        <f>IFERROR(__xludf.DUMMYFUNCTION("IFERROR(
IF(REGEXMATCH(LOWER(O3256),""k""),
VALUE(REGEXEXTRACT(O3256,""[0-9]+""))*1000,
VALUE(REGEXEXTRACT(O3256,""[0-9]+""))
),
0
)"),0.0)</f>
        <v>0</v>
      </c>
      <c r="E3256" s="1" t="s">
        <v>11</v>
      </c>
      <c r="F3256" s="1" t="s">
        <v>20</v>
      </c>
      <c r="G3256" s="4" t="b">
        <f t="shared" si="2"/>
        <v>1</v>
      </c>
      <c r="H3256" s="1" t="str">
        <f t="shared" si="3"/>
        <v>Currently Unavailable</v>
      </c>
      <c r="I3256" s="1" t="str">
        <f t="shared" si="4"/>
        <v>No Badges</v>
      </c>
      <c r="J3256" s="3">
        <f t="shared" si="5"/>
        <v>0</v>
      </c>
    </row>
    <row r="3257">
      <c r="A3257" s="1" t="s">
        <v>2411</v>
      </c>
      <c r="B3257" s="3" t="str">
        <f t="shared" si="1"/>
        <v>Unavailable</v>
      </c>
      <c r="C3257" s="3">
        <v>481.0</v>
      </c>
      <c r="D3257" s="3">
        <f>IFERROR(__xludf.DUMMYFUNCTION("IFERROR(
IF(REGEXMATCH(LOWER(O3257),""k""),
VALUE(REGEXEXTRACT(O3257,""[0-9]+""))*1000,
VALUE(REGEXEXTRACT(O3257,""[0-9]+""))
),
0
)"),0.0)</f>
        <v>0</v>
      </c>
      <c r="E3257" s="1" t="s">
        <v>11</v>
      </c>
      <c r="F3257" s="1" t="s">
        <v>20</v>
      </c>
      <c r="G3257" s="4" t="b">
        <f t="shared" si="2"/>
        <v>1</v>
      </c>
      <c r="H3257" s="1" t="str">
        <f t="shared" si="3"/>
        <v>Currently Unavailable</v>
      </c>
      <c r="I3257" s="1" t="str">
        <f t="shared" si="4"/>
        <v>No Badges</v>
      </c>
      <c r="J3257" s="3">
        <f t="shared" si="5"/>
        <v>0</v>
      </c>
    </row>
    <row r="3258">
      <c r="A3258" s="1" t="s">
        <v>2412</v>
      </c>
      <c r="B3258" s="3" t="str">
        <f t="shared" si="1"/>
        <v>Unavailable</v>
      </c>
      <c r="C3258" s="3">
        <v>324.0</v>
      </c>
      <c r="D3258" s="3">
        <f>IFERROR(__xludf.DUMMYFUNCTION("IFERROR(
IF(REGEXMATCH(LOWER(O3258),""k""),
VALUE(REGEXEXTRACT(O3258,""[0-9]+""))*1000,
VALUE(REGEXEXTRACT(O3258,""[0-9]+""))
),
0
)"),0.0)</f>
        <v>0</v>
      </c>
      <c r="E3258" s="1" t="s">
        <v>11</v>
      </c>
      <c r="F3258" s="1" t="s">
        <v>20</v>
      </c>
      <c r="G3258" s="4" t="b">
        <f t="shared" si="2"/>
        <v>1</v>
      </c>
      <c r="H3258" s="1" t="str">
        <f t="shared" si="3"/>
        <v>Currently Unavailable</v>
      </c>
      <c r="I3258" s="1" t="str">
        <f t="shared" si="4"/>
        <v>No Badges</v>
      </c>
      <c r="J3258" s="3">
        <f t="shared" si="5"/>
        <v>0</v>
      </c>
    </row>
    <row r="3259">
      <c r="A3259" s="1" t="s">
        <v>701</v>
      </c>
      <c r="B3259" s="3" t="str">
        <f t="shared" si="1"/>
        <v>Unavailable</v>
      </c>
      <c r="C3259" s="3">
        <v>8.0</v>
      </c>
      <c r="D3259" s="3">
        <f>IFERROR(__xludf.DUMMYFUNCTION("IFERROR(
IF(REGEXMATCH(LOWER(O3259),""k""),
VALUE(REGEXEXTRACT(O3259,""[0-9]+""))*1000,
VALUE(REGEXEXTRACT(O3259,""[0-9]+""))
),
0
)"),0.0)</f>
        <v>0</v>
      </c>
      <c r="E3259" s="1" t="s">
        <v>11</v>
      </c>
      <c r="F3259" s="1" t="s">
        <v>12</v>
      </c>
      <c r="G3259" s="4" t="b">
        <f t="shared" si="2"/>
        <v>1</v>
      </c>
      <c r="H3259" s="1" t="str">
        <f t="shared" si="3"/>
        <v>Currently Unavailable</v>
      </c>
      <c r="I3259" s="1" t="str">
        <f t="shared" si="4"/>
        <v>No Badges</v>
      </c>
      <c r="J3259" s="3">
        <f t="shared" si="5"/>
        <v>0</v>
      </c>
    </row>
    <row r="3260">
      <c r="A3260" s="1" t="s">
        <v>2413</v>
      </c>
      <c r="B3260" s="3" t="str">
        <f t="shared" si="1"/>
        <v>Unavailable</v>
      </c>
      <c r="C3260" s="3">
        <v>501.0</v>
      </c>
      <c r="D3260" s="3">
        <f>IFERROR(__xludf.DUMMYFUNCTION("IFERROR(
IF(REGEXMATCH(LOWER(O3260),""k""),
VALUE(REGEXEXTRACT(O3260,""[0-9]+""))*1000,
VALUE(REGEXEXTRACT(O3260,""[0-9]+""))
),
0
)"),0.0)</f>
        <v>0</v>
      </c>
      <c r="E3260" s="1" t="s">
        <v>11</v>
      </c>
      <c r="F3260" s="1" t="s">
        <v>20</v>
      </c>
      <c r="G3260" s="4" t="b">
        <f t="shared" si="2"/>
        <v>1</v>
      </c>
      <c r="H3260" s="1" t="str">
        <f t="shared" si="3"/>
        <v>Currently Unavailable</v>
      </c>
      <c r="I3260" s="1" t="str">
        <f t="shared" si="4"/>
        <v>No Badges</v>
      </c>
      <c r="J3260" s="3">
        <f t="shared" si="5"/>
        <v>0</v>
      </c>
    </row>
    <row r="3261">
      <c r="A3261" s="1" t="s">
        <v>2414</v>
      </c>
      <c r="B3261" s="3" t="str">
        <f t="shared" si="1"/>
        <v>Unavailable</v>
      </c>
      <c r="C3261" s="3">
        <v>268.0</v>
      </c>
      <c r="D3261" s="3">
        <f>IFERROR(__xludf.DUMMYFUNCTION("IFERROR(
IF(REGEXMATCH(LOWER(O3261),""k""),
VALUE(REGEXEXTRACT(O3261,""[0-9]+""))*1000,
VALUE(REGEXEXTRACT(O3261,""[0-9]+""))
),
0
)"),0.0)</f>
        <v>0</v>
      </c>
      <c r="E3261" s="1" t="s">
        <v>11</v>
      </c>
      <c r="F3261" s="1" t="s">
        <v>20</v>
      </c>
      <c r="G3261" s="4" t="b">
        <f t="shared" si="2"/>
        <v>1</v>
      </c>
      <c r="H3261" s="1" t="str">
        <f t="shared" si="3"/>
        <v>Currently Unavailable</v>
      </c>
      <c r="I3261" s="1" t="str">
        <f t="shared" si="4"/>
        <v>No Badges</v>
      </c>
      <c r="J3261" s="3">
        <f t="shared" si="5"/>
        <v>0</v>
      </c>
    </row>
    <row r="3262">
      <c r="A3262" s="1" t="s">
        <v>69</v>
      </c>
      <c r="B3262" s="3" t="str">
        <f t="shared" si="1"/>
        <v>Unavailable</v>
      </c>
      <c r="C3262" s="3">
        <v>45.0</v>
      </c>
      <c r="D3262" s="3">
        <f>IFERROR(__xludf.DUMMYFUNCTION("IFERROR(
IF(REGEXMATCH(LOWER(O3262),""k""),
VALUE(REGEXEXTRACT(O3262,""[0-9]+""))*1000,
VALUE(REGEXEXTRACT(O3262,""[0-9]+""))
),
0
)"),0.0)</f>
        <v>0</v>
      </c>
      <c r="E3262" s="1" t="s">
        <v>11</v>
      </c>
      <c r="F3262" s="1" t="s">
        <v>12</v>
      </c>
      <c r="G3262" s="4" t="b">
        <f t="shared" si="2"/>
        <v>1</v>
      </c>
      <c r="H3262" s="1" t="str">
        <f t="shared" si="3"/>
        <v>Currently Unavailable</v>
      </c>
      <c r="I3262" s="1" t="str">
        <f t="shared" si="4"/>
        <v>No Badges</v>
      </c>
      <c r="J3262" s="3">
        <f t="shared" si="5"/>
        <v>0</v>
      </c>
    </row>
    <row r="3263">
      <c r="A3263" s="1" t="s">
        <v>2415</v>
      </c>
      <c r="B3263" s="3" t="str">
        <f t="shared" si="1"/>
        <v>Unavailable</v>
      </c>
      <c r="C3263" s="3">
        <v>35.0</v>
      </c>
      <c r="D3263" s="3">
        <f>IFERROR(__xludf.DUMMYFUNCTION("IFERROR(
IF(REGEXMATCH(LOWER(O3263),""k""),
VALUE(REGEXEXTRACT(O3263,""[0-9]+""))*1000,
VALUE(REGEXEXTRACT(O3263,""[0-9]+""))
),
0
)"),0.0)</f>
        <v>0</v>
      </c>
      <c r="E3263" s="1" t="s">
        <v>11</v>
      </c>
      <c r="F3263" s="1" t="s">
        <v>20</v>
      </c>
      <c r="G3263" s="4" t="b">
        <f t="shared" si="2"/>
        <v>1</v>
      </c>
      <c r="H3263" s="1" t="str">
        <f t="shared" si="3"/>
        <v>Currently Unavailable</v>
      </c>
      <c r="I3263" s="1" t="str">
        <f t="shared" si="4"/>
        <v>No Badges</v>
      </c>
      <c r="J3263" s="3">
        <f t="shared" si="5"/>
        <v>0</v>
      </c>
    </row>
    <row r="3264">
      <c r="A3264" s="1" t="s">
        <v>2416</v>
      </c>
      <c r="B3264" s="3" t="str">
        <f t="shared" si="1"/>
        <v>Unavailable</v>
      </c>
      <c r="C3264" s="3">
        <v>593.0</v>
      </c>
      <c r="D3264" s="3">
        <f>IFERROR(__xludf.DUMMYFUNCTION("IFERROR(
IF(REGEXMATCH(LOWER(O3264),""k""),
VALUE(REGEXEXTRACT(O3264,""[0-9]+""))*1000,
VALUE(REGEXEXTRACT(O3264,""[0-9]+""))
),
0
)"),0.0)</f>
        <v>0</v>
      </c>
      <c r="E3264" s="1" t="s">
        <v>11</v>
      </c>
      <c r="F3264" s="1" t="s">
        <v>20</v>
      </c>
      <c r="G3264" s="4" t="b">
        <f t="shared" si="2"/>
        <v>1</v>
      </c>
      <c r="H3264" s="1" t="str">
        <f t="shared" si="3"/>
        <v>Currently Unavailable</v>
      </c>
      <c r="I3264" s="1" t="str">
        <f t="shared" si="4"/>
        <v>No Badges</v>
      </c>
      <c r="J3264" s="3">
        <f t="shared" si="5"/>
        <v>0</v>
      </c>
    </row>
    <row r="3265">
      <c r="A3265" s="1" t="s">
        <v>2417</v>
      </c>
      <c r="B3265" s="3" t="str">
        <f t="shared" si="1"/>
        <v>Unavailable</v>
      </c>
      <c r="C3265" s="3">
        <v>116.0</v>
      </c>
      <c r="D3265" s="3">
        <f>IFERROR(__xludf.DUMMYFUNCTION("IFERROR(
IF(REGEXMATCH(LOWER(O3265),""k""),
VALUE(REGEXEXTRACT(O3265,""[0-9]+""))*1000,
VALUE(REGEXEXTRACT(O3265,""[0-9]+""))
),
0
)"),0.0)</f>
        <v>0</v>
      </c>
      <c r="E3265" s="1" t="s">
        <v>11</v>
      </c>
      <c r="F3265" s="1" t="s">
        <v>20</v>
      </c>
      <c r="G3265" s="4" t="b">
        <f t="shared" si="2"/>
        <v>1</v>
      </c>
      <c r="H3265" s="1" t="str">
        <f t="shared" si="3"/>
        <v>Currently Unavailable</v>
      </c>
      <c r="I3265" s="1" t="str">
        <f t="shared" si="4"/>
        <v>No Badges</v>
      </c>
      <c r="J3265" s="3">
        <f t="shared" si="5"/>
        <v>0</v>
      </c>
    </row>
    <row r="3266">
      <c r="A3266" s="1" t="s">
        <v>2418</v>
      </c>
      <c r="B3266" s="3" t="str">
        <f t="shared" si="1"/>
        <v>Unavailable</v>
      </c>
      <c r="C3266" s="3">
        <v>153.0</v>
      </c>
      <c r="D3266" s="3">
        <f>IFERROR(__xludf.DUMMYFUNCTION("IFERROR(
IF(REGEXMATCH(LOWER(O3266),""k""),
VALUE(REGEXEXTRACT(O3266,""[0-9]+""))*1000,
VALUE(REGEXEXTRACT(O3266,""[0-9]+""))
),
0
)"),0.0)</f>
        <v>0</v>
      </c>
      <c r="E3266" s="1" t="s">
        <v>11</v>
      </c>
      <c r="F3266" s="1" t="s">
        <v>20</v>
      </c>
      <c r="G3266" s="4" t="b">
        <f t="shared" si="2"/>
        <v>1</v>
      </c>
      <c r="H3266" s="1" t="str">
        <f t="shared" si="3"/>
        <v>Currently Unavailable</v>
      </c>
      <c r="I3266" s="1" t="str">
        <f t="shared" si="4"/>
        <v>No Badges</v>
      </c>
      <c r="J3266" s="3">
        <f t="shared" si="5"/>
        <v>0</v>
      </c>
    </row>
    <row r="3267">
      <c r="A3267" s="1" t="s">
        <v>2419</v>
      </c>
      <c r="B3267" s="3" t="str">
        <f t="shared" si="1"/>
        <v>Unavailable</v>
      </c>
      <c r="C3267" s="3">
        <v>265.0</v>
      </c>
      <c r="D3267" s="3">
        <f>IFERROR(__xludf.DUMMYFUNCTION("IFERROR(
IF(REGEXMATCH(LOWER(O3267),""k""),
VALUE(REGEXEXTRACT(O3267,""[0-9]+""))*1000,
VALUE(REGEXEXTRACT(O3267,""[0-9]+""))
),
0
)"),0.0)</f>
        <v>0</v>
      </c>
      <c r="E3267" s="1" t="s">
        <v>11</v>
      </c>
      <c r="F3267" s="1" t="s">
        <v>20</v>
      </c>
      <c r="G3267" s="4" t="b">
        <f t="shared" si="2"/>
        <v>1</v>
      </c>
      <c r="H3267" s="1" t="str">
        <f t="shared" si="3"/>
        <v>Currently Unavailable</v>
      </c>
      <c r="I3267" s="1" t="str">
        <f t="shared" si="4"/>
        <v>No Badges</v>
      </c>
      <c r="J3267" s="3">
        <f t="shared" si="5"/>
        <v>0</v>
      </c>
    </row>
    <row r="3268">
      <c r="A3268" s="1" t="s">
        <v>2420</v>
      </c>
      <c r="B3268" s="3" t="str">
        <f t="shared" si="1"/>
        <v>Unavailable</v>
      </c>
      <c r="C3268" s="3">
        <v>766.0</v>
      </c>
      <c r="D3268" s="3">
        <f>IFERROR(__xludf.DUMMYFUNCTION("IFERROR(
IF(REGEXMATCH(LOWER(O3268),""k""),
VALUE(REGEXEXTRACT(O3268,""[0-9]+""))*1000,
VALUE(REGEXEXTRACT(O3268,""[0-9]+""))
),
0
)"),0.0)</f>
        <v>0</v>
      </c>
      <c r="E3268" s="1" t="s">
        <v>11</v>
      </c>
      <c r="F3268" s="1" t="s">
        <v>20</v>
      </c>
      <c r="G3268" s="4" t="b">
        <f t="shared" si="2"/>
        <v>1</v>
      </c>
      <c r="H3268" s="1" t="str">
        <f t="shared" si="3"/>
        <v>Currently Unavailable</v>
      </c>
      <c r="I3268" s="1" t="str">
        <f t="shared" si="4"/>
        <v>No Badges</v>
      </c>
      <c r="J3268" s="3">
        <f t="shared" si="5"/>
        <v>0</v>
      </c>
    </row>
    <row r="3269">
      <c r="A3269" s="1" t="s">
        <v>2421</v>
      </c>
      <c r="B3269" s="3" t="str">
        <f t="shared" si="1"/>
        <v>Unavailable</v>
      </c>
      <c r="C3269" s="3">
        <v>272.0</v>
      </c>
      <c r="D3269" s="3">
        <f>IFERROR(__xludf.DUMMYFUNCTION("IFERROR(
IF(REGEXMATCH(LOWER(O3269),""k""),
VALUE(REGEXEXTRACT(O3269,""[0-9]+""))*1000,
VALUE(REGEXEXTRACT(O3269,""[0-9]+""))
),
0
)"),0.0)</f>
        <v>0</v>
      </c>
      <c r="E3269" s="1" t="s">
        <v>11</v>
      </c>
      <c r="F3269" s="1" t="s">
        <v>20</v>
      </c>
      <c r="G3269" s="4" t="b">
        <f t="shared" si="2"/>
        <v>1</v>
      </c>
      <c r="H3269" s="1" t="str">
        <f t="shared" si="3"/>
        <v>Currently Unavailable</v>
      </c>
      <c r="I3269" s="1" t="str">
        <f t="shared" si="4"/>
        <v>No Badges</v>
      </c>
      <c r="J3269" s="3">
        <f t="shared" si="5"/>
        <v>0</v>
      </c>
    </row>
    <row r="3270">
      <c r="A3270" s="1" t="s">
        <v>2422</v>
      </c>
      <c r="B3270" s="3" t="str">
        <f t="shared" si="1"/>
        <v>Unavailable</v>
      </c>
      <c r="C3270" s="5">
        <v>1215.0</v>
      </c>
      <c r="D3270" s="3">
        <f>IFERROR(__xludf.DUMMYFUNCTION("IFERROR(
IF(REGEXMATCH(LOWER(O3270),""k""),
VALUE(REGEXEXTRACT(O3270,""[0-9]+""))*1000,
VALUE(REGEXEXTRACT(O3270,""[0-9]+""))
),
0
)"),0.0)</f>
        <v>0</v>
      </c>
      <c r="E3270" s="1" t="s">
        <v>11</v>
      </c>
      <c r="F3270" s="1" t="s">
        <v>20</v>
      </c>
      <c r="G3270" s="4" t="b">
        <f t="shared" si="2"/>
        <v>1</v>
      </c>
      <c r="H3270" s="1" t="str">
        <f t="shared" si="3"/>
        <v>Currently Unavailable</v>
      </c>
      <c r="I3270" s="1" t="str">
        <f t="shared" si="4"/>
        <v>No Badges</v>
      </c>
      <c r="J3270" s="3">
        <f t="shared" si="5"/>
        <v>0</v>
      </c>
    </row>
    <row r="3271">
      <c r="A3271" s="1" t="s">
        <v>2423</v>
      </c>
      <c r="B3271" s="3" t="str">
        <f t="shared" si="1"/>
        <v>Unavailable</v>
      </c>
      <c r="C3271" s="3">
        <v>387.0</v>
      </c>
      <c r="D3271" s="3">
        <f>IFERROR(__xludf.DUMMYFUNCTION("IFERROR(
IF(REGEXMATCH(LOWER(O3271),""k""),
VALUE(REGEXEXTRACT(O3271,""[0-9]+""))*1000,
VALUE(REGEXEXTRACT(O3271,""[0-9]+""))
),
0
)"),0.0)</f>
        <v>0</v>
      </c>
      <c r="E3271" s="1" t="s">
        <v>11</v>
      </c>
      <c r="F3271" s="1" t="s">
        <v>20</v>
      </c>
      <c r="G3271" s="4" t="b">
        <f t="shared" si="2"/>
        <v>1</v>
      </c>
      <c r="H3271" s="1" t="str">
        <f t="shared" si="3"/>
        <v>Currently Unavailable</v>
      </c>
      <c r="I3271" s="1" t="str">
        <f t="shared" si="4"/>
        <v>No Badges</v>
      </c>
      <c r="J3271" s="3">
        <f t="shared" si="5"/>
        <v>0</v>
      </c>
    </row>
    <row r="3272">
      <c r="A3272" s="1" t="s">
        <v>2424</v>
      </c>
      <c r="B3272" s="3" t="str">
        <f t="shared" si="1"/>
        <v>Unavailable</v>
      </c>
      <c r="C3272" s="5">
        <v>1352.0</v>
      </c>
      <c r="D3272" s="3">
        <f>IFERROR(__xludf.DUMMYFUNCTION("IFERROR(
IF(REGEXMATCH(LOWER(O3272),""k""),
VALUE(REGEXEXTRACT(O3272,""[0-9]+""))*1000,
VALUE(REGEXEXTRACT(O3272,""[0-9]+""))
),
0
)"),0.0)</f>
        <v>0</v>
      </c>
      <c r="E3272" s="1" t="s">
        <v>11</v>
      </c>
      <c r="F3272" s="1" t="s">
        <v>20</v>
      </c>
      <c r="G3272" s="4" t="b">
        <f t="shared" si="2"/>
        <v>1</v>
      </c>
      <c r="H3272" s="1" t="str">
        <f t="shared" si="3"/>
        <v>Currently Unavailable</v>
      </c>
      <c r="I3272" s="1" t="str">
        <f t="shared" si="4"/>
        <v>No Badges</v>
      </c>
      <c r="J3272" s="3">
        <f t="shared" si="5"/>
        <v>0</v>
      </c>
    </row>
    <row r="3273">
      <c r="A3273" s="1" t="s">
        <v>2425</v>
      </c>
      <c r="B3273" s="3" t="str">
        <f t="shared" si="1"/>
        <v>Unavailable</v>
      </c>
      <c r="C3273" s="3">
        <v>438.0</v>
      </c>
      <c r="D3273" s="3">
        <f>IFERROR(__xludf.DUMMYFUNCTION("IFERROR(
IF(REGEXMATCH(LOWER(O3273),""k""),
VALUE(REGEXEXTRACT(O3273,""[0-9]+""))*1000,
VALUE(REGEXEXTRACT(O3273,""[0-9]+""))
),
0
)"),0.0)</f>
        <v>0</v>
      </c>
      <c r="E3273" s="1" t="s">
        <v>11</v>
      </c>
      <c r="F3273" s="1" t="s">
        <v>20</v>
      </c>
      <c r="G3273" s="4" t="b">
        <f t="shared" si="2"/>
        <v>1</v>
      </c>
      <c r="H3273" s="1" t="str">
        <f t="shared" si="3"/>
        <v>Currently Unavailable</v>
      </c>
      <c r="I3273" s="1" t="str">
        <f t="shared" si="4"/>
        <v>No Badges</v>
      </c>
      <c r="J3273" s="3">
        <f t="shared" si="5"/>
        <v>0</v>
      </c>
    </row>
    <row r="3274">
      <c r="A3274" s="1" t="s">
        <v>2426</v>
      </c>
      <c r="B3274" s="3" t="str">
        <f t="shared" si="1"/>
        <v>Unavailable</v>
      </c>
      <c r="C3274" s="3">
        <v>837.0</v>
      </c>
      <c r="D3274" s="3">
        <f>IFERROR(__xludf.DUMMYFUNCTION("IFERROR(
IF(REGEXMATCH(LOWER(O3274),""k""),
VALUE(REGEXEXTRACT(O3274,""[0-9]+""))*1000,
VALUE(REGEXEXTRACT(O3274,""[0-9]+""))
),
0
)"),0.0)</f>
        <v>0</v>
      </c>
      <c r="E3274" s="1" t="s">
        <v>11</v>
      </c>
      <c r="F3274" s="1" t="s">
        <v>20</v>
      </c>
      <c r="G3274" s="4" t="b">
        <f t="shared" si="2"/>
        <v>1</v>
      </c>
      <c r="H3274" s="1" t="str">
        <f t="shared" si="3"/>
        <v>Currently Unavailable</v>
      </c>
      <c r="I3274" s="1" t="str">
        <f t="shared" si="4"/>
        <v>No Badges</v>
      </c>
      <c r="J3274" s="3">
        <f t="shared" si="5"/>
        <v>0</v>
      </c>
    </row>
    <row r="3275">
      <c r="A3275" s="1" t="s">
        <v>67</v>
      </c>
      <c r="B3275" s="3" t="str">
        <f t="shared" si="1"/>
        <v>Unavailable</v>
      </c>
      <c r="C3275" s="3">
        <v>264.0</v>
      </c>
      <c r="D3275" s="3">
        <f>IFERROR(__xludf.DUMMYFUNCTION("IFERROR(
IF(REGEXMATCH(LOWER(O3275),""k""),
VALUE(REGEXEXTRACT(O3275,""[0-9]+""))*1000,
VALUE(REGEXEXTRACT(O3275,""[0-9]+""))
),
0
)"),0.0)</f>
        <v>0</v>
      </c>
      <c r="E3275" s="1" t="s">
        <v>11</v>
      </c>
      <c r="F3275" s="1" t="s">
        <v>12</v>
      </c>
      <c r="G3275" s="4" t="b">
        <f t="shared" si="2"/>
        <v>1</v>
      </c>
      <c r="H3275" s="1" t="str">
        <f t="shared" si="3"/>
        <v>Currently Unavailable</v>
      </c>
      <c r="I3275" s="1" t="str">
        <f t="shared" si="4"/>
        <v>No Badges</v>
      </c>
      <c r="J3275" s="3">
        <f t="shared" si="5"/>
        <v>0</v>
      </c>
    </row>
    <row r="3276">
      <c r="A3276" s="1" t="s">
        <v>2427</v>
      </c>
      <c r="B3276" s="3" t="str">
        <f t="shared" si="1"/>
        <v>Unavailable</v>
      </c>
      <c r="C3276" s="3">
        <v>50.0</v>
      </c>
      <c r="D3276" s="3">
        <f>IFERROR(__xludf.DUMMYFUNCTION("IFERROR(
IF(REGEXMATCH(LOWER(O3276),""k""),
VALUE(REGEXEXTRACT(O3276,""[0-9]+""))*1000,
VALUE(REGEXEXTRACT(O3276,""[0-9]+""))
),
0
)"),0.0)</f>
        <v>0</v>
      </c>
      <c r="E3276" s="1" t="s">
        <v>11</v>
      </c>
      <c r="F3276" s="1" t="s">
        <v>20</v>
      </c>
      <c r="G3276" s="4" t="b">
        <f t="shared" si="2"/>
        <v>1</v>
      </c>
      <c r="H3276" s="1" t="str">
        <f t="shared" si="3"/>
        <v>Currently Unavailable</v>
      </c>
      <c r="I3276" s="1" t="str">
        <f t="shared" si="4"/>
        <v>No Badges</v>
      </c>
      <c r="J3276" s="3">
        <f t="shared" si="5"/>
        <v>0</v>
      </c>
    </row>
    <row r="3277">
      <c r="A3277" s="1" t="s">
        <v>701</v>
      </c>
      <c r="B3277" s="3" t="str">
        <f t="shared" si="1"/>
        <v>Unavailable</v>
      </c>
      <c r="C3277" s="3">
        <v>8.0</v>
      </c>
      <c r="D3277" s="3">
        <f>IFERROR(__xludf.DUMMYFUNCTION("IFERROR(
IF(REGEXMATCH(LOWER(O3277),""k""),
VALUE(REGEXEXTRACT(O3277,""[0-9]+""))*1000,
VALUE(REGEXEXTRACT(O3277,""[0-9]+""))
),
0
)"),0.0)</f>
        <v>0</v>
      </c>
      <c r="E3277" s="1" t="s">
        <v>11</v>
      </c>
      <c r="F3277" s="1" t="s">
        <v>12</v>
      </c>
      <c r="G3277" s="4" t="b">
        <f t="shared" si="2"/>
        <v>1</v>
      </c>
      <c r="H3277" s="1" t="str">
        <f t="shared" si="3"/>
        <v>Currently Unavailable</v>
      </c>
      <c r="I3277" s="1" t="str">
        <f t="shared" si="4"/>
        <v>No Badges</v>
      </c>
      <c r="J3277" s="3">
        <f t="shared" si="5"/>
        <v>0</v>
      </c>
    </row>
    <row r="3278">
      <c r="A3278" s="1" t="s">
        <v>2428</v>
      </c>
      <c r="B3278" s="3" t="str">
        <f t="shared" si="1"/>
        <v>Unavailable</v>
      </c>
      <c r="C3278" s="3">
        <v>32.0</v>
      </c>
      <c r="D3278" s="3">
        <f>IFERROR(__xludf.DUMMYFUNCTION("IFERROR(
IF(REGEXMATCH(LOWER(O3278),""k""),
VALUE(REGEXEXTRACT(O3278,""[0-9]+""))*1000,
VALUE(REGEXEXTRACT(O3278,""[0-9]+""))
),
0
)"),0.0)</f>
        <v>0</v>
      </c>
      <c r="E3278" s="1" t="s">
        <v>11</v>
      </c>
      <c r="F3278" s="1" t="s">
        <v>20</v>
      </c>
      <c r="G3278" s="4" t="b">
        <f t="shared" si="2"/>
        <v>1</v>
      </c>
      <c r="H3278" s="1" t="str">
        <f t="shared" si="3"/>
        <v>Currently Unavailable</v>
      </c>
      <c r="I3278" s="1" t="str">
        <f t="shared" si="4"/>
        <v>No Badges</v>
      </c>
      <c r="J3278" s="3">
        <f t="shared" si="5"/>
        <v>0</v>
      </c>
    </row>
    <row r="3279">
      <c r="A3279" s="1" t="s">
        <v>2429</v>
      </c>
      <c r="B3279" s="3" t="str">
        <f t="shared" si="1"/>
        <v>Unavailable</v>
      </c>
      <c r="C3279" s="3">
        <v>63.0</v>
      </c>
      <c r="D3279" s="3">
        <f>IFERROR(__xludf.DUMMYFUNCTION("IFERROR(
IF(REGEXMATCH(LOWER(O3279),""k""),
VALUE(REGEXEXTRACT(O3279,""[0-9]+""))*1000,
VALUE(REGEXEXTRACT(O3279,""[0-9]+""))
),
0
)"),0.0)</f>
        <v>0</v>
      </c>
      <c r="E3279" s="1" t="s">
        <v>11</v>
      </c>
      <c r="F3279" s="1" t="s">
        <v>20</v>
      </c>
      <c r="G3279" s="4" t="b">
        <f t="shared" si="2"/>
        <v>1</v>
      </c>
      <c r="H3279" s="1" t="str">
        <f t="shared" si="3"/>
        <v>Currently Unavailable</v>
      </c>
      <c r="I3279" s="1" t="str">
        <f t="shared" si="4"/>
        <v>No Badges</v>
      </c>
      <c r="J3279" s="3">
        <f t="shared" si="5"/>
        <v>0</v>
      </c>
    </row>
    <row r="3280">
      <c r="A3280" s="1" t="s">
        <v>2430</v>
      </c>
      <c r="B3280" s="3" t="str">
        <f t="shared" si="1"/>
        <v>Unavailable</v>
      </c>
      <c r="C3280" s="3">
        <v>62.0</v>
      </c>
      <c r="D3280" s="3">
        <f>IFERROR(__xludf.DUMMYFUNCTION("IFERROR(
IF(REGEXMATCH(LOWER(O3280),""k""),
VALUE(REGEXEXTRACT(O3280,""[0-9]+""))*1000,
VALUE(REGEXEXTRACT(O3280,""[0-9]+""))
),
0
)"),0.0)</f>
        <v>0</v>
      </c>
      <c r="E3280" s="1" t="s">
        <v>11</v>
      </c>
      <c r="F3280" s="1" t="s">
        <v>20</v>
      </c>
      <c r="G3280" s="4" t="b">
        <f t="shared" si="2"/>
        <v>1</v>
      </c>
      <c r="H3280" s="1" t="str">
        <f t="shared" si="3"/>
        <v>Currently Unavailable</v>
      </c>
      <c r="I3280" s="1" t="str">
        <f t="shared" si="4"/>
        <v>No Badges</v>
      </c>
      <c r="J3280" s="3">
        <f t="shared" si="5"/>
        <v>0</v>
      </c>
    </row>
    <row r="3281">
      <c r="A3281" s="1" t="s">
        <v>2431</v>
      </c>
      <c r="B3281" s="3" t="str">
        <f t="shared" si="1"/>
        <v>Unavailable</v>
      </c>
      <c r="C3281" s="3">
        <v>416.0</v>
      </c>
      <c r="D3281" s="3">
        <f>IFERROR(__xludf.DUMMYFUNCTION("IFERROR(
IF(REGEXMATCH(LOWER(O3281),""k""),
VALUE(REGEXEXTRACT(O3281,""[0-9]+""))*1000,
VALUE(REGEXEXTRACT(O3281,""[0-9]+""))
),
0
)"),0.0)</f>
        <v>0</v>
      </c>
      <c r="E3281" s="1" t="s">
        <v>11</v>
      </c>
      <c r="F3281" s="1" t="s">
        <v>20</v>
      </c>
      <c r="G3281" s="4" t="b">
        <f t="shared" si="2"/>
        <v>1</v>
      </c>
      <c r="H3281" s="1" t="str">
        <f t="shared" si="3"/>
        <v>Currently Unavailable</v>
      </c>
      <c r="I3281" s="1" t="str">
        <f t="shared" si="4"/>
        <v>No Badges</v>
      </c>
      <c r="J3281" s="3">
        <f t="shared" si="5"/>
        <v>0</v>
      </c>
    </row>
    <row r="3282">
      <c r="A3282" s="1" t="s">
        <v>2432</v>
      </c>
      <c r="B3282" s="3" t="str">
        <f t="shared" si="1"/>
        <v>Unavailable</v>
      </c>
      <c r="C3282" s="3">
        <v>59.0</v>
      </c>
      <c r="D3282" s="3">
        <f>IFERROR(__xludf.DUMMYFUNCTION("IFERROR(
IF(REGEXMATCH(LOWER(O3282),""k""),
VALUE(REGEXEXTRACT(O3282,""[0-9]+""))*1000,
VALUE(REGEXEXTRACT(O3282,""[0-9]+""))
),
0
)"),0.0)</f>
        <v>0</v>
      </c>
      <c r="E3282" s="1" t="s">
        <v>11</v>
      </c>
      <c r="F3282" s="1" t="s">
        <v>20</v>
      </c>
      <c r="G3282" s="4" t="b">
        <f t="shared" si="2"/>
        <v>1</v>
      </c>
      <c r="H3282" s="1" t="str">
        <f t="shared" si="3"/>
        <v>Currently Unavailable</v>
      </c>
      <c r="I3282" s="1" t="str">
        <f t="shared" si="4"/>
        <v>No Badges</v>
      </c>
      <c r="J3282" s="3">
        <f t="shared" si="5"/>
        <v>0</v>
      </c>
    </row>
    <row r="3283">
      <c r="A3283" s="1" t="s">
        <v>2433</v>
      </c>
      <c r="B3283" s="3" t="str">
        <f t="shared" si="1"/>
        <v>Unavailable</v>
      </c>
      <c r="C3283" s="3">
        <v>53.0</v>
      </c>
      <c r="D3283" s="3">
        <f>IFERROR(__xludf.DUMMYFUNCTION("IFERROR(
IF(REGEXMATCH(LOWER(O3283),""k""),
VALUE(REGEXEXTRACT(O3283,""[0-9]+""))*1000,
VALUE(REGEXEXTRACT(O3283,""[0-9]+""))
),
0
)"),0.0)</f>
        <v>0</v>
      </c>
      <c r="E3283" s="1" t="s">
        <v>11</v>
      </c>
      <c r="F3283" s="1" t="s">
        <v>20</v>
      </c>
      <c r="G3283" s="4" t="b">
        <f t="shared" si="2"/>
        <v>1</v>
      </c>
      <c r="H3283" s="1" t="str">
        <f t="shared" si="3"/>
        <v>Currently Unavailable</v>
      </c>
      <c r="I3283" s="1" t="str">
        <f t="shared" si="4"/>
        <v>No Badges</v>
      </c>
      <c r="J3283" s="3">
        <f t="shared" si="5"/>
        <v>0</v>
      </c>
    </row>
    <row r="3284">
      <c r="A3284" s="1" t="s">
        <v>2434</v>
      </c>
      <c r="B3284" s="3" t="str">
        <f t="shared" si="1"/>
        <v>Unavailable</v>
      </c>
      <c r="C3284" s="3">
        <v>462.0</v>
      </c>
      <c r="D3284" s="3">
        <f>IFERROR(__xludf.DUMMYFUNCTION("IFERROR(
IF(REGEXMATCH(LOWER(O3284),""k""),
VALUE(REGEXEXTRACT(O3284,""[0-9]+""))*1000,
VALUE(REGEXEXTRACT(O3284,""[0-9]+""))
),
0
)"),0.0)</f>
        <v>0</v>
      </c>
      <c r="E3284" s="1" t="s">
        <v>11</v>
      </c>
      <c r="F3284" s="1" t="s">
        <v>20</v>
      </c>
      <c r="G3284" s="4" t="b">
        <f t="shared" si="2"/>
        <v>1</v>
      </c>
      <c r="H3284" s="1" t="str">
        <f t="shared" si="3"/>
        <v>Currently Unavailable</v>
      </c>
      <c r="I3284" s="1" t="str">
        <f t="shared" si="4"/>
        <v>No Badges</v>
      </c>
      <c r="J3284" s="3">
        <f t="shared" si="5"/>
        <v>0</v>
      </c>
    </row>
    <row r="3285">
      <c r="A3285" s="1" t="s">
        <v>2435</v>
      </c>
      <c r="B3285" s="3" t="str">
        <f t="shared" si="1"/>
        <v>Unavailable</v>
      </c>
      <c r="C3285" s="3">
        <v>83.0</v>
      </c>
      <c r="D3285" s="3">
        <f>IFERROR(__xludf.DUMMYFUNCTION("IFERROR(
IF(REGEXMATCH(LOWER(O3285),""k""),
VALUE(REGEXEXTRACT(O3285,""[0-9]+""))*1000,
VALUE(REGEXEXTRACT(O3285,""[0-9]+""))
),
0
)"),0.0)</f>
        <v>0</v>
      </c>
      <c r="E3285" s="1" t="s">
        <v>11</v>
      </c>
      <c r="F3285" s="1" t="s">
        <v>20</v>
      </c>
      <c r="G3285" s="4" t="b">
        <f t="shared" si="2"/>
        <v>1</v>
      </c>
      <c r="H3285" s="1" t="str">
        <f t="shared" si="3"/>
        <v>Currently Unavailable</v>
      </c>
      <c r="I3285" s="1" t="str">
        <f t="shared" si="4"/>
        <v>No Badges</v>
      </c>
      <c r="J3285" s="3">
        <f t="shared" si="5"/>
        <v>0</v>
      </c>
    </row>
    <row r="3286">
      <c r="A3286" s="1" t="s">
        <v>2436</v>
      </c>
      <c r="B3286" s="3" t="str">
        <f t="shared" si="1"/>
        <v>Unavailable</v>
      </c>
      <c r="C3286" s="3">
        <v>421.0</v>
      </c>
      <c r="D3286" s="3">
        <f>IFERROR(__xludf.DUMMYFUNCTION("IFERROR(
IF(REGEXMATCH(LOWER(O3286),""k""),
VALUE(REGEXEXTRACT(O3286,""[0-9]+""))*1000,
VALUE(REGEXEXTRACT(O3286,""[0-9]+""))
),
0
)"),0.0)</f>
        <v>0</v>
      </c>
      <c r="E3286" s="1" t="s">
        <v>11</v>
      </c>
      <c r="F3286" s="1" t="s">
        <v>20</v>
      </c>
      <c r="G3286" s="4" t="b">
        <f t="shared" si="2"/>
        <v>1</v>
      </c>
      <c r="H3286" s="1" t="str">
        <f t="shared" si="3"/>
        <v>Currently Unavailable</v>
      </c>
      <c r="I3286" s="1" t="str">
        <f t="shared" si="4"/>
        <v>No Badges</v>
      </c>
      <c r="J3286" s="3">
        <f t="shared" si="5"/>
        <v>0</v>
      </c>
    </row>
    <row r="3287">
      <c r="A3287" s="1" t="s">
        <v>2437</v>
      </c>
      <c r="B3287" s="3" t="str">
        <f t="shared" si="1"/>
        <v>Unavailable</v>
      </c>
      <c r="C3287" s="3">
        <v>134.0</v>
      </c>
      <c r="D3287" s="3">
        <f>IFERROR(__xludf.DUMMYFUNCTION("IFERROR(
IF(REGEXMATCH(LOWER(O3287),""k""),
VALUE(REGEXEXTRACT(O3287,""[0-9]+""))*1000,
VALUE(REGEXEXTRACT(O3287,""[0-9]+""))
),
0
)"),0.0)</f>
        <v>0</v>
      </c>
      <c r="E3287" s="1" t="s">
        <v>11</v>
      </c>
      <c r="F3287" s="1" t="s">
        <v>20</v>
      </c>
      <c r="G3287" s="4" t="b">
        <f t="shared" si="2"/>
        <v>1</v>
      </c>
      <c r="H3287" s="1" t="str">
        <f t="shared" si="3"/>
        <v>Currently Unavailable</v>
      </c>
      <c r="I3287" s="1" t="str">
        <f t="shared" si="4"/>
        <v>No Badges</v>
      </c>
      <c r="J3287" s="3">
        <f t="shared" si="5"/>
        <v>0</v>
      </c>
    </row>
    <row r="3288">
      <c r="A3288" s="1" t="s">
        <v>2438</v>
      </c>
      <c r="B3288" s="3" t="str">
        <f t="shared" si="1"/>
        <v>Unavailable</v>
      </c>
      <c r="C3288" s="3">
        <v>13.0</v>
      </c>
      <c r="D3288" s="3">
        <f>IFERROR(__xludf.DUMMYFUNCTION("IFERROR(
IF(REGEXMATCH(LOWER(O3288),""k""),
VALUE(REGEXEXTRACT(O3288,""[0-9]+""))*1000,
VALUE(REGEXEXTRACT(O3288,""[0-9]+""))
),
0
)"),0.0)</f>
        <v>0</v>
      </c>
      <c r="E3288" s="1" t="s">
        <v>11</v>
      </c>
      <c r="F3288" s="1" t="s">
        <v>20</v>
      </c>
      <c r="G3288" s="4" t="b">
        <f t="shared" si="2"/>
        <v>1</v>
      </c>
      <c r="H3288" s="1" t="str">
        <f t="shared" si="3"/>
        <v>Currently Unavailable</v>
      </c>
      <c r="I3288" s="1" t="str">
        <f t="shared" si="4"/>
        <v>No Badges</v>
      </c>
      <c r="J3288" s="3">
        <f t="shared" si="5"/>
        <v>0</v>
      </c>
    </row>
    <row r="3289">
      <c r="A3289" s="1" t="s">
        <v>2439</v>
      </c>
      <c r="B3289" s="3" t="str">
        <f t="shared" si="1"/>
        <v>Unavailable</v>
      </c>
      <c r="C3289" s="3">
        <v>87.0</v>
      </c>
      <c r="D3289" s="3">
        <f>IFERROR(__xludf.DUMMYFUNCTION("IFERROR(
IF(REGEXMATCH(LOWER(O3289),""k""),
VALUE(REGEXEXTRACT(O3289,""[0-9]+""))*1000,
VALUE(REGEXEXTRACT(O3289,""[0-9]+""))
),
0
)"),0.0)</f>
        <v>0</v>
      </c>
      <c r="E3289" s="1" t="s">
        <v>11</v>
      </c>
      <c r="F3289" s="1" t="s">
        <v>20</v>
      </c>
      <c r="G3289" s="4" t="b">
        <f t="shared" si="2"/>
        <v>1</v>
      </c>
      <c r="H3289" s="1" t="str">
        <f t="shared" si="3"/>
        <v>Currently Unavailable</v>
      </c>
      <c r="I3289" s="1" t="str">
        <f t="shared" si="4"/>
        <v>No Badges</v>
      </c>
      <c r="J3289" s="3">
        <f t="shared" si="5"/>
        <v>0</v>
      </c>
    </row>
    <row r="3290">
      <c r="A3290" s="1" t="s">
        <v>2440</v>
      </c>
      <c r="B3290" s="3" t="str">
        <f t="shared" si="1"/>
        <v>Unavailable</v>
      </c>
      <c r="C3290" s="3">
        <v>56.0</v>
      </c>
      <c r="D3290" s="3">
        <f>IFERROR(__xludf.DUMMYFUNCTION("IFERROR(
IF(REGEXMATCH(LOWER(O3290),""k""),
VALUE(REGEXEXTRACT(O3290,""[0-9]+""))*1000,
VALUE(REGEXEXTRACT(O3290,""[0-9]+""))
),
0
)"),0.0)</f>
        <v>0</v>
      </c>
      <c r="E3290" s="1" t="s">
        <v>11</v>
      </c>
      <c r="F3290" s="1" t="s">
        <v>20</v>
      </c>
      <c r="G3290" s="4" t="b">
        <f t="shared" si="2"/>
        <v>1</v>
      </c>
      <c r="H3290" s="1" t="str">
        <f t="shared" si="3"/>
        <v>Currently Unavailable</v>
      </c>
      <c r="I3290" s="1" t="str">
        <f t="shared" si="4"/>
        <v>No Badges</v>
      </c>
      <c r="J3290" s="3">
        <f t="shared" si="5"/>
        <v>0</v>
      </c>
    </row>
    <row r="3291">
      <c r="A3291" s="1" t="s">
        <v>88</v>
      </c>
      <c r="B3291" s="3" t="str">
        <f t="shared" si="1"/>
        <v>Unavailable</v>
      </c>
      <c r="C3291" s="3">
        <v>5.0</v>
      </c>
      <c r="D3291" s="3">
        <f>IFERROR(__xludf.DUMMYFUNCTION("IFERROR(
IF(REGEXMATCH(LOWER(O3291),""k""),
VALUE(REGEXEXTRACT(O3291,""[0-9]+""))*1000,
VALUE(REGEXEXTRACT(O3291,""[0-9]+""))
),
0
)"),0.0)</f>
        <v>0</v>
      </c>
      <c r="E3291" s="1" t="s">
        <v>11</v>
      </c>
      <c r="F3291" s="1" t="s">
        <v>12</v>
      </c>
      <c r="G3291" s="4" t="b">
        <f t="shared" si="2"/>
        <v>1</v>
      </c>
      <c r="H3291" s="1" t="str">
        <f t="shared" si="3"/>
        <v>Currently Unavailable</v>
      </c>
      <c r="I3291" s="1" t="str">
        <f t="shared" si="4"/>
        <v>No Badges</v>
      </c>
      <c r="J3291" s="3">
        <f t="shared" si="5"/>
        <v>0</v>
      </c>
    </row>
    <row r="3292">
      <c r="A3292" s="1" t="s">
        <v>40</v>
      </c>
      <c r="B3292" s="3" t="str">
        <f t="shared" si="1"/>
        <v>Unavailable</v>
      </c>
      <c r="C3292" s="3">
        <v>171.0</v>
      </c>
      <c r="D3292" s="3">
        <f>IFERROR(__xludf.DUMMYFUNCTION("IFERROR(
IF(REGEXMATCH(LOWER(O3292),""k""),
VALUE(REGEXEXTRACT(O3292,""[0-9]+""))*1000,
VALUE(REGEXEXTRACT(O3292,""[0-9]+""))
),
0
)"),0.0)</f>
        <v>0</v>
      </c>
      <c r="E3292" s="1" t="s">
        <v>11</v>
      </c>
      <c r="F3292" s="1" t="s">
        <v>12</v>
      </c>
      <c r="G3292" s="4" t="b">
        <f t="shared" si="2"/>
        <v>1</v>
      </c>
      <c r="H3292" s="1" t="str">
        <f t="shared" si="3"/>
        <v>Currently Unavailable</v>
      </c>
      <c r="I3292" s="1" t="str">
        <f t="shared" si="4"/>
        <v>No Badges</v>
      </c>
      <c r="J3292" s="3">
        <f t="shared" si="5"/>
        <v>0</v>
      </c>
    </row>
    <row r="3293">
      <c r="A3293" s="1" t="s">
        <v>2441</v>
      </c>
      <c r="B3293" s="3" t="str">
        <f t="shared" si="1"/>
        <v>Unavailable</v>
      </c>
      <c r="C3293" s="3">
        <v>832.0</v>
      </c>
      <c r="D3293" s="3">
        <f>IFERROR(__xludf.DUMMYFUNCTION("IFERROR(
IF(REGEXMATCH(LOWER(O3293),""k""),
VALUE(REGEXEXTRACT(O3293,""[0-9]+""))*1000,
VALUE(REGEXEXTRACT(O3293,""[0-9]+""))
),
0
)"),0.0)</f>
        <v>0</v>
      </c>
      <c r="E3293" s="1" t="s">
        <v>11</v>
      </c>
      <c r="F3293" s="1" t="s">
        <v>20</v>
      </c>
      <c r="G3293" s="4" t="b">
        <f t="shared" si="2"/>
        <v>1</v>
      </c>
      <c r="H3293" s="1" t="str">
        <f t="shared" si="3"/>
        <v>Currently Unavailable</v>
      </c>
      <c r="I3293" s="1" t="str">
        <f t="shared" si="4"/>
        <v>No Badges</v>
      </c>
      <c r="J3293" s="3">
        <f t="shared" si="5"/>
        <v>0</v>
      </c>
    </row>
    <row r="3294">
      <c r="A3294" s="1" t="s">
        <v>2442</v>
      </c>
      <c r="B3294" s="3" t="str">
        <f t="shared" si="1"/>
        <v>Unavailable</v>
      </c>
      <c r="C3294" s="5">
        <v>1397.0</v>
      </c>
      <c r="D3294" s="3">
        <f>IFERROR(__xludf.DUMMYFUNCTION("IFERROR(
IF(REGEXMATCH(LOWER(O3294),""k""),
VALUE(REGEXEXTRACT(O3294,""[0-9]+""))*1000,
VALUE(REGEXEXTRACT(O3294,""[0-9]+""))
),
0
)"),0.0)</f>
        <v>0</v>
      </c>
      <c r="E3294" s="1" t="s">
        <v>11</v>
      </c>
      <c r="F3294" s="1" t="s">
        <v>20</v>
      </c>
      <c r="G3294" s="4" t="b">
        <f t="shared" si="2"/>
        <v>1</v>
      </c>
      <c r="H3294" s="1" t="str">
        <f t="shared" si="3"/>
        <v>Currently Unavailable</v>
      </c>
      <c r="I3294" s="1" t="str">
        <f t="shared" si="4"/>
        <v>No Badges</v>
      </c>
      <c r="J3294" s="3">
        <f t="shared" si="5"/>
        <v>0</v>
      </c>
    </row>
    <row r="3295">
      <c r="A3295" s="1" t="s">
        <v>2443</v>
      </c>
      <c r="B3295" s="3" t="str">
        <f t="shared" si="1"/>
        <v>Unavailable</v>
      </c>
      <c r="C3295" s="5">
        <v>1269.0</v>
      </c>
      <c r="D3295" s="3">
        <f>IFERROR(__xludf.DUMMYFUNCTION("IFERROR(
IF(REGEXMATCH(LOWER(O3295),""k""),
VALUE(REGEXEXTRACT(O3295,""[0-9]+""))*1000,
VALUE(REGEXEXTRACT(O3295,""[0-9]+""))
),
0
)"),0.0)</f>
        <v>0</v>
      </c>
      <c r="E3295" s="1" t="s">
        <v>11</v>
      </c>
      <c r="F3295" s="1" t="s">
        <v>20</v>
      </c>
      <c r="G3295" s="4" t="b">
        <f t="shared" si="2"/>
        <v>1</v>
      </c>
      <c r="H3295" s="1" t="str">
        <f t="shared" si="3"/>
        <v>Currently Unavailable</v>
      </c>
      <c r="I3295" s="1" t="str">
        <f t="shared" si="4"/>
        <v>No Badges</v>
      </c>
      <c r="J3295" s="3">
        <f t="shared" si="5"/>
        <v>0</v>
      </c>
    </row>
    <row r="3296">
      <c r="A3296" s="1" t="s">
        <v>2444</v>
      </c>
      <c r="B3296" s="3" t="str">
        <f t="shared" si="1"/>
        <v>Unavailable</v>
      </c>
      <c r="C3296" s="5">
        <v>2035.0</v>
      </c>
      <c r="D3296" s="3">
        <f>IFERROR(__xludf.DUMMYFUNCTION("IFERROR(
IF(REGEXMATCH(LOWER(O3296),""k""),
VALUE(REGEXEXTRACT(O3296,""[0-9]+""))*1000,
VALUE(REGEXEXTRACT(O3296,""[0-9]+""))
),
0
)"),0.0)</f>
        <v>0</v>
      </c>
      <c r="E3296" s="1" t="s">
        <v>11</v>
      </c>
      <c r="F3296" s="1" t="s">
        <v>20</v>
      </c>
      <c r="G3296" s="4" t="b">
        <f t="shared" si="2"/>
        <v>1</v>
      </c>
      <c r="H3296" s="1" t="str">
        <f t="shared" si="3"/>
        <v>Currently Unavailable</v>
      </c>
      <c r="I3296" s="1" t="str">
        <f t="shared" si="4"/>
        <v>No Badges</v>
      </c>
      <c r="J3296" s="3">
        <f t="shared" si="5"/>
        <v>0</v>
      </c>
    </row>
    <row r="3297">
      <c r="A3297" s="1" t="s">
        <v>2445</v>
      </c>
      <c r="B3297" s="3" t="str">
        <f t="shared" si="1"/>
        <v>Unavailable</v>
      </c>
      <c r="C3297" s="3">
        <v>428.0</v>
      </c>
      <c r="D3297" s="3">
        <f>IFERROR(__xludf.DUMMYFUNCTION("IFERROR(
IF(REGEXMATCH(LOWER(O3297),""k""),
VALUE(REGEXEXTRACT(O3297,""[0-9]+""))*1000,
VALUE(REGEXEXTRACT(O3297,""[0-9]+""))
),
0
)"),0.0)</f>
        <v>0</v>
      </c>
      <c r="E3297" s="1" t="s">
        <v>11</v>
      </c>
      <c r="F3297" s="1" t="s">
        <v>20</v>
      </c>
      <c r="G3297" s="4" t="b">
        <f t="shared" si="2"/>
        <v>1</v>
      </c>
      <c r="H3297" s="1" t="str">
        <f t="shared" si="3"/>
        <v>Currently Unavailable</v>
      </c>
      <c r="I3297" s="1" t="str">
        <f t="shared" si="4"/>
        <v>No Badges</v>
      </c>
      <c r="J3297" s="3">
        <f t="shared" si="5"/>
        <v>0</v>
      </c>
    </row>
    <row r="3298">
      <c r="A3298" s="1" t="s">
        <v>2446</v>
      </c>
      <c r="B3298" s="3" t="str">
        <f t="shared" si="1"/>
        <v>Unavailable</v>
      </c>
      <c r="C3298" s="3">
        <v>782.0</v>
      </c>
      <c r="D3298" s="3">
        <f>IFERROR(__xludf.DUMMYFUNCTION("IFERROR(
IF(REGEXMATCH(LOWER(O3298),""k""),
VALUE(REGEXEXTRACT(O3298,""[0-9]+""))*1000,
VALUE(REGEXEXTRACT(O3298,""[0-9]+""))
),
0
)"),0.0)</f>
        <v>0</v>
      </c>
      <c r="E3298" s="1" t="s">
        <v>11</v>
      </c>
      <c r="F3298" s="1" t="s">
        <v>20</v>
      </c>
      <c r="G3298" s="4" t="b">
        <f t="shared" si="2"/>
        <v>1</v>
      </c>
      <c r="H3298" s="1" t="str">
        <f t="shared" si="3"/>
        <v>Currently Unavailable</v>
      </c>
      <c r="I3298" s="1" t="str">
        <f t="shared" si="4"/>
        <v>No Badges</v>
      </c>
      <c r="J3298" s="3">
        <f t="shared" si="5"/>
        <v>0</v>
      </c>
    </row>
    <row r="3299">
      <c r="A3299" s="1" t="s">
        <v>2447</v>
      </c>
      <c r="B3299" s="3" t="str">
        <f t="shared" si="1"/>
        <v>Unavailable</v>
      </c>
      <c r="C3299" s="5">
        <v>2925.0</v>
      </c>
      <c r="D3299" s="3">
        <f>IFERROR(__xludf.DUMMYFUNCTION("IFERROR(
IF(REGEXMATCH(LOWER(O3299),""k""),
VALUE(REGEXEXTRACT(O3299,""[0-9]+""))*1000,
VALUE(REGEXEXTRACT(O3299,""[0-9]+""))
),
0
)"),0.0)</f>
        <v>0</v>
      </c>
      <c r="E3299" s="1" t="s">
        <v>11</v>
      </c>
      <c r="F3299" s="1" t="s">
        <v>12</v>
      </c>
      <c r="G3299" s="4" t="b">
        <f t="shared" si="2"/>
        <v>1</v>
      </c>
      <c r="H3299" s="1" t="str">
        <f t="shared" si="3"/>
        <v>Currently Unavailable</v>
      </c>
      <c r="I3299" s="1" t="str">
        <f t="shared" si="4"/>
        <v>No Badges</v>
      </c>
      <c r="J3299" s="3">
        <f t="shared" si="5"/>
        <v>0</v>
      </c>
    </row>
    <row r="3300">
      <c r="A3300" s="1" t="s">
        <v>2448</v>
      </c>
      <c r="B3300" s="3" t="str">
        <f t="shared" si="1"/>
        <v>Unavailable</v>
      </c>
      <c r="C3300" s="3">
        <v>927.0</v>
      </c>
      <c r="D3300" s="3">
        <f>IFERROR(__xludf.DUMMYFUNCTION("IFERROR(
IF(REGEXMATCH(LOWER(O3300),""k""),
VALUE(REGEXEXTRACT(O3300,""[0-9]+""))*1000,
VALUE(REGEXEXTRACT(O3300,""[0-9]+""))
),
0
)"),0.0)</f>
        <v>0</v>
      </c>
      <c r="E3300" s="1" t="s">
        <v>11</v>
      </c>
      <c r="F3300" s="1" t="s">
        <v>20</v>
      </c>
      <c r="G3300" s="4" t="b">
        <f t="shared" si="2"/>
        <v>1</v>
      </c>
      <c r="H3300" s="1" t="str">
        <f t="shared" si="3"/>
        <v>Currently Unavailable</v>
      </c>
      <c r="I3300" s="1" t="str">
        <f t="shared" si="4"/>
        <v>No Badges</v>
      </c>
      <c r="J3300" s="3">
        <f t="shared" si="5"/>
        <v>0</v>
      </c>
    </row>
    <row r="3301">
      <c r="A3301" s="1" t="s">
        <v>2449</v>
      </c>
      <c r="B3301" s="3" t="str">
        <f t="shared" si="1"/>
        <v>Unavailable</v>
      </c>
      <c r="C3301" s="3">
        <v>19.0</v>
      </c>
      <c r="D3301" s="3">
        <f>IFERROR(__xludf.DUMMYFUNCTION("IFERROR(
IF(REGEXMATCH(LOWER(O3301),""k""),
VALUE(REGEXEXTRACT(O3301,""[0-9]+""))*1000,
VALUE(REGEXEXTRACT(O3301,""[0-9]+""))
),
0
)"),0.0)</f>
        <v>0</v>
      </c>
      <c r="E3301" s="1" t="s">
        <v>11</v>
      </c>
      <c r="F3301" s="1" t="s">
        <v>20</v>
      </c>
      <c r="G3301" s="4" t="b">
        <f t="shared" si="2"/>
        <v>1</v>
      </c>
      <c r="H3301" s="1" t="str">
        <f t="shared" si="3"/>
        <v>Currently Unavailable</v>
      </c>
      <c r="I3301" s="1" t="str">
        <f t="shared" si="4"/>
        <v>No Badges</v>
      </c>
      <c r="J3301" s="3">
        <f t="shared" si="5"/>
        <v>0</v>
      </c>
    </row>
    <row r="3302">
      <c r="A3302" s="1" t="s">
        <v>2450</v>
      </c>
      <c r="B3302" s="3" t="str">
        <f t="shared" si="1"/>
        <v>Unavailable</v>
      </c>
      <c r="C3302" s="3">
        <v>62.0</v>
      </c>
      <c r="D3302" s="3">
        <f>IFERROR(__xludf.DUMMYFUNCTION("IFERROR(
IF(REGEXMATCH(LOWER(O3302),""k""),
VALUE(REGEXEXTRACT(O3302,""[0-9]+""))*1000,
VALUE(REGEXEXTRACT(O3302,""[0-9]+""))
),
0
)"),0.0)</f>
        <v>0</v>
      </c>
      <c r="E3302" s="1" t="s">
        <v>11</v>
      </c>
      <c r="F3302" s="1" t="s">
        <v>20</v>
      </c>
      <c r="G3302" s="4" t="b">
        <f t="shared" si="2"/>
        <v>1</v>
      </c>
      <c r="H3302" s="1" t="str">
        <f t="shared" si="3"/>
        <v>Currently Unavailable</v>
      </c>
      <c r="I3302" s="1" t="str">
        <f t="shared" si="4"/>
        <v>No Badges</v>
      </c>
      <c r="J3302" s="3">
        <f t="shared" si="5"/>
        <v>0</v>
      </c>
    </row>
    <row r="3303">
      <c r="A3303" s="1" t="s">
        <v>2451</v>
      </c>
      <c r="B3303" s="3" t="str">
        <f t="shared" si="1"/>
        <v>Unavailable</v>
      </c>
      <c r="C3303" s="3">
        <v>863.0</v>
      </c>
      <c r="D3303" s="3">
        <f>IFERROR(__xludf.DUMMYFUNCTION("IFERROR(
IF(REGEXMATCH(LOWER(O3303),""k""),
VALUE(REGEXEXTRACT(O3303,""[0-9]+""))*1000,
VALUE(REGEXEXTRACT(O3303,""[0-9]+""))
),
0
)"),0.0)</f>
        <v>0</v>
      </c>
      <c r="E3303" s="1" t="s">
        <v>11</v>
      </c>
      <c r="F3303" s="1" t="s">
        <v>20</v>
      </c>
      <c r="G3303" s="4" t="b">
        <f t="shared" si="2"/>
        <v>1</v>
      </c>
      <c r="H3303" s="1" t="str">
        <f t="shared" si="3"/>
        <v>Currently Unavailable</v>
      </c>
      <c r="I3303" s="1" t="str">
        <f t="shared" si="4"/>
        <v>No Badges</v>
      </c>
      <c r="J3303" s="3">
        <f t="shared" si="5"/>
        <v>0</v>
      </c>
    </row>
    <row r="3304">
      <c r="A3304" s="1" t="s">
        <v>2452</v>
      </c>
      <c r="B3304" s="3" t="str">
        <f t="shared" si="1"/>
        <v>Unavailable</v>
      </c>
      <c r="C3304" s="3">
        <v>321.0</v>
      </c>
      <c r="D3304" s="3">
        <f>IFERROR(__xludf.DUMMYFUNCTION("IFERROR(
IF(REGEXMATCH(LOWER(O3304),""k""),
VALUE(REGEXEXTRACT(O3304,""[0-9]+""))*1000,
VALUE(REGEXEXTRACT(O3304,""[0-9]+""))
),
0
)"),0.0)</f>
        <v>0</v>
      </c>
      <c r="E3304" s="1" t="s">
        <v>11</v>
      </c>
      <c r="F3304" s="1" t="s">
        <v>20</v>
      </c>
      <c r="G3304" s="4" t="b">
        <f t="shared" si="2"/>
        <v>1</v>
      </c>
      <c r="H3304" s="1" t="str">
        <f t="shared" si="3"/>
        <v>Currently Unavailable</v>
      </c>
      <c r="I3304" s="1" t="str">
        <f t="shared" si="4"/>
        <v>No Badges</v>
      </c>
      <c r="J3304" s="3">
        <f t="shared" si="5"/>
        <v>0</v>
      </c>
    </row>
    <row r="3305">
      <c r="A3305" s="1" t="s">
        <v>2453</v>
      </c>
      <c r="B3305" s="3" t="str">
        <f t="shared" si="1"/>
        <v>Unavailable</v>
      </c>
      <c r="C3305" s="3">
        <v>31.0</v>
      </c>
      <c r="D3305" s="3">
        <f>IFERROR(__xludf.DUMMYFUNCTION("IFERROR(
IF(REGEXMATCH(LOWER(O3305),""k""),
VALUE(REGEXEXTRACT(O3305,""[0-9]+""))*1000,
VALUE(REGEXEXTRACT(O3305,""[0-9]+""))
),
0
)"),0.0)</f>
        <v>0</v>
      </c>
      <c r="E3305" s="1" t="s">
        <v>11</v>
      </c>
      <c r="F3305" s="1" t="s">
        <v>20</v>
      </c>
      <c r="G3305" s="4" t="b">
        <f t="shared" si="2"/>
        <v>1</v>
      </c>
      <c r="H3305" s="1" t="str">
        <f t="shared" si="3"/>
        <v>Currently Unavailable</v>
      </c>
      <c r="I3305" s="1" t="str">
        <f t="shared" si="4"/>
        <v>No Badges</v>
      </c>
      <c r="J3305" s="3">
        <f t="shared" si="5"/>
        <v>0</v>
      </c>
    </row>
    <row r="3306">
      <c r="A3306" s="1" t="s">
        <v>2454</v>
      </c>
      <c r="B3306" s="3" t="str">
        <f t="shared" si="1"/>
        <v>Unavailable</v>
      </c>
      <c r="C3306" s="3">
        <v>481.0</v>
      </c>
      <c r="D3306" s="3">
        <f>IFERROR(__xludf.DUMMYFUNCTION("IFERROR(
IF(REGEXMATCH(LOWER(O3306),""k""),
VALUE(REGEXEXTRACT(O3306,""[0-9]+""))*1000,
VALUE(REGEXEXTRACT(O3306,""[0-9]+""))
),
0
)"),0.0)</f>
        <v>0</v>
      </c>
      <c r="E3306" s="1" t="s">
        <v>11</v>
      </c>
      <c r="F3306" s="1" t="s">
        <v>20</v>
      </c>
      <c r="G3306" s="4" t="b">
        <f t="shared" si="2"/>
        <v>1</v>
      </c>
      <c r="H3306" s="1" t="str">
        <f t="shared" si="3"/>
        <v>Currently Unavailable</v>
      </c>
      <c r="I3306" s="1" t="str">
        <f t="shared" si="4"/>
        <v>No Badges</v>
      </c>
      <c r="J3306" s="3">
        <f t="shared" si="5"/>
        <v>0</v>
      </c>
    </row>
    <row r="3307">
      <c r="A3307" s="1" t="s">
        <v>2455</v>
      </c>
      <c r="B3307" s="3" t="str">
        <f t="shared" si="1"/>
        <v>Unavailable</v>
      </c>
      <c r="C3307" s="3">
        <v>906.0</v>
      </c>
      <c r="D3307" s="3">
        <f>IFERROR(__xludf.DUMMYFUNCTION("IFERROR(
IF(REGEXMATCH(LOWER(O3307),""k""),
VALUE(REGEXEXTRACT(O3307,""[0-9]+""))*1000,
VALUE(REGEXEXTRACT(O3307,""[0-9]+""))
),
0
)"),0.0)</f>
        <v>0</v>
      </c>
      <c r="E3307" s="1" t="s">
        <v>11</v>
      </c>
      <c r="F3307" s="1" t="s">
        <v>20</v>
      </c>
      <c r="G3307" s="4" t="b">
        <f t="shared" si="2"/>
        <v>1</v>
      </c>
      <c r="H3307" s="1" t="str">
        <f t="shared" si="3"/>
        <v>Currently Unavailable</v>
      </c>
      <c r="I3307" s="1" t="str">
        <f t="shared" si="4"/>
        <v>No Badges</v>
      </c>
      <c r="J3307" s="3">
        <f t="shared" si="5"/>
        <v>0</v>
      </c>
    </row>
    <row r="3308">
      <c r="A3308" s="1" t="s">
        <v>2456</v>
      </c>
      <c r="B3308" s="3" t="str">
        <f t="shared" si="1"/>
        <v>Unavailable</v>
      </c>
      <c r="C3308" s="3">
        <v>12.0</v>
      </c>
      <c r="D3308" s="3">
        <f>IFERROR(__xludf.DUMMYFUNCTION("IFERROR(
IF(REGEXMATCH(LOWER(O3308),""k""),
VALUE(REGEXEXTRACT(O3308,""[0-9]+""))*1000,
VALUE(REGEXEXTRACT(O3308,""[0-9]+""))
),
0
)"),0.0)</f>
        <v>0</v>
      </c>
      <c r="E3308" s="1" t="s">
        <v>11</v>
      </c>
      <c r="F3308" s="1" t="s">
        <v>20</v>
      </c>
      <c r="G3308" s="4" t="b">
        <f t="shared" si="2"/>
        <v>1</v>
      </c>
      <c r="H3308" s="1" t="str">
        <f t="shared" si="3"/>
        <v>Currently Unavailable</v>
      </c>
      <c r="I3308" s="1" t="str">
        <f t="shared" si="4"/>
        <v>No Badges</v>
      </c>
      <c r="J3308" s="3">
        <f t="shared" si="5"/>
        <v>0</v>
      </c>
    </row>
    <row r="3309">
      <c r="A3309" s="1" t="s">
        <v>2457</v>
      </c>
      <c r="B3309" s="3" t="str">
        <f t="shared" si="1"/>
        <v>Unavailable</v>
      </c>
      <c r="C3309" s="3">
        <v>31.0</v>
      </c>
      <c r="D3309" s="3">
        <f>IFERROR(__xludf.DUMMYFUNCTION("IFERROR(
IF(REGEXMATCH(LOWER(O3309),""k""),
VALUE(REGEXEXTRACT(O3309,""[0-9]+""))*1000,
VALUE(REGEXEXTRACT(O3309,""[0-9]+""))
),
0
)"),0.0)</f>
        <v>0</v>
      </c>
      <c r="E3309" s="1" t="s">
        <v>11</v>
      </c>
      <c r="F3309" s="1" t="s">
        <v>20</v>
      </c>
      <c r="G3309" s="4" t="b">
        <f t="shared" si="2"/>
        <v>1</v>
      </c>
      <c r="H3309" s="1" t="str">
        <f t="shared" si="3"/>
        <v>Currently Unavailable</v>
      </c>
      <c r="I3309" s="1" t="str">
        <f t="shared" si="4"/>
        <v>No Badges</v>
      </c>
      <c r="J3309" s="3">
        <f t="shared" si="5"/>
        <v>0</v>
      </c>
    </row>
    <row r="3310">
      <c r="A3310" s="1" t="s">
        <v>2458</v>
      </c>
      <c r="B3310" s="3" t="str">
        <f t="shared" si="1"/>
        <v>Unavailable</v>
      </c>
      <c r="C3310" s="3">
        <v>579.0</v>
      </c>
      <c r="D3310" s="3">
        <f>IFERROR(__xludf.DUMMYFUNCTION("IFERROR(
IF(REGEXMATCH(LOWER(O3310),""k""),
VALUE(REGEXEXTRACT(O3310,""[0-9]+""))*1000,
VALUE(REGEXEXTRACT(O3310,""[0-9]+""))
),
0
)"),0.0)</f>
        <v>0</v>
      </c>
      <c r="E3310" s="1" t="s">
        <v>11</v>
      </c>
      <c r="F3310" s="1" t="s">
        <v>20</v>
      </c>
      <c r="G3310" s="4" t="b">
        <f t="shared" si="2"/>
        <v>1</v>
      </c>
      <c r="H3310" s="1" t="str">
        <f t="shared" si="3"/>
        <v>Currently Unavailable</v>
      </c>
      <c r="I3310" s="1" t="str">
        <f t="shared" si="4"/>
        <v>No Badges</v>
      </c>
      <c r="J3310" s="3">
        <f t="shared" si="5"/>
        <v>0</v>
      </c>
    </row>
    <row r="3311">
      <c r="A3311" s="1" t="s">
        <v>2459</v>
      </c>
      <c r="B3311" s="3" t="str">
        <f t="shared" si="1"/>
        <v>Unavailable</v>
      </c>
      <c r="C3311" s="3">
        <v>228.0</v>
      </c>
      <c r="D3311" s="3">
        <f>IFERROR(__xludf.DUMMYFUNCTION("IFERROR(
IF(REGEXMATCH(LOWER(O3311),""k""),
VALUE(REGEXEXTRACT(O3311,""[0-9]+""))*1000,
VALUE(REGEXEXTRACT(O3311,""[0-9]+""))
),
0
)"),0.0)</f>
        <v>0</v>
      </c>
      <c r="E3311" s="1" t="s">
        <v>11</v>
      </c>
      <c r="F3311" s="1" t="s">
        <v>20</v>
      </c>
      <c r="G3311" s="4" t="b">
        <f t="shared" si="2"/>
        <v>1</v>
      </c>
      <c r="H3311" s="1" t="str">
        <f t="shared" si="3"/>
        <v>Currently Unavailable</v>
      </c>
      <c r="I3311" s="1" t="str">
        <f t="shared" si="4"/>
        <v>No Badges</v>
      </c>
      <c r="J3311" s="3">
        <f t="shared" si="5"/>
        <v>0</v>
      </c>
    </row>
    <row r="3312">
      <c r="A3312" s="1" t="s">
        <v>2460</v>
      </c>
      <c r="B3312" s="3" t="str">
        <f t="shared" si="1"/>
        <v>Unavailable</v>
      </c>
      <c r="C3312" s="5">
        <v>1156.0</v>
      </c>
      <c r="D3312" s="3">
        <f>IFERROR(__xludf.DUMMYFUNCTION("IFERROR(
IF(REGEXMATCH(LOWER(O3312),""k""),
VALUE(REGEXEXTRACT(O3312,""[0-9]+""))*1000,
VALUE(REGEXEXTRACT(O3312,""[0-9]+""))
),
0
)"),0.0)</f>
        <v>0</v>
      </c>
      <c r="E3312" s="1" t="s">
        <v>11</v>
      </c>
      <c r="F3312" s="1" t="s">
        <v>20</v>
      </c>
      <c r="G3312" s="4" t="b">
        <f t="shared" si="2"/>
        <v>1</v>
      </c>
      <c r="H3312" s="1" t="str">
        <f t="shared" si="3"/>
        <v>Currently Unavailable</v>
      </c>
      <c r="I3312" s="1" t="str">
        <f t="shared" si="4"/>
        <v>No Badges</v>
      </c>
      <c r="J3312" s="3">
        <f t="shared" si="5"/>
        <v>0</v>
      </c>
    </row>
    <row r="3313">
      <c r="A3313" s="1" t="s">
        <v>2461</v>
      </c>
      <c r="B3313" s="3" t="str">
        <f t="shared" si="1"/>
        <v>Unavailable</v>
      </c>
      <c r="C3313" s="3">
        <v>128.0</v>
      </c>
      <c r="D3313" s="3">
        <f>IFERROR(__xludf.DUMMYFUNCTION("IFERROR(
IF(REGEXMATCH(LOWER(O3313),""k""),
VALUE(REGEXEXTRACT(O3313,""[0-9]+""))*1000,
VALUE(REGEXEXTRACT(O3313,""[0-9]+""))
),
0
)"),0.0)</f>
        <v>0</v>
      </c>
      <c r="E3313" s="1" t="s">
        <v>11</v>
      </c>
      <c r="F3313" s="1" t="s">
        <v>20</v>
      </c>
      <c r="G3313" s="4" t="b">
        <f t="shared" si="2"/>
        <v>1</v>
      </c>
      <c r="H3313" s="1" t="str">
        <f t="shared" si="3"/>
        <v>Currently Unavailable</v>
      </c>
      <c r="I3313" s="1" t="str">
        <f t="shared" si="4"/>
        <v>No Badges</v>
      </c>
      <c r="J3313" s="3">
        <f t="shared" si="5"/>
        <v>0</v>
      </c>
    </row>
    <row r="3314">
      <c r="A3314" s="1" t="s">
        <v>2354</v>
      </c>
      <c r="B3314" s="3" t="str">
        <f t="shared" si="1"/>
        <v>Unavailable</v>
      </c>
      <c r="C3314" s="5">
        <v>1878.0</v>
      </c>
      <c r="D3314" s="3">
        <f>IFERROR(__xludf.DUMMYFUNCTION("IFERROR(
IF(REGEXMATCH(LOWER(O3314),""k""),
VALUE(REGEXEXTRACT(O3314,""[0-9]+""))*1000,
VALUE(REGEXEXTRACT(O3314,""[0-9]+""))
),
0
)"),0.0)</f>
        <v>0</v>
      </c>
      <c r="E3314" s="1" t="s">
        <v>11</v>
      </c>
      <c r="F3314" s="1" t="s">
        <v>12</v>
      </c>
      <c r="G3314" s="4" t="b">
        <f t="shared" si="2"/>
        <v>1</v>
      </c>
      <c r="H3314" s="1" t="str">
        <f t="shared" si="3"/>
        <v>Currently Unavailable</v>
      </c>
      <c r="I3314" s="1" t="str">
        <f t="shared" si="4"/>
        <v>No Badges</v>
      </c>
      <c r="J3314" s="3">
        <f t="shared" si="5"/>
        <v>0</v>
      </c>
    </row>
    <row r="3315">
      <c r="A3315" s="1" t="s">
        <v>2462</v>
      </c>
      <c r="B3315" s="3" t="str">
        <f t="shared" si="1"/>
        <v>Unavailable</v>
      </c>
      <c r="C3315" s="3">
        <v>23.0</v>
      </c>
      <c r="D3315" s="3">
        <f>IFERROR(__xludf.DUMMYFUNCTION("IFERROR(
IF(REGEXMATCH(LOWER(O3315),""k""),
VALUE(REGEXEXTRACT(O3315,""[0-9]+""))*1000,
VALUE(REGEXEXTRACT(O3315,""[0-9]+""))
),
0
)"),0.0)</f>
        <v>0</v>
      </c>
      <c r="E3315" s="1" t="s">
        <v>11</v>
      </c>
      <c r="F3315" s="1" t="s">
        <v>20</v>
      </c>
      <c r="G3315" s="4" t="b">
        <f t="shared" si="2"/>
        <v>1</v>
      </c>
      <c r="H3315" s="1" t="str">
        <f t="shared" si="3"/>
        <v>Currently Unavailable</v>
      </c>
      <c r="I3315" s="1" t="str">
        <f t="shared" si="4"/>
        <v>No Badges</v>
      </c>
      <c r="J3315" s="3">
        <f t="shared" si="5"/>
        <v>0</v>
      </c>
    </row>
    <row r="3316">
      <c r="A3316" s="1" t="s">
        <v>2463</v>
      </c>
      <c r="B3316" s="3" t="str">
        <f t="shared" si="1"/>
        <v>Unavailable</v>
      </c>
      <c r="C3316" s="5">
        <v>3738.0</v>
      </c>
      <c r="D3316" s="3">
        <f>IFERROR(__xludf.DUMMYFUNCTION("IFERROR(
IF(REGEXMATCH(LOWER(O3316),""k""),
VALUE(REGEXEXTRACT(O3316,""[0-9]+""))*1000,
VALUE(REGEXEXTRACT(O3316,""[0-9]+""))
),
0
)"),0.0)</f>
        <v>0</v>
      </c>
      <c r="E3316" s="1" t="s">
        <v>11</v>
      </c>
      <c r="F3316" s="1" t="s">
        <v>20</v>
      </c>
      <c r="G3316" s="4" t="b">
        <f t="shared" si="2"/>
        <v>1</v>
      </c>
      <c r="H3316" s="1" t="str">
        <f t="shared" si="3"/>
        <v>Currently Unavailable</v>
      </c>
      <c r="I3316" s="1" t="str">
        <f t="shared" si="4"/>
        <v>No Badges</v>
      </c>
      <c r="J3316" s="3">
        <f t="shared" si="5"/>
        <v>0</v>
      </c>
    </row>
    <row r="3317">
      <c r="A3317" s="1" t="s">
        <v>2464</v>
      </c>
      <c r="B3317" s="3" t="str">
        <f t="shared" si="1"/>
        <v>Unavailable</v>
      </c>
      <c r="C3317" s="3">
        <v>30.0</v>
      </c>
      <c r="D3317" s="3">
        <f>IFERROR(__xludf.DUMMYFUNCTION("IFERROR(
IF(REGEXMATCH(LOWER(O3317),""k""),
VALUE(REGEXEXTRACT(O3317,""[0-9]+""))*1000,
VALUE(REGEXEXTRACT(O3317,""[0-9]+""))
),
0
)"),0.0)</f>
        <v>0</v>
      </c>
      <c r="E3317" s="1" t="s">
        <v>11</v>
      </c>
      <c r="F3317" s="1" t="s">
        <v>20</v>
      </c>
      <c r="G3317" s="4" t="b">
        <f t="shared" si="2"/>
        <v>1</v>
      </c>
      <c r="H3317" s="1" t="str">
        <f t="shared" si="3"/>
        <v>Currently Unavailable</v>
      </c>
      <c r="I3317" s="1" t="str">
        <f t="shared" si="4"/>
        <v>No Badges</v>
      </c>
      <c r="J3317" s="3">
        <f t="shared" si="5"/>
        <v>0</v>
      </c>
    </row>
    <row r="3318">
      <c r="A3318" s="1" t="s">
        <v>2465</v>
      </c>
      <c r="B3318" s="3" t="str">
        <f t="shared" si="1"/>
        <v>Unavailable</v>
      </c>
      <c r="C3318" s="3">
        <v>150.0</v>
      </c>
      <c r="D3318" s="3">
        <f>IFERROR(__xludf.DUMMYFUNCTION("IFERROR(
IF(REGEXMATCH(LOWER(O3318),""k""),
VALUE(REGEXEXTRACT(O3318,""[0-9]+""))*1000,
VALUE(REGEXEXTRACT(O3318,""[0-9]+""))
),
0
)"),0.0)</f>
        <v>0</v>
      </c>
      <c r="E3318" s="1" t="s">
        <v>158</v>
      </c>
      <c r="F3318" s="1" t="s">
        <v>20</v>
      </c>
      <c r="G3318" s="4" t="b">
        <f t="shared" si="2"/>
        <v>1</v>
      </c>
      <c r="H3318" s="1" t="str">
        <f t="shared" si="3"/>
        <v>Currently Unavailable</v>
      </c>
      <c r="I3318" s="1" t="str">
        <f t="shared" si="4"/>
        <v>No Badges</v>
      </c>
      <c r="J3318" s="3">
        <f t="shared" si="5"/>
        <v>0</v>
      </c>
    </row>
    <row r="3319">
      <c r="A3319" s="1" t="s">
        <v>69</v>
      </c>
      <c r="B3319" s="3" t="str">
        <f t="shared" si="1"/>
        <v>Unavailable</v>
      </c>
      <c r="C3319" s="3">
        <v>45.0</v>
      </c>
      <c r="D3319" s="3">
        <f>IFERROR(__xludf.DUMMYFUNCTION("IFERROR(
IF(REGEXMATCH(LOWER(O3319),""k""),
VALUE(REGEXEXTRACT(O3319,""[0-9]+""))*1000,
VALUE(REGEXEXTRACT(O3319,""[0-9]+""))
),
0
)"),0.0)</f>
        <v>0</v>
      </c>
      <c r="E3319" s="1" t="s">
        <v>11</v>
      </c>
      <c r="F3319" s="1" t="s">
        <v>12</v>
      </c>
      <c r="G3319" s="4" t="b">
        <f t="shared" si="2"/>
        <v>1</v>
      </c>
      <c r="H3319" s="1" t="str">
        <f t="shared" si="3"/>
        <v>Currently Unavailable</v>
      </c>
      <c r="I3319" s="1" t="str">
        <f t="shared" si="4"/>
        <v>No Badges</v>
      </c>
      <c r="J3319" s="3">
        <f t="shared" si="5"/>
        <v>0</v>
      </c>
    </row>
    <row r="3320">
      <c r="A3320" s="1" t="s">
        <v>2466</v>
      </c>
      <c r="B3320" s="3" t="str">
        <f t="shared" si="1"/>
        <v>Unavailable</v>
      </c>
      <c r="C3320" s="5">
        <v>8503.0</v>
      </c>
      <c r="D3320" s="3">
        <f>IFERROR(__xludf.DUMMYFUNCTION("IFERROR(
IF(REGEXMATCH(LOWER(O3320),""k""),
VALUE(REGEXEXTRACT(O3320,""[0-9]+""))*1000,
VALUE(REGEXEXTRACT(O3320,""[0-9]+""))
),
0
)"),0.0)</f>
        <v>0</v>
      </c>
      <c r="E3320" s="1" t="s">
        <v>11</v>
      </c>
      <c r="F3320" s="1" t="s">
        <v>20</v>
      </c>
      <c r="G3320" s="4" t="b">
        <f t="shared" si="2"/>
        <v>1</v>
      </c>
      <c r="H3320" s="1" t="str">
        <f t="shared" si="3"/>
        <v>Currently Unavailable</v>
      </c>
      <c r="I3320" s="1" t="str">
        <f t="shared" si="4"/>
        <v>No Badges</v>
      </c>
      <c r="J3320" s="3">
        <f t="shared" si="5"/>
        <v>0</v>
      </c>
    </row>
    <row r="3321">
      <c r="A3321" s="1" t="s">
        <v>2467</v>
      </c>
      <c r="B3321" s="3" t="str">
        <f t="shared" si="1"/>
        <v>Unavailable</v>
      </c>
      <c r="C3321" s="3">
        <v>193.0</v>
      </c>
      <c r="D3321" s="3">
        <f>IFERROR(__xludf.DUMMYFUNCTION("IFERROR(
IF(REGEXMATCH(LOWER(O3321),""k""),
VALUE(REGEXEXTRACT(O3321,""[0-9]+""))*1000,
VALUE(REGEXEXTRACT(O3321,""[0-9]+""))
),
0
)"),0.0)</f>
        <v>0</v>
      </c>
      <c r="E3321" s="1" t="s">
        <v>11</v>
      </c>
      <c r="F3321" s="1" t="s">
        <v>20</v>
      </c>
      <c r="G3321" s="4" t="b">
        <f t="shared" si="2"/>
        <v>1</v>
      </c>
      <c r="H3321" s="1" t="str">
        <f t="shared" si="3"/>
        <v>Currently Unavailable</v>
      </c>
      <c r="I3321" s="1" t="str">
        <f t="shared" si="4"/>
        <v>No Badges</v>
      </c>
      <c r="J3321" s="3">
        <f t="shared" si="5"/>
        <v>0</v>
      </c>
    </row>
    <row r="3322">
      <c r="A3322" s="1" t="s">
        <v>2468</v>
      </c>
      <c r="B3322" s="3" t="str">
        <f t="shared" si="1"/>
        <v>Unavailable</v>
      </c>
      <c r="C3322" s="3">
        <v>274.0</v>
      </c>
      <c r="D3322" s="3">
        <f>IFERROR(__xludf.DUMMYFUNCTION("IFERROR(
IF(REGEXMATCH(LOWER(O3322),""k""),
VALUE(REGEXEXTRACT(O3322,""[0-9]+""))*1000,
VALUE(REGEXEXTRACT(O3322,""[0-9]+""))
),
0
)"),0.0)</f>
        <v>0</v>
      </c>
      <c r="E3322" s="1" t="s">
        <v>11</v>
      </c>
      <c r="F3322" s="1" t="s">
        <v>20</v>
      </c>
      <c r="G3322" s="4" t="b">
        <f t="shared" si="2"/>
        <v>1</v>
      </c>
      <c r="H3322" s="1" t="str">
        <f t="shared" si="3"/>
        <v>Currently Unavailable</v>
      </c>
      <c r="I3322" s="1" t="str">
        <f t="shared" si="4"/>
        <v>No Badges</v>
      </c>
      <c r="J3322" s="3">
        <f t="shared" si="5"/>
        <v>0</v>
      </c>
    </row>
    <row r="3323">
      <c r="A3323" s="1" t="s">
        <v>2469</v>
      </c>
      <c r="B3323" s="3" t="str">
        <f t="shared" si="1"/>
        <v>Unavailable</v>
      </c>
      <c r="C3323" s="3">
        <v>686.0</v>
      </c>
      <c r="D3323" s="3">
        <f>IFERROR(__xludf.DUMMYFUNCTION("IFERROR(
IF(REGEXMATCH(LOWER(O3323),""k""),
VALUE(REGEXEXTRACT(O3323,""[0-9]+""))*1000,
VALUE(REGEXEXTRACT(O3323,""[0-9]+""))
),
0
)"),0.0)</f>
        <v>0</v>
      </c>
      <c r="E3323" s="1" t="s">
        <v>11</v>
      </c>
      <c r="F3323" s="1" t="s">
        <v>20</v>
      </c>
      <c r="G3323" s="4" t="b">
        <f t="shared" si="2"/>
        <v>1</v>
      </c>
      <c r="H3323" s="1" t="str">
        <f t="shared" si="3"/>
        <v>Currently Unavailable</v>
      </c>
      <c r="I3323" s="1" t="str">
        <f t="shared" si="4"/>
        <v>No Badges</v>
      </c>
      <c r="J3323" s="3">
        <f t="shared" si="5"/>
        <v>0</v>
      </c>
    </row>
    <row r="3324">
      <c r="A3324" s="1" t="s">
        <v>2470</v>
      </c>
      <c r="B3324" s="3" t="str">
        <f t="shared" si="1"/>
        <v>Unavailable</v>
      </c>
      <c r="C3324" s="3">
        <v>136.0</v>
      </c>
      <c r="D3324" s="3">
        <f>IFERROR(__xludf.DUMMYFUNCTION("IFERROR(
IF(REGEXMATCH(LOWER(O3324),""k""),
VALUE(REGEXEXTRACT(O3324,""[0-9]+""))*1000,
VALUE(REGEXEXTRACT(O3324,""[0-9]+""))
),
0
)"),0.0)</f>
        <v>0</v>
      </c>
      <c r="E3324" s="1" t="s">
        <v>18</v>
      </c>
      <c r="F3324" s="1" t="s">
        <v>20</v>
      </c>
      <c r="G3324" s="4" t="b">
        <f t="shared" si="2"/>
        <v>1</v>
      </c>
      <c r="H3324" s="1" t="str">
        <f t="shared" si="3"/>
        <v>Currently Unavailable</v>
      </c>
      <c r="I3324" s="1" t="str">
        <f t="shared" si="4"/>
        <v>No Badges</v>
      </c>
      <c r="J3324" s="3">
        <f t="shared" si="5"/>
        <v>0</v>
      </c>
    </row>
    <row r="3325">
      <c r="A3325" s="1" t="s">
        <v>2471</v>
      </c>
      <c r="B3325" s="3" t="str">
        <f t="shared" si="1"/>
        <v>Unavailable</v>
      </c>
      <c r="C3325" s="3">
        <v>76.0</v>
      </c>
      <c r="D3325" s="3">
        <f>IFERROR(__xludf.DUMMYFUNCTION("IFERROR(
IF(REGEXMATCH(LOWER(O3325),""k""),
VALUE(REGEXEXTRACT(O3325,""[0-9]+""))*1000,
VALUE(REGEXEXTRACT(O3325,""[0-9]+""))
),
0
)"),0.0)</f>
        <v>0</v>
      </c>
      <c r="E3325" s="1" t="s">
        <v>11</v>
      </c>
      <c r="F3325" s="1" t="s">
        <v>20</v>
      </c>
      <c r="G3325" s="4" t="b">
        <f t="shared" si="2"/>
        <v>1</v>
      </c>
      <c r="H3325" s="1" t="str">
        <f t="shared" si="3"/>
        <v>Currently Unavailable</v>
      </c>
      <c r="I3325" s="1" t="str">
        <f t="shared" si="4"/>
        <v>No Badges</v>
      </c>
      <c r="J3325" s="3">
        <f t="shared" si="5"/>
        <v>0</v>
      </c>
    </row>
    <row r="3326">
      <c r="A3326" s="1" t="s">
        <v>2472</v>
      </c>
      <c r="B3326" s="3" t="str">
        <f t="shared" si="1"/>
        <v>Unavailable</v>
      </c>
      <c r="C3326" s="3">
        <v>103.0</v>
      </c>
      <c r="D3326" s="3">
        <f>IFERROR(__xludf.DUMMYFUNCTION("IFERROR(
IF(REGEXMATCH(LOWER(O3326),""k""),
VALUE(REGEXEXTRACT(O3326,""[0-9]+""))*1000,
VALUE(REGEXEXTRACT(O3326,""[0-9]+""))
),
0
)"),0.0)</f>
        <v>0</v>
      </c>
      <c r="E3326" s="1" t="s">
        <v>11</v>
      </c>
      <c r="F3326" s="1" t="s">
        <v>20</v>
      </c>
      <c r="G3326" s="4" t="b">
        <f t="shared" si="2"/>
        <v>1</v>
      </c>
      <c r="H3326" s="1" t="str">
        <f t="shared" si="3"/>
        <v>Currently Unavailable</v>
      </c>
      <c r="I3326" s="1" t="str">
        <f t="shared" si="4"/>
        <v>No Badges</v>
      </c>
      <c r="J3326" s="3">
        <f t="shared" si="5"/>
        <v>0</v>
      </c>
    </row>
    <row r="3327">
      <c r="A3327" s="1" t="s">
        <v>2473</v>
      </c>
      <c r="B3327" s="3" t="str">
        <f t="shared" si="1"/>
        <v>Unavailable</v>
      </c>
      <c r="C3327" s="3">
        <v>32.0</v>
      </c>
      <c r="D3327" s="3">
        <f>IFERROR(__xludf.DUMMYFUNCTION("IFERROR(
IF(REGEXMATCH(LOWER(O3327),""k""),
VALUE(REGEXEXTRACT(O3327,""[0-9]+""))*1000,
VALUE(REGEXEXTRACT(O3327,""[0-9]+""))
),
0
)"),0.0)</f>
        <v>0</v>
      </c>
      <c r="E3327" s="1" t="s">
        <v>11</v>
      </c>
      <c r="F3327" s="1" t="s">
        <v>20</v>
      </c>
      <c r="G3327" s="4" t="b">
        <f t="shared" si="2"/>
        <v>1</v>
      </c>
      <c r="H3327" s="1" t="str">
        <f t="shared" si="3"/>
        <v>Currently Unavailable</v>
      </c>
      <c r="I3327" s="1" t="str">
        <f t="shared" si="4"/>
        <v>No Badges</v>
      </c>
      <c r="J3327" s="3">
        <f t="shared" si="5"/>
        <v>0</v>
      </c>
    </row>
    <row r="3328">
      <c r="A3328" s="1" t="s">
        <v>2474</v>
      </c>
      <c r="B3328" s="3" t="str">
        <f t="shared" si="1"/>
        <v>Unavailable</v>
      </c>
      <c r="C3328" s="3">
        <v>53.0</v>
      </c>
      <c r="D3328" s="3">
        <f>IFERROR(__xludf.DUMMYFUNCTION("IFERROR(
IF(REGEXMATCH(LOWER(O3328),""k""),
VALUE(REGEXEXTRACT(O3328,""[0-9]+""))*1000,
VALUE(REGEXEXTRACT(O3328,""[0-9]+""))
),
0
)"),0.0)</f>
        <v>0</v>
      </c>
      <c r="E3328" s="1" t="s">
        <v>158</v>
      </c>
      <c r="F3328" s="1" t="s">
        <v>20</v>
      </c>
      <c r="G3328" s="4" t="b">
        <f t="shared" si="2"/>
        <v>1</v>
      </c>
      <c r="H3328" s="1" t="str">
        <f t="shared" si="3"/>
        <v>Currently Unavailable</v>
      </c>
      <c r="I3328" s="1" t="str">
        <f t="shared" si="4"/>
        <v>No Badges</v>
      </c>
      <c r="J3328" s="3">
        <f t="shared" si="5"/>
        <v>0</v>
      </c>
    </row>
    <row r="3329">
      <c r="A3329" s="1" t="s">
        <v>2475</v>
      </c>
      <c r="B3329" s="3" t="str">
        <f t="shared" si="1"/>
        <v>Unavailable</v>
      </c>
      <c r="C3329" s="3">
        <v>87.0</v>
      </c>
      <c r="D3329" s="3">
        <f>IFERROR(__xludf.DUMMYFUNCTION("IFERROR(
IF(REGEXMATCH(LOWER(O3329),""k""),
VALUE(REGEXEXTRACT(O3329,""[0-9]+""))*1000,
VALUE(REGEXEXTRACT(O3329,""[0-9]+""))
),
0
)"),0.0)</f>
        <v>0</v>
      </c>
      <c r="E3329" s="1" t="s">
        <v>11</v>
      </c>
      <c r="F3329" s="1" t="s">
        <v>20</v>
      </c>
      <c r="G3329" s="4" t="b">
        <f t="shared" si="2"/>
        <v>1</v>
      </c>
      <c r="H3329" s="1" t="str">
        <f t="shared" si="3"/>
        <v>Currently Unavailable</v>
      </c>
      <c r="I3329" s="1" t="str">
        <f t="shared" si="4"/>
        <v>No Badges</v>
      </c>
      <c r="J3329" s="3">
        <f t="shared" si="5"/>
        <v>0</v>
      </c>
    </row>
    <row r="3330">
      <c r="A3330" s="1" t="s">
        <v>2476</v>
      </c>
      <c r="B3330" s="3" t="str">
        <f t="shared" si="1"/>
        <v>Unavailable</v>
      </c>
      <c r="C3330" s="3">
        <v>297.0</v>
      </c>
      <c r="D3330" s="3">
        <f>IFERROR(__xludf.DUMMYFUNCTION("IFERROR(
IF(REGEXMATCH(LOWER(O3330),""k""),
VALUE(REGEXEXTRACT(O3330,""[0-9]+""))*1000,
VALUE(REGEXEXTRACT(O3330,""[0-9]+""))
),
0
)"),0.0)</f>
        <v>0</v>
      </c>
      <c r="E3330" s="1" t="s">
        <v>11</v>
      </c>
      <c r="F3330" s="1" t="s">
        <v>20</v>
      </c>
      <c r="G3330" s="4" t="b">
        <f t="shared" si="2"/>
        <v>1</v>
      </c>
      <c r="H3330" s="1" t="str">
        <f t="shared" si="3"/>
        <v>Currently Unavailable</v>
      </c>
      <c r="I3330" s="1" t="str">
        <f t="shared" si="4"/>
        <v>No Badges</v>
      </c>
      <c r="J3330" s="3">
        <f t="shared" si="5"/>
        <v>0</v>
      </c>
    </row>
    <row r="3331">
      <c r="A3331" s="1" t="s">
        <v>2477</v>
      </c>
      <c r="B3331" s="3" t="str">
        <f t="shared" si="1"/>
        <v>Unavailable</v>
      </c>
      <c r="C3331" s="3">
        <v>146.0</v>
      </c>
      <c r="D3331" s="3">
        <f>IFERROR(__xludf.DUMMYFUNCTION("IFERROR(
IF(REGEXMATCH(LOWER(O3331),""k""),
VALUE(REGEXEXTRACT(O3331,""[0-9]+""))*1000,
VALUE(REGEXEXTRACT(O3331,""[0-9]+""))
),
0
)"),0.0)</f>
        <v>0</v>
      </c>
      <c r="E3331" s="1" t="s">
        <v>11</v>
      </c>
      <c r="F3331" s="1" t="s">
        <v>20</v>
      </c>
      <c r="G3331" s="4" t="b">
        <f t="shared" si="2"/>
        <v>1</v>
      </c>
      <c r="H3331" s="1" t="str">
        <f t="shared" si="3"/>
        <v>Currently Unavailable</v>
      </c>
      <c r="I3331" s="1" t="str">
        <f t="shared" si="4"/>
        <v>No Badges</v>
      </c>
      <c r="J3331" s="3">
        <f t="shared" si="5"/>
        <v>0</v>
      </c>
    </row>
    <row r="3332">
      <c r="A3332" s="1" t="s">
        <v>67</v>
      </c>
      <c r="B3332" s="3" t="str">
        <f t="shared" si="1"/>
        <v>Unavailable</v>
      </c>
      <c r="C3332" s="3">
        <v>264.0</v>
      </c>
      <c r="D3332" s="3">
        <f>IFERROR(__xludf.DUMMYFUNCTION("IFERROR(
IF(REGEXMATCH(LOWER(O3332),""k""),
VALUE(REGEXEXTRACT(O3332,""[0-9]+""))*1000,
VALUE(REGEXEXTRACT(O3332,""[0-9]+""))
),
0
)"),0.0)</f>
        <v>0</v>
      </c>
      <c r="E3332" s="1" t="s">
        <v>11</v>
      </c>
      <c r="F3332" s="1" t="s">
        <v>12</v>
      </c>
      <c r="G3332" s="4" t="b">
        <f t="shared" si="2"/>
        <v>1</v>
      </c>
      <c r="H3332" s="1" t="str">
        <f t="shared" si="3"/>
        <v>Currently Unavailable</v>
      </c>
      <c r="I3332" s="1" t="str">
        <f t="shared" si="4"/>
        <v>No Badges</v>
      </c>
      <c r="J3332" s="3">
        <f t="shared" si="5"/>
        <v>0</v>
      </c>
    </row>
    <row r="3333">
      <c r="A3333" s="1" t="s">
        <v>2478</v>
      </c>
      <c r="B3333" s="3" t="str">
        <f t="shared" si="1"/>
        <v>Unavailable</v>
      </c>
      <c r="C3333" s="3">
        <v>145.0</v>
      </c>
      <c r="D3333" s="3">
        <f>IFERROR(__xludf.DUMMYFUNCTION("IFERROR(
IF(REGEXMATCH(LOWER(O3333),""k""),
VALUE(REGEXEXTRACT(O3333,""[0-9]+""))*1000,
VALUE(REGEXEXTRACT(O3333,""[0-9]+""))
),
0
)"),0.0)</f>
        <v>0</v>
      </c>
      <c r="E3333" s="1" t="s">
        <v>11</v>
      </c>
      <c r="F3333" s="1" t="s">
        <v>20</v>
      </c>
      <c r="G3333" s="4" t="b">
        <f t="shared" si="2"/>
        <v>1</v>
      </c>
      <c r="H3333" s="1" t="str">
        <f t="shared" si="3"/>
        <v>Currently Unavailable</v>
      </c>
      <c r="I3333" s="1" t="str">
        <f t="shared" si="4"/>
        <v>No Badges</v>
      </c>
      <c r="J3333" s="3">
        <f t="shared" si="5"/>
        <v>0</v>
      </c>
    </row>
    <row r="3334">
      <c r="A3334" s="1" t="s">
        <v>701</v>
      </c>
      <c r="B3334" s="3" t="str">
        <f t="shared" si="1"/>
        <v>Unavailable</v>
      </c>
      <c r="C3334" s="3">
        <v>8.0</v>
      </c>
      <c r="D3334" s="3">
        <f>IFERROR(__xludf.DUMMYFUNCTION("IFERROR(
IF(REGEXMATCH(LOWER(O3334),""k""),
VALUE(REGEXEXTRACT(O3334,""[0-9]+""))*1000,
VALUE(REGEXEXTRACT(O3334,""[0-9]+""))
),
0
)"),0.0)</f>
        <v>0</v>
      </c>
      <c r="E3334" s="1" t="s">
        <v>11</v>
      </c>
      <c r="F3334" s="1" t="s">
        <v>12</v>
      </c>
      <c r="G3334" s="4" t="b">
        <f t="shared" si="2"/>
        <v>1</v>
      </c>
      <c r="H3334" s="1" t="str">
        <f t="shared" si="3"/>
        <v>Currently Unavailable</v>
      </c>
      <c r="I3334" s="1" t="str">
        <f t="shared" si="4"/>
        <v>No Badges</v>
      </c>
      <c r="J3334" s="3">
        <f t="shared" si="5"/>
        <v>0</v>
      </c>
    </row>
    <row r="3335">
      <c r="A3335" s="1" t="s">
        <v>2479</v>
      </c>
      <c r="B3335" s="3" t="str">
        <f t="shared" si="1"/>
        <v>Unavailable</v>
      </c>
      <c r="C3335" s="3">
        <v>855.0</v>
      </c>
      <c r="D3335" s="3">
        <f>IFERROR(__xludf.DUMMYFUNCTION("IFERROR(
IF(REGEXMATCH(LOWER(O3335),""k""),
VALUE(REGEXEXTRACT(O3335,""[0-9]+""))*1000,
VALUE(REGEXEXTRACT(O3335,""[0-9]+""))
),
0
)"),0.0)</f>
        <v>0</v>
      </c>
      <c r="E3335" s="1" t="s">
        <v>11</v>
      </c>
      <c r="F3335" s="1" t="s">
        <v>20</v>
      </c>
      <c r="G3335" s="4" t="b">
        <f t="shared" si="2"/>
        <v>1</v>
      </c>
      <c r="H3335" s="1" t="str">
        <f t="shared" si="3"/>
        <v>Currently Unavailable</v>
      </c>
      <c r="I3335" s="1" t="str">
        <f t="shared" si="4"/>
        <v>No Badges</v>
      </c>
      <c r="J3335" s="3">
        <f t="shared" si="5"/>
        <v>0</v>
      </c>
    </row>
    <row r="3336">
      <c r="A3336" s="1" t="s">
        <v>2480</v>
      </c>
      <c r="B3336" s="3" t="str">
        <f t="shared" si="1"/>
        <v>Unavailable</v>
      </c>
      <c r="C3336" s="3">
        <v>38.0</v>
      </c>
      <c r="D3336" s="3">
        <f>IFERROR(__xludf.DUMMYFUNCTION("IFERROR(
IF(REGEXMATCH(LOWER(O3336),""k""),
VALUE(REGEXEXTRACT(O3336,""[0-9]+""))*1000,
VALUE(REGEXEXTRACT(O3336,""[0-9]+""))
),
0
)"),0.0)</f>
        <v>0</v>
      </c>
      <c r="E3336" s="1" t="s">
        <v>11</v>
      </c>
      <c r="F3336" s="1" t="s">
        <v>20</v>
      </c>
      <c r="G3336" s="4" t="b">
        <f t="shared" si="2"/>
        <v>1</v>
      </c>
      <c r="H3336" s="1" t="str">
        <f t="shared" si="3"/>
        <v>Currently Unavailable</v>
      </c>
      <c r="I3336" s="1" t="str">
        <f t="shared" si="4"/>
        <v>No Badges</v>
      </c>
      <c r="J3336" s="3">
        <f t="shared" si="5"/>
        <v>0</v>
      </c>
    </row>
    <row r="3337">
      <c r="A3337" s="1" t="s">
        <v>2481</v>
      </c>
      <c r="B3337" s="3" t="str">
        <f t="shared" si="1"/>
        <v>Unavailable</v>
      </c>
      <c r="C3337" s="5">
        <v>3772.0</v>
      </c>
      <c r="D3337" s="3">
        <f>IFERROR(__xludf.DUMMYFUNCTION("IFERROR(
IF(REGEXMATCH(LOWER(O3337),""k""),
VALUE(REGEXEXTRACT(O3337,""[0-9]+""))*1000,
VALUE(REGEXEXTRACT(O3337,""[0-9]+""))
),
0
)"),0.0)</f>
        <v>0</v>
      </c>
      <c r="E3337" s="1" t="s">
        <v>11</v>
      </c>
      <c r="F3337" s="1" t="s">
        <v>20</v>
      </c>
      <c r="G3337" s="4" t="b">
        <f t="shared" si="2"/>
        <v>1</v>
      </c>
      <c r="H3337" s="1" t="str">
        <f t="shared" si="3"/>
        <v>Currently Unavailable</v>
      </c>
      <c r="I3337" s="1" t="str">
        <f t="shared" si="4"/>
        <v>No Badges</v>
      </c>
      <c r="J3337" s="3">
        <f t="shared" si="5"/>
        <v>0</v>
      </c>
    </row>
    <row r="3338">
      <c r="A3338" s="1" t="s">
        <v>2482</v>
      </c>
      <c r="B3338" s="3" t="str">
        <f t="shared" si="1"/>
        <v>Unavailable</v>
      </c>
      <c r="C3338" s="3">
        <v>246.0</v>
      </c>
      <c r="D3338" s="3">
        <f>IFERROR(__xludf.DUMMYFUNCTION("IFERROR(
IF(REGEXMATCH(LOWER(O3338),""k""),
VALUE(REGEXEXTRACT(O3338,""[0-9]+""))*1000,
VALUE(REGEXEXTRACT(O3338,""[0-9]+""))
),
0
)"),0.0)</f>
        <v>0</v>
      </c>
      <c r="E3338" s="1" t="s">
        <v>11</v>
      </c>
      <c r="F3338" s="1" t="s">
        <v>20</v>
      </c>
      <c r="G3338" s="4" t="b">
        <f t="shared" si="2"/>
        <v>1</v>
      </c>
      <c r="H3338" s="1" t="str">
        <f t="shared" si="3"/>
        <v>Currently Unavailable</v>
      </c>
      <c r="I3338" s="1" t="str">
        <f t="shared" si="4"/>
        <v>No Badges</v>
      </c>
      <c r="J3338" s="3">
        <f t="shared" si="5"/>
        <v>0</v>
      </c>
    </row>
    <row r="3339">
      <c r="A3339" s="1" t="s">
        <v>2483</v>
      </c>
      <c r="B3339" s="3" t="str">
        <f t="shared" si="1"/>
        <v>Unavailable</v>
      </c>
      <c r="C3339" s="3">
        <v>114.0</v>
      </c>
      <c r="D3339" s="3">
        <f>IFERROR(__xludf.DUMMYFUNCTION("IFERROR(
IF(REGEXMATCH(LOWER(O3339),""k""),
VALUE(REGEXEXTRACT(O3339,""[0-9]+""))*1000,
VALUE(REGEXEXTRACT(O3339,""[0-9]+""))
),
0
)"),0.0)</f>
        <v>0</v>
      </c>
      <c r="E3339" s="1" t="s">
        <v>11</v>
      </c>
      <c r="F3339" s="1" t="s">
        <v>20</v>
      </c>
      <c r="G3339" s="4" t="b">
        <f t="shared" si="2"/>
        <v>1</v>
      </c>
      <c r="H3339" s="1" t="str">
        <f t="shared" si="3"/>
        <v>Currently Unavailable</v>
      </c>
      <c r="I3339" s="1" t="str">
        <f t="shared" si="4"/>
        <v>No Badges</v>
      </c>
      <c r="J3339" s="3">
        <f t="shared" si="5"/>
        <v>0</v>
      </c>
    </row>
    <row r="3340">
      <c r="A3340" s="1" t="s">
        <v>2484</v>
      </c>
      <c r="B3340" s="3" t="str">
        <f t="shared" si="1"/>
        <v>Unavailable</v>
      </c>
      <c r="C3340" s="5">
        <v>3692.0</v>
      </c>
      <c r="D3340" s="3">
        <f>IFERROR(__xludf.DUMMYFUNCTION("IFERROR(
IF(REGEXMATCH(LOWER(O3340),""k""),
VALUE(REGEXEXTRACT(O3340,""[0-9]+""))*1000,
VALUE(REGEXEXTRACT(O3340,""[0-9]+""))
),
0
)"),0.0)</f>
        <v>0</v>
      </c>
      <c r="E3340" s="1" t="s">
        <v>11</v>
      </c>
      <c r="F3340" s="1" t="s">
        <v>20</v>
      </c>
      <c r="G3340" s="4" t="b">
        <f t="shared" si="2"/>
        <v>1</v>
      </c>
      <c r="H3340" s="1" t="str">
        <f t="shared" si="3"/>
        <v>Currently Unavailable</v>
      </c>
      <c r="I3340" s="1" t="str">
        <f t="shared" si="4"/>
        <v>No Badges</v>
      </c>
      <c r="J3340" s="3">
        <f t="shared" si="5"/>
        <v>0</v>
      </c>
    </row>
    <row r="3341">
      <c r="A3341" s="1" t="s">
        <v>2485</v>
      </c>
      <c r="B3341" s="3" t="str">
        <f t="shared" si="1"/>
        <v>Unavailable</v>
      </c>
      <c r="C3341" s="3">
        <v>873.0</v>
      </c>
      <c r="D3341" s="3">
        <f>IFERROR(__xludf.DUMMYFUNCTION("IFERROR(
IF(REGEXMATCH(LOWER(O3341),""k""),
VALUE(REGEXEXTRACT(O3341,""[0-9]+""))*1000,
VALUE(REGEXEXTRACT(O3341,""[0-9]+""))
),
0
)"),0.0)</f>
        <v>0</v>
      </c>
      <c r="E3341" s="1" t="s">
        <v>11</v>
      </c>
      <c r="F3341" s="1" t="s">
        <v>20</v>
      </c>
      <c r="G3341" s="4" t="b">
        <f t="shared" si="2"/>
        <v>1</v>
      </c>
      <c r="H3341" s="1" t="str">
        <f t="shared" si="3"/>
        <v>Currently Unavailable</v>
      </c>
      <c r="I3341" s="1" t="str">
        <f t="shared" si="4"/>
        <v>No Badges</v>
      </c>
      <c r="J3341" s="3">
        <f t="shared" si="5"/>
        <v>0</v>
      </c>
    </row>
    <row r="3342">
      <c r="A3342" s="1" t="s">
        <v>2486</v>
      </c>
      <c r="B3342" s="3" t="str">
        <f t="shared" si="1"/>
        <v>Unavailable</v>
      </c>
      <c r="C3342" s="5">
        <v>11178.0</v>
      </c>
      <c r="D3342" s="3">
        <f>IFERROR(__xludf.DUMMYFUNCTION("IFERROR(
IF(REGEXMATCH(LOWER(O3342),""k""),
VALUE(REGEXEXTRACT(O3342,""[0-9]+""))*1000,
VALUE(REGEXEXTRACT(O3342,""[0-9]+""))
),
0
)"),0.0)</f>
        <v>0</v>
      </c>
      <c r="E3342" s="1" t="s">
        <v>11</v>
      </c>
      <c r="F3342" s="1" t="s">
        <v>20</v>
      </c>
      <c r="G3342" s="4" t="b">
        <f t="shared" si="2"/>
        <v>1</v>
      </c>
      <c r="H3342" s="1" t="str">
        <f t="shared" si="3"/>
        <v>Currently Unavailable</v>
      </c>
      <c r="I3342" s="1" t="str">
        <f t="shared" si="4"/>
        <v>No Badges</v>
      </c>
      <c r="J3342" s="3">
        <f t="shared" si="5"/>
        <v>0</v>
      </c>
    </row>
    <row r="3343">
      <c r="A3343" s="1" t="s">
        <v>2487</v>
      </c>
      <c r="B3343" s="3" t="str">
        <f t="shared" si="1"/>
        <v>Unavailable</v>
      </c>
      <c r="C3343" s="3">
        <v>299.0</v>
      </c>
      <c r="D3343" s="3">
        <f>IFERROR(__xludf.DUMMYFUNCTION("IFERROR(
IF(REGEXMATCH(LOWER(O3343),""k""),
VALUE(REGEXEXTRACT(O3343,""[0-9]+""))*1000,
VALUE(REGEXEXTRACT(O3343,""[0-9]+""))
),
0
)"),0.0)</f>
        <v>0</v>
      </c>
      <c r="E3343" s="1" t="s">
        <v>11</v>
      </c>
      <c r="F3343" s="1" t="s">
        <v>20</v>
      </c>
      <c r="G3343" s="4" t="b">
        <f t="shared" si="2"/>
        <v>1</v>
      </c>
      <c r="H3343" s="1" t="str">
        <f t="shared" si="3"/>
        <v>Currently Unavailable</v>
      </c>
      <c r="I3343" s="1" t="str">
        <f t="shared" si="4"/>
        <v>No Badges</v>
      </c>
      <c r="J3343" s="3">
        <f t="shared" si="5"/>
        <v>0</v>
      </c>
    </row>
    <row r="3344">
      <c r="A3344" s="1" t="s">
        <v>2488</v>
      </c>
      <c r="B3344" s="3" t="str">
        <f t="shared" si="1"/>
        <v>Unavailable</v>
      </c>
      <c r="C3344" s="3">
        <v>239.0</v>
      </c>
      <c r="D3344" s="3">
        <f>IFERROR(__xludf.DUMMYFUNCTION("IFERROR(
IF(REGEXMATCH(LOWER(O3344),""k""),
VALUE(REGEXEXTRACT(O3344,""[0-9]+""))*1000,
VALUE(REGEXEXTRACT(O3344,""[0-9]+""))
),
0
)"),0.0)</f>
        <v>0</v>
      </c>
      <c r="E3344" s="1" t="s">
        <v>11</v>
      </c>
      <c r="F3344" s="1" t="s">
        <v>20</v>
      </c>
      <c r="G3344" s="4" t="b">
        <f t="shared" si="2"/>
        <v>1</v>
      </c>
      <c r="H3344" s="1" t="str">
        <f t="shared" si="3"/>
        <v>Currently Unavailable</v>
      </c>
      <c r="I3344" s="1" t="str">
        <f t="shared" si="4"/>
        <v>No Badges</v>
      </c>
      <c r="J3344" s="3">
        <f t="shared" si="5"/>
        <v>0</v>
      </c>
    </row>
    <row r="3345">
      <c r="A3345" s="1" t="s">
        <v>2489</v>
      </c>
      <c r="B3345" s="3" t="str">
        <f t="shared" si="1"/>
        <v>Unavailable</v>
      </c>
      <c r="C3345" s="3">
        <v>998.0</v>
      </c>
      <c r="D3345" s="3">
        <f>IFERROR(__xludf.DUMMYFUNCTION("IFERROR(
IF(REGEXMATCH(LOWER(O3345),""k""),
VALUE(REGEXEXTRACT(O3345,""[0-9]+""))*1000,
VALUE(REGEXEXTRACT(O3345,""[0-9]+""))
),
0
)"),0.0)</f>
        <v>0</v>
      </c>
      <c r="E3345" s="1" t="s">
        <v>11</v>
      </c>
      <c r="F3345" s="1" t="s">
        <v>20</v>
      </c>
      <c r="G3345" s="4" t="b">
        <f t="shared" si="2"/>
        <v>1</v>
      </c>
      <c r="H3345" s="1" t="str">
        <f t="shared" si="3"/>
        <v>Currently Unavailable</v>
      </c>
      <c r="I3345" s="1" t="str">
        <f t="shared" si="4"/>
        <v>No Badges</v>
      </c>
      <c r="J3345" s="3">
        <f t="shared" si="5"/>
        <v>0</v>
      </c>
    </row>
    <row r="3346">
      <c r="A3346" s="1" t="s">
        <v>2490</v>
      </c>
      <c r="B3346" s="3" t="str">
        <f t="shared" si="1"/>
        <v>Unavailable</v>
      </c>
      <c r="C3346" s="3">
        <v>39.0</v>
      </c>
      <c r="D3346" s="3">
        <f>IFERROR(__xludf.DUMMYFUNCTION("IFERROR(
IF(REGEXMATCH(LOWER(O3346),""k""),
VALUE(REGEXEXTRACT(O3346,""[0-9]+""))*1000,
VALUE(REGEXEXTRACT(O3346,""[0-9]+""))
),
0
)"),0.0)</f>
        <v>0</v>
      </c>
      <c r="E3346" s="1" t="s">
        <v>18</v>
      </c>
      <c r="F3346" s="1" t="s">
        <v>20</v>
      </c>
      <c r="G3346" s="4" t="b">
        <f t="shared" si="2"/>
        <v>1</v>
      </c>
      <c r="H3346" s="1" t="str">
        <f t="shared" si="3"/>
        <v>Currently Unavailable</v>
      </c>
      <c r="I3346" s="1" t="str">
        <f t="shared" si="4"/>
        <v>No Badges</v>
      </c>
      <c r="J3346" s="3">
        <f t="shared" si="5"/>
        <v>0</v>
      </c>
    </row>
    <row r="3347">
      <c r="A3347" s="1" t="s">
        <v>2491</v>
      </c>
      <c r="B3347" s="3" t="str">
        <f t="shared" si="1"/>
        <v>Unavailable</v>
      </c>
      <c r="C3347" s="3">
        <v>36.0</v>
      </c>
      <c r="D3347" s="3">
        <f>IFERROR(__xludf.DUMMYFUNCTION("IFERROR(
IF(REGEXMATCH(LOWER(O3347),""k""),
VALUE(REGEXEXTRACT(O3347,""[0-9]+""))*1000,
VALUE(REGEXEXTRACT(O3347,""[0-9]+""))
),
0
)"),0.0)</f>
        <v>0</v>
      </c>
      <c r="E3347" s="1" t="s">
        <v>11</v>
      </c>
      <c r="F3347" s="1" t="s">
        <v>20</v>
      </c>
      <c r="G3347" s="4" t="b">
        <f t="shared" si="2"/>
        <v>1</v>
      </c>
      <c r="H3347" s="1" t="str">
        <f t="shared" si="3"/>
        <v>Currently Unavailable</v>
      </c>
      <c r="I3347" s="1" t="str">
        <f t="shared" si="4"/>
        <v>No Badges</v>
      </c>
      <c r="J3347" s="3">
        <f t="shared" si="5"/>
        <v>0</v>
      </c>
    </row>
    <row r="3348">
      <c r="A3348" s="1" t="s">
        <v>88</v>
      </c>
      <c r="B3348" s="3" t="str">
        <f t="shared" si="1"/>
        <v>Unavailable</v>
      </c>
      <c r="C3348" s="3">
        <v>5.0</v>
      </c>
      <c r="D3348" s="3">
        <f>IFERROR(__xludf.DUMMYFUNCTION("IFERROR(
IF(REGEXMATCH(LOWER(O3348),""k""),
VALUE(REGEXEXTRACT(O3348,""[0-9]+""))*1000,
VALUE(REGEXEXTRACT(O3348,""[0-9]+""))
),
0
)"),0.0)</f>
        <v>0</v>
      </c>
      <c r="E3348" s="1" t="s">
        <v>11</v>
      </c>
      <c r="F3348" s="1" t="s">
        <v>12</v>
      </c>
      <c r="G3348" s="4" t="b">
        <f t="shared" si="2"/>
        <v>1</v>
      </c>
      <c r="H3348" s="1" t="str">
        <f t="shared" si="3"/>
        <v>Currently Unavailable</v>
      </c>
      <c r="I3348" s="1" t="str">
        <f t="shared" si="4"/>
        <v>No Badges</v>
      </c>
      <c r="J3348" s="3">
        <f t="shared" si="5"/>
        <v>0</v>
      </c>
    </row>
    <row r="3349">
      <c r="A3349" s="1" t="s">
        <v>40</v>
      </c>
      <c r="B3349" s="3" t="str">
        <f t="shared" si="1"/>
        <v>Unavailable</v>
      </c>
      <c r="C3349" s="3">
        <v>171.0</v>
      </c>
      <c r="D3349" s="3">
        <f>IFERROR(__xludf.DUMMYFUNCTION("IFERROR(
IF(REGEXMATCH(LOWER(O3349),""k""),
VALUE(REGEXEXTRACT(O3349,""[0-9]+""))*1000,
VALUE(REGEXEXTRACT(O3349,""[0-9]+""))
),
0
)"),0.0)</f>
        <v>0</v>
      </c>
      <c r="E3349" s="1" t="s">
        <v>11</v>
      </c>
      <c r="F3349" s="1" t="s">
        <v>12</v>
      </c>
      <c r="G3349" s="4" t="b">
        <f t="shared" si="2"/>
        <v>1</v>
      </c>
      <c r="H3349" s="1" t="str">
        <f t="shared" si="3"/>
        <v>Currently Unavailable</v>
      </c>
      <c r="I3349" s="1" t="str">
        <f t="shared" si="4"/>
        <v>No Badges</v>
      </c>
      <c r="J3349" s="3">
        <f t="shared" si="5"/>
        <v>0</v>
      </c>
    </row>
    <row r="3350">
      <c r="A3350" s="1" t="s">
        <v>2492</v>
      </c>
      <c r="B3350" s="3" t="str">
        <f t="shared" si="1"/>
        <v>Unavailable</v>
      </c>
      <c r="C3350" s="5">
        <v>4429.0</v>
      </c>
      <c r="D3350" s="3">
        <f>IFERROR(__xludf.DUMMYFUNCTION("IFERROR(
IF(REGEXMATCH(LOWER(O3350),""k""),
VALUE(REGEXEXTRACT(O3350,""[0-9]+""))*1000,
VALUE(REGEXEXTRACT(O3350,""[0-9]+""))
),
0
)"),0.0)</f>
        <v>0</v>
      </c>
      <c r="E3350" s="1" t="s">
        <v>11</v>
      </c>
      <c r="F3350" s="1" t="s">
        <v>20</v>
      </c>
      <c r="G3350" s="4" t="b">
        <f t="shared" si="2"/>
        <v>1</v>
      </c>
      <c r="H3350" s="1" t="str">
        <f t="shared" si="3"/>
        <v>Currently Unavailable</v>
      </c>
      <c r="I3350" s="1" t="str">
        <f t="shared" si="4"/>
        <v>No Badges</v>
      </c>
      <c r="J3350" s="3">
        <f t="shared" si="5"/>
        <v>0</v>
      </c>
    </row>
    <row r="3351">
      <c r="A3351" s="1" t="s">
        <v>2493</v>
      </c>
      <c r="B3351" s="3" t="str">
        <f t="shared" si="1"/>
        <v>Unavailable</v>
      </c>
      <c r="C3351" s="5">
        <v>1440.0</v>
      </c>
      <c r="D3351" s="3">
        <f>IFERROR(__xludf.DUMMYFUNCTION("IFERROR(
IF(REGEXMATCH(LOWER(O3351),""k""),
VALUE(REGEXEXTRACT(O3351,""[0-9]+""))*1000,
VALUE(REGEXEXTRACT(O3351,""[0-9]+""))
),
0
)"),0.0)</f>
        <v>0</v>
      </c>
      <c r="E3351" s="1" t="s">
        <v>11</v>
      </c>
      <c r="F3351" s="1" t="s">
        <v>20</v>
      </c>
      <c r="G3351" s="4" t="b">
        <f t="shared" si="2"/>
        <v>1</v>
      </c>
      <c r="H3351" s="1" t="str">
        <f t="shared" si="3"/>
        <v>Currently Unavailable</v>
      </c>
      <c r="I3351" s="1" t="str">
        <f t="shared" si="4"/>
        <v>No Badges</v>
      </c>
      <c r="J3351" s="3">
        <f t="shared" si="5"/>
        <v>0</v>
      </c>
    </row>
    <row r="3352">
      <c r="A3352" s="1" t="s">
        <v>2494</v>
      </c>
      <c r="B3352" s="3" t="str">
        <f t="shared" si="1"/>
        <v>Unavailable</v>
      </c>
      <c r="C3352" s="3">
        <v>155.0</v>
      </c>
      <c r="D3352" s="3">
        <f>IFERROR(__xludf.DUMMYFUNCTION("IFERROR(
IF(REGEXMATCH(LOWER(O3352),""k""),
VALUE(REGEXEXTRACT(O3352,""[0-9]+""))*1000,
VALUE(REGEXEXTRACT(O3352,""[0-9]+""))
),
0
)"),0.0)</f>
        <v>0</v>
      </c>
      <c r="E3352" s="1" t="s">
        <v>11</v>
      </c>
      <c r="F3352" s="1" t="s">
        <v>20</v>
      </c>
      <c r="G3352" s="4" t="b">
        <f t="shared" si="2"/>
        <v>1</v>
      </c>
      <c r="H3352" s="1" t="str">
        <f t="shared" si="3"/>
        <v>Currently Unavailable</v>
      </c>
      <c r="I3352" s="1" t="str">
        <f t="shared" si="4"/>
        <v>No Badges</v>
      </c>
      <c r="J3352" s="3">
        <f t="shared" si="5"/>
        <v>0</v>
      </c>
    </row>
    <row r="3353">
      <c r="A3353" s="1" t="s">
        <v>2495</v>
      </c>
      <c r="B3353" s="3" t="str">
        <f t="shared" si="1"/>
        <v>Unavailable</v>
      </c>
      <c r="C3353" s="5">
        <v>1202.0</v>
      </c>
      <c r="D3353" s="3">
        <f>IFERROR(__xludf.DUMMYFUNCTION("IFERROR(
IF(REGEXMATCH(LOWER(O3353),""k""),
VALUE(REGEXEXTRACT(O3353,""[0-9]+""))*1000,
VALUE(REGEXEXTRACT(O3353,""[0-9]+""))
),
0
)"),0.0)</f>
        <v>0</v>
      </c>
      <c r="E3353" s="1" t="s">
        <v>11</v>
      </c>
      <c r="F3353" s="1" t="s">
        <v>20</v>
      </c>
      <c r="G3353" s="4" t="b">
        <f t="shared" si="2"/>
        <v>1</v>
      </c>
      <c r="H3353" s="1" t="str">
        <f t="shared" si="3"/>
        <v>Currently Unavailable</v>
      </c>
      <c r="I3353" s="1" t="str">
        <f t="shared" si="4"/>
        <v>No Badges</v>
      </c>
      <c r="J3353" s="3">
        <f t="shared" si="5"/>
        <v>0</v>
      </c>
    </row>
    <row r="3354">
      <c r="A3354" s="1" t="s">
        <v>2496</v>
      </c>
      <c r="B3354" s="3" t="str">
        <f t="shared" si="1"/>
        <v>Unavailable</v>
      </c>
      <c r="C3354" s="3">
        <v>54.0</v>
      </c>
      <c r="D3354" s="3">
        <f>IFERROR(__xludf.DUMMYFUNCTION("IFERROR(
IF(REGEXMATCH(LOWER(O3354),""k""),
VALUE(REGEXEXTRACT(O3354,""[0-9]+""))*1000,
VALUE(REGEXEXTRACT(O3354,""[0-9]+""))
),
0
)"),0.0)</f>
        <v>0</v>
      </c>
      <c r="E3354" s="1" t="s">
        <v>11</v>
      </c>
      <c r="F3354" s="1" t="s">
        <v>20</v>
      </c>
      <c r="G3354" s="4" t="b">
        <f t="shared" si="2"/>
        <v>1</v>
      </c>
      <c r="H3354" s="1" t="str">
        <f t="shared" si="3"/>
        <v>Currently Unavailable</v>
      </c>
      <c r="I3354" s="1" t="str">
        <f t="shared" si="4"/>
        <v>No Badges</v>
      </c>
      <c r="J3354" s="3">
        <f t="shared" si="5"/>
        <v>0</v>
      </c>
    </row>
    <row r="3355">
      <c r="A3355" s="1" t="s">
        <v>2497</v>
      </c>
      <c r="B3355" s="3" t="str">
        <f t="shared" si="1"/>
        <v>Unavailable</v>
      </c>
      <c r="C3355" s="3">
        <v>396.0</v>
      </c>
      <c r="D3355" s="3">
        <f>IFERROR(__xludf.DUMMYFUNCTION("IFERROR(
IF(REGEXMATCH(LOWER(O3355),""k""),
VALUE(REGEXEXTRACT(O3355,""[0-9]+""))*1000,
VALUE(REGEXEXTRACT(O3355,""[0-9]+""))
),
0
)"),0.0)</f>
        <v>0</v>
      </c>
      <c r="E3355" s="1" t="s">
        <v>11</v>
      </c>
      <c r="F3355" s="1" t="s">
        <v>20</v>
      </c>
      <c r="G3355" s="4" t="b">
        <f t="shared" si="2"/>
        <v>1</v>
      </c>
      <c r="H3355" s="1" t="str">
        <f t="shared" si="3"/>
        <v>Currently Unavailable</v>
      </c>
      <c r="I3355" s="1" t="str">
        <f t="shared" si="4"/>
        <v>No Badges</v>
      </c>
      <c r="J3355" s="3">
        <f t="shared" si="5"/>
        <v>0</v>
      </c>
    </row>
    <row r="3356">
      <c r="A3356" s="1" t="s">
        <v>2498</v>
      </c>
      <c r="B3356" s="3" t="str">
        <f t="shared" si="1"/>
        <v>Unavailable</v>
      </c>
      <c r="C3356" s="3">
        <v>56.0</v>
      </c>
      <c r="D3356" s="3">
        <f>IFERROR(__xludf.DUMMYFUNCTION("IFERROR(
IF(REGEXMATCH(LOWER(O3356),""k""),
VALUE(REGEXEXTRACT(O3356,""[0-9]+""))*1000,
VALUE(REGEXEXTRACT(O3356,""[0-9]+""))
),
0
)"),0.0)</f>
        <v>0</v>
      </c>
      <c r="E3356" s="1" t="s">
        <v>11</v>
      </c>
      <c r="F3356" s="1" t="s">
        <v>20</v>
      </c>
      <c r="G3356" s="4" t="b">
        <f t="shared" si="2"/>
        <v>1</v>
      </c>
      <c r="H3356" s="1" t="str">
        <f t="shared" si="3"/>
        <v>Currently Unavailable</v>
      </c>
      <c r="I3356" s="1" t="str">
        <f t="shared" si="4"/>
        <v>No Badges</v>
      </c>
      <c r="J3356" s="3">
        <f t="shared" si="5"/>
        <v>0</v>
      </c>
    </row>
    <row r="3357">
      <c r="A3357" s="1" t="s">
        <v>2499</v>
      </c>
      <c r="B3357" s="3" t="str">
        <f t="shared" si="1"/>
        <v>Unavailable</v>
      </c>
      <c r="C3357" s="3">
        <v>664.0</v>
      </c>
      <c r="D3357" s="3">
        <f>IFERROR(__xludf.DUMMYFUNCTION("IFERROR(
IF(REGEXMATCH(LOWER(O3357),""k""),
VALUE(REGEXEXTRACT(O3357,""[0-9]+""))*1000,
VALUE(REGEXEXTRACT(O3357,""[0-9]+""))
),
0
)"),0.0)</f>
        <v>0</v>
      </c>
      <c r="E3357" s="1" t="s">
        <v>11</v>
      </c>
      <c r="F3357" s="1" t="s">
        <v>20</v>
      </c>
      <c r="G3357" s="4" t="b">
        <f t="shared" si="2"/>
        <v>1</v>
      </c>
      <c r="H3357" s="1" t="str">
        <f t="shared" si="3"/>
        <v>Currently Unavailable</v>
      </c>
      <c r="I3357" s="1" t="str">
        <f t="shared" si="4"/>
        <v>No Badges</v>
      </c>
      <c r="J3357" s="3">
        <f t="shared" si="5"/>
        <v>0</v>
      </c>
    </row>
    <row r="3358">
      <c r="A3358" s="1" t="s">
        <v>2500</v>
      </c>
      <c r="B3358" s="3" t="str">
        <f t="shared" si="1"/>
        <v>Unavailable</v>
      </c>
      <c r="C3358" s="5">
        <v>2174.0</v>
      </c>
      <c r="D3358" s="3">
        <f>IFERROR(__xludf.DUMMYFUNCTION("IFERROR(
IF(REGEXMATCH(LOWER(O3358),""k""),
VALUE(REGEXEXTRACT(O3358,""[0-9]+""))*1000,
VALUE(REGEXEXTRACT(O3358,""[0-9]+""))
),
0
)"),0.0)</f>
        <v>0</v>
      </c>
      <c r="E3358" s="1" t="s">
        <v>11</v>
      </c>
      <c r="F3358" s="1" t="s">
        <v>20</v>
      </c>
      <c r="G3358" s="4" t="b">
        <f t="shared" si="2"/>
        <v>1</v>
      </c>
      <c r="H3358" s="1" t="str">
        <f t="shared" si="3"/>
        <v>Currently Unavailable</v>
      </c>
      <c r="I3358" s="1" t="str">
        <f t="shared" si="4"/>
        <v>No Badges</v>
      </c>
      <c r="J3358" s="3">
        <f t="shared" si="5"/>
        <v>0</v>
      </c>
    </row>
    <row r="3359">
      <c r="A3359" s="1" t="s">
        <v>2501</v>
      </c>
      <c r="B3359" s="3" t="str">
        <f t="shared" si="1"/>
        <v>Unavailable</v>
      </c>
      <c r="C3359" s="3">
        <v>265.0</v>
      </c>
      <c r="D3359" s="3">
        <f>IFERROR(__xludf.DUMMYFUNCTION("IFERROR(
IF(REGEXMATCH(LOWER(O3359),""k""),
VALUE(REGEXEXTRACT(O3359,""[0-9]+""))*1000,
VALUE(REGEXEXTRACT(O3359,""[0-9]+""))
),
0
)"),0.0)</f>
        <v>0</v>
      </c>
      <c r="E3359" s="1" t="s">
        <v>11</v>
      </c>
      <c r="F3359" s="1" t="s">
        <v>20</v>
      </c>
      <c r="G3359" s="4" t="b">
        <f t="shared" si="2"/>
        <v>1</v>
      </c>
      <c r="H3359" s="1" t="str">
        <f t="shared" si="3"/>
        <v>Currently Unavailable</v>
      </c>
      <c r="I3359" s="1" t="str">
        <f t="shared" si="4"/>
        <v>No Badges</v>
      </c>
      <c r="J3359" s="3">
        <f t="shared" si="5"/>
        <v>0</v>
      </c>
    </row>
    <row r="3360">
      <c r="A3360" s="1" t="s">
        <v>2502</v>
      </c>
      <c r="B3360" s="3" t="str">
        <f t="shared" si="1"/>
        <v>Unavailable</v>
      </c>
      <c r="C3360" s="3">
        <v>626.0</v>
      </c>
      <c r="D3360" s="3">
        <f>IFERROR(__xludf.DUMMYFUNCTION("IFERROR(
IF(REGEXMATCH(LOWER(O3360),""k""),
VALUE(REGEXEXTRACT(O3360,""[0-9]+""))*1000,
VALUE(REGEXEXTRACT(O3360,""[0-9]+""))
),
0
)"),0.0)</f>
        <v>0</v>
      </c>
      <c r="E3360" s="1" t="s">
        <v>11</v>
      </c>
      <c r="F3360" s="1" t="s">
        <v>20</v>
      </c>
      <c r="G3360" s="4" t="b">
        <f t="shared" si="2"/>
        <v>1</v>
      </c>
      <c r="H3360" s="1" t="str">
        <f t="shared" si="3"/>
        <v>Currently Unavailable</v>
      </c>
      <c r="I3360" s="1" t="str">
        <f t="shared" si="4"/>
        <v>No Badges</v>
      </c>
      <c r="J3360" s="3">
        <f t="shared" si="5"/>
        <v>0</v>
      </c>
    </row>
    <row r="3361">
      <c r="A3361" s="1" t="s">
        <v>2503</v>
      </c>
      <c r="B3361" s="3" t="str">
        <f t="shared" si="1"/>
        <v>Unavailable</v>
      </c>
      <c r="C3361" s="3">
        <v>469.0</v>
      </c>
      <c r="D3361" s="3">
        <f>IFERROR(__xludf.DUMMYFUNCTION("IFERROR(
IF(REGEXMATCH(LOWER(O3361),""k""),
VALUE(REGEXEXTRACT(O3361,""[0-9]+""))*1000,
VALUE(REGEXEXTRACT(O3361,""[0-9]+""))
),
0
)"),0.0)</f>
        <v>0</v>
      </c>
      <c r="E3361" s="1" t="s">
        <v>11</v>
      </c>
      <c r="F3361" s="1" t="s">
        <v>20</v>
      </c>
      <c r="G3361" s="4" t="b">
        <f t="shared" si="2"/>
        <v>1</v>
      </c>
      <c r="H3361" s="1" t="str">
        <f t="shared" si="3"/>
        <v>Currently Unavailable</v>
      </c>
      <c r="I3361" s="1" t="str">
        <f t="shared" si="4"/>
        <v>No Badges</v>
      </c>
      <c r="J3361" s="3">
        <f t="shared" si="5"/>
        <v>0</v>
      </c>
    </row>
    <row r="3362">
      <c r="A3362" s="1" t="s">
        <v>2504</v>
      </c>
      <c r="B3362" s="3" t="str">
        <f t="shared" si="1"/>
        <v>Unavailable</v>
      </c>
      <c r="C3362" s="3">
        <v>41.0</v>
      </c>
      <c r="D3362" s="3">
        <f>IFERROR(__xludf.DUMMYFUNCTION("IFERROR(
IF(REGEXMATCH(LOWER(O3362),""k""),
VALUE(REGEXEXTRACT(O3362,""[0-9]+""))*1000,
VALUE(REGEXEXTRACT(O3362,""[0-9]+""))
),
0
)"),0.0)</f>
        <v>0</v>
      </c>
      <c r="E3362" s="1" t="s">
        <v>11</v>
      </c>
      <c r="F3362" s="1" t="s">
        <v>20</v>
      </c>
      <c r="G3362" s="4" t="b">
        <f t="shared" si="2"/>
        <v>1</v>
      </c>
      <c r="H3362" s="1" t="str">
        <f t="shared" si="3"/>
        <v>Currently Unavailable</v>
      </c>
      <c r="I3362" s="1" t="str">
        <f t="shared" si="4"/>
        <v>No Badges</v>
      </c>
      <c r="J3362" s="3">
        <f t="shared" si="5"/>
        <v>0</v>
      </c>
    </row>
    <row r="3363">
      <c r="A3363" s="1" t="s">
        <v>2505</v>
      </c>
      <c r="B3363" s="3" t="str">
        <f t="shared" si="1"/>
        <v>Unavailable</v>
      </c>
      <c r="C3363" s="3">
        <v>123.0</v>
      </c>
      <c r="D3363" s="3">
        <f>IFERROR(__xludf.DUMMYFUNCTION("IFERROR(
IF(REGEXMATCH(LOWER(O3363),""k""),
VALUE(REGEXEXTRACT(O3363,""[0-9]+""))*1000,
VALUE(REGEXEXTRACT(O3363,""[0-9]+""))
),
0
)"),0.0)</f>
        <v>0</v>
      </c>
      <c r="E3363" s="1" t="s">
        <v>11</v>
      </c>
      <c r="F3363" s="1" t="s">
        <v>20</v>
      </c>
      <c r="G3363" s="4" t="b">
        <f t="shared" si="2"/>
        <v>1</v>
      </c>
      <c r="H3363" s="1" t="str">
        <f t="shared" si="3"/>
        <v>Currently Unavailable</v>
      </c>
      <c r="I3363" s="1" t="str">
        <f t="shared" si="4"/>
        <v>No Badges</v>
      </c>
      <c r="J3363" s="3">
        <f t="shared" si="5"/>
        <v>0</v>
      </c>
    </row>
    <row r="3364">
      <c r="A3364" s="1" t="s">
        <v>2354</v>
      </c>
      <c r="B3364" s="3" t="str">
        <f t="shared" si="1"/>
        <v>Unavailable</v>
      </c>
      <c r="C3364" s="5">
        <v>1878.0</v>
      </c>
      <c r="D3364" s="3">
        <f>IFERROR(__xludf.DUMMYFUNCTION("IFERROR(
IF(REGEXMATCH(LOWER(O3364),""k""),
VALUE(REGEXEXTRACT(O3364,""[0-9]+""))*1000,
VALUE(REGEXEXTRACT(O3364,""[0-9]+""))
),
0
)"),0.0)</f>
        <v>0</v>
      </c>
      <c r="E3364" s="1" t="s">
        <v>11</v>
      </c>
      <c r="F3364" s="1" t="s">
        <v>12</v>
      </c>
      <c r="G3364" s="4" t="b">
        <f t="shared" si="2"/>
        <v>1</v>
      </c>
      <c r="H3364" s="1" t="str">
        <f t="shared" si="3"/>
        <v>Currently Unavailable</v>
      </c>
      <c r="I3364" s="1" t="str">
        <f t="shared" si="4"/>
        <v>No Badges</v>
      </c>
      <c r="J3364" s="3">
        <f t="shared" si="5"/>
        <v>0</v>
      </c>
    </row>
    <row r="3365">
      <c r="A3365" s="1" t="s">
        <v>701</v>
      </c>
      <c r="B3365" s="3" t="str">
        <f t="shared" si="1"/>
        <v>Unavailable</v>
      </c>
      <c r="C3365" s="3">
        <v>8.0</v>
      </c>
      <c r="D3365" s="3">
        <f>IFERROR(__xludf.DUMMYFUNCTION("IFERROR(
IF(REGEXMATCH(LOWER(O3365),""k""),
VALUE(REGEXEXTRACT(O3365,""[0-9]+""))*1000,
VALUE(REGEXEXTRACT(O3365,""[0-9]+""))
),
0
)"),0.0)</f>
        <v>0</v>
      </c>
      <c r="E3365" s="1" t="s">
        <v>11</v>
      </c>
      <c r="F3365" s="1" t="s">
        <v>12</v>
      </c>
      <c r="G3365" s="4" t="b">
        <f t="shared" si="2"/>
        <v>1</v>
      </c>
      <c r="H3365" s="1" t="str">
        <f t="shared" si="3"/>
        <v>Currently Unavailable</v>
      </c>
      <c r="I3365" s="1" t="str">
        <f t="shared" si="4"/>
        <v>No Badges</v>
      </c>
      <c r="J3365" s="3">
        <f t="shared" si="5"/>
        <v>0</v>
      </c>
    </row>
    <row r="3366">
      <c r="A3366" s="1" t="s">
        <v>69</v>
      </c>
      <c r="B3366" s="3" t="str">
        <f t="shared" si="1"/>
        <v>Unavailable</v>
      </c>
      <c r="C3366" s="3">
        <v>45.0</v>
      </c>
      <c r="D3366" s="3">
        <f>IFERROR(__xludf.DUMMYFUNCTION("IFERROR(
IF(REGEXMATCH(LOWER(O3366),""k""),
VALUE(REGEXEXTRACT(O3366,""[0-9]+""))*1000,
VALUE(REGEXEXTRACT(O3366,""[0-9]+""))
),
0
)"),0.0)</f>
        <v>0</v>
      </c>
      <c r="E3366" s="1" t="s">
        <v>11</v>
      </c>
      <c r="F3366" s="1" t="s">
        <v>12</v>
      </c>
      <c r="G3366" s="4" t="b">
        <f t="shared" si="2"/>
        <v>1</v>
      </c>
      <c r="H3366" s="1" t="str">
        <f t="shared" si="3"/>
        <v>Currently Unavailable</v>
      </c>
      <c r="I3366" s="1" t="str">
        <f t="shared" si="4"/>
        <v>No Badges</v>
      </c>
      <c r="J3366" s="3">
        <f t="shared" si="5"/>
        <v>0</v>
      </c>
    </row>
    <row r="3367">
      <c r="A3367" s="1" t="s">
        <v>67</v>
      </c>
      <c r="B3367" s="3" t="str">
        <f t="shared" si="1"/>
        <v>Unavailable</v>
      </c>
      <c r="C3367" s="3">
        <v>264.0</v>
      </c>
      <c r="D3367" s="3">
        <f>IFERROR(__xludf.DUMMYFUNCTION("IFERROR(
IF(REGEXMATCH(LOWER(O3367),""k""),
VALUE(REGEXEXTRACT(O3367,""[0-9]+""))*1000,
VALUE(REGEXEXTRACT(O3367,""[0-9]+""))
),
0
)"),0.0)</f>
        <v>0</v>
      </c>
      <c r="E3367" s="1" t="s">
        <v>11</v>
      </c>
      <c r="F3367" s="1" t="s">
        <v>12</v>
      </c>
      <c r="G3367" s="4" t="b">
        <f t="shared" si="2"/>
        <v>1</v>
      </c>
      <c r="H3367" s="1" t="str">
        <f t="shared" si="3"/>
        <v>Currently Unavailable</v>
      </c>
      <c r="I3367" s="1" t="str">
        <f t="shared" si="4"/>
        <v>No Badges</v>
      </c>
      <c r="J3367" s="3">
        <f t="shared" si="5"/>
        <v>0</v>
      </c>
    </row>
    <row r="3368">
      <c r="A3368" s="1" t="s">
        <v>2506</v>
      </c>
      <c r="B3368" s="3" t="str">
        <f t="shared" si="1"/>
        <v>Unavailable</v>
      </c>
      <c r="C3368" s="5">
        <v>1506.0</v>
      </c>
      <c r="D3368" s="3">
        <f>IFERROR(__xludf.DUMMYFUNCTION("IFERROR(
IF(REGEXMATCH(LOWER(O3368),""k""),
VALUE(REGEXEXTRACT(O3368,""[0-9]+""))*1000,
VALUE(REGEXEXTRACT(O3368,""[0-9]+""))
),
0
)"),0.0)</f>
        <v>0</v>
      </c>
      <c r="E3368" s="1" t="s">
        <v>11</v>
      </c>
      <c r="F3368" s="1" t="s">
        <v>20</v>
      </c>
      <c r="G3368" s="4" t="b">
        <f t="shared" si="2"/>
        <v>1</v>
      </c>
      <c r="H3368" s="1" t="str">
        <f t="shared" si="3"/>
        <v>Currently Unavailable</v>
      </c>
      <c r="I3368" s="1" t="str">
        <f t="shared" si="4"/>
        <v>No Badges</v>
      </c>
      <c r="J3368" s="3">
        <f t="shared" si="5"/>
        <v>0</v>
      </c>
    </row>
    <row r="3369">
      <c r="A3369" s="1" t="s">
        <v>2507</v>
      </c>
      <c r="B3369" s="3" t="str">
        <f t="shared" si="1"/>
        <v>Unavailable</v>
      </c>
      <c r="C3369" s="3">
        <v>883.0</v>
      </c>
      <c r="D3369" s="3">
        <f>IFERROR(__xludf.DUMMYFUNCTION("IFERROR(
IF(REGEXMATCH(LOWER(O3369),""k""),
VALUE(REGEXEXTRACT(O3369,""[0-9]+""))*1000,
VALUE(REGEXEXTRACT(O3369,""[0-9]+""))
),
0
)"),0.0)</f>
        <v>0</v>
      </c>
      <c r="E3369" s="1" t="s">
        <v>11</v>
      </c>
      <c r="F3369" s="1" t="s">
        <v>20</v>
      </c>
      <c r="G3369" s="4" t="b">
        <f t="shared" si="2"/>
        <v>1</v>
      </c>
      <c r="H3369" s="1" t="str">
        <f t="shared" si="3"/>
        <v>Currently Unavailable</v>
      </c>
      <c r="I3369" s="1" t="str">
        <f t="shared" si="4"/>
        <v>No Badges</v>
      </c>
      <c r="J3369" s="3">
        <f t="shared" si="5"/>
        <v>0</v>
      </c>
    </row>
    <row r="3370">
      <c r="A3370" s="1" t="s">
        <v>2508</v>
      </c>
      <c r="B3370" s="3" t="str">
        <f t="shared" si="1"/>
        <v>Unavailable</v>
      </c>
      <c r="C3370" s="3">
        <v>162.0</v>
      </c>
      <c r="D3370" s="3">
        <f>IFERROR(__xludf.DUMMYFUNCTION("IFERROR(
IF(REGEXMATCH(LOWER(O3370),""k""),
VALUE(REGEXEXTRACT(O3370,""[0-9]+""))*1000,
VALUE(REGEXEXTRACT(O3370,""[0-9]+""))
),
0
)"),0.0)</f>
        <v>0</v>
      </c>
      <c r="E3370" s="1" t="s">
        <v>11</v>
      </c>
      <c r="F3370" s="1" t="s">
        <v>20</v>
      </c>
      <c r="G3370" s="4" t="b">
        <f t="shared" si="2"/>
        <v>1</v>
      </c>
      <c r="H3370" s="1" t="str">
        <f t="shared" si="3"/>
        <v>Currently Unavailable</v>
      </c>
      <c r="I3370" s="1" t="str">
        <f t="shared" si="4"/>
        <v>No Badges</v>
      </c>
      <c r="J3370" s="3">
        <f t="shared" si="5"/>
        <v>0</v>
      </c>
    </row>
    <row r="3371">
      <c r="A3371" s="1" t="s">
        <v>2509</v>
      </c>
      <c r="B3371" s="3" t="str">
        <f t="shared" si="1"/>
        <v>Unavailable</v>
      </c>
      <c r="C3371" s="3">
        <v>596.0</v>
      </c>
      <c r="D3371" s="3">
        <f>IFERROR(__xludf.DUMMYFUNCTION("IFERROR(
IF(REGEXMATCH(LOWER(O3371),""k""),
VALUE(REGEXEXTRACT(O3371,""[0-9]+""))*1000,
VALUE(REGEXEXTRACT(O3371,""[0-9]+""))
),
0
)"),0.0)</f>
        <v>0</v>
      </c>
      <c r="E3371" s="1" t="s">
        <v>11</v>
      </c>
      <c r="F3371" s="1" t="s">
        <v>20</v>
      </c>
      <c r="G3371" s="4" t="b">
        <f t="shared" si="2"/>
        <v>1</v>
      </c>
      <c r="H3371" s="1" t="str">
        <f t="shared" si="3"/>
        <v>Currently Unavailable</v>
      </c>
      <c r="I3371" s="1" t="str">
        <f t="shared" si="4"/>
        <v>No Badges</v>
      </c>
      <c r="J3371" s="3">
        <f t="shared" si="5"/>
        <v>0</v>
      </c>
    </row>
    <row r="3372">
      <c r="A3372" s="1" t="s">
        <v>2510</v>
      </c>
      <c r="B3372" s="3" t="str">
        <f t="shared" si="1"/>
        <v>Unavailable</v>
      </c>
      <c r="C3372" s="3">
        <v>208.0</v>
      </c>
      <c r="D3372" s="3">
        <f>IFERROR(__xludf.DUMMYFUNCTION("IFERROR(
IF(REGEXMATCH(LOWER(O3372),""k""),
VALUE(REGEXEXTRACT(O3372,""[0-9]+""))*1000,
VALUE(REGEXEXTRACT(O3372,""[0-9]+""))
),
0
)"),0.0)</f>
        <v>0</v>
      </c>
      <c r="E3372" s="1" t="s">
        <v>11</v>
      </c>
      <c r="F3372" s="1" t="s">
        <v>20</v>
      </c>
      <c r="G3372" s="4" t="b">
        <f t="shared" si="2"/>
        <v>1</v>
      </c>
      <c r="H3372" s="1" t="str">
        <f t="shared" si="3"/>
        <v>Currently Unavailable</v>
      </c>
      <c r="I3372" s="1" t="str">
        <f t="shared" si="4"/>
        <v>No Badges</v>
      </c>
      <c r="J3372" s="3">
        <f t="shared" si="5"/>
        <v>0</v>
      </c>
    </row>
    <row r="3373">
      <c r="A3373" s="1" t="s">
        <v>2511</v>
      </c>
      <c r="B3373" s="3" t="str">
        <f t="shared" si="1"/>
        <v>Unavailable</v>
      </c>
      <c r="C3373" s="3">
        <v>196.0</v>
      </c>
      <c r="D3373" s="3">
        <f>IFERROR(__xludf.DUMMYFUNCTION("IFERROR(
IF(REGEXMATCH(LOWER(O3373),""k""),
VALUE(REGEXEXTRACT(O3373,""[0-9]+""))*1000,
VALUE(REGEXEXTRACT(O3373,""[0-9]+""))
),
0
)"),0.0)</f>
        <v>0</v>
      </c>
      <c r="E3373" s="1" t="s">
        <v>11</v>
      </c>
      <c r="F3373" s="1" t="s">
        <v>20</v>
      </c>
      <c r="G3373" s="4" t="b">
        <f t="shared" si="2"/>
        <v>1</v>
      </c>
      <c r="H3373" s="1" t="str">
        <f t="shared" si="3"/>
        <v>Currently Unavailable</v>
      </c>
      <c r="I3373" s="1" t="str">
        <f t="shared" si="4"/>
        <v>No Badges</v>
      </c>
      <c r="J3373" s="3">
        <f t="shared" si="5"/>
        <v>0</v>
      </c>
    </row>
    <row r="3374">
      <c r="A3374" s="1" t="s">
        <v>2354</v>
      </c>
      <c r="B3374" s="3" t="str">
        <f t="shared" si="1"/>
        <v>Unavailable</v>
      </c>
      <c r="C3374" s="5">
        <v>1878.0</v>
      </c>
      <c r="D3374" s="3">
        <f>IFERROR(__xludf.DUMMYFUNCTION("IFERROR(
IF(REGEXMATCH(LOWER(O3374),""k""),
VALUE(REGEXEXTRACT(O3374,""[0-9]+""))*1000,
VALUE(REGEXEXTRACT(O3374,""[0-9]+""))
),
0
)"),0.0)</f>
        <v>0</v>
      </c>
      <c r="E3374" s="1" t="s">
        <v>11</v>
      </c>
      <c r="F3374" s="1" t="s">
        <v>12</v>
      </c>
      <c r="G3374" s="4" t="b">
        <f t="shared" si="2"/>
        <v>1</v>
      </c>
      <c r="H3374" s="1" t="str">
        <f t="shared" si="3"/>
        <v>Currently Unavailable</v>
      </c>
      <c r="I3374" s="1" t="str">
        <f t="shared" si="4"/>
        <v>No Badges</v>
      </c>
      <c r="J3374" s="3">
        <f t="shared" si="5"/>
        <v>0</v>
      </c>
    </row>
    <row r="3375">
      <c r="A3375" s="1" t="s">
        <v>2512</v>
      </c>
      <c r="B3375" s="3" t="str">
        <f t="shared" si="1"/>
        <v>Unavailable</v>
      </c>
      <c r="C3375" s="3">
        <v>566.0</v>
      </c>
      <c r="D3375" s="3">
        <f>IFERROR(__xludf.DUMMYFUNCTION("IFERROR(
IF(REGEXMATCH(LOWER(O3375),""k""),
VALUE(REGEXEXTRACT(O3375,""[0-9]+""))*1000,
VALUE(REGEXEXTRACT(O3375,""[0-9]+""))
),
0
)"),0.0)</f>
        <v>0</v>
      </c>
      <c r="E3375" s="1" t="s">
        <v>11</v>
      </c>
      <c r="F3375" s="1" t="s">
        <v>12</v>
      </c>
      <c r="G3375" s="4" t="b">
        <f t="shared" si="2"/>
        <v>1</v>
      </c>
      <c r="H3375" s="1" t="str">
        <f t="shared" si="3"/>
        <v>Currently Unavailable</v>
      </c>
      <c r="I3375" s="1" t="str">
        <f t="shared" si="4"/>
        <v>No Badges</v>
      </c>
      <c r="J3375" s="3">
        <f t="shared" si="5"/>
        <v>0</v>
      </c>
    </row>
    <row r="3376">
      <c r="A3376" s="1" t="s">
        <v>2513</v>
      </c>
      <c r="B3376" s="3" t="str">
        <f t="shared" si="1"/>
        <v>Unavailable</v>
      </c>
      <c r="C3376" s="5">
        <v>5726.0</v>
      </c>
      <c r="D3376" s="3">
        <f>IFERROR(__xludf.DUMMYFUNCTION("IFERROR(
IF(REGEXMATCH(LOWER(O3376),""k""),
VALUE(REGEXEXTRACT(O3376,""[0-9]+""))*1000,
VALUE(REGEXEXTRACT(O3376,""[0-9]+""))
),
0
)"),0.0)</f>
        <v>0</v>
      </c>
      <c r="E3376" s="1" t="s">
        <v>11</v>
      </c>
      <c r="F3376" s="1" t="s">
        <v>20</v>
      </c>
      <c r="G3376" s="4" t="b">
        <f t="shared" si="2"/>
        <v>1</v>
      </c>
      <c r="H3376" s="1" t="str">
        <f t="shared" si="3"/>
        <v>Currently Unavailable</v>
      </c>
      <c r="I3376" s="1" t="str">
        <f t="shared" si="4"/>
        <v>No Badges</v>
      </c>
      <c r="J3376" s="3">
        <f t="shared" si="5"/>
        <v>0</v>
      </c>
    </row>
    <row r="3377">
      <c r="A3377" s="1" t="s">
        <v>2514</v>
      </c>
      <c r="B3377" s="3" t="str">
        <f t="shared" si="1"/>
        <v>Unavailable</v>
      </c>
      <c r="C3377" s="5">
        <v>1200.0</v>
      </c>
      <c r="D3377" s="3">
        <f>IFERROR(__xludf.DUMMYFUNCTION("IFERROR(
IF(REGEXMATCH(LOWER(O3377),""k""),
VALUE(REGEXEXTRACT(O3377,""[0-9]+""))*1000,
VALUE(REGEXEXTRACT(O3377,""[0-9]+""))
),
0
)"),0.0)</f>
        <v>0</v>
      </c>
      <c r="E3377" s="1" t="s">
        <v>11</v>
      </c>
      <c r="F3377" s="1" t="s">
        <v>20</v>
      </c>
      <c r="G3377" s="4" t="b">
        <f t="shared" si="2"/>
        <v>1</v>
      </c>
      <c r="H3377" s="1" t="str">
        <f t="shared" si="3"/>
        <v>Currently Unavailable</v>
      </c>
      <c r="I3377" s="1" t="str">
        <f t="shared" si="4"/>
        <v>No Badges</v>
      </c>
      <c r="J3377" s="3">
        <f t="shared" si="5"/>
        <v>0</v>
      </c>
    </row>
    <row r="3378">
      <c r="A3378" s="1" t="s">
        <v>2515</v>
      </c>
      <c r="B3378" s="3" t="str">
        <f t="shared" si="1"/>
        <v>Unavailable</v>
      </c>
      <c r="C3378" s="5">
        <v>3844.0</v>
      </c>
      <c r="D3378" s="3">
        <f>IFERROR(__xludf.DUMMYFUNCTION("IFERROR(
IF(REGEXMATCH(LOWER(O3378),""k""),
VALUE(REGEXEXTRACT(O3378,""[0-9]+""))*1000,
VALUE(REGEXEXTRACT(O3378,""[0-9]+""))
),
0
)"),0.0)</f>
        <v>0</v>
      </c>
      <c r="E3378" s="1" t="s">
        <v>11</v>
      </c>
      <c r="F3378" s="1" t="s">
        <v>20</v>
      </c>
      <c r="G3378" s="4" t="b">
        <f t="shared" si="2"/>
        <v>1</v>
      </c>
      <c r="H3378" s="1" t="str">
        <f t="shared" si="3"/>
        <v>Currently Unavailable</v>
      </c>
      <c r="I3378" s="1" t="str">
        <f t="shared" si="4"/>
        <v>No Badges</v>
      </c>
      <c r="J3378" s="3">
        <f t="shared" si="5"/>
        <v>0</v>
      </c>
    </row>
    <row r="3379">
      <c r="A3379" s="1" t="s">
        <v>2516</v>
      </c>
      <c r="B3379" s="3" t="str">
        <f t="shared" si="1"/>
        <v>Unavailable</v>
      </c>
      <c r="C3379" s="5">
        <v>1868.0</v>
      </c>
      <c r="D3379" s="3">
        <f>IFERROR(__xludf.DUMMYFUNCTION("IFERROR(
IF(REGEXMATCH(LOWER(O3379),""k""),
VALUE(REGEXEXTRACT(O3379,""[0-9]+""))*1000,
VALUE(REGEXEXTRACT(O3379,""[0-9]+""))
),
0
)"),0.0)</f>
        <v>0</v>
      </c>
      <c r="E3379" s="1" t="s">
        <v>11</v>
      </c>
      <c r="F3379" s="1" t="s">
        <v>20</v>
      </c>
      <c r="G3379" s="4" t="b">
        <f t="shared" si="2"/>
        <v>1</v>
      </c>
      <c r="H3379" s="1" t="str">
        <f t="shared" si="3"/>
        <v>Currently Unavailable</v>
      </c>
      <c r="I3379" s="1" t="str">
        <f t="shared" si="4"/>
        <v>No Badges</v>
      </c>
      <c r="J3379" s="3">
        <f t="shared" si="5"/>
        <v>0</v>
      </c>
    </row>
    <row r="3380">
      <c r="A3380" s="1" t="s">
        <v>2517</v>
      </c>
      <c r="B3380" s="3" t="str">
        <f t="shared" si="1"/>
        <v>Unavailable</v>
      </c>
      <c r="C3380" s="3">
        <v>663.0</v>
      </c>
      <c r="D3380" s="3">
        <f>IFERROR(__xludf.DUMMYFUNCTION("IFERROR(
IF(REGEXMATCH(LOWER(O3380),""k""),
VALUE(REGEXEXTRACT(O3380,""[0-9]+""))*1000,
VALUE(REGEXEXTRACT(O3380,""[0-9]+""))
),
0
)"),0.0)</f>
        <v>0</v>
      </c>
      <c r="E3380" s="1" t="s">
        <v>11</v>
      </c>
      <c r="F3380" s="1" t="s">
        <v>20</v>
      </c>
      <c r="G3380" s="4" t="b">
        <f t="shared" si="2"/>
        <v>1</v>
      </c>
      <c r="H3380" s="1" t="str">
        <f t="shared" si="3"/>
        <v>Currently Unavailable</v>
      </c>
      <c r="I3380" s="1" t="str">
        <f t="shared" si="4"/>
        <v>No Badges</v>
      </c>
      <c r="J3380" s="3">
        <f t="shared" si="5"/>
        <v>0</v>
      </c>
    </row>
    <row r="3381">
      <c r="A3381" s="1" t="s">
        <v>2518</v>
      </c>
      <c r="B3381" s="3" t="str">
        <f t="shared" si="1"/>
        <v>Unavailable</v>
      </c>
      <c r="C3381" s="5">
        <v>3720.0</v>
      </c>
      <c r="D3381" s="3">
        <f>IFERROR(__xludf.DUMMYFUNCTION("IFERROR(
IF(REGEXMATCH(LOWER(O3381),""k""),
VALUE(REGEXEXTRACT(O3381,""[0-9]+""))*1000,
VALUE(REGEXEXTRACT(O3381,""[0-9]+""))
),
0
)"),0.0)</f>
        <v>0</v>
      </c>
      <c r="E3381" s="1" t="s">
        <v>11</v>
      </c>
      <c r="F3381" s="1" t="s">
        <v>20</v>
      </c>
      <c r="G3381" s="4" t="b">
        <f t="shared" si="2"/>
        <v>1</v>
      </c>
      <c r="H3381" s="1" t="str">
        <f t="shared" si="3"/>
        <v>Currently Unavailable</v>
      </c>
      <c r="I3381" s="1" t="str">
        <f t="shared" si="4"/>
        <v>No Badges</v>
      </c>
      <c r="J3381" s="3">
        <f t="shared" si="5"/>
        <v>0</v>
      </c>
    </row>
    <row r="3382">
      <c r="A3382" s="1" t="s">
        <v>2519</v>
      </c>
      <c r="B3382" s="3" t="str">
        <f t="shared" si="1"/>
        <v>Unavailable</v>
      </c>
      <c r="C3382" s="5">
        <v>1896.0</v>
      </c>
      <c r="D3382" s="3">
        <f>IFERROR(__xludf.DUMMYFUNCTION("IFERROR(
IF(REGEXMATCH(LOWER(O3382),""k""),
VALUE(REGEXEXTRACT(O3382,""[0-9]+""))*1000,
VALUE(REGEXEXTRACT(O3382,""[0-9]+""))
),
0
)"),0.0)</f>
        <v>0</v>
      </c>
      <c r="E3382" s="1" t="s">
        <v>11</v>
      </c>
      <c r="F3382" s="1" t="s">
        <v>20</v>
      </c>
      <c r="G3382" s="4" t="b">
        <f t="shared" si="2"/>
        <v>1</v>
      </c>
      <c r="H3382" s="1" t="str">
        <f t="shared" si="3"/>
        <v>Currently Unavailable</v>
      </c>
      <c r="I3382" s="1" t="str">
        <f t="shared" si="4"/>
        <v>No Badges</v>
      </c>
      <c r="J3382" s="3">
        <f t="shared" si="5"/>
        <v>0</v>
      </c>
    </row>
    <row r="3383">
      <c r="A3383" s="1" t="s">
        <v>2520</v>
      </c>
      <c r="B3383" s="3" t="str">
        <f t="shared" si="1"/>
        <v>Unavailable</v>
      </c>
      <c r="C3383" s="3">
        <v>165.0</v>
      </c>
      <c r="D3383" s="3">
        <f>IFERROR(__xludf.DUMMYFUNCTION("IFERROR(
IF(REGEXMATCH(LOWER(O3383),""k""),
VALUE(REGEXEXTRACT(O3383,""[0-9]+""))*1000,
VALUE(REGEXEXTRACT(O3383,""[0-9]+""))
),
0
)"),0.0)</f>
        <v>0</v>
      </c>
      <c r="E3383" s="1" t="s">
        <v>11</v>
      </c>
      <c r="F3383" s="1" t="s">
        <v>20</v>
      </c>
      <c r="G3383" s="4" t="b">
        <f t="shared" si="2"/>
        <v>1</v>
      </c>
      <c r="H3383" s="1" t="str">
        <f t="shared" si="3"/>
        <v>Currently Unavailable</v>
      </c>
      <c r="I3383" s="1" t="str">
        <f t="shared" si="4"/>
        <v>No Badges</v>
      </c>
      <c r="J3383" s="3">
        <f t="shared" si="5"/>
        <v>0</v>
      </c>
    </row>
    <row r="3384">
      <c r="A3384" s="1" t="s">
        <v>2521</v>
      </c>
      <c r="B3384" s="3" t="str">
        <f t="shared" si="1"/>
        <v>Unavailable</v>
      </c>
      <c r="C3384" s="5">
        <v>4642.0</v>
      </c>
      <c r="D3384" s="3">
        <f>IFERROR(__xludf.DUMMYFUNCTION("IFERROR(
IF(REGEXMATCH(LOWER(O3384),""k""),
VALUE(REGEXEXTRACT(O3384,""[0-9]+""))*1000,
VALUE(REGEXEXTRACT(O3384,""[0-9]+""))
),
0
)"),0.0)</f>
        <v>0</v>
      </c>
      <c r="E3384" s="1" t="s">
        <v>11</v>
      </c>
      <c r="F3384" s="1" t="s">
        <v>20</v>
      </c>
      <c r="G3384" s="4" t="b">
        <f t="shared" si="2"/>
        <v>1</v>
      </c>
      <c r="H3384" s="1" t="str">
        <f t="shared" si="3"/>
        <v>Currently Unavailable</v>
      </c>
      <c r="I3384" s="1" t="str">
        <f t="shared" si="4"/>
        <v>No Badges</v>
      </c>
      <c r="J3384" s="3">
        <f t="shared" si="5"/>
        <v>0</v>
      </c>
    </row>
    <row r="3385">
      <c r="A3385" s="1" t="s">
        <v>69</v>
      </c>
      <c r="B3385" s="3" t="str">
        <f t="shared" si="1"/>
        <v>Unavailable</v>
      </c>
      <c r="C3385" s="3">
        <v>45.0</v>
      </c>
      <c r="D3385" s="3">
        <f>IFERROR(__xludf.DUMMYFUNCTION("IFERROR(
IF(REGEXMATCH(LOWER(O3385),""k""),
VALUE(REGEXEXTRACT(O3385,""[0-9]+""))*1000,
VALUE(REGEXEXTRACT(O3385,""[0-9]+""))
),
0
)"),0.0)</f>
        <v>0</v>
      </c>
      <c r="E3385" s="1" t="s">
        <v>11</v>
      </c>
      <c r="F3385" s="1" t="s">
        <v>12</v>
      </c>
      <c r="G3385" s="4" t="b">
        <f t="shared" si="2"/>
        <v>1</v>
      </c>
      <c r="H3385" s="1" t="str">
        <f t="shared" si="3"/>
        <v>Currently Unavailable</v>
      </c>
      <c r="I3385" s="1" t="str">
        <f t="shared" si="4"/>
        <v>No Badges</v>
      </c>
      <c r="J3385" s="3">
        <f t="shared" si="5"/>
        <v>0</v>
      </c>
    </row>
    <row r="3386">
      <c r="A3386" s="1" t="s">
        <v>2522</v>
      </c>
      <c r="B3386" s="3" t="str">
        <f t="shared" si="1"/>
        <v>Unavailable</v>
      </c>
      <c r="C3386" s="5">
        <v>1443.0</v>
      </c>
      <c r="D3386" s="3">
        <f>IFERROR(__xludf.DUMMYFUNCTION("IFERROR(
IF(REGEXMATCH(LOWER(O3386),""k""),
VALUE(REGEXEXTRACT(O3386,""[0-9]+""))*1000,
VALUE(REGEXEXTRACT(O3386,""[0-9]+""))
),
0
)"),0.0)</f>
        <v>0</v>
      </c>
      <c r="E3386" s="1" t="s">
        <v>11</v>
      </c>
      <c r="F3386" s="1" t="s">
        <v>20</v>
      </c>
      <c r="G3386" s="4" t="b">
        <f t="shared" si="2"/>
        <v>1</v>
      </c>
      <c r="H3386" s="1" t="str">
        <f t="shared" si="3"/>
        <v>Currently Unavailable</v>
      </c>
      <c r="I3386" s="1" t="str">
        <f t="shared" si="4"/>
        <v>No Badges</v>
      </c>
      <c r="J3386" s="3">
        <f t="shared" si="5"/>
        <v>0</v>
      </c>
    </row>
    <row r="3387">
      <c r="A3387" s="1" t="s">
        <v>2523</v>
      </c>
      <c r="B3387" s="3" t="str">
        <f t="shared" si="1"/>
        <v>Unavailable</v>
      </c>
      <c r="C3387" s="3">
        <v>259.0</v>
      </c>
      <c r="D3387" s="3">
        <f>IFERROR(__xludf.DUMMYFUNCTION("IFERROR(
IF(REGEXMATCH(LOWER(O3387),""k""),
VALUE(REGEXEXTRACT(O3387,""[0-9]+""))*1000,
VALUE(REGEXEXTRACT(O3387,""[0-9]+""))
),
0
)"),0.0)</f>
        <v>0</v>
      </c>
      <c r="E3387" s="1" t="s">
        <v>11</v>
      </c>
      <c r="F3387" s="1" t="s">
        <v>20</v>
      </c>
      <c r="G3387" s="4" t="b">
        <f t="shared" si="2"/>
        <v>1</v>
      </c>
      <c r="H3387" s="1" t="str">
        <f t="shared" si="3"/>
        <v>Currently Unavailable</v>
      </c>
      <c r="I3387" s="1" t="str">
        <f t="shared" si="4"/>
        <v>No Badges</v>
      </c>
      <c r="J3387" s="3">
        <f t="shared" si="5"/>
        <v>0</v>
      </c>
    </row>
    <row r="3388">
      <c r="A3388" s="1" t="s">
        <v>2524</v>
      </c>
      <c r="B3388" s="3" t="str">
        <f t="shared" si="1"/>
        <v>Unavailable</v>
      </c>
      <c r="C3388" s="3">
        <v>35.0</v>
      </c>
      <c r="D3388" s="3">
        <f>IFERROR(__xludf.DUMMYFUNCTION("IFERROR(
IF(REGEXMATCH(LOWER(O3388),""k""),
VALUE(REGEXEXTRACT(O3388,""[0-9]+""))*1000,
VALUE(REGEXEXTRACT(O3388,""[0-9]+""))
),
0
)"),0.0)</f>
        <v>0</v>
      </c>
      <c r="E3388" s="1" t="s">
        <v>11</v>
      </c>
      <c r="F3388" s="1" t="s">
        <v>20</v>
      </c>
      <c r="G3388" s="4" t="b">
        <f t="shared" si="2"/>
        <v>1</v>
      </c>
      <c r="H3388" s="1" t="str">
        <f t="shared" si="3"/>
        <v>Currently Unavailable</v>
      </c>
      <c r="I3388" s="1" t="str">
        <f t="shared" si="4"/>
        <v>No Badges</v>
      </c>
      <c r="J3388" s="3">
        <f t="shared" si="5"/>
        <v>0</v>
      </c>
    </row>
    <row r="3389">
      <c r="A3389" s="1" t="s">
        <v>2525</v>
      </c>
      <c r="B3389" s="3" t="str">
        <f t="shared" si="1"/>
        <v>Unavailable</v>
      </c>
      <c r="C3389" s="3">
        <v>49.0</v>
      </c>
      <c r="D3389" s="3">
        <f>IFERROR(__xludf.DUMMYFUNCTION("IFERROR(
IF(REGEXMATCH(LOWER(O3389),""k""),
VALUE(REGEXEXTRACT(O3389,""[0-9]+""))*1000,
VALUE(REGEXEXTRACT(O3389,""[0-9]+""))
),
0
)"),0.0)</f>
        <v>0</v>
      </c>
      <c r="E3389" s="1" t="s">
        <v>11</v>
      </c>
      <c r="F3389" s="1" t="s">
        <v>20</v>
      </c>
      <c r="G3389" s="4" t="b">
        <f t="shared" si="2"/>
        <v>1</v>
      </c>
      <c r="H3389" s="1" t="str">
        <f t="shared" si="3"/>
        <v>Currently Unavailable</v>
      </c>
      <c r="I3389" s="1" t="str">
        <f t="shared" si="4"/>
        <v>No Badges</v>
      </c>
      <c r="J3389" s="3">
        <f t="shared" si="5"/>
        <v>0</v>
      </c>
    </row>
    <row r="3390">
      <c r="A3390" s="1" t="s">
        <v>2526</v>
      </c>
      <c r="B3390" s="3" t="str">
        <f t="shared" si="1"/>
        <v>Unavailable</v>
      </c>
      <c r="C3390" s="3">
        <v>101.0</v>
      </c>
      <c r="D3390" s="3">
        <f>IFERROR(__xludf.DUMMYFUNCTION("IFERROR(
IF(REGEXMATCH(LOWER(O3390),""k""),
VALUE(REGEXEXTRACT(O3390,""[0-9]+""))*1000,
VALUE(REGEXEXTRACT(O3390,""[0-9]+""))
),
0
)"),0.0)</f>
        <v>0</v>
      </c>
      <c r="E3390" s="1" t="s">
        <v>11</v>
      </c>
      <c r="F3390" s="1" t="s">
        <v>20</v>
      </c>
      <c r="G3390" s="4" t="b">
        <f t="shared" si="2"/>
        <v>1</v>
      </c>
      <c r="H3390" s="1" t="str">
        <f t="shared" si="3"/>
        <v>Currently Unavailable</v>
      </c>
      <c r="I3390" s="1" t="str">
        <f t="shared" si="4"/>
        <v>No Badges</v>
      </c>
      <c r="J3390" s="3">
        <f t="shared" si="5"/>
        <v>0</v>
      </c>
    </row>
    <row r="3391">
      <c r="A3391" s="1" t="s">
        <v>2527</v>
      </c>
      <c r="B3391" s="3" t="str">
        <f t="shared" si="1"/>
        <v>Unavailable</v>
      </c>
      <c r="C3391" s="3">
        <v>93.0</v>
      </c>
      <c r="D3391" s="3">
        <f>IFERROR(__xludf.DUMMYFUNCTION("IFERROR(
IF(REGEXMATCH(LOWER(O3391),""k""),
VALUE(REGEXEXTRACT(O3391,""[0-9]+""))*1000,
VALUE(REGEXEXTRACT(O3391,""[0-9]+""))
),
0
)"),0.0)</f>
        <v>0</v>
      </c>
      <c r="E3391" s="1" t="s">
        <v>11</v>
      </c>
      <c r="F3391" s="1" t="s">
        <v>20</v>
      </c>
      <c r="G3391" s="4" t="b">
        <f t="shared" si="2"/>
        <v>1</v>
      </c>
      <c r="H3391" s="1" t="str">
        <f t="shared" si="3"/>
        <v>Currently Unavailable</v>
      </c>
      <c r="I3391" s="1" t="str">
        <f t="shared" si="4"/>
        <v>No Badges</v>
      </c>
      <c r="J3391" s="3">
        <f t="shared" si="5"/>
        <v>0</v>
      </c>
    </row>
    <row r="3392">
      <c r="A3392" s="1" t="s">
        <v>2528</v>
      </c>
      <c r="B3392" s="3" t="str">
        <f t="shared" si="1"/>
        <v>Unavailable</v>
      </c>
      <c r="C3392" s="3">
        <v>27.0</v>
      </c>
      <c r="D3392" s="3">
        <f>IFERROR(__xludf.DUMMYFUNCTION("IFERROR(
IF(REGEXMATCH(LOWER(O3392),""k""),
VALUE(REGEXEXTRACT(O3392,""[0-9]+""))*1000,
VALUE(REGEXEXTRACT(O3392,""[0-9]+""))
),
0
)"),0.0)</f>
        <v>0</v>
      </c>
      <c r="E3392" s="1" t="s">
        <v>11</v>
      </c>
      <c r="F3392" s="1" t="s">
        <v>20</v>
      </c>
      <c r="G3392" s="4" t="b">
        <f t="shared" si="2"/>
        <v>1</v>
      </c>
      <c r="H3392" s="1" t="str">
        <f t="shared" si="3"/>
        <v>Currently Unavailable</v>
      </c>
      <c r="I3392" s="1" t="str">
        <f t="shared" si="4"/>
        <v>No Badges</v>
      </c>
      <c r="J3392" s="3">
        <f t="shared" si="5"/>
        <v>0</v>
      </c>
    </row>
    <row r="3393">
      <c r="A3393" s="1" t="s">
        <v>2529</v>
      </c>
      <c r="B3393" s="3" t="str">
        <f t="shared" si="1"/>
        <v>Unavailable</v>
      </c>
      <c r="C3393" s="5">
        <v>1090.0</v>
      </c>
      <c r="D3393" s="3">
        <f>IFERROR(__xludf.DUMMYFUNCTION("IFERROR(
IF(REGEXMATCH(LOWER(O3393),""k""),
VALUE(REGEXEXTRACT(O3393,""[0-9]+""))*1000,
VALUE(REGEXEXTRACT(O3393,""[0-9]+""))
),
0
)"),0.0)</f>
        <v>0</v>
      </c>
      <c r="E3393" s="1" t="s">
        <v>11</v>
      </c>
      <c r="F3393" s="1" t="s">
        <v>20</v>
      </c>
      <c r="G3393" s="4" t="b">
        <f t="shared" si="2"/>
        <v>1</v>
      </c>
      <c r="H3393" s="1" t="str">
        <f t="shared" si="3"/>
        <v>Currently Unavailable</v>
      </c>
      <c r="I3393" s="1" t="str">
        <f t="shared" si="4"/>
        <v>No Badges</v>
      </c>
      <c r="J3393" s="3">
        <f t="shared" si="5"/>
        <v>0</v>
      </c>
    </row>
    <row r="3394">
      <c r="A3394" s="1" t="s">
        <v>2530</v>
      </c>
      <c r="B3394" s="3" t="str">
        <f t="shared" si="1"/>
        <v>Unavailable</v>
      </c>
      <c r="C3394" s="3">
        <v>100.0</v>
      </c>
      <c r="D3394" s="3">
        <f>IFERROR(__xludf.DUMMYFUNCTION("IFERROR(
IF(REGEXMATCH(LOWER(O3394),""k""),
VALUE(REGEXEXTRACT(O3394,""[0-9]+""))*1000,
VALUE(REGEXEXTRACT(O3394,""[0-9]+""))
),
0
)"),0.0)</f>
        <v>0</v>
      </c>
      <c r="E3394" s="1" t="s">
        <v>11</v>
      </c>
      <c r="F3394" s="1" t="s">
        <v>20</v>
      </c>
      <c r="G3394" s="4" t="b">
        <f t="shared" si="2"/>
        <v>1</v>
      </c>
      <c r="H3394" s="1" t="str">
        <f t="shared" si="3"/>
        <v>Currently Unavailable</v>
      </c>
      <c r="I3394" s="1" t="str">
        <f t="shared" si="4"/>
        <v>No Badges</v>
      </c>
      <c r="J3394" s="3">
        <f t="shared" si="5"/>
        <v>0</v>
      </c>
    </row>
    <row r="3395">
      <c r="A3395" s="1" t="s">
        <v>1548</v>
      </c>
      <c r="B3395" s="3" t="str">
        <f t="shared" si="1"/>
        <v>Unavailable</v>
      </c>
      <c r="C3395" s="5">
        <v>5906.0</v>
      </c>
      <c r="D3395" s="3">
        <f>IFERROR(__xludf.DUMMYFUNCTION("IFERROR(
IF(REGEXMATCH(LOWER(O3395),""k""),
VALUE(REGEXEXTRACT(O3395,""[0-9]+""))*1000,
VALUE(REGEXEXTRACT(O3395,""[0-9]+""))
),
0
)"),0.0)</f>
        <v>0</v>
      </c>
      <c r="E3395" s="1" t="s">
        <v>11</v>
      </c>
      <c r="F3395" s="1" t="s">
        <v>20</v>
      </c>
      <c r="G3395" s="4" t="b">
        <f t="shared" si="2"/>
        <v>1</v>
      </c>
      <c r="H3395" s="1" t="str">
        <f t="shared" si="3"/>
        <v>Currently Unavailable</v>
      </c>
      <c r="I3395" s="1" t="str">
        <f t="shared" si="4"/>
        <v>No Badges</v>
      </c>
      <c r="J3395" s="3">
        <f t="shared" si="5"/>
        <v>0</v>
      </c>
    </row>
    <row r="3396">
      <c r="A3396" s="1" t="s">
        <v>2531</v>
      </c>
      <c r="B3396" s="3" t="str">
        <f t="shared" si="1"/>
        <v>Unavailable</v>
      </c>
      <c r="C3396" s="5">
        <v>1821.0</v>
      </c>
      <c r="D3396" s="3">
        <f>IFERROR(__xludf.DUMMYFUNCTION("IFERROR(
IF(REGEXMATCH(LOWER(O3396),""k""),
VALUE(REGEXEXTRACT(O3396,""[0-9]+""))*1000,
VALUE(REGEXEXTRACT(O3396,""[0-9]+""))
),
0
)"),0.0)</f>
        <v>0</v>
      </c>
      <c r="E3396" s="1" t="s">
        <v>11</v>
      </c>
      <c r="F3396" s="1" t="s">
        <v>20</v>
      </c>
      <c r="G3396" s="4" t="b">
        <f t="shared" si="2"/>
        <v>1</v>
      </c>
      <c r="H3396" s="1" t="str">
        <f t="shared" si="3"/>
        <v>Currently Unavailable</v>
      </c>
      <c r="I3396" s="1" t="str">
        <f t="shared" si="4"/>
        <v>No Badges</v>
      </c>
      <c r="J3396" s="3">
        <f t="shared" si="5"/>
        <v>0</v>
      </c>
    </row>
    <row r="3397">
      <c r="A3397" s="1" t="s">
        <v>2532</v>
      </c>
      <c r="B3397" s="3" t="str">
        <f t="shared" si="1"/>
        <v>Unavailable</v>
      </c>
      <c r="C3397" s="3">
        <v>659.0</v>
      </c>
      <c r="D3397" s="3">
        <f>IFERROR(__xludf.DUMMYFUNCTION("IFERROR(
IF(REGEXMATCH(LOWER(O3397),""k""),
VALUE(REGEXEXTRACT(O3397,""[0-9]+""))*1000,
VALUE(REGEXEXTRACT(O3397,""[0-9]+""))
),
0
)"),0.0)</f>
        <v>0</v>
      </c>
      <c r="E3397" s="1" t="s">
        <v>11</v>
      </c>
      <c r="F3397" s="1" t="s">
        <v>20</v>
      </c>
      <c r="G3397" s="4" t="b">
        <f t="shared" si="2"/>
        <v>1</v>
      </c>
      <c r="H3397" s="1" t="str">
        <f t="shared" si="3"/>
        <v>Currently Unavailable</v>
      </c>
      <c r="I3397" s="1" t="str">
        <f t="shared" si="4"/>
        <v>No Badges</v>
      </c>
      <c r="J3397" s="3">
        <f t="shared" si="5"/>
        <v>0</v>
      </c>
    </row>
    <row r="3398">
      <c r="A3398" s="1" t="s">
        <v>67</v>
      </c>
      <c r="B3398" s="3" t="str">
        <f t="shared" si="1"/>
        <v>Unavailable</v>
      </c>
      <c r="C3398" s="3">
        <v>264.0</v>
      </c>
      <c r="D3398" s="3">
        <f>IFERROR(__xludf.DUMMYFUNCTION("IFERROR(
IF(REGEXMATCH(LOWER(O3398),""k""),
VALUE(REGEXEXTRACT(O3398,""[0-9]+""))*1000,
VALUE(REGEXEXTRACT(O3398,""[0-9]+""))
),
0
)"),0.0)</f>
        <v>0</v>
      </c>
      <c r="E3398" s="1" t="s">
        <v>11</v>
      </c>
      <c r="F3398" s="1" t="s">
        <v>12</v>
      </c>
      <c r="G3398" s="4" t="b">
        <f t="shared" si="2"/>
        <v>1</v>
      </c>
      <c r="H3398" s="1" t="str">
        <f t="shared" si="3"/>
        <v>Currently Unavailable</v>
      </c>
      <c r="I3398" s="1" t="str">
        <f t="shared" si="4"/>
        <v>No Badges</v>
      </c>
      <c r="J3398" s="3">
        <f t="shared" si="5"/>
        <v>0</v>
      </c>
    </row>
    <row r="3399">
      <c r="A3399" s="1" t="s">
        <v>2533</v>
      </c>
      <c r="B3399" s="3" t="str">
        <f t="shared" si="1"/>
        <v>Unavailable</v>
      </c>
      <c r="C3399" s="3">
        <v>349.0</v>
      </c>
      <c r="D3399" s="3">
        <f>IFERROR(__xludf.DUMMYFUNCTION("IFERROR(
IF(REGEXMATCH(LOWER(O3399),""k""),
VALUE(REGEXEXTRACT(O3399,""[0-9]+""))*1000,
VALUE(REGEXEXTRACT(O3399,""[0-9]+""))
),
0
)"),0.0)</f>
        <v>0</v>
      </c>
      <c r="E3399" s="1" t="s">
        <v>11</v>
      </c>
      <c r="F3399" s="1" t="s">
        <v>20</v>
      </c>
      <c r="G3399" s="4" t="b">
        <f t="shared" si="2"/>
        <v>1</v>
      </c>
      <c r="H3399" s="1" t="str">
        <f t="shared" si="3"/>
        <v>Currently Unavailable</v>
      </c>
      <c r="I3399" s="1" t="str">
        <f t="shared" si="4"/>
        <v>No Badges</v>
      </c>
      <c r="J3399" s="3">
        <f t="shared" si="5"/>
        <v>0</v>
      </c>
    </row>
    <row r="3400">
      <c r="A3400" s="1" t="s">
        <v>701</v>
      </c>
      <c r="B3400" s="3" t="str">
        <f t="shared" si="1"/>
        <v>Unavailable</v>
      </c>
      <c r="C3400" s="3">
        <v>8.0</v>
      </c>
      <c r="D3400" s="3">
        <f>IFERROR(__xludf.DUMMYFUNCTION("IFERROR(
IF(REGEXMATCH(LOWER(O3400),""k""),
VALUE(REGEXEXTRACT(O3400,""[0-9]+""))*1000,
VALUE(REGEXEXTRACT(O3400,""[0-9]+""))
),
0
)"),0.0)</f>
        <v>0</v>
      </c>
      <c r="E3400" s="1" t="s">
        <v>11</v>
      </c>
      <c r="F3400" s="1" t="s">
        <v>12</v>
      </c>
      <c r="G3400" s="4" t="b">
        <f t="shared" si="2"/>
        <v>1</v>
      </c>
      <c r="H3400" s="1" t="str">
        <f t="shared" si="3"/>
        <v>Currently Unavailable</v>
      </c>
      <c r="I3400" s="1" t="str">
        <f t="shared" si="4"/>
        <v>No Badges</v>
      </c>
      <c r="J3400" s="3">
        <f t="shared" si="5"/>
        <v>0</v>
      </c>
    </row>
    <row r="3401">
      <c r="A3401" s="1" t="s">
        <v>2534</v>
      </c>
      <c r="B3401" s="3" t="str">
        <f t="shared" si="1"/>
        <v>Unavailable</v>
      </c>
      <c r="C3401" s="3">
        <v>31.0</v>
      </c>
      <c r="D3401" s="3">
        <f>IFERROR(__xludf.DUMMYFUNCTION("IFERROR(
IF(REGEXMATCH(LOWER(O3401),""k""),
VALUE(REGEXEXTRACT(O3401,""[0-9]+""))*1000,
VALUE(REGEXEXTRACT(O3401,""[0-9]+""))
),
0
)"),0.0)</f>
        <v>0</v>
      </c>
      <c r="E3401" s="1" t="s">
        <v>11</v>
      </c>
      <c r="F3401" s="1" t="s">
        <v>20</v>
      </c>
      <c r="G3401" s="4" t="b">
        <f t="shared" si="2"/>
        <v>1</v>
      </c>
      <c r="H3401" s="1" t="str">
        <f t="shared" si="3"/>
        <v>Currently Unavailable</v>
      </c>
      <c r="I3401" s="1" t="str">
        <f t="shared" si="4"/>
        <v>No Badges</v>
      </c>
      <c r="J3401" s="3">
        <f t="shared" si="5"/>
        <v>0</v>
      </c>
    </row>
    <row r="3402">
      <c r="A3402" s="1" t="s">
        <v>2535</v>
      </c>
      <c r="B3402" s="3" t="str">
        <f t="shared" si="1"/>
        <v>Unavailable</v>
      </c>
      <c r="C3402" s="3">
        <v>10.0</v>
      </c>
      <c r="D3402" s="3">
        <f>IFERROR(__xludf.DUMMYFUNCTION("IFERROR(
IF(REGEXMATCH(LOWER(O3402),""k""),
VALUE(REGEXEXTRACT(O3402,""[0-9]+""))*1000,
VALUE(REGEXEXTRACT(O3402,""[0-9]+""))
),
0
)"),0.0)</f>
        <v>0</v>
      </c>
      <c r="E3402" s="1" t="s">
        <v>11</v>
      </c>
      <c r="F3402" s="1" t="s">
        <v>20</v>
      </c>
      <c r="G3402" s="4" t="b">
        <f t="shared" si="2"/>
        <v>1</v>
      </c>
      <c r="H3402" s="1" t="str">
        <f t="shared" si="3"/>
        <v>Currently Unavailable</v>
      </c>
      <c r="I3402" s="1" t="str">
        <f t="shared" si="4"/>
        <v>No Badges</v>
      </c>
      <c r="J3402" s="3">
        <f t="shared" si="5"/>
        <v>0</v>
      </c>
    </row>
    <row r="3403">
      <c r="A3403" s="1" t="s">
        <v>2536</v>
      </c>
      <c r="B3403" s="3" t="str">
        <f t="shared" si="1"/>
        <v>Unavailable</v>
      </c>
      <c r="C3403" s="3">
        <v>270.0</v>
      </c>
      <c r="D3403" s="3">
        <f>IFERROR(__xludf.DUMMYFUNCTION("IFERROR(
IF(REGEXMATCH(LOWER(O3403),""k""),
VALUE(REGEXEXTRACT(O3403,""[0-9]+""))*1000,
VALUE(REGEXEXTRACT(O3403,""[0-9]+""))
),
0
)"),0.0)</f>
        <v>0</v>
      </c>
      <c r="E3403" s="1" t="s">
        <v>11</v>
      </c>
      <c r="F3403" s="1" t="s">
        <v>20</v>
      </c>
      <c r="G3403" s="4" t="b">
        <f t="shared" si="2"/>
        <v>1</v>
      </c>
      <c r="H3403" s="1" t="str">
        <f t="shared" si="3"/>
        <v>Currently Unavailable</v>
      </c>
      <c r="I3403" s="1" t="str">
        <f t="shared" si="4"/>
        <v>No Badges</v>
      </c>
      <c r="J3403" s="3">
        <f t="shared" si="5"/>
        <v>0</v>
      </c>
    </row>
    <row r="3404">
      <c r="A3404" s="1" t="s">
        <v>2537</v>
      </c>
      <c r="B3404" s="3" t="str">
        <f t="shared" si="1"/>
        <v>Unavailable</v>
      </c>
      <c r="C3404" s="5">
        <v>4295.0</v>
      </c>
      <c r="D3404" s="3">
        <f>IFERROR(__xludf.DUMMYFUNCTION("IFERROR(
IF(REGEXMATCH(LOWER(O3404),""k""),
VALUE(REGEXEXTRACT(O3404,""[0-9]+""))*1000,
VALUE(REGEXEXTRACT(O3404,""[0-9]+""))
),
0
)"),0.0)</f>
        <v>0</v>
      </c>
      <c r="E3404" s="1" t="s">
        <v>11</v>
      </c>
      <c r="F3404" s="1" t="s">
        <v>20</v>
      </c>
      <c r="G3404" s="4" t="b">
        <f t="shared" si="2"/>
        <v>1</v>
      </c>
      <c r="H3404" s="1" t="str">
        <f t="shared" si="3"/>
        <v>Currently Unavailable</v>
      </c>
      <c r="I3404" s="1" t="str">
        <f t="shared" si="4"/>
        <v>No Badges</v>
      </c>
      <c r="J3404" s="3">
        <f t="shared" si="5"/>
        <v>0</v>
      </c>
    </row>
    <row r="3405">
      <c r="A3405" s="1" t="s">
        <v>2538</v>
      </c>
      <c r="B3405" s="3" t="str">
        <f t="shared" si="1"/>
        <v>Unavailable</v>
      </c>
      <c r="C3405" s="3">
        <v>125.0</v>
      </c>
      <c r="D3405" s="3">
        <f>IFERROR(__xludf.DUMMYFUNCTION("IFERROR(
IF(REGEXMATCH(LOWER(O3405),""k""),
VALUE(REGEXEXTRACT(O3405,""[0-9]+""))*1000,
VALUE(REGEXEXTRACT(O3405,""[0-9]+""))
),
0
)"),0.0)</f>
        <v>0</v>
      </c>
      <c r="E3405" s="1" t="s">
        <v>11</v>
      </c>
      <c r="F3405" s="1" t="s">
        <v>20</v>
      </c>
      <c r="G3405" s="4" t="b">
        <f t="shared" si="2"/>
        <v>1</v>
      </c>
      <c r="H3405" s="1" t="str">
        <f t="shared" si="3"/>
        <v>Currently Unavailable</v>
      </c>
      <c r="I3405" s="1" t="str">
        <f t="shared" si="4"/>
        <v>No Badges</v>
      </c>
      <c r="J3405" s="3">
        <f t="shared" si="5"/>
        <v>0</v>
      </c>
    </row>
    <row r="3406">
      <c r="A3406" s="1" t="s">
        <v>2539</v>
      </c>
      <c r="B3406" s="3" t="str">
        <f t="shared" si="1"/>
        <v>Unavailable</v>
      </c>
      <c r="C3406" s="5">
        <v>1221.0</v>
      </c>
      <c r="D3406" s="3">
        <f>IFERROR(__xludf.DUMMYFUNCTION("IFERROR(
IF(REGEXMATCH(LOWER(O3406),""k""),
VALUE(REGEXEXTRACT(O3406,""[0-9]+""))*1000,
VALUE(REGEXEXTRACT(O3406,""[0-9]+""))
),
0
)"),0.0)</f>
        <v>0</v>
      </c>
      <c r="E3406" s="1" t="s">
        <v>11</v>
      </c>
      <c r="F3406" s="1" t="s">
        <v>20</v>
      </c>
      <c r="G3406" s="4" t="b">
        <f t="shared" si="2"/>
        <v>1</v>
      </c>
      <c r="H3406" s="1" t="str">
        <f t="shared" si="3"/>
        <v>Currently Unavailable</v>
      </c>
      <c r="I3406" s="1" t="str">
        <f t="shared" si="4"/>
        <v>No Badges</v>
      </c>
      <c r="J3406" s="3">
        <f t="shared" si="5"/>
        <v>0</v>
      </c>
    </row>
    <row r="3407">
      <c r="A3407" s="1" t="s">
        <v>2540</v>
      </c>
      <c r="B3407" s="3" t="str">
        <f t="shared" si="1"/>
        <v>Unavailable</v>
      </c>
      <c r="C3407" s="5">
        <v>1667.0</v>
      </c>
      <c r="D3407" s="3">
        <f>IFERROR(__xludf.DUMMYFUNCTION("IFERROR(
IF(REGEXMATCH(LOWER(O3407),""k""),
VALUE(REGEXEXTRACT(O3407,""[0-9]+""))*1000,
VALUE(REGEXEXTRACT(O3407,""[0-9]+""))
),
0
)"),0.0)</f>
        <v>0</v>
      </c>
      <c r="E3407" s="1" t="s">
        <v>11</v>
      </c>
      <c r="F3407" s="1" t="s">
        <v>20</v>
      </c>
      <c r="G3407" s="4" t="b">
        <f t="shared" si="2"/>
        <v>1</v>
      </c>
      <c r="H3407" s="1" t="str">
        <f t="shared" si="3"/>
        <v>Currently Unavailable</v>
      </c>
      <c r="I3407" s="1" t="str">
        <f t="shared" si="4"/>
        <v>No Badges</v>
      </c>
      <c r="J3407" s="3">
        <f t="shared" si="5"/>
        <v>0</v>
      </c>
    </row>
    <row r="3408">
      <c r="A3408" s="1" t="s">
        <v>2541</v>
      </c>
      <c r="B3408" s="3" t="str">
        <f t="shared" si="1"/>
        <v>Unavailable</v>
      </c>
      <c r="C3408" s="3">
        <v>674.0</v>
      </c>
      <c r="D3408" s="3">
        <f>IFERROR(__xludf.DUMMYFUNCTION("IFERROR(
IF(REGEXMATCH(LOWER(O3408),""k""),
VALUE(REGEXEXTRACT(O3408,""[0-9]+""))*1000,
VALUE(REGEXEXTRACT(O3408,""[0-9]+""))
),
0
)"),0.0)</f>
        <v>0</v>
      </c>
      <c r="E3408" s="1" t="s">
        <v>11</v>
      </c>
      <c r="F3408" s="1" t="s">
        <v>20</v>
      </c>
      <c r="G3408" s="4" t="b">
        <f t="shared" si="2"/>
        <v>1</v>
      </c>
      <c r="H3408" s="1" t="str">
        <f t="shared" si="3"/>
        <v>Currently Unavailable</v>
      </c>
      <c r="I3408" s="1" t="str">
        <f t="shared" si="4"/>
        <v>No Badges</v>
      </c>
      <c r="J3408" s="3">
        <f t="shared" si="5"/>
        <v>0</v>
      </c>
    </row>
    <row r="3409">
      <c r="A3409" s="1" t="s">
        <v>2542</v>
      </c>
      <c r="B3409" s="3" t="str">
        <f t="shared" si="1"/>
        <v>Unavailable</v>
      </c>
      <c r="C3409" s="3">
        <v>341.0</v>
      </c>
      <c r="D3409" s="3">
        <f>IFERROR(__xludf.DUMMYFUNCTION("IFERROR(
IF(REGEXMATCH(LOWER(O3409),""k""),
VALUE(REGEXEXTRACT(O3409,""[0-9]+""))*1000,
VALUE(REGEXEXTRACT(O3409,""[0-9]+""))
),
0
)"),0.0)</f>
        <v>0</v>
      </c>
      <c r="E3409" s="1" t="s">
        <v>11</v>
      </c>
      <c r="F3409" s="1" t="s">
        <v>20</v>
      </c>
      <c r="G3409" s="4" t="b">
        <f t="shared" si="2"/>
        <v>1</v>
      </c>
      <c r="H3409" s="1" t="str">
        <f t="shared" si="3"/>
        <v>Currently Unavailable</v>
      </c>
      <c r="I3409" s="1" t="str">
        <f t="shared" si="4"/>
        <v>No Badges</v>
      </c>
      <c r="J3409" s="3">
        <f t="shared" si="5"/>
        <v>0</v>
      </c>
    </row>
    <row r="3410">
      <c r="A3410" s="1" t="s">
        <v>2543</v>
      </c>
      <c r="B3410" s="3" t="str">
        <f t="shared" si="1"/>
        <v>Unavailable</v>
      </c>
      <c r="C3410" s="3">
        <v>232.0</v>
      </c>
      <c r="D3410" s="3">
        <f>IFERROR(__xludf.DUMMYFUNCTION("IFERROR(
IF(REGEXMATCH(LOWER(O3410),""k""),
VALUE(REGEXEXTRACT(O3410,""[0-9]+""))*1000,
VALUE(REGEXEXTRACT(O3410,""[0-9]+""))
),
0
)"),0.0)</f>
        <v>0</v>
      </c>
      <c r="E3410" s="1" t="s">
        <v>11</v>
      </c>
      <c r="F3410" s="1" t="s">
        <v>20</v>
      </c>
      <c r="G3410" s="4" t="b">
        <f t="shared" si="2"/>
        <v>1</v>
      </c>
      <c r="H3410" s="1" t="str">
        <f t="shared" si="3"/>
        <v>Currently Unavailable</v>
      </c>
      <c r="I3410" s="1" t="str">
        <f t="shared" si="4"/>
        <v>No Badges</v>
      </c>
      <c r="J3410" s="3">
        <f t="shared" si="5"/>
        <v>0</v>
      </c>
    </row>
    <row r="3411">
      <c r="A3411" s="1" t="s">
        <v>2544</v>
      </c>
      <c r="B3411" s="3" t="str">
        <f t="shared" si="1"/>
        <v>Unavailable</v>
      </c>
      <c r="C3411" s="3">
        <v>252.0</v>
      </c>
      <c r="D3411" s="3">
        <f>IFERROR(__xludf.DUMMYFUNCTION("IFERROR(
IF(REGEXMATCH(LOWER(O3411),""k""),
VALUE(REGEXEXTRACT(O3411,""[0-9]+""))*1000,
VALUE(REGEXEXTRACT(O3411,""[0-9]+""))
),
0
)"),0.0)</f>
        <v>0</v>
      </c>
      <c r="E3411" s="1" t="s">
        <v>11</v>
      </c>
      <c r="F3411" s="1" t="s">
        <v>20</v>
      </c>
      <c r="G3411" s="4" t="b">
        <f t="shared" si="2"/>
        <v>1</v>
      </c>
      <c r="H3411" s="1" t="str">
        <f t="shared" si="3"/>
        <v>Currently Unavailable</v>
      </c>
      <c r="I3411" s="1" t="str">
        <f t="shared" si="4"/>
        <v>No Badges</v>
      </c>
      <c r="J3411" s="3">
        <f t="shared" si="5"/>
        <v>0</v>
      </c>
    </row>
    <row r="3412">
      <c r="A3412" s="1" t="s">
        <v>2545</v>
      </c>
      <c r="B3412" s="3" t="str">
        <f t="shared" si="1"/>
        <v>Unavailable</v>
      </c>
      <c r="C3412" s="3">
        <v>23.0</v>
      </c>
      <c r="D3412" s="3">
        <f>IFERROR(__xludf.DUMMYFUNCTION("IFERROR(
IF(REGEXMATCH(LOWER(O3412),""k""),
VALUE(REGEXEXTRACT(O3412,""[0-9]+""))*1000,
VALUE(REGEXEXTRACT(O3412,""[0-9]+""))
),
0
)"),0.0)</f>
        <v>0</v>
      </c>
      <c r="E3412" s="1" t="s">
        <v>11</v>
      </c>
      <c r="F3412" s="1" t="s">
        <v>20</v>
      </c>
      <c r="G3412" s="4" t="b">
        <f t="shared" si="2"/>
        <v>1</v>
      </c>
      <c r="H3412" s="1" t="str">
        <f t="shared" si="3"/>
        <v>Currently Unavailable</v>
      </c>
      <c r="I3412" s="1" t="str">
        <f t="shared" si="4"/>
        <v>No Badges</v>
      </c>
      <c r="J3412" s="3">
        <f t="shared" si="5"/>
        <v>0</v>
      </c>
    </row>
    <row r="3413">
      <c r="A3413" s="1" t="s">
        <v>2546</v>
      </c>
      <c r="B3413" s="3" t="str">
        <f t="shared" si="1"/>
        <v>Unavailable</v>
      </c>
      <c r="C3413" s="5">
        <v>13217.0</v>
      </c>
      <c r="D3413" s="3">
        <f>IFERROR(__xludf.DUMMYFUNCTION("IFERROR(
IF(REGEXMATCH(LOWER(O3413),""k""),
VALUE(REGEXEXTRACT(O3413,""[0-9]+""))*1000,
VALUE(REGEXEXTRACT(O3413,""[0-9]+""))
),
0
)"),0.0)</f>
        <v>0</v>
      </c>
      <c r="E3413" s="1" t="s">
        <v>11</v>
      </c>
      <c r="F3413" s="1" t="s">
        <v>20</v>
      </c>
      <c r="G3413" s="4" t="b">
        <f t="shared" si="2"/>
        <v>1</v>
      </c>
      <c r="H3413" s="1" t="str">
        <f t="shared" si="3"/>
        <v>Currently Unavailable</v>
      </c>
      <c r="I3413" s="1" t="str">
        <f t="shared" si="4"/>
        <v>No Badges</v>
      </c>
      <c r="J3413" s="3">
        <f t="shared" si="5"/>
        <v>0</v>
      </c>
    </row>
    <row r="3414">
      <c r="A3414" s="1" t="s">
        <v>88</v>
      </c>
      <c r="B3414" s="3" t="str">
        <f t="shared" si="1"/>
        <v>Unavailable</v>
      </c>
      <c r="C3414" s="3">
        <v>5.0</v>
      </c>
      <c r="D3414" s="3">
        <f>IFERROR(__xludf.DUMMYFUNCTION("IFERROR(
IF(REGEXMATCH(LOWER(O3414),""k""),
VALUE(REGEXEXTRACT(O3414,""[0-9]+""))*1000,
VALUE(REGEXEXTRACT(O3414,""[0-9]+""))
),
0
)"),0.0)</f>
        <v>0</v>
      </c>
      <c r="E3414" s="1" t="s">
        <v>11</v>
      </c>
      <c r="F3414" s="1" t="s">
        <v>12</v>
      </c>
      <c r="G3414" s="4" t="b">
        <f t="shared" si="2"/>
        <v>1</v>
      </c>
      <c r="H3414" s="1" t="str">
        <f t="shared" si="3"/>
        <v>Currently Unavailable</v>
      </c>
      <c r="I3414" s="1" t="str">
        <f t="shared" si="4"/>
        <v>No Badges</v>
      </c>
      <c r="J3414" s="3">
        <f t="shared" si="5"/>
        <v>0</v>
      </c>
    </row>
    <row r="3415">
      <c r="A3415" s="1" t="s">
        <v>40</v>
      </c>
      <c r="B3415" s="3" t="str">
        <f t="shared" si="1"/>
        <v>Unavailable</v>
      </c>
      <c r="C3415" s="3">
        <v>171.0</v>
      </c>
      <c r="D3415" s="3">
        <f>IFERROR(__xludf.DUMMYFUNCTION("IFERROR(
IF(REGEXMATCH(LOWER(O3415),""k""),
VALUE(REGEXEXTRACT(O3415,""[0-9]+""))*1000,
VALUE(REGEXEXTRACT(O3415,""[0-9]+""))
),
0
)"),0.0)</f>
        <v>0</v>
      </c>
      <c r="E3415" s="1" t="s">
        <v>11</v>
      </c>
      <c r="F3415" s="1" t="s">
        <v>12</v>
      </c>
      <c r="G3415" s="4" t="b">
        <f t="shared" si="2"/>
        <v>1</v>
      </c>
      <c r="H3415" s="1" t="str">
        <f t="shared" si="3"/>
        <v>Currently Unavailable</v>
      </c>
      <c r="I3415" s="1" t="str">
        <f t="shared" si="4"/>
        <v>No Badges</v>
      </c>
      <c r="J3415" s="3">
        <f t="shared" si="5"/>
        <v>0</v>
      </c>
    </row>
    <row r="3416">
      <c r="A3416" s="1" t="s">
        <v>2547</v>
      </c>
      <c r="B3416" s="3" t="str">
        <f t="shared" si="1"/>
        <v>Unavailable</v>
      </c>
      <c r="C3416" s="3">
        <v>403.0</v>
      </c>
      <c r="D3416" s="3">
        <f>IFERROR(__xludf.DUMMYFUNCTION("IFERROR(
IF(REGEXMATCH(LOWER(O3416),""k""),
VALUE(REGEXEXTRACT(O3416,""[0-9]+""))*1000,
VALUE(REGEXEXTRACT(O3416,""[0-9]+""))
),
0
)"),0.0)</f>
        <v>0</v>
      </c>
      <c r="E3416" s="1" t="s">
        <v>11</v>
      </c>
      <c r="F3416" s="1" t="s">
        <v>20</v>
      </c>
      <c r="G3416" s="4" t="b">
        <f t="shared" si="2"/>
        <v>1</v>
      </c>
      <c r="H3416" s="1" t="str">
        <f t="shared" si="3"/>
        <v>Currently Unavailable</v>
      </c>
      <c r="I3416" s="1" t="str">
        <f t="shared" si="4"/>
        <v>No Badges</v>
      </c>
      <c r="J3416" s="3">
        <f t="shared" si="5"/>
        <v>0</v>
      </c>
    </row>
    <row r="3417">
      <c r="A3417" s="1" t="s">
        <v>2548</v>
      </c>
      <c r="B3417" s="3" t="str">
        <f t="shared" si="1"/>
        <v>Unavailable</v>
      </c>
      <c r="C3417" s="3">
        <v>166.0</v>
      </c>
      <c r="D3417" s="3">
        <f>IFERROR(__xludf.DUMMYFUNCTION("IFERROR(
IF(REGEXMATCH(LOWER(O3417),""k""),
VALUE(REGEXEXTRACT(O3417,""[0-9]+""))*1000,
VALUE(REGEXEXTRACT(O3417,""[0-9]+""))
),
0
)"),0.0)</f>
        <v>0</v>
      </c>
      <c r="E3417" s="1" t="s">
        <v>11</v>
      </c>
      <c r="F3417" s="1" t="s">
        <v>20</v>
      </c>
      <c r="G3417" s="4" t="b">
        <f t="shared" si="2"/>
        <v>1</v>
      </c>
      <c r="H3417" s="1" t="str">
        <f t="shared" si="3"/>
        <v>Currently Unavailable</v>
      </c>
      <c r="I3417" s="1" t="str">
        <f t="shared" si="4"/>
        <v>No Badges</v>
      </c>
      <c r="J3417" s="3">
        <f t="shared" si="5"/>
        <v>0</v>
      </c>
    </row>
    <row r="3418">
      <c r="A3418" s="1" t="s">
        <v>69</v>
      </c>
      <c r="B3418" s="3" t="str">
        <f t="shared" si="1"/>
        <v>Unavailable</v>
      </c>
      <c r="C3418" s="3">
        <v>45.0</v>
      </c>
      <c r="D3418" s="3">
        <f>IFERROR(__xludf.DUMMYFUNCTION("IFERROR(
IF(REGEXMATCH(LOWER(O3418),""k""),
VALUE(REGEXEXTRACT(O3418,""[0-9]+""))*1000,
VALUE(REGEXEXTRACT(O3418,""[0-9]+""))
),
0
)"),0.0)</f>
        <v>0</v>
      </c>
      <c r="E3418" s="1" t="s">
        <v>11</v>
      </c>
      <c r="F3418" s="1" t="s">
        <v>12</v>
      </c>
      <c r="G3418" s="4" t="b">
        <f t="shared" si="2"/>
        <v>1</v>
      </c>
      <c r="H3418" s="1" t="str">
        <f t="shared" si="3"/>
        <v>Currently Unavailable</v>
      </c>
      <c r="I3418" s="1" t="str">
        <f t="shared" si="4"/>
        <v>No Badges</v>
      </c>
      <c r="J3418" s="3">
        <f t="shared" si="5"/>
        <v>0</v>
      </c>
    </row>
    <row r="3419">
      <c r="A3419" s="1" t="s">
        <v>2549</v>
      </c>
      <c r="B3419" s="3" t="str">
        <f t="shared" si="1"/>
        <v>Unavailable</v>
      </c>
      <c r="C3419" s="3">
        <v>48.0</v>
      </c>
      <c r="D3419" s="3">
        <f>IFERROR(__xludf.DUMMYFUNCTION("IFERROR(
IF(REGEXMATCH(LOWER(O3419),""k""),
VALUE(REGEXEXTRACT(O3419,""[0-9]+""))*1000,
VALUE(REGEXEXTRACT(O3419,""[0-9]+""))
),
0
)"),0.0)</f>
        <v>0</v>
      </c>
      <c r="E3419" s="1" t="s">
        <v>11</v>
      </c>
      <c r="F3419" s="1" t="s">
        <v>20</v>
      </c>
      <c r="G3419" s="4" t="b">
        <f t="shared" si="2"/>
        <v>1</v>
      </c>
      <c r="H3419" s="1" t="str">
        <f t="shared" si="3"/>
        <v>Currently Unavailable</v>
      </c>
      <c r="I3419" s="1" t="str">
        <f t="shared" si="4"/>
        <v>No Badges</v>
      </c>
      <c r="J3419" s="3">
        <f t="shared" si="5"/>
        <v>0</v>
      </c>
    </row>
    <row r="3420">
      <c r="A3420" s="1" t="s">
        <v>2550</v>
      </c>
      <c r="B3420" s="3" t="str">
        <f t="shared" si="1"/>
        <v>Unavailable</v>
      </c>
      <c r="C3420" s="3">
        <v>497.0</v>
      </c>
      <c r="D3420" s="3">
        <f>IFERROR(__xludf.DUMMYFUNCTION("IFERROR(
IF(REGEXMATCH(LOWER(O3420),""k""),
VALUE(REGEXEXTRACT(O3420,""[0-9]+""))*1000,
VALUE(REGEXEXTRACT(O3420,""[0-9]+""))
),
0
)"),0.0)</f>
        <v>0</v>
      </c>
      <c r="E3420" s="1" t="s">
        <v>11</v>
      </c>
      <c r="F3420" s="1" t="s">
        <v>20</v>
      </c>
      <c r="G3420" s="4" t="b">
        <f t="shared" si="2"/>
        <v>1</v>
      </c>
      <c r="H3420" s="1" t="str">
        <f t="shared" si="3"/>
        <v>Currently Unavailable</v>
      </c>
      <c r="I3420" s="1" t="str">
        <f t="shared" si="4"/>
        <v>No Badges</v>
      </c>
      <c r="J3420" s="3">
        <f t="shared" si="5"/>
        <v>0</v>
      </c>
    </row>
    <row r="3421">
      <c r="A3421" s="1" t="s">
        <v>2551</v>
      </c>
      <c r="B3421" s="3" t="str">
        <f t="shared" si="1"/>
        <v>Unavailable</v>
      </c>
      <c r="C3421" s="5">
        <v>1444.0</v>
      </c>
      <c r="D3421" s="3">
        <f>IFERROR(__xludf.DUMMYFUNCTION("IFERROR(
IF(REGEXMATCH(LOWER(O3421),""k""),
VALUE(REGEXEXTRACT(O3421,""[0-9]+""))*1000,
VALUE(REGEXEXTRACT(O3421,""[0-9]+""))
),
0
)"),0.0)</f>
        <v>0</v>
      </c>
      <c r="E3421" s="1" t="s">
        <v>11</v>
      </c>
      <c r="F3421" s="1" t="s">
        <v>20</v>
      </c>
      <c r="G3421" s="4" t="b">
        <f t="shared" si="2"/>
        <v>1</v>
      </c>
      <c r="H3421" s="1" t="str">
        <f t="shared" si="3"/>
        <v>Currently Unavailable</v>
      </c>
      <c r="I3421" s="1" t="str">
        <f t="shared" si="4"/>
        <v>No Badges</v>
      </c>
      <c r="J3421" s="3">
        <f t="shared" si="5"/>
        <v>0</v>
      </c>
    </row>
    <row r="3422">
      <c r="A3422" s="1" t="s">
        <v>2552</v>
      </c>
      <c r="B3422" s="3" t="str">
        <f t="shared" si="1"/>
        <v>Unavailable</v>
      </c>
      <c r="C3422" s="3">
        <v>173.0</v>
      </c>
      <c r="D3422" s="3">
        <f>IFERROR(__xludf.DUMMYFUNCTION("IFERROR(
IF(REGEXMATCH(LOWER(O3422),""k""),
VALUE(REGEXEXTRACT(O3422,""[0-9]+""))*1000,
VALUE(REGEXEXTRACT(O3422,""[0-9]+""))
),
0
)"),0.0)</f>
        <v>0</v>
      </c>
      <c r="E3422" s="1" t="s">
        <v>11</v>
      </c>
      <c r="F3422" s="1" t="s">
        <v>20</v>
      </c>
      <c r="G3422" s="4" t="b">
        <f t="shared" si="2"/>
        <v>1</v>
      </c>
      <c r="H3422" s="1" t="str">
        <f t="shared" si="3"/>
        <v>Currently Unavailable</v>
      </c>
      <c r="I3422" s="1" t="str">
        <f t="shared" si="4"/>
        <v>No Badges</v>
      </c>
      <c r="J3422" s="3">
        <f t="shared" si="5"/>
        <v>0</v>
      </c>
    </row>
    <row r="3423">
      <c r="A3423" s="1" t="s">
        <v>2553</v>
      </c>
      <c r="B3423" s="3" t="str">
        <f t="shared" si="1"/>
        <v>Unavailable</v>
      </c>
      <c r="C3423" s="3">
        <v>53.0</v>
      </c>
      <c r="D3423" s="3">
        <f>IFERROR(__xludf.DUMMYFUNCTION("IFERROR(
IF(REGEXMATCH(LOWER(O3423),""k""),
VALUE(REGEXEXTRACT(O3423,""[0-9]+""))*1000,
VALUE(REGEXEXTRACT(O3423,""[0-9]+""))
),
0
)"),0.0)</f>
        <v>0</v>
      </c>
      <c r="E3423" s="1" t="s">
        <v>11</v>
      </c>
      <c r="F3423" s="1" t="s">
        <v>20</v>
      </c>
      <c r="G3423" s="4" t="b">
        <f t="shared" si="2"/>
        <v>1</v>
      </c>
      <c r="H3423" s="1" t="str">
        <f t="shared" si="3"/>
        <v>Currently Unavailable</v>
      </c>
      <c r="I3423" s="1" t="str">
        <f t="shared" si="4"/>
        <v>No Badges</v>
      </c>
      <c r="J3423" s="3">
        <f t="shared" si="5"/>
        <v>0</v>
      </c>
    </row>
    <row r="3424">
      <c r="A3424" s="1" t="s">
        <v>2554</v>
      </c>
      <c r="B3424" s="3" t="str">
        <f t="shared" si="1"/>
        <v>Unavailable</v>
      </c>
      <c r="C3424" s="5">
        <v>3161.0</v>
      </c>
      <c r="D3424" s="3">
        <f>IFERROR(__xludf.DUMMYFUNCTION("IFERROR(
IF(REGEXMATCH(LOWER(O3424),""k""),
VALUE(REGEXEXTRACT(O3424,""[0-9]+""))*1000,
VALUE(REGEXEXTRACT(O3424,""[0-9]+""))
),
0
)"),0.0)</f>
        <v>0</v>
      </c>
      <c r="E3424" s="1" t="s">
        <v>18</v>
      </c>
      <c r="F3424" s="1" t="s">
        <v>20</v>
      </c>
      <c r="G3424" s="4" t="b">
        <f t="shared" si="2"/>
        <v>1</v>
      </c>
      <c r="H3424" s="1" t="str">
        <f t="shared" si="3"/>
        <v>Currently Unavailable</v>
      </c>
      <c r="I3424" s="1" t="str">
        <f t="shared" si="4"/>
        <v>No Badges</v>
      </c>
      <c r="J3424" s="3">
        <f t="shared" si="5"/>
        <v>0</v>
      </c>
    </row>
    <row r="3425">
      <c r="A3425" s="1" t="s">
        <v>2555</v>
      </c>
      <c r="B3425" s="3" t="str">
        <f t="shared" si="1"/>
        <v>Unavailable</v>
      </c>
      <c r="C3425" s="3">
        <v>131.0</v>
      </c>
      <c r="D3425" s="3">
        <f>IFERROR(__xludf.DUMMYFUNCTION("IFERROR(
IF(REGEXMATCH(LOWER(O3425),""k""),
VALUE(REGEXEXTRACT(O3425,""[0-9]+""))*1000,
VALUE(REGEXEXTRACT(O3425,""[0-9]+""))
),
0
)"),0.0)</f>
        <v>0</v>
      </c>
      <c r="E3425" s="1" t="s">
        <v>11</v>
      </c>
      <c r="F3425" s="1" t="s">
        <v>20</v>
      </c>
      <c r="G3425" s="4" t="b">
        <f t="shared" si="2"/>
        <v>1</v>
      </c>
      <c r="H3425" s="1" t="str">
        <f t="shared" si="3"/>
        <v>Currently Unavailable</v>
      </c>
      <c r="I3425" s="1" t="str">
        <f t="shared" si="4"/>
        <v>No Badges</v>
      </c>
      <c r="J3425" s="3">
        <f t="shared" si="5"/>
        <v>0</v>
      </c>
    </row>
    <row r="3426">
      <c r="A3426" s="1" t="s">
        <v>2556</v>
      </c>
      <c r="B3426" s="3" t="str">
        <f t="shared" si="1"/>
        <v>Unavailable</v>
      </c>
      <c r="C3426" s="5">
        <v>8548.0</v>
      </c>
      <c r="D3426" s="3">
        <f>IFERROR(__xludf.DUMMYFUNCTION("IFERROR(
IF(REGEXMATCH(LOWER(O3426),""k""),
VALUE(REGEXEXTRACT(O3426,""[0-9]+""))*1000,
VALUE(REGEXEXTRACT(O3426,""[0-9]+""))
),
0
)"),0.0)</f>
        <v>0</v>
      </c>
      <c r="E3426" s="1" t="s">
        <v>11</v>
      </c>
      <c r="F3426" s="1" t="s">
        <v>20</v>
      </c>
      <c r="G3426" s="4" t="b">
        <f t="shared" si="2"/>
        <v>1</v>
      </c>
      <c r="H3426" s="1" t="str">
        <f t="shared" si="3"/>
        <v>Currently Unavailable</v>
      </c>
      <c r="I3426" s="1" t="str">
        <f t="shared" si="4"/>
        <v>No Badges</v>
      </c>
      <c r="J3426" s="3">
        <f t="shared" si="5"/>
        <v>0</v>
      </c>
    </row>
    <row r="3427">
      <c r="A3427" s="1" t="s">
        <v>2557</v>
      </c>
      <c r="B3427" s="3" t="str">
        <f t="shared" si="1"/>
        <v>Unavailable</v>
      </c>
      <c r="C3427" s="3">
        <v>108.0</v>
      </c>
      <c r="D3427" s="3">
        <f>IFERROR(__xludf.DUMMYFUNCTION("IFERROR(
IF(REGEXMATCH(LOWER(O3427),""k""),
VALUE(REGEXEXTRACT(O3427,""[0-9]+""))*1000,
VALUE(REGEXEXTRACT(O3427,""[0-9]+""))
),
0
)"),0.0)</f>
        <v>0</v>
      </c>
      <c r="E3427" s="1" t="s">
        <v>11</v>
      </c>
      <c r="F3427" s="1" t="s">
        <v>20</v>
      </c>
      <c r="G3427" s="4" t="b">
        <f t="shared" si="2"/>
        <v>1</v>
      </c>
      <c r="H3427" s="1" t="str">
        <f t="shared" si="3"/>
        <v>Currently Unavailable</v>
      </c>
      <c r="I3427" s="1" t="str">
        <f t="shared" si="4"/>
        <v>No Badges</v>
      </c>
      <c r="J3427" s="3">
        <f t="shared" si="5"/>
        <v>0</v>
      </c>
    </row>
    <row r="3428">
      <c r="A3428" s="1" t="s">
        <v>2558</v>
      </c>
      <c r="B3428" s="3" t="str">
        <f t="shared" si="1"/>
        <v>Unavailable</v>
      </c>
      <c r="C3428" s="3">
        <v>294.0</v>
      </c>
      <c r="D3428" s="3">
        <f>IFERROR(__xludf.DUMMYFUNCTION("IFERROR(
IF(REGEXMATCH(LOWER(O3428),""k""),
VALUE(REGEXEXTRACT(O3428,""[0-9]+""))*1000,
VALUE(REGEXEXTRACT(O3428,""[0-9]+""))
),
0
)"),0.0)</f>
        <v>0</v>
      </c>
      <c r="E3428" s="1" t="s">
        <v>11</v>
      </c>
      <c r="F3428" s="1" t="s">
        <v>20</v>
      </c>
      <c r="G3428" s="4" t="b">
        <f t="shared" si="2"/>
        <v>1</v>
      </c>
      <c r="H3428" s="1" t="str">
        <f t="shared" si="3"/>
        <v>Currently Unavailable</v>
      </c>
      <c r="I3428" s="1" t="str">
        <f t="shared" si="4"/>
        <v>No Badges</v>
      </c>
      <c r="J3428" s="3">
        <f t="shared" si="5"/>
        <v>0</v>
      </c>
    </row>
    <row r="3429">
      <c r="A3429" s="1" t="s">
        <v>2559</v>
      </c>
      <c r="B3429" s="3" t="str">
        <f t="shared" si="1"/>
        <v>Unavailable</v>
      </c>
      <c r="C3429" s="3">
        <v>597.0</v>
      </c>
      <c r="D3429" s="3">
        <f>IFERROR(__xludf.DUMMYFUNCTION("IFERROR(
IF(REGEXMATCH(LOWER(O3429),""k""),
VALUE(REGEXEXTRACT(O3429,""[0-9]+""))*1000,
VALUE(REGEXEXTRACT(O3429,""[0-9]+""))
),
0
)"),0.0)</f>
        <v>0</v>
      </c>
      <c r="E3429" s="1" t="s">
        <v>11</v>
      </c>
      <c r="F3429" s="1" t="s">
        <v>20</v>
      </c>
      <c r="G3429" s="4" t="b">
        <f t="shared" si="2"/>
        <v>1</v>
      </c>
      <c r="H3429" s="1" t="str">
        <f t="shared" si="3"/>
        <v>Currently Unavailable</v>
      </c>
      <c r="I3429" s="1" t="str">
        <f t="shared" si="4"/>
        <v>No Badges</v>
      </c>
      <c r="J3429" s="3">
        <f t="shared" si="5"/>
        <v>0</v>
      </c>
    </row>
    <row r="3430">
      <c r="A3430" s="1" t="s">
        <v>2560</v>
      </c>
      <c r="B3430" s="3" t="str">
        <f t="shared" si="1"/>
        <v>Unavailable</v>
      </c>
      <c r="C3430" s="5">
        <v>1211.0</v>
      </c>
      <c r="D3430" s="3">
        <f>IFERROR(__xludf.DUMMYFUNCTION("IFERROR(
IF(REGEXMATCH(LOWER(O3430),""k""),
VALUE(REGEXEXTRACT(O3430,""[0-9]+""))*1000,
VALUE(REGEXEXTRACT(O3430,""[0-9]+""))
),
0
)"),0.0)</f>
        <v>0</v>
      </c>
      <c r="E3430" s="1" t="s">
        <v>11</v>
      </c>
      <c r="F3430" s="1" t="s">
        <v>20</v>
      </c>
      <c r="G3430" s="4" t="b">
        <f t="shared" si="2"/>
        <v>1</v>
      </c>
      <c r="H3430" s="1" t="str">
        <f t="shared" si="3"/>
        <v>Currently Unavailable</v>
      </c>
      <c r="I3430" s="1" t="str">
        <f t="shared" si="4"/>
        <v>No Badges</v>
      </c>
      <c r="J3430" s="3">
        <f t="shared" si="5"/>
        <v>0</v>
      </c>
    </row>
    <row r="3431">
      <c r="A3431" s="1" t="s">
        <v>67</v>
      </c>
      <c r="B3431" s="3" t="str">
        <f t="shared" si="1"/>
        <v>Unavailable</v>
      </c>
      <c r="C3431" s="3">
        <v>264.0</v>
      </c>
      <c r="D3431" s="3">
        <f>IFERROR(__xludf.DUMMYFUNCTION("IFERROR(
IF(REGEXMATCH(LOWER(O3431),""k""),
VALUE(REGEXEXTRACT(O3431,""[0-9]+""))*1000,
VALUE(REGEXEXTRACT(O3431,""[0-9]+""))
),
0
)"),0.0)</f>
        <v>0</v>
      </c>
      <c r="E3431" s="1" t="s">
        <v>11</v>
      </c>
      <c r="F3431" s="1" t="s">
        <v>12</v>
      </c>
      <c r="G3431" s="4" t="b">
        <f t="shared" si="2"/>
        <v>1</v>
      </c>
      <c r="H3431" s="1" t="str">
        <f t="shared" si="3"/>
        <v>Currently Unavailable</v>
      </c>
      <c r="I3431" s="1" t="str">
        <f t="shared" si="4"/>
        <v>No Badges</v>
      </c>
      <c r="J3431" s="3">
        <f t="shared" si="5"/>
        <v>0</v>
      </c>
    </row>
    <row r="3432">
      <c r="A3432" s="1" t="s">
        <v>2561</v>
      </c>
      <c r="B3432" s="3" t="str">
        <f t="shared" si="1"/>
        <v>Unavailable</v>
      </c>
      <c r="C3432" s="3">
        <v>766.0</v>
      </c>
      <c r="D3432" s="3">
        <f>IFERROR(__xludf.DUMMYFUNCTION("IFERROR(
IF(REGEXMATCH(LOWER(O3432),""k""),
VALUE(REGEXEXTRACT(O3432,""[0-9]+""))*1000,
VALUE(REGEXEXTRACT(O3432,""[0-9]+""))
),
0
)"),0.0)</f>
        <v>0</v>
      </c>
      <c r="E3432" s="1" t="s">
        <v>11</v>
      </c>
      <c r="F3432" s="1" t="s">
        <v>20</v>
      </c>
      <c r="G3432" s="4" t="b">
        <f t="shared" si="2"/>
        <v>1</v>
      </c>
      <c r="H3432" s="1" t="str">
        <f t="shared" si="3"/>
        <v>Currently Unavailable</v>
      </c>
      <c r="I3432" s="1" t="str">
        <f t="shared" si="4"/>
        <v>No Badges</v>
      </c>
      <c r="J3432" s="3">
        <f t="shared" si="5"/>
        <v>0</v>
      </c>
    </row>
    <row r="3433">
      <c r="A3433" s="1" t="s">
        <v>701</v>
      </c>
      <c r="B3433" s="3" t="str">
        <f t="shared" si="1"/>
        <v>Unavailable</v>
      </c>
      <c r="C3433" s="3">
        <v>8.0</v>
      </c>
      <c r="D3433" s="3">
        <f>IFERROR(__xludf.DUMMYFUNCTION("IFERROR(
IF(REGEXMATCH(LOWER(O3433),""k""),
VALUE(REGEXEXTRACT(O3433,""[0-9]+""))*1000,
VALUE(REGEXEXTRACT(O3433,""[0-9]+""))
),
0
)"),0.0)</f>
        <v>0</v>
      </c>
      <c r="E3433" s="1" t="s">
        <v>11</v>
      </c>
      <c r="F3433" s="1" t="s">
        <v>12</v>
      </c>
      <c r="G3433" s="4" t="b">
        <f t="shared" si="2"/>
        <v>1</v>
      </c>
      <c r="H3433" s="1" t="str">
        <f t="shared" si="3"/>
        <v>Currently Unavailable</v>
      </c>
      <c r="I3433" s="1" t="str">
        <f t="shared" si="4"/>
        <v>No Badges</v>
      </c>
      <c r="J3433" s="3">
        <f t="shared" si="5"/>
        <v>0</v>
      </c>
    </row>
    <row r="3434">
      <c r="A3434" s="1" t="s">
        <v>2562</v>
      </c>
      <c r="B3434" s="3" t="str">
        <f t="shared" si="1"/>
        <v>Unavailable</v>
      </c>
      <c r="C3434" s="3">
        <v>152.0</v>
      </c>
      <c r="D3434" s="3">
        <f>IFERROR(__xludf.DUMMYFUNCTION("IFERROR(
IF(REGEXMATCH(LOWER(O3434),""k""),
VALUE(REGEXEXTRACT(O3434,""[0-9]+""))*1000,
VALUE(REGEXEXTRACT(O3434,""[0-9]+""))
),
0
)"),0.0)</f>
        <v>0</v>
      </c>
      <c r="E3434" s="1" t="s">
        <v>11</v>
      </c>
      <c r="F3434" s="1" t="s">
        <v>20</v>
      </c>
      <c r="G3434" s="4" t="b">
        <f t="shared" si="2"/>
        <v>1</v>
      </c>
      <c r="H3434" s="1" t="str">
        <f t="shared" si="3"/>
        <v>Currently Unavailable</v>
      </c>
      <c r="I3434" s="1" t="str">
        <f t="shared" si="4"/>
        <v>No Badges</v>
      </c>
      <c r="J3434" s="3">
        <f t="shared" si="5"/>
        <v>0</v>
      </c>
    </row>
    <row r="3435">
      <c r="A3435" s="1" t="s">
        <v>2563</v>
      </c>
      <c r="B3435" s="3" t="str">
        <f t="shared" si="1"/>
        <v>Unavailable</v>
      </c>
      <c r="C3435" s="3">
        <v>306.0</v>
      </c>
      <c r="D3435" s="3">
        <f>IFERROR(__xludf.DUMMYFUNCTION("IFERROR(
IF(REGEXMATCH(LOWER(O3435),""k""),
VALUE(REGEXEXTRACT(O3435,""[0-9]+""))*1000,
VALUE(REGEXEXTRACT(O3435,""[0-9]+""))
),
0
)"),0.0)</f>
        <v>0</v>
      </c>
      <c r="E3435" s="1" t="s">
        <v>11</v>
      </c>
      <c r="F3435" s="1" t="s">
        <v>20</v>
      </c>
      <c r="G3435" s="4" t="b">
        <f t="shared" si="2"/>
        <v>1</v>
      </c>
      <c r="H3435" s="1" t="str">
        <f t="shared" si="3"/>
        <v>Currently Unavailable</v>
      </c>
      <c r="I3435" s="1" t="str">
        <f t="shared" si="4"/>
        <v>No Badges</v>
      </c>
      <c r="J3435" s="3">
        <f t="shared" si="5"/>
        <v>0</v>
      </c>
    </row>
    <row r="3436">
      <c r="A3436" s="1" t="s">
        <v>2564</v>
      </c>
      <c r="B3436" s="3" t="str">
        <f t="shared" si="1"/>
        <v>Unavailable</v>
      </c>
      <c r="C3436" s="3">
        <v>62.0</v>
      </c>
      <c r="D3436" s="3">
        <f>IFERROR(__xludf.DUMMYFUNCTION("IFERROR(
IF(REGEXMATCH(LOWER(O3436),""k""),
VALUE(REGEXEXTRACT(O3436,""[0-9]+""))*1000,
VALUE(REGEXEXTRACT(O3436,""[0-9]+""))
),
0
)"),0.0)</f>
        <v>0</v>
      </c>
      <c r="E3436" s="1" t="s">
        <v>11</v>
      </c>
      <c r="F3436" s="1" t="s">
        <v>20</v>
      </c>
      <c r="G3436" s="4" t="b">
        <f t="shared" si="2"/>
        <v>1</v>
      </c>
      <c r="H3436" s="1" t="str">
        <f t="shared" si="3"/>
        <v>Currently Unavailable</v>
      </c>
      <c r="I3436" s="1" t="str">
        <f t="shared" si="4"/>
        <v>No Badges</v>
      </c>
      <c r="J3436" s="3">
        <f t="shared" si="5"/>
        <v>0</v>
      </c>
    </row>
    <row r="3437">
      <c r="A3437" s="1" t="s">
        <v>2565</v>
      </c>
      <c r="B3437" s="3" t="str">
        <f t="shared" si="1"/>
        <v>Unavailable</v>
      </c>
      <c r="C3437" s="3">
        <v>809.0</v>
      </c>
      <c r="D3437" s="3">
        <f>IFERROR(__xludf.DUMMYFUNCTION("IFERROR(
IF(REGEXMATCH(LOWER(O3437),""k""),
VALUE(REGEXEXTRACT(O3437,""[0-9]+""))*1000,
VALUE(REGEXEXTRACT(O3437,""[0-9]+""))
),
0
)"),0.0)</f>
        <v>0</v>
      </c>
      <c r="E3437" s="1" t="s">
        <v>11</v>
      </c>
      <c r="F3437" s="1" t="s">
        <v>20</v>
      </c>
      <c r="G3437" s="4" t="b">
        <f t="shared" si="2"/>
        <v>1</v>
      </c>
      <c r="H3437" s="1" t="str">
        <f t="shared" si="3"/>
        <v>Currently Unavailable</v>
      </c>
      <c r="I3437" s="1" t="str">
        <f t="shared" si="4"/>
        <v>No Badges</v>
      </c>
      <c r="J3437" s="3">
        <f t="shared" si="5"/>
        <v>0</v>
      </c>
    </row>
    <row r="3438">
      <c r="A3438" s="1" t="s">
        <v>2566</v>
      </c>
      <c r="B3438" s="3" t="str">
        <f t="shared" si="1"/>
        <v>Unavailable</v>
      </c>
      <c r="C3438" s="3">
        <v>439.0</v>
      </c>
      <c r="D3438" s="3">
        <f>IFERROR(__xludf.DUMMYFUNCTION("IFERROR(
IF(REGEXMATCH(LOWER(O3438),""k""),
VALUE(REGEXEXTRACT(O3438,""[0-9]+""))*1000,
VALUE(REGEXEXTRACT(O3438,""[0-9]+""))
),
0
)"),0.0)</f>
        <v>0</v>
      </c>
      <c r="E3438" s="1" t="s">
        <v>11</v>
      </c>
      <c r="F3438" s="1" t="s">
        <v>20</v>
      </c>
      <c r="G3438" s="4" t="b">
        <f t="shared" si="2"/>
        <v>1</v>
      </c>
      <c r="H3438" s="1" t="str">
        <f t="shared" si="3"/>
        <v>Currently Unavailable</v>
      </c>
      <c r="I3438" s="1" t="str">
        <f t="shared" si="4"/>
        <v>No Badges</v>
      </c>
      <c r="J3438" s="3">
        <f t="shared" si="5"/>
        <v>0</v>
      </c>
    </row>
    <row r="3439">
      <c r="A3439" s="1" t="s">
        <v>2567</v>
      </c>
      <c r="B3439" s="3" t="str">
        <f t="shared" si="1"/>
        <v>Unavailable</v>
      </c>
      <c r="C3439" s="5">
        <v>1899.0</v>
      </c>
      <c r="D3439" s="3">
        <f>IFERROR(__xludf.DUMMYFUNCTION("IFERROR(
IF(REGEXMATCH(LOWER(O3439),""k""),
VALUE(REGEXEXTRACT(O3439,""[0-9]+""))*1000,
VALUE(REGEXEXTRACT(O3439,""[0-9]+""))
),
0
)"),0.0)</f>
        <v>0</v>
      </c>
      <c r="E3439" s="1" t="s">
        <v>11</v>
      </c>
      <c r="F3439" s="1" t="s">
        <v>20</v>
      </c>
      <c r="G3439" s="4" t="b">
        <f t="shared" si="2"/>
        <v>1</v>
      </c>
      <c r="H3439" s="1" t="str">
        <f t="shared" si="3"/>
        <v>Currently Unavailable</v>
      </c>
      <c r="I3439" s="1" t="str">
        <f t="shared" si="4"/>
        <v>No Badges</v>
      </c>
      <c r="J3439" s="3">
        <f t="shared" si="5"/>
        <v>0</v>
      </c>
    </row>
    <row r="3440">
      <c r="A3440" s="1" t="s">
        <v>2568</v>
      </c>
      <c r="B3440" s="3" t="str">
        <f t="shared" si="1"/>
        <v>Unavailable</v>
      </c>
      <c r="C3440" s="5">
        <v>2159.0</v>
      </c>
      <c r="D3440" s="3">
        <f>IFERROR(__xludf.DUMMYFUNCTION("IFERROR(
IF(REGEXMATCH(LOWER(O3440),""k""),
VALUE(REGEXEXTRACT(O3440,""[0-9]+""))*1000,
VALUE(REGEXEXTRACT(O3440,""[0-9]+""))
),
0
)"),0.0)</f>
        <v>0</v>
      </c>
      <c r="E3440" s="1" t="s">
        <v>11</v>
      </c>
      <c r="F3440" s="1" t="s">
        <v>20</v>
      </c>
      <c r="G3440" s="4" t="b">
        <f t="shared" si="2"/>
        <v>1</v>
      </c>
      <c r="H3440" s="1" t="str">
        <f t="shared" si="3"/>
        <v>Currently Unavailable</v>
      </c>
      <c r="I3440" s="1" t="str">
        <f t="shared" si="4"/>
        <v>No Badges</v>
      </c>
      <c r="J3440" s="3">
        <f t="shared" si="5"/>
        <v>0</v>
      </c>
    </row>
    <row r="3441">
      <c r="A3441" s="1" t="s">
        <v>2569</v>
      </c>
      <c r="B3441" s="3" t="str">
        <f t="shared" si="1"/>
        <v>Unavailable</v>
      </c>
      <c r="C3441" s="3">
        <v>626.0</v>
      </c>
      <c r="D3441" s="3">
        <f>IFERROR(__xludf.DUMMYFUNCTION("IFERROR(
IF(REGEXMATCH(LOWER(O3441),""k""),
VALUE(REGEXEXTRACT(O3441,""[0-9]+""))*1000,
VALUE(REGEXEXTRACT(O3441,""[0-9]+""))
),
0
)"),0.0)</f>
        <v>0</v>
      </c>
      <c r="E3441" s="1" t="s">
        <v>11</v>
      </c>
      <c r="F3441" s="1" t="s">
        <v>20</v>
      </c>
      <c r="G3441" s="4" t="b">
        <f t="shared" si="2"/>
        <v>1</v>
      </c>
      <c r="H3441" s="1" t="str">
        <f t="shared" si="3"/>
        <v>Currently Unavailable</v>
      </c>
      <c r="I3441" s="1" t="str">
        <f t="shared" si="4"/>
        <v>No Badges</v>
      </c>
      <c r="J3441" s="3">
        <f t="shared" si="5"/>
        <v>0</v>
      </c>
    </row>
    <row r="3442">
      <c r="A3442" s="1" t="s">
        <v>2570</v>
      </c>
      <c r="B3442" s="3" t="str">
        <f t="shared" si="1"/>
        <v>Unavailable</v>
      </c>
      <c r="C3442" s="5">
        <v>1007.0</v>
      </c>
      <c r="D3442" s="3">
        <f>IFERROR(__xludf.DUMMYFUNCTION("IFERROR(
IF(REGEXMATCH(LOWER(O3442),""k""),
VALUE(REGEXEXTRACT(O3442,""[0-9]+""))*1000,
VALUE(REGEXEXTRACT(O3442,""[0-9]+""))
),
0
)"),0.0)</f>
        <v>0</v>
      </c>
      <c r="E3442" s="1" t="s">
        <v>11</v>
      </c>
      <c r="F3442" s="1" t="s">
        <v>20</v>
      </c>
      <c r="G3442" s="4" t="b">
        <f t="shared" si="2"/>
        <v>1</v>
      </c>
      <c r="H3442" s="1" t="str">
        <f t="shared" si="3"/>
        <v>Currently Unavailable</v>
      </c>
      <c r="I3442" s="1" t="str">
        <f t="shared" si="4"/>
        <v>No Badges</v>
      </c>
      <c r="J3442" s="3">
        <f t="shared" si="5"/>
        <v>0</v>
      </c>
    </row>
    <row r="3443">
      <c r="A3443" s="1" t="s">
        <v>2571</v>
      </c>
      <c r="B3443" s="3" t="str">
        <f t="shared" si="1"/>
        <v>Unavailable</v>
      </c>
      <c r="C3443" s="3">
        <v>315.0</v>
      </c>
      <c r="D3443" s="3">
        <f>IFERROR(__xludf.DUMMYFUNCTION("IFERROR(
IF(REGEXMATCH(LOWER(O3443),""k""),
VALUE(REGEXEXTRACT(O3443,""[0-9]+""))*1000,
VALUE(REGEXEXTRACT(O3443,""[0-9]+""))
),
0
)"),0.0)</f>
        <v>0</v>
      </c>
      <c r="E3443" s="1" t="s">
        <v>11</v>
      </c>
      <c r="F3443" s="1" t="s">
        <v>20</v>
      </c>
      <c r="G3443" s="4" t="b">
        <f t="shared" si="2"/>
        <v>1</v>
      </c>
      <c r="H3443" s="1" t="str">
        <f t="shared" si="3"/>
        <v>Currently Unavailable</v>
      </c>
      <c r="I3443" s="1" t="str">
        <f t="shared" si="4"/>
        <v>No Badges</v>
      </c>
      <c r="J3443" s="3">
        <f t="shared" si="5"/>
        <v>0</v>
      </c>
    </row>
    <row r="3444">
      <c r="A3444" s="1" t="s">
        <v>2572</v>
      </c>
      <c r="B3444" s="3" t="str">
        <f t="shared" si="1"/>
        <v>Unavailable</v>
      </c>
      <c r="C3444" s="3">
        <v>139.0</v>
      </c>
      <c r="D3444" s="3">
        <f>IFERROR(__xludf.DUMMYFUNCTION("IFERROR(
IF(REGEXMATCH(LOWER(O3444),""k""),
VALUE(REGEXEXTRACT(O3444,""[0-9]+""))*1000,
VALUE(REGEXEXTRACT(O3444,""[0-9]+""))
),
0
)"),0.0)</f>
        <v>0</v>
      </c>
      <c r="E3444" s="1" t="s">
        <v>11</v>
      </c>
      <c r="F3444" s="1" t="s">
        <v>20</v>
      </c>
      <c r="G3444" s="4" t="b">
        <f t="shared" si="2"/>
        <v>1</v>
      </c>
      <c r="H3444" s="1" t="str">
        <f t="shared" si="3"/>
        <v>Currently Unavailable</v>
      </c>
      <c r="I3444" s="1" t="str">
        <f t="shared" si="4"/>
        <v>No Badges</v>
      </c>
      <c r="J3444" s="3">
        <f t="shared" si="5"/>
        <v>0</v>
      </c>
    </row>
    <row r="3445">
      <c r="A3445" s="1" t="s">
        <v>2573</v>
      </c>
      <c r="B3445" s="3" t="str">
        <f t="shared" si="1"/>
        <v>Unavailable</v>
      </c>
      <c r="C3445" s="3">
        <v>15.0</v>
      </c>
      <c r="D3445" s="3">
        <f>IFERROR(__xludf.DUMMYFUNCTION("IFERROR(
IF(REGEXMATCH(LOWER(O3445),""k""),
VALUE(REGEXEXTRACT(O3445,""[0-9]+""))*1000,
VALUE(REGEXEXTRACT(O3445,""[0-9]+""))
),
0
)"),0.0)</f>
        <v>0</v>
      </c>
      <c r="E3445" s="1" t="s">
        <v>11</v>
      </c>
      <c r="F3445" s="1" t="s">
        <v>20</v>
      </c>
      <c r="G3445" s="4" t="b">
        <f t="shared" si="2"/>
        <v>1</v>
      </c>
      <c r="H3445" s="1" t="str">
        <f t="shared" si="3"/>
        <v>Currently Unavailable</v>
      </c>
      <c r="I3445" s="1" t="str">
        <f t="shared" si="4"/>
        <v>No Badges</v>
      </c>
      <c r="J3445" s="3">
        <f t="shared" si="5"/>
        <v>0</v>
      </c>
    </row>
    <row r="3446">
      <c r="A3446" s="1" t="s">
        <v>2574</v>
      </c>
      <c r="B3446" s="3" t="str">
        <f t="shared" si="1"/>
        <v>Unavailable</v>
      </c>
      <c r="C3446" s="3">
        <v>648.0</v>
      </c>
      <c r="D3446" s="3">
        <f>IFERROR(__xludf.DUMMYFUNCTION("IFERROR(
IF(REGEXMATCH(LOWER(O3446),""k""),
VALUE(REGEXEXTRACT(O3446,""[0-9]+""))*1000,
VALUE(REGEXEXTRACT(O3446,""[0-9]+""))
),
0
)"),0.0)</f>
        <v>0</v>
      </c>
      <c r="E3446" s="1" t="s">
        <v>11</v>
      </c>
      <c r="F3446" s="1" t="s">
        <v>20</v>
      </c>
      <c r="G3446" s="4" t="b">
        <f t="shared" si="2"/>
        <v>1</v>
      </c>
      <c r="H3446" s="1" t="str">
        <f t="shared" si="3"/>
        <v>Currently Unavailable</v>
      </c>
      <c r="I3446" s="1" t="str">
        <f t="shared" si="4"/>
        <v>No Badges</v>
      </c>
      <c r="J3446" s="3">
        <f t="shared" si="5"/>
        <v>0</v>
      </c>
    </row>
    <row r="3447">
      <c r="A3447" s="1" t="s">
        <v>2575</v>
      </c>
      <c r="B3447" s="3" t="str">
        <f t="shared" si="1"/>
        <v>Unavailable</v>
      </c>
      <c r="C3447" s="3">
        <v>153.0</v>
      </c>
      <c r="D3447" s="3">
        <f>IFERROR(__xludf.DUMMYFUNCTION("IFERROR(
IF(REGEXMATCH(LOWER(O3447),""k""),
VALUE(REGEXEXTRACT(O3447,""[0-9]+""))*1000,
VALUE(REGEXEXTRACT(O3447,""[0-9]+""))
),
0
)"),0.0)</f>
        <v>0</v>
      </c>
      <c r="E3447" s="1" t="s">
        <v>11</v>
      </c>
      <c r="F3447" s="1" t="s">
        <v>20</v>
      </c>
      <c r="G3447" s="4" t="b">
        <f t="shared" si="2"/>
        <v>1</v>
      </c>
      <c r="H3447" s="1" t="str">
        <f t="shared" si="3"/>
        <v>Currently Unavailable</v>
      </c>
      <c r="I3447" s="1" t="str">
        <f t="shared" si="4"/>
        <v>No Badges</v>
      </c>
      <c r="J3447" s="3">
        <f t="shared" si="5"/>
        <v>0</v>
      </c>
    </row>
    <row r="3448">
      <c r="A3448" s="1" t="s">
        <v>2576</v>
      </c>
      <c r="B3448" s="3" t="str">
        <f t="shared" si="1"/>
        <v>Unavailable</v>
      </c>
      <c r="C3448" s="5">
        <v>3235.0</v>
      </c>
      <c r="D3448" s="3">
        <f>IFERROR(__xludf.DUMMYFUNCTION("IFERROR(
IF(REGEXMATCH(LOWER(O3448),""k""),
VALUE(REGEXEXTRACT(O3448,""[0-9]+""))*1000,
VALUE(REGEXEXTRACT(O3448,""[0-9]+""))
),
0
)"),0.0)</f>
        <v>0</v>
      </c>
      <c r="E3448" s="1" t="s">
        <v>11</v>
      </c>
      <c r="F3448" s="1" t="s">
        <v>20</v>
      </c>
      <c r="G3448" s="4" t="b">
        <f t="shared" si="2"/>
        <v>1</v>
      </c>
      <c r="H3448" s="1" t="str">
        <f t="shared" si="3"/>
        <v>Currently Unavailable</v>
      </c>
      <c r="I3448" s="1" t="str">
        <f t="shared" si="4"/>
        <v>No Badges</v>
      </c>
      <c r="J3448" s="3">
        <f t="shared" si="5"/>
        <v>0</v>
      </c>
    </row>
    <row r="3449">
      <c r="A3449" s="1" t="s">
        <v>2577</v>
      </c>
      <c r="B3449" s="3" t="str">
        <f t="shared" si="1"/>
        <v>Unavailable</v>
      </c>
      <c r="C3449" s="3">
        <v>42.0</v>
      </c>
      <c r="D3449" s="3">
        <f>IFERROR(__xludf.DUMMYFUNCTION("IFERROR(
IF(REGEXMATCH(LOWER(O3449),""k""),
VALUE(REGEXEXTRACT(O3449,""[0-9]+""))*1000,
VALUE(REGEXEXTRACT(O3449,""[0-9]+""))
),
0
)"),0.0)</f>
        <v>0</v>
      </c>
      <c r="E3449" s="1" t="s">
        <v>11</v>
      </c>
      <c r="F3449" s="1" t="s">
        <v>20</v>
      </c>
      <c r="G3449" s="4" t="b">
        <f t="shared" si="2"/>
        <v>1</v>
      </c>
      <c r="H3449" s="1" t="str">
        <f t="shared" si="3"/>
        <v>Currently Unavailable</v>
      </c>
      <c r="I3449" s="1" t="str">
        <f t="shared" si="4"/>
        <v>No Badges</v>
      </c>
      <c r="J3449" s="3">
        <f t="shared" si="5"/>
        <v>0</v>
      </c>
    </row>
    <row r="3450">
      <c r="A3450" s="1" t="s">
        <v>2578</v>
      </c>
      <c r="B3450" s="3" t="str">
        <f t="shared" si="1"/>
        <v>Unavailable</v>
      </c>
      <c r="C3450" s="3">
        <v>61.0</v>
      </c>
      <c r="D3450" s="3">
        <f>IFERROR(__xludf.DUMMYFUNCTION("IFERROR(
IF(REGEXMATCH(LOWER(O3450),""k""),
VALUE(REGEXEXTRACT(O3450,""[0-9]+""))*1000,
VALUE(REGEXEXTRACT(O3450,""[0-9]+""))
),
0
)"),0.0)</f>
        <v>0</v>
      </c>
      <c r="E3450" s="1" t="s">
        <v>11</v>
      </c>
      <c r="F3450" s="1" t="s">
        <v>20</v>
      </c>
      <c r="G3450" s="4" t="b">
        <f t="shared" si="2"/>
        <v>1</v>
      </c>
      <c r="H3450" s="1" t="str">
        <f t="shared" si="3"/>
        <v>Currently Unavailable</v>
      </c>
      <c r="I3450" s="1" t="str">
        <f t="shared" si="4"/>
        <v>No Badges</v>
      </c>
      <c r="J3450" s="3">
        <f t="shared" si="5"/>
        <v>0</v>
      </c>
    </row>
    <row r="3451">
      <c r="A3451" s="1" t="s">
        <v>604</v>
      </c>
      <c r="B3451" s="3" t="str">
        <f t="shared" si="1"/>
        <v>Unavailable</v>
      </c>
      <c r="C3451" s="3">
        <v>30.0</v>
      </c>
      <c r="D3451" s="3">
        <f>IFERROR(__xludf.DUMMYFUNCTION("IFERROR(
IF(REGEXMATCH(LOWER(O3451),""k""),
VALUE(REGEXEXTRACT(O3451,""[0-9]+""))*1000,
VALUE(REGEXEXTRACT(O3451,""[0-9]+""))
),
0
)"),0.0)</f>
        <v>0</v>
      </c>
      <c r="E3451" s="1" t="s">
        <v>11</v>
      </c>
      <c r="F3451" s="1" t="s">
        <v>12</v>
      </c>
      <c r="G3451" s="4" t="b">
        <f t="shared" si="2"/>
        <v>1</v>
      </c>
      <c r="H3451" s="1" t="str">
        <f t="shared" si="3"/>
        <v>Currently Unavailable</v>
      </c>
      <c r="I3451" s="1" t="str">
        <f t="shared" si="4"/>
        <v>No Badges</v>
      </c>
      <c r="J3451" s="3">
        <f t="shared" si="5"/>
        <v>0</v>
      </c>
    </row>
    <row r="3452">
      <c r="A3452" s="1" t="s">
        <v>2579</v>
      </c>
      <c r="B3452" s="3" t="str">
        <f t="shared" si="1"/>
        <v>Unavailable</v>
      </c>
      <c r="C3452" s="3">
        <v>24.0</v>
      </c>
      <c r="D3452" s="3">
        <f>IFERROR(__xludf.DUMMYFUNCTION("IFERROR(
IF(REGEXMATCH(LOWER(O3452),""k""),
VALUE(REGEXEXTRACT(O3452,""[0-9]+""))*1000,
VALUE(REGEXEXTRACT(O3452,""[0-9]+""))
),
0
)"),0.0)</f>
        <v>0</v>
      </c>
      <c r="E3452" s="1" t="s">
        <v>11</v>
      </c>
      <c r="F3452" s="1" t="s">
        <v>20</v>
      </c>
      <c r="G3452" s="4" t="b">
        <f t="shared" si="2"/>
        <v>1</v>
      </c>
      <c r="H3452" s="1" t="str">
        <f t="shared" si="3"/>
        <v>Currently Unavailable</v>
      </c>
      <c r="I3452" s="1" t="str">
        <f t="shared" si="4"/>
        <v>No Badges</v>
      </c>
      <c r="J3452" s="3">
        <f t="shared" si="5"/>
        <v>0</v>
      </c>
    </row>
    <row r="3453">
      <c r="A3453" s="1" t="s">
        <v>2580</v>
      </c>
      <c r="B3453" s="3" t="str">
        <f t="shared" si="1"/>
        <v>Unavailable</v>
      </c>
      <c r="C3453" s="5">
        <v>1077.0</v>
      </c>
      <c r="D3453" s="3">
        <f>IFERROR(__xludf.DUMMYFUNCTION("IFERROR(
IF(REGEXMATCH(LOWER(O3453),""k""),
VALUE(REGEXEXTRACT(O3453,""[0-9]+""))*1000,
VALUE(REGEXEXTRACT(O3453,""[0-9]+""))
),
0
)"),0.0)</f>
        <v>0</v>
      </c>
      <c r="E3453" s="1" t="s">
        <v>11</v>
      </c>
      <c r="F3453" s="1" t="s">
        <v>20</v>
      </c>
      <c r="G3453" s="4" t="b">
        <f t="shared" si="2"/>
        <v>1</v>
      </c>
      <c r="H3453" s="1" t="str">
        <f t="shared" si="3"/>
        <v>Currently Unavailable</v>
      </c>
      <c r="I3453" s="1" t="str">
        <f t="shared" si="4"/>
        <v>No Badges</v>
      </c>
      <c r="J3453" s="3">
        <f t="shared" si="5"/>
        <v>0</v>
      </c>
    </row>
    <row r="3454">
      <c r="A3454" s="1" t="s">
        <v>2581</v>
      </c>
      <c r="B3454" s="3" t="str">
        <f t="shared" si="1"/>
        <v>Unavailable</v>
      </c>
      <c r="C3454" s="3">
        <v>90.0</v>
      </c>
      <c r="D3454" s="3">
        <f>IFERROR(__xludf.DUMMYFUNCTION("IFERROR(
IF(REGEXMATCH(LOWER(O3454),""k""),
VALUE(REGEXEXTRACT(O3454,""[0-9]+""))*1000,
VALUE(REGEXEXTRACT(O3454,""[0-9]+""))
),
0
)"),0.0)</f>
        <v>0</v>
      </c>
      <c r="E3454" s="1" t="s">
        <v>11</v>
      </c>
      <c r="F3454" s="1" t="s">
        <v>20</v>
      </c>
      <c r="G3454" s="4" t="b">
        <f t="shared" si="2"/>
        <v>1</v>
      </c>
      <c r="H3454" s="1" t="str">
        <f t="shared" si="3"/>
        <v>Currently Unavailable</v>
      </c>
      <c r="I3454" s="1" t="str">
        <f t="shared" si="4"/>
        <v>No Badges</v>
      </c>
      <c r="J3454" s="3">
        <f t="shared" si="5"/>
        <v>0</v>
      </c>
    </row>
    <row r="3455">
      <c r="A3455" s="1" t="s">
        <v>2582</v>
      </c>
      <c r="B3455" s="3" t="str">
        <f t="shared" si="1"/>
        <v>Unavailable</v>
      </c>
      <c r="C3455" s="5">
        <v>3038.0</v>
      </c>
      <c r="D3455" s="3">
        <f>IFERROR(__xludf.DUMMYFUNCTION("IFERROR(
IF(REGEXMATCH(LOWER(O3455),""k""),
VALUE(REGEXEXTRACT(O3455,""[0-9]+""))*1000,
VALUE(REGEXEXTRACT(O3455,""[0-9]+""))
),
0
)"),0.0)</f>
        <v>0</v>
      </c>
      <c r="E3455" s="1" t="s">
        <v>11</v>
      </c>
      <c r="F3455" s="1" t="s">
        <v>20</v>
      </c>
      <c r="G3455" s="4" t="b">
        <f t="shared" si="2"/>
        <v>1</v>
      </c>
      <c r="H3455" s="1" t="str">
        <f t="shared" si="3"/>
        <v>Currently Unavailable</v>
      </c>
      <c r="I3455" s="1" t="str">
        <f t="shared" si="4"/>
        <v>No Badges</v>
      </c>
      <c r="J3455" s="3">
        <f t="shared" si="5"/>
        <v>0</v>
      </c>
    </row>
    <row r="3456">
      <c r="A3456" s="1" t="s">
        <v>2583</v>
      </c>
      <c r="B3456" s="3" t="str">
        <f t="shared" si="1"/>
        <v>Unavailable</v>
      </c>
      <c r="C3456" s="3">
        <v>177.0</v>
      </c>
      <c r="D3456" s="3">
        <f>IFERROR(__xludf.DUMMYFUNCTION("IFERROR(
IF(REGEXMATCH(LOWER(O3456),""k""),
VALUE(REGEXEXTRACT(O3456,""[0-9]+""))*1000,
VALUE(REGEXEXTRACT(O3456,""[0-9]+""))
),
0
)"),0.0)</f>
        <v>0</v>
      </c>
      <c r="E3456" s="1" t="s">
        <v>11</v>
      </c>
      <c r="F3456" s="1" t="s">
        <v>20</v>
      </c>
      <c r="G3456" s="4" t="b">
        <f t="shared" si="2"/>
        <v>1</v>
      </c>
      <c r="H3456" s="1" t="str">
        <f t="shared" si="3"/>
        <v>Currently Unavailable</v>
      </c>
      <c r="I3456" s="1" t="str">
        <f t="shared" si="4"/>
        <v>No Badges</v>
      </c>
      <c r="J3456" s="3">
        <f t="shared" si="5"/>
        <v>0</v>
      </c>
    </row>
    <row r="3457">
      <c r="A3457" s="1" t="s">
        <v>2584</v>
      </c>
      <c r="B3457" s="3" t="str">
        <f t="shared" si="1"/>
        <v>Unavailable</v>
      </c>
      <c r="C3457" s="5">
        <v>1344.0</v>
      </c>
      <c r="D3457" s="3">
        <f>IFERROR(__xludf.DUMMYFUNCTION("IFERROR(
IF(REGEXMATCH(LOWER(O3457),""k""),
VALUE(REGEXEXTRACT(O3457,""[0-9]+""))*1000,
VALUE(REGEXEXTRACT(O3457,""[0-9]+""))
),
0
)"),0.0)</f>
        <v>0</v>
      </c>
      <c r="E3457" s="1" t="s">
        <v>11</v>
      </c>
      <c r="F3457" s="1" t="s">
        <v>20</v>
      </c>
      <c r="G3457" s="4" t="b">
        <f t="shared" si="2"/>
        <v>1</v>
      </c>
      <c r="H3457" s="1" t="str">
        <f t="shared" si="3"/>
        <v>Currently Unavailable</v>
      </c>
      <c r="I3457" s="1" t="str">
        <f t="shared" si="4"/>
        <v>No Badges</v>
      </c>
      <c r="J3457" s="3">
        <f t="shared" si="5"/>
        <v>0</v>
      </c>
    </row>
    <row r="3458">
      <c r="A3458" s="1" t="s">
        <v>2352</v>
      </c>
      <c r="B3458" s="3" t="str">
        <f t="shared" si="1"/>
        <v>Unavailable</v>
      </c>
      <c r="C3458" s="3">
        <v>196.0</v>
      </c>
      <c r="D3458" s="3">
        <f>IFERROR(__xludf.DUMMYFUNCTION("IFERROR(
IF(REGEXMATCH(LOWER(O3458),""k""),
VALUE(REGEXEXTRACT(O3458,""[0-9]+""))*1000,
VALUE(REGEXEXTRACT(O3458,""[0-9]+""))
),
0
)"),0.0)</f>
        <v>0</v>
      </c>
      <c r="E3458" s="1" t="s">
        <v>11</v>
      </c>
      <c r="F3458" s="1" t="s">
        <v>12</v>
      </c>
      <c r="G3458" s="4" t="b">
        <f t="shared" si="2"/>
        <v>1</v>
      </c>
      <c r="H3458" s="1" t="str">
        <f t="shared" si="3"/>
        <v>Currently Unavailable</v>
      </c>
      <c r="I3458" s="1" t="str">
        <f t="shared" si="4"/>
        <v>No Badges</v>
      </c>
      <c r="J3458" s="3">
        <f t="shared" si="5"/>
        <v>0</v>
      </c>
    </row>
    <row r="3459">
      <c r="A3459" s="1" t="s">
        <v>2585</v>
      </c>
      <c r="B3459" s="3" t="str">
        <f t="shared" si="1"/>
        <v>Unavailable</v>
      </c>
      <c r="C3459" s="3">
        <v>264.0</v>
      </c>
      <c r="D3459" s="3">
        <f>IFERROR(__xludf.DUMMYFUNCTION("IFERROR(
IF(REGEXMATCH(LOWER(O3459),""k""),
VALUE(REGEXEXTRACT(O3459,""[0-9]+""))*1000,
VALUE(REGEXEXTRACT(O3459,""[0-9]+""))
),
0
)"),0.0)</f>
        <v>0</v>
      </c>
      <c r="E3459" s="1" t="s">
        <v>11</v>
      </c>
      <c r="F3459" s="1" t="s">
        <v>20</v>
      </c>
      <c r="G3459" s="4" t="b">
        <f t="shared" si="2"/>
        <v>1</v>
      </c>
      <c r="H3459" s="1" t="str">
        <f t="shared" si="3"/>
        <v>Currently Unavailable</v>
      </c>
      <c r="I3459" s="1" t="str">
        <f t="shared" si="4"/>
        <v>No Badges</v>
      </c>
      <c r="J3459" s="3">
        <f t="shared" si="5"/>
        <v>0</v>
      </c>
    </row>
    <row r="3460">
      <c r="A3460" s="1" t="s">
        <v>2586</v>
      </c>
      <c r="B3460" s="3" t="str">
        <f t="shared" si="1"/>
        <v>Unavailable</v>
      </c>
      <c r="C3460" s="3">
        <v>83.0</v>
      </c>
      <c r="D3460" s="3">
        <f>IFERROR(__xludf.DUMMYFUNCTION("IFERROR(
IF(REGEXMATCH(LOWER(O3460),""k""),
VALUE(REGEXEXTRACT(O3460,""[0-9]+""))*1000,
VALUE(REGEXEXTRACT(O3460,""[0-9]+""))
),
0
)"),0.0)</f>
        <v>0</v>
      </c>
      <c r="E3460" s="1" t="s">
        <v>11</v>
      </c>
      <c r="F3460" s="1" t="s">
        <v>20</v>
      </c>
      <c r="G3460" s="4" t="b">
        <f t="shared" si="2"/>
        <v>1</v>
      </c>
      <c r="H3460" s="1" t="str">
        <f t="shared" si="3"/>
        <v>Currently Unavailable</v>
      </c>
      <c r="I3460" s="1" t="str">
        <f t="shared" si="4"/>
        <v>No Badges</v>
      </c>
      <c r="J3460" s="3">
        <f t="shared" si="5"/>
        <v>0</v>
      </c>
    </row>
    <row r="3461">
      <c r="A3461" s="1" t="s">
        <v>2587</v>
      </c>
      <c r="B3461" s="3" t="str">
        <f t="shared" si="1"/>
        <v>Unavailable</v>
      </c>
      <c r="C3461" s="3">
        <v>549.0</v>
      </c>
      <c r="D3461" s="3">
        <f>IFERROR(__xludf.DUMMYFUNCTION("IFERROR(
IF(REGEXMATCH(LOWER(O3461),""k""),
VALUE(REGEXEXTRACT(O3461,""[0-9]+""))*1000,
VALUE(REGEXEXTRACT(O3461,""[0-9]+""))
),
0
)"),0.0)</f>
        <v>0</v>
      </c>
      <c r="E3461" s="1" t="s">
        <v>11</v>
      </c>
      <c r="F3461" s="1" t="s">
        <v>20</v>
      </c>
      <c r="G3461" s="4" t="b">
        <f t="shared" si="2"/>
        <v>1</v>
      </c>
      <c r="H3461" s="1" t="str">
        <f t="shared" si="3"/>
        <v>Currently Unavailable</v>
      </c>
      <c r="I3461" s="1" t="str">
        <f t="shared" si="4"/>
        <v>No Badges</v>
      </c>
      <c r="J3461" s="3">
        <f t="shared" si="5"/>
        <v>0</v>
      </c>
    </row>
    <row r="3462">
      <c r="A3462" s="1" t="s">
        <v>2588</v>
      </c>
      <c r="B3462" s="3" t="str">
        <f t="shared" si="1"/>
        <v>Unavailable</v>
      </c>
      <c r="C3462" s="3">
        <v>139.0</v>
      </c>
      <c r="D3462" s="3">
        <f>IFERROR(__xludf.DUMMYFUNCTION("IFERROR(
IF(REGEXMATCH(LOWER(O3462),""k""),
VALUE(REGEXEXTRACT(O3462,""[0-9]+""))*1000,
VALUE(REGEXEXTRACT(O3462,""[0-9]+""))
),
0
)"),0.0)</f>
        <v>0</v>
      </c>
      <c r="E3462" s="1" t="s">
        <v>11</v>
      </c>
      <c r="F3462" s="1" t="s">
        <v>20</v>
      </c>
      <c r="G3462" s="4" t="b">
        <f t="shared" si="2"/>
        <v>1</v>
      </c>
      <c r="H3462" s="1" t="str">
        <f t="shared" si="3"/>
        <v>Currently Unavailable</v>
      </c>
      <c r="I3462" s="1" t="str">
        <f t="shared" si="4"/>
        <v>No Badges</v>
      </c>
      <c r="J3462" s="3">
        <f t="shared" si="5"/>
        <v>0</v>
      </c>
    </row>
    <row r="3463">
      <c r="A3463" s="1" t="s">
        <v>2589</v>
      </c>
      <c r="B3463" s="3" t="str">
        <f t="shared" si="1"/>
        <v>Unavailable</v>
      </c>
      <c r="C3463" s="5">
        <v>2456.0</v>
      </c>
      <c r="D3463" s="3">
        <f>IFERROR(__xludf.DUMMYFUNCTION("IFERROR(
IF(REGEXMATCH(LOWER(O3463),""k""),
VALUE(REGEXEXTRACT(O3463,""[0-9]+""))*1000,
VALUE(REGEXEXTRACT(O3463,""[0-9]+""))
),
0
)"),0.0)</f>
        <v>0</v>
      </c>
      <c r="E3463" s="1" t="s">
        <v>11</v>
      </c>
      <c r="F3463" s="1" t="s">
        <v>20</v>
      </c>
      <c r="G3463" s="4" t="b">
        <f t="shared" si="2"/>
        <v>1</v>
      </c>
      <c r="H3463" s="1" t="str">
        <f t="shared" si="3"/>
        <v>Currently Unavailable</v>
      </c>
      <c r="I3463" s="1" t="str">
        <f t="shared" si="4"/>
        <v>No Badges</v>
      </c>
      <c r="J3463" s="3">
        <f t="shared" si="5"/>
        <v>0</v>
      </c>
    </row>
    <row r="3464">
      <c r="A3464" s="1" t="s">
        <v>2590</v>
      </c>
      <c r="B3464" s="3" t="str">
        <f t="shared" si="1"/>
        <v>Unavailable</v>
      </c>
      <c r="C3464" s="3">
        <v>15.0</v>
      </c>
      <c r="D3464" s="3">
        <f>IFERROR(__xludf.DUMMYFUNCTION("IFERROR(
IF(REGEXMATCH(LOWER(O3464),""k""),
VALUE(REGEXEXTRACT(O3464,""[0-9]+""))*1000,
VALUE(REGEXEXTRACT(O3464,""[0-9]+""))
),
0
)"),0.0)</f>
        <v>0</v>
      </c>
      <c r="E3464" s="1" t="s">
        <v>11</v>
      </c>
      <c r="F3464" s="1" t="s">
        <v>20</v>
      </c>
      <c r="G3464" s="4" t="b">
        <f t="shared" si="2"/>
        <v>1</v>
      </c>
      <c r="H3464" s="1" t="str">
        <f t="shared" si="3"/>
        <v>Currently Unavailable</v>
      </c>
      <c r="I3464" s="1" t="str">
        <f t="shared" si="4"/>
        <v>No Badges</v>
      </c>
      <c r="J3464" s="3">
        <f t="shared" si="5"/>
        <v>0</v>
      </c>
    </row>
    <row r="3465">
      <c r="A3465" s="1" t="s">
        <v>88</v>
      </c>
      <c r="B3465" s="3" t="str">
        <f t="shared" si="1"/>
        <v>Unavailable</v>
      </c>
      <c r="C3465" s="3">
        <v>5.0</v>
      </c>
      <c r="D3465" s="3">
        <f>IFERROR(__xludf.DUMMYFUNCTION("IFERROR(
IF(REGEXMATCH(LOWER(O3465),""k""),
VALUE(REGEXEXTRACT(O3465,""[0-9]+""))*1000,
VALUE(REGEXEXTRACT(O3465,""[0-9]+""))
),
0
)"),0.0)</f>
        <v>0</v>
      </c>
      <c r="E3465" s="1" t="s">
        <v>11</v>
      </c>
      <c r="F3465" s="1" t="s">
        <v>12</v>
      </c>
      <c r="G3465" s="4" t="b">
        <f t="shared" si="2"/>
        <v>1</v>
      </c>
      <c r="H3465" s="1" t="str">
        <f t="shared" si="3"/>
        <v>Currently Unavailable</v>
      </c>
      <c r="I3465" s="1" t="str">
        <f t="shared" si="4"/>
        <v>No Badges</v>
      </c>
      <c r="J3465" s="3">
        <f t="shared" si="5"/>
        <v>0</v>
      </c>
    </row>
    <row r="3466">
      <c r="A3466" s="1" t="s">
        <v>69</v>
      </c>
      <c r="B3466" s="3" t="str">
        <f t="shared" si="1"/>
        <v>Unavailable</v>
      </c>
      <c r="C3466" s="3">
        <v>45.0</v>
      </c>
      <c r="D3466" s="3">
        <f>IFERROR(__xludf.DUMMYFUNCTION("IFERROR(
IF(REGEXMATCH(LOWER(O3466),""k""),
VALUE(REGEXEXTRACT(O3466,""[0-9]+""))*1000,
VALUE(REGEXEXTRACT(O3466,""[0-9]+""))
),
0
)"),0.0)</f>
        <v>0</v>
      </c>
      <c r="E3466" s="1" t="s">
        <v>11</v>
      </c>
      <c r="F3466" s="1" t="s">
        <v>12</v>
      </c>
      <c r="G3466" s="4" t="b">
        <f t="shared" si="2"/>
        <v>1</v>
      </c>
      <c r="H3466" s="1" t="str">
        <f t="shared" si="3"/>
        <v>Currently Unavailable</v>
      </c>
      <c r="I3466" s="1" t="str">
        <f t="shared" si="4"/>
        <v>No Badges</v>
      </c>
      <c r="J3466" s="3">
        <f t="shared" si="5"/>
        <v>0</v>
      </c>
    </row>
    <row r="3467">
      <c r="A3467" s="1" t="s">
        <v>2591</v>
      </c>
      <c r="B3467" s="3" t="str">
        <f t="shared" si="1"/>
        <v>Unavailable</v>
      </c>
      <c r="C3467" s="5">
        <v>18465.0</v>
      </c>
      <c r="D3467" s="3">
        <f>IFERROR(__xludf.DUMMYFUNCTION("IFERROR(
IF(REGEXMATCH(LOWER(O3467),""k""),
VALUE(REGEXEXTRACT(O3467,""[0-9]+""))*1000,
VALUE(REGEXEXTRACT(O3467,""[0-9]+""))
),
0
)"),0.0)</f>
        <v>0</v>
      </c>
      <c r="E3467" s="1" t="s">
        <v>11</v>
      </c>
      <c r="F3467" s="1" t="s">
        <v>20</v>
      </c>
      <c r="G3467" s="4" t="b">
        <f t="shared" si="2"/>
        <v>1</v>
      </c>
      <c r="H3467" s="1" t="str">
        <f t="shared" si="3"/>
        <v>Currently Unavailable</v>
      </c>
      <c r="I3467" s="1" t="str">
        <f t="shared" si="4"/>
        <v>No Badges</v>
      </c>
      <c r="J3467" s="3">
        <f t="shared" si="5"/>
        <v>0</v>
      </c>
    </row>
    <row r="3468">
      <c r="A3468" s="1" t="s">
        <v>2592</v>
      </c>
      <c r="B3468" s="3" t="str">
        <f t="shared" si="1"/>
        <v>Unavailable</v>
      </c>
      <c r="C3468" s="5">
        <v>2795.0</v>
      </c>
      <c r="D3468" s="3">
        <f>IFERROR(__xludf.DUMMYFUNCTION("IFERROR(
IF(REGEXMATCH(LOWER(O3468),""k""),
VALUE(REGEXEXTRACT(O3468,""[0-9]+""))*1000,
VALUE(REGEXEXTRACT(O3468,""[0-9]+""))
),
0
)"),0.0)</f>
        <v>0</v>
      </c>
      <c r="E3468" s="1" t="s">
        <v>11</v>
      </c>
      <c r="F3468" s="1" t="s">
        <v>20</v>
      </c>
      <c r="G3468" s="4" t="b">
        <f t="shared" si="2"/>
        <v>1</v>
      </c>
      <c r="H3468" s="1" t="str">
        <f t="shared" si="3"/>
        <v>Currently Unavailable</v>
      </c>
      <c r="I3468" s="1" t="str">
        <f t="shared" si="4"/>
        <v>No Badges</v>
      </c>
      <c r="J3468" s="3">
        <f t="shared" si="5"/>
        <v>0</v>
      </c>
    </row>
    <row r="3469">
      <c r="A3469" s="1" t="s">
        <v>2593</v>
      </c>
      <c r="B3469" s="3" t="str">
        <f t="shared" si="1"/>
        <v>Unavailable</v>
      </c>
      <c r="C3469" s="3">
        <v>391.0</v>
      </c>
      <c r="D3469" s="3">
        <f>IFERROR(__xludf.DUMMYFUNCTION("IFERROR(
IF(REGEXMATCH(LOWER(O3469),""k""),
VALUE(REGEXEXTRACT(O3469,""[0-9]+""))*1000,
VALUE(REGEXEXTRACT(O3469,""[0-9]+""))
),
0
)"),0.0)</f>
        <v>0</v>
      </c>
      <c r="E3469" s="1" t="s">
        <v>11</v>
      </c>
      <c r="F3469" s="1" t="s">
        <v>20</v>
      </c>
      <c r="G3469" s="4" t="b">
        <f t="shared" si="2"/>
        <v>1</v>
      </c>
      <c r="H3469" s="1" t="str">
        <f t="shared" si="3"/>
        <v>Currently Unavailable</v>
      </c>
      <c r="I3469" s="1" t="str">
        <f t="shared" si="4"/>
        <v>No Badges</v>
      </c>
      <c r="J3469" s="3">
        <f t="shared" si="5"/>
        <v>0</v>
      </c>
    </row>
    <row r="3470">
      <c r="A3470" s="1" t="s">
        <v>2594</v>
      </c>
      <c r="B3470" s="3" t="str">
        <f t="shared" si="1"/>
        <v>Unavailable</v>
      </c>
      <c r="C3470" s="3">
        <v>491.0</v>
      </c>
      <c r="D3470" s="3">
        <f>IFERROR(__xludf.DUMMYFUNCTION("IFERROR(
IF(REGEXMATCH(LOWER(O3470),""k""),
VALUE(REGEXEXTRACT(O3470,""[0-9]+""))*1000,
VALUE(REGEXEXTRACT(O3470,""[0-9]+""))
),
0
)"),0.0)</f>
        <v>0</v>
      </c>
      <c r="E3470" s="1" t="s">
        <v>11</v>
      </c>
      <c r="F3470" s="1" t="s">
        <v>20</v>
      </c>
      <c r="G3470" s="4" t="b">
        <f t="shared" si="2"/>
        <v>1</v>
      </c>
      <c r="H3470" s="1" t="str">
        <f t="shared" si="3"/>
        <v>Currently Unavailable</v>
      </c>
      <c r="I3470" s="1" t="str">
        <f t="shared" si="4"/>
        <v>No Badges</v>
      </c>
      <c r="J3470" s="3">
        <f t="shared" si="5"/>
        <v>0</v>
      </c>
    </row>
    <row r="3471">
      <c r="A3471" s="1" t="s">
        <v>2595</v>
      </c>
      <c r="B3471" s="3" t="str">
        <f t="shared" si="1"/>
        <v>Unavailable</v>
      </c>
      <c r="C3471" s="3">
        <v>73.0</v>
      </c>
      <c r="D3471" s="3">
        <f>IFERROR(__xludf.DUMMYFUNCTION("IFERROR(
IF(REGEXMATCH(LOWER(O3471),""k""),
VALUE(REGEXEXTRACT(O3471,""[0-9]+""))*1000,
VALUE(REGEXEXTRACT(O3471,""[0-9]+""))
),
0
)"),0.0)</f>
        <v>0</v>
      </c>
      <c r="E3471" s="1" t="s">
        <v>11</v>
      </c>
      <c r="F3471" s="1" t="s">
        <v>20</v>
      </c>
      <c r="G3471" s="4" t="b">
        <f t="shared" si="2"/>
        <v>1</v>
      </c>
      <c r="H3471" s="1" t="str">
        <f t="shared" si="3"/>
        <v>Currently Unavailable</v>
      </c>
      <c r="I3471" s="1" t="str">
        <f t="shared" si="4"/>
        <v>No Badges</v>
      </c>
      <c r="J3471" s="3">
        <f t="shared" si="5"/>
        <v>0</v>
      </c>
    </row>
    <row r="3472">
      <c r="A3472" s="1" t="s">
        <v>2596</v>
      </c>
      <c r="B3472" s="3" t="str">
        <f t="shared" si="1"/>
        <v>Unavailable</v>
      </c>
      <c r="C3472" s="3">
        <v>384.0</v>
      </c>
      <c r="D3472" s="3">
        <f>IFERROR(__xludf.DUMMYFUNCTION("IFERROR(
IF(REGEXMATCH(LOWER(O3472),""k""),
VALUE(REGEXEXTRACT(O3472,""[0-9]+""))*1000,
VALUE(REGEXEXTRACT(O3472,""[0-9]+""))
),
0
)"),0.0)</f>
        <v>0</v>
      </c>
      <c r="E3472" s="1" t="s">
        <v>11</v>
      </c>
      <c r="F3472" s="1" t="s">
        <v>20</v>
      </c>
      <c r="G3472" s="4" t="b">
        <f t="shared" si="2"/>
        <v>1</v>
      </c>
      <c r="H3472" s="1" t="str">
        <f t="shared" si="3"/>
        <v>Currently Unavailable</v>
      </c>
      <c r="I3472" s="1" t="str">
        <f t="shared" si="4"/>
        <v>No Badges</v>
      </c>
      <c r="J3472" s="3">
        <f t="shared" si="5"/>
        <v>0</v>
      </c>
    </row>
    <row r="3473">
      <c r="A3473" s="1" t="s">
        <v>2597</v>
      </c>
      <c r="B3473" s="3" t="str">
        <f t="shared" si="1"/>
        <v>Unavailable</v>
      </c>
      <c r="C3473" s="3">
        <v>15.0</v>
      </c>
      <c r="D3473" s="3">
        <f>IFERROR(__xludf.DUMMYFUNCTION("IFERROR(
IF(REGEXMATCH(LOWER(O3473),""k""),
VALUE(REGEXEXTRACT(O3473,""[0-9]+""))*1000,
VALUE(REGEXEXTRACT(O3473,""[0-9]+""))
),
0
)"),0.0)</f>
        <v>0</v>
      </c>
      <c r="E3473" s="1" t="s">
        <v>11</v>
      </c>
      <c r="F3473" s="1" t="s">
        <v>20</v>
      </c>
      <c r="G3473" s="4" t="b">
        <f t="shared" si="2"/>
        <v>1</v>
      </c>
      <c r="H3473" s="1" t="str">
        <f t="shared" si="3"/>
        <v>Currently Unavailable</v>
      </c>
      <c r="I3473" s="1" t="str">
        <f t="shared" si="4"/>
        <v>No Badges</v>
      </c>
      <c r="J3473" s="3">
        <f t="shared" si="5"/>
        <v>0</v>
      </c>
    </row>
    <row r="3474">
      <c r="A3474" s="1" t="s">
        <v>2598</v>
      </c>
      <c r="B3474" s="3" t="str">
        <f t="shared" si="1"/>
        <v>Unavailable</v>
      </c>
      <c r="C3474" s="3">
        <v>363.0</v>
      </c>
      <c r="D3474" s="3">
        <f>IFERROR(__xludf.DUMMYFUNCTION("IFERROR(
IF(REGEXMATCH(LOWER(O3474),""k""),
VALUE(REGEXEXTRACT(O3474,""[0-9]+""))*1000,
VALUE(REGEXEXTRACT(O3474,""[0-9]+""))
),
0
)"),0.0)</f>
        <v>0</v>
      </c>
      <c r="E3474" s="1" t="s">
        <v>11</v>
      </c>
      <c r="F3474" s="1" t="s">
        <v>20</v>
      </c>
      <c r="G3474" s="4" t="b">
        <f t="shared" si="2"/>
        <v>1</v>
      </c>
      <c r="H3474" s="1" t="str">
        <f t="shared" si="3"/>
        <v>Currently Unavailable</v>
      </c>
      <c r="I3474" s="1" t="str">
        <f t="shared" si="4"/>
        <v>No Badges</v>
      </c>
      <c r="J3474" s="3">
        <f t="shared" si="5"/>
        <v>0</v>
      </c>
    </row>
    <row r="3475">
      <c r="A3475" s="1" t="s">
        <v>2599</v>
      </c>
      <c r="B3475" s="3" t="str">
        <f t="shared" si="1"/>
        <v>Unavailable</v>
      </c>
      <c r="C3475" s="5">
        <v>3695.0</v>
      </c>
      <c r="D3475" s="3">
        <f>IFERROR(__xludf.DUMMYFUNCTION("IFERROR(
IF(REGEXMATCH(LOWER(O3475),""k""),
VALUE(REGEXEXTRACT(O3475,""[0-9]+""))*1000,
VALUE(REGEXEXTRACT(O3475,""[0-9]+""))
),
0
)"),0.0)</f>
        <v>0</v>
      </c>
      <c r="E3475" s="1" t="s">
        <v>11</v>
      </c>
      <c r="F3475" s="1" t="s">
        <v>20</v>
      </c>
      <c r="G3475" s="4" t="b">
        <f t="shared" si="2"/>
        <v>1</v>
      </c>
      <c r="H3475" s="1" t="str">
        <f t="shared" si="3"/>
        <v>Currently Unavailable</v>
      </c>
      <c r="I3475" s="1" t="str">
        <f t="shared" si="4"/>
        <v>No Badges</v>
      </c>
      <c r="J3475" s="3">
        <f t="shared" si="5"/>
        <v>0</v>
      </c>
    </row>
    <row r="3476">
      <c r="A3476" s="1" t="s">
        <v>2600</v>
      </c>
      <c r="B3476" s="3" t="str">
        <f t="shared" si="1"/>
        <v>Unavailable</v>
      </c>
      <c r="C3476" s="3">
        <v>272.0</v>
      </c>
      <c r="D3476" s="3">
        <f>IFERROR(__xludf.DUMMYFUNCTION("IFERROR(
IF(REGEXMATCH(LOWER(O3476),""k""),
VALUE(REGEXEXTRACT(O3476,""[0-9]+""))*1000,
VALUE(REGEXEXTRACT(O3476,""[0-9]+""))
),
0
)"),0.0)</f>
        <v>0</v>
      </c>
      <c r="E3476" s="1" t="s">
        <v>11</v>
      </c>
      <c r="F3476" s="1" t="s">
        <v>20</v>
      </c>
      <c r="G3476" s="4" t="b">
        <f t="shared" si="2"/>
        <v>1</v>
      </c>
      <c r="H3476" s="1" t="str">
        <f t="shared" si="3"/>
        <v>Currently Unavailable</v>
      </c>
      <c r="I3476" s="1" t="str">
        <f t="shared" si="4"/>
        <v>No Badges</v>
      </c>
      <c r="J3476" s="3">
        <f t="shared" si="5"/>
        <v>0</v>
      </c>
    </row>
    <row r="3477">
      <c r="A3477" s="1" t="s">
        <v>2601</v>
      </c>
      <c r="B3477" s="3" t="str">
        <f t="shared" si="1"/>
        <v>Unavailable</v>
      </c>
      <c r="C3477" s="3">
        <v>281.0</v>
      </c>
      <c r="D3477" s="3">
        <f>IFERROR(__xludf.DUMMYFUNCTION("IFERROR(
IF(REGEXMATCH(LOWER(O3477),""k""),
VALUE(REGEXEXTRACT(O3477,""[0-9]+""))*1000,
VALUE(REGEXEXTRACT(O3477,""[0-9]+""))
),
0
)"),0.0)</f>
        <v>0</v>
      </c>
      <c r="E3477" s="1" t="s">
        <v>11</v>
      </c>
      <c r="F3477" s="1" t="s">
        <v>20</v>
      </c>
      <c r="G3477" s="4" t="b">
        <f t="shared" si="2"/>
        <v>1</v>
      </c>
      <c r="H3477" s="1" t="str">
        <f t="shared" si="3"/>
        <v>Currently Unavailable</v>
      </c>
      <c r="I3477" s="1" t="str">
        <f t="shared" si="4"/>
        <v>No Badges</v>
      </c>
      <c r="J3477" s="3">
        <f t="shared" si="5"/>
        <v>0</v>
      </c>
    </row>
    <row r="3478">
      <c r="A3478" s="1" t="s">
        <v>2602</v>
      </c>
      <c r="B3478" s="3" t="str">
        <f t="shared" si="1"/>
        <v>Unavailable</v>
      </c>
      <c r="C3478" s="3">
        <v>164.0</v>
      </c>
      <c r="D3478" s="3">
        <f>IFERROR(__xludf.DUMMYFUNCTION("IFERROR(
IF(REGEXMATCH(LOWER(O3478),""k""),
VALUE(REGEXEXTRACT(O3478,""[0-9]+""))*1000,
VALUE(REGEXEXTRACT(O3478,""[0-9]+""))
),
0
)"),0.0)</f>
        <v>0</v>
      </c>
      <c r="E3478" s="1" t="s">
        <v>11</v>
      </c>
      <c r="F3478" s="1" t="s">
        <v>20</v>
      </c>
      <c r="G3478" s="4" t="b">
        <f t="shared" si="2"/>
        <v>1</v>
      </c>
      <c r="H3478" s="1" t="str">
        <f t="shared" si="3"/>
        <v>Currently Unavailable</v>
      </c>
      <c r="I3478" s="1" t="str">
        <f t="shared" si="4"/>
        <v>No Badges</v>
      </c>
      <c r="J3478" s="3">
        <f t="shared" si="5"/>
        <v>0</v>
      </c>
    </row>
    <row r="3479">
      <c r="A3479" s="1" t="s">
        <v>67</v>
      </c>
      <c r="B3479" s="3" t="str">
        <f t="shared" si="1"/>
        <v>Unavailable</v>
      </c>
      <c r="C3479" s="3">
        <v>264.0</v>
      </c>
      <c r="D3479" s="3">
        <f>IFERROR(__xludf.DUMMYFUNCTION("IFERROR(
IF(REGEXMATCH(LOWER(O3479),""k""),
VALUE(REGEXEXTRACT(O3479,""[0-9]+""))*1000,
VALUE(REGEXEXTRACT(O3479,""[0-9]+""))
),
0
)"),0.0)</f>
        <v>0</v>
      </c>
      <c r="E3479" s="1" t="s">
        <v>11</v>
      </c>
      <c r="F3479" s="1" t="s">
        <v>12</v>
      </c>
      <c r="G3479" s="4" t="b">
        <f t="shared" si="2"/>
        <v>1</v>
      </c>
      <c r="H3479" s="1" t="str">
        <f t="shared" si="3"/>
        <v>Currently Unavailable</v>
      </c>
      <c r="I3479" s="1" t="str">
        <f t="shared" si="4"/>
        <v>No Badges</v>
      </c>
      <c r="J3479" s="3">
        <f t="shared" si="5"/>
        <v>0</v>
      </c>
    </row>
    <row r="3480">
      <c r="A3480" s="1" t="s">
        <v>2603</v>
      </c>
      <c r="B3480" s="3" t="str">
        <f t="shared" si="1"/>
        <v>Unavailable</v>
      </c>
      <c r="C3480" s="3">
        <v>990.0</v>
      </c>
      <c r="D3480" s="3">
        <f>IFERROR(__xludf.DUMMYFUNCTION("IFERROR(
IF(REGEXMATCH(LOWER(O3480),""k""),
VALUE(REGEXEXTRACT(O3480,""[0-9]+""))*1000,
VALUE(REGEXEXTRACT(O3480,""[0-9]+""))
),
0
)"),0.0)</f>
        <v>0</v>
      </c>
      <c r="E3480" s="1" t="s">
        <v>11</v>
      </c>
      <c r="F3480" s="1" t="s">
        <v>20</v>
      </c>
      <c r="G3480" s="4" t="b">
        <f t="shared" si="2"/>
        <v>1</v>
      </c>
      <c r="H3480" s="1" t="str">
        <f t="shared" si="3"/>
        <v>Currently Unavailable</v>
      </c>
      <c r="I3480" s="1" t="str">
        <f t="shared" si="4"/>
        <v>No Badges</v>
      </c>
      <c r="J3480" s="3">
        <f t="shared" si="5"/>
        <v>0</v>
      </c>
    </row>
    <row r="3481">
      <c r="A3481" s="1" t="s">
        <v>701</v>
      </c>
      <c r="B3481" s="3" t="str">
        <f t="shared" si="1"/>
        <v>Unavailable</v>
      </c>
      <c r="C3481" s="3">
        <v>8.0</v>
      </c>
      <c r="D3481" s="3">
        <f>IFERROR(__xludf.DUMMYFUNCTION("IFERROR(
IF(REGEXMATCH(LOWER(O3481),""k""),
VALUE(REGEXEXTRACT(O3481,""[0-9]+""))*1000,
VALUE(REGEXEXTRACT(O3481,""[0-9]+""))
),
0
)"),0.0)</f>
        <v>0</v>
      </c>
      <c r="E3481" s="1" t="s">
        <v>11</v>
      </c>
      <c r="F3481" s="1" t="s">
        <v>12</v>
      </c>
      <c r="G3481" s="4" t="b">
        <f t="shared" si="2"/>
        <v>1</v>
      </c>
      <c r="H3481" s="1" t="str">
        <f t="shared" si="3"/>
        <v>Currently Unavailable</v>
      </c>
      <c r="I3481" s="1" t="str">
        <f t="shared" si="4"/>
        <v>No Badges</v>
      </c>
      <c r="J3481" s="3">
        <f t="shared" si="5"/>
        <v>0</v>
      </c>
    </row>
    <row r="3482">
      <c r="A3482" s="1" t="s">
        <v>2352</v>
      </c>
      <c r="B3482" s="3" t="str">
        <f t="shared" si="1"/>
        <v>Unavailable</v>
      </c>
      <c r="C3482" s="3">
        <v>196.0</v>
      </c>
      <c r="D3482" s="3">
        <f>IFERROR(__xludf.DUMMYFUNCTION("IFERROR(
IF(REGEXMATCH(LOWER(O3482),""k""),
VALUE(REGEXEXTRACT(O3482,""[0-9]+""))*1000,
VALUE(REGEXEXTRACT(O3482,""[0-9]+""))
),
0
)"),0.0)</f>
        <v>0</v>
      </c>
      <c r="E3482" s="1" t="s">
        <v>18</v>
      </c>
      <c r="F3482" s="1" t="s">
        <v>12</v>
      </c>
      <c r="G3482" s="4" t="b">
        <f t="shared" si="2"/>
        <v>1</v>
      </c>
      <c r="H3482" s="1" t="str">
        <f t="shared" si="3"/>
        <v>Currently Unavailable</v>
      </c>
      <c r="I3482" s="1" t="str">
        <f t="shared" si="4"/>
        <v>No Badges</v>
      </c>
      <c r="J3482" s="3">
        <f t="shared" si="5"/>
        <v>0</v>
      </c>
    </row>
    <row r="3483">
      <c r="A3483" s="1" t="s">
        <v>2604</v>
      </c>
      <c r="B3483" s="1" t="str">
        <f t="shared" si="1"/>
        <v>Unavailable</v>
      </c>
      <c r="C3483" s="1"/>
      <c r="D3483" s="3">
        <f>IFERROR(__xludf.DUMMYFUNCTION("IFERROR(
IF(REGEXMATCH(LOWER(O3483),""k""),
VALUE(REGEXEXTRACT(O3483,""[0-9]+""))*1000,
VALUE(REGEXEXTRACT(O3483,""[0-9]+""))
),
0
)"),0.0)</f>
        <v>0</v>
      </c>
      <c r="E3483" s="1" t="s">
        <v>11</v>
      </c>
      <c r="F3483" s="1" t="s">
        <v>12</v>
      </c>
      <c r="G3483" s="4" t="b">
        <f t="shared" si="2"/>
        <v>1</v>
      </c>
      <c r="H3483" s="1" t="str">
        <f t="shared" si="3"/>
        <v>Currently Unavailable</v>
      </c>
      <c r="I3483" s="1" t="str">
        <f t="shared" si="4"/>
        <v>No Badges</v>
      </c>
      <c r="J3483" s="3">
        <f t="shared" si="5"/>
        <v>0</v>
      </c>
    </row>
    <row r="3484">
      <c r="A3484" s="1" t="s">
        <v>2605</v>
      </c>
      <c r="B3484" s="3" t="str">
        <f t="shared" si="1"/>
        <v>Unavailable</v>
      </c>
      <c r="C3484" s="5">
        <v>2554.0</v>
      </c>
      <c r="D3484" s="3">
        <f>IFERROR(__xludf.DUMMYFUNCTION("IFERROR(
IF(REGEXMATCH(LOWER(O3484),""k""),
VALUE(REGEXEXTRACT(O3484,""[0-9]+""))*1000,
VALUE(REGEXEXTRACT(O3484,""[0-9]+""))
),
0
)"),0.0)</f>
        <v>0</v>
      </c>
      <c r="E3484" s="1" t="s">
        <v>11</v>
      </c>
      <c r="F3484" s="1" t="s">
        <v>20</v>
      </c>
      <c r="G3484" s="4" t="b">
        <f t="shared" si="2"/>
        <v>1</v>
      </c>
      <c r="H3484" s="1" t="str">
        <f t="shared" si="3"/>
        <v>Currently Unavailable</v>
      </c>
      <c r="I3484" s="1" t="str">
        <f t="shared" si="4"/>
        <v>No Badges</v>
      </c>
      <c r="J3484" s="3">
        <f t="shared" si="5"/>
        <v>0</v>
      </c>
    </row>
    <row r="3485">
      <c r="A3485" s="1" t="s">
        <v>2606</v>
      </c>
      <c r="B3485" s="3" t="str">
        <f t="shared" si="1"/>
        <v>Unavailable</v>
      </c>
      <c r="C3485" s="5">
        <v>1133.0</v>
      </c>
      <c r="D3485" s="3">
        <f>IFERROR(__xludf.DUMMYFUNCTION("IFERROR(
IF(REGEXMATCH(LOWER(O3485),""k""),
VALUE(REGEXEXTRACT(O3485,""[0-9]+""))*1000,
VALUE(REGEXEXTRACT(O3485,""[0-9]+""))
),
0
)"),0.0)</f>
        <v>0</v>
      </c>
      <c r="E3485" s="1" t="s">
        <v>11</v>
      </c>
      <c r="F3485" s="1" t="s">
        <v>20</v>
      </c>
      <c r="G3485" s="4" t="b">
        <f t="shared" si="2"/>
        <v>1</v>
      </c>
      <c r="H3485" s="1" t="str">
        <f t="shared" si="3"/>
        <v>Currently Unavailable</v>
      </c>
      <c r="I3485" s="1" t="str">
        <f t="shared" si="4"/>
        <v>No Badges</v>
      </c>
      <c r="J3485" s="3">
        <f t="shared" si="5"/>
        <v>0</v>
      </c>
    </row>
    <row r="3486">
      <c r="A3486" s="1" t="s">
        <v>2607</v>
      </c>
      <c r="B3486" s="3" t="str">
        <f t="shared" si="1"/>
        <v>Unavailable</v>
      </c>
      <c r="C3486" s="3">
        <v>893.0</v>
      </c>
      <c r="D3486" s="3">
        <f>IFERROR(__xludf.DUMMYFUNCTION("IFERROR(
IF(REGEXMATCH(LOWER(O3486),""k""),
VALUE(REGEXEXTRACT(O3486,""[0-9]+""))*1000,
VALUE(REGEXEXTRACT(O3486,""[0-9]+""))
),
0
)"),0.0)</f>
        <v>0</v>
      </c>
      <c r="E3486" s="1" t="s">
        <v>11</v>
      </c>
      <c r="F3486" s="1" t="s">
        <v>20</v>
      </c>
      <c r="G3486" s="4" t="b">
        <f t="shared" si="2"/>
        <v>1</v>
      </c>
      <c r="H3486" s="1" t="str">
        <f t="shared" si="3"/>
        <v>Currently Unavailable</v>
      </c>
      <c r="I3486" s="1" t="str">
        <f t="shared" si="4"/>
        <v>No Badges</v>
      </c>
      <c r="J3486" s="3">
        <f t="shared" si="5"/>
        <v>0</v>
      </c>
    </row>
    <row r="3487">
      <c r="A3487" s="1" t="s">
        <v>2608</v>
      </c>
      <c r="B3487" s="3" t="str">
        <f t="shared" si="1"/>
        <v>Unavailable</v>
      </c>
      <c r="C3487" s="5">
        <v>2587.0</v>
      </c>
      <c r="D3487" s="3">
        <f>IFERROR(__xludf.DUMMYFUNCTION("IFERROR(
IF(REGEXMATCH(LOWER(O3487),""k""),
VALUE(REGEXEXTRACT(O3487,""[0-9]+""))*1000,
VALUE(REGEXEXTRACT(O3487,""[0-9]+""))
),
0
)"),0.0)</f>
        <v>0</v>
      </c>
      <c r="E3487" s="1" t="s">
        <v>11</v>
      </c>
      <c r="F3487" s="1" t="s">
        <v>20</v>
      </c>
      <c r="G3487" s="4" t="b">
        <f t="shared" si="2"/>
        <v>1</v>
      </c>
      <c r="H3487" s="1" t="str">
        <f t="shared" si="3"/>
        <v>Currently Unavailable</v>
      </c>
      <c r="I3487" s="1" t="str">
        <f t="shared" si="4"/>
        <v>No Badges</v>
      </c>
      <c r="J3487" s="3">
        <f t="shared" si="5"/>
        <v>0</v>
      </c>
    </row>
    <row r="3488">
      <c r="A3488" s="1" t="s">
        <v>2609</v>
      </c>
      <c r="B3488" s="3" t="str">
        <f t="shared" si="1"/>
        <v>Unavailable</v>
      </c>
      <c r="C3488" s="5">
        <v>2407.0</v>
      </c>
      <c r="D3488" s="3">
        <f>IFERROR(__xludf.DUMMYFUNCTION("IFERROR(
IF(REGEXMATCH(LOWER(O3488),""k""),
VALUE(REGEXEXTRACT(O3488,""[0-9]+""))*1000,
VALUE(REGEXEXTRACT(O3488,""[0-9]+""))
),
0
)"),0.0)</f>
        <v>0</v>
      </c>
      <c r="E3488" s="1" t="s">
        <v>11</v>
      </c>
      <c r="F3488" s="1" t="s">
        <v>20</v>
      </c>
      <c r="G3488" s="4" t="b">
        <f t="shared" si="2"/>
        <v>1</v>
      </c>
      <c r="H3488" s="1" t="str">
        <f t="shared" si="3"/>
        <v>Currently Unavailable</v>
      </c>
      <c r="I3488" s="1" t="str">
        <f t="shared" si="4"/>
        <v>No Badges</v>
      </c>
      <c r="J3488" s="3">
        <f t="shared" si="5"/>
        <v>0</v>
      </c>
    </row>
    <row r="3489">
      <c r="A3489" s="1" t="s">
        <v>2610</v>
      </c>
      <c r="B3489" s="3" t="str">
        <f t="shared" si="1"/>
        <v>Unavailable</v>
      </c>
      <c r="C3489" s="3">
        <v>128.0</v>
      </c>
      <c r="D3489" s="3">
        <f>IFERROR(__xludf.DUMMYFUNCTION("IFERROR(
IF(REGEXMATCH(LOWER(O3489),""k""),
VALUE(REGEXEXTRACT(O3489,""[0-9]+""))*1000,
VALUE(REGEXEXTRACT(O3489,""[0-9]+""))
),
0
)"),0.0)</f>
        <v>0</v>
      </c>
      <c r="E3489" s="1" t="s">
        <v>11</v>
      </c>
      <c r="F3489" s="1" t="s">
        <v>20</v>
      </c>
      <c r="G3489" s="4" t="b">
        <f t="shared" si="2"/>
        <v>1</v>
      </c>
      <c r="H3489" s="1" t="str">
        <f t="shared" si="3"/>
        <v>Currently Unavailable</v>
      </c>
      <c r="I3489" s="1" t="str">
        <f t="shared" si="4"/>
        <v>No Badges</v>
      </c>
      <c r="J3489" s="3">
        <f t="shared" si="5"/>
        <v>0</v>
      </c>
    </row>
    <row r="3490">
      <c r="A3490" s="1" t="s">
        <v>2611</v>
      </c>
      <c r="B3490" s="3" t="str">
        <f t="shared" si="1"/>
        <v>Unavailable</v>
      </c>
      <c r="C3490" s="3">
        <v>96.0</v>
      </c>
      <c r="D3490" s="3">
        <f>IFERROR(__xludf.DUMMYFUNCTION("IFERROR(
IF(REGEXMATCH(LOWER(O3490),""k""),
VALUE(REGEXEXTRACT(O3490,""[0-9]+""))*1000,
VALUE(REGEXEXTRACT(O3490,""[0-9]+""))
),
0
)"),0.0)</f>
        <v>0</v>
      </c>
      <c r="E3490" s="1" t="s">
        <v>11</v>
      </c>
      <c r="F3490" s="1" t="s">
        <v>20</v>
      </c>
      <c r="G3490" s="4" t="b">
        <f t="shared" si="2"/>
        <v>1</v>
      </c>
      <c r="H3490" s="1" t="str">
        <f t="shared" si="3"/>
        <v>Currently Unavailable</v>
      </c>
      <c r="I3490" s="1" t="str">
        <f t="shared" si="4"/>
        <v>No Badges</v>
      </c>
      <c r="J3490" s="3">
        <f t="shared" si="5"/>
        <v>0</v>
      </c>
    </row>
    <row r="3491">
      <c r="A3491" s="1" t="s">
        <v>2612</v>
      </c>
      <c r="B3491" s="3" t="str">
        <f t="shared" si="1"/>
        <v>Unavailable</v>
      </c>
      <c r="C3491" s="3">
        <v>602.0</v>
      </c>
      <c r="D3491" s="3">
        <f>IFERROR(__xludf.DUMMYFUNCTION("IFERROR(
IF(REGEXMATCH(LOWER(O3491),""k""),
VALUE(REGEXEXTRACT(O3491,""[0-9]+""))*1000,
VALUE(REGEXEXTRACT(O3491,""[0-9]+""))
),
0
)"),0.0)</f>
        <v>0</v>
      </c>
      <c r="E3491" s="1" t="s">
        <v>11</v>
      </c>
      <c r="F3491" s="1" t="s">
        <v>20</v>
      </c>
      <c r="G3491" s="4" t="b">
        <f t="shared" si="2"/>
        <v>1</v>
      </c>
      <c r="H3491" s="1" t="str">
        <f t="shared" si="3"/>
        <v>Currently Unavailable</v>
      </c>
      <c r="I3491" s="1" t="str">
        <f t="shared" si="4"/>
        <v>No Badges</v>
      </c>
      <c r="J3491" s="3">
        <f t="shared" si="5"/>
        <v>0</v>
      </c>
    </row>
    <row r="3492">
      <c r="A3492" s="1" t="s">
        <v>2613</v>
      </c>
      <c r="B3492" s="3" t="str">
        <f t="shared" si="1"/>
        <v>Unavailable</v>
      </c>
      <c r="C3492" s="3">
        <v>82.0</v>
      </c>
      <c r="D3492" s="3">
        <f>IFERROR(__xludf.DUMMYFUNCTION("IFERROR(
IF(REGEXMATCH(LOWER(O3492),""k""),
VALUE(REGEXEXTRACT(O3492,""[0-9]+""))*1000,
VALUE(REGEXEXTRACT(O3492,""[0-9]+""))
),
0
)"),0.0)</f>
        <v>0</v>
      </c>
      <c r="E3492" s="1" t="s">
        <v>11</v>
      </c>
      <c r="F3492" s="1" t="s">
        <v>20</v>
      </c>
      <c r="G3492" s="4" t="b">
        <f t="shared" si="2"/>
        <v>1</v>
      </c>
      <c r="H3492" s="1" t="str">
        <f t="shared" si="3"/>
        <v>Currently Unavailable</v>
      </c>
      <c r="I3492" s="1" t="str">
        <f t="shared" si="4"/>
        <v>No Badges</v>
      </c>
      <c r="J3492" s="3">
        <f t="shared" si="5"/>
        <v>0</v>
      </c>
    </row>
    <row r="3493">
      <c r="A3493" s="1" t="s">
        <v>2614</v>
      </c>
      <c r="B3493" s="3" t="str">
        <f t="shared" si="1"/>
        <v>Unavailable</v>
      </c>
      <c r="C3493" s="3">
        <v>457.0</v>
      </c>
      <c r="D3493" s="3">
        <f>IFERROR(__xludf.DUMMYFUNCTION("IFERROR(
IF(REGEXMATCH(LOWER(O3493),""k""),
VALUE(REGEXEXTRACT(O3493,""[0-9]+""))*1000,
VALUE(REGEXEXTRACT(O3493,""[0-9]+""))
),
0
)"),0.0)</f>
        <v>0</v>
      </c>
      <c r="E3493" s="1" t="s">
        <v>11</v>
      </c>
      <c r="F3493" s="1" t="s">
        <v>20</v>
      </c>
      <c r="G3493" s="4" t="b">
        <f t="shared" si="2"/>
        <v>1</v>
      </c>
      <c r="H3493" s="1" t="str">
        <f t="shared" si="3"/>
        <v>Currently Unavailable</v>
      </c>
      <c r="I3493" s="1" t="str">
        <f t="shared" si="4"/>
        <v>No Badges</v>
      </c>
      <c r="J3493" s="3">
        <f t="shared" si="5"/>
        <v>0</v>
      </c>
    </row>
    <row r="3494">
      <c r="A3494" s="1" t="s">
        <v>2615</v>
      </c>
      <c r="B3494" s="3" t="str">
        <f t="shared" si="1"/>
        <v>Unavailable</v>
      </c>
      <c r="C3494" s="3">
        <v>999.0</v>
      </c>
      <c r="D3494" s="3">
        <f>IFERROR(__xludf.DUMMYFUNCTION("IFERROR(
IF(REGEXMATCH(LOWER(O3494),""k""),
VALUE(REGEXEXTRACT(O3494,""[0-9]+""))*1000,
VALUE(REGEXEXTRACT(O3494,""[0-9]+""))
),
0
)"),0.0)</f>
        <v>0</v>
      </c>
      <c r="E3494" s="1" t="s">
        <v>11</v>
      </c>
      <c r="F3494" s="1" t="s">
        <v>20</v>
      </c>
      <c r="G3494" s="4" t="b">
        <f t="shared" si="2"/>
        <v>1</v>
      </c>
      <c r="H3494" s="1" t="str">
        <f t="shared" si="3"/>
        <v>Currently Unavailable</v>
      </c>
      <c r="I3494" s="1" t="str">
        <f t="shared" si="4"/>
        <v>No Badges</v>
      </c>
      <c r="J3494" s="3">
        <f t="shared" si="5"/>
        <v>0</v>
      </c>
    </row>
    <row r="3495">
      <c r="A3495" s="1" t="s">
        <v>2616</v>
      </c>
      <c r="B3495" s="3" t="str">
        <f t="shared" si="1"/>
        <v>Unavailable</v>
      </c>
      <c r="C3495" s="3">
        <v>694.0</v>
      </c>
      <c r="D3495" s="3">
        <f>IFERROR(__xludf.DUMMYFUNCTION("IFERROR(
IF(REGEXMATCH(LOWER(O3495),""k""),
VALUE(REGEXEXTRACT(O3495,""[0-9]+""))*1000,
VALUE(REGEXEXTRACT(O3495,""[0-9]+""))
),
0
)"),0.0)</f>
        <v>0</v>
      </c>
      <c r="E3495" s="1" t="s">
        <v>11</v>
      </c>
      <c r="F3495" s="1" t="s">
        <v>20</v>
      </c>
      <c r="G3495" s="4" t="b">
        <f t="shared" si="2"/>
        <v>1</v>
      </c>
      <c r="H3495" s="1" t="str">
        <f t="shared" si="3"/>
        <v>Currently Unavailable</v>
      </c>
      <c r="I3495" s="1" t="str">
        <f t="shared" si="4"/>
        <v>No Badges</v>
      </c>
      <c r="J3495" s="3">
        <f t="shared" si="5"/>
        <v>0</v>
      </c>
    </row>
    <row r="3496">
      <c r="A3496" s="1" t="s">
        <v>2617</v>
      </c>
      <c r="B3496" s="3" t="str">
        <f t="shared" si="1"/>
        <v>Unavailable</v>
      </c>
      <c r="C3496" s="3">
        <v>559.0</v>
      </c>
      <c r="D3496" s="3">
        <f>IFERROR(__xludf.DUMMYFUNCTION("IFERROR(
IF(REGEXMATCH(LOWER(O3496),""k""),
VALUE(REGEXEXTRACT(O3496,""[0-9]+""))*1000,
VALUE(REGEXEXTRACT(O3496,""[0-9]+""))
),
0
)"),0.0)</f>
        <v>0</v>
      </c>
      <c r="E3496" s="1" t="s">
        <v>11</v>
      </c>
      <c r="F3496" s="1" t="s">
        <v>20</v>
      </c>
      <c r="G3496" s="4" t="b">
        <f t="shared" si="2"/>
        <v>1</v>
      </c>
      <c r="H3496" s="1" t="str">
        <f t="shared" si="3"/>
        <v>Currently Unavailable</v>
      </c>
      <c r="I3496" s="1" t="str">
        <f t="shared" si="4"/>
        <v>No Badges</v>
      </c>
      <c r="J3496" s="3">
        <f t="shared" si="5"/>
        <v>0</v>
      </c>
    </row>
    <row r="3497">
      <c r="A3497" s="1" t="s">
        <v>604</v>
      </c>
      <c r="B3497" s="3" t="str">
        <f t="shared" si="1"/>
        <v>Unavailable</v>
      </c>
      <c r="C3497" s="3">
        <v>30.0</v>
      </c>
      <c r="D3497" s="3">
        <f>IFERROR(__xludf.DUMMYFUNCTION("IFERROR(
IF(REGEXMATCH(LOWER(O3497),""k""),
VALUE(REGEXEXTRACT(O3497,""[0-9]+""))*1000,
VALUE(REGEXEXTRACT(O3497,""[0-9]+""))
),
0
)"),0.0)</f>
        <v>0</v>
      </c>
      <c r="E3497" s="1" t="s">
        <v>11</v>
      </c>
      <c r="F3497" s="1" t="s">
        <v>12</v>
      </c>
      <c r="G3497" s="4" t="b">
        <f t="shared" si="2"/>
        <v>1</v>
      </c>
      <c r="H3497" s="1" t="str">
        <f t="shared" si="3"/>
        <v>Currently Unavailable</v>
      </c>
      <c r="I3497" s="1" t="str">
        <f t="shared" si="4"/>
        <v>No Badges</v>
      </c>
      <c r="J3497" s="3">
        <f t="shared" si="5"/>
        <v>0</v>
      </c>
    </row>
    <row r="3498">
      <c r="A3498" s="1" t="s">
        <v>69</v>
      </c>
      <c r="B3498" s="3" t="str">
        <f t="shared" si="1"/>
        <v>Unavailable</v>
      </c>
      <c r="C3498" s="3">
        <v>45.0</v>
      </c>
      <c r="D3498" s="3">
        <f>IFERROR(__xludf.DUMMYFUNCTION("IFERROR(
IF(REGEXMATCH(LOWER(O3498),""k""),
VALUE(REGEXEXTRACT(O3498,""[0-9]+""))*1000,
VALUE(REGEXEXTRACT(O3498,""[0-9]+""))
),
0
)"),0.0)</f>
        <v>0</v>
      </c>
      <c r="E3498" s="1" t="s">
        <v>11</v>
      </c>
      <c r="F3498" s="1" t="s">
        <v>12</v>
      </c>
      <c r="G3498" s="4" t="b">
        <f t="shared" si="2"/>
        <v>1</v>
      </c>
      <c r="H3498" s="1" t="str">
        <f t="shared" si="3"/>
        <v>Currently Unavailable</v>
      </c>
      <c r="I3498" s="1" t="str">
        <f t="shared" si="4"/>
        <v>No Badges</v>
      </c>
      <c r="J3498" s="3">
        <f t="shared" si="5"/>
        <v>0</v>
      </c>
    </row>
    <row r="3499">
      <c r="A3499" s="1" t="s">
        <v>67</v>
      </c>
      <c r="B3499" s="3" t="str">
        <f t="shared" si="1"/>
        <v>Unavailable</v>
      </c>
      <c r="C3499" s="3">
        <v>264.0</v>
      </c>
      <c r="D3499" s="3">
        <f>IFERROR(__xludf.DUMMYFUNCTION("IFERROR(
IF(REGEXMATCH(LOWER(O3499),""k""),
VALUE(REGEXEXTRACT(O3499,""[0-9]+""))*1000,
VALUE(REGEXEXTRACT(O3499,""[0-9]+""))
),
0
)"),0.0)</f>
        <v>0</v>
      </c>
      <c r="E3499" s="1" t="s">
        <v>11</v>
      </c>
      <c r="F3499" s="1" t="s">
        <v>12</v>
      </c>
      <c r="G3499" s="4" t="b">
        <f t="shared" si="2"/>
        <v>1</v>
      </c>
      <c r="H3499" s="1" t="str">
        <f t="shared" si="3"/>
        <v>Currently Unavailable</v>
      </c>
      <c r="I3499" s="1" t="str">
        <f t="shared" si="4"/>
        <v>No Badges</v>
      </c>
      <c r="J3499" s="3">
        <f t="shared" si="5"/>
        <v>0</v>
      </c>
    </row>
    <row r="3500">
      <c r="A3500" s="1" t="s">
        <v>2618</v>
      </c>
      <c r="B3500" s="3" t="str">
        <f t="shared" si="1"/>
        <v>Unavailable</v>
      </c>
      <c r="C3500" s="3">
        <v>33.0</v>
      </c>
      <c r="D3500" s="3">
        <f>IFERROR(__xludf.DUMMYFUNCTION("IFERROR(
IF(REGEXMATCH(LOWER(O3500),""k""),
VALUE(REGEXEXTRACT(O3500,""[0-9]+""))*1000,
VALUE(REGEXEXTRACT(O3500,""[0-9]+""))
),
0
)"),0.0)</f>
        <v>0</v>
      </c>
      <c r="E3500" s="1" t="s">
        <v>11</v>
      </c>
      <c r="F3500" s="1" t="s">
        <v>20</v>
      </c>
      <c r="G3500" s="4" t="b">
        <f t="shared" si="2"/>
        <v>1</v>
      </c>
      <c r="H3500" s="1" t="str">
        <f t="shared" si="3"/>
        <v>Currently Unavailable</v>
      </c>
      <c r="I3500" s="1" t="str">
        <f t="shared" si="4"/>
        <v>No Badges</v>
      </c>
      <c r="J3500" s="3">
        <f t="shared" si="5"/>
        <v>0</v>
      </c>
    </row>
    <row r="3501">
      <c r="A3501" s="1" t="s">
        <v>2619</v>
      </c>
      <c r="B3501" s="3" t="str">
        <f t="shared" si="1"/>
        <v>Unavailable</v>
      </c>
      <c r="C3501" s="5">
        <v>8297.0</v>
      </c>
      <c r="D3501" s="3">
        <f>IFERROR(__xludf.DUMMYFUNCTION("IFERROR(
IF(REGEXMATCH(LOWER(O3501),""k""),
VALUE(REGEXEXTRACT(O3501,""[0-9]+""))*1000,
VALUE(REGEXEXTRACT(O3501,""[0-9]+""))
),
0
)"),0.0)</f>
        <v>0</v>
      </c>
      <c r="E3501" s="1" t="s">
        <v>11</v>
      </c>
      <c r="F3501" s="1" t="s">
        <v>20</v>
      </c>
      <c r="G3501" s="4" t="b">
        <f t="shared" si="2"/>
        <v>1</v>
      </c>
      <c r="H3501" s="1" t="str">
        <f t="shared" si="3"/>
        <v>Currently Unavailable</v>
      </c>
      <c r="I3501" s="1" t="str">
        <f t="shared" si="4"/>
        <v>No Badges</v>
      </c>
      <c r="J3501" s="3">
        <f t="shared" si="5"/>
        <v>0</v>
      </c>
    </row>
    <row r="3502">
      <c r="A3502" s="1" t="s">
        <v>2620</v>
      </c>
      <c r="B3502" s="3" t="str">
        <f t="shared" si="1"/>
        <v>Unavailable</v>
      </c>
      <c r="C3502" s="3">
        <v>108.0</v>
      </c>
      <c r="D3502" s="3">
        <f>IFERROR(__xludf.DUMMYFUNCTION("IFERROR(
IF(REGEXMATCH(LOWER(O3502),""k""),
VALUE(REGEXEXTRACT(O3502,""[0-9]+""))*1000,
VALUE(REGEXEXTRACT(O3502,""[0-9]+""))
),
0
)"),0.0)</f>
        <v>0</v>
      </c>
      <c r="E3502" s="1" t="s">
        <v>11</v>
      </c>
      <c r="F3502" s="1" t="s">
        <v>20</v>
      </c>
      <c r="G3502" s="4" t="b">
        <f t="shared" si="2"/>
        <v>1</v>
      </c>
      <c r="H3502" s="1" t="str">
        <f t="shared" si="3"/>
        <v>Currently Unavailable</v>
      </c>
      <c r="I3502" s="1" t="str">
        <f t="shared" si="4"/>
        <v>No Badges</v>
      </c>
      <c r="J3502" s="3">
        <f t="shared" si="5"/>
        <v>0</v>
      </c>
    </row>
    <row r="3503">
      <c r="A3503" s="1" t="s">
        <v>2621</v>
      </c>
      <c r="B3503" s="3" t="str">
        <f t="shared" si="1"/>
        <v>Unavailable</v>
      </c>
      <c r="C3503" s="5">
        <v>31963.0</v>
      </c>
      <c r="D3503" s="3">
        <f>IFERROR(__xludf.DUMMYFUNCTION("IFERROR(
IF(REGEXMATCH(LOWER(O3503),""k""),
VALUE(REGEXEXTRACT(O3503,""[0-9]+""))*1000,
VALUE(REGEXEXTRACT(O3503,""[0-9]+""))
),
0
)"),0.0)</f>
        <v>0</v>
      </c>
      <c r="E3503" s="1" t="s">
        <v>11</v>
      </c>
      <c r="F3503" s="1" t="s">
        <v>20</v>
      </c>
      <c r="G3503" s="4" t="b">
        <f t="shared" si="2"/>
        <v>1</v>
      </c>
      <c r="H3503" s="1" t="str">
        <f t="shared" si="3"/>
        <v>Currently Unavailable</v>
      </c>
      <c r="I3503" s="1" t="str">
        <f t="shared" si="4"/>
        <v>No Badges</v>
      </c>
      <c r="J3503" s="3">
        <f t="shared" si="5"/>
        <v>0</v>
      </c>
    </row>
    <row r="3504">
      <c r="A3504" s="1" t="s">
        <v>2622</v>
      </c>
      <c r="B3504" s="3" t="str">
        <f t="shared" si="1"/>
        <v>Unavailable</v>
      </c>
      <c r="C3504" s="5">
        <v>1430.0</v>
      </c>
      <c r="D3504" s="3">
        <f>IFERROR(__xludf.DUMMYFUNCTION("IFERROR(
IF(REGEXMATCH(LOWER(O3504),""k""),
VALUE(REGEXEXTRACT(O3504,""[0-9]+""))*1000,
VALUE(REGEXEXTRACT(O3504,""[0-9]+""))
),
0
)"),0.0)</f>
        <v>0</v>
      </c>
      <c r="E3504" s="1" t="s">
        <v>11</v>
      </c>
      <c r="F3504" s="1" t="s">
        <v>20</v>
      </c>
      <c r="G3504" s="4" t="b">
        <f t="shared" si="2"/>
        <v>1</v>
      </c>
      <c r="H3504" s="1" t="str">
        <f t="shared" si="3"/>
        <v>Currently Unavailable</v>
      </c>
      <c r="I3504" s="1" t="str">
        <f t="shared" si="4"/>
        <v>No Badges</v>
      </c>
      <c r="J3504" s="3">
        <f t="shared" si="5"/>
        <v>0</v>
      </c>
    </row>
    <row r="3505">
      <c r="A3505" s="1" t="s">
        <v>2623</v>
      </c>
      <c r="B3505" s="3" t="str">
        <f t="shared" si="1"/>
        <v>Unavailable</v>
      </c>
      <c r="C3505" s="3">
        <v>198.0</v>
      </c>
      <c r="D3505" s="3">
        <f>IFERROR(__xludf.DUMMYFUNCTION("IFERROR(
IF(REGEXMATCH(LOWER(O3505),""k""),
VALUE(REGEXEXTRACT(O3505,""[0-9]+""))*1000,
VALUE(REGEXEXTRACT(O3505,""[0-9]+""))
),
0
)"),0.0)</f>
        <v>0</v>
      </c>
      <c r="E3505" s="1" t="s">
        <v>11</v>
      </c>
      <c r="F3505" s="1" t="s">
        <v>20</v>
      </c>
      <c r="G3505" s="4" t="b">
        <f t="shared" si="2"/>
        <v>1</v>
      </c>
      <c r="H3505" s="1" t="str">
        <f t="shared" si="3"/>
        <v>Currently Unavailable</v>
      </c>
      <c r="I3505" s="1" t="str">
        <f t="shared" si="4"/>
        <v>No Badges</v>
      </c>
      <c r="J3505" s="3">
        <f t="shared" si="5"/>
        <v>0</v>
      </c>
    </row>
    <row r="3506">
      <c r="A3506" s="1" t="s">
        <v>2624</v>
      </c>
      <c r="B3506" s="3" t="str">
        <f t="shared" si="1"/>
        <v>Unavailable</v>
      </c>
      <c r="C3506" s="3">
        <v>266.0</v>
      </c>
      <c r="D3506" s="3">
        <f>IFERROR(__xludf.DUMMYFUNCTION("IFERROR(
IF(REGEXMATCH(LOWER(O3506),""k""),
VALUE(REGEXEXTRACT(O3506,""[0-9]+""))*1000,
VALUE(REGEXEXTRACT(O3506,""[0-9]+""))
),
0
)"),0.0)</f>
        <v>0</v>
      </c>
      <c r="E3506" s="1" t="s">
        <v>11</v>
      </c>
      <c r="F3506" s="1" t="s">
        <v>20</v>
      </c>
      <c r="G3506" s="4" t="b">
        <f t="shared" si="2"/>
        <v>1</v>
      </c>
      <c r="H3506" s="1" t="str">
        <f t="shared" si="3"/>
        <v>Currently Unavailable</v>
      </c>
      <c r="I3506" s="1" t="str">
        <f t="shared" si="4"/>
        <v>No Badges</v>
      </c>
      <c r="J3506" s="3">
        <f t="shared" si="5"/>
        <v>0</v>
      </c>
    </row>
    <row r="3507">
      <c r="A3507" s="1" t="s">
        <v>2625</v>
      </c>
      <c r="B3507" s="3" t="str">
        <f t="shared" si="1"/>
        <v>Unavailable</v>
      </c>
      <c r="C3507" s="3">
        <v>279.0</v>
      </c>
      <c r="D3507" s="3">
        <f>IFERROR(__xludf.DUMMYFUNCTION("IFERROR(
IF(REGEXMATCH(LOWER(O3507),""k""),
VALUE(REGEXEXTRACT(O3507,""[0-9]+""))*1000,
VALUE(REGEXEXTRACT(O3507,""[0-9]+""))
),
0
)"),0.0)</f>
        <v>0</v>
      </c>
      <c r="E3507" s="1" t="s">
        <v>11</v>
      </c>
      <c r="F3507" s="1" t="s">
        <v>20</v>
      </c>
      <c r="G3507" s="4" t="b">
        <f t="shared" si="2"/>
        <v>1</v>
      </c>
      <c r="H3507" s="1" t="str">
        <f t="shared" si="3"/>
        <v>Currently Unavailable</v>
      </c>
      <c r="I3507" s="1" t="str">
        <f t="shared" si="4"/>
        <v>No Badges</v>
      </c>
      <c r="J3507" s="3">
        <f t="shared" si="5"/>
        <v>0</v>
      </c>
    </row>
    <row r="3508">
      <c r="A3508" s="1" t="s">
        <v>2626</v>
      </c>
      <c r="B3508" s="3" t="str">
        <f t="shared" si="1"/>
        <v>Unavailable</v>
      </c>
      <c r="C3508" s="5">
        <v>7419.0</v>
      </c>
      <c r="D3508" s="3">
        <f>IFERROR(__xludf.DUMMYFUNCTION("IFERROR(
IF(REGEXMATCH(LOWER(O3508),""k""),
VALUE(REGEXEXTRACT(O3508,""[0-9]+""))*1000,
VALUE(REGEXEXTRACT(O3508,""[0-9]+""))
),
0
)"),0.0)</f>
        <v>0</v>
      </c>
      <c r="E3508" s="1" t="s">
        <v>11</v>
      </c>
      <c r="F3508" s="1" t="s">
        <v>20</v>
      </c>
      <c r="G3508" s="4" t="b">
        <f t="shared" si="2"/>
        <v>1</v>
      </c>
      <c r="H3508" s="1" t="str">
        <f t="shared" si="3"/>
        <v>Currently Unavailable</v>
      </c>
      <c r="I3508" s="1" t="str">
        <f t="shared" si="4"/>
        <v>No Badges</v>
      </c>
      <c r="J3508" s="3">
        <f t="shared" si="5"/>
        <v>0</v>
      </c>
    </row>
    <row r="3509">
      <c r="A3509" s="1" t="s">
        <v>2627</v>
      </c>
      <c r="B3509" s="3" t="str">
        <f t="shared" si="1"/>
        <v>Unavailable</v>
      </c>
      <c r="C3509" s="3">
        <v>115.0</v>
      </c>
      <c r="D3509" s="3">
        <f>IFERROR(__xludf.DUMMYFUNCTION("IFERROR(
IF(REGEXMATCH(LOWER(O3509),""k""),
VALUE(REGEXEXTRACT(O3509,""[0-9]+""))*1000,
VALUE(REGEXEXTRACT(O3509,""[0-9]+""))
),
0
)"),0.0)</f>
        <v>0</v>
      </c>
      <c r="E3509" s="1" t="s">
        <v>11</v>
      </c>
      <c r="F3509" s="1" t="s">
        <v>20</v>
      </c>
      <c r="G3509" s="4" t="b">
        <f t="shared" si="2"/>
        <v>1</v>
      </c>
      <c r="H3509" s="1" t="str">
        <f t="shared" si="3"/>
        <v>Currently Unavailable</v>
      </c>
      <c r="I3509" s="1" t="str">
        <f t="shared" si="4"/>
        <v>No Badges</v>
      </c>
      <c r="J3509" s="3">
        <f t="shared" si="5"/>
        <v>0</v>
      </c>
    </row>
    <row r="3510">
      <c r="A3510" s="1" t="s">
        <v>2628</v>
      </c>
      <c r="B3510" s="3" t="str">
        <f t="shared" si="1"/>
        <v>Unavailable</v>
      </c>
      <c r="C3510" s="5">
        <v>4100.0</v>
      </c>
      <c r="D3510" s="3">
        <f>IFERROR(__xludf.DUMMYFUNCTION("IFERROR(
IF(REGEXMATCH(LOWER(O3510),""k""),
VALUE(REGEXEXTRACT(O3510,""[0-9]+""))*1000,
VALUE(REGEXEXTRACT(O3510,""[0-9]+""))
),
0
)"),0.0)</f>
        <v>0</v>
      </c>
      <c r="E3510" s="1" t="s">
        <v>11</v>
      </c>
      <c r="F3510" s="1" t="s">
        <v>20</v>
      </c>
      <c r="G3510" s="4" t="b">
        <f t="shared" si="2"/>
        <v>1</v>
      </c>
      <c r="H3510" s="1" t="str">
        <f t="shared" si="3"/>
        <v>Currently Unavailable</v>
      </c>
      <c r="I3510" s="1" t="str">
        <f t="shared" si="4"/>
        <v>No Badges</v>
      </c>
      <c r="J3510" s="3">
        <f t="shared" si="5"/>
        <v>0</v>
      </c>
    </row>
    <row r="3511">
      <c r="A3511" s="1" t="s">
        <v>2629</v>
      </c>
      <c r="B3511" s="3" t="str">
        <f t="shared" si="1"/>
        <v>Unavailable</v>
      </c>
      <c r="C3511" s="3">
        <v>379.0</v>
      </c>
      <c r="D3511" s="3">
        <f>IFERROR(__xludf.DUMMYFUNCTION("IFERROR(
IF(REGEXMATCH(LOWER(O3511),""k""),
VALUE(REGEXEXTRACT(O3511,""[0-9]+""))*1000,
VALUE(REGEXEXTRACT(O3511,""[0-9]+""))
),
0
)"),0.0)</f>
        <v>0</v>
      </c>
      <c r="E3511" s="1" t="s">
        <v>11</v>
      </c>
      <c r="F3511" s="1" t="s">
        <v>20</v>
      </c>
      <c r="G3511" s="4" t="b">
        <f t="shared" si="2"/>
        <v>1</v>
      </c>
      <c r="H3511" s="1" t="str">
        <f t="shared" si="3"/>
        <v>Currently Unavailable</v>
      </c>
      <c r="I3511" s="1" t="str">
        <f t="shared" si="4"/>
        <v>No Badges</v>
      </c>
      <c r="J3511" s="3">
        <f t="shared" si="5"/>
        <v>0</v>
      </c>
    </row>
    <row r="3512">
      <c r="A3512" s="1" t="s">
        <v>701</v>
      </c>
      <c r="B3512" s="3" t="str">
        <f t="shared" si="1"/>
        <v>Unavailable</v>
      </c>
      <c r="C3512" s="3">
        <v>8.0</v>
      </c>
      <c r="D3512" s="3">
        <f>IFERROR(__xludf.DUMMYFUNCTION("IFERROR(
IF(REGEXMATCH(LOWER(O3512),""k""),
VALUE(REGEXEXTRACT(O3512,""[0-9]+""))*1000,
VALUE(REGEXEXTRACT(O3512,""[0-9]+""))
),
0
)"),0.0)</f>
        <v>0</v>
      </c>
      <c r="E3512" s="1" t="s">
        <v>11</v>
      </c>
      <c r="F3512" s="1" t="s">
        <v>12</v>
      </c>
      <c r="G3512" s="4" t="b">
        <f t="shared" si="2"/>
        <v>1</v>
      </c>
      <c r="H3512" s="1" t="str">
        <f t="shared" si="3"/>
        <v>Currently Unavailable</v>
      </c>
      <c r="I3512" s="1" t="str">
        <f t="shared" si="4"/>
        <v>No Badges</v>
      </c>
      <c r="J3512" s="3">
        <f t="shared" si="5"/>
        <v>0</v>
      </c>
    </row>
    <row r="3513">
      <c r="A3513" s="1" t="s">
        <v>2630</v>
      </c>
      <c r="B3513" s="3" t="str">
        <f t="shared" si="1"/>
        <v>Unavailable</v>
      </c>
      <c r="C3513" s="3">
        <v>131.0</v>
      </c>
      <c r="D3513" s="3">
        <f>IFERROR(__xludf.DUMMYFUNCTION("IFERROR(
IF(REGEXMATCH(LOWER(O3513),""k""),
VALUE(REGEXEXTRACT(O3513,""[0-9]+""))*1000,
VALUE(REGEXEXTRACT(O3513,""[0-9]+""))
),
0
)"),0.0)</f>
        <v>0</v>
      </c>
      <c r="E3513" s="1" t="s">
        <v>11</v>
      </c>
      <c r="F3513" s="1" t="s">
        <v>20</v>
      </c>
      <c r="G3513" s="4" t="b">
        <f t="shared" si="2"/>
        <v>1</v>
      </c>
      <c r="H3513" s="1" t="str">
        <f t="shared" si="3"/>
        <v>Currently Unavailable</v>
      </c>
      <c r="I3513" s="1" t="str">
        <f t="shared" si="4"/>
        <v>No Badges</v>
      </c>
      <c r="J3513" s="3">
        <f t="shared" si="5"/>
        <v>0</v>
      </c>
    </row>
    <row r="3514">
      <c r="A3514" s="1" t="s">
        <v>2631</v>
      </c>
      <c r="B3514" s="3" t="str">
        <f t="shared" si="1"/>
        <v>Unavailable</v>
      </c>
      <c r="C3514" s="5">
        <v>7861.0</v>
      </c>
      <c r="D3514" s="3">
        <f>IFERROR(__xludf.DUMMYFUNCTION("IFERROR(
IF(REGEXMATCH(LOWER(O3514),""k""),
VALUE(REGEXEXTRACT(O3514,""[0-9]+""))*1000,
VALUE(REGEXEXTRACT(O3514,""[0-9]+""))
),
0
)"),0.0)</f>
        <v>0</v>
      </c>
      <c r="E3514" s="1" t="s">
        <v>11</v>
      </c>
      <c r="F3514" s="1" t="s">
        <v>20</v>
      </c>
      <c r="G3514" s="4" t="b">
        <f t="shared" si="2"/>
        <v>1</v>
      </c>
      <c r="H3514" s="1" t="str">
        <f t="shared" si="3"/>
        <v>Currently Unavailable</v>
      </c>
      <c r="I3514" s="1" t="str">
        <f t="shared" si="4"/>
        <v>No Badges</v>
      </c>
      <c r="J3514" s="3">
        <f t="shared" si="5"/>
        <v>0</v>
      </c>
    </row>
    <row r="3515">
      <c r="A3515" s="1" t="s">
        <v>2632</v>
      </c>
      <c r="B3515" s="3" t="str">
        <f t="shared" si="1"/>
        <v>Unavailable</v>
      </c>
      <c r="C3515" s="5">
        <v>8112.0</v>
      </c>
      <c r="D3515" s="3">
        <f>IFERROR(__xludf.DUMMYFUNCTION("IFERROR(
IF(REGEXMATCH(LOWER(O3515),""k""),
VALUE(REGEXEXTRACT(O3515,""[0-9]+""))*1000,
VALUE(REGEXEXTRACT(O3515,""[0-9]+""))
),
0
)"),0.0)</f>
        <v>0</v>
      </c>
      <c r="E3515" s="1" t="s">
        <v>11</v>
      </c>
      <c r="F3515" s="1" t="s">
        <v>20</v>
      </c>
      <c r="G3515" s="4" t="b">
        <f t="shared" si="2"/>
        <v>1</v>
      </c>
      <c r="H3515" s="1" t="str">
        <f t="shared" si="3"/>
        <v>Currently Unavailable</v>
      </c>
      <c r="I3515" s="1" t="str">
        <f t="shared" si="4"/>
        <v>No Badges</v>
      </c>
      <c r="J3515" s="3">
        <f t="shared" si="5"/>
        <v>0</v>
      </c>
    </row>
    <row r="3516">
      <c r="A3516" s="1" t="s">
        <v>2633</v>
      </c>
      <c r="B3516" s="3" t="str">
        <f t="shared" si="1"/>
        <v>Unavailable</v>
      </c>
      <c r="C3516" s="5">
        <v>1205.0</v>
      </c>
      <c r="D3516" s="3">
        <f>IFERROR(__xludf.DUMMYFUNCTION("IFERROR(
IF(REGEXMATCH(LOWER(O3516),""k""),
VALUE(REGEXEXTRACT(O3516,""[0-9]+""))*1000,
VALUE(REGEXEXTRACT(O3516,""[0-9]+""))
),
0
)"),0.0)</f>
        <v>0</v>
      </c>
      <c r="E3516" s="1" t="s">
        <v>11</v>
      </c>
      <c r="F3516" s="1" t="s">
        <v>20</v>
      </c>
      <c r="G3516" s="4" t="b">
        <f t="shared" si="2"/>
        <v>1</v>
      </c>
      <c r="H3516" s="1" t="str">
        <f t="shared" si="3"/>
        <v>Currently Unavailable</v>
      </c>
      <c r="I3516" s="1" t="str">
        <f t="shared" si="4"/>
        <v>No Badges</v>
      </c>
      <c r="J3516" s="3">
        <f t="shared" si="5"/>
        <v>0</v>
      </c>
    </row>
    <row r="3517">
      <c r="A3517" s="1" t="s">
        <v>69</v>
      </c>
      <c r="B3517" s="3" t="str">
        <f t="shared" si="1"/>
        <v>Unavailable</v>
      </c>
      <c r="C3517" s="3">
        <v>45.0</v>
      </c>
      <c r="D3517" s="3">
        <f>IFERROR(__xludf.DUMMYFUNCTION("IFERROR(
IF(REGEXMATCH(LOWER(O3517),""k""),
VALUE(REGEXEXTRACT(O3517,""[0-9]+""))*1000,
VALUE(REGEXEXTRACT(O3517,""[0-9]+""))
),
0
)"),0.0)</f>
        <v>0</v>
      </c>
      <c r="E3517" s="1" t="s">
        <v>11</v>
      </c>
      <c r="F3517" s="1" t="s">
        <v>12</v>
      </c>
      <c r="G3517" s="4" t="b">
        <f t="shared" si="2"/>
        <v>1</v>
      </c>
      <c r="H3517" s="1" t="str">
        <f t="shared" si="3"/>
        <v>Currently Unavailable</v>
      </c>
      <c r="I3517" s="1" t="str">
        <f t="shared" si="4"/>
        <v>No Badges</v>
      </c>
      <c r="J3517" s="3">
        <f t="shared" si="5"/>
        <v>0</v>
      </c>
    </row>
    <row r="3518">
      <c r="A3518" s="1" t="s">
        <v>2634</v>
      </c>
      <c r="B3518" s="3" t="str">
        <f t="shared" si="1"/>
        <v>Unavailable</v>
      </c>
      <c r="C3518" s="3">
        <v>138.0</v>
      </c>
      <c r="D3518" s="3">
        <f>IFERROR(__xludf.DUMMYFUNCTION("IFERROR(
IF(REGEXMATCH(LOWER(O3518),""k""),
VALUE(REGEXEXTRACT(O3518,""[0-9]+""))*1000,
VALUE(REGEXEXTRACT(O3518,""[0-9]+""))
),
0
)"),0.0)</f>
        <v>0</v>
      </c>
      <c r="E3518" s="1" t="s">
        <v>11</v>
      </c>
      <c r="F3518" s="1" t="s">
        <v>20</v>
      </c>
      <c r="G3518" s="4" t="b">
        <f t="shared" si="2"/>
        <v>1</v>
      </c>
      <c r="H3518" s="1" t="str">
        <f t="shared" si="3"/>
        <v>Currently Unavailable</v>
      </c>
      <c r="I3518" s="1" t="str">
        <f t="shared" si="4"/>
        <v>No Badges</v>
      </c>
      <c r="J3518" s="3">
        <f t="shared" si="5"/>
        <v>0</v>
      </c>
    </row>
    <row r="3519">
      <c r="A3519" s="1" t="s">
        <v>2635</v>
      </c>
      <c r="B3519" s="3" t="str">
        <f t="shared" si="1"/>
        <v>Unavailable</v>
      </c>
      <c r="C3519" s="3">
        <v>166.0</v>
      </c>
      <c r="D3519" s="3">
        <f>IFERROR(__xludf.DUMMYFUNCTION("IFERROR(
IF(REGEXMATCH(LOWER(O3519),""k""),
VALUE(REGEXEXTRACT(O3519,""[0-9]+""))*1000,
VALUE(REGEXEXTRACT(O3519,""[0-9]+""))
),
0
)"),0.0)</f>
        <v>0</v>
      </c>
      <c r="E3519" s="1" t="s">
        <v>11</v>
      </c>
      <c r="F3519" s="1" t="s">
        <v>20</v>
      </c>
      <c r="G3519" s="4" t="b">
        <f t="shared" si="2"/>
        <v>1</v>
      </c>
      <c r="H3519" s="1" t="str">
        <f t="shared" si="3"/>
        <v>Currently Unavailable</v>
      </c>
      <c r="I3519" s="1" t="str">
        <f t="shared" si="4"/>
        <v>No Badges</v>
      </c>
      <c r="J3519" s="3">
        <f t="shared" si="5"/>
        <v>0</v>
      </c>
    </row>
    <row r="3520">
      <c r="A3520" s="1" t="s">
        <v>2636</v>
      </c>
      <c r="B3520" s="3" t="str">
        <f t="shared" si="1"/>
        <v>Unavailable</v>
      </c>
      <c r="C3520" s="5">
        <v>2778.0</v>
      </c>
      <c r="D3520" s="3">
        <f>IFERROR(__xludf.DUMMYFUNCTION("IFERROR(
IF(REGEXMATCH(LOWER(O3520),""k""),
VALUE(REGEXEXTRACT(O3520,""[0-9]+""))*1000,
VALUE(REGEXEXTRACT(O3520,""[0-9]+""))
),
0
)"),0.0)</f>
        <v>0</v>
      </c>
      <c r="E3520" s="1" t="s">
        <v>11</v>
      </c>
      <c r="F3520" s="1" t="s">
        <v>20</v>
      </c>
      <c r="G3520" s="4" t="b">
        <f t="shared" si="2"/>
        <v>1</v>
      </c>
      <c r="H3520" s="1" t="str">
        <f t="shared" si="3"/>
        <v>Currently Unavailable</v>
      </c>
      <c r="I3520" s="1" t="str">
        <f t="shared" si="4"/>
        <v>No Badges</v>
      </c>
      <c r="J3520" s="3">
        <f t="shared" si="5"/>
        <v>0</v>
      </c>
    </row>
    <row r="3521">
      <c r="A3521" s="1" t="s">
        <v>2637</v>
      </c>
      <c r="B3521" s="3" t="str">
        <f t="shared" si="1"/>
        <v>Unavailable</v>
      </c>
      <c r="C3521" s="5">
        <v>8043.0</v>
      </c>
      <c r="D3521" s="3">
        <f>IFERROR(__xludf.DUMMYFUNCTION("IFERROR(
IF(REGEXMATCH(LOWER(O3521),""k""),
VALUE(REGEXEXTRACT(O3521,""[0-9]+""))*1000,
VALUE(REGEXEXTRACT(O3521,""[0-9]+""))
),
0
)"),0.0)</f>
        <v>0</v>
      </c>
      <c r="E3521" s="1" t="s">
        <v>11</v>
      </c>
      <c r="F3521" s="1" t="s">
        <v>20</v>
      </c>
      <c r="G3521" s="4" t="b">
        <f t="shared" si="2"/>
        <v>1</v>
      </c>
      <c r="H3521" s="1" t="str">
        <f t="shared" si="3"/>
        <v>Currently Unavailable</v>
      </c>
      <c r="I3521" s="1" t="str">
        <f t="shared" si="4"/>
        <v>No Badges</v>
      </c>
      <c r="J3521" s="3">
        <f t="shared" si="5"/>
        <v>0</v>
      </c>
    </row>
    <row r="3522">
      <c r="A3522" s="1" t="s">
        <v>2638</v>
      </c>
      <c r="B3522" s="3" t="str">
        <f t="shared" si="1"/>
        <v>Unavailable</v>
      </c>
      <c r="C3522" s="5">
        <v>1351.0</v>
      </c>
      <c r="D3522" s="3">
        <f>IFERROR(__xludf.DUMMYFUNCTION("IFERROR(
IF(REGEXMATCH(LOWER(O3522),""k""),
VALUE(REGEXEXTRACT(O3522,""[0-9]+""))*1000,
VALUE(REGEXEXTRACT(O3522,""[0-9]+""))
),
0
)"),0.0)</f>
        <v>0</v>
      </c>
      <c r="E3522" s="1" t="s">
        <v>11</v>
      </c>
      <c r="F3522" s="1" t="s">
        <v>20</v>
      </c>
      <c r="G3522" s="4" t="b">
        <f t="shared" si="2"/>
        <v>1</v>
      </c>
      <c r="H3522" s="1" t="str">
        <f t="shared" si="3"/>
        <v>Currently Unavailable</v>
      </c>
      <c r="I3522" s="1" t="str">
        <f t="shared" si="4"/>
        <v>No Badges</v>
      </c>
      <c r="J3522" s="3">
        <f t="shared" si="5"/>
        <v>0</v>
      </c>
    </row>
    <row r="3523">
      <c r="A3523" s="1" t="s">
        <v>2639</v>
      </c>
      <c r="B3523" s="3" t="str">
        <f t="shared" si="1"/>
        <v>Unavailable</v>
      </c>
      <c r="C3523" s="5">
        <v>1626.0</v>
      </c>
      <c r="D3523" s="3">
        <f>IFERROR(__xludf.DUMMYFUNCTION("IFERROR(
IF(REGEXMATCH(LOWER(O3523),""k""),
VALUE(REGEXEXTRACT(O3523,""[0-9]+""))*1000,
VALUE(REGEXEXTRACT(O3523,""[0-9]+""))
),
0
)"),0.0)</f>
        <v>0</v>
      </c>
      <c r="E3523" s="1" t="s">
        <v>11</v>
      </c>
      <c r="F3523" s="1" t="s">
        <v>20</v>
      </c>
      <c r="G3523" s="4" t="b">
        <f t="shared" si="2"/>
        <v>1</v>
      </c>
      <c r="H3523" s="1" t="str">
        <f t="shared" si="3"/>
        <v>Currently Unavailable</v>
      </c>
      <c r="I3523" s="1" t="str">
        <f t="shared" si="4"/>
        <v>No Badges</v>
      </c>
      <c r="J3523" s="3">
        <f t="shared" si="5"/>
        <v>0</v>
      </c>
    </row>
    <row r="3524">
      <c r="A3524" s="1" t="s">
        <v>2640</v>
      </c>
      <c r="B3524" s="3" t="str">
        <f t="shared" si="1"/>
        <v>Unavailable</v>
      </c>
      <c r="C3524" s="5">
        <v>5166.0</v>
      </c>
      <c r="D3524" s="3">
        <f>IFERROR(__xludf.DUMMYFUNCTION("IFERROR(
IF(REGEXMATCH(LOWER(O3524),""k""),
VALUE(REGEXEXTRACT(O3524,""[0-9]+""))*1000,
VALUE(REGEXEXTRACT(O3524,""[0-9]+""))
),
0
)"),0.0)</f>
        <v>0</v>
      </c>
      <c r="E3524" s="1" t="s">
        <v>11</v>
      </c>
      <c r="F3524" s="1" t="s">
        <v>20</v>
      </c>
      <c r="G3524" s="4" t="b">
        <f t="shared" si="2"/>
        <v>1</v>
      </c>
      <c r="H3524" s="1" t="str">
        <f t="shared" si="3"/>
        <v>Currently Unavailable</v>
      </c>
      <c r="I3524" s="1" t="str">
        <f t="shared" si="4"/>
        <v>No Badges</v>
      </c>
      <c r="J3524" s="3">
        <f t="shared" si="5"/>
        <v>0</v>
      </c>
    </row>
    <row r="3525">
      <c r="A3525" s="1" t="s">
        <v>2641</v>
      </c>
      <c r="B3525" s="3" t="str">
        <f t="shared" si="1"/>
        <v>Unavailable</v>
      </c>
      <c r="C3525" s="5">
        <v>1139.0</v>
      </c>
      <c r="D3525" s="3">
        <f>IFERROR(__xludf.DUMMYFUNCTION("IFERROR(
IF(REGEXMATCH(LOWER(O3525),""k""),
VALUE(REGEXEXTRACT(O3525,""[0-9]+""))*1000,
VALUE(REGEXEXTRACT(O3525,""[0-9]+""))
),
0
)"),0.0)</f>
        <v>0</v>
      </c>
      <c r="E3525" s="1" t="s">
        <v>11</v>
      </c>
      <c r="F3525" s="1" t="s">
        <v>20</v>
      </c>
      <c r="G3525" s="4" t="b">
        <f t="shared" si="2"/>
        <v>1</v>
      </c>
      <c r="H3525" s="1" t="str">
        <f t="shared" si="3"/>
        <v>Currently Unavailable</v>
      </c>
      <c r="I3525" s="1" t="str">
        <f t="shared" si="4"/>
        <v>No Badges</v>
      </c>
      <c r="J3525" s="3">
        <f t="shared" si="5"/>
        <v>0</v>
      </c>
    </row>
    <row r="3526">
      <c r="A3526" s="1" t="s">
        <v>2642</v>
      </c>
      <c r="B3526" s="3" t="str">
        <f t="shared" si="1"/>
        <v>Unavailable</v>
      </c>
      <c r="C3526" s="5">
        <v>2416.0</v>
      </c>
      <c r="D3526" s="3">
        <f>IFERROR(__xludf.DUMMYFUNCTION("IFERROR(
IF(REGEXMATCH(LOWER(O3526),""k""),
VALUE(REGEXEXTRACT(O3526,""[0-9]+""))*1000,
VALUE(REGEXEXTRACT(O3526,""[0-9]+""))
),
0
)"),0.0)</f>
        <v>0</v>
      </c>
      <c r="E3526" s="1" t="s">
        <v>11</v>
      </c>
      <c r="F3526" s="1" t="s">
        <v>20</v>
      </c>
      <c r="G3526" s="4" t="b">
        <f t="shared" si="2"/>
        <v>1</v>
      </c>
      <c r="H3526" s="1" t="str">
        <f t="shared" si="3"/>
        <v>Currently Unavailable</v>
      </c>
      <c r="I3526" s="1" t="str">
        <f t="shared" si="4"/>
        <v>No Badges</v>
      </c>
      <c r="J3526" s="3">
        <f t="shared" si="5"/>
        <v>0</v>
      </c>
    </row>
    <row r="3527">
      <c r="A3527" s="1" t="s">
        <v>2643</v>
      </c>
      <c r="B3527" s="3" t="str">
        <f t="shared" si="1"/>
        <v>Unavailable</v>
      </c>
      <c r="C3527" s="3">
        <v>60.0</v>
      </c>
      <c r="D3527" s="3">
        <f>IFERROR(__xludf.DUMMYFUNCTION("IFERROR(
IF(REGEXMATCH(LOWER(O3527),""k""),
VALUE(REGEXEXTRACT(O3527,""[0-9]+""))*1000,
VALUE(REGEXEXTRACT(O3527,""[0-9]+""))
),
0
)"),0.0)</f>
        <v>0</v>
      </c>
      <c r="E3527" s="1" t="s">
        <v>11</v>
      </c>
      <c r="F3527" s="1" t="s">
        <v>20</v>
      </c>
      <c r="G3527" s="4" t="b">
        <f t="shared" si="2"/>
        <v>1</v>
      </c>
      <c r="H3527" s="1" t="str">
        <f t="shared" si="3"/>
        <v>Currently Unavailable</v>
      </c>
      <c r="I3527" s="1" t="str">
        <f t="shared" si="4"/>
        <v>No Badges</v>
      </c>
      <c r="J3527" s="3">
        <f t="shared" si="5"/>
        <v>0</v>
      </c>
    </row>
    <row r="3528">
      <c r="A3528" s="1" t="s">
        <v>2644</v>
      </c>
      <c r="B3528" s="3" t="str">
        <f t="shared" si="1"/>
        <v>Unavailable</v>
      </c>
      <c r="C3528" s="3">
        <v>118.0</v>
      </c>
      <c r="D3528" s="3">
        <f>IFERROR(__xludf.DUMMYFUNCTION("IFERROR(
IF(REGEXMATCH(LOWER(O3528),""k""),
VALUE(REGEXEXTRACT(O3528,""[0-9]+""))*1000,
VALUE(REGEXEXTRACT(O3528,""[0-9]+""))
),
0
)"),0.0)</f>
        <v>0</v>
      </c>
      <c r="E3528" s="1" t="s">
        <v>11</v>
      </c>
      <c r="F3528" s="1" t="s">
        <v>20</v>
      </c>
      <c r="G3528" s="4" t="b">
        <f t="shared" si="2"/>
        <v>1</v>
      </c>
      <c r="H3528" s="1" t="str">
        <f t="shared" si="3"/>
        <v>Currently Unavailable</v>
      </c>
      <c r="I3528" s="1" t="str">
        <f t="shared" si="4"/>
        <v>No Badges</v>
      </c>
      <c r="J3528" s="3">
        <f t="shared" si="5"/>
        <v>0</v>
      </c>
    </row>
    <row r="3529">
      <c r="A3529" s="1" t="s">
        <v>2645</v>
      </c>
      <c r="B3529" s="3" t="str">
        <f t="shared" si="1"/>
        <v>Unavailable</v>
      </c>
      <c r="C3529" s="5">
        <v>5268.0</v>
      </c>
      <c r="D3529" s="3">
        <f>IFERROR(__xludf.DUMMYFUNCTION("IFERROR(
IF(REGEXMATCH(LOWER(O3529),""k""),
VALUE(REGEXEXTRACT(O3529,""[0-9]+""))*1000,
VALUE(REGEXEXTRACT(O3529,""[0-9]+""))
),
0
)"),0.0)</f>
        <v>0</v>
      </c>
      <c r="E3529" s="1" t="s">
        <v>11</v>
      </c>
      <c r="F3529" s="1" t="s">
        <v>20</v>
      </c>
      <c r="G3529" s="4" t="b">
        <f t="shared" si="2"/>
        <v>1</v>
      </c>
      <c r="H3529" s="1" t="str">
        <f t="shared" si="3"/>
        <v>Currently Unavailable</v>
      </c>
      <c r="I3529" s="1" t="str">
        <f t="shared" si="4"/>
        <v>No Badges</v>
      </c>
      <c r="J3529" s="3">
        <f t="shared" si="5"/>
        <v>0</v>
      </c>
    </row>
    <row r="3530">
      <c r="A3530" s="1" t="s">
        <v>67</v>
      </c>
      <c r="B3530" s="3" t="str">
        <f t="shared" si="1"/>
        <v>Unavailable</v>
      </c>
      <c r="C3530" s="3">
        <v>264.0</v>
      </c>
      <c r="D3530" s="3">
        <f>IFERROR(__xludf.DUMMYFUNCTION("IFERROR(
IF(REGEXMATCH(LOWER(O3530),""k""),
VALUE(REGEXEXTRACT(O3530,""[0-9]+""))*1000,
VALUE(REGEXEXTRACT(O3530,""[0-9]+""))
),
0
)"),0.0)</f>
        <v>0</v>
      </c>
      <c r="E3530" s="1" t="s">
        <v>11</v>
      </c>
      <c r="F3530" s="1" t="s">
        <v>12</v>
      </c>
      <c r="G3530" s="4" t="b">
        <f t="shared" si="2"/>
        <v>1</v>
      </c>
      <c r="H3530" s="1" t="str">
        <f t="shared" si="3"/>
        <v>Currently Unavailable</v>
      </c>
      <c r="I3530" s="1" t="str">
        <f t="shared" si="4"/>
        <v>No Badges</v>
      </c>
      <c r="J3530" s="3">
        <f t="shared" si="5"/>
        <v>0</v>
      </c>
    </row>
    <row r="3531">
      <c r="A3531" s="1" t="s">
        <v>2512</v>
      </c>
      <c r="B3531" s="3" t="str">
        <f t="shared" si="1"/>
        <v>Unavailable</v>
      </c>
      <c r="C3531" s="3">
        <v>566.0</v>
      </c>
      <c r="D3531" s="3">
        <f>IFERROR(__xludf.DUMMYFUNCTION("IFERROR(
IF(REGEXMATCH(LOWER(O3531),""k""),
VALUE(REGEXEXTRACT(O3531,""[0-9]+""))*1000,
VALUE(REGEXEXTRACT(O3531,""[0-9]+""))
),
0
)"),0.0)</f>
        <v>0</v>
      </c>
      <c r="E3531" s="1" t="s">
        <v>11</v>
      </c>
      <c r="F3531" s="1" t="s">
        <v>20</v>
      </c>
      <c r="G3531" s="4" t="b">
        <f t="shared" si="2"/>
        <v>1</v>
      </c>
      <c r="H3531" s="1" t="str">
        <f t="shared" si="3"/>
        <v>Currently Unavailable</v>
      </c>
      <c r="I3531" s="1" t="str">
        <f t="shared" si="4"/>
        <v>No Badges</v>
      </c>
      <c r="J3531" s="3">
        <f t="shared" si="5"/>
        <v>0</v>
      </c>
    </row>
    <row r="3532">
      <c r="A3532" s="1" t="s">
        <v>701</v>
      </c>
      <c r="B3532" s="3" t="str">
        <f t="shared" si="1"/>
        <v>Unavailable</v>
      </c>
      <c r="C3532" s="3">
        <v>8.0</v>
      </c>
      <c r="D3532" s="3">
        <f>IFERROR(__xludf.DUMMYFUNCTION("IFERROR(
IF(REGEXMATCH(LOWER(O3532),""k""),
VALUE(REGEXEXTRACT(O3532,""[0-9]+""))*1000,
VALUE(REGEXEXTRACT(O3532,""[0-9]+""))
),
0
)"),0.0)</f>
        <v>0</v>
      </c>
      <c r="E3532" s="1" t="s">
        <v>11</v>
      </c>
      <c r="F3532" s="1" t="s">
        <v>12</v>
      </c>
      <c r="G3532" s="4" t="b">
        <f t="shared" si="2"/>
        <v>1</v>
      </c>
      <c r="H3532" s="1" t="str">
        <f t="shared" si="3"/>
        <v>Currently Unavailable</v>
      </c>
      <c r="I3532" s="1" t="str">
        <f t="shared" si="4"/>
        <v>No Badges</v>
      </c>
      <c r="J3532" s="3">
        <f t="shared" si="5"/>
        <v>0</v>
      </c>
    </row>
    <row r="3533">
      <c r="A3533" s="1" t="s">
        <v>2646</v>
      </c>
      <c r="B3533" s="3" t="str">
        <f t="shared" si="1"/>
        <v>Unavailable</v>
      </c>
      <c r="C3533" s="3">
        <v>24.0</v>
      </c>
      <c r="D3533" s="3">
        <f>IFERROR(__xludf.DUMMYFUNCTION("IFERROR(
IF(REGEXMATCH(LOWER(O3533),""k""),
VALUE(REGEXEXTRACT(O3533,""[0-9]+""))*1000,
VALUE(REGEXEXTRACT(O3533,""[0-9]+""))
),
0
)"),0.0)</f>
        <v>0</v>
      </c>
      <c r="E3533" s="1" t="s">
        <v>11</v>
      </c>
      <c r="F3533" s="1" t="s">
        <v>20</v>
      </c>
      <c r="G3533" s="4" t="b">
        <f t="shared" si="2"/>
        <v>1</v>
      </c>
      <c r="H3533" s="1" t="str">
        <f t="shared" si="3"/>
        <v>Currently Unavailable</v>
      </c>
      <c r="I3533" s="1" t="str">
        <f t="shared" si="4"/>
        <v>No Badges</v>
      </c>
      <c r="J3533" s="3">
        <f t="shared" si="5"/>
        <v>0</v>
      </c>
    </row>
    <row r="3534">
      <c r="A3534" s="1" t="s">
        <v>2647</v>
      </c>
      <c r="B3534" s="3" t="str">
        <f t="shared" si="1"/>
        <v>Unavailable</v>
      </c>
      <c r="C3534" s="5">
        <v>1015.0</v>
      </c>
      <c r="D3534" s="3">
        <f>IFERROR(__xludf.DUMMYFUNCTION("IFERROR(
IF(REGEXMATCH(LOWER(O3534),""k""),
VALUE(REGEXEXTRACT(O3534,""[0-9]+""))*1000,
VALUE(REGEXEXTRACT(O3534,""[0-9]+""))
),
0
)"),0.0)</f>
        <v>0</v>
      </c>
      <c r="E3534" s="1" t="s">
        <v>11</v>
      </c>
      <c r="F3534" s="1" t="s">
        <v>20</v>
      </c>
      <c r="G3534" s="4" t="b">
        <f t="shared" si="2"/>
        <v>1</v>
      </c>
      <c r="H3534" s="1" t="str">
        <f t="shared" si="3"/>
        <v>Currently Unavailable</v>
      </c>
      <c r="I3534" s="1" t="str">
        <f t="shared" si="4"/>
        <v>No Badges</v>
      </c>
      <c r="J3534" s="3">
        <f t="shared" si="5"/>
        <v>0</v>
      </c>
    </row>
    <row r="3535">
      <c r="A3535" s="1" t="s">
        <v>2648</v>
      </c>
      <c r="B3535" s="3" t="str">
        <f t="shared" si="1"/>
        <v>Unavailable</v>
      </c>
      <c r="C3535" s="5">
        <v>25531.0</v>
      </c>
      <c r="D3535" s="3">
        <f>IFERROR(__xludf.DUMMYFUNCTION("IFERROR(
IF(REGEXMATCH(LOWER(O3535),""k""),
VALUE(REGEXEXTRACT(O3535,""[0-9]+""))*1000,
VALUE(REGEXEXTRACT(O3535,""[0-9]+""))
),
0
)"),0.0)</f>
        <v>0</v>
      </c>
      <c r="E3535" s="1" t="s">
        <v>11</v>
      </c>
      <c r="F3535" s="1" t="s">
        <v>20</v>
      </c>
      <c r="G3535" s="4" t="b">
        <f t="shared" si="2"/>
        <v>1</v>
      </c>
      <c r="H3535" s="1" t="str">
        <f t="shared" si="3"/>
        <v>Currently Unavailable</v>
      </c>
      <c r="I3535" s="1" t="str">
        <f t="shared" si="4"/>
        <v>No Badges</v>
      </c>
      <c r="J3535" s="3">
        <f t="shared" si="5"/>
        <v>0</v>
      </c>
    </row>
    <row r="3536">
      <c r="A3536" s="1" t="s">
        <v>2649</v>
      </c>
      <c r="B3536" s="3" t="str">
        <f t="shared" si="1"/>
        <v>Unavailable</v>
      </c>
      <c r="C3536" s="3">
        <v>115.0</v>
      </c>
      <c r="D3536" s="3">
        <f>IFERROR(__xludf.DUMMYFUNCTION("IFERROR(
IF(REGEXMATCH(LOWER(O3536),""k""),
VALUE(REGEXEXTRACT(O3536,""[0-9]+""))*1000,
VALUE(REGEXEXTRACT(O3536,""[0-9]+""))
),
0
)"),0.0)</f>
        <v>0</v>
      </c>
      <c r="E3536" s="1" t="s">
        <v>11</v>
      </c>
      <c r="F3536" s="1" t="s">
        <v>20</v>
      </c>
      <c r="G3536" s="4" t="b">
        <f t="shared" si="2"/>
        <v>1</v>
      </c>
      <c r="H3536" s="1" t="str">
        <f t="shared" si="3"/>
        <v>Currently Unavailable</v>
      </c>
      <c r="I3536" s="1" t="str">
        <f t="shared" si="4"/>
        <v>No Badges</v>
      </c>
      <c r="J3536" s="3">
        <f t="shared" si="5"/>
        <v>0</v>
      </c>
    </row>
    <row r="3537">
      <c r="A3537" s="1" t="s">
        <v>2650</v>
      </c>
      <c r="B3537" s="3" t="str">
        <f t="shared" si="1"/>
        <v>Unavailable</v>
      </c>
      <c r="C3537" s="3">
        <v>183.0</v>
      </c>
      <c r="D3537" s="3">
        <f>IFERROR(__xludf.DUMMYFUNCTION("IFERROR(
IF(REGEXMATCH(LOWER(O3537),""k""),
VALUE(REGEXEXTRACT(O3537,""[0-9]+""))*1000,
VALUE(REGEXEXTRACT(O3537,""[0-9]+""))
),
0
)"),0.0)</f>
        <v>0</v>
      </c>
      <c r="E3537" s="1" t="s">
        <v>11</v>
      </c>
      <c r="F3537" s="1" t="s">
        <v>20</v>
      </c>
      <c r="G3537" s="4" t="b">
        <f t="shared" si="2"/>
        <v>1</v>
      </c>
      <c r="H3537" s="1" t="str">
        <f t="shared" si="3"/>
        <v>Currently Unavailable</v>
      </c>
      <c r="I3537" s="1" t="str">
        <f t="shared" si="4"/>
        <v>No Badges</v>
      </c>
      <c r="J3537" s="3">
        <f t="shared" si="5"/>
        <v>0</v>
      </c>
    </row>
    <row r="3538">
      <c r="A3538" s="1" t="s">
        <v>2651</v>
      </c>
      <c r="B3538" s="3" t="str">
        <f t="shared" si="1"/>
        <v>Unavailable</v>
      </c>
      <c r="C3538" s="5">
        <v>1489.0</v>
      </c>
      <c r="D3538" s="3">
        <f>IFERROR(__xludf.DUMMYFUNCTION("IFERROR(
IF(REGEXMATCH(LOWER(O3538),""k""),
VALUE(REGEXEXTRACT(O3538,""[0-9]+""))*1000,
VALUE(REGEXEXTRACT(O3538,""[0-9]+""))
),
0
)"),0.0)</f>
        <v>0</v>
      </c>
      <c r="E3538" s="1" t="s">
        <v>11</v>
      </c>
      <c r="F3538" s="1" t="s">
        <v>20</v>
      </c>
      <c r="G3538" s="4" t="b">
        <f t="shared" si="2"/>
        <v>1</v>
      </c>
      <c r="H3538" s="1" t="str">
        <f t="shared" si="3"/>
        <v>Currently Unavailable</v>
      </c>
      <c r="I3538" s="1" t="str">
        <f t="shared" si="4"/>
        <v>No Badges</v>
      </c>
      <c r="J3538" s="3">
        <f t="shared" si="5"/>
        <v>0</v>
      </c>
    </row>
    <row r="3539">
      <c r="A3539" s="1" t="s">
        <v>2652</v>
      </c>
      <c r="B3539" s="3" t="str">
        <f t="shared" si="1"/>
        <v>Unavailable</v>
      </c>
      <c r="C3539" s="3">
        <v>879.0</v>
      </c>
      <c r="D3539" s="3">
        <f>IFERROR(__xludf.DUMMYFUNCTION("IFERROR(
IF(REGEXMATCH(LOWER(O3539),""k""),
VALUE(REGEXEXTRACT(O3539,""[0-9]+""))*1000,
VALUE(REGEXEXTRACT(O3539,""[0-9]+""))
),
0
)"),0.0)</f>
        <v>0</v>
      </c>
      <c r="E3539" s="1" t="s">
        <v>11</v>
      </c>
      <c r="F3539" s="1" t="s">
        <v>20</v>
      </c>
      <c r="G3539" s="4" t="b">
        <f t="shared" si="2"/>
        <v>1</v>
      </c>
      <c r="H3539" s="1" t="str">
        <f t="shared" si="3"/>
        <v>Currently Unavailable</v>
      </c>
      <c r="I3539" s="1" t="str">
        <f t="shared" si="4"/>
        <v>No Badges</v>
      </c>
      <c r="J3539" s="3">
        <f t="shared" si="5"/>
        <v>0</v>
      </c>
    </row>
    <row r="3540">
      <c r="A3540" s="1" t="s">
        <v>2351</v>
      </c>
      <c r="B3540" s="3" t="str">
        <f t="shared" si="1"/>
        <v>Unavailable</v>
      </c>
      <c r="C3540" s="3">
        <v>198.0</v>
      </c>
      <c r="D3540" s="3">
        <f>IFERROR(__xludf.DUMMYFUNCTION("IFERROR(
IF(REGEXMATCH(LOWER(O3540),""k""),
VALUE(REGEXEXTRACT(O3540,""[0-9]+""))*1000,
VALUE(REGEXEXTRACT(O3540,""[0-9]+""))
),
0
)"),0.0)</f>
        <v>0</v>
      </c>
      <c r="E3540" s="1" t="s">
        <v>11</v>
      </c>
      <c r="F3540" s="1" t="s">
        <v>20</v>
      </c>
      <c r="G3540" s="4" t="b">
        <f t="shared" si="2"/>
        <v>1</v>
      </c>
      <c r="H3540" s="1" t="str">
        <f t="shared" si="3"/>
        <v>Currently Unavailable</v>
      </c>
      <c r="I3540" s="1" t="str">
        <f t="shared" si="4"/>
        <v>No Badges</v>
      </c>
      <c r="J3540" s="3">
        <f t="shared" si="5"/>
        <v>0</v>
      </c>
    </row>
    <row r="3541">
      <c r="A3541" s="1" t="s">
        <v>2653</v>
      </c>
      <c r="B3541" s="3" t="str">
        <f t="shared" si="1"/>
        <v>Unavailable</v>
      </c>
      <c r="C3541" s="3">
        <v>114.0</v>
      </c>
      <c r="D3541" s="3">
        <f>IFERROR(__xludf.DUMMYFUNCTION("IFERROR(
IF(REGEXMATCH(LOWER(O3541),""k""),
VALUE(REGEXEXTRACT(O3541,""[0-9]+""))*1000,
VALUE(REGEXEXTRACT(O3541,""[0-9]+""))
),
0
)"),0.0)</f>
        <v>0</v>
      </c>
      <c r="E3541" s="1" t="s">
        <v>11</v>
      </c>
      <c r="F3541" s="1" t="s">
        <v>20</v>
      </c>
      <c r="G3541" s="4" t="b">
        <f t="shared" si="2"/>
        <v>1</v>
      </c>
      <c r="H3541" s="1" t="str">
        <f t="shared" si="3"/>
        <v>Currently Unavailable</v>
      </c>
      <c r="I3541" s="1" t="str">
        <f t="shared" si="4"/>
        <v>No Badges</v>
      </c>
      <c r="J3541" s="3">
        <f t="shared" si="5"/>
        <v>0</v>
      </c>
    </row>
    <row r="3542">
      <c r="A3542" s="1" t="s">
        <v>2654</v>
      </c>
      <c r="B3542" s="3" t="str">
        <f t="shared" si="1"/>
        <v>Unavailable</v>
      </c>
      <c r="C3542" s="3">
        <v>270.0</v>
      </c>
      <c r="D3542" s="3">
        <f>IFERROR(__xludf.DUMMYFUNCTION("IFERROR(
IF(REGEXMATCH(LOWER(O3542),""k""),
VALUE(REGEXEXTRACT(O3542,""[0-9]+""))*1000,
VALUE(REGEXEXTRACT(O3542,""[0-9]+""))
),
0
)"),0.0)</f>
        <v>0</v>
      </c>
      <c r="E3542" s="1" t="s">
        <v>11</v>
      </c>
      <c r="F3542" s="1" t="s">
        <v>20</v>
      </c>
      <c r="G3542" s="4" t="b">
        <f t="shared" si="2"/>
        <v>1</v>
      </c>
      <c r="H3542" s="1" t="str">
        <f t="shared" si="3"/>
        <v>Currently Unavailable</v>
      </c>
      <c r="I3542" s="1" t="str">
        <f t="shared" si="4"/>
        <v>No Badges</v>
      </c>
      <c r="J3542" s="3">
        <f t="shared" si="5"/>
        <v>0</v>
      </c>
    </row>
    <row r="3543">
      <c r="A3543" s="1" t="s">
        <v>2655</v>
      </c>
      <c r="B3543" s="3" t="str">
        <f t="shared" si="1"/>
        <v>Unavailable</v>
      </c>
      <c r="C3543" s="3">
        <v>525.0</v>
      </c>
      <c r="D3543" s="3">
        <f>IFERROR(__xludf.DUMMYFUNCTION("IFERROR(
IF(REGEXMATCH(LOWER(O3543),""k""),
VALUE(REGEXEXTRACT(O3543,""[0-9]+""))*1000,
VALUE(REGEXEXTRACT(O3543,""[0-9]+""))
),
0
)"),0.0)</f>
        <v>0</v>
      </c>
      <c r="E3543" s="1" t="s">
        <v>11</v>
      </c>
      <c r="F3543" s="1" t="s">
        <v>20</v>
      </c>
      <c r="G3543" s="4" t="b">
        <f t="shared" si="2"/>
        <v>1</v>
      </c>
      <c r="H3543" s="1" t="str">
        <f t="shared" si="3"/>
        <v>Currently Unavailable</v>
      </c>
      <c r="I3543" s="1" t="str">
        <f t="shared" si="4"/>
        <v>No Badges</v>
      </c>
      <c r="J3543" s="3">
        <f t="shared" si="5"/>
        <v>0</v>
      </c>
    </row>
    <row r="3544">
      <c r="A3544" s="1" t="s">
        <v>2656</v>
      </c>
      <c r="B3544" s="3" t="str">
        <f t="shared" si="1"/>
        <v>Unavailable</v>
      </c>
      <c r="C3544" s="3">
        <v>254.0</v>
      </c>
      <c r="D3544" s="3">
        <f>IFERROR(__xludf.DUMMYFUNCTION("IFERROR(
IF(REGEXMATCH(LOWER(O3544),""k""),
VALUE(REGEXEXTRACT(O3544,""[0-9]+""))*1000,
VALUE(REGEXEXTRACT(O3544,""[0-9]+""))
),
0
)"),0.0)</f>
        <v>0</v>
      </c>
      <c r="E3544" s="1" t="s">
        <v>11</v>
      </c>
      <c r="F3544" s="1" t="s">
        <v>20</v>
      </c>
      <c r="G3544" s="4" t="b">
        <f t="shared" si="2"/>
        <v>1</v>
      </c>
      <c r="H3544" s="1" t="str">
        <f t="shared" si="3"/>
        <v>Currently Unavailable</v>
      </c>
      <c r="I3544" s="1" t="str">
        <f t="shared" si="4"/>
        <v>No Badges</v>
      </c>
      <c r="J3544" s="3">
        <f t="shared" si="5"/>
        <v>0</v>
      </c>
    </row>
    <row r="3545">
      <c r="A3545" s="1" t="s">
        <v>2657</v>
      </c>
      <c r="B3545" s="3" t="str">
        <f t="shared" si="1"/>
        <v>Unavailable</v>
      </c>
      <c r="C3545" s="3">
        <v>231.0</v>
      </c>
      <c r="D3545" s="3">
        <f>IFERROR(__xludf.DUMMYFUNCTION("IFERROR(
IF(REGEXMATCH(LOWER(O3545),""k""),
VALUE(REGEXEXTRACT(O3545,""[0-9]+""))*1000,
VALUE(REGEXEXTRACT(O3545,""[0-9]+""))
),
0
)"),0.0)</f>
        <v>0</v>
      </c>
      <c r="E3545" s="1" t="s">
        <v>11</v>
      </c>
      <c r="F3545" s="1" t="s">
        <v>20</v>
      </c>
      <c r="G3545" s="4" t="b">
        <f t="shared" si="2"/>
        <v>1</v>
      </c>
      <c r="H3545" s="1" t="str">
        <f t="shared" si="3"/>
        <v>Currently Unavailable</v>
      </c>
      <c r="I3545" s="1" t="str">
        <f t="shared" si="4"/>
        <v>No Badges</v>
      </c>
      <c r="J3545" s="3">
        <f t="shared" si="5"/>
        <v>0</v>
      </c>
    </row>
    <row r="3546">
      <c r="A3546" s="1" t="s">
        <v>88</v>
      </c>
      <c r="B3546" s="3" t="str">
        <f t="shared" si="1"/>
        <v>Unavailable</v>
      </c>
      <c r="C3546" s="3">
        <v>5.0</v>
      </c>
      <c r="D3546" s="3">
        <f>IFERROR(__xludf.DUMMYFUNCTION("IFERROR(
IF(REGEXMATCH(LOWER(O3546),""k""),
VALUE(REGEXEXTRACT(O3546,""[0-9]+""))*1000,
VALUE(REGEXEXTRACT(O3546,""[0-9]+""))
),
0
)"),0.0)</f>
        <v>0</v>
      </c>
      <c r="E3546" s="1" t="s">
        <v>11</v>
      </c>
      <c r="F3546" s="1" t="s">
        <v>12</v>
      </c>
      <c r="G3546" s="4" t="b">
        <f t="shared" si="2"/>
        <v>1</v>
      </c>
      <c r="H3546" s="1" t="str">
        <f t="shared" si="3"/>
        <v>Currently Unavailable</v>
      </c>
      <c r="I3546" s="1" t="str">
        <f t="shared" si="4"/>
        <v>No Badges</v>
      </c>
      <c r="J3546" s="3">
        <f t="shared" si="5"/>
        <v>0</v>
      </c>
    </row>
    <row r="3547">
      <c r="A3547" s="1" t="s">
        <v>40</v>
      </c>
      <c r="B3547" s="3" t="str">
        <f t="shared" si="1"/>
        <v>Unavailable</v>
      </c>
      <c r="C3547" s="3">
        <v>171.0</v>
      </c>
      <c r="D3547" s="3">
        <f>IFERROR(__xludf.DUMMYFUNCTION("IFERROR(
IF(REGEXMATCH(LOWER(O3547),""k""),
VALUE(REGEXEXTRACT(O3547,""[0-9]+""))*1000,
VALUE(REGEXEXTRACT(O3547,""[0-9]+""))
),
0
)"),0.0)</f>
        <v>0</v>
      </c>
      <c r="E3547" s="1" t="s">
        <v>11</v>
      </c>
      <c r="F3547" s="1" t="s">
        <v>12</v>
      </c>
      <c r="G3547" s="4" t="b">
        <f t="shared" si="2"/>
        <v>1</v>
      </c>
      <c r="H3547" s="1" t="str">
        <f t="shared" si="3"/>
        <v>Currently Unavailable</v>
      </c>
      <c r="I3547" s="1" t="str">
        <f t="shared" si="4"/>
        <v>No Badges</v>
      </c>
      <c r="J3547" s="3">
        <f t="shared" si="5"/>
        <v>0</v>
      </c>
    </row>
    <row r="3548">
      <c r="A3548" s="1" t="s">
        <v>2658</v>
      </c>
      <c r="B3548" s="3" t="str">
        <f t="shared" si="1"/>
        <v>Unavailable</v>
      </c>
      <c r="C3548" s="3">
        <v>531.0</v>
      </c>
      <c r="D3548" s="3">
        <f>IFERROR(__xludf.DUMMYFUNCTION("IFERROR(
IF(REGEXMATCH(LOWER(O3548),""k""),
VALUE(REGEXEXTRACT(O3548,""[0-9]+""))*1000,
VALUE(REGEXEXTRACT(O3548,""[0-9]+""))
),
0
)"),0.0)</f>
        <v>0</v>
      </c>
      <c r="E3548" s="1" t="s">
        <v>11</v>
      </c>
      <c r="F3548" s="1" t="s">
        <v>20</v>
      </c>
      <c r="G3548" s="4" t="b">
        <f t="shared" si="2"/>
        <v>1</v>
      </c>
      <c r="H3548" s="1" t="str">
        <f t="shared" si="3"/>
        <v>Currently Unavailable</v>
      </c>
      <c r="I3548" s="1" t="str">
        <f t="shared" si="4"/>
        <v>No Badges</v>
      </c>
      <c r="J3548" s="3">
        <f t="shared" si="5"/>
        <v>0</v>
      </c>
    </row>
    <row r="3549">
      <c r="A3549" s="1" t="s">
        <v>2659</v>
      </c>
      <c r="B3549" s="3" t="str">
        <f t="shared" si="1"/>
        <v>Unavailable</v>
      </c>
      <c r="C3549" s="5">
        <v>1254.0</v>
      </c>
      <c r="D3549" s="3">
        <f>IFERROR(__xludf.DUMMYFUNCTION("IFERROR(
IF(REGEXMATCH(LOWER(O3549),""k""),
VALUE(REGEXEXTRACT(O3549,""[0-9]+""))*1000,
VALUE(REGEXEXTRACT(O3549,""[0-9]+""))
),
0
)"),0.0)</f>
        <v>0</v>
      </c>
      <c r="E3549" s="1" t="s">
        <v>11</v>
      </c>
      <c r="F3549" s="1" t="s">
        <v>20</v>
      </c>
      <c r="G3549" s="4" t="b">
        <f t="shared" si="2"/>
        <v>1</v>
      </c>
      <c r="H3549" s="1" t="str">
        <f t="shared" si="3"/>
        <v>Currently Unavailable</v>
      </c>
      <c r="I3549" s="1" t="str">
        <f t="shared" si="4"/>
        <v>No Badges</v>
      </c>
      <c r="J3549" s="3">
        <f t="shared" si="5"/>
        <v>0</v>
      </c>
    </row>
    <row r="3550">
      <c r="A3550" s="1" t="s">
        <v>69</v>
      </c>
      <c r="B3550" s="3" t="str">
        <f t="shared" si="1"/>
        <v>Unavailable</v>
      </c>
      <c r="C3550" s="3">
        <v>45.0</v>
      </c>
      <c r="D3550" s="3">
        <f>IFERROR(__xludf.DUMMYFUNCTION("IFERROR(
IF(REGEXMATCH(LOWER(O3550),""k""),
VALUE(REGEXEXTRACT(O3550,""[0-9]+""))*1000,
VALUE(REGEXEXTRACT(O3550,""[0-9]+""))
),
0
)"),0.0)</f>
        <v>0</v>
      </c>
      <c r="E3550" s="1" t="s">
        <v>11</v>
      </c>
      <c r="F3550" s="1" t="s">
        <v>12</v>
      </c>
      <c r="G3550" s="4" t="b">
        <f t="shared" si="2"/>
        <v>1</v>
      </c>
      <c r="H3550" s="1" t="str">
        <f t="shared" si="3"/>
        <v>Currently Unavailable</v>
      </c>
      <c r="I3550" s="1" t="str">
        <f t="shared" si="4"/>
        <v>No Badges</v>
      </c>
      <c r="J3550" s="3">
        <f t="shared" si="5"/>
        <v>0</v>
      </c>
    </row>
    <row r="3551">
      <c r="A3551" s="1" t="s">
        <v>2660</v>
      </c>
      <c r="B3551" s="3" t="str">
        <f t="shared" si="1"/>
        <v>Unavailable</v>
      </c>
      <c r="C3551" s="5">
        <v>1514.0</v>
      </c>
      <c r="D3551" s="3">
        <f>IFERROR(__xludf.DUMMYFUNCTION("IFERROR(
IF(REGEXMATCH(LOWER(O3551),""k""),
VALUE(REGEXEXTRACT(O3551,""[0-9]+""))*1000,
VALUE(REGEXEXTRACT(O3551,""[0-9]+""))
),
0
)"),0.0)</f>
        <v>0</v>
      </c>
      <c r="E3551" s="1" t="s">
        <v>11</v>
      </c>
      <c r="F3551" s="1" t="s">
        <v>20</v>
      </c>
      <c r="G3551" s="4" t="b">
        <f t="shared" si="2"/>
        <v>1</v>
      </c>
      <c r="H3551" s="1" t="str">
        <f t="shared" si="3"/>
        <v>Currently Unavailable</v>
      </c>
      <c r="I3551" s="1" t="str">
        <f t="shared" si="4"/>
        <v>No Badges</v>
      </c>
      <c r="J3551" s="3">
        <f t="shared" si="5"/>
        <v>0</v>
      </c>
    </row>
    <row r="3552">
      <c r="A3552" s="1" t="s">
        <v>2661</v>
      </c>
      <c r="B3552" s="3" t="str">
        <f t="shared" si="1"/>
        <v>Unavailable</v>
      </c>
      <c r="C3552" s="5">
        <v>2218.0</v>
      </c>
      <c r="D3552" s="3">
        <f>IFERROR(__xludf.DUMMYFUNCTION("IFERROR(
IF(REGEXMATCH(LOWER(O3552),""k""),
VALUE(REGEXEXTRACT(O3552,""[0-9]+""))*1000,
VALUE(REGEXEXTRACT(O3552,""[0-9]+""))
),
0
)"),0.0)</f>
        <v>0</v>
      </c>
      <c r="E3552" s="1" t="s">
        <v>11</v>
      </c>
      <c r="F3552" s="1" t="s">
        <v>20</v>
      </c>
      <c r="G3552" s="4" t="b">
        <f t="shared" si="2"/>
        <v>1</v>
      </c>
      <c r="H3552" s="1" t="str">
        <f t="shared" si="3"/>
        <v>Currently Unavailable</v>
      </c>
      <c r="I3552" s="1" t="str">
        <f t="shared" si="4"/>
        <v>No Badges</v>
      </c>
      <c r="J3552" s="3">
        <f t="shared" si="5"/>
        <v>0</v>
      </c>
    </row>
    <row r="3553">
      <c r="A3553" s="1" t="s">
        <v>2662</v>
      </c>
      <c r="B3553" s="3" t="str">
        <f t="shared" si="1"/>
        <v>Unavailable</v>
      </c>
      <c r="C3553" s="5">
        <v>13799.0</v>
      </c>
      <c r="D3553" s="3">
        <f>IFERROR(__xludf.DUMMYFUNCTION("IFERROR(
IF(REGEXMATCH(LOWER(O3553),""k""),
VALUE(REGEXEXTRACT(O3553,""[0-9]+""))*1000,
VALUE(REGEXEXTRACT(O3553,""[0-9]+""))
),
0
)"),0.0)</f>
        <v>0</v>
      </c>
      <c r="E3553" s="1" t="s">
        <v>11</v>
      </c>
      <c r="F3553" s="1" t="s">
        <v>20</v>
      </c>
      <c r="G3553" s="4" t="b">
        <f t="shared" si="2"/>
        <v>1</v>
      </c>
      <c r="H3553" s="1" t="str">
        <f t="shared" si="3"/>
        <v>Currently Unavailable</v>
      </c>
      <c r="I3553" s="1" t="str">
        <f t="shared" si="4"/>
        <v>No Badges</v>
      </c>
      <c r="J3553" s="3">
        <f t="shared" si="5"/>
        <v>0</v>
      </c>
    </row>
    <row r="3554">
      <c r="A3554" s="1" t="s">
        <v>2663</v>
      </c>
      <c r="B3554" s="3" t="str">
        <f t="shared" si="1"/>
        <v>Unavailable</v>
      </c>
      <c r="C3554" s="3">
        <v>137.0</v>
      </c>
      <c r="D3554" s="3">
        <f>IFERROR(__xludf.DUMMYFUNCTION("IFERROR(
IF(REGEXMATCH(LOWER(O3554),""k""),
VALUE(REGEXEXTRACT(O3554,""[0-9]+""))*1000,
VALUE(REGEXEXTRACT(O3554,""[0-9]+""))
),
0
)"),0.0)</f>
        <v>0</v>
      </c>
      <c r="E3554" s="1" t="s">
        <v>11</v>
      </c>
      <c r="F3554" s="1" t="s">
        <v>20</v>
      </c>
      <c r="G3554" s="4" t="b">
        <f t="shared" si="2"/>
        <v>1</v>
      </c>
      <c r="H3554" s="1" t="str">
        <f t="shared" si="3"/>
        <v>Currently Unavailable</v>
      </c>
      <c r="I3554" s="1" t="str">
        <f t="shared" si="4"/>
        <v>No Badges</v>
      </c>
      <c r="J3554" s="3">
        <f t="shared" si="5"/>
        <v>0</v>
      </c>
    </row>
    <row r="3555">
      <c r="A3555" s="1" t="s">
        <v>2664</v>
      </c>
      <c r="B3555" s="3" t="str">
        <f t="shared" si="1"/>
        <v>Unavailable</v>
      </c>
      <c r="C3555" s="5">
        <v>3070.0</v>
      </c>
      <c r="D3555" s="3">
        <f>IFERROR(__xludf.DUMMYFUNCTION("IFERROR(
IF(REGEXMATCH(LOWER(O3555),""k""),
VALUE(REGEXEXTRACT(O3555,""[0-9]+""))*1000,
VALUE(REGEXEXTRACT(O3555,""[0-9]+""))
),
0
)"),0.0)</f>
        <v>0</v>
      </c>
      <c r="E3555" s="1" t="s">
        <v>11</v>
      </c>
      <c r="F3555" s="1" t="s">
        <v>20</v>
      </c>
      <c r="G3555" s="4" t="b">
        <f t="shared" si="2"/>
        <v>1</v>
      </c>
      <c r="H3555" s="1" t="str">
        <f t="shared" si="3"/>
        <v>Currently Unavailable</v>
      </c>
      <c r="I3555" s="1" t="str">
        <f t="shared" si="4"/>
        <v>No Badges</v>
      </c>
      <c r="J3555" s="3">
        <f t="shared" si="5"/>
        <v>0</v>
      </c>
    </row>
    <row r="3556">
      <c r="A3556" s="1" t="s">
        <v>2665</v>
      </c>
      <c r="B3556" s="3" t="str">
        <f t="shared" si="1"/>
        <v>Unavailable</v>
      </c>
      <c r="C3556" s="3">
        <v>149.0</v>
      </c>
      <c r="D3556" s="3">
        <f>IFERROR(__xludf.DUMMYFUNCTION("IFERROR(
IF(REGEXMATCH(LOWER(O3556),""k""),
VALUE(REGEXEXTRACT(O3556,""[0-9]+""))*1000,
VALUE(REGEXEXTRACT(O3556,""[0-9]+""))
),
0
)"),0.0)</f>
        <v>0</v>
      </c>
      <c r="E3556" s="1" t="s">
        <v>11</v>
      </c>
      <c r="F3556" s="1" t="s">
        <v>20</v>
      </c>
      <c r="G3556" s="4" t="b">
        <f t="shared" si="2"/>
        <v>1</v>
      </c>
      <c r="H3556" s="1" t="str">
        <f t="shared" si="3"/>
        <v>Currently Unavailable</v>
      </c>
      <c r="I3556" s="1" t="str">
        <f t="shared" si="4"/>
        <v>No Badges</v>
      </c>
      <c r="J3556" s="3">
        <f t="shared" si="5"/>
        <v>0</v>
      </c>
    </row>
    <row r="3557">
      <c r="A3557" s="1" t="s">
        <v>2666</v>
      </c>
      <c r="B3557" s="3" t="str">
        <f t="shared" si="1"/>
        <v>Unavailable</v>
      </c>
      <c r="C3557" s="3">
        <v>78.0</v>
      </c>
      <c r="D3557" s="3">
        <f>IFERROR(__xludf.DUMMYFUNCTION("IFERROR(
IF(REGEXMATCH(LOWER(O3557),""k""),
VALUE(REGEXEXTRACT(O3557,""[0-9]+""))*1000,
VALUE(REGEXEXTRACT(O3557,""[0-9]+""))
),
0
)"),0.0)</f>
        <v>0</v>
      </c>
      <c r="E3557" s="1" t="s">
        <v>11</v>
      </c>
      <c r="F3557" s="1" t="s">
        <v>20</v>
      </c>
      <c r="G3557" s="4" t="b">
        <f t="shared" si="2"/>
        <v>1</v>
      </c>
      <c r="H3557" s="1" t="str">
        <f t="shared" si="3"/>
        <v>Currently Unavailable</v>
      </c>
      <c r="I3557" s="1" t="str">
        <f t="shared" si="4"/>
        <v>No Badges</v>
      </c>
      <c r="J3557" s="3">
        <f t="shared" si="5"/>
        <v>0</v>
      </c>
    </row>
    <row r="3558">
      <c r="A3558" s="1" t="s">
        <v>2667</v>
      </c>
      <c r="B3558" s="3" t="str">
        <f t="shared" si="1"/>
        <v>Unavailable</v>
      </c>
      <c r="C3558" s="3">
        <v>181.0</v>
      </c>
      <c r="D3558" s="3">
        <f>IFERROR(__xludf.DUMMYFUNCTION("IFERROR(
IF(REGEXMATCH(LOWER(O3558),""k""),
VALUE(REGEXEXTRACT(O3558,""[0-9]+""))*1000,
VALUE(REGEXEXTRACT(O3558,""[0-9]+""))
),
0
)"),0.0)</f>
        <v>0</v>
      </c>
      <c r="E3558" s="1" t="s">
        <v>11</v>
      </c>
      <c r="F3558" s="1" t="s">
        <v>20</v>
      </c>
      <c r="G3558" s="4" t="b">
        <f t="shared" si="2"/>
        <v>1</v>
      </c>
      <c r="H3558" s="1" t="str">
        <f t="shared" si="3"/>
        <v>Currently Unavailable</v>
      </c>
      <c r="I3558" s="1" t="str">
        <f t="shared" si="4"/>
        <v>No Badges</v>
      </c>
      <c r="J3558" s="3">
        <f t="shared" si="5"/>
        <v>0</v>
      </c>
    </row>
    <row r="3559">
      <c r="A3559" s="1" t="s">
        <v>2668</v>
      </c>
      <c r="B3559" s="3" t="str">
        <f t="shared" si="1"/>
        <v>Unavailable</v>
      </c>
      <c r="C3559" s="3">
        <v>17.0</v>
      </c>
      <c r="D3559" s="3">
        <f>IFERROR(__xludf.DUMMYFUNCTION("IFERROR(
IF(REGEXMATCH(LOWER(O3559),""k""),
VALUE(REGEXEXTRACT(O3559,""[0-9]+""))*1000,
VALUE(REGEXEXTRACT(O3559,""[0-9]+""))
),
0
)"),0.0)</f>
        <v>0</v>
      </c>
      <c r="E3559" s="1" t="s">
        <v>11</v>
      </c>
      <c r="F3559" s="1" t="s">
        <v>20</v>
      </c>
      <c r="G3559" s="4" t="b">
        <f t="shared" si="2"/>
        <v>1</v>
      </c>
      <c r="H3559" s="1" t="str">
        <f t="shared" si="3"/>
        <v>Currently Unavailable</v>
      </c>
      <c r="I3559" s="1" t="str">
        <f t="shared" si="4"/>
        <v>No Badges</v>
      </c>
      <c r="J3559" s="3">
        <f t="shared" si="5"/>
        <v>0</v>
      </c>
    </row>
    <row r="3560">
      <c r="A3560" s="1" t="s">
        <v>2669</v>
      </c>
      <c r="B3560" s="3" t="str">
        <f t="shared" si="1"/>
        <v>Unavailable</v>
      </c>
      <c r="C3560" s="3">
        <v>262.0</v>
      </c>
      <c r="D3560" s="3">
        <f>IFERROR(__xludf.DUMMYFUNCTION("IFERROR(
IF(REGEXMATCH(LOWER(O3560),""k""),
VALUE(REGEXEXTRACT(O3560,""[0-9]+""))*1000,
VALUE(REGEXEXTRACT(O3560,""[0-9]+""))
),
0
)"),0.0)</f>
        <v>0</v>
      </c>
      <c r="E3560" s="1" t="s">
        <v>11</v>
      </c>
      <c r="F3560" s="1" t="s">
        <v>20</v>
      </c>
      <c r="G3560" s="4" t="b">
        <f t="shared" si="2"/>
        <v>1</v>
      </c>
      <c r="H3560" s="1" t="str">
        <f t="shared" si="3"/>
        <v>Currently Unavailable</v>
      </c>
      <c r="I3560" s="1" t="str">
        <f t="shared" si="4"/>
        <v>No Badges</v>
      </c>
      <c r="J3560" s="3">
        <f t="shared" si="5"/>
        <v>0</v>
      </c>
    </row>
    <row r="3561">
      <c r="A3561" s="1" t="s">
        <v>2670</v>
      </c>
      <c r="B3561" s="3" t="str">
        <f t="shared" si="1"/>
        <v>Unavailable</v>
      </c>
      <c r="C3561" s="5">
        <v>2598.0</v>
      </c>
      <c r="D3561" s="3">
        <f>IFERROR(__xludf.DUMMYFUNCTION("IFERROR(
IF(REGEXMATCH(LOWER(O3561),""k""),
VALUE(REGEXEXTRACT(O3561,""[0-9]+""))*1000,
VALUE(REGEXEXTRACT(O3561,""[0-9]+""))
),
0
)"),0.0)</f>
        <v>0</v>
      </c>
      <c r="E3561" s="1" t="s">
        <v>11</v>
      </c>
      <c r="F3561" s="1" t="s">
        <v>20</v>
      </c>
      <c r="G3561" s="4" t="b">
        <f t="shared" si="2"/>
        <v>1</v>
      </c>
      <c r="H3561" s="1" t="str">
        <f t="shared" si="3"/>
        <v>Currently Unavailable</v>
      </c>
      <c r="I3561" s="1" t="str">
        <f t="shared" si="4"/>
        <v>No Badges</v>
      </c>
      <c r="J3561" s="3">
        <f t="shared" si="5"/>
        <v>0</v>
      </c>
    </row>
    <row r="3562">
      <c r="A3562" s="1" t="s">
        <v>2671</v>
      </c>
      <c r="B3562" s="3" t="str">
        <f t="shared" si="1"/>
        <v>Unavailable</v>
      </c>
      <c r="C3562" s="5">
        <v>1413.0</v>
      </c>
      <c r="D3562" s="3">
        <f>IFERROR(__xludf.DUMMYFUNCTION("IFERROR(
IF(REGEXMATCH(LOWER(O3562),""k""),
VALUE(REGEXEXTRACT(O3562,""[0-9]+""))*1000,
VALUE(REGEXEXTRACT(O3562,""[0-9]+""))
),
0
)"),0.0)</f>
        <v>0</v>
      </c>
      <c r="E3562" s="1" t="s">
        <v>11</v>
      </c>
      <c r="F3562" s="1" t="s">
        <v>20</v>
      </c>
      <c r="G3562" s="4" t="b">
        <f t="shared" si="2"/>
        <v>1</v>
      </c>
      <c r="H3562" s="1" t="str">
        <f t="shared" si="3"/>
        <v>Currently Unavailable</v>
      </c>
      <c r="I3562" s="1" t="str">
        <f t="shared" si="4"/>
        <v>No Badges</v>
      </c>
      <c r="J3562" s="3">
        <f t="shared" si="5"/>
        <v>0</v>
      </c>
    </row>
    <row r="3563">
      <c r="A3563" s="1" t="s">
        <v>67</v>
      </c>
      <c r="B3563" s="3" t="str">
        <f t="shared" si="1"/>
        <v>Unavailable</v>
      </c>
      <c r="C3563" s="3">
        <v>264.0</v>
      </c>
      <c r="D3563" s="3">
        <f>IFERROR(__xludf.DUMMYFUNCTION("IFERROR(
IF(REGEXMATCH(LOWER(O3563),""k""),
VALUE(REGEXEXTRACT(O3563,""[0-9]+""))*1000,
VALUE(REGEXEXTRACT(O3563,""[0-9]+""))
),
0
)"),0.0)</f>
        <v>0</v>
      </c>
      <c r="E3563" s="1" t="s">
        <v>11</v>
      </c>
      <c r="F3563" s="1" t="s">
        <v>12</v>
      </c>
      <c r="G3563" s="4" t="b">
        <f t="shared" si="2"/>
        <v>1</v>
      </c>
      <c r="H3563" s="1" t="str">
        <f t="shared" si="3"/>
        <v>Currently Unavailable</v>
      </c>
      <c r="I3563" s="1" t="str">
        <f t="shared" si="4"/>
        <v>No Badges</v>
      </c>
      <c r="J3563" s="3">
        <f t="shared" si="5"/>
        <v>0</v>
      </c>
    </row>
    <row r="3564">
      <c r="A3564" s="1" t="s">
        <v>2672</v>
      </c>
      <c r="B3564" s="3" t="str">
        <f t="shared" si="1"/>
        <v>Unavailable</v>
      </c>
      <c r="C3564" s="5">
        <v>8728.0</v>
      </c>
      <c r="D3564" s="3">
        <f>IFERROR(__xludf.DUMMYFUNCTION("IFERROR(
IF(REGEXMATCH(LOWER(O3564),""k""),
VALUE(REGEXEXTRACT(O3564,""[0-9]+""))*1000,
VALUE(REGEXEXTRACT(O3564,""[0-9]+""))
),
0
)"),0.0)</f>
        <v>0</v>
      </c>
      <c r="E3564" s="1" t="s">
        <v>11</v>
      </c>
      <c r="F3564" s="1" t="s">
        <v>20</v>
      </c>
      <c r="G3564" s="4" t="b">
        <f t="shared" si="2"/>
        <v>1</v>
      </c>
      <c r="H3564" s="1" t="str">
        <f t="shared" si="3"/>
        <v>Currently Unavailable</v>
      </c>
      <c r="I3564" s="1" t="str">
        <f t="shared" si="4"/>
        <v>No Badges</v>
      </c>
      <c r="J3564" s="3">
        <f t="shared" si="5"/>
        <v>0</v>
      </c>
    </row>
    <row r="3565">
      <c r="A3565" s="1" t="s">
        <v>701</v>
      </c>
      <c r="B3565" s="3" t="str">
        <f t="shared" si="1"/>
        <v>Unavailable</v>
      </c>
      <c r="C3565" s="3">
        <v>8.0</v>
      </c>
      <c r="D3565" s="3">
        <f>IFERROR(__xludf.DUMMYFUNCTION("IFERROR(
IF(REGEXMATCH(LOWER(O3565),""k""),
VALUE(REGEXEXTRACT(O3565,""[0-9]+""))*1000,
VALUE(REGEXEXTRACT(O3565,""[0-9]+""))
),
0
)"),0.0)</f>
        <v>0</v>
      </c>
      <c r="E3565" s="1" t="s">
        <v>11</v>
      </c>
      <c r="F3565" s="1" t="s">
        <v>12</v>
      </c>
      <c r="G3565" s="4" t="b">
        <f t="shared" si="2"/>
        <v>1</v>
      </c>
      <c r="H3565" s="1" t="str">
        <f t="shared" si="3"/>
        <v>Currently Unavailable</v>
      </c>
      <c r="I3565" s="1" t="str">
        <f t="shared" si="4"/>
        <v>No Badges</v>
      </c>
      <c r="J3565" s="3">
        <f t="shared" si="5"/>
        <v>0</v>
      </c>
    </row>
    <row r="3566">
      <c r="A3566" s="1" t="s">
        <v>2673</v>
      </c>
      <c r="B3566" s="3" t="str">
        <f t="shared" si="1"/>
        <v>Unavailable</v>
      </c>
      <c r="C3566" s="3">
        <v>134.0</v>
      </c>
      <c r="D3566" s="3">
        <f>IFERROR(__xludf.DUMMYFUNCTION("IFERROR(
IF(REGEXMATCH(LOWER(O3566),""k""),
VALUE(REGEXEXTRACT(O3566,""[0-9]+""))*1000,
VALUE(REGEXEXTRACT(O3566,""[0-9]+""))
),
0
)"),0.0)</f>
        <v>0</v>
      </c>
      <c r="E3566" s="1" t="s">
        <v>11</v>
      </c>
      <c r="F3566" s="1" t="s">
        <v>20</v>
      </c>
      <c r="G3566" s="4" t="b">
        <f t="shared" si="2"/>
        <v>1</v>
      </c>
      <c r="H3566" s="1" t="str">
        <f t="shared" si="3"/>
        <v>Currently Unavailable</v>
      </c>
      <c r="I3566" s="1" t="str">
        <f t="shared" si="4"/>
        <v>No Badges</v>
      </c>
      <c r="J3566" s="3">
        <f t="shared" si="5"/>
        <v>0</v>
      </c>
    </row>
    <row r="3567">
      <c r="A3567" s="1" t="s">
        <v>2674</v>
      </c>
      <c r="B3567" s="3" t="str">
        <f t="shared" si="1"/>
        <v>Unavailable</v>
      </c>
      <c r="C3567" s="5">
        <v>2540.0</v>
      </c>
      <c r="D3567" s="3">
        <f>IFERROR(__xludf.DUMMYFUNCTION("IFERROR(
IF(REGEXMATCH(LOWER(O3567),""k""),
VALUE(REGEXEXTRACT(O3567,""[0-9]+""))*1000,
VALUE(REGEXEXTRACT(O3567,""[0-9]+""))
),
0
)"),0.0)</f>
        <v>0</v>
      </c>
      <c r="E3567" s="1" t="s">
        <v>11</v>
      </c>
      <c r="F3567" s="1" t="s">
        <v>20</v>
      </c>
      <c r="G3567" s="4" t="b">
        <f t="shared" si="2"/>
        <v>1</v>
      </c>
      <c r="H3567" s="1" t="str">
        <f t="shared" si="3"/>
        <v>Currently Unavailable</v>
      </c>
      <c r="I3567" s="1" t="str">
        <f t="shared" si="4"/>
        <v>No Badges</v>
      </c>
      <c r="J3567" s="3">
        <f t="shared" si="5"/>
        <v>0</v>
      </c>
    </row>
    <row r="3568">
      <c r="A3568" s="1" t="s">
        <v>2675</v>
      </c>
      <c r="B3568" s="3" t="str">
        <f t="shared" si="1"/>
        <v>Unavailable</v>
      </c>
      <c r="C3568" s="5">
        <v>2897.0</v>
      </c>
      <c r="D3568" s="3">
        <f>IFERROR(__xludf.DUMMYFUNCTION("IFERROR(
IF(REGEXMATCH(LOWER(O3568),""k""),
VALUE(REGEXEXTRACT(O3568,""[0-9]+""))*1000,
VALUE(REGEXEXTRACT(O3568,""[0-9]+""))
),
0
)"),0.0)</f>
        <v>0</v>
      </c>
      <c r="E3568" s="1" t="s">
        <v>11</v>
      </c>
      <c r="F3568" s="1" t="s">
        <v>20</v>
      </c>
      <c r="G3568" s="4" t="b">
        <f t="shared" si="2"/>
        <v>1</v>
      </c>
      <c r="H3568" s="1" t="str">
        <f t="shared" si="3"/>
        <v>Currently Unavailable</v>
      </c>
      <c r="I3568" s="1" t="str">
        <f t="shared" si="4"/>
        <v>No Badges</v>
      </c>
      <c r="J3568" s="3">
        <f t="shared" si="5"/>
        <v>0</v>
      </c>
    </row>
    <row r="3569">
      <c r="A3569" s="1" t="s">
        <v>2676</v>
      </c>
      <c r="B3569" s="3" t="str">
        <f t="shared" si="1"/>
        <v>Unavailable</v>
      </c>
      <c r="C3569" s="3">
        <v>38.0</v>
      </c>
      <c r="D3569" s="3">
        <f>IFERROR(__xludf.DUMMYFUNCTION("IFERROR(
IF(REGEXMATCH(LOWER(O3569),""k""),
VALUE(REGEXEXTRACT(O3569,""[0-9]+""))*1000,
VALUE(REGEXEXTRACT(O3569,""[0-9]+""))
),
0
)"),0.0)</f>
        <v>0</v>
      </c>
      <c r="E3569" s="1" t="s">
        <v>11</v>
      </c>
      <c r="F3569" s="1" t="s">
        <v>20</v>
      </c>
      <c r="G3569" s="4" t="b">
        <f t="shared" si="2"/>
        <v>1</v>
      </c>
      <c r="H3569" s="1" t="str">
        <f t="shared" si="3"/>
        <v>Currently Unavailable</v>
      </c>
      <c r="I3569" s="1" t="str">
        <f t="shared" si="4"/>
        <v>No Badges</v>
      </c>
      <c r="J3569" s="3">
        <f t="shared" si="5"/>
        <v>0</v>
      </c>
    </row>
    <row r="3570">
      <c r="A3570" s="1" t="s">
        <v>2677</v>
      </c>
      <c r="B3570" s="3" t="str">
        <f t="shared" si="1"/>
        <v>Unavailable</v>
      </c>
      <c r="C3570" s="3">
        <v>907.0</v>
      </c>
      <c r="D3570" s="3">
        <f>IFERROR(__xludf.DUMMYFUNCTION("IFERROR(
IF(REGEXMATCH(LOWER(O3570),""k""),
VALUE(REGEXEXTRACT(O3570,""[0-9]+""))*1000,
VALUE(REGEXEXTRACT(O3570,""[0-9]+""))
),
0
)"),0.0)</f>
        <v>0</v>
      </c>
      <c r="E3570" s="1" t="s">
        <v>11</v>
      </c>
      <c r="F3570" s="1" t="s">
        <v>20</v>
      </c>
      <c r="G3570" s="4" t="b">
        <f t="shared" si="2"/>
        <v>1</v>
      </c>
      <c r="H3570" s="1" t="str">
        <f t="shared" si="3"/>
        <v>Currently Unavailable</v>
      </c>
      <c r="I3570" s="1" t="str">
        <f t="shared" si="4"/>
        <v>No Badges</v>
      </c>
      <c r="J3570" s="3">
        <f t="shared" si="5"/>
        <v>0</v>
      </c>
    </row>
    <row r="3571">
      <c r="A3571" s="1" t="s">
        <v>2678</v>
      </c>
      <c r="B3571" s="3" t="str">
        <f t="shared" si="1"/>
        <v>Unavailable</v>
      </c>
      <c r="C3571" s="3">
        <v>24.0</v>
      </c>
      <c r="D3571" s="3">
        <f>IFERROR(__xludf.DUMMYFUNCTION("IFERROR(
IF(REGEXMATCH(LOWER(O3571),""k""),
VALUE(REGEXEXTRACT(O3571,""[0-9]+""))*1000,
VALUE(REGEXEXTRACT(O3571,""[0-9]+""))
),
0
)"),0.0)</f>
        <v>0</v>
      </c>
      <c r="E3571" s="1" t="s">
        <v>11</v>
      </c>
      <c r="F3571" s="1" t="s">
        <v>20</v>
      </c>
      <c r="G3571" s="4" t="b">
        <f t="shared" si="2"/>
        <v>1</v>
      </c>
      <c r="H3571" s="1" t="str">
        <f t="shared" si="3"/>
        <v>Currently Unavailable</v>
      </c>
      <c r="I3571" s="1" t="str">
        <f t="shared" si="4"/>
        <v>No Badges</v>
      </c>
      <c r="J3571" s="3">
        <f t="shared" si="5"/>
        <v>0</v>
      </c>
    </row>
    <row r="3572">
      <c r="A3572" s="1" t="s">
        <v>2679</v>
      </c>
      <c r="B3572" s="3" t="str">
        <f t="shared" si="1"/>
        <v>Unavailable</v>
      </c>
      <c r="C3572" s="3">
        <v>740.0</v>
      </c>
      <c r="D3572" s="3">
        <f>IFERROR(__xludf.DUMMYFUNCTION("IFERROR(
IF(REGEXMATCH(LOWER(O3572),""k""),
VALUE(REGEXEXTRACT(O3572,""[0-9]+""))*1000,
VALUE(REGEXEXTRACT(O3572,""[0-9]+""))
),
0
)"),0.0)</f>
        <v>0</v>
      </c>
      <c r="E3572" s="1" t="s">
        <v>11</v>
      </c>
      <c r="F3572" s="1" t="s">
        <v>20</v>
      </c>
      <c r="G3572" s="4" t="b">
        <f t="shared" si="2"/>
        <v>1</v>
      </c>
      <c r="H3572" s="1" t="str">
        <f t="shared" si="3"/>
        <v>Currently Unavailable</v>
      </c>
      <c r="I3572" s="1" t="str">
        <f t="shared" si="4"/>
        <v>No Badges</v>
      </c>
      <c r="J3572" s="3">
        <f t="shared" si="5"/>
        <v>0</v>
      </c>
    </row>
    <row r="3573">
      <c r="A3573" s="1" t="s">
        <v>2680</v>
      </c>
      <c r="B3573" s="3" t="str">
        <f t="shared" si="1"/>
        <v>Unavailable</v>
      </c>
      <c r="C3573" s="5">
        <v>2058.0</v>
      </c>
      <c r="D3573" s="3">
        <f>IFERROR(__xludf.DUMMYFUNCTION("IFERROR(
IF(REGEXMATCH(LOWER(O3573),""k""),
VALUE(REGEXEXTRACT(O3573,""[0-9]+""))*1000,
VALUE(REGEXEXTRACT(O3573,""[0-9]+""))
),
0
)"),0.0)</f>
        <v>0</v>
      </c>
      <c r="E3573" s="1" t="s">
        <v>11</v>
      </c>
      <c r="F3573" s="1" t="s">
        <v>20</v>
      </c>
      <c r="G3573" s="4" t="b">
        <f t="shared" si="2"/>
        <v>1</v>
      </c>
      <c r="H3573" s="1" t="str">
        <f t="shared" si="3"/>
        <v>Currently Unavailable</v>
      </c>
      <c r="I3573" s="1" t="str">
        <f t="shared" si="4"/>
        <v>No Badges</v>
      </c>
      <c r="J3573" s="3">
        <f t="shared" si="5"/>
        <v>0</v>
      </c>
    </row>
    <row r="3574">
      <c r="A3574" s="1" t="s">
        <v>2681</v>
      </c>
      <c r="B3574" s="3" t="str">
        <f t="shared" si="1"/>
        <v>Unavailable</v>
      </c>
      <c r="C3574" s="5">
        <v>1047.0</v>
      </c>
      <c r="D3574" s="3">
        <f>IFERROR(__xludf.DUMMYFUNCTION("IFERROR(
IF(REGEXMATCH(LOWER(O3574),""k""),
VALUE(REGEXEXTRACT(O3574,""[0-9]+""))*1000,
VALUE(REGEXEXTRACT(O3574,""[0-9]+""))
),
0
)"),0.0)</f>
        <v>0</v>
      </c>
      <c r="E3574" s="1" t="s">
        <v>11</v>
      </c>
      <c r="F3574" s="1" t="s">
        <v>20</v>
      </c>
      <c r="G3574" s="4" t="b">
        <f t="shared" si="2"/>
        <v>1</v>
      </c>
      <c r="H3574" s="1" t="str">
        <f t="shared" si="3"/>
        <v>Currently Unavailable</v>
      </c>
      <c r="I3574" s="1" t="str">
        <f t="shared" si="4"/>
        <v>No Badges</v>
      </c>
      <c r="J3574" s="3">
        <f t="shared" si="5"/>
        <v>0</v>
      </c>
    </row>
    <row r="3575">
      <c r="A3575" s="1" t="s">
        <v>2682</v>
      </c>
      <c r="B3575" s="3" t="str">
        <f t="shared" si="1"/>
        <v>Unavailable</v>
      </c>
      <c r="C3575" s="3">
        <v>284.0</v>
      </c>
      <c r="D3575" s="3">
        <f>IFERROR(__xludf.DUMMYFUNCTION("IFERROR(
IF(REGEXMATCH(LOWER(O3575),""k""),
VALUE(REGEXEXTRACT(O3575,""[0-9]+""))*1000,
VALUE(REGEXEXTRACT(O3575,""[0-9]+""))
),
0
)"),0.0)</f>
        <v>0</v>
      </c>
      <c r="E3575" s="1" t="s">
        <v>11</v>
      </c>
      <c r="F3575" s="1" t="s">
        <v>20</v>
      </c>
      <c r="G3575" s="4" t="b">
        <f t="shared" si="2"/>
        <v>1</v>
      </c>
      <c r="H3575" s="1" t="str">
        <f t="shared" si="3"/>
        <v>Currently Unavailable</v>
      </c>
      <c r="I3575" s="1" t="str">
        <f t="shared" si="4"/>
        <v>No Badges</v>
      </c>
      <c r="J3575" s="3">
        <f t="shared" si="5"/>
        <v>0</v>
      </c>
    </row>
    <row r="3576">
      <c r="A3576" s="1" t="s">
        <v>2683</v>
      </c>
      <c r="B3576" s="3" t="str">
        <f t="shared" si="1"/>
        <v>Unavailable</v>
      </c>
      <c r="C3576" s="3">
        <v>14.0</v>
      </c>
      <c r="D3576" s="3">
        <f>IFERROR(__xludf.DUMMYFUNCTION("IFERROR(
IF(REGEXMATCH(LOWER(O3576),""k""),
VALUE(REGEXEXTRACT(O3576,""[0-9]+""))*1000,
VALUE(REGEXEXTRACT(O3576,""[0-9]+""))
),
0
)"),0.0)</f>
        <v>0</v>
      </c>
      <c r="E3576" s="1" t="s">
        <v>11</v>
      </c>
      <c r="F3576" s="1" t="s">
        <v>20</v>
      </c>
      <c r="G3576" s="4" t="b">
        <f t="shared" si="2"/>
        <v>1</v>
      </c>
      <c r="H3576" s="1" t="str">
        <f t="shared" si="3"/>
        <v>Currently Unavailable</v>
      </c>
      <c r="I3576" s="1" t="str">
        <f t="shared" si="4"/>
        <v>No Badges</v>
      </c>
      <c r="J3576" s="3">
        <f t="shared" si="5"/>
        <v>0</v>
      </c>
    </row>
    <row r="3577">
      <c r="A3577" s="1" t="s">
        <v>2684</v>
      </c>
      <c r="B3577" s="3" t="str">
        <f t="shared" si="1"/>
        <v>Unavailable</v>
      </c>
      <c r="C3577" s="3">
        <v>10.0</v>
      </c>
      <c r="D3577" s="3">
        <f>IFERROR(__xludf.DUMMYFUNCTION("IFERROR(
IF(REGEXMATCH(LOWER(O3577),""k""),
VALUE(REGEXEXTRACT(O3577,""[0-9]+""))*1000,
VALUE(REGEXEXTRACT(O3577,""[0-9]+""))
),
0
)"),0.0)</f>
        <v>0</v>
      </c>
      <c r="E3577" s="1" t="s">
        <v>11</v>
      </c>
      <c r="F3577" s="1" t="s">
        <v>20</v>
      </c>
      <c r="G3577" s="4" t="b">
        <f t="shared" si="2"/>
        <v>1</v>
      </c>
      <c r="H3577" s="1" t="str">
        <f t="shared" si="3"/>
        <v>Currently Unavailable</v>
      </c>
      <c r="I3577" s="1" t="str">
        <f t="shared" si="4"/>
        <v>No Badges</v>
      </c>
      <c r="J3577" s="3">
        <f t="shared" si="5"/>
        <v>0</v>
      </c>
    </row>
    <row r="3578">
      <c r="A3578" s="1" t="s">
        <v>2685</v>
      </c>
      <c r="B3578" s="3" t="str">
        <f t="shared" si="1"/>
        <v>Unavailable</v>
      </c>
      <c r="C3578" s="5">
        <v>6327.0</v>
      </c>
      <c r="D3578" s="3">
        <f>IFERROR(__xludf.DUMMYFUNCTION("IFERROR(
IF(REGEXMATCH(LOWER(O3578),""k""),
VALUE(REGEXEXTRACT(O3578,""[0-9]+""))*1000,
VALUE(REGEXEXTRACT(O3578,""[0-9]+""))
),
0
)"),0.0)</f>
        <v>0</v>
      </c>
      <c r="E3578" s="1" t="s">
        <v>11</v>
      </c>
      <c r="F3578" s="1" t="s">
        <v>20</v>
      </c>
      <c r="G3578" s="4" t="b">
        <f t="shared" si="2"/>
        <v>1</v>
      </c>
      <c r="H3578" s="1" t="str">
        <f t="shared" si="3"/>
        <v>Currently Unavailable</v>
      </c>
      <c r="I3578" s="1" t="str">
        <f t="shared" si="4"/>
        <v>No Badges</v>
      </c>
      <c r="J3578" s="3">
        <f t="shared" si="5"/>
        <v>0</v>
      </c>
    </row>
    <row r="3579">
      <c r="A3579" s="1" t="s">
        <v>88</v>
      </c>
      <c r="B3579" s="3" t="str">
        <f t="shared" si="1"/>
        <v>Unavailable</v>
      </c>
      <c r="C3579" s="3">
        <v>5.0</v>
      </c>
      <c r="D3579" s="3">
        <f>IFERROR(__xludf.DUMMYFUNCTION("IFERROR(
IF(REGEXMATCH(LOWER(O3579),""k""),
VALUE(REGEXEXTRACT(O3579,""[0-9]+""))*1000,
VALUE(REGEXEXTRACT(O3579,""[0-9]+""))
),
0
)"),0.0)</f>
        <v>0</v>
      </c>
      <c r="E3579" s="1" t="s">
        <v>11</v>
      </c>
      <c r="F3579" s="1" t="s">
        <v>12</v>
      </c>
      <c r="G3579" s="4" t="b">
        <f t="shared" si="2"/>
        <v>1</v>
      </c>
      <c r="H3579" s="1" t="str">
        <f t="shared" si="3"/>
        <v>Currently Unavailable</v>
      </c>
      <c r="I3579" s="1" t="str">
        <f t="shared" si="4"/>
        <v>No Badges</v>
      </c>
      <c r="J3579" s="3">
        <f t="shared" si="5"/>
        <v>0</v>
      </c>
    </row>
    <row r="3580">
      <c r="A3580" s="1" t="s">
        <v>40</v>
      </c>
      <c r="B3580" s="3" t="str">
        <f t="shared" si="1"/>
        <v>Unavailable</v>
      </c>
      <c r="C3580" s="3">
        <v>171.0</v>
      </c>
      <c r="D3580" s="3">
        <f>IFERROR(__xludf.DUMMYFUNCTION("IFERROR(
IF(REGEXMATCH(LOWER(O3580),""k""),
VALUE(REGEXEXTRACT(O3580,""[0-9]+""))*1000,
VALUE(REGEXEXTRACT(O3580,""[0-9]+""))
),
0
)"),0.0)</f>
        <v>0</v>
      </c>
      <c r="E3580" s="1" t="s">
        <v>11</v>
      </c>
      <c r="F3580" s="1" t="s">
        <v>12</v>
      </c>
      <c r="G3580" s="4" t="b">
        <f t="shared" si="2"/>
        <v>1</v>
      </c>
      <c r="H3580" s="1" t="str">
        <f t="shared" si="3"/>
        <v>Currently Unavailable</v>
      </c>
      <c r="I3580" s="1" t="str">
        <f t="shared" si="4"/>
        <v>No Badges</v>
      </c>
      <c r="J3580" s="3">
        <f t="shared" si="5"/>
        <v>0</v>
      </c>
    </row>
    <row r="3581">
      <c r="A3581" s="1" t="s">
        <v>2686</v>
      </c>
      <c r="B3581" s="3" t="str">
        <f t="shared" si="1"/>
        <v>Unavailable</v>
      </c>
      <c r="C3581" s="3">
        <v>73.0</v>
      </c>
      <c r="D3581" s="3">
        <f>IFERROR(__xludf.DUMMYFUNCTION("IFERROR(
IF(REGEXMATCH(LOWER(O3581),""k""),
VALUE(REGEXEXTRACT(O3581,""[0-9]+""))*1000,
VALUE(REGEXEXTRACT(O3581,""[0-9]+""))
),
0
)"),0.0)</f>
        <v>0</v>
      </c>
      <c r="E3581" s="1" t="s">
        <v>11</v>
      </c>
      <c r="F3581" s="1" t="s">
        <v>20</v>
      </c>
      <c r="G3581" s="4" t="b">
        <f t="shared" si="2"/>
        <v>1</v>
      </c>
      <c r="H3581" s="1" t="str">
        <f t="shared" si="3"/>
        <v>Currently Unavailable</v>
      </c>
      <c r="I3581" s="1" t="str">
        <f t="shared" si="4"/>
        <v>No Badges</v>
      </c>
      <c r="J3581" s="3">
        <f t="shared" si="5"/>
        <v>0</v>
      </c>
    </row>
    <row r="3582">
      <c r="A3582" s="1" t="s">
        <v>2687</v>
      </c>
      <c r="B3582" s="3" t="str">
        <f t="shared" si="1"/>
        <v>Unavailable</v>
      </c>
      <c r="C3582" s="3">
        <v>456.0</v>
      </c>
      <c r="D3582" s="3">
        <f>IFERROR(__xludf.DUMMYFUNCTION("IFERROR(
IF(REGEXMATCH(LOWER(O3582),""k""),
VALUE(REGEXEXTRACT(O3582,""[0-9]+""))*1000,
VALUE(REGEXEXTRACT(O3582,""[0-9]+""))
),
0
)"),0.0)</f>
        <v>0</v>
      </c>
      <c r="E3582" s="1" t="s">
        <v>11</v>
      </c>
      <c r="F3582" s="1" t="s">
        <v>20</v>
      </c>
      <c r="G3582" s="4" t="b">
        <f t="shared" si="2"/>
        <v>1</v>
      </c>
      <c r="H3582" s="1" t="str">
        <f t="shared" si="3"/>
        <v>Currently Unavailable</v>
      </c>
      <c r="I3582" s="1" t="str">
        <f t="shared" si="4"/>
        <v>No Badges</v>
      </c>
      <c r="J3582" s="3">
        <f t="shared" si="5"/>
        <v>0</v>
      </c>
    </row>
    <row r="3583">
      <c r="A3583" s="1" t="s">
        <v>69</v>
      </c>
      <c r="B3583" s="3" t="str">
        <f t="shared" si="1"/>
        <v>Unavailable</v>
      </c>
      <c r="C3583" s="3">
        <v>45.0</v>
      </c>
      <c r="D3583" s="3">
        <f>IFERROR(__xludf.DUMMYFUNCTION("IFERROR(
IF(REGEXMATCH(LOWER(O3583),""k""),
VALUE(REGEXEXTRACT(O3583,""[0-9]+""))*1000,
VALUE(REGEXEXTRACT(O3583,""[0-9]+""))
),
0
)"),0.0)</f>
        <v>0</v>
      </c>
      <c r="E3583" s="1" t="s">
        <v>11</v>
      </c>
      <c r="F3583" s="1" t="s">
        <v>12</v>
      </c>
      <c r="G3583" s="4" t="b">
        <f t="shared" si="2"/>
        <v>1</v>
      </c>
      <c r="H3583" s="1" t="str">
        <f t="shared" si="3"/>
        <v>Currently Unavailable</v>
      </c>
      <c r="I3583" s="1" t="str">
        <f t="shared" si="4"/>
        <v>No Badges</v>
      </c>
      <c r="J3583" s="3">
        <f t="shared" si="5"/>
        <v>0</v>
      </c>
    </row>
    <row r="3584">
      <c r="A3584" s="1" t="s">
        <v>2688</v>
      </c>
      <c r="B3584" s="3" t="str">
        <f t="shared" si="1"/>
        <v>Unavailable</v>
      </c>
      <c r="C3584" s="5">
        <v>8568.0</v>
      </c>
      <c r="D3584" s="3">
        <f>IFERROR(__xludf.DUMMYFUNCTION("IFERROR(
IF(REGEXMATCH(LOWER(O3584),""k""),
VALUE(REGEXEXTRACT(O3584,""[0-9]+""))*1000,
VALUE(REGEXEXTRACT(O3584,""[0-9]+""))
),
0
)"),0.0)</f>
        <v>0</v>
      </c>
      <c r="E3584" s="1" t="s">
        <v>11</v>
      </c>
      <c r="F3584" s="1" t="s">
        <v>20</v>
      </c>
      <c r="G3584" s="4" t="b">
        <f t="shared" si="2"/>
        <v>1</v>
      </c>
      <c r="H3584" s="1" t="str">
        <f t="shared" si="3"/>
        <v>Currently Unavailable</v>
      </c>
      <c r="I3584" s="1" t="str">
        <f t="shared" si="4"/>
        <v>No Badges</v>
      </c>
      <c r="J3584" s="3">
        <f t="shared" si="5"/>
        <v>0</v>
      </c>
    </row>
    <row r="3585">
      <c r="A3585" s="1" t="s">
        <v>2689</v>
      </c>
      <c r="B3585" s="3" t="str">
        <f t="shared" si="1"/>
        <v>Unavailable</v>
      </c>
      <c r="C3585" s="3">
        <v>428.0</v>
      </c>
      <c r="D3585" s="3">
        <f>IFERROR(__xludf.DUMMYFUNCTION("IFERROR(
IF(REGEXMATCH(LOWER(O3585),""k""),
VALUE(REGEXEXTRACT(O3585,""[0-9]+""))*1000,
VALUE(REGEXEXTRACT(O3585,""[0-9]+""))
),
0
)"),0.0)</f>
        <v>0</v>
      </c>
      <c r="E3585" s="1" t="s">
        <v>11</v>
      </c>
      <c r="F3585" s="1" t="s">
        <v>20</v>
      </c>
      <c r="G3585" s="4" t="b">
        <f t="shared" si="2"/>
        <v>1</v>
      </c>
      <c r="H3585" s="1" t="str">
        <f t="shared" si="3"/>
        <v>Currently Unavailable</v>
      </c>
      <c r="I3585" s="1" t="str">
        <f t="shared" si="4"/>
        <v>No Badges</v>
      </c>
      <c r="J3585" s="3">
        <f t="shared" si="5"/>
        <v>0</v>
      </c>
    </row>
    <row r="3586">
      <c r="A3586" s="1" t="s">
        <v>2690</v>
      </c>
      <c r="B3586" s="3" t="str">
        <f t="shared" si="1"/>
        <v>Unavailable</v>
      </c>
      <c r="C3586" s="3">
        <v>342.0</v>
      </c>
      <c r="D3586" s="3">
        <f>IFERROR(__xludf.DUMMYFUNCTION("IFERROR(
IF(REGEXMATCH(LOWER(O3586),""k""),
VALUE(REGEXEXTRACT(O3586,""[0-9]+""))*1000,
VALUE(REGEXEXTRACT(O3586,""[0-9]+""))
),
0
)"),0.0)</f>
        <v>0</v>
      </c>
      <c r="E3586" s="1" t="s">
        <v>11</v>
      </c>
      <c r="F3586" s="1" t="s">
        <v>20</v>
      </c>
      <c r="G3586" s="4" t="b">
        <f t="shared" si="2"/>
        <v>1</v>
      </c>
      <c r="H3586" s="1" t="str">
        <f t="shared" si="3"/>
        <v>Currently Unavailable</v>
      </c>
      <c r="I3586" s="1" t="str">
        <f t="shared" si="4"/>
        <v>No Badges</v>
      </c>
      <c r="J3586" s="3">
        <f t="shared" si="5"/>
        <v>0</v>
      </c>
    </row>
    <row r="3587">
      <c r="A3587" s="1" t="s">
        <v>2691</v>
      </c>
      <c r="B3587" s="3" t="str">
        <f t="shared" si="1"/>
        <v>Unavailable</v>
      </c>
      <c r="C3587" s="3">
        <v>361.0</v>
      </c>
      <c r="D3587" s="3">
        <f>IFERROR(__xludf.DUMMYFUNCTION("IFERROR(
IF(REGEXMATCH(LOWER(O3587),""k""),
VALUE(REGEXEXTRACT(O3587,""[0-9]+""))*1000,
VALUE(REGEXEXTRACT(O3587,""[0-9]+""))
),
0
)"),0.0)</f>
        <v>0</v>
      </c>
      <c r="E3587" s="1" t="s">
        <v>11</v>
      </c>
      <c r="F3587" s="1" t="s">
        <v>20</v>
      </c>
      <c r="G3587" s="4" t="b">
        <f t="shared" si="2"/>
        <v>1</v>
      </c>
      <c r="H3587" s="1" t="str">
        <f t="shared" si="3"/>
        <v>Currently Unavailable</v>
      </c>
      <c r="I3587" s="1" t="str">
        <f t="shared" si="4"/>
        <v>No Badges</v>
      </c>
      <c r="J3587" s="3">
        <f t="shared" si="5"/>
        <v>0</v>
      </c>
    </row>
    <row r="3588">
      <c r="A3588" s="1" t="s">
        <v>2692</v>
      </c>
      <c r="B3588" s="3" t="str">
        <f t="shared" si="1"/>
        <v>Unavailable</v>
      </c>
      <c r="C3588" s="3">
        <v>423.0</v>
      </c>
      <c r="D3588" s="3">
        <f>IFERROR(__xludf.DUMMYFUNCTION("IFERROR(
IF(REGEXMATCH(LOWER(O3588),""k""),
VALUE(REGEXEXTRACT(O3588,""[0-9]+""))*1000,
VALUE(REGEXEXTRACT(O3588,""[0-9]+""))
),
0
)"),0.0)</f>
        <v>0</v>
      </c>
      <c r="E3588" s="1" t="s">
        <v>11</v>
      </c>
      <c r="F3588" s="1" t="s">
        <v>20</v>
      </c>
      <c r="G3588" s="4" t="b">
        <f t="shared" si="2"/>
        <v>1</v>
      </c>
      <c r="H3588" s="1" t="str">
        <f t="shared" si="3"/>
        <v>Currently Unavailable</v>
      </c>
      <c r="I3588" s="1" t="str">
        <f t="shared" si="4"/>
        <v>No Badges</v>
      </c>
      <c r="J3588" s="3">
        <f t="shared" si="5"/>
        <v>0</v>
      </c>
    </row>
    <row r="3589">
      <c r="A3589" s="1" t="s">
        <v>2693</v>
      </c>
      <c r="B3589" s="3" t="str">
        <f t="shared" si="1"/>
        <v>Unavailable</v>
      </c>
      <c r="C3589" s="5">
        <v>6839.0</v>
      </c>
      <c r="D3589" s="3">
        <f>IFERROR(__xludf.DUMMYFUNCTION("IFERROR(
IF(REGEXMATCH(LOWER(O3589),""k""),
VALUE(REGEXEXTRACT(O3589,""[0-9]+""))*1000,
VALUE(REGEXEXTRACT(O3589,""[0-9]+""))
),
0
)"),0.0)</f>
        <v>0</v>
      </c>
      <c r="E3589" s="1" t="s">
        <v>11</v>
      </c>
      <c r="F3589" s="1" t="s">
        <v>20</v>
      </c>
      <c r="G3589" s="4" t="b">
        <f t="shared" si="2"/>
        <v>1</v>
      </c>
      <c r="H3589" s="1" t="str">
        <f t="shared" si="3"/>
        <v>Currently Unavailable</v>
      </c>
      <c r="I3589" s="1" t="str">
        <f t="shared" si="4"/>
        <v>No Badges</v>
      </c>
      <c r="J3589" s="3">
        <f t="shared" si="5"/>
        <v>0</v>
      </c>
    </row>
    <row r="3590">
      <c r="A3590" s="1" t="s">
        <v>2694</v>
      </c>
      <c r="B3590" s="3" t="str">
        <f t="shared" si="1"/>
        <v>Unavailable</v>
      </c>
      <c r="C3590" s="3">
        <v>60.0</v>
      </c>
      <c r="D3590" s="3">
        <f>IFERROR(__xludf.DUMMYFUNCTION("IFERROR(
IF(REGEXMATCH(LOWER(O3590),""k""),
VALUE(REGEXEXTRACT(O3590,""[0-9]+""))*1000,
VALUE(REGEXEXTRACT(O3590,""[0-9]+""))
),
0
)"),0.0)</f>
        <v>0</v>
      </c>
      <c r="E3590" s="1" t="s">
        <v>11</v>
      </c>
      <c r="F3590" s="1" t="s">
        <v>20</v>
      </c>
      <c r="G3590" s="4" t="b">
        <f t="shared" si="2"/>
        <v>1</v>
      </c>
      <c r="H3590" s="1" t="str">
        <f t="shared" si="3"/>
        <v>Currently Unavailable</v>
      </c>
      <c r="I3590" s="1" t="str">
        <f t="shared" si="4"/>
        <v>No Badges</v>
      </c>
      <c r="J3590" s="3">
        <f t="shared" si="5"/>
        <v>0</v>
      </c>
    </row>
    <row r="3591">
      <c r="A3591" s="1" t="s">
        <v>2695</v>
      </c>
      <c r="B3591" s="3" t="str">
        <f t="shared" si="1"/>
        <v>Unavailable</v>
      </c>
      <c r="C3591" s="5">
        <v>22573.0</v>
      </c>
      <c r="D3591" s="3">
        <f>IFERROR(__xludf.DUMMYFUNCTION("IFERROR(
IF(REGEXMATCH(LOWER(O3591),""k""),
VALUE(REGEXEXTRACT(O3591,""[0-9]+""))*1000,
VALUE(REGEXEXTRACT(O3591,""[0-9]+""))
),
0
)"),0.0)</f>
        <v>0</v>
      </c>
      <c r="E3591" s="1" t="s">
        <v>11</v>
      </c>
      <c r="F3591" s="1" t="s">
        <v>20</v>
      </c>
      <c r="G3591" s="4" t="b">
        <f t="shared" si="2"/>
        <v>1</v>
      </c>
      <c r="H3591" s="1" t="str">
        <f t="shared" si="3"/>
        <v>Currently Unavailable</v>
      </c>
      <c r="I3591" s="1" t="str">
        <f t="shared" si="4"/>
        <v>No Badges</v>
      </c>
      <c r="J3591" s="3">
        <f t="shared" si="5"/>
        <v>0</v>
      </c>
    </row>
    <row r="3592">
      <c r="A3592" s="1" t="s">
        <v>2696</v>
      </c>
      <c r="B3592" s="3" t="str">
        <f t="shared" si="1"/>
        <v>Unavailable</v>
      </c>
      <c r="C3592" s="3">
        <v>169.0</v>
      </c>
      <c r="D3592" s="3">
        <f>IFERROR(__xludf.DUMMYFUNCTION("IFERROR(
IF(REGEXMATCH(LOWER(O3592),""k""),
VALUE(REGEXEXTRACT(O3592,""[0-9]+""))*1000,
VALUE(REGEXEXTRACT(O3592,""[0-9]+""))
),
0
)"),0.0)</f>
        <v>0</v>
      </c>
      <c r="E3592" s="1" t="s">
        <v>11</v>
      </c>
      <c r="F3592" s="1" t="s">
        <v>20</v>
      </c>
      <c r="G3592" s="4" t="b">
        <f t="shared" si="2"/>
        <v>1</v>
      </c>
      <c r="H3592" s="1" t="str">
        <f t="shared" si="3"/>
        <v>Currently Unavailable</v>
      </c>
      <c r="I3592" s="1" t="str">
        <f t="shared" si="4"/>
        <v>No Badges</v>
      </c>
      <c r="J3592" s="3">
        <f t="shared" si="5"/>
        <v>0</v>
      </c>
    </row>
    <row r="3593">
      <c r="A3593" s="1" t="s">
        <v>2697</v>
      </c>
      <c r="B3593" s="3" t="str">
        <f t="shared" si="1"/>
        <v>Unavailable</v>
      </c>
      <c r="C3593" s="3">
        <v>39.0</v>
      </c>
      <c r="D3593" s="3">
        <f>IFERROR(__xludf.DUMMYFUNCTION("IFERROR(
IF(REGEXMATCH(LOWER(O3593),""k""),
VALUE(REGEXEXTRACT(O3593,""[0-9]+""))*1000,
VALUE(REGEXEXTRACT(O3593,""[0-9]+""))
),
0
)"),0.0)</f>
        <v>0</v>
      </c>
      <c r="E3593" s="1" t="s">
        <v>11</v>
      </c>
      <c r="F3593" s="1" t="s">
        <v>20</v>
      </c>
      <c r="G3593" s="4" t="b">
        <f t="shared" si="2"/>
        <v>1</v>
      </c>
      <c r="H3593" s="1" t="str">
        <f t="shared" si="3"/>
        <v>Currently Unavailable</v>
      </c>
      <c r="I3593" s="1" t="str">
        <f t="shared" si="4"/>
        <v>No Badges</v>
      </c>
      <c r="J3593" s="3">
        <f t="shared" si="5"/>
        <v>0</v>
      </c>
    </row>
    <row r="3594">
      <c r="A3594" s="1" t="s">
        <v>2698</v>
      </c>
      <c r="B3594" s="3" t="str">
        <f t="shared" si="1"/>
        <v>Unavailable</v>
      </c>
      <c r="C3594" s="3">
        <v>764.0</v>
      </c>
      <c r="D3594" s="3">
        <f>IFERROR(__xludf.DUMMYFUNCTION("IFERROR(
IF(REGEXMATCH(LOWER(O3594),""k""),
VALUE(REGEXEXTRACT(O3594,""[0-9]+""))*1000,
VALUE(REGEXEXTRACT(O3594,""[0-9]+""))
),
0
)"),0.0)</f>
        <v>0</v>
      </c>
      <c r="E3594" s="1" t="s">
        <v>11</v>
      </c>
      <c r="F3594" s="1" t="s">
        <v>20</v>
      </c>
      <c r="G3594" s="4" t="b">
        <f t="shared" si="2"/>
        <v>1</v>
      </c>
      <c r="H3594" s="1" t="str">
        <f t="shared" si="3"/>
        <v>Currently Unavailable</v>
      </c>
      <c r="I3594" s="1" t="str">
        <f t="shared" si="4"/>
        <v>No Badges</v>
      </c>
      <c r="J3594" s="3">
        <f t="shared" si="5"/>
        <v>0</v>
      </c>
    </row>
    <row r="3595">
      <c r="A3595" s="1" t="s">
        <v>2699</v>
      </c>
      <c r="B3595" s="3" t="str">
        <f t="shared" si="1"/>
        <v>Unavailable</v>
      </c>
      <c r="C3595" s="5">
        <v>1038.0</v>
      </c>
      <c r="D3595" s="3">
        <f>IFERROR(__xludf.DUMMYFUNCTION("IFERROR(
IF(REGEXMATCH(LOWER(O3595),""k""),
VALUE(REGEXEXTRACT(O3595,""[0-9]+""))*1000,
VALUE(REGEXEXTRACT(O3595,""[0-9]+""))
),
0
)"),0.0)</f>
        <v>0</v>
      </c>
      <c r="E3595" s="1" t="s">
        <v>11</v>
      </c>
      <c r="F3595" s="1" t="s">
        <v>20</v>
      </c>
      <c r="G3595" s="4" t="b">
        <f t="shared" si="2"/>
        <v>1</v>
      </c>
      <c r="H3595" s="1" t="str">
        <f t="shared" si="3"/>
        <v>Currently Unavailable</v>
      </c>
      <c r="I3595" s="1" t="str">
        <f t="shared" si="4"/>
        <v>No Badges</v>
      </c>
      <c r="J3595" s="3">
        <f t="shared" si="5"/>
        <v>0</v>
      </c>
    </row>
    <row r="3596">
      <c r="A3596" s="1" t="s">
        <v>67</v>
      </c>
      <c r="B3596" s="3" t="str">
        <f t="shared" si="1"/>
        <v>Unavailable</v>
      </c>
      <c r="C3596" s="3">
        <v>264.0</v>
      </c>
      <c r="D3596" s="3">
        <f>IFERROR(__xludf.DUMMYFUNCTION("IFERROR(
IF(REGEXMATCH(LOWER(O3596),""k""),
VALUE(REGEXEXTRACT(O3596,""[0-9]+""))*1000,
VALUE(REGEXEXTRACT(O3596,""[0-9]+""))
),
0
)"),0.0)</f>
        <v>0</v>
      </c>
      <c r="E3596" s="1" t="s">
        <v>11</v>
      </c>
      <c r="F3596" s="1" t="s">
        <v>12</v>
      </c>
      <c r="G3596" s="4" t="b">
        <f t="shared" si="2"/>
        <v>1</v>
      </c>
      <c r="H3596" s="1" t="str">
        <f t="shared" si="3"/>
        <v>Currently Unavailable</v>
      </c>
      <c r="I3596" s="1" t="str">
        <f t="shared" si="4"/>
        <v>No Badges</v>
      </c>
      <c r="J3596" s="3">
        <f t="shared" si="5"/>
        <v>0</v>
      </c>
    </row>
    <row r="3597">
      <c r="A3597" s="1" t="s">
        <v>2700</v>
      </c>
      <c r="B3597" s="3" t="str">
        <f t="shared" si="1"/>
        <v>Unavailable</v>
      </c>
      <c r="C3597" s="5">
        <v>1075.0</v>
      </c>
      <c r="D3597" s="3">
        <f>IFERROR(__xludf.DUMMYFUNCTION("IFERROR(
IF(REGEXMATCH(LOWER(O3597),""k""),
VALUE(REGEXEXTRACT(O3597,""[0-9]+""))*1000,
VALUE(REGEXEXTRACT(O3597,""[0-9]+""))
),
0
)"),0.0)</f>
        <v>0</v>
      </c>
      <c r="E3597" s="1" t="s">
        <v>11</v>
      </c>
      <c r="F3597" s="1" t="s">
        <v>20</v>
      </c>
      <c r="G3597" s="4" t="b">
        <f t="shared" si="2"/>
        <v>1</v>
      </c>
      <c r="H3597" s="1" t="str">
        <f t="shared" si="3"/>
        <v>Currently Unavailable</v>
      </c>
      <c r="I3597" s="1" t="str">
        <f t="shared" si="4"/>
        <v>No Badges</v>
      </c>
      <c r="J3597" s="3">
        <f t="shared" si="5"/>
        <v>0</v>
      </c>
    </row>
    <row r="3598">
      <c r="A3598" s="1" t="s">
        <v>701</v>
      </c>
      <c r="B3598" s="3" t="str">
        <f t="shared" si="1"/>
        <v>Unavailable</v>
      </c>
      <c r="C3598" s="3">
        <v>8.0</v>
      </c>
      <c r="D3598" s="3">
        <f>IFERROR(__xludf.DUMMYFUNCTION("IFERROR(
IF(REGEXMATCH(LOWER(O3598),""k""),
VALUE(REGEXEXTRACT(O3598,""[0-9]+""))*1000,
VALUE(REGEXEXTRACT(O3598,""[0-9]+""))
),
0
)"),0.0)</f>
        <v>0</v>
      </c>
      <c r="E3598" s="1" t="s">
        <v>11</v>
      </c>
      <c r="F3598" s="1" t="s">
        <v>12</v>
      </c>
      <c r="G3598" s="4" t="b">
        <f t="shared" si="2"/>
        <v>1</v>
      </c>
      <c r="H3598" s="1" t="str">
        <f t="shared" si="3"/>
        <v>Currently Unavailable</v>
      </c>
      <c r="I3598" s="1" t="str">
        <f t="shared" si="4"/>
        <v>No Badges</v>
      </c>
      <c r="J3598" s="3">
        <f t="shared" si="5"/>
        <v>0</v>
      </c>
    </row>
    <row r="3599">
      <c r="A3599" s="1" t="s">
        <v>2352</v>
      </c>
      <c r="B3599" s="3" t="str">
        <f t="shared" si="1"/>
        <v>Unavailable</v>
      </c>
      <c r="C3599" s="3">
        <v>196.0</v>
      </c>
      <c r="D3599" s="3">
        <f>IFERROR(__xludf.DUMMYFUNCTION("IFERROR(
IF(REGEXMATCH(LOWER(O3599),""k""),
VALUE(REGEXEXTRACT(O3599,""[0-9]+""))*1000,
VALUE(REGEXEXTRACT(O3599,""[0-9]+""))
),
0
)"),0.0)</f>
        <v>0</v>
      </c>
      <c r="E3599" s="1" t="s">
        <v>18</v>
      </c>
      <c r="F3599" s="1" t="s">
        <v>12</v>
      </c>
      <c r="G3599" s="4" t="b">
        <f t="shared" si="2"/>
        <v>1</v>
      </c>
      <c r="H3599" s="1" t="str">
        <f t="shared" si="3"/>
        <v>Currently Unavailable</v>
      </c>
      <c r="I3599" s="1" t="str">
        <f t="shared" si="4"/>
        <v>No Badges</v>
      </c>
      <c r="J3599" s="3">
        <f t="shared" si="5"/>
        <v>0</v>
      </c>
    </row>
    <row r="3600">
      <c r="A3600" s="1" t="s">
        <v>2701</v>
      </c>
      <c r="B3600" s="3" t="str">
        <f t="shared" si="1"/>
        <v>Unavailable</v>
      </c>
      <c r="C3600" s="5">
        <v>3738.0</v>
      </c>
      <c r="D3600" s="3">
        <f>IFERROR(__xludf.DUMMYFUNCTION("IFERROR(
IF(REGEXMATCH(LOWER(O3600),""k""),
VALUE(REGEXEXTRACT(O3600,""[0-9]+""))*1000,
VALUE(REGEXEXTRACT(O3600,""[0-9]+""))
),
0
)"),0.0)</f>
        <v>0</v>
      </c>
      <c r="E3600" s="1" t="s">
        <v>11</v>
      </c>
      <c r="F3600" s="1" t="s">
        <v>20</v>
      </c>
      <c r="G3600" s="4" t="b">
        <f t="shared" si="2"/>
        <v>1</v>
      </c>
      <c r="H3600" s="1" t="str">
        <f t="shared" si="3"/>
        <v>Currently Unavailable</v>
      </c>
      <c r="I3600" s="1" t="str">
        <f t="shared" si="4"/>
        <v>No Badges</v>
      </c>
      <c r="J3600" s="3">
        <f t="shared" si="5"/>
        <v>0</v>
      </c>
    </row>
    <row r="3601">
      <c r="A3601" s="1" t="s">
        <v>2354</v>
      </c>
      <c r="B3601" s="3" t="str">
        <f t="shared" si="1"/>
        <v>Unavailable</v>
      </c>
      <c r="C3601" s="5">
        <v>1878.0</v>
      </c>
      <c r="D3601" s="3">
        <f>IFERROR(__xludf.DUMMYFUNCTION("IFERROR(
IF(REGEXMATCH(LOWER(O3601),""k""),
VALUE(REGEXEXTRACT(O3601,""[0-9]+""))*1000,
VALUE(REGEXEXTRACT(O3601,""[0-9]+""))
),
0
)"),0.0)</f>
        <v>0</v>
      </c>
      <c r="E3601" s="1" t="s">
        <v>11</v>
      </c>
      <c r="F3601" s="1" t="s">
        <v>12</v>
      </c>
      <c r="G3601" s="4" t="b">
        <f t="shared" si="2"/>
        <v>1</v>
      </c>
      <c r="H3601" s="1" t="str">
        <f t="shared" si="3"/>
        <v>Currently Unavailable</v>
      </c>
      <c r="I3601" s="1" t="str">
        <f t="shared" si="4"/>
        <v>No Badges</v>
      </c>
      <c r="J3601" s="3">
        <f t="shared" si="5"/>
        <v>0</v>
      </c>
    </row>
    <row r="3602">
      <c r="A3602" s="1" t="s">
        <v>2352</v>
      </c>
      <c r="B3602" s="3" t="str">
        <f t="shared" si="1"/>
        <v>Unavailable</v>
      </c>
      <c r="C3602" s="3">
        <v>196.0</v>
      </c>
      <c r="D3602" s="3">
        <f>IFERROR(__xludf.DUMMYFUNCTION("IFERROR(
IF(REGEXMATCH(LOWER(O3602),""k""),
VALUE(REGEXEXTRACT(O3602,""[0-9]+""))*1000,
VALUE(REGEXEXTRACT(O3602,""[0-9]+""))
),
0
)"),0.0)</f>
        <v>0</v>
      </c>
      <c r="E3602" s="1" t="s">
        <v>11</v>
      </c>
      <c r="F3602" s="1" t="s">
        <v>12</v>
      </c>
      <c r="G3602" s="4" t="b">
        <f t="shared" si="2"/>
        <v>1</v>
      </c>
      <c r="H3602" s="1" t="str">
        <f t="shared" si="3"/>
        <v>Currently Unavailable</v>
      </c>
      <c r="I3602" s="1" t="str">
        <f t="shared" si="4"/>
        <v>No Badges</v>
      </c>
      <c r="J3602" s="3">
        <f t="shared" si="5"/>
        <v>0</v>
      </c>
    </row>
    <row r="3603">
      <c r="A3603" s="1" t="s">
        <v>2702</v>
      </c>
      <c r="B3603" s="3" t="str">
        <f t="shared" si="1"/>
        <v>Unavailable</v>
      </c>
      <c r="C3603" s="5">
        <v>3490.0</v>
      </c>
      <c r="D3603" s="3">
        <f>IFERROR(__xludf.DUMMYFUNCTION("IFERROR(
IF(REGEXMATCH(LOWER(O3603),""k""),
VALUE(REGEXEXTRACT(O3603,""[0-9]+""))*1000,
VALUE(REGEXEXTRACT(O3603,""[0-9]+""))
),
0
)"),0.0)</f>
        <v>0</v>
      </c>
      <c r="E3603" s="1" t="s">
        <v>11</v>
      </c>
      <c r="F3603" s="1" t="s">
        <v>20</v>
      </c>
      <c r="G3603" s="4" t="b">
        <f t="shared" si="2"/>
        <v>1</v>
      </c>
      <c r="H3603" s="1" t="str">
        <f t="shared" si="3"/>
        <v>Currently Unavailable</v>
      </c>
      <c r="I3603" s="1" t="str">
        <f t="shared" si="4"/>
        <v>No Badges</v>
      </c>
      <c r="J3603" s="3">
        <f t="shared" si="5"/>
        <v>0</v>
      </c>
    </row>
    <row r="3604">
      <c r="A3604" s="1" t="s">
        <v>2703</v>
      </c>
      <c r="B3604" s="3" t="str">
        <f t="shared" si="1"/>
        <v>Unavailable</v>
      </c>
      <c r="C3604" s="3">
        <v>106.0</v>
      </c>
      <c r="D3604" s="3">
        <f>IFERROR(__xludf.DUMMYFUNCTION("IFERROR(
IF(REGEXMATCH(LOWER(O3604),""k""),
VALUE(REGEXEXTRACT(O3604,""[0-9]+""))*1000,
VALUE(REGEXEXTRACT(O3604,""[0-9]+""))
),
0
)"),0.0)</f>
        <v>0</v>
      </c>
      <c r="E3604" s="1" t="s">
        <v>11</v>
      </c>
      <c r="F3604" s="1" t="s">
        <v>20</v>
      </c>
      <c r="G3604" s="4" t="b">
        <f t="shared" si="2"/>
        <v>1</v>
      </c>
      <c r="H3604" s="1" t="str">
        <f t="shared" si="3"/>
        <v>Currently Unavailable</v>
      </c>
      <c r="I3604" s="1" t="str">
        <f t="shared" si="4"/>
        <v>No Badges</v>
      </c>
      <c r="J3604" s="3">
        <f t="shared" si="5"/>
        <v>0</v>
      </c>
    </row>
    <row r="3605">
      <c r="A3605" s="1" t="s">
        <v>2704</v>
      </c>
      <c r="B3605" s="3" t="str">
        <f t="shared" si="1"/>
        <v>Unavailable</v>
      </c>
      <c r="C3605" s="3">
        <v>218.0</v>
      </c>
      <c r="D3605" s="3">
        <f>IFERROR(__xludf.DUMMYFUNCTION("IFERROR(
IF(REGEXMATCH(LOWER(O3605),""k""),
VALUE(REGEXEXTRACT(O3605,""[0-9]+""))*1000,
VALUE(REGEXEXTRACT(O3605,""[0-9]+""))
),
0
)"),0.0)</f>
        <v>0</v>
      </c>
      <c r="E3605" s="1" t="s">
        <v>11</v>
      </c>
      <c r="F3605" s="1" t="s">
        <v>20</v>
      </c>
      <c r="G3605" s="4" t="b">
        <f t="shared" si="2"/>
        <v>1</v>
      </c>
      <c r="H3605" s="1" t="str">
        <f t="shared" si="3"/>
        <v>Currently Unavailable</v>
      </c>
      <c r="I3605" s="1" t="str">
        <f t="shared" si="4"/>
        <v>No Badges</v>
      </c>
      <c r="J3605" s="3">
        <f t="shared" si="5"/>
        <v>0</v>
      </c>
    </row>
    <row r="3606">
      <c r="A3606" s="1" t="s">
        <v>2705</v>
      </c>
      <c r="B3606" s="3" t="str">
        <f t="shared" si="1"/>
        <v>Unavailable</v>
      </c>
      <c r="C3606" s="3">
        <v>76.0</v>
      </c>
      <c r="D3606" s="3">
        <f>IFERROR(__xludf.DUMMYFUNCTION("IFERROR(
IF(REGEXMATCH(LOWER(O3606),""k""),
VALUE(REGEXEXTRACT(O3606,""[0-9]+""))*1000,
VALUE(REGEXEXTRACT(O3606,""[0-9]+""))
),
0
)"),0.0)</f>
        <v>0</v>
      </c>
      <c r="E3606" s="1" t="s">
        <v>11</v>
      </c>
      <c r="F3606" s="1" t="s">
        <v>20</v>
      </c>
      <c r="G3606" s="4" t="b">
        <f t="shared" si="2"/>
        <v>1</v>
      </c>
      <c r="H3606" s="1" t="str">
        <f t="shared" si="3"/>
        <v>Currently Unavailable</v>
      </c>
      <c r="I3606" s="1" t="str">
        <f t="shared" si="4"/>
        <v>No Badges</v>
      </c>
      <c r="J3606" s="3">
        <f t="shared" si="5"/>
        <v>0</v>
      </c>
    </row>
    <row r="3607">
      <c r="A3607" s="1" t="s">
        <v>2706</v>
      </c>
      <c r="B3607" s="3" t="str">
        <f t="shared" si="1"/>
        <v>Unavailable</v>
      </c>
      <c r="C3607" s="3">
        <v>240.0</v>
      </c>
      <c r="D3607" s="3">
        <f>IFERROR(__xludf.DUMMYFUNCTION("IFERROR(
IF(REGEXMATCH(LOWER(O3607),""k""),
VALUE(REGEXEXTRACT(O3607,""[0-9]+""))*1000,
VALUE(REGEXEXTRACT(O3607,""[0-9]+""))
),
0
)"),0.0)</f>
        <v>0</v>
      </c>
      <c r="E3607" s="1" t="s">
        <v>11</v>
      </c>
      <c r="F3607" s="1" t="s">
        <v>20</v>
      </c>
      <c r="G3607" s="4" t="b">
        <f t="shared" si="2"/>
        <v>1</v>
      </c>
      <c r="H3607" s="1" t="str">
        <f t="shared" si="3"/>
        <v>Currently Unavailable</v>
      </c>
      <c r="I3607" s="1" t="str">
        <f t="shared" si="4"/>
        <v>No Badges</v>
      </c>
      <c r="J3607" s="3">
        <f t="shared" si="5"/>
        <v>0</v>
      </c>
    </row>
    <row r="3608">
      <c r="A3608" s="1" t="s">
        <v>2707</v>
      </c>
      <c r="B3608" s="3" t="str">
        <f t="shared" si="1"/>
        <v>Unavailable</v>
      </c>
      <c r="C3608" s="3">
        <v>559.0</v>
      </c>
      <c r="D3608" s="3">
        <f>IFERROR(__xludf.DUMMYFUNCTION("IFERROR(
IF(REGEXMATCH(LOWER(O3608),""k""),
VALUE(REGEXEXTRACT(O3608,""[0-9]+""))*1000,
VALUE(REGEXEXTRACT(O3608,""[0-9]+""))
),
0
)"),0.0)</f>
        <v>0</v>
      </c>
      <c r="E3608" s="1" t="s">
        <v>11</v>
      </c>
      <c r="F3608" s="1" t="s">
        <v>20</v>
      </c>
      <c r="G3608" s="4" t="b">
        <f t="shared" si="2"/>
        <v>1</v>
      </c>
      <c r="H3608" s="1" t="str">
        <f t="shared" si="3"/>
        <v>Currently Unavailable</v>
      </c>
      <c r="I3608" s="1" t="str">
        <f t="shared" si="4"/>
        <v>No Badges</v>
      </c>
      <c r="J3608" s="3">
        <f t="shared" si="5"/>
        <v>0</v>
      </c>
    </row>
    <row r="3609">
      <c r="A3609" s="1" t="s">
        <v>2708</v>
      </c>
      <c r="B3609" s="3" t="str">
        <f t="shared" si="1"/>
        <v>Unavailable</v>
      </c>
      <c r="C3609" s="5">
        <v>5895.0</v>
      </c>
      <c r="D3609" s="3">
        <f>IFERROR(__xludf.DUMMYFUNCTION("IFERROR(
IF(REGEXMATCH(LOWER(O3609),""k""),
VALUE(REGEXEXTRACT(O3609,""[0-9]+""))*1000,
VALUE(REGEXEXTRACT(O3609,""[0-9]+""))
),
0
)"),0.0)</f>
        <v>0</v>
      </c>
      <c r="E3609" s="1" t="s">
        <v>11</v>
      </c>
      <c r="F3609" s="1" t="s">
        <v>20</v>
      </c>
      <c r="G3609" s="4" t="b">
        <f t="shared" si="2"/>
        <v>1</v>
      </c>
      <c r="H3609" s="1" t="str">
        <f t="shared" si="3"/>
        <v>Currently Unavailable</v>
      </c>
      <c r="I3609" s="1" t="str">
        <f t="shared" si="4"/>
        <v>No Badges</v>
      </c>
      <c r="J3609" s="3">
        <f t="shared" si="5"/>
        <v>0</v>
      </c>
    </row>
    <row r="3610">
      <c r="A3610" s="1" t="s">
        <v>2709</v>
      </c>
      <c r="B3610" s="3" t="str">
        <f t="shared" si="1"/>
        <v>Unavailable</v>
      </c>
      <c r="C3610" s="5">
        <v>8531.0</v>
      </c>
      <c r="D3610" s="3">
        <f>IFERROR(__xludf.DUMMYFUNCTION("IFERROR(
IF(REGEXMATCH(LOWER(O3610),""k""),
VALUE(REGEXEXTRACT(O3610,""[0-9]+""))*1000,
VALUE(REGEXEXTRACT(O3610,""[0-9]+""))
),
0
)"),0.0)</f>
        <v>0</v>
      </c>
      <c r="E3610" s="1" t="s">
        <v>11</v>
      </c>
      <c r="F3610" s="1" t="s">
        <v>20</v>
      </c>
      <c r="G3610" s="4" t="b">
        <f t="shared" si="2"/>
        <v>1</v>
      </c>
      <c r="H3610" s="1" t="str">
        <f t="shared" si="3"/>
        <v>Currently Unavailable</v>
      </c>
      <c r="I3610" s="1" t="str">
        <f t="shared" si="4"/>
        <v>No Badges</v>
      </c>
      <c r="J3610" s="3">
        <f t="shared" si="5"/>
        <v>0</v>
      </c>
    </row>
    <row r="3611">
      <c r="A3611" s="1" t="s">
        <v>2710</v>
      </c>
      <c r="B3611" s="3" t="str">
        <f t="shared" si="1"/>
        <v>Unavailable</v>
      </c>
      <c r="C3611" s="5">
        <v>6503.0</v>
      </c>
      <c r="D3611" s="3">
        <f>IFERROR(__xludf.DUMMYFUNCTION("IFERROR(
IF(REGEXMATCH(LOWER(O3611),""k""),
VALUE(REGEXEXTRACT(O3611,""[0-9]+""))*1000,
VALUE(REGEXEXTRACT(O3611,""[0-9]+""))
),
0
)"),0.0)</f>
        <v>0</v>
      </c>
      <c r="E3611" s="1" t="s">
        <v>11</v>
      </c>
      <c r="F3611" s="1" t="s">
        <v>20</v>
      </c>
      <c r="G3611" s="4" t="b">
        <f t="shared" si="2"/>
        <v>1</v>
      </c>
      <c r="H3611" s="1" t="str">
        <f t="shared" si="3"/>
        <v>Currently Unavailable</v>
      </c>
      <c r="I3611" s="1" t="str">
        <f t="shared" si="4"/>
        <v>No Badges</v>
      </c>
      <c r="J3611" s="3">
        <f t="shared" si="5"/>
        <v>0</v>
      </c>
    </row>
    <row r="3612">
      <c r="A3612" s="1" t="s">
        <v>88</v>
      </c>
      <c r="B3612" s="3" t="str">
        <f t="shared" si="1"/>
        <v>Unavailable</v>
      </c>
      <c r="C3612" s="3">
        <v>5.0</v>
      </c>
      <c r="D3612" s="3">
        <f>IFERROR(__xludf.DUMMYFUNCTION("IFERROR(
IF(REGEXMATCH(LOWER(O3612),""k""),
VALUE(REGEXEXTRACT(O3612,""[0-9]+""))*1000,
VALUE(REGEXEXTRACT(O3612,""[0-9]+""))
),
0
)"),0.0)</f>
        <v>0</v>
      </c>
      <c r="E3612" s="1" t="s">
        <v>11</v>
      </c>
      <c r="F3612" s="1" t="s">
        <v>12</v>
      </c>
      <c r="G3612" s="4" t="b">
        <f t="shared" si="2"/>
        <v>1</v>
      </c>
      <c r="H3612" s="1" t="str">
        <f t="shared" si="3"/>
        <v>Currently Unavailable</v>
      </c>
      <c r="I3612" s="1" t="str">
        <f t="shared" si="4"/>
        <v>No Badges</v>
      </c>
      <c r="J3612" s="3">
        <f t="shared" si="5"/>
        <v>0</v>
      </c>
    </row>
    <row r="3613">
      <c r="A3613" s="1" t="s">
        <v>40</v>
      </c>
      <c r="B3613" s="3" t="str">
        <f t="shared" si="1"/>
        <v>Unavailable</v>
      </c>
      <c r="C3613" s="3">
        <v>171.0</v>
      </c>
      <c r="D3613" s="3">
        <f>IFERROR(__xludf.DUMMYFUNCTION("IFERROR(
IF(REGEXMATCH(LOWER(O3613),""k""),
VALUE(REGEXEXTRACT(O3613,""[0-9]+""))*1000,
VALUE(REGEXEXTRACT(O3613,""[0-9]+""))
),
0
)"),0.0)</f>
        <v>0</v>
      </c>
      <c r="E3613" s="1" t="s">
        <v>11</v>
      </c>
      <c r="F3613" s="1" t="s">
        <v>12</v>
      </c>
      <c r="G3613" s="4" t="b">
        <f t="shared" si="2"/>
        <v>1</v>
      </c>
      <c r="H3613" s="1" t="str">
        <f t="shared" si="3"/>
        <v>Currently Unavailable</v>
      </c>
      <c r="I3613" s="1" t="str">
        <f t="shared" si="4"/>
        <v>No Badges</v>
      </c>
      <c r="J3613" s="3">
        <f t="shared" si="5"/>
        <v>0</v>
      </c>
    </row>
    <row r="3614">
      <c r="A3614" s="1" t="s">
        <v>2711</v>
      </c>
      <c r="B3614" s="3" t="str">
        <f t="shared" si="1"/>
        <v>Unavailable</v>
      </c>
      <c r="C3614" s="3">
        <v>60.0</v>
      </c>
      <c r="D3614" s="3">
        <f>IFERROR(__xludf.DUMMYFUNCTION("IFERROR(
IF(REGEXMATCH(LOWER(O3614),""k""),
VALUE(REGEXEXTRACT(O3614,""[0-9]+""))*1000,
VALUE(REGEXEXTRACT(O3614,""[0-9]+""))
),
0
)"),0.0)</f>
        <v>0</v>
      </c>
      <c r="E3614" s="1" t="s">
        <v>11</v>
      </c>
      <c r="F3614" s="1" t="s">
        <v>20</v>
      </c>
      <c r="G3614" s="4" t="b">
        <f t="shared" si="2"/>
        <v>1</v>
      </c>
      <c r="H3614" s="1" t="str">
        <f t="shared" si="3"/>
        <v>Currently Unavailable</v>
      </c>
      <c r="I3614" s="1" t="str">
        <f t="shared" si="4"/>
        <v>No Badges</v>
      </c>
      <c r="J3614" s="3">
        <f t="shared" si="5"/>
        <v>0</v>
      </c>
    </row>
    <row r="3615">
      <c r="A3615" s="1" t="s">
        <v>2712</v>
      </c>
      <c r="B3615" s="3" t="str">
        <f t="shared" si="1"/>
        <v>Unavailable</v>
      </c>
      <c r="C3615" s="3">
        <v>21.0</v>
      </c>
      <c r="D3615" s="3">
        <f>IFERROR(__xludf.DUMMYFUNCTION("IFERROR(
IF(REGEXMATCH(LOWER(O3615),""k""),
VALUE(REGEXEXTRACT(O3615,""[0-9]+""))*1000,
VALUE(REGEXEXTRACT(O3615,""[0-9]+""))
),
0
)"),0.0)</f>
        <v>0</v>
      </c>
      <c r="E3615" s="1" t="s">
        <v>11</v>
      </c>
      <c r="F3615" s="1" t="s">
        <v>20</v>
      </c>
      <c r="G3615" s="4" t="b">
        <f t="shared" si="2"/>
        <v>1</v>
      </c>
      <c r="H3615" s="1" t="str">
        <f t="shared" si="3"/>
        <v>Currently Unavailable</v>
      </c>
      <c r="I3615" s="1" t="str">
        <f t="shared" si="4"/>
        <v>No Badges</v>
      </c>
      <c r="J3615" s="3">
        <f t="shared" si="5"/>
        <v>0</v>
      </c>
    </row>
    <row r="3616">
      <c r="A3616" s="1" t="s">
        <v>2713</v>
      </c>
      <c r="B3616" s="3" t="str">
        <f t="shared" si="1"/>
        <v>Unavailable</v>
      </c>
      <c r="C3616" s="3">
        <v>826.0</v>
      </c>
      <c r="D3616" s="3">
        <f>IFERROR(__xludf.DUMMYFUNCTION("IFERROR(
IF(REGEXMATCH(LOWER(O3616),""k""),
VALUE(REGEXEXTRACT(O3616,""[0-9]+""))*1000,
VALUE(REGEXEXTRACT(O3616,""[0-9]+""))
),
0
)"),0.0)</f>
        <v>0</v>
      </c>
      <c r="E3616" s="1" t="s">
        <v>11</v>
      </c>
      <c r="F3616" s="1" t="s">
        <v>20</v>
      </c>
      <c r="G3616" s="4" t="b">
        <f t="shared" si="2"/>
        <v>1</v>
      </c>
      <c r="H3616" s="1" t="str">
        <f t="shared" si="3"/>
        <v>Currently Unavailable</v>
      </c>
      <c r="I3616" s="1" t="str">
        <f t="shared" si="4"/>
        <v>No Badges</v>
      </c>
      <c r="J3616" s="3">
        <f t="shared" si="5"/>
        <v>0</v>
      </c>
    </row>
    <row r="3617">
      <c r="A3617" s="1" t="s">
        <v>2714</v>
      </c>
      <c r="B3617" s="3" t="str">
        <f t="shared" si="1"/>
        <v>Unavailable</v>
      </c>
      <c r="C3617" s="3">
        <v>110.0</v>
      </c>
      <c r="D3617" s="3">
        <f>IFERROR(__xludf.DUMMYFUNCTION("IFERROR(
IF(REGEXMATCH(LOWER(O3617),""k""),
VALUE(REGEXEXTRACT(O3617,""[0-9]+""))*1000,
VALUE(REGEXEXTRACT(O3617,""[0-9]+""))
),
0
)"),0.0)</f>
        <v>0</v>
      </c>
      <c r="E3617" s="1" t="s">
        <v>11</v>
      </c>
      <c r="F3617" s="1" t="s">
        <v>20</v>
      </c>
      <c r="G3617" s="4" t="b">
        <f t="shared" si="2"/>
        <v>1</v>
      </c>
      <c r="H3617" s="1" t="str">
        <f t="shared" si="3"/>
        <v>Currently Unavailable</v>
      </c>
      <c r="I3617" s="1" t="str">
        <f t="shared" si="4"/>
        <v>No Badges</v>
      </c>
      <c r="J3617" s="3">
        <f t="shared" si="5"/>
        <v>0</v>
      </c>
    </row>
    <row r="3618">
      <c r="A3618" s="1" t="s">
        <v>2715</v>
      </c>
      <c r="B3618" s="3" t="str">
        <f t="shared" si="1"/>
        <v>Unavailable</v>
      </c>
      <c r="C3618" s="3">
        <v>10.0</v>
      </c>
      <c r="D3618" s="3">
        <f>IFERROR(__xludf.DUMMYFUNCTION("IFERROR(
IF(REGEXMATCH(LOWER(O3618),""k""),
VALUE(REGEXEXTRACT(O3618,""[0-9]+""))*1000,
VALUE(REGEXEXTRACT(O3618,""[0-9]+""))
),
0
)"),0.0)</f>
        <v>0</v>
      </c>
      <c r="E3618" s="1" t="s">
        <v>11</v>
      </c>
      <c r="F3618" s="1" t="s">
        <v>20</v>
      </c>
      <c r="G3618" s="4" t="b">
        <f t="shared" si="2"/>
        <v>1</v>
      </c>
      <c r="H3618" s="1" t="str">
        <f t="shared" si="3"/>
        <v>Currently Unavailable</v>
      </c>
      <c r="I3618" s="1" t="str">
        <f t="shared" si="4"/>
        <v>No Badges</v>
      </c>
      <c r="J3618" s="3">
        <f t="shared" si="5"/>
        <v>0</v>
      </c>
    </row>
    <row r="3619">
      <c r="A3619" s="1" t="s">
        <v>2716</v>
      </c>
      <c r="B3619" s="3" t="str">
        <f t="shared" si="1"/>
        <v>Unavailable</v>
      </c>
      <c r="C3619" s="3">
        <v>2.0</v>
      </c>
      <c r="D3619" s="3">
        <f>IFERROR(__xludf.DUMMYFUNCTION("IFERROR(
IF(REGEXMATCH(LOWER(O3619),""k""),
VALUE(REGEXEXTRACT(O3619,""[0-9]+""))*1000,
VALUE(REGEXEXTRACT(O3619,""[0-9]+""))
),
0
)"),0.0)</f>
        <v>0</v>
      </c>
      <c r="E3619" s="1" t="s">
        <v>11</v>
      </c>
      <c r="F3619" s="1" t="s">
        <v>20</v>
      </c>
      <c r="G3619" s="4" t="b">
        <f t="shared" si="2"/>
        <v>1</v>
      </c>
      <c r="H3619" s="1" t="str">
        <f t="shared" si="3"/>
        <v>Currently Unavailable</v>
      </c>
      <c r="I3619" s="1" t="str">
        <f t="shared" si="4"/>
        <v>No Badges</v>
      </c>
      <c r="J3619" s="3">
        <f t="shared" si="5"/>
        <v>0</v>
      </c>
    </row>
    <row r="3620">
      <c r="A3620" s="1" t="s">
        <v>2717</v>
      </c>
      <c r="B3620" s="3" t="str">
        <f t="shared" si="1"/>
        <v>Unavailable</v>
      </c>
      <c r="C3620" s="5">
        <v>1292.0</v>
      </c>
      <c r="D3620" s="3">
        <f>IFERROR(__xludf.DUMMYFUNCTION("IFERROR(
IF(REGEXMATCH(LOWER(O3620),""k""),
VALUE(REGEXEXTRACT(O3620,""[0-9]+""))*1000,
VALUE(REGEXEXTRACT(O3620,""[0-9]+""))
),
0
)"),0.0)</f>
        <v>0</v>
      </c>
      <c r="E3620" s="1" t="s">
        <v>11</v>
      </c>
      <c r="F3620" s="1" t="s">
        <v>20</v>
      </c>
      <c r="G3620" s="4" t="b">
        <f t="shared" si="2"/>
        <v>1</v>
      </c>
      <c r="H3620" s="1" t="str">
        <f t="shared" si="3"/>
        <v>Currently Unavailable</v>
      </c>
      <c r="I3620" s="1" t="str">
        <f t="shared" si="4"/>
        <v>No Badges</v>
      </c>
      <c r="J3620" s="3">
        <f t="shared" si="5"/>
        <v>0</v>
      </c>
    </row>
    <row r="3621">
      <c r="A3621" s="1" t="s">
        <v>2718</v>
      </c>
      <c r="B3621" s="3" t="str">
        <f t="shared" si="1"/>
        <v>Unavailable</v>
      </c>
      <c r="C3621" s="3">
        <v>45.0</v>
      </c>
      <c r="D3621" s="3">
        <f>IFERROR(__xludf.DUMMYFUNCTION("IFERROR(
IF(REGEXMATCH(LOWER(O3621),""k""),
VALUE(REGEXEXTRACT(O3621,""[0-9]+""))*1000,
VALUE(REGEXEXTRACT(O3621,""[0-9]+""))
),
0
)"),0.0)</f>
        <v>0</v>
      </c>
      <c r="E3621" s="1" t="s">
        <v>11</v>
      </c>
      <c r="F3621" s="1" t="s">
        <v>20</v>
      </c>
      <c r="G3621" s="4" t="b">
        <f t="shared" si="2"/>
        <v>1</v>
      </c>
      <c r="H3621" s="1" t="str">
        <f t="shared" si="3"/>
        <v>Currently Unavailable</v>
      </c>
      <c r="I3621" s="1" t="str">
        <f t="shared" si="4"/>
        <v>No Badges</v>
      </c>
      <c r="J3621" s="3">
        <f t="shared" si="5"/>
        <v>0</v>
      </c>
    </row>
    <row r="3622">
      <c r="A3622" s="1" t="s">
        <v>2719</v>
      </c>
      <c r="B3622" s="3" t="str">
        <f t="shared" si="1"/>
        <v>Unavailable</v>
      </c>
      <c r="C3622" s="3">
        <v>826.0</v>
      </c>
      <c r="D3622" s="3">
        <f>IFERROR(__xludf.DUMMYFUNCTION("IFERROR(
IF(REGEXMATCH(LOWER(O3622),""k""),
VALUE(REGEXEXTRACT(O3622,""[0-9]+""))*1000,
VALUE(REGEXEXTRACT(O3622,""[0-9]+""))
),
0
)"),0.0)</f>
        <v>0</v>
      </c>
      <c r="E3622" s="1" t="s">
        <v>11</v>
      </c>
      <c r="F3622" s="1" t="s">
        <v>20</v>
      </c>
      <c r="G3622" s="4" t="b">
        <f t="shared" si="2"/>
        <v>1</v>
      </c>
      <c r="H3622" s="1" t="str">
        <f t="shared" si="3"/>
        <v>Currently Unavailable</v>
      </c>
      <c r="I3622" s="1" t="str">
        <f t="shared" si="4"/>
        <v>No Badges</v>
      </c>
      <c r="J3622" s="3">
        <f t="shared" si="5"/>
        <v>0</v>
      </c>
    </row>
    <row r="3623">
      <c r="A3623" s="1" t="s">
        <v>2720</v>
      </c>
      <c r="B3623" s="3" t="str">
        <f t="shared" si="1"/>
        <v>Unavailable</v>
      </c>
      <c r="C3623" s="3">
        <v>192.0</v>
      </c>
      <c r="D3623" s="3">
        <f>IFERROR(__xludf.DUMMYFUNCTION("IFERROR(
IF(REGEXMATCH(LOWER(O3623),""k""),
VALUE(REGEXEXTRACT(O3623,""[0-9]+""))*1000,
VALUE(REGEXEXTRACT(O3623,""[0-9]+""))
),
0
)"),0.0)</f>
        <v>0</v>
      </c>
      <c r="E3623" s="1" t="s">
        <v>11</v>
      </c>
      <c r="F3623" s="1" t="s">
        <v>20</v>
      </c>
      <c r="G3623" s="4" t="b">
        <f t="shared" si="2"/>
        <v>1</v>
      </c>
      <c r="H3623" s="1" t="str">
        <f t="shared" si="3"/>
        <v>Currently Unavailable</v>
      </c>
      <c r="I3623" s="1" t="str">
        <f t="shared" si="4"/>
        <v>No Badges</v>
      </c>
      <c r="J3623" s="3">
        <f t="shared" si="5"/>
        <v>0</v>
      </c>
    </row>
    <row r="3624">
      <c r="A3624" s="1" t="s">
        <v>2721</v>
      </c>
      <c r="B3624" s="3" t="str">
        <f t="shared" si="1"/>
        <v>Unavailable</v>
      </c>
      <c r="C3624" s="3">
        <v>802.0</v>
      </c>
      <c r="D3624" s="3">
        <f>IFERROR(__xludf.DUMMYFUNCTION("IFERROR(
IF(REGEXMATCH(LOWER(O3624),""k""),
VALUE(REGEXEXTRACT(O3624,""[0-9]+""))*1000,
VALUE(REGEXEXTRACT(O3624,""[0-9]+""))
),
0
)"),0.0)</f>
        <v>0</v>
      </c>
      <c r="E3624" s="1" t="s">
        <v>11</v>
      </c>
      <c r="F3624" s="1" t="s">
        <v>20</v>
      </c>
      <c r="G3624" s="4" t="b">
        <f t="shared" si="2"/>
        <v>1</v>
      </c>
      <c r="H3624" s="1" t="str">
        <f t="shared" si="3"/>
        <v>Currently Unavailable</v>
      </c>
      <c r="I3624" s="1" t="str">
        <f t="shared" si="4"/>
        <v>No Badges</v>
      </c>
      <c r="J3624" s="3">
        <f t="shared" si="5"/>
        <v>0</v>
      </c>
    </row>
    <row r="3625">
      <c r="A3625" s="1" t="s">
        <v>2722</v>
      </c>
      <c r="B3625" s="3" t="str">
        <f t="shared" si="1"/>
        <v>Unavailable</v>
      </c>
      <c r="C3625" s="3">
        <v>104.0</v>
      </c>
      <c r="D3625" s="3">
        <f>IFERROR(__xludf.DUMMYFUNCTION("IFERROR(
IF(REGEXMATCH(LOWER(O3625),""k""),
VALUE(REGEXEXTRACT(O3625,""[0-9]+""))*1000,
VALUE(REGEXEXTRACT(O3625,""[0-9]+""))
),
0
)"),0.0)</f>
        <v>0</v>
      </c>
      <c r="E3625" s="1" t="s">
        <v>11</v>
      </c>
      <c r="F3625" s="1" t="s">
        <v>20</v>
      </c>
      <c r="G3625" s="4" t="b">
        <f t="shared" si="2"/>
        <v>1</v>
      </c>
      <c r="H3625" s="1" t="str">
        <f t="shared" si="3"/>
        <v>Currently Unavailable</v>
      </c>
      <c r="I3625" s="1" t="str">
        <f t="shared" si="4"/>
        <v>No Badges</v>
      </c>
      <c r="J3625" s="3">
        <f t="shared" si="5"/>
        <v>0</v>
      </c>
    </row>
    <row r="3626">
      <c r="A3626" s="1" t="s">
        <v>2723</v>
      </c>
      <c r="B3626" s="3" t="str">
        <f t="shared" si="1"/>
        <v>Unavailable</v>
      </c>
      <c r="C3626" s="5">
        <v>2612.0</v>
      </c>
      <c r="D3626" s="3">
        <f>IFERROR(__xludf.DUMMYFUNCTION("IFERROR(
IF(REGEXMATCH(LOWER(O3626),""k""),
VALUE(REGEXEXTRACT(O3626,""[0-9]+""))*1000,
VALUE(REGEXEXTRACT(O3626,""[0-9]+""))
),
0
)"),0.0)</f>
        <v>0</v>
      </c>
      <c r="E3626" s="1" t="s">
        <v>11</v>
      </c>
      <c r="F3626" s="1" t="s">
        <v>20</v>
      </c>
      <c r="G3626" s="4" t="b">
        <f t="shared" si="2"/>
        <v>1</v>
      </c>
      <c r="H3626" s="1" t="str">
        <f t="shared" si="3"/>
        <v>Currently Unavailable</v>
      </c>
      <c r="I3626" s="1" t="str">
        <f t="shared" si="4"/>
        <v>No Badges</v>
      </c>
      <c r="J3626" s="3">
        <f t="shared" si="5"/>
        <v>0</v>
      </c>
    </row>
    <row r="3627">
      <c r="A3627" s="1" t="s">
        <v>2724</v>
      </c>
      <c r="B3627" s="3" t="str">
        <f t="shared" si="1"/>
        <v>Unavailable</v>
      </c>
      <c r="C3627" s="5">
        <v>7937.0</v>
      </c>
      <c r="D3627" s="3">
        <f>IFERROR(__xludf.DUMMYFUNCTION("IFERROR(
IF(REGEXMATCH(LOWER(O3627),""k""),
VALUE(REGEXEXTRACT(O3627,""[0-9]+""))*1000,
VALUE(REGEXEXTRACT(O3627,""[0-9]+""))
),
0
)"),0.0)</f>
        <v>0</v>
      </c>
      <c r="E3627" s="1" t="s">
        <v>11</v>
      </c>
      <c r="F3627" s="1" t="s">
        <v>20</v>
      </c>
      <c r="G3627" s="4" t="b">
        <f t="shared" si="2"/>
        <v>1</v>
      </c>
      <c r="H3627" s="1" t="str">
        <f t="shared" si="3"/>
        <v>Currently Unavailable</v>
      </c>
      <c r="I3627" s="1" t="str">
        <f t="shared" si="4"/>
        <v>No Badges</v>
      </c>
      <c r="J3627" s="3">
        <f t="shared" si="5"/>
        <v>0</v>
      </c>
    </row>
    <row r="3628">
      <c r="A3628" s="1" t="s">
        <v>2357</v>
      </c>
      <c r="B3628" s="3" t="str">
        <f t="shared" si="1"/>
        <v>Unavailable</v>
      </c>
      <c r="C3628" s="3">
        <v>74.0</v>
      </c>
      <c r="D3628" s="3">
        <f>IFERROR(__xludf.DUMMYFUNCTION("IFERROR(
IF(REGEXMATCH(LOWER(O3628),""k""),
VALUE(REGEXEXTRACT(O3628,""[0-9]+""))*1000,
VALUE(REGEXEXTRACT(O3628,""[0-9]+""))
),
0
)"),0.0)</f>
        <v>0</v>
      </c>
      <c r="E3628" s="1" t="s">
        <v>11</v>
      </c>
      <c r="F3628" s="1" t="s">
        <v>12</v>
      </c>
      <c r="G3628" s="4" t="b">
        <f t="shared" si="2"/>
        <v>1</v>
      </c>
      <c r="H3628" s="1" t="str">
        <f t="shared" si="3"/>
        <v>Currently Unavailable</v>
      </c>
      <c r="I3628" s="1" t="str">
        <f t="shared" si="4"/>
        <v>No Badges</v>
      </c>
      <c r="J3628" s="3">
        <f t="shared" si="5"/>
        <v>0</v>
      </c>
    </row>
    <row r="3629">
      <c r="A3629" s="1" t="s">
        <v>2725</v>
      </c>
      <c r="B3629" s="3" t="str">
        <f t="shared" si="1"/>
        <v>Unavailable</v>
      </c>
      <c r="C3629" s="3">
        <v>579.0</v>
      </c>
      <c r="D3629" s="3">
        <f>IFERROR(__xludf.DUMMYFUNCTION("IFERROR(
IF(REGEXMATCH(LOWER(O3629),""k""),
VALUE(REGEXEXTRACT(O3629,""[0-9]+""))*1000,
VALUE(REGEXEXTRACT(O3629,""[0-9]+""))
),
0
)"),0.0)</f>
        <v>0</v>
      </c>
      <c r="E3629" s="1" t="s">
        <v>11</v>
      </c>
      <c r="F3629" s="1" t="s">
        <v>20</v>
      </c>
      <c r="G3629" s="4" t="b">
        <f t="shared" si="2"/>
        <v>1</v>
      </c>
      <c r="H3629" s="1" t="str">
        <f t="shared" si="3"/>
        <v>Currently Unavailable</v>
      </c>
      <c r="I3629" s="1" t="str">
        <f t="shared" si="4"/>
        <v>No Badges</v>
      </c>
      <c r="J3629" s="3">
        <f t="shared" si="5"/>
        <v>0</v>
      </c>
    </row>
    <row r="3630">
      <c r="A3630" s="1" t="s">
        <v>2726</v>
      </c>
      <c r="B3630" s="3" t="str">
        <f t="shared" si="1"/>
        <v>Unavailable</v>
      </c>
      <c r="C3630" s="3">
        <v>40.0</v>
      </c>
      <c r="D3630" s="3">
        <f>IFERROR(__xludf.DUMMYFUNCTION("IFERROR(
IF(REGEXMATCH(LOWER(O3630),""k""),
VALUE(REGEXEXTRACT(O3630,""[0-9]+""))*1000,
VALUE(REGEXEXTRACT(O3630,""[0-9]+""))
),
0
)"),0.0)</f>
        <v>0</v>
      </c>
      <c r="E3630" s="1" t="s">
        <v>11</v>
      </c>
      <c r="F3630" s="1" t="s">
        <v>20</v>
      </c>
      <c r="G3630" s="4" t="b">
        <f t="shared" si="2"/>
        <v>1</v>
      </c>
      <c r="H3630" s="1" t="str">
        <f t="shared" si="3"/>
        <v>Currently Unavailable</v>
      </c>
      <c r="I3630" s="1" t="str">
        <f t="shared" si="4"/>
        <v>No Badges</v>
      </c>
      <c r="J3630" s="3">
        <f t="shared" si="5"/>
        <v>0</v>
      </c>
    </row>
    <row r="3631">
      <c r="A3631" s="1" t="s">
        <v>2727</v>
      </c>
      <c r="B3631" s="3" t="str">
        <f t="shared" si="1"/>
        <v>Unavailable</v>
      </c>
      <c r="C3631" s="5">
        <v>1184.0</v>
      </c>
      <c r="D3631" s="3">
        <f>IFERROR(__xludf.DUMMYFUNCTION("IFERROR(
IF(REGEXMATCH(LOWER(O3631),""k""),
VALUE(REGEXEXTRACT(O3631,""[0-9]+""))*1000,
VALUE(REGEXEXTRACT(O3631,""[0-9]+""))
),
0
)"),0.0)</f>
        <v>0</v>
      </c>
      <c r="E3631" s="1" t="s">
        <v>11</v>
      </c>
      <c r="F3631" s="1" t="s">
        <v>20</v>
      </c>
      <c r="G3631" s="4" t="b">
        <f t="shared" si="2"/>
        <v>1</v>
      </c>
      <c r="H3631" s="1" t="str">
        <f t="shared" si="3"/>
        <v>Currently Unavailable</v>
      </c>
      <c r="I3631" s="1" t="str">
        <f t="shared" si="4"/>
        <v>No Badges</v>
      </c>
      <c r="J3631" s="3">
        <f t="shared" si="5"/>
        <v>0</v>
      </c>
    </row>
    <row r="3632">
      <c r="A3632" s="1" t="s">
        <v>2728</v>
      </c>
      <c r="B3632" s="3" t="str">
        <f t="shared" si="1"/>
        <v>Unavailable</v>
      </c>
      <c r="C3632" s="3">
        <v>31.0</v>
      </c>
      <c r="D3632" s="3">
        <f>IFERROR(__xludf.DUMMYFUNCTION("IFERROR(
IF(REGEXMATCH(LOWER(O3632),""k""),
VALUE(REGEXEXTRACT(O3632,""[0-9]+""))*1000,
VALUE(REGEXEXTRACT(O3632,""[0-9]+""))
),
0
)"),0.0)</f>
        <v>0</v>
      </c>
      <c r="E3632" s="1" t="s">
        <v>11</v>
      </c>
      <c r="F3632" s="1" t="s">
        <v>20</v>
      </c>
      <c r="G3632" s="4" t="b">
        <f t="shared" si="2"/>
        <v>1</v>
      </c>
      <c r="H3632" s="1" t="str">
        <f t="shared" si="3"/>
        <v>Currently Unavailable</v>
      </c>
      <c r="I3632" s="1" t="str">
        <f t="shared" si="4"/>
        <v>No Badges</v>
      </c>
      <c r="J3632" s="3">
        <f t="shared" si="5"/>
        <v>0</v>
      </c>
    </row>
    <row r="3633">
      <c r="A3633" s="1" t="s">
        <v>2729</v>
      </c>
      <c r="B3633" s="3" t="str">
        <f t="shared" si="1"/>
        <v>Unavailable</v>
      </c>
      <c r="C3633" s="3">
        <v>45.0</v>
      </c>
      <c r="D3633" s="3">
        <f>IFERROR(__xludf.DUMMYFUNCTION("IFERROR(
IF(REGEXMATCH(LOWER(O3633),""k""),
VALUE(REGEXEXTRACT(O3633,""[0-9]+""))*1000,
VALUE(REGEXEXTRACT(O3633,""[0-9]+""))
),
0
)"),0.0)</f>
        <v>0</v>
      </c>
      <c r="E3633" s="1" t="s">
        <v>11</v>
      </c>
      <c r="F3633" s="1" t="s">
        <v>20</v>
      </c>
      <c r="G3633" s="4" t="b">
        <f t="shared" si="2"/>
        <v>1</v>
      </c>
      <c r="H3633" s="1" t="str">
        <f t="shared" si="3"/>
        <v>Currently Unavailable</v>
      </c>
      <c r="I3633" s="1" t="str">
        <f t="shared" si="4"/>
        <v>No Badges</v>
      </c>
      <c r="J3633" s="3">
        <f t="shared" si="5"/>
        <v>0</v>
      </c>
    </row>
    <row r="3634">
      <c r="A3634" s="1" t="s">
        <v>2730</v>
      </c>
      <c r="B3634" s="3" t="str">
        <f t="shared" si="1"/>
        <v>Unavailable</v>
      </c>
      <c r="C3634" s="3">
        <v>4.0</v>
      </c>
      <c r="D3634" s="3">
        <f>IFERROR(__xludf.DUMMYFUNCTION("IFERROR(
IF(REGEXMATCH(LOWER(O3634),""k""),
VALUE(REGEXEXTRACT(O3634,""[0-9]+""))*1000,
VALUE(REGEXEXTRACT(O3634,""[0-9]+""))
),
0
)"),0.0)</f>
        <v>0</v>
      </c>
      <c r="E3634" s="1" t="s">
        <v>11</v>
      </c>
      <c r="F3634" s="1" t="s">
        <v>20</v>
      </c>
      <c r="G3634" s="4" t="b">
        <f t="shared" si="2"/>
        <v>1</v>
      </c>
      <c r="H3634" s="1" t="str">
        <f t="shared" si="3"/>
        <v>Currently Unavailable</v>
      </c>
      <c r="I3634" s="1" t="str">
        <f t="shared" si="4"/>
        <v>No Badges</v>
      </c>
      <c r="J3634" s="3">
        <f t="shared" si="5"/>
        <v>0</v>
      </c>
    </row>
    <row r="3635">
      <c r="A3635" s="1" t="s">
        <v>2731</v>
      </c>
      <c r="B3635" s="3" t="str">
        <f t="shared" si="1"/>
        <v>Unavailable</v>
      </c>
      <c r="C3635" s="5">
        <v>1028.0</v>
      </c>
      <c r="D3635" s="3">
        <f>IFERROR(__xludf.DUMMYFUNCTION("IFERROR(
IF(REGEXMATCH(LOWER(O3635),""k""),
VALUE(REGEXEXTRACT(O3635,""[0-9]+""))*1000,
VALUE(REGEXEXTRACT(O3635,""[0-9]+""))
),
0
)"),0.0)</f>
        <v>0</v>
      </c>
      <c r="E3635" s="1" t="s">
        <v>11</v>
      </c>
      <c r="F3635" s="1" t="s">
        <v>20</v>
      </c>
      <c r="G3635" s="4" t="b">
        <f t="shared" si="2"/>
        <v>1</v>
      </c>
      <c r="H3635" s="1" t="str">
        <f t="shared" si="3"/>
        <v>Currently Unavailable</v>
      </c>
      <c r="I3635" s="1" t="str">
        <f t="shared" si="4"/>
        <v>No Badges</v>
      </c>
      <c r="J3635" s="3">
        <f t="shared" si="5"/>
        <v>0</v>
      </c>
    </row>
    <row r="3636">
      <c r="A3636" s="1" t="s">
        <v>2732</v>
      </c>
      <c r="B3636" s="3" t="str">
        <f t="shared" si="1"/>
        <v>Unavailable</v>
      </c>
      <c r="C3636" s="5">
        <v>2612.0</v>
      </c>
      <c r="D3636" s="3">
        <f>IFERROR(__xludf.DUMMYFUNCTION("IFERROR(
IF(REGEXMATCH(LOWER(O3636),""k""),
VALUE(REGEXEXTRACT(O3636,""[0-9]+""))*1000,
VALUE(REGEXEXTRACT(O3636,""[0-9]+""))
),
0
)"),0.0)</f>
        <v>0</v>
      </c>
      <c r="E3636" s="1" t="s">
        <v>11</v>
      </c>
      <c r="F3636" s="1" t="s">
        <v>20</v>
      </c>
      <c r="G3636" s="4" t="b">
        <f t="shared" si="2"/>
        <v>1</v>
      </c>
      <c r="H3636" s="1" t="str">
        <f t="shared" si="3"/>
        <v>Currently Unavailable</v>
      </c>
      <c r="I3636" s="1" t="str">
        <f t="shared" si="4"/>
        <v>No Badges</v>
      </c>
      <c r="J3636" s="3">
        <f t="shared" si="5"/>
        <v>0</v>
      </c>
    </row>
    <row r="3637">
      <c r="A3637" s="1" t="s">
        <v>2733</v>
      </c>
      <c r="B3637" s="3" t="str">
        <f t="shared" si="1"/>
        <v>Unavailable</v>
      </c>
      <c r="C3637" s="3">
        <v>774.0</v>
      </c>
      <c r="D3637" s="3">
        <f>IFERROR(__xludf.DUMMYFUNCTION("IFERROR(
IF(REGEXMATCH(LOWER(O3637),""k""),
VALUE(REGEXEXTRACT(O3637,""[0-9]+""))*1000,
VALUE(REGEXEXTRACT(O3637,""[0-9]+""))
),
0
)"),0.0)</f>
        <v>0</v>
      </c>
      <c r="E3637" s="1" t="s">
        <v>11</v>
      </c>
      <c r="F3637" s="1" t="s">
        <v>20</v>
      </c>
      <c r="G3637" s="4" t="b">
        <f t="shared" si="2"/>
        <v>1</v>
      </c>
      <c r="H3637" s="1" t="str">
        <f t="shared" si="3"/>
        <v>Currently Unavailable</v>
      </c>
      <c r="I3637" s="1" t="str">
        <f t="shared" si="4"/>
        <v>No Badges</v>
      </c>
      <c r="J3637" s="3">
        <f t="shared" si="5"/>
        <v>0</v>
      </c>
    </row>
    <row r="3638">
      <c r="A3638" s="1" t="s">
        <v>2734</v>
      </c>
      <c r="B3638" s="3" t="str">
        <f t="shared" si="1"/>
        <v>Unavailable</v>
      </c>
      <c r="C3638" s="5">
        <v>1734.0</v>
      </c>
      <c r="D3638" s="3">
        <f>IFERROR(__xludf.DUMMYFUNCTION("IFERROR(
IF(REGEXMATCH(LOWER(O3638),""k""),
VALUE(REGEXEXTRACT(O3638,""[0-9]+""))*1000,
VALUE(REGEXEXTRACT(O3638,""[0-9]+""))
),
0
)"),0.0)</f>
        <v>0</v>
      </c>
      <c r="E3638" s="1" t="s">
        <v>11</v>
      </c>
      <c r="F3638" s="1" t="s">
        <v>20</v>
      </c>
      <c r="G3638" s="4" t="b">
        <f t="shared" si="2"/>
        <v>1</v>
      </c>
      <c r="H3638" s="1" t="str">
        <f t="shared" si="3"/>
        <v>Currently Unavailable</v>
      </c>
      <c r="I3638" s="1" t="str">
        <f t="shared" si="4"/>
        <v>No Badges</v>
      </c>
      <c r="J3638" s="3">
        <f t="shared" si="5"/>
        <v>0</v>
      </c>
    </row>
    <row r="3639">
      <c r="A3639" s="1" t="s">
        <v>604</v>
      </c>
      <c r="B3639" s="3" t="str">
        <f t="shared" si="1"/>
        <v>Unavailable</v>
      </c>
      <c r="C3639" s="3">
        <v>30.0</v>
      </c>
      <c r="D3639" s="3">
        <f>IFERROR(__xludf.DUMMYFUNCTION("IFERROR(
IF(REGEXMATCH(LOWER(O3639),""k""),
VALUE(REGEXEXTRACT(O3639,""[0-9]+""))*1000,
VALUE(REGEXEXTRACT(O3639,""[0-9]+""))
),
0
)"),0.0)</f>
        <v>0</v>
      </c>
      <c r="E3639" s="1" t="s">
        <v>11</v>
      </c>
      <c r="F3639" s="1" t="s">
        <v>12</v>
      </c>
      <c r="G3639" s="4" t="b">
        <f t="shared" si="2"/>
        <v>1</v>
      </c>
      <c r="H3639" s="1" t="str">
        <f t="shared" si="3"/>
        <v>Currently Unavailable</v>
      </c>
      <c r="I3639" s="1" t="str">
        <f t="shared" si="4"/>
        <v>No Badges</v>
      </c>
      <c r="J3639" s="3">
        <f t="shared" si="5"/>
        <v>0</v>
      </c>
    </row>
    <row r="3640">
      <c r="A3640" s="1" t="s">
        <v>2735</v>
      </c>
      <c r="B3640" s="3" t="str">
        <f t="shared" si="1"/>
        <v>Unavailable</v>
      </c>
      <c r="C3640" s="3">
        <v>345.0</v>
      </c>
      <c r="D3640" s="3">
        <f>IFERROR(__xludf.DUMMYFUNCTION("IFERROR(
IF(REGEXMATCH(LOWER(O3640),""k""),
VALUE(REGEXEXTRACT(O3640,""[0-9]+""))*1000,
VALUE(REGEXEXTRACT(O3640,""[0-9]+""))
),
0
)"),0.0)</f>
        <v>0</v>
      </c>
      <c r="E3640" s="1" t="s">
        <v>11</v>
      </c>
      <c r="F3640" s="1" t="s">
        <v>20</v>
      </c>
      <c r="G3640" s="4" t="b">
        <f t="shared" si="2"/>
        <v>1</v>
      </c>
      <c r="H3640" s="1" t="str">
        <f t="shared" si="3"/>
        <v>Currently Unavailable</v>
      </c>
      <c r="I3640" s="1" t="str">
        <f t="shared" si="4"/>
        <v>No Badges</v>
      </c>
      <c r="J3640" s="3">
        <f t="shared" si="5"/>
        <v>0</v>
      </c>
    </row>
    <row r="3641">
      <c r="A3641" s="1" t="s">
        <v>2736</v>
      </c>
      <c r="B3641" s="3" t="str">
        <f t="shared" si="1"/>
        <v>Unavailable</v>
      </c>
      <c r="C3641" s="5">
        <v>2206.0</v>
      </c>
      <c r="D3641" s="3">
        <f>IFERROR(__xludf.DUMMYFUNCTION("IFERROR(
IF(REGEXMATCH(LOWER(O3641),""k""),
VALUE(REGEXEXTRACT(O3641,""[0-9]+""))*1000,
VALUE(REGEXEXTRACT(O3641,""[0-9]+""))
),
0
)"),0.0)</f>
        <v>0</v>
      </c>
      <c r="E3641" s="1" t="s">
        <v>11</v>
      </c>
      <c r="F3641" s="1" t="s">
        <v>20</v>
      </c>
      <c r="G3641" s="4" t="b">
        <f t="shared" si="2"/>
        <v>1</v>
      </c>
      <c r="H3641" s="1" t="str">
        <f t="shared" si="3"/>
        <v>Currently Unavailable</v>
      </c>
      <c r="I3641" s="1" t="str">
        <f t="shared" si="4"/>
        <v>No Badges</v>
      </c>
      <c r="J3641" s="3">
        <f t="shared" si="5"/>
        <v>0</v>
      </c>
    </row>
    <row r="3642">
      <c r="A3642" s="1" t="s">
        <v>2737</v>
      </c>
      <c r="B3642" s="3" t="str">
        <f t="shared" si="1"/>
        <v>Unavailable</v>
      </c>
      <c r="C3642" s="3">
        <v>99.0</v>
      </c>
      <c r="D3642" s="3">
        <f>IFERROR(__xludf.DUMMYFUNCTION("IFERROR(
IF(REGEXMATCH(LOWER(O3642),""k""),
VALUE(REGEXEXTRACT(O3642,""[0-9]+""))*1000,
VALUE(REGEXEXTRACT(O3642,""[0-9]+""))
),
0
)"),0.0)</f>
        <v>0</v>
      </c>
      <c r="E3642" s="1" t="s">
        <v>11</v>
      </c>
      <c r="F3642" s="1" t="s">
        <v>20</v>
      </c>
      <c r="G3642" s="4" t="b">
        <f t="shared" si="2"/>
        <v>1</v>
      </c>
      <c r="H3642" s="1" t="str">
        <f t="shared" si="3"/>
        <v>Currently Unavailable</v>
      </c>
      <c r="I3642" s="1" t="str">
        <f t="shared" si="4"/>
        <v>No Badges</v>
      </c>
      <c r="J3642" s="3">
        <f t="shared" si="5"/>
        <v>0</v>
      </c>
    </row>
    <row r="3643">
      <c r="A3643" s="1" t="s">
        <v>2738</v>
      </c>
      <c r="B3643" s="3" t="str">
        <f t="shared" si="1"/>
        <v>Unavailable</v>
      </c>
      <c r="C3643" s="3">
        <v>368.0</v>
      </c>
      <c r="D3643" s="3">
        <f>IFERROR(__xludf.DUMMYFUNCTION("IFERROR(
IF(REGEXMATCH(LOWER(O3643),""k""),
VALUE(REGEXEXTRACT(O3643,""[0-9]+""))*1000,
VALUE(REGEXEXTRACT(O3643,""[0-9]+""))
),
0
)"),0.0)</f>
        <v>0</v>
      </c>
      <c r="E3643" s="1" t="s">
        <v>11</v>
      </c>
      <c r="F3643" s="1" t="s">
        <v>20</v>
      </c>
      <c r="G3643" s="4" t="b">
        <f t="shared" si="2"/>
        <v>1</v>
      </c>
      <c r="H3643" s="1" t="str">
        <f t="shared" si="3"/>
        <v>Currently Unavailable</v>
      </c>
      <c r="I3643" s="1" t="str">
        <f t="shared" si="4"/>
        <v>No Badges</v>
      </c>
      <c r="J3643" s="3">
        <f t="shared" si="5"/>
        <v>0</v>
      </c>
    </row>
    <row r="3644">
      <c r="A3644" s="1" t="s">
        <v>2739</v>
      </c>
      <c r="B3644" s="3" t="str">
        <f t="shared" si="1"/>
        <v>Unavailable</v>
      </c>
      <c r="C3644" s="3">
        <v>52.0</v>
      </c>
      <c r="D3644" s="3">
        <f>IFERROR(__xludf.DUMMYFUNCTION("IFERROR(
IF(REGEXMATCH(LOWER(O3644),""k""),
VALUE(REGEXEXTRACT(O3644,""[0-9]+""))*1000,
VALUE(REGEXEXTRACT(O3644,""[0-9]+""))
),
0
)"),0.0)</f>
        <v>0</v>
      </c>
      <c r="E3644" s="1" t="s">
        <v>11</v>
      </c>
      <c r="F3644" s="1" t="s">
        <v>20</v>
      </c>
      <c r="G3644" s="4" t="b">
        <f t="shared" si="2"/>
        <v>1</v>
      </c>
      <c r="H3644" s="1" t="str">
        <f t="shared" si="3"/>
        <v>Currently Unavailable</v>
      </c>
      <c r="I3644" s="1" t="str">
        <f t="shared" si="4"/>
        <v>No Badges</v>
      </c>
      <c r="J3644" s="3">
        <f t="shared" si="5"/>
        <v>0</v>
      </c>
    </row>
    <row r="3645">
      <c r="A3645" s="1" t="s">
        <v>2740</v>
      </c>
      <c r="B3645" s="3" t="str">
        <f t="shared" si="1"/>
        <v>Unavailable</v>
      </c>
      <c r="C3645" s="3">
        <v>137.0</v>
      </c>
      <c r="D3645" s="3">
        <f>IFERROR(__xludf.DUMMYFUNCTION("IFERROR(
IF(REGEXMATCH(LOWER(O3645),""k""),
VALUE(REGEXEXTRACT(O3645,""[0-9]+""))*1000,
VALUE(REGEXEXTRACT(O3645,""[0-9]+""))
),
0
)"),0.0)</f>
        <v>0</v>
      </c>
      <c r="E3645" s="1" t="s">
        <v>11</v>
      </c>
      <c r="F3645" s="1" t="s">
        <v>20</v>
      </c>
      <c r="G3645" s="4" t="b">
        <f t="shared" si="2"/>
        <v>1</v>
      </c>
      <c r="H3645" s="1" t="str">
        <f t="shared" si="3"/>
        <v>Currently Unavailable</v>
      </c>
      <c r="I3645" s="1" t="str">
        <f t="shared" si="4"/>
        <v>No Badges</v>
      </c>
      <c r="J3645" s="3">
        <f t="shared" si="5"/>
        <v>0</v>
      </c>
    </row>
    <row r="3646">
      <c r="A3646" s="1" t="s">
        <v>2741</v>
      </c>
      <c r="B3646" s="3" t="str">
        <f t="shared" si="1"/>
        <v>Unavailable</v>
      </c>
      <c r="C3646" s="3">
        <v>420.0</v>
      </c>
      <c r="D3646" s="3">
        <f>IFERROR(__xludf.DUMMYFUNCTION("IFERROR(
IF(REGEXMATCH(LOWER(O3646),""k""),
VALUE(REGEXEXTRACT(O3646,""[0-9]+""))*1000,
VALUE(REGEXEXTRACT(O3646,""[0-9]+""))
),
0
)"),0.0)</f>
        <v>0</v>
      </c>
      <c r="E3646" s="1" t="s">
        <v>11</v>
      </c>
      <c r="F3646" s="1" t="s">
        <v>20</v>
      </c>
      <c r="G3646" s="4" t="b">
        <f t="shared" si="2"/>
        <v>1</v>
      </c>
      <c r="H3646" s="1" t="str">
        <f t="shared" si="3"/>
        <v>Currently Unavailable</v>
      </c>
      <c r="I3646" s="1" t="str">
        <f t="shared" si="4"/>
        <v>No Badges</v>
      </c>
      <c r="J3646" s="3">
        <f t="shared" si="5"/>
        <v>0</v>
      </c>
    </row>
    <row r="3647">
      <c r="A3647" s="1" t="s">
        <v>2742</v>
      </c>
      <c r="B3647" s="3" t="str">
        <f t="shared" si="1"/>
        <v>Unavailable</v>
      </c>
      <c r="C3647" s="3">
        <v>69.0</v>
      </c>
      <c r="D3647" s="3">
        <f>IFERROR(__xludf.DUMMYFUNCTION("IFERROR(
IF(REGEXMATCH(LOWER(O3647),""k""),
VALUE(REGEXEXTRACT(O3647,""[0-9]+""))*1000,
VALUE(REGEXEXTRACT(O3647,""[0-9]+""))
),
0
)"),0.0)</f>
        <v>0</v>
      </c>
      <c r="E3647" s="1" t="s">
        <v>11</v>
      </c>
      <c r="F3647" s="1" t="s">
        <v>20</v>
      </c>
      <c r="G3647" s="4" t="b">
        <f t="shared" si="2"/>
        <v>1</v>
      </c>
      <c r="H3647" s="1" t="str">
        <f t="shared" si="3"/>
        <v>Currently Unavailable</v>
      </c>
      <c r="I3647" s="1" t="str">
        <f t="shared" si="4"/>
        <v>No Badges</v>
      </c>
      <c r="J3647" s="3">
        <f t="shared" si="5"/>
        <v>0</v>
      </c>
    </row>
    <row r="3648">
      <c r="A3648" s="1" t="s">
        <v>2743</v>
      </c>
      <c r="B3648" s="3" t="str">
        <f t="shared" si="1"/>
        <v>Unavailable</v>
      </c>
      <c r="C3648" s="5">
        <v>1054.0</v>
      </c>
      <c r="D3648" s="3">
        <f>IFERROR(__xludf.DUMMYFUNCTION("IFERROR(
IF(REGEXMATCH(LOWER(O3648),""k""),
VALUE(REGEXEXTRACT(O3648,""[0-9]+""))*1000,
VALUE(REGEXEXTRACT(O3648,""[0-9]+""))
),
0
)"),0.0)</f>
        <v>0</v>
      </c>
      <c r="E3648" s="1" t="s">
        <v>11</v>
      </c>
      <c r="F3648" s="1" t="s">
        <v>20</v>
      </c>
      <c r="G3648" s="4" t="b">
        <f t="shared" si="2"/>
        <v>1</v>
      </c>
      <c r="H3648" s="1" t="str">
        <f t="shared" si="3"/>
        <v>Currently Unavailable</v>
      </c>
      <c r="I3648" s="1" t="str">
        <f t="shared" si="4"/>
        <v>No Badges</v>
      </c>
      <c r="J3648" s="3">
        <f t="shared" si="5"/>
        <v>0</v>
      </c>
    </row>
    <row r="3649">
      <c r="A3649" s="1" t="s">
        <v>2744</v>
      </c>
      <c r="B3649" s="3" t="str">
        <f t="shared" si="1"/>
        <v>Unavailable</v>
      </c>
      <c r="C3649" s="5">
        <v>15952.0</v>
      </c>
      <c r="D3649" s="3">
        <f>IFERROR(__xludf.DUMMYFUNCTION("IFERROR(
IF(REGEXMATCH(LOWER(O3649),""k""),
VALUE(REGEXEXTRACT(O3649,""[0-9]+""))*1000,
VALUE(REGEXEXTRACT(O3649,""[0-9]+""))
),
0
)"),0.0)</f>
        <v>0</v>
      </c>
      <c r="E3649" s="1" t="s">
        <v>11</v>
      </c>
      <c r="F3649" s="1" t="s">
        <v>20</v>
      </c>
      <c r="G3649" s="4" t="b">
        <f t="shared" si="2"/>
        <v>1</v>
      </c>
      <c r="H3649" s="1" t="str">
        <f t="shared" si="3"/>
        <v>Currently Unavailable</v>
      </c>
      <c r="I3649" s="1" t="str">
        <f t="shared" si="4"/>
        <v>No Badges</v>
      </c>
      <c r="J3649" s="3">
        <f t="shared" si="5"/>
        <v>0</v>
      </c>
    </row>
    <row r="3650">
      <c r="A3650" s="1" t="s">
        <v>2352</v>
      </c>
      <c r="B3650" s="3" t="str">
        <f t="shared" si="1"/>
        <v>Unavailable</v>
      </c>
      <c r="C3650" s="3">
        <v>196.0</v>
      </c>
      <c r="D3650" s="3">
        <f>IFERROR(__xludf.DUMMYFUNCTION("IFERROR(
IF(REGEXMATCH(LOWER(O3650),""k""),
VALUE(REGEXEXTRACT(O3650,""[0-9]+""))*1000,
VALUE(REGEXEXTRACT(O3650,""[0-9]+""))
),
0
)"),0.0)</f>
        <v>0</v>
      </c>
      <c r="E3650" s="1" t="s">
        <v>11</v>
      </c>
      <c r="F3650" s="1" t="s">
        <v>12</v>
      </c>
      <c r="G3650" s="4" t="b">
        <f t="shared" si="2"/>
        <v>1</v>
      </c>
      <c r="H3650" s="1" t="str">
        <f t="shared" si="3"/>
        <v>Currently Unavailable</v>
      </c>
      <c r="I3650" s="1" t="str">
        <f t="shared" si="4"/>
        <v>No Badges</v>
      </c>
      <c r="J3650" s="3">
        <f t="shared" si="5"/>
        <v>0</v>
      </c>
    </row>
    <row r="3651">
      <c r="A3651" s="1" t="s">
        <v>2745</v>
      </c>
      <c r="B3651" s="3" t="str">
        <f t="shared" si="1"/>
        <v>Unavailable</v>
      </c>
      <c r="C3651" s="5">
        <v>1000.0</v>
      </c>
      <c r="D3651" s="3">
        <f>IFERROR(__xludf.DUMMYFUNCTION("IFERROR(
IF(REGEXMATCH(LOWER(O3651),""k""),
VALUE(REGEXEXTRACT(O3651,""[0-9]+""))*1000,
VALUE(REGEXEXTRACT(O3651,""[0-9]+""))
),
0
)"),0.0)</f>
        <v>0</v>
      </c>
      <c r="E3651" s="1" t="s">
        <v>11</v>
      </c>
      <c r="F3651" s="1" t="s">
        <v>20</v>
      </c>
      <c r="G3651" s="4" t="b">
        <f t="shared" si="2"/>
        <v>1</v>
      </c>
      <c r="H3651" s="1" t="str">
        <f t="shared" si="3"/>
        <v>Currently Unavailable</v>
      </c>
      <c r="I3651" s="1" t="str">
        <f t="shared" si="4"/>
        <v>No Badges</v>
      </c>
      <c r="J3651" s="3">
        <f t="shared" si="5"/>
        <v>0</v>
      </c>
    </row>
    <row r="3652">
      <c r="A3652" s="1" t="s">
        <v>2746</v>
      </c>
      <c r="B3652" s="3" t="str">
        <f t="shared" si="1"/>
        <v>Unavailable</v>
      </c>
      <c r="C3652" s="3">
        <v>539.0</v>
      </c>
      <c r="D3652" s="3">
        <f>IFERROR(__xludf.DUMMYFUNCTION("IFERROR(
IF(REGEXMATCH(LOWER(O3652),""k""),
VALUE(REGEXEXTRACT(O3652,""[0-9]+""))*1000,
VALUE(REGEXEXTRACT(O3652,""[0-9]+""))
),
0
)"),0.0)</f>
        <v>0</v>
      </c>
      <c r="E3652" s="1" t="s">
        <v>11</v>
      </c>
      <c r="F3652" s="1" t="s">
        <v>20</v>
      </c>
      <c r="G3652" s="4" t="b">
        <f t="shared" si="2"/>
        <v>1</v>
      </c>
      <c r="H3652" s="1" t="str">
        <f t="shared" si="3"/>
        <v>Currently Unavailable</v>
      </c>
      <c r="I3652" s="1" t="str">
        <f t="shared" si="4"/>
        <v>No Badges</v>
      </c>
      <c r="J3652" s="3">
        <f t="shared" si="5"/>
        <v>0</v>
      </c>
    </row>
    <row r="3653">
      <c r="A3653" s="1" t="s">
        <v>88</v>
      </c>
      <c r="B3653" s="3" t="str">
        <f t="shared" si="1"/>
        <v>Unavailable</v>
      </c>
      <c r="C3653" s="3">
        <v>5.0</v>
      </c>
      <c r="D3653" s="3">
        <f>IFERROR(__xludf.DUMMYFUNCTION("IFERROR(
IF(REGEXMATCH(LOWER(O3653),""k""),
VALUE(REGEXEXTRACT(O3653,""[0-9]+""))*1000,
VALUE(REGEXEXTRACT(O3653,""[0-9]+""))
),
0
)"),0.0)</f>
        <v>0</v>
      </c>
      <c r="E3653" s="1" t="s">
        <v>11</v>
      </c>
      <c r="F3653" s="1" t="s">
        <v>12</v>
      </c>
      <c r="G3653" s="4" t="b">
        <f t="shared" si="2"/>
        <v>1</v>
      </c>
      <c r="H3653" s="1" t="str">
        <f t="shared" si="3"/>
        <v>Currently Unavailable</v>
      </c>
      <c r="I3653" s="1" t="str">
        <f t="shared" si="4"/>
        <v>No Badges</v>
      </c>
      <c r="J3653" s="3">
        <f t="shared" si="5"/>
        <v>0</v>
      </c>
    </row>
    <row r="3654">
      <c r="A3654" s="1" t="s">
        <v>69</v>
      </c>
      <c r="B3654" s="3" t="str">
        <f t="shared" si="1"/>
        <v>Unavailable</v>
      </c>
      <c r="C3654" s="3">
        <v>45.0</v>
      </c>
      <c r="D3654" s="3">
        <f>IFERROR(__xludf.DUMMYFUNCTION("IFERROR(
IF(REGEXMATCH(LOWER(O3654),""k""),
VALUE(REGEXEXTRACT(O3654,""[0-9]+""))*1000,
VALUE(REGEXEXTRACT(O3654,""[0-9]+""))
),
0
)"),0.0)</f>
        <v>0</v>
      </c>
      <c r="E3654" s="1" t="s">
        <v>11</v>
      </c>
      <c r="F3654" s="1" t="s">
        <v>12</v>
      </c>
      <c r="G3654" s="4" t="b">
        <f t="shared" si="2"/>
        <v>1</v>
      </c>
      <c r="H3654" s="1" t="str">
        <f t="shared" si="3"/>
        <v>Currently Unavailable</v>
      </c>
      <c r="I3654" s="1" t="str">
        <f t="shared" si="4"/>
        <v>No Badges</v>
      </c>
      <c r="J3654" s="3">
        <f t="shared" si="5"/>
        <v>0</v>
      </c>
    </row>
    <row r="3655">
      <c r="A3655" s="1" t="s">
        <v>67</v>
      </c>
      <c r="B3655" s="3" t="str">
        <f t="shared" si="1"/>
        <v>Unavailable</v>
      </c>
      <c r="C3655" s="3">
        <v>264.0</v>
      </c>
      <c r="D3655" s="3">
        <f>IFERROR(__xludf.DUMMYFUNCTION("IFERROR(
IF(REGEXMATCH(LOWER(O3655),""k""),
VALUE(REGEXEXTRACT(O3655,""[0-9]+""))*1000,
VALUE(REGEXEXTRACT(O3655,""[0-9]+""))
),
0
)"),0.0)</f>
        <v>0</v>
      </c>
      <c r="E3655" s="1" t="s">
        <v>11</v>
      </c>
      <c r="F3655" s="1" t="s">
        <v>12</v>
      </c>
      <c r="G3655" s="4" t="b">
        <f t="shared" si="2"/>
        <v>1</v>
      </c>
      <c r="H3655" s="1" t="str">
        <f t="shared" si="3"/>
        <v>Currently Unavailable</v>
      </c>
      <c r="I3655" s="1" t="str">
        <f t="shared" si="4"/>
        <v>No Badges</v>
      </c>
      <c r="J3655" s="3">
        <f t="shared" si="5"/>
        <v>0</v>
      </c>
    </row>
    <row r="3656">
      <c r="A3656" s="1" t="s">
        <v>2747</v>
      </c>
      <c r="B3656" s="3" t="str">
        <f t="shared" si="1"/>
        <v>Unavailable</v>
      </c>
      <c r="C3656" s="3">
        <v>134.0</v>
      </c>
      <c r="D3656" s="3">
        <f>IFERROR(__xludf.DUMMYFUNCTION("IFERROR(
IF(REGEXMATCH(LOWER(O3656),""k""),
VALUE(REGEXEXTRACT(O3656,""[0-9]+""))*1000,
VALUE(REGEXEXTRACT(O3656,""[0-9]+""))
),
0
)"),0.0)</f>
        <v>0</v>
      </c>
      <c r="E3656" s="1" t="s">
        <v>11</v>
      </c>
      <c r="F3656" s="1" t="s">
        <v>20</v>
      </c>
      <c r="G3656" s="4" t="b">
        <f t="shared" si="2"/>
        <v>1</v>
      </c>
      <c r="H3656" s="1" t="str">
        <f t="shared" si="3"/>
        <v>Currently Unavailable</v>
      </c>
      <c r="I3656" s="1" t="str">
        <f t="shared" si="4"/>
        <v>No Badges</v>
      </c>
      <c r="J3656" s="3">
        <f t="shared" si="5"/>
        <v>0</v>
      </c>
    </row>
    <row r="3657">
      <c r="A3657" s="1" t="s">
        <v>2748</v>
      </c>
      <c r="B3657" s="3" t="str">
        <f t="shared" si="1"/>
        <v>Unavailable</v>
      </c>
      <c r="C3657" s="3">
        <v>714.0</v>
      </c>
      <c r="D3657" s="3">
        <f>IFERROR(__xludf.DUMMYFUNCTION("IFERROR(
IF(REGEXMATCH(LOWER(O3657),""k""),
VALUE(REGEXEXTRACT(O3657,""[0-9]+""))*1000,
VALUE(REGEXEXTRACT(O3657,""[0-9]+""))
),
0
)"),0.0)</f>
        <v>0</v>
      </c>
      <c r="E3657" s="1" t="s">
        <v>11</v>
      </c>
      <c r="F3657" s="1" t="s">
        <v>20</v>
      </c>
      <c r="G3657" s="4" t="b">
        <f t="shared" si="2"/>
        <v>1</v>
      </c>
      <c r="H3657" s="1" t="str">
        <f t="shared" si="3"/>
        <v>Currently Unavailable</v>
      </c>
      <c r="I3657" s="1" t="str">
        <f t="shared" si="4"/>
        <v>No Badges</v>
      </c>
      <c r="J3657" s="3">
        <f t="shared" si="5"/>
        <v>0</v>
      </c>
    </row>
    <row r="3658">
      <c r="A3658" s="1" t="s">
        <v>2749</v>
      </c>
      <c r="B3658" s="3" t="str">
        <f t="shared" si="1"/>
        <v>Unavailable</v>
      </c>
      <c r="C3658" s="3">
        <v>231.0</v>
      </c>
      <c r="D3658" s="3">
        <f>IFERROR(__xludf.DUMMYFUNCTION("IFERROR(
IF(REGEXMATCH(LOWER(O3658),""k""),
VALUE(REGEXEXTRACT(O3658,""[0-9]+""))*1000,
VALUE(REGEXEXTRACT(O3658,""[0-9]+""))
),
0
)"),0.0)</f>
        <v>0</v>
      </c>
      <c r="E3658" s="1" t="s">
        <v>11</v>
      </c>
      <c r="F3658" s="1" t="s">
        <v>20</v>
      </c>
      <c r="G3658" s="4" t="b">
        <f t="shared" si="2"/>
        <v>1</v>
      </c>
      <c r="H3658" s="1" t="str">
        <f t="shared" si="3"/>
        <v>Currently Unavailable</v>
      </c>
      <c r="I3658" s="1" t="str">
        <f t="shared" si="4"/>
        <v>No Badges</v>
      </c>
      <c r="J3658" s="3">
        <f t="shared" si="5"/>
        <v>0</v>
      </c>
    </row>
    <row r="3659">
      <c r="A3659" s="1" t="s">
        <v>2750</v>
      </c>
      <c r="B3659" s="3" t="str">
        <f t="shared" si="1"/>
        <v>Unavailable</v>
      </c>
      <c r="C3659" s="3">
        <v>199.0</v>
      </c>
      <c r="D3659" s="3">
        <f>IFERROR(__xludf.DUMMYFUNCTION("IFERROR(
IF(REGEXMATCH(LOWER(O3659),""k""),
VALUE(REGEXEXTRACT(O3659,""[0-9]+""))*1000,
VALUE(REGEXEXTRACT(O3659,""[0-9]+""))
),
0
)"),0.0)</f>
        <v>0</v>
      </c>
      <c r="E3659" s="1" t="s">
        <v>11</v>
      </c>
      <c r="F3659" s="1" t="s">
        <v>20</v>
      </c>
      <c r="G3659" s="4" t="b">
        <f t="shared" si="2"/>
        <v>1</v>
      </c>
      <c r="H3659" s="1" t="str">
        <f t="shared" si="3"/>
        <v>Currently Unavailable</v>
      </c>
      <c r="I3659" s="1" t="str">
        <f t="shared" si="4"/>
        <v>No Badges</v>
      </c>
      <c r="J3659" s="3">
        <f t="shared" si="5"/>
        <v>0</v>
      </c>
    </row>
    <row r="3660">
      <c r="A3660" s="1" t="s">
        <v>2352</v>
      </c>
      <c r="B3660" s="3" t="str">
        <f t="shared" si="1"/>
        <v>Unavailable</v>
      </c>
      <c r="C3660" s="3">
        <v>196.0</v>
      </c>
      <c r="D3660" s="3">
        <f>IFERROR(__xludf.DUMMYFUNCTION("IFERROR(
IF(REGEXMATCH(LOWER(O3660),""k""),
VALUE(REGEXEXTRACT(O3660,""[0-9]+""))*1000,
VALUE(REGEXEXTRACT(O3660,""[0-9]+""))
),
0
)"),0.0)</f>
        <v>0</v>
      </c>
      <c r="E3660" s="1" t="s">
        <v>11</v>
      </c>
      <c r="F3660" s="1" t="s">
        <v>12</v>
      </c>
      <c r="G3660" s="4" t="b">
        <f t="shared" si="2"/>
        <v>1</v>
      </c>
      <c r="H3660" s="1" t="str">
        <f t="shared" si="3"/>
        <v>Currently Unavailable</v>
      </c>
      <c r="I3660" s="1" t="str">
        <f t="shared" si="4"/>
        <v>No Badges</v>
      </c>
      <c r="J3660" s="3">
        <f t="shared" si="5"/>
        <v>0</v>
      </c>
    </row>
    <row r="3661">
      <c r="A3661" s="1" t="s">
        <v>2751</v>
      </c>
      <c r="B3661" s="3" t="str">
        <f t="shared" si="1"/>
        <v>Unavailable</v>
      </c>
      <c r="C3661" s="3">
        <v>867.0</v>
      </c>
      <c r="D3661" s="3">
        <f>IFERROR(__xludf.DUMMYFUNCTION("IFERROR(
IF(REGEXMATCH(LOWER(O3661),""k""),
VALUE(REGEXEXTRACT(O3661,""[0-9]+""))*1000,
VALUE(REGEXEXTRACT(O3661,""[0-9]+""))
),
0
)"),0.0)</f>
        <v>0</v>
      </c>
      <c r="E3661" s="1" t="s">
        <v>11</v>
      </c>
      <c r="F3661" s="1" t="s">
        <v>20</v>
      </c>
      <c r="G3661" s="4" t="b">
        <f t="shared" si="2"/>
        <v>1</v>
      </c>
      <c r="H3661" s="1" t="str">
        <f t="shared" si="3"/>
        <v>Currently Unavailable</v>
      </c>
      <c r="I3661" s="1" t="str">
        <f t="shared" si="4"/>
        <v>No Badges</v>
      </c>
      <c r="J3661" s="3">
        <f t="shared" si="5"/>
        <v>0</v>
      </c>
    </row>
    <row r="3662">
      <c r="A3662" s="1" t="s">
        <v>2752</v>
      </c>
      <c r="B3662" s="3" t="str">
        <f t="shared" si="1"/>
        <v>Unavailable</v>
      </c>
      <c r="C3662" s="3">
        <v>93.0</v>
      </c>
      <c r="D3662" s="3">
        <f>IFERROR(__xludf.DUMMYFUNCTION("IFERROR(
IF(REGEXMATCH(LOWER(O3662),""k""),
VALUE(REGEXEXTRACT(O3662,""[0-9]+""))*1000,
VALUE(REGEXEXTRACT(O3662,""[0-9]+""))
),
0
)"),0.0)</f>
        <v>0</v>
      </c>
      <c r="E3662" s="1" t="s">
        <v>11</v>
      </c>
      <c r="F3662" s="1" t="s">
        <v>20</v>
      </c>
      <c r="G3662" s="4" t="b">
        <f t="shared" si="2"/>
        <v>1</v>
      </c>
      <c r="H3662" s="1" t="str">
        <f t="shared" si="3"/>
        <v>Currently Unavailable</v>
      </c>
      <c r="I3662" s="1" t="str">
        <f t="shared" si="4"/>
        <v>No Badges</v>
      </c>
      <c r="J3662" s="3">
        <f t="shared" si="5"/>
        <v>0</v>
      </c>
    </row>
    <row r="3663">
      <c r="A3663" s="1" t="s">
        <v>2753</v>
      </c>
      <c r="B3663" s="3" t="str">
        <f t="shared" si="1"/>
        <v>Unavailable</v>
      </c>
      <c r="C3663" s="3">
        <v>621.0</v>
      </c>
      <c r="D3663" s="3">
        <f>IFERROR(__xludf.DUMMYFUNCTION("IFERROR(
IF(REGEXMATCH(LOWER(O3663),""k""),
VALUE(REGEXEXTRACT(O3663,""[0-9]+""))*1000,
VALUE(REGEXEXTRACT(O3663,""[0-9]+""))
),
0
)"),0.0)</f>
        <v>0</v>
      </c>
      <c r="E3663" s="1" t="s">
        <v>11</v>
      </c>
      <c r="F3663" s="1" t="s">
        <v>20</v>
      </c>
      <c r="G3663" s="4" t="b">
        <f t="shared" si="2"/>
        <v>1</v>
      </c>
      <c r="H3663" s="1" t="str">
        <f t="shared" si="3"/>
        <v>Currently Unavailable</v>
      </c>
      <c r="I3663" s="1" t="str">
        <f t="shared" si="4"/>
        <v>No Badges</v>
      </c>
      <c r="J3663" s="3">
        <f t="shared" si="5"/>
        <v>0</v>
      </c>
    </row>
    <row r="3664">
      <c r="A3664" s="1" t="s">
        <v>2754</v>
      </c>
      <c r="B3664" s="3" t="str">
        <f t="shared" si="1"/>
        <v>Unavailable</v>
      </c>
      <c r="C3664" s="3">
        <v>525.0</v>
      </c>
      <c r="D3664" s="3">
        <f>IFERROR(__xludf.DUMMYFUNCTION("IFERROR(
IF(REGEXMATCH(LOWER(O3664),""k""),
VALUE(REGEXEXTRACT(O3664,""[0-9]+""))*1000,
VALUE(REGEXEXTRACT(O3664,""[0-9]+""))
),
0
)"),0.0)</f>
        <v>0</v>
      </c>
      <c r="E3664" s="1" t="s">
        <v>158</v>
      </c>
      <c r="F3664" s="1" t="s">
        <v>20</v>
      </c>
      <c r="G3664" s="4" t="b">
        <f t="shared" si="2"/>
        <v>1</v>
      </c>
      <c r="H3664" s="1" t="str">
        <f t="shared" si="3"/>
        <v>Currently Unavailable</v>
      </c>
      <c r="I3664" s="1" t="str">
        <f t="shared" si="4"/>
        <v>No Badges</v>
      </c>
      <c r="J3664" s="3">
        <f t="shared" si="5"/>
        <v>0</v>
      </c>
    </row>
    <row r="3665">
      <c r="A3665" s="1" t="s">
        <v>2755</v>
      </c>
      <c r="B3665" s="3" t="str">
        <f t="shared" si="1"/>
        <v>Unavailable</v>
      </c>
      <c r="C3665" s="5">
        <v>1957.0</v>
      </c>
      <c r="D3665" s="3">
        <f>IFERROR(__xludf.DUMMYFUNCTION("IFERROR(
IF(REGEXMATCH(LOWER(O3665),""k""),
VALUE(REGEXEXTRACT(O3665,""[0-9]+""))*1000,
VALUE(REGEXEXTRACT(O3665,""[0-9]+""))
),
0
)"),0.0)</f>
        <v>0</v>
      </c>
      <c r="E3665" s="1" t="s">
        <v>11</v>
      </c>
      <c r="F3665" s="1" t="s">
        <v>20</v>
      </c>
      <c r="G3665" s="4" t="b">
        <f t="shared" si="2"/>
        <v>1</v>
      </c>
      <c r="H3665" s="1" t="str">
        <f t="shared" si="3"/>
        <v>Currently Unavailable</v>
      </c>
      <c r="I3665" s="1" t="str">
        <f t="shared" si="4"/>
        <v>No Badges</v>
      </c>
      <c r="J3665" s="3">
        <f t="shared" si="5"/>
        <v>0</v>
      </c>
    </row>
    <row r="3666">
      <c r="A3666" s="1" t="s">
        <v>2756</v>
      </c>
      <c r="B3666" s="3" t="str">
        <f t="shared" si="1"/>
        <v>Unavailable</v>
      </c>
      <c r="C3666" s="3">
        <v>785.0</v>
      </c>
      <c r="D3666" s="3">
        <f>IFERROR(__xludf.DUMMYFUNCTION("IFERROR(
IF(REGEXMATCH(LOWER(O3666),""k""),
VALUE(REGEXEXTRACT(O3666,""[0-9]+""))*1000,
VALUE(REGEXEXTRACT(O3666,""[0-9]+""))
),
0
)"),0.0)</f>
        <v>0</v>
      </c>
      <c r="E3666" s="1" t="s">
        <v>11</v>
      </c>
      <c r="F3666" s="1" t="s">
        <v>20</v>
      </c>
      <c r="G3666" s="4" t="b">
        <f t="shared" si="2"/>
        <v>1</v>
      </c>
      <c r="H3666" s="1" t="str">
        <f t="shared" si="3"/>
        <v>Currently Unavailable</v>
      </c>
      <c r="I3666" s="1" t="str">
        <f t="shared" si="4"/>
        <v>No Badges</v>
      </c>
      <c r="J3666" s="3">
        <f t="shared" si="5"/>
        <v>0</v>
      </c>
    </row>
    <row r="3667">
      <c r="A3667" s="1" t="s">
        <v>2757</v>
      </c>
      <c r="B3667" s="3" t="str">
        <f t="shared" si="1"/>
        <v>Unavailable</v>
      </c>
      <c r="C3667" s="5">
        <v>1020.0</v>
      </c>
      <c r="D3667" s="3">
        <f>IFERROR(__xludf.DUMMYFUNCTION("IFERROR(
IF(REGEXMATCH(LOWER(O3667),""k""),
VALUE(REGEXEXTRACT(O3667,""[0-9]+""))*1000,
VALUE(REGEXEXTRACT(O3667,""[0-9]+""))
),
0
)"),0.0)</f>
        <v>0</v>
      </c>
      <c r="E3667" s="1" t="s">
        <v>11</v>
      </c>
      <c r="F3667" s="1" t="s">
        <v>20</v>
      </c>
      <c r="G3667" s="4" t="b">
        <f t="shared" si="2"/>
        <v>1</v>
      </c>
      <c r="H3667" s="1" t="str">
        <f t="shared" si="3"/>
        <v>Currently Unavailable</v>
      </c>
      <c r="I3667" s="1" t="str">
        <f t="shared" si="4"/>
        <v>No Badges</v>
      </c>
      <c r="J3667" s="3">
        <f t="shared" si="5"/>
        <v>0</v>
      </c>
    </row>
    <row r="3668">
      <c r="A3668" s="1" t="s">
        <v>2758</v>
      </c>
      <c r="B3668" s="3" t="str">
        <f t="shared" si="1"/>
        <v>Unavailable</v>
      </c>
      <c r="C3668" s="3">
        <v>17.0</v>
      </c>
      <c r="D3668" s="3">
        <f>IFERROR(__xludf.DUMMYFUNCTION("IFERROR(
IF(REGEXMATCH(LOWER(O3668),""k""),
VALUE(REGEXEXTRACT(O3668,""[0-9]+""))*1000,
VALUE(REGEXEXTRACT(O3668,""[0-9]+""))
),
0
)"),0.0)</f>
        <v>0</v>
      </c>
      <c r="E3668" s="1" t="s">
        <v>11</v>
      </c>
      <c r="F3668" s="1" t="s">
        <v>20</v>
      </c>
      <c r="G3668" s="4" t="b">
        <f t="shared" si="2"/>
        <v>1</v>
      </c>
      <c r="H3668" s="1" t="str">
        <f t="shared" si="3"/>
        <v>Currently Unavailable</v>
      </c>
      <c r="I3668" s="1" t="str">
        <f t="shared" si="4"/>
        <v>No Badges</v>
      </c>
      <c r="J3668" s="3">
        <f t="shared" si="5"/>
        <v>0</v>
      </c>
    </row>
    <row r="3669">
      <c r="A3669" s="1" t="s">
        <v>2759</v>
      </c>
      <c r="B3669" s="3" t="str">
        <f t="shared" si="1"/>
        <v>Unavailable</v>
      </c>
      <c r="C3669" s="3">
        <v>172.0</v>
      </c>
      <c r="D3669" s="3">
        <f>IFERROR(__xludf.DUMMYFUNCTION("IFERROR(
IF(REGEXMATCH(LOWER(O3669),""k""),
VALUE(REGEXEXTRACT(O3669,""[0-9]+""))*1000,
VALUE(REGEXEXTRACT(O3669,""[0-9]+""))
),
0
)"),0.0)</f>
        <v>0</v>
      </c>
      <c r="E3669" s="1" t="s">
        <v>11</v>
      </c>
      <c r="F3669" s="1" t="s">
        <v>20</v>
      </c>
      <c r="G3669" s="4" t="b">
        <f t="shared" si="2"/>
        <v>1</v>
      </c>
      <c r="H3669" s="1" t="str">
        <f t="shared" si="3"/>
        <v>Currently Unavailable</v>
      </c>
      <c r="I3669" s="1" t="str">
        <f t="shared" si="4"/>
        <v>No Badges</v>
      </c>
      <c r="J3669" s="3">
        <f t="shared" si="5"/>
        <v>0</v>
      </c>
    </row>
    <row r="3670">
      <c r="A3670" s="1" t="s">
        <v>701</v>
      </c>
      <c r="B3670" s="3" t="str">
        <f t="shared" si="1"/>
        <v>Unavailable</v>
      </c>
      <c r="C3670" s="3">
        <v>8.0</v>
      </c>
      <c r="D3670" s="3">
        <f>IFERROR(__xludf.DUMMYFUNCTION("IFERROR(
IF(REGEXMATCH(LOWER(O3670),""k""),
VALUE(REGEXEXTRACT(O3670,""[0-9]+""))*1000,
VALUE(REGEXEXTRACT(O3670,""[0-9]+""))
),
0
)"),0.0)</f>
        <v>0</v>
      </c>
      <c r="E3670" s="1" t="s">
        <v>11</v>
      </c>
      <c r="F3670" s="1" t="s">
        <v>12</v>
      </c>
      <c r="G3670" s="4" t="b">
        <f t="shared" si="2"/>
        <v>1</v>
      </c>
      <c r="H3670" s="1" t="str">
        <f t="shared" si="3"/>
        <v>Currently Unavailable</v>
      </c>
      <c r="I3670" s="1" t="str">
        <f t="shared" si="4"/>
        <v>No Badges</v>
      </c>
      <c r="J3670" s="3">
        <f t="shared" si="5"/>
        <v>0</v>
      </c>
    </row>
    <row r="3671">
      <c r="A3671" s="1" t="s">
        <v>2760</v>
      </c>
      <c r="B3671" s="3" t="str">
        <f t="shared" si="1"/>
        <v>Unavailable</v>
      </c>
      <c r="C3671" s="3">
        <v>167.0</v>
      </c>
      <c r="D3671" s="3">
        <f>IFERROR(__xludf.DUMMYFUNCTION("IFERROR(
IF(REGEXMATCH(LOWER(O3671),""k""),
VALUE(REGEXEXTRACT(O3671,""[0-9]+""))*1000,
VALUE(REGEXEXTRACT(O3671,""[0-9]+""))
),
0
)"),0.0)</f>
        <v>0</v>
      </c>
      <c r="E3671" s="1" t="s">
        <v>11</v>
      </c>
      <c r="F3671" s="1" t="s">
        <v>20</v>
      </c>
      <c r="G3671" s="4" t="b">
        <f t="shared" si="2"/>
        <v>1</v>
      </c>
      <c r="H3671" s="1" t="str">
        <f t="shared" si="3"/>
        <v>Currently Unavailable</v>
      </c>
      <c r="I3671" s="1" t="str">
        <f t="shared" si="4"/>
        <v>No Badges</v>
      </c>
      <c r="J3671" s="3">
        <f t="shared" si="5"/>
        <v>0</v>
      </c>
    </row>
    <row r="3672">
      <c r="A3672" s="1" t="s">
        <v>2761</v>
      </c>
      <c r="B3672" s="3" t="str">
        <f t="shared" si="1"/>
        <v>Unavailable</v>
      </c>
      <c r="C3672" s="3">
        <v>121.0</v>
      </c>
      <c r="D3672" s="3">
        <f>IFERROR(__xludf.DUMMYFUNCTION("IFERROR(
IF(REGEXMATCH(LOWER(O3672),""k""),
VALUE(REGEXEXTRACT(O3672,""[0-9]+""))*1000,
VALUE(REGEXEXTRACT(O3672,""[0-9]+""))
),
0
)"),0.0)</f>
        <v>0</v>
      </c>
      <c r="E3672" s="1" t="s">
        <v>11</v>
      </c>
      <c r="F3672" s="1" t="s">
        <v>20</v>
      </c>
      <c r="G3672" s="4" t="b">
        <f t="shared" si="2"/>
        <v>1</v>
      </c>
      <c r="H3672" s="1" t="str">
        <f t="shared" si="3"/>
        <v>Currently Unavailable</v>
      </c>
      <c r="I3672" s="1" t="str">
        <f t="shared" si="4"/>
        <v>No Badges</v>
      </c>
      <c r="J3672" s="3">
        <f t="shared" si="5"/>
        <v>0</v>
      </c>
    </row>
    <row r="3673">
      <c r="A3673" s="1" t="s">
        <v>2762</v>
      </c>
      <c r="B3673" s="3" t="str">
        <f t="shared" si="1"/>
        <v>Unavailable</v>
      </c>
      <c r="C3673" s="3">
        <v>140.0</v>
      </c>
      <c r="D3673" s="3">
        <f>IFERROR(__xludf.DUMMYFUNCTION("IFERROR(
IF(REGEXMATCH(LOWER(O3673),""k""),
VALUE(REGEXEXTRACT(O3673,""[0-9]+""))*1000,
VALUE(REGEXEXTRACT(O3673,""[0-9]+""))
),
0
)"),0.0)</f>
        <v>0</v>
      </c>
      <c r="E3673" s="1" t="s">
        <v>11</v>
      </c>
      <c r="F3673" s="1" t="s">
        <v>20</v>
      </c>
      <c r="G3673" s="4" t="b">
        <f t="shared" si="2"/>
        <v>1</v>
      </c>
      <c r="H3673" s="1" t="str">
        <f t="shared" si="3"/>
        <v>Currently Unavailable</v>
      </c>
      <c r="I3673" s="1" t="str">
        <f t="shared" si="4"/>
        <v>No Badges</v>
      </c>
      <c r="J3673" s="3">
        <f t="shared" si="5"/>
        <v>0</v>
      </c>
    </row>
    <row r="3674">
      <c r="A3674" s="1" t="s">
        <v>2763</v>
      </c>
      <c r="B3674" s="3" t="str">
        <f t="shared" si="1"/>
        <v>Unavailable</v>
      </c>
      <c r="C3674" s="5">
        <v>2830.0</v>
      </c>
      <c r="D3674" s="3">
        <f>IFERROR(__xludf.DUMMYFUNCTION("IFERROR(
IF(REGEXMATCH(LOWER(O3674),""k""),
VALUE(REGEXEXTRACT(O3674,""[0-9]+""))*1000,
VALUE(REGEXEXTRACT(O3674,""[0-9]+""))
),
0
)"),0.0)</f>
        <v>0</v>
      </c>
      <c r="E3674" s="1" t="s">
        <v>11</v>
      </c>
      <c r="F3674" s="1" t="s">
        <v>20</v>
      </c>
      <c r="G3674" s="4" t="b">
        <f t="shared" si="2"/>
        <v>1</v>
      </c>
      <c r="H3674" s="1" t="str">
        <f t="shared" si="3"/>
        <v>Currently Unavailable</v>
      </c>
      <c r="I3674" s="1" t="str">
        <f t="shared" si="4"/>
        <v>No Badges</v>
      </c>
      <c r="J3674" s="3">
        <f t="shared" si="5"/>
        <v>0</v>
      </c>
    </row>
    <row r="3675">
      <c r="A3675" s="1" t="s">
        <v>2763</v>
      </c>
      <c r="B3675" s="3" t="str">
        <f t="shared" si="1"/>
        <v>Unavailable</v>
      </c>
      <c r="C3675" s="5">
        <v>2830.0</v>
      </c>
      <c r="D3675" s="3">
        <f>IFERROR(__xludf.DUMMYFUNCTION("IFERROR(
IF(REGEXMATCH(LOWER(O3675),""k""),
VALUE(REGEXEXTRACT(O3675,""[0-9]+""))*1000,
VALUE(REGEXEXTRACT(O3675,""[0-9]+""))
),
0
)"),0.0)</f>
        <v>0</v>
      </c>
      <c r="E3675" s="1" t="s">
        <v>11</v>
      </c>
      <c r="F3675" s="1" t="s">
        <v>20</v>
      </c>
      <c r="G3675" s="4" t="b">
        <f t="shared" si="2"/>
        <v>1</v>
      </c>
      <c r="H3675" s="1" t="str">
        <f t="shared" si="3"/>
        <v>Currently Unavailable</v>
      </c>
      <c r="I3675" s="1" t="str">
        <f t="shared" si="4"/>
        <v>No Badges</v>
      </c>
      <c r="J3675" s="3">
        <f t="shared" si="5"/>
        <v>0</v>
      </c>
    </row>
    <row r="3676">
      <c r="A3676" s="1" t="s">
        <v>2764</v>
      </c>
      <c r="B3676" s="3" t="str">
        <f t="shared" si="1"/>
        <v>Unavailable</v>
      </c>
      <c r="C3676" s="3">
        <v>513.0</v>
      </c>
      <c r="D3676" s="3">
        <f>IFERROR(__xludf.DUMMYFUNCTION("IFERROR(
IF(REGEXMATCH(LOWER(O3676),""k""),
VALUE(REGEXEXTRACT(O3676,""[0-9]+""))*1000,
VALUE(REGEXEXTRACT(O3676,""[0-9]+""))
),
0
)"),0.0)</f>
        <v>0</v>
      </c>
      <c r="E3676" s="1" t="s">
        <v>11</v>
      </c>
      <c r="F3676" s="1" t="s">
        <v>20</v>
      </c>
      <c r="G3676" s="4" t="b">
        <f t="shared" si="2"/>
        <v>1</v>
      </c>
      <c r="H3676" s="1" t="str">
        <f t="shared" si="3"/>
        <v>Currently Unavailable</v>
      </c>
      <c r="I3676" s="1" t="str">
        <f t="shared" si="4"/>
        <v>No Badges</v>
      </c>
      <c r="J3676" s="3">
        <f t="shared" si="5"/>
        <v>0</v>
      </c>
    </row>
    <row r="3677">
      <c r="A3677" s="1" t="s">
        <v>2765</v>
      </c>
      <c r="B3677" s="3" t="str">
        <f t="shared" si="1"/>
        <v>Unavailable</v>
      </c>
      <c r="C3677" s="3">
        <v>666.0</v>
      </c>
      <c r="D3677" s="3">
        <f>IFERROR(__xludf.DUMMYFUNCTION("IFERROR(
IF(REGEXMATCH(LOWER(O3677),""k""),
VALUE(REGEXEXTRACT(O3677,""[0-9]+""))*1000,
VALUE(REGEXEXTRACT(O3677,""[0-9]+""))
),
0
)"),0.0)</f>
        <v>0</v>
      </c>
      <c r="E3677" s="1" t="s">
        <v>11</v>
      </c>
      <c r="F3677" s="1" t="s">
        <v>20</v>
      </c>
      <c r="G3677" s="4" t="b">
        <f t="shared" si="2"/>
        <v>1</v>
      </c>
      <c r="H3677" s="1" t="str">
        <f t="shared" si="3"/>
        <v>Currently Unavailable</v>
      </c>
      <c r="I3677" s="1" t="str">
        <f t="shared" si="4"/>
        <v>No Badges</v>
      </c>
      <c r="J3677" s="3">
        <f t="shared" si="5"/>
        <v>0</v>
      </c>
    </row>
    <row r="3678">
      <c r="A3678" s="1" t="s">
        <v>2766</v>
      </c>
      <c r="B3678" s="3" t="str">
        <f t="shared" si="1"/>
        <v>Unavailable</v>
      </c>
      <c r="C3678" s="5">
        <v>1416.0</v>
      </c>
      <c r="D3678" s="3">
        <f>IFERROR(__xludf.DUMMYFUNCTION("IFERROR(
IF(REGEXMATCH(LOWER(O3678),""k""),
VALUE(REGEXEXTRACT(O3678,""[0-9]+""))*1000,
VALUE(REGEXEXTRACT(O3678,""[0-9]+""))
),
0
)"),0.0)</f>
        <v>0</v>
      </c>
      <c r="E3678" s="1" t="s">
        <v>11</v>
      </c>
      <c r="F3678" s="1" t="s">
        <v>20</v>
      </c>
      <c r="G3678" s="4" t="b">
        <f t="shared" si="2"/>
        <v>1</v>
      </c>
      <c r="H3678" s="1" t="str">
        <f t="shared" si="3"/>
        <v>Currently Unavailable</v>
      </c>
      <c r="I3678" s="1" t="str">
        <f t="shared" si="4"/>
        <v>No Badges</v>
      </c>
      <c r="J3678" s="3">
        <f t="shared" si="5"/>
        <v>0</v>
      </c>
    </row>
    <row r="3679">
      <c r="A3679" s="1" t="s">
        <v>2767</v>
      </c>
      <c r="B3679" s="3" t="str">
        <f t="shared" si="1"/>
        <v>Unavailable</v>
      </c>
      <c r="C3679" s="5">
        <v>4157.0</v>
      </c>
      <c r="D3679" s="3">
        <f>IFERROR(__xludf.DUMMYFUNCTION("IFERROR(
IF(REGEXMATCH(LOWER(O3679),""k""),
VALUE(REGEXEXTRACT(O3679,""[0-9]+""))*1000,
VALUE(REGEXEXTRACT(O3679,""[0-9]+""))
),
0
)"),0.0)</f>
        <v>0</v>
      </c>
      <c r="E3679" s="1" t="s">
        <v>11</v>
      </c>
      <c r="F3679" s="1" t="s">
        <v>20</v>
      </c>
      <c r="G3679" s="4" t="b">
        <f t="shared" si="2"/>
        <v>1</v>
      </c>
      <c r="H3679" s="1" t="str">
        <f t="shared" si="3"/>
        <v>Currently Unavailable</v>
      </c>
      <c r="I3679" s="1" t="str">
        <f t="shared" si="4"/>
        <v>No Badges</v>
      </c>
      <c r="J3679" s="3">
        <f t="shared" si="5"/>
        <v>0</v>
      </c>
    </row>
    <row r="3680">
      <c r="A3680" s="1" t="s">
        <v>2354</v>
      </c>
      <c r="B3680" s="3" t="str">
        <f t="shared" si="1"/>
        <v>Unavailable</v>
      </c>
      <c r="C3680" s="5">
        <v>1878.0</v>
      </c>
      <c r="D3680" s="3">
        <f>IFERROR(__xludf.DUMMYFUNCTION("IFERROR(
IF(REGEXMATCH(LOWER(O3680),""k""),
VALUE(REGEXEXTRACT(O3680,""[0-9]+""))*1000,
VALUE(REGEXEXTRACT(O3680,""[0-9]+""))
),
0
)"),0.0)</f>
        <v>0</v>
      </c>
      <c r="E3680" s="1" t="s">
        <v>11</v>
      </c>
      <c r="F3680" s="1" t="s">
        <v>12</v>
      </c>
      <c r="G3680" s="4" t="b">
        <f t="shared" si="2"/>
        <v>1</v>
      </c>
      <c r="H3680" s="1" t="str">
        <f t="shared" si="3"/>
        <v>Currently Unavailable</v>
      </c>
      <c r="I3680" s="1" t="str">
        <f t="shared" si="4"/>
        <v>No Badges</v>
      </c>
      <c r="J3680" s="3">
        <f t="shared" si="5"/>
        <v>0</v>
      </c>
    </row>
    <row r="3681">
      <c r="A3681" s="1" t="s">
        <v>2768</v>
      </c>
      <c r="B3681" s="3" t="str">
        <f t="shared" si="1"/>
        <v>Unavailable</v>
      </c>
      <c r="C3681" s="3">
        <v>167.0</v>
      </c>
      <c r="D3681" s="3">
        <f>IFERROR(__xludf.DUMMYFUNCTION("IFERROR(
IF(REGEXMATCH(LOWER(O3681),""k""),
VALUE(REGEXEXTRACT(O3681,""[0-9]+""))*1000,
VALUE(REGEXEXTRACT(O3681,""[0-9]+""))
),
0
)"),0.0)</f>
        <v>0</v>
      </c>
      <c r="E3681" s="1" t="s">
        <v>11</v>
      </c>
      <c r="F3681" s="1" t="s">
        <v>20</v>
      </c>
      <c r="G3681" s="4" t="b">
        <f t="shared" si="2"/>
        <v>1</v>
      </c>
      <c r="H3681" s="1" t="str">
        <f t="shared" si="3"/>
        <v>Currently Unavailable</v>
      </c>
      <c r="I3681" s="1" t="str">
        <f t="shared" si="4"/>
        <v>No Badges</v>
      </c>
      <c r="J3681" s="3">
        <f t="shared" si="5"/>
        <v>0</v>
      </c>
    </row>
    <row r="3682">
      <c r="A3682" s="1" t="s">
        <v>2769</v>
      </c>
      <c r="B3682" s="3" t="str">
        <f t="shared" si="1"/>
        <v>Unavailable</v>
      </c>
      <c r="C3682" s="3">
        <v>615.0</v>
      </c>
      <c r="D3682" s="3">
        <f>IFERROR(__xludf.DUMMYFUNCTION("IFERROR(
IF(REGEXMATCH(LOWER(O3682),""k""),
VALUE(REGEXEXTRACT(O3682,""[0-9]+""))*1000,
VALUE(REGEXEXTRACT(O3682,""[0-9]+""))
),
0
)"),0.0)</f>
        <v>0</v>
      </c>
      <c r="E3682" s="1" t="s">
        <v>11</v>
      </c>
      <c r="F3682" s="1" t="s">
        <v>20</v>
      </c>
      <c r="G3682" s="4" t="b">
        <f t="shared" si="2"/>
        <v>1</v>
      </c>
      <c r="H3682" s="1" t="str">
        <f t="shared" si="3"/>
        <v>Currently Unavailable</v>
      </c>
      <c r="I3682" s="1" t="str">
        <f t="shared" si="4"/>
        <v>No Badges</v>
      </c>
      <c r="J3682" s="3">
        <f t="shared" si="5"/>
        <v>0</v>
      </c>
    </row>
    <row r="3683">
      <c r="A3683" s="1" t="s">
        <v>2770</v>
      </c>
      <c r="B3683" s="3" t="str">
        <f t="shared" si="1"/>
        <v>Unavailable</v>
      </c>
      <c r="C3683" s="3">
        <v>69.0</v>
      </c>
      <c r="D3683" s="3">
        <f>IFERROR(__xludf.DUMMYFUNCTION("IFERROR(
IF(REGEXMATCH(LOWER(O3683),""k""),
VALUE(REGEXEXTRACT(O3683,""[0-9]+""))*1000,
VALUE(REGEXEXTRACT(O3683,""[0-9]+""))
),
0
)"),0.0)</f>
        <v>0</v>
      </c>
      <c r="E3683" s="1" t="s">
        <v>11</v>
      </c>
      <c r="F3683" s="1" t="s">
        <v>20</v>
      </c>
      <c r="G3683" s="4" t="b">
        <f t="shared" si="2"/>
        <v>1</v>
      </c>
      <c r="H3683" s="1" t="str">
        <f t="shared" si="3"/>
        <v>Currently Unavailable</v>
      </c>
      <c r="I3683" s="1" t="str">
        <f t="shared" si="4"/>
        <v>No Badges</v>
      </c>
      <c r="J3683" s="3">
        <f t="shared" si="5"/>
        <v>0</v>
      </c>
    </row>
    <row r="3684">
      <c r="A3684" s="1" t="s">
        <v>2771</v>
      </c>
      <c r="B3684" s="3" t="str">
        <f t="shared" si="1"/>
        <v>Unavailable</v>
      </c>
      <c r="C3684" s="3">
        <v>545.0</v>
      </c>
      <c r="D3684" s="3">
        <f>IFERROR(__xludf.DUMMYFUNCTION("IFERROR(
IF(REGEXMATCH(LOWER(O3684),""k""),
VALUE(REGEXEXTRACT(O3684,""[0-9]+""))*1000,
VALUE(REGEXEXTRACT(O3684,""[0-9]+""))
),
0
)"),0.0)</f>
        <v>0</v>
      </c>
      <c r="E3684" s="1" t="s">
        <v>11</v>
      </c>
      <c r="F3684" s="1" t="s">
        <v>20</v>
      </c>
      <c r="G3684" s="4" t="b">
        <f t="shared" si="2"/>
        <v>1</v>
      </c>
      <c r="H3684" s="1" t="str">
        <f t="shared" si="3"/>
        <v>Currently Unavailable</v>
      </c>
      <c r="I3684" s="1" t="str">
        <f t="shared" si="4"/>
        <v>No Badges</v>
      </c>
      <c r="J3684" s="3">
        <f t="shared" si="5"/>
        <v>0</v>
      </c>
    </row>
    <row r="3685">
      <c r="A3685" s="1" t="s">
        <v>2772</v>
      </c>
      <c r="B3685" s="3" t="str">
        <f t="shared" si="1"/>
        <v>Unavailable</v>
      </c>
      <c r="C3685" s="3">
        <v>183.0</v>
      </c>
      <c r="D3685" s="3">
        <f>IFERROR(__xludf.DUMMYFUNCTION("IFERROR(
IF(REGEXMATCH(LOWER(O3685),""k""),
VALUE(REGEXEXTRACT(O3685,""[0-9]+""))*1000,
VALUE(REGEXEXTRACT(O3685,""[0-9]+""))
),
0
)"),0.0)</f>
        <v>0</v>
      </c>
      <c r="E3685" s="1" t="s">
        <v>11</v>
      </c>
      <c r="F3685" s="1" t="s">
        <v>20</v>
      </c>
      <c r="G3685" s="4" t="b">
        <f t="shared" si="2"/>
        <v>1</v>
      </c>
      <c r="H3685" s="1" t="str">
        <f t="shared" si="3"/>
        <v>Currently Unavailable</v>
      </c>
      <c r="I3685" s="1" t="str">
        <f t="shared" si="4"/>
        <v>No Badges</v>
      </c>
      <c r="J3685" s="3">
        <f t="shared" si="5"/>
        <v>0</v>
      </c>
    </row>
    <row r="3686">
      <c r="A3686" s="1" t="s">
        <v>2773</v>
      </c>
      <c r="B3686" s="3" t="str">
        <f t="shared" si="1"/>
        <v>Unavailable</v>
      </c>
      <c r="C3686" s="3">
        <v>65.0</v>
      </c>
      <c r="D3686" s="3">
        <f>IFERROR(__xludf.DUMMYFUNCTION("IFERROR(
IF(REGEXMATCH(LOWER(O3686),""k""),
VALUE(REGEXEXTRACT(O3686,""[0-9]+""))*1000,
VALUE(REGEXEXTRACT(O3686,""[0-9]+""))
),
0
)"),0.0)</f>
        <v>0</v>
      </c>
      <c r="E3686" s="1" t="s">
        <v>11</v>
      </c>
      <c r="F3686" s="1" t="s">
        <v>20</v>
      </c>
      <c r="G3686" s="4" t="b">
        <f t="shared" si="2"/>
        <v>1</v>
      </c>
      <c r="H3686" s="1" t="str">
        <f t="shared" si="3"/>
        <v>Currently Unavailable</v>
      </c>
      <c r="I3686" s="1" t="str">
        <f t="shared" si="4"/>
        <v>No Badges</v>
      </c>
      <c r="J3686" s="3">
        <f t="shared" si="5"/>
        <v>0</v>
      </c>
    </row>
    <row r="3687">
      <c r="A3687" s="1" t="s">
        <v>2774</v>
      </c>
      <c r="B3687" s="3" t="str">
        <f t="shared" si="1"/>
        <v>Unavailable</v>
      </c>
      <c r="C3687" s="3">
        <v>192.0</v>
      </c>
      <c r="D3687" s="3">
        <f>IFERROR(__xludf.DUMMYFUNCTION("IFERROR(
IF(REGEXMATCH(LOWER(O3687),""k""),
VALUE(REGEXEXTRACT(O3687,""[0-9]+""))*1000,
VALUE(REGEXEXTRACT(O3687,""[0-9]+""))
),
0
)"),0.0)</f>
        <v>0</v>
      </c>
      <c r="E3687" s="1" t="s">
        <v>11</v>
      </c>
      <c r="F3687" s="1" t="s">
        <v>20</v>
      </c>
      <c r="G3687" s="4" t="b">
        <f t="shared" si="2"/>
        <v>1</v>
      </c>
      <c r="H3687" s="1" t="str">
        <f t="shared" si="3"/>
        <v>Currently Unavailable</v>
      </c>
      <c r="I3687" s="1" t="str">
        <f t="shared" si="4"/>
        <v>No Badges</v>
      </c>
      <c r="J3687" s="3">
        <f t="shared" si="5"/>
        <v>0</v>
      </c>
    </row>
    <row r="3688">
      <c r="A3688" s="1" t="s">
        <v>2775</v>
      </c>
      <c r="B3688" s="3" t="str">
        <f t="shared" si="1"/>
        <v>Unavailable</v>
      </c>
      <c r="C3688" s="3">
        <v>845.0</v>
      </c>
      <c r="D3688" s="3">
        <f>IFERROR(__xludf.DUMMYFUNCTION("IFERROR(
IF(REGEXMATCH(LOWER(O3688),""k""),
VALUE(REGEXEXTRACT(O3688,""[0-9]+""))*1000,
VALUE(REGEXEXTRACT(O3688,""[0-9]+""))
),
0
)"),0.0)</f>
        <v>0</v>
      </c>
      <c r="E3688" s="1" t="s">
        <v>11</v>
      </c>
      <c r="F3688" s="1" t="s">
        <v>20</v>
      </c>
      <c r="G3688" s="4" t="b">
        <f t="shared" si="2"/>
        <v>1</v>
      </c>
      <c r="H3688" s="1" t="str">
        <f t="shared" si="3"/>
        <v>Currently Unavailable</v>
      </c>
      <c r="I3688" s="1" t="str">
        <f t="shared" si="4"/>
        <v>No Badges</v>
      </c>
      <c r="J3688" s="3">
        <f t="shared" si="5"/>
        <v>0</v>
      </c>
    </row>
    <row r="3689">
      <c r="A3689" s="1" t="s">
        <v>2776</v>
      </c>
      <c r="B3689" s="3" t="str">
        <f t="shared" si="1"/>
        <v>Unavailable</v>
      </c>
      <c r="C3689" s="3">
        <v>40.0</v>
      </c>
      <c r="D3689" s="3">
        <f>IFERROR(__xludf.DUMMYFUNCTION("IFERROR(
IF(REGEXMATCH(LOWER(O3689),""k""),
VALUE(REGEXEXTRACT(O3689,""[0-9]+""))*1000,
VALUE(REGEXEXTRACT(O3689,""[0-9]+""))
),
0
)"),0.0)</f>
        <v>0</v>
      </c>
      <c r="E3689" s="1" t="s">
        <v>11</v>
      </c>
      <c r="F3689" s="1" t="s">
        <v>20</v>
      </c>
      <c r="G3689" s="4" t="b">
        <f t="shared" si="2"/>
        <v>1</v>
      </c>
      <c r="H3689" s="1" t="str">
        <f t="shared" si="3"/>
        <v>Currently Unavailable</v>
      </c>
      <c r="I3689" s="1" t="str">
        <f t="shared" si="4"/>
        <v>No Badges</v>
      </c>
      <c r="J3689" s="3">
        <f t="shared" si="5"/>
        <v>0</v>
      </c>
    </row>
    <row r="3690">
      <c r="A3690" s="1" t="s">
        <v>2777</v>
      </c>
      <c r="B3690" s="3" t="str">
        <f t="shared" si="1"/>
        <v>Unavailable</v>
      </c>
      <c r="C3690" s="3">
        <v>109.0</v>
      </c>
      <c r="D3690" s="3">
        <f>IFERROR(__xludf.DUMMYFUNCTION("IFERROR(
IF(REGEXMATCH(LOWER(O3690),""k""),
VALUE(REGEXEXTRACT(O3690,""[0-9]+""))*1000,
VALUE(REGEXEXTRACT(O3690,""[0-9]+""))
),
0
)"),0.0)</f>
        <v>0</v>
      </c>
      <c r="E3690" s="1" t="s">
        <v>11</v>
      </c>
      <c r="F3690" s="1" t="s">
        <v>20</v>
      </c>
      <c r="G3690" s="4" t="b">
        <f t="shared" si="2"/>
        <v>1</v>
      </c>
      <c r="H3690" s="1" t="str">
        <f t="shared" si="3"/>
        <v>Currently Unavailable</v>
      </c>
      <c r="I3690" s="1" t="str">
        <f t="shared" si="4"/>
        <v>No Badges</v>
      </c>
      <c r="J3690" s="3">
        <f t="shared" si="5"/>
        <v>0</v>
      </c>
    </row>
    <row r="3691">
      <c r="A3691" s="1" t="s">
        <v>2778</v>
      </c>
      <c r="B3691" s="3" t="str">
        <f t="shared" si="1"/>
        <v>Unavailable</v>
      </c>
      <c r="C3691" s="3">
        <v>196.0</v>
      </c>
      <c r="D3691" s="3">
        <f>IFERROR(__xludf.DUMMYFUNCTION("IFERROR(
IF(REGEXMATCH(LOWER(O3691),""k""),
VALUE(REGEXEXTRACT(O3691,""[0-9]+""))*1000,
VALUE(REGEXEXTRACT(O3691,""[0-9]+""))
),
0
)"),0.0)</f>
        <v>0</v>
      </c>
      <c r="E3691" s="1" t="s">
        <v>11</v>
      </c>
      <c r="F3691" s="1" t="s">
        <v>20</v>
      </c>
      <c r="G3691" s="4" t="b">
        <f t="shared" si="2"/>
        <v>1</v>
      </c>
      <c r="H3691" s="1" t="str">
        <f t="shared" si="3"/>
        <v>Currently Unavailable</v>
      </c>
      <c r="I3691" s="1" t="str">
        <f t="shared" si="4"/>
        <v>No Badges</v>
      </c>
      <c r="J3691" s="3">
        <f t="shared" si="5"/>
        <v>0</v>
      </c>
    </row>
    <row r="3692">
      <c r="A3692" s="1" t="s">
        <v>2779</v>
      </c>
      <c r="B3692" s="3" t="str">
        <f t="shared" si="1"/>
        <v>Unavailable</v>
      </c>
      <c r="C3692" s="5">
        <v>7365.0</v>
      </c>
      <c r="D3692" s="3">
        <f>IFERROR(__xludf.DUMMYFUNCTION("IFERROR(
IF(REGEXMATCH(LOWER(O3692),""k""),
VALUE(REGEXEXTRACT(O3692,""[0-9]+""))*1000,
VALUE(REGEXEXTRACT(O3692,""[0-9]+""))
),
0
)"),0.0)</f>
        <v>0</v>
      </c>
      <c r="E3692" s="1" t="s">
        <v>11</v>
      </c>
      <c r="F3692" s="1" t="s">
        <v>20</v>
      </c>
      <c r="G3692" s="4" t="b">
        <f t="shared" si="2"/>
        <v>1</v>
      </c>
      <c r="H3692" s="1" t="str">
        <f t="shared" si="3"/>
        <v>Currently Unavailable</v>
      </c>
      <c r="I3692" s="1" t="str">
        <f t="shared" si="4"/>
        <v>No Badges</v>
      </c>
      <c r="J3692" s="3">
        <f t="shared" si="5"/>
        <v>0</v>
      </c>
    </row>
    <row r="3693">
      <c r="A3693" s="1" t="s">
        <v>2780</v>
      </c>
      <c r="B3693" s="3" t="str">
        <f t="shared" si="1"/>
        <v>Unavailable</v>
      </c>
      <c r="C3693" s="5">
        <v>2631.0</v>
      </c>
      <c r="D3693" s="3">
        <f>IFERROR(__xludf.DUMMYFUNCTION("IFERROR(
IF(REGEXMATCH(LOWER(O3693),""k""),
VALUE(REGEXEXTRACT(O3693,""[0-9]+""))*1000,
VALUE(REGEXEXTRACT(O3693,""[0-9]+""))
),
0
)"),0.0)</f>
        <v>0</v>
      </c>
      <c r="E3693" s="1" t="s">
        <v>11</v>
      </c>
      <c r="F3693" s="1" t="s">
        <v>20</v>
      </c>
      <c r="G3693" s="4" t="b">
        <f t="shared" si="2"/>
        <v>1</v>
      </c>
      <c r="H3693" s="1" t="str">
        <f t="shared" si="3"/>
        <v>Currently Unavailable</v>
      </c>
      <c r="I3693" s="1" t="str">
        <f t="shared" si="4"/>
        <v>No Badges</v>
      </c>
      <c r="J3693" s="3">
        <f t="shared" si="5"/>
        <v>0</v>
      </c>
    </row>
    <row r="3694">
      <c r="A3694" s="1" t="s">
        <v>2781</v>
      </c>
      <c r="B3694" s="3" t="str">
        <f t="shared" si="1"/>
        <v>Unavailable</v>
      </c>
      <c r="C3694" s="5">
        <v>1503.0</v>
      </c>
      <c r="D3694" s="3">
        <f>IFERROR(__xludf.DUMMYFUNCTION("IFERROR(
IF(REGEXMATCH(LOWER(O3694),""k""),
VALUE(REGEXEXTRACT(O3694,""[0-9]+""))*1000,
VALUE(REGEXEXTRACT(O3694,""[0-9]+""))
),
0
)"),0.0)</f>
        <v>0</v>
      </c>
      <c r="E3694" s="1" t="s">
        <v>11</v>
      </c>
      <c r="F3694" s="1" t="s">
        <v>20</v>
      </c>
      <c r="G3694" s="4" t="b">
        <f t="shared" si="2"/>
        <v>1</v>
      </c>
      <c r="H3694" s="1" t="str">
        <f t="shared" si="3"/>
        <v>Currently Unavailable</v>
      </c>
      <c r="I3694" s="1" t="str">
        <f t="shared" si="4"/>
        <v>No Badges</v>
      </c>
      <c r="J3694" s="3">
        <f t="shared" si="5"/>
        <v>0</v>
      </c>
    </row>
    <row r="3695">
      <c r="A3695" s="1" t="s">
        <v>2782</v>
      </c>
      <c r="B3695" s="3" t="str">
        <f t="shared" si="1"/>
        <v>Unavailable</v>
      </c>
      <c r="C3695" s="5">
        <v>4753.0</v>
      </c>
      <c r="D3695" s="3">
        <f>IFERROR(__xludf.DUMMYFUNCTION("IFERROR(
IF(REGEXMATCH(LOWER(O3695),""k""),
VALUE(REGEXEXTRACT(O3695,""[0-9]+""))*1000,
VALUE(REGEXEXTRACT(O3695,""[0-9]+""))
),
0
)"),0.0)</f>
        <v>0</v>
      </c>
      <c r="E3695" s="1" t="s">
        <v>11</v>
      </c>
      <c r="F3695" s="1" t="s">
        <v>20</v>
      </c>
      <c r="G3695" s="4" t="b">
        <f t="shared" si="2"/>
        <v>1</v>
      </c>
      <c r="H3695" s="1" t="str">
        <f t="shared" si="3"/>
        <v>Currently Unavailable</v>
      </c>
      <c r="I3695" s="1" t="str">
        <f t="shared" si="4"/>
        <v>No Badges</v>
      </c>
      <c r="J3695" s="3">
        <f t="shared" si="5"/>
        <v>0</v>
      </c>
    </row>
    <row r="3696">
      <c r="A3696" s="1" t="s">
        <v>2783</v>
      </c>
      <c r="B3696" s="3" t="str">
        <f t="shared" si="1"/>
        <v>Unavailable</v>
      </c>
      <c r="C3696" s="3">
        <v>418.0</v>
      </c>
      <c r="D3696" s="3">
        <f>IFERROR(__xludf.DUMMYFUNCTION("IFERROR(
IF(REGEXMATCH(LOWER(O3696),""k""),
VALUE(REGEXEXTRACT(O3696,""[0-9]+""))*1000,
VALUE(REGEXEXTRACT(O3696,""[0-9]+""))
),
0
)"),0.0)</f>
        <v>0</v>
      </c>
      <c r="E3696" s="1" t="s">
        <v>11</v>
      </c>
      <c r="F3696" s="1" t="s">
        <v>20</v>
      </c>
      <c r="G3696" s="4" t="b">
        <f t="shared" si="2"/>
        <v>1</v>
      </c>
      <c r="H3696" s="1" t="str">
        <f t="shared" si="3"/>
        <v>Currently Unavailable</v>
      </c>
      <c r="I3696" s="1" t="str">
        <f t="shared" si="4"/>
        <v>No Badges</v>
      </c>
      <c r="J3696" s="3">
        <f t="shared" si="5"/>
        <v>0</v>
      </c>
    </row>
    <row r="3697">
      <c r="A3697" s="1" t="s">
        <v>69</v>
      </c>
      <c r="B3697" s="3" t="str">
        <f t="shared" si="1"/>
        <v>Unavailable</v>
      </c>
      <c r="C3697" s="3">
        <v>45.0</v>
      </c>
      <c r="D3697" s="3">
        <f>IFERROR(__xludf.DUMMYFUNCTION("IFERROR(
IF(REGEXMATCH(LOWER(O3697),""k""),
VALUE(REGEXEXTRACT(O3697,""[0-9]+""))*1000,
VALUE(REGEXEXTRACT(O3697,""[0-9]+""))
),
0
)"),0.0)</f>
        <v>0</v>
      </c>
      <c r="E3697" s="1" t="s">
        <v>11</v>
      </c>
      <c r="F3697" s="1" t="s">
        <v>12</v>
      </c>
      <c r="G3697" s="4" t="b">
        <f t="shared" si="2"/>
        <v>1</v>
      </c>
      <c r="H3697" s="1" t="str">
        <f t="shared" si="3"/>
        <v>Currently Unavailable</v>
      </c>
      <c r="I3697" s="1" t="str">
        <f t="shared" si="4"/>
        <v>No Badges</v>
      </c>
      <c r="J3697" s="3">
        <f t="shared" si="5"/>
        <v>0</v>
      </c>
    </row>
    <row r="3698">
      <c r="A3698" s="1" t="s">
        <v>2784</v>
      </c>
      <c r="B3698" s="3" t="str">
        <f t="shared" si="1"/>
        <v>Unavailable</v>
      </c>
      <c r="C3698" s="5">
        <v>3085.0</v>
      </c>
      <c r="D3698" s="3">
        <f>IFERROR(__xludf.DUMMYFUNCTION("IFERROR(
IF(REGEXMATCH(LOWER(O3698),""k""),
VALUE(REGEXEXTRACT(O3698,""[0-9]+""))*1000,
VALUE(REGEXEXTRACT(O3698,""[0-9]+""))
),
0
)"),0.0)</f>
        <v>0</v>
      </c>
      <c r="E3698" s="1" t="s">
        <v>11</v>
      </c>
      <c r="F3698" s="1" t="s">
        <v>20</v>
      </c>
      <c r="G3698" s="4" t="b">
        <f t="shared" si="2"/>
        <v>1</v>
      </c>
      <c r="H3698" s="1" t="str">
        <f t="shared" si="3"/>
        <v>Currently Unavailable</v>
      </c>
      <c r="I3698" s="1" t="str">
        <f t="shared" si="4"/>
        <v>No Badges</v>
      </c>
      <c r="J3698" s="3">
        <f t="shared" si="5"/>
        <v>0</v>
      </c>
    </row>
    <row r="3699">
      <c r="A3699" s="1" t="s">
        <v>2785</v>
      </c>
      <c r="B3699" s="3" t="str">
        <f t="shared" si="1"/>
        <v>Unavailable</v>
      </c>
      <c r="C3699" s="5">
        <v>3156.0</v>
      </c>
      <c r="D3699" s="3">
        <f>IFERROR(__xludf.DUMMYFUNCTION("IFERROR(
IF(REGEXMATCH(LOWER(O3699),""k""),
VALUE(REGEXEXTRACT(O3699,""[0-9]+""))*1000,
VALUE(REGEXEXTRACT(O3699,""[0-9]+""))
),
0
)"),0.0)</f>
        <v>0</v>
      </c>
      <c r="E3699" s="1" t="s">
        <v>11</v>
      </c>
      <c r="F3699" s="1" t="s">
        <v>20</v>
      </c>
      <c r="G3699" s="4" t="b">
        <f t="shared" si="2"/>
        <v>1</v>
      </c>
      <c r="H3699" s="1" t="str">
        <f t="shared" si="3"/>
        <v>Currently Unavailable</v>
      </c>
      <c r="I3699" s="1" t="str">
        <f t="shared" si="4"/>
        <v>No Badges</v>
      </c>
      <c r="J3699" s="3">
        <f t="shared" si="5"/>
        <v>0</v>
      </c>
    </row>
    <row r="3700">
      <c r="A3700" s="1" t="s">
        <v>2786</v>
      </c>
      <c r="B3700" s="3" t="str">
        <f t="shared" si="1"/>
        <v>Unavailable</v>
      </c>
      <c r="C3700" s="3">
        <v>176.0</v>
      </c>
      <c r="D3700" s="3">
        <f>IFERROR(__xludf.DUMMYFUNCTION("IFERROR(
IF(REGEXMATCH(LOWER(O3700),""k""),
VALUE(REGEXEXTRACT(O3700,""[0-9]+""))*1000,
VALUE(REGEXEXTRACT(O3700,""[0-9]+""))
),
0
)"),0.0)</f>
        <v>0</v>
      </c>
      <c r="E3700" s="1" t="s">
        <v>11</v>
      </c>
      <c r="F3700" s="1" t="s">
        <v>20</v>
      </c>
      <c r="G3700" s="4" t="b">
        <f t="shared" si="2"/>
        <v>1</v>
      </c>
      <c r="H3700" s="1" t="str">
        <f t="shared" si="3"/>
        <v>Currently Unavailable</v>
      </c>
      <c r="I3700" s="1" t="str">
        <f t="shared" si="4"/>
        <v>No Badges</v>
      </c>
      <c r="J3700" s="3">
        <f t="shared" si="5"/>
        <v>0</v>
      </c>
    </row>
    <row r="3701">
      <c r="A3701" s="1" t="s">
        <v>2787</v>
      </c>
      <c r="B3701" s="3" t="str">
        <f t="shared" si="1"/>
        <v>Unavailable</v>
      </c>
      <c r="C3701" s="5">
        <v>1975.0</v>
      </c>
      <c r="D3701" s="3">
        <f>IFERROR(__xludf.DUMMYFUNCTION("IFERROR(
IF(REGEXMATCH(LOWER(O3701),""k""),
VALUE(REGEXEXTRACT(O3701,""[0-9]+""))*1000,
VALUE(REGEXEXTRACT(O3701,""[0-9]+""))
),
0
)"),0.0)</f>
        <v>0</v>
      </c>
      <c r="E3701" s="1" t="s">
        <v>11</v>
      </c>
      <c r="F3701" s="1" t="s">
        <v>20</v>
      </c>
      <c r="G3701" s="4" t="b">
        <f t="shared" si="2"/>
        <v>1</v>
      </c>
      <c r="H3701" s="1" t="str">
        <f t="shared" si="3"/>
        <v>Currently Unavailable</v>
      </c>
      <c r="I3701" s="1" t="str">
        <f t="shared" si="4"/>
        <v>No Badges</v>
      </c>
      <c r="J3701" s="3">
        <f t="shared" si="5"/>
        <v>0</v>
      </c>
    </row>
    <row r="3702">
      <c r="A3702" s="1" t="s">
        <v>2788</v>
      </c>
      <c r="B3702" s="3" t="str">
        <f t="shared" si="1"/>
        <v>Unavailable</v>
      </c>
      <c r="C3702" s="5">
        <v>4538.0</v>
      </c>
      <c r="D3702" s="3">
        <f>IFERROR(__xludf.DUMMYFUNCTION("IFERROR(
IF(REGEXMATCH(LOWER(O3702),""k""),
VALUE(REGEXEXTRACT(O3702,""[0-9]+""))*1000,
VALUE(REGEXEXTRACT(O3702,""[0-9]+""))
),
0
)"),0.0)</f>
        <v>0</v>
      </c>
      <c r="E3702" s="1" t="s">
        <v>11</v>
      </c>
      <c r="F3702" s="1" t="s">
        <v>20</v>
      </c>
      <c r="G3702" s="4" t="b">
        <f t="shared" si="2"/>
        <v>1</v>
      </c>
      <c r="H3702" s="1" t="str">
        <f t="shared" si="3"/>
        <v>Currently Unavailable</v>
      </c>
      <c r="I3702" s="1" t="str">
        <f t="shared" si="4"/>
        <v>No Badges</v>
      </c>
      <c r="J3702" s="3">
        <f t="shared" si="5"/>
        <v>0</v>
      </c>
    </row>
    <row r="3703">
      <c r="A3703" s="1" t="s">
        <v>2789</v>
      </c>
      <c r="B3703" s="3" t="str">
        <f t="shared" si="1"/>
        <v>Unavailable</v>
      </c>
      <c r="C3703" s="5">
        <v>2778.0</v>
      </c>
      <c r="D3703" s="3">
        <f>IFERROR(__xludf.DUMMYFUNCTION("IFERROR(
IF(REGEXMATCH(LOWER(O3703),""k""),
VALUE(REGEXEXTRACT(O3703,""[0-9]+""))*1000,
VALUE(REGEXEXTRACT(O3703,""[0-9]+""))
),
0
)"),0.0)</f>
        <v>0</v>
      </c>
      <c r="E3703" s="1" t="s">
        <v>11</v>
      </c>
      <c r="F3703" s="1" t="s">
        <v>20</v>
      </c>
      <c r="G3703" s="4" t="b">
        <f t="shared" si="2"/>
        <v>1</v>
      </c>
      <c r="H3703" s="1" t="str">
        <f t="shared" si="3"/>
        <v>Currently Unavailable</v>
      </c>
      <c r="I3703" s="1" t="str">
        <f t="shared" si="4"/>
        <v>No Badges</v>
      </c>
      <c r="J3703" s="3">
        <f t="shared" si="5"/>
        <v>0</v>
      </c>
    </row>
    <row r="3704">
      <c r="A3704" s="1" t="s">
        <v>2790</v>
      </c>
      <c r="B3704" s="3" t="str">
        <f t="shared" si="1"/>
        <v>Unavailable</v>
      </c>
      <c r="C3704" s="3">
        <v>497.0</v>
      </c>
      <c r="D3704" s="3">
        <f>IFERROR(__xludf.DUMMYFUNCTION("IFERROR(
IF(REGEXMATCH(LOWER(O3704),""k""),
VALUE(REGEXEXTRACT(O3704,""[0-9]+""))*1000,
VALUE(REGEXEXTRACT(O3704,""[0-9]+""))
),
0
)"),0.0)</f>
        <v>0</v>
      </c>
      <c r="E3704" s="1" t="s">
        <v>11</v>
      </c>
      <c r="F3704" s="1" t="s">
        <v>20</v>
      </c>
      <c r="G3704" s="4" t="b">
        <f t="shared" si="2"/>
        <v>1</v>
      </c>
      <c r="H3704" s="1" t="str">
        <f t="shared" si="3"/>
        <v>Currently Unavailable</v>
      </c>
      <c r="I3704" s="1" t="str">
        <f t="shared" si="4"/>
        <v>No Badges</v>
      </c>
      <c r="J3704" s="3">
        <f t="shared" si="5"/>
        <v>0</v>
      </c>
    </row>
    <row r="3705">
      <c r="A3705" s="1" t="s">
        <v>2791</v>
      </c>
      <c r="B3705" s="3" t="str">
        <f t="shared" si="1"/>
        <v>Unavailable</v>
      </c>
      <c r="C3705" s="3">
        <v>495.0</v>
      </c>
      <c r="D3705" s="3">
        <f>IFERROR(__xludf.DUMMYFUNCTION("IFERROR(
IF(REGEXMATCH(LOWER(O3705),""k""),
VALUE(REGEXEXTRACT(O3705,""[0-9]+""))*1000,
VALUE(REGEXEXTRACT(O3705,""[0-9]+""))
),
0
)"),0.0)</f>
        <v>0</v>
      </c>
      <c r="E3705" s="1" t="s">
        <v>11</v>
      </c>
      <c r="F3705" s="1" t="s">
        <v>20</v>
      </c>
      <c r="G3705" s="4" t="b">
        <f t="shared" si="2"/>
        <v>1</v>
      </c>
      <c r="H3705" s="1" t="str">
        <f t="shared" si="3"/>
        <v>Currently Unavailable</v>
      </c>
      <c r="I3705" s="1" t="str">
        <f t="shared" si="4"/>
        <v>No Badges</v>
      </c>
      <c r="J3705" s="3">
        <f t="shared" si="5"/>
        <v>0</v>
      </c>
    </row>
    <row r="3706">
      <c r="A3706" s="1" t="s">
        <v>2791</v>
      </c>
      <c r="B3706" s="3" t="str">
        <f t="shared" si="1"/>
        <v>Unavailable</v>
      </c>
      <c r="C3706" s="3">
        <v>495.0</v>
      </c>
      <c r="D3706" s="3">
        <f>IFERROR(__xludf.DUMMYFUNCTION("IFERROR(
IF(REGEXMATCH(LOWER(O3706),""k""),
VALUE(REGEXEXTRACT(O3706,""[0-9]+""))*1000,
VALUE(REGEXEXTRACT(O3706,""[0-9]+""))
),
0
)"),0.0)</f>
        <v>0</v>
      </c>
      <c r="E3706" s="1" t="s">
        <v>11</v>
      </c>
      <c r="F3706" s="1" t="s">
        <v>20</v>
      </c>
      <c r="G3706" s="4" t="b">
        <f t="shared" si="2"/>
        <v>1</v>
      </c>
      <c r="H3706" s="1" t="str">
        <f t="shared" si="3"/>
        <v>Currently Unavailable</v>
      </c>
      <c r="I3706" s="1" t="str">
        <f t="shared" si="4"/>
        <v>No Badges</v>
      </c>
      <c r="J3706" s="3">
        <f t="shared" si="5"/>
        <v>0</v>
      </c>
    </row>
    <row r="3707">
      <c r="A3707" s="1" t="s">
        <v>2792</v>
      </c>
      <c r="B3707" s="3" t="str">
        <f t="shared" si="1"/>
        <v>Unavailable</v>
      </c>
      <c r="C3707" s="5">
        <v>3317.0</v>
      </c>
      <c r="D3707" s="3">
        <f>IFERROR(__xludf.DUMMYFUNCTION("IFERROR(
IF(REGEXMATCH(LOWER(O3707),""k""),
VALUE(REGEXEXTRACT(O3707,""[0-9]+""))*1000,
VALUE(REGEXEXTRACT(O3707,""[0-9]+""))
),
0
)"),0.0)</f>
        <v>0</v>
      </c>
      <c r="E3707" s="1" t="s">
        <v>11</v>
      </c>
      <c r="F3707" s="1" t="s">
        <v>20</v>
      </c>
      <c r="G3707" s="4" t="b">
        <f t="shared" si="2"/>
        <v>1</v>
      </c>
      <c r="H3707" s="1" t="str">
        <f t="shared" si="3"/>
        <v>Currently Unavailable</v>
      </c>
      <c r="I3707" s="1" t="str">
        <f t="shared" si="4"/>
        <v>No Badges</v>
      </c>
      <c r="J3707" s="3">
        <f t="shared" si="5"/>
        <v>0</v>
      </c>
    </row>
    <row r="3708">
      <c r="A3708" s="1" t="s">
        <v>2793</v>
      </c>
      <c r="B3708" s="3" t="str">
        <f t="shared" si="1"/>
        <v>Unavailable</v>
      </c>
      <c r="C3708" s="5">
        <v>4501.0</v>
      </c>
      <c r="D3708" s="3">
        <f>IFERROR(__xludf.DUMMYFUNCTION("IFERROR(
IF(REGEXMATCH(LOWER(O3708),""k""),
VALUE(REGEXEXTRACT(O3708,""[0-9]+""))*1000,
VALUE(REGEXEXTRACT(O3708,""[0-9]+""))
),
0
)"),0.0)</f>
        <v>0</v>
      </c>
      <c r="E3708" s="1" t="s">
        <v>11</v>
      </c>
      <c r="F3708" s="1" t="s">
        <v>20</v>
      </c>
      <c r="G3708" s="4" t="b">
        <f t="shared" si="2"/>
        <v>1</v>
      </c>
      <c r="H3708" s="1" t="str">
        <f t="shared" si="3"/>
        <v>Currently Unavailable</v>
      </c>
      <c r="I3708" s="1" t="str">
        <f t="shared" si="4"/>
        <v>No Badges</v>
      </c>
      <c r="J3708" s="3">
        <f t="shared" si="5"/>
        <v>0</v>
      </c>
    </row>
    <row r="3709">
      <c r="A3709" s="1" t="s">
        <v>2794</v>
      </c>
      <c r="B3709" s="3" t="str">
        <f t="shared" si="1"/>
        <v>Unavailable</v>
      </c>
      <c r="C3709" s="5">
        <v>1010.0</v>
      </c>
      <c r="D3709" s="3">
        <f>IFERROR(__xludf.DUMMYFUNCTION("IFERROR(
IF(REGEXMATCH(LOWER(O3709),""k""),
VALUE(REGEXEXTRACT(O3709,""[0-9]+""))*1000,
VALUE(REGEXEXTRACT(O3709,""[0-9]+""))
),
0
)"),0.0)</f>
        <v>0</v>
      </c>
      <c r="E3709" s="1" t="s">
        <v>11</v>
      </c>
      <c r="F3709" s="1" t="s">
        <v>20</v>
      </c>
      <c r="G3709" s="4" t="b">
        <f t="shared" si="2"/>
        <v>1</v>
      </c>
      <c r="H3709" s="1" t="str">
        <f t="shared" si="3"/>
        <v>Currently Unavailable</v>
      </c>
      <c r="I3709" s="1" t="str">
        <f t="shared" si="4"/>
        <v>No Badges</v>
      </c>
      <c r="J3709" s="3">
        <f t="shared" si="5"/>
        <v>0</v>
      </c>
    </row>
    <row r="3710">
      <c r="A3710" s="1" t="s">
        <v>2795</v>
      </c>
      <c r="B3710" s="3" t="str">
        <f t="shared" si="1"/>
        <v>Unavailable</v>
      </c>
      <c r="C3710" s="3">
        <v>836.0</v>
      </c>
      <c r="D3710" s="3">
        <f>IFERROR(__xludf.DUMMYFUNCTION("IFERROR(
IF(REGEXMATCH(LOWER(O3710),""k""),
VALUE(REGEXEXTRACT(O3710,""[0-9]+""))*1000,
VALUE(REGEXEXTRACT(O3710,""[0-9]+""))
),
0
)"),0.0)</f>
        <v>0</v>
      </c>
      <c r="E3710" s="1" t="s">
        <v>11</v>
      </c>
      <c r="F3710" s="1" t="s">
        <v>20</v>
      </c>
      <c r="G3710" s="4" t="b">
        <f t="shared" si="2"/>
        <v>1</v>
      </c>
      <c r="H3710" s="1" t="str">
        <f t="shared" si="3"/>
        <v>Currently Unavailable</v>
      </c>
      <c r="I3710" s="1" t="str">
        <f t="shared" si="4"/>
        <v>No Badges</v>
      </c>
      <c r="J3710" s="3">
        <f t="shared" si="5"/>
        <v>0</v>
      </c>
    </row>
    <row r="3711">
      <c r="A3711" s="1" t="s">
        <v>67</v>
      </c>
      <c r="B3711" s="3" t="str">
        <f t="shared" si="1"/>
        <v>Unavailable</v>
      </c>
      <c r="C3711" s="3">
        <v>264.0</v>
      </c>
      <c r="D3711" s="3">
        <f>IFERROR(__xludf.DUMMYFUNCTION("IFERROR(
IF(REGEXMATCH(LOWER(O3711),""k""),
VALUE(REGEXEXTRACT(O3711,""[0-9]+""))*1000,
VALUE(REGEXEXTRACT(O3711,""[0-9]+""))
),
0
)"),0.0)</f>
        <v>0</v>
      </c>
      <c r="E3711" s="1" t="s">
        <v>11</v>
      </c>
      <c r="F3711" s="1" t="s">
        <v>12</v>
      </c>
      <c r="G3711" s="4" t="b">
        <f t="shared" si="2"/>
        <v>1</v>
      </c>
      <c r="H3711" s="1" t="str">
        <f t="shared" si="3"/>
        <v>Currently Unavailable</v>
      </c>
      <c r="I3711" s="1" t="str">
        <f t="shared" si="4"/>
        <v>No Badges</v>
      </c>
      <c r="J3711" s="3">
        <f t="shared" si="5"/>
        <v>0</v>
      </c>
    </row>
    <row r="3712">
      <c r="A3712" s="1" t="s">
        <v>2354</v>
      </c>
      <c r="B3712" s="3" t="str">
        <f t="shared" si="1"/>
        <v>Unavailable</v>
      </c>
      <c r="C3712" s="5">
        <v>1878.0</v>
      </c>
      <c r="D3712" s="3">
        <f>IFERROR(__xludf.DUMMYFUNCTION("IFERROR(
IF(REGEXMATCH(LOWER(O3712),""k""),
VALUE(REGEXEXTRACT(O3712,""[0-9]+""))*1000,
VALUE(REGEXEXTRACT(O3712,""[0-9]+""))
),
0
)"),0.0)</f>
        <v>0</v>
      </c>
      <c r="E3712" s="1" t="s">
        <v>11</v>
      </c>
      <c r="F3712" s="1" t="s">
        <v>12</v>
      </c>
      <c r="G3712" s="4" t="b">
        <f t="shared" si="2"/>
        <v>1</v>
      </c>
      <c r="H3712" s="1" t="str">
        <f t="shared" si="3"/>
        <v>Currently Unavailable</v>
      </c>
      <c r="I3712" s="1" t="str">
        <f t="shared" si="4"/>
        <v>No Badges</v>
      </c>
      <c r="J3712" s="3">
        <f t="shared" si="5"/>
        <v>0</v>
      </c>
    </row>
    <row r="3713">
      <c r="A3713" s="1" t="s">
        <v>2796</v>
      </c>
      <c r="B3713" s="3" t="str">
        <f t="shared" si="1"/>
        <v>Unavailable</v>
      </c>
      <c r="C3713" s="3">
        <v>60.0</v>
      </c>
      <c r="D3713" s="3">
        <f>IFERROR(__xludf.DUMMYFUNCTION("IFERROR(
IF(REGEXMATCH(LOWER(O3713),""k""),
VALUE(REGEXEXTRACT(O3713,""[0-9]+""))*1000,
VALUE(REGEXEXTRACT(O3713,""[0-9]+""))
),
0
)"),0.0)</f>
        <v>0</v>
      </c>
      <c r="E3713" s="1" t="s">
        <v>11</v>
      </c>
      <c r="F3713" s="1" t="s">
        <v>20</v>
      </c>
      <c r="G3713" s="4" t="b">
        <f t="shared" si="2"/>
        <v>1</v>
      </c>
      <c r="H3713" s="1" t="str">
        <f t="shared" si="3"/>
        <v>Currently Unavailable</v>
      </c>
      <c r="I3713" s="1" t="str">
        <f t="shared" si="4"/>
        <v>No Badges</v>
      </c>
      <c r="J3713" s="3">
        <f t="shared" si="5"/>
        <v>0</v>
      </c>
    </row>
    <row r="3714">
      <c r="A3714" s="1" t="s">
        <v>2797</v>
      </c>
      <c r="B3714" s="3" t="str">
        <f t="shared" si="1"/>
        <v>Unavailable</v>
      </c>
      <c r="C3714" s="3">
        <v>165.0</v>
      </c>
      <c r="D3714" s="3">
        <f>IFERROR(__xludf.DUMMYFUNCTION("IFERROR(
IF(REGEXMATCH(LOWER(O3714),""k""),
VALUE(REGEXEXTRACT(O3714,""[0-9]+""))*1000,
VALUE(REGEXEXTRACT(O3714,""[0-9]+""))
),
0
)"),0.0)</f>
        <v>0</v>
      </c>
      <c r="E3714" s="1" t="s">
        <v>11</v>
      </c>
      <c r="F3714" s="1" t="s">
        <v>20</v>
      </c>
      <c r="G3714" s="4" t="b">
        <f t="shared" si="2"/>
        <v>1</v>
      </c>
      <c r="H3714" s="1" t="str">
        <f t="shared" si="3"/>
        <v>Currently Unavailable</v>
      </c>
      <c r="I3714" s="1" t="str">
        <f t="shared" si="4"/>
        <v>No Badges</v>
      </c>
      <c r="J3714" s="3">
        <f t="shared" si="5"/>
        <v>0</v>
      </c>
    </row>
    <row r="3715">
      <c r="A3715" s="1" t="s">
        <v>2798</v>
      </c>
      <c r="B3715" s="3" t="str">
        <f t="shared" si="1"/>
        <v>Unavailable</v>
      </c>
      <c r="C3715" s="5">
        <v>1650.0</v>
      </c>
      <c r="D3715" s="3">
        <f>IFERROR(__xludf.DUMMYFUNCTION("IFERROR(
IF(REGEXMATCH(LOWER(O3715),""k""),
VALUE(REGEXEXTRACT(O3715,""[0-9]+""))*1000,
VALUE(REGEXEXTRACT(O3715,""[0-9]+""))
),
0
)"),0.0)</f>
        <v>0</v>
      </c>
      <c r="E3715" s="1" t="s">
        <v>11</v>
      </c>
      <c r="F3715" s="1" t="s">
        <v>20</v>
      </c>
      <c r="G3715" s="4" t="b">
        <f t="shared" si="2"/>
        <v>1</v>
      </c>
      <c r="H3715" s="1" t="str">
        <f t="shared" si="3"/>
        <v>Currently Unavailable</v>
      </c>
      <c r="I3715" s="1" t="str">
        <f t="shared" si="4"/>
        <v>No Badges</v>
      </c>
      <c r="J3715" s="3">
        <f t="shared" si="5"/>
        <v>0</v>
      </c>
    </row>
    <row r="3716">
      <c r="A3716" s="1" t="s">
        <v>2799</v>
      </c>
      <c r="B3716" s="3" t="str">
        <f t="shared" si="1"/>
        <v>Unavailable</v>
      </c>
      <c r="C3716" s="3">
        <v>503.0</v>
      </c>
      <c r="D3716" s="3">
        <f>IFERROR(__xludf.DUMMYFUNCTION("IFERROR(
IF(REGEXMATCH(LOWER(O3716),""k""),
VALUE(REGEXEXTRACT(O3716,""[0-9]+""))*1000,
VALUE(REGEXEXTRACT(O3716,""[0-9]+""))
),
0
)"),0.0)</f>
        <v>0</v>
      </c>
      <c r="E3716" s="1" t="s">
        <v>11</v>
      </c>
      <c r="F3716" s="1" t="s">
        <v>20</v>
      </c>
      <c r="G3716" s="4" t="b">
        <f t="shared" si="2"/>
        <v>1</v>
      </c>
      <c r="H3716" s="1" t="str">
        <f t="shared" si="3"/>
        <v>Currently Unavailable</v>
      </c>
      <c r="I3716" s="1" t="str">
        <f t="shared" si="4"/>
        <v>No Badges</v>
      </c>
      <c r="J3716" s="3">
        <f t="shared" si="5"/>
        <v>0</v>
      </c>
    </row>
    <row r="3717">
      <c r="A3717" s="1" t="s">
        <v>2800</v>
      </c>
      <c r="B3717" s="3" t="str">
        <f t="shared" si="1"/>
        <v>Unavailable</v>
      </c>
      <c r="C3717" s="3">
        <v>70.0</v>
      </c>
      <c r="D3717" s="3">
        <f>IFERROR(__xludf.DUMMYFUNCTION("IFERROR(
IF(REGEXMATCH(LOWER(O3717),""k""),
VALUE(REGEXEXTRACT(O3717,""[0-9]+""))*1000,
VALUE(REGEXEXTRACT(O3717,""[0-9]+""))
),
0
)"),0.0)</f>
        <v>0</v>
      </c>
      <c r="E3717" s="1" t="s">
        <v>11</v>
      </c>
      <c r="F3717" s="1" t="s">
        <v>20</v>
      </c>
      <c r="G3717" s="4" t="b">
        <f t="shared" si="2"/>
        <v>1</v>
      </c>
      <c r="H3717" s="1" t="str">
        <f t="shared" si="3"/>
        <v>Currently Unavailable</v>
      </c>
      <c r="I3717" s="1" t="str">
        <f t="shared" si="4"/>
        <v>No Badges</v>
      </c>
      <c r="J3717" s="3">
        <f t="shared" si="5"/>
        <v>0</v>
      </c>
    </row>
    <row r="3718">
      <c r="A3718" s="1" t="s">
        <v>2801</v>
      </c>
      <c r="B3718" s="3" t="str">
        <f t="shared" si="1"/>
        <v>Unavailable</v>
      </c>
      <c r="C3718" s="3">
        <v>360.0</v>
      </c>
      <c r="D3718" s="3">
        <f>IFERROR(__xludf.DUMMYFUNCTION("IFERROR(
IF(REGEXMATCH(LOWER(O3718),""k""),
VALUE(REGEXEXTRACT(O3718,""[0-9]+""))*1000,
VALUE(REGEXEXTRACT(O3718,""[0-9]+""))
),
0
)"),0.0)</f>
        <v>0</v>
      </c>
      <c r="E3718" s="1" t="s">
        <v>11</v>
      </c>
      <c r="F3718" s="1" t="s">
        <v>20</v>
      </c>
      <c r="G3718" s="4" t="b">
        <f t="shared" si="2"/>
        <v>1</v>
      </c>
      <c r="H3718" s="1" t="str">
        <f t="shared" si="3"/>
        <v>Currently Unavailable</v>
      </c>
      <c r="I3718" s="1" t="str">
        <f t="shared" si="4"/>
        <v>No Badges</v>
      </c>
      <c r="J3718" s="3">
        <f t="shared" si="5"/>
        <v>0</v>
      </c>
    </row>
    <row r="3719">
      <c r="A3719" s="1" t="s">
        <v>2802</v>
      </c>
      <c r="B3719" s="3" t="str">
        <f t="shared" si="1"/>
        <v>Unavailable</v>
      </c>
      <c r="C3719" s="5">
        <v>2435.0</v>
      </c>
      <c r="D3719" s="3">
        <f>IFERROR(__xludf.DUMMYFUNCTION("IFERROR(
IF(REGEXMATCH(LOWER(O3719),""k""),
VALUE(REGEXEXTRACT(O3719,""[0-9]+""))*1000,
VALUE(REGEXEXTRACT(O3719,""[0-9]+""))
),
0
)"),0.0)</f>
        <v>0</v>
      </c>
      <c r="E3719" s="1" t="s">
        <v>11</v>
      </c>
      <c r="F3719" s="1" t="s">
        <v>20</v>
      </c>
      <c r="G3719" s="4" t="b">
        <f t="shared" si="2"/>
        <v>1</v>
      </c>
      <c r="H3719" s="1" t="str">
        <f t="shared" si="3"/>
        <v>Currently Unavailable</v>
      </c>
      <c r="I3719" s="1" t="str">
        <f t="shared" si="4"/>
        <v>No Badges</v>
      </c>
      <c r="J3719" s="3">
        <f t="shared" si="5"/>
        <v>0</v>
      </c>
    </row>
    <row r="3720">
      <c r="A3720" s="1" t="s">
        <v>2803</v>
      </c>
      <c r="B3720" s="3" t="str">
        <f t="shared" si="1"/>
        <v>Unavailable</v>
      </c>
      <c r="C3720" s="3">
        <v>26.0</v>
      </c>
      <c r="D3720" s="3">
        <f>IFERROR(__xludf.DUMMYFUNCTION("IFERROR(
IF(REGEXMATCH(LOWER(O3720),""k""),
VALUE(REGEXEXTRACT(O3720,""[0-9]+""))*1000,
VALUE(REGEXEXTRACT(O3720,""[0-9]+""))
),
0
)"),0.0)</f>
        <v>0</v>
      </c>
      <c r="E3720" s="1" t="s">
        <v>11</v>
      </c>
      <c r="F3720" s="1" t="s">
        <v>20</v>
      </c>
      <c r="G3720" s="4" t="b">
        <f t="shared" si="2"/>
        <v>1</v>
      </c>
      <c r="H3720" s="1" t="str">
        <f t="shared" si="3"/>
        <v>Currently Unavailable</v>
      </c>
      <c r="I3720" s="1" t="str">
        <f t="shared" si="4"/>
        <v>No Badges</v>
      </c>
      <c r="J3720" s="3">
        <f t="shared" si="5"/>
        <v>0</v>
      </c>
    </row>
    <row r="3721">
      <c r="A3721" s="1" t="s">
        <v>2804</v>
      </c>
      <c r="B3721" s="3" t="str">
        <f t="shared" si="1"/>
        <v>Unavailable</v>
      </c>
      <c r="C3721" s="5">
        <v>1155.0</v>
      </c>
      <c r="D3721" s="3">
        <f>IFERROR(__xludf.DUMMYFUNCTION("IFERROR(
IF(REGEXMATCH(LOWER(O3721),""k""),
VALUE(REGEXEXTRACT(O3721,""[0-9]+""))*1000,
VALUE(REGEXEXTRACT(O3721,""[0-9]+""))
),
0
)"),0.0)</f>
        <v>0</v>
      </c>
      <c r="E3721" s="1" t="s">
        <v>11</v>
      </c>
      <c r="F3721" s="1" t="s">
        <v>20</v>
      </c>
      <c r="G3721" s="4" t="b">
        <f t="shared" si="2"/>
        <v>1</v>
      </c>
      <c r="H3721" s="1" t="str">
        <f t="shared" si="3"/>
        <v>Currently Unavailable</v>
      </c>
      <c r="I3721" s="1" t="str">
        <f t="shared" si="4"/>
        <v>No Badges</v>
      </c>
      <c r="J3721" s="3">
        <f t="shared" si="5"/>
        <v>0</v>
      </c>
    </row>
    <row r="3722">
      <c r="A3722" s="1" t="s">
        <v>2805</v>
      </c>
      <c r="B3722" s="3" t="str">
        <f t="shared" si="1"/>
        <v>Unavailable</v>
      </c>
      <c r="C3722" s="3">
        <v>571.0</v>
      </c>
      <c r="D3722" s="3">
        <f>IFERROR(__xludf.DUMMYFUNCTION("IFERROR(
IF(REGEXMATCH(LOWER(O3722),""k""),
VALUE(REGEXEXTRACT(O3722,""[0-9]+""))*1000,
VALUE(REGEXEXTRACT(O3722,""[0-9]+""))
),
0
)"),0.0)</f>
        <v>0</v>
      </c>
      <c r="E3722" s="1" t="s">
        <v>11</v>
      </c>
      <c r="F3722" s="1" t="s">
        <v>20</v>
      </c>
      <c r="G3722" s="4" t="b">
        <f t="shared" si="2"/>
        <v>1</v>
      </c>
      <c r="H3722" s="1" t="str">
        <f t="shared" si="3"/>
        <v>Currently Unavailable</v>
      </c>
      <c r="I3722" s="1" t="str">
        <f t="shared" si="4"/>
        <v>No Badges</v>
      </c>
      <c r="J3722" s="3">
        <f t="shared" si="5"/>
        <v>0</v>
      </c>
    </row>
    <row r="3723">
      <c r="A3723" s="1" t="s">
        <v>2806</v>
      </c>
      <c r="B3723" s="3" t="str">
        <f t="shared" si="1"/>
        <v>Unavailable</v>
      </c>
      <c r="C3723" s="3">
        <v>39.0</v>
      </c>
      <c r="D3723" s="3">
        <f>IFERROR(__xludf.DUMMYFUNCTION("IFERROR(
IF(REGEXMATCH(LOWER(O3723),""k""),
VALUE(REGEXEXTRACT(O3723,""[0-9]+""))*1000,
VALUE(REGEXEXTRACT(O3723,""[0-9]+""))
),
0
)"),0.0)</f>
        <v>0</v>
      </c>
      <c r="E3723" s="1" t="s">
        <v>11</v>
      </c>
      <c r="F3723" s="1" t="s">
        <v>20</v>
      </c>
      <c r="G3723" s="4" t="b">
        <f t="shared" si="2"/>
        <v>1</v>
      </c>
      <c r="H3723" s="1" t="str">
        <f t="shared" si="3"/>
        <v>Currently Unavailable</v>
      </c>
      <c r="I3723" s="1" t="str">
        <f t="shared" si="4"/>
        <v>No Badges</v>
      </c>
      <c r="J3723" s="3">
        <f t="shared" si="5"/>
        <v>0</v>
      </c>
    </row>
    <row r="3724">
      <c r="A3724" s="1" t="s">
        <v>2807</v>
      </c>
      <c r="B3724" s="3" t="str">
        <f t="shared" si="1"/>
        <v>Unavailable</v>
      </c>
      <c r="C3724" s="3">
        <v>85.0</v>
      </c>
      <c r="D3724" s="3">
        <f>IFERROR(__xludf.DUMMYFUNCTION("IFERROR(
IF(REGEXMATCH(LOWER(O3724),""k""),
VALUE(REGEXEXTRACT(O3724,""[0-9]+""))*1000,
VALUE(REGEXEXTRACT(O3724,""[0-9]+""))
),
0
)"),0.0)</f>
        <v>0</v>
      </c>
      <c r="E3724" s="1" t="s">
        <v>11</v>
      </c>
      <c r="F3724" s="1" t="s">
        <v>20</v>
      </c>
      <c r="G3724" s="4" t="b">
        <f t="shared" si="2"/>
        <v>1</v>
      </c>
      <c r="H3724" s="1" t="str">
        <f t="shared" si="3"/>
        <v>Currently Unavailable</v>
      </c>
      <c r="I3724" s="1" t="str">
        <f t="shared" si="4"/>
        <v>No Badges</v>
      </c>
      <c r="J3724" s="3">
        <f t="shared" si="5"/>
        <v>0</v>
      </c>
    </row>
    <row r="3725">
      <c r="A3725" s="1" t="s">
        <v>604</v>
      </c>
      <c r="B3725" s="3" t="str">
        <f t="shared" si="1"/>
        <v>Unavailable</v>
      </c>
      <c r="C3725" s="3">
        <v>30.0</v>
      </c>
      <c r="D3725" s="3">
        <f>IFERROR(__xludf.DUMMYFUNCTION("IFERROR(
IF(REGEXMATCH(LOWER(O3725),""k""),
VALUE(REGEXEXTRACT(O3725,""[0-9]+""))*1000,
VALUE(REGEXEXTRACT(O3725,""[0-9]+""))
),
0
)"),0.0)</f>
        <v>0</v>
      </c>
      <c r="E3725" s="1" t="s">
        <v>11</v>
      </c>
      <c r="F3725" s="1" t="s">
        <v>12</v>
      </c>
      <c r="G3725" s="4" t="b">
        <f t="shared" si="2"/>
        <v>1</v>
      </c>
      <c r="H3725" s="1" t="str">
        <f t="shared" si="3"/>
        <v>Currently Unavailable</v>
      </c>
      <c r="I3725" s="1" t="str">
        <f t="shared" si="4"/>
        <v>No Badges</v>
      </c>
      <c r="J3725" s="3">
        <f t="shared" si="5"/>
        <v>0</v>
      </c>
    </row>
    <row r="3726">
      <c r="A3726" s="1" t="s">
        <v>701</v>
      </c>
      <c r="B3726" s="3" t="str">
        <f t="shared" si="1"/>
        <v>Unavailable</v>
      </c>
      <c r="C3726" s="3">
        <v>8.0</v>
      </c>
      <c r="D3726" s="3">
        <f>IFERROR(__xludf.DUMMYFUNCTION("IFERROR(
IF(REGEXMATCH(LOWER(O3726),""k""),
VALUE(REGEXEXTRACT(O3726,""[0-9]+""))*1000,
VALUE(REGEXEXTRACT(O3726,""[0-9]+""))
),
0
)"),0.0)</f>
        <v>0</v>
      </c>
      <c r="E3726" s="1" t="s">
        <v>11</v>
      </c>
      <c r="F3726" s="1" t="s">
        <v>12</v>
      </c>
      <c r="G3726" s="4" t="b">
        <f t="shared" si="2"/>
        <v>1</v>
      </c>
      <c r="H3726" s="1" t="str">
        <f t="shared" si="3"/>
        <v>Currently Unavailable</v>
      </c>
      <c r="I3726" s="1" t="str">
        <f t="shared" si="4"/>
        <v>No Badges</v>
      </c>
      <c r="J3726" s="3">
        <f t="shared" si="5"/>
        <v>0</v>
      </c>
    </row>
    <row r="3727">
      <c r="A3727" s="1" t="s">
        <v>88</v>
      </c>
      <c r="B3727" s="3" t="str">
        <f t="shared" si="1"/>
        <v>Unavailable</v>
      </c>
      <c r="C3727" s="3">
        <v>5.0</v>
      </c>
      <c r="D3727" s="3">
        <f>IFERROR(__xludf.DUMMYFUNCTION("IFERROR(
IF(REGEXMATCH(LOWER(O3727),""k""),
VALUE(REGEXEXTRACT(O3727,""[0-9]+""))*1000,
VALUE(REGEXEXTRACT(O3727,""[0-9]+""))
),
0
)"),0.0)</f>
        <v>0</v>
      </c>
      <c r="E3727" s="1" t="s">
        <v>11</v>
      </c>
      <c r="F3727" s="1" t="s">
        <v>12</v>
      </c>
      <c r="G3727" s="4" t="b">
        <f t="shared" si="2"/>
        <v>1</v>
      </c>
      <c r="H3727" s="1" t="str">
        <f t="shared" si="3"/>
        <v>Currently Unavailable</v>
      </c>
      <c r="I3727" s="1" t="str">
        <f t="shared" si="4"/>
        <v>No Badges</v>
      </c>
      <c r="J3727" s="3">
        <f t="shared" si="5"/>
        <v>0</v>
      </c>
    </row>
    <row r="3728">
      <c r="A3728" s="1" t="s">
        <v>2808</v>
      </c>
      <c r="B3728" s="3" t="str">
        <f t="shared" si="1"/>
        <v>Unavailable</v>
      </c>
      <c r="C3728" s="5">
        <v>1673.0</v>
      </c>
      <c r="D3728" s="3">
        <f>IFERROR(__xludf.DUMMYFUNCTION("IFERROR(
IF(REGEXMATCH(LOWER(O3728),""k""),
VALUE(REGEXEXTRACT(O3728,""[0-9]+""))*1000,
VALUE(REGEXEXTRACT(O3728,""[0-9]+""))
),
0
)"),0.0)</f>
        <v>0</v>
      </c>
      <c r="E3728" s="1" t="s">
        <v>11</v>
      </c>
      <c r="F3728" s="1" t="s">
        <v>20</v>
      </c>
      <c r="G3728" s="4" t="b">
        <f t="shared" si="2"/>
        <v>1</v>
      </c>
      <c r="H3728" s="1" t="str">
        <f t="shared" si="3"/>
        <v>Currently Unavailable</v>
      </c>
      <c r="I3728" s="1" t="str">
        <f t="shared" si="4"/>
        <v>No Badges</v>
      </c>
      <c r="J3728" s="3">
        <f t="shared" si="5"/>
        <v>0</v>
      </c>
    </row>
    <row r="3729">
      <c r="A3729" s="1" t="s">
        <v>2809</v>
      </c>
      <c r="B3729" s="3" t="str">
        <f t="shared" si="1"/>
        <v>Unavailable</v>
      </c>
      <c r="C3729" s="3">
        <v>300.0</v>
      </c>
      <c r="D3729" s="3">
        <f>IFERROR(__xludf.DUMMYFUNCTION("IFERROR(
IF(REGEXMATCH(LOWER(O3729),""k""),
VALUE(REGEXEXTRACT(O3729,""[0-9]+""))*1000,
VALUE(REGEXEXTRACT(O3729,""[0-9]+""))
),
0
)"),0.0)</f>
        <v>0</v>
      </c>
      <c r="E3729" s="1" t="s">
        <v>11</v>
      </c>
      <c r="F3729" s="1" t="s">
        <v>20</v>
      </c>
      <c r="G3729" s="4" t="b">
        <f t="shared" si="2"/>
        <v>1</v>
      </c>
      <c r="H3729" s="1" t="str">
        <f t="shared" si="3"/>
        <v>Currently Unavailable</v>
      </c>
      <c r="I3729" s="1" t="str">
        <f t="shared" si="4"/>
        <v>No Badges</v>
      </c>
      <c r="J3729" s="3">
        <f t="shared" si="5"/>
        <v>0</v>
      </c>
    </row>
    <row r="3730">
      <c r="A3730" s="1" t="s">
        <v>69</v>
      </c>
      <c r="B3730" s="3" t="str">
        <f t="shared" si="1"/>
        <v>Unavailable</v>
      </c>
      <c r="C3730" s="3">
        <v>45.0</v>
      </c>
      <c r="D3730" s="3">
        <f>IFERROR(__xludf.DUMMYFUNCTION("IFERROR(
IF(REGEXMATCH(LOWER(O3730),""k""),
VALUE(REGEXEXTRACT(O3730,""[0-9]+""))*1000,
VALUE(REGEXEXTRACT(O3730,""[0-9]+""))
),
0
)"),0.0)</f>
        <v>0</v>
      </c>
      <c r="E3730" s="1" t="s">
        <v>11</v>
      </c>
      <c r="F3730" s="1" t="s">
        <v>12</v>
      </c>
      <c r="G3730" s="4" t="b">
        <f t="shared" si="2"/>
        <v>1</v>
      </c>
      <c r="H3730" s="1" t="str">
        <f t="shared" si="3"/>
        <v>Currently Unavailable</v>
      </c>
      <c r="I3730" s="1" t="str">
        <f t="shared" si="4"/>
        <v>No Badges</v>
      </c>
      <c r="J3730" s="3">
        <f t="shared" si="5"/>
        <v>0</v>
      </c>
    </row>
    <row r="3731">
      <c r="A3731" s="1" t="s">
        <v>2810</v>
      </c>
      <c r="B3731" s="3" t="str">
        <f t="shared" si="1"/>
        <v>Unavailable</v>
      </c>
      <c r="C3731" s="3">
        <v>876.0</v>
      </c>
      <c r="D3731" s="3">
        <f>IFERROR(__xludf.DUMMYFUNCTION("IFERROR(
IF(REGEXMATCH(LOWER(O3731),""k""),
VALUE(REGEXEXTRACT(O3731,""[0-9]+""))*1000,
VALUE(REGEXEXTRACT(O3731,""[0-9]+""))
),
0
)"),0.0)</f>
        <v>0</v>
      </c>
      <c r="E3731" s="1" t="s">
        <v>11</v>
      </c>
      <c r="F3731" s="1" t="s">
        <v>20</v>
      </c>
      <c r="G3731" s="4" t="b">
        <f t="shared" si="2"/>
        <v>1</v>
      </c>
      <c r="H3731" s="1" t="str">
        <f t="shared" si="3"/>
        <v>Currently Unavailable</v>
      </c>
      <c r="I3731" s="1" t="str">
        <f t="shared" si="4"/>
        <v>No Badges</v>
      </c>
      <c r="J3731" s="3">
        <f t="shared" si="5"/>
        <v>0</v>
      </c>
    </row>
    <row r="3732">
      <c r="A3732" s="1" t="s">
        <v>2811</v>
      </c>
      <c r="B3732" s="3" t="str">
        <f t="shared" si="1"/>
        <v>Unavailable</v>
      </c>
      <c r="C3732" s="5">
        <v>3722.0</v>
      </c>
      <c r="D3732" s="3">
        <f>IFERROR(__xludf.DUMMYFUNCTION("IFERROR(
IF(REGEXMATCH(LOWER(O3732),""k""),
VALUE(REGEXEXTRACT(O3732,""[0-9]+""))*1000,
VALUE(REGEXEXTRACT(O3732,""[0-9]+""))
),
0
)"),0.0)</f>
        <v>0</v>
      </c>
      <c r="E3732" s="1" t="s">
        <v>11</v>
      </c>
      <c r="F3732" s="1" t="s">
        <v>20</v>
      </c>
      <c r="G3732" s="4" t="b">
        <f t="shared" si="2"/>
        <v>1</v>
      </c>
      <c r="H3732" s="1" t="str">
        <f t="shared" si="3"/>
        <v>Currently Unavailable</v>
      </c>
      <c r="I3732" s="1" t="str">
        <f t="shared" si="4"/>
        <v>No Badges</v>
      </c>
      <c r="J3732" s="3">
        <f t="shared" si="5"/>
        <v>0</v>
      </c>
    </row>
    <row r="3733">
      <c r="A3733" s="1" t="s">
        <v>2812</v>
      </c>
      <c r="B3733" s="3" t="str">
        <f t="shared" si="1"/>
        <v>Unavailable</v>
      </c>
      <c r="C3733" s="5">
        <v>10739.0</v>
      </c>
      <c r="D3733" s="3">
        <f>IFERROR(__xludf.DUMMYFUNCTION("IFERROR(
IF(REGEXMATCH(LOWER(O3733),""k""),
VALUE(REGEXEXTRACT(O3733,""[0-9]+""))*1000,
VALUE(REGEXEXTRACT(O3733,""[0-9]+""))
),
0
)"),0.0)</f>
        <v>0</v>
      </c>
      <c r="E3733" s="1" t="s">
        <v>11</v>
      </c>
      <c r="F3733" s="1" t="s">
        <v>20</v>
      </c>
      <c r="G3733" s="4" t="b">
        <f t="shared" si="2"/>
        <v>1</v>
      </c>
      <c r="H3733" s="1" t="str">
        <f t="shared" si="3"/>
        <v>Currently Unavailable</v>
      </c>
      <c r="I3733" s="1" t="str">
        <f t="shared" si="4"/>
        <v>No Badges</v>
      </c>
      <c r="J3733" s="3">
        <f t="shared" si="5"/>
        <v>0</v>
      </c>
    </row>
    <row r="3734">
      <c r="A3734" s="1" t="s">
        <v>2813</v>
      </c>
      <c r="B3734" s="3" t="str">
        <f t="shared" si="1"/>
        <v>Unavailable</v>
      </c>
      <c r="C3734" s="5">
        <v>2008.0</v>
      </c>
      <c r="D3734" s="3">
        <f>IFERROR(__xludf.DUMMYFUNCTION("IFERROR(
IF(REGEXMATCH(LOWER(O3734),""k""),
VALUE(REGEXEXTRACT(O3734,""[0-9]+""))*1000,
VALUE(REGEXEXTRACT(O3734,""[0-9]+""))
),
0
)"),0.0)</f>
        <v>0</v>
      </c>
      <c r="E3734" s="1" t="s">
        <v>11</v>
      </c>
      <c r="F3734" s="1" t="s">
        <v>20</v>
      </c>
      <c r="G3734" s="4" t="b">
        <f t="shared" si="2"/>
        <v>1</v>
      </c>
      <c r="H3734" s="1" t="str">
        <f t="shared" si="3"/>
        <v>Currently Unavailable</v>
      </c>
      <c r="I3734" s="1" t="str">
        <f t="shared" si="4"/>
        <v>No Badges</v>
      </c>
      <c r="J3734" s="3">
        <f t="shared" si="5"/>
        <v>0</v>
      </c>
    </row>
    <row r="3735">
      <c r="A3735" s="1" t="s">
        <v>2814</v>
      </c>
      <c r="B3735" s="3" t="str">
        <f t="shared" si="1"/>
        <v>Unavailable</v>
      </c>
      <c r="C3735" s="5">
        <v>1423.0</v>
      </c>
      <c r="D3735" s="3">
        <f>IFERROR(__xludf.DUMMYFUNCTION("IFERROR(
IF(REGEXMATCH(LOWER(O3735),""k""),
VALUE(REGEXEXTRACT(O3735,""[0-9]+""))*1000,
VALUE(REGEXEXTRACT(O3735,""[0-9]+""))
),
0
)"),0.0)</f>
        <v>0</v>
      </c>
      <c r="E3735" s="1" t="s">
        <v>11</v>
      </c>
      <c r="F3735" s="1" t="s">
        <v>20</v>
      </c>
      <c r="G3735" s="4" t="b">
        <f t="shared" si="2"/>
        <v>1</v>
      </c>
      <c r="H3735" s="1" t="str">
        <f t="shared" si="3"/>
        <v>Currently Unavailable</v>
      </c>
      <c r="I3735" s="1" t="str">
        <f t="shared" si="4"/>
        <v>No Badges</v>
      </c>
      <c r="J3735" s="3">
        <f t="shared" si="5"/>
        <v>0</v>
      </c>
    </row>
    <row r="3736">
      <c r="A3736" s="1" t="s">
        <v>2815</v>
      </c>
      <c r="B3736" s="3" t="str">
        <f t="shared" si="1"/>
        <v>Unavailable</v>
      </c>
      <c r="C3736" s="3">
        <v>93.0</v>
      </c>
      <c r="D3736" s="3">
        <f>IFERROR(__xludf.DUMMYFUNCTION("IFERROR(
IF(REGEXMATCH(LOWER(O3736),""k""),
VALUE(REGEXEXTRACT(O3736,""[0-9]+""))*1000,
VALUE(REGEXEXTRACT(O3736,""[0-9]+""))
),
0
)"),0.0)</f>
        <v>0</v>
      </c>
      <c r="E3736" s="1" t="s">
        <v>11</v>
      </c>
      <c r="F3736" s="1" t="s">
        <v>20</v>
      </c>
      <c r="G3736" s="4" t="b">
        <f t="shared" si="2"/>
        <v>1</v>
      </c>
      <c r="H3736" s="1" t="str">
        <f t="shared" si="3"/>
        <v>Currently Unavailable</v>
      </c>
      <c r="I3736" s="1" t="str">
        <f t="shared" si="4"/>
        <v>No Badges</v>
      </c>
      <c r="J3736" s="3">
        <f t="shared" si="5"/>
        <v>0</v>
      </c>
    </row>
    <row r="3737">
      <c r="A3737" s="1" t="s">
        <v>2816</v>
      </c>
      <c r="B3737" s="3" t="str">
        <f t="shared" si="1"/>
        <v>Unavailable</v>
      </c>
      <c r="C3737" s="3">
        <v>198.0</v>
      </c>
      <c r="D3737" s="3">
        <f>IFERROR(__xludf.DUMMYFUNCTION("IFERROR(
IF(REGEXMATCH(LOWER(O3737),""k""),
VALUE(REGEXEXTRACT(O3737,""[0-9]+""))*1000,
VALUE(REGEXEXTRACT(O3737,""[0-9]+""))
),
0
)"),0.0)</f>
        <v>0</v>
      </c>
      <c r="E3737" s="1" t="s">
        <v>11</v>
      </c>
      <c r="F3737" s="1" t="s">
        <v>20</v>
      </c>
      <c r="G3737" s="4" t="b">
        <f t="shared" si="2"/>
        <v>1</v>
      </c>
      <c r="H3737" s="1" t="str">
        <f t="shared" si="3"/>
        <v>Currently Unavailable</v>
      </c>
      <c r="I3737" s="1" t="str">
        <f t="shared" si="4"/>
        <v>No Badges</v>
      </c>
      <c r="J3737" s="3">
        <f t="shared" si="5"/>
        <v>0</v>
      </c>
    </row>
    <row r="3738">
      <c r="A3738" s="1" t="s">
        <v>2817</v>
      </c>
      <c r="B3738" s="3" t="str">
        <f t="shared" si="1"/>
        <v>Unavailable</v>
      </c>
      <c r="C3738" s="3">
        <v>91.0</v>
      </c>
      <c r="D3738" s="3">
        <f>IFERROR(__xludf.DUMMYFUNCTION("IFERROR(
IF(REGEXMATCH(LOWER(O3738),""k""),
VALUE(REGEXEXTRACT(O3738,""[0-9]+""))*1000,
VALUE(REGEXEXTRACT(O3738,""[0-9]+""))
),
0
)"),0.0)</f>
        <v>0</v>
      </c>
      <c r="E3738" s="1" t="s">
        <v>11</v>
      </c>
      <c r="F3738" s="1" t="s">
        <v>20</v>
      </c>
      <c r="G3738" s="4" t="b">
        <f t="shared" si="2"/>
        <v>1</v>
      </c>
      <c r="H3738" s="1" t="str">
        <f t="shared" si="3"/>
        <v>Currently Unavailable</v>
      </c>
      <c r="I3738" s="1" t="str">
        <f t="shared" si="4"/>
        <v>No Badges</v>
      </c>
      <c r="J3738" s="3">
        <f t="shared" si="5"/>
        <v>0</v>
      </c>
    </row>
    <row r="3739">
      <c r="A3739" s="1" t="s">
        <v>2818</v>
      </c>
      <c r="B3739" s="3" t="str">
        <f t="shared" si="1"/>
        <v>Unavailable</v>
      </c>
      <c r="C3739" s="5">
        <v>2669.0</v>
      </c>
      <c r="D3739" s="3">
        <f>IFERROR(__xludf.DUMMYFUNCTION("IFERROR(
IF(REGEXMATCH(LOWER(O3739),""k""),
VALUE(REGEXEXTRACT(O3739,""[0-9]+""))*1000,
VALUE(REGEXEXTRACT(O3739,""[0-9]+""))
),
0
)"),0.0)</f>
        <v>0</v>
      </c>
      <c r="E3739" s="1" t="s">
        <v>11</v>
      </c>
      <c r="F3739" s="1" t="s">
        <v>20</v>
      </c>
      <c r="G3739" s="4" t="b">
        <f t="shared" si="2"/>
        <v>1</v>
      </c>
      <c r="H3739" s="1" t="str">
        <f t="shared" si="3"/>
        <v>Currently Unavailable</v>
      </c>
      <c r="I3739" s="1" t="str">
        <f t="shared" si="4"/>
        <v>No Badges</v>
      </c>
      <c r="J3739" s="3">
        <f t="shared" si="5"/>
        <v>0</v>
      </c>
    </row>
    <row r="3740">
      <c r="A3740" s="1" t="s">
        <v>2819</v>
      </c>
      <c r="B3740" s="3" t="str">
        <f t="shared" si="1"/>
        <v>Unavailable</v>
      </c>
      <c r="C3740" s="3">
        <v>286.0</v>
      </c>
      <c r="D3740" s="3">
        <f>IFERROR(__xludf.DUMMYFUNCTION("IFERROR(
IF(REGEXMATCH(LOWER(O3740),""k""),
VALUE(REGEXEXTRACT(O3740,""[0-9]+""))*1000,
VALUE(REGEXEXTRACT(O3740,""[0-9]+""))
),
0
)"),0.0)</f>
        <v>0</v>
      </c>
      <c r="E3740" s="1" t="s">
        <v>11</v>
      </c>
      <c r="F3740" s="1" t="s">
        <v>20</v>
      </c>
      <c r="G3740" s="4" t="b">
        <f t="shared" si="2"/>
        <v>1</v>
      </c>
      <c r="H3740" s="1" t="str">
        <f t="shared" si="3"/>
        <v>Currently Unavailable</v>
      </c>
      <c r="I3740" s="1" t="str">
        <f t="shared" si="4"/>
        <v>No Badges</v>
      </c>
      <c r="J3740" s="3">
        <f t="shared" si="5"/>
        <v>0</v>
      </c>
    </row>
    <row r="3741">
      <c r="A3741" s="1" t="s">
        <v>2820</v>
      </c>
      <c r="B3741" s="3" t="str">
        <f t="shared" si="1"/>
        <v>Unavailable</v>
      </c>
      <c r="C3741" s="5">
        <v>2977.0</v>
      </c>
      <c r="D3741" s="3">
        <f>IFERROR(__xludf.DUMMYFUNCTION("IFERROR(
IF(REGEXMATCH(LOWER(O3741),""k""),
VALUE(REGEXEXTRACT(O3741,""[0-9]+""))*1000,
VALUE(REGEXEXTRACT(O3741,""[0-9]+""))
),
0
)"),0.0)</f>
        <v>0</v>
      </c>
      <c r="E3741" s="1" t="s">
        <v>18</v>
      </c>
      <c r="F3741" s="1" t="s">
        <v>20</v>
      </c>
      <c r="G3741" s="4" t="b">
        <f t="shared" si="2"/>
        <v>1</v>
      </c>
      <c r="H3741" s="1" t="str">
        <f t="shared" si="3"/>
        <v>Currently Unavailable</v>
      </c>
      <c r="I3741" s="1" t="str">
        <f t="shared" si="4"/>
        <v>No Badges</v>
      </c>
      <c r="J3741" s="3">
        <f t="shared" si="5"/>
        <v>0</v>
      </c>
    </row>
    <row r="3742">
      <c r="A3742" s="1" t="s">
        <v>2821</v>
      </c>
      <c r="B3742" s="3" t="str">
        <f t="shared" si="1"/>
        <v>Unavailable</v>
      </c>
      <c r="C3742" s="3">
        <v>408.0</v>
      </c>
      <c r="D3742" s="3">
        <f>IFERROR(__xludf.DUMMYFUNCTION("IFERROR(
IF(REGEXMATCH(LOWER(O3742),""k""),
VALUE(REGEXEXTRACT(O3742,""[0-9]+""))*1000,
VALUE(REGEXEXTRACT(O3742,""[0-9]+""))
),
0
)"),0.0)</f>
        <v>0</v>
      </c>
      <c r="E3742" s="1" t="s">
        <v>11</v>
      </c>
      <c r="F3742" s="1" t="s">
        <v>20</v>
      </c>
      <c r="G3742" s="4" t="b">
        <f t="shared" si="2"/>
        <v>1</v>
      </c>
      <c r="H3742" s="1" t="str">
        <f t="shared" si="3"/>
        <v>Currently Unavailable</v>
      </c>
      <c r="I3742" s="1" t="str">
        <f t="shared" si="4"/>
        <v>No Badges</v>
      </c>
      <c r="J3742" s="3">
        <f t="shared" si="5"/>
        <v>0</v>
      </c>
    </row>
    <row r="3743">
      <c r="A3743" s="1" t="s">
        <v>604</v>
      </c>
      <c r="B3743" s="3" t="str">
        <f t="shared" si="1"/>
        <v>Unavailable</v>
      </c>
      <c r="C3743" s="3">
        <v>30.0</v>
      </c>
      <c r="D3743" s="3">
        <f>IFERROR(__xludf.DUMMYFUNCTION("IFERROR(
IF(REGEXMATCH(LOWER(O3743),""k""),
VALUE(REGEXEXTRACT(O3743,""[0-9]+""))*1000,
VALUE(REGEXEXTRACT(O3743,""[0-9]+""))
),
0
)"),0.0)</f>
        <v>0</v>
      </c>
      <c r="E3743" s="1" t="s">
        <v>11</v>
      </c>
      <c r="F3743" s="1" t="s">
        <v>12</v>
      </c>
      <c r="G3743" s="4" t="b">
        <f t="shared" si="2"/>
        <v>1</v>
      </c>
      <c r="H3743" s="1" t="str">
        <f t="shared" si="3"/>
        <v>Currently Unavailable</v>
      </c>
      <c r="I3743" s="1" t="str">
        <f t="shared" si="4"/>
        <v>No Badges</v>
      </c>
      <c r="J3743" s="3">
        <f t="shared" si="5"/>
        <v>0</v>
      </c>
    </row>
    <row r="3744">
      <c r="A3744" s="1" t="s">
        <v>67</v>
      </c>
      <c r="B3744" s="3" t="str">
        <f t="shared" si="1"/>
        <v>Unavailable</v>
      </c>
      <c r="C3744" s="3">
        <v>264.0</v>
      </c>
      <c r="D3744" s="3">
        <f>IFERROR(__xludf.DUMMYFUNCTION("IFERROR(
IF(REGEXMATCH(LOWER(O3744),""k""),
VALUE(REGEXEXTRACT(O3744,""[0-9]+""))*1000,
VALUE(REGEXEXTRACT(O3744,""[0-9]+""))
),
0
)"),0.0)</f>
        <v>0</v>
      </c>
      <c r="E3744" s="1" t="s">
        <v>11</v>
      </c>
      <c r="F3744" s="1" t="s">
        <v>12</v>
      </c>
      <c r="G3744" s="4" t="b">
        <f t="shared" si="2"/>
        <v>1</v>
      </c>
      <c r="H3744" s="1" t="str">
        <f t="shared" si="3"/>
        <v>Currently Unavailable</v>
      </c>
      <c r="I3744" s="1" t="str">
        <f t="shared" si="4"/>
        <v>No Badges</v>
      </c>
      <c r="J3744" s="3">
        <f t="shared" si="5"/>
        <v>0</v>
      </c>
    </row>
    <row r="3745">
      <c r="A3745" s="1" t="s">
        <v>2352</v>
      </c>
      <c r="B3745" s="3" t="str">
        <f t="shared" si="1"/>
        <v>Unavailable</v>
      </c>
      <c r="C3745" s="3">
        <v>196.0</v>
      </c>
      <c r="D3745" s="3">
        <f>IFERROR(__xludf.DUMMYFUNCTION("IFERROR(
IF(REGEXMATCH(LOWER(O3745),""k""),
VALUE(REGEXEXTRACT(O3745,""[0-9]+""))*1000,
VALUE(REGEXEXTRACT(O3745,""[0-9]+""))
),
0
)"),0.0)</f>
        <v>0</v>
      </c>
      <c r="E3745" s="1" t="s">
        <v>18</v>
      </c>
      <c r="F3745" s="1" t="s">
        <v>12</v>
      </c>
      <c r="G3745" s="4" t="b">
        <f t="shared" si="2"/>
        <v>1</v>
      </c>
      <c r="H3745" s="1" t="str">
        <f t="shared" si="3"/>
        <v>Currently Unavailable</v>
      </c>
      <c r="I3745" s="1" t="str">
        <f t="shared" si="4"/>
        <v>No Badges</v>
      </c>
      <c r="J3745" s="3">
        <f t="shared" si="5"/>
        <v>0</v>
      </c>
    </row>
    <row r="3746">
      <c r="A3746" s="1" t="s">
        <v>2822</v>
      </c>
      <c r="B3746" s="3" t="str">
        <f t="shared" si="1"/>
        <v>Unavailable</v>
      </c>
      <c r="C3746" s="3">
        <v>685.0</v>
      </c>
      <c r="D3746" s="3">
        <f>IFERROR(__xludf.DUMMYFUNCTION("IFERROR(
IF(REGEXMATCH(LOWER(O3746),""k""),
VALUE(REGEXEXTRACT(O3746,""[0-9]+""))*1000,
VALUE(REGEXEXTRACT(O3746,""[0-9]+""))
),
0
)"),0.0)</f>
        <v>0</v>
      </c>
      <c r="E3746" s="1" t="s">
        <v>11</v>
      </c>
      <c r="F3746" s="1" t="s">
        <v>20</v>
      </c>
      <c r="G3746" s="4" t="b">
        <f t="shared" si="2"/>
        <v>1</v>
      </c>
      <c r="H3746" s="1" t="str">
        <f t="shared" si="3"/>
        <v>Currently Unavailable</v>
      </c>
      <c r="I3746" s="1" t="str">
        <f t="shared" si="4"/>
        <v>No Badges</v>
      </c>
      <c r="J3746" s="3">
        <f t="shared" si="5"/>
        <v>0</v>
      </c>
    </row>
    <row r="3747">
      <c r="A3747" s="1" t="s">
        <v>2823</v>
      </c>
      <c r="B3747" s="3" t="str">
        <f t="shared" si="1"/>
        <v>Unavailable</v>
      </c>
      <c r="C3747" s="5">
        <v>1786.0</v>
      </c>
      <c r="D3747" s="3">
        <f>IFERROR(__xludf.DUMMYFUNCTION("IFERROR(
IF(REGEXMATCH(LOWER(O3747),""k""),
VALUE(REGEXEXTRACT(O3747,""[0-9]+""))*1000,
VALUE(REGEXEXTRACT(O3747,""[0-9]+""))
),
0
)"),0.0)</f>
        <v>0</v>
      </c>
      <c r="E3747" s="1" t="s">
        <v>11</v>
      </c>
      <c r="F3747" s="1" t="s">
        <v>20</v>
      </c>
      <c r="G3747" s="4" t="b">
        <f t="shared" si="2"/>
        <v>1</v>
      </c>
      <c r="H3747" s="1" t="str">
        <f t="shared" si="3"/>
        <v>Currently Unavailable</v>
      </c>
      <c r="I3747" s="1" t="str">
        <f t="shared" si="4"/>
        <v>No Badges</v>
      </c>
      <c r="J3747" s="3">
        <f t="shared" si="5"/>
        <v>0</v>
      </c>
    </row>
    <row r="3748">
      <c r="A3748" s="1" t="s">
        <v>2824</v>
      </c>
      <c r="B3748" s="3" t="str">
        <f t="shared" si="1"/>
        <v>Unavailable</v>
      </c>
      <c r="C3748" s="3">
        <v>127.0</v>
      </c>
      <c r="D3748" s="3">
        <f>IFERROR(__xludf.DUMMYFUNCTION("IFERROR(
IF(REGEXMATCH(LOWER(O3748),""k""),
VALUE(REGEXEXTRACT(O3748,""[0-9]+""))*1000,
VALUE(REGEXEXTRACT(O3748,""[0-9]+""))
),
0
)"),0.0)</f>
        <v>0</v>
      </c>
      <c r="E3748" s="1" t="s">
        <v>11</v>
      </c>
      <c r="F3748" s="1" t="s">
        <v>20</v>
      </c>
      <c r="G3748" s="4" t="b">
        <f t="shared" si="2"/>
        <v>1</v>
      </c>
      <c r="H3748" s="1" t="str">
        <f t="shared" si="3"/>
        <v>Currently Unavailable</v>
      </c>
      <c r="I3748" s="1" t="str">
        <f t="shared" si="4"/>
        <v>No Badges</v>
      </c>
      <c r="J3748" s="3">
        <f t="shared" si="5"/>
        <v>0</v>
      </c>
    </row>
    <row r="3749">
      <c r="A3749" s="1" t="s">
        <v>2825</v>
      </c>
      <c r="B3749" s="3" t="str">
        <f t="shared" si="1"/>
        <v>Unavailable</v>
      </c>
      <c r="C3749" s="3">
        <v>282.0</v>
      </c>
      <c r="D3749" s="3">
        <f>IFERROR(__xludf.DUMMYFUNCTION("IFERROR(
IF(REGEXMATCH(LOWER(O3749),""k""),
VALUE(REGEXEXTRACT(O3749,""[0-9]+""))*1000,
VALUE(REGEXEXTRACT(O3749,""[0-9]+""))
),
0
)"),0.0)</f>
        <v>0</v>
      </c>
      <c r="E3749" s="1" t="s">
        <v>11</v>
      </c>
      <c r="F3749" s="1" t="s">
        <v>20</v>
      </c>
      <c r="G3749" s="4" t="b">
        <f t="shared" si="2"/>
        <v>1</v>
      </c>
      <c r="H3749" s="1" t="str">
        <f t="shared" si="3"/>
        <v>Currently Unavailable</v>
      </c>
      <c r="I3749" s="1" t="str">
        <f t="shared" si="4"/>
        <v>No Badges</v>
      </c>
      <c r="J3749" s="3">
        <f t="shared" si="5"/>
        <v>0</v>
      </c>
    </row>
    <row r="3750">
      <c r="A3750" s="1" t="s">
        <v>2826</v>
      </c>
      <c r="B3750" s="3" t="str">
        <f t="shared" si="1"/>
        <v>Unavailable</v>
      </c>
      <c r="C3750" s="5">
        <v>3068.0</v>
      </c>
      <c r="D3750" s="3">
        <f>IFERROR(__xludf.DUMMYFUNCTION("IFERROR(
IF(REGEXMATCH(LOWER(O3750),""k""),
VALUE(REGEXEXTRACT(O3750,""[0-9]+""))*1000,
VALUE(REGEXEXTRACT(O3750,""[0-9]+""))
),
0
)"),0.0)</f>
        <v>0</v>
      </c>
      <c r="E3750" s="1" t="s">
        <v>11</v>
      </c>
      <c r="F3750" s="1" t="s">
        <v>20</v>
      </c>
      <c r="G3750" s="4" t="b">
        <f t="shared" si="2"/>
        <v>1</v>
      </c>
      <c r="H3750" s="1" t="str">
        <f t="shared" si="3"/>
        <v>Currently Unavailable</v>
      </c>
      <c r="I3750" s="1" t="str">
        <f t="shared" si="4"/>
        <v>No Badges</v>
      </c>
      <c r="J3750" s="3">
        <f t="shared" si="5"/>
        <v>0</v>
      </c>
    </row>
    <row r="3751">
      <c r="A3751" s="1" t="s">
        <v>2827</v>
      </c>
      <c r="B3751" s="3" t="str">
        <f t="shared" si="1"/>
        <v>Unavailable</v>
      </c>
      <c r="C3751" s="3">
        <v>826.0</v>
      </c>
      <c r="D3751" s="3">
        <f>IFERROR(__xludf.DUMMYFUNCTION("IFERROR(
IF(REGEXMATCH(LOWER(O3751),""k""),
VALUE(REGEXEXTRACT(O3751,""[0-9]+""))*1000,
VALUE(REGEXEXTRACT(O3751,""[0-9]+""))
),
0
)"),0.0)</f>
        <v>0</v>
      </c>
      <c r="E3751" s="1" t="s">
        <v>11</v>
      </c>
      <c r="F3751" s="1" t="s">
        <v>20</v>
      </c>
      <c r="G3751" s="4" t="b">
        <f t="shared" si="2"/>
        <v>1</v>
      </c>
      <c r="H3751" s="1" t="str">
        <f t="shared" si="3"/>
        <v>Currently Unavailable</v>
      </c>
      <c r="I3751" s="1" t="str">
        <f t="shared" si="4"/>
        <v>No Badges</v>
      </c>
      <c r="J3751" s="3">
        <f t="shared" si="5"/>
        <v>0</v>
      </c>
    </row>
    <row r="3752">
      <c r="A3752" s="1" t="s">
        <v>2828</v>
      </c>
      <c r="B3752" s="3" t="str">
        <f t="shared" si="1"/>
        <v>Unavailable</v>
      </c>
      <c r="C3752" s="5">
        <v>34978.0</v>
      </c>
      <c r="D3752" s="3">
        <f>IFERROR(__xludf.DUMMYFUNCTION("IFERROR(
IF(REGEXMATCH(LOWER(O3752),""k""),
VALUE(REGEXEXTRACT(O3752,""[0-9]+""))*1000,
VALUE(REGEXEXTRACT(O3752,""[0-9]+""))
),
0
)"),0.0)</f>
        <v>0</v>
      </c>
      <c r="E3752" s="1" t="s">
        <v>18</v>
      </c>
      <c r="F3752" s="1" t="s">
        <v>20</v>
      </c>
      <c r="G3752" s="4" t="b">
        <f t="shared" si="2"/>
        <v>1</v>
      </c>
      <c r="H3752" s="1" t="str">
        <f t="shared" si="3"/>
        <v>Currently Unavailable</v>
      </c>
      <c r="I3752" s="1" t="str">
        <f t="shared" si="4"/>
        <v>No Badges</v>
      </c>
      <c r="J3752" s="3">
        <f t="shared" si="5"/>
        <v>0</v>
      </c>
    </row>
    <row r="3753">
      <c r="A3753" s="1" t="s">
        <v>2829</v>
      </c>
      <c r="B3753" s="3" t="str">
        <f t="shared" si="1"/>
        <v>Unavailable</v>
      </c>
      <c r="C3753" s="5">
        <v>11419.0</v>
      </c>
      <c r="D3753" s="3">
        <f>IFERROR(__xludf.DUMMYFUNCTION("IFERROR(
IF(REGEXMATCH(LOWER(O3753),""k""),
VALUE(REGEXEXTRACT(O3753,""[0-9]+""))*1000,
VALUE(REGEXEXTRACT(O3753,""[0-9]+""))
),
0
)"),0.0)</f>
        <v>0</v>
      </c>
      <c r="E3753" s="1" t="s">
        <v>11</v>
      </c>
      <c r="F3753" s="1" t="s">
        <v>20</v>
      </c>
      <c r="G3753" s="4" t="b">
        <f t="shared" si="2"/>
        <v>1</v>
      </c>
      <c r="H3753" s="1" t="str">
        <f t="shared" si="3"/>
        <v>Currently Unavailable</v>
      </c>
      <c r="I3753" s="1" t="str">
        <f t="shared" si="4"/>
        <v>No Badges</v>
      </c>
      <c r="J3753" s="3">
        <f t="shared" si="5"/>
        <v>0</v>
      </c>
    </row>
    <row r="3754">
      <c r="A3754" s="1" t="s">
        <v>2830</v>
      </c>
      <c r="B3754" s="3" t="str">
        <f t="shared" si="1"/>
        <v>Unavailable</v>
      </c>
      <c r="C3754" s="5">
        <v>3444.0</v>
      </c>
      <c r="D3754" s="3">
        <f>IFERROR(__xludf.DUMMYFUNCTION("IFERROR(
IF(REGEXMATCH(LOWER(O3754),""k""),
VALUE(REGEXEXTRACT(O3754,""[0-9]+""))*1000,
VALUE(REGEXEXTRACT(O3754,""[0-9]+""))
),
0
)"),0.0)</f>
        <v>0</v>
      </c>
      <c r="E3754" s="1" t="s">
        <v>11</v>
      </c>
      <c r="F3754" s="1" t="s">
        <v>20</v>
      </c>
      <c r="G3754" s="4" t="b">
        <f t="shared" si="2"/>
        <v>1</v>
      </c>
      <c r="H3754" s="1" t="str">
        <f t="shared" si="3"/>
        <v>Currently Unavailable</v>
      </c>
      <c r="I3754" s="1" t="str">
        <f t="shared" si="4"/>
        <v>No Badges</v>
      </c>
      <c r="J3754" s="3">
        <f t="shared" si="5"/>
        <v>0</v>
      </c>
    </row>
    <row r="3755">
      <c r="A3755" s="1" t="s">
        <v>2831</v>
      </c>
      <c r="B3755" s="3" t="str">
        <f t="shared" si="1"/>
        <v>Unavailable</v>
      </c>
      <c r="C3755" s="3">
        <v>640.0</v>
      </c>
      <c r="D3755" s="3">
        <f>IFERROR(__xludf.DUMMYFUNCTION("IFERROR(
IF(REGEXMATCH(LOWER(O3755),""k""),
VALUE(REGEXEXTRACT(O3755,""[0-9]+""))*1000,
VALUE(REGEXEXTRACT(O3755,""[0-9]+""))
),
0
)"),0.0)</f>
        <v>0</v>
      </c>
      <c r="E3755" s="1" t="s">
        <v>11</v>
      </c>
      <c r="F3755" s="1" t="s">
        <v>20</v>
      </c>
      <c r="G3755" s="4" t="b">
        <f t="shared" si="2"/>
        <v>1</v>
      </c>
      <c r="H3755" s="1" t="str">
        <f t="shared" si="3"/>
        <v>Currently Unavailable</v>
      </c>
      <c r="I3755" s="1" t="str">
        <f t="shared" si="4"/>
        <v>No Badges</v>
      </c>
      <c r="J3755" s="3">
        <f t="shared" si="5"/>
        <v>0</v>
      </c>
    </row>
    <row r="3756">
      <c r="A3756" s="1" t="s">
        <v>2832</v>
      </c>
      <c r="B3756" s="3" t="str">
        <f t="shared" si="1"/>
        <v>Unavailable</v>
      </c>
      <c r="C3756" s="5">
        <v>3184.0</v>
      </c>
      <c r="D3756" s="3">
        <f>IFERROR(__xludf.DUMMYFUNCTION("IFERROR(
IF(REGEXMATCH(LOWER(O3756),""k""),
VALUE(REGEXEXTRACT(O3756,""[0-9]+""))*1000,
VALUE(REGEXEXTRACT(O3756,""[0-9]+""))
),
0
)"),0.0)</f>
        <v>0</v>
      </c>
      <c r="E3756" s="1" t="s">
        <v>11</v>
      </c>
      <c r="F3756" s="1" t="s">
        <v>20</v>
      </c>
      <c r="G3756" s="4" t="b">
        <f t="shared" si="2"/>
        <v>1</v>
      </c>
      <c r="H3756" s="1" t="str">
        <f t="shared" si="3"/>
        <v>Currently Unavailable</v>
      </c>
      <c r="I3756" s="1" t="str">
        <f t="shared" si="4"/>
        <v>No Badges</v>
      </c>
      <c r="J3756" s="3">
        <f t="shared" si="5"/>
        <v>0</v>
      </c>
    </row>
    <row r="3757">
      <c r="A3757" s="1" t="s">
        <v>2833</v>
      </c>
      <c r="B3757" s="3" t="str">
        <f t="shared" si="1"/>
        <v>Unavailable</v>
      </c>
      <c r="C3757" s="3">
        <v>87.0</v>
      </c>
      <c r="D3757" s="3">
        <f>IFERROR(__xludf.DUMMYFUNCTION("IFERROR(
IF(REGEXMATCH(LOWER(O3757),""k""),
VALUE(REGEXEXTRACT(O3757,""[0-9]+""))*1000,
VALUE(REGEXEXTRACT(O3757,""[0-9]+""))
),
0
)"),0.0)</f>
        <v>0</v>
      </c>
      <c r="E3757" s="1" t="s">
        <v>11</v>
      </c>
      <c r="F3757" s="1" t="s">
        <v>20</v>
      </c>
      <c r="G3757" s="4" t="b">
        <f t="shared" si="2"/>
        <v>1</v>
      </c>
      <c r="H3757" s="1" t="str">
        <f t="shared" si="3"/>
        <v>Currently Unavailable</v>
      </c>
      <c r="I3757" s="1" t="str">
        <f t="shared" si="4"/>
        <v>No Badges</v>
      </c>
      <c r="J3757" s="3">
        <f t="shared" si="5"/>
        <v>0</v>
      </c>
    </row>
    <row r="3758">
      <c r="A3758" s="1" t="s">
        <v>2834</v>
      </c>
      <c r="B3758" s="3" t="str">
        <f t="shared" si="1"/>
        <v>Unavailable</v>
      </c>
      <c r="C3758" s="3">
        <v>918.0</v>
      </c>
      <c r="D3758" s="3">
        <f>IFERROR(__xludf.DUMMYFUNCTION("IFERROR(
IF(REGEXMATCH(LOWER(O3758),""k""),
VALUE(REGEXEXTRACT(O3758,""[0-9]+""))*1000,
VALUE(REGEXEXTRACT(O3758,""[0-9]+""))
),
0
)"),0.0)</f>
        <v>0</v>
      </c>
      <c r="E3758" s="1" t="s">
        <v>11</v>
      </c>
      <c r="F3758" s="1" t="s">
        <v>20</v>
      </c>
      <c r="G3758" s="4" t="b">
        <f t="shared" si="2"/>
        <v>1</v>
      </c>
      <c r="H3758" s="1" t="str">
        <f t="shared" si="3"/>
        <v>Currently Unavailable</v>
      </c>
      <c r="I3758" s="1" t="str">
        <f t="shared" si="4"/>
        <v>No Badges</v>
      </c>
      <c r="J3758" s="3">
        <f t="shared" si="5"/>
        <v>0</v>
      </c>
    </row>
    <row r="3759">
      <c r="A3759" s="1" t="s">
        <v>2835</v>
      </c>
      <c r="B3759" s="3" t="str">
        <f t="shared" si="1"/>
        <v>Unavailable</v>
      </c>
      <c r="C3759" s="5">
        <v>2448.0</v>
      </c>
      <c r="D3759" s="3">
        <f>IFERROR(__xludf.DUMMYFUNCTION("IFERROR(
IF(REGEXMATCH(LOWER(O3759),""k""),
VALUE(REGEXEXTRACT(O3759,""[0-9]+""))*1000,
VALUE(REGEXEXTRACT(O3759,""[0-9]+""))
),
0
)"),0.0)</f>
        <v>0</v>
      </c>
      <c r="E3759" s="1" t="s">
        <v>11</v>
      </c>
      <c r="F3759" s="1" t="s">
        <v>20</v>
      </c>
      <c r="G3759" s="4" t="b">
        <f t="shared" si="2"/>
        <v>1</v>
      </c>
      <c r="H3759" s="1" t="str">
        <f t="shared" si="3"/>
        <v>Currently Unavailable</v>
      </c>
      <c r="I3759" s="1" t="str">
        <f t="shared" si="4"/>
        <v>No Badges</v>
      </c>
      <c r="J3759" s="3">
        <f t="shared" si="5"/>
        <v>0</v>
      </c>
    </row>
    <row r="3760">
      <c r="A3760" s="1" t="s">
        <v>701</v>
      </c>
      <c r="B3760" s="3" t="str">
        <f t="shared" si="1"/>
        <v>Unavailable</v>
      </c>
      <c r="C3760" s="3">
        <v>8.0</v>
      </c>
      <c r="D3760" s="3">
        <f>IFERROR(__xludf.DUMMYFUNCTION("IFERROR(
IF(REGEXMATCH(LOWER(O3760),""k""),
VALUE(REGEXEXTRACT(O3760,""[0-9]+""))*1000,
VALUE(REGEXEXTRACT(O3760,""[0-9]+""))
),
0
)"),0.0)</f>
        <v>0</v>
      </c>
      <c r="E3760" s="1" t="s">
        <v>11</v>
      </c>
      <c r="F3760" s="1" t="s">
        <v>12</v>
      </c>
      <c r="G3760" s="4" t="b">
        <f t="shared" si="2"/>
        <v>1</v>
      </c>
      <c r="H3760" s="1" t="str">
        <f t="shared" si="3"/>
        <v>Currently Unavailable</v>
      </c>
      <c r="I3760" s="1" t="str">
        <f t="shared" si="4"/>
        <v>No Badges</v>
      </c>
      <c r="J3760" s="3">
        <f t="shared" si="5"/>
        <v>0</v>
      </c>
    </row>
    <row r="3761">
      <c r="A3761" s="1" t="s">
        <v>2836</v>
      </c>
      <c r="B3761" s="3" t="str">
        <f t="shared" si="1"/>
        <v>Unavailable</v>
      </c>
      <c r="C3761" s="3">
        <v>122.0</v>
      </c>
      <c r="D3761" s="3">
        <f>IFERROR(__xludf.DUMMYFUNCTION("IFERROR(
IF(REGEXMATCH(LOWER(O3761),""k""),
VALUE(REGEXEXTRACT(O3761,""[0-9]+""))*1000,
VALUE(REGEXEXTRACT(O3761,""[0-9]+""))
),
0
)"),0.0)</f>
        <v>0</v>
      </c>
      <c r="E3761" s="1" t="s">
        <v>11</v>
      </c>
      <c r="F3761" s="1" t="s">
        <v>20</v>
      </c>
      <c r="G3761" s="4" t="b">
        <f t="shared" si="2"/>
        <v>1</v>
      </c>
      <c r="H3761" s="1" t="str">
        <f t="shared" si="3"/>
        <v>Currently Unavailable</v>
      </c>
      <c r="I3761" s="1" t="str">
        <f t="shared" si="4"/>
        <v>No Badges</v>
      </c>
      <c r="J3761" s="3">
        <f t="shared" si="5"/>
        <v>0</v>
      </c>
    </row>
    <row r="3762">
      <c r="A3762" s="1" t="s">
        <v>2837</v>
      </c>
      <c r="B3762" s="3" t="str">
        <f t="shared" si="1"/>
        <v>Unavailable</v>
      </c>
      <c r="C3762" s="3">
        <v>524.0</v>
      </c>
      <c r="D3762" s="3">
        <f>IFERROR(__xludf.DUMMYFUNCTION("IFERROR(
IF(REGEXMATCH(LOWER(O3762),""k""),
VALUE(REGEXEXTRACT(O3762,""[0-9]+""))*1000,
VALUE(REGEXEXTRACT(O3762,""[0-9]+""))
),
0
)"),0.0)</f>
        <v>0</v>
      </c>
      <c r="E3762" s="1" t="s">
        <v>11</v>
      </c>
      <c r="F3762" s="1" t="s">
        <v>20</v>
      </c>
      <c r="G3762" s="4" t="b">
        <f t="shared" si="2"/>
        <v>1</v>
      </c>
      <c r="H3762" s="1" t="str">
        <f t="shared" si="3"/>
        <v>Currently Unavailable</v>
      </c>
      <c r="I3762" s="1" t="str">
        <f t="shared" si="4"/>
        <v>No Badges</v>
      </c>
      <c r="J3762" s="3">
        <f t="shared" si="5"/>
        <v>0</v>
      </c>
    </row>
    <row r="3763">
      <c r="A3763" s="1" t="s">
        <v>69</v>
      </c>
      <c r="B3763" s="3" t="str">
        <f t="shared" si="1"/>
        <v>Unavailable</v>
      </c>
      <c r="C3763" s="3">
        <v>45.0</v>
      </c>
      <c r="D3763" s="3">
        <f>IFERROR(__xludf.DUMMYFUNCTION("IFERROR(
IF(REGEXMATCH(LOWER(O3763),""k""),
VALUE(REGEXEXTRACT(O3763,""[0-9]+""))*1000,
VALUE(REGEXEXTRACT(O3763,""[0-9]+""))
),
0
)"),0.0)</f>
        <v>0</v>
      </c>
      <c r="E3763" s="1" t="s">
        <v>11</v>
      </c>
      <c r="F3763" s="1" t="s">
        <v>12</v>
      </c>
      <c r="G3763" s="4" t="b">
        <f t="shared" si="2"/>
        <v>1</v>
      </c>
      <c r="H3763" s="1" t="str">
        <f t="shared" si="3"/>
        <v>Currently Unavailable</v>
      </c>
      <c r="I3763" s="1" t="str">
        <f t="shared" si="4"/>
        <v>No Badges</v>
      </c>
      <c r="J3763" s="3">
        <f t="shared" si="5"/>
        <v>0</v>
      </c>
    </row>
    <row r="3764">
      <c r="A3764" s="1" t="s">
        <v>2838</v>
      </c>
      <c r="B3764" s="3" t="str">
        <f t="shared" si="1"/>
        <v>Unavailable</v>
      </c>
      <c r="C3764" s="5">
        <v>1059.0</v>
      </c>
      <c r="D3764" s="3">
        <f>IFERROR(__xludf.DUMMYFUNCTION("IFERROR(
IF(REGEXMATCH(LOWER(O3764),""k""),
VALUE(REGEXEXTRACT(O3764,""[0-9]+""))*1000,
VALUE(REGEXEXTRACT(O3764,""[0-9]+""))
),
0
)"),0.0)</f>
        <v>0</v>
      </c>
      <c r="E3764" s="1" t="s">
        <v>11</v>
      </c>
      <c r="F3764" s="1" t="s">
        <v>20</v>
      </c>
      <c r="G3764" s="4" t="b">
        <f t="shared" si="2"/>
        <v>1</v>
      </c>
      <c r="H3764" s="1" t="str">
        <f t="shared" si="3"/>
        <v>Currently Unavailable</v>
      </c>
      <c r="I3764" s="1" t="str">
        <f t="shared" si="4"/>
        <v>No Badges</v>
      </c>
      <c r="J3764" s="3">
        <f t="shared" si="5"/>
        <v>0</v>
      </c>
    </row>
    <row r="3765">
      <c r="A3765" s="1" t="s">
        <v>2839</v>
      </c>
      <c r="B3765" s="3" t="str">
        <f t="shared" si="1"/>
        <v>Unavailable</v>
      </c>
      <c r="C3765" s="3">
        <v>764.0</v>
      </c>
      <c r="D3765" s="3">
        <f>IFERROR(__xludf.DUMMYFUNCTION("IFERROR(
IF(REGEXMATCH(LOWER(O3765),""k""),
VALUE(REGEXEXTRACT(O3765,""[0-9]+""))*1000,
VALUE(REGEXEXTRACT(O3765,""[0-9]+""))
),
0
)"),0.0)</f>
        <v>0</v>
      </c>
      <c r="E3765" s="1" t="s">
        <v>11</v>
      </c>
      <c r="F3765" s="1" t="s">
        <v>20</v>
      </c>
      <c r="G3765" s="4" t="b">
        <f t="shared" si="2"/>
        <v>1</v>
      </c>
      <c r="H3765" s="1" t="str">
        <f t="shared" si="3"/>
        <v>Currently Unavailable</v>
      </c>
      <c r="I3765" s="1" t="str">
        <f t="shared" si="4"/>
        <v>No Badges</v>
      </c>
      <c r="J3765" s="3">
        <f t="shared" si="5"/>
        <v>0</v>
      </c>
    </row>
    <row r="3766">
      <c r="A3766" s="1" t="s">
        <v>2840</v>
      </c>
      <c r="B3766" s="3" t="str">
        <f t="shared" si="1"/>
        <v>Unavailable</v>
      </c>
      <c r="C3766" s="5">
        <v>1104.0</v>
      </c>
      <c r="D3766" s="3">
        <f>IFERROR(__xludf.DUMMYFUNCTION("IFERROR(
IF(REGEXMATCH(LOWER(O3766),""k""),
VALUE(REGEXEXTRACT(O3766,""[0-9]+""))*1000,
VALUE(REGEXEXTRACT(O3766,""[0-9]+""))
),
0
)"),0.0)</f>
        <v>0</v>
      </c>
      <c r="E3766" s="1" t="s">
        <v>11</v>
      </c>
      <c r="F3766" s="1" t="s">
        <v>20</v>
      </c>
      <c r="G3766" s="4" t="b">
        <f t="shared" si="2"/>
        <v>1</v>
      </c>
      <c r="H3766" s="1" t="str">
        <f t="shared" si="3"/>
        <v>Currently Unavailable</v>
      </c>
      <c r="I3766" s="1" t="str">
        <f t="shared" si="4"/>
        <v>No Badges</v>
      </c>
      <c r="J3766" s="3">
        <f t="shared" si="5"/>
        <v>0</v>
      </c>
    </row>
    <row r="3767">
      <c r="A3767" s="1" t="s">
        <v>2841</v>
      </c>
      <c r="B3767" s="3" t="str">
        <f t="shared" si="1"/>
        <v>Unavailable</v>
      </c>
      <c r="C3767" s="5">
        <v>7160.0</v>
      </c>
      <c r="D3767" s="3">
        <f>IFERROR(__xludf.DUMMYFUNCTION("IFERROR(
IF(REGEXMATCH(LOWER(O3767),""k""),
VALUE(REGEXEXTRACT(O3767,""[0-9]+""))*1000,
VALUE(REGEXEXTRACT(O3767,""[0-9]+""))
),
0
)"),0.0)</f>
        <v>0</v>
      </c>
      <c r="E3767" s="1" t="s">
        <v>11</v>
      </c>
      <c r="F3767" s="1" t="s">
        <v>20</v>
      </c>
      <c r="G3767" s="4" t="b">
        <f t="shared" si="2"/>
        <v>1</v>
      </c>
      <c r="H3767" s="1" t="str">
        <f t="shared" si="3"/>
        <v>Currently Unavailable</v>
      </c>
      <c r="I3767" s="1" t="str">
        <f t="shared" si="4"/>
        <v>No Badges</v>
      </c>
      <c r="J3767" s="3">
        <f t="shared" si="5"/>
        <v>0</v>
      </c>
    </row>
    <row r="3768">
      <c r="A3768" s="1" t="s">
        <v>2842</v>
      </c>
      <c r="B3768" s="3" t="str">
        <f t="shared" si="1"/>
        <v>Unavailable</v>
      </c>
      <c r="C3768" s="5">
        <v>2022.0</v>
      </c>
      <c r="D3768" s="3">
        <f>IFERROR(__xludf.DUMMYFUNCTION("IFERROR(
IF(REGEXMATCH(LOWER(O3768),""k""),
VALUE(REGEXEXTRACT(O3768,""[0-9]+""))*1000,
VALUE(REGEXEXTRACT(O3768,""[0-9]+""))
),
0
)"),0.0)</f>
        <v>0</v>
      </c>
      <c r="E3768" s="1" t="s">
        <v>11</v>
      </c>
      <c r="F3768" s="1" t="s">
        <v>20</v>
      </c>
      <c r="G3768" s="4" t="b">
        <f t="shared" si="2"/>
        <v>1</v>
      </c>
      <c r="H3768" s="1" t="str">
        <f t="shared" si="3"/>
        <v>Currently Unavailable</v>
      </c>
      <c r="I3768" s="1" t="str">
        <f t="shared" si="4"/>
        <v>No Badges</v>
      </c>
      <c r="J3768" s="3">
        <f t="shared" si="5"/>
        <v>0</v>
      </c>
    </row>
    <row r="3769">
      <c r="A3769" s="1" t="s">
        <v>2843</v>
      </c>
      <c r="B3769" s="3" t="str">
        <f t="shared" si="1"/>
        <v>Unavailable</v>
      </c>
      <c r="C3769" s="5">
        <v>1051.0</v>
      </c>
      <c r="D3769" s="3">
        <f>IFERROR(__xludf.DUMMYFUNCTION("IFERROR(
IF(REGEXMATCH(LOWER(O3769),""k""),
VALUE(REGEXEXTRACT(O3769,""[0-9]+""))*1000,
VALUE(REGEXEXTRACT(O3769,""[0-9]+""))
),
0
)"),0.0)</f>
        <v>0</v>
      </c>
      <c r="E3769" s="1" t="s">
        <v>11</v>
      </c>
      <c r="F3769" s="1" t="s">
        <v>20</v>
      </c>
      <c r="G3769" s="4" t="b">
        <f t="shared" si="2"/>
        <v>1</v>
      </c>
      <c r="H3769" s="1" t="str">
        <f t="shared" si="3"/>
        <v>Currently Unavailable</v>
      </c>
      <c r="I3769" s="1" t="str">
        <f t="shared" si="4"/>
        <v>No Badges</v>
      </c>
      <c r="J3769" s="3">
        <f t="shared" si="5"/>
        <v>0</v>
      </c>
    </row>
    <row r="3770">
      <c r="A3770" s="1" t="s">
        <v>2844</v>
      </c>
      <c r="B3770" s="3" t="str">
        <f t="shared" si="1"/>
        <v>Unavailable</v>
      </c>
      <c r="C3770" s="3">
        <v>263.0</v>
      </c>
      <c r="D3770" s="3">
        <f>IFERROR(__xludf.DUMMYFUNCTION("IFERROR(
IF(REGEXMATCH(LOWER(O3770),""k""),
VALUE(REGEXEXTRACT(O3770,""[0-9]+""))*1000,
VALUE(REGEXEXTRACT(O3770,""[0-9]+""))
),
0
)"),0.0)</f>
        <v>0</v>
      </c>
      <c r="E3770" s="1" t="s">
        <v>11</v>
      </c>
      <c r="F3770" s="1" t="s">
        <v>20</v>
      </c>
      <c r="G3770" s="4" t="b">
        <f t="shared" si="2"/>
        <v>1</v>
      </c>
      <c r="H3770" s="1" t="str">
        <f t="shared" si="3"/>
        <v>Currently Unavailable</v>
      </c>
      <c r="I3770" s="1" t="str">
        <f t="shared" si="4"/>
        <v>No Badges</v>
      </c>
      <c r="J3770" s="3">
        <f t="shared" si="5"/>
        <v>0</v>
      </c>
    </row>
    <row r="3771">
      <c r="A3771" s="1" t="s">
        <v>2845</v>
      </c>
      <c r="B3771" s="3" t="str">
        <f t="shared" si="1"/>
        <v>Unavailable</v>
      </c>
      <c r="C3771" s="3">
        <v>531.0</v>
      </c>
      <c r="D3771" s="3">
        <f>IFERROR(__xludf.DUMMYFUNCTION("IFERROR(
IF(REGEXMATCH(LOWER(O3771),""k""),
VALUE(REGEXEXTRACT(O3771,""[0-9]+""))*1000,
VALUE(REGEXEXTRACT(O3771,""[0-9]+""))
),
0
)"),0.0)</f>
        <v>0</v>
      </c>
      <c r="E3771" s="1" t="s">
        <v>11</v>
      </c>
      <c r="F3771" s="1" t="s">
        <v>20</v>
      </c>
      <c r="G3771" s="4" t="b">
        <f t="shared" si="2"/>
        <v>1</v>
      </c>
      <c r="H3771" s="1" t="str">
        <f t="shared" si="3"/>
        <v>Currently Unavailable</v>
      </c>
      <c r="I3771" s="1" t="str">
        <f t="shared" si="4"/>
        <v>No Badges</v>
      </c>
      <c r="J3771" s="3">
        <f t="shared" si="5"/>
        <v>0</v>
      </c>
    </row>
    <row r="3772">
      <c r="A3772" s="1" t="s">
        <v>2846</v>
      </c>
      <c r="B3772" s="3" t="str">
        <f t="shared" si="1"/>
        <v>Unavailable</v>
      </c>
      <c r="C3772" s="5">
        <v>5871.0</v>
      </c>
      <c r="D3772" s="3">
        <f>IFERROR(__xludf.DUMMYFUNCTION("IFERROR(
IF(REGEXMATCH(LOWER(O3772),""k""),
VALUE(REGEXEXTRACT(O3772,""[0-9]+""))*1000,
VALUE(REGEXEXTRACT(O3772,""[0-9]+""))
),
0
)"),0.0)</f>
        <v>0</v>
      </c>
      <c r="E3772" s="1" t="s">
        <v>11</v>
      </c>
      <c r="F3772" s="1" t="s">
        <v>20</v>
      </c>
      <c r="G3772" s="4" t="b">
        <f t="shared" si="2"/>
        <v>1</v>
      </c>
      <c r="H3772" s="1" t="str">
        <f t="shared" si="3"/>
        <v>Currently Unavailable</v>
      </c>
      <c r="I3772" s="1" t="str">
        <f t="shared" si="4"/>
        <v>No Badges</v>
      </c>
      <c r="J3772" s="3">
        <f t="shared" si="5"/>
        <v>0</v>
      </c>
    </row>
    <row r="3773">
      <c r="A3773" s="1" t="s">
        <v>2847</v>
      </c>
      <c r="B3773" s="3" t="str">
        <f t="shared" si="1"/>
        <v>Unavailable</v>
      </c>
      <c r="C3773" s="3">
        <v>999.0</v>
      </c>
      <c r="D3773" s="3">
        <f>IFERROR(__xludf.DUMMYFUNCTION("IFERROR(
IF(REGEXMATCH(LOWER(O3773),""k""),
VALUE(REGEXEXTRACT(O3773,""[0-9]+""))*1000,
VALUE(REGEXEXTRACT(O3773,""[0-9]+""))
),
0
)"),0.0)</f>
        <v>0</v>
      </c>
      <c r="E3773" s="1" t="s">
        <v>11</v>
      </c>
      <c r="F3773" s="1" t="s">
        <v>20</v>
      </c>
      <c r="G3773" s="4" t="b">
        <f t="shared" si="2"/>
        <v>1</v>
      </c>
      <c r="H3773" s="1" t="str">
        <f t="shared" si="3"/>
        <v>Currently Unavailable</v>
      </c>
      <c r="I3773" s="1" t="str">
        <f t="shared" si="4"/>
        <v>No Badges</v>
      </c>
      <c r="J3773" s="3">
        <f t="shared" si="5"/>
        <v>0</v>
      </c>
    </row>
    <row r="3774">
      <c r="A3774" s="1" t="s">
        <v>2848</v>
      </c>
      <c r="B3774" s="3" t="str">
        <f t="shared" si="1"/>
        <v>Unavailable</v>
      </c>
      <c r="C3774" s="5">
        <v>3247.0</v>
      </c>
      <c r="D3774" s="3">
        <f>IFERROR(__xludf.DUMMYFUNCTION("IFERROR(
IF(REGEXMATCH(LOWER(O3774),""k""),
VALUE(REGEXEXTRACT(O3774,""[0-9]+""))*1000,
VALUE(REGEXEXTRACT(O3774,""[0-9]+""))
),
0
)"),0.0)</f>
        <v>0</v>
      </c>
      <c r="E3774" s="1" t="s">
        <v>11</v>
      </c>
      <c r="F3774" s="1" t="s">
        <v>20</v>
      </c>
      <c r="G3774" s="4" t="b">
        <f t="shared" si="2"/>
        <v>1</v>
      </c>
      <c r="H3774" s="1" t="str">
        <f t="shared" si="3"/>
        <v>Currently Unavailable</v>
      </c>
      <c r="I3774" s="1" t="str">
        <f t="shared" si="4"/>
        <v>No Badges</v>
      </c>
      <c r="J3774" s="3">
        <f t="shared" si="5"/>
        <v>0</v>
      </c>
    </row>
    <row r="3775">
      <c r="A3775" s="1" t="s">
        <v>2849</v>
      </c>
      <c r="B3775" s="3" t="str">
        <f t="shared" si="1"/>
        <v>Unavailable</v>
      </c>
      <c r="C3775" s="5">
        <v>1096.0</v>
      </c>
      <c r="D3775" s="3">
        <f>IFERROR(__xludf.DUMMYFUNCTION("IFERROR(
IF(REGEXMATCH(LOWER(O3775),""k""),
VALUE(REGEXEXTRACT(O3775,""[0-9]+""))*1000,
VALUE(REGEXEXTRACT(O3775,""[0-9]+""))
),
0
)"),0.0)</f>
        <v>0</v>
      </c>
      <c r="E3775" s="1" t="s">
        <v>11</v>
      </c>
      <c r="F3775" s="1" t="s">
        <v>20</v>
      </c>
      <c r="G3775" s="4" t="b">
        <f t="shared" si="2"/>
        <v>1</v>
      </c>
      <c r="H3775" s="1" t="str">
        <f t="shared" si="3"/>
        <v>Currently Unavailable</v>
      </c>
      <c r="I3775" s="1" t="str">
        <f t="shared" si="4"/>
        <v>No Badges</v>
      </c>
      <c r="J3775" s="3">
        <f t="shared" si="5"/>
        <v>0</v>
      </c>
    </row>
    <row r="3776">
      <c r="A3776" s="1" t="s">
        <v>67</v>
      </c>
      <c r="B3776" s="3" t="str">
        <f t="shared" si="1"/>
        <v>Unavailable</v>
      </c>
      <c r="C3776" s="3">
        <v>264.0</v>
      </c>
      <c r="D3776" s="3">
        <f>IFERROR(__xludf.DUMMYFUNCTION("IFERROR(
IF(REGEXMATCH(LOWER(O3776),""k""),
VALUE(REGEXEXTRACT(O3776,""[0-9]+""))*1000,
VALUE(REGEXEXTRACT(O3776,""[0-9]+""))
),
0
)"),0.0)</f>
        <v>0</v>
      </c>
      <c r="E3776" s="1" t="s">
        <v>11</v>
      </c>
      <c r="F3776" s="1" t="s">
        <v>12</v>
      </c>
      <c r="G3776" s="4" t="b">
        <f t="shared" si="2"/>
        <v>1</v>
      </c>
      <c r="H3776" s="1" t="str">
        <f t="shared" si="3"/>
        <v>Currently Unavailable</v>
      </c>
      <c r="I3776" s="1" t="str">
        <f t="shared" si="4"/>
        <v>No Badges</v>
      </c>
      <c r="J3776" s="3">
        <f t="shared" si="5"/>
        <v>0</v>
      </c>
    </row>
    <row r="3777">
      <c r="A3777" s="1" t="s">
        <v>2850</v>
      </c>
      <c r="B3777" s="3" t="str">
        <f t="shared" si="1"/>
        <v>Unavailable</v>
      </c>
      <c r="C3777" s="3">
        <v>15.0</v>
      </c>
      <c r="D3777" s="3">
        <f>IFERROR(__xludf.DUMMYFUNCTION("IFERROR(
IF(REGEXMATCH(LOWER(O3777),""k""),
VALUE(REGEXEXTRACT(O3777,""[0-9]+""))*1000,
VALUE(REGEXEXTRACT(O3777,""[0-9]+""))
),
0
)"),0.0)</f>
        <v>0</v>
      </c>
      <c r="E3777" s="1" t="s">
        <v>11</v>
      </c>
      <c r="F3777" s="1" t="s">
        <v>20</v>
      </c>
      <c r="G3777" s="4" t="b">
        <f t="shared" si="2"/>
        <v>1</v>
      </c>
      <c r="H3777" s="1" t="str">
        <f t="shared" si="3"/>
        <v>Currently Unavailable</v>
      </c>
      <c r="I3777" s="1" t="str">
        <f t="shared" si="4"/>
        <v>No Badges</v>
      </c>
      <c r="J3777" s="3">
        <f t="shared" si="5"/>
        <v>0</v>
      </c>
    </row>
    <row r="3778">
      <c r="A3778" s="1" t="s">
        <v>701</v>
      </c>
      <c r="B3778" s="3" t="str">
        <f t="shared" si="1"/>
        <v>Unavailable</v>
      </c>
      <c r="C3778" s="3">
        <v>8.0</v>
      </c>
      <c r="D3778" s="3">
        <f>IFERROR(__xludf.DUMMYFUNCTION("IFERROR(
IF(REGEXMATCH(LOWER(O3778),""k""),
VALUE(REGEXEXTRACT(O3778,""[0-9]+""))*1000,
VALUE(REGEXEXTRACT(O3778,""[0-9]+""))
),
0
)"),0.0)</f>
        <v>0</v>
      </c>
      <c r="E3778" s="1" t="s">
        <v>11</v>
      </c>
      <c r="F3778" s="1" t="s">
        <v>12</v>
      </c>
      <c r="G3778" s="4" t="b">
        <f t="shared" si="2"/>
        <v>1</v>
      </c>
      <c r="H3778" s="1" t="str">
        <f t="shared" si="3"/>
        <v>Currently Unavailable</v>
      </c>
      <c r="I3778" s="1" t="str">
        <f t="shared" si="4"/>
        <v>No Badges</v>
      </c>
      <c r="J3778" s="3">
        <f t="shared" si="5"/>
        <v>0</v>
      </c>
    </row>
    <row r="3779">
      <c r="A3779" s="1" t="s">
        <v>2851</v>
      </c>
      <c r="B3779" s="3" t="str">
        <f t="shared" si="1"/>
        <v>Unavailable</v>
      </c>
      <c r="C3779" s="5">
        <v>6378.0</v>
      </c>
      <c r="D3779" s="3">
        <f>IFERROR(__xludf.DUMMYFUNCTION("IFERROR(
IF(REGEXMATCH(LOWER(O3779),""k""),
VALUE(REGEXEXTRACT(O3779,""[0-9]+""))*1000,
VALUE(REGEXEXTRACT(O3779,""[0-9]+""))
),
0
)"),0.0)</f>
        <v>0</v>
      </c>
      <c r="E3779" s="1" t="s">
        <v>11</v>
      </c>
      <c r="F3779" s="1" t="s">
        <v>20</v>
      </c>
      <c r="G3779" s="4" t="b">
        <f t="shared" si="2"/>
        <v>1</v>
      </c>
      <c r="H3779" s="1" t="str">
        <f t="shared" si="3"/>
        <v>Currently Unavailable</v>
      </c>
      <c r="I3779" s="1" t="str">
        <f t="shared" si="4"/>
        <v>No Badges</v>
      </c>
      <c r="J3779" s="3">
        <f t="shared" si="5"/>
        <v>0</v>
      </c>
    </row>
    <row r="3780">
      <c r="A3780" s="1" t="s">
        <v>2852</v>
      </c>
      <c r="B3780" s="3" t="str">
        <f t="shared" si="1"/>
        <v>Unavailable</v>
      </c>
      <c r="C3780" s="3">
        <v>218.0</v>
      </c>
      <c r="D3780" s="3">
        <f>IFERROR(__xludf.DUMMYFUNCTION("IFERROR(
IF(REGEXMATCH(LOWER(O3780),""k""),
VALUE(REGEXEXTRACT(O3780,""[0-9]+""))*1000,
VALUE(REGEXEXTRACT(O3780,""[0-9]+""))
),
0
)"),0.0)</f>
        <v>0</v>
      </c>
      <c r="E3780" s="1" t="s">
        <v>11</v>
      </c>
      <c r="F3780" s="1" t="s">
        <v>20</v>
      </c>
      <c r="G3780" s="4" t="b">
        <f t="shared" si="2"/>
        <v>1</v>
      </c>
      <c r="H3780" s="1" t="str">
        <f t="shared" si="3"/>
        <v>Currently Unavailable</v>
      </c>
      <c r="I3780" s="1" t="str">
        <f t="shared" si="4"/>
        <v>No Badges</v>
      </c>
      <c r="J3780" s="3">
        <f t="shared" si="5"/>
        <v>0</v>
      </c>
    </row>
    <row r="3781">
      <c r="A3781" s="1" t="s">
        <v>2853</v>
      </c>
      <c r="B3781" s="3" t="str">
        <f t="shared" si="1"/>
        <v>Unavailable</v>
      </c>
      <c r="C3781" s="3">
        <v>62.0</v>
      </c>
      <c r="D3781" s="3">
        <f>IFERROR(__xludf.DUMMYFUNCTION("IFERROR(
IF(REGEXMATCH(LOWER(O3781),""k""),
VALUE(REGEXEXTRACT(O3781,""[0-9]+""))*1000,
VALUE(REGEXEXTRACT(O3781,""[0-9]+""))
),
0
)"),0.0)</f>
        <v>0</v>
      </c>
      <c r="E3781" s="1" t="s">
        <v>11</v>
      </c>
      <c r="F3781" s="1" t="s">
        <v>20</v>
      </c>
      <c r="G3781" s="4" t="b">
        <f t="shared" si="2"/>
        <v>1</v>
      </c>
      <c r="H3781" s="1" t="str">
        <f t="shared" si="3"/>
        <v>Currently Unavailable</v>
      </c>
      <c r="I3781" s="1" t="str">
        <f t="shared" si="4"/>
        <v>No Badges</v>
      </c>
      <c r="J3781" s="3">
        <f t="shared" si="5"/>
        <v>0</v>
      </c>
    </row>
    <row r="3782">
      <c r="A3782" s="1" t="s">
        <v>2854</v>
      </c>
      <c r="B3782" s="3" t="str">
        <f t="shared" si="1"/>
        <v>Unavailable</v>
      </c>
      <c r="C3782" s="5">
        <v>5227.0</v>
      </c>
      <c r="D3782" s="3">
        <f>IFERROR(__xludf.DUMMYFUNCTION("IFERROR(
IF(REGEXMATCH(LOWER(O3782),""k""),
VALUE(REGEXEXTRACT(O3782,""[0-9]+""))*1000,
VALUE(REGEXEXTRACT(O3782,""[0-9]+""))
),
0
)"),0.0)</f>
        <v>0</v>
      </c>
      <c r="E3782" s="1" t="s">
        <v>11</v>
      </c>
      <c r="F3782" s="1" t="s">
        <v>20</v>
      </c>
      <c r="G3782" s="4" t="b">
        <f t="shared" si="2"/>
        <v>1</v>
      </c>
      <c r="H3782" s="1" t="str">
        <f t="shared" si="3"/>
        <v>Currently Unavailable</v>
      </c>
      <c r="I3782" s="1" t="str">
        <f t="shared" si="4"/>
        <v>No Badges</v>
      </c>
      <c r="J3782" s="3">
        <f t="shared" si="5"/>
        <v>0</v>
      </c>
    </row>
    <row r="3783">
      <c r="A3783" s="1" t="s">
        <v>2855</v>
      </c>
      <c r="B3783" s="3" t="str">
        <f t="shared" si="1"/>
        <v>Unavailable</v>
      </c>
      <c r="C3783" s="3">
        <v>256.0</v>
      </c>
      <c r="D3783" s="3">
        <f>IFERROR(__xludf.DUMMYFUNCTION("IFERROR(
IF(REGEXMATCH(LOWER(O3783),""k""),
VALUE(REGEXEXTRACT(O3783,""[0-9]+""))*1000,
VALUE(REGEXEXTRACT(O3783,""[0-9]+""))
),
0
)"),0.0)</f>
        <v>0</v>
      </c>
      <c r="E3783" s="1" t="s">
        <v>11</v>
      </c>
      <c r="F3783" s="1" t="s">
        <v>20</v>
      </c>
      <c r="G3783" s="4" t="b">
        <f t="shared" si="2"/>
        <v>1</v>
      </c>
      <c r="H3783" s="1" t="str">
        <f t="shared" si="3"/>
        <v>Currently Unavailable</v>
      </c>
      <c r="I3783" s="1" t="str">
        <f t="shared" si="4"/>
        <v>No Badges</v>
      </c>
      <c r="J3783" s="3">
        <f t="shared" si="5"/>
        <v>0</v>
      </c>
    </row>
    <row r="3784">
      <c r="A3784" s="1" t="s">
        <v>2856</v>
      </c>
      <c r="B3784" s="3" t="str">
        <f t="shared" si="1"/>
        <v>Unavailable</v>
      </c>
      <c r="C3784" s="5">
        <v>6110.0</v>
      </c>
      <c r="D3784" s="3">
        <f>IFERROR(__xludf.DUMMYFUNCTION("IFERROR(
IF(REGEXMATCH(LOWER(O3784),""k""),
VALUE(REGEXEXTRACT(O3784,""[0-9]+""))*1000,
VALUE(REGEXEXTRACT(O3784,""[0-9]+""))
),
0
)"),0.0)</f>
        <v>0</v>
      </c>
      <c r="E3784" s="1" t="s">
        <v>11</v>
      </c>
      <c r="F3784" s="1" t="s">
        <v>20</v>
      </c>
      <c r="G3784" s="4" t="b">
        <f t="shared" si="2"/>
        <v>1</v>
      </c>
      <c r="H3784" s="1" t="str">
        <f t="shared" si="3"/>
        <v>Currently Unavailable</v>
      </c>
      <c r="I3784" s="1" t="str">
        <f t="shared" si="4"/>
        <v>No Badges</v>
      </c>
      <c r="J3784" s="3">
        <f t="shared" si="5"/>
        <v>0</v>
      </c>
    </row>
    <row r="3785">
      <c r="A3785" s="1" t="s">
        <v>2857</v>
      </c>
      <c r="B3785" s="3" t="str">
        <f t="shared" si="1"/>
        <v>Unavailable</v>
      </c>
      <c r="C3785" s="3">
        <v>743.0</v>
      </c>
      <c r="D3785" s="3">
        <f>IFERROR(__xludf.DUMMYFUNCTION("IFERROR(
IF(REGEXMATCH(LOWER(O3785),""k""),
VALUE(REGEXEXTRACT(O3785,""[0-9]+""))*1000,
VALUE(REGEXEXTRACT(O3785,""[0-9]+""))
),
0
)"),0.0)</f>
        <v>0</v>
      </c>
      <c r="E3785" s="1" t="s">
        <v>11</v>
      </c>
      <c r="F3785" s="1" t="s">
        <v>20</v>
      </c>
      <c r="G3785" s="4" t="b">
        <f t="shared" si="2"/>
        <v>1</v>
      </c>
      <c r="H3785" s="1" t="str">
        <f t="shared" si="3"/>
        <v>Currently Unavailable</v>
      </c>
      <c r="I3785" s="1" t="str">
        <f t="shared" si="4"/>
        <v>No Badges</v>
      </c>
      <c r="J3785" s="3">
        <f t="shared" si="5"/>
        <v>0</v>
      </c>
    </row>
    <row r="3786">
      <c r="A3786" s="1" t="s">
        <v>2858</v>
      </c>
      <c r="B3786" s="3" t="str">
        <f t="shared" si="1"/>
        <v>Unavailable</v>
      </c>
      <c r="C3786" s="5">
        <v>1113.0</v>
      </c>
      <c r="D3786" s="3">
        <f>IFERROR(__xludf.DUMMYFUNCTION("IFERROR(
IF(REGEXMATCH(LOWER(O3786),""k""),
VALUE(REGEXEXTRACT(O3786,""[0-9]+""))*1000,
VALUE(REGEXEXTRACT(O3786,""[0-9]+""))
),
0
)"),0.0)</f>
        <v>0</v>
      </c>
      <c r="E3786" s="1" t="s">
        <v>11</v>
      </c>
      <c r="F3786" s="1" t="s">
        <v>20</v>
      </c>
      <c r="G3786" s="4" t="b">
        <f t="shared" si="2"/>
        <v>1</v>
      </c>
      <c r="H3786" s="1" t="str">
        <f t="shared" si="3"/>
        <v>Currently Unavailable</v>
      </c>
      <c r="I3786" s="1" t="str">
        <f t="shared" si="4"/>
        <v>No Badges</v>
      </c>
      <c r="J3786" s="3">
        <f t="shared" si="5"/>
        <v>0</v>
      </c>
    </row>
    <row r="3787">
      <c r="A3787" s="1" t="s">
        <v>2859</v>
      </c>
      <c r="B3787" s="3" t="str">
        <f t="shared" si="1"/>
        <v>Unavailable</v>
      </c>
      <c r="C3787" s="3">
        <v>79.0</v>
      </c>
      <c r="D3787" s="3">
        <f>IFERROR(__xludf.DUMMYFUNCTION("IFERROR(
IF(REGEXMATCH(LOWER(O3787),""k""),
VALUE(REGEXEXTRACT(O3787,""[0-9]+""))*1000,
VALUE(REGEXEXTRACT(O3787,""[0-9]+""))
),
0
)"),0.0)</f>
        <v>0</v>
      </c>
      <c r="E3787" s="1" t="s">
        <v>11</v>
      </c>
      <c r="F3787" s="1" t="s">
        <v>20</v>
      </c>
      <c r="G3787" s="4" t="b">
        <f t="shared" si="2"/>
        <v>1</v>
      </c>
      <c r="H3787" s="1" t="str">
        <f t="shared" si="3"/>
        <v>Currently Unavailable</v>
      </c>
      <c r="I3787" s="1" t="str">
        <f t="shared" si="4"/>
        <v>No Badges</v>
      </c>
      <c r="J3787" s="3">
        <f t="shared" si="5"/>
        <v>0</v>
      </c>
    </row>
    <row r="3788">
      <c r="A3788" s="1" t="s">
        <v>2860</v>
      </c>
      <c r="B3788" s="3" t="str">
        <f t="shared" si="1"/>
        <v>Unavailable</v>
      </c>
      <c r="C3788" s="3">
        <v>699.0</v>
      </c>
      <c r="D3788" s="3">
        <f>IFERROR(__xludf.DUMMYFUNCTION("IFERROR(
IF(REGEXMATCH(LOWER(O3788),""k""),
VALUE(REGEXEXTRACT(O3788,""[0-9]+""))*1000,
VALUE(REGEXEXTRACT(O3788,""[0-9]+""))
),
0
)"),0.0)</f>
        <v>0</v>
      </c>
      <c r="E3788" s="1" t="s">
        <v>11</v>
      </c>
      <c r="F3788" s="1" t="s">
        <v>20</v>
      </c>
      <c r="G3788" s="4" t="b">
        <f t="shared" si="2"/>
        <v>1</v>
      </c>
      <c r="H3788" s="1" t="str">
        <f t="shared" si="3"/>
        <v>Currently Unavailable</v>
      </c>
      <c r="I3788" s="1" t="str">
        <f t="shared" si="4"/>
        <v>No Badges</v>
      </c>
      <c r="J3788" s="3">
        <f t="shared" si="5"/>
        <v>0</v>
      </c>
    </row>
    <row r="3789">
      <c r="A3789" s="1" t="s">
        <v>2861</v>
      </c>
      <c r="B3789" s="3" t="str">
        <f t="shared" si="1"/>
        <v>Unavailable</v>
      </c>
      <c r="C3789" s="3">
        <v>789.0</v>
      </c>
      <c r="D3789" s="3">
        <f>IFERROR(__xludf.DUMMYFUNCTION("IFERROR(
IF(REGEXMATCH(LOWER(O3789),""k""),
VALUE(REGEXEXTRACT(O3789,""[0-9]+""))*1000,
VALUE(REGEXEXTRACT(O3789,""[0-9]+""))
),
0
)"),0.0)</f>
        <v>0</v>
      </c>
      <c r="E3789" s="1" t="s">
        <v>11</v>
      </c>
      <c r="F3789" s="1" t="s">
        <v>20</v>
      </c>
      <c r="G3789" s="4" t="b">
        <f t="shared" si="2"/>
        <v>1</v>
      </c>
      <c r="H3789" s="1" t="str">
        <f t="shared" si="3"/>
        <v>Currently Unavailable</v>
      </c>
      <c r="I3789" s="1" t="str">
        <f t="shared" si="4"/>
        <v>No Badges</v>
      </c>
      <c r="J3789" s="3">
        <f t="shared" si="5"/>
        <v>0</v>
      </c>
    </row>
    <row r="3790">
      <c r="A3790" s="1" t="s">
        <v>2862</v>
      </c>
      <c r="B3790" s="3" t="str">
        <f t="shared" si="1"/>
        <v>Unavailable</v>
      </c>
      <c r="C3790" s="3">
        <v>93.0</v>
      </c>
      <c r="D3790" s="3">
        <f>IFERROR(__xludf.DUMMYFUNCTION("IFERROR(
IF(REGEXMATCH(LOWER(O3790),""k""),
VALUE(REGEXEXTRACT(O3790,""[0-9]+""))*1000,
VALUE(REGEXEXTRACT(O3790,""[0-9]+""))
),
0
)"),0.0)</f>
        <v>0</v>
      </c>
      <c r="E3790" s="1" t="s">
        <v>11</v>
      </c>
      <c r="F3790" s="1" t="s">
        <v>20</v>
      </c>
      <c r="G3790" s="4" t="b">
        <f t="shared" si="2"/>
        <v>1</v>
      </c>
      <c r="H3790" s="1" t="str">
        <f t="shared" si="3"/>
        <v>Currently Unavailable</v>
      </c>
      <c r="I3790" s="1" t="str">
        <f t="shared" si="4"/>
        <v>No Badges</v>
      </c>
      <c r="J3790" s="3">
        <f t="shared" si="5"/>
        <v>0</v>
      </c>
    </row>
    <row r="3791">
      <c r="A3791" s="1" t="s">
        <v>2863</v>
      </c>
      <c r="B3791" s="3" t="str">
        <f t="shared" si="1"/>
        <v>Unavailable</v>
      </c>
      <c r="C3791" s="5">
        <v>8308.0</v>
      </c>
      <c r="D3791" s="3">
        <f>IFERROR(__xludf.DUMMYFUNCTION("IFERROR(
IF(REGEXMATCH(LOWER(O3791),""k""),
VALUE(REGEXEXTRACT(O3791,""[0-9]+""))*1000,
VALUE(REGEXEXTRACT(O3791,""[0-9]+""))
),
0
)"),0.0)</f>
        <v>0</v>
      </c>
      <c r="E3791" s="1" t="s">
        <v>11</v>
      </c>
      <c r="F3791" s="1" t="s">
        <v>20</v>
      </c>
      <c r="G3791" s="4" t="b">
        <f t="shared" si="2"/>
        <v>1</v>
      </c>
      <c r="H3791" s="1" t="str">
        <f t="shared" si="3"/>
        <v>Currently Unavailable</v>
      </c>
      <c r="I3791" s="1" t="str">
        <f t="shared" si="4"/>
        <v>No Badges</v>
      </c>
      <c r="J3791" s="3">
        <f t="shared" si="5"/>
        <v>0</v>
      </c>
    </row>
    <row r="3792">
      <c r="A3792" s="1" t="s">
        <v>88</v>
      </c>
      <c r="B3792" s="3" t="str">
        <f t="shared" si="1"/>
        <v>Unavailable</v>
      </c>
      <c r="C3792" s="3">
        <v>5.0</v>
      </c>
      <c r="D3792" s="3">
        <f>IFERROR(__xludf.DUMMYFUNCTION("IFERROR(
IF(REGEXMATCH(LOWER(O3792),""k""),
VALUE(REGEXEXTRACT(O3792,""[0-9]+""))*1000,
VALUE(REGEXEXTRACT(O3792,""[0-9]+""))
),
0
)"),0.0)</f>
        <v>0</v>
      </c>
      <c r="E3792" s="1" t="s">
        <v>11</v>
      </c>
      <c r="F3792" s="1" t="s">
        <v>12</v>
      </c>
      <c r="G3792" s="4" t="b">
        <f t="shared" si="2"/>
        <v>1</v>
      </c>
      <c r="H3792" s="1" t="str">
        <f t="shared" si="3"/>
        <v>Currently Unavailable</v>
      </c>
      <c r="I3792" s="1" t="str">
        <f t="shared" si="4"/>
        <v>No Badges</v>
      </c>
      <c r="J3792" s="3">
        <f t="shared" si="5"/>
        <v>0</v>
      </c>
    </row>
    <row r="3793">
      <c r="A3793" s="1" t="s">
        <v>40</v>
      </c>
      <c r="B3793" s="3" t="str">
        <f t="shared" si="1"/>
        <v>Unavailable</v>
      </c>
      <c r="C3793" s="3">
        <v>171.0</v>
      </c>
      <c r="D3793" s="3">
        <f>IFERROR(__xludf.DUMMYFUNCTION("IFERROR(
IF(REGEXMATCH(LOWER(O3793),""k""),
VALUE(REGEXEXTRACT(O3793,""[0-9]+""))*1000,
VALUE(REGEXEXTRACT(O3793,""[0-9]+""))
),
0
)"),0.0)</f>
        <v>0</v>
      </c>
      <c r="E3793" s="1" t="s">
        <v>11</v>
      </c>
      <c r="F3793" s="1" t="s">
        <v>12</v>
      </c>
      <c r="G3793" s="4" t="b">
        <f t="shared" si="2"/>
        <v>1</v>
      </c>
      <c r="H3793" s="1" t="str">
        <f t="shared" si="3"/>
        <v>Currently Unavailable</v>
      </c>
      <c r="I3793" s="1" t="str">
        <f t="shared" si="4"/>
        <v>No Badges</v>
      </c>
      <c r="J3793" s="3">
        <f t="shared" si="5"/>
        <v>0</v>
      </c>
    </row>
    <row r="3794">
      <c r="A3794" s="1" t="s">
        <v>2864</v>
      </c>
      <c r="B3794" s="3" t="str">
        <f t="shared" si="1"/>
        <v>Unavailable</v>
      </c>
      <c r="C3794" s="5">
        <v>4451.0</v>
      </c>
      <c r="D3794" s="3">
        <f>IFERROR(__xludf.DUMMYFUNCTION("IFERROR(
IF(REGEXMATCH(LOWER(O3794),""k""),
VALUE(REGEXEXTRACT(O3794,""[0-9]+""))*1000,
VALUE(REGEXEXTRACT(O3794,""[0-9]+""))
),
0
)"),0.0)</f>
        <v>0</v>
      </c>
      <c r="E3794" s="1" t="s">
        <v>11</v>
      </c>
      <c r="F3794" s="1" t="s">
        <v>20</v>
      </c>
      <c r="G3794" s="4" t="b">
        <f t="shared" si="2"/>
        <v>1</v>
      </c>
      <c r="H3794" s="1" t="str">
        <f t="shared" si="3"/>
        <v>Currently Unavailable</v>
      </c>
      <c r="I3794" s="1" t="str">
        <f t="shared" si="4"/>
        <v>No Badges</v>
      </c>
      <c r="J3794" s="3">
        <f t="shared" si="5"/>
        <v>0</v>
      </c>
    </row>
    <row r="3795">
      <c r="A3795" s="1" t="s">
        <v>2865</v>
      </c>
      <c r="B3795" s="3" t="str">
        <f t="shared" si="1"/>
        <v>Unavailable</v>
      </c>
      <c r="C3795" s="5">
        <v>6031.0</v>
      </c>
      <c r="D3795" s="3">
        <f>IFERROR(__xludf.DUMMYFUNCTION("IFERROR(
IF(REGEXMATCH(LOWER(O3795),""k""),
VALUE(REGEXEXTRACT(O3795,""[0-9]+""))*1000,
VALUE(REGEXEXTRACT(O3795,""[0-9]+""))
),
0
)"),0.0)</f>
        <v>0</v>
      </c>
      <c r="E3795" s="1" t="s">
        <v>11</v>
      </c>
      <c r="F3795" s="1" t="s">
        <v>20</v>
      </c>
      <c r="G3795" s="4" t="b">
        <f t="shared" si="2"/>
        <v>1</v>
      </c>
      <c r="H3795" s="1" t="str">
        <f t="shared" si="3"/>
        <v>Currently Unavailable</v>
      </c>
      <c r="I3795" s="1" t="str">
        <f t="shared" si="4"/>
        <v>No Badges</v>
      </c>
      <c r="J3795" s="3">
        <f t="shared" si="5"/>
        <v>0</v>
      </c>
    </row>
    <row r="3796">
      <c r="A3796" s="1" t="s">
        <v>2866</v>
      </c>
      <c r="B3796" s="3" t="str">
        <f t="shared" si="1"/>
        <v>Unavailable</v>
      </c>
      <c r="C3796" s="3">
        <v>120.0</v>
      </c>
      <c r="D3796" s="3">
        <f>IFERROR(__xludf.DUMMYFUNCTION("IFERROR(
IF(REGEXMATCH(LOWER(O3796),""k""),
VALUE(REGEXEXTRACT(O3796,""[0-9]+""))*1000,
VALUE(REGEXEXTRACT(O3796,""[0-9]+""))
),
0
)"),0.0)</f>
        <v>0</v>
      </c>
      <c r="E3796" s="1" t="s">
        <v>11</v>
      </c>
      <c r="F3796" s="1" t="s">
        <v>20</v>
      </c>
      <c r="G3796" s="4" t="b">
        <f t="shared" si="2"/>
        <v>1</v>
      </c>
      <c r="H3796" s="1" t="str">
        <f t="shared" si="3"/>
        <v>Currently Unavailable</v>
      </c>
      <c r="I3796" s="1" t="str">
        <f t="shared" si="4"/>
        <v>No Badges</v>
      </c>
      <c r="J3796" s="3">
        <f t="shared" si="5"/>
        <v>0</v>
      </c>
    </row>
    <row r="3797">
      <c r="A3797" s="1" t="s">
        <v>2867</v>
      </c>
      <c r="B3797" s="3" t="str">
        <f t="shared" si="1"/>
        <v>Unavailable</v>
      </c>
      <c r="C3797" s="3">
        <v>853.0</v>
      </c>
      <c r="D3797" s="3">
        <f>IFERROR(__xludf.DUMMYFUNCTION("IFERROR(
IF(REGEXMATCH(LOWER(O3797),""k""),
VALUE(REGEXEXTRACT(O3797,""[0-9]+""))*1000,
VALUE(REGEXEXTRACT(O3797,""[0-9]+""))
),
0
)"),0.0)</f>
        <v>0</v>
      </c>
      <c r="E3797" s="1" t="s">
        <v>11</v>
      </c>
      <c r="F3797" s="1" t="s">
        <v>20</v>
      </c>
      <c r="G3797" s="4" t="b">
        <f t="shared" si="2"/>
        <v>1</v>
      </c>
      <c r="H3797" s="1" t="str">
        <f t="shared" si="3"/>
        <v>Currently Unavailable</v>
      </c>
      <c r="I3797" s="1" t="str">
        <f t="shared" si="4"/>
        <v>No Badges</v>
      </c>
      <c r="J3797" s="3">
        <f t="shared" si="5"/>
        <v>0</v>
      </c>
    </row>
    <row r="3798">
      <c r="A3798" s="1" t="s">
        <v>2868</v>
      </c>
      <c r="B3798" s="3" t="str">
        <f t="shared" si="1"/>
        <v>Unavailable</v>
      </c>
      <c r="C3798" s="3">
        <v>318.0</v>
      </c>
      <c r="D3798" s="3">
        <f>IFERROR(__xludf.DUMMYFUNCTION("IFERROR(
IF(REGEXMATCH(LOWER(O3798),""k""),
VALUE(REGEXEXTRACT(O3798,""[0-9]+""))*1000,
VALUE(REGEXEXTRACT(O3798,""[0-9]+""))
),
0
)"),0.0)</f>
        <v>0</v>
      </c>
      <c r="E3798" s="1" t="s">
        <v>11</v>
      </c>
      <c r="F3798" s="1" t="s">
        <v>20</v>
      </c>
      <c r="G3798" s="4" t="b">
        <f t="shared" si="2"/>
        <v>1</v>
      </c>
      <c r="H3798" s="1" t="str">
        <f t="shared" si="3"/>
        <v>Currently Unavailable</v>
      </c>
      <c r="I3798" s="1" t="str">
        <f t="shared" si="4"/>
        <v>No Badges</v>
      </c>
      <c r="J3798" s="3">
        <f t="shared" si="5"/>
        <v>0</v>
      </c>
    </row>
    <row r="3799">
      <c r="A3799" s="1" t="s">
        <v>2869</v>
      </c>
      <c r="B3799" s="3" t="str">
        <f t="shared" si="1"/>
        <v>Unavailable</v>
      </c>
      <c r="C3799" s="3">
        <v>124.0</v>
      </c>
      <c r="D3799" s="3">
        <f>IFERROR(__xludf.DUMMYFUNCTION("IFERROR(
IF(REGEXMATCH(LOWER(O3799),""k""),
VALUE(REGEXEXTRACT(O3799,""[0-9]+""))*1000,
VALUE(REGEXEXTRACT(O3799,""[0-9]+""))
),
0
)"),0.0)</f>
        <v>0</v>
      </c>
      <c r="E3799" s="1" t="s">
        <v>18</v>
      </c>
      <c r="F3799" s="1" t="s">
        <v>20</v>
      </c>
      <c r="G3799" s="4" t="b">
        <f t="shared" si="2"/>
        <v>1</v>
      </c>
      <c r="H3799" s="1" t="str">
        <f t="shared" si="3"/>
        <v>Currently Unavailable</v>
      </c>
      <c r="I3799" s="1" t="str">
        <f t="shared" si="4"/>
        <v>No Badges</v>
      </c>
      <c r="J3799" s="3">
        <f t="shared" si="5"/>
        <v>0</v>
      </c>
    </row>
    <row r="3800">
      <c r="A3800" s="1" t="s">
        <v>2870</v>
      </c>
      <c r="B3800" s="3" t="str">
        <f t="shared" si="1"/>
        <v>Unavailable</v>
      </c>
      <c r="C3800" s="3">
        <v>801.0</v>
      </c>
      <c r="D3800" s="3">
        <f>IFERROR(__xludf.DUMMYFUNCTION("IFERROR(
IF(REGEXMATCH(LOWER(O3800),""k""),
VALUE(REGEXEXTRACT(O3800,""[0-9]+""))*1000,
VALUE(REGEXEXTRACT(O3800,""[0-9]+""))
),
0
)"),0.0)</f>
        <v>0</v>
      </c>
      <c r="E3800" s="1" t="s">
        <v>11</v>
      </c>
      <c r="F3800" s="1" t="s">
        <v>20</v>
      </c>
      <c r="G3800" s="4" t="b">
        <f t="shared" si="2"/>
        <v>1</v>
      </c>
      <c r="H3800" s="1" t="str">
        <f t="shared" si="3"/>
        <v>Currently Unavailable</v>
      </c>
      <c r="I3800" s="1" t="str">
        <f t="shared" si="4"/>
        <v>No Badges</v>
      </c>
      <c r="J3800" s="3">
        <f t="shared" si="5"/>
        <v>0</v>
      </c>
    </row>
    <row r="3801">
      <c r="A3801" s="1" t="s">
        <v>2871</v>
      </c>
      <c r="B3801" s="3" t="str">
        <f t="shared" si="1"/>
        <v>Unavailable</v>
      </c>
      <c r="C3801" s="3">
        <v>14.0</v>
      </c>
      <c r="D3801" s="3">
        <f>IFERROR(__xludf.DUMMYFUNCTION("IFERROR(
IF(REGEXMATCH(LOWER(O3801),""k""),
VALUE(REGEXEXTRACT(O3801,""[0-9]+""))*1000,
VALUE(REGEXEXTRACT(O3801,""[0-9]+""))
),
0
)"),0.0)</f>
        <v>0</v>
      </c>
      <c r="E3801" s="1" t="s">
        <v>11</v>
      </c>
      <c r="F3801" s="1" t="s">
        <v>20</v>
      </c>
      <c r="G3801" s="4" t="b">
        <f t="shared" si="2"/>
        <v>1</v>
      </c>
      <c r="H3801" s="1" t="str">
        <f t="shared" si="3"/>
        <v>Currently Unavailable</v>
      </c>
      <c r="I3801" s="1" t="str">
        <f t="shared" si="4"/>
        <v>No Badges</v>
      </c>
      <c r="J3801" s="3">
        <f t="shared" si="5"/>
        <v>0</v>
      </c>
    </row>
    <row r="3802">
      <c r="A3802" s="1" t="s">
        <v>2872</v>
      </c>
      <c r="B3802" s="3" t="str">
        <f t="shared" si="1"/>
        <v>Unavailable</v>
      </c>
      <c r="C3802" s="5">
        <v>4077.0</v>
      </c>
      <c r="D3802" s="3">
        <f>IFERROR(__xludf.DUMMYFUNCTION("IFERROR(
IF(REGEXMATCH(LOWER(O3802),""k""),
VALUE(REGEXEXTRACT(O3802,""[0-9]+""))*1000,
VALUE(REGEXEXTRACT(O3802,""[0-9]+""))
),
0
)"),0.0)</f>
        <v>0</v>
      </c>
      <c r="E3802" s="1" t="s">
        <v>11</v>
      </c>
      <c r="F3802" s="1" t="s">
        <v>20</v>
      </c>
      <c r="G3802" s="4" t="b">
        <f t="shared" si="2"/>
        <v>1</v>
      </c>
      <c r="H3802" s="1" t="str">
        <f t="shared" si="3"/>
        <v>Currently Unavailable</v>
      </c>
      <c r="I3802" s="1" t="str">
        <f t="shared" si="4"/>
        <v>No Badges</v>
      </c>
      <c r="J3802" s="3">
        <f t="shared" si="5"/>
        <v>0</v>
      </c>
    </row>
    <row r="3803">
      <c r="A3803" s="1" t="s">
        <v>2873</v>
      </c>
      <c r="B3803" s="3" t="str">
        <f t="shared" si="1"/>
        <v>Unavailable</v>
      </c>
      <c r="C3803" s="3">
        <v>127.0</v>
      </c>
      <c r="D3803" s="3">
        <f>IFERROR(__xludf.DUMMYFUNCTION("IFERROR(
IF(REGEXMATCH(LOWER(O3803),""k""),
VALUE(REGEXEXTRACT(O3803,""[0-9]+""))*1000,
VALUE(REGEXEXTRACT(O3803,""[0-9]+""))
),
0
)"),0.0)</f>
        <v>0</v>
      </c>
      <c r="E3803" s="1" t="s">
        <v>11</v>
      </c>
      <c r="F3803" s="1" t="s">
        <v>20</v>
      </c>
      <c r="G3803" s="4" t="b">
        <f t="shared" si="2"/>
        <v>1</v>
      </c>
      <c r="H3803" s="1" t="str">
        <f t="shared" si="3"/>
        <v>Currently Unavailable</v>
      </c>
      <c r="I3803" s="1" t="str">
        <f t="shared" si="4"/>
        <v>No Badges</v>
      </c>
      <c r="J3803" s="3">
        <f t="shared" si="5"/>
        <v>0</v>
      </c>
    </row>
    <row r="3804">
      <c r="A3804" s="1" t="s">
        <v>2874</v>
      </c>
      <c r="B3804" s="3" t="str">
        <f t="shared" si="1"/>
        <v>Unavailable</v>
      </c>
      <c r="C3804" s="5">
        <v>4327.0</v>
      </c>
      <c r="D3804" s="3">
        <f>IFERROR(__xludf.DUMMYFUNCTION("IFERROR(
IF(REGEXMATCH(LOWER(O3804),""k""),
VALUE(REGEXEXTRACT(O3804,""[0-9]+""))*1000,
VALUE(REGEXEXTRACT(O3804,""[0-9]+""))
),
0
)"),0.0)</f>
        <v>0</v>
      </c>
      <c r="E3804" s="1" t="s">
        <v>11</v>
      </c>
      <c r="F3804" s="1" t="s">
        <v>20</v>
      </c>
      <c r="G3804" s="4" t="b">
        <f t="shared" si="2"/>
        <v>1</v>
      </c>
      <c r="H3804" s="1" t="str">
        <f t="shared" si="3"/>
        <v>Currently Unavailable</v>
      </c>
      <c r="I3804" s="1" t="str">
        <f t="shared" si="4"/>
        <v>No Badges</v>
      </c>
      <c r="J3804" s="3">
        <f t="shared" si="5"/>
        <v>0</v>
      </c>
    </row>
    <row r="3805">
      <c r="A3805" s="1" t="s">
        <v>2875</v>
      </c>
      <c r="B3805" s="3" t="str">
        <f t="shared" si="1"/>
        <v>Unavailable</v>
      </c>
      <c r="C3805" s="3">
        <v>19.0</v>
      </c>
      <c r="D3805" s="3">
        <f>IFERROR(__xludf.DUMMYFUNCTION("IFERROR(
IF(REGEXMATCH(LOWER(O3805),""k""),
VALUE(REGEXEXTRACT(O3805,""[0-9]+""))*1000,
VALUE(REGEXEXTRACT(O3805,""[0-9]+""))
),
0
)"),0.0)</f>
        <v>0</v>
      </c>
      <c r="E3805" s="1" t="s">
        <v>11</v>
      </c>
      <c r="F3805" s="1" t="s">
        <v>20</v>
      </c>
      <c r="G3805" s="4" t="b">
        <f t="shared" si="2"/>
        <v>1</v>
      </c>
      <c r="H3805" s="1" t="str">
        <f t="shared" si="3"/>
        <v>Currently Unavailable</v>
      </c>
      <c r="I3805" s="1" t="str">
        <f t="shared" si="4"/>
        <v>No Badges</v>
      </c>
      <c r="J3805" s="3">
        <f t="shared" si="5"/>
        <v>0</v>
      </c>
    </row>
    <row r="3806">
      <c r="A3806" s="1" t="s">
        <v>2876</v>
      </c>
      <c r="B3806" s="3" t="str">
        <f t="shared" si="1"/>
        <v>Unavailable</v>
      </c>
      <c r="C3806" s="3">
        <v>860.0</v>
      </c>
      <c r="D3806" s="3">
        <f>IFERROR(__xludf.DUMMYFUNCTION("IFERROR(
IF(REGEXMATCH(LOWER(O3806),""k""),
VALUE(REGEXEXTRACT(O3806,""[0-9]+""))*1000,
VALUE(REGEXEXTRACT(O3806,""[0-9]+""))
),
0
)"),0.0)</f>
        <v>0</v>
      </c>
      <c r="E3806" s="1" t="s">
        <v>11</v>
      </c>
      <c r="F3806" s="1" t="s">
        <v>20</v>
      </c>
      <c r="G3806" s="4" t="b">
        <f t="shared" si="2"/>
        <v>1</v>
      </c>
      <c r="H3806" s="1" t="str">
        <f t="shared" si="3"/>
        <v>Currently Unavailable</v>
      </c>
      <c r="I3806" s="1" t="str">
        <f t="shared" si="4"/>
        <v>No Badges</v>
      </c>
      <c r="J3806" s="3">
        <f t="shared" si="5"/>
        <v>0</v>
      </c>
    </row>
    <row r="3807">
      <c r="A3807" s="1" t="s">
        <v>2877</v>
      </c>
      <c r="B3807" s="3" t="str">
        <f t="shared" si="1"/>
        <v>Unavailable</v>
      </c>
      <c r="C3807" s="3">
        <v>496.0</v>
      </c>
      <c r="D3807" s="3">
        <f>IFERROR(__xludf.DUMMYFUNCTION("IFERROR(
IF(REGEXMATCH(LOWER(O3807),""k""),
VALUE(REGEXEXTRACT(O3807,""[0-9]+""))*1000,
VALUE(REGEXEXTRACT(O3807,""[0-9]+""))
),
0
)"),0.0)</f>
        <v>0</v>
      </c>
      <c r="E3807" s="1" t="s">
        <v>11</v>
      </c>
      <c r="F3807" s="1" t="s">
        <v>20</v>
      </c>
      <c r="G3807" s="4" t="b">
        <f t="shared" si="2"/>
        <v>1</v>
      </c>
      <c r="H3807" s="1" t="str">
        <f t="shared" si="3"/>
        <v>Currently Unavailable</v>
      </c>
      <c r="I3807" s="1" t="str">
        <f t="shared" si="4"/>
        <v>No Badges</v>
      </c>
      <c r="J3807" s="3">
        <f t="shared" si="5"/>
        <v>0</v>
      </c>
    </row>
    <row r="3808">
      <c r="A3808" s="1" t="s">
        <v>2878</v>
      </c>
      <c r="B3808" s="3" t="str">
        <f t="shared" si="1"/>
        <v>Unavailable</v>
      </c>
      <c r="C3808" s="3">
        <v>263.0</v>
      </c>
      <c r="D3808" s="3">
        <f>IFERROR(__xludf.DUMMYFUNCTION("IFERROR(
IF(REGEXMATCH(LOWER(O3808),""k""),
VALUE(REGEXEXTRACT(O3808,""[0-9]+""))*1000,
VALUE(REGEXEXTRACT(O3808,""[0-9]+""))
),
0
)"),0.0)</f>
        <v>0</v>
      </c>
      <c r="E3808" s="1" t="s">
        <v>11</v>
      </c>
      <c r="F3808" s="1" t="s">
        <v>20</v>
      </c>
      <c r="G3808" s="4" t="b">
        <f t="shared" si="2"/>
        <v>1</v>
      </c>
      <c r="H3808" s="1" t="str">
        <f t="shared" si="3"/>
        <v>Currently Unavailable</v>
      </c>
      <c r="I3808" s="1" t="str">
        <f t="shared" si="4"/>
        <v>No Badges</v>
      </c>
      <c r="J3808" s="3">
        <f t="shared" si="5"/>
        <v>0</v>
      </c>
    </row>
    <row r="3809">
      <c r="A3809" s="1" t="s">
        <v>701</v>
      </c>
      <c r="B3809" s="3" t="str">
        <f t="shared" si="1"/>
        <v>Unavailable</v>
      </c>
      <c r="C3809" s="3">
        <v>8.0</v>
      </c>
      <c r="D3809" s="3">
        <f>IFERROR(__xludf.DUMMYFUNCTION("IFERROR(
IF(REGEXMATCH(LOWER(O3809),""k""),
VALUE(REGEXEXTRACT(O3809,""[0-9]+""))*1000,
VALUE(REGEXEXTRACT(O3809,""[0-9]+""))
),
0
)"),0.0)</f>
        <v>0</v>
      </c>
      <c r="E3809" s="1" t="s">
        <v>11</v>
      </c>
      <c r="F3809" s="1" t="s">
        <v>12</v>
      </c>
      <c r="G3809" s="4" t="b">
        <f t="shared" si="2"/>
        <v>1</v>
      </c>
      <c r="H3809" s="1" t="str">
        <f t="shared" si="3"/>
        <v>Currently Unavailable</v>
      </c>
      <c r="I3809" s="1" t="str">
        <f t="shared" si="4"/>
        <v>No Badges</v>
      </c>
      <c r="J3809" s="3">
        <f t="shared" si="5"/>
        <v>0</v>
      </c>
    </row>
    <row r="3810">
      <c r="A3810" s="1" t="s">
        <v>40</v>
      </c>
      <c r="B3810" s="3" t="str">
        <f t="shared" si="1"/>
        <v>Unavailable</v>
      </c>
      <c r="C3810" s="3">
        <v>171.0</v>
      </c>
      <c r="D3810" s="3">
        <f>IFERROR(__xludf.DUMMYFUNCTION("IFERROR(
IF(REGEXMATCH(LOWER(O3810),""k""),
VALUE(REGEXEXTRACT(O3810,""[0-9]+""))*1000,
VALUE(REGEXEXTRACT(O3810,""[0-9]+""))
),
0
)"),0.0)</f>
        <v>0</v>
      </c>
      <c r="E3810" s="1" t="s">
        <v>11</v>
      </c>
      <c r="F3810" s="1" t="s">
        <v>12</v>
      </c>
      <c r="G3810" s="4" t="b">
        <f t="shared" si="2"/>
        <v>1</v>
      </c>
      <c r="H3810" s="1" t="str">
        <f t="shared" si="3"/>
        <v>Currently Unavailable</v>
      </c>
      <c r="I3810" s="1" t="str">
        <f t="shared" si="4"/>
        <v>No Badges</v>
      </c>
      <c r="J3810" s="3">
        <f t="shared" si="5"/>
        <v>0</v>
      </c>
    </row>
    <row r="3811">
      <c r="A3811" s="1" t="s">
        <v>69</v>
      </c>
      <c r="B3811" s="3" t="str">
        <f t="shared" si="1"/>
        <v>Unavailable</v>
      </c>
      <c r="C3811" s="3">
        <v>45.0</v>
      </c>
      <c r="D3811" s="3">
        <f>IFERROR(__xludf.DUMMYFUNCTION("IFERROR(
IF(REGEXMATCH(LOWER(O3811),""k""),
VALUE(REGEXEXTRACT(O3811,""[0-9]+""))*1000,
VALUE(REGEXEXTRACT(O3811,""[0-9]+""))
),
0
)"),0.0)</f>
        <v>0</v>
      </c>
      <c r="E3811" s="1" t="s">
        <v>11</v>
      </c>
      <c r="F3811" s="1" t="s">
        <v>12</v>
      </c>
      <c r="G3811" s="4" t="b">
        <f t="shared" si="2"/>
        <v>1</v>
      </c>
      <c r="H3811" s="1" t="str">
        <f t="shared" si="3"/>
        <v>Currently Unavailable</v>
      </c>
      <c r="I3811" s="1" t="str">
        <f t="shared" si="4"/>
        <v>No Badges</v>
      </c>
      <c r="J3811" s="3">
        <f t="shared" si="5"/>
        <v>0</v>
      </c>
    </row>
    <row r="3812">
      <c r="A3812" s="1" t="s">
        <v>2879</v>
      </c>
      <c r="B3812" s="3" t="str">
        <f t="shared" si="1"/>
        <v>Unavailable</v>
      </c>
      <c r="C3812" s="3">
        <v>371.0</v>
      </c>
      <c r="D3812" s="3">
        <f>IFERROR(__xludf.DUMMYFUNCTION("IFERROR(
IF(REGEXMATCH(LOWER(O3812),""k""),
VALUE(REGEXEXTRACT(O3812,""[0-9]+""))*1000,
VALUE(REGEXEXTRACT(O3812,""[0-9]+""))
),
0
)"),0.0)</f>
        <v>0</v>
      </c>
      <c r="E3812" s="1" t="s">
        <v>11</v>
      </c>
      <c r="F3812" s="1" t="s">
        <v>20</v>
      </c>
      <c r="G3812" s="4" t="b">
        <f t="shared" si="2"/>
        <v>1</v>
      </c>
      <c r="H3812" s="1" t="str">
        <f t="shared" si="3"/>
        <v>Currently Unavailable</v>
      </c>
      <c r="I3812" s="1" t="str">
        <f t="shared" si="4"/>
        <v>No Badges</v>
      </c>
      <c r="J3812" s="3">
        <f t="shared" si="5"/>
        <v>0</v>
      </c>
    </row>
    <row r="3813">
      <c r="A3813" s="1" t="s">
        <v>2880</v>
      </c>
      <c r="B3813" s="3" t="str">
        <f t="shared" si="1"/>
        <v>Unavailable</v>
      </c>
      <c r="C3813" s="5">
        <v>1615.0</v>
      </c>
      <c r="D3813" s="3">
        <f>IFERROR(__xludf.DUMMYFUNCTION("IFERROR(
IF(REGEXMATCH(LOWER(O3813),""k""),
VALUE(REGEXEXTRACT(O3813,""[0-9]+""))*1000,
VALUE(REGEXEXTRACT(O3813,""[0-9]+""))
),
0
)"),0.0)</f>
        <v>0</v>
      </c>
      <c r="E3813" s="1" t="s">
        <v>11</v>
      </c>
      <c r="F3813" s="1" t="s">
        <v>20</v>
      </c>
      <c r="G3813" s="4" t="b">
        <f t="shared" si="2"/>
        <v>1</v>
      </c>
      <c r="H3813" s="1" t="str">
        <f t="shared" si="3"/>
        <v>Currently Unavailable</v>
      </c>
      <c r="I3813" s="1" t="str">
        <f t="shared" si="4"/>
        <v>No Badges</v>
      </c>
      <c r="J3813" s="3">
        <f t="shared" si="5"/>
        <v>0</v>
      </c>
    </row>
    <row r="3814">
      <c r="A3814" s="1" t="s">
        <v>2352</v>
      </c>
      <c r="B3814" s="3" t="str">
        <f t="shared" si="1"/>
        <v>Unavailable</v>
      </c>
      <c r="C3814" s="3">
        <v>196.0</v>
      </c>
      <c r="D3814" s="3">
        <f>IFERROR(__xludf.DUMMYFUNCTION("IFERROR(
IF(REGEXMATCH(LOWER(O3814),""k""),
VALUE(REGEXEXTRACT(O3814,""[0-9]+""))*1000,
VALUE(REGEXEXTRACT(O3814,""[0-9]+""))
),
0
)"),0.0)</f>
        <v>0</v>
      </c>
      <c r="E3814" s="1" t="s">
        <v>11</v>
      </c>
      <c r="F3814" s="1" t="s">
        <v>12</v>
      </c>
      <c r="G3814" s="4" t="b">
        <f t="shared" si="2"/>
        <v>1</v>
      </c>
      <c r="H3814" s="1" t="str">
        <f t="shared" si="3"/>
        <v>Currently Unavailable</v>
      </c>
      <c r="I3814" s="1" t="str">
        <f t="shared" si="4"/>
        <v>No Badges</v>
      </c>
      <c r="J3814" s="3">
        <f t="shared" si="5"/>
        <v>0</v>
      </c>
    </row>
    <row r="3815">
      <c r="A3815" s="1" t="s">
        <v>2881</v>
      </c>
      <c r="B3815" s="3" t="str">
        <f t="shared" si="1"/>
        <v>Unavailable</v>
      </c>
      <c r="C3815" s="5">
        <v>3480.0</v>
      </c>
      <c r="D3815" s="3">
        <f>IFERROR(__xludf.DUMMYFUNCTION("IFERROR(
IF(REGEXMATCH(LOWER(O3815),""k""),
VALUE(REGEXEXTRACT(O3815,""[0-9]+""))*1000,
VALUE(REGEXEXTRACT(O3815,""[0-9]+""))
),
0
)"),0.0)</f>
        <v>0</v>
      </c>
      <c r="E3815" s="1" t="s">
        <v>11</v>
      </c>
      <c r="F3815" s="1" t="s">
        <v>20</v>
      </c>
      <c r="G3815" s="4" t="b">
        <f t="shared" si="2"/>
        <v>1</v>
      </c>
      <c r="H3815" s="1" t="str">
        <f t="shared" si="3"/>
        <v>Currently Unavailable</v>
      </c>
      <c r="I3815" s="1" t="str">
        <f t="shared" si="4"/>
        <v>No Badges</v>
      </c>
      <c r="J3815" s="3">
        <f t="shared" si="5"/>
        <v>0</v>
      </c>
    </row>
    <row r="3816">
      <c r="A3816" s="1" t="s">
        <v>2882</v>
      </c>
      <c r="B3816" s="3" t="str">
        <f t="shared" si="1"/>
        <v>Unavailable</v>
      </c>
      <c r="C3816" s="5">
        <v>1248.0</v>
      </c>
      <c r="D3816" s="3">
        <f>IFERROR(__xludf.DUMMYFUNCTION("IFERROR(
IF(REGEXMATCH(LOWER(O3816),""k""),
VALUE(REGEXEXTRACT(O3816,""[0-9]+""))*1000,
VALUE(REGEXEXTRACT(O3816,""[0-9]+""))
),
0
)"),0.0)</f>
        <v>0</v>
      </c>
      <c r="E3816" s="1" t="s">
        <v>11</v>
      </c>
      <c r="F3816" s="1" t="s">
        <v>20</v>
      </c>
      <c r="G3816" s="4" t="b">
        <f t="shared" si="2"/>
        <v>1</v>
      </c>
      <c r="H3816" s="1" t="str">
        <f t="shared" si="3"/>
        <v>Currently Unavailable</v>
      </c>
      <c r="I3816" s="1" t="str">
        <f t="shared" si="4"/>
        <v>No Badges</v>
      </c>
      <c r="J3816" s="3">
        <f t="shared" si="5"/>
        <v>0</v>
      </c>
    </row>
    <row r="3817">
      <c r="A3817" s="1" t="s">
        <v>2883</v>
      </c>
      <c r="B3817" s="3" t="str">
        <f t="shared" si="1"/>
        <v>Unavailable</v>
      </c>
      <c r="C3817" s="3">
        <v>554.0</v>
      </c>
      <c r="D3817" s="3">
        <f>IFERROR(__xludf.DUMMYFUNCTION("IFERROR(
IF(REGEXMATCH(LOWER(O3817),""k""),
VALUE(REGEXEXTRACT(O3817,""[0-9]+""))*1000,
VALUE(REGEXEXTRACT(O3817,""[0-9]+""))
),
0
)"),0.0)</f>
        <v>0</v>
      </c>
      <c r="E3817" s="1" t="s">
        <v>11</v>
      </c>
      <c r="F3817" s="1" t="s">
        <v>20</v>
      </c>
      <c r="G3817" s="4" t="b">
        <f t="shared" si="2"/>
        <v>1</v>
      </c>
      <c r="H3817" s="1" t="str">
        <f t="shared" si="3"/>
        <v>Currently Unavailable</v>
      </c>
      <c r="I3817" s="1" t="str">
        <f t="shared" si="4"/>
        <v>No Badges</v>
      </c>
      <c r="J3817" s="3">
        <f t="shared" si="5"/>
        <v>0</v>
      </c>
    </row>
    <row r="3818">
      <c r="A3818" s="1" t="s">
        <v>2884</v>
      </c>
      <c r="B3818" s="3" t="str">
        <f t="shared" si="1"/>
        <v>Unavailable</v>
      </c>
      <c r="C3818" s="3">
        <v>759.0</v>
      </c>
      <c r="D3818" s="3">
        <f>IFERROR(__xludf.DUMMYFUNCTION("IFERROR(
IF(REGEXMATCH(LOWER(O3818),""k""),
VALUE(REGEXEXTRACT(O3818,""[0-9]+""))*1000,
VALUE(REGEXEXTRACT(O3818,""[0-9]+""))
),
0
)"),0.0)</f>
        <v>0</v>
      </c>
      <c r="E3818" s="1" t="s">
        <v>11</v>
      </c>
      <c r="F3818" s="1" t="s">
        <v>20</v>
      </c>
      <c r="G3818" s="4" t="b">
        <f t="shared" si="2"/>
        <v>1</v>
      </c>
      <c r="H3818" s="1" t="str">
        <f t="shared" si="3"/>
        <v>Currently Unavailable</v>
      </c>
      <c r="I3818" s="1" t="str">
        <f t="shared" si="4"/>
        <v>No Badges</v>
      </c>
      <c r="J3818" s="3">
        <f t="shared" si="5"/>
        <v>0</v>
      </c>
    </row>
    <row r="3819">
      <c r="A3819" s="1" t="s">
        <v>2885</v>
      </c>
      <c r="B3819" s="3" t="str">
        <f t="shared" si="1"/>
        <v>Unavailable</v>
      </c>
      <c r="C3819" s="3">
        <v>495.0</v>
      </c>
      <c r="D3819" s="3">
        <f>IFERROR(__xludf.DUMMYFUNCTION("IFERROR(
IF(REGEXMATCH(LOWER(O3819),""k""),
VALUE(REGEXEXTRACT(O3819,""[0-9]+""))*1000,
VALUE(REGEXEXTRACT(O3819,""[0-9]+""))
),
0
)"),0.0)</f>
        <v>0</v>
      </c>
      <c r="E3819" s="1" t="s">
        <v>11</v>
      </c>
      <c r="F3819" s="1" t="s">
        <v>20</v>
      </c>
      <c r="G3819" s="4" t="b">
        <f t="shared" si="2"/>
        <v>1</v>
      </c>
      <c r="H3819" s="1" t="str">
        <f t="shared" si="3"/>
        <v>Currently Unavailable</v>
      </c>
      <c r="I3819" s="1" t="str">
        <f t="shared" si="4"/>
        <v>No Badges</v>
      </c>
      <c r="J3819" s="3">
        <f t="shared" si="5"/>
        <v>0</v>
      </c>
    </row>
    <row r="3820">
      <c r="A3820" s="1" t="s">
        <v>2886</v>
      </c>
      <c r="B3820" s="3" t="str">
        <f t="shared" si="1"/>
        <v>Unavailable</v>
      </c>
      <c r="C3820" s="3">
        <v>412.0</v>
      </c>
      <c r="D3820" s="3">
        <f>IFERROR(__xludf.DUMMYFUNCTION("IFERROR(
IF(REGEXMATCH(LOWER(O3820),""k""),
VALUE(REGEXEXTRACT(O3820,""[0-9]+""))*1000,
VALUE(REGEXEXTRACT(O3820,""[0-9]+""))
),
0
)"),0.0)</f>
        <v>0</v>
      </c>
      <c r="E3820" s="1" t="s">
        <v>11</v>
      </c>
      <c r="F3820" s="1" t="s">
        <v>20</v>
      </c>
      <c r="G3820" s="4" t="b">
        <f t="shared" si="2"/>
        <v>1</v>
      </c>
      <c r="H3820" s="1" t="str">
        <f t="shared" si="3"/>
        <v>Currently Unavailable</v>
      </c>
      <c r="I3820" s="1" t="str">
        <f t="shared" si="4"/>
        <v>No Badges</v>
      </c>
      <c r="J3820" s="3">
        <f t="shared" si="5"/>
        <v>0</v>
      </c>
    </row>
    <row r="3821">
      <c r="A3821" s="1" t="s">
        <v>2887</v>
      </c>
      <c r="B3821" s="3" t="str">
        <f t="shared" si="1"/>
        <v>Unavailable</v>
      </c>
      <c r="C3821" s="3">
        <v>29.0</v>
      </c>
      <c r="D3821" s="3">
        <f>IFERROR(__xludf.DUMMYFUNCTION("IFERROR(
IF(REGEXMATCH(LOWER(O3821),""k""),
VALUE(REGEXEXTRACT(O3821,""[0-9]+""))*1000,
VALUE(REGEXEXTRACT(O3821,""[0-9]+""))
),
0
)"),0.0)</f>
        <v>0</v>
      </c>
      <c r="E3821" s="1" t="s">
        <v>11</v>
      </c>
      <c r="F3821" s="1" t="s">
        <v>20</v>
      </c>
      <c r="G3821" s="4" t="b">
        <f t="shared" si="2"/>
        <v>1</v>
      </c>
      <c r="H3821" s="1" t="str">
        <f t="shared" si="3"/>
        <v>Currently Unavailable</v>
      </c>
      <c r="I3821" s="1" t="str">
        <f t="shared" si="4"/>
        <v>No Badges</v>
      </c>
      <c r="J3821" s="3">
        <f t="shared" si="5"/>
        <v>0</v>
      </c>
    </row>
    <row r="3822">
      <c r="A3822" s="1" t="s">
        <v>2888</v>
      </c>
      <c r="B3822" s="3" t="str">
        <f t="shared" si="1"/>
        <v>Unavailable</v>
      </c>
      <c r="C3822" s="3">
        <v>484.0</v>
      </c>
      <c r="D3822" s="3">
        <f>IFERROR(__xludf.DUMMYFUNCTION("IFERROR(
IF(REGEXMATCH(LOWER(O3822),""k""),
VALUE(REGEXEXTRACT(O3822,""[0-9]+""))*1000,
VALUE(REGEXEXTRACT(O3822,""[0-9]+""))
),
0
)"),0.0)</f>
        <v>0</v>
      </c>
      <c r="E3822" s="1" t="s">
        <v>11</v>
      </c>
      <c r="F3822" s="1" t="s">
        <v>20</v>
      </c>
      <c r="G3822" s="4" t="b">
        <f t="shared" si="2"/>
        <v>1</v>
      </c>
      <c r="H3822" s="1" t="str">
        <f t="shared" si="3"/>
        <v>Currently Unavailable</v>
      </c>
      <c r="I3822" s="1" t="str">
        <f t="shared" si="4"/>
        <v>No Badges</v>
      </c>
      <c r="J3822" s="3">
        <f t="shared" si="5"/>
        <v>0</v>
      </c>
    </row>
    <row r="3823">
      <c r="A3823" s="1" t="s">
        <v>2354</v>
      </c>
      <c r="B3823" s="3" t="str">
        <f t="shared" si="1"/>
        <v>Unavailable</v>
      </c>
      <c r="C3823" s="5">
        <v>1878.0</v>
      </c>
      <c r="D3823" s="3">
        <f>IFERROR(__xludf.DUMMYFUNCTION("IFERROR(
IF(REGEXMATCH(LOWER(O3823),""k""),
VALUE(REGEXEXTRACT(O3823,""[0-9]+""))*1000,
VALUE(REGEXEXTRACT(O3823,""[0-9]+""))
),
0
)"),0.0)</f>
        <v>0</v>
      </c>
      <c r="E3823" s="1" t="s">
        <v>11</v>
      </c>
      <c r="F3823" s="1" t="s">
        <v>12</v>
      </c>
      <c r="G3823" s="4" t="b">
        <f t="shared" si="2"/>
        <v>1</v>
      </c>
      <c r="H3823" s="1" t="str">
        <f t="shared" si="3"/>
        <v>Currently Unavailable</v>
      </c>
      <c r="I3823" s="1" t="str">
        <f t="shared" si="4"/>
        <v>No Badges</v>
      </c>
      <c r="J3823" s="3">
        <f t="shared" si="5"/>
        <v>0</v>
      </c>
    </row>
    <row r="3824">
      <c r="A3824" s="1" t="s">
        <v>88</v>
      </c>
      <c r="B3824" s="3" t="str">
        <f t="shared" si="1"/>
        <v>Unavailable</v>
      </c>
      <c r="C3824" s="3">
        <v>5.0</v>
      </c>
      <c r="D3824" s="3">
        <f>IFERROR(__xludf.DUMMYFUNCTION("IFERROR(
IF(REGEXMATCH(LOWER(O3824),""k""),
VALUE(REGEXEXTRACT(O3824,""[0-9]+""))*1000,
VALUE(REGEXEXTRACT(O3824,""[0-9]+""))
),
0
)"),0.0)</f>
        <v>0</v>
      </c>
      <c r="E3824" s="1" t="s">
        <v>11</v>
      </c>
      <c r="F3824" s="1" t="s">
        <v>12</v>
      </c>
      <c r="G3824" s="4" t="b">
        <f t="shared" si="2"/>
        <v>1</v>
      </c>
      <c r="H3824" s="1" t="str">
        <f t="shared" si="3"/>
        <v>Currently Unavailable</v>
      </c>
      <c r="I3824" s="1" t="str">
        <f t="shared" si="4"/>
        <v>No Badges</v>
      </c>
      <c r="J3824" s="3">
        <f t="shared" si="5"/>
        <v>0</v>
      </c>
    </row>
    <row r="3825">
      <c r="A3825" s="1" t="s">
        <v>2889</v>
      </c>
      <c r="B3825" s="3" t="str">
        <f t="shared" si="1"/>
        <v>Unavailable</v>
      </c>
      <c r="C3825" s="3">
        <v>1.0</v>
      </c>
      <c r="D3825" s="3">
        <f>IFERROR(__xludf.DUMMYFUNCTION("IFERROR(
IF(REGEXMATCH(LOWER(O3825),""k""),
VALUE(REGEXEXTRACT(O3825,""[0-9]+""))*1000,
VALUE(REGEXEXTRACT(O3825,""[0-9]+""))
),
0
)"),0.0)</f>
        <v>0</v>
      </c>
      <c r="E3825" s="1" t="s">
        <v>11</v>
      </c>
      <c r="F3825" s="1" t="s">
        <v>12</v>
      </c>
      <c r="G3825" s="4" t="b">
        <f t="shared" si="2"/>
        <v>1</v>
      </c>
      <c r="H3825" s="1" t="str">
        <f t="shared" si="3"/>
        <v>Currently Unavailable</v>
      </c>
      <c r="I3825" s="1" t="str">
        <f t="shared" si="4"/>
        <v>No Badges</v>
      </c>
      <c r="J3825" s="3">
        <f t="shared" si="5"/>
        <v>0</v>
      </c>
    </row>
    <row r="3826">
      <c r="A3826" s="1" t="s">
        <v>2890</v>
      </c>
      <c r="B3826" s="3" t="str">
        <f t="shared" si="1"/>
        <v>Unavailable</v>
      </c>
      <c r="C3826" s="3">
        <v>20.0</v>
      </c>
      <c r="D3826" s="3">
        <f>IFERROR(__xludf.DUMMYFUNCTION("IFERROR(
IF(REGEXMATCH(LOWER(O3826),""k""),
VALUE(REGEXEXTRACT(O3826,""[0-9]+""))*1000,
VALUE(REGEXEXTRACT(O3826,""[0-9]+""))
),
0
)"),0.0)</f>
        <v>0</v>
      </c>
      <c r="E3826" s="1" t="s">
        <v>11</v>
      </c>
      <c r="F3826" s="1" t="s">
        <v>12</v>
      </c>
      <c r="G3826" s="4" t="b">
        <f t="shared" si="2"/>
        <v>1</v>
      </c>
      <c r="H3826" s="1" t="str">
        <f t="shared" si="3"/>
        <v>Currently Unavailable</v>
      </c>
      <c r="I3826" s="1" t="str">
        <f t="shared" si="4"/>
        <v>No Badges</v>
      </c>
      <c r="J3826" s="3">
        <f t="shared" si="5"/>
        <v>0</v>
      </c>
    </row>
    <row r="3827">
      <c r="A3827" s="1" t="s">
        <v>2891</v>
      </c>
      <c r="B3827" s="3" t="str">
        <f t="shared" si="1"/>
        <v>Unavailable</v>
      </c>
      <c r="C3827" s="5">
        <v>15188.0</v>
      </c>
      <c r="D3827" s="3">
        <f>IFERROR(__xludf.DUMMYFUNCTION("IFERROR(
IF(REGEXMATCH(LOWER(O3827),""k""),
VALUE(REGEXEXTRACT(O3827,""[0-9]+""))*1000,
VALUE(REGEXEXTRACT(O3827,""[0-9]+""))
),
0
)"),0.0)</f>
        <v>0</v>
      </c>
      <c r="E3827" s="1" t="s">
        <v>11</v>
      </c>
      <c r="F3827" s="1" t="s">
        <v>20</v>
      </c>
      <c r="G3827" s="4" t="b">
        <f t="shared" si="2"/>
        <v>1</v>
      </c>
      <c r="H3827" s="1" t="str">
        <f t="shared" si="3"/>
        <v>Currently Unavailable</v>
      </c>
      <c r="I3827" s="1" t="str">
        <f t="shared" si="4"/>
        <v>No Badges</v>
      </c>
      <c r="J3827" s="3">
        <f t="shared" si="5"/>
        <v>0</v>
      </c>
    </row>
    <row r="3828">
      <c r="A3828" s="1" t="s">
        <v>2892</v>
      </c>
      <c r="B3828" s="3" t="str">
        <f t="shared" si="1"/>
        <v>Unavailable</v>
      </c>
      <c r="C3828" s="3">
        <v>5.0</v>
      </c>
      <c r="D3828" s="3">
        <f>IFERROR(__xludf.DUMMYFUNCTION("IFERROR(
IF(REGEXMATCH(LOWER(O3828),""k""),
VALUE(REGEXEXTRACT(O3828,""[0-9]+""))*1000,
VALUE(REGEXEXTRACT(O3828,""[0-9]+""))
),
0
)"),0.0)</f>
        <v>0</v>
      </c>
      <c r="E3828" s="1" t="s">
        <v>11</v>
      </c>
      <c r="F3828" s="1" t="s">
        <v>20</v>
      </c>
      <c r="G3828" s="4" t="b">
        <f t="shared" si="2"/>
        <v>1</v>
      </c>
      <c r="H3828" s="1" t="str">
        <f t="shared" si="3"/>
        <v>Currently Unavailable</v>
      </c>
      <c r="I3828" s="1" t="str">
        <f t="shared" si="4"/>
        <v>No Badges</v>
      </c>
      <c r="J3828" s="3">
        <f t="shared" si="5"/>
        <v>0</v>
      </c>
    </row>
    <row r="3829">
      <c r="A3829" s="1" t="s">
        <v>2604</v>
      </c>
      <c r="B3829" s="1" t="str">
        <f t="shared" si="1"/>
        <v>Unavailable</v>
      </c>
      <c r="C3829" s="1"/>
      <c r="D3829" s="3">
        <f>IFERROR(__xludf.DUMMYFUNCTION("IFERROR(
IF(REGEXMATCH(LOWER(O3829),""k""),
VALUE(REGEXEXTRACT(O3829,""[0-9]+""))*1000,
VALUE(REGEXEXTRACT(O3829,""[0-9]+""))
),
0
)"),0.0)</f>
        <v>0</v>
      </c>
      <c r="E3829" s="1" t="s">
        <v>11</v>
      </c>
      <c r="F3829" s="1" t="s">
        <v>12</v>
      </c>
      <c r="G3829" s="4" t="b">
        <f t="shared" si="2"/>
        <v>1</v>
      </c>
      <c r="H3829" s="1" t="str">
        <f t="shared" si="3"/>
        <v>Currently Unavailable</v>
      </c>
      <c r="I3829" s="1" t="str">
        <f t="shared" si="4"/>
        <v>No Badges</v>
      </c>
      <c r="J3829" s="3">
        <f t="shared" si="5"/>
        <v>0</v>
      </c>
    </row>
    <row r="3830">
      <c r="A3830" s="1" t="s">
        <v>2893</v>
      </c>
      <c r="B3830" s="3" t="str">
        <f t="shared" si="1"/>
        <v>Unavailable</v>
      </c>
      <c r="C3830" s="3">
        <v>296.0</v>
      </c>
      <c r="D3830" s="3">
        <f>IFERROR(__xludf.DUMMYFUNCTION("IFERROR(
IF(REGEXMATCH(LOWER(O3830),""k""),
VALUE(REGEXEXTRACT(O3830,""[0-9]+""))*1000,
VALUE(REGEXEXTRACT(O3830,""[0-9]+""))
),
0
)"),0.0)</f>
        <v>0</v>
      </c>
      <c r="E3830" s="1" t="s">
        <v>11</v>
      </c>
      <c r="F3830" s="1" t="s">
        <v>20</v>
      </c>
      <c r="G3830" s="4" t="b">
        <f t="shared" si="2"/>
        <v>1</v>
      </c>
      <c r="H3830" s="1" t="str">
        <f t="shared" si="3"/>
        <v>Currently Unavailable</v>
      </c>
      <c r="I3830" s="1" t="str">
        <f t="shared" si="4"/>
        <v>No Badges</v>
      </c>
      <c r="J3830" s="3">
        <f t="shared" si="5"/>
        <v>0</v>
      </c>
    </row>
    <row r="3831">
      <c r="A3831" s="1" t="s">
        <v>2894</v>
      </c>
      <c r="B3831" s="3" t="str">
        <f t="shared" si="1"/>
        <v>Unavailable</v>
      </c>
      <c r="C3831" s="3">
        <v>168.0</v>
      </c>
      <c r="D3831" s="3">
        <f>IFERROR(__xludf.DUMMYFUNCTION("IFERROR(
IF(REGEXMATCH(LOWER(O3831),""k""),
VALUE(REGEXEXTRACT(O3831,""[0-9]+""))*1000,
VALUE(REGEXEXTRACT(O3831,""[0-9]+""))
),
0
)"),0.0)</f>
        <v>0</v>
      </c>
      <c r="E3831" s="1" t="s">
        <v>11</v>
      </c>
      <c r="F3831" s="1" t="s">
        <v>20</v>
      </c>
      <c r="G3831" s="4" t="b">
        <f t="shared" si="2"/>
        <v>1</v>
      </c>
      <c r="H3831" s="1" t="str">
        <f t="shared" si="3"/>
        <v>Currently Unavailable</v>
      </c>
      <c r="I3831" s="1" t="str">
        <f t="shared" si="4"/>
        <v>No Badges</v>
      </c>
      <c r="J3831" s="3">
        <f t="shared" si="5"/>
        <v>0</v>
      </c>
    </row>
    <row r="3832">
      <c r="A3832" s="1" t="s">
        <v>2895</v>
      </c>
      <c r="B3832" s="3" t="str">
        <f t="shared" si="1"/>
        <v>Unavailable</v>
      </c>
      <c r="C3832" s="3">
        <v>650.0</v>
      </c>
      <c r="D3832" s="3">
        <f>IFERROR(__xludf.DUMMYFUNCTION("IFERROR(
IF(REGEXMATCH(LOWER(O3832),""k""),
VALUE(REGEXEXTRACT(O3832,""[0-9]+""))*1000,
VALUE(REGEXEXTRACT(O3832,""[0-9]+""))
),
0
)"),0.0)</f>
        <v>0</v>
      </c>
      <c r="E3832" s="1" t="s">
        <v>11</v>
      </c>
      <c r="F3832" s="1" t="s">
        <v>20</v>
      </c>
      <c r="G3832" s="4" t="b">
        <f t="shared" si="2"/>
        <v>1</v>
      </c>
      <c r="H3832" s="1" t="str">
        <f t="shared" si="3"/>
        <v>Currently Unavailable</v>
      </c>
      <c r="I3832" s="1" t="str">
        <f t="shared" si="4"/>
        <v>No Badges</v>
      </c>
      <c r="J3832" s="3">
        <f t="shared" si="5"/>
        <v>0</v>
      </c>
    </row>
    <row r="3833">
      <c r="A3833" s="1" t="s">
        <v>2896</v>
      </c>
      <c r="B3833" s="3" t="str">
        <f t="shared" si="1"/>
        <v>Unavailable</v>
      </c>
      <c r="C3833" s="3">
        <v>75.0</v>
      </c>
      <c r="D3833" s="3">
        <f>IFERROR(__xludf.DUMMYFUNCTION("IFERROR(
IF(REGEXMATCH(LOWER(O3833),""k""),
VALUE(REGEXEXTRACT(O3833,""[0-9]+""))*1000,
VALUE(REGEXEXTRACT(O3833,""[0-9]+""))
),
0
)"),0.0)</f>
        <v>0</v>
      </c>
      <c r="E3833" s="1" t="s">
        <v>11</v>
      </c>
      <c r="F3833" s="1" t="s">
        <v>20</v>
      </c>
      <c r="G3833" s="4" t="b">
        <f t="shared" si="2"/>
        <v>1</v>
      </c>
      <c r="H3833" s="1" t="str">
        <f t="shared" si="3"/>
        <v>Currently Unavailable</v>
      </c>
      <c r="I3833" s="1" t="str">
        <f t="shared" si="4"/>
        <v>No Badges</v>
      </c>
      <c r="J3833" s="3">
        <f t="shared" si="5"/>
        <v>0</v>
      </c>
    </row>
    <row r="3834">
      <c r="A3834" s="1" t="s">
        <v>2897</v>
      </c>
      <c r="B3834" s="3" t="str">
        <f t="shared" si="1"/>
        <v>Unavailable</v>
      </c>
      <c r="C3834" s="5">
        <v>11513.0</v>
      </c>
      <c r="D3834" s="3">
        <f>IFERROR(__xludf.DUMMYFUNCTION("IFERROR(
IF(REGEXMATCH(LOWER(O3834),""k""),
VALUE(REGEXEXTRACT(O3834,""[0-9]+""))*1000,
VALUE(REGEXEXTRACT(O3834,""[0-9]+""))
),
0
)"),0.0)</f>
        <v>0</v>
      </c>
      <c r="E3834" s="1" t="s">
        <v>11</v>
      </c>
      <c r="F3834" s="1" t="s">
        <v>20</v>
      </c>
      <c r="G3834" s="4" t="b">
        <f t="shared" si="2"/>
        <v>1</v>
      </c>
      <c r="H3834" s="1" t="str">
        <f t="shared" si="3"/>
        <v>Currently Unavailable</v>
      </c>
      <c r="I3834" s="1" t="str">
        <f t="shared" si="4"/>
        <v>No Badges</v>
      </c>
      <c r="J3834" s="3">
        <f t="shared" si="5"/>
        <v>0</v>
      </c>
    </row>
    <row r="3835">
      <c r="A3835" s="1" t="s">
        <v>2898</v>
      </c>
      <c r="B3835" s="3" t="str">
        <f t="shared" si="1"/>
        <v>Unavailable</v>
      </c>
      <c r="C3835" s="3">
        <v>202.0</v>
      </c>
      <c r="D3835" s="3">
        <f>IFERROR(__xludf.DUMMYFUNCTION("IFERROR(
IF(REGEXMATCH(LOWER(O3835),""k""),
VALUE(REGEXEXTRACT(O3835,""[0-9]+""))*1000,
VALUE(REGEXEXTRACT(O3835,""[0-9]+""))
),
0
)"),0.0)</f>
        <v>0</v>
      </c>
      <c r="E3835" s="1" t="s">
        <v>11</v>
      </c>
      <c r="F3835" s="1" t="s">
        <v>20</v>
      </c>
      <c r="G3835" s="4" t="b">
        <f t="shared" si="2"/>
        <v>1</v>
      </c>
      <c r="H3835" s="1" t="str">
        <f t="shared" si="3"/>
        <v>Currently Unavailable</v>
      </c>
      <c r="I3835" s="1" t="str">
        <f t="shared" si="4"/>
        <v>No Badges</v>
      </c>
      <c r="J3835" s="3">
        <f t="shared" si="5"/>
        <v>0</v>
      </c>
    </row>
    <row r="3836">
      <c r="A3836" s="1" t="s">
        <v>2899</v>
      </c>
      <c r="B3836" s="3" t="str">
        <f t="shared" si="1"/>
        <v>Unavailable</v>
      </c>
      <c r="C3836" s="3">
        <v>119.0</v>
      </c>
      <c r="D3836" s="3">
        <f>IFERROR(__xludf.DUMMYFUNCTION("IFERROR(
IF(REGEXMATCH(LOWER(O3836),""k""),
VALUE(REGEXEXTRACT(O3836,""[0-9]+""))*1000,
VALUE(REGEXEXTRACT(O3836,""[0-9]+""))
),
0
)"),0.0)</f>
        <v>0</v>
      </c>
      <c r="E3836" s="1" t="s">
        <v>11</v>
      </c>
      <c r="F3836" s="1" t="s">
        <v>20</v>
      </c>
      <c r="G3836" s="4" t="b">
        <f t="shared" si="2"/>
        <v>1</v>
      </c>
      <c r="H3836" s="1" t="str">
        <f t="shared" si="3"/>
        <v>Currently Unavailable</v>
      </c>
      <c r="I3836" s="1" t="str">
        <f t="shared" si="4"/>
        <v>No Badges</v>
      </c>
      <c r="J3836" s="3">
        <f t="shared" si="5"/>
        <v>0</v>
      </c>
    </row>
    <row r="3837">
      <c r="A3837" s="1" t="s">
        <v>2900</v>
      </c>
      <c r="B3837" s="3" t="str">
        <f t="shared" si="1"/>
        <v>Unavailable</v>
      </c>
      <c r="C3837" s="5">
        <v>1231.0</v>
      </c>
      <c r="D3837" s="3">
        <f>IFERROR(__xludf.DUMMYFUNCTION("IFERROR(
IF(REGEXMATCH(LOWER(O3837),""k""),
VALUE(REGEXEXTRACT(O3837,""[0-9]+""))*1000,
VALUE(REGEXEXTRACT(O3837,""[0-9]+""))
),
0
)"),0.0)</f>
        <v>0</v>
      </c>
      <c r="E3837" s="1" t="s">
        <v>11</v>
      </c>
      <c r="F3837" s="1" t="s">
        <v>20</v>
      </c>
      <c r="G3837" s="4" t="b">
        <f t="shared" si="2"/>
        <v>1</v>
      </c>
      <c r="H3837" s="1" t="str">
        <f t="shared" si="3"/>
        <v>Currently Unavailable</v>
      </c>
      <c r="I3837" s="1" t="str">
        <f t="shared" si="4"/>
        <v>No Badges</v>
      </c>
      <c r="J3837" s="3">
        <f t="shared" si="5"/>
        <v>0</v>
      </c>
    </row>
    <row r="3838">
      <c r="A3838" s="1" t="s">
        <v>2901</v>
      </c>
      <c r="B3838" s="3" t="str">
        <f t="shared" si="1"/>
        <v>Unavailable</v>
      </c>
      <c r="C3838" s="5">
        <v>1434.0</v>
      </c>
      <c r="D3838" s="3">
        <f>IFERROR(__xludf.DUMMYFUNCTION("IFERROR(
IF(REGEXMATCH(LOWER(O3838),""k""),
VALUE(REGEXEXTRACT(O3838,""[0-9]+""))*1000,
VALUE(REGEXEXTRACT(O3838,""[0-9]+""))
),
0
)"),0.0)</f>
        <v>0</v>
      </c>
      <c r="E3838" s="1" t="s">
        <v>11</v>
      </c>
      <c r="F3838" s="1" t="s">
        <v>20</v>
      </c>
      <c r="G3838" s="4" t="b">
        <f t="shared" si="2"/>
        <v>1</v>
      </c>
      <c r="H3838" s="1" t="str">
        <f t="shared" si="3"/>
        <v>Currently Unavailable</v>
      </c>
      <c r="I3838" s="1" t="str">
        <f t="shared" si="4"/>
        <v>No Badges</v>
      </c>
      <c r="J3838" s="3">
        <f t="shared" si="5"/>
        <v>0</v>
      </c>
    </row>
    <row r="3839">
      <c r="A3839" s="1" t="s">
        <v>2902</v>
      </c>
      <c r="B3839" s="3" t="str">
        <f t="shared" si="1"/>
        <v>Unavailable</v>
      </c>
      <c r="C3839" s="3">
        <v>240.0</v>
      </c>
      <c r="D3839" s="3">
        <f>IFERROR(__xludf.DUMMYFUNCTION("IFERROR(
IF(REGEXMATCH(LOWER(O3839),""k""),
VALUE(REGEXEXTRACT(O3839,""[0-9]+""))*1000,
VALUE(REGEXEXTRACT(O3839,""[0-9]+""))
),
0
)"),0.0)</f>
        <v>0</v>
      </c>
      <c r="E3839" s="1" t="s">
        <v>11</v>
      </c>
      <c r="F3839" s="1" t="s">
        <v>20</v>
      </c>
      <c r="G3839" s="4" t="b">
        <f t="shared" si="2"/>
        <v>1</v>
      </c>
      <c r="H3839" s="1" t="str">
        <f t="shared" si="3"/>
        <v>Currently Unavailable</v>
      </c>
      <c r="I3839" s="1" t="str">
        <f t="shared" si="4"/>
        <v>No Badges</v>
      </c>
      <c r="J3839" s="3">
        <f t="shared" si="5"/>
        <v>0</v>
      </c>
    </row>
    <row r="3840">
      <c r="A3840" s="1" t="s">
        <v>2903</v>
      </c>
      <c r="B3840" s="3" t="str">
        <f t="shared" si="1"/>
        <v>Unavailable</v>
      </c>
      <c r="C3840" s="3">
        <v>669.0</v>
      </c>
      <c r="D3840" s="3">
        <f>IFERROR(__xludf.DUMMYFUNCTION("IFERROR(
IF(REGEXMATCH(LOWER(O3840),""k""),
VALUE(REGEXEXTRACT(O3840,""[0-9]+""))*1000,
VALUE(REGEXEXTRACT(O3840,""[0-9]+""))
),
0
)"),0.0)</f>
        <v>0</v>
      </c>
      <c r="E3840" s="1" t="s">
        <v>11</v>
      </c>
      <c r="F3840" s="1" t="s">
        <v>20</v>
      </c>
      <c r="G3840" s="4" t="b">
        <f t="shared" si="2"/>
        <v>1</v>
      </c>
      <c r="H3840" s="1" t="str">
        <f t="shared" si="3"/>
        <v>Currently Unavailable</v>
      </c>
      <c r="I3840" s="1" t="str">
        <f t="shared" si="4"/>
        <v>No Badges</v>
      </c>
      <c r="J3840" s="3">
        <f t="shared" si="5"/>
        <v>0</v>
      </c>
    </row>
    <row r="3841">
      <c r="A3841" s="1" t="s">
        <v>2904</v>
      </c>
      <c r="B3841" s="3" t="str">
        <f t="shared" si="1"/>
        <v>Unavailable</v>
      </c>
      <c r="C3841" s="3">
        <v>94.0</v>
      </c>
      <c r="D3841" s="3">
        <f>IFERROR(__xludf.DUMMYFUNCTION("IFERROR(
IF(REGEXMATCH(LOWER(O3841),""k""),
VALUE(REGEXEXTRACT(O3841,""[0-9]+""))*1000,
VALUE(REGEXEXTRACT(O3841,""[0-9]+""))
),
0
)"),0.0)</f>
        <v>0</v>
      </c>
      <c r="E3841" s="1" t="s">
        <v>11</v>
      </c>
      <c r="F3841" s="1" t="s">
        <v>20</v>
      </c>
      <c r="G3841" s="4" t="b">
        <f t="shared" si="2"/>
        <v>1</v>
      </c>
      <c r="H3841" s="1" t="str">
        <f t="shared" si="3"/>
        <v>Currently Unavailable</v>
      </c>
      <c r="I3841" s="1" t="str">
        <f t="shared" si="4"/>
        <v>No Badges</v>
      </c>
      <c r="J3841" s="3">
        <f t="shared" si="5"/>
        <v>0</v>
      </c>
    </row>
    <row r="3842">
      <c r="A3842" s="1" t="s">
        <v>604</v>
      </c>
      <c r="B3842" s="3" t="str">
        <f t="shared" si="1"/>
        <v>Unavailable</v>
      </c>
      <c r="C3842" s="3">
        <v>30.0</v>
      </c>
      <c r="D3842" s="3">
        <f>IFERROR(__xludf.DUMMYFUNCTION("IFERROR(
IF(REGEXMATCH(LOWER(O3842),""k""),
VALUE(REGEXEXTRACT(O3842,""[0-9]+""))*1000,
VALUE(REGEXEXTRACT(O3842,""[0-9]+""))
),
0
)"),0.0)</f>
        <v>0</v>
      </c>
      <c r="E3842" s="1" t="s">
        <v>11</v>
      </c>
      <c r="F3842" s="1" t="s">
        <v>12</v>
      </c>
      <c r="G3842" s="4" t="b">
        <f t="shared" si="2"/>
        <v>1</v>
      </c>
      <c r="H3842" s="1" t="str">
        <f t="shared" si="3"/>
        <v>Currently Unavailable</v>
      </c>
      <c r="I3842" s="1" t="str">
        <f t="shared" si="4"/>
        <v>No Badges</v>
      </c>
      <c r="J3842" s="3">
        <f t="shared" si="5"/>
        <v>0</v>
      </c>
    </row>
    <row r="3843">
      <c r="A3843" s="1" t="s">
        <v>69</v>
      </c>
      <c r="B3843" s="3" t="str">
        <f t="shared" si="1"/>
        <v>Unavailable</v>
      </c>
      <c r="C3843" s="3">
        <v>45.0</v>
      </c>
      <c r="D3843" s="3">
        <f>IFERROR(__xludf.DUMMYFUNCTION("IFERROR(
IF(REGEXMATCH(LOWER(O3843),""k""),
VALUE(REGEXEXTRACT(O3843,""[0-9]+""))*1000,
VALUE(REGEXEXTRACT(O3843,""[0-9]+""))
),
0
)"),0.0)</f>
        <v>0</v>
      </c>
      <c r="E3843" s="1" t="s">
        <v>11</v>
      </c>
      <c r="F3843" s="1" t="s">
        <v>12</v>
      </c>
      <c r="G3843" s="4" t="b">
        <f t="shared" si="2"/>
        <v>1</v>
      </c>
      <c r="H3843" s="1" t="str">
        <f t="shared" si="3"/>
        <v>Currently Unavailable</v>
      </c>
      <c r="I3843" s="1" t="str">
        <f t="shared" si="4"/>
        <v>No Badges</v>
      </c>
      <c r="J3843" s="3">
        <f t="shared" si="5"/>
        <v>0</v>
      </c>
    </row>
    <row r="3844">
      <c r="A3844" s="1" t="s">
        <v>67</v>
      </c>
      <c r="B3844" s="3" t="str">
        <f t="shared" si="1"/>
        <v>Unavailable</v>
      </c>
      <c r="C3844" s="3">
        <v>264.0</v>
      </c>
      <c r="D3844" s="3">
        <f>IFERROR(__xludf.DUMMYFUNCTION("IFERROR(
IF(REGEXMATCH(LOWER(O3844),""k""),
VALUE(REGEXEXTRACT(O3844,""[0-9]+""))*1000,
VALUE(REGEXEXTRACT(O3844,""[0-9]+""))
),
0
)"),0.0)</f>
        <v>0</v>
      </c>
      <c r="E3844" s="1" t="s">
        <v>11</v>
      </c>
      <c r="F3844" s="1" t="s">
        <v>12</v>
      </c>
      <c r="G3844" s="4" t="b">
        <f t="shared" si="2"/>
        <v>1</v>
      </c>
      <c r="H3844" s="1" t="str">
        <f t="shared" si="3"/>
        <v>Currently Unavailable</v>
      </c>
      <c r="I3844" s="1" t="str">
        <f t="shared" si="4"/>
        <v>No Badges</v>
      </c>
      <c r="J3844" s="3">
        <f t="shared" si="5"/>
        <v>0</v>
      </c>
    </row>
    <row r="3845">
      <c r="A3845" s="1" t="s">
        <v>2357</v>
      </c>
      <c r="B3845" s="3" t="str">
        <f t="shared" si="1"/>
        <v>Unavailable</v>
      </c>
      <c r="C3845" s="3">
        <v>74.0</v>
      </c>
      <c r="D3845" s="3">
        <f>IFERROR(__xludf.DUMMYFUNCTION("IFERROR(
IF(REGEXMATCH(LOWER(O3845),""k""),
VALUE(REGEXEXTRACT(O3845,""[0-9]+""))*1000,
VALUE(REGEXEXTRACT(O3845,""[0-9]+""))
),
0
)"),0.0)</f>
        <v>0</v>
      </c>
      <c r="E3845" s="1" t="s">
        <v>11</v>
      </c>
      <c r="F3845" s="1" t="s">
        <v>12</v>
      </c>
      <c r="G3845" s="4" t="b">
        <f t="shared" si="2"/>
        <v>1</v>
      </c>
      <c r="H3845" s="1" t="str">
        <f t="shared" si="3"/>
        <v>Currently Unavailable</v>
      </c>
      <c r="I3845" s="1" t="str">
        <f t="shared" si="4"/>
        <v>No Badges</v>
      </c>
      <c r="J3845" s="3">
        <f t="shared" si="5"/>
        <v>0</v>
      </c>
    </row>
    <row r="3846">
      <c r="A3846" s="1" t="s">
        <v>2905</v>
      </c>
      <c r="B3846" s="3" t="str">
        <f t="shared" si="1"/>
        <v>Unavailable</v>
      </c>
      <c r="C3846" s="3">
        <v>157.0</v>
      </c>
      <c r="D3846" s="3">
        <f>IFERROR(__xludf.DUMMYFUNCTION("IFERROR(
IF(REGEXMATCH(LOWER(O3846),""k""),
VALUE(REGEXEXTRACT(O3846,""[0-9]+""))*1000,
VALUE(REGEXEXTRACT(O3846,""[0-9]+""))
),
0
)"),0.0)</f>
        <v>0</v>
      </c>
      <c r="E3846" s="1" t="s">
        <v>11</v>
      </c>
      <c r="F3846" s="1" t="s">
        <v>20</v>
      </c>
      <c r="G3846" s="4" t="b">
        <f t="shared" si="2"/>
        <v>1</v>
      </c>
      <c r="H3846" s="1" t="str">
        <f t="shared" si="3"/>
        <v>Currently Unavailable</v>
      </c>
      <c r="I3846" s="1" t="str">
        <f t="shared" si="4"/>
        <v>No Badges</v>
      </c>
      <c r="J3846" s="3">
        <f t="shared" si="5"/>
        <v>0</v>
      </c>
    </row>
    <row r="3847">
      <c r="A3847" s="1" t="s">
        <v>2906</v>
      </c>
      <c r="B3847" s="3" t="str">
        <f t="shared" si="1"/>
        <v>Unavailable</v>
      </c>
      <c r="C3847" s="5">
        <v>9976.0</v>
      </c>
      <c r="D3847" s="3">
        <f>IFERROR(__xludf.DUMMYFUNCTION("IFERROR(
IF(REGEXMATCH(LOWER(O3847),""k""),
VALUE(REGEXEXTRACT(O3847,""[0-9]+""))*1000,
VALUE(REGEXEXTRACT(O3847,""[0-9]+""))
),
0
)"),0.0)</f>
        <v>0</v>
      </c>
      <c r="E3847" s="1" t="s">
        <v>11</v>
      </c>
      <c r="F3847" s="1" t="s">
        <v>20</v>
      </c>
      <c r="G3847" s="4" t="b">
        <f t="shared" si="2"/>
        <v>1</v>
      </c>
      <c r="H3847" s="1" t="str">
        <f t="shared" si="3"/>
        <v>Currently Unavailable</v>
      </c>
      <c r="I3847" s="1" t="str">
        <f t="shared" si="4"/>
        <v>No Badges</v>
      </c>
      <c r="J3847" s="3">
        <f t="shared" si="5"/>
        <v>0</v>
      </c>
    </row>
    <row r="3848">
      <c r="A3848" s="1" t="s">
        <v>2907</v>
      </c>
      <c r="B3848" s="3" t="str">
        <f t="shared" si="1"/>
        <v>Unavailable</v>
      </c>
      <c r="C3848" s="3">
        <v>35.0</v>
      </c>
      <c r="D3848" s="3">
        <f>IFERROR(__xludf.DUMMYFUNCTION("IFERROR(
IF(REGEXMATCH(LOWER(O3848),""k""),
VALUE(REGEXEXTRACT(O3848,""[0-9]+""))*1000,
VALUE(REGEXEXTRACT(O3848,""[0-9]+""))
),
0
)"),0.0)</f>
        <v>0</v>
      </c>
      <c r="E3848" s="1" t="s">
        <v>11</v>
      </c>
      <c r="F3848" s="1" t="s">
        <v>20</v>
      </c>
      <c r="G3848" s="4" t="b">
        <f t="shared" si="2"/>
        <v>1</v>
      </c>
      <c r="H3848" s="1" t="str">
        <f t="shared" si="3"/>
        <v>Currently Unavailable</v>
      </c>
      <c r="I3848" s="1" t="str">
        <f t="shared" si="4"/>
        <v>No Badges</v>
      </c>
      <c r="J3848" s="3">
        <f t="shared" si="5"/>
        <v>0</v>
      </c>
    </row>
    <row r="3849">
      <c r="A3849" s="1" t="s">
        <v>2908</v>
      </c>
      <c r="B3849" s="3" t="str">
        <f t="shared" si="1"/>
        <v>Unavailable</v>
      </c>
      <c r="C3849" s="3">
        <v>79.0</v>
      </c>
      <c r="D3849" s="3">
        <f>IFERROR(__xludf.DUMMYFUNCTION("IFERROR(
IF(REGEXMATCH(LOWER(O3849),""k""),
VALUE(REGEXEXTRACT(O3849,""[0-9]+""))*1000,
VALUE(REGEXEXTRACT(O3849,""[0-9]+""))
),
0
)"),0.0)</f>
        <v>0</v>
      </c>
      <c r="E3849" s="1" t="s">
        <v>11</v>
      </c>
      <c r="F3849" s="1" t="s">
        <v>20</v>
      </c>
      <c r="G3849" s="4" t="b">
        <f t="shared" si="2"/>
        <v>1</v>
      </c>
      <c r="H3849" s="1" t="str">
        <f t="shared" si="3"/>
        <v>Currently Unavailable</v>
      </c>
      <c r="I3849" s="1" t="str">
        <f t="shared" si="4"/>
        <v>No Badges</v>
      </c>
      <c r="J3849" s="3">
        <f t="shared" si="5"/>
        <v>0</v>
      </c>
    </row>
    <row r="3850">
      <c r="A3850" s="1" t="s">
        <v>2909</v>
      </c>
      <c r="B3850" s="3" t="str">
        <f t="shared" si="1"/>
        <v>Unavailable</v>
      </c>
      <c r="C3850" s="3">
        <v>138.0</v>
      </c>
      <c r="D3850" s="3">
        <f>IFERROR(__xludf.DUMMYFUNCTION("IFERROR(
IF(REGEXMATCH(LOWER(O3850),""k""),
VALUE(REGEXEXTRACT(O3850,""[0-9]+""))*1000,
VALUE(REGEXEXTRACT(O3850,""[0-9]+""))
),
0
)"),0.0)</f>
        <v>0</v>
      </c>
      <c r="E3850" s="1" t="s">
        <v>11</v>
      </c>
      <c r="F3850" s="1" t="s">
        <v>20</v>
      </c>
      <c r="G3850" s="4" t="b">
        <f t="shared" si="2"/>
        <v>1</v>
      </c>
      <c r="H3850" s="1" t="str">
        <f t="shared" si="3"/>
        <v>Currently Unavailable</v>
      </c>
      <c r="I3850" s="1" t="str">
        <f t="shared" si="4"/>
        <v>No Badges</v>
      </c>
      <c r="J3850" s="3">
        <f t="shared" si="5"/>
        <v>0</v>
      </c>
    </row>
    <row r="3851">
      <c r="A3851" s="1" t="s">
        <v>2910</v>
      </c>
      <c r="B3851" s="3" t="str">
        <f t="shared" si="1"/>
        <v>Unavailable</v>
      </c>
      <c r="C3851" s="5">
        <v>2305.0</v>
      </c>
      <c r="D3851" s="3">
        <f>IFERROR(__xludf.DUMMYFUNCTION("IFERROR(
IF(REGEXMATCH(LOWER(O3851),""k""),
VALUE(REGEXEXTRACT(O3851,""[0-9]+""))*1000,
VALUE(REGEXEXTRACT(O3851,""[0-9]+""))
),
0
)"),0.0)</f>
        <v>0</v>
      </c>
      <c r="E3851" s="1" t="s">
        <v>11</v>
      </c>
      <c r="F3851" s="1" t="s">
        <v>20</v>
      </c>
      <c r="G3851" s="4" t="b">
        <f t="shared" si="2"/>
        <v>1</v>
      </c>
      <c r="H3851" s="1" t="str">
        <f t="shared" si="3"/>
        <v>Currently Unavailable</v>
      </c>
      <c r="I3851" s="1" t="str">
        <f t="shared" si="4"/>
        <v>No Badges</v>
      </c>
      <c r="J3851" s="3">
        <f t="shared" si="5"/>
        <v>0</v>
      </c>
    </row>
    <row r="3852">
      <c r="A3852" s="1" t="s">
        <v>2911</v>
      </c>
      <c r="B3852" s="3" t="str">
        <f t="shared" si="1"/>
        <v>Unavailable</v>
      </c>
      <c r="C3852" s="3">
        <v>28.0</v>
      </c>
      <c r="D3852" s="3">
        <f>IFERROR(__xludf.DUMMYFUNCTION("IFERROR(
IF(REGEXMATCH(LOWER(O3852),""k""),
VALUE(REGEXEXTRACT(O3852,""[0-9]+""))*1000,
VALUE(REGEXEXTRACT(O3852,""[0-9]+""))
),
0
)"),0.0)</f>
        <v>0</v>
      </c>
      <c r="E3852" s="1" t="s">
        <v>11</v>
      </c>
      <c r="F3852" s="1" t="s">
        <v>20</v>
      </c>
      <c r="G3852" s="4" t="b">
        <f t="shared" si="2"/>
        <v>1</v>
      </c>
      <c r="H3852" s="1" t="str">
        <f t="shared" si="3"/>
        <v>Currently Unavailable</v>
      </c>
      <c r="I3852" s="1" t="str">
        <f t="shared" si="4"/>
        <v>No Badges</v>
      </c>
      <c r="J3852" s="3">
        <f t="shared" si="5"/>
        <v>0</v>
      </c>
    </row>
    <row r="3853">
      <c r="A3853" s="1" t="s">
        <v>2912</v>
      </c>
      <c r="B3853" s="3" t="str">
        <f t="shared" si="1"/>
        <v>Unavailable</v>
      </c>
      <c r="C3853" s="3">
        <v>979.0</v>
      </c>
      <c r="D3853" s="3">
        <f>IFERROR(__xludf.DUMMYFUNCTION("IFERROR(
IF(REGEXMATCH(LOWER(O3853),""k""),
VALUE(REGEXEXTRACT(O3853,""[0-9]+""))*1000,
VALUE(REGEXEXTRACT(O3853,""[0-9]+""))
),
0
)"),0.0)</f>
        <v>0</v>
      </c>
      <c r="E3853" s="1" t="s">
        <v>11</v>
      </c>
      <c r="F3853" s="1" t="s">
        <v>20</v>
      </c>
      <c r="G3853" s="4" t="b">
        <f t="shared" si="2"/>
        <v>1</v>
      </c>
      <c r="H3853" s="1" t="str">
        <f t="shared" si="3"/>
        <v>Currently Unavailable</v>
      </c>
      <c r="I3853" s="1" t="str">
        <f t="shared" si="4"/>
        <v>No Badges</v>
      </c>
      <c r="J3853" s="3">
        <f t="shared" si="5"/>
        <v>0</v>
      </c>
    </row>
    <row r="3854">
      <c r="A3854" s="1" t="s">
        <v>2913</v>
      </c>
      <c r="B3854" s="3" t="str">
        <f t="shared" si="1"/>
        <v>Unavailable</v>
      </c>
      <c r="C3854" s="5">
        <v>1650.0</v>
      </c>
      <c r="D3854" s="3">
        <f>IFERROR(__xludf.DUMMYFUNCTION("IFERROR(
IF(REGEXMATCH(LOWER(O3854),""k""),
VALUE(REGEXEXTRACT(O3854,""[0-9]+""))*1000,
VALUE(REGEXEXTRACT(O3854,""[0-9]+""))
),
0
)"),0.0)</f>
        <v>0</v>
      </c>
      <c r="E3854" s="1" t="s">
        <v>11</v>
      </c>
      <c r="F3854" s="1" t="s">
        <v>20</v>
      </c>
      <c r="G3854" s="4" t="b">
        <f t="shared" si="2"/>
        <v>1</v>
      </c>
      <c r="H3854" s="1" t="str">
        <f t="shared" si="3"/>
        <v>Currently Unavailable</v>
      </c>
      <c r="I3854" s="1" t="str">
        <f t="shared" si="4"/>
        <v>No Badges</v>
      </c>
      <c r="J3854" s="3">
        <f t="shared" si="5"/>
        <v>0</v>
      </c>
    </row>
    <row r="3855">
      <c r="A3855" s="1" t="s">
        <v>2914</v>
      </c>
      <c r="B3855" s="3" t="str">
        <f t="shared" si="1"/>
        <v>Unavailable</v>
      </c>
      <c r="C3855" s="5">
        <v>2743.0</v>
      </c>
      <c r="D3855" s="3">
        <f>IFERROR(__xludf.DUMMYFUNCTION("IFERROR(
IF(REGEXMATCH(LOWER(O3855),""k""),
VALUE(REGEXEXTRACT(O3855,""[0-9]+""))*1000,
VALUE(REGEXEXTRACT(O3855,""[0-9]+""))
),
0
)"),0.0)</f>
        <v>0</v>
      </c>
      <c r="E3855" s="1" t="s">
        <v>11</v>
      </c>
      <c r="F3855" s="1" t="s">
        <v>20</v>
      </c>
      <c r="G3855" s="4" t="b">
        <f t="shared" si="2"/>
        <v>1</v>
      </c>
      <c r="H3855" s="1" t="str">
        <f t="shared" si="3"/>
        <v>Currently Unavailable</v>
      </c>
      <c r="I3855" s="1" t="str">
        <f t="shared" si="4"/>
        <v>No Badges</v>
      </c>
      <c r="J3855" s="3">
        <f t="shared" si="5"/>
        <v>0</v>
      </c>
    </row>
    <row r="3856">
      <c r="A3856" s="1" t="s">
        <v>2915</v>
      </c>
      <c r="B3856" s="3" t="str">
        <f t="shared" si="1"/>
        <v>Unavailable</v>
      </c>
      <c r="C3856" s="5">
        <v>1736.0</v>
      </c>
      <c r="D3856" s="3">
        <f>IFERROR(__xludf.DUMMYFUNCTION("IFERROR(
IF(REGEXMATCH(LOWER(O3856),""k""),
VALUE(REGEXEXTRACT(O3856,""[0-9]+""))*1000,
VALUE(REGEXEXTRACT(O3856,""[0-9]+""))
),
0
)"),0.0)</f>
        <v>0</v>
      </c>
      <c r="E3856" s="1" t="s">
        <v>11</v>
      </c>
      <c r="F3856" s="1" t="s">
        <v>20</v>
      </c>
      <c r="G3856" s="4" t="b">
        <f t="shared" si="2"/>
        <v>1</v>
      </c>
      <c r="H3856" s="1" t="str">
        <f t="shared" si="3"/>
        <v>Currently Unavailable</v>
      </c>
      <c r="I3856" s="1" t="str">
        <f t="shared" si="4"/>
        <v>No Badges</v>
      </c>
      <c r="J3856" s="3">
        <f t="shared" si="5"/>
        <v>0</v>
      </c>
    </row>
    <row r="3857">
      <c r="A3857" s="1" t="s">
        <v>2916</v>
      </c>
      <c r="B3857" s="3" t="str">
        <f t="shared" si="1"/>
        <v>Unavailable</v>
      </c>
      <c r="C3857" s="5">
        <v>6928.0</v>
      </c>
      <c r="D3857" s="3">
        <f>IFERROR(__xludf.DUMMYFUNCTION("IFERROR(
IF(REGEXMATCH(LOWER(O3857),""k""),
VALUE(REGEXEXTRACT(O3857,""[0-9]+""))*1000,
VALUE(REGEXEXTRACT(O3857,""[0-9]+""))
),
0
)"),0.0)</f>
        <v>0</v>
      </c>
      <c r="E3857" s="1" t="s">
        <v>11</v>
      </c>
      <c r="F3857" s="1" t="s">
        <v>20</v>
      </c>
      <c r="G3857" s="4" t="b">
        <f t="shared" si="2"/>
        <v>1</v>
      </c>
      <c r="H3857" s="1" t="str">
        <f t="shared" si="3"/>
        <v>Currently Unavailable</v>
      </c>
      <c r="I3857" s="1" t="str">
        <f t="shared" si="4"/>
        <v>No Badges</v>
      </c>
      <c r="J3857" s="3">
        <f t="shared" si="5"/>
        <v>0</v>
      </c>
    </row>
    <row r="3858">
      <c r="A3858" s="1" t="s">
        <v>701</v>
      </c>
      <c r="B3858" s="3" t="str">
        <f t="shared" si="1"/>
        <v>Unavailable</v>
      </c>
      <c r="C3858" s="3">
        <v>8.0</v>
      </c>
      <c r="D3858" s="3">
        <f>IFERROR(__xludf.DUMMYFUNCTION("IFERROR(
IF(REGEXMATCH(LOWER(O3858),""k""),
VALUE(REGEXEXTRACT(O3858,""[0-9]+""))*1000,
VALUE(REGEXEXTRACT(O3858,""[0-9]+""))
),
0
)"),0.0)</f>
        <v>0</v>
      </c>
      <c r="E3858" s="1" t="s">
        <v>11</v>
      </c>
      <c r="F3858" s="1" t="s">
        <v>12</v>
      </c>
      <c r="G3858" s="4" t="b">
        <f t="shared" si="2"/>
        <v>1</v>
      </c>
      <c r="H3858" s="1" t="str">
        <f t="shared" si="3"/>
        <v>Currently Unavailable</v>
      </c>
      <c r="I3858" s="1" t="str">
        <f t="shared" si="4"/>
        <v>No Badges</v>
      </c>
      <c r="J3858" s="3">
        <f t="shared" si="5"/>
        <v>0</v>
      </c>
    </row>
    <row r="3859">
      <c r="A3859" s="1" t="s">
        <v>2917</v>
      </c>
      <c r="B3859" s="3" t="str">
        <f t="shared" si="1"/>
        <v>Unavailable</v>
      </c>
      <c r="C3859" s="3">
        <v>117.0</v>
      </c>
      <c r="D3859" s="3">
        <f>IFERROR(__xludf.DUMMYFUNCTION("IFERROR(
IF(REGEXMATCH(LOWER(O3859),""k""),
VALUE(REGEXEXTRACT(O3859,""[0-9]+""))*1000,
VALUE(REGEXEXTRACT(O3859,""[0-9]+""))
),
0
)"),0.0)</f>
        <v>0</v>
      </c>
      <c r="E3859" s="1" t="s">
        <v>11</v>
      </c>
      <c r="F3859" s="1" t="s">
        <v>20</v>
      </c>
      <c r="G3859" s="4" t="b">
        <f t="shared" si="2"/>
        <v>1</v>
      </c>
      <c r="H3859" s="1" t="str">
        <f t="shared" si="3"/>
        <v>Currently Unavailable</v>
      </c>
      <c r="I3859" s="1" t="str">
        <f t="shared" si="4"/>
        <v>No Badges</v>
      </c>
      <c r="J3859" s="3">
        <f t="shared" si="5"/>
        <v>0</v>
      </c>
    </row>
    <row r="3860">
      <c r="A3860" s="1" t="s">
        <v>2918</v>
      </c>
      <c r="B3860" s="3" t="str">
        <f t="shared" si="1"/>
        <v>Unavailable</v>
      </c>
      <c r="C3860" s="3">
        <v>591.0</v>
      </c>
      <c r="D3860" s="3">
        <f>IFERROR(__xludf.DUMMYFUNCTION("IFERROR(
IF(REGEXMATCH(LOWER(O3860),""k""),
VALUE(REGEXEXTRACT(O3860,""[0-9]+""))*1000,
VALUE(REGEXEXTRACT(O3860,""[0-9]+""))
),
0
)"),0.0)</f>
        <v>0</v>
      </c>
      <c r="E3860" s="1" t="s">
        <v>11</v>
      </c>
      <c r="F3860" s="1" t="s">
        <v>20</v>
      </c>
      <c r="G3860" s="4" t="b">
        <f t="shared" si="2"/>
        <v>1</v>
      </c>
      <c r="H3860" s="1" t="str">
        <f t="shared" si="3"/>
        <v>Currently Unavailable</v>
      </c>
      <c r="I3860" s="1" t="str">
        <f t="shared" si="4"/>
        <v>No Badges</v>
      </c>
      <c r="J3860" s="3">
        <f t="shared" si="5"/>
        <v>0</v>
      </c>
    </row>
    <row r="3861">
      <c r="A3861" s="1" t="s">
        <v>2919</v>
      </c>
      <c r="B3861" s="3" t="str">
        <f t="shared" si="1"/>
        <v>Unavailable</v>
      </c>
      <c r="C3861" s="3">
        <v>208.0</v>
      </c>
      <c r="D3861" s="3">
        <f>IFERROR(__xludf.DUMMYFUNCTION("IFERROR(
IF(REGEXMATCH(LOWER(O3861),""k""),
VALUE(REGEXEXTRACT(O3861,""[0-9]+""))*1000,
VALUE(REGEXEXTRACT(O3861,""[0-9]+""))
),
0
)"),0.0)</f>
        <v>0</v>
      </c>
      <c r="E3861" s="1" t="s">
        <v>11</v>
      </c>
      <c r="F3861" s="1" t="s">
        <v>20</v>
      </c>
      <c r="G3861" s="4" t="b">
        <f t="shared" si="2"/>
        <v>1</v>
      </c>
      <c r="H3861" s="1" t="str">
        <f t="shared" si="3"/>
        <v>Currently Unavailable</v>
      </c>
      <c r="I3861" s="1" t="str">
        <f t="shared" si="4"/>
        <v>No Badges</v>
      </c>
      <c r="J3861" s="3">
        <f t="shared" si="5"/>
        <v>0</v>
      </c>
    </row>
    <row r="3862">
      <c r="A3862" s="1" t="s">
        <v>69</v>
      </c>
      <c r="B3862" s="3" t="str">
        <f t="shared" si="1"/>
        <v>Unavailable</v>
      </c>
      <c r="C3862" s="3">
        <v>45.0</v>
      </c>
      <c r="D3862" s="3">
        <f>IFERROR(__xludf.DUMMYFUNCTION("IFERROR(
IF(REGEXMATCH(LOWER(O3862),""k""),
VALUE(REGEXEXTRACT(O3862,""[0-9]+""))*1000,
VALUE(REGEXEXTRACT(O3862,""[0-9]+""))
),
0
)"),0.0)</f>
        <v>0</v>
      </c>
      <c r="E3862" s="1" t="s">
        <v>11</v>
      </c>
      <c r="F3862" s="1" t="s">
        <v>12</v>
      </c>
      <c r="G3862" s="4" t="b">
        <f t="shared" si="2"/>
        <v>1</v>
      </c>
      <c r="H3862" s="1" t="str">
        <f t="shared" si="3"/>
        <v>Currently Unavailable</v>
      </c>
      <c r="I3862" s="1" t="str">
        <f t="shared" si="4"/>
        <v>No Badges</v>
      </c>
      <c r="J3862" s="3">
        <f t="shared" si="5"/>
        <v>0</v>
      </c>
    </row>
    <row r="3863">
      <c r="A3863" s="1" t="s">
        <v>2920</v>
      </c>
      <c r="B3863" s="3" t="str">
        <f t="shared" si="1"/>
        <v>Unavailable</v>
      </c>
      <c r="C3863" s="3">
        <v>116.0</v>
      </c>
      <c r="D3863" s="3">
        <f>IFERROR(__xludf.DUMMYFUNCTION("IFERROR(
IF(REGEXMATCH(LOWER(O3863),""k""),
VALUE(REGEXEXTRACT(O3863,""[0-9]+""))*1000,
VALUE(REGEXEXTRACT(O3863,""[0-9]+""))
),
0
)"),0.0)</f>
        <v>0</v>
      </c>
      <c r="E3863" s="1" t="s">
        <v>11</v>
      </c>
      <c r="F3863" s="1" t="s">
        <v>20</v>
      </c>
      <c r="G3863" s="4" t="b">
        <f t="shared" si="2"/>
        <v>1</v>
      </c>
      <c r="H3863" s="1" t="str">
        <f t="shared" si="3"/>
        <v>Currently Unavailable</v>
      </c>
      <c r="I3863" s="1" t="str">
        <f t="shared" si="4"/>
        <v>No Badges</v>
      </c>
      <c r="J3863" s="3">
        <f t="shared" si="5"/>
        <v>0</v>
      </c>
    </row>
    <row r="3864">
      <c r="A3864" s="1" t="s">
        <v>2921</v>
      </c>
      <c r="B3864" s="3" t="str">
        <f t="shared" si="1"/>
        <v>Unavailable</v>
      </c>
      <c r="C3864" s="3">
        <v>447.0</v>
      </c>
      <c r="D3864" s="3">
        <f>IFERROR(__xludf.DUMMYFUNCTION("IFERROR(
IF(REGEXMATCH(LOWER(O3864),""k""),
VALUE(REGEXEXTRACT(O3864,""[0-9]+""))*1000,
VALUE(REGEXEXTRACT(O3864,""[0-9]+""))
),
0
)"),0.0)</f>
        <v>0</v>
      </c>
      <c r="E3864" s="1" t="s">
        <v>11</v>
      </c>
      <c r="F3864" s="1" t="s">
        <v>20</v>
      </c>
      <c r="G3864" s="4" t="b">
        <f t="shared" si="2"/>
        <v>1</v>
      </c>
      <c r="H3864" s="1" t="str">
        <f t="shared" si="3"/>
        <v>Currently Unavailable</v>
      </c>
      <c r="I3864" s="1" t="str">
        <f t="shared" si="4"/>
        <v>No Badges</v>
      </c>
      <c r="J3864" s="3">
        <f t="shared" si="5"/>
        <v>0</v>
      </c>
    </row>
    <row r="3865">
      <c r="A3865" s="1" t="s">
        <v>2922</v>
      </c>
      <c r="B3865" s="3" t="str">
        <f t="shared" si="1"/>
        <v>Unavailable</v>
      </c>
      <c r="C3865" s="3">
        <v>527.0</v>
      </c>
      <c r="D3865" s="3">
        <f>IFERROR(__xludf.DUMMYFUNCTION("IFERROR(
IF(REGEXMATCH(LOWER(O3865),""k""),
VALUE(REGEXEXTRACT(O3865,""[0-9]+""))*1000,
VALUE(REGEXEXTRACT(O3865,""[0-9]+""))
),
0
)"),0.0)</f>
        <v>0</v>
      </c>
      <c r="E3865" s="1" t="s">
        <v>11</v>
      </c>
      <c r="F3865" s="1" t="s">
        <v>20</v>
      </c>
      <c r="G3865" s="4" t="b">
        <f t="shared" si="2"/>
        <v>1</v>
      </c>
      <c r="H3865" s="1" t="str">
        <f t="shared" si="3"/>
        <v>Currently Unavailable</v>
      </c>
      <c r="I3865" s="1" t="str">
        <f t="shared" si="4"/>
        <v>No Badges</v>
      </c>
      <c r="J3865" s="3">
        <f t="shared" si="5"/>
        <v>0</v>
      </c>
    </row>
    <row r="3866">
      <c r="A3866" s="1" t="s">
        <v>2923</v>
      </c>
      <c r="B3866" s="3" t="str">
        <f t="shared" si="1"/>
        <v>Unavailable</v>
      </c>
      <c r="C3866" s="5">
        <v>3426.0</v>
      </c>
      <c r="D3866" s="3">
        <f>IFERROR(__xludf.DUMMYFUNCTION("IFERROR(
IF(REGEXMATCH(LOWER(O3866),""k""),
VALUE(REGEXEXTRACT(O3866,""[0-9]+""))*1000,
VALUE(REGEXEXTRACT(O3866,""[0-9]+""))
),
0
)"),0.0)</f>
        <v>0</v>
      </c>
      <c r="E3866" s="1" t="s">
        <v>11</v>
      </c>
      <c r="F3866" s="1" t="s">
        <v>20</v>
      </c>
      <c r="G3866" s="4" t="b">
        <f t="shared" si="2"/>
        <v>1</v>
      </c>
      <c r="H3866" s="1" t="str">
        <f t="shared" si="3"/>
        <v>Currently Unavailable</v>
      </c>
      <c r="I3866" s="1" t="str">
        <f t="shared" si="4"/>
        <v>No Badges</v>
      </c>
      <c r="J3866" s="3">
        <f t="shared" si="5"/>
        <v>0</v>
      </c>
    </row>
    <row r="3867">
      <c r="A3867" s="1" t="s">
        <v>2924</v>
      </c>
      <c r="B3867" s="3" t="str">
        <f t="shared" si="1"/>
        <v>Unavailable</v>
      </c>
      <c r="C3867" s="3">
        <v>948.0</v>
      </c>
      <c r="D3867" s="3">
        <f>IFERROR(__xludf.DUMMYFUNCTION("IFERROR(
IF(REGEXMATCH(LOWER(O3867),""k""),
VALUE(REGEXEXTRACT(O3867,""[0-9]+""))*1000,
VALUE(REGEXEXTRACT(O3867,""[0-9]+""))
),
0
)"),0.0)</f>
        <v>0</v>
      </c>
      <c r="E3867" s="1" t="s">
        <v>11</v>
      </c>
      <c r="F3867" s="1" t="s">
        <v>20</v>
      </c>
      <c r="G3867" s="4" t="b">
        <f t="shared" si="2"/>
        <v>1</v>
      </c>
      <c r="H3867" s="1" t="str">
        <f t="shared" si="3"/>
        <v>Currently Unavailable</v>
      </c>
      <c r="I3867" s="1" t="str">
        <f t="shared" si="4"/>
        <v>No Badges</v>
      </c>
      <c r="J3867" s="3">
        <f t="shared" si="5"/>
        <v>0</v>
      </c>
    </row>
    <row r="3868">
      <c r="A3868" s="1" t="s">
        <v>2925</v>
      </c>
      <c r="B3868" s="3" t="str">
        <f t="shared" si="1"/>
        <v>Unavailable</v>
      </c>
      <c r="C3868" s="5">
        <v>2535.0</v>
      </c>
      <c r="D3868" s="3">
        <f>IFERROR(__xludf.DUMMYFUNCTION("IFERROR(
IF(REGEXMATCH(LOWER(O3868),""k""),
VALUE(REGEXEXTRACT(O3868,""[0-9]+""))*1000,
VALUE(REGEXEXTRACT(O3868,""[0-9]+""))
),
0
)"),0.0)</f>
        <v>0</v>
      </c>
      <c r="E3868" s="1" t="s">
        <v>11</v>
      </c>
      <c r="F3868" s="1" t="s">
        <v>20</v>
      </c>
      <c r="G3868" s="4" t="b">
        <f t="shared" si="2"/>
        <v>1</v>
      </c>
      <c r="H3868" s="1" t="str">
        <f t="shared" si="3"/>
        <v>Currently Unavailable</v>
      </c>
      <c r="I3868" s="1" t="str">
        <f t="shared" si="4"/>
        <v>No Badges</v>
      </c>
      <c r="J3868" s="3">
        <f t="shared" si="5"/>
        <v>0</v>
      </c>
    </row>
    <row r="3869">
      <c r="A3869" s="1" t="s">
        <v>2926</v>
      </c>
      <c r="B3869" s="3" t="str">
        <f t="shared" si="1"/>
        <v>Unavailable</v>
      </c>
      <c r="C3869" s="3">
        <v>326.0</v>
      </c>
      <c r="D3869" s="3">
        <f>IFERROR(__xludf.DUMMYFUNCTION("IFERROR(
IF(REGEXMATCH(LOWER(O3869),""k""),
VALUE(REGEXEXTRACT(O3869,""[0-9]+""))*1000,
VALUE(REGEXEXTRACT(O3869,""[0-9]+""))
),
0
)"),0.0)</f>
        <v>0</v>
      </c>
      <c r="E3869" s="1" t="s">
        <v>11</v>
      </c>
      <c r="F3869" s="1" t="s">
        <v>20</v>
      </c>
      <c r="G3869" s="4" t="b">
        <f t="shared" si="2"/>
        <v>1</v>
      </c>
      <c r="H3869" s="1" t="str">
        <f t="shared" si="3"/>
        <v>Currently Unavailable</v>
      </c>
      <c r="I3869" s="1" t="str">
        <f t="shared" si="4"/>
        <v>No Badges</v>
      </c>
      <c r="J3869" s="3">
        <f t="shared" si="5"/>
        <v>0</v>
      </c>
    </row>
    <row r="3870">
      <c r="A3870" s="1" t="s">
        <v>2927</v>
      </c>
      <c r="B3870" s="3" t="str">
        <f t="shared" si="1"/>
        <v>Unavailable</v>
      </c>
      <c r="C3870" s="3">
        <v>34.0</v>
      </c>
      <c r="D3870" s="3">
        <f>IFERROR(__xludf.DUMMYFUNCTION("IFERROR(
IF(REGEXMATCH(LOWER(O3870),""k""),
VALUE(REGEXEXTRACT(O3870,""[0-9]+""))*1000,
VALUE(REGEXEXTRACT(O3870,""[0-9]+""))
),
0
)"),0.0)</f>
        <v>0</v>
      </c>
      <c r="E3870" s="1" t="s">
        <v>11</v>
      </c>
      <c r="F3870" s="1" t="s">
        <v>20</v>
      </c>
      <c r="G3870" s="4" t="b">
        <f t="shared" si="2"/>
        <v>1</v>
      </c>
      <c r="H3870" s="1" t="str">
        <f t="shared" si="3"/>
        <v>Currently Unavailable</v>
      </c>
      <c r="I3870" s="1" t="str">
        <f t="shared" si="4"/>
        <v>No Badges</v>
      </c>
      <c r="J3870" s="3">
        <f t="shared" si="5"/>
        <v>0</v>
      </c>
    </row>
    <row r="3871">
      <c r="A3871" s="1" t="s">
        <v>2928</v>
      </c>
      <c r="B3871" s="3" t="str">
        <f t="shared" si="1"/>
        <v>Unavailable</v>
      </c>
      <c r="C3871" s="3">
        <v>5.0</v>
      </c>
      <c r="D3871" s="3">
        <f>IFERROR(__xludf.DUMMYFUNCTION("IFERROR(
IF(REGEXMATCH(LOWER(O3871),""k""),
VALUE(REGEXEXTRACT(O3871,""[0-9]+""))*1000,
VALUE(REGEXEXTRACT(O3871,""[0-9]+""))
),
0
)"),0.0)</f>
        <v>0</v>
      </c>
      <c r="E3871" s="1" t="s">
        <v>11</v>
      </c>
      <c r="F3871" s="1" t="s">
        <v>20</v>
      </c>
      <c r="G3871" s="4" t="b">
        <f t="shared" si="2"/>
        <v>1</v>
      </c>
      <c r="H3871" s="1" t="str">
        <f t="shared" si="3"/>
        <v>Currently Unavailable</v>
      </c>
      <c r="I3871" s="1" t="str">
        <f t="shared" si="4"/>
        <v>No Badges</v>
      </c>
      <c r="J3871" s="3">
        <f t="shared" si="5"/>
        <v>0</v>
      </c>
    </row>
    <row r="3872">
      <c r="A3872" s="1" t="s">
        <v>2929</v>
      </c>
      <c r="B3872" s="3" t="str">
        <f t="shared" si="1"/>
        <v>Unavailable</v>
      </c>
      <c r="C3872" s="5">
        <v>1033.0</v>
      </c>
      <c r="D3872" s="3">
        <f>IFERROR(__xludf.DUMMYFUNCTION("IFERROR(
IF(REGEXMATCH(LOWER(O3872),""k""),
VALUE(REGEXEXTRACT(O3872,""[0-9]+""))*1000,
VALUE(REGEXEXTRACT(O3872,""[0-9]+""))
),
0
)"),0.0)</f>
        <v>0</v>
      </c>
      <c r="E3872" s="1" t="s">
        <v>11</v>
      </c>
      <c r="F3872" s="1" t="s">
        <v>20</v>
      </c>
      <c r="G3872" s="4" t="b">
        <f t="shared" si="2"/>
        <v>1</v>
      </c>
      <c r="H3872" s="1" t="str">
        <f t="shared" si="3"/>
        <v>Currently Unavailable</v>
      </c>
      <c r="I3872" s="1" t="str">
        <f t="shared" si="4"/>
        <v>No Badges</v>
      </c>
      <c r="J3872" s="3">
        <f t="shared" si="5"/>
        <v>0</v>
      </c>
    </row>
    <row r="3873">
      <c r="A3873" s="1" t="s">
        <v>2930</v>
      </c>
      <c r="B3873" s="3" t="str">
        <f t="shared" si="1"/>
        <v>Unavailable</v>
      </c>
      <c r="C3873" s="3">
        <v>662.0</v>
      </c>
      <c r="D3873" s="3">
        <f>IFERROR(__xludf.DUMMYFUNCTION("IFERROR(
IF(REGEXMATCH(LOWER(O3873),""k""),
VALUE(REGEXEXTRACT(O3873,""[0-9]+""))*1000,
VALUE(REGEXEXTRACT(O3873,""[0-9]+""))
),
0
)"),0.0)</f>
        <v>0</v>
      </c>
      <c r="E3873" s="1" t="s">
        <v>11</v>
      </c>
      <c r="F3873" s="1" t="s">
        <v>20</v>
      </c>
      <c r="G3873" s="4" t="b">
        <f t="shared" si="2"/>
        <v>1</v>
      </c>
      <c r="H3873" s="1" t="str">
        <f t="shared" si="3"/>
        <v>Currently Unavailable</v>
      </c>
      <c r="I3873" s="1" t="str">
        <f t="shared" si="4"/>
        <v>No Badges</v>
      </c>
      <c r="J3873" s="3">
        <f t="shared" si="5"/>
        <v>0</v>
      </c>
    </row>
    <row r="3874">
      <c r="A3874" s="1" t="s">
        <v>2931</v>
      </c>
      <c r="B3874" s="3" t="str">
        <f t="shared" si="1"/>
        <v>Unavailable</v>
      </c>
      <c r="C3874" s="5">
        <v>1480.0</v>
      </c>
      <c r="D3874" s="3">
        <f>IFERROR(__xludf.DUMMYFUNCTION("IFERROR(
IF(REGEXMATCH(LOWER(O3874),""k""),
VALUE(REGEXEXTRACT(O3874,""[0-9]+""))*1000,
VALUE(REGEXEXTRACT(O3874,""[0-9]+""))
),
0
)"),0.0)</f>
        <v>0</v>
      </c>
      <c r="E3874" s="1" t="s">
        <v>11</v>
      </c>
      <c r="F3874" s="1" t="s">
        <v>20</v>
      </c>
      <c r="G3874" s="4" t="b">
        <f t="shared" si="2"/>
        <v>1</v>
      </c>
      <c r="H3874" s="1" t="str">
        <f t="shared" si="3"/>
        <v>Currently Unavailable</v>
      </c>
      <c r="I3874" s="1" t="str">
        <f t="shared" si="4"/>
        <v>No Badges</v>
      </c>
      <c r="J3874" s="3">
        <f t="shared" si="5"/>
        <v>0</v>
      </c>
    </row>
    <row r="3875">
      <c r="A3875" s="1" t="s">
        <v>67</v>
      </c>
      <c r="B3875" s="3" t="str">
        <f t="shared" si="1"/>
        <v>Unavailable</v>
      </c>
      <c r="C3875" s="3">
        <v>264.0</v>
      </c>
      <c r="D3875" s="3">
        <f>IFERROR(__xludf.DUMMYFUNCTION("IFERROR(
IF(REGEXMATCH(LOWER(O3875),""k""),
VALUE(REGEXEXTRACT(O3875,""[0-9]+""))*1000,
VALUE(REGEXEXTRACT(O3875,""[0-9]+""))
),
0
)"),0.0)</f>
        <v>0</v>
      </c>
      <c r="E3875" s="1" t="s">
        <v>11</v>
      </c>
      <c r="F3875" s="1" t="s">
        <v>12</v>
      </c>
      <c r="G3875" s="4" t="b">
        <f t="shared" si="2"/>
        <v>1</v>
      </c>
      <c r="H3875" s="1" t="str">
        <f t="shared" si="3"/>
        <v>Currently Unavailable</v>
      </c>
      <c r="I3875" s="1" t="str">
        <f t="shared" si="4"/>
        <v>No Badges</v>
      </c>
      <c r="J3875" s="3">
        <f t="shared" si="5"/>
        <v>0</v>
      </c>
    </row>
    <row r="3876">
      <c r="A3876" s="1" t="s">
        <v>2932</v>
      </c>
      <c r="B3876" s="3" t="str">
        <f t="shared" si="1"/>
        <v>Unavailable</v>
      </c>
      <c r="C3876" s="3">
        <v>380.0</v>
      </c>
      <c r="D3876" s="3">
        <f>IFERROR(__xludf.DUMMYFUNCTION("IFERROR(
IF(REGEXMATCH(LOWER(O3876),""k""),
VALUE(REGEXEXTRACT(O3876,""[0-9]+""))*1000,
VALUE(REGEXEXTRACT(O3876,""[0-9]+""))
),
0
)"),0.0)</f>
        <v>0</v>
      </c>
      <c r="E3876" s="1" t="s">
        <v>11</v>
      </c>
      <c r="F3876" s="1" t="s">
        <v>20</v>
      </c>
      <c r="G3876" s="4" t="b">
        <f t="shared" si="2"/>
        <v>1</v>
      </c>
      <c r="H3876" s="1" t="str">
        <f t="shared" si="3"/>
        <v>Currently Unavailable</v>
      </c>
      <c r="I3876" s="1" t="str">
        <f t="shared" si="4"/>
        <v>No Badges</v>
      </c>
      <c r="J3876" s="3">
        <f t="shared" si="5"/>
        <v>0</v>
      </c>
    </row>
    <row r="3877">
      <c r="A3877" s="1" t="s">
        <v>2933</v>
      </c>
      <c r="B3877" s="3" t="str">
        <f t="shared" si="1"/>
        <v>Unavailable</v>
      </c>
      <c r="C3877" s="3">
        <v>45.0</v>
      </c>
      <c r="D3877" s="3">
        <f>IFERROR(__xludf.DUMMYFUNCTION("IFERROR(
IF(REGEXMATCH(LOWER(O3877),""k""),
VALUE(REGEXEXTRACT(O3877,""[0-9]+""))*1000,
VALUE(REGEXEXTRACT(O3877,""[0-9]+""))
),
0
)"),0.0)</f>
        <v>0</v>
      </c>
      <c r="E3877" s="1" t="s">
        <v>11</v>
      </c>
      <c r="F3877" s="1" t="s">
        <v>20</v>
      </c>
      <c r="G3877" s="4" t="b">
        <f t="shared" si="2"/>
        <v>1</v>
      </c>
      <c r="H3877" s="1" t="str">
        <f t="shared" si="3"/>
        <v>Currently Unavailable</v>
      </c>
      <c r="I3877" s="1" t="str">
        <f t="shared" si="4"/>
        <v>No Badges</v>
      </c>
      <c r="J3877" s="3">
        <f t="shared" si="5"/>
        <v>0</v>
      </c>
    </row>
    <row r="3878">
      <c r="A3878" s="1" t="s">
        <v>2934</v>
      </c>
      <c r="B3878" s="3" t="str">
        <f t="shared" si="1"/>
        <v>Unavailable</v>
      </c>
      <c r="C3878" s="3">
        <v>819.0</v>
      </c>
      <c r="D3878" s="3">
        <f>IFERROR(__xludf.DUMMYFUNCTION("IFERROR(
IF(REGEXMATCH(LOWER(O3878),""k""),
VALUE(REGEXEXTRACT(O3878,""[0-9]+""))*1000,
VALUE(REGEXEXTRACT(O3878,""[0-9]+""))
),
0
)"),0.0)</f>
        <v>0</v>
      </c>
      <c r="E3878" s="1" t="s">
        <v>11</v>
      </c>
      <c r="F3878" s="1" t="s">
        <v>20</v>
      </c>
      <c r="G3878" s="4" t="b">
        <f t="shared" si="2"/>
        <v>1</v>
      </c>
      <c r="H3878" s="1" t="str">
        <f t="shared" si="3"/>
        <v>Currently Unavailable</v>
      </c>
      <c r="I3878" s="1" t="str">
        <f t="shared" si="4"/>
        <v>No Badges</v>
      </c>
      <c r="J3878" s="3">
        <f t="shared" si="5"/>
        <v>0</v>
      </c>
    </row>
    <row r="3879">
      <c r="A3879" s="1" t="s">
        <v>2935</v>
      </c>
      <c r="B3879" s="3" t="str">
        <f t="shared" si="1"/>
        <v>Unavailable</v>
      </c>
      <c r="C3879" s="5">
        <v>1973.0</v>
      </c>
      <c r="D3879" s="3">
        <f>IFERROR(__xludf.DUMMYFUNCTION("IFERROR(
IF(REGEXMATCH(LOWER(O3879),""k""),
VALUE(REGEXEXTRACT(O3879,""[0-9]+""))*1000,
VALUE(REGEXEXTRACT(O3879,""[0-9]+""))
),
0
)"),0.0)</f>
        <v>0</v>
      </c>
      <c r="E3879" s="1" t="s">
        <v>11</v>
      </c>
      <c r="F3879" s="1" t="s">
        <v>20</v>
      </c>
      <c r="G3879" s="4" t="b">
        <f t="shared" si="2"/>
        <v>1</v>
      </c>
      <c r="H3879" s="1" t="str">
        <f t="shared" si="3"/>
        <v>Currently Unavailable</v>
      </c>
      <c r="I3879" s="1" t="str">
        <f t="shared" si="4"/>
        <v>No Badges</v>
      </c>
      <c r="J3879" s="3">
        <f t="shared" si="5"/>
        <v>0</v>
      </c>
    </row>
    <row r="3880">
      <c r="A3880" s="1" t="s">
        <v>2936</v>
      </c>
      <c r="B3880" s="3" t="str">
        <f t="shared" si="1"/>
        <v>Unavailable</v>
      </c>
      <c r="C3880" s="3">
        <v>79.0</v>
      </c>
      <c r="D3880" s="3">
        <f>IFERROR(__xludf.DUMMYFUNCTION("IFERROR(
IF(REGEXMATCH(LOWER(O3880),""k""),
VALUE(REGEXEXTRACT(O3880,""[0-9]+""))*1000,
VALUE(REGEXEXTRACT(O3880,""[0-9]+""))
),
0
)"),0.0)</f>
        <v>0</v>
      </c>
      <c r="E3880" s="1" t="s">
        <v>11</v>
      </c>
      <c r="F3880" s="1" t="s">
        <v>20</v>
      </c>
      <c r="G3880" s="4" t="b">
        <f t="shared" si="2"/>
        <v>1</v>
      </c>
      <c r="H3880" s="1" t="str">
        <f t="shared" si="3"/>
        <v>Currently Unavailable</v>
      </c>
      <c r="I3880" s="1" t="str">
        <f t="shared" si="4"/>
        <v>No Badges</v>
      </c>
      <c r="J3880" s="3">
        <f t="shared" si="5"/>
        <v>0</v>
      </c>
    </row>
    <row r="3881">
      <c r="A3881" s="1" t="s">
        <v>2937</v>
      </c>
      <c r="B3881" s="3" t="str">
        <f t="shared" si="1"/>
        <v>Unavailable</v>
      </c>
      <c r="C3881" s="3">
        <v>733.0</v>
      </c>
      <c r="D3881" s="3">
        <f>IFERROR(__xludf.DUMMYFUNCTION("IFERROR(
IF(REGEXMATCH(LOWER(O3881),""k""),
VALUE(REGEXEXTRACT(O3881,""[0-9]+""))*1000,
VALUE(REGEXEXTRACT(O3881,""[0-9]+""))
),
0
)"),0.0)</f>
        <v>0</v>
      </c>
      <c r="E3881" s="1" t="s">
        <v>11</v>
      </c>
      <c r="F3881" s="1" t="s">
        <v>20</v>
      </c>
      <c r="G3881" s="4" t="b">
        <f t="shared" si="2"/>
        <v>1</v>
      </c>
      <c r="H3881" s="1" t="str">
        <f t="shared" si="3"/>
        <v>Currently Unavailable</v>
      </c>
      <c r="I3881" s="1" t="str">
        <f t="shared" si="4"/>
        <v>No Badges</v>
      </c>
      <c r="J3881" s="3">
        <f t="shared" si="5"/>
        <v>0</v>
      </c>
    </row>
    <row r="3882">
      <c r="A3882" s="1" t="s">
        <v>2938</v>
      </c>
      <c r="B3882" s="3" t="str">
        <f t="shared" si="1"/>
        <v>Unavailable</v>
      </c>
      <c r="C3882" s="3">
        <v>769.0</v>
      </c>
      <c r="D3882" s="3">
        <f>IFERROR(__xludf.DUMMYFUNCTION("IFERROR(
IF(REGEXMATCH(LOWER(O3882),""k""),
VALUE(REGEXEXTRACT(O3882,""[0-9]+""))*1000,
VALUE(REGEXEXTRACT(O3882,""[0-9]+""))
),
0
)"),0.0)</f>
        <v>0</v>
      </c>
      <c r="E3882" s="1" t="s">
        <v>11</v>
      </c>
      <c r="F3882" s="1" t="s">
        <v>20</v>
      </c>
      <c r="G3882" s="4" t="b">
        <f t="shared" si="2"/>
        <v>1</v>
      </c>
      <c r="H3882" s="1" t="str">
        <f t="shared" si="3"/>
        <v>Currently Unavailable</v>
      </c>
      <c r="I3882" s="1" t="str">
        <f t="shared" si="4"/>
        <v>No Badges</v>
      </c>
      <c r="J3882" s="3">
        <f t="shared" si="5"/>
        <v>0</v>
      </c>
    </row>
    <row r="3883">
      <c r="A3883" s="1" t="s">
        <v>2939</v>
      </c>
      <c r="B3883" s="3" t="str">
        <f t="shared" si="1"/>
        <v>Unavailable</v>
      </c>
      <c r="C3883" s="5">
        <v>1160.0</v>
      </c>
      <c r="D3883" s="3">
        <f>IFERROR(__xludf.DUMMYFUNCTION("IFERROR(
IF(REGEXMATCH(LOWER(O3883),""k""),
VALUE(REGEXEXTRACT(O3883,""[0-9]+""))*1000,
VALUE(REGEXEXTRACT(O3883,""[0-9]+""))
),
0
)"),0.0)</f>
        <v>0</v>
      </c>
      <c r="E3883" s="1" t="s">
        <v>11</v>
      </c>
      <c r="F3883" s="1" t="s">
        <v>20</v>
      </c>
      <c r="G3883" s="4" t="b">
        <f t="shared" si="2"/>
        <v>1</v>
      </c>
      <c r="H3883" s="1" t="str">
        <f t="shared" si="3"/>
        <v>Currently Unavailable</v>
      </c>
      <c r="I3883" s="1" t="str">
        <f t="shared" si="4"/>
        <v>No Badges</v>
      </c>
      <c r="J3883" s="3">
        <f t="shared" si="5"/>
        <v>0</v>
      </c>
    </row>
    <row r="3884">
      <c r="A3884" s="1" t="s">
        <v>2940</v>
      </c>
      <c r="B3884" s="3" t="str">
        <f t="shared" si="1"/>
        <v>Unavailable</v>
      </c>
      <c r="C3884" s="3">
        <v>30.0</v>
      </c>
      <c r="D3884" s="3">
        <f>IFERROR(__xludf.DUMMYFUNCTION("IFERROR(
IF(REGEXMATCH(LOWER(O3884),""k""),
VALUE(REGEXEXTRACT(O3884,""[0-9]+""))*1000,
VALUE(REGEXEXTRACT(O3884,""[0-9]+""))
),
0
)"),0.0)</f>
        <v>0</v>
      </c>
      <c r="E3884" s="1" t="s">
        <v>11</v>
      </c>
      <c r="F3884" s="1" t="s">
        <v>20</v>
      </c>
      <c r="G3884" s="4" t="b">
        <f t="shared" si="2"/>
        <v>1</v>
      </c>
      <c r="H3884" s="1" t="str">
        <f t="shared" si="3"/>
        <v>Currently Unavailable</v>
      </c>
      <c r="I3884" s="1" t="str">
        <f t="shared" si="4"/>
        <v>No Badges</v>
      </c>
      <c r="J3884" s="3">
        <f t="shared" si="5"/>
        <v>0</v>
      </c>
    </row>
    <row r="3885">
      <c r="A3885" s="1" t="s">
        <v>2941</v>
      </c>
      <c r="B3885" s="3" t="str">
        <f t="shared" si="1"/>
        <v>Unavailable</v>
      </c>
      <c r="C3885" s="5">
        <v>2348.0</v>
      </c>
      <c r="D3885" s="3">
        <f>IFERROR(__xludf.DUMMYFUNCTION("IFERROR(
IF(REGEXMATCH(LOWER(O3885),""k""),
VALUE(REGEXEXTRACT(O3885,""[0-9]+""))*1000,
VALUE(REGEXEXTRACT(O3885,""[0-9]+""))
),
0
)"),0.0)</f>
        <v>0</v>
      </c>
      <c r="E3885" s="1" t="s">
        <v>11</v>
      </c>
      <c r="F3885" s="1" t="s">
        <v>20</v>
      </c>
      <c r="G3885" s="4" t="b">
        <f t="shared" si="2"/>
        <v>1</v>
      </c>
      <c r="H3885" s="1" t="str">
        <f t="shared" si="3"/>
        <v>Currently Unavailable</v>
      </c>
      <c r="I3885" s="1" t="str">
        <f t="shared" si="4"/>
        <v>No Badges</v>
      </c>
      <c r="J3885" s="3">
        <f t="shared" si="5"/>
        <v>0</v>
      </c>
    </row>
    <row r="3886">
      <c r="A3886" s="1" t="s">
        <v>2942</v>
      </c>
      <c r="B3886" s="3" t="str">
        <f t="shared" si="1"/>
        <v>Unavailable</v>
      </c>
      <c r="C3886" s="3">
        <v>208.0</v>
      </c>
      <c r="D3886" s="3">
        <f>IFERROR(__xludf.DUMMYFUNCTION("IFERROR(
IF(REGEXMATCH(LOWER(O3886),""k""),
VALUE(REGEXEXTRACT(O3886,""[0-9]+""))*1000,
VALUE(REGEXEXTRACT(O3886,""[0-9]+""))
),
0
)"),0.0)</f>
        <v>0</v>
      </c>
      <c r="E3886" s="1" t="s">
        <v>11</v>
      </c>
      <c r="F3886" s="1" t="s">
        <v>20</v>
      </c>
      <c r="G3886" s="4" t="b">
        <f t="shared" si="2"/>
        <v>1</v>
      </c>
      <c r="H3886" s="1" t="str">
        <f t="shared" si="3"/>
        <v>Currently Unavailable</v>
      </c>
      <c r="I3886" s="1" t="str">
        <f t="shared" si="4"/>
        <v>No Badges</v>
      </c>
      <c r="J3886" s="3">
        <f t="shared" si="5"/>
        <v>0</v>
      </c>
    </row>
    <row r="3887">
      <c r="A3887" s="1" t="s">
        <v>2943</v>
      </c>
      <c r="B3887" s="3" t="str">
        <f t="shared" si="1"/>
        <v>Unavailable</v>
      </c>
      <c r="C3887" s="3">
        <v>145.0</v>
      </c>
      <c r="D3887" s="3">
        <f>IFERROR(__xludf.DUMMYFUNCTION("IFERROR(
IF(REGEXMATCH(LOWER(O3887),""k""),
VALUE(REGEXEXTRACT(O3887,""[0-9]+""))*1000,
VALUE(REGEXEXTRACT(O3887,""[0-9]+""))
),
0
)"),0.0)</f>
        <v>0</v>
      </c>
      <c r="E3887" s="1" t="s">
        <v>11</v>
      </c>
      <c r="F3887" s="1" t="s">
        <v>20</v>
      </c>
      <c r="G3887" s="4" t="b">
        <f t="shared" si="2"/>
        <v>1</v>
      </c>
      <c r="H3887" s="1" t="str">
        <f t="shared" si="3"/>
        <v>Currently Unavailable</v>
      </c>
      <c r="I3887" s="1" t="str">
        <f t="shared" si="4"/>
        <v>No Badges</v>
      </c>
      <c r="J3887" s="3">
        <f t="shared" si="5"/>
        <v>0</v>
      </c>
    </row>
    <row r="3888">
      <c r="A3888" s="1" t="s">
        <v>2944</v>
      </c>
      <c r="B3888" s="3" t="str">
        <f t="shared" si="1"/>
        <v>Unavailable</v>
      </c>
      <c r="C3888" s="5">
        <v>2621.0</v>
      </c>
      <c r="D3888" s="3">
        <f>IFERROR(__xludf.DUMMYFUNCTION("IFERROR(
IF(REGEXMATCH(LOWER(O3888),""k""),
VALUE(REGEXEXTRACT(O3888,""[0-9]+""))*1000,
VALUE(REGEXEXTRACT(O3888,""[0-9]+""))
),
0
)"),0.0)</f>
        <v>0</v>
      </c>
      <c r="E3888" s="1" t="s">
        <v>11</v>
      </c>
      <c r="F3888" s="1" t="s">
        <v>20</v>
      </c>
      <c r="G3888" s="4" t="b">
        <f t="shared" si="2"/>
        <v>1</v>
      </c>
      <c r="H3888" s="1" t="str">
        <f t="shared" si="3"/>
        <v>Currently Unavailable</v>
      </c>
      <c r="I3888" s="1" t="str">
        <f t="shared" si="4"/>
        <v>No Badges</v>
      </c>
      <c r="J3888" s="3">
        <f t="shared" si="5"/>
        <v>0</v>
      </c>
    </row>
    <row r="3889">
      <c r="A3889" s="1" t="s">
        <v>2945</v>
      </c>
      <c r="B3889" s="3" t="str">
        <f t="shared" si="1"/>
        <v>Unavailable</v>
      </c>
      <c r="C3889" s="3">
        <v>664.0</v>
      </c>
      <c r="D3889" s="3">
        <f>IFERROR(__xludf.DUMMYFUNCTION("IFERROR(
IF(REGEXMATCH(LOWER(O3889),""k""),
VALUE(REGEXEXTRACT(O3889,""[0-9]+""))*1000,
VALUE(REGEXEXTRACT(O3889,""[0-9]+""))
),
0
)"),0.0)</f>
        <v>0</v>
      </c>
      <c r="E3889" s="1" t="s">
        <v>11</v>
      </c>
      <c r="F3889" s="1" t="s">
        <v>20</v>
      </c>
      <c r="G3889" s="4" t="b">
        <f t="shared" si="2"/>
        <v>1</v>
      </c>
      <c r="H3889" s="1" t="str">
        <f t="shared" si="3"/>
        <v>Currently Unavailable</v>
      </c>
      <c r="I3889" s="1" t="str">
        <f t="shared" si="4"/>
        <v>No Badges</v>
      </c>
      <c r="J3889" s="3">
        <f t="shared" si="5"/>
        <v>0</v>
      </c>
    </row>
    <row r="3890">
      <c r="A3890" s="1" t="s">
        <v>701</v>
      </c>
      <c r="B3890" s="3" t="str">
        <f t="shared" si="1"/>
        <v>Unavailable</v>
      </c>
      <c r="C3890" s="3">
        <v>8.0</v>
      </c>
      <c r="D3890" s="3">
        <f>IFERROR(__xludf.DUMMYFUNCTION("IFERROR(
IF(REGEXMATCH(LOWER(O3890),""k""),
VALUE(REGEXEXTRACT(O3890,""[0-9]+""))*1000,
VALUE(REGEXEXTRACT(O3890,""[0-9]+""))
),
0
)"),0.0)</f>
        <v>0</v>
      </c>
      <c r="E3890" s="1" t="s">
        <v>11</v>
      </c>
      <c r="F3890" s="1" t="s">
        <v>12</v>
      </c>
      <c r="G3890" s="4" t="b">
        <f t="shared" si="2"/>
        <v>1</v>
      </c>
      <c r="H3890" s="1" t="str">
        <f t="shared" si="3"/>
        <v>Currently Unavailable</v>
      </c>
      <c r="I3890" s="1" t="str">
        <f t="shared" si="4"/>
        <v>No Badges</v>
      </c>
      <c r="J3890" s="3">
        <f t="shared" si="5"/>
        <v>0</v>
      </c>
    </row>
    <row r="3891">
      <c r="A3891" s="1" t="s">
        <v>2946</v>
      </c>
      <c r="B3891" s="3" t="str">
        <f t="shared" si="1"/>
        <v>Unavailable</v>
      </c>
      <c r="C3891" s="5">
        <v>4897.0</v>
      </c>
      <c r="D3891" s="3">
        <f>IFERROR(__xludf.DUMMYFUNCTION("IFERROR(
IF(REGEXMATCH(LOWER(O3891),""k""),
VALUE(REGEXEXTRACT(O3891,""[0-9]+""))*1000,
VALUE(REGEXEXTRACT(O3891,""[0-9]+""))
),
0
)"),0.0)</f>
        <v>0</v>
      </c>
      <c r="E3891" s="1" t="s">
        <v>11</v>
      </c>
      <c r="F3891" s="1" t="s">
        <v>20</v>
      </c>
      <c r="G3891" s="4" t="b">
        <f t="shared" si="2"/>
        <v>1</v>
      </c>
      <c r="H3891" s="1" t="str">
        <f t="shared" si="3"/>
        <v>Currently Unavailable</v>
      </c>
      <c r="I3891" s="1" t="str">
        <f t="shared" si="4"/>
        <v>No Badges</v>
      </c>
      <c r="J3891" s="3">
        <f t="shared" si="5"/>
        <v>0</v>
      </c>
    </row>
    <row r="3892">
      <c r="A3892" s="1" t="s">
        <v>88</v>
      </c>
      <c r="B3892" s="3" t="str">
        <f t="shared" si="1"/>
        <v>Unavailable</v>
      </c>
      <c r="C3892" s="3">
        <v>5.0</v>
      </c>
      <c r="D3892" s="3">
        <f>IFERROR(__xludf.DUMMYFUNCTION("IFERROR(
IF(REGEXMATCH(LOWER(O3892),""k""),
VALUE(REGEXEXTRACT(O3892,""[0-9]+""))*1000,
VALUE(REGEXEXTRACT(O3892,""[0-9]+""))
),
0
)"),0.0)</f>
        <v>0</v>
      </c>
      <c r="E3892" s="1" t="s">
        <v>11</v>
      </c>
      <c r="F3892" s="1" t="s">
        <v>12</v>
      </c>
      <c r="G3892" s="4" t="b">
        <f t="shared" si="2"/>
        <v>1</v>
      </c>
      <c r="H3892" s="1" t="str">
        <f t="shared" si="3"/>
        <v>Currently Unavailable</v>
      </c>
      <c r="I3892" s="1" t="str">
        <f t="shared" si="4"/>
        <v>No Badges</v>
      </c>
      <c r="J3892" s="3">
        <f t="shared" si="5"/>
        <v>0</v>
      </c>
    </row>
    <row r="3893">
      <c r="A3893" s="1" t="s">
        <v>2947</v>
      </c>
      <c r="B3893" s="3" t="str">
        <f t="shared" si="1"/>
        <v>Unavailable</v>
      </c>
      <c r="C3893" s="3">
        <v>304.0</v>
      </c>
      <c r="D3893" s="3">
        <f>IFERROR(__xludf.DUMMYFUNCTION("IFERROR(
IF(REGEXMATCH(LOWER(O3893),""k""),
VALUE(REGEXEXTRACT(O3893,""[0-9]+""))*1000,
VALUE(REGEXEXTRACT(O3893,""[0-9]+""))
),
0
)"),0.0)</f>
        <v>0</v>
      </c>
      <c r="E3893" s="1" t="s">
        <v>11</v>
      </c>
      <c r="F3893" s="1" t="s">
        <v>20</v>
      </c>
      <c r="G3893" s="4" t="b">
        <f t="shared" si="2"/>
        <v>1</v>
      </c>
      <c r="H3893" s="1" t="str">
        <f t="shared" si="3"/>
        <v>Currently Unavailable</v>
      </c>
      <c r="I3893" s="1" t="str">
        <f t="shared" si="4"/>
        <v>No Badges</v>
      </c>
      <c r="J3893" s="3">
        <f t="shared" si="5"/>
        <v>0</v>
      </c>
    </row>
    <row r="3894">
      <c r="A3894" s="1" t="s">
        <v>604</v>
      </c>
      <c r="B3894" s="3" t="str">
        <f t="shared" si="1"/>
        <v>Unavailable</v>
      </c>
      <c r="C3894" s="3">
        <v>30.0</v>
      </c>
      <c r="D3894" s="3">
        <f>IFERROR(__xludf.DUMMYFUNCTION("IFERROR(
IF(REGEXMATCH(LOWER(O3894),""k""),
VALUE(REGEXEXTRACT(O3894,""[0-9]+""))*1000,
VALUE(REGEXEXTRACT(O3894,""[0-9]+""))
),
0
)"),0.0)</f>
        <v>0</v>
      </c>
      <c r="E3894" s="1" t="s">
        <v>11</v>
      </c>
      <c r="F3894" s="1" t="s">
        <v>12</v>
      </c>
      <c r="G3894" s="4" t="b">
        <f t="shared" si="2"/>
        <v>1</v>
      </c>
      <c r="H3894" s="1" t="str">
        <f t="shared" si="3"/>
        <v>Currently Unavailable</v>
      </c>
      <c r="I3894" s="1" t="str">
        <f t="shared" si="4"/>
        <v>No Badges</v>
      </c>
      <c r="J3894" s="3">
        <f t="shared" si="5"/>
        <v>0</v>
      </c>
    </row>
    <row r="3895">
      <c r="A3895" s="1" t="s">
        <v>2948</v>
      </c>
      <c r="B3895" s="3" t="str">
        <f t="shared" si="1"/>
        <v>Unavailable</v>
      </c>
      <c r="C3895" s="5">
        <v>1347.0</v>
      </c>
      <c r="D3895" s="3">
        <f>IFERROR(__xludf.DUMMYFUNCTION("IFERROR(
IF(REGEXMATCH(LOWER(O3895),""k""),
VALUE(REGEXEXTRACT(O3895,""[0-9]+""))*1000,
VALUE(REGEXEXTRACT(O3895,""[0-9]+""))
),
0
)"),0.0)</f>
        <v>0</v>
      </c>
      <c r="E3895" s="1" t="s">
        <v>11</v>
      </c>
      <c r="F3895" s="1" t="s">
        <v>20</v>
      </c>
      <c r="G3895" s="4" t="b">
        <f t="shared" si="2"/>
        <v>1</v>
      </c>
      <c r="H3895" s="1" t="str">
        <f t="shared" si="3"/>
        <v>Currently Unavailable</v>
      </c>
      <c r="I3895" s="1" t="str">
        <f t="shared" si="4"/>
        <v>No Badges</v>
      </c>
      <c r="J3895" s="3">
        <f t="shared" si="5"/>
        <v>0</v>
      </c>
    </row>
    <row r="3896">
      <c r="A3896" s="1" t="s">
        <v>2949</v>
      </c>
      <c r="B3896" s="3" t="str">
        <f t="shared" si="1"/>
        <v>Unavailable</v>
      </c>
      <c r="C3896" s="5">
        <v>1344.0</v>
      </c>
      <c r="D3896" s="3">
        <f>IFERROR(__xludf.DUMMYFUNCTION("IFERROR(
IF(REGEXMATCH(LOWER(O3896),""k""),
VALUE(REGEXEXTRACT(O3896,""[0-9]+""))*1000,
VALUE(REGEXEXTRACT(O3896,""[0-9]+""))
),
0
)"),0.0)</f>
        <v>0</v>
      </c>
      <c r="E3896" s="1" t="s">
        <v>11</v>
      </c>
      <c r="F3896" s="1" t="s">
        <v>20</v>
      </c>
      <c r="G3896" s="4" t="b">
        <f t="shared" si="2"/>
        <v>1</v>
      </c>
      <c r="H3896" s="1" t="str">
        <f t="shared" si="3"/>
        <v>Currently Unavailable</v>
      </c>
      <c r="I3896" s="1" t="str">
        <f t="shared" si="4"/>
        <v>No Badges</v>
      </c>
      <c r="J3896" s="3">
        <f t="shared" si="5"/>
        <v>0</v>
      </c>
    </row>
    <row r="3897">
      <c r="A3897" s="1" t="s">
        <v>2950</v>
      </c>
      <c r="B3897" s="3" t="str">
        <f t="shared" si="1"/>
        <v>Unavailable</v>
      </c>
      <c r="C3897" s="3">
        <v>462.0</v>
      </c>
      <c r="D3897" s="3">
        <f>IFERROR(__xludf.DUMMYFUNCTION("IFERROR(
IF(REGEXMATCH(LOWER(O3897),""k""),
VALUE(REGEXEXTRACT(O3897,""[0-9]+""))*1000,
VALUE(REGEXEXTRACT(O3897,""[0-9]+""))
),
0
)"),0.0)</f>
        <v>0</v>
      </c>
      <c r="E3897" s="1" t="s">
        <v>11</v>
      </c>
      <c r="F3897" s="1" t="s">
        <v>20</v>
      </c>
      <c r="G3897" s="4" t="b">
        <f t="shared" si="2"/>
        <v>1</v>
      </c>
      <c r="H3897" s="1" t="str">
        <f t="shared" si="3"/>
        <v>Currently Unavailable</v>
      </c>
      <c r="I3897" s="1" t="str">
        <f t="shared" si="4"/>
        <v>No Badges</v>
      </c>
      <c r="J3897" s="3">
        <f t="shared" si="5"/>
        <v>0</v>
      </c>
    </row>
    <row r="3898">
      <c r="A3898" s="1" t="s">
        <v>2951</v>
      </c>
      <c r="B3898" s="3" t="str">
        <f t="shared" si="1"/>
        <v>Unavailable</v>
      </c>
      <c r="C3898" s="5">
        <v>1336.0</v>
      </c>
      <c r="D3898" s="3">
        <f>IFERROR(__xludf.DUMMYFUNCTION("IFERROR(
IF(REGEXMATCH(LOWER(O3898),""k""),
VALUE(REGEXEXTRACT(O3898,""[0-9]+""))*1000,
VALUE(REGEXEXTRACT(O3898,""[0-9]+""))
),
0
)"),0.0)</f>
        <v>0</v>
      </c>
      <c r="E3898" s="1" t="s">
        <v>11</v>
      </c>
      <c r="F3898" s="1" t="s">
        <v>20</v>
      </c>
      <c r="G3898" s="4" t="b">
        <f t="shared" si="2"/>
        <v>1</v>
      </c>
      <c r="H3898" s="1" t="str">
        <f t="shared" si="3"/>
        <v>Currently Unavailable</v>
      </c>
      <c r="I3898" s="1" t="str">
        <f t="shared" si="4"/>
        <v>No Badges</v>
      </c>
      <c r="J3898" s="3">
        <f t="shared" si="5"/>
        <v>0</v>
      </c>
    </row>
    <row r="3899">
      <c r="A3899" s="1" t="s">
        <v>2952</v>
      </c>
      <c r="B3899" s="3" t="str">
        <f t="shared" si="1"/>
        <v>Unavailable</v>
      </c>
      <c r="C3899" s="3">
        <v>358.0</v>
      </c>
      <c r="D3899" s="3">
        <f>IFERROR(__xludf.DUMMYFUNCTION("IFERROR(
IF(REGEXMATCH(LOWER(O3899),""k""),
VALUE(REGEXEXTRACT(O3899,""[0-9]+""))*1000,
VALUE(REGEXEXTRACT(O3899,""[0-9]+""))
),
0
)"),0.0)</f>
        <v>0</v>
      </c>
      <c r="E3899" s="1" t="s">
        <v>11</v>
      </c>
      <c r="F3899" s="1" t="s">
        <v>20</v>
      </c>
      <c r="G3899" s="4" t="b">
        <f t="shared" si="2"/>
        <v>1</v>
      </c>
      <c r="H3899" s="1" t="str">
        <f t="shared" si="3"/>
        <v>Currently Unavailable</v>
      </c>
      <c r="I3899" s="1" t="str">
        <f t="shared" si="4"/>
        <v>No Badges</v>
      </c>
      <c r="J3899" s="3">
        <f t="shared" si="5"/>
        <v>0</v>
      </c>
    </row>
    <row r="3900">
      <c r="A3900" s="1" t="s">
        <v>2953</v>
      </c>
      <c r="B3900" s="3" t="str">
        <f t="shared" si="1"/>
        <v>Unavailable</v>
      </c>
      <c r="C3900" s="3">
        <v>240.0</v>
      </c>
      <c r="D3900" s="3">
        <f>IFERROR(__xludf.DUMMYFUNCTION("IFERROR(
IF(REGEXMATCH(LOWER(O3900),""k""),
VALUE(REGEXEXTRACT(O3900,""[0-9]+""))*1000,
VALUE(REGEXEXTRACT(O3900,""[0-9]+""))
),
0
)"),0.0)</f>
        <v>0</v>
      </c>
      <c r="E3900" s="1" t="s">
        <v>11</v>
      </c>
      <c r="F3900" s="1" t="s">
        <v>20</v>
      </c>
      <c r="G3900" s="4" t="b">
        <f t="shared" si="2"/>
        <v>1</v>
      </c>
      <c r="H3900" s="1" t="str">
        <f t="shared" si="3"/>
        <v>Currently Unavailable</v>
      </c>
      <c r="I3900" s="1" t="str">
        <f t="shared" si="4"/>
        <v>No Badges</v>
      </c>
      <c r="J3900" s="3">
        <f t="shared" si="5"/>
        <v>0</v>
      </c>
    </row>
    <row r="3901">
      <c r="A3901" s="1" t="s">
        <v>2954</v>
      </c>
      <c r="B3901" s="3" t="str">
        <f t="shared" si="1"/>
        <v>Unavailable</v>
      </c>
      <c r="C3901" s="3">
        <v>454.0</v>
      </c>
      <c r="D3901" s="3">
        <f>IFERROR(__xludf.DUMMYFUNCTION("IFERROR(
IF(REGEXMATCH(LOWER(O3901),""k""),
VALUE(REGEXEXTRACT(O3901,""[0-9]+""))*1000,
VALUE(REGEXEXTRACT(O3901,""[0-9]+""))
),
0
)"),0.0)</f>
        <v>0</v>
      </c>
      <c r="E3901" s="1" t="s">
        <v>11</v>
      </c>
      <c r="F3901" s="1" t="s">
        <v>20</v>
      </c>
      <c r="G3901" s="4" t="b">
        <f t="shared" si="2"/>
        <v>1</v>
      </c>
      <c r="H3901" s="1" t="str">
        <f t="shared" si="3"/>
        <v>Currently Unavailable</v>
      </c>
      <c r="I3901" s="1" t="str">
        <f t="shared" si="4"/>
        <v>No Badges</v>
      </c>
      <c r="J3901" s="3">
        <f t="shared" si="5"/>
        <v>0</v>
      </c>
    </row>
    <row r="3902">
      <c r="A3902" s="1" t="s">
        <v>2955</v>
      </c>
      <c r="B3902" s="3" t="str">
        <f t="shared" si="1"/>
        <v>Unavailable</v>
      </c>
      <c r="C3902" s="5">
        <v>4043.0</v>
      </c>
      <c r="D3902" s="3">
        <f>IFERROR(__xludf.DUMMYFUNCTION("IFERROR(
IF(REGEXMATCH(LOWER(O3902),""k""),
VALUE(REGEXEXTRACT(O3902,""[0-9]+""))*1000,
VALUE(REGEXEXTRACT(O3902,""[0-9]+""))
),
0
)"),0.0)</f>
        <v>0</v>
      </c>
      <c r="E3902" s="1" t="s">
        <v>11</v>
      </c>
      <c r="F3902" s="1" t="s">
        <v>20</v>
      </c>
      <c r="G3902" s="4" t="b">
        <f t="shared" si="2"/>
        <v>1</v>
      </c>
      <c r="H3902" s="1" t="str">
        <f t="shared" si="3"/>
        <v>Currently Unavailable</v>
      </c>
      <c r="I3902" s="1" t="str">
        <f t="shared" si="4"/>
        <v>No Badges</v>
      </c>
      <c r="J3902" s="3">
        <f t="shared" si="5"/>
        <v>0</v>
      </c>
    </row>
    <row r="3903">
      <c r="A3903" s="1" t="s">
        <v>2956</v>
      </c>
      <c r="B3903" s="3" t="str">
        <f t="shared" si="1"/>
        <v>Unavailable</v>
      </c>
      <c r="C3903" s="3">
        <v>40.0</v>
      </c>
      <c r="D3903" s="3">
        <f>IFERROR(__xludf.DUMMYFUNCTION("IFERROR(
IF(REGEXMATCH(LOWER(O3903),""k""),
VALUE(REGEXEXTRACT(O3903,""[0-9]+""))*1000,
VALUE(REGEXEXTRACT(O3903,""[0-9]+""))
),
0
)"),0.0)</f>
        <v>0</v>
      </c>
      <c r="E3903" s="1" t="s">
        <v>11</v>
      </c>
      <c r="F3903" s="1" t="s">
        <v>20</v>
      </c>
      <c r="G3903" s="4" t="b">
        <f t="shared" si="2"/>
        <v>1</v>
      </c>
      <c r="H3903" s="1" t="str">
        <f t="shared" si="3"/>
        <v>Currently Unavailable</v>
      </c>
      <c r="I3903" s="1" t="str">
        <f t="shared" si="4"/>
        <v>No Badges</v>
      </c>
      <c r="J3903" s="3">
        <f t="shared" si="5"/>
        <v>0</v>
      </c>
    </row>
    <row r="3904">
      <c r="A3904" s="1" t="s">
        <v>2957</v>
      </c>
      <c r="B3904" s="3" t="str">
        <f t="shared" si="1"/>
        <v>Unavailable</v>
      </c>
      <c r="C3904" s="5">
        <v>1755.0</v>
      </c>
      <c r="D3904" s="3">
        <f>IFERROR(__xludf.DUMMYFUNCTION("IFERROR(
IF(REGEXMATCH(LOWER(O3904),""k""),
VALUE(REGEXEXTRACT(O3904,""[0-9]+""))*1000,
VALUE(REGEXEXTRACT(O3904,""[0-9]+""))
),
0
)"),0.0)</f>
        <v>0</v>
      </c>
      <c r="E3904" s="1" t="s">
        <v>11</v>
      </c>
      <c r="F3904" s="1" t="s">
        <v>20</v>
      </c>
      <c r="G3904" s="4" t="b">
        <f t="shared" si="2"/>
        <v>1</v>
      </c>
      <c r="H3904" s="1" t="str">
        <f t="shared" si="3"/>
        <v>Currently Unavailable</v>
      </c>
      <c r="I3904" s="1" t="str">
        <f t="shared" si="4"/>
        <v>No Badges</v>
      </c>
      <c r="J3904" s="3">
        <f t="shared" si="5"/>
        <v>0</v>
      </c>
    </row>
    <row r="3905">
      <c r="A3905" s="1" t="s">
        <v>2958</v>
      </c>
      <c r="B3905" s="3" t="str">
        <f t="shared" si="1"/>
        <v>Unavailable</v>
      </c>
      <c r="C3905" s="3">
        <v>460.0</v>
      </c>
      <c r="D3905" s="3">
        <f>IFERROR(__xludf.DUMMYFUNCTION("IFERROR(
IF(REGEXMATCH(LOWER(O3905),""k""),
VALUE(REGEXEXTRACT(O3905,""[0-9]+""))*1000,
VALUE(REGEXEXTRACT(O3905,""[0-9]+""))
),
0
)"),0.0)</f>
        <v>0</v>
      </c>
      <c r="E3905" s="1" t="s">
        <v>11</v>
      </c>
      <c r="F3905" s="1" t="s">
        <v>20</v>
      </c>
      <c r="G3905" s="4" t="b">
        <f t="shared" si="2"/>
        <v>1</v>
      </c>
      <c r="H3905" s="1" t="str">
        <f t="shared" si="3"/>
        <v>Currently Unavailable</v>
      </c>
      <c r="I3905" s="1" t="str">
        <f t="shared" si="4"/>
        <v>No Badges</v>
      </c>
      <c r="J3905" s="3">
        <f t="shared" si="5"/>
        <v>0</v>
      </c>
    </row>
    <row r="3906">
      <c r="A3906" s="1" t="s">
        <v>2959</v>
      </c>
      <c r="B3906" s="3" t="str">
        <f t="shared" si="1"/>
        <v>Unavailable</v>
      </c>
      <c r="C3906" s="5">
        <v>1527.0</v>
      </c>
      <c r="D3906" s="3">
        <f>IFERROR(__xludf.DUMMYFUNCTION("IFERROR(
IF(REGEXMATCH(LOWER(O3906),""k""),
VALUE(REGEXEXTRACT(O3906,""[0-9]+""))*1000,
VALUE(REGEXEXTRACT(O3906,""[0-9]+""))
),
0
)"),0.0)</f>
        <v>0</v>
      </c>
      <c r="E3906" s="1" t="s">
        <v>11</v>
      </c>
      <c r="F3906" s="1" t="s">
        <v>20</v>
      </c>
      <c r="G3906" s="4" t="b">
        <f t="shared" si="2"/>
        <v>1</v>
      </c>
      <c r="H3906" s="1" t="str">
        <f t="shared" si="3"/>
        <v>Currently Unavailable</v>
      </c>
      <c r="I3906" s="1" t="str">
        <f t="shared" si="4"/>
        <v>No Badges</v>
      </c>
      <c r="J3906" s="3">
        <f t="shared" si="5"/>
        <v>0</v>
      </c>
    </row>
    <row r="3907">
      <c r="A3907" s="1" t="s">
        <v>2960</v>
      </c>
      <c r="B3907" s="3" t="str">
        <f t="shared" si="1"/>
        <v>Unavailable</v>
      </c>
      <c r="C3907" s="5">
        <v>12140.0</v>
      </c>
      <c r="D3907" s="3">
        <f>IFERROR(__xludf.DUMMYFUNCTION("IFERROR(
IF(REGEXMATCH(LOWER(O3907),""k""),
VALUE(REGEXEXTRACT(O3907,""[0-9]+""))*1000,
VALUE(REGEXEXTRACT(O3907,""[0-9]+""))
),
0
)"),0.0)</f>
        <v>0</v>
      </c>
      <c r="E3907" s="1" t="s">
        <v>11</v>
      </c>
      <c r="F3907" s="1" t="s">
        <v>20</v>
      </c>
      <c r="G3907" s="4" t="b">
        <f t="shared" si="2"/>
        <v>1</v>
      </c>
      <c r="H3907" s="1" t="str">
        <f t="shared" si="3"/>
        <v>Currently Unavailable</v>
      </c>
      <c r="I3907" s="1" t="str">
        <f t="shared" si="4"/>
        <v>No Badges</v>
      </c>
      <c r="J3907" s="3">
        <f t="shared" si="5"/>
        <v>0</v>
      </c>
    </row>
    <row r="3908">
      <c r="A3908" s="1" t="s">
        <v>701</v>
      </c>
      <c r="B3908" s="3" t="str">
        <f t="shared" si="1"/>
        <v>Unavailable</v>
      </c>
      <c r="C3908" s="3">
        <v>8.0</v>
      </c>
      <c r="D3908" s="3">
        <f>IFERROR(__xludf.DUMMYFUNCTION("IFERROR(
IF(REGEXMATCH(LOWER(O3908),""k""),
VALUE(REGEXEXTRACT(O3908,""[0-9]+""))*1000,
VALUE(REGEXEXTRACT(O3908,""[0-9]+""))
),
0
)"),0.0)</f>
        <v>0</v>
      </c>
      <c r="E3908" s="1" t="s">
        <v>11</v>
      </c>
      <c r="F3908" s="1" t="s">
        <v>12</v>
      </c>
      <c r="G3908" s="4" t="b">
        <f t="shared" si="2"/>
        <v>1</v>
      </c>
      <c r="H3908" s="1" t="str">
        <f t="shared" si="3"/>
        <v>Currently Unavailable</v>
      </c>
      <c r="I3908" s="1" t="str">
        <f t="shared" si="4"/>
        <v>No Badges</v>
      </c>
      <c r="J3908" s="3">
        <f t="shared" si="5"/>
        <v>0</v>
      </c>
    </row>
    <row r="3909">
      <c r="A3909" s="1" t="s">
        <v>69</v>
      </c>
      <c r="B3909" s="3" t="str">
        <f t="shared" si="1"/>
        <v>Unavailable</v>
      </c>
      <c r="C3909" s="3">
        <v>45.0</v>
      </c>
      <c r="D3909" s="3">
        <f>IFERROR(__xludf.DUMMYFUNCTION("IFERROR(
IF(REGEXMATCH(LOWER(O3909),""k""),
VALUE(REGEXEXTRACT(O3909,""[0-9]+""))*1000,
VALUE(REGEXEXTRACT(O3909,""[0-9]+""))
),
0
)"),0.0)</f>
        <v>0</v>
      </c>
      <c r="E3909" s="1" t="s">
        <v>11</v>
      </c>
      <c r="F3909" s="1" t="s">
        <v>12</v>
      </c>
      <c r="G3909" s="4" t="b">
        <f t="shared" si="2"/>
        <v>1</v>
      </c>
      <c r="H3909" s="1" t="str">
        <f t="shared" si="3"/>
        <v>Currently Unavailable</v>
      </c>
      <c r="I3909" s="1" t="str">
        <f t="shared" si="4"/>
        <v>No Badges</v>
      </c>
      <c r="J3909" s="3">
        <f t="shared" si="5"/>
        <v>0</v>
      </c>
    </row>
    <row r="3910">
      <c r="A3910" s="1" t="s">
        <v>67</v>
      </c>
      <c r="B3910" s="3" t="str">
        <f t="shared" si="1"/>
        <v>Unavailable</v>
      </c>
      <c r="C3910" s="3">
        <v>264.0</v>
      </c>
      <c r="D3910" s="3">
        <f>IFERROR(__xludf.DUMMYFUNCTION("IFERROR(
IF(REGEXMATCH(LOWER(O3910),""k""),
VALUE(REGEXEXTRACT(O3910,""[0-9]+""))*1000,
VALUE(REGEXEXTRACT(O3910,""[0-9]+""))
),
0
)"),0.0)</f>
        <v>0</v>
      </c>
      <c r="E3910" s="1" t="s">
        <v>11</v>
      </c>
      <c r="F3910" s="1" t="s">
        <v>12</v>
      </c>
      <c r="G3910" s="4" t="b">
        <f t="shared" si="2"/>
        <v>1</v>
      </c>
      <c r="H3910" s="1" t="str">
        <f t="shared" si="3"/>
        <v>Currently Unavailable</v>
      </c>
      <c r="I3910" s="1" t="str">
        <f t="shared" si="4"/>
        <v>No Badges</v>
      </c>
      <c r="J3910" s="3">
        <f t="shared" si="5"/>
        <v>0</v>
      </c>
    </row>
    <row r="3911">
      <c r="A3911" s="1" t="s">
        <v>2961</v>
      </c>
      <c r="B3911" s="3" t="str">
        <f t="shared" si="1"/>
        <v>Unavailable</v>
      </c>
      <c r="C3911" s="3">
        <v>777.0</v>
      </c>
      <c r="D3911" s="3">
        <f>IFERROR(__xludf.DUMMYFUNCTION("IFERROR(
IF(REGEXMATCH(LOWER(O3911),""k""),
VALUE(REGEXEXTRACT(O3911,""[0-9]+""))*1000,
VALUE(REGEXEXTRACT(O3911,""[0-9]+""))
),
0
)"),0.0)</f>
        <v>0</v>
      </c>
      <c r="E3911" s="1" t="s">
        <v>11</v>
      </c>
      <c r="F3911" s="1" t="s">
        <v>20</v>
      </c>
      <c r="G3911" s="4" t="b">
        <f t="shared" si="2"/>
        <v>1</v>
      </c>
      <c r="H3911" s="1" t="str">
        <f t="shared" si="3"/>
        <v>Currently Unavailable</v>
      </c>
      <c r="I3911" s="1" t="str">
        <f t="shared" si="4"/>
        <v>No Badges</v>
      </c>
      <c r="J3911" s="3">
        <f t="shared" si="5"/>
        <v>0</v>
      </c>
    </row>
    <row r="3912">
      <c r="A3912" s="1" t="s">
        <v>2962</v>
      </c>
      <c r="B3912" s="3" t="str">
        <f t="shared" si="1"/>
        <v>Unavailable</v>
      </c>
      <c r="C3912" s="5">
        <v>6862.0</v>
      </c>
      <c r="D3912" s="3">
        <f>IFERROR(__xludf.DUMMYFUNCTION("IFERROR(
IF(REGEXMATCH(LOWER(O3912),""k""),
VALUE(REGEXEXTRACT(O3912,""[0-9]+""))*1000,
VALUE(REGEXEXTRACT(O3912,""[0-9]+""))
),
0
)"),0.0)</f>
        <v>0</v>
      </c>
      <c r="E3912" s="1" t="s">
        <v>11</v>
      </c>
      <c r="F3912" s="1" t="s">
        <v>20</v>
      </c>
      <c r="G3912" s="4" t="b">
        <f t="shared" si="2"/>
        <v>1</v>
      </c>
      <c r="H3912" s="1" t="str">
        <f t="shared" si="3"/>
        <v>Currently Unavailable</v>
      </c>
      <c r="I3912" s="1" t="str">
        <f t="shared" si="4"/>
        <v>No Badges</v>
      </c>
      <c r="J3912" s="3">
        <f t="shared" si="5"/>
        <v>0</v>
      </c>
    </row>
    <row r="3913">
      <c r="A3913" s="1" t="s">
        <v>2963</v>
      </c>
      <c r="B3913" s="3" t="str">
        <f t="shared" si="1"/>
        <v>Unavailable</v>
      </c>
      <c r="C3913" s="3">
        <v>308.0</v>
      </c>
      <c r="D3913" s="3">
        <f>IFERROR(__xludf.DUMMYFUNCTION("IFERROR(
IF(REGEXMATCH(LOWER(O3913),""k""),
VALUE(REGEXEXTRACT(O3913,""[0-9]+""))*1000,
VALUE(REGEXEXTRACT(O3913,""[0-9]+""))
),
0
)"),0.0)</f>
        <v>0</v>
      </c>
      <c r="E3913" s="1" t="s">
        <v>11</v>
      </c>
      <c r="F3913" s="1" t="s">
        <v>20</v>
      </c>
      <c r="G3913" s="4" t="b">
        <f t="shared" si="2"/>
        <v>1</v>
      </c>
      <c r="H3913" s="1" t="str">
        <f t="shared" si="3"/>
        <v>Currently Unavailable</v>
      </c>
      <c r="I3913" s="1" t="str">
        <f t="shared" si="4"/>
        <v>No Badges</v>
      </c>
      <c r="J3913" s="3">
        <f t="shared" si="5"/>
        <v>0</v>
      </c>
    </row>
    <row r="3914">
      <c r="A3914" s="1" t="s">
        <v>2964</v>
      </c>
      <c r="B3914" s="3" t="str">
        <f t="shared" si="1"/>
        <v>Unavailable</v>
      </c>
      <c r="C3914" s="3">
        <v>87.0</v>
      </c>
      <c r="D3914" s="3">
        <f>IFERROR(__xludf.DUMMYFUNCTION("IFERROR(
IF(REGEXMATCH(LOWER(O3914),""k""),
VALUE(REGEXEXTRACT(O3914,""[0-9]+""))*1000,
VALUE(REGEXEXTRACT(O3914,""[0-9]+""))
),
0
)"),0.0)</f>
        <v>0</v>
      </c>
      <c r="E3914" s="1" t="s">
        <v>11</v>
      </c>
      <c r="F3914" s="1" t="s">
        <v>20</v>
      </c>
      <c r="G3914" s="4" t="b">
        <f t="shared" si="2"/>
        <v>1</v>
      </c>
      <c r="H3914" s="1" t="str">
        <f t="shared" si="3"/>
        <v>Currently Unavailable</v>
      </c>
      <c r="I3914" s="1" t="str">
        <f t="shared" si="4"/>
        <v>No Badges</v>
      </c>
      <c r="J3914" s="3">
        <f t="shared" si="5"/>
        <v>0</v>
      </c>
    </row>
    <row r="3915">
      <c r="A3915" s="1" t="s">
        <v>2965</v>
      </c>
      <c r="B3915" s="3" t="str">
        <f t="shared" si="1"/>
        <v>Unavailable</v>
      </c>
      <c r="C3915" s="5">
        <v>5075.0</v>
      </c>
      <c r="D3915" s="3">
        <f>IFERROR(__xludf.DUMMYFUNCTION("IFERROR(
IF(REGEXMATCH(LOWER(O3915),""k""),
VALUE(REGEXEXTRACT(O3915,""[0-9]+""))*1000,
VALUE(REGEXEXTRACT(O3915,""[0-9]+""))
),
0
)"),0.0)</f>
        <v>0</v>
      </c>
      <c r="E3915" s="1" t="s">
        <v>11</v>
      </c>
      <c r="F3915" s="1" t="s">
        <v>20</v>
      </c>
      <c r="G3915" s="4" t="b">
        <f t="shared" si="2"/>
        <v>1</v>
      </c>
      <c r="H3915" s="1" t="str">
        <f t="shared" si="3"/>
        <v>Currently Unavailable</v>
      </c>
      <c r="I3915" s="1" t="str">
        <f t="shared" si="4"/>
        <v>No Badges</v>
      </c>
      <c r="J3915" s="3">
        <f t="shared" si="5"/>
        <v>0</v>
      </c>
    </row>
    <row r="3916">
      <c r="A3916" s="1" t="s">
        <v>2352</v>
      </c>
      <c r="B3916" s="3" t="str">
        <f t="shared" si="1"/>
        <v>Unavailable</v>
      </c>
      <c r="C3916" s="3">
        <v>196.0</v>
      </c>
      <c r="D3916" s="3">
        <f>IFERROR(__xludf.DUMMYFUNCTION("IFERROR(
IF(REGEXMATCH(LOWER(O3916),""k""),
VALUE(REGEXEXTRACT(O3916,""[0-9]+""))*1000,
VALUE(REGEXEXTRACT(O3916,""[0-9]+""))
),
0
)"),0.0)</f>
        <v>0</v>
      </c>
      <c r="E3916" s="1" t="s">
        <v>11</v>
      </c>
      <c r="F3916" s="1" t="s">
        <v>12</v>
      </c>
      <c r="G3916" s="4" t="b">
        <f t="shared" si="2"/>
        <v>1</v>
      </c>
      <c r="H3916" s="1" t="str">
        <f t="shared" si="3"/>
        <v>Currently Unavailable</v>
      </c>
      <c r="I3916" s="1" t="str">
        <f t="shared" si="4"/>
        <v>No Badges</v>
      </c>
      <c r="J3916" s="3">
        <f t="shared" si="5"/>
        <v>0</v>
      </c>
    </row>
    <row r="3917">
      <c r="A3917" s="1" t="s">
        <v>2966</v>
      </c>
      <c r="B3917" s="3" t="str">
        <f t="shared" si="1"/>
        <v>Unavailable</v>
      </c>
      <c r="C3917" s="3">
        <v>92.0</v>
      </c>
      <c r="D3917" s="3">
        <f>IFERROR(__xludf.DUMMYFUNCTION("IFERROR(
IF(REGEXMATCH(LOWER(O3917),""k""),
VALUE(REGEXEXTRACT(O3917,""[0-9]+""))*1000,
VALUE(REGEXEXTRACT(O3917,""[0-9]+""))
),
0
)"),0.0)</f>
        <v>0</v>
      </c>
      <c r="E3917" s="1" t="s">
        <v>11</v>
      </c>
      <c r="F3917" s="1" t="s">
        <v>20</v>
      </c>
      <c r="G3917" s="4" t="b">
        <f t="shared" si="2"/>
        <v>1</v>
      </c>
      <c r="H3917" s="1" t="str">
        <f t="shared" si="3"/>
        <v>Currently Unavailable</v>
      </c>
      <c r="I3917" s="1" t="str">
        <f t="shared" si="4"/>
        <v>No Badges</v>
      </c>
      <c r="J3917" s="3">
        <f t="shared" si="5"/>
        <v>0</v>
      </c>
    </row>
    <row r="3918">
      <c r="A3918" s="1" t="s">
        <v>2967</v>
      </c>
      <c r="B3918" s="3" t="str">
        <f t="shared" si="1"/>
        <v>Unavailable</v>
      </c>
      <c r="C3918" s="3">
        <v>138.0</v>
      </c>
      <c r="D3918" s="3">
        <f>IFERROR(__xludf.DUMMYFUNCTION("IFERROR(
IF(REGEXMATCH(LOWER(O3918),""k""),
VALUE(REGEXEXTRACT(O3918,""[0-9]+""))*1000,
VALUE(REGEXEXTRACT(O3918,""[0-9]+""))
),
0
)"),0.0)</f>
        <v>0</v>
      </c>
      <c r="E3918" s="1" t="s">
        <v>11</v>
      </c>
      <c r="F3918" s="1" t="s">
        <v>20</v>
      </c>
      <c r="G3918" s="4" t="b">
        <f t="shared" si="2"/>
        <v>1</v>
      </c>
      <c r="H3918" s="1" t="str">
        <f t="shared" si="3"/>
        <v>Currently Unavailable</v>
      </c>
      <c r="I3918" s="1" t="str">
        <f t="shared" si="4"/>
        <v>No Badges</v>
      </c>
      <c r="J3918" s="3">
        <f t="shared" si="5"/>
        <v>0</v>
      </c>
    </row>
    <row r="3919">
      <c r="A3919" s="1" t="s">
        <v>2968</v>
      </c>
      <c r="B3919" s="3" t="str">
        <f t="shared" si="1"/>
        <v>Unavailable</v>
      </c>
      <c r="C3919" s="5">
        <v>1966.0</v>
      </c>
      <c r="D3919" s="3">
        <f>IFERROR(__xludf.DUMMYFUNCTION("IFERROR(
IF(REGEXMATCH(LOWER(O3919),""k""),
VALUE(REGEXEXTRACT(O3919,""[0-9]+""))*1000,
VALUE(REGEXEXTRACT(O3919,""[0-9]+""))
),
0
)"),0.0)</f>
        <v>0</v>
      </c>
      <c r="E3919" s="1" t="s">
        <v>11</v>
      </c>
      <c r="F3919" s="1" t="s">
        <v>20</v>
      </c>
      <c r="G3919" s="4" t="b">
        <f t="shared" si="2"/>
        <v>1</v>
      </c>
      <c r="H3919" s="1" t="str">
        <f t="shared" si="3"/>
        <v>Currently Unavailable</v>
      </c>
      <c r="I3919" s="1" t="str">
        <f t="shared" si="4"/>
        <v>No Badges</v>
      </c>
      <c r="J3919" s="3">
        <f t="shared" si="5"/>
        <v>0</v>
      </c>
    </row>
    <row r="3920">
      <c r="A3920" s="1" t="s">
        <v>2969</v>
      </c>
      <c r="B3920" s="3" t="str">
        <f t="shared" si="1"/>
        <v>Unavailable</v>
      </c>
      <c r="C3920" s="3">
        <v>351.0</v>
      </c>
      <c r="D3920" s="3">
        <f>IFERROR(__xludf.DUMMYFUNCTION("IFERROR(
IF(REGEXMATCH(LOWER(O3920),""k""),
VALUE(REGEXEXTRACT(O3920,""[0-9]+""))*1000,
VALUE(REGEXEXTRACT(O3920,""[0-9]+""))
),
0
)"),0.0)</f>
        <v>0</v>
      </c>
      <c r="E3920" s="1" t="s">
        <v>11</v>
      </c>
      <c r="F3920" s="1" t="s">
        <v>20</v>
      </c>
      <c r="G3920" s="4" t="b">
        <f t="shared" si="2"/>
        <v>1</v>
      </c>
      <c r="H3920" s="1" t="str">
        <f t="shared" si="3"/>
        <v>Currently Unavailable</v>
      </c>
      <c r="I3920" s="1" t="str">
        <f t="shared" si="4"/>
        <v>No Badges</v>
      </c>
      <c r="J3920" s="3">
        <f t="shared" si="5"/>
        <v>0</v>
      </c>
    </row>
    <row r="3921">
      <c r="A3921" s="1" t="s">
        <v>2970</v>
      </c>
      <c r="B3921" s="3" t="str">
        <f t="shared" si="1"/>
        <v>Unavailable</v>
      </c>
      <c r="C3921" s="5">
        <v>1171.0</v>
      </c>
      <c r="D3921" s="3">
        <f>IFERROR(__xludf.DUMMYFUNCTION("IFERROR(
IF(REGEXMATCH(LOWER(O3921),""k""),
VALUE(REGEXEXTRACT(O3921,""[0-9]+""))*1000,
VALUE(REGEXEXTRACT(O3921,""[0-9]+""))
),
0
)"),0.0)</f>
        <v>0</v>
      </c>
      <c r="E3921" s="1" t="s">
        <v>11</v>
      </c>
      <c r="F3921" s="1" t="s">
        <v>20</v>
      </c>
      <c r="G3921" s="4" t="b">
        <f t="shared" si="2"/>
        <v>1</v>
      </c>
      <c r="H3921" s="1" t="str">
        <f t="shared" si="3"/>
        <v>Currently Unavailable</v>
      </c>
      <c r="I3921" s="1" t="str">
        <f t="shared" si="4"/>
        <v>No Badges</v>
      </c>
      <c r="J3921" s="3">
        <f t="shared" si="5"/>
        <v>0</v>
      </c>
    </row>
    <row r="3922">
      <c r="A3922" s="1" t="s">
        <v>2971</v>
      </c>
      <c r="B3922" s="3" t="str">
        <f t="shared" si="1"/>
        <v>Unavailable</v>
      </c>
      <c r="C3922" s="3">
        <v>442.0</v>
      </c>
      <c r="D3922" s="3">
        <f>IFERROR(__xludf.DUMMYFUNCTION("IFERROR(
IF(REGEXMATCH(LOWER(O3922),""k""),
VALUE(REGEXEXTRACT(O3922,""[0-9]+""))*1000,
VALUE(REGEXEXTRACT(O3922,""[0-9]+""))
),
0
)"),0.0)</f>
        <v>0</v>
      </c>
      <c r="E3922" s="1" t="s">
        <v>11</v>
      </c>
      <c r="F3922" s="1" t="s">
        <v>20</v>
      </c>
      <c r="G3922" s="4" t="b">
        <f t="shared" si="2"/>
        <v>1</v>
      </c>
      <c r="H3922" s="1" t="str">
        <f t="shared" si="3"/>
        <v>Currently Unavailable</v>
      </c>
      <c r="I3922" s="1" t="str">
        <f t="shared" si="4"/>
        <v>No Badges</v>
      </c>
      <c r="J3922" s="3">
        <f t="shared" si="5"/>
        <v>0</v>
      </c>
    </row>
    <row r="3923">
      <c r="A3923" s="1" t="s">
        <v>2972</v>
      </c>
      <c r="B3923" s="3" t="str">
        <f t="shared" si="1"/>
        <v>Unavailable</v>
      </c>
      <c r="C3923" s="5">
        <v>7254.0</v>
      </c>
      <c r="D3923" s="3">
        <f>IFERROR(__xludf.DUMMYFUNCTION("IFERROR(
IF(REGEXMATCH(LOWER(O3923),""k""),
VALUE(REGEXEXTRACT(O3923,""[0-9]+""))*1000,
VALUE(REGEXEXTRACT(O3923,""[0-9]+""))
),
0
)"),0.0)</f>
        <v>0</v>
      </c>
      <c r="E3923" s="1" t="s">
        <v>11</v>
      </c>
      <c r="F3923" s="1" t="s">
        <v>20</v>
      </c>
      <c r="G3923" s="4" t="b">
        <f t="shared" si="2"/>
        <v>1</v>
      </c>
      <c r="H3923" s="1" t="str">
        <f t="shared" si="3"/>
        <v>Currently Unavailable</v>
      </c>
      <c r="I3923" s="1" t="str">
        <f t="shared" si="4"/>
        <v>No Badges</v>
      </c>
      <c r="J3923" s="3">
        <f t="shared" si="5"/>
        <v>0</v>
      </c>
    </row>
    <row r="3924">
      <c r="A3924" s="1" t="s">
        <v>2973</v>
      </c>
      <c r="B3924" s="3" t="str">
        <f t="shared" si="1"/>
        <v>Unavailable</v>
      </c>
      <c r="C3924" s="3">
        <v>860.0</v>
      </c>
      <c r="D3924" s="3">
        <f>IFERROR(__xludf.DUMMYFUNCTION("IFERROR(
IF(REGEXMATCH(LOWER(O3924),""k""),
VALUE(REGEXEXTRACT(O3924,""[0-9]+""))*1000,
VALUE(REGEXEXTRACT(O3924,""[0-9]+""))
),
0
)"),0.0)</f>
        <v>0</v>
      </c>
      <c r="E3924" s="1" t="s">
        <v>11</v>
      </c>
      <c r="F3924" s="1" t="s">
        <v>20</v>
      </c>
      <c r="G3924" s="4" t="b">
        <f t="shared" si="2"/>
        <v>1</v>
      </c>
      <c r="H3924" s="1" t="str">
        <f t="shared" si="3"/>
        <v>Currently Unavailable</v>
      </c>
      <c r="I3924" s="1" t="str">
        <f t="shared" si="4"/>
        <v>No Badges</v>
      </c>
      <c r="J3924" s="3">
        <f t="shared" si="5"/>
        <v>0</v>
      </c>
    </row>
    <row r="3925">
      <c r="A3925" s="1" t="s">
        <v>88</v>
      </c>
      <c r="B3925" s="3" t="str">
        <f t="shared" si="1"/>
        <v>Unavailable</v>
      </c>
      <c r="C3925" s="3">
        <v>5.0</v>
      </c>
      <c r="D3925" s="3">
        <f>IFERROR(__xludf.DUMMYFUNCTION("IFERROR(
IF(REGEXMATCH(LOWER(O3925),""k""),
VALUE(REGEXEXTRACT(O3925,""[0-9]+""))*1000,
VALUE(REGEXEXTRACT(O3925,""[0-9]+""))
),
0
)"),0.0)</f>
        <v>0</v>
      </c>
      <c r="E3925" s="1" t="s">
        <v>11</v>
      </c>
      <c r="F3925" s="1" t="s">
        <v>12</v>
      </c>
      <c r="G3925" s="4" t="b">
        <f t="shared" si="2"/>
        <v>1</v>
      </c>
      <c r="H3925" s="1" t="str">
        <f t="shared" si="3"/>
        <v>Currently Unavailable</v>
      </c>
      <c r="I3925" s="1" t="str">
        <f t="shared" si="4"/>
        <v>No Badges</v>
      </c>
      <c r="J3925" s="3">
        <f t="shared" si="5"/>
        <v>0</v>
      </c>
    </row>
    <row r="3926">
      <c r="A3926" s="1" t="s">
        <v>2974</v>
      </c>
      <c r="B3926" s="3" t="str">
        <f t="shared" si="1"/>
        <v>Unavailable</v>
      </c>
      <c r="C3926" s="3">
        <v>396.0</v>
      </c>
      <c r="D3926" s="3">
        <f>IFERROR(__xludf.DUMMYFUNCTION("IFERROR(
IF(REGEXMATCH(LOWER(O3926),""k""),
VALUE(REGEXEXTRACT(O3926,""[0-9]+""))*1000,
VALUE(REGEXEXTRACT(O3926,""[0-9]+""))
),
0
)"),0.0)</f>
        <v>0</v>
      </c>
      <c r="E3926" s="1" t="s">
        <v>11</v>
      </c>
      <c r="F3926" s="1" t="s">
        <v>20</v>
      </c>
      <c r="G3926" s="4" t="b">
        <f t="shared" si="2"/>
        <v>1</v>
      </c>
      <c r="H3926" s="1" t="str">
        <f t="shared" si="3"/>
        <v>Currently Unavailable</v>
      </c>
      <c r="I3926" s="1" t="str">
        <f t="shared" si="4"/>
        <v>No Badges</v>
      </c>
      <c r="J3926" s="3">
        <f t="shared" si="5"/>
        <v>0</v>
      </c>
    </row>
    <row r="3927">
      <c r="A3927" s="1" t="s">
        <v>2975</v>
      </c>
      <c r="B3927" s="3" t="str">
        <f t="shared" si="1"/>
        <v>Unavailable</v>
      </c>
      <c r="C3927" s="5">
        <v>1029.0</v>
      </c>
      <c r="D3927" s="3">
        <f>IFERROR(__xludf.DUMMYFUNCTION("IFERROR(
IF(REGEXMATCH(LOWER(O3927),""k""),
VALUE(REGEXEXTRACT(O3927,""[0-9]+""))*1000,
VALUE(REGEXEXTRACT(O3927,""[0-9]+""))
),
0
)"),0.0)</f>
        <v>0</v>
      </c>
      <c r="E3927" s="1" t="s">
        <v>11</v>
      </c>
      <c r="F3927" s="1" t="s">
        <v>20</v>
      </c>
      <c r="G3927" s="4" t="b">
        <f t="shared" si="2"/>
        <v>1</v>
      </c>
      <c r="H3927" s="1" t="str">
        <f t="shared" si="3"/>
        <v>Currently Unavailable</v>
      </c>
      <c r="I3927" s="1" t="str">
        <f t="shared" si="4"/>
        <v>No Badges</v>
      </c>
      <c r="J3927" s="3">
        <f t="shared" si="5"/>
        <v>0</v>
      </c>
    </row>
    <row r="3928">
      <c r="A3928" s="1" t="s">
        <v>69</v>
      </c>
      <c r="B3928" s="3" t="str">
        <f t="shared" si="1"/>
        <v>Unavailable</v>
      </c>
      <c r="C3928" s="3">
        <v>45.0</v>
      </c>
      <c r="D3928" s="3">
        <f>IFERROR(__xludf.DUMMYFUNCTION("IFERROR(
IF(REGEXMATCH(LOWER(O3928),""k""),
VALUE(REGEXEXTRACT(O3928,""[0-9]+""))*1000,
VALUE(REGEXEXTRACT(O3928,""[0-9]+""))
),
0
)"),0.0)</f>
        <v>0</v>
      </c>
      <c r="E3928" s="1" t="s">
        <v>11</v>
      </c>
      <c r="F3928" s="1" t="s">
        <v>12</v>
      </c>
      <c r="G3928" s="4" t="b">
        <f t="shared" si="2"/>
        <v>1</v>
      </c>
      <c r="H3928" s="1" t="str">
        <f t="shared" si="3"/>
        <v>Currently Unavailable</v>
      </c>
      <c r="I3928" s="1" t="str">
        <f t="shared" si="4"/>
        <v>No Badges</v>
      </c>
      <c r="J3928" s="3">
        <f t="shared" si="5"/>
        <v>0</v>
      </c>
    </row>
    <row r="3929">
      <c r="A3929" s="1" t="s">
        <v>2976</v>
      </c>
      <c r="B3929" s="3" t="str">
        <f t="shared" si="1"/>
        <v>Unavailable</v>
      </c>
      <c r="C3929" s="5">
        <v>1345.0</v>
      </c>
      <c r="D3929" s="3">
        <f>IFERROR(__xludf.DUMMYFUNCTION("IFERROR(
IF(REGEXMATCH(LOWER(O3929),""k""),
VALUE(REGEXEXTRACT(O3929,""[0-9]+""))*1000,
VALUE(REGEXEXTRACT(O3929,""[0-9]+""))
),
0
)"),0.0)</f>
        <v>0</v>
      </c>
      <c r="E3929" s="1" t="s">
        <v>11</v>
      </c>
      <c r="F3929" s="1" t="s">
        <v>20</v>
      </c>
      <c r="G3929" s="4" t="b">
        <f t="shared" si="2"/>
        <v>1</v>
      </c>
      <c r="H3929" s="1" t="str">
        <f t="shared" si="3"/>
        <v>Currently Unavailable</v>
      </c>
      <c r="I3929" s="1" t="str">
        <f t="shared" si="4"/>
        <v>No Badges</v>
      </c>
      <c r="J3929" s="3">
        <f t="shared" si="5"/>
        <v>0</v>
      </c>
    </row>
    <row r="3930">
      <c r="A3930" s="1" t="s">
        <v>2977</v>
      </c>
      <c r="B3930" s="3" t="str">
        <f t="shared" si="1"/>
        <v>Unavailable</v>
      </c>
      <c r="C3930" s="3">
        <v>229.0</v>
      </c>
      <c r="D3930" s="3">
        <f>IFERROR(__xludf.DUMMYFUNCTION("IFERROR(
IF(REGEXMATCH(LOWER(O3930),""k""),
VALUE(REGEXEXTRACT(O3930,""[0-9]+""))*1000,
VALUE(REGEXEXTRACT(O3930,""[0-9]+""))
),
0
)"),0.0)</f>
        <v>0</v>
      </c>
      <c r="E3930" s="1" t="s">
        <v>11</v>
      </c>
      <c r="F3930" s="1" t="s">
        <v>20</v>
      </c>
      <c r="G3930" s="4" t="b">
        <f t="shared" si="2"/>
        <v>1</v>
      </c>
      <c r="H3930" s="1" t="str">
        <f t="shared" si="3"/>
        <v>Currently Unavailable</v>
      </c>
      <c r="I3930" s="1" t="str">
        <f t="shared" si="4"/>
        <v>No Badges</v>
      </c>
      <c r="J3930" s="3">
        <f t="shared" si="5"/>
        <v>0</v>
      </c>
    </row>
    <row r="3931">
      <c r="A3931" s="1" t="s">
        <v>2978</v>
      </c>
      <c r="B3931" s="3" t="str">
        <f t="shared" si="1"/>
        <v>Unavailable</v>
      </c>
      <c r="C3931" s="3">
        <v>42.0</v>
      </c>
      <c r="D3931" s="3">
        <f>IFERROR(__xludf.DUMMYFUNCTION("IFERROR(
IF(REGEXMATCH(LOWER(O3931),""k""),
VALUE(REGEXEXTRACT(O3931,""[0-9]+""))*1000,
VALUE(REGEXEXTRACT(O3931,""[0-9]+""))
),
0
)"),0.0)</f>
        <v>0</v>
      </c>
      <c r="E3931" s="1" t="s">
        <v>11</v>
      </c>
      <c r="F3931" s="1" t="s">
        <v>20</v>
      </c>
      <c r="G3931" s="4" t="b">
        <f t="shared" si="2"/>
        <v>1</v>
      </c>
      <c r="H3931" s="1" t="str">
        <f t="shared" si="3"/>
        <v>Currently Unavailable</v>
      </c>
      <c r="I3931" s="1" t="str">
        <f t="shared" si="4"/>
        <v>No Badges</v>
      </c>
      <c r="J3931" s="3">
        <f t="shared" si="5"/>
        <v>0</v>
      </c>
    </row>
    <row r="3932">
      <c r="A3932" s="1" t="s">
        <v>2979</v>
      </c>
      <c r="B3932" s="3" t="str">
        <f t="shared" si="1"/>
        <v>Unavailable</v>
      </c>
      <c r="C3932" s="3">
        <v>940.0</v>
      </c>
      <c r="D3932" s="3">
        <f>IFERROR(__xludf.DUMMYFUNCTION("IFERROR(
IF(REGEXMATCH(LOWER(O3932),""k""),
VALUE(REGEXEXTRACT(O3932,""[0-9]+""))*1000,
VALUE(REGEXEXTRACT(O3932,""[0-9]+""))
),
0
)"),0.0)</f>
        <v>0</v>
      </c>
      <c r="E3932" s="1" t="s">
        <v>11</v>
      </c>
      <c r="F3932" s="1" t="s">
        <v>20</v>
      </c>
      <c r="G3932" s="4" t="b">
        <f t="shared" si="2"/>
        <v>1</v>
      </c>
      <c r="H3932" s="1" t="str">
        <f t="shared" si="3"/>
        <v>Currently Unavailable</v>
      </c>
      <c r="I3932" s="1" t="str">
        <f t="shared" si="4"/>
        <v>No Badges</v>
      </c>
      <c r="J3932" s="3">
        <f t="shared" si="5"/>
        <v>0</v>
      </c>
    </row>
    <row r="3933">
      <c r="A3933" s="1" t="s">
        <v>2980</v>
      </c>
      <c r="B3933" s="3" t="str">
        <f t="shared" si="1"/>
        <v>Unavailable</v>
      </c>
      <c r="C3933" s="5">
        <v>3569.0</v>
      </c>
      <c r="D3933" s="3">
        <f>IFERROR(__xludf.DUMMYFUNCTION("IFERROR(
IF(REGEXMATCH(LOWER(O3933),""k""),
VALUE(REGEXEXTRACT(O3933,""[0-9]+""))*1000,
VALUE(REGEXEXTRACT(O3933,""[0-9]+""))
),
0
)"),0.0)</f>
        <v>0</v>
      </c>
      <c r="E3933" s="1" t="s">
        <v>11</v>
      </c>
      <c r="F3933" s="1" t="s">
        <v>20</v>
      </c>
      <c r="G3933" s="4" t="b">
        <f t="shared" si="2"/>
        <v>1</v>
      </c>
      <c r="H3933" s="1" t="str">
        <f t="shared" si="3"/>
        <v>Currently Unavailable</v>
      </c>
      <c r="I3933" s="1" t="str">
        <f t="shared" si="4"/>
        <v>No Badges</v>
      </c>
      <c r="J3933" s="3">
        <f t="shared" si="5"/>
        <v>0</v>
      </c>
    </row>
    <row r="3934">
      <c r="A3934" s="1" t="s">
        <v>2981</v>
      </c>
      <c r="B3934" s="3" t="str">
        <f t="shared" si="1"/>
        <v>Unavailable</v>
      </c>
      <c r="C3934" s="3">
        <v>688.0</v>
      </c>
      <c r="D3934" s="3">
        <f>IFERROR(__xludf.DUMMYFUNCTION("IFERROR(
IF(REGEXMATCH(LOWER(O3934),""k""),
VALUE(REGEXEXTRACT(O3934,""[0-9]+""))*1000,
VALUE(REGEXEXTRACT(O3934,""[0-9]+""))
),
0
)"),0.0)</f>
        <v>0</v>
      </c>
      <c r="E3934" s="1" t="s">
        <v>11</v>
      </c>
      <c r="F3934" s="1" t="s">
        <v>20</v>
      </c>
      <c r="G3934" s="4" t="b">
        <f t="shared" si="2"/>
        <v>1</v>
      </c>
      <c r="H3934" s="1" t="str">
        <f t="shared" si="3"/>
        <v>Currently Unavailable</v>
      </c>
      <c r="I3934" s="1" t="str">
        <f t="shared" si="4"/>
        <v>No Badges</v>
      </c>
      <c r="J3934" s="3">
        <f t="shared" si="5"/>
        <v>0</v>
      </c>
    </row>
    <row r="3935">
      <c r="A3935" s="1" t="s">
        <v>2982</v>
      </c>
      <c r="B3935" s="3" t="str">
        <f t="shared" si="1"/>
        <v>Unavailable</v>
      </c>
      <c r="C3935" s="3">
        <v>959.0</v>
      </c>
      <c r="D3935" s="3">
        <f>IFERROR(__xludf.DUMMYFUNCTION("IFERROR(
IF(REGEXMATCH(LOWER(O3935),""k""),
VALUE(REGEXEXTRACT(O3935,""[0-9]+""))*1000,
VALUE(REGEXEXTRACT(O3935,""[0-9]+""))
),
0
)"),0.0)</f>
        <v>0</v>
      </c>
      <c r="E3935" s="1" t="s">
        <v>11</v>
      </c>
      <c r="F3935" s="1" t="s">
        <v>20</v>
      </c>
      <c r="G3935" s="4" t="b">
        <f t="shared" si="2"/>
        <v>1</v>
      </c>
      <c r="H3935" s="1" t="str">
        <f t="shared" si="3"/>
        <v>Currently Unavailable</v>
      </c>
      <c r="I3935" s="1" t="str">
        <f t="shared" si="4"/>
        <v>No Badges</v>
      </c>
      <c r="J3935" s="3">
        <f t="shared" si="5"/>
        <v>0</v>
      </c>
    </row>
    <row r="3936">
      <c r="A3936" s="1" t="s">
        <v>2983</v>
      </c>
      <c r="B3936" s="3" t="str">
        <f t="shared" si="1"/>
        <v>Unavailable</v>
      </c>
      <c r="C3936" s="3">
        <v>367.0</v>
      </c>
      <c r="D3936" s="3">
        <f>IFERROR(__xludf.DUMMYFUNCTION("IFERROR(
IF(REGEXMATCH(LOWER(O3936),""k""),
VALUE(REGEXEXTRACT(O3936,""[0-9]+""))*1000,
VALUE(REGEXEXTRACT(O3936,""[0-9]+""))
),
0
)"),0.0)</f>
        <v>0</v>
      </c>
      <c r="E3936" s="1" t="s">
        <v>11</v>
      </c>
      <c r="F3936" s="1" t="s">
        <v>20</v>
      </c>
      <c r="G3936" s="4" t="b">
        <f t="shared" si="2"/>
        <v>1</v>
      </c>
      <c r="H3936" s="1" t="str">
        <f t="shared" si="3"/>
        <v>Currently Unavailable</v>
      </c>
      <c r="I3936" s="1" t="str">
        <f t="shared" si="4"/>
        <v>No Badges</v>
      </c>
      <c r="J3936" s="3">
        <f t="shared" si="5"/>
        <v>0</v>
      </c>
    </row>
    <row r="3937">
      <c r="A3937" s="1" t="s">
        <v>2984</v>
      </c>
      <c r="B3937" s="3" t="str">
        <f t="shared" si="1"/>
        <v>Unavailable</v>
      </c>
      <c r="C3937" s="5">
        <v>10046.0</v>
      </c>
      <c r="D3937" s="3">
        <f>IFERROR(__xludf.DUMMYFUNCTION("IFERROR(
IF(REGEXMATCH(LOWER(O3937),""k""),
VALUE(REGEXEXTRACT(O3937,""[0-9]+""))*1000,
VALUE(REGEXEXTRACT(O3937,""[0-9]+""))
),
0
)"),0.0)</f>
        <v>0</v>
      </c>
      <c r="E3937" s="1" t="s">
        <v>11</v>
      </c>
      <c r="F3937" s="1" t="s">
        <v>20</v>
      </c>
      <c r="G3937" s="4" t="b">
        <f t="shared" si="2"/>
        <v>1</v>
      </c>
      <c r="H3937" s="1" t="str">
        <f t="shared" si="3"/>
        <v>Currently Unavailable</v>
      </c>
      <c r="I3937" s="1" t="str">
        <f t="shared" si="4"/>
        <v>No Badges</v>
      </c>
      <c r="J3937" s="3">
        <f t="shared" si="5"/>
        <v>0</v>
      </c>
    </row>
    <row r="3938">
      <c r="A3938" s="1" t="s">
        <v>2985</v>
      </c>
      <c r="B3938" s="3" t="str">
        <f t="shared" si="1"/>
        <v>Unavailable</v>
      </c>
      <c r="C3938" s="5">
        <v>5361.0</v>
      </c>
      <c r="D3938" s="3">
        <f>IFERROR(__xludf.DUMMYFUNCTION("IFERROR(
IF(REGEXMATCH(LOWER(O3938),""k""),
VALUE(REGEXEXTRACT(O3938,""[0-9]+""))*1000,
VALUE(REGEXEXTRACT(O3938,""[0-9]+""))
),
0
)"),0.0)</f>
        <v>0</v>
      </c>
      <c r="E3938" s="1" t="s">
        <v>11</v>
      </c>
      <c r="F3938" s="1" t="s">
        <v>20</v>
      </c>
      <c r="G3938" s="4" t="b">
        <f t="shared" si="2"/>
        <v>1</v>
      </c>
      <c r="H3938" s="1" t="str">
        <f t="shared" si="3"/>
        <v>Currently Unavailable</v>
      </c>
      <c r="I3938" s="1" t="str">
        <f t="shared" si="4"/>
        <v>No Badges</v>
      </c>
      <c r="J3938" s="3">
        <f t="shared" si="5"/>
        <v>0</v>
      </c>
    </row>
    <row r="3939">
      <c r="A3939" s="1" t="s">
        <v>2384</v>
      </c>
      <c r="B3939" s="3" t="str">
        <f t="shared" si="1"/>
        <v>Unavailable</v>
      </c>
      <c r="C3939" s="3">
        <v>245.0</v>
      </c>
      <c r="D3939" s="3">
        <f>IFERROR(__xludf.DUMMYFUNCTION("IFERROR(
IF(REGEXMATCH(LOWER(O3939),""k""),
VALUE(REGEXEXTRACT(O3939,""[0-9]+""))*1000,
VALUE(REGEXEXTRACT(O3939,""[0-9]+""))
),
0
)"),0.0)</f>
        <v>0</v>
      </c>
      <c r="E3939" s="1" t="s">
        <v>11</v>
      </c>
      <c r="F3939" s="1" t="s">
        <v>20</v>
      </c>
      <c r="G3939" s="4" t="b">
        <f t="shared" si="2"/>
        <v>1</v>
      </c>
      <c r="H3939" s="1" t="str">
        <f t="shared" si="3"/>
        <v>Currently Unavailable</v>
      </c>
      <c r="I3939" s="1" t="str">
        <f t="shared" si="4"/>
        <v>No Badges</v>
      </c>
      <c r="J3939" s="3">
        <f t="shared" si="5"/>
        <v>0</v>
      </c>
    </row>
    <row r="3940">
      <c r="A3940" s="1" t="s">
        <v>2986</v>
      </c>
      <c r="B3940" s="3" t="str">
        <f t="shared" si="1"/>
        <v>Unavailable</v>
      </c>
      <c r="C3940" s="5">
        <v>15784.0</v>
      </c>
      <c r="D3940" s="3">
        <f>IFERROR(__xludf.DUMMYFUNCTION("IFERROR(
IF(REGEXMATCH(LOWER(O3940),""k""),
VALUE(REGEXEXTRACT(O3940,""[0-9]+""))*1000,
VALUE(REGEXEXTRACT(O3940,""[0-9]+""))
),
0
)"),0.0)</f>
        <v>0</v>
      </c>
      <c r="E3940" s="1" t="s">
        <v>11</v>
      </c>
      <c r="F3940" s="1" t="s">
        <v>20</v>
      </c>
      <c r="G3940" s="4" t="b">
        <f t="shared" si="2"/>
        <v>1</v>
      </c>
      <c r="H3940" s="1" t="str">
        <f t="shared" si="3"/>
        <v>Currently Unavailable</v>
      </c>
      <c r="I3940" s="1" t="str">
        <f t="shared" si="4"/>
        <v>No Badges</v>
      </c>
      <c r="J3940" s="3">
        <f t="shared" si="5"/>
        <v>0</v>
      </c>
    </row>
    <row r="3941">
      <c r="A3941" s="1" t="s">
        <v>67</v>
      </c>
      <c r="B3941" s="3" t="str">
        <f t="shared" si="1"/>
        <v>Unavailable</v>
      </c>
      <c r="C3941" s="3">
        <v>264.0</v>
      </c>
      <c r="D3941" s="3">
        <f>IFERROR(__xludf.DUMMYFUNCTION("IFERROR(
IF(REGEXMATCH(LOWER(O3941),""k""),
VALUE(REGEXEXTRACT(O3941,""[0-9]+""))*1000,
VALUE(REGEXEXTRACT(O3941,""[0-9]+""))
),
0
)"),0.0)</f>
        <v>0</v>
      </c>
      <c r="E3941" s="1" t="s">
        <v>11</v>
      </c>
      <c r="F3941" s="1" t="s">
        <v>12</v>
      </c>
      <c r="G3941" s="4" t="b">
        <f t="shared" si="2"/>
        <v>1</v>
      </c>
      <c r="H3941" s="1" t="str">
        <f t="shared" si="3"/>
        <v>Currently Unavailable</v>
      </c>
      <c r="I3941" s="1" t="str">
        <f t="shared" si="4"/>
        <v>No Badges</v>
      </c>
      <c r="J3941" s="3">
        <f t="shared" si="5"/>
        <v>0</v>
      </c>
    </row>
    <row r="3942">
      <c r="A3942" s="1" t="s">
        <v>2987</v>
      </c>
      <c r="B3942" s="3" t="str">
        <f t="shared" si="1"/>
        <v>Unavailable</v>
      </c>
      <c r="C3942" s="5">
        <v>1069.0</v>
      </c>
      <c r="D3942" s="3">
        <f>IFERROR(__xludf.DUMMYFUNCTION("IFERROR(
IF(REGEXMATCH(LOWER(O3942),""k""),
VALUE(REGEXEXTRACT(O3942,""[0-9]+""))*1000,
VALUE(REGEXEXTRACT(O3942,""[0-9]+""))
),
0
)"),0.0)</f>
        <v>0</v>
      </c>
      <c r="E3942" s="1" t="s">
        <v>11</v>
      </c>
      <c r="F3942" s="1" t="s">
        <v>20</v>
      </c>
      <c r="G3942" s="4" t="b">
        <f t="shared" si="2"/>
        <v>1</v>
      </c>
      <c r="H3942" s="1" t="str">
        <f t="shared" si="3"/>
        <v>Currently Unavailable</v>
      </c>
      <c r="I3942" s="1" t="str">
        <f t="shared" si="4"/>
        <v>No Badges</v>
      </c>
      <c r="J3942" s="3">
        <f t="shared" si="5"/>
        <v>0</v>
      </c>
    </row>
    <row r="3943">
      <c r="A3943" s="1" t="s">
        <v>2354</v>
      </c>
      <c r="B3943" s="3" t="str">
        <f t="shared" si="1"/>
        <v>Unavailable</v>
      </c>
      <c r="C3943" s="5">
        <v>1878.0</v>
      </c>
      <c r="D3943" s="3">
        <f>IFERROR(__xludf.DUMMYFUNCTION("IFERROR(
IF(REGEXMATCH(LOWER(O3943),""k""),
VALUE(REGEXEXTRACT(O3943,""[0-9]+""))*1000,
VALUE(REGEXEXTRACT(O3943,""[0-9]+""))
),
0
)"),0.0)</f>
        <v>0</v>
      </c>
      <c r="E3943" s="1" t="s">
        <v>11</v>
      </c>
      <c r="F3943" s="1" t="s">
        <v>12</v>
      </c>
      <c r="G3943" s="4" t="b">
        <f t="shared" si="2"/>
        <v>1</v>
      </c>
      <c r="H3943" s="1" t="str">
        <f t="shared" si="3"/>
        <v>Currently Unavailable</v>
      </c>
      <c r="I3943" s="1" t="str">
        <f t="shared" si="4"/>
        <v>No Badges</v>
      </c>
      <c r="J3943" s="3">
        <f t="shared" si="5"/>
        <v>0</v>
      </c>
    </row>
    <row r="3944">
      <c r="A3944" s="1" t="s">
        <v>2988</v>
      </c>
      <c r="B3944" s="3" t="str">
        <f t="shared" si="1"/>
        <v>Unavailable</v>
      </c>
      <c r="C3944" s="3">
        <v>37.0</v>
      </c>
      <c r="D3944" s="3">
        <f>IFERROR(__xludf.DUMMYFUNCTION("IFERROR(
IF(REGEXMATCH(LOWER(O3944),""k""),
VALUE(REGEXEXTRACT(O3944,""[0-9]+""))*1000,
VALUE(REGEXEXTRACT(O3944,""[0-9]+""))
),
0
)"),0.0)</f>
        <v>0</v>
      </c>
      <c r="E3944" s="1" t="s">
        <v>11</v>
      </c>
      <c r="F3944" s="1" t="s">
        <v>20</v>
      </c>
      <c r="G3944" s="4" t="b">
        <f t="shared" si="2"/>
        <v>1</v>
      </c>
      <c r="H3944" s="1" t="str">
        <f t="shared" si="3"/>
        <v>Currently Unavailable</v>
      </c>
      <c r="I3944" s="1" t="str">
        <f t="shared" si="4"/>
        <v>No Badges</v>
      </c>
      <c r="J3944" s="3">
        <f t="shared" si="5"/>
        <v>0</v>
      </c>
    </row>
    <row r="3945">
      <c r="A3945" s="1" t="s">
        <v>2989</v>
      </c>
      <c r="B3945" s="3" t="str">
        <f t="shared" si="1"/>
        <v>Unavailable</v>
      </c>
      <c r="C3945" s="3">
        <v>869.0</v>
      </c>
      <c r="D3945" s="3">
        <f>IFERROR(__xludf.DUMMYFUNCTION("IFERROR(
IF(REGEXMATCH(LOWER(O3945),""k""),
VALUE(REGEXEXTRACT(O3945,""[0-9]+""))*1000,
VALUE(REGEXEXTRACT(O3945,""[0-9]+""))
),
0
)"),0.0)</f>
        <v>0</v>
      </c>
      <c r="E3945" s="1" t="s">
        <v>11</v>
      </c>
      <c r="F3945" s="1" t="s">
        <v>20</v>
      </c>
      <c r="G3945" s="4" t="b">
        <f t="shared" si="2"/>
        <v>1</v>
      </c>
      <c r="H3945" s="1" t="str">
        <f t="shared" si="3"/>
        <v>Currently Unavailable</v>
      </c>
      <c r="I3945" s="1" t="str">
        <f t="shared" si="4"/>
        <v>No Badges</v>
      </c>
      <c r="J3945" s="3">
        <f t="shared" si="5"/>
        <v>0</v>
      </c>
    </row>
    <row r="3946">
      <c r="A3946" s="1" t="s">
        <v>2990</v>
      </c>
      <c r="B3946" s="3" t="str">
        <f t="shared" si="1"/>
        <v>Unavailable</v>
      </c>
      <c r="C3946" s="5">
        <v>1003.0</v>
      </c>
      <c r="D3946" s="3">
        <f>IFERROR(__xludf.DUMMYFUNCTION("IFERROR(
IF(REGEXMATCH(LOWER(O3946),""k""),
VALUE(REGEXEXTRACT(O3946,""[0-9]+""))*1000,
VALUE(REGEXEXTRACT(O3946,""[0-9]+""))
),
0
)"),0.0)</f>
        <v>0</v>
      </c>
      <c r="E3946" s="1" t="s">
        <v>11</v>
      </c>
      <c r="F3946" s="1" t="s">
        <v>20</v>
      </c>
      <c r="G3946" s="4" t="b">
        <f t="shared" si="2"/>
        <v>1</v>
      </c>
      <c r="H3946" s="1" t="str">
        <f t="shared" si="3"/>
        <v>Currently Unavailable</v>
      </c>
      <c r="I3946" s="1" t="str">
        <f t="shared" si="4"/>
        <v>No Badges</v>
      </c>
      <c r="J3946" s="3">
        <f t="shared" si="5"/>
        <v>0</v>
      </c>
    </row>
    <row r="3947">
      <c r="A3947" s="1" t="s">
        <v>2991</v>
      </c>
      <c r="B3947" s="3" t="str">
        <f t="shared" si="1"/>
        <v>Unavailable</v>
      </c>
      <c r="C3947" s="3">
        <v>291.0</v>
      </c>
      <c r="D3947" s="3">
        <f>IFERROR(__xludf.DUMMYFUNCTION("IFERROR(
IF(REGEXMATCH(LOWER(O3947),""k""),
VALUE(REGEXEXTRACT(O3947,""[0-9]+""))*1000,
VALUE(REGEXEXTRACT(O3947,""[0-9]+""))
),
0
)"),0.0)</f>
        <v>0</v>
      </c>
      <c r="E3947" s="1" t="s">
        <v>11</v>
      </c>
      <c r="F3947" s="1" t="s">
        <v>20</v>
      </c>
      <c r="G3947" s="4" t="b">
        <f t="shared" si="2"/>
        <v>1</v>
      </c>
      <c r="H3947" s="1" t="str">
        <f t="shared" si="3"/>
        <v>Currently Unavailable</v>
      </c>
      <c r="I3947" s="1" t="str">
        <f t="shared" si="4"/>
        <v>No Badges</v>
      </c>
      <c r="J3947" s="3">
        <f t="shared" si="5"/>
        <v>0</v>
      </c>
    </row>
    <row r="3948">
      <c r="A3948" s="1" t="s">
        <v>2992</v>
      </c>
      <c r="B3948" s="3" t="str">
        <f t="shared" si="1"/>
        <v>Unavailable</v>
      </c>
      <c r="C3948" s="3">
        <v>124.0</v>
      </c>
      <c r="D3948" s="3">
        <f>IFERROR(__xludf.DUMMYFUNCTION("IFERROR(
IF(REGEXMATCH(LOWER(O3948),""k""),
VALUE(REGEXEXTRACT(O3948,""[0-9]+""))*1000,
VALUE(REGEXEXTRACT(O3948,""[0-9]+""))
),
0
)"),0.0)</f>
        <v>0</v>
      </c>
      <c r="E3948" s="1" t="s">
        <v>11</v>
      </c>
      <c r="F3948" s="1" t="s">
        <v>20</v>
      </c>
      <c r="G3948" s="4" t="b">
        <f t="shared" si="2"/>
        <v>1</v>
      </c>
      <c r="H3948" s="1" t="str">
        <f t="shared" si="3"/>
        <v>Currently Unavailable</v>
      </c>
      <c r="I3948" s="1" t="str">
        <f t="shared" si="4"/>
        <v>No Badges</v>
      </c>
      <c r="J3948" s="3">
        <f t="shared" si="5"/>
        <v>0</v>
      </c>
    </row>
    <row r="3949">
      <c r="A3949" s="1" t="s">
        <v>2993</v>
      </c>
      <c r="B3949" s="3" t="str">
        <f t="shared" si="1"/>
        <v>Unavailable</v>
      </c>
      <c r="C3949" s="5">
        <v>4766.0</v>
      </c>
      <c r="D3949" s="3">
        <f>IFERROR(__xludf.DUMMYFUNCTION("IFERROR(
IF(REGEXMATCH(LOWER(O3949),""k""),
VALUE(REGEXEXTRACT(O3949,""[0-9]+""))*1000,
VALUE(REGEXEXTRACT(O3949,""[0-9]+""))
),
0
)"),0.0)</f>
        <v>0</v>
      </c>
      <c r="E3949" s="1" t="s">
        <v>11</v>
      </c>
      <c r="F3949" s="1" t="s">
        <v>20</v>
      </c>
      <c r="G3949" s="4" t="b">
        <f t="shared" si="2"/>
        <v>1</v>
      </c>
      <c r="H3949" s="1" t="str">
        <f t="shared" si="3"/>
        <v>Currently Unavailable</v>
      </c>
      <c r="I3949" s="1" t="str">
        <f t="shared" si="4"/>
        <v>No Badges</v>
      </c>
      <c r="J3949" s="3">
        <f t="shared" si="5"/>
        <v>0</v>
      </c>
    </row>
    <row r="3950">
      <c r="A3950" s="1" t="s">
        <v>2994</v>
      </c>
      <c r="B3950" s="3" t="str">
        <f t="shared" si="1"/>
        <v>Unavailable</v>
      </c>
      <c r="C3950" s="3">
        <v>939.0</v>
      </c>
      <c r="D3950" s="3">
        <f>IFERROR(__xludf.DUMMYFUNCTION("IFERROR(
IF(REGEXMATCH(LOWER(O3950),""k""),
VALUE(REGEXEXTRACT(O3950,""[0-9]+""))*1000,
VALUE(REGEXEXTRACT(O3950,""[0-9]+""))
),
0
)"),0.0)</f>
        <v>0</v>
      </c>
      <c r="E3950" s="1" t="s">
        <v>11</v>
      </c>
      <c r="F3950" s="1" t="s">
        <v>20</v>
      </c>
      <c r="G3950" s="4" t="b">
        <f t="shared" si="2"/>
        <v>1</v>
      </c>
      <c r="H3950" s="1" t="str">
        <f t="shared" si="3"/>
        <v>Currently Unavailable</v>
      </c>
      <c r="I3950" s="1" t="str">
        <f t="shared" si="4"/>
        <v>No Badges</v>
      </c>
      <c r="J3950" s="3">
        <f t="shared" si="5"/>
        <v>0</v>
      </c>
    </row>
    <row r="3951">
      <c r="A3951" s="1" t="s">
        <v>2995</v>
      </c>
      <c r="B3951" s="3" t="str">
        <f t="shared" si="1"/>
        <v>Unavailable</v>
      </c>
      <c r="C3951" s="5">
        <v>5602.0</v>
      </c>
      <c r="D3951" s="3">
        <f>IFERROR(__xludf.DUMMYFUNCTION("IFERROR(
IF(REGEXMATCH(LOWER(O3951),""k""),
VALUE(REGEXEXTRACT(O3951,""[0-9]+""))*1000,
VALUE(REGEXEXTRACT(O3951,""[0-9]+""))
),
0
)"),0.0)</f>
        <v>0</v>
      </c>
      <c r="E3951" s="1" t="s">
        <v>11</v>
      </c>
      <c r="F3951" s="1" t="s">
        <v>20</v>
      </c>
      <c r="G3951" s="4" t="b">
        <f t="shared" si="2"/>
        <v>1</v>
      </c>
      <c r="H3951" s="1" t="str">
        <f t="shared" si="3"/>
        <v>Currently Unavailable</v>
      </c>
      <c r="I3951" s="1" t="str">
        <f t="shared" si="4"/>
        <v>No Badges</v>
      </c>
      <c r="J3951" s="3">
        <f t="shared" si="5"/>
        <v>0</v>
      </c>
    </row>
    <row r="3952">
      <c r="A3952" s="1" t="s">
        <v>2996</v>
      </c>
      <c r="B3952" s="3" t="str">
        <f t="shared" si="1"/>
        <v>Unavailable</v>
      </c>
      <c r="C3952" s="3">
        <v>499.0</v>
      </c>
      <c r="D3952" s="3">
        <f>IFERROR(__xludf.DUMMYFUNCTION("IFERROR(
IF(REGEXMATCH(LOWER(O3952),""k""),
VALUE(REGEXEXTRACT(O3952,""[0-9]+""))*1000,
VALUE(REGEXEXTRACT(O3952,""[0-9]+""))
),
0
)"),0.0)</f>
        <v>0</v>
      </c>
      <c r="E3952" s="1" t="s">
        <v>11</v>
      </c>
      <c r="F3952" s="1" t="s">
        <v>20</v>
      </c>
      <c r="G3952" s="4" t="b">
        <f t="shared" si="2"/>
        <v>1</v>
      </c>
      <c r="H3952" s="1" t="str">
        <f t="shared" si="3"/>
        <v>Currently Unavailable</v>
      </c>
      <c r="I3952" s="1" t="str">
        <f t="shared" si="4"/>
        <v>No Badges</v>
      </c>
      <c r="J3952" s="3">
        <f t="shared" si="5"/>
        <v>0</v>
      </c>
    </row>
    <row r="3953">
      <c r="A3953" s="1" t="s">
        <v>2997</v>
      </c>
      <c r="B3953" s="3" t="str">
        <f t="shared" si="1"/>
        <v>Unavailable</v>
      </c>
      <c r="C3953" s="3">
        <v>89.0</v>
      </c>
      <c r="D3953" s="3">
        <f>IFERROR(__xludf.DUMMYFUNCTION("IFERROR(
IF(REGEXMATCH(LOWER(O3953),""k""),
VALUE(REGEXEXTRACT(O3953,""[0-9]+""))*1000,
VALUE(REGEXEXTRACT(O3953,""[0-9]+""))
),
0
)"),0.0)</f>
        <v>0</v>
      </c>
      <c r="E3953" s="1" t="s">
        <v>11</v>
      </c>
      <c r="F3953" s="1" t="s">
        <v>20</v>
      </c>
      <c r="G3953" s="4" t="b">
        <f t="shared" si="2"/>
        <v>1</v>
      </c>
      <c r="H3953" s="1" t="str">
        <f t="shared" si="3"/>
        <v>Currently Unavailable</v>
      </c>
      <c r="I3953" s="1" t="str">
        <f t="shared" si="4"/>
        <v>No Badges</v>
      </c>
      <c r="J3953" s="3">
        <f t="shared" si="5"/>
        <v>0</v>
      </c>
    </row>
    <row r="3954">
      <c r="A3954" s="1" t="s">
        <v>2998</v>
      </c>
      <c r="B3954" s="3" t="str">
        <f t="shared" si="1"/>
        <v>Unavailable</v>
      </c>
      <c r="C3954" s="5">
        <v>1515.0</v>
      </c>
      <c r="D3954" s="3">
        <f>IFERROR(__xludf.DUMMYFUNCTION("IFERROR(
IF(REGEXMATCH(LOWER(O3954),""k""),
VALUE(REGEXEXTRACT(O3954,""[0-9]+""))*1000,
VALUE(REGEXEXTRACT(O3954,""[0-9]+""))
),
0
)"),0.0)</f>
        <v>0</v>
      </c>
      <c r="E3954" s="1" t="s">
        <v>11</v>
      </c>
      <c r="F3954" s="1" t="s">
        <v>20</v>
      </c>
      <c r="G3954" s="4" t="b">
        <f t="shared" si="2"/>
        <v>1</v>
      </c>
      <c r="H3954" s="1" t="str">
        <f t="shared" si="3"/>
        <v>Currently Unavailable</v>
      </c>
      <c r="I3954" s="1" t="str">
        <f t="shared" si="4"/>
        <v>No Badges</v>
      </c>
      <c r="J3954" s="3">
        <f t="shared" si="5"/>
        <v>0</v>
      </c>
    </row>
    <row r="3955">
      <c r="A3955" s="1" t="s">
        <v>2999</v>
      </c>
      <c r="B3955" s="3" t="str">
        <f t="shared" si="1"/>
        <v>Unavailable</v>
      </c>
      <c r="C3955" s="3">
        <v>277.0</v>
      </c>
      <c r="D3955" s="3">
        <f>IFERROR(__xludf.DUMMYFUNCTION("IFERROR(
IF(REGEXMATCH(LOWER(O3955),""k""),
VALUE(REGEXEXTRACT(O3955,""[0-9]+""))*1000,
VALUE(REGEXEXTRACT(O3955,""[0-9]+""))
),
0
)"),0.0)</f>
        <v>0</v>
      </c>
      <c r="E3955" s="1" t="s">
        <v>11</v>
      </c>
      <c r="F3955" s="1" t="s">
        <v>20</v>
      </c>
      <c r="G3955" s="4" t="b">
        <f t="shared" si="2"/>
        <v>1</v>
      </c>
      <c r="H3955" s="1" t="str">
        <f t="shared" si="3"/>
        <v>Currently Unavailable</v>
      </c>
      <c r="I3955" s="1" t="str">
        <f t="shared" si="4"/>
        <v>No Badges</v>
      </c>
      <c r="J3955" s="3">
        <f t="shared" si="5"/>
        <v>0</v>
      </c>
    </row>
    <row r="3956">
      <c r="A3956" s="1" t="s">
        <v>3000</v>
      </c>
      <c r="B3956" s="3" t="str">
        <f t="shared" si="1"/>
        <v>Unavailable</v>
      </c>
      <c r="C3956" s="3">
        <v>814.0</v>
      </c>
      <c r="D3956" s="3">
        <f>IFERROR(__xludf.DUMMYFUNCTION("IFERROR(
IF(REGEXMATCH(LOWER(O3956),""k""),
VALUE(REGEXEXTRACT(O3956,""[0-9]+""))*1000,
VALUE(REGEXEXTRACT(O3956,""[0-9]+""))
),
0
)"),0.0)</f>
        <v>0</v>
      </c>
      <c r="E3956" s="1" t="s">
        <v>11</v>
      </c>
      <c r="F3956" s="1" t="s">
        <v>20</v>
      </c>
      <c r="G3956" s="4" t="b">
        <f t="shared" si="2"/>
        <v>1</v>
      </c>
      <c r="H3956" s="1" t="str">
        <f t="shared" si="3"/>
        <v>Currently Unavailable</v>
      </c>
      <c r="I3956" s="1" t="str">
        <f t="shared" si="4"/>
        <v>No Badges</v>
      </c>
      <c r="J3956" s="3">
        <f t="shared" si="5"/>
        <v>0</v>
      </c>
    </row>
    <row r="3957">
      <c r="A3957" s="1" t="s">
        <v>701</v>
      </c>
      <c r="B3957" s="3" t="str">
        <f t="shared" si="1"/>
        <v>Unavailable</v>
      </c>
      <c r="C3957" s="3">
        <v>8.0</v>
      </c>
      <c r="D3957" s="3">
        <f>IFERROR(__xludf.DUMMYFUNCTION("IFERROR(
IF(REGEXMATCH(LOWER(O3957),""k""),
VALUE(REGEXEXTRACT(O3957,""[0-9]+""))*1000,
VALUE(REGEXEXTRACT(O3957,""[0-9]+""))
),
0
)"),0.0)</f>
        <v>0</v>
      </c>
      <c r="E3957" s="1" t="s">
        <v>11</v>
      </c>
      <c r="F3957" s="1" t="s">
        <v>12</v>
      </c>
      <c r="G3957" s="4" t="b">
        <f t="shared" si="2"/>
        <v>1</v>
      </c>
      <c r="H3957" s="1" t="str">
        <f t="shared" si="3"/>
        <v>Currently Unavailable</v>
      </c>
      <c r="I3957" s="1" t="str">
        <f t="shared" si="4"/>
        <v>No Badges</v>
      </c>
      <c r="J3957" s="3">
        <f t="shared" si="5"/>
        <v>0</v>
      </c>
    </row>
    <row r="3958">
      <c r="A3958" s="1" t="s">
        <v>3001</v>
      </c>
      <c r="B3958" s="3" t="str">
        <f t="shared" si="1"/>
        <v>Unavailable</v>
      </c>
      <c r="C3958" s="3">
        <v>177.0</v>
      </c>
      <c r="D3958" s="3">
        <f>IFERROR(__xludf.DUMMYFUNCTION("IFERROR(
IF(REGEXMATCH(LOWER(O3958),""k""),
VALUE(REGEXEXTRACT(O3958,""[0-9]+""))*1000,
VALUE(REGEXEXTRACT(O3958,""[0-9]+""))
),
0
)"),0.0)</f>
        <v>0</v>
      </c>
      <c r="E3958" s="1" t="s">
        <v>11</v>
      </c>
      <c r="F3958" s="1" t="s">
        <v>20</v>
      </c>
      <c r="G3958" s="4" t="b">
        <f t="shared" si="2"/>
        <v>1</v>
      </c>
      <c r="H3958" s="1" t="str">
        <f t="shared" si="3"/>
        <v>Currently Unavailable</v>
      </c>
      <c r="I3958" s="1" t="str">
        <f t="shared" si="4"/>
        <v>No Badges</v>
      </c>
      <c r="J3958" s="3">
        <f t="shared" si="5"/>
        <v>0</v>
      </c>
    </row>
    <row r="3959">
      <c r="A3959" s="1" t="s">
        <v>3002</v>
      </c>
      <c r="B3959" s="3" t="str">
        <f t="shared" si="1"/>
        <v>Unavailable</v>
      </c>
      <c r="C3959" s="3">
        <v>606.0</v>
      </c>
      <c r="D3959" s="3">
        <f>IFERROR(__xludf.DUMMYFUNCTION("IFERROR(
IF(REGEXMATCH(LOWER(O3959),""k""),
VALUE(REGEXEXTRACT(O3959,""[0-9]+""))*1000,
VALUE(REGEXEXTRACT(O3959,""[0-9]+""))
),
0
)"),0.0)</f>
        <v>0</v>
      </c>
      <c r="E3959" s="1" t="s">
        <v>11</v>
      </c>
      <c r="F3959" s="1" t="s">
        <v>20</v>
      </c>
      <c r="G3959" s="4" t="b">
        <f t="shared" si="2"/>
        <v>1</v>
      </c>
      <c r="H3959" s="1" t="str">
        <f t="shared" si="3"/>
        <v>Currently Unavailable</v>
      </c>
      <c r="I3959" s="1" t="str">
        <f t="shared" si="4"/>
        <v>No Badges</v>
      </c>
      <c r="J3959" s="3">
        <f t="shared" si="5"/>
        <v>0</v>
      </c>
    </row>
    <row r="3960">
      <c r="A3960" s="1" t="s">
        <v>3003</v>
      </c>
      <c r="B3960" s="3" t="str">
        <f t="shared" si="1"/>
        <v>Unavailable</v>
      </c>
      <c r="C3960" s="5">
        <v>1348.0</v>
      </c>
      <c r="D3960" s="3">
        <f>IFERROR(__xludf.DUMMYFUNCTION("IFERROR(
IF(REGEXMATCH(LOWER(O3960),""k""),
VALUE(REGEXEXTRACT(O3960,""[0-9]+""))*1000,
VALUE(REGEXEXTRACT(O3960,""[0-9]+""))
),
0
)"),0.0)</f>
        <v>0</v>
      </c>
      <c r="E3960" s="1" t="s">
        <v>11</v>
      </c>
      <c r="F3960" s="1" t="s">
        <v>20</v>
      </c>
      <c r="G3960" s="4" t="b">
        <f t="shared" si="2"/>
        <v>1</v>
      </c>
      <c r="H3960" s="1" t="str">
        <f t="shared" si="3"/>
        <v>Currently Unavailable</v>
      </c>
      <c r="I3960" s="1" t="str">
        <f t="shared" si="4"/>
        <v>No Badges</v>
      </c>
      <c r="J3960" s="3">
        <f t="shared" si="5"/>
        <v>0</v>
      </c>
    </row>
    <row r="3961">
      <c r="A3961" s="1" t="s">
        <v>3004</v>
      </c>
      <c r="B3961" s="3" t="str">
        <f t="shared" si="1"/>
        <v>Unavailable</v>
      </c>
      <c r="C3961" s="3">
        <v>124.0</v>
      </c>
      <c r="D3961" s="3">
        <f>IFERROR(__xludf.DUMMYFUNCTION("IFERROR(
IF(REGEXMATCH(LOWER(O3961),""k""),
VALUE(REGEXEXTRACT(O3961,""[0-9]+""))*1000,
VALUE(REGEXEXTRACT(O3961,""[0-9]+""))
),
0
)"),0.0)</f>
        <v>0</v>
      </c>
      <c r="E3961" s="1" t="s">
        <v>11</v>
      </c>
      <c r="F3961" s="1" t="s">
        <v>20</v>
      </c>
      <c r="G3961" s="4" t="b">
        <f t="shared" si="2"/>
        <v>1</v>
      </c>
      <c r="H3961" s="1" t="str">
        <f t="shared" si="3"/>
        <v>Currently Unavailable</v>
      </c>
      <c r="I3961" s="1" t="str">
        <f t="shared" si="4"/>
        <v>No Badges</v>
      </c>
      <c r="J3961" s="3">
        <f t="shared" si="5"/>
        <v>0</v>
      </c>
    </row>
    <row r="3962">
      <c r="A3962" s="1" t="s">
        <v>3005</v>
      </c>
      <c r="B3962" s="3" t="str">
        <f t="shared" si="1"/>
        <v>Unavailable</v>
      </c>
      <c r="C3962" s="3">
        <v>69.0</v>
      </c>
      <c r="D3962" s="3">
        <f>IFERROR(__xludf.DUMMYFUNCTION("IFERROR(
IF(REGEXMATCH(LOWER(O3962),""k""),
VALUE(REGEXEXTRACT(O3962,""[0-9]+""))*1000,
VALUE(REGEXEXTRACT(O3962,""[0-9]+""))
),
0
)"),0.0)</f>
        <v>0</v>
      </c>
      <c r="E3962" s="1" t="s">
        <v>11</v>
      </c>
      <c r="F3962" s="1" t="s">
        <v>20</v>
      </c>
      <c r="G3962" s="4" t="b">
        <f t="shared" si="2"/>
        <v>1</v>
      </c>
      <c r="H3962" s="1" t="str">
        <f t="shared" si="3"/>
        <v>Currently Unavailable</v>
      </c>
      <c r="I3962" s="1" t="str">
        <f t="shared" si="4"/>
        <v>No Badges</v>
      </c>
      <c r="J3962" s="3">
        <f t="shared" si="5"/>
        <v>0</v>
      </c>
    </row>
    <row r="3963">
      <c r="A3963" s="1" t="s">
        <v>3006</v>
      </c>
      <c r="B3963" s="3" t="str">
        <f t="shared" si="1"/>
        <v>Unavailable</v>
      </c>
      <c r="C3963" s="5">
        <v>2274.0</v>
      </c>
      <c r="D3963" s="3">
        <f>IFERROR(__xludf.DUMMYFUNCTION("IFERROR(
IF(REGEXMATCH(LOWER(O3963),""k""),
VALUE(REGEXEXTRACT(O3963,""[0-9]+""))*1000,
VALUE(REGEXEXTRACT(O3963,""[0-9]+""))
),
0
)"),0.0)</f>
        <v>0</v>
      </c>
      <c r="E3963" s="1" t="s">
        <v>11</v>
      </c>
      <c r="F3963" s="1" t="s">
        <v>20</v>
      </c>
      <c r="G3963" s="4" t="b">
        <f t="shared" si="2"/>
        <v>1</v>
      </c>
      <c r="H3963" s="1" t="str">
        <f t="shared" si="3"/>
        <v>Currently Unavailable</v>
      </c>
      <c r="I3963" s="1" t="str">
        <f t="shared" si="4"/>
        <v>No Badges</v>
      </c>
      <c r="J3963" s="3">
        <f t="shared" si="5"/>
        <v>0</v>
      </c>
    </row>
    <row r="3964">
      <c r="A3964" s="1" t="s">
        <v>3007</v>
      </c>
      <c r="B3964" s="3" t="str">
        <f t="shared" si="1"/>
        <v>Unavailable</v>
      </c>
      <c r="C3964" s="3">
        <v>753.0</v>
      </c>
      <c r="D3964" s="3">
        <f>IFERROR(__xludf.DUMMYFUNCTION("IFERROR(
IF(REGEXMATCH(LOWER(O3964),""k""),
VALUE(REGEXEXTRACT(O3964,""[0-9]+""))*1000,
VALUE(REGEXEXTRACT(O3964,""[0-9]+""))
),
0
)"),0.0)</f>
        <v>0</v>
      </c>
      <c r="E3964" s="1" t="s">
        <v>11</v>
      </c>
      <c r="F3964" s="1" t="s">
        <v>20</v>
      </c>
      <c r="G3964" s="4" t="b">
        <f t="shared" si="2"/>
        <v>1</v>
      </c>
      <c r="H3964" s="1" t="str">
        <f t="shared" si="3"/>
        <v>Currently Unavailable</v>
      </c>
      <c r="I3964" s="1" t="str">
        <f t="shared" si="4"/>
        <v>No Badges</v>
      </c>
      <c r="J3964" s="3">
        <f t="shared" si="5"/>
        <v>0</v>
      </c>
    </row>
    <row r="3965">
      <c r="A3965" s="1" t="s">
        <v>3008</v>
      </c>
      <c r="B3965" s="3" t="str">
        <f t="shared" si="1"/>
        <v>Unavailable</v>
      </c>
      <c r="C3965" s="3">
        <v>756.0</v>
      </c>
      <c r="D3965" s="3">
        <f>IFERROR(__xludf.DUMMYFUNCTION("IFERROR(
IF(REGEXMATCH(LOWER(O3965),""k""),
VALUE(REGEXEXTRACT(O3965,""[0-9]+""))*1000,
VALUE(REGEXEXTRACT(O3965,""[0-9]+""))
),
0
)"),0.0)</f>
        <v>0</v>
      </c>
      <c r="E3965" s="1" t="s">
        <v>11</v>
      </c>
      <c r="F3965" s="1" t="s">
        <v>20</v>
      </c>
      <c r="G3965" s="4" t="b">
        <f t="shared" si="2"/>
        <v>1</v>
      </c>
      <c r="H3965" s="1" t="str">
        <f t="shared" si="3"/>
        <v>Currently Unavailable</v>
      </c>
      <c r="I3965" s="1" t="str">
        <f t="shared" si="4"/>
        <v>No Badges</v>
      </c>
      <c r="J3965" s="3">
        <f t="shared" si="5"/>
        <v>0</v>
      </c>
    </row>
    <row r="3966">
      <c r="A3966" s="1" t="s">
        <v>3009</v>
      </c>
      <c r="B3966" s="3" t="str">
        <f t="shared" si="1"/>
        <v>Unavailable</v>
      </c>
      <c r="C3966" s="3">
        <v>769.0</v>
      </c>
      <c r="D3966" s="3">
        <f>IFERROR(__xludf.DUMMYFUNCTION("IFERROR(
IF(REGEXMATCH(LOWER(O3966),""k""),
VALUE(REGEXEXTRACT(O3966,""[0-9]+""))*1000,
VALUE(REGEXEXTRACT(O3966,""[0-9]+""))
),
0
)"),0.0)</f>
        <v>0</v>
      </c>
      <c r="E3966" s="1" t="s">
        <v>11</v>
      </c>
      <c r="F3966" s="1" t="s">
        <v>20</v>
      </c>
      <c r="G3966" s="4" t="b">
        <f t="shared" si="2"/>
        <v>1</v>
      </c>
      <c r="H3966" s="1" t="str">
        <f t="shared" si="3"/>
        <v>Currently Unavailable</v>
      </c>
      <c r="I3966" s="1" t="str">
        <f t="shared" si="4"/>
        <v>No Badges</v>
      </c>
      <c r="J3966" s="3">
        <f t="shared" si="5"/>
        <v>0</v>
      </c>
    </row>
    <row r="3967">
      <c r="A3967" s="1" t="s">
        <v>3010</v>
      </c>
      <c r="B3967" s="3" t="str">
        <f t="shared" si="1"/>
        <v>Unavailable</v>
      </c>
      <c r="C3967" s="3">
        <v>7.0</v>
      </c>
      <c r="D3967" s="3">
        <f>IFERROR(__xludf.DUMMYFUNCTION("IFERROR(
IF(REGEXMATCH(LOWER(O3967),""k""),
VALUE(REGEXEXTRACT(O3967,""[0-9]+""))*1000,
VALUE(REGEXEXTRACT(O3967,""[0-9]+""))
),
0
)"),0.0)</f>
        <v>0</v>
      </c>
      <c r="E3967" s="1" t="s">
        <v>11</v>
      </c>
      <c r="F3967" s="1" t="s">
        <v>20</v>
      </c>
      <c r="G3967" s="4" t="b">
        <f t="shared" si="2"/>
        <v>1</v>
      </c>
      <c r="H3967" s="1" t="str">
        <f t="shared" si="3"/>
        <v>Currently Unavailable</v>
      </c>
      <c r="I3967" s="1" t="str">
        <f t="shared" si="4"/>
        <v>No Badges</v>
      </c>
      <c r="J3967" s="3">
        <f t="shared" si="5"/>
        <v>0</v>
      </c>
    </row>
    <row r="3968">
      <c r="A3968" s="1" t="s">
        <v>3011</v>
      </c>
      <c r="B3968" s="3" t="str">
        <f t="shared" si="1"/>
        <v>Unavailable</v>
      </c>
      <c r="C3968" s="3">
        <v>495.0</v>
      </c>
      <c r="D3968" s="3">
        <f>IFERROR(__xludf.DUMMYFUNCTION("IFERROR(
IF(REGEXMATCH(LOWER(O3968),""k""),
VALUE(REGEXEXTRACT(O3968,""[0-9]+""))*1000,
VALUE(REGEXEXTRACT(O3968,""[0-9]+""))
),
0
)"),0.0)</f>
        <v>0</v>
      </c>
      <c r="E3968" s="1" t="s">
        <v>11</v>
      </c>
      <c r="F3968" s="1" t="s">
        <v>20</v>
      </c>
      <c r="G3968" s="4" t="b">
        <f t="shared" si="2"/>
        <v>1</v>
      </c>
      <c r="H3968" s="1" t="str">
        <f t="shared" si="3"/>
        <v>Currently Unavailable</v>
      </c>
      <c r="I3968" s="1" t="str">
        <f t="shared" si="4"/>
        <v>No Badges</v>
      </c>
      <c r="J3968" s="3">
        <f t="shared" si="5"/>
        <v>0</v>
      </c>
    </row>
    <row r="3969">
      <c r="A3969" s="1" t="s">
        <v>3012</v>
      </c>
      <c r="B3969" s="1" t="str">
        <f t="shared" si="1"/>
        <v>Unavailable</v>
      </c>
      <c r="C3969" s="1"/>
      <c r="D3969" s="3">
        <f>IFERROR(__xludf.DUMMYFUNCTION("IFERROR(
IF(REGEXMATCH(LOWER(O3969),""k""),
VALUE(REGEXEXTRACT(O3969,""[0-9]+""))*1000,
VALUE(REGEXEXTRACT(O3969,""[0-9]+""))
),
0
)"),0.0)</f>
        <v>0</v>
      </c>
      <c r="E3969" s="1" t="s">
        <v>11</v>
      </c>
      <c r="F3969" s="1" t="s">
        <v>20</v>
      </c>
      <c r="G3969" s="4" t="b">
        <f t="shared" si="2"/>
        <v>1</v>
      </c>
      <c r="H3969" s="1" t="str">
        <f t="shared" si="3"/>
        <v>Currently Unavailable</v>
      </c>
      <c r="I3969" s="1" t="str">
        <f t="shared" si="4"/>
        <v>No Badges</v>
      </c>
      <c r="J3969" s="3">
        <f t="shared" si="5"/>
        <v>0</v>
      </c>
    </row>
    <row r="3970">
      <c r="A3970" s="1" t="s">
        <v>3013</v>
      </c>
      <c r="B3970" s="3" t="str">
        <f t="shared" si="1"/>
        <v>Unavailable</v>
      </c>
      <c r="C3970" s="3">
        <v>43.0</v>
      </c>
      <c r="D3970" s="3">
        <f>IFERROR(__xludf.DUMMYFUNCTION("IFERROR(
IF(REGEXMATCH(LOWER(O3970),""k""),
VALUE(REGEXEXTRACT(O3970,""[0-9]+""))*1000,
VALUE(REGEXEXTRACT(O3970,""[0-9]+""))
),
0
)"),0.0)</f>
        <v>0</v>
      </c>
      <c r="E3970" s="1" t="s">
        <v>11</v>
      </c>
      <c r="F3970" s="1" t="s">
        <v>20</v>
      </c>
      <c r="G3970" s="4" t="b">
        <f t="shared" si="2"/>
        <v>1</v>
      </c>
      <c r="H3970" s="1" t="str">
        <f t="shared" si="3"/>
        <v>Currently Unavailable</v>
      </c>
      <c r="I3970" s="1" t="str">
        <f t="shared" si="4"/>
        <v>No Badges</v>
      </c>
      <c r="J3970" s="3">
        <f t="shared" si="5"/>
        <v>0</v>
      </c>
    </row>
    <row r="3971">
      <c r="A3971" s="1" t="s">
        <v>3014</v>
      </c>
      <c r="B3971" s="3" t="str">
        <f t="shared" si="1"/>
        <v>Unavailable</v>
      </c>
      <c r="C3971" s="3">
        <v>192.0</v>
      </c>
      <c r="D3971" s="3">
        <f>IFERROR(__xludf.DUMMYFUNCTION("IFERROR(
IF(REGEXMATCH(LOWER(O3971),""k""),
VALUE(REGEXEXTRACT(O3971,""[0-9]+""))*1000,
VALUE(REGEXEXTRACT(O3971,""[0-9]+""))
),
0
)"),0.0)</f>
        <v>0</v>
      </c>
      <c r="E3971" s="1" t="s">
        <v>11</v>
      </c>
      <c r="F3971" s="1" t="s">
        <v>20</v>
      </c>
      <c r="G3971" s="4" t="b">
        <f t="shared" si="2"/>
        <v>1</v>
      </c>
      <c r="H3971" s="1" t="str">
        <f t="shared" si="3"/>
        <v>Currently Unavailable</v>
      </c>
      <c r="I3971" s="1" t="str">
        <f t="shared" si="4"/>
        <v>No Badges</v>
      </c>
      <c r="J3971" s="3">
        <f t="shared" si="5"/>
        <v>0</v>
      </c>
    </row>
    <row r="3972">
      <c r="A3972" s="1" t="s">
        <v>3015</v>
      </c>
      <c r="B3972" s="3" t="str">
        <f t="shared" si="1"/>
        <v>Unavailable</v>
      </c>
      <c r="C3972" s="5">
        <v>1754.0</v>
      </c>
      <c r="D3972" s="3">
        <f>IFERROR(__xludf.DUMMYFUNCTION("IFERROR(
IF(REGEXMATCH(LOWER(O3972),""k""),
VALUE(REGEXEXTRACT(O3972,""[0-9]+""))*1000,
VALUE(REGEXEXTRACT(O3972,""[0-9]+""))
),
0
)"),0.0)</f>
        <v>0</v>
      </c>
      <c r="E3972" s="1" t="s">
        <v>11</v>
      </c>
      <c r="F3972" s="1" t="s">
        <v>20</v>
      </c>
      <c r="G3972" s="4" t="b">
        <f t="shared" si="2"/>
        <v>1</v>
      </c>
      <c r="H3972" s="1" t="str">
        <f t="shared" si="3"/>
        <v>Currently Unavailable</v>
      </c>
      <c r="I3972" s="1" t="str">
        <f t="shared" si="4"/>
        <v>No Badges</v>
      </c>
      <c r="J3972" s="3">
        <f t="shared" si="5"/>
        <v>0</v>
      </c>
    </row>
    <row r="3973">
      <c r="A3973" s="1" t="s">
        <v>3016</v>
      </c>
      <c r="B3973" s="3" t="str">
        <f t="shared" si="1"/>
        <v>Unavailable</v>
      </c>
      <c r="C3973" s="5">
        <v>10380.0</v>
      </c>
      <c r="D3973" s="3">
        <f>IFERROR(__xludf.DUMMYFUNCTION("IFERROR(
IF(REGEXMATCH(LOWER(O3973),""k""),
VALUE(REGEXEXTRACT(O3973,""[0-9]+""))*1000,
VALUE(REGEXEXTRACT(O3973,""[0-9]+""))
),
0
)"),0.0)</f>
        <v>0</v>
      </c>
      <c r="E3973" s="1" t="s">
        <v>11</v>
      </c>
      <c r="F3973" s="1" t="s">
        <v>20</v>
      </c>
      <c r="G3973" s="4" t="b">
        <f t="shared" si="2"/>
        <v>1</v>
      </c>
      <c r="H3973" s="1" t="str">
        <f t="shared" si="3"/>
        <v>Currently Unavailable</v>
      </c>
      <c r="I3973" s="1" t="str">
        <f t="shared" si="4"/>
        <v>No Badges</v>
      </c>
      <c r="J3973" s="3">
        <f t="shared" si="5"/>
        <v>0</v>
      </c>
    </row>
    <row r="3974">
      <c r="A3974" s="1" t="s">
        <v>3017</v>
      </c>
      <c r="B3974" s="3" t="str">
        <f t="shared" si="1"/>
        <v>Unavailable</v>
      </c>
      <c r="C3974" s="3">
        <v>860.0</v>
      </c>
      <c r="D3974" s="3">
        <f>IFERROR(__xludf.DUMMYFUNCTION("IFERROR(
IF(REGEXMATCH(LOWER(O3974),""k""),
VALUE(REGEXEXTRACT(O3974,""[0-9]+""))*1000,
VALUE(REGEXEXTRACT(O3974,""[0-9]+""))
),
0
)"),0.0)</f>
        <v>0</v>
      </c>
      <c r="E3974" s="1" t="s">
        <v>11</v>
      </c>
      <c r="F3974" s="1" t="s">
        <v>20</v>
      </c>
      <c r="G3974" s="4" t="b">
        <f t="shared" si="2"/>
        <v>1</v>
      </c>
      <c r="H3974" s="1" t="str">
        <f t="shared" si="3"/>
        <v>Currently Unavailable</v>
      </c>
      <c r="I3974" s="1" t="str">
        <f t="shared" si="4"/>
        <v>No Badges</v>
      </c>
      <c r="J3974" s="3">
        <f t="shared" si="5"/>
        <v>0</v>
      </c>
    </row>
    <row r="3975">
      <c r="A3975" s="1" t="s">
        <v>3017</v>
      </c>
      <c r="B3975" s="3" t="str">
        <f t="shared" si="1"/>
        <v>Unavailable</v>
      </c>
      <c r="C3975" s="3">
        <v>860.0</v>
      </c>
      <c r="D3975" s="3">
        <f>IFERROR(__xludf.DUMMYFUNCTION("IFERROR(
IF(REGEXMATCH(LOWER(O3975),""k""),
VALUE(REGEXEXTRACT(O3975,""[0-9]+""))*1000,
VALUE(REGEXEXTRACT(O3975,""[0-9]+""))
),
0
)"),0.0)</f>
        <v>0</v>
      </c>
      <c r="E3975" s="1" t="s">
        <v>11</v>
      </c>
      <c r="F3975" s="1" t="s">
        <v>20</v>
      </c>
      <c r="G3975" s="4" t="b">
        <f t="shared" si="2"/>
        <v>1</v>
      </c>
      <c r="H3975" s="1" t="str">
        <f t="shared" si="3"/>
        <v>Currently Unavailable</v>
      </c>
      <c r="I3975" s="1" t="str">
        <f t="shared" si="4"/>
        <v>No Badges</v>
      </c>
      <c r="J3975" s="3">
        <f t="shared" si="5"/>
        <v>0</v>
      </c>
    </row>
    <row r="3976">
      <c r="A3976" s="1" t="s">
        <v>3018</v>
      </c>
      <c r="B3976" s="3" t="str">
        <f t="shared" si="1"/>
        <v>Unavailable</v>
      </c>
      <c r="C3976" s="5">
        <v>12984.0</v>
      </c>
      <c r="D3976" s="3">
        <f>IFERROR(__xludf.DUMMYFUNCTION("IFERROR(
IF(REGEXMATCH(LOWER(O3976),""k""),
VALUE(REGEXEXTRACT(O3976,""[0-9]+""))*1000,
VALUE(REGEXEXTRACT(O3976,""[0-9]+""))
),
0
)"),0.0)</f>
        <v>0</v>
      </c>
      <c r="E3976" s="1" t="s">
        <v>11</v>
      </c>
      <c r="F3976" s="1" t="s">
        <v>20</v>
      </c>
      <c r="G3976" s="4" t="b">
        <f t="shared" si="2"/>
        <v>1</v>
      </c>
      <c r="H3976" s="1" t="str">
        <f t="shared" si="3"/>
        <v>Currently Unavailable</v>
      </c>
      <c r="I3976" s="1" t="str">
        <f t="shared" si="4"/>
        <v>No Badges</v>
      </c>
      <c r="J3976" s="3">
        <f t="shared" si="5"/>
        <v>0</v>
      </c>
    </row>
    <row r="3977">
      <c r="A3977" s="1" t="s">
        <v>3019</v>
      </c>
      <c r="B3977" s="3" t="str">
        <f t="shared" si="1"/>
        <v>Unavailable</v>
      </c>
      <c r="C3977" s="3">
        <v>798.0</v>
      </c>
      <c r="D3977" s="3">
        <f>IFERROR(__xludf.DUMMYFUNCTION("IFERROR(
IF(REGEXMATCH(LOWER(O3977),""k""),
VALUE(REGEXEXTRACT(O3977,""[0-9]+""))*1000,
VALUE(REGEXEXTRACT(O3977,""[0-9]+""))
),
0
)"),0.0)</f>
        <v>0</v>
      </c>
      <c r="E3977" s="1" t="s">
        <v>11</v>
      </c>
      <c r="F3977" s="1" t="s">
        <v>20</v>
      </c>
      <c r="G3977" s="4" t="b">
        <f t="shared" si="2"/>
        <v>1</v>
      </c>
      <c r="H3977" s="1" t="str">
        <f t="shared" si="3"/>
        <v>Currently Unavailable</v>
      </c>
      <c r="I3977" s="1" t="str">
        <f t="shared" si="4"/>
        <v>No Badges</v>
      </c>
      <c r="J3977" s="3">
        <f t="shared" si="5"/>
        <v>0</v>
      </c>
    </row>
    <row r="3978">
      <c r="A3978" s="1" t="s">
        <v>3020</v>
      </c>
      <c r="B3978" s="3" t="str">
        <f t="shared" si="1"/>
        <v>Unavailable</v>
      </c>
      <c r="C3978" s="3">
        <v>202.0</v>
      </c>
      <c r="D3978" s="3">
        <f>IFERROR(__xludf.DUMMYFUNCTION("IFERROR(
IF(REGEXMATCH(LOWER(O3978),""k""),
VALUE(REGEXEXTRACT(O3978,""[0-9]+""))*1000,
VALUE(REGEXEXTRACT(O3978,""[0-9]+""))
),
0
)"),0.0)</f>
        <v>0</v>
      </c>
      <c r="E3978" s="1" t="s">
        <v>11</v>
      </c>
      <c r="F3978" s="1" t="s">
        <v>20</v>
      </c>
      <c r="G3978" s="4" t="b">
        <f t="shared" si="2"/>
        <v>1</v>
      </c>
      <c r="H3978" s="1" t="str">
        <f t="shared" si="3"/>
        <v>Currently Unavailable</v>
      </c>
      <c r="I3978" s="1" t="str">
        <f t="shared" si="4"/>
        <v>No Badges</v>
      </c>
      <c r="J3978" s="3">
        <f t="shared" si="5"/>
        <v>0</v>
      </c>
    </row>
    <row r="3979">
      <c r="A3979" s="1" t="s">
        <v>3021</v>
      </c>
      <c r="B3979" s="3" t="str">
        <f t="shared" si="1"/>
        <v>Unavailable</v>
      </c>
      <c r="C3979" s="3">
        <v>5.0</v>
      </c>
      <c r="D3979" s="3">
        <f>IFERROR(__xludf.DUMMYFUNCTION("IFERROR(
IF(REGEXMATCH(LOWER(O3979),""k""),
VALUE(REGEXEXTRACT(O3979,""[0-9]+""))*1000,
VALUE(REGEXEXTRACT(O3979,""[0-9]+""))
),
0
)"),0.0)</f>
        <v>0</v>
      </c>
      <c r="E3979" s="1" t="s">
        <v>11</v>
      </c>
      <c r="F3979" s="1" t="s">
        <v>20</v>
      </c>
      <c r="G3979" s="4" t="b">
        <f t="shared" si="2"/>
        <v>1</v>
      </c>
      <c r="H3979" s="1" t="str">
        <f t="shared" si="3"/>
        <v>Currently Unavailable</v>
      </c>
      <c r="I3979" s="1" t="str">
        <f t="shared" si="4"/>
        <v>No Badges</v>
      </c>
      <c r="J3979" s="3">
        <f t="shared" si="5"/>
        <v>0</v>
      </c>
    </row>
    <row r="3980">
      <c r="A3980" s="1" t="s">
        <v>3022</v>
      </c>
      <c r="B3980" s="3" t="str">
        <f t="shared" si="1"/>
        <v>Unavailable</v>
      </c>
      <c r="C3980" s="3">
        <v>284.0</v>
      </c>
      <c r="D3980" s="3">
        <f>IFERROR(__xludf.DUMMYFUNCTION("IFERROR(
IF(REGEXMATCH(LOWER(O3980),""k""),
VALUE(REGEXEXTRACT(O3980,""[0-9]+""))*1000,
VALUE(REGEXEXTRACT(O3980,""[0-9]+""))
),
0
)"),0.0)</f>
        <v>0</v>
      </c>
      <c r="E3980" s="1" t="s">
        <v>11</v>
      </c>
      <c r="F3980" s="1" t="s">
        <v>20</v>
      </c>
      <c r="G3980" s="4" t="b">
        <f t="shared" si="2"/>
        <v>1</v>
      </c>
      <c r="H3980" s="1" t="str">
        <f t="shared" si="3"/>
        <v>Currently Unavailable</v>
      </c>
      <c r="I3980" s="1" t="str">
        <f t="shared" si="4"/>
        <v>No Badges</v>
      </c>
      <c r="J3980" s="3">
        <f t="shared" si="5"/>
        <v>0</v>
      </c>
    </row>
    <row r="3981">
      <c r="A3981" s="1" t="s">
        <v>3023</v>
      </c>
      <c r="B3981" s="3" t="str">
        <f t="shared" si="1"/>
        <v>Unavailable</v>
      </c>
      <c r="C3981" s="5">
        <v>1184.0</v>
      </c>
      <c r="D3981" s="3">
        <f>IFERROR(__xludf.DUMMYFUNCTION("IFERROR(
IF(REGEXMATCH(LOWER(O3981),""k""),
VALUE(REGEXEXTRACT(O3981,""[0-9]+""))*1000,
VALUE(REGEXEXTRACT(O3981,""[0-9]+""))
),
0
)"),0.0)</f>
        <v>0</v>
      </c>
      <c r="E3981" s="1" t="s">
        <v>11</v>
      </c>
      <c r="F3981" s="1" t="s">
        <v>20</v>
      </c>
      <c r="G3981" s="4" t="b">
        <f t="shared" si="2"/>
        <v>1</v>
      </c>
      <c r="H3981" s="1" t="str">
        <f t="shared" si="3"/>
        <v>Currently Unavailable</v>
      </c>
      <c r="I3981" s="1" t="str">
        <f t="shared" si="4"/>
        <v>No Badges</v>
      </c>
      <c r="J3981" s="3">
        <f t="shared" si="5"/>
        <v>0</v>
      </c>
    </row>
    <row r="3982">
      <c r="A3982" s="1" t="s">
        <v>3024</v>
      </c>
      <c r="B3982" s="3" t="str">
        <f t="shared" si="1"/>
        <v>Unavailable</v>
      </c>
      <c r="C3982" s="5">
        <v>6458.0</v>
      </c>
      <c r="D3982" s="3">
        <f>IFERROR(__xludf.DUMMYFUNCTION("IFERROR(
IF(REGEXMATCH(LOWER(O3982),""k""),
VALUE(REGEXEXTRACT(O3982,""[0-9]+""))*1000,
VALUE(REGEXEXTRACT(O3982,""[0-9]+""))
),
0
)"),0.0)</f>
        <v>0</v>
      </c>
      <c r="E3982" s="1" t="s">
        <v>11</v>
      </c>
      <c r="F3982" s="1" t="s">
        <v>20</v>
      </c>
      <c r="G3982" s="4" t="b">
        <f t="shared" si="2"/>
        <v>1</v>
      </c>
      <c r="H3982" s="1" t="str">
        <f t="shared" si="3"/>
        <v>Currently Unavailable</v>
      </c>
      <c r="I3982" s="1" t="str">
        <f t="shared" si="4"/>
        <v>No Badges</v>
      </c>
      <c r="J3982" s="3">
        <f t="shared" si="5"/>
        <v>0</v>
      </c>
    </row>
    <row r="3983">
      <c r="A3983" s="1" t="s">
        <v>3025</v>
      </c>
      <c r="B3983" s="3" t="str">
        <f t="shared" si="1"/>
        <v>Unavailable</v>
      </c>
      <c r="C3983" s="3">
        <v>981.0</v>
      </c>
      <c r="D3983" s="3">
        <f>IFERROR(__xludf.DUMMYFUNCTION("IFERROR(
IF(REGEXMATCH(LOWER(O3983),""k""),
VALUE(REGEXEXTRACT(O3983,""[0-9]+""))*1000,
VALUE(REGEXEXTRACT(O3983,""[0-9]+""))
),
0
)"),0.0)</f>
        <v>0</v>
      </c>
      <c r="E3983" s="1" t="s">
        <v>11</v>
      </c>
      <c r="F3983" s="1" t="s">
        <v>20</v>
      </c>
      <c r="G3983" s="4" t="b">
        <f t="shared" si="2"/>
        <v>1</v>
      </c>
      <c r="H3983" s="1" t="str">
        <f t="shared" si="3"/>
        <v>Currently Unavailable</v>
      </c>
      <c r="I3983" s="1" t="str">
        <f t="shared" si="4"/>
        <v>No Badges</v>
      </c>
      <c r="J3983" s="3">
        <f t="shared" si="5"/>
        <v>0</v>
      </c>
    </row>
    <row r="3984">
      <c r="A3984" s="1" t="s">
        <v>3026</v>
      </c>
      <c r="B3984" s="3" t="str">
        <f t="shared" si="1"/>
        <v>Unavailable</v>
      </c>
      <c r="C3984" s="5">
        <v>2475.0</v>
      </c>
      <c r="D3984" s="3">
        <f>IFERROR(__xludf.DUMMYFUNCTION("IFERROR(
IF(REGEXMATCH(LOWER(O3984),""k""),
VALUE(REGEXEXTRACT(O3984,""[0-9]+""))*1000,
VALUE(REGEXEXTRACT(O3984,""[0-9]+""))
),
0
)"),0.0)</f>
        <v>0</v>
      </c>
      <c r="E3984" s="1" t="s">
        <v>11</v>
      </c>
      <c r="F3984" s="1" t="s">
        <v>20</v>
      </c>
      <c r="G3984" s="4" t="b">
        <f t="shared" si="2"/>
        <v>1</v>
      </c>
      <c r="H3984" s="1" t="str">
        <f t="shared" si="3"/>
        <v>Currently Unavailable</v>
      </c>
      <c r="I3984" s="1" t="str">
        <f t="shared" si="4"/>
        <v>No Badges</v>
      </c>
      <c r="J3984" s="3">
        <f t="shared" si="5"/>
        <v>0</v>
      </c>
    </row>
    <row r="3985">
      <c r="A3985" s="1" t="s">
        <v>3027</v>
      </c>
      <c r="B3985" s="3" t="str">
        <f t="shared" si="1"/>
        <v>Unavailable</v>
      </c>
      <c r="C3985" s="3">
        <v>443.0</v>
      </c>
      <c r="D3985" s="3">
        <f>IFERROR(__xludf.DUMMYFUNCTION("IFERROR(
IF(REGEXMATCH(LOWER(O3985),""k""),
VALUE(REGEXEXTRACT(O3985,""[0-9]+""))*1000,
VALUE(REGEXEXTRACT(O3985,""[0-9]+""))
),
0
)"),0.0)</f>
        <v>0</v>
      </c>
      <c r="E3985" s="1" t="s">
        <v>11</v>
      </c>
      <c r="F3985" s="1" t="s">
        <v>20</v>
      </c>
      <c r="G3985" s="4" t="b">
        <f t="shared" si="2"/>
        <v>1</v>
      </c>
      <c r="H3985" s="1" t="str">
        <f t="shared" si="3"/>
        <v>Currently Unavailable</v>
      </c>
      <c r="I3985" s="1" t="str">
        <f t="shared" si="4"/>
        <v>No Badges</v>
      </c>
      <c r="J3985" s="3">
        <f t="shared" si="5"/>
        <v>0</v>
      </c>
    </row>
    <row r="3986">
      <c r="A3986" s="1" t="s">
        <v>3028</v>
      </c>
      <c r="B3986" s="3" t="str">
        <f t="shared" si="1"/>
        <v>Unavailable</v>
      </c>
      <c r="C3986" s="3">
        <v>839.0</v>
      </c>
      <c r="D3986" s="3">
        <f>IFERROR(__xludf.DUMMYFUNCTION("IFERROR(
IF(REGEXMATCH(LOWER(O3986),""k""),
VALUE(REGEXEXTRACT(O3986,""[0-9]+""))*1000,
VALUE(REGEXEXTRACT(O3986,""[0-9]+""))
),
0
)"),0.0)</f>
        <v>0</v>
      </c>
      <c r="E3986" s="1" t="s">
        <v>11</v>
      </c>
      <c r="F3986" s="1" t="s">
        <v>20</v>
      </c>
      <c r="G3986" s="4" t="b">
        <f t="shared" si="2"/>
        <v>1</v>
      </c>
      <c r="H3986" s="1" t="str">
        <f t="shared" si="3"/>
        <v>Currently Unavailable</v>
      </c>
      <c r="I3986" s="1" t="str">
        <f t="shared" si="4"/>
        <v>No Badges</v>
      </c>
      <c r="J3986" s="3">
        <f t="shared" si="5"/>
        <v>0</v>
      </c>
    </row>
    <row r="3987">
      <c r="A3987" s="1" t="s">
        <v>3029</v>
      </c>
      <c r="B3987" s="3" t="str">
        <f t="shared" si="1"/>
        <v>Unavailable</v>
      </c>
      <c r="C3987" s="3">
        <v>193.0</v>
      </c>
      <c r="D3987" s="3">
        <f>IFERROR(__xludf.DUMMYFUNCTION("IFERROR(
IF(REGEXMATCH(LOWER(O3987),""k""),
VALUE(REGEXEXTRACT(O3987,""[0-9]+""))*1000,
VALUE(REGEXEXTRACT(O3987,""[0-9]+""))
),
0
)"),0.0)</f>
        <v>0</v>
      </c>
      <c r="E3987" s="1" t="s">
        <v>11</v>
      </c>
      <c r="F3987" s="1" t="s">
        <v>20</v>
      </c>
      <c r="G3987" s="4" t="b">
        <f t="shared" si="2"/>
        <v>1</v>
      </c>
      <c r="H3987" s="1" t="str">
        <f t="shared" si="3"/>
        <v>Currently Unavailable</v>
      </c>
      <c r="I3987" s="1" t="str">
        <f t="shared" si="4"/>
        <v>No Badges</v>
      </c>
      <c r="J3987" s="3">
        <f t="shared" si="5"/>
        <v>0</v>
      </c>
    </row>
    <row r="3988">
      <c r="A3988" s="1" t="s">
        <v>3030</v>
      </c>
      <c r="B3988" s="3" t="str">
        <f t="shared" si="1"/>
        <v>Unavailable</v>
      </c>
      <c r="C3988" s="3">
        <v>19.0</v>
      </c>
      <c r="D3988" s="3">
        <f>IFERROR(__xludf.DUMMYFUNCTION("IFERROR(
IF(REGEXMATCH(LOWER(O3988),""k""),
VALUE(REGEXEXTRACT(O3988,""[0-9]+""))*1000,
VALUE(REGEXEXTRACT(O3988,""[0-9]+""))
),
0
)"),0.0)</f>
        <v>0</v>
      </c>
      <c r="E3988" s="1" t="s">
        <v>11</v>
      </c>
      <c r="F3988" s="1" t="s">
        <v>20</v>
      </c>
      <c r="G3988" s="4" t="b">
        <f t="shared" si="2"/>
        <v>1</v>
      </c>
      <c r="H3988" s="1" t="str">
        <f t="shared" si="3"/>
        <v>Currently Unavailable</v>
      </c>
      <c r="I3988" s="1" t="str">
        <f t="shared" si="4"/>
        <v>No Badges</v>
      </c>
      <c r="J3988" s="3">
        <f t="shared" si="5"/>
        <v>0</v>
      </c>
    </row>
    <row r="3989">
      <c r="A3989" s="1" t="s">
        <v>3031</v>
      </c>
      <c r="B3989" s="3" t="str">
        <f t="shared" si="1"/>
        <v>Unavailable</v>
      </c>
      <c r="C3989" s="3">
        <v>665.0</v>
      </c>
      <c r="D3989" s="3">
        <f>IFERROR(__xludf.DUMMYFUNCTION("IFERROR(
IF(REGEXMATCH(LOWER(O3989),""k""),
VALUE(REGEXEXTRACT(O3989,""[0-9]+""))*1000,
VALUE(REGEXEXTRACT(O3989,""[0-9]+""))
),
0
)"),0.0)</f>
        <v>0</v>
      </c>
      <c r="E3989" s="1" t="s">
        <v>11</v>
      </c>
      <c r="F3989" s="1" t="s">
        <v>20</v>
      </c>
      <c r="G3989" s="4" t="b">
        <f t="shared" si="2"/>
        <v>1</v>
      </c>
      <c r="H3989" s="1" t="str">
        <f t="shared" si="3"/>
        <v>Currently Unavailable</v>
      </c>
      <c r="I3989" s="1" t="str">
        <f t="shared" si="4"/>
        <v>No Badges</v>
      </c>
      <c r="J3989" s="3">
        <f t="shared" si="5"/>
        <v>0</v>
      </c>
    </row>
    <row r="3990">
      <c r="A3990" s="1" t="s">
        <v>3032</v>
      </c>
      <c r="B3990" s="3" t="str">
        <f t="shared" si="1"/>
        <v>Unavailable</v>
      </c>
      <c r="C3990" s="3">
        <v>348.0</v>
      </c>
      <c r="D3990" s="3">
        <f>IFERROR(__xludf.DUMMYFUNCTION("IFERROR(
IF(REGEXMATCH(LOWER(O3990),""k""),
VALUE(REGEXEXTRACT(O3990,""[0-9]+""))*1000,
VALUE(REGEXEXTRACT(O3990,""[0-9]+""))
),
0
)"),0.0)</f>
        <v>0</v>
      </c>
      <c r="E3990" s="1" t="s">
        <v>11</v>
      </c>
      <c r="F3990" s="1" t="s">
        <v>20</v>
      </c>
      <c r="G3990" s="4" t="b">
        <f t="shared" si="2"/>
        <v>1</v>
      </c>
      <c r="H3990" s="1" t="str">
        <f t="shared" si="3"/>
        <v>Currently Unavailable</v>
      </c>
      <c r="I3990" s="1" t="str">
        <f t="shared" si="4"/>
        <v>No Badges</v>
      </c>
      <c r="J3990" s="3">
        <f t="shared" si="5"/>
        <v>0</v>
      </c>
    </row>
    <row r="3991">
      <c r="A3991" s="1" t="s">
        <v>3033</v>
      </c>
      <c r="B3991" s="3" t="str">
        <f t="shared" si="1"/>
        <v>Unavailable</v>
      </c>
      <c r="C3991" s="3">
        <v>315.0</v>
      </c>
      <c r="D3991" s="3">
        <f>IFERROR(__xludf.DUMMYFUNCTION("IFERROR(
IF(REGEXMATCH(LOWER(O3991),""k""),
VALUE(REGEXEXTRACT(O3991,""[0-9]+""))*1000,
VALUE(REGEXEXTRACT(O3991,""[0-9]+""))
),
0
)"),0.0)</f>
        <v>0</v>
      </c>
      <c r="E3991" s="1" t="s">
        <v>11</v>
      </c>
      <c r="F3991" s="1" t="s">
        <v>20</v>
      </c>
      <c r="G3991" s="4" t="b">
        <f t="shared" si="2"/>
        <v>1</v>
      </c>
      <c r="H3991" s="1" t="str">
        <f t="shared" si="3"/>
        <v>Currently Unavailable</v>
      </c>
      <c r="I3991" s="1" t="str">
        <f t="shared" si="4"/>
        <v>No Badges</v>
      </c>
      <c r="J3991" s="3">
        <f t="shared" si="5"/>
        <v>0</v>
      </c>
    </row>
    <row r="3992">
      <c r="A3992" s="1" t="s">
        <v>3034</v>
      </c>
      <c r="B3992" s="3" t="str">
        <f t="shared" si="1"/>
        <v>Unavailable</v>
      </c>
      <c r="C3992" s="5">
        <v>4488.0</v>
      </c>
      <c r="D3992" s="3">
        <f>IFERROR(__xludf.DUMMYFUNCTION("IFERROR(
IF(REGEXMATCH(LOWER(O3992),""k""),
VALUE(REGEXEXTRACT(O3992,""[0-9]+""))*1000,
VALUE(REGEXEXTRACT(O3992,""[0-9]+""))
),
0
)"),0.0)</f>
        <v>0</v>
      </c>
      <c r="E3992" s="1" t="s">
        <v>11</v>
      </c>
      <c r="F3992" s="1" t="s">
        <v>20</v>
      </c>
      <c r="G3992" s="4" t="b">
        <f t="shared" si="2"/>
        <v>1</v>
      </c>
      <c r="H3992" s="1" t="str">
        <f t="shared" si="3"/>
        <v>Currently Unavailable</v>
      </c>
      <c r="I3992" s="1" t="str">
        <f t="shared" si="4"/>
        <v>No Badges</v>
      </c>
      <c r="J3992" s="3">
        <f t="shared" si="5"/>
        <v>0</v>
      </c>
    </row>
    <row r="3993">
      <c r="A3993" s="1" t="s">
        <v>3035</v>
      </c>
      <c r="B3993" s="3" t="str">
        <f t="shared" si="1"/>
        <v>Unavailable</v>
      </c>
      <c r="C3993" s="5">
        <v>1219.0</v>
      </c>
      <c r="D3993" s="3">
        <f>IFERROR(__xludf.DUMMYFUNCTION("IFERROR(
IF(REGEXMATCH(LOWER(O3993),""k""),
VALUE(REGEXEXTRACT(O3993,""[0-9]+""))*1000,
VALUE(REGEXEXTRACT(O3993,""[0-9]+""))
),
0
)"),0.0)</f>
        <v>0</v>
      </c>
      <c r="E3993" s="1" t="s">
        <v>11</v>
      </c>
      <c r="F3993" s="1" t="s">
        <v>20</v>
      </c>
      <c r="G3993" s="4" t="b">
        <f t="shared" si="2"/>
        <v>1</v>
      </c>
      <c r="H3993" s="1" t="str">
        <f t="shared" si="3"/>
        <v>Currently Unavailable</v>
      </c>
      <c r="I3993" s="1" t="str">
        <f t="shared" si="4"/>
        <v>No Badges</v>
      </c>
      <c r="J3993" s="3">
        <f t="shared" si="5"/>
        <v>0</v>
      </c>
    </row>
    <row r="3994">
      <c r="A3994" s="1" t="s">
        <v>3036</v>
      </c>
      <c r="B3994" s="3" t="str">
        <f t="shared" si="1"/>
        <v>Unavailable</v>
      </c>
      <c r="C3994" s="3">
        <v>95.0</v>
      </c>
      <c r="D3994" s="3">
        <f>IFERROR(__xludf.DUMMYFUNCTION("IFERROR(
IF(REGEXMATCH(LOWER(O3994),""k""),
VALUE(REGEXEXTRACT(O3994,""[0-9]+""))*1000,
VALUE(REGEXEXTRACT(O3994,""[0-9]+""))
),
0
)"),0.0)</f>
        <v>0</v>
      </c>
      <c r="E3994" s="1" t="s">
        <v>11</v>
      </c>
      <c r="F3994" s="1" t="s">
        <v>20</v>
      </c>
      <c r="G3994" s="4" t="b">
        <f t="shared" si="2"/>
        <v>1</v>
      </c>
      <c r="H3994" s="1" t="str">
        <f t="shared" si="3"/>
        <v>Currently Unavailable</v>
      </c>
      <c r="I3994" s="1" t="str">
        <f t="shared" si="4"/>
        <v>No Badges</v>
      </c>
      <c r="J3994" s="3">
        <f t="shared" si="5"/>
        <v>0</v>
      </c>
    </row>
    <row r="3995">
      <c r="A3995" s="1" t="s">
        <v>822</v>
      </c>
      <c r="B3995" s="3" t="str">
        <f t="shared" si="1"/>
        <v>Unavailable</v>
      </c>
      <c r="C3995" s="3">
        <v>222.0</v>
      </c>
      <c r="D3995" s="3">
        <f>IFERROR(__xludf.DUMMYFUNCTION("IFERROR(
IF(REGEXMATCH(LOWER(O3995),""k""),
VALUE(REGEXEXTRACT(O3995,""[0-9]+""))*1000,
VALUE(REGEXEXTRACT(O3995,""[0-9]+""))
),
0
)"),0.0)</f>
        <v>0</v>
      </c>
      <c r="E3995" s="1" t="s">
        <v>11</v>
      </c>
      <c r="F3995" s="1" t="s">
        <v>20</v>
      </c>
      <c r="G3995" s="4" t="b">
        <f t="shared" si="2"/>
        <v>1</v>
      </c>
      <c r="H3995" s="1" t="str">
        <f t="shared" si="3"/>
        <v>Currently Unavailable</v>
      </c>
      <c r="I3995" s="1" t="str">
        <f t="shared" si="4"/>
        <v>No Badges</v>
      </c>
      <c r="J3995" s="3">
        <f t="shared" si="5"/>
        <v>0</v>
      </c>
    </row>
    <row r="3996">
      <c r="A3996" s="1" t="s">
        <v>3037</v>
      </c>
      <c r="B3996" s="3" t="str">
        <f t="shared" si="1"/>
        <v>Unavailable</v>
      </c>
      <c r="C3996" s="3">
        <v>165.0</v>
      </c>
      <c r="D3996" s="3">
        <f>IFERROR(__xludf.DUMMYFUNCTION("IFERROR(
IF(REGEXMATCH(LOWER(O3996),""k""),
VALUE(REGEXEXTRACT(O3996,""[0-9]+""))*1000,
VALUE(REGEXEXTRACT(O3996,""[0-9]+""))
),
0
)"),0.0)</f>
        <v>0</v>
      </c>
      <c r="E3996" s="1" t="s">
        <v>11</v>
      </c>
      <c r="F3996" s="1" t="s">
        <v>20</v>
      </c>
      <c r="G3996" s="4" t="b">
        <f t="shared" si="2"/>
        <v>1</v>
      </c>
      <c r="H3996" s="1" t="str">
        <f t="shared" si="3"/>
        <v>Currently Unavailable</v>
      </c>
      <c r="I3996" s="1" t="str">
        <f t="shared" si="4"/>
        <v>No Badges</v>
      </c>
      <c r="J3996" s="3">
        <f t="shared" si="5"/>
        <v>0</v>
      </c>
    </row>
    <row r="3997">
      <c r="A3997" s="1" t="s">
        <v>3038</v>
      </c>
      <c r="B3997" s="3" t="str">
        <f t="shared" si="1"/>
        <v>Unavailable</v>
      </c>
      <c r="C3997" s="3">
        <v>627.0</v>
      </c>
      <c r="D3997" s="3">
        <f>IFERROR(__xludf.DUMMYFUNCTION("IFERROR(
IF(REGEXMATCH(LOWER(O3997),""k""),
VALUE(REGEXEXTRACT(O3997,""[0-9]+""))*1000,
VALUE(REGEXEXTRACT(O3997,""[0-9]+""))
),
0
)"),0.0)</f>
        <v>0</v>
      </c>
      <c r="E3997" s="1" t="s">
        <v>11</v>
      </c>
      <c r="F3997" s="1" t="s">
        <v>20</v>
      </c>
      <c r="G3997" s="4" t="b">
        <f t="shared" si="2"/>
        <v>1</v>
      </c>
      <c r="H3997" s="1" t="str">
        <f t="shared" si="3"/>
        <v>Currently Unavailable</v>
      </c>
      <c r="I3997" s="1" t="str">
        <f t="shared" si="4"/>
        <v>No Badges</v>
      </c>
      <c r="J3997" s="3">
        <f t="shared" si="5"/>
        <v>0</v>
      </c>
    </row>
    <row r="3998">
      <c r="A3998" s="1" t="s">
        <v>3039</v>
      </c>
      <c r="B3998" s="3" t="str">
        <f t="shared" si="1"/>
        <v>Unavailable</v>
      </c>
      <c r="C3998" s="3">
        <v>172.0</v>
      </c>
      <c r="D3998" s="3">
        <f>IFERROR(__xludf.DUMMYFUNCTION("IFERROR(
IF(REGEXMATCH(LOWER(O3998),""k""),
VALUE(REGEXEXTRACT(O3998,""[0-9]+""))*1000,
VALUE(REGEXEXTRACT(O3998,""[0-9]+""))
),
0
)"),0.0)</f>
        <v>0</v>
      </c>
      <c r="E3998" s="1" t="s">
        <v>11</v>
      </c>
      <c r="F3998" s="1" t="s">
        <v>20</v>
      </c>
      <c r="G3998" s="4" t="b">
        <f t="shared" si="2"/>
        <v>1</v>
      </c>
      <c r="H3998" s="1" t="str">
        <f t="shared" si="3"/>
        <v>Currently Unavailable</v>
      </c>
      <c r="I3998" s="1" t="str">
        <f t="shared" si="4"/>
        <v>No Badges</v>
      </c>
      <c r="J3998" s="3">
        <f t="shared" si="5"/>
        <v>0</v>
      </c>
    </row>
    <row r="3999">
      <c r="A3999" s="1" t="s">
        <v>3040</v>
      </c>
      <c r="B3999" s="3" t="str">
        <f t="shared" si="1"/>
        <v>Unavailable</v>
      </c>
      <c r="C3999" s="3">
        <v>703.0</v>
      </c>
      <c r="D3999" s="3">
        <f>IFERROR(__xludf.DUMMYFUNCTION("IFERROR(
IF(REGEXMATCH(LOWER(O3999),""k""),
VALUE(REGEXEXTRACT(O3999,""[0-9]+""))*1000,
VALUE(REGEXEXTRACT(O3999,""[0-9]+""))
),
0
)"),0.0)</f>
        <v>0</v>
      </c>
      <c r="E3999" s="1" t="s">
        <v>11</v>
      </c>
      <c r="F3999" s="1" t="s">
        <v>20</v>
      </c>
      <c r="G3999" s="4" t="b">
        <f t="shared" si="2"/>
        <v>1</v>
      </c>
      <c r="H3999" s="1" t="str">
        <f t="shared" si="3"/>
        <v>Currently Unavailable</v>
      </c>
      <c r="I3999" s="1" t="str">
        <f t="shared" si="4"/>
        <v>No Badges</v>
      </c>
      <c r="J3999" s="3">
        <f t="shared" si="5"/>
        <v>0</v>
      </c>
    </row>
    <row r="4000">
      <c r="A4000" s="1" t="s">
        <v>3041</v>
      </c>
      <c r="B4000" s="3" t="str">
        <f t="shared" si="1"/>
        <v>Unavailable</v>
      </c>
      <c r="C4000" s="5">
        <v>1500.0</v>
      </c>
      <c r="D4000" s="3">
        <f>IFERROR(__xludf.DUMMYFUNCTION("IFERROR(
IF(REGEXMATCH(LOWER(O4000),""k""),
VALUE(REGEXEXTRACT(O4000,""[0-9]+""))*1000,
VALUE(REGEXEXTRACT(O4000,""[0-9]+""))
),
0
)"),0.0)</f>
        <v>0</v>
      </c>
      <c r="E4000" s="1" t="s">
        <v>11</v>
      </c>
      <c r="F4000" s="1" t="s">
        <v>20</v>
      </c>
      <c r="G4000" s="4" t="b">
        <f t="shared" si="2"/>
        <v>1</v>
      </c>
      <c r="H4000" s="1" t="str">
        <f t="shared" si="3"/>
        <v>Currently Unavailable</v>
      </c>
      <c r="I4000" s="1" t="str">
        <f t="shared" si="4"/>
        <v>No Badges</v>
      </c>
      <c r="J4000" s="3">
        <f t="shared" si="5"/>
        <v>0</v>
      </c>
    </row>
    <row r="4001">
      <c r="A4001" s="1" t="s">
        <v>3042</v>
      </c>
      <c r="B4001" s="3" t="str">
        <f t="shared" si="1"/>
        <v>Unavailable</v>
      </c>
      <c r="C4001" s="3">
        <v>171.0</v>
      </c>
      <c r="D4001" s="3">
        <f>IFERROR(__xludf.DUMMYFUNCTION("IFERROR(
IF(REGEXMATCH(LOWER(O4001),""k""),
VALUE(REGEXEXTRACT(O4001,""[0-9]+""))*1000,
VALUE(REGEXEXTRACT(O4001,""[0-9]+""))
),
0
)"),0.0)</f>
        <v>0</v>
      </c>
      <c r="E4001" s="1" t="s">
        <v>11</v>
      </c>
      <c r="F4001" s="1" t="s">
        <v>20</v>
      </c>
      <c r="G4001" s="4" t="b">
        <f t="shared" si="2"/>
        <v>1</v>
      </c>
      <c r="H4001" s="1" t="str">
        <f t="shared" si="3"/>
        <v>Currently Unavailable</v>
      </c>
      <c r="I4001" s="1" t="str">
        <f t="shared" si="4"/>
        <v>No Badges</v>
      </c>
      <c r="J4001" s="3">
        <f t="shared" si="5"/>
        <v>0</v>
      </c>
    </row>
    <row r="4002">
      <c r="A4002" s="1" t="s">
        <v>3043</v>
      </c>
      <c r="B4002" s="3" t="str">
        <f t="shared" si="1"/>
        <v>Unavailable</v>
      </c>
      <c r="C4002" s="5">
        <v>1871.0</v>
      </c>
      <c r="D4002" s="3">
        <f>IFERROR(__xludf.DUMMYFUNCTION("IFERROR(
IF(REGEXMATCH(LOWER(O4002),""k""),
VALUE(REGEXEXTRACT(O4002,""[0-9]+""))*1000,
VALUE(REGEXEXTRACT(O4002,""[0-9]+""))
),
0
)"),0.0)</f>
        <v>0</v>
      </c>
      <c r="E4002" s="1" t="s">
        <v>11</v>
      </c>
      <c r="F4002" s="1" t="s">
        <v>20</v>
      </c>
      <c r="G4002" s="4" t="b">
        <f t="shared" si="2"/>
        <v>1</v>
      </c>
      <c r="H4002" s="1" t="str">
        <f t="shared" si="3"/>
        <v>Currently Unavailable</v>
      </c>
      <c r="I4002" s="1" t="str">
        <f t="shared" si="4"/>
        <v>No Badges</v>
      </c>
      <c r="J4002" s="3">
        <f t="shared" si="5"/>
        <v>0</v>
      </c>
    </row>
    <row r="4003">
      <c r="A4003" s="1" t="s">
        <v>3044</v>
      </c>
      <c r="B4003" s="3" t="str">
        <f t="shared" si="1"/>
        <v>Unavailable</v>
      </c>
      <c r="C4003" s="3">
        <v>9.0</v>
      </c>
      <c r="D4003" s="3">
        <f>IFERROR(__xludf.DUMMYFUNCTION("IFERROR(
IF(REGEXMATCH(LOWER(O4003),""k""),
VALUE(REGEXEXTRACT(O4003,""[0-9]+""))*1000,
VALUE(REGEXEXTRACT(O4003,""[0-9]+""))
),
0
)"),0.0)</f>
        <v>0</v>
      </c>
      <c r="E4003" s="1" t="s">
        <v>11</v>
      </c>
      <c r="F4003" s="1" t="s">
        <v>20</v>
      </c>
      <c r="G4003" s="4" t="b">
        <f t="shared" si="2"/>
        <v>1</v>
      </c>
      <c r="H4003" s="1" t="str">
        <f t="shared" si="3"/>
        <v>Currently Unavailable</v>
      </c>
      <c r="I4003" s="1" t="str">
        <f t="shared" si="4"/>
        <v>No Badges</v>
      </c>
      <c r="J4003" s="3">
        <f t="shared" si="5"/>
        <v>0</v>
      </c>
    </row>
    <row r="4004">
      <c r="A4004" s="1" t="s">
        <v>3045</v>
      </c>
      <c r="B4004" s="3" t="str">
        <f t="shared" si="1"/>
        <v>Unavailable</v>
      </c>
      <c r="C4004" s="3">
        <v>830.0</v>
      </c>
      <c r="D4004" s="3">
        <f>IFERROR(__xludf.DUMMYFUNCTION("IFERROR(
IF(REGEXMATCH(LOWER(O4004),""k""),
VALUE(REGEXEXTRACT(O4004,""[0-9]+""))*1000,
VALUE(REGEXEXTRACT(O4004,""[0-9]+""))
),
0
)"),0.0)</f>
        <v>0</v>
      </c>
      <c r="E4004" s="1" t="s">
        <v>11</v>
      </c>
      <c r="F4004" s="1" t="s">
        <v>20</v>
      </c>
      <c r="G4004" s="4" t="b">
        <f t="shared" si="2"/>
        <v>1</v>
      </c>
      <c r="H4004" s="1" t="str">
        <f t="shared" si="3"/>
        <v>Currently Unavailable</v>
      </c>
      <c r="I4004" s="1" t="str">
        <f t="shared" si="4"/>
        <v>No Badges</v>
      </c>
      <c r="J4004" s="3">
        <f t="shared" si="5"/>
        <v>0</v>
      </c>
    </row>
    <row r="4005">
      <c r="A4005" s="1" t="s">
        <v>3046</v>
      </c>
      <c r="B4005" s="3" t="str">
        <f t="shared" si="1"/>
        <v>Unavailable</v>
      </c>
      <c r="C4005" s="3">
        <v>534.0</v>
      </c>
      <c r="D4005" s="3">
        <f>IFERROR(__xludf.DUMMYFUNCTION("IFERROR(
IF(REGEXMATCH(LOWER(O4005),""k""),
VALUE(REGEXEXTRACT(O4005,""[0-9]+""))*1000,
VALUE(REGEXEXTRACT(O4005,""[0-9]+""))
),
0
)"),0.0)</f>
        <v>0</v>
      </c>
      <c r="E4005" s="1" t="s">
        <v>11</v>
      </c>
      <c r="F4005" s="1" t="s">
        <v>20</v>
      </c>
      <c r="G4005" s="4" t="b">
        <f t="shared" si="2"/>
        <v>1</v>
      </c>
      <c r="H4005" s="1" t="str">
        <f t="shared" si="3"/>
        <v>Currently Unavailable</v>
      </c>
      <c r="I4005" s="1" t="str">
        <f t="shared" si="4"/>
        <v>No Badges</v>
      </c>
      <c r="J4005" s="3">
        <f t="shared" si="5"/>
        <v>0</v>
      </c>
    </row>
    <row r="4006">
      <c r="A4006" s="1" t="s">
        <v>3047</v>
      </c>
      <c r="B4006" s="3" t="str">
        <f t="shared" si="1"/>
        <v>Unavailable</v>
      </c>
      <c r="C4006" s="3">
        <v>744.0</v>
      </c>
      <c r="D4006" s="3">
        <f>IFERROR(__xludf.DUMMYFUNCTION("IFERROR(
IF(REGEXMATCH(LOWER(O4006),""k""),
VALUE(REGEXEXTRACT(O4006,""[0-9]+""))*1000,
VALUE(REGEXEXTRACT(O4006,""[0-9]+""))
),
0
)"),0.0)</f>
        <v>0</v>
      </c>
      <c r="E4006" s="1" t="s">
        <v>11</v>
      </c>
      <c r="F4006" s="1" t="s">
        <v>20</v>
      </c>
      <c r="G4006" s="4" t="b">
        <f t="shared" si="2"/>
        <v>1</v>
      </c>
      <c r="H4006" s="1" t="str">
        <f t="shared" si="3"/>
        <v>Currently Unavailable</v>
      </c>
      <c r="I4006" s="1" t="str">
        <f t="shared" si="4"/>
        <v>No Badges</v>
      </c>
      <c r="J4006" s="3">
        <f t="shared" si="5"/>
        <v>0</v>
      </c>
    </row>
    <row r="4007">
      <c r="A4007" s="1" t="s">
        <v>3048</v>
      </c>
      <c r="B4007" s="3" t="str">
        <f t="shared" si="1"/>
        <v>Unavailable</v>
      </c>
      <c r="C4007" s="5">
        <v>1423.0</v>
      </c>
      <c r="D4007" s="3">
        <f>IFERROR(__xludf.DUMMYFUNCTION("IFERROR(
IF(REGEXMATCH(LOWER(O4007),""k""),
VALUE(REGEXEXTRACT(O4007,""[0-9]+""))*1000,
VALUE(REGEXEXTRACT(O4007,""[0-9]+""))
),
0
)"),0.0)</f>
        <v>0</v>
      </c>
      <c r="E4007" s="1" t="s">
        <v>18</v>
      </c>
      <c r="F4007" s="1" t="s">
        <v>20</v>
      </c>
      <c r="G4007" s="4" t="b">
        <f t="shared" si="2"/>
        <v>1</v>
      </c>
      <c r="H4007" s="1" t="str">
        <f t="shared" si="3"/>
        <v>Currently Unavailable</v>
      </c>
      <c r="I4007" s="1" t="str">
        <f t="shared" si="4"/>
        <v>No Badges</v>
      </c>
      <c r="J4007" s="3">
        <f t="shared" si="5"/>
        <v>0</v>
      </c>
    </row>
    <row r="4008">
      <c r="A4008" s="1" t="s">
        <v>3049</v>
      </c>
      <c r="B4008" s="3" t="str">
        <f t="shared" si="1"/>
        <v>Unavailable</v>
      </c>
      <c r="C4008" s="3">
        <v>323.0</v>
      </c>
      <c r="D4008" s="3">
        <f>IFERROR(__xludf.DUMMYFUNCTION("IFERROR(
IF(REGEXMATCH(LOWER(O4008),""k""),
VALUE(REGEXEXTRACT(O4008,""[0-9]+""))*1000,
VALUE(REGEXEXTRACT(O4008,""[0-9]+""))
),
0
)"),0.0)</f>
        <v>0</v>
      </c>
      <c r="E4008" s="1" t="s">
        <v>11</v>
      </c>
      <c r="F4008" s="1" t="s">
        <v>20</v>
      </c>
      <c r="G4008" s="4" t="b">
        <f t="shared" si="2"/>
        <v>1</v>
      </c>
      <c r="H4008" s="1" t="str">
        <f t="shared" si="3"/>
        <v>Currently Unavailable</v>
      </c>
      <c r="I4008" s="1" t="str">
        <f t="shared" si="4"/>
        <v>No Badges</v>
      </c>
      <c r="J4008" s="3">
        <f t="shared" si="5"/>
        <v>0</v>
      </c>
    </row>
    <row r="4009">
      <c r="A4009" s="1" t="s">
        <v>69</v>
      </c>
      <c r="B4009" s="3" t="str">
        <f t="shared" si="1"/>
        <v>Unavailable</v>
      </c>
      <c r="C4009" s="3">
        <v>45.0</v>
      </c>
      <c r="D4009" s="3">
        <f>IFERROR(__xludf.DUMMYFUNCTION("IFERROR(
IF(REGEXMATCH(LOWER(O4009),""k""),
VALUE(REGEXEXTRACT(O4009,""[0-9]+""))*1000,
VALUE(REGEXEXTRACT(O4009,""[0-9]+""))
),
0
)"),0.0)</f>
        <v>0</v>
      </c>
      <c r="E4009" s="1" t="s">
        <v>11</v>
      </c>
      <c r="F4009" s="1" t="s">
        <v>12</v>
      </c>
      <c r="G4009" s="4" t="b">
        <f t="shared" si="2"/>
        <v>1</v>
      </c>
      <c r="H4009" s="1" t="str">
        <f t="shared" si="3"/>
        <v>Currently Unavailable</v>
      </c>
      <c r="I4009" s="1" t="str">
        <f t="shared" si="4"/>
        <v>No Badges</v>
      </c>
      <c r="J4009" s="3">
        <f t="shared" si="5"/>
        <v>0</v>
      </c>
    </row>
    <row r="4010">
      <c r="A4010" s="1" t="s">
        <v>3050</v>
      </c>
      <c r="B4010" s="3" t="str">
        <f t="shared" si="1"/>
        <v>Unavailable</v>
      </c>
      <c r="C4010" s="3">
        <v>10.0</v>
      </c>
      <c r="D4010" s="3">
        <f>IFERROR(__xludf.DUMMYFUNCTION("IFERROR(
IF(REGEXMATCH(LOWER(O4010),""k""),
VALUE(REGEXEXTRACT(O4010,""[0-9]+""))*1000,
VALUE(REGEXEXTRACT(O4010,""[0-9]+""))
),
0
)"),0.0)</f>
        <v>0</v>
      </c>
      <c r="E4010" s="1" t="s">
        <v>11</v>
      </c>
      <c r="F4010" s="1" t="s">
        <v>20</v>
      </c>
      <c r="G4010" s="4" t="b">
        <f t="shared" si="2"/>
        <v>1</v>
      </c>
      <c r="H4010" s="1" t="str">
        <f t="shared" si="3"/>
        <v>Currently Unavailable</v>
      </c>
      <c r="I4010" s="1" t="str">
        <f t="shared" si="4"/>
        <v>No Badges</v>
      </c>
      <c r="J4010" s="3">
        <f t="shared" si="5"/>
        <v>0</v>
      </c>
    </row>
    <row r="4011">
      <c r="A4011" s="1" t="s">
        <v>3051</v>
      </c>
      <c r="B4011" s="3" t="str">
        <f t="shared" si="1"/>
        <v>Unavailable</v>
      </c>
      <c r="C4011" s="3">
        <v>253.0</v>
      </c>
      <c r="D4011" s="3">
        <f>IFERROR(__xludf.DUMMYFUNCTION("IFERROR(
IF(REGEXMATCH(LOWER(O4011),""k""),
VALUE(REGEXEXTRACT(O4011,""[0-9]+""))*1000,
VALUE(REGEXEXTRACT(O4011,""[0-9]+""))
),
0
)"),0.0)</f>
        <v>0</v>
      </c>
      <c r="E4011" s="1" t="s">
        <v>11</v>
      </c>
      <c r="F4011" s="1" t="s">
        <v>20</v>
      </c>
      <c r="G4011" s="4" t="b">
        <f t="shared" si="2"/>
        <v>1</v>
      </c>
      <c r="H4011" s="1" t="str">
        <f t="shared" si="3"/>
        <v>Currently Unavailable</v>
      </c>
      <c r="I4011" s="1" t="str">
        <f t="shared" si="4"/>
        <v>No Badges</v>
      </c>
      <c r="J4011" s="3">
        <f t="shared" si="5"/>
        <v>0</v>
      </c>
    </row>
    <row r="4012">
      <c r="A4012" s="1" t="s">
        <v>3052</v>
      </c>
      <c r="B4012" s="3" t="str">
        <f t="shared" si="1"/>
        <v>Unavailable</v>
      </c>
      <c r="C4012" s="5">
        <v>11363.0</v>
      </c>
      <c r="D4012" s="3">
        <f>IFERROR(__xludf.DUMMYFUNCTION("IFERROR(
IF(REGEXMATCH(LOWER(O4012),""k""),
VALUE(REGEXEXTRACT(O4012,""[0-9]+""))*1000,
VALUE(REGEXEXTRACT(O4012,""[0-9]+""))
),
0
)"),0.0)</f>
        <v>0</v>
      </c>
      <c r="E4012" s="1" t="s">
        <v>11</v>
      </c>
      <c r="F4012" s="1" t="s">
        <v>20</v>
      </c>
      <c r="G4012" s="4" t="b">
        <f t="shared" si="2"/>
        <v>1</v>
      </c>
      <c r="H4012" s="1" t="str">
        <f t="shared" si="3"/>
        <v>Currently Unavailable</v>
      </c>
      <c r="I4012" s="1" t="str">
        <f t="shared" si="4"/>
        <v>No Badges</v>
      </c>
      <c r="J4012" s="3">
        <f t="shared" si="5"/>
        <v>0</v>
      </c>
    </row>
    <row r="4013">
      <c r="A4013" s="1" t="s">
        <v>3053</v>
      </c>
      <c r="B4013" s="3" t="str">
        <f t="shared" si="1"/>
        <v>Unavailable</v>
      </c>
      <c r="C4013" s="3">
        <v>526.0</v>
      </c>
      <c r="D4013" s="3">
        <f>IFERROR(__xludf.DUMMYFUNCTION("IFERROR(
IF(REGEXMATCH(LOWER(O4013),""k""),
VALUE(REGEXEXTRACT(O4013,""[0-9]+""))*1000,
VALUE(REGEXEXTRACT(O4013,""[0-9]+""))
),
0
)"),0.0)</f>
        <v>0</v>
      </c>
      <c r="E4013" s="1" t="s">
        <v>11</v>
      </c>
      <c r="F4013" s="1" t="s">
        <v>20</v>
      </c>
      <c r="G4013" s="4" t="b">
        <f t="shared" si="2"/>
        <v>1</v>
      </c>
      <c r="H4013" s="1" t="str">
        <f t="shared" si="3"/>
        <v>Currently Unavailable</v>
      </c>
      <c r="I4013" s="1" t="str">
        <f t="shared" si="4"/>
        <v>No Badges</v>
      </c>
      <c r="J4013" s="3">
        <f t="shared" si="5"/>
        <v>0</v>
      </c>
    </row>
    <row r="4014">
      <c r="A4014" s="1" t="s">
        <v>3054</v>
      </c>
      <c r="B4014" s="3" t="str">
        <f t="shared" si="1"/>
        <v>Unavailable</v>
      </c>
      <c r="C4014" s="5">
        <v>1932.0</v>
      </c>
      <c r="D4014" s="3">
        <f>IFERROR(__xludf.DUMMYFUNCTION("IFERROR(
IF(REGEXMATCH(LOWER(O4014),""k""),
VALUE(REGEXEXTRACT(O4014,""[0-9]+""))*1000,
VALUE(REGEXEXTRACT(O4014,""[0-9]+""))
),
0
)"),0.0)</f>
        <v>0</v>
      </c>
      <c r="E4014" s="1" t="s">
        <v>11</v>
      </c>
      <c r="F4014" s="1" t="s">
        <v>20</v>
      </c>
      <c r="G4014" s="4" t="b">
        <f t="shared" si="2"/>
        <v>1</v>
      </c>
      <c r="H4014" s="1" t="str">
        <f t="shared" si="3"/>
        <v>Currently Unavailable</v>
      </c>
      <c r="I4014" s="1" t="str">
        <f t="shared" si="4"/>
        <v>No Badges</v>
      </c>
      <c r="J4014" s="3">
        <f t="shared" si="5"/>
        <v>0</v>
      </c>
    </row>
    <row r="4015">
      <c r="A4015" s="1" t="s">
        <v>3055</v>
      </c>
      <c r="B4015" s="3" t="str">
        <f t="shared" si="1"/>
        <v>Unavailable</v>
      </c>
      <c r="C4015" s="5">
        <v>1339.0</v>
      </c>
      <c r="D4015" s="3">
        <f>IFERROR(__xludf.DUMMYFUNCTION("IFERROR(
IF(REGEXMATCH(LOWER(O4015),""k""),
VALUE(REGEXEXTRACT(O4015,""[0-9]+""))*1000,
VALUE(REGEXEXTRACT(O4015,""[0-9]+""))
),
0
)"),0.0)</f>
        <v>0</v>
      </c>
      <c r="E4015" s="1" t="s">
        <v>11</v>
      </c>
      <c r="F4015" s="1" t="s">
        <v>20</v>
      </c>
      <c r="G4015" s="4" t="b">
        <f t="shared" si="2"/>
        <v>1</v>
      </c>
      <c r="H4015" s="1" t="str">
        <f t="shared" si="3"/>
        <v>Currently Unavailable</v>
      </c>
      <c r="I4015" s="1" t="str">
        <f t="shared" si="4"/>
        <v>No Badges</v>
      </c>
      <c r="J4015" s="3">
        <f t="shared" si="5"/>
        <v>0</v>
      </c>
    </row>
    <row r="4016">
      <c r="A4016" s="1" t="s">
        <v>3056</v>
      </c>
      <c r="B4016" s="3" t="str">
        <f t="shared" si="1"/>
        <v>Unavailable</v>
      </c>
      <c r="C4016" s="3">
        <v>86.0</v>
      </c>
      <c r="D4016" s="3">
        <f>IFERROR(__xludf.DUMMYFUNCTION("IFERROR(
IF(REGEXMATCH(LOWER(O4016),""k""),
VALUE(REGEXEXTRACT(O4016,""[0-9]+""))*1000,
VALUE(REGEXEXTRACT(O4016,""[0-9]+""))
),
0
)"),0.0)</f>
        <v>0</v>
      </c>
      <c r="E4016" s="1" t="s">
        <v>11</v>
      </c>
      <c r="F4016" s="1" t="s">
        <v>20</v>
      </c>
      <c r="G4016" s="4" t="b">
        <f t="shared" si="2"/>
        <v>1</v>
      </c>
      <c r="H4016" s="1" t="str">
        <f t="shared" si="3"/>
        <v>Currently Unavailable</v>
      </c>
      <c r="I4016" s="1" t="str">
        <f t="shared" si="4"/>
        <v>No Badges</v>
      </c>
      <c r="J4016" s="3">
        <f t="shared" si="5"/>
        <v>0</v>
      </c>
    </row>
    <row r="4017">
      <c r="A4017" s="1" t="s">
        <v>3057</v>
      </c>
      <c r="B4017" s="3" t="str">
        <f t="shared" si="1"/>
        <v>Unavailable</v>
      </c>
      <c r="C4017" s="3">
        <v>40.0</v>
      </c>
      <c r="D4017" s="3">
        <f>IFERROR(__xludf.DUMMYFUNCTION("IFERROR(
IF(REGEXMATCH(LOWER(O4017),""k""),
VALUE(REGEXEXTRACT(O4017,""[0-9]+""))*1000,
VALUE(REGEXEXTRACT(O4017,""[0-9]+""))
),
0
)"),0.0)</f>
        <v>0</v>
      </c>
      <c r="E4017" s="1" t="s">
        <v>11</v>
      </c>
      <c r="F4017" s="1" t="s">
        <v>20</v>
      </c>
      <c r="G4017" s="4" t="b">
        <f t="shared" si="2"/>
        <v>1</v>
      </c>
      <c r="H4017" s="1" t="str">
        <f t="shared" si="3"/>
        <v>Currently Unavailable</v>
      </c>
      <c r="I4017" s="1" t="str">
        <f t="shared" si="4"/>
        <v>No Badges</v>
      </c>
      <c r="J4017" s="3">
        <f t="shared" si="5"/>
        <v>0</v>
      </c>
    </row>
    <row r="4018">
      <c r="A4018" s="1" t="s">
        <v>3058</v>
      </c>
      <c r="B4018" s="3" t="str">
        <f t="shared" si="1"/>
        <v>Unavailable</v>
      </c>
      <c r="C4018" s="3">
        <v>771.0</v>
      </c>
      <c r="D4018" s="3">
        <f>IFERROR(__xludf.DUMMYFUNCTION("IFERROR(
IF(REGEXMATCH(LOWER(O4018),""k""),
VALUE(REGEXEXTRACT(O4018,""[0-9]+""))*1000,
VALUE(REGEXEXTRACT(O4018,""[0-9]+""))
),
0
)"),0.0)</f>
        <v>0</v>
      </c>
      <c r="E4018" s="1" t="s">
        <v>11</v>
      </c>
      <c r="F4018" s="1" t="s">
        <v>20</v>
      </c>
      <c r="G4018" s="4" t="b">
        <f t="shared" si="2"/>
        <v>1</v>
      </c>
      <c r="H4018" s="1" t="str">
        <f t="shared" si="3"/>
        <v>Currently Unavailable</v>
      </c>
      <c r="I4018" s="1" t="str">
        <f t="shared" si="4"/>
        <v>No Badges</v>
      </c>
      <c r="J4018" s="3">
        <f t="shared" si="5"/>
        <v>0</v>
      </c>
    </row>
    <row r="4019">
      <c r="A4019" s="1" t="s">
        <v>3059</v>
      </c>
      <c r="B4019" s="3" t="str">
        <f t="shared" si="1"/>
        <v>Unavailable</v>
      </c>
      <c r="C4019" s="5">
        <v>2548.0</v>
      </c>
      <c r="D4019" s="3">
        <f>IFERROR(__xludf.DUMMYFUNCTION("IFERROR(
IF(REGEXMATCH(LOWER(O4019),""k""),
VALUE(REGEXEXTRACT(O4019,""[0-9]+""))*1000,
VALUE(REGEXEXTRACT(O4019,""[0-9]+""))
),
0
)"),0.0)</f>
        <v>0</v>
      </c>
      <c r="E4019" s="1" t="s">
        <v>11</v>
      </c>
      <c r="F4019" s="1" t="s">
        <v>20</v>
      </c>
      <c r="G4019" s="4" t="b">
        <f t="shared" si="2"/>
        <v>1</v>
      </c>
      <c r="H4019" s="1" t="str">
        <f t="shared" si="3"/>
        <v>Currently Unavailable</v>
      </c>
      <c r="I4019" s="1" t="str">
        <f t="shared" si="4"/>
        <v>No Badges</v>
      </c>
      <c r="J4019" s="3">
        <f t="shared" si="5"/>
        <v>0</v>
      </c>
    </row>
    <row r="4020">
      <c r="A4020" s="1" t="s">
        <v>3060</v>
      </c>
      <c r="B4020" s="3" t="str">
        <f t="shared" si="1"/>
        <v>Unavailable</v>
      </c>
      <c r="C4020" s="5">
        <v>1223.0</v>
      </c>
      <c r="D4020" s="3">
        <f>IFERROR(__xludf.DUMMYFUNCTION("IFERROR(
IF(REGEXMATCH(LOWER(O4020),""k""),
VALUE(REGEXEXTRACT(O4020,""[0-9]+""))*1000,
VALUE(REGEXEXTRACT(O4020,""[0-9]+""))
),
0
)"),0.0)</f>
        <v>0</v>
      </c>
      <c r="E4020" s="1" t="s">
        <v>11</v>
      </c>
      <c r="F4020" s="1" t="s">
        <v>20</v>
      </c>
      <c r="G4020" s="4" t="b">
        <f t="shared" si="2"/>
        <v>1</v>
      </c>
      <c r="H4020" s="1" t="str">
        <f t="shared" si="3"/>
        <v>Currently Unavailable</v>
      </c>
      <c r="I4020" s="1" t="str">
        <f t="shared" si="4"/>
        <v>No Badges</v>
      </c>
      <c r="J4020" s="3">
        <f t="shared" si="5"/>
        <v>0</v>
      </c>
    </row>
    <row r="4021">
      <c r="A4021" s="1" t="s">
        <v>3061</v>
      </c>
      <c r="B4021" s="3" t="str">
        <f t="shared" si="1"/>
        <v>Unavailable</v>
      </c>
      <c r="C4021" s="3">
        <v>221.0</v>
      </c>
      <c r="D4021" s="3">
        <f>IFERROR(__xludf.DUMMYFUNCTION("IFERROR(
IF(REGEXMATCH(LOWER(O4021),""k""),
VALUE(REGEXEXTRACT(O4021,""[0-9]+""))*1000,
VALUE(REGEXEXTRACT(O4021,""[0-9]+""))
),
0
)"),0.0)</f>
        <v>0</v>
      </c>
      <c r="E4021" s="1" t="s">
        <v>11</v>
      </c>
      <c r="F4021" s="1" t="s">
        <v>20</v>
      </c>
      <c r="G4021" s="4" t="b">
        <f t="shared" si="2"/>
        <v>1</v>
      </c>
      <c r="H4021" s="1" t="str">
        <f t="shared" si="3"/>
        <v>Currently Unavailable</v>
      </c>
      <c r="I4021" s="1" t="str">
        <f t="shared" si="4"/>
        <v>No Badges</v>
      </c>
      <c r="J4021" s="3">
        <f t="shared" si="5"/>
        <v>0</v>
      </c>
    </row>
    <row r="4022">
      <c r="A4022" s="1" t="s">
        <v>67</v>
      </c>
      <c r="B4022" s="3" t="str">
        <f t="shared" si="1"/>
        <v>Unavailable</v>
      </c>
      <c r="C4022" s="3">
        <v>264.0</v>
      </c>
      <c r="D4022" s="3">
        <f>IFERROR(__xludf.DUMMYFUNCTION("IFERROR(
IF(REGEXMATCH(LOWER(O4022),""k""),
VALUE(REGEXEXTRACT(O4022,""[0-9]+""))*1000,
VALUE(REGEXEXTRACT(O4022,""[0-9]+""))
),
0
)"),0.0)</f>
        <v>0</v>
      </c>
      <c r="E4022" s="1" t="s">
        <v>11</v>
      </c>
      <c r="F4022" s="1" t="s">
        <v>12</v>
      </c>
      <c r="G4022" s="4" t="b">
        <f t="shared" si="2"/>
        <v>1</v>
      </c>
      <c r="H4022" s="1" t="str">
        <f t="shared" si="3"/>
        <v>Currently Unavailable</v>
      </c>
      <c r="I4022" s="1" t="str">
        <f t="shared" si="4"/>
        <v>No Badges</v>
      </c>
      <c r="J4022" s="3">
        <f t="shared" si="5"/>
        <v>0</v>
      </c>
    </row>
    <row r="4023">
      <c r="A4023" s="1" t="s">
        <v>3062</v>
      </c>
      <c r="B4023" s="3" t="str">
        <f t="shared" si="1"/>
        <v>Unavailable</v>
      </c>
      <c r="C4023" s="3">
        <v>756.0</v>
      </c>
      <c r="D4023" s="3">
        <f>IFERROR(__xludf.DUMMYFUNCTION("IFERROR(
IF(REGEXMATCH(LOWER(O4023),""k""),
VALUE(REGEXEXTRACT(O4023,""[0-9]+""))*1000,
VALUE(REGEXEXTRACT(O4023,""[0-9]+""))
),
0
)"),0.0)</f>
        <v>0</v>
      </c>
      <c r="E4023" s="1" t="s">
        <v>11</v>
      </c>
      <c r="F4023" s="1" t="s">
        <v>20</v>
      </c>
      <c r="G4023" s="4" t="b">
        <f t="shared" si="2"/>
        <v>1</v>
      </c>
      <c r="H4023" s="1" t="str">
        <f t="shared" si="3"/>
        <v>Currently Unavailable</v>
      </c>
      <c r="I4023" s="1" t="str">
        <f t="shared" si="4"/>
        <v>No Badges</v>
      </c>
      <c r="J4023" s="3">
        <f t="shared" si="5"/>
        <v>0</v>
      </c>
    </row>
    <row r="4024">
      <c r="A4024" s="1" t="s">
        <v>701</v>
      </c>
      <c r="B4024" s="3" t="str">
        <f t="shared" si="1"/>
        <v>Unavailable</v>
      </c>
      <c r="C4024" s="3">
        <v>8.0</v>
      </c>
      <c r="D4024" s="3">
        <f>IFERROR(__xludf.DUMMYFUNCTION("IFERROR(
IF(REGEXMATCH(LOWER(O4024),""k""),
VALUE(REGEXEXTRACT(O4024,""[0-9]+""))*1000,
VALUE(REGEXEXTRACT(O4024,""[0-9]+""))
),
0
)"),0.0)</f>
        <v>0</v>
      </c>
      <c r="E4024" s="1" t="s">
        <v>11</v>
      </c>
      <c r="F4024" s="1" t="s">
        <v>12</v>
      </c>
      <c r="G4024" s="4" t="b">
        <f t="shared" si="2"/>
        <v>1</v>
      </c>
      <c r="H4024" s="1" t="str">
        <f t="shared" si="3"/>
        <v>Currently Unavailable</v>
      </c>
      <c r="I4024" s="1" t="str">
        <f t="shared" si="4"/>
        <v>No Badges</v>
      </c>
      <c r="J4024" s="3">
        <f t="shared" si="5"/>
        <v>0</v>
      </c>
    </row>
    <row r="4025">
      <c r="A4025" s="1" t="s">
        <v>3063</v>
      </c>
      <c r="B4025" s="3" t="str">
        <f t="shared" si="1"/>
        <v>Unavailable</v>
      </c>
      <c r="C4025" s="3">
        <v>213.0</v>
      </c>
      <c r="D4025" s="3">
        <f>IFERROR(__xludf.DUMMYFUNCTION("IFERROR(
IF(REGEXMATCH(LOWER(O4025),""k""),
VALUE(REGEXEXTRACT(O4025,""[0-9]+""))*1000,
VALUE(REGEXEXTRACT(O4025,""[0-9]+""))
),
0
)"),0.0)</f>
        <v>0</v>
      </c>
      <c r="E4025" s="1" t="s">
        <v>11</v>
      </c>
      <c r="F4025" s="1" t="s">
        <v>20</v>
      </c>
      <c r="G4025" s="4" t="b">
        <f t="shared" si="2"/>
        <v>1</v>
      </c>
      <c r="H4025" s="1" t="str">
        <f t="shared" si="3"/>
        <v>Currently Unavailable</v>
      </c>
      <c r="I4025" s="1" t="str">
        <f t="shared" si="4"/>
        <v>No Badges</v>
      </c>
      <c r="J4025" s="3">
        <f t="shared" si="5"/>
        <v>0</v>
      </c>
    </row>
    <row r="4026">
      <c r="A4026" s="1" t="s">
        <v>3064</v>
      </c>
      <c r="B4026" s="3" t="str">
        <f t="shared" si="1"/>
        <v>Unavailable</v>
      </c>
      <c r="C4026" s="3">
        <v>423.0</v>
      </c>
      <c r="D4026" s="3">
        <f>IFERROR(__xludf.DUMMYFUNCTION("IFERROR(
IF(REGEXMATCH(LOWER(O4026),""k""),
VALUE(REGEXEXTRACT(O4026,""[0-9]+""))*1000,
VALUE(REGEXEXTRACT(O4026,""[0-9]+""))
),
0
)"),0.0)</f>
        <v>0</v>
      </c>
      <c r="E4026" s="1" t="s">
        <v>11</v>
      </c>
      <c r="F4026" s="1" t="s">
        <v>20</v>
      </c>
      <c r="G4026" s="4" t="b">
        <f t="shared" si="2"/>
        <v>1</v>
      </c>
      <c r="H4026" s="1" t="str">
        <f t="shared" si="3"/>
        <v>Currently Unavailable</v>
      </c>
      <c r="I4026" s="1" t="str">
        <f t="shared" si="4"/>
        <v>No Badges</v>
      </c>
      <c r="J4026" s="3">
        <f t="shared" si="5"/>
        <v>0</v>
      </c>
    </row>
    <row r="4027">
      <c r="A4027" s="1" t="s">
        <v>3065</v>
      </c>
      <c r="B4027" s="3" t="str">
        <f t="shared" si="1"/>
        <v>Unavailable</v>
      </c>
      <c r="C4027" s="3">
        <v>395.0</v>
      </c>
      <c r="D4027" s="3">
        <f>IFERROR(__xludf.DUMMYFUNCTION("IFERROR(
IF(REGEXMATCH(LOWER(O4027),""k""),
VALUE(REGEXEXTRACT(O4027,""[0-9]+""))*1000,
VALUE(REGEXEXTRACT(O4027,""[0-9]+""))
),
0
)"),0.0)</f>
        <v>0</v>
      </c>
      <c r="E4027" s="1" t="s">
        <v>11</v>
      </c>
      <c r="F4027" s="1" t="s">
        <v>20</v>
      </c>
      <c r="G4027" s="4" t="b">
        <f t="shared" si="2"/>
        <v>1</v>
      </c>
      <c r="H4027" s="1" t="str">
        <f t="shared" si="3"/>
        <v>Currently Unavailable</v>
      </c>
      <c r="I4027" s="1" t="str">
        <f t="shared" si="4"/>
        <v>No Badges</v>
      </c>
      <c r="J4027" s="3">
        <f t="shared" si="5"/>
        <v>0</v>
      </c>
    </row>
    <row r="4028">
      <c r="A4028" s="1" t="s">
        <v>3066</v>
      </c>
      <c r="B4028" s="3" t="str">
        <f t="shared" si="1"/>
        <v>Unavailable</v>
      </c>
      <c r="C4028" s="3">
        <v>53.0</v>
      </c>
      <c r="D4028" s="3">
        <f>IFERROR(__xludf.DUMMYFUNCTION("IFERROR(
IF(REGEXMATCH(LOWER(O4028),""k""),
VALUE(REGEXEXTRACT(O4028,""[0-9]+""))*1000,
VALUE(REGEXEXTRACT(O4028,""[0-9]+""))
),
0
)"),0.0)</f>
        <v>0</v>
      </c>
      <c r="E4028" s="1" t="s">
        <v>11</v>
      </c>
      <c r="F4028" s="1" t="s">
        <v>20</v>
      </c>
      <c r="G4028" s="4" t="b">
        <f t="shared" si="2"/>
        <v>1</v>
      </c>
      <c r="H4028" s="1" t="str">
        <f t="shared" si="3"/>
        <v>Currently Unavailable</v>
      </c>
      <c r="I4028" s="1" t="str">
        <f t="shared" si="4"/>
        <v>No Badges</v>
      </c>
      <c r="J4028" s="3">
        <f t="shared" si="5"/>
        <v>0</v>
      </c>
    </row>
    <row r="4029">
      <c r="A4029" s="1" t="s">
        <v>3067</v>
      </c>
      <c r="B4029" s="3" t="str">
        <f t="shared" si="1"/>
        <v>Unavailable</v>
      </c>
      <c r="C4029" s="3">
        <v>38.0</v>
      </c>
      <c r="D4029" s="3">
        <f>IFERROR(__xludf.DUMMYFUNCTION("IFERROR(
IF(REGEXMATCH(LOWER(O4029),""k""),
VALUE(REGEXEXTRACT(O4029,""[0-9]+""))*1000,
VALUE(REGEXEXTRACT(O4029,""[0-9]+""))
),
0
)"),0.0)</f>
        <v>0</v>
      </c>
      <c r="E4029" s="1" t="s">
        <v>11</v>
      </c>
      <c r="F4029" s="1" t="s">
        <v>20</v>
      </c>
      <c r="G4029" s="4" t="b">
        <f t="shared" si="2"/>
        <v>1</v>
      </c>
      <c r="H4029" s="1" t="str">
        <f t="shared" si="3"/>
        <v>Currently Unavailable</v>
      </c>
      <c r="I4029" s="1" t="str">
        <f t="shared" si="4"/>
        <v>No Badges</v>
      </c>
      <c r="J4029" s="3">
        <f t="shared" si="5"/>
        <v>0</v>
      </c>
    </row>
    <row r="4030">
      <c r="A4030" s="1" t="s">
        <v>3068</v>
      </c>
      <c r="B4030" s="3" t="str">
        <f t="shared" si="1"/>
        <v>Unavailable</v>
      </c>
      <c r="C4030" s="5">
        <v>2409.0</v>
      </c>
      <c r="D4030" s="3">
        <f>IFERROR(__xludf.DUMMYFUNCTION("IFERROR(
IF(REGEXMATCH(LOWER(O4030),""k""),
VALUE(REGEXEXTRACT(O4030,""[0-9]+""))*1000,
VALUE(REGEXEXTRACT(O4030,""[0-9]+""))
),
0
)"),0.0)</f>
        <v>0</v>
      </c>
      <c r="E4030" s="1" t="s">
        <v>11</v>
      </c>
      <c r="F4030" s="1" t="s">
        <v>20</v>
      </c>
      <c r="G4030" s="4" t="b">
        <f t="shared" si="2"/>
        <v>1</v>
      </c>
      <c r="H4030" s="1" t="str">
        <f t="shared" si="3"/>
        <v>Currently Unavailable</v>
      </c>
      <c r="I4030" s="1" t="str">
        <f t="shared" si="4"/>
        <v>No Badges</v>
      </c>
      <c r="J4030" s="3">
        <f t="shared" si="5"/>
        <v>0</v>
      </c>
    </row>
    <row r="4031">
      <c r="A4031" s="1" t="s">
        <v>3069</v>
      </c>
      <c r="B4031" s="3" t="str">
        <f t="shared" si="1"/>
        <v>Unavailable</v>
      </c>
      <c r="C4031" s="3">
        <v>273.0</v>
      </c>
      <c r="D4031" s="3">
        <f>IFERROR(__xludf.DUMMYFUNCTION("IFERROR(
IF(REGEXMATCH(LOWER(O4031),""k""),
VALUE(REGEXEXTRACT(O4031,""[0-9]+""))*1000,
VALUE(REGEXEXTRACT(O4031,""[0-9]+""))
),
0
)"),0.0)</f>
        <v>0</v>
      </c>
      <c r="E4031" s="1" t="s">
        <v>11</v>
      </c>
      <c r="F4031" s="1" t="s">
        <v>20</v>
      </c>
      <c r="G4031" s="4" t="b">
        <f t="shared" si="2"/>
        <v>1</v>
      </c>
      <c r="H4031" s="1" t="str">
        <f t="shared" si="3"/>
        <v>Currently Unavailable</v>
      </c>
      <c r="I4031" s="1" t="str">
        <f t="shared" si="4"/>
        <v>No Badges</v>
      </c>
      <c r="J4031" s="3">
        <f t="shared" si="5"/>
        <v>0</v>
      </c>
    </row>
    <row r="4032">
      <c r="A4032" s="1" t="s">
        <v>3070</v>
      </c>
      <c r="B4032" s="3" t="str">
        <f t="shared" si="1"/>
        <v>Unavailable</v>
      </c>
      <c r="C4032" s="3">
        <v>132.0</v>
      </c>
      <c r="D4032" s="3">
        <f>IFERROR(__xludf.DUMMYFUNCTION("IFERROR(
IF(REGEXMATCH(LOWER(O4032),""k""),
VALUE(REGEXEXTRACT(O4032,""[0-9]+""))*1000,
VALUE(REGEXEXTRACT(O4032,""[0-9]+""))
),
0
)"),0.0)</f>
        <v>0</v>
      </c>
      <c r="E4032" s="1" t="s">
        <v>11</v>
      </c>
      <c r="F4032" s="1" t="s">
        <v>20</v>
      </c>
      <c r="G4032" s="4" t="b">
        <f t="shared" si="2"/>
        <v>1</v>
      </c>
      <c r="H4032" s="1" t="str">
        <f t="shared" si="3"/>
        <v>Currently Unavailable</v>
      </c>
      <c r="I4032" s="1" t="str">
        <f t="shared" si="4"/>
        <v>No Badges</v>
      </c>
      <c r="J4032" s="3">
        <f t="shared" si="5"/>
        <v>0</v>
      </c>
    </row>
    <row r="4033">
      <c r="A4033" s="1" t="s">
        <v>3071</v>
      </c>
      <c r="B4033" s="3" t="str">
        <f t="shared" si="1"/>
        <v>Unavailable</v>
      </c>
      <c r="C4033" s="3">
        <v>226.0</v>
      </c>
      <c r="D4033" s="3">
        <f>IFERROR(__xludf.DUMMYFUNCTION("IFERROR(
IF(REGEXMATCH(LOWER(O4033),""k""),
VALUE(REGEXEXTRACT(O4033,""[0-9]+""))*1000,
VALUE(REGEXEXTRACT(O4033,""[0-9]+""))
),
0
)"),0.0)</f>
        <v>0</v>
      </c>
      <c r="E4033" s="1" t="s">
        <v>11</v>
      </c>
      <c r="F4033" s="1" t="s">
        <v>20</v>
      </c>
      <c r="G4033" s="4" t="b">
        <f t="shared" si="2"/>
        <v>1</v>
      </c>
      <c r="H4033" s="1" t="str">
        <f t="shared" si="3"/>
        <v>Currently Unavailable</v>
      </c>
      <c r="I4033" s="1" t="str">
        <f t="shared" si="4"/>
        <v>No Badges</v>
      </c>
      <c r="J4033" s="3">
        <f t="shared" si="5"/>
        <v>0</v>
      </c>
    </row>
    <row r="4034">
      <c r="A4034" s="1" t="s">
        <v>2354</v>
      </c>
      <c r="B4034" s="3" t="str">
        <f t="shared" si="1"/>
        <v>Unavailable</v>
      </c>
      <c r="C4034" s="5">
        <v>1878.0</v>
      </c>
      <c r="D4034" s="3">
        <f>IFERROR(__xludf.DUMMYFUNCTION("IFERROR(
IF(REGEXMATCH(LOWER(O4034),""k""),
VALUE(REGEXEXTRACT(O4034,""[0-9]+""))*1000,
VALUE(REGEXEXTRACT(O4034,""[0-9]+""))
),
0
)"),0.0)</f>
        <v>0</v>
      </c>
      <c r="E4034" s="1" t="s">
        <v>11</v>
      </c>
      <c r="F4034" s="1" t="s">
        <v>12</v>
      </c>
      <c r="G4034" s="4" t="b">
        <f t="shared" si="2"/>
        <v>1</v>
      </c>
      <c r="H4034" s="1" t="str">
        <f t="shared" si="3"/>
        <v>Currently Unavailable</v>
      </c>
      <c r="I4034" s="1" t="str">
        <f t="shared" si="4"/>
        <v>No Badges</v>
      </c>
      <c r="J4034" s="3">
        <f t="shared" si="5"/>
        <v>0</v>
      </c>
    </row>
    <row r="4035">
      <c r="A4035" s="1" t="s">
        <v>3072</v>
      </c>
      <c r="B4035" s="3" t="str">
        <f t="shared" si="1"/>
        <v>Unavailable</v>
      </c>
      <c r="C4035" s="5">
        <v>1177.0</v>
      </c>
      <c r="D4035" s="3">
        <f>IFERROR(__xludf.DUMMYFUNCTION("IFERROR(
IF(REGEXMATCH(LOWER(O4035),""k""),
VALUE(REGEXEXTRACT(O4035,""[0-9]+""))*1000,
VALUE(REGEXEXTRACT(O4035,""[0-9]+""))
),
0
)"),0.0)</f>
        <v>0</v>
      </c>
      <c r="E4035" s="1" t="s">
        <v>11</v>
      </c>
      <c r="F4035" s="1" t="s">
        <v>20</v>
      </c>
      <c r="G4035" s="4" t="b">
        <f t="shared" si="2"/>
        <v>1</v>
      </c>
      <c r="H4035" s="1" t="str">
        <f t="shared" si="3"/>
        <v>Currently Unavailable</v>
      </c>
      <c r="I4035" s="1" t="str">
        <f t="shared" si="4"/>
        <v>No Badges</v>
      </c>
      <c r="J4035" s="3">
        <f t="shared" si="5"/>
        <v>0</v>
      </c>
    </row>
    <row r="4036">
      <c r="A4036" s="1" t="s">
        <v>3073</v>
      </c>
      <c r="B4036" s="3" t="str">
        <f t="shared" si="1"/>
        <v>Unavailable</v>
      </c>
      <c r="C4036" s="3">
        <v>258.0</v>
      </c>
      <c r="D4036" s="3">
        <f>IFERROR(__xludf.DUMMYFUNCTION("IFERROR(
IF(REGEXMATCH(LOWER(O4036),""k""),
VALUE(REGEXEXTRACT(O4036,""[0-9]+""))*1000,
VALUE(REGEXEXTRACT(O4036,""[0-9]+""))
),
0
)"),0.0)</f>
        <v>0</v>
      </c>
      <c r="E4036" s="1" t="s">
        <v>11</v>
      </c>
      <c r="F4036" s="1" t="s">
        <v>20</v>
      </c>
      <c r="G4036" s="4" t="b">
        <f t="shared" si="2"/>
        <v>1</v>
      </c>
      <c r="H4036" s="1" t="str">
        <f t="shared" si="3"/>
        <v>Currently Unavailable</v>
      </c>
      <c r="I4036" s="1" t="str">
        <f t="shared" si="4"/>
        <v>No Badges</v>
      </c>
      <c r="J4036" s="3">
        <f t="shared" si="5"/>
        <v>0</v>
      </c>
    </row>
    <row r="4037">
      <c r="A4037" s="1" t="s">
        <v>3074</v>
      </c>
      <c r="B4037" s="3" t="str">
        <f t="shared" si="1"/>
        <v>Unavailable</v>
      </c>
      <c r="C4037" s="3">
        <v>841.0</v>
      </c>
      <c r="D4037" s="3">
        <f>IFERROR(__xludf.DUMMYFUNCTION("IFERROR(
IF(REGEXMATCH(LOWER(O4037),""k""),
VALUE(REGEXEXTRACT(O4037,""[0-9]+""))*1000,
VALUE(REGEXEXTRACT(O4037,""[0-9]+""))
),
0
)"),0.0)</f>
        <v>0</v>
      </c>
      <c r="E4037" s="1" t="s">
        <v>11</v>
      </c>
      <c r="F4037" s="1" t="s">
        <v>20</v>
      </c>
      <c r="G4037" s="4" t="b">
        <f t="shared" si="2"/>
        <v>1</v>
      </c>
      <c r="H4037" s="1" t="str">
        <f t="shared" si="3"/>
        <v>Currently Unavailable</v>
      </c>
      <c r="I4037" s="1" t="str">
        <f t="shared" si="4"/>
        <v>No Badges</v>
      </c>
      <c r="J4037" s="3">
        <f t="shared" si="5"/>
        <v>0</v>
      </c>
    </row>
    <row r="4038">
      <c r="A4038" s="1" t="s">
        <v>88</v>
      </c>
      <c r="B4038" s="3" t="str">
        <f t="shared" si="1"/>
        <v>Unavailable</v>
      </c>
      <c r="C4038" s="3">
        <v>5.0</v>
      </c>
      <c r="D4038" s="3">
        <f>IFERROR(__xludf.DUMMYFUNCTION("IFERROR(
IF(REGEXMATCH(LOWER(O4038),""k""),
VALUE(REGEXEXTRACT(O4038,""[0-9]+""))*1000,
VALUE(REGEXEXTRACT(O4038,""[0-9]+""))
),
0
)"),0.0)</f>
        <v>0</v>
      </c>
      <c r="E4038" s="1" t="s">
        <v>11</v>
      </c>
      <c r="F4038" s="1" t="s">
        <v>12</v>
      </c>
      <c r="G4038" s="4" t="b">
        <f t="shared" si="2"/>
        <v>1</v>
      </c>
      <c r="H4038" s="1" t="str">
        <f t="shared" si="3"/>
        <v>Currently Unavailable</v>
      </c>
      <c r="I4038" s="1" t="str">
        <f t="shared" si="4"/>
        <v>No Badges</v>
      </c>
      <c r="J4038" s="3">
        <f t="shared" si="5"/>
        <v>0</v>
      </c>
    </row>
    <row r="4039">
      <c r="A4039" s="1" t="s">
        <v>40</v>
      </c>
      <c r="B4039" s="3" t="str">
        <f t="shared" si="1"/>
        <v>Unavailable</v>
      </c>
      <c r="C4039" s="3">
        <v>171.0</v>
      </c>
      <c r="D4039" s="3">
        <f>IFERROR(__xludf.DUMMYFUNCTION("IFERROR(
IF(REGEXMATCH(LOWER(O4039),""k""),
VALUE(REGEXEXTRACT(O4039,""[0-9]+""))*1000,
VALUE(REGEXEXTRACT(O4039,""[0-9]+""))
),
0
)"),0.0)</f>
        <v>0</v>
      </c>
      <c r="E4039" s="1" t="s">
        <v>11</v>
      </c>
      <c r="F4039" s="1" t="s">
        <v>12</v>
      </c>
      <c r="G4039" s="4" t="b">
        <f t="shared" si="2"/>
        <v>1</v>
      </c>
      <c r="H4039" s="1" t="str">
        <f t="shared" si="3"/>
        <v>Currently Unavailable</v>
      </c>
      <c r="I4039" s="1" t="str">
        <f t="shared" si="4"/>
        <v>No Badges</v>
      </c>
      <c r="J4039" s="3">
        <f t="shared" si="5"/>
        <v>0</v>
      </c>
    </row>
    <row r="4040">
      <c r="A4040" s="1" t="s">
        <v>3075</v>
      </c>
      <c r="B4040" s="3" t="str">
        <f t="shared" si="1"/>
        <v>Unavailable</v>
      </c>
      <c r="C4040" s="5">
        <v>3569.0</v>
      </c>
      <c r="D4040" s="3">
        <f>IFERROR(__xludf.DUMMYFUNCTION("IFERROR(
IF(REGEXMATCH(LOWER(O4040),""k""),
VALUE(REGEXEXTRACT(O4040,""[0-9]+""))*1000,
VALUE(REGEXEXTRACT(O4040,""[0-9]+""))
),
0
)"),0.0)</f>
        <v>0</v>
      </c>
      <c r="E4040" s="1" t="s">
        <v>11</v>
      </c>
      <c r="F4040" s="1" t="s">
        <v>20</v>
      </c>
      <c r="G4040" s="4" t="b">
        <f t="shared" si="2"/>
        <v>1</v>
      </c>
      <c r="H4040" s="1" t="str">
        <f t="shared" si="3"/>
        <v>Currently Unavailable</v>
      </c>
      <c r="I4040" s="1" t="str">
        <f t="shared" si="4"/>
        <v>No Badges</v>
      </c>
      <c r="J4040" s="3">
        <f t="shared" si="5"/>
        <v>0</v>
      </c>
    </row>
    <row r="4041">
      <c r="A4041" s="1" t="s">
        <v>3076</v>
      </c>
      <c r="B4041" s="3" t="str">
        <f t="shared" si="1"/>
        <v>Unavailable</v>
      </c>
      <c r="C4041" s="3">
        <v>741.0</v>
      </c>
      <c r="D4041" s="3">
        <f>IFERROR(__xludf.DUMMYFUNCTION("IFERROR(
IF(REGEXMATCH(LOWER(O4041),""k""),
VALUE(REGEXEXTRACT(O4041,""[0-9]+""))*1000,
VALUE(REGEXEXTRACT(O4041,""[0-9]+""))
),
0
)"),0.0)</f>
        <v>0</v>
      </c>
      <c r="E4041" s="1" t="s">
        <v>11</v>
      </c>
      <c r="F4041" s="1" t="s">
        <v>20</v>
      </c>
      <c r="G4041" s="4" t="b">
        <f t="shared" si="2"/>
        <v>1</v>
      </c>
      <c r="H4041" s="1" t="str">
        <f t="shared" si="3"/>
        <v>Currently Unavailable</v>
      </c>
      <c r="I4041" s="1" t="str">
        <f t="shared" si="4"/>
        <v>No Badges</v>
      </c>
      <c r="J4041" s="3">
        <f t="shared" si="5"/>
        <v>0</v>
      </c>
    </row>
    <row r="4042">
      <c r="A4042" s="1" t="s">
        <v>69</v>
      </c>
      <c r="B4042" s="3" t="str">
        <f t="shared" si="1"/>
        <v>Unavailable</v>
      </c>
      <c r="C4042" s="3">
        <v>45.0</v>
      </c>
      <c r="D4042" s="3">
        <f>IFERROR(__xludf.DUMMYFUNCTION("IFERROR(
IF(REGEXMATCH(LOWER(O4042),""k""),
VALUE(REGEXEXTRACT(O4042,""[0-9]+""))*1000,
VALUE(REGEXEXTRACT(O4042,""[0-9]+""))
),
0
)"),0.0)</f>
        <v>0</v>
      </c>
      <c r="E4042" s="1" t="s">
        <v>11</v>
      </c>
      <c r="F4042" s="1" t="s">
        <v>12</v>
      </c>
      <c r="G4042" s="4" t="b">
        <f t="shared" si="2"/>
        <v>1</v>
      </c>
      <c r="H4042" s="1" t="str">
        <f t="shared" si="3"/>
        <v>Currently Unavailable</v>
      </c>
      <c r="I4042" s="1" t="str">
        <f t="shared" si="4"/>
        <v>No Badges</v>
      </c>
      <c r="J4042" s="3">
        <f t="shared" si="5"/>
        <v>0</v>
      </c>
    </row>
    <row r="4043">
      <c r="A4043" s="1" t="s">
        <v>3077</v>
      </c>
      <c r="B4043" s="3" t="str">
        <f t="shared" si="1"/>
        <v>Unavailable</v>
      </c>
      <c r="C4043" s="3">
        <v>652.0</v>
      </c>
      <c r="D4043" s="3">
        <f>IFERROR(__xludf.DUMMYFUNCTION("IFERROR(
IF(REGEXMATCH(LOWER(O4043),""k""),
VALUE(REGEXEXTRACT(O4043,""[0-9]+""))*1000,
VALUE(REGEXEXTRACT(O4043,""[0-9]+""))
),
0
)"),0.0)</f>
        <v>0</v>
      </c>
      <c r="E4043" s="1" t="s">
        <v>11</v>
      </c>
      <c r="F4043" s="1" t="s">
        <v>20</v>
      </c>
      <c r="G4043" s="4" t="b">
        <f t="shared" si="2"/>
        <v>1</v>
      </c>
      <c r="H4043" s="1" t="str">
        <f t="shared" si="3"/>
        <v>Currently Unavailable</v>
      </c>
      <c r="I4043" s="1" t="str">
        <f t="shared" si="4"/>
        <v>No Badges</v>
      </c>
      <c r="J4043" s="3">
        <f t="shared" si="5"/>
        <v>0</v>
      </c>
    </row>
    <row r="4044">
      <c r="A4044" s="1" t="s">
        <v>2352</v>
      </c>
      <c r="B4044" s="3" t="str">
        <f t="shared" si="1"/>
        <v>Unavailable</v>
      </c>
      <c r="C4044" s="3">
        <v>196.0</v>
      </c>
      <c r="D4044" s="3">
        <f>IFERROR(__xludf.DUMMYFUNCTION("IFERROR(
IF(REGEXMATCH(LOWER(O4044),""k""),
VALUE(REGEXEXTRACT(O4044,""[0-9]+""))*1000,
VALUE(REGEXEXTRACT(O4044,""[0-9]+""))
),
0
)"),0.0)</f>
        <v>0</v>
      </c>
      <c r="E4044" s="1" t="s">
        <v>11</v>
      </c>
      <c r="F4044" s="1" t="s">
        <v>20</v>
      </c>
      <c r="G4044" s="4" t="b">
        <f t="shared" si="2"/>
        <v>1</v>
      </c>
      <c r="H4044" s="1" t="str">
        <f t="shared" si="3"/>
        <v>Currently Unavailable</v>
      </c>
      <c r="I4044" s="1" t="str">
        <f t="shared" si="4"/>
        <v>No Badges</v>
      </c>
      <c r="J4044" s="3">
        <f t="shared" si="5"/>
        <v>0</v>
      </c>
    </row>
    <row r="4045">
      <c r="A4045" s="1" t="s">
        <v>3078</v>
      </c>
      <c r="B4045" s="3" t="str">
        <f t="shared" si="1"/>
        <v>Unavailable</v>
      </c>
      <c r="C4045" s="3">
        <v>579.0</v>
      </c>
      <c r="D4045" s="3">
        <f>IFERROR(__xludf.DUMMYFUNCTION("IFERROR(
IF(REGEXMATCH(LOWER(O4045),""k""),
VALUE(REGEXEXTRACT(O4045,""[0-9]+""))*1000,
VALUE(REGEXEXTRACT(O4045,""[0-9]+""))
),
0
)"),0.0)</f>
        <v>0</v>
      </c>
      <c r="E4045" s="1" t="s">
        <v>18</v>
      </c>
      <c r="F4045" s="1" t="s">
        <v>20</v>
      </c>
      <c r="G4045" s="4" t="b">
        <f t="shared" si="2"/>
        <v>1</v>
      </c>
      <c r="H4045" s="1" t="str">
        <f t="shared" si="3"/>
        <v>Currently Unavailable</v>
      </c>
      <c r="I4045" s="1" t="str">
        <f t="shared" si="4"/>
        <v>No Badges</v>
      </c>
      <c r="J4045" s="3">
        <f t="shared" si="5"/>
        <v>0</v>
      </c>
    </row>
    <row r="4046">
      <c r="A4046" s="1" t="s">
        <v>3079</v>
      </c>
      <c r="B4046" s="3" t="str">
        <f t="shared" si="1"/>
        <v>Unavailable</v>
      </c>
      <c r="C4046" s="3">
        <v>454.0</v>
      </c>
      <c r="D4046" s="3">
        <f>IFERROR(__xludf.DUMMYFUNCTION("IFERROR(
IF(REGEXMATCH(LOWER(O4046),""k""),
VALUE(REGEXEXTRACT(O4046,""[0-9]+""))*1000,
VALUE(REGEXEXTRACT(O4046,""[0-9]+""))
),
0
)"),0.0)</f>
        <v>0</v>
      </c>
      <c r="E4046" s="1" t="s">
        <v>11</v>
      </c>
      <c r="F4046" s="1" t="s">
        <v>20</v>
      </c>
      <c r="G4046" s="4" t="b">
        <f t="shared" si="2"/>
        <v>1</v>
      </c>
      <c r="H4046" s="1" t="str">
        <f t="shared" si="3"/>
        <v>Currently Unavailable</v>
      </c>
      <c r="I4046" s="1" t="str">
        <f t="shared" si="4"/>
        <v>No Badges</v>
      </c>
      <c r="J4046" s="3">
        <f t="shared" si="5"/>
        <v>0</v>
      </c>
    </row>
    <row r="4047">
      <c r="A4047" s="1" t="s">
        <v>3080</v>
      </c>
      <c r="B4047" s="3" t="str">
        <f t="shared" si="1"/>
        <v>Unavailable</v>
      </c>
      <c r="C4047" s="3">
        <v>986.0</v>
      </c>
      <c r="D4047" s="3">
        <f>IFERROR(__xludf.DUMMYFUNCTION("IFERROR(
IF(REGEXMATCH(LOWER(O4047),""k""),
VALUE(REGEXEXTRACT(O4047,""[0-9]+""))*1000,
VALUE(REGEXEXTRACT(O4047,""[0-9]+""))
),
0
)"),0.0)</f>
        <v>0</v>
      </c>
      <c r="E4047" s="1" t="s">
        <v>11</v>
      </c>
      <c r="F4047" s="1" t="s">
        <v>20</v>
      </c>
      <c r="G4047" s="4" t="b">
        <f t="shared" si="2"/>
        <v>1</v>
      </c>
      <c r="H4047" s="1" t="str">
        <f t="shared" si="3"/>
        <v>Currently Unavailable</v>
      </c>
      <c r="I4047" s="1" t="str">
        <f t="shared" si="4"/>
        <v>No Badges</v>
      </c>
      <c r="J4047" s="3">
        <f t="shared" si="5"/>
        <v>0</v>
      </c>
    </row>
    <row r="4048">
      <c r="A4048" s="1" t="s">
        <v>3081</v>
      </c>
      <c r="B4048" s="3" t="str">
        <f t="shared" si="1"/>
        <v>Unavailable</v>
      </c>
      <c r="C4048" s="3">
        <v>180.0</v>
      </c>
      <c r="D4048" s="3">
        <f>IFERROR(__xludf.DUMMYFUNCTION("IFERROR(
IF(REGEXMATCH(LOWER(O4048),""k""),
VALUE(REGEXEXTRACT(O4048,""[0-9]+""))*1000,
VALUE(REGEXEXTRACT(O4048,""[0-9]+""))
),
0
)"),0.0)</f>
        <v>0</v>
      </c>
      <c r="E4048" s="1" t="s">
        <v>11</v>
      </c>
      <c r="F4048" s="1" t="s">
        <v>20</v>
      </c>
      <c r="G4048" s="4" t="b">
        <f t="shared" si="2"/>
        <v>1</v>
      </c>
      <c r="H4048" s="1" t="str">
        <f t="shared" si="3"/>
        <v>Currently Unavailable</v>
      </c>
      <c r="I4048" s="1" t="str">
        <f t="shared" si="4"/>
        <v>No Badges</v>
      </c>
      <c r="J4048" s="3">
        <f t="shared" si="5"/>
        <v>0</v>
      </c>
    </row>
    <row r="4049">
      <c r="A4049" s="1" t="s">
        <v>3082</v>
      </c>
      <c r="B4049" s="3" t="str">
        <f t="shared" si="1"/>
        <v>Unavailable</v>
      </c>
      <c r="C4049" s="5">
        <v>5253.0</v>
      </c>
      <c r="D4049" s="3">
        <f>IFERROR(__xludf.DUMMYFUNCTION("IFERROR(
IF(REGEXMATCH(LOWER(O4049),""k""),
VALUE(REGEXEXTRACT(O4049,""[0-9]+""))*1000,
VALUE(REGEXEXTRACT(O4049,""[0-9]+""))
),
0
)"),0.0)</f>
        <v>0</v>
      </c>
      <c r="E4049" s="1" t="s">
        <v>11</v>
      </c>
      <c r="F4049" s="1" t="s">
        <v>20</v>
      </c>
      <c r="G4049" s="4" t="b">
        <f t="shared" si="2"/>
        <v>1</v>
      </c>
      <c r="H4049" s="1" t="str">
        <f t="shared" si="3"/>
        <v>Currently Unavailable</v>
      </c>
      <c r="I4049" s="1" t="str">
        <f t="shared" si="4"/>
        <v>No Badges</v>
      </c>
      <c r="J4049" s="3">
        <f t="shared" si="5"/>
        <v>0</v>
      </c>
    </row>
    <row r="4050">
      <c r="A4050" s="1" t="s">
        <v>3083</v>
      </c>
      <c r="B4050" s="3" t="str">
        <f t="shared" si="1"/>
        <v>Unavailable</v>
      </c>
      <c r="C4050" s="3">
        <v>46.0</v>
      </c>
      <c r="D4050" s="3">
        <f>IFERROR(__xludf.DUMMYFUNCTION("IFERROR(
IF(REGEXMATCH(LOWER(O4050),""k""),
VALUE(REGEXEXTRACT(O4050,""[0-9]+""))*1000,
VALUE(REGEXEXTRACT(O4050,""[0-9]+""))
),
0
)"),0.0)</f>
        <v>0</v>
      </c>
      <c r="E4050" s="1" t="s">
        <v>11</v>
      </c>
      <c r="F4050" s="1" t="s">
        <v>20</v>
      </c>
      <c r="G4050" s="4" t="b">
        <f t="shared" si="2"/>
        <v>1</v>
      </c>
      <c r="H4050" s="1" t="str">
        <f t="shared" si="3"/>
        <v>Currently Unavailable</v>
      </c>
      <c r="I4050" s="1" t="str">
        <f t="shared" si="4"/>
        <v>No Badges</v>
      </c>
      <c r="J4050" s="3">
        <f t="shared" si="5"/>
        <v>0</v>
      </c>
    </row>
    <row r="4051">
      <c r="A4051" s="1" t="s">
        <v>3084</v>
      </c>
      <c r="B4051" s="3" t="str">
        <f t="shared" si="1"/>
        <v>Unavailable</v>
      </c>
      <c r="C4051" s="3">
        <v>978.0</v>
      </c>
      <c r="D4051" s="3">
        <f>IFERROR(__xludf.DUMMYFUNCTION("IFERROR(
IF(REGEXMATCH(LOWER(O4051),""k""),
VALUE(REGEXEXTRACT(O4051,""[0-9]+""))*1000,
VALUE(REGEXEXTRACT(O4051,""[0-9]+""))
),
0
)"),0.0)</f>
        <v>0</v>
      </c>
      <c r="E4051" s="1" t="s">
        <v>11</v>
      </c>
      <c r="F4051" s="1" t="s">
        <v>20</v>
      </c>
      <c r="G4051" s="4" t="b">
        <f t="shared" si="2"/>
        <v>1</v>
      </c>
      <c r="H4051" s="1" t="str">
        <f t="shared" si="3"/>
        <v>Currently Unavailable</v>
      </c>
      <c r="I4051" s="1" t="str">
        <f t="shared" si="4"/>
        <v>No Badges</v>
      </c>
      <c r="J4051" s="3">
        <f t="shared" si="5"/>
        <v>0</v>
      </c>
    </row>
    <row r="4052">
      <c r="A4052" s="1" t="s">
        <v>3085</v>
      </c>
      <c r="B4052" s="3" t="str">
        <f t="shared" si="1"/>
        <v>Unavailable</v>
      </c>
      <c r="C4052" s="5">
        <v>10219.0</v>
      </c>
      <c r="D4052" s="3">
        <f>IFERROR(__xludf.DUMMYFUNCTION("IFERROR(
IF(REGEXMATCH(LOWER(O4052),""k""),
VALUE(REGEXEXTRACT(O4052,""[0-9]+""))*1000,
VALUE(REGEXEXTRACT(O4052,""[0-9]+""))
),
0
)"),0.0)</f>
        <v>0</v>
      </c>
      <c r="E4052" s="1" t="s">
        <v>11</v>
      </c>
      <c r="F4052" s="1" t="s">
        <v>20</v>
      </c>
      <c r="G4052" s="4" t="b">
        <f t="shared" si="2"/>
        <v>1</v>
      </c>
      <c r="H4052" s="1" t="str">
        <f t="shared" si="3"/>
        <v>Currently Unavailable</v>
      </c>
      <c r="I4052" s="1" t="str">
        <f t="shared" si="4"/>
        <v>No Badges</v>
      </c>
      <c r="J4052" s="3">
        <f t="shared" si="5"/>
        <v>0</v>
      </c>
    </row>
    <row r="4053">
      <c r="A4053" s="1" t="s">
        <v>3086</v>
      </c>
      <c r="B4053" s="3" t="str">
        <f t="shared" si="1"/>
        <v>Unavailable</v>
      </c>
      <c r="C4053" s="5">
        <v>2431.0</v>
      </c>
      <c r="D4053" s="3">
        <f>IFERROR(__xludf.DUMMYFUNCTION("IFERROR(
IF(REGEXMATCH(LOWER(O4053),""k""),
VALUE(REGEXEXTRACT(O4053,""[0-9]+""))*1000,
VALUE(REGEXEXTRACT(O4053,""[0-9]+""))
),
0
)"),0.0)</f>
        <v>0</v>
      </c>
      <c r="E4053" s="1" t="s">
        <v>11</v>
      </c>
      <c r="F4053" s="1" t="s">
        <v>20</v>
      </c>
      <c r="G4053" s="4" t="b">
        <f t="shared" si="2"/>
        <v>1</v>
      </c>
      <c r="H4053" s="1" t="str">
        <f t="shared" si="3"/>
        <v>Currently Unavailable</v>
      </c>
      <c r="I4053" s="1" t="str">
        <f t="shared" si="4"/>
        <v>No Badges</v>
      </c>
      <c r="J4053" s="3">
        <f t="shared" si="5"/>
        <v>0</v>
      </c>
    </row>
    <row r="4054">
      <c r="A4054" s="1" t="s">
        <v>3087</v>
      </c>
      <c r="B4054" s="3" t="str">
        <f t="shared" si="1"/>
        <v>Unavailable</v>
      </c>
      <c r="C4054" s="3">
        <v>154.0</v>
      </c>
      <c r="D4054" s="3">
        <f>IFERROR(__xludf.DUMMYFUNCTION("IFERROR(
IF(REGEXMATCH(LOWER(O4054),""k""),
VALUE(REGEXEXTRACT(O4054,""[0-9]+""))*1000,
VALUE(REGEXEXTRACT(O4054,""[0-9]+""))
),
0
)"),0.0)</f>
        <v>0</v>
      </c>
      <c r="E4054" s="1" t="s">
        <v>11</v>
      </c>
      <c r="F4054" s="1" t="s">
        <v>20</v>
      </c>
      <c r="G4054" s="4" t="b">
        <f t="shared" si="2"/>
        <v>1</v>
      </c>
      <c r="H4054" s="1" t="str">
        <f t="shared" si="3"/>
        <v>Currently Unavailable</v>
      </c>
      <c r="I4054" s="1" t="str">
        <f t="shared" si="4"/>
        <v>No Badges</v>
      </c>
      <c r="J4054" s="3">
        <f t="shared" si="5"/>
        <v>0</v>
      </c>
    </row>
    <row r="4055">
      <c r="A4055" s="1" t="s">
        <v>67</v>
      </c>
      <c r="B4055" s="3" t="str">
        <f t="shared" si="1"/>
        <v>Unavailable</v>
      </c>
      <c r="C4055" s="3">
        <v>264.0</v>
      </c>
      <c r="D4055" s="3">
        <f>IFERROR(__xludf.DUMMYFUNCTION("IFERROR(
IF(REGEXMATCH(LOWER(O4055),""k""),
VALUE(REGEXEXTRACT(O4055,""[0-9]+""))*1000,
VALUE(REGEXEXTRACT(O4055,""[0-9]+""))
),
0
)"),0.0)</f>
        <v>0</v>
      </c>
      <c r="E4055" s="1" t="s">
        <v>11</v>
      </c>
      <c r="F4055" s="1" t="s">
        <v>12</v>
      </c>
      <c r="G4055" s="4" t="b">
        <f t="shared" si="2"/>
        <v>1</v>
      </c>
      <c r="H4055" s="1" t="str">
        <f t="shared" si="3"/>
        <v>Currently Unavailable</v>
      </c>
      <c r="I4055" s="1" t="str">
        <f t="shared" si="4"/>
        <v>No Badges</v>
      </c>
      <c r="J4055" s="3">
        <f t="shared" si="5"/>
        <v>0</v>
      </c>
    </row>
    <row r="4056">
      <c r="A4056" s="1" t="s">
        <v>3088</v>
      </c>
      <c r="B4056" s="3" t="str">
        <f t="shared" si="1"/>
        <v>Unavailable</v>
      </c>
      <c r="C4056" s="3">
        <v>130.0</v>
      </c>
      <c r="D4056" s="3">
        <f>IFERROR(__xludf.DUMMYFUNCTION("IFERROR(
IF(REGEXMATCH(LOWER(O4056),""k""),
VALUE(REGEXEXTRACT(O4056,""[0-9]+""))*1000,
VALUE(REGEXEXTRACT(O4056,""[0-9]+""))
),
0
)"),0.0)</f>
        <v>0</v>
      </c>
      <c r="E4056" s="1" t="s">
        <v>11</v>
      </c>
      <c r="F4056" s="1" t="s">
        <v>20</v>
      </c>
      <c r="G4056" s="4" t="b">
        <f t="shared" si="2"/>
        <v>1</v>
      </c>
      <c r="H4056" s="1" t="str">
        <f t="shared" si="3"/>
        <v>Currently Unavailable</v>
      </c>
      <c r="I4056" s="1" t="str">
        <f t="shared" si="4"/>
        <v>No Badges</v>
      </c>
      <c r="J4056" s="3">
        <f t="shared" si="5"/>
        <v>0</v>
      </c>
    </row>
    <row r="4057">
      <c r="A4057" s="1" t="s">
        <v>3089</v>
      </c>
      <c r="B4057" s="3" t="str">
        <f t="shared" si="1"/>
        <v>Unavailable</v>
      </c>
      <c r="C4057" s="5">
        <v>2045.0</v>
      </c>
      <c r="D4057" s="3">
        <f>IFERROR(__xludf.DUMMYFUNCTION("IFERROR(
IF(REGEXMATCH(LOWER(O4057),""k""),
VALUE(REGEXEXTRACT(O4057,""[0-9]+""))*1000,
VALUE(REGEXEXTRACT(O4057,""[0-9]+""))
),
0
)"),0.0)</f>
        <v>0</v>
      </c>
      <c r="E4057" s="1" t="s">
        <v>11</v>
      </c>
      <c r="F4057" s="1" t="s">
        <v>20</v>
      </c>
      <c r="G4057" s="4" t="b">
        <f t="shared" si="2"/>
        <v>1</v>
      </c>
      <c r="H4057" s="1" t="str">
        <f t="shared" si="3"/>
        <v>Currently Unavailable</v>
      </c>
      <c r="I4057" s="1" t="str">
        <f t="shared" si="4"/>
        <v>No Badges</v>
      </c>
      <c r="J4057" s="3">
        <f t="shared" si="5"/>
        <v>0</v>
      </c>
    </row>
    <row r="4058">
      <c r="A4058" s="1" t="s">
        <v>3089</v>
      </c>
      <c r="B4058" s="3" t="str">
        <f t="shared" si="1"/>
        <v>Unavailable</v>
      </c>
      <c r="C4058" s="5">
        <v>2045.0</v>
      </c>
      <c r="D4058" s="3">
        <f>IFERROR(__xludf.DUMMYFUNCTION("IFERROR(
IF(REGEXMATCH(LOWER(O4058),""k""),
VALUE(REGEXEXTRACT(O4058,""[0-9]+""))*1000,
VALUE(REGEXEXTRACT(O4058,""[0-9]+""))
),
0
)"),0.0)</f>
        <v>0</v>
      </c>
      <c r="E4058" s="1" t="s">
        <v>11</v>
      </c>
      <c r="F4058" s="1" t="s">
        <v>20</v>
      </c>
      <c r="G4058" s="4" t="b">
        <f t="shared" si="2"/>
        <v>1</v>
      </c>
      <c r="H4058" s="1" t="str">
        <f t="shared" si="3"/>
        <v>Currently Unavailable</v>
      </c>
      <c r="I4058" s="1" t="str">
        <f t="shared" si="4"/>
        <v>No Badges</v>
      </c>
      <c r="J4058" s="3">
        <f t="shared" si="5"/>
        <v>0</v>
      </c>
    </row>
    <row r="4059">
      <c r="A4059" s="1" t="s">
        <v>3090</v>
      </c>
      <c r="B4059" s="3" t="str">
        <f t="shared" si="1"/>
        <v>Unavailable</v>
      </c>
      <c r="C4059" s="3">
        <v>791.0</v>
      </c>
      <c r="D4059" s="3">
        <f>IFERROR(__xludf.DUMMYFUNCTION("IFERROR(
IF(REGEXMATCH(LOWER(O4059),""k""),
VALUE(REGEXEXTRACT(O4059,""[0-9]+""))*1000,
VALUE(REGEXEXTRACT(O4059,""[0-9]+""))
),
0
)"),0.0)</f>
        <v>0</v>
      </c>
      <c r="E4059" s="1" t="s">
        <v>11</v>
      </c>
      <c r="F4059" s="1" t="s">
        <v>20</v>
      </c>
      <c r="G4059" s="4" t="b">
        <f t="shared" si="2"/>
        <v>1</v>
      </c>
      <c r="H4059" s="1" t="str">
        <f t="shared" si="3"/>
        <v>Currently Unavailable</v>
      </c>
      <c r="I4059" s="1" t="str">
        <f t="shared" si="4"/>
        <v>No Badges</v>
      </c>
      <c r="J4059" s="3">
        <f t="shared" si="5"/>
        <v>0</v>
      </c>
    </row>
    <row r="4060">
      <c r="A4060" s="1" t="s">
        <v>3091</v>
      </c>
      <c r="B4060" s="3" t="str">
        <f t="shared" si="1"/>
        <v>Unavailable</v>
      </c>
      <c r="C4060" s="3">
        <v>355.0</v>
      </c>
      <c r="D4060" s="3">
        <f>IFERROR(__xludf.DUMMYFUNCTION("IFERROR(
IF(REGEXMATCH(LOWER(O4060),""k""),
VALUE(REGEXEXTRACT(O4060,""[0-9]+""))*1000,
VALUE(REGEXEXTRACT(O4060,""[0-9]+""))
),
0
)"),0.0)</f>
        <v>0</v>
      </c>
      <c r="E4060" s="1" t="s">
        <v>11</v>
      </c>
      <c r="F4060" s="1" t="s">
        <v>20</v>
      </c>
      <c r="G4060" s="4" t="b">
        <f t="shared" si="2"/>
        <v>1</v>
      </c>
      <c r="H4060" s="1" t="str">
        <f t="shared" si="3"/>
        <v>Currently Unavailable</v>
      </c>
      <c r="I4060" s="1" t="str">
        <f t="shared" si="4"/>
        <v>No Badges</v>
      </c>
      <c r="J4060" s="3">
        <f t="shared" si="5"/>
        <v>0</v>
      </c>
    </row>
    <row r="4061">
      <c r="A4061" s="1" t="s">
        <v>3092</v>
      </c>
      <c r="B4061" s="3" t="str">
        <f t="shared" si="1"/>
        <v>Unavailable</v>
      </c>
      <c r="C4061" s="5">
        <v>2312.0</v>
      </c>
      <c r="D4061" s="3">
        <f>IFERROR(__xludf.DUMMYFUNCTION("IFERROR(
IF(REGEXMATCH(LOWER(O4061),""k""),
VALUE(REGEXEXTRACT(O4061,""[0-9]+""))*1000,
VALUE(REGEXEXTRACT(O4061,""[0-9]+""))
),
0
)"),0.0)</f>
        <v>0</v>
      </c>
      <c r="E4061" s="1" t="s">
        <v>11</v>
      </c>
      <c r="F4061" s="1" t="s">
        <v>20</v>
      </c>
      <c r="G4061" s="4" t="b">
        <f t="shared" si="2"/>
        <v>1</v>
      </c>
      <c r="H4061" s="1" t="str">
        <f t="shared" si="3"/>
        <v>Currently Unavailable</v>
      </c>
      <c r="I4061" s="1" t="str">
        <f t="shared" si="4"/>
        <v>No Badges</v>
      </c>
      <c r="J4061" s="3">
        <f t="shared" si="5"/>
        <v>0</v>
      </c>
    </row>
    <row r="4062">
      <c r="A4062" s="1" t="s">
        <v>3093</v>
      </c>
      <c r="B4062" s="3" t="str">
        <f t="shared" si="1"/>
        <v>Unavailable</v>
      </c>
      <c r="C4062" s="3">
        <v>263.0</v>
      </c>
      <c r="D4062" s="3">
        <f>IFERROR(__xludf.DUMMYFUNCTION("IFERROR(
IF(REGEXMATCH(LOWER(O4062),""k""),
VALUE(REGEXEXTRACT(O4062,""[0-9]+""))*1000,
VALUE(REGEXEXTRACT(O4062,""[0-9]+""))
),
0
)"),0.0)</f>
        <v>0</v>
      </c>
      <c r="E4062" s="1" t="s">
        <v>11</v>
      </c>
      <c r="F4062" s="1" t="s">
        <v>20</v>
      </c>
      <c r="G4062" s="4" t="b">
        <f t="shared" si="2"/>
        <v>1</v>
      </c>
      <c r="H4062" s="1" t="str">
        <f t="shared" si="3"/>
        <v>Currently Unavailable</v>
      </c>
      <c r="I4062" s="1" t="str">
        <f t="shared" si="4"/>
        <v>No Badges</v>
      </c>
      <c r="J4062" s="3">
        <f t="shared" si="5"/>
        <v>0</v>
      </c>
    </row>
    <row r="4063">
      <c r="A4063" s="1" t="s">
        <v>3094</v>
      </c>
      <c r="B4063" s="3" t="str">
        <f t="shared" si="1"/>
        <v>Unavailable</v>
      </c>
      <c r="C4063" s="3">
        <v>837.0</v>
      </c>
      <c r="D4063" s="3">
        <f>IFERROR(__xludf.DUMMYFUNCTION("IFERROR(
IF(REGEXMATCH(LOWER(O4063),""k""),
VALUE(REGEXEXTRACT(O4063,""[0-9]+""))*1000,
VALUE(REGEXEXTRACT(O4063,""[0-9]+""))
),
0
)"),0.0)</f>
        <v>0</v>
      </c>
      <c r="E4063" s="1" t="s">
        <v>11</v>
      </c>
      <c r="F4063" s="1" t="s">
        <v>20</v>
      </c>
      <c r="G4063" s="4" t="b">
        <f t="shared" si="2"/>
        <v>1</v>
      </c>
      <c r="H4063" s="1" t="str">
        <f t="shared" si="3"/>
        <v>Currently Unavailable</v>
      </c>
      <c r="I4063" s="1" t="str">
        <f t="shared" si="4"/>
        <v>No Badges</v>
      </c>
      <c r="J4063" s="3">
        <f t="shared" si="5"/>
        <v>0</v>
      </c>
    </row>
    <row r="4064">
      <c r="A4064" s="1" t="s">
        <v>3095</v>
      </c>
      <c r="B4064" s="3" t="str">
        <f t="shared" si="1"/>
        <v>Unavailable</v>
      </c>
      <c r="C4064" s="3">
        <v>237.0</v>
      </c>
      <c r="D4064" s="3">
        <f>IFERROR(__xludf.DUMMYFUNCTION("IFERROR(
IF(REGEXMATCH(LOWER(O4064),""k""),
VALUE(REGEXEXTRACT(O4064,""[0-9]+""))*1000,
VALUE(REGEXEXTRACT(O4064,""[0-9]+""))
),
0
)"),0.0)</f>
        <v>0</v>
      </c>
      <c r="E4064" s="1" t="s">
        <v>11</v>
      </c>
      <c r="F4064" s="1" t="s">
        <v>20</v>
      </c>
      <c r="G4064" s="4" t="b">
        <f t="shared" si="2"/>
        <v>1</v>
      </c>
      <c r="H4064" s="1" t="str">
        <f t="shared" si="3"/>
        <v>Currently Unavailable</v>
      </c>
      <c r="I4064" s="1" t="str">
        <f t="shared" si="4"/>
        <v>No Badges</v>
      </c>
      <c r="J4064" s="3">
        <f t="shared" si="5"/>
        <v>0</v>
      </c>
    </row>
    <row r="4065">
      <c r="A4065" s="1" t="s">
        <v>3096</v>
      </c>
      <c r="B4065" s="3" t="str">
        <f t="shared" si="1"/>
        <v>Unavailable</v>
      </c>
      <c r="C4065" s="3">
        <v>288.0</v>
      </c>
      <c r="D4065" s="3">
        <f>IFERROR(__xludf.DUMMYFUNCTION("IFERROR(
IF(REGEXMATCH(LOWER(O4065),""k""),
VALUE(REGEXEXTRACT(O4065,""[0-9]+""))*1000,
VALUE(REGEXEXTRACT(O4065,""[0-9]+""))
),
0
)"),0.0)</f>
        <v>0</v>
      </c>
      <c r="E4065" s="1" t="s">
        <v>11</v>
      </c>
      <c r="F4065" s="1" t="s">
        <v>20</v>
      </c>
      <c r="G4065" s="4" t="b">
        <f t="shared" si="2"/>
        <v>1</v>
      </c>
      <c r="H4065" s="1" t="str">
        <f t="shared" si="3"/>
        <v>Currently Unavailable</v>
      </c>
      <c r="I4065" s="1" t="str">
        <f t="shared" si="4"/>
        <v>No Badges</v>
      </c>
      <c r="J4065" s="3">
        <f t="shared" si="5"/>
        <v>0</v>
      </c>
    </row>
    <row r="4066">
      <c r="A4066" s="1" t="s">
        <v>3097</v>
      </c>
      <c r="B4066" s="3" t="str">
        <f t="shared" si="1"/>
        <v>Unavailable</v>
      </c>
      <c r="C4066" s="5">
        <v>3139.0</v>
      </c>
      <c r="D4066" s="3">
        <f>IFERROR(__xludf.DUMMYFUNCTION("IFERROR(
IF(REGEXMATCH(LOWER(O4066),""k""),
VALUE(REGEXEXTRACT(O4066,""[0-9]+""))*1000,
VALUE(REGEXEXTRACT(O4066,""[0-9]+""))
),
0
)"),0.0)</f>
        <v>0</v>
      </c>
      <c r="E4066" s="1" t="s">
        <v>11</v>
      </c>
      <c r="F4066" s="1" t="s">
        <v>20</v>
      </c>
      <c r="G4066" s="4" t="b">
        <f t="shared" si="2"/>
        <v>1</v>
      </c>
      <c r="H4066" s="1" t="str">
        <f t="shared" si="3"/>
        <v>Currently Unavailable</v>
      </c>
      <c r="I4066" s="1" t="str">
        <f t="shared" si="4"/>
        <v>No Badges</v>
      </c>
      <c r="J4066" s="3">
        <f t="shared" si="5"/>
        <v>0</v>
      </c>
    </row>
    <row r="4067">
      <c r="A4067" s="1" t="s">
        <v>3098</v>
      </c>
      <c r="B4067" s="3" t="str">
        <f t="shared" si="1"/>
        <v>Unavailable</v>
      </c>
      <c r="C4067" s="5">
        <v>4525.0</v>
      </c>
      <c r="D4067" s="3">
        <f>IFERROR(__xludf.DUMMYFUNCTION("IFERROR(
IF(REGEXMATCH(LOWER(O4067),""k""),
VALUE(REGEXEXTRACT(O4067,""[0-9]+""))*1000,
VALUE(REGEXEXTRACT(O4067,""[0-9]+""))
),
0
)"),0.0)</f>
        <v>0</v>
      </c>
      <c r="E4067" s="1" t="s">
        <v>11</v>
      </c>
      <c r="F4067" s="1" t="s">
        <v>20</v>
      </c>
      <c r="G4067" s="4" t="b">
        <f t="shared" si="2"/>
        <v>1</v>
      </c>
      <c r="H4067" s="1" t="str">
        <f t="shared" si="3"/>
        <v>Currently Unavailable</v>
      </c>
      <c r="I4067" s="1" t="str">
        <f t="shared" si="4"/>
        <v>No Badges</v>
      </c>
      <c r="J4067" s="3">
        <f t="shared" si="5"/>
        <v>0</v>
      </c>
    </row>
    <row r="4068">
      <c r="A4068" s="1" t="s">
        <v>3099</v>
      </c>
      <c r="B4068" s="3" t="str">
        <f t="shared" si="1"/>
        <v>Unavailable</v>
      </c>
      <c r="C4068" s="3">
        <v>650.0</v>
      </c>
      <c r="D4068" s="3">
        <f>IFERROR(__xludf.DUMMYFUNCTION("IFERROR(
IF(REGEXMATCH(LOWER(O4068),""k""),
VALUE(REGEXEXTRACT(O4068,""[0-9]+""))*1000,
VALUE(REGEXEXTRACT(O4068,""[0-9]+""))
),
0
)"),0.0)</f>
        <v>0</v>
      </c>
      <c r="E4068" s="1" t="s">
        <v>11</v>
      </c>
      <c r="F4068" s="1" t="s">
        <v>20</v>
      </c>
      <c r="G4068" s="4" t="b">
        <f t="shared" si="2"/>
        <v>1</v>
      </c>
      <c r="H4068" s="1" t="str">
        <f t="shared" si="3"/>
        <v>Currently Unavailable</v>
      </c>
      <c r="I4068" s="1" t="str">
        <f t="shared" si="4"/>
        <v>No Badges</v>
      </c>
      <c r="J4068" s="3">
        <f t="shared" si="5"/>
        <v>0</v>
      </c>
    </row>
    <row r="4069">
      <c r="A4069" s="1" t="s">
        <v>3100</v>
      </c>
      <c r="B4069" s="3" t="str">
        <f t="shared" si="1"/>
        <v>Unavailable</v>
      </c>
      <c r="C4069" s="3">
        <v>415.0</v>
      </c>
      <c r="D4069" s="3">
        <f>IFERROR(__xludf.DUMMYFUNCTION("IFERROR(
IF(REGEXMATCH(LOWER(O4069),""k""),
VALUE(REGEXEXTRACT(O4069,""[0-9]+""))*1000,
VALUE(REGEXEXTRACT(O4069,""[0-9]+""))
),
0
)"),0.0)</f>
        <v>0</v>
      </c>
      <c r="E4069" s="1" t="s">
        <v>11</v>
      </c>
      <c r="F4069" s="1" t="s">
        <v>20</v>
      </c>
      <c r="G4069" s="4" t="b">
        <f t="shared" si="2"/>
        <v>1</v>
      </c>
      <c r="H4069" s="1" t="str">
        <f t="shared" si="3"/>
        <v>Currently Unavailable</v>
      </c>
      <c r="I4069" s="1" t="str">
        <f t="shared" si="4"/>
        <v>No Badges</v>
      </c>
      <c r="J4069" s="3">
        <f t="shared" si="5"/>
        <v>0</v>
      </c>
    </row>
    <row r="4070">
      <c r="A4070" s="1" t="s">
        <v>701</v>
      </c>
      <c r="B4070" s="3" t="str">
        <f t="shared" si="1"/>
        <v>Unavailable</v>
      </c>
      <c r="C4070" s="3">
        <v>8.0</v>
      </c>
      <c r="D4070" s="3">
        <f>IFERROR(__xludf.DUMMYFUNCTION("IFERROR(
IF(REGEXMATCH(LOWER(O4070),""k""),
VALUE(REGEXEXTRACT(O4070,""[0-9]+""))*1000,
VALUE(REGEXEXTRACT(O4070,""[0-9]+""))
),
0
)"),0.0)</f>
        <v>0</v>
      </c>
      <c r="E4070" s="1" t="s">
        <v>11</v>
      </c>
      <c r="F4070" s="1" t="s">
        <v>12</v>
      </c>
      <c r="G4070" s="4" t="b">
        <f t="shared" si="2"/>
        <v>1</v>
      </c>
      <c r="H4070" s="1" t="str">
        <f t="shared" si="3"/>
        <v>Currently Unavailable</v>
      </c>
      <c r="I4070" s="1" t="str">
        <f t="shared" si="4"/>
        <v>No Badges</v>
      </c>
      <c r="J4070" s="3">
        <f t="shared" si="5"/>
        <v>0</v>
      </c>
    </row>
    <row r="4071">
      <c r="A4071" s="1" t="s">
        <v>3101</v>
      </c>
      <c r="B4071" s="3" t="str">
        <f t="shared" si="1"/>
        <v>Unavailable</v>
      </c>
      <c r="C4071" s="3">
        <v>37.0</v>
      </c>
      <c r="D4071" s="3">
        <f>IFERROR(__xludf.DUMMYFUNCTION("IFERROR(
IF(REGEXMATCH(LOWER(O4071),""k""),
VALUE(REGEXEXTRACT(O4071,""[0-9]+""))*1000,
VALUE(REGEXEXTRACT(O4071,""[0-9]+""))
),
0
)"),0.0)</f>
        <v>0</v>
      </c>
      <c r="E4071" s="1" t="s">
        <v>11</v>
      </c>
      <c r="F4071" s="1" t="s">
        <v>20</v>
      </c>
      <c r="G4071" s="4" t="b">
        <f t="shared" si="2"/>
        <v>1</v>
      </c>
      <c r="H4071" s="1" t="str">
        <f t="shared" si="3"/>
        <v>Currently Unavailable</v>
      </c>
      <c r="I4071" s="1" t="str">
        <f t="shared" si="4"/>
        <v>No Badges</v>
      </c>
      <c r="J4071" s="3">
        <f t="shared" si="5"/>
        <v>0</v>
      </c>
    </row>
    <row r="4072">
      <c r="A4072" s="1" t="s">
        <v>40</v>
      </c>
      <c r="B4072" s="3" t="str">
        <f t="shared" si="1"/>
        <v>Unavailable</v>
      </c>
      <c r="C4072" s="3">
        <v>171.0</v>
      </c>
      <c r="D4072" s="3">
        <f>IFERROR(__xludf.DUMMYFUNCTION("IFERROR(
IF(REGEXMATCH(LOWER(O4072),""k""),
VALUE(REGEXEXTRACT(O4072,""[0-9]+""))*1000,
VALUE(REGEXEXTRACT(O4072,""[0-9]+""))
),
0
)"),0.0)</f>
        <v>0</v>
      </c>
      <c r="E4072" s="1" t="s">
        <v>11</v>
      </c>
      <c r="F4072" s="1" t="s">
        <v>12</v>
      </c>
      <c r="G4072" s="4" t="b">
        <f t="shared" si="2"/>
        <v>1</v>
      </c>
      <c r="H4072" s="1" t="str">
        <f t="shared" si="3"/>
        <v>Currently Unavailable</v>
      </c>
      <c r="I4072" s="1" t="str">
        <f t="shared" si="4"/>
        <v>No Badges</v>
      </c>
      <c r="J4072" s="3">
        <f t="shared" si="5"/>
        <v>0</v>
      </c>
    </row>
    <row r="4073">
      <c r="A4073" s="1" t="s">
        <v>3102</v>
      </c>
      <c r="B4073" s="3" t="str">
        <f t="shared" si="1"/>
        <v>Unavailable</v>
      </c>
      <c r="C4073" s="3">
        <v>902.0</v>
      </c>
      <c r="D4073" s="3">
        <f>IFERROR(__xludf.DUMMYFUNCTION("IFERROR(
IF(REGEXMATCH(LOWER(O4073),""k""),
VALUE(REGEXEXTRACT(O4073,""[0-9]+""))*1000,
VALUE(REGEXEXTRACT(O4073,""[0-9]+""))
),
0
)"),0.0)</f>
        <v>0</v>
      </c>
      <c r="E4073" s="1" t="s">
        <v>11</v>
      </c>
      <c r="F4073" s="1" t="s">
        <v>20</v>
      </c>
      <c r="G4073" s="4" t="b">
        <f t="shared" si="2"/>
        <v>1</v>
      </c>
      <c r="H4073" s="1" t="str">
        <f t="shared" si="3"/>
        <v>Currently Unavailable</v>
      </c>
      <c r="I4073" s="1" t="str">
        <f t="shared" si="4"/>
        <v>No Badges</v>
      </c>
      <c r="J4073" s="3">
        <f t="shared" si="5"/>
        <v>0</v>
      </c>
    </row>
    <row r="4074">
      <c r="A4074" s="1" t="s">
        <v>3103</v>
      </c>
      <c r="B4074" s="3" t="str">
        <f t="shared" si="1"/>
        <v>Unavailable</v>
      </c>
      <c r="C4074" s="3">
        <v>235.0</v>
      </c>
      <c r="D4074" s="3">
        <f>IFERROR(__xludf.DUMMYFUNCTION("IFERROR(
IF(REGEXMATCH(LOWER(O4074),""k""),
VALUE(REGEXEXTRACT(O4074,""[0-9]+""))*1000,
VALUE(REGEXEXTRACT(O4074,""[0-9]+""))
),
0
)"),0.0)</f>
        <v>0</v>
      </c>
      <c r="E4074" s="1" t="s">
        <v>11</v>
      </c>
      <c r="F4074" s="1" t="s">
        <v>20</v>
      </c>
      <c r="G4074" s="4" t="b">
        <f t="shared" si="2"/>
        <v>1</v>
      </c>
      <c r="H4074" s="1" t="str">
        <f t="shared" si="3"/>
        <v>Currently Unavailable</v>
      </c>
      <c r="I4074" s="1" t="str">
        <f t="shared" si="4"/>
        <v>No Badges</v>
      </c>
      <c r="J4074" s="3">
        <f t="shared" si="5"/>
        <v>0</v>
      </c>
    </row>
    <row r="4075">
      <c r="A4075" s="1" t="s">
        <v>69</v>
      </c>
      <c r="B4075" s="3" t="str">
        <f t="shared" si="1"/>
        <v>Unavailable</v>
      </c>
      <c r="C4075" s="3">
        <v>45.0</v>
      </c>
      <c r="D4075" s="3">
        <f>IFERROR(__xludf.DUMMYFUNCTION("IFERROR(
IF(REGEXMATCH(LOWER(O4075),""k""),
VALUE(REGEXEXTRACT(O4075,""[0-9]+""))*1000,
VALUE(REGEXEXTRACT(O4075,""[0-9]+""))
),
0
)"),0.0)</f>
        <v>0</v>
      </c>
      <c r="E4075" s="1" t="s">
        <v>11</v>
      </c>
      <c r="F4075" s="1" t="s">
        <v>12</v>
      </c>
      <c r="G4075" s="4" t="b">
        <f t="shared" si="2"/>
        <v>1</v>
      </c>
      <c r="H4075" s="1" t="str">
        <f t="shared" si="3"/>
        <v>Currently Unavailable</v>
      </c>
      <c r="I4075" s="1" t="str">
        <f t="shared" si="4"/>
        <v>No Badges</v>
      </c>
      <c r="J4075" s="3">
        <f t="shared" si="5"/>
        <v>0</v>
      </c>
    </row>
    <row r="4076">
      <c r="A4076" s="1" t="s">
        <v>3104</v>
      </c>
      <c r="B4076" s="3" t="str">
        <f t="shared" si="1"/>
        <v>Unavailable</v>
      </c>
      <c r="C4076" s="3">
        <v>708.0</v>
      </c>
      <c r="D4076" s="3">
        <f>IFERROR(__xludf.DUMMYFUNCTION("IFERROR(
IF(REGEXMATCH(LOWER(O4076),""k""),
VALUE(REGEXEXTRACT(O4076,""[0-9]+""))*1000,
VALUE(REGEXEXTRACT(O4076,""[0-9]+""))
),
0
)"),0.0)</f>
        <v>0</v>
      </c>
      <c r="E4076" s="1" t="s">
        <v>11</v>
      </c>
      <c r="F4076" s="1" t="s">
        <v>20</v>
      </c>
      <c r="G4076" s="4" t="b">
        <f t="shared" si="2"/>
        <v>1</v>
      </c>
      <c r="H4076" s="1" t="str">
        <f t="shared" si="3"/>
        <v>Currently Unavailable</v>
      </c>
      <c r="I4076" s="1" t="str">
        <f t="shared" si="4"/>
        <v>No Badges</v>
      </c>
      <c r="J4076" s="3">
        <f t="shared" si="5"/>
        <v>0</v>
      </c>
    </row>
    <row r="4077">
      <c r="A4077" s="1" t="s">
        <v>3105</v>
      </c>
      <c r="B4077" s="3" t="str">
        <f t="shared" si="1"/>
        <v>Unavailable</v>
      </c>
      <c r="C4077" s="3">
        <v>236.0</v>
      </c>
      <c r="D4077" s="3">
        <f>IFERROR(__xludf.DUMMYFUNCTION("IFERROR(
IF(REGEXMATCH(LOWER(O4077),""k""),
VALUE(REGEXEXTRACT(O4077,""[0-9]+""))*1000,
VALUE(REGEXEXTRACT(O4077,""[0-9]+""))
),
0
)"),0.0)</f>
        <v>0</v>
      </c>
      <c r="E4077" s="1" t="s">
        <v>11</v>
      </c>
      <c r="F4077" s="1" t="s">
        <v>20</v>
      </c>
      <c r="G4077" s="4" t="b">
        <f t="shared" si="2"/>
        <v>1</v>
      </c>
      <c r="H4077" s="1" t="str">
        <f t="shared" si="3"/>
        <v>Currently Unavailable</v>
      </c>
      <c r="I4077" s="1" t="str">
        <f t="shared" si="4"/>
        <v>No Badges</v>
      </c>
      <c r="J4077" s="3">
        <f t="shared" si="5"/>
        <v>0</v>
      </c>
    </row>
    <row r="4078">
      <c r="A4078" s="1" t="s">
        <v>3106</v>
      </c>
      <c r="B4078" s="3" t="str">
        <f t="shared" si="1"/>
        <v>Unavailable</v>
      </c>
      <c r="C4078" s="3">
        <v>280.0</v>
      </c>
      <c r="D4078" s="3">
        <f>IFERROR(__xludf.DUMMYFUNCTION("IFERROR(
IF(REGEXMATCH(LOWER(O4078),""k""),
VALUE(REGEXEXTRACT(O4078,""[0-9]+""))*1000,
VALUE(REGEXEXTRACT(O4078,""[0-9]+""))
),
0
)"),0.0)</f>
        <v>0</v>
      </c>
      <c r="E4078" s="1" t="s">
        <v>11</v>
      </c>
      <c r="F4078" s="1" t="s">
        <v>20</v>
      </c>
      <c r="G4078" s="4" t="b">
        <f t="shared" si="2"/>
        <v>1</v>
      </c>
      <c r="H4078" s="1" t="str">
        <f t="shared" si="3"/>
        <v>Currently Unavailable</v>
      </c>
      <c r="I4078" s="1" t="str">
        <f t="shared" si="4"/>
        <v>No Badges</v>
      </c>
      <c r="J4078" s="3">
        <f t="shared" si="5"/>
        <v>0</v>
      </c>
    </row>
    <row r="4079">
      <c r="A4079" s="1" t="s">
        <v>3107</v>
      </c>
      <c r="B4079" s="3" t="str">
        <f t="shared" si="1"/>
        <v>Unavailable</v>
      </c>
      <c r="C4079" s="5">
        <v>2649.0</v>
      </c>
      <c r="D4079" s="3">
        <f>IFERROR(__xludf.DUMMYFUNCTION("IFERROR(
IF(REGEXMATCH(LOWER(O4079),""k""),
VALUE(REGEXEXTRACT(O4079,""[0-9]+""))*1000,
VALUE(REGEXEXTRACT(O4079,""[0-9]+""))
),
0
)"),0.0)</f>
        <v>0</v>
      </c>
      <c r="E4079" s="1" t="s">
        <v>11</v>
      </c>
      <c r="F4079" s="1" t="s">
        <v>20</v>
      </c>
      <c r="G4079" s="4" t="b">
        <f t="shared" si="2"/>
        <v>1</v>
      </c>
      <c r="H4079" s="1" t="str">
        <f t="shared" si="3"/>
        <v>Currently Unavailable</v>
      </c>
      <c r="I4079" s="1" t="str">
        <f t="shared" si="4"/>
        <v>No Badges</v>
      </c>
      <c r="J4079" s="3">
        <f t="shared" si="5"/>
        <v>0</v>
      </c>
    </row>
    <row r="4080">
      <c r="A4080" s="1" t="s">
        <v>799</v>
      </c>
      <c r="B4080" s="3" t="str">
        <f t="shared" si="1"/>
        <v>Unavailable</v>
      </c>
      <c r="C4080" s="3">
        <v>101.0</v>
      </c>
      <c r="D4080" s="3">
        <f>IFERROR(__xludf.DUMMYFUNCTION("IFERROR(
IF(REGEXMATCH(LOWER(O4080),""k""),
VALUE(REGEXEXTRACT(O4080,""[0-9]+""))*1000,
VALUE(REGEXEXTRACT(O4080,""[0-9]+""))
),
0
)"),0.0)</f>
        <v>0</v>
      </c>
      <c r="E4080" s="1" t="s">
        <v>11</v>
      </c>
      <c r="F4080" s="1" t="s">
        <v>20</v>
      </c>
      <c r="G4080" s="4" t="b">
        <f t="shared" si="2"/>
        <v>1</v>
      </c>
      <c r="H4080" s="1" t="str">
        <f t="shared" si="3"/>
        <v>Currently Unavailable</v>
      </c>
      <c r="I4080" s="1" t="str">
        <f t="shared" si="4"/>
        <v>No Badges</v>
      </c>
      <c r="J4080" s="3">
        <f t="shared" si="5"/>
        <v>0</v>
      </c>
    </row>
    <row r="4081">
      <c r="A4081" s="1" t="s">
        <v>3108</v>
      </c>
      <c r="B4081" s="3" t="str">
        <f t="shared" si="1"/>
        <v>Unavailable</v>
      </c>
      <c r="C4081" s="3">
        <v>836.0</v>
      </c>
      <c r="D4081" s="3">
        <f>IFERROR(__xludf.DUMMYFUNCTION("IFERROR(
IF(REGEXMATCH(LOWER(O4081),""k""),
VALUE(REGEXEXTRACT(O4081,""[0-9]+""))*1000,
VALUE(REGEXEXTRACT(O4081,""[0-9]+""))
),
0
)"),0.0)</f>
        <v>0</v>
      </c>
      <c r="E4081" s="1" t="s">
        <v>11</v>
      </c>
      <c r="F4081" s="1" t="s">
        <v>20</v>
      </c>
      <c r="G4081" s="4" t="b">
        <f t="shared" si="2"/>
        <v>1</v>
      </c>
      <c r="H4081" s="1" t="str">
        <f t="shared" si="3"/>
        <v>Currently Unavailable</v>
      </c>
      <c r="I4081" s="1" t="str">
        <f t="shared" si="4"/>
        <v>No Badges</v>
      </c>
      <c r="J4081" s="3">
        <f t="shared" si="5"/>
        <v>0</v>
      </c>
    </row>
    <row r="4082">
      <c r="A4082" s="1" t="s">
        <v>3109</v>
      </c>
      <c r="B4082" s="3" t="str">
        <f t="shared" si="1"/>
        <v>Unavailable</v>
      </c>
      <c r="C4082" s="5">
        <v>1723.0</v>
      </c>
      <c r="D4082" s="3">
        <f>IFERROR(__xludf.DUMMYFUNCTION("IFERROR(
IF(REGEXMATCH(LOWER(O4082),""k""),
VALUE(REGEXEXTRACT(O4082,""[0-9]+""))*1000,
VALUE(REGEXEXTRACT(O4082,""[0-9]+""))
),
0
)"),0.0)</f>
        <v>0</v>
      </c>
      <c r="E4082" s="1" t="s">
        <v>11</v>
      </c>
      <c r="F4082" s="1" t="s">
        <v>20</v>
      </c>
      <c r="G4082" s="4" t="b">
        <f t="shared" si="2"/>
        <v>1</v>
      </c>
      <c r="H4082" s="1" t="str">
        <f t="shared" si="3"/>
        <v>Currently Unavailable</v>
      </c>
      <c r="I4082" s="1" t="str">
        <f t="shared" si="4"/>
        <v>No Badges</v>
      </c>
      <c r="J4082" s="3">
        <f t="shared" si="5"/>
        <v>0</v>
      </c>
    </row>
    <row r="4083">
      <c r="A4083" s="1" t="s">
        <v>3110</v>
      </c>
      <c r="B4083" s="3" t="str">
        <f t="shared" si="1"/>
        <v>Unavailable</v>
      </c>
      <c r="C4083" s="3">
        <v>519.0</v>
      </c>
      <c r="D4083" s="3">
        <f>IFERROR(__xludf.DUMMYFUNCTION("IFERROR(
IF(REGEXMATCH(LOWER(O4083),""k""),
VALUE(REGEXEXTRACT(O4083,""[0-9]+""))*1000,
VALUE(REGEXEXTRACT(O4083,""[0-9]+""))
),
0
)"),0.0)</f>
        <v>0</v>
      </c>
      <c r="E4083" s="1" t="s">
        <v>11</v>
      </c>
      <c r="F4083" s="1" t="s">
        <v>20</v>
      </c>
      <c r="G4083" s="4" t="b">
        <f t="shared" si="2"/>
        <v>1</v>
      </c>
      <c r="H4083" s="1" t="str">
        <f t="shared" si="3"/>
        <v>Currently Unavailable</v>
      </c>
      <c r="I4083" s="1" t="str">
        <f t="shared" si="4"/>
        <v>No Badges</v>
      </c>
      <c r="J4083" s="3">
        <f t="shared" si="5"/>
        <v>0</v>
      </c>
    </row>
    <row r="4084">
      <c r="A4084" s="1" t="s">
        <v>3111</v>
      </c>
      <c r="B4084" s="3" t="str">
        <f t="shared" si="1"/>
        <v>Unavailable</v>
      </c>
      <c r="C4084" s="5">
        <v>9833.0</v>
      </c>
      <c r="D4084" s="3">
        <f>IFERROR(__xludf.DUMMYFUNCTION("IFERROR(
IF(REGEXMATCH(LOWER(O4084),""k""),
VALUE(REGEXEXTRACT(O4084,""[0-9]+""))*1000,
VALUE(REGEXEXTRACT(O4084,""[0-9]+""))
),
0
)"),0.0)</f>
        <v>0</v>
      </c>
      <c r="E4084" s="1" t="s">
        <v>11</v>
      </c>
      <c r="F4084" s="1" t="s">
        <v>20</v>
      </c>
      <c r="G4084" s="4" t="b">
        <f t="shared" si="2"/>
        <v>1</v>
      </c>
      <c r="H4084" s="1" t="str">
        <f t="shared" si="3"/>
        <v>Currently Unavailable</v>
      </c>
      <c r="I4084" s="1" t="str">
        <f t="shared" si="4"/>
        <v>No Badges</v>
      </c>
      <c r="J4084" s="3">
        <f t="shared" si="5"/>
        <v>0</v>
      </c>
    </row>
    <row r="4085">
      <c r="A4085" s="1" t="s">
        <v>3112</v>
      </c>
      <c r="B4085" s="3" t="str">
        <f t="shared" si="1"/>
        <v>Unavailable</v>
      </c>
      <c r="C4085" s="5">
        <v>1530.0</v>
      </c>
      <c r="D4085" s="3">
        <f>IFERROR(__xludf.DUMMYFUNCTION("IFERROR(
IF(REGEXMATCH(LOWER(O4085),""k""),
VALUE(REGEXEXTRACT(O4085,""[0-9]+""))*1000,
VALUE(REGEXEXTRACT(O4085,""[0-9]+""))
),
0
)"),0.0)</f>
        <v>0</v>
      </c>
      <c r="E4085" s="1" t="s">
        <v>11</v>
      </c>
      <c r="F4085" s="1" t="s">
        <v>20</v>
      </c>
      <c r="G4085" s="4" t="b">
        <f t="shared" si="2"/>
        <v>1</v>
      </c>
      <c r="H4085" s="1" t="str">
        <f t="shared" si="3"/>
        <v>Currently Unavailable</v>
      </c>
      <c r="I4085" s="1" t="str">
        <f t="shared" si="4"/>
        <v>No Badges</v>
      </c>
      <c r="J4085" s="3">
        <f t="shared" si="5"/>
        <v>0</v>
      </c>
    </row>
    <row r="4086">
      <c r="A4086" s="1" t="s">
        <v>3113</v>
      </c>
      <c r="B4086" s="3" t="str">
        <f t="shared" si="1"/>
        <v>Unavailable</v>
      </c>
      <c r="C4086" s="3">
        <v>359.0</v>
      </c>
      <c r="D4086" s="3">
        <f>IFERROR(__xludf.DUMMYFUNCTION("IFERROR(
IF(REGEXMATCH(LOWER(O4086),""k""),
VALUE(REGEXEXTRACT(O4086,""[0-9]+""))*1000,
VALUE(REGEXEXTRACT(O4086,""[0-9]+""))
),
0
)"),0.0)</f>
        <v>0</v>
      </c>
      <c r="E4086" s="1" t="s">
        <v>11</v>
      </c>
      <c r="F4086" s="1" t="s">
        <v>20</v>
      </c>
      <c r="G4086" s="4" t="b">
        <f t="shared" si="2"/>
        <v>1</v>
      </c>
      <c r="H4086" s="1" t="str">
        <f t="shared" si="3"/>
        <v>Currently Unavailable</v>
      </c>
      <c r="I4086" s="1" t="str">
        <f t="shared" si="4"/>
        <v>No Badges</v>
      </c>
      <c r="J4086" s="3">
        <f t="shared" si="5"/>
        <v>0</v>
      </c>
    </row>
    <row r="4087">
      <c r="A4087" s="1" t="s">
        <v>3114</v>
      </c>
      <c r="B4087" s="3" t="str">
        <f t="shared" si="1"/>
        <v>Unavailable</v>
      </c>
      <c r="C4087" s="5">
        <v>4086.0</v>
      </c>
      <c r="D4087" s="3">
        <f>IFERROR(__xludf.DUMMYFUNCTION("IFERROR(
IF(REGEXMATCH(LOWER(O4087),""k""),
VALUE(REGEXEXTRACT(O4087,""[0-9]+""))*1000,
VALUE(REGEXEXTRACT(O4087,""[0-9]+""))
),
0
)"),0.0)</f>
        <v>0</v>
      </c>
      <c r="E4087" s="1" t="s">
        <v>11</v>
      </c>
      <c r="F4087" s="1" t="s">
        <v>20</v>
      </c>
      <c r="G4087" s="4" t="b">
        <f t="shared" si="2"/>
        <v>1</v>
      </c>
      <c r="H4087" s="1" t="str">
        <f t="shared" si="3"/>
        <v>Currently Unavailable</v>
      </c>
      <c r="I4087" s="1" t="str">
        <f t="shared" si="4"/>
        <v>No Badges</v>
      </c>
      <c r="J4087" s="3">
        <f t="shared" si="5"/>
        <v>0</v>
      </c>
    </row>
    <row r="4088">
      <c r="A4088" s="1" t="s">
        <v>67</v>
      </c>
      <c r="B4088" s="3" t="str">
        <f t="shared" si="1"/>
        <v>Unavailable</v>
      </c>
      <c r="C4088" s="3">
        <v>264.0</v>
      </c>
      <c r="D4088" s="3">
        <f>IFERROR(__xludf.DUMMYFUNCTION("IFERROR(
IF(REGEXMATCH(LOWER(O4088),""k""),
VALUE(REGEXEXTRACT(O4088,""[0-9]+""))*1000,
VALUE(REGEXEXTRACT(O4088,""[0-9]+""))
),
0
)"),0.0)</f>
        <v>0</v>
      </c>
      <c r="E4088" s="1" t="s">
        <v>11</v>
      </c>
      <c r="F4088" s="1" t="s">
        <v>12</v>
      </c>
      <c r="G4088" s="4" t="b">
        <f t="shared" si="2"/>
        <v>1</v>
      </c>
      <c r="H4088" s="1" t="str">
        <f t="shared" si="3"/>
        <v>Currently Unavailable</v>
      </c>
      <c r="I4088" s="1" t="str">
        <f t="shared" si="4"/>
        <v>No Badges</v>
      </c>
      <c r="J4088" s="3">
        <f t="shared" si="5"/>
        <v>0</v>
      </c>
    </row>
    <row r="4089">
      <c r="A4089" s="1" t="s">
        <v>3115</v>
      </c>
      <c r="B4089" s="3" t="str">
        <f t="shared" si="1"/>
        <v>Unavailable</v>
      </c>
      <c r="C4089" s="3">
        <v>520.0</v>
      </c>
      <c r="D4089" s="3">
        <f>IFERROR(__xludf.DUMMYFUNCTION("IFERROR(
IF(REGEXMATCH(LOWER(O4089),""k""),
VALUE(REGEXEXTRACT(O4089,""[0-9]+""))*1000,
VALUE(REGEXEXTRACT(O4089,""[0-9]+""))
),
0
)"),0.0)</f>
        <v>0</v>
      </c>
      <c r="E4089" s="1" t="s">
        <v>11</v>
      </c>
      <c r="F4089" s="1" t="s">
        <v>20</v>
      </c>
      <c r="G4089" s="4" t="b">
        <f t="shared" si="2"/>
        <v>1</v>
      </c>
      <c r="H4089" s="1" t="str">
        <f t="shared" si="3"/>
        <v>Currently Unavailable</v>
      </c>
      <c r="I4089" s="1" t="str">
        <f t="shared" si="4"/>
        <v>No Badges</v>
      </c>
      <c r="J4089" s="3">
        <f t="shared" si="5"/>
        <v>0</v>
      </c>
    </row>
    <row r="4090">
      <c r="A4090" s="1" t="s">
        <v>3116</v>
      </c>
      <c r="B4090" s="3" t="str">
        <f t="shared" si="1"/>
        <v>Unavailable</v>
      </c>
      <c r="C4090" s="5">
        <v>1596.0</v>
      </c>
      <c r="D4090" s="3">
        <f>IFERROR(__xludf.DUMMYFUNCTION("IFERROR(
IF(REGEXMATCH(LOWER(O4090),""k""),
VALUE(REGEXEXTRACT(O4090,""[0-9]+""))*1000,
VALUE(REGEXEXTRACT(O4090,""[0-9]+""))
),
0
)"),0.0)</f>
        <v>0</v>
      </c>
      <c r="E4090" s="1" t="s">
        <v>11</v>
      </c>
      <c r="F4090" s="1" t="s">
        <v>20</v>
      </c>
      <c r="G4090" s="4" t="b">
        <f t="shared" si="2"/>
        <v>1</v>
      </c>
      <c r="H4090" s="1" t="str">
        <f t="shared" si="3"/>
        <v>Currently Unavailable</v>
      </c>
      <c r="I4090" s="1" t="str">
        <f t="shared" si="4"/>
        <v>No Badges</v>
      </c>
      <c r="J4090" s="3">
        <f t="shared" si="5"/>
        <v>0</v>
      </c>
    </row>
    <row r="4091">
      <c r="A4091" s="1" t="s">
        <v>3117</v>
      </c>
      <c r="B4091" s="3" t="str">
        <f t="shared" si="1"/>
        <v>Unavailable</v>
      </c>
      <c r="C4091" s="3">
        <v>713.0</v>
      </c>
      <c r="D4091" s="3">
        <f>IFERROR(__xludf.DUMMYFUNCTION("IFERROR(
IF(REGEXMATCH(LOWER(O4091),""k""),
VALUE(REGEXEXTRACT(O4091,""[0-9]+""))*1000,
VALUE(REGEXEXTRACT(O4091,""[0-9]+""))
),
0
)"),0.0)</f>
        <v>0</v>
      </c>
      <c r="E4091" s="1" t="s">
        <v>11</v>
      </c>
      <c r="F4091" s="1" t="s">
        <v>20</v>
      </c>
      <c r="G4091" s="4" t="b">
        <f t="shared" si="2"/>
        <v>1</v>
      </c>
      <c r="H4091" s="1" t="str">
        <f t="shared" si="3"/>
        <v>Currently Unavailable</v>
      </c>
      <c r="I4091" s="1" t="str">
        <f t="shared" si="4"/>
        <v>No Badges</v>
      </c>
      <c r="J4091" s="3">
        <f t="shared" si="5"/>
        <v>0</v>
      </c>
    </row>
    <row r="4092">
      <c r="A4092" s="1" t="s">
        <v>3118</v>
      </c>
      <c r="B4092" s="3" t="str">
        <f t="shared" si="1"/>
        <v>Unavailable</v>
      </c>
      <c r="C4092" s="3">
        <v>290.0</v>
      </c>
      <c r="D4092" s="3">
        <f>IFERROR(__xludf.DUMMYFUNCTION("IFERROR(
IF(REGEXMATCH(LOWER(O4092),""k""),
VALUE(REGEXEXTRACT(O4092,""[0-9]+""))*1000,
VALUE(REGEXEXTRACT(O4092,""[0-9]+""))
),
0
)"),0.0)</f>
        <v>0</v>
      </c>
      <c r="E4092" s="1" t="s">
        <v>11</v>
      </c>
      <c r="F4092" s="1" t="s">
        <v>20</v>
      </c>
      <c r="G4092" s="4" t="b">
        <f t="shared" si="2"/>
        <v>1</v>
      </c>
      <c r="H4092" s="1" t="str">
        <f t="shared" si="3"/>
        <v>Currently Unavailable</v>
      </c>
      <c r="I4092" s="1" t="str">
        <f t="shared" si="4"/>
        <v>No Badges</v>
      </c>
      <c r="J4092" s="3">
        <f t="shared" si="5"/>
        <v>0</v>
      </c>
    </row>
    <row r="4093">
      <c r="A4093" s="1" t="s">
        <v>3119</v>
      </c>
      <c r="B4093" s="3" t="str">
        <f t="shared" si="1"/>
        <v>Unavailable</v>
      </c>
      <c r="C4093" s="3">
        <v>12.0</v>
      </c>
      <c r="D4093" s="3">
        <f>IFERROR(__xludf.DUMMYFUNCTION("IFERROR(
IF(REGEXMATCH(LOWER(O4093),""k""),
VALUE(REGEXEXTRACT(O4093,""[0-9]+""))*1000,
VALUE(REGEXEXTRACT(O4093,""[0-9]+""))
),
0
)"),0.0)</f>
        <v>0</v>
      </c>
      <c r="E4093" s="1" t="s">
        <v>11</v>
      </c>
      <c r="F4093" s="1" t="s">
        <v>20</v>
      </c>
      <c r="G4093" s="4" t="b">
        <f t="shared" si="2"/>
        <v>1</v>
      </c>
      <c r="H4093" s="1" t="str">
        <f t="shared" si="3"/>
        <v>Currently Unavailable</v>
      </c>
      <c r="I4093" s="1" t="str">
        <f t="shared" si="4"/>
        <v>No Badges</v>
      </c>
      <c r="J4093" s="3">
        <f t="shared" si="5"/>
        <v>0</v>
      </c>
    </row>
    <row r="4094">
      <c r="A4094" s="1" t="s">
        <v>3120</v>
      </c>
      <c r="B4094" s="3" t="str">
        <f t="shared" si="1"/>
        <v>Unavailable</v>
      </c>
      <c r="C4094" s="5">
        <v>3003.0</v>
      </c>
      <c r="D4094" s="3">
        <f>IFERROR(__xludf.DUMMYFUNCTION("IFERROR(
IF(REGEXMATCH(LOWER(O4094),""k""),
VALUE(REGEXEXTRACT(O4094,""[0-9]+""))*1000,
VALUE(REGEXEXTRACT(O4094,""[0-9]+""))
),
0
)"),0.0)</f>
        <v>0</v>
      </c>
      <c r="E4094" s="1" t="s">
        <v>11</v>
      </c>
      <c r="F4094" s="1" t="s">
        <v>20</v>
      </c>
      <c r="G4094" s="4" t="b">
        <f t="shared" si="2"/>
        <v>1</v>
      </c>
      <c r="H4094" s="1" t="str">
        <f t="shared" si="3"/>
        <v>Currently Unavailable</v>
      </c>
      <c r="I4094" s="1" t="str">
        <f t="shared" si="4"/>
        <v>No Badges</v>
      </c>
      <c r="J4094" s="3">
        <f t="shared" si="5"/>
        <v>0</v>
      </c>
    </row>
    <row r="4095">
      <c r="A4095" s="1" t="s">
        <v>3121</v>
      </c>
      <c r="B4095" s="3" t="str">
        <f t="shared" si="1"/>
        <v>Unavailable</v>
      </c>
      <c r="C4095" s="5">
        <v>2237.0</v>
      </c>
      <c r="D4095" s="3">
        <f>IFERROR(__xludf.DUMMYFUNCTION("IFERROR(
IF(REGEXMATCH(LOWER(O4095),""k""),
VALUE(REGEXEXTRACT(O4095,""[0-9]+""))*1000,
VALUE(REGEXEXTRACT(O4095,""[0-9]+""))
),
0
)"),0.0)</f>
        <v>0</v>
      </c>
      <c r="E4095" s="1" t="s">
        <v>11</v>
      </c>
      <c r="F4095" s="1" t="s">
        <v>20</v>
      </c>
      <c r="G4095" s="4" t="b">
        <f t="shared" si="2"/>
        <v>1</v>
      </c>
      <c r="H4095" s="1" t="str">
        <f t="shared" si="3"/>
        <v>Currently Unavailable</v>
      </c>
      <c r="I4095" s="1" t="str">
        <f t="shared" si="4"/>
        <v>No Badges</v>
      </c>
      <c r="J4095" s="3">
        <f t="shared" si="5"/>
        <v>0</v>
      </c>
    </row>
    <row r="4096">
      <c r="A4096" s="1" t="s">
        <v>3122</v>
      </c>
      <c r="B4096" s="3" t="str">
        <f t="shared" si="1"/>
        <v>Unavailable</v>
      </c>
      <c r="C4096" s="3">
        <v>762.0</v>
      </c>
      <c r="D4096" s="3">
        <f>IFERROR(__xludf.DUMMYFUNCTION("IFERROR(
IF(REGEXMATCH(LOWER(O4096),""k""),
VALUE(REGEXEXTRACT(O4096,""[0-9]+""))*1000,
VALUE(REGEXEXTRACT(O4096,""[0-9]+""))
),
0
)"),0.0)</f>
        <v>0</v>
      </c>
      <c r="E4096" s="1" t="s">
        <v>11</v>
      </c>
      <c r="F4096" s="1" t="s">
        <v>20</v>
      </c>
      <c r="G4096" s="4" t="b">
        <f t="shared" si="2"/>
        <v>1</v>
      </c>
      <c r="H4096" s="1" t="str">
        <f t="shared" si="3"/>
        <v>Currently Unavailable</v>
      </c>
      <c r="I4096" s="1" t="str">
        <f t="shared" si="4"/>
        <v>No Badges</v>
      </c>
      <c r="J4096" s="3">
        <f t="shared" si="5"/>
        <v>0</v>
      </c>
    </row>
    <row r="4097">
      <c r="A4097" s="1" t="s">
        <v>3123</v>
      </c>
      <c r="B4097" s="3" t="str">
        <f t="shared" si="1"/>
        <v>Unavailable</v>
      </c>
      <c r="C4097" s="5">
        <v>9141.0</v>
      </c>
      <c r="D4097" s="3">
        <f>IFERROR(__xludf.DUMMYFUNCTION("IFERROR(
IF(REGEXMATCH(LOWER(O4097),""k""),
VALUE(REGEXEXTRACT(O4097,""[0-9]+""))*1000,
VALUE(REGEXEXTRACT(O4097,""[0-9]+""))
),
0
)"),0.0)</f>
        <v>0</v>
      </c>
      <c r="E4097" s="1" t="s">
        <v>11</v>
      </c>
      <c r="F4097" s="1" t="s">
        <v>20</v>
      </c>
      <c r="G4097" s="4" t="b">
        <f t="shared" si="2"/>
        <v>1</v>
      </c>
      <c r="H4097" s="1" t="str">
        <f t="shared" si="3"/>
        <v>Currently Unavailable</v>
      </c>
      <c r="I4097" s="1" t="str">
        <f t="shared" si="4"/>
        <v>No Badges</v>
      </c>
      <c r="J4097" s="3">
        <f t="shared" si="5"/>
        <v>0</v>
      </c>
    </row>
    <row r="4098">
      <c r="A4098" s="1" t="s">
        <v>3124</v>
      </c>
      <c r="B4098" s="3" t="str">
        <f t="shared" si="1"/>
        <v>Unavailable</v>
      </c>
      <c r="C4098" s="3">
        <v>35.0</v>
      </c>
      <c r="D4098" s="3">
        <f>IFERROR(__xludf.DUMMYFUNCTION("IFERROR(
IF(REGEXMATCH(LOWER(O4098),""k""),
VALUE(REGEXEXTRACT(O4098,""[0-9]+""))*1000,
VALUE(REGEXEXTRACT(O4098,""[0-9]+""))
),
0
)"),0.0)</f>
        <v>0</v>
      </c>
      <c r="E4098" s="1" t="s">
        <v>11</v>
      </c>
      <c r="F4098" s="1" t="s">
        <v>20</v>
      </c>
      <c r="G4098" s="4" t="b">
        <f t="shared" si="2"/>
        <v>1</v>
      </c>
      <c r="H4098" s="1" t="str">
        <f t="shared" si="3"/>
        <v>Currently Unavailable</v>
      </c>
      <c r="I4098" s="1" t="str">
        <f t="shared" si="4"/>
        <v>No Badges</v>
      </c>
      <c r="J4098" s="3">
        <f t="shared" si="5"/>
        <v>0</v>
      </c>
    </row>
    <row r="4099">
      <c r="A4099" s="1" t="s">
        <v>3125</v>
      </c>
      <c r="B4099" s="3" t="str">
        <f t="shared" si="1"/>
        <v>Unavailable</v>
      </c>
      <c r="C4099" s="3">
        <v>380.0</v>
      </c>
      <c r="D4099" s="3">
        <f>IFERROR(__xludf.DUMMYFUNCTION("IFERROR(
IF(REGEXMATCH(LOWER(O4099),""k""),
VALUE(REGEXEXTRACT(O4099,""[0-9]+""))*1000,
VALUE(REGEXEXTRACT(O4099,""[0-9]+""))
),
0
)"),0.0)</f>
        <v>0</v>
      </c>
      <c r="E4099" s="1" t="s">
        <v>11</v>
      </c>
      <c r="F4099" s="1" t="s">
        <v>20</v>
      </c>
      <c r="G4099" s="4" t="b">
        <f t="shared" si="2"/>
        <v>1</v>
      </c>
      <c r="H4099" s="1" t="str">
        <f t="shared" si="3"/>
        <v>Currently Unavailable</v>
      </c>
      <c r="I4099" s="1" t="str">
        <f t="shared" si="4"/>
        <v>No Badges</v>
      </c>
      <c r="J4099" s="3">
        <f t="shared" si="5"/>
        <v>0</v>
      </c>
    </row>
    <row r="4100">
      <c r="A4100" s="1" t="s">
        <v>3126</v>
      </c>
      <c r="B4100" s="3" t="str">
        <f t="shared" si="1"/>
        <v>Unavailable</v>
      </c>
      <c r="C4100" s="5">
        <v>13023.0</v>
      </c>
      <c r="D4100" s="3">
        <f>IFERROR(__xludf.DUMMYFUNCTION("IFERROR(
IF(REGEXMATCH(LOWER(O4100),""k""),
VALUE(REGEXEXTRACT(O4100,""[0-9]+""))*1000,
VALUE(REGEXEXTRACT(O4100,""[0-9]+""))
),
0
)"),0.0)</f>
        <v>0</v>
      </c>
      <c r="E4100" s="1" t="s">
        <v>11</v>
      </c>
      <c r="F4100" s="1" t="s">
        <v>20</v>
      </c>
      <c r="G4100" s="4" t="b">
        <f t="shared" si="2"/>
        <v>1</v>
      </c>
      <c r="H4100" s="1" t="str">
        <f t="shared" si="3"/>
        <v>Currently Unavailable</v>
      </c>
      <c r="I4100" s="1" t="str">
        <f t="shared" si="4"/>
        <v>No Badges</v>
      </c>
      <c r="J4100" s="3">
        <f t="shared" si="5"/>
        <v>0</v>
      </c>
    </row>
    <row r="4101">
      <c r="A4101" s="1" t="s">
        <v>3127</v>
      </c>
      <c r="B4101" s="3" t="str">
        <f t="shared" si="1"/>
        <v>Unavailable</v>
      </c>
      <c r="C4101" s="5">
        <v>7769.0</v>
      </c>
      <c r="D4101" s="3">
        <f>IFERROR(__xludf.DUMMYFUNCTION("IFERROR(
IF(REGEXMATCH(LOWER(O4101),""k""),
VALUE(REGEXEXTRACT(O4101,""[0-9]+""))*1000,
VALUE(REGEXEXTRACT(O4101,""[0-9]+""))
),
0
)"),0.0)</f>
        <v>0</v>
      </c>
      <c r="E4101" s="1" t="s">
        <v>11</v>
      </c>
      <c r="F4101" s="1" t="s">
        <v>20</v>
      </c>
      <c r="G4101" s="4" t="b">
        <f t="shared" si="2"/>
        <v>1</v>
      </c>
      <c r="H4101" s="1" t="str">
        <f t="shared" si="3"/>
        <v>Currently Unavailable</v>
      </c>
      <c r="I4101" s="1" t="str">
        <f t="shared" si="4"/>
        <v>No Badges</v>
      </c>
      <c r="J4101" s="3">
        <f t="shared" si="5"/>
        <v>0</v>
      </c>
    </row>
    <row r="4102">
      <c r="A4102" s="1" t="s">
        <v>3128</v>
      </c>
      <c r="B4102" s="3" t="str">
        <f t="shared" si="1"/>
        <v>Unavailable</v>
      </c>
      <c r="C4102" s="3">
        <v>61.0</v>
      </c>
      <c r="D4102" s="3">
        <f>IFERROR(__xludf.DUMMYFUNCTION("IFERROR(
IF(REGEXMATCH(LOWER(O4102),""k""),
VALUE(REGEXEXTRACT(O4102,""[0-9]+""))*1000,
VALUE(REGEXEXTRACT(O4102,""[0-9]+""))
),
0
)"),0.0)</f>
        <v>0</v>
      </c>
      <c r="E4102" s="1" t="s">
        <v>11</v>
      </c>
      <c r="F4102" s="1" t="s">
        <v>20</v>
      </c>
      <c r="G4102" s="4" t="b">
        <f t="shared" si="2"/>
        <v>1</v>
      </c>
      <c r="H4102" s="1" t="str">
        <f t="shared" si="3"/>
        <v>Currently Unavailable</v>
      </c>
      <c r="I4102" s="1" t="str">
        <f t="shared" si="4"/>
        <v>No Badges</v>
      </c>
      <c r="J4102" s="3">
        <f t="shared" si="5"/>
        <v>0</v>
      </c>
    </row>
    <row r="4103">
      <c r="A4103" s="1" t="s">
        <v>2985</v>
      </c>
      <c r="B4103" s="3" t="str">
        <f t="shared" si="1"/>
        <v>Unavailable</v>
      </c>
      <c r="C4103" s="5">
        <v>5362.0</v>
      </c>
      <c r="D4103" s="3">
        <f>IFERROR(__xludf.DUMMYFUNCTION("IFERROR(
IF(REGEXMATCH(LOWER(O4103),""k""),
VALUE(REGEXEXTRACT(O4103,""[0-9]+""))*1000,
VALUE(REGEXEXTRACT(O4103,""[0-9]+""))
),
0
)"),0.0)</f>
        <v>0</v>
      </c>
      <c r="E4103" s="1" t="s">
        <v>11</v>
      </c>
      <c r="F4103" s="1" t="s">
        <v>20</v>
      </c>
      <c r="G4103" s="4" t="b">
        <f t="shared" si="2"/>
        <v>1</v>
      </c>
      <c r="H4103" s="1" t="str">
        <f t="shared" si="3"/>
        <v>Currently Unavailable</v>
      </c>
      <c r="I4103" s="1" t="str">
        <f t="shared" si="4"/>
        <v>No Badges</v>
      </c>
      <c r="J4103" s="3">
        <f t="shared" si="5"/>
        <v>0</v>
      </c>
    </row>
    <row r="4104">
      <c r="A4104" s="1" t="s">
        <v>701</v>
      </c>
      <c r="B4104" s="3" t="str">
        <f t="shared" si="1"/>
        <v>Unavailable</v>
      </c>
      <c r="C4104" s="3">
        <v>8.0</v>
      </c>
      <c r="D4104" s="3">
        <f>IFERROR(__xludf.DUMMYFUNCTION("IFERROR(
IF(REGEXMATCH(LOWER(O4104),""k""),
VALUE(REGEXEXTRACT(O4104,""[0-9]+""))*1000,
VALUE(REGEXEXTRACT(O4104,""[0-9]+""))
),
0
)"),0.0)</f>
        <v>0</v>
      </c>
      <c r="E4104" s="1" t="s">
        <v>11</v>
      </c>
      <c r="F4104" s="1" t="s">
        <v>12</v>
      </c>
      <c r="G4104" s="4" t="b">
        <f t="shared" si="2"/>
        <v>1</v>
      </c>
      <c r="H4104" s="1" t="str">
        <f t="shared" si="3"/>
        <v>Currently Unavailable</v>
      </c>
      <c r="I4104" s="1" t="str">
        <f t="shared" si="4"/>
        <v>No Badges</v>
      </c>
      <c r="J4104" s="3">
        <f t="shared" si="5"/>
        <v>0</v>
      </c>
    </row>
    <row r="4105">
      <c r="A4105" s="1" t="s">
        <v>3129</v>
      </c>
      <c r="B4105" s="3" t="str">
        <f t="shared" si="1"/>
        <v>Unavailable</v>
      </c>
      <c r="C4105" s="3">
        <v>48.0</v>
      </c>
      <c r="D4105" s="3">
        <f>IFERROR(__xludf.DUMMYFUNCTION("IFERROR(
IF(REGEXMATCH(LOWER(O4105),""k""),
VALUE(REGEXEXTRACT(O4105,""[0-9]+""))*1000,
VALUE(REGEXEXTRACT(O4105,""[0-9]+""))
),
0
)"),0.0)</f>
        <v>0</v>
      </c>
      <c r="E4105" s="1" t="s">
        <v>11</v>
      </c>
      <c r="F4105" s="1" t="s">
        <v>20</v>
      </c>
      <c r="G4105" s="4" t="b">
        <f t="shared" si="2"/>
        <v>1</v>
      </c>
      <c r="H4105" s="1" t="str">
        <f t="shared" si="3"/>
        <v>Currently Unavailable</v>
      </c>
      <c r="I4105" s="1" t="str">
        <f t="shared" si="4"/>
        <v>No Badges</v>
      </c>
      <c r="J4105" s="3">
        <f t="shared" si="5"/>
        <v>0</v>
      </c>
    </row>
    <row r="4106">
      <c r="A4106" s="1" t="s">
        <v>3062</v>
      </c>
      <c r="B4106" s="3" t="str">
        <f t="shared" si="1"/>
        <v>Unavailable</v>
      </c>
      <c r="C4106" s="3">
        <v>756.0</v>
      </c>
      <c r="D4106" s="3">
        <f>IFERROR(__xludf.DUMMYFUNCTION("IFERROR(
IF(REGEXMATCH(LOWER(O4106),""k""),
VALUE(REGEXEXTRACT(O4106,""[0-9]+""))*1000,
VALUE(REGEXEXTRACT(O4106,""[0-9]+""))
),
0
)"),0.0)</f>
        <v>0</v>
      </c>
      <c r="E4106" s="1" t="s">
        <v>11</v>
      </c>
      <c r="F4106" s="1" t="s">
        <v>20</v>
      </c>
      <c r="G4106" s="4" t="b">
        <f t="shared" si="2"/>
        <v>1</v>
      </c>
      <c r="H4106" s="1" t="str">
        <f t="shared" si="3"/>
        <v>Currently Unavailable</v>
      </c>
      <c r="I4106" s="1" t="str">
        <f t="shared" si="4"/>
        <v>No Badges</v>
      </c>
      <c r="J4106" s="3">
        <f t="shared" si="5"/>
        <v>0</v>
      </c>
    </row>
    <row r="4107">
      <c r="A4107" s="1" t="s">
        <v>3094</v>
      </c>
      <c r="B4107" s="3" t="str">
        <f t="shared" si="1"/>
        <v>Unavailable</v>
      </c>
      <c r="C4107" s="3">
        <v>837.0</v>
      </c>
      <c r="D4107" s="3">
        <f>IFERROR(__xludf.DUMMYFUNCTION("IFERROR(
IF(REGEXMATCH(LOWER(O4107),""k""),
VALUE(REGEXEXTRACT(O4107,""[0-9]+""))*1000,
VALUE(REGEXEXTRACT(O4107,""[0-9]+""))
),
0
)"),0.0)</f>
        <v>0</v>
      </c>
      <c r="E4107" s="1" t="s">
        <v>11</v>
      </c>
      <c r="F4107" s="1" t="s">
        <v>20</v>
      </c>
      <c r="G4107" s="4" t="b">
        <f t="shared" si="2"/>
        <v>1</v>
      </c>
      <c r="H4107" s="1" t="str">
        <f t="shared" si="3"/>
        <v>Currently Unavailable</v>
      </c>
      <c r="I4107" s="1" t="str">
        <f t="shared" si="4"/>
        <v>No Badges</v>
      </c>
      <c r="J4107" s="3">
        <f t="shared" si="5"/>
        <v>0</v>
      </c>
    </row>
    <row r="4108">
      <c r="A4108" s="1" t="s">
        <v>3130</v>
      </c>
      <c r="B4108" s="3" t="str">
        <f t="shared" si="1"/>
        <v>Unavailable</v>
      </c>
      <c r="C4108" s="3">
        <v>17.0</v>
      </c>
      <c r="D4108" s="3">
        <f>IFERROR(__xludf.DUMMYFUNCTION("IFERROR(
IF(REGEXMATCH(LOWER(O4108),""k""),
VALUE(REGEXEXTRACT(O4108,""[0-9]+""))*1000,
VALUE(REGEXEXTRACT(O4108,""[0-9]+""))
),
0
)"),0.0)</f>
        <v>0</v>
      </c>
      <c r="E4108" s="1" t="s">
        <v>11</v>
      </c>
      <c r="F4108" s="1" t="s">
        <v>12</v>
      </c>
      <c r="G4108" s="4" t="b">
        <f t="shared" si="2"/>
        <v>1</v>
      </c>
      <c r="H4108" s="1" t="str">
        <f t="shared" si="3"/>
        <v>Currently Unavailable</v>
      </c>
      <c r="I4108" s="1" t="str">
        <f t="shared" si="4"/>
        <v>No Badges</v>
      </c>
      <c r="J4108" s="3">
        <f t="shared" si="5"/>
        <v>0</v>
      </c>
    </row>
    <row r="4109">
      <c r="A4109" s="1" t="s">
        <v>3131</v>
      </c>
      <c r="B4109" s="3" t="str">
        <f t="shared" si="1"/>
        <v>Unavailable</v>
      </c>
      <c r="C4109" s="3">
        <v>58.0</v>
      </c>
      <c r="D4109" s="3">
        <f>IFERROR(__xludf.DUMMYFUNCTION("IFERROR(
IF(REGEXMATCH(LOWER(O4109),""k""),
VALUE(REGEXEXTRACT(O4109,""[0-9]+""))*1000,
VALUE(REGEXEXTRACT(O4109,""[0-9]+""))
),
0
)"),0.0)</f>
        <v>0</v>
      </c>
      <c r="E4109" s="1" t="s">
        <v>11</v>
      </c>
      <c r="F4109" s="1" t="s">
        <v>20</v>
      </c>
      <c r="G4109" s="4" t="b">
        <f t="shared" si="2"/>
        <v>1</v>
      </c>
      <c r="H4109" s="1" t="str">
        <f t="shared" si="3"/>
        <v>Currently Unavailable</v>
      </c>
      <c r="I4109" s="1" t="str">
        <f t="shared" si="4"/>
        <v>No Badges</v>
      </c>
      <c r="J4109" s="3">
        <f t="shared" si="5"/>
        <v>0</v>
      </c>
    </row>
    <row r="4110">
      <c r="A4110" s="1" t="s">
        <v>3132</v>
      </c>
      <c r="B4110" s="3" t="str">
        <f t="shared" si="1"/>
        <v>Unavailable</v>
      </c>
      <c r="C4110" s="3">
        <v>227.0</v>
      </c>
      <c r="D4110" s="3">
        <f>IFERROR(__xludf.DUMMYFUNCTION("IFERROR(
IF(REGEXMATCH(LOWER(O4110),""k""),
VALUE(REGEXEXTRACT(O4110,""[0-9]+""))*1000,
VALUE(REGEXEXTRACT(O4110,""[0-9]+""))
),
0
)"),0.0)</f>
        <v>0</v>
      </c>
      <c r="E4110" s="1" t="s">
        <v>11</v>
      </c>
      <c r="F4110" s="1" t="s">
        <v>20</v>
      </c>
      <c r="G4110" s="4" t="b">
        <f t="shared" si="2"/>
        <v>1</v>
      </c>
      <c r="H4110" s="1" t="str">
        <f t="shared" si="3"/>
        <v>Currently Unavailable</v>
      </c>
      <c r="I4110" s="1" t="str">
        <f t="shared" si="4"/>
        <v>No Badges</v>
      </c>
      <c r="J4110" s="3">
        <f t="shared" si="5"/>
        <v>0</v>
      </c>
    </row>
    <row r="4111">
      <c r="A4111" s="1" t="s">
        <v>3133</v>
      </c>
      <c r="B4111" s="3" t="str">
        <f t="shared" si="1"/>
        <v>Unavailable</v>
      </c>
      <c r="C4111" s="3">
        <v>782.0</v>
      </c>
      <c r="D4111" s="3">
        <f>IFERROR(__xludf.DUMMYFUNCTION("IFERROR(
IF(REGEXMATCH(LOWER(O4111),""k""),
VALUE(REGEXEXTRACT(O4111,""[0-9]+""))*1000,
VALUE(REGEXEXTRACT(O4111,""[0-9]+""))
),
0
)"),0.0)</f>
        <v>0</v>
      </c>
      <c r="E4111" s="1" t="s">
        <v>11</v>
      </c>
      <c r="F4111" s="1" t="s">
        <v>20</v>
      </c>
      <c r="G4111" s="4" t="b">
        <f t="shared" si="2"/>
        <v>1</v>
      </c>
      <c r="H4111" s="1" t="str">
        <f t="shared" si="3"/>
        <v>Currently Unavailable</v>
      </c>
      <c r="I4111" s="1" t="str">
        <f t="shared" si="4"/>
        <v>No Badges</v>
      </c>
      <c r="J4111" s="3">
        <f t="shared" si="5"/>
        <v>0</v>
      </c>
    </row>
    <row r="4112">
      <c r="A4112" s="1" t="s">
        <v>3096</v>
      </c>
      <c r="B4112" s="3" t="str">
        <f t="shared" si="1"/>
        <v>Unavailable</v>
      </c>
      <c r="C4112" s="3">
        <v>288.0</v>
      </c>
      <c r="D4112" s="3">
        <f>IFERROR(__xludf.DUMMYFUNCTION("IFERROR(
IF(REGEXMATCH(LOWER(O4112),""k""),
VALUE(REGEXEXTRACT(O4112,""[0-9]+""))*1000,
VALUE(REGEXEXTRACT(O4112,""[0-9]+""))
),
0
)"),0.0)</f>
        <v>0</v>
      </c>
      <c r="E4112" s="1" t="s">
        <v>11</v>
      </c>
      <c r="F4112" s="1" t="s">
        <v>20</v>
      </c>
      <c r="G4112" s="4" t="b">
        <f t="shared" si="2"/>
        <v>1</v>
      </c>
      <c r="H4112" s="1" t="str">
        <f t="shared" si="3"/>
        <v>Currently Unavailable</v>
      </c>
      <c r="I4112" s="1" t="str">
        <f t="shared" si="4"/>
        <v>No Badges</v>
      </c>
      <c r="J4112" s="3">
        <f t="shared" si="5"/>
        <v>0</v>
      </c>
    </row>
    <row r="4113">
      <c r="A4113" s="1" t="s">
        <v>3134</v>
      </c>
      <c r="B4113" s="3" t="str">
        <f t="shared" si="1"/>
        <v>Unavailable</v>
      </c>
      <c r="C4113" s="3">
        <v>902.0</v>
      </c>
      <c r="D4113" s="3">
        <f>IFERROR(__xludf.DUMMYFUNCTION("IFERROR(
IF(REGEXMATCH(LOWER(O4113),""k""),
VALUE(REGEXEXTRACT(O4113,""[0-9]+""))*1000,
VALUE(REGEXEXTRACT(O4113,""[0-9]+""))
),
0
)"),0.0)</f>
        <v>0</v>
      </c>
      <c r="E4113" s="1" t="s">
        <v>11</v>
      </c>
      <c r="F4113" s="1" t="s">
        <v>20</v>
      </c>
      <c r="G4113" s="4" t="b">
        <f t="shared" si="2"/>
        <v>1</v>
      </c>
      <c r="H4113" s="1" t="str">
        <f t="shared" si="3"/>
        <v>Currently Unavailable</v>
      </c>
      <c r="I4113" s="1" t="str">
        <f t="shared" si="4"/>
        <v>No Badges</v>
      </c>
      <c r="J4113" s="3">
        <f t="shared" si="5"/>
        <v>0</v>
      </c>
    </row>
    <row r="4114">
      <c r="A4114" s="1" t="s">
        <v>3135</v>
      </c>
      <c r="B4114" s="3" t="str">
        <f t="shared" si="1"/>
        <v>Unavailable</v>
      </c>
      <c r="C4114" s="5">
        <v>2059.0</v>
      </c>
      <c r="D4114" s="3">
        <f>IFERROR(__xludf.DUMMYFUNCTION("IFERROR(
IF(REGEXMATCH(LOWER(O4114),""k""),
VALUE(REGEXEXTRACT(O4114,""[0-9]+""))*1000,
VALUE(REGEXEXTRACT(O4114,""[0-9]+""))
),
0
)"),0.0)</f>
        <v>0</v>
      </c>
      <c r="E4114" s="1" t="s">
        <v>11</v>
      </c>
      <c r="F4114" s="1" t="s">
        <v>20</v>
      </c>
      <c r="G4114" s="4" t="b">
        <f t="shared" si="2"/>
        <v>1</v>
      </c>
      <c r="H4114" s="1" t="str">
        <f t="shared" si="3"/>
        <v>Currently Unavailable</v>
      </c>
      <c r="I4114" s="1" t="str">
        <f t="shared" si="4"/>
        <v>No Badges</v>
      </c>
      <c r="J4114" s="3">
        <f t="shared" si="5"/>
        <v>0</v>
      </c>
    </row>
    <row r="4115">
      <c r="A4115" s="1" t="s">
        <v>3136</v>
      </c>
      <c r="B4115" s="3" t="str">
        <f t="shared" si="1"/>
        <v>Unavailable</v>
      </c>
      <c r="C4115" s="5">
        <v>7526.0</v>
      </c>
      <c r="D4115" s="3">
        <f>IFERROR(__xludf.DUMMYFUNCTION("IFERROR(
IF(REGEXMATCH(LOWER(O4115),""k""),
VALUE(REGEXEXTRACT(O4115,""[0-9]+""))*1000,
VALUE(REGEXEXTRACT(O4115,""[0-9]+""))
),
0
)"),0.0)</f>
        <v>0</v>
      </c>
      <c r="E4115" s="1" t="s">
        <v>11</v>
      </c>
      <c r="F4115" s="1" t="s">
        <v>20</v>
      </c>
      <c r="G4115" s="4" t="b">
        <f t="shared" si="2"/>
        <v>1</v>
      </c>
      <c r="H4115" s="1" t="str">
        <f t="shared" si="3"/>
        <v>Currently Unavailable</v>
      </c>
      <c r="I4115" s="1" t="str">
        <f t="shared" si="4"/>
        <v>No Badges</v>
      </c>
      <c r="J4115" s="3">
        <f t="shared" si="5"/>
        <v>0</v>
      </c>
    </row>
    <row r="4116">
      <c r="A4116" s="1" t="s">
        <v>3137</v>
      </c>
      <c r="B4116" s="3" t="str">
        <f t="shared" si="1"/>
        <v>Unavailable</v>
      </c>
      <c r="C4116" s="3">
        <v>678.0</v>
      </c>
      <c r="D4116" s="3">
        <f>IFERROR(__xludf.DUMMYFUNCTION("IFERROR(
IF(REGEXMATCH(LOWER(O4116),""k""),
VALUE(REGEXEXTRACT(O4116,""[0-9]+""))*1000,
VALUE(REGEXEXTRACT(O4116,""[0-9]+""))
),
0
)"),0.0)</f>
        <v>0</v>
      </c>
      <c r="E4116" s="1" t="s">
        <v>11</v>
      </c>
      <c r="F4116" s="1" t="s">
        <v>20</v>
      </c>
      <c r="G4116" s="4" t="b">
        <f t="shared" si="2"/>
        <v>1</v>
      </c>
      <c r="H4116" s="1" t="str">
        <f t="shared" si="3"/>
        <v>Currently Unavailable</v>
      </c>
      <c r="I4116" s="1" t="str">
        <f t="shared" si="4"/>
        <v>No Badges</v>
      </c>
      <c r="J4116" s="3">
        <f t="shared" si="5"/>
        <v>0</v>
      </c>
    </row>
    <row r="4117">
      <c r="A4117" s="1" t="s">
        <v>3138</v>
      </c>
      <c r="B4117" s="3" t="str">
        <f t="shared" si="1"/>
        <v>Unavailable</v>
      </c>
      <c r="C4117" s="3">
        <v>823.0</v>
      </c>
      <c r="D4117" s="3">
        <f>IFERROR(__xludf.DUMMYFUNCTION("IFERROR(
IF(REGEXMATCH(LOWER(O4117),""k""),
VALUE(REGEXEXTRACT(O4117,""[0-9]+""))*1000,
VALUE(REGEXEXTRACT(O4117,""[0-9]+""))
),
0
)"),0.0)</f>
        <v>0</v>
      </c>
      <c r="E4117" s="1" t="s">
        <v>11</v>
      </c>
      <c r="F4117" s="1" t="s">
        <v>20</v>
      </c>
      <c r="G4117" s="4" t="b">
        <f t="shared" si="2"/>
        <v>1</v>
      </c>
      <c r="H4117" s="1" t="str">
        <f t="shared" si="3"/>
        <v>Currently Unavailable</v>
      </c>
      <c r="I4117" s="1" t="str">
        <f t="shared" si="4"/>
        <v>No Badges</v>
      </c>
      <c r="J4117" s="3">
        <f t="shared" si="5"/>
        <v>0</v>
      </c>
    </row>
    <row r="4118">
      <c r="A4118" s="1" t="s">
        <v>3139</v>
      </c>
      <c r="B4118" s="3" t="str">
        <f t="shared" si="1"/>
        <v>Unavailable</v>
      </c>
      <c r="C4118" s="3">
        <v>856.0</v>
      </c>
      <c r="D4118" s="3">
        <f>IFERROR(__xludf.DUMMYFUNCTION("IFERROR(
IF(REGEXMATCH(LOWER(O4118),""k""),
VALUE(REGEXEXTRACT(O4118,""[0-9]+""))*1000,
VALUE(REGEXEXTRACT(O4118,""[0-9]+""))
),
0
)"),0.0)</f>
        <v>0</v>
      </c>
      <c r="E4118" s="1" t="s">
        <v>11</v>
      </c>
      <c r="F4118" s="1" t="s">
        <v>20</v>
      </c>
      <c r="G4118" s="4" t="b">
        <f t="shared" si="2"/>
        <v>1</v>
      </c>
      <c r="H4118" s="1" t="str">
        <f t="shared" si="3"/>
        <v>Currently Unavailable</v>
      </c>
      <c r="I4118" s="1" t="str">
        <f t="shared" si="4"/>
        <v>No Badges</v>
      </c>
      <c r="J4118" s="3">
        <f t="shared" si="5"/>
        <v>0</v>
      </c>
    </row>
    <row r="4119">
      <c r="A4119" s="1" t="s">
        <v>3140</v>
      </c>
      <c r="B4119" s="3" t="str">
        <f t="shared" si="1"/>
        <v>Unavailable</v>
      </c>
      <c r="C4119" s="3">
        <v>28.0</v>
      </c>
      <c r="D4119" s="3">
        <f>IFERROR(__xludf.DUMMYFUNCTION("IFERROR(
IF(REGEXMATCH(LOWER(O4119),""k""),
VALUE(REGEXEXTRACT(O4119,""[0-9]+""))*1000,
VALUE(REGEXEXTRACT(O4119,""[0-9]+""))
),
0
)"),0.0)</f>
        <v>0</v>
      </c>
      <c r="E4119" s="1" t="s">
        <v>11</v>
      </c>
      <c r="F4119" s="1" t="s">
        <v>20</v>
      </c>
      <c r="G4119" s="4" t="b">
        <f t="shared" si="2"/>
        <v>1</v>
      </c>
      <c r="H4119" s="1" t="str">
        <f t="shared" si="3"/>
        <v>Currently Unavailable</v>
      </c>
      <c r="I4119" s="1" t="str">
        <f t="shared" si="4"/>
        <v>No Badges</v>
      </c>
      <c r="J4119" s="3">
        <f t="shared" si="5"/>
        <v>0</v>
      </c>
    </row>
    <row r="4120">
      <c r="A4120" s="1" t="s">
        <v>3141</v>
      </c>
      <c r="B4120" s="3" t="str">
        <f t="shared" si="1"/>
        <v>Unavailable</v>
      </c>
      <c r="C4120" s="5">
        <v>2669.0</v>
      </c>
      <c r="D4120" s="3">
        <f>IFERROR(__xludf.DUMMYFUNCTION("IFERROR(
IF(REGEXMATCH(LOWER(O4120),""k""),
VALUE(REGEXEXTRACT(O4120,""[0-9]+""))*1000,
VALUE(REGEXEXTRACT(O4120,""[0-9]+""))
),
0
)"),0.0)</f>
        <v>0</v>
      </c>
      <c r="E4120" s="1" t="s">
        <v>11</v>
      </c>
      <c r="F4120" s="1" t="s">
        <v>20</v>
      </c>
      <c r="G4120" s="4" t="b">
        <f t="shared" si="2"/>
        <v>1</v>
      </c>
      <c r="H4120" s="1" t="str">
        <f t="shared" si="3"/>
        <v>Currently Unavailable</v>
      </c>
      <c r="I4120" s="1" t="str">
        <f t="shared" si="4"/>
        <v>No Badges</v>
      </c>
      <c r="J4120" s="3">
        <f t="shared" si="5"/>
        <v>0</v>
      </c>
    </row>
    <row r="4121">
      <c r="A4121" s="1" t="s">
        <v>69</v>
      </c>
      <c r="B4121" s="3" t="str">
        <f t="shared" si="1"/>
        <v>Unavailable</v>
      </c>
      <c r="C4121" s="3">
        <v>45.0</v>
      </c>
      <c r="D4121" s="3">
        <f>IFERROR(__xludf.DUMMYFUNCTION("IFERROR(
IF(REGEXMATCH(LOWER(O4121),""k""),
VALUE(REGEXEXTRACT(O4121,""[0-9]+""))*1000,
VALUE(REGEXEXTRACT(O4121,""[0-9]+""))
),
0
)"),0.0)</f>
        <v>0</v>
      </c>
      <c r="E4121" s="1" t="s">
        <v>11</v>
      </c>
      <c r="F4121" s="1" t="s">
        <v>12</v>
      </c>
      <c r="G4121" s="4" t="b">
        <f t="shared" si="2"/>
        <v>1</v>
      </c>
      <c r="H4121" s="1" t="str">
        <f t="shared" si="3"/>
        <v>Currently Unavailable</v>
      </c>
      <c r="I4121" s="1" t="str">
        <f t="shared" si="4"/>
        <v>No Badges</v>
      </c>
      <c r="J4121" s="3">
        <f t="shared" si="5"/>
        <v>0</v>
      </c>
    </row>
    <row r="4122">
      <c r="A4122" s="1" t="s">
        <v>67</v>
      </c>
      <c r="B4122" s="3" t="str">
        <f t="shared" si="1"/>
        <v>Unavailable</v>
      </c>
      <c r="C4122" s="3">
        <v>264.0</v>
      </c>
      <c r="D4122" s="3">
        <f>IFERROR(__xludf.DUMMYFUNCTION("IFERROR(
IF(REGEXMATCH(LOWER(O4122),""k""),
VALUE(REGEXEXTRACT(O4122,""[0-9]+""))*1000,
VALUE(REGEXEXTRACT(O4122,""[0-9]+""))
),
0
)"),0.0)</f>
        <v>0</v>
      </c>
      <c r="E4122" s="1" t="s">
        <v>11</v>
      </c>
      <c r="F4122" s="1" t="s">
        <v>12</v>
      </c>
      <c r="G4122" s="4" t="b">
        <f t="shared" si="2"/>
        <v>1</v>
      </c>
      <c r="H4122" s="1" t="str">
        <f t="shared" si="3"/>
        <v>Currently Unavailable</v>
      </c>
      <c r="I4122" s="1" t="str">
        <f t="shared" si="4"/>
        <v>No Badges</v>
      </c>
      <c r="J4122" s="3">
        <f t="shared" si="5"/>
        <v>0</v>
      </c>
    </row>
    <row r="4123">
      <c r="A4123" s="1" t="s">
        <v>3142</v>
      </c>
      <c r="B4123" s="3" t="str">
        <f t="shared" si="1"/>
        <v>Unavailable</v>
      </c>
      <c r="C4123" s="3">
        <v>9.0</v>
      </c>
      <c r="D4123" s="3">
        <f>IFERROR(__xludf.DUMMYFUNCTION("IFERROR(
IF(REGEXMATCH(LOWER(O4123),""k""),
VALUE(REGEXEXTRACT(O4123,""[0-9]+""))*1000,
VALUE(REGEXEXTRACT(O4123,""[0-9]+""))
),
0
)"),0.0)</f>
        <v>0</v>
      </c>
      <c r="E4123" s="1" t="s">
        <v>11</v>
      </c>
      <c r="F4123" s="1" t="s">
        <v>20</v>
      </c>
      <c r="G4123" s="4" t="b">
        <f t="shared" si="2"/>
        <v>1</v>
      </c>
      <c r="H4123" s="1" t="str">
        <f t="shared" si="3"/>
        <v>Currently Unavailable</v>
      </c>
      <c r="I4123" s="1" t="str">
        <f t="shared" si="4"/>
        <v>No Badges</v>
      </c>
      <c r="J4123" s="3">
        <f t="shared" si="5"/>
        <v>0</v>
      </c>
    </row>
    <row r="4124">
      <c r="A4124" s="1" t="s">
        <v>3143</v>
      </c>
      <c r="B4124" s="3" t="str">
        <f t="shared" si="1"/>
        <v>Unavailable</v>
      </c>
      <c r="C4124" s="3">
        <v>277.0</v>
      </c>
      <c r="D4124" s="3">
        <f>IFERROR(__xludf.DUMMYFUNCTION("IFERROR(
IF(REGEXMATCH(LOWER(O4124),""k""),
VALUE(REGEXEXTRACT(O4124,""[0-9]+""))*1000,
VALUE(REGEXEXTRACT(O4124,""[0-9]+""))
),
0
)"),0.0)</f>
        <v>0</v>
      </c>
      <c r="E4124" s="1" t="s">
        <v>11</v>
      </c>
      <c r="F4124" s="1" t="s">
        <v>20</v>
      </c>
      <c r="G4124" s="4" t="b">
        <f t="shared" si="2"/>
        <v>1</v>
      </c>
      <c r="H4124" s="1" t="str">
        <f t="shared" si="3"/>
        <v>Currently Unavailable</v>
      </c>
      <c r="I4124" s="1" t="str">
        <f t="shared" si="4"/>
        <v>No Badges</v>
      </c>
      <c r="J4124" s="3">
        <f t="shared" si="5"/>
        <v>0</v>
      </c>
    </row>
    <row r="4125">
      <c r="A4125" s="1" t="s">
        <v>3107</v>
      </c>
      <c r="B4125" s="3" t="str">
        <f t="shared" si="1"/>
        <v>Unavailable</v>
      </c>
      <c r="C4125" s="5">
        <v>2650.0</v>
      </c>
      <c r="D4125" s="3">
        <f>IFERROR(__xludf.DUMMYFUNCTION("IFERROR(
IF(REGEXMATCH(LOWER(O4125),""k""),
VALUE(REGEXEXTRACT(O4125,""[0-9]+""))*1000,
VALUE(REGEXEXTRACT(O4125,""[0-9]+""))
),
0
)"),0.0)</f>
        <v>0</v>
      </c>
      <c r="E4125" s="1" t="s">
        <v>11</v>
      </c>
      <c r="F4125" s="1" t="s">
        <v>20</v>
      </c>
      <c r="G4125" s="4" t="b">
        <f t="shared" si="2"/>
        <v>1</v>
      </c>
      <c r="H4125" s="1" t="str">
        <f t="shared" si="3"/>
        <v>Currently Unavailable</v>
      </c>
      <c r="I4125" s="1" t="str">
        <f t="shared" si="4"/>
        <v>No Badges</v>
      </c>
      <c r="J4125" s="3">
        <f t="shared" si="5"/>
        <v>0</v>
      </c>
    </row>
    <row r="4126">
      <c r="A4126" s="1" t="s">
        <v>3144</v>
      </c>
      <c r="B4126" s="3" t="str">
        <f t="shared" si="1"/>
        <v>Unavailable</v>
      </c>
      <c r="C4126" s="3">
        <v>241.0</v>
      </c>
      <c r="D4126" s="3">
        <f>IFERROR(__xludf.DUMMYFUNCTION("IFERROR(
IF(REGEXMATCH(LOWER(O4126),""k""),
VALUE(REGEXEXTRACT(O4126,""[0-9]+""))*1000,
VALUE(REGEXEXTRACT(O4126,""[0-9]+""))
),
0
)"),0.0)</f>
        <v>0</v>
      </c>
      <c r="E4126" s="1" t="s">
        <v>11</v>
      </c>
      <c r="F4126" s="1" t="s">
        <v>20</v>
      </c>
      <c r="G4126" s="4" t="b">
        <f t="shared" si="2"/>
        <v>1</v>
      </c>
      <c r="H4126" s="1" t="str">
        <f t="shared" si="3"/>
        <v>Currently Unavailable</v>
      </c>
      <c r="I4126" s="1" t="str">
        <f t="shared" si="4"/>
        <v>No Badges</v>
      </c>
      <c r="J4126" s="3">
        <f t="shared" si="5"/>
        <v>0</v>
      </c>
    </row>
    <row r="4127">
      <c r="A4127" s="1" t="s">
        <v>3145</v>
      </c>
      <c r="B4127" s="3" t="str">
        <f t="shared" si="1"/>
        <v>Unavailable</v>
      </c>
      <c r="C4127" s="3">
        <v>139.0</v>
      </c>
      <c r="D4127" s="3">
        <f>IFERROR(__xludf.DUMMYFUNCTION("IFERROR(
IF(REGEXMATCH(LOWER(O4127),""k""),
VALUE(REGEXEXTRACT(O4127,""[0-9]+""))*1000,
VALUE(REGEXEXTRACT(O4127,""[0-9]+""))
),
0
)"),0.0)</f>
        <v>0</v>
      </c>
      <c r="E4127" s="1" t="s">
        <v>11</v>
      </c>
      <c r="F4127" s="1" t="s">
        <v>20</v>
      </c>
      <c r="G4127" s="4" t="b">
        <f t="shared" si="2"/>
        <v>1</v>
      </c>
      <c r="H4127" s="1" t="str">
        <f t="shared" si="3"/>
        <v>Currently Unavailable</v>
      </c>
      <c r="I4127" s="1" t="str">
        <f t="shared" si="4"/>
        <v>No Badges</v>
      </c>
      <c r="J4127" s="3">
        <f t="shared" si="5"/>
        <v>0</v>
      </c>
    </row>
    <row r="4128">
      <c r="A4128" s="1" t="s">
        <v>3071</v>
      </c>
      <c r="B4128" s="3" t="str">
        <f t="shared" si="1"/>
        <v>Unavailable</v>
      </c>
      <c r="C4128" s="3">
        <v>231.0</v>
      </c>
      <c r="D4128" s="3">
        <f>IFERROR(__xludf.DUMMYFUNCTION("IFERROR(
IF(REGEXMATCH(LOWER(O4128),""k""),
VALUE(REGEXEXTRACT(O4128,""[0-9]+""))*1000,
VALUE(REGEXEXTRACT(O4128,""[0-9]+""))
),
0
)"),0.0)</f>
        <v>0</v>
      </c>
      <c r="E4128" s="1" t="s">
        <v>11</v>
      </c>
      <c r="F4128" s="1" t="s">
        <v>20</v>
      </c>
      <c r="G4128" s="4" t="b">
        <f t="shared" si="2"/>
        <v>1</v>
      </c>
      <c r="H4128" s="1" t="str">
        <f t="shared" si="3"/>
        <v>Currently Unavailable</v>
      </c>
      <c r="I4128" s="1" t="str">
        <f t="shared" si="4"/>
        <v>No Badges</v>
      </c>
      <c r="J4128" s="3">
        <f t="shared" si="5"/>
        <v>0</v>
      </c>
    </row>
    <row r="4129">
      <c r="A4129" s="1" t="s">
        <v>3111</v>
      </c>
      <c r="B4129" s="3" t="str">
        <f t="shared" si="1"/>
        <v>Unavailable</v>
      </c>
      <c r="C4129" s="5">
        <v>9858.0</v>
      </c>
      <c r="D4129" s="3">
        <f>IFERROR(__xludf.DUMMYFUNCTION("IFERROR(
IF(REGEXMATCH(LOWER(O4129),""k""),
VALUE(REGEXEXTRACT(O4129,""[0-9]+""))*1000,
VALUE(REGEXEXTRACT(O4129,""[0-9]+""))
),
0
)"),0.0)</f>
        <v>0</v>
      </c>
      <c r="E4129" s="1" t="s">
        <v>11</v>
      </c>
      <c r="F4129" s="1" t="s">
        <v>20</v>
      </c>
      <c r="G4129" s="4" t="b">
        <f t="shared" si="2"/>
        <v>1</v>
      </c>
      <c r="H4129" s="1" t="str">
        <f t="shared" si="3"/>
        <v>Currently Unavailable</v>
      </c>
      <c r="I4129" s="1" t="str">
        <f t="shared" si="4"/>
        <v>No Badges</v>
      </c>
      <c r="J4129" s="3">
        <f t="shared" si="5"/>
        <v>0</v>
      </c>
    </row>
    <row r="4130">
      <c r="A4130" s="1" t="s">
        <v>3146</v>
      </c>
      <c r="B4130" s="3" t="str">
        <f t="shared" si="1"/>
        <v>Unavailable</v>
      </c>
      <c r="C4130" s="5">
        <v>3561.0</v>
      </c>
      <c r="D4130" s="3">
        <f>IFERROR(__xludf.DUMMYFUNCTION("IFERROR(
IF(REGEXMATCH(LOWER(O4130),""k""),
VALUE(REGEXEXTRACT(O4130,""[0-9]+""))*1000,
VALUE(REGEXEXTRACT(O4130,""[0-9]+""))
),
0
)"),0.0)</f>
        <v>0</v>
      </c>
      <c r="E4130" s="1" t="s">
        <v>11</v>
      </c>
      <c r="F4130" s="1" t="s">
        <v>20</v>
      </c>
      <c r="G4130" s="4" t="b">
        <f t="shared" si="2"/>
        <v>1</v>
      </c>
      <c r="H4130" s="1" t="str">
        <f t="shared" si="3"/>
        <v>Currently Unavailable</v>
      </c>
      <c r="I4130" s="1" t="str">
        <f t="shared" si="4"/>
        <v>No Badges</v>
      </c>
      <c r="J4130" s="3">
        <f t="shared" si="5"/>
        <v>0</v>
      </c>
    </row>
    <row r="4131">
      <c r="A4131" s="1" t="s">
        <v>3147</v>
      </c>
      <c r="B4131" s="3" t="str">
        <f t="shared" si="1"/>
        <v>Unavailable</v>
      </c>
      <c r="C4131" s="3">
        <v>218.0</v>
      </c>
      <c r="D4131" s="3">
        <f>IFERROR(__xludf.DUMMYFUNCTION("IFERROR(
IF(REGEXMATCH(LOWER(O4131),""k""),
VALUE(REGEXEXTRACT(O4131,""[0-9]+""))*1000,
VALUE(REGEXEXTRACT(O4131,""[0-9]+""))
),
0
)"),0.0)</f>
        <v>0</v>
      </c>
      <c r="E4131" s="1" t="s">
        <v>11</v>
      </c>
      <c r="F4131" s="1" t="s">
        <v>20</v>
      </c>
      <c r="G4131" s="4" t="b">
        <f t="shared" si="2"/>
        <v>1</v>
      </c>
      <c r="H4131" s="1" t="str">
        <f t="shared" si="3"/>
        <v>Currently Unavailable</v>
      </c>
      <c r="I4131" s="1" t="str">
        <f t="shared" si="4"/>
        <v>No Badges</v>
      </c>
      <c r="J4131" s="3">
        <f t="shared" si="5"/>
        <v>0</v>
      </c>
    </row>
    <row r="4132">
      <c r="A4132" s="1" t="s">
        <v>3148</v>
      </c>
      <c r="B4132" s="3" t="str">
        <f t="shared" si="1"/>
        <v>Unavailable</v>
      </c>
      <c r="C4132" s="3">
        <v>211.0</v>
      </c>
      <c r="D4132" s="3">
        <f>IFERROR(__xludf.DUMMYFUNCTION("IFERROR(
IF(REGEXMATCH(LOWER(O4132),""k""),
VALUE(REGEXEXTRACT(O4132,""[0-9]+""))*1000,
VALUE(REGEXEXTRACT(O4132,""[0-9]+""))
),
0
)"),0.0)</f>
        <v>0</v>
      </c>
      <c r="E4132" s="1" t="s">
        <v>11</v>
      </c>
      <c r="F4132" s="1" t="s">
        <v>20</v>
      </c>
      <c r="G4132" s="4" t="b">
        <f t="shared" si="2"/>
        <v>1</v>
      </c>
      <c r="H4132" s="1" t="str">
        <f t="shared" si="3"/>
        <v>Currently Unavailable</v>
      </c>
      <c r="I4132" s="1" t="str">
        <f t="shared" si="4"/>
        <v>No Badges</v>
      </c>
      <c r="J4132" s="3">
        <f t="shared" si="5"/>
        <v>0</v>
      </c>
    </row>
    <row r="4133">
      <c r="A4133" s="1" t="s">
        <v>3149</v>
      </c>
      <c r="B4133" s="3" t="str">
        <f t="shared" si="1"/>
        <v>Unavailable</v>
      </c>
      <c r="C4133" s="5">
        <v>4062.0</v>
      </c>
      <c r="D4133" s="3">
        <f>IFERROR(__xludf.DUMMYFUNCTION("IFERROR(
IF(REGEXMATCH(LOWER(O4133),""k""),
VALUE(REGEXEXTRACT(O4133,""[0-9]+""))*1000,
VALUE(REGEXEXTRACT(O4133,""[0-9]+""))
),
0
)"),0.0)</f>
        <v>0</v>
      </c>
      <c r="E4133" s="1" t="s">
        <v>11</v>
      </c>
      <c r="F4133" s="1" t="s">
        <v>20</v>
      </c>
      <c r="G4133" s="4" t="b">
        <f t="shared" si="2"/>
        <v>1</v>
      </c>
      <c r="H4133" s="1" t="str">
        <f t="shared" si="3"/>
        <v>Currently Unavailable</v>
      </c>
      <c r="I4133" s="1" t="str">
        <f t="shared" si="4"/>
        <v>No Badges</v>
      </c>
      <c r="J4133" s="3">
        <f t="shared" si="5"/>
        <v>0</v>
      </c>
    </row>
    <row r="4134">
      <c r="A4134" s="1" t="s">
        <v>3150</v>
      </c>
      <c r="B4134" s="3" t="str">
        <f t="shared" si="1"/>
        <v>Unavailable</v>
      </c>
      <c r="C4134" s="5">
        <v>1016.0</v>
      </c>
      <c r="D4134" s="3">
        <f>IFERROR(__xludf.DUMMYFUNCTION("IFERROR(
IF(REGEXMATCH(LOWER(O4134),""k""),
VALUE(REGEXEXTRACT(O4134,""[0-9]+""))*1000,
VALUE(REGEXEXTRACT(O4134,""[0-9]+""))
),
0
)"),0.0)</f>
        <v>0</v>
      </c>
      <c r="E4134" s="1" t="s">
        <v>11</v>
      </c>
      <c r="F4134" s="1" t="s">
        <v>20</v>
      </c>
      <c r="G4134" s="4" t="b">
        <f t="shared" si="2"/>
        <v>1</v>
      </c>
      <c r="H4134" s="1" t="str">
        <f t="shared" si="3"/>
        <v>Currently Unavailable</v>
      </c>
      <c r="I4134" s="1" t="str">
        <f t="shared" si="4"/>
        <v>No Badges</v>
      </c>
      <c r="J4134" s="3">
        <f t="shared" si="5"/>
        <v>0</v>
      </c>
    </row>
    <row r="4135">
      <c r="A4135" s="1" t="s">
        <v>3151</v>
      </c>
      <c r="B4135" s="3" t="str">
        <f t="shared" si="1"/>
        <v>Unavailable</v>
      </c>
      <c r="C4135" s="5">
        <v>10126.0</v>
      </c>
      <c r="D4135" s="3">
        <f>IFERROR(__xludf.DUMMYFUNCTION("IFERROR(
IF(REGEXMATCH(LOWER(O4135),""k""),
VALUE(REGEXEXTRACT(O4135,""[0-9]+""))*1000,
VALUE(REGEXEXTRACT(O4135,""[0-9]+""))
),
0
)"),0.0)</f>
        <v>0</v>
      </c>
      <c r="E4135" s="1" t="s">
        <v>11</v>
      </c>
      <c r="F4135" s="1" t="s">
        <v>20</v>
      </c>
      <c r="G4135" s="4" t="b">
        <f t="shared" si="2"/>
        <v>1</v>
      </c>
      <c r="H4135" s="1" t="str">
        <f t="shared" si="3"/>
        <v>Currently Unavailable</v>
      </c>
      <c r="I4135" s="1" t="str">
        <f t="shared" si="4"/>
        <v>No Badges</v>
      </c>
      <c r="J4135" s="3">
        <f t="shared" si="5"/>
        <v>0</v>
      </c>
    </row>
    <row r="4136">
      <c r="A4136" s="1" t="s">
        <v>3057</v>
      </c>
      <c r="B4136" s="3" t="str">
        <f t="shared" si="1"/>
        <v>Unavailable</v>
      </c>
      <c r="C4136" s="3">
        <v>40.0</v>
      </c>
      <c r="D4136" s="3">
        <f>IFERROR(__xludf.DUMMYFUNCTION("IFERROR(
IF(REGEXMATCH(LOWER(O4136),""k""),
VALUE(REGEXEXTRACT(O4136,""[0-9]+""))*1000,
VALUE(REGEXEXTRACT(O4136,""[0-9]+""))
),
0
)"),0.0)</f>
        <v>0</v>
      </c>
      <c r="E4136" s="1" t="s">
        <v>11</v>
      </c>
      <c r="F4136" s="1" t="s">
        <v>20</v>
      </c>
      <c r="G4136" s="4" t="b">
        <f t="shared" si="2"/>
        <v>1</v>
      </c>
      <c r="H4136" s="1" t="str">
        <f t="shared" si="3"/>
        <v>Currently Unavailable</v>
      </c>
      <c r="I4136" s="1" t="str">
        <f t="shared" si="4"/>
        <v>No Badges</v>
      </c>
      <c r="J4136" s="3">
        <f t="shared" si="5"/>
        <v>0</v>
      </c>
    </row>
    <row r="4137">
      <c r="A4137" s="1" t="s">
        <v>3077</v>
      </c>
      <c r="B4137" s="3" t="str">
        <f t="shared" si="1"/>
        <v>Unavailable</v>
      </c>
      <c r="C4137" s="3">
        <v>652.0</v>
      </c>
      <c r="D4137" s="3">
        <f>IFERROR(__xludf.DUMMYFUNCTION("IFERROR(
IF(REGEXMATCH(LOWER(O4137),""k""),
VALUE(REGEXEXTRACT(O4137,""[0-9]+""))*1000,
VALUE(REGEXEXTRACT(O4137,""[0-9]+""))
),
0
)"),0.0)</f>
        <v>0</v>
      </c>
      <c r="E4137" s="1" t="s">
        <v>11</v>
      </c>
      <c r="F4137" s="1" t="s">
        <v>20</v>
      </c>
      <c r="G4137" s="4" t="b">
        <f t="shared" si="2"/>
        <v>1</v>
      </c>
      <c r="H4137" s="1" t="str">
        <f t="shared" si="3"/>
        <v>Currently Unavailable</v>
      </c>
      <c r="I4137" s="1" t="str">
        <f t="shared" si="4"/>
        <v>No Badges</v>
      </c>
      <c r="J4137" s="3">
        <f t="shared" si="5"/>
        <v>0</v>
      </c>
    </row>
    <row r="4138">
      <c r="A4138" s="1" t="s">
        <v>3152</v>
      </c>
      <c r="B4138" s="3" t="str">
        <f t="shared" si="1"/>
        <v>Unavailable</v>
      </c>
      <c r="C4138" s="3">
        <v>985.0</v>
      </c>
      <c r="D4138" s="3">
        <f>IFERROR(__xludf.DUMMYFUNCTION("IFERROR(
IF(REGEXMATCH(LOWER(O4138),""k""),
VALUE(REGEXEXTRACT(O4138,""[0-9]+""))*1000,
VALUE(REGEXEXTRACT(O4138,""[0-9]+""))
),
0
)"),0.0)</f>
        <v>0</v>
      </c>
      <c r="E4138" s="1" t="s">
        <v>11</v>
      </c>
      <c r="F4138" s="1" t="s">
        <v>20</v>
      </c>
      <c r="G4138" s="4" t="b">
        <f t="shared" si="2"/>
        <v>1</v>
      </c>
      <c r="H4138" s="1" t="str">
        <f t="shared" si="3"/>
        <v>Currently Unavailable</v>
      </c>
      <c r="I4138" s="1" t="str">
        <f t="shared" si="4"/>
        <v>No Badges</v>
      </c>
      <c r="J4138" s="3">
        <f t="shared" si="5"/>
        <v>0</v>
      </c>
    </row>
    <row r="4139">
      <c r="A4139" s="1" t="s">
        <v>3153</v>
      </c>
      <c r="B4139" s="3" t="str">
        <f t="shared" si="1"/>
        <v>Unavailable</v>
      </c>
      <c r="C4139" s="3">
        <v>19.0</v>
      </c>
      <c r="D4139" s="3">
        <f>IFERROR(__xludf.DUMMYFUNCTION("IFERROR(
IF(REGEXMATCH(LOWER(O4139),""k""),
VALUE(REGEXEXTRACT(O4139,""[0-9]+""))*1000,
VALUE(REGEXEXTRACT(O4139,""[0-9]+""))
),
0
)"),0.0)</f>
        <v>0</v>
      </c>
      <c r="E4139" s="1" t="s">
        <v>11</v>
      </c>
      <c r="F4139" s="1" t="s">
        <v>20</v>
      </c>
      <c r="G4139" s="4" t="b">
        <f t="shared" si="2"/>
        <v>1</v>
      </c>
      <c r="H4139" s="1" t="str">
        <f t="shared" si="3"/>
        <v>Currently Unavailable</v>
      </c>
      <c r="I4139" s="1" t="str">
        <f t="shared" si="4"/>
        <v>No Badges</v>
      </c>
      <c r="J4139" s="3">
        <f t="shared" si="5"/>
        <v>0</v>
      </c>
    </row>
    <row r="4140">
      <c r="A4140" s="1" t="s">
        <v>3154</v>
      </c>
      <c r="B4140" s="3" t="str">
        <f t="shared" si="1"/>
        <v>Unavailable</v>
      </c>
      <c r="C4140" s="5">
        <v>4481.0</v>
      </c>
      <c r="D4140" s="3">
        <f>IFERROR(__xludf.DUMMYFUNCTION("IFERROR(
IF(REGEXMATCH(LOWER(O4140),""k""),
VALUE(REGEXEXTRACT(O4140,""[0-9]+""))*1000,
VALUE(REGEXEXTRACT(O4140,""[0-9]+""))
),
0
)"),0.0)</f>
        <v>0</v>
      </c>
      <c r="E4140" s="1" t="s">
        <v>11</v>
      </c>
      <c r="F4140" s="1" t="s">
        <v>20</v>
      </c>
      <c r="G4140" s="4" t="b">
        <f t="shared" si="2"/>
        <v>1</v>
      </c>
      <c r="H4140" s="1" t="str">
        <f t="shared" si="3"/>
        <v>Currently Unavailable</v>
      </c>
      <c r="I4140" s="1" t="str">
        <f t="shared" si="4"/>
        <v>No Badges</v>
      </c>
      <c r="J4140" s="3">
        <f t="shared" si="5"/>
        <v>0</v>
      </c>
    </row>
    <row r="4141">
      <c r="A4141" s="1" t="s">
        <v>69</v>
      </c>
      <c r="B4141" s="3" t="str">
        <f t="shared" si="1"/>
        <v>Unavailable</v>
      </c>
      <c r="C4141" s="3">
        <v>45.0</v>
      </c>
      <c r="D4141" s="3">
        <f>IFERROR(__xludf.DUMMYFUNCTION("IFERROR(
IF(REGEXMATCH(LOWER(O4141),""k""),
VALUE(REGEXEXTRACT(O4141,""[0-9]+""))*1000,
VALUE(REGEXEXTRACT(O4141,""[0-9]+""))
),
0
)"),0.0)</f>
        <v>0</v>
      </c>
      <c r="E4141" s="1" t="s">
        <v>11</v>
      </c>
      <c r="F4141" s="1" t="s">
        <v>12</v>
      </c>
      <c r="G4141" s="4" t="b">
        <f t="shared" si="2"/>
        <v>1</v>
      </c>
      <c r="H4141" s="1" t="str">
        <f t="shared" si="3"/>
        <v>Currently Unavailable</v>
      </c>
      <c r="I4141" s="1" t="str">
        <f t="shared" si="4"/>
        <v>No Badges</v>
      </c>
      <c r="J4141" s="3">
        <f t="shared" si="5"/>
        <v>0</v>
      </c>
    </row>
    <row r="4142">
      <c r="A4142" s="1" t="s">
        <v>3155</v>
      </c>
      <c r="B4142" s="3" t="str">
        <f t="shared" si="1"/>
        <v>Unavailable</v>
      </c>
      <c r="C4142" s="5">
        <v>1148.0</v>
      </c>
      <c r="D4142" s="3">
        <f>IFERROR(__xludf.DUMMYFUNCTION("IFERROR(
IF(REGEXMATCH(LOWER(O4142),""k""),
VALUE(REGEXEXTRACT(O4142,""[0-9]+""))*1000,
VALUE(REGEXEXTRACT(O4142,""[0-9]+""))
),
0
)"),0.0)</f>
        <v>0</v>
      </c>
      <c r="E4142" s="1" t="s">
        <v>11</v>
      </c>
      <c r="F4142" s="1" t="s">
        <v>20</v>
      </c>
      <c r="G4142" s="4" t="b">
        <f t="shared" si="2"/>
        <v>1</v>
      </c>
      <c r="H4142" s="1" t="str">
        <f t="shared" si="3"/>
        <v>Currently Unavailable</v>
      </c>
      <c r="I4142" s="1" t="str">
        <f t="shared" si="4"/>
        <v>No Badges</v>
      </c>
      <c r="J4142" s="3">
        <f t="shared" si="5"/>
        <v>0</v>
      </c>
    </row>
    <row r="4143">
      <c r="A4143" s="1" t="s">
        <v>3156</v>
      </c>
      <c r="B4143" s="3" t="str">
        <f t="shared" si="1"/>
        <v>Unavailable</v>
      </c>
      <c r="C4143" s="3">
        <v>558.0</v>
      </c>
      <c r="D4143" s="3">
        <f>IFERROR(__xludf.DUMMYFUNCTION("IFERROR(
IF(REGEXMATCH(LOWER(O4143),""k""),
VALUE(REGEXEXTRACT(O4143,""[0-9]+""))*1000,
VALUE(REGEXEXTRACT(O4143,""[0-9]+""))
),
0
)"),0.0)</f>
        <v>0</v>
      </c>
      <c r="E4143" s="1" t="s">
        <v>11</v>
      </c>
      <c r="F4143" s="1" t="s">
        <v>20</v>
      </c>
      <c r="G4143" s="4" t="b">
        <f t="shared" si="2"/>
        <v>1</v>
      </c>
      <c r="H4143" s="1" t="str">
        <f t="shared" si="3"/>
        <v>Currently Unavailable</v>
      </c>
      <c r="I4143" s="1" t="str">
        <f t="shared" si="4"/>
        <v>No Badges</v>
      </c>
      <c r="J4143" s="3">
        <f t="shared" si="5"/>
        <v>0</v>
      </c>
    </row>
    <row r="4144">
      <c r="A4144" s="1" t="s">
        <v>3157</v>
      </c>
      <c r="B4144" s="3" t="str">
        <f t="shared" si="1"/>
        <v>Unavailable</v>
      </c>
      <c r="C4144" s="3">
        <v>522.0</v>
      </c>
      <c r="D4144" s="3">
        <f>IFERROR(__xludf.DUMMYFUNCTION("IFERROR(
IF(REGEXMATCH(LOWER(O4144),""k""),
VALUE(REGEXEXTRACT(O4144,""[0-9]+""))*1000,
VALUE(REGEXEXTRACT(O4144,""[0-9]+""))
),
0
)"),0.0)</f>
        <v>0</v>
      </c>
      <c r="E4144" s="1" t="s">
        <v>11</v>
      </c>
      <c r="F4144" s="1" t="s">
        <v>20</v>
      </c>
      <c r="G4144" s="4" t="b">
        <f t="shared" si="2"/>
        <v>1</v>
      </c>
      <c r="H4144" s="1" t="str">
        <f t="shared" si="3"/>
        <v>Currently Unavailable</v>
      </c>
      <c r="I4144" s="1" t="str">
        <f t="shared" si="4"/>
        <v>No Badges</v>
      </c>
      <c r="J4144" s="3">
        <f t="shared" si="5"/>
        <v>0</v>
      </c>
    </row>
    <row r="4145">
      <c r="A4145" s="1" t="s">
        <v>3158</v>
      </c>
      <c r="B4145" s="3" t="str">
        <f t="shared" si="1"/>
        <v>Unavailable</v>
      </c>
      <c r="C4145" s="3">
        <v>125.0</v>
      </c>
      <c r="D4145" s="3">
        <f>IFERROR(__xludf.DUMMYFUNCTION("IFERROR(
IF(REGEXMATCH(LOWER(O4145),""k""),
VALUE(REGEXEXTRACT(O4145,""[0-9]+""))*1000,
VALUE(REGEXEXTRACT(O4145,""[0-9]+""))
),
0
)"),0.0)</f>
        <v>0</v>
      </c>
      <c r="E4145" s="1" t="s">
        <v>11</v>
      </c>
      <c r="F4145" s="1" t="s">
        <v>20</v>
      </c>
      <c r="G4145" s="4" t="b">
        <f t="shared" si="2"/>
        <v>1</v>
      </c>
      <c r="H4145" s="1" t="str">
        <f t="shared" si="3"/>
        <v>Currently Unavailable</v>
      </c>
      <c r="I4145" s="1" t="str">
        <f t="shared" si="4"/>
        <v>No Badges</v>
      </c>
      <c r="J4145" s="3">
        <f t="shared" si="5"/>
        <v>0</v>
      </c>
    </row>
    <row r="4146">
      <c r="A4146" s="1" t="s">
        <v>3159</v>
      </c>
      <c r="B4146" s="3" t="str">
        <f t="shared" si="1"/>
        <v>Unavailable</v>
      </c>
      <c r="C4146" s="3">
        <v>307.0</v>
      </c>
      <c r="D4146" s="3">
        <f>IFERROR(__xludf.DUMMYFUNCTION("IFERROR(
IF(REGEXMATCH(LOWER(O4146),""k""),
VALUE(REGEXEXTRACT(O4146,""[0-9]+""))*1000,
VALUE(REGEXEXTRACT(O4146,""[0-9]+""))
),
0
)"),0.0)</f>
        <v>0</v>
      </c>
      <c r="E4146" s="1" t="s">
        <v>11</v>
      </c>
      <c r="F4146" s="1" t="s">
        <v>20</v>
      </c>
      <c r="G4146" s="4" t="b">
        <f t="shared" si="2"/>
        <v>1</v>
      </c>
      <c r="H4146" s="1" t="str">
        <f t="shared" si="3"/>
        <v>Currently Unavailable</v>
      </c>
      <c r="I4146" s="1" t="str">
        <f t="shared" si="4"/>
        <v>No Badges</v>
      </c>
      <c r="J4146" s="3">
        <f t="shared" si="5"/>
        <v>0</v>
      </c>
    </row>
    <row r="4147">
      <c r="A4147" s="1" t="s">
        <v>3160</v>
      </c>
      <c r="B4147" s="3" t="str">
        <f t="shared" si="1"/>
        <v>Unavailable</v>
      </c>
      <c r="C4147" s="3">
        <v>45.0</v>
      </c>
      <c r="D4147" s="3">
        <f>IFERROR(__xludf.DUMMYFUNCTION("IFERROR(
IF(REGEXMATCH(LOWER(O4147),""k""),
VALUE(REGEXEXTRACT(O4147,""[0-9]+""))*1000,
VALUE(REGEXEXTRACT(O4147,""[0-9]+""))
),
0
)"),0.0)</f>
        <v>0</v>
      </c>
      <c r="E4147" s="1" t="s">
        <v>11</v>
      </c>
      <c r="F4147" s="1" t="s">
        <v>20</v>
      </c>
      <c r="G4147" s="4" t="b">
        <f t="shared" si="2"/>
        <v>1</v>
      </c>
      <c r="H4147" s="1" t="str">
        <f t="shared" si="3"/>
        <v>Currently Unavailable</v>
      </c>
      <c r="I4147" s="1" t="str">
        <f t="shared" si="4"/>
        <v>No Badges</v>
      </c>
      <c r="J4147" s="3">
        <f t="shared" si="5"/>
        <v>0</v>
      </c>
    </row>
    <row r="4148">
      <c r="A4148" s="1" t="s">
        <v>2653</v>
      </c>
      <c r="B4148" s="3" t="str">
        <f t="shared" si="1"/>
        <v>Unavailable</v>
      </c>
      <c r="C4148" s="3">
        <v>114.0</v>
      </c>
      <c r="D4148" s="3">
        <f>IFERROR(__xludf.DUMMYFUNCTION("IFERROR(
IF(REGEXMATCH(LOWER(O4148),""k""),
VALUE(REGEXEXTRACT(O4148,""[0-9]+""))*1000,
VALUE(REGEXEXTRACT(O4148,""[0-9]+""))
),
0
)"),0.0)</f>
        <v>0</v>
      </c>
      <c r="E4148" s="1" t="s">
        <v>11</v>
      </c>
      <c r="F4148" s="1" t="s">
        <v>20</v>
      </c>
      <c r="G4148" s="4" t="b">
        <f t="shared" si="2"/>
        <v>1</v>
      </c>
      <c r="H4148" s="1" t="str">
        <f t="shared" si="3"/>
        <v>Currently Unavailable</v>
      </c>
      <c r="I4148" s="1" t="str">
        <f t="shared" si="4"/>
        <v>No Badges</v>
      </c>
      <c r="J4148" s="3">
        <f t="shared" si="5"/>
        <v>0</v>
      </c>
    </row>
    <row r="4149">
      <c r="A4149" s="1" t="s">
        <v>3161</v>
      </c>
      <c r="B4149" s="3" t="str">
        <f t="shared" si="1"/>
        <v>Unavailable</v>
      </c>
      <c r="C4149" s="5">
        <v>2280.0</v>
      </c>
      <c r="D4149" s="3">
        <f>IFERROR(__xludf.DUMMYFUNCTION("IFERROR(
IF(REGEXMATCH(LOWER(O4149),""k""),
VALUE(REGEXEXTRACT(O4149,""[0-9]+""))*1000,
VALUE(REGEXEXTRACT(O4149,""[0-9]+""))
),
0
)"),0.0)</f>
        <v>0</v>
      </c>
      <c r="E4149" s="1" t="s">
        <v>11</v>
      </c>
      <c r="F4149" s="1" t="s">
        <v>20</v>
      </c>
      <c r="G4149" s="4" t="b">
        <f t="shared" si="2"/>
        <v>1</v>
      </c>
      <c r="H4149" s="1" t="str">
        <f t="shared" si="3"/>
        <v>Currently Unavailable</v>
      </c>
      <c r="I4149" s="1" t="str">
        <f t="shared" si="4"/>
        <v>No Badges</v>
      </c>
      <c r="J4149" s="3">
        <f t="shared" si="5"/>
        <v>0</v>
      </c>
    </row>
    <row r="4150">
      <c r="A4150" s="1" t="s">
        <v>3162</v>
      </c>
      <c r="B4150" s="3" t="str">
        <f t="shared" si="1"/>
        <v>Unavailable</v>
      </c>
      <c r="C4150" s="3">
        <v>1.0</v>
      </c>
      <c r="D4150" s="3">
        <f>IFERROR(__xludf.DUMMYFUNCTION("IFERROR(
IF(REGEXMATCH(LOWER(O4150),""k""),
VALUE(REGEXEXTRACT(O4150,""[0-9]+""))*1000,
VALUE(REGEXEXTRACT(O4150,""[0-9]+""))
),
0
)"),0.0)</f>
        <v>0</v>
      </c>
      <c r="E4150" s="1" t="s">
        <v>11</v>
      </c>
      <c r="F4150" s="1" t="s">
        <v>20</v>
      </c>
      <c r="G4150" s="4" t="b">
        <f t="shared" si="2"/>
        <v>1</v>
      </c>
      <c r="H4150" s="1" t="str">
        <f t="shared" si="3"/>
        <v>Currently Unavailable</v>
      </c>
      <c r="I4150" s="1" t="str">
        <f t="shared" si="4"/>
        <v>No Badges</v>
      </c>
      <c r="J4150" s="3">
        <f t="shared" si="5"/>
        <v>0</v>
      </c>
    </row>
    <row r="4151">
      <c r="A4151" s="1" t="s">
        <v>3163</v>
      </c>
      <c r="B4151" s="3" t="str">
        <f t="shared" si="1"/>
        <v>Unavailable</v>
      </c>
      <c r="C4151" s="3">
        <v>500.0</v>
      </c>
      <c r="D4151" s="3">
        <f>IFERROR(__xludf.DUMMYFUNCTION("IFERROR(
IF(REGEXMATCH(LOWER(O4151),""k""),
VALUE(REGEXEXTRACT(O4151,""[0-9]+""))*1000,
VALUE(REGEXEXTRACT(O4151,""[0-9]+""))
),
0
)"),0.0)</f>
        <v>0</v>
      </c>
      <c r="E4151" s="1" t="s">
        <v>11</v>
      </c>
      <c r="F4151" s="1" t="s">
        <v>20</v>
      </c>
      <c r="G4151" s="4" t="b">
        <f t="shared" si="2"/>
        <v>1</v>
      </c>
      <c r="H4151" s="1" t="str">
        <f t="shared" si="3"/>
        <v>Currently Unavailable</v>
      </c>
      <c r="I4151" s="1" t="str">
        <f t="shared" si="4"/>
        <v>No Badges</v>
      </c>
      <c r="J4151" s="3">
        <f t="shared" si="5"/>
        <v>0</v>
      </c>
    </row>
    <row r="4152">
      <c r="A4152" s="1" t="s">
        <v>3164</v>
      </c>
      <c r="B4152" s="3" t="str">
        <f t="shared" si="1"/>
        <v>Unavailable</v>
      </c>
      <c r="C4152" s="3">
        <v>44.0</v>
      </c>
      <c r="D4152" s="3">
        <f>IFERROR(__xludf.DUMMYFUNCTION("IFERROR(
IF(REGEXMATCH(LOWER(O4152),""k""),
VALUE(REGEXEXTRACT(O4152,""[0-9]+""))*1000,
VALUE(REGEXEXTRACT(O4152,""[0-9]+""))
),
0
)"),0.0)</f>
        <v>0</v>
      </c>
      <c r="E4152" s="1" t="s">
        <v>11</v>
      </c>
      <c r="F4152" s="1" t="s">
        <v>20</v>
      </c>
      <c r="G4152" s="4" t="b">
        <f t="shared" si="2"/>
        <v>1</v>
      </c>
      <c r="H4152" s="1" t="str">
        <f t="shared" si="3"/>
        <v>Currently Unavailable</v>
      </c>
      <c r="I4152" s="1" t="str">
        <f t="shared" si="4"/>
        <v>No Badges</v>
      </c>
      <c r="J4152" s="3">
        <f t="shared" si="5"/>
        <v>0</v>
      </c>
    </row>
    <row r="4153">
      <c r="A4153" s="1" t="s">
        <v>3165</v>
      </c>
      <c r="B4153" s="3" t="str">
        <f t="shared" si="1"/>
        <v>Unavailable</v>
      </c>
      <c r="C4153" s="3">
        <v>633.0</v>
      </c>
      <c r="D4153" s="3">
        <f>IFERROR(__xludf.DUMMYFUNCTION("IFERROR(
IF(REGEXMATCH(LOWER(O4153),""k""),
VALUE(REGEXEXTRACT(O4153,""[0-9]+""))*1000,
VALUE(REGEXEXTRACT(O4153,""[0-9]+""))
),
0
)"),0.0)</f>
        <v>0</v>
      </c>
      <c r="E4153" s="1" t="s">
        <v>11</v>
      </c>
      <c r="F4153" s="1" t="s">
        <v>20</v>
      </c>
      <c r="G4153" s="4" t="b">
        <f t="shared" si="2"/>
        <v>1</v>
      </c>
      <c r="H4153" s="1" t="str">
        <f t="shared" si="3"/>
        <v>Currently Unavailable</v>
      </c>
      <c r="I4153" s="1" t="str">
        <f t="shared" si="4"/>
        <v>No Badges</v>
      </c>
      <c r="J4153" s="3">
        <f t="shared" si="5"/>
        <v>0</v>
      </c>
    </row>
    <row r="4154">
      <c r="A4154" s="1" t="s">
        <v>67</v>
      </c>
      <c r="B4154" s="3" t="str">
        <f t="shared" si="1"/>
        <v>Unavailable</v>
      </c>
      <c r="C4154" s="3">
        <v>264.0</v>
      </c>
      <c r="D4154" s="3">
        <f>IFERROR(__xludf.DUMMYFUNCTION("IFERROR(
IF(REGEXMATCH(LOWER(O4154),""k""),
VALUE(REGEXEXTRACT(O4154,""[0-9]+""))*1000,
VALUE(REGEXEXTRACT(O4154,""[0-9]+""))
),
0
)"),0.0)</f>
        <v>0</v>
      </c>
      <c r="E4154" s="1" t="s">
        <v>11</v>
      </c>
      <c r="F4154" s="1" t="s">
        <v>12</v>
      </c>
      <c r="G4154" s="4" t="b">
        <f t="shared" si="2"/>
        <v>1</v>
      </c>
      <c r="H4154" s="1" t="str">
        <f t="shared" si="3"/>
        <v>Currently Unavailable</v>
      </c>
      <c r="I4154" s="1" t="str">
        <f t="shared" si="4"/>
        <v>No Badges</v>
      </c>
      <c r="J4154" s="3">
        <f t="shared" si="5"/>
        <v>0</v>
      </c>
    </row>
    <row r="4155">
      <c r="A4155" s="1" t="s">
        <v>3166</v>
      </c>
      <c r="B4155" s="3" t="str">
        <f t="shared" si="1"/>
        <v>Unavailable</v>
      </c>
      <c r="C4155" s="3">
        <v>15.0</v>
      </c>
      <c r="D4155" s="3">
        <f>IFERROR(__xludf.DUMMYFUNCTION("IFERROR(
IF(REGEXMATCH(LOWER(O4155),""k""),
VALUE(REGEXEXTRACT(O4155,""[0-9]+""))*1000,
VALUE(REGEXEXTRACT(O4155,""[0-9]+""))
),
0
)"),0.0)</f>
        <v>0</v>
      </c>
      <c r="E4155" s="1" t="s">
        <v>11</v>
      </c>
      <c r="F4155" s="1" t="s">
        <v>20</v>
      </c>
      <c r="G4155" s="4" t="b">
        <f t="shared" si="2"/>
        <v>1</v>
      </c>
      <c r="H4155" s="1" t="str">
        <f t="shared" si="3"/>
        <v>Currently Unavailable</v>
      </c>
      <c r="I4155" s="1" t="str">
        <f t="shared" si="4"/>
        <v>No Badges</v>
      </c>
      <c r="J4155" s="3">
        <f t="shared" si="5"/>
        <v>0</v>
      </c>
    </row>
    <row r="4156">
      <c r="A4156" s="1" t="s">
        <v>3167</v>
      </c>
      <c r="B4156" s="3" t="str">
        <f t="shared" si="1"/>
        <v>Unavailable</v>
      </c>
      <c r="C4156" s="3">
        <v>263.0</v>
      </c>
      <c r="D4156" s="3">
        <f>IFERROR(__xludf.DUMMYFUNCTION("IFERROR(
IF(REGEXMATCH(LOWER(O4156),""k""),
VALUE(REGEXEXTRACT(O4156,""[0-9]+""))*1000,
VALUE(REGEXEXTRACT(O4156,""[0-9]+""))
),
0
)"),0.0)</f>
        <v>0</v>
      </c>
      <c r="E4156" s="1" t="s">
        <v>11</v>
      </c>
      <c r="F4156" s="1" t="s">
        <v>20</v>
      </c>
      <c r="G4156" s="4" t="b">
        <f t="shared" si="2"/>
        <v>1</v>
      </c>
      <c r="H4156" s="1" t="str">
        <f t="shared" si="3"/>
        <v>Currently Unavailable</v>
      </c>
      <c r="I4156" s="1" t="str">
        <f t="shared" si="4"/>
        <v>No Badges</v>
      </c>
      <c r="J4156" s="3">
        <f t="shared" si="5"/>
        <v>0</v>
      </c>
    </row>
    <row r="4157">
      <c r="A4157" s="1" t="s">
        <v>3168</v>
      </c>
      <c r="B4157" s="3" t="str">
        <f t="shared" si="1"/>
        <v>Unavailable</v>
      </c>
      <c r="C4157" s="3">
        <v>889.0</v>
      </c>
      <c r="D4157" s="3">
        <f>IFERROR(__xludf.DUMMYFUNCTION("IFERROR(
IF(REGEXMATCH(LOWER(O4157),""k""),
VALUE(REGEXEXTRACT(O4157,""[0-9]+""))*1000,
VALUE(REGEXEXTRACT(O4157,""[0-9]+""))
),
0
)"),0.0)</f>
        <v>0</v>
      </c>
      <c r="E4157" s="1" t="s">
        <v>11</v>
      </c>
      <c r="F4157" s="1" t="s">
        <v>20</v>
      </c>
      <c r="G4157" s="4" t="b">
        <f t="shared" si="2"/>
        <v>1</v>
      </c>
      <c r="H4157" s="1" t="str">
        <f t="shared" si="3"/>
        <v>Currently Unavailable</v>
      </c>
      <c r="I4157" s="1" t="str">
        <f t="shared" si="4"/>
        <v>No Badges</v>
      </c>
      <c r="J4157" s="3">
        <f t="shared" si="5"/>
        <v>0</v>
      </c>
    </row>
    <row r="4158">
      <c r="A4158" s="1" t="s">
        <v>3169</v>
      </c>
      <c r="B4158" s="3" t="str">
        <f t="shared" si="1"/>
        <v>Unavailable</v>
      </c>
      <c r="C4158" s="5">
        <v>1928.0</v>
      </c>
      <c r="D4158" s="3">
        <f>IFERROR(__xludf.DUMMYFUNCTION("IFERROR(
IF(REGEXMATCH(LOWER(O4158),""k""),
VALUE(REGEXEXTRACT(O4158,""[0-9]+""))*1000,
VALUE(REGEXEXTRACT(O4158,""[0-9]+""))
),
0
)"),0.0)</f>
        <v>0</v>
      </c>
      <c r="E4158" s="1" t="s">
        <v>11</v>
      </c>
      <c r="F4158" s="1" t="s">
        <v>20</v>
      </c>
      <c r="G4158" s="4" t="b">
        <f t="shared" si="2"/>
        <v>1</v>
      </c>
      <c r="H4158" s="1" t="str">
        <f t="shared" si="3"/>
        <v>Currently Unavailable</v>
      </c>
      <c r="I4158" s="1" t="str">
        <f t="shared" si="4"/>
        <v>No Badges</v>
      </c>
      <c r="J4158" s="3">
        <f t="shared" si="5"/>
        <v>0</v>
      </c>
    </row>
    <row r="4159">
      <c r="A4159" s="1" t="s">
        <v>3170</v>
      </c>
      <c r="B4159" s="3" t="str">
        <f t="shared" si="1"/>
        <v>Unavailable</v>
      </c>
      <c r="C4159" s="5">
        <v>1669.0</v>
      </c>
      <c r="D4159" s="3">
        <f>IFERROR(__xludf.DUMMYFUNCTION("IFERROR(
IF(REGEXMATCH(LOWER(O4159),""k""),
VALUE(REGEXEXTRACT(O4159,""[0-9]+""))*1000,
VALUE(REGEXEXTRACT(O4159,""[0-9]+""))
),
0
)"),0.0)</f>
        <v>0</v>
      </c>
      <c r="E4159" s="1" t="s">
        <v>11</v>
      </c>
      <c r="F4159" s="1" t="s">
        <v>20</v>
      </c>
      <c r="G4159" s="4" t="b">
        <f t="shared" si="2"/>
        <v>1</v>
      </c>
      <c r="H4159" s="1" t="str">
        <f t="shared" si="3"/>
        <v>Currently Unavailable</v>
      </c>
      <c r="I4159" s="1" t="str">
        <f t="shared" si="4"/>
        <v>No Badges</v>
      </c>
      <c r="J4159" s="3">
        <f t="shared" si="5"/>
        <v>0</v>
      </c>
    </row>
    <row r="4160">
      <c r="A4160" s="1" t="s">
        <v>3089</v>
      </c>
      <c r="B4160" s="3" t="str">
        <f t="shared" si="1"/>
        <v>Unavailable</v>
      </c>
      <c r="C4160" s="5">
        <v>2049.0</v>
      </c>
      <c r="D4160" s="3">
        <f>IFERROR(__xludf.DUMMYFUNCTION("IFERROR(
IF(REGEXMATCH(LOWER(O4160),""k""),
VALUE(REGEXEXTRACT(O4160,""[0-9]+""))*1000,
VALUE(REGEXEXTRACT(O4160,""[0-9]+""))
),
0
)"),0.0)</f>
        <v>0</v>
      </c>
      <c r="E4160" s="1" t="s">
        <v>11</v>
      </c>
      <c r="F4160" s="1" t="s">
        <v>20</v>
      </c>
      <c r="G4160" s="4" t="b">
        <f t="shared" si="2"/>
        <v>1</v>
      </c>
      <c r="H4160" s="1" t="str">
        <f t="shared" si="3"/>
        <v>Currently Unavailable</v>
      </c>
      <c r="I4160" s="1" t="str">
        <f t="shared" si="4"/>
        <v>No Badges</v>
      </c>
      <c r="J4160" s="3">
        <f t="shared" si="5"/>
        <v>0</v>
      </c>
    </row>
    <row r="4161">
      <c r="A4161" s="1" t="s">
        <v>3171</v>
      </c>
      <c r="B4161" s="3" t="str">
        <f t="shared" si="1"/>
        <v>Unavailable</v>
      </c>
      <c r="C4161" s="5">
        <v>1439.0</v>
      </c>
      <c r="D4161" s="3">
        <f>IFERROR(__xludf.DUMMYFUNCTION("IFERROR(
IF(REGEXMATCH(LOWER(O4161),""k""),
VALUE(REGEXEXTRACT(O4161,""[0-9]+""))*1000,
VALUE(REGEXEXTRACT(O4161,""[0-9]+""))
),
0
)"),0.0)</f>
        <v>0</v>
      </c>
      <c r="E4161" s="1" t="s">
        <v>11</v>
      </c>
      <c r="F4161" s="1" t="s">
        <v>20</v>
      </c>
      <c r="G4161" s="4" t="b">
        <f t="shared" si="2"/>
        <v>1</v>
      </c>
      <c r="H4161" s="1" t="str">
        <f t="shared" si="3"/>
        <v>Currently Unavailable</v>
      </c>
      <c r="I4161" s="1" t="str">
        <f t="shared" si="4"/>
        <v>No Badges</v>
      </c>
      <c r="J4161" s="3">
        <f t="shared" si="5"/>
        <v>0</v>
      </c>
    </row>
    <row r="4162">
      <c r="A4162" s="1" t="s">
        <v>3013</v>
      </c>
      <c r="B4162" s="3" t="str">
        <f t="shared" si="1"/>
        <v>Unavailable</v>
      </c>
      <c r="C4162" s="3">
        <v>46.0</v>
      </c>
      <c r="D4162" s="3">
        <f>IFERROR(__xludf.DUMMYFUNCTION("IFERROR(
IF(REGEXMATCH(LOWER(O4162),""k""),
VALUE(REGEXEXTRACT(O4162,""[0-9]+""))*1000,
VALUE(REGEXEXTRACT(O4162,""[0-9]+""))
),
0
)"),0.0)</f>
        <v>0</v>
      </c>
      <c r="E4162" s="1" t="s">
        <v>11</v>
      </c>
      <c r="F4162" s="1" t="s">
        <v>20</v>
      </c>
      <c r="G4162" s="4" t="b">
        <f t="shared" si="2"/>
        <v>1</v>
      </c>
      <c r="H4162" s="1" t="str">
        <f t="shared" si="3"/>
        <v>Currently Unavailable</v>
      </c>
      <c r="I4162" s="1" t="str">
        <f t="shared" si="4"/>
        <v>No Badges</v>
      </c>
      <c r="J4162" s="3">
        <f t="shared" si="5"/>
        <v>0</v>
      </c>
    </row>
    <row r="4163">
      <c r="A4163" s="1" t="s">
        <v>3172</v>
      </c>
      <c r="B4163" s="3" t="str">
        <f t="shared" si="1"/>
        <v>Unavailable</v>
      </c>
      <c r="C4163" s="3">
        <v>842.0</v>
      </c>
      <c r="D4163" s="3">
        <f>IFERROR(__xludf.DUMMYFUNCTION("IFERROR(
IF(REGEXMATCH(LOWER(O4163),""k""),
VALUE(REGEXEXTRACT(O4163,""[0-9]+""))*1000,
VALUE(REGEXEXTRACT(O4163,""[0-9]+""))
),
0
)"),0.0)</f>
        <v>0</v>
      </c>
      <c r="E4163" s="1" t="s">
        <v>11</v>
      </c>
      <c r="F4163" s="1" t="s">
        <v>20</v>
      </c>
      <c r="G4163" s="4" t="b">
        <f t="shared" si="2"/>
        <v>1</v>
      </c>
      <c r="H4163" s="1" t="str">
        <f t="shared" si="3"/>
        <v>Currently Unavailable</v>
      </c>
      <c r="I4163" s="1" t="str">
        <f t="shared" si="4"/>
        <v>No Badges</v>
      </c>
      <c r="J4163" s="3">
        <f t="shared" si="5"/>
        <v>0</v>
      </c>
    </row>
    <row r="4164">
      <c r="A4164" s="1" t="s">
        <v>3173</v>
      </c>
      <c r="B4164" s="3" t="str">
        <f t="shared" si="1"/>
        <v>Unavailable</v>
      </c>
      <c r="C4164" s="5">
        <v>1201.0</v>
      </c>
      <c r="D4164" s="3">
        <f>IFERROR(__xludf.DUMMYFUNCTION("IFERROR(
IF(REGEXMATCH(LOWER(O4164),""k""),
VALUE(REGEXEXTRACT(O4164,""[0-9]+""))*1000,
VALUE(REGEXEXTRACT(O4164,""[0-9]+""))
),
0
)"),0.0)</f>
        <v>0</v>
      </c>
      <c r="E4164" s="1" t="s">
        <v>11</v>
      </c>
      <c r="F4164" s="1" t="s">
        <v>20</v>
      </c>
      <c r="G4164" s="4" t="b">
        <f t="shared" si="2"/>
        <v>1</v>
      </c>
      <c r="H4164" s="1" t="str">
        <f t="shared" si="3"/>
        <v>Currently Unavailable</v>
      </c>
      <c r="I4164" s="1" t="str">
        <f t="shared" si="4"/>
        <v>No Badges</v>
      </c>
      <c r="J4164" s="3">
        <f t="shared" si="5"/>
        <v>0</v>
      </c>
    </row>
    <row r="4165">
      <c r="A4165" s="1" t="s">
        <v>3068</v>
      </c>
      <c r="B4165" s="3" t="str">
        <f t="shared" si="1"/>
        <v>Unavailable</v>
      </c>
      <c r="C4165" s="5">
        <v>2410.0</v>
      </c>
      <c r="D4165" s="3">
        <f>IFERROR(__xludf.DUMMYFUNCTION("IFERROR(
IF(REGEXMATCH(LOWER(O4165),""k""),
VALUE(REGEXEXTRACT(O4165,""[0-9]+""))*1000,
VALUE(REGEXEXTRACT(O4165,""[0-9]+""))
),
0
)"),0.0)</f>
        <v>0</v>
      </c>
      <c r="E4165" s="1" t="s">
        <v>11</v>
      </c>
      <c r="F4165" s="1" t="s">
        <v>20</v>
      </c>
      <c r="G4165" s="4" t="b">
        <f t="shared" si="2"/>
        <v>1</v>
      </c>
      <c r="H4165" s="1" t="str">
        <f t="shared" si="3"/>
        <v>Currently Unavailable</v>
      </c>
      <c r="I4165" s="1" t="str">
        <f t="shared" si="4"/>
        <v>No Badges</v>
      </c>
      <c r="J4165" s="3">
        <f t="shared" si="5"/>
        <v>0</v>
      </c>
    </row>
    <row r="4166">
      <c r="A4166" s="1" t="s">
        <v>3174</v>
      </c>
      <c r="B4166" s="3" t="str">
        <f t="shared" si="1"/>
        <v>Unavailable</v>
      </c>
      <c r="C4166" s="3">
        <v>110.0</v>
      </c>
      <c r="D4166" s="3">
        <f>IFERROR(__xludf.DUMMYFUNCTION("IFERROR(
IF(REGEXMATCH(LOWER(O4166),""k""),
VALUE(REGEXEXTRACT(O4166,""[0-9]+""))*1000,
VALUE(REGEXEXTRACT(O4166,""[0-9]+""))
),
0
)"),0.0)</f>
        <v>0</v>
      </c>
      <c r="E4166" s="1" t="s">
        <v>11</v>
      </c>
      <c r="F4166" s="1" t="s">
        <v>20</v>
      </c>
      <c r="G4166" s="4" t="b">
        <f t="shared" si="2"/>
        <v>1</v>
      </c>
      <c r="H4166" s="1" t="str">
        <f t="shared" si="3"/>
        <v>Currently Unavailable</v>
      </c>
      <c r="I4166" s="1" t="str">
        <f t="shared" si="4"/>
        <v>No Badges</v>
      </c>
      <c r="J4166" s="3">
        <f t="shared" si="5"/>
        <v>0</v>
      </c>
    </row>
    <row r="4167">
      <c r="A4167" s="1" t="s">
        <v>3175</v>
      </c>
      <c r="B4167" s="3" t="str">
        <f t="shared" si="1"/>
        <v>Unavailable</v>
      </c>
      <c r="C4167" s="5">
        <v>4624.0</v>
      </c>
      <c r="D4167" s="3">
        <f>IFERROR(__xludf.DUMMYFUNCTION("IFERROR(
IF(REGEXMATCH(LOWER(O4167),""k""),
VALUE(REGEXEXTRACT(O4167,""[0-9]+""))*1000,
VALUE(REGEXEXTRACT(O4167,""[0-9]+""))
),
0
)"),0.0)</f>
        <v>0</v>
      </c>
      <c r="E4167" s="1" t="s">
        <v>11</v>
      </c>
      <c r="F4167" s="1" t="s">
        <v>20</v>
      </c>
      <c r="G4167" s="4" t="b">
        <f t="shared" si="2"/>
        <v>1</v>
      </c>
      <c r="H4167" s="1" t="str">
        <f t="shared" si="3"/>
        <v>Currently Unavailable</v>
      </c>
      <c r="I4167" s="1" t="str">
        <f t="shared" si="4"/>
        <v>No Badges</v>
      </c>
      <c r="J4167" s="3">
        <f t="shared" si="5"/>
        <v>0</v>
      </c>
    </row>
    <row r="4168">
      <c r="A4168" s="1" t="s">
        <v>3176</v>
      </c>
      <c r="B4168" s="3" t="str">
        <f t="shared" si="1"/>
        <v>Unavailable</v>
      </c>
      <c r="C4168" s="5">
        <v>3876.0</v>
      </c>
      <c r="D4168" s="3">
        <f>IFERROR(__xludf.DUMMYFUNCTION("IFERROR(
IF(REGEXMATCH(LOWER(O4168),""k""),
VALUE(REGEXEXTRACT(O4168,""[0-9]+""))*1000,
VALUE(REGEXEXTRACT(O4168,""[0-9]+""))
),
0
)"),0.0)</f>
        <v>0</v>
      </c>
      <c r="E4168" s="1" t="s">
        <v>11</v>
      </c>
      <c r="F4168" s="1" t="s">
        <v>20</v>
      </c>
      <c r="G4168" s="4" t="b">
        <f t="shared" si="2"/>
        <v>1</v>
      </c>
      <c r="H4168" s="1" t="str">
        <f t="shared" si="3"/>
        <v>Currently Unavailable</v>
      </c>
      <c r="I4168" s="1" t="str">
        <f t="shared" si="4"/>
        <v>No Badges</v>
      </c>
      <c r="J4168" s="3">
        <f t="shared" si="5"/>
        <v>0</v>
      </c>
    </row>
    <row r="4169">
      <c r="A4169" s="1" t="s">
        <v>604</v>
      </c>
      <c r="B4169" s="3" t="str">
        <f t="shared" si="1"/>
        <v>Unavailable</v>
      </c>
      <c r="C4169" s="3">
        <v>30.0</v>
      </c>
      <c r="D4169" s="3">
        <f>IFERROR(__xludf.DUMMYFUNCTION("IFERROR(
IF(REGEXMATCH(LOWER(O4169),""k""),
VALUE(REGEXEXTRACT(O4169,""[0-9]+""))*1000,
VALUE(REGEXEXTRACT(O4169,""[0-9]+""))
),
0
)"),0.0)</f>
        <v>0</v>
      </c>
      <c r="E4169" s="1" t="s">
        <v>11</v>
      </c>
      <c r="F4169" s="1" t="s">
        <v>12</v>
      </c>
      <c r="G4169" s="4" t="b">
        <f t="shared" si="2"/>
        <v>1</v>
      </c>
      <c r="H4169" s="1" t="str">
        <f t="shared" si="3"/>
        <v>Currently Unavailable</v>
      </c>
      <c r="I4169" s="1" t="str">
        <f t="shared" si="4"/>
        <v>No Badges</v>
      </c>
      <c r="J4169" s="3">
        <f t="shared" si="5"/>
        <v>0</v>
      </c>
    </row>
    <row r="4170">
      <c r="A4170" s="1" t="s">
        <v>3177</v>
      </c>
      <c r="B4170" s="3" t="str">
        <f t="shared" si="1"/>
        <v>Unavailable</v>
      </c>
      <c r="C4170" s="5">
        <v>7494.0</v>
      </c>
      <c r="D4170" s="3">
        <f>IFERROR(__xludf.DUMMYFUNCTION("IFERROR(
IF(REGEXMATCH(LOWER(O4170),""k""),
VALUE(REGEXEXTRACT(O4170,""[0-9]+""))*1000,
VALUE(REGEXEXTRACT(O4170,""[0-9]+""))
),
0
)"),0.0)</f>
        <v>0</v>
      </c>
      <c r="E4170" s="1" t="s">
        <v>11</v>
      </c>
      <c r="F4170" s="1" t="s">
        <v>20</v>
      </c>
      <c r="G4170" s="4" t="b">
        <f t="shared" si="2"/>
        <v>1</v>
      </c>
      <c r="H4170" s="1" t="str">
        <f t="shared" si="3"/>
        <v>Currently Unavailable</v>
      </c>
      <c r="I4170" s="1" t="str">
        <f t="shared" si="4"/>
        <v>No Badges</v>
      </c>
      <c r="J4170" s="3">
        <f t="shared" si="5"/>
        <v>0</v>
      </c>
    </row>
    <row r="4171">
      <c r="A4171" s="1" t="s">
        <v>701</v>
      </c>
      <c r="B4171" s="3" t="str">
        <f t="shared" si="1"/>
        <v>Unavailable</v>
      </c>
      <c r="C4171" s="3">
        <v>8.0</v>
      </c>
      <c r="D4171" s="3">
        <f>IFERROR(__xludf.DUMMYFUNCTION("IFERROR(
IF(REGEXMATCH(LOWER(O4171),""k""),
VALUE(REGEXEXTRACT(O4171,""[0-9]+""))*1000,
VALUE(REGEXEXTRACT(O4171,""[0-9]+""))
),
0
)"),0.0)</f>
        <v>0</v>
      </c>
      <c r="E4171" s="1" t="s">
        <v>11</v>
      </c>
      <c r="F4171" s="1" t="s">
        <v>12</v>
      </c>
      <c r="G4171" s="4" t="b">
        <f t="shared" si="2"/>
        <v>1</v>
      </c>
      <c r="H4171" s="1" t="str">
        <f t="shared" si="3"/>
        <v>Currently Unavailable</v>
      </c>
      <c r="I4171" s="1" t="str">
        <f t="shared" si="4"/>
        <v>No Badges</v>
      </c>
      <c r="J4171" s="3">
        <f t="shared" si="5"/>
        <v>0</v>
      </c>
    </row>
    <row r="4172">
      <c r="A4172" s="1" t="s">
        <v>3178</v>
      </c>
      <c r="B4172" s="3" t="str">
        <f t="shared" si="1"/>
        <v>Unavailable</v>
      </c>
      <c r="C4172" s="5">
        <v>1037.0</v>
      </c>
      <c r="D4172" s="3">
        <f>IFERROR(__xludf.DUMMYFUNCTION("IFERROR(
IF(REGEXMATCH(LOWER(O4172),""k""),
VALUE(REGEXEXTRACT(O4172,""[0-9]+""))*1000,
VALUE(REGEXEXTRACT(O4172,""[0-9]+""))
),
0
)"),0.0)</f>
        <v>0</v>
      </c>
      <c r="E4172" s="1" t="s">
        <v>11</v>
      </c>
      <c r="F4172" s="1" t="s">
        <v>20</v>
      </c>
      <c r="G4172" s="4" t="b">
        <f t="shared" si="2"/>
        <v>1</v>
      </c>
      <c r="H4172" s="1" t="str">
        <f t="shared" si="3"/>
        <v>Currently Unavailable</v>
      </c>
      <c r="I4172" s="1" t="str">
        <f t="shared" si="4"/>
        <v>No Badges</v>
      </c>
      <c r="J4172" s="3">
        <f t="shared" si="5"/>
        <v>0</v>
      </c>
    </row>
    <row r="4173">
      <c r="A4173" s="1" t="s">
        <v>3049</v>
      </c>
      <c r="B4173" s="3" t="str">
        <f t="shared" si="1"/>
        <v>Unavailable</v>
      </c>
      <c r="C4173" s="3">
        <v>324.0</v>
      </c>
      <c r="D4173" s="3">
        <f>IFERROR(__xludf.DUMMYFUNCTION("IFERROR(
IF(REGEXMATCH(LOWER(O4173),""k""),
VALUE(REGEXEXTRACT(O4173,""[0-9]+""))*1000,
VALUE(REGEXEXTRACT(O4173,""[0-9]+""))
),
0
)"),0.0)</f>
        <v>0</v>
      </c>
      <c r="E4173" s="1" t="s">
        <v>11</v>
      </c>
      <c r="F4173" s="1" t="s">
        <v>20</v>
      </c>
      <c r="G4173" s="4" t="b">
        <f t="shared" si="2"/>
        <v>1</v>
      </c>
      <c r="H4173" s="1" t="str">
        <f t="shared" si="3"/>
        <v>Currently Unavailable</v>
      </c>
      <c r="I4173" s="1" t="str">
        <f t="shared" si="4"/>
        <v>No Badges</v>
      </c>
      <c r="J4173" s="3">
        <f t="shared" si="5"/>
        <v>0</v>
      </c>
    </row>
    <row r="4174">
      <c r="A4174" s="1" t="s">
        <v>69</v>
      </c>
      <c r="B4174" s="3" t="str">
        <f t="shared" si="1"/>
        <v>Unavailable</v>
      </c>
      <c r="C4174" s="3">
        <v>45.0</v>
      </c>
      <c r="D4174" s="3">
        <f>IFERROR(__xludf.DUMMYFUNCTION("IFERROR(
IF(REGEXMATCH(LOWER(O4174),""k""),
VALUE(REGEXEXTRACT(O4174,""[0-9]+""))*1000,
VALUE(REGEXEXTRACT(O4174,""[0-9]+""))
),
0
)"),0.0)</f>
        <v>0</v>
      </c>
      <c r="E4174" s="1" t="s">
        <v>11</v>
      </c>
      <c r="F4174" s="1" t="s">
        <v>12</v>
      </c>
      <c r="G4174" s="4" t="b">
        <f t="shared" si="2"/>
        <v>1</v>
      </c>
      <c r="H4174" s="1" t="str">
        <f t="shared" si="3"/>
        <v>Currently Unavailable</v>
      </c>
      <c r="I4174" s="1" t="str">
        <f t="shared" si="4"/>
        <v>No Badges</v>
      </c>
      <c r="J4174" s="3">
        <f t="shared" si="5"/>
        <v>0</v>
      </c>
    </row>
    <row r="4175">
      <c r="A4175" s="1" t="s">
        <v>3179</v>
      </c>
      <c r="B4175" s="3" t="str">
        <f t="shared" si="1"/>
        <v>Unavailable</v>
      </c>
      <c r="C4175" s="3">
        <v>953.0</v>
      </c>
      <c r="D4175" s="3">
        <f>IFERROR(__xludf.DUMMYFUNCTION("IFERROR(
IF(REGEXMATCH(LOWER(O4175),""k""),
VALUE(REGEXEXTRACT(O4175,""[0-9]+""))*1000,
VALUE(REGEXEXTRACT(O4175,""[0-9]+""))
),
0
)"),0.0)</f>
        <v>0</v>
      </c>
      <c r="E4175" s="1" t="s">
        <v>11</v>
      </c>
      <c r="F4175" s="1" t="s">
        <v>20</v>
      </c>
      <c r="G4175" s="4" t="b">
        <f t="shared" si="2"/>
        <v>1</v>
      </c>
      <c r="H4175" s="1" t="str">
        <f t="shared" si="3"/>
        <v>Currently Unavailable</v>
      </c>
      <c r="I4175" s="1" t="str">
        <f t="shared" si="4"/>
        <v>No Badges</v>
      </c>
      <c r="J4175" s="3">
        <f t="shared" si="5"/>
        <v>0</v>
      </c>
    </row>
    <row r="4176">
      <c r="A4176" s="1" t="s">
        <v>3180</v>
      </c>
      <c r="B4176" s="3" t="str">
        <f t="shared" si="1"/>
        <v>Unavailable</v>
      </c>
      <c r="C4176" s="3">
        <v>102.0</v>
      </c>
      <c r="D4176" s="3">
        <f>IFERROR(__xludf.DUMMYFUNCTION("IFERROR(
IF(REGEXMATCH(LOWER(O4176),""k""),
VALUE(REGEXEXTRACT(O4176,""[0-9]+""))*1000,
VALUE(REGEXEXTRACT(O4176,""[0-9]+""))
),
0
)"),0.0)</f>
        <v>0</v>
      </c>
      <c r="E4176" s="1" t="s">
        <v>11</v>
      </c>
      <c r="F4176" s="1" t="s">
        <v>20</v>
      </c>
      <c r="G4176" s="4" t="b">
        <f t="shared" si="2"/>
        <v>1</v>
      </c>
      <c r="H4176" s="1" t="str">
        <f t="shared" si="3"/>
        <v>Currently Unavailable</v>
      </c>
      <c r="I4176" s="1" t="str">
        <f t="shared" si="4"/>
        <v>No Badges</v>
      </c>
      <c r="J4176" s="3">
        <f t="shared" si="5"/>
        <v>0</v>
      </c>
    </row>
    <row r="4177">
      <c r="A4177" s="1" t="s">
        <v>3181</v>
      </c>
      <c r="B4177" s="3" t="str">
        <f t="shared" si="1"/>
        <v>Unavailable</v>
      </c>
      <c r="C4177" s="5">
        <v>1228.0</v>
      </c>
      <c r="D4177" s="3">
        <f>IFERROR(__xludf.DUMMYFUNCTION("IFERROR(
IF(REGEXMATCH(LOWER(O4177),""k""),
VALUE(REGEXEXTRACT(O4177,""[0-9]+""))*1000,
VALUE(REGEXEXTRACT(O4177,""[0-9]+""))
),
0
)"),0.0)</f>
        <v>0</v>
      </c>
      <c r="E4177" s="1" t="s">
        <v>11</v>
      </c>
      <c r="F4177" s="1" t="s">
        <v>20</v>
      </c>
      <c r="G4177" s="4" t="b">
        <f t="shared" si="2"/>
        <v>1</v>
      </c>
      <c r="H4177" s="1" t="str">
        <f t="shared" si="3"/>
        <v>Currently Unavailable</v>
      </c>
      <c r="I4177" s="1" t="str">
        <f t="shared" si="4"/>
        <v>No Badges</v>
      </c>
      <c r="J4177" s="3">
        <f t="shared" si="5"/>
        <v>0</v>
      </c>
    </row>
    <row r="4178">
      <c r="A4178" s="1" t="s">
        <v>3182</v>
      </c>
      <c r="B4178" s="3" t="str">
        <f t="shared" si="1"/>
        <v>Unavailable</v>
      </c>
      <c r="C4178" s="5">
        <v>2728.0</v>
      </c>
      <c r="D4178" s="3">
        <f>IFERROR(__xludf.DUMMYFUNCTION("IFERROR(
IF(REGEXMATCH(LOWER(O4178),""k""),
VALUE(REGEXEXTRACT(O4178,""[0-9]+""))*1000,
VALUE(REGEXEXTRACT(O4178,""[0-9]+""))
),
0
)"),0.0)</f>
        <v>0</v>
      </c>
      <c r="E4178" s="1" t="s">
        <v>11</v>
      </c>
      <c r="F4178" s="1" t="s">
        <v>20</v>
      </c>
      <c r="G4178" s="4" t="b">
        <f t="shared" si="2"/>
        <v>1</v>
      </c>
      <c r="H4178" s="1" t="str">
        <f t="shared" si="3"/>
        <v>Currently Unavailable</v>
      </c>
      <c r="I4178" s="1" t="str">
        <f t="shared" si="4"/>
        <v>No Badges</v>
      </c>
      <c r="J4178" s="3">
        <f t="shared" si="5"/>
        <v>0</v>
      </c>
    </row>
    <row r="4179">
      <c r="A4179" s="1" t="s">
        <v>3183</v>
      </c>
      <c r="B4179" s="3" t="str">
        <f t="shared" si="1"/>
        <v>Unavailable</v>
      </c>
      <c r="C4179" s="5">
        <v>2118.0</v>
      </c>
      <c r="D4179" s="3">
        <f>IFERROR(__xludf.DUMMYFUNCTION("IFERROR(
IF(REGEXMATCH(LOWER(O4179),""k""),
VALUE(REGEXEXTRACT(O4179,""[0-9]+""))*1000,
VALUE(REGEXEXTRACT(O4179,""[0-9]+""))
),
0
)"),0.0)</f>
        <v>0</v>
      </c>
      <c r="E4179" s="1" t="s">
        <v>11</v>
      </c>
      <c r="F4179" s="1" t="s">
        <v>20</v>
      </c>
      <c r="G4179" s="4" t="b">
        <f t="shared" si="2"/>
        <v>1</v>
      </c>
      <c r="H4179" s="1" t="str">
        <f t="shared" si="3"/>
        <v>Currently Unavailable</v>
      </c>
      <c r="I4179" s="1" t="str">
        <f t="shared" si="4"/>
        <v>No Badges</v>
      </c>
      <c r="J4179" s="3">
        <f t="shared" si="5"/>
        <v>0</v>
      </c>
    </row>
    <row r="4180">
      <c r="A4180" s="1" t="s">
        <v>3184</v>
      </c>
      <c r="B4180" s="3" t="str">
        <f t="shared" si="1"/>
        <v>Unavailable</v>
      </c>
      <c r="C4180" s="3">
        <v>199.0</v>
      </c>
      <c r="D4180" s="3">
        <f>IFERROR(__xludf.DUMMYFUNCTION("IFERROR(
IF(REGEXMATCH(LOWER(O4180),""k""),
VALUE(REGEXEXTRACT(O4180,""[0-9]+""))*1000,
VALUE(REGEXEXTRACT(O4180,""[0-9]+""))
),
0
)"),0.0)</f>
        <v>0</v>
      </c>
      <c r="E4180" s="1" t="s">
        <v>11</v>
      </c>
      <c r="F4180" s="1" t="s">
        <v>20</v>
      </c>
      <c r="G4180" s="4" t="b">
        <f t="shared" si="2"/>
        <v>1</v>
      </c>
      <c r="H4180" s="1" t="str">
        <f t="shared" si="3"/>
        <v>Currently Unavailable</v>
      </c>
      <c r="I4180" s="1" t="str">
        <f t="shared" si="4"/>
        <v>No Badges</v>
      </c>
      <c r="J4180" s="3">
        <f t="shared" si="5"/>
        <v>0</v>
      </c>
    </row>
    <row r="4181">
      <c r="A4181" s="1" t="s">
        <v>3185</v>
      </c>
      <c r="B4181" s="3" t="str">
        <f t="shared" si="1"/>
        <v>Unavailable</v>
      </c>
      <c r="C4181" s="3">
        <v>69.0</v>
      </c>
      <c r="D4181" s="3">
        <f>IFERROR(__xludf.DUMMYFUNCTION("IFERROR(
IF(REGEXMATCH(LOWER(O4181),""k""),
VALUE(REGEXEXTRACT(O4181,""[0-9]+""))*1000,
VALUE(REGEXEXTRACT(O4181,""[0-9]+""))
),
0
)"),0.0)</f>
        <v>0</v>
      </c>
      <c r="E4181" s="1" t="s">
        <v>11</v>
      </c>
      <c r="F4181" s="1" t="s">
        <v>20</v>
      </c>
      <c r="G4181" s="4" t="b">
        <f t="shared" si="2"/>
        <v>1</v>
      </c>
      <c r="H4181" s="1" t="str">
        <f t="shared" si="3"/>
        <v>Currently Unavailable</v>
      </c>
      <c r="I4181" s="1" t="str">
        <f t="shared" si="4"/>
        <v>No Badges</v>
      </c>
      <c r="J4181" s="3">
        <f t="shared" si="5"/>
        <v>0</v>
      </c>
    </row>
    <row r="4182">
      <c r="A4182" s="1" t="s">
        <v>3186</v>
      </c>
      <c r="B4182" s="3" t="str">
        <f t="shared" si="1"/>
        <v>Unavailable</v>
      </c>
      <c r="C4182" s="5">
        <v>1251.0</v>
      </c>
      <c r="D4182" s="3">
        <f>IFERROR(__xludf.DUMMYFUNCTION("IFERROR(
IF(REGEXMATCH(LOWER(O4182),""k""),
VALUE(REGEXEXTRACT(O4182,""[0-9]+""))*1000,
VALUE(REGEXEXTRACT(O4182,""[0-9]+""))
),
0
)"),0.0)</f>
        <v>0</v>
      </c>
      <c r="E4182" s="1" t="s">
        <v>11</v>
      </c>
      <c r="F4182" s="1" t="s">
        <v>20</v>
      </c>
      <c r="G4182" s="4" t="b">
        <f t="shared" si="2"/>
        <v>1</v>
      </c>
      <c r="H4182" s="1" t="str">
        <f t="shared" si="3"/>
        <v>Currently Unavailable</v>
      </c>
      <c r="I4182" s="1" t="str">
        <f t="shared" si="4"/>
        <v>No Badges</v>
      </c>
      <c r="J4182" s="3">
        <f t="shared" si="5"/>
        <v>0</v>
      </c>
    </row>
    <row r="4183">
      <c r="A4183" s="1" t="s">
        <v>3187</v>
      </c>
      <c r="B4183" s="3" t="str">
        <f t="shared" si="1"/>
        <v>Unavailable</v>
      </c>
      <c r="C4183" s="3">
        <v>236.0</v>
      </c>
      <c r="D4183" s="3">
        <f>IFERROR(__xludf.DUMMYFUNCTION("IFERROR(
IF(REGEXMATCH(LOWER(O4183),""k""),
VALUE(REGEXEXTRACT(O4183,""[0-9]+""))*1000,
VALUE(REGEXEXTRACT(O4183,""[0-9]+""))
),
0
)"),0.0)</f>
        <v>0</v>
      </c>
      <c r="E4183" s="1" t="s">
        <v>11</v>
      </c>
      <c r="F4183" s="1" t="s">
        <v>20</v>
      </c>
      <c r="G4183" s="4" t="b">
        <f t="shared" si="2"/>
        <v>1</v>
      </c>
      <c r="H4183" s="1" t="str">
        <f t="shared" si="3"/>
        <v>Currently Unavailable</v>
      </c>
      <c r="I4183" s="1" t="str">
        <f t="shared" si="4"/>
        <v>No Badges</v>
      </c>
      <c r="J4183" s="3">
        <f t="shared" si="5"/>
        <v>0</v>
      </c>
    </row>
    <row r="4184">
      <c r="A4184" s="1" t="s">
        <v>3188</v>
      </c>
      <c r="B4184" s="3" t="str">
        <f t="shared" si="1"/>
        <v>Unavailable</v>
      </c>
      <c r="C4184" s="3">
        <v>692.0</v>
      </c>
      <c r="D4184" s="3">
        <f>IFERROR(__xludf.DUMMYFUNCTION("IFERROR(
IF(REGEXMATCH(LOWER(O4184),""k""),
VALUE(REGEXEXTRACT(O4184,""[0-9]+""))*1000,
VALUE(REGEXEXTRACT(O4184,""[0-9]+""))
),
0
)"),0.0)</f>
        <v>0</v>
      </c>
      <c r="E4184" s="1" t="s">
        <v>11</v>
      </c>
      <c r="F4184" s="1" t="s">
        <v>20</v>
      </c>
      <c r="G4184" s="4" t="b">
        <f t="shared" si="2"/>
        <v>1</v>
      </c>
      <c r="H4184" s="1" t="str">
        <f t="shared" si="3"/>
        <v>Currently Unavailable</v>
      </c>
      <c r="I4184" s="1" t="str">
        <f t="shared" si="4"/>
        <v>No Badges</v>
      </c>
      <c r="J4184" s="3">
        <f t="shared" si="5"/>
        <v>0</v>
      </c>
    </row>
    <row r="4185">
      <c r="A4185" s="1" t="s">
        <v>3189</v>
      </c>
      <c r="B4185" s="3" t="str">
        <f t="shared" si="1"/>
        <v>Unavailable</v>
      </c>
      <c r="C4185" s="3">
        <v>640.0</v>
      </c>
      <c r="D4185" s="3">
        <f>IFERROR(__xludf.DUMMYFUNCTION("IFERROR(
IF(REGEXMATCH(LOWER(O4185),""k""),
VALUE(REGEXEXTRACT(O4185,""[0-9]+""))*1000,
VALUE(REGEXEXTRACT(O4185,""[0-9]+""))
),
0
)"),0.0)</f>
        <v>0</v>
      </c>
      <c r="E4185" s="1" t="s">
        <v>11</v>
      </c>
      <c r="F4185" s="1" t="s">
        <v>20</v>
      </c>
      <c r="G4185" s="4" t="b">
        <f t="shared" si="2"/>
        <v>1</v>
      </c>
      <c r="H4185" s="1" t="str">
        <f t="shared" si="3"/>
        <v>Currently Unavailable</v>
      </c>
      <c r="I4185" s="1" t="str">
        <f t="shared" si="4"/>
        <v>No Badges</v>
      </c>
      <c r="J4185" s="3">
        <f t="shared" si="5"/>
        <v>0</v>
      </c>
    </row>
    <row r="4186">
      <c r="A4186" s="1" t="s">
        <v>3190</v>
      </c>
      <c r="B4186" s="3" t="str">
        <f t="shared" si="1"/>
        <v>Unavailable</v>
      </c>
      <c r="C4186" s="3">
        <v>90.0</v>
      </c>
      <c r="D4186" s="3">
        <f>IFERROR(__xludf.DUMMYFUNCTION("IFERROR(
IF(REGEXMATCH(LOWER(O4186),""k""),
VALUE(REGEXEXTRACT(O4186,""[0-9]+""))*1000,
VALUE(REGEXEXTRACT(O4186,""[0-9]+""))
),
0
)"),0.0)</f>
        <v>0</v>
      </c>
      <c r="E4186" s="1" t="s">
        <v>11</v>
      </c>
      <c r="F4186" s="1" t="s">
        <v>20</v>
      </c>
      <c r="G4186" s="4" t="b">
        <f t="shared" si="2"/>
        <v>1</v>
      </c>
      <c r="H4186" s="1" t="str">
        <f t="shared" si="3"/>
        <v>Currently Unavailable</v>
      </c>
      <c r="I4186" s="1" t="str">
        <f t="shared" si="4"/>
        <v>No Badges</v>
      </c>
      <c r="J4186" s="3">
        <f t="shared" si="5"/>
        <v>0</v>
      </c>
    </row>
    <row r="4187">
      <c r="A4187" s="1" t="s">
        <v>67</v>
      </c>
      <c r="B4187" s="3" t="str">
        <f t="shared" si="1"/>
        <v>Unavailable</v>
      </c>
      <c r="C4187" s="3">
        <v>264.0</v>
      </c>
      <c r="D4187" s="3">
        <f>IFERROR(__xludf.DUMMYFUNCTION("IFERROR(
IF(REGEXMATCH(LOWER(O4187),""k""),
VALUE(REGEXEXTRACT(O4187,""[0-9]+""))*1000,
VALUE(REGEXEXTRACT(O4187,""[0-9]+""))
),
0
)"),0.0)</f>
        <v>0</v>
      </c>
      <c r="E4187" s="1" t="s">
        <v>11</v>
      </c>
      <c r="F4187" s="1" t="s">
        <v>12</v>
      </c>
      <c r="G4187" s="4" t="b">
        <f t="shared" si="2"/>
        <v>1</v>
      </c>
      <c r="H4187" s="1" t="str">
        <f t="shared" si="3"/>
        <v>Currently Unavailable</v>
      </c>
      <c r="I4187" s="1" t="str">
        <f t="shared" si="4"/>
        <v>No Badges</v>
      </c>
      <c r="J4187" s="3">
        <f t="shared" si="5"/>
        <v>0</v>
      </c>
    </row>
    <row r="4188">
      <c r="A4188" s="1" t="s">
        <v>3191</v>
      </c>
      <c r="B4188" s="3" t="str">
        <f t="shared" si="1"/>
        <v>Unavailable</v>
      </c>
      <c r="C4188" s="3">
        <v>173.0</v>
      </c>
      <c r="D4188" s="3">
        <f>IFERROR(__xludf.DUMMYFUNCTION("IFERROR(
IF(REGEXMATCH(LOWER(O4188),""k""),
VALUE(REGEXEXTRACT(O4188,""[0-9]+""))*1000,
VALUE(REGEXEXTRACT(O4188,""[0-9]+""))
),
0
)"),0.0)</f>
        <v>0</v>
      </c>
      <c r="E4188" s="1" t="s">
        <v>11</v>
      </c>
      <c r="F4188" s="1" t="s">
        <v>20</v>
      </c>
      <c r="G4188" s="4" t="b">
        <f t="shared" si="2"/>
        <v>1</v>
      </c>
      <c r="H4188" s="1" t="str">
        <f t="shared" si="3"/>
        <v>Currently Unavailable</v>
      </c>
      <c r="I4188" s="1" t="str">
        <f t="shared" si="4"/>
        <v>No Badges</v>
      </c>
      <c r="J4188" s="3">
        <f t="shared" si="5"/>
        <v>0</v>
      </c>
    </row>
    <row r="4189">
      <c r="A4189" s="1" t="s">
        <v>3192</v>
      </c>
      <c r="B4189" s="3" t="str">
        <f t="shared" si="1"/>
        <v>Unavailable</v>
      </c>
      <c r="C4189" s="3">
        <v>457.0</v>
      </c>
      <c r="D4189" s="3">
        <f>IFERROR(__xludf.DUMMYFUNCTION("IFERROR(
IF(REGEXMATCH(LOWER(O4189),""k""),
VALUE(REGEXEXTRACT(O4189,""[0-9]+""))*1000,
VALUE(REGEXEXTRACT(O4189,""[0-9]+""))
),
0
)"),0.0)</f>
        <v>0</v>
      </c>
      <c r="E4189" s="1" t="s">
        <v>11</v>
      </c>
      <c r="F4189" s="1" t="s">
        <v>20</v>
      </c>
      <c r="G4189" s="4" t="b">
        <f t="shared" si="2"/>
        <v>1</v>
      </c>
      <c r="H4189" s="1" t="str">
        <f t="shared" si="3"/>
        <v>Currently Unavailable</v>
      </c>
      <c r="I4189" s="1" t="str">
        <f t="shared" si="4"/>
        <v>No Badges</v>
      </c>
      <c r="J4189" s="3">
        <f t="shared" si="5"/>
        <v>0</v>
      </c>
    </row>
    <row r="4190">
      <c r="A4190" s="1" t="s">
        <v>3193</v>
      </c>
      <c r="B4190" s="3" t="str">
        <f t="shared" si="1"/>
        <v>Unavailable</v>
      </c>
      <c r="C4190" s="5">
        <v>4796.0</v>
      </c>
      <c r="D4190" s="3">
        <f>IFERROR(__xludf.DUMMYFUNCTION("IFERROR(
IF(REGEXMATCH(LOWER(O4190),""k""),
VALUE(REGEXEXTRACT(O4190,""[0-9]+""))*1000,
VALUE(REGEXEXTRACT(O4190,""[0-9]+""))
),
0
)"),0.0)</f>
        <v>0</v>
      </c>
      <c r="E4190" s="1" t="s">
        <v>11</v>
      </c>
      <c r="F4190" s="1" t="s">
        <v>20</v>
      </c>
      <c r="G4190" s="4" t="b">
        <f t="shared" si="2"/>
        <v>1</v>
      </c>
      <c r="H4190" s="1" t="str">
        <f t="shared" si="3"/>
        <v>Currently Unavailable</v>
      </c>
      <c r="I4190" s="1" t="str">
        <f t="shared" si="4"/>
        <v>No Badges</v>
      </c>
      <c r="J4190" s="3">
        <f t="shared" si="5"/>
        <v>0</v>
      </c>
    </row>
    <row r="4191">
      <c r="A4191" s="1" t="s">
        <v>3194</v>
      </c>
      <c r="B4191" s="3" t="str">
        <f t="shared" si="1"/>
        <v>Unavailable</v>
      </c>
      <c r="C4191" s="5">
        <v>3046.0</v>
      </c>
      <c r="D4191" s="3">
        <f>IFERROR(__xludf.DUMMYFUNCTION("IFERROR(
IF(REGEXMATCH(LOWER(O4191),""k""),
VALUE(REGEXEXTRACT(O4191,""[0-9]+""))*1000,
VALUE(REGEXEXTRACT(O4191,""[0-9]+""))
),
0
)"),0.0)</f>
        <v>0</v>
      </c>
      <c r="E4191" s="1" t="s">
        <v>11</v>
      </c>
      <c r="F4191" s="1" t="s">
        <v>20</v>
      </c>
      <c r="G4191" s="4" t="b">
        <f t="shared" si="2"/>
        <v>1</v>
      </c>
      <c r="H4191" s="1" t="str">
        <f t="shared" si="3"/>
        <v>Currently Unavailable</v>
      </c>
      <c r="I4191" s="1" t="str">
        <f t="shared" si="4"/>
        <v>No Badges</v>
      </c>
      <c r="J4191" s="3">
        <f t="shared" si="5"/>
        <v>0</v>
      </c>
    </row>
    <row r="4192">
      <c r="A4192" s="1" t="s">
        <v>3195</v>
      </c>
      <c r="B4192" s="3" t="str">
        <f t="shared" si="1"/>
        <v>Unavailable</v>
      </c>
      <c r="C4192" s="3">
        <v>317.0</v>
      </c>
      <c r="D4192" s="3">
        <f>IFERROR(__xludf.DUMMYFUNCTION("IFERROR(
IF(REGEXMATCH(LOWER(O4192),""k""),
VALUE(REGEXEXTRACT(O4192,""[0-9]+""))*1000,
VALUE(REGEXEXTRACT(O4192,""[0-9]+""))
),
0
)"),0.0)</f>
        <v>0</v>
      </c>
      <c r="E4192" s="1" t="s">
        <v>11</v>
      </c>
      <c r="F4192" s="1" t="s">
        <v>20</v>
      </c>
      <c r="G4192" s="4" t="b">
        <f t="shared" si="2"/>
        <v>1</v>
      </c>
      <c r="H4192" s="1" t="str">
        <f t="shared" si="3"/>
        <v>Currently Unavailable</v>
      </c>
      <c r="I4192" s="1" t="str">
        <f t="shared" si="4"/>
        <v>No Badges</v>
      </c>
      <c r="J4192" s="3">
        <f t="shared" si="5"/>
        <v>0</v>
      </c>
    </row>
    <row r="4193">
      <c r="A4193" s="1" t="s">
        <v>3196</v>
      </c>
      <c r="B4193" s="3" t="str">
        <f t="shared" si="1"/>
        <v>Unavailable</v>
      </c>
      <c r="C4193" s="5">
        <v>1315.0</v>
      </c>
      <c r="D4193" s="3">
        <f>IFERROR(__xludf.DUMMYFUNCTION("IFERROR(
IF(REGEXMATCH(LOWER(O4193),""k""),
VALUE(REGEXEXTRACT(O4193,""[0-9]+""))*1000,
VALUE(REGEXEXTRACT(O4193,""[0-9]+""))
),
0
)"),0.0)</f>
        <v>0</v>
      </c>
      <c r="E4193" s="1" t="s">
        <v>11</v>
      </c>
      <c r="F4193" s="1" t="s">
        <v>20</v>
      </c>
      <c r="G4193" s="4" t="b">
        <f t="shared" si="2"/>
        <v>1</v>
      </c>
      <c r="H4193" s="1" t="str">
        <f t="shared" si="3"/>
        <v>Currently Unavailable</v>
      </c>
      <c r="I4193" s="1" t="str">
        <f t="shared" si="4"/>
        <v>No Badges</v>
      </c>
      <c r="J4193" s="3">
        <f t="shared" si="5"/>
        <v>0</v>
      </c>
    </row>
    <row r="4194">
      <c r="A4194" s="1" t="s">
        <v>3197</v>
      </c>
      <c r="B4194" s="3" t="str">
        <f t="shared" si="1"/>
        <v>Unavailable</v>
      </c>
      <c r="C4194" s="3">
        <v>915.0</v>
      </c>
      <c r="D4194" s="3">
        <f>IFERROR(__xludf.DUMMYFUNCTION("IFERROR(
IF(REGEXMATCH(LOWER(O4194),""k""),
VALUE(REGEXEXTRACT(O4194,""[0-9]+""))*1000,
VALUE(REGEXEXTRACT(O4194,""[0-9]+""))
),
0
)"),0.0)</f>
        <v>0</v>
      </c>
      <c r="E4194" s="1" t="s">
        <v>11</v>
      </c>
      <c r="F4194" s="1" t="s">
        <v>20</v>
      </c>
      <c r="G4194" s="4" t="b">
        <f t="shared" si="2"/>
        <v>1</v>
      </c>
      <c r="H4194" s="1" t="str">
        <f t="shared" si="3"/>
        <v>Currently Unavailable</v>
      </c>
      <c r="I4194" s="1" t="str">
        <f t="shared" si="4"/>
        <v>No Badges</v>
      </c>
      <c r="J4194" s="3">
        <f t="shared" si="5"/>
        <v>0</v>
      </c>
    </row>
    <row r="4195">
      <c r="A4195" s="1" t="s">
        <v>3198</v>
      </c>
      <c r="B4195" s="3" t="str">
        <f t="shared" si="1"/>
        <v>Unavailable</v>
      </c>
      <c r="C4195" s="5">
        <v>8873.0</v>
      </c>
      <c r="D4195" s="3">
        <f>IFERROR(__xludf.DUMMYFUNCTION("IFERROR(
IF(REGEXMATCH(LOWER(O4195),""k""),
VALUE(REGEXEXTRACT(O4195,""[0-9]+""))*1000,
VALUE(REGEXEXTRACT(O4195,""[0-9]+""))
),
0
)"),0.0)</f>
        <v>0</v>
      </c>
      <c r="E4195" s="1" t="s">
        <v>11</v>
      </c>
      <c r="F4195" s="1" t="s">
        <v>20</v>
      </c>
      <c r="G4195" s="4" t="b">
        <f t="shared" si="2"/>
        <v>1</v>
      </c>
      <c r="H4195" s="1" t="str">
        <f t="shared" si="3"/>
        <v>Currently Unavailable</v>
      </c>
      <c r="I4195" s="1" t="str">
        <f t="shared" si="4"/>
        <v>No Badges</v>
      </c>
      <c r="J4195" s="3">
        <f t="shared" si="5"/>
        <v>0</v>
      </c>
    </row>
    <row r="4196">
      <c r="A4196" s="1" t="s">
        <v>3199</v>
      </c>
      <c r="B4196" s="3" t="str">
        <f t="shared" si="1"/>
        <v>Unavailable</v>
      </c>
      <c r="C4196" s="3">
        <v>142.0</v>
      </c>
      <c r="D4196" s="3">
        <f>IFERROR(__xludf.DUMMYFUNCTION("IFERROR(
IF(REGEXMATCH(LOWER(O4196),""k""),
VALUE(REGEXEXTRACT(O4196,""[0-9]+""))*1000,
VALUE(REGEXEXTRACT(O4196,""[0-9]+""))
),
0
)"),0.0)</f>
        <v>0</v>
      </c>
      <c r="E4196" s="1" t="s">
        <v>11</v>
      </c>
      <c r="F4196" s="1" t="s">
        <v>20</v>
      </c>
      <c r="G4196" s="4" t="b">
        <f t="shared" si="2"/>
        <v>1</v>
      </c>
      <c r="H4196" s="1" t="str">
        <f t="shared" si="3"/>
        <v>Currently Unavailable</v>
      </c>
      <c r="I4196" s="1" t="str">
        <f t="shared" si="4"/>
        <v>No Badges</v>
      </c>
      <c r="J4196" s="3">
        <f t="shared" si="5"/>
        <v>0</v>
      </c>
    </row>
    <row r="4197">
      <c r="A4197" s="1" t="s">
        <v>3116</v>
      </c>
      <c r="B4197" s="3" t="str">
        <f t="shared" si="1"/>
        <v>Unavailable</v>
      </c>
      <c r="C4197" s="5">
        <v>1596.0</v>
      </c>
      <c r="D4197" s="3">
        <f>IFERROR(__xludf.DUMMYFUNCTION("IFERROR(
IF(REGEXMATCH(LOWER(O4197),""k""),
VALUE(REGEXEXTRACT(O4197,""[0-9]+""))*1000,
VALUE(REGEXEXTRACT(O4197,""[0-9]+""))
),
0
)"),0.0)</f>
        <v>0</v>
      </c>
      <c r="E4197" s="1" t="s">
        <v>11</v>
      </c>
      <c r="F4197" s="1" t="s">
        <v>20</v>
      </c>
      <c r="G4197" s="4" t="b">
        <f t="shared" si="2"/>
        <v>1</v>
      </c>
      <c r="H4197" s="1" t="str">
        <f t="shared" si="3"/>
        <v>Currently Unavailable</v>
      </c>
      <c r="I4197" s="1" t="str">
        <f t="shared" si="4"/>
        <v>No Badges</v>
      </c>
      <c r="J4197" s="3">
        <f t="shared" si="5"/>
        <v>0</v>
      </c>
    </row>
    <row r="4198">
      <c r="A4198" s="1" t="s">
        <v>3117</v>
      </c>
      <c r="B4198" s="3" t="str">
        <f t="shared" si="1"/>
        <v>Unavailable</v>
      </c>
      <c r="C4198" s="3">
        <v>713.0</v>
      </c>
      <c r="D4198" s="3">
        <f>IFERROR(__xludf.DUMMYFUNCTION("IFERROR(
IF(REGEXMATCH(LOWER(O4198),""k""),
VALUE(REGEXEXTRACT(O4198,""[0-9]+""))*1000,
VALUE(REGEXEXTRACT(O4198,""[0-9]+""))
),
0
)"),0.0)</f>
        <v>0</v>
      </c>
      <c r="E4198" s="1" t="s">
        <v>11</v>
      </c>
      <c r="F4198" s="1" t="s">
        <v>20</v>
      </c>
      <c r="G4198" s="4" t="b">
        <f t="shared" si="2"/>
        <v>1</v>
      </c>
      <c r="H4198" s="1" t="str">
        <f t="shared" si="3"/>
        <v>Currently Unavailable</v>
      </c>
      <c r="I4198" s="1" t="str">
        <f t="shared" si="4"/>
        <v>No Badges</v>
      </c>
      <c r="J4198" s="3">
        <f t="shared" si="5"/>
        <v>0</v>
      </c>
    </row>
    <row r="4199">
      <c r="A4199" s="1" t="s">
        <v>3118</v>
      </c>
      <c r="B4199" s="3" t="str">
        <f t="shared" si="1"/>
        <v>Unavailable</v>
      </c>
      <c r="C4199" s="3">
        <v>290.0</v>
      </c>
      <c r="D4199" s="3">
        <f>IFERROR(__xludf.DUMMYFUNCTION("IFERROR(
IF(REGEXMATCH(LOWER(O4199),""k""),
VALUE(REGEXEXTRACT(O4199,""[0-9]+""))*1000,
VALUE(REGEXEXTRACT(O4199,""[0-9]+""))
),
0
)"),0.0)</f>
        <v>0</v>
      </c>
      <c r="E4199" s="1" t="s">
        <v>11</v>
      </c>
      <c r="F4199" s="1" t="s">
        <v>20</v>
      </c>
      <c r="G4199" s="4" t="b">
        <f t="shared" si="2"/>
        <v>1</v>
      </c>
      <c r="H4199" s="1" t="str">
        <f t="shared" si="3"/>
        <v>Currently Unavailable</v>
      </c>
      <c r="I4199" s="1" t="str">
        <f t="shared" si="4"/>
        <v>No Badges</v>
      </c>
      <c r="J4199" s="3">
        <f t="shared" si="5"/>
        <v>0</v>
      </c>
    </row>
    <row r="4200">
      <c r="A4200" s="1" t="s">
        <v>3119</v>
      </c>
      <c r="B4200" s="3" t="str">
        <f t="shared" si="1"/>
        <v>Unavailable</v>
      </c>
      <c r="C4200" s="3">
        <v>12.0</v>
      </c>
      <c r="D4200" s="3">
        <f>IFERROR(__xludf.DUMMYFUNCTION("IFERROR(
IF(REGEXMATCH(LOWER(O4200),""k""),
VALUE(REGEXEXTRACT(O4200,""[0-9]+""))*1000,
VALUE(REGEXEXTRACT(O4200,""[0-9]+""))
),
0
)"),0.0)</f>
        <v>0</v>
      </c>
      <c r="E4200" s="1" t="s">
        <v>11</v>
      </c>
      <c r="F4200" s="1" t="s">
        <v>20</v>
      </c>
      <c r="G4200" s="4" t="b">
        <f t="shared" si="2"/>
        <v>1</v>
      </c>
      <c r="H4200" s="1" t="str">
        <f t="shared" si="3"/>
        <v>Currently Unavailable</v>
      </c>
      <c r="I4200" s="1" t="str">
        <f t="shared" si="4"/>
        <v>No Badges</v>
      </c>
      <c r="J4200" s="3">
        <f t="shared" si="5"/>
        <v>0</v>
      </c>
    </row>
    <row r="4201">
      <c r="A4201" s="1" t="s">
        <v>3120</v>
      </c>
      <c r="B4201" s="3" t="str">
        <f t="shared" si="1"/>
        <v>Unavailable</v>
      </c>
      <c r="C4201" s="5">
        <v>3003.0</v>
      </c>
      <c r="D4201" s="3">
        <f>IFERROR(__xludf.DUMMYFUNCTION("IFERROR(
IF(REGEXMATCH(LOWER(O4201),""k""),
VALUE(REGEXEXTRACT(O4201,""[0-9]+""))*1000,
VALUE(REGEXEXTRACT(O4201,""[0-9]+""))
),
0
)"),0.0)</f>
        <v>0</v>
      </c>
      <c r="E4201" s="1" t="s">
        <v>11</v>
      </c>
      <c r="F4201" s="1" t="s">
        <v>20</v>
      </c>
      <c r="G4201" s="4" t="b">
        <f t="shared" si="2"/>
        <v>1</v>
      </c>
      <c r="H4201" s="1" t="str">
        <f t="shared" si="3"/>
        <v>Currently Unavailable</v>
      </c>
      <c r="I4201" s="1" t="str">
        <f t="shared" si="4"/>
        <v>No Badges</v>
      </c>
      <c r="J4201" s="3">
        <f t="shared" si="5"/>
        <v>0</v>
      </c>
    </row>
    <row r="4202">
      <c r="A4202" s="1" t="s">
        <v>3121</v>
      </c>
      <c r="B4202" s="3" t="str">
        <f t="shared" si="1"/>
        <v>Unavailable</v>
      </c>
      <c r="C4202" s="5">
        <v>2237.0</v>
      </c>
      <c r="D4202" s="3">
        <f>IFERROR(__xludf.DUMMYFUNCTION("IFERROR(
IF(REGEXMATCH(LOWER(O4202),""k""),
VALUE(REGEXEXTRACT(O4202,""[0-9]+""))*1000,
VALUE(REGEXEXTRACT(O4202,""[0-9]+""))
),
0
)"),0.0)</f>
        <v>0</v>
      </c>
      <c r="E4202" s="1" t="s">
        <v>11</v>
      </c>
      <c r="F4202" s="1" t="s">
        <v>20</v>
      </c>
      <c r="G4202" s="4" t="b">
        <f t="shared" si="2"/>
        <v>1</v>
      </c>
      <c r="H4202" s="1" t="str">
        <f t="shared" si="3"/>
        <v>Currently Unavailable</v>
      </c>
      <c r="I4202" s="1" t="str">
        <f t="shared" si="4"/>
        <v>No Badges</v>
      </c>
      <c r="J4202" s="3">
        <f t="shared" si="5"/>
        <v>0</v>
      </c>
    </row>
    <row r="4203">
      <c r="A4203" s="1" t="s">
        <v>3200</v>
      </c>
      <c r="B4203" s="3" t="str">
        <f t="shared" si="1"/>
        <v>Unavailable</v>
      </c>
      <c r="C4203" s="3">
        <v>201.0</v>
      </c>
      <c r="D4203" s="3">
        <f>IFERROR(__xludf.DUMMYFUNCTION("IFERROR(
IF(REGEXMATCH(LOWER(O4203),""k""),
VALUE(REGEXEXTRACT(O4203,""[0-9]+""))*1000,
VALUE(REGEXEXTRACT(O4203,""[0-9]+""))
),
0
)"),0.0)</f>
        <v>0</v>
      </c>
      <c r="E4203" s="1" t="s">
        <v>11</v>
      </c>
      <c r="F4203" s="1" t="s">
        <v>20</v>
      </c>
      <c r="G4203" s="4" t="b">
        <f t="shared" si="2"/>
        <v>1</v>
      </c>
      <c r="H4203" s="1" t="str">
        <f t="shared" si="3"/>
        <v>Currently Unavailable</v>
      </c>
      <c r="I4203" s="1" t="str">
        <f t="shared" si="4"/>
        <v>No Badges</v>
      </c>
      <c r="J4203" s="3">
        <f t="shared" si="5"/>
        <v>0</v>
      </c>
    </row>
    <row r="4204">
      <c r="A4204" s="1" t="s">
        <v>701</v>
      </c>
      <c r="B4204" s="3" t="str">
        <f t="shared" si="1"/>
        <v>Unavailable</v>
      </c>
      <c r="C4204" s="3">
        <v>8.0</v>
      </c>
      <c r="D4204" s="3">
        <f>IFERROR(__xludf.DUMMYFUNCTION("IFERROR(
IF(REGEXMATCH(LOWER(O4204),""k""),
VALUE(REGEXEXTRACT(O4204,""[0-9]+""))*1000,
VALUE(REGEXEXTRACT(O4204,""[0-9]+""))
),
0
)"),0.0)</f>
        <v>0</v>
      </c>
      <c r="E4204" s="1" t="s">
        <v>11</v>
      </c>
      <c r="F4204" s="1" t="s">
        <v>12</v>
      </c>
      <c r="G4204" s="4" t="b">
        <f t="shared" si="2"/>
        <v>1</v>
      </c>
      <c r="H4204" s="1" t="str">
        <f t="shared" si="3"/>
        <v>Currently Unavailable</v>
      </c>
      <c r="I4204" s="1" t="str">
        <f t="shared" si="4"/>
        <v>No Badges</v>
      </c>
      <c r="J4204" s="3">
        <f t="shared" si="5"/>
        <v>0</v>
      </c>
    </row>
    <row r="4205">
      <c r="A4205" s="1" t="s">
        <v>3201</v>
      </c>
      <c r="B4205" s="3" t="str">
        <f t="shared" si="1"/>
        <v>Unavailable</v>
      </c>
      <c r="C4205" s="3">
        <v>469.0</v>
      </c>
      <c r="D4205" s="3">
        <f>IFERROR(__xludf.DUMMYFUNCTION("IFERROR(
IF(REGEXMATCH(LOWER(O4205),""k""),
VALUE(REGEXEXTRACT(O4205,""[0-9]+""))*1000,
VALUE(REGEXEXTRACT(O4205,""[0-9]+""))
),
0
)"),0.0)</f>
        <v>0</v>
      </c>
      <c r="E4205" s="1" t="s">
        <v>11</v>
      </c>
      <c r="F4205" s="1" t="s">
        <v>20</v>
      </c>
      <c r="G4205" s="4" t="b">
        <f t="shared" si="2"/>
        <v>1</v>
      </c>
      <c r="H4205" s="1" t="str">
        <f t="shared" si="3"/>
        <v>Currently Unavailable</v>
      </c>
      <c r="I4205" s="1" t="str">
        <f t="shared" si="4"/>
        <v>No Badges</v>
      </c>
      <c r="J4205" s="3">
        <f t="shared" si="5"/>
        <v>0</v>
      </c>
    </row>
    <row r="4206">
      <c r="A4206" s="1" t="s">
        <v>3202</v>
      </c>
      <c r="B4206" s="3" t="str">
        <f t="shared" si="1"/>
        <v>Unavailable</v>
      </c>
      <c r="C4206" s="3">
        <v>446.0</v>
      </c>
      <c r="D4206" s="3">
        <f>IFERROR(__xludf.DUMMYFUNCTION("IFERROR(
IF(REGEXMATCH(LOWER(O4206),""k""),
VALUE(REGEXEXTRACT(O4206,""[0-9]+""))*1000,
VALUE(REGEXEXTRACT(O4206,""[0-9]+""))
),
0
)"),0.0)</f>
        <v>0</v>
      </c>
      <c r="E4206" s="1" t="s">
        <v>11</v>
      </c>
      <c r="F4206" s="1" t="s">
        <v>20</v>
      </c>
      <c r="G4206" s="4" t="b">
        <f t="shared" si="2"/>
        <v>1</v>
      </c>
      <c r="H4206" s="1" t="str">
        <f t="shared" si="3"/>
        <v>Currently Unavailable</v>
      </c>
      <c r="I4206" s="1" t="str">
        <f t="shared" si="4"/>
        <v>No Badges</v>
      </c>
      <c r="J4206" s="3">
        <f t="shared" si="5"/>
        <v>0</v>
      </c>
    </row>
    <row r="4207">
      <c r="A4207" s="1" t="s">
        <v>1095</v>
      </c>
      <c r="B4207" s="3" t="str">
        <f t="shared" si="1"/>
        <v>Unavailable</v>
      </c>
      <c r="C4207" s="3">
        <v>262.0</v>
      </c>
      <c r="D4207" s="3">
        <f>IFERROR(__xludf.DUMMYFUNCTION("IFERROR(
IF(REGEXMATCH(LOWER(O4207),""k""),
VALUE(REGEXEXTRACT(O4207,""[0-9]+""))*1000,
VALUE(REGEXEXTRACT(O4207,""[0-9]+""))
),
0
)"),0.0)</f>
        <v>0</v>
      </c>
      <c r="E4207" s="1" t="s">
        <v>11</v>
      </c>
      <c r="F4207" s="1" t="s">
        <v>12</v>
      </c>
      <c r="G4207" s="4" t="b">
        <f t="shared" si="2"/>
        <v>1</v>
      </c>
      <c r="H4207" s="1" t="str">
        <f t="shared" si="3"/>
        <v>Currently Unavailable</v>
      </c>
      <c r="I4207" s="1" t="str">
        <f t="shared" si="4"/>
        <v>No Badges</v>
      </c>
      <c r="J4207" s="3">
        <f t="shared" si="5"/>
        <v>0</v>
      </c>
    </row>
    <row r="4208">
      <c r="A4208" s="1" t="s">
        <v>3203</v>
      </c>
      <c r="B4208" s="3" t="str">
        <f t="shared" si="1"/>
        <v>Unavailable</v>
      </c>
      <c r="C4208" s="5">
        <v>1416.0</v>
      </c>
      <c r="D4208" s="3">
        <f>IFERROR(__xludf.DUMMYFUNCTION("IFERROR(
IF(REGEXMATCH(LOWER(O4208),""k""),
VALUE(REGEXEXTRACT(O4208,""[0-9]+""))*1000,
VALUE(REGEXEXTRACT(O4208,""[0-9]+""))
),
0
)"),0.0)</f>
        <v>0</v>
      </c>
      <c r="E4208" s="1" t="s">
        <v>11</v>
      </c>
      <c r="F4208" s="1" t="s">
        <v>20</v>
      </c>
      <c r="G4208" s="4" t="b">
        <f t="shared" si="2"/>
        <v>1</v>
      </c>
      <c r="H4208" s="1" t="str">
        <f t="shared" si="3"/>
        <v>Currently Unavailable</v>
      </c>
      <c r="I4208" s="1" t="str">
        <f t="shared" si="4"/>
        <v>No Badges</v>
      </c>
      <c r="J4208" s="3">
        <f t="shared" si="5"/>
        <v>0</v>
      </c>
    </row>
    <row r="4209">
      <c r="A4209" s="1" t="s">
        <v>3204</v>
      </c>
      <c r="B4209" s="3" t="str">
        <f t="shared" si="1"/>
        <v>Unavailable</v>
      </c>
      <c r="C4209" s="3">
        <v>64.0</v>
      </c>
      <c r="D4209" s="3">
        <f>IFERROR(__xludf.DUMMYFUNCTION("IFERROR(
IF(REGEXMATCH(LOWER(O4209),""k""),
VALUE(REGEXEXTRACT(O4209,""[0-9]+""))*1000,
VALUE(REGEXEXTRACT(O4209,""[0-9]+""))
),
0
)"),0.0)</f>
        <v>0</v>
      </c>
      <c r="E4209" s="1" t="s">
        <v>11</v>
      </c>
      <c r="F4209" s="1" t="s">
        <v>20</v>
      </c>
      <c r="G4209" s="4" t="b">
        <f t="shared" si="2"/>
        <v>1</v>
      </c>
      <c r="H4209" s="1" t="str">
        <f t="shared" si="3"/>
        <v>Currently Unavailable</v>
      </c>
      <c r="I4209" s="1" t="str">
        <f t="shared" si="4"/>
        <v>No Badges</v>
      </c>
      <c r="J4209" s="3">
        <f t="shared" si="5"/>
        <v>0</v>
      </c>
    </row>
    <row r="4210">
      <c r="A4210" s="1" t="s">
        <v>3205</v>
      </c>
      <c r="B4210" s="3" t="str">
        <f t="shared" si="1"/>
        <v>Unavailable</v>
      </c>
      <c r="C4210" s="5">
        <v>1198.0</v>
      </c>
      <c r="D4210" s="3">
        <f>IFERROR(__xludf.DUMMYFUNCTION("IFERROR(
IF(REGEXMATCH(LOWER(O4210),""k""),
VALUE(REGEXEXTRACT(O4210,""[0-9]+""))*1000,
VALUE(REGEXEXTRACT(O4210,""[0-9]+""))
),
0
)"),0.0)</f>
        <v>0</v>
      </c>
      <c r="E4210" s="1" t="s">
        <v>11</v>
      </c>
      <c r="F4210" s="1" t="s">
        <v>20</v>
      </c>
      <c r="G4210" s="4" t="b">
        <f t="shared" si="2"/>
        <v>1</v>
      </c>
      <c r="H4210" s="1" t="str">
        <f t="shared" si="3"/>
        <v>Currently Unavailable</v>
      </c>
      <c r="I4210" s="1" t="str">
        <f t="shared" si="4"/>
        <v>No Badges</v>
      </c>
      <c r="J4210" s="3">
        <f t="shared" si="5"/>
        <v>0</v>
      </c>
    </row>
    <row r="4211">
      <c r="A4211" s="1" t="s">
        <v>3206</v>
      </c>
      <c r="B4211" s="3" t="str">
        <f t="shared" si="1"/>
        <v>Unavailable</v>
      </c>
      <c r="C4211" s="3">
        <v>128.0</v>
      </c>
      <c r="D4211" s="3">
        <f>IFERROR(__xludf.DUMMYFUNCTION("IFERROR(
IF(REGEXMATCH(LOWER(O4211),""k""),
VALUE(REGEXEXTRACT(O4211,""[0-9]+""))*1000,
VALUE(REGEXEXTRACT(O4211,""[0-9]+""))
),
0
)"),0.0)</f>
        <v>0</v>
      </c>
      <c r="E4211" s="1" t="s">
        <v>11</v>
      </c>
      <c r="F4211" s="1" t="s">
        <v>20</v>
      </c>
      <c r="G4211" s="4" t="b">
        <f t="shared" si="2"/>
        <v>1</v>
      </c>
      <c r="H4211" s="1" t="str">
        <f t="shared" si="3"/>
        <v>Currently Unavailable</v>
      </c>
      <c r="I4211" s="1" t="str">
        <f t="shared" si="4"/>
        <v>No Badges</v>
      </c>
      <c r="J4211" s="3">
        <f t="shared" si="5"/>
        <v>0</v>
      </c>
    </row>
    <row r="4212">
      <c r="A4212" s="1" t="s">
        <v>3207</v>
      </c>
      <c r="B4212" s="3" t="str">
        <f t="shared" si="1"/>
        <v>Unavailable</v>
      </c>
      <c r="C4212" s="3">
        <v>486.0</v>
      </c>
      <c r="D4212" s="3">
        <f>IFERROR(__xludf.DUMMYFUNCTION("IFERROR(
IF(REGEXMATCH(LOWER(O4212),""k""),
VALUE(REGEXEXTRACT(O4212,""[0-9]+""))*1000,
VALUE(REGEXEXTRACT(O4212,""[0-9]+""))
),
0
)"),0.0)</f>
        <v>0</v>
      </c>
      <c r="E4212" s="1" t="s">
        <v>11</v>
      </c>
      <c r="F4212" s="1" t="s">
        <v>20</v>
      </c>
      <c r="G4212" s="4" t="b">
        <f t="shared" si="2"/>
        <v>1</v>
      </c>
      <c r="H4212" s="1" t="str">
        <f t="shared" si="3"/>
        <v>Currently Unavailable</v>
      </c>
      <c r="I4212" s="1" t="str">
        <f t="shared" si="4"/>
        <v>No Badges</v>
      </c>
      <c r="J4212" s="3">
        <f t="shared" si="5"/>
        <v>0</v>
      </c>
    </row>
    <row r="4213">
      <c r="A4213" s="1" t="s">
        <v>3208</v>
      </c>
      <c r="B4213" s="3" t="str">
        <f t="shared" si="1"/>
        <v>Unavailable</v>
      </c>
      <c r="C4213" s="3">
        <v>454.0</v>
      </c>
      <c r="D4213" s="3">
        <f>IFERROR(__xludf.DUMMYFUNCTION("IFERROR(
IF(REGEXMATCH(LOWER(O4213),""k""),
VALUE(REGEXEXTRACT(O4213,""[0-9]+""))*1000,
VALUE(REGEXEXTRACT(O4213,""[0-9]+""))
),
0
)"),0.0)</f>
        <v>0</v>
      </c>
      <c r="E4213" s="1" t="s">
        <v>11</v>
      </c>
      <c r="F4213" s="1" t="s">
        <v>20</v>
      </c>
      <c r="G4213" s="4" t="b">
        <f t="shared" si="2"/>
        <v>1</v>
      </c>
      <c r="H4213" s="1" t="str">
        <f t="shared" si="3"/>
        <v>Currently Unavailable</v>
      </c>
      <c r="I4213" s="1" t="str">
        <f t="shared" si="4"/>
        <v>No Badges</v>
      </c>
      <c r="J4213" s="3">
        <f t="shared" si="5"/>
        <v>0</v>
      </c>
    </row>
    <row r="4214">
      <c r="A4214" s="1" t="s">
        <v>3112</v>
      </c>
      <c r="B4214" s="3" t="str">
        <f t="shared" si="1"/>
        <v>Unavailable</v>
      </c>
      <c r="C4214" s="5">
        <v>1531.0</v>
      </c>
      <c r="D4214" s="3">
        <f>IFERROR(__xludf.DUMMYFUNCTION("IFERROR(
IF(REGEXMATCH(LOWER(O4214),""k""),
VALUE(REGEXEXTRACT(O4214,""[0-9]+""))*1000,
VALUE(REGEXEXTRACT(O4214,""[0-9]+""))
),
0
)"),0.0)</f>
        <v>0</v>
      </c>
      <c r="E4214" s="1" t="s">
        <v>11</v>
      </c>
      <c r="F4214" s="1" t="s">
        <v>20</v>
      </c>
      <c r="G4214" s="4" t="b">
        <f t="shared" si="2"/>
        <v>1</v>
      </c>
      <c r="H4214" s="1" t="str">
        <f t="shared" si="3"/>
        <v>Currently Unavailable</v>
      </c>
      <c r="I4214" s="1" t="str">
        <f t="shared" si="4"/>
        <v>No Badges</v>
      </c>
      <c r="J4214" s="3">
        <f t="shared" si="5"/>
        <v>0</v>
      </c>
    </row>
    <row r="4215">
      <c r="A4215" s="1" t="s">
        <v>3209</v>
      </c>
      <c r="B4215" s="3" t="str">
        <f t="shared" si="1"/>
        <v>Unavailable</v>
      </c>
      <c r="C4215" s="3">
        <v>825.0</v>
      </c>
      <c r="D4215" s="3">
        <f>IFERROR(__xludf.DUMMYFUNCTION("IFERROR(
IF(REGEXMATCH(LOWER(O4215),""k""),
VALUE(REGEXEXTRACT(O4215,""[0-9]+""))*1000,
VALUE(REGEXEXTRACT(O4215,""[0-9]+""))
),
0
)"),0.0)</f>
        <v>0</v>
      </c>
      <c r="E4215" s="1" t="s">
        <v>11</v>
      </c>
      <c r="F4215" s="1" t="s">
        <v>20</v>
      </c>
      <c r="G4215" s="4" t="b">
        <f t="shared" si="2"/>
        <v>1</v>
      </c>
      <c r="H4215" s="1" t="str">
        <f t="shared" si="3"/>
        <v>Currently Unavailable</v>
      </c>
      <c r="I4215" s="1" t="str">
        <f t="shared" si="4"/>
        <v>No Badges</v>
      </c>
      <c r="J4215" s="3">
        <f t="shared" si="5"/>
        <v>0</v>
      </c>
    </row>
    <row r="4216">
      <c r="A4216" s="1" t="s">
        <v>3210</v>
      </c>
      <c r="B4216" s="3" t="str">
        <f t="shared" si="1"/>
        <v>Unavailable</v>
      </c>
      <c r="C4216" s="5">
        <v>4477.0</v>
      </c>
      <c r="D4216" s="3">
        <f>IFERROR(__xludf.DUMMYFUNCTION("IFERROR(
IF(REGEXMATCH(LOWER(O4216),""k""),
VALUE(REGEXEXTRACT(O4216,""[0-9]+""))*1000,
VALUE(REGEXEXTRACT(O4216,""[0-9]+""))
),
0
)"),0.0)</f>
        <v>0</v>
      </c>
      <c r="E4216" s="1" t="s">
        <v>11</v>
      </c>
      <c r="F4216" s="1" t="s">
        <v>20</v>
      </c>
      <c r="G4216" s="4" t="b">
        <f t="shared" si="2"/>
        <v>1</v>
      </c>
      <c r="H4216" s="1" t="str">
        <f t="shared" si="3"/>
        <v>Currently Unavailable</v>
      </c>
      <c r="I4216" s="1" t="str">
        <f t="shared" si="4"/>
        <v>No Badges</v>
      </c>
      <c r="J4216" s="3">
        <f t="shared" si="5"/>
        <v>0</v>
      </c>
    </row>
    <row r="4217">
      <c r="A4217" s="1" t="s">
        <v>3211</v>
      </c>
      <c r="B4217" s="3" t="str">
        <f t="shared" si="1"/>
        <v>Unavailable</v>
      </c>
      <c r="C4217" s="5">
        <v>1934.0</v>
      </c>
      <c r="D4217" s="3">
        <f>IFERROR(__xludf.DUMMYFUNCTION("IFERROR(
IF(REGEXMATCH(LOWER(O4217),""k""),
VALUE(REGEXEXTRACT(O4217,""[0-9]+""))*1000,
VALUE(REGEXEXTRACT(O4217,""[0-9]+""))
),
0
)"),0.0)</f>
        <v>0</v>
      </c>
      <c r="E4217" s="1" t="s">
        <v>11</v>
      </c>
      <c r="F4217" s="1" t="s">
        <v>20</v>
      </c>
      <c r="G4217" s="4" t="b">
        <f t="shared" si="2"/>
        <v>1</v>
      </c>
      <c r="H4217" s="1" t="str">
        <f t="shared" si="3"/>
        <v>Currently Unavailable</v>
      </c>
      <c r="I4217" s="1" t="str">
        <f t="shared" si="4"/>
        <v>No Badges</v>
      </c>
      <c r="J4217" s="3">
        <f t="shared" si="5"/>
        <v>0</v>
      </c>
    </row>
    <row r="4218">
      <c r="A4218" s="1" t="s">
        <v>3212</v>
      </c>
      <c r="B4218" s="3" t="str">
        <f t="shared" si="1"/>
        <v>Unavailable</v>
      </c>
      <c r="C4218" s="3">
        <v>481.0</v>
      </c>
      <c r="D4218" s="3">
        <f>IFERROR(__xludf.DUMMYFUNCTION("IFERROR(
IF(REGEXMATCH(LOWER(O4218),""k""),
VALUE(REGEXEXTRACT(O4218,""[0-9]+""))*1000,
VALUE(REGEXEXTRACT(O4218,""[0-9]+""))
),
0
)"),0.0)</f>
        <v>0</v>
      </c>
      <c r="E4218" s="1" t="s">
        <v>11</v>
      </c>
      <c r="F4218" s="1" t="s">
        <v>20</v>
      </c>
      <c r="G4218" s="4" t="b">
        <f t="shared" si="2"/>
        <v>1</v>
      </c>
      <c r="H4218" s="1" t="str">
        <f t="shared" si="3"/>
        <v>Currently Unavailable</v>
      </c>
      <c r="I4218" s="1" t="str">
        <f t="shared" si="4"/>
        <v>No Badges</v>
      </c>
      <c r="J4218" s="3">
        <f t="shared" si="5"/>
        <v>0</v>
      </c>
    </row>
    <row r="4219">
      <c r="A4219" s="1" t="s">
        <v>3213</v>
      </c>
      <c r="B4219" s="3" t="str">
        <f t="shared" si="1"/>
        <v>Unavailable</v>
      </c>
      <c r="C4219" s="5">
        <v>9274.0</v>
      </c>
      <c r="D4219" s="3">
        <f>IFERROR(__xludf.DUMMYFUNCTION("IFERROR(
IF(REGEXMATCH(LOWER(O4219),""k""),
VALUE(REGEXEXTRACT(O4219,""[0-9]+""))*1000,
VALUE(REGEXEXTRACT(O4219,""[0-9]+""))
),
0
)"),0.0)</f>
        <v>0</v>
      </c>
      <c r="E4219" s="1" t="s">
        <v>11</v>
      </c>
      <c r="F4219" s="1" t="s">
        <v>20</v>
      </c>
      <c r="G4219" s="4" t="b">
        <f t="shared" si="2"/>
        <v>1</v>
      </c>
      <c r="H4219" s="1" t="str">
        <f t="shared" si="3"/>
        <v>Currently Unavailable</v>
      </c>
      <c r="I4219" s="1" t="str">
        <f t="shared" si="4"/>
        <v>No Badges</v>
      </c>
      <c r="J4219" s="3">
        <f t="shared" si="5"/>
        <v>0</v>
      </c>
    </row>
    <row r="4220">
      <c r="A4220" s="1" t="s">
        <v>69</v>
      </c>
      <c r="B4220" s="3" t="str">
        <f t="shared" si="1"/>
        <v>Unavailable</v>
      </c>
      <c r="C4220" s="3">
        <v>45.0</v>
      </c>
      <c r="D4220" s="3">
        <f>IFERROR(__xludf.DUMMYFUNCTION("IFERROR(
IF(REGEXMATCH(LOWER(O4220),""k""),
VALUE(REGEXEXTRACT(O4220,""[0-9]+""))*1000,
VALUE(REGEXEXTRACT(O4220,""[0-9]+""))
),
0
)"),0.0)</f>
        <v>0</v>
      </c>
      <c r="E4220" s="1" t="s">
        <v>11</v>
      </c>
      <c r="F4220" s="1" t="s">
        <v>12</v>
      </c>
      <c r="G4220" s="4" t="b">
        <f t="shared" si="2"/>
        <v>1</v>
      </c>
      <c r="H4220" s="1" t="str">
        <f t="shared" si="3"/>
        <v>Currently Unavailable</v>
      </c>
      <c r="I4220" s="1" t="str">
        <f t="shared" si="4"/>
        <v>No Badges</v>
      </c>
      <c r="J4220" s="3">
        <f t="shared" si="5"/>
        <v>0</v>
      </c>
    </row>
    <row r="4221">
      <c r="A4221" s="1" t="s">
        <v>1054</v>
      </c>
      <c r="B4221" s="3" t="str">
        <f t="shared" si="1"/>
        <v>Unavailable</v>
      </c>
      <c r="C4221" s="3">
        <v>3.0</v>
      </c>
      <c r="D4221" s="3">
        <f>IFERROR(__xludf.DUMMYFUNCTION("IFERROR(
IF(REGEXMATCH(LOWER(O4221),""k""),
VALUE(REGEXEXTRACT(O4221,""[0-9]+""))*1000,
VALUE(REGEXEXTRACT(O4221,""[0-9]+""))
),
0
)"),0.0)</f>
        <v>0</v>
      </c>
      <c r="E4221" s="1" t="s">
        <v>11</v>
      </c>
      <c r="F4221" s="1" t="s">
        <v>12</v>
      </c>
      <c r="G4221" s="4" t="b">
        <f t="shared" si="2"/>
        <v>1</v>
      </c>
      <c r="H4221" s="1" t="str">
        <f t="shared" si="3"/>
        <v>Currently Unavailable</v>
      </c>
      <c r="I4221" s="1" t="str">
        <f t="shared" si="4"/>
        <v>No Badges</v>
      </c>
      <c r="J4221" s="3">
        <f t="shared" si="5"/>
        <v>0</v>
      </c>
    </row>
    <row r="4222">
      <c r="A4222" s="1" t="s">
        <v>67</v>
      </c>
      <c r="B4222" s="3" t="str">
        <f t="shared" si="1"/>
        <v>Unavailable</v>
      </c>
      <c r="C4222" s="3">
        <v>264.0</v>
      </c>
      <c r="D4222" s="3">
        <f>IFERROR(__xludf.DUMMYFUNCTION("IFERROR(
IF(REGEXMATCH(LOWER(O4222),""k""),
VALUE(REGEXEXTRACT(O4222,""[0-9]+""))*1000,
VALUE(REGEXEXTRACT(O4222,""[0-9]+""))
),
0
)"),0.0)</f>
        <v>0</v>
      </c>
      <c r="E4222" s="1" t="s">
        <v>11</v>
      </c>
      <c r="F4222" s="1" t="s">
        <v>12</v>
      </c>
      <c r="G4222" s="4" t="b">
        <f t="shared" si="2"/>
        <v>1</v>
      </c>
      <c r="H4222" s="1" t="str">
        <f t="shared" si="3"/>
        <v>Currently Unavailable</v>
      </c>
      <c r="I4222" s="1" t="str">
        <f t="shared" si="4"/>
        <v>No Badges</v>
      </c>
      <c r="J4222" s="3">
        <f t="shared" si="5"/>
        <v>0</v>
      </c>
    </row>
    <row r="4223">
      <c r="A4223" s="1" t="s">
        <v>3214</v>
      </c>
      <c r="B4223" s="3" t="str">
        <f t="shared" si="1"/>
        <v>Unavailable</v>
      </c>
      <c r="C4223" s="5">
        <v>23299.0</v>
      </c>
      <c r="D4223" s="3">
        <f>IFERROR(__xludf.DUMMYFUNCTION("IFERROR(
IF(REGEXMATCH(LOWER(O4223),""k""),
VALUE(REGEXEXTRACT(O4223,""[0-9]+""))*1000,
VALUE(REGEXEXTRACT(O4223,""[0-9]+""))
),
0
)"),0.0)</f>
        <v>0</v>
      </c>
      <c r="E4223" s="1" t="s">
        <v>11</v>
      </c>
      <c r="F4223" s="1" t="s">
        <v>20</v>
      </c>
      <c r="G4223" s="4" t="b">
        <f t="shared" si="2"/>
        <v>1</v>
      </c>
      <c r="H4223" s="1" t="str">
        <f t="shared" si="3"/>
        <v>Currently Unavailable</v>
      </c>
      <c r="I4223" s="1" t="str">
        <f t="shared" si="4"/>
        <v>No Badges</v>
      </c>
      <c r="J4223" s="3">
        <f t="shared" si="5"/>
        <v>0</v>
      </c>
    </row>
    <row r="4224">
      <c r="A4224" s="1" t="s">
        <v>3215</v>
      </c>
      <c r="B4224" s="3" t="str">
        <f t="shared" si="1"/>
        <v>Unavailable</v>
      </c>
      <c r="C4224" s="3">
        <v>380.0</v>
      </c>
      <c r="D4224" s="3">
        <f>IFERROR(__xludf.DUMMYFUNCTION("IFERROR(
IF(REGEXMATCH(LOWER(O4224),""k""),
VALUE(REGEXEXTRACT(O4224,""[0-9]+""))*1000,
VALUE(REGEXEXTRACT(O4224,""[0-9]+""))
),
0
)"),0.0)</f>
        <v>0</v>
      </c>
      <c r="E4224" s="1" t="s">
        <v>11</v>
      </c>
      <c r="F4224" s="1" t="s">
        <v>20</v>
      </c>
      <c r="G4224" s="4" t="b">
        <f t="shared" si="2"/>
        <v>1</v>
      </c>
      <c r="H4224" s="1" t="str">
        <f t="shared" si="3"/>
        <v>Currently Unavailable</v>
      </c>
      <c r="I4224" s="1" t="str">
        <f t="shared" si="4"/>
        <v>No Badges</v>
      </c>
      <c r="J4224" s="3">
        <f t="shared" si="5"/>
        <v>0</v>
      </c>
    </row>
    <row r="4225">
      <c r="A4225" s="1" t="s">
        <v>3138</v>
      </c>
      <c r="B4225" s="3" t="str">
        <f t="shared" si="1"/>
        <v>Unavailable</v>
      </c>
      <c r="C4225" s="3">
        <v>823.0</v>
      </c>
      <c r="D4225" s="3">
        <f>IFERROR(__xludf.DUMMYFUNCTION("IFERROR(
IF(REGEXMATCH(LOWER(O4225),""k""),
VALUE(REGEXEXTRACT(O4225,""[0-9]+""))*1000,
VALUE(REGEXEXTRACT(O4225,""[0-9]+""))
),
0
)"),0.0)</f>
        <v>0</v>
      </c>
      <c r="E4225" s="1" t="s">
        <v>11</v>
      </c>
      <c r="F4225" s="1" t="s">
        <v>20</v>
      </c>
      <c r="G4225" s="4" t="b">
        <f t="shared" si="2"/>
        <v>1</v>
      </c>
      <c r="H4225" s="1" t="str">
        <f t="shared" si="3"/>
        <v>Currently Unavailable</v>
      </c>
      <c r="I4225" s="1" t="str">
        <f t="shared" si="4"/>
        <v>No Badges</v>
      </c>
      <c r="J4225" s="3">
        <f t="shared" si="5"/>
        <v>0</v>
      </c>
    </row>
    <row r="4226">
      <c r="A4226" s="1" t="s">
        <v>3139</v>
      </c>
      <c r="B4226" s="3" t="str">
        <f t="shared" si="1"/>
        <v>Unavailable</v>
      </c>
      <c r="C4226" s="3">
        <v>856.0</v>
      </c>
      <c r="D4226" s="3">
        <f>IFERROR(__xludf.DUMMYFUNCTION("IFERROR(
IF(REGEXMATCH(LOWER(O4226),""k""),
VALUE(REGEXEXTRACT(O4226,""[0-9]+""))*1000,
VALUE(REGEXEXTRACT(O4226,""[0-9]+""))
),
0
)"),0.0)</f>
        <v>0</v>
      </c>
      <c r="E4226" s="1" t="s">
        <v>11</v>
      </c>
      <c r="F4226" s="1" t="s">
        <v>20</v>
      </c>
      <c r="G4226" s="4" t="b">
        <f t="shared" si="2"/>
        <v>1</v>
      </c>
      <c r="H4226" s="1" t="str">
        <f t="shared" si="3"/>
        <v>Currently Unavailable</v>
      </c>
      <c r="I4226" s="1" t="str">
        <f t="shared" si="4"/>
        <v>No Badges</v>
      </c>
      <c r="J4226" s="3">
        <f t="shared" si="5"/>
        <v>0</v>
      </c>
    </row>
    <row r="4227">
      <c r="A4227" s="1" t="s">
        <v>3140</v>
      </c>
      <c r="B4227" s="3" t="str">
        <f t="shared" si="1"/>
        <v>Unavailable</v>
      </c>
      <c r="C4227" s="3">
        <v>28.0</v>
      </c>
      <c r="D4227" s="3">
        <f>IFERROR(__xludf.DUMMYFUNCTION("IFERROR(
IF(REGEXMATCH(LOWER(O4227),""k""),
VALUE(REGEXEXTRACT(O4227,""[0-9]+""))*1000,
VALUE(REGEXEXTRACT(O4227,""[0-9]+""))
),
0
)"),0.0)</f>
        <v>0</v>
      </c>
      <c r="E4227" s="1" t="s">
        <v>18</v>
      </c>
      <c r="F4227" s="1" t="s">
        <v>20</v>
      </c>
      <c r="G4227" s="4" t="b">
        <f t="shared" si="2"/>
        <v>1</v>
      </c>
      <c r="H4227" s="1" t="str">
        <f t="shared" si="3"/>
        <v>Currently Unavailable</v>
      </c>
      <c r="I4227" s="1" t="str">
        <f t="shared" si="4"/>
        <v>No Badges</v>
      </c>
      <c r="J4227" s="3">
        <f t="shared" si="5"/>
        <v>0</v>
      </c>
    </row>
    <row r="4228">
      <c r="A4228" s="1" t="s">
        <v>3141</v>
      </c>
      <c r="B4228" s="3" t="str">
        <f t="shared" si="1"/>
        <v>Unavailable</v>
      </c>
      <c r="C4228" s="5">
        <v>2669.0</v>
      </c>
      <c r="D4228" s="3">
        <f>IFERROR(__xludf.DUMMYFUNCTION("IFERROR(
IF(REGEXMATCH(LOWER(O4228),""k""),
VALUE(REGEXEXTRACT(O4228,""[0-9]+""))*1000,
VALUE(REGEXEXTRACT(O4228,""[0-9]+""))
),
0
)"),0.0)</f>
        <v>0</v>
      </c>
      <c r="E4228" s="1" t="s">
        <v>11</v>
      </c>
      <c r="F4228" s="1" t="s">
        <v>20</v>
      </c>
      <c r="G4228" s="4" t="b">
        <f t="shared" si="2"/>
        <v>1</v>
      </c>
      <c r="H4228" s="1" t="str">
        <f t="shared" si="3"/>
        <v>Currently Unavailable</v>
      </c>
      <c r="I4228" s="1" t="str">
        <f t="shared" si="4"/>
        <v>No Badges</v>
      </c>
      <c r="J4228" s="3">
        <f t="shared" si="5"/>
        <v>0</v>
      </c>
    </row>
    <row r="4229">
      <c r="A4229" s="1" t="s">
        <v>3216</v>
      </c>
      <c r="B4229" s="3" t="str">
        <f t="shared" si="1"/>
        <v>Unavailable</v>
      </c>
      <c r="C4229" s="5">
        <v>30572.0</v>
      </c>
      <c r="D4229" s="3">
        <f>IFERROR(__xludf.DUMMYFUNCTION("IFERROR(
IF(REGEXMATCH(LOWER(O4229),""k""),
VALUE(REGEXEXTRACT(O4229,""[0-9]+""))*1000,
VALUE(REGEXEXTRACT(O4229,""[0-9]+""))
),
0
)"),0.0)</f>
        <v>0</v>
      </c>
      <c r="E4229" s="1" t="s">
        <v>11</v>
      </c>
      <c r="F4229" s="1" t="s">
        <v>20</v>
      </c>
      <c r="G4229" s="4" t="b">
        <f t="shared" si="2"/>
        <v>1</v>
      </c>
      <c r="H4229" s="1" t="str">
        <f t="shared" si="3"/>
        <v>Currently Unavailable</v>
      </c>
      <c r="I4229" s="1" t="str">
        <f t="shared" si="4"/>
        <v>No Badges</v>
      </c>
      <c r="J4229" s="3">
        <f t="shared" si="5"/>
        <v>0</v>
      </c>
    </row>
    <row r="4230">
      <c r="A4230" s="1" t="s">
        <v>3142</v>
      </c>
      <c r="B4230" s="3" t="str">
        <f t="shared" si="1"/>
        <v>Unavailable</v>
      </c>
      <c r="C4230" s="3">
        <v>9.0</v>
      </c>
      <c r="D4230" s="3">
        <f>IFERROR(__xludf.DUMMYFUNCTION("IFERROR(
IF(REGEXMATCH(LOWER(O4230),""k""),
VALUE(REGEXEXTRACT(O4230,""[0-9]+""))*1000,
VALUE(REGEXEXTRACT(O4230,""[0-9]+""))
),
0
)"),0.0)</f>
        <v>0</v>
      </c>
      <c r="E4230" s="1" t="s">
        <v>11</v>
      </c>
      <c r="F4230" s="1" t="s">
        <v>20</v>
      </c>
      <c r="G4230" s="4" t="b">
        <f t="shared" si="2"/>
        <v>1</v>
      </c>
      <c r="H4230" s="1" t="str">
        <f t="shared" si="3"/>
        <v>Currently Unavailable</v>
      </c>
      <c r="I4230" s="1" t="str">
        <f t="shared" si="4"/>
        <v>No Badges</v>
      </c>
      <c r="J4230" s="3">
        <f t="shared" si="5"/>
        <v>0</v>
      </c>
    </row>
    <row r="4231">
      <c r="A4231" s="1" t="s">
        <v>3217</v>
      </c>
      <c r="B4231" s="3" t="str">
        <f t="shared" si="1"/>
        <v>Unavailable</v>
      </c>
      <c r="C4231" s="3">
        <v>477.0</v>
      </c>
      <c r="D4231" s="3">
        <f>IFERROR(__xludf.DUMMYFUNCTION("IFERROR(
IF(REGEXMATCH(LOWER(O4231),""k""),
VALUE(REGEXEXTRACT(O4231,""[0-9]+""))*1000,
VALUE(REGEXEXTRACT(O4231,""[0-9]+""))
),
0
)"),0.0)</f>
        <v>0</v>
      </c>
      <c r="E4231" s="1" t="s">
        <v>11</v>
      </c>
      <c r="F4231" s="1" t="s">
        <v>20</v>
      </c>
      <c r="G4231" s="4" t="b">
        <f t="shared" si="2"/>
        <v>1</v>
      </c>
      <c r="H4231" s="1" t="str">
        <f t="shared" si="3"/>
        <v>Currently Unavailable</v>
      </c>
      <c r="I4231" s="1" t="str">
        <f t="shared" si="4"/>
        <v>No Badges</v>
      </c>
      <c r="J4231" s="3">
        <f t="shared" si="5"/>
        <v>0</v>
      </c>
    </row>
    <row r="4232">
      <c r="A4232" s="1" t="s">
        <v>3218</v>
      </c>
      <c r="B4232" s="3" t="str">
        <f t="shared" si="1"/>
        <v>Unavailable</v>
      </c>
      <c r="C4232" s="3">
        <v>100.0</v>
      </c>
      <c r="D4232" s="3">
        <f>IFERROR(__xludf.DUMMYFUNCTION("IFERROR(
IF(REGEXMATCH(LOWER(O4232),""k""),
VALUE(REGEXEXTRACT(O4232,""[0-9]+""))*1000,
VALUE(REGEXEXTRACT(O4232,""[0-9]+""))
),
0
)"),0.0)</f>
        <v>0</v>
      </c>
      <c r="E4232" s="1" t="s">
        <v>11</v>
      </c>
      <c r="F4232" s="1" t="s">
        <v>20</v>
      </c>
      <c r="G4232" s="4" t="b">
        <f t="shared" si="2"/>
        <v>1</v>
      </c>
      <c r="H4232" s="1" t="str">
        <f t="shared" si="3"/>
        <v>Currently Unavailable</v>
      </c>
      <c r="I4232" s="1" t="str">
        <f t="shared" si="4"/>
        <v>No Badges</v>
      </c>
      <c r="J4232" s="3">
        <f t="shared" si="5"/>
        <v>0</v>
      </c>
    </row>
    <row r="4233">
      <c r="A4233" s="1" t="s">
        <v>3219</v>
      </c>
      <c r="B4233" s="3" t="str">
        <f t="shared" si="1"/>
        <v>Unavailable</v>
      </c>
      <c r="C4233" s="3">
        <v>65.0</v>
      </c>
      <c r="D4233" s="3">
        <f>IFERROR(__xludf.DUMMYFUNCTION("IFERROR(
IF(REGEXMATCH(LOWER(O4233),""k""),
VALUE(REGEXEXTRACT(O4233,""[0-9]+""))*1000,
VALUE(REGEXEXTRACT(O4233,""[0-9]+""))
),
0
)"),0.0)</f>
        <v>0</v>
      </c>
      <c r="E4233" s="1" t="s">
        <v>11</v>
      </c>
      <c r="F4233" s="1" t="s">
        <v>20</v>
      </c>
      <c r="G4233" s="4" t="b">
        <f t="shared" si="2"/>
        <v>1</v>
      </c>
      <c r="H4233" s="1" t="str">
        <f t="shared" si="3"/>
        <v>Currently Unavailable</v>
      </c>
      <c r="I4233" s="1" t="str">
        <f t="shared" si="4"/>
        <v>No Badges</v>
      </c>
      <c r="J4233" s="3">
        <f t="shared" si="5"/>
        <v>0</v>
      </c>
    </row>
    <row r="4234">
      <c r="A4234" s="1" t="s">
        <v>3220</v>
      </c>
      <c r="B4234" s="3" t="str">
        <f t="shared" si="1"/>
        <v>Unavailable</v>
      </c>
      <c r="C4234" s="5">
        <v>2963.0</v>
      </c>
      <c r="D4234" s="3">
        <f>IFERROR(__xludf.DUMMYFUNCTION("IFERROR(
IF(REGEXMATCH(LOWER(O4234),""k""),
VALUE(REGEXEXTRACT(O4234,""[0-9]+""))*1000,
VALUE(REGEXEXTRACT(O4234,""[0-9]+""))
),
0
)"),0.0)</f>
        <v>0</v>
      </c>
      <c r="E4234" s="1" t="s">
        <v>11</v>
      </c>
      <c r="F4234" s="1" t="s">
        <v>20</v>
      </c>
      <c r="G4234" s="4" t="b">
        <f t="shared" si="2"/>
        <v>1</v>
      </c>
      <c r="H4234" s="1" t="str">
        <f t="shared" si="3"/>
        <v>Currently Unavailable</v>
      </c>
      <c r="I4234" s="1" t="str">
        <f t="shared" si="4"/>
        <v>No Badges</v>
      </c>
      <c r="J4234" s="3">
        <f t="shared" si="5"/>
        <v>0</v>
      </c>
    </row>
    <row r="4235">
      <c r="A4235" s="1" t="s">
        <v>3221</v>
      </c>
      <c r="B4235" s="3" t="str">
        <f t="shared" si="1"/>
        <v>Unavailable</v>
      </c>
      <c r="C4235" s="3">
        <v>916.0</v>
      </c>
      <c r="D4235" s="3">
        <f>IFERROR(__xludf.DUMMYFUNCTION("IFERROR(
IF(REGEXMATCH(LOWER(O4235),""k""),
VALUE(REGEXEXTRACT(O4235,""[0-9]+""))*1000,
VALUE(REGEXEXTRACT(O4235,""[0-9]+""))
),
0
)"),0.0)</f>
        <v>0</v>
      </c>
      <c r="E4235" s="1" t="s">
        <v>11</v>
      </c>
      <c r="F4235" s="1" t="s">
        <v>20</v>
      </c>
      <c r="G4235" s="4" t="b">
        <f t="shared" si="2"/>
        <v>1</v>
      </c>
      <c r="H4235" s="1" t="str">
        <f t="shared" si="3"/>
        <v>Currently Unavailable</v>
      </c>
      <c r="I4235" s="1" t="str">
        <f t="shared" si="4"/>
        <v>No Badges</v>
      </c>
      <c r="J4235" s="3">
        <f t="shared" si="5"/>
        <v>0</v>
      </c>
    </row>
    <row r="4236">
      <c r="A4236" s="1" t="s">
        <v>3222</v>
      </c>
      <c r="B4236" s="3" t="str">
        <f t="shared" si="1"/>
        <v>Unavailable</v>
      </c>
      <c r="C4236" s="5">
        <v>5883.0</v>
      </c>
      <c r="D4236" s="3">
        <f>IFERROR(__xludf.DUMMYFUNCTION("IFERROR(
IF(REGEXMATCH(LOWER(O4236),""k""),
VALUE(REGEXEXTRACT(O4236,""[0-9]+""))*1000,
VALUE(REGEXEXTRACT(O4236,""[0-9]+""))
),
0
)"),0.0)</f>
        <v>0</v>
      </c>
      <c r="E4236" s="1" t="s">
        <v>11</v>
      </c>
      <c r="F4236" s="1" t="s">
        <v>20</v>
      </c>
      <c r="G4236" s="4" t="b">
        <f t="shared" si="2"/>
        <v>1</v>
      </c>
      <c r="H4236" s="1" t="str">
        <f t="shared" si="3"/>
        <v>Currently Unavailable</v>
      </c>
      <c r="I4236" s="1" t="str">
        <f t="shared" si="4"/>
        <v>No Badges</v>
      </c>
      <c r="J4236" s="3">
        <f t="shared" si="5"/>
        <v>0</v>
      </c>
    </row>
    <row r="4237">
      <c r="A4237" s="1" t="s">
        <v>3223</v>
      </c>
      <c r="B4237" s="3" t="str">
        <f t="shared" si="1"/>
        <v>Unavailable</v>
      </c>
      <c r="C4237" s="5">
        <v>1138.0</v>
      </c>
      <c r="D4237" s="3">
        <f>IFERROR(__xludf.DUMMYFUNCTION("IFERROR(
IF(REGEXMATCH(LOWER(O4237),""k""),
VALUE(REGEXEXTRACT(O4237,""[0-9]+""))*1000,
VALUE(REGEXEXTRACT(O4237,""[0-9]+""))
),
0
)"),0.0)</f>
        <v>0</v>
      </c>
      <c r="E4237" s="1" t="s">
        <v>11</v>
      </c>
      <c r="F4237" s="1" t="s">
        <v>20</v>
      </c>
      <c r="G4237" s="4" t="b">
        <f t="shared" si="2"/>
        <v>1</v>
      </c>
      <c r="H4237" s="1" t="str">
        <f t="shared" si="3"/>
        <v>Currently Unavailable</v>
      </c>
      <c r="I4237" s="1" t="str">
        <f t="shared" si="4"/>
        <v>No Badges</v>
      </c>
      <c r="J4237" s="3">
        <f t="shared" si="5"/>
        <v>0</v>
      </c>
    </row>
    <row r="4238">
      <c r="A4238" s="1" t="s">
        <v>3224</v>
      </c>
      <c r="B4238" s="3" t="str">
        <f t="shared" si="1"/>
        <v>Unavailable</v>
      </c>
      <c r="C4238" s="3">
        <v>216.0</v>
      </c>
      <c r="D4238" s="3">
        <f>IFERROR(__xludf.DUMMYFUNCTION("IFERROR(
IF(REGEXMATCH(LOWER(O4238),""k""),
VALUE(REGEXEXTRACT(O4238,""[0-9]+""))*1000,
VALUE(REGEXEXTRACT(O4238,""[0-9]+""))
),
0
)"),0.0)</f>
        <v>0</v>
      </c>
      <c r="E4238" s="1" t="s">
        <v>11</v>
      </c>
      <c r="F4238" s="1" t="s">
        <v>20</v>
      </c>
      <c r="G4238" s="4" t="b">
        <f t="shared" si="2"/>
        <v>1</v>
      </c>
      <c r="H4238" s="1" t="str">
        <f t="shared" si="3"/>
        <v>Currently Unavailable</v>
      </c>
      <c r="I4238" s="1" t="str">
        <f t="shared" si="4"/>
        <v>No Badges</v>
      </c>
      <c r="J4238" s="3">
        <f t="shared" si="5"/>
        <v>0</v>
      </c>
    </row>
    <row r="4239">
      <c r="A4239" s="1" t="s">
        <v>3225</v>
      </c>
      <c r="B4239" s="3" t="str">
        <f t="shared" si="1"/>
        <v>Unavailable</v>
      </c>
      <c r="C4239" s="5">
        <v>1169.0</v>
      </c>
      <c r="D4239" s="3">
        <f>IFERROR(__xludf.DUMMYFUNCTION("IFERROR(
IF(REGEXMATCH(LOWER(O4239),""k""),
VALUE(REGEXEXTRACT(O4239,""[0-9]+""))*1000,
VALUE(REGEXEXTRACT(O4239,""[0-9]+""))
),
0
)"),0.0)</f>
        <v>0</v>
      </c>
      <c r="E4239" s="1" t="s">
        <v>11</v>
      </c>
      <c r="F4239" s="1" t="s">
        <v>20</v>
      </c>
      <c r="G4239" s="4" t="b">
        <f t="shared" si="2"/>
        <v>1</v>
      </c>
      <c r="H4239" s="1" t="str">
        <f t="shared" si="3"/>
        <v>Currently Unavailable</v>
      </c>
      <c r="I4239" s="1" t="str">
        <f t="shared" si="4"/>
        <v>No Badges</v>
      </c>
      <c r="J4239" s="3">
        <f t="shared" si="5"/>
        <v>0</v>
      </c>
    </row>
    <row r="4240">
      <c r="A4240" s="1" t="s">
        <v>69</v>
      </c>
      <c r="B4240" s="3" t="str">
        <f t="shared" si="1"/>
        <v>Unavailable</v>
      </c>
      <c r="C4240" s="3">
        <v>45.0</v>
      </c>
      <c r="D4240" s="3">
        <f>IFERROR(__xludf.DUMMYFUNCTION("IFERROR(
IF(REGEXMATCH(LOWER(O4240),""k""),
VALUE(REGEXEXTRACT(O4240,""[0-9]+""))*1000,
VALUE(REGEXEXTRACT(O4240,""[0-9]+""))
),
0
)"),0.0)</f>
        <v>0</v>
      </c>
      <c r="E4240" s="1" t="s">
        <v>11</v>
      </c>
      <c r="F4240" s="1" t="s">
        <v>12</v>
      </c>
      <c r="G4240" s="4" t="b">
        <f t="shared" si="2"/>
        <v>1</v>
      </c>
      <c r="H4240" s="1" t="str">
        <f t="shared" si="3"/>
        <v>Currently Unavailable</v>
      </c>
      <c r="I4240" s="1" t="str">
        <f t="shared" si="4"/>
        <v>No Badges</v>
      </c>
      <c r="J4240" s="3">
        <f t="shared" si="5"/>
        <v>0</v>
      </c>
    </row>
    <row r="4241">
      <c r="A4241" s="1" t="s">
        <v>3226</v>
      </c>
      <c r="B4241" s="3" t="str">
        <f t="shared" si="1"/>
        <v>Unavailable</v>
      </c>
      <c r="C4241" s="5">
        <v>1197.0</v>
      </c>
      <c r="D4241" s="3">
        <f>IFERROR(__xludf.DUMMYFUNCTION("IFERROR(
IF(REGEXMATCH(LOWER(O4241),""k""),
VALUE(REGEXEXTRACT(O4241,""[0-9]+""))*1000,
VALUE(REGEXEXTRACT(O4241,""[0-9]+""))
),
0
)"),0.0)</f>
        <v>0</v>
      </c>
      <c r="E4241" s="1" t="s">
        <v>11</v>
      </c>
      <c r="F4241" s="1" t="s">
        <v>20</v>
      </c>
      <c r="G4241" s="4" t="b">
        <f t="shared" si="2"/>
        <v>1</v>
      </c>
      <c r="H4241" s="1" t="str">
        <f t="shared" si="3"/>
        <v>Currently Unavailable</v>
      </c>
      <c r="I4241" s="1" t="str">
        <f t="shared" si="4"/>
        <v>No Badges</v>
      </c>
      <c r="J4241" s="3">
        <f t="shared" si="5"/>
        <v>0</v>
      </c>
    </row>
    <row r="4242">
      <c r="A4242" s="1" t="s">
        <v>3227</v>
      </c>
      <c r="B4242" s="3" t="str">
        <f t="shared" si="1"/>
        <v>Unavailable</v>
      </c>
      <c r="C4242" s="3">
        <v>160.0</v>
      </c>
      <c r="D4242" s="3">
        <f>IFERROR(__xludf.DUMMYFUNCTION("IFERROR(
IF(REGEXMATCH(LOWER(O4242),""k""),
VALUE(REGEXEXTRACT(O4242,""[0-9]+""))*1000,
VALUE(REGEXEXTRACT(O4242,""[0-9]+""))
),
0
)"),0.0)</f>
        <v>0</v>
      </c>
      <c r="E4242" s="1" t="s">
        <v>11</v>
      </c>
      <c r="F4242" s="1" t="s">
        <v>20</v>
      </c>
      <c r="G4242" s="4" t="b">
        <f t="shared" si="2"/>
        <v>1</v>
      </c>
      <c r="H4242" s="1" t="str">
        <f t="shared" si="3"/>
        <v>Currently Unavailable</v>
      </c>
      <c r="I4242" s="1" t="str">
        <f t="shared" si="4"/>
        <v>No Badges</v>
      </c>
      <c r="J4242" s="3">
        <f t="shared" si="5"/>
        <v>0</v>
      </c>
    </row>
    <row r="4243">
      <c r="A4243" s="1" t="s">
        <v>3110</v>
      </c>
      <c r="B4243" s="3" t="str">
        <f t="shared" si="1"/>
        <v>Unavailable</v>
      </c>
      <c r="C4243" s="3">
        <v>519.0</v>
      </c>
      <c r="D4243" s="3">
        <f>IFERROR(__xludf.DUMMYFUNCTION("IFERROR(
IF(REGEXMATCH(LOWER(O4243),""k""),
VALUE(REGEXEXTRACT(O4243,""[0-9]+""))*1000,
VALUE(REGEXEXTRACT(O4243,""[0-9]+""))
),
0
)"),0.0)</f>
        <v>0</v>
      </c>
      <c r="E4243" s="1" t="s">
        <v>11</v>
      </c>
      <c r="F4243" s="1" t="s">
        <v>20</v>
      </c>
      <c r="G4243" s="4" t="b">
        <f t="shared" si="2"/>
        <v>1</v>
      </c>
      <c r="H4243" s="1" t="str">
        <f t="shared" si="3"/>
        <v>Currently Unavailable</v>
      </c>
      <c r="I4243" s="1" t="str">
        <f t="shared" si="4"/>
        <v>No Badges</v>
      </c>
      <c r="J4243" s="3">
        <f t="shared" si="5"/>
        <v>0</v>
      </c>
    </row>
    <row r="4244">
      <c r="A4244" s="1" t="s">
        <v>3228</v>
      </c>
      <c r="B4244" s="3" t="str">
        <f t="shared" si="1"/>
        <v>Unavailable</v>
      </c>
      <c r="C4244" s="3">
        <v>767.0</v>
      </c>
      <c r="D4244" s="3">
        <f>IFERROR(__xludf.DUMMYFUNCTION("IFERROR(
IF(REGEXMATCH(LOWER(O4244),""k""),
VALUE(REGEXEXTRACT(O4244,""[0-9]+""))*1000,
VALUE(REGEXEXTRACT(O4244,""[0-9]+""))
),
0
)"),0.0)</f>
        <v>0</v>
      </c>
      <c r="E4244" s="1" t="s">
        <v>11</v>
      </c>
      <c r="F4244" s="1" t="s">
        <v>20</v>
      </c>
      <c r="G4244" s="4" t="b">
        <f t="shared" si="2"/>
        <v>1</v>
      </c>
      <c r="H4244" s="1" t="str">
        <f t="shared" si="3"/>
        <v>Currently Unavailable</v>
      </c>
      <c r="I4244" s="1" t="str">
        <f t="shared" si="4"/>
        <v>No Badges</v>
      </c>
      <c r="J4244" s="3">
        <f t="shared" si="5"/>
        <v>0</v>
      </c>
    </row>
    <row r="4245">
      <c r="A4245" s="1" t="s">
        <v>3147</v>
      </c>
      <c r="B4245" s="3" t="str">
        <f t="shared" si="1"/>
        <v>Unavailable</v>
      </c>
      <c r="C4245" s="3">
        <v>218.0</v>
      </c>
      <c r="D4245" s="3">
        <f>IFERROR(__xludf.DUMMYFUNCTION("IFERROR(
IF(REGEXMATCH(LOWER(O4245),""k""),
VALUE(REGEXEXTRACT(O4245,""[0-9]+""))*1000,
VALUE(REGEXEXTRACT(O4245,""[0-9]+""))
),
0
)"),0.0)</f>
        <v>0</v>
      </c>
      <c r="E4245" s="1" t="s">
        <v>11</v>
      </c>
      <c r="F4245" s="1" t="s">
        <v>20</v>
      </c>
      <c r="G4245" s="4" t="b">
        <f t="shared" si="2"/>
        <v>1</v>
      </c>
      <c r="H4245" s="1" t="str">
        <f t="shared" si="3"/>
        <v>Currently Unavailable</v>
      </c>
      <c r="I4245" s="1" t="str">
        <f t="shared" si="4"/>
        <v>No Badges</v>
      </c>
      <c r="J4245" s="3">
        <f t="shared" si="5"/>
        <v>0</v>
      </c>
    </row>
    <row r="4246">
      <c r="A4246" s="1" t="s">
        <v>3148</v>
      </c>
      <c r="B4246" s="3" t="str">
        <f t="shared" si="1"/>
        <v>Unavailable</v>
      </c>
      <c r="C4246" s="3">
        <v>211.0</v>
      </c>
      <c r="D4246" s="3">
        <f>IFERROR(__xludf.DUMMYFUNCTION("IFERROR(
IF(REGEXMATCH(LOWER(O4246),""k""),
VALUE(REGEXEXTRACT(O4246,""[0-9]+""))*1000,
VALUE(REGEXEXTRACT(O4246,""[0-9]+""))
),
0
)"),0.0)</f>
        <v>0</v>
      </c>
      <c r="E4246" s="1" t="s">
        <v>11</v>
      </c>
      <c r="F4246" s="1" t="s">
        <v>20</v>
      </c>
      <c r="G4246" s="4" t="b">
        <f t="shared" si="2"/>
        <v>1</v>
      </c>
      <c r="H4246" s="1" t="str">
        <f t="shared" si="3"/>
        <v>Currently Unavailable</v>
      </c>
      <c r="I4246" s="1" t="str">
        <f t="shared" si="4"/>
        <v>No Badges</v>
      </c>
      <c r="J4246" s="3">
        <f t="shared" si="5"/>
        <v>0</v>
      </c>
    </row>
    <row r="4247">
      <c r="A4247" s="1" t="s">
        <v>3149</v>
      </c>
      <c r="B4247" s="3" t="str">
        <f t="shared" si="1"/>
        <v>Unavailable</v>
      </c>
      <c r="C4247" s="5">
        <v>4062.0</v>
      </c>
      <c r="D4247" s="3">
        <f>IFERROR(__xludf.DUMMYFUNCTION("IFERROR(
IF(REGEXMATCH(LOWER(O4247),""k""),
VALUE(REGEXEXTRACT(O4247,""[0-9]+""))*1000,
VALUE(REGEXEXTRACT(O4247,""[0-9]+""))
),
0
)"),0.0)</f>
        <v>0</v>
      </c>
      <c r="E4247" s="1" t="s">
        <v>11</v>
      </c>
      <c r="F4247" s="1" t="s">
        <v>20</v>
      </c>
      <c r="G4247" s="4" t="b">
        <f t="shared" si="2"/>
        <v>1</v>
      </c>
      <c r="H4247" s="1" t="str">
        <f t="shared" si="3"/>
        <v>Currently Unavailable</v>
      </c>
      <c r="I4247" s="1" t="str">
        <f t="shared" si="4"/>
        <v>No Badges</v>
      </c>
      <c r="J4247" s="3">
        <f t="shared" si="5"/>
        <v>0</v>
      </c>
    </row>
    <row r="4248">
      <c r="A4248" s="1" t="s">
        <v>3229</v>
      </c>
      <c r="B4248" s="3" t="str">
        <f t="shared" si="1"/>
        <v>Unavailable</v>
      </c>
      <c r="C4248" s="5">
        <v>9812.0</v>
      </c>
      <c r="D4248" s="3">
        <f>IFERROR(__xludf.DUMMYFUNCTION("IFERROR(
IF(REGEXMATCH(LOWER(O4248),""k""),
VALUE(REGEXEXTRACT(O4248,""[0-9]+""))*1000,
VALUE(REGEXEXTRACT(O4248,""[0-9]+""))
),
0
)"),0.0)</f>
        <v>0</v>
      </c>
      <c r="E4248" s="1" t="s">
        <v>11</v>
      </c>
      <c r="F4248" s="1" t="s">
        <v>20</v>
      </c>
      <c r="G4248" s="4" t="b">
        <f t="shared" si="2"/>
        <v>1</v>
      </c>
      <c r="H4248" s="1" t="str">
        <f t="shared" si="3"/>
        <v>Currently Unavailable</v>
      </c>
      <c r="I4248" s="1" t="str">
        <f t="shared" si="4"/>
        <v>No Badges</v>
      </c>
      <c r="J4248" s="3">
        <f t="shared" si="5"/>
        <v>0</v>
      </c>
    </row>
    <row r="4249">
      <c r="A4249" s="1" t="s">
        <v>3230</v>
      </c>
      <c r="B4249" s="3" t="str">
        <f t="shared" si="1"/>
        <v>Unavailable</v>
      </c>
      <c r="C4249" s="3">
        <v>132.0</v>
      </c>
      <c r="D4249" s="3">
        <f>IFERROR(__xludf.DUMMYFUNCTION("IFERROR(
IF(REGEXMATCH(LOWER(O4249),""k""),
VALUE(REGEXEXTRACT(O4249,""[0-9]+""))*1000,
VALUE(REGEXEXTRACT(O4249,""[0-9]+""))
),
0
)"),0.0)</f>
        <v>0</v>
      </c>
      <c r="E4249" s="1" t="s">
        <v>11</v>
      </c>
      <c r="F4249" s="1" t="s">
        <v>20</v>
      </c>
      <c r="G4249" s="4" t="b">
        <f t="shared" si="2"/>
        <v>1</v>
      </c>
      <c r="H4249" s="1" t="str">
        <f t="shared" si="3"/>
        <v>Currently Unavailable</v>
      </c>
      <c r="I4249" s="1" t="str">
        <f t="shared" si="4"/>
        <v>No Badges</v>
      </c>
      <c r="J4249" s="3">
        <f t="shared" si="5"/>
        <v>0</v>
      </c>
    </row>
    <row r="4250">
      <c r="A4250" s="1" t="s">
        <v>3231</v>
      </c>
      <c r="B4250" s="3" t="str">
        <f t="shared" si="1"/>
        <v>Unavailable</v>
      </c>
      <c r="C4250" s="5">
        <v>1432.0</v>
      </c>
      <c r="D4250" s="3">
        <f>IFERROR(__xludf.DUMMYFUNCTION("IFERROR(
IF(REGEXMATCH(LOWER(O4250),""k""),
VALUE(REGEXEXTRACT(O4250,""[0-9]+""))*1000,
VALUE(REGEXEXTRACT(O4250,""[0-9]+""))
),
0
)"),0.0)</f>
        <v>0</v>
      </c>
      <c r="E4250" s="1" t="s">
        <v>11</v>
      </c>
      <c r="F4250" s="1" t="s">
        <v>20</v>
      </c>
      <c r="G4250" s="4" t="b">
        <f t="shared" si="2"/>
        <v>1</v>
      </c>
      <c r="H4250" s="1" t="str">
        <f t="shared" si="3"/>
        <v>Currently Unavailable</v>
      </c>
      <c r="I4250" s="1" t="str">
        <f t="shared" si="4"/>
        <v>No Badges</v>
      </c>
      <c r="J4250" s="3">
        <f t="shared" si="5"/>
        <v>0</v>
      </c>
    </row>
    <row r="4251">
      <c r="A4251" s="1" t="s">
        <v>3232</v>
      </c>
      <c r="B4251" s="3" t="str">
        <f t="shared" si="1"/>
        <v>Unavailable</v>
      </c>
      <c r="C4251" s="3">
        <v>335.0</v>
      </c>
      <c r="D4251" s="3">
        <f>IFERROR(__xludf.DUMMYFUNCTION("IFERROR(
IF(REGEXMATCH(LOWER(O4251),""k""),
VALUE(REGEXEXTRACT(O4251,""[0-9]+""))*1000,
VALUE(REGEXEXTRACT(O4251,""[0-9]+""))
),
0
)"),0.0)</f>
        <v>0</v>
      </c>
      <c r="E4251" s="1" t="s">
        <v>11</v>
      </c>
      <c r="F4251" s="1" t="s">
        <v>20</v>
      </c>
      <c r="G4251" s="4" t="b">
        <f t="shared" si="2"/>
        <v>1</v>
      </c>
      <c r="H4251" s="1" t="str">
        <f t="shared" si="3"/>
        <v>Currently Unavailable</v>
      </c>
      <c r="I4251" s="1" t="str">
        <f t="shared" si="4"/>
        <v>No Badges</v>
      </c>
      <c r="J4251" s="3">
        <f t="shared" si="5"/>
        <v>0</v>
      </c>
    </row>
    <row r="4252">
      <c r="A4252" s="1" t="s">
        <v>3233</v>
      </c>
      <c r="B4252" s="3" t="str">
        <f t="shared" si="1"/>
        <v>Unavailable</v>
      </c>
      <c r="C4252" s="3">
        <v>185.0</v>
      </c>
      <c r="D4252" s="3">
        <f>IFERROR(__xludf.DUMMYFUNCTION("IFERROR(
IF(REGEXMATCH(LOWER(O4252),""k""),
VALUE(REGEXEXTRACT(O4252,""[0-9]+""))*1000,
VALUE(REGEXEXTRACT(O4252,""[0-9]+""))
),
0
)"),0.0)</f>
        <v>0</v>
      </c>
      <c r="E4252" s="1" t="s">
        <v>11</v>
      </c>
      <c r="F4252" s="1" t="s">
        <v>20</v>
      </c>
      <c r="G4252" s="4" t="b">
        <f t="shared" si="2"/>
        <v>1</v>
      </c>
      <c r="H4252" s="1" t="str">
        <f t="shared" si="3"/>
        <v>Currently Unavailable</v>
      </c>
      <c r="I4252" s="1" t="str">
        <f t="shared" si="4"/>
        <v>No Badges</v>
      </c>
      <c r="J4252" s="3">
        <f t="shared" si="5"/>
        <v>0</v>
      </c>
    </row>
    <row r="4253">
      <c r="A4253" s="1" t="s">
        <v>67</v>
      </c>
      <c r="B4253" s="3" t="str">
        <f t="shared" si="1"/>
        <v>Unavailable</v>
      </c>
      <c r="C4253" s="3">
        <v>264.0</v>
      </c>
      <c r="D4253" s="3">
        <f>IFERROR(__xludf.DUMMYFUNCTION("IFERROR(
IF(REGEXMATCH(LOWER(O4253),""k""),
VALUE(REGEXEXTRACT(O4253,""[0-9]+""))*1000,
VALUE(REGEXEXTRACT(O4253,""[0-9]+""))
),
0
)"),0.0)</f>
        <v>0</v>
      </c>
      <c r="E4253" s="1" t="s">
        <v>11</v>
      </c>
      <c r="F4253" s="1" t="s">
        <v>12</v>
      </c>
      <c r="G4253" s="4" t="b">
        <f t="shared" si="2"/>
        <v>1</v>
      </c>
      <c r="H4253" s="1" t="str">
        <f t="shared" si="3"/>
        <v>Currently Unavailable</v>
      </c>
      <c r="I4253" s="1" t="str">
        <f t="shared" si="4"/>
        <v>No Badges</v>
      </c>
      <c r="J4253" s="3">
        <f t="shared" si="5"/>
        <v>0</v>
      </c>
    </row>
    <row r="4254">
      <c r="A4254" s="1" t="s">
        <v>3234</v>
      </c>
      <c r="B4254" s="3" t="str">
        <f t="shared" si="1"/>
        <v>Unavailable</v>
      </c>
      <c r="C4254" s="5">
        <v>3194.0</v>
      </c>
      <c r="D4254" s="3">
        <f>IFERROR(__xludf.DUMMYFUNCTION("IFERROR(
IF(REGEXMATCH(LOWER(O4254),""k""),
VALUE(REGEXEXTRACT(O4254,""[0-9]+""))*1000,
VALUE(REGEXEXTRACT(O4254,""[0-9]+""))
),
0
)"),0.0)</f>
        <v>0</v>
      </c>
      <c r="E4254" s="1" t="s">
        <v>11</v>
      </c>
      <c r="F4254" s="1" t="s">
        <v>20</v>
      </c>
      <c r="G4254" s="4" t="b">
        <f t="shared" si="2"/>
        <v>1</v>
      </c>
      <c r="H4254" s="1" t="str">
        <f t="shared" si="3"/>
        <v>Currently Unavailable</v>
      </c>
      <c r="I4254" s="1" t="str">
        <f t="shared" si="4"/>
        <v>No Badges</v>
      </c>
      <c r="J4254" s="3">
        <f t="shared" si="5"/>
        <v>0</v>
      </c>
    </row>
    <row r="4255">
      <c r="A4255" s="1" t="s">
        <v>3235</v>
      </c>
      <c r="B4255" s="3" t="str">
        <f t="shared" si="1"/>
        <v>Unavailable</v>
      </c>
      <c r="C4255" s="3">
        <v>120.0</v>
      </c>
      <c r="D4255" s="3">
        <f>IFERROR(__xludf.DUMMYFUNCTION("IFERROR(
IF(REGEXMATCH(LOWER(O4255),""k""),
VALUE(REGEXEXTRACT(O4255,""[0-9]+""))*1000,
VALUE(REGEXEXTRACT(O4255,""[0-9]+""))
),
0
)"),0.0)</f>
        <v>0</v>
      </c>
      <c r="E4255" s="1" t="s">
        <v>11</v>
      </c>
      <c r="F4255" s="1" t="s">
        <v>20</v>
      </c>
      <c r="G4255" s="4" t="b">
        <f t="shared" si="2"/>
        <v>1</v>
      </c>
      <c r="H4255" s="1" t="str">
        <f t="shared" si="3"/>
        <v>Currently Unavailable</v>
      </c>
      <c r="I4255" s="1" t="str">
        <f t="shared" si="4"/>
        <v>No Badges</v>
      </c>
      <c r="J4255" s="3">
        <f t="shared" si="5"/>
        <v>0</v>
      </c>
    </row>
    <row r="4256">
      <c r="A4256" s="1" t="s">
        <v>3236</v>
      </c>
      <c r="B4256" s="3" t="str">
        <f t="shared" si="1"/>
        <v>Unavailable</v>
      </c>
      <c r="C4256" s="3">
        <v>220.0</v>
      </c>
      <c r="D4256" s="3">
        <f>IFERROR(__xludf.DUMMYFUNCTION("IFERROR(
IF(REGEXMATCH(LOWER(O4256),""k""),
VALUE(REGEXEXTRACT(O4256,""[0-9]+""))*1000,
VALUE(REGEXEXTRACT(O4256,""[0-9]+""))
),
0
)"),0.0)</f>
        <v>0</v>
      </c>
      <c r="E4256" s="1" t="s">
        <v>11</v>
      </c>
      <c r="F4256" s="1" t="s">
        <v>20</v>
      </c>
      <c r="G4256" s="4" t="b">
        <f t="shared" si="2"/>
        <v>1</v>
      </c>
      <c r="H4256" s="1" t="str">
        <f t="shared" si="3"/>
        <v>Currently Unavailable</v>
      </c>
      <c r="I4256" s="1" t="str">
        <f t="shared" si="4"/>
        <v>No Badges</v>
      </c>
      <c r="J4256" s="3">
        <f t="shared" si="5"/>
        <v>0</v>
      </c>
    </row>
    <row r="4257">
      <c r="A4257" s="1" t="s">
        <v>3237</v>
      </c>
      <c r="B4257" s="3" t="str">
        <f t="shared" si="1"/>
        <v>Unavailable</v>
      </c>
      <c r="C4257" s="5">
        <v>1220.0</v>
      </c>
      <c r="D4257" s="3">
        <f>IFERROR(__xludf.DUMMYFUNCTION("IFERROR(
IF(REGEXMATCH(LOWER(O4257),""k""),
VALUE(REGEXEXTRACT(O4257,""[0-9]+""))*1000,
VALUE(REGEXEXTRACT(O4257,""[0-9]+""))
),
0
)"),0.0)</f>
        <v>0</v>
      </c>
      <c r="E4257" s="1" t="s">
        <v>11</v>
      </c>
      <c r="F4257" s="1" t="s">
        <v>20</v>
      </c>
      <c r="G4257" s="4" t="b">
        <f t="shared" si="2"/>
        <v>1</v>
      </c>
      <c r="H4257" s="1" t="str">
        <f t="shared" si="3"/>
        <v>Currently Unavailable</v>
      </c>
      <c r="I4257" s="1" t="str">
        <f t="shared" si="4"/>
        <v>No Badges</v>
      </c>
      <c r="J4257" s="3">
        <f t="shared" si="5"/>
        <v>0</v>
      </c>
    </row>
    <row r="4258">
      <c r="A4258" s="1" t="s">
        <v>3238</v>
      </c>
      <c r="B4258" s="3" t="str">
        <f t="shared" si="1"/>
        <v>Unavailable</v>
      </c>
      <c r="C4258" s="3">
        <v>129.0</v>
      </c>
      <c r="D4258" s="3">
        <f>IFERROR(__xludf.DUMMYFUNCTION("IFERROR(
IF(REGEXMATCH(LOWER(O4258),""k""),
VALUE(REGEXEXTRACT(O4258,""[0-9]+""))*1000,
VALUE(REGEXEXTRACT(O4258,""[0-9]+""))
),
0
)"),0.0)</f>
        <v>0</v>
      </c>
      <c r="E4258" s="1" t="s">
        <v>11</v>
      </c>
      <c r="F4258" s="1" t="s">
        <v>20</v>
      </c>
      <c r="G4258" s="4" t="b">
        <f t="shared" si="2"/>
        <v>1</v>
      </c>
      <c r="H4258" s="1" t="str">
        <f t="shared" si="3"/>
        <v>Currently Unavailable</v>
      </c>
      <c r="I4258" s="1" t="str">
        <f t="shared" si="4"/>
        <v>No Badges</v>
      </c>
      <c r="J4258" s="3">
        <f t="shared" si="5"/>
        <v>0</v>
      </c>
    </row>
    <row r="4259">
      <c r="A4259" s="1" t="s">
        <v>3239</v>
      </c>
      <c r="B4259" s="3" t="str">
        <f t="shared" si="1"/>
        <v>Unavailable</v>
      </c>
      <c r="C4259" s="3">
        <v>88.0</v>
      </c>
      <c r="D4259" s="3">
        <f>IFERROR(__xludf.DUMMYFUNCTION("IFERROR(
IF(REGEXMATCH(LOWER(O4259),""k""),
VALUE(REGEXEXTRACT(O4259,""[0-9]+""))*1000,
VALUE(REGEXEXTRACT(O4259,""[0-9]+""))
),
0
)"),0.0)</f>
        <v>0</v>
      </c>
      <c r="E4259" s="1" t="s">
        <v>11</v>
      </c>
      <c r="F4259" s="1" t="s">
        <v>20</v>
      </c>
      <c r="G4259" s="4" t="b">
        <f t="shared" si="2"/>
        <v>1</v>
      </c>
      <c r="H4259" s="1" t="str">
        <f t="shared" si="3"/>
        <v>Currently Unavailable</v>
      </c>
      <c r="I4259" s="1" t="str">
        <f t="shared" si="4"/>
        <v>No Badges</v>
      </c>
      <c r="J4259" s="3">
        <f t="shared" si="5"/>
        <v>0</v>
      </c>
    </row>
    <row r="4260">
      <c r="A4260" s="1" t="s">
        <v>3240</v>
      </c>
      <c r="B4260" s="3" t="str">
        <f t="shared" si="1"/>
        <v>Unavailable</v>
      </c>
      <c r="C4260" s="5">
        <v>5164.0</v>
      </c>
      <c r="D4260" s="3">
        <f>IFERROR(__xludf.DUMMYFUNCTION("IFERROR(
IF(REGEXMATCH(LOWER(O4260),""k""),
VALUE(REGEXEXTRACT(O4260,""[0-9]+""))*1000,
VALUE(REGEXEXTRACT(O4260,""[0-9]+""))
),
0
)"),0.0)</f>
        <v>0</v>
      </c>
      <c r="E4260" s="1" t="s">
        <v>18</v>
      </c>
      <c r="F4260" s="1" t="s">
        <v>20</v>
      </c>
      <c r="G4260" s="4" t="b">
        <f t="shared" si="2"/>
        <v>1</v>
      </c>
      <c r="H4260" s="1" t="str">
        <f t="shared" si="3"/>
        <v>Currently Unavailable</v>
      </c>
      <c r="I4260" s="1" t="str">
        <f t="shared" si="4"/>
        <v>No Badges</v>
      </c>
      <c r="J4260" s="3">
        <f t="shared" si="5"/>
        <v>0</v>
      </c>
    </row>
    <row r="4261">
      <c r="A4261" s="1" t="s">
        <v>3161</v>
      </c>
      <c r="B4261" s="3" t="str">
        <f t="shared" si="1"/>
        <v>Unavailable</v>
      </c>
      <c r="C4261" s="5">
        <v>2280.0</v>
      </c>
      <c r="D4261" s="3">
        <f>IFERROR(__xludf.DUMMYFUNCTION("IFERROR(
IF(REGEXMATCH(LOWER(O4261),""k""),
VALUE(REGEXEXTRACT(O4261,""[0-9]+""))*1000,
VALUE(REGEXEXTRACT(O4261,""[0-9]+""))
),
0
)"),0.0)</f>
        <v>0</v>
      </c>
      <c r="E4261" s="1" t="s">
        <v>11</v>
      </c>
      <c r="F4261" s="1" t="s">
        <v>20</v>
      </c>
      <c r="G4261" s="4" t="b">
        <f t="shared" si="2"/>
        <v>1</v>
      </c>
      <c r="H4261" s="1" t="str">
        <f t="shared" si="3"/>
        <v>Currently Unavailable</v>
      </c>
      <c r="I4261" s="1" t="str">
        <f t="shared" si="4"/>
        <v>No Badges</v>
      </c>
      <c r="J4261" s="3">
        <f t="shared" si="5"/>
        <v>0</v>
      </c>
    </row>
    <row r="4262">
      <c r="A4262" s="1" t="s">
        <v>3163</v>
      </c>
      <c r="B4262" s="3" t="str">
        <f t="shared" si="1"/>
        <v>Unavailable</v>
      </c>
      <c r="C4262" s="3">
        <v>500.0</v>
      </c>
      <c r="D4262" s="3">
        <f>IFERROR(__xludf.DUMMYFUNCTION("IFERROR(
IF(REGEXMATCH(LOWER(O4262),""k""),
VALUE(REGEXEXTRACT(O4262,""[0-9]+""))*1000,
VALUE(REGEXEXTRACT(O4262,""[0-9]+""))
),
0
)"),0.0)</f>
        <v>0</v>
      </c>
      <c r="E4262" s="1" t="s">
        <v>11</v>
      </c>
      <c r="F4262" s="1" t="s">
        <v>20</v>
      </c>
      <c r="G4262" s="4" t="b">
        <f t="shared" si="2"/>
        <v>1</v>
      </c>
      <c r="H4262" s="1" t="str">
        <f t="shared" si="3"/>
        <v>Currently Unavailable</v>
      </c>
      <c r="I4262" s="1" t="str">
        <f t="shared" si="4"/>
        <v>No Badges</v>
      </c>
      <c r="J4262" s="3">
        <f t="shared" si="5"/>
        <v>0</v>
      </c>
    </row>
    <row r="4263">
      <c r="A4263" s="1" t="s">
        <v>3241</v>
      </c>
      <c r="B4263" s="3" t="str">
        <f t="shared" si="1"/>
        <v>Unavailable</v>
      </c>
      <c r="C4263" s="5">
        <v>3727.0</v>
      </c>
      <c r="D4263" s="3">
        <f>IFERROR(__xludf.DUMMYFUNCTION("IFERROR(
IF(REGEXMATCH(LOWER(O4263),""k""),
VALUE(REGEXEXTRACT(O4263,""[0-9]+""))*1000,
VALUE(REGEXEXTRACT(O4263,""[0-9]+""))
),
0
)"),0.0)</f>
        <v>0</v>
      </c>
      <c r="E4263" s="1" t="s">
        <v>11</v>
      </c>
      <c r="F4263" s="1" t="s">
        <v>20</v>
      </c>
      <c r="G4263" s="4" t="b">
        <f t="shared" si="2"/>
        <v>1</v>
      </c>
      <c r="H4263" s="1" t="str">
        <f t="shared" si="3"/>
        <v>Currently Unavailable</v>
      </c>
      <c r="I4263" s="1" t="str">
        <f t="shared" si="4"/>
        <v>No Badges</v>
      </c>
      <c r="J4263" s="3">
        <f t="shared" si="5"/>
        <v>0</v>
      </c>
    </row>
    <row r="4264">
      <c r="A4264" s="1" t="s">
        <v>3242</v>
      </c>
      <c r="B4264" s="3" t="str">
        <f t="shared" si="1"/>
        <v>Unavailable</v>
      </c>
      <c r="C4264" s="3">
        <v>881.0</v>
      </c>
      <c r="D4264" s="3">
        <f>IFERROR(__xludf.DUMMYFUNCTION("IFERROR(
IF(REGEXMATCH(LOWER(O4264),""k""),
VALUE(REGEXEXTRACT(O4264,""[0-9]+""))*1000,
VALUE(REGEXEXTRACT(O4264,""[0-9]+""))
),
0
)"),0.0)</f>
        <v>0</v>
      </c>
      <c r="E4264" s="1" t="s">
        <v>11</v>
      </c>
      <c r="F4264" s="1" t="s">
        <v>20</v>
      </c>
      <c r="G4264" s="4" t="b">
        <f t="shared" si="2"/>
        <v>1</v>
      </c>
      <c r="H4264" s="1" t="str">
        <f t="shared" si="3"/>
        <v>Currently Unavailable</v>
      </c>
      <c r="I4264" s="1" t="str">
        <f t="shared" si="4"/>
        <v>No Badges</v>
      </c>
      <c r="J4264" s="3">
        <f t="shared" si="5"/>
        <v>0</v>
      </c>
    </row>
    <row r="4265">
      <c r="A4265" s="1" t="s">
        <v>3243</v>
      </c>
      <c r="B4265" s="3" t="str">
        <f t="shared" si="1"/>
        <v>Unavailable</v>
      </c>
      <c r="C4265" s="5">
        <v>6549.0</v>
      </c>
      <c r="D4265" s="3">
        <f>IFERROR(__xludf.DUMMYFUNCTION("IFERROR(
IF(REGEXMATCH(LOWER(O4265),""k""),
VALUE(REGEXEXTRACT(O4265,""[0-9]+""))*1000,
VALUE(REGEXEXTRACT(O4265,""[0-9]+""))
),
0
)"),0.0)</f>
        <v>0</v>
      </c>
      <c r="E4265" s="1" t="s">
        <v>11</v>
      </c>
      <c r="F4265" s="1" t="s">
        <v>20</v>
      </c>
      <c r="G4265" s="4" t="b">
        <f t="shared" si="2"/>
        <v>1</v>
      </c>
      <c r="H4265" s="1" t="str">
        <f t="shared" si="3"/>
        <v>Currently Unavailable</v>
      </c>
      <c r="I4265" s="1" t="str">
        <f t="shared" si="4"/>
        <v>No Badges</v>
      </c>
      <c r="J4265" s="3">
        <f t="shared" si="5"/>
        <v>0</v>
      </c>
    </row>
    <row r="4266">
      <c r="A4266" s="1" t="s">
        <v>3244</v>
      </c>
      <c r="B4266" s="3" t="str">
        <f t="shared" si="1"/>
        <v>Unavailable</v>
      </c>
      <c r="C4266" s="5">
        <v>1983.0</v>
      </c>
      <c r="D4266" s="3">
        <f>IFERROR(__xludf.DUMMYFUNCTION("IFERROR(
IF(REGEXMATCH(LOWER(O4266),""k""),
VALUE(REGEXEXTRACT(O4266,""[0-9]+""))*1000,
VALUE(REGEXEXTRACT(O4266,""[0-9]+""))
),
0
)"),0.0)</f>
        <v>0</v>
      </c>
      <c r="E4266" s="1" t="s">
        <v>11</v>
      </c>
      <c r="F4266" s="1" t="s">
        <v>20</v>
      </c>
      <c r="G4266" s="4" t="b">
        <f t="shared" si="2"/>
        <v>1</v>
      </c>
      <c r="H4266" s="1" t="str">
        <f t="shared" si="3"/>
        <v>Currently Unavailable</v>
      </c>
      <c r="I4266" s="1" t="str">
        <f t="shared" si="4"/>
        <v>No Badges</v>
      </c>
      <c r="J4266" s="3">
        <f t="shared" si="5"/>
        <v>0</v>
      </c>
    </row>
    <row r="4267">
      <c r="A4267" s="1" t="s">
        <v>3245</v>
      </c>
      <c r="B4267" s="3" t="str">
        <f t="shared" si="1"/>
        <v>Unavailable</v>
      </c>
      <c r="C4267" s="5">
        <v>3580.0</v>
      </c>
      <c r="D4267" s="3">
        <f>IFERROR(__xludf.DUMMYFUNCTION("IFERROR(
IF(REGEXMATCH(LOWER(O4267),""k""),
VALUE(REGEXEXTRACT(O4267,""[0-9]+""))*1000,
VALUE(REGEXEXTRACT(O4267,""[0-9]+""))
),
0
)"),0.0)</f>
        <v>0</v>
      </c>
      <c r="E4267" s="1" t="s">
        <v>11</v>
      </c>
      <c r="F4267" s="1" t="s">
        <v>20</v>
      </c>
      <c r="G4267" s="4" t="b">
        <f t="shared" si="2"/>
        <v>1</v>
      </c>
      <c r="H4267" s="1" t="str">
        <f t="shared" si="3"/>
        <v>Currently Unavailable</v>
      </c>
      <c r="I4267" s="1" t="str">
        <f t="shared" si="4"/>
        <v>No Badges</v>
      </c>
      <c r="J4267" s="3">
        <f t="shared" si="5"/>
        <v>0</v>
      </c>
    </row>
    <row r="4268">
      <c r="A4268" s="1" t="s">
        <v>3246</v>
      </c>
      <c r="B4268" s="3" t="str">
        <f t="shared" si="1"/>
        <v>Unavailable</v>
      </c>
      <c r="C4268" s="3">
        <v>347.0</v>
      </c>
      <c r="D4268" s="3">
        <f>IFERROR(__xludf.DUMMYFUNCTION("IFERROR(
IF(REGEXMATCH(LOWER(O4268),""k""),
VALUE(REGEXEXTRACT(O4268,""[0-9]+""))*1000,
VALUE(REGEXEXTRACT(O4268,""[0-9]+""))
),
0
)"),0.0)</f>
        <v>0</v>
      </c>
      <c r="E4268" s="1" t="s">
        <v>11</v>
      </c>
      <c r="F4268" s="1" t="s">
        <v>20</v>
      </c>
      <c r="G4268" s="4" t="b">
        <f t="shared" si="2"/>
        <v>1</v>
      </c>
      <c r="H4268" s="1" t="str">
        <f t="shared" si="3"/>
        <v>Currently Unavailable</v>
      </c>
      <c r="I4268" s="1" t="str">
        <f t="shared" si="4"/>
        <v>No Badges</v>
      </c>
      <c r="J4268" s="3">
        <f t="shared" si="5"/>
        <v>0</v>
      </c>
    </row>
    <row r="4269">
      <c r="A4269" s="1" t="s">
        <v>701</v>
      </c>
      <c r="B4269" s="3" t="str">
        <f t="shared" si="1"/>
        <v>Unavailable</v>
      </c>
      <c r="C4269" s="3">
        <v>8.0</v>
      </c>
      <c r="D4269" s="3">
        <f>IFERROR(__xludf.DUMMYFUNCTION("IFERROR(
IF(REGEXMATCH(LOWER(O4269),""k""),
VALUE(REGEXEXTRACT(O4269,""[0-9]+""))*1000,
VALUE(REGEXEXTRACT(O4269,""[0-9]+""))
),
0
)"),0.0)</f>
        <v>0</v>
      </c>
      <c r="E4269" s="1" t="s">
        <v>11</v>
      </c>
      <c r="F4269" s="1" t="s">
        <v>12</v>
      </c>
      <c r="G4269" s="4" t="b">
        <f t="shared" si="2"/>
        <v>1</v>
      </c>
      <c r="H4269" s="1" t="str">
        <f t="shared" si="3"/>
        <v>Currently Unavailable</v>
      </c>
      <c r="I4269" s="1" t="str">
        <f t="shared" si="4"/>
        <v>No Badges</v>
      </c>
      <c r="J4269" s="3">
        <f t="shared" si="5"/>
        <v>0</v>
      </c>
    </row>
    <row r="4270">
      <c r="A4270" s="1" t="s">
        <v>3247</v>
      </c>
      <c r="B4270" s="3" t="str">
        <f t="shared" si="1"/>
        <v>Unavailable</v>
      </c>
      <c r="C4270" s="3">
        <v>485.0</v>
      </c>
      <c r="D4270" s="3">
        <f>IFERROR(__xludf.DUMMYFUNCTION("IFERROR(
IF(REGEXMATCH(LOWER(O4270),""k""),
VALUE(REGEXEXTRACT(O4270,""[0-9]+""))*1000,
VALUE(REGEXEXTRACT(O4270,""[0-9]+""))
),
0
)"),0.0)</f>
        <v>0</v>
      </c>
      <c r="E4270" s="1" t="s">
        <v>11</v>
      </c>
      <c r="F4270" s="1" t="s">
        <v>20</v>
      </c>
      <c r="G4270" s="4" t="b">
        <f t="shared" si="2"/>
        <v>1</v>
      </c>
      <c r="H4270" s="1" t="str">
        <f t="shared" si="3"/>
        <v>Currently Unavailable</v>
      </c>
      <c r="I4270" s="1" t="str">
        <f t="shared" si="4"/>
        <v>No Badges</v>
      </c>
      <c r="J4270" s="3">
        <f t="shared" si="5"/>
        <v>0</v>
      </c>
    </row>
    <row r="4271">
      <c r="A4271" s="1" t="s">
        <v>3248</v>
      </c>
      <c r="B4271" s="3" t="str">
        <f t="shared" si="1"/>
        <v>Unavailable</v>
      </c>
      <c r="C4271" s="5">
        <v>2847.0</v>
      </c>
      <c r="D4271" s="3">
        <f>IFERROR(__xludf.DUMMYFUNCTION("IFERROR(
IF(REGEXMATCH(LOWER(O4271),""k""),
VALUE(REGEXEXTRACT(O4271,""[0-9]+""))*1000,
VALUE(REGEXEXTRACT(O4271,""[0-9]+""))
),
0
)"),0.0)</f>
        <v>0</v>
      </c>
      <c r="E4271" s="1" t="s">
        <v>11</v>
      </c>
      <c r="F4271" s="1" t="s">
        <v>20</v>
      </c>
      <c r="G4271" s="4" t="b">
        <f t="shared" si="2"/>
        <v>1</v>
      </c>
      <c r="H4271" s="1" t="str">
        <f t="shared" si="3"/>
        <v>Currently Unavailable</v>
      </c>
      <c r="I4271" s="1" t="str">
        <f t="shared" si="4"/>
        <v>No Badges</v>
      </c>
      <c r="J4271" s="3">
        <f t="shared" si="5"/>
        <v>0</v>
      </c>
    </row>
    <row r="4272">
      <c r="A4272" s="1" t="s">
        <v>3249</v>
      </c>
      <c r="B4272" s="3" t="str">
        <f t="shared" si="1"/>
        <v>Unavailable</v>
      </c>
      <c r="C4272" s="5">
        <v>5427.0</v>
      </c>
      <c r="D4272" s="3">
        <f>IFERROR(__xludf.DUMMYFUNCTION("IFERROR(
IF(REGEXMATCH(LOWER(O4272),""k""),
VALUE(REGEXEXTRACT(O4272,""[0-9]+""))*1000,
VALUE(REGEXEXTRACT(O4272,""[0-9]+""))
),
0
)"),0.0)</f>
        <v>0</v>
      </c>
      <c r="E4272" s="1" t="s">
        <v>11</v>
      </c>
      <c r="F4272" s="1" t="s">
        <v>20</v>
      </c>
      <c r="G4272" s="4" t="b">
        <f t="shared" si="2"/>
        <v>1</v>
      </c>
      <c r="H4272" s="1" t="str">
        <f t="shared" si="3"/>
        <v>Currently Unavailable</v>
      </c>
      <c r="I4272" s="1" t="str">
        <f t="shared" si="4"/>
        <v>No Badges</v>
      </c>
      <c r="J4272" s="3">
        <f t="shared" si="5"/>
        <v>0</v>
      </c>
    </row>
    <row r="4273">
      <c r="A4273" s="1" t="s">
        <v>69</v>
      </c>
      <c r="B4273" s="3" t="str">
        <f t="shared" si="1"/>
        <v>Unavailable</v>
      </c>
      <c r="C4273" s="3">
        <v>45.0</v>
      </c>
      <c r="D4273" s="3">
        <f>IFERROR(__xludf.DUMMYFUNCTION("IFERROR(
IF(REGEXMATCH(LOWER(O4273),""k""),
VALUE(REGEXEXTRACT(O4273,""[0-9]+""))*1000,
VALUE(REGEXEXTRACT(O4273,""[0-9]+""))
),
0
)"),0.0)</f>
        <v>0</v>
      </c>
      <c r="E4273" s="1" t="s">
        <v>11</v>
      </c>
      <c r="F4273" s="1" t="s">
        <v>12</v>
      </c>
      <c r="G4273" s="4" t="b">
        <f t="shared" si="2"/>
        <v>1</v>
      </c>
      <c r="H4273" s="1" t="str">
        <f t="shared" si="3"/>
        <v>Currently Unavailable</v>
      </c>
      <c r="I4273" s="1" t="str">
        <f t="shared" si="4"/>
        <v>No Badges</v>
      </c>
      <c r="J4273" s="3">
        <f t="shared" si="5"/>
        <v>0</v>
      </c>
    </row>
    <row r="4274">
      <c r="A4274" s="1" t="s">
        <v>3250</v>
      </c>
      <c r="B4274" s="3" t="str">
        <f t="shared" si="1"/>
        <v>Unavailable</v>
      </c>
      <c r="C4274" s="3">
        <v>466.0</v>
      </c>
      <c r="D4274" s="3">
        <f>IFERROR(__xludf.DUMMYFUNCTION("IFERROR(
IF(REGEXMATCH(LOWER(O4274),""k""),
VALUE(REGEXEXTRACT(O4274,""[0-9]+""))*1000,
VALUE(REGEXEXTRACT(O4274,""[0-9]+""))
),
0
)"),0.0)</f>
        <v>0</v>
      </c>
      <c r="E4274" s="1" t="s">
        <v>11</v>
      </c>
      <c r="F4274" s="1" t="s">
        <v>20</v>
      </c>
      <c r="G4274" s="4" t="b">
        <f t="shared" si="2"/>
        <v>1</v>
      </c>
      <c r="H4274" s="1" t="str">
        <f t="shared" si="3"/>
        <v>Currently Unavailable</v>
      </c>
      <c r="I4274" s="1" t="str">
        <f t="shared" si="4"/>
        <v>No Badges</v>
      </c>
      <c r="J4274" s="3">
        <f t="shared" si="5"/>
        <v>0</v>
      </c>
    </row>
    <row r="4275">
      <c r="A4275" s="1" t="s">
        <v>3251</v>
      </c>
      <c r="B4275" s="3" t="str">
        <f t="shared" si="1"/>
        <v>Unavailable</v>
      </c>
      <c r="C4275" s="5">
        <v>9493.0</v>
      </c>
      <c r="D4275" s="3">
        <f>IFERROR(__xludf.DUMMYFUNCTION("IFERROR(
IF(REGEXMATCH(LOWER(O4275),""k""),
VALUE(REGEXEXTRACT(O4275,""[0-9]+""))*1000,
VALUE(REGEXEXTRACT(O4275,""[0-9]+""))
),
0
)"),0.0)</f>
        <v>0</v>
      </c>
      <c r="E4275" s="1" t="s">
        <v>11</v>
      </c>
      <c r="F4275" s="1" t="s">
        <v>20</v>
      </c>
      <c r="G4275" s="4" t="b">
        <f t="shared" si="2"/>
        <v>1</v>
      </c>
      <c r="H4275" s="1" t="str">
        <f t="shared" si="3"/>
        <v>Currently Unavailable</v>
      </c>
      <c r="I4275" s="1" t="str">
        <f t="shared" si="4"/>
        <v>No Badges</v>
      </c>
      <c r="J4275" s="3">
        <f t="shared" si="5"/>
        <v>0</v>
      </c>
    </row>
    <row r="4276">
      <c r="A4276" s="1" t="s">
        <v>3252</v>
      </c>
      <c r="B4276" s="3" t="str">
        <f t="shared" si="1"/>
        <v>Unavailable</v>
      </c>
      <c r="C4276" s="3">
        <v>967.0</v>
      </c>
      <c r="D4276" s="3">
        <f>IFERROR(__xludf.DUMMYFUNCTION("IFERROR(
IF(REGEXMATCH(LOWER(O4276),""k""),
VALUE(REGEXEXTRACT(O4276,""[0-9]+""))*1000,
VALUE(REGEXEXTRACT(O4276,""[0-9]+""))
),
0
)"),0.0)</f>
        <v>0</v>
      </c>
      <c r="E4276" s="1" t="s">
        <v>11</v>
      </c>
      <c r="F4276" s="1" t="s">
        <v>20</v>
      </c>
      <c r="G4276" s="4" t="b">
        <f t="shared" si="2"/>
        <v>1</v>
      </c>
      <c r="H4276" s="1" t="str">
        <f t="shared" si="3"/>
        <v>Currently Unavailable</v>
      </c>
      <c r="I4276" s="1" t="str">
        <f t="shared" si="4"/>
        <v>No Badges</v>
      </c>
      <c r="J4276" s="3">
        <f t="shared" si="5"/>
        <v>0</v>
      </c>
    </row>
    <row r="4277">
      <c r="A4277" s="1" t="s">
        <v>3253</v>
      </c>
      <c r="B4277" s="3" t="str">
        <f t="shared" si="1"/>
        <v>Unavailable</v>
      </c>
      <c r="C4277" s="5">
        <v>3974.0</v>
      </c>
      <c r="D4277" s="3">
        <f>IFERROR(__xludf.DUMMYFUNCTION("IFERROR(
IF(REGEXMATCH(LOWER(O4277),""k""),
VALUE(REGEXEXTRACT(O4277,""[0-9]+""))*1000,
VALUE(REGEXEXTRACT(O4277,""[0-9]+""))
),
0
)"),0.0)</f>
        <v>0</v>
      </c>
      <c r="E4277" s="1" t="s">
        <v>11</v>
      </c>
      <c r="F4277" s="1" t="s">
        <v>20</v>
      </c>
      <c r="G4277" s="4" t="b">
        <f t="shared" si="2"/>
        <v>1</v>
      </c>
      <c r="H4277" s="1" t="str">
        <f t="shared" si="3"/>
        <v>Currently Unavailable</v>
      </c>
      <c r="I4277" s="1" t="str">
        <f t="shared" si="4"/>
        <v>No Badges</v>
      </c>
      <c r="J4277" s="3">
        <f t="shared" si="5"/>
        <v>0</v>
      </c>
    </row>
    <row r="4278">
      <c r="A4278" s="1" t="s">
        <v>3254</v>
      </c>
      <c r="B4278" s="3" t="str">
        <f t="shared" si="1"/>
        <v>Unavailable</v>
      </c>
      <c r="C4278" s="5">
        <v>4728.0</v>
      </c>
      <c r="D4278" s="3">
        <f>IFERROR(__xludf.DUMMYFUNCTION("IFERROR(
IF(REGEXMATCH(LOWER(O4278),""k""),
VALUE(REGEXEXTRACT(O4278,""[0-9]+""))*1000,
VALUE(REGEXEXTRACT(O4278,""[0-9]+""))
),
0
)"),0.0)</f>
        <v>0</v>
      </c>
      <c r="E4278" s="1" t="s">
        <v>11</v>
      </c>
      <c r="F4278" s="1" t="s">
        <v>20</v>
      </c>
      <c r="G4278" s="4" t="b">
        <f t="shared" si="2"/>
        <v>1</v>
      </c>
      <c r="H4278" s="1" t="str">
        <f t="shared" si="3"/>
        <v>Currently Unavailable</v>
      </c>
      <c r="I4278" s="1" t="str">
        <f t="shared" si="4"/>
        <v>No Badges</v>
      </c>
      <c r="J4278" s="3">
        <f t="shared" si="5"/>
        <v>0</v>
      </c>
    </row>
    <row r="4279">
      <c r="A4279" s="1" t="s">
        <v>3255</v>
      </c>
      <c r="B4279" s="3" t="str">
        <f t="shared" si="1"/>
        <v>Unavailable</v>
      </c>
      <c r="C4279" s="5">
        <v>1776.0</v>
      </c>
      <c r="D4279" s="3">
        <f>IFERROR(__xludf.DUMMYFUNCTION("IFERROR(
IF(REGEXMATCH(LOWER(O4279),""k""),
VALUE(REGEXEXTRACT(O4279,""[0-9]+""))*1000,
VALUE(REGEXEXTRACT(O4279,""[0-9]+""))
),
0
)"),0.0)</f>
        <v>0</v>
      </c>
      <c r="E4279" s="1" t="s">
        <v>11</v>
      </c>
      <c r="F4279" s="1" t="s">
        <v>20</v>
      </c>
      <c r="G4279" s="4" t="b">
        <f t="shared" si="2"/>
        <v>1</v>
      </c>
      <c r="H4279" s="1" t="str">
        <f t="shared" si="3"/>
        <v>Currently Unavailable</v>
      </c>
      <c r="I4279" s="1" t="str">
        <f t="shared" si="4"/>
        <v>No Badges</v>
      </c>
      <c r="J4279" s="3">
        <f t="shared" si="5"/>
        <v>0</v>
      </c>
    </row>
    <row r="4280">
      <c r="A4280" s="1" t="s">
        <v>3256</v>
      </c>
      <c r="B4280" s="3" t="str">
        <f t="shared" si="1"/>
        <v>Unavailable</v>
      </c>
      <c r="C4280" s="3">
        <v>673.0</v>
      </c>
      <c r="D4280" s="3">
        <f>IFERROR(__xludf.DUMMYFUNCTION("IFERROR(
IF(REGEXMATCH(LOWER(O4280),""k""),
VALUE(REGEXEXTRACT(O4280,""[0-9]+""))*1000,
VALUE(REGEXEXTRACT(O4280,""[0-9]+""))
),
0
)"),0.0)</f>
        <v>0</v>
      </c>
      <c r="E4280" s="1" t="s">
        <v>11</v>
      </c>
      <c r="F4280" s="1" t="s">
        <v>20</v>
      </c>
      <c r="G4280" s="4" t="b">
        <f t="shared" si="2"/>
        <v>1</v>
      </c>
      <c r="H4280" s="1" t="str">
        <f t="shared" si="3"/>
        <v>Currently Unavailable</v>
      </c>
      <c r="I4280" s="1" t="str">
        <f t="shared" si="4"/>
        <v>No Badges</v>
      </c>
      <c r="J4280" s="3">
        <f t="shared" si="5"/>
        <v>0</v>
      </c>
    </row>
    <row r="4281">
      <c r="A4281" s="1" t="s">
        <v>3257</v>
      </c>
      <c r="B4281" s="3" t="str">
        <f t="shared" si="1"/>
        <v>Unavailable</v>
      </c>
      <c r="C4281" s="3">
        <v>93.0</v>
      </c>
      <c r="D4281" s="3">
        <f>IFERROR(__xludf.DUMMYFUNCTION("IFERROR(
IF(REGEXMATCH(LOWER(O4281),""k""),
VALUE(REGEXEXTRACT(O4281,""[0-9]+""))*1000,
VALUE(REGEXEXTRACT(O4281,""[0-9]+""))
),
0
)"),0.0)</f>
        <v>0</v>
      </c>
      <c r="E4281" s="1" t="s">
        <v>11</v>
      </c>
      <c r="F4281" s="1" t="s">
        <v>20</v>
      </c>
      <c r="G4281" s="4" t="b">
        <f t="shared" si="2"/>
        <v>1</v>
      </c>
      <c r="H4281" s="1" t="str">
        <f t="shared" si="3"/>
        <v>Currently Unavailable</v>
      </c>
      <c r="I4281" s="1" t="str">
        <f t="shared" si="4"/>
        <v>No Badges</v>
      </c>
      <c r="J4281" s="3">
        <f t="shared" si="5"/>
        <v>0</v>
      </c>
    </row>
    <row r="4282">
      <c r="A4282" s="1" t="s">
        <v>3258</v>
      </c>
      <c r="B4282" s="3" t="str">
        <f t="shared" si="1"/>
        <v>Unavailable</v>
      </c>
      <c r="C4282" s="3">
        <v>176.0</v>
      </c>
      <c r="D4282" s="3">
        <f>IFERROR(__xludf.DUMMYFUNCTION("IFERROR(
IF(REGEXMATCH(LOWER(O4282),""k""),
VALUE(REGEXEXTRACT(O4282,""[0-9]+""))*1000,
VALUE(REGEXEXTRACT(O4282,""[0-9]+""))
),
0
)"),0.0)</f>
        <v>0</v>
      </c>
      <c r="E4282" s="1" t="s">
        <v>11</v>
      </c>
      <c r="F4282" s="1" t="s">
        <v>20</v>
      </c>
      <c r="G4282" s="4" t="b">
        <f t="shared" si="2"/>
        <v>1</v>
      </c>
      <c r="H4282" s="1" t="str">
        <f t="shared" si="3"/>
        <v>Currently Unavailable</v>
      </c>
      <c r="I4282" s="1" t="str">
        <f t="shared" si="4"/>
        <v>No Badges</v>
      </c>
      <c r="J4282" s="3">
        <f t="shared" si="5"/>
        <v>0</v>
      </c>
    </row>
    <row r="4283">
      <c r="A4283" s="1" t="s">
        <v>3259</v>
      </c>
      <c r="B4283" s="3" t="str">
        <f t="shared" si="1"/>
        <v>Unavailable</v>
      </c>
      <c r="C4283" s="3">
        <v>677.0</v>
      </c>
      <c r="D4283" s="3">
        <f>IFERROR(__xludf.DUMMYFUNCTION("IFERROR(
IF(REGEXMATCH(LOWER(O4283),""k""),
VALUE(REGEXEXTRACT(O4283,""[0-9]+""))*1000,
VALUE(REGEXEXTRACT(O4283,""[0-9]+""))
),
0
)"),0.0)</f>
        <v>0</v>
      </c>
      <c r="E4283" s="1" t="s">
        <v>11</v>
      </c>
      <c r="F4283" s="1" t="s">
        <v>20</v>
      </c>
      <c r="G4283" s="4" t="b">
        <f t="shared" si="2"/>
        <v>1</v>
      </c>
      <c r="H4283" s="1" t="str">
        <f t="shared" si="3"/>
        <v>Currently Unavailable</v>
      </c>
      <c r="I4283" s="1" t="str">
        <f t="shared" si="4"/>
        <v>No Badges</v>
      </c>
      <c r="J4283" s="3">
        <f t="shared" si="5"/>
        <v>0</v>
      </c>
    </row>
    <row r="4284">
      <c r="A4284" s="1" t="s">
        <v>3260</v>
      </c>
      <c r="B4284" s="3" t="str">
        <f t="shared" si="1"/>
        <v>Unavailable</v>
      </c>
      <c r="C4284" s="3">
        <v>2.0</v>
      </c>
      <c r="D4284" s="3">
        <f>IFERROR(__xludf.DUMMYFUNCTION("IFERROR(
IF(REGEXMATCH(LOWER(O4284),""k""),
VALUE(REGEXEXTRACT(O4284,""[0-9]+""))*1000,
VALUE(REGEXEXTRACT(O4284,""[0-9]+""))
),
0
)"),0.0)</f>
        <v>0</v>
      </c>
      <c r="E4284" s="1" t="s">
        <v>11</v>
      </c>
      <c r="F4284" s="1" t="s">
        <v>20</v>
      </c>
      <c r="G4284" s="4" t="b">
        <f t="shared" si="2"/>
        <v>1</v>
      </c>
      <c r="H4284" s="1" t="str">
        <f t="shared" si="3"/>
        <v>Currently Unavailable</v>
      </c>
      <c r="I4284" s="1" t="str">
        <f t="shared" si="4"/>
        <v>No Badges</v>
      </c>
      <c r="J4284" s="3">
        <f t="shared" si="5"/>
        <v>0</v>
      </c>
    </row>
    <row r="4285">
      <c r="A4285" s="1" t="s">
        <v>3261</v>
      </c>
      <c r="B4285" s="3" t="str">
        <f t="shared" si="1"/>
        <v>Unavailable</v>
      </c>
      <c r="C4285" s="5">
        <v>1600.0</v>
      </c>
      <c r="D4285" s="3">
        <f>IFERROR(__xludf.DUMMYFUNCTION("IFERROR(
IF(REGEXMATCH(LOWER(O4285),""k""),
VALUE(REGEXEXTRACT(O4285,""[0-9]+""))*1000,
VALUE(REGEXEXTRACT(O4285,""[0-9]+""))
),
0
)"),0.0)</f>
        <v>0</v>
      </c>
      <c r="E4285" s="1" t="s">
        <v>11</v>
      </c>
      <c r="F4285" s="1" t="s">
        <v>20</v>
      </c>
      <c r="G4285" s="4" t="b">
        <f t="shared" si="2"/>
        <v>1</v>
      </c>
      <c r="H4285" s="1" t="str">
        <f t="shared" si="3"/>
        <v>Currently Unavailable</v>
      </c>
      <c r="I4285" s="1" t="str">
        <f t="shared" si="4"/>
        <v>No Badges</v>
      </c>
      <c r="J4285" s="3">
        <f t="shared" si="5"/>
        <v>0</v>
      </c>
    </row>
    <row r="4286">
      <c r="A4286" s="1" t="s">
        <v>67</v>
      </c>
      <c r="B4286" s="3" t="str">
        <f t="shared" si="1"/>
        <v>Unavailable</v>
      </c>
      <c r="C4286" s="3">
        <v>264.0</v>
      </c>
      <c r="D4286" s="3">
        <f>IFERROR(__xludf.DUMMYFUNCTION("IFERROR(
IF(REGEXMATCH(LOWER(O4286),""k""),
VALUE(REGEXEXTRACT(O4286,""[0-9]+""))*1000,
VALUE(REGEXEXTRACT(O4286,""[0-9]+""))
),
0
)"),0.0)</f>
        <v>0</v>
      </c>
      <c r="E4286" s="1" t="s">
        <v>11</v>
      </c>
      <c r="F4286" s="1" t="s">
        <v>12</v>
      </c>
      <c r="G4286" s="4" t="b">
        <f t="shared" si="2"/>
        <v>1</v>
      </c>
      <c r="H4286" s="1" t="str">
        <f t="shared" si="3"/>
        <v>Currently Unavailable</v>
      </c>
      <c r="I4286" s="1" t="str">
        <f t="shared" si="4"/>
        <v>No Badges</v>
      </c>
      <c r="J4286" s="3">
        <f t="shared" si="5"/>
        <v>0</v>
      </c>
    </row>
    <row r="4287">
      <c r="A4287" s="1" t="s">
        <v>3262</v>
      </c>
      <c r="B4287" s="3" t="str">
        <f t="shared" si="1"/>
        <v>Unavailable</v>
      </c>
      <c r="C4287" s="3">
        <v>14.0</v>
      </c>
      <c r="D4287" s="3">
        <f>IFERROR(__xludf.DUMMYFUNCTION("IFERROR(
IF(REGEXMATCH(LOWER(O4287),""k""),
VALUE(REGEXEXTRACT(O4287,""[0-9]+""))*1000,
VALUE(REGEXEXTRACT(O4287,""[0-9]+""))
),
0
)"),0.0)</f>
        <v>0</v>
      </c>
      <c r="E4287" s="1" t="s">
        <v>11</v>
      </c>
      <c r="F4287" s="1" t="s">
        <v>20</v>
      </c>
      <c r="G4287" s="4" t="b">
        <f t="shared" si="2"/>
        <v>1</v>
      </c>
      <c r="H4287" s="1" t="str">
        <f t="shared" si="3"/>
        <v>Currently Unavailable</v>
      </c>
      <c r="I4287" s="1" t="str">
        <f t="shared" si="4"/>
        <v>No Badges</v>
      </c>
      <c r="J4287" s="3">
        <f t="shared" si="5"/>
        <v>0</v>
      </c>
    </row>
    <row r="4288">
      <c r="A4288" s="1" t="s">
        <v>3263</v>
      </c>
      <c r="B4288" s="3" t="str">
        <f t="shared" si="1"/>
        <v>Unavailable</v>
      </c>
      <c r="C4288" s="3">
        <v>310.0</v>
      </c>
      <c r="D4288" s="3">
        <f>IFERROR(__xludf.DUMMYFUNCTION("IFERROR(
IF(REGEXMATCH(LOWER(O4288),""k""),
VALUE(REGEXEXTRACT(O4288,""[0-9]+""))*1000,
VALUE(REGEXEXTRACT(O4288,""[0-9]+""))
),
0
)"),0.0)</f>
        <v>0</v>
      </c>
      <c r="E4288" s="1" t="s">
        <v>11</v>
      </c>
      <c r="F4288" s="1" t="s">
        <v>20</v>
      </c>
      <c r="G4288" s="4" t="b">
        <f t="shared" si="2"/>
        <v>1</v>
      </c>
      <c r="H4288" s="1" t="str">
        <f t="shared" si="3"/>
        <v>Currently Unavailable</v>
      </c>
      <c r="I4288" s="1" t="str">
        <f t="shared" si="4"/>
        <v>No Badges</v>
      </c>
      <c r="J4288" s="3">
        <f t="shared" si="5"/>
        <v>0</v>
      </c>
    </row>
    <row r="4289">
      <c r="A4289" s="1" t="s">
        <v>3264</v>
      </c>
      <c r="B4289" s="3" t="str">
        <f t="shared" si="1"/>
        <v>Unavailable</v>
      </c>
      <c r="C4289" s="5">
        <v>2643.0</v>
      </c>
      <c r="D4289" s="3">
        <f>IFERROR(__xludf.DUMMYFUNCTION("IFERROR(
IF(REGEXMATCH(LOWER(O4289),""k""),
VALUE(REGEXEXTRACT(O4289,""[0-9]+""))*1000,
VALUE(REGEXEXTRACT(O4289,""[0-9]+""))
),
0
)"),0.0)</f>
        <v>0</v>
      </c>
      <c r="E4289" s="1" t="s">
        <v>11</v>
      </c>
      <c r="F4289" s="1" t="s">
        <v>20</v>
      </c>
      <c r="G4289" s="4" t="b">
        <f t="shared" si="2"/>
        <v>1</v>
      </c>
      <c r="H4289" s="1" t="str">
        <f t="shared" si="3"/>
        <v>Currently Unavailable</v>
      </c>
      <c r="I4289" s="1" t="str">
        <f t="shared" si="4"/>
        <v>No Badges</v>
      </c>
      <c r="J4289" s="3">
        <f t="shared" si="5"/>
        <v>0</v>
      </c>
    </row>
    <row r="4290">
      <c r="A4290" s="1" t="s">
        <v>3265</v>
      </c>
      <c r="B4290" s="3" t="str">
        <f t="shared" si="1"/>
        <v>Unavailable</v>
      </c>
      <c r="C4290" s="3">
        <v>132.0</v>
      </c>
      <c r="D4290" s="3">
        <f>IFERROR(__xludf.DUMMYFUNCTION("IFERROR(
IF(REGEXMATCH(LOWER(O4290),""k""),
VALUE(REGEXEXTRACT(O4290,""[0-9]+""))*1000,
VALUE(REGEXEXTRACT(O4290,""[0-9]+""))
),
0
)"),0.0)</f>
        <v>0</v>
      </c>
      <c r="E4290" s="1" t="s">
        <v>11</v>
      </c>
      <c r="F4290" s="1" t="s">
        <v>20</v>
      </c>
      <c r="G4290" s="4" t="b">
        <f t="shared" si="2"/>
        <v>1</v>
      </c>
      <c r="H4290" s="1" t="str">
        <f t="shared" si="3"/>
        <v>Currently Unavailable</v>
      </c>
      <c r="I4290" s="1" t="str">
        <f t="shared" si="4"/>
        <v>No Badges</v>
      </c>
      <c r="J4290" s="3">
        <f t="shared" si="5"/>
        <v>0</v>
      </c>
    </row>
    <row r="4291">
      <c r="A4291" s="1" t="s">
        <v>3266</v>
      </c>
      <c r="B4291" s="3" t="str">
        <f t="shared" si="1"/>
        <v>Unavailable</v>
      </c>
      <c r="C4291" s="3">
        <v>284.0</v>
      </c>
      <c r="D4291" s="3">
        <f>IFERROR(__xludf.DUMMYFUNCTION("IFERROR(
IF(REGEXMATCH(LOWER(O4291),""k""),
VALUE(REGEXEXTRACT(O4291,""[0-9]+""))*1000,
VALUE(REGEXEXTRACT(O4291,""[0-9]+""))
),
0
)"),0.0)</f>
        <v>0</v>
      </c>
      <c r="E4291" s="1" t="s">
        <v>11</v>
      </c>
      <c r="F4291" s="1" t="s">
        <v>20</v>
      </c>
      <c r="G4291" s="4" t="b">
        <f t="shared" si="2"/>
        <v>1</v>
      </c>
      <c r="H4291" s="1" t="str">
        <f t="shared" si="3"/>
        <v>Currently Unavailable</v>
      </c>
      <c r="I4291" s="1" t="str">
        <f t="shared" si="4"/>
        <v>No Badges</v>
      </c>
      <c r="J4291" s="3">
        <f t="shared" si="5"/>
        <v>0</v>
      </c>
    </row>
    <row r="4292">
      <c r="A4292" s="1" t="s">
        <v>3267</v>
      </c>
      <c r="B4292" s="3" t="str">
        <f t="shared" si="1"/>
        <v>Unavailable</v>
      </c>
      <c r="C4292" s="5">
        <v>1234.0</v>
      </c>
      <c r="D4292" s="3">
        <f>IFERROR(__xludf.DUMMYFUNCTION("IFERROR(
IF(REGEXMATCH(LOWER(O4292),""k""),
VALUE(REGEXEXTRACT(O4292,""[0-9]+""))*1000,
VALUE(REGEXEXTRACT(O4292,""[0-9]+""))
),
0
)"),0.0)</f>
        <v>0</v>
      </c>
      <c r="E4292" s="1" t="s">
        <v>11</v>
      </c>
      <c r="F4292" s="1" t="s">
        <v>20</v>
      </c>
      <c r="G4292" s="4" t="b">
        <f t="shared" si="2"/>
        <v>1</v>
      </c>
      <c r="H4292" s="1" t="str">
        <f t="shared" si="3"/>
        <v>Currently Unavailable</v>
      </c>
      <c r="I4292" s="1" t="str">
        <f t="shared" si="4"/>
        <v>No Badges</v>
      </c>
      <c r="J4292" s="3">
        <f t="shared" si="5"/>
        <v>0</v>
      </c>
    </row>
    <row r="4293">
      <c r="A4293" s="1" t="s">
        <v>3268</v>
      </c>
      <c r="B4293" s="3" t="str">
        <f t="shared" si="1"/>
        <v>Unavailable</v>
      </c>
      <c r="C4293" s="3">
        <v>193.0</v>
      </c>
      <c r="D4293" s="3">
        <f>IFERROR(__xludf.DUMMYFUNCTION("IFERROR(
IF(REGEXMATCH(LOWER(O4293),""k""),
VALUE(REGEXEXTRACT(O4293,""[0-9]+""))*1000,
VALUE(REGEXEXTRACT(O4293,""[0-9]+""))
),
0
)"),0.0)</f>
        <v>0</v>
      </c>
      <c r="E4293" s="1" t="s">
        <v>11</v>
      </c>
      <c r="F4293" s="1" t="s">
        <v>20</v>
      </c>
      <c r="G4293" s="4" t="b">
        <f t="shared" si="2"/>
        <v>1</v>
      </c>
      <c r="H4293" s="1" t="str">
        <f t="shared" si="3"/>
        <v>Currently Unavailable</v>
      </c>
      <c r="I4293" s="1" t="str">
        <f t="shared" si="4"/>
        <v>No Badges</v>
      </c>
      <c r="J4293" s="3">
        <f t="shared" si="5"/>
        <v>0</v>
      </c>
    </row>
    <row r="4294">
      <c r="A4294" s="1" t="s">
        <v>3269</v>
      </c>
      <c r="B4294" s="3" t="str">
        <f t="shared" si="1"/>
        <v>Unavailable</v>
      </c>
      <c r="C4294" s="5">
        <v>1010.0</v>
      </c>
      <c r="D4294" s="3">
        <f>IFERROR(__xludf.DUMMYFUNCTION("IFERROR(
IF(REGEXMATCH(LOWER(O4294),""k""),
VALUE(REGEXEXTRACT(O4294,""[0-9]+""))*1000,
VALUE(REGEXEXTRACT(O4294,""[0-9]+""))
),
0
)"),0.0)</f>
        <v>0</v>
      </c>
      <c r="E4294" s="1" t="s">
        <v>11</v>
      </c>
      <c r="F4294" s="1" t="s">
        <v>20</v>
      </c>
      <c r="G4294" s="4" t="b">
        <f t="shared" si="2"/>
        <v>1</v>
      </c>
      <c r="H4294" s="1" t="str">
        <f t="shared" si="3"/>
        <v>Currently Unavailable</v>
      </c>
      <c r="I4294" s="1" t="str">
        <f t="shared" si="4"/>
        <v>No Badges</v>
      </c>
      <c r="J4294" s="3">
        <f t="shared" si="5"/>
        <v>0</v>
      </c>
    </row>
    <row r="4295">
      <c r="A4295" s="1" t="s">
        <v>3270</v>
      </c>
      <c r="B4295" s="3" t="str">
        <f t="shared" si="1"/>
        <v>Unavailable</v>
      </c>
      <c r="C4295" s="3">
        <v>5.0</v>
      </c>
      <c r="D4295" s="3">
        <f>IFERROR(__xludf.DUMMYFUNCTION("IFERROR(
IF(REGEXMATCH(LOWER(O4295),""k""),
VALUE(REGEXEXTRACT(O4295,""[0-9]+""))*1000,
VALUE(REGEXEXTRACT(O4295,""[0-9]+""))
),
0
)"),0.0)</f>
        <v>0</v>
      </c>
      <c r="E4295" s="1" t="s">
        <v>11</v>
      </c>
      <c r="F4295" s="1" t="s">
        <v>20</v>
      </c>
      <c r="G4295" s="4" t="b">
        <f t="shared" si="2"/>
        <v>1</v>
      </c>
      <c r="H4295" s="1" t="str">
        <f t="shared" si="3"/>
        <v>Currently Unavailable</v>
      </c>
      <c r="I4295" s="1" t="str">
        <f t="shared" si="4"/>
        <v>No Badges</v>
      </c>
      <c r="J4295" s="3">
        <f t="shared" si="5"/>
        <v>0</v>
      </c>
    </row>
    <row r="4296">
      <c r="A4296" s="1" t="s">
        <v>3271</v>
      </c>
      <c r="B4296" s="3" t="str">
        <f t="shared" si="1"/>
        <v>Unavailable</v>
      </c>
      <c r="C4296" s="5">
        <v>1454.0</v>
      </c>
      <c r="D4296" s="3">
        <f>IFERROR(__xludf.DUMMYFUNCTION("IFERROR(
IF(REGEXMATCH(LOWER(O4296),""k""),
VALUE(REGEXEXTRACT(O4296,""[0-9]+""))*1000,
VALUE(REGEXEXTRACT(O4296,""[0-9]+""))
),
0
)"),0.0)</f>
        <v>0</v>
      </c>
      <c r="E4296" s="1" t="s">
        <v>11</v>
      </c>
      <c r="F4296" s="1" t="s">
        <v>20</v>
      </c>
      <c r="G4296" s="4" t="b">
        <f t="shared" si="2"/>
        <v>1</v>
      </c>
      <c r="H4296" s="1" t="str">
        <f t="shared" si="3"/>
        <v>Currently Unavailable</v>
      </c>
      <c r="I4296" s="1" t="str">
        <f t="shared" si="4"/>
        <v>No Badges</v>
      </c>
      <c r="J4296" s="3">
        <f t="shared" si="5"/>
        <v>0</v>
      </c>
    </row>
    <row r="4297">
      <c r="A4297" s="1" t="s">
        <v>3272</v>
      </c>
      <c r="B4297" s="3" t="str">
        <f t="shared" si="1"/>
        <v>Unavailable</v>
      </c>
      <c r="C4297" s="3">
        <v>454.0</v>
      </c>
      <c r="D4297" s="3">
        <f>IFERROR(__xludf.DUMMYFUNCTION("IFERROR(
IF(REGEXMATCH(LOWER(O4297),""k""),
VALUE(REGEXEXTRACT(O4297,""[0-9]+""))*1000,
VALUE(REGEXEXTRACT(O4297,""[0-9]+""))
),
0
)"),0.0)</f>
        <v>0</v>
      </c>
      <c r="E4297" s="1" t="s">
        <v>11</v>
      </c>
      <c r="F4297" s="1" t="s">
        <v>20</v>
      </c>
      <c r="G4297" s="4" t="b">
        <f t="shared" si="2"/>
        <v>1</v>
      </c>
      <c r="H4297" s="1" t="str">
        <f t="shared" si="3"/>
        <v>Currently Unavailable</v>
      </c>
      <c r="I4297" s="1" t="str">
        <f t="shared" si="4"/>
        <v>No Badges</v>
      </c>
      <c r="J4297" s="3">
        <f t="shared" si="5"/>
        <v>0</v>
      </c>
    </row>
    <row r="4298">
      <c r="A4298" s="1" t="s">
        <v>3273</v>
      </c>
      <c r="B4298" s="3" t="str">
        <f t="shared" si="1"/>
        <v>Unavailable</v>
      </c>
      <c r="C4298" s="3">
        <v>211.0</v>
      </c>
      <c r="D4298" s="3">
        <f>IFERROR(__xludf.DUMMYFUNCTION("IFERROR(
IF(REGEXMATCH(LOWER(O4298),""k""),
VALUE(REGEXEXTRACT(O4298,""[0-9]+""))*1000,
VALUE(REGEXEXTRACT(O4298,""[0-9]+""))
),
0
)"),0.0)</f>
        <v>0</v>
      </c>
      <c r="E4298" s="1" t="s">
        <v>11</v>
      </c>
      <c r="F4298" s="1" t="s">
        <v>20</v>
      </c>
      <c r="G4298" s="4" t="b">
        <f t="shared" si="2"/>
        <v>1</v>
      </c>
      <c r="H4298" s="1" t="str">
        <f t="shared" si="3"/>
        <v>Currently Unavailable</v>
      </c>
      <c r="I4298" s="1" t="str">
        <f t="shared" si="4"/>
        <v>No Badges</v>
      </c>
      <c r="J4298" s="3">
        <f t="shared" si="5"/>
        <v>0</v>
      </c>
    </row>
    <row r="4299">
      <c r="A4299" s="1" t="s">
        <v>3274</v>
      </c>
      <c r="B4299" s="3" t="str">
        <f t="shared" si="1"/>
        <v>Unavailable</v>
      </c>
      <c r="C4299" s="3">
        <v>488.0</v>
      </c>
      <c r="D4299" s="3">
        <f>IFERROR(__xludf.DUMMYFUNCTION("IFERROR(
IF(REGEXMATCH(LOWER(O4299),""k""),
VALUE(REGEXEXTRACT(O4299,""[0-9]+""))*1000,
VALUE(REGEXEXTRACT(O4299,""[0-9]+""))
),
0
)"),0.0)</f>
        <v>0</v>
      </c>
      <c r="E4299" s="1" t="s">
        <v>11</v>
      </c>
      <c r="F4299" s="1" t="s">
        <v>20</v>
      </c>
      <c r="G4299" s="4" t="b">
        <f t="shared" si="2"/>
        <v>1</v>
      </c>
      <c r="H4299" s="1" t="str">
        <f t="shared" si="3"/>
        <v>Currently Unavailable</v>
      </c>
      <c r="I4299" s="1" t="str">
        <f t="shared" si="4"/>
        <v>No Badges</v>
      </c>
      <c r="J4299" s="3">
        <f t="shared" si="5"/>
        <v>0</v>
      </c>
    </row>
    <row r="4300">
      <c r="A4300" s="1" t="s">
        <v>3275</v>
      </c>
      <c r="B4300" s="3" t="str">
        <f t="shared" si="1"/>
        <v>Unavailable</v>
      </c>
      <c r="C4300" s="5">
        <v>3347.0</v>
      </c>
      <c r="D4300" s="3">
        <f>IFERROR(__xludf.DUMMYFUNCTION("IFERROR(
IF(REGEXMATCH(LOWER(O4300),""k""),
VALUE(REGEXEXTRACT(O4300,""[0-9]+""))*1000,
VALUE(REGEXEXTRACT(O4300,""[0-9]+""))
),
0
)"),0.0)</f>
        <v>0</v>
      </c>
      <c r="E4300" s="1" t="s">
        <v>11</v>
      </c>
      <c r="F4300" s="1" t="s">
        <v>20</v>
      </c>
      <c r="G4300" s="4" t="b">
        <f t="shared" si="2"/>
        <v>1</v>
      </c>
      <c r="H4300" s="1" t="str">
        <f t="shared" si="3"/>
        <v>Currently Unavailable</v>
      </c>
      <c r="I4300" s="1" t="str">
        <f t="shared" si="4"/>
        <v>No Badges</v>
      </c>
      <c r="J4300" s="3">
        <f t="shared" si="5"/>
        <v>0</v>
      </c>
    </row>
    <row r="4301">
      <c r="A4301" s="1" t="s">
        <v>3276</v>
      </c>
      <c r="B4301" s="3" t="str">
        <f t="shared" si="1"/>
        <v>Unavailable</v>
      </c>
      <c r="C4301" s="5">
        <v>3733.0</v>
      </c>
      <c r="D4301" s="3">
        <f>IFERROR(__xludf.DUMMYFUNCTION("IFERROR(
IF(REGEXMATCH(LOWER(O4301),""k""),
VALUE(REGEXEXTRACT(O4301,""[0-9]+""))*1000,
VALUE(REGEXEXTRACT(O4301,""[0-9]+""))
),
0
)"),0.0)</f>
        <v>0</v>
      </c>
      <c r="E4301" s="1" t="s">
        <v>11</v>
      </c>
      <c r="F4301" s="1" t="s">
        <v>20</v>
      </c>
      <c r="G4301" s="4" t="b">
        <f t="shared" si="2"/>
        <v>1</v>
      </c>
      <c r="H4301" s="1" t="str">
        <f t="shared" si="3"/>
        <v>Currently Unavailable</v>
      </c>
      <c r="I4301" s="1" t="str">
        <f t="shared" si="4"/>
        <v>No Badges</v>
      </c>
      <c r="J4301" s="3">
        <f t="shared" si="5"/>
        <v>0</v>
      </c>
    </row>
    <row r="4302">
      <c r="A4302" s="1" t="s">
        <v>701</v>
      </c>
      <c r="B4302" s="3" t="str">
        <f t="shared" si="1"/>
        <v>Unavailable</v>
      </c>
      <c r="C4302" s="3">
        <v>8.0</v>
      </c>
      <c r="D4302" s="3">
        <f>IFERROR(__xludf.DUMMYFUNCTION("IFERROR(
IF(REGEXMATCH(LOWER(O4302),""k""),
VALUE(REGEXEXTRACT(O4302,""[0-9]+""))*1000,
VALUE(REGEXEXTRACT(O4302,""[0-9]+""))
),
0
)"),0.0)</f>
        <v>0</v>
      </c>
      <c r="E4302" s="1" t="s">
        <v>11</v>
      </c>
      <c r="F4302" s="1" t="s">
        <v>12</v>
      </c>
      <c r="G4302" s="4" t="b">
        <f t="shared" si="2"/>
        <v>1</v>
      </c>
      <c r="H4302" s="1" t="str">
        <f t="shared" si="3"/>
        <v>Currently Unavailable</v>
      </c>
      <c r="I4302" s="1" t="str">
        <f t="shared" si="4"/>
        <v>No Badges</v>
      </c>
      <c r="J4302" s="3">
        <f t="shared" si="5"/>
        <v>0</v>
      </c>
    </row>
    <row r="4303">
      <c r="A4303" s="1" t="s">
        <v>3277</v>
      </c>
      <c r="B4303" s="3" t="str">
        <f t="shared" si="1"/>
        <v>Unavailable</v>
      </c>
      <c r="C4303" s="3">
        <v>307.0</v>
      </c>
      <c r="D4303" s="3">
        <f>IFERROR(__xludf.DUMMYFUNCTION("IFERROR(
IF(REGEXMATCH(LOWER(O4303),""k""),
VALUE(REGEXEXTRACT(O4303,""[0-9]+""))*1000,
VALUE(REGEXEXTRACT(O4303,""[0-9]+""))
),
0
)"),0.0)</f>
        <v>0</v>
      </c>
      <c r="E4303" s="1" t="s">
        <v>11</v>
      </c>
      <c r="F4303" s="1" t="s">
        <v>20</v>
      </c>
      <c r="G4303" s="4" t="b">
        <f t="shared" si="2"/>
        <v>1</v>
      </c>
      <c r="H4303" s="1" t="str">
        <f t="shared" si="3"/>
        <v>Currently Unavailable</v>
      </c>
      <c r="I4303" s="1" t="str">
        <f t="shared" si="4"/>
        <v>No Badges</v>
      </c>
      <c r="J4303" s="3">
        <f t="shared" si="5"/>
        <v>0</v>
      </c>
    </row>
    <row r="4304">
      <c r="A4304" s="1" t="s">
        <v>3278</v>
      </c>
      <c r="B4304" s="3" t="str">
        <f t="shared" si="1"/>
        <v>Unavailable</v>
      </c>
      <c r="C4304" s="3">
        <v>592.0</v>
      </c>
      <c r="D4304" s="3">
        <f>IFERROR(__xludf.DUMMYFUNCTION("IFERROR(
IF(REGEXMATCH(LOWER(O4304),""k""),
VALUE(REGEXEXTRACT(O4304,""[0-9]+""))*1000,
VALUE(REGEXEXTRACT(O4304,""[0-9]+""))
),
0
)"),0.0)</f>
        <v>0</v>
      </c>
      <c r="E4304" s="1" t="s">
        <v>11</v>
      </c>
      <c r="F4304" s="1" t="s">
        <v>20</v>
      </c>
      <c r="G4304" s="4" t="b">
        <f t="shared" si="2"/>
        <v>1</v>
      </c>
      <c r="H4304" s="1" t="str">
        <f t="shared" si="3"/>
        <v>Currently Unavailable</v>
      </c>
      <c r="I4304" s="1" t="str">
        <f t="shared" si="4"/>
        <v>No Badges</v>
      </c>
      <c r="J4304" s="3">
        <f t="shared" si="5"/>
        <v>0</v>
      </c>
    </row>
    <row r="4305">
      <c r="A4305" s="1" t="s">
        <v>3192</v>
      </c>
      <c r="B4305" s="3" t="str">
        <f t="shared" si="1"/>
        <v>Unavailable</v>
      </c>
      <c r="C4305" s="3">
        <v>457.0</v>
      </c>
      <c r="D4305" s="3">
        <f>IFERROR(__xludf.DUMMYFUNCTION("IFERROR(
IF(REGEXMATCH(LOWER(O4305),""k""),
VALUE(REGEXEXTRACT(O4305,""[0-9]+""))*1000,
VALUE(REGEXEXTRACT(O4305,""[0-9]+""))
),
0
)"),0.0)</f>
        <v>0</v>
      </c>
      <c r="E4305" s="1" t="s">
        <v>11</v>
      </c>
      <c r="F4305" s="1" t="s">
        <v>20</v>
      </c>
      <c r="G4305" s="4" t="b">
        <f t="shared" si="2"/>
        <v>1</v>
      </c>
      <c r="H4305" s="1" t="str">
        <f t="shared" si="3"/>
        <v>Currently Unavailable</v>
      </c>
      <c r="I4305" s="1" t="str">
        <f t="shared" si="4"/>
        <v>No Badges</v>
      </c>
      <c r="J4305" s="3">
        <f t="shared" si="5"/>
        <v>0</v>
      </c>
    </row>
    <row r="4306">
      <c r="A4306" s="1" t="s">
        <v>3279</v>
      </c>
      <c r="B4306" s="3" t="str">
        <f t="shared" si="1"/>
        <v>Unavailable</v>
      </c>
      <c r="C4306" s="3">
        <v>293.0</v>
      </c>
      <c r="D4306" s="3">
        <f>IFERROR(__xludf.DUMMYFUNCTION("IFERROR(
IF(REGEXMATCH(LOWER(O4306),""k""),
VALUE(REGEXEXTRACT(O4306,""[0-9]+""))*1000,
VALUE(REGEXEXTRACT(O4306,""[0-9]+""))
),
0
)"),0.0)</f>
        <v>0</v>
      </c>
      <c r="E4306" s="1" t="s">
        <v>11</v>
      </c>
      <c r="F4306" s="1" t="s">
        <v>20</v>
      </c>
      <c r="G4306" s="4" t="b">
        <f t="shared" si="2"/>
        <v>1</v>
      </c>
      <c r="H4306" s="1" t="str">
        <f t="shared" si="3"/>
        <v>Currently Unavailable</v>
      </c>
      <c r="I4306" s="1" t="str">
        <f t="shared" si="4"/>
        <v>No Badges</v>
      </c>
      <c r="J4306" s="3">
        <f t="shared" si="5"/>
        <v>0</v>
      </c>
    </row>
    <row r="4307">
      <c r="A4307" s="1" t="s">
        <v>3193</v>
      </c>
      <c r="B4307" s="3" t="str">
        <f t="shared" si="1"/>
        <v>Unavailable</v>
      </c>
      <c r="C4307" s="5">
        <v>4796.0</v>
      </c>
      <c r="D4307" s="3">
        <f>IFERROR(__xludf.DUMMYFUNCTION("IFERROR(
IF(REGEXMATCH(LOWER(O4307),""k""),
VALUE(REGEXEXTRACT(O4307,""[0-9]+""))*1000,
VALUE(REGEXEXTRACT(O4307,""[0-9]+""))
),
0
)"),0.0)</f>
        <v>0</v>
      </c>
      <c r="E4307" s="1" t="s">
        <v>11</v>
      </c>
      <c r="F4307" s="1" t="s">
        <v>20</v>
      </c>
      <c r="G4307" s="4" t="b">
        <f t="shared" si="2"/>
        <v>1</v>
      </c>
      <c r="H4307" s="1" t="str">
        <f t="shared" si="3"/>
        <v>Currently Unavailable</v>
      </c>
      <c r="I4307" s="1" t="str">
        <f t="shared" si="4"/>
        <v>No Badges</v>
      </c>
      <c r="J4307" s="3">
        <f t="shared" si="5"/>
        <v>0</v>
      </c>
    </row>
    <row r="4308">
      <c r="A4308" s="1" t="s">
        <v>3194</v>
      </c>
      <c r="B4308" s="3" t="str">
        <f t="shared" si="1"/>
        <v>Unavailable</v>
      </c>
      <c r="C4308" s="5">
        <v>3046.0</v>
      </c>
      <c r="D4308" s="3">
        <f>IFERROR(__xludf.DUMMYFUNCTION("IFERROR(
IF(REGEXMATCH(LOWER(O4308),""k""),
VALUE(REGEXEXTRACT(O4308,""[0-9]+""))*1000,
VALUE(REGEXEXTRACT(O4308,""[0-9]+""))
),
0
)"),0.0)</f>
        <v>0</v>
      </c>
      <c r="E4308" s="1" t="s">
        <v>11</v>
      </c>
      <c r="F4308" s="1" t="s">
        <v>20</v>
      </c>
      <c r="G4308" s="4" t="b">
        <f t="shared" si="2"/>
        <v>1</v>
      </c>
      <c r="H4308" s="1" t="str">
        <f t="shared" si="3"/>
        <v>Currently Unavailable</v>
      </c>
      <c r="I4308" s="1" t="str">
        <f t="shared" si="4"/>
        <v>No Badges</v>
      </c>
      <c r="J4308" s="3">
        <f t="shared" si="5"/>
        <v>0</v>
      </c>
    </row>
    <row r="4309">
      <c r="A4309" s="1" t="s">
        <v>3195</v>
      </c>
      <c r="B4309" s="3" t="str">
        <f t="shared" si="1"/>
        <v>Unavailable</v>
      </c>
      <c r="C4309" s="3">
        <v>317.0</v>
      </c>
      <c r="D4309" s="3">
        <f>IFERROR(__xludf.DUMMYFUNCTION("IFERROR(
IF(REGEXMATCH(LOWER(O4309),""k""),
VALUE(REGEXEXTRACT(O4309,""[0-9]+""))*1000,
VALUE(REGEXEXTRACT(O4309,""[0-9]+""))
),
0
)"),0.0)</f>
        <v>0</v>
      </c>
      <c r="E4309" s="1" t="s">
        <v>11</v>
      </c>
      <c r="F4309" s="1" t="s">
        <v>20</v>
      </c>
      <c r="G4309" s="4" t="b">
        <f t="shared" si="2"/>
        <v>1</v>
      </c>
      <c r="H4309" s="1" t="str">
        <f t="shared" si="3"/>
        <v>Currently Unavailable</v>
      </c>
      <c r="I4309" s="1" t="str">
        <f t="shared" si="4"/>
        <v>No Badges</v>
      </c>
      <c r="J4309" s="3">
        <f t="shared" si="5"/>
        <v>0</v>
      </c>
    </row>
    <row r="4310">
      <c r="A4310" s="1" t="s">
        <v>3280</v>
      </c>
      <c r="B4310" s="3" t="str">
        <f t="shared" si="1"/>
        <v>Unavailable</v>
      </c>
      <c r="C4310" s="5">
        <v>1923.0</v>
      </c>
      <c r="D4310" s="3">
        <f>IFERROR(__xludf.DUMMYFUNCTION("IFERROR(
IF(REGEXMATCH(LOWER(O4310),""k""),
VALUE(REGEXEXTRACT(O4310,""[0-9]+""))*1000,
VALUE(REGEXEXTRACT(O4310,""[0-9]+""))
),
0
)"),0.0)</f>
        <v>0</v>
      </c>
      <c r="E4310" s="1" t="s">
        <v>11</v>
      </c>
      <c r="F4310" s="1" t="s">
        <v>20</v>
      </c>
      <c r="G4310" s="4" t="b">
        <f t="shared" si="2"/>
        <v>1</v>
      </c>
      <c r="H4310" s="1" t="str">
        <f t="shared" si="3"/>
        <v>Currently Unavailable</v>
      </c>
      <c r="I4310" s="1" t="str">
        <f t="shared" si="4"/>
        <v>No Badges</v>
      </c>
      <c r="J4310" s="3">
        <f t="shared" si="5"/>
        <v>0</v>
      </c>
    </row>
    <row r="4311">
      <c r="A4311" s="1" t="s">
        <v>3281</v>
      </c>
      <c r="B4311" s="3" t="str">
        <f t="shared" si="1"/>
        <v>Unavailable</v>
      </c>
      <c r="C4311" s="3">
        <v>485.0</v>
      </c>
      <c r="D4311" s="3">
        <f>IFERROR(__xludf.DUMMYFUNCTION("IFERROR(
IF(REGEXMATCH(LOWER(O4311),""k""),
VALUE(REGEXEXTRACT(O4311,""[0-9]+""))*1000,
VALUE(REGEXEXTRACT(O4311,""[0-9]+""))
),
0
)"),0.0)</f>
        <v>0</v>
      </c>
      <c r="E4311" s="1" t="s">
        <v>11</v>
      </c>
      <c r="F4311" s="1" t="s">
        <v>20</v>
      </c>
      <c r="G4311" s="4" t="b">
        <f t="shared" si="2"/>
        <v>1</v>
      </c>
      <c r="H4311" s="1" t="str">
        <f t="shared" si="3"/>
        <v>Currently Unavailable</v>
      </c>
      <c r="I4311" s="1" t="str">
        <f t="shared" si="4"/>
        <v>No Badges</v>
      </c>
      <c r="J4311" s="3">
        <f t="shared" si="5"/>
        <v>0</v>
      </c>
    </row>
    <row r="4312">
      <c r="A4312" s="1" t="s">
        <v>3196</v>
      </c>
      <c r="B4312" s="3" t="str">
        <f t="shared" si="1"/>
        <v>Unavailable</v>
      </c>
      <c r="C4312" s="5">
        <v>1315.0</v>
      </c>
      <c r="D4312" s="3">
        <f>IFERROR(__xludf.DUMMYFUNCTION("IFERROR(
IF(REGEXMATCH(LOWER(O4312),""k""),
VALUE(REGEXEXTRACT(O4312,""[0-9]+""))*1000,
VALUE(REGEXEXTRACT(O4312,""[0-9]+""))
),
0
)"),0.0)</f>
        <v>0</v>
      </c>
      <c r="E4312" s="1" t="s">
        <v>11</v>
      </c>
      <c r="F4312" s="1" t="s">
        <v>20</v>
      </c>
      <c r="G4312" s="4" t="b">
        <f t="shared" si="2"/>
        <v>1</v>
      </c>
      <c r="H4312" s="1" t="str">
        <f t="shared" si="3"/>
        <v>Currently Unavailable</v>
      </c>
      <c r="I4312" s="1" t="str">
        <f t="shared" si="4"/>
        <v>No Badges</v>
      </c>
      <c r="J4312" s="3">
        <f t="shared" si="5"/>
        <v>0</v>
      </c>
    </row>
    <row r="4313">
      <c r="A4313" s="1" t="s">
        <v>3282</v>
      </c>
      <c r="B4313" s="3" t="str">
        <f t="shared" si="1"/>
        <v>Unavailable</v>
      </c>
      <c r="C4313" s="5">
        <v>2125.0</v>
      </c>
      <c r="D4313" s="3">
        <f>IFERROR(__xludf.DUMMYFUNCTION("IFERROR(
IF(REGEXMATCH(LOWER(O4313),""k""),
VALUE(REGEXEXTRACT(O4313,""[0-9]+""))*1000,
VALUE(REGEXEXTRACT(O4313,""[0-9]+""))
),
0
)"),0.0)</f>
        <v>0</v>
      </c>
      <c r="E4313" s="1" t="s">
        <v>11</v>
      </c>
      <c r="F4313" s="1" t="s">
        <v>20</v>
      </c>
      <c r="G4313" s="4" t="b">
        <f t="shared" si="2"/>
        <v>1</v>
      </c>
      <c r="H4313" s="1" t="str">
        <f t="shared" si="3"/>
        <v>Currently Unavailable</v>
      </c>
      <c r="I4313" s="1" t="str">
        <f t="shared" si="4"/>
        <v>No Badges</v>
      </c>
      <c r="J4313" s="3">
        <f t="shared" si="5"/>
        <v>0</v>
      </c>
    </row>
    <row r="4314">
      <c r="A4314" s="1" t="s">
        <v>3283</v>
      </c>
      <c r="B4314" s="3" t="str">
        <f t="shared" si="1"/>
        <v>Unavailable</v>
      </c>
      <c r="C4314" s="3">
        <v>50.0</v>
      </c>
      <c r="D4314" s="3">
        <f>IFERROR(__xludf.DUMMYFUNCTION("IFERROR(
IF(REGEXMATCH(LOWER(O4314),""k""),
VALUE(REGEXEXTRACT(O4314,""[0-9]+""))*1000,
VALUE(REGEXEXTRACT(O4314,""[0-9]+""))
),
0
)"),0.0)</f>
        <v>0</v>
      </c>
      <c r="E4314" s="1" t="s">
        <v>11</v>
      </c>
      <c r="F4314" s="1" t="s">
        <v>20</v>
      </c>
      <c r="G4314" s="4" t="b">
        <f t="shared" si="2"/>
        <v>1</v>
      </c>
      <c r="H4314" s="1" t="str">
        <f t="shared" si="3"/>
        <v>Currently Unavailable</v>
      </c>
      <c r="I4314" s="1" t="str">
        <f t="shared" si="4"/>
        <v>No Badges</v>
      </c>
      <c r="J4314" s="3">
        <f t="shared" si="5"/>
        <v>0</v>
      </c>
    </row>
    <row r="4315">
      <c r="A4315" s="1" t="s">
        <v>3284</v>
      </c>
      <c r="B4315" s="3" t="str">
        <f t="shared" si="1"/>
        <v>Unavailable</v>
      </c>
      <c r="C4315" s="3">
        <v>33.0</v>
      </c>
      <c r="D4315" s="3">
        <f>IFERROR(__xludf.DUMMYFUNCTION("IFERROR(
IF(REGEXMATCH(LOWER(O4315),""k""),
VALUE(REGEXEXTRACT(O4315,""[0-9]+""))*1000,
VALUE(REGEXEXTRACT(O4315,""[0-9]+""))
),
0
)"),0.0)</f>
        <v>0</v>
      </c>
      <c r="E4315" s="1" t="s">
        <v>11</v>
      </c>
      <c r="F4315" s="1" t="s">
        <v>20</v>
      </c>
      <c r="G4315" s="4" t="b">
        <f t="shared" si="2"/>
        <v>1</v>
      </c>
      <c r="H4315" s="1" t="str">
        <f t="shared" si="3"/>
        <v>Currently Unavailable</v>
      </c>
      <c r="I4315" s="1" t="str">
        <f t="shared" si="4"/>
        <v>No Badges</v>
      </c>
      <c r="J4315" s="3">
        <f t="shared" si="5"/>
        <v>0</v>
      </c>
    </row>
    <row r="4316">
      <c r="A4316" s="1" t="s">
        <v>3285</v>
      </c>
      <c r="B4316" s="3" t="str">
        <f t="shared" si="1"/>
        <v>Unavailable</v>
      </c>
      <c r="C4316" s="3">
        <v>550.0</v>
      </c>
      <c r="D4316" s="3">
        <f>IFERROR(__xludf.DUMMYFUNCTION("IFERROR(
IF(REGEXMATCH(LOWER(O4316),""k""),
VALUE(REGEXEXTRACT(O4316,""[0-9]+""))*1000,
VALUE(REGEXEXTRACT(O4316,""[0-9]+""))
),
0
)"),0.0)</f>
        <v>0</v>
      </c>
      <c r="E4316" s="1" t="s">
        <v>11</v>
      </c>
      <c r="F4316" s="1" t="s">
        <v>20</v>
      </c>
      <c r="G4316" s="4" t="b">
        <f t="shared" si="2"/>
        <v>1</v>
      </c>
      <c r="H4316" s="1" t="str">
        <f t="shared" si="3"/>
        <v>Currently Unavailable</v>
      </c>
      <c r="I4316" s="1" t="str">
        <f t="shared" si="4"/>
        <v>No Badges</v>
      </c>
      <c r="J4316" s="3">
        <f t="shared" si="5"/>
        <v>0</v>
      </c>
    </row>
    <row r="4317">
      <c r="A4317" s="1" t="s">
        <v>3286</v>
      </c>
      <c r="B4317" s="3" t="str">
        <f t="shared" si="1"/>
        <v>Unavailable</v>
      </c>
      <c r="C4317" s="3">
        <v>151.0</v>
      </c>
      <c r="D4317" s="3">
        <f>IFERROR(__xludf.DUMMYFUNCTION("IFERROR(
IF(REGEXMATCH(LOWER(O4317),""k""),
VALUE(REGEXEXTRACT(O4317,""[0-9]+""))*1000,
VALUE(REGEXEXTRACT(O4317,""[0-9]+""))
),
0
)"),0.0)</f>
        <v>0</v>
      </c>
      <c r="E4317" s="1" t="s">
        <v>11</v>
      </c>
      <c r="F4317" s="1" t="s">
        <v>20</v>
      </c>
      <c r="G4317" s="4" t="b">
        <f t="shared" si="2"/>
        <v>1</v>
      </c>
      <c r="H4317" s="1" t="str">
        <f t="shared" si="3"/>
        <v>Currently Unavailable</v>
      </c>
      <c r="I4317" s="1" t="str">
        <f t="shared" si="4"/>
        <v>No Badges</v>
      </c>
      <c r="J4317" s="3">
        <f t="shared" si="5"/>
        <v>0</v>
      </c>
    </row>
    <row r="4318">
      <c r="A4318" s="1" t="s">
        <v>3287</v>
      </c>
      <c r="B4318" s="3" t="str">
        <f t="shared" si="1"/>
        <v>Unavailable</v>
      </c>
      <c r="C4318" s="3">
        <v>209.0</v>
      </c>
      <c r="D4318" s="3">
        <f>IFERROR(__xludf.DUMMYFUNCTION("IFERROR(
IF(REGEXMATCH(LOWER(O4318),""k""),
VALUE(REGEXEXTRACT(O4318,""[0-9]+""))*1000,
VALUE(REGEXEXTRACT(O4318,""[0-9]+""))
),
0
)"),0.0)</f>
        <v>0</v>
      </c>
      <c r="E4318" s="1" t="s">
        <v>11</v>
      </c>
      <c r="F4318" s="1" t="s">
        <v>20</v>
      </c>
      <c r="G4318" s="4" t="b">
        <f t="shared" si="2"/>
        <v>1</v>
      </c>
      <c r="H4318" s="1" t="str">
        <f t="shared" si="3"/>
        <v>Currently Unavailable</v>
      </c>
      <c r="I4318" s="1" t="str">
        <f t="shared" si="4"/>
        <v>No Badges</v>
      </c>
      <c r="J4318" s="3">
        <f t="shared" si="5"/>
        <v>0</v>
      </c>
    </row>
    <row r="4319">
      <c r="A4319" s="1" t="s">
        <v>3288</v>
      </c>
      <c r="B4319" s="3" t="str">
        <f t="shared" si="1"/>
        <v>Unavailable</v>
      </c>
      <c r="C4319" s="5">
        <v>1188.0</v>
      </c>
      <c r="D4319" s="3">
        <f>IFERROR(__xludf.DUMMYFUNCTION("IFERROR(
IF(REGEXMATCH(LOWER(O4319),""k""),
VALUE(REGEXEXTRACT(O4319,""[0-9]+""))*1000,
VALUE(REGEXEXTRACT(O4319,""[0-9]+""))
),
0
)"),0.0)</f>
        <v>0</v>
      </c>
      <c r="E4319" s="1" t="s">
        <v>11</v>
      </c>
      <c r="F4319" s="1" t="s">
        <v>20</v>
      </c>
      <c r="G4319" s="4" t="b">
        <f t="shared" si="2"/>
        <v>1</v>
      </c>
      <c r="H4319" s="1" t="str">
        <f t="shared" si="3"/>
        <v>Currently Unavailable</v>
      </c>
      <c r="I4319" s="1" t="str">
        <f t="shared" si="4"/>
        <v>No Badges</v>
      </c>
      <c r="J4319" s="3">
        <f t="shared" si="5"/>
        <v>0</v>
      </c>
    </row>
    <row r="4320">
      <c r="A4320" s="1" t="s">
        <v>3289</v>
      </c>
      <c r="B4320" s="3" t="str">
        <f t="shared" si="1"/>
        <v>Unavailable</v>
      </c>
      <c r="C4320" s="3">
        <v>180.0</v>
      </c>
      <c r="D4320" s="3">
        <f>IFERROR(__xludf.DUMMYFUNCTION("IFERROR(
IF(REGEXMATCH(LOWER(O4320),""k""),
VALUE(REGEXEXTRACT(O4320,""[0-9]+""))*1000,
VALUE(REGEXEXTRACT(O4320,""[0-9]+""))
),
0
)"),0.0)</f>
        <v>0</v>
      </c>
      <c r="E4320" s="1" t="s">
        <v>11</v>
      </c>
      <c r="F4320" s="1" t="s">
        <v>20</v>
      </c>
      <c r="G4320" s="4" t="b">
        <f t="shared" si="2"/>
        <v>1</v>
      </c>
      <c r="H4320" s="1" t="str">
        <f t="shared" si="3"/>
        <v>Currently Unavailable</v>
      </c>
      <c r="I4320" s="1" t="str">
        <f t="shared" si="4"/>
        <v>No Badges</v>
      </c>
      <c r="J4320" s="3">
        <f t="shared" si="5"/>
        <v>0</v>
      </c>
    </row>
    <row r="4321">
      <c r="A4321" s="1" t="s">
        <v>3201</v>
      </c>
      <c r="B4321" s="3" t="str">
        <f t="shared" si="1"/>
        <v>Unavailable</v>
      </c>
      <c r="C4321" s="3">
        <v>469.0</v>
      </c>
      <c r="D4321" s="3">
        <f>IFERROR(__xludf.DUMMYFUNCTION("IFERROR(
IF(REGEXMATCH(LOWER(O4321),""k""),
VALUE(REGEXEXTRACT(O4321,""[0-9]+""))*1000,
VALUE(REGEXEXTRACT(O4321,""[0-9]+""))
),
0
)"),0.0)</f>
        <v>0</v>
      </c>
      <c r="E4321" s="1" t="s">
        <v>11</v>
      </c>
      <c r="F4321" s="1" t="s">
        <v>20</v>
      </c>
      <c r="G4321" s="4" t="b">
        <f t="shared" si="2"/>
        <v>1</v>
      </c>
      <c r="H4321" s="1" t="str">
        <f t="shared" si="3"/>
        <v>Currently Unavailable</v>
      </c>
      <c r="I4321" s="1" t="str">
        <f t="shared" si="4"/>
        <v>No Badges</v>
      </c>
      <c r="J4321" s="3">
        <f t="shared" si="5"/>
        <v>0</v>
      </c>
    </row>
    <row r="4322">
      <c r="A4322" s="1" t="s">
        <v>3290</v>
      </c>
      <c r="B4322" s="3" t="str">
        <f t="shared" si="1"/>
        <v>Unavailable</v>
      </c>
      <c r="C4322" s="3">
        <v>55.0</v>
      </c>
      <c r="D4322" s="3">
        <f>IFERROR(__xludf.DUMMYFUNCTION("IFERROR(
IF(REGEXMATCH(LOWER(O4322),""k""),
VALUE(REGEXEXTRACT(O4322,""[0-9]+""))*1000,
VALUE(REGEXEXTRACT(O4322,""[0-9]+""))
),
0
)"),0.0)</f>
        <v>0</v>
      </c>
      <c r="E4322" s="1" t="s">
        <v>11</v>
      </c>
      <c r="F4322" s="1" t="s">
        <v>20</v>
      </c>
      <c r="G4322" s="4" t="b">
        <f t="shared" si="2"/>
        <v>1</v>
      </c>
      <c r="H4322" s="1" t="str">
        <f t="shared" si="3"/>
        <v>Currently Unavailable</v>
      </c>
      <c r="I4322" s="1" t="str">
        <f t="shared" si="4"/>
        <v>No Badges</v>
      </c>
      <c r="J4322" s="3">
        <f t="shared" si="5"/>
        <v>0</v>
      </c>
    </row>
    <row r="4323">
      <c r="A4323" s="1" t="s">
        <v>3202</v>
      </c>
      <c r="B4323" s="3" t="str">
        <f t="shared" si="1"/>
        <v>Unavailable</v>
      </c>
      <c r="C4323" s="3">
        <v>446.0</v>
      </c>
      <c r="D4323" s="3">
        <f>IFERROR(__xludf.DUMMYFUNCTION("IFERROR(
IF(REGEXMATCH(LOWER(O4323),""k""),
VALUE(REGEXEXTRACT(O4323,""[0-9]+""))*1000,
VALUE(REGEXEXTRACT(O4323,""[0-9]+""))
),
0
)"),0.0)</f>
        <v>0</v>
      </c>
      <c r="E4323" s="1" t="s">
        <v>11</v>
      </c>
      <c r="F4323" s="1" t="s">
        <v>20</v>
      </c>
      <c r="G4323" s="4" t="b">
        <f t="shared" si="2"/>
        <v>1</v>
      </c>
      <c r="H4323" s="1" t="str">
        <f t="shared" si="3"/>
        <v>Currently Unavailable</v>
      </c>
      <c r="I4323" s="1" t="str">
        <f t="shared" si="4"/>
        <v>No Badges</v>
      </c>
      <c r="J4323" s="3">
        <f t="shared" si="5"/>
        <v>0</v>
      </c>
    </row>
    <row r="4324">
      <c r="A4324" s="1" t="s">
        <v>3291</v>
      </c>
      <c r="B4324" s="3" t="str">
        <f t="shared" si="1"/>
        <v>Unavailable</v>
      </c>
      <c r="C4324" s="3">
        <v>55.0</v>
      </c>
      <c r="D4324" s="3">
        <f>IFERROR(__xludf.DUMMYFUNCTION("IFERROR(
IF(REGEXMATCH(LOWER(O4324),""k""),
VALUE(REGEXEXTRACT(O4324,""[0-9]+""))*1000,
VALUE(REGEXEXTRACT(O4324,""[0-9]+""))
),
0
)"),0.0)</f>
        <v>0</v>
      </c>
      <c r="E4324" s="1" t="s">
        <v>11</v>
      </c>
      <c r="F4324" s="1" t="s">
        <v>20</v>
      </c>
      <c r="G4324" s="4" t="b">
        <f t="shared" si="2"/>
        <v>1</v>
      </c>
      <c r="H4324" s="1" t="str">
        <f t="shared" si="3"/>
        <v>Currently Unavailable</v>
      </c>
      <c r="I4324" s="1" t="str">
        <f t="shared" si="4"/>
        <v>No Badges</v>
      </c>
      <c r="J4324" s="3">
        <f t="shared" si="5"/>
        <v>0</v>
      </c>
    </row>
    <row r="4325">
      <c r="A4325" s="1" t="s">
        <v>3292</v>
      </c>
      <c r="B4325" s="3" t="str">
        <f t="shared" si="1"/>
        <v>Unavailable</v>
      </c>
      <c r="C4325" s="5">
        <v>1149.0</v>
      </c>
      <c r="D4325" s="3">
        <f>IFERROR(__xludf.DUMMYFUNCTION("IFERROR(
IF(REGEXMATCH(LOWER(O4325),""k""),
VALUE(REGEXEXTRACT(O4325,""[0-9]+""))*1000,
VALUE(REGEXEXTRACT(O4325,""[0-9]+""))
),
0
)"),0.0)</f>
        <v>0</v>
      </c>
      <c r="E4325" s="1" t="s">
        <v>11</v>
      </c>
      <c r="F4325" s="1" t="s">
        <v>20</v>
      </c>
      <c r="G4325" s="4" t="b">
        <f t="shared" si="2"/>
        <v>1</v>
      </c>
      <c r="H4325" s="1" t="str">
        <f t="shared" si="3"/>
        <v>Currently Unavailable</v>
      </c>
      <c r="I4325" s="1" t="str">
        <f t="shared" si="4"/>
        <v>No Badges</v>
      </c>
      <c r="J4325" s="3">
        <f t="shared" si="5"/>
        <v>0</v>
      </c>
    </row>
    <row r="4326">
      <c r="A4326" s="1" t="s">
        <v>3293</v>
      </c>
      <c r="B4326" s="3" t="str">
        <f t="shared" si="1"/>
        <v>Unavailable</v>
      </c>
      <c r="C4326" s="3">
        <v>158.0</v>
      </c>
      <c r="D4326" s="3">
        <f>IFERROR(__xludf.DUMMYFUNCTION("IFERROR(
IF(REGEXMATCH(LOWER(O4326),""k""),
VALUE(REGEXEXTRACT(O4326,""[0-9]+""))*1000,
VALUE(REGEXEXTRACT(O4326,""[0-9]+""))
),
0
)"),0.0)</f>
        <v>0</v>
      </c>
      <c r="E4326" s="1" t="s">
        <v>11</v>
      </c>
      <c r="F4326" s="1" t="s">
        <v>20</v>
      </c>
      <c r="G4326" s="4" t="b">
        <f t="shared" si="2"/>
        <v>1</v>
      </c>
      <c r="H4326" s="1" t="str">
        <f t="shared" si="3"/>
        <v>Currently Unavailable</v>
      </c>
      <c r="I4326" s="1" t="str">
        <f t="shared" si="4"/>
        <v>No Badges</v>
      </c>
      <c r="J4326" s="3">
        <f t="shared" si="5"/>
        <v>0</v>
      </c>
    </row>
    <row r="4327">
      <c r="A4327" s="1" t="s">
        <v>3294</v>
      </c>
      <c r="B4327" s="3" t="str">
        <f t="shared" si="1"/>
        <v>Unavailable</v>
      </c>
      <c r="C4327" s="5">
        <v>2102.0</v>
      </c>
      <c r="D4327" s="3">
        <f>IFERROR(__xludf.DUMMYFUNCTION("IFERROR(
IF(REGEXMATCH(LOWER(O4327),""k""),
VALUE(REGEXEXTRACT(O4327,""[0-9]+""))*1000,
VALUE(REGEXEXTRACT(O4327,""[0-9]+""))
),
0
)"),0.0)</f>
        <v>0</v>
      </c>
      <c r="E4327" s="1" t="s">
        <v>11</v>
      </c>
      <c r="F4327" s="1" t="s">
        <v>20</v>
      </c>
      <c r="G4327" s="4" t="b">
        <f t="shared" si="2"/>
        <v>1</v>
      </c>
      <c r="H4327" s="1" t="str">
        <f t="shared" si="3"/>
        <v>Currently Unavailable</v>
      </c>
      <c r="I4327" s="1" t="str">
        <f t="shared" si="4"/>
        <v>No Badges</v>
      </c>
      <c r="J4327" s="3">
        <f t="shared" si="5"/>
        <v>0</v>
      </c>
    </row>
    <row r="4328">
      <c r="A4328" s="1" t="s">
        <v>3295</v>
      </c>
      <c r="B4328" s="3" t="str">
        <f t="shared" si="1"/>
        <v>Unavailable</v>
      </c>
      <c r="C4328" s="3">
        <v>358.0</v>
      </c>
      <c r="D4328" s="3">
        <f>IFERROR(__xludf.DUMMYFUNCTION("IFERROR(
IF(REGEXMATCH(LOWER(O4328),""k""),
VALUE(REGEXEXTRACT(O4328,""[0-9]+""))*1000,
VALUE(REGEXEXTRACT(O4328,""[0-9]+""))
),
0
)"),0.0)</f>
        <v>0</v>
      </c>
      <c r="E4328" s="1" t="s">
        <v>11</v>
      </c>
      <c r="F4328" s="1" t="s">
        <v>20</v>
      </c>
      <c r="G4328" s="4" t="b">
        <f t="shared" si="2"/>
        <v>1</v>
      </c>
      <c r="H4328" s="1" t="str">
        <f t="shared" si="3"/>
        <v>Currently Unavailable</v>
      </c>
      <c r="I4328" s="1" t="str">
        <f t="shared" si="4"/>
        <v>No Badges</v>
      </c>
      <c r="J4328" s="3">
        <f t="shared" si="5"/>
        <v>0</v>
      </c>
    </row>
    <row r="4329">
      <c r="A4329" s="1" t="s">
        <v>3296</v>
      </c>
      <c r="B4329" s="3" t="str">
        <f t="shared" si="1"/>
        <v>Unavailable</v>
      </c>
      <c r="C4329" s="5">
        <v>3130.0</v>
      </c>
      <c r="D4329" s="3">
        <f>IFERROR(__xludf.DUMMYFUNCTION("IFERROR(
IF(REGEXMATCH(LOWER(O4329),""k""),
VALUE(REGEXEXTRACT(O4329,""[0-9]+""))*1000,
VALUE(REGEXEXTRACT(O4329,""[0-9]+""))
),
0
)"),0.0)</f>
        <v>0</v>
      </c>
      <c r="E4329" s="1" t="s">
        <v>11</v>
      </c>
      <c r="F4329" s="1" t="s">
        <v>20</v>
      </c>
      <c r="G4329" s="4" t="b">
        <f t="shared" si="2"/>
        <v>1</v>
      </c>
      <c r="H4329" s="1" t="str">
        <f t="shared" si="3"/>
        <v>Currently Unavailable</v>
      </c>
      <c r="I4329" s="1" t="str">
        <f t="shared" si="4"/>
        <v>No Badges</v>
      </c>
      <c r="J4329" s="3">
        <f t="shared" si="5"/>
        <v>0</v>
      </c>
    </row>
    <row r="4330">
      <c r="A4330" s="1" t="s">
        <v>69</v>
      </c>
      <c r="B4330" s="3" t="str">
        <f t="shared" si="1"/>
        <v>Unavailable</v>
      </c>
      <c r="C4330" s="3">
        <v>45.0</v>
      </c>
      <c r="D4330" s="3">
        <f>IFERROR(__xludf.DUMMYFUNCTION("IFERROR(
IF(REGEXMATCH(LOWER(O4330),""k""),
VALUE(REGEXEXTRACT(O4330,""[0-9]+""))*1000,
VALUE(REGEXEXTRACT(O4330,""[0-9]+""))
),
0
)"),0.0)</f>
        <v>0</v>
      </c>
      <c r="E4330" s="1" t="s">
        <v>11</v>
      </c>
      <c r="F4330" s="1" t="s">
        <v>12</v>
      </c>
      <c r="G4330" s="4" t="b">
        <f t="shared" si="2"/>
        <v>1</v>
      </c>
      <c r="H4330" s="1" t="str">
        <f t="shared" si="3"/>
        <v>Currently Unavailable</v>
      </c>
      <c r="I4330" s="1" t="str">
        <f t="shared" si="4"/>
        <v>No Badges</v>
      </c>
      <c r="J4330" s="3">
        <f t="shared" si="5"/>
        <v>0</v>
      </c>
    </row>
    <row r="4331">
      <c r="A4331" s="1" t="s">
        <v>3297</v>
      </c>
      <c r="B4331" s="3" t="str">
        <f t="shared" si="1"/>
        <v>Unavailable</v>
      </c>
      <c r="C4331" s="3">
        <v>100.0</v>
      </c>
      <c r="D4331" s="3">
        <f>IFERROR(__xludf.DUMMYFUNCTION("IFERROR(
IF(REGEXMATCH(LOWER(O4331),""k""),
VALUE(REGEXEXTRACT(O4331,""[0-9]+""))*1000,
VALUE(REGEXEXTRACT(O4331,""[0-9]+""))
),
0
)"),0.0)</f>
        <v>0</v>
      </c>
      <c r="E4331" s="1" t="s">
        <v>11</v>
      </c>
      <c r="F4331" s="1" t="s">
        <v>20</v>
      </c>
      <c r="G4331" s="4" t="b">
        <f t="shared" si="2"/>
        <v>1</v>
      </c>
      <c r="H4331" s="1" t="str">
        <f t="shared" si="3"/>
        <v>Currently Unavailable</v>
      </c>
      <c r="I4331" s="1" t="str">
        <f t="shared" si="4"/>
        <v>No Badges</v>
      </c>
      <c r="J4331" s="3">
        <f t="shared" si="5"/>
        <v>0</v>
      </c>
    </row>
    <row r="4332">
      <c r="A4332" s="1" t="s">
        <v>3298</v>
      </c>
      <c r="B4332" s="3" t="str">
        <f t="shared" si="1"/>
        <v>Unavailable</v>
      </c>
      <c r="C4332" s="3">
        <v>378.0</v>
      </c>
      <c r="D4332" s="3">
        <f>IFERROR(__xludf.DUMMYFUNCTION("IFERROR(
IF(REGEXMATCH(LOWER(O4332),""k""),
VALUE(REGEXEXTRACT(O4332,""[0-9]+""))*1000,
VALUE(REGEXEXTRACT(O4332,""[0-9]+""))
),
0
)"),0.0)</f>
        <v>0</v>
      </c>
      <c r="E4332" s="1" t="s">
        <v>11</v>
      </c>
      <c r="F4332" s="1" t="s">
        <v>20</v>
      </c>
      <c r="G4332" s="4" t="b">
        <f t="shared" si="2"/>
        <v>1</v>
      </c>
      <c r="H4332" s="1" t="str">
        <f t="shared" si="3"/>
        <v>Currently Unavailable</v>
      </c>
      <c r="I4332" s="1" t="str">
        <f t="shared" si="4"/>
        <v>No Badges</v>
      </c>
      <c r="J4332" s="3">
        <f t="shared" si="5"/>
        <v>0</v>
      </c>
    </row>
    <row r="4333">
      <c r="A4333" s="1" t="s">
        <v>3299</v>
      </c>
      <c r="B4333" s="3" t="str">
        <f t="shared" si="1"/>
        <v>Unavailable</v>
      </c>
      <c r="C4333" s="3">
        <v>29.0</v>
      </c>
      <c r="D4333" s="3">
        <f>IFERROR(__xludf.DUMMYFUNCTION("IFERROR(
IF(REGEXMATCH(LOWER(O4333),""k""),
VALUE(REGEXEXTRACT(O4333,""[0-9]+""))*1000,
VALUE(REGEXEXTRACT(O4333,""[0-9]+""))
),
0
)"),0.0)</f>
        <v>0</v>
      </c>
      <c r="E4333" s="1" t="s">
        <v>11</v>
      </c>
      <c r="F4333" s="1" t="s">
        <v>20</v>
      </c>
      <c r="G4333" s="4" t="b">
        <f t="shared" si="2"/>
        <v>1</v>
      </c>
      <c r="H4333" s="1" t="str">
        <f t="shared" si="3"/>
        <v>Currently Unavailable</v>
      </c>
      <c r="I4333" s="1" t="str">
        <f t="shared" si="4"/>
        <v>No Badges</v>
      </c>
      <c r="J4333" s="3">
        <f t="shared" si="5"/>
        <v>0</v>
      </c>
    </row>
    <row r="4334">
      <c r="A4334" s="1" t="s">
        <v>3300</v>
      </c>
      <c r="B4334" s="3" t="str">
        <f t="shared" si="1"/>
        <v>Unavailable</v>
      </c>
      <c r="C4334" s="5">
        <v>4208.0</v>
      </c>
      <c r="D4334" s="3">
        <f>IFERROR(__xludf.DUMMYFUNCTION("IFERROR(
IF(REGEXMATCH(LOWER(O4334),""k""),
VALUE(REGEXEXTRACT(O4334,""[0-9]+""))*1000,
VALUE(REGEXEXTRACT(O4334,""[0-9]+""))
),
0
)"),0.0)</f>
        <v>0</v>
      </c>
      <c r="E4334" s="1" t="s">
        <v>11</v>
      </c>
      <c r="F4334" s="1" t="s">
        <v>20</v>
      </c>
      <c r="G4334" s="4" t="b">
        <f t="shared" si="2"/>
        <v>1</v>
      </c>
      <c r="H4334" s="1" t="str">
        <f t="shared" si="3"/>
        <v>Currently Unavailable</v>
      </c>
      <c r="I4334" s="1" t="str">
        <f t="shared" si="4"/>
        <v>No Badges</v>
      </c>
      <c r="J4334" s="3">
        <f t="shared" si="5"/>
        <v>0</v>
      </c>
    </row>
    <row r="4335">
      <c r="A4335" s="1" t="s">
        <v>3301</v>
      </c>
      <c r="B4335" s="3" t="str">
        <f t="shared" si="1"/>
        <v>Unavailable</v>
      </c>
      <c r="C4335" s="3">
        <v>78.0</v>
      </c>
      <c r="D4335" s="3">
        <f>IFERROR(__xludf.DUMMYFUNCTION("IFERROR(
IF(REGEXMATCH(LOWER(O4335),""k""),
VALUE(REGEXEXTRACT(O4335,""[0-9]+""))*1000,
VALUE(REGEXEXTRACT(O4335,""[0-9]+""))
),
0
)"),0.0)</f>
        <v>0</v>
      </c>
      <c r="E4335" s="1" t="s">
        <v>11</v>
      </c>
      <c r="F4335" s="1" t="s">
        <v>20</v>
      </c>
      <c r="G4335" s="4" t="b">
        <f t="shared" si="2"/>
        <v>1</v>
      </c>
      <c r="H4335" s="1" t="str">
        <f t="shared" si="3"/>
        <v>Currently Unavailable</v>
      </c>
      <c r="I4335" s="1" t="str">
        <f t="shared" si="4"/>
        <v>No Badges</v>
      </c>
      <c r="J4335" s="3">
        <f t="shared" si="5"/>
        <v>0</v>
      </c>
    </row>
    <row r="4336">
      <c r="A4336" s="1" t="s">
        <v>3302</v>
      </c>
      <c r="B4336" s="3" t="str">
        <f t="shared" si="1"/>
        <v>Unavailable</v>
      </c>
      <c r="C4336" s="5">
        <v>2464.0</v>
      </c>
      <c r="D4336" s="3">
        <f>IFERROR(__xludf.DUMMYFUNCTION("IFERROR(
IF(REGEXMATCH(LOWER(O4336),""k""),
VALUE(REGEXEXTRACT(O4336,""[0-9]+""))*1000,
VALUE(REGEXEXTRACT(O4336,""[0-9]+""))
),
0
)"),0.0)</f>
        <v>0</v>
      </c>
      <c r="E4336" s="1" t="s">
        <v>11</v>
      </c>
      <c r="F4336" s="1" t="s">
        <v>20</v>
      </c>
      <c r="G4336" s="4" t="b">
        <f t="shared" si="2"/>
        <v>1</v>
      </c>
      <c r="H4336" s="1" t="str">
        <f t="shared" si="3"/>
        <v>Currently Unavailable</v>
      </c>
      <c r="I4336" s="1" t="str">
        <f t="shared" si="4"/>
        <v>No Badges</v>
      </c>
      <c r="J4336" s="3">
        <f t="shared" si="5"/>
        <v>0</v>
      </c>
    </row>
    <row r="4337">
      <c r="A4337" s="1" t="s">
        <v>3303</v>
      </c>
      <c r="B4337" s="3" t="str">
        <f t="shared" si="1"/>
        <v>Unavailable</v>
      </c>
      <c r="C4337" s="3">
        <v>972.0</v>
      </c>
      <c r="D4337" s="3">
        <f>IFERROR(__xludf.DUMMYFUNCTION("IFERROR(
IF(REGEXMATCH(LOWER(O4337),""k""),
VALUE(REGEXEXTRACT(O4337,""[0-9]+""))*1000,
VALUE(REGEXEXTRACT(O4337,""[0-9]+""))
),
0
)"),0.0)</f>
        <v>0</v>
      </c>
      <c r="E4337" s="1" t="s">
        <v>11</v>
      </c>
      <c r="F4337" s="1" t="s">
        <v>20</v>
      </c>
      <c r="G4337" s="4" t="b">
        <f t="shared" si="2"/>
        <v>1</v>
      </c>
      <c r="H4337" s="1" t="str">
        <f t="shared" si="3"/>
        <v>Currently Unavailable</v>
      </c>
      <c r="I4337" s="1" t="str">
        <f t="shared" si="4"/>
        <v>No Badges</v>
      </c>
      <c r="J4337" s="3">
        <f t="shared" si="5"/>
        <v>0</v>
      </c>
    </row>
    <row r="4338">
      <c r="A4338" s="1" t="s">
        <v>3304</v>
      </c>
      <c r="B4338" s="3" t="str">
        <f t="shared" si="1"/>
        <v>Unavailable</v>
      </c>
      <c r="C4338" s="3">
        <v>450.0</v>
      </c>
      <c r="D4338" s="3">
        <f>IFERROR(__xludf.DUMMYFUNCTION("IFERROR(
IF(REGEXMATCH(LOWER(O4338),""k""),
VALUE(REGEXEXTRACT(O4338,""[0-9]+""))*1000,
VALUE(REGEXEXTRACT(O4338,""[0-9]+""))
),
0
)"),0.0)</f>
        <v>0</v>
      </c>
      <c r="E4338" s="1" t="s">
        <v>11</v>
      </c>
      <c r="F4338" s="1" t="s">
        <v>20</v>
      </c>
      <c r="G4338" s="4" t="b">
        <f t="shared" si="2"/>
        <v>1</v>
      </c>
      <c r="H4338" s="1" t="str">
        <f t="shared" si="3"/>
        <v>Currently Unavailable</v>
      </c>
      <c r="I4338" s="1" t="str">
        <f t="shared" si="4"/>
        <v>No Badges</v>
      </c>
      <c r="J4338" s="3">
        <f t="shared" si="5"/>
        <v>0</v>
      </c>
    </row>
    <row r="4339">
      <c r="A4339" s="1" t="s">
        <v>3305</v>
      </c>
      <c r="B4339" s="3" t="str">
        <f t="shared" si="1"/>
        <v>Unavailable</v>
      </c>
      <c r="C4339" s="5">
        <v>24117.0</v>
      </c>
      <c r="D4339" s="3">
        <f>IFERROR(__xludf.DUMMYFUNCTION("IFERROR(
IF(REGEXMATCH(LOWER(O4339),""k""),
VALUE(REGEXEXTRACT(O4339,""[0-9]+""))*1000,
VALUE(REGEXEXTRACT(O4339,""[0-9]+""))
),
0
)"),0.0)</f>
        <v>0</v>
      </c>
      <c r="E4339" s="1" t="s">
        <v>11</v>
      </c>
      <c r="F4339" s="1" t="s">
        <v>20</v>
      </c>
      <c r="G4339" s="4" t="b">
        <f t="shared" si="2"/>
        <v>1</v>
      </c>
      <c r="H4339" s="1" t="str">
        <f t="shared" si="3"/>
        <v>Currently Unavailable</v>
      </c>
      <c r="I4339" s="1" t="str">
        <f t="shared" si="4"/>
        <v>No Badges</v>
      </c>
      <c r="J4339" s="3">
        <f t="shared" si="5"/>
        <v>0</v>
      </c>
    </row>
    <row r="4340">
      <c r="A4340" s="1" t="s">
        <v>3306</v>
      </c>
      <c r="B4340" s="3" t="str">
        <f t="shared" si="1"/>
        <v>Unavailable</v>
      </c>
      <c r="C4340" s="5">
        <v>6931.0</v>
      </c>
      <c r="D4340" s="3">
        <f>IFERROR(__xludf.DUMMYFUNCTION("IFERROR(
IF(REGEXMATCH(LOWER(O4340),""k""),
VALUE(REGEXEXTRACT(O4340,""[0-9]+""))*1000,
VALUE(REGEXEXTRACT(O4340,""[0-9]+""))
),
0
)"),0.0)</f>
        <v>0</v>
      </c>
      <c r="E4340" s="1" t="s">
        <v>11</v>
      </c>
      <c r="F4340" s="1" t="s">
        <v>20</v>
      </c>
      <c r="G4340" s="4" t="b">
        <f t="shared" si="2"/>
        <v>1</v>
      </c>
      <c r="H4340" s="1" t="str">
        <f t="shared" si="3"/>
        <v>Currently Unavailable</v>
      </c>
      <c r="I4340" s="1" t="str">
        <f t="shared" si="4"/>
        <v>No Badges</v>
      </c>
      <c r="J4340" s="3">
        <f t="shared" si="5"/>
        <v>0</v>
      </c>
    </row>
    <row r="4341">
      <c r="A4341" s="1" t="s">
        <v>3307</v>
      </c>
      <c r="B4341" s="3" t="str">
        <f t="shared" si="1"/>
        <v>Unavailable</v>
      </c>
      <c r="C4341" s="5">
        <v>23765.0</v>
      </c>
      <c r="D4341" s="3">
        <f>IFERROR(__xludf.DUMMYFUNCTION("IFERROR(
IF(REGEXMATCH(LOWER(O4341),""k""),
VALUE(REGEXEXTRACT(O4341,""[0-9]+""))*1000,
VALUE(REGEXEXTRACT(O4341,""[0-9]+""))
),
0
)"),0.0)</f>
        <v>0</v>
      </c>
      <c r="E4341" s="1" t="s">
        <v>11</v>
      </c>
      <c r="F4341" s="1" t="s">
        <v>20</v>
      </c>
      <c r="G4341" s="4" t="b">
        <f t="shared" si="2"/>
        <v>1</v>
      </c>
      <c r="H4341" s="1" t="str">
        <f t="shared" si="3"/>
        <v>Currently Unavailable</v>
      </c>
      <c r="I4341" s="1" t="str">
        <f t="shared" si="4"/>
        <v>No Badges</v>
      </c>
      <c r="J4341" s="3">
        <f t="shared" si="5"/>
        <v>0</v>
      </c>
    </row>
    <row r="4342">
      <c r="A4342" s="1" t="s">
        <v>3308</v>
      </c>
      <c r="B4342" s="3" t="str">
        <f t="shared" si="1"/>
        <v>Unavailable</v>
      </c>
      <c r="C4342" s="5">
        <v>11214.0</v>
      </c>
      <c r="D4342" s="3">
        <f>IFERROR(__xludf.DUMMYFUNCTION("IFERROR(
IF(REGEXMATCH(LOWER(O4342),""k""),
VALUE(REGEXEXTRACT(O4342,""[0-9]+""))*1000,
VALUE(REGEXEXTRACT(O4342,""[0-9]+""))
),
0
)"),0.0)</f>
        <v>0</v>
      </c>
      <c r="E4342" s="1" t="s">
        <v>158</v>
      </c>
      <c r="F4342" s="1" t="s">
        <v>20</v>
      </c>
      <c r="G4342" s="4" t="b">
        <f t="shared" si="2"/>
        <v>1</v>
      </c>
      <c r="H4342" s="1" t="str">
        <f t="shared" si="3"/>
        <v>Currently Unavailable</v>
      </c>
      <c r="I4342" s="1" t="str">
        <f t="shared" si="4"/>
        <v>No Badges</v>
      </c>
      <c r="J4342" s="3">
        <f t="shared" si="5"/>
        <v>0</v>
      </c>
    </row>
    <row r="4343">
      <c r="A4343" s="1" t="s">
        <v>67</v>
      </c>
      <c r="B4343" s="3" t="str">
        <f t="shared" si="1"/>
        <v>Unavailable</v>
      </c>
      <c r="C4343" s="3">
        <v>264.0</v>
      </c>
      <c r="D4343" s="3">
        <f>IFERROR(__xludf.DUMMYFUNCTION("IFERROR(
IF(REGEXMATCH(LOWER(O4343),""k""),
VALUE(REGEXEXTRACT(O4343,""[0-9]+""))*1000,
VALUE(REGEXEXTRACT(O4343,""[0-9]+""))
),
0
)"),0.0)</f>
        <v>0</v>
      </c>
      <c r="E4343" s="1" t="s">
        <v>11</v>
      </c>
      <c r="F4343" s="1" t="s">
        <v>12</v>
      </c>
      <c r="G4343" s="4" t="b">
        <f t="shared" si="2"/>
        <v>1</v>
      </c>
      <c r="H4343" s="1" t="str">
        <f t="shared" si="3"/>
        <v>Currently Unavailable</v>
      </c>
      <c r="I4343" s="1" t="str">
        <f t="shared" si="4"/>
        <v>No Badges</v>
      </c>
      <c r="J4343" s="3">
        <f t="shared" si="5"/>
        <v>0</v>
      </c>
    </row>
    <row r="4344">
      <c r="A4344" s="1" t="s">
        <v>3309</v>
      </c>
      <c r="B4344" s="3" t="str">
        <f t="shared" si="1"/>
        <v>Unavailable</v>
      </c>
      <c r="C4344" s="5">
        <v>18811.0</v>
      </c>
      <c r="D4344" s="3">
        <f>IFERROR(__xludf.DUMMYFUNCTION("IFERROR(
IF(REGEXMATCH(LOWER(O4344),""k""),
VALUE(REGEXEXTRACT(O4344,""[0-9]+""))*1000,
VALUE(REGEXEXTRACT(O4344,""[0-9]+""))
),
0
)"),0.0)</f>
        <v>0</v>
      </c>
      <c r="E4344" s="1" t="s">
        <v>11</v>
      </c>
      <c r="F4344" s="1" t="s">
        <v>20</v>
      </c>
      <c r="G4344" s="4" t="b">
        <f t="shared" si="2"/>
        <v>1</v>
      </c>
      <c r="H4344" s="1" t="str">
        <f t="shared" si="3"/>
        <v>Currently Unavailable</v>
      </c>
      <c r="I4344" s="1" t="str">
        <f t="shared" si="4"/>
        <v>No Badges</v>
      </c>
      <c r="J4344" s="3">
        <f t="shared" si="5"/>
        <v>0</v>
      </c>
    </row>
    <row r="4345">
      <c r="A4345" s="1" t="s">
        <v>701</v>
      </c>
      <c r="B4345" s="3" t="str">
        <f t="shared" si="1"/>
        <v>Unavailable</v>
      </c>
      <c r="C4345" s="3">
        <v>8.0</v>
      </c>
      <c r="D4345" s="3">
        <f>IFERROR(__xludf.DUMMYFUNCTION("IFERROR(
IF(REGEXMATCH(LOWER(O4345),""k""),
VALUE(REGEXEXTRACT(O4345,""[0-9]+""))*1000,
VALUE(REGEXEXTRACT(O4345,""[0-9]+""))
),
0
)"),0.0)</f>
        <v>0</v>
      </c>
      <c r="E4345" s="1" t="s">
        <v>11</v>
      </c>
      <c r="F4345" s="1" t="s">
        <v>12</v>
      </c>
      <c r="G4345" s="4" t="b">
        <f t="shared" si="2"/>
        <v>1</v>
      </c>
      <c r="H4345" s="1" t="str">
        <f t="shared" si="3"/>
        <v>Currently Unavailable</v>
      </c>
      <c r="I4345" s="1" t="str">
        <f t="shared" si="4"/>
        <v>No Badges</v>
      </c>
      <c r="J4345" s="3">
        <f t="shared" si="5"/>
        <v>0</v>
      </c>
    </row>
    <row r="4346">
      <c r="A4346" s="1" t="s">
        <v>3310</v>
      </c>
      <c r="B4346" s="3" t="str">
        <f t="shared" si="1"/>
        <v>Unavailable</v>
      </c>
      <c r="C4346" s="5">
        <v>237579.0</v>
      </c>
      <c r="D4346" s="3">
        <f>IFERROR(__xludf.DUMMYFUNCTION("IFERROR(
IF(REGEXMATCH(LOWER(O4346),""k""),
VALUE(REGEXEXTRACT(O4346,""[0-9]+""))*1000,
VALUE(REGEXEXTRACT(O4346,""[0-9]+""))
),
0
)"),0.0)</f>
        <v>0</v>
      </c>
      <c r="E4346" s="1" t="s">
        <v>158</v>
      </c>
      <c r="F4346" s="1" t="s">
        <v>20</v>
      </c>
      <c r="G4346" s="4" t="b">
        <f t="shared" si="2"/>
        <v>1</v>
      </c>
      <c r="H4346" s="1" t="str">
        <f t="shared" si="3"/>
        <v>Currently Unavailable</v>
      </c>
      <c r="I4346" s="1" t="str">
        <f t="shared" si="4"/>
        <v>No Badges</v>
      </c>
      <c r="J4346" s="3">
        <f t="shared" si="5"/>
        <v>0</v>
      </c>
    </row>
    <row r="4347">
      <c r="A4347" s="1" t="s">
        <v>3311</v>
      </c>
      <c r="B4347" s="3" t="str">
        <f t="shared" si="1"/>
        <v>Unavailable</v>
      </c>
      <c r="C4347" s="5">
        <v>28281.0</v>
      </c>
      <c r="D4347" s="3">
        <f>IFERROR(__xludf.DUMMYFUNCTION("IFERROR(
IF(REGEXMATCH(LOWER(O4347),""k""),
VALUE(REGEXEXTRACT(O4347,""[0-9]+""))*1000,
VALUE(REGEXEXTRACT(O4347,""[0-9]+""))
),
0
)"),0.0)</f>
        <v>0</v>
      </c>
      <c r="E4347" s="1" t="s">
        <v>11</v>
      </c>
      <c r="F4347" s="1" t="s">
        <v>20</v>
      </c>
      <c r="G4347" s="4" t="b">
        <f t="shared" si="2"/>
        <v>1</v>
      </c>
      <c r="H4347" s="1" t="str">
        <f t="shared" si="3"/>
        <v>Currently Unavailable</v>
      </c>
      <c r="I4347" s="1" t="str">
        <f t="shared" si="4"/>
        <v>No Badges</v>
      </c>
      <c r="J4347" s="3">
        <f t="shared" si="5"/>
        <v>0</v>
      </c>
    </row>
    <row r="4348">
      <c r="A4348" s="1" t="s">
        <v>3312</v>
      </c>
      <c r="B4348" s="3" t="str">
        <f t="shared" si="1"/>
        <v>Unavailable</v>
      </c>
      <c r="C4348" s="5">
        <v>59612.0</v>
      </c>
      <c r="D4348" s="3">
        <f>IFERROR(__xludf.DUMMYFUNCTION("IFERROR(
IF(REGEXMATCH(LOWER(O4348),""k""),
VALUE(REGEXEXTRACT(O4348,""[0-9]+""))*1000,
VALUE(REGEXEXTRACT(O4348,""[0-9]+""))
),
0
)"),0.0)</f>
        <v>0</v>
      </c>
      <c r="E4348" s="1" t="s">
        <v>11</v>
      </c>
      <c r="F4348" s="1" t="s">
        <v>20</v>
      </c>
      <c r="G4348" s="4" t="b">
        <f t="shared" si="2"/>
        <v>1</v>
      </c>
      <c r="H4348" s="1" t="str">
        <f t="shared" si="3"/>
        <v>Currently Unavailable</v>
      </c>
      <c r="I4348" s="1" t="str">
        <f t="shared" si="4"/>
        <v>No Badges</v>
      </c>
      <c r="J4348" s="3">
        <f t="shared" si="5"/>
        <v>0</v>
      </c>
    </row>
    <row r="4349">
      <c r="A4349" s="1" t="s">
        <v>3313</v>
      </c>
      <c r="B4349" s="3" t="str">
        <f t="shared" si="1"/>
        <v>Unavailable</v>
      </c>
      <c r="C4349" s="5">
        <v>37051.0</v>
      </c>
      <c r="D4349" s="3">
        <f>IFERROR(__xludf.DUMMYFUNCTION("IFERROR(
IF(REGEXMATCH(LOWER(O4349),""k""),
VALUE(REGEXEXTRACT(O4349,""[0-9]+""))*1000,
VALUE(REGEXEXTRACT(O4349,""[0-9]+""))
),
0
)"),0.0)</f>
        <v>0</v>
      </c>
      <c r="E4349" s="1" t="s">
        <v>11</v>
      </c>
      <c r="F4349" s="1" t="s">
        <v>20</v>
      </c>
      <c r="G4349" s="4" t="b">
        <f t="shared" si="2"/>
        <v>1</v>
      </c>
      <c r="H4349" s="1" t="str">
        <f t="shared" si="3"/>
        <v>Currently Unavailable</v>
      </c>
      <c r="I4349" s="1" t="str">
        <f t="shared" si="4"/>
        <v>No Badges</v>
      </c>
      <c r="J4349" s="3">
        <f t="shared" si="5"/>
        <v>0</v>
      </c>
    </row>
    <row r="4350">
      <c r="A4350" s="1" t="s">
        <v>3314</v>
      </c>
      <c r="B4350" s="3" t="str">
        <f t="shared" si="1"/>
        <v>Unavailable</v>
      </c>
      <c r="C4350" s="5">
        <v>17025.0</v>
      </c>
      <c r="D4350" s="3">
        <f>IFERROR(__xludf.DUMMYFUNCTION("IFERROR(
IF(REGEXMATCH(LOWER(O4350),""k""),
VALUE(REGEXEXTRACT(O4350,""[0-9]+""))*1000,
VALUE(REGEXEXTRACT(O4350,""[0-9]+""))
),
0
)"),0.0)</f>
        <v>0</v>
      </c>
      <c r="E4350" s="1" t="s">
        <v>11</v>
      </c>
      <c r="F4350" s="1" t="s">
        <v>20</v>
      </c>
      <c r="G4350" s="4" t="b">
        <f t="shared" si="2"/>
        <v>1</v>
      </c>
      <c r="H4350" s="1" t="str">
        <f t="shared" si="3"/>
        <v>Currently Unavailable</v>
      </c>
      <c r="I4350" s="1" t="str">
        <f t="shared" si="4"/>
        <v>No Badges</v>
      </c>
      <c r="J4350" s="3">
        <f t="shared" si="5"/>
        <v>0</v>
      </c>
    </row>
    <row r="4351">
      <c r="A4351" s="1" t="s">
        <v>3315</v>
      </c>
      <c r="B4351" s="3" t="str">
        <f t="shared" si="1"/>
        <v>Unavailable</v>
      </c>
      <c r="C4351" s="5">
        <v>109009.0</v>
      </c>
      <c r="D4351" s="3">
        <f>IFERROR(__xludf.DUMMYFUNCTION("IFERROR(
IF(REGEXMATCH(LOWER(O4351),""k""),
VALUE(REGEXEXTRACT(O4351,""[0-9]+""))*1000,
VALUE(REGEXEXTRACT(O4351,""[0-9]+""))
),
0
)"),0.0)</f>
        <v>0</v>
      </c>
      <c r="E4351" s="1" t="s">
        <v>11</v>
      </c>
      <c r="F4351" s="1" t="s">
        <v>20</v>
      </c>
      <c r="G4351" s="4" t="b">
        <f t="shared" si="2"/>
        <v>1</v>
      </c>
      <c r="H4351" s="1" t="str">
        <f t="shared" si="3"/>
        <v>Currently Unavailable</v>
      </c>
      <c r="I4351" s="1" t="str">
        <f t="shared" si="4"/>
        <v>No Badges</v>
      </c>
      <c r="J4351" s="3">
        <f t="shared" si="5"/>
        <v>0</v>
      </c>
    </row>
    <row r="4352">
      <c r="A4352" s="1" t="s">
        <v>3316</v>
      </c>
      <c r="B4352" s="3" t="str">
        <f t="shared" si="1"/>
        <v>Unavailable</v>
      </c>
      <c r="C4352" s="5">
        <v>67513.0</v>
      </c>
      <c r="D4352" s="3">
        <f>IFERROR(__xludf.DUMMYFUNCTION("IFERROR(
IF(REGEXMATCH(LOWER(O4352),""k""),
VALUE(REGEXEXTRACT(O4352,""[0-9]+""))*1000,
VALUE(REGEXEXTRACT(O4352,""[0-9]+""))
),
0
)"),0.0)</f>
        <v>0</v>
      </c>
      <c r="E4352" s="1" t="s">
        <v>11</v>
      </c>
      <c r="F4352" s="1" t="s">
        <v>20</v>
      </c>
      <c r="G4352" s="4" t="b">
        <f t="shared" si="2"/>
        <v>1</v>
      </c>
      <c r="H4352" s="1" t="str">
        <f t="shared" si="3"/>
        <v>Currently Unavailable</v>
      </c>
      <c r="I4352" s="1" t="str">
        <f t="shared" si="4"/>
        <v>No Badges</v>
      </c>
      <c r="J4352" s="3">
        <f t="shared" si="5"/>
        <v>0</v>
      </c>
    </row>
    <row r="4353">
      <c r="A4353" s="1" t="s">
        <v>3317</v>
      </c>
      <c r="B4353" s="3" t="str">
        <f t="shared" si="1"/>
        <v>Unavailable</v>
      </c>
      <c r="C4353" s="5">
        <v>89487.0</v>
      </c>
      <c r="D4353" s="3">
        <f>IFERROR(__xludf.DUMMYFUNCTION("IFERROR(
IF(REGEXMATCH(LOWER(O4353),""k""),
VALUE(REGEXEXTRACT(O4353,""[0-9]+""))*1000,
VALUE(REGEXEXTRACT(O4353,""[0-9]+""))
),
0
)"),0.0)</f>
        <v>0</v>
      </c>
      <c r="E4353" s="1" t="s">
        <v>158</v>
      </c>
      <c r="F4353" s="1" t="s">
        <v>20</v>
      </c>
      <c r="G4353" s="4" t="b">
        <f t="shared" si="2"/>
        <v>1</v>
      </c>
      <c r="H4353" s="1" t="str">
        <f t="shared" si="3"/>
        <v>Currently Unavailable</v>
      </c>
      <c r="I4353" s="1" t="str">
        <f t="shared" si="4"/>
        <v>No Badges</v>
      </c>
      <c r="J4353" s="3">
        <f t="shared" si="5"/>
        <v>0</v>
      </c>
    </row>
    <row r="4354">
      <c r="A4354" s="1" t="s">
        <v>3318</v>
      </c>
      <c r="B4354" s="3" t="str">
        <f t="shared" si="1"/>
        <v>Unavailable</v>
      </c>
      <c r="C4354" s="5">
        <v>129016.0</v>
      </c>
      <c r="D4354" s="3">
        <f>IFERROR(__xludf.DUMMYFUNCTION("IFERROR(
IF(REGEXMATCH(LOWER(O4354),""k""),
VALUE(REGEXEXTRACT(O4354,""[0-9]+""))*1000,
VALUE(REGEXEXTRACT(O4354,""[0-9]+""))
),
0
)"),0.0)</f>
        <v>0</v>
      </c>
      <c r="E4354" s="1" t="s">
        <v>158</v>
      </c>
      <c r="F4354" s="1" t="s">
        <v>20</v>
      </c>
      <c r="G4354" s="4" t="b">
        <f t="shared" si="2"/>
        <v>1</v>
      </c>
      <c r="H4354" s="1" t="str">
        <f t="shared" si="3"/>
        <v>Currently Unavailable</v>
      </c>
      <c r="I4354" s="1" t="str">
        <f t="shared" si="4"/>
        <v>No Badges</v>
      </c>
      <c r="J4354" s="3">
        <f t="shared" si="5"/>
        <v>0</v>
      </c>
    </row>
    <row r="4355">
      <c r="A4355" s="1" t="s">
        <v>3319</v>
      </c>
      <c r="B4355" s="3" t="str">
        <f t="shared" si="1"/>
        <v>Unavailable</v>
      </c>
      <c r="C4355" s="5">
        <v>92678.0</v>
      </c>
      <c r="D4355" s="3">
        <f>IFERROR(__xludf.DUMMYFUNCTION("IFERROR(
IF(REGEXMATCH(LOWER(O4355),""k""),
VALUE(REGEXEXTRACT(O4355,""[0-9]+""))*1000,
VALUE(REGEXEXTRACT(O4355,""[0-9]+""))
),
0
)"),0.0)</f>
        <v>0</v>
      </c>
      <c r="E4355" s="1" t="s">
        <v>11</v>
      </c>
      <c r="F4355" s="1" t="s">
        <v>20</v>
      </c>
      <c r="G4355" s="4" t="b">
        <f t="shared" si="2"/>
        <v>1</v>
      </c>
      <c r="H4355" s="1" t="str">
        <f t="shared" si="3"/>
        <v>Currently Unavailable</v>
      </c>
      <c r="I4355" s="1" t="str">
        <f t="shared" si="4"/>
        <v>No Badges</v>
      </c>
      <c r="J4355" s="3">
        <f t="shared" si="5"/>
        <v>0</v>
      </c>
    </row>
    <row r="4356">
      <c r="A4356" s="1" t="s">
        <v>3320</v>
      </c>
      <c r="B4356" s="3" t="str">
        <f t="shared" si="1"/>
        <v>Unavailable</v>
      </c>
      <c r="C4356" s="5">
        <v>3688.0</v>
      </c>
      <c r="D4356" s="3">
        <f>IFERROR(__xludf.DUMMYFUNCTION("IFERROR(
IF(REGEXMATCH(LOWER(O4356),""k""),
VALUE(REGEXEXTRACT(O4356,""[0-9]+""))*1000,
VALUE(REGEXEXTRACT(O4356,""[0-9]+""))
),
0
)"),0.0)</f>
        <v>0</v>
      </c>
      <c r="E4356" s="1" t="s">
        <v>11</v>
      </c>
      <c r="F4356" s="1" t="s">
        <v>20</v>
      </c>
      <c r="G4356" s="4" t="b">
        <f t="shared" si="2"/>
        <v>1</v>
      </c>
      <c r="H4356" s="1" t="str">
        <f t="shared" si="3"/>
        <v>Currently Unavailable</v>
      </c>
      <c r="I4356" s="1" t="str">
        <f t="shared" si="4"/>
        <v>No Badges</v>
      </c>
      <c r="J4356" s="3">
        <f t="shared" si="5"/>
        <v>0</v>
      </c>
    </row>
    <row r="4357">
      <c r="A4357" s="1" t="s">
        <v>3321</v>
      </c>
      <c r="B4357" s="3" t="str">
        <f t="shared" si="1"/>
        <v>Unavailable</v>
      </c>
      <c r="C4357" s="5">
        <v>88458.0</v>
      </c>
      <c r="D4357" s="3">
        <f>IFERROR(__xludf.DUMMYFUNCTION("IFERROR(
IF(REGEXMATCH(LOWER(O4357),""k""),
VALUE(REGEXEXTRACT(O4357,""[0-9]+""))*1000,
VALUE(REGEXEXTRACT(O4357,""[0-9]+""))
),
0
)"),0.0)</f>
        <v>0</v>
      </c>
      <c r="E4357" s="1" t="s">
        <v>11</v>
      </c>
      <c r="F4357" s="1" t="s">
        <v>20</v>
      </c>
      <c r="G4357" s="4" t="b">
        <f t="shared" si="2"/>
        <v>1</v>
      </c>
      <c r="H4357" s="1" t="str">
        <f t="shared" si="3"/>
        <v>Currently Unavailable</v>
      </c>
      <c r="I4357" s="1" t="str">
        <f t="shared" si="4"/>
        <v>No Badges</v>
      </c>
      <c r="J4357" s="3">
        <f t="shared" si="5"/>
        <v>0</v>
      </c>
    </row>
    <row r="4358">
      <c r="A4358" s="1" t="s">
        <v>3322</v>
      </c>
      <c r="B4358" s="3" t="str">
        <f t="shared" si="1"/>
        <v>Unavailable</v>
      </c>
      <c r="C4358" s="5">
        <v>19590.0</v>
      </c>
      <c r="D4358" s="3">
        <f>IFERROR(__xludf.DUMMYFUNCTION("IFERROR(
IF(REGEXMATCH(LOWER(O4358),""k""),
VALUE(REGEXEXTRACT(O4358,""[0-9]+""))*1000,
VALUE(REGEXEXTRACT(O4358,""[0-9]+""))
),
0
)"),0.0)</f>
        <v>0</v>
      </c>
      <c r="E4358" s="1" t="s">
        <v>158</v>
      </c>
      <c r="F4358" s="1" t="s">
        <v>20</v>
      </c>
      <c r="G4358" s="4" t="b">
        <f t="shared" si="2"/>
        <v>1</v>
      </c>
      <c r="H4358" s="1" t="str">
        <f t="shared" si="3"/>
        <v>Currently Unavailable</v>
      </c>
      <c r="I4358" s="1" t="str">
        <f t="shared" si="4"/>
        <v>No Badges</v>
      </c>
      <c r="J4358" s="3">
        <f t="shared" si="5"/>
        <v>0</v>
      </c>
    </row>
    <row r="4359">
      <c r="A4359" s="1" t="s">
        <v>88</v>
      </c>
      <c r="B4359" s="3" t="str">
        <f t="shared" si="1"/>
        <v>Unavailable</v>
      </c>
      <c r="C4359" s="3">
        <v>5.0</v>
      </c>
      <c r="D4359" s="3">
        <f>IFERROR(__xludf.DUMMYFUNCTION("IFERROR(
IF(REGEXMATCH(LOWER(O4359),""k""),
VALUE(REGEXEXTRACT(O4359,""[0-9]+""))*1000,
VALUE(REGEXEXTRACT(O4359,""[0-9]+""))
),
0
)"),0.0)</f>
        <v>0</v>
      </c>
      <c r="E4359" s="1" t="s">
        <v>11</v>
      </c>
      <c r="F4359" s="1" t="s">
        <v>12</v>
      </c>
      <c r="G4359" s="4" t="b">
        <f t="shared" si="2"/>
        <v>1</v>
      </c>
      <c r="H4359" s="1" t="str">
        <f t="shared" si="3"/>
        <v>Currently Unavailable</v>
      </c>
      <c r="I4359" s="1" t="str">
        <f t="shared" si="4"/>
        <v>No Badges</v>
      </c>
      <c r="J4359" s="3">
        <f t="shared" si="5"/>
        <v>0</v>
      </c>
    </row>
    <row r="4360">
      <c r="A4360" s="1" t="s">
        <v>40</v>
      </c>
      <c r="B4360" s="3" t="str">
        <f t="shared" si="1"/>
        <v>Unavailable</v>
      </c>
      <c r="C4360" s="3">
        <v>171.0</v>
      </c>
      <c r="D4360" s="3">
        <f>IFERROR(__xludf.DUMMYFUNCTION("IFERROR(
IF(REGEXMATCH(LOWER(O4360),""k""),
VALUE(REGEXEXTRACT(O4360,""[0-9]+""))*1000,
VALUE(REGEXEXTRACT(O4360,""[0-9]+""))
),
0
)"),0.0)</f>
        <v>0</v>
      </c>
      <c r="E4360" s="1" t="s">
        <v>11</v>
      </c>
      <c r="F4360" s="1" t="s">
        <v>12</v>
      </c>
      <c r="G4360" s="4" t="b">
        <f t="shared" si="2"/>
        <v>1</v>
      </c>
      <c r="H4360" s="1" t="str">
        <f t="shared" si="3"/>
        <v>Currently Unavailable</v>
      </c>
      <c r="I4360" s="1" t="str">
        <f t="shared" si="4"/>
        <v>No Badges</v>
      </c>
      <c r="J4360" s="3">
        <f t="shared" si="5"/>
        <v>0</v>
      </c>
    </row>
    <row r="4361">
      <c r="A4361" s="1" t="s">
        <v>3323</v>
      </c>
      <c r="B4361" s="3" t="str">
        <f t="shared" si="1"/>
        <v>Unavailable</v>
      </c>
      <c r="C4361" s="5">
        <v>26634.0</v>
      </c>
      <c r="D4361" s="3">
        <f>IFERROR(__xludf.DUMMYFUNCTION("IFERROR(
IF(REGEXMATCH(LOWER(O4361),""k""),
VALUE(REGEXEXTRACT(O4361,""[0-9]+""))*1000,
VALUE(REGEXEXTRACT(O4361,""[0-9]+""))
),
0
)"),0.0)</f>
        <v>0</v>
      </c>
      <c r="E4361" s="1" t="s">
        <v>11</v>
      </c>
      <c r="F4361" s="1" t="s">
        <v>20</v>
      </c>
      <c r="G4361" s="4" t="b">
        <f t="shared" si="2"/>
        <v>1</v>
      </c>
      <c r="H4361" s="1" t="str">
        <f t="shared" si="3"/>
        <v>Currently Unavailable</v>
      </c>
      <c r="I4361" s="1" t="str">
        <f t="shared" si="4"/>
        <v>No Badges</v>
      </c>
      <c r="J4361" s="3">
        <f t="shared" si="5"/>
        <v>0</v>
      </c>
    </row>
    <row r="4362">
      <c r="A4362" s="1" t="s">
        <v>3324</v>
      </c>
      <c r="B4362" s="3" t="str">
        <f t="shared" si="1"/>
        <v>Unavailable</v>
      </c>
      <c r="C4362" s="5">
        <v>5207.0</v>
      </c>
      <c r="D4362" s="3">
        <f>IFERROR(__xludf.DUMMYFUNCTION("IFERROR(
IF(REGEXMATCH(LOWER(O4362),""k""),
VALUE(REGEXEXTRACT(O4362,""[0-9]+""))*1000,
VALUE(REGEXEXTRACT(O4362,""[0-9]+""))
),
0
)"),0.0)</f>
        <v>0</v>
      </c>
      <c r="E4362" s="1" t="s">
        <v>11</v>
      </c>
      <c r="F4362" s="1" t="s">
        <v>12</v>
      </c>
      <c r="G4362" s="4" t="b">
        <f t="shared" si="2"/>
        <v>1</v>
      </c>
      <c r="H4362" s="1" t="str">
        <f t="shared" si="3"/>
        <v>Currently Unavailable</v>
      </c>
      <c r="I4362" s="1" t="str">
        <f t="shared" si="4"/>
        <v>No Badges</v>
      </c>
      <c r="J4362" s="3">
        <f t="shared" si="5"/>
        <v>0</v>
      </c>
    </row>
    <row r="4363">
      <c r="A4363" s="1" t="s">
        <v>69</v>
      </c>
      <c r="B4363" s="3" t="str">
        <f t="shared" si="1"/>
        <v>Unavailable</v>
      </c>
      <c r="C4363" s="3">
        <v>45.0</v>
      </c>
      <c r="D4363" s="3">
        <f>IFERROR(__xludf.DUMMYFUNCTION("IFERROR(
IF(REGEXMATCH(LOWER(O4363),""k""),
VALUE(REGEXEXTRACT(O4363,""[0-9]+""))*1000,
VALUE(REGEXEXTRACT(O4363,""[0-9]+""))
),
0
)"),0.0)</f>
        <v>0</v>
      </c>
      <c r="E4363" s="1" t="s">
        <v>11</v>
      </c>
      <c r="F4363" s="1" t="s">
        <v>12</v>
      </c>
      <c r="G4363" s="4" t="b">
        <f t="shared" si="2"/>
        <v>1</v>
      </c>
      <c r="H4363" s="1" t="str">
        <f t="shared" si="3"/>
        <v>Currently Unavailable</v>
      </c>
      <c r="I4363" s="1" t="str">
        <f t="shared" si="4"/>
        <v>No Badges</v>
      </c>
      <c r="J4363" s="3">
        <f t="shared" si="5"/>
        <v>0</v>
      </c>
    </row>
    <row r="4364">
      <c r="A4364" s="1" t="s">
        <v>3325</v>
      </c>
      <c r="B4364" s="3" t="str">
        <f t="shared" si="1"/>
        <v>Unavailable</v>
      </c>
      <c r="C4364" s="5">
        <v>34376.0</v>
      </c>
      <c r="D4364" s="3">
        <f>IFERROR(__xludf.DUMMYFUNCTION("IFERROR(
IF(REGEXMATCH(LOWER(O4364),""k""),
VALUE(REGEXEXTRACT(O4364,""[0-9]+""))*1000,
VALUE(REGEXEXTRACT(O4364,""[0-9]+""))
),
0
)"),0.0)</f>
        <v>0</v>
      </c>
      <c r="E4364" s="1" t="s">
        <v>11</v>
      </c>
      <c r="F4364" s="1" t="s">
        <v>20</v>
      </c>
      <c r="G4364" s="4" t="b">
        <f t="shared" si="2"/>
        <v>1</v>
      </c>
      <c r="H4364" s="1" t="str">
        <f t="shared" si="3"/>
        <v>Currently Unavailable</v>
      </c>
      <c r="I4364" s="1" t="str">
        <f t="shared" si="4"/>
        <v>No Badges</v>
      </c>
      <c r="J4364" s="3">
        <f t="shared" si="5"/>
        <v>0</v>
      </c>
    </row>
    <row r="4365">
      <c r="A4365" s="1" t="s">
        <v>3326</v>
      </c>
      <c r="B4365" s="3" t="str">
        <f t="shared" si="1"/>
        <v>Unavailable</v>
      </c>
      <c r="C4365" s="5">
        <v>13367.0</v>
      </c>
      <c r="D4365" s="3">
        <f>IFERROR(__xludf.DUMMYFUNCTION("IFERROR(
IF(REGEXMATCH(LOWER(O4365),""k""),
VALUE(REGEXEXTRACT(O4365,""[0-9]+""))*1000,
VALUE(REGEXEXTRACT(O4365,""[0-9]+""))
),
0
)"),0.0)</f>
        <v>0</v>
      </c>
      <c r="E4365" s="1" t="s">
        <v>11</v>
      </c>
      <c r="F4365" s="1" t="s">
        <v>20</v>
      </c>
      <c r="G4365" s="4" t="b">
        <f t="shared" si="2"/>
        <v>1</v>
      </c>
      <c r="H4365" s="1" t="str">
        <f t="shared" si="3"/>
        <v>Currently Unavailable</v>
      </c>
      <c r="I4365" s="1" t="str">
        <f t="shared" si="4"/>
        <v>No Badges</v>
      </c>
      <c r="J4365" s="3">
        <f t="shared" si="5"/>
        <v>0</v>
      </c>
    </row>
    <row r="4366">
      <c r="A4366" s="1" t="s">
        <v>3324</v>
      </c>
      <c r="B4366" s="3" t="str">
        <f t="shared" si="1"/>
        <v>Unavailable</v>
      </c>
      <c r="C4366" s="5">
        <v>5207.0</v>
      </c>
      <c r="D4366" s="3">
        <f>IFERROR(__xludf.DUMMYFUNCTION("IFERROR(
IF(REGEXMATCH(LOWER(O4366),""k""),
VALUE(REGEXEXTRACT(O4366,""[0-9]+""))*1000,
VALUE(REGEXEXTRACT(O4366,""[0-9]+""))
),
0
)"),0.0)</f>
        <v>0</v>
      </c>
      <c r="E4366" s="1" t="s">
        <v>11</v>
      </c>
      <c r="F4366" s="1" t="s">
        <v>12</v>
      </c>
      <c r="G4366" s="4" t="b">
        <f t="shared" si="2"/>
        <v>1</v>
      </c>
      <c r="H4366" s="1" t="str">
        <f t="shared" si="3"/>
        <v>Currently Unavailable</v>
      </c>
      <c r="I4366" s="1" t="str">
        <f t="shared" si="4"/>
        <v>No Badges</v>
      </c>
      <c r="J4366" s="3">
        <f t="shared" si="5"/>
        <v>0</v>
      </c>
    </row>
    <row r="4367">
      <c r="A4367" s="1" t="s">
        <v>3324</v>
      </c>
      <c r="B4367" s="3" t="str">
        <f t="shared" si="1"/>
        <v>Unavailable</v>
      </c>
      <c r="C4367" s="5">
        <v>5207.0</v>
      </c>
      <c r="D4367" s="3">
        <f>IFERROR(__xludf.DUMMYFUNCTION("IFERROR(
IF(REGEXMATCH(LOWER(O4367),""k""),
VALUE(REGEXEXTRACT(O4367,""[0-9]+""))*1000,
VALUE(REGEXEXTRACT(O4367,""[0-9]+""))
),
0
)"),0.0)</f>
        <v>0</v>
      </c>
      <c r="E4367" s="1" t="s">
        <v>11</v>
      </c>
      <c r="F4367" s="1" t="s">
        <v>12</v>
      </c>
      <c r="G4367" s="4" t="b">
        <f t="shared" si="2"/>
        <v>1</v>
      </c>
      <c r="H4367" s="1" t="str">
        <f t="shared" si="3"/>
        <v>Currently Unavailable</v>
      </c>
      <c r="I4367" s="1" t="str">
        <f t="shared" si="4"/>
        <v>No Badges</v>
      </c>
      <c r="J4367" s="3">
        <f t="shared" si="5"/>
        <v>0</v>
      </c>
    </row>
    <row r="4368">
      <c r="A4368" s="1" t="s">
        <v>3327</v>
      </c>
      <c r="B4368" s="3" t="str">
        <f t="shared" si="1"/>
        <v>Unavailable</v>
      </c>
      <c r="C4368" s="5">
        <v>69938.0</v>
      </c>
      <c r="D4368" s="3">
        <f>IFERROR(__xludf.DUMMYFUNCTION("IFERROR(
IF(REGEXMATCH(LOWER(O4368),""k""),
VALUE(REGEXEXTRACT(O4368,""[0-9]+""))*1000,
VALUE(REGEXEXTRACT(O4368,""[0-9]+""))
),
0
)"),0.0)</f>
        <v>0</v>
      </c>
      <c r="E4368" s="1" t="s">
        <v>11</v>
      </c>
      <c r="F4368" s="1" t="s">
        <v>20</v>
      </c>
      <c r="G4368" s="4" t="b">
        <f t="shared" si="2"/>
        <v>1</v>
      </c>
      <c r="H4368" s="1" t="str">
        <f t="shared" si="3"/>
        <v>Currently Unavailable</v>
      </c>
      <c r="I4368" s="1" t="str">
        <f t="shared" si="4"/>
        <v>No Badges</v>
      </c>
      <c r="J4368" s="3">
        <f t="shared" si="5"/>
        <v>0</v>
      </c>
    </row>
    <row r="4369">
      <c r="A4369" s="1" t="s">
        <v>3304</v>
      </c>
      <c r="B4369" s="3" t="str">
        <f t="shared" si="1"/>
        <v>Unavailable</v>
      </c>
      <c r="C4369" s="3">
        <v>451.0</v>
      </c>
      <c r="D4369" s="3">
        <f>IFERROR(__xludf.DUMMYFUNCTION("IFERROR(
IF(REGEXMATCH(LOWER(O4369),""k""),
VALUE(REGEXEXTRACT(O4369,""[0-9]+""))*1000,
VALUE(REGEXEXTRACT(O4369,""[0-9]+""))
),
0
)"),0.0)</f>
        <v>0</v>
      </c>
      <c r="E4369" s="1" t="s">
        <v>11</v>
      </c>
      <c r="F4369" s="1" t="s">
        <v>12</v>
      </c>
      <c r="G4369" s="4" t="b">
        <f t="shared" si="2"/>
        <v>1</v>
      </c>
      <c r="H4369" s="1" t="str">
        <f t="shared" si="3"/>
        <v>Currently Unavailable</v>
      </c>
      <c r="I4369" s="1" t="str">
        <f t="shared" si="4"/>
        <v>No Badges</v>
      </c>
      <c r="J4369" s="3">
        <f t="shared" si="5"/>
        <v>0</v>
      </c>
    </row>
    <row r="4370">
      <c r="A4370" s="1" t="s">
        <v>3324</v>
      </c>
      <c r="B4370" s="3" t="str">
        <f t="shared" si="1"/>
        <v>Unavailable</v>
      </c>
      <c r="C4370" s="5">
        <v>5207.0</v>
      </c>
      <c r="D4370" s="3">
        <f>IFERROR(__xludf.DUMMYFUNCTION("IFERROR(
IF(REGEXMATCH(LOWER(O4370),""k""),
VALUE(REGEXEXTRACT(O4370,""[0-9]+""))*1000,
VALUE(REGEXEXTRACT(O4370,""[0-9]+""))
),
0
)"),0.0)</f>
        <v>0</v>
      </c>
      <c r="E4370" s="1" t="s">
        <v>11</v>
      </c>
      <c r="F4370" s="1" t="s">
        <v>12</v>
      </c>
      <c r="G4370" s="4" t="b">
        <f t="shared" si="2"/>
        <v>1</v>
      </c>
      <c r="H4370" s="1" t="str">
        <f t="shared" si="3"/>
        <v>Currently Unavailable</v>
      </c>
      <c r="I4370" s="1" t="str">
        <f t="shared" si="4"/>
        <v>No Badges</v>
      </c>
      <c r="J4370" s="3">
        <f t="shared" si="5"/>
        <v>0</v>
      </c>
    </row>
    <row r="4371">
      <c r="A4371" s="1" t="s">
        <v>3324</v>
      </c>
      <c r="B4371" s="3" t="str">
        <f t="shared" si="1"/>
        <v>Unavailable</v>
      </c>
      <c r="C4371" s="5">
        <v>5207.0</v>
      </c>
      <c r="D4371" s="3">
        <f>IFERROR(__xludf.DUMMYFUNCTION("IFERROR(
IF(REGEXMATCH(LOWER(O4371),""k""),
VALUE(REGEXEXTRACT(O4371,""[0-9]+""))*1000,
VALUE(REGEXEXTRACT(O4371,""[0-9]+""))
),
0
)"),0.0)</f>
        <v>0</v>
      </c>
      <c r="E4371" s="1" t="s">
        <v>11</v>
      </c>
      <c r="F4371" s="1" t="s">
        <v>12</v>
      </c>
      <c r="G4371" s="4" t="b">
        <f t="shared" si="2"/>
        <v>1</v>
      </c>
      <c r="H4371" s="1" t="str">
        <f t="shared" si="3"/>
        <v>Currently Unavailable</v>
      </c>
      <c r="I4371" s="1" t="str">
        <f t="shared" si="4"/>
        <v>No Badges</v>
      </c>
      <c r="J4371" s="3">
        <f t="shared" si="5"/>
        <v>0</v>
      </c>
    </row>
    <row r="4372">
      <c r="A4372" s="1" t="s">
        <v>3328</v>
      </c>
      <c r="B4372" s="3" t="str">
        <f t="shared" si="1"/>
        <v>Unavailable</v>
      </c>
      <c r="C4372" s="3">
        <v>327.0</v>
      </c>
      <c r="D4372" s="3">
        <f>IFERROR(__xludf.DUMMYFUNCTION("IFERROR(
IF(REGEXMATCH(LOWER(O4372),""k""),
VALUE(REGEXEXTRACT(O4372,""[0-9]+""))*1000,
VALUE(REGEXEXTRACT(O4372,""[0-9]+""))
),
0
)"),0.0)</f>
        <v>0</v>
      </c>
      <c r="E4372" s="1" t="s">
        <v>11</v>
      </c>
      <c r="F4372" s="1" t="s">
        <v>20</v>
      </c>
      <c r="G4372" s="4" t="b">
        <f t="shared" si="2"/>
        <v>1</v>
      </c>
      <c r="H4372" s="1" t="str">
        <f t="shared" si="3"/>
        <v>Currently Unavailable</v>
      </c>
      <c r="I4372" s="1" t="str">
        <f t="shared" si="4"/>
        <v>No Badges</v>
      </c>
      <c r="J4372" s="3">
        <f t="shared" si="5"/>
        <v>0</v>
      </c>
    </row>
    <row r="4373">
      <c r="A4373" s="1" t="s">
        <v>3324</v>
      </c>
      <c r="B4373" s="3" t="str">
        <f t="shared" si="1"/>
        <v>Unavailable</v>
      </c>
      <c r="C4373" s="5">
        <v>5207.0</v>
      </c>
      <c r="D4373" s="3">
        <f>IFERROR(__xludf.DUMMYFUNCTION("IFERROR(
IF(REGEXMATCH(LOWER(O4373),""k""),
VALUE(REGEXEXTRACT(O4373,""[0-9]+""))*1000,
VALUE(REGEXEXTRACT(O4373,""[0-9]+""))
),
0
)"),0.0)</f>
        <v>0</v>
      </c>
      <c r="E4373" s="1" t="s">
        <v>11</v>
      </c>
      <c r="F4373" s="1" t="s">
        <v>12</v>
      </c>
      <c r="G4373" s="4" t="b">
        <f t="shared" si="2"/>
        <v>1</v>
      </c>
      <c r="H4373" s="1" t="str">
        <f t="shared" si="3"/>
        <v>Currently Unavailable</v>
      </c>
      <c r="I4373" s="1" t="str">
        <f t="shared" si="4"/>
        <v>No Badges</v>
      </c>
      <c r="J4373" s="3">
        <f t="shared" si="5"/>
        <v>0</v>
      </c>
    </row>
    <row r="4374">
      <c r="A4374" s="1" t="s">
        <v>3324</v>
      </c>
      <c r="B4374" s="3" t="str">
        <f t="shared" si="1"/>
        <v>Unavailable</v>
      </c>
      <c r="C4374" s="5">
        <v>5207.0</v>
      </c>
      <c r="D4374" s="3">
        <f>IFERROR(__xludf.DUMMYFUNCTION("IFERROR(
IF(REGEXMATCH(LOWER(O4374),""k""),
VALUE(REGEXEXTRACT(O4374,""[0-9]+""))*1000,
VALUE(REGEXEXTRACT(O4374,""[0-9]+""))
),
0
)"),0.0)</f>
        <v>0</v>
      </c>
      <c r="E4374" s="1" t="s">
        <v>11</v>
      </c>
      <c r="F4374" s="1" t="s">
        <v>12</v>
      </c>
      <c r="G4374" s="4" t="b">
        <f t="shared" si="2"/>
        <v>1</v>
      </c>
      <c r="H4374" s="1" t="str">
        <f t="shared" si="3"/>
        <v>Currently Unavailable</v>
      </c>
      <c r="I4374" s="1" t="str">
        <f t="shared" si="4"/>
        <v>No Badges</v>
      </c>
      <c r="J4374" s="3">
        <f t="shared" si="5"/>
        <v>0</v>
      </c>
    </row>
    <row r="4375">
      <c r="A4375" s="1" t="s">
        <v>3324</v>
      </c>
      <c r="B4375" s="3" t="str">
        <f t="shared" si="1"/>
        <v>Unavailable</v>
      </c>
      <c r="C4375" s="5">
        <v>5207.0</v>
      </c>
      <c r="D4375" s="3">
        <f>IFERROR(__xludf.DUMMYFUNCTION("IFERROR(
IF(REGEXMATCH(LOWER(O4375),""k""),
VALUE(REGEXEXTRACT(O4375,""[0-9]+""))*1000,
VALUE(REGEXEXTRACT(O4375,""[0-9]+""))
),
0
)"),0.0)</f>
        <v>0</v>
      </c>
      <c r="E4375" s="1" t="s">
        <v>11</v>
      </c>
      <c r="F4375" s="1" t="s">
        <v>12</v>
      </c>
      <c r="G4375" s="4" t="b">
        <f t="shared" si="2"/>
        <v>1</v>
      </c>
      <c r="H4375" s="1" t="str">
        <f t="shared" si="3"/>
        <v>Currently Unavailable</v>
      </c>
      <c r="I4375" s="1" t="str">
        <f t="shared" si="4"/>
        <v>No Badges</v>
      </c>
      <c r="J4375" s="3">
        <f t="shared" si="5"/>
        <v>0</v>
      </c>
    </row>
    <row r="4376">
      <c r="A4376" s="1" t="s">
        <v>67</v>
      </c>
      <c r="B4376" s="3" t="str">
        <f t="shared" si="1"/>
        <v>Unavailable</v>
      </c>
      <c r="C4376" s="3">
        <v>264.0</v>
      </c>
      <c r="D4376" s="3">
        <f>IFERROR(__xludf.DUMMYFUNCTION("IFERROR(
IF(REGEXMATCH(LOWER(O4376),""k""),
VALUE(REGEXEXTRACT(O4376,""[0-9]+""))*1000,
VALUE(REGEXEXTRACT(O4376,""[0-9]+""))
),
0
)"),0.0)</f>
        <v>0</v>
      </c>
      <c r="E4376" s="1" t="s">
        <v>11</v>
      </c>
      <c r="F4376" s="1" t="s">
        <v>12</v>
      </c>
      <c r="G4376" s="4" t="b">
        <f t="shared" si="2"/>
        <v>1</v>
      </c>
      <c r="H4376" s="1" t="str">
        <f t="shared" si="3"/>
        <v>Currently Unavailable</v>
      </c>
      <c r="I4376" s="1" t="str">
        <f t="shared" si="4"/>
        <v>No Badges</v>
      </c>
      <c r="J4376" s="3">
        <f t="shared" si="5"/>
        <v>0</v>
      </c>
    </row>
    <row r="4377">
      <c r="A4377" s="1" t="s">
        <v>3324</v>
      </c>
      <c r="B4377" s="3" t="str">
        <f t="shared" si="1"/>
        <v>Unavailable</v>
      </c>
      <c r="C4377" s="5">
        <v>5207.0</v>
      </c>
      <c r="D4377" s="3">
        <f>IFERROR(__xludf.DUMMYFUNCTION("IFERROR(
IF(REGEXMATCH(LOWER(O4377),""k""),
VALUE(REGEXEXTRACT(O4377,""[0-9]+""))*1000,
VALUE(REGEXEXTRACT(O4377,""[0-9]+""))
),
0
)"),0.0)</f>
        <v>0</v>
      </c>
      <c r="E4377" s="1" t="s">
        <v>11</v>
      </c>
      <c r="F4377" s="1" t="s">
        <v>12</v>
      </c>
      <c r="G4377" s="4" t="b">
        <f t="shared" si="2"/>
        <v>1</v>
      </c>
      <c r="H4377" s="1" t="str">
        <f t="shared" si="3"/>
        <v>Currently Unavailable</v>
      </c>
      <c r="I4377" s="1" t="str">
        <f t="shared" si="4"/>
        <v>No Badges</v>
      </c>
      <c r="J4377" s="3">
        <f t="shared" si="5"/>
        <v>0</v>
      </c>
    </row>
    <row r="4378">
      <c r="A4378" s="1" t="s">
        <v>701</v>
      </c>
      <c r="B4378" s="3" t="str">
        <f t="shared" si="1"/>
        <v>Unavailable</v>
      </c>
      <c r="C4378" s="3">
        <v>8.0</v>
      </c>
      <c r="D4378" s="3">
        <f>IFERROR(__xludf.DUMMYFUNCTION("IFERROR(
IF(REGEXMATCH(LOWER(O4378),""k""),
VALUE(REGEXEXTRACT(O4378,""[0-9]+""))*1000,
VALUE(REGEXEXTRACT(O4378,""[0-9]+""))
),
0
)"),0.0)</f>
        <v>0</v>
      </c>
      <c r="E4378" s="1" t="s">
        <v>11</v>
      </c>
      <c r="F4378" s="1" t="s">
        <v>12</v>
      </c>
      <c r="G4378" s="4" t="b">
        <f t="shared" si="2"/>
        <v>1</v>
      </c>
      <c r="H4378" s="1" t="str">
        <f t="shared" si="3"/>
        <v>Currently Unavailable</v>
      </c>
      <c r="I4378" s="1" t="str">
        <f t="shared" si="4"/>
        <v>No Badges</v>
      </c>
      <c r="J4378" s="3">
        <f t="shared" si="5"/>
        <v>0</v>
      </c>
    </row>
    <row r="4379">
      <c r="A4379" s="1" t="s">
        <v>3324</v>
      </c>
      <c r="B4379" s="3" t="str">
        <f t="shared" si="1"/>
        <v>Unavailable</v>
      </c>
      <c r="C4379" s="5">
        <v>5207.0</v>
      </c>
      <c r="D4379" s="3">
        <f>IFERROR(__xludf.DUMMYFUNCTION("IFERROR(
IF(REGEXMATCH(LOWER(O4379),""k""),
VALUE(REGEXEXTRACT(O4379,""[0-9]+""))*1000,
VALUE(REGEXEXTRACT(O4379,""[0-9]+""))
),
0
)"),0.0)</f>
        <v>0</v>
      </c>
      <c r="E4379" s="1" t="s">
        <v>11</v>
      </c>
      <c r="F4379" s="1" t="s">
        <v>12</v>
      </c>
      <c r="G4379" s="4" t="b">
        <f t="shared" si="2"/>
        <v>1</v>
      </c>
      <c r="H4379" s="1" t="str">
        <f t="shared" si="3"/>
        <v>Currently Unavailable</v>
      </c>
      <c r="I4379" s="1" t="str">
        <f t="shared" si="4"/>
        <v>No Badges</v>
      </c>
      <c r="J4379" s="3">
        <f t="shared" si="5"/>
        <v>0</v>
      </c>
    </row>
    <row r="4380">
      <c r="A4380" s="1" t="s">
        <v>3324</v>
      </c>
      <c r="B4380" s="3" t="str">
        <f t="shared" si="1"/>
        <v>Unavailable</v>
      </c>
      <c r="C4380" s="5">
        <v>5207.0</v>
      </c>
      <c r="D4380" s="3">
        <f>IFERROR(__xludf.DUMMYFUNCTION("IFERROR(
IF(REGEXMATCH(LOWER(O4380),""k""),
VALUE(REGEXEXTRACT(O4380,""[0-9]+""))*1000,
VALUE(REGEXEXTRACT(O4380,""[0-9]+""))
),
0
)"),0.0)</f>
        <v>0</v>
      </c>
      <c r="E4380" s="1" t="s">
        <v>11</v>
      </c>
      <c r="F4380" s="1" t="s">
        <v>12</v>
      </c>
      <c r="G4380" s="4" t="b">
        <f t="shared" si="2"/>
        <v>1</v>
      </c>
      <c r="H4380" s="1" t="str">
        <f t="shared" si="3"/>
        <v>Currently Unavailable</v>
      </c>
      <c r="I4380" s="1" t="str">
        <f t="shared" si="4"/>
        <v>No Badges</v>
      </c>
      <c r="J4380" s="3">
        <f t="shared" si="5"/>
        <v>0</v>
      </c>
    </row>
    <row r="4381">
      <c r="A4381" s="1" t="s">
        <v>3329</v>
      </c>
      <c r="B4381" s="3" t="str">
        <f t="shared" si="1"/>
        <v>Unavailable</v>
      </c>
      <c r="C4381" s="5">
        <v>14676.0</v>
      </c>
      <c r="D4381" s="3">
        <f>IFERROR(__xludf.DUMMYFUNCTION("IFERROR(
IF(REGEXMATCH(LOWER(O4381),""k""),
VALUE(REGEXEXTRACT(O4381,""[0-9]+""))*1000,
VALUE(REGEXEXTRACT(O4381,""[0-9]+""))
),
0
)"),0.0)</f>
        <v>0</v>
      </c>
      <c r="E4381" s="1" t="s">
        <v>11</v>
      </c>
      <c r="F4381" s="1" t="s">
        <v>20</v>
      </c>
      <c r="G4381" s="4" t="b">
        <f t="shared" si="2"/>
        <v>1</v>
      </c>
      <c r="H4381" s="1" t="str">
        <f t="shared" si="3"/>
        <v>Currently Unavailable</v>
      </c>
      <c r="I4381" s="1" t="str">
        <f t="shared" si="4"/>
        <v>No Badges</v>
      </c>
      <c r="J4381" s="3">
        <f t="shared" si="5"/>
        <v>0</v>
      </c>
    </row>
    <row r="4382">
      <c r="A4382" s="1" t="s">
        <v>3324</v>
      </c>
      <c r="B4382" s="3" t="str">
        <f t="shared" si="1"/>
        <v>Unavailable</v>
      </c>
      <c r="C4382" s="5">
        <v>5207.0</v>
      </c>
      <c r="D4382" s="3">
        <f>IFERROR(__xludf.DUMMYFUNCTION("IFERROR(
IF(REGEXMATCH(LOWER(O4382),""k""),
VALUE(REGEXEXTRACT(O4382,""[0-9]+""))*1000,
VALUE(REGEXEXTRACT(O4382,""[0-9]+""))
),
0
)"),0.0)</f>
        <v>0</v>
      </c>
      <c r="E4382" s="1" t="s">
        <v>11</v>
      </c>
      <c r="F4382" s="1" t="s">
        <v>12</v>
      </c>
      <c r="G4382" s="4" t="b">
        <f t="shared" si="2"/>
        <v>1</v>
      </c>
      <c r="H4382" s="1" t="str">
        <f t="shared" si="3"/>
        <v>Currently Unavailable</v>
      </c>
      <c r="I4382" s="1" t="str">
        <f t="shared" si="4"/>
        <v>No Badges</v>
      </c>
      <c r="J4382" s="3">
        <f t="shared" si="5"/>
        <v>0</v>
      </c>
    </row>
    <row r="4383">
      <c r="A4383" s="1" t="s">
        <v>3324</v>
      </c>
      <c r="B4383" s="3" t="str">
        <f t="shared" si="1"/>
        <v>Unavailable</v>
      </c>
      <c r="C4383" s="5">
        <v>5207.0</v>
      </c>
      <c r="D4383" s="3">
        <f>IFERROR(__xludf.DUMMYFUNCTION("IFERROR(
IF(REGEXMATCH(LOWER(O4383),""k""),
VALUE(REGEXEXTRACT(O4383,""[0-9]+""))*1000,
VALUE(REGEXEXTRACT(O4383,""[0-9]+""))
),
0
)"),0.0)</f>
        <v>0</v>
      </c>
      <c r="E4383" s="1" t="s">
        <v>11</v>
      </c>
      <c r="F4383" s="1" t="s">
        <v>12</v>
      </c>
      <c r="G4383" s="4" t="b">
        <f t="shared" si="2"/>
        <v>1</v>
      </c>
      <c r="H4383" s="1" t="str">
        <f t="shared" si="3"/>
        <v>Currently Unavailable</v>
      </c>
      <c r="I4383" s="1" t="str">
        <f t="shared" si="4"/>
        <v>No Badges</v>
      </c>
      <c r="J4383" s="3">
        <f t="shared" si="5"/>
        <v>0</v>
      </c>
    </row>
    <row r="4384">
      <c r="A4384" s="1" t="s">
        <v>3324</v>
      </c>
      <c r="B4384" s="3" t="str">
        <f t="shared" si="1"/>
        <v>Unavailable</v>
      </c>
      <c r="C4384" s="5">
        <v>5207.0</v>
      </c>
      <c r="D4384" s="3">
        <f>IFERROR(__xludf.DUMMYFUNCTION("IFERROR(
IF(REGEXMATCH(LOWER(O4384),""k""),
VALUE(REGEXEXTRACT(O4384,""[0-9]+""))*1000,
VALUE(REGEXEXTRACT(O4384,""[0-9]+""))
),
0
)"),0.0)</f>
        <v>0</v>
      </c>
      <c r="E4384" s="1" t="s">
        <v>11</v>
      </c>
      <c r="F4384" s="1" t="s">
        <v>12</v>
      </c>
      <c r="G4384" s="4" t="b">
        <f t="shared" si="2"/>
        <v>1</v>
      </c>
      <c r="H4384" s="1" t="str">
        <f t="shared" si="3"/>
        <v>Currently Unavailable</v>
      </c>
      <c r="I4384" s="1" t="str">
        <f t="shared" si="4"/>
        <v>No Badges</v>
      </c>
      <c r="J4384" s="3">
        <f t="shared" si="5"/>
        <v>0</v>
      </c>
    </row>
    <row r="4385">
      <c r="A4385" s="1" t="s">
        <v>3324</v>
      </c>
      <c r="B4385" s="3" t="str">
        <f t="shared" si="1"/>
        <v>Unavailable</v>
      </c>
      <c r="C4385" s="5">
        <v>5207.0</v>
      </c>
      <c r="D4385" s="3">
        <f>IFERROR(__xludf.DUMMYFUNCTION("IFERROR(
IF(REGEXMATCH(LOWER(O4385),""k""),
VALUE(REGEXEXTRACT(O4385,""[0-9]+""))*1000,
VALUE(REGEXEXTRACT(O4385,""[0-9]+""))
),
0
)"),0.0)</f>
        <v>0</v>
      </c>
      <c r="E4385" s="1" t="s">
        <v>11</v>
      </c>
      <c r="F4385" s="1" t="s">
        <v>12</v>
      </c>
      <c r="G4385" s="4" t="b">
        <f t="shared" si="2"/>
        <v>1</v>
      </c>
      <c r="H4385" s="1" t="str">
        <f t="shared" si="3"/>
        <v>Currently Unavailable</v>
      </c>
      <c r="I4385" s="1" t="str">
        <f t="shared" si="4"/>
        <v>No Badges</v>
      </c>
      <c r="J4385" s="3">
        <f t="shared" si="5"/>
        <v>0</v>
      </c>
    </row>
    <row r="4386">
      <c r="A4386" s="1" t="s">
        <v>3324</v>
      </c>
      <c r="B4386" s="3" t="str">
        <f t="shared" si="1"/>
        <v>Unavailable</v>
      </c>
      <c r="C4386" s="5">
        <v>5207.0</v>
      </c>
      <c r="D4386" s="3">
        <f>IFERROR(__xludf.DUMMYFUNCTION("IFERROR(
IF(REGEXMATCH(LOWER(O4386),""k""),
VALUE(REGEXEXTRACT(O4386,""[0-9]+""))*1000,
VALUE(REGEXEXTRACT(O4386,""[0-9]+""))
),
0
)"),0.0)</f>
        <v>0</v>
      </c>
      <c r="E4386" s="1" t="s">
        <v>11</v>
      </c>
      <c r="F4386" s="1" t="s">
        <v>12</v>
      </c>
      <c r="G4386" s="4" t="b">
        <f t="shared" si="2"/>
        <v>1</v>
      </c>
      <c r="H4386" s="1" t="str">
        <f t="shared" si="3"/>
        <v>Currently Unavailable</v>
      </c>
      <c r="I4386" s="1" t="str">
        <f t="shared" si="4"/>
        <v>No Badges</v>
      </c>
      <c r="J4386" s="3">
        <f t="shared" si="5"/>
        <v>0</v>
      </c>
    </row>
    <row r="4387">
      <c r="A4387" s="1" t="s">
        <v>3324</v>
      </c>
      <c r="B4387" s="3" t="str">
        <f t="shared" si="1"/>
        <v>Unavailable</v>
      </c>
      <c r="C4387" s="5">
        <v>5207.0</v>
      </c>
      <c r="D4387" s="3">
        <f>IFERROR(__xludf.DUMMYFUNCTION("IFERROR(
IF(REGEXMATCH(LOWER(O4387),""k""),
VALUE(REGEXEXTRACT(O4387,""[0-9]+""))*1000,
VALUE(REGEXEXTRACT(O4387,""[0-9]+""))
),
0
)"),0.0)</f>
        <v>0</v>
      </c>
      <c r="E4387" s="1" t="s">
        <v>11</v>
      </c>
      <c r="F4387" s="1" t="s">
        <v>12</v>
      </c>
      <c r="G4387" s="4" t="b">
        <f t="shared" si="2"/>
        <v>1</v>
      </c>
      <c r="H4387" s="1" t="str">
        <f t="shared" si="3"/>
        <v>Currently Unavailable</v>
      </c>
      <c r="I4387" s="1" t="str">
        <f t="shared" si="4"/>
        <v>No Badges</v>
      </c>
      <c r="J4387" s="3">
        <f t="shared" si="5"/>
        <v>0</v>
      </c>
    </row>
    <row r="4388">
      <c r="A4388" s="1" t="s">
        <v>3324</v>
      </c>
      <c r="B4388" s="3" t="str">
        <f t="shared" si="1"/>
        <v>Unavailable</v>
      </c>
      <c r="C4388" s="5">
        <v>5207.0</v>
      </c>
      <c r="D4388" s="3">
        <f>IFERROR(__xludf.DUMMYFUNCTION("IFERROR(
IF(REGEXMATCH(LOWER(O4388),""k""),
VALUE(REGEXEXTRACT(O4388,""[0-9]+""))*1000,
VALUE(REGEXEXTRACT(O4388,""[0-9]+""))
),
0
)"),0.0)</f>
        <v>0</v>
      </c>
      <c r="E4388" s="1" t="s">
        <v>11</v>
      </c>
      <c r="F4388" s="1" t="s">
        <v>12</v>
      </c>
      <c r="G4388" s="4" t="b">
        <f t="shared" si="2"/>
        <v>1</v>
      </c>
      <c r="H4388" s="1" t="str">
        <f t="shared" si="3"/>
        <v>Currently Unavailable</v>
      </c>
      <c r="I4388" s="1" t="str">
        <f t="shared" si="4"/>
        <v>No Badges</v>
      </c>
      <c r="J4388" s="3">
        <f t="shared" si="5"/>
        <v>0</v>
      </c>
    </row>
    <row r="4389">
      <c r="A4389" s="1" t="s">
        <v>3324</v>
      </c>
      <c r="B4389" s="3" t="str">
        <f t="shared" si="1"/>
        <v>Unavailable</v>
      </c>
      <c r="C4389" s="5">
        <v>5207.0</v>
      </c>
      <c r="D4389" s="3">
        <f>IFERROR(__xludf.DUMMYFUNCTION("IFERROR(
IF(REGEXMATCH(LOWER(O4389),""k""),
VALUE(REGEXEXTRACT(O4389,""[0-9]+""))*1000,
VALUE(REGEXEXTRACT(O4389,""[0-9]+""))
),
0
)"),0.0)</f>
        <v>0</v>
      </c>
      <c r="E4389" s="1" t="s">
        <v>11</v>
      </c>
      <c r="F4389" s="1" t="s">
        <v>12</v>
      </c>
      <c r="G4389" s="4" t="b">
        <f t="shared" si="2"/>
        <v>1</v>
      </c>
      <c r="H4389" s="1" t="str">
        <f t="shared" si="3"/>
        <v>Currently Unavailable</v>
      </c>
      <c r="I4389" s="1" t="str">
        <f t="shared" si="4"/>
        <v>No Badges</v>
      </c>
      <c r="J4389" s="3">
        <f t="shared" si="5"/>
        <v>0</v>
      </c>
    </row>
    <row r="4390">
      <c r="A4390" s="1" t="s">
        <v>3324</v>
      </c>
      <c r="B4390" s="3" t="str">
        <f t="shared" si="1"/>
        <v>Unavailable</v>
      </c>
      <c r="C4390" s="5">
        <v>5207.0</v>
      </c>
      <c r="D4390" s="3">
        <f>IFERROR(__xludf.DUMMYFUNCTION("IFERROR(
IF(REGEXMATCH(LOWER(O4390),""k""),
VALUE(REGEXEXTRACT(O4390,""[0-9]+""))*1000,
VALUE(REGEXEXTRACT(O4390,""[0-9]+""))
),
0
)"),0.0)</f>
        <v>0</v>
      </c>
      <c r="E4390" s="1" t="s">
        <v>11</v>
      </c>
      <c r="F4390" s="1" t="s">
        <v>12</v>
      </c>
      <c r="G4390" s="4" t="b">
        <f t="shared" si="2"/>
        <v>1</v>
      </c>
      <c r="H4390" s="1" t="str">
        <f t="shared" si="3"/>
        <v>Currently Unavailable</v>
      </c>
      <c r="I4390" s="1" t="str">
        <f t="shared" si="4"/>
        <v>No Badges</v>
      </c>
      <c r="J4390" s="3">
        <f t="shared" si="5"/>
        <v>0</v>
      </c>
    </row>
    <row r="4391">
      <c r="A4391" s="1" t="s">
        <v>3324</v>
      </c>
      <c r="B4391" s="3" t="str">
        <f t="shared" si="1"/>
        <v>Unavailable</v>
      </c>
      <c r="C4391" s="5">
        <v>5207.0</v>
      </c>
      <c r="D4391" s="3">
        <f>IFERROR(__xludf.DUMMYFUNCTION("IFERROR(
IF(REGEXMATCH(LOWER(O4391),""k""),
VALUE(REGEXEXTRACT(O4391,""[0-9]+""))*1000,
VALUE(REGEXEXTRACT(O4391,""[0-9]+""))
),
0
)"),0.0)</f>
        <v>0</v>
      </c>
      <c r="E4391" s="1" t="s">
        <v>11</v>
      </c>
      <c r="F4391" s="1" t="s">
        <v>12</v>
      </c>
      <c r="G4391" s="4" t="b">
        <f t="shared" si="2"/>
        <v>1</v>
      </c>
      <c r="H4391" s="1" t="str">
        <f t="shared" si="3"/>
        <v>Currently Unavailable</v>
      </c>
      <c r="I4391" s="1" t="str">
        <f t="shared" si="4"/>
        <v>No Badges</v>
      </c>
      <c r="J4391" s="3">
        <f t="shared" si="5"/>
        <v>0</v>
      </c>
    </row>
    <row r="4392">
      <c r="A4392" s="1" t="s">
        <v>88</v>
      </c>
      <c r="B4392" s="3" t="str">
        <f t="shared" si="1"/>
        <v>Unavailable</v>
      </c>
      <c r="C4392" s="3">
        <v>5.0</v>
      </c>
      <c r="D4392" s="3">
        <f>IFERROR(__xludf.DUMMYFUNCTION("IFERROR(
IF(REGEXMATCH(LOWER(O4392),""k""),
VALUE(REGEXEXTRACT(O4392,""[0-9]+""))*1000,
VALUE(REGEXEXTRACT(O4392,""[0-9]+""))
),
0
)"),0.0)</f>
        <v>0</v>
      </c>
      <c r="E4392" s="1" t="s">
        <v>11</v>
      </c>
      <c r="F4392" s="1" t="s">
        <v>12</v>
      </c>
      <c r="G4392" s="4" t="b">
        <f t="shared" si="2"/>
        <v>1</v>
      </c>
      <c r="H4392" s="1" t="str">
        <f t="shared" si="3"/>
        <v>Currently Unavailable</v>
      </c>
      <c r="I4392" s="1" t="str">
        <f t="shared" si="4"/>
        <v>No Badges</v>
      </c>
      <c r="J4392" s="3">
        <f t="shared" si="5"/>
        <v>0</v>
      </c>
    </row>
    <row r="4393">
      <c r="A4393" s="1" t="s">
        <v>40</v>
      </c>
      <c r="B4393" s="3" t="str">
        <f t="shared" si="1"/>
        <v>Unavailable</v>
      </c>
      <c r="C4393" s="3">
        <v>171.0</v>
      </c>
      <c r="D4393" s="3">
        <f>IFERROR(__xludf.DUMMYFUNCTION("IFERROR(
IF(REGEXMATCH(LOWER(O4393),""k""),
VALUE(REGEXEXTRACT(O4393,""[0-9]+""))*1000,
VALUE(REGEXEXTRACT(O4393,""[0-9]+""))
),
0
)"),0.0)</f>
        <v>0</v>
      </c>
      <c r="E4393" s="1" t="s">
        <v>11</v>
      </c>
      <c r="F4393" s="1" t="s">
        <v>12</v>
      </c>
      <c r="G4393" s="4" t="b">
        <f t="shared" si="2"/>
        <v>1</v>
      </c>
      <c r="H4393" s="1" t="str">
        <f t="shared" si="3"/>
        <v>Currently Unavailable</v>
      </c>
      <c r="I4393" s="1" t="str">
        <f t="shared" si="4"/>
        <v>No Badges</v>
      </c>
      <c r="J4393" s="3">
        <f t="shared" si="5"/>
        <v>0</v>
      </c>
    </row>
    <row r="4394">
      <c r="A4394" s="1" t="s">
        <v>3324</v>
      </c>
      <c r="B4394" s="3" t="str">
        <f t="shared" si="1"/>
        <v>Unavailable</v>
      </c>
      <c r="C4394" s="5">
        <v>5207.0</v>
      </c>
      <c r="D4394" s="3">
        <f>IFERROR(__xludf.DUMMYFUNCTION("IFERROR(
IF(REGEXMATCH(LOWER(O4394),""k""),
VALUE(REGEXEXTRACT(O4394,""[0-9]+""))*1000,
VALUE(REGEXEXTRACT(O4394,""[0-9]+""))
),
0
)"),0.0)</f>
        <v>0</v>
      </c>
      <c r="E4394" s="1" t="s">
        <v>11</v>
      </c>
      <c r="F4394" s="1" t="s">
        <v>12</v>
      </c>
      <c r="G4394" s="4" t="b">
        <f t="shared" si="2"/>
        <v>1</v>
      </c>
      <c r="H4394" s="1" t="str">
        <f t="shared" si="3"/>
        <v>Currently Unavailable</v>
      </c>
      <c r="I4394" s="1" t="str">
        <f t="shared" si="4"/>
        <v>No Badges</v>
      </c>
      <c r="J4394" s="3">
        <f t="shared" si="5"/>
        <v>0</v>
      </c>
    </row>
    <row r="4395">
      <c r="A4395" s="1" t="s">
        <v>3324</v>
      </c>
      <c r="B4395" s="3" t="str">
        <f t="shared" si="1"/>
        <v>Unavailable</v>
      </c>
      <c r="C4395" s="5">
        <v>5207.0</v>
      </c>
      <c r="D4395" s="3">
        <f>IFERROR(__xludf.DUMMYFUNCTION("IFERROR(
IF(REGEXMATCH(LOWER(O4395),""k""),
VALUE(REGEXEXTRACT(O4395,""[0-9]+""))*1000,
VALUE(REGEXEXTRACT(O4395,""[0-9]+""))
),
0
)"),0.0)</f>
        <v>0</v>
      </c>
      <c r="E4395" s="1" t="s">
        <v>11</v>
      </c>
      <c r="F4395" s="1" t="s">
        <v>12</v>
      </c>
      <c r="G4395" s="4" t="b">
        <f t="shared" si="2"/>
        <v>1</v>
      </c>
      <c r="H4395" s="1" t="str">
        <f t="shared" si="3"/>
        <v>Currently Unavailable</v>
      </c>
      <c r="I4395" s="1" t="str">
        <f t="shared" si="4"/>
        <v>No Badges</v>
      </c>
      <c r="J4395" s="3">
        <f t="shared" si="5"/>
        <v>0</v>
      </c>
    </row>
    <row r="4396">
      <c r="A4396" s="1" t="s">
        <v>69</v>
      </c>
      <c r="B4396" s="3" t="str">
        <f t="shared" si="1"/>
        <v>Unavailable</v>
      </c>
      <c r="C4396" s="3">
        <v>45.0</v>
      </c>
      <c r="D4396" s="3">
        <f>IFERROR(__xludf.DUMMYFUNCTION("IFERROR(
IF(REGEXMATCH(LOWER(O4396),""k""),
VALUE(REGEXEXTRACT(O4396,""[0-9]+""))*1000,
VALUE(REGEXEXTRACT(O4396,""[0-9]+""))
),
0
)"),0.0)</f>
        <v>0</v>
      </c>
      <c r="E4396" s="1" t="s">
        <v>11</v>
      </c>
      <c r="F4396" s="1" t="s">
        <v>12</v>
      </c>
      <c r="G4396" s="4" t="b">
        <f t="shared" si="2"/>
        <v>1</v>
      </c>
      <c r="H4396" s="1" t="str">
        <f t="shared" si="3"/>
        <v>Currently Unavailable</v>
      </c>
      <c r="I4396" s="1" t="str">
        <f t="shared" si="4"/>
        <v>No Badges</v>
      </c>
      <c r="J4396" s="3">
        <f t="shared" si="5"/>
        <v>0</v>
      </c>
    </row>
    <row r="4397">
      <c r="A4397" s="1" t="s">
        <v>3324</v>
      </c>
      <c r="B4397" s="3" t="str">
        <f t="shared" si="1"/>
        <v>Unavailable</v>
      </c>
      <c r="C4397" s="5">
        <v>5207.0</v>
      </c>
      <c r="D4397" s="3">
        <f>IFERROR(__xludf.DUMMYFUNCTION("IFERROR(
IF(REGEXMATCH(LOWER(O4397),""k""),
VALUE(REGEXEXTRACT(O4397,""[0-9]+""))*1000,
VALUE(REGEXEXTRACT(O4397,""[0-9]+""))
),
0
)"),0.0)</f>
        <v>0</v>
      </c>
      <c r="E4397" s="1" t="s">
        <v>11</v>
      </c>
      <c r="F4397" s="1" t="s">
        <v>12</v>
      </c>
      <c r="G4397" s="4" t="b">
        <f t="shared" si="2"/>
        <v>1</v>
      </c>
      <c r="H4397" s="1" t="str">
        <f t="shared" si="3"/>
        <v>Currently Unavailable</v>
      </c>
      <c r="I4397" s="1" t="str">
        <f t="shared" si="4"/>
        <v>No Badges</v>
      </c>
      <c r="J4397" s="3">
        <f t="shared" si="5"/>
        <v>0</v>
      </c>
    </row>
    <row r="4398">
      <c r="A4398" s="1" t="s">
        <v>3324</v>
      </c>
      <c r="B4398" s="3" t="str">
        <f t="shared" si="1"/>
        <v>Unavailable</v>
      </c>
      <c r="C4398" s="5">
        <v>5207.0</v>
      </c>
      <c r="D4398" s="3">
        <f>IFERROR(__xludf.DUMMYFUNCTION("IFERROR(
IF(REGEXMATCH(LOWER(O4398),""k""),
VALUE(REGEXEXTRACT(O4398,""[0-9]+""))*1000,
VALUE(REGEXEXTRACT(O4398,""[0-9]+""))
),
0
)"),0.0)</f>
        <v>0</v>
      </c>
      <c r="E4398" s="1" t="s">
        <v>11</v>
      </c>
      <c r="F4398" s="1" t="s">
        <v>12</v>
      </c>
      <c r="G4398" s="4" t="b">
        <f t="shared" si="2"/>
        <v>1</v>
      </c>
      <c r="H4398" s="1" t="str">
        <f t="shared" si="3"/>
        <v>Currently Unavailable</v>
      </c>
      <c r="I4398" s="1" t="str">
        <f t="shared" si="4"/>
        <v>No Badges</v>
      </c>
      <c r="J4398" s="3">
        <f t="shared" si="5"/>
        <v>0</v>
      </c>
    </row>
    <row r="4399">
      <c r="A4399" s="1" t="s">
        <v>3324</v>
      </c>
      <c r="B4399" s="3" t="str">
        <f t="shared" si="1"/>
        <v>Unavailable</v>
      </c>
      <c r="C4399" s="5">
        <v>5207.0</v>
      </c>
      <c r="D4399" s="3">
        <f>IFERROR(__xludf.DUMMYFUNCTION("IFERROR(
IF(REGEXMATCH(LOWER(O4399),""k""),
VALUE(REGEXEXTRACT(O4399,""[0-9]+""))*1000,
VALUE(REGEXEXTRACT(O4399,""[0-9]+""))
),
0
)"),0.0)</f>
        <v>0</v>
      </c>
      <c r="E4399" s="1" t="s">
        <v>11</v>
      </c>
      <c r="F4399" s="1" t="s">
        <v>12</v>
      </c>
      <c r="G4399" s="4" t="b">
        <f t="shared" si="2"/>
        <v>1</v>
      </c>
      <c r="H4399" s="1" t="str">
        <f t="shared" si="3"/>
        <v>Currently Unavailable</v>
      </c>
      <c r="I4399" s="1" t="str">
        <f t="shared" si="4"/>
        <v>No Badges</v>
      </c>
      <c r="J4399" s="3">
        <f t="shared" si="5"/>
        <v>0</v>
      </c>
    </row>
    <row r="4400">
      <c r="A4400" s="1" t="s">
        <v>3324</v>
      </c>
      <c r="B4400" s="3" t="str">
        <f t="shared" si="1"/>
        <v>Unavailable</v>
      </c>
      <c r="C4400" s="5">
        <v>5207.0</v>
      </c>
      <c r="D4400" s="3">
        <f>IFERROR(__xludf.DUMMYFUNCTION("IFERROR(
IF(REGEXMATCH(LOWER(O4400),""k""),
VALUE(REGEXEXTRACT(O4400,""[0-9]+""))*1000,
VALUE(REGEXEXTRACT(O4400,""[0-9]+""))
),
0
)"),0.0)</f>
        <v>0</v>
      </c>
      <c r="E4400" s="1" t="s">
        <v>11</v>
      </c>
      <c r="F4400" s="1" t="s">
        <v>12</v>
      </c>
      <c r="G4400" s="4" t="b">
        <f t="shared" si="2"/>
        <v>1</v>
      </c>
      <c r="H4400" s="1" t="str">
        <f t="shared" si="3"/>
        <v>Currently Unavailable</v>
      </c>
      <c r="I4400" s="1" t="str">
        <f t="shared" si="4"/>
        <v>No Badges</v>
      </c>
      <c r="J4400" s="3">
        <f t="shared" si="5"/>
        <v>0</v>
      </c>
    </row>
    <row r="4401">
      <c r="A4401" s="1" t="s">
        <v>3324</v>
      </c>
      <c r="B4401" s="3" t="str">
        <f t="shared" si="1"/>
        <v>Unavailable</v>
      </c>
      <c r="C4401" s="5">
        <v>5207.0</v>
      </c>
      <c r="D4401" s="3">
        <f>IFERROR(__xludf.DUMMYFUNCTION("IFERROR(
IF(REGEXMATCH(LOWER(O4401),""k""),
VALUE(REGEXEXTRACT(O4401,""[0-9]+""))*1000,
VALUE(REGEXEXTRACT(O4401,""[0-9]+""))
),
0
)"),0.0)</f>
        <v>0</v>
      </c>
      <c r="E4401" s="1" t="s">
        <v>11</v>
      </c>
      <c r="F4401" s="1" t="s">
        <v>12</v>
      </c>
      <c r="G4401" s="4" t="b">
        <f t="shared" si="2"/>
        <v>1</v>
      </c>
      <c r="H4401" s="1" t="str">
        <f t="shared" si="3"/>
        <v>Currently Unavailable</v>
      </c>
      <c r="I4401" s="1" t="str">
        <f t="shared" si="4"/>
        <v>No Badges</v>
      </c>
      <c r="J4401" s="3">
        <f t="shared" si="5"/>
        <v>0</v>
      </c>
    </row>
    <row r="4402">
      <c r="A4402" s="1" t="s">
        <v>3330</v>
      </c>
      <c r="B4402" s="3" t="str">
        <f t="shared" si="1"/>
        <v>Unavailable</v>
      </c>
      <c r="C4402" s="3">
        <v>583.0</v>
      </c>
      <c r="D4402" s="3">
        <f>IFERROR(__xludf.DUMMYFUNCTION("IFERROR(
IF(REGEXMATCH(LOWER(O4402),""k""),
VALUE(REGEXEXTRACT(O4402,""[0-9]+""))*1000,
VALUE(REGEXEXTRACT(O4402,""[0-9]+""))
),
0
)"),0.0)</f>
        <v>0</v>
      </c>
      <c r="E4402" s="1" t="s">
        <v>11</v>
      </c>
      <c r="F4402" s="1" t="s">
        <v>20</v>
      </c>
      <c r="G4402" s="4" t="b">
        <f t="shared" si="2"/>
        <v>1</v>
      </c>
      <c r="H4402" s="1" t="str">
        <f t="shared" si="3"/>
        <v>Currently Unavailable</v>
      </c>
      <c r="I4402" s="1" t="str">
        <f t="shared" si="4"/>
        <v>No Badges</v>
      </c>
      <c r="J4402" s="3">
        <f t="shared" si="5"/>
        <v>0</v>
      </c>
    </row>
    <row r="4403">
      <c r="A4403" s="1" t="s">
        <v>3324</v>
      </c>
      <c r="B4403" s="3" t="str">
        <f t="shared" si="1"/>
        <v>Unavailable</v>
      </c>
      <c r="C4403" s="5">
        <v>5207.0</v>
      </c>
      <c r="D4403" s="3">
        <f>IFERROR(__xludf.DUMMYFUNCTION("IFERROR(
IF(REGEXMATCH(LOWER(O4403),""k""),
VALUE(REGEXEXTRACT(O4403,""[0-9]+""))*1000,
VALUE(REGEXEXTRACT(O4403,""[0-9]+""))
),
0
)"),0.0)</f>
        <v>0</v>
      </c>
      <c r="E4403" s="1" t="s">
        <v>11</v>
      </c>
      <c r="F4403" s="1" t="s">
        <v>12</v>
      </c>
      <c r="G4403" s="4" t="b">
        <f t="shared" si="2"/>
        <v>1</v>
      </c>
      <c r="H4403" s="1" t="str">
        <f t="shared" si="3"/>
        <v>Currently Unavailable</v>
      </c>
      <c r="I4403" s="1" t="str">
        <f t="shared" si="4"/>
        <v>No Badges</v>
      </c>
      <c r="J4403" s="3">
        <f t="shared" si="5"/>
        <v>0</v>
      </c>
    </row>
    <row r="4404">
      <c r="A4404" s="1" t="s">
        <v>3324</v>
      </c>
      <c r="B4404" s="3" t="str">
        <f t="shared" si="1"/>
        <v>Unavailable</v>
      </c>
      <c r="C4404" s="5">
        <v>5207.0</v>
      </c>
      <c r="D4404" s="3">
        <f>IFERROR(__xludf.DUMMYFUNCTION("IFERROR(
IF(REGEXMATCH(LOWER(O4404),""k""),
VALUE(REGEXEXTRACT(O4404,""[0-9]+""))*1000,
VALUE(REGEXEXTRACT(O4404,""[0-9]+""))
),
0
)"),0.0)</f>
        <v>0</v>
      </c>
      <c r="E4404" s="1" t="s">
        <v>11</v>
      </c>
      <c r="F4404" s="1" t="s">
        <v>12</v>
      </c>
      <c r="G4404" s="4" t="b">
        <f t="shared" si="2"/>
        <v>1</v>
      </c>
      <c r="H4404" s="1" t="str">
        <f t="shared" si="3"/>
        <v>Currently Unavailable</v>
      </c>
      <c r="I4404" s="1" t="str">
        <f t="shared" si="4"/>
        <v>No Badges</v>
      </c>
      <c r="J4404" s="3">
        <f t="shared" si="5"/>
        <v>0</v>
      </c>
    </row>
    <row r="4405">
      <c r="A4405" s="1" t="s">
        <v>3324</v>
      </c>
      <c r="B4405" s="3" t="str">
        <f t="shared" si="1"/>
        <v>Unavailable</v>
      </c>
      <c r="C4405" s="5">
        <v>5207.0</v>
      </c>
      <c r="D4405" s="3">
        <f>IFERROR(__xludf.DUMMYFUNCTION("IFERROR(
IF(REGEXMATCH(LOWER(O4405),""k""),
VALUE(REGEXEXTRACT(O4405,""[0-9]+""))*1000,
VALUE(REGEXEXTRACT(O4405,""[0-9]+""))
),
0
)"),0.0)</f>
        <v>0</v>
      </c>
      <c r="E4405" s="1" t="s">
        <v>11</v>
      </c>
      <c r="F4405" s="1" t="s">
        <v>12</v>
      </c>
      <c r="G4405" s="4" t="b">
        <f t="shared" si="2"/>
        <v>1</v>
      </c>
      <c r="H4405" s="1" t="str">
        <f t="shared" si="3"/>
        <v>Currently Unavailable</v>
      </c>
      <c r="I4405" s="1" t="str">
        <f t="shared" si="4"/>
        <v>No Badges</v>
      </c>
      <c r="J4405" s="3">
        <f t="shared" si="5"/>
        <v>0</v>
      </c>
    </row>
    <row r="4406">
      <c r="A4406" s="1" t="s">
        <v>3324</v>
      </c>
      <c r="B4406" s="3" t="str">
        <f t="shared" si="1"/>
        <v>Unavailable</v>
      </c>
      <c r="C4406" s="5">
        <v>5207.0</v>
      </c>
      <c r="D4406" s="3">
        <f>IFERROR(__xludf.DUMMYFUNCTION("IFERROR(
IF(REGEXMATCH(LOWER(O4406),""k""),
VALUE(REGEXEXTRACT(O4406,""[0-9]+""))*1000,
VALUE(REGEXEXTRACT(O4406,""[0-9]+""))
),
0
)"),0.0)</f>
        <v>0</v>
      </c>
      <c r="E4406" s="1" t="s">
        <v>11</v>
      </c>
      <c r="F4406" s="1" t="s">
        <v>12</v>
      </c>
      <c r="G4406" s="4" t="b">
        <f t="shared" si="2"/>
        <v>1</v>
      </c>
      <c r="H4406" s="1" t="str">
        <f t="shared" si="3"/>
        <v>Currently Unavailable</v>
      </c>
      <c r="I4406" s="1" t="str">
        <f t="shared" si="4"/>
        <v>No Badges</v>
      </c>
      <c r="J4406" s="3">
        <f t="shared" si="5"/>
        <v>0</v>
      </c>
    </row>
    <row r="4407">
      <c r="A4407" s="1" t="s">
        <v>3324</v>
      </c>
      <c r="B4407" s="3" t="str">
        <f t="shared" si="1"/>
        <v>Unavailable</v>
      </c>
      <c r="C4407" s="5">
        <v>5207.0</v>
      </c>
      <c r="D4407" s="3">
        <f>IFERROR(__xludf.DUMMYFUNCTION("IFERROR(
IF(REGEXMATCH(LOWER(O4407),""k""),
VALUE(REGEXEXTRACT(O4407,""[0-9]+""))*1000,
VALUE(REGEXEXTRACT(O4407,""[0-9]+""))
),
0
)"),0.0)</f>
        <v>0</v>
      </c>
      <c r="E4407" s="1" t="s">
        <v>11</v>
      </c>
      <c r="F4407" s="1" t="s">
        <v>12</v>
      </c>
      <c r="G4407" s="4" t="b">
        <f t="shared" si="2"/>
        <v>1</v>
      </c>
      <c r="H4407" s="1" t="str">
        <f t="shared" si="3"/>
        <v>Currently Unavailable</v>
      </c>
      <c r="I4407" s="1" t="str">
        <f t="shared" si="4"/>
        <v>No Badges</v>
      </c>
      <c r="J4407" s="3">
        <f t="shared" si="5"/>
        <v>0</v>
      </c>
    </row>
    <row r="4408">
      <c r="A4408" s="1" t="s">
        <v>3324</v>
      </c>
      <c r="B4408" s="3" t="str">
        <f t="shared" si="1"/>
        <v>Unavailable</v>
      </c>
      <c r="C4408" s="5">
        <v>5207.0</v>
      </c>
      <c r="D4408" s="3">
        <f>IFERROR(__xludf.DUMMYFUNCTION("IFERROR(
IF(REGEXMATCH(LOWER(O4408),""k""),
VALUE(REGEXEXTRACT(O4408,""[0-9]+""))*1000,
VALUE(REGEXEXTRACT(O4408,""[0-9]+""))
),
0
)"),0.0)</f>
        <v>0</v>
      </c>
      <c r="E4408" s="1" t="s">
        <v>11</v>
      </c>
      <c r="F4408" s="1" t="s">
        <v>12</v>
      </c>
      <c r="G4408" s="4" t="b">
        <f t="shared" si="2"/>
        <v>1</v>
      </c>
      <c r="H4408" s="1" t="str">
        <f t="shared" si="3"/>
        <v>Currently Unavailable</v>
      </c>
      <c r="I4408" s="1" t="str">
        <f t="shared" si="4"/>
        <v>No Badges</v>
      </c>
      <c r="J4408" s="3">
        <f t="shared" si="5"/>
        <v>0</v>
      </c>
    </row>
    <row r="4409">
      <c r="A4409" s="1" t="s">
        <v>67</v>
      </c>
      <c r="B4409" s="3" t="str">
        <f t="shared" si="1"/>
        <v>Unavailable</v>
      </c>
      <c r="C4409" s="3">
        <v>264.0</v>
      </c>
      <c r="D4409" s="3">
        <f>IFERROR(__xludf.DUMMYFUNCTION("IFERROR(
IF(REGEXMATCH(LOWER(O4409),""k""),
VALUE(REGEXEXTRACT(O4409,""[0-9]+""))*1000,
VALUE(REGEXEXTRACT(O4409,""[0-9]+""))
),
0
)"),0.0)</f>
        <v>0</v>
      </c>
      <c r="E4409" s="1" t="s">
        <v>11</v>
      </c>
      <c r="F4409" s="1" t="s">
        <v>12</v>
      </c>
      <c r="G4409" s="4" t="b">
        <f t="shared" si="2"/>
        <v>1</v>
      </c>
      <c r="H4409" s="1" t="str">
        <f t="shared" si="3"/>
        <v>Currently Unavailable</v>
      </c>
      <c r="I4409" s="1" t="str">
        <f t="shared" si="4"/>
        <v>No Badges</v>
      </c>
      <c r="J4409" s="3">
        <f t="shared" si="5"/>
        <v>0</v>
      </c>
    </row>
    <row r="4410">
      <c r="A4410" s="1" t="s">
        <v>3324</v>
      </c>
      <c r="B4410" s="3" t="str">
        <f t="shared" si="1"/>
        <v>Unavailable</v>
      </c>
      <c r="C4410" s="5">
        <v>5207.0</v>
      </c>
      <c r="D4410" s="3">
        <f>IFERROR(__xludf.DUMMYFUNCTION("IFERROR(
IF(REGEXMATCH(LOWER(O4410),""k""),
VALUE(REGEXEXTRACT(O4410,""[0-9]+""))*1000,
VALUE(REGEXEXTRACT(O4410,""[0-9]+""))
),
0
)"),0.0)</f>
        <v>0</v>
      </c>
      <c r="E4410" s="1" t="s">
        <v>11</v>
      </c>
      <c r="F4410" s="1" t="s">
        <v>12</v>
      </c>
      <c r="G4410" s="4" t="b">
        <f t="shared" si="2"/>
        <v>1</v>
      </c>
      <c r="H4410" s="1" t="str">
        <f t="shared" si="3"/>
        <v>Currently Unavailable</v>
      </c>
      <c r="I4410" s="1" t="str">
        <f t="shared" si="4"/>
        <v>No Badges</v>
      </c>
      <c r="J4410" s="3">
        <f t="shared" si="5"/>
        <v>0</v>
      </c>
    </row>
    <row r="4411">
      <c r="A4411" s="1" t="s">
        <v>701</v>
      </c>
      <c r="B4411" s="3" t="str">
        <f t="shared" si="1"/>
        <v>Unavailable</v>
      </c>
      <c r="C4411" s="3">
        <v>8.0</v>
      </c>
      <c r="D4411" s="3">
        <f>IFERROR(__xludf.DUMMYFUNCTION("IFERROR(
IF(REGEXMATCH(LOWER(O4411),""k""),
VALUE(REGEXEXTRACT(O4411,""[0-9]+""))*1000,
VALUE(REGEXEXTRACT(O4411,""[0-9]+""))
),
0
)"),0.0)</f>
        <v>0</v>
      </c>
      <c r="E4411" s="1" t="s">
        <v>11</v>
      </c>
      <c r="F4411" s="1" t="s">
        <v>12</v>
      </c>
      <c r="G4411" s="4" t="b">
        <f t="shared" si="2"/>
        <v>1</v>
      </c>
      <c r="H4411" s="1" t="str">
        <f t="shared" si="3"/>
        <v>Currently Unavailable</v>
      </c>
      <c r="I4411" s="1" t="str">
        <f t="shared" si="4"/>
        <v>No Badges</v>
      </c>
      <c r="J4411" s="3">
        <f t="shared" si="5"/>
        <v>0</v>
      </c>
    </row>
    <row r="4412">
      <c r="A4412" s="1" t="s">
        <v>3324</v>
      </c>
      <c r="B4412" s="3" t="str">
        <f t="shared" si="1"/>
        <v>Unavailable</v>
      </c>
      <c r="C4412" s="5">
        <v>5207.0</v>
      </c>
      <c r="D4412" s="3">
        <f>IFERROR(__xludf.DUMMYFUNCTION("IFERROR(
IF(REGEXMATCH(LOWER(O4412),""k""),
VALUE(REGEXEXTRACT(O4412,""[0-9]+""))*1000,
VALUE(REGEXEXTRACT(O4412,""[0-9]+""))
),
0
)"),0.0)</f>
        <v>0</v>
      </c>
      <c r="E4412" s="1" t="s">
        <v>11</v>
      </c>
      <c r="F4412" s="1" t="s">
        <v>12</v>
      </c>
      <c r="G4412" s="4" t="b">
        <f t="shared" si="2"/>
        <v>1</v>
      </c>
      <c r="H4412" s="1" t="str">
        <f t="shared" si="3"/>
        <v>Currently Unavailable</v>
      </c>
      <c r="I4412" s="1" t="str">
        <f t="shared" si="4"/>
        <v>No Badges</v>
      </c>
      <c r="J4412" s="3">
        <f t="shared" si="5"/>
        <v>0</v>
      </c>
    </row>
    <row r="4413">
      <c r="A4413" s="1" t="s">
        <v>3324</v>
      </c>
      <c r="B4413" s="3" t="str">
        <f t="shared" si="1"/>
        <v>Unavailable</v>
      </c>
      <c r="C4413" s="5">
        <v>5207.0</v>
      </c>
      <c r="D4413" s="3">
        <f>IFERROR(__xludf.DUMMYFUNCTION("IFERROR(
IF(REGEXMATCH(LOWER(O4413),""k""),
VALUE(REGEXEXTRACT(O4413,""[0-9]+""))*1000,
VALUE(REGEXEXTRACT(O4413,""[0-9]+""))
),
0
)"),0.0)</f>
        <v>0</v>
      </c>
      <c r="E4413" s="1" t="s">
        <v>11</v>
      </c>
      <c r="F4413" s="1" t="s">
        <v>12</v>
      </c>
      <c r="G4413" s="4" t="b">
        <f t="shared" si="2"/>
        <v>1</v>
      </c>
      <c r="H4413" s="1" t="str">
        <f t="shared" si="3"/>
        <v>Currently Unavailable</v>
      </c>
      <c r="I4413" s="1" t="str">
        <f t="shared" si="4"/>
        <v>No Badges</v>
      </c>
      <c r="J4413" s="3">
        <f t="shared" si="5"/>
        <v>0</v>
      </c>
    </row>
    <row r="4414">
      <c r="A4414" s="1" t="s">
        <v>3324</v>
      </c>
      <c r="B4414" s="3" t="str">
        <f t="shared" si="1"/>
        <v>Unavailable</v>
      </c>
      <c r="C4414" s="5">
        <v>5207.0</v>
      </c>
      <c r="D4414" s="3">
        <f>IFERROR(__xludf.DUMMYFUNCTION("IFERROR(
IF(REGEXMATCH(LOWER(O4414),""k""),
VALUE(REGEXEXTRACT(O4414,""[0-9]+""))*1000,
VALUE(REGEXEXTRACT(O4414,""[0-9]+""))
),
0
)"),0.0)</f>
        <v>0</v>
      </c>
      <c r="E4414" s="1" t="s">
        <v>11</v>
      </c>
      <c r="F4414" s="1" t="s">
        <v>12</v>
      </c>
      <c r="G4414" s="4" t="b">
        <f t="shared" si="2"/>
        <v>1</v>
      </c>
      <c r="H4414" s="1" t="str">
        <f t="shared" si="3"/>
        <v>Currently Unavailable</v>
      </c>
      <c r="I4414" s="1" t="str">
        <f t="shared" si="4"/>
        <v>No Badges</v>
      </c>
      <c r="J4414" s="3">
        <f t="shared" si="5"/>
        <v>0</v>
      </c>
    </row>
    <row r="4415">
      <c r="A4415" s="1" t="s">
        <v>3324</v>
      </c>
      <c r="B4415" s="3" t="str">
        <f t="shared" si="1"/>
        <v>Unavailable</v>
      </c>
      <c r="C4415" s="5">
        <v>5207.0</v>
      </c>
      <c r="D4415" s="3">
        <f>IFERROR(__xludf.DUMMYFUNCTION("IFERROR(
IF(REGEXMATCH(LOWER(O4415),""k""),
VALUE(REGEXEXTRACT(O4415,""[0-9]+""))*1000,
VALUE(REGEXEXTRACT(O4415,""[0-9]+""))
),
0
)"),0.0)</f>
        <v>0</v>
      </c>
      <c r="E4415" s="1" t="s">
        <v>11</v>
      </c>
      <c r="F4415" s="1" t="s">
        <v>12</v>
      </c>
      <c r="G4415" s="4" t="b">
        <f t="shared" si="2"/>
        <v>1</v>
      </c>
      <c r="H4415" s="1" t="str">
        <f t="shared" si="3"/>
        <v>Currently Unavailable</v>
      </c>
      <c r="I4415" s="1" t="str">
        <f t="shared" si="4"/>
        <v>No Badges</v>
      </c>
      <c r="J4415" s="3">
        <f t="shared" si="5"/>
        <v>0</v>
      </c>
    </row>
    <row r="4416">
      <c r="A4416" s="1" t="s">
        <v>3324</v>
      </c>
      <c r="B4416" s="3" t="str">
        <f t="shared" si="1"/>
        <v>Unavailable</v>
      </c>
      <c r="C4416" s="5">
        <v>5207.0</v>
      </c>
      <c r="D4416" s="3">
        <f>IFERROR(__xludf.DUMMYFUNCTION("IFERROR(
IF(REGEXMATCH(LOWER(O4416),""k""),
VALUE(REGEXEXTRACT(O4416,""[0-9]+""))*1000,
VALUE(REGEXEXTRACT(O4416,""[0-9]+""))
),
0
)"),0.0)</f>
        <v>0</v>
      </c>
      <c r="E4416" s="1" t="s">
        <v>11</v>
      </c>
      <c r="F4416" s="1" t="s">
        <v>12</v>
      </c>
      <c r="G4416" s="4" t="b">
        <f t="shared" si="2"/>
        <v>1</v>
      </c>
      <c r="H4416" s="1" t="str">
        <f t="shared" si="3"/>
        <v>Currently Unavailable</v>
      </c>
      <c r="I4416" s="1" t="str">
        <f t="shared" si="4"/>
        <v>No Badges</v>
      </c>
      <c r="J4416" s="3">
        <f t="shared" si="5"/>
        <v>0</v>
      </c>
    </row>
    <row r="4417">
      <c r="A4417" s="1" t="s">
        <v>3324</v>
      </c>
      <c r="B4417" s="3" t="str">
        <f t="shared" si="1"/>
        <v>Unavailable</v>
      </c>
      <c r="C4417" s="5">
        <v>5207.0</v>
      </c>
      <c r="D4417" s="3">
        <f>IFERROR(__xludf.DUMMYFUNCTION("IFERROR(
IF(REGEXMATCH(LOWER(O4417),""k""),
VALUE(REGEXEXTRACT(O4417,""[0-9]+""))*1000,
VALUE(REGEXEXTRACT(O4417,""[0-9]+""))
),
0
)"),0.0)</f>
        <v>0</v>
      </c>
      <c r="E4417" s="1" t="s">
        <v>11</v>
      </c>
      <c r="F4417" s="1" t="s">
        <v>12</v>
      </c>
      <c r="G4417" s="4" t="b">
        <f t="shared" si="2"/>
        <v>1</v>
      </c>
      <c r="H4417" s="1" t="str">
        <f t="shared" si="3"/>
        <v>Currently Unavailable</v>
      </c>
      <c r="I4417" s="1" t="str">
        <f t="shared" si="4"/>
        <v>No Badges</v>
      </c>
      <c r="J4417" s="3">
        <f t="shared" si="5"/>
        <v>0</v>
      </c>
    </row>
    <row r="4418">
      <c r="A4418" s="1" t="s">
        <v>3324</v>
      </c>
      <c r="B4418" s="3" t="str">
        <f t="shared" si="1"/>
        <v>Unavailable</v>
      </c>
      <c r="C4418" s="5">
        <v>5207.0</v>
      </c>
      <c r="D4418" s="3">
        <f>IFERROR(__xludf.DUMMYFUNCTION("IFERROR(
IF(REGEXMATCH(LOWER(O4418),""k""),
VALUE(REGEXEXTRACT(O4418,""[0-9]+""))*1000,
VALUE(REGEXEXTRACT(O4418,""[0-9]+""))
),
0
)"),0.0)</f>
        <v>0</v>
      </c>
      <c r="E4418" s="1" t="s">
        <v>11</v>
      </c>
      <c r="F4418" s="1" t="s">
        <v>12</v>
      </c>
      <c r="G4418" s="4" t="b">
        <f t="shared" si="2"/>
        <v>1</v>
      </c>
      <c r="H4418" s="1" t="str">
        <f t="shared" si="3"/>
        <v>Currently Unavailable</v>
      </c>
      <c r="I4418" s="1" t="str">
        <f t="shared" si="4"/>
        <v>No Badges</v>
      </c>
      <c r="J4418" s="3">
        <f t="shared" si="5"/>
        <v>0</v>
      </c>
    </row>
    <row r="4419">
      <c r="A4419" s="1" t="s">
        <v>3324</v>
      </c>
      <c r="B4419" s="3" t="str">
        <f t="shared" si="1"/>
        <v>Unavailable</v>
      </c>
      <c r="C4419" s="5">
        <v>5207.0</v>
      </c>
      <c r="D4419" s="3">
        <f>IFERROR(__xludf.DUMMYFUNCTION("IFERROR(
IF(REGEXMATCH(LOWER(O4419),""k""),
VALUE(REGEXEXTRACT(O4419,""[0-9]+""))*1000,
VALUE(REGEXEXTRACT(O4419,""[0-9]+""))
),
0
)"),0.0)</f>
        <v>0</v>
      </c>
      <c r="E4419" s="1" t="s">
        <v>11</v>
      </c>
      <c r="F4419" s="1" t="s">
        <v>12</v>
      </c>
      <c r="G4419" s="4" t="b">
        <f t="shared" si="2"/>
        <v>1</v>
      </c>
      <c r="H4419" s="1" t="str">
        <f t="shared" si="3"/>
        <v>Currently Unavailable</v>
      </c>
      <c r="I4419" s="1" t="str">
        <f t="shared" si="4"/>
        <v>No Badges</v>
      </c>
      <c r="J4419" s="3">
        <f t="shared" si="5"/>
        <v>0</v>
      </c>
    </row>
    <row r="4420">
      <c r="A4420" s="1" t="s">
        <v>3324</v>
      </c>
      <c r="B4420" s="3" t="str">
        <f t="shared" si="1"/>
        <v>Unavailable</v>
      </c>
      <c r="C4420" s="5">
        <v>5207.0</v>
      </c>
      <c r="D4420" s="3">
        <f>IFERROR(__xludf.DUMMYFUNCTION("IFERROR(
IF(REGEXMATCH(LOWER(O4420),""k""),
VALUE(REGEXEXTRACT(O4420,""[0-9]+""))*1000,
VALUE(REGEXEXTRACT(O4420,""[0-9]+""))
),
0
)"),0.0)</f>
        <v>0</v>
      </c>
      <c r="E4420" s="1" t="s">
        <v>11</v>
      </c>
      <c r="F4420" s="1" t="s">
        <v>12</v>
      </c>
      <c r="G4420" s="4" t="b">
        <f t="shared" si="2"/>
        <v>1</v>
      </c>
      <c r="H4420" s="1" t="str">
        <f t="shared" si="3"/>
        <v>Currently Unavailable</v>
      </c>
      <c r="I4420" s="1" t="str">
        <f t="shared" si="4"/>
        <v>No Badges</v>
      </c>
      <c r="J4420" s="3">
        <f t="shared" si="5"/>
        <v>0</v>
      </c>
    </row>
    <row r="4421">
      <c r="A4421" s="1" t="s">
        <v>3324</v>
      </c>
      <c r="B4421" s="3" t="str">
        <f t="shared" si="1"/>
        <v>Unavailable</v>
      </c>
      <c r="C4421" s="5">
        <v>5207.0</v>
      </c>
      <c r="D4421" s="3">
        <f>IFERROR(__xludf.DUMMYFUNCTION("IFERROR(
IF(REGEXMATCH(LOWER(O4421),""k""),
VALUE(REGEXEXTRACT(O4421,""[0-9]+""))*1000,
VALUE(REGEXEXTRACT(O4421,""[0-9]+""))
),
0
)"),0.0)</f>
        <v>0</v>
      </c>
      <c r="E4421" s="1" t="s">
        <v>11</v>
      </c>
      <c r="F4421" s="1" t="s">
        <v>12</v>
      </c>
      <c r="G4421" s="4" t="b">
        <f t="shared" si="2"/>
        <v>1</v>
      </c>
      <c r="H4421" s="1" t="str">
        <f t="shared" si="3"/>
        <v>Currently Unavailable</v>
      </c>
      <c r="I4421" s="1" t="str">
        <f t="shared" si="4"/>
        <v>No Badges</v>
      </c>
      <c r="J4421" s="3">
        <f t="shared" si="5"/>
        <v>0</v>
      </c>
    </row>
    <row r="4422">
      <c r="A4422" s="1" t="s">
        <v>3324</v>
      </c>
      <c r="B4422" s="3" t="str">
        <f t="shared" si="1"/>
        <v>Unavailable</v>
      </c>
      <c r="C4422" s="5">
        <v>5207.0</v>
      </c>
      <c r="D4422" s="3">
        <f>IFERROR(__xludf.DUMMYFUNCTION("IFERROR(
IF(REGEXMATCH(LOWER(O4422),""k""),
VALUE(REGEXEXTRACT(O4422,""[0-9]+""))*1000,
VALUE(REGEXEXTRACT(O4422,""[0-9]+""))
),
0
)"),0.0)</f>
        <v>0</v>
      </c>
      <c r="E4422" s="1" t="s">
        <v>11</v>
      </c>
      <c r="F4422" s="1" t="s">
        <v>12</v>
      </c>
      <c r="G4422" s="4" t="b">
        <f t="shared" si="2"/>
        <v>1</v>
      </c>
      <c r="H4422" s="1" t="str">
        <f t="shared" si="3"/>
        <v>Currently Unavailable</v>
      </c>
      <c r="I4422" s="1" t="str">
        <f t="shared" si="4"/>
        <v>No Badges</v>
      </c>
      <c r="J4422" s="3">
        <f t="shared" si="5"/>
        <v>0</v>
      </c>
    </row>
    <row r="4423">
      <c r="A4423" s="1" t="s">
        <v>3324</v>
      </c>
      <c r="B4423" s="3" t="str">
        <f t="shared" si="1"/>
        <v>Unavailable</v>
      </c>
      <c r="C4423" s="5">
        <v>5207.0</v>
      </c>
      <c r="D4423" s="3">
        <f>IFERROR(__xludf.DUMMYFUNCTION("IFERROR(
IF(REGEXMATCH(LOWER(O4423),""k""),
VALUE(REGEXEXTRACT(O4423,""[0-9]+""))*1000,
VALUE(REGEXEXTRACT(O4423,""[0-9]+""))
),
0
)"),0.0)</f>
        <v>0</v>
      </c>
      <c r="E4423" s="1" t="s">
        <v>11</v>
      </c>
      <c r="F4423" s="1" t="s">
        <v>12</v>
      </c>
      <c r="G4423" s="4" t="b">
        <f t="shared" si="2"/>
        <v>1</v>
      </c>
      <c r="H4423" s="1" t="str">
        <f t="shared" si="3"/>
        <v>Currently Unavailable</v>
      </c>
      <c r="I4423" s="1" t="str">
        <f t="shared" si="4"/>
        <v>No Badges</v>
      </c>
      <c r="J4423" s="3">
        <f t="shared" si="5"/>
        <v>0</v>
      </c>
    </row>
    <row r="4424">
      <c r="A4424" s="1" t="s">
        <v>3324</v>
      </c>
      <c r="B4424" s="3" t="str">
        <f t="shared" si="1"/>
        <v>Unavailable</v>
      </c>
      <c r="C4424" s="5">
        <v>5207.0</v>
      </c>
      <c r="D4424" s="3">
        <f>IFERROR(__xludf.DUMMYFUNCTION("IFERROR(
IF(REGEXMATCH(LOWER(O4424),""k""),
VALUE(REGEXEXTRACT(O4424,""[0-9]+""))*1000,
VALUE(REGEXEXTRACT(O4424,""[0-9]+""))
),
0
)"),0.0)</f>
        <v>0</v>
      </c>
      <c r="E4424" s="1" t="s">
        <v>11</v>
      </c>
      <c r="F4424" s="1" t="s">
        <v>12</v>
      </c>
      <c r="G4424" s="4" t="b">
        <f t="shared" si="2"/>
        <v>1</v>
      </c>
      <c r="H4424" s="1" t="str">
        <f t="shared" si="3"/>
        <v>Currently Unavailable</v>
      </c>
      <c r="I4424" s="1" t="str">
        <f t="shared" si="4"/>
        <v>No Badges</v>
      </c>
      <c r="J4424" s="3">
        <f t="shared" si="5"/>
        <v>0</v>
      </c>
    </row>
    <row r="4425">
      <c r="A4425" s="1" t="s">
        <v>88</v>
      </c>
      <c r="B4425" s="3" t="str">
        <f t="shared" si="1"/>
        <v>Unavailable</v>
      </c>
      <c r="C4425" s="3">
        <v>5.0</v>
      </c>
      <c r="D4425" s="3">
        <f>IFERROR(__xludf.DUMMYFUNCTION("IFERROR(
IF(REGEXMATCH(LOWER(O4425),""k""),
VALUE(REGEXEXTRACT(O4425,""[0-9]+""))*1000,
VALUE(REGEXEXTRACT(O4425,""[0-9]+""))
),
0
)"),0.0)</f>
        <v>0</v>
      </c>
      <c r="E4425" s="1" t="s">
        <v>11</v>
      </c>
      <c r="F4425" s="1" t="s">
        <v>12</v>
      </c>
      <c r="G4425" s="4" t="b">
        <f t="shared" si="2"/>
        <v>1</v>
      </c>
      <c r="H4425" s="1" t="str">
        <f t="shared" si="3"/>
        <v>Currently Unavailable</v>
      </c>
      <c r="I4425" s="1" t="str">
        <f t="shared" si="4"/>
        <v>No Badges</v>
      </c>
      <c r="J4425" s="3">
        <f t="shared" si="5"/>
        <v>0</v>
      </c>
    </row>
    <row r="4426">
      <c r="A4426" s="1" t="s">
        <v>40</v>
      </c>
      <c r="B4426" s="3" t="str">
        <f t="shared" si="1"/>
        <v>Unavailable</v>
      </c>
      <c r="C4426" s="3">
        <v>171.0</v>
      </c>
      <c r="D4426" s="3">
        <f>IFERROR(__xludf.DUMMYFUNCTION("IFERROR(
IF(REGEXMATCH(LOWER(O4426),""k""),
VALUE(REGEXEXTRACT(O4426,""[0-9]+""))*1000,
VALUE(REGEXEXTRACT(O4426,""[0-9]+""))
),
0
)"),0.0)</f>
        <v>0</v>
      </c>
      <c r="E4426" s="1" t="s">
        <v>11</v>
      </c>
      <c r="F4426" s="1" t="s">
        <v>12</v>
      </c>
      <c r="G4426" s="4" t="b">
        <f t="shared" si="2"/>
        <v>1</v>
      </c>
      <c r="H4426" s="1" t="str">
        <f t="shared" si="3"/>
        <v>Currently Unavailable</v>
      </c>
      <c r="I4426" s="1" t="str">
        <f t="shared" si="4"/>
        <v>No Badges</v>
      </c>
      <c r="J4426" s="3">
        <f t="shared" si="5"/>
        <v>0</v>
      </c>
    </row>
    <row r="4427">
      <c r="A4427" s="1" t="s">
        <v>3324</v>
      </c>
      <c r="B4427" s="3" t="str">
        <f t="shared" si="1"/>
        <v>Unavailable</v>
      </c>
      <c r="C4427" s="5">
        <v>5207.0</v>
      </c>
      <c r="D4427" s="3">
        <f>IFERROR(__xludf.DUMMYFUNCTION("IFERROR(
IF(REGEXMATCH(LOWER(O4427),""k""),
VALUE(REGEXEXTRACT(O4427,""[0-9]+""))*1000,
VALUE(REGEXEXTRACT(O4427,""[0-9]+""))
),
0
)"),0.0)</f>
        <v>0</v>
      </c>
      <c r="E4427" s="1" t="s">
        <v>11</v>
      </c>
      <c r="F4427" s="1" t="s">
        <v>12</v>
      </c>
      <c r="G4427" s="4" t="b">
        <f t="shared" si="2"/>
        <v>1</v>
      </c>
      <c r="H4427" s="1" t="str">
        <f t="shared" si="3"/>
        <v>Currently Unavailable</v>
      </c>
      <c r="I4427" s="1" t="str">
        <f t="shared" si="4"/>
        <v>No Badges</v>
      </c>
      <c r="J4427" s="3">
        <f t="shared" si="5"/>
        <v>0</v>
      </c>
    </row>
    <row r="4428">
      <c r="A4428" s="1" t="s">
        <v>3324</v>
      </c>
      <c r="B4428" s="3" t="str">
        <f t="shared" si="1"/>
        <v>Unavailable</v>
      </c>
      <c r="C4428" s="5">
        <v>5207.0</v>
      </c>
      <c r="D4428" s="3">
        <f>IFERROR(__xludf.DUMMYFUNCTION("IFERROR(
IF(REGEXMATCH(LOWER(O4428),""k""),
VALUE(REGEXEXTRACT(O4428,""[0-9]+""))*1000,
VALUE(REGEXEXTRACT(O4428,""[0-9]+""))
),
0
)"),0.0)</f>
        <v>0</v>
      </c>
      <c r="E4428" s="1" t="s">
        <v>11</v>
      </c>
      <c r="F4428" s="1" t="s">
        <v>12</v>
      </c>
      <c r="G4428" s="4" t="b">
        <f t="shared" si="2"/>
        <v>1</v>
      </c>
      <c r="H4428" s="1" t="str">
        <f t="shared" si="3"/>
        <v>Currently Unavailable</v>
      </c>
      <c r="I4428" s="1" t="str">
        <f t="shared" si="4"/>
        <v>No Badges</v>
      </c>
      <c r="J4428" s="3">
        <f t="shared" si="5"/>
        <v>0</v>
      </c>
    </row>
    <row r="4429">
      <c r="A4429" s="1" t="s">
        <v>3324</v>
      </c>
      <c r="B4429" s="3" t="str">
        <f t="shared" si="1"/>
        <v>Unavailable</v>
      </c>
      <c r="C4429" s="5">
        <v>5207.0</v>
      </c>
      <c r="D4429" s="3">
        <f>IFERROR(__xludf.DUMMYFUNCTION("IFERROR(
IF(REGEXMATCH(LOWER(O4429),""k""),
VALUE(REGEXEXTRACT(O4429,""[0-9]+""))*1000,
VALUE(REGEXEXTRACT(O4429,""[0-9]+""))
),
0
)"),0.0)</f>
        <v>0</v>
      </c>
      <c r="E4429" s="1" t="s">
        <v>11</v>
      </c>
      <c r="F4429" s="1" t="s">
        <v>12</v>
      </c>
      <c r="G4429" s="4" t="b">
        <f t="shared" si="2"/>
        <v>1</v>
      </c>
      <c r="H4429" s="1" t="str">
        <f t="shared" si="3"/>
        <v>Currently Unavailable</v>
      </c>
      <c r="I4429" s="1" t="str">
        <f t="shared" si="4"/>
        <v>No Badges</v>
      </c>
      <c r="J4429" s="3">
        <f t="shared" si="5"/>
        <v>0</v>
      </c>
    </row>
    <row r="4430">
      <c r="A4430" s="1" t="s">
        <v>3324</v>
      </c>
      <c r="B4430" s="3" t="str">
        <f t="shared" si="1"/>
        <v>Unavailable</v>
      </c>
      <c r="C4430" s="5">
        <v>5207.0</v>
      </c>
      <c r="D4430" s="3">
        <f>IFERROR(__xludf.DUMMYFUNCTION("IFERROR(
IF(REGEXMATCH(LOWER(O4430),""k""),
VALUE(REGEXEXTRACT(O4430,""[0-9]+""))*1000,
VALUE(REGEXEXTRACT(O4430,""[0-9]+""))
),
0
)"),0.0)</f>
        <v>0</v>
      </c>
      <c r="E4430" s="1" t="s">
        <v>11</v>
      </c>
      <c r="F4430" s="1" t="s">
        <v>12</v>
      </c>
      <c r="G4430" s="4" t="b">
        <f t="shared" si="2"/>
        <v>1</v>
      </c>
      <c r="H4430" s="1" t="str">
        <f t="shared" si="3"/>
        <v>Currently Unavailable</v>
      </c>
      <c r="I4430" s="1" t="str">
        <f t="shared" si="4"/>
        <v>No Badges</v>
      </c>
      <c r="J4430" s="3">
        <f t="shared" si="5"/>
        <v>0</v>
      </c>
    </row>
    <row r="4431">
      <c r="A4431" s="1" t="s">
        <v>3324</v>
      </c>
      <c r="B4431" s="3" t="str">
        <f t="shared" si="1"/>
        <v>Unavailable</v>
      </c>
      <c r="C4431" s="5">
        <v>5207.0</v>
      </c>
      <c r="D4431" s="3">
        <f>IFERROR(__xludf.DUMMYFUNCTION("IFERROR(
IF(REGEXMATCH(LOWER(O4431),""k""),
VALUE(REGEXEXTRACT(O4431,""[0-9]+""))*1000,
VALUE(REGEXEXTRACT(O4431,""[0-9]+""))
),
0
)"),0.0)</f>
        <v>0</v>
      </c>
      <c r="E4431" s="1" t="s">
        <v>11</v>
      </c>
      <c r="F4431" s="1" t="s">
        <v>12</v>
      </c>
      <c r="G4431" s="4" t="b">
        <f t="shared" si="2"/>
        <v>1</v>
      </c>
      <c r="H4431" s="1" t="str">
        <f t="shared" si="3"/>
        <v>Currently Unavailable</v>
      </c>
      <c r="I4431" s="1" t="str">
        <f t="shared" si="4"/>
        <v>No Badges</v>
      </c>
      <c r="J4431" s="3">
        <f t="shared" si="5"/>
        <v>0</v>
      </c>
    </row>
    <row r="4432">
      <c r="A4432" s="1" t="s">
        <v>3324</v>
      </c>
      <c r="B4432" s="3" t="str">
        <f t="shared" si="1"/>
        <v>Unavailable</v>
      </c>
      <c r="C4432" s="5">
        <v>5207.0</v>
      </c>
      <c r="D4432" s="3">
        <f>IFERROR(__xludf.DUMMYFUNCTION("IFERROR(
IF(REGEXMATCH(LOWER(O4432),""k""),
VALUE(REGEXEXTRACT(O4432,""[0-9]+""))*1000,
VALUE(REGEXEXTRACT(O4432,""[0-9]+""))
),
0
)"),0.0)</f>
        <v>0</v>
      </c>
      <c r="E4432" s="1" t="s">
        <v>11</v>
      </c>
      <c r="F4432" s="1" t="s">
        <v>12</v>
      </c>
      <c r="G4432" s="4" t="b">
        <f t="shared" si="2"/>
        <v>1</v>
      </c>
      <c r="H4432" s="1" t="str">
        <f t="shared" si="3"/>
        <v>Currently Unavailable</v>
      </c>
      <c r="I4432" s="1" t="str">
        <f t="shared" si="4"/>
        <v>No Badges</v>
      </c>
      <c r="J4432" s="3">
        <f t="shared" si="5"/>
        <v>0</v>
      </c>
    </row>
    <row r="4433">
      <c r="A4433" s="1" t="s">
        <v>3331</v>
      </c>
      <c r="B4433" s="3" t="str">
        <f t="shared" si="1"/>
        <v>Unavailable</v>
      </c>
      <c r="C4433" s="3">
        <v>97.0</v>
      </c>
      <c r="D4433" s="3">
        <f>IFERROR(__xludf.DUMMYFUNCTION("IFERROR(
IF(REGEXMATCH(LOWER(O4433),""k""),
VALUE(REGEXEXTRACT(O4433,""[0-9]+""))*1000,
VALUE(REGEXEXTRACT(O4433,""[0-9]+""))
),
0
)"),0.0)</f>
        <v>0</v>
      </c>
      <c r="E4433" s="1" t="s">
        <v>11</v>
      </c>
      <c r="F4433" s="1" t="s">
        <v>20</v>
      </c>
      <c r="G4433" s="4" t="b">
        <f t="shared" si="2"/>
        <v>1</v>
      </c>
      <c r="H4433" s="1" t="str">
        <f t="shared" si="3"/>
        <v>Currently Unavailable</v>
      </c>
      <c r="I4433" s="1" t="str">
        <f t="shared" si="4"/>
        <v>No Badges</v>
      </c>
      <c r="J4433" s="3">
        <f t="shared" si="5"/>
        <v>0</v>
      </c>
    </row>
    <row r="4434">
      <c r="A4434" s="1" t="s">
        <v>3324</v>
      </c>
      <c r="B4434" s="3" t="str">
        <f t="shared" si="1"/>
        <v>Unavailable</v>
      </c>
      <c r="C4434" s="5">
        <v>5207.0</v>
      </c>
      <c r="D4434" s="3">
        <f>IFERROR(__xludf.DUMMYFUNCTION("IFERROR(
IF(REGEXMATCH(LOWER(O4434),""k""),
VALUE(REGEXEXTRACT(O4434,""[0-9]+""))*1000,
VALUE(REGEXEXTRACT(O4434,""[0-9]+""))
),
0
)"),0.0)</f>
        <v>0</v>
      </c>
      <c r="E4434" s="1" t="s">
        <v>11</v>
      </c>
      <c r="F4434" s="1" t="s">
        <v>12</v>
      </c>
      <c r="G4434" s="4" t="b">
        <f t="shared" si="2"/>
        <v>1</v>
      </c>
      <c r="H4434" s="1" t="str">
        <f t="shared" si="3"/>
        <v>Currently Unavailable</v>
      </c>
      <c r="I4434" s="1" t="str">
        <f t="shared" si="4"/>
        <v>No Badges</v>
      </c>
      <c r="J4434" s="3">
        <f t="shared" si="5"/>
        <v>0</v>
      </c>
    </row>
    <row r="4435">
      <c r="A4435" s="1" t="s">
        <v>3324</v>
      </c>
      <c r="B4435" s="3" t="str">
        <f t="shared" si="1"/>
        <v>Unavailable</v>
      </c>
      <c r="C4435" s="5">
        <v>5207.0</v>
      </c>
      <c r="D4435" s="3">
        <f>IFERROR(__xludf.DUMMYFUNCTION("IFERROR(
IF(REGEXMATCH(LOWER(O4435),""k""),
VALUE(REGEXEXTRACT(O4435,""[0-9]+""))*1000,
VALUE(REGEXEXTRACT(O4435,""[0-9]+""))
),
0
)"),0.0)</f>
        <v>0</v>
      </c>
      <c r="E4435" s="1" t="s">
        <v>11</v>
      </c>
      <c r="F4435" s="1" t="s">
        <v>12</v>
      </c>
      <c r="G4435" s="4" t="b">
        <f t="shared" si="2"/>
        <v>1</v>
      </c>
      <c r="H4435" s="1" t="str">
        <f t="shared" si="3"/>
        <v>Currently Unavailable</v>
      </c>
      <c r="I4435" s="1" t="str">
        <f t="shared" si="4"/>
        <v>No Badges</v>
      </c>
      <c r="J4435" s="3">
        <f t="shared" si="5"/>
        <v>0</v>
      </c>
    </row>
    <row r="4436">
      <c r="A4436" s="1" t="s">
        <v>3324</v>
      </c>
      <c r="B4436" s="3" t="str">
        <f t="shared" si="1"/>
        <v>Unavailable</v>
      </c>
      <c r="C4436" s="5">
        <v>5207.0</v>
      </c>
      <c r="D4436" s="3">
        <f>IFERROR(__xludf.DUMMYFUNCTION("IFERROR(
IF(REGEXMATCH(LOWER(O4436),""k""),
VALUE(REGEXEXTRACT(O4436,""[0-9]+""))*1000,
VALUE(REGEXEXTRACT(O4436,""[0-9]+""))
),
0
)"),0.0)</f>
        <v>0</v>
      </c>
      <c r="E4436" s="1" t="s">
        <v>11</v>
      </c>
      <c r="F4436" s="1" t="s">
        <v>12</v>
      </c>
      <c r="G4436" s="4" t="b">
        <f t="shared" si="2"/>
        <v>1</v>
      </c>
      <c r="H4436" s="1" t="str">
        <f t="shared" si="3"/>
        <v>Currently Unavailable</v>
      </c>
      <c r="I4436" s="1" t="str">
        <f t="shared" si="4"/>
        <v>No Badges</v>
      </c>
      <c r="J4436" s="3">
        <f t="shared" si="5"/>
        <v>0</v>
      </c>
    </row>
    <row r="4437">
      <c r="A4437" s="1" t="s">
        <v>3324</v>
      </c>
      <c r="B4437" s="3" t="str">
        <f t="shared" si="1"/>
        <v>Unavailable</v>
      </c>
      <c r="C4437" s="5">
        <v>5207.0</v>
      </c>
      <c r="D4437" s="3">
        <f>IFERROR(__xludf.DUMMYFUNCTION("IFERROR(
IF(REGEXMATCH(LOWER(O4437),""k""),
VALUE(REGEXEXTRACT(O4437,""[0-9]+""))*1000,
VALUE(REGEXEXTRACT(O4437,""[0-9]+""))
),
0
)"),0.0)</f>
        <v>0</v>
      </c>
      <c r="E4437" s="1" t="s">
        <v>11</v>
      </c>
      <c r="F4437" s="1" t="s">
        <v>12</v>
      </c>
      <c r="G4437" s="4" t="b">
        <f t="shared" si="2"/>
        <v>1</v>
      </c>
      <c r="H4437" s="1" t="str">
        <f t="shared" si="3"/>
        <v>Currently Unavailable</v>
      </c>
      <c r="I4437" s="1" t="str">
        <f t="shared" si="4"/>
        <v>No Badges</v>
      </c>
      <c r="J4437" s="3">
        <f t="shared" si="5"/>
        <v>0</v>
      </c>
    </row>
    <row r="4438">
      <c r="A4438" s="1" t="s">
        <v>3324</v>
      </c>
      <c r="B4438" s="3" t="str">
        <f t="shared" si="1"/>
        <v>Unavailable</v>
      </c>
      <c r="C4438" s="5">
        <v>5207.0</v>
      </c>
      <c r="D4438" s="3">
        <f>IFERROR(__xludf.DUMMYFUNCTION("IFERROR(
IF(REGEXMATCH(LOWER(O4438),""k""),
VALUE(REGEXEXTRACT(O4438,""[0-9]+""))*1000,
VALUE(REGEXEXTRACT(O4438,""[0-9]+""))
),
0
)"),0.0)</f>
        <v>0</v>
      </c>
      <c r="E4438" s="1" t="s">
        <v>11</v>
      </c>
      <c r="F4438" s="1" t="s">
        <v>12</v>
      </c>
      <c r="G4438" s="4" t="b">
        <f t="shared" si="2"/>
        <v>1</v>
      </c>
      <c r="H4438" s="1" t="str">
        <f t="shared" si="3"/>
        <v>Currently Unavailable</v>
      </c>
      <c r="I4438" s="1" t="str">
        <f t="shared" si="4"/>
        <v>No Badges</v>
      </c>
      <c r="J4438" s="3">
        <f t="shared" si="5"/>
        <v>0</v>
      </c>
    </row>
    <row r="4439">
      <c r="A4439" s="1" t="s">
        <v>3324</v>
      </c>
      <c r="B4439" s="3" t="str">
        <f t="shared" si="1"/>
        <v>Unavailable</v>
      </c>
      <c r="C4439" s="5">
        <v>5207.0</v>
      </c>
      <c r="D4439" s="3">
        <f>IFERROR(__xludf.DUMMYFUNCTION("IFERROR(
IF(REGEXMATCH(LOWER(O4439),""k""),
VALUE(REGEXEXTRACT(O4439,""[0-9]+""))*1000,
VALUE(REGEXEXTRACT(O4439,""[0-9]+""))
),
0
)"),0.0)</f>
        <v>0</v>
      </c>
      <c r="E4439" s="1" t="s">
        <v>11</v>
      </c>
      <c r="F4439" s="1" t="s">
        <v>12</v>
      </c>
      <c r="G4439" s="4" t="b">
        <f t="shared" si="2"/>
        <v>1</v>
      </c>
      <c r="H4439" s="1" t="str">
        <f t="shared" si="3"/>
        <v>Currently Unavailable</v>
      </c>
      <c r="I4439" s="1" t="str">
        <f t="shared" si="4"/>
        <v>No Badges</v>
      </c>
      <c r="J4439" s="3">
        <f t="shared" si="5"/>
        <v>0</v>
      </c>
    </row>
    <row r="4440">
      <c r="A4440" s="1" t="s">
        <v>3332</v>
      </c>
      <c r="B4440" s="3" t="str">
        <f t="shared" si="1"/>
        <v>Unavailable</v>
      </c>
      <c r="C4440" s="3">
        <v>171.0</v>
      </c>
      <c r="D4440" s="3">
        <f>IFERROR(__xludf.DUMMYFUNCTION("IFERROR(
IF(REGEXMATCH(LOWER(O4440),""k""),
VALUE(REGEXEXTRACT(O4440,""[0-9]+""))*1000,
VALUE(REGEXEXTRACT(O4440,""[0-9]+""))
),
0
)"),0.0)</f>
        <v>0</v>
      </c>
      <c r="E4440" s="1" t="s">
        <v>11</v>
      </c>
      <c r="F4440" s="1" t="s">
        <v>20</v>
      </c>
      <c r="G4440" s="4" t="b">
        <f t="shared" si="2"/>
        <v>1</v>
      </c>
      <c r="H4440" s="1" t="str">
        <f t="shared" si="3"/>
        <v>Currently Unavailable</v>
      </c>
      <c r="I4440" s="1" t="str">
        <f t="shared" si="4"/>
        <v>No Badges</v>
      </c>
      <c r="J4440" s="3">
        <f t="shared" si="5"/>
        <v>0</v>
      </c>
    </row>
    <row r="4441">
      <c r="A4441" s="1" t="s">
        <v>3324</v>
      </c>
      <c r="B4441" s="3" t="str">
        <f t="shared" si="1"/>
        <v>Unavailable</v>
      </c>
      <c r="C4441" s="5">
        <v>5207.0</v>
      </c>
      <c r="D4441" s="3">
        <f>IFERROR(__xludf.DUMMYFUNCTION("IFERROR(
IF(REGEXMATCH(LOWER(O4441),""k""),
VALUE(REGEXEXTRACT(O4441,""[0-9]+""))*1000,
VALUE(REGEXEXTRACT(O4441,""[0-9]+""))
),
0
)"),0.0)</f>
        <v>0</v>
      </c>
      <c r="E4441" s="1" t="s">
        <v>11</v>
      </c>
      <c r="F4441" s="1" t="s">
        <v>12</v>
      </c>
      <c r="G4441" s="4" t="b">
        <f t="shared" si="2"/>
        <v>1</v>
      </c>
      <c r="H4441" s="1" t="str">
        <f t="shared" si="3"/>
        <v>Currently Unavailable</v>
      </c>
      <c r="I4441" s="1" t="str">
        <f t="shared" si="4"/>
        <v>No Badges</v>
      </c>
      <c r="J4441" s="3">
        <f t="shared" si="5"/>
        <v>0</v>
      </c>
    </row>
    <row r="4442">
      <c r="A4442" s="1" t="s">
        <v>69</v>
      </c>
      <c r="B4442" s="3" t="str">
        <f t="shared" si="1"/>
        <v>Unavailable</v>
      </c>
      <c r="C4442" s="3">
        <v>45.0</v>
      </c>
      <c r="D4442" s="3">
        <f>IFERROR(__xludf.DUMMYFUNCTION("IFERROR(
IF(REGEXMATCH(LOWER(O4442),""k""),
VALUE(REGEXEXTRACT(O4442,""[0-9]+""))*1000,
VALUE(REGEXEXTRACT(O4442,""[0-9]+""))
),
0
)"),0.0)</f>
        <v>0</v>
      </c>
      <c r="E4442" s="1" t="s">
        <v>11</v>
      </c>
      <c r="F4442" s="1" t="s">
        <v>12</v>
      </c>
      <c r="G4442" s="4" t="b">
        <f t="shared" si="2"/>
        <v>1</v>
      </c>
      <c r="H4442" s="1" t="str">
        <f t="shared" si="3"/>
        <v>Currently Unavailable</v>
      </c>
      <c r="I4442" s="1" t="str">
        <f t="shared" si="4"/>
        <v>No Badges</v>
      </c>
      <c r="J4442" s="3">
        <f t="shared" si="5"/>
        <v>0</v>
      </c>
    </row>
    <row r="4443">
      <c r="A4443" s="1" t="s">
        <v>67</v>
      </c>
      <c r="B4443" s="3" t="str">
        <f t="shared" si="1"/>
        <v>Unavailable</v>
      </c>
      <c r="C4443" s="3">
        <v>264.0</v>
      </c>
      <c r="D4443" s="3">
        <f>IFERROR(__xludf.DUMMYFUNCTION("IFERROR(
IF(REGEXMATCH(LOWER(O4443),""k""),
VALUE(REGEXEXTRACT(O4443,""[0-9]+""))*1000,
VALUE(REGEXEXTRACT(O4443,""[0-9]+""))
),
0
)"),0.0)</f>
        <v>0</v>
      </c>
      <c r="E4443" s="1" t="s">
        <v>11</v>
      </c>
      <c r="F4443" s="1" t="s">
        <v>12</v>
      </c>
      <c r="G4443" s="4" t="b">
        <f t="shared" si="2"/>
        <v>1</v>
      </c>
      <c r="H4443" s="1" t="str">
        <f t="shared" si="3"/>
        <v>Currently Unavailable</v>
      </c>
      <c r="I4443" s="1" t="str">
        <f t="shared" si="4"/>
        <v>No Badges</v>
      </c>
      <c r="J4443" s="3">
        <f t="shared" si="5"/>
        <v>0</v>
      </c>
    </row>
    <row r="4444">
      <c r="A4444" s="1" t="s">
        <v>3324</v>
      </c>
      <c r="B4444" s="3" t="str">
        <f t="shared" si="1"/>
        <v>Unavailable</v>
      </c>
      <c r="C4444" s="5">
        <v>5207.0</v>
      </c>
      <c r="D4444" s="3">
        <f>IFERROR(__xludf.DUMMYFUNCTION("IFERROR(
IF(REGEXMATCH(LOWER(O4444),""k""),
VALUE(REGEXEXTRACT(O4444,""[0-9]+""))*1000,
VALUE(REGEXEXTRACT(O4444,""[0-9]+""))
),
0
)"),0.0)</f>
        <v>0</v>
      </c>
      <c r="E4444" s="1" t="s">
        <v>11</v>
      </c>
      <c r="F4444" s="1" t="s">
        <v>12</v>
      </c>
      <c r="G4444" s="4" t="b">
        <f t="shared" si="2"/>
        <v>1</v>
      </c>
      <c r="H4444" s="1" t="str">
        <f t="shared" si="3"/>
        <v>Currently Unavailable</v>
      </c>
      <c r="I4444" s="1" t="str">
        <f t="shared" si="4"/>
        <v>No Badges</v>
      </c>
      <c r="J4444" s="3">
        <f t="shared" si="5"/>
        <v>0</v>
      </c>
    </row>
    <row r="4445">
      <c r="A4445" s="1" t="s">
        <v>3324</v>
      </c>
      <c r="B4445" s="3" t="str">
        <f t="shared" si="1"/>
        <v>Unavailable</v>
      </c>
      <c r="C4445" s="5">
        <v>5207.0</v>
      </c>
      <c r="D4445" s="3">
        <f>IFERROR(__xludf.DUMMYFUNCTION("IFERROR(
IF(REGEXMATCH(LOWER(O4445),""k""),
VALUE(REGEXEXTRACT(O4445,""[0-9]+""))*1000,
VALUE(REGEXEXTRACT(O4445,""[0-9]+""))
),
0
)"),0.0)</f>
        <v>0</v>
      </c>
      <c r="E4445" s="1" t="s">
        <v>11</v>
      </c>
      <c r="F4445" s="1" t="s">
        <v>12</v>
      </c>
      <c r="G4445" s="4" t="b">
        <f t="shared" si="2"/>
        <v>1</v>
      </c>
      <c r="H4445" s="1" t="str">
        <f t="shared" si="3"/>
        <v>Currently Unavailable</v>
      </c>
      <c r="I4445" s="1" t="str">
        <f t="shared" si="4"/>
        <v>No Badges</v>
      </c>
      <c r="J4445" s="3">
        <f t="shared" si="5"/>
        <v>0</v>
      </c>
    </row>
    <row r="4446">
      <c r="A4446" s="1" t="s">
        <v>3324</v>
      </c>
      <c r="B4446" s="3" t="str">
        <f t="shared" si="1"/>
        <v>Unavailable</v>
      </c>
      <c r="C4446" s="5">
        <v>5207.0</v>
      </c>
      <c r="D4446" s="3">
        <f>IFERROR(__xludf.DUMMYFUNCTION("IFERROR(
IF(REGEXMATCH(LOWER(O4446),""k""),
VALUE(REGEXEXTRACT(O4446,""[0-9]+""))*1000,
VALUE(REGEXEXTRACT(O4446,""[0-9]+""))
),
0
)"),0.0)</f>
        <v>0</v>
      </c>
      <c r="E4446" s="1" t="s">
        <v>11</v>
      </c>
      <c r="F4446" s="1" t="s">
        <v>12</v>
      </c>
      <c r="G4446" s="4" t="b">
        <f t="shared" si="2"/>
        <v>1</v>
      </c>
      <c r="H4446" s="1" t="str">
        <f t="shared" si="3"/>
        <v>Currently Unavailable</v>
      </c>
      <c r="I4446" s="1" t="str">
        <f t="shared" si="4"/>
        <v>No Badges</v>
      </c>
      <c r="J4446" s="3">
        <f t="shared" si="5"/>
        <v>0</v>
      </c>
    </row>
    <row r="4447">
      <c r="A4447" s="1" t="s">
        <v>3324</v>
      </c>
      <c r="B4447" s="3" t="str">
        <f t="shared" si="1"/>
        <v>Unavailable</v>
      </c>
      <c r="C4447" s="5">
        <v>5207.0</v>
      </c>
      <c r="D4447" s="3">
        <f>IFERROR(__xludf.DUMMYFUNCTION("IFERROR(
IF(REGEXMATCH(LOWER(O4447),""k""),
VALUE(REGEXEXTRACT(O4447,""[0-9]+""))*1000,
VALUE(REGEXEXTRACT(O4447,""[0-9]+""))
),
0
)"),0.0)</f>
        <v>0</v>
      </c>
      <c r="E4447" s="1" t="s">
        <v>11</v>
      </c>
      <c r="F4447" s="1" t="s">
        <v>12</v>
      </c>
      <c r="G4447" s="4" t="b">
        <f t="shared" si="2"/>
        <v>1</v>
      </c>
      <c r="H4447" s="1" t="str">
        <f t="shared" si="3"/>
        <v>Currently Unavailable</v>
      </c>
      <c r="I4447" s="1" t="str">
        <f t="shared" si="4"/>
        <v>No Badges</v>
      </c>
      <c r="J4447" s="3">
        <f t="shared" si="5"/>
        <v>0</v>
      </c>
    </row>
    <row r="4448">
      <c r="A4448" s="1" t="s">
        <v>3324</v>
      </c>
      <c r="B4448" s="3" t="str">
        <f t="shared" si="1"/>
        <v>Unavailable</v>
      </c>
      <c r="C4448" s="5">
        <v>5207.0</v>
      </c>
      <c r="D4448" s="3">
        <f>IFERROR(__xludf.DUMMYFUNCTION("IFERROR(
IF(REGEXMATCH(LOWER(O4448),""k""),
VALUE(REGEXEXTRACT(O4448,""[0-9]+""))*1000,
VALUE(REGEXEXTRACT(O4448,""[0-9]+""))
),
0
)"),0.0)</f>
        <v>0</v>
      </c>
      <c r="E4448" s="1" t="s">
        <v>11</v>
      </c>
      <c r="F4448" s="1" t="s">
        <v>12</v>
      </c>
      <c r="G4448" s="4" t="b">
        <f t="shared" si="2"/>
        <v>1</v>
      </c>
      <c r="H4448" s="1" t="str">
        <f t="shared" si="3"/>
        <v>Currently Unavailable</v>
      </c>
      <c r="I4448" s="1" t="str">
        <f t="shared" si="4"/>
        <v>No Badges</v>
      </c>
      <c r="J4448" s="3">
        <f t="shared" si="5"/>
        <v>0</v>
      </c>
    </row>
    <row r="4449">
      <c r="A4449" s="1" t="s">
        <v>3324</v>
      </c>
      <c r="B4449" s="3" t="str">
        <f t="shared" si="1"/>
        <v>Unavailable</v>
      </c>
      <c r="C4449" s="5">
        <v>5207.0</v>
      </c>
      <c r="D4449" s="3">
        <f>IFERROR(__xludf.DUMMYFUNCTION("IFERROR(
IF(REGEXMATCH(LOWER(O4449),""k""),
VALUE(REGEXEXTRACT(O4449,""[0-9]+""))*1000,
VALUE(REGEXEXTRACT(O4449,""[0-9]+""))
),
0
)"),0.0)</f>
        <v>0</v>
      </c>
      <c r="E4449" s="1" t="s">
        <v>11</v>
      </c>
      <c r="F4449" s="1" t="s">
        <v>12</v>
      </c>
      <c r="G4449" s="4" t="b">
        <f t="shared" si="2"/>
        <v>1</v>
      </c>
      <c r="H4449" s="1" t="str">
        <f t="shared" si="3"/>
        <v>Currently Unavailable</v>
      </c>
      <c r="I4449" s="1" t="str">
        <f t="shared" si="4"/>
        <v>No Badges</v>
      </c>
      <c r="J4449" s="3">
        <f t="shared" si="5"/>
        <v>0</v>
      </c>
    </row>
    <row r="4450">
      <c r="A4450" s="1" t="s">
        <v>3324</v>
      </c>
      <c r="B4450" s="3" t="str">
        <f t="shared" si="1"/>
        <v>Unavailable</v>
      </c>
      <c r="C4450" s="5">
        <v>5207.0</v>
      </c>
      <c r="D4450" s="3">
        <f>IFERROR(__xludf.DUMMYFUNCTION("IFERROR(
IF(REGEXMATCH(LOWER(O4450),""k""),
VALUE(REGEXEXTRACT(O4450,""[0-9]+""))*1000,
VALUE(REGEXEXTRACT(O4450,""[0-9]+""))
),
0
)"),0.0)</f>
        <v>0</v>
      </c>
      <c r="E4450" s="1" t="s">
        <v>11</v>
      </c>
      <c r="F4450" s="1" t="s">
        <v>12</v>
      </c>
      <c r="G4450" s="4" t="b">
        <f t="shared" si="2"/>
        <v>1</v>
      </c>
      <c r="H4450" s="1" t="str">
        <f t="shared" si="3"/>
        <v>Currently Unavailable</v>
      </c>
      <c r="I4450" s="1" t="str">
        <f t="shared" si="4"/>
        <v>No Badges</v>
      </c>
      <c r="J4450" s="3">
        <f t="shared" si="5"/>
        <v>0</v>
      </c>
    </row>
    <row r="4451">
      <c r="A4451" s="1" t="s">
        <v>3324</v>
      </c>
      <c r="B4451" s="3" t="str">
        <f t="shared" si="1"/>
        <v>Unavailable</v>
      </c>
      <c r="C4451" s="5">
        <v>5207.0</v>
      </c>
      <c r="D4451" s="3">
        <f>IFERROR(__xludf.DUMMYFUNCTION("IFERROR(
IF(REGEXMATCH(LOWER(O4451),""k""),
VALUE(REGEXEXTRACT(O4451,""[0-9]+""))*1000,
VALUE(REGEXEXTRACT(O4451,""[0-9]+""))
),
0
)"),0.0)</f>
        <v>0</v>
      </c>
      <c r="E4451" s="1" t="s">
        <v>11</v>
      </c>
      <c r="F4451" s="1" t="s">
        <v>12</v>
      </c>
      <c r="G4451" s="4" t="b">
        <f t="shared" si="2"/>
        <v>1</v>
      </c>
      <c r="H4451" s="1" t="str">
        <f t="shared" si="3"/>
        <v>Currently Unavailable</v>
      </c>
      <c r="I4451" s="1" t="str">
        <f t="shared" si="4"/>
        <v>No Badges</v>
      </c>
      <c r="J4451" s="3">
        <f t="shared" si="5"/>
        <v>0</v>
      </c>
    </row>
    <row r="4452">
      <c r="A4452" s="1" t="s">
        <v>3324</v>
      </c>
      <c r="B4452" s="3" t="str">
        <f t="shared" si="1"/>
        <v>Unavailable</v>
      </c>
      <c r="C4452" s="5">
        <v>5207.0</v>
      </c>
      <c r="D4452" s="3">
        <f>IFERROR(__xludf.DUMMYFUNCTION("IFERROR(
IF(REGEXMATCH(LOWER(O4452),""k""),
VALUE(REGEXEXTRACT(O4452,""[0-9]+""))*1000,
VALUE(REGEXEXTRACT(O4452,""[0-9]+""))
),
0
)"),0.0)</f>
        <v>0</v>
      </c>
      <c r="E4452" s="1" t="s">
        <v>11</v>
      </c>
      <c r="F4452" s="1" t="s">
        <v>12</v>
      </c>
      <c r="G4452" s="4" t="b">
        <f t="shared" si="2"/>
        <v>1</v>
      </c>
      <c r="H4452" s="1" t="str">
        <f t="shared" si="3"/>
        <v>Currently Unavailable</v>
      </c>
      <c r="I4452" s="1" t="str">
        <f t="shared" si="4"/>
        <v>No Badges</v>
      </c>
      <c r="J4452" s="3">
        <f t="shared" si="5"/>
        <v>0</v>
      </c>
    </row>
    <row r="4453">
      <c r="A4453" s="1" t="s">
        <v>3324</v>
      </c>
      <c r="B4453" s="3" t="str">
        <f t="shared" si="1"/>
        <v>Unavailable</v>
      </c>
      <c r="C4453" s="5">
        <v>5207.0</v>
      </c>
      <c r="D4453" s="3">
        <f>IFERROR(__xludf.DUMMYFUNCTION("IFERROR(
IF(REGEXMATCH(LOWER(O4453),""k""),
VALUE(REGEXEXTRACT(O4453,""[0-9]+""))*1000,
VALUE(REGEXEXTRACT(O4453,""[0-9]+""))
),
0
)"),0.0)</f>
        <v>0</v>
      </c>
      <c r="E4453" s="1" t="s">
        <v>11</v>
      </c>
      <c r="F4453" s="1" t="s">
        <v>12</v>
      </c>
      <c r="G4453" s="4" t="b">
        <f t="shared" si="2"/>
        <v>1</v>
      </c>
      <c r="H4453" s="1" t="str">
        <f t="shared" si="3"/>
        <v>Currently Unavailable</v>
      </c>
      <c r="I4453" s="1" t="str">
        <f t="shared" si="4"/>
        <v>No Badges</v>
      </c>
      <c r="J4453" s="3">
        <f t="shared" si="5"/>
        <v>0</v>
      </c>
    </row>
    <row r="4454">
      <c r="A4454" s="1" t="s">
        <v>3324</v>
      </c>
      <c r="B4454" s="3" t="str">
        <f t="shared" si="1"/>
        <v>Unavailable</v>
      </c>
      <c r="C4454" s="5">
        <v>5207.0</v>
      </c>
      <c r="D4454" s="3">
        <f>IFERROR(__xludf.DUMMYFUNCTION("IFERROR(
IF(REGEXMATCH(LOWER(O4454),""k""),
VALUE(REGEXEXTRACT(O4454,""[0-9]+""))*1000,
VALUE(REGEXEXTRACT(O4454,""[0-9]+""))
),
0
)"),0.0)</f>
        <v>0</v>
      </c>
      <c r="E4454" s="1" t="s">
        <v>11</v>
      </c>
      <c r="F4454" s="1" t="s">
        <v>12</v>
      </c>
      <c r="G4454" s="4" t="b">
        <f t="shared" si="2"/>
        <v>1</v>
      </c>
      <c r="H4454" s="1" t="str">
        <f t="shared" si="3"/>
        <v>Currently Unavailable</v>
      </c>
      <c r="I4454" s="1" t="str">
        <f t="shared" si="4"/>
        <v>No Badges</v>
      </c>
      <c r="J4454" s="3">
        <f t="shared" si="5"/>
        <v>0</v>
      </c>
    </row>
    <row r="4455">
      <c r="A4455" s="1" t="s">
        <v>3324</v>
      </c>
      <c r="B4455" s="3" t="str">
        <f t="shared" si="1"/>
        <v>Unavailable</v>
      </c>
      <c r="C4455" s="5">
        <v>5207.0</v>
      </c>
      <c r="D4455" s="3">
        <f>IFERROR(__xludf.DUMMYFUNCTION("IFERROR(
IF(REGEXMATCH(LOWER(O4455),""k""),
VALUE(REGEXEXTRACT(O4455,""[0-9]+""))*1000,
VALUE(REGEXEXTRACT(O4455,""[0-9]+""))
),
0
)"),0.0)</f>
        <v>0</v>
      </c>
      <c r="E4455" s="1" t="s">
        <v>11</v>
      </c>
      <c r="F4455" s="1" t="s">
        <v>12</v>
      </c>
      <c r="G4455" s="4" t="b">
        <f t="shared" si="2"/>
        <v>1</v>
      </c>
      <c r="H4455" s="1" t="str">
        <f t="shared" si="3"/>
        <v>Currently Unavailable</v>
      </c>
      <c r="I4455" s="1" t="str">
        <f t="shared" si="4"/>
        <v>No Badges</v>
      </c>
      <c r="J4455" s="3">
        <f t="shared" si="5"/>
        <v>0</v>
      </c>
    </row>
    <row r="4456">
      <c r="A4456" s="1" t="s">
        <v>3324</v>
      </c>
      <c r="B4456" s="3" t="str">
        <f t="shared" si="1"/>
        <v>Unavailable</v>
      </c>
      <c r="C4456" s="5">
        <v>5207.0</v>
      </c>
      <c r="D4456" s="3">
        <f>IFERROR(__xludf.DUMMYFUNCTION("IFERROR(
IF(REGEXMATCH(LOWER(O4456),""k""),
VALUE(REGEXEXTRACT(O4456,""[0-9]+""))*1000,
VALUE(REGEXEXTRACT(O4456,""[0-9]+""))
),
0
)"),0.0)</f>
        <v>0</v>
      </c>
      <c r="E4456" s="1" t="s">
        <v>11</v>
      </c>
      <c r="F4456" s="1" t="s">
        <v>12</v>
      </c>
      <c r="G4456" s="4" t="b">
        <f t="shared" si="2"/>
        <v>1</v>
      </c>
      <c r="H4456" s="1" t="str">
        <f t="shared" si="3"/>
        <v>Currently Unavailable</v>
      </c>
      <c r="I4456" s="1" t="str">
        <f t="shared" si="4"/>
        <v>No Badges</v>
      </c>
      <c r="J4456" s="3">
        <f t="shared" si="5"/>
        <v>0</v>
      </c>
    </row>
    <row r="4457">
      <c r="A4457" s="1" t="s">
        <v>3324</v>
      </c>
      <c r="B4457" s="3" t="str">
        <f t="shared" si="1"/>
        <v>Unavailable</v>
      </c>
      <c r="C4457" s="5">
        <v>5207.0</v>
      </c>
      <c r="D4457" s="3">
        <f>IFERROR(__xludf.DUMMYFUNCTION("IFERROR(
IF(REGEXMATCH(LOWER(O4457),""k""),
VALUE(REGEXEXTRACT(O4457,""[0-9]+""))*1000,
VALUE(REGEXEXTRACT(O4457,""[0-9]+""))
),
0
)"),0.0)</f>
        <v>0</v>
      </c>
      <c r="E4457" s="1" t="s">
        <v>11</v>
      </c>
      <c r="F4457" s="1" t="s">
        <v>12</v>
      </c>
      <c r="G4457" s="4" t="b">
        <f t="shared" si="2"/>
        <v>1</v>
      </c>
      <c r="H4457" s="1" t="str">
        <f t="shared" si="3"/>
        <v>Currently Unavailable</v>
      </c>
      <c r="I4457" s="1" t="str">
        <f t="shared" si="4"/>
        <v>No Badges</v>
      </c>
      <c r="J4457" s="3">
        <f t="shared" si="5"/>
        <v>0</v>
      </c>
    </row>
    <row r="4458">
      <c r="A4458" s="1" t="s">
        <v>701</v>
      </c>
      <c r="B4458" s="3" t="str">
        <f t="shared" si="1"/>
        <v>Unavailable</v>
      </c>
      <c r="C4458" s="3">
        <v>8.0</v>
      </c>
      <c r="D4458" s="3">
        <f>IFERROR(__xludf.DUMMYFUNCTION("IFERROR(
IF(REGEXMATCH(LOWER(O4458),""k""),
VALUE(REGEXEXTRACT(O4458,""[0-9]+""))*1000,
VALUE(REGEXEXTRACT(O4458,""[0-9]+""))
),
0
)"),0.0)</f>
        <v>0</v>
      </c>
      <c r="E4458" s="1" t="s">
        <v>11</v>
      </c>
      <c r="F4458" s="1" t="s">
        <v>12</v>
      </c>
      <c r="G4458" s="4" t="b">
        <f t="shared" si="2"/>
        <v>1</v>
      </c>
      <c r="H4458" s="1" t="str">
        <f t="shared" si="3"/>
        <v>Currently Unavailable</v>
      </c>
      <c r="I4458" s="1" t="str">
        <f t="shared" si="4"/>
        <v>No Badges</v>
      </c>
      <c r="J4458" s="3">
        <f t="shared" si="5"/>
        <v>0</v>
      </c>
    </row>
    <row r="4459">
      <c r="A4459" s="1" t="s">
        <v>88</v>
      </c>
      <c r="B4459" s="3" t="str">
        <f t="shared" si="1"/>
        <v>Unavailable</v>
      </c>
      <c r="C4459" s="3">
        <v>5.0</v>
      </c>
      <c r="D4459" s="3">
        <f>IFERROR(__xludf.DUMMYFUNCTION("IFERROR(
IF(REGEXMATCH(LOWER(O4459),""k""),
VALUE(REGEXEXTRACT(O4459,""[0-9]+""))*1000,
VALUE(REGEXEXTRACT(O4459,""[0-9]+""))
),
0
)"),0.0)</f>
        <v>0</v>
      </c>
      <c r="E4459" s="1" t="s">
        <v>11</v>
      </c>
      <c r="F4459" s="1" t="s">
        <v>12</v>
      </c>
      <c r="G4459" s="4" t="b">
        <f t="shared" si="2"/>
        <v>1</v>
      </c>
      <c r="H4459" s="1" t="str">
        <f t="shared" si="3"/>
        <v>Currently Unavailable</v>
      </c>
      <c r="I4459" s="1" t="str">
        <f t="shared" si="4"/>
        <v>No Badges</v>
      </c>
      <c r="J4459" s="3">
        <f t="shared" si="5"/>
        <v>0</v>
      </c>
    </row>
    <row r="4460">
      <c r="A4460" s="1" t="s">
        <v>3324</v>
      </c>
      <c r="B4460" s="3" t="str">
        <f t="shared" si="1"/>
        <v>Unavailable</v>
      </c>
      <c r="C4460" s="5">
        <v>5207.0</v>
      </c>
      <c r="D4460" s="3">
        <f>IFERROR(__xludf.DUMMYFUNCTION("IFERROR(
IF(REGEXMATCH(LOWER(O4460),""k""),
VALUE(REGEXEXTRACT(O4460,""[0-9]+""))*1000,
VALUE(REGEXEXTRACT(O4460,""[0-9]+""))
),
0
)"),0.0)</f>
        <v>0</v>
      </c>
      <c r="E4460" s="1" t="s">
        <v>11</v>
      </c>
      <c r="F4460" s="1" t="s">
        <v>12</v>
      </c>
      <c r="G4460" s="4" t="b">
        <f t="shared" si="2"/>
        <v>1</v>
      </c>
      <c r="H4460" s="1" t="str">
        <f t="shared" si="3"/>
        <v>Currently Unavailable</v>
      </c>
      <c r="I4460" s="1" t="str">
        <f t="shared" si="4"/>
        <v>No Badges</v>
      </c>
      <c r="J4460" s="3">
        <f t="shared" si="5"/>
        <v>0</v>
      </c>
    </row>
    <row r="4461">
      <c r="A4461" s="1" t="s">
        <v>3324</v>
      </c>
      <c r="B4461" s="3" t="str">
        <f t="shared" si="1"/>
        <v>Unavailable</v>
      </c>
      <c r="C4461" s="5">
        <v>5207.0</v>
      </c>
      <c r="D4461" s="3">
        <f>IFERROR(__xludf.DUMMYFUNCTION("IFERROR(
IF(REGEXMATCH(LOWER(O4461),""k""),
VALUE(REGEXEXTRACT(O4461,""[0-9]+""))*1000,
VALUE(REGEXEXTRACT(O4461,""[0-9]+""))
),
0
)"),0.0)</f>
        <v>0</v>
      </c>
      <c r="E4461" s="1" t="s">
        <v>11</v>
      </c>
      <c r="F4461" s="1" t="s">
        <v>12</v>
      </c>
      <c r="G4461" s="4" t="b">
        <f t="shared" si="2"/>
        <v>1</v>
      </c>
      <c r="H4461" s="1" t="str">
        <f t="shared" si="3"/>
        <v>Currently Unavailable</v>
      </c>
      <c r="I4461" s="1" t="str">
        <f t="shared" si="4"/>
        <v>No Badges</v>
      </c>
      <c r="J4461" s="3">
        <f t="shared" si="5"/>
        <v>0</v>
      </c>
    </row>
    <row r="4462">
      <c r="A4462" s="1" t="s">
        <v>69</v>
      </c>
      <c r="B4462" s="3" t="str">
        <f t="shared" si="1"/>
        <v>Unavailable</v>
      </c>
      <c r="C4462" s="3">
        <v>45.0</v>
      </c>
      <c r="D4462" s="3">
        <f>IFERROR(__xludf.DUMMYFUNCTION("IFERROR(
IF(REGEXMATCH(LOWER(O4462),""k""),
VALUE(REGEXEXTRACT(O4462,""[0-9]+""))*1000,
VALUE(REGEXEXTRACT(O4462,""[0-9]+""))
),
0
)"),0.0)</f>
        <v>0</v>
      </c>
      <c r="E4462" s="1" t="s">
        <v>11</v>
      </c>
      <c r="F4462" s="1" t="s">
        <v>12</v>
      </c>
      <c r="G4462" s="4" t="b">
        <f t="shared" si="2"/>
        <v>1</v>
      </c>
      <c r="H4462" s="1" t="str">
        <f t="shared" si="3"/>
        <v>Currently Unavailable</v>
      </c>
      <c r="I4462" s="1" t="str">
        <f t="shared" si="4"/>
        <v>No Badges</v>
      </c>
      <c r="J4462" s="3">
        <f t="shared" si="5"/>
        <v>0</v>
      </c>
    </row>
    <row r="4463">
      <c r="A4463" s="1" t="s">
        <v>3324</v>
      </c>
      <c r="B4463" s="3" t="str">
        <f t="shared" si="1"/>
        <v>Unavailable</v>
      </c>
      <c r="C4463" s="5">
        <v>5207.0</v>
      </c>
      <c r="D4463" s="3">
        <f>IFERROR(__xludf.DUMMYFUNCTION("IFERROR(
IF(REGEXMATCH(LOWER(O4463),""k""),
VALUE(REGEXEXTRACT(O4463,""[0-9]+""))*1000,
VALUE(REGEXEXTRACT(O4463,""[0-9]+""))
),
0
)"),0.0)</f>
        <v>0</v>
      </c>
      <c r="E4463" s="1" t="s">
        <v>11</v>
      </c>
      <c r="F4463" s="1" t="s">
        <v>12</v>
      </c>
      <c r="G4463" s="4" t="b">
        <f t="shared" si="2"/>
        <v>1</v>
      </c>
      <c r="H4463" s="1" t="str">
        <f t="shared" si="3"/>
        <v>Currently Unavailable</v>
      </c>
      <c r="I4463" s="1" t="str">
        <f t="shared" si="4"/>
        <v>No Badges</v>
      </c>
      <c r="J4463" s="3">
        <f t="shared" si="5"/>
        <v>0</v>
      </c>
    </row>
    <row r="4464">
      <c r="A4464" s="1" t="s">
        <v>3324</v>
      </c>
      <c r="B4464" s="3" t="str">
        <f t="shared" si="1"/>
        <v>Unavailable</v>
      </c>
      <c r="C4464" s="5">
        <v>5207.0</v>
      </c>
      <c r="D4464" s="3">
        <f>IFERROR(__xludf.DUMMYFUNCTION("IFERROR(
IF(REGEXMATCH(LOWER(O4464),""k""),
VALUE(REGEXEXTRACT(O4464,""[0-9]+""))*1000,
VALUE(REGEXEXTRACT(O4464,""[0-9]+""))
),
0
)"),0.0)</f>
        <v>0</v>
      </c>
      <c r="E4464" s="1" t="s">
        <v>11</v>
      </c>
      <c r="F4464" s="1" t="s">
        <v>12</v>
      </c>
      <c r="G4464" s="4" t="b">
        <f t="shared" si="2"/>
        <v>1</v>
      </c>
      <c r="H4464" s="1" t="str">
        <f t="shared" si="3"/>
        <v>Currently Unavailable</v>
      </c>
      <c r="I4464" s="1" t="str">
        <f t="shared" si="4"/>
        <v>No Badges</v>
      </c>
      <c r="J4464" s="3">
        <f t="shared" si="5"/>
        <v>0</v>
      </c>
    </row>
    <row r="4465">
      <c r="A4465" s="1" t="s">
        <v>3324</v>
      </c>
      <c r="B4465" s="3" t="str">
        <f t="shared" si="1"/>
        <v>Unavailable</v>
      </c>
      <c r="C4465" s="5">
        <v>5207.0</v>
      </c>
      <c r="D4465" s="3">
        <f>IFERROR(__xludf.DUMMYFUNCTION("IFERROR(
IF(REGEXMATCH(LOWER(O4465),""k""),
VALUE(REGEXEXTRACT(O4465,""[0-9]+""))*1000,
VALUE(REGEXEXTRACT(O4465,""[0-9]+""))
),
0
)"),0.0)</f>
        <v>0</v>
      </c>
      <c r="E4465" s="1" t="s">
        <v>11</v>
      </c>
      <c r="F4465" s="1" t="s">
        <v>12</v>
      </c>
      <c r="G4465" s="4" t="b">
        <f t="shared" si="2"/>
        <v>1</v>
      </c>
      <c r="H4465" s="1" t="str">
        <f t="shared" si="3"/>
        <v>Currently Unavailable</v>
      </c>
      <c r="I4465" s="1" t="str">
        <f t="shared" si="4"/>
        <v>No Badges</v>
      </c>
      <c r="J4465" s="3">
        <f t="shared" si="5"/>
        <v>0</v>
      </c>
    </row>
    <row r="4466">
      <c r="A4466" s="1" t="s">
        <v>3324</v>
      </c>
      <c r="B4466" s="3" t="str">
        <f t="shared" si="1"/>
        <v>Unavailable</v>
      </c>
      <c r="C4466" s="5">
        <v>5207.0</v>
      </c>
      <c r="D4466" s="3">
        <f>IFERROR(__xludf.DUMMYFUNCTION("IFERROR(
IF(REGEXMATCH(LOWER(O4466),""k""),
VALUE(REGEXEXTRACT(O4466,""[0-9]+""))*1000,
VALUE(REGEXEXTRACT(O4466,""[0-9]+""))
),
0
)"),0.0)</f>
        <v>0</v>
      </c>
      <c r="E4466" s="1" t="s">
        <v>11</v>
      </c>
      <c r="F4466" s="1" t="s">
        <v>12</v>
      </c>
      <c r="G4466" s="4" t="b">
        <f t="shared" si="2"/>
        <v>1</v>
      </c>
      <c r="H4466" s="1" t="str">
        <f t="shared" si="3"/>
        <v>Currently Unavailable</v>
      </c>
      <c r="I4466" s="1" t="str">
        <f t="shared" si="4"/>
        <v>No Badges</v>
      </c>
      <c r="J4466" s="3">
        <f t="shared" si="5"/>
        <v>0</v>
      </c>
    </row>
    <row r="4467">
      <c r="A4467" s="1" t="s">
        <v>3324</v>
      </c>
      <c r="B4467" s="3" t="str">
        <f t="shared" si="1"/>
        <v>Unavailable</v>
      </c>
      <c r="C4467" s="5">
        <v>5207.0</v>
      </c>
      <c r="D4467" s="3">
        <f>IFERROR(__xludf.DUMMYFUNCTION("IFERROR(
IF(REGEXMATCH(LOWER(O4467),""k""),
VALUE(REGEXEXTRACT(O4467,""[0-9]+""))*1000,
VALUE(REGEXEXTRACT(O4467,""[0-9]+""))
),
0
)"),0.0)</f>
        <v>0</v>
      </c>
      <c r="E4467" s="1" t="s">
        <v>11</v>
      </c>
      <c r="F4467" s="1" t="s">
        <v>12</v>
      </c>
      <c r="G4467" s="4" t="b">
        <f t="shared" si="2"/>
        <v>1</v>
      </c>
      <c r="H4467" s="1" t="str">
        <f t="shared" si="3"/>
        <v>Currently Unavailable</v>
      </c>
      <c r="I4467" s="1" t="str">
        <f t="shared" si="4"/>
        <v>No Badges</v>
      </c>
      <c r="J4467" s="3">
        <f t="shared" si="5"/>
        <v>0</v>
      </c>
    </row>
    <row r="4468">
      <c r="A4468" s="1" t="s">
        <v>3324</v>
      </c>
      <c r="B4468" s="3" t="str">
        <f t="shared" si="1"/>
        <v>Unavailable</v>
      </c>
      <c r="C4468" s="5">
        <v>5207.0</v>
      </c>
      <c r="D4468" s="3">
        <f>IFERROR(__xludf.DUMMYFUNCTION("IFERROR(
IF(REGEXMATCH(LOWER(O4468),""k""),
VALUE(REGEXEXTRACT(O4468,""[0-9]+""))*1000,
VALUE(REGEXEXTRACT(O4468,""[0-9]+""))
),
0
)"),0.0)</f>
        <v>0</v>
      </c>
      <c r="E4468" s="1" t="s">
        <v>11</v>
      </c>
      <c r="F4468" s="1" t="s">
        <v>12</v>
      </c>
      <c r="G4468" s="4" t="b">
        <f t="shared" si="2"/>
        <v>1</v>
      </c>
      <c r="H4468" s="1" t="str">
        <f t="shared" si="3"/>
        <v>Currently Unavailable</v>
      </c>
      <c r="I4468" s="1" t="str">
        <f t="shared" si="4"/>
        <v>No Badges</v>
      </c>
      <c r="J4468" s="3">
        <f t="shared" si="5"/>
        <v>0</v>
      </c>
    </row>
    <row r="4469">
      <c r="A4469" s="1" t="s">
        <v>3324</v>
      </c>
      <c r="B4469" s="3" t="str">
        <f t="shared" si="1"/>
        <v>Unavailable</v>
      </c>
      <c r="C4469" s="5">
        <v>5207.0</v>
      </c>
      <c r="D4469" s="3">
        <f>IFERROR(__xludf.DUMMYFUNCTION("IFERROR(
IF(REGEXMATCH(LOWER(O4469),""k""),
VALUE(REGEXEXTRACT(O4469,""[0-9]+""))*1000,
VALUE(REGEXEXTRACT(O4469,""[0-9]+""))
),
0
)"),0.0)</f>
        <v>0</v>
      </c>
      <c r="E4469" s="1" t="s">
        <v>11</v>
      </c>
      <c r="F4469" s="1" t="s">
        <v>12</v>
      </c>
      <c r="G4469" s="4" t="b">
        <f t="shared" si="2"/>
        <v>1</v>
      </c>
      <c r="H4469" s="1" t="str">
        <f t="shared" si="3"/>
        <v>Currently Unavailable</v>
      </c>
      <c r="I4469" s="1" t="str">
        <f t="shared" si="4"/>
        <v>No Badges</v>
      </c>
      <c r="J4469" s="3">
        <f t="shared" si="5"/>
        <v>0</v>
      </c>
    </row>
    <row r="4470">
      <c r="A4470" s="1" t="s">
        <v>3324</v>
      </c>
      <c r="B4470" s="3" t="str">
        <f t="shared" si="1"/>
        <v>Unavailable</v>
      </c>
      <c r="C4470" s="5">
        <v>5207.0</v>
      </c>
      <c r="D4470" s="3">
        <f>IFERROR(__xludf.DUMMYFUNCTION("IFERROR(
IF(REGEXMATCH(LOWER(O4470),""k""),
VALUE(REGEXEXTRACT(O4470,""[0-9]+""))*1000,
VALUE(REGEXEXTRACT(O4470,""[0-9]+""))
),
0
)"),0.0)</f>
        <v>0</v>
      </c>
      <c r="E4470" s="1" t="s">
        <v>11</v>
      </c>
      <c r="F4470" s="1" t="s">
        <v>12</v>
      </c>
      <c r="G4470" s="4" t="b">
        <f t="shared" si="2"/>
        <v>1</v>
      </c>
      <c r="H4470" s="1" t="str">
        <f t="shared" si="3"/>
        <v>Currently Unavailable</v>
      </c>
      <c r="I4470" s="1" t="str">
        <f t="shared" si="4"/>
        <v>No Badges</v>
      </c>
      <c r="J4470" s="3">
        <f t="shared" si="5"/>
        <v>0</v>
      </c>
    </row>
    <row r="4471">
      <c r="A4471" s="1" t="s">
        <v>3324</v>
      </c>
      <c r="B4471" s="3" t="str">
        <f t="shared" si="1"/>
        <v>Unavailable</v>
      </c>
      <c r="C4471" s="5">
        <v>5207.0</v>
      </c>
      <c r="D4471" s="3">
        <f>IFERROR(__xludf.DUMMYFUNCTION("IFERROR(
IF(REGEXMATCH(LOWER(O4471),""k""),
VALUE(REGEXEXTRACT(O4471,""[0-9]+""))*1000,
VALUE(REGEXEXTRACT(O4471,""[0-9]+""))
),
0
)"),0.0)</f>
        <v>0</v>
      </c>
      <c r="E4471" s="1" t="s">
        <v>11</v>
      </c>
      <c r="F4471" s="1" t="s">
        <v>12</v>
      </c>
      <c r="G4471" s="4" t="b">
        <f t="shared" si="2"/>
        <v>1</v>
      </c>
      <c r="H4471" s="1" t="str">
        <f t="shared" si="3"/>
        <v>Currently Unavailable</v>
      </c>
      <c r="I4471" s="1" t="str">
        <f t="shared" si="4"/>
        <v>No Badges</v>
      </c>
      <c r="J4471" s="3">
        <f t="shared" si="5"/>
        <v>0</v>
      </c>
    </row>
    <row r="4472">
      <c r="A4472" s="1" t="s">
        <v>3324</v>
      </c>
      <c r="B4472" s="3" t="str">
        <f t="shared" si="1"/>
        <v>Unavailable</v>
      </c>
      <c r="C4472" s="5">
        <v>5207.0</v>
      </c>
      <c r="D4472" s="3">
        <f>IFERROR(__xludf.DUMMYFUNCTION("IFERROR(
IF(REGEXMATCH(LOWER(O4472),""k""),
VALUE(REGEXEXTRACT(O4472,""[0-9]+""))*1000,
VALUE(REGEXEXTRACT(O4472,""[0-9]+""))
),
0
)"),0.0)</f>
        <v>0</v>
      </c>
      <c r="E4472" s="1" t="s">
        <v>11</v>
      </c>
      <c r="F4472" s="1" t="s">
        <v>12</v>
      </c>
      <c r="G4472" s="4" t="b">
        <f t="shared" si="2"/>
        <v>1</v>
      </c>
      <c r="H4472" s="1" t="str">
        <f t="shared" si="3"/>
        <v>Currently Unavailable</v>
      </c>
      <c r="I4472" s="1" t="str">
        <f t="shared" si="4"/>
        <v>No Badges</v>
      </c>
      <c r="J4472" s="3">
        <f t="shared" si="5"/>
        <v>0</v>
      </c>
    </row>
    <row r="4473">
      <c r="A4473" s="1" t="s">
        <v>3324</v>
      </c>
      <c r="B4473" s="3" t="str">
        <f t="shared" si="1"/>
        <v>Unavailable</v>
      </c>
      <c r="C4473" s="5">
        <v>5207.0</v>
      </c>
      <c r="D4473" s="3">
        <f>IFERROR(__xludf.DUMMYFUNCTION("IFERROR(
IF(REGEXMATCH(LOWER(O4473),""k""),
VALUE(REGEXEXTRACT(O4473,""[0-9]+""))*1000,
VALUE(REGEXEXTRACT(O4473,""[0-9]+""))
),
0
)"),0.0)</f>
        <v>0</v>
      </c>
      <c r="E4473" s="1" t="s">
        <v>11</v>
      </c>
      <c r="F4473" s="1" t="s">
        <v>12</v>
      </c>
      <c r="G4473" s="4" t="b">
        <f t="shared" si="2"/>
        <v>1</v>
      </c>
      <c r="H4473" s="1" t="str">
        <f t="shared" si="3"/>
        <v>Currently Unavailable</v>
      </c>
      <c r="I4473" s="1" t="str">
        <f t="shared" si="4"/>
        <v>No Badges</v>
      </c>
      <c r="J4473" s="3">
        <f t="shared" si="5"/>
        <v>0</v>
      </c>
    </row>
    <row r="4474">
      <c r="A4474" s="1" t="s">
        <v>3324</v>
      </c>
      <c r="B4474" s="3" t="str">
        <f t="shared" si="1"/>
        <v>Unavailable</v>
      </c>
      <c r="C4474" s="5">
        <v>5207.0</v>
      </c>
      <c r="D4474" s="3">
        <f>IFERROR(__xludf.DUMMYFUNCTION("IFERROR(
IF(REGEXMATCH(LOWER(O4474),""k""),
VALUE(REGEXEXTRACT(O4474,""[0-9]+""))*1000,
VALUE(REGEXEXTRACT(O4474,""[0-9]+""))
),
0
)"),0.0)</f>
        <v>0</v>
      </c>
      <c r="E4474" s="1" t="s">
        <v>11</v>
      </c>
      <c r="F4474" s="1" t="s">
        <v>12</v>
      </c>
      <c r="G4474" s="4" t="b">
        <f t="shared" si="2"/>
        <v>1</v>
      </c>
      <c r="H4474" s="1" t="str">
        <f t="shared" si="3"/>
        <v>Currently Unavailable</v>
      </c>
      <c r="I4474" s="1" t="str">
        <f t="shared" si="4"/>
        <v>No Badges</v>
      </c>
      <c r="J4474" s="3">
        <f t="shared" si="5"/>
        <v>0</v>
      </c>
    </row>
    <row r="4475">
      <c r="A4475" s="1" t="s">
        <v>67</v>
      </c>
      <c r="B4475" s="3" t="str">
        <f t="shared" si="1"/>
        <v>Unavailable</v>
      </c>
      <c r="C4475" s="3">
        <v>264.0</v>
      </c>
      <c r="D4475" s="3">
        <f>IFERROR(__xludf.DUMMYFUNCTION("IFERROR(
IF(REGEXMATCH(LOWER(O4475),""k""),
VALUE(REGEXEXTRACT(O4475,""[0-9]+""))*1000,
VALUE(REGEXEXTRACT(O4475,""[0-9]+""))
),
0
)"),0.0)</f>
        <v>0</v>
      </c>
      <c r="E4475" s="1" t="s">
        <v>11</v>
      </c>
      <c r="F4475" s="1" t="s">
        <v>12</v>
      </c>
      <c r="G4475" s="4" t="b">
        <f t="shared" si="2"/>
        <v>1</v>
      </c>
      <c r="H4475" s="1" t="str">
        <f t="shared" si="3"/>
        <v>Currently Unavailable</v>
      </c>
      <c r="I4475" s="1" t="str">
        <f t="shared" si="4"/>
        <v>No Badges</v>
      </c>
      <c r="J4475" s="3">
        <f t="shared" si="5"/>
        <v>0</v>
      </c>
    </row>
    <row r="4476">
      <c r="A4476" s="1" t="s">
        <v>3324</v>
      </c>
      <c r="B4476" s="3" t="str">
        <f t="shared" si="1"/>
        <v>Unavailable</v>
      </c>
      <c r="C4476" s="5">
        <v>5207.0</v>
      </c>
      <c r="D4476" s="3">
        <f>IFERROR(__xludf.DUMMYFUNCTION("IFERROR(
IF(REGEXMATCH(LOWER(O4476),""k""),
VALUE(REGEXEXTRACT(O4476,""[0-9]+""))*1000,
VALUE(REGEXEXTRACT(O4476,""[0-9]+""))
),
0
)"),0.0)</f>
        <v>0</v>
      </c>
      <c r="E4476" s="1" t="s">
        <v>11</v>
      </c>
      <c r="F4476" s="1" t="s">
        <v>12</v>
      </c>
      <c r="G4476" s="4" t="b">
        <f t="shared" si="2"/>
        <v>1</v>
      </c>
      <c r="H4476" s="1" t="str">
        <f t="shared" si="3"/>
        <v>Currently Unavailable</v>
      </c>
      <c r="I4476" s="1" t="str">
        <f t="shared" si="4"/>
        <v>No Badges</v>
      </c>
      <c r="J4476" s="3">
        <f t="shared" si="5"/>
        <v>0</v>
      </c>
    </row>
    <row r="4477">
      <c r="A4477" s="1" t="s">
        <v>701</v>
      </c>
      <c r="B4477" s="3" t="str">
        <f t="shared" si="1"/>
        <v>Unavailable</v>
      </c>
      <c r="C4477" s="3">
        <v>8.0</v>
      </c>
      <c r="D4477" s="3">
        <f>IFERROR(__xludf.DUMMYFUNCTION("IFERROR(
IF(REGEXMATCH(LOWER(O4477),""k""),
VALUE(REGEXEXTRACT(O4477,""[0-9]+""))*1000,
VALUE(REGEXEXTRACT(O4477,""[0-9]+""))
),
0
)"),0.0)</f>
        <v>0</v>
      </c>
      <c r="E4477" s="1" t="s">
        <v>11</v>
      </c>
      <c r="F4477" s="1" t="s">
        <v>12</v>
      </c>
      <c r="G4477" s="4" t="b">
        <f t="shared" si="2"/>
        <v>1</v>
      </c>
      <c r="H4477" s="1" t="str">
        <f t="shared" si="3"/>
        <v>Currently Unavailable</v>
      </c>
      <c r="I4477" s="1" t="str">
        <f t="shared" si="4"/>
        <v>No Badges</v>
      </c>
      <c r="J4477" s="3">
        <f t="shared" si="5"/>
        <v>0</v>
      </c>
    </row>
    <row r="4478">
      <c r="A4478" s="1" t="s">
        <v>3333</v>
      </c>
      <c r="B4478" s="3" t="str">
        <f t="shared" si="1"/>
        <v>Unavailable</v>
      </c>
      <c r="C4478" s="5">
        <v>3673.0</v>
      </c>
      <c r="D4478" s="3">
        <f>IFERROR(__xludf.DUMMYFUNCTION("IFERROR(
IF(REGEXMATCH(LOWER(O4478),""k""),
VALUE(REGEXEXTRACT(O4478,""[0-9]+""))*1000,
VALUE(REGEXEXTRACT(O4478,""[0-9]+""))
),
0
)"),0.0)</f>
        <v>0</v>
      </c>
      <c r="E4478" s="1" t="s">
        <v>11</v>
      </c>
      <c r="F4478" s="1" t="s">
        <v>20</v>
      </c>
      <c r="G4478" s="4" t="b">
        <f t="shared" si="2"/>
        <v>1</v>
      </c>
      <c r="H4478" s="1" t="str">
        <f t="shared" si="3"/>
        <v>Currently Unavailable</v>
      </c>
      <c r="I4478" s="1" t="str">
        <f t="shared" si="4"/>
        <v>No Badges</v>
      </c>
      <c r="J4478" s="3">
        <f t="shared" si="5"/>
        <v>0</v>
      </c>
    </row>
    <row r="4479">
      <c r="A4479" s="1" t="s">
        <v>3324</v>
      </c>
      <c r="B4479" s="3" t="str">
        <f t="shared" si="1"/>
        <v>Unavailable</v>
      </c>
      <c r="C4479" s="5">
        <v>5207.0</v>
      </c>
      <c r="D4479" s="3">
        <f>IFERROR(__xludf.DUMMYFUNCTION("IFERROR(
IF(REGEXMATCH(LOWER(O4479),""k""),
VALUE(REGEXEXTRACT(O4479,""[0-9]+""))*1000,
VALUE(REGEXEXTRACT(O4479,""[0-9]+""))
),
0
)"),0.0)</f>
        <v>0</v>
      </c>
      <c r="E4479" s="1" t="s">
        <v>11</v>
      </c>
      <c r="F4479" s="1" t="s">
        <v>12</v>
      </c>
      <c r="G4479" s="4" t="b">
        <f t="shared" si="2"/>
        <v>1</v>
      </c>
      <c r="H4479" s="1" t="str">
        <f t="shared" si="3"/>
        <v>Currently Unavailable</v>
      </c>
      <c r="I4479" s="1" t="str">
        <f t="shared" si="4"/>
        <v>No Badges</v>
      </c>
      <c r="J4479" s="3">
        <f t="shared" si="5"/>
        <v>0</v>
      </c>
    </row>
    <row r="4480">
      <c r="A4480" s="1" t="s">
        <v>3324</v>
      </c>
      <c r="B4480" s="3" t="str">
        <f t="shared" si="1"/>
        <v>Unavailable</v>
      </c>
      <c r="C4480" s="5">
        <v>5207.0</v>
      </c>
      <c r="D4480" s="3">
        <f>IFERROR(__xludf.DUMMYFUNCTION("IFERROR(
IF(REGEXMATCH(LOWER(O4480),""k""),
VALUE(REGEXEXTRACT(O4480,""[0-9]+""))*1000,
VALUE(REGEXEXTRACT(O4480,""[0-9]+""))
),
0
)"),0.0)</f>
        <v>0</v>
      </c>
      <c r="E4480" s="1" t="s">
        <v>11</v>
      </c>
      <c r="F4480" s="1" t="s">
        <v>12</v>
      </c>
      <c r="G4480" s="4" t="b">
        <f t="shared" si="2"/>
        <v>1</v>
      </c>
      <c r="H4480" s="1" t="str">
        <f t="shared" si="3"/>
        <v>Currently Unavailable</v>
      </c>
      <c r="I4480" s="1" t="str">
        <f t="shared" si="4"/>
        <v>No Badges</v>
      </c>
      <c r="J4480" s="3">
        <f t="shared" si="5"/>
        <v>0</v>
      </c>
    </row>
    <row r="4481">
      <c r="A4481" s="1" t="s">
        <v>3334</v>
      </c>
      <c r="B4481" s="3" t="str">
        <f t="shared" si="1"/>
        <v>Unavailable</v>
      </c>
      <c r="C4481" s="3">
        <v>661.0</v>
      </c>
      <c r="D4481" s="3">
        <f>IFERROR(__xludf.DUMMYFUNCTION("IFERROR(
IF(REGEXMATCH(LOWER(O4481),""k""),
VALUE(REGEXEXTRACT(O4481,""[0-9]+""))*1000,
VALUE(REGEXEXTRACT(O4481,""[0-9]+""))
),
0
)"),0.0)</f>
        <v>0</v>
      </c>
      <c r="E4481" s="1" t="s">
        <v>11</v>
      </c>
      <c r="F4481" s="1" t="s">
        <v>20</v>
      </c>
      <c r="G4481" s="4" t="b">
        <f t="shared" si="2"/>
        <v>1</v>
      </c>
      <c r="H4481" s="1" t="str">
        <f t="shared" si="3"/>
        <v>Currently Unavailable</v>
      </c>
      <c r="I4481" s="1" t="str">
        <f t="shared" si="4"/>
        <v>No Badges</v>
      </c>
      <c r="J4481" s="3">
        <f t="shared" si="5"/>
        <v>0</v>
      </c>
    </row>
    <row r="4482">
      <c r="A4482" s="1" t="s">
        <v>3324</v>
      </c>
      <c r="B4482" s="3" t="str">
        <f t="shared" si="1"/>
        <v>Unavailable</v>
      </c>
      <c r="C4482" s="5">
        <v>5207.0</v>
      </c>
      <c r="D4482" s="3">
        <f>IFERROR(__xludf.DUMMYFUNCTION("IFERROR(
IF(REGEXMATCH(LOWER(O4482),""k""),
VALUE(REGEXEXTRACT(O4482,""[0-9]+""))*1000,
VALUE(REGEXEXTRACT(O4482,""[0-9]+""))
),
0
)"),0.0)</f>
        <v>0</v>
      </c>
      <c r="E4482" s="1" t="s">
        <v>11</v>
      </c>
      <c r="F4482" s="1" t="s">
        <v>12</v>
      </c>
      <c r="G4482" s="4" t="b">
        <f t="shared" si="2"/>
        <v>1</v>
      </c>
      <c r="H4482" s="1" t="str">
        <f t="shared" si="3"/>
        <v>Currently Unavailable</v>
      </c>
      <c r="I4482" s="1" t="str">
        <f t="shared" si="4"/>
        <v>No Badges</v>
      </c>
      <c r="J4482" s="3">
        <f t="shared" si="5"/>
        <v>0</v>
      </c>
    </row>
    <row r="4483">
      <c r="A4483" s="1" t="s">
        <v>3324</v>
      </c>
      <c r="B4483" s="3" t="str">
        <f t="shared" si="1"/>
        <v>Unavailable</v>
      </c>
      <c r="C4483" s="5">
        <v>5207.0</v>
      </c>
      <c r="D4483" s="3">
        <f>IFERROR(__xludf.DUMMYFUNCTION("IFERROR(
IF(REGEXMATCH(LOWER(O4483),""k""),
VALUE(REGEXEXTRACT(O4483,""[0-9]+""))*1000,
VALUE(REGEXEXTRACT(O4483,""[0-9]+""))
),
0
)"),0.0)</f>
        <v>0</v>
      </c>
      <c r="E4483" s="1" t="s">
        <v>11</v>
      </c>
      <c r="F4483" s="1" t="s">
        <v>12</v>
      </c>
      <c r="G4483" s="4" t="b">
        <f t="shared" si="2"/>
        <v>1</v>
      </c>
      <c r="H4483" s="1" t="str">
        <f t="shared" si="3"/>
        <v>Currently Unavailable</v>
      </c>
      <c r="I4483" s="1" t="str">
        <f t="shared" si="4"/>
        <v>No Badges</v>
      </c>
      <c r="J4483" s="3">
        <f t="shared" si="5"/>
        <v>0</v>
      </c>
    </row>
    <row r="4484">
      <c r="A4484" s="1" t="s">
        <v>3324</v>
      </c>
      <c r="B4484" s="3" t="str">
        <f t="shared" si="1"/>
        <v>Unavailable</v>
      </c>
      <c r="C4484" s="5">
        <v>5207.0</v>
      </c>
      <c r="D4484" s="3">
        <f>IFERROR(__xludf.DUMMYFUNCTION("IFERROR(
IF(REGEXMATCH(LOWER(O4484),""k""),
VALUE(REGEXEXTRACT(O4484,""[0-9]+""))*1000,
VALUE(REGEXEXTRACT(O4484,""[0-9]+""))
),
0
)"),0.0)</f>
        <v>0</v>
      </c>
      <c r="E4484" s="1" t="s">
        <v>11</v>
      </c>
      <c r="F4484" s="1" t="s">
        <v>12</v>
      </c>
      <c r="G4484" s="4" t="b">
        <f t="shared" si="2"/>
        <v>1</v>
      </c>
      <c r="H4484" s="1" t="str">
        <f t="shared" si="3"/>
        <v>Currently Unavailable</v>
      </c>
      <c r="I4484" s="1" t="str">
        <f t="shared" si="4"/>
        <v>No Badges</v>
      </c>
      <c r="J4484" s="3">
        <f t="shared" si="5"/>
        <v>0</v>
      </c>
    </row>
    <row r="4485">
      <c r="A4485" s="1" t="s">
        <v>3324</v>
      </c>
      <c r="B4485" s="3" t="str">
        <f t="shared" si="1"/>
        <v>Unavailable</v>
      </c>
      <c r="C4485" s="5">
        <v>5207.0</v>
      </c>
      <c r="D4485" s="3">
        <f>IFERROR(__xludf.DUMMYFUNCTION("IFERROR(
IF(REGEXMATCH(LOWER(O4485),""k""),
VALUE(REGEXEXTRACT(O4485,""[0-9]+""))*1000,
VALUE(REGEXEXTRACT(O4485,""[0-9]+""))
),
0
)"),0.0)</f>
        <v>0</v>
      </c>
      <c r="E4485" s="1" t="s">
        <v>11</v>
      </c>
      <c r="F4485" s="1" t="s">
        <v>12</v>
      </c>
      <c r="G4485" s="4" t="b">
        <f t="shared" si="2"/>
        <v>1</v>
      </c>
      <c r="H4485" s="1" t="str">
        <f t="shared" si="3"/>
        <v>Currently Unavailable</v>
      </c>
      <c r="I4485" s="1" t="str">
        <f t="shared" si="4"/>
        <v>No Badges</v>
      </c>
      <c r="J4485" s="3">
        <f t="shared" si="5"/>
        <v>0</v>
      </c>
    </row>
    <row r="4486">
      <c r="A4486" s="1" t="s">
        <v>3324</v>
      </c>
      <c r="B4486" s="3" t="str">
        <f t="shared" si="1"/>
        <v>Unavailable</v>
      </c>
      <c r="C4486" s="5">
        <v>5207.0</v>
      </c>
      <c r="D4486" s="3">
        <f>IFERROR(__xludf.DUMMYFUNCTION("IFERROR(
IF(REGEXMATCH(LOWER(O4486),""k""),
VALUE(REGEXEXTRACT(O4486,""[0-9]+""))*1000,
VALUE(REGEXEXTRACT(O4486,""[0-9]+""))
),
0
)"),0.0)</f>
        <v>0</v>
      </c>
      <c r="E4486" s="1" t="s">
        <v>11</v>
      </c>
      <c r="F4486" s="1" t="s">
        <v>12</v>
      </c>
      <c r="G4486" s="4" t="b">
        <f t="shared" si="2"/>
        <v>1</v>
      </c>
      <c r="H4486" s="1" t="str">
        <f t="shared" si="3"/>
        <v>Currently Unavailable</v>
      </c>
      <c r="I4486" s="1" t="str">
        <f t="shared" si="4"/>
        <v>No Badges</v>
      </c>
      <c r="J4486" s="3">
        <f t="shared" si="5"/>
        <v>0</v>
      </c>
    </row>
    <row r="4487">
      <c r="A4487" s="1" t="s">
        <v>3324</v>
      </c>
      <c r="B4487" s="3" t="str">
        <f t="shared" si="1"/>
        <v>Unavailable</v>
      </c>
      <c r="C4487" s="5">
        <v>5207.0</v>
      </c>
      <c r="D4487" s="3">
        <f>IFERROR(__xludf.DUMMYFUNCTION("IFERROR(
IF(REGEXMATCH(LOWER(O4487),""k""),
VALUE(REGEXEXTRACT(O4487,""[0-9]+""))*1000,
VALUE(REGEXEXTRACT(O4487,""[0-9]+""))
),
0
)"),0.0)</f>
        <v>0</v>
      </c>
      <c r="E4487" s="1" t="s">
        <v>11</v>
      </c>
      <c r="F4487" s="1" t="s">
        <v>12</v>
      </c>
      <c r="G4487" s="4" t="b">
        <f t="shared" si="2"/>
        <v>1</v>
      </c>
      <c r="H4487" s="1" t="str">
        <f t="shared" si="3"/>
        <v>Currently Unavailable</v>
      </c>
      <c r="I4487" s="1" t="str">
        <f t="shared" si="4"/>
        <v>No Badges</v>
      </c>
      <c r="J4487" s="3">
        <f t="shared" si="5"/>
        <v>0</v>
      </c>
    </row>
    <row r="4488">
      <c r="A4488" s="1" t="s">
        <v>3324</v>
      </c>
      <c r="B4488" s="3" t="str">
        <f t="shared" si="1"/>
        <v>Unavailable</v>
      </c>
      <c r="C4488" s="5">
        <v>5207.0</v>
      </c>
      <c r="D4488" s="3">
        <f>IFERROR(__xludf.DUMMYFUNCTION("IFERROR(
IF(REGEXMATCH(LOWER(O4488),""k""),
VALUE(REGEXEXTRACT(O4488,""[0-9]+""))*1000,
VALUE(REGEXEXTRACT(O4488,""[0-9]+""))
),
0
)"),0.0)</f>
        <v>0</v>
      </c>
      <c r="E4488" s="1" t="s">
        <v>11</v>
      </c>
      <c r="F4488" s="1" t="s">
        <v>12</v>
      </c>
      <c r="G4488" s="4" t="b">
        <f t="shared" si="2"/>
        <v>1</v>
      </c>
      <c r="H4488" s="1" t="str">
        <f t="shared" si="3"/>
        <v>Currently Unavailable</v>
      </c>
      <c r="I4488" s="1" t="str">
        <f t="shared" si="4"/>
        <v>No Badges</v>
      </c>
      <c r="J4488" s="3">
        <f t="shared" si="5"/>
        <v>0</v>
      </c>
    </row>
    <row r="4489">
      <c r="A4489" s="1" t="s">
        <v>3324</v>
      </c>
      <c r="B4489" s="3" t="str">
        <f t="shared" si="1"/>
        <v>Unavailable</v>
      </c>
      <c r="C4489" s="5">
        <v>5207.0</v>
      </c>
      <c r="D4489" s="3">
        <f>IFERROR(__xludf.DUMMYFUNCTION("IFERROR(
IF(REGEXMATCH(LOWER(O4489),""k""),
VALUE(REGEXEXTRACT(O4489,""[0-9]+""))*1000,
VALUE(REGEXEXTRACT(O4489,""[0-9]+""))
),
0
)"),0.0)</f>
        <v>0</v>
      </c>
      <c r="E4489" s="1" t="s">
        <v>11</v>
      </c>
      <c r="F4489" s="1" t="s">
        <v>12</v>
      </c>
      <c r="G4489" s="4" t="b">
        <f t="shared" si="2"/>
        <v>1</v>
      </c>
      <c r="H4489" s="1" t="str">
        <f t="shared" si="3"/>
        <v>Currently Unavailable</v>
      </c>
      <c r="I4489" s="1" t="str">
        <f t="shared" si="4"/>
        <v>No Badges</v>
      </c>
      <c r="J4489" s="3">
        <f t="shared" si="5"/>
        <v>0</v>
      </c>
    </row>
    <row r="4490">
      <c r="A4490" s="1" t="s">
        <v>3324</v>
      </c>
      <c r="B4490" s="3" t="str">
        <f t="shared" si="1"/>
        <v>Unavailable</v>
      </c>
      <c r="C4490" s="5">
        <v>5207.0</v>
      </c>
      <c r="D4490" s="3">
        <f>IFERROR(__xludf.DUMMYFUNCTION("IFERROR(
IF(REGEXMATCH(LOWER(O4490),""k""),
VALUE(REGEXEXTRACT(O4490,""[0-9]+""))*1000,
VALUE(REGEXEXTRACT(O4490,""[0-9]+""))
),
0
)"),0.0)</f>
        <v>0</v>
      </c>
      <c r="E4490" s="1" t="s">
        <v>11</v>
      </c>
      <c r="F4490" s="1" t="s">
        <v>12</v>
      </c>
      <c r="G4490" s="4" t="b">
        <f t="shared" si="2"/>
        <v>1</v>
      </c>
      <c r="H4490" s="1" t="str">
        <f t="shared" si="3"/>
        <v>Currently Unavailable</v>
      </c>
      <c r="I4490" s="1" t="str">
        <f t="shared" si="4"/>
        <v>No Badges</v>
      </c>
      <c r="J4490" s="3">
        <f t="shared" si="5"/>
        <v>0</v>
      </c>
    </row>
    <row r="4491">
      <c r="A4491" s="1" t="s">
        <v>3324</v>
      </c>
      <c r="B4491" s="3" t="str">
        <f t="shared" si="1"/>
        <v>Unavailable</v>
      </c>
      <c r="C4491" s="5">
        <v>5207.0</v>
      </c>
      <c r="D4491" s="3">
        <f>IFERROR(__xludf.DUMMYFUNCTION("IFERROR(
IF(REGEXMATCH(LOWER(O4491),""k""),
VALUE(REGEXEXTRACT(O4491,""[0-9]+""))*1000,
VALUE(REGEXEXTRACT(O4491,""[0-9]+""))
),
0
)"),0.0)</f>
        <v>0</v>
      </c>
      <c r="E4491" s="1" t="s">
        <v>11</v>
      </c>
      <c r="F4491" s="1" t="s">
        <v>12</v>
      </c>
      <c r="G4491" s="4" t="b">
        <f t="shared" si="2"/>
        <v>1</v>
      </c>
      <c r="H4491" s="1" t="str">
        <f t="shared" si="3"/>
        <v>Currently Unavailable</v>
      </c>
      <c r="I4491" s="1" t="str">
        <f t="shared" si="4"/>
        <v>No Badges</v>
      </c>
      <c r="J4491" s="3">
        <f t="shared" si="5"/>
        <v>0</v>
      </c>
    </row>
    <row r="4492">
      <c r="A4492" s="1" t="s">
        <v>3324</v>
      </c>
      <c r="B4492" s="3" t="str">
        <f t="shared" si="1"/>
        <v>Unavailable</v>
      </c>
      <c r="C4492" s="5">
        <v>5207.0</v>
      </c>
      <c r="D4492" s="3">
        <f>IFERROR(__xludf.DUMMYFUNCTION("IFERROR(
IF(REGEXMATCH(LOWER(O4492),""k""),
VALUE(REGEXEXTRACT(O4492,""[0-9]+""))*1000,
VALUE(REGEXEXTRACT(O4492,""[0-9]+""))
),
0
)"),0.0)</f>
        <v>0</v>
      </c>
      <c r="E4492" s="1" t="s">
        <v>11</v>
      </c>
      <c r="F4492" s="1" t="s">
        <v>12</v>
      </c>
      <c r="G4492" s="4" t="b">
        <f t="shared" si="2"/>
        <v>1</v>
      </c>
      <c r="H4492" s="1" t="str">
        <f t="shared" si="3"/>
        <v>Currently Unavailable</v>
      </c>
      <c r="I4492" s="1" t="str">
        <f t="shared" si="4"/>
        <v>No Badges</v>
      </c>
      <c r="J4492" s="3">
        <f t="shared" si="5"/>
        <v>0</v>
      </c>
    </row>
    <row r="4493">
      <c r="A4493" s="1" t="s">
        <v>3324</v>
      </c>
      <c r="B4493" s="3" t="str">
        <f t="shared" si="1"/>
        <v>Unavailable</v>
      </c>
      <c r="C4493" s="5">
        <v>5207.0</v>
      </c>
      <c r="D4493" s="3">
        <f>IFERROR(__xludf.DUMMYFUNCTION("IFERROR(
IF(REGEXMATCH(LOWER(O4493),""k""),
VALUE(REGEXEXTRACT(O4493,""[0-9]+""))*1000,
VALUE(REGEXEXTRACT(O4493,""[0-9]+""))
),
0
)"),0.0)</f>
        <v>0</v>
      </c>
      <c r="E4493" s="1" t="s">
        <v>11</v>
      </c>
      <c r="F4493" s="1" t="s">
        <v>12</v>
      </c>
      <c r="G4493" s="4" t="b">
        <f t="shared" si="2"/>
        <v>1</v>
      </c>
      <c r="H4493" s="1" t="str">
        <f t="shared" si="3"/>
        <v>Currently Unavailable</v>
      </c>
      <c r="I4493" s="1" t="str">
        <f t="shared" si="4"/>
        <v>No Badges</v>
      </c>
      <c r="J4493" s="3">
        <f t="shared" si="5"/>
        <v>0</v>
      </c>
    </row>
    <row r="4494">
      <c r="A4494" s="1" t="s">
        <v>3324</v>
      </c>
      <c r="B4494" s="3" t="str">
        <f t="shared" si="1"/>
        <v>Unavailable</v>
      </c>
      <c r="C4494" s="5">
        <v>5207.0</v>
      </c>
      <c r="D4494" s="3">
        <f>IFERROR(__xludf.DUMMYFUNCTION("IFERROR(
IF(REGEXMATCH(LOWER(O4494),""k""),
VALUE(REGEXEXTRACT(O4494,""[0-9]+""))*1000,
VALUE(REGEXEXTRACT(O4494,""[0-9]+""))
),
0
)"),0.0)</f>
        <v>0</v>
      </c>
      <c r="E4494" s="1" t="s">
        <v>11</v>
      </c>
      <c r="F4494" s="1" t="s">
        <v>12</v>
      </c>
      <c r="G4494" s="4" t="b">
        <f t="shared" si="2"/>
        <v>1</v>
      </c>
      <c r="H4494" s="1" t="str">
        <f t="shared" si="3"/>
        <v>Currently Unavailable</v>
      </c>
      <c r="I4494" s="1" t="str">
        <f t="shared" si="4"/>
        <v>No Badges</v>
      </c>
      <c r="J4494" s="3">
        <f t="shared" si="5"/>
        <v>0</v>
      </c>
    </row>
    <row r="4495">
      <c r="A4495" s="1" t="s">
        <v>69</v>
      </c>
      <c r="B4495" s="3" t="str">
        <f t="shared" si="1"/>
        <v>Unavailable</v>
      </c>
      <c r="C4495" s="3">
        <v>45.0</v>
      </c>
      <c r="D4495" s="3">
        <f>IFERROR(__xludf.DUMMYFUNCTION("IFERROR(
IF(REGEXMATCH(LOWER(O4495),""k""),
VALUE(REGEXEXTRACT(O4495,""[0-9]+""))*1000,
VALUE(REGEXEXTRACT(O4495,""[0-9]+""))
),
0
)"),0.0)</f>
        <v>0</v>
      </c>
      <c r="E4495" s="1" t="s">
        <v>11</v>
      </c>
      <c r="F4495" s="1" t="s">
        <v>12</v>
      </c>
      <c r="G4495" s="4" t="b">
        <f t="shared" si="2"/>
        <v>1</v>
      </c>
      <c r="H4495" s="1" t="str">
        <f t="shared" si="3"/>
        <v>Currently Unavailable</v>
      </c>
      <c r="I4495" s="1" t="str">
        <f t="shared" si="4"/>
        <v>No Badges</v>
      </c>
      <c r="J4495" s="3">
        <f t="shared" si="5"/>
        <v>0</v>
      </c>
    </row>
    <row r="4496">
      <c r="A4496" s="1" t="s">
        <v>3324</v>
      </c>
      <c r="B4496" s="3" t="str">
        <f t="shared" si="1"/>
        <v>Unavailable</v>
      </c>
      <c r="C4496" s="5">
        <v>5207.0</v>
      </c>
      <c r="D4496" s="3">
        <f>IFERROR(__xludf.DUMMYFUNCTION("IFERROR(
IF(REGEXMATCH(LOWER(O4496),""k""),
VALUE(REGEXEXTRACT(O4496,""[0-9]+""))*1000,
VALUE(REGEXEXTRACT(O4496,""[0-9]+""))
),
0
)"),0.0)</f>
        <v>0</v>
      </c>
      <c r="E4496" s="1" t="s">
        <v>11</v>
      </c>
      <c r="F4496" s="1" t="s">
        <v>12</v>
      </c>
      <c r="G4496" s="4" t="b">
        <f t="shared" si="2"/>
        <v>1</v>
      </c>
      <c r="H4496" s="1" t="str">
        <f t="shared" si="3"/>
        <v>Currently Unavailable</v>
      </c>
      <c r="I4496" s="1" t="str">
        <f t="shared" si="4"/>
        <v>No Badges</v>
      </c>
      <c r="J4496" s="3">
        <f t="shared" si="5"/>
        <v>0</v>
      </c>
    </row>
    <row r="4497">
      <c r="A4497" s="1" t="s">
        <v>3324</v>
      </c>
      <c r="B4497" s="3" t="str">
        <f t="shared" si="1"/>
        <v>Unavailable</v>
      </c>
      <c r="C4497" s="5">
        <v>5207.0</v>
      </c>
      <c r="D4497" s="3">
        <f>IFERROR(__xludf.DUMMYFUNCTION("IFERROR(
IF(REGEXMATCH(LOWER(O4497),""k""),
VALUE(REGEXEXTRACT(O4497,""[0-9]+""))*1000,
VALUE(REGEXEXTRACT(O4497,""[0-9]+""))
),
0
)"),0.0)</f>
        <v>0</v>
      </c>
      <c r="E4497" s="1" t="s">
        <v>11</v>
      </c>
      <c r="F4497" s="1" t="s">
        <v>12</v>
      </c>
      <c r="G4497" s="4" t="b">
        <f t="shared" si="2"/>
        <v>1</v>
      </c>
      <c r="H4497" s="1" t="str">
        <f t="shared" si="3"/>
        <v>Currently Unavailable</v>
      </c>
      <c r="I4497" s="1" t="str">
        <f t="shared" si="4"/>
        <v>No Badges</v>
      </c>
      <c r="J4497" s="3">
        <f t="shared" si="5"/>
        <v>0</v>
      </c>
    </row>
    <row r="4498">
      <c r="A4498" s="1" t="s">
        <v>3324</v>
      </c>
      <c r="B4498" s="3" t="str">
        <f t="shared" si="1"/>
        <v>Unavailable</v>
      </c>
      <c r="C4498" s="5">
        <v>5207.0</v>
      </c>
      <c r="D4498" s="3">
        <f>IFERROR(__xludf.DUMMYFUNCTION("IFERROR(
IF(REGEXMATCH(LOWER(O4498),""k""),
VALUE(REGEXEXTRACT(O4498,""[0-9]+""))*1000,
VALUE(REGEXEXTRACT(O4498,""[0-9]+""))
),
0
)"),0.0)</f>
        <v>0</v>
      </c>
      <c r="E4498" s="1" t="s">
        <v>11</v>
      </c>
      <c r="F4498" s="1" t="s">
        <v>12</v>
      </c>
      <c r="G4498" s="4" t="b">
        <f t="shared" si="2"/>
        <v>1</v>
      </c>
      <c r="H4498" s="1" t="str">
        <f t="shared" si="3"/>
        <v>Currently Unavailable</v>
      </c>
      <c r="I4498" s="1" t="str">
        <f t="shared" si="4"/>
        <v>No Badges</v>
      </c>
      <c r="J4498" s="3">
        <f t="shared" si="5"/>
        <v>0</v>
      </c>
    </row>
    <row r="4499">
      <c r="A4499" s="1" t="s">
        <v>3324</v>
      </c>
      <c r="B4499" s="3" t="str">
        <f t="shared" si="1"/>
        <v>Unavailable</v>
      </c>
      <c r="C4499" s="5">
        <v>5207.0</v>
      </c>
      <c r="D4499" s="3">
        <f>IFERROR(__xludf.DUMMYFUNCTION("IFERROR(
IF(REGEXMATCH(LOWER(O4499),""k""),
VALUE(REGEXEXTRACT(O4499,""[0-9]+""))*1000,
VALUE(REGEXEXTRACT(O4499,""[0-9]+""))
),
0
)"),0.0)</f>
        <v>0</v>
      </c>
      <c r="E4499" s="1" t="s">
        <v>11</v>
      </c>
      <c r="F4499" s="1" t="s">
        <v>12</v>
      </c>
      <c r="G4499" s="4" t="b">
        <f t="shared" si="2"/>
        <v>1</v>
      </c>
      <c r="H4499" s="1" t="str">
        <f t="shared" si="3"/>
        <v>Currently Unavailable</v>
      </c>
      <c r="I4499" s="1" t="str">
        <f t="shared" si="4"/>
        <v>No Badges</v>
      </c>
      <c r="J4499" s="3">
        <f t="shared" si="5"/>
        <v>0</v>
      </c>
    </row>
    <row r="4500">
      <c r="A4500" s="1" t="s">
        <v>3324</v>
      </c>
      <c r="B4500" s="3" t="str">
        <f t="shared" si="1"/>
        <v>Unavailable</v>
      </c>
      <c r="C4500" s="5">
        <v>5207.0</v>
      </c>
      <c r="D4500" s="3">
        <f>IFERROR(__xludf.DUMMYFUNCTION("IFERROR(
IF(REGEXMATCH(LOWER(O4500),""k""),
VALUE(REGEXEXTRACT(O4500,""[0-9]+""))*1000,
VALUE(REGEXEXTRACT(O4500,""[0-9]+""))
),
0
)"),0.0)</f>
        <v>0</v>
      </c>
      <c r="E4500" s="1" t="s">
        <v>11</v>
      </c>
      <c r="F4500" s="1" t="s">
        <v>12</v>
      </c>
      <c r="G4500" s="4" t="b">
        <f t="shared" si="2"/>
        <v>1</v>
      </c>
      <c r="H4500" s="1" t="str">
        <f t="shared" si="3"/>
        <v>Currently Unavailable</v>
      </c>
      <c r="I4500" s="1" t="str">
        <f t="shared" si="4"/>
        <v>No Badges</v>
      </c>
      <c r="J4500" s="3">
        <f t="shared" si="5"/>
        <v>0</v>
      </c>
    </row>
    <row r="4501">
      <c r="A4501" s="1" t="s">
        <v>3324</v>
      </c>
      <c r="B4501" s="3" t="str">
        <f t="shared" si="1"/>
        <v>Unavailable</v>
      </c>
      <c r="C4501" s="5">
        <v>5207.0</v>
      </c>
      <c r="D4501" s="3">
        <f>IFERROR(__xludf.DUMMYFUNCTION("IFERROR(
IF(REGEXMATCH(LOWER(O4501),""k""),
VALUE(REGEXEXTRACT(O4501,""[0-9]+""))*1000,
VALUE(REGEXEXTRACT(O4501,""[0-9]+""))
),
0
)"),0.0)</f>
        <v>0</v>
      </c>
      <c r="E4501" s="1" t="s">
        <v>11</v>
      </c>
      <c r="F4501" s="1" t="s">
        <v>12</v>
      </c>
      <c r="G4501" s="4" t="b">
        <f t="shared" si="2"/>
        <v>1</v>
      </c>
      <c r="H4501" s="1" t="str">
        <f t="shared" si="3"/>
        <v>Currently Unavailable</v>
      </c>
      <c r="I4501" s="1" t="str">
        <f t="shared" si="4"/>
        <v>No Badges</v>
      </c>
      <c r="J4501" s="3">
        <f t="shared" si="5"/>
        <v>0</v>
      </c>
    </row>
    <row r="4502">
      <c r="A4502" s="1" t="s">
        <v>3324</v>
      </c>
      <c r="B4502" s="3" t="str">
        <f t="shared" si="1"/>
        <v>Unavailable</v>
      </c>
      <c r="C4502" s="5">
        <v>5207.0</v>
      </c>
      <c r="D4502" s="3">
        <f>IFERROR(__xludf.DUMMYFUNCTION("IFERROR(
IF(REGEXMATCH(LOWER(O4502),""k""),
VALUE(REGEXEXTRACT(O4502,""[0-9]+""))*1000,
VALUE(REGEXEXTRACT(O4502,""[0-9]+""))
),
0
)"),0.0)</f>
        <v>0</v>
      </c>
      <c r="E4502" s="1" t="s">
        <v>11</v>
      </c>
      <c r="F4502" s="1" t="s">
        <v>12</v>
      </c>
      <c r="G4502" s="4" t="b">
        <f t="shared" si="2"/>
        <v>1</v>
      </c>
      <c r="H4502" s="1" t="str">
        <f t="shared" si="3"/>
        <v>Currently Unavailable</v>
      </c>
      <c r="I4502" s="1" t="str">
        <f t="shared" si="4"/>
        <v>No Badges</v>
      </c>
      <c r="J4502" s="3">
        <f t="shared" si="5"/>
        <v>0</v>
      </c>
    </row>
    <row r="4503">
      <c r="A4503" s="1" t="s">
        <v>3324</v>
      </c>
      <c r="B4503" s="3" t="str">
        <f t="shared" si="1"/>
        <v>Unavailable</v>
      </c>
      <c r="C4503" s="5">
        <v>5207.0</v>
      </c>
      <c r="D4503" s="3">
        <f>IFERROR(__xludf.DUMMYFUNCTION("IFERROR(
IF(REGEXMATCH(LOWER(O4503),""k""),
VALUE(REGEXEXTRACT(O4503,""[0-9]+""))*1000,
VALUE(REGEXEXTRACT(O4503,""[0-9]+""))
),
0
)"),0.0)</f>
        <v>0</v>
      </c>
      <c r="E4503" s="1" t="s">
        <v>11</v>
      </c>
      <c r="F4503" s="1" t="s">
        <v>12</v>
      </c>
      <c r="G4503" s="4" t="b">
        <f t="shared" si="2"/>
        <v>1</v>
      </c>
      <c r="H4503" s="1" t="str">
        <f t="shared" si="3"/>
        <v>Currently Unavailable</v>
      </c>
      <c r="I4503" s="1" t="str">
        <f t="shared" si="4"/>
        <v>No Badges</v>
      </c>
      <c r="J4503" s="3">
        <f t="shared" si="5"/>
        <v>0</v>
      </c>
    </row>
    <row r="4504">
      <c r="A4504" s="1" t="s">
        <v>3324</v>
      </c>
      <c r="B4504" s="3" t="str">
        <f t="shared" si="1"/>
        <v>Unavailable</v>
      </c>
      <c r="C4504" s="5">
        <v>5207.0</v>
      </c>
      <c r="D4504" s="3">
        <f>IFERROR(__xludf.DUMMYFUNCTION("IFERROR(
IF(REGEXMATCH(LOWER(O4504),""k""),
VALUE(REGEXEXTRACT(O4504,""[0-9]+""))*1000,
VALUE(REGEXEXTRACT(O4504,""[0-9]+""))
),
0
)"),0.0)</f>
        <v>0</v>
      </c>
      <c r="E4504" s="1" t="s">
        <v>11</v>
      </c>
      <c r="F4504" s="1" t="s">
        <v>12</v>
      </c>
      <c r="G4504" s="4" t="b">
        <f t="shared" si="2"/>
        <v>1</v>
      </c>
      <c r="H4504" s="1" t="str">
        <f t="shared" si="3"/>
        <v>Currently Unavailable</v>
      </c>
      <c r="I4504" s="1" t="str">
        <f t="shared" si="4"/>
        <v>No Badges</v>
      </c>
      <c r="J4504" s="3">
        <f t="shared" si="5"/>
        <v>0</v>
      </c>
    </row>
    <row r="4505">
      <c r="A4505" s="1" t="s">
        <v>3324</v>
      </c>
      <c r="B4505" s="3" t="str">
        <f t="shared" si="1"/>
        <v>Unavailable</v>
      </c>
      <c r="C4505" s="5">
        <v>5207.0</v>
      </c>
      <c r="D4505" s="3">
        <f>IFERROR(__xludf.DUMMYFUNCTION("IFERROR(
IF(REGEXMATCH(LOWER(O4505),""k""),
VALUE(REGEXEXTRACT(O4505,""[0-9]+""))*1000,
VALUE(REGEXEXTRACT(O4505,""[0-9]+""))
),
0
)"),0.0)</f>
        <v>0</v>
      </c>
      <c r="E4505" s="1" t="s">
        <v>11</v>
      </c>
      <c r="F4505" s="1" t="s">
        <v>12</v>
      </c>
      <c r="G4505" s="4" t="b">
        <f t="shared" si="2"/>
        <v>1</v>
      </c>
      <c r="H4505" s="1" t="str">
        <f t="shared" si="3"/>
        <v>Currently Unavailable</v>
      </c>
      <c r="I4505" s="1" t="str">
        <f t="shared" si="4"/>
        <v>No Badges</v>
      </c>
      <c r="J4505" s="3">
        <f t="shared" si="5"/>
        <v>0</v>
      </c>
    </row>
    <row r="4506">
      <c r="A4506" s="1" t="s">
        <v>3324</v>
      </c>
      <c r="B4506" s="3" t="str">
        <f t="shared" si="1"/>
        <v>Unavailable</v>
      </c>
      <c r="C4506" s="5">
        <v>5207.0</v>
      </c>
      <c r="D4506" s="3">
        <f>IFERROR(__xludf.DUMMYFUNCTION("IFERROR(
IF(REGEXMATCH(LOWER(O4506),""k""),
VALUE(REGEXEXTRACT(O4506,""[0-9]+""))*1000,
VALUE(REGEXEXTRACT(O4506,""[0-9]+""))
),
0
)"),0.0)</f>
        <v>0</v>
      </c>
      <c r="E4506" s="1" t="s">
        <v>11</v>
      </c>
      <c r="F4506" s="1" t="s">
        <v>12</v>
      </c>
      <c r="G4506" s="4" t="b">
        <f t="shared" si="2"/>
        <v>1</v>
      </c>
      <c r="H4506" s="1" t="str">
        <f t="shared" si="3"/>
        <v>Currently Unavailable</v>
      </c>
      <c r="I4506" s="1" t="str">
        <f t="shared" si="4"/>
        <v>No Badges</v>
      </c>
      <c r="J4506" s="3">
        <f t="shared" si="5"/>
        <v>0</v>
      </c>
    </row>
    <row r="4507">
      <c r="A4507" s="1" t="s">
        <v>3324</v>
      </c>
      <c r="B4507" s="3" t="str">
        <f t="shared" si="1"/>
        <v>Unavailable</v>
      </c>
      <c r="C4507" s="5">
        <v>5207.0</v>
      </c>
      <c r="D4507" s="3">
        <f>IFERROR(__xludf.DUMMYFUNCTION("IFERROR(
IF(REGEXMATCH(LOWER(O4507),""k""),
VALUE(REGEXEXTRACT(O4507,""[0-9]+""))*1000,
VALUE(REGEXEXTRACT(O4507,""[0-9]+""))
),
0
)"),0.0)</f>
        <v>0</v>
      </c>
      <c r="E4507" s="1" t="s">
        <v>11</v>
      </c>
      <c r="F4507" s="1" t="s">
        <v>12</v>
      </c>
      <c r="G4507" s="4" t="b">
        <f t="shared" si="2"/>
        <v>1</v>
      </c>
      <c r="H4507" s="1" t="str">
        <f t="shared" si="3"/>
        <v>Currently Unavailable</v>
      </c>
      <c r="I4507" s="1" t="str">
        <f t="shared" si="4"/>
        <v>No Badges</v>
      </c>
      <c r="J4507" s="3">
        <f t="shared" si="5"/>
        <v>0</v>
      </c>
    </row>
    <row r="4508">
      <c r="A4508" s="1" t="s">
        <v>67</v>
      </c>
      <c r="B4508" s="3" t="str">
        <f t="shared" si="1"/>
        <v>Unavailable</v>
      </c>
      <c r="C4508" s="3">
        <v>264.0</v>
      </c>
      <c r="D4508" s="3">
        <f>IFERROR(__xludf.DUMMYFUNCTION("IFERROR(
IF(REGEXMATCH(LOWER(O4508),""k""),
VALUE(REGEXEXTRACT(O4508,""[0-9]+""))*1000,
VALUE(REGEXEXTRACT(O4508,""[0-9]+""))
),
0
)"),0.0)</f>
        <v>0</v>
      </c>
      <c r="E4508" s="1" t="s">
        <v>11</v>
      </c>
      <c r="F4508" s="1" t="s">
        <v>12</v>
      </c>
      <c r="G4508" s="4" t="b">
        <f t="shared" si="2"/>
        <v>1</v>
      </c>
      <c r="H4508" s="1" t="str">
        <f t="shared" si="3"/>
        <v>Currently Unavailable</v>
      </c>
      <c r="I4508" s="1" t="str">
        <f t="shared" si="4"/>
        <v>No Badges</v>
      </c>
      <c r="J4508" s="3">
        <f t="shared" si="5"/>
        <v>0</v>
      </c>
    </row>
    <row r="4509">
      <c r="A4509" s="1" t="s">
        <v>3324</v>
      </c>
      <c r="B4509" s="3" t="str">
        <f t="shared" si="1"/>
        <v>Unavailable</v>
      </c>
      <c r="C4509" s="5">
        <v>5207.0</v>
      </c>
      <c r="D4509" s="3">
        <f>IFERROR(__xludf.DUMMYFUNCTION("IFERROR(
IF(REGEXMATCH(LOWER(O4509),""k""),
VALUE(REGEXEXTRACT(O4509,""[0-9]+""))*1000,
VALUE(REGEXEXTRACT(O4509,""[0-9]+""))
),
0
)"),0.0)</f>
        <v>0</v>
      </c>
      <c r="E4509" s="1" t="s">
        <v>11</v>
      </c>
      <c r="F4509" s="1" t="s">
        <v>12</v>
      </c>
      <c r="G4509" s="4" t="b">
        <f t="shared" si="2"/>
        <v>1</v>
      </c>
      <c r="H4509" s="1" t="str">
        <f t="shared" si="3"/>
        <v>Currently Unavailable</v>
      </c>
      <c r="I4509" s="1" t="str">
        <f t="shared" si="4"/>
        <v>No Badges</v>
      </c>
      <c r="J4509" s="3">
        <f t="shared" si="5"/>
        <v>0</v>
      </c>
    </row>
    <row r="4510">
      <c r="A4510" s="1" t="s">
        <v>701</v>
      </c>
      <c r="B4510" s="3" t="str">
        <f t="shared" si="1"/>
        <v>Unavailable</v>
      </c>
      <c r="C4510" s="3">
        <v>8.0</v>
      </c>
      <c r="D4510" s="3">
        <f>IFERROR(__xludf.DUMMYFUNCTION("IFERROR(
IF(REGEXMATCH(LOWER(O4510),""k""),
VALUE(REGEXEXTRACT(O4510,""[0-9]+""))*1000,
VALUE(REGEXEXTRACT(O4510,""[0-9]+""))
),
0
)"),0.0)</f>
        <v>0</v>
      </c>
      <c r="E4510" s="1" t="s">
        <v>11</v>
      </c>
      <c r="F4510" s="1" t="s">
        <v>12</v>
      </c>
      <c r="G4510" s="4" t="b">
        <f t="shared" si="2"/>
        <v>1</v>
      </c>
      <c r="H4510" s="1" t="str">
        <f t="shared" si="3"/>
        <v>Currently Unavailable</v>
      </c>
      <c r="I4510" s="1" t="str">
        <f t="shared" si="4"/>
        <v>No Badges</v>
      </c>
      <c r="J4510" s="3">
        <f t="shared" si="5"/>
        <v>0</v>
      </c>
    </row>
    <row r="4511">
      <c r="A4511" s="1" t="s">
        <v>3335</v>
      </c>
      <c r="B4511" s="3" t="str">
        <f t="shared" si="1"/>
        <v>Unavailable</v>
      </c>
      <c r="C4511" s="3">
        <v>106.0</v>
      </c>
      <c r="D4511" s="3">
        <f>IFERROR(__xludf.DUMMYFUNCTION("IFERROR(
IF(REGEXMATCH(LOWER(O4511),""k""),
VALUE(REGEXEXTRACT(O4511,""[0-9]+""))*1000,
VALUE(REGEXEXTRACT(O4511,""[0-9]+""))
),
0
)"),0.0)</f>
        <v>0</v>
      </c>
      <c r="E4511" s="1" t="s">
        <v>11</v>
      </c>
      <c r="F4511" s="1" t="s">
        <v>20</v>
      </c>
      <c r="G4511" s="4" t="b">
        <f t="shared" si="2"/>
        <v>1</v>
      </c>
      <c r="H4511" s="1" t="str">
        <f t="shared" si="3"/>
        <v>Currently Unavailable</v>
      </c>
      <c r="I4511" s="1" t="str">
        <f t="shared" si="4"/>
        <v>No Badges</v>
      </c>
      <c r="J4511" s="3">
        <f t="shared" si="5"/>
        <v>0</v>
      </c>
    </row>
    <row r="4512">
      <c r="A4512" s="1" t="s">
        <v>3324</v>
      </c>
      <c r="B4512" s="3" t="str">
        <f t="shared" si="1"/>
        <v>Unavailable</v>
      </c>
      <c r="C4512" s="5">
        <v>5207.0</v>
      </c>
      <c r="D4512" s="3">
        <f>IFERROR(__xludf.DUMMYFUNCTION("IFERROR(
IF(REGEXMATCH(LOWER(O4512),""k""),
VALUE(REGEXEXTRACT(O4512,""[0-9]+""))*1000,
VALUE(REGEXEXTRACT(O4512,""[0-9]+""))
),
0
)"),0.0)</f>
        <v>0</v>
      </c>
      <c r="E4512" s="1" t="s">
        <v>11</v>
      </c>
      <c r="F4512" s="1" t="s">
        <v>12</v>
      </c>
      <c r="G4512" s="4" t="b">
        <f t="shared" si="2"/>
        <v>1</v>
      </c>
      <c r="H4512" s="1" t="str">
        <f t="shared" si="3"/>
        <v>Currently Unavailable</v>
      </c>
      <c r="I4512" s="1" t="str">
        <f t="shared" si="4"/>
        <v>No Badges</v>
      </c>
      <c r="J4512" s="3">
        <f t="shared" si="5"/>
        <v>0</v>
      </c>
    </row>
    <row r="4513">
      <c r="A4513" s="1" t="s">
        <v>3324</v>
      </c>
      <c r="B4513" s="3" t="str">
        <f t="shared" si="1"/>
        <v>Unavailable</v>
      </c>
      <c r="C4513" s="5">
        <v>5207.0</v>
      </c>
      <c r="D4513" s="3">
        <f>IFERROR(__xludf.DUMMYFUNCTION("IFERROR(
IF(REGEXMATCH(LOWER(O4513),""k""),
VALUE(REGEXEXTRACT(O4513,""[0-9]+""))*1000,
VALUE(REGEXEXTRACT(O4513,""[0-9]+""))
),
0
)"),0.0)</f>
        <v>0</v>
      </c>
      <c r="E4513" s="1" t="s">
        <v>11</v>
      </c>
      <c r="F4513" s="1" t="s">
        <v>12</v>
      </c>
      <c r="G4513" s="4" t="b">
        <f t="shared" si="2"/>
        <v>1</v>
      </c>
      <c r="H4513" s="1" t="str">
        <f t="shared" si="3"/>
        <v>Currently Unavailable</v>
      </c>
      <c r="I4513" s="1" t="str">
        <f t="shared" si="4"/>
        <v>No Badges</v>
      </c>
      <c r="J4513" s="3">
        <f t="shared" si="5"/>
        <v>0</v>
      </c>
    </row>
    <row r="4514">
      <c r="A4514" s="1" t="s">
        <v>3324</v>
      </c>
      <c r="B4514" s="3" t="str">
        <f t="shared" si="1"/>
        <v>Unavailable</v>
      </c>
      <c r="C4514" s="5">
        <v>5207.0</v>
      </c>
      <c r="D4514" s="3">
        <f>IFERROR(__xludf.DUMMYFUNCTION("IFERROR(
IF(REGEXMATCH(LOWER(O4514),""k""),
VALUE(REGEXEXTRACT(O4514,""[0-9]+""))*1000,
VALUE(REGEXEXTRACT(O4514,""[0-9]+""))
),
0
)"),0.0)</f>
        <v>0</v>
      </c>
      <c r="E4514" s="1" t="s">
        <v>11</v>
      </c>
      <c r="F4514" s="1" t="s">
        <v>12</v>
      </c>
      <c r="G4514" s="4" t="b">
        <f t="shared" si="2"/>
        <v>1</v>
      </c>
      <c r="H4514" s="1" t="str">
        <f t="shared" si="3"/>
        <v>Currently Unavailable</v>
      </c>
      <c r="I4514" s="1" t="str">
        <f t="shared" si="4"/>
        <v>No Badges</v>
      </c>
      <c r="J4514" s="3">
        <f t="shared" si="5"/>
        <v>0</v>
      </c>
    </row>
    <row r="4515">
      <c r="A4515" s="1" t="s">
        <v>3324</v>
      </c>
      <c r="B4515" s="3" t="str">
        <f t="shared" si="1"/>
        <v>Unavailable</v>
      </c>
      <c r="C4515" s="5">
        <v>5207.0</v>
      </c>
      <c r="D4515" s="3">
        <f>IFERROR(__xludf.DUMMYFUNCTION("IFERROR(
IF(REGEXMATCH(LOWER(O4515),""k""),
VALUE(REGEXEXTRACT(O4515,""[0-9]+""))*1000,
VALUE(REGEXEXTRACT(O4515,""[0-9]+""))
),
0
)"),0.0)</f>
        <v>0</v>
      </c>
      <c r="E4515" s="1" t="s">
        <v>11</v>
      </c>
      <c r="F4515" s="1" t="s">
        <v>12</v>
      </c>
      <c r="G4515" s="4" t="b">
        <f t="shared" si="2"/>
        <v>1</v>
      </c>
      <c r="H4515" s="1" t="str">
        <f t="shared" si="3"/>
        <v>Currently Unavailable</v>
      </c>
      <c r="I4515" s="1" t="str">
        <f t="shared" si="4"/>
        <v>No Badges</v>
      </c>
      <c r="J4515" s="3">
        <f t="shared" si="5"/>
        <v>0</v>
      </c>
    </row>
    <row r="4516">
      <c r="A4516" s="1" t="s">
        <v>3324</v>
      </c>
      <c r="B4516" s="3" t="str">
        <f t="shared" si="1"/>
        <v>Unavailable</v>
      </c>
      <c r="C4516" s="5">
        <v>5207.0</v>
      </c>
      <c r="D4516" s="3">
        <f>IFERROR(__xludf.DUMMYFUNCTION("IFERROR(
IF(REGEXMATCH(LOWER(O4516),""k""),
VALUE(REGEXEXTRACT(O4516,""[0-9]+""))*1000,
VALUE(REGEXEXTRACT(O4516,""[0-9]+""))
),
0
)"),0.0)</f>
        <v>0</v>
      </c>
      <c r="E4516" s="1" t="s">
        <v>11</v>
      </c>
      <c r="F4516" s="1" t="s">
        <v>12</v>
      </c>
      <c r="G4516" s="4" t="b">
        <f t="shared" si="2"/>
        <v>1</v>
      </c>
      <c r="H4516" s="1" t="str">
        <f t="shared" si="3"/>
        <v>Currently Unavailable</v>
      </c>
      <c r="I4516" s="1" t="str">
        <f t="shared" si="4"/>
        <v>No Badges</v>
      </c>
      <c r="J4516" s="3">
        <f t="shared" si="5"/>
        <v>0</v>
      </c>
    </row>
    <row r="4517">
      <c r="A4517" s="1" t="s">
        <v>3324</v>
      </c>
      <c r="B4517" s="3" t="str">
        <f t="shared" si="1"/>
        <v>Unavailable</v>
      </c>
      <c r="C4517" s="5">
        <v>5207.0</v>
      </c>
      <c r="D4517" s="3">
        <f>IFERROR(__xludf.DUMMYFUNCTION("IFERROR(
IF(REGEXMATCH(LOWER(O4517),""k""),
VALUE(REGEXEXTRACT(O4517,""[0-9]+""))*1000,
VALUE(REGEXEXTRACT(O4517,""[0-9]+""))
),
0
)"),0.0)</f>
        <v>0</v>
      </c>
      <c r="E4517" s="1" t="s">
        <v>11</v>
      </c>
      <c r="F4517" s="1" t="s">
        <v>12</v>
      </c>
      <c r="G4517" s="4" t="b">
        <f t="shared" si="2"/>
        <v>1</v>
      </c>
      <c r="H4517" s="1" t="str">
        <f t="shared" si="3"/>
        <v>Currently Unavailable</v>
      </c>
      <c r="I4517" s="1" t="str">
        <f t="shared" si="4"/>
        <v>No Badges</v>
      </c>
      <c r="J4517" s="3">
        <f t="shared" si="5"/>
        <v>0</v>
      </c>
    </row>
    <row r="4518">
      <c r="A4518" s="1" t="s">
        <v>3324</v>
      </c>
      <c r="B4518" s="3" t="str">
        <f t="shared" si="1"/>
        <v>Unavailable</v>
      </c>
      <c r="C4518" s="5">
        <v>5207.0</v>
      </c>
      <c r="D4518" s="3">
        <f>IFERROR(__xludf.DUMMYFUNCTION("IFERROR(
IF(REGEXMATCH(LOWER(O4518),""k""),
VALUE(REGEXEXTRACT(O4518,""[0-9]+""))*1000,
VALUE(REGEXEXTRACT(O4518,""[0-9]+""))
),
0
)"),0.0)</f>
        <v>0</v>
      </c>
      <c r="E4518" s="1" t="s">
        <v>11</v>
      </c>
      <c r="F4518" s="1" t="s">
        <v>12</v>
      </c>
      <c r="G4518" s="4" t="b">
        <f t="shared" si="2"/>
        <v>1</v>
      </c>
      <c r="H4518" s="1" t="str">
        <f t="shared" si="3"/>
        <v>Currently Unavailable</v>
      </c>
      <c r="I4518" s="1" t="str">
        <f t="shared" si="4"/>
        <v>No Badges</v>
      </c>
      <c r="J4518" s="3">
        <f t="shared" si="5"/>
        <v>0</v>
      </c>
    </row>
    <row r="4519">
      <c r="A4519" s="1" t="s">
        <v>3324</v>
      </c>
      <c r="B4519" s="3" t="str">
        <f t="shared" si="1"/>
        <v>Unavailable</v>
      </c>
      <c r="C4519" s="5">
        <v>5207.0</v>
      </c>
      <c r="D4519" s="3">
        <f>IFERROR(__xludf.DUMMYFUNCTION("IFERROR(
IF(REGEXMATCH(LOWER(O4519),""k""),
VALUE(REGEXEXTRACT(O4519,""[0-9]+""))*1000,
VALUE(REGEXEXTRACT(O4519,""[0-9]+""))
),
0
)"),0.0)</f>
        <v>0</v>
      </c>
      <c r="E4519" s="1" t="s">
        <v>11</v>
      </c>
      <c r="F4519" s="1" t="s">
        <v>12</v>
      </c>
      <c r="G4519" s="4" t="b">
        <f t="shared" si="2"/>
        <v>1</v>
      </c>
      <c r="H4519" s="1" t="str">
        <f t="shared" si="3"/>
        <v>Currently Unavailable</v>
      </c>
      <c r="I4519" s="1" t="str">
        <f t="shared" si="4"/>
        <v>No Badges</v>
      </c>
      <c r="J4519" s="3">
        <f t="shared" si="5"/>
        <v>0</v>
      </c>
    </row>
    <row r="4520">
      <c r="A4520" s="1" t="s">
        <v>3324</v>
      </c>
      <c r="B4520" s="3" t="str">
        <f t="shared" si="1"/>
        <v>Unavailable</v>
      </c>
      <c r="C4520" s="5">
        <v>5207.0</v>
      </c>
      <c r="D4520" s="3">
        <f>IFERROR(__xludf.DUMMYFUNCTION("IFERROR(
IF(REGEXMATCH(LOWER(O4520),""k""),
VALUE(REGEXEXTRACT(O4520,""[0-9]+""))*1000,
VALUE(REGEXEXTRACT(O4520,""[0-9]+""))
),
0
)"),0.0)</f>
        <v>0</v>
      </c>
      <c r="E4520" s="1" t="s">
        <v>11</v>
      </c>
      <c r="F4520" s="1" t="s">
        <v>12</v>
      </c>
      <c r="G4520" s="4" t="b">
        <f t="shared" si="2"/>
        <v>1</v>
      </c>
      <c r="H4520" s="1" t="str">
        <f t="shared" si="3"/>
        <v>Currently Unavailable</v>
      </c>
      <c r="I4520" s="1" t="str">
        <f t="shared" si="4"/>
        <v>No Badges</v>
      </c>
      <c r="J4520" s="3">
        <f t="shared" si="5"/>
        <v>0</v>
      </c>
    </row>
    <row r="4521">
      <c r="A4521" s="1" t="s">
        <v>3324</v>
      </c>
      <c r="B4521" s="3" t="str">
        <f t="shared" si="1"/>
        <v>Unavailable</v>
      </c>
      <c r="C4521" s="5">
        <v>5207.0</v>
      </c>
      <c r="D4521" s="3">
        <f>IFERROR(__xludf.DUMMYFUNCTION("IFERROR(
IF(REGEXMATCH(LOWER(O4521),""k""),
VALUE(REGEXEXTRACT(O4521,""[0-9]+""))*1000,
VALUE(REGEXEXTRACT(O4521,""[0-9]+""))
),
0
)"),0.0)</f>
        <v>0</v>
      </c>
      <c r="E4521" s="1" t="s">
        <v>11</v>
      </c>
      <c r="F4521" s="1" t="s">
        <v>12</v>
      </c>
      <c r="G4521" s="4" t="b">
        <f t="shared" si="2"/>
        <v>1</v>
      </c>
      <c r="H4521" s="1" t="str">
        <f t="shared" si="3"/>
        <v>Currently Unavailable</v>
      </c>
      <c r="I4521" s="1" t="str">
        <f t="shared" si="4"/>
        <v>No Badges</v>
      </c>
      <c r="J4521" s="3">
        <f t="shared" si="5"/>
        <v>0</v>
      </c>
    </row>
    <row r="4522">
      <c r="A4522" s="1" t="s">
        <v>3324</v>
      </c>
      <c r="B4522" s="3" t="str">
        <f t="shared" si="1"/>
        <v>Unavailable</v>
      </c>
      <c r="C4522" s="5">
        <v>5207.0</v>
      </c>
      <c r="D4522" s="3">
        <f>IFERROR(__xludf.DUMMYFUNCTION("IFERROR(
IF(REGEXMATCH(LOWER(O4522),""k""),
VALUE(REGEXEXTRACT(O4522,""[0-9]+""))*1000,
VALUE(REGEXEXTRACT(O4522,""[0-9]+""))
),
0
)"),0.0)</f>
        <v>0</v>
      </c>
      <c r="E4522" s="1" t="s">
        <v>11</v>
      </c>
      <c r="F4522" s="1" t="s">
        <v>12</v>
      </c>
      <c r="G4522" s="4" t="b">
        <f t="shared" si="2"/>
        <v>1</v>
      </c>
      <c r="H4522" s="1" t="str">
        <f t="shared" si="3"/>
        <v>Currently Unavailable</v>
      </c>
      <c r="I4522" s="1" t="str">
        <f t="shared" si="4"/>
        <v>No Badges</v>
      </c>
      <c r="J4522" s="3">
        <f t="shared" si="5"/>
        <v>0</v>
      </c>
    </row>
    <row r="4523">
      <c r="A4523" s="1" t="s">
        <v>3324</v>
      </c>
      <c r="B4523" s="3" t="str">
        <f t="shared" si="1"/>
        <v>Unavailable</v>
      </c>
      <c r="C4523" s="5">
        <v>5207.0</v>
      </c>
      <c r="D4523" s="3">
        <f>IFERROR(__xludf.DUMMYFUNCTION("IFERROR(
IF(REGEXMATCH(LOWER(O4523),""k""),
VALUE(REGEXEXTRACT(O4523,""[0-9]+""))*1000,
VALUE(REGEXEXTRACT(O4523,""[0-9]+""))
),
0
)"),0.0)</f>
        <v>0</v>
      </c>
      <c r="E4523" s="1" t="s">
        <v>11</v>
      </c>
      <c r="F4523" s="1" t="s">
        <v>12</v>
      </c>
      <c r="G4523" s="4" t="b">
        <f t="shared" si="2"/>
        <v>1</v>
      </c>
      <c r="H4523" s="1" t="str">
        <f t="shared" si="3"/>
        <v>Currently Unavailable</v>
      </c>
      <c r="I4523" s="1" t="str">
        <f t="shared" si="4"/>
        <v>No Badges</v>
      </c>
      <c r="J4523" s="3">
        <f t="shared" si="5"/>
        <v>0</v>
      </c>
    </row>
    <row r="4524">
      <c r="A4524" s="1" t="s">
        <v>88</v>
      </c>
      <c r="B4524" s="3" t="str">
        <f t="shared" si="1"/>
        <v>Unavailable</v>
      </c>
      <c r="C4524" s="3">
        <v>5.0</v>
      </c>
      <c r="D4524" s="3">
        <f>IFERROR(__xludf.DUMMYFUNCTION("IFERROR(
IF(REGEXMATCH(LOWER(O4524),""k""),
VALUE(REGEXEXTRACT(O4524,""[0-9]+""))*1000,
VALUE(REGEXEXTRACT(O4524,""[0-9]+""))
),
0
)"),0.0)</f>
        <v>0</v>
      </c>
      <c r="E4524" s="1" t="s">
        <v>11</v>
      </c>
      <c r="F4524" s="1" t="s">
        <v>12</v>
      </c>
      <c r="G4524" s="4" t="b">
        <f t="shared" si="2"/>
        <v>1</v>
      </c>
      <c r="H4524" s="1" t="str">
        <f t="shared" si="3"/>
        <v>Currently Unavailable</v>
      </c>
      <c r="I4524" s="1" t="str">
        <f t="shared" si="4"/>
        <v>No Badges</v>
      </c>
      <c r="J4524" s="3">
        <f t="shared" si="5"/>
        <v>0</v>
      </c>
    </row>
    <row r="4525">
      <c r="A4525" s="1" t="s">
        <v>40</v>
      </c>
      <c r="B4525" s="3" t="str">
        <f t="shared" si="1"/>
        <v>Unavailable</v>
      </c>
      <c r="C4525" s="3">
        <v>171.0</v>
      </c>
      <c r="D4525" s="3">
        <f>IFERROR(__xludf.DUMMYFUNCTION("IFERROR(
IF(REGEXMATCH(LOWER(O4525),""k""),
VALUE(REGEXEXTRACT(O4525,""[0-9]+""))*1000,
VALUE(REGEXEXTRACT(O4525,""[0-9]+""))
),
0
)"),0.0)</f>
        <v>0</v>
      </c>
      <c r="E4525" s="1" t="s">
        <v>11</v>
      </c>
      <c r="F4525" s="1" t="s">
        <v>12</v>
      </c>
      <c r="G4525" s="4" t="b">
        <f t="shared" si="2"/>
        <v>1</v>
      </c>
      <c r="H4525" s="1" t="str">
        <f t="shared" si="3"/>
        <v>Currently Unavailable</v>
      </c>
      <c r="I4525" s="1" t="str">
        <f t="shared" si="4"/>
        <v>No Badges</v>
      </c>
      <c r="J4525" s="3">
        <f t="shared" si="5"/>
        <v>0</v>
      </c>
    </row>
    <row r="4526">
      <c r="A4526" s="1" t="s">
        <v>3324</v>
      </c>
      <c r="B4526" s="3" t="str">
        <f t="shared" si="1"/>
        <v>Unavailable</v>
      </c>
      <c r="C4526" s="5">
        <v>5207.0</v>
      </c>
      <c r="D4526" s="3">
        <f>IFERROR(__xludf.DUMMYFUNCTION("IFERROR(
IF(REGEXMATCH(LOWER(O4526),""k""),
VALUE(REGEXEXTRACT(O4526,""[0-9]+""))*1000,
VALUE(REGEXEXTRACT(O4526,""[0-9]+""))
),
0
)"),0.0)</f>
        <v>0</v>
      </c>
      <c r="E4526" s="1" t="s">
        <v>11</v>
      </c>
      <c r="F4526" s="1" t="s">
        <v>12</v>
      </c>
      <c r="G4526" s="4" t="b">
        <f t="shared" si="2"/>
        <v>1</v>
      </c>
      <c r="H4526" s="1" t="str">
        <f t="shared" si="3"/>
        <v>Currently Unavailable</v>
      </c>
      <c r="I4526" s="1" t="str">
        <f t="shared" si="4"/>
        <v>No Badges</v>
      </c>
      <c r="J4526" s="3">
        <f t="shared" si="5"/>
        <v>0</v>
      </c>
    </row>
    <row r="4527">
      <c r="A4527" s="1" t="s">
        <v>3324</v>
      </c>
      <c r="B4527" s="3" t="str">
        <f t="shared" si="1"/>
        <v>Unavailable</v>
      </c>
      <c r="C4527" s="5">
        <v>5207.0</v>
      </c>
      <c r="D4527" s="3">
        <f>IFERROR(__xludf.DUMMYFUNCTION("IFERROR(
IF(REGEXMATCH(LOWER(O4527),""k""),
VALUE(REGEXEXTRACT(O4527,""[0-9]+""))*1000,
VALUE(REGEXEXTRACT(O4527,""[0-9]+""))
),
0
)"),0.0)</f>
        <v>0</v>
      </c>
      <c r="E4527" s="1" t="s">
        <v>11</v>
      </c>
      <c r="F4527" s="1" t="s">
        <v>12</v>
      </c>
      <c r="G4527" s="4" t="b">
        <f t="shared" si="2"/>
        <v>1</v>
      </c>
      <c r="H4527" s="1" t="str">
        <f t="shared" si="3"/>
        <v>Currently Unavailable</v>
      </c>
      <c r="I4527" s="1" t="str">
        <f t="shared" si="4"/>
        <v>No Badges</v>
      </c>
      <c r="J4527" s="3">
        <f t="shared" si="5"/>
        <v>0</v>
      </c>
    </row>
    <row r="4528">
      <c r="A4528" s="1" t="s">
        <v>69</v>
      </c>
      <c r="B4528" s="3" t="str">
        <f t="shared" si="1"/>
        <v>Unavailable</v>
      </c>
      <c r="C4528" s="3">
        <v>45.0</v>
      </c>
      <c r="D4528" s="3">
        <f>IFERROR(__xludf.DUMMYFUNCTION("IFERROR(
IF(REGEXMATCH(LOWER(O4528),""k""),
VALUE(REGEXEXTRACT(O4528,""[0-9]+""))*1000,
VALUE(REGEXEXTRACT(O4528,""[0-9]+""))
),
0
)"),0.0)</f>
        <v>0</v>
      </c>
      <c r="E4528" s="1" t="s">
        <v>11</v>
      </c>
      <c r="F4528" s="1" t="s">
        <v>12</v>
      </c>
      <c r="G4528" s="4" t="b">
        <f t="shared" si="2"/>
        <v>1</v>
      </c>
      <c r="H4528" s="1" t="str">
        <f t="shared" si="3"/>
        <v>Currently Unavailable</v>
      </c>
      <c r="I4528" s="1" t="str">
        <f t="shared" si="4"/>
        <v>No Badges</v>
      </c>
      <c r="J4528" s="3">
        <f t="shared" si="5"/>
        <v>0</v>
      </c>
    </row>
    <row r="4529">
      <c r="A4529" s="1" t="s">
        <v>3324</v>
      </c>
      <c r="B4529" s="3" t="str">
        <f t="shared" si="1"/>
        <v>Unavailable</v>
      </c>
      <c r="C4529" s="5">
        <v>5207.0</v>
      </c>
      <c r="D4529" s="3">
        <f>IFERROR(__xludf.DUMMYFUNCTION("IFERROR(
IF(REGEXMATCH(LOWER(O4529),""k""),
VALUE(REGEXEXTRACT(O4529,""[0-9]+""))*1000,
VALUE(REGEXEXTRACT(O4529,""[0-9]+""))
),
0
)"),0.0)</f>
        <v>0</v>
      </c>
      <c r="E4529" s="1" t="s">
        <v>11</v>
      </c>
      <c r="F4529" s="1" t="s">
        <v>12</v>
      </c>
      <c r="G4529" s="4" t="b">
        <f t="shared" si="2"/>
        <v>1</v>
      </c>
      <c r="H4529" s="1" t="str">
        <f t="shared" si="3"/>
        <v>Currently Unavailable</v>
      </c>
      <c r="I4529" s="1" t="str">
        <f t="shared" si="4"/>
        <v>No Badges</v>
      </c>
      <c r="J4529" s="3">
        <f t="shared" si="5"/>
        <v>0</v>
      </c>
    </row>
    <row r="4530">
      <c r="A4530" s="1" t="s">
        <v>3324</v>
      </c>
      <c r="B4530" s="3" t="str">
        <f t="shared" si="1"/>
        <v>Unavailable</v>
      </c>
      <c r="C4530" s="5">
        <v>5207.0</v>
      </c>
      <c r="D4530" s="3">
        <f>IFERROR(__xludf.DUMMYFUNCTION("IFERROR(
IF(REGEXMATCH(LOWER(O4530),""k""),
VALUE(REGEXEXTRACT(O4530,""[0-9]+""))*1000,
VALUE(REGEXEXTRACT(O4530,""[0-9]+""))
),
0
)"),0.0)</f>
        <v>0</v>
      </c>
      <c r="E4530" s="1" t="s">
        <v>11</v>
      </c>
      <c r="F4530" s="1" t="s">
        <v>12</v>
      </c>
      <c r="G4530" s="4" t="b">
        <f t="shared" si="2"/>
        <v>1</v>
      </c>
      <c r="H4530" s="1" t="str">
        <f t="shared" si="3"/>
        <v>Currently Unavailable</v>
      </c>
      <c r="I4530" s="1" t="str">
        <f t="shared" si="4"/>
        <v>No Badges</v>
      </c>
      <c r="J4530" s="3">
        <f t="shared" si="5"/>
        <v>0</v>
      </c>
    </row>
    <row r="4531">
      <c r="A4531" s="1" t="s">
        <v>3324</v>
      </c>
      <c r="B4531" s="3" t="str">
        <f t="shared" si="1"/>
        <v>Unavailable</v>
      </c>
      <c r="C4531" s="5">
        <v>5207.0</v>
      </c>
      <c r="D4531" s="3">
        <f>IFERROR(__xludf.DUMMYFUNCTION("IFERROR(
IF(REGEXMATCH(LOWER(O4531),""k""),
VALUE(REGEXEXTRACT(O4531,""[0-9]+""))*1000,
VALUE(REGEXEXTRACT(O4531,""[0-9]+""))
),
0
)"),0.0)</f>
        <v>0</v>
      </c>
      <c r="E4531" s="1" t="s">
        <v>11</v>
      </c>
      <c r="F4531" s="1" t="s">
        <v>12</v>
      </c>
      <c r="G4531" s="4" t="b">
        <f t="shared" si="2"/>
        <v>1</v>
      </c>
      <c r="H4531" s="1" t="str">
        <f t="shared" si="3"/>
        <v>Currently Unavailable</v>
      </c>
      <c r="I4531" s="1" t="str">
        <f t="shared" si="4"/>
        <v>No Badges</v>
      </c>
      <c r="J4531" s="3">
        <f t="shared" si="5"/>
        <v>0</v>
      </c>
    </row>
    <row r="4532">
      <c r="A4532" s="1" t="s">
        <v>3324</v>
      </c>
      <c r="B4532" s="3" t="str">
        <f t="shared" si="1"/>
        <v>Unavailable</v>
      </c>
      <c r="C4532" s="5">
        <v>5207.0</v>
      </c>
      <c r="D4532" s="3">
        <f>IFERROR(__xludf.DUMMYFUNCTION("IFERROR(
IF(REGEXMATCH(LOWER(O4532),""k""),
VALUE(REGEXEXTRACT(O4532,""[0-9]+""))*1000,
VALUE(REGEXEXTRACT(O4532,""[0-9]+""))
),
0
)"),0.0)</f>
        <v>0</v>
      </c>
      <c r="E4532" s="1" t="s">
        <v>11</v>
      </c>
      <c r="F4532" s="1" t="s">
        <v>12</v>
      </c>
      <c r="G4532" s="4" t="b">
        <f t="shared" si="2"/>
        <v>1</v>
      </c>
      <c r="H4532" s="1" t="str">
        <f t="shared" si="3"/>
        <v>Currently Unavailable</v>
      </c>
      <c r="I4532" s="1" t="str">
        <f t="shared" si="4"/>
        <v>No Badges</v>
      </c>
      <c r="J4532" s="3">
        <f t="shared" si="5"/>
        <v>0</v>
      </c>
    </row>
    <row r="4533">
      <c r="A4533" s="1" t="s">
        <v>3324</v>
      </c>
      <c r="B4533" s="3" t="str">
        <f t="shared" si="1"/>
        <v>Unavailable</v>
      </c>
      <c r="C4533" s="5">
        <v>5207.0</v>
      </c>
      <c r="D4533" s="3">
        <f>IFERROR(__xludf.DUMMYFUNCTION("IFERROR(
IF(REGEXMATCH(LOWER(O4533),""k""),
VALUE(REGEXEXTRACT(O4533,""[0-9]+""))*1000,
VALUE(REGEXEXTRACT(O4533,""[0-9]+""))
),
0
)"),0.0)</f>
        <v>0</v>
      </c>
      <c r="E4533" s="1" t="s">
        <v>11</v>
      </c>
      <c r="F4533" s="1" t="s">
        <v>12</v>
      </c>
      <c r="G4533" s="4" t="b">
        <f t="shared" si="2"/>
        <v>1</v>
      </c>
      <c r="H4533" s="1" t="str">
        <f t="shared" si="3"/>
        <v>Currently Unavailable</v>
      </c>
      <c r="I4533" s="1" t="str">
        <f t="shared" si="4"/>
        <v>No Badges</v>
      </c>
      <c r="J4533" s="3">
        <f t="shared" si="5"/>
        <v>0</v>
      </c>
    </row>
    <row r="4534">
      <c r="A4534" s="1" t="s">
        <v>3324</v>
      </c>
      <c r="B4534" s="3" t="str">
        <f t="shared" si="1"/>
        <v>Unavailable</v>
      </c>
      <c r="C4534" s="5">
        <v>5207.0</v>
      </c>
      <c r="D4534" s="3">
        <f>IFERROR(__xludf.DUMMYFUNCTION("IFERROR(
IF(REGEXMATCH(LOWER(O4534),""k""),
VALUE(REGEXEXTRACT(O4534,""[0-9]+""))*1000,
VALUE(REGEXEXTRACT(O4534,""[0-9]+""))
),
0
)"),0.0)</f>
        <v>0</v>
      </c>
      <c r="E4534" s="1" t="s">
        <v>11</v>
      </c>
      <c r="F4534" s="1" t="s">
        <v>12</v>
      </c>
      <c r="G4534" s="4" t="b">
        <f t="shared" si="2"/>
        <v>1</v>
      </c>
      <c r="H4534" s="1" t="str">
        <f t="shared" si="3"/>
        <v>Currently Unavailable</v>
      </c>
      <c r="I4534" s="1" t="str">
        <f t="shared" si="4"/>
        <v>No Badges</v>
      </c>
      <c r="J4534" s="3">
        <f t="shared" si="5"/>
        <v>0</v>
      </c>
    </row>
    <row r="4535">
      <c r="A4535" s="1" t="s">
        <v>3336</v>
      </c>
      <c r="B4535" s="3" t="str">
        <f t="shared" si="1"/>
        <v>Unavailable</v>
      </c>
      <c r="C4535" s="5">
        <v>5692.0</v>
      </c>
      <c r="D4535" s="3">
        <f>IFERROR(__xludf.DUMMYFUNCTION("IFERROR(
IF(REGEXMATCH(LOWER(O4535),""k""),
VALUE(REGEXEXTRACT(O4535,""[0-9]+""))*1000,
VALUE(REGEXEXTRACT(O4535,""[0-9]+""))
),
0
)"),0.0)</f>
        <v>0</v>
      </c>
      <c r="E4535" s="1" t="s">
        <v>11</v>
      </c>
      <c r="F4535" s="1" t="s">
        <v>20</v>
      </c>
      <c r="G4535" s="4" t="b">
        <f t="shared" si="2"/>
        <v>1</v>
      </c>
      <c r="H4535" s="1" t="str">
        <f t="shared" si="3"/>
        <v>Currently Unavailable</v>
      </c>
      <c r="I4535" s="1" t="str">
        <f t="shared" si="4"/>
        <v>No Badges</v>
      </c>
      <c r="J4535" s="3">
        <f t="shared" si="5"/>
        <v>0</v>
      </c>
    </row>
    <row r="4536">
      <c r="A4536" s="1" t="s">
        <v>3337</v>
      </c>
      <c r="B4536" s="3" t="str">
        <f t="shared" si="1"/>
        <v>Unavailable</v>
      </c>
      <c r="C4536" s="3">
        <v>63.0</v>
      </c>
      <c r="D4536" s="3">
        <f>IFERROR(__xludf.DUMMYFUNCTION("IFERROR(
IF(REGEXMATCH(LOWER(O4536),""k""),
VALUE(REGEXEXTRACT(O4536,""[0-9]+""))*1000,
VALUE(REGEXEXTRACT(O4536,""[0-9]+""))
),
0
)"),0.0)</f>
        <v>0</v>
      </c>
      <c r="E4536" s="1" t="s">
        <v>11</v>
      </c>
      <c r="F4536" s="1" t="s">
        <v>20</v>
      </c>
      <c r="G4536" s="4" t="b">
        <f t="shared" si="2"/>
        <v>1</v>
      </c>
      <c r="H4536" s="1" t="str">
        <f t="shared" si="3"/>
        <v>Currently Unavailable</v>
      </c>
      <c r="I4536" s="1" t="str">
        <f t="shared" si="4"/>
        <v>No Badges</v>
      </c>
      <c r="J4536" s="3">
        <f t="shared" si="5"/>
        <v>0</v>
      </c>
    </row>
    <row r="4537">
      <c r="A4537" s="1" t="s">
        <v>3324</v>
      </c>
      <c r="B4537" s="3" t="str">
        <f t="shared" si="1"/>
        <v>Unavailable</v>
      </c>
      <c r="C4537" s="5">
        <v>5207.0</v>
      </c>
      <c r="D4537" s="3">
        <f>IFERROR(__xludf.DUMMYFUNCTION("IFERROR(
IF(REGEXMATCH(LOWER(O4537),""k""),
VALUE(REGEXEXTRACT(O4537,""[0-9]+""))*1000,
VALUE(REGEXEXTRACT(O4537,""[0-9]+""))
),
0
)"),0.0)</f>
        <v>0</v>
      </c>
      <c r="E4537" s="1" t="s">
        <v>11</v>
      </c>
      <c r="F4537" s="1" t="s">
        <v>12</v>
      </c>
      <c r="G4537" s="4" t="b">
        <f t="shared" si="2"/>
        <v>1</v>
      </c>
      <c r="H4537" s="1" t="str">
        <f t="shared" si="3"/>
        <v>Currently Unavailable</v>
      </c>
      <c r="I4537" s="1" t="str">
        <f t="shared" si="4"/>
        <v>No Badges</v>
      </c>
      <c r="J4537" s="3">
        <f t="shared" si="5"/>
        <v>0</v>
      </c>
    </row>
    <row r="4538">
      <c r="A4538" s="1" t="s">
        <v>3324</v>
      </c>
      <c r="B4538" s="3" t="str">
        <f t="shared" si="1"/>
        <v>Unavailable</v>
      </c>
      <c r="C4538" s="5">
        <v>5207.0</v>
      </c>
      <c r="D4538" s="3">
        <f>IFERROR(__xludf.DUMMYFUNCTION("IFERROR(
IF(REGEXMATCH(LOWER(O4538),""k""),
VALUE(REGEXEXTRACT(O4538,""[0-9]+""))*1000,
VALUE(REGEXEXTRACT(O4538,""[0-9]+""))
),
0
)"),0.0)</f>
        <v>0</v>
      </c>
      <c r="E4538" s="1" t="s">
        <v>11</v>
      </c>
      <c r="F4538" s="1" t="s">
        <v>12</v>
      </c>
      <c r="G4538" s="4" t="b">
        <f t="shared" si="2"/>
        <v>1</v>
      </c>
      <c r="H4538" s="1" t="str">
        <f t="shared" si="3"/>
        <v>Currently Unavailable</v>
      </c>
      <c r="I4538" s="1" t="str">
        <f t="shared" si="4"/>
        <v>No Badges</v>
      </c>
      <c r="J4538" s="3">
        <f t="shared" si="5"/>
        <v>0</v>
      </c>
    </row>
    <row r="4539">
      <c r="A4539" s="1" t="s">
        <v>3324</v>
      </c>
      <c r="B4539" s="3" t="str">
        <f t="shared" si="1"/>
        <v>Unavailable</v>
      </c>
      <c r="C4539" s="5">
        <v>5207.0</v>
      </c>
      <c r="D4539" s="3">
        <f>IFERROR(__xludf.DUMMYFUNCTION("IFERROR(
IF(REGEXMATCH(LOWER(O4539),""k""),
VALUE(REGEXEXTRACT(O4539,""[0-9]+""))*1000,
VALUE(REGEXEXTRACT(O4539,""[0-9]+""))
),
0
)"),0.0)</f>
        <v>0</v>
      </c>
      <c r="E4539" s="1" t="s">
        <v>11</v>
      </c>
      <c r="F4539" s="1" t="s">
        <v>12</v>
      </c>
      <c r="G4539" s="4" t="b">
        <f t="shared" si="2"/>
        <v>1</v>
      </c>
      <c r="H4539" s="1" t="str">
        <f t="shared" si="3"/>
        <v>Currently Unavailable</v>
      </c>
      <c r="I4539" s="1" t="str">
        <f t="shared" si="4"/>
        <v>No Badges</v>
      </c>
      <c r="J4539" s="3">
        <f t="shared" si="5"/>
        <v>0</v>
      </c>
    </row>
    <row r="4540">
      <c r="A4540" s="1" t="s">
        <v>3324</v>
      </c>
      <c r="B4540" s="3" t="str">
        <f t="shared" si="1"/>
        <v>Unavailable</v>
      </c>
      <c r="C4540" s="5">
        <v>5207.0</v>
      </c>
      <c r="D4540" s="3">
        <f>IFERROR(__xludf.DUMMYFUNCTION("IFERROR(
IF(REGEXMATCH(LOWER(O4540),""k""),
VALUE(REGEXEXTRACT(O4540,""[0-9]+""))*1000,
VALUE(REGEXEXTRACT(O4540,""[0-9]+""))
),
0
)"),0.0)</f>
        <v>0</v>
      </c>
      <c r="E4540" s="1" t="s">
        <v>11</v>
      </c>
      <c r="F4540" s="1" t="s">
        <v>12</v>
      </c>
      <c r="G4540" s="4" t="b">
        <f t="shared" si="2"/>
        <v>1</v>
      </c>
      <c r="H4540" s="1" t="str">
        <f t="shared" si="3"/>
        <v>Currently Unavailable</v>
      </c>
      <c r="I4540" s="1" t="str">
        <f t="shared" si="4"/>
        <v>No Badges</v>
      </c>
      <c r="J4540" s="3">
        <f t="shared" si="5"/>
        <v>0</v>
      </c>
    </row>
    <row r="4541">
      <c r="A4541" s="1" t="s">
        <v>67</v>
      </c>
      <c r="B4541" s="3" t="str">
        <f t="shared" si="1"/>
        <v>Unavailable</v>
      </c>
      <c r="C4541" s="3">
        <v>264.0</v>
      </c>
      <c r="D4541" s="3">
        <f>IFERROR(__xludf.DUMMYFUNCTION("IFERROR(
IF(REGEXMATCH(LOWER(O4541),""k""),
VALUE(REGEXEXTRACT(O4541,""[0-9]+""))*1000,
VALUE(REGEXEXTRACT(O4541,""[0-9]+""))
),
0
)"),0.0)</f>
        <v>0</v>
      </c>
      <c r="E4541" s="1" t="s">
        <v>11</v>
      </c>
      <c r="F4541" s="1" t="s">
        <v>12</v>
      </c>
      <c r="G4541" s="4" t="b">
        <f t="shared" si="2"/>
        <v>1</v>
      </c>
      <c r="H4541" s="1" t="str">
        <f t="shared" si="3"/>
        <v>Currently Unavailable</v>
      </c>
      <c r="I4541" s="1" t="str">
        <f t="shared" si="4"/>
        <v>No Badges</v>
      </c>
      <c r="J4541" s="3">
        <f t="shared" si="5"/>
        <v>0</v>
      </c>
    </row>
    <row r="4542">
      <c r="A4542" s="1" t="s">
        <v>3324</v>
      </c>
      <c r="B4542" s="3" t="str">
        <f t="shared" si="1"/>
        <v>Unavailable</v>
      </c>
      <c r="C4542" s="5">
        <v>5207.0</v>
      </c>
      <c r="D4542" s="3">
        <f>IFERROR(__xludf.DUMMYFUNCTION("IFERROR(
IF(REGEXMATCH(LOWER(O4542),""k""),
VALUE(REGEXEXTRACT(O4542,""[0-9]+""))*1000,
VALUE(REGEXEXTRACT(O4542,""[0-9]+""))
),
0
)"),0.0)</f>
        <v>0</v>
      </c>
      <c r="E4542" s="1" t="s">
        <v>11</v>
      </c>
      <c r="F4542" s="1" t="s">
        <v>12</v>
      </c>
      <c r="G4542" s="4" t="b">
        <f t="shared" si="2"/>
        <v>1</v>
      </c>
      <c r="H4542" s="1" t="str">
        <f t="shared" si="3"/>
        <v>Currently Unavailable</v>
      </c>
      <c r="I4542" s="1" t="str">
        <f t="shared" si="4"/>
        <v>No Badges</v>
      </c>
      <c r="J4542" s="3">
        <f t="shared" si="5"/>
        <v>0</v>
      </c>
    </row>
    <row r="4543">
      <c r="A4543" s="1" t="s">
        <v>701</v>
      </c>
      <c r="B4543" s="3" t="str">
        <f t="shared" si="1"/>
        <v>Unavailable</v>
      </c>
      <c r="C4543" s="3">
        <v>8.0</v>
      </c>
      <c r="D4543" s="3">
        <f>IFERROR(__xludf.DUMMYFUNCTION("IFERROR(
IF(REGEXMATCH(LOWER(O4543),""k""),
VALUE(REGEXEXTRACT(O4543,""[0-9]+""))*1000,
VALUE(REGEXEXTRACT(O4543,""[0-9]+""))
),
0
)"),0.0)</f>
        <v>0</v>
      </c>
      <c r="E4543" s="1" t="s">
        <v>11</v>
      </c>
      <c r="F4543" s="1" t="s">
        <v>12</v>
      </c>
      <c r="G4543" s="4" t="b">
        <f t="shared" si="2"/>
        <v>1</v>
      </c>
      <c r="H4543" s="1" t="str">
        <f t="shared" si="3"/>
        <v>Currently Unavailable</v>
      </c>
      <c r="I4543" s="1" t="str">
        <f t="shared" si="4"/>
        <v>No Badges</v>
      </c>
      <c r="J4543" s="3">
        <f t="shared" si="5"/>
        <v>0</v>
      </c>
    </row>
    <row r="4544">
      <c r="A4544" s="1" t="s">
        <v>3324</v>
      </c>
      <c r="B4544" s="3" t="str">
        <f t="shared" si="1"/>
        <v>Unavailable</v>
      </c>
      <c r="C4544" s="5">
        <v>5207.0</v>
      </c>
      <c r="D4544" s="3">
        <f>IFERROR(__xludf.DUMMYFUNCTION("IFERROR(
IF(REGEXMATCH(LOWER(O4544),""k""),
VALUE(REGEXEXTRACT(O4544,""[0-9]+""))*1000,
VALUE(REGEXEXTRACT(O4544,""[0-9]+""))
),
0
)"),0.0)</f>
        <v>0</v>
      </c>
      <c r="E4544" s="1" t="s">
        <v>11</v>
      </c>
      <c r="F4544" s="1" t="s">
        <v>12</v>
      </c>
      <c r="G4544" s="4" t="b">
        <f t="shared" si="2"/>
        <v>1</v>
      </c>
      <c r="H4544" s="1" t="str">
        <f t="shared" si="3"/>
        <v>Currently Unavailable</v>
      </c>
      <c r="I4544" s="1" t="str">
        <f t="shared" si="4"/>
        <v>No Badges</v>
      </c>
      <c r="J4544" s="3">
        <f t="shared" si="5"/>
        <v>0</v>
      </c>
    </row>
    <row r="4545">
      <c r="A4545" s="1" t="s">
        <v>3324</v>
      </c>
      <c r="B4545" s="3" t="str">
        <f t="shared" si="1"/>
        <v>Unavailable</v>
      </c>
      <c r="C4545" s="5">
        <v>5207.0</v>
      </c>
      <c r="D4545" s="3">
        <f>IFERROR(__xludf.DUMMYFUNCTION("IFERROR(
IF(REGEXMATCH(LOWER(O4545),""k""),
VALUE(REGEXEXTRACT(O4545,""[0-9]+""))*1000,
VALUE(REGEXEXTRACT(O4545,""[0-9]+""))
),
0
)"),0.0)</f>
        <v>0</v>
      </c>
      <c r="E4545" s="1" t="s">
        <v>11</v>
      </c>
      <c r="F4545" s="1" t="s">
        <v>12</v>
      </c>
      <c r="G4545" s="4" t="b">
        <f t="shared" si="2"/>
        <v>1</v>
      </c>
      <c r="H4545" s="1" t="str">
        <f t="shared" si="3"/>
        <v>Currently Unavailable</v>
      </c>
      <c r="I4545" s="1" t="str">
        <f t="shared" si="4"/>
        <v>No Badges</v>
      </c>
      <c r="J4545" s="3">
        <f t="shared" si="5"/>
        <v>0</v>
      </c>
    </row>
    <row r="4546">
      <c r="A4546" s="1" t="s">
        <v>3338</v>
      </c>
      <c r="B4546" s="3" t="str">
        <f t="shared" si="1"/>
        <v>Unavailable</v>
      </c>
      <c r="C4546" s="3">
        <v>79.0</v>
      </c>
      <c r="D4546" s="3">
        <f>IFERROR(__xludf.DUMMYFUNCTION("IFERROR(
IF(REGEXMATCH(LOWER(O4546),""k""),
VALUE(REGEXEXTRACT(O4546,""[0-9]+""))*1000,
VALUE(REGEXEXTRACT(O4546,""[0-9]+""))
),
0
)"),0.0)</f>
        <v>0</v>
      </c>
      <c r="E4546" s="1" t="s">
        <v>11</v>
      </c>
      <c r="F4546" s="1" t="s">
        <v>20</v>
      </c>
      <c r="G4546" s="4" t="b">
        <f t="shared" si="2"/>
        <v>1</v>
      </c>
      <c r="H4546" s="1" t="str">
        <f t="shared" si="3"/>
        <v>Currently Unavailable</v>
      </c>
      <c r="I4546" s="1" t="str">
        <f t="shared" si="4"/>
        <v>No Badges</v>
      </c>
      <c r="J4546" s="3">
        <f t="shared" si="5"/>
        <v>0</v>
      </c>
    </row>
    <row r="4547">
      <c r="A4547" s="1" t="s">
        <v>3339</v>
      </c>
      <c r="B4547" s="3" t="str">
        <f t="shared" si="1"/>
        <v>Unavailable</v>
      </c>
      <c r="C4547" s="5">
        <v>5593.0</v>
      </c>
      <c r="D4547" s="3">
        <f>IFERROR(__xludf.DUMMYFUNCTION("IFERROR(
IF(REGEXMATCH(LOWER(O4547),""k""),
VALUE(REGEXEXTRACT(O4547,""[0-9]+""))*1000,
VALUE(REGEXEXTRACT(O4547,""[0-9]+""))
),
0
)"),0.0)</f>
        <v>0</v>
      </c>
      <c r="E4547" s="1" t="s">
        <v>11</v>
      </c>
      <c r="F4547" s="1" t="s">
        <v>20</v>
      </c>
      <c r="G4547" s="4" t="b">
        <f t="shared" si="2"/>
        <v>1</v>
      </c>
      <c r="H4547" s="1" t="str">
        <f t="shared" si="3"/>
        <v>Currently Unavailable</v>
      </c>
      <c r="I4547" s="1" t="str">
        <f t="shared" si="4"/>
        <v>No Badges</v>
      </c>
      <c r="J4547" s="3">
        <f t="shared" si="5"/>
        <v>0</v>
      </c>
    </row>
    <row r="4548">
      <c r="A4548" s="1" t="s">
        <v>3340</v>
      </c>
      <c r="B4548" s="3" t="str">
        <f t="shared" si="1"/>
        <v>Unavailable</v>
      </c>
      <c r="C4548" s="3">
        <v>222.0</v>
      </c>
      <c r="D4548" s="3">
        <f>IFERROR(__xludf.DUMMYFUNCTION("IFERROR(
IF(REGEXMATCH(LOWER(O4548),""k""),
VALUE(REGEXEXTRACT(O4548,""[0-9]+""))*1000,
VALUE(REGEXEXTRACT(O4548,""[0-9]+""))
),
0
)"),0.0)</f>
        <v>0</v>
      </c>
      <c r="E4548" s="1" t="s">
        <v>11</v>
      </c>
      <c r="F4548" s="1" t="s">
        <v>20</v>
      </c>
      <c r="G4548" s="4" t="b">
        <f t="shared" si="2"/>
        <v>1</v>
      </c>
      <c r="H4548" s="1" t="str">
        <f t="shared" si="3"/>
        <v>Currently Unavailable</v>
      </c>
      <c r="I4548" s="1" t="str">
        <f t="shared" si="4"/>
        <v>No Badges</v>
      </c>
      <c r="J4548" s="3">
        <f t="shared" si="5"/>
        <v>0</v>
      </c>
    </row>
    <row r="4549">
      <c r="A4549" s="1" t="s">
        <v>3324</v>
      </c>
      <c r="B4549" s="3" t="str">
        <f t="shared" si="1"/>
        <v>Unavailable</v>
      </c>
      <c r="C4549" s="5">
        <v>5207.0</v>
      </c>
      <c r="D4549" s="3">
        <f>IFERROR(__xludf.DUMMYFUNCTION("IFERROR(
IF(REGEXMATCH(LOWER(O4549),""k""),
VALUE(REGEXEXTRACT(O4549,""[0-9]+""))*1000,
VALUE(REGEXEXTRACT(O4549,""[0-9]+""))
),
0
)"),0.0)</f>
        <v>0</v>
      </c>
      <c r="E4549" s="1" t="s">
        <v>11</v>
      </c>
      <c r="F4549" s="1" t="s">
        <v>12</v>
      </c>
      <c r="G4549" s="4" t="b">
        <f t="shared" si="2"/>
        <v>1</v>
      </c>
      <c r="H4549" s="1" t="str">
        <f t="shared" si="3"/>
        <v>Currently Unavailable</v>
      </c>
      <c r="I4549" s="1" t="str">
        <f t="shared" si="4"/>
        <v>No Badges</v>
      </c>
      <c r="J4549" s="3">
        <f t="shared" si="5"/>
        <v>0</v>
      </c>
    </row>
    <row r="4550">
      <c r="A4550" s="1" t="s">
        <v>3324</v>
      </c>
      <c r="B4550" s="3" t="str">
        <f t="shared" si="1"/>
        <v>Unavailable</v>
      </c>
      <c r="C4550" s="5">
        <v>5207.0</v>
      </c>
      <c r="D4550" s="3">
        <f>IFERROR(__xludf.DUMMYFUNCTION("IFERROR(
IF(REGEXMATCH(LOWER(O4550),""k""),
VALUE(REGEXEXTRACT(O4550,""[0-9]+""))*1000,
VALUE(REGEXEXTRACT(O4550,""[0-9]+""))
),
0
)"),0.0)</f>
        <v>0</v>
      </c>
      <c r="E4550" s="1" t="s">
        <v>11</v>
      </c>
      <c r="F4550" s="1" t="s">
        <v>12</v>
      </c>
      <c r="G4550" s="4" t="b">
        <f t="shared" si="2"/>
        <v>1</v>
      </c>
      <c r="H4550" s="1" t="str">
        <f t="shared" si="3"/>
        <v>Currently Unavailable</v>
      </c>
      <c r="I4550" s="1" t="str">
        <f t="shared" si="4"/>
        <v>No Badges</v>
      </c>
      <c r="J4550" s="3">
        <f t="shared" si="5"/>
        <v>0</v>
      </c>
    </row>
    <row r="4551">
      <c r="A4551" s="1" t="s">
        <v>3324</v>
      </c>
      <c r="B4551" s="3" t="str">
        <f t="shared" si="1"/>
        <v>Unavailable</v>
      </c>
      <c r="C4551" s="5">
        <v>5207.0</v>
      </c>
      <c r="D4551" s="3">
        <f>IFERROR(__xludf.DUMMYFUNCTION("IFERROR(
IF(REGEXMATCH(LOWER(O4551),""k""),
VALUE(REGEXEXTRACT(O4551,""[0-9]+""))*1000,
VALUE(REGEXEXTRACT(O4551,""[0-9]+""))
),
0
)"),0.0)</f>
        <v>0</v>
      </c>
      <c r="E4551" s="1" t="s">
        <v>11</v>
      </c>
      <c r="F4551" s="1" t="s">
        <v>12</v>
      </c>
      <c r="G4551" s="4" t="b">
        <f t="shared" si="2"/>
        <v>1</v>
      </c>
      <c r="H4551" s="1" t="str">
        <f t="shared" si="3"/>
        <v>Currently Unavailable</v>
      </c>
      <c r="I4551" s="1" t="str">
        <f t="shared" si="4"/>
        <v>No Badges</v>
      </c>
      <c r="J4551" s="3">
        <f t="shared" si="5"/>
        <v>0</v>
      </c>
    </row>
    <row r="4552">
      <c r="A4552" s="1" t="s">
        <v>3324</v>
      </c>
      <c r="B4552" s="3" t="str">
        <f t="shared" si="1"/>
        <v>Unavailable</v>
      </c>
      <c r="C4552" s="5">
        <v>5207.0</v>
      </c>
      <c r="D4552" s="3">
        <f>IFERROR(__xludf.DUMMYFUNCTION("IFERROR(
IF(REGEXMATCH(LOWER(O4552),""k""),
VALUE(REGEXEXTRACT(O4552,""[0-9]+""))*1000,
VALUE(REGEXEXTRACT(O4552,""[0-9]+""))
),
0
)"),0.0)</f>
        <v>0</v>
      </c>
      <c r="E4552" s="1" t="s">
        <v>11</v>
      </c>
      <c r="F4552" s="1" t="s">
        <v>12</v>
      </c>
      <c r="G4552" s="4" t="b">
        <f t="shared" si="2"/>
        <v>1</v>
      </c>
      <c r="H4552" s="1" t="str">
        <f t="shared" si="3"/>
        <v>Currently Unavailable</v>
      </c>
      <c r="I4552" s="1" t="str">
        <f t="shared" si="4"/>
        <v>No Badges</v>
      </c>
      <c r="J4552" s="3">
        <f t="shared" si="5"/>
        <v>0</v>
      </c>
    </row>
    <row r="4553">
      <c r="A4553" s="1" t="s">
        <v>3324</v>
      </c>
      <c r="B4553" s="3" t="str">
        <f t="shared" si="1"/>
        <v>Unavailable</v>
      </c>
      <c r="C4553" s="5">
        <v>5207.0</v>
      </c>
      <c r="D4553" s="3">
        <f>IFERROR(__xludf.DUMMYFUNCTION("IFERROR(
IF(REGEXMATCH(LOWER(O4553),""k""),
VALUE(REGEXEXTRACT(O4553,""[0-9]+""))*1000,
VALUE(REGEXEXTRACT(O4553,""[0-9]+""))
),
0
)"),0.0)</f>
        <v>0</v>
      </c>
      <c r="E4553" s="1" t="s">
        <v>11</v>
      </c>
      <c r="F4553" s="1" t="s">
        <v>12</v>
      </c>
      <c r="G4553" s="4" t="b">
        <f t="shared" si="2"/>
        <v>1</v>
      </c>
      <c r="H4553" s="1" t="str">
        <f t="shared" si="3"/>
        <v>Currently Unavailable</v>
      </c>
      <c r="I4553" s="1" t="str">
        <f t="shared" si="4"/>
        <v>No Badges</v>
      </c>
      <c r="J4553" s="3">
        <f t="shared" si="5"/>
        <v>0</v>
      </c>
    </row>
    <row r="4554">
      <c r="A4554" s="1" t="s">
        <v>3324</v>
      </c>
      <c r="B4554" s="3" t="str">
        <f t="shared" si="1"/>
        <v>Unavailable</v>
      </c>
      <c r="C4554" s="5">
        <v>5207.0</v>
      </c>
      <c r="D4554" s="3">
        <f>IFERROR(__xludf.DUMMYFUNCTION("IFERROR(
IF(REGEXMATCH(LOWER(O4554),""k""),
VALUE(REGEXEXTRACT(O4554,""[0-9]+""))*1000,
VALUE(REGEXEXTRACT(O4554,""[0-9]+""))
),
0
)"),0.0)</f>
        <v>0</v>
      </c>
      <c r="E4554" s="1" t="s">
        <v>11</v>
      </c>
      <c r="F4554" s="1" t="s">
        <v>12</v>
      </c>
      <c r="G4554" s="4" t="b">
        <f t="shared" si="2"/>
        <v>1</v>
      </c>
      <c r="H4554" s="1" t="str">
        <f t="shared" si="3"/>
        <v>Currently Unavailable</v>
      </c>
      <c r="I4554" s="1" t="str">
        <f t="shared" si="4"/>
        <v>No Badges</v>
      </c>
      <c r="J4554" s="3">
        <f t="shared" si="5"/>
        <v>0</v>
      </c>
    </row>
    <row r="4555">
      <c r="A4555" s="1" t="s">
        <v>3324</v>
      </c>
      <c r="B4555" s="3" t="str">
        <f t="shared" si="1"/>
        <v>Unavailable</v>
      </c>
      <c r="C4555" s="5">
        <v>5207.0</v>
      </c>
      <c r="D4555" s="3">
        <f>IFERROR(__xludf.DUMMYFUNCTION("IFERROR(
IF(REGEXMATCH(LOWER(O4555),""k""),
VALUE(REGEXEXTRACT(O4555,""[0-9]+""))*1000,
VALUE(REGEXEXTRACT(O4555,""[0-9]+""))
),
0
)"),0.0)</f>
        <v>0</v>
      </c>
      <c r="E4555" s="1" t="s">
        <v>11</v>
      </c>
      <c r="F4555" s="1" t="s">
        <v>12</v>
      </c>
      <c r="G4555" s="4" t="b">
        <f t="shared" si="2"/>
        <v>1</v>
      </c>
      <c r="H4555" s="1" t="str">
        <f t="shared" si="3"/>
        <v>Currently Unavailable</v>
      </c>
      <c r="I4555" s="1" t="str">
        <f t="shared" si="4"/>
        <v>No Badges</v>
      </c>
      <c r="J4555" s="3">
        <f t="shared" si="5"/>
        <v>0</v>
      </c>
    </row>
    <row r="4556">
      <c r="A4556" s="1" t="s">
        <v>3324</v>
      </c>
      <c r="B4556" s="3" t="str">
        <f t="shared" si="1"/>
        <v>Unavailable</v>
      </c>
      <c r="C4556" s="5">
        <v>5207.0</v>
      </c>
      <c r="D4556" s="3">
        <f>IFERROR(__xludf.DUMMYFUNCTION("IFERROR(
IF(REGEXMATCH(LOWER(O4556),""k""),
VALUE(REGEXEXTRACT(O4556,""[0-9]+""))*1000,
VALUE(REGEXEXTRACT(O4556,""[0-9]+""))
),
0
)"),0.0)</f>
        <v>0</v>
      </c>
      <c r="E4556" s="1" t="s">
        <v>11</v>
      </c>
      <c r="F4556" s="1" t="s">
        <v>12</v>
      </c>
      <c r="G4556" s="4" t="b">
        <f t="shared" si="2"/>
        <v>1</v>
      </c>
      <c r="H4556" s="1" t="str">
        <f t="shared" si="3"/>
        <v>Currently Unavailable</v>
      </c>
      <c r="I4556" s="1" t="str">
        <f t="shared" si="4"/>
        <v>No Badges</v>
      </c>
      <c r="J4556" s="3">
        <f t="shared" si="5"/>
        <v>0</v>
      </c>
    </row>
    <row r="4557">
      <c r="A4557" s="1" t="s">
        <v>88</v>
      </c>
      <c r="B4557" s="3" t="str">
        <f t="shared" si="1"/>
        <v>Unavailable</v>
      </c>
      <c r="C4557" s="3">
        <v>5.0</v>
      </c>
      <c r="D4557" s="3">
        <f>IFERROR(__xludf.DUMMYFUNCTION("IFERROR(
IF(REGEXMATCH(LOWER(O4557),""k""),
VALUE(REGEXEXTRACT(O4557,""[0-9]+""))*1000,
VALUE(REGEXEXTRACT(O4557,""[0-9]+""))
),
0
)"),0.0)</f>
        <v>0</v>
      </c>
      <c r="E4557" s="1" t="s">
        <v>11</v>
      </c>
      <c r="F4557" s="1" t="s">
        <v>12</v>
      </c>
      <c r="G4557" s="4" t="b">
        <f t="shared" si="2"/>
        <v>1</v>
      </c>
      <c r="H4557" s="1" t="str">
        <f t="shared" si="3"/>
        <v>Currently Unavailable</v>
      </c>
      <c r="I4557" s="1" t="str">
        <f t="shared" si="4"/>
        <v>No Badges</v>
      </c>
      <c r="J4557" s="3">
        <f t="shared" si="5"/>
        <v>0</v>
      </c>
    </row>
    <row r="4558">
      <c r="A4558" s="1" t="s">
        <v>40</v>
      </c>
      <c r="B4558" s="3" t="str">
        <f t="shared" si="1"/>
        <v>Unavailable</v>
      </c>
      <c r="C4558" s="3">
        <v>171.0</v>
      </c>
      <c r="D4558" s="3">
        <f>IFERROR(__xludf.DUMMYFUNCTION("IFERROR(
IF(REGEXMATCH(LOWER(O4558),""k""),
VALUE(REGEXEXTRACT(O4558,""[0-9]+""))*1000,
VALUE(REGEXEXTRACT(O4558,""[0-9]+""))
),
0
)"),0.0)</f>
        <v>0</v>
      </c>
      <c r="E4558" s="1" t="s">
        <v>11</v>
      </c>
      <c r="F4558" s="1" t="s">
        <v>12</v>
      </c>
      <c r="G4558" s="4" t="b">
        <f t="shared" si="2"/>
        <v>1</v>
      </c>
      <c r="H4558" s="1" t="str">
        <f t="shared" si="3"/>
        <v>Currently Unavailable</v>
      </c>
      <c r="I4558" s="1" t="str">
        <f t="shared" si="4"/>
        <v>No Badges</v>
      </c>
      <c r="J4558" s="3">
        <f t="shared" si="5"/>
        <v>0</v>
      </c>
    </row>
    <row r="4559">
      <c r="A4559" s="1" t="s">
        <v>3324</v>
      </c>
      <c r="B4559" s="3" t="str">
        <f t="shared" si="1"/>
        <v>Unavailable</v>
      </c>
      <c r="C4559" s="5">
        <v>5207.0</v>
      </c>
      <c r="D4559" s="3">
        <f>IFERROR(__xludf.DUMMYFUNCTION("IFERROR(
IF(REGEXMATCH(LOWER(O4559),""k""),
VALUE(REGEXEXTRACT(O4559,""[0-9]+""))*1000,
VALUE(REGEXEXTRACT(O4559,""[0-9]+""))
),
0
)"),0.0)</f>
        <v>0</v>
      </c>
      <c r="E4559" s="1" t="s">
        <v>11</v>
      </c>
      <c r="F4559" s="1" t="s">
        <v>12</v>
      </c>
      <c r="G4559" s="4" t="b">
        <f t="shared" si="2"/>
        <v>1</v>
      </c>
      <c r="H4559" s="1" t="str">
        <f t="shared" si="3"/>
        <v>Currently Unavailable</v>
      </c>
      <c r="I4559" s="1" t="str">
        <f t="shared" si="4"/>
        <v>No Badges</v>
      </c>
      <c r="J4559" s="3">
        <f t="shared" si="5"/>
        <v>0</v>
      </c>
    </row>
    <row r="4560">
      <c r="A4560" s="1" t="s">
        <v>3324</v>
      </c>
      <c r="B4560" s="3" t="str">
        <f t="shared" si="1"/>
        <v>Unavailable</v>
      </c>
      <c r="C4560" s="5">
        <v>5207.0</v>
      </c>
      <c r="D4560" s="3">
        <f>IFERROR(__xludf.DUMMYFUNCTION("IFERROR(
IF(REGEXMATCH(LOWER(O4560),""k""),
VALUE(REGEXEXTRACT(O4560,""[0-9]+""))*1000,
VALUE(REGEXEXTRACT(O4560,""[0-9]+""))
),
0
)"),0.0)</f>
        <v>0</v>
      </c>
      <c r="E4560" s="1" t="s">
        <v>11</v>
      </c>
      <c r="F4560" s="1" t="s">
        <v>12</v>
      </c>
      <c r="G4560" s="4" t="b">
        <f t="shared" si="2"/>
        <v>1</v>
      </c>
      <c r="H4560" s="1" t="str">
        <f t="shared" si="3"/>
        <v>Currently Unavailable</v>
      </c>
      <c r="I4560" s="1" t="str">
        <f t="shared" si="4"/>
        <v>No Badges</v>
      </c>
      <c r="J4560" s="3">
        <f t="shared" si="5"/>
        <v>0</v>
      </c>
    </row>
    <row r="4561">
      <c r="A4561" s="1" t="s">
        <v>69</v>
      </c>
      <c r="B4561" s="3" t="str">
        <f t="shared" si="1"/>
        <v>Unavailable</v>
      </c>
      <c r="C4561" s="3">
        <v>45.0</v>
      </c>
      <c r="D4561" s="3">
        <f>IFERROR(__xludf.DUMMYFUNCTION("IFERROR(
IF(REGEXMATCH(LOWER(O4561),""k""),
VALUE(REGEXEXTRACT(O4561,""[0-9]+""))*1000,
VALUE(REGEXEXTRACT(O4561,""[0-9]+""))
),
0
)"),0.0)</f>
        <v>0</v>
      </c>
      <c r="E4561" s="1" t="s">
        <v>11</v>
      </c>
      <c r="F4561" s="1" t="s">
        <v>12</v>
      </c>
      <c r="G4561" s="4" t="b">
        <f t="shared" si="2"/>
        <v>1</v>
      </c>
      <c r="H4561" s="1" t="str">
        <f t="shared" si="3"/>
        <v>Currently Unavailable</v>
      </c>
      <c r="I4561" s="1" t="str">
        <f t="shared" si="4"/>
        <v>No Badges</v>
      </c>
      <c r="J4561" s="3">
        <f t="shared" si="5"/>
        <v>0</v>
      </c>
    </row>
    <row r="4562">
      <c r="A4562" s="1" t="s">
        <v>3324</v>
      </c>
      <c r="B4562" s="3" t="str">
        <f t="shared" si="1"/>
        <v>Unavailable</v>
      </c>
      <c r="C4562" s="5">
        <v>5207.0</v>
      </c>
      <c r="D4562" s="3">
        <f>IFERROR(__xludf.DUMMYFUNCTION("IFERROR(
IF(REGEXMATCH(LOWER(O4562),""k""),
VALUE(REGEXEXTRACT(O4562,""[0-9]+""))*1000,
VALUE(REGEXEXTRACT(O4562,""[0-9]+""))
),
0
)"),0.0)</f>
        <v>0</v>
      </c>
      <c r="E4562" s="1" t="s">
        <v>11</v>
      </c>
      <c r="F4562" s="1" t="s">
        <v>12</v>
      </c>
      <c r="G4562" s="4" t="b">
        <f t="shared" si="2"/>
        <v>1</v>
      </c>
      <c r="H4562" s="1" t="str">
        <f t="shared" si="3"/>
        <v>Currently Unavailable</v>
      </c>
      <c r="I4562" s="1" t="str">
        <f t="shared" si="4"/>
        <v>No Badges</v>
      </c>
      <c r="J4562" s="3">
        <f t="shared" si="5"/>
        <v>0</v>
      </c>
    </row>
    <row r="4563">
      <c r="A4563" s="1" t="s">
        <v>3324</v>
      </c>
      <c r="B4563" s="3" t="str">
        <f t="shared" si="1"/>
        <v>Unavailable</v>
      </c>
      <c r="C4563" s="5">
        <v>5207.0</v>
      </c>
      <c r="D4563" s="3">
        <f>IFERROR(__xludf.DUMMYFUNCTION("IFERROR(
IF(REGEXMATCH(LOWER(O4563),""k""),
VALUE(REGEXEXTRACT(O4563,""[0-9]+""))*1000,
VALUE(REGEXEXTRACT(O4563,""[0-9]+""))
),
0
)"),0.0)</f>
        <v>0</v>
      </c>
      <c r="E4563" s="1" t="s">
        <v>11</v>
      </c>
      <c r="F4563" s="1" t="s">
        <v>12</v>
      </c>
      <c r="G4563" s="4" t="b">
        <f t="shared" si="2"/>
        <v>1</v>
      </c>
      <c r="H4563" s="1" t="str">
        <f t="shared" si="3"/>
        <v>Currently Unavailable</v>
      </c>
      <c r="I4563" s="1" t="str">
        <f t="shared" si="4"/>
        <v>No Badges</v>
      </c>
      <c r="J4563" s="3">
        <f t="shared" si="5"/>
        <v>0</v>
      </c>
    </row>
    <row r="4564">
      <c r="A4564" s="1" t="s">
        <v>3324</v>
      </c>
      <c r="B4564" s="3" t="str">
        <f t="shared" si="1"/>
        <v>Unavailable</v>
      </c>
      <c r="C4564" s="5">
        <v>5207.0</v>
      </c>
      <c r="D4564" s="3">
        <f>IFERROR(__xludf.DUMMYFUNCTION("IFERROR(
IF(REGEXMATCH(LOWER(O4564),""k""),
VALUE(REGEXEXTRACT(O4564,""[0-9]+""))*1000,
VALUE(REGEXEXTRACT(O4564,""[0-9]+""))
),
0
)"),0.0)</f>
        <v>0</v>
      </c>
      <c r="E4564" s="1" t="s">
        <v>11</v>
      </c>
      <c r="F4564" s="1" t="s">
        <v>12</v>
      </c>
      <c r="G4564" s="4" t="b">
        <f t="shared" si="2"/>
        <v>1</v>
      </c>
      <c r="H4564" s="1" t="str">
        <f t="shared" si="3"/>
        <v>Currently Unavailable</v>
      </c>
      <c r="I4564" s="1" t="str">
        <f t="shared" si="4"/>
        <v>No Badges</v>
      </c>
      <c r="J4564" s="3">
        <f t="shared" si="5"/>
        <v>0</v>
      </c>
    </row>
    <row r="4565">
      <c r="A4565" s="1" t="s">
        <v>3341</v>
      </c>
      <c r="B4565" s="3" t="str">
        <f t="shared" si="1"/>
        <v>Unavailable</v>
      </c>
      <c r="C4565" s="5">
        <v>1445.0</v>
      </c>
      <c r="D4565" s="3">
        <f>IFERROR(__xludf.DUMMYFUNCTION("IFERROR(
IF(REGEXMATCH(LOWER(O4565),""k""),
VALUE(REGEXEXTRACT(O4565,""[0-9]+""))*1000,
VALUE(REGEXEXTRACT(O4565,""[0-9]+""))
),
0
)"),0.0)</f>
        <v>0</v>
      </c>
      <c r="E4565" s="1" t="s">
        <v>11</v>
      </c>
      <c r="F4565" s="1" t="s">
        <v>20</v>
      </c>
      <c r="G4565" s="4" t="b">
        <f t="shared" si="2"/>
        <v>1</v>
      </c>
      <c r="H4565" s="1" t="str">
        <f t="shared" si="3"/>
        <v>Currently Unavailable</v>
      </c>
      <c r="I4565" s="1" t="str">
        <f t="shared" si="4"/>
        <v>No Badges</v>
      </c>
      <c r="J4565" s="3">
        <f t="shared" si="5"/>
        <v>0</v>
      </c>
    </row>
    <row r="4566">
      <c r="A4566" s="1" t="s">
        <v>3324</v>
      </c>
      <c r="B4566" s="3" t="str">
        <f t="shared" si="1"/>
        <v>Unavailable</v>
      </c>
      <c r="C4566" s="5">
        <v>5207.0</v>
      </c>
      <c r="D4566" s="3">
        <f>IFERROR(__xludf.DUMMYFUNCTION("IFERROR(
IF(REGEXMATCH(LOWER(O4566),""k""),
VALUE(REGEXEXTRACT(O4566,""[0-9]+""))*1000,
VALUE(REGEXEXTRACT(O4566,""[0-9]+""))
),
0
)"),0.0)</f>
        <v>0</v>
      </c>
      <c r="E4566" s="1" t="s">
        <v>11</v>
      </c>
      <c r="F4566" s="1" t="s">
        <v>12</v>
      </c>
      <c r="G4566" s="4" t="b">
        <f t="shared" si="2"/>
        <v>1</v>
      </c>
      <c r="H4566" s="1" t="str">
        <f t="shared" si="3"/>
        <v>Currently Unavailable</v>
      </c>
      <c r="I4566" s="1" t="str">
        <f t="shared" si="4"/>
        <v>No Badges</v>
      </c>
      <c r="J4566" s="3">
        <f t="shared" si="5"/>
        <v>0</v>
      </c>
    </row>
    <row r="4567">
      <c r="A4567" s="1" t="s">
        <v>3342</v>
      </c>
      <c r="B4567" s="3" t="str">
        <f t="shared" si="1"/>
        <v>Unavailable</v>
      </c>
      <c r="C4567" s="3">
        <v>809.0</v>
      </c>
      <c r="D4567" s="3">
        <f>IFERROR(__xludf.DUMMYFUNCTION("IFERROR(
IF(REGEXMATCH(LOWER(O4567),""k""),
VALUE(REGEXEXTRACT(O4567,""[0-9]+""))*1000,
VALUE(REGEXEXTRACT(O4567,""[0-9]+""))
),
0
)"),0.0)</f>
        <v>0</v>
      </c>
      <c r="E4567" s="1" t="s">
        <v>11</v>
      </c>
      <c r="F4567" s="1" t="s">
        <v>20</v>
      </c>
      <c r="G4567" s="4" t="b">
        <f t="shared" si="2"/>
        <v>1</v>
      </c>
      <c r="H4567" s="1" t="str">
        <f t="shared" si="3"/>
        <v>Currently Unavailable</v>
      </c>
      <c r="I4567" s="1" t="str">
        <f t="shared" si="4"/>
        <v>No Badges</v>
      </c>
      <c r="J4567" s="3">
        <f t="shared" si="5"/>
        <v>0</v>
      </c>
    </row>
    <row r="4568">
      <c r="A4568" s="1" t="s">
        <v>3324</v>
      </c>
      <c r="B4568" s="3" t="str">
        <f t="shared" si="1"/>
        <v>Unavailable</v>
      </c>
      <c r="C4568" s="5">
        <v>5207.0</v>
      </c>
      <c r="D4568" s="3">
        <f>IFERROR(__xludf.DUMMYFUNCTION("IFERROR(
IF(REGEXMATCH(LOWER(O4568),""k""),
VALUE(REGEXEXTRACT(O4568,""[0-9]+""))*1000,
VALUE(REGEXEXTRACT(O4568,""[0-9]+""))
),
0
)"),0.0)</f>
        <v>0</v>
      </c>
      <c r="E4568" s="1" t="s">
        <v>11</v>
      </c>
      <c r="F4568" s="1" t="s">
        <v>12</v>
      </c>
      <c r="G4568" s="4" t="b">
        <f t="shared" si="2"/>
        <v>1</v>
      </c>
      <c r="H4568" s="1" t="str">
        <f t="shared" si="3"/>
        <v>Currently Unavailable</v>
      </c>
      <c r="I4568" s="1" t="str">
        <f t="shared" si="4"/>
        <v>No Badges</v>
      </c>
      <c r="J4568" s="3">
        <f t="shared" si="5"/>
        <v>0</v>
      </c>
    </row>
    <row r="4569">
      <c r="A4569" s="1" t="s">
        <v>3343</v>
      </c>
      <c r="B4569" s="3" t="str">
        <f t="shared" si="1"/>
        <v>Unavailable</v>
      </c>
      <c r="C4569" s="5">
        <v>1648.0</v>
      </c>
      <c r="D4569" s="3">
        <f>IFERROR(__xludf.DUMMYFUNCTION("IFERROR(
IF(REGEXMATCH(LOWER(O4569),""k""),
VALUE(REGEXEXTRACT(O4569,""[0-9]+""))*1000,
VALUE(REGEXEXTRACT(O4569,""[0-9]+""))
),
0
)"),0.0)</f>
        <v>0</v>
      </c>
      <c r="E4569" s="1" t="s">
        <v>11</v>
      </c>
      <c r="F4569" s="1" t="s">
        <v>20</v>
      </c>
      <c r="G4569" s="4" t="b">
        <f t="shared" si="2"/>
        <v>1</v>
      </c>
      <c r="H4569" s="1" t="str">
        <f t="shared" si="3"/>
        <v>Currently Unavailable</v>
      </c>
      <c r="I4569" s="1" t="str">
        <f t="shared" si="4"/>
        <v>No Badges</v>
      </c>
      <c r="J4569" s="3">
        <f t="shared" si="5"/>
        <v>0</v>
      </c>
    </row>
    <row r="4570">
      <c r="A4570" s="1" t="s">
        <v>3324</v>
      </c>
      <c r="B4570" s="3" t="str">
        <f t="shared" si="1"/>
        <v>Unavailable</v>
      </c>
      <c r="C4570" s="5">
        <v>5207.0</v>
      </c>
      <c r="D4570" s="3">
        <f>IFERROR(__xludf.DUMMYFUNCTION("IFERROR(
IF(REGEXMATCH(LOWER(O4570),""k""),
VALUE(REGEXEXTRACT(O4570,""[0-9]+""))*1000,
VALUE(REGEXEXTRACT(O4570,""[0-9]+""))
),
0
)"),0.0)</f>
        <v>0</v>
      </c>
      <c r="E4570" s="1" t="s">
        <v>11</v>
      </c>
      <c r="F4570" s="1" t="s">
        <v>12</v>
      </c>
      <c r="G4570" s="4" t="b">
        <f t="shared" si="2"/>
        <v>1</v>
      </c>
      <c r="H4570" s="1" t="str">
        <f t="shared" si="3"/>
        <v>Currently Unavailable</v>
      </c>
      <c r="I4570" s="1" t="str">
        <f t="shared" si="4"/>
        <v>No Badges</v>
      </c>
      <c r="J4570" s="3">
        <f t="shared" si="5"/>
        <v>0</v>
      </c>
    </row>
    <row r="4571">
      <c r="A4571" s="1" t="s">
        <v>3324</v>
      </c>
      <c r="B4571" s="3" t="str">
        <f t="shared" si="1"/>
        <v>Unavailable</v>
      </c>
      <c r="C4571" s="5">
        <v>5207.0</v>
      </c>
      <c r="D4571" s="3">
        <f>IFERROR(__xludf.DUMMYFUNCTION("IFERROR(
IF(REGEXMATCH(LOWER(O4571),""k""),
VALUE(REGEXEXTRACT(O4571,""[0-9]+""))*1000,
VALUE(REGEXEXTRACT(O4571,""[0-9]+""))
),
0
)"),0.0)</f>
        <v>0</v>
      </c>
      <c r="E4571" s="1" t="s">
        <v>11</v>
      </c>
      <c r="F4571" s="1" t="s">
        <v>12</v>
      </c>
      <c r="G4571" s="4" t="b">
        <f t="shared" si="2"/>
        <v>1</v>
      </c>
      <c r="H4571" s="1" t="str">
        <f t="shared" si="3"/>
        <v>Currently Unavailable</v>
      </c>
      <c r="I4571" s="1" t="str">
        <f t="shared" si="4"/>
        <v>No Badges</v>
      </c>
      <c r="J4571" s="3">
        <f t="shared" si="5"/>
        <v>0</v>
      </c>
    </row>
    <row r="4572">
      <c r="A4572" s="1" t="s">
        <v>3324</v>
      </c>
      <c r="B4572" s="3" t="str">
        <f t="shared" si="1"/>
        <v>Unavailable</v>
      </c>
      <c r="C4572" s="5">
        <v>5207.0</v>
      </c>
      <c r="D4572" s="3">
        <f>IFERROR(__xludf.DUMMYFUNCTION("IFERROR(
IF(REGEXMATCH(LOWER(O4572),""k""),
VALUE(REGEXEXTRACT(O4572,""[0-9]+""))*1000,
VALUE(REGEXEXTRACT(O4572,""[0-9]+""))
),
0
)"),0.0)</f>
        <v>0</v>
      </c>
      <c r="E4572" s="1" t="s">
        <v>11</v>
      </c>
      <c r="F4572" s="1" t="s">
        <v>12</v>
      </c>
      <c r="G4572" s="4" t="b">
        <f t="shared" si="2"/>
        <v>1</v>
      </c>
      <c r="H4572" s="1" t="str">
        <f t="shared" si="3"/>
        <v>Currently Unavailable</v>
      </c>
      <c r="I4572" s="1" t="str">
        <f t="shared" si="4"/>
        <v>No Badges</v>
      </c>
      <c r="J4572" s="3">
        <f t="shared" si="5"/>
        <v>0</v>
      </c>
    </row>
    <row r="4573">
      <c r="A4573" s="1" t="s">
        <v>3324</v>
      </c>
      <c r="B4573" s="3" t="str">
        <f t="shared" si="1"/>
        <v>Unavailable</v>
      </c>
      <c r="C4573" s="5">
        <v>5207.0</v>
      </c>
      <c r="D4573" s="3">
        <f>IFERROR(__xludf.DUMMYFUNCTION("IFERROR(
IF(REGEXMATCH(LOWER(O4573),""k""),
VALUE(REGEXEXTRACT(O4573,""[0-9]+""))*1000,
VALUE(REGEXEXTRACT(O4573,""[0-9]+""))
),
0
)"),0.0)</f>
        <v>0</v>
      </c>
      <c r="E4573" s="1" t="s">
        <v>11</v>
      </c>
      <c r="F4573" s="1" t="s">
        <v>12</v>
      </c>
      <c r="G4573" s="4" t="b">
        <f t="shared" si="2"/>
        <v>1</v>
      </c>
      <c r="H4573" s="1" t="str">
        <f t="shared" si="3"/>
        <v>Currently Unavailable</v>
      </c>
      <c r="I4573" s="1" t="str">
        <f t="shared" si="4"/>
        <v>No Badges</v>
      </c>
      <c r="J4573" s="3">
        <f t="shared" si="5"/>
        <v>0</v>
      </c>
    </row>
    <row r="4574">
      <c r="A4574" s="1" t="s">
        <v>67</v>
      </c>
      <c r="B4574" s="3" t="str">
        <f t="shared" si="1"/>
        <v>Unavailable</v>
      </c>
      <c r="C4574" s="3">
        <v>264.0</v>
      </c>
      <c r="D4574" s="3">
        <f>IFERROR(__xludf.DUMMYFUNCTION("IFERROR(
IF(REGEXMATCH(LOWER(O4574),""k""),
VALUE(REGEXEXTRACT(O4574,""[0-9]+""))*1000,
VALUE(REGEXEXTRACT(O4574,""[0-9]+""))
),
0
)"),0.0)</f>
        <v>0</v>
      </c>
      <c r="E4574" s="1" t="s">
        <v>11</v>
      </c>
      <c r="F4574" s="1" t="s">
        <v>12</v>
      </c>
      <c r="G4574" s="4" t="b">
        <f t="shared" si="2"/>
        <v>1</v>
      </c>
      <c r="H4574" s="1" t="str">
        <f t="shared" si="3"/>
        <v>Currently Unavailable</v>
      </c>
      <c r="I4574" s="1" t="str">
        <f t="shared" si="4"/>
        <v>No Badges</v>
      </c>
      <c r="J4574" s="3">
        <f t="shared" si="5"/>
        <v>0</v>
      </c>
    </row>
    <row r="4575">
      <c r="A4575" s="1" t="s">
        <v>3324</v>
      </c>
      <c r="B4575" s="3" t="str">
        <f t="shared" si="1"/>
        <v>Unavailable</v>
      </c>
      <c r="C4575" s="5">
        <v>5207.0</v>
      </c>
      <c r="D4575" s="3">
        <f>IFERROR(__xludf.DUMMYFUNCTION("IFERROR(
IF(REGEXMATCH(LOWER(O4575),""k""),
VALUE(REGEXEXTRACT(O4575,""[0-9]+""))*1000,
VALUE(REGEXEXTRACT(O4575,""[0-9]+""))
),
0
)"),0.0)</f>
        <v>0</v>
      </c>
      <c r="E4575" s="1" t="s">
        <v>11</v>
      </c>
      <c r="F4575" s="1" t="s">
        <v>12</v>
      </c>
      <c r="G4575" s="4" t="b">
        <f t="shared" si="2"/>
        <v>1</v>
      </c>
      <c r="H4575" s="1" t="str">
        <f t="shared" si="3"/>
        <v>Currently Unavailable</v>
      </c>
      <c r="I4575" s="1" t="str">
        <f t="shared" si="4"/>
        <v>No Badges</v>
      </c>
      <c r="J4575" s="3">
        <f t="shared" si="5"/>
        <v>0</v>
      </c>
    </row>
    <row r="4576">
      <c r="A4576" s="1" t="s">
        <v>3324</v>
      </c>
      <c r="B4576" s="3" t="str">
        <f t="shared" si="1"/>
        <v>Unavailable</v>
      </c>
      <c r="C4576" s="5">
        <v>5207.0</v>
      </c>
      <c r="D4576" s="3">
        <f>IFERROR(__xludf.DUMMYFUNCTION("IFERROR(
IF(REGEXMATCH(LOWER(O4576),""k""),
VALUE(REGEXEXTRACT(O4576,""[0-9]+""))*1000,
VALUE(REGEXEXTRACT(O4576,""[0-9]+""))
),
0
)"),0.0)</f>
        <v>0</v>
      </c>
      <c r="E4576" s="1" t="s">
        <v>11</v>
      </c>
      <c r="F4576" s="1" t="s">
        <v>12</v>
      </c>
      <c r="G4576" s="4" t="b">
        <f t="shared" si="2"/>
        <v>1</v>
      </c>
      <c r="H4576" s="1" t="str">
        <f t="shared" si="3"/>
        <v>Currently Unavailable</v>
      </c>
      <c r="I4576" s="1" t="str">
        <f t="shared" si="4"/>
        <v>No Badges</v>
      </c>
      <c r="J4576" s="3">
        <f t="shared" si="5"/>
        <v>0</v>
      </c>
    </row>
    <row r="4577">
      <c r="A4577" s="1" t="s">
        <v>3324</v>
      </c>
      <c r="B4577" s="3" t="str">
        <f t="shared" si="1"/>
        <v>Unavailable</v>
      </c>
      <c r="C4577" s="5">
        <v>5207.0</v>
      </c>
      <c r="D4577" s="3">
        <f>IFERROR(__xludf.DUMMYFUNCTION("IFERROR(
IF(REGEXMATCH(LOWER(O4577),""k""),
VALUE(REGEXEXTRACT(O4577,""[0-9]+""))*1000,
VALUE(REGEXEXTRACT(O4577,""[0-9]+""))
),
0
)"),0.0)</f>
        <v>0</v>
      </c>
      <c r="E4577" s="1" t="s">
        <v>18</v>
      </c>
      <c r="F4577" s="1" t="s">
        <v>12</v>
      </c>
      <c r="G4577" s="4" t="b">
        <f t="shared" si="2"/>
        <v>1</v>
      </c>
      <c r="H4577" s="1" t="str">
        <f t="shared" si="3"/>
        <v>Currently Unavailable</v>
      </c>
      <c r="I4577" s="1" t="str">
        <f t="shared" si="4"/>
        <v>No Badges</v>
      </c>
      <c r="J4577" s="3">
        <f t="shared" si="5"/>
        <v>0</v>
      </c>
    </row>
    <row r="4578">
      <c r="A4578" s="1" t="s">
        <v>3324</v>
      </c>
      <c r="B4578" s="3" t="str">
        <f t="shared" si="1"/>
        <v>Unavailable</v>
      </c>
      <c r="C4578" s="5">
        <v>5207.0</v>
      </c>
      <c r="D4578" s="3">
        <f>IFERROR(__xludf.DUMMYFUNCTION("IFERROR(
IF(REGEXMATCH(LOWER(O4578),""k""),
VALUE(REGEXEXTRACT(O4578,""[0-9]+""))*1000,
VALUE(REGEXEXTRACT(O4578,""[0-9]+""))
),
0
)"),0.0)</f>
        <v>0</v>
      </c>
      <c r="E4578" s="1" t="s">
        <v>11</v>
      </c>
      <c r="F4578" s="1" t="s">
        <v>12</v>
      </c>
      <c r="G4578" s="4" t="b">
        <f t="shared" si="2"/>
        <v>1</v>
      </c>
      <c r="H4578" s="1" t="str">
        <f t="shared" si="3"/>
        <v>Currently Unavailable</v>
      </c>
      <c r="I4578" s="1" t="str">
        <f t="shared" si="4"/>
        <v>No Badges</v>
      </c>
      <c r="J4578" s="3">
        <f t="shared" si="5"/>
        <v>0</v>
      </c>
    </row>
    <row r="4579">
      <c r="A4579" s="1" t="s">
        <v>3324</v>
      </c>
      <c r="B4579" s="3" t="str">
        <f t="shared" si="1"/>
        <v>Unavailable</v>
      </c>
      <c r="C4579" s="5">
        <v>5207.0</v>
      </c>
      <c r="D4579" s="3">
        <f>IFERROR(__xludf.DUMMYFUNCTION("IFERROR(
IF(REGEXMATCH(LOWER(O4579),""k""),
VALUE(REGEXEXTRACT(O4579,""[0-9]+""))*1000,
VALUE(REGEXEXTRACT(O4579,""[0-9]+""))
),
0
)"),0.0)</f>
        <v>0</v>
      </c>
      <c r="E4579" s="1" t="s">
        <v>11</v>
      </c>
      <c r="F4579" s="1" t="s">
        <v>12</v>
      </c>
      <c r="G4579" s="4" t="b">
        <f t="shared" si="2"/>
        <v>1</v>
      </c>
      <c r="H4579" s="1" t="str">
        <f t="shared" si="3"/>
        <v>Currently Unavailable</v>
      </c>
      <c r="I4579" s="1" t="str">
        <f t="shared" si="4"/>
        <v>No Badges</v>
      </c>
      <c r="J4579" s="3">
        <f t="shared" si="5"/>
        <v>0</v>
      </c>
    </row>
    <row r="4580">
      <c r="A4580" s="1" t="s">
        <v>3324</v>
      </c>
      <c r="B4580" s="3" t="str">
        <f t="shared" si="1"/>
        <v>Unavailable</v>
      </c>
      <c r="C4580" s="5">
        <v>5207.0</v>
      </c>
      <c r="D4580" s="3">
        <f>IFERROR(__xludf.DUMMYFUNCTION("IFERROR(
IF(REGEXMATCH(LOWER(O4580),""k""),
VALUE(REGEXEXTRACT(O4580,""[0-9]+""))*1000,
VALUE(REGEXEXTRACT(O4580,""[0-9]+""))
),
0
)"),0.0)</f>
        <v>0</v>
      </c>
      <c r="E4580" s="1" t="s">
        <v>11</v>
      </c>
      <c r="F4580" s="1" t="s">
        <v>12</v>
      </c>
      <c r="G4580" s="4" t="b">
        <f t="shared" si="2"/>
        <v>1</v>
      </c>
      <c r="H4580" s="1" t="str">
        <f t="shared" si="3"/>
        <v>Currently Unavailable</v>
      </c>
      <c r="I4580" s="1" t="str">
        <f t="shared" si="4"/>
        <v>No Badges</v>
      </c>
      <c r="J4580" s="3">
        <f t="shared" si="5"/>
        <v>0</v>
      </c>
    </row>
    <row r="4581">
      <c r="A4581" s="1" t="s">
        <v>3324</v>
      </c>
      <c r="B4581" s="3" t="str">
        <f t="shared" si="1"/>
        <v>Unavailable</v>
      </c>
      <c r="C4581" s="5">
        <v>5207.0</v>
      </c>
      <c r="D4581" s="3">
        <f>IFERROR(__xludf.DUMMYFUNCTION("IFERROR(
IF(REGEXMATCH(LOWER(O4581),""k""),
VALUE(REGEXEXTRACT(O4581,""[0-9]+""))*1000,
VALUE(REGEXEXTRACT(O4581,""[0-9]+""))
),
0
)"),0.0)</f>
        <v>0</v>
      </c>
      <c r="E4581" s="1" t="s">
        <v>11</v>
      </c>
      <c r="F4581" s="1" t="s">
        <v>12</v>
      </c>
      <c r="G4581" s="4" t="b">
        <f t="shared" si="2"/>
        <v>1</v>
      </c>
      <c r="H4581" s="1" t="str">
        <f t="shared" si="3"/>
        <v>Currently Unavailable</v>
      </c>
      <c r="I4581" s="1" t="str">
        <f t="shared" si="4"/>
        <v>No Badges</v>
      </c>
      <c r="J4581" s="3">
        <f t="shared" si="5"/>
        <v>0</v>
      </c>
    </row>
    <row r="4582">
      <c r="A4582" s="1" t="s">
        <v>3324</v>
      </c>
      <c r="B4582" s="3" t="str">
        <f t="shared" si="1"/>
        <v>Unavailable</v>
      </c>
      <c r="C4582" s="5">
        <v>5207.0</v>
      </c>
      <c r="D4582" s="3">
        <f>IFERROR(__xludf.DUMMYFUNCTION("IFERROR(
IF(REGEXMATCH(LOWER(O4582),""k""),
VALUE(REGEXEXTRACT(O4582,""[0-9]+""))*1000,
VALUE(REGEXEXTRACT(O4582,""[0-9]+""))
),
0
)"),0.0)</f>
        <v>0</v>
      </c>
      <c r="E4582" s="1" t="s">
        <v>11</v>
      </c>
      <c r="F4582" s="1" t="s">
        <v>12</v>
      </c>
      <c r="G4582" s="4" t="b">
        <f t="shared" si="2"/>
        <v>1</v>
      </c>
      <c r="H4582" s="1" t="str">
        <f t="shared" si="3"/>
        <v>Currently Unavailable</v>
      </c>
      <c r="I4582" s="1" t="str">
        <f t="shared" si="4"/>
        <v>No Badges</v>
      </c>
      <c r="J4582" s="3">
        <f t="shared" si="5"/>
        <v>0</v>
      </c>
    </row>
    <row r="4583">
      <c r="A4583" s="1" t="s">
        <v>3324</v>
      </c>
      <c r="B4583" s="3" t="str">
        <f t="shared" si="1"/>
        <v>Unavailable</v>
      </c>
      <c r="C4583" s="5">
        <v>5207.0</v>
      </c>
      <c r="D4583" s="3">
        <f>IFERROR(__xludf.DUMMYFUNCTION("IFERROR(
IF(REGEXMATCH(LOWER(O4583),""k""),
VALUE(REGEXEXTRACT(O4583,""[0-9]+""))*1000,
VALUE(REGEXEXTRACT(O4583,""[0-9]+""))
),
0
)"),0.0)</f>
        <v>0</v>
      </c>
      <c r="E4583" s="1" t="s">
        <v>11</v>
      </c>
      <c r="F4583" s="1" t="s">
        <v>12</v>
      </c>
      <c r="G4583" s="4" t="b">
        <f t="shared" si="2"/>
        <v>1</v>
      </c>
      <c r="H4583" s="1" t="str">
        <f t="shared" si="3"/>
        <v>Currently Unavailable</v>
      </c>
      <c r="I4583" s="1" t="str">
        <f t="shared" si="4"/>
        <v>No Badges</v>
      </c>
      <c r="J4583" s="3">
        <f t="shared" si="5"/>
        <v>0</v>
      </c>
    </row>
    <row r="4584">
      <c r="A4584" s="1" t="s">
        <v>3324</v>
      </c>
      <c r="B4584" s="3" t="str">
        <f t="shared" si="1"/>
        <v>Unavailable</v>
      </c>
      <c r="C4584" s="5">
        <v>5207.0</v>
      </c>
      <c r="D4584" s="3">
        <f>IFERROR(__xludf.DUMMYFUNCTION("IFERROR(
IF(REGEXMATCH(LOWER(O4584),""k""),
VALUE(REGEXEXTRACT(O4584,""[0-9]+""))*1000,
VALUE(REGEXEXTRACT(O4584,""[0-9]+""))
),
0
)"),0.0)</f>
        <v>0</v>
      </c>
      <c r="E4584" s="1" t="s">
        <v>11</v>
      </c>
      <c r="F4584" s="1" t="s">
        <v>12</v>
      </c>
      <c r="G4584" s="4" t="b">
        <f t="shared" si="2"/>
        <v>1</v>
      </c>
      <c r="H4584" s="1" t="str">
        <f t="shared" si="3"/>
        <v>Currently Unavailable</v>
      </c>
      <c r="I4584" s="1" t="str">
        <f t="shared" si="4"/>
        <v>No Badges</v>
      </c>
      <c r="J4584" s="3">
        <f t="shared" si="5"/>
        <v>0</v>
      </c>
    </row>
    <row r="4585">
      <c r="A4585" s="1" t="s">
        <v>3324</v>
      </c>
      <c r="B4585" s="3" t="str">
        <f t="shared" si="1"/>
        <v>Unavailable</v>
      </c>
      <c r="C4585" s="5">
        <v>5207.0</v>
      </c>
      <c r="D4585" s="3">
        <f>IFERROR(__xludf.DUMMYFUNCTION("IFERROR(
IF(REGEXMATCH(LOWER(O4585),""k""),
VALUE(REGEXEXTRACT(O4585,""[0-9]+""))*1000,
VALUE(REGEXEXTRACT(O4585,""[0-9]+""))
),
0
)"),0.0)</f>
        <v>0</v>
      </c>
      <c r="E4585" s="1" t="s">
        <v>11</v>
      </c>
      <c r="F4585" s="1" t="s">
        <v>12</v>
      </c>
      <c r="G4585" s="4" t="b">
        <f t="shared" si="2"/>
        <v>1</v>
      </c>
      <c r="H4585" s="1" t="str">
        <f t="shared" si="3"/>
        <v>Currently Unavailable</v>
      </c>
      <c r="I4585" s="1" t="str">
        <f t="shared" si="4"/>
        <v>No Badges</v>
      </c>
      <c r="J4585" s="3">
        <f t="shared" si="5"/>
        <v>0</v>
      </c>
    </row>
    <row r="4586">
      <c r="A4586" s="1" t="s">
        <v>3324</v>
      </c>
      <c r="B4586" s="3" t="str">
        <f t="shared" si="1"/>
        <v>Unavailable</v>
      </c>
      <c r="C4586" s="5">
        <v>5207.0</v>
      </c>
      <c r="D4586" s="3">
        <f>IFERROR(__xludf.DUMMYFUNCTION("IFERROR(
IF(REGEXMATCH(LOWER(O4586),""k""),
VALUE(REGEXEXTRACT(O4586,""[0-9]+""))*1000,
VALUE(REGEXEXTRACT(O4586,""[0-9]+""))
),
0
)"),0.0)</f>
        <v>0</v>
      </c>
      <c r="E4586" s="1" t="s">
        <v>11</v>
      </c>
      <c r="F4586" s="1" t="s">
        <v>12</v>
      </c>
      <c r="G4586" s="4" t="b">
        <f t="shared" si="2"/>
        <v>1</v>
      </c>
      <c r="H4586" s="1" t="str">
        <f t="shared" si="3"/>
        <v>Currently Unavailable</v>
      </c>
      <c r="I4586" s="1" t="str">
        <f t="shared" si="4"/>
        <v>No Badges</v>
      </c>
      <c r="J4586" s="3">
        <f t="shared" si="5"/>
        <v>0</v>
      </c>
    </row>
    <row r="4587">
      <c r="A4587" s="1" t="s">
        <v>3324</v>
      </c>
      <c r="B4587" s="3" t="str">
        <f t="shared" si="1"/>
        <v>Unavailable</v>
      </c>
      <c r="C4587" s="5">
        <v>5207.0</v>
      </c>
      <c r="D4587" s="3">
        <f>IFERROR(__xludf.DUMMYFUNCTION("IFERROR(
IF(REGEXMATCH(LOWER(O4587),""k""),
VALUE(REGEXEXTRACT(O4587,""[0-9]+""))*1000,
VALUE(REGEXEXTRACT(O4587,""[0-9]+""))
),
0
)"),0.0)</f>
        <v>0</v>
      </c>
      <c r="E4587" s="1" t="s">
        <v>11</v>
      </c>
      <c r="F4587" s="1" t="s">
        <v>12</v>
      </c>
      <c r="G4587" s="4" t="b">
        <f t="shared" si="2"/>
        <v>1</v>
      </c>
      <c r="H4587" s="1" t="str">
        <f t="shared" si="3"/>
        <v>Currently Unavailable</v>
      </c>
      <c r="I4587" s="1" t="str">
        <f t="shared" si="4"/>
        <v>No Badges</v>
      </c>
      <c r="J4587" s="3">
        <f t="shared" si="5"/>
        <v>0</v>
      </c>
    </row>
    <row r="4588">
      <c r="A4588" s="1" t="s">
        <v>3344</v>
      </c>
      <c r="B4588" s="3" t="str">
        <f t="shared" si="1"/>
        <v>Unavailable</v>
      </c>
      <c r="C4588" s="3">
        <v>412.0</v>
      </c>
      <c r="D4588" s="3">
        <f>IFERROR(__xludf.DUMMYFUNCTION("IFERROR(
IF(REGEXMATCH(LOWER(O4588),""k""),
VALUE(REGEXEXTRACT(O4588,""[0-9]+""))*1000,
VALUE(REGEXEXTRACT(O4588,""[0-9]+""))
),
0
)"),0.0)</f>
        <v>0</v>
      </c>
      <c r="E4588" s="1" t="s">
        <v>11</v>
      </c>
      <c r="F4588" s="1" t="s">
        <v>20</v>
      </c>
      <c r="G4588" s="4" t="b">
        <f t="shared" si="2"/>
        <v>1</v>
      </c>
      <c r="H4588" s="1" t="str">
        <f t="shared" si="3"/>
        <v>Currently Unavailable</v>
      </c>
      <c r="I4588" s="1" t="str">
        <f t="shared" si="4"/>
        <v>No Badges</v>
      </c>
      <c r="J4588" s="3">
        <f t="shared" si="5"/>
        <v>0</v>
      </c>
    </row>
    <row r="4589">
      <c r="A4589" s="1" t="s">
        <v>701</v>
      </c>
      <c r="B4589" s="3" t="str">
        <f t="shared" si="1"/>
        <v>Unavailable</v>
      </c>
      <c r="C4589" s="3">
        <v>8.0</v>
      </c>
      <c r="D4589" s="3">
        <f>IFERROR(__xludf.DUMMYFUNCTION("IFERROR(
IF(REGEXMATCH(LOWER(O4589),""k""),
VALUE(REGEXEXTRACT(O4589,""[0-9]+""))*1000,
VALUE(REGEXEXTRACT(O4589,""[0-9]+""))
),
0
)"),0.0)</f>
        <v>0</v>
      </c>
      <c r="E4589" s="1" t="s">
        <v>11</v>
      </c>
      <c r="F4589" s="1" t="s">
        <v>12</v>
      </c>
      <c r="G4589" s="4" t="b">
        <f t="shared" si="2"/>
        <v>1</v>
      </c>
      <c r="H4589" s="1" t="str">
        <f t="shared" si="3"/>
        <v>Currently Unavailable</v>
      </c>
      <c r="I4589" s="1" t="str">
        <f t="shared" si="4"/>
        <v>No Badges</v>
      </c>
      <c r="J4589" s="3">
        <f t="shared" si="5"/>
        <v>0</v>
      </c>
    </row>
    <row r="4590">
      <c r="A4590" s="1" t="s">
        <v>3324</v>
      </c>
      <c r="B4590" s="3" t="str">
        <f t="shared" si="1"/>
        <v>Unavailable</v>
      </c>
      <c r="C4590" s="5">
        <v>5207.0</v>
      </c>
      <c r="D4590" s="3">
        <f>IFERROR(__xludf.DUMMYFUNCTION("IFERROR(
IF(REGEXMATCH(LOWER(O4590),""k""),
VALUE(REGEXEXTRACT(O4590,""[0-9]+""))*1000,
VALUE(REGEXEXTRACT(O4590,""[0-9]+""))
),
0
)"),0.0)</f>
        <v>0</v>
      </c>
      <c r="E4590" s="1" t="s">
        <v>11</v>
      </c>
      <c r="F4590" s="1" t="s">
        <v>12</v>
      </c>
      <c r="G4590" s="4" t="b">
        <f t="shared" si="2"/>
        <v>1</v>
      </c>
      <c r="H4590" s="1" t="str">
        <f t="shared" si="3"/>
        <v>Currently Unavailable</v>
      </c>
      <c r="I4590" s="1" t="str">
        <f t="shared" si="4"/>
        <v>No Badges</v>
      </c>
      <c r="J4590" s="3">
        <f t="shared" si="5"/>
        <v>0</v>
      </c>
    </row>
    <row r="4591">
      <c r="A4591" s="1" t="s">
        <v>3324</v>
      </c>
      <c r="B4591" s="3" t="str">
        <f t="shared" si="1"/>
        <v>Unavailable</v>
      </c>
      <c r="C4591" s="5">
        <v>5207.0</v>
      </c>
      <c r="D4591" s="3">
        <f>IFERROR(__xludf.DUMMYFUNCTION("IFERROR(
IF(REGEXMATCH(LOWER(O4591),""k""),
VALUE(REGEXEXTRACT(O4591,""[0-9]+""))*1000,
VALUE(REGEXEXTRACT(O4591,""[0-9]+""))
),
0
)"),0.0)</f>
        <v>0</v>
      </c>
      <c r="E4591" s="1" t="s">
        <v>11</v>
      </c>
      <c r="F4591" s="1" t="s">
        <v>12</v>
      </c>
      <c r="G4591" s="4" t="b">
        <f t="shared" si="2"/>
        <v>1</v>
      </c>
      <c r="H4591" s="1" t="str">
        <f t="shared" si="3"/>
        <v>Currently Unavailable</v>
      </c>
      <c r="I4591" s="1" t="str">
        <f t="shared" si="4"/>
        <v>No Badges</v>
      </c>
      <c r="J4591" s="3">
        <f t="shared" si="5"/>
        <v>0</v>
      </c>
    </row>
    <row r="4592">
      <c r="A4592" s="1" t="s">
        <v>3324</v>
      </c>
      <c r="B4592" s="3" t="str">
        <f t="shared" si="1"/>
        <v>Unavailable</v>
      </c>
      <c r="C4592" s="5">
        <v>5207.0</v>
      </c>
      <c r="D4592" s="3">
        <f>IFERROR(__xludf.DUMMYFUNCTION("IFERROR(
IF(REGEXMATCH(LOWER(O4592),""k""),
VALUE(REGEXEXTRACT(O4592,""[0-9]+""))*1000,
VALUE(REGEXEXTRACT(O4592,""[0-9]+""))
),
0
)"),0.0)</f>
        <v>0</v>
      </c>
      <c r="E4592" s="1" t="s">
        <v>18</v>
      </c>
      <c r="F4592" s="1" t="s">
        <v>12</v>
      </c>
      <c r="G4592" s="4" t="b">
        <f t="shared" si="2"/>
        <v>1</v>
      </c>
      <c r="H4592" s="1" t="str">
        <f t="shared" si="3"/>
        <v>Currently Unavailable</v>
      </c>
      <c r="I4592" s="1" t="str">
        <f t="shared" si="4"/>
        <v>No Badges</v>
      </c>
      <c r="J4592" s="3">
        <f t="shared" si="5"/>
        <v>0</v>
      </c>
    </row>
    <row r="4593">
      <c r="A4593" s="1" t="s">
        <v>3324</v>
      </c>
      <c r="B4593" s="3" t="str">
        <f t="shared" si="1"/>
        <v>Unavailable</v>
      </c>
      <c r="C4593" s="5">
        <v>5207.0</v>
      </c>
      <c r="D4593" s="3">
        <f>IFERROR(__xludf.DUMMYFUNCTION("IFERROR(
IF(REGEXMATCH(LOWER(O4593),""k""),
VALUE(REGEXEXTRACT(O4593,""[0-9]+""))*1000,
VALUE(REGEXEXTRACT(O4593,""[0-9]+""))
),
0
)"),0.0)</f>
        <v>0</v>
      </c>
      <c r="E4593" s="1" t="s">
        <v>11</v>
      </c>
      <c r="F4593" s="1" t="s">
        <v>12</v>
      </c>
      <c r="G4593" s="4" t="b">
        <f t="shared" si="2"/>
        <v>1</v>
      </c>
      <c r="H4593" s="1" t="str">
        <f t="shared" si="3"/>
        <v>Currently Unavailable</v>
      </c>
      <c r="I4593" s="1" t="str">
        <f t="shared" si="4"/>
        <v>No Badges</v>
      </c>
      <c r="J4593" s="3">
        <f t="shared" si="5"/>
        <v>0</v>
      </c>
    </row>
    <row r="4594">
      <c r="A4594" s="1" t="s">
        <v>69</v>
      </c>
      <c r="B4594" s="3" t="str">
        <f t="shared" si="1"/>
        <v>Unavailable</v>
      </c>
      <c r="C4594" s="3">
        <v>45.0</v>
      </c>
      <c r="D4594" s="3">
        <f>IFERROR(__xludf.DUMMYFUNCTION("IFERROR(
IF(REGEXMATCH(LOWER(O4594),""k""),
VALUE(REGEXEXTRACT(O4594,""[0-9]+""))*1000,
VALUE(REGEXEXTRACT(O4594,""[0-9]+""))
),
0
)"),0.0)</f>
        <v>0</v>
      </c>
      <c r="E4594" s="1" t="s">
        <v>11</v>
      </c>
      <c r="F4594" s="1" t="s">
        <v>12</v>
      </c>
      <c r="G4594" s="4" t="b">
        <f t="shared" si="2"/>
        <v>1</v>
      </c>
      <c r="H4594" s="1" t="str">
        <f t="shared" si="3"/>
        <v>Currently Unavailable</v>
      </c>
      <c r="I4594" s="1" t="str">
        <f t="shared" si="4"/>
        <v>No Badges</v>
      </c>
      <c r="J4594" s="3">
        <f t="shared" si="5"/>
        <v>0</v>
      </c>
    </row>
    <row r="4595">
      <c r="A4595" s="1" t="s">
        <v>3324</v>
      </c>
      <c r="B4595" s="3" t="str">
        <f t="shared" si="1"/>
        <v>Unavailable</v>
      </c>
      <c r="C4595" s="5">
        <v>5207.0</v>
      </c>
      <c r="D4595" s="3">
        <f>IFERROR(__xludf.DUMMYFUNCTION("IFERROR(
IF(REGEXMATCH(LOWER(O4595),""k""),
VALUE(REGEXEXTRACT(O4595,""[0-9]+""))*1000,
VALUE(REGEXEXTRACT(O4595,""[0-9]+""))
),
0
)"),0.0)</f>
        <v>0</v>
      </c>
      <c r="E4595" s="1" t="s">
        <v>11</v>
      </c>
      <c r="F4595" s="1" t="s">
        <v>12</v>
      </c>
      <c r="G4595" s="4" t="b">
        <f t="shared" si="2"/>
        <v>1</v>
      </c>
      <c r="H4595" s="1" t="str">
        <f t="shared" si="3"/>
        <v>Currently Unavailable</v>
      </c>
      <c r="I4595" s="1" t="str">
        <f t="shared" si="4"/>
        <v>No Badges</v>
      </c>
      <c r="J4595" s="3">
        <f t="shared" si="5"/>
        <v>0</v>
      </c>
    </row>
    <row r="4596">
      <c r="A4596" s="1" t="s">
        <v>3324</v>
      </c>
      <c r="B4596" s="3" t="str">
        <f t="shared" si="1"/>
        <v>Unavailable</v>
      </c>
      <c r="C4596" s="5">
        <v>5207.0</v>
      </c>
      <c r="D4596" s="3">
        <f>IFERROR(__xludf.DUMMYFUNCTION("IFERROR(
IF(REGEXMATCH(LOWER(O4596),""k""),
VALUE(REGEXEXTRACT(O4596,""[0-9]+""))*1000,
VALUE(REGEXEXTRACT(O4596,""[0-9]+""))
),
0
)"),0.0)</f>
        <v>0</v>
      </c>
      <c r="E4596" s="1" t="s">
        <v>11</v>
      </c>
      <c r="F4596" s="1" t="s">
        <v>12</v>
      </c>
      <c r="G4596" s="4" t="b">
        <f t="shared" si="2"/>
        <v>1</v>
      </c>
      <c r="H4596" s="1" t="str">
        <f t="shared" si="3"/>
        <v>Currently Unavailable</v>
      </c>
      <c r="I4596" s="1" t="str">
        <f t="shared" si="4"/>
        <v>No Badges</v>
      </c>
      <c r="J4596" s="3">
        <f t="shared" si="5"/>
        <v>0</v>
      </c>
    </row>
    <row r="4597">
      <c r="A4597" s="1" t="s">
        <v>3324</v>
      </c>
      <c r="B4597" s="3" t="str">
        <f t="shared" si="1"/>
        <v>Unavailable</v>
      </c>
      <c r="C4597" s="5">
        <v>5207.0</v>
      </c>
      <c r="D4597" s="3">
        <f>IFERROR(__xludf.DUMMYFUNCTION("IFERROR(
IF(REGEXMATCH(LOWER(O4597),""k""),
VALUE(REGEXEXTRACT(O4597,""[0-9]+""))*1000,
VALUE(REGEXEXTRACT(O4597,""[0-9]+""))
),
0
)"),0.0)</f>
        <v>0</v>
      </c>
      <c r="E4597" s="1" t="s">
        <v>11</v>
      </c>
      <c r="F4597" s="1" t="s">
        <v>12</v>
      </c>
      <c r="G4597" s="4" t="b">
        <f t="shared" si="2"/>
        <v>1</v>
      </c>
      <c r="H4597" s="1" t="str">
        <f t="shared" si="3"/>
        <v>Currently Unavailable</v>
      </c>
      <c r="I4597" s="1" t="str">
        <f t="shared" si="4"/>
        <v>No Badges</v>
      </c>
      <c r="J4597" s="3">
        <f t="shared" si="5"/>
        <v>0</v>
      </c>
    </row>
    <row r="4598">
      <c r="A4598" s="1" t="s">
        <v>3324</v>
      </c>
      <c r="B4598" s="3" t="str">
        <f t="shared" si="1"/>
        <v>Unavailable</v>
      </c>
      <c r="C4598" s="5">
        <v>5207.0</v>
      </c>
      <c r="D4598" s="3">
        <f>IFERROR(__xludf.DUMMYFUNCTION("IFERROR(
IF(REGEXMATCH(LOWER(O4598),""k""),
VALUE(REGEXEXTRACT(O4598,""[0-9]+""))*1000,
VALUE(REGEXEXTRACT(O4598,""[0-9]+""))
),
0
)"),0.0)</f>
        <v>0</v>
      </c>
      <c r="E4598" s="1" t="s">
        <v>18</v>
      </c>
      <c r="F4598" s="1" t="s">
        <v>12</v>
      </c>
      <c r="G4598" s="4" t="b">
        <f t="shared" si="2"/>
        <v>1</v>
      </c>
      <c r="H4598" s="1" t="str">
        <f t="shared" si="3"/>
        <v>Currently Unavailable</v>
      </c>
      <c r="I4598" s="1" t="str">
        <f t="shared" si="4"/>
        <v>No Badges</v>
      </c>
      <c r="J4598" s="3">
        <f t="shared" si="5"/>
        <v>0</v>
      </c>
    </row>
    <row r="4599">
      <c r="A4599" s="1" t="s">
        <v>3324</v>
      </c>
      <c r="B4599" s="3" t="str">
        <f t="shared" si="1"/>
        <v>Unavailable</v>
      </c>
      <c r="C4599" s="5">
        <v>5207.0</v>
      </c>
      <c r="D4599" s="3">
        <f>IFERROR(__xludf.DUMMYFUNCTION("IFERROR(
IF(REGEXMATCH(LOWER(O4599),""k""),
VALUE(REGEXEXTRACT(O4599,""[0-9]+""))*1000,
VALUE(REGEXEXTRACT(O4599,""[0-9]+""))
),
0
)"),0.0)</f>
        <v>0</v>
      </c>
      <c r="E4599" s="1" t="s">
        <v>11</v>
      </c>
      <c r="F4599" s="1" t="s">
        <v>12</v>
      </c>
      <c r="G4599" s="4" t="b">
        <f t="shared" si="2"/>
        <v>1</v>
      </c>
      <c r="H4599" s="1" t="str">
        <f t="shared" si="3"/>
        <v>Currently Unavailable</v>
      </c>
      <c r="I4599" s="1" t="str">
        <f t="shared" si="4"/>
        <v>No Badges</v>
      </c>
      <c r="J4599" s="3">
        <f t="shared" si="5"/>
        <v>0</v>
      </c>
    </row>
    <row r="4600">
      <c r="A4600" s="1" t="s">
        <v>3324</v>
      </c>
      <c r="B4600" s="3" t="str">
        <f t="shared" si="1"/>
        <v>Unavailable</v>
      </c>
      <c r="C4600" s="5">
        <v>5207.0</v>
      </c>
      <c r="D4600" s="3">
        <f>IFERROR(__xludf.DUMMYFUNCTION("IFERROR(
IF(REGEXMATCH(LOWER(O4600),""k""),
VALUE(REGEXEXTRACT(O4600,""[0-9]+""))*1000,
VALUE(REGEXEXTRACT(O4600,""[0-9]+""))
),
0
)"),0.0)</f>
        <v>0</v>
      </c>
      <c r="E4600" s="1" t="s">
        <v>11</v>
      </c>
      <c r="F4600" s="1" t="s">
        <v>12</v>
      </c>
      <c r="G4600" s="4" t="b">
        <f t="shared" si="2"/>
        <v>1</v>
      </c>
      <c r="H4600" s="1" t="str">
        <f t="shared" si="3"/>
        <v>Currently Unavailable</v>
      </c>
      <c r="I4600" s="1" t="str">
        <f t="shared" si="4"/>
        <v>No Badges</v>
      </c>
      <c r="J4600" s="3">
        <f t="shared" si="5"/>
        <v>0</v>
      </c>
    </row>
    <row r="4601">
      <c r="A4601" s="1" t="s">
        <v>3324</v>
      </c>
      <c r="B4601" s="3" t="str">
        <f t="shared" si="1"/>
        <v>Unavailable</v>
      </c>
      <c r="C4601" s="5">
        <v>5207.0</v>
      </c>
      <c r="D4601" s="3">
        <f>IFERROR(__xludf.DUMMYFUNCTION("IFERROR(
IF(REGEXMATCH(LOWER(O4601),""k""),
VALUE(REGEXEXTRACT(O4601,""[0-9]+""))*1000,
VALUE(REGEXEXTRACT(O4601,""[0-9]+""))
),
0
)"),0.0)</f>
        <v>0</v>
      </c>
      <c r="E4601" s="1" t="s">
        <v>11</v>
      </c>
      <c r="F4601" s="1" t="s">
        <v>12</v>
      </c>
      <c r="G4601" s="4" t="b">
        <f t="shared" si="2"/>
        <v>1</v>
      </c>
      <c r="H4601" s="1" t="str">
        <f t="shared" si="3"/>
        <v>Currently Unavailable</v>
      </c>
      <c r="I4601" s="1" t="str">
        <f t="shared" si="4"/>
        <v>No Badges</v>
      </c>
      <c r="J4601" s="3">
        <f t="shared" si="5"/>
        <v>0</v>
      </c>
    </row>
    <row r="4602">
      <c r="A4602" s="1" t="s">
        <v>3324</v>
      </c>
      <c r="B4602" s="3" t="str">
        <f t="shared" si="1"/>
        <v>Unavailable</v>
      </c>
      <c r="C4602" s="5">
        <v>5207.0</v>
      </c>
      <c r="D4602" s="3">
        <f>IFERROR(__xludf.DUMMYFUNCTION("IFERROR(
IF(REGEXMATCH(LOWER(O4602),""k""),
VALUE(REGEXEXTRACT(O4602,""[0-9]+""))*1000,
VALUE(REGEXEXTRACT(O4602,""[0-9]+""))
),
0
)"),0.0)</f>
        <v>0</v>
      </c>
      <c r="E4602" s="1" t="s">
        <v>11</v>
      </c>
      <c r="F4602" s="1" t="s">
        <v>12</v>
      </c>
      <c r="G4602" s="4" t="b">
        <f t="shared" si="2"/>
        <v>1</v>
      </c>
      <c r="H4602" s="1" t="str">
        <f t="shared" si="3"/>
        <v>Currently Unavailable</v>
      </c>
      <c r="I4602" s="1" t="str">
        <f t="shared" si="4"/>
        <v>No Badges</v>
      </c>
      <c r="J4602" s="3">
        <f t="shared" si="5"/>
        <v>0</v>
      </c>
    </row>
    <row r="4603">
      <c r="A4603" s="1" t="s">
        <v>3324</v>
      </c>
      <c r="B4603" s="3" t="str">
        <f t="shared" si="1"/>
        <v>Unavailable</v>
      </c>
      <c r="C4603" s="5">
        <v>5207.0</v>
      </c>
      <c r="D4603" s="3">
        <f>IFERROR(__xludf.DUMMYFUNCTION("IFERROR(
IF(REGEXMATCH(LOWER(O4603),""k""),
VALUE(REGEXEXTRACT(O4603,""[0-9]+""))*1000,
VALUE(REGEXEXTRACT(O4603,""[0-9]+""))
),
0
)"),0.0)</f>
        <v>0</v>
      </c>
      <c r="E4603" s="1" t="s">
        <v>11</v>
      </c>
      <c r="F4603" s="1" t="s">
        <v>12</v>
      </c>
      <c r="G4603" s="4" t="b">
        <f t="shared" si="2"/>
        <v>1</v>
      </c>
      <c r="H4603" s="1" t="str">
        <f t="shared" si="3"/>
        <v>Currently Unavailable</v>
      </c>
      <c r="I4603" s="1" t="str">
        <f t="shared" si="4"/>
        <v>No Badges</v>
      </c>
      <c r="J4603" s="3">
        <f t="shared" si="5"/>
        <v>0</v>
      </c>
    </row>
    <row r="4604">
      <c r="A4604" s="1" t="s">
        <v>3324</v>
      </c>
      <c r="B4604" s="3" t="str">
        <f t="shared" si="1"/>
        <v>Unavailable</v>
      </c>
      <c r="C4604" s="5">
        <v>5207.0</v>
      </c>
      <c r="D4604" s="3">
        <f>IFERROR(__xludf.DUMMYFUNCTION("IFERROR(
IF(REGEXMATCH(LOWER(O4604),""k""),
VALUE(REGEXEXTRACT(O4604,""[0-9]+""))*1000,
VALUE(REGEXEXTRACT(O4604,""[0-9]+""))
),
0
)"),0.0)</f>
        <v>0</v>
      </c>
      <c r="E4604" s="1" t="s">
        <v>11</v>
      </c>
      <c r="F4604" s="1" t="s">
        <v>12</v>
      </c>
      <c r="G4604" s="4" t="b">
        <f t="shared" si="2"/>
        <v>1</v>
      </c>
      <c r="H4604" s="1" t="str">
        <f t="shared" si="3"/>
        <v>Currently Unavailable</v>
      </c>
      <c r="I4604" s="1" t="str">
        <f t="shared" si="4"/>
        <v>No Badges</v>
      </c>
      <c r="J4604" s="3">
        <f t="shared" si="5"/>
        <v>0</v>
      </c>
    </row>
    <row r="4605">
      <c r="A4605" s="1" t="s">
        <v>3324</v>
      </c>
      <c r="B4605" s="3" t="str">
        <f t="shared" si="1"/>
        <v>Unavailable</v>
      </c>
      <c r="C4605" s="5">
        <v>5207.0</v>
      </c>
      <c r="D4605" s="3">
        <f>IFERROR(__xludf.DUMMYFUNCTION("IFERROR(
IF(REGEXMATCH(LOWER(O4605),""k""),
VALUE(REGEXEXTRACT(O4605,""[0-9]+""))*1000,
VALUE(REGEXEXTRACT(O4605,""[0-9]+""))
),
0
)"),0.0)</f>
        <v>0</v>
      </c>
      <c r="E4605" s="1" t="s">
        <v>11</v>
      </c>
      <c r="F4605" s="1" t="s">
        <v>12</v>
      </c>
      <c r="G4605" s="4" t="b">
        <f t="shared" si="2"/>
        <v>1</v>
      </c>
      <c r="H4605" s="1" t="str">
        <f t="shared" si="3"/>
        <v>Currently Unavailable</v>
      </c>
      <c r="I4605" s="1" t="str">
        <f t="shared" si="4"/>
        <v>No Badges</v>
      </c>
      <c r="J4605" s="3">
        <f t="shared" si="5"/>
        <v>0</v>
      </c>
    </row>
    <row r="4606">
      <c r="A4606" s="1" t="s">
        <v>3324</v>
      </c>
      <c r="B4606" s="3" t="str">
        <f t="shared" si="1"/>
        <v>Unavailable</v>
      </c>
      <c r="C4606" s="5">
        <v>5207.0</v>
      </c>
      <c r="D4606" s="3">
        <f>IFERROR(__xludf.DUMMYFUNCTION("IFERROR(
IF(REGEXMATCH(LOWER(O4606),""k""),
VALUE(REGEXEXTRACT(O4606,""[0-9]+""))*1000,
VALUE(REGEXEXTRACT(O4606,""[0-9]+""))
),
0
)"),0.0)</f>
        <v>0</v>
      </c>
      <c r="E4606" s="1" t="s">
        <v>11</v>
      </c>
      <c r="F4606" s="1" t="s">
        <v>12</v>
      </c>
      <c r="G4606" s="4" t="b">
        <f t="shared" si="2"/>
        <v>1</v>
      </c>
      <c r="H4606" s="1" t="str">
        <f t="shared" si="3"/>
        <v>Currently Unavailable</v>
      </c>
      <c r="I4606" s="1" t="str">
        <f t="shared" si="4"/>
        <v>No Badges</v>
      </c>
      <c r="J4606" s="3">
        <f t="shared" si="5"/>
        <v>0</v>
      </c>
    </row>
    <row r="4607">
      <c r="A4607" s="1" t="s">
        <v>3324</v>
      </c>
      <c r="B4607" s="3" t="str">
        <f t="shared" si="1"/>
        <v>Unavailable</v>
      </c>
      <c r="C4607" s="5">
        <v>5207.0</v>
      </c>
      <c r="D4607" s="3">
        <f>IFERROR(__xludf.DUMMYFUNCTION("IFERROR(
IF(REGEXMATCH(LOWER(O4607),""k""),
VALUE(REGEXEXTRACT(O4607,""[0-9]+""))*1000,
VALUE(REGEXEXTRACT(O4607,""[0-9]+""))
),
0
)"),0.0)</f>
        <v>0</v>
      </c>
      <c r="E4607" s="1" t="s">
        <v>11</v>
      </c>
      <c r="F4607" s="1" t="s">
        <v>12</v>
      </c>
      <c r="G4607" s="4" t="b">
        <f t="shared" si="2"/>
        <v>1</v>
      </c>
      <c r="H4607" s="1" t="str">
        <f t="shared" si="3"/>
        <v>Currently Unavailable</v>
      </c>
      <c r="I4607" s="1" t="str">
        <f t="shared" si="4"/>
        <v>No Badges</v>
      </c>
      <c r="J4607" s="3">
        <f t="shared" si="5"/>
        <v>0</v>
      </c>
    </row>
    <row r="4608">
      <c r="A4608" s="1" t="s">
        <v>67</v>
      </c>
      <c r="B4608" s="3" t="str">
        <f t="shared" si="1"/>
        <v>Unavailable</v>
      </c>
      <c r="C4608" s="3">
        <v>264.0</v>
      </c>
      <c r="D4608" s="3">
        <f>IFERROR(__xludf.DUMMYFUNCTION("IFERROR(
IF(REGEXMATCH(LOWER(O4608),""k""),
VALUE(REGEXEXTRACT(O4608,""[0-9]+""))*1000,
VALUE(REGEXEXTRACT(O4608,""[0-9]+""))
),
0
)"),0.0)</f>
        <v>0</v>
      </c>
      <c r="E4608" s="1" t="s">
        <v>11</v>
      </c>
      <c r="F4608" s="1" t="s">
        <v>12</v>
      </c>
      <c r="G4608" s="4" t="b">
        <f t="shared" si="2"/>
        <v>1</v>
      </c>
      <c r="H4608" s="1" t="str">
        <f t="shared" si="3"/>
        <v>Currently Unavailable</v>
      </c>
      <c r="I4608" s="1" t="str">
        <f t="shared" si="4"/>
        <v>No Badges</v>
      </c>
      <c r="J4608" s="3">
        <f t="shared" si="5"/>
        <v>0</v>
      </c>
    </row>
    <row r="4609">
      <c r="A4609" s="1" t="s">
        <v>3324</v>
      </c>
      <c r="B4609" s="3" t="str">
        <f t="shared" si="1"/>
        <v>Unavailable</v>
      </c>
      <c r="C4609" s="5">
        <v>5207.0</v>
      </c>
      <c r="D4609" s="3">
        <f>IFERROR(__xludf.DUMMYFUNCTION("IFERROR(
IF(REGEXMATCH(LOWER(O4609),""k""),
VALUE(REGEXEXTRACT(O4609,""[0-9]+""))*1000,
VALUE(REGEXEXTRACT(O4609,""[0-9]+""))
),
0
)"),0.0)</f>
        <v>0</v>
      </c>
      <c r="E4609" s="1" t="s">
        <v>11</v>
      </c>
      <c r="F4609" s="1" t="s">
        <v>12</v>
      </c>
      <c r="G4609" s="4" t="b">
        <f t="shared" si="2"/>
        <v>1</v>
      </c>
      <c r="H4609" s="1" t="str">
        <f t="shared" si="3"/>
        <v>Currently Unavailable</v>
      </c>
      <c r="I4609" s="1" t="str">
        <f t="shared" si="4"/>
        <v>No Badges</v>
      </c>
      <c r="J4609" s="3">
        <f t="shared" si="5"/>
        <v>0</v>
      </c>
    </row>
    <row r="4610">
      <c r="A4610" s="1" t="s">
        <v>3324</v>
      </c>
      <c r="B4610" s="3" t="str">
        <f t="shared" si="1"/>
        <v>Unavailable</v>
      </c>
      <c r="C4610" s="5">
        <v>5207.0</v>
      </c>
      <c r="D4610" s="3">
        <f>IFERROR(__xludf.DUMMYFUNCTION("IFERROR(
IF(REGEXMATCH(LOWER(O4610),""k""),
VALUE(REGEXEXTRACT(O4610,""[0-9]+""))*1000,
VALUE(REGEXEXTRACT(O4610,""[0-9]+""))
),
0
)"),0.0)</f>
        <v>0</v>
      </c>
      <c r="E4610" s="1" t="s">
        <v>11</v>
      </c>
      <c r="F4610" s="1" t="s">
        <v>12</v>
      </c>
      <c r="G4610" s="4" t="b">
        <f t="shared" si="2"/>
        <v>1</v>
      </c>
      <c r="H4610" s="1" t="str">
        <f t="shared" si="3"/>
        <v>Currently Unavailable</v>
      </c>
      <c r="I4610" s="1" t="str">
        <f t="shared" si="4"/>
        <v>No Badges</v>
      </c>
      <c r="J4610" s="3">
        <f t="shared" si="5"/>
        <v>0</v>
      </c>
    </row>
    <row r="4611">
      <c r="A4611" s="1" t="s">
        <v>3324</v>
      </c>
      <c r="B4611" s="3" t="str">
        <f t="shared" si="1"/>
        <v>Unavailable</v>
      </c>
      <c r="C4611" s="5">
        <v>5207.0</v>
      </c>
      <c r="D4611" s="3">
        <f>IFERROR(__xludf.DUMMYFUNCTION("IFERROR(
IF(REGEXMATCH(LOWER(O4611),""k""),
VALUE(REGEXEXTRACT(O4611,""[0-9]+""))*1000,
VALUE(REGEXEXTRACT(O4611,""[0-9]+""))
),
0
)"),0.0)</f>
        <v>0</v>
      </c>
      <c r="E4611" s="1" t="s">
        <v>11</v>
      </c>
      <c r="F4611" s="1" t="s">
        <v>12</v>
      </c>
      <c r="G4611" s="4" t="b">
        <f t="shared" si="2"/>
        <v>1</v>
      </c>
      <c r="H4611" s="1" t="str">
        <f t="shared" si="3"/>
        <v>Currently Unavailable</v>
      </c>
      <c r="I4611" s="1" t="str">
        <f t="shared" si="4"/>
        <v>No Badges</v>
      </c>
      <c r="J4611" s="3">
        <f t="shared" si="5"/>
        <v>0</v>
      </c>
    </row>
    <row r="4612">
      <c r="A4612" s="1" t="s">
        <v>3324</v>
      </c>
      <c r="B4612" s="3" t="str">
        <f t="shared" si="1"/>
        <v>Unavailable</v>
      </c>
      <c r="C4612" s="5">
        <v>5207.0</v>
      </c>
      <c r="D4612" s="3">
        <f>IFERROR(__xludf.DUMMYFUNCTION("IFERROR(
IF(REGEXMATCH(LOWER(O4612),""k""),
VALUE(REGEXEXTRACT(O4612,""[0-9]+""))*1000,
VALUE(REGEXEXTRACT(O4612,""[0-9]+""))
),
0
)"),0.0)</f>
        <v>0</v>
      </c>
      <c r="E4612" s="1" t="s">
        <v>11</v>
      </c>
      <c r="F4612" s="1" t="s">
        <v>12</v>
      </c>
      <c r="G4612" s="4" t="b">
        <f t="shared" si="2"/>
        <v>1</v>
      </c>
      <c r="H4612" s="1" t="str">
        <f t="shared" si="3"/>
        <v>Currently Unavailable</v>
      </c>
      <c r="I4612" s="1" t="str">
        <f t="shared" si="4"/>
        <v>No Badges</v>
      </c>
      <c r="J4612" s="3">
        <f t="shared" si="5"/>
        <v>0</v>
      </c>
    </row>
    <row r="4613">
      <c r="A4613" s="1" t="s">
        <v>3324</v>
      </c>
      <c r="B4613" s="3" t="str">
        <f t="shared" si="1"/>
        <v>Unavailable</v>
      </c>
      <c r="C4613" s="5">
        <v>5207.0</v>
      </c>
      <c r="D4613" s="3">
        <f>IFERROR(__xludf.DUMMYFUNCTION("IFERROR(
IF(REGEXMATCH(LOWER(O4613),""k""),
VALUE(REGEXEXTRACT(O4613,""[0-9]+""))*1000,
VALUE(REGEXEXTRACT(O4613,""[0-9]+""))
),
0
)"),0.0)</f>
        <v>0</v>
      </c>
      <c r="E4613" s="1" t="s">
        <v>11</v>
      </c>
      <c r="F4613" s="1" t="s">
        <v>12</v>
      </c>
      <c r="G4613" s="4" t="b">
        <f t="shared" si="2"/>
        <v>1</v>
      </c>
      <c r="H4613" s="1" t="str">
        <f t="shared" si="3"/>
        <v>Currently Unavailable</v>
      </c>
      <c r="I4613" s="1" t="str">
        <f t="shared" si="4"/>
        <v>No Badges</v>
      </c>
      <c r="J4613" s="3">
        <f t="shared" si="5"/>
        <v>0</v>
      </c>
    </row>
    <row r="4614">
      <c r="A4614" s="1" t="s">
        <v>3324</v>
      </c>
      <c r="B4614" s="3" t="str">
        <f t="shared" si="1"/>
        <v>Unavailable</v>
      </c>
      <c r="C4614" s="5">
        <v>5207.0</v>
      </c>
      <c r="D4614" s="3">
        <f>IFERROR(__xludf.DUMMYFUNCTION("IFERROR(
IF(REGEXMATCH(LOWER(O4614),""k""),
VALUE(REGEXEXTRACT(O4614,""[0-9]+""))*1000,
VALUE(REGEXEXTRACT(O4614,""[0-9]+""))
),
0
)"),0.0)</f>
        <v>0</v>
      </c>
      <c r="E4614" s="1" t="s">
        <v>11</v>
      </c>
      <c r="F4614" s="1" t="s">
        <v>12</v>
      </c>
      <c r="G4614" s="4" t="b">
        <f t="shared" si="2"/>
        <v>1</v>
      </c>
      <c r="H4614" s="1" t="str">
        <f t="shared" si="3"/>
        <v>Currently Unavailable</v>
      </c>
      <c r="I4614" s="1" t="str">
        <f t="shared" si="4"/>
        <v>No Badges</v>
      </c>
      <c r="J4614" s="3">
        <f t="shared" si="5"/>
        <v>0</v>
      </c>
    </row>
    <row r="4615">
      <c r="A4615" s="1" t="s">
        <v>3324</v>
      </c>
      <c r="B4615" s="3" t="str">
        <f t="shared" si="1"/>
        <v>Unavailable</v>
      </c>
      <c r="C4615" s="5">
        <v>5207.0</v>
      </c>
      <c r="D4615" s="3">
        <f>IFERROR(__xludf.DUMMYFUNCTION("IFERROR(
IF(REGEXMATCH(LOWER(O4615),""k""),
VALUE(REGEXEXTRACT(O4615,""[0-9]+""))*1000,
VALUE(REGEXEXTRACT(O4615,""[0-9]+""))
),
0
)"),0.0)</f>
        <v>0</v>
      </c>
      <c r="E4615" s="1" t="s">
        <v>11</v>
      </c>
      <c r="F4615" s="1" t="s">
        <v>12</v>
      </c>
      <c r="G4615" s="4" t="b">
        <f t="shared" si="2"/>
        <v>1</v>
      </c>
      <c r="H4615" s="1" t="str">
        <f t="shared" si="3"/>
        <v>Currently Unavailable</v>
      </c>
      <c r="I4615" s="1" t="str">
        <f t="shared" si="4"/>
        <v>No Badges</v>
      </c>
      <c r="J4615" s="3">
        <f t="shared" si="5"/>
        <v>0</v>
      </c>
    </row>
    <row r="4616">
      <c r="A4616" s="1" t="s">
        <v>3345</v>
      </c>
      <c r="B4616" s="3" t="str">
        <f t="shared" si="1"/>
        <v>Unavailable</v>
      </c>
      <c r="C4616" s="3">
        <v>335.0</v>
      </c>
      <c r="D4616" s="3">
        <f>IFERROR(__xludf.DUMMYFUNCTION("IFERROR(
IF(REGEXMATCH(LOWER(O4616),""k""),
VALUE(REGEXEXTRACT(O4616,""[0-9]+""))*1000,
VALUE(REGEXEXTRACT(O4616,""[0-9]+""))
),
0
)"),0.0)</f>
        <v>0</v>
      </c>
      <c r="E4616" s="1" t="s">
        <v>11</v>
      </c>
      <c r="F4616" s="1" t="s">
        <v>20</v>
      </c>
      <c r="G4616" s="4" t="b">
        <f t="shared" si="2"/>
        <v>1</v>
      </c>
      <c r="H4616" s="1" t="str">
        <f t="shared" si="3"/>
        <v>Currently Unavailable</v>
      </c>
      <c r="I4616" s="1" t="str">
        <f t="shared" si="4"/>
        <v>No Badges</v>
      </c>
      <c r="J4616" s="3">
        <f t="shared" si="5"/>
        <v>0</v>
      </c>
    </row>
    <row r="4617">
      <c r="A4617" s="1" t="s">
        <v>3324</v>
      </c>
      <c r="B4617" s="3" t="str">
        <f t="shared" si="1"/>
        <v>Unavailable</v>
      </c>
      <c r="C4617" s="5">
        <v>5207.0</v>
      </c>
      <c r="D4617" s="3">
        <f>IFERROR(__xludf.DUMMYFUNCTION("IFERROR(
IF(REGEXMATCH(LOWER(O4617),""k""),
VALUE(REGEXEXTRACT(O4617,""[0-9]+""))*1000,
VALUE(REGEXEXTRACT(O4617,""[0-9]+""))
),
0
)"),0.0)</f>
        <v>0</v>
      </c>
      <c r="E4617" s="1" t="s">
        <v>11</v>
      </c>
      <c r="F4617" s="1" t="s">
        <v>12</v>
      </c>
      <c r="G4617" s="4" t="b">
        <f t="shared" si="2"/>
        <v>1</v>
      </c>
      <c r="H4617" s="1" t="str">
        <f t="shared" si="3"/>
        <v>Currently Unavailable</v>
      </c>
      <c r="I4617" s="1" t="str">
        <f t="shared" si="4"/>
        <v>No Badges</v>
      </c>
      <c r="J4617" s="3">
        <f t="shared" si="5"/>
        <v>0</v>
      </c>
    </row>
    <row r="4618">
      <c r="A4618" s="1" t="s">
        <v>3324</v>
      </c>
      <c r="B4618" s="3" t="str">
        <f t="shared" si="1"/>
        <v>Unavailable</v>
      </c>
      <c r="C4618" s="5">
        <v>5207.0</v>
      </c>
      <c r="D4618" s="3">
        <f>IFERROR(__xludf.DUMMYFUNCTION("IFERROR(
IF(REGEXMATCH(LOWER(O4618),""k""),
VALUE(REGEXEXTRACT(O4618,""[0-9]+""))*1000,
VALUE(REGEXEXTRACT(O4618,""[0-9]+""))
),
0
)"),0.0)</f>
        <v>0</v>
      </c>
      <c r="E4618" s="1" t="s">
        <v>11</v>
      </c>
      <c r="F4618" s="1" t="s">
        <v>12</v>
      </c>
      <c r="G4618" s="4" t="b">
        <f t="shared" si="2"/>
        <v>1</v>
      </c>
      <c r="H4618" s="1" t="str">
        <f t="shared" si="3"/>
        <v>Currently Unavailable</v>
      </c>
      <c r="I4618" s="1" t="str">
        <f t="shared" si="4"/>
        <v>No Badges</v>
      </c>
      <c r="J4618" s="3">
        <f t="shared" si="5"/>
        <v>0</v>
      </c>
    </row>
    <row r="4619">
      <c r="A4619" s="1" t="s">
        <v>3324</v>
      </c>
      <c r="B4619" s="3" t="str">
        <f t="shared" si="1"/>
        <v>Unavailable</v>
      </c>
      <c r="C4619" s="5">
        <v>5207.0</v>
      </c>
      <c r="D4619" s="3">
        <f>IFERROR(__xludf.DUMMYFUNCTION("IFERROR(
IF(REGEXMATCH(LOWER(O4619),""k""),
VALUE(REGEXEXTRACT(O4619,""[0-9]+""))*1000,
VALUE(REGEXEXTRACT(O4619,""[0-9]+""))
),
0
)"),0.0)</f>
        <v>0</v>
      </c>
      <c r="E4619" s="1" t="s">
        <v>11</v>
      </c>
      <c r="F4619" s="1" t="s">
        <v>12</v>
      </c>
      <c r="G4619" s="4" t="b">
        <f t="shared" si="2"/>
        <v>1</v>
      </c>
      <c r="H4619" s="1" t="str">
        <f t="shared" si="3"/>
        <v>Currently Unavailable</v>
      </c>
      <c r="I4619" s="1" t="str">
        <f t="shared" si="4"/>
        <v>No Badges</v>
      </c>
      <c r="J4619" s="3">
        <f t="shared" si="5"/>
        <v>0</v>
      </c>
    </row>
    <row r="4620">
      <c r="A4620" s="1" t="s">
        <v>3324</v>
      </c>
      <c r="B4620" s="3" t="str">
        <f t="shared" si="1"/>
        <v>Unavailable</v>
      </c>
      <c r="C4620" s="5">
        <v>5207.0</v>
      </c>
      <c r="D4620" s="3">
        <f>IFERROR(__xludf.DUMMYFUNCTION("IFERROR(
IF(REGEXMATCH(LOWER(O4620),""k""),
VALUE(REGEXEXTRACT(O4620,""[0-9]+""))*1000,
VALUE(REGEXEXTRACT(O4620,""[0-9]+""))
),
0
)"),0.0)</f>
        <v>0</v>
      </c>
      <c r="E4620" s="1" t="s">
        <v>11</v>
      </c>
      <c r="F4620" s="1" t="s">
        <v>12</v>
      </c>
      <c r="G4620" s="4" t="b">
        <f t="shared" si="2"/>
        <v>1</v>
      </c>
      <c r="H4620" s="1" t="str">
        <f t="shared" si="3"/>
        <v>Currently Unavailable</v>
      </c>
      <c r="I4620" s="1" t="str">
        <f t="shared" si="4"/>
        <v>No Badges</v>
      </c>
      <c r="J4620" s="3">
        <f t="shared" si="5"/>
        <v>0</v>
      </c>
    </row>
    <row r="4621">
      <c r="A4621" s="1" t="s">
        <v>3324</v>
      </c>
      <c r="B4621" s="3" t="str">
        <f t="shared" si="1"/>
        <v>Unavailable</v>
      </c>
      <c r="C4621" s="5">
        <v>5207.0</v>
      </c>
      <c r="D4621" s="3">
        <f>IFERROR(__xludf.DUMMYFUNCTION("IFERROR(
IF(REGEXMATCH(LOWER(O4621),""k""),
VALUE(REGEXEXTRACT(O4621,""[0-9]+""))*1000,
VALUE(REGEXEXTRACT(O4621,""[0-9]+""))
),
0
)"),0.0)</f>
        <v>0</v>
      </c>
      <c r="E4621" s="1" t="s">
        <v>11</v>
      </c>
      <c r="F4621" s="1" t="s">
        <v>12</v>
      </c>
      <c r="G4621" s="4" t="b">
        <f t="shared" si="2"/>
        <v>1</v>
      </c>
      <c r="H4621" s="1" t="str">
        <f t="shared" si="3"/>
        <v>Currently Unavailable</v>
      </c>
      <c r="I4621" s="1" t="str">
        <f t="shared" si="4"/>
        <v>No Badges</v>
      </c>
      <c r="J4621" s="3">
        <f t="shared" si="5"/>
        <v>0</v>
      </c>
    </row>
    <row r="4622">
      <c r="A4622" s="1" t="s">
        <v>3324</v>
      </c>
      <c r="B4622" s="3" t="str">
        <f t="shared" si="1"/>
        <v>Unavailable</v>
      </c>
      <c r="C4622" s="5">
        <v>5207.0</v>
      </c>
      <c r="D4622" s="3">
        <f>IFERROR(__xludf.DUMMYFUNCTION("IFERROR(
IF(REGEXMATCH(LOWER(O4622),""k""),
VALUE(REGEXEXTRACT(O4622,""[0-9]+""))*1000,
VALUE(REGEXEXTRACT(O4622,""[0-9]+""))
),
0
)"),0.0)</f>
        <v>0</v>
      </c>
      <c r="E4622" s="1" t="s">
        <v>11</v>
      </c>
      <c r="F4622" s="1" t="s">
        <v>12</v>
      </c>
      <c r="G4622" s="4" t="b">
        <f t="shared" si="2"/>
        <v>1</v>
      </c>
      <c r="H4622" s="1" t="str">
        <f t="shared" si="3"/>
        <v>Currently Unavailable</v>
      </c>
      <c r="I4622" s="1" t="str">
        <f t="shared" si="4"/>
        <v>No Badges</v>
      </c>
      <c r="J4622" s="3">
        <f t="shared" si="5"/>
        <v>0</v>
      </c>
    </row>
    <row r="4623">
      <c r="A4623" s="1" t="s">
        <v>701</v>
      </c>
      <c r="B4623" s="3" t="str">
        <f t="shared" si="1"/>
        <v>Unavailable</v>
      </c>
      <c r="C4623" s="3">
        <v>8.0</v>
      </c>
      <c r="D4623" s="3">
        <f>IFERROR(__xludf.DUMMYFUNCTION("IFERROR(
IF(REGEXMATCH(LOWER(O4623),""k""),
VALUE(REGEXEXTRACT(O4623,""[0-9]+""))*1000,
VALUE(REGEXEXTRACT(O4623,""[0-9]+""))
),
0
)"),0.0)</f>
        <v>0</v>
      </c>
      <c r="E4623" s="1" t="s">
        <v>11</v>
      </c>
      <c r="F4623" s="1" t="s">
        <v>12</v>
      </c>
      <c r="G4623" s="4" t="b">
        <f t="shared" si="2"/>
        <v>1</v>
      </c>
      <c r="H4623" s="1" t="str">
        <f t="shared" si="3"/>
        <v>Currently Unavailable</v>
      </c>
      <c r="I4623" s="1" t="str">
        <f t="shared" si="4"/>
        <v>No Badges</v>
      </c>
      <c r="J4623" s="3">
        <f t="shared" si="5"/>
        <v>0</v>
      </c>
    </row>
    <row r="4624">
      <c r="A4624" s="1" t="s">
        <v>3324</v>
      </c>
      <c r="B4624" s="3" t="str">
        <f t="shared" si="1"/>
        <v>Unavailable</v>
      </c>
      <c r="C4624" s="5">
        <v>5207.0</v>
      </c>
      <c r="D4624" s="3">
        <f>IFERROR(__xludf.DUMMYFUNCTION("IFERROR(
IF(REGEXMATCH(LOWER(O4624),""k""),
VALUE(REGEXEXTRACT(O4624,""[0-9]+""))*1000,
VALUE(REGEXEXTRACT(O4624,""[0-9]+""))
),
0
)"),0.0)</f>
        <v>0</v>
      </c>
      <c r="E4624" s="1" t="s">
        <v>11</v>
      </c>
      <c r="F4624" s="1" t="s">
        <v>12</v>
      </c>
      <c r="G4624" s="4" t="b">
        <f t="shared" si="2"/>
        <v>1</v>
      </c>
      <c r="H4624" s="1" t="str">
        <f t="shared" si="3"/>
        <v>Currently Unavailable</v>
      </c>
      <c r="I4624" s="1" t="str">
        <f t="shared" si="4"/>
        <v>No Badges</v>
      </c>
      <c r="J4624" s="3">
        <f t="shared" si="5"/>
        <v>0</v>
      </c>
    </row>
    <row r="4625">
      <c r="A4625" s="1" t="s">
        <v>3324</v>
      </c>
      <c r="B4625" s="3" t="str">
        <f t="shared" si="1"/>
        <v>Unavailable</v>
      </c>
      <c r="C4625" s="5">
        <v>5207.0</v>
      </c>
      <c r="D4625" s="3">
        <f>IFERROR(__xludf.DUMMYFUNCTION("IFERROR(
IF(REGEXMATCH(LOWER(O4625),""k""),
VALUE(REGEXEXTRACT(O4625,""[0-9]+""))*1000,
VALUE(REGEXEXTRACT(O4625,""[0-9]+""))
),
0
)"),0.0)</f>
        <v>0</v>
      </c>
      <c r="E4625" s="1" t="s">
        <v>11</v>
      </c>
      <c r="F4625" s="1" t="s">
        <v>12</v>
      </c>
      <c r="G4625" s="4" t="b">
        <f t="shared" si="2"/>
        <v>1</v>
      </c>
      <c r="H4625" s="1" t="str">
        <f t="shared" si="3"/>
        <v>Currently Unavailable</v>
      </c>
      <c r="I4625" s="1" t="str">
        <f t="shared" si="4"/>
        <v>No Badges</v>
      </c>
      <c r="J4625" s="3">
        <f t="shared" si="5"/>
        <v>0</v>
      </c>
    </row>
    <row r="4626">
      <c r="A4626" s="1" t="s">
        <v>3346</v>
      </c>
      <c r="B4626" s="3" t="str">
        <f t="shared" si="1"/>
        <v>Unavailable</v>
      </c>
      <c r="C4626" s="3">
        <v>58.0</v>
      </c>
      <c r="D4626" s="3">
        <f>IFERROR(__xludf.DUMMYFUNCTION("IFERROR(
IF(REGEXMATCH(LOWER(O4626),""k""),
VALUE(REGEXEXTRACT(O4626,""[0-9]+""))*1000,
VALUE(REGEXEXTRACT(O4626,""[0-9]+""))
),
0
)"),0.0)</f>
        <v>0</v>
      </c>
      <c r="E4626" s="1" t="s">
        <v>11</v>
      </c>
      <c r="F4626" s="1" t="s">
        <v>20</v>
      </c>
      <c r="G4626" s="4" t="b">
        <f t="shared" si="2"/>
        <v>1</v>
      </c>
      <c r="H4626" s="1" t="str">
        <f t="shared" si="3"/>
        <v>Currently Unavailable</v>
      </c>
      <c r="I4626" s="1" t="str">
        <f t="shared" si="4"/>
        <v>No Badges</v>
      </c>
      <c r="J4626" s="3">
        <f t="shared" si="5"/>
        <v>0</v>
      </c>
    </row>
    <row r="4627">
      <c r="A4627" s="1" t="s">
        <v>3347</v>
      </c>
      <c r="B4627" s="3" t="str">
        <f t="shared" si="1"/>
        <v>Unavailable</v>
      </c>
      <c r="C4627" s="5">
        <v>6322.0</v>
      </c>
      <c r="D4627" s="3">
        <f>IFERROR(__xludf.DUMMYFUNCTION("IFERROR(
IF(REGEXMATCH(LOWER(O4627),""k""),
VALUE(REGEXEXTRACT(O4627,""[0-9]+""))*1000,
VALUE(REGEXEXTRACT(O4627,""[0-9]+""))
),
0
)"),0.0)</f>
        <v>0</v>
      </c>
      <c r="E4627" s="1" t="s">
        <v>11</v>
      </c>
      <c r="F4627" s="1" t="s">
        <v>20</v>
      </c>
      <c r="G4627" s="4" t="b">
        <f t="shared" si="2"/>
        <v>1</v>
      </c>
      <c r="H4627" s="1" t="str">
        <f t="shared" si="3"/>
        <v>Currently Unavailable</v>
      </c>
      <c r="I4627" s="1" t="str">
        <f t="shared" si="4"/>
        <v>No Badges</v>
      </c>
      <c r="J4627" s="3">
        <f t="shared" si="5"/>
        <v>0</v>
      </c>
    </row>
    <row r="4628">
      <c r="A4628" s="1" t="s">
        <v>3324</v>
      </c>
      <c r="B4628" s="3" t="str">
        <f t="shared" si="1"/>
        <v>Unavailable</v>
      </c>
      <c r="C4628" s="5">
        <v>5207.0</v>
      </c>
      <c r="D4628" s="3">
        <f>IFERROR(__xludf.DUMMYFUNCTION("IFERROR(
IF(REGEXMATCH(LOWER(O4628),""k""),
VALUE(REGEXEXTRACT(O4628,""[0-9]+""))*1000,
VALUE(REGEXEXTRACT(O4628,""[0-9]+""))
),
0
)"),0.0)</f>
        <v>0</v>
      </c>
      <c r="E4628" s="1" t="s">
        <v>11</v>
      </c>
      <c r="F4628" s="1" t="s">
        <v>12</v>
      </c>
      <c r="G4628" s="4" t="b">
        <f t="shared" si="2"/>
        <v>1</v>
      </c>
      <c r="H4628" s="1" t="str">
        <f t="shared" si="3"/>
        <v>Currently Unavailable</v>
      </c>
      <c r="I4628" s="1" t="str">
        <f t="shared" si="4"/>
        <v>No Badges</v>
      </c>
      <c r="J4628" s="3">
        <f t="shared" si="5"/>
        <v>0</v>
      </c>
    </row>
    <row r="4629">
      <c r="A4629" s="1" t="s">
        <v>3324</v>
      </c>
      <c r="B4629" s="3" t="str">
        <f t="shared" si="1"/>
        <v>Unavailable</v>
      </c>
      <c r="C4629" s="5">
        <v>5225.0</v>
      </c>
      <c r="D4629" s="3">
        <f>IFERROR(__xludf.DUMMYFUNCTION("IFERROR(
IF(REGEXMATCH(LOWER(O4629),""k""),
VALUE(REGEXEXTRACT(O4629,""[0-9]+""))*1000,
VALUE(REGEXEXTRACT(O4629,""[0-9]+""))
),
0
)"),0.0)</f>
        <v>0</v>
      </c>
      <c r="E4629" s="1" t="s">
        <v>11</v>
      </c>
      <c r="F4629" s="1" t="s">
        <v>12</v>
      </c>
      <c r="G4629" s="4" t="b">
        <f t="shared" si="2"/>
        <v>1</v>
      </c>
      <c r="H4629" s="1" t="str">
        <f t="shared" si="3"/>
        <v>Currently Unavailable</v>
      </c>
      <c r="I4629" s="1" t="str">
        <f t="shared" si="4"/>
        <v>No Badges</v>
      </c>
      <c r="J4629" s="3">
        <f t="shared" si="5"/>
        <v>0</v>
      </c>
    </row>
    <row r="4630">
      <c r="A4630" s="1" t="s">
        <v>3324</v>
      </c>
      <c r="B4630" s="3" t="str">
        <f t="shared" si="1"/>
        <v>Unavailable</v>
      </c>
      <c r="C4630" s="5">
        <v>5225.0</v>
      </c>
      <c r="D4630" s="3">
        <f>IFERROR(__xludf.DUMMYFUNCTION("IFERROR(
IF(REGEXMATCH(LOWER(O4630),""k""),
VALUE(REGEXEXTRACT(O4630,""[0-9]+""))*1000,
VALUE(REGEXEXTRACT(O4630,""[0-9]+""))
),
0
)"),0.0)</f>
        <v>0</v>
      </c>
      <c r="E4630" s="1" t="s">
        <v>11</v>
      </c>
      <c r="F4630" s="1" t="s">
        <v>12</v>
      </c>
      <c r="G4630" s="4" t="b">
        <f t="shared" si="2"/>
        <v>1</v>
      </c>
      <c r="H4630" s="1" t="str">
        <f t="shared" si="3"/>
        <v>Currently Unavailable</v>
      </c>
      <c r="I4630" s="1" t="str">
        <f t="shared" si="4"/>
        <v>No Badges</v>
      </c>
      <c r="J4630" s="3">
        <f t="shared" si="5"/>
        <v>0</v>
      </c>
    </row>
    <row r="4631">
      <c r="A4631" s="1" t="s">
        <v>3324</v>
      </c>
      <c r="B4631" s="3" t="str">
        <f t="shared" si="1"/>
        <v>Unavailable</v>
      </c>
      <c r="C4631" s="5">
        <v>5225.0</v>
      </c>
      <c r="D4631" s="3">
        <f>IFERROR(__xludf.DUMMYFUNCTION("IFERROR(
IF(REGEXMATCH(LOWER(O4631),""k""),
VALUE(REGEXEXTRACT(O4631,""[0-9]+""))*1000,
VALUE(REGEXEXTRACT(O4631,""[0-9]+""))
),
0
)"),0.0)</f>
        <v>0</v>
      </c>
      <c r="E4631" s="1" t="s">
        <v>18</v>
      </c>
      <c r="F4631" s="1" t="s">
        <v>12</v>
      </c>
      <c r="G4631" s="4" t="b">
        <f t="shared" si="2"/>
        <v>1</v>
      </c>
      <c r="H4631" s="1" t="str">
        <f t="shared" si="3"/>
        <v>Currently Unavailable</v>
      </c>
      <c r="I4631" s="1" t="str">
        <f t="shared" si="4"/>
        <v>No Badges</v>
      </c>
      <c r="J4631" s="3">
        <f t="shared" si="5"/>
        <v>0</v>
      </c>
    </row>
    <row r="4632">
      <c r="A4632" s="1" t="s">
        <v>3324</v>
      </c>
      <c r="B4632" s="3" t="str">
        <f t="shared" si="1"/>
        <v>Unavailable</v>
      </c>
      <c r="C4632" s="5">
        <v>5225.0</v>
      </c>
      <c r="D4632" s="3">
        <f>IFERROR(__xludf.DUMMYFUNCTION("IFERROR(
IF(REGEXMATCH(LOWER(O4632),""k""),
VALUE(REGEXEXTRACT(O4632,""[0-9]+""))*1000,
VALUE(REGEXEXTRACT(O4632,""[0-9]+""))
),
0
)"),0.0)</f>
        <v>0</v>
      </c>
      <c r="E4632" s="1" t="s">
        <v>11</v>
      </c>
      <c r="F4632" s="1" t="s">
        <v>12</v>
      </c>
      <c r="G4632" s="4" t="b">
        <f t="shared" si="2"/>
        <v>1</v>
      </c>
      <c r="H4632" s="1" t="str">
        <f t="shared" si="3"/>
        <v>Currently Unavailable</v>
      </c>
      <c r="I4632" s="1" t="str">
        <f t="shared" si="4"/>
        <v>No Badges</v>
      </c>
      <c r="J4632" s="3">
        <f t="shared" si="5"/>
        <v>0</v>
      </c>
    </row>
    <row r="4633">
      <c r="A4633" s="1" t="s">
        <v>3324</v>
      </c>
      <c r="B4633" s="3" t="str">
        <f t="shared" si="1"/>
        <v>Unavailable</v>
      </c>
      <c r="C4633" s="5">
        <v>5225.0</v>
      </c>
      <c r="D4633" s="3">
        <f>IFERROR(__xludf.DUMMYFUNCTION("IFERROR(
IF(REGEXMATCH(LOWER(O4633),""k""),
VALUE(REGEXEXTRACT(O4633,""[0-9]+""))*1000,
VALUE(REGEXEXTRACT(O4633,""[0-9]+""))
),
0
)"),0.0)</f>
        <v>0</v>
      </c>
      <c r="E4633" s="1" t="s">
        <v>11</v>
      </c>
      <c r="F4633" s="1" t="s">
        <v>12</v>
      </c>
      <c r="G4633" s="4" t="b">
        <f t="shared" si="2"/>
        <v>1</v>
      </c>
      <c r="H4633" s="1" t="str">
        <f t="shared" si="3"/>
        <v>Currently Unavailable</v>
      </c>
      <c r="I4633" s="1" t="str">
        <f t="shared" si="4"/>
        <v>No Badges</v>
      </c>
      <c r="J4633" s="3">
        <f t="shared" si="5"/>
        <v>0</v>
      </c>
    </row>
    <row r="4634">
      <c r="A4634" s="1" t="s">
        <v>3324</v>
      </c>
      <c r="B4634" s="3" t="str">
        <f t="shared" si="1"/>
        <v>Unavailable</v>
      </c>
      <c r="C4634" s="5">
        <v>5225.0</v>
      </c>
      <c r="D4634" s="3">
        <f>IFERROR(__xludf.DUMMYFUNCTION("IFERROR(
IF(REGEXMATCH(LOWER(O4634),""k""),
VALUE(REGEXEXTRACT(O4634,""[0-9]+""))*1000,
VALUE(REGEXEXTRACT(O4634,""[0-9]+""))
),
0
)"),0.0)</f>
        <v>0</v>
      </c>
      <c r="E4634" s="1" t="s">
        <v>11</v>
      </c>
      <c r="F4634" s="1" t="s">
        <v>12</v>
      </c>
      <c r="G4634" s="4" t="b">
        <f t="shared" si="2"/>
        <v>1</v>
      </c>
      <c r="H4634" s="1" t="str">
        <f t="shared" si="3"/>
        <v>Currently Unavailable</v>
      </c>
      <c r="I4634" s="1" t="str">
        <f t="shared" si="4"/>
        <v>No Badges</v>
      </c>
      <c r="J4634" s="3">
        <f t="shared" si="5"/>
        <v>0</v>
      </c>
    </row>
    <row r="4635">
      <c r="A4635" s="1" t="s">
        <v>3324</v>
      </c>
      <c r="B4635" s="3" t="str">
        <f t="shared" si="1"/>
        <v>Unavailable</v>
      </c>
      <c r="C4635" s="5">
        <v>5225.0</v>
      </c>
      <c r="D4635" s="3">
        <f>IFERROR(__xludf.DUMMYFUNCTION("IFERROR(
IF(REGEXMATCH(LOWER(O4635),""k""),
VALUE(REGEXEXTRACT(O4635,""[0-9]+""))*1000,
VALUE(REGEXEXTRACT(O4635,""[0-9]+""))
),
0
)"),0.0)</f>
        <v>0</v>
      </c>
      <c r="E4635" s="1" t="s">
        <v>11</v>
      </c>
      <c r="F4635" s="1" t="s">
        <v>12</v>
      </c>
      <c r="G4635" s="4" t="b">
        <f t="shared" si="2"/>
        <v>1</v>
      </c>
      <c r="H4635" s="1" t="str">
        <f t="shared" si="3"/>
        <v>Currently Unavailable</v>
      </c>
      <c r="I4635" s="1" t="str">
        <f t="shared" si="4"/>
        <v>No Badges</v>
      </c>
      <c r="J4635" s="3">
        <f t="shared" si="5"/>
        <v>0</v>
      </c>
    </row>
    <row r="4636">
      <c r="A4636" s="1" t="s">
        <v>3324</v>
      </c>
      <c r="B4636" s="3" t="str">
        <f t="shared" si="1"/>
        <v>Unavailable</v>
      </c>
      <c r="C4636" s="5">
        <v>5225.0</v>
      </c>
      <c r="D4636" s="3">
        <f>IFERROR(__xludf.DUMMYFUNCTION("IFERROR(
IF(REGEXMATCH(LOWER(O4636),""k""),
VALUE(REGEXEXTRACT(O4636,""[0-9]+""))*1000,
VALUE(REGEXEXTRACT(O4636,""[0-9]+""))
),
0
)"),0.0)</f>
        <v>0</v>
      </c>
      <c r="E4636" s="1" t="s">
        <v>11</v>
      </c>
      <c r="F4636" s="1" t="s">
        <v>12</v>
      </c>
      <c r="G4636" s="4" t="b">
        <f t="shared" si="2"/>
        <v>1</v>
      </c>
      <c r="H4636" s="1" t="str">
        <f t="shared" si="3"/>
        <v>Currently Unavailable</v>
      </c>
      <c r="I4636" s="1" t="str">
        <f t="shared" si="4"/>
        <v>No Badges</v>
      </c>
      <c r="J4636" s="3">
        <f t="shared" si="5"/>
        <v>0</v>
      </c>
    </row>
    <row r="4637">
      <c r="A4637" s="1" t="s">
        <v>3324</v>
      </c>
      <c r="B4637" s="3" t="str">
        <f t="shared" si="1"/>
        <v>Unavailable</v>
      </c>
      <c r="C4637" s="5">
        <v>5225.0</v>
      </c>
      <c r="D4637" s="3">
        <f>IFERROR(__xludf.DUMMYFUNCTION("IFERROR(
IF(REGEXMATCH(LOWER(O4637),""k""),
VALUE(REGEXEXTRACT(O4637,""[0-9]+""))*1000,
VALUE(REGEXEXTRACT(O4637,""[0-9]+""))
),
0
)"),0.0)</f>
        <v>0</v>
      </c>
      <c r="E4637" s="1" t="s">
        <v>11</v>
      </c>
      <c r="F4637" s="1" t="s">
        <v>12</v>
      </c>
      <c r="G4637" s="4" t="b">
        <f t="shared" si="2"/>
        <v>1</v>
      </c>
      <c r="H4637" s="1" t="str">
        <f t="shared" si="3"/>
        <v>Currently Unavailable</v>
      </c>
      <c r="I4637" s="1" t="str">
        <f t="shared" si="4"/>
        <v>No Badges</v>
      </c>
      <c r="J4637" s="3">
        <f t="shared" si="5"/>
        <v>0</v>
      </c>
    </row>
    <row r="4638">
      <c r="A4638" s="1" t="s">
        <v>3324</v>
      </c>
      <c r="B4638" s="3" t="str">
        <f t="shared" si="1"/>
        <v>Unavailable</v>
      </c>
      <c r="C4638" s="5">
        <v>5225.0</v>
      </c>
      <c r="D4638" s="3">
        <f>IFERROR(__xludf.DUMMYFUNCTION("IFERROR(
IF(REGEXMATCH(LOWER(O4638),""k""),
VALUE(REGEXEXTRACT(O4638,""[0-9]+""))*1000,
VALUE(REGEXEXTRACT(O4638,""[0-9]+""))
),
0
)"),0.0)</f>
        <v>0</v>
      </c>
      <c r="E4638" s="1" t="s">
        <v>11</v>
      </c>
      <c r="F4638" s="1" t="s">
        <v>12</v>
      </c>
      <c r="G4638" s="4" t="b">
        <f t="shared" si="2"/>
        <v>1</v>
      </c>
      <c r="H4638" s="1" t="str">
        <f t="shared" si="3"/>
        <v>Currently Unavailable</v>
      </c>
      <c r="I4638" s="1" t="str">
        <f t="shared" si="4"/>
        <v>No Badges</v>
      </c>
      <c r="J4638" s="3">
        <f t="shared" si="5"/>
        <v>0</v>
      </c>
    </row>
    <row r="4639">
      <c r="A4639" s="1" t="s">
        <v>3324</v>
      </c>
      <c r="B4639" s="3" t="str">
        <f t="shared" si="1"/>
        <v>Unavailable</v>
      </c>
      <c r="C4639" s="5">
        <v>5225.0</v>
      </c>
      <c r="D4639" s="3">
        <f>IFERROR(__xludf.DUMMYFUNCTION("IFERROR(
IF(REGEXMATCH(LOWER(O4639),""k""),
VALUE(REGEXEXTRACT(O4639,""[0-9]+""))*1000,
VALUE(REGEXEXTRACT(O4639,""[0-9]+""))
),
0
)"),0.0)</f>
        <v>0</v>
      </c>
      <c r="E4639" s="1" t="s">
        <v>11</v>
      </c>
      <c r="F4639" s="1" t="s">
        <v>12</v>
      </c>
      <c r="G4639" s="4" t="b">
        <f t="shared" si="2"/>
        <v>1</v>
      </c>
      <c r="H4639" s="1" t="str">
        <f t="shared" si="3"/>
        <v>Currently Unavailable</v>
      </c>
      <c r="I4639" s="1" t="str">
        <f t="shared" si="4"/>
        <v>No Badges</v>
      </c>
      <c r="J4639" s="3">
        <f t="shared" si="5"/>
        <v>0</v>
      </c>
    </row>
    <row r="4640">
      <c r="A4640" s="1" t="s">
        <v>3324</v>
      </c>
      <c r="B4640" s="3" t="str">
        <f t="shared" si="1"/>
        <v>Unavailable</v>
      </c>
      <c r="C4640" s="5">
        <v>5225.0</v>
      </c>
      <c r="D4640" s="3">
        <f>IFERROR(__xludf.DUMMYFUNCTION("IFERROR(
IF(REGEXMATCH(LOWER(O4640),""k""),
VALUE(REGEXEXTRACT(O4640,""[0-9]+""))*1000,
VALUE(REGEXEXTRACT(O4640,""[0-9]+""))
),
0
)"),0.0)</f>
        <v>0</v>
      </c>
      <c r="E4640" s="1" t="s">
        <v>11</v>
      </c>
      <c r="F4640" s="1" t="s">
        <v>12</v>
      </c>
      <c r="G4640" s="4" t="b">
        <f t="shared" si="2"/>
        <v>1</v>
      </c>
      <c r="H4640" s="1" t="str">
        <f t="shared" si="3"/>
        <v>Currently Unavailable</v>
      </c>
      <c r="I4640" s="1" t="str">
        <f t="shared" si="4"/>
        <v>No Badges</v>
      </c>
      <c r="J4640" s="3">
        <f t="shared" si="5"/>
        <v>0</v>
      </c>
    </row>
    <row r="4641">
      <c r="A4641" s="1" t="s">
        <v>3324</v>
      </c>
      <c r="B4641" s="3" t="str">
        <f t="shared" si="1"/>
        <v>Unavailable</v>
      </c>
      <c r="C4641" s="5">
        <v>5225.0</v>
      </c>
      <c r="D4641" s="3">
        <f>IFERROR(__xludf.DUMMYFUNCTION("IFERROR(
IF(REGEXMATCH(LOWER(O4641),""k""),
VALUE(REGEXEXTRACT(O4641,""[0-9]+""))*1000,
VALUE(REGEXEXTRACT(O4641,""[0-9]+""))
),
0
)"),0.0)</f>
        <v>0</v>
      </c>
      <c r="E4641" s="1" t="s">
        <v>11</v>
      </c>
      <c r="F4641" s="1" t="s">
        <v>12</v>
      </c>
      <c r="G4641" s="4" t="b">
        <f t="shared" si="2"/>
        <v>1</v>
      </c>
      <c r="H4641" s="1" t="str">
        <f t="shared" si="3"/>
        <v>Currently Unavailable</v>
      </c>
      <c r="I4641" s="1" t="str">
        <f t="shared" si="4"/>
        <v>No Badges</v>
      </c>
      <c r="J4641" s="3">
        <f t="shared" si="5"/>
        <v>0</v>
      </c>
    </row>
    <row r="4642">
      <c r="A4642" s="1" t="s">
        <v>3324</v>
      </c>
      <c r="B4642" s="3" t="str">
        <f t="shared" si="1"/>
        <v>Unavailable</v>
      </c>
      <c r="C4642" s="5">
        <v>5225.0</v>
      </c>
      <c r="D4642" s="3">
        <f>IFERROR(__xludf.DUMMYFUNCTION("IFERROR(
IF(REGEXMATCH(LOWER(O4642),""k""),
VALUE(REGEXEXTRACT(O4642,""[0-9]+""))*1000,
VALUE(REGEXEXTRACT(O4642,""[0-9]+""))
),
0
)"),0.0)</f>
        <v>0</v>
      </c>
      <c r="E4642" s="1" t="s">
        <v>11</v>
      </c>
      <c r="F4642" s="1" t="s">
        <v>12</v>
      </c>
      <c r="G4642" s="4" t="b">
        <f t="shared" si="2"/>
        <v>1</v>
      </c>
      <c r="H4642" s="1" t="str">
        <f t="shared" si="3"/>
        <v>Currently Unavailable</v>
      </c>
      <c r="I4642" s="1" t="str">
        <f t="shared" si="4"/>
        <v>No Badges</v>
      </c>
      <c r="J4642" s="3">
        <f t="shared" si="5"/>
        <v>0</v>
      </c>
    </row>
    <row r="4643">
      <c r="A4643" s="1" t="s">
        <v>3324</v>
      </c>
      <c r="B4643" s="3" t="str">
        <f t="shared" si="1"/>
        <v>Unavailable</v>
      </c>
      <c r="C4643" s="5">
        <v>5225.0</v>
      </c>
      <c r="D4643" s="3">
        <f>IFERROR(__xludf.DUMMYFUNCTION("IFERROR(
IF(REGEXMATCH(LOWER(O4643),""k""),
VALUE(REGEXEXTRACT(O4643,""[0-9]+""))*1000,
VALUE(REGEXEXTRACT(O4643,""[0-9]+""))
),
0
)"),0.0)</f>
        <v>0</v>
      </c>
      <c r="E4643" s="1" t="s">
        <v>11</v>
      </c>
      <c r="F4643" s="1" t="s">
        <v>12</v>
      </c>
      <c r="G4643" s="4" t="b">
        <f t="shared" si="2"/>
        <v>1</v>
      </c>
      <c r="H4643" s="1" t="str">
        <f t="shared" si="3"/>
        <v>Currently Unavailable</v>
      </c>
      <c r="I4643" s="1" t="str">
        <f t="shared" si="4"/>
        <v>No Badges</v>
      </c>
      <c r="J4643" s="3">
        <f t="shared" si="5"/>
        <v>0</v>
      </c>
    </row>
    <row r="4644">
      <c r="A4644" s="1" t="s">
        <v>3324</v>
      </c>
      <c r="B4644" s="3" t="str">
        <f t="shared" si="1"/>
        <v>Unavailable</v>
      </c>
      <c r="C4644" s="5">
        <v>5225.0</v>
      </c>
      <c r="D4644" s="3">
        <f>IFERROR(__xludf.DUMMYFUNCTION("IFERROR(
IF(REGEXMATCH(LOWER(O4644),""k""),
VALUE(REGEXEXTRACT(O4644,""[0-9]+""))*1000,
VALUE(REGEXEXTRACT(O4644,""[0-9]+""))
),
0
)"),0.0)</f>
        <v>0</v>
      </c>
      <c r="E4644" s="1" t="s">
        <v>11</v>
      </c>
      <c r="F4644" s="1" t="s">
        <v>12</v>
      </c>
      <c r="G4644" s="4" t="b">
        <f t="shared" si="2"/>
        <v>1</v>
      </c>
      <c r="H4644" s="1" t="str">
        <f t="shared" si="3"/>
        <v>Currently Unavailable</v>
      </c>
      <c r="I4644" s="1" t="str">
        <f t="shared" si="4"/>
        <v>No Badges</v>
      </c>
      <c r="J4644" s="3">
        <f t="shared" si="5"/>
        <v>0</v>
      </c>
    </row>
    <row r="4645">
      <c r="A4645" s="1" t="s">
        <v>3324</v>
      </c>
      <c r="B4645" s="3" t="str">
        <f t="shared" si="1"/>
        <v>Unavailable</v>
      </c>
      <c r="C4645" s="5">
        <v>5225.0</v>
      </c>
      <c r="D4645" s="3">
        <f>IFERROR(__xludf.DUMMYFUNCTION("IFERROR(
IF(REGEXMATCH(LOWER(O4645),""k""),
VALUE(REGEXEXTRACT(O4645,""[0-9]+""))*1000,
VALUE(REGEXEXTRACT(O4645,""[0-9]+""))
),
0
)"),0.0)</f>
        <v>0</v>
      </c>
      <c r="E4645" s="1" t="s">
        <v>11</v>
      </c>
      <c r="F4645" s="1" t="s">
        <v>12</v>
      </c>
      <c r="G4645" s="4" t="b">
        <f t="shared" si="2"/>
        <v>1</v>
      </c>
      <c r="H4645" s="1" t="str">
        <f t="shared" si="3"/>
        <v>Currently Unavailable</v>
      </c>
      <c r="I4645" s="1" t="str">
        <f t="shared" si="4"/>
        <v>No Badges</v>
      </c>
      <c r="J4645" s="3">
        <f t="shared" si="5"/>
        <v>0</v>
      </c>
    </row>
    <row r="4646">
      <c r="A4646" s="1" t="s">
        <v>3348</v>
      </c>
      <c r="B4646" s="3" t="str">
        <f t="shared" si="1"/>
        <v>Unavailable</v>
      </c>
      <c r="C4646" s="5">
        <v>2865.0</v>
      </c>
      <c r="D4646" s="3">
        <f>IFERROR(__xludf.DUMMYFUNCTION("IFERROR(
IF(REGEXMATCH(LOWER(O4646),""k""),
VALUE(REGEXEXTRACT(O4646,""[0-9]+""))*1000,
VALUE(REGEXEXTRACT(O4646,""[0-9]+""))
),
0
)"),0.0)</f>
        <v>0</v>
      </c>
      <c r="E4646" s="1" t="s">
        <v>11</v>
      </c>
      <c r="F4646" s="1" t="s">
        <v>20</v>
      </c>
      <c r="G4646" s="4" t="b">
        <f t="shared" si="2"/>
        <v>1</v>
      </c>
      <c r="H4646" s="1" t="str">
        <f t="shared" si="3"/>
        <v>Currently Unavailable</v>
      </c>
      <c r="I4646" s="1" t="str">
        <f t="shared" si="4"/>
        <v>No Badges</v>
      </c>
      <c r="J4646" s="3">
        <f t="shared" si="5"/>
        <v>0</v>
      </c>
    </row>
    <row r="4647">
      <c r="A4647" s="1" t="s">
        <v>3349</v>
      </c>
      <c r="B4647" s="3" t="str">
        <f t="shared" si="1"/>
        <v>Unavailable</v>
      </c>
      <c r="C4647" s="5">
        <v>1868.0</v>
      </c>
      <c r="D4647" s="3">
        <f>IFERROR(__xludf.DUMMYFUNCTION("IFERROR(
IF(REGEXMATCH(LOWER(O4647),""k""),
VALUE(REGEXEXTRACT(O4647,""[0-9]+""))*1000,
VALUE(REGEXEXTRACT(O4647,""[0-9]+""))
),
0
)"),0.0)</f>
        <v>0</v>
      </c>
      <c r="E4647" s="1" t="s">
        <v>11</v>
      </c>
      <c r="F4647" s="1" t="s">
        <v>20</v>
      </c>
      <c r="G4647" s="4" t="b">
        <f t="shared" si="2"/>
        <v>1</v>
      </c>
      <c r="H4647" s="1" t="str">
        <f t="shared" si="3"/>
        <v>Currently Unavailable</v>
      </c>
      <c r="I4647" s="1" t="str">
        <f t="shared" si="4"/>
        <v>No Badges</v>
      </c>
      <c r="J4647" s="3">
        <f t="shared" si="5"/>
        <v>0</v>
      </c>
    </row>
    <row r="4648">
      <c r="A4648" s="1" t="s">
        <v>3350</v>
      </c>
      <c r="B4648" s="3" t="str">
        <f t="shared" si="1"/>
        <v>Unavailable</v>
      </c>
      <c r="C4648" s="5">
        <v>3044.0</v>
      </c>
      <c r="D4648" s="3">
        <f>IFERROR(__xludf.DUMMYFUNCTION("IFERROR(
IF(REGEXMATCH(LOWER(O4648),""k""),
VALUE(REGEXEXTRACT(O4648,""[0-9]+""))*1000,
VALUE(REGEXEXTRACT(O4648,""[0-9]+""))
),
0
)"),0.0)</f>
        <v>0</v>
      </c>
      <c r="E4648" s="1" t="s">
        <v>11</v>
      </c>
      <c r="F4648" s="1" t="s">
        <v>12</v>
      </c>
      <c r="G4648" s="4" t="b">
        <f t="shared" si="2"/>
        <v>1</v>
      </c>
      <c r="H4648" s="1" t="str">
        <f t="shared" si="3"/>
        <v>Currently Unavailable</v>
      </c>
      <c r="I4648" s="1" t="str">
        <f t="shared" si="4"/>
        <v>No Badges</v>
      </c>
      <c r="J4648" s="3">
        <f t="shared" si="5"/>
        <v>0</v>
      </c>
    </row>
    <row r="4649">
      <c r="A4649" s="1" t="s">
        <v>3351</v>
      </c>
      <c r="B4649" s="3" t="str">
        <f t="shared" si="1"/>
        <v>Unavailable</v>
      </c>
      <c r="C4649" s="5">
        <v>1212.0</v>
      </c>
      <c r="D4649" s="3">
        <f>IFERROR(__xludf.DUMMYFUNCTION("IFERROR(
IF(REGEXMATCH(LOWER(O4649),""k""),
VALUE(REGEXEXTRACT(O4649,""[0-9]+""))*1000,
VALUE(REGEXEXTRACT(O4649,""[0-9]+""))
),
0
)"),0.0)</f>
        <v>0</v>
      </c>
      <c r="E4649" s="1" t="s">
        <v>11</v>
      </c>
      <c r="F4649" s="1" t="s">
        <v>20</v>
      </c>
      <c r="G4649" s="4" t="b">
        <f t="shared" si="2"/>
        <v>1</v>
      </c>
      <c r="H4649" s="1" t="str">
        <f t="shared" si="3"/>
        <v>Currently Unavailable</v>
      </c>
      <c r="I4649" s="1" t="str">
        <f t="shared" si="4"/>
        <v>No Badges</v>
      </c>
      <c r="J4649" s="3">
        <f t="shared" si="5"/>
        <v>0</v>
      </c>
    </row>
    <row r="4650">
      <c r="A4650" s="1" t="s">
        <v>604</v>
      </c>
      <c r="B4650" s="3" t="str">
        <f t="shared" si="1"/>
        <v>Unavailable</v>
      </c>
      <c r="C4650" s="3">
        <v>30.0</v>
      </c>
      <c r="D4650" s="3">
        <f>IFERROR(__xludf.DUMMYFUNCTION("IFERROR(
IF(REGEXMATCH(LOWER(O4650),""k""),
VALUE(REGEXEXTRACT(O4650,""[0-9]+""))*1000,
VALUE(REGEXEXTRACT(O4650,""[0-9]+""))
),
0
)"),0.0)</f>
        <v>0</v>
      </c>
      <c r="E4650" s="1" t="s">
        <v>11</v>
      </c>
      <c r="F4650" s="1" t="s">
        <v>12</v>
      </c>
      <c r="G4650" s="4" t="b">
        <f t="shared" si="2"/>
        <v>1</v>
      </c>
      <c r="H4650" s="1" t="str">
        <f t="shared" si="3"/>
        <v>Currently Unavailable</v>
      </c>
      <c r="I4650" s="1" t="str">
        <f t="shared" si="4"/>
        <v>No Badges</v>
      </c>
      <c r="J4650" s="3">
        <f t="shared" si="5"/>
        <v>0</v>
      </c>
    </row>
    <row r="4651">
      <c r="A4651" s="1" t="s">
        <v>3352</v>
      </c>
      <c r="B4651" s="3" t="str">
        <f t="shared" si="1"/>
        <v>Unavailable</v>
      </c>
      <c r="C4651" s="5">
        <v>5284.0</v>
      </c>
      <c r="D4651" s="3">
        <f>IFERROR(__xludf.DUMMYFUNCTION("IFERROR(
IF(REGEXMATCH(LOWER(O4651),""k""),
VALUE(REGEXEXTRACT(O4651,""[0-9]+""))*1000,
VALUE(REGEXEXTRACT(O4651,""[0-9]+""))
),
0
)"),0.0)</f>
        <v>0</v>
      </c>
      <c r="E4651" s="1" t="s">
        <v>11</v>
      </c>
      <c r="F4651" s="1" t="s">
        <v>12</v>
      </c>
      <c r="G4651" s="4" t="b">
        <f t="shared" si="2"/>
        <v>1</v>
      </c>
      <c r="H4651" s="1" t="str">
        <f t="shared" si="3"/>
        <v>Currently Unavailable</v>
      </c>
      <c r="I4651" s="1" t="str">
        <f t="shared" si="4"/>
        <v>No Badges</v>
      </c>
      <c r="J4651" s="3">
        <f t="shared" si="5"/>
        <v>0</v>
      </c>
    </row>
    <row r="4652">
      <c r="A4652" s="1" t="s">
        <v>3353</v>
      </c>
      <c r="B4652" s="3" t="str">
        <f t="shared" si="1"/>
        <v>Unavailable</v>
      </c>
      <c r="C4652" s="3">
        <v>52.0</v>
      </c>
      <c r="D4652" s="3">
        <f>IFERROR(__xludf.DUMMYFUNCTION("IFERROR(
IF(REGEXMATCH(LOWER(O4652),""k""),
VALUE(REGEXEXTRACT(O4652,""[0-9]+""))*1000,
VALUE(REGEXEXTRACT(O4652,""[0-9]+""))
),
0
)"),0.0)</f>
        <v>0</v>
      </c>
      <c r="E4652" s="1" t="s">
        <v>11</v>
      </c>
      <c r="F4652" s="1" t="s">
        <v>20</v>
      </c>
      <c r="G4652" s="4" t="b">
        <f t="shared" si="2"/>
        <v>1</v>
      </c>
      <c r="H4652" s="1" t="str">
        <f t="shared" si="3"/>
        <v>Currently Unavailable</v>
      </c>
      <c r="I4652" s="1" t="str">
        <f t="shared" si="4"/>
        <v>No Badges</v>
      </c>
      <c r="J4652" s="3">
        <f t="shared" si="5"/>
        <v>0</v>
      </c>
    </row>
    <row r="4653">
      <c r="A4653" s="1" t="s">
        <v>3354</v>
      </c>
      <c r="B4653" s="3" t="str">
        <f t="shared" si="1"/>
        <v>Unavailable</v>
      </c>
      <c r="C4653" s="5">
        <v>3915.0</v>
      </c>
      <c r="D4653" s="3">
        <f>IFERROR(__xludf.DUMMYFUNCTION("IFERROR(
IF(REGEXMATCH(LOWER(O4653),""k""),
VALUE(REGEXEXTRACT(O4653,""[0-9]+""))*1000,
VALUE(REGEXEXTRACT(O4653,""[0-9]+""))
),
0
)"),0.0)</f>
        <v>0</v>
      </c>
      <c r="E4653" s="1" t="s">
        <v>11</v>
      </c>
      <c r="F4653" s="1" t="s">
        <v>20</v>
      </c>
      <c r="G4653" s="4" t="b">
        <f t="shared" si="2"/>
        <v>1</v>
      </c>
      <c r="H4653" s="1" t="str">
        <f t="shared" si="3"/>
        <v>Currently Unavailable</v>
      </c>
      <c r="I4653" s="1" t="str">
        <f t="shared" si="4"/>
        <v>No Badges</v>
      </c>
      <c r="J4653" s="3">
        <f t="shared" si="5"/>
        <v>0</v>
      </c>
    </row>
    <row r="4654">
      <c r="A4654" s="1" t="s">
        <v>3355</v>
      </c>
      <c r="B4654" s="3" t="str">
        <f t="shared" si="1"/>
        <v>Unavailable</v>
      </c>
      <c r="C4654" s="5">
        <v>1228.0</v>
      </c>
      <c r="D4654" s="3">
        <f>IFERROR(__xludf.DUMMYFUNCTION("IFERROR(
IF(REGEXMATCH(LOWER(O4654),""k""),
VALUE(REGEXEXTRACT(O4654,""[0-9]+""))*1000,
VALUE(REGEXEXTRACT(O4654,""[0-9]+""))
),
0
)"),0.0)</f>
        <v>0</v>
      </c>
      <c r="E4654" s="1" t="s">
        <v>11</v>
      </c>
      <c r="F4654" s="1" t="s">
        <v>20</v>
      </c>
      <c r="G4654" s="4" t="b">
        <f t="shared" si="2"/>
        <v>1</v>
      </c>
      <c r="H4654" s="1" t="str">
        <f t="shared" si="3"/>
        <v>Currently Unavailable</v>
      </c>
      <c r="I4654" s="1" t="str">
        <f t="shared" si="4"/>
        <v>No Badges</v>
      </c>
      <c r="J4654" s="3">
        <f t="shared" si="5"/>
        <v>0</v>
      </c>
    </row>
    <row r="4655">
      <c r="A4655" s="1" t="s">
        <v>3356</v>
      </c>
      <c r="B4655" s="3" t="str">
        <f t="shared" si="1"/>
        <v>Unavailable</v>
      </c>
      <c r="C4655" s="3">
        <v>647.0</v>
      </c>
      <c r="D4655" s="3">
        <f>IFERROR(__xludf.DUMMYFUNCTION("IFERROR(
IF(REGEXMATCH(LOWER(O4655),""k""),
VALUE(REGEXEXTRACT(O4655,""[0-9]+""))*1000,
VALUE(REGEXEXTRACT(O4655,""[0-9]+""))
),
0
)"),0.0)</f>
        <v>0</v>
      </c>
      <c r="E4655" s="1" t="s">
        <v>11</v>
      </c>
      <c r="F4655" s="1" t="s">
        <v>20</v>
      </c>
      <c r="G4655" s="4" t="b">
        <f t="shared" si="2"/>
        <v>1</v>
      </c>
      <c r="H4655" s="1" t="str">
        <f t="shared" si="3"/>
        <v>Currently Unavailable</v>
      </c>
      <c r="I4655" s="1" t="str">
        <f t="shared" si="4"/>
        <v>No Badges</v>
      </c>
      <c r="J4655" s="3">
        <f t="shared" si="5"/>
        <v>0</v>
      </c>
    </row>
    <row r="4656">
      <c r="A4656" s="1" t="s">
        <v>3357</v>
      </c>
      <c r="B4656" s="3" t="str">
        <f t="shared" si="1"/>
        <v>Unavailable</v>
      </c>
      <c r="C4656" s="3">
        <v>490.0</v>
      </c>
      <c r="D4656" s="3">
        <f>IFERROR(__xludf.DUMMYFUNCTION("IFERROR(
IF(REGEXMATCH(LOWER(O4656),""k""),
VALUE(REGEXEXTRACT(O4656,""[0-9]+""))*1000,
VALUE(REGEXEXTRACT(O4656,""[0-9]+""))
),
0
)"),0.0)</f>
        <v>0</v>
      </c>
      <c r="E4656" s="1" t="s">
        <v>11</v>
      </c>
      <c r="F4656" s="1" t="s">
        <v>20</v>
      </c>
      <c r="G4656" s="4" t="b">
        <f t="shared" si="2"/>
        <v>1</v>
      </c>
      <c r="H4656" s="1" t="str">
        <f t="shared" si="3"/>
        <v>Currently Unavailable</v>
      </c>
      <c r="I4656" s="1" t="str">
        <f t="shared" si="4"/>
        <v>No Badges</v>
      </c>
      <c r="J4656" s="3">
        <f t="shared" si="5"/>
        <v>0</v>
      </c>
    </row>
    <row r="4657">
      <c r="A4657" s="1" t="s">
        <v>3358</v>
      </c>
      <c r="B4657" s="3" t="str">
        <f t="shared" si="1"/>
        <v>Unavailable</v>
      </c>
      <c r="C4657" s="5">
        <v>25312.0</v>
      </c>
      <c r="D4657" s="3">
        <f>IFERROR(__xludf.DUMMYFUNCTION("IFERROR(
IF(REGEXMATCH(LOWER(O4657),""k""),
VALUE(REGEXEXTRACT(O4657,""[0-9]+""))*1000,
VALUE(REGEXEXTRACT(O4657,""[0-9]+""))
),
0
)"),0.0)</f>
        <v>0</v>
      </c>
      <c r="E4657" s="1" t="s">
        <v>11</v>
      </c>
      <c r="F4657" s="1" t="s">
        <v>20</v>
      </c>
      <c r="G4657" s="4" t="b">
        <f t="shared" si="2"/>
        <v>1</v>
      </c>
      <c r="H4657" s="1" t="str">
        <f t="shared" si="3"/>
        <v>Currently Unavailable</v>
      </c>
      <c r="I4657" s="1" t="str">
        <f t="shared" si="4"/>
        <v>No Badges</v>
      </c>
      <c r="J4657" s="3">
        <f t="shared" si="5"/>
        <v>0</v>
      </c>
    </row>
    <row r="4658">
      <c r="A4658" s="1" t="s">
        <v>3359</v>
      </c>
      <c r="B4658" s="3" t="str">
        <f t="shared" si="1"/>
        <v>Unavailable</v>
      </c>
      <c r="C4658" s="3">
        <v>39.0</v>
      </c>
      <c r="D4658" s="3">
        <f>IFERROR(__xludf.DUMMYFUNCTION("IFERROR(
IF(REGEXMATCH(LOWER(O4658),""k""),
VALUE(REGEXEXTRACT(O4658,""[0-9]+""))*1000,
VALUE(REGEXEXTRACT(O4658,""[0-9]+""))
),
0
)"),0.0)</f>
        <v>0</v>
      </c>
      <c r="E4658" s="1" t="s">
        <v>11</v>
      </c>
      <c r="F4658" s="1" t="s">
        <v>20</v>
      </c>
      <c r="G4658" s="4" t="b">
        <f t="shared" si="2"/>
        <v>1</v>
      </c>
      <c r="H4658" s="1" t="str">
        <f t="shared" si="3"/>
        <v>Currently Unavailable</v>
      </c>
      <c r="I4658" s="1" t="str">
        <f t="shared" si="4"/>
        <v>No Badges</v>
      </c>
      <c r="J4658" s="3">
        <f t="shared" si="5"/>
        <v>0</v>
      </c>
    </row>
    <row r="4659">
      <c r="A4659" s="1" t="s">
        <v>3360</v>
      </c>
      <c r="B4659" s="3" t="str">
        <f t="shared" si="1"/>
        <v>Unavailable</v>
      </c>
      <c r="C4659" s="3">
        <v>44.0</v>
      </c>
      <c r="D4659" s="3">
        <f>IFERROR(__xludf.DUMMYFUNCTION("IFERROR(
IF(REGEXMATCH(LOWER(O4659),""k""),
VALUE(REGEXEXTRACT(O4659,""[0-9]+""))*1000,
VALUE(REGEXEXTRACT(O4659,""[0-9]+""))
),
0
)"),0.0)</f>
        <v>0</v>
      </c>
      <c r="E4659" s="1" t="s">
        <v>11</v>
      </c>
      <c r="F4659" s="1" t="s">
        <v>20</v>
      </c>
      <c r="G4659" s="4" t="b">
        <f t="shared" si="2"/>
        <v>1</v>
      </c>
      <c r="H4659" s="1" t="str">
        <f t="shared" si="3"/>
        <v>Currently Unavailable</v>
      </c>
      <c r="I4659" s="1" t="str">
        <f t="shared" si="4"/>
        <v>No Badges</v>
      </c>
      <c r="J4659" s="3">
        <f t="shared" si="5"/>
        <v>0</v>
      </c>
    </row>
    <row r="4660">
      <c r="A4660" s="1" t="s">
        <v>3361</v>
      </c>
      <c r="B4660" s="3" t="str">
        <f t="shared" si="1"/>
        <v>Unavailable</v>
      </c>
      <c r="C4660" s="5">
        <v>1353.0</v>
      </c>
      <c r="D4660" s="3">
        <f>IFERROR(__xludf.DUMMYFUNCTION("IFERROR(
IF(REGEXMATCH(LOWER(O4660),""k""),
VALUE(REGEXEXTRACT(O4660,""[0-9]+""))*1000,
VALUE(REGEXEXTRACT(O4660,""[0-9]+""))
),
0
)"),0.0)</f>
        <v>0</v>
      </c>
      <c r="E4660" s="1" t="s">
        <v>11</v>
      </c>
      <c r="F4660" s="1" t="s">
        <v>20</v>
      </c>
      <c r="G4660" s="4" t="b">
        <f t="shared" si="2"/>
        <v>1</v>
      </c>
      <c r="H4660" s="1" t="str">
        <f t="shared" si="3"/>
        <v>Currently Unavailable</v>
      </c>
      <c r="I4660" s="1" t="str">
        <f t="shared" si="4"/>
        <v>No Badges</v>
      </c>
      <c r="J4660" s="3">
        <f t="shared" si="5"/>
        <v>0</v>
      </c>
    </row>
    <row r="4661">
      <c r="A4661" s="1" t="s">
        <v>3362</v>
      </c>
      <c r="B4661" s="3" t="str">
        <f t="shared" si="1"/>
        <v>Unavailable</v>
      </c>
      <c r="C4661" s="5">
        <v>7440.0</v>
      </c>
      <c r="D4661" s="3">
        <f>IFERROR(__xludf.DUMMYFUNCTION("IFERROR(
IF(REGEXMATCH(LOWER(O4661),""k""),
VALUE(REGEXEXTRACT(O4661,""[0-9]+""))*1000,
VALUE(REGEXEXTRACT(O4661,""[0-9]+""))
),
0
)"),0.0)</f>
        <v>0</v>
      </c>
      <c r="E4661" s="1" t="s">
        <v>11</v>
      </c>
      <c r="F4661" s="1" t="s">
        <v>20</v>
      </c>
      <c r="G4661" s="4" t="b">
        <f t="shared" si="2"/>
        <v>1</v>
      </c>
      <c r="H4661" s="1" t="str">
        <f t="shared" si="3"/>
        <v>Currently Unavailable</v>
      </c>
      <c r="I4661" s="1" t="str">
        <f t="shared" si="4"/>
        <v>No Badges</v>
      </c>
      <c r="J4661" s="3">
        <f t="shared" si="5"/>
        <v>0</v>
      </c>
    </row>
    <row r="4662">
      <c r="A4662" s="1" t="s">
        <v>3363</v>
      </c>
      <c r="B4662" s="3" t="str">
        <f t="shared" si="1"/>
        <v>Unavailable</v>
      </c>
      <c r="C4662" s="5">
        <v>1291.0</v>
      </c>
      <c r="D4662" s="3">
        <f>IFERROR(__xludf.DUMMYFUNCTION("IFERROR(
IF(REGEXMATCH(LOWER(O4662),""k""),
VALUE(REGEXEXTRACT(O4662,""[0-9]+""))*1000,
VALUE(REGEXEXTRACT(O4662,""[0-9]+""))
),
0
)"),0.0)</f>
        <v>0</v>
      </c>
      <c r="E4662" s="1" t="s">
        <v>11</v>
      </c>
      <c r="F4662" s="1" t="s">
        <v>20</v>
      </c>
      <c r="G4662" s="4" t="b">
        <f t="shared" si="2"/>
        <v>1</v>
      </c>
      <c r="H4662" s="1" t="str">
        <f t="shared" si="3"/>
        <v>Currently Unavailable</v>
      </c>
      <c r="I4662" s="1" t="str">
        <f t="shared" si="4"/>
        <v>No Badges</v>
      </c>
      <c r="J4662" s="3">
        <f t="shared" si="5"/>
        <v>0</v>
      </c>
    </row>
    <row r="4663">
      <c r="A4663" s="1" t="s">
        <v>3364</v>
      </c>
      <c r="B4663" s="3" t="str">
        <f t="shared" si="1"/>
        <v>Unavailable</v>
      </c>
      <c r="C4663" s="5">
        <v>6634.0</v>
      </c>
      <c r="D4663" s="3">
        <f>IFERROR(__xludf.DUMMYFUNCTION("IFERROR(
IF(REGEXMATCH(LOWER(O4663),""k""),
VALUE(REGEXEXTRACT(O4663,""[0-9]+""))*1000,
VALUE(REGEXEXTRACT(O4663,""[0-9]+""))
),
0
)"),0.0)</f>
        <v>0</v>
      </c>
      <c r="E4663" s="1" t="s">
        <v>11</v>
      </c>
      <c r="F4663" s="1" t="s">
        <v>20</v>
      </c>
      <c r="G4663" s="4" t="b">
        <f t="shared" si="2"/>
        <v>1</v>
      </c>
      <c r="H4663" s="1" t="str">
        <f t="shared" si="3"/>
        <v>Currently Unavailable</v>
      </c>
      <c r="I4663" s="1" t="str">
        <f t="shared" si="4"/>
        <v>No Badges</v>
      </c>
      <c r="J4663" s="3">
        <f t="shared" si="5"/>
        <v>0</v>
      </c>
    </row>
    <row r="4664">
      <c r="A4664" s="1" t="s">
        <v>69</v>
      </c>
      <c r="B4664" s="3" t="str">
        <f t="shared" si="1"/>
        <v>Unavailable</v>
      </c>
      <c r="C4664" s="3">
        <v>45.0</v>
      </c>
      <c r="D4664" s="3">
        <f>IFERROR(__xludf.DUMMYFUNCTION("IFERROR(
IF(REGEXMATCH(LOWER(O4664),""k""),
VALUE(REGEXEXTRACT(O4664,""[0-9]+""))*1000,
VALUE(REGEXEXTRACT(O4664,""[0-9]+""))
),
0
)"),0.0)</f>
        <v>0</v>
      </c>
      <c r="E4664" s="1" t="s">
        <v>11</v>
      </c>
      <c r="F4664" s="1" t="s">
        <v>12</v>
      </c>
      <c r="G4664" s="4" t="b">
        <f t="shared" si="2"/>
        <v>1</v>
      </c>
      <c r="H4664" s="1" t="str">
        <f t="shared" si="3"/>
        <v>Currently Unavailable</v>
      </c>
      <c r="I4664" s="1" t="str">
        <f t="shared" si="4"/>
        <v>No Badges</v>
      </c>
      <c r="J4664" s="3">
        <f t="shared" si="5"/>
        <v>0</v>
      </c>
    </row>
    <row r="4665">
      <c r="A4665" s="1" t="s">
        <v>67</v>
      </c>
      <c r="B4665" s="3" t="str">
        <f t="shared" si="1"/>
        <v>Unavailable</v>
      </c>
      <c r="C4665" s="3">
        <v>264.0</v>
      </c>
      <c r="D4665" s="3">
        <f>IFERROR(__xludf.DUMMYFUNCTION("IFERROR(
IF(REGEXMATCH(LOWER(O4665),""k""),
VALUE(REGEXEXTRACT(O4665,""[0-9]+""))*1000,
VALUE(REGEXEXTRACT(O4665,""[0-9]+""))
),
0
)"),0.0)</f>
        <v>0</v>
      </c>
      <c r="E4665" s="1" t="s">
        <v>11</v>
      </c>
      <c r="F4665" s="1" t="s">
        <v>12</v>
      </c>
      <c r="G4665" s="4" t="b">
        <f t="shared" si="2"/>
        <v>1</v>
      </c>
      <c r="H4665" s="1" t="str">
        <f t="shared" si="3"/>
        <v>Currently Unavailable</v>
      </c>
      <c r="I4665" s="1" t="str">
        <f t="shared" si="4"/>
        <v>No Badges</v>
      </c>
      <c r="J4665" s="3">
        <f t="shared" si="5"/>
        <v>0</v>
      </c>
    </row>
    <row r="4666">
      <c r="A4666" s="1" t="s">
        <v>3365</v>
      </c>
      <c r="B4666" s="3" t="str">
        <f t="shared" si="1"/>
        <v>Unavailable</v>
      </c>
      <c r="C4666" s="5">
        <v>18856.0</v>
      </c>
      <c r="D4666" s="3">
        <f>IFERROR(__xludf.DUMMYFUNCTION("IFERROR(
IF(REGEXMATCH(LOWER(O4666),""k""),
VALUE(REGEXEXTRACT(O4666,""[0-9]+""))*1000,
VALUE(REGEXEXTRACT(O4666,""[0-9]+""))
),
0
)"),0.0)</f>
        <v>0</v>
      </c>
      <c r="E4666" s="1" t="s">
        <v>11</v>
      </c>
      <c r="F4666" s="1" t="s">
        <v>20</v>
      </c>
      <c r="G4666" s="4" t="b">
        <f t="shared" si="2"/>
        <v>1</v>
      </c>
      <c r="H4666" s="1" t="str">
        <f t="shared" si="3"/>
        <v>Currently Unavailable</v>
      </c>
      <c r="I4666" s="1" t="str">
        <f t="shared" si="4"/>
        <v>No Badges</v>
      </c>
      <c r="J4666" s="3">
        <f t="shared" si="5"/>
        <v>0</v>
      </c>
    </row>
    <row r="4667">
      <c r="A4667" s="1" t="s">
        <v>3366</v>
      </c>
      <c r="B4667" s="3" t="str">
        <f t="shared" si="1"/>
        <v>Unavailable</v>
      </c>
      <c r="C4667" s="5">
        <v>1814.0</v>
      </c>
      <c r="D4667" s="3">
        <f>IFERROR(__xludf.DUMMYFUNCTION("IFERROR(
IF(REGEXMATCH(LOWER(O4667),""k""),
VALUE(REGEXEXTRACT(O4667,""[0-9]+""))*1000,
VALUE(REGEXEXTRACT(O4667,""[0-9]+""))
),
0
)"),0.0)</f>
        <v>0</v>
      </c>
      <c r="E4667" s="1" t="s">
        <v>11</v>
      </c>
      <c r="F4667" s="1" t="s">
        <v>20</v>
      </c>
      <c r="G4667" s="4" t="b">
        <f t="shared" si="2"/>
        <v>1</v>
      </c>
      <c r="H4667" s="1" t="str">
        <f t="shared" si="3"/>
        <v>Currently Unavailable</v>
      </c>
      <c r="I4667" s="1" t="str">
        <f t="shared" si="4"/>
        <v>No Badges</v>
      </c>
      <c r="J4667" s="3">
        <f t="shared" si="5"/>
        <v>0</v>
      </c>
    </row>
    <row r="4668">
      <c r="A4668" s="1" t="s">
        <v>3367</v>
      </c>
      <c r="B4668" s="3" t="str">
        <f t="shared" si="1"/>
        <v>Unavailable</v>
      </c>
      <c r="C4668" s="5">
        <v>1256.0</v>
      </c>
      <c r="D4668" s="3">
        <f>IFERROR(__xludf.DUMMYFUNCTION("IFERROR(
IF(REGEXMATCH(LOWER(O4668),""k""),
VALUE(REGEXEXTRACT(O4668,""[0-9]+""))*1000,
VALUE(REGEXEXTRACT(O4668,""[0-9]+""))
),
0
)"),0.0)</f>
        <v>0</v>
      </c>
      <c r="E4668" s="1" t="s">
        <v>11</v>
      </c>
      <c r="F4668" s="1" t="s">
        <v>20</v>
      </c>
      <c r="G4668" s="4" t="b">
        <f t="shared" si="2"/>
        <v>1</v>
      </c>
      <c r="H4668" s="1" t="str">
        <f t="shared" si="3"/>
        <v>Currently Unavailable</v>
      </c>
      <c r="I4668" s="1" t="str">
        <f t="shared" si="4"/>
        <v>No Badges</v>
      </c>
      <c r="J4668" s="3">
        <f t="shared" si="5"/>
        <v>0</v>
      </c>
    </row>
    <row r="4669">
      <c r="A4669" s="1" t="s">
        <v>3368</v>
      </c>
      <c r="B4669" s="3" t="str">
        <f t="shared" si="1"/>
        <v>Unavailable</v>
      </c>
      <c r="C4669" s="5">
        <v>8460.0</v>
      </c>
      <c r="D4669" s="3">
        <f>IFERROR(__xludf.DUMMYFUNCTION("IFERROR(
IF(REGEXMATCH(LOWER(O4669),""k""),
VALUE(REGEXEXTRACT(O4669,""[0-9]+""))*1000,
VALUE(REGEXEXTRACT(O4669,""[0-9]+""))
),
0
)"),0.0)</f>
        <v>0</v>
      </c>
      <c r="E4669" s="1" t="s">
        <v>11</v>
      </c>
      <c r="F4669" s="1" t="s">
        <v>20</v>
      </c>
      <c r="G4669" s="4" t="b">
        <f t="shared" si="2"/>
        <v>1</v>
      </c>
      <c r="H4669" s="1" t="str">
        <f t="shared" si="3"/>
        <v>Currently Unavailable</v>
      </c>
      <c r="I4669" s="1" t="str">
        <f t="shared" si="4"/>
        <v>No Badges</v>
      </c>
      <c r="J4669" s="3">
        <f t="shared" si="5"/>
        <v>0</v>
      </c>
    </row>
    <row r="4670">
      <c r="A4670" s="1" t="s">
        <v>3350</v>
      </c>
      <c r="B4670" s="3" t="str">
        <f t="shared" si="1"/>
        <v>Unavailable</v>
      </c>
      <c r="C4670" s="5">
        <v>3044.0</v>
      </c>
      <c r="D4670" s="3">
        <f>IFERROR(__xludf.DUMMYFUNCTION("IFERROR(
IF(REGEXMATCH(LOWER(O4670),""k""),
VALUE(REGEXEXTRACT(O4670,""[0-9]+""))*1000,
VALUE(REGEXEXTRACT(O4670,""[0-9]+""))
),
0
)"),0.0)</f>
        <v>0</v>
      </c>
      <c r="E4670" s="1" t="s">
        <v>11</v>
      </c>
      <c r="F4670" s="1" t="s">
        <v>20</v>
      </c>
      <c r="G4670" s="4" t="b">
        <f t="shared" si="2"/>
        <v>1</v>
      </c>
      <c r="H4670" s="1" t="str">
        <f t="shared" si="3"/>
        <v>Currently Unavailable</v>
      </c>
      <c r="I4670" s="1" t="str">
        <f t="shared" si="4"/>
        <v>No Badges</v>
      </c>
      <c r="J4670" s="3">
        <f t="shared" si="5"/>
        <v>0</v>
      </c>
    </row>
    <row r="4671">
      <c r="A4671" s="1" t="s">
        <v>3369</v>
      </c>
      <c r="B4671" s="3" t="str">
        <f t="shared" si="1"/>
        <v>Unavailable</v>
      </c>
      <c r="C4671" s="5">
        <v>2344.0</v>
      </c>
      <c r="D4671" s="3">
        <f>IFERROR(__xludf.DUMMYFUNCTION("IFERROR(
IF(REGEXMATCH(LOWER(O4671),""k""),
VALUE(REGEXEXTRACT(O4671,""[0-9]+""))*1000,
VALUE(REGEXEXTRACT(O4671,""[0-9]+""))
),
0
)"),0.0)</f>
        <v>0</v>
      </c>
      <c r="E4671" s="1" t="s">
        <v>158</v>
      </c>
      <c r="F4671" s="1" t="s">
        <v>20</v>
      </c>
      <c r="G4671" s="4" t="b">
        <f t="shared" si="2"/>
        <v>1</v>
      </c>
      <c r="H4671" s="1" t="str">
        <f t="shared" si="3"/>
        <v>Currently Unavailable</v>
      </c>
      <c r="I4671" s="1" t="str">
        <f t="shared" si="4"/>
        <v>No Badges</v>
      </c>
      <c r="J4671" s="3">
        <f t="shared" si="5"/>
        <v>0</v>
      </c>
    </row>
    <row r="4672">
      <c r="A4672" s="1" t="s">
        <v>3370</v>
      </c>
      <c r="B4672" s="3" t="str">
        <f t="shared" si="1"/>
        <v>Unavailable</v>
      </c>
      <c r="C4672" s="3">
        <v>562.0</v>
      </c>
      <c r="D4672" s="3">
        <f>IFERROR(__xludf.DUMMYFUNCTION("IFERROR(
IF(REGEXMATCH(LOWER(O4672),""k""),
VALUE(REGEXEXTRACT(O4672,""[0-9]+""))*1000,
VALUE(REGEXEXTRACT(O4672,""[0-9]+""))
),
0
)"),0.0)</f>
        <v>0</v>
      </c>
      <c r="E4672" s="1" t="s">
        <v>11</v>
      </c>
      <c r="F4672" s="1" t="s">
        <v>20</v>
      </c>
      <c r="G4672" s="4" t="b">
        <f t="shared" si="2"/>
        <v>1</v>
      </c>
      <c r="H4672" s="1" t="str">
        <f t="shared" si="3"/>
        <v>Currently Unavailable</v>
      </c>
      <c r="I4672" s="1" t="str">
        <f t="shared" si="4"/>
        <v>No Badges</v>
      </c>
      <c r="J4672" s="3">
        <f t="shared" si="5"/>
        <v>0</v>
      </c>
    </row>
    <row r="4673">
      <c r="A4673" s="1" t="s">
        <v>3371</v>
      </c>
      <c r="B4673" s="3" t="str">
        <f t="shared" si="1"/>
        <v>Unavailable</v>
      </c>
      <c r="C4673" s="3">
        <v>591.0</v>
      </c>
      <c r="D4673" s="3">
        <f>IFERROR(__xludf.DUMMYFUNCTION("IFERROR(
IF(REGEXMATCH(LOWER(O4673),""k""),
VALUE(REGEXEXTRACT(O4673,""[0-9]+""))*1000,
VALUE(REGEXEXTRACT(O4673,""[0-9]+""))
),
0
)"),0.0)</f>
        <v>0</v>
      </c>
      <c r="E4673" s="1" t="s">
        <v>11</v>
      </c>
      <c r="F4673" s="1" t="s">
        <v>20</v>
      </c>
      <c r="G4673" s="4" t="b">
        <f t="shared" si="2"/>
        <v>1</v>
      </c>
      <c r="H4673" s="1" t="str">
        <f t="shared" si="3"/>
        <v>Currently Unavailable</v>
      </c>
      <c r="I4673" s="1" t="str">
        <f t="shared" si="4"/>
        <v>No Badges</v>
      </c>
      <c r="J4673" s="3">
        <f t="shared" si="5"/>
        <v>0</v>
      </c>
    </row>
    <row r="4674">
      <c r="A4674" s="1" t="s">
        <v>3372</v>
      </c>
      <c r="B4674" s="3" t="str">
        <f t="shared" si="1"/>
        <v>Unavailable</v>
      </c>
      <c r="C4674" s="5">
        <v>5153.0</v>
      </c>
      <c r="D4674" s="3">
        <f>IFERROR(__xludf.DUMMYFUNCTION("IFERROR(
IF(REGEXMATCH(LOWER(O4674),""k""),
VALUE(REGEXEXTRACT(O4674,""[0-9]+""))*1000,
VALUE(REGEXEXTRACT(O4674,""[0-9]+""))
),
0
)"),0.0)</f>
        <v>0</v>
      </c>
      <c r="E4674" s="1" t="s">
        <v>11</v>
      </c>
      <c r="F4674" s="1" t="s">
        <v>20</v>
      </c>
      <c r="G4674" s="4" t="b">
        <f t="shared" si="2"/>
        <v>1</v>
      </c>
      <c r="H4674" s="1" t="str">
        <f t="shared" si="3"/>
        <v>Currently Unavailable</v>
      </c>
      <c r="I4674" s="1" t="str">
        <f t="shared" si="4"/>
        <v>No Badges</v>
      </c>
      <c r="J4674" s="3">
        <f t="shared" si="5"/>
        <v>0</v>
      </c>
    </row>
    <row r="4675">
      <c r="A4675" s="1" t="s">
        <v>3373</v>
      </c>
      <c r="B4675" s="3" t="str">
        <f t="shared" si="1"/>
        <v>Unavailable</v>
      </c>
      <c r="C4675" s="3">
        <v>796.0</v>
      </c>
      <c r="D4675" s="3">
        <f>IFERROR(__xludf.DUMMYFUNCTION("IFERROR(
IF(REGEXMATCH(LOWER(O4675),""k""),
VALUE(REGEXEXTRACT(O4675,""[0-9]+""))*1000,
VALUE(REGEXEXTRACT(O4675,""[0-9]+""))
),
0
)"),0.0)</f>
        <v>0</v>
      </c>
      <c r="E4675" s="1" t="s">
        <v>11</v>
      </c>
      <c r="F4675" s="1" t="s">
        <v>20</v>
      </c>
      <c r="G4675" s="4" t="b">
        <f t="shared" si="2"/>
        <v>1</v>
      </c>
      <c r="H4675" s="1" t="str">
        <f t="shared" si="3"/>
        <v>Currently Unavailable</v>
      </c>
      <c r="I4675" s="1" t="str">
        <f t="shared" si="4"/>
        <v>No Badges</v>
      </c>
      <c r="J4675" s="3">
        <f t="shared" si="5"/>
        <v>0</v>
      </c>
    </row>
    <row r="4676">
      <c r="A4676" s="1" t="s">
        <v>3374</v>
      </c>
      <c r="B4676" s="3" t="str">
        <f t="shared" si="1"/>
        <v>Unavailable</v>
      </c>
      <c r="C4676" s="3">
        <v>273.0</v>
      </c>
      <c r="D4676" s="3">
        <f>IFERROR(__xludf.DUMMYFUNCTION("IFERROR(
IF(REGEXMATCH(LOWER(O4676),""k""),
VALUE(REGEXEXTRACT(O4676,""[0-9]+""))*1000,
VALUE(REGEXEXTRACT(O4676,""[0-9]+""))
),
0
)"),0.0)</f>
        <v>0</v>
      </c>
      <c r="E4676" s="1" t="s">
        <v>11</v>
      </c>
      <c r="F4676" s="1" t="s">
        <v>20</v>
      </c>
      <c r="G4676" s="4" t="b">
        <f t="shared" si="2"/>
        <v>1</v>
      </c>
      <c r="H4676" s="1" t="str">
        <f t="shared" si="3"/>
        <v>Currently Unavailable</v>
      </c>
      <c r="I4676" s="1" t="str">
        <f t="shared" si="4"/>
        <v>No Badges</v>
      </c>
      <c r="J4676" s="3">
        <f t="shared" si="5"/>
        <v>0</v>
      </c>
    </row>
    <row r="4677">
      <c r="A4677" s="1" t="s">
        <v>3375</v>
      </c>
      <c r="B4677" s="3" t="str">
        <f t="shared" si="1"/>
        <v>Unavailable</v>
      </c>
      <c r="C4677" s="5">
        <v>3044.0</v>
      </c>
      <c r="D4677" s="3">
        <f>IFERROR(__xludf.DUMMYFUNCTION("IFERROR(
IF(REGEXMATCH(LOWER(O4677),""k""),
VALUE(REGEXEXTRACT(O4677,""[0-9]+""))*1000,
VALUE(REGEXEXTRACT(O4677,""[0-9]+""))
),
0
)"),0.0)</f>
        <v>0</v>
      </c>
      <c r="E4677" s="1" t="s">
        <v>11</v>
      </c>
      <c r="F4677" s="1" t="s">
        <v>12</v>
      </c>
      <c r="G4677" s="4" t="b">
        <f t="shared" si="2"/>
        <v>1</v>
      </c>
      <c r="H4677" s="1" t="str">
        <f t="shared" si="3"/>
        <v>Currently Unavailable</v>
      </c>
      <c r="I4677" s="1" t="str">
        <f t="shared" si="4"/>
        <v>No Badges</v>
      </c>
      <c r="J4677" s="3">
        <f t="shared" si="5"/>
        <v>0</v>
      </c>
    </row>
    <row r="4678">
      <c r="A4678" s="1" t="s">
        <v>3376</v>
      </c>
      <c r="B4678" s="3" t="str">
        <f t="shared" si="1"/>
        <v>Unavailable</v>
      </c>
      <c r="C4678" s="3">
        <v>579.0</v>
      </c>
      <c r="D4678" s="3">
        <f>IFERROR(__xludf.DUMMYFUNCTION("IFERROR(
IF(REGEXMATCH(LOWER(O4678),""k""),
VALUE(REGEXEXTRACT(O4678,""[0-9]+""))*1000,
VALUE(REGEXEXTRACT(O4678,""[0-9]+""))
),
0
)"),0.0)</f>
        <v>0</v>
      </c>
      <c r="E4678" s="1" t="s">
        <v>11</v>
      </c>
      <c r="F4678" s="1" t="s">
        <v>20</v>
      </c>
      <c r="G4678" s="4" t="b">
        <f t="shared" si="2"/>
        <v>1</v>
      </c>
      <c r="H4678" s="1" t="str">
        <f t="shared" si="3"/>
        <v>Currently Unavailable</v>
      </c>
      <c r="I4678" s="1" t="str">
        <f t="shared" si="4"/>
        <v>No Badges</v>
      </c>
      <c r="J4678" s="3">
        <f t="shared" si="5"/>
        <v>0</v>
      </c>
    </row>
    <row r="4679">
      <c r="A4679" s="1" t="s">
        <v>3377</v>
      </c>
      <c r="B4679" s="3" t="str">
        <f t="shared" si="1"/>
        <v>Unavailable</v>
      </c>
      <c r="C4679" s="3">
        <v>658.0</v>
      </c>
      <c r="D4679" s="3">
        <f>IFERROR(__xludf.DUMMYFUNCTION("IFERROR(
IF(REGEXMATCH(LOWER(O4679),""k""),
VALUE(REGEXEXTRACT(O4679,""[0-9]+""))*1000,
VALUE(REGEXEXTRACT(O4679,""[0-9]+""))
),
0
)"),0.0)</f>
        <v>0</v>
      </c>
      <c r="E4679" s="1" t="s">
        <v>11</v>
      </c>
      <c r="F4679" s="1" t="s">
        <v>20</v>
      </c>
      <c r="G4679" s="4" t="b">
        <f t="shared" si="2"/>
        <v>1</v>
      </c>
      <c r="H4679" s="1" t="str">
        <f t="shared" si="3"/>
        <v>Currently Unavailable</v>
      </c>
      <c r="I4679" s="1" t="str">
        <f t="shared" si="4"/>
        <v>No Badges</v>
      </c>
      <c r="J4679" s="3">
        <f t="shared" si="5"/>
        <v>0</v>
      </c>
    </row>
    <row r="4680">
      <c r="A4680" s="1" t="s">
        <v>701</v>
      </c>
      <c r="B4680" s="3" t="str">
        <f t="shared" si="1"/>
        <v>Unavailable</v>
      </c>
      <c r="C4680" s="3">
        <v>8.0</v>
      </c>
      <c r="D4680" s="3">
        <f>IFERROR(__xludf.DUMMYFUNCTION("IFERROR(
IF(REGEXMATCH(LOWER(O4680),""k""),
VALUE(REGEXEXTRACT(O4680,""[0-9]+""))*1000,
VALUE(REGEXEXTRACT(O4680,""[0-9]+""))
),
0
)"),0.0)</f>
        <v>0</v>
      </c>
      <c r="E4680" s="1" t="s">
        <v>11</v>
      </c>
      <c r="F4680" s="1" t="s">
        <v>12</v>
      </c>
      <c r="G4680" s="4" t="b">
        <f t="shared" si="2"/>
        <v>1</v>
      </c>
      <c r="H4680" s="1" t="str">
        <f t="shared" si="3"/>
        <v>Currently Unavailable</v>
      </c>
      <c r="I4680" s="1" t="str">
        <f t="shared" si="4"/>
        <v>No Badges</v>
      </c>
      <c r="J4680" s="3">
        <f t="shared" si="5"/>
        <v>0</v>
      </c>
    </row>
    <row r="4681">
      <c r="A4681" s="1" t="s">
        <v>3378</v>
      </c>
      <c r="B4681" s="3" t="str">
        <f t="shared" si="1"/>
        <v>Unavailable</v>
      </c>
      <c r="C4681" s="5">
        <v>6600.0</v>
      </c>
      <c r="D4681" s="3">
        <f>IFERROR(__xludf.DUMMYFUNCTION("IFERROR(
IF(REGEXMATCH(LOWER(O4681),""k""),
VALUE(REGEXEXTRACT(O4681,""[0-9]+""))*1000,
VALUE(REGEXEXTRACT(O4681,""[0-9]+""))
),
0
)"),0.0)</f>
        <v>0</v>
      </c>
      <c r="E4681" s="1" t="s">
        <v>11</v>
      </c>
      <c r="F4681" s="1" t="s">
        <v>20</v>
      </c>
      <c r="G4681" s="4" t="b">
        <f t="shared" si="2"/>
        <v>1</v>
      </c>
      <c r="H4681" s="1" t="str">
        <f t="shared" si="3"/>
        <v>Currently Unavailable</v>
      </c>
      <c r="I4681" s="1" t="str">
        <f t="shared" si="4"/>
        <v>No Badges</v>
      </c>
      <c r="J4681" s="3">
        <f t="shared" si="5"/>
        <v>0</v>
      </c>
    </row>
    <row r="4682">
      <c r="A4682" s="1" t="s">
        <v>3379</v>
      </c>
      <c r="B4682" s="3" t="str">
        <f t="shared" si="1"/>
        <v>Unavailable</v>
      </c>
      <c r="C4682" s="5">
        <v>5561.0</v>
      </c>
      <c r="D4682" s="3">
        <f>IFERROR(__xludf.DUMMYFUNCTION("IFERROR(
IF(REGEXMATCH(LOWER(O4682),""k""),
VALUE(REGEXEXTRACT(O4682,""[0-9]+""))*1000,
VALUE(REGEXEXTRACT(O4682,""[0-9]+""))
),
0
)"),0.0)</f>
        <v>0</v>
      </c>
      <c r="E4682" s="1" t="s">
        <v>158</v>
      </c>
      <c r="F4682" s="1" t="s">
        <v>20</v>
      </c>
      <c r="G4682" s="4" t="b">
        <f t="shared" si="2"/>
        <v>1</v>
      </c>
      <c r="H4682" s="1" t="str">
        <f t="shared" si="3"/>
        <v>Currently Unavailable</v>
      </c>
      <c r="I4682" s="1" t="str">
        <f t="shared" si="4"/>
        <v>No Badges</v>
      </c>
      <c r="J4682" s="3">
        <f t="shared" si="5"/>
        <v>0</v>
      </c>
    </row>
    <row r="4683">
      <c r="A4683" s="1" t="s">
        <v>3380</v>
      </c>
      <c r="B4683" s="3" t="str">
        <f t="shared" si="1"/>
        <v>Unavailable</v>
      </c>
      <c r="C4683" s="5">
        <v>2861.0</v>
      </c>
      <c r="D4683" s="3">
        <f>IFERROR(__xludf.DUMMYFUNCTION("IFERROR(
IF(REGEXMATCH(LOWER(O4683),""k""),
VALUE(REGEXEXTRACT(O4683,""[0-9]+""))*1000,
VALUE(REGEXEXTRACT(O4683,""[0-9]+""))
),
0
)"),0.0)</f>
        <v>0</v>
      </c>
      <c r="E4683" s="1" t="s">
        <v>11</v>
      </c>
      <c r="F4683" s="1" t="s">
        <v>20</v>
      </c>
      <c r="G4683" s="4" t="b">
        <f t="shared" si="2"/>
        <v>1</v>
      </c>
      <c r="H4683" s="1" t="str">
        <f t="shared" si="3"/>
        <v>Currently Unavailable</v>
      </c>
      <c r="I4683" s="1" t="str">
        <f t="shared" si="4"/>
        <v>No Badges</v>
      </c>
      <c r="J4683" s="3">
        <f t="shared" si="5"/>
        <v>0</v>
      </c>
    </row>
    <row r="4684">
      <c r="A4684" s="1" t="s">
        <v>3381</v>
      </c>
      <c r="B4684" s="3" t="str">
        <f t="shared" si="1"/>
        <v>Unavailable</v>
      </c>
      <c r="C4684" s="3">
        <v>191.0</v>
      </c>
      <c r="D4684" s="3">
        <f>IFERROR(__xludf.DUMMYFUNCTION("IFERROR(
IF(REGEXMATCH(LOWER(O4684),""k""),
VALUE(REGEXEXTRACT(O4684,""[0-9]+""))*1000,
VALUE(REGEXEXTRACT(O4684,""[0-9]+""))
),
0
)"),0.0)</f>
        <v>0</v>
      </c>
      <c r="E4684" s="1" t="s">
        <v>11</v>
      </c>
      <c r="F4684" s="1" t="s">
        <v>20</v>
      </c>
      <c r="G4684" s="4" t="b">
        <f t="shared" si="2"/>
        <v>1</v>
      </c>
      <c r="H4684" s="1" t="str">
        <f t="shared" si="3"/>
        <v>Currently Unavailable</v>
      </c>
      <c r="I4684" s="1" t="str">
        <f t="shared" si="4"/>
        <v>No Badges</v>
      </c>
      <c r="J4684" s="3">
        <f t="shared" si="5"/>
        <v>0</v>
      </c>
    </row>
    <row r="4685">
      <c r="A4685" s="1" t="s">
        <v>3382</v>
      </c>
      <c r="B4685" s="3" t="str">
        <f t="shared" si="1"/>
        <v>Unavailable</v>
      </c>
      <c r="C4685" s="3">
        <v>960.0</v>
      </c>
      <c r="D4685" s="3">
        <f>IFERROR(__xludf.DUMMYFUNCTION("IFERROR(
IF(REGEXMATCH(LOWER(O4685),""k""),
VALUE(REGEXEXTRACT(O4685,""[0-9]+""))*1000,
VALUE(REGEXEXTRACT(O4685,""[0-9]+""))
),
0
)"),0.0)</f>
        <v>0</v>
      </c>
      <c r="E4685" s="1" t="s">
        <v>11</v>
      </c>
      <c r="F4685" s="1" t="s">
        <v>20</v>
      </c>
      <c r="G4685" s="4" t="b">
        <f t="shared" si="2"/>
        <v>1</v>
      </c>
      <c r="H4685" s="1" t="str">
        <f t="shared" si="3"/>
        <v>Currently Unavailable</v>
      </c>
      <c r="I4685" s="1" t="str">
        <f t="shared" si="4"/>
        <v>No Badges</v>
      </c>
      <c r="J4685" s="3">
        <f t="shared" si="5"/>
        <v>0</v>
      </c>
    </row>
    <row r="4686">
      <c r="A4686" s="1" t="s">
        <v>3383</v>
      </c>
      <c r="B4686" s="3" t="str">
        <f t="shared" si="1"/>
        <v>Unavailable</v>
      </c>
      <c r="C4686" s="5">
        <v>6655.0</v>
      </c>
      <c r="D4686" s="3">
        <f>IFERROR(__xludf.DUMMYFUNCTION("IFERROR(
IF(REGEXMATCH(LOWER(O4686),""k""),
VALUE(REGEXEXTRACT(O4686,""[0-9]+""))*1000,
VALUE(REGEXEXTRACT(O4686,""[0-9]+""))
),
0
)"),0.0)</f>
        <v>0</v>
      </c>
      <c r="E4686" s="1" t="s">
        <v>11</v>
      </c>
      <c r="F4686" s="1" t="s">
        <v>20</v>
      </c>
      <c r="G4686" s="4" t="b">
        <f t="shared" si="2"/>
        <v>1</v>
      </c>
      <c r="H4686" s="1" t="str">
        <f t="shared" si="3"/>
        <v>Currently Unavailable</v>
      </c>
      <c r="I4686" s="1" t="str">
        <f t="shared" si="4"/>
        <v>No Badges</v>
      </c>
      <c r="J4686" s="3">
        <f t="shared" si="5"/>
        <v>0</v>
      </c>
    </row>
    <row r="4687">
      <c r="A4687" s="1" t="s">
        <v>3384</v>
      </c>
      <c r="B4687" s="3" t="str">
        <f t="shared" si="1"/>
        <v>Unavailable</v>
      </c>
      <c r="C4687" s="5">
        <v>3808.0</v>
      </c>
      <c r="D4687" s="3">
        <f>IFERROR(__xludf.DUMMYFUNCTION("IFERROR(
IF(REGEXMATCH(LOWER(O4687),""k""),
VALUE(REGEXEXTRACT(O4687,""[0-9]+""))*1000,
VALUE(REGEXEXTRACT(O4687,""[0-9]+""))
),
0
)"),0.0)</f>
        <v>0</v>
      </c>
      <c r="E4687" s="1" t="s">
        <v>11</v>
      </c>
      <c r="F4687" s="1" t="s">
        <v>20</v>
      </c>
      <c r="G4687" s="4" t="b">
        <f t="shared" si="2"/>
        <v>1</v>
      </c>
      <c r="H4687" s="1" t="str">
        <f t="shared" si="3"/>
        <v>Currently Unavailable</v>
      </c>
      <c r="I4687" s="1" t="str">
        <f t="shared" si="4"/>
        <v>No Badges</v>
      </c>
      <c r="J4687" s="3">
        <f t="shared" si="5"/>
        <v>0</v>
      </c>
    </row>
    <row r="4688">
      <c r="A4688" s="1" t="s">
        <v>3385</v>
      </c>
      <c r="B4688" s="3" t="str">
        <f t="shared" si="1"/>
        <v>Unavailable</v>
      </c>
      <c r="C4688" s="5">
        <v>6893.0</v>
      </c>
      <c r="D4688" s="3">
        <f>IFERROR(__xludf.DUMMYFUNCTION("IFERROR(
IF(REGEXMATCH(LOWER(O4688),""k""),
VALUE(REGEXEXTRACT(O4688,""[0-9]+""))*1000,
VALUE(REGEXEXTRACT(O4688,""[0-9]+""))
),
0
)"),0.0)</f>
        <v>0</v>
      </c>
      <c r="E4688" s="1" t="s">
        <v>11</v>
      </c>
      <c r="F4688" s="1" t="s">
        <v>20</v>
      </c>
      <c r="G4688" s="4" t="b">
        <f t="shared" si="2"/>
        <v>1</v>
      </c>
      <c r="H4688" s="1" t="str">
        <f t="shared" si="3"/>
        <v>Currently Unavailable</v>
      </c>
      <c r="I4688" s="1" t="str">
        <f t="shared" si="4"/>
        <v>No Badges</v>
      </c>
      <c r="J4688" s="3">
        <f t="shared" si="5"/>
        <v>0</v>
      </c>
    </row>
    <row r="4689">
      <c r="A4689" s="1" t="s">
        <v>3386</v>
      </c>
      <c r="B4689" s="3" t="str">
        <f t="shared" si="1"/>
        <v>Unavailable</v>
      </c>
      <c r="C4689" s="5">
        <v>8512.0</v>
      </c>
      <c r="D4689" s="3">
        <f>IFERROR(__xludf.DUMMYFUNCTION("IFERROR(
IF(REGEXMATCH(LOWER(O4689),""k""),
VALUE(REGEXEXTRACT(O4689,""[0-9]+""))*1000,
VALUE(REGEXEXTRACT(O4689,""[0-9]+""))
),
0
)"),0.0)</f>
        <v>0</v>
      </c>
      <c r="E4689" s="1" t="s">
        <v>11</v>
      </c>
      <c r="F4689" s="1" t="s">
        <v>20</v>
      </c>
      <c r="G4689" s="4" t="b">
        <f t="shared" si="2"/>
        <v>1</v>
      </c>
      <c r="H4689" s="1" t="str">
        <f t="shared" si="3"/>
        <v>Currently Unavailable</v>
      </c>
      <c r="I4689" s="1" t="str">
        <f t="shared" si="4"/>
        <v>No Badges</v>
      </c>
      <c r="J4689" s="3">
        <f t="shared" si="5"/>
        <v>0</v>
      </c>
    </row>
    <row r="4690">
      <c r="A4690" s="1" t="s">
        <v>3387</v>
      </c>
      <c r="B4690" s="3" t="str">
        <f t="shared" si="1"/>
        <v>Unavailable</v>
      </c>
      <c r="C4690" s="3">
        <v>805.0</v>
      </c>
      <c r="D4690" s="3">
        <f>IFERROR(__xludf.DUMMYFUNCTION("IFERROR(
IF(REGEXMATCH(LOWER(O4690),""k""),
VALUE(REGEXEXTRACT(O4690,""[0-9]+""))*1000,
VALUE(REGEXEXTRACT(O4690,""[0-9]+""))
),
0
)"),0.0)</f>
        <v>0</v>
      </c>
      <c r="E4690" s="1" t="s">
        <v>11</v>
      </c>
      <c r="F4690" s="1" t="s">
        <v>20</v>
      </c>
      <c r="G4690" s="4" t="b">
        <f t="shared" si="2"/>
        <v>1</v>
      </c>
      <c r="H4690" s="1" t="str">
        <f t="shared" si="3"/>
        <v>Currently Unavailable</v>
      </c>
      <c r="I4690" s="1" t="str">
        <f t="shared" si="4"/>
        <v>No Badges</v>
      </c>
      <c r="J4690" s="3">
        <f t="shared" si="5"/>
        <v>0</v>
      </c>
    </row>
    <row r="4691">
      <c r="A4691" s="1" t="s">
        <v>3388</v>
      </c>
      <c r="B4691" s="3" t="str">
        <f t="shared" si="1"/>
        <v>Unavailable</v>
      </c>
      <c r="C4691" s="5">
        <v>21409.0</v>
      </c>
      <c r="D4691" s="3">
        <f>IFERROR(__xludf.DUMMYFUNCTION("IFERROR(
IF(REGEXMATCH(LOWER(O4691),""k""),
VALUE(REGEXEXTRACT(O4691,""[0-9]+""))*1000,
VALUE(REGEXEXTRACT(O4691,""[0-9]+""))
),
0
)"),0.0)</f>
        <v>0</v>
      </c>
      <c r="E4691" s="1" t="s">
        <v>11</v>
      </c>
      <c r="F4691" s="1" t="s">
        <v>20</v>
      </c>
      <c r="G4691" s="4" t="b">
        <f t="shared" si="2"/>
        <v>1</v>
      </c>
      <c r="H4691" s="1" t="str">
        <f t="shared" si="3"/>
        <v>Currently Unavailable</v>
      </c>
      <c r="I4691" s="1" t="str">
        <f t="shared" si="4"/>
        <v>No Badges</v>
      </c>
      <c r="J4691" s="3">
        <f t="shared" si="5"/>
        <v>0</v>
      </c>
    </row>
    <row r="4692">
      <c r="A4692" s="1" t="s">
        <v>3389</v>
      </c>
      <c r="B4692" s="3" t="str">
        <f t="shared" si="1"/>
        <v>Unavailable</v>
      </c>
      <c r="C4692" s="3">
        <v>465.0</v>
      </c>
      <c r="D4692" s="3">
        <f>IFERROR(__xludf.DUMMYFUNCTION("IFERROR(
IF(REGEXMATCH(LOWER(O4692),""k""),
VALUE(REGEXEXTRACT(O4692,""[0-9]+""))*1000,
VALUE(REGEXEXTRACT(O4692,""[0-9]+""))
),
0
)"),0.0)</f>
        <v>0</v>
      </c>
      <c r="E4692" s="1" t="s">
        <v>11</v>
      </c>
      <c r="F4692" s="1" t="s">
        <v>20</v>
      </c>
      <c r="G4692" s="4" t="b">
        <f t="shared" si="2"/>
        <v>1</v>
      </c>
      <c r="H4692" s="1" t="str">
        <f t="shared" si="3"/>
        <v>Currently Unavailable</v>
      </c>
      <c r="I4692" s="1" t="str">
        <f t="shared" si="4"/>
        <v>No Badges</v>
      </c>
      <c r="J4692" s="3">
        <f t="shared" si="5"/>
        <v>0</v>
      </c>
    </row>
    <row r="4693">
      <c r="A4693" s="1" t="s">
        <v>3390</v>
      </c>
      <c r="B4693" s="3" t="str">
        <f t="shared" si="1"/>
        <v>Unavailable</v>
      </c>
      <c r="C4693" s="3">
        <v>77.0</v>
      </c>
      <c r="D4693" s="3">
        <f>IFERROR(__xludf.DUMMYFUNCTION("IFERROR(
IF(REGEXMATCH(LOWER(O4693),""k""),
VALUE(REGEXEXTRACT(O4693,""[0-9]+""))*1000,
VALUE(REGEXEXTRACT(O4693,""[0-9]+""))
),
0
)"),0.0)</f>
        <v>0</v>
      </c>
      <c r="E4693" s="1" t="s">
        <v>11</v>
      </c>
      <c r="F4693" s="1" t="s">
        <v>20</v>
      </c>
      <c r="G4693" s="4" t="b">
        <f t="shared" si="2"/>
        <v>1</v>
      </c>
      <c r="H4693" s="1" t="str">
        <f t="shared" si="3"/>
        <v>Currently Unavailable</v>
      </c>
      <c r="I4693" s="1" t="str">
        <f t="shared" si="4"/>
        <v>No Badges</v>
      </c>
      <c r="J4693" s="3">
        <f t="shared" si="5"/>
        <v>0</v>
      </c>
    </row>
    <row r="4694">
      <c r="A4694" s="1" t="s">
        <v>3391</v>
      </c>
      <c r="B4694" s="3" t="str">
        <f t="shared" si="1"/>
        <v>Unavailable</v>
      </c>
      <c r="C4694" s="5">
        <v>7788.0</v>
      </c>
      <c r="D4694" s="3">
        <f>IFERROR(__xludf.DUMMYFUNCTION("IFERROR(
IF(REGEXMATCH(LOWER(O4694),""k""),
VALUE(REGEXEXTRACT(O4694,""[0-9]+""))*1000,
VALUE(REGEXEXTRACT(O4694,""[0-9]+""))
),
0
)"),0.0)</f>
        <v>0</v>
      </c>
      <c r="E4694" s="1" t="s">
        <v>11</v>
      </c>
      <c r="F4694" s="1" t="s">
        <v>20</v>
      </c>
      <c r="G4694" s="4" t="b">
        <f t="shared" si="2"/>
        <v>1</v>
      </c>
      <c r="H4694" s="1" t="str">
        <f t="shared" si="3"/>
        <v>Currently Unavailable</v>
      </c>
      <c r="I4694" s="1" t="str">
        <f t="shared" si="4"/>
        <v>No Badges</v>
      </c>
      <c r="J4694" s="3">
        <f t="shared" si="5"/>
        <v>0</v>
      </c>
    </row>
    <row r="4695">
      <c r="A4695" s="1" t="s">
        <v>3392</v>
      </c>
      <c r="B4695" s="3" t="str">
        <f t="shared" si="1"/>
        <v>Unavailable</v>
      </c>
      <c r="C4695" s="5">
        <v>3750.0</v>
      </c>
      <c r="D4695" s="3">
        <f>IFERROR(__xludf.DUMMYFUNCTION("IFERROR(
IF(REGEXMATCH(LOWER(O4695),""k""),
VALUE(REGEXEXTRACT(O4695,""[0-9]+""))*1000,
VALUE(REGEXEXTRACT(O4695,""[0-9]+""))
),
0
)"),0.0)</f>
        <v>0</v>
      </c>
      <c r="E4695" s="1" t="s">
        <v>11</v>
      </c>
      <c r="F4695" s="1" t="s">
        <v>20</v>
      </c>
      <c r="G4695" s="4" t="b">
        <f t="shared" si="2"/>
        <v>1</v>
      </c>
      <c r="H4695" s="1" t="str">
        <f t="shared" si="3"/>
        <v>Currently Unavailable</v>
      </c>
      <c r="I4695" s="1" t="str">
        <f t="shared" si="4"/>
        <v>No Badges</v>
      </c>
      <c r="J4695" s="3">
        <f t="shared" si="5"/>
        <v>0</v>
      </c>
    </row>
    <row r="4696">
      <c r="A4696" s="1" t="s">
        <v>3393</v>
      </c>
      <c r="B4696" s="3" t="str">
        <f t="shared" si="1"/>
        <v>Unavailable</v>
      </c>
      <c r="C4696" s="5">
        <v>5374.0</v>
      </c>
      <c r="D4696" s="3">
        <f>IFERROR(__xludf.DUMMYFUNCTION("IFERROR(
IF(REGEXMATCH(LOWER(O4696),""k""),
VALUE(REGEXEXTRACT(O4696,""[0-9]+""))*1000,
VALUE(REGEXEXTRACT(O4696,""[0-9]+""))
),
0
)"),0.0)</f>
        <v>0</v>
      </c>
      <c r="E4696" s="1" t="s">
        <v>11</v>
      </c>
      <c r="F4696" s="1" t="s">
        <v>20</v>
      </c>
      <c r="G4696" s="4" t="b">
        <f t="shared" si="2"/>
        <v>1</v>
      </c>
      <c r="H4696" s="1" t="str">
        <f t="shared" si="3"/>
        <v>Currently Unavailable</v>
      </c>
      <c r="I4696" s="1" t="str">
        <f t="shared" si="4"/>
        <v>No Badges</v>
      </c>
      <c r="J4696" s="3">
        <f t="shared" si="5"/>
        <v>0</v>
      </c>
    </row>
    <row r="4697">
      <c r="A4697" s="1" t="s">
        <v>3394</v>
      </c>
      <c r="B4697" s="3" t="str">
        <f t="shared" si="1"/>
        <v>Unavailable</v>
      </c>
      <c r="C4697" s="3">
        <v>447.0</v>
      </c>
      <c r="D4697" s="3">
        <f>IFERROR(__xludf.DUMMYFUNCTION("IFERROR(
IF(REGEXMATCH(LOWER(O4697),""k""),
VALUE(REGEXEXTRACT(O4697,""[0-9]+""))*1000,
VALUE(REGEXEXTRACT(O4697,""[0-9]+""))
),
0
)"),0.0)</f>
        <v>0</v>
      </c>
      <c r="E4697" s="1" t="s">
        <v>11</v>
      </c>
      <c r="F4697" s="1" t="s">
        <v>20</v>
      </c>
      <c r="G4697" s="4" t="b">
        <f t="shared" si="2"/>
        <v>1</v>
      </c>
      <c r="H4697" s="1" t="str">
        <f t="shared" si="3"/>
        <v>Currently Unavailable</v>
      </c>
      <c r="I4697" s="1" t="str">
        <f t="shared" si="4"/>
        <v>No Badges</v>
      </c>
      <c r="J4697" s="3">
        <f t="shared" si="5"/>
        <v>0</v>
      </c>
    </row>
    <row r="4698">
      <c r="A4698" s="1" t="s">
        <v>3395</v>
      </c>
      <c r="B4698" s="3" t="str">
        <f t="shared" si="1"/>
        <v>Unavailable</v>
      </c>
      <c r="C4698" s="5">
        <v>1694.0</v>
      </c>
      <c r="D4698" s="3">
        <f>IFERROR(__xludf.DUMMYFUNCTION("IFERROR(
IF(REGEXMATCH(LOWER(O4698),""k""),
VALUE(REGEXEXTRACT(O4698,""[0-9]+""))*1000,
VALUE(REGEXEXTRACT(O4698,""[0-9]+""))
),
0
)"),0.0)</f>
        <v>0</v>
      </c>
      <c r="E4698" s="1" t="s">
        <v>11</v>
      </c>
      <c r="F4698" s="1" t="s">
        <v>20</v>
      </c>
      <c r="G4698" s="4" t="b">
        <f t="shared" si="2"/>
        <v>1</v>
      </c>
      <c r="H4698" s="1" t="str">
        <f t="shared" si="3"/>
        <v>Currently Unavailable</v>
      </c>
      <c r="I4698" s="1" t="str">
        <f t="shared" si="4"/>
        <v>No Badges</v>
      </c>
      <c r="J4698" s="3">
        <f t="shared" si="5"/>
        <v>0</v>
      </c>
    </row>
    <row r="4699">
      <c r="A4699" s="1" t="s">
        <v>3396</v>
      </c>
      <c r="B4699" s="3" t="str">
        <f t="shared" si="1"/>
        <v>Unavailable</v>
      </c>
      <c r="C4699" s="5">
        <v>2576.0</v>
      </c>
      <c r="D4699" s="3">
        <f>IFERROR(__xludf.DUMMYFUNCTION("IFERROR(
IF(REGEXMATCH(LOWER(O4699),""k""),
VALUE(REGEXEXTRACT(O4699,""[0-9]+""))*1000,
VALUE(REGEXEXTRACT(O4699,""[0-9]+""))
),
0
)"),0.0)</f>
        <v>0</v>
      </c>
      <c r="E4699" s="1" t="s">
        <v>11</v>
      </c>
      <c r="F4699" s="1" t="s">
        <v>20</v>
      </c>
      <c r="G4699" s="4" t="b">
        <f t="shared" si="2"/>
        <v>1</v>
      </c>
      <c r="H4699" s="1" t="str">
        <f t="shared" si="3"/>
        <v>Currently Unavailable</v>
      </c>
      <c r="I4699" s="1" t="str">
        <f t="shared" si="4"/>
        <v>No Badges</v>
      </c>
      <c r="J4699" s="3">
        <f t="shared" si="5"/>
        <v>0</v>
      </c>
    </row>
    <row r="4700">
      <c r="A4700" s="1" t="s">
        <v>3397</v>
      </c>
      <c r="B4700" s="3" t="str">
        <f t="shared" si="1"/>
        <v>Unavailable</v>
      </c>
      <c r="C4700" s="5">
        <v>12533.0</v>
      </c>
      <c r="D4700" s="3">
        <f>IFERROR(__xludf.DUMMYFUNCTION("IFERROR(
IF(REGEXMATCH(LOWER(O4700),""k""),
VALUE(REGEXEXTRACT(O4700,""[0-9]+""))*1000,
VALUE(REGEXEXTRACT(O4700,""[0-9]+""))
),
0
)"),0.0)</f>
        <v>0</v>
      </c>
      <c r="E4700" s="1" t="s">
        <v>11</v>
      </c>
      <c r="F4700" s="1" t="s">
        <v>20</v>
      </c>
      <c r="G4700" s="4" t="b">
        <f t="shared" si="2"/>
        <v>1</v>
      </c>
      <c r="H4700" s="1" t="str">
        <f t="shared" si="3"/>
        <v>Currently Unavailable</v>
      </c>
      <c r="I4700" s="1" t="str">
        <f t="shared" si="4"/>
        <v>No Badges</v>
      </c>
      <c r="J4700" s="3">
        <f t="shared" si="5"/>
        <v>0</v>
      </c>
    </row>
    <row r="4701">
      <c r="A4701" s="1" t="s">
        <v>3398</v>
      </c>
      <c r="B4701" s="3" t="str">
        <f t="shared" si="1"/>
        <v>Unavailable</v>
      </c>
      <c r="C4701" s="5">
        <v>3407.0</v>
      </c>
      <c r="D4701" s="3">
        <f>IFERROR(__xludf.DUMMYFUNCTION("IFERROR(
IF(REGEXMATCH(LOWER(O4701),""k""),
VALUE(REGEXEXTRACT(O4701,""[0-9]+""))*1000,
VALUE(REGEXEXTRACT(O4701,""[0-9]+""))
),
0
)"),0.0)</f>
        <v>0</v>
      </c>
      <c r="E4701" s="1" t="s">
        <v>11</v>
      </c>
      <c r="F4701" s="1" t="s">
        <v>20</v>
      </c>
      <c r="G4701" s="4" t="b">
        <f t="shared" si="2"/>
        <v>1</v>
      </c>
      <c r="H4701" s="1" t="str">
        <f t="shared" si="3"/>
        <v>Currently Unavailable</v>
      </c>
      <c r="I4701" s="1" t="str">
        <f t="shared" si="4"/>
        <v>No Badges</v>
      </c>
      <c r="J4701" s="3">
        <f t="shared" si="5"/>
        <v>0</v>
      </c>
    </row>
    <row r="4702">
      <c r="A4702" s="1" t="s">
        <v>3399</v>
      </c>
      <c r="B4702" s="3" t="str">
        <f t="shared" si="1"/>
        <v>Unavailable</v>
      </c>
      <c r="C4702" s="5">
        <v>2803.0</v>
      </c>
      <c r="D4702" s="3">
        <f>IFERROR(__xludf.DUMMYFUNCTION("IFERROR(
IF(REGEXMATCH(LOWER(O4702),""k""),
VALUE(REGEXEXTRACT(O4702,""[0-9]+""))*1000,
VALUE(REGEXEXTRACT(O4702,""[0-9]+""))
),
0
)"),0.0)</f>
        <v>0</v>
      </c>
      <c r="E4702" s="1" t="s">
        <v>11</v>
      </c>
      <c r="F4702" s="1" t="s">
        <v>20</v>
      </c>
      <c r="G4702" s="4" t="b">
        <f t="shared" si="2"/>
        <v>1</v>
      </c>
      <c r="H4702" s="1" t="str">
        <f t="shared" si="3"/>
        <v>Currently Unavailable</v>
      </c>
      <c r="I4702" s="1" t="str">
        <f t="shared" si="4"/>
        <v>No Badges</v>
      </c>
      <c r="J4702" s="3">
        <f t="shared" si="5"/>
        <v>0</v>
      </c>
    </row>
    <row r="4703">
      <c r="A4703" s="1" t="s">
        <v>3400</v>
      </c>
      <c r="B4703" s="3" t="str">
        <f t="shared" si="1"/>
        <v>Unavailable</v>
      </c>
      <c r="C4703" s="3">
        <v>57.0</v>
      </c>
      <c r="D4703" s="3">
        <f>IFERROR(__xludf.DUMMYFUNCTION("IFERROR(
IF(REGEXMATCH(LOWER(O4703),""k""),
VALUE(REGEXEXTRACT(O4703,""[0-9]+""))*1000,
VALUE(REGEXEXTRACT(O4703,""[0-9]+""))
),
0
)"),0.0)</f>
        <v>0</v>
      </c>
      <c r="E4703" s="1" t="s">
        <v>11</v>
      </c>
      <c r="F4703" s="1" t="s">
        <v>20</v>
      </c>
      <c r="G4703" s="4" t="b">
        <f t="shared" si="2"/>
        <v>1</v>
      </c>
      <c r="H4703" s="1" t="str">
        <f t="shared" si="3"/>
        <v>Currently Unavailable</v>
      </c>
      <c r="I4703" s="1" t="str">
        <f t="shared" si="4"/>
        <v>No Badges</v>
      </c>
      <c r="J4703" s="3">
        <f t="shared" si="5"/>
        <v>0</v>
      </c>
    </row>
    <row r="4704">
      <c r="A4704" s="1" t="s">
        <v>3401</v>
      </c>
      <c r="B4704" s="3" t="str">
        <f t="shared" si="1"/>
        <v>Unavailable</v>
      </c>
      <c r="C4704" s="5">
        <v>12619.0</v>
      </c>
      <c r="D4704" s="3">
        <f>IFERROR(__xludf.DUMMYFUNCTION("IFERROR(
IF(REGEXMATCH(LOWER(O4704),""k""),
VALUE(REGEXEXTRACT(O4704,""[0-9]+""))*1000,
VALUE(REGEXEXTRACT(O4704,""[0-9]+""))
),
0
)"),0.0)</f>
        <v>0</v>
      </c>
      <c r="E4704" s="1" t="s">
        <v>11</v>
      </c>
      <c r="F4704" s="1" t="s">
        <v>20</v>
      </c>
      <c r="G4704" s="4" t="b">
        <f t="shared" si="2"/>
        <v>1</v>
      </c>
      <c r="H4704" s="1" t="str">
        <f t="shared" si="3"/>
        <v>Currently Unavailable</v>
      </c>
      <c r="I4704" s="1" t="str">
        <f t="shared" si="4"/>
        <v>No Badges</v>
      </c>
      <c r="J4704" s="3">
        <f t="shared" si="5"/>
        <v>0</v>
      </c>
    </row>
    <row r="4705">
      <c r="A4705" s="1" t="s">
        <v>3402</v>
      </c>
      <c r="B4705" s="3" t="str">
        <f t="shared" si="1"/>
        <v>Unavailable</v>
      </c>
      <c r="C4705" s="5">
        <v>3593.0</v>
      </c>
      <c r="D4705" s="3">
        <f>IFERROR(__xludf.DUMMYFUNCTION("IFERROR(
IF(REGEXMATCH(LOWER(O4705),""k""),
VALUE(REGEXEXTRACT(O4705,""[0-9]+""))*1000,
VALUE(REGEXEXTRACT(O4705,""[0-9]+""))
),
0
)"),0.0)</f>
        <v>0</v>
      </c>
      <c r="E4705" s="1" t="s">
        <v>11</v>
      </c>
      <c r="F4705" s="1" t="s">
        <v>20</v>
      </c>
      <c r="G4705" s="4" t="b">
        <f t="shared" si="2"/>
        <v>1</v>
      </c>
      <c r="H4705" s="1" t="str">
        <f t="shared" si="3"/>
        <v>Currently Unavailable</v>
      </c>
      <c r="I4705" s="1" t="str">
        <f t="shared" si="4"/>
        <v>No Badges</v>
      </c>
      <c r="J4705" s="3">
        <f t="shared" si="5"/>
        <v>0</v>
      </c>
    </row>
    <row r="4706">
      <c r="A4706" s="1" t="s">
        <v>3403</v>
      </c>
      <c r="B4706" s="3" t="str">
        <f t="shared" si="1"/>
        <v>Unavailable</v>
      </c>
      <c r="C4706" s="5">
        <v>1514.0</v>
      </c>
      <c r="D4706" s="3">
        <f>IFERROR(__xludf.DUMMYFUNCTION("IFERROR(
IF(REGEXMATCH(LOWER(O4706),""k""),
VALUE(REGEXEXTRACT(O4706,""[0-9]+""))*1000,
VALUE(REGEXEXTRACT(O4706,""[0-9]+""))
),
0
)"),0.0)</f>
        <v>0</v>
      </c>
      <c r="E4706" s="1" t="s">
        <v>11</v>
      </c>
      <c r="F4706" s="1" t="s">
        <v>20</v>
      </c>
      <c r="G4706" s="4" t="b">
        <f t="shared" si="2"/>
        <v>1</v>
      </c>
      <c r="H4706" s="1" t="str">
        <f t="shared" si="3"/>
        <v>Currently Unavailable</v>
      </c>
      <c r="I4706" s="1" t="str">
        <f t="shared" si="4"/>
        <v>No Badges</v>
      </c>
      <c r="J4706" s="3">
        <f t="shared" si="5"/>
        <v>0</v>
      </c>
    </row>
    <row r="4707">
      <c r="A4707" s="1" t="s">
        <v>3404</v>
      </c>
      <c r="B4707" s="3" t="str">
        <f t="shared" si="1"/>
        <v>Unavailable</v>
      </c>
      <c r="C4707" s="3">
        <v>30.0</v>
      </c>
      <c r="D4707" s="3">
        <f>IFERROR(__xludf.DUMMYFUNCTION("IFERROR(
IF(REGEXMATCH(LOWER(O4707),""k""),
VALUE(REGEXEXTRACT(O4707,""[0-9]+""))*1000,
VALUE(REGEXEXTRACT(O4707,""[0-9]+""))
),
0
)"),0.0)</f>
        <v>0</v>
      </c>
      <c r="E4707" s="1" t="s">
        <v>11</v>
      </c>
      <c r="F4707" s="1" t="s">
        <v>12</v>
      </c>
      <c r="G4707" s="4" t="b">
        <f t="shared" si="2"/>
        <v>1</v>
      </c>
      <c r="H4707" s="1" t="str">
        <f t="shared" si="3"/>
        <v>Currently Unavailable</v>
      </c>
      <c r="I4707" s="1" t="str">
        <f t="shared" si="4"/>
        <v>No Badges</v>
      </c>
      <c r="J4707" s="3">
        <f t="shared" si="5"/>
        <v>0</v>
      </c>
    </row>
    <row r="4708">
      <c r="A4708" s="1" t="s">
        <v>3405</v>
      </c>
      <c r="B4708" s="3" t="str">
        <f t="shared" si="1"/>
        <v>Unavailable</v>
      </c>
      <c r="C4708" s="3">
        <v>343.0</v>
      </c>
      <c r="D4708" s="3">
        <f>IFERROR(__xludf.DUMMYFUNCTION("IFERROR(
IF(REGEXMATCH(LOWER(O4708),""k""),
VALUE(REGEXEXTRACT(O4708,""[0-9]+""))*1000,
VALUE(REGEXEXTRACT(O4708,""[0-9]+""))
),
0
)"),0.0)</f>
        <v>0</v>
      </c>
      <c r="E4708" s="1" t="s">
        <v>11</v>
      </c>
      <c r="F4708" s="1" t="s">
        <v>20</v>
      </c>
      <c r="G4708" s="4" t="b">
        <f t="shared" si="2"/>
        <v>1</v>
      </c>
      <c r="H4708" s="1" t="str">
        <f t="shared" si="3"/>
        <v>Currently Unavailable</v>
      </c>
      <c r="I4708" s="1" t="str">
        <f t="shared" si="4"/>
        <v>No Badges</v>
      </c>
      <c r="J4708" s="3">
        <f t="shared" si="5"/>
        <v>0</v>
      </c>
    </row>
    <row r="4709">
      <c r="A4709" s="1" t="s">
        <v>3406</v>
      </c>
      <c r="B4709" s="3" t="str">
        <f t="shared" si="1"/>
        <v>Unavailable</v>
      </c>
      <c r="C4709" s="5">
        <v>9693.0</v>
      </c>
      <c r="D4709" s="3">
        <f>IFERROR(__xludf.DUMMYFUNCTION("IFERROR(
IF(REGEXMATCH(LOWER(O4709),""k""),
VALUE(REGEXEXTRACT(O4709,""[0-9]+""))*1000,
VALUE(REGEXEXTRACT(O4709,""[0-9]+""))
),
0
)"),0.0)</f>
        <v>0</v>
      </c>
      <c r="E4709" s="1" t="s">
        <v>11</v>
      </c>
      <c r="F4709" s="1" t="s">
        <v>12</v>
      </c>
      <c r="G4709" s="4" t="b">
        <f t="shared" si="2"/>
        <v>1</v>
      </c>
      <c r="H4709" s="1" t="str">
        <f t="shared" si="3"/>
        <v>Currently Unavailable</v>
      </c>
      <c r="I4709" s="1" t="str">
        <f t="shared" si="4"/>
        <v>No Badges</v>
      </c>
      <c r="J4709" s="3">
        <f t="shared" si="5"/>
        <v>0</v>
      </c>
    </row>
    <row r="4710">
      <c r="A4710" s="1" t="s">
        <v>3407</v>
      </c>
      <c r="B4710" s="3" t="str">
        <f t="shared" si="1"/>
        <v>Unavailable</v>
      </c>
      <c r="C4710" s="5">
        <v>10949.0</v>
      </c>
      <c r="D4710" s="3">
        <f>IFERROR(__xludf.DUMMYFUNCTION("IFERROR(
IF(REGEXMATCH(LOWER(O4710),""k""),
VALUE(REGEXEXTRACT(O4710,""[0-9]+""))*1000,
VALUE(REGEXEXTRACT(O4710,""[0-9]+""))
),
0
)"),0.0)</f>
        <v>0</v>
      </c>
      <c r="E4710" s="1" t="s">
        <v>11</v>
      </c>
      <c r="F4710" s="1" t="s">
        <v>20</v>
      </c>
      <c r="G4710" s="4" t="b">
        <f t="shared" si="2"/>
        <v>1</v>
      </c>
      <c r="H4710" s="1" t="str">
        <f t="shared" si="3"/>
        <v>Currently Unavailable</v>
      </c>
      <c r="I4710" s="1" t="str">
        <f t="shared" si="4"/>
        <v>No Badges</v>
      </c>
      <c r="J4710" s="3">
        <f t="shared" si="5"/>
        <v>0</v>
      </c>
    </row>
    <row r="4711">
      <c r="A4711" s="1" t="s">
        <v>3408</v>
      </c>
      <c r="B4711" s="3" t="str">
        <f t="shared" si="1"/>
        <v>Unavailable</v>
      </c>
      <c r="C4711" s="3">
        <v>814.0</v>
      </c>
      <c r="D4711" s="3">
        <f>IFERROR(__xludf.DUMMYFUNCTION("IFERROR(
IF(REGEXMATCH(LOWER(O4711),""k""),
VALUE(REGEXEXTRACT(O4711,""[0-9]+""))*1000,
VALUE(REGEXEXTRACT(O4711,""[0-9]+""))
),
0
)"),0.0)</f>
        <v>0</v>
      </c>
      <c r="E4711" s="1" t="s">
        <v>11</v>
      </c>
      <c r="F4711" s="1" t="s">
        <v>20</v>
      </c>
      <c r="G4711" s="4" t="b">
        <f t="shared" si="2"/>
        <v>1</v>
      </c>
      <c r="H4711" s="1" t="str">
        <f t="shared" si="3"/>
        <v>Currently Unavailable</v>
      </c>
      <c r="I4711" s="1" t="str">
        <f t="shared" si="4"/>
        <v>No Badges</v>
      </c>
      <c r="J4711" s="3">
        <f t="shared" si="5"/>
        <v>0</v>
      </c>
    </row>
    <row r="4712">
      <c r="A4712" s="1" t="s">
        <v>3409</v>
      </c>
      <c r="B4712" s="3" t="str">
        <f t="shared" si="1"/>
        <v>Unavailable</v>
      </c>
      <c r="C4712" s="5">
        <v>2479.0</v>
      </c>
      <c r="D4712" s="3">
        <f>IFERROR(__xludf.DUMMYFUNCTION("IFERROR(
IF(REGEXMATCH(LOWER(O4712),""k""),
VALUE(REGEXEXTRACT(O4712,""[0-9]+""))*1000,
VALUE(REGEXEXTRACT(O4712,""[0-9]+""))
),
0
)"),0.0)</f>
        <v>0</v>
      </c>
      <c r="E4712" s="1" t="s">
        <v>11</v>
      </c>
      <c r="F4712" s="1" t="s">
        <v>20</v>
      </c>
      <c r="G4712" s="4" t="b">
        <f t="shared" si="2"/>
        <v>1</v>
      </c>
      <c r="H4712" s="1" t="str">
        <f t="shared" si="3"/>
        <v>Currently Unavailable</v>
      </c>
      <c r="I4712" s="1" t="str">
        <f t="shared" si="4"/>
        <v>No Badges</v>
      </c>
      <c r="J4712" s="3">
        <f t="shared" si="5"/>
        <v>0</v>
      </c>
    </row>
    <row r="4713">
      <c r="A4713" s="1" t="s">
        <v>3410</v>
      </c>
      <c r="B4713" s="3" t="str">
        <f t="shared" si="1"/>
        <v>Unavailable</v>
      </c>
      <c r="C4713" s="5">
        <v>18099.0</v>
      </c>
      <c r="D4713" s="3">
        <f>IFERROR(__xludf.DUMMYFUNCTION("IFERROR(
IF(REGEXMATCH(LOWER(O4713),""k""),
VALUE(REGEXEXTRACT(O4713,""[0-9]+""))*1000,
VALUE(REGEXEXTRACT(O4713,""[0-9]+""))
),
0
)"),0.0)</f>
        <v>0</v>
      </c>
      <c r="E4713" s="1" t="s">
        <v>11</v>
      </c>
      <c r="F4713" s="1" t="s">
        <v>20</v>
      </c>
      <c r="G4713" s="4" t="b">
        <f t="shared" si="2"/>
        <v>1</v>
      </c>
      <c r="H4713" s="1" t="str">
        <f t="shared" si="3"/>
        <v>Currently Unavailable</v>
      </c>
      <c r="I4713" s="1" t="str">
        <f t="shared" si="4"/>
        <v>No Badges</v>
      </c>
      <c r="J4713" s="3">
        <f t="shared" si="5"/>
        <v>0</v>
      </c>
    </row>
    <row r="4714">
      <c r="A4714" s="1" t="s">
        <v>3411</v>
      </c>
      <c r="B4714" s="3" t="str">
        <f t="shared" si="1"/>
        <v>Unavailable</v>
      </c>
      <c r="C4714" s="5">
        <v>3650.0</v>
      </c>
      <c r="D4714" s="3">
        <f>IFERROR(__xludf.DUMMYFUNCTION("IFERROR(
IF(REGEXMATCH(LOWER(O4714),""k""),
VALUE(REGEXEXTRACT(O4714,""[0-9]+""))*1000,
VALUE(REGEXEXTRACT(O4714,""[0-9]+""))
),
0
)"),0.0)</f>
        <v>0</v>
      </c>
      <c r="E4714" s="1" t="s">
        <v>11</v>
      </c>
      <c r="F4714" s="1" t="s">
        <v>20</v>
      </c>
      <c r="G4714" s="4" t="b">
        <f t="shared" si="2"/>
        <v>1</v>
      </c>
      <c r="H4714" s="1" t="str">
        <f t="shared" si="3"/>
        <v>Currently Unavailable</v>
      </c>
      <c r="I4714" s="1" t="str">
        <f t="shared" si="4"/>
        <v>No Badges</v>
      </c>
      <c r="J4714" s="3">
        <f t="shared" si="5"/>
        <v>0</v>
      </c>
    </row>
    <row r="4715">
      <c r="A4715" s="1" t="s">
        <v>3412</v>
      </c>
      <c r="B4715" s="3" t="str">
        <f t="shared" si="1"/>
        <v>Unavailable</v>
      </c>
      <c r="C4715" s="5">
        <v>2759.0</v>
      </c>
      <c r="D4715" s="3">
        <f>IFERROR(__xludf.DUMMYFUNCTION("IFERROR(
IF(REGEXMATCH(LOWER(O4715),""k""),
VALUE(REGEXEXTRACT(O4715,""[0-9]+""))*1000,
VALUE(REGEXEXTRACT(O4715,""[0-9]+""))
),
0
)"),0.0)</f>
        <v>0</v>
      </c>
      <c r="E4715" s="1" t="s">
        <v>11</v>
      </c>
      <c r="F4715" s="1" t="s">
        <v>20</v>
      </c>
      <c r="G4715" s="4" t="b">
        <f t="shared" si="2"/>
        <v>1</v>
      </c>
      <c r="H4715" s="1" t="str">
        <f t="shared" si="3"/>
        <v>Currently Unavailable</v>
      </c>
      <c r="I4715" s="1" t="str">
        <f t="shared" si="4"/>
        <v>No Badges</v>
      </c>
      <c r="J4715" s="3">
        <f t="shared" si="5"/>
        <v>0</v>
      </c>
    </row>
    <row r="4716">
      <c r="A4716" s="1" t="s">
        <v>3413</v>
      </c>
      <c r="B4716" s="3" t="str">
        <f t="shared" si="1"/>
        <v>Unavailable</v>
      </c>
      <c r="C4716" s="3">
        <v>175.0</v>
      </c>
      <c r="D4716" s="3">
        <f>IFERROR(__xludf.DUMMYFUNCTION("IFERROR(
IF(REGEXMATCH(LOWER(O4716),""k""),
VALUE(REGEXEXTRACT(O4716,""[0-9]+""))*1000,
VALUE(REGEXEXTRACT(O4716,""[0-9]+""))
),
0
)"),0.0)</f>
        <v>0</v>
      </c>
      <c r="E4716" s="1" t="s">
        <v>11</v>
      </c>
      <c r="F4716" s="1" t="s">
        <v>20</v>
      </c>
      <c r="G4716" s="4" t="b">
        <f t="shared" si="2"/>
        <v>1</v>
      </c>
      <c r="H4716" s="1" t="str">
        <f t="shared" si="3"/>
        <v>Currently Unavailable</v>
      </c>
      <c r="I4716" s="1" t="str">
        <f t="shared" si="4"/>
        <v>No Badges</v>
      </c>
      <c r="J4716" s="3">
        <f t="shared" si="5"/>
        <v>0</v>
      </c>
    </row>
    <row r="4717">
      <c r="A4717" s="1" t="s">
        <v>3414</v>
      </c>
      <c r="B4717" s="3" t="str">
        <f t="shared" si="1"/>
        <v>Unavailable</v>
      </c>
      <c r="C4717" s="3">
        <v>813.0</v>
      </c>
      <c r="D4717" s="3">
        <f>IFERROR(__xludf.DUMMYFUNCTION("IFERROR(
IF(REGEXMATCH(LOWER(O4717),""k""),
VALUE(REGEXEXTRACT(O4717,""[0-9]+""))*1000,
VALUE(REGEXEXTRACT(O4717,""[0-9]+""))
),
0
)"),0.0)</f>
        <v>0</v>
      </c>
      <c r="E4717" s="1" t="s">
        <v>11</v>
      </c>
      <c r="F4717" s="1" t="s">
        <v>20</v>
      </c>
      <c r="G4717" s="4" t="b">
        <f t="shared" si="2"/>
        <v>1</v>
      </c>
      <c r="H4717" s="1" t="str">
        <f t="shared" si="3"/>
        <v>Currently Unavailable</v>
      </c>
      <c r="I4717" s="1" t="str">
        <f t="shared" si="4"/>
        <v>No Badges</v>
      </c>
      <c r="J4717" s="3">
        <f t="shared" si="5"/>
        <v>0</v>
      </c>
    </row>
    <row r="4718">
      <c r="A4718" s="1" t="s">
        <v>391</v>
      </c>
      <c r="B4718" s="3" t="str">
        <f t="shared" si="1"/>
        <v>Unavailable</v>
      </c>
      <c r="C4718" s="3">
        <v>740.0</v>
      </c>
      <c r="D4718" s="3">
        <f>IFERROR(__xludf.DUMMYFUNCTION("IFERROR(
IF(REGEXMATCH(LOWER(O4718),""k""),
VALUE(REGEXEXTRACT(O4718,""[0-9]+""))*1000,
VALUE(REGEXEXTRACT(O4718,""[0-9]+""))
),
0
)"),0.0)</f>
        <v>0</v>
      </c>
      <c r="E4718" s="1" t="s">
        <v>11</v>
      </c>
      <c r="F4718" s="1" t="s">
        <v>20</v>
      </c>
      <c r="G4718" s="4" t="b">
        <f t="shared" si="2"/>
        <v>1</v>
      </c>
      <c r="H4718" s="1" t="str">
        <f t="shared" si="3"/>
        <v>Currently Unavailable</v>
      </c>
      <c r="I4718" s="1" t="str">
        <f t="shared" si="4"/>
        <v>No Badges</v>
      </c>
      <c r="J4718" s="3">
        <f t="shared" si="5"/>
        <v>0</v>
      </c>
    </row>
    <row r="4719">
      <c r="A4719" s="1" t="s">
        <v>3415</v>
      </c>
      <c r="B4719" s="3" t="str">
        <f t="shared" si="1"/>
        <v>Unavailable</v>
      </c>
      <c r="C4719" s="5">
        <v>66767.0</v>
      </c>
      <c r="D4719" s="3">
        <f>IFERROR(__xludf.DUMMYFUNCTION("IFERROR(
IF(REGEXMATCH(LOWER(O4719),""k""),
VALUE(REGEXEXTRACT(O4719,""[0-9]+""))*1000,
VALUE(REGEXEXTRACT(O4719,""[0-9]+""))
),
0
)"),0.0)</f>
        <v>0</v>
      </c>
      <c r="E4719" s="1" t="s">
        <v>11</v>
      </c>
      <c r="F4719" s="1" t="s">
        <v>20</v>
      </c>
      <c r="G4719" s="4" t="b">
        <f t="shared" si="2"/>
        <v>1</v>
      </c>
      <c r="H4719" s="1" t="str">
        <f t="shared" si="3"/>
        <v>Currently Unavailable</v>
      </c>
      <c r="I4719" s="1" t="str">
        <f t="shared" si="4"/>
        <v>No Badges</v>
      </c>
      <c r="J4719" s="3">
        <f t="shared" si="5"/>
        <v>0</v>
      </c>
    </row>
    <row r="4720">
      <c r="A4720" s="1" t="s">
        <v>3416</v>
      </c>
      <c r="B4720" s="3" t="str">
        <f t="shared" si="1"/>
        <v>Unavailable</v>
      </c>
      <c r="C4720" s="5">
        <v>8605.0</v>
      </c>
      <c r="D4720" s="3">
        <f>IFERROR(__xludf.DUMMYFUNCTION("IFERROR(
IF(REGEXMATCH(LOWER(O4720),""k""),
VALUE(REGEXEXTRACT(O4720,""[0-9]+""))*1000,
VALUE(REGEXEXTRACT(O4720,""[0-9]+""))
),
0
)"),0.0)</f>
        <v>0</v>
      </c>
      <c r="E4720" s="1" t="s">
        <v>11</v>
      </c>
      <c r="F4720" s="1" t="s">
        <v>20</v>
      </c>
      <c r="G4720" s="4" t="b">
        <f t="shared" si="2"/>
        <v>1</v>
      </c>
      <c r="H4720" s="1" t="str">
        <f t="shared" si="3"/>
        <v>Currently Unavailable</v>
      </c>
      <c r="I4720" s="1" t="str">
        <f t="shared" si="4"/>
        <v>No Badges</v>
      </c>
      <c r="J4720" s="3">
        <f t="shared" si="5"/>
        <v>0</v>
      </c>
    </row>
    <row r="4721">
      <c r="A4721" s="1" t="s">
        <v>69</v>
      </c>
      <c r="B4721" s="3" t="str">
        <f t="shared" si="1"/>
        <v>Unavailable</v>
      </c>
      <c r="C4721" s="3">
        <v>45.0</v>
      </c>
      <c r="D4721" s="3">
        <f>IFERROR(__xludf.DUMMYFUNCTION("IFERROR(
IF(REGEXMATCH(LOWER(O4721),""k""),
VALUE(REGEXEXTRACT(O4721,""[0-9]+""))*1000,
VALUE(REGEXEXTRACT(O4721,""[0-9]+""))
),
0
)"),0.0)</f>
        <v>0</v>
      </c>
      <c r="E4721" s="1" t="s">
        <v>11</v>
      </c>
      <c r="F4721" s="1" t="s">
        <v>12</v>
      </c>
      <c r="G4721" s="4" t="b">
        <f t="shared" si="2"/>
        <v>1</v>
      </c>
      <c r="H4721" s="1" t="str">
        <f t="shared" si="3"/>
        <v>Currently Unavailable</v>
      </c>
      <c r="I4721" s="1" t="str">
        <f t="shared" si="4"/>
        <v>No Badges</v>
      </c>
      <c r="J4721" s="3">
        <f t="shared" si="5"/>
        <v>0</v>
      </c>
    </row>
    <row r="4722">
      <c r="A4722" s="1" t="s">
        <v>67</v>
      </c>
      <c r="B4722" s="3" t="str">
        <f t="shared" si="1"/>
        <v>Unavailable</v>
      </c>
      <c r="C4722" s="3">
        <v>264.0</v>
      </c>
      <c r="D4722" s="3">
        <f>IFERROR(__xludf.DUMMYFUNCTION("IFERROR(
IF(REGEXMATCH(LOWER(O4722),""k""),
VALUE(REGEXEXTRACT(O4722,""[0-9]+""))*1000,
VALUE(REGEXEXTRACT(O4722,""[0-9]+""))
),
0
)"),0.0)</f>
        <v>0</v>
      </c>
      <c r="E4722" s="1" t="s">
        <v>11</v>
      </c>
      <c r="F4722" s="1" t="s">
        <v>12</v>
      </c>
      <c r="G4722" s="4" t="b">
        <f t="shared" si="2"/>
        <v>1</v>
      </c>
      <c r="H4722" s="1" t="str">
        <f t="shared" si="3"/>
        <v>Currently Unavailable</v>
      </c>
      <c r="I4722" s="1" t="str">
        <f t="shared" si="4"/>
        <v>No Badges</v>
      </c>
      <c r="J4722" s="3">
        <f t="shared" si="5"/>
        <v>0</v>
      </c>
    </row>
    <row r="4723">
      <c r="A4723" s="1" t="s">
        <v>3417</v>
      </c>
      <c r="B4723" s="3" t="str">
        <f t="shared" si="1"/>
        <v>Unavailable</v>
      </c>
      <c r="C4723" s="5">
        <v>9410.0</v>
      </c>
      <c r="D4723" s="3">
        <f>IFERROR(__xludf.DUMMYFUNCTION("IFERROR(
IF(REGEXMATCH(LOWER(O4723),""k""),
VALUE(REGEXEXTRACT(O4723,""[0-9]+""))*1000,
VALUE(REGEXEXTRACT(O4723,""[0-9]+""))
),
0
)"),0.0)</f>
        <v>0</v>
      </c>
      <c r="E4723" s="1" t="s">
        <v>11</v>
      </c>
      <c r="F4723" s="1" t="s">
        <v>20</v>
      </c>
      <c r="G4723" s="4" t="b">
        <f t="shared" si="2"/>
        <v>1</v>
      </c>
      <c r="H4723" s="1" t="str">
        <f t="shared" si="3"/>
        <v>Currently Unavailable</v>
      </c>
      <c r="I4723" s="1" t="str">
        <f t="shared" si="4"/>
        <v>No Badges</v>
      </c>
      <c r="J4723" s="3">
        <f t="shared" si="5"/>
        <v>0</v>
      </c>
    </row>
    <row r="4724">
      <c r="A4724" s="1" t="s">
        <v>3418</v>
      </c>
      <c r="B4724" s="3" t="str">
        <f t="shared" si="1"/>
        <v>Unavailable</v>
      </c>
      <c r="C4724" s="3">
        <v>158.0</v>
      </c>
      <c r="D4724" s="3">
        <f>IFERROR(__xludf.DUMMYFUNCTION("IFERROR(
IF(REGEXMATCH(LOWER(O4724),""k""),
VALUE(REGEXEXTRACT(O4724,""[0-9]+""))*1000,
VALUE(REGEXEXTRACT(O4724,""[0-9]+""))
),
0
)"),0.0)</f>
        <v>0</v>
      </c>
      <c r="E4724" s="1" t="s">
        <v>18</v>
      </c>
      <c r="F4724" s="1" t="s">
        <v>20</v>
      </c>
      <c r="G4724" s="4" t="b">
        <f t="shared" si="2"/>
        <v>1</v>
      </c>
      <c r="H4724" s="1" t="str">
        <f t="shared" si="3"/>
        <v>Currently Unavailable</v>
      </c>
      <c r="I4724" s="1" t="str">
        <f t="shared" si="4"/>
        <v>No Badges</v>
      </c>
      <c r="J4724" s="3">
        <f t="shared" si="5"/>
        <v>0</v>
      </c>
    </row>
    <row r="4725">
      <c r="A4725" s="1" t="s">
        <v>3419</v>
      </c>
      <c r="B4725" s="3" t="str">
        <f t="shared" si="1"/>
        <v>Unavailable</v>
      </c>
      <c r="C4725" s="3">
        <v>29.0</v>
      </c>
      <c r="D4725" s="3">
        <f>IFERROR(__xludf.DUMMYFUNCTION("IFERROR(
IF(REGEXMATCH(LOWER(O4725),""k""),
VALUE(REGEXEXTRACT(O4725,""[0-9]+""))*1000,
VALUE(REGEXEXTRACT(O4725,""[0-9]+""))
),
0
)"),0.0)</f>
        <v>0</v>
      </c>
      <c r="E4725" s="1" t="s">
        <v>11</v>
      </c>
      <c r="F4725" s="1" t="s">
        <v>20</v>
      </c>
      <c r="G4725" s="4" t="b">
        <f t="shared" si="2"/>
        <v>1</v>
      </c>
      <c r="H4725" s="1" t="str">
        <f t="shared" si="3"/>
        <v>Currently Unavailable</v>
      </c>
      <c r="I4725" s="1" t="str">
        <f t="shared" si="4"/>
        <v>No Badges</v>
      </c>
      <c r="J4725" s="3">
        <f t="shared" si="5"/>
        <v>0</v>
      </c>
    </row>
    <row r="4726">
      <c r="A4726" s="1" t="s">
        <v>3420</v>
      </c>
      <c r="B4726" s="3" t="str">
        <f t="shared" si="1"/>
        <v>Unavailable</v>
      </c>
      <c r="C4726" s="5">
        <v>10911.0</v>
      </c>
      <c r="D4726" s="3">
        <f>IFERROR(__xludf.DUMMYFUNCTION("IFERROR(
IF(REGEXMATCH(LOWER(O4726),""k""),
VALUE(REGEXEXTRACT(O4726,""[0-9]+""))*1000,
VALUE(REGEXEXTRACT(O4726,""[0-9]+""))
),
0
)"),0.0)</f>
        <v>0</v>
      </c>
      <c r="E4726" s="1" t="s">
        <v>11</v>
      </c>
      <c r="F4726" s="1" t="s">
        <v>20</v>
      </c>
      <c r="G4726" s="4" t="b">
        <f t="shared" si="2"/>
        <v>1</v>
      </c>
      <c r="H4726" s="1" t="str">
        <f t="shared" si="3"/>
        <v>Currently Unavailable</v>
      </c>
      <c r="I4726" s="1" t="str">
        <f t="shared" si="4"/>
        <v>No Badges</v>
      </c>
      <c r="J4726" s="3">
        <f t="shared" si="5"/>
        <v>0</v>
      </c>
    </row>
    <row r="4727">
      <c r="A4727" s="1" t="s">
        <v>3421</v>
      </c>
      <c r="B4727" s="3" t="str">
        <f t="shared" si="1"/>
        <v>Unavailable</v>
      </c>
      <c r="C4727" s="3">
        <v>125.0</v>
      </c>
      <c r="D4727" s="3">
        <f>IFERROR(__xludf.DUMMYFUNCTION("IFERROR(
IF(REGEXMATCH(LOWER(O4727),""k""),
VALUE(REGEXEXTRACT(O4727,""[0-9]+""))*1000,
VALUE(REGEXEXTRACT(O4727,""[0-9]+""))
),
0
)"),0.0)</f>
        <v>0</v>
      </c>
      <c r="E4727" s="1" t="s">
        <v>11</v>
      </c>
      <c r="F4727" s="1" t="s">
        <v>20</v>
      </c>
      <c r="G4727" s="4" t="b">
        <f t="shared" si="2"/>
        <v>1</v>
      </c>
      <c r="H4727" s="1" t="str">
        <f t="shared" si="3"/>
        <v>Currently Unavailable</v>
      </c>
      <c r="I4727" s="1" t="str">
        <f t="shared" si="4"/>
        <v>No Badges</v>
      </c>
      <c r="J4727" s="3">
        <f t="shared" si="5"/>
        <v>0</v>
      </c>
    </row>
    <row r="4728">
      <c r="A4728" s="1" t="s">
        <v>3422</v>
      </c>
      <c r="B4728" s="3" t="str">
        <f t="shared" si="1"/>
        <v>Unavailable</v>
      </c>
      <c r="C4728" s="3">
        <v>816.0</v>
      </c>
      <c r="D4728" s="3">
        <f>IFERROR(__xludf.DUMMYFUNCTION("IFERROR(
IF(REGEXMATCH(LOWER(O4728),""k""),
VALUE(REGEXEXTRACT(O4728,""[0-9]+""))*1000,
VALUE(REGEXEXTRACT(O4728,""[0-9]+""))
),
0
)"),0.0)</f>
        <v>0</v>
      </c>
      <c r="E4728" s="1" t="s">
        <v>11</v>
      </c>
      <c r="F4728" s="1" t="s">
        <v>20</v>
      </c>
      <c r="G4728" s="4" t="b">
        <f t="shared" si="2"/>
        <v>1</v>
      </c>
      <c r="H4728" s="1" t="str">
        <f t="shared" si="3"/>
        <v>Currently Unavailable</v>
      </c>
      <c r="I4728" s="1" t="str">
        <f t="shared" si="4"/>
        <v>No Badges</v>
      </c>
      <c r="J4728" s="3">
        <f t="shared" si="5"/>
        <v>0</v>
      </c>
    </row>
    <row r="4729">
      <c r="A4729" s="1" t="s">
        <v>3423</v>
      </c>
      <c r="B4729" s="3" t="str">
        <f t="shared" si="1"/>
        <v>Unavailable</v>
      </c>
      <c r="C4729" s="3">
        <v>31.0</v>
      </c>
      <c r="D4729" s="3">
        <f>IFERROR(__xludf.DUMMYFUNCTION("IFERROR(
IF(REGEXMATCH(LOWER(O4729),""k""),
VALUE(REGEXEXTRACT(O4729,""[0-9]+""))*1000,
VALUE(REGEXEXTRACT(O4729,""[0-9]+""))
),
0
)"),0.0)</f>
        <v>0</v>
      </c>
      <c r="E4729" s="1" t="s">
        <v>11</v>
      </c>
      <c r="F4729" s="1" t="s">
        <v>20</v>
      </c>
      <c r="G4729" s="4" t="b">
        <f t="shared" si="2"/>
        <v>1</v>
      </c>
      <c r="H4729" s="1" t="str">
        <f t="shared" si="3"/>
        <v>Currently Unavailable</v>
      </c>
      <c r="I4729" s="1" t="str">
        <f t="shared" si="4"/>
        <v>No Badges</v>
      </c>
      <c r="J4729" s="3">
        <f t="shared" si="5"/>
        <v>0</v>
      </c>
    </row>
    <row r="4730">
      <c r="A4730" s="1" t="s">
        <v>3424</v>
      </c>
      <c r="B4730" s="3" t="str">
        <f t="shared" si="1"/>
        <v>Unavailable</v>
      </c>
      <c r="C4730" s="5">
        <v>11282.0</v>
      </c>
      <c r="D4730" s="3">
        <f>IFERROR(__xludf.DUMMYFUNCTION("IFERROR(
IF(REGEXMATCH(LOWER(O4730),""k""),
VALUE(REGEXEXTRACT(O4730,""[0-9]+""))*1000,
VALUE(REGEXEXTRACT(O4730,""[0-9]+""))
),
0
)"),0.0)</f>
        <v>0</v>
      </c>
      <c r="E4730" s="1" t="s">
        <v>158</v>
      </c>
      <c r="F4730" s="1" t="s">
        <v>20</v>
      </c>
      <c r="G4730" s="4" t="b">
        <f t="shared" si="2"/>
        <v>1</v>
      </c>
      <c r="H4730" s="1" t="str">
        <f t="shared" si="3"/>
        <v>Currently Unavailable</v>
      </c>
      <c r="I4730" s="1" t="str">
        <f t="shared" si="4"/>
        <v>No Badges</v>
      </c>
      <c r="J4730" s="3">
        <f t="shared" si="5"/>
        <v>0</v>
      </c>
    </row>
    <row r="4731">
      <c r="A4731" s="1" t="s">
        <v>3425</v>
      </c>
      <c r="B4731" s="3" t="str">
        <f t="shared" si="1"/>
        <v>Unavailable</v>
      </c>
      <c r="C4731" s="3">
        <v>141.0</v>
      </c>
      <c r="D4731" s="3">
        <f>IFERROR(__xludf.DUMMYFUNCTION("IFERROR(
IF(REGEXMATCH(LOWER(O4731),""k""),
VALUE(REGEXEXTRACT(O4731,""[0-9]+""))*1000,
VALUE(REGEXEXTRACT(O4731,""[0-9]+""))
),
0
)"),0.0)</f>
        <v>0</v>
      </c>
      <c r="E4731" s="1" t="s">
        <v>11</v>
      </c>
      <c r="F4731" s="1" t="s">
        <v>20</v>
      </c>
      <c r="G4731" s="4" t="b">
        <f t="shared" si="2"/>
        <v>1</v>
      </c>
      <c r="H4731" s="1" t="str">
        <f t="shared" si="3"/>
        <v>Currently Unavailable</v>
      </c>
      <c r="I4731" s="1" t="str">
        <f t="shared" si="4"/>
        <v>No Badges</v>
      </c>
      <c r="J4731" s="3">
        <f t="shared" si="5"/>
        <v>0</v>
      </c>
    </row>
    <row r="4732">
      <c r="A4732" s="1" t="s">
        <v>3426</v>
      </c>
      <c r="B4732" s="3" t="str">
        <f t="shared" si="1"/>
        <v>Unavailable</v>
      </c>
      <c r="C4732" s="5">
        <v>1560.0</v>
      </c>
      <c r="D4732" s="3">
        <f>IFERROR(__xludf.DUMMYFUNCTION("IFERROR(
IF(REGEXMATCH(LOWER(O4732),""k""),
VALUE(REGEXEXTRACT(O4732,""[0-9]+""))*1000,
VALUE(REGEXEXTRACT(O4732,""[0-9]+""))
),
0
)"),0.0)</f>
        <v>0</v>
      </c>
      <c r="E4732" s="1" t="s">
        <v>11</v>
      </c>
      <c r="F4732" s="1" t="s">
        <v>20</v>
      </c>
      <c r="G4732" s="4" t="b">
        <f t="shared" si="2"/>
        <v>1</v>
      </c>
      <c r="H4732" s="1" t="str">
        <f t="shared" si="3"/>
        <v>Currently Unavailable</v>
      </c>
      <c r="I4732" s="1" t="str">
        <f t="shared" si="4"/>
        <v>No Badges</v>
      </c>
      <c r="J4732" s="3">
        <f t="shared" si="5"/>
        <v>0</v>
      </c>
    </row>
    <row r="4733">
      <c r="A4733" s="1" t="s">
        <v>3427</v>
      </c>
      <c r="B4733" s="3" t="str">
        <f t="shared" si="1"/>
        <v>Unavailable</v>
      </c>
      <c r="C4733" s="5">
        <v>1816.0</v>
      </c>
      <c r="D4733" s="3">
        <f>IFERROR(__xludf.DUMMYFUNCTION("IFERROR(
IF(REGEXMATCH(LOWER(O4733),""k""),
VALUE(REGEXEXTRACT(O4733,""[0-9]+""))*1000,
VALUE(REGEXEXTRACT(O4733,""[0-9]+""))
),
0
)"),0.0)</f>
        <v>0</v>
      </c>
      <c r="E4733" s="1" t="s">
        <v>11</v>
      </c>
      <c r="F4733" s="1" t="s">
        <v>20</v>
      </c>
      <c r="G4733" s="4" t="b">
        <f t="shared" si="2"/>
        <v>1</v>
      </c>
      <c r="H4733" s="1" t="str">
        <f t="shared" si="3"/>
        <v>Currently Unavailable</v>
      </c>
      <c r="I4733" s="1" t="str">
        <f t="shared" si="4"/>
        <v>No Badges</v>
      </c>
      <c r="J4733" s="3">
        <f t="shared" si="5"/>
        <v>0</v>
      </c>
    </row>
    <row r="4734">
      <c r="A4734" s="1" t="s">
        <v>3428</v>
      </c>
      <c r="B4734" s="3" t="str">
        <f t="shared" si="1"/>
        <v>Unavailable</v>
      </c>
      <c r="C4734" s="5">
        <v>19782.0</v>
      </c>
      <c r="D4734" s="3">
        <f>IFERROR(__xludf.DUMMYFUNCTION("IFERROR(
IF(REGEXMATCH(LOWER(O4734),""k""),
VALUE(REGEXEXTRACT(O4734,""[0-9]+""))*1000,
VALUE(REGEXEXTRACT(O4734,""[0-9]+""))
),
0
)"),0.0)</f>
        <v>0</v>
      </c>
      <c r="E4734" s="1" t="s">
        <v>11</v>
      </c>
      <c r="F4734" s="1" t="s">
        <v>20</v>
      </c>
      <c r="G4734" s="4" t="b">
        <f t="shared" si="2"/>
        <v>1</v>
      </c>
      <c r="H4734" s="1" t="str">
        <f t="shared" si="3"/>
        <v>Currently Unavailable</v>
      </c>
      <c r="I4734" s="1" t="str">
        <f t="shared" si="4"/>
        <v>No Badges</v>
      </c>
      <c r="J4734" s="3">
        <f t="shared" si="5"/>
        <v>0</v>
      </c>
    </row>
    <row r="4735">
      <c r="A4735" s="1" t="s">
        <v>3429</v>
      </c>
      <c r="B4735" s="3" t="str">
        <f t="shared" si="1"/>
        <v>Unavailable</v>
      </c>
      <c r="C4735" s="3">
        <v>3.0</v>
      </c>
      <c r="D4735" s="3">
        <f>IFERROR(__xludf.DUMMYFUNCTION("IFERROR(
IF(REGEXMATCH(LOWER(O4735),""k""),
VALUE(REGEXEXTRACT(O4735,""[0-9]+""))*1000,
VALUE(REGEXEXTRACT(O4735,""[0-9]+""))
),
0
)"),0.0)</f>
        <v>0</v>
      </c>
      <c r="E4735" s="1" t="s">
        <v>11</v>
      </c>
      <c r="F4735" s="1" t="s">
        <v>20</v>
      </c>
      <c r="G4735" s="4" t="b">
        <f t="shared" si="2"/>
        <v>1</v>
      </c>
      <c r="H4735" s="1" t="str">
        <f t="shared" si="3"/>
        <v>Currently Unavailable</v>
      </c>
      <c r="I4735" s="1" t="str">
        <f t="shared" si="4"/>
        <v>No Badges</v>
      </c>
      <c r="J4735" s="3">
        <f t="shared" si="5"/>
        <v>0</v>
      </c>
    </row>
    <row r="4736">
      <c r="A4736" s="1" t="s">
        <v>701</v>
      </c>
      <c r="B4736" s="3" t="str">
        <f t="shared" si="1"/>
        <v>Unavailable</v>
      </c>
      <c r="C4736" s="3">
        <v>8.0</v>
      </c>
      <c r="D4736" s="3">
        <f>IFERROR(__xludf.DUMMYFUNCTION("IFERROR(
IF(REGEXMATCH(LOWER(O4736),""k""),
VALUE(REGEXEXTRACT(O4736,""[0-9]+""))*1000,
VALUE(REGEXEXTRACT(O4736,""[0-9]+""))
),
0
)"),0.0)</f>
        <v>0</v>
      </c>
      <c r="E4736" s="1" t="s">
        <v>11</v>
      </c>
      <c r="F4736" s="1" t="s">
        <v>12</v>
      </c>
      <c r="G4736" s="4" t="b">
        <f t="shared" si="2"/>
        <v>1</v>
      </c>
      <c r="H4736" s="1" t="str">
        <f t="shared" si="3"/>
        <v>Currently Unavailable</v>
      </c>
      <c r="I4736" s="1" t="str">
        <f t="shared" si="4"/>
        <v>No Badges</v>
      </c>
      <c r="J4736" s="3">
        <f t="shared" si="5"/>
        <v>0</v>
      </c>
    </row>
    <row r="4737">
      <c r="A4737" s="1" t="s">
        <v>3430</v>
      </c>
      <c r="B4737" s="3" t="str">
        <f t="shared" si="1"/>
        <v>Unavailable</v>
      </c>
      <c r="C4737" s="5">
        <v>23574.0</v>
      </c>
      <c r="D4737" s="3">
        <f>IFERROR(__xludf.DUMMYFUNCTION("IFERROR(
IF(REGEXMATCH(LOWER(O4737),""k""),
VALUE(REGEXEXTRACT(O4737,""[0-9]+""))*1000,
VALUE(REGEXEXTRACT(O4737,""[0-9]+""))
),
0
)"),0.0)</f>
        <v>0</v>
      </c>
      <c r="E4737" s="1" t="s">
        <v>11</v>
      </c>
      <c r="F4737" s="1" t="s">
        <v>20</v>
      </c>
      <c r="G4737" s="4" t="b">
        <f t="shared" si="2"/>
        <v>1</v>
      </c>
      <c r="H4737" s="1" t="str">
        <f t="shared" si="3"/>
        <v>Currently Unavailable</v>
      </c>
      <c r="I4737" s="1" t="str">
        <f t="shared" si="4"/>
        <v>No Badges</v>
      </c>
      <c r="J4737" s="3">
        <f t="shared" si="5"/>
        <v>0</v>
      </c>
    </row>
    <row r="4738">
      <c r="A4738" s="1" t="s">
        <v>3431</v>
      </c>
      <c r="B4738" s="3" t="str">
        <f t="shared" si="1"/>
        <v>Unavailable</v>
      </c>
      <c r="C4738" s="3">
        <v>550.0</v>
      </c>
      <c r="D4738" s="3">
        <f>IFERROR(__xludf.DUMMYFUNCTION("IFERROR(
IF(REGEXMATCH(LOWER(O4738),""k""),
VALUE(REGEXEXTRACT(O4738,""[0-9]+""))*1000,
VALUE(REGEXEXTRACT(O4738,""[0-9]+""))
),
0
)"),0.0)</f>
        <v>0</v>
      </c>
      <c r="E4738" s="1" t="s">
        <v>11</v>
      </c>
      <c r="F4738" s="1" t="s">
        <v>12</v>
      </c>
      <c r="G4738" s="4" t="b">
        <f t="shared" si="2"/>
        <v>1</v>
      </c>
      <c r="H4738" s="1" t="str">
        <f t="shared" si="3"/>
        <v>Currently Unavailable</v>
      </c>
      <c r="I4738" s="1" t="str">
        <f t="shared" si="4"/>
        <v>No Badges</v>
      </c>
      <c r="J4738" s="3">
        <f t="shared" si="5"/>
        <v>0</v>
      </c>
    </row>
    <row r="4739">
      <c r="A4739" s="1" t="s">
        <v>3432</v>
      </c>
      <c r="B4739" s="3" t="str">
        <f t="shared" si="1"/>
        <v>Unavailable</v>
      </c>
      <c r="C4739" s="5">
        <v>5648.0</v>
      </c>
      <c r="D4739" s="3">
        <f>IFERROR(__xludf.DUMMYFUNCTION("IFERROR(
IF(REGEXMATCH(LOWER(O4739),""k""),
VALUE(REGEXEXTRACT(O4739,""[0-9]+""))*1000,
VALUE(REGEXEXTRACT(O4739,""[0-9]+""))
),
0
)"),0.0)</f>
        <v>0</v>
      </c>
      <c r="E4739" s="1" t="s">
        <v>11</v>
      </c>
      <c r="F4739" s="1" t="s">
        <v>20</v>
      </c>
      <c r="G4739" s="4" t="b">
        <f t="shared" si="2"/>
        <v>1</v>
      </c>
      <c r="H4739" s="1" t="str">
        <f t="shared" si="3"/>
        <v>Currently Unavailable</v>
      </c>
      <c r="I4739" s="1" t="str">
        <f t="shared" si="4"/>
        <v>No Badges</v>
      </c>
      <c r="J4739" s="3">
        <f t="shared" si="5"/>
        <v>0</v>
      </c>
    </row>
    <row r="4740">
      <c r="A4740" s="1" t="s">
        <v>3433</v>
      </c>
      <c r="B4740" s="3" t="str">
        <f t="shared" si="1"/>
        <v>Unavailable</v>
      </c>
      <c r="C4740" s="5">
        <v>10667.0</v>
      </c>
      <c r="D4740" s="3">
        <f>IFERROR(__xludf.DUMMYFUNCTION("IFERROR(
IF(REGEXMATCH(LOWER(O4740),""k""),
VALUE(REGEXEXTRACT(O4740,""[0-9]+""))*1000,
VALUE(REGEXEXTRACT(O4740,""[0-9]+""))
),
0
)"),0.0)</f>
        <v>0</v>
      </c>
      <c r="E4740" s="1" t="s">
        <v>158</v>
      </c>
      <c r="F4740" s="1" t="s">
        <v>20</v>
      </c>
      <c r="G4740" s="4" t="b">
        <f t="shared" si="2"/>
        <v>1</v>
      </c>
      <c r="H4740" s="1" t="str">
        <f t="shared" si="3"/>
        <v>Currently Unavailable</v>
      </c>
      <c r="I4740" s="1" t="str">
        <f t="shared" si="4"/>
        <v>No Badges</v>
      </c>
      <c r="J4740" s="3">
        <f t="shared" si="5"/>
        <v>0</v>
      </c>
    </row>
    <row r="4741">
      <c r="A4741" s="1" t="s">
        <v>3434</v>
      </c>
      <c r="B4741" s="3" t="str">
        <f t="shared" si="1"/>
        <v>Unavailable</v>
      </c>
      <c r="C4741" s="5">
        <v>15204.0</v>
      </c>
      <c r="D4741" s="3">
        <f>IFERROR(__xludf.DUMMYFUNCTION("IFERROR(
IF(REGEXMATCH(LOWER(O4741),""k""),
VALUE(REGEXEXTRACT(O4741,""[0-9]+""))*1000,
VALUE(REGEXEXTRACT(O4741,""[0-9]+""))
),
0
)"),0.0)</f>
        <v>0</v>
      </c>
      <c r="E4741" s="1" t="s">
        <v>18</v>
      </c>
      <c r="F4741" s="1" t="s">
        <v>20</v>
      </c>
      <c r="G4741" s="4" t="b">
        <f t="shared" si="2"/>
        <v>1</v>
      </c>
      <c r="H4741" s="1" t="str">
        <f t="shared" si="3"/>
        <v>Currently Unavailable</v>
      </c>
      <c r="I4741" s="1" t="str">
        <f t="shared" si="4"/>
        <v>No Badges</v>
      </c>
      <c r="J4741" s="3">
        <f t="shared" si="5"/>
        <v>0</v>
      </c>
    </row>
    <row r="4742">
      <c r="A4742" s="1" t="s">
        <v>3435</v>
      </c>
      <c r="B4742" s="3" t="str">
        <f t="shared" si="1"/>
        <v>Unavailable</v>
      </c>
      <c r="C4742" s="3">
        <v>387.0</v>
      </c>
      <c r="D4742" s="3">
        <f>IFERROR(__xludf.DUMMYFUNCTION("IFERROR(
IF(REGEXMATCH(LOWER(O4742),""k""),
VALUE(REGEXEXTRACT(O4742,""[0-9]+""))*1000,
VALUE(REGEXEXTRACT(O4742,""[0-9]+""))
),
0
)"),0.0)</f>
        <v>0</v>
      </c>
      <c r="E4742" s="1" t="s">
        <v>11</v>
      </c>
      <c r="F4742" s="1" t="s">
        <v>20</v>
      </c>
      <c r="G4742" s="4" t="b">
        <f t="shared" si="2"/>
        <v>1</v>
      </c>
      <c r="H4742" s="1" t="str">
        <f t="shared" si="3"/>
        <v>Currently Unavailable</v>
      </c>
      <c r="I4742" s="1" t="str">
        <f t="shared" si="4"/>
        <v>No Badges</v>
      </c>
      <c r="J4742" s="3">
        <f t="shared" si="5"/>
        <v>0</v>
      </c>
    </row>
    <row r="4743">
      <c r="A4743" s="1" t="s">
        <v>3436</v>
      </c>
      <c r="B4743" s="3" t="str">
        <f t="shared" si="1"/>
        <v>Unavailable</v>
      </c>
      <c r="C4743" s="5">
        <v>4968.0</v>
      </c>
      <c r="D4743" s="3">
        <f>IFERROR(__xludf.DUMMYFUNCTION("IFERROR(
IF(REGEXMATCH(LOWER(O4743),""k""),
VALUE(REGEXEXTRACT(O4743,""[0-9]+""))*1000,
VALUE(REGEXEXTRACT(O4743,""[0-9]+""))
),
0
)"),0.0)</f>
        <v>0</v>
      </c>
      <c r="E4743" s="1" t="s">
        <v>11</v>
      </c>
      <c r="F4743" s="1" t="s">
        <v>20</v>
      </c>
      <c r="G4743" s="4" t="b">
        <f t="shared" si="2"/>
        <v>1</v>
      </c>
      <c r="H4743" s="1" t="str">
        <f t="shared" si="3"/>
        <v>Currently Unavailable</v>
      </c>
      <c r="I4743" s="1" t="str">
        <f t="shared" si="4"/>
        <v>No Badges</v>
      </c>
      <c r="J4743" s="3">
        <f t="shared" si="5"/>
        <v>0</v>
      </c>
    </row>
    <row r="4744">
      <c r="A4744" s="1" t="s">
        <v>3437</v>
      </c>
      <c r="B4744" s="3" t="str">
        <f t="shared" si="1"/>
        <v>Unavailable</v>
      </c>
      <c r="C4744" s="5">
        <v>18739.0</v>
      </c>
      <c r="D4744" s="3">
        <f>IFERROR(__xludf.DUMMYFUNCTION("IFERROR(
IF(REGEXMATCH(LOWER(O4744),""k""),
VALUE(REGEXEXTRACT(O4744,""[0-9]+""))*1000,
VALUE(REGEXEXTRACT(O4744,""[0-9]+""))
),
0
)"),0.0)</f>
        <v>0</v>
      </c>
      <c r="E4744" s="1" t="s">
        <v>11</v>
      </c>
      <c r="F4744" s="1" t="s">
        <v>20</v>
      </c>
      <c r="G4744" s="4" t="b">
        <f t="shared" si="2"/>
        <v>1</v>
      </c>
      <c r="H4744" s="1" t="str">
        <f t="shared" si="3"/>
        <v>Currently Unavailable</v>
      </c>
      <c r="I4744" s="1" t="str">
        <f t="shared" si="4"/>
        <v>No Badges</v>
      </c>
      <c r="J4744" s="3">
        <f t="shared" si="5"/>
        <v>0</v>
      </c>
    </row>
    <row r="4745">
      <c r="A4745" s="1" t="s">
        <v>3438</v>
      </c>
      <c r="B4745" s="3" t="str">
        <f t="shared" si="1"/>
        <v>Unavailable</v>
      </c>
      <c r="C4745" s="5">
        <v>1282.0</v>
      </c>
      <c r="D4745" s="3">
        <f>IFERROR(__xludf.DUMMYFUNCTION("IFERROR(
IF(REGEXMATCH(LOWER(O4745),""k""),
VALUE(REGEXEXTRACT(O4745,""[0-9]+""))*1000,
VALUE(REGEXEXTRACT(O4745,""[0-9]+""))
),
0
)"),0.0)</f>
        <v>0</v>
      </c>
      <c r="E4745" s="1" t="s">
        <v>11</v>
      </c>
      <c r="F4745" s="1" t="s">
        <v>20</v>
      </c>
      <c r="G4745" s="4" t="b">
        <f t="shared" si="2"/>
        <v>1</v>
      </c>
      <c r="H4745" s="1" t="str">
        <f t="shared" si="3"/>
        <v>Currently Unavailable</v>
      </c>
      <c r="I4745" s="1" t="str">
        <f t="shared" si="4"/>
        <v>No Badges</v>
      </c>
      <c r="J4745" s="3">
        <f t="shared" si="5"/>
        <v>0</v>
      </c>
    </row>
    <row r="4746">
      <c r="A4746" s="1" t="s">
        <v>3439</v>
      </c>
      <c r="B4746" s="3" t="str">
        <f t="shared" si="1"/>
        <v>Unavailable</v>
      </c>
      <c r="C4746" s="5">
        <v>2298.0</v>
      </c>
      <c r="D4746" s="3">
        <f>IFERROR(__xludf.DUMMYFUNCTION("IFERROR(
IF(REGEXMATCH(LOWER(O4746),""k""),
VALUE(REGEXEXTRACT(O4746,""[0-9]+""))*1000,
VALUE(REGEXEXTRACT(O4746,""[0-9]+""))
),
0
)"),0.0)</f>
        <v>0</v>
      </c>
      <c r="E4746" s="1" t="s">
        <v>11</v>
      </c>
      <c r="F4746" s="1" t="s">
        <v>20</v>
      </c>
      <c r="G4746" s="4" t="b">
        <f t="shared" si="2"/>
        <v>1</v>
      </c>
      <c r="H4746" s="1" t="str">
        <f t="shared" si="3"/>
        <v>Currently Unavailable</v>
      </c>
      <c r="I4746" s="1" t="str">
        <f t="shared" si="4"/>
        <v>No Badges</v>
      </c>
      <c r="J4746" s="3">
        <f t="shared" si="5"/>
        <v>0</v>
      </c>
    </row>
    <row r="4747">
      <c r="A4747" s="1" t="s">
        <v>3440</v>
      </c>
      <c r="B4747" s="3" t="str">
        <f t="shared" si="1"/>
        <v>Unavailable</v>
      </c>
      <c r="C4747" s="3">
        <v>208.0</v>
      </c>
      <c r="D4747" s="3">
        <f>IFERROR(__xludf.DUMMYFUNCTION("IFERROR(
IF(REGEXMATCH(LOWER(O4747),""k""),
VALUE(REGEXEXTRACT(O4747,""[0-9]+""))*1000,
VALUE(REGEXEXTRACT(O4747,""[0-9]+""))
),
0
)"),0.0)</f>
        <v>0</v>
      </c>
      <c r="E4747" s="1" t="s">
        <v>11</v>
      </c>
      <c r="F4747" s="1" t="s">
        <v>20</v>
      </c>
      <c r="G4747" s="4" t="b">
        <f t="shared" si="2"/>
        <v>1</v>
      </c>
      <c r="H4747" s="1" t="str">
        <f t="shared" si="3"/>
        <v>Currently Unavailable</v>
      </c>
      <c r="I4747" s="1" t="str">
        <f t="shared" si="4"/>
        <v>No Badges</v>
      </c>
      <c r="J4747" s="3">
        <f t="shared" si="5"/>
        <v>0</v>
      </c>
    </row>
    <row r="4748">
      <c r="A4748" s="1" t="s">
        <v>3441</v>
      </c>
      <c r="B4748" s="3" t="str">
        <f t="shared" si="1"/>
        <v>Unavailable</v>
      </c>
      <c r="C4748" s="5">
        <v>1375.0</v>
      </c>
      <c r="D4748" s="3">
        <f>IFERROR(__xludf.DUMMYFUNCTION("IFERROR(
IF(REGEXMATCH(LOWER(O4748),""k""),
VALUE(REGEXEXTRACT(O4748,""[0-9]+""))*1000,
VALUE(REGEXEXTRACT(O4748,""[0-9]+""))
),
0
)"),0.0)</f>
        <v>0</v>
      </c>
      <c r="E4748" s="1" t="s">
        <v>11</v>
      </c>
      <c r="F4748" s="1" t="s">
        <v>20</v>
      </c>
      <c r="G4748" s="4" t="b">
        <f t="shared" si="2"/>
        <v>1</v>
      </c>
      <c r="H4748" s="1" t="str">
        <f t="shared" si="3"/>
        <v>Currently Unavailable</v>
      </c>
      <c r="I4748" s="1" t="str">
        <f t="shared" si="4"/>
        <v>No Badges</v>
      </c>
      <c r="J4748" s="3">
        <f t="shared" si="5"/>
        <v>0</v>
      </c>
    </row>
    <row r="4749">
      <c r="A4749" s="1" t="s">
        <v>3442</v>
      </c>
      <c r="B4749" s="3" t="str">
        <f t="shared" si="1"/>
        <v>Unavailable</v>
      </c>
      <c r="C4749" s="5">
        <v>17945.0</v>
      </c>
      <c r="D4749" s="3">
        <f>IFERROR(__xludf.DUMMYFUNCTION("IFERROR(
IF(REGEXMATCH(LOWER(O4749),""k""),
VALUE(REGEXEXTRACT(O4749,""[0-9]+""))*1000,
VALUE(REGEXEXTRACT(O4749,""[0-9]+""))
),
0
)"),0.0)</f>
        <v>0</v>
      </c>
      <c r="E4749" s="1" t="s">
        <v>158</v>
      </c>
      <c r="F4749" s="1" t="s">
        <v>20</v>
      </c>
      <c r="G4749" s="4" t="b">
        <f t="shared" si="2"/>
        <v>1</v>
      </c>
      <c r="H4749" s="1" t="str">
        <f t="shared" si="3"/>
        <v>Currently Unavailable</v>
      </c>
      <c r="I4749" s="1" t="str">
        <f t="shared" si="4"/>
        <v>No Badges</v>
      </c>
      <c r="J4749" s="3">
        <f t="shared" si="5"/>
        <v>0</v>
      </c>
    </row>
    <row r="4750">
      <c r="A4750" s="1" t="s">
        <v>3443</v>
      </c>
      <c r="B4750" s="3" t="str">
        <f t="shared" si="1"/>
        <v>Unavailable</v>
      </c>
      <c r="C4750" s="3">
        <v>791.0</v>
      </c>
      <c r="D4750" s="3">
        <f>IFERROR(__xludf.DUMMYFUNCTION("IFERROR(
IF(REGEXMATCH(LOWER(O4750),""k""),
VALUE(REGEXEXTRACT(O4750,""[0-9]+""))*1000,
VALUE(REGEXEXTRACT(O4750,""[0-9]+""))
),
0
)"),0.0)</f>
        <v>0</v>
      </c>
      <c r="E4750" s="1" t="s">
        <v>11</v>
      </c>
      <c r="F4750" s="1" t="s">
        <v>20</v>
      </c>
      <c r="G4750" s="4" t="b">
        <f t="shared" si="2"/>
        <v>1</v>
      </c>
      <c r="H4750" s="1" t="str">
        <f t="shared" si="3"/>
        <v>Currently Unavailable</v>
      </c>
      <c r="I4750" s="1" t="str">
        <f t="shared" si="4"/>
        <v>No Badges</v>
      </c>
      <c r="J4750" s="3">
        <f t="shared" si="5"/>
        <v>0</v>
      </c>
    </row>
    <row r="4751">
      <c r="A4751" s="1" t="s">
        <v>3444</v>
      </c>
      <c r="B4751" s="3" t="str">
        <f t="shared" si="1"/>
        <v>Unavailable</v>
      </c>
      <c r="C4751" s="3">
        <v>625.0</v>
      </c>
      <c r="D4751" s="3">
        <f>IFERROR(__xludf.DUMMYFUNCTION("IFERROR(
IF(REGEXMATCH(LOWER(O4751),""k""),
VALUE(REGEXEXTRACT(O4751,""[0-9]+""))*1000,
VALUE(REGEXEXTRACT(O4751,""[0-9]+""))
),
0
)"),0.0)</f>
        <v>0</v>
      </c>
      <c r="E4751" s="1" t="s">
        <v>11</v>
      </c>
      <c r="F4751" s="1" t="s">
        <v>20</v>
      </c>
      <c r="G4751" s="4" t="b">
        <f t="shared" si="2"/>
        <v>1</v>
      </c>
      <c r="H4751" s="1" t="str">
        <f t="shared" si="3"/>
        <v>Currently Unavailable</v>
      </c>
      <c r="I4751" s="1" t="str">
        <f t="shared" si="4"/>
        <v>No Badges</v>
      </c>
      <c r="J4751" s="3">
        <f t="shared" si="5"/>
        <v>0</v>
      </c>
    </row>
    <row r="4752">
      <c r="A4752" s="1" t="s">
        <v>3445</v>
      </c>
      <c r="B4752" s="3" t="str">
        <f t="shared" si="1"/>
        <v>Unavailable</v>
      </c>
      <c r="C4752" s="3">
        <v>119.0</v>
      </c>
      <c r="D4752" s="3">
        <f>IFERROR(__xludf.DUMMYFUNCTION("IFERROR(
IF(REGEXMATCH(LOWER(O4752),""k""),
VALUE(REGEXEXTRACT(O4752,""[0-9]+""))*1000,
VALUE(REGEXEXTRACT(O4752,""[0-9]+""))
),
0
)"),0.0)</f>
        <v>0</v>
      </c>
      <c r="E4752" s="1" t="s">
        <v>11</v>
      </c>
      <c r="F4752" s="1" t="s">
        <v>20</v>
      </c>
      <c r="G4752" s="4" t="b">
        <f t="shared" si="2"/>
        <v>1</v>
      </c>
      <c r="H4752" s="1" t="str">
        <f t="shared" si="3"/>
        <v>Currently Unavailable</v>
      </c>
      <c r="I4752" s="1" t="str">
        <f t="shared" si="4"/>
        <v>No Badges</v>
      </c>
      <c r="J4752" s="3">
        <f t="shared" si="5"/>
        <v>0</v>
      </c>
    </row>
    <row r="4753">
      <c r="A4753" s="1" t="s">
        <v>3446</v>
      </c>
      <c r="B4753" s="3" t="str">
        <f t="shared" si="1"/>
        <v>Unavailable</v>
      </c>
      <c r="C4753" s="3">
        <v>875.0</v>
      </c>
      <c r="D4753" s="3">
        <f>IFERROR(__xludf.DUMMYFUNCTION("IFERROR(
IF(REGEXMATCH(LOWER(O4753),""k""),
VALUE(REGEXEXTRACT(O4753,""[0-9]+""))*1000,
VALUE(REGEXEXTRACT(O4753,""[0-9]+""))
),
0
)"),0.0)</f>
        <v>0</v>
      </c>
      <c r="E4753" s="1" t="s">
        <v>11</v>
      </c>
      <c r="F4753" s="1" t="s">
        <v>20</v>
      </c>
      <c r="G4753" s="4" t="b">
        <f t="shared" si="2"/>
        <v>1</v>
      </c>
      <c r="H4753" s="1" t="str">
        <f t="shared" si="3"/>
        <v>Currently Unavailable</v>
      </c>
      <c r="I4753" s="1" t="str">
        <f t="shared" si="4"/>
        <v>No Badges</v>
      </c>
      <c r="J4753" s="3">
        <f t="shared" si="5"/>
        <v>0</v>
      </c>
    </row>
    <row r="4754">
      <c r="A4754" s="1" t="s">
        <v>69</v>
      </c>
      <c r="B4754" s="3" t="str">
        <f t="shared" si="1"/>
        <v>Unavailable</v>
      </c>
      <c r="C4754" s="3">
        <v>45.0</v>
      </c>
      <c r="D4754" s="3">
        <f>IFERROR(__xludf.DUMMYFUNCTION("IFERROR(
IF(REGEXMATCH(LOWER(O4754),""k""),
VALUE(REGEXEXTRACT(O4754,""[0-9]+""))*1000,
VALUE(REGEXEXTRACT(O4754,""[0-9]+""))
),
0
)"),0.0)</f>
        <v>0</v>
      </c>
      <c r="E4754" s="1" t="s">
        <v>11</v>
      </c>
      <c r="F4754" s="1" t="s">
        <v>12</v>
      </c>
      <c r="G4754" s="4" t="b">
        <f t="shared" si="2"/>
        <v>1</v>
      </c>
      <c r="H4754" s="1" t="str">
        <f t="shared" si="3"/>
        <v>Currently Unavailable</v>
      </c>
      <c r="I4754" s="1" t="str">
        <f t="shared" si="4"/>
        <v>No Badges</v>
      </c>
      <c r="J4754" s="3">
        <f t="shared" si="5"/>
        <v>0</v>
      </c>
    </row>
    <row r="4755">
      <c r="A4755" s="1" t="s">
        <v>67</v>
      </c>
      <c r="B4755" s="3" t="str">
        <f t="shared" si="1"/>
        <v>Unavailable</v>
      </c>
      <c r="C4755" s="3">
        <v>264.0</v>
      </c>
      <c r="D4755" s="3">
        <f>IFERROR(__xludf.DUMMYFUNCTION("IFERROR(
IF(REGEXMATCH(LOWER(O4755),""k""),
VALUE(REGEXEXTRACT(O4755,""[0-9]+""))*1000,
VALUE(REGEXEXTRACT(O4755,""[0-9]+""))
),
0
)"),0.0)</f>
        <v>0</v>
      </c>
      <c r="E4755" s="1" t="s">
        <v>11</v>
      </c>
      <c r="F4755" s="1" t="s">
        <v>12</v>
      </c>
      <c r="G4755" s="4" t="b">
        <f t="shared" si="2"/>
        <v>1</v>
      </c>
      <c r="H4755" s="1" t="str">
        <f t="shared" si="3"/>
        <v>Currently Unavailable</v>
      </c>
      <c r="I4755" s="1" t="str">
        <f t="shared" si="4"/>
        <v>No Badges</v>
      </c>
      <c r="J4755" s="3">
        <f t="shared" si="5"/>
        <v>0</v>
      </c>
    </row>
    <row r="4756">
      <c r="A4756" s="1" t="s">
        <v>3447</v>
      </c>
      <c r="B4756" s="3" t="str">
        <f t="shared" si="1"/>
        <v>Unavailable</v>
      </c>
      <c r="C4756" s="5">
        <v>13867.0</v>
      </c>
      <c r="D4756" s="3">
        <f>IFERROR(__xludf.DUMMYFUNCTION("IFERROR(
IF(REGEXMATCH(LOWER(O4756),""k""),
VALUE(REGEXEXTRACT(O4756,""[0-9]+""))*1000,
VALUE(REGEXEXTRACT(O4756,""[0-9]+""))
),
0
)"),0.0)</f>
        <v>0</v>
      </c>
      <c r="E4756" s="1" t="s">
        <v>11</v>
      </c>
      <c r="F4756" s="1" t="s">
        <v>20</v>
      </c>
      <c r="G4756" s="4" t="b">
        <f t="shared" si="2"/>
        <v>1</v>
      </c>
      <c r="H4756" s="1" t="str">
        <f t="shared" si="3"/>
        <v>Currently Unavailable</v>
      </c>
      <c r="I4756" s="1" t="str">
        <f t="shared" si="4"/>
        <v>No Badges</v>
      </c>
      <c r="J4756" s="3">
        <f t="shared" si="5"/>
        <v>0</v>
      </c>
    </row>
    <row r="4757">
      <c r="A4757" s="1" t="s">
        <v>3448</v>
      </c>
      <c r="B4757" s="3" t="str">
        <f t="shared" si="1"/>
        <v>Unavailable</v>
      </c>
      <c r="C4757" s="3">
        <v>114.0</v>
      </c>
      <c r="D4757" s="3">
        <f>IFERROR(__xludf.DUMMYFUNCTION("IFERROR(
IF(REGEXMATCH(LOWER(O4757),""k""),
VALUE(REGEXEXTRACT(O4757,""[0-9]+""))*1000,
VALUE(REGEXEXTRACT(O4757,""[0-9]+""))
),
0
)"),0.0)</f>
        <v>0</v>
      </c>
      <c r="E4757" s="1" t="s">
        <v>11</v>
      </c>
      <c r="F4757" s="1" t="s">
        <v>20</v>
      </c>
      <c r="G4757" s="4" t="b">
        <f t="shared" si="2"/>
        <v>1</v>
      </c>
      <c r="H4757" s="1" t="str">
        <f t="shared" si="3"/>
        <v>Currently Unavailable</v>
      </c>
      <c r="I4757" s="1" t="str">
        <f t="shared" si="4"/>
        <v>No Badges</v>
      </c>
      <c r="J4757" s="3">
        <f t="shared" si="5"/>
        <v>0</v>
      </c>
    </row>
    <row r="4758">
      <c r="A4758" s="1" t="s">
        <v>3449</v>
      </c>
      <c r="B4758" s="3" t="str">
        <f t="shared" si="1"/>
        <v>Unavailable</v>
      </c>
      <c r="C4758" s="5">
        <v>1623.0</v>
      </c>
      <c r="D4758" s="3">
        <f>IFERROR(__xludf.DUMMYFUNCTION("IFERROR(
IF(REGEXMATCH(LOWER(O4758),""k""),
VALUE(REGEXEXTRACT(O4758,""[0-9]+""))*1000,
VALUE(REGEXEXTRACT(O4758,""[0-9]+""))
),
0
)"),0.0)</f>
        <v>0</v>
      </c>
      <c r="E4758" s="1" t="s">
        <v>11</v>
      </c>
      <c r="F4758" s="1" t="s">
        <v>20</v>
      </c>
      <c r="G4758" s="4" t="b">
        <f t="shared" si="2"/>
        <v>1</v>
      </c>
      <c r="H4758" s="1" t="str">
        <f t="shared" si="3"/>
        <v>Currently Unavailable</v>
      </c>
      <c r="I4758" s="1" t="str">
        <f t="shared" si="4"/>
        <v>No Badges</v>
      </c>
      <c r="J4758" s="3">
        <f t="shared" si="5"/>
        <v>0</v>
      </c>
    </row>
    <row r="4759">
      <c r="A4759" s="1" t="s">
        <v>3450</v>
      </c>
      <c r="B4759" s="3" t="str">
        <f t="shared" si="1"/>
        <v>Unavailable</v>
      </c>
      <c r="C4759" s="5">
        <v>9593.0</v>
      </c>
      <c r="D4759" s="3">
        <f>IFERROR(__xludf.DUMMYFUNCTION("IFERROR(
IF(REGEXMATCH(LOWER(O4759),""k""),
VALUE(REGEXEXTRACT(O4759,""[0-9]+""))*1000,
VALUE(REGEXEXTRACT(O4759,""[0-9]+""))
),
0
)"),0.0)</f>
        <v>0</v>
      </c>
      <c r="E4759" s="1" t="s">
        <v>11</v>
      </c>
      <c r="F4759" s="1" t="s">
        <v>20</v>
      </c>
      <c r="G4759" s="4" t="b">
        <f t="shared" si="2"/>
        <v>1</v>
      </c>
      <c r="H4759" s="1" t="str">
        <f t="shared" si="3"/>
        <v>Currently Unavailable</v>
      </c>
      <c r="I4759" s="1" t="str">
        <f t="shared" si="4"/>
        <v>No Badges</v>
      </c>
      <c r="J4759" s="3">
        <f t="shared" si="5"/>
        <v>0</v>
      </c>
    </row>
    <row r="4760">
      <c r="A4760" s="1" t="s">
        <v>3451</v>
      </c>
      <c r="B4760" s="3" t="str">
        <f t="shared" si="1"/>
        <v>Unavailable</v>
      </c>
      <c r="C4760" s="5">
        <v>4083.0</v>
      </c>
      <c r="D4760" s="3">
        <f>IFERROR(__xludf.DUMMYFUNCTION("IFERROR(
IF(REGEXMATCH(LOWER(O4760),""k""),
VALUE(REGEXEXTRACT(O4760,""[0-9]+""))*1000,
VALUE(REGEXEXTRACT(O4760,""[0-9]+""))
),
0
)"),0.0)</f>
        <v>0</v>
      </c>
      <c r="E4760" s="1" t="s">
        <v>11</v>
      </c>
      <c r="F4760" s="1" t="s">
        <v>20</v>
      </c>
      <c r="G4760" s="4" t="b">
        <f t="shared" si="2"/>
        <v>1</v>
      </c>
      <c r="H4760" s="1" t="str">
        <f t="shared" si="3"/>
        <v>Currently Unavailable</v>
      </c>
      <c r="I4760" s="1" t="str">
        <f t="shared" si="4"/>
        <v>No Badges</v>
      </c>
      <c r="J4760" s="3">
        <f t="shared" si="5"/>
        <v>0</v>
      </c>
    </row>
    <row r="4761">
      <c r="A4761" s="1" t="s">
        <v>3452</v>
      </c>
      <c r="B4761" s="3" t="str">
        <f t="shared" si="1"/>
        <v>Unavailable</v>
      </c>
      <c r="C4761" s="5">
        <v>3285.0</v>
      </c>
      <c r="D4761" s="3">
        <f>IFERROR(__xludf.DUMMYFUNCTION("IFERROR(
IF(REGEXMATCH(LOWER(O4761),""k""),
VALUE(REGEXEXTRACT(O4761,""[0-9]+""))*1000,
VALUE(REGEXEXTRACT(O4761,""[0-9]+""))
),
0
)"),0.0)</f>
        <v>0</v>
      </c>
      <c r="E4761" s="1" t="s">
        <v>11</v>
      </c>
      <c r="F4761" s="1" t="s">
        <v>20</v>
      </c>
      <c r="G4761" s="4" t="b">
        <f t="shared" si="2"/>
        <v>1</v>
      </c>
      <c r="H4761" s="1" t="str">
        <f t="shared" si="3"/>
        <v>Currently Unavailable</v>
      </c>
      <c r="I4761" s="1" t="str">
        <f t="shared" si="4"/>
        <v>No Badges</v>
      </c>
      <c r="J4761" s="3">
        <f t="shared" si="5"/>
        <v>0</v>
      </c>
    </row>
    <row r="4762">
      <c r="A4762" s="1" t="s">
        <v>3453</v>
      </c>
      <c r="B4762" s="3" t="str">
        <f t="shared" si="1"/>
        <v>Unavailable</v>
      </c>
      <c r="C4762" s="5">
        <v>1566.0</v>
      </c>
      <c r="D4762" s="3">
        <f>IFERROR(__xludf.DUMMYFUNCTION("IFERROR(
IF(REGEXMATCH(LOWER(O4762),""k""),
VALUE(REGEXEXTRACT(O4762,""[0-9]+""))*1000,
VALUE(REGEXEXTRACT(O4762,""[0-9]+""))
),
0
)"),0.0)</f>
        <v>0</v>
      </c>
      <c r="E4762" s="1" t="s">
        <v>11</v>
      </c>
      <c r="F4762" s="1" t="s">
        <v>20</v>
      </c>
      <c r="G4762" s="4" t="b">
        <f t="shared" si="2"/>
        <v>1</v>
      </c>
      <c r="H4762" s="1" t="str">
        <f t="shared" si="3"/>
        <v>Currently Unavailable</v>
      </c>
      <c r="I4762" s="1" t="str">
        <f t="shared" si="4"/>
        <v>No Badges</v>
      </c>
      <c r="J4762" s="3">
        <f t="shared" si="5"/>
        <v>0</v>
      </c>
    </row>
    <row r="4763">
      <c r="A4763" s="1" t="s">
        <v>3454</v>
      </c>
      <c r="B4763" s="3" t="str">
        <f t="shared" si="1"/>
        <v>Unavailable</v>
      </c>
      <c r="C4763" s="5">
        <v>2764.0</v>
      </c>
      <c r="D4763" s="3">
        <f>IFERROR(__xludf.DUMMYFUNCTION("IFERROR(
IF(REGEXMATCH(LOWER(O4763),""k""),
VALUE(REGEXEXTRACT(O4763,""[0-9]+""))*1000,
VALUE(REGEXEXTRACT(O4763,""[0-9]+""))
),
0
)"),0.0)</f>
        <v>0</v>
      </c>
      <c r="E4763" s="1" t="s">
        <v>11</v>
      </c>
      <c r="F4763" s="1" t="s">
        <v>20</v>
      </c>
      <c r="G4763" s="4" t="b">
        <f t="shared" si="2"/>
        <v>1</v>
      </c>
      <c r="H4763" s="1" t="str">
        <f t="shared" si="3"/>
        <v>Currently Unavailable</v>
      </c>
      <c r="I4763" s="1" t="str">
        <f t="shared" si="4"/>
        <v>No Badges</v>
      </c>
      <c r="J4763" s="3">
        <f t="shared" si="5"/>
        <v>0</v>
      </c>
    </row>
    <row r="4764">
      <c r="A4764" s="1" t="s">
        <v>3455</v>
      </c>
      <c r="B4764" s="3" t="str">
        <f t="shared" si="1"/>
        <v>Unavailable</v>
      </c>
      <c r="C4764" s="5">
        <v>1771.0</v>
      </c>
      <c r="D4764" s="3">
        <f>IFERROR(__xludf.DUMMYFUNCTION("IFERROR(
IF(REGEXMATCH(LOWER(O4764),""k""),
VALUE(REGEXEXTRACT(O4764,""[0-9]+""))*1000,
VALUE(REGEXEXTRACT(O4764,""[0-9]+""))
),
0
)"),0.0)</f>
        <v>0</v>
      </c>
      <c r="E4764" s="1" t="s">
        <v>11</v>
      </c>
      <c r="F4764" s="1" t="s">
        <v>20</v>
      </c>
      <c r="G4764" s="4" t="b">
        <f t="shared" si="2"/>
        <v>1</v>
      </c>
      <c r="H4764" s="1" t="str">
        <f t="shared" si="3"/>
        <v>Currently Unavailable</v>
      </c>
      <c r="I4764" s="1" t="str">
        <f t="shared" si="4"/>
        <v>No Badges</v>
      </c>
      <c r="J4764" s="3">
        <f t="shared" si="5"/>
        <v>0</v>
      </c>
    </row>
    <row r="4765">
      <c r="A4765" s="1" t="s">
        <v>3456</v>
      </c>
      <c r="B4765" s="3" t="str">
        <f t="shared" si="1"/>
        <v>Unavailable</v>
      </c>
      <c r="C4765" s="5">
        <v>21552.0</v>
      </c>
      <c r="D4765" s="3">
        <f>IFERROR(__xludf.DUMMYFUNCTION("IFERROR(
IF(REGEXMATCH(LOWER(O4765),""k""),
VALUE(REGEXEXTRACT(O4765,""[0-9]+""))*1000,
VALUE(REGEXEXTRACT(O4765,""[0-9]+""))
),
0
)"),0.0)</f>
        <v>0</v>
      </c>
      <c r="E4765" s="1" t="s">
        <v>158</v>
      </c>
      <c r="F4765" s="1" t="s">
        <v>20</v>
      </c>
      <c r="G4765" s="4" t="b">
        <f t="shared" si="2"/>
        <v>1</v>
      </c>
      <c r="H4765" s="1" t="str">
        <f t="shared" si="3"/>
        <v>Currently Unavailable</v>
      </c>
      <c r="I4765" s="1" t="str">
        <f t="shared" si="4"/>
        <v>No Badges</v>
      </c>
      <c r="J4765" s="3">
        <f t="shared" si="5"/>
        <v>0</v>
      </c>
    </row>
    <row r="4766">
      <c r="A4766" s="1" t="s">
        <v>3457</v>
      </c>
      <c r="B4766" s="3" t="str">
        <f t="shared" si="1"/>
        <v>Unavailable</v>
      </c>
      <c r="C4766" s="5">
        <v>1161.0</v>
      </c>
      <c r="D4766" s="3">
        <f>IFERROR(__xludf.DUMMYFUNCTION("IFERROR(
IF(REGEXMATCH(LOWER(O4766),""k""),
VALUE(REGEXEXTRACT(O4766,""[0-9]+""))*1000,
VALUE(REGEXEXTRACT(O4766,""[0-9]+""))
),
0
)"),0.0)</f>
        <v>0</v>
      </c>
      <c r="E4766" s="1" t="s">
        <v>11</v>
      </c>
      <c r="F4766" s="1" t="s">
        <v>20</v>
      </c>
      <c r="G4766" s="4" t="b">
        <f t="shared" si="2"/>
        <v>1</v>
      </c>
      <c r="H4766" s="1" t="str">
        <f t="shared" si="3"/>
        <v>Currently Unavailable</v>
      </c>
      <c r="I4766" s="1" t="str">
        <f t="shared" si="4"/>
        <v>No Badges</v>
      </c>
      <c r="J4766" s="3">
        <f t="shared" si="5"/>
        <v>0</v>
      </c>
    </row>
    <row r="4767">
      <c r="A4767" s="1" t="s">
        <v>3458</v>
      </c>
      <c r="B4767" s="3" t="str">
        <f t="shared" si="1"/>
        <v>Unavailable</v>
      </c>
      <c r="C4767" s="5">
        <v>13330.0</v>
      </c>
      <c r="D4767" s="3">
        <f>IFERROR(__xludf.DUMMYFUNCTION("IFERROR(
IF(REGEXMATCH(LOWER(O4767),""k""),
VALUE(REGEXEXTRACT(O4767,""[0-9]+""))*1000,
VALUE(REGEXEXTRACT(O4767,""[0-9]+""))
),
0
)"),0.0)</f>
        <v>0</v>
      </c>
      <c r="E4767" s="1" t="s">
        <v>11</v>
      </c>
      <c r="F4767" s="1" t="s">
        <v>20</v>
      </c>
      <c r="G4767" s="4" t="b">
        <f t="shared" si="2"/>
        <v>1</v>
      </c>
      <c r="H4767" s="1" t="str">
        <f t="shared" si="3"/>
        <v>Currently Unavailable</v>
      </c>
      <c r="I4767" s="1" t="str">
        <f t="shared" si="4"/>
        <v>No Badges</v>
      </c>
      <c r="J4767" s="3">
        <f t="shared" si="5"/>
        <v>0</v>
      </c>
    </row>
    <row r="4768">
      <c r="A4768" s="1" t="s">
        <v>3459</v>
      </c>
      <c r="B4768" s="3" t="str">
        <f t="shared" si="1"/>
        <v>Unavailable</v>
      </c>
      <c r="C4768" s="5">
        <v>25111.0</v>
      </c>
      <c r="D4768" s="3">
        <f>IFERROR(__xludf.DUMMYFUNCTION("IFERROR(
IF(REGEXMATCH(LOWER(O4768),""k""),
VALUE(REGEXEXTRACT(O4768,""[0-9]+""))*1000,
VALUE(REGEXEXTRACT(O4768,""[0-9]+""))
),
0
)"),0.0)</f>
        <v>0</v>
      </c>
      <c r="E4768" s="1" t="s">
        <v>11</v>
      </c>
      <c r="F4768" s="1" t="s">
        <v>20</v>
      </c>
      <c r="G4768" s="4" t="b">
        <f t="shared" si="2"/>
        <v>1</v>
      </c>
      <c r="H4768" s="1" t="str">
        <f t="shared" si="3"/>
        <v>Currently Unavailable</v>
      </c>
      <c r="I4768" s="1" t="str">
        <f t="shared" si="4"/>
        <v>No Badges</v>
      </c>
      <c r="J4768" s="3">
        <f t="shared" si="5"/>
        <v>0</v>
      </c>
    </row>
    <row r="4769">
      <c r="A4769" s="1" t="s">
        <v>701</v>
      </c>
      <c r="B4769" s="3" t="str">
        <f t="shared" si="1"/>
        <v>Unavailable</v>
      </c>
      <c r="C4769" s="3">
        <v>8.0</v>
      </c>
      <c r="D4769" s="3">
        <f>IFERROR(__xludf.DUMMYFUNCTION("IFERROR(
IF(REGEXMATCH(LOWER(O4769),""k""),
VALUE(REGEXEXTRACT(O4769,""[0-9]+""))*1000,
VALUE(REGEXEXTRACT(O4769,""[0-9]+""))
),
0
)"),0.0)</f>
        <v>0</v>
      </c>
      <c r="E4769" s="1" t="s">
        <v>11</v>
      </c>
      <c r="F4769" s="1" t="s">
        <v>12</v>
      </c>
      <c r="G4769" s="4" t="b">
        <f t="shared" si="2"/>
        <v>1</v>
      </c>
      <c r="H4769" s="1" t="str">
        <f t="shared" si="3"/>
        <v>Currently Unavailable</v>
      </c>
      <c r="I4769" s="1" t="str">
        <f t="shared" si="4"/>
        <v>No Badges</v>
      </c>
      <c r="J4769" s="3">
        <f t="shared" si="5"/>
        <v>0</v>
      </c>
    </row>
    <row r="4770">
      <c r="A4770" s="1" t="s">
        <v>88</v>
      </c>
      <c r="B4770" s="3" t="str">
        <f t="shared" si="1"/>
        <v>Unavailable</v>
      </c>
      <c r="C4770" s="3">
        <v>5.0</v>
      </c>
      <c r="D4770" s="3">
        <f>IFERROR(__xludf.DUMMYFUNCTION("IFERROR(
IF(REGEXMATCH(LOWER(O4770),""k""),
VALUE(REGEXEXTRACT(O4770,""[0-9]+""))*1000,
VALUE(REGEXEXTRACT(O4770,""[0-9]+""))
),
0
)"),0.0)</f>
        <v>0</v>
      </c>
      <c r="E4770" s="1" t="s">
        <v>11</v>
      </c>
      <c r="F4770" s="1" t="s">
        <v>12</v>
      </c>
      <c r="G4770" s="4" t="b">
        <f t="shared" si="2"/>
        <v>1</v>
      </c>
      <c r="H4770" s="1" t="str">
        <f t="shared" si="3"/>
        <v>Currently Unavailable</v>
      </c>
      <c r="I4770" s="1" t="str">
        <f t="shared" si="4"/>
        <v>No Badges</v>
      </c>
      <c r="J4770" s="3">
        <f t="shared" si="5"/>
        <v>0</v>
      </c>
    </row>
    <row r="4771">
      <c r="A4771" s="1" t="s">
        <v>40</v>
      </c>
      <c r="B4771" s="3" t="str">
        <f t="shared" si="1"/>
        <v>Unavailable</v>
      </c>
      <c r="C4771" s="3">
        <v>171.0</v>
      </c>
      <c r="D4771" s="3">
        <f>IFERROR(__xludf.DUMMYFUNCTION("IFERROR(
IF(REGEXMATCH(LOWER(O4771),""k""),
VALUE(REGEXEXTRACT(O4771,""[0-9]+""))*1000,
VALUE(REGEXEXTRACT(O4771,""[0-9]+""))
),
0
)"),0.0)</f>
        <v>0</v>
      </c>
      <c r="E4771" s="1" t="s">
        <v>11</v>
      </c>
      <c r="F4771" s="1" t="s">
        <v>12</v>
      </c>
      <c r="G4771" s="4" t="b">
        <f t="shared" si="2"/>
        <v>1</v>
      </c>
      <c r="H4771" s="1" t="str">
        <f t="shared" si="3"/>
        <v>Currently Unavailable</v>
      </c>
      <c r="I4771" s="1" t="str">
        <f t="shared" si="4"/>
        <v>No Badges</v>
      </c>
      <c r="J4771" s="3">
        <f t="shared" si="5"/>
        <v>0</v>
      </c>
    </row>
    <row r="4772">
      <c r="A4772" s="1" t="s">
        <v>3460</v>
      </c>
      <c r="B4772" s="3" t="str">
        <f t="shared" si="1"/>
        <v>Unavailable</v>
      </c>
      <c r="C4772" s="5">
        <v>8615.0</v>
      </c>
      <c r="D4772" s="3">
        <f>IFERROR(__xludf.DUMMYFUNCTION("IFERROR(
IF(REGEXMATCH(LOWER(O4772),""k""),
VALUE(REGEXEXTRACT(O4772,""[0-9]+""))*1000,
VALUE(REGEXEXTRACT(O4772,""[0-9]+""))
),
0
)"),0.0)</f>
        <v>0</v>
      </c>
      <c r="E4772" s="1" t="s">
        <v>11</v>
      </c>
      <c r="F4772" s="1" t="s">
        <v>20</v>
      </c>
      <c r="G4772" s="4" t="b">
        <f t="shared" si="2"/>
        <v>1</v>
      </c>
      <c r="H4772" s="1" t="str">
        <f t="shared" si="3"/>
        <v>Currently Unavailable</v>
      </c>
      <c r="I4772" s="1" t="str">
        <f t="shared" si="4"/>
        <v>No Badges</v>
      </c>
      <c r="J4772" s="3">
        <f t="shared" si="5"/>
        <v>0</v>
      </c>
    </row>
    <row r="4773">
      <c r="A4773" s="1" t="s">
        <v>3461</v>
      </c>
      <c r="B4773" s="3" t="str">
        <f t="shared" si="1"/>
        <v>Unavailable</v>
      </c>
      <c r="C4773" s="5">
        <v>5608.0</v>
      </c>
      <c r="D4773" s="3">
        <f>IFERROR(__xludf.DUMMYFUNCTION("IFERROR(
IF(REGEXMATCH(LOWER(O4773),""k""),
VALUE(REGEXEXTRACT(O4773,""[0-9]+""))*1000,
VALUE(REGEXEXTRACT(O4773,""[0-9]+""))
),
0
)"),0.0)</f>
        <v>0</v>
      </c>
      <c r="E4773" s="1" t="s">
        <v>11</v>
      </c>
      <c r="F4773" s="1" t="s">
        <v>20</v>
      </c>
      <c r="G4773" s="4" t="b">
        <f t="shared" si="2"/>
        <v>1</v>
      </c>
      <c r="H4773" s="1" t="str">
        <f t="shared" si="3"/>
        <v>Currently Unavailable</v>
      </c>
      <c r="I4773" s="1" t="str">
        <f t="shared" si="4"/>
        <v>No Badges</v>
      </c>
      <c r="J4773" s="3">
        <f t="shared" si="5"/>
        <v>0</v>
      </c>
    </row>
    <row r="4774">
      <c r="A4774" s="1" t="s">
        <v>69</v>
      </c>
      <c r="B4774" s="3" t="str">
        <f t="shared" si="1"/>
        <v>Unavailable</v>
      </c>
      <c r="C4774" s="3">
        <v>45.0</v>
      </c>
      <c r="D4774" s="3">
        <f>IFERROR(__xludf.DUMMYFUNCTION("IFERROR(
IF(REGEXMATCH(LOWER(O4774),""k""),
VALUE(REGEXEXTRACT(O4774,""[0-9]+""))*1000,
VALUE(REGEXEXTRACT(O4774,""[0-9]+""))
),
0
)"),0.0)</f>
        <v>0</v>
      </c>
      <c r="E4774" s="1" t="s">
        <v>11</v>
      </c>
      <c r="F4774" s="1" t="s">
        <v>12</v>
      </c>
      <c r="G4774" s="4" t="b">
        <f t="shared" si="2"/>
        <v>1</v>
      </c>
      <c r="H4774" s="1" t="str">
        <f t="shared" si="3"/>
        <v>Currently Unavailable</v>
      </c>
      <c r="I4774" s="1" t="str">
        <f t="shared" si="4"/>
        <v>No Badges</v>
      </c>
      <c r="J4774" s="3">
        <f t="shared" si="5"/>
        <v>0</v>
      </c>
    </row>
    <row r="4775">
      <c r="A4775" s="1" t="s">
        <v>3462</v>
      </c>
      <c r="B4775" s="3" t="str">
        <f t="shared" si="1"/>
        <v>Unavailable</v>
      </c>
      <c r="C4775" s="5">
        <v>29562.0</v>
      </c>
      <c r="D4775" s="3">
        <f>IFERROR(__xludf.DUMMYFUNCTION("IFERROR(
IF(REGEXMATCH(LOWER(O4775),""k""),
VALUE(REGEXEXTRACT(O4775,""[0-9]+""))*1000,
VALUE(REGEXEXTRACT(O4775,""[0-9]+""))
),
0
)"),0.0)</f>
        <v>0</v>
      </c>
      <c r="E4775" s="1" t="s">
        <v>11</v>
      </c>
      <c r="F4775" s="1" t="s">
        <v>20</v>
      </c>
      <c r="G4775" s="4" t="b">
        <f t="shared" si="2"/>
        <v>1</v>
      </c>
      <c r="H4775" s="1" t="str">
        <f t="shared" si="3"/>
        <v>Currently Unavailable</v>
      </c>
      <c r="I4775" s="1" t="str">
        <f t="shared" si="4"/>
        <v>No Badges</v>
      </c>
      <c r="J4775" s="3">
        <f t="shared" si="5"/>
        <v>0</v>
      </c>
    </row>
    <row r="4776">
      <c r="A4776" s="1" t="s">
        <v>3463</v>
      </c>
      <c r="B4776" s="3" t="str">
        <f t="shared" si="1"/>
        <v>Unavailable</v>
      </c>
      <c r="C4776" s="5">
        <v>6599.0</v>
      </c>
      <c r="D4776" s="3">
        <f>IFERROR(__xludf.DUMMYFUNCTION("IFERROR(
IF(REGEXMATCH(LOWER(O4776),""k""),
VALUE(REGEXEXTRACT(O4776,""[0-9]+""))*1000,
VALUE(REGEXEXTRACT(O4776,""[0-9]+""))
),
0
)"),0.0)</f>
        <v>0</v>
      </c>
      <c r="E4776" s="1" t="s">
        <v>11</v>
      </c>
      <c r="F4776" s="1" t="s">
        <v>20</v>
      </c>
      <c r="G4776" s="4" t="b">
        <f t="shared" si="2"/>
        <v>1</v>
      </c>
      <c r="H4776" s="1" t="str">
        <f t="shared" si="3"/>
        <v>Currently Unavailable</v>
      </c>
      <c r="I4776" s="1" t="str">
        <f t="shared" si="4"/>
        <v>No Badges</v>
      </c>
      <c r="J4776" s="3">
        <f t="shared" si="5"/>
        <v>0</v>
      </c>
    </row>
    <row r="4777">
      <c r="A4777" s="1" t="s">
        <v>3464</v>
      </c>
      <c r="B4777" s="3" t="str">
        <f t="shared" si="1"/>
        <v>Unavailable</v>
      </c>
      <c r="C4777" s="5">
        <v>3677.0</v>
      </c>
      <c r="D4777" s="3">
        <f>IFERROR(__xludf.DUMMYFUNCTION("IFERROR(
IF(REGEXMATCH(LOWER(O4777),""k""),
VALUE(REGEXEXTRACT(O4777,""[0-9]+""))*1000,
VALUE(REGEXEXTRACT(O4777,""[0-9]+""))
),
0
)"),0.0)</f>
        <v>0</v>
      </c>
      <c r="E4777" s="1" t="s">
        <v>11</v>
      </c>
      <c r="F4777" s="1" t="s">
        <v>20</v>
      </c>
      <c r="G4777" s="4" t="b">
        <f t="shared" si="2"/>
        <v>1</v>
      </c>
      <c r="H4777" s="1" t="str">
        <f t="shared" si="3"/>
        <v>Currently Unavailable</v>
      </c>
      <c r="I4777" s="1" t="str">
        <f t="shared" si="4"/>
        <v>No Badges</v>
      </c>
      <c r="J4777" s="3">
        <f t="shared" si="5"/>
        <v>0</v>
      </c>
    </row>
    <row r="4778">
      <c r="A4778" s="1" t="s">
        <v>3465</v>
      </c>
      <c r="B4778" s="3" t="str">
        <f t="shared" si="1"/>
        <v>Unavailable</v>
      </c>
      <c r="C4778" s="5">
        <v>6686.0</v>
      </c>
      <c r="D4778" s="3">
        <f>IFERROR(__xludf.DUMMYFUNCTION("IFERROR(
IF(REGEXMATCH(LOWER(O4778),""k""),
VALUE(REGEXEXTRACT(O4778,""[0-9]+""))*1000,
VALUE(REGEXEXTRACT(O4778,""[0-9]+""))
),
0
)"),0.0)</f>
        <v>0</v>
      </c>
      <c r="E4778" s="1" t="s">
        <v>11</v>
      </c>
      <c r="F4778" s="1" t="s">
        <v>20</v>
      </c>
      <c r="G4778" s="4" t="b">
        <f t="shared" si="2"/>
        <v>1</v>
      </c>
      <c r="H4778" s="1" t="str">
        <f t="shared" si="3"/>
        <v>Currently Unavailable</v>
      </c>
      <c r="I4778" s="1" t="str">
        <f t="shared" si="4"/>
        <v>No Badges</v>
      </c>
      <c r="J4778" s="3">
        <f t="shared" si="5"/>
        <v>0</v>
      </c>
    </row>
    <row r="4779">
      <c r="A4779" s="1" t="s">
        <v>3466</v>
      </c>
      <c r="B4779" s="3" t="str">
        <f t="shared" si="1"/>
        <v>Unavailable</v>
      </c>
      <c r="C4779" s="5">
        <v>2695.0</v>
      </c>
      <c r="D4779" s="3">
        <f>IFERROR(__xludf.DUMMYFUNCTION("IFERROR(
IF(REGEXMATCH(LOWER(O4779),""k""),
VALUE(REGEXEXTRACT(O4779,""[0-9]+""))*1000,
VALUE(REGEXEXTRACT(O4779,""[0-9]+""))
),
0
)"),0.0)</f>
        <v>0</v>
      </c>
      <c r="E4779" s="1" t="s">
        <v>11</v>
      </c>
      <c r="F4779" s="1" t="s">
        <v>20</v>
      </c>
      <c r="G4779" s="4" t="b">
        <f t="shared" si="2"/>
        <v>1</v>
      </c>
      <c r="H4779" s="1" t="str">
        <f t="shared" si="3"/>
        <v>Currently Unavailable</v>
      </c>
      <c r="I4779" s="1" t="str">
        <f t="shared" si="4"/>
        <v>No Badges</v>
      </c>
      <c r="J4779" s="3">
        <f t="shared" si="5"/>
        <v>0</v>
      </c>
    </row>
    <row r="4780">
      <c r="A4780" s="1" t="s">
        <v>3467</v>
      </c>
      <c r="B4780" s="3" t="str">
        <f t="shared" si="1"/>
        <v>Unavailable</v>
      </c>
      <c r="C4780" s="3">
        <v>10.0</v>
      </c>
      <c r="D4780" s="3">
        <f>IFERROR(__xludf.DUMMYFUNCTION("IFERROR(
IF(REGEXMATCH(LOWER(O4780),""k""),
VALUE(REGEXEXTRACT(O4780,""[0-9]+""))*1000,
VALUE(REGEXEXTRACT(O4780,""[0-9]+""))
),
0
)"),0.0)</f>
        <v>0</v>
      </c>
      <c r="E4780" s="1" t="s">
        <v>11</v>
      </c>
      <c r="F4780" s="1" t="s">
        <v>20</v>
      </c>
      <c r="G4780" s="4" t="b">
        <f t="shared" si="2"/>
        <v>1</v>
      </c>
      <c r="H4780" s="1" t="str">
        <f t="shared" si="3"/>
        <v>Currently Unavailable</v>
      </c>
      <c r="I4780" s="1" t="str">
        <f t="shared" si="4"/>
        <v>No Badges</v>
      </c>
      <c r="J4780" s="3">
        <f t="shared" si="5"/>
        <v>0</v>
      </c>
    </row>
    <row r="4781">
      <c r="A4781" s="1" t="s">
        <v>3468</v>
      </c>
      <c r="B4781" s="3" t="str">
        <f t="shared" si="1"/>
        <v>Unavailable</v>
      </c>
      <c r="C4781" s="5">
        <v>1798.0</v>
      </c>
      <c r="D4781" s="3">
        <f>IFERROR(__xludf.DUMMYFUNCTION("IFERROR(
IF(REGEXMATCH(LOWER(O4781),""k""),
VALUE(REGEXEXTRACT(O4781,""[0-9]+""))*1000,
VALUE(REGEXEXTRACT(O4781,""[0-9]+""))
),
0
)"),0.0)</f>
        <v>0</v>
      </c>
      <c r="E4781" s="1" t="s">
        <v>11</v>
      </c>
      <c r="F4781" s="1" t="s">
        <v>20</v>
      </c>
      <c r="G4781" s="4" t="b">
        <f t="shared" si="2"/>
        <v>1</v>
      </c>
      <c r="H4781" s="1" t="str">
        <f t="shared" si="3"/>
        <v>Currently Unavailable</v>
      </c>
      <c r="I4781" s="1" t="str">
        <f t="shared" si="4"/>
        <v>No Badges</v>
      </c>
      <c r="J4781" s="3">
        <f t="shared" si="5"/>
        <v>0</v>
      </c>
    </row>
    <row r="4782">
      <c r="A4782" s="1" t="s">
        <v>3469</v>
      </c>
      <c r="B4782" s="3" t="str">
        <f t="shared" si="1"/>
        <v>Unavailable</v>
      </c>
      <c r="C4782" s="5">
        <v>7461.0</v>
      </c>
      <c r="D4782" s="3">
        <f>IFERROR(__xludf.DUMMYFUNCTION("IFERROR(
IF(REGEXMATCH(LOWER(O4782),""k""),
VALUE(REGEXEXTRACT(O4782,""[0-9]+""))*1000,
VALUE(REGEXEXTRACT(O4782,""[0-9]+""))
),
0
)"),0.0)</f>
        <v>0</v>
      </c>
      <c r="E4782" s="1" t="s">
        <v>11</v>
      </c>
      <c r="F4782" s="1" t="s">
        <v>20</v>
      </c>
      <c r="G4782" s="4" t="b">
        <f t="shared" si="2"/>
        <v>1</v>
      </c>
      <c r="H4782" s="1" t="str">
        <f t="shared" si="3"/>
        <v>Currently Unavailable</v>
      </c>
      <c r="I4782" s="1" t="str">
        <f t="shared" si="4"/>
        <v>No Badges</v>
      </c>
      <c r="J4782" s="3">
        <f t="shared" si="5"/>
        <v>0</v>
      </c>
    </row>
    <row r="4783">
      <c r="A4783" s="1" t="s">
        <v>3352</v>
      </c>
      <c r="B4783" s="3" t="str">
        <f t="shared" si="1"/>
        <v>Unavailable</v>
      </c>
      <c r="C4783" s="5">
        <v>5284.0</v>
      </c>
      <c r="D4783" s="3">
        <f>IFERROR(__xludf.DUMMYFUNCTION("IFERROR(
IF(REGEXMATCH(LOWER(O4783),""k""),
VALUE(REGEXEXTRACT(O4783,""[0-9]+""))*1000,
VALUE(REGEXEXTRACT(O4783,""[0-9]+""))
),
0
)"),0.0)</f>
        <v>0</v>
      </c>
      <c r="E4783" s="1" t="s">
        <v>11</v>
      </c>
      <c r="F4783" s="1" t="s">
        <v>12</v>
      </c>
      <c r="G4783" s="4" t="b">
        <f t="shared" si="2"/>
        <v>1</v>
      </c>
      <c r="H4783" s="1" t="str">
        <f t="shared" si="3"/>
        <v>Currently Unavailable</v>
      </c>
      <c r="I4783" s="1" t="str">
        <f t="shared" si="4"/>
        <v>No Badges</v>
      </c>
      <c r="J4783" s="3">
        <f t="shared" si="5"/>
        <v>0</v>
      </c>
    </row>
    <row r="4784">
      <c r="A4784" s="1" t="s">
        <v>3470</v>
      </c>
      <c r="B4784" s="3" t="str">
        <f t="shared" si="1"/>
        <v>Unavailable</v>
      </c>
      <c r="C4784" s="5">
        <v>15509.0</v>
      </c>
      <c r="D4784" s="3">
        <f>IFERROR(__xludf.DUMMYFUNCTION("IFERROR(
IF(REGEXMATCH(LOWER(O4784),""k""),
VALUE(REGEXEXTRACT(O4784,""[0-9]+""))*1000,
VALUE(REGEXEXTRACT(O4784,""[0-9]+""))
),
0
)"),0.0)</f>
        <v>0</v>
      </c>
      <c r="E4784" s="1" t="s">
        <v>11</v>
      </c>
      <c r="F4784" s="1" t="s">
        <v>20</v>
      </c>
      <c r="G4784" s="4" t="b">
        <f t="shared" si="2"/>
        <v>1</v>
      </c>
      <c r="H4784" s="1" t="str">
        <f t="shared" si="3"/>
        <v>Currently Unavailable</v>
      </c>
      <c r="I4784" s="1" t="str">
        <f t="shared" si="4"/>
        <v>No Badges</v>
      </c>
      <c r="J4784" s="3">
        <f t="shared" si="5"/>
        <v>0</v>
      </c>
    </row>
    <row r="4785">
      <c r="A4785" s="1" t="s">
        <v>3471</v>
      </c>
      <c r="B4785" s="3" t="str">
        <f t="shared" si="1"/>
        <v>Unavailable</v>
      </c>
      <c r="C4785" s="5">
        <v>2887.0</v>
      </c>
      <c r="D4785" s="3">
        <f>IFERROR(__xludf.DUMMYFUNCTION("IFERROR(
IF(REGEXMATCH(LOWER(O4785),""k""),
VALUE(REGEXEXTRACT(O4785,""[0-9]+""))*1000,
VALUE(REGEXEXTRACT(O4785,""[0-9]+""))
),
0
)"),0.0)</f>
        <v>0</v>
      </c>
      <c r="E4785" s="1" t="s">
        <v>11</v>
      </c>
      <c r="F4785" s="1" t="s">
        <v>20</v>
      </c>
      <c r="G4785" s="4" t="b">
        <f t="shared" si="2"/>
        <v>1</v>
      </c>
      <c r="H4785" s="1" t="str">
        <f t="shared" si="3"/>
        <v>Currently Unavailable</v>
      </c>
      <c r="I4785" s="1" t="str">
        <f t="shared" si="4"/>
        <v>No Badges</v>
      </c>
      <c r="J4785" s="3">
        <f t="shared" si="5"/>
        <v>0</v>
      </c>
    </row>
    <row r="4786">
      <c r="A4786" s="1" t="s">
        <v>3472</v>
      </c>
      <c r="B4786" s="3" t="str">
        <f t="shared" si="1"/>
        <v>Unavailable</v>
      </c>
      <c r="C4786" s="5">
        <v>1232.0</v>
      </c>
      <c r="D4786" s="3">
        <f>IFERROR(__xludf.DUMMYFUNCTION("IFERROR(
IF(REGEXMATCH(LOWER(O4786),""k""),
VALUE(REGEXEXTRACT(O4786,""[0-9]+""))*1000,
VALUE(REGEXEXTRACT(O4786,""[0-9]+""))
),
0
)"),0.0)</f>
        <v>0</v>
      </c>
      <c r="E4786" s="1" t="s">
        <v>158</v>
      </c>
      <c r="F4786" s="1" t="s">
        <v>20</v>
      </c>
      <c r="G4786" s="4" t="b">
        <f t="shared" si="2"/>
        <v>1</v>
      </c>
      <c r="H4786" s="1" t="str">
        <f t="shared" si="3"/>
        <v>Currently Unavailable</v>
      </c>
      <c r="I4786" s="1" t="str">
        <f t="shared" si="4"/>
        <v>No Badges</v>
      </c>
      <c r="J4786" s="3">
        <f t="shared" si="5"/>
        <v>0</v>
      </c>
    </row>
    <row r="4787">
      <c r="A4787" s="1" t="s">
        <v>67</v>
      </c>
      <c r="B4787" s="3" t="str">
        <f t="shared" si="1"/>
        <v>Unavailable</v>
      </c>
      <c r="C4787" s="3">
        <v>264.0</v>
      </c>
      <c r="D4787" s="3">
        <f>IFERROR(__xludf.DUMMYFUNCTION("IFERROR(
IF(REGEXMATCH(LOWER(O4787),""k""),
VALUE(REGEXEXTRACT(O4787,""[0-9]+""))*1000,
VALUE(REGEXEXTRACT(O4787,""[0-9]+""))
),
0
)"),0.0)</f>
        <v>0</v>
      </c>
      <c r="E4787" s="1" t="s">
        <v>11</v>
      </c>
      <c r="F4787" s="1" t="s">
        <v>12</v>
      </c>
      <c r="G4787" s="4" t="b">
        <f t="shared" si="2"/>
        <v>1</v>
      </c>
      <c r="H4787" s="1" t="str">
        <f t="shared" si="3"/>
        <v>Currently Unavailable</v>
      </c>
      <c r="I4787" s="1" t="str">
        <f t="shared" si="4"/>
        <v>No Badges</v>
      </c>
      <c r="J4787" s="3">
        <f t="shared" si="5"/>
        <v>0</v>
      </c>
    </row>
    <row r="4788">
      <c r="A4788" s="1" t="s">
        <v>3473</v>
      </c>
      <c r="B4788" s="3" t="str">
        <f t="shared" si="1"/>
        <v>Unavailable</v>
      </c>
      <c r="C4788" s="5">
        <v>4534.0</v>
      </c>
      <c r="D4788" s="3">
        <f>IFERROR(__xludf.DUMMYFUNCTION("IFERROR(
IF(REGEXMATCH(LOWER(O4788),""k""),
VALUE(REGEXEXTRACT(O4788,""[0-9]+""))*1000,
VALUE(REGEXEXTRACT(O4788,""[0-9]+""))
),
0
)"),0.0)</f>
        <v>0</v>
      </c>
      <c r="E4788" s="1" t="s">
        <v>11</v>
      </c>
      <c r="F4788" s="1" t="s">
        <v>20</v>
      </c>
      <c r="G4788" s="4" t="b">
        <f t="shared" si="2"/>
        <v>1</v>
      </c>
      <c r="H4788" s="1" t="str">
        <f t="shared" si="3"/>
        <v>Currently Unavailable</v>
      </c>
      <c r="I4788" s="1" t="str">
        <f t="shared" si="4"/>
        <v>No Badges</v>
      </c>
      <c r="J4788" s="3">
        <f t="shared" si="5"/>
        <v>0</v>
      </c>
    </row>
    <row r="4789">
      <c r="A4789" s="1" t="s">
        <v>701</v>
      </c>
      <c r="B4789" s="3" t="str">
        <f t="shared" si="1"/>
        <v>Unavailable</v>
      </c>
      <c r="C4789" s="3">
        <v>8.0</v>
      </c>
      <c r="D4789" s="3">
        <f>IFERROR(__xludf.DUMMYFUNCTION("IFERROR(
IF(REGEXMATCH(LOWER(O4789),""k""),
VALUE(REGEXEXTRACT(O4789,""[0-9]+""))*1000,
VALUE(REGEXEXTRACT(O4789,""[0-9]+""))
),
0
)"),0.0)</f>
        <v>0</v>
      </c>
      <c r="E4789" s="1" t="s">
        <v>11</v>
      </c>
      <c r="F4789" s="1" t="s">
        <v>12</v>
      </c>
      <c r="G4789" s="4" t="b">
        <f t="shared" si="2"/>
        <v>1</v>
      </c>
      <c r="H4789" s="1" t="str">
        <f t="shared" si="3"/>
        <v>Currently Unavailable</v>
      </c>
      <c r="I4789" s="1" t="str">
        <f t="shared" si="4"/>
        <v>No Badges</v>
      </c>
      <c r="J4789" s="3">
        <f t="shared" si="5"/>
        <v>0</v>
      </c>
    </row>
    <row r="4790">
      <c r="A4790" s="1" t="s">
        <v>3474</v>
      </c>
      <c r="B4790" s="3" t="str">
        <f t="shared" si="1"/>
        <v>Unavailable</v>
      </c>
      <c r="C4790" s="5">
        <v>2930.0</v>
      </c>
      <c r="D4790" s="3">
        <f>IFERROR(__xludf.DUMMYFUNCTION("IFERROR(
IF(REGEXMATCH(LOWER(O4790),""k""),
VALUE(REGEXEXTRACT(O4790,""[0-9]+""))*1000,
VALUE(REGEXEXTRACT(O4790,""[0-9]+""))
),
0
)"),0.0)</f>
        <v>0</v>
      </c>
      <c r="E4790" s="1" t="s">
        <v>11</v>
      </c>
      <c r="F4790" s="1" t="s">
        <v>20</v>
      </c>
      <c r="G4790" s="4" t="b">
        <f t="shared" si="2"/>
        <v>1</v>
      </c>
      <c r="H4790" s="1" t="str">
        <f t="shared" si="3"/>
        <v>Currently Unavailable</v>
      </c>
      <c r="I4790" s="1" t="str">
        <f t="shared" si="4"/>
        <v>No Badges</v>
      </c>
      <c r="J4790" s="3">
        <f t="shared" si="5"/>
        <v>0</v>
      </c>
    </row>
    <row r="4791">
      <c r="A4791" s="1" t="s">
        <v>3475</v>
      </c>
      <c r="B4791" s="3" t="str">
        <f t="shared" si="1"/>
        <v>Unavailable</v>
      </c>
      <c r="C4791" s="3">
        <v>770.0</v>
      </c>
      <c r="D4791" s="3">
        <f>IFERROR(__xludf.DUMMYFUNCTION("IFERROR(
IF(REGEXMATCH(LOWER(O4791),""k""),
VALUE(REGEXEXTRACT(O4791,""[0-9]+""))*1000,
VALUE(REGEXEXTRACT(O4791,""[0-9]+""))
),
0
)"),0.0)</f>
        <v>0</v>
      </c>
      <c r="E4791" s="1" t="s">
        <v>11</v>
      </c>
      <c r="F4791" s="1" t="s">
        <v>20</v>
      </c>
      <c r="G4791" s="4" t="b">
        <f t="shared" si="2"/>
        <v>1</v>
      </c>
      <c r="H4791" s="1" t="str">
        <f t="shared" si="3"/>
        <v>Currently Unavailable</v>
      </c>
      <c r="I4791" s="1" t="str">
        <f t="shared" si="4"/>
        <v>No Badges</v>
      </c>
      <c r="J4791" s="3">
        <f t="shared" si="5"/>
        <v>0</v>
      </c>
    </row>
    <row r="4792">
      <c r="A4792" s="1" t="s">
        <v>3476</v>
      </c>
      <c r="B4792" s="3" t="str">
        <f t="shared" si="1"/>
        <v>Unavailable</v>
      </c>
      <c r="C4792" s="5">
        <v>2088.0</v>
      </c>
      <c r="D4792" s="3">
        <f>IFERROR(__xludf.DUMMYFUNCTION("IFERROR(
IF(REGEXMATCH(LOWER(O4792),""k""),
VALUE(REGEXEXTRACT(O4792,""[0-9]+""))*1000,
VALUE(REGEXEXTRACT(O4792,""[0-9]+""))
),
0
)"),0.0)</f>
        <v>0</v>
      </c>
      <c r="E4792" s="1" t="s">
        <v>11</v>
      </c>
      <c r="F4792" s="1" t="s">
        <v>20</v>
      </c>
      <c r="G4792" s="4" t="b">
        <f t="shared" si="2"/>
        <v>1</v>
      </c>
      <c r="H4792" s="1" t="str">
        <f t="shared" si="3"/>
        <v>Currently Unavailable</v>
      </c>
      <c r="I4792" s="1" t="str">
        <f t="shared" si="4"/>
        <v>No Badges</v>
      </c>
      <c r="J4792" s="3">
        <f t="shared" si="5"/>
        <v>0</v>
      </c>
    </row>
    <row r="4793">
      <c r="A4793" s="1" t="s">
        <v>3477</v>
      </c>
      <c r="B4793" s="3" t="str">
        <f t="shared" si="1"/>
        <v>Unavailable</v>
      </c>
      <c r="C4793" s="3">
        <v>237.0</v>
      </c>
      <c r="D4793" s="3">
        <f>IFERROR(__xludf.DUMMYFUNCTION("IFERROR(
IF(REGEXMATCH(LOWER(O4793),""k""),
VALUE(REGEXEXTRACT(O4793,""[0-9]+""))*1000,
VALUE(REGEXEXTRACT(O4793,""[0-9]+""))
),
0
)"),0.0)</f>
        <v>0</v>
      </c>
      <c r="E4793" s="1" t="s">
        <v>11</v>
      </c>
      <c r="F4793" s="1" t="s">
        <v>20</v>
      </c>
      <c r="G4793" s="4" t="b">
        <f t="shared" si="2"/>
        <v>1</v>
      </c>
      <c r="H4793" s="1" t="str">
        <f t="shared" si="3"/>
        <v>Currently Unavailable</v>
      </c>
      <c r="I4793" s="1" t="str">
        <f t="shared" si="4"/>
        <v>No Badges</v>
      </c>
      <c r="J4793" s="3">
        <f t="shared" si="5"/>
        <v>0</v>
      </c>
    </row>
    <row r="4794">
      <c r="A4794" s="1" t="s">
        <v>3478</v>
      </c>
      <c r="B4794" s="3" t="str">
        <f t="shared" si="1"/>
        <v>Unavailable</v>
      </c>
      <c r="C4794" s="3">
        <v>477.0</v>
      </c>
      <c r="D4794" s="3">
        <f>IFERROR(__xludf.DUMMYFUNCTION("IFERROR(
IF(REGEXMATCH(LOWER(O4794),""k""),
VALUE(REGEXEXTRACT(O4794,""[0-9]+""))*1000,
VALUE(REGEXEXTRACT(O4794,""[0-9]+""))
),
0
)"),0.0)</f>
        <v>0</v>
      </c>
      <c r="E4794" s="1" t="s">
        <v>11</v>
      </c>
      <c r="F4794" s="1" t="s">
        <v>20</v>
      </c>
      <c r="G4794" s="4" t="b">
        <f t="shared" si="2"/>
        <v>1</v>
      </c>
      <c r="H4794" s="1" t="str">
        <f t="shared" si="3"/>
        <v>Currently Unavailable</v>
      </c>
      <c r="I4794" s="1" t="str">
        <f t="shared" si="4"/>
        <v>No Badges</v>
      </c>
      <c r="J4794" s="3">
        <f t="shared" si="5"/>
        <v>0</v>
      </c>
    </row>
    <row r="4795">
      <c r="A4795" s="1" t="s">
        <v>3479</v>
      </c>
      <c r="B4795" s="3" t="str">
        <f t="shared" si="1"/>
        <v>Unavailable</v>
      </c>
      <c r="C4795" s="5">
        <v>22267.0</v>
      </c>
      <c r="D4795" s="3">
        <f>IFERROR(__xludf.DUMMYFUNCTION("IFERROR(
IF(REGEXMATCH(LOWER(O4795),""k""),
VALUE(REGEXEXTRACT(O4795,""[0-9]+""))*1000,
VALUE(REGEXEXTRACT(O4795,""[0-9]+""))
),
0
)"),0.0)</f>
        <v>0</v>
      </c>
      <c r="E4795" s="1" t="s">
        <v>11</v>
      </c>
      <c r="F4795" s="1" t="s">
        <v>20</v>
      </c>
      <c r="G4795" s="4" t="b">
        <f t="shared" si="2"/>
        <v>1</v>
      </c>
      <c r="H4795" s="1" t="str">
        <f t="shared" si="3"/>
        <v>Currently Unavailable</v>
      </c>
      <c r="I4795" s="1" t="str">
        <f t="shared" si="4"/>
        <v>No Badges</v>
      </c>
      <c r="J4795" s="3">
        <f t="shared" si="5"/>
        <v>0</v>
      </c>
    </row>
    <row r="4796">
      <c r="A4796" s="1" t="s">
        <v>3480</v>
      </c>
      <c r="B4796" s="3" t="str">
        <f t="shared" si="1"/>
        <v>Unavailable</v>
      </c>
      <c r="C4796" s="5">
        <v>3391.0</v>
      </c>
      <c r="D4796" s="3">
        <f>IFERROR(__xludf.DUMMYFUNCTION("IFERROR(
IF(REGEXMATCH(LOWER(O4796),""k""),
VALUE(REGEXEXTRACT(O4796,""[0-9]+""))*1000,
VALUE(REGEXEXTRACT(O4796,""[0-9]+""))
),
0
)"),0.0)</f>
        <v>0</v>
      </c>
      <c r="E4796" s="1" t="s">
        <v>11</v>
      </c>
      <c r="F4796" s="1" t="s">
        <v>20</v>
      </c>
      <c r="G4796" s="4" t="b">
        <f t="shared" si="2"/>
        <v>1</v>
      </c>
      <c r="H4796" s="1" t="str">
        <f t="shared" si="3"/>
        <v>Currently Unavailable</v>
      </c>
      <c r="I4796" s="1" t="str">
        <f t="shared" si="4"/>
        <v>No Badges</v>
      </c>
      <c r="J4796" s="3">
        <f t="shared" si="5"/>
        <v>0</v>
      </c>
    </row>
    <row r="4797">
      <c r="A4797" s="1" t="s">
        <v>3481</v>
      </c>
      <c r="B4797" s="3" t="str">
        <f t="shared" si="1"/>
        <v>Unavailable</v>
      </c>
      <c r="C4797" s="5">
        <v>2292.0</v>
      </c>
      <c r="D4797" s="3">
        <f>IFERROR(__xludf.DUMMYFUNCTION("IFERROR(
IF(REGEXMATCH(LOWER(O4797),""k""),
VALUE(REGEXEXTRACT(O4797,""[0-9]+""))*1000,
VALUE(REGEXEXTRACT(O4797,""[0-9]+""))
),
0
)"),0.0)</f>
        <v>0</v>
      </c>
      <c r="E4797" s="1" t="s">
        <v>158</v>
      </c>
      <c r="F4797" s="1" t="s">
        <v>20</v>
      </c>
      <c r="G4797" s="4" t="b">
        <f t="shared" si="2"/>
        <v>1</v>
      </c>
      <c r="H4797" s="1" t="str">
        <f t="shared" si="3"/>
        <v>Currently Unavailable</v>
      </c>
      <c r="I4797" s="1" t="str">
        <f t="shared" si="4"/>
        <v>No Badges</v>
      </c>
      <c r="J4797" s="3">
        <f t="shared" si="5"/>
        <v>0</v>
      </c>
    </row>
    <row r="4798">
      <c r="A4798" s="1" t="s">
        <v>3482</v>
      </c>
      <c r="B4798" s="3" t="str">
        <f t="shared" si="1"/>
        <v>Unavailable</v>
      </c>
      <c r="C4798" s="5">
        <v>5355.0</v>
      </c>
      <c r="D4798" s="3">
        <f>IFERROR(__xludf.DUMMYFUNCTION("IFERROR(
IF(REGEXMATCH(LOWER(O4798),""k""),
VALUE(REGEXEXTRACT(O4798,""[0-9]+""))*1000,
VALUE(REGEXEXTRACT(O4798,""[0-9]+""))
),
0
)"),0.0)</f>
        <v>0</v>
      </c>
      <c r="E4798" s="1" t="s">
        <v>11</v>
      </c>
      <c r="F4798" s="1" t="s">
        <v>20</v>
      </c>
      <c r="G4798" s="4" t="b">
        <f t="shared" si="2"/>
        <v>1</v>
      </c>
      <c r="H4798" s="1" t="str">
        <f t="shared" si="3"/>
        <v>Currently Unavailable</v>
      </c>
      <c r="I4798" s="1" t="str">
        <f t="shared" si="4"/>
        <v>No Badges</v>
      </c>
      <c r="J4798" s="3">
        <f t="shared" si="5"/>
        <v>0</v>
      </c>
    </row>
    <row r="4799">
      <c r="A4799" s="1" t="s">
        <v>3483</v>
      </c>
      <c r="B4799" s="3" t="str">
        <f t="shared" si="1"/>
        <v>Unavailable</v>
      </c>
      <c r="C4799" s="5">
        <v>21754.0</v>
      </c>
      <c r="D4799" s="3">
        <f>IFERROR(__xludf.DUMMYFUNCTION("IFERROR(
IF(REGEXMATCH(LOWER(O4799),""k""),
VALUE(REGEXEXTRACT(O4799,""[0-9]+""))*1000,
VALUE(REGEXEXTRACT(O4799,""[0-9]+""))
),
0
)"),0.0)</f>
        <v>0</v>
      </c>
      <c r="E4799" s="1" t="s">
        <v>11</v>
      </c>
      <c r="F4799" s="1" t="s">
        <v>20</v>
      </c>
      <c r="G4799" s="4" t="b">
        <f t="shared" si="2"/>
        <v>1</v>
      </c>
      <c r="H4799" s="1" t="str">
        <f t="shared" si="3"/>
        <v>Currently Unavailable</v>
      </c>
      <c r="I4799" s="1" t="str">
        <f t="shared" si="4"/>
        <v>No Badges</v>
      </c>
      <c r="J4799" s="3">
        <f t="shared" si="5"/>
        <v>0</v>
      </c>
    </row>
    <row r="4800">
      <c r="A4800" s="1" t="s">
        <v>3484</v>
      </c>
      <c r="B4800" s="3" t="str">
        <f t="shared" si="1"/>
        <v>Unavailable</v>
      </c>
      <c r="C4800" s="5">
        <v>29012.0</v>
      </c>
      <c r="D4800" s="3">
        <f>IFERROR(__xludf.DUMMYFUNCTION("IFERROR(
IF(REGEXMATCH(LOWER(O4800),""k""),
VALUE(REGEXEXTRACT(O4800,""[0-9]+""))*1000,
VALUE(REGEXEXTRACT(O4800,""[0-9]+""))
),
0
)"),0.0)</f>
        <v>0</v>
      </c>
      <c r="E4800" s="1" t="s">
        <v>11</v>
      </c>
      <c r="F4800" s="1" t="s">
        <v>20</v>
      </c>
      <c r="G4800" s="4" t="b">
        <f t="shared" si="2"/>
        <v>1</v>
      </c>
      <c r="H4800" s="1" t="str">
        <f t="shared" si="3"/>
        <v>Currently Unavailable</v>
      </c>
      <c r="I4800" s="1" t="str">
        <f t="shared" si="4"/>
        <v>No Badges</v>
      </c>
      <c r="J4800" s="3">
        <f t="shared" si="5"/>
        <v>0</v>
      </c>
    </row>
    <row r="4801">
      <c r="A4801" s="1" t="s">
        <v>3485</v>
      </c>
      <c r="B4801" s="3" t="str">
        <f t="shared" si="1"/>
        <v>Unavailable</v>
      </c>
      <c r="C4801" s="5">
        <v>2807.0</v>
      </c>
      <c r="D4801" s="3">
        <f>IFERROR(__xludf.DUMMYFUNCTION("IFERROR(
IF(REGEXMATCH(LOWER(O4801),""k""),
VALUE(REGEXEXTRACT(O4801,""[0-9]+""))*1000,
VALUE(REGEXEXTRACT(O4801,""[0-9]+""))
),
0
)"),0.0)</f>
        <v>0</v>
      </c>
      <c r="E4801" s="1" t="s">
        <v>11</v>
      </c>
      <c r="F4801" s="1" t="s">
        <v>20</v>
      </c>
      <c r="G4801" s="4" t="b">
        <f t="shared" si="2"/>
        <v>1</v>
      </c>
      <c r="H4801" s="1" t="str">
        <f t="shared" si="3"/>
        <v>Currently Unavailable</v>
      </c>
      <c r="I4801" s="1" t="str">
        <f t="shared" si="4"/>
        <v>No Badges</v>
      </c>
      <c r="J4801" s="3">
        <f t="shared" si="5"/>
        <v>0</v>
      </c>
    </row>
    <row r="4802">
      <c r="A4802" s="1" t="s">
        <v>3486</v>
      </c>
      <c r="B4802" s="3" t="str">
        <f t="shared" si="1"/>
        <v>Unavailable</v>
      </c>
      <c r="C4802" s="3">
        <v>304.0</v>
      </c>
      <c r="D4802" s="3">
        <f>IFERROR(__xludf.DUMMYFUNCTION("IFERROR(
IF(REGEXMATCH(LOWER(O4802),""k""),
VALUE(REGEXEXTRACT(O4802,""[0-9]+""))*1000,
VALUE(REGEXEXTRACT(O4802,""[0-9]+""))
),
0
)"),0.0)</f>
        <v>0</v>
      </c>
      <c r="E4802" s="1" t="s">
        <v>11</v>
      </c>
      <c r="F4802" s="1" t="s">
        <v>20</v>
      </c>
      <c r="G4802" s="4" t="b">
        <f t="shared" si="2"/>
        <v>1</v>
      </c>
      <c r="H4802" s="1" t="str">
        <f t="shared" si="3"/>
        <v>Currently Unavailable</v>
      </c>
      <c r="I4802" s="1" t="str">
        <f t="shared" si="4"/>
        <v>No Badges</v>
      </c>
      <c r="J4802" s="3">
        <f t="shared" si="5"/>
        <v>0</v>
      </c>
    </row>
    <row r="4803">
      <c r="A4803" s="1" t="s">
        <v>88</v>
      </c>
      <c r="B4803" s="3" t="str">
        <f t="shared" si="1"/>
        <v>Unavailable</v>
      </c>
      <c r="C4803" s="3">
        <v>5.0</v>
      </c>
      <c r="D4803" s="3">
        <f>IFERROR(__xludf.DUMMYFUNCTION("IFERROR(
IF(REGEXMATCH(LOWER(O4803),""k""),
VALUE(REGEXEXTRACT(O4803,""[0-9]+""))*1000,
VALUE(REGEXEXTRACT(O4803,""[0-9]+""))
),
0
)"),0.0)</f>
        <v>0</v>
      </c>
      <c r="E4803" s="1" t="s">
        <v>11</v>
      </c>
      <c r="F4803" s="1" t="s">
        <v>12</v>
      </c>
      <c r="G4803" s="4" t="b">
        <f t="shared" si="2"/>
        <v>1</v>
      </c>
      <c r="H4803" s="1" t="str">
        <f t="shared" si="3"/>
        <v>Currently Unavailable</v>
      </c>
      <c r="I4803" s="1" t="str">
        <f t="shared" si="4"/>
        <v>No Badges</v>
      </c>
      <c r="J4803" s="3">
        <f t="shared" si="5"/>
        <v>0</v>
      </c>
    </row>
    <row r="4804">
      <c r="A4804" s="1" t="s">
        <v>40</v>
      </c>
      <c r="B4804" s="3" t="str">
        <f t="shared" si="1"/>
        <v>Unavailable</v>
      </c>
      <c r="C4804" s="3">
        <v>171.0</v>
      </c>
      <c r="D4804" s="3">
        <f>IFERROR(__xludf.DUMMYFUNCTION("IFERROR(
IF(REGEXMATCH(LOWER(O4804),""k""),
VALUE(REGEXEXTRACT(O4804,""[0-9]+""))*1000,
VALUE(REGEXEXTRACT(O4804,""[0-9]+""))
),
0
)"),0.0)</f>
        <v>0</v>
      </c>
      <c r="E4804" s="1" t="s">
        <v>11</v>
      </c>
      <c r="F4804" s="1" t="s">
        <v>12</v>
      </c>
      <c r="G4804" s="4" t="b">
        <f t="shared" si="2"/>
        <v>1</v>
      </c>
      <c r="H4804" s="1" t="str">
        <f t="shared" si="3"/>
        <v>Currently Unavailable</v>
      </c>
      <c r="I4804" s="1" t="str">
        <f t="shared" si="4"/>
        <v>No Badges</v>
      </c>
      <c r="J4804" s="3">
        <f t="shared" si="5"/>
        <v>0</v>
      </c>
    </row>
    <row r="4805">
      <c r="A4805" s="1" t="s">
        <v>3487</v>
      </c>
      <c r="B4805" s="3" t="str">
        <f t="shared" si="1"/>
        <v>Unavailable</v>
      </c>
      <c r="C4805" s="5">
        <v>9958.0</v>
      </c>
      <c r="D4805" s="3">
        <f>IFERROR(__xludf.DUMMYFUNCTION("IFERROR(
IF(REGEXMATCH(LOWER(O4805),""k""),
VALUE(REGEXEXTRACT(O4805,""[0-9]+""))*1000,
VALUE(REGEXEXTRACT(O4805,""[0-9]+""))
),
0
)"),0.0)</f>
        <v>0</v>
      </c>
      <c r="E4805" s="1" t="s">
        <v>11</v>
      </c>
      <c r="F4805" s="1" t="s">
        <v>20</v>
      </c>
      <c r="G4805" s="4" t="b">
        <f t="shared" si="2"/>
        <v>1</v>
      </c>
      <c r="H4805" s="1" t="str">
        <f t="shared" si="3"/>
        <v>Currently Unavailable</v>
      </c>
      <c r="I4805" s="1" t="str">
        <f t="shared" si="4"/>
        <v>No Badges</v>
      </c>
      <c r="J4805" s="3">
        <f t="shared" si="5"/>
        <v>0</v>
      </c>
    </row>
    <row r="4806">
      <c r="A4806" s="1" t="s">
        <v>3488</v>
      </c>
      <c r="B4806" s="3" t="str">
        <f t="shared" si="1"/>
        <v>Unavailable</v>
      </c>
      <c r="C4806" s="5">
        <v>50000.0</v>
      </c>
      <c r="D4806" s="3">
        <f>IFERROR(__xludf.DUMMYFUNCTION("IFERROR(
IF(REGEXMATCH(LOWER(O4806),""k""),
VALUE(REGEXEXTRACT(O4806,""[0-9]+""))*1000,
VALUE(REGEXEXTRACT(O4806,""[0-9]+""))
),
0
)"),0.0)</f>
        <v>0</v>
      </c>
      <c r="E4806" s="1" t="s">
        <v>11</v>
      </c>
      <c r="F4806" s="1" t="s">
        <v>20</v>
      </c>
      <c r="G4806" s="4" t="b">
        <f t="shared" si="2"/>
        <v>1</v>
      </c>
      <c r="H4806" s="1" t="str">
        <f t="shared" si="3"/>
        <v>Currently Unavailable</v>
      </c>
      <c r="I4806" s="1" t="str">
        <f t="shared" si="4"/>
        <v>No Badges</v>
      </c>
      <c r="J4806" s="3">
        <f t="shared" si="5"/>
        <v>0</v>
      </c>
    </row>
    <row r="4807">
      <c r="A4807" s="1" t="s">
        <v>69</v>
      </c>
      <c r="B4807" s="3" t="str">
        <f t="shared" si="1"/>
        <v>Unavailable</v>
      </c>
      <c r="C4807" s="3">
        <v>45.0</v>
      </c>
      <c r="D4807" s="3">
        <f>IFERROR(__xludf.DUMMYFUNCTION("IFERROR(
IF(REGEXMATCH(LOWER(O4807),""k""),
VALUE(REGEXEXTRACT(O4807,""[0-9]+""))*1000,
VALUE(REGEXEXTRACT(O4807,""[0-9]+""))
),
0
)"),0.0)</f>
        <v>0</v>
      </c>
      <c r="E4807" s="1" t="s">
        <v>11</v>
      </c>
      <c r="F4807" s="1" t="s">
        <v>12</v>
      </c>
      <c r="G4807" s="4" t="b">
        <f t="shared" si="2"/>
        <v>1</v>
      </c>
      <c r="H4807" s="1" t="str">
        <f t="shared" si="3"/>
        <v>Currently Unavailable</v>
      </c>
      <c r="I4807" s="1" t="str">
        <f t="shared" si="4"/>
        <v>No Badges</v>
      </c>
      <c r="J4807" s="3">
        <f t="shared" si="5"/>
        <v>0</v>
      </c>
    </row>
    <row r="4808">
      <c r="A4808" s="1" t="s">
        <v>3489</v>
      </c>
      <c r="B4808" s="3" t="str">
        <f t="shared" si="1"/>
        <v>Unavailable</v>
      </c>
      <c r="C4808" s="5">
        <v>1864.0</v>
      </c>
      <c r="D4808" s="3">
        <f>IFERROR(__xludf.DUMMYFUNCTION("IFERROR(
IF(REGEXMATCH(LOWER(O4808),""k""),
VALUE(REGEXEXTRACT(O4808,""[0-9]+""))*1000,
VALUE(REGEXEXTRACT(O4808,""[0-9]+""))
),
0
)"),0.0)</f>
        <v>0</v>
      </c>
      <c r="E4808" s="1" t="s">
        <v>11</v>
      </c>
      <c r="F4808" s="1" t="s">
        <v>20</v>
      </c>
      <c r="G4808" s="4" t="b">
        <f t="shared" si="2"/>
        <v>1</v>
      </c>
      <c r="H4808" s="1" t="str">
        <f t="shared" si="3"/>
        <v>Currently Unavailable</v>
      </c>
      <c r="I4808" s="1" t="str">
        <f t="shared" si="4"/>
        <v>No Badges</v>
      </c>
      <c r="J4808" s="3">
        <f t="shared" si="5"/>
        <v>0</v>
      </c>
    </row>
    <row r="4809">
      <c r="A4809" s="1" t="s">
        <v>3490</v>
      </c>
      <c r="B4809" s="3" t="str">
        <f t="shared" si="1"/>
        <v>Unavailable</v>
      </c>
      <c r="C4809" s="5">
        <v>3658.0</v>
      </c>
      <c r="D4809" s="3">
        <f>IFERROR(__xludf.DUMMYFUNCTION("IFERROR(
IF(REGEXMATCH(LOWER(O4809),""k""),
VALUE(REGEXEXTRACT(O4809,""[0-9]+""))*1000,
VALUE(REGEXEXTRACT(O4809,""[0-9]+""))
),
0
)"),0.0)</f>
        <v>0</v>
      </c>
      <c r="E4809" s="1" t="s">
        <v>11</v>
      </c>
      <c r="F4809" s="1" t="s">
        <v>20</v>
      </c>
      <c r="G4809" s="4" t="b">
        <f t="shared" si="2"/>
        <v>1</v>
      </c>
      <c r="H4809" s="1" t="str">
        <f t="shared" si="3"/>
        <v>Currently Unavailable</v>
      </c>
      <c r="I4809" s="1" t="str">
        <f t="shared" si="4"/>
        <v>No Badges</v>
      </c>
      <c r="J4809" s="3">
        <f t="shared" si="5"/>
        <v>0</v>
      </c>
    </row>
    <row r="4810">
      <c r="A4810" s="1" t="s">
        <v>3491</v>
      </c>
      <c r="B4810" s="3" t="str">
        <f t="shared" si="1"/>
        <v>Unavailable</v>
      </c>
      <c r="C4810" s="5">
        <v>19021.0</v>
      </c>
      <c r="D4810" s="3">
        <f>IFERROR(__xludf.DUMMYFUNCTION("IFERROR(
IF(REGEXMATCH(LOWER(O4810),""k""),
VALUE(REGEXEXTRACT(O4810,""[0-9]+""))*1000,
VALUE(REGEXEXTRACT(O4810,""[0-9]+""))
),
0
)"),0.0)</f>
        <v>0</v>
      </c>
      <c r="E4810" s="1" t="s">
        <v>11</v>
      </c>
      <c r="F4810" s="1" t="s">
        <v>20</v>
      </c>
      <c r="G4810" s="4" t="b">
        <f t="shared" si="2"/>
        <v>1</v>
      </c>
      <c r="H4810" s="1" t="str">
        <f t="shared" si="3"/>
        <v>Currently Unavailable</v>
      </c>
      <c r="I4810" s="1" t="str">
        <f t="shared" si="4"/>
        <v>No Badges</v>
      </c>
      <c r="J4810" s="3">
        <f t="shared" si="5"/>
        <v>0</v>
      </c>
    </row>
    <row r="4811">
      <c r="A4811" s="1" t="s">
        <v>3492</v>
      </c>
      <c r="B4811" s="3" t="str">
        <f t="shared" si="1"/>
        <v>Unavailable</v>
      </c>
      <c r="C4811" s="3">
        <v>422.0</v>
      </c>
      <c r="D4811" s="3">
        <f>IFERROR(__xludf.DUMMYFUNCTION("IFERROR(
IF(REGEXMATCH(LOWER(O4811),""k""),
VALUE(REGEXEXTRACT(O4811,""[0-9]+""))*1000,
VALUE(REGEXEXTRACT(O4811,""[0-9]+""))
),
0
)"),0.0)</f>
        <v>0</v>
      </c>
      <c r="E4811" s="1" t="s">
        <v>158</v>
      </c>
      <c r="F4811" s="1" t="s">
        <v>20</v>
      </c>
      <c r="G4811" s="4" t="b">
        <f t="shared" si="2"/>
        <v>1</v>
      </c>
      <c r="H4811" s="1" t="str">
        <f t="shared" si="3"/>
        <v>Currently Unavailable</v>
      </c>
      <c r="I4811" s="1" t="str">
        <f t="shared" si="4"/>
        <v>No Badges</v>
      </c>
      <c r="J4811" s="3">
        <f t="shared" si="5"/>
        <v>0</v>
      </c>
    </row>
    <row r="4812">
      <c r="A4812" s="1" t="s">
        <v>3493</v>
      </c>
      <c r="B4812" s="3" t="str">
        <f t="shared" si="1"/>
        <v>Unavailable</v>
      </c>
      <c r="C4812" s="5">
        <v>1785.0</v>
      </c>
      <c r="D4812" s="3">
        <f>IFERROR(__xludf.DUMMYFUNCTION("IFERROR(
IF(REGEXMATCH(LOWER(O4812),""k""),
VALUE(REGEXEXTRACT(O4812,""[0-9]+""))*1000,
VALUE(REGEXEXTRACT(O4812,""[0-9]+""))
),
0
)"),0.0)</f>
        <v>0</v>
      </c>
      <c r="E4812" s="1" t="s">
        <v>11</v>
      </c>
      <c r="F4812" s="1" t="s">
        <v>20</v>
      </c>
      <c r="G4812" s="4" t="b">
        <f t="shared" si="2"/>
        <v>1</v>
      </c>
      <c r="H4812" s="1" t="str">
        <f t="shared" si="3"/>
        <v>Currently Unavailable</v>
      </c>
      <c r="I4812" s="1" t="str">
        <f t="shared" si="4"/>
        <v>No Badges</v>
      </c>
      <c r="J4812" s="3">
        <f t="shared" si="5"/>
        <v>0</v>
      </c>
    </row>
    <row r="4813">
      <c r="A4813" s="1" t="s">
        <v>3494</v>
      </c>
      <c r="B4813" s="3" t="str">
        <f t="shared" si="1"/>
        <v>Unavailable</v>
      </c>
      <c r="C4813" s="5">
        <v>2703.0</v>
      </c>
      <c r="D4813" s="3">
        <f>IFERROR(__xludf.DUMMYFUNCTION("IFERROR(
IF(REGEXMATCH(LOWER(O4813),""k""),
VALUE(REGEXEXTRACT(O4813,""[0-9]+""))*1000,
VALUE(REGEXEXTRACT(O4813,""[0-9]+""))
),
0
)"),0.0)</f>
        <v>0</v>
      </c>
      <c r="E4813" s="1" t="s">
        <v>11</v>
      </c>
      <c r="F4813" s="1" t="s">
        <v>20</v>
      </c>
      <c r="G4813" s="4" t="b">
        <f t="shared" si="2"/>
        <v>1</v>
      </c>
      <c r="H4813" s="1" t="str">
        <f t="shared" si="3"/>
        <v>Currently Unavailable</v>
      </c>
      <c r="I4813" s="1" t="str">
        <f t="shared" si="4"/>
        <v>No Badges</v>
      </c>
      <c r="J4813" s="3">
        <f t="shared" si="5"/>
        <v>0</v>
      </c>
    </row>
    <row r="4814">
      <c r="A4814" s="1" t="s">
        <v>3495</v>
      </c>
      <c r="B4814" s="3" t="str">
        <f t="shared" si="1"/>
        <v>Unavailable</v>
      </c>
      <c r="C4814" s="5">
        <v>26627.0</v>
      </c>
      <c r="D4814" s="3">
        <f>IFERROR(__xludf.DUMMYFUNCTION("IFERROR(
IF(REGEXMATCH(LOWER(O4814),""k""),
VALUE(REGEXEXTRACT(O4814,""[0-9]+""))*1000,
VALUE(REGEXEXTRACT(O4814,""[0-9]+""))
),
0
)"),0.0)</f>
        <v>0</v>
      </c>
      <c r="E4814" s="1" t="s">
        <v>11</v>
      </c>
      <c r="F4814" s="1" t="s">
        <v>20</v>
      </c>
      <c r="G4814" s="4" t="b">
        <f t="shared" si="2"/>
        <v>1</v>
      </c>
      <c r="H4814" s="1" t="str">
        <f t="shared" si="3"/>
        <v>Currently Unavailable</v>
      </c>
      <c r="I4814" s="1" t="str">
        <f t="shared" si="4"/>
        <v>No Badges</v>
      </c>
      <c r="J4814" s="3">
        <f t="shared" si="5"/>
        <v>0</v>
      </c>
    </row>
    <row r="4815">
      <c r="A4815" s="1" t="s">
        <v>3496</v>
      </c>
      <c r="B4815" s="3" t="str">
        <f t="shared" si="1"/>
        <v>Unavailable</v>
      </c>
      <c r="C4815" s="5">
        <v>1642.0</v>
      </c>
      <c r="D4815" s="3">
        <f>IFERROR(__xludf.DUMMYFUNCTION("IFERROR(
IF(REGEXMATCH(LOWER(O4815),""k""),
VALUE(REGEXEXTRACT(O4815,""[0-9]+""))*1000,
VALUE(REGEXEXTRACT(O4815,""[0-9]+""))
),
0
)"),0.0)</f>
        <v>0</v>
      </c>
      <c r="E4815" s="1" t="s">
        <v>11</v>
      </c>
      <c r="F4815" s="1" t="s">
        <v>20</v>
      </c>
      <c r="G4815" s="4" t="b">
        <f t="shared" si="2"/>
        <v>1</v>
      </c>
      <c r="H4815" s="1" t="str">
        <f t="shared" si="3"/>
        <v>Currently Unavailable</v>
      </c>
      <c r="I4815" s="1" t="str">
        <f t="shared" si="4"/>
        <v>No Badges</v>
      </c>
      <c r="J4815" s="3">
        <f t="shared" si="5"/>
        <v>0</v>
      </c>
    </row>
    <row r="4816">
      <c r="A4816" s="1" t="s">
        <v>3497</v>
      </c>
      <c r="B4816" s="3" t="str">
        <f t="shared" si="1"/>
        <v>Unavailable</v>
      </c>
      <c r="C4816" s="5">
        <v>2469.0</v>
      </c>
      <c r="D4816" s="3">
        <f>IFERROR(__xludf.DUMMYFUNCTION("IFERROR(
IF(REGEXMATCH(LOWER(O4816),""k""),
VALUE(REGEXEXTRACT(O4816,""[0-9]+""))*1000,
VALUE(REGEXEXTRACT(O4816,""[0-9]+""))
),
0
)"),0.0)</f>
        <v>0</v>
      </c>
      <c r="E4816" s="1" t="s">
        <v>11</v>
      </c>
      <c r="F4816" s="1" t="s">
        <v>20</v>
      </c>
      <c r="G4816" s="4" t="b">
        <f t="shared" si="2"/>
        <v>1</v>
      </c>
      <c r="H4816" s="1" t="str">
        <f t="shared" si="3"/>
        <v>Currently Unavailable</v>
      </c>
      <c r="I4816" s="1" t="str">
        <f t="shared" si="4"/>
        <v>No Badges</v>
      </c>
      <c r="J4816" s="3">
        <f t="shared" si="5"/>
        <v>0</v>
      </c>
    </row>
    <row r="4817">
      <c r="A4817" s="1" t="s">
        <v>3498</v>
      </c>
      <c r="B4817" s="3" t="str">
        <f t="shared" si="1"/>
        <v>Unavailable</v>
      </c>
      <c r="C4817" s="3">
        <v>755.0</v>
      </c>
      <c r="D4817" s="3">
        <f>IFERROR(__xludf.DUMMYFUNCTION("IFERROR(
IF(REGEXMATCH(LOWER(O4817),""k""),
VALUE(REGEXEXTRACT(O4817,""[0-9]+""))*1000,
VALUE(REGEXEXTRACT(O4817,""[0-9]+""))
),
0
)"),0.0)</f>
        <v>0</v>
      </c>
      <c r="E4817" s="1" t="s">
        <v>11</v>
      </c>
      <c r="F4817" s="1" t="s">
        <v>20</v>
      </c>
      <c r="G4817" s="4" t="b">
        <f t="shared" si="2"/>
        <v>1</v>
      </c>
      <c r="H4817" s="1" t="str">
        <f t="shared" si="3"/>
        <v>Currently Unavailable</v>
      </c>
      <c r="I4817" s="1" t="str">
        <f t="shared" si="4"/>
        <v>No Badges</v>
      </c>
      <c r="J4817" s="3">
        <f t="shared" si="5"/>
        <v>0</v>
      </c>
    </row>
    <row r="4818">
      <c r="A4818" s="1" t="s">
        <v>3499</v>
      </c>
      <c r="B4818" s="3" t="str">
        <f t="shared" si="1"/>
        <v>Unavailable</v>
      </c>
      <c r="C4818" s="5">
        <v>1357.0</v>
      </c>
      <c r="D4818" s="3">
        <f>IFERROR(__xludf.DUMMYFUNCTION("IFERROR(
IF(REGEXMATCH(LOWER(O4818),""k""),
VALUE(REGEXEXTRACT(O4818,""[0-9]+""))*1000,
VALUE(REGEXEXTRACT(O4818,""[0-9]+""))
),
0
)"),0.0)</f>
        <v>0</v>
      </c>
      <c r="E4818" s="1" t="s">
        <v>11</v>
      </c>
      <c r="F4818" s="1" t="s">
        <v>20</v>
      </c>
      <c r="G4818" s="4" t="b">
        <f t="shared" si="2"/>
        <v>1</v>
      </c>
      <c r="H4818" s="1" t="str">
        <f t="shared" si="3"/>
        <v>Currently Unavailable</v>
      </c>
      <c r="I4818" s="1" t="str">
        <f t="shared" si="4"/>
        <v>No Badges</v>
      </c>
      <c r="J4818" s="3">
        <f t="shared" si="5"/>
        <v>0</v>
      </c>
    </row>
    <row r="4819">
      <c r="A4819" s="1" t="s">
        <v>3500</v>
      </c>
      <c r="B4819" s="3" t="str">
        <f t="shared" si="1"/>
        <v>Unavailable</v>
      </c>
      <c r="C4819" s="5">
        <v>5765.0</v>
      </c>
      <c r="D4819" s="3">
        <f>IFERROR(__xludf.DUMMYFUNCTION("IFERROR(
IF(REGEXMATCH(LOWER(O4819),""k""),
VALUE(REGEXEXTRACT(O4819,""[0-9]+""))*1000,
VALUE(REGEXEXTRACT(O4819,""[0-9]+""))
),
0
)"),0.0)</f>
        <v>0</v>
      </c>
      <c r="E4819" s="1" t="s">
        <v>11</v>
      </c>
      <c r="F4819" s="1" t="s">
        <v>20</v>
      </c>
      <c r="G4819" s="4" t="b">
        <f t="shared" si="2"/>
        <v>1</v>
      </c>
      <c r="H4819" s="1" t="str">
        <f t="shared" si="3"/>
        <v>Currently Unavailable</v>
      </c>
      <c r="I4819" s="1" t="str">
        <f t="shared" si="4"/>
        <v>No Badges</v>
      </c>
      <c r="J4819" s="3">
        <f t="shared" si="5"/>
        <v>0</v>
      </c>
    </row>
    <row r="4820">
      <c r="A4820" s="1" t="s">
        <v>3501</v>
      </c>
      <c r="B4820" s="3" t="str">
        <f t="shared" si="1"/>
        <v>Unavailable</v>
      </c>
      <c r="C4820" s="5">
        <v>8350.0</v>
      </c>
      <c r="D4820" s="3">
        <f>IFERROR(__xludf.DUMMYFUNCTION("IFERROR(
IF(REGEXMATCH(LOWER(O4820),""k""),
VALUE(REGEXEXTRACT(O4820,""[0-9]+""))*1000,
VALUE(REGEXEXTRACT(O4820,""[0-9]+""))
),
0
)"),0.0)</f>
        <v>0</v>
      </c>
      <c r="E4820" s="1" t="s">
        <v>11</v>
      </c>
      <c r="F4820" s="1" t="s">
        <v>20</v>
      </c>
      <c r="G4820" s="4" t="b">
        <f t="shared" si="2"/>
        <v>1</v>
      </c>
      <c r="H4820" s="1" t="str">
        <f t="shared" si="3"/>
        <v>Currently Unavailable</v>
      </c>
      <c r="I4820" s="1" t="str">
        <f t="shared" si="4"/>
        <v>No Badges</v>
      </c>
      <c r="J4820" s="3">
        <f t="shared" si="5"/>
        <v>0</v>
      </c>
    </row>
    <row r="4821">
      <c r="A4821" s="1" t="s">
        <v>67</v>
      </c>
      <c r="B4821" s="3" t="str">
        <f t="shared" si="1"/>
        <v>Unavailable</v>
      </c>
      <c r="C4821" s="3">
        <v>264.0</v>
      </c>
      <c r="D4821" s="3">
        <f>IFERROR(__xludf.DUMMYFUNCTION("IFERROR(
IF(REGEXMATCH(LOWER(O4821),""k""),
VALUE(REGEXEXTRACT(O4821,""[0-9]+""))*1000,
VALUE(REGEXEXTRACT(O4821,""[0-9]+""))
),
0
)"),0.0)</f>
        <v>0</v>
      </c>
      <c r="E4821" s="1" t="s">
        <v>11</v>
      </c>
      <c r="F4821" s="1" t="s">
        <v>12</v>
      </c>
      <c r="G4821" s="4" t="b">
        <f t="shared" si="2"/>
        <v>1</v>
      </c>
      <c r="H4821" s="1" t="str">
        <f t="shared" si="3"/>
        <v>Currently Unavailable</v>
      </c>
      <c r="I4821" s="1" t="str">
        <f t="shared" si="4"/>
        <v>No Badges</v>
      </c>
      <c r="J4821" s="3">
        <f t="shared" si="5"/>
        <v>0</v>
      </c>
    </row>
    <row r="4822">
      <c r="A4822" s="1" t="s">
        <v>3502</v>
      </c>
      <c r="B4822" s="3" t="str">
        <f t="shared" si="1"/>
        <v>Unavailable</v>
      </c>
      <c r="C4822" s="5">
        <v>13127.0</v>
      </c>
      <c r="D4822" s="3">
        <f>IFERROR(__xludf.DUMMYFUNCTION("IFERROR(
IF(REGEXMATCH(LOWER(O4822),""k""),
VALUE(REGEXEXTRACT(O4822,""[0-9]+""))*1000,
VALUE(REGEXEXTRACT(O4822,""[0-9]+""))
),
0
)"),0.0)</f>
        <v>0</v>
      </c>
      <c r="E4822" s="1" t="s">
        <v>11</v>
      </c>
      <c r="F4822" s="1" t="s">
        <v>20</v>
      </c>
      <c r="G4822" s="4" t="b">
        <f t="shared" si="2"/>
        <v>1</v>
      </c>
      <c r="H4822" s="1" t="str">
        <f t="shared" si="3"/>
        <v>Currently Unavailable</v>
      </c>
      <c r="I4822" s="1" t="str">
        <f t="shared" si="4"/>
        <v>No Badges</v>
      </c>
      <c r="J4822" s="3">
        <f t="shared" si="5"/>
        <v>0</v>
      </c>
    </row>
    <row r="4823">
      <c r="A4823" s="1" t="s">
        <v>3503</v>
      </c>
      <c r="B4823" s="3" t="str">
        <f t="shared" si="1"/>
        <v>Unavailable</v>
      </c>
      <c r="C4823" s="5">
        <v>15805.0</v>
      </c>
      <c r="D4823" s="3">
        <f>IFERROR(__xludf.DUMMYFUNCTION("IFERROR(
IF(REGEXMATCH(LOWER(O4823),""k""),
VALUE(REGEXEXTRACT(O4823,""[0-9]+""))*1000,
VALUE(REGEXEXTRACT(O4823,""[0-9]+""))
),
0
)"),0.0)</f>
        <v>0</v>
      </c>
      <c r="E4823" s="1" t="s">
        <v>11</v>
      </c>
      <c r="F4823" s="1" t="s">
        <v>20</v>
      </c>
      <c r="G4823" s="4" t="b">
        <f t="shared" si="2"/>
        <v>1</v>
      </c>
      <c r="H4823" s="1" t="str">
        <f t="shared" si="3"/>
        <v>Currently Unavailable</v>
      </c>
      <c r="I4823" s="1" t="str">
        <f t="shared" si="4"/>
        <v>No Badges</v>
      </c>
      <c r="J4823" s="3">
        <f t="shared" si="5"/>
        <v>0</v>
      </c>
    </row>
    <row r="4824">
      <c r="A4824" s="1" t="s">
        <v>3504</v>
      </c>
      <c r="B4824" s="3" t="str">
        <f t="shared" si="1"/>
        <v>Unavailable</v>
      </c>
      <c r="C4824" s="5">
        <v>9371.0</v>
      </c>
      <c r="D4824" s="3">
        <f>IFERROR(__xludf.DUMMYFUNCTION("IFERROR(
IF(REGEXMATCH(LOWER(O4824),""k""),
VALUE(REGEXEXTRACT(O4824,""[0-9]+""))*1000,
VALUE(REGEXEXTRACT(O4824,""[0-9]+""))
),
0
)"),0.0)</f>
        <v>0</v>
      </c>
      <c r="E4824" s="1" t="s">
        <v>11</v>
      </c>
      <c r="F4824" s="1" t="s">
        <v>20</v>
      </c>
      <c r="G4824" s="4" t="b">
        <f t="shared" si="2"/>
        <v>1</v>
      </c>
      <c r="H4824" s="1" t="str">
        <f t="shared" si="3"/>
        <v>Currently Unavailable</v>
      </c>
      <c r="I4824" s="1" t="str">
        <f t="shared" si="4"/>
        <v>No Badges</v>
      </c>
      <c r="J4824" s="3">
        <f t="shared" si="5"/>
        <v>0</v>
      </c>
    </row>
    <row r="4825">
      <c r="A4825" s="1" t="s">
        <v>3505</v>
      </c>
      <c r="B4825" s="3" t="str">
        <f t="shared" si="1"/>
        <v>Unavailable</v>
      </c>
      <c r="C4825" s="5">
        <v>2226.0</v>
      </c>
      <c r="D4825" s="3">
        <f>IFERROR(__xludf.DUMMYFUNCTION("IFERROR(
IF(REGEXMATCH(LOWER(O4825),""k""),
VALUE(REGEXEXTRACT(O4825,""[0-9]+""))*1000,
VALUE(REGEXEXTRACT(O4825,""[0-9]+""))
),
0
)"),0.0)</f>
        <v>0</v>
      </c>
      <c r="E4825" s="1" t="s">
        <v>11</v>
      </c>
      <c r="F4825" s="1" t="s">
        <v>20</v>
      </c>
      <c r="G4825" s="4" t="b">
        <f t="shared" si="2"/>
        <v>1</v>
      </c>
      <c r="H4825" s="1" t="str">
        <f t="shared" si="3"/>
        <v>Currently Unavailable</v>
      </c>
      <c r="I4825" s="1" t="str">
        <f t="shared" si="4"/>
        <v>No Badges</v>
      </c>
      <c r="J4825" s="3">
        <f t="shared" si="5"/>
        <v>0</v>
      </c>
    </row>
    <row r="4826">
      <c r="A4826" s="1" t="s">
        <v>3506</v>
      </c>
      <c r="B4826" s="3" t="str">
        <f t="shared" si="1"/>
        <v>Unavailable</v>
      </c>
      <c r="C4826" s="5">
        <v>20915.0</v>
      </c>
      <c r="D4826" s="3">
        <f>IFERROR(__xludf.DUMMYFUNCTION("IFERROR(
IF(REGEXMATCH(LOWER(O4826),""k""),
VALUE(REGEXEXTRACT(O4826,""[0-9]+""))*1000,
VALUE(REGEXEXTRACT(O4826,""[0-9]+""))
),
0
)"),0.0)</f>
        <v>0</v>
      </c>
      <c r="E4826" s="1" t="s">
        <v>11</v>
      </c>
      <c r="F4826" s="1" t="s">
        <v>20</v>
      </c>
      <c r="G4826" s="4" t="b">
        <f t="shared" si="2"/>
        <v>1</v>
      </c>
      <c r="H4826" s="1" t="str">
        <f t="shared" si="3"/>
        <v>Currently Unavailable</v>
      </c>
      <c r="I4826" s="1" t="str">
        <f t="shared" si="4"/>
        <v>No Badges</v>
      </c>
      <c r="J4826" s="3">
        <f t="shared" si="5"/>
        <v>0</v>
      </c>
    </row>
    <row r="4827">
      <c r="A4827" s="1" t="s">
        <v>3507</v>
      </c>
      <c r="B4827" s="3" t="str">
        <f t="shared" si="1"/>
        <v>Unavailable</v>
      </c>
      <c r="C4827" s="5">
        <v>5283.0</v>
      </c>
      <c r="D4827" s="3">
        <f>IFERROR(__xludf.DUMMYFUNCTION("IFERROR(
IF(REGEXMATCH(LOWER(O4827),""k""),
VALUE(REGEXEXTRACT(O4827,""[0-9]+""))*1000,
VALUE(REGEXEXTRACT(O4827,""[0-9]+""))
),
0
)"),0.0)</f>
        <v>0</v>
      </c>
      <c r="E4827" s="1" t="s">
        <v>11</v>
      </c>
      <c r="F4827" s="1" t="s">
        <v>20</v>
      </c>
      <c r="G4827" s="4" t="b">
        <f t="shared" si="2"/>
        <v>1</v>
      </c>
      <c r="H4827" s="1" t="str">
        <f t="shared" si="3"/>
        <v>Currently Unavailable</v>
      </c>
      <c r="I4827" s="1" t="str">
        <f t="shared" si="4"/>
        <v>No Badges</v>
      </c>
      <c r="J4827" s="3">
        <f t="shared" si="5"/>
        <v>0</v>
      </c>
    </row>
    <row r="4828">
      <c r="A4828" s="1" t="s">
        <v>3508</v>
      </c>
      <c r="B4828" s="3" t="str">
        <f t="shared" si="1"/>
        <v>Unavailable</v>
      </c>
      <c r="C4828" s="3">
        <v>37.0</v>
      </c>
      <c r="D4828" s="3">
        <f>IFERROR(__xludf.DUMMYFUNCTION("IFERROR(
IF(REGEXMATCH(LOWER(O4828),""k""),
VALUE(REGEXEXTRACT(O4828,""[0-9]+""))*1000,
VALUE(REGEXEXTRACT(O4828,""[0-9]+""))
),
0
)"),0.0)</f>
        <v>0</v>
      </c>
      <c r="E4828" s="1" t="s">
        <v>11</v>
      </c>
      <c r="F4828" s="1" t="s">
        <v>20</v>
      </c>
      <c r="G4828" s="4" t="b">
        <f t="shared" si="2"/>
        <v>1</v>
      </c>
      <c r="H4828" s="1" t="str">
        <f t="shared" si="3"/>
        <v>Currently Unavailable</v>
      </c>
      <c r="I4828" s="1" t="str">
        <f t="shared" si="4"/>
        <v>No Badges</v>
      </c>
      <c r="J4828" s="3">
        <f t="shared" si="5"/>
        <v>0</v>
      </c>
    </row>
    <row r="4829">
      <c r="A4829" s="1" t="s">
        <v>3509</v>
      </c>
      <c r="B4829" s="3" t="str">
        <f t="shared" si="1"/>
        <v>Unavailable</v>
      </c>
      <c r="C4829" s="3">
        <v>581.0</v>
      </c>
      <c r="D4829" s="3">
        <f>IFERROR(__xludf.DUMMYFUNCTION("IFERROR(
IF(REGEXMATCH(LOWER(O4829),""k""),
VALUE(REGEXEXTRACT(O4829,""[0-9]+""))*1000,
VALUE(REGEXEXTRACT(O4829,""[0-9]+""))
),
0
)"),0.0)</f>
        <v>0</v>
      </c>
      <c r="E4829" s="1" t="s">
        <v>11</v>
      </c>
      <c r="F4829" s="1" t="s">
        <v>20</v>
      </c>
      <c r="G4829" s="4" t="b">
        <f t="shared" si="2"/>
        <v>1</v>
      </c>
      <c r="H4829" s="1" t="str">
        <f t="shared" si="3"/>
        <v>Currently Unavailable</v>
      </c>
      <c r="I4829" s="1" t="str">
        <f t="shared" si="4"/>
        <v>No Badges</v>
      </c>
      <c r="J4829" s="3">
        <f t="shared" si="5"/>
        <v>0</v>
      </c>
    </row>
    <row r="4830">
      <c r="A4830" s="1" t="s">
        <v>3510</v>
      </c>
      <c r="B4830" s="3" t="str">
        <f t="shared" si="1"/>
        <v>Unavailable</v>
      </c>
      <c r="C4830" s="5">
        <v>2409.0</v>
      </c>
      <c r="D4830" s="3">
        <f>IFERROR(__xludf.DUMMYFUNCTION("IFERROR(
IF(REGEXMATCH(LOWER(O4830),""k""),
VALUE(REGEXEXTRACT(O4830,""[0-9]+""))*1000,
VALUE(REGEXEXTRACT(O4830,""[0-9]+""))
),
0
)"),0.0)</f>
        <v>0</v>
      </c>
      <c r="E4830" s="1" t="s">
        <v>11</v>
      </c>
      <c r="F4830" s="1" t="s">
        <v>20</v>
      </c>
      <c r="G4830" s="4" t="b">
        <f t="shared" si="2"/>
        <v>1</v>
      </c>
      <c r="H4830" s="1" t="str">
        <f t="shared" si="3"/>
        <v>Currently Unavailable</v>
      </c>
      <c r="I4830" s="1" t="str">
        <f t="shared" si="4"/>
        <v>No Badges</v>
      </c>
      <c r="J4830" s="3">
        <f t="shared" si="5"/>
        <v>0</v>
      </c>
    </row>
    <row r="4831">
      <c r="A4831" s="1" t="s">
        <v>3511</v>
      </c>
      <c r="B4831" s="3" t="str">
        <f t="shared" si="1"/>
        <v>Unavailable</v>
      </c>
      <c r="C4831" s="5">
        <v>4124.0</v>
      </c>
      <c r="D4831" s="3">
        <f>IFERROR(__xludf.DUMMYFUNCTION("IFERROR(
IF(REGEXMATCH(LOWER(O4831),""k""),
VALUE(REGEXEXTRACT(O4831,""[0-9]+""))*1000,
VALUE(REGEXEXTRACT(O4831,""[0-9]+""))
),
0
)"),0.0)</f>
        <v>0</v>
      </c>
      <c r="E4831" s="1" t="s">
        <v>11</v>
      </c>
      <c r="F4831" s="1" t="s">
        <v>20</v>
      </c>
      <c r="G4831" s="4" t="b">
        <f t="shared" si="2"/>
        <v>1</v>
      </c>
      <c r="H4831" s="1" t="str">
        <f t="shared" si="3"/>
        <v>Currently Unavailable</v>
      </c>
      <c r="I4831" s="1" t="str">
        <f t="shared" si="4"/>
        <v>No Badges</v>
      </c>
      <c r="J4831" s="3">
        <f t="shared" si="5"/>
        <v>0</v>
      </c>
    </row>
    <row r="4832">
      <c r="A4832" s="1" t="s">
        <v>3512</v>
      </c>
      <c r="B4832" s="3" t="str">
        <f t="shared" si="1"/>
        <v>Unavailable</v>
      </c>
      <c r="C4832" s="3">
        <v>763.0</v>
      </c>
      <c r="D4832" s="3">
        <f>IFERROR(__xludf.DUMMYFUNCTION("IFERROR(
IF(REGEXMATCH(LOWER(O4832),""k""),
VALUE(REGEXEXTRACT(O4832,""[0-9]+""))*1000,
VALUE(REGEXEXTRACT(O4832,""[0-9]+""))
),
0
)"),0.0)</f>
        <v>0</v>
      </c>
      <c r="E4832" s="1" t="s">
        <v>11</v>
      </c>
      <c r="F4832" s="1" t="s">
        <v>20</v>
      </c>
      <c r="G4832" s="4" t="b">
        <f t="shared" si="2"/>
        <v>1</v>
      </c>
      <c r="H4832" s="1" t="str">
        <f t="shared" si="3"/>
        <v>Currently Unavailable</v>
      </c>
      <c r="I4832" s="1" t="str">
        <f t="shared" si="4"/>
        <v>No Badges</v>
      </c>
      <c r="J4832" s="3">
        <f t="shared" si="5"/>
        <v>0</v>
      </c>
    </row>
    <row r="4833">
      <c r="A4833" s="1" t="s">
        <v>3513</v>
      </c>
      <c r="B4833" s="3" t="str">
        <f t="shared" si="1"/>
        <v>Unavailable</v>
      </c>
      <c r="C4833" s="5">
        <v>1682.0</v>
      </c>
      <c r="D4833" s="3">
        <f>IFERROR(__xludf.DUMMYFUNCTION("IFERROR(
IF(REGEXMATCH(LOWER(O4833),""k""),
VALUE(REGEXEXTRACT(O4833,""[0-9]+""))*1000,
VALUE(REGEXEXTRACT(O4833,""[0-9]+""))
),
0
)"),0.0)</f>
        <v>0</v>
      </c>
      <c r="E4833" s="1" t="s">
        <v>11</v>
      </c>
      <c r="F4833" s="1" t="s">
        <v>20</v>
      </c>
      <c r="G4833" s="4" t="b">
        <f t="shared" si="2"/>
        <v>1</v>
      </c>
      <c r="H4833" s="1" t="str">
        <f t="shared" si="3"/>
        <v>Currently Unavailable</v>
      </c>
      <c r="I4833" s="1" t="str">
        <f t="shared" si="4"/>
        <v>No Badges</v>
      </c>
      <c r="J4833" s="3">
        <f t="shared" si="5"/>
        <v>0</v>
      </c>
    </row>
    <row r="4834">
      <c r="A4834" s="1" t="s">
        <v>3514</v>
      </c>
      <c r="B4834" s="3" t="str">
        <f t="shared" si="1"/>
        <v>Unavailable</v>
      </c>
      <c r="C4834" s="5">
        <v>20612.0</v>
      </c>
      <c r="D4834" s="3">
        <f>IFERROR(__xludf.DUMMYFUNCTION("IFERROR(
IF(REGEXMATCH(LOWER(O4834),""k""),
VALUE(REGEXEXTRACT(O4834,""[0-9]+""))*1000,
VALUE(REGEXEXTRACT(O4834,""[0-9]+""))
),
0
)"),0.0)</f>
        <v>0</v>
      </c>
      <c r="E4834" s="1" t="s">
        <v>11</v>
      </c>
      <c r="F4834" s="1" t="s">
        <v>20</v>
      </c>
      <c r="G4834" s="4" t="b">
        <f t="shared" si="2"/>
        <v>1</v>
      </c>
      <c r="H4834" s="1" t="str">
        <f t="shared" si="3"/>
        <v>Currently Unavailable</v>
      </c>
      <c r="I4834" s="1" t="str">
        <f t="shared" si="4"/>
        <v>No Badges</v>
      </c>
      <c r="J4834" s="3">
        <f t="shared" si="5"/>
        <v>0</v>
      </c>
    </row>
    <row r="4835">
      <c r="A4835" s="1" t="s">
        <v>701</v>
      </c>
      <c r="B4835" s="3" t="str">
        <f t="shared" si="1"/>
        <v>Unavailable</v>
      </c>
      <c r="C4835" s="3">
        <v>8.0</v>
      </c>
      <c r="D4835" s="3">
        <f>IFERROR(__xludf.DUMMYFUNCTION("IFERROR(
IF(REGEXMATCH(LOWER(O4835),""k""),
VALUE(REGEXEXTRACT(O4835,""[0-9]+""))*1000,
VALUE(REGEXEXTRACT(O4835,""[0-9]+""))
),
0
)"),0.0)</f>
        <v>0</v>
      </c>
      <c r="E4835" s="1" t="s">
        <v>11</v>
      </c>
      <c r="F4835" s="1" t="s">
        <v>12</v>
      </c>
      <c r="G4835" s="4" t="b">
        <f t="shared" si="2"/>
        <v>1</v>
      </c>
      <c r="H4835" s="1" t="str">
        <f t="shared" si="3"/>
        <v>Currently Unavailable</v>
      </c>
      <c r="I4835" s="1" t="str">
        <f t="shared" si="4"/>
        <v>No Badges</v>
      </c>
      <c r="J4835" s="3">
        <f t="shared" si="5"/>
        <v>0</v>
      </c>
    </row>
    <row r="4836">
      <c r="A4836" s="1" t="s">
        <v>3515</v>
      </c>
      <c r="B4836" s="3" t="str">
        <f t="shared" si="1"/>
        <v>Unavailable</v>
      </c>
      <c r="C4836" s="3">
        <v>513.0</v>
      </c>
      <c r="D4836" s="3">
        <f>IFERROR(__xludf.DUMMYFUNCTION("IFERROR(
IF(REGEXMATCH(LOWER(O4836),""k""),
VALUE(REGEXEXTRACT(O4836,""[0-9]+""))*1000,
VALUE(REGEXEXTRACT(O4836,""[0-9]+""))
),
0
)"),0.0)</f>
        <v>0</v>
      </c>
      <c r="E4836" s="1" t="s">
        <v>11</v>
      </c>
      <c r="F4836" s="1" t="s">
        <v>20</v>
      </c>
      <c r="G4836" s="4" t="b">
        <f t="shared" si="2"/>
        <v>1</v>
      </c>
      <c r="H4836" s="1" t="str">
        <f t="shared" si="3"/>
        <v>Currently Unavailable</v>
      </c>
      <c r="I4836" s="1" t="str">
        <f t="shared" si="4"/>
        <v>No Badges</v>
      </c>
      <c r="J4836" s="3">
        <f t="shared" si="5"/>
        <v>0</v>
      </c>
    </row>
    <row r="4837">
      <c r="A4837" s="1" t="s">
        <v>3516</v>
      </c>
      <c r="B4837" s="3" t="str">
        <f t="shared" si="1"/>
        <v>Unavailable</v>
      </c>
      <c r="C4837" s="5">
        <v>61227.0</v>
      </c>
      <c r="D4837" s="3">
        <f>IFERROR(__xludf.DUMMYFUNCTION("IFERROR(
IF(REGEXMATCH(LOWER(O4837),""k""),
VALUE(REGEXEXTRACT(O4837,""[0-9]+""))*1000,
VALUE(REGEXEXTRACT(O4837,""[0-9]+""))
),
0
)"),0.0)</f>
        <v>0</v>
      </c>
      <c r="E4837" s="1" t="s">
        <v>11</v>
      </c>
      <c r="F4837" s="1" t="s">
        <v>20</v>
      </c>
      <c r="G4837" s="4" t="b">
        <f t="shared" si="2"/>
        <v>1</v>
      </c>
      <c r="H4837" s="1" t="str">
        <f t="shared" si="3"/>
        <v>Currently Unavailable</v>
      </c>
      <c r="I4837" s="1" t="str">
        <f t="shared" si="4"/>
        <v>No Badges</v>
      </c>
      <c r="J4837" s="3">
        <f t="shared" si="5"/>
        <v>0</v>
      </c>
    </row>
    <row r="4838">
      <c r="A4838" s="1" t="s">
        <v>3517</v>
      </c>
      <c r="B4838" s="3" t="str">
        <f t="shared" si="1"/>
        <v>Unavailable</v>
      </c>
      <c r="C4838" s="3">
        <v>295.0</v>
      </c>
      <c r="D4838" s="3">
        <f>IFERROR(__xludf.DUMMYFUNCTION("IFERROR(
IF(REGEXMATCH(LOWER(O4838),""k""),
VALUE(REGEXEXTRACT(O4838,""[0-9]+""))*1000,
VALUE(REGEXEXTRACT(O4838,""[0-9]+""))
),
0
)"),0.0)</f>
        <v>0</v>
      </c>
      <c r="E4838" s="1" t="s">
        <v>11</v>
      </c>
      <c r="F4838" s="1" t="s">
        <v>20</v>
      </c>
      <c r="G4838" s="4" t="b">
        <f t="shared" si="2"/>
        <v>1</v>
      </c>
      <c r="H4838" s="1" t="str">
        <f t="shared" si="3"/>
        <v>Currently Unavailable</v>
      </c>
      <c r="I4838" s="1" t="str">
        <f t="shared" si="4"/>
        <v>No Badges</v>
      </c>
      <c r="J4838" s="3">
        <f t="shared" si="5"/>
        <v>0</v>
      </c>
    </row>
    <row r="4839">
      <c r="A4839" s="1" t="s">
        <v>3518</v>
      </c>
      <c r="B4839" s="3" t="str">
        <f t="shared" si="1"/>
        <v>Unavailable</v>
      </c>
      <c r="C4839" s="5">
        <v>13908.0</v>
      </c>
      <c r="D4839" s="3">
        <f>IFERROR(__xludf.DUMMYFUNCTION("IFERROR(
IF(REGEXMATCH(LOWER(O4839),""k""),
VALUE(REGEXEXTRACT(O4839,""[0-9]+""))*1000,
VALUE(REGEXEXTRACT(O4839,""[0-9]+""))
),
0
)"),0.0)</f>
        <v>0</v>
      </c>
      <c r="E4839" s="1" t="s">
        <v>11</v>
      </c>
      <c r="F4839" s="1" t="s">
        <v>20</v>
      </c>
      <c r="G4839" s="4" t="b">
        <f t="shared" si="2"/>
        <v>1</v>
      </c>
      <c r="H4839" s="1" t="str">
        <f t="shared" si="3"/>
        <v>Currently Unavailable</v>
      </c>
      <c r="I4839" s="1" t="str">
        <f t="shared" si="4"/>
        <v>No Badges</v>
      </c>
      <c r="J4839" s="3">
        <f t="shared" si="5"/>
        <v>0</v>
      </c>
    </row>
    <row r="4840">
      <c r="A4840" s="1" t="s">
        <v>88</v>
      </c>
      <c r="B4840" s="3" t="str">
        <f t="shared" si="1"/>
        <v>Unavailable</v>
      </c>
      <c r="C4840" s="3">
        <v>5.0</v>
      </c>
      <c r="D4840" s="3">
        <f>IFERROR(__xludf.DUMMYFUNCTION("IFERROR(
IF(REGEXMATCH(LOWER(O4840),""k""),
VALUE(REGEXEXTRACT(O4840,""[0-9]+""))*1000,
VALUE(REGEXEXTRACT(O4840,""[0-9]+""))
),
0
)"),0.0)</f>
        <v>0</v>
      </c>
      <c r="E4840" s="1" t="s">
        <v>11</v>
      </c>
      <c r="F4840" s="1" t="s">
        <v>12</v>
      </c>
      <c r="G4840" s="4" t="b">
        <f t="shared" si="2"/>
        <v>1</v>
      </c>
      <c r="H4840" s="1" t="str">
        <f t="shared" si="3"/>
        <v>Currently Unavailable</v>
      </c>
      <c r="I4840" s="1" t="str">
        <f t="shared" si="4"/>
        <v>No Badges</v>
      </c>
      <c r="J4840" s="3">
        <f t="shared" si="5"/>
        <v>0</v>
      </c>
    </row>
    <row r="4841">
      <c r="A4841" s="1" t="s">
        <v>3519</v>
      </c>
      <c r="B4841" s="3" t="str">
        <f t="shared" si="1"/>
        <v>Unavailable</v>
      </c>
      <c r="C4841" s="5">
        <v>3194.0</v>
      </c>
      <c r="D4841" s="3">
        <f>IFERROR(__xludf.DUMMYFUNCTION("IFERROR(
IF(REGEXMATCH(LOWER(O4841),""k""),
VALUE(REGEXEXTRACT(O4841,""[0-9]+""))*1000,
VALUE(REGEXEXTRACT(O4841,""[0-9]+""))
),
0
)"),0.0)</f>
        <v>0</v>
      </c>
      <c r="E4841" s="1" t="s">
        <v>11</v>
      </c>
      <c r="F4841" s="1" t="s">
        <v>20</v>
      </c>
      <c r="G4841" s="4" t="b">
        <f t="shared" si="2"/>
        <v>1</v>
      </c>
      <c r="H4841" s="1" t="str">
        <f t="shared" si="3"/>
        <v>Currently Unavailable</v>
      </c>
      <c r="I4841" s="1" t="str">
        <f t="shared" si="4"/>
        <v>No Badges</v>
      </c>
      <c r="J4841" s="3">
        <f t="shared" si="5"/>
        <v>0</v>
      </c>
    </row>
    <row r="4842">
      <c r="A4842" s="1" t="s">
        <v>3406</v>
      </c>
      <c r="B4842" s="3" t="str">
        <f t="shared" si="1"/>
        <v>Unavailable</v>
      </c>
      <c r="C4842" s="5">
        <v>9693.0</v>
      </c>
      <c r="D4842" s="3">
        <f>IFERROR(__xludf.DUMMYFUNCTION("IFERROR(
IF(REGEXMATCH(LOWER(O4842),""k""),
VALUE(REGEXEXTRACT(O4842,""[0-9]+""))*1000,
VALUE(REGEXEXTRACT(O4842,""[0-9]+""))
),
0
)"),0.0)</f>
        <v>0</v>
      </c>
      <c r="E4842" s="1" t="s">
        <v>11</v>
      </c>
      <c r="F4842" s="1" t="s">
        <v>12</v>
      </c>
      <c r="G4842" s="4" t="b">
        <f t="shared" si="2"/>
        <v>1</v>
      </c>
      <c r="H4842" s="1" t="str">
        <f t="shared" si="3"/>
        <v>Currently Unavailable</v>
      </c>
      <c r="I4842" s="1" t="str">
        <f t="shared" si="4"/>
        <v>No Badges</v>
      </c>
      <c r="J4842" s="3">
        <f t="shared" si="5"/>
        <v>0</v>
      </c>
    </row>
    <row r="4843">
      <c r="A4843" s="1" t="s">
        <v>3520</v>
      </c>
      <c r="B4843" s="3" t="str">
        <f t="shared" si="1"/>
        <v>Unavailable</v>
      </c>
      <c r="C4843" s="5">
        <v>1825.0</v>
      </c>
      <c r="D4843" s="3">
        <f>IFERROR(__xludf.DUMMYFUNCTION("IFERROR(
IF(REGEXMATCH(LOWER(O4843),""k""),
VALUE(REGEXEXTRACT(O4843,""[0-9]+""))*1000,
VALUE(REGEXEXTRACT(O4843,""[0-9]+""))
),
0
)"),0.0)</f>
        <v>0</v>
      </c>
      <c r="E4843" s="1" t="s">
        <v>11</v>
      </c>
      <c r="F4843" s="1" t="s">
        <v>20</v>
      </c>
      <c r="G4843" s="4" t="b">
        <f t="shared" si="2"/>
        <v>1</v>
      </c>
      <c r="H4843" s="1" t="str">
        <f t="shared" si="3"/>
        <v>Currently Unavailable</v>
      </c>
      <c r="I4843" s="1" t="str">
        <f t="shared" si="4"/>
        <v>No Badges</v>
      </c>
      <c r="J4843" s="3">
        <f t="shared" si="5"/>
        <v>0</v>
      </c>
    </row>
    <row r="4844">
      <c r="A4844" s="1" t="s">
        <v>3521</v>
      </c>
      <c r="B4844" s="3" t="str">
        <f t="shared" si="1"/>
        <v>Unavailable</v>
      </c>
      <c r="C4844" s="5">
        <v>1230.0</v>
      </c>
      <c r="D4844" s="3">
        <f>IFERROR(__xludf.DUMMYFUNCTION("IFERROR(
IF(REGEXMATCH(LOWER(O4844),""k""),
VALUE(REGEXEXTRACT(O4844,""[0-9]+""))*1000,
VALUE(REGEXEXTRACT(O4844,""[0-9]+""))
),
0
)"),0.0)</f>
        <v>0</v>
      </c>
      <c r="E4844" s="1" t="s">
        <v>11</v>
      </c>
      <c r="F4844" s="1" t="s">
        <v>20</v>
      </c>
      <c r="G4844" s="4" t="b">
        <f t="shared" si="2"/>
        <v>1</v>
      </c>
      <c r="H4844" s="1" t="str">
        <f t="shared" si="3"/>
        <v>Currently Unavailable</v>
      </c>
      <c r="I4844" s="1" t="str">
        <f t="shared" si="4"/>
        <v>No Badges</v>
      </c>
      <c r="J4844" s="3">
        <f t="shared" si="5"/>
        <v>0</v>
      </c>
    </row>
    <row r="4845">
      <c r="A4845" s="1" t="s">
        <v>3522</v>
      </c>
      <c r="B4845" s="3" t="str">
        <f t="shared" si="1"/>
        <v>Unavailable</v>
      </c>
      <c r="C4845" s="5">
        <v>5113.0</v>
      </c>
      <c r="D4845" s="3">
        <f>IFERROR(__xludf.DUMMYFUNCTION("IFERROR(
IF(REGEXMATCH(LOWER(O4845),""k""),
VALUE(REGEXEXTRACT(O4845,""[0-9]+""))*1000,
VALUE(REGEXEXTRACT(O4845,""[0-9]+""))
),
0
)"),0.0)</f>
        <v>0</v>
      </c>
      <c r="E4845" s="1" t="s">
        <v>11</v>
      </c>
      <c r="F4845" s="1" t="s">
        <v>20</v>
      </c>
      <c r="G4845" s="4" t="b">
        <f t="shared" si="2"/>
        <v>1</v>
      </c>
      <c r="H4845" s="1" t="str">
        <f t="shared" si="3"/>
        <v>Currently Unavailable</v>
      </c>
      <c r="I4845" s="1" t="str">
        <f t="shared" si="4"/>
        <v>No Badges</v>
      </c>
      <c r="J4845" s="3">
        <f t="shared" si="5"/>
        <v>0</v>
      </c>
    </row>
    <row r="4846">
      <c r="A4846" s="1" t="s">
        <v>3523</v>
      </c>
      <c r="B4846" s="3" t="str">
        <f t="shared" si="1"/>
        <v>Unavailable</v>
      </c>
      <c r="C4846" s="5">
        <v>11106.0</v>
      </c>
      <c r="D4846" s="3">
        <f>IFERROR(__xludf.DUMMYFUNCTION("IFERROR(
IF(REGEXMATCH(LOWER(O4846),""k""),
VALUE(REGEXEXTRACT(O4846,""[0-9]+""))*1000,
VALUE(REGEXEXTRACT(O4846,""[0-9]+""))
),
0
)"),0.0)</f>
        <v>0</v>
      </c>
      <c r="E4846" s="1" t="s">
        <v>11</v>
      </c>
      <c r="F4846" s="1" t="s">
        <v>20</v>
      </c>
      <c r="G4846" s="4" t="b">
        <f t="shared" si="2"/>
        <v>1</v>
      </c>
      <c r="H4846" s="1" t="str">
        <f t="shared" si="3"/>
        <v>Currently Unavailable</v>
      </c>
      <c r="I4846" s="1" t="str">
        <f t="shared" si="4"/>
        <v>No Badges</v>
      </c>
      <c r="J4846" s="3">
        <f t="shared" si="5"/>
        <v>0</v>
      </c>
    </row>
    <row r="4847">
      <c r="A4847" s="1" t="s">
        <v>3524</v>
      </c>
      <c r="B4847" s="3" t="str">
        <f t="shared" si="1"/>
        <v>Unavailable</v>
      </c>
      <c r="C4847" s="5">
        <v>10803.0</v>
      </c>
      <c r="D4847" s="3">
        <f>IFERROR(__xludf.DUMMYFUNCTION("IFERROR(
IF(REGEXMATCH(LOWER(O4847),""k""),
VALUE(REGEXEXTRACT(O4847,""[0-9]+""))*1000,
VALUE(REGEXEXTRACT(O4847,""[0-9]+""))
),
0
)"),0.0)</f>
        <v>0</v>
      </c>
      <c r="E4847" s="1" t="s">
        <v>11</v>
      </c>
      <c r="F4847" s="1" t="s">
        <v>20</v>
      </c>
      <c r="G4847" s="4" t="b">
        <f t="shared" si="2"/>
        <v>1</v>
      </c>
      <c r="H4847" s="1" t="str">
        <f t="shared" si="3"/>
        <v>Currently Unavailable</v>
      </c>
      <c r="I4847" s="1" t="str">
        <f t="shared" si="4"/>
        <v>No Badges</v>
      </c>
      <c r="J4847" s="3">
        <f t="shared" si="5"/>
        <v>0</v>
      </c>
    </row>
    <row r="4848">
      <c r="A4848" s="1" t="s">
        <v>3525</v>
      </c>
      <c r="B4848" s="3" t="str">
        <f t="shared" si="1"/>
        <v>Unavailable</v>
      </c>
      <c r="C4848" s="5">
        <v>3752.0</v>
      </c>
      <c r="D4848" s="3">
        <f>IFERROR(__xludf.DUMMYFUNCTION("IFERROR(
IF(REGEXMATCH(LOWER(O4848),""k""),
VALUE(REGEXEXTRACT(O4848,""[0-9]+""))*1000,
VALUE(REGEXEXTRACT(O4848,""[0-9]+""))
),
0
)"),0.0)</f>
        <v>0</v>
      </c>
      <c r="E4848" s="1" t="s">
        <v>11</v>
      </c>
      <c r="F4848" s="1" t="s">
        <v>20</v>
      </c>
      <c r="G4848" s="4" t="b">
        <f t="shared" si="2"/>
        <v>1</v>
      </c>
      <c r="H4848" s="1" t="str">
        <f t="shared" si="3"/>
        <v>Currently Unavailable</v>
      </c>
      <c r="I4848" s="1" t="str">
        <f t="shared" si="4"/>
        <v>No Badges</v>
      </c>
      <c r="J4848" s="3">
        <f t="shared" si="5"/>
        <v>0</v>
      </c>
    </row>
    <row r="4849">
      <c r="A4849" s="1" t="s">
        <v>3526</v>
      </c>
      <c r="B4849" s="3" t="str">
        <f t="shared" si="1"/>
        <v>Unavailable</v>
      </c>
      <c r="C4849" s="3">
        <v>350.0</v>
      </c>
      <c r="D4849" s="3">
        <f>IFERROR(__xludf.DUMMYFUNCTION("IFERROR(
IF(REGEXMATCH(LOWER(O4849),""k""),
VALUE(REGEXEXTRACT(O4849,""[0-9]+""))*1000,
VALUE(REGEXEXTRACT(O4849,""[0-9]+""))
),
0
)"),0.0)</f>
        <v>0</v>
      </c>
      <c r="E4849" s="1" t="s">
        <v>11</v>
      </c>
      <c r="F4849" s="1" t="s">
        <v>20</v>
      </c>
      <c r="G4849" s="4" t="b">
        <f t="shared" si="2"/>
        <v>1</v>
      </c>
      <c r="H4849" s="1" t="str">
        <f t="shared" si="3"/>
        <v>Currently Unavailable</v>
      </c>
      <c r="I4849" s="1" t="str">
        <f t="shared" si="4"/>
        <v>No Badges</v>
      </c>
      <c r="J4849" s="3">
        <f t="shared" si="5"/>
        <v>0</v>
      </c>
    </row>
    <row r="4850">
      <c r="A4850" s="1" t="s">
        <v>3527</v>
      </c>
      <c r="B4850" s="3" t="str">
        <f t="shared" si="1"/>
        <v>Unavailable</v>
      </c>
      <c r="C4850" s="3">
        <v>58.0</v>
      </c>
      <c r="D4850" s="3">
        <f>IFERROR(__xludf.DUMMYFUNCTION("IFERROR(
IF(REGEXMATCH(LOWER(O4850),""k""),
VALUE(REGEXEXTRACT(O4850,""[0-9]+""))*1000,
VALUE(REGEXEXTRACT(O4850,""[0-9]+""))
),
0
)"),0.0)</f>
        <v>0</v>
      </c>
      <c r="E4850" s="1" t="s">
        <v>11</v>
      </c>
      <c r="F4850" s="1" t="s">
        <v>20</v>
      </c>
      <c r="G4850" s="4" t="b">
        <f t="shared" si="2"/>
        <v>1</v>
      </c>
      <c r="H4850" s="1" t="str">
        <f t="shared" si="3"/>
        <v>Currently Unavailable</v>
      </c>
      <c r="I4850" s="1" t="str">
        <f t="shared" si="4"/>
        <v>No Badges</v>
      </c>
      <c r="J4850" s="3">
        <f t="shared" si="5"/>
        <v>0</v>
      </c>
    </row>
    <row r="4851">
      <c r="A4851" s="1" t="s">
        <v>3528</v>
      </c>
      <c r="B4851" s="3" t="str">
        <f t="shared" si="1"/>
        <v>Unavailable</v>
      </c>
      <c r="C4851" s="5">
        <v>1968.0</v>
      </c>
      <c r="D4851" s="3">
        <f>IFERROR(__xludf.DUMMYFUNCTION("IFERROR(
IF(REGEXMATCH(LOWER(O4851),""k""),
VALUE(REGEXEXTRACT(O4851,""[0-9]+""))*1000,
VALUE(REGEXEXTRACT(O4851,""[0-9]+""))
),
0
)"),0.0)</f>
        <v>0</v>
      </c>
      <c r="E4851" s="1" t="s">
        <v>11</v>
      </c>
      <c r="F4851" s="1" t="s">
        <v>20</v>
      </c>
      <c r="G4851" s="4" t="b">
        <f t="shared" si="2"/>
        <v>1</v>
      </c>
      <c r="H4851" s="1" t="str">
        <f t="shared" si="3"/>
        <v>Currently Unavailable</v>
      </c>
      <c r="I4851" s="1" t="str">
        <f t="shared" si="4"/>
        <v>No Badges</v>
      </c>
      <c r="J4851" s="3">
        <f t="shared" si="5"/>
        <v>0</v>
      </c>
    </row>
    <row r="4852">
      <c r="A4852" s="1" t="s">
        <v>3529</v>
      </c>
      <c r="B4852" s="3" t="str">
        <f t="shared" si="1"/>
        <v>Unavailable</v>
      </c>
      <c r="C4852" s="3">
        <v>419.0</v>
      </c>
      <c r="D4852" s="3">
        <f>IFERROR(__xludf.DUMMYFUNCTION("IFERROR(
IF(REGEXMATCH(LOWER(O4852),""k""),
VALUE(REGEXEXTRACT(O4852,""[0-9]+""))*1000,
VALUE(REGEXEXTRACT(O4852,""[0-9]+""))
),
0
)"),0.0)</f>
        <v>0</v>
      </c>
      <c r="E4852" s="1" t="s">
        <v>11</v>
      </c>
      <c r="F4852" s="1" t="s">
        <v>20</v>
      </c>
      <c r="G4852" s="4" t="b">
        <f t="shared" si="2"/>
        <v>1</v>
      </c>
      <c r="H4852" s="1" t="str">
        <f t="shared" si="3"/>
        <v>Currently Unavailable</v>
      </c>
      <c r="I4852" s="1" t="str">
        <f t="shared" si="4"/>
        <v>No Badges</v>
      </c>
      <c r="J4852" s="3">
        <f t="shared" si="5"/>
        <v>0</v>
      </c>
    </row>
    <row r="4853">
      <c r="A4853" s="1" t="s">
        <v>69</v>
      </c>
      <c r="B4853" s="3" t="str">
        <f t="shared" si="1"/>
        <v>Unavailable</v>
      </c>
      <c r="C4853" s="3">
        <v>45.0</v>
      </c>
      <c r="D4853" s="3">
        <f>IFERROR(__xludf.DUMMYFUNCTION("IFERROR(
IF(REGEXMATCH(LOWER(O4853),""k""),
VALUE(REGEXEXTRACT(O4853,""[0-9]+""))*1000,
VALUE(REGEXEXTRACT(O4853,""[0-9]+""))
),
0
)"),0.0)</f>
        <v>0</v>
      </c>
      <c r="E4853" s="1" t="s">
        <v>11</v>
      </c>
      <c r="F4853" s="1" t="s">
        <v>12</v>
      </c>
      <c r="G4853" s="4" t="b">
        <f t="shared" si="2"/>
        <v>1</v>
      </c>
      <c r="H4853" s="1" t="str">
        <f t="shared" si="3"/>
        <v>Currently Unavailable</v>
      </c>
      <c r="I4853" s="1" t="str">
        <f t="shared" si="4"/>
        <v>No Badges</v>
      </c>
      <c r="J4853" s="3">
        <f t="shared" si="5"/>
        <v>0</v>
      </c>
    </row>
    <row r="4854">
      <c r="A4854" s="1" t="s">
        <v>67</v>
      </c>
      <c r="B4854" s="3" t="str">
        <f t="shared" si="1"/>
        <v>Unavailable</v>
      </c>
      <c r="C4854" s="3">
        <v>264.0</v>
      </c>
      <c r="D4854" s="3">
        <f>IFERROR(__xludf.DUMMYFUNCTION("IFERROR(
IF(REGEXMATCH(LOWER(O4854),""k""),
VALUE(REGEXEXTRACT(O4854,""[0-9]+""))*1000,
VALUE(REGEXEXTRACT(O4854,""[0-9]+""))
),
0
)"),0.0)</f>
        <v>0</v>
      </c>
      <c r="E4854" s="1" t="s">
        <v>11</v>
      </c>
      <c r="F4854" s="1" t="s">
        <v>12</v>
      </c>
      <c r="G4854" s="4" t="b">
        <f t="shared" si="2"/>
        <v>1</v>
      </c>
      <c r="H4854" s="1" t="str">
        <f t="shared" si="3"/>
        <v>Currently Unavailable</v>
      </c>
      <c r="I4854" s="1" t="str">
        <f t="shared" si="4"/>
        <v>No Badges</v>
      </c>
      <c r="J4854" s="3">
        <f t="shared" si="5"/>
        <v>0</v>
      </c>
    </row>
    <row r="4855">
      <c r="A4855" s="1" t="s">
        <v>3530</v>
      </c>
      <c r="B4855" s="3" t="str">
        <f t="shared" si="1"/>
        <v>Unavailable</v>
      </c>
      <c r="C4855" s="5">
        <v>119204.0</v>
      </c>
      <c r="D4855" s="3">
        <f>IFERROR(__xludf.DUMMYFUNCTION("IFERROR(
IF(REGEXMATCH(LOWER(O4855),""k""),
VALUE(REGEXEXTRACT(O4855,""[0-9]+""))*1000,
VALUE(REGEXEXTRACT(O4855,""[0-9]+""))
),
0
)"),0.0)</f>
        <v>0</v>
      </c>
      <c r="E4855" s="1" t="s">
        <v>11</v>
      </c>
      <c r="F4855" s="1" t="s">
        <v>20</v>
      </c>
      <c r="G4855" s="4" t="b">
        <f t="shared" si="2"/>
        <v>1</v>
      </c>
      <c r="H4855" s="1" t="str">
        <f t="shared" si="3"/>
        <v>Currently Unavailable</v>
      </c>
      <c r="I4855" s="1" t="str">
        <f t="shared" si="4"/>
        <v>No Badges</v>
      </c>
      <c r="J4855" s="3">
        <f t="shared" si="5"/>
        <v>0</v>
      </c>
    </row>
    <row r="4856">
      <c r="A4856" s="1" t="s">
        <v>3531</v>
      </c>
      <c r="B4856" s="3" t="str">
        <f t="shared" si="1"/>
        <v>Unavailable</v>
      </c>
      <c r="C4856" s="3">
        <v>45.0</v>
      </c>
      <c r="D4856" s="3">
        <f>IFERROR(__xludf.DUMMYFUNCTION("IFERROR(
IF(REGEXMATCH(LOWER(O4856),""k""),
VALUE(REGEXEXTRACT(O4856,""[0-9]+""))*1000,
VALUE(REGEXEXTRACT(O4856,""[0-9]+""))
),
0
)"),0.0)</f>
        <v>0</v>
      </c>
      <c r="E4856" s="1" t="s">
        <v>11</v>
      </c>
      <c r="F4856" s="1" t="s">
        <v>20</v>
      </c>
      <c r="G4856" s="4" t="b">
        <f t="shared" si="2"/>
        <v>1</v>
      </c>
      <c r="H4856" s="1" t="str">
        <f t="shared" si="3"/>
        <v>Currently Unavailable</v>
      </c>
      <c r="I4856" s="1" t="str">
        <f t="shared" si="4"/>
        <v>No Badges</v>
      </c>
      <c r="J4856" s="3">
        <f t="shared" si="5"/>
        <v>0</v>
      </c>
    </row>
    <row r="4857">
      <c r="A4857" s="1" t="s">
        <v>3532</v>
      </c>
      <c r="B4857" s="3" t="str">
        <f t="shared" si="1"/>
        <v>Unavailable</v>
      </c>
      <c r="C4857" s="5">
        <v>25577.0</v>
      </c>
      <c r="D4857" s="3">
        <f>IFERROR(__xludf.DUMMYFUNCTION("IFERROR(
IF(REGEXMATCH(LOWER(O4857),""k""),
VALUE(REGEXEXTRACT(O4857,""[0-9]+""))*1000,
VALUE(REGEXEXTRACT(O4857,""[0-9]+""))
),
0
)"),0.0)</f>
        <v>0</v>
      </c>
      <c r="E4857" s="1" t="s">
        <v>11</v>
      </c>
      <c r="F4857" s="1" t="s">
        <v>20</v>
      </c>
      <c r="G4857" s="4" t="b">
        <f t="shared" si="2"/>
        <v>1</v>
      </c>
      <c r="H4857" s="1" t="str">
        <f t="shared" si="3"/>
        <v>Currently Unavailable</v>
      </c>
      <c r="I4857" s="1" t="str">
        <f t="shared" si="4"/>
        <v>No Badges</v>
      </c>
      <c r="J4857" s="3">
        <f t="shared" si="5"/>
        <v>0</v>
      </c>
    </row>
    <row r="4858">
      <c r="A4858" s="1" t="s">
        <v>3533</v>
      </c>
      <c r="B4858" s="3" t="str">
        <f t="shared" si="1"/>
        <v>Unavailable</v>
      </c>
      <c r="C4858" s="3">
        <v>330.0</v>
      </c>
      <c r="D4858" s="3">
        <f>IFERROR(__xludf.DUMMYFUNCTION("IFERROR(
IF(REGEXMATCH(LOWER(O4858),""k""),
VALUE(REGEXEXTRACT(O4858,""[0-9]+""))*1000,
VALUE(REGEXEXTRACT(O4858,""[0-9]+""))
),
0
)"),0.0)</f>
        <v>0</v>
      </c>
      <c r="E4858" s="1" t="s">
        <v>11</v>
      </c>
      <c r="F4858" s="1" t="s">
        <v>20</v>
      </c>
      <c r="G4858" s="4" t="b">
        <f t="shared" si="2"/>
        <v>1</v>
      </c>
      <c r="H4858" s="1" t="str">
        <f t="shared" si="3"/>
        <v>Currently Unavailable</v>
      </c>
      <c r="I4858" s="1" t="str">
        <f t="shared" si="4"/>
        <v>No Badges</v>
      </c>
      <c r="J4858" s="3">
        <f t="shared" si="5"/>
        <v>0</v>
      </c>
    </row>
    <row r="4859">
      <c r="A4859" s="1" t="s">
        <v>3534</v>
      </c>
      <c r="B4859" s="3" t="str">
        <f t="shared" si="1"/>
        <v>Unavailable</v>
      </c>
      <c r="C4859" s="5">
        <v>27151.0</v>
      </c>
      <c r="D4859" s="3">
        <f>IFERROR(__xludf.DUMMYFUNCTION("IFERROR(
IF(REGEXMATCH(LOWER(O4859),""k""),
VALUE(REGEXEXTRACT(O4859,""[0-9]+""))*1000,
VALUE(REGEXEXTRACT(O4859,""[0-9]+""))
),
0
)"),0.0)</f>
        <v>0</v>
      </c>
      <c r="E4859" s="1" t="s">
        <v>11</v>
      </c>
      <c r="F4859" s="1" t="s">
        <v>20</v>
      </c>
      <c r="G4859" s="4" t="b">
        <f t="shared" si="2"/>
        <v>1</v>
      </c>
      <c r="H4859" s="1" t="str">
        <f t="shared" si="3"/>
        <v>Currently Unavailable</v>
      </c>
      <c r="I4859" s="1" t="str">
        <f t="shared" si="4"/>
        <v>No Badges</v>
      </c>
      <c r="J4859" s="3">
        <f t="shared" si="5"/>
        <v>0</v>
      </c>
    </row>
    <row r="4860">
      <c r="A4860" s="1" t="s">
        <v>3535</v>
      </c>
      <c r="B4860" s="3" t="str">
        <f t="shared" si="1"/>
        <v>Unavailable</v>
      </c>
      <c r="C4860" s="5">
        <v>55203.0</v>
      </c>
      <c r="D4860" s="3">
        <f>IFERROR(__xludf.DUMMYFUNCTION("IFERROR(
IF(REGEXMATCH(LOWER(O4860),""k""),
VALUE(REGEXEXTRACT(O4860,""[0-9]+""))*1000,
VALUE(REGEXEXTRACT(O4860,""[0-9]+""))
),
0
)"),0.0)</f>
        <v>0</v>
      </c>
      <c r="E4860" s="1" t="s">
        <v>11</v>
      </c>
      <c r="F4860" s="1" t="s">
        <v>20</v>
      </c>
      <c r="G4860" s="4" t="b">
        <f t="shared" si="2"/>
        <v>1</v>
      </c>
      <c r="H4860" s="1" t="str">
        <f t="shared" si="3"/>
        <v>Currently Unavailable</v>
      </c>
      <c r="I4860" s="1" t="str">
        <f t="shared" si="4"/>
        <v>No Badges</v>
      </c>
      <c r="J4860" s="3">
        <f t="shared" si="5"/>
        <v>0</v>
      </c>
    </row>
    <row r="4861">
      <c r="A4861" s="1" t="s">
        <v>3536</v>
      </c>
      <c r="B4861" s="3" t="str">
        <f t="shared" si="1"/>
        <v>Unavailable</v>
      </c>
      <c r="C4861" s="5">
        <v>3079.0</v>
      </c>
      <c r="D4861" s="3">
        <f>IFERROR(__xludf.DUMMYFUNCTION("IFERROR(
IF(REGEXMATCH(LOWER(O4861),""k""),
VALUE(REGEXEXTRACT(O4861,""[0-9]+""))*1000,
VALUE(REGEXEXTRACT(O4861,""[0-9]+""))
),
0
)"),0.0)</f>
        <v>0</v>
      </c>
      <c r="E4861" s="1" t="s">
        <v>11</v>
      </c>
      <c r="F4861" s="1" t="s">
        <v>20</v>
      </c>
      <c r="G4861" s="4" t="b">
        <f t="shared" si="2"/>
        <v>1</v>
      </c>
      <c r="H4861" s="1" t="str">
        <f t="shared" si="3"/>
        <v>Currently Unavailable</v>
      </c>
      <c r="I4861" s="1" t="str">
        <f t="shared" si="4"/>
        <v>No Badges</v>
      </c>
      <c r="J4861" s="3">
        <f t="shared" si="5"/>
        <v>0</v>
      </c>
    </row>
    <row r="4862">
      <c r="A4862" s="1" t="s">
        <v>3537</v>
      </c>
      <c r="B4862" s="3" t="str">
        <f t="shared" si="1"/>
        <v>Unavailable</v>
      </c>
      <c r="C4862" s="3">
        <v>603.0</v>
      </c>
      <c r="D4862" s="3">
        <f>IFERROR(__xludf.DUMMYFUNCTION("IFERROR(
IF(REGEXMATCH(LOWER(O4862),""k""),
VALUE(REGEXEXTRACT(O4862,""[0-9]+""))*1000,
VALUE(REGEXEXTRACT(O4862,""[0-9]+""))
),
0
)"),0.0)</f>
        <v>0</v>
      </c>
      <c r="E4862" s="1" t="s">
        <v>11</v>
      </c>
      <c r="F4862" s="1" t="s">
        <v>20</v>
      </c>
      <c r="G4862" s="4" t="b">
        <f t="shared" si="2"/>
        <v>1</v>
      </c>
      <c r="H4862" s="1" t="str">
        <f t="shared" si="3"/>
        <v>Currently Unavailable</v>
      </c>
      <c r="I4862" s="1" t="str">
        <f t="shared" si="4"/>
        <v>No Badges</v>
      </c>
      <c r="J4862" s="3">
        <f t="shared" si="5"/>
        <v>0</v>
      </c>
    </row>
    <row r="4863">
      <c r="A4863" s="1" t="s">
        <v>3352</v>
      </c>
      <c r="B4863" s="3" t="str">
        <f t="shared" si="1"/>
        <v>Unavailable</v>
      </c>
      <c r="C4863" s="5">
        <v>5284.0</v>
      </c>
      <c r="D4863" s="3">
        <f>IFERROR(__xludf.DUMMYFUNCTION("IFERROR(
IF(REGEXMATCH(LOWER(O4863),""k""),
VALUE(REGEXEXTRACT(O4863,""[0-9]+""))*1000,
VALUE(REGEXEXTRACT(O4863,""[0-9]+""))
),
0
)"),0.0)</f>
        <v>0</v>
      </c>
      <c r="E4863" s="1" t="s">
        <v>11</v>
      </c>
      <c r="F4863" s="1" t="s">
        <v>20</v>
      </c>
      <c r="G4863" s="4" t="b">
        <f t="shared" si="2"/>
        <v>1</v>
      </c>
      <c r="H4863" s="1" t="str">
        <f t="shared" si="3"/>
        <v>Currently Unavailable</v>
      </c>
      <c r="I4863" s="1" t="str">
        <f t="shared" si="4"/>
        <v>No Badges</v>
      </c>
      <c r="J4863" s="3">
        <f t="shared" si="5"/>
        <v>0</v>
      </c>
    </row>
    <row r="4864">
      <c r="A4864" s="1" t="s">
        <v>3538</v>
      </c>
      <c r="B4864" s="3" t="str">
        <f t="shared" si="1"/>
        <v>Unavailable</v>
      </c>
      <c r="C4864" s="5">
        <v>21082.0</v>
      </c>
      <c r="D4864" s="3">
        <f>IFERROR(__xludf.DUMMYFUNCTION("IFERROR(
IF(REGEXMATCH(LOWER(O4864),""k""),
VALUE(REGEXEXTRACT(O4864,""[0-9]+""))*1000,
VALUE(REGEXEXTRACT(O4864,""[0-9]+""))
),
0
)"),0.0)</f>
        <v>0</v>
      </c>
      <c r="E4864" s="1" t="s">
        <v>11</v>
      </c>
      <c r="F4864" s="1" t="s">
        <v>20</v>
      </c>
      <c r="G4864" s="4" t="b">
        <f t="shared" si="2"/>
        <v>1</v>
      </c>
      <c r="H4864" s="1" t="str">
        <f t="shared" si="3"/>
        <v>Currently Unavailable</v>
      </c>
      <c r="I4864" s="1" t="str">
        <f t="shared" si="4"/>
        <v>No Badges</v>
      </c>
      <c r="J4864" s="3">
        <f t="shared" si="5"/>
        <v>0</v>
      </c>
    </row>
    <row r="4865">
      <c r="A4865" s="1" t="s">
        <v>3539</v>
      </c>
      <c r="B4865" s="3" t="str">
        <f t="shared" si="1"/>
        <v>Unavailable</v>
      </c>
      <c r="C4865" s="5">
        <v>7194.0</v>
      </c>
      <c r="D4865" s="3">
        <f>IFERROR(__xludf.DUMMYFUNCTION("IFERROR(
IF(REGEXMATCH(LOWER(O4865),""k""),
VALUE(REGEXEXTRACT(O4865,""[0-9]+""))*1000,
VALUE(REGEXEXTRACT(O4865,""[0-9]+""))
),
0
)"),0.0)</f>
        <v>0</v>
      </c>
      <c r="E4865" s="1" t="s">
        <v>11</v>
      </c>
      <c r="F4865" s="1" t="s">
        <v>20</v>
      </c>
      <c r="G4865" s="4" t="b">
        <f t="shared" si="2"/>
        <v>1</v>
      </c>
      <c r="H4865" s="1" t="str">
        <f t="shared" si="3"/>
        <v>Currently Unavailable</v>
      </c>
      <c r="I4865" s="1" t="str">
        <f t="shared" si="4"/>
        <v>No Badges</v>
      </c>
      <c r="J4865" s="3">
        <f t="shared" si="5"/>
        <v>0</v>
      </c>
    </row>
    <row r="4866">
      <c r="A4866" s="1" t="s">
        <v>3540</v>
      </c>
      <c r="B4866" s="3" t="str">
        <f t="shared" si="1"/>
        <v>Unavailable</v>
      </c>
      <c r="C4866" s="3">
        <v>831.0</v>
      </c>
      <c r="D4866" s="3">
        <f>IFERROR(__xludf.DUMMYFUNCTION("IFERROR(
IF(REGEXMATCH(LOWER(O4866),""k""),
VALUE(REGEXEXTRACT(O4866,""[0-9]+""))*1000,
VALUE(REGEXEXTRACT(O4866,""[0-9]+""))
),
0
)"),0.0)</f>
        <v>0</v>
      </c>
      <c r="E4866" s="1" t="s">
        <v>11</v>
      </c>
      <c r="F4866" s="1" t="s">
        <v>20</v>
      </c>
      <c r="G4866" s="4" t="b">
        <f t="shared" si="2"/>
        <v>1</v>
      </c>
      <c r="H4866" s="1" t="str">
        <f t="shared" si="3"/>
        <v>Currently Unavailable</v>
      </c>
      <c r="I4866" s="1" t="str">
        <f t="shared" si="4"/>
        <v>No Badges</v>
      </c>
      <c r="J4866" s="3">
        <f t="shared" si="5"/>
        <v>0</v>
      </c>
    </row>
    <row r="4867">
      <c r="A4867" s="1" t="s">
        <v>3541</v>
      </c>
      <c r="B4867" s="3" t="str">
        <f t="shared" si="1"/>
        <v>Unavailable</v>
      </c>
      <c r="C4867" s="5">
        <v>2146.0</v>
      </c>
      <c r="D4867" s="3">
        <f>IFERROR(__xludf.DUMMYFUNCTION("IFERROR(
IF(REGEXMATCH(LOWER(O4867),""k""),
VALUE(REGEXEXTRACT(O4867,""[0-9]+""))*1000,
VALUE(REGEXEXTRACT(O4867,""[0-9]+""))
),
0
)"),0.0)</f>
        <v>0</v>
      </c>
      <c r="E4867" s="1" t="s">
        <v>11</v>
      </c>
      <c r="F4867" s="1" t="s">
        <v>20</v>
      </c>
      <c r="G4867" s="4" t="b">
        <f t="shared" si="2"/>
        <v>1</v>
      </c>
      <c r="H4867" s="1" t="str">
        <f t="shared" si="3"/>
        <v>Currently Unavailable</v>
      </c>
      <c r="I4867" s="1" t="str">
        <f t="shared" si="4"/>
        <v>No Badges</v>
      </c>
      <c r="J4867" s="3">
        <f t="shared" si="5"/>
        <v>0</v>
      </c>
    </row>
    <row r="4868">
      <c r="A4868" s="1" t="s">
        <v>701</v>
      </c>
      <c r="B4868" s="3" t="str">
        <f t="shared" si="1"/>
        <v>Unavailable</v>
      </c>
      <c r="C4868" s="3">
        <v>8.0</v>
      </c>
      <c r="D4868" s="3">
        <f>IFERROR(__xludf.DUMMYFUNCTION("IFERROR(
IF(REGEXMATCH(LOWER(O4868),""k""),
VALUE(REGEXEXTRACT(O4868,""[0-9]+""))*1000,
VALUE(REGEXEXTRACT(O4868,""[0-9]+""))
),
0
)"),0.0)</f>
        <v>0</v>
      </c>
      <c r="E4868" s="1" t="s">
        <v>11</v>
      </c>
      <c r="F4868" s="1" t="s">
        <v>12</v>
      </c>
      <c r="G4868" s="4" t="b">
        <f t="shared" si="2"/>
        <v>1</v>
      </c>
      <c r="H4868" s="1" t="str">
        <f t="shared" si="3"/>
        <v>Currently Unavailable</v>
      </c>
      <c r="I4868" s="1" t="str">
        <f t="shared" si="4"/>
        <v>No Badges</v>
      </c>
      <c r="J4868" s="3">
        <f t="shared" si="5"/>
        <v>0</v>
      </c>
    </row>
    <row r="4869">
      <c r="A4869" s="1" t="s">
        <v>3542</v>
      </c>
      <c r="B4869" s="3" t="str">
        <f t="shared" si="1"/>
        <v>Unavailable</v>
      </c>
      <c r="C4869" s="5">
        <v>3380.0</v>
      </c>
      <c r="D4869" s="3">
        <f>IFERROR(__xludf.DUMMYFUNCTION("IFERROR(
IF(REGEXMATCH(LOWER(O4869),""k""),
VALUE(REGEXEXTRACT(O4869,""[0-9]+""))*1000,
VALUE(REGEXEXTRACT(O4869,""[0-9]+""))
),
0
)"),0.0)</f>
        <v>0</v>
      </c>
      <c r="E4869" s="1" t="s">
        <v>11</v>
      </c>
      <c r="F4869" s="1" t="s">
        <v>20</v>
      </c>
      <c r="G4869" s="4" t="b">
        <f t="shared" si="2"/>
        <v>1</v>
      </c>
      <c r="H4869" s="1" t="str">
        <f t="shared" si="3"/>
        <v>Currently Unavailable</v>
      </c>
      <c r="I4869" s="1" t="str">
        <f t="shared" si="4"/>
        <v>No Badges</v>
      </c>
      <c r="J4869" s="3">
        <f t="shared" si="5"/>
        <v>0</v>
      </c>
    </row>
    <row r="4870">
      <c r="A4870" s="1" t="s">
        <v>3543</v>
      </c>
      <c r="B4870" s="3" t="str">
        <f t="shared" si="1"/>
        <v>Unavailable</v>
      </c>
      <c r="C4870" s="3">
        <v>809.0</v>
      </c>
      <c r="D4870" s="3">
        <f>IFERROR(__xludf.DUMMYFUNCTION("IFERROR(
IF(REGEXMATCH(LOWER(O4870),""k""),
VALUE(REGEXEXTRACT(O4870,""[0-9]+""))*1000,
VALUE(REGEXEXTRACT(O4870,""[0-9]+""))
),
0
)"),0.0)</f>
        <v>0</v>
      </c>
      <c r="E4870" s="1" t="s">
        <v>11</v>
      </c>
      <c r="F4870" s="1" t="s">
        <v>20</v>
      </c>
      <c r="G4870" s="4" t="b">
        <f t="shared" si="2"/>
        <v>1</v>
      </c>
      <c r="H4870" s="1" t="str">
        <f t="shared" si="3"/>
        <v>Currently Unavailable</v>
      </c>
      <c r="I4870" s="1" t="str">
        <f t="shared" si="4"/>
        <v>No Badges</v>
      </c>
      <c r="J4870" s="3">
        <f t="shared" si="5"/>
        <v>0</v>
      </c>
    </row>
    <row r="4871">
      <c r="A4871" s="1" t="s">
        <v>3544</v>
      </c>
      <c r="B4871" s="3" t="str">
        <f t="shared" si="1"/>
        <v>Unavailable</v>
      </c>
      <c r="C4871" s="5">
        <v>65851.0</v>
      </c>
      <c r="D4871" s="3">
        <f>IFERROR(__xludf.DUMMYFUNCTION("IFERROR(
IF(REGEXMATCH(LOWER(O4871),""k""),
VALUE(REGEXEXTRACT(O4871,""[0-9]+""))*1000,
VALUE(REGEXEXTRACT(O4871,""[0-9]+""))
),
0
)"),0.0)</f>
        <v>0</v>
      </c>
      <c r="E4871" s="1" t="s">
        <v>11</v>
      </c>
      <c r="F4871" s="1" t="s">
        <v>20</v>
      </c>
      <c r="G4871" s="4" t="b">
        <f t="shared" si="2"/>
        <v>1</v>
      </c>
      <c r="H4871" s="1" t="str">
        <f t="shared" si="3"/>
        <v>Currently Unavailable</v>
      </c>
      <c r="I4871" s="1" t="str">
        <f t="shared" si="4"/>
        <v>No Badges</v>
      </c>
      <c r="J4871" s="3">
        <f t="shared" si="5"/>
        <v>0</v>
      </c>
    </row>
    <row r="4872">
      <c r="A4872" s="1" t="s">
        <v>3545</v>
      </c>
      <c r="B4872" s="3" t="str">
        <f t="shared" si="1"/>
        <v>Unavailable</v>
      </c>
      <c r="C4872" s="3">
        <v>798.0</v>
      </c>
      <c r="D4872" s="3">
        <f>IFERROR(__xludf.DUMMYFUNCTION("IFERROR(
IF(REGEXMATCH(LOWER(O4872),""k""),
VALUE(REGEXEXTRACT(O4872,""[0-9]+""))*1000,
VALUE(REGEXEXTRACT(O4872,""[0-9]+""))
),
0
)"),0.0)</f>
        <v>0</v>
      </c>
      <c r="E4872" s="1" t="s">
        <v>11</v>
      </c>
      <c r="F4872" s="1" t="s">
        <v>20</v>
      </c>
      <c r="G4872" s="4" t="b">
        <f t="shared" si="2"/>
        <v>1</v>
      </c>
      <c r="H4872" s="1" t="str">
        <f t="shared" si="3"/>
        <v>Currently Unavailable</v>
      </c>
      <c r="I4872" s="1" t="str">
        <f t="shared" si="4"/>
        <v>No Badges</v>
      </c>
      <c r="J4872" s="3">
        <f t="shared" si="5"/>
        <v>0</v>
      </c>
    </row>
    <row r="4873">
      <c r="A4873" s="1" t="s">
        <v>69</v>
      </c>
      <c r="B4873" s="3" t="str">
        <f t="shared" si="1"/>
        <v>Unavailable</v>
      </c>
      <c r="C4873" s="3">
        <v>45.0</v>
      </c>
      <c r="D4873" s="3">
        <f>IFERROR(__xludf.DUMMYFUNCTION("IFERROR(
IF(REGEXMATCH(LOWER(O4873),""k""),
VALUE(REGEXEXTRACT(O4873,""[0-9]+""))*1000,
VALUE(REGEXEXTRACT(O4873,""[0-9]+""))
),
0
)"),0.0)</f>
        <v>0</v>
      </c>
      <c r="E4873" s="1" t="s">
        <v>11</v>
      </c>
      <c r="F4873" s="1" t="s">
        <v>12</v>
      </c>
      <c r="G4873" s="4" t="b">
        <f t="shared" si="2"/>
        <v>1</v>
      </c>
      <c r="H4873" s="1" t="str">
        <f t="shared" si="3"/>
        <v>Currently Unavailable</v>
      </c>
      <c r="I4873" s="1" t="str">
        <f t="shared" si="4"/>
        <v>No Badges</v>
      </c>
      <c r="J4873" s="3">
        <f t="shared" si="5"/>
        <v>0</v>
      </c>
    </row>
    <row r="4874">
      <c r="A4874" s="1" t="s">
        <v>3546</v>
      </c>
      <c r="B4874" s="3" t="str">
        <f t="shared" si="1"/>
        <v>Unavailable</v>
      </c>
      <c r="C4874" s="3">
        <v>401.0</v>
      </c>
      <c r="D4874" s="3">
        <f>IFERROR(__xludf.DUMMYFUNCTION("IFERROR(
IF(REGEXMATCH(LOWER(O4874),""k""),
VALUE(REGEXEXTRACT(O4874,""[0-9]+""))*1000,
VALUE(REGEXEXTRACT(O4874,""[0-9]+""))
),
0
)"),0.0)</f>
        <v>0</v>
      </c>
      <c r="E4874" s="1" t="s">
        <v>11</v>
      </c>
      <c r="F4874" s="1" t="s">
        <v>20</v>
      </c>
      <c r="G4874" s="4" t="b">
        <f t="shared" si="2"/>
        <v>1</v>
      </c>
      <c r="H4874" s="1" t="str">
        <f t="shared" si="3"/>
        <v>Currently Unavailable</v>
      </c>
      <c r="I4874" s="1" t="str">
        <f t="shared" si="4"/>
        <v>No Badges</v>
      </c>
      <c r="J4874" s="3">
        <f t="shared" si="5"/>
        <v>0</v>
      </c>
    </row>
    <row r="4875">
      <c r="A4875" s="1" t="s">
        <v>3547</v>
      </c>
      <c r="B4875" s="3" t="str">
        <f t="shared" si="1"/>
        <v>Unavailable</v>
      </c>
      <c r="C4875" s="3">
        <v>328.0</v>
      </c>
      <c r="D4875" s="3">
        <f>IFERROR(__xludf.DUMMYFUNCTION("IFERROR(
IF(REGEXMATCH(LOWER(O4875),""k""),
VALUE(REGEXEXTRACT(O4875,""[0-9]+""))*1000,
VALUE(REGEXEXTRACT(O4875,""[0-9]+""))
),
0
)"),0.0)</f>
        <v>0</v>
      </c>
      <c r="E4875" s="1" t="s">
        <v>11</v>
      </c>
      <c r="F4875" s="1" t="s">
        <v>20</v>
      </c>
      <c r="G4875" s="4" t="b">
        <f t="shared" si="2"/>
        <v>1</v>
      </c>
      <c r="H4875" s="1" t="str">
        <f t="shared" si="3"/>
        <v>Currently Unavailable</v>
      </c>
      <c r="I4875" s="1" t="str">
        <f t="shared" si="4"/>
        <v>No Badges</v>
      </c>
      <c r="J4875" s="3">
        <f t="shared" si="5"/>
        <v>0</v>
      </c>
    </row>
    <row r="4876">
      <c r="A4876" s="1" t="s">
        <v>3548</v>
      </c>
      <c r="B4876" s="3" t="str">
        <f t="shared" si="1"/>
        <v>Unavailable</v>
      </c>
      <c r="C4876" s="3">
        <v>328.0</v>
      </c>
      <c r="D4876" s="3">
        <f>IFERROR(__xludf.DUMMYFUNCTION("IFERROR(
IF(REGEXMATCH(LOWER(O4876),""k""),
VALUE(REGEXEXTRACT(O4876,""[0-9]+""))*1000,
VALUE(REGEXEXTRACT(O4876,""[0-9]+""))
),
0
)"),0.0)</f>
        <v>0</v>
      </c>
      <c r="E4876" s="1" t="s">
        <v>11</v>
      </c>
      <c r="F4876" s="1" t="s">
        <v>20</v>
      </c>
      <c r="G4876" s="4" t="b">
        <f t="shared" si="2"/>
        <v>1</v>
      </c>
      <c r="H4876" s="1" t="str">
        <f t="shared" si="3"/>
        <v>Currently Unavailable</v>
      </c>
      <c r="I4876" s="1" t="str">
        <f t="shared" si="4"/>
        <v>No Badges</v>
      </c>
      <c r="J4876" s="3">
        <f t="shared" si="5"/>
        <v>0</v>
      </c>
    </row>
    <row r="4877">
      <c r="A4877" s="1" t="s">
        <v>3549</v>
      </c>
      <c r="B4877" s="3" t="str">
        <f t="shared" si="1"/>
        <v>Unavailable</v>
      </c>
      <c r="C4877" s="3">
        <v>5.0</v>
      </c>
      <c r="D4877" s="3">
        <f>IFERROR(__xludf.DUMMYFUNCTION("IFERROR(
IF(REGEXMATCH(LOWER(O4877),""k""),
VALUE(REGEXEXTRACT(O4877,""[0-9]+""))*1000,
VALUE(REGEXEXTRACT(O4877,""[0-9]+""))
),
0
)"),0.0)</f>
        <v>0</v>
      </c>
      <c r="E4877" s="1" t="s">
        <v>11</v>
      </c>
      <c r="F4877" s="1" t="s">
        <v>20</v>
      </c>
      <c r="G4877" s="4" t="b">
        <f t="shared" si="2"/>
        <v>1</v>
      </c>
      <c r="H4877" s="1" t="str">
        <f t="shared" si="3"/>
        <v>Currently Unavailable</v>
      </c>
      <c r="I4877" s="1" t="str">
        <f t="shared" si="4"/>
        <v>No Badges</v>
      </c>
      <c r="J4877" s="3">
        <f t="shared" si="5"/>
        <v>0</v>
      </c>
    </row>
    <row r="4878">
      <c r="A4878" s="1" t="s">
        <v>3550</v>
      </c>
      <c r="B4878" s="3" t="str">
        <f t="shared" si="1"/>
        <v>Unavailable</v>
      </c>
      <c r="C4878" s="5">
        <v>8927.0</v>
      </c>
      <c r="D4878" s="3">
        <f>IFERROR(__xludf.DUMMYFUNCTION("IFERROR(
IF(REGEXMATCH(LOWER(O4878),""k""),
VALUE(REGEXEXTRACT(O4878,""[0-9]+""))*1000,
VALUE(REGEXEXTRACT(O4878,""[0-9]+""))
),
0
)"),0.0)</f>
        <v>0</v>
      </c>
      <c r="E4878" s="1" t="s">
        <v>158</v>
      </c>
      <c r="F4878" s="1" t="s">
        <v>20</v>
      </c>
      <c r="G4878" s="4" t="b">
        <f t="shared" si="2"/>
        <v>1</v>
      </c>
      <c r="H4878" s="1" t="str">
        <f t="shared" si="3"/>
        <v>Currently Unavailable</v>
      </c>
      <c r="I4878" s="1" t="str">
        <f t="shared" si="4"/>
        <v>No Badges</v>
      </c>
      <c r="J4878" s="3">
        <f t="shared" si="5"/>
        <v>0</v>
      </c>
    </row>
    <row r="4879">
      <c r="A4879" s="1" t="s">
        <v>3551</v>
      </c>
      <c r="B4879" s="3" t="str">
        <f t="shared" si="1"/>
        <v>Unavailable</v>
      </c>
      <c r="C4879" s="5">
        <v>1166.0</v>
      </c>
      <c r="D4879" s="3">
        <f>IFERROR(__xludf.DUMMYFUNCTION("IFERROR(
IF(REGEXMATCH(LOWER(O4879),""k""),
VALUE(REGEXEXTRACT(O4879,""[0-9]+""))*1000,
VALUE(REGEXEXTRACT(O4879,""[0-9]+""))
),
0
)"),0.0)</f>
        <v>0</v>
      </c>
      <c r="E4879" s="1" t="s">
        <v>11</v>
      </c>
      <c r="F4879" s="1" t="s">
        <v>20</v>
      </c>
      <c r="G4879" s="4" t="b">
        <f t="shared" si="2"/>
        <v>1</v>
      </c>
      <c r="H4879" s="1" t="str">
        <f t="shared" si="3"/>
        <v>Currently Unavailable</v>
      </c>
      <c r="I4879" s="1" t="str">
        <f t="shared" si="4"/>
        <v>No Badges</v>
      </c>
      <c r="J4879" s="3">
        <f t="shared" si="5"/>
        <v>0</v>
      </c>
    </row>
    <row r="4880">
      <c r="A4880" s="1" t="s">
        <v>3552</v>
      </c>
      <c r="B4880" s="3" t="str">
        <f t="shared" si="1"/>
        <v>Unavailable</v>
      </c>
      <c r="C4880" s="5">
        <v>8459.0</v>
      </c>
      <c r="D4880" s="3">
        <f>IFERROR(__xludf.DUMMYFUNCTION("IFERROR(
IF(REGEXMATCH(LOWER(O4880),""k""),
VALUE(REGEXEXTRACT(O4880,""[0-9]+""))*1000,
VALUE(REGEXEXTRACT(O4880,""[0-9]+""))
),
0
)"),0.0)</f>
        <v>0</v>
      </c>
      <c r="E4880" s="1" t="s">
        <v>11</v>
      </c>
      <c r="F4880" s="1" t="s">
        <v>20</v>
      </c>
      <c r="G4880" s="4" t="b">
        <f t="shared" si="2"/>
        <v>1</v>
      </c>
      <c r="H4880" s="1" t="str">
        <f t="shared" si="3"/>
        <v>Currently Unavailable</v>
      </c>
      <c r="I4880" s="1" t="str">
        <f t="shared" si="4"/>
        <v>No Badges</v>
      </c>
      <c r="J4880" s="3">
        <f t="shared" si="5"/>
        <v>0</v>
      </c>
    </row>
    <row r="4881">
      <c r="A4881" s="1" t="s">
        <v>3553</v>
      </c>
      <c r="B4881" s="3" t="str">
        <f t="shared" si="1"/>
        <v>Unavailable</v>
      </c>
      <c r="C4881" s="5">
        <v>10917.0</v>
      </c>
      <c r="D4881" s="3">
        <f>IFERROR(__xludf.DUMMYFUNCTION("IFERROR(
IF(REGEXMATCH(LOWER(O4881),""k""),
VALUE(REGEXEXTRACT(O4881,""[0-9]+""))*1000,
VALUE(REGEXEXTRACT(O4881,""[0-9]+""))
),
0
)"),0.0)</f>
        <v>0</v>
      </c>
      <c r="E4881" s="1" t="s">
        <v>11</v>
      </c>
      <c r="F4881" s="1" t="s">
        <v>20</v>
      </c>
      <c r="G4881" s="4" t="b">
        <f t="shared" si="2"/>
        <v>1</v>
      </c>
      <c r="H4881" s="1" t="str">
        <f t="shared" si="3"/>
        <v>Currently Unavailable</v>
      </c>
      <c r="I4881" s="1" t="str">
        <f t="shared" si="4"/>
        <v>No Badges</v>
      </c>
      <c r="J4881" s="3">
        <f t="shared" si="5"/>
        <v>0</v>
      </c>
    </row>
    <row r="4882">
      <c r="A4882" s="1" t="s">
        <v>3554</v>
      </c>
      <c r="B4882" s="3" t="str">
        <f t="shared" si="1"/>
        <v>Unavailable</v>
      </c>
      <c r="C4882" s="5">
        <v>2655.0</v>
      </c>
      <c r="D4882" s="3">
        <f>IFERROR(__xludf.DUMMYFUNCTION("IFERROR(
IF(REGEXMATCH(LOWER(O4882),""k""),
VALUE(REGEXEXTRACT(O4882,""[0-9]+""))*1000,
VALUE(REGEXEXTRACT(O4882,""[0-9]+""))
),
0
)"),0.0)</f>
        <v>0</v>
      </c>
      <c r="E4882" s="1" t="s">
        <v>11</v>
      </c>
      <c r="F4882" s="1" t="s">
        <v>20</v>
      </c>
      <c r="G4882" s="4" t="b">
        <f t="shared" si="2"/>
        <v>1</v>
      </c>
      <c r="H4882" s="1" t="str">
        <f t="shared" si="3"/>
        <v>Currently Unavailable</v>
      </c>
      <c r="I4882" s="1" t="str">
        <f t="shared" si="4"/>
        <v>No Badges</v>
      </c>
      <c r="J4882" s="3">
        <f t="shared" si="5"/>
        <v>0</v>
      </c>
    </row>
    <row r="4883">
      <c r="A4883" s="1" t="s">
        <v>3555</v>
      </c>
      <c r="B4883" s="3" t="str">
        <f t="shared" si="1"/>
        <v>Unavailable</v>
      </c>
      <c r="C4883" s="5">
        <v>7490.0</v>
      </c>
      <c r="D4883" s="3">
        <f>IFERROR(__xludf.DUMMYFUNCTION("IFERROR(
IF(REGEXMATCH(LOWER(O4883),""k""),
VALUE(REGEXEXTRACT(O4883,""[0-9]+""))*1000,
VALUE(REGEXEXTRACT(O4883,""[0-9]+""))
),
0
)"),0.0)</f>
        <v>0</v>
      </c>
      <c r="E4883" s="1" t="s">
        <v>11</v>
      </c>
      <c r="F4883" s="1" t="s">
        <v>20</v>
      </c>
      <c r="G4883" s="4" t="b">
        <f t="shared" si="2"/>
        <v>1</v>
      </c>
      <c r="H4883" s="1" t="str">
        <f t="shared" si="3"/>
        <v>Currently Unavailable</v>
      </c>
      <c r="I4883" s="1" t="str">
        <f t="shared" si="4"/>
        <v>No Badges</v>
      </c>
      <c r="J4883" s="3">
        <f t="shared" si="5"/>
        <v>0</v>
      </c>
    </row>
    <row r="4884">
      <c r="A4884" s="1" t="s">
        <v>3556</v>
      </c>
      <c r="B4884" s="3" t="str">
        <f t="shared" si="1"/>
        <v>Unavailable</v>
      </c>
      <c r="C4884" s="3">
        <v>108.0</v>
      </c>
      <c r="D4884" s="3">
        <f>IFERROR(__xludf.DUMMYFUNCTION("IFERROR(
IF(REGEXMATCH(LOWER(O4884),""k""),
VALUE(REGEXEXTRACT(O4884,""[0-9]+""))*1000,
VALUE(REGEXEXTRACT(O4884,""[0-9]+""))
),
0
)"),0.0)</f>
        <v>0</v>
      </c>
      <c r="E4884" s="1" t="s">
        <v>11</v>
      </c>
      <c r="F4884" s="1" t="s">
        <v>20</v>
      </c>
      <c r="G4884" s="4" t="b">
        <f t="shared" si="2"/>
        <v>1</v>
      </c>
      <c r="H4884" s="1" t="str">
        <f t="shared" si="3"/>
        <v>Currently Unavailable</v>
      </c>
      <c r="I4884" s="1" t="str">
        <f t="shared" si="4"/>
        <v>No Badges</v>
      </c>
      <c r="J4884" s="3">
        <f t="shared" si="5"/>
        <v>0</v>
      </c>
    </row>
    <row r="4885">
      <c r="A4885" s="1" t="s">
        <v>3557</v>
      </c>
      <c r="B4885" s="3" t="str">
        <f t="shared" si="1"/>
        <v>Unavailable</v>
      </c>
      <c r="C4885" s="5">
        <v>1898.0</v>
      </c>
      <c r="D4885" s="3">
        <f>IFERROR(__xludf.DUMMYFUNCTION("IFERROR(
IF(REGEXMATCH(LOWER(O4885),""k""),
VALUE(REGEXEXTRACT(O4885,""[0-9]+""))*1000,
VALUE(REGEXEXTRACT(O4885,""[0-9]+""))
),
0
)"),0.0)</f>
        <v>0</v>
      </c>
      <c r="E4885" s="1" t="s">
        <v>11</v>
      </c>
      <c r="F4885" s="1" t="s">
        <v>20</v>
      </c>
      <c r="G4885" s="4" t="b">
        <f t="shared" si="2"/>
        <v>1</v>
      </c>
      <c r="H4885" s="1" t="str">
        <f t="shared" si="3"/>
        <v>Currently Unavailable</v>
      </c>
      <c r="I4885" s="1" t="str">
        <f t="shared" si="4"/>
        <v>No Badges</v>
      </c>
      <c r="J4885" s="3">
        <f t="shared" si="5"/>
        <v>0</v>
      </c>
    </row>
    <row r="4886">
      <c r="A4886" s="1" t="s">
        <v>67</v>
      </c>
      <c r="B4886" s="3" t="str">
        <f t="shared" si="1"/>
        <v>Unavailable</v>
      </c>
      <c r="C4886" s="3">
        <v>264.0</v>
      </c>
      <c r="D4886" s="3">
        <f>IFERROR(__xludf.DUMMYFUNCTION("IFERROR(
IF(REGEXMATCH(LOWER(O4886),""k""),
VALUE(REGEXEXTRACT(O4886,""[0-9]+""))*1000,
VALUE(REGEXEXTRACT(O4886,""[0-9]+""))
),
0
)"),0.0)</f>
        <v>0</v>
      </c>
      <c r="E4886" s="1" t="s">
        <v>11</v>
      </c>
      <c r="F4886" s="1" t="s">
        <v>12</v>
      </c>
      <c r="G4886" s="4" t="b">
        <f t="shared" si="2"/>
        <v>1</v>
      </c>
      <c r="H4886" s="1" t="str">
        <f t="shared" si="3"/>
        <v>Currently Unavailable</v>
      </c>
      <c r="I4886" s="1" t="str">
        <f t="shared" si="4"/>
        <v>No Badges</v>
      </c>
      <c r="J4886" s="3">
        <f t="shared" si="5"/>
        <v>0</v>
      </c>
    </row>
    <row r="4887">
      <c r="A4887" s="1" t="s">
        <v>3558</v>
      </c>
      <c r="B4887" s="3" t="str">
        <f t="shared" si="1"/>
        <v>Unavailable</v>
      </c>
      <c r="C4887" s="5">
        <v>1396.0</v>
      </c>
      <c r="D4887" s="3">
        <f>IFERROR(__xludf.DUMMYFUNCTION("IFERROR(
IF(REGEXMATCH(LOWER(O4887),""k""),
VALUE(REGEXEXTRACT(O4887,""[0-9]+""))*1000,
VALUE(REGEXEXTRACT(O4887,""[0-9]+""))
),
0
)"),0.0)</f>
        <v>0</v>
      </c>
      <c r="E4887" s="1" t="s">
        <v>11</v>
      </c>
      <c r="F4887" s="1" t="s">
        <v>20</v>
      </c>
      <c r="G4887" s="4" t="b">
        <f t="shared" si="2"/>
        <v>1</v>
      </c>
      <c r="H4887" s="1" t="str">
        <f t="shared" si="3"/>
        <v>Currently Unavailable</v>
      </c>
      <c r="I4887" s="1" t="str">
        <f t="shared" si="4"/>
        <v>No Badges</v>
      </c>
      <c r="J4887" s="3">
        <f t="shared" si="5"/>
        <v>0</v>
      </c>
    </row>
    <row r="4888">
      <c r="A4888" s="1" t="s">
        <v>701</v>
      </c>
      <c r="B4888" s="3" t="str">
        <f t="shared" si="1"/>
        <v>Unavailable</v>
      </c>
      <c r="C4888" s="3">
        <v>8.0</v>
      </c>
      <c r="D4888" s="3">
        <f>IFERROR(__xludf.DUMMYFUNCTION("IFERROR(
IF(REGEXMATCH(LOWER(O4888),""k""),
VALUE(REGEXEXTRACT(O4888,""[0-9]+""))*1000,
VALUE(REGEXEXTRACT(O4888,""[0-9]+""))
),
0
)"),0.0)</f>
        <v>0</v>
      </c>
      <c r="E4888" s="1" t="s">
        <v>11</v>
      </c>
      <c r="F4888" s="1" t="s">
        <v>12</v>
      </c>
      <c r="G4888" s="4" t="b">
        <f t="shared" si="2"/>
        <v>1</v>
      </c>
      <c r="H4888" s="1" t="str">
        <f t="shared" si="3"/>
        <v>Currently Unavailable</v>
      </c>
      <c r="I4888" s="1" t="str">
        <f t="shared" si="4"/>
        <v>No Badges</v>
      </c>
      <c r="J4888" s="3">
        <f t="shared" si="5"/>
        <v>0</v>
      </c>
    </row>
    <row r="4889">
      <c r="A4889" s="1" t="s">
        <v>3559</v>
      </c>
      <c r="B4889" s="3" t="str">
        <f t="shared" si="1"/>
        <v>Unavailable</v>
      </c>
      <c r="C4889" s="3">
        <v>220.0</v>
      </c>
      <c r="D4889" s="3">
        <f>IFERROR(__xludf.DUMMYFUNCTION("IFERROR(
IF(REGEXMATCH(LOWER(O4889),""k""),
VALUE(REGEXEXTRACT(O4889,""[0-9]+""))*1000,
VALUE(REGEXEXTRACT(O4889,""[0-9]+""))
),
0
)"),0.0)</f>
        <v>0</v>
      </c>
      <c r="E4889" s="1" t="s">
        <v>11</v>
      </c>
      <c r="F4889" s="1" t="s">
        <v>20</v>
      </c>
      <c r="G4889" s="4" t="b">
        <f t="shared" si="2"/>
        <v>1</v>
      </c>
      <c r="H4889" s="1" t="str">
        <f t="shared" si="3"/>
        <v>Currently Unavailable</v>
      </c>
      <c r="I4889" s="1" t="str">
        <f t="shared" si="4"/>
        <v>No Badges</v>
      </c>
      <c r="J4889" s="3">
        <f t="shared" si="5"/>
        <v>0</v>
      </c>
    </row>
    <row r="4890">
      <c r="A4890" s="1" t="s">
        <v>3560</v>
      </c>
      <c r="B4890" s="3" t="str">
        <f t="shared" si="1"/>
        <v>Unavailable</v>
      </c>
      <c r="C4890" s="5">
        <v>1684.0</v>
      </c>
      <c r="D4890" s="3">
        <f>IFERROR(__xludf.DUMMYFUNCTION("IFERROR(
IF(REGEXMATCH(LOWER(O4890),""k""),
VALUE(REGEXEXTRACT(O4890,""[0-9]+""))*1000,
VALUE(REGEXEXTRACT(O4890,""[0-9]+""))
),
0
)"),0.0)</f>
        <v>0</v>
      </c>
      <c r="E4890" s="1" t="s">
        <v>11</v>
      </c>
      <c r="F4890" s="1" t="s">
        <v>20</v>
      </c>
      <c r="G4890" s="4" t="b">
        <f t="shared" si="2"/>
        <v>1</v>
      </c>
      <c r="H4890" s="1" t="str">
        <f t="shared" si="3"/>
        <v>Currently Unavailable</v>
      </c>
      <c r="I4890" s="1" t="str">
        <f t="shared" si="4"/>
        <v>No Badges</v>
      </c>
      <c r="J4890" s="3">
        <f t="shared" si="5"/>
        <v>0</v>
      </c>
    </row>
    <row r="4891">
      <c r="A4891" s="1" t="s">
        <v>3561</v>
      </c>
      <c r="B4891" s="3" t="str">
        <f t="shared" si="1"/>
        <v>Unavailable</v>
      </c>
      <c r="C4891" s="5">
        <v>22385.0</v>
      </c>
      <c r="D4891" s="3">
        <f>IFERROR(__xludf.DUMMYFUNCTION("IFERROR(
IF(REGEXMATCH(LOWER(O4891),""k""),
VALUE(REGEXEXTRACT(O4891,""[0-9]+""))*1000,
VALUE(REGEXEXTRACT(O4891,""[0-9]+""))
),
0
)"),0.0)</f>
        <v>0</v>
      </c>
      <c r="E4891" s="1" t="s">
        <v>11</v>
      </c>
      <c r="F4891" s="1" t="s">
        <v>20</v>
      </c>
      <c r="G4891" s="4" t="b">
        <f t="shared" si="2"/>
        <v>1</v>
      </c>
      <c r="H4891" s="1" t="str">
        <f t="shared" si="3"/>
        <v>Currently Unavailable</v>
      </c>
      <c r="I4891" s="1" t="str">
        <f t="shared" si="4"/>
        <v>No Badges</v>
      </c>
      <c r="J4891" s="3">
        <f t="shared" si="5"/>
        <v>0</v>
      </c>
    </row>
    <row r="4892">
      <c r="A4892" s="1" t="s">
        <v>3562</v>
      </c>
      <c r="B4892" s="3" t="str">
        <f t="shared" si="1"/>
        <v>Unavailable</v>
      </c>
      <c r="C4892" s="5">
        <v>35795.0</v>
      </c>
      <c r="D4892" s="3">
        <f>IFERROR(__xludf.DUMMYFUNCTION("IFERROR(
IF(REGEXMATCH(LOWER(O4892),""k""),
VALUE(REGEXEXTRACT(O4892,""[0-9]+""))*1000,
VALUE(REGEXEXTRACT(O4892,""[0-9]+""))
),
0
)"),0.0)</f>
        <v>0</v>
      </c>
      <c r="E4892" s="1" t="s">
        <v>11</v>
      </c>
      <c r="F4892" s="1" t="s">
        <v>20</v>
      </c>
      <c r="G4892" s="4" t="b">
        <f t="shared" si="2"/>
        <v>1</v>
      </c>
      <c r="H4892" s="1" t="str">
        <f t="shared" si="3"/>
        <v>Currently Unavailable</v>
      </c>
      <c r="I4892" s="1" t="str">
        <f t="shared" si="4"/>
        <v>No Badges</v>
      </c>
      <c r="J4892" s="3">
        <f t="shared" si="5"/>
        <v>0</v>
      </c>
    </row>
    <row r="4893">
      <c r="A4893" s="1" t="s">
        <v>3563</v>
      </c>
      <c r="B4893" s="3" t="str">
        <f t="shared" si="1"/>
        <v>Unavailable</v>
      </c>
      <c r="C4893" s="5">
        <v>4616.0</v>
      </c>
      <c r="D4893" s="3">
        <f>IFERROR(__xludf.DUMMYFUNCTION("IFERROR(
IF(REGEXMATCH(LOWER(O4893),""k""),
VALUE(REGEXEXTRACT(O4893,""[0-9]+""))*1000,
VALUE(REGEXEXTRACT(O4893,""[0-9]+""))
),
0
)"),0.0)</f>
        <v>0</v>
      </c>
      <c r="E4893" s="1" t="s">
        <v>11</v>
      </c>
      <c r="F4893" s="1" t="s">
        <v>20</v>
      </c>
      <c r="G4893" s="4" t="b">
        <f t="shared" si="2"/>
        <v>1</v>
      </c>
      <c r="H4893" s="1" t="str">
        <f t="shared" si="3"/>
        <v>Currently Unavailable</v>
      </c>
      <c r="I4893" s="1" t="str">
        <f t="shared" si="4"/>
        <v>No Badges</v>
      </c>
      <c r="J4893" s="3">
        <f t="shared" si="5"/>
        <v>0</v>
      </c>
    </row>
    <row r="4894">
      <c r="A4894" s="1" t="s">
        <v>3564</v>
      </c>
      <c r="B4894" s="3" t="str">
        <f t="shared" si="1"/>
        <v>Unavailable</v>
      </c>
      <c r="C4894" s="3">
        <v>385.0</v>
      </c>
      <c r="D4894" s="3">
        <f>IFERROR(__xludf.DUMMYFUNCTION("IFERROR(
IF(REGEXMATCH(LOWER(O4894),""k""),
VALUE(REGEXEXTRACT(O4894,""[0-9]+""))*1000,
VALUE(REGEXEXTRACT(O4894,""[0-9]+""))
),
0
)"),0.0)</f>
        <v>0</v>
      </c>
      <c r="E4894" s="1" t="s">
        <v>11</v>
      </c>
      <c r="F4894" s="1" t="s">
        <v>20</v>
      </c>
      <c r="G4894" s="4" t="b">
        <f t="shared" si="2"/>
        <v>1</v>
      </c>
      <c r="H4894" s="1" t="str">
        <f t="shared" si="3"/>
        <v>Currently Unavailable</v>
      </c>
      <c r="I4894" s="1" t="str">
        <f t="shared" si="4"/>
        <v>No Badges</v>
      </c>
      <c r="J4894" s="3">
        <f t="shared" si="5"/>
        <v>0</v>
      </c>
    </row>
    <row r="4895">
      <c r="A4895" s="1" t="s">
        <v>3565</v>
      </c>
      <c r="B4895" s="3" t="str">
        <f t="shared" si="1"/>
        <v>Unavailable</v>
      </c>
      <c r="C4895" s="5">
        <v>1808.0</v>
      </c>
      <c r="D4895" s="3">
        <f>IFERROR(__xludf.DUMMYFUNCTION("IFERROR(
IF(REGEXMATCH(LOWER(O4895),""k""),
VALUE(REGEXEXTRACT(O4895,""[0-9]+""))*1000,
VALUE(REGEXEXTRACT(O4895,""[0-9]+""))
),
0
)"),0.0)</f>
        <v>0</v>
      </c>
      <c r="E4895" s="1" t="s">
        <v>11</v>
      </c>
      <c r="F4895" s="1" t="s">
        <v>20</v>
      </c>
      <c r="G4895" s="4" t="b">
        <f t="shared" si="2"/>
        <v>1</v>
      </c>
      <c r="H4895" s="1" t="str">
        <f t="shared" si="3"/>
        <v>Currently Unavailable</v>
      </c>
      <c r="I4895" s="1" t="str">
        <f t="shared" si="4"/>
        <v>No Badges</v>
      </c>
      <c r="J4895" s="3">
        <f t="shared" si="5"/>
        <v>0</v>
      </c>
    </row>
    <row r="4896">
      <c r="A4896" s="1" t="s">
        <v>3566</v>
      </c>
      <c r="B4896" s="3" t="str">
        <f t="shared" si="1"/>
        <v>Unavailable</v>
      </c>
      <c r="C4896" s="5">
        <v>2265.0</v>
      </c>
      <c r="D4896" s="3">
        <f>IFERROR(__xludf.DUMMYFUNCTION("IFERROR(
IF(REGEXMATCH(LOWER(O4896),""k""),
VALUE(REGEXEXTRACT(O4896,""[0-9]+""))*1000,
VALUE(REGEXEXTRACT(O4896,""[0-9]+""))
),
0
)"),0.0)</f>
        <v>0</v>
      </c>
      <c r="E4896" s="1" t="s">
        <v>11</v>
      </c>
      <c r="F4896" s="1" t="s">
        <v>20</v>
      </c>
      <c r="G4896" s="4" t="b">
        <f t="shared" si="2"/>
        <v>1</v>
      </c>
      <c r="H4896" s="1" t="str">
        <f t="shared" si="3"/>
        <v>Currently Unavailable</v>
      </c>
      <c r="I4896" s="1" t="str">
        <f t="shared" si="4"/>
        <v>No Badges</v>
      </c>
      <c r="J4896" s="3">
        <f t="shared" si="5"/>
        <v>0</v>
      </c>
    </row>
    <row r="4897">
      <c r="A4897" s="1" t="s">
        <v>3567</v>
      </c>
      <c r="B4897" s="3" t="str">
        <f t="shared" si="1"/>
        <v>Unavailable</v>
      </c>
      <c r="C4897" s="5">
        <v>6587.0</v>
      </c>
      <c r="D4897" s="3">
        <f>IFERROR(__xludf.DUMMYFUNCTION("IFERROR(
IF(REGEXMATCH(LOWER(O4897),""k""),
VALUE(REGEXEXTRACT(O4897,""[0-9]+""))*1000,
VALUE(REGEXEXTRACT(O4897,""[0-9]+""))
),
0
)"),0.0)</f>
        <v>0</v>
      </c>
      <c r="E4897" s="1" t="s">
        <v>11</v>
      </c>
      <c r="F4897" s="1" t="s">
        <v>20</v>
      </c>
      <c r="G4897" s="4" t="b">
        <f t="shared" si="2"/>
        <v>1</v>
      </c>
      <c r="H4897" s="1" t="str">
        <f t="shared" si="3"/>
        <v>Currently Unavailable</v>
      </c>
      <c r="I4897" s="1" t="str">
        <f t="shared" si="4"/>
        <v>No Badges</v>
      </c>
      <c r="J4897" s="3">
        <f t="shared" si="5"/>
        <v>0</v>
      </c>
    </row>
    <row r="4898">
      <c r="A4898" s="1" t="s">
        <v>3568</v>
      </c>
      <c r="B4898" s="3" t="str">
        <f t="shared" si="1"/>
        <v>Unavailable</v>
      </c>
      <c r="C4898" s="3">
        <v>668.0</v>
      </c>
      <c r="D4898" s="3">
        <f>IFERROR(__xludf.DUMMYFUNCTION("IFERROR(
IF(REGEXMATCH(LOWER(O4898),""k""),
VALUE(REGEXEXTRACT(O4898,""[0-9]+""))*1000,
VALUE(REGEXEXTRACT(O4898,""[0-9]+""))
),
0
)"),0.0)</f>
        <v>0</v>
      </c>
      <c r="E4898" s="1" t="s">
        <v>11</v>
      </c>
      <c r="F4898" s="1" t="s">
        <v>20</v>
      </c>
      <c r="G4898" s="4" t="b">
        <f t="shared" si="2"/>
        <v>1</v>
      </c>
      <c r="H4898" s="1" t="str">
        <f t="shared" si="3"/>
        <v>Currently Unavailable</v>
      </c>
      <c r="I4898" s="1" t="str">
        <f t="shared" si="4"/>
        <v>No Badges</v>
      </c>
      <c r="J4898" s="3">
        <f t="shared" si="5"/>
        <v>0</v>
      </c>
    </row>
    <row r="4899">
      <c r="A4899" s="1" t="s">
        <v>3569</v>
      </c>
      <c r="B4899" s="3" t="str">
        <f t="shared" si="1"/>
        <v>Unavailable</v>
      </c>
      <c r="C4899" s="5">
        <v>23184.0</v>
      </c>
      <c r="D4899" s="3">
        <f>IFERROR(__xludf.DUMMYFUNCTION("IFERROR(
IF(REGEXMATCH(LOWER(O4899),""k""),
VALUE(REGEXEXTRACT(O4899,""[0-9]+""))*1000,
VALUE(REGEXEXTRACT(O4899,""[0-9]+""))
),
0
)"),0.0)</f>
        <v>0</v>
      </c>
      <c r="E4899" s="1" t="s">
        <v>11</v>
      </c>
      <c r="F4899" s="1" t="s">
        <v>20</v>
      </c>
      <c r="G4899" s="4" t="b">
        <f t="shared" si="2"/>
        <v>1</v>
      </c>
      <c r="H4899" s="1" t="str">
        <f t="shared" si="3"/>
        <v>Currently Unavailable</v>
      </c>
      <c r="I4899" s="1" t="str">
        <f t="shared" si="4"/>
        <v>No Badges</v>
      </c>
      <c r="J4899" s="3">
        <f t="shared" si="5"/>
        <v>0</v>
      </c>
    </row>
    <row r="4900">
      <c r="A4900" s="1" t="s">
        <v>3570</v>
      </c>
      <c r="B4900" s="3" t="str">
        <f t="shared" si="1"/>
        <v>Unavailable</v>
      </c>
      <c r="C4900" s="3">
        <v>910.0</v>
      </c>
      <c r="D4900" s="3">
        <f>IFERROR(__xludf.DUMMYFUNCTION("IFERROR(
IF(REGEXMATCH(LOWER(O4900),""k""),
VALUE(REGEXEXTRACT(O4900,""[0-9]+""))*1000,
VALUE(REGEXEXTRACT(O4900,""[0-9]+""))
),
0
)"),0.0)</f>
        <v>0</v>
      </c>
      <c r="E4900" s="1" t="s">
        <v>11</v>
      </c>
      <c r="F4900" s="1" t="s">
        <v>20</v>
      </c>
      <c r="G4900" s="4" t="b">
        <f t="shared" si="2"/>
        <v>1</v>
      </c>
      <c r="H4900" s="1" t="str">
        <f t="shared" si="3"/>
        <v>Currently Unavailable</v>
      </c>
      <c r="I4900" s="1" t="str">
        <f t="shared" si="4"/>
        <v>No Badges</v>
      </c>
      <c r="J4900" s="3">
        <f t="shared" si="5"/>
        <v>0</v>
      </c>
    </row>
    <row r="4901">
      <c r="A4901" s="1" t="s">
        <v>3571</v>
      </c>
      <c r="B4901" s="3" t="str">
        <f t="shared" si="1"/>
        <v>Unavailable</v>
      </c>
      <c r="C4901" s="5">
        <v>19303.0</v>
      </c>
      <c r="D4901" s="3">
        <f>IFERROR(__xludf.DUMMYFUNCTION("IFERROR(
IF(REGEXMATCH(LOWER(O4901),""k""),
VALUE(REGEXEXTRACT(O4901,""[0-9]+""))*1000,
VALUE(REGEXEXTRACT(O4901,""[0-9]+""))
),
0
)"),0.0)</f>
        <v>0</v>
      </c>
      <c r="E4901" s="1" t="s">
        <v>11</v>
      </c>
      <c r="F4901" s="1" t="s">
        <v>20</v>
      </c>
      <c r="G4901" s="4" t="b">
        <f t="shared" si="2"/>
        <v>1</v>
      </c>
      <c r="H4901" s="1" t="str">
        <f t="shared" si="3"/>
        <v>Currently Unavailable</v>
      </c>
      <c r="I4901" s="1" t="str">
        <f t="shared" si="4"/>
        <v>No Badges</v>
      </c>
      <c r="J4901" s="3">
        <f t="shared" si="5"/>
        <v>0</v>
      </c>
    </row>
    <row r="4902">
      <c r="A4902" s="1" t="s">
        <v>3572</v>
      </c>
      <c r="B4902" s="3" t="str">
        <f t="shared" si="1"/>
        <v>Unavailable</v>
      </c>
      <c r="C4902" s="3">
        <v>27.0</v>
      </c>
      <c r="D4902" s="3">
        <f>IFERROR(__xludf.DUMMYFUNCTION("IFERROR(
IF(REGEXMATCH(LOWER(O4902),""k""),
VALUE(REGEXEXTRACT(O4902,""[0-9]+""))*1000,
VALUE(REGEXEXTRACT(O4902,""[0-9]+""))
),
0
)"),0.0)</f>
        <v>0</v>
      </c>
      <c r="E4902" s="1" t="s">
        <v>11</v>
      </c>
      <c r="F4902" s="1" t="s">
        <v>12</v>
      </c>
      <c r="G4902" s="4" t="b">
        <f t="shared" si="2"/>
        <v>1</v>
      </c>
      <c r="H4902" s="1" t="str">
        <f t="shared" si="3"/>
        <v>Currently Unavailable</v>
      </c>
      <c r="I4902" s="1" t="str">
        <f t="shared" si="4"/>
        <v>No Badges</v>
      </c>
      <c r="J4902" s="3">
        <f t="shared" si="5"/>
        <v>0</v>
      </c>
    </row>
    <row r="4903">
      <c r="A4903" s="1" t="s">
        <v>88</v>
      </c>
      <c r="B4903" s="3" t="str">
        <f t="shared" si="1"/>
        <v>Unavailable</v>
      </c>
      <c r="C4903" s="3">
        <v>5.0</v>
      </c>
      <c r="D4903" s="3">
        <f>IFERROR(__xludf.DUMMYFUNCTION("IFERROR(
IF(REGEXMATCH(LOWER(O4903),""k""),
VALUE(REGEXEXTRACT(O4903,""[0-9]+""))*1000,
VALUE(REGEXEXTRACT(O4903,""[0-9]+""))
),
0
)"),0.0)</f>
        <v>0</v>
      </c>
      <c r="E4903" s="1" t="s">
        <v>11</v>
      </c>
      <c r="F4903" s="1" t="s">
        <v>12</v>
      </c>
      <c r="G4903" s="4" t="b">
        <f t="shared" si="2"/>
        <v>1</v>
      </c>
      <c r="H4903" s="1" t="str">
        <f t="shared" si="3"/>
        <v>Currently Unavailable</v>
      </c>
      <c r="I4903" s="1" t="str">
        <f t="shared" si="4"/>
        <v>No Badges</v>
      </c>
      <c r="J4903" s="3">
        <f t="shared" si="5"/>
        <v>0</v>
      </c>
    </row>
    <row r="4904">
      <c r="A4904" s="1" t="s">
        <v>3573</v>
      </c>
      <c r="B4904" s="3" t="str">
        <f t="shared" si="1"/>
        <v>Unavailable</v>
      </c>
      <c r="C4904" s="5">
        <v>5147.0</v>
      </c>
      <c r="D4904" s="3">
        <f>IFERROR(__xludf.DUMMYFUNCTION("IFERROR(
IF(REGEXMATCH(LOWER(O4904),""k""),
VALUE(REGEXEXTRACT(O4904,""[0-9]+""))*1000,
VALUE(REGEXEXTRACT(O4904,""[0-9]+""))
),
0
)"),0.0)</f>
        <v>0</v>
      </c>
      <c r="E4904" s="1" t="s">
        <v>11</v>
      </c>
      <c r="F4904" s="1" t="s">
        <v>20</v>
      </c>
      <c r="G4904" s="4" t="b">
        <f t="shared" si="2"/>
        <v>1</v>
      </c>
      <c r="H4904" s="1" t="str">
        <f t="shared" si="3"/>
        <v>Currently Unavailable</v>
      </c>
      <c r="I4904" s="1" t="str">
        <f t="shared" si="4"/>
        <v>No Badges</v>
      </c>
      <c r="J4904" s="3">
        <f t="shared" si="5"/>
        <v>0</v>
      </c>
    </row>
    <row r="4905">
      <c r="A4905" s="1" t="s">
        <v>3574</v>
      </c>
      <c r="B4905" s="3" t="str">
        <f t="shared" si="1"/>
        <v>Unavailable</v>
      </c>
      <c r="C4905" s="3">
        <v>830.0</v>
      </c>
      <c r="D4905" s="3">
        <f>IFERROR(__xludf.DUMMYFUNCTION("IFERROR(
IF(REGEXMATCH(LOWER(O4905),""k""),
VALUE(REGEXEXTRACT(O4905,""[0-9]+""))*1000,
VALUE(REGEXEXTRACT(O4905,""[0-9]+""))
),
0
)"),0.0)</f>
        <v>0</v>
      </c>
      <c r="E4905" s="1" t="s">
        <v>11</v>
      </c>
      <c r="F4905" s="1" t="s">
        <v>20</v>
      </c>
      <c r="G4905" s="4" t="b">
        <f t="shared" si="2"/>
        <v>1</v>
      </c>
      <c r="H4905" s="1" t="str">
        <f t="shared" si="3"/>
        <v>Currently Unavailable</v>
      </c>
      <c r="I4905" s="1" t="str">
        <f t="shared" si="4"/>
        <v>No Badges</v>
      </c>
      <c r="J4905" s="3">
        <f t="shared" si="5"/>
        <v>0</v>
      </c>
    </row>
    <row r="4906">
      <c r="A4906" s="1" t="s">
        <v>69</v>
      </c>
      <c r="B4906" s="3" t="str">
        <f t="shared" si="1"/>
        <v>Unavailable</v>
      </c>
      <c r="C4906" s="3">
        <v>45.0</v>
      </c>
      <c r="D4906" s="3">
        <f>IFERROR(__xludf.DUMMYFUNCTION("IFERROR(
IF(REGEXMATCH(LOWER(O4906),""k""),
VALUE(REGEXEXTRACT(O4906,""[0-9]+""))*1000,
VALUE(REGEXEXTRACT(O4906,""[0-9]+""))
),
0
)"),0.0)</f>
        <v>0</v>
      </c>
      <c r="E4906" s="1" t="s">
        <v>11</v>
      </c>
      <c r="F4906" s="1" t="s">
        <v>12</v>
      </c>
      <c r="G4906" s="4" t="b">
        <f t="shared" si="2"/>
        <v>1</v>
      </c>
      <c r="H4906" s="1" t="str">
        <f t="shared" si="3"/>
        <v>Currently Unavailable</v>
      </c>
      <c r="I4906" s="1" t="str">
        <f t="shared" si="4"/>
        <v>No Badges</v>
      </c>
      <c r="J4906" s="3">
        <f t="shared" si="5"/>
        <v>0</v>
      </c>
    </row>
    <row r="4907">
      <c r="A4907" s="1" t="s">
        <v>3575</v>
      </c>
      <c r="B4907" s="3" t="str">
        <f t="shared" si="1"/>
        <v>Unavailable</v>
      </c>
      <c r="C4907" s="5">
        <v>40073.0</v>
      </c>
      <c r="D4907" s="3">
        <f>IFERROR(__xludf.DUMMYFUNCTION("IFERROR(
IF(REGEXMATCH(LOWER(O4907),""k""),
VALUE(REGEXEXTRACT(O4907,""[0-9]+""))*1000,
VALUE(REGEXEXTRACT(O4907,""[0-9]+""))
),
0
)"),0.0)</f>
        <v>0</v>
      </c>
      <c r="E4907" s="1" t="s">
        <v>11</v>
      </c>
      <c r="F4907" s="1" t="s">
        <v>20</v>
      </c>
      <c r="G4907" s="4" t="b">
        <f t="shared" si="2"/>
        <v>1</v>
      </c>
      <c r="H4907" s="1" t="str">
        <f t="shared" si="3"/>
        <v>Currently Unavailable</v>
      </c>
      <c r="I4907" s="1" t="str">
        <f t="shared" si="4"/>
        <v>No Badges</v>
      </c>
      <c r="J4907" s="3">
        <f t="shared" si="5"/>
        <v>0</v>
      </c>
    </row>
    <row r="4908">
      <c r="A4908" s="1" t="s">
        <v>3576</v>
      </c>
      <c r="B4908" s="3" t="str">
        <f t="shared" si="1"/>
        <v>Unavailable</v>
      </c>
      <c r="C4908" s="5">
        <v>19278.0</v>
      </c>
      <c r="D4908" s="3">
        <f>IFERROR(__xludf.DUMMYFUNCTION("IFERROR(
IF(REGEXMATCH(LOWER(O4908),""k""),
VALUE(REGEXEXTRACT(O4908,""[0-9]+""))*1000,
VALUE(REGEXEXTRACT(O4908,""[0-9]+""))
),
0
)"),0.0)</f>
        <v>0</v>
      </c>
      <c r="E4908" s="1" t="s">
        <v>11</v>
      </c>
      <c r="F4908" s="1" t="s">
        <v>20</v>
      </c>
      <c r="G4908" s="4" t="b">
        <f t="shared" si="2"/>
        <v>1</v>
      </c>
      <c r="H4908" s="1" t="str">
        <f t="shared" si="3"/>
        <v>Currently Unavailable</v>
      </c>
      <c r="I4908" s="1" t="str">
        <f t="shared" si="4"/>
        <v>No Badges</v>
      </c>
      <c r="J4908" s="3">
        <f t="shared" si="5"/>
        <v>0</v>
      </c>
    </row>
    <row r="4909">
      <c r="A4909" s="1" t="s">
        <v>3577</v>
      </c>
      <c r="B4909" s="3" t="str">
        <f t="shared" si="1"/>
        <v>Unavailable</v>
      </c>
      <c r="C4909" s="5">
        <v>11328.0</v>
      </c>
      <c r="D4909" s="3">
        <f>IFERROR(__xludf.DUMMYFUNCTION("IFERROR(
IF(REGEXMATCH(LOWER(O4909),""k""),
VALUE(REGEXEXTRACT(O4909,""[0-9]+""))*1000,
VALUE(REGEXEXTRACT(O4909,""[0-9]+""))
),
0
)"),0.0)</f>
        <v>0</v>
      </c>
      <c r="E4909" s="1" t="s">
        <v>11</v>
      </c>
      <c r="F4909" s="1" t="s">
        <v>20</v>
      </c>
      <c r="G4909" s="4" t="b">
        <f t="shared" si="2"/>
        <v>1</v>
      </c>
      <c r="H4909" s="1" t="str">
        <f t="shared" si="3"/>
        <v>Currently Unavailable</v>
      </c>
      <c r="I4909" s="1" t="str">
        <f t="shared" si="4"/>
        <v>No Badges</v>
      </c>
      <c r="J4909" s="3">
        <f t="shared" si="5"/>
        <v>0</v>
      </c>
    </row>
    <row r="4910">
      <c r="A4910" s="1" t="s">
        <v>3578</v>
      </c>
      <c r="B4910" s="3" t="str">
        <f t="shared" si="1"/>
        <v>Unavailable</v>
      </c>
      <c r="C4910" s="3">
        <v>512.0</v>
      </c>
      <c r="D4910" s="3">
        <f>IFERROR(__xludf.DUMMYFUNCTION("IFERROR(
IF(REGEXMATCH(LOWER(O4910),""k""),
VALUE(REGEXEXTRACT(O4910,""[0-9]+""))*1000,
VALUE(REGEXEXTRACT(O4910,""[0-9]+""))
),
0
)"),0.0)</f>
        <v>0</v>
      </c>
      <c r="E4910" s="1" t="s">
        <v>11</v>
      </c>
      <c r="F4910" s="1" t="s">
        <v>20</v>
      </c>
      <c r="G4910" s="4" t="b">
        <f t="shared" si="2"/>
        <v>1</v>
      </c>
      <c r="H4910" s="1" t="str">
        <f t="shared" si="3"/>
        <v>Currently Unavailable</v>
      </c>
      <c r="I4910" s="1" t="str">
        <f t="shared" si="4"/>
        <v>No Badges</v>
      </c>
      <c r="J4910" s="3">
        <f t="shared" si="5"/>
        <v>0</v>
      </c>
    </row>
    <row r="4911">
      <c r="A4911" s="1" t="s">
        <v>3352</v>
      </c>
      <c r="B4911" s="3" t="str">
        <f t="shared" si="1"/>
        <v>Unavailable</v>
      </c>
      <c r="C4911" s="5">
        <v>5284.0</v>
      </c>
      <c r="D4911" s="3">
        <f>IFERROR(__xludf.DUMMYFUNCTION("IFERROR(
IF(REGEXMATCH(LOWER(O4911),""k""),
VALUE(REGEXEXTRACT(O4911,""[0-9]+""))*1000,
VALUE(REGEXEXTRACT(O4911,""[0-9]+""))
),
0
)"),0.0)</f>
        <v>0</v>
      </c>
      <c r="E4911" s="1" t="s">
        <v>11</v>
      </c>
      <c r="F4911" s="1" t="s">
        <v>12</v>
      </c>
      <c r="G4911" s="4" t="b">
        <f t="shared" si="2"/>
        <v>1</v>
      </c>
      <c r="H4911" s="1" t="str">
        <f t="shared" si="3"/>
        <v>Currently Unavailable</v>
      </c>
      <c r="I4911" s="1" t="str">
        <f t="shared" si="4"/>
        <v>No Badges</v>
      </c>
      <c r="J4911" s="3">
        <f t="shared" si="5"/>
        <v>0</v>
      </c>
    </row>
    <row r="4912">
      <c r="A4912" s="1" t="s">
        <v>3579</v>
      </c>
      <c r="B4912" s="3" t="str">
        <f t="shared" si="1"/>
        <v>Unavailable</v>
      </c>
      <c r="C4912" s="3">
        <v>196.0</v>
      </c>
      <c r="D4912" s="3">
        <f>IFERROR(__xludf.DUMMYFUNCTION("IFERROR(
IF(REGEXMATCH(LOWER(O4912),""k""),
VALUE(REGEXEXTRACT(O4912,""[0-9]+""))*1000,
VALUE(REGEXEXTRACT(O4912,""[0-9]+""))
),
0
)"),0.0)</f>
        <v>0</v>
      </c>
      <c r="E4912" s="1" t="s">
        <v>11</v>
      </c>
      <c r="F4912" s="1" t="s">
        <v>20</v>
      </c>
      <c r="G4912" s="4" t="b">
        <f t="shared" si="2"/>
        <v>1</v>
      </c>
      <c r="H4912" s="1" t="str">
        <f t="shared" si="3"/>
        <v>Currently Unavailable</v>
      </c>
      <c r="I4912" s="1" t="str">
        <f t="shared" si="4"/>
        <v>No Badges</v>
      </c>
      <c r="J4912" s="3">
        <f t="shared" si="5"/>
        <v>0</v>
      </c>
    </row>
    <row r="4913">
      <c r="A4913" s="1" t="s">
        <v>3580</v>
      </c>
      <c r="B4913" s="3" t="str">
        <f t="shared" si="1"/>
        <v>Unavailable</v>
      </c>
      <c r="C4913" s="3">
        <v>353.0</v>
      </c>
      <c r="D4913" s="3">
        <f>IFERROR(__xludf.DUMMYFUNCTION("IFERROR(
IF(REGEXMATCH(LOWER(O4913),""k""),
VALUE(REGEXEXTRACT(O4913,""[0-9]+""))*1000,
VALUE(REGEXEXTRACT(O4913,""[0-9]+""))
),
0
)"),0.0)</f>
        <v>0</v>
      </c>
      <c r="E4913" s="1" t="s">
        <v>11</v>
      </c>
      <c r="F4913" s="1" t="s">
        <v>20</v>
      </c>
      <c r="G4913" s="4" t="b">
        <f t="shared" si="2"/>
        <v>1</v>
      </c>
      <c r="H4913" s="1" t="str">
        <f t="shared" si="3"/>
        <v>Currently Unavailable</v>
      </c>
      <c r="I4913" s="1" t="str">
        <f t="shared" si="4"/>
        <v>No Badges</v>
      </c>
      <c r="J4913" s="3">
        <f t="shared" si="5"/>
        <v>0</v>
      </c>
    </row>
    <row r="4914">
      <c r="A4914" s="1" t="s">
        <v>3581</v>
      </c>
      <c r="B4914" s="3" t="str">
        <f t="shared" si="1"/>
        <v>Unavailable</v>
      </c>
      <c r="C4914" s="5">
        <v>5702.0</v>
      </c>
      <c r="D4914" s="3">
        <f>IFERROR(__xludf.DUMMYFUNCTION("IFERROR(
IF(REGEXMATCH(LOWER(O4914),""k""),
VALUE(REGEXEXTRACT(O4914,""[0-9]+""))*1000,
VALUE(REGEXEXTRACT(O4914,""[0-9]+""))
),
0
)"),0.0)</f>
        <v>0</v>
      </c>
      <c r="E4914" s="1" t="s">
        <v>11</v>
      </c>
      <c r="F4914" s="1" t="s">
        <v>20</v>
      </c>
      <c r="G4914" s="4" t="b">
        <f t="shared" si="2"/>
        <v>1</v>
      </c>
      <c r="H4914" s="1" t="str">
        <f t="shared" si="3"/>
        <v>Currently Unavailable</v>
      </c>
      <c r="I4914" s="1" t="str">
        <f t="shared" si="4"/>
        <v>No Badges</v>
      </c>
      <c r="J4914" s="3">
        <f t="shared" si="5"/>
        <v>0</v>
      </c>
    </row>
    <row r="4915">
      <c r="A4915" s="1" t="s">
        <v>3582</v>
      </c>
      <c r="B4915" s="3" t="str">
        <f t="shared" si="1"/>
        <v>Unavailable</v>
      </c>
      <c r="C4915" s="5">
        <v>34654.0</v>
      </c>
      <c r="D4915" s="3">
        <f>IFERROR(__xludf.DUMMYFUNCTION("IFERROR(
IF(REGEXMATCH(LOWER(O4915),""k""),
VALUE(REGEXEXTRACT(O4915,""[0-9]+""))*1000,
VALUE(REGEXEXTRACT(O4915,""[0-9]+""))
),
0
)"),0.0)</f>
        <v>0</v>
      </c>
      <c r="E4915" s="1" t="s">
        <v>18</v>
      </c>
      <c r="F4915" s="1" t="s">
        <v>20</v>
      </c>
      <c r="G4915" s="4" t="b">
        <f t="shared" si="2"/>
        <v>1</v>
      </c>
      <c r="H4915" s="1" t="str">
        <f t="shared" si="3"/>
        <v>Currently Unavailable</v>
      </c>
      <c r="I4915" s="1" t="str">
        <f t="shared" si="4"/>
        <v>No Badges</v>
      </c>
      <c r="J4915" s="3">
        <f t="shared" si="5"/>
        <v>0</v>
      </c>
    </row>
    <row r="4916">
      <c r="A4916" s="1" t="s">
        <v>3583</v>
      </c>
      <c r="B4916" s="3" t="str">
        <f t="shared" si="1"/>
        <v>Unavailable</v>
      </c>
      <c r="C4916" s="5">
        <v>18392.0</v>
      </c>
      <c r="D4916" s="3">
        <f>IFERROR(__xludf.DUMMYFUNCTION("IFERROR(
IF(REGEXMATCH(LOWER(O4916),""k""),
VALUE(REGEXEXTRACT(O4916,""[0-9]+""))*1000,
VALUE(REGEXEXTRACT(O4916,""[0-9]+""))
),
0
)"),0.0)</f>
        <v>0</v>
      </c>
      <c r="E4916" s="1" t="s">
        <v>11</v>
      </c>
      <c r="F4916" s="1" t="s">
        <v>20</v>
      </c>
      <c r="G4916" s="4" t="b">
        <f t="shared" si="2"/>
        <v>1</v>
      </c>
      <c r="H4916" s="1" t="str">
        <f t="shared" si="3"/>
        <v>Currently Unavailable</v>
      </c>
      <c r="I4916" s="1" t="str">
        <f t="shared" si="4"/>
        <v>No Badges</v>
      </c>
      <c r="J4916" s="3">
        <f t="shared" si="5"/>
        <v>0</v>
      </c>
    </row>
    <row r="4917">
      <c r="A4917" s="1" t="s">
        <v>3584</v>
      </c>
      <c r="B4917" s="3" t="str">
        <f t="shared" si="1"/>
        <v>Unavailable</v>
      </c>
      <c r="C4917" s="5">
        <v>3590.0</v>
      </c>
      <c r="D4917" s="3">
        <f>IFERROR(__xludf.DUMMYFUNCTION("IFERROR(
IF(REGEXMATCH(LOWER(O4917),""k""),
VALUE(REGEXEXTRACT(O4917,""[0-9]+""))*1000,
VALUE(REGEXEXTRACT(O4917,""[0-9]+""))
),
0
)"),0.0)</f>
        <v>0</v>
      </c>
      <c r="E4917" s="1" t="s">
        <v>11</v>
      </c>
      <c r="F4917" s="1" t="s">
        <v>20</v>
      </c>
      <c r="G4917" s="4" t="b">
        <f t="shared" si="2"/>
        <v>1</v>
      </c>
      <c r="H4917" s="1" t="str">
        <f t="shared" si="3"/>
        <v>Currently Unavailable</v>
      </c>
      <c r="I4917" s="1" t="str">
        <f t="shared" si="4"/>
        <v>No Badges</v>
      </c>
      <c r="J4917" s="3">
        <f t="shared" si="5"/>
        <v>0</v>
      </c>
    </row>
    <row r="4918">
      <c r="A4918" s="1" t="s">
        <v>3585</v>
      </c>
      <c r="B4918" s="3" t="str">
        <f t="shared" si="1"/>
        <v>Unavailable</v>
      </c>
      <c r="C4918" s="5">
        <v>1221.0</v>
      </c>
      <c r="D4918" s="3">
        <f>IFERROR(__xludf.DUMMYFUNCTION("IFERROR(
IF(REGEXMATCH(LOWER(O4918),""k""),
VALUE(REGEXEXTRACT(O4918,""[0-9]+""))*1000,
VALUE(REGEXEXTRACT(O4918,""[0-9]+""))
),
0
)"),0.0)</f>
        <v>0</v>
      </c>
      <c r="E4918" s="1" t="s">
        <v>11</v>
      </c>
      <c r="F4918" s="1" t="s">
        <v>20</v>
      </c>
      <c r="G4918" s="4" t="b">
        <f t="shared" si="2"/>
        <v>1</v>
      </c>
      <c r="H4918" s="1" t="str">
        <f t="shared" si="3"/>
        <v>Currently Unavailable</v>
      </c>
      <c r="I4918" s="1" t="str">
        <f t="shared" si="4"/>
        <v>No Badges</v>
      </c>
      <c r="J4918" s="3">
        <f t="shared" si="5"/>
        <v>0</v>
      </c>
    </row>
    <row r="4919">
      <c r="A4919" s="1" t="s">
        <v>3586</v>
      </c>
      <c r="B4919" s="3" t="str">
        <f t="shared" si="1"/>
        <v>Unavailable</v>
      </c>
      <c r="C4919" s="5">
        <v>19434.0</v>
      </c>
      <c r="D4919" s="3">
        <f>IFERROR(__xludf.DUMMYFUNCTION("IFERROR(
IF(REGEXMATCH(LOWER(O4919),""k""),
VALUE(REGEXEXTRACT(O4919,""[0-9]+""))*1000,
VALUE(REGEXEXTRACT(O4919,""[0-9]+""))
),
0
)"),0.0)</f>
        <v>0</v>
      </c>
      <c r="E4919" s="1" t="s">
        <v>1591</v>
      </c>
      <c r="F4919" s="1" t="s">
        <v>20</v>
      </c>
      <c r="G4919" s="4" t="b">
        <f t="shared" si="2"/>
        <v>1</v>
      </c>
      <c r="H4919" s="1" t="str">
        <f t="shared" si="3"/>
        <v>Currently Unavailable</v>
      </c>
      <c r="I4919" s="1" t="str">
        <f t="shared" si="4"/>
        <v>No Badges</v>
      </c>
      <c r="J4919" s="3">
        <f t="shared" si="5"/>
        <v>0</v>
      </c>
    </row>
    <row r="4920">
      <c r="A4920" s="1" t="s">
        <v>67</v>
      </c>
      <c r="B4920" s="3" t="str">
        <f t="shared" si="1"/>
        <v>Unavailable</v>
      </c>
      <c r="C4920" s="3">
        <v>264.0</v>
      </c>
      <c r="D4920" s="3">
        <f>IFERROR(__xludf.DUMMYFUNCTION("IFERROR(
IF(REGEXMATCH(LOWER(O4920),""k""),
VALUE(REGEXEXTRACT(O4920,""[0-9]+""))*1000,
VALUE(REGEXEXTRACT(O4920,""[0-9]+""))
),
0
)"),0.0)</f>
        <v>0</v>
      </c>
      <c r="E4920" s="1" t="s">
        <v>11</v>
      </c>
      <c r="F4920" s="1" t="s">
        <v>12</v>
      </c>
      <c r="G4920" s="4" t="b">
        <f t="shared" si="2"/>
        <v>1</v>
      </c>
      <c r="H4920" s="1" t="str">
        <f t="shared" si="3"/>
        <v>Currently Unavailable</v>
      </c>
      <c r="I4920" s="1" t="str">
        <f t="shared" si="4"/>
        <v>No Badges</v>
      </c>
      <c r="J4920" s="3">
        <f t="shared" si="5"/>
        <v>0</v>
      </c>
    </row>
    <row r="4921">
      <c r="A4921" s="1" t="s">
        <v>3587</v>
      </c>
      <c r="B4921" s="3" t="str">
        <f t="shared" si="1"/>
        <v>Unavailable</v>
      </c>
      <c r="C4921" s="3">
        <v>963.0</v>
      </c>
      <c r="D4921" s="3">
        <f>IFERROR(__xludf.DUMMYFUNCTION("IFERROR(
IF(REGEXMATCH(LOWER(O4921),""k""),
VALUE(REGEXEXTRACT(O4921,""[0-9]+""))*1000,
VALUE(REGEXEXTRACT(O4921,""[0-9]+""))
),
0
)"),0.0)</f>
        <v>0</v>
      </c>
      <c r="E4921" s="1" t="s">
        <v>11</v>
      </c>
      <c r="F4921" s="1" t="s">
        <v>20</v>
      </c>
      <c r="G4921" s="4" t="b">
        <f t="shared" si="2"/>
        <v>1</v>
      </c>
      <c r="H4921" s="1" t="str">
        <f t="shared" si="3"/>
        <v>Currently Unavailable</v>
      </c>
      <c r="I4921" s="1" t="str">
        <f t="shared" si="4"/>
        <v>No Badges</v>
      </c>
      <c r="J4921" s="3">
        <f t="shared" si="5"/>
        <v>0</v>
      </c>
    </row>
    <row r="4922">
      <c r="A4922" s="1" t="s">
        <v>3588</v>
      </c>
      <c r="B4922" s="3" t="str">
        <f t="shared" si="1"/>
        <v>Unavailable</v>
      </c>
      <c r="C4922" s="5">
        <v>15774.0</v>
      </c>
      <c r="D4922" s="3">
        <f>IFERROR(__xludf.DUMMYFUNCTION("IFERROR(
IF(REGEXMATCH(LOWER(O4922),""k""),
VALUE(REGEXEXTRACT(O4922,""[0-9]+""))*1000,
VALUE(REGEXEXTRACT(O4922,""[0-9]+""))
),
0
)"),0.0)</f>
        <v>0</v>
      </c>
      <c r="E4922" s="1" t="s">
        <v>11</v>
      </c>
      <c r="F4922" s="1" t="s">
        <v>20</v>
      </c>
      <c r="G4922" s="4" t="b">
        <f t="shared" si="2"/>
        <v>1</v>
      </c>
      <c r="H4922" s="1" t="str">
        <f t="shared" si="3"/>
        <v>Currently Unavailable</v>
      </c>
      <c r="I4922" s="1" t="str">
        <f t="shared" si="4"/>
        <v>No Badges</v>
      </c>
      <c r="J4922" s="3">
        <f t="shared" si="5"/>
        <v>0</v>
      </c>
    </row>
    <row r="4923">
      <c r="A4923" s="1" t="s">
        <v>3589</v>
      </c>
      <c r="B4923" s="3" t="str">
        <f t="shared" si="1"/>
        <v>Unavailable</v>
      </c>
      <c r="C4923" s="5">
        <v>6319.0</v>
      </c>
      <c r="D4923" s="3">
        <f>IFERROR(__xludf.DUMMYFUNCTION("IFERROR(
IF(REGEXMATCH(LOWER(O4923),""k""),
VALUE(REGEXEXTRACT(O4923,""[0-9]+""))*1000,
VALUE(REGEXEXTRACT(O4923,""[0-9]+""))
),
0
)"),0.0)</f>
        <v>0</v>
      </c>
      <c r="E4923" s="1" t="s">
        <v>11</v>
      </c>
      <c r="F4923" s="1" t="s">
        <v>20</v>
      </c>
      <c r="G4923" s="4" t="b">
        <f t="shared" si="2"/>
        <v>1</v>
      </c>
      <c r="H4923" s="1" t="str">
        <f t="shared" si="3"/>
        <v>Currently Unavailable</v>
      </c>
      <c r="I4923" s="1" t="str">
        <f t="shared" si="4"/>
        <v>No Badges</v>
      </c>
      <c r="J4923" s="3">
        <f t="shared" si="5"/>
        <v>0</v>
      </c>
    </row>
    <row r="4924">
      <c r="A4924" s="1" t="s">
        <v>3590</v>
      </c>
      <c r="B4924" s="3" t="str">
        <f t="shared" si="1"/>
        <v>Unavailable</v>
      </c>
      <c r="C4924" s="5">
        <v>75873.0</v>
      </c>
      <c r="D4924" s="3">
        <f>IFERROR(__xludf.DUMMYFUNCTION("IFERROR(
IF(REGEXMATCH(LOWER(O4924),""k""),
VALUE(REGEXEXTRACT(O4924,""[0-9]+""))*1000,
VALUE(REGEXEXTRACT(O4924,""[0-9]+""))
),
0
)"),0.0)</f>
        <v>0</v>
      </c>
      <c r="E4924" s="1" t="s">
        <v>11</v>
      </c>
      <c r="F4924" s="1" t="s">
        <v>20</v>
      </c>
      <c r="G4924" s="4" t="b">
        <f t="shared" si="2"/>
        <v>1</v>
      </c>
      <c r="H4924" s="1" t="str">
        <f t="shared" si="3"/>
        <v>Currently Unavailable</v>
      </c>
      <c r="I4924" s="1" t="str">
        <f t="shared" si="4"/>
        <v>No Badges</v>
      </c>
      <c r="J4924" s="3">
        <f t="shared" si="5"/>
        <v>0</v>
      </c>
    </row>
    <row r="4925">
      <c r="A4925" s="1" t="s">
        <v>3591</v>
      </c>
      <c r="B4925" s="3" t="str">
        <f t="shared" si="1"/>
        <v>Unavailable</v>
      </c>
      <c r="C4925" s="3">
        <v>120.0</v>
      </c>
      <c r="D4925" s="3">
        <f>IFERROR(__xludf.DUMMYFUNCTION("IFERROR(
IF(REGEXMATCH(LOWER(O4925),""k""),
VALUE(REGEXEXTRACT(O4925,""[0-9]+""))*1000,
VALUE(REGEXEXTRACT(O4925,""[0-9]+""))
),
0
)"),0.0)</f>
        <v>0</v>
      </c>
      <c r="E4925" s="1" t="s">
        <v>11</v>
      </c>
      <c r="F4925" s="1" t="s">
        <v>20</v>
      </c>
      <c r="G4925" s="4" t="b">
        <f t="shared" si="2"/>
        <v>1</v>
      </c>
      <c r="H4925" s="1" t="str">
        <f t="shared" si="3"/>
        <v>Currently Unavailable</v>
      </c>
      <c r="I4925" s="1" t="str">
        <f t="shared" si="4"/>
        <v>No Badges</v>
      </c>
      <c r="J4925" s="3">
        <f t="shared" si="5"/>
        <v>0</v>
      </c>
    </row>
    <row r="4926">
      <c r="A4926" s="1" t="s">
        <v>3592</v>
      </c>
      <c r="B4926" s="3" t="str">
        <f t="shared" si="1"/>
        <v>Unavailable</v>
      </c>
      <c r="C4926" s="5">
        <v>6056.0</v>
      </c>
      <c r="D4926" s="3">
        <f>IFERROR(__xludf.DUMMYFUNCTION("IFERROR(
IF(REGEXMATCH(LOWER(O4926),""k""),
VALUE(REGEXEXTRACT(O4926,""[0-9]+""))*1000,
VALUE(REGEXEXTRACT(O4926,""[0-9]+""))
),
0
)"),0.0)</f>
        <v>0</v>
      </c>
      <c r="E4926" s="1" t="s">
        <v>11</v>
      </c>
      <c r="F4926" s="1" t="s">
        <v>20</v>
      </c>
      <c r="G4926" s="4" t="b">
        <f t="shared" si="2"/>
        <v>1</v>
      </c>
      <c r="H4926" s="1" t="str">
        <f t="shared" si="3"/>
        <v>Currently Unavailable</v>
      </c>
      <c r="I4926" s="1" t="str">
        <f t="shared" si="4"/>
        <v>No Badges</v>
      </c>
      <c r="J4926" s="3">
        <f t="shared" si="5"/>
        <v>0</v>
      </c>
    </row>
    <row r="4927">
      <c r="A4927" s="1" t="s">
        <v>3593</v>
      </c>
      <c r="B4927" s="3" t="str">
        <f t="shared" si="1"/>
        <v>Unavailable</v>
      </c>
      <c r="C4927" s="5">
        <v>15642.0</v>
      </c>
      <c r="D4927" s="3">
        <f>IFERROR(__xludf.DUMMYFUNCTION("IFERROR(
IF(REGEXMATCH(LOWER(O4927),""k""),
VALUE(REGEXEXTRACT(O4927,""[0-9]+""))*1000,
VALUE(REGEXEXTRACT(O4927,""[0-9]+""))
),
0
)"),0.0)</f>
        <v>0</v>
      </c>
      <c r="E4927" s="1" t="s">
        <v>11</v>
      </c>
      <c r="F4927" s="1" t="s">
        <v>20</v>
      </c>
      <c r="G4927" s="4" t="b">
        <f t="shared" si="2"/>
        <v>1</v>
      </c>
      <c r="H4927" s="1" t="str">
        <f t="shared" si="3"/>
        <v>Currently Unavailable</v>
      </c>
      <c r="I4927" s="1" t="str">
        <f t="shared" si="4"/>
        <v>No Badges</v>
      </c>
      <c r="J4927" s="3">
        <f t="shared" si="5"/>
        <v>0</v>
      </c>
    </row>
    <row r="4928">
      <c r="A4928" s="1" t="s">
        <v>3594</v>
      </c>
      <c r="B4928" s="3" t="str">
        <f t="shared" si="1"/>
        <v>Unavailable</v>
      </c>
      <c r="C4928" s="3">
        <v>176.0</v>
      </c>
      <c r="D4928" s="3">
        <f>IFERROR(__xludf.DUMMYFUNCTION("IFERROR(
IF(REGEXMATCH(LOWER(O4928),""k""),
VALUE(REGEXEXTRACT(O4928,""[0-9]+""))*1000,
VALUE(REGEXEXTRACT(O4928,""[0-9]+""))
),
0
)"),0.0)</f>
        <v>0</v>
      </c>
      <c r="E4928" s="1" t="s">
        <v>11</v>
      </c>
      <c r="F4928" s="1" t="s">
        <v>20</v>
      </c>
      <c r="G4928" s="4" t="b">
        <f t="shared" si="2"/>
        <v>1</v>
      </c>
      <c r="H4928" s="1" t="str">
        <f t="shared" si="3"/>
        <v>Currently Unavailable</v>
      </c>
      <c r="I4928" s="1" t="str">
        <f t="shared" si="4"/>
        <v>No Badges</v>
      </c>
      <c r="J4928" s="3">
        <f t="shared" si="5"/>
        <v>0</v>
      </c>
    </row>
    <row r="4929">
      <c r="A4929" s="1" t="s">
        <v>3595</v>
      </c>
      <c r="B4929" s="3" t="str">
        <f t="shared" si="1"/>
        <v>Unavailable</v>
      </c>
      <c r="C4929" s="5">
        <v>7145.0</v>
      </c>
      <c r="D4929" s="3">
        <f>IFERROR(__xludf.DUMMYFUNCTION("IFERROR(
IF(REGEXMATCH(LOWER(O4929),""k""),
VALUE(REGEXEXTRACT(O4929,""[0-9]+""))*1000,
VALUE(REGEXEXTRACT(O4929,""[0-9]+""))
),
0
)"),0.0)</f>
        <v>0</v>
      </c>
      <c r="E4929" s="1" t="s">
        <v>158</v>
      </c>
      <c r="F4929" s="1" t="s">
        <v>20</v>
      </c>
      <c r="G4929" s="4" t="b">
        <f t="shared" si="2"/>
        <v>1</v>
      </c>
      <c r="H4929" s="1" t="str">
        <f t="shared" si="3"/>
        <v>Currently Unavailable</v>
      </c>
      <c r="I4929" s="1" t="str">
        <f t="shared" si="4"/>
        <v>No Badges</v>
      </c>
      <c r="J4929" s="3">
        <f t="shared" si="5"/>
        <v>0</v>
      </c>
    </row>
    <row r="4930">
      <c r="A4930" s="1" t="s">
        <v>3596</v>
      </c>
      <c r="B4930" s="3" t="str">
        <f t="shared" si="1"/>
        <v>Unavailable</v>
      </c>
      <c r="C4930" s="3">
        <v>708.0</v>
      </c>
      <c r="D4930" s="3">
        <f>IFERROR(__xludf.DUMMYFUNCTION("IFERROR(
IF(REGEXMATCH(LOWER(O4930),""k""),
VALUE(REGEXEXTRACT(O4930,""[0-9]+""))*1000,
VALUE(REGEXEXTRACT(O4930,""[0-9]+""))
),
0
)"),0.0)</f>
        <v>0</v>
      </c>
      <c r="E4930" s="1" t="s">
        <v>11</v>
      </c>
      <c r="F4930" s="1" t="s">
        <v>20</v>
      </c>
      <c r="G4930" s="4" t="b">
        <f t="shared" si="2"/>
        <v>1</v>
      </c>
      <c r="H4930" s="1" t="str">
        <f t="shared" si="3"/>
        <v>Currently Unavailable</v>
      </c>
      <c r="I4930" s="1" t="str">
        <f t="shared" si="4"/>
        <v>No Badges</v>
      </c>
      <c r="J4930" s="3">
        <f t="shared" si="5"/>
        <v>0</v>
      </c>
    </row>
    <row r="4931">
      <c r="A4931" s="1" t="s">
        <v>3597</v>
      </c>
      <c r="B4931" s="3" t="str">
        <f t="shared" si="1"/>
        <v>Unavailable</v>
      </c>
      <c r="C4931" s="5">
        <v>15424.0</v>
      </c>
      <c r="D4931" s="3">
        <f>IFERROR(__xludf.DUMMYFUNCTION("IFERROR(
IF(REGEXMATCH(LOWER(O4931),""k""),
VALUE(REGEXEXTRACT(O4931,""[0-9]+""))*1000,
VALUE(REGEXEXTRACT(O4931,""[0-9]+""))
),
0
)"),0.0)</f>
        <v>0</v>
      </c>
      <c r="E4931" s="1" t="s">
        <v>11</v>
      </c>
      <c r="F4931" s="1" t="s">
        <v>20</v>
      </c>
      <c r="G4931" s="4" t="b">
        <f t="shared" si="2"/>
        <v>1</v>
      </c>
      <c r="H4931" s="1" t="str">
        <f t="shared" si="3"/>
        <v>Currently Unavailable</v>
      </c>
      <c r="I4931" s="1" t="str">
        <f t="shared" si="4"/>
        <v>No Badges</v>
      </c>
      <c r="J4931" s="3">
        <f t="shared" si="5"/>
        <v>0</v>
      </c>
    </row>
    <row r="4932">
      <c r="A4932" s="1" t="s">
        <v>3598</v>
      </c>
      <c r="B4932" s="3" t="str">
        <f t="shared" si="1"/>
        <v>Unavailable</v>
      </c>
      <c r="C4932" s="5">
        <v>8655.0</v>
      </c>
      <c r="D4932" s="3">
        <f>IFERROR(__xludf.DUMMYFUNCTION("IFERROR(
IF(REGEXMATCH(LOWER(O4932),""k""),
VALUE(REGEXEXTRACT(O4932,""[0-9]+""))*1000,
VALUE(REGEXEXTRACT(O4932,""[0-9]+""))
),
0
)"),0.0)</f>
        <v>0</v>
      </c>
      <c r="E4932" s="1" t="s">
        <v>11</v>
      </c>
      <c r="F4932" s="1" t="s">
        <v>20</v>
      </c>
      <c r="G4932" s="4" t="b">
        <f t="shared" si="2"/>
        <v>1</v>
      </c>
      <c r="H4932" s="1" t="str">
        <f t="shared" si="3"/>
        <v>Currently Unavailable</v>
      </c>
      <c r="I4932" s="1" t="str">
        <f t="shared" si="4"/>
        <v>No Badges</v>
      </c>
      <c r="J4932" s="3">
        <f t="shared" si="5"/>
        <v>0</v>
      </c>
    </row>
    <row r="4933">
      <c r="A4933" s="1" t="s">
        <v>3599</v>
      </c>
      <c r="B4933" s="3" t="str">
        <f t="shared" si="1"/>
        <v>Unavailable</v>
      </c>
      <c r="C4933" s="3">
        <v>410.0</v>
      </c>
      <c r="D4933" s="3">
        <f>IFERROR(__xludf.DUMMYFUNCTION("IFERROR(
IF(REGEXMATCH(LOWER(O4933),""k""),
VALUE(REGEXEXTRACT(O4933,""[0-9]+""))*1000,
VALUE(REGEXEXTRACT(O4933,""[0-9]+""))
),
0
)"),0.0)</f>
        <v>0</v>
      </c>
      <c r="E4933" s="1" t="s">
        <v>11</v>
      </c>
      <c r="F4933" s="1" t="s">
        <v>20</v>
      </c>
      <c r="G4933" s="4" t="b">
        <f t="shared" si="2"/>
        <v>1</v>
      </c>
      <c r="H4933" s="1" t="str">
        <f t="shared" si="3"/>
        <v>Currently Unavailable</v>
      </c>
      <c r="I4933" s="1" t="str">
        <f t="shared" si="4"/>
        <v>No Badges</v>
      </c>
      <c r="J4933" s="3">
        <f t="shared" si="5"/>
        <v>0</v>
      </c>
    </row>
    <row r="4934">
      <c r="A4934" s="1" t="s">
        <v>3600</v>
      </c>
      <c r="B4934" s="3" t="str">
        <f t="shared" si="1"/>
        <v>Unavailable</v>
      </c>
      <c r="C4934" s="3">
        <v>1.0</v>
      </c>
      <c r="D4934" s="3">
        <f>IFERROR(__xludf.DUMMYFUNCTION("IFERROR(
IF(REGEXMATCH(LOWER(O4934),""k""),
VALUE(REGEXEXTRACT(O4934,""[0-9]+""))*1000,
VALUE(REGEXEXTRACT(O4934,""[0-9]+""))
),
0
)"),0.0)</f>
        <v>0</v>
      </c>
      <c r="E4934" s="1" t="s">
        <v>11</v>
      </c>
      <c r="F4934" s="1" t="s">
        <v>12</v>
      </c>
      <c r="G4934" s="4" t="b">
        <f t="shared" si="2"/>
        <v>1</v>
      </c>
      <c r="H4934" s="1" t="str">
        <f t="shared" si="3"/>
        <v>Currently Unavailable</v>
      </c>
      <c r="I4934" s="1" t="str">
        <f t="shared" si="4"/>
        <v>No Badges</v>
      </c>
      <c r="J4934" s="3">
        <f t="shared" si="5"/>
        <v>0</v>
      </c>
    </row>
    <row r="4935">
      <c r="A4935" s="1" t="s">
        <v>701</v>
      </c>
      <c r="B4935" s="3" t="str">
        <f t="shared" si="1"/>
        <v>Unavailable</v>
      </c>
      <c r="C4935" s="3">
        <v>8.0</v>
      </c>
      <c r="D4935" s="3">
        <f>IFERROR(__xludf.DUMMYFUNCTION("IFERROR(
IF(REGEXMATCH(LOWER(O4935),""k""),
VALUE(REGEXEXTRACT(O4935,""[0-9]+""))*1000,
VALUE(REGEXEXTRACT(O4935,""[0-9]+""))
),
0
)"),0.0)</f>
        <v>0</v>
      </c>
      <c r="E4935" s="1" t="s">
        <v>11</v>
      </c>
      <c r="F4935" s="1" t="s">
        <v>12</v>
      </c>
      <c r="G4935" s="4" t="b">
        <f t="shared" si="2"/>
        <v>1</v>
      </c>
      <c r="H4935" s="1" t="str">
        <f t="shared" si="3"/>
        <v>Currently Unavailable</v>
      </c>
      <c r="I4935" s="1" t="str">
        <f t="shared" si="4"/>
        <v>No Badges</v>
      </c>
      <c r="J4935" s="3">
        <f t="shared" si="5"/>
        <v>0</v>
      </c>
    </row>
    <row r="4936">
      <c r="A4936" s="1" t="s">
        <v>3601</v>
      </c>
      <c r="B4936" s="3" t="str">
        <f t="shared" si="1"/>
        <v>Unavailable</v>
      </c>
      <c r="C4936" s="5">
        <v>58628.0</v>
      </c>
      <c r="D4936" s="3">
        <f>IFERROR(__xludf.DUMMYFUNCTION("IFERROR(
IF(REGEXMATCH(LOWER(O4936),""k""),
VALUE(REGEXEXTRACT(O4936,""[0-9]+""))*1000,
VALUE(REGEXEXTRACT(O4936,""[0-9]+""))
),
0
)"),0.0)</f>
        <v>0</v>
      </c>
      <c r="E4936" s="1" t="s">
        <v>11</v>
      </c>
      <c r="F4936" s="1" t="s">
        <v>20</v>
      </c>
      <c r="G4936" s="4" t="b">
        <f t="shared" si="2"/>
        <v>1</v>
      </c>
      <c r="H4936" s="1" t="str">
        <f t="shared" si="3"/>
        <v>Currently Unavailable</v>
      </c>
      <c r="I4936" s="1" t="str">
        <f t="shared" si="4"/>
        <v>No Badges</v>
      </c>
      <c r="J4936" s="3">
        <f t="shared" si="5"/>
        <v>0</v>
      </c>
    </row>
    <row r="4937">
      <c r="A4937" s="1" t="s">
        <v>3602</v>
      </c>
      <c r="B4937" s="3" t="str">
        <f t="shared" si="1"/>
        <v>Unavailable</v>
      </c>
      <c r="C4937" s="5">
        <v>8944.0</v>
      </c>
      <c r="D4937" s="3">
        <f>IFERROR(__xludf.DUMMYFUNCTION("IFERROR(
IF(REGEXMATCH(LOWER(O4937),""k""),
VALUE(REGEXEXTRACT(O4937,""[0-9]+""))*1000,
VALUE(REGEXEXTRACT(O4937,""[0-9]+""))
),
0
)"),0.0)</f>
        <v>0</v>
      </c>
      <c r="E4937" s="1" t="s">
        <v>11</v>
      </c>
      <c r="F4937" s="1" t="s">
        <v>20</v>
      </c>
      <c r="G4937" s="4" t="b">
        <f t="shared" si="2"/>
        <v>1</v>
      </c>
      <c r="H4937" s="1" t="str">
        <f t="shared" si="3"/>
        <v>Currently Unavailable</v>
      </c>
      <c r="I4937" s="1" t="str">
        <f t="shared" si="4"/>
        <v>No Badges</v>
      </c>
      <c r="J4937" s="3">
        <f t="shared" si="5"/>
        <v>0</v>
      </c>
    </row>
    <row r="4938">
      <c r="A4938" s="1" t="s">
        <v>3603</v>
      </c>
      <c r="B4938" s="3" t="str">
        <f t="shared" si="1"/>
        <v>Unavailable</v>
      </c>
      <c r="C4938" s="5">
        <v>1598.0</v>
      </c>
      <c r="D4938" s="3">
        <f>IFERROR(__xludf.DUMMYFUNCTION("IFERROR(
IF(REGEXMATCH(LOWER(O4938),""k""),
VALUE(REGEXEXTRACT(O4938,""[0-9]+""))*1000,
VALUE(REGEXEXTRACT(O4938,""[0-9]+""))
),
0
)"),0.0)</f>
        <v>0</v>
      </c>
      <c r="E4938" s="1" t="s">
        <v>11</v>
      </c>
      <c r="F4938" s="1" t="s">
        <v>20</v>
      </c>
      <c r="G4938" s="4" t="b">
        <f t="shared" si="2"/>
        <v>1</v>
      </c>
      <c r="H4938" s="1" t="str">
        <f t="shared" si="3"/>
        <v>Currently Unavailable</v>
      </c>
      <c r="I4938" s="1" t="str">
        <f t="shared" si="4"/>
        <v>No Badges</v>
      </c>
      <c r="J4938" s="3">
        <f t="shared" si="5"/>
        <v>0</v>
      </c>
    </row>
    <row r="4939">
      <c r="A4939" s="1" t="s">
        <v>69</v>
      </c>
      <c r="B4939" s="3" t="str">
        <f t="shared" si="1"/>
        <v>Unavailable</v>
      </c>
      <c r="C4939" s="3">
        <v>45.0</v>
      </c>
      <c r="D4939" s="3">
        <f>IFERROR(__xludf.DUMMYFUNCTION("IFERROR(
IF(REGEXMATCH(LOWER(O4939),""k""),
VALUE(REGEXEXTRACT(O4939,""[0-9]+""))*1000,
VALUE(REGEXEXTRACT(O4939,""[0-9]+""))
),
0
)"),0.0)</f>
        <v>0</v>
      </c>
      <c r="E4939" s="1" t="s">
        <v>11</v>
      </c>
      <c r="F4939" s="1" t="s">
        <v>12</v>
      </c>
      <c r="G4939" s="4" t="b">
        <f t="shared" si="2"/>
        <v>1</v>
      </c>
      <c r="H4939" s="1" t="str">
        <f t="shared" si="3"/>
        <v>Currently Unavailable</v>
      </c>
      <c r="I4939" s="1" t="str">
        <f t="shared" si="4"/>
        <v>No Badges</v>
      </c>
      <c r="J4939" s="3">
        <f t="shared" si="5"/>
        <v>0</v>
      </c>
    </row>
    <row r="4940">
      <c r="A4940" s="1" t="s">
        <v>3604</v>
      </c>
      <c r="B4940" s="3" t="str">
        <f t="shared" si="1"/>
        <v>Unavailable</v>
      </c>
      <c r="C4940" s="3">
        <v>586.0</v>
      </c>
      <c r="D4940" s="3">
        <f>IFERROR(__xludf.DUMMYFUNCTION("IFERROR(
IF(REGEXMATCH(LOWER(O4940),""k""),
VALUE(REGEXEXTRACT(O4940,""[0-9]+""))*1000,
VALUE(REGEXEXTRACT(O4940,""[0-9]+""))
),
0
)"),0.0)</f>
        <v>0</v>
      </c>
      <c r="E4940" s="1" t="s">
        <v>11</v>
      </c>
      <c r="F4940" s="1" t="s">
        <v>20</v>
      </c>
      <c r="G4940" s="4" t="b">
        <f t="shared" si="2"/>
        <v>1</v>
      </c>
      <c r="H4940" s="1" t="str">
        <f t="shared" si="3"/>
        <v>Currently Unavailable</v>
      </c>
      <c r="I4940" s="1" t="str">
        <f t="shared" si="4"/>
        <v>No Badges</v>
      </c>
      <c r="J4940" s="3">
        <f t="shared" si="5"/>
        <v>0</v>
      </c>
    </row>
    <row r="4941">
      <c r="A4941" s="1" t="s">
        <v>3605</v>
      </c>
      <c r="B4941" s="3" t="str">
        <f t="shared" si="1"/>
        <v>Unavailable</v>
      </c>
      <c r="C4941" s="5">
        <v>12169.0</v>
      </c>
      <c r="D4941" s="3">
        <f>IFERROR(__xludf.DUMMYFUNCTION("IFERROR(
IF(REGEXMATCH(LOWER(O4941),""k""),
VALUE(REGEXEXTRACT(O4941,""[0-9]+""))*1000,
VALUE(REGEXEXTRACT(O4941,""[0-9]+""))
),
0
)"),0.0)</f>
        <v>0</v>
      </c>
      <c r="E4941" s="1" t="s">
        <v>11</v>
      </c>
      <c r="F4941" s="1" t="s">
        <v>20</v>
      </c>
      <c r="G4941" s="4" t="b">
        <f t="shared" si="2"/>
        <v>1</v>
      </c>
      <c r="H4941" s="1" t="str">
        <f t="shared" si="3"/>
        <v>Currently Unavailable</v>
      </c>
      <c r="I4941" s="1" t="str">
        <f t="shared" si="4"/>
        <v>No Badges</v>
      </c>
      <c r="J4941" s="3">
        <f t="shared" si="5"/>
        <v>0</v>
      </c>
    </row>
    <row r="4942">
      <c r="A4942" s="1" t="s">
        <v>3606</v>
      </c>
      <c r="B4942" s="3" t="str">
        <f t="shared" si="1"/>
        <v>Unavailable</v>
      </c>
      <c r="C4942" s="5">
        <v>4468.0</v>
      </c>
      <c r="D4942" s="3">
        <f>IFERROR(__xludf.DUMMYFUNCTION("IFERROR(
IF(REGEXMATCH(LOWER(O4942),""k""),
VALUE(REGEXEXTRACT(O4942,""[0-9]+""))*1000,
VALUE(REGEXEXTRACT(O4942,""[0-9]+""))
),
0
)"),0.0)</f>
        <v>0</v>
      </c>
      <c r="E4942" s="1" t="s">
        <v>11</v>
      </c>
      <c r="F4942" s="1" t="s">
        <v>20</v>
      </c>
      <c r="G4942" s="4" t="b">
        <f t="shared" si="2"/>
        <v>1</v>
      </c>
      <c r="H4942" s="1" t="str">
        <f t="shared" si="3"/>
        <v>Currently Unavailable</v>
      </c>
      <c r="I4942" s="1" t="str">
        <f t="shared" si="4"/>
        <v>No Badges</v>
      </c>
      <c r="J4942" s="3">
        <f t="shared" si="5"/>
        <v>0</v>
      </c>
    </row>
    <row r="4943">
      <c r="A4943" s="1" t="s">
        <v>3607</v>
      </c>
      <c r="B4943" s="3" t="str">
        <f t="shared" si="1"/>
        <v>Unavailable</v>
      </c>
      <c r="C4943" s="5">
        <v>1536.0</v>
      </c>
      <c r="D4943" s="3">
        <f>IFERROR(__xludf.DUMMYFUNCTION("IFERROR(
IF(REGEXMATCH(LOWER(O4943),""k""),
VALUE(REGEXEXTRACT(O4943,""[0-9]+""))*1000,
VALUE(REGEXEXTRACT(O4943,""[0-9]+""))
),
0
)"),0.0)</f>
        <v>0</v>
      </c>
      <c r="E4943" s="1" t="s">
        <v>18</v>
      </c>
      <c r="F4943" s="1" t="s">
        <v>20</v>
      </c>
      <c r="G4943" s="4" t="b">
        <f t="shared" si="2"/>
        <v>1</v>
      </c>
      <c r="H4943" s="1" t="str">
        <f t="shared" si="3"/>
        <v>Currently Unavailable</v>
      </c>
      <c r="I4943" s="1" t="str">
        <f t="shared" si="4"/>
        <v>No Badges</v>
      </c>
      <c r="J4943" s="3">
        <f t="shared" si="5"/>
        <v>0</v>
      </c>
    </row>
    <row r="4944">
      <c r="A4944" s="1" t="s">
        <v>3608</v>
      </c>
      <c r="B4944" s="3" t="str">
        <f t="shared" si="1"/>
        <v>Unavailable</v>
      </c>
      <c r="C4944" s="5">
        <v>3426.0</v>
      </c>
      <c r="D4944" s="3">
        <f>IFERROR(__xludf.DUMMYFUNCTION("IFERROR(
IF(REGEXMATCH(LOWER(O4944),""k""),
VALUE(REGEXEXTRACT(O4944,""[0-9]+""))*1000,
VALUE(REGEXEXTRACT(O4944,""[0-9]+""))
),
0
)"),0.0)</f>
        <v>0</v>
      </c>
      <c r="E4944" s="1" t="s">
        <v>11</v>
      </c>
      <c r="F4944" s="1" t="s">
        <v>20</v>
      </c>
      <c r="G4944" s="4" t="b">
        <f t="shared" si="2"/>
        <v>1</v>
      </c>
      <c r="H4944" s="1" t="str">
        <f t="shared" si="3"/>
        <v>Currently Unavailable</v>
      </c>
      <c r="I4944" s="1" t="str">
        <f t="shared" si="4"/>
        <v>No Badges</v>
      </c>
      <c r="J4944" s="3">
        <f t="shared" si="5"/>
        <v>0</v>
      </c>
    </row>
    <row r="4945">
      <c r="A4945" s="1" t="s">
        <v>3609</v>
      </c>
      <c r="B4945" s="3" t="str">
        <f t="shared" si="1"/>
        <v>Unavailable</v>
      </c>
      <c r="C4945" s="5">
        <v>14308.0</v>
      </c>
      <c r="D4945" s="3">
        <f>IFERROR(__xludf.DUMMYFUNCTION("IFERROR(
IF(REGEXMATCH(LOWER(O4945),""k""),
VALUE(REGEXEXTRACT(O4945,""[0-9]+""))*1000,
VALUE(REGEXEXTRACT(O4945,""[0-9]+""))
),
0
)"),0.0)</f>
        <v>0</v>
      </c>
      <c r="E4945" s="1" t="s">
        <v>11</v>
      </c>
      <c r="F4945" s="1" t="s">
        <v>20</v>
      </c>
      <c r="G4945" s="4" t="b">
        <f t="shared" si="2"/>
        <v>1</v>
      </c>
      <c r="H4945" s="1" t="str">
        <f t="shared" si="3"/>
        <v>Currently Unavailable</v>
      </c>
      <c r="I4945" s="1" t="str">
        <f t="shared" si="4"/>
        <v>No Badges</v>
      </c>
      <c r="J4945" s="3">
        <f t="shared" si="5"/>
        <v>0</v>
      </c>
    </row>
    <row r="4946">
      <c r="A4946" s="1" t="s">
        <v>3610</v>
      </c>
      <c r="B4946" s="3" t="str">
        <f t="shared" si="1"/>
        <v>Unavailable</v>
      </c>
      <c r="C4946" s="5">
        <v>5369.0</v>
      </c>
      <c r="D4946" s="3">
        <f>IFERROR(__xludf.DUMMYFUNCTION("IFERROR(
IF(REGEXMATCH(LOWER(O4946),""k""),
VALUE(REGEXEXTRACT(O4946,""[0-9]+""))*1000,
VALUE(REGEXEXTRACT(O4946,""[0-9]+""))
),
0
)"),0.0)</f>
        <v>0</v>
      </c>
      <c r="E4946" s="1" t="s">
        <v>11</v>
      </c>
      <c r="F4946" s="1" t="s">
        <v>20</v>
      </c>
      <c r="G4946" s="4" t="b">
        <f t="shared" si="2"/>
        <v>1</v>
      </c>
      <c r="H4946" s="1" t="str">
        <f t="shared" si="3"/>
        <v>Currently Unavailable</v>
      </c>
      <c r="I4946" s="1" t="str">
        <f t="shared" si="4"/>
        <v>No Badges</v>
      </c>
      <c r="J4946" s="3">
        <f t="shared" si="5"/>
        <v>0</v>
      </c>
    </row>
    <row r="4947">
      <c r="A4947" s="1" t="s">
        <v>3611</v>
      </c>
      <c r="B4947" s="3" t="str">
        <f t="shared" si="1"/>
        <v>Unavailable</v>
      </c>
      <c r="C4947" s="5">
        <v>4196.0</v>
      </c>
      <c r="D4947" s="3">
        <f>IFERROR(__xludf.DUMMYFUNCTION("IFERROR(
IF(REGEXMATCH(LOWER(O4947),""k""),
VALUE(REGEXEXTRACT(O4947,""[0-9]+""))*1000,
VALUE(REGEXEXTRACT(O4947,""[0-9]+""))
),
0
)"),0.0)</f>
        <v>0</v>
      </c>
      <c r="E4947" s="1" t="s">
        <v>11</v>
      </c>
      <c r="F4947" s="1" t="s">
        <v>20</v>
      </c>
      <c r="G4947" s="4" t="b">
        <f t="shared" si="2"/>
        <v>1</v>
      </c>
      <c r="H4947" s="1" t="str">
        <f t="shared" si="3"/>
        <v>Currently Unavailable</v>
      </c>
      <c r="I4947" s="1" t="str">
        <f t="shared" si="4"/>
        <v>No Badges</v>
      </c>
      <c r="J4947" s="3">
        <f t="shared" si="5"/>
        <v>0</v>
      </c>
    </row>
    <row r="4948">
      <c r="A4948" s="1" t="s">
        <v>3612</v>
      </c>
      <c r="B4948" s="3" t="str">
        <f t="shared" si="1"/>
        <v>Unavailable</v>
      </c>
      <c r="C4948" s="5">
        <v>10968.0</v>
      </c>
      <c r="D4948" s="3">
        <f>IFERROR(__xludf.DUMMYFUNCTION("IFERROR(
IF(REGEXMATCH(LOWER(O4948),""k""),
VALUE(REGEXEXTRACT(O4948,""[0-9]+""))*1000,
VALUE(REGEXEXTRACT(O4948,""[0-9]+""))
),
0
)"),0.0)</f>
        <v>0</v>
      </c>
      <c r="E4948" s="1" t="s">
        <v>11</v>
      </c>
      <c r="F4948" s="1" t="s">
        <v>20</v>
      </c>
      <c r="G4948" s="4" t="b">
        <f t="shared" si="2"/>
        <v>1</v>
      </c>
      <c r="H4948" s="1" t="str">
        <f t="shared" si="3"/>
        <v>Currently Unavailable</v>
      </c>
      <c r="I4948" s="1" t="str">
        <f t="shared" si="4"/>
        <v>No Badges</v>
      </c>
      <c r="J4948" s="3">
        <f t="shared" si="5"/>
        <v>0</v>
      </c>
    </row>
    <row r="4949">
      <c r="A4949" s="1" t="s">
        <v>3613</v>
      </c>
      <c r="B4949" s="3" t="str">
        <f t="shared" si="1"/>
        <v>Unavailable</v>
      </c>
      <c r="C4949" s="5">
        <v>18261.0</v>
      </c>
      <c r="D4949" s="3">
        <f>IFERROR(__xludf.DUMMYFUNCTION("IFERROR(
IF(REGEXMATCH(LOWER(O4949),""k""),
VALUE(REGEXEXTRACT(O4949,""[0-9]+""))*1000,
VALUE(REGEXEXTRACT(O4949,""[0-9]+""))
),
0
)"),0.0)</f>
        <v>0</v>
      </c>
      <c r="E4949" s="1" t="s">
        <v>11</v>
      </c>
      <c r="F4949" s="1" t="s">
        <v>20</v>
      </c>
      <c r="G4949" s="4" t="b">
        <f t="shared" si="2"/>
        <v>1</v>
      </c>
      <c r="H4949" s="1" t="str">
        <f t="shared" si="3"/>
        <v>Currently Unavailable</v>
      </c>
      <c r="I4949" s="1" t="str">
        <f t="shared" si="4"/>
        <v>No Badges</v>
      </c>
      <c r="J4949" s="3">
        <f t="shared" si="5"/>
        <v>0</v>
      </c>
    </row>
    <row r="4950">
      <c r="A4950" s="1" t="s">
        <v>3614</v>
      </c>
      <c r="B4950" s="3" t="str">
        <f t="shared" si="1"/>
        <v>Unavailable</v>
      </c>
      <c r="C4950" s="5">
        <v>9726.0</v>
      </c>
      <c r="D4950" s="3">
        <f>IFERROR(__xludf.DUMMYFUNCTION("IFERROR(
IF(REGEXMATCH(LOWER(O4950),""k""),
VALUE(REGEXEXTRACT(O4950,""[0-9]+""))*1000,
VALUE(REGEXEXTRACT(O4950,""[0-9]+""))
),
0
)"),0.0)</f>
        <v>0</v>
      </c>
      <c r="E4950" s="1" t="s">
        <v>11</v>
      </c>
      <c r="F4950" s="1" t="s">
        <v>20</v>
      </c>
      <c r="G4950" s="4" t="b">
        <f t="shared" si="2"/>
        <v>1</v>
      </c>
      <c r="H4950" s="1" t="str">
        <f t="shared" si="3"/>
        <v>Currently Unavailable</v>
      </c>
      <c r="I4950" s="1" t="str">
        <f t="shared" si="4"/>
        <v>No Badges</v>
      </c>
      <c r="J4950" s="3">
        <f t="shared" si="5"/>
        <v>0</v>
      </c>
    </row>
    <row r="4951">
      <c r="A4951" s="1" t="s">
        <v>3615</v>
      </c>
      <c r="B4951" s="3" t="str">
        <f t="shared" si="1"/>
        <v>Unavailable</v>
      </c>
      <c r="C4951" s="3">
        <v>458.0</v>
      </c>
      <c r="D4951" s="3">
        <f>IFERROR(__xludf.DUMMYFUNCTION("IFERROR(
IF(REGEXMATCH(LOWER(O4951),""k""),
VALUE(REGEXEXTRACT(O4951,""[0-9]+""))*1000,
VALUE(REGEXEXTRACT(O4951,""[0-9]+""))
),
0
)"),0.0)</f>
        <v>0</v>
      </c>
      <c r="E4951" s="1" t="s">
        <v>11</v>
      </c>
      <c r="F4951" s="1" t="s">
        <v>20</v>
      </c>
      <c r="G4951" s="4" t="b">
        <f t="shared" si="2"/>
        <v>1</v>
      </c>
      <c r="H4951" s="1" t="str">
        <f t="shared" si="3"/>
        <v>Currently Unavailable</v>
      </c>
      <c r="I4951" s="1" t="str">
        <f t="shared" si="4"/>
        <v>No Badges</v>
      </c>
      <c r="J4951" s="3">
        <f t="shared" si="5"/>
        <v>0</v>
      </c>
    </row>
    <row r="4952">
      <c r="A4952" s="1" t="s">
        <v>67</v>
      </c>
      <c r="B4952" s="3" t="str">
        <f t="shared" si="1"/>
        <v>Unavailable</v>
      </c>
      <c r="C4952" s="3">
        <v>264.0</v>
      </c>
      <c r="D4952" s="3">
        <f>IFERROR(__xludf.DUMMYFUNCTION("IFERROR(
IF(REGEXMATCH(LOWER(O4952),""k""),
VALUE(REGEXEXTRACT(O4952,""[0-9]+""))*1000,
VALUE(REGEXEXTRACT(O4952,""[0-9]+""))
),
0
)"),0.0)</f>
        <v>0</v>
      </c>
      <c r="E4952" s="1" t="s">
        <v>11</v>
      </c>
      <c r="F4952" s="1" t="s">
        <v>12</v>
      </c>
      <c r="G4952" s="4" t="b">
        <f t="shared" si="2"/>
        <v>1</v>
      </c>
      <c r="H4952" s="1" t="str">
        <f t="shared" si="3"/>
        <v>Currently Unavailable</v>
      </c>
      <c r="I4952" s="1" t="str">
        <f t="shared" si="4"/>
        <v>No Badges</v>
      </c>
      <c r="J4952" s="3">
        <f t="shared" si="5"/>
        <v>0</v>
      </c>
    </row>
    <row r="4953">
      <c r="A4953" s="1" t="s">
        <v>3616</v>
      </c>
      <c r="B4953" s="3" t="str">
        <f t="shared" si="1"/>
        <v>Unavailable</v>
      </c>
      <c r="C4953" s="5">
        <v>20212.0</v>
      </c>
      <c r="D4953" s="3">
        <f>IFERROR(__xludf.DUMMYFUNCTION("IFERROR(
IF(REGEXMATCH(LOWER(O4953),""k""),
VALUE(REGEXEXTRACT(O4953,""[0-9]+""))*1000,
VALUE(REGEXEXTRACT(O4953,""[0-9]+""))
),
0
)"),0.0)</f>
        <v>0</v>
      </c>
      <c r="E4953" s="1" t="s">
        <v>11</v>
      </c>
      <c r="F4953" s="1" t="s">
        <v>20</v>
      </c>
      <c r="G4953" s="4" t="b">
        <f t="shared" si="2"/>
        <v>1</v>
      </c>
      <c r="H4953" s="1" t="str">
        <f t="shared" si="3"/>
        <v>Currently Unavailable</v>
      </c>
      <c r="I4953" s="1" t="str">
        <f t="shared" si="4"/>
        <v>No Badges</v>
      </c>
      <c r="J4953" s="3">
        <f t="shared" si="5"/>
        <v>0</v>
      </c>
    </row>
    <row r="4954">
      <c r="A4954" s="1" t="s">
        <v>701</v>
      </c>
      <c r="B4954" s="3" t="str">
        <f t="shared" si="1"/>
        <v>Unavailable</v>
      </c>
      <c r="C4954" s="3">
        <v>8.0</v>
      </c>
      <c r="D4954" s="3">
        <f>IFERROR(__xludf.DUMMYFUNCTION("IFERROR(
IF(REGEXMATCH(LOWER(O4954),""k""),
VALUE(REGEXEXTRACT(O4954,""[0-9]+""))*1000,
VALUE(REGEXEXTRACT(O4954,""[0-9]+""))
),
0
)"),0.0)</f>
        <v>0</v>
      </c>
      <c r="E4954" s="1" t="s">
        <v>11</v>
      </c>
      <c r="F4954" s="1" t="s">
        <v>12</v>
      </c>
      <c r="G4954" s="4" t="b">
        <f t="shared" si="2"/>
        <v>1</v>
      </c>
      <c r="H4954" s="1" t="str">
        <f t="shared" si="3"/>
        <v>Currently Unavailable</v>
      </c>
      <c r="I4954" s="1" t="str">
        <f t="shared" si="4"/>
        <v>No Badges</v>
      </c>
      <c r="J4954" s="3">
        <f t="shared" si="5"/>
        <v>0</v>
      </c>
    </row>
    <row r="4955">
      <c r="A4955" s="1" t="s">
        <v>3617</v>
      </c>
      <c r="B4955" s="3" t="str">
        <f t="shared" si="1"/>
        <v>Unavailable</v>
      </c>
      <c r="C4955" s="5">
        <v>2646.0</v>
      </c>
      <c r="D4955" s="3">
        <f>IFERROR(__xludf.DUMMYFUNCTION("IFERROR(
IF(REGEXMATCH(LOWER(O4955),""k""),
VALUE(REGEXEXTRACT(O4955,""[0-9]+""))*1000,
VALUE(REGEXEXTRACT(O4955,""[0-9]+""))
),
0
)"),0.0)</f>
        <v>0</v>
      </c>
      <c r="E4955" s="1" t="s">
        <v>11</v>
      </c>
      <c r="F4955" s="1" t="s">
        <v>20</v>
      </c>
      <c r="G4955" s="4" t="b">
        <f t="shared" si="2"/>
        <v>1</v>
      </c>
      <c r="H4955" s="1" t="str">
        <f t="shared" si="3"/>
        <v>Currently Unavailable</v>
      </c>
      <c r="I4955" s="1" t="str">
        <f t="shared" si="4"/>
        <v>No Badges</v>
      </c>
      <c r="J4955" s="3">
        <f t="shared" si="5"/>
        <v>0</v>
      </c>
    </row>
    <row r="4956">
      <c r="A4956" s="1" t="s">
        <v>3618</v>
      </c>
      <c r="B4956" s="3" t="str">
        <f t="shared" si="1"/>
        <v>Unavailable</v>
      </c>
      <c r="C4956" s="5">
        <v>15701.0</v>
      </c>
      <c r="D4956" s="3">
        <f>IFERROR(__xludf.DUMMYFUNCTION("IFERROR(
IF(REGEXMATCH(LOWER(O4956),""k""),
VALUE(REGEXEXTRACT(O4956,""[0-9]+""))*1000,
VALUE(REGEXEXTRACT(O4956,""[0-9]+""))
),
0
)"),0.0)</f>
        <v>0</v>
      </c>
      <c r="E4956" s="1" t="s">
        <v>11</v>
      </c>
      <c r="F4956" s="1" t="s">
        <v>20</v>
      </c>
      <c r="G4956" s="4" t="b">
        <f t="shared" si="2"/>
        <v>1</v>
      </c>
      <c r="H4956" s="1" t="str">
        <f t="shared" si="3"/>
        <v>Currently Unavailable</v>
      </c>
      <c r="I4956" s="1" t="str">
        <f t="shared" si="4"/>
        <v>No Badges</v>
      </c>
      <c r="J4956" s="3">
        <f t="shared" si="5"/>
        <v>0</v>
      </c>
    </row>
    <row r="4957">
      <c r="A4957" s="1" t="s">
        <v>3619</v>
      </c>
      <c r="B4957" s="3" t="str">
        <f t="shared" si="1"/>
        <v>Unavailable</v>
      </c>
      <c r="C4957" s="5">
        <v>4879.0</v>
      </c>
      <c r="D4957" s="3">
        <f>IFERROR(__xludf.DUMMYFUNCTION("IFERROR(
IF(REGEXMATCH(LOWER(O4957),""k""),
VALUE(REGEXEXTRACT(O4957,""[0-9]+""))*1000,
VALUE(REGEXEXTRACT(O4957,""[0-9]+""))
),
0
)"),0.0)</f>
        <v>0</v>
      </c>
      <c r="E4957" s="1" t="s">
        <v>11</v>
      </c>
      <c r="F4957" s="1" t="s">
        <v>20</v>
      </c>
      <c r="G4957" s="4" t="b">
        <f t="shared" si="2"/>
        <v>1</v>
      </c>
      <c r="H4957" s="1" t="str">
        <f t="shared" si="3"/>
        <v>Currently Unavailable</v>
      </c>
      <c r="I4957" s="1" t="str">
        <f t="shared" si="4"/>
        <v>No Badges</v>
      </c>
      <c r="J4957" s="3">
        <f t="shared" si="5"/>
        <v>0</v>
      </c>
    </row>
    <row r="4958">
      <c r="A4958" s="1" t="s">
        <v>3620</v>
      </c>
      <c r="B4958" s="3" t="str">
        <f t="shared" si="1"/>
        <v>Unavailable</v>
      </c>
      <c r="C4958" s="5">
        <v>3306.0</v>
      </c>
      <c r="D4958" s="3">
        <f>IFERROR(__xludf.DUMMYFUNCTION("IFERROR(
IF(REGEXMATCH(LOWER(O4958),""k""),
VALUE(REGEXEXTRACT(O4958,""[0-9]+""))*1000,
VALUE(REGEXEXTRACT(O4958,""[0-9]+""))
),
0
)"),0.0)</f>
        <v>0</v>
      </c>
      <c r="E4958" s="1" t="s">
        <v>11</v>
      </c>
      <c r="F4958" s="1" t="s">
        <v>20</v>
      </c>
      <c r="G4958" s="4" t="b">
        <f t="shared" si="2"/>
        <v>1</v>
      </c>
      <c r="H4958" s="1" t="str">
        <f t="shared" si="3"/>
        <v>Currently Unavailable</v>
      </c>
      <c r="I4958" s="1" t="str">
        <f t="shared" si="4"/>
        <v>No Badges</v>
      </c>
      <c r="J4958" s="3">
        <f t="shared" si="5"/>
        <v>0</v>
      </c>
    </row>
    <row r="4959">
      <c r="A4959" s="1" t="s">
        <v>3621</v>
      </c>
      <c r="B4959" s="3" t="str">
        <f t="shared" si="1"/>
        <v>Unavailable</v>
      </c>
      <c r="C4959" s="3">
        <v>404.0</v>
      </c>
      <c r="D4959" s="3">
        <f>IFERROR(__xludf.DUMMYFUNCTION("IFERROR(
IF(REGEXMATCH(LOWER(O4959),""k""),
VALUE(REGEXEXTRACT(O4959,""[0-9]+""))*1000,
VALUE(REGEXEXTRACT(O4959,""[0-9]+""))
),
0
)"),0.0)</f>
        <v>0</v>
      </c>
      <c r="E4959" s="1" t="s">
        <v>11</v>
      </c>
      <c r="F4959" s="1" t="s">
        <v>20</v>
      </c>
      <c r="G4959" s="4" t="b">
        <f t="shared" si="2"/>
        <v>1</v>
      </c>
      <c r="H4959" s="1" t="str">
        <f t="shared" si="3"/>
        <v>Currently Unavailable</v>
      </c>
      <c r="I4959" s="1" t="str">
        <f t="shared" si="4"/>
        <v>No Badges</v>
      </c>
      <c r="J4959" s="3">
        <f t="shared" si="5"/>
        <v>0</v>
      </c>
    </row>
    <row r="4960">
      <c r="A4960" s="1" t="s">
        <v>3622</v>
      </c>
      <c r="B4960" s="3" t="str">
        <f t="shared" si="1"/>
        <v>Unavailable</v>
      </c>
      <c r="C4960" s="5">
        <v>3112.0</v>
      </c>
      <c r="D4960" s="3">
        <f>IFERROR(__xludf.DUMMYFUNCTION("IFERROR(
IF(REGEXMATCH(LOWER(O4960),""k""),
VALUE(REGEXEXTRACT(O4960,""[0-9]+""))*1000,
VALUE(REGEXEXTRACT(O4960,""[0-9]+""))
),
0
)"),0.0)</f>
        <v>0</v>
      </c>
      <c r="E4960" s="1" t="s">
        <v>11</v>
      </c>
      <c r="F4960" s="1" t="s">
        <v>20</v>
      </c>
      <c r="G4960" s="4" t="b">
        <f t="shared" si="2"/>
        <v>1</v>
      </c>
      <c r="H4960" s="1" t="str">
        <f t="shared" si="3"/>
        <v>Currently Unavailable</v>
      </c>
      <c r="I4960" s="1" t="str">
        <f t="shared" si="4"/>
        <v>No Badges</v>
      </c>
      <c r="J4960" s="3">
        <f t="shared" si="5"/>
        <v>0</v>
      </c>
    </row>
    <row r="4961">
      <c r="A4961" s="1" t="s">
        <v>3623</v>
      </c>
      <c r="B4961" s="3" t="str">
        <f t="shared" si="1"/>
        <v>Unavailable</v>
      </c>
      <c r="C4961" s="5">
        <v>29164.0</v>
      </c>
      <c r="D4961" s="3">
        <f>IFERROR(__xludf.DUMMYFUNCTION("IFERROR(
IF(REGEXMATCH(LOWER(O4961),""k""),
VALUE(REGEXEXTRACT(O4961,""[0-9]+""))*1000,
VALUE(REGEXEXTRACT(O4961,""[0-9]+""))
),
0
)"),0.0)</f>
        <v>0</v>
      </c>
      <c r="E4961" s="1" t="s">
        <v>158</v>
      </c>
      <c r="F4961" s="1" t="s">
        <v>20</v>
      </c>
      <c r="G4961" s="4" t="b">
        <f t="shared" si="2"/>
        <v>1</v>
      </c>
      <c r="H4961" s="1" t="str">
        <f t="shared" si="3"/>
        <v>Currently Unavailable</v>
      </c>
      <c r="I4961" s="1" t="str">
        <f t="shared" si="4"/>
        <v>No Badges</v>
      </c>
      <c r="J4961" s="3">
        <f t="shared" si="5"/>
        <v>0</v>
      </c>
    </row>
    <row r="4962">
      <c r="A4962" s="1" t="s">
        <v>3624</v>
      </c>
      <c r="B4962" s="3" t="str">
        <f t="shared" si="1"/>
        <v>Unavailable</v>
      </c>
      <c r="C4962" s="5">
        <v>4603.0</v>
      </c>
      <c r="D4962" s="3">
        <f>IFERROR(__xludf.DUMMYFUNCTION("IFERROR(
IF(REGEXMATCH(LOWER(O4962),""k""),
VALUE(REGEXEXTRACT(O4962,""[0-9]+""))*1000,
VALUE(REGEXEXTRACT(O4962,""[0-9]+""))
),
0
)"),0.0)</f>
        <v>0</v>
      </c>
      <c r="E4962" s="1" t="s">
        <v>11</v>
      </c>
      <c r="F4962" s="1" t="s">
        <v>20</v>
      </c>
      <c r="G4962" s="4" t="b">
        <f t="shared" si="2"/>
        <v>1</v>
      </c>
      <c r="H4962" s="1" t="str">
        <f t="shared" si="3"/>
        <v>Currently Unavailable</v>
      </c>
      <c r="I4962" s="1" t="str">
        <f t="shared" si="4"/>
        <v>No Badges</v>
      </c>
      <c r="J4962" s="3">
        <f t="shared" si="5"/>
        <v>0</v>
      </c>
    </row>
    <row r="4963">
      <c r="A4963" s="1" t="s">
        <v>3625</v>
      </c>
      <c r="B4963" s="3" t="str">
        <f t="shared" si="1"/>
        <v>Unavailable</v>
      </c>
      <c r="C4963" s="5">
        <v>21827.0</v>
      </c>
      <c r="D4963" s="3">
        <f>IFERROR(__xludf.DUMMYFUNCTION("IFERROR(
IF(REGEXMATCH(LOWER(O4963),""k""),
VALUE(REGEXEXTRACT(O4963,""[0-9]+""))*1000,
VALUE(REGEXEXTRACT(O4963,""[0-9]+""))
),
0
)"),0.0)</f>
        <v>0</v>
      </c>
      <c r="E4963" s="1" t="s">
        <v>11</v>
      </c>
      <c r="F4963" s="1" t="s">
        <v>20</v>
      </c>
      <c r="G4963" s="4" t="b">
        <f t="shared" si="2"/>
        <v>1</v>
      </c>
      <c r="H4963" s="1" t="str">
        <f t="shared" si="3"/>
        <v>Currently Unavailable</v>
      </c>
      <c r="I4963" s="1" t="str">
        <f t="shared" si="4"/>
        <v>No Badges</v>
      </c>
      <c r="J4963" s="3">
        <f t="shared" si="5"/>
        <v>0</v>
      </c>
    </row>
    <row r="4964">
      <c r="A4964" s="1" t="s">
        <v>3626</v>
      </c>
      <c r="B4964" s="3" t="str">
        <f t="shared" si="1"/>
        <v>Unavailable</v>
      </c>
      <c r="C4964" s="5">
        <v>2837.0</v>
      </c>
      <c r="D4964" s="3">
        <f>IFERROR(__xludf.DUMMYFUNCTION("IFERROR(
IF(REGEXMATCH(LOWER(O4964),""k""),
VALUE(REGEXEXTRACT(O4964,""[0-9]+""))*1000,
VALUE(REGEXEXTRACT(O4964,""[0-9]+""))
),
0
)"),0.0)</f>
        <v>0</v>
      </c>
      <c r="E4964" s="1" t="s">
        <v>11</v>
      </c>
      <c r="F4964" s="1" t="s">
        <v>20</v>
      </c>
      <c r="G4964" s="4" t="b">
        <f t="shared" si="2"/>
        <v>1</v>
      </c>
      <c r="H4964" s="1" t="str">
        <f t="shared" si="3"/>
        <v>Currently Unavailable</v>
      </c>
      <c r="I4964" s="1" t="str">
        <f t="shared" si="4"/>
        <v>No Badges</v>
      </c>
      <c r="J4964" s="3">
        <f t="shared" si="5"/>
        <v>0</v>
      </c>
    </row>
    <row r="4965">
      <c r="A4965" s="1" t="s">
        <v>3627</v>
      </c>
      <c r="B4965" s="3" t="str">
        <f t="shared" si="1"/>
        <v>Unavailable</v>
      </c>
      <c r="C4965" s="5">
        <v>48576.0</v>
      </c>
      <c r="D4965" s="3">
        <f>IFERROR(__xludf.DUMMYFUNCTION("IFERROR(
IF(REGEXMATCH(LOWER(O4965),""k""),
VALUE(REGEXEXTRACT(O4965,""[0-9]+""))*1000,
VALUE(REGEXEXTRACT(O4965,""[0-9]+""))
),
0
)"),0.0)</f>
        <v>0</v>
      </c>
      <c r="E4965" s="1" t="s">
        <v>18</v>
      </c>
      <c r="F4965" s="1" t="s">
        <v>20</v>
      </c>
      <c r="G4965" s="4" t="b">
        <f t="shared" si="2"/>
        <v>1</v>
      </c>
      <c r="H4965" s="1" t="str">
        <f t="shared" si="3"/>
        <v>Currently Unavailable</v>
      </c>
      <c r="I4965" s="1" t="str">
        <f t="shared" si="4"/>
        <v>No Badges</v>
      </c>
      <c r="J4965" s="3">
        <f t="shared" si="5"/>
        <v>0</v>
      </c>
    </row>
    <row r="4966">
      <c r="A4966" s="1" t="s">
        <v>3628</v>
      </c>
      <c r="B4966" s="3" t="str">
        <f t="shared" si="1"/>
        <v>Unavailable</v>
      </c>
      <c r="C4966" s="5">
        <v>1457.0</v>
      </c>
      <c r="D4966" s="3">
        <f>IFERROR(__xludf.DUMMYFUNCTION("IFERROR(
IF(REGEXMATCH(LOWER(O4966),""k""),
VALUE(REGEXEXTRACT(O4966,""[0-9]+""))*1000,
VALUE(REGEXEXTRACT(O4966,""[0-9]+""))
),
0
)"),0.0)</f>
        <v>0</v>
      </c>
      <c r="E4966" s="1" t="s">
        <v>11</v>
      </c>
      <c r="F4966" s="1" t="s">
        <v>20</v>
      </c>
      <c r="G4966" s="4" t="b">
        <f t="shared" si="2"/>
        <v>1</v>
      </c>
      <c r="H4966" s="1" t="str">
        <f t="shared" si="3"/>
        <v>Currently Unavailable</v>
      </c>
      <c r="I4966" s="1" t="str">
        <f t="shared" si="4"/>
        <v>No Badges</v>
      </c>
      <c r="J4966" s="3">
        <f t="shared" si="5"/>
        <v>0</v>
      </c>
    </row>
    <row r="4967">
      <c r="A4967" s="1" t="s">
        <v>3629</v>
      </c>
      <c r="B4967" s="3" t="str">
        <f t="shared" si="1"/>
        <v>Unavailable</v>
      </c>
      <c r="C4967" s="5">
        <v>10048.0</v>
      </c>
      <c r="D4967" s="3">
        <f>IFERROR(__xludf.DUMMYFUNCTION("IFERROR(
IF(REGEXMATCH(LOWER(O4967),""k""),
VALUE(REGEXEXTRACT(O4967,""[0-9]+""))*1000,
VALUE(REGEXEXTRACT(O4967,""[0-9]+""))
),
0
)"),0.0)</f>
        <v>0</v>
      </c>
      <c r="E4967" s="1" t="s">
        <v>11</v>
      </c>
      <c r="F4967" s="1" t="s">
        <v>20</v>
      </c>
      <c r="G4967" s="4" t="b">
        <f t="shared" si="2"/>
        <v>1</v>
      </c>
      <c r="H4967" s="1" t="str">
        <f t="shared" si="3"/>
        <v>Currently Unavailable</v>
      </c>
      <c r="I4967" s="1" t="str">
        <f t="shared" si="4"/>
        <v>No Badges</v>
      </c>
      <c r="J4967" s="3">
        <f t="shared" si="5"/>
        <v>0</v>
      </c>
    </row>
    <row r="4968">
      <c r="A4968" s="1" t="s">
        <v>88</v>
      </c>
      <c r="B4968" s="3" t="str">
        <f t="shared" si="1"/>
        <v>Unavailable</v>
      </c>
      <c r="C4968" s="3">
        <v>5.0</v>
      </c>
      <c r="D4968" s="3">
        <f>IFERROR(__xludf.DUMMYFUNCTION("IFERROR(
IF(REGEXMATCH(LOWER(O4968),""k""),
VALUE(REGEXEXTRACT(O4968,""[0-9]+""))*1000,
VALUE(REGEXEXTRACT(O4968,""[0-9]+""))
),
0
)"),0.0)</f>
        <v>0</v>
      </c>
      <c r="E4968" s="1" t="s">
        <v>11</v>
      </c>
      <c r="F4968" s="1" t="s">
        <v>12</v>
      </c>
      <c r="G4968" s="4" t="b">
        <f t="shared" si="2"/>
        <v>1</v>
      </c>
      <c r="H4968" s="1" t="str">
        <f t="shared" si="3"/>
        <v>Currently Unavailable</v>
      </c>
      <c r="I4968" s="1" t="str">
        <f t="shared" si="4"/>
        <v>No Badges</v>
      </c>
      <c r="J4968" s="3">
        <f t="shared" si="5"/>
        <v>0</v>
      </c>
    </row>
    <row r="4969">
      <c r="A4969" s="1" t="s">
        <v>40</v>
      </c>
      <c r="B4969" s="3" t="str">
        <f t="shared" si="1"/>
        <v>Unavailable</v>
      </c>
      <c r="C4969" s="3">
        <v>171.0</v>
      </c>
      <c r="D4969" s="3">
        <f>IFERROR(__xludf.DUMMYFUNCTION("IFERROR(
IF(REGEXMATCH(LOWER(O4969),""k""),
VALUE(REGEXEXTRACT(O4969,""[0-9]+""))*1000,
VALUE(REGEXEXTRACT(O4969,""[0-9]+""))
),
0
)"),0.0)</f>
        <v>0</v>
      </c>
      <c r="E4969" s="1" t="s">
        <v>11</v>
      </c>
      <c r="F4969" s="1" t="s">
        <v>12</v>
      </c>
      <c r="G4969" s="4" t="b">
        <f t="shared" si="2"/>
        <v>1</v>
      </c>
      <c r="H4969" s="1" t="str">
        <f t="shared" si="3"/>
        <v>Currently Unavailable</v>
      </c>
      <c r="I4969" s="1" t="str">
        <f t="shared" si="4"/>
        <v>No Badges</v>
      </c>
      <c r="J4969" s="3">
        <f t="shared" si="5"/>
        <v>0</v>
      </c>
    </row>
    <row r="4970">
      <c r="A4970" s="1" t="s">
        <v>3630</v>
      </c>
      <c r="B4970" s="3" t="str">
        <f t="shared" si="1"/>
        <v>Unavailable</v>
      </c>
      <c r="C4970" s="5">
        <v>8037.0</v>
      </c>
      <c r="D4970" s="3">
        <f>IFERROR(__xludf.DUMMYFUNCTION("IFERROR(
IF(REGEXMATCH(LOWER(O4970),""k""),
VALUE(REGEXEXTRACT(O4970,""[0-9]+""))*1000,
VALUE(REGEXEXTRACT(O4970,""[0-9]+""))
),
0
)"),0.0)</f>
        <v>0</v>
      </c>
      <c r="E4970" s="1" t="s">
        <v>11</v>
      </c>
      <c r="F4970" s="1" t="s">
        <v>20</v>
      </c>
      <c r="G4970" s="4" t="b">
        <f t="shared" si="2"/>
        <v>1</v>
      </c>
      <c r="H4970" s="1" t="str">
        <f t="shared" si="3"/>
        <v>Currently Unavailable</v>
      </c>
      <c r="I4970" s="1" t="str">
        <f t="shared" si="4"/>
        <v>No Badges</v>
      </c>
      <c r="J4970" s="3">
        <f t="shared" si="5"/>
        <v>0</v>
      </c>
    </row>
    <row r="4971">
      <c r="A4971" s="1" t="s">
        <v>3631</v>
      </c>
      <c r="B4971" s="3" t="str">
        <f t="shared" si="1"/>
        <v>Unavailable</v>
      </c>
      <c r="C4971" s="5">
        <v>1584.0</v>
      </c>
      <c r="D4971" s="3">
        <f>IFERROR(__xludf.DUMMYFUNCTION("IFERROR(
IF(REGEXMATCH(LOWER(O4971),""k""),
VALUE(REGEXEXTRACT(O4971,""[0-9]+""))*1000,
VALUE(REGEXEXTRACT(O4971,""[0-9]+""))
),
0
)"),0.0)</f>
        <v>0</v>
      </c>
      <c r="E4971" s="1" t="s">
        <v>11</v>
      </c>
      <c r="F4971" s="1" t="s">
        <v>20</v>
      </c>
      <c r="G4971" s="4" t="b">
        <f t="shared" si="2"/>
        <v>1</v>
      </c>
      <c r="H4971" s="1" t="str">
        <f t="shared" si="3"/>
        <v>Currently Unavailable</v>
      </c>
      <c r="I4971" s="1" t="str">
        <f t="shared" si="4"/>
        <v>No Badges</v>
      </c>
      <c r="J4971" s="3">
        <f t="shared" si="5"/>
        <v>0</v>
      </c>
    </row>
    <row r="4972">
      <c r="A4972" s="1" t="s">
        <v>3632</v>
      </c>
      <c r="B4972" s="3" t="str">
        <f t="shared" si="1"/>
        <v>Unavailable</v>
      </c>
      <c r="C4972" s="5">
        <v>1311.0</v>
      </c>
      <c r="D4972" s="3">
        <f>IFERROR(__xludf.DUMMYFUNCTION("IFERROR(
IF(REGEXMATCH(LOWER(O4972),""k""),
VALUE(REGEXEXTRACT(O4972,""[0-9]+""))*1000,
VALUE(REGEXEXTRACT(O4972,""[0-9]+""))
),
0
)"),0.0)</f>
        <v>0</v>
      </c>
      <c r="E4972" s="1" t="s">
        <v>11</v>
      </c>
      <c r="F4972" s="1" t="s">
        <v>20</v>
      </c>
      <c r="G4972" s="4" t="b">
        <f t="shared" si="2"/>
        <v>1</v>
      </c>
      <c r="H4972" s="1" t="str">
        <f t="shared" si="3"/>
        <v>Currently Unavailable</v>
      </c>
      <c r="I4972" s="1" t="str">
        <f t="shared" si="4"/>
        <v>No Badges</v>
      </c>
      <c r="J4972" s="3">
        <f t="shared" si="5"/>
        <v>0</v>
      </c>
    </row>
    <row r="4973">
      <c r="A4973" s="1" t="s">
        <v>3633</v>
      </c>
      <c r="B4973" s="3" t="str">
        <f t="shared" si="1"/>
        <v>Unavailable</v>
      </c>
      <c r="C4973" s="5">
        <v>9867.0</v>
      </c>
      <c r="D4973" s="3">
        <f>IFERROR(__xludf.DUMMYFUNCTION("IFERROR(
IF(REGEXMATCH(LOWER(O4973),""k""),
VALUE(REGEXEXTRACT(O4973,""[0-9]+""))*1000,
VALUE(REGEXEXTRACT(O4973,""[0-9]+""))
),
0
)"),0.0)</f>
        <v>0</v>
      </c>
      <c r="E4973" s="1" t="s">
        <v>11</v>
      </c>
      <c r="F4973" s="1" t="s">
        <v>20</v>
      </c>
      <c r="G4973" s="4" t="b">
        <f t="shared" si="2"/>
        <v>1</v>
      </c>
      <c r="H4973" s="1" t="str">
        <f t="shared" si="3"/>
        <v>Currently Unavailable</v>
      </c>
      <c r="I4973" s="1" t="str">
        <f t="shared" si="4"/>
        <v>No Badges</v>
      </c>
      <c r="J4973" s="3">
        <f t="shared" si="5"/>
        <v>0</v>
      </c>
    </row>
    <row r="4974">
      <c r="A4974" s="1" t="s">
        <v>3634</v>
      </c>
      <c r="B4974" s="3" t="str">
        <f t="shared" si="1"/>
        <v>Unavailable</v>
      </c>
      <c r="C4974" s="5">
        <v>4805.0</v>
      </c>
      <c r="D4974" s="3">
        <f>IFERROR(__xludf.DUMMYFUNCTION("IFERROR(
IF(REGEXMATCH(LOWER(O4974),""k""),
VALUE(REGEXEXTRACT(O4974,""[0-9]+""))*1000,
VALUE(REGEXEXTRACT(O4974,""[0-9]+""))
),
0
)"),0.0)</f>
        <v>0</v>
      </c>
      <c r="E4974" s="1" t="s">
        <v>11</v>
      </c>
      <c r="F4974" s="1" t="s">
        <v>20</v>
      </c>
      <c r="G4974" s="4" t="b">
        <f t="shared" si="2"/>
        <v>1</v>
      </c>
      <c r="H4974" s="1" t="str">
        <f t="shared" si="3"/>
        <v>Currently Unavailable</v>
      </c>
      <c r="I4974" s="1" t="str">
        <f t="shared" si="4"/>
        <v>No Badges</v>
      </c>
      <c r="J4974" s="3">
        <f t="shared" si="5"/>
        <v>0</v>
      </c>
    </row>
    <row r="4975">
      <c r="A4975" s="1" t="s">
        <v>3635</v>
      </c>
      <c r="B4975" s="3" t="str">
        <f t="shared" si="1"/>
        <v>Unavailable</v>
      </c>
      <c r="C4975" s="5">
        <v>24215.0</v>
      </c>
      <c r="D4975" s="3">
        <f>IFERROR(__xludf.DUMMYFUNCTION("IFERROR(
IF(REGEXMATCH(LOWER(O4975),""k""),
VALUE(REGEXEXTRACT(O4975,""[0-9]+""))*1000,
VALUE(REGEXEXTRACT(O4975,""[0-9]+""))
),
0
)"),0.0)</f>
        <v>0</v>
      </c>
      <c r="E4975" s="1" t="s">
        <v>11</v>
      </c>
      <c r="F4975" s="1" t="s">
        <v>20</v>
      </c>
      <c r="G4975" s="4" t="b">
        <f t="shared" si="2"/>
        <v>1</v>
      </c>
      <c r="H4975" s="1" t="str">
        <f t="shared" si="3"/>
        <v>Currently Unavailable</v>
      </c>
      <c r="I4975" s="1" t="str">
        <f t="shared" si="4"/>
        <v>No Badges</v>
      </c>
      <c r="J4975" s="3">
        <f t="shared" si="5"/>
        <v>0</v>
      </c>
    </row>
    <row r="4976">
      <c r="A4976" s="1" t="s">
        <v>3636</v>
      </c>
      <c r="B4976" s="3" t="str">
        <f t="shared" si="1"/>
        <v>Unavailable</v>
      </c>
      <c r="C4976" s="3">
        <v>445.0</v>
      </c>
      <c r="D4976" s="3">
        <f>IFERROR(__xludf.DUMMYFUNCTION("IFERROR(
IF(REGEXMATCH(LOWER(O4976),""k""),
VALUE(REGEXEXTRACT(O4976,""[0-9]+""))*1000,
VALUE(REGEXEXTRACT(O4976,""[0-9]+""))
),
0
)"),0.0)</f>
        <v>0</v>
      </c>
      <c r="E4976" s="1" t="s">
        <v>11</v>
      </c>
      <c r="F4976" s="1" t="s">
        <v>20</v>
      </c>
      <c r="G4976" s="4" t="b">
        <f t="shared" si="2"/>
        <v>1</v>
      </c>
      <c r="H4976" s="1" t="str">
        <f t="shared" si="3"/>
        <v>Currently Unavailable</v>
      </c>
      <c r="I4976" s="1" t="str">
        <f t="shared" si="4"/>
        <v>No Badges</v>
      </c>
      <c r="J4976" s="3">
        <f t="shared" si="5"/>
        <v>0</v>
      </c>
    </row>
    <row r="4977">
      <c r="A4977" s="1" t="s">
        <v>3637</v>
      </c>
      <c r="B4977" s="3" t="str">
        <f t="shared" si="1"/>
        <v>Unavailable</v>
      </c>
      <c r="C4977" s="5">
        <v>6229.0</v>
      </c>
      <c r="D4977" s="3">
        <f>IFERROR(__xludf.DUMMYFUNCTION("IFERROR(
IF(REGEXMATCH(LOWER(O4977),""k""),
VALUE(REGEXEXTRACT(O4977,""[0-9]+""))*1000,
VALUE(REGEXEXTRACT(O4977,""[0-9]+""))
),
0
)"),0.0)</f>
        <v>0</v>
      </c>
      <c r="E4977" s="1" t="s">
        <v>11</v>
      </c>
      <c r="F4977" s="1" t="s">
        <v>20</v>
      </c>
      <c r="G4977" s="4" t="b">
        <f t="shared" si="2"/>
        <v>1</v>
      </c>
      <c r="H4977" s="1" t="str">
        <f t="shared" si="3"/>
        <v>Currently Unavailable</v>
      </c>
      <c r="I4977" s="1" t="str">
        <f t="shared" si="4"/>
        <v>No Badges</v>
      </c>
      <c r="J4977" s="3">
        <f t="shared" si="5"/>
        <v>0</v>
      </c>
    </row>
    <row r="4978">
      <c r="A4978" s="1" t="s">
        <v>3638</v>
      </c>
      <c r="B4978" s="3" t="str">
        <f t="shared" si="1"/>
        <v>Unavailable</v>
      </c>
      <c r="C4978" s="5">
        <v>2773.0</v>
      </c>
      <c r="D4978" s="3">
        <f>IFERROR(__xludf.DUMMYFUNCTION("IFERROR(
IF(REGEXMATCH(LOWER(O4978),""k""),
VALUE(REGEXEXTRACT(O4978,""[0-9]+""))*1000,
VALUE(REGEXEXTRACT(O4978,""[0-9]+""))
),
0
)"),0.0)</f>
        <v>0</v>
      </c>
      <c r="E4978" s="1" t="s">
        <v>11</v>
      </c>
      <c r="F4978" s="1" t="s">
        <v>20</v>
      </c>
      <c r="G4978" s="4" t="b">
        <f t="shared" si="2"/>
        <v>1</v>
      </c>
      <c r="H4978" s="1" t="str">
        <f t="shared" si="3"/>
        <v>Currently Unavailable</v>
      </c>
      <c r="I4978" s="1" t="str">
        <f t="shared" si="4"/>
        <v>No Badges</v>
      </c>
      <c r="J4978" s="3">
        <f t="shared" si="5"/>
        <v>0</v>
      </c>
    </row>
    <row r="4979">
      <c r="A4979" s="1" t="s">
        <v>3639</v>
      </c>
      <c r="B4979" s="3" t="str">
        <f t="shared" si="1"/>
        <v>Unavailable</v>
      </c>
      <c r="C4979" s="5">
        <v>3224.0</v>
      </c>
      <c r="D4979" s="3">
        <f>IFERROR(__xludf.DUMMYFUNCTION("IFERROR(
IF(REGEXMATCH(LOWER(O4979),""k""),
VALUE(REGEXEXTRACT(O4979,""[0-9]+""))*1000,
VALUE(REGEXEXTRACT(O4979,""[0-9]+""))
),
0
)"),0.0)</f>
        <v>0</v>
      </c>
      <c r="E4979" s="1" t="s">
        <v>158</v>
      </c>
      <c r="F4979" s="1" t="s">
        <v>20</v>
      </c>
      <c r="G4979" s="4" t="b">
        <f t="shared" si="2"/>
        <v>1</v>
      </c>
      <c r="H4979" s="1" t="str">
        <f t="shared" si="3"/>
        <v>Currently Unavailable</v>
      </c>
      <c r="I4979" s="1" t="str">
        <f t="shared" si="4"/>
        <v>No Badges</v>
      </c>
      <c r="J4979" s="3">
        <f t="shared" si="5"/>
        <v>0</v>
      </c>
    </row>
    <row r="4980">
      <c r="A4980" s="1" t="s">
        <v>3640</v>
      </c>
      <c r="B4980" s="3" t="str">
        <f t="shared" si="1"/>
        <v>Unavailable</v>
      </c>
      <c r="C4980" s="5">
        <v>4898.0</v>
      </c>
      <c r="D4980" s="3">
        <f>IFERROR(__xludf.DUMMYFUNCTION("IFERROR(
IF(REGEXMATCH(LOWER(O4980),""k""),
VALUE(REGEXEXTRACT(O4980,""[0-9]+""))*1000,
VALUE(REGEXEXTRACT(O4980,""[0-9]+""))
),
0
)"),0.0)</f>
        <v>0</v>
      </c>
      <c r="E4980" s="1" t="s">
        <v>11</v>
      </c>
      <c r="F4980" s="1" t="s">
        <v>20</v>
      </c>
      <c r="G4980" s="4" t="b">
        <f t="shared" si="2"/>
        <v>1</v>
      </c>
      <c r="H4980" s="1" t="str">
        <f t="shared" si="3"/>
        <v>Currently Unavailable</v>
      </c>
      <c r="I4980" s="1" t="str">
        <f t="shared" si="4"/>
        <v>No Badges</v>
      </c>
      <c r="J4980" s="3">
        <f t="shared" si="5"/>
        <v>0</v>
      </c>
    </row>
    <row r="4981">
      <c r="A4981" s="1" t="s">
        <v>3641</v>
      </c>
      <c r="B4981" s="3" t="str">
        <f t="shared" si="1"/>
        <v>Unavailable</v>
      </c>
      <c r="C4981" s="3">
        <v>857.0</v>
      </c>
      <c r="D4981" s="3">
        <f>IFERROR(__xludf.DUMMYFUNCTION("IFERROR(
IF(REGEXMATCH(LOWER(O4981),""k""),
VALUE(REGEXEXTRACT(O4981,""[0-9]+""))*1000,
VALUE(REGEXEXTRACT(O4981,""[0-9]+""))
),
0
)"),0.0)</f>
        <v>0</v>
      </c>
      <c r="E4981" s="1" t="s">
        <v>11</v>
      </c>
      <c r="F4981" s="1" t="s">
        <v>20</v>
      </c>
      <c r="G4981" s="4" t="b">
        <f t="shared" si="2"/>
        <v>1</v>
      </c>
      <c r="H4981" s="1" t="str">
        <f t="shared" si="3"/>
        <v>Currently Unavailable</v>
      </c>
      <c r="I4981" s="1" t="str">
        <f t="shared" si="4"/>
        <v>No Badges</v>
      </c>
      <c r="J4981" s="3">
        <f t="shared" si="5"/>
        <v>0</v>
      </c>
    </row>
    <row r="4982">
      <c r="A4982" s="1" t="s">
        <v>3642</v>
      </c>
      <c r="B4982" s="3" t="str">
        <f t="shared" si="1"/>
        <v>Unavailable</v>
      </c>
      <c r="C4982" s="5">
        <v>2929.0</v>
      </c>
      <c r="D4982" s="3">
        <f>IFERROR(__xludf.DUMMYFUNCTION("IFERROR(
IF(REGEXMATCH(LOWER(O4982),""k""),
VALUE(REGEXEXTRACT(O4982,""[0-9]+""))*1000,
VALUE(REGEXEXTRACT(O4982,""[0-9]+""))
),
0
)"),0.0)</f>
        <v>0</v>
      </c>
      <c r="E4982" s="1" t="s">
        <v>11</v>
      </c>
      <c r="F4982" s="1" t="s">
        <v>20</v>
      </c>
      <c r="G4982" s="4" t="b">
        <f t="shared" si="2"/>
        <v>1</v>
      </c>
      <c r="H4982" s="1" t="str">
        <f t="shared" si="3"/>
        <v>Currently Unavailable</v>
      </c>
      <c r="I4982" s="1" t="str">
        <f t="shared" si="4"/>
        <v>No Badges</v>
      </c>
      <c r="J4982" s="3">
        <f t="shared" si="5"/>
        <v>0</v>
      </c>
    </row>
    <row r="4983">
      <c r="A4983" s="1" t="s">
        <v>3643</v>
      </c>
      <c r="B4983" s="3" t="str">
        <f t="shared" si="1"/>
        <v>Unavailable</v>
      </c>
      <c r="C4983" s="5">
        <v>17634.0</v>
      </c>
      <c r="D4983" s="3">
        <f>IFERROR(__xludf.DUMMYFUNCTION("IFERROR(
IF(REGEXMATCH(LOWER(O4983),""k""),
VALUE(REGEXEXTRACT(O4983,""[0-9]+""))*1000,
VALUE(REGEXEXTRACT(O4983,""[0-9]+""))
),
0
)"),0.0)</f>
        <v>0</v>
      </c>
      <c r="E4983" s="1" t="s">
        <v>11</v>
      </c>
      <c r="F4983" s="1" t="s">
        <v>20</v>
      </c>
      <c r="G4983" s="4" t="b">
        <f t="shared" si="2"/>
        <v>1</v>
      </c>
      <c r="H4983" s="1" t="str">
        <f t="shared" si="3"/>
        <v>Currently Unavailable</v>
      </c>
      <c r="I4983" s="1" t="str">
        <f t="shared" si="4"/>
        <v>No Badges</v>
      </c>
      <c r="J4983" s="3">
        <f t="shared" si="5"/>
        <v>0</v>
      </c>
    </row>
    <row r="4984">
      <c r="A4984" s="1" t="s">
        <v>3644</v>
      </c>
      <c r="B4984" s="3" t="str">
        <f t="shared" si="1"/>
        <v>Unavailable</v>
      </c>
      <c r="C4984" s="5">
        <v>1970.0</v>
      </c>
      <c r="D4984" s="3">
        <f>IFERROR(__xludf.DUMMYFUNCTION("IFERROR(
IF(REGEXMATCH(LOWER(O4984),""k""),
VALUE(REGEXEXTRACT(O4984,""[0-9]+""))*1000,
VALUE(REGEXEXTRACT(O4984,""[0-9]+""))
),
0
)"),0.0)</f>
        <v>0</v>
      </c>
      <c r="E4984" s="1" t="s">
        <v>11</v>
      </c>
      <c r="F4984" s="1" t="s">
        <v>20</v>
      </c>
      <c r="G4984" s="4" t="b">
        <f t="shared" si="2"/>
        <v>1</v>
      </c>
      <c r="H4984" s="1" t="str">
        <f t="shared" si="3"/>
        <v>Currently Unavailable</v>
      </c>
      <c r="I4984" s="1" t="str">
        <f t="shared" si="4"/>
        <v>No Badges</v>
      </c>
      <c r="J4984" s="3">
        <f t="shared" si="5"/>
        <v>0</v>
      </c>
    </row>
    <row r="4985">
      <c r="A4985" s="1" t="s">
        <v>3645</v>
      </c>
      <c r="B4985" s="3" t="str">
        <f t="shared" si="1"/>
        <v>Unavailable</v>
      </c>
      <c r="C4985" s="5">
        <v>4001.0</v>
      </c>
      <c r="D4985" s="3">
        <f>IFERROR(__xludf.DUMMYFUNCTION("IFERROR(
IF(REGEXMATCH(LOWER(O4985),""k""),
VALUE(REGEXEXTRACT(O4985,""[0-9]+""))*1000,
VALUE(REGEXEXTRACT(O4985,""[0-9]+""))
),
0
)"),0.0)</f>
        <v>0</v>
      </c>
      <c r="E4985" s="1" t="s">
        <v>11</v>
      </c>
      <c r="F4985" s="1" t="s">
        <v>20</v>
      </c>
      <c r="G4985" s="4" t="b">
        <f t="shared" si="2"/>
        <v>1</v>
      </c>
      <c r="H4985" s="1" t="str">
        <f t="shared" si="3"/>
        <v>Currently Unavailable</v>
      </c>
      <c r="I4985" s="1" t="str">
        <f t="shared" si="4"/>
        <v>No Badges</v>
      </c>
      <c r="J4985" s="3">
        <f t="shared" si="5"/>
        <v>0</v>
      </c>
    </row>
    <row r="4986">
      <c r="A4986" s="1" t="s">
        <v>3646</v>
      </c>
      <c r="B4986" s="3" t="str">
        <f t="shared" si="1"/>
        <v>Unavailable</v>
      </c>
      <c r="C4986" s="5">
        <v>1790.0</v>
      </c>
      <c r="D4986" s="3">
        <f>IFERROR(__xludf.DUMMYFUNCTION("IFERROR(
IF(REGEXMATCH(LOWER(O4986),""k""),
VALUE(REGEXEXTRACT(O4986,""[0-9]+""))*1000,
VALUE(REGEXEXTRACT(O4986,""[0-9]+""))
),
0
)"),0.0)</f>
        <v>0</v>
      </c>
      <c r="E4986" s="1" t="s">
        <v>11</v>
      </c>
      <c r="F4986" s="1" t="s">
        <v>20</v>
      </c>
      <c r="G4986" s="4" t="b">
        <f t="shared" si="2"/>
        <v>1</v>
      </c>
      <c r="H4986" s="1" t="str">
        <f t="shared" si="3"/>
        <v>Currently Unavailable</v>
      </c>
      <c r="I4986" s="1" t="str">
        <f t="shared" si="4"/>
        <v>No Badges</v>
      </c>
      <c r="J4986" s="3">
        <f t="shared" si="5"/>
        <v>0</v>
      </c>
    </row>
    <row r="4987">
      <c r="A4987" s="1" t="s">
        <v>3647</v>
      </c>
      <c r="B4987" s="3" t="str">
        <f t="shared" si="1"/>
        <v>Unavailable</v>
      </c>
      <c r="C4987" s="5">
        <v>7096.0</v>
      </c>
      <c r="D4987" s="3">
        <f>IFERROR(__xludf.DUMMYFUNCTION("IFERROR(
IF(REGEXMATCH(LOWER(O4987),""k""),
VALUE(REGEXEXTRACT(O4987,""[0-9]+""))*1000,
VALUE(REGEXEXTRACT(O4987,""[0-9]+""))
),
0
)"),0.0)</f>
        <v>0</v>
      </c>
      <c r="E4987" s="1" t="s">
        <v>11</v>
      </c>
      <c r="F4987" s="1" t="s">
        <v>20</v>
      </c>
      <c r="G4987" s="4" t="b">
        <f t="shared" si="2"/>
        <v>1</v>
      </c>
      <c r="H4987" s="1" t="str">
        <f t="shared" si="3"/>
        <v>Currently Unavailable</v>
      </c>
      <c r="I4987" s="1" t="str">
        <f t="shared" si="4"/>
        <v>No Badges</v>
      </c>
      <c r="J4987" s="3">
        <f t="shared" si="5"/>
        <v>0</v>
      </c>
    </row>
    <row r="4988">
      <c r="A4988" s="1" t="s">
        <v>3648</v>
      </c>
      <c r="B4988" s="3" t="str">
        <f t="shared" si="1"/>
        <v>Unavailable</v>
      </c>
      <c r="C4988" s="5">
        <v>6416.0</v>
      </c>
      <c r="D4988" s="3">
        <f>IFERROR(__xludf.DUMMYFUNCTION("IFERROR(
IF(REGEXMATCH(LOWER(O4988),""k""),
VALUE(REGEXEXTRACT(O4988,""[0-9]+""))*1000,
VALUE(REGEXEXTRACT(O4988,""[0-9]+""))
),
0
)"),0.0)</f>
        <v>0</v>
      </c>
      <c r="E4988" s="1" t="s">
        <v>11</v>
      </c>
      <c r="F4988" s="1" t="s">
        <v>20</v>
      </c>
      <c r="G4988" s="4" t="b">
        <f t="shared" si="2"/>
        <v>1</v>
      </c>
      <c r="H4988" s="1" t="str">
        <f t="shared" si="3"/>
        <v>Currently Unavailable</v>
      </c>
      <c r="I4988" s="1" t="str">
        <f t="shared" si="4"/>
        <v>No Badges</v>
      </c>
      <c r="J4988" s="3">
        <f t="shared" si="5"/>
        <v>0</v>
      </c>
    </row>
    <row r="4989">
      <c r="A4989" s="1" t="s">
        <v>3649</v>
      </c>
      <c r="B4989" s="3" t="str">
        <f t="shared" si="1"/>
        <v>Unavailable</v>
      </c>
      <c r="C4989" s="5">
        <v>2266.0</v>
      </c>
      <c r="D4989" s="3">
        <f>IFERROR(__xludf.DUMMYFUNCTION("IFERROR(
IF(REGEXMATCH(LOWER(O4989),""k""),
VALUE(REGEXEXTRACT(O4989,""[0-9]+""))*1000,
VALUE(REGEXEXTRACT(O4989,""[0-9]+""))
),
0
)"),0.0)</f>
        <v>0</v>
      </c>
      <c r="E4989" s="1" t="s">
        <v>11</v>
      </c>
      <c r="F4989" s="1" t="s">
        <v>20</v>
      </c>
      <c r="G4989" s="4" t="b">
        <f t="shared" si="2"/>
        <v>1</v>
      </c>
      <c r="H4989" s="1" t="str">
        <f t="shared" si="3"/>
        <v>Currently Unavailable</v>
      </c>
      <c r="I4989" s="1" t="str">
        <f t="shared" si="4"/>
        <v>No Badges</v>
      </c>
      <c r="J4989" s="3">
        <f t="shared" si="5"/>
        <v>0</v>
      </c>
    </row>
    <row r="4990">
      <c r="A4990" s="1" t="s">
        <v>3650</v>
      </c>
      <c r="B4990" s="3" t="str">
        <f t="shared" si="1"/>
        <v>Unavailable</v>
      </c>
      <c r="C4990" s="5">
        <v>6228.0</v>
      </c>
      <c r="D4990" s="3">
        <f>IFERROR(__xludf.DUMMYFUNCTION("IFERROR(
IF(REGEXMATCH(LOWER(O4990),""k""),
VALUE(REGEXEXTRACT(O4990,""[0-9]+""))*1000,
VALUE(REGEXEXTRACT(O4990,""[0-9]+""))
),
0
)"),0.0)</f>
        <v>0</v>
      </c>
      <c r="E4990" s="1" t="s">
        <v>11</v>
      </c>
      <c r="F4990" s="1" t="s">
        <v>20</v>
      </c>
      <c r="G4990" s="4" t="b">
        <f t="shared" si="2"/>
        <v>1</v>
      </c>
      <c r="H4990" s="1" t="str">
        <f t="shared" si="3"/>
        <v>Currently Unavailable</v>
      </c>
      <c r="I4990" s="1" t="str">
        <f t="shared" si="4"/>
        <v>No Badges</v>
      </c>
      <c r="J4990" s="3">
        <f t="shared" si="5"/>
        <v>0</v>
      </c>
    </row>
    <row r="4991">
      <c r="A4991" s="1" t="s">
        <v>3651</v>
      </c>
      <c r="B4991" s="3" t="str">
        <f t="shared" si="1"/>
        <v>Unavailable</v>
      </c>
      <c r="C4991" s="5">
        <v>1886.0</v>
      </c>
      <c r="D4991" s="3">
        <f>IFERROR(__xludf.DUMMYFUNCTION("IFERROR(
IF(REGEXMATCH(LOWER(O4991),""k""),
VALUE(REGEXEXTRACT(O4991,""[0-9]+""))*1000,
VALUE(REGEXEXTRACT(O4991,""[0-9]+""))
),
0
)"),0.0)</f>
        <v>0</v>
      </c>
      <c r="E4991" s="1" t="s">
        <v>11</v>
      </c>
      <c r="F4991" s="1" t="s">
        <v>20</v>
      </c>
      <c r="G4991" s="4" t="b">
        <f t="shared" si="2"/>
        <v>1</v>
      </c>
      <c r="H4991" s="1" t="str">
        <f t="shared" si="3"/>
        <v>Currently Unavailable</v>
      </c>
      <c r="I4991" s="1" t="str">
        <f t="shared" si="4"/>
        <v>No Badges</v>
      </c>
      <c r="J4991" s="3">
        <f t="shared" si="5"/>
        <v>0</v>
      </c>
    </row>
    <row r="4992">
      <c r="A4992" s="1" t="s">
        <v>3406</v>
      </c>
      <c r="B4992" s="3" t="str">
        <f t="shared" si="1"/>
        <v>Unavailable</v>
      </c>
      <c r="C4992" s="5">
        <v>9693.0</v>
      </c>
      <c r="D4992" s="3">
        <f>IFERROR(__xludf.DUMMYFUNCTION("IFERROR(
IF(REGEXMATCH(LOWER(O4992),""k""),
VALUE(REGEXEXTRACT(O4992,""[0-9]+""))*1000,
VALUE(REGEXEXTRACT(O4992,""[0-9]+""))
),
0
)"),0.0)</f>
        <v>0</v>
      </c>
      <c r="E4992" s="1" t="s">
        <v>11</v>
      </c>
      <c r="F4992" s="1" t="s">
        <v>20</v>
      </c>
      <c r="G4992" s="4" t="b">
        <f t="shared" si="2"/>
        <v>1</v>
      </c>
      <c r="H4992" s="1" t="str">
        <f t="shared" si="3"/>
        <v>Currently Unavailable</v>
      </c>
      <c r="I4992" s="1" t="str">
        <f t="shared" si="4"/>
        <v>No Badges</v>
      </c>
      <c r="J4992" s="3">
        <f t="shared" si="5"/>
        <v>0</v>
      </c>
    </row>
    <row r="4993">
      <c r="A4993" s="1" t="s">
        <v>3652</v>
      </c>
      <c r="B4993" s="3" t="str">
        <f t="shared" si="1"/>
        <v>Unavailable</v>
      </c>
      <c r="C4993" s="5">
        <v>18422.0</v>
      </c>
      <c r="D4993" s="3">
        <f>IFERROR(__xludf.DUMMYFUNCTION("IFERROR(
IF(REGEXMATCH(LOWER(O4993),""k""),
VALUE(REGEXEXTRACT(O4993,""[0-9]+""))*1000,
VALUE(REGEXEXTRACT(O4993,""[0-9]+""))
),
0
)"),0.0)</f>
        <v>0</v>
      </c>
      <c r="E4993" s="1" t="s">
        <v>11</v>
      </c>
      <c r="F4993" s="1" t="s">
        <v>20</v>
      </c>
      <c r="G4993" s="4" t="b">
        <f t="shared" si="2"/>
        <v>1</v>
      </c>
      <c r="H4993" s="1" t="str">
        <f t="shared" si="3"/>
        <v>Currently Unavailable</v>
      </c>
      <c r="I4993" s="1" t="str">
        <f t="shared" si="4"/>
        <v>No Badges</v>
      </c>
      <c r="J4993" s="3">
        <f t="shared" si="5"/>
        <v>0</v>
      </c>
    </row>
    <row r="4994">
      <c r="A4994" s="1" t="s">
        <v>3653</v>
      </c>
      <c r="B4994" s="3" t="str">
        <f t="shared" si="1"/>
        <v>Unavailable</v>
      </c>
      <c r="C4994" s="5">
        <v>20185.0</v>
      </c>
      <c r="D4994" s="3">
        <f>IFERROR(__xludf.DUMMYFUNCTION("IFERROR(
IF(REGEXMATCH(LOWER(O4994),""k""),
VALUE(REGEXEXTRACT(O4994,""[0-9]+""))*1000,
VALUE(REGEXEXTRACT(O4994,""[0-9]+""))
),
0
)"),0.0)</f>
        <v>0</v>
      </c>
      <c r="E4994" s="1" t="s">
        <v>11</v>
      </c>
      <c r="F4994" s="1" t="s">
        <v>20</v>
      </c>
      <c r="G4994" s="4" t="b">
        <f t="shared" si="2"/>
        <v>1</v>
      </c>
      <c r="H4994" s="1" t="str">
        <f t="shared" si="3"/>
        <v>Currently Unavailable</v>
      </c>
      <c r="I4994" s="1" t="str">
        <f t="shared" si="4"/>
        <v>No Badges</v>
      </c>
      <c r="J4994" s="3">
        <f t="shared" si="5"/>
        <v>0</v>
      </c>
    </row>
    <row r="4995">
      <c r="A4995" s="1" t="s">
        <v>3654</v>
      </c>
      <c r="B4995" s="3" t="str">
        <f t="shared" si="1"/>
        <v>Unavailable</v>
      </c>
      <c r="C4995" s="5">
        <v>10759.0</v>
      </c>
      <c r="D4995" s="3">
        <f>IFERROR(__xludf.DUMMYFUNCTION("IFERROR(
IF(REGEXMATCH(LOWER(O4995),""k""),
VALUE(REGEXEXTRACT(O4995,""[0-9]+""))*1000,
VALUE(REGEXEXTRACT(O4995,""[0-9]+""))
),
0
)"),0.0)</f>
        <v>0</v>
      </c>
      <c r="E4995" s="1" t="s">
        <v>11</v>
      </c>
      <c r="F4995" s="1" t="s">
        <v>20</v>
      </c>
      <c r="G4995" s="4" t="b">
        <f t="shared" si="2"/>
        <v>1</v>
      </c>
      <c r="H4995" s="1" t="str">
        <f t="shared" si="3"/>
        <v>Currently Unavailable</v>
      </c>
      <c r="I4995" s="1" t="str">
        <f t="shared" si="4"/>
        <v>No Badges</v>
      </c>
      <c r="J4995" s="3">
        <f t="shared" si="5"/>
        <v>0</v>
      </c>
    </row>
    <row r="4996">
      <c r="A4996" s="1" t="s">
        <v>69</v>
      </c>
      <c r="B4996" s="3" t="str">
        <f t="shared" si="1"/>
        <v>Unavailable</v>
      </c>
      <c r="C4996" s="3">
        <v>45.0</v>
      </c>
      <c r="D4996" s="3">
        <f>IFERROR(__xludf.DUMMYFUNCTION("IFERROR(
IF(REGEXMATCH(LOWER(O4996),""k""),
VALUE(REGEXEXTRACT(O4996,""[0-9]+""))*1000,
VALUE(REGEXEXTRACT(O4996,""[0-9]+""))
),
0
)"),0.0)</f>
        <v>0</v>
      </c>
      <c r="E4996" s="1" t="s">
        <v>11</v>
      </c>
      <c r="F4996" s="1" t="s">
        <v>12</v>
      </c>
      <c r="G4996" s="4" t="b">
        <f t="shared" si="2"/>
        <v>1</v>
      </c>
      <c r="H4996" s="1" t="str">
        <f t="shared" si="3"/>
        <v>Currently Unavailable</v>
      </c>
      <c r="I4996" s="1" t="str">
        <f t="shared" si="4"/>
        <v>No Badges</v>
      </c>
      <c r="J4996" s="3">
        <f t="shared" si="5"/>
        <v>0</v>
      </c>
    </row>
    <row r="4997">
      <c r="A4997" s="1" t="s">
        <v>3431</v>
      </c>
      <c r="B4997" s="3" t="str">
        <f t="shared" si="1"/>
        <v>Unavailable</v>
      </c>
      <c r="C4997" s="3">
        <v>550.0</v>
      </c>
      <c r="D4997" s="3">
        <f>IFERROR(__xludf.DUMMYFUNCTION("IFERROR(
IF(REGEXMATCH(LOWER(O4997),""k""),
VALUE(REGEXEXTRACT(O4997,""[0-9]+""))*1000,
VALUE(REGEXEXTRACT(O4997,""[0-9]+""))
),
0
)"),0.0)</f>
        <v>0</v>
      </c>
      <c r="E4997" s="1" t="s">
        <v>11</v>
      </c>
      <c r="F4997" s="1" t="s">
        <v>20</v>
      </c>
      <c r="G4997" s="4" t="b">
        <f t="shared" si="2"/>
        <v>1</v>
      </c>
      <c r="H4997" s="1" t="str">
        <f t="shared" si="3"/>
        <v>Currently Unavailable</v>
      </c>
      <c r="I4997" s="1" t="str">
        <f t="shared" si="4"/>
        <v>No Badges</v>
      </c>
      <c r="J4997" s="3">
        <f t="shared" si="5"/>
        <v>0</v>
      </c>
    </row>
    <row r="4998">
      <c r="A4998" s="1" t="s">
        <v>3655</v>
      </c>
      <c r="B4998" s="3" t="str">
        <f t="shared" si="1"/>
        <v>Unavailable</v>
      </c>
      <c r="C4998" s="5">
        <v>2242.0</v>
      </c>
      <c r="D4998" s="3">
        <f>IFERROR(__xludf.DUMMYFUNCTION("IFERROR(
IF(REGEXMATCH(LOWER(O4998),""k""),
VALUE(REGEXEXTRACT(O4998,""[0-9]+""))*1000,
VALUE(REGEXEXTRACT(O4998,""[0-9]+""))
),
0
)"),0.0)</f>
        <v>0</v>
      </c>
      <c r="E4998" s="1" t="s">
        <v>11</v>
      </c>
      <c r="F4998" s="1" t="s">
        <v>20</v>
      </c>
      <c r="G4998" s="4" t="b">
        <f t="shared" si="2"/>
        <v>1</v>
      </c>
      <c r="H4998" s="1" t="str">
        <f t="shared" si="3"/>
        <v>Currently Unavailable</v>
      </c>
      <c r="I4998" s="1" t="str">
        <f t="shared" si="4"/>
        <v>No Badges</v>
      </c>
      <c r="J4998" s="3">
        <f t="shared" si="5"/>
        <v>0</v>
      </c>
    </row>
    <row r="4999">
      <c r="A4999" s="1" t="s">
        <v>3656</v>
      </c>
      <c r="B4999" s="3" t="str">
        <f t="shared" si="1"/>
        <v>Unavailable</v>
      </c>
      <c r="C4999" s="5">
        <v>1084.0</v>
      </c>
      <c r="D4999" s="3">
        <f>IFERROR(__xludf.DUMMYFUNCTION("IFERROR(
IF(REGEXMATCH(LOWER(O4999),""k""),
VALUE(REGEXEXTRACT(O4999,""[0-9]+""))*1000,
VALUE(REGEXEXTRACT(O4999,""[0-9]+""))
),
0
)"),0.0)</f>
        <v>0</v>
      </c>
      <c r="E4999" s="1" t="s">
        <v>11</v>
      </c>
      <c r="F4999" s="1" t="s">
        <v>20</v>
      </c>
      <c r="G4999" s="4" t="b">
        <f t="shared" si="2"/>
        <v>1</v>
      </c>
      <c r="H4999" s="1" t="str">
        <f t="shared" si="3"/>
        <v>Currently Unavailable</v>
      </c>
      <c r="I4999" s="1" t="str">
        <f t="shared" si="4"/>
        <v>No Badges</v>
      </c>
      <c r="J4999" s="3">
        <f t="shared" si="5"/>
        <v>0</v>
      </c>
    </row>
    <row r="5000">
      <c r="A5000" s="1" t="s">
        <v>3657</v>
      </c>
      <c r="B5000" s="3" t="str">
        <f t="shared" si="1"/>
        <v>Unavailable</v>
      </c>
      <c r="C5000" s="5">
        <v>6765.0</v>
      </c>
      <c r="D5000" s="3">
        <f>IFERROR(__xludf.DUMMYFUNCTION("IFERROR(
IF(REGEXMATCH(LOWER(O5000),""k""),
VALUE(REGEXEXTRACT(O5000,""[0-9]+""))*1000,
VALUE(REGEXEXTRACT(O5000,""[0-9]+""))
),
0
)"),0.0)</f>
        <v>0</v>
      </c>
      <c r="E5000" s="1" t="s">
        <v>11</v>
      </c>
      <c r="F5000" s="1" t="s">
        <v>20</v>
      </c>
      <c r="G5000" s="4" t="b">
        <f t="shared" si="2"/>
        <v>1</v>
      </c>
      <c r="H5000" s="1" t="str">
        <f t="shared" si="3"/>
        <v>Currently Unavailable</v>
      </c>
      <c r="I5000" s="1" t="str">
        <f t="shared" si="4"/>
        <v>No Badges</v>
      </c>
      <c r="J5000" s="3">
        <f t="shared" si="5"/>
        <v>0</v>
      </c>
    </row>
    <row r="5001">
      <c r="A5001" s="1" t="s">
        <v>3431</v>
      </c>
      <c r="B5001" s="3" t="str">
        <f t="shared" si="1"/>
        <v>Unavailable</v>
      </c>
      <c r="C5001" s="3">
        <v>550.0</v>
      </c>
      <c r="D5001" s="3">
        <f>IFERROR(__xludf.DUMMYFUNCTION("IFERROR(
IF(REGEXMATCH(LOWER(O5001),""k""),
VALUE(REGEXEXTRACT(O5001,""[0-9]+""))*1000,
VALUE(REGEXEXTRACT(O5001,""[0-9]+""))
),
0
)"),0.0)</f>
        <v>0</v>
      </c>
      <c r="E5001" s="1" t="s">
        <v>11</v>
      </c>
      <c r="F5001" s="1" t="s">
        <v>12</v>
      </c>
      <c r="G5001" s="4" t="b">
        <f t="shared" si="2"/>
        <v>1</v>
      </c>
      <c r="H5001" s="1" t="str">
        <f t="shared" si="3"/>
        <v>Currently Unavailable</v>
      </c>
      <c r="I5001" s="1" t="str">
        <f t="shared" si="4"/>
        <v>No Badges</v>
      </c>
      <c r="J5001" s="3">
        <f t="shared" si="5"/>
        <v>0</v>
      </c>
    </row>
    <row r="5002">
      <c r="A5002" s="1" t="s">
        <v>3658</v>
      </c>
      <c r="B5002" s="3" t="str">
        <f t="shared" si="1"/>
        <v>Unavailable</v>
      </c>
      <c r="C5002" s="5">
        <v>1129.0</v>
      </c>
      <c r="D5002" s="3">
        <f>IFERROR(__xludf.DUMMYFUNCTION("IFERROR(
IF(REGEXMATCH(LOWER(O5002),""k""),
VALUE(REGEXEXTRACT(O5002,""[0-9]+""))*1000,
VALUE(REGEXEXTRACT(O5002,""[0-9]+""))
),
0
)"),0.0)</f>
        <v>0</v>
      </c>
      <c r="E5002" s="1" t="s">
        <v>11</v>
      </c>
      <c r="F5002" s="1" t="s">
        <v>20</v>
      </c>
      <c r="G5002" s="4" t="b">
        <f t="shared" si="2"/>
        <v>1</v>
      </c>
      <c r="H5002" s="1" t="str">
        <f t="shared" si="3"/>
        <v>Currently Unavailable</v>
      </c>
      <c r="I5002" s="1" t="str">
        <f t="shared" si="4"/>
        <v>No Badges</v>
      </c>
      <c r="J5002" s="3">
        <f t="shared" si="5"/>
        <v>0</v>
      </c>
    </row>
    <row r="5003">
      <c r="A5003" s="1" t="s">
        <v>3659</v>
      </c>
      <c r="B5003" s="3" t="str">
        <f t="shared" si="1"/>
        <v>Unavailable</v>
      </c>
      <c r="C5003" s="5">
        <v>10227.0</v>
      </c>
      <c r="D5003" s="3">
        <f>IFERROR(__xludf.DUMMYFUNCTION("IFERROR(
IF(REGEXMATCH(LOWER(O5003),""k""),
VALUE(REGEXEXTRACT(O5003,""[0-9]+""))*1000,
VALUE(REGEXEXTRACT(O5003,""[0-9]+""))
),
0
)"),0.0)</f>
        <v>0</v>
      </c>
      <c r="E5003" s="1" t="s">
        <v>11</v>
      </c>
      <c r="F5003" s="1" t="s">
        <v>20</v>
      </c>
      <c r="G5003" s="4" t="b">
        <f t="shared" si="2"/>
        <v>1</v>
      </c>
      <c r="H5003" s="1" t="str">
        <f t="shared" si="3"/>
        <v>Currently Unavailable</v>
      </c>
      <c r="I5003" s="1" t="str">
        <f t="shared" si="4"/>
        <v>No Badges</v>
      </c>
      <c r="J5003" s="3">
        <f t="shared" si="5"/>
        <v>0</v>
      </c>
    </row>
    <row r="5004">
      <c r="A5004" s="1" t="s">
        <v>3660</v>
      </c>
      <c r="B5004" s="3" t="str">
        <f t="shared" si="1"/>
        <v>Unavailable</v>
      </c>
      <c r="C5004" s="5">
        <v>5492.0</v>
      </c>
      <c r="D5004" s="3">
        <f>IFERROR(__xludf.DUMMYFUNCTION("IFERROR(
IF(REGEXMATCH(LOWER(O5004),""k""),
VALUE(REGEXEXTRACT(O5004,""[0-9]+""))*1000,
VALUE(REGEXEXTRACT(O5004,""[0-9]+""))
),
0
)"),0.0)</f>
        <v>0</v>
      </c>
      <c r="E5004" s="1" t="s">
        <v>11</v>
      </c>
      <c r="F5004" s="1" t="s">
        <v>20</v>
      </c>
      <c r="G5004" s="4" t="b">
        <f t="shared" si="2"/>
        <v>1</v>
      </c>
      <c r="H5004" s="1" t="str">
        <f t="shared" si="3"/>
        <v>Currently Unavailable</v>
      </c>
      <c r="I5004" s="1" t="str">
        <f t="shared" si="4"/>
        <v>No Badges</v>
      </c>
      <c r="J5004" s="3">
        <f t="shared" si="5"/>
        <v>0</v>
      </c>
    </row>
    <row r="5005">
      <c r="A5005" s="1" t="s">
        <v>3661</v>
      </c>
      <c r="B5005" s="3" t="str">
        <f t="shared" si="1"/>
        <v>Unavailable</v>
      </c>
      <c r="C5005" s="5">
        <v>7272.0</v>
      </c>
      <c r="D5005" s="3">
        <f>IFERROR(__xludf.DUMMYFUNCTION("IFERROR(
IF(REGEXMATCH(LOWER(O5005),""k""),
VALUE(REGEXEXTRACT(O5005,""[0-9]+""))*1000,
VALUE(REGEXEXTRACT(O5005,""[0-9]+""))
),
0
)"),0.0)</f>
        <v>0</v>
      </c>
      <c r="E5005" s="1" t="s">
        <v>11</v>
      </c>
      <c r="F5005" s="1" t="s">
        <v>20</v>
      </c>
      <c r="G5005" s="4" t="b">
        <f t="shared" si="2"/>
        <v>1</v>
      </c>
      <c r="H5005" s="1" t="str">
        <f t="shared" si="3"/>
        <v>Currently Unavailable</v>
      </c>
      <c r="I5005" s="1" t="str">
        <f t="shared" si="4"/>
        <v>No Badges</v>
      </c>
      <c r="J5005" s="3">
        <f t="shared" si="5"/>
        <v>0</v>
      </c>
    </row>
    <row r="5006">
      <c r="A5006" s="1" t="s">
        <v>3662</v>
      </c>
      <c r="B5006" s="3" t="str">
        <f t="shared" si="1"/>
        <v>Unavailable</v>
      </c>
      <c r="C5006" s="5">
        <v>2684.0</v>
      </c>
      <c r="D5006" s="3">
        <f>IFERROR(__xludf.DUMMYFUNCTION("IFERROR(
IF(REGEXMATCH(LOWER(O5006),""k""),
VALUE(REGEXEXTRACT(O5006,""[0-9]+""))*1000,
VALUE(REGEXEXTRACT(O5006,""[0-9]+""))
),
0
)"),0.0)</f>
        <v>0</v>
      </c>
      <c r="E5006" s="1" t="s">
        <v>11</v>
      </c>
      <c r="F5006" s="1" t="s">
        <v>20</v>
      </c>
      <c r="G5006" s="4" t="b">
        <f t="shared" si="2"/>
        <v>1</v>
      </c>
      <c r="H5006" s="1" t="str">
        <f t="shared" si="3"/>
        <v>Currently Unavailable</v>
      </c>
      <c r="I5006" s="1" t="str">
        <f t="shared" si="4"/>
        <v>No Badges</v>
      </c>
      <c r="J5006" s="3">
        <f t="shared" si="5"/>
        <v>0</v>
      </c>
    </row>
    <row r="5007">
      <c r="A5007" s="1" t="s">
        <v>3663</v>
      </c>
      <c r="B5007" s="3" t="str">
        <f t="shared" si="1"/>
        <v>Unavailable</v>
      </c>
      <c r="C5007" s="5">
        <v>39568.0</v>
      </c>
      <c r="D5007" s="3">
        <f>IFERROR(__xludf.DUMMYFUNCTION("IFERROR(
IF(REGEXMATCH(LOWER(O5007),""k""),
VALUE(REGEXEXTRACT(O5007,""[0-9]+""))*1000,
VALUE(REGEXEXTRACT(O5007,""[0-9]+""))
),
0
)"),0.0)</f>
        <v>0</v>
      </c>
      <c r="E5007" s="1" t="s">
        <v>11</v>
      </c>
      <c r="F5007" s="1" t="s">
        <v>20</v>
      </c>
      <c r="G5007" s="4" t="b">
        <f t="shared" si="2"/>
        <v>1</v>
      </c>
      <c r="H5007" s="1" t="str">
        <f t="shared" si="3"/>
        <v>Currently Unavailable</v>
      </c>
      <c r="I5007" s="1" t="str">
        <f t="shared" si="4"/>
        <v>No Badges</v>
      </c>
      <c r="J5007" s="3">
        <f t="shared" si="5"/>
        <v>0</v>
      </c>
    </row>
    <row r="5008">
      <c r="A5008" s="1" t="s">
        <v>3664</v>
      </c>
      <c r="B5008" s="3" t="str">
        <f t="shared" si="1"/>
        <v>Unavailable</v>
      </c>
      <c r="C5008" s="5">
        <v>4657.0</v>
      </c>
      <c r="D5008" s="3">
        <f>IFERROR(__xludf.DUMMYFUNCTION("IFERROR(
IF(REGEXMATCH(LOWER(O5008),""k""),
VALUE(REGEXEXTRACT(O5008,""[0-9]+""))*1000,
VALUE(REGEXEXTRACT(O5008,""[0-9]+""))
),
0
)"),0.0)</f>
        <v>0</v>
      </c>
      <c r="E5008" s="1" t="s">
        <v>11</v>
      </c>
      <c r="F5008" s="1" t="s">
        <v>20</v>
      </c>
      <c r="G5008" s="4" t="b">
        <f t="shared" si="2"/>
        <v>1</v>
      </c>
      <c r="H5008" s="1" t="str">
        <f t="shared" si="3"/>
        <v>Currently Unavailable</v>
      </c>
      <c r="I5008" s="1" t="str">
        <f t="shared" si="4"/>
        <v>No Badges</v>
      </c>
      <c r="J5008" s="3">
        <f t="shared" si="5"/>
        <v>0</v>
      </c>
    </row>
    <row r="5009">
      <c r="A5009" s="1" t="s">
        <v>67</v>
      </c>
      <c r="B5009" s="3" t="str">
        <f t="shared" si="1"/>
        <v>Unavailable</v>
      </c>
      <c r="C5009" s="3">
        <v>264.0</v>
      </c>
      <c r="D5009" s="3">
        <f>IFERROR(__xludf.DUMMYFUNCTION("IFERROR(
IF(REGEXMATCH(LOWER(O5009),""k""),
VALUE(REGEXEXTRACT(O5009,""[0-9]+""))*1000,
VALUE(REGEXEXTRACT(O5009,""[0-9]+""))
),
0
)"),0.0)</f>
        <v>0</v>
      </c>
      <c r="E5009" s="1" t="s">
        <v>11</v>
      </c>
      <c r="F5009" s="1" t="s">
        <v>12</v>
      </c>
      <c r="G5009" s="4" t="b">
        <f t="shared" si="2"/>
        <v>1</v>
      </c>
      <c r="H5009" s="1" t="str">
        <f t="shared" si="3"/>
        <v>Currently Unavailable</v>
      </c>
      <c r="I5009" s="1" t="str">
        <f t="shared" si="4"/>
        <v>No Badges</v>
      </c>
      <c r="J5009" s="3">
        <f t="shared" si="5"/>
        <v>0</v>
      </c>
    </row>
    <row r="5010">
      <c r="A5010" s="1" t="s">
        <v>3665</v>
      </c>
      <c r="B5010" s="3" t="str">
        <f t="shared" si="1"/>
        <v>Unavailable</v>
      </c>
      <c r="C5010" s="5">
        <v>24247.0</v>
      </c>
      <c r="D5010" s="3">
        <f>IFERROR(__xludf.DUMMYFUNCTION("IFERROR(
IF(REGEXMATCH(LOWER(O5010),""k""),
VALUE(REGEXEXTRACT(O5010,""[0-9]+""))*1000,
VALUE(REGEXEXTRACT(O5010,""[0-9]+""))
),
0
)"),0.0)</f>
        <v>0</v>
      </c>
      <c r="E5010" s="1" t="s">
        <v>11</v>
      </c>
      <c r="F5010" s="1" t="s">
        <v>20</v>
      </c>
      <c r="G5010" s="4" t="b">
        <f t="shared" si="2"/>
        <v>1</v>
      </c>
      <c r="H5010" s="1" t="str">
        <f t="shared" si="3"/>
        <v>Currently Unavailable</v>
      </c>
      <c r="I5010" s="1" t="str">
        <f t="shared" si="4"/>
        <v>No Badges</v>
      </c>
      <c r="J5010" s="3">
        <f t="shared" si="5"/>
        <v>0</v>
      </c>
    </row>
    <row r="5011">
      <c r="A5011" s="1" t="s">
        <v>701</v>
      </c>
      <c r="B5011" s="3" t="str">
        <f t="shared" si="1"/>
        <v>Unavailable</v>
      </c>
      <c r="C5011" s="3">
        <v>8.0</v>
      </c>
      <c r="D5011" s="3">
        <f>IFERROR(__xludf.DUMMYFUNCTION("IFERROR(
IF(REGEXMATCH(LOWER(O5011),""k""),
VALUE(REGEXEXTRACT(O5011,""[0-9]+""))*1000,
VALUE(REGEXEXTRACT(O5011,""[0-9]+""))
),
0
)"),0.0)</f>
        <v>0</v>
      </c>
      <c r="E5011" s="1" t="s">
        <v>11</v>
      </c>
      <c r="F5011" s="1" t="s">
        <v>12</v>
      </c>
      <c r="G5011" s="4" t="b">
        <f t="shared" si="2"/>
        <v>1</v>
      </c>
      <c r="H5011" s="1" t="str">
        <f t="shared" si="3"/>
        <v>Currently Unavailable</v>
      </c>
      <c r="I5011" s="1" t="str">
        <f t="shared" si="4"/>
        <v>No Badges</v>
      </c>
      <c r="J5011" s="3">
        <f t="shared" si="5"/>
        <v>0</v>
      </c>
    </row>
    <row r="5012">
      <c r="A5012" s="1" t="s">
        <v>3666</v>
      </c>
      <c r="B5012" s="3" t="str">
        <f t="shared" si="1"/>
        <v>Unavailable</v>
      </c>
      <c r="C5012" s="5">
        <v>4929.0</v>
      </c>
      <c r="D5012" s="3">
        <f>IFERROR(__xludf.DUMMYFUNCTION("IFERROR(
IF(REGEXMATCH(LOWER(O5012),""k""),
VALUE(REGEXEXTRACT(O5012,""[0-9]+""))*1000,
VALUE(REGEXEXTRACT(O5012,""[0-9]+""))
),
0
)"),0.0)</f>
        <v>0</v>
      </c>
      <c r="E5012" s="1" t="s">
        <v>11</v>
      </c>
      <c r="F5012" s="1" t="s">
        <v>20</v>
      </c>
      <c r="G5012" s="4" t="b">
        <f t="shared" si="2"/>
        <v>1</v>
      </c>
      <c r="H5012" s="1" t="str">
        <f t="shared" si="3"/>
        <v>Currently Unavailable</v>
      </c>
      <c r="I5012" s="1" t="str">
        <f t="shared" si="4"/>
        <v>No Badges</v>
      </c>
      <c r="J5012" s="3">
        <f t="shared" si="5"/>
        <v>0</v>
      </c>
    </row>
    <row r="5013">
      <c r="A5013" s="1" t="s">
        <v>3667</v>
      </c>
      <c r="B5013" s="3" t="str">
        <f t="shared" si="1"/>
        <v>Unavailable</v>
      </c>
      <c r="C5013" s="3">
        <v>300.0</v>
      </c>
      <c r="D5013" s="3">
        <f>IFERROR(__xludf.DUMMYFUNCTION("IFERROR(
IF(REGEXMATCH(LOWER(O5013),""k""),
VALUE(REGEXEXTRACT(O5013,""[0-9]+""))*1000,
VALUE(REGEXEXTRACT(O5013,""[0-9]+""))
),
0
)"),0.0)</f>
        <v>0</v>
      </c>
      <c r="E5013" s="1" t="s">
        <v>11</v>
      </c>
      <c r="F5013" s="1" t="s">
        <v>20</v>
      </c>
      <c r="G5013" s="4" t="b">
        <f t="shared" si="2"/>
        <v>1</v>
      </c>
      <c r="H5013" s="1" t="str">
        <f t="shared" si="3"/>
        <v>Currently Unavailable</v>
      </c>
      <c r="I5013" s="1" t="str">
        <f t="shared" si="4"/>
        <v>No Badges</v>
      </c>
      <c r="J5013" s="3">
        <f t="shared" si="5"/>
        <v>0</v>
      </c>
    </row>
    <row r="5014">
      <c r="A5014" s="1" t="s">
        <v>3668</v>
      </c>
      <c r="B5014" s="3" t="str">
        <f t="shared" si="1"/>
        <v>Unavailable</v>
      </c>
      <c r="C5014" s="5">
        <v>1036.0</v>
      </c>
      <c r="D5014" s="3">
        <f>IFERROR(__xludf.DUMMYFUNCTION("IFERROR(
IF(REGEXMATCH(LOWER(O5014),""k""),
VALUE(REGEXEXTRACT(O5014,""[0-9]+""))*1000,
VALUE(REGEXEXTRACT(O5014,""[0-9]+""))
),
0
)"),0.0)</f>
        <v>0</v>
      </c>
      <c r="E5014" s="1" t="s">
        <v>11</v>
      </c>
      <c r="F5014" s="1" t="s">
        <v>20</v>
      </c>
      <c r="G5014" s="4" t="b">
        <f t="shared" si="2"/>
        <v>1</v>
      </c>
      <c r="H5014" s="1" t="str">
        <f t="shared" si="3"/>
        <v>Currently Unavailable</v>
      </c>
      <c r="I5014" s="1" t="str">
        <f t="shared" si="4"/>
        <v>No Badges</v>
      </c>
      <c r="J5014" s="3">
        <f t="shared" si="5"/>
        <v>0</v>
      </c>
    </row>
    <row r="5015">
      <c r="A5015" s="1" t="s">
        <v>3669</v>
      </c>
      <c r="B5015" s="3" t="str">
        <f t="shared" si="1"/>
        <v>Unavailable</v>
      </c>
      <c r="C5015" s="5">
        <v>3036.0</v>
      </c>
      <c r="D5015" s="3">
        <f>IFERROR(__xludf.DUMMYFUNCTION("IFERROR(
IF(REGEXMATCH(LOWER(O5015),""k""),
VALUE(REGEXEXTRACT(O5015,""[0-9]+""))*1000,
VALUE(REGEXEXTRACT(O5015,""[0-9]+""))
),
0
)"),0.0)</f>
        <v>0</v>
      </c>
      <c r="E5015" s="1" t="s">
        <v>11</v>
      </c>
      <c r="F5015" s="1" t="s">
        <v>20</v>
      </c>
      <c r="G5015" s="4" t="b">
        <f t="shared" si="2"/>
        <v>1</v>
      </c>
      <c r="H5015" s="1" t="str">
        <f t="shared" si="3"/>
        <v>Currently Unavailable</v>
      </c>
      <c r="I5015" s="1" t="str">
        <f t="shared" si="4"/>
        <v>No Badges</v>
      </c>
      <c r="J5015" s="3">
        <f t="shared" si="5"/>
        <v>0</v>
      </c>
    </row>
    <row r="5016">
      <c r="A5016" s="1" t="s">
        <v>3670</v>
      </c>
      <c r="B5016" s="3" t="str">
        <f t="shared" si="1"/>
        <v>Unavailable</v>
      </c>
      <c r="C5016" s="3">
        <v>994.0</v>
      </c>
      <c r="D5016" s="3">
        <f>IFERROR(__xludf.DUMMYFUNCTION("IFERROR(
IF(REGEXMATCH(LOWER(O5016),""k""),
VALUE(REGEXEXTRACT(O5016,""[0-9]+""))*1000,
VALUE(REGEXEXTRACT(O5016,""[0-9]+""))
),
0
)"),0.0)</f>
        <v>0</v>
      </c>
      <c r="E5016" s="1" t="s">
        <v>11</v>
      </c>
      <c r="F5016" s="1" t="s">
        <v>20</v>
      </c>
      <c r="G5016" s="4" t="b">
        <f t="shared" si="2"/>
        <v>1</v>
      </c>
      <c r="H5016" s="1" t="str">
        <f t="shared" si="3"/>
        <v>Currently Unavailable</v>
      </c>
      <c r="I5016" s="1" t="str">
        <f t="shared" si="4"/>
        <v>No Badges</v>
      </c>
      <c r="J5016" s="3">
        <f t="shared" si="5"/>
        <v>0</v>
      </c>
    </row>
    <row r="5017">
      <c r="A5017" s="1" t="s">
        <v>3671</v>
      </c>
      <c r="B5017" s="3" t="str">
        <f t="shared" si="1"/>
        <v>Unavailable</v>
      </c>
      <c r="C5017" s="5">
        <v>36536.0</v>
      </c>
      <c r="D5017" s="3">
        <f>IFERROR(__xludf.DUMMYFUNCTION("IFERROR(
IF(REGEXMATCH(LOWER(O5017),""k""),
VALUE(REGEXEXTRACT(O5017,""[0-9]+""))*1000,
VALUE(REGEXEXTRACT(O5017,""[0-9]+""))
),
0
)"),0.0)</f>
        <v>0</v>
      </c>
      <c r="E5017" s="1" t="s">
        <v>11</v>
      </c>
      <c r="F5017" s="1" t="s">
        <v>20</v>
      </c>
      <c r="G5017" s="4" t="b">
        <f t="shared" si="2"/>
        <v>1</v>
      </c>
      <c r="H5017" s="1" t="str">
        <f t="shared" si="3"/>
        <v>Currently Unavailable</v>
      </c>
      <c r="I5017" s="1" t="str">
        <f t="shared" si="4"/>
        <v>No Badges</v>
      </c>
      <c r="J5017" s="3">
        <f t="shared" si="5"/>
        <v>0</v>
      </c>
    </row>
    <row r="5018">
      <c r="A5018" s="1" t="s">
        <v>3672</v>
      </c>
      <c r="B5018" s="3" t="str">
        <f t="shared" si="1"/>
        <v>Unavailable</v>
      </c>
      <c r="C5018" s="5">
        <v>5575.0</v>
      </c>
      <c r="D5018" s="3">
        <f>IFERROR(__xludf.DUMMYFUNCTION("IFERROR(
IF(REGEXMATCH(LOWER(O5018),""k""),
VALUE(REGEXEXTRACT(O5018,""[0-9]+""))*1000,
VALUE(REGEXEXTRACT(O5018,""[0-9]+""))
),
0
)"),0.0)</f>
        <v>0</v>
      </c>
      <c r="E5018" s="1" t="s">
        <v>11</v>
      </c>
      <c r="F5018" s="1" t="s">
        <v>20</v>
      </c>
      <c r="G5018" s="4" t="b">
        <f t="shared" si="2"/>
        <v>1</v>
      </c>
      <c r="H5018" s="1" t="str">
        <f t="shared" si="3"/>
        <v>Currently Unavailable</v>
      </c>
      <c r="I5018" s="1" t="str">
        <f t="shared" si="4"/>
        <v>No Badges</v>
      </c>
      <c r="J5018" s="3">
        <f t="shared" si="5"/>
        <v>0</v>
      </c>
    </row>
    <row r="5019">
      <c r="A5019" s="1" t="s">
        <v>3673</v>
      </c>
      <c r="B5019" s="3" t="str">
        <f t="shared" si="1"/>
        <v>Unavailable</v>
      </c>
      <c r="C5019" s="5">
        <v>25992.0</v>
      </c>
      <c r="D5019" s="3">
        <f>IFERROR(__xludf.DUMMYFUNCTION("IFERROR(
IF(REGEXMATCH(LOWER(O5019),""k""),
VALUE(REGEXEXTRACT(O5019,""[0-9]+""))*1000,
VALUE(REGEXEXTRACT(O5019,""[0-9]+""))
),
0
)"),0.0)</f>
        <v>0</v>
      </c>
      <c r="E5019" s="1" t="s">
        <v>11</v>
      </c>
      <c r="F5019" s="1" t="s">
        <v>20</v>
      </c>
      <c r="G5019" s="4" t="b">
        <f t="shared" si="2"/>
        <v>1</v>
      </c>
      <c r="H5019" s="1" t="str">
        <f t="shared" si="3"/>
        <v>Currently Unavailable</v>
      </c>
      <c r="I5019" s="1" t="str">
        <f t="shared" si="4"/>
        <v>No Badges</v>
      </c>
      <c r="J5019" s="3">
        <f t="shared" si="5"/>
        <v>0</v>
      </c>
    </row>
    <row r="5020">
      <c r="A5020" s="1" t="s">
        <v>3674</v>
      </c>
      <c r="B5020" s="3" t="str">
        <f t="shared" si="1"/>
        <v>Unavailable</v>
      </c>
      <c r="C5020" s="5">
        <v>17903.0</v>
      </c>
      <c r="D5020" s="3">
        <f>IFERROR(__xludf.DUMMYFUNCTION("IFERROR(
IF(REGEXMATCH(LOWER(O5020),""k""),
VALUE(REGEXEXTRACT(O5020,""[0-9]+""))*1000,
VALUE(REGEXEXTRACT(O5020,""[0-9]+""))
),
0
)"),0.0)</f>
        <v>0</v>
      </c>
      <c r="E5020" s="1" t="s">
        <v>11</v>
      </c>
      <c r="F5020" s="1" t="s">
        <v>20</v>
      </c>
      <c r="G5020" s="4" t="b">
        <f t="shared" si="2"/>
        <v>1</v>
      </c>
      <c r="H5020" s="1" t="str">
        <f t="shared" si="3"/>
        <v>Currently Unavailable</v>
      </c>
      <c r="I5020" s="1" t="str">
        <f t="shared" si="4"/>
        <v>No Badges</v>
      </c>
      <c r="J5020" s="3">
        <f t="shared" si="5"/>
        <v>0</v>
      </c>
    </row>
    <row r="5021">
      <c r="A5021" s="1" t="s">
        <v>3675</v>
      </c>
      <c r="B5021" s="3" t="str">
        <f t="shared" si="1"/>
        <v>Unavailable</v>
      </c>
      <c r="C5021" s="5">
        <v>33695.0</v>
      </c>
      <c r="D5021" s="3">
        <f>IFERROR(__xludf.DUMMYFUNCTION("IFERROR(
IF(REGEXMATCH(LOWER(O5021),""k""),
VALUE(REGEXEXTRACT(O5021,""[0-9]+""))*1000,
VALUE(REGEXEXTRACT(O5021,""[0-9]+""))
),
0
)"),0.0)</f>
        <v>0</v>
      </c>
      <c r="E5021" s="1" t="s">
        <v>11</v>
      </c>
      <c r="F5021" s="1" t="s">
        <v>20</v>
      </c>
      <c r="G5021" s="4" t="b">
        <f t="shared" si="2"/>
        <v>1</v>
      </c>
      <c r="H5021" s="1" t="str">
        <f t="shared" si="3"/>
        <v>Currently Unavailable</v>
      </c>
      <c r="I5021" s="1" t="str">
        <f t="shared" si="4"/>
        <v>No Badges</v>
      </c>
      <c r="J5021" s="3">
        <f t="shared" si="5"/>
        <v>0</v>
      </c>
    </row>
    <row r="5022">
      <c r="A5022" s="1" t="s">
        <v>3676</v>
      </c>
      <c r="B5022" s="3" t="str">
        <f t="shared" si="1"/>
        <v>Unavailable</v>
      </c>
      <c r="C5022" s="5">
        <v>11325.0</v>
      </c>
      <c r="D5022" s="3">
        <f>IFERROR(__xludf.DUMMYFUNCTION("IFERROR(
IF(REGEXMATCH(LOWER(O5022),""k""),
VALUE(REGEXEXTRACT(O5022,""[0-9]+""))*1000,
VALUE(REGEXEXTRACT(O5022,""[0-9]+""))
),
0
)"),0.0)</f>
        <v>0</v>
      </c>
      <c r="E5022" s="1" t="s">
        <v>11</v>
      </c>
      <c r="F5022" s="1" t="s">
        <v>20</v>
      </c>
      <c r="G5022" s="4" t="b">
        <f t="shared" si="2"/>
        <v>1</v>
      </c>
      <c r="H5022" s="1" t="str">
        <f t="shared" si="3"/>
        <v>Currently Unavailable</v>
      </c>
      <c r="I5022" s="1" t="str">
        <f t="shared" si="4"/>
        <v>No Badges</v>
      </c>
      <c r="J5022" s="3">
        <f t="shared" si="5"/>
        <v>0</v>
      </c>
    </row>
    <row r="5023">
      <c r="A5023" s="1" t="s">
        <v>3677</v>
      </c>
      <c r="B5023" s="3" t="str">
        <f t="shared" si="1"/>
        <v>Unavailable</v>
      </c>
      <c r="C5023" s="3">
        <v>184.0</v>
      </c>
      <c r="D5023" s="3">
        <f>IFERROR(__xludf.DUMMYFUNCTION("IFERROR(
IF(REGEXMATCH(LOWER(O5023),""k""),
VALUE(REGEXEXTRACT(O5023,""[0-9]+""))*1000,
VALUE(REGEXEXTRACT(O5023,""[0-9]+""))
),
0
)"),0.0)</f>
        <v>0</v>
      </c>
      <c r="E5023" s="1" t="s">
        <v>11</v>
      </c>
      <c r="F5023" s="1" t="s">
        <v>20</v>
      </c>
      <c r="G5023" s="4" t="b">
        <f t="shared" si="2"/>
        <v>1</v>
      </c>
      <c r="H5023" s="1" t="str">
        <f t="shared" si="3"/>
        <v>Currently Unavailable</v>
      </c>
      <c r="I5023" s="1" t="str">
        <f t="shared" si="4"/>
        <v>No Badges</v>
      </c>
      <c r="J5023" s="3">
        <f t="shared" si="5"/>
        <v>0</v>
      </c>
    </row>
    <row r="5024">
      <c r="A5024" s="1" t="s">
        <v>3678</v>
      </c>
      <c r="B5024" s="3" t="str">
        <f t="shared" si="1"/>
        <v>Unavailable</v>
      </c>
      <c r="C5024" s="3">
        <v>240.0</v>
      </c>
      <c r="D5024" s="3">
        <f>IFERROR(__xludf.DUMMYFUNCTION("IFERROR(
IF(REGEXMATCH(LOWER(O5024),""k""),
VALUE(REGEXEXTRACT(O5024,""[0-9]+""))*1000,
VALUE(REGEXEXTRACT(O5024,""[0-9]+""))
),
0
)"),0.0)</f>
        <v>0</v>
      </c>
      <c r="E5024" s="1" t="s">
        <v>11</v>
      </c>
      <c r="F5024" s="1" t="s">
        <v>20</v>
      </c>
      <c r="G5024" s="4" t="b">
        <f t="shared" si="2"/>
        <v>1</v>
      </c>
      <c r="H5024" s="1" t="str">
        <f t="shared" si="3"/>
        <v>Currently Unavailable</v>
      </c>
      <c r="I5024" s="1" t="str">
        <f t="shared" si="4"/>
        <v>No Badges</v>
      </c>
      <c r="J5024" s="3">
        <f t="shared" si="5"/>
        <v>0</v>
      </c>
    </row>
    <row r="5025">
      <c r="A5025" s="1" t="s">
        <v>3679</v>
      </c>
      <c r="B5025" s="3" t="str">
        <f t="shared" si="1"/>
        <v>Unavailable</v>
      </c>
      <c r="C5025" s="3">
        <v>750.0</v>
      </c>
      <c r="D5025" s="3">
        <f>IFERROR(__xludf.DUMMYFUNCTION("IFERROR(
IF(REGEXMATCH(LOWER(O5025),""k""),
VALUE(REGEXEXTRACT(O5025,""[0-9]+""))*1000,
VALUE(REGEXEXTRACT(O5025,""[0-9]+""))
),
0
)"),0.0)</f>
        <v>0</v>
      </c>
      <c r="E5025" s="1" t="s">
        <v>11</v>
      </c>
      <c r="F5025" s="1" t="s">
        <v>20</v>
      </c>
      <c r="G5025" s="4" t="b">
        <f t="shared" si="2"/>
        <v>1</v>
      </c>
      <c r="H5025" s="1" t="str">
        <f t="shared" si="3"/>
        <v>Currently Unavailable</v>
      </c>
      <c r="I5025" s="1" t="str">
        <f t="shared" si="4"/>
        <v>No Badges</v>
      </c>
      <c r="J5025" s="3">
        <f t="shared" si="5"/>
        <v>0</v>
      </c>
    </row>
    <row r="5026">
      <c r="A5026" s="1" t="s">
        <v>3680</v>
      </c>
      <c r="B5026" s="3" t="str">
        <f t="shared" si="1"/>
        <v>Unavailable</v>
      </c>
      <c r="C5026" s="3">
        <v>2.0</v>
      </c>
      <c r="D5026" s="3">
        <f>IFERROR(__xludf.DUMMYFUNCTION("IFERROR(
IF(REGEXMATCH(LOWER(O5026),""k""),
VALUE(REGEXEXTRACT(O5026,""[0-9]+""))*1000,
VALUE(REGEXEXTRACT(O5026,""[0-9]+""))
),
0
)"),0.0)</f>
        <v>0</v>
      </c>
      <c r="E5026" s="1" t="s">
        <v>11</v>
      </c>
      <c r="F5026" s="1" t="s">
        <v>12</v>
      </c>
      <c r="G5026" s="4" t="b">
        <f t="shared" si="2"/>
        <v>1</v>
      </c>
      <c r="H5026" s="1" t="str">
        <f t="shared" si="3"/>
        <v>Currently Unavailable</v>
      </c>
      <c r="I5026" s="1" t="str">
        <f t="shared" si="4"/>
        <v>No Badges</v>
      </c>
      <c r="J5026" s="3">
        <f t="shared" si="5"/>
        <v>0</v>
      </c>
    </row>
    <row r="5027">
      <c r="A5027" s="1" t="s">
        <v>3681</v>
      </c>
      <c r="B5027" s="3" t="str">
        <f t="shared" si="1"/>
        <v>Unavailable</v>
      </c>
      <c r="C5027" s="3">
        <v>646.0</v>
      </c>
      <c r="D5027" s="3">
        <f>IFERROR(__xludf.DUMMYFUNCTION("IFERROR(
IF(REGEXMATCH(LOWER(O5027),""k""),
VALUE(REGEXEXTRACT(O5027,""[0-9]+""))*1000,
VALUE(REGEXEXTRACT(O5027,""[0-9]+""))
),
0
)"),0.0)</f>
        <v>0</v>
      </c>
      <c r="E5027" s="1" t="s">
        <v>11</v>
      </c>
      <c r="F5027" s="1" t="s">
        <v>20</v>
      </c>
      <c r="G5027" s="4" t="b">
        <f t="shared" si="2"/>
        <v>1</v>
      </c>
      <c r="H5027" s="1" t="str">
        <f t="shared" si="3"/>
        <v>Currently Unavailable</v>
      </c>
      <c r="I5027" s="1" t="str">
        <f t="shared" si="4"/>
        <v>No Badges</v>
      </c>
      <c r="J5027" s="3">
        <f t="shared" si="5"/>
        <v>0</v>
      </c>
    </row>
    <row r="5028">
      <c r="A5028" s="1" t="s">
        <v>3682</v>
      </c>
      <c r="B5028" s="3" t="str">
        <f t="shared" si="1"/>
        <v>Unavailable</v>
      </c>
      <c r="C5028" s="5">
        <v>14351.0</v>
      </c>
      <c r="D5028" s="3">
        <f>IFERROR(__xludf.DUMMYFUNCTION("IFERROR(
IF(REGEXMATCH(LOWER(O5028),""k""),
VALUE(REGEXEXTRACT(O5028,""[0-9]+""))*1000,
VALUE(REGEXEXTRACT(O5028,""[0-9]+""))
),
0
)"),0.0)</f>
        <v>0</v>
      </c>
      <c r="E5028" s="1" t="s">
        <v>11</v>
      </c>
      <c r="F5028" s="1" t="s">
        <v>20</v>
      </c>
      <c r="G5028" s="4" t="b">
        <f t="shared" si="2"/>
        <v>1</v>
      </c>
      <c r="H5028" s="1" t="str">
        <f t="shared" si="3"/>
        <v>Currently Unavailable</v>
      </c>
      <c r="I5028" s="1" t="str">
        <f t="shared" si="4"/>
        <v>No Badges</v>
      </c>
      <c r="J5028" s="3">
        <f t="shared" si="5"/>
        <v>0</v>
      </c>
    </row>
    <row r="5029">
      <c r="A5029" s="1" t="s">
        <v>3683</v>
      </c>
      <c r="B5029" s="3" t="str">
        <f t="shared" si="1"/>
        <v>Unavailable</v>
      </c>
      <c r="C5029" s="5">
        <v>10061.0</v>
      </c>
      <c r="D5029" s="3">
        <f>IFERROR(__xludf.DUMMYFUNCTION("IFERROR(
IF(REGEXMATCH(LOWER(O5029),""k""),
VALUE(REGEXEXTRACT(O5029,""[0-9]+""))*1000,
VALUE(REGEXEXTRACT(O5029,""[0-9]+""))
),
0
)"),0.0)</f>
        <v>0</v>
      </c>
      <c r="E5029" s="1" t="s">
        <v>11</v>
      </c>
      <c r="F5029" s="1" t="s">
        <v>20</v>
      </c>
      <c r="G5029" s="4" t="b">
        <f t="shared" si="2"/>
        <v>1</v>
      </c>
      <c r="H5029" s="1" t="str">
        <f t="shared" si="3"/>
        <v>Currently Unavailable</v>
      </c>
      <c r="I5029" s="1" t="str">
        <f t="shared" si="4"/>
        <v>No Badges</v>
      </c>
      <c r="J5029" s="3">
        <f t="shared" si="5"/>
        <v>0</v>
      </c>
    </row>
    <row r="5030">
      <c r="A5030" s="1" t="s">
        <v>3684</v>
      </c>
      <c r="B5030" s="3" t="str">
        <f t="shared" si="1"/>
        <v>Unavailable</v>
      </c>
      <c r="C5030" s="5">
        <v>2367.0</v>
      </c>
      <c r="D5030" s="3">
        <f>IFERROR(__xludf.DUMMYFUNCTION("IFERROR(
IF(REGEXMATCH(LOWER(O5030),""k""),
VALUE(REGEXEXTRACT(O5030,""[0-9]+""))*1000,
VALUE(REGEXEXTRACT(O5030,""[0-9]+""))
),
0
)"),0.0)</f>
        <v>0</v>
      </c>
      <c r="E5030" s="1" t="s">
        <v>11</v>
      </c>
      <c r="F5030" s="1" t="s">
        <v>20</v>
      </c>
      <c r="G5030" s="4" t="b">
        <f t="shared" si="2"/>
        <v>1</v>
      </c>
      <c r="H5030" s="1" t="str">
        <f t="shared" si="3"/>
        <v>Currently Unavailable</v>
      </c>
      <c r="I5030" s="1" t="str">
        <f t="shared" si="4"/>
        <v>No Badges</v>
      </c>
      <c r="J5030" s="3">
        <f t="shared" si="5"/>
        <v>0</v>
      </c>
    </row>
    <row r="5031">
      <c r="A5031" s="1" t="s">
        <v>3685</v>
      </c>
      <c r="B5031" s="3" t="str">
        <f t="shared" si="1"/>
        <v>Unavailable</v>
      </c>
      <c r="C5031" s="5">
        <v>4793.0</v>
      </c>
      <c r="D5031" s="3">
        <f>IFERROR(__xludf.DUMMYFUNCTION("IFERROR(
IF(REGEXMATCH(LOWER(O5031),""k""),
VALUE(REGEXEXTRACT(O5031,""[0-9]+""))*1000,
VALUE(REGEXEXTRACT(O5031,""[0-9]+""))
),
0
)"),0.0)</f>
        <v>0</v>
      </c>
      <c r="E5031" s="1" t="s">
        <v>11</v>
      </c>
      <c r="F5031" s="1" t="s">
        <v>20</v>
      </c>
      <c r="G5031" s="4" t="b">
        <f t="shared" si="2"/>
        <v>1</v>
      </c>
      <c r="H5031" s="1" t="str">
        <f t="shared" si="3"/>
        <v>Currently Unavailable</v>
      </c>
      <c r="I5031" s="1" t="str">
        <f t="shared" si="4"/>
        <v>No Badges</v>
      </c>
      <c r="J5031" s="3">
        <f t="shared" si="5"/>
        <v>0</v>
      </c>
    </row>
    <row r="5032">
      <c r="A5032" s="1" t="s">
        <v>3686</v>
      </c>
      <c r="B5032" s="3" t="str">
        <f t="shared" si="1"/>
        <v>Unavailable</v>
      </c>
      <c r="C5032" s="5">
        <v>41835.0</v>
      </c>
      <c r="D5032" s="3">
        <f>IFERROR(__xludf.DUMMYFUNCTION("IFERROR(
IF(REGEXMATCH(LOWER(O5032),""k""),
VALUE(REGEXEXTRACT(O5032,""[0-9]+""))*1000,
VALUE(REGEXEXTRACT(O5032,""[0-9]+""))
),
0
)"),0.0)</f>
        <v>0</v>
      </c>
      <c r="E5032" s="1" t="s">
        <v>11</v>
      </c>
      <c r="F5032" s="1" t="s">
        <v>20</v>
      </c>
      <c r="G5032" s="4" t="b">
        <f t="shared" si="2"/>
        <v>1</v>
      </c>
      <c r="H5032" s="1" t="str">
        <f t="shared" si="3"/>
        <v>Currently Unavailable</v>
      </c>
      <c r="I5032" s="1" t="str">
        <f t="shared" si="4"/>
        <v>No Badges</v>
      </c>
      <c r="J5032" s="3">
        <f t="shared" si="5"/>
        <v>0</v>
      </c>
    </row>
    <row r="5033">
      <c r="A5033" s="1" t="s">
        <v>3687</v>
      </c>
      <c r="B5033" s="3" t="str">
        <f t="shared" si="1"/>
        <v>Unavailable</v>
      </c>
      <c r="C5033" s="5">
        <v>25884.0</v>
      </c>
      <c r="D5033" s="3">
        <f>IFERROR(__xludf.DUMMYFUNCTION("IFERROR(
IF(REGEXMATCH(LOWER(O5033),""k""),
VALUE(REGEXEXTRACT(O5033,""[0-9]+""))*1000,
VALUE(REGEXEXTRACT(O5033,""[0-9]+""))
),
0
)"),0.0)</f>
        <v>0</v>
      </c>
      <c r="E5033" s="1" t="s">
        <v>11</v>
      </c>
      <c r="F5033" s="1" t="s">
        <v>12</v>
      </c>
      <c r="G5033" s="4" t="b">
        <f t="shared" si="2"/>
        <v>1</v>
      </c>
      <c r="H5033" s="1" t="str">
        <f t="shared" si="3"/>
        <v>Currently Unavailable</v>
      </c>
      <c r="I5033" s="1" t="str">
        <f t="shared" si="4"/>
        <v>No Badges</v>
      </c>
      <c r="J5033" s="3">
        <f t="shared" si="5"/>
        <v>0</v>
      </c>
    </row>
    <row r="5034">
      <c r="A5034" s="1" t="s">
        <v>3688</v>
      </c>
      <c r="B5034" s="3" t="str">
        <f t="shared" si="1"/>
        <v>Unavailable</v>
      </c>
      <c r="C5034" s="5">
        <v>18508.0</v>
      </c>
      <c r="D5034" s="3">
        <f>IFERROR(__xludf.DUMMYFUNCTION("IFERROR(
IF(REGEXMATCH(LOWER(O5034),""k""),
VALUE(REGEXEXTRACT(O5034,""[0-9]+""))*1000,
VALUE(REGEXEXTRACT(O5034,""[0-9]+""))
),
0
)"),0.0)</f>
        <v>0</v>
      </c>
      <c r="E5034" s="1" t="s">
        <v>11</v>
      </c>
      <c r="F5034" s="1" t="s">
        <v>20</v>
      </c>
      <c r="G5034" s="4" t="b">
        <f t="shared" si="2"/>
        <v>1</v>
      </c>
      <c r="H5034" s="1" t="str">
        <f t="shared" si="3"/>
        <v>Currently Unavailable</v>
      </c>
      <c r="I5034" s="1" t="str">
        <f t="shared" si="4"/>
        <v>No Badges</v>
      </c>
      <c r="J5034" s="3">
        <f t="shared" si="5"/>
        <v>0</v>
      </c>
    </row>
    <row r="5035">
      <c r="A5035" s="1" t="s">
        <v>3689</v>
      </c>
      <c r="B5035" s="3" t="str">
        <f t="shared" si="1"/>
        <v>Unavailable</v>
      </c>
      <c r="C5035" s="5">
        <v>98320.0</v>
      </c>
      <c r="D5035" s="3">
        <f>IFERROR(__xludf.DUMMYFUNCTION("IFERROR(
IF(REGEXMATCH(LOWER(O5035),""k""),
VALUE(REGEXEXTRACT(O5035,""[0-9]+""))*1000,
VALUE(REGEXEXTRACT(O5035,""[0-9]+""))
),
0
)"),0.0)</f>
        <v>0</v>
      </c>
      <c r="E5035" s="1" t="s">
        <v>11</v>
      </c>
      <c r="F5035" s="1" t="s">
        <v>20</v>
      </c>
      <c r="G5035" s="4" t="b">
        <f t="shared" si="2"/>
        <v>1</v>
      </c>
      <c r="H5035" s="1" t="str">
        <f t="shared" si="3"/>
        <v>Currently Unavailable</v>
      </c>
      <c r="I5035" s="1" t="str">
        <f t="shared" si="4"/>
        <v>No Badges</v>
      </c>
      <c r="J5035" s="3">
        <f t="shared" si="5"/>
        <v>0</v>
      </c>
    </row>
    <row r="5036">
      <c r="A5036" s="1" t="s">
        <v>3690</v>
      </c>
      <c r="B5036" s="3" t="str">
        <f t="shared" si="1"/>
        <v>Unavailable</v>
      </c>
      <c r="C5036" s="5">
        <v>13329.0</v>
      </c>
      <c r="D5036" s="3">
        <f>IFERROR(__xludf.DUMMYFUNCTION("IFERROR(
IF(REGEXMATCH(LOWER(O5036),""k""),
VALUE(REGEXEXTRACT(O5036,""[0-9]+""))*1000,
VALUE(REGEXEXTRACT(O5036,""[0-9]+""))
),
0
)"),0.0)</f>
        <v>0</v>
      </c>
      <c r="E5036" s="1" t="s">
        <v>11</v>
      </c>
      <c r="F5036" s="1" t="s">
        <v>20</v>
      </c>
      <c r="G5036" s="4" t="b">
        <f t="shared" si="2"/>
        <v>1</v>
      </c>
      <c r="H5036" s="1" t="str">
        <f t="shared" si="3"/>
        <v>Currently Unavailable</v>
      </c>
      <c r="I5036" s="1" t="str">
        <f t="shared" si="4"/>
        <v>No Badges</v>
      </c>
      <c r="J5036" s="3">
        <f t="shared" si="5"/>
        <v>0</v>
      </c>
    </row>
    <row r="5037">
      <c r="A5037" s="1" t="s">
        <v>3691</v>
      </c>
      <c r="B5037" s="3" t="str">
        <f t="shared" si="1"/>
        <v>Unavailable</v>
      </c>
      <c r="C5037" s="5">
        <v>5549.0</v>
      </c>
      <c r="D5037" s="3">
        <f>IFERROR(__xludf.DUMMYFUNCTION("IFERROR(
IF(REGEXMATCH(LOWER(O5037),""k""),
VALUE(REGEXEXTRACT(O5037,""[0-9]+""))*1000,
VALUE(REGEXEXTRACT(O5037,""[0-9]+""))
),
0
)"),0.0)</f>
        <v>0</v>
      </c>
      <c r="E5037" s="1" t="s">
        <v>11</v>
      </c>
      <c r="F5037" s="1" t="s">
        <v>20</v>
      </c>
      <c r="G5037" s="4" t="b">
        <f t="shared" si="2"/>
        <v>1</v>
      </c>
      <c r="H5037" s="1" t="str">
        <f t="shared" si="3"/>
        <v>Currently Unavailable</v>
      </c>
      <c r="I5037" s="1" t="str">
        <f t="shared" si="4"/>
        <v>No Badges</v>
      </c>
      <c r="J5037" s="3">
        <f t="shared" si="5"/>
        <v>0</v>
      </c>
    </row>
    <row r="5038">
      <c r="A5038" s="1" t="s">
        <v>3692</v>
      </c>
      <c r="B5038" s="3" t="str">
        <f t="shared" si="1"/>
        <v>Unavailable</v>
      </c>
      <c r="C5038" s="5">
        <v>22216.0</v>
      </c>
      <c r="D5038" s="3">
        <f>IFERROR(__xludf.DUMMYFUNCTION("IFERROR(
IF(REGEXMATCH(LOWER(O5038),""k""),
VALUE(REGEXEXTRACT(O5038,""[0-9]+""))*1000,
VALUE(REGEXEXTRACT(O5038,""[0-9]+""))
),
0
)"),0.0)</f>
        <v>0</v>
      </c>
      <c r="E5038" s="1" t="s">
        <v>11</v>
      </c>
      <c r="F5038" s="1" t="s">
        <v>20</v>
      </c>
      <c r="G5038" s="4" t="b">
        <f t="shared" si="2"/>
        <v>1</v>
      </c>
      <c r="H5038" s="1" t="str">
        <f t="shared" si="3"/>
        <v>Currently Unavailable</v>
      </c>
      <c r="I5038" s="1" t="str">
        <f t="shared" si="4"/>
        <v>No Badges</v>
      </c>
      <c r="J5038" s="3">
        <f t="shared" si="5"/>
        <v>0</v>
      </c>
    </row>
    <row r="5039">
      <c r="A5039" s="1" t="s">
        <v>3693</v>
      </c>
      <c r="B5039" s="3" t="str">
        <f t="shared" si="1"/>
        <v>Unavailable</v>
      </c>
      <c r="C5039" s="5">
        <v>18554.0</v>
      </c>
      <c r="D5039" s="3">
        <f>IFERROR(__xludf.DUMMYFUNCTION("IFERROR(
IF(REGEXMATCH(LOWER(O5039),""k""),
VALUE(REGEXEXTRACT(O5039,""[0-9]+""))*1000,
VALUE(REGEXEXTRACT(O5039,""[0-9]+""))
),
0
)"),0.0)</f>
        <v>0</v>
      </c>
      <c r="E5039" s="1" t="s">
        <v>11</v>
      </c>
      <c r="F5039" s="1" t="s">
        <v>20</v>
      </c>
      <c r="G5039" s="4" t="b">
        <f t="shared" si="2"/>
        <v>1</v>
      </c>
      <c r="H5039" s="1" t="str">
        <f t="shared" si="3"/>
        <v>Currently Unavailable</v>
      </c>
      <c r="I5039" s="1" t="str">
        <f t="shared" si="4"/>
        <v>No Badges</v>
      </c>
      <c r="J5039" s="3">
        <f t="shared" si="5"/>
        <v>0</v>
      </c>
    </row>
    <row r="5040">
      <c r="A5040" s="1" t="s">
        <v>3694</v>
      </c>
      <c r="B5040" s="3" t="str">
        <f t="shared" si="1"/>
        <v>Unavailable</v>
      </c>
      <c r="C5040" s="5">
        <v>8775.0</v>
      </c>
      <c r="D5040" s="3">
        <f>IFERROR(__xludf.DUMMYFUNCTION("IFERROR(
IF(REGEXMATCH(LOWER(O5040),""k""),
VALUE(REGEXEXTRACT(O5040,""[0-9]+""))*1000,
VALUE(REGEXEXTRACT(O5040,""[0-9]+""))
),
0
)"),0.0)</f>
        <v>0</v>
      </c>
      <c r="E5040" s="1" t="s">
        <v>11</v>
      </c>
      <c r="F5040" s="1" t="s">
        <v>20</v>
      </c>
      <c r="G5040" s="4" t="b">
        <f t="shared" si="2"/>
        <v>1</v>
      </c>
      <c r="H5040" s="1" t="str">
        <f t="shared" si="3"/>
        <v>Currently Unavailable</v>
      </c>
      <c r="I5040" s="1" t="str">
        <f t="shared" si="4"/>
        <v>No Badges</v>
      </c>
      <c r="J5040" s="3">
        <f t="shared" si="5"/>
        <v>0</v>
      </c>
    </row>
    <row r="5041">
      <c r="A5041" s="1" t="s">
        <v>3695</v>
      </c>
      <c r="B5041" s="3" t="str">
        <f t="shared" si="1"/>
        <v>Unavailable</v>
      </c>
      <c r="C5041" s="5">
        <v>19684.0</v>
      </c>
      <c r="D5041" s="3">
        <f>IFERROR(__xludf.DUMMYFUNCTION("IFERROR(
IF(REGEXMATCH(LOWER(O5041),""k""),
VALUE(REGEXEXTRACT(O5041,""[0-9]+""))*1000,
VALUE(REGEXEXTRACT(O5041,""[0-9]+""))
),
0
)"),0.0)</f>
        <v>0</v>
      </c>
      <c r="E5041" s="1" t="s">
        <v>11</v>
      </c>
      <c r="F5041" s="1" t="s">
        <v>20</v>
      </c>
      <c r="G5041" s="4" t="b">
        <f t="shared" si="2"/>
        <v>1</v>
      </c>
      <c r="H5041" s="1" t="str">
        <f t="shared" si="3"/>
        <v>Currently Unavailable</v>
      </c>
      <c r="I5041" s="1" t="str">
        <f t="shared" si="4"/>
        <v>No Badges</v>
      </c>
      <c r="J5041" s="3">
        <f t="shared" si="5"/>
        <v>0</v>
      </c>
    </row>
    <row r="5042">
      <c r="A5042" s="1" t="s">
        <v>3696</v>
      </c>
      <c r="B5042" s="3" t="str">
        <f t="shared" si="1"/>
        <v>Unavailable</v>
      </c>
      <c r="C5042" s="5">
        <v>36555.0</v>
      </c>
      <c r="D5042" s="3">
        <f>IFERROR(__xludf.DUMMYFUNCTION("IFERROR(
IF(REGEXMATCH(LOWER(O5042),""k""),
VALUE(REGEXEXTRACT(O5042,""[0-9]+""))*1000,
VALUE(REGEXEXTRACT(O5042,""[0-9]+""))
),
0
)"),0.0)</f>
        <v>0</v>
      </c>
      <c r="E5042" s="1" t="s">
        <v>11</v>
      </c>
      <c r="F5042" s="1" t="s">
        <v>20</v>
      </c>
      <c r="G5042" s="4" t="b">
        <f t="shared" si="2"/>
        <v>1</v>
      </c>
      <c r="H5042" s="1" t="str">
        <f t="shared" si="3"/>
        <v>Currently Unavailable</v>
      </c>
      <c r="I5042" s="1" t="str">
        <f t="shared" si="4"/>
        <v>No Badges</v>
      </c>
      <c r="J5042" s="3">
        <f t="shared" si="5"/>
        <v>0</v>
      </c>
    </row>
    <row r="5043">
      <c r="A5043" s="1" t="s">
        <v>3697</v>
      </c>
      <c r="B5043" s="3" t="str">
        <f t="shared" si="1"/>
        <v>Unavailable</v>
      </c>
      <c r="C5043" s="3">
        <v>2.0</v>
      </c>
      <c r="D5043" s="3">
        <f>IFERROR(__xludf.DUMMYFUNCTION("IFERROR(
IF(REGEXMATCH(LOWER(O5043),""k""),
VALUE(REGEXEXTRACT(O5043,""[0-9]+""))*1000,
VALUE(REGEXEXTRACT(O5043,""[0-9]+""))
),
0
)"),0.0)</f>
        <v>0</v>
      </c>
      <c r="E5043" s="1" t="s">
        <v>11</v>
      </c>
      <c r="F5043" s="1" t="s">
        <v>20</v>
      </c>
      <c r="G5043" s="4" t="b">
        <f t="shared" si="2"/>
        <v>1</v>
      </c>
      <c r="H5043" s="1" t="str">
        <f t="shared" si="3"/>
        <v>Currently Unavailable</v>
      </c>
      <c r="I5043" s="1" t="str">
        <f t="shared" si="4"/>
        <v>No Badges</v>
      </c>
      <c r="J5043" s="3">
        <f t="shared" si="5"/>
        <v>0</v>
      </c>
    </row>
    <row r="5044">
      <c r="A5044" s="1" t="s">
        <v>3698</v>
      </c>
      <c r="B5044" s="3" t="str">
        <f t="shared" si="1"/>
        <v>Unavailable</v>
      </c>
      <c r="C5044" s="5">
        <v>1588.0</v>
      </c>
      <c r="D5044" s="3">
        <f>IFERROR(__xludf.DUMMYFUNCTION("IFERROR(
IF(REGEXMATCH(LOWER(O5044),""k""),
VALUE(REGEXEXTRACT(O5044,""[0-9]+""))*1000,
VALUE(REGEXEXTRACT(O5044,""[0-9]+""))
),
0
)"),0.0)</f>
        <v>0</v>
      </c>
      <c r="E5044" s="1" t="s">
        <v>11</v>
      </c>
      <c r="F5044" s="1" t="s">
        <v>20</v>
      </c>
      <c r="G5044" s="4" t="b">
        <f t="shared" si="2"/>
        <v>1</v>
      </c>
      <c r="H5044" s="1" t="str">
        <f t="shared" si="3"/>
        <v>Currently Unavailable</v>
      </c>
      <c r="I5044" s="1" t="str">
        <f t="shared" si="4"/>
        <v>No Badges</v>
      </c>
      <c r="J5044" s="3">
        <f t="shared" si="5"/>
        <v>0</v>
      </c>
    </row>
    <row r="5045">
      <c r="A5045" s="1" t="s">
        <v>3699</v>
      </c>
      <c r="B5045" s="3" t="str">
        <f t="shared" si="1"/>
        <v>Unavailable</v>
      </c>
      <c r="C5045" s="5">
        <v>3756.0</v>
      </c>
      <c r="D5045" s="3">
        <f>IFERROR(__xludf.DUMMYFUNCTION("IFERROR(
IF(REGEXMATCH(LOWER(O5045),""k""),
VALUE(REGEXEXTRACT(O5045,""[0-9]+""))*1000,
VALUE(REGEXEXTRACT(O5045,""[0-9]+""))
),
0
)"),0.0)</f>
        <v>0</v>
      </c>
      <c r="E5045" s="1" t="s">
        <v>11</v>
      </c>
      <c r="F5045" s="1" t="s">
        <v>20</v>
      </c>
      <c r="G5045" s="4" t="b">
        <f t="shared" si="2"/>
        <v>1</v>
      </c>
      <c r="H5045" s="1" t="str">
        <f t="shared" si="3"/>
        <v>Currently Unavailable</v>
      </c>
      <c r="I5045" s="1" t="str">
        <f t="shared" si="4"/>
        <v>No Badges</v>
      </c>
      <c r="J5045" s="3">
        <f t="shared" si="5"/>
        <v>0</v>
      </c>
    </row>
    <row r="5046">
      <c r="A5046" s="1" t="s">
        <v>3700</v>
      </c>
      <c r="B5046" s="3" t="str">
        <f t="shared" si="1"/>
        <v>Unavailable</v>
      </c>
      <c r="C5046" s="5">
        <v>6496.0</v>
      </c>
      <c r="D5046" s="3">
        <f>IFERROR(__xludf.DUMMYFUNCTION("IFERROR(
IF(REGEXMATCH(LOWER(O5046),""k""),
VALUE(REGEXEXTRACT(O5046,""[0-9]+""))*1000,
VALUE(REGEXEXTRACT(O5046,""[0-9]+""))
),
0
)"),0.0)</f>
        <v>0</v>
      </c>
      <c r="E5046" s="1" t="s">
        <v>11</v>
      </c>
      <c r="F5046" s="1" t="s">
        <v>20</v>
      </c>
      <c r="G5046" s="4" t="b">
        <f t="shared" si="2"/>
        <v>1</v>
      </c>
      <c r="H5046" s="1" t="str">
        <f t="shared" si="3"/>
        <v>Currently Unavailable</v>
      </c>
      <c r="I5046" s="1" t="str">
        <f t="shared" si="4"/>
        <v>No Badges</v>
      </c>
      <c r="J5046" s="3">
        <f t="shared" si="5"/>
        <v>0</v>
      </c>
    </row>
    <row r="5047">
      <c r="A5047" s="1" t="s">
        <v>3701</v>
      </c>
      <c r="B5047" s="3" t="str">
        <f t="shared" si="1"/>
        <v>Unavailable</v>
      </c>
      <c r="C5047" s="5">
        <v>40851.0</v>
      </c>
      <c r="D5047" s="3">
        <f>IFERROR(__xludf.DUMMYFUNCTION("IFERROR(
IF(REGEXMATCH(LOWER(O5047),""k""),
VALUE(REGEXEXTRACT(O5047,""[0-9]+""))*1000,
VALUE(REGEXEXTRACT(O5047,""[0-9]+""))
),
0
)"),0.0)</f>
        <v>0</v>
      </c>
      <c r="E5047" s="1" t="s">
        <v>11</v>
      </c>
      <c r="F5047" s="1" t="s">
        <v>20</v>
      </c>
      <c r="G5047" s="4" t="b">
        <f t="shared" si="2"/>
        <v>1</v>
      </c>
      <c r="H5047" s="1" t="str">
        <f t="shared" si="3"/>
        <v>Currently Unavailable</v>
      </c>
      <c r="I5047" s="1" t="str">
        <f t="shared" si="4"/>
        <v>No Badges</v>
      </c>
      <c r="J5047" s="3">
        <f t="shared" si="5"/>
        <v>0</v>
      </c>
    </row>
    <row r="5048">
      <c r="A5048" s="1" t="s">
        <v>3702</v>
      </c>
      <c r="B5048" s="3" t="str">
        <f t="shared" si="1"/>
        <v>Unavailable</v>
      </c>
      <c r="C5048" s="5">
        <v>3690.0</v>
      </c>
      <c r="D5048" s="3">
        <f>IFERROR(__xludf.DUMMYFUNCTION("IFERROR(
IF(REGEXMATCH(LOWER(O5048),""k""),
VALUE(REGEXEXTRACT(O5048,""[0-9]+""))*1000,
VALUE(REGEXEXTRACT(O5048,""[0-9]+""))
),
0
)"),0.0)</f>
        <v>0</v>
      </c>
      <c r="E5048" s="1" t="s">
        <v>11</v>
      </c>
      <c r="F5048" s="1" t="s">
        <v>20</v>
      </c>
      <c r="G5048" s="4" t="b">
        <f t="shared" si="2"/>
        <v>1</v>
      </c>
      <c r="H5048" s="1" t="str">
        <f t="shared" si="3"/>
        <v>Currently Unavailable</v>
      </c>
      <c r="I5048" s="1" t="str">
        <f t="shared" si="4"/>
        <v>No Badges</v>
      </c>
      <c r="J5048" s="3">
        <f t="shared" si="5"/>
        <v>0</v>
      </c>
    </row>
    <row r="5049">
      <c r="A5049" s="1" t="s">
        <v>3703</v>
      </c>
      <c r="B5049" s="3" t="str">
        <f t="shared" si="1"/>
        <v>Unavailable</v>
      </c>
      <c r="C5049" s="5">
        <v>4923.0</v>
      </c>
      <c r="D5049" s="3">
        <f>IFERROR(__xludf.DUMMYFUNCTION("IFERROR(
IF(REGEXMATCH(LOWER(O5049),""k""),
VALUE(REGEXEXTRACT(O5049,""[0-9]+""))*1000,
VALUE(REGEXEXTRACT(O5049,""[0-9]+""))
),
0
)"),0.0)</f>
        <v>0</v>
      </c>
      <c r="E5049" s="1" t="s">
        <v>11</v>
      </c>
      <c r="F5049" s="1" t="s">
        <v>20</v>
      </c>
      <c r="G5049" s="4" t="b">
        <f t="shared" si="2"/>
        <v>1</v>
      </c>
      <c r="H5049" s="1" t="str">
        <f t="shared" si="3"/>
        <v>Currently Unavailable</v>
      </c>
      <c r="I5049" s="1" t="str">
        <f t="shared" si="4"/>
        <v>No Badges</v>
      </c>
      <c r="J5049" s="3">
        <f t="shared" si="5"/>
        <v>0</v>
      </c>
    </row>
    <row r="5050">
      <c r="A5050" s="1" t="s">
        <v>3704</v>
      </c>
      <c r="B5050" s="3" t="str">
        <f t="shared" si="1"/>
        <v>Unavailable</v>
      </c>
      <c r="C5050" s="5">
        <v>4153.0</v>
      </c>
      <c r="D5050" s="3">
        <f>IFERROR(__xludf.DUMMYFUNCTION("IFERROR(
IF(REGEXMATCH(LOWER(O5050),""k""),
VALUE(REGEXEXTRACT(O5050,""[0-9]+""))*1000,
VALUE(REGEXEXTRACT(O5050,""[0-9]+""))
),
0
)"),0.0)</f>
        <v>0</v>
      </c>
      <c r="E5050" s="1" t="s">
        <v>11</v>
      </c>
      <c r="F5050" s="1" t="s">
        <v>20</v>
      </c>
      <c r="G5050" s="4" t="b">
        <f t="shared" si="2"/>
        <v>1</v>
      </c>
      <c r="H5050" s="1" t="str">
        <f t="shared" si="3"/>
        <v>Currently Unavailable</v>
      </c>
      <c r="I5050" s="1" t="str">
        <f t="shared" si="4"/>
        <v>No Badges</v>
      </c>
      <c r="J5050" s="3">
        <f t="shared" si="5"/>
        <v>0</v>
      </c>
    </row>
    <row r="5051">
      <c r="A5051" s="1" t="s">
        <v>3705</v>
      </c>
      <c r="B5051" s="3" t="str">
        <f t="shared" si="1"/>
        <v>Unavailable</v>
      </c>
      <c r="C5051" s="5">
        <v>18184.0</v>
      </c>
      <c r="D5051" s="3">
        <f>IFERROR(__xludf.DUMMYFUNCTION("IFERROR(
IF(REGEXMATCH(LOWER(O5051),""k""),
VALUE(REGEXEXTRACT(O5051,""[0-9]+""))*1000,
VALUE(REGEXEXTRACT(O5051,""[0-9]+""))
),
0
)"),0.0)</f>
        <v>0</v>
      </c>
      <c r="E5051" s="1" t="s">
        <v>11</v>
      </c>
      <c r="F5051" s="1" t="s">
        <v>20</v>
      </c>
      <c r="G5051" s="4" t="b">
        <f t="shared" si="2"/>
        <v>1</v>
      </c>
      <c r="H5051" s="1" t="str">
        <f t="shared" si="3"/>
        <v>Currently Unavailable</v>
      </c>
      <c r="I5051" s="1" t="str">
        <f t="shared" si="4"/>
        <v>No Badges</v>
      </c>
      <c r="J5051" s="3">
        <f t="shared" si="5"/>
        <v>0</v>
      </c>
    </row>
    <row r="5052">
      <c r="A5052" s="1" t="s">
        <v>3706</v>
      </c>
      <c r="B5052" s="3" t="str">
        <f t="shared" si="1"/>
        <v>Unavailable</v>
      </c>
      <c r="C5052" s="5">
        <v>1586.0</v>
      </c>
      <c r="D5052" s="3">
        <f>IFERROR(__xludf.DUMMYFUNCTION("IFERROR(
IF(REGEXMATCH(LOWER(O5052),""k""),
VALUE(REGEXEXTRACT(O5052,""[0-9]+""))*1000,
VALUE(REGEXEXTRACT(O5052,""[0-9]+""))
),
0
)"),0.0)</f>
        <v>0</v>
      </c>
      <c r="E5052" s="1" t="s">
        <v>11</v>
      </c>
      <c r="F5052" s="1" t="s">
        <v>20</v>
      </c>
      <c r="G5052" s="4" t="b">
        <f t="shared" si="2"/>
        <v>1</v>
      </c>
      <c r="H5052" s="1" t="str">
        <f t="shared" si="3"/>
        <v>Currently Unavailable</v>
      </c>
      <c r="I5052" s="1" t="str">
        <f t="shared" si="4"/>
        <v>No Badges</v>
      </c>
      <c r="J5052" s="3">
        <f t="shared" si="5"/>
        <v>0</v>
      </c>
    </row>
    <row r="5053">
      <c r="A5053" s="1" t="s">
        <v>3707</v>
      </c>
      <c r="B5053" s="3" t="str">
        <f t="shared" si="1"/>
        <v>Unavailable</v>
      </c>
      <c r="C5053" s="3">
        <v>930.0</v>
      </c>
      <c r="D5053" s="3">
        <f>IFERROR(__xludf.DUMMYFUNCTION("IFERROR(
IF(REGEXMATCH(LOWER(O5053),""k""),
VALUE(REGEXEXTRACT(O5053,""[0-9]+""))*1000,
VALUE(REGEXEXTRACT(O5053,""[0-9]+""))
),
0
)"),0.0)</f>
        <v>0</v>
      </c>
      <c r="E5053" s="1" t="s">
        <v>11</v>
      </c>
      <c r="F5053" s="1" t="s">
        <v>20</v>
      </c>
      <c r="G5053" s="4" t="b">
        <f t="shared" si="2"/>
        <v>1</v>
      </c>
      <c r="H5053" s="1" t="str">
        <f t="shared" si="3"/>
        <v>Currently Unavailable</v>
      </c>
      <c r="I5053" s="1" t="str">
        <f t="shared" si="4"/>
        <v>No Badges</v>
      </c>
      <c r="J5053" s="3">
        <f t="shared" si="5"/>
        <v>0</v>
      </c>
    </row>
    <row r="5054">
      <c r="A5054" s="1" t="s">
        <v>3708</v>
      </c>
      <c r="B5054" s="3" t="str">
        <f t="shared" si="1"/>
        <v>Unavailable</v>
      </c>
      <c r="C5054" s="5">
        <v>1207.0</v>
      </c>
      <c r="D5054" s="3">
        <f>IFERROR(__xludf.DUMMYFUNCTION("IFERROR(
IF(REGEXMATCH(LOWER(O5054),""k""),
VALUE(REGEXEXTRACT(O5054,""[0-9]+""))*1000,
VALUE(REGEXEXTRACT(O5054,""[0-9]+""))
),
0
)"),0.0)</f>
        <v>0</v>
      </c>
      <c r="E5054" s="1" t="s">
        <v>11</v>
      </c>
      <c r="F5054" s="1" t="s">
        <v>20</v>
      </c>
      <c r="G5054" s="4" t="b">
        <f t="shared" si="2"/>
        <v>1</v>
      </c>
      <c r="H5054" s="1" t="str">
        <f t="shared" si="3"/>
        <v>Currently Unavailable</v>
      </c>
      <c r="I5054" s="1" t="str">
        <f t="shared" si="4"/>
        <v>No Badges</v>
      </c>
      <c r="J5054" s="3">
        <f t="shared" si="5"/>
        <v>0</v>
      </c>
    </row>
    <row r="5055">
      <c r="A5055" s="1" t="s">
        <v>3709</v>
      </c>
      <c r="B5055" s="3" t="str">
        <f t="shared" si="1"/>
        <v>Unavailable</v>
      </c>
      <c r="C5055" s="5">
        <v>25897.0</v>
      </c>
      <c r="D5055" s="3">
        <f>IFERROR(__xludf.DUMMYFUNCTION("IFERROR(
IF(REGEXMATCH(LOWER(O5055),""k""),
VALUE(REGEXEXTRACT(O5055,""[0-9]+""))*1000,
VALUE(REGEXEXTRACT(O5055,""[0-9]+""))
),
0
)"),0.0)</f>
        <v>0</v>
      </c>
      <c r="E5055" s="1" t="s">
        <v>11</v>
      </c>
      <c r="F5055" s="1" t="s">
        <v>20</v>
      </c>
      <c r="G5055" s="4" t="b">
        <f t="shared" si="2"/>
        <v>1</v>
      </c>
      <c r="H5055" s="1" t="str">
        <f t="shared" si="3"/>
        <v>Currently Unavailable</v>
      </c>
      <c r="I5055" s="1" t="str">
        <f t="shared" si="4"/>
        <v>No Badges</v>
      </c>
      <c r="J5055" s="3">
        <f t="shared" si="5"/>
        <v>0</v>
      </c>
    </row>
    <row r="5056">
      <c r="A5056" s="1" t="s">
        <v>3710</v>
      </c>
      <c r="B5056" s="3" t="str">
        <f t="shared" si="1"/>
        <v>Unavailable</v>
      </c>
      <c r="C5056" s="5">
        <v>8064.0</v>
      </c>
      <c r="D5056" s="3">
        <f>IFERROR(__xludf.DUMMYFUNCTION("IFERROR(
IF(REGEXMATCH(LOWER(O5056),""k""),
VALUE(REGEXEXTRACT(O5056,""[0-9]+""))*1000,
VALUE(REGEXEXTRACT(O5056,""[0-9]+""))
),
0
)"),0.0)</f>
        <v>0</v>
      </c>
      <c r="E5056" s="1" t="s">
        <v>11</v>
      </c>
      <c r="F5056" s="1" t="s">
        <v>20</v>
      </c>
      <c r="G5056" s="4" t="b">
        <f t="shared" si="2"/>
        <v>1</v>
      </c>
      <c r="H5056" s="1" t="str">
        <f t="shared" si="3"/>
        <v>Currently Unavailable</v>
      </c>
      <c r="I5056" s="1" t="str">
        <f t="shared" si="4"/>
        <v>No Badges</v>
      </c>
      <c r="J5056" s="3">
        <f t="shared" si="5"/>
        <v>0</v>
      </c>
    </row>
    <row r="5057">
      <c r="A5057" s="1" t="s">
        <v>3711</v>
      </c>
      <c r="B5057" s="3" t="str">
        <f t="shared" si="1"/>
        <v>Unavailable</v>
      </c>
      <c r="C5057" s="5">
        <v>3077.0</v>
      </c>
      <c r="D5057" s="3">
        <f>IFERROR(__xludf.DUMMYFUNCTION("IFERROR(
IF(REGEXMATCH(LOWER(O5057),""k""),
VALUE(REGEXEXTRACT(O5057,""[0-9]+""))*1000,
VALUE(REGEXEXTRACT(O5057,""[0-9]+""))
),
0
)"),0.0)</f>
        <v>0</v>
      </c>
      <c r="E5057" s="1" t="s">
        <v>11</v>
      </c>
      <c r="F5057" s="1" t="s">
        <v>20</v>
      </c>
      <c r="G5057" s="4" t="b">
        <f t="shared" si="2"/>
        <v>1</v>
      </c>
      <c r="H5057" s="1" t="str">
        <f t="shared" si="3"/>
        <v>Currently Unavailable</v>
      </c>
      <c r="I5057" s="1" t="str">
        <f t="shared" si="4"/>
        <v>No Badges</v>
      </c>
      <c r="J5057" s="3">
        <f t="shared" si="5"/>
        <v>0</v>
      </c>
    </row>
    <row r="5058">
      <c r="A5058" s="1" t="s">
        <v>3712</v>
      </c>
      <c r="B5058" s="3" t="str">
        <f t="shared" si="1"/>
        <v>Unavailable</v>
      </c>
      <c r="C5058" s="5">
        <v>57959.0</v>
      </c>
      <c r="D5058" s="3">
        <f>IFERROR(__xludf.DUMMYFUNCTION("IFERROR(
IF(REGEXMATCH(LOWER(O5058),""k""),
VALUE(REGEXEXTRACT(O5058,""[0-9]+""))*1000,
VALUE(REGEXEXTRACT(O5058,""[0-9]+""))
),
0
)"),0.0)</f>
        <v>0</v>
      </c>
      <c r="E5058" s="1" t="s">
        <v>158</v>
      </c>
      <c r="F5058" s="1" t="s">
        <v>20</v>
      </c>
      <c r="G5058" s="4" t="b">
        <f t="shared" si="2"/>
        <v>1</v>
      </c>
      <c r="H5058" s="1" t="str">
        <f t="shared" si="3"/>
        <v>Currently Unavailable</v>
      </c>
      <c r="I5058" s="1" t="str">
        <f t="shared" si="4"/>
        <v>No Badges</v>
      </c>
      <c r="J5058" s="3">
        <f t="shared" si="5"/>
        <v>0</v>
      </c>
    </row>
    <row r="5059">
      <c r="A5059" s="1" t="s">
        <v>3713</v>
      </c>
      <c r="B5059" s="3" t="str">
        <f t="shared" si="1"/>
        <v>Unavailable</v>
      </c>
      <c r="C5059" s="5">
        <v>18088.0</v>
      </c>
      <c r="D5059" s="3">
        <f>IFERROR(__xludf.DUMMYFUNCTION("IFERROR(
IF(REGEXMATCH(LOWER(O5059),""k""),
VALUE(REGEXEXTRACT(O5059,""[0-9]+""))*1000,
VALUE(REGEXEXTRACT(O5059,""[0-9]+""))
),
0
)"),0.0)</f>
        <v>0</v>
      </c>
      <c r="E5059" s="1" t="s">
        <v>158</v>
      </c>
      <c r="F5059" s="1" t="s">
        <v>20</v>
      </c>
      <c r="G5059" s="4" t="b">
        <f t="shared" si="2"/>
        <v>1</v>
      </c>
      <c r="H5059" s="1" t="str">
        <f t="shared" si="3"/>
        <v>Currently Unavailable</v>
      </c>
      <c r="I5059" s="1" t="str">
        <f t="shared" si="4"/>
        <v>No Badges</v>
      </c>
      <c r="J5059" s="3">
        <f t="shared" si="5"/>
        <v>0</v>
      </c>
    </row>
    <row r="5060">
      <c r="A5060" s="1" t="s">
        <v>3714</v>
      </c>
      <c r="B5060" s="3" t="str">
        <f t="shared" si="1"/>
        <v>Unavailable</v>
      </c>
      <c r="C5060" s="5">
        <v>33166.0</v>
      </c>
      <c r="D5060" s="3">
        <f>IFERROR(__xludf.DUMMYFUNCTION("IFERROR(
IF(REGEXMATCH(LOWER(O5060),""k""),
VALUE(REGEXEXTRACT(O5060,""[0-9]+""))*1000,
VALUE(REGEXEXTRACT(O5060,""[0-9]+""))
),
0
)"),0.0)</f>
        <v>0</v>
      </c>
      <c r="E5060" s="1" t="s">
        <v>11</v>
      </c>
      <c r="F5060" s="1" t="s">
        <v>20</v>
      </c>
      <c r="G5060" s="4" t="b">
        <f t="shared" si="2"/>
        <v>1</v>
      </c>
      <c r="H5060" s="1" t="str">
        <f t="shared" si="3"/>
        <v>Currently Unavailable</v>
      </c>
      <c r="I5060" s="1" t="str">
        <f t="shared" si="4"/>
        <v>No Badges</v>
      </c>
      <c r="J5060" s="3">
        <f t="shared" si="5"/>
        <v>0</v>
      </c>
    </row>
    <row r="5061">
      <c r="A5061" s="1" t="s">
        <v>3715</v>
      </c>
      <c r="B5061" s="3" t="str">
        <f t="shared" si="1"/>
        <v>Unavailable</v>
      </c>
      <c r="C5061" s="3">
        <v>189.0</v>
      </c>
      <c r="D5061" s="3">
        <f>IFERROR(__xludf.DUMMYFUNCTION("IFERROR(
IF(REGEXMATCH(LOWER(O5061),""k""),
VALUE(REGEXEXTRACT(O5061,""[0-9]+""))*1000,
VALUE(REGEXEXTRACT(O5061,""[0-9]+""))
),
0
)"),0.0)</f>
        <v>0</v>
      </c>
      <c r="E5061" s="1" t="s">
        <v>11</v>
      </c>
      <c r="F5061" s="1" t="s">
        <v>20</v>
      </c>
      <c r="G5061" s="4" t="b">
        <f t="shared" si="2"/>
        <v>1</v>
      </c>
      <c r="H5061" s="1" t="str">
        <f t="shared" si="3"/>
        <v>Currently Unavailable</v>
      </c>
      <c r="I5061" s="1" t="str">
        <f t="shared" si="4"/>
        <v>No Badges</v>
      </c>
      <c r="J5061" s="3">
        <f t="shared" si="5"/>
        <v>0</v>
      </c>
    </row>
    <row r="5062">
      <c r="A5062" s="1" t="s">
        <v>3716</v>
      </c>
      <c r="B5062" s="3" t="str">
        <f t="shared" si="1"/>
        <v>Unavailable</v>
      </c>
      <c r="C5062" s="5">
        <v>24020.0</v>
      </c>
      <c r="D5062" s="3">
        <f>IFERROR(__xludf.DUMMYFUNCTION("IFERROR(
IF(REGEXMATCH(LOWER(O5062),""k""),
VALUE(REGEXEXTRACT(O5062,""[0-9]+""))*1000,
VALUE(REGEXEXTRACT(O5062,""[0-9]+""))
),
0
)"),0.0)</f>
        <v>0</v>
      </c>
      <c r="E5062" s="1" t="s">
        <v>11</v>
      </c>
      <c r="F5062" s="1" t="s">
        <v>20</v>
      </c>
      <c r="G5062" s="4" t="b">
        <f t="shared" si="2"/>
        <v>1</v>
      </c>
      <c r="H5062" s="1" t="str">
        <f t="shared" si="3"/>
        <v>Currently Unavailable</v>
      </c>
      <c r="I5062" s="1" t="str">
        <f t="shared" si="4"/>
        <v>No Badges</v>
      </c>
      <c r="J5062" s="3">
        <f t="shared" si="5"/>
        <v>0</v>
      </c>
    </row>
    <row r="5063">
      <c r="A5063" s="1" t="s">
        <v>3717</v>
      </c>
      <c r="B5063" s="3" t="str">
        <f t="shared" si="1"/>
        <v>Unavailable</v>
      </c>
      <c r="C5063" s="3">
        <v>994.0</v>
      </c>
      <c r="D5063" s="3">
        <f>IFERROR(__xludf.DUMMYFUNCTION("IFERROR(
IF(REGEXMATCH(LOWER(O5063),""k""),
VALUE(REGEXEXTRACT(O5063,""[0-9]+""))*1000,
VALUE(REGEXEXTRACT(O5063,""[0-9]+""))
),
0
)"),0.0)</f>
        <v>0</v>
      </c>
      <c r="E5063" s="1" t="s">
        <v>11</v>
      </c>
      <c r="F5063" s="1" t="s">
        <v>20</v>
      </c>
      <c r="G5063" s="4" t="b">
        <f t="shared" si="2"/>
        <v>1</v>
      </c>
      <c r="H5063" s="1" t="str">
        <f t="shared" si="3"/>
        <v>Currently Unavailable</v>
      </c>
      <c r="I5063" s="1" t="str">
        <f t="shared" si="4"/>
        <v>No Badges</v>
      </c>
      <c r="J5063" s="3">
        <f t="shared" si="5"/>
        <v>0</v>
      </c>
    </row>
    <row r="5064">
      <c r="A5064" s="1" t="s">
        <v>3718</v>
      </c>
      <c r="B5064" s="3" t="str">
        <f t="shared" si="1"/>
        <v>Unavailable</v>
      </c>
      <c r="C5064" s="5">
        <v>3190.0</v>
      </c>
      <c r="D5064" s="3">
        <f>IFERROR(__xludf.DUMMYFUNCTION("IFERROR(
IF(REGEXMATCH(LOWER(O5064),""k""),
VALUE(REGEXEXTRACT(O5064,""[0-9]+""))*1000,
VALUE(REGEXEXTRACT(O5064,""[0-9]+""))
),
0
)"),0.0)</f>
        <v>0</v>
      </c>
      <c r="E5064" s="1" t="s">
        <v>11</v>
      </c>
      <c r="F5064" s="1" t="s">
        <v>20</v>
      </c>
      <c r="G5064" s="4" t="b">
        <f t="shared" si="2"/>
        <v>1</v>
      </c>
      <c r="H5064" s="1" t="str">
        <f t="shared" si="3"/>
        <v>Currently Unavailable</v>
      </c>
      <c r="I5064" s="1" t="str">
        <f t="shared" si="4"/>
        <v>No Badges</v>
      </c>
      <c r="J5064" s="3">
        <f t="shared" si="5"/>
        <v>0</v>
      </c>
    </row>
    <row r="5065">
      <c r="A5065" s="1" t="s">
        <v>3719</v>
      </c>
      <c r="B5065" s="3" t="str">
        <f t="shared" si="1"/>
        <v>Unavailable</v>
      </c>
      <c r="C5065" s="5">
        <v>47968.0</v>
      </c>
      <c r="D5065" s="3">
        <f>IFERROR(__xludf.DUMMYFUNCTION("IFERROR(
IF(REGEXMATCH(LOWER(O5065),""k""),
VALUE(REGEXEXTRACT(O5065,""[0-9]+""))*1000,
VALUE(REGEXEXTRACT(O5065,""[0-9]+""))
),
0
)"),0.0)</f>
        <v>0</v>
      </c>
      <c r="E5065" s="1" t="s">
        <v>11</v>
      </c>
      <c r="F5065" s="1" t="s">
        <v>20</v>
      </c>
      <c r="G5065" s="4" t="b">
        <f t="shared" si="2"/>
        <v>1</v>
      </c>
      <c r="H5065" s="1" t="str">
        <f t="shared" si="3"/>
        <v>Currently Unavailable</v>
      </c>
      <c r="I5065" s="1" t="str">
        <f t="shared" si="4"/>
        <v>No Badges</v>
      </c>
      <c r="J5065" s="3">
        <f t="shared" si="5"/>
        <v>0</v>
      </c>
    </row>
    <row r="5066">
      <c r="A5066" s="1" t="s">
        <v>3720</v>
      </c>
      <c r="B5066" s="3" t="str">
        <f t="shared" si="1"/>
        <v>Unavailable</v>
      </c>
      <c r="C5066" s="5">
        <v>6401.0</v>
      </c>
      <c r="D5066" s="3">
        <f>IFERROR(__xludf.DUMMYFUNCTION("IFERROR(
IF(REGEXMATCH(LOWER(O5066),""k""),
VALUE(REGEXEXTRACT(O5066,""[0-9]+""))*1000,
VALUE(REGEXEXTRACT(O5066,""[0-9]+""))
),
0
)"),0.0)</f>
        <v>0</v>
      </c>
      <c r="E5066" s="1" t="s">
        <v>11</v>
      </c>
      <c r="F5066" s="1" t="s">
        <v>20</v>
      </c>
      <c r="G5066" s="4" t="b">
        <f t="shared" si="2"/>
        <v>1</v>
      </c>
      <c r="H5066" s="1" t="str">
        <f t="shared" si="3"/>
        <v>Currently Unavailable</v>
      </c>
      <c r="I5066" s="1" t="str">
        <f t="shared" si="4"/>
        <v>No Badges</v>
      </c>
      <c r="J5066" s="3">
        <f t="shared" si="5"/>
        <v>0</v>
      </c>
    </row>
    <row r="5067">
      <c r="A5067" s="1" t="s">
        <v>3721</v>
      </c>
      <c r="B5067" s="3" t="str">
        <f t="shared" si="1"/>
        <v>Unavailable</v>
      </c>
      <c r="C5067" s="5">
        <v>4417.0</v>
      </c>
      <c r="D5067" s="3">
        <f>IFERROR(__xludf.DUMMYFUNCTION("IFERROR(
IF(REGEXMATCH(LOWER(O5067),""k""),
VALUE(REGEXEXTRACT(O5067,""[0-9]+""))*1000,
VALUE(REGEXEXTRACT(O5067,""[0-9]+""))
),
0
)"),0.0)</f>
        <v>0</v>
      </c>
      <c r="E5067" s="1" t="s">
        <v>11</v>
      </c>
      <c r="F5067" s="1" t="s">
        <v>20</v>
      </c>
      <c r="G5067" s="4" t="b">
        <f t="shared" si="2"/>
        <v>1</v>
      </c>
      <c r="H5067" s="1" t="str">
        <f t="shared" si="3"/>
        <v>Currently Unavailable</v>
      </c>
      <c r="I5067" s="1" t="str">
        <f t="shared" si="4"/>
        <v>No Badges</v>
      </c>
      <c r="J5067" s="3">
        <f t="shared" si="5"/>
        <v>0</v>
      </c>
    </row>
    <row r="5068">
      <c r="A5068" s="1" t="s">
        <v>3722</v>
      </c>
      <c r="B5068" s="3" t="str">
        <f t="shared" si="1"/>
        <v>Unavailable</v>
      </c>
      <c r="C5068" s="5">
        <v>22083.0</v>
      </c>
      <c r="D5068" s="3">
        <f>IFERROR(__xludf.DUMMYFUNCTION("IFERROR(
IF(REGEXMATCH(LOWER(O5068),""k""),
VALUE(REGEXEXTRACT(O5068,""[0-9]+""))*1000,
VALUE(REGEXEXTRACT(O5068,""[0-9]+""))
),
0
)"),0.0)</f>
        <v>0</v>
      </c>
      <c r="E5068" s="1" t="s">
        <v>11</v>
      </c>
      <c r="F5068" s="1" t="s">
        <v>20</v>
      </c>
      <c r="G5068" s="4" t="b">
        <f t="shared" si="2"/>
        <v>1</v>
      </c>
      <c r="H5068" s="1" t="str">
        <f t="shared" si="3"/>
        <v>Currently Unavailable</v>
      </c>
      <c r="I5068" s="1" t="str">
        <f t="shared" si="4"/>
        <v>No Badges</v>
      </c>
      <c r="J5068" s="3">
        <f t="shared" si="5"/>
        <v>0</v>
      </c>
    </row>
    <row r="5069">
      <c r="A5069" s="1" t="s">
        <v>3723</v>
      </c>
      <c r="B5069" s="3" t="str">
        <f t="shared" si="1"/>
        <v>Unavailable</v>
      </c>
      <c r="C5069" s="5">
        <v>16635.0</v>
      </c>
      <c r="D5069" s="3">
        <f>IFERROR(__xludf.DUMMYFUNCTION("IFERROR(
IF(REGEXMATCH(LOWER(O5069),""k""),
VALUE(REGEXEXTRACT(O5069,""[0-9]+""))*1000,
VALUE(REGEXEXTRACT(O5069,""[0-9]+""))
),
0
)"),0.0)</f>
        <v>0</v>
      </c>
      <c r="E5069" s="1" t="s">
        <v>11</v>
      </c>
      <c r="F5069" s="1" t="s">
        <v>20</v>
      </c>
      <c r="G5069" s="4" t="b">
        <f t="shared" si="2"/>
        <v>1</v>
      </c>
      <c r="H5069" s="1" t="str">
        <f t="shared" si="3"/>
        <v>Currently Unavailable</v>
      </c>
      <c r="I5069" s="1" t="str">
        <f t="shared" si="4"/>
        <v>No Badges</v>
      </c>
      <c r="J5069" s="3">
        <f t="shared" si="5"/>
        <v>0</v>
      </c>
    </row>
    <row r="5070">
      <c r="A5070" s="1" t="s">
        <v>3724</v>
      </c>
      <c r="B5070" s="3" t="str">
        <f t="shared" si="1"/>
        <v>Unavailable</v>
      </c>
      <c r="C5070" s="5">
        <v>2428.0</v>
      </c>
      <c r="D5070" s="3">
        <f>IFERROR(__xludf.DUMMYFUNCTION("IFERROR(
IF(REGEXMATCH(LOWER(O5070),""k""),
VALUE(REGEXEXTRACT(O5070,""[0-9]+""))*1000,
VALUE(REGEXEXTRACT(O5070,""[0-9]+""))
),
0
)"),0.0)</f>
        <v>0</v>
      </c>
      <c r="E5070" s="1" t="s">
        <v>11</v>
      </c>
      <c r="F5070" s="1" t="s">
        <v>20</v>
      </c>
      <c r="G5070" s="4" t="b">
        <f t="shared" si="2"/>
        <v>1</v>
      </c>
      <c r="H5070" s="1" t="str">
        <f t="shared" si="3"/>
        <v>Currently Unavailable</v>
      </c>
      <c r="I5070" s="1" t="str">
        <f t="shared" si="4"/>
        <v>No Badges</v>
      </c>
      <c r="J5070" s="3">
        <f t="shared" si="5"/>
        <v>0</v>
      </c>
    </row>
    <row r="5071">
      <c r="A5071" s="1" t="s">
        <v>3725</v>
      </c>
      <c r="B5071" s="3" t="str">
        <f t="shared" si="1"/>
        <v>Unavailable</v>
      </c>
      <c r="C5071" s="5">
        <v>66178.0</v>
      </c>
      <c r="D5071" s="3">
        <f>IFERROR(__xludf.DUMMYFUNCTION("IFERROR(
IF(REGEXMATCH(LOWER(O5071),""k""),
VALUE(REGEXEXTRACT(O5071,""[0-9]+""))*1000,
VALUE(REGEXEXTRACT(O5071,""[0-9]+""))
),
0
)"),0.0)</f>
        <v>0</v>
      </c>
      <c r="E5071" s="1" t="s">
        <v>11</v>
      </c>
      <c r="F5071" s="1" t="s">
        <v>20</v>
      </c>
      <c r="G5071" s="4" t="b">
        <f t="shared" si="2"/>
        <v>1</v>
      </c>
      <c r="H5071" s="1" t="str">
        <f t="shared" si="3"/>
        <v>Currently Unavailable</v>
      </c>
      <c r="I5071" s="1" t="str">
        <f t="shared" si="4"/>
        <v>No Badges</v>
      </c>
      <c r="J5071" s="3">
        <f t="shared" si="5"/>
        <v>0</v>
      </c>
    </row>
    <row r="5072">
      <c r="A5072" s="1" t="s">
        <v>3726</v>
      </c>
      <c r="B5072" s="3" t="str">
        <f t="shared" si="1"/>
        <v>Unavailable</v>
      </c>
      <c r="C5072" s="3">
        <v>242.0</v>
      </c>
      <c r="D5072" s="3">
        <f>IFERROR(__xludf.DUMMYFUNCTION("IFERROR(
IF(REGEXMATCH(LOWER(O5072),""k""),
VALUE(REGEXEXTRACT(O5072,""[0-9]+""))*1000,
VALUE(REGEXEXTRACT(O5072,""[0-9]+""))
),
0
)"),0.0)</f>
        <v>0</v>
      </c>
      <c r="E5072" s="1" t="s">
        <v>11</v>
      </c>
      <c r="F5072" s="1" t="s">
        <v>20</v>
      </c>
      <c r="G5072" s="4" t="b">
        <f t="shared" si="2"/>
        <v>1</v>
      </c>
      <c r="H5072" s="1" t="str">
        <f t="shared" si="3"/>
        <v>Currently Unavailable</v>
      </c>
      <c r="I5072" s="1" t="str">
        <f t="shared" si="4"/>
        <v>No Badges</v>
      </c>
      <c r="J5072" s="3">
        <f t="shared" si="5"/>
        <v>0</v>
      </c>
    </row>
    <row r="5073">
      <c r="A5073" s="1" t="s">
        <v>3727</v>
      </c>
      <c r="B5073" s="3" t="str">
        <f t="shared" si="1"/>
        <v>Unavailable</v>
      </c>
      <c r="C5073" s="5">
        <v>63258.0</v>
      </c>
      <c r="D5073" s="3">
        <f>IFERROR(__xludf.DUMMYFUNCTION("IFERROR(
IF(REGEXMATCH(LOWER(O5073),""k""),
VALUE(REGEXEXTRACT(O5073,""[0-9]+""))*1000,
VALUE(REGEXEXTRACT(O5073,""[0-9]+""))
),
0
)"),0.0)</f>
        <v>0</v>
      </c>
      <c r="E5073" s="1" t="s">
        <v>11</v>
      </c>
      <c r="F5073" s="1" t="s">
        <v>20</v>
      </c>
      <c r="G5073" s="4" t="b">
        <f t="shared" si="2"/>
        <v>1</v>
      </c>
      <c r="H5073" s="1" t="str">
        <f t="shared" si="3"/>
        <v>Currently Unavailable</v>
      </c>
      <c r="I5073" s="1" t="str">
        <f t="shared" si="4"/>
        <v>No Badges</v>
      </c>
      <c r="J5073" s="3">
        <f t="shared" si="5"/>
        <v>0</v>
      </c>
    </row>
    <row r="5074">
      <c r="A5074" s="1" t="s">
        <v>3728</v>
      </c>
      <c r="B5074" s="3" t="str">
        <f t="shared" si="1"/>
        <v>Unavailable</v>
      </c>
      <c r="C5074" s="5">
        <v>9281.0</v>
      </c>
      <c r="D5074" s="3">
        <f>IFERROR(__xludf.DUMMYFUNCTION("IFERROR(
IF(REGEXMATCH(LOWER(O5074),""k""),
VALUE(REGEXEXTRACT(O5074,""[0-9]+""))*1000,
VALUE(REGEXEXTRACT(O5074,""[0-9]+""))
),
0
)"),0.0)</f>
        <v>0</v>
      </c>
      <c r="E5074" s="1" t="s">
        <v>158</v>
      </c>
      <c r="F5074" s="1" t="s">
        <v>20</v>
      </c>
      <c r="G5074" s="4" t="b">
        <f t="shared" si="2"/>
        <v>1</v>
      </c>
      <c r="H5074" s="1" t="str">
        <f t="shared" si="3"/>
        <v>Currently Unavailable</v>
      </c>
      <c r="I5074" s="1" t="str">
        <f t="shared" si="4"/>
        <v>No Badges</v>
      </c>
      <c r="J5074" s="3">
        <f t="shared" si="5"/>
        <v>0</v>
      </c>
    </row>
    <row r="5075">
      <c r="A5075" s="1" t="s">
        <v>3729</v>
      </c>
      <c r="B5075" s="3" t="str">
        <f t="shared" si="1"/>
        <v>Unavailable</v>
      </c>
      <c r="C5075" s="5">
        <v>4825.0</v>
      </c>
      <c r="D5075" s="3">
        <f>IFERROR(__xludf.DUMMYFUNCTION("IFERROR(
IF(REGEXMATCH(LOWER(O5075),""k""),
VALUE(REGEXEXTRACT(O5075,""[0-9]+""))*1000,
VALUE(REGEXEXTRACT(O5075,""[0-9]+""))
),
0
)"),0.0)</f>
        <v>0</v>
      </c>
      <c r="E5075" s="1" t="s">
        <v>11</v>
      </c>
      <c r="F5075" s="1" t="s">
        <v>20</v>
      </c>
      <c r="G5075" s="4" t="b">
        <f t="shared" si="2"/>
        <v>1</v>
      </c>
      <c r="H5075" s="1" t="str">
        <f t="shared" si="3"/>
        <v>Currently Unavailable</v>
      </c>
      <c r="I5075" s="1" t="str">
        <f t="shared" si="4"/>
        <v>No Badges</v>
      </c>
      <c r="J5075" s="3">
        <f t="shared" si="5"/>
        <v>0</v>
      </c>
    </row>
    <row r="5076">
      <c r="A5076" s="1" t="s">
        <v>2302</v>
      </c>
      <c r="B5076" s="3" t="str">
        <f t="shared" si="1"/>
        <v>Unavailable</v>
      </c>
      <c r="C5076" s="3">
        <v>13.0</v>
      </c>
      <c r="D5076" s="3">
        <f>IFERROR(__xludf.DUMMYFUNCTION("IFERROR(
IF(REGEXMATCH(LOWER(O5076),""k""),
VALUE(REGEXEXTRACT(O5076,""[0-9]+""))*1000,
VALUE(REGEXEXTRACT(O5076,""[0-9]+""))
),
0
)"),0.0)</f>
        <v>0</v>
      </c>
      <c r="E5076" s="1" t="s">
        <v>11</v>
      </c>
      <c r="F5076" s="1" t="s">
        <v>12</v>
      </c>
      <c r="G5076" s="4" t="b">
        <f t="shared" si="2"/>
        <v>1</v>
      </c>
      <c r="H5076" s="1" t="str">
        <f t="shared" si="3"/>
        <v>Currently Unavailable</v>
      </c>
      <c r="I5076" s="1" t="str">
        <f t="shared" si="4"/>
        <v>No Badges</v>
      </c>
      <c r="J5076" s="3">
        <f t="shared" si="5"/>
        <v>0</v>
      </c>
    </row>
    <row r="5077">
      <c r="A5077" s="1" t="s">
        <v>69</v>
      </c>
      <c r="B5077" s="3" t="str">
        <f t="shared" si="1"/>
        <v>Unavailable</v>
      </c>
      <c r="C5077" s="3">
        <v>45.0</v>
      </c>
      <c r="D5077" s="3">
        <f>IFERROR(__xludf.DUMMYFUNCTION("IFERROR(
IF(REGEXMATCH(LOWER(O5077),""k""),
VALUE(REGEXEXTRACT(O5077,""[0-9]+""))*1000,
VALUE(REGEXEXTRACT(O5077,""[0-9]+""))
),
0
)"),0.0)</f>
        <v>0</v>
      </c>
      <c r="E5077" s="1" t="s">
        <v>11</v>
      </c>
      <c r="F5077" s="1" t="s">
        <v>12</v>
      </c>
      <c r="G5077" s="4" t="b">
        <f t="shared" si="2"/>
        <v>1</v>
      </c>
      <c r="H5077" s="1" t="str">
        <f t="shared" si="3"/>
        <v>Currently Unavailable</v>
      </c>
      <c r="I5077" s="1" t="str">
        <f t="shared" si="4"/>
        <v>No Badges</v>
      </c>
      <c r="J5077" s="3">
        <f t="shared" si="5"/>
        <v>0</v>
      </c>
    </row>
    <row r="5078">
      <c r="A5078" s="1" t="s">
        <v>3730</v>
      </c>
      <c r="B5078" s="3" t="str">
        <f t="shared" si="1"/>
        <v>Unavailable</v>
      </c>
      <c r="C5078" s="5">
        <v>74932.0</v>
      </c>
      <c r="D5078" s="3">
        <f>IFERROR(__xludf.DUMMYFUNCTION("IFERROR(
IF(REGEXMATCH(LOWER(O5078),""k""),
VALUE(REGEXEXTRACT(O5078,""[0-9]+""))*1000,
VALUE(REGEXEXTRACT(O5078,""[0-9]+""))
),
0
)"),0.0)</f>
        <v>0</v>
      </c>
      <c r="E5078" s="1" t="s">
        <v>11</v>
      </c>
      <c r="F5078" s="1" t="s">
        <v>20</v>
      </c>
      <c r="G5078" s="4" t="b">
        <f t="shared" si="2"/>
        <v>1</v>
      </c>
      <c r="H5078" s="1" t="str">
        <f t="shared" si="3"/>
        <v>Currently Unavailable</v>
      </c>
      <c r="I5078" s="1" t="str">
        <f t="shared" si="4"/>
        <v>No Badges</v>
      </c>
      <c r="J5078" s="3">
        <f t="shared" si="5"/>
        <v>0</v>
      </c>
    </row>
    <row r="5079">
      <c r="A5079" s="1" t="s">
        <v>3731</v>
      </c>
      <c r="B5079" s="3" t="str">
        <f t="shared" si="1"/>
        <v>Unavailable</v>
      </c>
      <c r="C5079" s="3">
        <v>551.0</v>
      </c>
      <c r="D5079" s="3">
        <f>IFERROR(__xludf.DUMMYFUNCTION("IFERROR(
IF(REGEXMATCH(LOWER(O5079),""k""),
VALUE(REGEXEXTRACT(O5079,""[0-9]+""))*1000,
VALUE(REGEXEXTRACT(O5079,""[0-9]+""))
),
0
)"),0.0)</f>
        <v>0</v>
      </c>
      <c r="E5079" s="1" t="s">
        <v>11</v>
      </c>
      <c r="F5079" s="1" t="s">
        <v>20</v>
      </c>
      <c r="G5079" s="4" t="b">
        <f t="shared" si="2"/>
        <v>1</v>
      </c>
      <c r="H5079" s="1" t="str">
        <f t="shared" si="3"/>
        <v>Currently Unavailable</v>
      </c>
      <c r="I5079" s="1" t="str">
        <f t="shared" si="4"/>
        <v>No Badges</v>
      </c>
      <c r="J5079" s="3">
        <f t="shared" si="5"/>
        <v>0</v>
      </c>
    </row>
    <row r="5080">
      <c r="A5080" s="1" t="s">
        <v>3732</v>
      </c>
      <c r="B5080" s="3" t="str">
        <f t="shared" si="1"/>
        <v>Unavailable</v>
      </c>
      <c r="C5080" s="5">
        <v>10945.0</v>
      </c>
      <c r="D5080" s="3">
        <f>IFERROR(__xludf.DUMMYFUNCTION("IFERROR(
IF(REGEXMATCH(LOWER(O5080),""k""),
VALUE(REGEXEXTRACT(O5080,""[0-9]+""))*1000,
VALUE(REGEXEXTRACT(O5080,""[0-9]+""))
),
0
)"),0.0)</f>
        <v>0</v>
      </c>
      <c r="E5080" s="1" t="s">
        <v>11</v>
      </c>
      <c r="F5080" s="1" t="s">
        <v>20</v>
      </c>
      <c r="G5080" s="4" t="b">
        <f t="shared" si="2"/>
        <v>1</v>
      </c>
      <c r="H5080" s="1" t="str">
        <f t="shared" si="3"/>
        <v>Currently Unavailable</v>
      </c>
      <c r="I5080" s="1" t="str">
        <f t="shared" si="4"/>
        <v>No Badges</v>
      </c>
      <c r="J5080" s="3">
        <f t="shared" si="5"/>
        <v>0</v>
      </c>
    </row>
    <row r="5081">
      <c r="A5081" s="1" t="s">
        <v>3733</v>
      </c>
      <c r="B5081" s="3" t="str">
        <f t="shared" si="1"/>
        <v>Unavailable</v>
      </c>
      <c r="C5081" s="5">
        <v>1404.0</v>
      </c>
      <c r="D5081" s="3">
        <f>IFERROR(__xludf.DUMMYFUNCTION("IFERROR(
IF(REGEXMATCH(LOWER(O5081),""k""),
VALUE(REGEXEXTRACT(O5081,""[0-9]+""))*1000,
VALUE(REGEXEXTRACT(O5081,""[0-9]+""))
),
0
)"),0.0)</f>
        <v>0</v>
      </c>
      <c r="E5081" s="1" t="s">
        <v>11</v>
      </c>
      <c r="F5081" s="1" t="s">
        <v>20</v>
      </c>
      <c r="G5081" s="4" t="b">
        <f t="shared" si="2"/>
        <v>1</v>
      </c>
      <c r="H5081" s="1" t="str">
        <f t="shared" si="3"/>
        <v>Currently Unavailable</v>
      </c>
      <c r="I5081" s="1" t="str">
        <f t="shared" si="4"/>
        <v>No Badges</v>
      </c>
      <c r="J5081" s="3">
        <f t="shared" si="5"/>
        <v>0</v>
      </c>
    </row>
    <row r="5082">
      <c r="A5082" s="1" t="s">
        <v>3734</v>
      </c>
      <c r="B5082" s="3" t="str">
        <f t="shared" si="1"/>
        <v>Unavailable</v>
      </c>
      <c r="C5082" s="3">
        <v>292.0</v>
      </c>
      <c r="D5082" s="3">
        <f>IFERROR(__xludf.DUMMYFUNCTION("IFERROR(
IF(REGEXMATCH(LOWER(O5082),""k""),
VALUE(REGEXEXTRACT(O5082,""[0-9]+""))*1000,
VALUE(REGEXEXTRACT(O5082,""[0-9]+""))
),
0
)"),0.0)</f>
        <v>0</v>
      </c>
      <c r="E5082" s="1" t="s">
        <v>11</v>
      </c>
      <c r="F5082" s="1" t="s">
        <v>20</v>
      </c>
      <c r="G5082" s="4" t="b">
        <f t="shared" si="2"/>
        <v>1</v>
      </c>
      <c r="H5082" s="1" t="str">
        <f t="shared" si="3"/>
        <v>Currently Unavailable</v>
      </c>
      <c r="I5082" s="1" t="str">
        <f t="shared" si="4"/>
        <v>No Badges</v>
      </c>
      <c r="J5082" s="3">
        <f t="shared" si="5"/>
        <v>0</v>
      </c>
    </row>
    <row r="5083">
      <c r="A5083" s="1" t="s">
        <v>3352</v>
      </c>
      <c r="B5083" s="3" t="str">
        <f t="shared" si="1"/>
        <v>Unavailable</v>
      </c>
      <c r="C5083" s="5">
        <v>5284.0</v>
      </c>
      <c r="D5083" s="3">
        <f>IFERROR(__xludf.DUMMYFUNCTION("IFERROR(
IF(REGEXMATCH(LOWER(O5083),""k""),
VALUE(REGEXEXTRACT(O5083,""[0-9]+""))*1000,
VALUE(REGEXEXTRACT(O5083,""[0-9]+""))
),
0
)"),0.0)</f>
        <v>0</v>
      </c>
      <c r="E5083" s="1" t="s">
        <v>18</v>
      </c>
      <c r="F5083" s="1" t="s">
        <v>12</v>
      </c>
      <c r="G5083" s="4" t="b">
        <f t="shared" si="2"/>
        <v>1</v>
      </c>
      <c r="H5083" s="1" t="str">
        <f t="shared" si="3"/>
        <v>Currently Unavailable</v>
      </c>
      <c r="I5083" s="1" t="str">
        <f t="shared" si="4"/>
        <v>No Badges</v>
      </c>
      <c r="J5083" s="3">
        <f t="shared" si="5"/>
        <v>0</v>
      </c>
    </row>
    <row r="5084">
      <c r="A5084" s="1" t="s">
        <v>3735</v>
      </c>
      <c r="B5084" s="3" t="str">
        <f t="shared" si="1"/>
        <v>Unavailable</v>
      </c>
      <c r="C5084" s="5">
        <v>10263.0</v>
      </c>
      <c r="D5084" s="3">
        <f>IFERROR(__xludf.DUMMYFUNCTION("IFERROR(
IF(REGEXMATCH(LOWER(O5084),""k""),
VALUE(REGEXEXTRACT(O5084,""[0-9]+""))*1000,
VALUE(REGEXEXTRACT(O5084,""[0-9]+""))
),
0
)"),0.0)</f>
        <v>0</v>
      </c>
      <c r="E5084" s="1" t="s">
        <v>11</v>
      </c>
      <c r="F5084" s="1" t="s">
        <v>20</v>
      </c>
      <c r="G5084" s="4" t="b">
        <f t="shared" si="2"/>
        <v>1</v>
      </c>
      <c r="H5084" s="1" t="str">
        <f t="shared" si="3"/>
        <v>Currently Unavailable</v>
      </c>
      <c r="I5084" s="1" t="str">
        <f t="shared" si="4"/>
        <v>No Badges</v>
      </c>
      <c r="J5084" s="3">
        <f t="shared" si="5"/>
        <v>0</v>
      </c>
    </row>
    <row r="5085">
      <c r="A5085" s="1" t="s">
        <v>3736</v>
      </c>
      <c r="B5085" s="3" t="str">
        <f t="shared" si="1"/>
        <v>Unavailable</v>
      </c>
      <c r="C5085" s="5">
        <v>19070.0</v>
      </c>
      <c r="D5085" s="3">
        <f>IFERROR(__xludf.DUMMYFUNCTION("IFERROR(
IF(REGEXMATCH(LOWER(O5085),""k""),
VALUE(REGEXEXTRACT(O5085,""[0-9]+""))*1000,
VALUE(REGEXEXTRACT(O5085,""[0-9]+""))
),
0
)"),0.0)</f>
        <v>0</v>
      </c>
      <c r="E5085" s="1" t="s">
        <v>11</v>
      </c>
      <c r="F5085" s="1" t="s">
        <v>20</v>
      </c>
      <c r="G5085" s="4" t="b">
        <f t="shared" si="2"/>
        <v>1</v>
      </c>
      <c r="H5085" s="1" t="str">
        <f t="shared" si="3"/>
        <v>Currently Unavailable</v>
      </c>
      <c r="I5085" s="1" t="str">
        <f t="shared" si="4"/>
        <v>No Badges</v>
      </c>
      <c r="J5085" s="3">
        <f t="shared" si="5"/>
        <v>0</v>
      </c>
    </row>
    <row r="5086">
      <c r="A5086" s="1" t="s">
        <v>3737</v>
      </c>
      <c r="B5086" s="3" t="str">
        <f t="shared" si="1"/>
        <v>Unavailable</v>
      </c>
      <c r="C5086" s="5">
        <v>11330.0</v>
      </c>
      <c r="D5086" s="3">
        <f>IFERROR(__xludf.DUMMYFUNCTION("IFERROR(
IF(REGEXMATCH(LOWER(O5086),""k""),
VALUE(REGEXEXTRACT(O5086,""[0-9]+""))*1000,
VALUE(REGEXEXTRACT(O5086,""[0-9]+""))
),
0
)"),0.0)</f>
        <v>0</v>
      </c>
      <c r="E5086" s="1" t="s">
        <v>11</v>
      </c>
      <c r="F5086" s="1" t="s">
        <v>20</v>
      </c>
      <c r="G5086" s="4" t="b">
        <f t="shared" si="2"/>
        <v>1</v>
      </c>
      <c r="H5086" s="1" t="str">
        <f t="shared" si="3"/>
        <v>Currently Unavailable</v>
      </c>
      <c r="I5086" s="1" t="str">
        <f t="shared" si="4"/>
        <v>No Badges</v>
      </c>
      <c r="J5086" s="3">
        <f t="shared" si="5"/>
        <v>0</v>
      </c>
    </row>
    <row r="5087">
      <c r="A5087" s="1" t="s">
        <v>3738</v>
      </c>
      <c r="B5087" s="3" t="str">
        <f t="shared" si="1"/>
        <v>Unavailable</v>
      </c>
      <c r="C5087" s="3">
        <v>9.0</v>
      </c>
      <c r="D5087" s="3">
        <f>IFERROR(__xludf.DUMMYFUNCTION("IFERROR(
IF(REGEXMATCH(LOWER(O5087),""k""),
VALUE(REGEXEXTRACT(O5087,""[0-9]+""))*1000,
VALUE(REGEXEXTRACT(O5087,""[0-9]+""))
),
0
)"),0.0)</f>
        <v>0</v>
      </c>
      <c r="E5087" s="1" t="s">
        <v>11</v>
      </c>
      <c r="F5087" s="1" t="s">
        <v>20</v>
      </c>
      <c r="G5087" s="4" t="b">
        <f t="shared" si="2"/>
        <v>1</v>
      </c>
      <c r="H5087" s="1" t="str">
        <f t="shared" si="3"/>
        <v>Currently Unavailable</v>
      </c>
      <c r="I5087" s="1" t="str">
        <f t="shared" si="4"/>
        <v>No Badges</v>
      </c>
      <c r="J5087" s="3">
        <f t="shared" si="5"/>
        <v>0</v>
      </c>
    </row>
    <row r="5088">
      <c r="A5088" s="1" t="s">
        <v>3739</v>
      </c>
      <c r="B5088" s="3" t="str">
        <f t="shared" si="1"/>
        <v>Unavailable</v>
      </c>
      <c r="C5088" s="3">
        <v>692.0</v>
      </c>
      <c r="D5088" s="3">
        <f>IFERROR(__xludf.DUMMYFUNCTION("IFERROR(
IF(REGEXMATCH(LOWER(O5088),""k""),
VALUE(REGEXEXTRACT(O5088,""[0-9]+""))*1000,
VALUE(REGEXEXTRACT(O5088,""[0-9]+""))
),
0
)"),0.0)</f>
        <v>0</v>
      </c>
      <c r="E5088" s="1" t="s">
        <v>11</v>
      </c>
      <c r="F5088" s="1" t="s">
        <v>20</v>
      </c>
      <c r="G5088" s="4" t="b">
        <f t="shared" si="2"/>
        <v>1</v>
      </c>
      <c r="H5088" s="1" t="str">
        <f t="shared" si="3"/>
        <v>Currently Unavailable</v>
      </c>
      <c r="I5088" s="1" t="str">
        <f t="shared" si="4"/>
        <v>No Badges</v>
      </c>
      <c r="J5088" s="3">
        <f t="shared" si="5"/>
        <v>0</v>
      </c>
    </row>
    <row r="5089">
      <c r="A5089" s="1" t="s">
        <v>3740</v>
      </c>
      <c r="B5089" s="3" t="str">
        <f t="shared" si="1"/>
        <v>Unavailable</v>
      </c>
      <c r="C5089" s="5">
        <v>85852.0</v>
      </c>
      <c r="D5089" s="3">
        <f>IFERROR(__xludf.DUMMYFUNCTION("IFERROR(
IF(REGEXMATCH(LOWER(O5089),""k""),
VALUE(REGEXEXTRACT(O5089,""[0-9]+""))*1000,
VALUE(REGEXEXTRACT(O5089,""[0-9]+""))
),
0
)"),0.0)</f>
        <v>0</v>
      </c>
      <c r="E5089" s="1" t="s">
        <v>11</v>
      </c>
      <c r="F5089" s="1" t="s">
        <v>20</v>
      </c>
      <c r="G5089" s="4" t="b">
        <f t="shared" si="2"/>
        <v>1</v>
      </c>
      <c r="H5089" s="1" t="str">
        <f t="shared" si="3"/>
        <v>Currently Unavailable</v>
      </c>
      <c r="I5089" s="1" t="str">
        <f t="shared" si="4"/>
        <v>No Badges</v>
      </c>
      <c r="J5089" s="3">
        <f t="shared" si="5"/>
        <v>0</v>
      </c>
    </row>
    <row r="5090">
      <c r="A5090" s="1" t="s">
        <v>3741</v>
      </c>
      <c r="B5090" s="3" t="str">
        <f t="shared" si="1"/>
        <v>Unavailable</v>
      </c>
      <c r="C5090" s="5">
        <v>11458.0</v>
      </c>
      <c r="D5090" s="3">
        <f>IFERROR(__xludf.DUMMYFUNCTION("IFERROR(
IF(REGEXMATCH(LOWER(O5090),""k""),
VALUE(REGEXEXTRACT(O5090,""[0-9]+""))*1000,
VALUE(REGEXEXTRACT(O5090,""[0-9]+""))
),
0
)"),0.0)</f>
        <v>0</v>
      </c>
      <c r="E5090" s="1" t="s">
        <v>158</v>
      </c>
      <c r="F5090" s="1" t="s">
        <v>20</v>
      </c>
      <c r="G5090" s="4" t="b">
        <f t="shared" si="2"/>
        <v>1</v>
      </c>
      <c r="H5090" s="1" t="str">
        <f t="shared" si="3"/>
        <v>Currently Unavailable</v>
      </c>
      <c r="I5090" s="1" t="str">
        <f t="shared" si="4"/>
        <v>No Badges</v>
      </c>
      <c r="J5090" s="3">
        <f t="shared" si="5"/>
        <v>0</v>
      </c>
    </row>
    <row r="5091">
      <c r="A5091" s="1" t="s">
        <v>88</v>
      </c>
      <c r="B5091" s="3" t="str">
        <f t="shared" si="1"/>
        <v>Unavailable</v>
      </c>
      <c r="C5091" s="3">
        <v>5.0</v>
      </c>
      <c r="D5091" s="3">
        <f>IFERROR(__xludf.DUMMYFUNCTION("IFERROR(
IF(REGEXMATCH(LOWER(O5091),""k""),
VALUE(REGEXEXTRACT(O5091,""[0-9]+""))*1000,
VALUE(REGEXEXTRACT(O5091,""[0-9]+""))
),
0
)"),0.0)</f>
        <v>0</v>
      </c>
      <c r="E5091" s="1" t="s">
        <v>11</v>
      </c>
      <c r="F5091" s="1" t="s">
        <v>12</v>
      </c>
      <c r="G5091" s="4" t="b">
        <f t="shared" si="2"/>
        <v>1</v>
      </c>
      <c r="H5091" s="1" t="str">
        <f t="shared" si="3"/>
        <v>Currently Unavailable</v>
      </c>
      <c r="I5091" s="1" t="str">
        <f t="shared" si="4"/>
        <v>No Badges</v>
      </c>
      <c r="J5091" s="3">
        <f t="shared" si="5"/>
        <v>0</v>
      </c>
    </row>
    <row r="5092">
      <c r="A5092" s="1" t="s">
        <v>67</v>
      </c>
      <c r="B5092" s="3" t="str">
        <f t="shared" si="1"/>
        <v>Unavailable</v>
      </c>
      <c r="C5092" s="3">
        <v>264.0</v>
      </c>
      <c r="D5092" s="3">
        <f>IFERROR(__xludf.DUMMYFUNCTION("IFERROR(
IF(REGEXMATCH(LOWER(O5092),""k""),
VALUE(REGEXEXTRACT(O5092,""[0-9]+""))*1000,
VALUE(REGEXEXTRACT(O5092,""[0-9]+""))
),
0
)"),0.0)</f>
        <v>0</v>
      </c>
      <c r="E5092" s="1" t="s">
        <v>11</v>
      </c>
      <c r="F5092" s="1" t="s">
        <v>12</v>
      </c>
      <c r="G5092" s="4" t="b">
        <f t="shared" si="2"/>
        <v>1</v>
      </c>
      <c r="H5092" s="1" t="str">
        <f t="shared" si="3"/>
        <v>Currently Unavailable</v>
      </c>
      <c r="I5092" s="1" t="str">
        <f t="shared" si="4"/>
        <v>No Badges</v>
      </c>
      <c r="J5092" s="3">
        <f t="shared" si="5"/>
        <v>0</v>
      </c>
    </row>
    <row r="5093">
      <c r="A5093" s="1" t="s">
        <v>3742</v>
      </c>
      <c r="B5093" s="3" t="str">
        <f t="shared" si="1"/>
        <v>Unavailable</v>
      </c>
      <c r="C5093" s="5">
        <v>32021.0</v>
      </c>
      <c r="D5093" s="3">
        <f>IFERROR(__xludf.DUMMYFUNCTION("IFERROR(
IF(REGEXMATCH(LOWER(O5093),""k""),
VALUE(REGEXEXTRACT(O5093,""[0-9]+""))*1000,
VALUE(REGEXEXTRACT(O5093,""[0-9]+""))
),
0
)"),0.0)</f>
        <v>0</v>
      </c>
      <c r="E5093" s="1" t="s">
        <v>11</v>
      </c>
      <c r="F5093" s="1" t="s">
        <v>20</v>
      </c>
      <c r="G5093" s="4" t="b">
        <f t="shared" si="2"/>
        <v>1</v>
      </c>
      <c r="H5093" s="1" t="str">
        <f t="shared" si="3"/>
        <v>Currently Unavailable</v>
      </c>
      <c r="I5093" s="1" t="str">
        <f t="shared" si="4"/>
        <v>No Badges</v>
      </c>
      <c r="J5093" s="3">
        <f t="shared" si="5"/>
        <v>0</v>
      </c>
    </row>
    <row r="5094">
      <c r="A5094" s="1" t="s">
        <v>3743</v>
      </c>
      <c r="B5094" s="3" t="str">
        <f t="shared" si="1"/>
        <v>Unavailable</v>
      </c>
      <c r="C5094" s="5">
        <v>3211.0</v>
      </c>
      <c r="D5094" s="3">
        <f>IFERROR(__xludf.DUMMYFUNCTION("IFERROR(
IF(REGEXMATCH(LOWER(O5094),""k""),
VALUE(REGEXEXTRACT(O5094,""[0-9]+""))*1000,
VALUE(REGEXEXTRACT(O5094,""[0-9]+""))
),
0
)"),0.0)</f>
        <v>0</v>
      </c>
      <c r="E5094" s="1" t="s">
        <v>11</v>
      </c>
      <c r="F5094" s="1" t="s">
        <v>20</v>
      </c>
      <c r="G5094" s="4" t="b">
        <f t="shared" si="2"/>
        <v>1</v>
      </c>
      <c r="H5094" s="1" t="str">
        <f t="shared" si="3"/>
        <v>Currently Unavailable</v>
      </c>
      <c r="I5094" s="1" t="str">
        <f t="shared" si="4"/>
        <v>No Badges</v>
      </c>
      <c r="J5094" s="3">
        <f t="shared" si="5"/>
        <v>0</v>
      </c>
    </row>
    <row r="5095">
      <c r="A5095" s="1" t="s">
        <v>3744</v>
      </c>
      <c r="B5095" s="3" t="str">
        <f t="shared" si="1"/>
        <v>Unavailable</v>
      </c>
      <c r="C5095" s="3">
        <v>427.0</v>
      </c>
      <c r="D5095" s="3">
        <f>IFERROR(__xludf.DUMMYFUNCTION("IFERROR(
IF(REGEXMATCH(LOWER(O5095),""k""),
VALUE(REGEXEXTRACT(O5095,""[0-9]+""))*1000,
VALUE(REGEXEXTRACT(O5095,""[0-9]+""))
),
0
)"),0.0)</f>
        <v>0</v>
      </c>
      <c r="E5095" s="1" t="s">
        <v>11</v>
      </c>
      <c r="F5095" s="1" t="s">
        <v>20</v>
      </c>
      <c r="G5095" s="4" t="b">
        <f t="shared" si="2"/>
        <v>1</v>
      </c>
      <c r="H5095" s="1" t="str">
        <f t="shared" si="3"/>
        <v>Currently Unavailable</v>
      </c>
      <c r="I5095" s="1" t="str">
        <f t="shared" si="4"/>
        <v>No Badges</v>
      </c>
      <c r="J5095" s="3">
        <f t="shared" si="5"/>
        <v>0</v>
      </c>
    </row>
    <row r="5096">
      <c r="A5096" s="1" t="s">
        <v>3745</v>
      </c>
      <c r="B5096" s="3" t="str">
        <f t="shared" si="1"/>
        <v>Unavailable</v>
      </c>
      <c r="C5096" s="5">
        <v>6036.0</v>
      </c>
      <c r="D5096" s="3">
        <f>IFERROR(__xludf.DUMMYFUNCTION("IFERROR(
IF(REGEXMATCH(LOWER(O5096),""k""),
VALUE(REGEXEXTRACT(O5096,""[0-9]+""))*1000,
VALUE(REGEXEXTRACT(O5096,""[0-9]+""))
),
0
)"),0.0)</f>
        <v>0</v>
      </c>
      <c r="E5096" s="1" t="s">
        <v>11</v>
      </c>
      <c r="F5096" s="1" t="s">
        <v>20</v>
      </c>
      <c r="G5096" s="4" t="b">
        <f t="shared" si="2"/>
        <v>1</v>
      </c>
      <c r="H5096" s="1" t="str">
        <f t="shared" si="3"/>
        <v>Currently Unavailable</v>
      </c>
      <c r="I5096" s="1" t="str">
        <f t="shared" si="4"/>
        <v>No Badges</v>
      </c>
      <c r="J5096" s="3">
        <f t="shared" si="5"/>
        <v>0</v>
      </c>
    </row>
    <row r="5097">
      <c r="A5097" s="1" t="s">
        <v>3746</v>
      </c>
      <c r="B5097" s="3" t="str">
        <f t="shared" si="1"/>
        <v>Unavailable</v>
      </c>
      <c r="C5097" s="5">
        <v>4660.0</v>
      </c>
      <c r="D5097" s="3">
        <f>IFERROR(__xludf.DUMMYFUNCTION("IFERROR(
IF(REGEXMATCH(LOWER(O5097),""k""),
VALUE(REGEXEXTRACT(O5097,""[0-9]+""))*1000,
VALUE(REGEXEXTRACT(O5097,""[0-9]+""))
),
0
)"),0.0)</f>
        <v>0</v>
      </c>
      <c r="E5097" s="1" t="s">
        <v>11</v>
      </c>
      <c r="F5097" s="1" t="s">
        <v>20</v>
      </c>
      <c r="G5097" s="4" t="b">
        <f t="shared" si="2"/>
        <v>1</v>
      </c>
      <c r="H5097" s="1" t="str">
        <f t="shared" si="3"/>
        <v>Currently Unavailable</v>
      </c>
      <c r="I5097" s="1" t="str">
        <f t="shared" si="4"/>
        <v>No Badges</v>
      </c>
      <c r="J5097" s="3">
        <f t="shared" si="5"/>
        <v>0</v>
      </c>
    </row>
    <row r="5098">
      <c r="A5098" s="1" t="s">
        <v>3747</v>
      </c>
      <c r="B5098" s="3" t="str">
        <f t="shared" si="1"/>
        <v>Unavailable</v>
      </c>
      <c r="C5098" s="5">
        <v>96528.0</v>
      </c>
      <c r="D5098" s="3">
        <f>IFERROR(__xludf.DUMMYFUNCTION("IFERROR(
IF(REGEXMATCH(LOWER(O5098),""k""),
VALUE(REGEXEXTRACT(O5098,""[0-9]+""))*1000,
VALUE(REGEXEXTRACT(O5098,""[0-9]+""))
),
0
)"),0.0)</f>
        <v>0</v>
      </c>
      <c r="E5098" s="1" t="s">
        <v>11</v>
      </c>
      <c r="F5098" s="1" t="s">
        <v>20</v>
      </c>
      <c r="G5098" s="4" t="b">
        <f t="shared" si="2"/>
        <v>1</v>
      </c>
      <c r="H5098" s="1" t="str">
        <f t="shared" si="3"/>
        <v>Currently Unavailable</v>
      </c>
      <c r="I5098" s="1" t="str">
        <f t="shared" si="4"/>
        <v>No Badges</v>
      </c>
      <c r="J5098" s="3">
        <f t="shared" si="5"/>
        <v>0</v>
      </c>
    </row>
    <row r="5099">
      <c r="A5099" s="1" t="s">
        <v>3748</v>
      </c>
      <c r="B5099" s="3" t="str">
        <f t="shared" si="1"/>
        <v>Unavailable</v>
      </c>
      <c r="C5099" s="5">
        <v>7096.0</v>
      </c>
      <c r="D5099" s="3">
        <f>IFERROR(__xludf.DUMMYFUNCTION("IFERROR(
IF(REGEXMATCH(LOWER(O5099),""k""),
VALUE(REGEXEXTRACT(O5099,""[0-9]+""))*1000,
VALUE(REGEXEXTRACT(O5099,""[0-9]+""))
),
0
)"),0.0)</f>
        <v>0</v>
      </c>
      <c r="E5099" s="1" t="s">
        <v>11</v>
      </c>
      <c r="F5099" s="1" t="s">
        <v>20</v>
      </c>
      <c r="G5099" s="4" t="b">
        <f t="shared" si="2"/>
        <v>1</v>
      </c>
      <c r="H5099" s="1" t="str">
        <f t="shared" si="3"/>
        <v>Currently Unavailable</v>
      </c>
      <c r="I5099" s="1" t="str">
        <f t="shared" si="4"/>
        <v>No Badges</v>
      </c>
      <c r="J5099" s="3">
        <f t="shared" si="5"/>
        <v>0</v>
      </c>
    </row>
    <row r="5100">
      <c r="A5100" s="1" t="s">
        <v>3352</v>
      </c>
      <c r="B5100" s="3" t="str">
        <f t="shared" si="1"/>
        <v>Unavailable</v>
      </c>
      <c r="C5100" s="5">
        <v>5284.0</v>
      </c>
      <c r="D5100" s="3">
        <f>IFERROR(__xludf.DUMMYFUNCTION("IFERROR(
IF(REGEXMATCH(LOWER(O5100),""k""),
VALUE(REGEXEXTRACT(O5100,""[0-9]+""))*1000,
VALUE(REGEXEXTRACT(O5100,""[0-9]+""))
),
0
)"),0.0)</f>
        <v>0</v>
      </c>
      <c r="E5100" s="1" t="s">
        <v>11</v>
      </c>
      <c r="F5100" s="1" t="s">
        <v>12</v>
      </c>
      <c r="G5100" s="4" t="b">
        <f t="shared" si="2"/>
        <v>1</v>
      </c>
      <c r="H5100" s="1" t="str">
        <f t="shared" si="3"/>
        <v>Currently Unavailable</v>
      </c>
      <c r="I5100" s="1" t="str">
        <f t="shared" si="4"/>
        <v>No Badges</v>
      </c>
      <c r="J5100" s="3">
        <f t="shared" si="5"/>
        <v>0</v>
      </c>
    </row>
    <row r="5101">
      <c r="A5101" s="1" t="s">
        <v>3749</v>
      </c>
      <c r="B5101" s="3" t="str">
        <f t="shared" si="1"/>
        <v>Unavailable</v>
      </c>
      <c r="C5101" s="5">
        <v>38633.0</v>
      </c>
      <c r="D5101" s="3">
        <f>IFERROR(__xludf.DUMMYFUNCTION("IFERROR(
IF(REGEXMATCH(LOWER(O5101),""k""),
VALUE(REGEXEXTRACT(O5101,""[0-9]+""))*1000,
VALUE(REGEXEXTRACT(O5101,""[0-9]+""))
),
0
)"),0.0)</f>
        <v>0</v>
      </c>
      <c r="E5101" s="1" t="s">
        <v>11</v>
      </c>
      <c r="F5101" s="1" t="s">
        <v>20</v>
      </c>
      <c r="G5101" s="4" t="b">
        <f t="shared" si="2"/>
        <v>1</v>
      </c>
      <c r="H5101" s="1" t="str">
        <f t="shared" si="3"/>
        <v>Currently Unavailable</v>
      </c>
      <c r="I5101" s="1" t="str">
        <f t="shared" si="4"/>
        <v>No Badges</v>
      </c>
      <c r="J5101" s="3">
        <f t="shared" si="5"/>
        <v>0</v>
      </c>
    </row>
    <row r="5102">
      <c r="A5102" s="1" t="s">
        <v>3352</v>
      </c>
      <c r="B5102" s="3" t="str">
        <f t="shared" si="1"/>
        <v>Unavailable</v>
      </c>
      <c r="C5102" s="5">
        <v>5284.0</v>
      </c>
      <c r="D5102" s="3">
        <f>IFERROR(__xludf.DUMMYFUNCTION("IFERROR(
IF(REGEXMATCH(LOWER(O5102),""k""),
VALUE(REGEXEXTRACT(O5102,""[0-9]+""))*1000,
VALUE(REGEXEXTRACT(O5102,""[0-9]+""))
),
0
)"),0.0)</f>
        <v>0</v>
      </c>
      <c r="E5102" s="1" t="s">
        <v>18</v>
      </c>
      <c r="F5102" s="1" t="s">
        <v>12</v>
      </c>
      <c r="G5102" s="4" t="b">
        <f t="shared" si="2"/>
        <v>1</v>
      </c>
      <c r="H5102" s="1" t="str">
        <f t="shared" si="3"/>
        <v>Currently Unavailable</v>
      </c>
      <c r="I5102" s="1" t="str">
        <f t="shared" si="4"/>
        <v>No Badges</v>
      </c>
      <c r="J5102" s="3">
        <f t="shared" si="5"/>
        <v>0</v>
      </c>
    </row>
    <row r="5103">
      <c r="A5103" s="1" t="s">
        <v>2348</v>
      </c>
      <c r="B5103" s="3" t="str">
        <f t="shared" si="1"/>
        <v>Unavailable</v>
      </c>
      <c r="C5103" s="5">
        <v>4842.0</v>
      </c>
      <c r="D5103" s="3">
        <f>IFERROR(__xludf.DUMMYFUNCTION("IFERROR(
IF(REGEXMATCH(LOWER(O5103),""k""),
VALUE(REGEXEXTRACT(O5103,""[0-9]+""))*1000,
VALUE(REGEXEXTRACT(O5103,""[0-9]+""))
),
0
)"),0.0)</f>
        <v>0</v>
      </c>
      <c r="E5103" s="1" t="s">
        <v>11</v>
      </c>
      <c r="F5103" s="1" t="s">
        <v>20</v>
      </c>
      <c r="G5103" s="4" t="b">
        <f t="shared" si="2"/>
        <v>1</v>
      </c>
      <c r="H5103" s="1" t="str">
        <f t="shared" si="3"/>
        <v>Currently Unavailable</v>
      </c>
      <c r="I5103" s="1" t="str">
        <f t="shared" si="4"/>
        <v>No Badges</v>
      </c>
      <c r="J5103" s="3">
        <f t="shared" si="5"/>
        <v>0</v>
      </c>
    </row>
    <row r="5104">
      <c r="A5104" s="1" t="s">
        <v>3750</v>
      </c>
      <c r="B5104" s="3" t="str">
        <f t="shared" si="1"/>
        <v>Unavailable</v>
      </c>
      <c r="C5104" s="3">
        <v>356.0</v>
      </c>
      <c r="D5104" s="3">
        <f>IFERROR(__xludf.DUMMYFUNCTION("IFERROR(
IF(REGEXMATCH(LOWER(O5104),""k""),
VALUE(REGEXEXTRACT(O5104,""[0-9]+""))*1000,
VALUE(REGEXEXTRACT(O5104,""[0-9]+""))
),
0
)"),0.0)</f>
        <v>0</v>
      </c>
      <c r="E5104" s="1" t="s">
        <v>11</v>
      </c>
      <c r="F5104" s="1" t="s">
        <v>20</v>
      </c>
      <c r="G5104" s="4" t="b">
        <f t="shared" si="2"/>
        <v>1</v>
      </c>
      <c r="H5104" s="1" t="str">
        <f t="shared" si="3"/>
        <v>Currently Unavailable</v>
      </c>
      <c r="I5104" s="1" t="str">
        <f t="shared" si="4"/>
        <v>No Badges</v>
      </c>
      <c r="J5104" s="3">
        <f t="shared" si="5"/>
        <v>0</v>
      </c>
    </row>
    <row r="5105">
      <c r="A5105" s="1" t="s">
        <v>604</v>
      </c>
      <c r="B5105" s="3" t="str">
        <f t="shared" si="1"/>
        <v>Unavailable</v>
      </c>
      <c r="C5105" s="3">
        <v>30.0</v>
      </c>
      <c r="D5105" s="3">
        <f>IFERROR(__xludf.DUMMYFUNCTION("IFERROR(
IF(REGEXMATCH(LOWER(O5105),""k""),
VALUE(REGEXEXTRACT(O5105,""[0-9]+""))*1000,
VALUE(REGEXEXTRACT(O5105,""[0-9]+""))
),
0
)"),0.0)</f>
        <v>0</v>
      </c>
      <c r="E5105" s="1" t="s">
        <v>11</v>
      </c>
      <c r="F5105" s="1" t="s">
        <v>12</v>
      </c>
      <c r="G5105" s="4" t="b">
        <f t="shared" si="2"/>
        <v>1</v>
      </c>
      <c r="H5105" s="1" t="str">
        <f t="shared" si="3"/>
        <v>Currently Unavailable</v>
      </c>
      <c r="I5105" s="1" t="str">
        <f t="shared" si="4"/>
        <v>No Badges</v>
      </c>
      <c r="J5105" s="3">
        <f t="shared" si="5"/>
        <v>0</v>
      </c>
    </row>
    <row r="5106">
      <c r="A5106" s="1" t="s">
        <v>3751</v>
      </c>
      <c r="B5106" s="3" t="str">
        <f t="shared" si="1"/>
        <v>Unavailable</v>
      </c>
      <c r="C5106" s="5">
        <v>1420.0</v>
      </c>
      <c r="D5106" s="3">
        <f>IFERROR(__xludf.DUMMYFUNCTION("IFERROR(
IF(REGEXMATCH(LOWER(O5106),""k""),
VALUE(REGEXEXTRACT(O5106,""[0-9]+""))*1000,
VALUE(REGEXEXTRACT(O5106,""[0-9]+""))
),
0
)"),0.0)</f>
        <v>0</v>
      </c>
      <c r="E5106" s="1" t="s">
        <v>11</v>
      </c>
      <c r="F5106" s="1" t="s">
        <v>20</v>
      </c>
      <c r="G5106" s="4" t="b">
        <f t="shared" si="2"/>
        <v>1</v>
      </c>
      <c r="H5106" s="1" t="str">
        <f t="shared" si="3"/>
        <v>Currently Unavailable</v>
      </c>
      <c r="I5106" s="1" t="str">
        <f t="shared" si="4"/>
        <v>No Badges</v>
      </c>
      <c r="J5106" s="3">
        <f t="shared" si="5"/>
        <v>0</v>
      </c>
    </row>
    <row r="5107">
      <c r="A5107" s="1" t="s">
        <v>3752</v>
      </c>
      <c r="B5107" s="3" t="str">
        <f t="shared" si="1"/>
        <v>Unavailable</v>
      </c>
      <c r="C5107" s="5">
        <v>4737.0</v>
      </c>
      <c r="D5107" s="3">
        <f>IFERROR(__xludf.DUMMYFUNCTION("IFERROR(
IF(REGEXMATCH(LOWER(O5107),""k""),
VALUE(REGEXEXTRACT(O5107,""[0-9]+""))*1000,
VALUE(REGEXEXTRACT(O5107,""[0-9]+""))
),
0
)"),0.0)</f>
        <v>0</v>
      </c>
      <c r="E5107" s="1" t="s">
        <v>11</v>
      </c>
      <c r="F5107" s="1" t="s">
        <v>20</v>
      </c>
      <c r="G5107" s="4" t="b">
        <f t="shared" si="2"/>
        <v>1</v>
      </c>
      <c r="H5107" s="1" t="str">
        <f t="shared" si="3"/>
        <v>Currently Unavailable</v>
      </c>
      <c r="I5107" s="1" t="str">
        <f t="shared" si="4"/>
        <v>No Badges</v>
      </c>
      <c r="J5107" s="3">
        <f t="shared" si="5"/>
        <v>0</v>
      </c>
    </row>
    <row r="5108">
      <c r="A5108" s="1" t="s">
        <v>3753</v>
      </c>
      <c r="B5108" s="3" t="str">
        <f t="shared" si="1"/>
        <v>Unavailable</v>
      </c>
      <c r="C5108" s="5">
        <v>6073.0</v>
      </c>
      <c r="D5108" s="3">
        <f>IFERROR(__xludf.DUMMYFUNCTION("IFERROR(
IF(REGEXMATCH(LOWER(O5108),""k""),
VALUE(REGEXEXTRACT(O5108,""[0-9]+""))*1000,
VALUE(REGEXEXTRACT(O5108,""[0-9]+""))
),
0
)"),0.0)</f>
        <v>0</v>
      </c>
      <c r="E5108" s="1" t="s">
        <v>11</v>
      </c>
      <c r="F5108" s="1" t="s">
        <v>20</v>
      </c>
      <c r="G5108" s="4" t="b">
        <f t="shared" si="2"/>
        <v>1</v>
      </c>
      <c r="H5108" s="1" t="str">
        <f t="shared" si="3"/>
        <v>Currently Unavailable</v>
      </c>
      <c r="I5108" s="1" t="str">
        <f t="shared" si="4"/>
        <v>No Badges</v>
      </c>
      <c r="J5108" s="3">
        <f t="shared" si="5"/>
        <v>0</v>
      </c>
    </row>
    <row r="5109">
      <c r="A5109" s="1" t="s">
        <v>3352</v>
      </c>
      <c r="B5109" s="3" t="str">
        <f t="shared" si="1"/>
        <v>Unavailable</v>
      </c>
      <c r="C5109" s="5">
        <v>5284.0</v>
      </c>
      <c r="D5109" s="3">
        <f>IFERROR(__xludf.DUMMYFUNCTION("IFERROR(
IF(REGEXMATCH(LOWER(O5109),""k""),
VALUE(REGEXEXTRACT(O5109,""[0-9]+""))*1000,
VALUE(REGEXEXTRACT(O5109,""[0-9]+""))
),
0
)"),0.0)</f>
        <v>0</v>
      </c>
      <c r="E5109" s="1" t="s">
        <v>11</v>
      </c>
      <c r="F5109" s="1" t="s">
        <v>12</v>
      </c>
      <c r="G5109" s="4" t="b">
        <f t="shared" si="2"/>
        <v>1</v>
      </c>
      <c r="H5109" s="1" t="str">
        <f t="shared" si="3"/>
        <v>Currently Unavailable</v>
      </c>
      <c r="I5109" s="1" t="str">
        <f t="shared" si="4"/>
        <v>No Badges</v>
      </c>
      <c r="J5109" s="3">
        <f t="shared" si="5"/>
        <v>0</v>
      </c>
    </row>
    <row r="5110">
      <c r="A5110" s="1" t="s">
        <v>69</v>
      </c>
      <c r="B5110" s="3" t="str">
        <f t="shared" si="1"/>
        <v>Unavailable</v>
      </c>
      <c r="C5110" s="3">
        <v>45.0</v>
      </c>
      <c r="D5110" s="3">
        <f>IFERROR(__xludf.DUMMYFUNCTION("IFERROR(
IF(REGEXMATCH(LOWER(O5110),""k""),
VALUE(REGEXEXTRACT(O5110,""[0-9]+""))*1000,
VALUE(REGEXEXTRACT(O5110,""[0-9]+""))
),
0
)"),0.0)</f>
        <v>0</v>
      </c>
      <c r="E5110" s="1" t="s">
        <v>11</v>
      </c>
      <c r="F5110" s="1" t="s">
        <v>12</v>
      </c>
      <c r="G5110" s="4" t="b">
        <f t="shared" si="2"/>
        <v>1</v>
      </c>
      <c r="H5110" s="1" t="str">
        <f t="shared" si="3"/>
        <v>Currently Unavailable</v>
      </c>
      <c r="I5110" s="1" t="str">
        <f t="shared" si="4"/>
        <v>No Badges</v>
      </c>
      <c r="J5110" s="3">
        <f t="shared" si="5"/>
        <v>0</v>
      </c>
    </row>
    <row r="5111">
      <c r="A5111" s="1" t="s">
        <v>3754</v>
      </c>
      <c r="B5111" s="3" t="str">
        <f t="shared" si="1"/>
        <v>Unavailable</v>
      </c>
      <c r="C5111" s="3">
        <v>368.0</v>
      </c>
      <c r="D5111" s="3">
        <f>IFERROR(__xludf.DUMMYFUNCTION("IFERROR(
IF(REGEXMATCH(LOWER(O5111),""k""),
VALUE(REGEXEXTRACT(O5111,""[0-9]+""))*1000,
VALUE(REGEXEXTRACT(O5111,""[0-9]+""))
),
0
)"),0.0)</f>
        <v>0</v>
      </c>
      <c r="E5111" s="1" t="s">
        <v>11</v>
      </c>
      <c r="F5111" s="1" t="s">
        <v>20</v>
      </c>
      <c r="G5111" s="4" t="b">
        <f t="shared" si="2"/>
        <v>1</v>
      </c>
      <c r="H5111" s="1" t="str">
        <f t="shared" si="3"/>
        <v>Currently Unavailable</v>
      </c>
      <c r="I5111" s="1" t="str">
        <f t="shared" si="4"/>
        <v>No Badges</v>
      </c>
      <c r="J5111" s="3">
        <f t="shared" si="5"/>
        <v>0</v>
      </c>
    </row>
    <row r="5112">
      <c r="A5112" s="1" t="s">
        <v>3755</v>
      </c>
      <c r="B5112" s="3" t="str">
        <f t="shared" si="1"/>
        <v>Unavailable</v>
      </c>
      <c r="C5112" s="5">
        <v>1770.0</v>
      </c>
      <c r="D5112" s="3">
        <f>IFERROR(__xludf.DUMMYFUNCTION("IFERROR(
IF(REGEXMATCH(LOWER(O5112),""k""),
VALUE(REGEXEXTRACT(O5112,""[0-9]+""))*1000,
VALUE(REGEXEXTRACT(O5112,""[0-9]+""))
),
0
)"),0.0)</f>
        <v>0</v>
      </c>
      <c r="E5112" s="1" t="s">
        <v>11</v>
      </c>
      <c r="F5112" s="1" t="s">
        <v>20</v>
      </c>
      <c r="G5112" s="4" t="b">
        <f t="shared" si="2"/>
        <v>1</v>
      </c>
      <c r="H5112" s="1" t="str">
        <f t="shared" si="3"/>
        <v>Currently Unavailable</v>
      </c>
      <c r="I5112" s="1" t="str">
        <f t="shared" si="4"/>
        <v>No Badges</v>
      </c>
      <c r="J5112" s="3">
        <f t="shared" si="5"/>
        <v>0</v>
      </c>
    </row>
    <row r="5113">
      <c r="A5113" s="1" t="s">
        <v>3578</v>
      </c>
      <c r="B5113" s="3" t="str">
        <f t="shared" si="1"/>
        <v>Unavailable</v>
      </c>
      <c r="C5113" s="3">
        <v>512.0</v>
      </c>
      <c r="D5113" s="3">
        <f>IFERROR(__xludf.DUMMYFUNCTION("IFERROR(
IF(REGEXMATCH(LOWER(O5113),""k""),
VALUE(REGEXEXTRACT(O5113,""[0-9]+""))*1000,
VALUE(REGEXEXTRACT(O5113,""[0-9]+""))
),
0
)"),0.0)</f>
        <v>0</v>
      </c>
      <c r="E5113" s="1" t="s">
        <v>11</v>
      </c>
      <c r="F5113" s="1" t="s">
        <v>12</v>
      </c>
      <c r="G5113" s="4" t="b">
        <f t="shared" si="2"/>
        <v>1</v>
      </c>
      <c r="H5113" s="1" t="str">
        <f t="shared" si="3"/>
        <v>Currently Unavailable</v>
      </c>
      <c r="I5113" s="1" t="str">
        <f t="shared" si="4"/>
        <v>No Badges</v>
      </c>
      <c r="J5113" s="3">
        <f t="shared" si="5"/>
        <v>0</v>
      </c>
    </row>
    <row r="5114">
      <c r="A5114" s="1" t="s">
        <v>3352</v>
      </c>
      <c r="B5114" s="3" t="str">
        <f t="shared" si="1"/>
        <v>Unavailable</v>
      </c>
      <c r="C5114" s="5">
        <v>5284.0</v>
      </c>
      <c r="D5114" s="3">
        <f>IFERROR(__xludf.DUMMYFUNCTION("IFERROR(
IF(REGEXMATCH(LOWER(O5114),""k""),
VALUE(REGEXEXTRACT(O5114,""[0-9]+""))*1000,
VALUE(REGEXEXTRACT(O5114,""[0-9]+""))
),
0
)"),0.0)</f>
        <v>0</v>
      </c>
      <c r="E5114" s="1" t="s">
        <v>11</v>
      </c>
      <c r="F5114" s="1" t="s">
        <v>12</v>
      </c>
      <c r="G5114" s="4" t="b">
        <f t="shared" si="2"/>
        <v>1</v>
      </c>
      <c r="H5114" s="1" t="str">
        <f t="shared" si="3"/>
        <v>Currently Unavailable</v>
      </c>
      <c r="I5114" s="1" t="str">
        <f t="shared" si="4"/>
        <v>No Badges</v>
      </c>
      <c r="J5114" s="3">
        <f t="shared" si="5"/>
        <v>0</v>
      </c>
    </row>
    <row r="5115">
      <c r="A5115" s="1" t="s">
        <v>3756</v>
      </c>
      <c r="B5115" s="3" t="str">
        <f t="shared" si="1"/>
        <v>Unavailable</v>
      </c>
      <c r="C5115" s="5">
        <v>17878.0</v>
      </c>
      <c r="D5115" s="3">
        <f>IFERROR(__xludf.DUMMYFUNCTION("IFERROR(
IF(REGEXMATCH(LOWER(O5115),""k""),
VALUE(REGEXEXTRACT(O5115,""[0-9]+""))*1000,
VALUE(REGEXEXTRACT(O5115,""[0-9]+""))
),
0
)"),0.0)</f>
        <v>0</v>
      </c>
      <c r="E5115" s="1" t="s">
        <v>11</v>
      </c>
      <c r="F5115" s="1" t="s">
        <v>20</v>
      </c>
      <c r="G5115" s="4" t="b">
        <f t="shared" si="2"/>
        <v>1</v>
      </c>
      <c r="H5115" s="1" t="str">
        <f t="shared" si="3"/>
        <v>Currently Unavailable</v>
      </c>
      <c r="I5115" s="1" t="str">
        <f t="shared" si="4"/>
        <v>No Badges</v>
      </c>
      <c r="J5115" s="3">
        <f t="shared" si="5"/>
        <v>0</v>
      </c>
    </row>
    <row r="5116">
      <c r="A5116" s="1" t="s">
        <v>3757</v>
      </c>
      <c r="B5116" s="3" t="str">
        <f t="shared" si="1"/>
        <v>Unavailable</v>
      </c>
      <c r="C5116" s="5">
        <v>1680.0</v>
      </c>
      <c r="D5116" s="3">
        <f>IFERROR(__xludf.DUMMYFUNCTION("IFERROR(
IF(REGEXMATCH(LOWER(O5116),""k""),
VALUE(REGEXEXTRACT(O5116,""[0-9]+""))*1000,
VALUE(REGEXEXTRACT(O5116,""[0-9]+""))
),
0
)"),0.0)</f>
        <v>0</v>
      </c>
      <c r="E5116" s="1" t="s">
        <v>11</v>
      </c>
      <c r="F5116" s="1" t="s">
        <v>20</v>
      </c>
      <c r="G5116" s="4" t="b">
        <f t="shared" si="2"/>
        <v>1</v>
      </c>
      <c r="H5116" s="1" t="str">
        <f t="shared" si="3"/>
        <v>Currently Unavailable</v>
      </c>
      <c r="I5116" s="1" t="str">
        <f t="shared" si="4"/>
        <v>No Badges</v>
      </c>
      <c r="J5116" s="3">
        <f t="shared" si="5"/>
        <v>0</v>
      </c>
    </row>
    <row r="5117">
      <c r="A5117" s="1" t="s">
        <v>3758</v>
      </c>
      <c r="B5117" s="3" t="str">
        <f t="shared" si="1"/>
        <v>Unavailable</v>
      </c>
      <c r="C5117" s="5">
        <v>10162.0</v>
      </c>
      <c r="D5117" s="3">
        <f>IFERROR(__xludf.DUMMYFUNCTION("IFERROR(
IF(REGEXMATCH(LOWER(O5117),""k""),
VALUE(REGEXEXTRACT(O5117,""[0-9]+""))*1000,
VALUE(REGEXEXTRACT(O5117,""[0-9]+""))
),
0
)"),0.0)</f>
        <v>0</v>
      </c>
      <c r="E5117" s="1" t="s">
        <v>11</v>
      </c>
      <c r="F5117" s="1" t="s">
        <v>20</v>
      </c>
      <c r="G5117" s="4" t="b">
        <f t="shared" si="2"/>
        <v>1</v>
      </c>
      <c r="H5117" s="1" t="str">
        <f t="shared" si="3"/>
        <v>Currently Unavailable</v>
      </c>
      <c r="I5117" s="1" t="str">
        <f t="shared" si="4"/>
        <v>No Badges</v>
      </c>
      <c r="J5117" s="3">
        <f t="shared" si="5"/>
        <v>0</v>
      </c>
    </row>
    <row r="5118">
      <c r="A5118" s="1" t="s">
        <v>3759</v>
      </c>
      <c r="B5118" s="3" t="str">
        <f t="shared" si="1"/>
        <v>Unavailable</v>
      </c>
      <c r="C5118" s="5">
        <v>5030.0</v>
      </c>
      <c r="D5118" s="3">
        <f>IFERROR(__xludf.DUMMYFUNCTION("IFERROR(
IF(REGEXMATCH(LOWER(O5118),""k""),
VALUE(REGEXEXTRACT(O5118,""[0-9]+""))*1000,
VALUE(REGEXEXTRACT(O5118,""[0-9]+""))
),
0
)"),0.0)</f>
        <v>0</v>
      </c>
      <c r="E5118" s="1" t="s">
        <v>11</v>
      </c>
      <c r="F5118" s="1" t="s">
        <v>20</v>
      </c>
      <c r="G5118" s="4" t="b">
        <f t="shared" si="2"/>
        <v>1</v>
      </c>
      <c r="H5118" s="1" t="str">
        <f t="shared" si="3"/>
        <v>Currently Unavailable</v>
      </c>
      <c r="I5118" s="1" t="str">
        <f t="shared" si="4"/>
        <v>No Badges</v>
      </c>
      <c r="J5118" s="3">
        <f t="shared" si="5"/>
        <v>0</v>
      </c>
    </row>
    <row r="5119">
      <c r="A5119" s="1" t="s">
        <v>3760</v>
      </c>
      <c r="B5119" s="3" t="str">
        <f t="shared" si="1"/>
        <v>Unavailable</v>
      </c>
      <c r="C5119" s="5">
        <v>2740.0</v>
      </c>
      <c r="D5119" s="3">
        <f>IFERROR(__xludf.DUMMYFUNCTION("IFERROR(
IF(REGEXMATCH(LOWER(O5119),""k""),
VALUE(REGEXEXTRACT(O5119,""[0-9]+""))*1000,
VALUE(REGEXEXTRACT(O5119,""[0-9]+""))
),
0
)"),0.0)</f>
        <v>0</v>
      </c>
      <c r="E5119" s="1" t="s">
        <v>11</v>
      </c>
      <c r="F5119" s="1" t="s">
        <v>20</v>
      </c>
      <c r="G5119" s="4" t="b">
        <f t="shared" si="2"/>
        <v>1</v>
      </c>
      <c r="H5119" s="1" t="str">
        <f t="shared" si="3"/>
        <v>Currently Unavailable</v>
      </c>
      <c r="I5119" s="1" t="str">
        <f t="shared" si="4"/>
        <v>No Badges</v>
      </c>
      <c r="J5119" s="3">
        <f t="shared" si="5"/>
        <v>0</v>
      </c>
    </row>
    <row r="5120">
      <c r="A5120" s="1" t="s">
        <v>3761</v>
      </c>
      <c r="B5120" s="3" t="str">
        <f t="shared" si="1"/>
        <v>Unavailable</v>
      </c>
      <c r="C5120" s="5">
        <v>5594.0</v>
      </c>
      <c r="D5120" s="3">
        <f>IFERROR(__xludf.DUMMYFUNCTION("IFERROR(
IF(REGEXMATCH(LOWER(O5120),""k""),
VALUE(REGEXEXTRACT(O5120,""[0-9]+""))*1000,
VALUE(REGEXEXTRACT(O5120,""[0-9]+""))
),
0
)"),0.0)</f>
        <v>0</v>
      </c>
      <c r="E5120" s="1" t="s">
        <v>11</v>
      </c>
      <c r="F5120" s="1" t="s">
        <v>20</v>
      </c>
      <c r="G5120" s="4" t="b">
        <f t="shared" si="2"/>
        <v>1</v>
      </c>
      <c r="H5120" s="1" t="str">
        <f t="shared" si="3"/>
        <v>Currently Unavailable</v>
      </c>
      <c r="I5120" s="1" t="str">
        <f t="shared" si="4"/>
        <v>No Badges</v>
      </c>
      <c r="J5120" s="3">
        <f t="shared" si="5"/>
        <v>0</v>
      </c>
    </row>
    <row r="5121">
      <c r="A5121" s="1" t="s">
        <v>3352</v>
      </c>
      <c r="B5121" s="3" t="str">
        <f t="shared" si="1"/>
        <v>Unavailable</v>
      </c>
      <c r="C5121" s="5">
        <v>5284.0</v>
      </c>
      <c r="D5121" s="3">
        <f>IFERROR(__xludf.DUMMYFUNCTION("IFERROR(
IF(REGEXMATCH(LOWER(O5121),""k""),
VALUE(REGEXEXTRACT(O5121,""[0-9]+""))*1000,
VALUE(REGEXEXTRACT(O5121,""[0-9]+""))
),
0
)"),0.0)</f>
        <v>0</v>
      </c>
      <c r="E5121" s="1" t="s">
        <v>11</v>
      </c>
      <c r="F5121" s="1" t="s">
        <v>12</v>
      </c>
      <c r="G5121" s="4" t="b">
        <f t="shared" si="2"/>
        <v>1</v>
      </c>
      <c r="H5121" s="1" t="str">
        <f t="shared" si="3"/>
        <v>Currently Unavailable</v>
      </c>
      <c r="I5121" s="1" t="str">
        <f t="shared" si="4"/>
        <v>No Badges</v>
      </c>
      <c r="J5121" s="3">
        <f t="shared" si="5"/>
        <v>0</v>
      </c>
    </row>
    <row r="5122">
      <c r="A5122" s="1" t="s">
        <v>3578</v>
      </c>
      <c r="B5122" s="3" t="str">
        <f t="shared" si="1"/>
        <v>Unavailable</v>
      </c>
      <c r="C5122" s="3">
        <v>512.0</v>
      </c>
      <c r="D5122" s="3">
        <f>IFERROR(__xludf.DUMMYFUNCTION("IFERROR(
IF(REGEXMATCH(LOWER(O5122),""k""),
VALUE(REGEXEXTRACT(O5122,""[0-9]+""))*1000,
VALUE(REGEXEXTRACT(O5122,""[0-9]+""))
),
0
)"),0.0)</f>
        <v>0</v>
      </c>
      <c r="E5122" s="1" t="s">
        <v>11</v>
      </c>
      <c r="F5122" s="1" t="s">
        <v>12</v>
      </c>
      <c r="G5122" s="4" t="b">
        <f t="shared" si="2"/>
        <v>1</v>
      </c>
      <c r="H5122" s="1" t="str">
        <f t="shared" si="3"/>
        <v>Currently Unavailable</v>
      </c>
      <c r="I5122" s="1" t="str">
        <f t="shared" si="4"/>
        <v>No Badges</v>
      </c>
      <c r="J5122" s="3">
        <f t="shared" si="5"/>
        <v>0</v>
      </c>
    </row>
    <row r="5123">
      <c r="A5123" s="1" t="s">
        <v>67</v>
      </c>
      <c r="B5123" s="3" t="str">
        <f t="shared" si="1"/>
        <v>Unavailable</v>
      </c>
      <c r="C5123" s="3">
        <v>264.0</v>
      </c>
      <c r="D5123" s="3">
        <f>IFERROR(__xludf.DUMMYFUNCTION("IFERROR(
IF(REGEXMATCH(LOWER(O5123),""k""),
VALUE(REGEXEXTRACT(O5123,""[0-9]+""))*1000,
VALUE(REGEXEXTRACT(O5123,""[0-9]+""))
),
0
)"),0.0)</f>
        <v>0</v>
      </c>
      <c r="E5123" s="1" t="s">
        <v>11</v>
      </c>
      <c r="F5123" s="1" t="s">
        <v>12</v>
      </c>
      <c r="G5123" s="4" t="b">
        <f t="shared" si="2"/>
        <v>1</v>
      </c>
      <c r="H5123" s="1" t="str">
        <f t="shared" si="3"/>
        <v>Currently Unavailable</v>
      </c>
      <c r="I5123" s="1" t="str">
        <f t="shared" si="4"/>
        <v>No Badges</v>
      </c>
      <c r="J5123" s="3">
        <f t="shared" si="5"/>
        <v>0</v>
      </c>
    </row>
    <row r="5124">
      <c r="A5124" s="1" t="s">
        <v>3352</v>
      </c>
      <c r="B5124" s="3" t="str">
        <f t="shared" si="1"/>
        <v>Unavailable</v>
      </c>
      <c r="C5124" s="5">
        <v>5284.0</v>
      </c>
      <c r="D5124" s="3">
        <f>IFERROR(__xludf.DUMMYFUNCTION("IFERROR(
IF(REGEXMATCH(LOWER(O5124),""k""),
VALUE(REGEXEXTRACT(O5124,""[0-9]+""))*1000,
VALUE(REGEXEXTRACT(O5124,""[0-9]+""))
),
0
)"),0.0)</f>
        <v>0</v>
      </c>
      <c r="E5124" s="1" t="s">
        <v>18</v>
      </c>
      <c r="F5124" s="1" t="s">
        <v>12</v>
      </c>
      <c r="G5124" s="4" t="b">
        <f t="shared" si="2"/>
        <v>1</v>
      </c>
      <c r="H5124" s="1" t="str">
        <f t="shared" si="3"/>
        <v>Currently Unavailable</v>
      </c>
      <c r="I5124" s="1" t="str">
        <f t="shared" si="4"/>
        <v>No Badges</v>
      </c>
      <c r="J5124" s="3">
        <f t="shared" si="5"/>
        <v>0</v>
      </c>
    </row>
    <row r="5125">
      <c r="A5125" s="1" t="s">
        <v>701</v>
      </c>
      <c r="B5125" s="3" t="str">
        <f t="shared" si="1"/>
        <v>Unavailable</v>
      </c>
      <c r="C5125" s="3">
        <v>8.0</v>
      </c>
      <c r="D5125" s="3">
        <f>IFERROR(__xludf.DUMMYFUNCTION("IFERROR(
IF(REGEXMATCH(LOWER(O5125),""k""),
VALUE(REGEXEXTRACT(O5125,""[0-9]+""))*1000,
VALUE(REGEXEXTRACT(O5125,""[0-9]+""))
),
0
)"),0.0)</f>
        <v>0</v>
      </c>
      <c r="E5125" s="1" t="s">
        <v>11</v>
      </c>
      <c r="F5125" s="1" t="s">
        <v>12</v>
      </c>
      <c r="G5125" s="4" t="b">
        <f t="shared" si="2"/>
        <v>1</v>
      </c>
      <c r="H5125" s="1" t="str">
        <f t="shared" si="3"/>
        <v>Currently Unavailable</v>
      </c>
      <c r="I5125" s="1" t="str">
        <f t="shared" si="4"/>
        <v>No Badges</v>
      </c>
      <c r="J5125" s="3">
        <f t="shared" si="5"/>
        <v>0</v>
      </c>
    </row>
    <row r="5126">
      <c r="A5126" s="1" t="s">
        <v>3352</v>
      </c>
      <c r="B5126" s="3" t="str">
        <f t="shared" si="1"/>
        <v>Unavailable</v>
      </c>
      <c r="C5126" s="5">
        <v>5284.0</v>
      </c>
      <c r="D5126" s="3">
        <f>IFERROR(__xludf.DUMMYFUNCTION("IFERROR(
IF(REGEXMATCH(LOWER(O5126),""k""),
VALUE(REGEXEXTRACT(O5126,""[0-9]+""))*1000,
VALUE(REGEXEXTRACT(O5126,""[0-9]+""))
),
0
)"),0.0)</f>
        <v>0</v>
      </c>
      <c r="E5126" s="1" t="s">
        <v>11</v>
      </c>
      <c r="F5126" s="1" t="s">
        <v>12</v>
      </c>
      <c r="G5126" s="4" t="b">
        <f t="shared" si="2"/>
        <v>1</v>
      </c>
      <c r="H5126" s="1" t="str">
        <f t="shared" si="3"/>
        <v>Currently Unavailable</v>
      </c>
      <c r="I5126" s="1" t="str">
        <f t="shared" si="4"/>
        <v>No Badges</v>
      </c>
      <c r="J5126" s="3">
        <f t="shared" si="5"/>
        <v>0</v>
      </c>
    </row>
    <row r="5127">
      <c r="A5127" s="1" t="s">
        <v>3352</v>
      </c>
      <c r="B5127" s="3" t="str">
        <f t="shared" si="1"/>
        <v>Unavailable</v>
      </c>
      <c r="C5127" s="5">
        <v>5284.0</v>
      </c>
      <c r="D5127" s="3">
        <f>IFERROR(__xludf.DUMMYFUNCTION("IFERROR(
IF(REGEXMATCH(LOWER(O5127),""k""),
VALUE(REGEXEXTRACT(O5127,""[0-9]+""))*1000,
VALUE(REGEXEXTRACT(O5127,""[0-9]+""))
),
0
)"),0.0)</f>
        <v>0</v>
      </c>
      <c r="E5127" s="1" t="s">
        <v>11</v>
      </c>
      <c r="F5127" s="1" t="s">
        <v>12</v>
      </c>
      <c r="G5127" s="4" t="b">
        <f t="shared" si="2"/>
        <v>1</v>
      </c>
      <c r="H5127" s="1" t="str">
        <f t="shared" si="3"/>
        <v>Currently Unavailable</v>
      </c>
      <c r="I5127" s="1" t="str">
        <f t="shared" si="4"/>
        <v>No Badges</v>
      </c>
      <c r="J5127" s="3">
        <f t="shared" si="5"/>
        <v>0</v>
      </c>
    </row>
    <row r="5128">
      <c r="A5128" s="1" t="s">
        <v>3352</v>
      </c>
      <c r="B5128" s="3" t="str">
        <f t="shared" si="1"/>
        <v>Unavailable</v>
      </c>
      <c r="C5128" s="5">
        <v>5284.0</v>
      </c>
      <c r="D5128" s="3">
        <f>IFERROR(__xludf.DUMMYFUNCTION("IFERROR(
IF(REGEXMATCH(LOWER(O5128),""k""),
VALUE(REGEXEXTRACT(O5128,""[0-9]+""))*1000,
VALUE(REGEXEXTRACT(O5128,""[0-9]+""))
),
0
)"),0.0)</f>
        <v>0</v>
      </c>
      <c r="E5128" s="1" t="s">
        <v>11</v>
      </c>
      <c r="F5128" s="1" t="s">
        <v>12</v>
      </c>
      <c r="G5128" s="4" t="b">
        <f t="shared" si="2"/>
        <v>1</v>
      </c>
      <c r="H5128" s="1" t="str">
        <f t="shared" si="3"/>
        <v>Currently Unavailable</v>
      </c>
      <c r="I5128" s="1" t="str">
        <f t="shared" si="4"/>
        <v>No Badges</v>
      </c>
      <c r="J5128" s="3">
        <f t="shared" si="5"/>
        <v>0</v>
      </c>
    </row>
    <row r="5129">
      <c r="A5129" s="1" t="s">
        <v>3352</v>
      </c>
      <c r="B5129" s="3" t="str">
        <f t="shared" si="1"/>
        <v>Unavailable</v>
      </c>
      <c r="C5129" s="5">
        <v>5284.0</v>
      </c>
      <c r="D5129" s="3">
        <f>IFERROR(__xludf.DUMMYFUNCTION("IFERROR(
IF(REGEXMATCH(LOWER(O5129),""k""),
VALUE(REGEXEXTRACT(O5129,""[0-9]+""))*1000,
VALUE(REGEXEXTRACT(O5129,""[0-9]+""))
),
0
)"),0.0)</f>
        <v>0</v>
      </c>
      <c r="E5129" s="1" t="s">
        <v>11</v>
      </c>
      <c r="F5129" s="1" t="s">
        <v>12</v>
      </c>
      <c r="G5129" s="4" t="b">
        <f t="shared" si="2"/>
        <v>1</v>
      </c>
      <c r="H5129" s="1" t="str">
        <f t="shared" si="3"/>
        <v>Currently Unavailable</v>
      </c>
      <c r="I5129" s="1" t="str">
        <f t="shared" si="4"/>
        <v>No Badges</v>
      </c>
      <c r="J5129" s="3">
        <f t="shared" si="5"/>
        <v>0</v>
      </c>
    </row>
    <row r="5130">
      <c r="A5130" s="1" t="s">
        <v>3352</v>
      </c>
      <c r="B5130" s="3" t="str">
        <f t="shared" si="1"/>
        <v>Unavailable</v>
      </c>
      <c r="C5130" s="5">
        <v>5284.0</v>
      </c>
      <c r="D5130" s="3">
        <f>IFERROR(__xludf.DUMMYFUNCTION("IFERROR(
IF(REGEXMATCH(LOWER(O5130),""k""),
VALUE(REGEXEXTRACT(O5130,""[0-9]+""))*1000,
VALUE(REGEXEXTRACT(O5130,""[0-9]+""))
),
0
)"),0.0)</f>
        <v>0</v>
      </c>
      <c r="E5130" s="1" t="s">
        <v>18</v>
      </c>
      <c r="F5130" s="1" t="s">
        <v>12</v>
      </c>
      <c r="G5130" s="4" t="b">
        <f t="shared" si="2"/>
        <v>1</v>
      </c>
      <c r="H5130" s="1" t="str">
        <f t="shared" si="3"/>
        <v>Currently Unavailable</v>
      </c>
      <c r="I5130" s="1" t="str">
        <f t="shared" si="4"/>
        <v>No Badges</v>
      </c>
      <c r="J5130" s="3">
        <f t="shared" si="5"/>
        <v>0</v>
      </c>
    </row>
    <row r="5131">
      <c r="A5131" s="1" t="s">
        <v>3762</v>
      </c>
      <c r="B5131" s="3" t="str">
        <f t="shared" si="1"/>
        <v>Unavailable</v>
      </c>
      <c r="C5131" s="5">
        <v>12485.0</v>
      </c>
      <c r="D5131" s="3">
        <f>IFERROR(__xludf.DUMMYFUNCTION("IFERROR(
IF(REGEXMATCH(LOWER(O5131),""k""),
VALUE(REGEXEXTRACT(O5131,""[0-9]+""))*1000,
VALUE(REGEXEXTRACT(O5131,""[0-9]+""))
),
0
)"),0.0)</f>
        <v>0</v>
      </c>
      <c r="E5131" s="1" t="s">
        <v>11</v>
      </c>
      <c r="F5131" s="1" t="s">
        <v>20</v>
      </c>
      <c r="G5131" s="4" t="b">
        <f t="shared" si="2"/>
        <v>1</v>
      </c>
      <c r="H5131" s="1" t="str">
        <f t="shared" si="3"/>
        <v>Currently Unavailable</v>
      </c>
      <c r="I5131" s="1" t="str">
        <f t="shared" si="4"/>
        <v>No Badges</v>
      </c>
      <c r="J5131" s="3">
        <f t="shared" si="5"/>
        <v>0</v>
      </c>
    </row>
    <row r="5132">
      <c r="A5132" s="1" t="s">
        <v>3352</v>
      </c>
      <c r="B5132" s="3" t="str">
        <f t="shared" si="1"/>
        <v>Unavailable</v>
      </c>
      <c r="C5132" s="5">
        <v>5284.0</v>
      </c>
      <c r="D5132" s="3">
        <f>IFERROR(__xludf.DUMMYFUNCTION("IFERROR(
IF(REGEXMATCH(LOWER(O5132),""k""),
VALUE(REGEXEXTRACT(O5132,""[0-9]+""))*1000,
VALUE(REGEXEXTRACT(O5132,""[0-9]+""))
),
0
)"),0.0)</f>
        <v>0</v>
      </c>
      <c r="E5132" s="1" t="s">
        <v>11</v>
      </c>
      <c r="F5132" s="1" t="s">
        <v>12</v>
      </c>
      <c r="G5132" s="4" t="b">
        <f t="shared" si="2"/>
        <v>1</v>
      </c>
      <c r="H5132" s="1" t="str">
        <f t="shared" si="3"/>
        <v>Currently Unavailable</v>
      </c>
      <c r="I5132" s="1" t="str">
        <f t="shared" si="4"/>
        <v>No Badges</v>
      </c>
      <c r="J5132" s="3">
        <f t="shared" si="5"/>
        <v>0</v>
      </c>
    </row>
    <row r="5133">
      <c r="A5133" s="1" t="s">
        <v>3763</v>
      </c>
      <c r="B5133" s="3" t="str">
        <f t="shared" si="1"/>
        <v>Unavailable</v>
      </c>
      <c r="C5133" s="5">
        <v>1802.0</v>
      </c>
      <c r="D5133" s="3">
        <f>IFERROR(__xludf.DUMMYFUNCTION("IFERROR(
IF(REGEXMATCH(LOWER(O5133),""k""),
VALUE(REGEXEXTRACT(O5133,""[0-9]+""))*1000,
VALUE(REGEXEXTRACT(O5133,""[0-9]+""))
),
0
)"),0.0)</f>
        <v>0</v>
      </c>
      <c r="E5133" s="1" t="s">
        <v>11</v>
      </c>
      <c r="F5133" s="1" t="s">
        <v>20</v>
      </c>
      <c r="G5133" s="4" t="b">
        <f t="shared" si="2"/>
        <v>1</v>
      </c>
      <c r="H5133" s="1" t="str">
        <f t="shared" si="3"/>
        <v>Currently Unavailable</v>
      </c>
      <c r="I5133" s="1" t="str">
        <f t="shared" si="4"/>
        <v>No Badges</v>
      </c>
      <c r="J5133" s="3">
        <f t="shared" si="5"/>
        <v>0</v>
      </c>
    </row>
    <row r="5134">
      <c r="A5134" s="1" t="s">
        <v>3352</v>
      </c>
      <c r="B5134" s="3" t="str">
        <f t="shared" si="1"/>
        <v>Unavailable</v>
      </c>
      <c r="C5134" s="5">
        <v>5284.0</v>
      </c>
      <c r="D5134" s="3">
        <f>IFERROR(__xludf.DUMMYFUNCTION("IFERROR(
IF(REGEXMATCH(LOWER(O5134),""k""),
VALUE(REGEXEXTRACT(O5134,""[0-9]+""))*1000,
VALUE(REGEXEXTRACT(O5134,""[0-9]+""))
),
0
)"),0.0)</f>
        <v>0</v>
      </c>
      <c r="E5134" s="1" t="s">
        <v>18</v>
      </c>
      <c r="F5134" s="1" t="s">
        <v>12</v>
      </c>
      <c r="G5134" s="4" t="b">
        <f t="shared" si="2"/>
        <v>1</v>
      </c>
      <c r="H5134" s="1" t="str">
        <f t="shared" si="3"/>
        <v>Currently Unavailable</v>
      </c>
      <c r="I5134" s="1" t="str">
        <f t="shared" si="4"/>
        <v>No Badges</v>
      </c>
      <c r="J5134" s="3">
        <f t="shared" si="5"/>
        <v>0</v>
      </c>
    </row>
    <row r="5135">
      <c r="A5135" s="1" t="s">
        <v>3352</v>
      </c>
      <c r="B5135" s="3" t="str">
        <f t="shared" si="1"/>
        <v>Unavailable</v>
      </c>
      <c r="C5135" s="5">
        <v>5284.0</v>
      </c>
      <c r="D5135" s="3">
        <f>IFERROR(__xludf.DUMMYFUNCTION("IFERROR(
IF(REGEXMATCH(LOWER(O5135),""k""),
VALUE(REGEXEXTRACT(O5135,""[0-9]+""))*1000,
VALUE(REGEXEXTRACT(O5135,""[0-9]+""))
),
0
)"),0.0)</f>
        <v>0</v>
      </c>
      <c r="E5135" s="1" t="s">
        <v>18</v>
      </c>
      <c r="F5135" s="1" t="s">
        <v>12</v>
      </c>
      <c r="G5135" s="4" t="b">
        <f t="shared" si="2"/>
        <v>1</v>
      </c>
      <c r="H5135" s="1" t="str">
        <f t="shared" si="3"/>
        <v>Currently Unavailable</v>
      </c>
      <c r="I5135" s="1" t="str">
        <f t="shared" si="4"/>
        <v>No Badges</v>
      </c>
      <c r="J5135" s="3">
        <f t="shared" si="5"/>
        <v>0</v>
      </c>
    </row>
    <row r="5136">
      <c r="A5136" s="1" t="s">
        <v>3764</v>
      </c>
      <c r="B5136" s="3" t="str">
        <f t="shared" si="1"/>
        <v>Unavailable</v>
      </c>
      <c r="C5136" s="3">
        <v>375.0</v>
      </c>
      <c r="D5136" s="3">
        <f>IFERROR(__xludf.DUMMYFUNCTION("IFERROR(
IF(REGEXMATCH(LOWER(O5136),""k""),
VALUE(REGEXEXTRACT(O5136,""[0-9]+""))*1000,
VALUE(REGEXEXTRACT(O5136,""[0-9]+""))
),
0
)"),0.0)</f>
        <v>0</v>
      </c>
      <c r="E5136" s="1" t="s">
        <v>11</v>
      </c>
      <c r="F5136" s="1" t="s">
        <v>12</v>
      </c>
      <c r="G5136" s="4" t="b">
        <f t="shared" si="2"/>
        <v>1</v>
      </c>
      <c r="H5136" s="1" t="str">
        <f t="shared" si="3"/>
        <v>Currently Unavailable</v>
      </c>
      <c r="I5136" s="1" t="str">
        <f t="shared" si="4"/>
        <v>No Badges</v>
      </c>
      <c r="J5136" s="3">
        <f t="shared" si="5"/>
        <v>0</v>
      </c>
    </row>
    <row r="5137">
      <c r="A5137" s="1" t="s">
        <v>3765</v>
      </c>
      <c r="B5137" s="3" t="str">
        <f t="shared" si="1"/>
        <v>Unavailable</v>
      </c>
      <c r="C5137" s="3">
        <v>20.0</v>
      </c>
      <c r="D5137" s="3">
        <f>IFERROR(__xludf.DUMMYFUNCTION("IFERROR(
IF(REGEXMATCH(LOWER(O5137),""k""),
VALUE(REGEXEXTRACT(O5137,""[0-9]+""))*1000,
VALUE(REGEXEXTRACT(O5137,""[0-9]+""))
),
0
)"),0.0)</f>
        <v>0</v>
      </c>
      <c r="E5137" s="1" t="s">
        <v>11</v>
      </c>
      <c r="F5137" s="1" t="s">
        <v>20</v>
      </c>
      <c r="G5137" s="4" t="b">
        <f t="shared" si="2"/>
        <v>1</v>
      </c>
      <c r="H5137" s="1" t="str">
        <f t="shared" si="3"/>
        <v>Currently Unavailable</v>
      </c>
      <c r="I5137" s="1" t="str">
        <f t="shared" si="4"/>
        <v>No Badges</v>
      </c>
      <c r="J5137" s="3">
        <f t="shared" si="5"/>
        <v>0</v>
      </c>
    </row>
    <row r="5138">
      <c r="A5138" s="1" t="s">
        <v>3766</v>
      </c>
      <c r="B5138" s="3" t="str">
        <f t="shared" si="1"/>
        <v>Unavailable</v>
      </c>
      <c r="C5138" s="5">
        <v>1495.0</v>
      </c>
      <c r="D5138" s="3">
        <f>IFERROR(__xludf.DUMMYFUNCTION("IFERROR(
IF(REGEXMATCH(LOWER(O5138),""k""),
VALUE(REGEXEXTRACT(O5138,""[0-9]+""))*1000,
VALUE(REGEXEXTRACT(O5138,""[0-9]+""))
),
0
)"),0.0)</f>
        <v>0</v>
      </c>
      <c r="E5138" s="1" t="s">
        <v>11</v>
      </c>
      <c r="F5138" s="1" t="s">
        <v>20</v>
      </c>
      <c r="G5138" s="4" t="b">
        <f t="shared" si="2"/>
        <v>1</v>
      </c>
      <c r="H5138" s="1" t="str">
        <f t="shared" si="3"/>
        <v>Currently Unavailable</v>
      </c>
      <c r="I5138" s="1" t="str">
        <f t="shared" si="4"/>
        <v>No Badges</v>
      </c>
      <c r="J5138" s="3">
        <f t="shared" si="5"/>
        <v>0</v>
      </c>
    </row>
    <row r="5139">
      <c r="A5139" s="1" t="s">
        <v>88</v>
      </c>
      <c r="B5139" s="3" t="str">
        <f t="shared" si="1"/>
        <v>Unavailable</v>
      </c>
      <c r="C5139" s="3">
        <v>5.0</v>
      </c>
      <c r="D5139" s="3">
        <f>IFERROR(__xludf.DUMMYFUNCTION("IFERROR(
IF(REGEXMATCH(LOWER(O5139),""k""),
VALUE(REGEXEXTRACT(O5139,""[0-9]+""))*1000,
VALUE(REGEXEXTRACT(O5139,""[0-9]+""))
),
0
)"),0.0)</f>
        <v>0</v>
      </c>
      <c r="E5139" s="1" t="s">
        <v>11</v>
      </c>
      <c r="F5139" s="1" t="s">
        <v>12</v>
      </c>
      <c r="G5139" s="4" t="b">
        <f t="shared" si="2"/>
        <v>1</v>
      </c>
      <c r="H5139" s="1" t="str">
        <f t="shared" si="3"/>
        <v>Currently Unavailable</v>
      </c>
      <c r="I5139" s="1" t="str">
        <f t="shared" si="4"/>
        <v>No Badges</v>
      </c>
      <c r="J5139" s="3">
        <f t="shared" si="5"/>
        <v>0</v>
      </c>
    </row>
    <row r="5140">
      <c r="A5140" s="1" t="s">
        <v>40</v>
      </c>
      <c r="B5140" s="3" t="str">
        <f t="shared" si="1"/>
        <v>Unavailable</v>
      </c>
      <c r="C5140" s="3">
        <v>171.0</v>
      </c>
      <c r="D5140" s="3">
        <f>IFERROR(__xludf.DUMMYFUNCTION("IFERROR(
IF(REGEXMATCH(LOWER(O5140),""k""),
VALUE(REGEXEXTRACT(O5140,""[0-9]+""))*1000,
VALUE(REGEXEXTRACT(O5140,""[0-9]+""))
),
0
)"),0.0)</f>
        <v>0</v>
      </c>
      <c r="E5140" s="1" t="s">
        <v>11</v>
      </c>
      <c r="F5140" s="1" t="s">
        <v>12</v>
      </c>
      <c r="G5140" s="4" t="b">
        <f t="shared" si="2"/>
        <v>1</v>
      </c>
      <c r="H5140" s="1" t="str">
        <f t="shared" si="3"/>
        <v>Currently Unavailable</v>
      </c>
      <c r="I5140" s="1" t="str">
        <f t="shared" si="4"/>
        <v>No Badges</v>
      </c>
      <c r="J5140" s="3">
        <f t="shared" si="5"/>
        <v>0</v>
      </c>
    </row>
    <row r="5141">
      <c r="A5141" s="1" t="s">
        <v>3767</v>
      </c>
      <c r="B5141" s="3" t="str">
        <f t="shared" si="1"/>
        <v>Unavailable</v>
      </c>
      <c r="C5141" s="3">
        <v>112.0</v>
      </c>
      <c r="D5141" s="3">
        <f>IFERROR(__xludf.DUMMYFUNCTION("IFERROR(
IF(REGEXMATCH(LOWER(O5141),""k""),
VALUE(REGEXEXTRACT(O5141,""[0-9]+""))*1000,
VALUE(REGEXEXTRACT(O5141,""[0-9]+""))
),
0
)"),0.0)</f>
        <v>0</v>
      </c>
      <c r="E5141" s="1" t="s">
        <v>11</v>
      </c>
      <c r="F5141" s="1" t="s">
        <v>20</v>
      </c>
      <c r="G5141" s="4" t="b">
        <f t="shared" si="2"/>
        <v>1</v>
      </c>
      <c r="H5141" s="1" t="str">
        <f t="shared" si="3"/>
        <v>Currently Unavailable</v>
      </c>
      <c r="I5141" s="1" t="str">
        <f t="shared" si="4"/>
        <v>No Badges</v>
      </c>
      <c r="J5141" s="6">
        <f t="shared" si="5"/>
        <v>0</v>
      </c>
    </row>
    <row r="5142">
      <c r="A5142" s="1" t="s">
        <v>3768</v>
      </c>
      <c r="B5142" s="3" t="str">
        <f t="shared" si="1"/>
        <v>Unavailable</v>
      </c>
      <c r="C5142" s="3">
        <v>132.0</v>
      </c>
      <c r="D5142" s="3">
        <f>IFERROR(__xludf.DUMMYFUNCTION("IFERROR(
IF(REGEXMATCH(LOWER(O5142),""k""),
VALUE(REGEXEXTRACT(O5142,""[0-9]+""))*1000,
VALUE(REGEXEXTRACT(O5142,""[0-9]+""))
),
0
)"),0.0)</f>
        <v>0</v>
      </c>
      <c r="E5142" s="1" t="s">
        <v>11</v>
      </c>
      <c r="F5142" s="1" t="s">
        <v>20</v>
      </c>
      <c r="G5142" s="4" t="b">
        <f t="shared" si="2"/>
        <v>1</v>
      </c>
      <c r="H5142" s="1" t="str">
        <f t="shared" si="3"/>
        <v>Currently Unavailable</v>
      </c>
      <c r="I5142" s="1" t="str">
        <f t="shared" si="4"/>
        <v>No Badges</v>
      </c>
      <c r="J5142" s="3">
        <f t="shared" si="5"/>
        <v>0</v>
      </c>
    </row>
    <row r="5143">
      <c r="A5143" s="1" t="s">
        <v>69</v>
      </c>
      <c r="B5143" s="3" t="str">
        <f t="shared" si="1"/>
        <v>Unavailable</v>
      </c>
      <c r="C5143" s="3">
        <v>45.0</v>
      </c>
      <c r="D5143" s="3">
        <f>IFERROR(__xludf.DUMMYFUNCTION("IFERROR(
IF(REGEXMATCH(LOWER(O5143),""k""),
VALUE(REGEXEXTRACT(O5143,""[0-9]+""))*1000,
VALUE(REGEXEXTRACT(O5143,""[0-9]+""))
),
0
)"),0.0)</f>
        <v>0</v>
      </c>
      <c r="E5143" s="1" t="s">
        <v>11</v>
      </c>
      <c r="F5143" s="1" t="s">
        <v>12</v>
      </c>
      <c r="G5143" s="4" t="b">
        <f t="shared" si="2"/>
        <v>1</v>
      </c>
      <c r="H5143" s="1" t="str">
        <f t="shared" si="3"/>
        <v>Currently Unavailable</v>
      </c>
      <c r="I5143" s="1" t="str">
        <f t="shared" si="4"/>
        <v>No Badges</v>
      </c>
      <c r="J5143" s="3">
        <f t="shared" si="5"/>
        <v>0</v>
      </c>
    </row>
    <row r="5144">
      <c r="A5144" s="1" t="s">
        <v>3769</v>
      </c>
      <c r="B5144" s="3" t="str">
        <f t="shared" si="1"/>
        <v>Unavailable</v>
      </c>
      <c r="C5144" s="3">
        <v>67.0</v>
      </c>
      <c r="D5144" s="3">
        <f>IFERROR(__xludf.DUMMYFUNCTION("IFERROR(
IF(REGEXMATCH(LOWER(O5144),""k""),
VALUE(REGEXEXTRACT(O5144,""[0-9]+""))*1000,
VALUE(REGEXEXTRACT(O5144,""[0-9]+""))
),
0
)"),0.0)</f>
        <v>0</v>
      </c>
      <c r="E5144" s="1" t="s">
        <v>11</v>
      </c>
      <c r="F5144" s="1" t="s">
        <v>20</v>
      </c>
      <c r="G5144" s="4" t="b">
        <f t="shared" si="2"/>
        <v>1</v>
      </c>
      <c r="H5144" s="1" t="str">
        <f t="shared" si="3"/>
        <v>Currently Unavailable</v>
      </c>
      <c r="I5144" s="1" t="str">
        <f t="shared" si="4"/>
        <v>No Badges</v>
      </c>
      <c r="J5144" s="3">
        <f t="shared" si="5"/>
        <v>0</v>
      </c>
    </row>
    <row r="5145">
      <c r="A5145" s="1" t="s">
        <v>3770</v>
      </c>
      <c r="B5145" s="3" t="str">
        <f t="shared" si="1"/>
        <v>Unavailable</v>
      </c>
      <c r="C5145" s="5">
        <v>2209.0</v>
      </c>
      <c r="D5145" s="3">
        <f>IFERROR(__xludf.DUMMYFUNCTION("IFERROR(
IF(REGEXMATCH(LOWER(O5145),""k""),
VALUE(REGEXEXTRACT(O5145,""[0-9]+""))*1000,
VALUE(REGEXEXTRACT(O5145,""[0-9]+""))
),
0
)"),0.0)</f>
        <v>0</v>
      </c>
      <c r="E5145" s="1" t="s">
        <v>11</v>
      </c>
      <c r="F5145" s="1" t="s">
        <v>20</v>
      </c>
      <c r="G5145" s="4" t="b">
        <f t="shared" si="2"/>
        <v>1</v>
      </c>
      <c r="H5145" s="1" t="str">
        <f t="shared" si="3"/>
        <v>Currently Unavailable</v>
      </c>
      <c r="I5145" s="1" t="str">
        <f t="shared" si="4"/>
        <v>No Badges</v>
      </c>
      <c r="J5145" s="3">
        <f t="shared" si="5"/>
        <v>0</v>
      </c>
    </row>
    <row r="5146">
      <c r="A5146" s="1" t="s">
        <v>3771</v>
      </c>
      <c r="B5146" s="3" t="str">
        <f t="shared" si="1"/>
        <v>Unavailable</v>
      </c>
      <c r="C5146" s="3">
        <v>136.0</v>
      </c>
      <c r="D5146" s="3">
        <f>IFERROR(__xludf.DUMMYFUNCTION("IFERROR(
IF(REGEXMATCH(LOWER(O5146),""k""),
VALUE(REGEXEXTRACT(O5146,""[0-9]+""))*1000,
VALUE(REGEXEXTRACT(O5146,""[0-9]+""))
),
0
)"),0.0)</f>
        <v>0</v>
      </c>
      <c r="E5146" s="1" t="s">
        <v>11</v>
      </c>
      <c r="F5146" s="1" t="s">
        <v>20</v>
      </c>
      <c r="G5146" s="4" t="b">
        <f t="shared" si="2"/>
        <v>1</v>
      </c>
      <c r="H5146" s="1" t="str">
        <f t="shared" si="3"/>
        <v>Currently Unavailable</v>
      </c>
      <c r="I5146" s="1" t="str">
        <f t="shared" si="4"/>
        <v>No Badges</v>
      </c>
      <c r="J5146" s="3">
        <f t="shared" si="5"/>
        <v>0</v>
      </c>
    </row>
    <row r="5147">
      <c r="A5147" s="1" t="s">
        <v>3772</v>
      </c>
      <c r="B5147" s="3" t="str">
        <f t="shared" si="1"/>
        <v>Unavailable</v>
      </c>
      <c r="C5147" s="3">
        <v>139.0</v>
      </c>
      <c r="D5147" s="3">
        <f>IFERROR(__xludf.DUMMYFUNCTION("IFERROR(
IF(REGEXMATCH(LOWER(O5147),""k""),
VALUE(REGEXEXTRACT(O5147,""[0-9]+""))*1000,
VALUE(REGEXEXTRACT(O5147,""[0-9]+""))
),
0
)"),0.0)</f>
        <v>0</v>
      </c>
      <c r="E5147" s="1" t="s">
        <v>11</v>
      </c>
      <c r="F5147" s="1" t="s">
        <v>12</v>
      </c>
      <c r="G5147" s="4" t="b">
        <f t="shared" si="2"/>
        <v>1</v>
      </c>
      <c r="H5147" s="1" t="str">
        <f t="shared" si="3"/>
        <v>Currently Unavailable</v>
      </c>
      <c r="I5147" s="1" t="str">
        <f t="shared" si="4"/>
        <v>No Badges</v>
      </c>
      <c r="J5147" s="3">
        <f t="shared" si="5"/>
        <v>0</v>
      </c>
    </row>
    <row r="5148">
      <c r="A5148" s="1" t="s">
        <v>3773</v>
      </c>
      <c r="B5148" s="3" t="str">
        <f t="shared" si="1"/>
        <v>Unavailable</v>
      </c>
      <c r="C5148" s="3">
        <v>187.0</v>
      </c>
      <c r="D5148" s="3">
        <f>IFERROR(__xludf.DUMMYFUNCTION("IFERROR(
IF(REGEXMATCH(LOWER(O5148),""k""),
VALUE(REGEXEXTRACT(O5148,""[0-9]+""))*1000,
VALUE(REGEXEXTRACT(O5148,""[0-9]+""))
),
0
)"),0.0)</f>
        <v>0</v>
      </c>
      <c r="E5148" s="1" t="s">
        <v>11</v>
      </c>
      <c r="F5148" s="1" t="s">
        <v>20</v>
      </c>
      <c r="G5148" s="4" t="b">
        <f t="shared" si="2"/>
        <v>1</v>
      </c>
      <c r="H5148" s="1" t="str">
        <f t="shared" si="3"/>
        <v>Currently Unavailable</v>
      </c>
      <c r="I5148" s="1" t="str">
        <f t="shared" si="4"/>
        <v>No Badges</v>
      </c>
      <c r="J5148" s="3">
        <f t="shared" si="5"/>
        <v>0</v>
      </c>
    </row>
    <row r="5149">
      <c r="A5149" s="1" t="s">
        <v>3774</v>
      </c>
      <c r="B5149" s="3" t="str">
        <f t="shared" si="1"/>
        <v>Unavailable</v>
      </c>
      <c r="C5149" s="3">
        <v>146.0</v>
      </c>
      <c r="D5149" s="3">
        <f>IFERROR(__xludf.DUMMYFUNCTION("IFERROR(
IF(REGEXMATCH(LOWER(O5149),""k""),
VALUE(REGEXEXTRACT(O5149,""[0-9]+""))*1000,
VALUE(REGEXEXTRACT(O5149,""[0-9]+""))
),
0
)"),0.0)</f>
        <v>0</v>
      </c>
      <c r="E5149" s="1" t="s">
        <v>11</v>
      </c>
      <c r="F5149" s="1" t="s">
        <v>12</v>
      </c>
      <c r="G5149" s="4" t="b">
        <f t="shared" si="2"/>
        <v>1</v>
      </c>
      <c r="H5149" s="1" t="str">
        <f t="shared" si="3"/>
        <v>Currently Unavailable</v>
      </c>
      <c r="I5149" s="1" t="str">
        <f t="shared" si="4"/>
        <v>No Badges</v>
      </c>
      <c r="J5149" s="3">
        <f t="shared" si="5"/>
        <v>0</v>
      </c>
    </row>
    <row r="5150">
      <c r="A5150" s="1" t="s">
        <v>3775</v>
      </c>
      <c r="B5150" s="3" t="str">
        <f t="shared" si="1"/>
        <v>Unavailable</v>
      </c>
      <c r="C5150" s="5">
        <v>1388.0</v>
      </c>
      <c r="D5150" s="3">
        <f>IFERROR(__xludf.DUMMYFUNCTION("IFERROR(
IF(REGEXMATCH(LOWER(O5150),""k""),
VALUE(REGEXEXTRACT(O5150,""[0-9]+""))*1000,
VALUE(REGEXEXTRACT(O5150,""[0-9]+""))
),
0
)"),0.0)</f>
        <v>0</v>
      </c>
      <c r="E5150" s="1" t="s">
        <v>11</v>
      </c>
      <c r="F5150" s="1" t="s">
        <v>20</v>
      </c>
      <c r="G5150" s="4" t="b">
        <f t="shared" si="2"/>
        <v>1</v>
      </c>
      <c r="H5150" s="1" t="str">
        <f t="shared" si="3"/>
        <v>Currently Unavailable</v>
      </c>
      <c r="I5150" s="1" t="str">
        <f t="shared" si="4"/>
        <v>No Badges</v>
      </c>
      <c r="J5150" s="3">
        <f t="shared" si="5"/>
        <v>0</v>
      </c>
    </row>
    <row r="5151">
      <c r="A5151" s="1" t="s">
        <v>3776</v>
      </c>
      <c r="B5151" s="3" t="str">
        <f t="shared" si="1"/>
        <v>Unavailable</v>
      </c>
      <c r="C5151" s="3">
        <v>109.0</v>
      </c>
      <c r="D5151" s="3">
        <f>IFERROR(__xludf.DUMMYFUNCTION("IFERROR(
IF(REGEXMATCH(LOWER(O5151),""k""),
VALUE(REGEXEXTRACT(O5151,""[0-9]+""))*1000,
VALUE(REGEXEXTRACT(O5151,""[0-9]+""))
),
0
)"),0.0)</f>
        <v>0</v>
      </c>
      <c r="E5151" s="1" t="s">
        <v>11</v>
      </c>
      <c r="F5151" s="1" t="s">
        <v>20</v>
      </c>
      <c r="G5151" s="4" t="b">
        <f t="shared" si="2"/>
        <v>1</v>
      </c>
      <c r="H5151" s="1" t="str">
        <f t="shared" si="3"/>
        <v>Currently Unavailable</v>
      </c>
      <c r="I5151" s="1" t="str">
        <f t="shared" si="4"/>
        <v>No Badges</v>
      </c>
      <c r="J5151" s="3">
        <f t="shared" si="5"/>
        <v>0</v>
      </c>
    </row>
    <row r="5152">
      <c r="A5152" s="1" t="s">
        <v>3777</v>
      </c>
      <c r="B5152" s="3" t="str">
        <f t="shared" si="1"/>
        <v>Unavailable</v>
      </c>
      <c r="C5152" s="3">
        <v>793.0</v>
      </c>
      <c r="D5152" s="3">
        <f>IFERROR(__xludf.DUMMYFUNCTION("IFERROR(
IF(REGEXMATCH(LOWER(O5152),""k""),
VALUE(REGEXEXTRACT(O5152,""[0-9]+""))*1000,
VALUE(REGEXEXTRACT(O5152,""[0-9]+""))
),
0
)"),0.0)</f>
        <v>0</v>
      </c>
      <c r="E5152" s="1" t="s">
        <v>11</v>
      </c>
      <c r="F5152" s="1" t="s">
        <v>20</v>
      </c>
      <c r="G5152" s="4" t="b">
        <f t="shared" si="2"/>
        <v>1</v>
      </c>
      <c r="H5152" s="1" t="str">
        <f t="shared" si="3"/>
        <v>Currently Unavailable</v>
      </c>
      <c r="I5152" s="1" t="str">
        <f t="shared" si="4"/>
        <v>No Badges</v>
      </c>
      <c r="J5152" s="3">
        <f t="shared" si="5"/>
        <v>0</v>
      </c>
    </row>
    <row r="5153">
      <c r="A5153" s="1" t="s">
        <v>3778</v>
      </c>
      <c r="B5153" s="3" t="str">
        <f t="shared" si="1"/>
        <v>Unavailable</v>
      </c>
      <c r="C5153" s="3">
        <v>33.0</v>
      </c>
      <c r="D5153" s="3">
        <f>IFERROR(__xludf.DUMMYFUNCTION("IFERROR(
IF(REGEXMATCH(LOWER(O5153),""k""),
VALUE(REGEXEXTRACT(O5153,""[0-9]+""))*1000,
VALUE(REGEXEXTRACT(O5153,""[0-9]+""))
),
0
)"),0.0)</f>
        <v>0</v>
      </c>
      <c r="E5153" s="1" t="s">
        <v>11</v>
      </c>
      <c r="F5153" s="1" t="s">
        <v>20</v>
      </c>
      <c r="G5153" s="4" t="b">
        <f t="shared" si="2"/>
        <v>1</v>
      </c>
      <c r="H5153" s="1" t="str">
        <f t="shared" si="3"/>
        <v>Currently Unavailable</v>
      </c>
      <c r="I5153" s="1" t="str">
        <f t="shared" si="4"/>
        <v>No Badges</v>
      </c>
      <c r="J5153" s="3">
        <f t="shared" si="5"/>
        <v>0</v>
      </c>
    </row>
    <row r="5154">
      <c r="A5154" s="1" t="s">
        <v>3779</v>
      </c>
      <c r="B5154" s="3" t="str">
        <f t="shared" si="1"/>
        <v>Unavailable</v>
      </c>
      <c r="C5154" s="3">
        <v>600.0</v>
      </c>
      <c r="D5154" s="3">
        <f>IFERROR(__xludf.DUMMYFUNCTION("IFERROR(
IF(REGEXMATCH(LOWER(O5154),""k""),
VALUE(REGEXEXTRACT(O5154,""[0-9]+""))*1000,
VALUE(REGEXEXTRACT(O5154,""[0-9]+""))
),
0
)"),0.0)</f>
        <v>0</v>
      </c>
      <c r="E5154" s="1" t="s">
        <v>11</v>
      </c>
      <c r="F5154" s="1" t="s">
        <v>20</v>
      </c>
      <c r="G5154" s="4" t="b">
        <f t="shared" si="2"/>
        <v>1</v>
      </c>
      <c r="H5154" s="1" t="str">
        <f t="shared" si="3"/>
        <v>Currently Unavailable</v>
      </c>
      <c r="I5154" s="1" t="str">
        <f t="shared" si="4"/>
        <v>No Badges</v>
      </c>
      <c r="J5154" s="3">
        <f t="shared" si="5"/>
        <v>0</v>
      </c>
    </row>
    <row r="5155">
      <c r="A5155" s="1" t="s">
        <v>3780</v>
      </c>
      <c r="B5155" s="3" t="str">
        <f t="shared" si="1"/>
        <v>Unavailable</v>
      </c>
      <c r="C5155" s="3">
        <v>752.0</v>
      </c>
      <c r="D5155" s="3">
        <f>IFERROR(__xludf.DUMMYFUNCTION("IFERROR(
IF(REGEXMATCH(LOWER(O5155),""k""),
VALUE(REGEXEXTRACT(O5155,""[0-9]+""))*1000,
VALUE(REGEXEXTRACT(O5155,""[0-9]+""))
),
0
)"),0.0)</f>
        <v>0</v>
      </c>
      <c r="E5155" s="1" t="s">
        <v>11</v>
      </c>
      <c r="F5155" s="1" t="s">
        <v>20</v>
      </c>
      <c r="G5155" s="4" t="b">
        <f t="shared" si="2"/>
        <v>1</v>
      </c>
      <c r="H5155" s="1" t="str">
        <f t="shared" si="3"/>
        <v>Currently Unavailable</v>
      </c>
      <c r="I5155" s="1" t="str">
        <f t="shared" si="4"/>
        <v>No Badges</v>
      </c>
      <c r="J5155" s="3">
        <f t="shared" si="5"/>
        <v>0</v>
      </c>
    </row>
    <row r="5156">
      <c r="A5156" s="1" t="s">
        <v>67</v>
      </c>
      <c r="B5156" s="3" t="str">
        <f t="shared" si="1"/>
        <v>Unavailable</v>
      </c>
      <c r="C5156" s="3">
        <v>264.0</v>
      </c>
      <c r="D5156" s="3">
        <f>IFERROR(__xludf.DUMMYFUNCTION("IFERROR(
IF(REGEXMATCH(LOWER(O5156),""k""),
VALUE(REGEXEXTRACT(O5156,""[0-9]+""))*1000,
VALUE(REGEXEXTRACT(O5156,""[0-9]+""))
),
0
)"),0.0)</f>
        <v>0</v>
      </c>
      <c r="E5156" s="1" t="s">
        <v>11</v>
      </c>
      <c r="F5156" s="1" t="s">
        <v>12</v>
      </c>
      <c r="G5156" s="4" t="b">
        <f t="shared" si="2"/>
        <v>1</v>
      </c>
      <c r="H5156" s="1" t="str">
        <f t="shared" si="3"/>
        <v>Currently Unavailable</v>
      </c>
      <c r="I5156" s="1" t="str">
        <f t="shared" si="4"/>
        <v>No Badges</v>
      </c>
      <c r="J5156" s="3">
        <f t="shared" si="5"/>
        <v>0</v>
      </c>
    </row>
    <row r="5157">
      <c r="A5157" s="1" t="s">
        <v>3781</v>
      </c>
      <c r="B5157" s="3" t="str">
        <f t="shared" si="1"/>
        <v>Unavailable</v>
      </c>
      <c r="C5157" s="3">
        <v>58.0</v>
      </c>
      <c r="D5157" s="3">
        <f>IFERROR(__xludf.DUMMYFUNCTION("IFERROR(
IF(REGEXMATCH(LOWER(O5157),""k""),
VALUE(REGEXEXTRACT(O5157,""[0-9]+""))*1000,
VALUE(REGEXEXTRACT(O5157,""[0-9]+""))
),
0
)"),0.0)</f>
        <v>0</v>
      </c>
      <c r="E5157" s="1" t="s">
        <v>11</v>
      </c>
      <c r="F5157" s="1" t="s">
        <v>20</v>
      </c>
      <c r="G5157" s="4" t="b">
        <f t="shared" si="2"/>
        <v>1</v>
      </c>
      <c r="H5157" s="1" t="str">
        <f t="shared" si="3"/>
        <v>Currently Unavailable</v>
      </c>
      <c r="I5157" s="1" t="str">
        <f t="shared" si="4"/>
        <v>No Badges</v>
      </c>
      <c r="J5157" s="3">
        <f t="shared" si="5"/>
        <v>0</v>
      </c>
    </row>
    <row r="5158">
      <c r="A5158" s="1" t="s">
        <v>701</v>
      </c>
      <c r="B5158" s="3" t="str">
        <f t="shared" si="1"/>
        <v>Unavailable</v>
      </c>
      <c r="C5158" s="3">
        <v>8.0</v>
      </c>
      <c r="D5158" s="3">
        <f>IFERROR(__xludf.DUMMYFUNCTION("IFERROR(
IF(REGEXMATCH(LOWER(O5158),""k""),
VALUE(REGEXEXTRACT(O5158,""[0-9]+""))*1000,
VALUE(REGEXEXTRACT(O5158,""[0-9]+""))
),
0
)"),0.0)</f>
        <v>0</v>
      </c>
      <c r="E5158" s="1" t="s">
        <v>11</v>
      </c>
      <c r="F5158" s="1" t="s">
        <v>12</v>
      </c>
      <c r="G5158" s="4" t="b">
        <f t="shared" si="2"/>
        <v>1</v>
      </c>
      <c r="H5158" s="1" t="str">
        <f t="shared" si="3"/>
        <v>Currently Unavailable</v>
      </c>
      <c r="I5158" s="1" t="str">
        <f t="shared" si="4"/>
        <v>No Badges</v>
      </c>
      <c r="J5158" s="3">
        <f t="shared" si="5"/>
        <v>0</v>
      </c>
    </row>
    <row r="5159">
      <c r="A5159" s="1" t="s">
        <v>3782</v>
      </c>
      <c r="B5159" s="3" t="str">
        <f t="shared" si="1"/>
        <v>Unavailable</v>
      </c>
      <c r="C5159" s="3">
        <v>39.0</v>
      </c>
      <c r="D5159" s="3">
        <f>IFERROR(__xludf.DUMMYFUNCTION("IFERROR(
IF(REGEXMATCH(LOWER(O5159),""k""),
VALUE(REGEXEXTRACT(O5159,""[0-9]+""))*1000,
VALUE(REGEXEXTRACT(O5159,""[0-9]+""))
),
0
)"),0.0)</f>
        <v>0</v>
      </c>
      <c r="E5159" s="1" t="s">
        <v>11</v>
      </c>
      <c r="F5159" s="1" t="s">
        <v>20</v>
      </c>
      <c r="G5159" s="4" t="b">
        <f t="shared" si="2"/>
        <v>1</v>
      </c>
      <c r="H5159" s="1" t="str">
        <f t="shared" si="3"/>
        <v>Currently Unavailable</v>
      </c>
      <c r="I5159" s="1" t="str">
        <f t="shared" si="4"/>
        <v>No Badges</v>
      </c>
      <c r="J5159" s="3">
        <f t="shared" si="5"/>
        <v>0</v>
      </c>
    </row>
    <row r="5160">
      <c r="A5160" s="1" t="s">
        <v>3783</v>
      </c>
      <c r="B5160" s="3" t="str">
        <f t="shared" si="1"/>
        <v>Unavailable</v>
      </c>
      <c r="C5160" s="5">
        <v>1591.0</v>
      </c>
      <c r="D5160" s="3">
        <f>IFERROR(__xludf.DUMMYFUNCTION("IFERROR(
IF(REGEXMATCH(LOWER(O5160),""k""),
VALUE(REGEXEXTRACT(O5160,""[0-9]+""))*1000,
VALUE(REGEXEXTRACT(O5160,""[0-9]+""))
),
0
)"),0.0)</f>
        <v>0</v>
      </c>
      <c r="E5160" s="1" t="s">
        <v>11</v>
      </c>
      <c r="F5160" s="1" t="s">
        <v>20</v>
      </c>
      <c r="G5160" s="4" t="b">
        <f t="shared" si="2"/>
        <v>1</v>
      </c>
      <c r="H5160" s="1" t="str">
        <f t="shared" si="3"/>
        <v>Currently Unavailable</v>
      </c>
      <c r="I5160" s="1" t="str">
        <f t="shared" si="4"/>
        <v>No Badges</v>
      </c>
      <c r="J5160" s="3">
        <f t="shared" si="5"/>
        <v>0</v>
      </c>
    </row>
    <row r="5161">
      <c r="A5161" s="1" t="s">
        <v>3784</v>
      </c>
      <c r="B5161" s="3" t="str">
        <f t="shared" si="1"/>
        <v>Unavailable</v>
      </c>
      <c r="C5161" s="3">
        <v>5.0</v>
      </c>
      <c r="D5161" s="3">
        <f>IFERROR(__xludf.DUMMYFUNCTION("IFERROR(
IF(REGEXMATCH(LOWER(O5161),""k""),
VALUE(REGEXEXTRACT(O5161,""[0-9]+""))*1000,
VALUE(REGEXEXTRACT(O5161,""[0-9]+""))
),
0
)"),0.0)</f>
        <v>0</v>
      </c>
      <c r="E5161" s="1" t="s">
        <v>11</v>
      </c>
      <c r="F5161" s="1" t="s">
        <v>20</v>
      </c>
      <c r="G5161" s="4" t="b">
        <f t="shared" si="2"/>
        <v>1</v>
      </c>
      <c r="H5161" s="1" t="str">
        <f t="shared" si="3"/>
        <v>Currently Unavailable</v>
      </c>
      <c r="I5161" s="1" t="str">
        <f t="shared" si="4"/>
        <v>No Badges</v>
      </c>
      <c r="J5161" s="3">
        <f t="shared" si="5"/>
        <v>0</v>
      </c>
    </row>
    <row r="5162">
      <c r="A5162" s="1" t="s">
        <v>3785</v>
      </c>
      <c r="B5162" s="3" t="str">
        <f t="shared" si="1"/>
        <v>Unavailable</v>
      </c>
      <c r="C5162" s="3">
        <v>299.0</v>
      </c>
      <c r="D5162" s="3">
        <f>IFERROR(__xludf.DUMMYFUNCTION("IFERROR(
IF(REGEXMATCH(LOWER(O5162),""k""),
VALUE(REGEXEXTRACT(O5162,""[0-9]+""))*1000,
VALUE(REGEXEXTRACT(O5162,""[0-9]+""))
),
0
)"),0.0)</f>
        <v>0</v>
      </c>
      <c r="E5162" s="1" t="s">
        <v>11</v>
      </c>
      <c r="F5162" s="1" t="s">
        <v>20</v>
      </c>
      <c r="G5162" s="4" t="b">
        <f t="shared" si="2"/>
        <v>1</v>
      </c>
      <c r="H5162" s="1" t="str">
        <f t="shared" si="3"/>
        <v>Currently Unavailable</v>
      </c>
      <c r="I5162" s="1" t="str">
        <f t="shared" si="4"/>
        <v>No Badges</v>
      </c>
      <c r="J5162" s="3">
        <f t="shared" si="5"/>
        <v>0</v>
      </c>
    </row>
    <row r="5163">
      <c r="A5163" s="1" t="s">
        <v>3786</v>
      </c>
      <c r="B5163" s="3" t="str">
        <f t="shared" si="1"/>
        <v>Unavailable</v>
      </c>
      <c r="C5163" s="3">
        <v>324.0</v>
      </c>
      <c r="D5163" s="3">
        <f>IFERROR(__xludf.DUMMYFUNCTION("IFERROR(
IF(REGEXMATCH(LOWER(O5163),""k""),
VALUE(REGEXEXTRACT(O5163,""[0-9]+""))*1000,
VALUE(REGEXEXTRACT(O5163,""[0-9]+""))
),
0
)"),0.0)</f>
        <v>0</v>
      </c>
      <c r="E5163" s="1" t="s">
        <v>11</v>
      </c>
      <c r="F5163" s="1" t="s">
        <v>20</v>
      </c>
      <c r="G5163" s="4" t="b">
        <f t="shared" si="2"/>
        <v>1</v>
      </c>
      <c r="H5163" s="1" t="str">
        <f t="shared" si="3"/>
        <v>Currently Unavailable</v>
      </c>
      <c r="I5163" s="1" t="str">
        <f t="shared" si="4"/>
        <v>No Badges</v>
      </c>
      <c r="J5163" s="3">
        <f t="shared" si="5"/>
        <v>0</v>
      </c>
    </row>
    <row r="5164">
      <c r="A5164" s="1" t="s">
        <v>3787</v>
      </c>
      <c r="B5164" s="3" t="str">
        <f t="shared" si="1"/>
        <v>Unavailable</v>
      </c>
      <c r="C5164" s="3">
        <v>408.0</v>
      </c>
      <c r="D5164" s="3">
        <f>IFERROR(__xludf.DUMMYFUNCTION("IFERROR(
IF(REGEXMATCH(LOWER(O5164),""k""),
VALUE(REGEXEXTRACT(O5164,""[0-9]+""))*1000,
VALUE(REGEXEXTRACT(O5164,""[0-9]+""))
),
0
)"),0.0)</f>
        <v>0</v>
      </c>
      <c r="E5164" s="1" t="s">
        <v>11</v>
      </c>
      <c r="F5164" s="1" t="s">
        <v>20</v>
      </c>
      <c r="G5164" s="4" t="b">
        <f t="shared" si="2"/>
        <v>1</v>
      </c>
      <c r="H5164" s="1" t="str">
        <f t="shared" si="3"/>
        <v>Currently Unavailable</v>
      </c>
      <c r="I5164" s="1" t="str">
        <f t="shared" si="4"/>
        <v>No Badges</v>
      </c>
      <c r="J5164" s="3">
        <f t="shared" si="5"/>
        <v>0</v>
      </c>
    </row>
    <row r="5165">
      <c r="A5165" s="1" t="s">
        <v>3788</v>
      </c>
      <c r="B5165" s="3" t="str">
        <f t="shared" si="1"/>
        <v>Unavailable</v>
      </c>
      <c r="C5165" s="5">
        <v>4178.0</v>
      </c>
      <c r="D5165" s="3">
        <f>IFERROR(__xludf.DUMMYFUNCTION("IFERROR(
IF(REGEXMATCH(LOWER(O5165),""k""),
VALUE(REGEXEXTRACT(O5165,""[0-9]+""))*1000,
VALUE(REGEXEXTRACT(O5165,""[0-9]+""))
),
0
)"),0.0)</f>
        <v>0</v>
      </c>
      <c r="E5165" s="1" t="s">
        <v>11</v>
      </c>
      <c r="F5165" s="1" t="s">
        <v>20</v>
      </c>
      <c r="G5165" s="4" t="b">
        <f t="shared" si="2"/>
        <v>1</v>
      </c>
      <c r="H5165" s="1" t="str">
        <f t="shared" si="3"/>
        <v>Currently Unavailable</v>
      </c>
      <c r="I5165" s="1" t="str">
        <f t="shared" si="4"/>
        <v>No Badges</v>
      </c>
      <c r="J5165" s="3">
        <f t="shared" si="5"/>
        <v>0</v>
      </c>
    </row>
    <row r="5166">
      <c r="A5166" s="1" t="s">
        <v>3789</v>
      </c>
      <c r="B5166" s="3" t="str">
        <f t="shared" si="1"/>
        <v>Unavailable</v>
      </c>
      <c r="C5166" s="5">
        <v>1685.0</v>
      </c>
      <c r="D5166" s="3">
        <f>IFERROR(__xludf.DUMMYFUNCTION("IFERROR(
IF(REGEXMATCH(LOWER(O5166),""k""),
VALUE(REGEXEXTRACT(O5166,""[0-9]+""))*1000,
VALUE(REGEXEXTRACT(O5166,""[0-9]+""))
),
0
)"),0.0)</f>
        <v>0</v>
      </c>
      <c r="E5166" s="1" t="s">
        <v>11</v>
      </c>
      <c r="F5166" s="1" t="s">
        <v>20</v>
      </c>
      <c r="G5166" s="4" t="b">
        <f t="shared" si="2"/>
        <v>1</v>
      </c>
      <c r="H5166" s="1" t="str">
        <f t="shared" si="3"/>
        <v>Currently Unavailable</v>
      </c>
      <c r="I5166" s="1" t="str">
        <f t="shared" si="4"/>
        <v>No Badges</v>
      </c>
      <c r="J5166" s="3">
        <f t="shared" si="5"/>
        <v>0</v>
      </c>
    </row>
    <row r="5167">
      <c r="A5167" s="1" t="s">
        <v>3790</v>
      </c>
      <c r="B5167" s="3" t="str">
        <f t="shared" si="1"/>
        <v>Unavailable</v>
      </c>
      <c r="C5167" s="5">
        <v>7128.0</v>
      </c>
      <c r="D5167" s="3">
        <f>IFERROR(__xludf.DUMMYFUNCTION("IFERROR(
IF(REGEXMATCH(LOWER(O5167),""k""),
VALUE(REGEXEXTRACT(O5167,""[0-9]+""))*1000,
VALUE(REGEXEXTRACT(O5167,""[0-9]+""))
),
0
)"),0.0)</f>
        <v>0</v>
      </c>
      <c r="E5167" s="1" t="s">
        <v>11</v>
      </c>
      <c r="F5167" s="1" t="s">
        <v>20</v>
      </c>
      <c r="G5167" s="4" t="b">
        <f t="shared" si="2"/>
        <v>1</v>
      </c>
      <c r="H5167" s="1" t="str">
        <f t="shared" si="3"/>
        <v>Currently Unavailable</v>
      </c>
      <c r="I5167" s="1" t="str">
        <f t="shared" si="4"/>
        <v>No Badges</v>
      </c>
      <c r="J5167" s="3">
        <f t="shared" si="5"/>
        <v>0</v>
      </c>
    </row>
    <row r="5168">
      <c r="A5168" s="1" t="s">
        <v>3791</v>
      </c>
      <c r="B5168" s="3" t="str">
        <f t="shared" si="1"/>
        <v>Unavailable</v>
      </c>
      <c r="C5168" s="5">
        <v>1148.0</v>
      </c>
      <c r="D5168" s="3">
        <f>IFERROR(__xludf.DUMMYFUNCTION("IFERROR(
IF(REGEXMATCH(LOWER(O5168),""k""),
VALUE(REGEXEXTRACT(O5168,""[0-9]+""))*1000,
VALUE(REGEXEXTRACT(O5168,""[0-9]+""))
),
0
)"),0.0)</f>
        <v>0</v>
      </c>
      <c r="E5168" s="1" t="s">
        <v>11</v>
      </c>
      <c r="F5168" s="1" t="s">
        <v>20</v>
      </c>
      <c r="G5168" s="4" t="b">
        <f t="shared" si="2"/>
        <v>1</v>
      </c>
      <c r="H5168" s="1" t="str">
        <f t="shared" si="3"/>
        <v>Currently Unavailable</v>
      </c>
      <c r="I5168" s="1" t="str">
        <f t="shared" si="4"/>
        <v>No Badges</v>
      </c>
      <c r="J5168" s="3">
        <f t="shared" si="5"/>
        <v>0</v>
      </c>
    </row>
    <row r="5169">
      <c r="A5169" s="1" t="s">
        <v>3792</v>
      </c>
      <c r="B5169" s="3" t="str">
        <f t="shared" si="1"/>
        <v>Unavailable</v>
      </c>
      <c r="C5169" s="3">
        <v>411.0</v>
      </c>
      <c r="D5169" s="3">
        <f>IFERROR(__xludf.DUMMYFUNCTION("IFERROR(
IF(REGEXMATCH(LOWER(O5169),""k""),
VALUE(REGEXEXTRACT(O5169,""[0-9]+""))*1000,
VALUE(REGEXEXTRACT(O5169,""[0-9]+""))
),
0
)"),0.0)</f>
        <v>0</v>
      </c>
      <c r="E5169" s="1" t="s">
        <v>11</v>
      </c>
      <c r="F5169" s="1" t="s">
        <v>20</v>
      </c>
      <c r="G5169" s="4" t="b">
        <f t="shared" si="2"/>
        <v>1</v>
      </c>
      <c r="H5169" s="1" t="str">
        <f t="shared" si="3"/>
        <v>Currently Unavailable</v>
      </c>
      <c r="I5169" s="1" t="str">
        <f t="shared" si="4"/>
        <v>No Badges</v>
      </c>
      <c r="J5169" s="3">
        <f t="shared" si="5"/>
        <v>0</v>
      </c>
    </row>
    <row r="5170">
      <c r="A5170" s="1" t="s">
        <v>3793</v>
      </c>
      <c r="B5170" s="3" t="str">
        <f t="shared" si="1"/>
        <v>Unavailable</v>
      </c>
      <c r="C5170" s="5">
        <v>3473.0</v>
      </c>
      <c r="D5170" s="3">
        <f>IFERROR(__xludf.DUMMYFUNCTION("IFERROR(
IF(REGEXMATCH(LOWER(O5170),""k""),
VALUE(REGEXEXTRACT(O5170,""[0-9]+""))*1000,
VALUE(REGEXEXTRACT(O5170,""[0-9]+""))
),
0
)"),0.0)</f>
        <v>0</v>
      </c>
      <c r="E5170" s="1" t="s">
        <v>11</v>
      </c>
      <c r="F5170" s="1" t="s">
        <v>20</v>
      </c>
      <c r="G5170" s="4" t="b">
        <f t="shared" si="2"/>
        <v>1</v>
      </c>
      <c r="H5170" s="1" t="str">
        <f t="shared" si="3"/>
        <v>Currently Unavailable</v>
      </c>
      <c r="I5170" s="1" t="str">
        <f t="shared" si="4"/>
        <v>No Badges</v>
      </c>
      <c r="J5170" s="3">
        <f t="shared" si="5"/>
        <v>0</v>
      </c>
    </row>
    <row r="5171">
      <c r="A5171" s="1" t="s">
        <v>3794</v>
      </c>
      <c r="B5171" s="3" t="str">
        <f t="shared" si="1"/>
        <v>Unavailable</v>
      </c>
      <c r="C5171" s="3">
        <v>538.0</v>
      </c>
      <c r="D5171" s="3">
        <f>IFERROR(__xludf.DUMMYFUNCTION("IFERROR(
IF(REGEXMATCH(LOWER(O5171),""k""),
VALUE(REGEXEXTRACT(O5171,""[0-9]+""))*1000,
VALUE(REGEXEXTRACT(O5171,""[0-9]+""))
),
0
)"),0.0)</f>
        <v>0</v>
      </c>
      <c r="E5171" s="1" t="s">
        <v>11</v>
      </c>
      <c r="F5171" s="1" t="s">
        <v>20</v>
      </c>
      <c r="G5171" s="4" t="b">
        <f t="shared" si="2"/>
        <v>1</v>
      </c>
      <c r="H5171" s="1" t="str">
        <f t="shared" si="3"/>
        <v>Currently Unavailable</v>
      </c>
      <c r="I5171" s="1" t="str">
        <f t="shared" si="4"/>
        <v>No Badges</v>
      </c>
      <c r="J5171" s="3">
        <f t="shared" si="5"/>
        <v>0</v>
      </c>
    </row>
    <row r="5172">
      <c r="A5172" s="1" t="s">
        <v>3795</v>
      </c>
      <c r="B5172" s="3" t="str">
        <f t="shared" si="1"/>
        <v>Unavailable</v>
      </c>
      <c r="C5172" s="5">
        <v>1485.0</v>
      </c>
      <c r="D5172" s="3">
        <f>IFERROR(__xludf.DUMMYFUNCTION("IFERROR(
IF(REGEXMATCH(LOWER(O5172),""k""),
VALUE(REGEXEXTRACT(O5172,""[0-9]+""))*1000,
VALUE(REGEXEXTRACT(O5172,""[0-9]+""))
),
0
)"),0.0)</f>
        <v>0</v>
      </c>
      <c r="E5172" s="1" t="s">
        <v>11</v>
      </c>
      <c r="F5172" s="1" t="s">
        <v>20</v>
      </c>
      <c r="G5172" s="4" t="b">
        <f t="shared" si="2"/>
        <v>1</v>
      </c>
      <c r="H5172" s="1" t="str">
        <f t="shared" si="3"/>
        <v>Currently Unavailable</v>
      </c>
      <c r="I5172" s="1" t="str">
        <f t="shared" si="4"/>
        <v>No Badges</v>
      </c>
      <c r="J5172" s="3">
        <f t="shared" si="5"/>
        <v>0</v>
      </c>
    </row>
    <row r="5173">
      <c r="A5173" s="1" t="s">
        <v>88</v>
      </c>
      <c r="B5173" s="3" t="str">
        <f t="shared" si="1"/>
        <v>Unavailable</v>
      </c>
      <c r="C5173" s="3">
        <v>5.0</v>
      </c>
      <c r="D5173" s="3">
        <f>IFERROR(__xludf.DUMMYFUNCTION("IFERROR(
IF(REGEXMATCH(LOWER(O5173),""k""),
VALUE(REGEXEXTRACT(O5173,""[0-9]+""))*1000,
VALUE(REGEXEXTRACT(O5173,""[0-9]+""))
),
0
)"),0.0)</f>
        <v>0</v>
      </c>
      <c r="E5173" s="1" t="s">
        <v>11</v>
      </c>
      <c r="F5173" s="1" t="s">
        <v>12</v>
      </c>
      <c r="G5173" s="4" t="b">
        <f t="shared" si="2"/>
        <v>1</v>
      </c>
      <c r="H5173" s="1" t="str">
        <f t="shared" si="3"/>
        <v>Currently Unavailable</v>
      </c>
      <c r="I5173" s="1" t="str">
        <f t="shared" si="4"/>
        <v>No Badges</v>
      </c>
      <c r="J5173" s="3">
        <f t="shared" si="5"/>
        <v>0</v>
      </c>
    </row>
    <row r="5174">
      <c r="A5174" s="1" t="s">
        <v>3796</v>
      </c>
      <c r="B5174" s="3" t="str">
        <f t="shared" si="1"/>
        <v>Unavailable</v>
      </c>
      <c r="C5174" s="5">
        <v>8159.0</v>
      </c>
      <c r="D5174" s="3">
        <f>IFERROR(__xludf.DUMMYFUNCTION("IFERROR(
IF(REGEXMATCH(LOWER(O5174),""k""),
VALUE(REGEXEXTRACT(O5174,""[0-9]+""))*1000,
VALUE(REGEXEXTRACT(O5174,""[0-9]+""))
),
0
)"),0.0)</f>
        <v>0</v>
      </c>
      <c r="E5174" s="1" t="s">
        <v>11</v>
      </c>
      <c r="F5174" s="1" t="s">
        <v>20</v>
      </c>
      <c r="G5174" s="4" t="b">
        <f t="shared" si="2"/>
        <v>1</v>
      </c>
      <c r="H5174" s="1" t="str">
        <f t="shared" si="3"/>
        <v>Currently Unavailable</v>
      </c>
      <c r="I5174" s="1" t="str">
        <f t="shared" si="4"/>
        <v>No Badges</v>
      </c>
      <c r="J5174" s="3">
        <f t="shared" si="5"/>
        <v>0</v>
      </c>
    </row>
    <row r="5175">
      <c r="A5175" s="1" t="s">
        <v>3797</v>
      </c>
      <c r="B5175" s="3" t="str">
        <f t="shared" si="1"/>
        <v>Unavailable</v>
      </c>
      <c r="C5175" s="3">
        <v>160.0</v>
      </c>
      <c r="D5175" s="3">
        <f>IFERROR(__xludf.DUMMYFUNCTION("IFERROR(
IF(REGEXMATCH(LOWER(O5175),""k""),
VALUE(REGEXEXTRACT(O5175,""[0-9]+""))*1000,
VALUE(REGEXEXTRACT(O5175,""[0-9]+""))
),
0
)"),0.0)</f>
        <v>0</v>
      </c>
      <c r="E5175" s="1" t="s">
        <v>11</v>
      </c>
      <c r="F5175" s="1" t="s">
        <v>20</v>
      </c>
      <c r="G5175" s="4" t="b">
        <f t="shared" si="2"/>
        <v>1</v>
      </c>
      <c r="H5175" s="1" t="str">
        <f t="shared" si="3"/>
        <v>Currently Unavailable</v>
      </c>
      <c r="I5175" s="1" t="str">
        <f t="shared" si="4"/>
        <v>No Badges</v>
      </c>
      <c r="J5175" s="3">
        <f t="shared" si="5"/>
        <v>0</v>
      </c>
    </row>
    <row r="5176">
      <c r="A5176" s="1" t="s">
        <v>3798</v>
      </c>
      <c r="B5176" s="3" t="str">
        <f t="shared" si="1"/>
        <v>Unavailable</v>
      </c>
      <c r="C5176" s="3">
        <v>361.0</v>
      </c>
      <c r="D5176" s="3">
        <f>IFERROR(__xludf.DUMMYFUNCTION("IFERROR(
IF(REGEXMATCH(LOWER(O5176),""k""),
VALUE(REGEXEXTRACT(O5176,""[0-9]+""))*1000,
VALUE(REGEXEXTRACT(O5176,""[0-9]+""))
),
0
)"),0.0)</f>
        <v>0</v>
      </c>
      <c r="E5176" s="1" t="s">
        <v>11</v>
      </c>
      <c r="F5176" s="1" t="s">
        <v>20</v>
      </c>
      <c r="G5176" s="4" t="b">
        <f t="shared" si="2"/>
        <v>1</v>
      </c>
      <c r="H5176" s="1" t="str">
        <f t="shared" si="3"/>
        <v>Currently Unavailable</v>
      </c>
      <c r="I5176" s="1" t="str">
        <f t="shared" si="4"/>
        <v>No Badges</v>
      </c>
      <c r="J5176" s="3">
        <f t="shared" si="5"/>
        <v>0</v>
      </c>
    </row>
    <row r="5177">
      <c r="A5177" s="1" t="s">
        <v>3799</v>
      </c>
      <c r="B5177" s="3" t="str">
        <f t="shared" si="1"/>
        <v>Unavailable</v>
      </c>
      <c r="C5177" s="3">
        <v>525.0</v>
      </c>
      <c r="D5177" s="3">
        <f>IFERROR(__xludf.DUMMYFUNCTION("IFERROR(
IF(REGEXMATCH(LOWER(O5177),""k""),
VALUE(REGEXEXTRACT(O5177,""[0-9]+""))*1000,
VALUE(REGEXEXTRACT(O5177,""[0-9]+""))
),
0
)"),0.0)</f>
        <v>0</v>
      </c>
      <c r="E5177" s="1" t="s">
        <v>11</v>
      </c>
      <c r="F5177" s="1" t="s">
        <v>20</v>
      </c>
      <c r="G5177" s="4" t="b">
        <f t="shared" si="2"/>
        <v>1</v>
      </c>
      <c r="H5177" s="1" t="str">
        <f t="shared" si="3"/>
        <v>Currently Unavailable</v>
      </c>
      <c r="I5177" s="1" t="str">
        <f t="shared" si="4"/>
        <v>No Badges</v>
      </c>
      <c r="J5177" s="3">
        <f t="shared" si="5"/>
        <v>0</v>
      </c>
    </row>
    <row r="5178">
      <c r="A5178" s="1" t="s">
        <v>3800</v>
      </c>
      <c r="B5178" s="3" t="str">
        <f t="shared" si="1"/>
        <v>Unavailable</v>
      </c>
      <c r="C5178" s="3">
        <v>169.0</v>
      </c>
      <c r="D5178" s="3">
        <f>IFERROR(__xludf.DUMMYFUNCTION("IFERROR(
IF(REGEXMATCH(LOWER(O5178),""k""),
VALUE(REGEXEXTRACT(O5178,""[0-9]+""))*1000,
VALUE(REGEXEXTRACT(O5178,""[0-9]+""))
),
0
)"),0.0)</f>
        <v>0</v>
      </c>
      <c r="E5178" s="1" t="s">
        <v>11</v>
      </c>
      <c r="F5178" s="1" t="s">
        <v>20</v>
      </c>
      <c r="G5178" s="4" t="b">
        <f t="shared" si="2"/>
        <v>1</v>
      </c>
      <c r="H5178" s="1" t="str">
        <f t="shared" si="3"/>
        <v>Currently Unavailable</v>
      </c>
      <c r="I5178" s="1" t="str">
        <f t="shared" si="4"/>
        <v>No Badges</v>
      </c>
      <c r="J5178" s="3">
        <f t="shared" si="5"/>
        <v>0</v>
      </c>
    </row>
    <row r="5179">
      <c r="A5179" s="1" t="s">
        <v>3801</v>
      </c>
      <c r="B5179" s="3" t="str">
        <f t="shared" si="1"/>
        <v>Unavailable</v>
      </c>
      <c r="C5179" s="3">
        <v>732.0</v>
      </c>
      <c r="D5179" s="3">
        <f>IFERROR(__xludf.DUMMYFUNCTION("IFERROR(
IF(REGEXMATCH(LOWER(O5179),""k""),
VALUE(REGEXEXTRACT(O5179,""[0-9]+""))*1000,
VALUE(REGEXEXTRACT(O5179,""[0-9]+""))
),
0
)"),0.0)</f>
        <v>0</v>
      </c>
      <c r="E5179" s="1" t="s">
        <v>18</v>
      </c>
      <c r="F5179" s="1" t="s">
        <v>20</v>
      </c>
      <c r="G5179" s="4" t="b">
        <f t="shared" si="2"/>
        <v>1</v>
      </c>
      <c r="H5179" s="1" t="str">
        <f t="shared" si="3"/>
        <v>Currently Unavailable</v>
      </c>
      <c r="I5179" s="1" t="str">
        <f t="shared" si="4"/>
        <v>No Badges</v>
      </c>
      <c r="J5179" s="3">
        <f t="shared" si="5"/>
        <v>0</v>
      </c>
    </row>
    <row r="5180">
      <c r="A5180" s="1" t="s">
        <v>3802</v>
      </c>
      <c r="B5180" s="3" t="str">
        <f t="shared" si="1"/>
        <v>Unavailable</v>
      </c>
      <c r="C5180" s="3">
        <v>43.0</v>
      </c>
      <c r="D5180" s="3">
        <f>IFERROR(__xludf.DUMMYFUNCTION("IFERROR(
IF(REGEXMATCH(LOWER(O5180),""k""),
VALUE(REGEXEXTRACT(O5180,""[0-9]+""))*1000,
VALUE(REGEXEXTRACT(O5180,""[0-9]+""))
),
0
)"),0.0)</f>
        <v>0</v>
      </c>
      <c r="E5180" s="1" t="s">
        <v>11</v>
      </c>
      <c r="F5180" s="1" t="s">
        <v>20</v>
      </c>
      <c r="G5180" s="4" t="b">
        <f t="shared" si="2"/>
        <v>1</v>
      </c>
      <c r="H5180" s="1" t="str">
        <f t="shared" si="3"/>
        <v>Currently Unavailable</v>
      </c>
      <c r="I5180" s="1" t="str">
        <f t="shared" si="4"/>
        <v>No Badges</v>
      </c>
      <c r="J5180" s="3">
        <f t="shared" si="5"/>
        <v>0</v>
      </c>
    </row>
    <row r="5181">
      <c r="A5181" s="1" t="s">
        <v>3803</v>
      </c>
      <c r="B5181" s="3" t="str">
        <f t="shared" si="1"/>
        <v>Unavailable</v>
      </c>
      <c r="C5181" s="5">
        <v>2185.0</v>
      </c>
      <c r="D5181" s="3">
        <f>IFERROR(__xludf.DUMMYFUNCTION("IFERROR(
IF(REGEXMATCH(LOWER(O5181),""k""),
VALUE(REGEXEXTRACT(O5181,""[0-9]+""))*1000,
VALUE(REGEXEXTRACT(O5181,""[0-9]+""))
),
0
)"),0.0)</f>
        <v>0</v>
      </c>
      <c r="E5181" s="1" t="s">
        <v>11</v>
      </c>
      <c r="F5181" s="1" t="s">
        <v>20</v>
      </c>
      <c r="G5181" s="4" t="b">
        <f t="shared" si="2"/>
        <v>1</v>
      </c>
      <c r="H5181" s="1" t="str">
        <f t="shared" si="3"/>
        <v>Currently Unavailable</v>
      </c>
      <c r="I5181" s="1" t="str">
        <f t="shared" si="4"/>
        <v>No Badges</v>
      </c>
      <c r="J5181" s="3">
        <f t="shared" si="5"/>
        <v>0</v>
      </c>
    </row>
    <row r="5182">
      <c r="A5182" s="1" t="s">
        <v>3804</v>
      </c>
      <c r="B5182" s="3" t="str">
        <f t="shared" si="1"/>
        <v>Unavailable</v>
      </c>
      <c r="C5182" s="3">
        <v>153.0</v>
      </c>
      <c r="D5182" s="3">
        <f>IFERROR(__xludf.DUMMYFUNCTION("IFERROR(
IF(REGEXMATCH(LOWER(O5182),""k""),
VALUE(REGEXEXTRACT(O5182,""[0-9]+""))*1000,
VALUE(REGEXEXTRACT(O5182,""[0-9]+""))
),
0
)"),0.0)</f>
        <v>0</v>
      </c>
      <c r="E5182" s="1" t="s">
        <v>11</v>
      </c>
      <c r="F5182" s="1" t="s">
        <v>20</v>
      </c>
      <c r="G5182" s="4" t="b">
        <f t="shared" si="2"/>
        <v>1</v>
      </c>
      <c r="H5182" s="1" t="str">
        <f t="shared" si="3"/>
        <v>Currently Unavailable</v>
      </c>
      <c r="I5182" s="1" t="str">
        <f t="shared" si="4"/>
        <v>No Badges</v>
      </c>
      <c r="J5182" s="3">
        <f t="shared" si="5"/>
        <v>0</v>
      </c>
    </row>
    <row r="5183">
      <c r="A5183" s="1" t="s">
        <v>3805</v>
      </c>
      <c r="B5183" s="3" t="str">
        <f t="shared" si="1"/>
        <v>Unavailable</v>
      </c>
      <c r="C5183" s="5">
        <v>1378.0</v>
      </c>
      <c r="D5183" s="3">
        <f>IFERROR(__xludf.DUMMYFUNCTION("IFERROR(
IF(REGEXMATCH(LOWER(O5183),""k""),
VALUE(REGEXEXTRACT(O5183,""[0-9]+""))*1000,
VALUE(REGEXEXTRACT(O5183,""[0-9]+""))
),
0
)"),0.0)</f>
        <v>0</v>
      </c>
      <c r="E5183" s="1" t="s">
        <v>11</v>
      </c>
      <c r="F5183" s="1" t="s">
        <v>20</v>
      </c>
      <c r="G5183" s="4" t="b">
        <f t="shared" si="2"/>
        <v>1</v>
      </c>
      <c r="H5183" s="1" t="str">
        <f t="shared" si="3"/>
        <v>Currently Unavailable</v>
      </c>
      <c r="I5183" s="1" t="str">
        <f t="shared" si="4"/>
        <v>No Badges</v>
      </c>
      <c r="J5183" s="3">
        <f t="shared" si="5"/>
        <v>0</v>
      </c>
    </row>
    <row r="5184">
      <c r="A5184" s="1" t="s">
        <v>3806</v>
      </c>
      <c r="B5184" s="3" t="str">
        <f t="shared" si="1"/>
        <v>Unavailable</v>
      </c>
      <c r="C5184" s="3">
        <v>40.0</v>
      </c>
      <c r="D5184" s="3">
        <f>IFERROR(__xludf.DUMMYFUNCTION("IFERROR(
IF(REGEXMATCH(LOWER(O5184),""k""),
VALUE(REGEXEXTRACT(O5184,""[0-9]+""))*1000,
VALUE(REGEXEXTRACT(O5184,""[0-9]+""))
),
0
)"),0.0)</f>
        <v>0</v>
      </c>
      <c r="E5184" s="1" t="s">
        <v>11</v>
      </c>
      <c r="F5184" s="1" t="s">
        <v>20</v>
      </c>
      <c r="G5184" s="4" t="b">
        <f t="shared" si="2"/>
        <v>1</v>
      </c>
      <c r="H5184" s="1" t="str">
        <f t="shared" si="3"/>
        <v>Currently Unavailable</v>
      </c>
      <c r="I5184" s="1" t="str">
        <f t="shared" si="4"/>
        <v>No Badges</v>
      </c>
      <c r="J5184" s="3">
        <f t="shared" si="5"/>
        <v>0</v>
      </c>
    </row>
    <row r="5185">
      <c r="A5185" s="1" t="s">
        <v>3807</v>
      </c>
      <c r="B5185" s="3" t="str">
        <f t="shared" si="1"/>
        <v>Unavailable</v>
      </c>
      <c r="C5185" s="3">
        <v>938.0</v>
      </c>
      <c r="D5185" s="3">
        <f>IFERROR(__xludf.DUMMYFUNCTION("IFERROR(
IF(REGEXMATCH(LOWER(O5185),""k""),
VALUE(REGEXEXTRACT(O5185,""[0-9]+""))*1000,
VALUE(REGEXEXTRACT(O5185,""[0-9]+""))
),
0
)"),0.0)</f>
        <v>0</v>
      </c>
      <c r="E5185" s="1" t="s">
        <v>11</v>
      </c>
      <c r="F5185" s="1" t="s">
        <v>20</v>
      </c>
      <c r="G5185" s="4" t="b">
        <f t="shared" si="2"/>
        <v>1</v>
      </c>
      <c r="H5185" s="1" t="str">
        <f t="shared" si="3"/>
        <v>Currently Unavailable</v>
      </c>
      <c r="I5185" s="1" t="str">
        <f t="shared" si="4"/>
        <v>No Badges</v>
      </c>
      <c r="J5185" s="3">
        <f t="shared" si="5"/>
        <v>0</v>
      </c>
    </row>
    <row r="5186">
      <c r="A5186" s="1" t="s">
        <v>3808</v>
      </c>
      <c r="B5186" s="3" t="str">
        <f t="shared" si="1"/>
        <v>Unavailable</v>
      </c>
      <c r="C5186" s="3">
        <v>111.0</v>
      </c>
      <c r="D5186" s="3">
        <f>IFERROR(__xludf.DUMMYFUNCTION("IFERROR(
IF(REGEXMATCH(LOWER(O5186),""k""),
VALUE(REGEXEXTRACT(O5186,""[0-9]+""))*1000,
VALUE(REGEXEXTRACT(O5186,""[0-9]+""))
),
0
)"),0.0)</f>
        <v>0</v>
      </c>
      <c r="E5186" s="1" t="s">
        <v>11</v>
      </c>
      <c r="F5186" s="1" t="s">
        <v>20</v>
      </c>
      <c r="G5186" s="4" t="b">
        <f t="shared" si="2"/>
        <v>1</v>
      </c>
      <c r="H5186" s="1" t="str">
        <f t="shared" si="3"/>
        <v>Currently Unavailable</v>
      </c>
      <c r="I5186" s="1" t="str">
        <f t="shared" si="4"/>
        <v>No Badges</v>
      </c>
      <c r="J5186" s="3">
        <f t="shared" si="5"/>
        <v>0</v>
      </c>
    </row>
    <row r="5187">
      <c r="A5187" s="1" t="s">
        <v>3809</v>
      </c>
      <c r="B5187" s="3" t="str">
        <f t="shared" si="1"/>
        <v>Unavailable</v>
      </c>
      <c r="C5187" s="5">
        <v>1284.0</v>
      </c>
      <c r="D5187" s="3">
        <f>IFERROR(__xludf.DUMMYFUNCTION("IFERROR(
IF(REGEXMATCH(LOWER(O5187),""k""),
VALUE(REGEXEXTRACT(O5187,""[0-9]+""))*1000,
VALUE(REGEXEXTRACT(O5187,""[0-9]+""))
),
0
)"),0.0)</f>
        <v>0</v>
      </c>
      <c r="E5187" s="1" t="s">
        <v>11</v>
      </c>
      <c r="F5187" s="1" t="s">
        <v>20</v>
      </c>
      <c r="G5187" s="4" t="b">
        <f t="shared" si="2"/>
        <v>1</v>
      </c>
      <c r="H5187" s="1" t="str">
        <f t="shared" si="3"/>
        <v>Currently Unavailable</v>
      </c>
      <c r="I5187" s="1" t="str">
        <f t="shared" si="4"/>
        <v>No Badges</v>
      </c>
      <c r="J5187" s="3">
        <f t="shared" si="5"/>
        <v>0</v>
      </c>
    </row>
    <row r="5188">
      <c r="A5188" s="1" t="s">
        <v>3810</v>
      </c>
      <c r="B5188" s="3" t="str">
        <f t="shared" si="1"/>
        <v>Unavailable</v>
      </c>
      <c r="C5188" s="3">
        <v>503.0</v>
      </c>
      <c r="D5188" s="3">
        <f>IFERROR(__xludf.DUMMYFUNCTION("IFERROR(
IF(REGEXMATCH(LOWER(O5188),""k""),
VALUE(REGEXEXTRACT(O5188,""[0-9]+""))*1000,
VALUE(REGEXEXTRACT(O5188,""[0-9]+""))
),
0
)"),0.0)</f>
        <v>0</v>
      </c>
      <c r="E5188" s="1" t="s">
        <v>11</v>
      </c>
      <c r="F5188" s="1" t="s">
        <v>20</v>
      </c>
      <c r="G5188" s="4" t="b">
        <f t="shared" si="2"/>
        <v>1</v>
      </c>
      <c r="H5188" s="1" t="str">
        <f t="shared" si="3"/>
        <v>Currently Unavailable</v>
      </c>
      <c r="I5188" s="1" t="str">
        <f t="shared" si="4"/>
        <v>No Badges</v>
      </c>
      <c r="J5188" s="3">
        <f t="shared" si="5"/>
        <v>0</v>
      </c>
    </row>
    <row r="5189">
      <c r="A5189" s="1" t="s">
        <v>69</v>
      </c>
      <c r="B5189" s="3" t="str">
        <f t="shared" si="1"/>
        <v>Unavailable</v>
      </c>
      <c r="C5189" s="3">
        <v>45.0</v>
      </c>
      <c r="D5189" s="3">
        <f>IFERROR(__xludf.DUMMYFUNCTION("IFERROR(
IF(REGEXMATCH(LOWER(O5189),""k""),
VALUE(REGEXEXTRACT(O5189,""[0-9]+""))*1000,
VALUE(REGEXEXTRACT(O5189,""[0-9]+""))
),
0
)"),0.0)</f>
        <v>0</v>
      </c>
      <c r="E5189" s="1" t="s">
        <v>11</v>
      </c>
      <c r="F5189" s="1" t="s">
        <v>12</v>
      </c>
      <c r="G5189" s="4" t="b">
        <f t="shared" si="2"/>
        <v>1</v>
      </c>
      <c r="H5189" s="1" t="str">
        <f t="shared" si="3"/>
        <v>Currently Unavailable</v>
      </c>
      <c r="I5189" s="1" t="str">
        <f t="shared" si="4"/>
        <v>No Badges</v>
      </c>
      <c r="J5189" s="3">
        <f t="shared" si="5"/>
        <v>0</v>
      </c>
    </row>
    <row r="5190">
      <c r="A5190" s="1" t="s">
        <v>67</v>
      </c>
      <c r="B5190" s="3" t="str">
        <f t="shared" si="1"/>
        <v>Unavailable</v>
      </c>
      <c r="C5190" s="3">
        <v>264.0</v>
      </c>
      <c r="D5190" s="3">
        <f>IFERROR(__xludf.DUMMYFUNCTION("IFERROR(
IF(REGEXMATCH(LOWER(O5190),""k""),
VALUE(REGEXEXTRACT(O5190,""[0-9]+""))*1000,
VALUE(REGEXEXTRACT(O5190,""[0-9]+""))
),
0
)"),0.0)</f>
        <v>0</v>
      </c>
      <c r="E5190" s="1" t="s">
        <v>11</v>
      </c>
      <c r="F5190" s="1" t="s">
        <v>12</v>
      </c>
      <c r="G5190" s="4" t="b">
        <f t="shared" si="2"/>
        <v>1</v>
      </c>
      <c r="H5190" s="1" t="str">
        <f t="shared" si="3"/>
        <v>Currently Unavailable</v>
      </c>
      <c r="I5190" s="1" t="str">
        <f t="shared" si="4"/>
        <v>No Badges</v>
      </c>
      <c r="J5190" s="3">
        <f t="shared" si="5"/>
        <v>0</v>
      </c>
    </row>
    <row r="5191">
      <c r="A5191" s="1" t="s">
        <v>3811</v>
      </c>
      <c r="B5191" s="3" t="str">
        <f t="shared" si="1"/>
        <v>Unavailable</v>
      </c>
      <c r="C5191" s="5">
        <v>1565.0</v>
      </c>
      <c r="D5191" s="3">
        <f>IFERROR(__xludf.DUMMYFUNCTION("IFERROR(
IF(REGEXMATCH(LOWER(O5191),""k""),
VALUE(REGEXEXTRACT(O5191,""[0-9]+""))*1000,
VALUE(REGEXEXTRACT(O5191,""[0-9]+""))
),
0
)"),0.0)</f>
        <v>0</v>
      </c>
      <c r="E5191" s="1" t="s">
        <v>11</v>
      </c>
      <c r="F5191" s="1" t="s">
        <v>20</v>
      </c>
      <c r="G5191" s="4" t="b">
        <f t="shared" si="2"/>
        <v>1</v>
      </c>
      <c r="H5191" s="1" t="str">
        <f t="shared" si="3"/>
        <v>Currently Unavailable</v>
      </c>
      <c r="I5191" s="1" t="str">
        <f t="shared" si="4"/>
        <v>No Badges</v>
      </c>
      <c r="J5191" s="3">
        <f t="shared" si="5"/>
        <v>0</v>
      </c>
    </row>
    <row r="5192">
      <c r="A5192" s="1" t="s">
        <v>3812</v>
      </c>
      <c r="B5192" s="3" t="str">
        <f t="shared" si="1"/>
        <v>Unavailable</v>
      </c>
      <c r="C5192" s="5">
        <v>1956.0</v>
      </c>
      <c r="D5192" s="3">
        <f>IFERROR(__xludf.DUMMYFUNCTION("IFERROR(
IF(REGEXMATCH(LOWER(O5192),""k""),
VALUE(REGEXEXTRACT(O5192,""[0-9]+""))*1000,
VALUE(REGEXEXTRACT(O5192,""[0-9]+""))
),
0
)"),0.0)</f>
        <v>0</v>
      </c>
      <c r="E5192" s="1" t="s">
        <v>11</v>
      </c>
      <c r="F5192" s="1" t="s">
        <v>20</v>
      </c>
      <c r="G5192" s="4" t="b">
        <f t="shared" si="2"/>
        <v>1</v>
      </c>
      <c r="H5192" s="1" t="str">
        <f t="shared" si="3"/>
        <v>Currently Unavailable</v>
      </c>
      <c r="I5192" s="1" t="str">
        <f t="shared" si="4"/>
        <v>No Badges</v>
      </c>
      <c r="J5192" s="3">
        <f t="shared" si="5"/>
        <v>0</v>
      </c>
    </row>
    <row r="5193">
      <c r="A5193" s="1" t="s">
        <v>3813</v>
      </c>
      <c r="B5193" s="3" t="str">
        <f t="shared" si="1"/>
        <v>Unavailable</v>
      </c>
      <c r="C5193" s="3">
        <v>556.0</v>
      </c>
      <c r="D5193" s="3">
        <f>IFERROR(__xludf.DUMMYFUNCTION("IFERROR(
IF(REGEXMATCH(LOWER(O5193),""k""),
VALUE(REGEXEXTRACT(O5193,""[0-9]+""))*1000,
VALUE(REGEXEXTRACT(O5193,""[0-9]+""))
),
0
)"),0.0)</f>
        <v>0</v>
      </c>
      <c r="E5193" s="1" t="s">
        <v>11</v>
      </c>
      <c r="F5193" s="1" t="s">
        <v>20</v>
      </c>
      <c r="G5193" s="4" t="b">
        <f t="shared" si="2"/>
        <v>1</v>
      </c>
      <c r="H5193" s="1" t="str">
        <f t="shared" si="3"/>
        <v>Currently Unavailable</v>
      </c>
      <c r="I5193" s="1" t="str">
        <f t="shared" si="4"/>
        <v>No Badges</v>
      </c>
      <c r="J5193" s="3">
        <f t="shared" si="5"/>
        <v>0</v>
      </c>
    </row>
    <row r="5194">
      <c r="A5194" s="1" t="s">
        <v>3814</v>
      </c>
      <c r="B5194" s="3" t="str">
        <f t="shared" si="1"/>
        <v>Unavailable</v>
      </c>
      <c r="C5194" s="3">
        <v>532.0</v>
      </c>
      <c r="D5194" s="3">
        <f>IFERROR(__xludf.DUMMYFUNCTION("IFERROR(
IF(REGEXMATCH(LOWER(O5194),""k""),
VALUE(REGEXEXTRACT(O5194,""[0-9]+""))*1000,
VALUE(REGEXEXTRACT(O5194,""[0-9]+""))
),
0
)"),0.0)</f>
        <v>0</v>
      </c>
      <c r="E5194" s="1" t="s">
        <v>11</v>
      </c>
      <c r="F5194" s="1" t="s">
        <v>20</v>
      </c>
      <c r="G5194" s="4" t="b">
        <f t="shared" si="2"/>
        <v>1</v>
      </c>
      <c r="H5194" s="1" t="str">
        <f t="shared" si="3"/>
        <v>Currently Unavailable</v>
      </c>
      <c r="I5194" s="1" t="str">
        <f t="shared" si="4"/>
        <v>No Badges</v>
      </c>
      <c r="J5194" s="3">
        <f t="shared" si="5"/>
        <v>0</v>
      </c>
    </row>
    <row r="5195">
      <c r="A5195" s="1" t="s">
        <v>3815</v>
      </c>
      <c r="B5195" s="3" t="str">
        <f t="shared" si="1"/>
        <v>Unavailable</v>
      </c>
      <c r="C5195" s="5">
        <v>2579.0</v>
      </c>
      <c r="D5195" s="3">
        <f>IFERROR(__xludf.DUMMYFUNCTION("IFERROR(
IF(REGEXMATCH(LOWER(O5195),""k""),
VALUE(REGEXEXTRACT(O5195,""[0-9]+""))*1000,
VALUE(REGEXEXTRACT(O5195,""[0-9]+""))
),
0
)"),0.0)</f>
        <v>0</v>
      </c>
      <c r="E5195" s="1" t="s">
        <v>11</v>
      </c>
      <c r="F5195" s="1" t="s">
        <v>20</v>
      </c>
      <c r="G5195" s="4" t="b">
        <f t="shared" si="2"/>
        <v>1</v>
      </c>
      <c r="H5195" s="1" t="str">
        <f t="shared" si="3"/>
        <v>Currently Unavailable</v>
      </c>
      <c r="I5195" s="1" t="str">
        <f t="shared" si="4"/>
        <v>No Badges</v>
      </c>
      <c r="J5195" s="3">
        <f t="shared" si="5"/>
        <v>0</v>
      </c>
    </row>
    <row r="5196">
      <c r="A5196" s="1" t="s">
        <v>3816</v>
      </c>
      <c r="B5196" s="3" t="str">
        <f t="shared" si="1"/>
        <v>Unavailable</v>
      </c>
      <c r="C5196" s="3">
        <v>191.0</v>
      </c>
      <c r="D5196" s="3">
        <f>IFERROR(__xludf.DUMMYFUNCTION("IFERROR(
IF(REGEXMATCH(LOWER(O5196),""k""),
VALUE(REGEXEXTRACT(O5196,""[0-9]+""))*1000,
VALUE(REGEXEXTRACT(O5196,""[0-9]+""))
),
0
)"),0.0)</f>
        <v>0</v>
      </c>
      <c r="E5196" s="1" t="s">
        <v>11</v>
      </c>
      <c r="F5196" s="1" t="s">
        <v>20</v>
      </c>
      <c r="G5196" s="4" t="b">
        <f t="shared" si="2"/>
        <v>1</v>
      </c>
      <c r="H5196" s="1" t="str">
        <f t="shared" si="3"/>
        <v>Currently Unavailable</v>
      </c>
      <c r="I5196" s="1" t="str">
        <f t="shared" si="4"/>
        <v>No Badges</v>
      </c>
      <c r="J5196" s="3">
        <f t="shared" si="5"/>
        <v>0</v>
      </c>
    </row>
    <row r="5197">
      <c r="A5197" s="1" t="s">
        <v>3817</v>
      </c>
      <c r="B5197" s="3" t="str">
        <f t="shared" si="1"/>
        <v>Unavailable</v>
      </c>
      <c r="C5197" s="3">
        <v>816.0</v>
      </c>
      <c r="D5197" s="3">
        <f>IFERROR(__xludf.DUMMYFUNCTION("IFERROR(
IF(REGEXMATCH(LOWER(O5197),""k""),
VALUE(REGEXEXTRACT(O5197,""[0-9]+""))*1000,
VALUE(REGEXEXTRACT(O5197,""[0-9]+""))
),
0
)"),0.0)</f>
        <v>0</v>
      </c>
      <c r="E5197" s="1" t="s">
        <v>11</v>
      </c>
      <c r="F5197" s="1" t="s">
        <v>20</v>
      </c>
      <c r="G5197" s="4" t="b">
        <f t="shared" si="2"/>
        <v>1</v>
      </c>
      <c r="H5197" s="1" t="str">
        <f t="shared" si="3"/>
        <v>Currently Unavailable</v>
      </c>
      <c r="I5197" s="1" t="str">
        <f t="shared" si="4"/>
        <v>No Badges</v>
      </c>
      <c r="J5197" s="3">
        <f t="shared" si="5"/>
        <v>0</v>
      </c>
    </row>
    <row r="5198">
      <c r="A5198" s="1" t="s">
        <v>3818</v>
      </c>
      <c r="B5198" s="3" t="str">
        <f t="shared" si="1"/>
        <v>Unavailable</v>
      </c>
      <c r="C5198" s="3">
        <v>397.0</v>
      </c>
      <c r="D5198" s="3">
        <f>IFERROR(__xludf.DUMMYFUNCTION("IFERROR(
IF(REGEXMATCH(LOWER(O5198),""k""),
VALUE(REGEXEXTRACT(O5198,""[0-9]+""))*1000,
VALUE(REGEXEXTRACT(O5198,""[0-9]+""))
),
0
)"),0.0)</f>
        <v>0</v>
      </c>
      <c r="E5198" s="1" t="s">
        <v>11</v>
      </c>
      <c r="F5198" s="1" t="s">
        <v>20</v>
      </c>
      <c r="G5198" s="4" t="b">
        <f t="shared" si="2"/>
        <v>1</v>
      </c>
      <c r="H5198" s="1" t="str">
        <f t="shared" si="3"/>
        <v>Currently Unavailable</v>
      </c>
      <c r="I5198" s="1" t="str">
        <f t="shared" si="4"/>
        <v>No Badges</v>
      </c>
      <c r="J5198" s="3">
        <f t="shared" si="5"/>
        <v>0</v>
      </c>
    </row>
    <row r="5199">
      <c r="A5199" s="1" t="s">
        <v>3819</v>
      </c>
      <c r="B5199" s="3" t="str">
        <f t="shared" si="1"/>
        <v>Unavailable</v>
      </c>
      <c r="C5199" s="5">
        <v>2277.0</v>
      </c>
      <c r="D5199" s="3">
        <f>IFERROR(__xludf.DUMMYFUNCTION("IFERROR(
IF(REGEXMATCH(LOWER(O5199),""k""),
VALUE(REGEXEXTRACT(O5199,""[0-9]+""))*1000,
VALUE(REGEXEXTRACT(O5199,""[0-9]+""))
),
0
)"),0.0)</f>
        <v>0</v>
      </c>
      <c r="E5199" s="1" t="s">
        <v>11</v>
      </c>
      <c r="F5199" s="1" t="s">
        <v>20</v>
      </c>
      <c r="G5199" s="4" t="b">
        <f t="shared" si="2"/>
        <v>1</v>
      </c>
      <c r="H5199" s="1" t="str">
        <f t="shared" si="3"/>
        <v>Currently Unavailable</v>
      </c>
      <c r="I5199" s="1" t="str">
        <f t="shared" si="4"/>
        <v>No Badges</v>
      </c>
      <c r="J5199" s="3">
        <f t="shared" si="5"/>
        <v>0</v>
      </c>
    </row>
    <row r="5200">
      <c r="A5200" s="1" t="s">
        <v>3820</v>
      </c>
      <c r="B5200" s="3" t="str">
        <f t="shared" si="1"/>
        <v>Unavailable</v>
      </c>
      <c r="C5200" s="3">
        <v>17.0</v>
      </c>
      <c r="D5200" s="3">
        <f>IFERROR(__xludf.DUMMYFUNCTION("IFERROR(
IF(REGEXMATCH(LOWER(O5200),""k""),
VALUE(REGEXEXTRACT(O5200,""[0-9]+""))*1000,
VALUE(REGEXEXTRACT(O5200,""[0-9]+""))
),
0
)"),0.0)</f>
        <v>0</v>
      </c>
      <c r="E5200" s="1" t="s">
        <v>11</v>
      </c>
      <c r="F5200" s="1" t="s">
        <v>20</v>
      </c>
      <c r="G5200" s="4" t="b">
        <f t="shared" si="2"/>
        <v>1</v>
      </c>
      <c r="H5200" s="1" t="str">
        <f t="shared" si="3"/>
        <v>Currently Unavailable</v>
      </c>
      <c r="I5200" s="1" t="str">
        <f t="shared" si="4"/>
        <v>No Badges</v>
      </c>
      <c r="J5200" s="3">
        <f t="shared" si="5"/>
        <v>0</v>
      </c>
    </row>
    <row r="5201">
      <c r="A5201" s="1" t="s">
        <v>3821</v>
      </c>
      <c r="B5201" s="3" t="str">
        <f t="shared" si="1"/>
        <v>Unavailable</v>
      </c>
      <c r="C5201" s="5">
        <v>2154.0</v>
      </c>
      <c r="D5201" s="3">
        <f>IFERROR(__xludf.DUMMYFUNCTION("IFERROR(
IF(REGEXMATCH(LOWER(O5201),""k""),
VALUE(REGEXEXTRACT(O5201,""[0-9]+""))*1000,
VALUE(REGEXEXTRACT(O5201,""[0-9]+""))
),
0
)"),0.0)</f>
        <v>0</v>
      </c>
      <c r="E5201" s="1" t="s">
        <v>11</v>
      </c>
      <c r="F5201" s="1" t="s">
        <v>20</v>
      </c>
      <c r="G5201" s="4" t="b">
        <f t="shared" si="2"/>
        <v>1</v>
      </c>
      <c r="H5201" s="1" t="str">
        <f t="shared" si="3"/>
        <v>Currently Unavailable</v>
      </c>
      <c r="I5201" s="1" t="str">
        <f t="shared" si="4"/>
        <v>No Badges</v>
      </c>
      <c r="J5201" s="3">
        <f t="shared" si="5"/>
        <v>0</v>
      </c>
    </row>
    <row r="5202">
      <c r="A5202" s="1" t="s">
        <v>3822</v>
      </c>
      <c r="B5202" s="3" t="str">
        <f t="shared" si="1"/>
        <v>Unavailable</v>
      </c>
      <c r="C5202" s="3">
        <v>46.0</v>
      </c>
      <c r="D5202" s="3">
        <f>IFERROR(__xludf.DUMMYFUNCTION("IFERROR(
IF(REGEXMATCH(LOWER(O5202),""k""),
VALUE(REGEXEXTRACT(O5202,""[0-9]+""))*1000,
VALUE(REGEXEXTRACT(O5202,""[0-9]+""))
),
0
)"),0.0)</f>
        <v>0</v>
      </c>
      <c r="E5202" s="1" t="s">
        <v>11</v>
      </c>
      <c r="F5202" s="1" t="s">
        <v>20</v>
      </c>
      <c r="G5202" s="4" t="b">
        <f t="shared" si="2"/>
        <v>1</v>
      </c>
      <c r="H5202" s="1" t="str">
        <f t="shared" si="3"/>
        <v>Currently Unavailable</v>
      </c>
      <c r="I5202" s="1" t="str">
        <f t="shared" si="4"/>
        <v>No Badges</v>
      </c>
      <c r="J5202" s="3">
        <f t="shared" si="5"/>
        <v>0</v>
      </c>
    </row>
    <row r="5203">
      <c r="A5203" s="1" t="s">
        <v>3823</v>
      </c>
      <c r="B5203" s="3" t="str">
        <f t="shared" si="1"/>
        <v>Unavailable</v>
      </c>
      <c r="C5203" s="5">
        <v>1831.0</v>
      </c>
      <c r="D5203" s="3">
        <f>IFERROR(__xludf.DUMMYFUNCTION("IFERROR(
IF(REGEXMATCH(LOWER(O5203),""k""),
VALUE(REGEXEXTRACT(O5203,""[0-9]+""))*1000,
VALUE(REGEXEXTRACT(O5203,""[0-9]+""))
),
0
)"),0.0)</f>
        <v>0</v>
      </c>
      <c r="E5203" s="1" t="s">
        <v>11</v>
      </c>
      <c r="F5203" s="1" t="s">
        <v>20</v>
      </c>
      <c r="G5203" s="4" t="b">
        <f t="shared" si="2"/>
        <v>1</v>
      </c>
      <c r="H5203" s="1" t="str">
        <f t="shared" si="3"/>
        <v>Currently Unavailable</v>
      </c>
      <c r="I5203" s="1" t="str">
        <f t="shared" si="4"/>
        <v>No Badges</v>
      </c>
      <c r="J5203" s="3">
        <f t="shared" si="5"/>
        <v>0</v>
      </c>
    </row>
    <row r="5204">
      <c r="A5204" s="1" t="s">
        <v>701</v>
      </c>
      <c r="B5204" s="3" t="str">
        <f t="shared" si="1"/>
        <v>Unavailable</v>
      </c>
      <c r="C5204" s="3">
        <v>8.0</v>
      </c>
      <c r="D5204" s="3">
        <f>IFERROR(__xludf.DUMMYFUNCTION("IFERROR(
IF(REGEXMATCH(LOWER(O5204),""k""),
VALUE(REGEXEXTRACT(O5204,""[0-9]+""))*1000,
VALUE(REGEXEXTRACT(O5204,""[0-9]+""))
),
0
)"),0.0)</f>
        <v>0</v>
      </c>
      <c r="E5204" s="1" t="s">
        <v>11</v>
      </c>
      <c r="F5204" s="1" t="s">
        <v>12</v>
      </c>
      <c r="G5204" s="4" t="b">
        <f t="shared" si="2"/>
        <v>1</v>
      </c>
      <c r="H5204" s="1" t="str">
        <f t="shared" si="3"/>
        <v>Currently Unavailable</v>
      </c>
      <c r="I5204" s="1" t="str">
        <f t="shared" si="4"/>
        <v>No Badges</v>
      </c>
      <c r="J5204" s="3">
        <f t="shared" si="5"/>
        <v>0</v>
      </c>
    </row>
    <row r="5205">
      <c r="A5205" s="1" t="s">
        <v>88</v>
      </c>
      <c r="B5205" s="3" t="str">
        <f t="shared" si="1"/>
        <v>Unavailable</v>
      </c>
      <c r="C5205" s="3">
        <v>5.0</v>
      </c>
      <c r="D5205" s="3">
        <f>IFERROR(__xludf.DUMMYFUNCTION("IFERROR(
IF(REGEXMATCH(LOWER(O5205),""k""),
VALUE(REGEXEXTRACT(O5205,""[0-9]+""))*1000,
VALUE(REGEXEXTRACT(O5205,""[0-9]+""))
),
0
)"),0.0)</f>
        <v>0</v>
      </c>
      <c r="E5205" s="1" t="s">
        <v>11</v>
      </c>
      <c r="F5205" s="1" t="s">
        <v>12</v>
      </c>
      <c r="G5205" s="4" t="b">
        <f t="shared" si="2"/>
        <v>1</v>
      </c>
      <c r="H5205" s="1" t="str">
        <f t="shared" si="3"/>
        <v>Currently Unavailable</v>
      </c>
      <c r="I5205" s="1" t="str">
        <f t="shared" si="4"/>
        <v>No Badges</v>
      </c>
      <c r="J5205" s="3">
        <f t="shared" si="5"/>
        <v>0</v>
      </c>
    </row>
    <row r="5206">
      <c r="A5206" s="1" t="s">
        <v>40</v>
      </c>
      <c r="B5206" s="3" t="str">
        <f t="shared" si="1"/>
        <v>Unavailable</v>
      </c>
      <c r="C5206" s="3">
        <v>171.0</v>
      </c>
      <c r="D5206" s="3">
        <f>IFERROR(__xludf.DUMMYFUNCTION("IFERROR(
IF(REGEXMATCH(LOWER(O5206),""k""),
VALUE(REGEXEXTRACT(O5206,""[0-9]+""))*1000,
VALUE(REGEXEXTRACT(O5206,""[0-9]+""))
),
0
)"),0.0)</f>
        <v>0</v>
      </c>
      <c r="E5206" s="1" t="s">
        <v>11</v>
      </c>
      <c r="F5206" s="1" t="s">
        <v>12</v>
      </c>
      <c r="G5206" s="4" t="b">
        <f t="shared" si="2"/>
        <v>1</v>
      </c>
      <c r="H5206" s="1" t="str">
        <f t="shared" si="3"/>
        <v>Currently Unavailable</v>
      </c>
      <c r="I5206" s="1" t="str">
        <f t="shared" si="4"/>
        <v>No Badges</v>
      </c>
      <c r="J5206" s="3">
        <f t="shared" si="5"/>
        <v>0</v>
      </c>
    </row>
    <row r="5207">
      <c r="A5207" s="1" t="s">
        <v>3824</v>
      </c>
      <c r="B5207" s="3" t="str">
        <f t="shared" si="1"/>
        <v>Unavailable</v>
      </c>
      <c r="C5207" s="3">
        <v>200.0</v>
      </c>
      <c r="D5207" s="3">
        <f>IFERROR(__xludf.DUMMYFUNCTION("IFERROR(
IF(REGEXMATCH(LOWER(O5207),""k""),
VALUE(REGEXEXTRACT(O5207,""[0-9]+""))*1000,
VALUE(REGEXEXTRACT(O5207,""[0-9]+""))
),
0
)"),0.0)</f>
        <v>0</v>
      </c>
      <c r="E5207" s="1" t="s">
        <v>11</v>
      </c>
      <c r="F5207" s="1" t="s">
        <v>20</v>
      </c>
      <c r="G5207" s="4" t="b">
        <f t="shared" si="2"/>
        <v>1</v>
      </c>
      <c r="H5207" s="1" t="str">
        <f t="shared" si="3"/>
        <v>Currently Unavailable</v>
      </c>
      <c r="I5207" s="1" t="str">
        <f t="shared" si="4"/>
        <v>No Badges</v>
      </c>
      <c r="J5207" s="3">
        <f t="shared" si="5"/>
        <v>0</v>
      </c>
    </row>
    <row r="5208">
      <c r="A5208" s="1" t="s">
        <v>3825</v>
      </c>
      <c r="B5208" s="3" t="str">
        <f t="shared" si="1"/>
        <v>Unavailable</v>
      </c>
      <c r="C5208" s="3">
        <v>228.0</v>
      </c>
      <c r="D5208" s="3">
        <f>IFERROR(__xludf.DUMMYFUNCTION("IFERROR(
IF(REGEXMATCH(LOWER(O5208),""k""),
VALUE(REGEXEXTRACT(O5208,""[0-9]+""))*1000,
VALUE(REGEXEXTRACT(O5208,""[0-9]+""))
),
0
)"),0.0)</f>
        <v>0</v>
      </c>
      <c r="E5208" s="1" t="s">
        <v>11</v>
      </c>
      <c r="F5208" s="1" t="s">
        <v>20</v>
      </c>
      <c r="G5208" s="4" t="b">
        <f t="shared" si="2"/>
        <v>1</v>
      </c>
      <c r="H5208" s="1" t="str">
        <f t="shared" si="3"/>
        <v>Currently Unavailable</v>
      </c>
      <c r="I5208" s="1" t="str">
        <f t="shared" si="4"/>
        <v>No Badges</v>
      </c>
      <c r="J5208" s="3">
        <f t="shared" si="5"/>
        <v>0</v>
      </c>
    </row>
    <row r="5209">
      <c r="A5209" s="1" t="s">
        <v>3826</v>
      </c>
      <c r="B5209" s="3" t="str">
        <f t="shared" si="1"/>
        <v>Unavailable</v>
      </c>
      <c r="C5209" s="3">
        <v>319.0</v>
      </c>
      <c r="D5209" s="3">
        <f>IFERROR(__xludf.DUMMYFUNCTION("IFERROR(
IF(REGEXMATCH(LOWER(O5209),""k""),
VALUE(REGEXEXTRACT(O5209,""[0-9]+""))*1000,
VALUE(REGEXEXTRACT(O5209,""[0-9]+""))
),
0
)"),0.0)</f>
        <v>0</v>
      </c>
      <c r="E5209" s="1" t="s">
        <v>11</v>
      </c>
      <c r="F5209" s="1" t="s">
        <v>20</v>
      </c>
      <c r="G5209" s="4" t="b">
        <f t="shared" si="2"/>
        <v>1</v>
      </c>
      <c r="H5209" s="1" t="str">
        <f t="shared" si="3"/>
        <v>Currently Unavailable</v>
      </c>
      <c r="I5209" s="1" t="str">
        <f t="shared" si="4"/>
        <v>No Badges</v>
      </c>
      <c r="J5209" s="3">
        <f t="shared" si="5"/>
        <v>0</v>
      </c>
    </row>
    <row r="5210">
      <c r="A5210" s="1" t="s">
        <v>3827</v>
      </c>
      <c r="B5210" s="3" t="str">
        <f t="shared" si="1"/>
        <v>Unavailable</v>
      </c>
      <c r="C5210" s="3">
        <v>77.0</v>
      </c>
      <c r="D5210" s="3">
        <f>IFERROR(__xludf.DUMMYFUNCTION("IFERROR(
IF(REGEXMATCH(LOWER(O5210),""k""),
VALUE(REGEXEXTRACT(O5210,""[0-9]+""))*1000,
VALUE(REGEXEXTRACT(O5210,""[0-9]+""))
),
0
)"),0.0)</f>
        <v>0</v>
      </c>
      <c r="E5210" s="1" t="s">
        <v>11</v>
      </c>
      <c r="F5210" s="1" t="s">
        <v>20</v>
      </c>
      <c r="G5210" s="4" t="b">
        <f t="shared" si="2"/>
        <v>1</v>
      </c>
      <c r="H5210" s="1" t="str">
        <f t="shared" si="3"/>
        <v>Currently Unavailable</v>
      </c>
      <c r="I5210" s="1" t="str">
        <f t="shared" si="4"/>
        <v>No Badges</v>
      </c>
      <c r="J5210" s="3">
        <f t="shared" si="5"/>
        <v>0</v>
      </c>
    </row>
    <row r="5211">
      <c r="A5211" s="1" t="s">
        <v>3828</v>
      </c>
      <c r="B5211" s="3" t="str">
        <f t="shared" si="1"/>
        <v>Unavailable</v>
      </c>
      <c r="C5211" s="5">
        <v>1910.0</v>
      </c>
      <c r="D5211" s="3">
        <f>IFERROR(__xludf.DUMMYFUNCTION("IFERROR(
IF(REGEXMATCH(LOWER(O5211),""k""),
VALUE(REGEXEXTRACT(O5211,""[0-9]+""))*1000,
VALUE(REGEXEXTRACT(O5211,""[0-9]+""))
),
0
)"),0.0)</f>
        <v>0</v>
      </c>
      <c r="E5211" s="1" t="s">
        <v>11</v>
      </c>
      <c r="F5211" s="1" t="s">
        <v>20</v>
      </c>
      <c r="G5211" s="4" t="b">
        <f t="shared" si="2"/>
        <v>1</v>
      </c>
      <c r="H5211" s="1" t="str">
        <f t="shared" si="3"/>
        <v>Currently Unavailable</v>
      </c>
      <c r="I5211" s="1" t="str">
        <f t="shared" si="4"/>
        <v>No Badges</v>
      </c>
      <c r="J5211" s="3">
        <f t="shared" si="5"/>
        <v>0</v>
      </c>
    </row>
    <row r="5212">
      <c r="A5212" s="1" t="s">
        <v>3829</v>
      </c>
      <c r="B5212" s="3" t="str">
        <f t="shared" si="1"/>
        <v>Unavailable</v>
      </c>
      <c r="C5212" s="5">
        <v>1787.0</v>
      </c>
      <c r="D5212" s="3">
        <f>IFERROR(__xludf.DUMMYFUNCTION("IFERROR(
IF(REGEXMATCH(LOWER(O5212),""k""),
VALUE(REGEXEXTRACT(O5212,""[0-9]+""))*1000,
VALUE(REGEXEXTRACT(O5212,""[0-9]+""))
),
0
)"),0.0)</f>
        <v>0</v>
      </c>
      <c r="E5212" s="1" t="s">
        <v>11</v>
      </c>
      <c r="F5212" s="1" t="s">
        <v>20</v>
      </c>
      <c r="G5212" s="4" t="b">
        <f t="shared" si="2"/>
        <v>1</v>
      </c>
      <c r="H5212" s="1" t="str">
        <f t="shared" si="3"/>
        <v>Currently Unavailable</v>
      </c>
      <c r="I5212" s="1" t="str">
        <f t="shared" si="4"/>
        <v>No Badges</v>
      </c>
      <c r="J5212" s="3">
        <f t="shared" si="5"/>
        <v>0</v>
      </c>
    </row>
    <row r="5213">
      <c r="A5213" s="1" t="s">
        <v>3830</v>
      </c>
      <c r="B5213" s="3" t="str">
        <f t="shared" si="1"/>
        <v>Unavailable</v>
      </c>
      <c r="C5213" s="5">
        <v>24250.0</v>
      </c>
      <c r="D5213" s="3">
        <f>IFERROR(__xludf.DUMMYFUNCTION("IFERROR(
IF(REGEXMATCH(LOWER(O5213),""k""),
VALUE(REGEXEXTRACT(O5213,""[0-9]+""))*1000,
VALUE(REGEXEXTRACT(O5213,""[0-9]+""))
),
0
)"),0.0)</f>
        <v>0</v>
      </c>
      <c r="E5213" s="1" t="s">
        <v>11</v>
      </c>
      <c r="F5213" s="1" t="s">
        <v>20</v>
      </c>
      <c r="G5213" s="4" t="b">
        <f t="shared" si="2"/>
        <v>1</v>
      </c>
      <c r="H5213" s="1" t="str">
        <f t="shared" si="3"/>
        <v>Currently Unavailable</v>
      </c>
      <c r="I5213" s="1" t="str">
        <f t="shared" si="4"/>
        <v>No Badges</v>
      </c>
      <c r="J5213" s="3">
        <f t="shared" si="5"/>
        <v>0</v>
      </c>
    </row>
    <row r="5214">
      <c r="A5214" s="1" t="s">
        <v>3831</v>
      </c>
      <c r="B5214" s="3" t="str">
        <f t="shared" si="1"/>
        <v>Unavailable</v>
      </c>
      <c r="C5214" s="5">
        <v>2436.0</v>
      </c>
      <c r="D5214" s="3">
        <f>IFERROR(__xludf.DUMMYFUNCTION("IFERROR(
IF(REGEXMATCH(LOWER(O5214),""k""),
VALUE(REGEXEXTRACT(O5214,""[0-9]+""))*1000,
VALUE(REGEXEXTRACT(O5214,""[0-9]+""))
),
0
)"),0.0)</f>
        <v>0</v>
      </c>
      <c r="E5214" s="1" t="s">
        <v>11</v>
      </c>
      <c r="F5214" s="1" t="s">
        <v>20</v>
      </c>
      <c r="G5214" s="4" t="b">
        <f t="shared" si="2"/>
        <v>1</v>
      </c>
      <c r="H5214" s="1" t="str">
        <f t="shared" si="3"/>
        <v>Currently Unavailable</v>
      </c>
      <c r="I5214" s="1" t="str">
        <f t="shared" si="4"/>
        <v>No Badges</v>
      </c>
      <c r="J5214" s="3">
        <f t="shared" si="5"/>
        <v>0</v>
      </c>
    </row>
    <row r="5215">
      <c r="A5215" s="1" t="s">
        <v>3832</v>
      </c>
      <c r="B5215" s="3" t="str">
        <f t="shared" si="1"/>
        <v>Unavailable</v>
      </c>
      <c r="C5215" s="3">
        <v>248.0</v>
      </c>
      <c r="D5215" s="3">
        <f>IFERROR(__xludf.DUMMYFUNCTION("IFERROR(
IF(REGEXMATCH(LOWER(O5215),""k""),
VALUE(REGEXEXTRACT(O5215,""[0-9]+""))*1000,
VALUE(REGEXEXTRACT(O5215,""[0-9]+""))
),
0
)"),0.0)</f>
        <v>0</v>
      </c>
      <c r="E5215" s="1" t="s">
        <v>11</v>
      </c>
      <c r="F5215" s="1" t="s">
        <v>20</v>
      </c>
      <c r="G5215" s="4" t="b">
        <f t="shared" si="2"/>
        <v>1</v>
      </c>
      <c r="H5215" s="1" t="str">
        <f t="shared" si="3"/>
        <v>Currently Unavailable</v>
      </c>
      <c r="I5215" s="1" t="str">
        <f t="shared" si="4"/>
        <v>No Badges</v>
      </c>
      <c r="J5215" s="3">
        <f t="shared" si="5"/>
        <v>0</v>
      </c>
    </row>
    <row r="5216">
      <c r="A5216" s="1" t="s">
        <v>3833</v>
      </c>
      <c r="B5216" s="3" t="str">
        <f t="shared" si="1"/>
        <v>Unavailable</v>
      </c>
      <c r="C5216" s="3">
        <v>74.0</v>
      </c>
      <c r="D5216" s="3">
        <f>IFERROR(__xludf.DUMMYFUNCTION("IFERROR(
IF(REGEXMATCH(LOWER(O5216),""k""),
VALUE(REGEXEXTRACT(O5216,""[0-9]+""))*1000,
VALUE(REGEXEXTRACT(O5216,""[0-9]+""))
),
0
)"),0.0)</f>
        <v>0</v>
      </c>
      <c r="E5216" s="1" t="s">
        <v>11</v>
      </c>
      <c r="F5216" s="1" t="s">
        <v>20</v>
      </c>
      <c r="G5216" s="4" t="b">
        <f t="shared" si="2"/>
        <v>1</v>
      </c>
      <c r="H5216" s="1" t="str">
        <f t="shared" si="3"/>
        <v>Currently Unavailable</v>
      </c>
      <c r="I5216" s="1" t="str">
        <f t="shared" si="4"/>
        <v>No Badges</v>
      </c>
      <c r="J5216" s="3">
        <f t="shared" si="5"/>
        <v>0</v>
      </c>
    </row>
    <row r="5217">
      <c r="A5217" s="1" t="s">
        <v>3834</v>
      </c>
      <c r="B5217" s="3" t="str">
        <f t="shared" si="1"/>
        <v>Unavailable</v>
      </c>
      <c r="C5217" s="3">
        <v>540.0</v>
      </c>
      <c r="D5217" s="3">
        <f>IFERROR(__xludf.DUMMYFUNCTION("IFERROR(
IF(REGEXMATCH(LOWER(O5217),""k""),
VALUE(REGEXEXTRACT(O5217,""[0-9]+""))*1000,
VALUE(REGEXEXTRACT(O5217,""[0-9]+""))
),
0
)"),0.0)</f>
        <v>0</v>
      </c>
      <c r="E5217" s="1" t="s">
        <v>11</v>
      </c>
      <c r="F5217" s="1" t="s">
        <v>20</v>
      </c>
      <c r="G5217" s="4" t="b">
        <f t="shared" si="2"/>
        <v>1</v>
      </c>
      <c r="H5217" s="1" t="str">
        <f t="shared" si="3"/>
        <v>Currently Unavailable</v>
      </c>
      <c r="I5217" s="1" t="str">
        <f t="shared" si="4"/>
        <v>No Badges</v>
      </c>
      <c r="J5217" s="3">
        <f t="shared" si="5"/>
        <v>0</v>
      </c>
    </row>
    <row r="5218">
      <c r="A5218" s="1" t="s">
        <v>3835</v>
      </c>
      <c r="B5218" s="3" t="str">
        <f t="shared" si="1"/>
        <v>Unavailable</v>
      </c>
      <c r="C5218" s="5">
        <v>9278.0</v>
      </c>
      <c r="D5218" s="3">
        <f>IFERROR(__xludf.DUMMYFUNCTION("IFERROR(
IF(REGEXMATCH(LOWER(O5218),""k""),
VALUE(REGEXEXTRACT(O5218,""[0-9]+""))*1000,
VALUE(REGEXEXTRACT(O5218,""[0-9]+""))
),
0
)"),0.0)</f>
        <v>0</v>
      </c>
      <c r="E5218" s="1" t="s">
        <v>11</v>
      </c>
      <c r="F5218" s="1" t="s">
        <v>20</v>
      </c>
      <c r="G5218" s="4" t="b">
        <f t="shared" si="2"/>
        <v>1</v>
      </c>
      <c r="H5218" s="1" t="str">
        <f t="shared" si="3"/>
        <v>Currently Unavailable</v>
      </c>
      <c r="I5218" s="1" t="str">
        <f t="shared" si="4"/>
        <v>No Badges</v>
      </c>
      <c r="J5218" s="3">
        <f t="shared" si="5"/>
        <v>0</v>
      </c>
    </row>
    <row r="5219">
      <c r="A5219" s="1" t="s">
        <v>3836</v>
      </c>
      <c r="B5219" s="3" t="str">
        <f t="shared" si="1"/>
        <v>Unavailable</v>
      </c>
      <c r="C5219" s="3">
        <v>741.0</v>
      </c>
      <c r="D5219" s="3">
        <f>IFERROR(__xludf.DUMMYFUNCTION("IFERROR(
IF(REGEXMATCH(LOWER(O5219),""k""),
VALUE(REGEXEXTRACT(O5219,""[0-9]+""))*1000,
VALUE(REGEXEXTRACT(O5219,""[0-9]+""))
),
0
)"),0.0)</f>
        <v>0</v>
      </c>
      <c r="E5219" s="1" t="s">
        <v>11</v>
      </c>
      <c r="F5219" s="1" t="s">
        <v>20</v>
      </c>
      <c r="G5219" s="4" t="b">
        <f t="shared" si="2"/>
        <v>1</v>
      </c>
      <c r="H5219" s="1" t="str">
        <f t="shared" si="3"/>
        <v>Currently Unavailable</v>
      </c>
      <c r="I5219" s="1" t="str">
        <f t="shared" si="4"/>
        <v>No Badges</v>
      </c>
      <c r="J5219" s="3">
        <f t="shared" si="5"/>
        <v>0</v>
      </c>
    </row>
    <row r="5220">
      <c r="A5220" s="1" t="s">
        <v>3837</v>
      </c>
      <c r="B5220" s="3" t="str">
        <f t="shared" si="1"/>
        <v>Unavailable</v>
      </c>
      <c r="C5220" s="5">
        <v>5632.0</v>
      </c>
      <c r="D5220" s="3">
        <f>IFERROR(__xludf.DUMMYFUNCTION("IFERROR(
IF(REGEXMATCH(LOWER(O5220),""k""),
VALUE(REGEXEXTRACT(O5220,""[0-9]+""))*1000,
VALUE(REGEXEXTRACT(O5220,""[0-9]+""))
),
0
)"),0.0)</f>
        <v>0</v>
      </c>
      <c r="E5220" s="1" t="s">
        <v>11</v>
      </c>
      <c r="F5220" s="1" t="s">
        <v>20</v>
      </c>
      <c r="G5220" s="4" t="b">
        <f t="shared" si="2"/>
        <v>1</v>
      </c>
      <c r="H5220" s="1" t="str">
        <f t="shared" si="3"/>
        <v>Currently Unavailable</v>
      </c>
      <c r="I5220" s="1" t="str">
        <f t="shared" si="4"/>
        <v>No Badges</v>
      </c>
      <c r="J5220" s="3">
        <f t="shared" si="5"/>
        <v>0</v>
      </c>
    </row>
    <row r="5221">
      <c r="A5221" s="1" t="s">
        <v>3838</v>
      </c>
      <c r="B5221" s="3" t="str">
        <f t="shared" si="1"/>
        <v>Unavailable</v>
      </c>
      <c r="C5221" s="3">
        <v>631.0</v>
      </c>
      <c r="D5221" s="3">
        <f>IFERROR(__xludf.DUMMYFUNCTION("IFERROR(
IF(REGEXMATCH(LOWER(O5221),""k""),
VALUE(REGEXEXTRACT(O5221,""[0-9]+""))*1000,
VALUE(REGEXEXTRACT(O5221,""[0-9]+""))
),
0
)"),0.0)</f>
        <v>0</v>
      </c>
      <c r="E5221" s="1" t="s">
        <v>11</v>
      </c>
      <c r="F5221" s="1" t="s">
        <v>20</v>
      </c>
      <c r="G5221" s="4" t="b">
        <f t="shared" si="2"/>
        <v>1</v>
      </c>
      <c r="H5221" s="1" t="str">
        <f t="shared" si="3"/>
        <v>Currently Unavailable</v>
      </c>
      <c r="I5221" s="1" t="str">
        <f t="shared" si="4"/>
        <v>No Badges</v>
      </c>
      <c r="J5221" s="3">
        <f t="shared" si="5"/>
        <v>0</v>
      </c>
    </row>
    <row r="5222">
      <c r="A5222" s="1" t="s">
        <v>3839</v>
      </c>
      <c r="B5222" s="3" t="str">
        <f t="shared" si="1"/>
        <v>Unavailable</v>
      </c>
      <c r="C5222" s="5">
        <v>1317.0</v>
      </c>
      <c r="D5222" s="3">
        <f>IFERROR(__xludf.DUMMYFUNCTION("IFERROR(
IF(REGEXMATCH(LOWER(O5222),""k""),
VALUE(REGEXEXTRACT(O5222,""[0-9]+""))*1000,
VALUE(REGEXEXTRACT(O5222,""[0-9]+""))
),
0
)"),0.0)</f>
        <v>0</v>
      </c>
      <c r="E5222" s="1" t="s">
        <v>11</v>
      </c>
      <c r="F5222" s="1" t="s">
        <v>20</v>
      </c>
      <c r="G5222" s="4" t="b">
        <f t="shared" si="2"/>
        <v>1</v>
      </c>
      <c r="H5222" s="1" t="str">
        <f t="shared" si="3"/>
        <v>Currently Unavailable</v>
      </c>
      <c r="I5222" s="1" t="str">
        <f t="shared" si="4"/>
        <v>No Badges</v>
      </c>
      <c r="J5222" s="3">
        <f t="shared" si="5"/>
        <v>0</v>
      </c>
    </row>
    <row r="5223">
      <c r="A5223" s="1" t="s">
        <v>3840</v>
      </c>
      <c r="B5223" s="3" t="str">
        <f t="shared" si="1"/>
        <v>Unavailable</v>
      </c>
      <c r="C5223" s="5">
        <v>2233.0</v>
      </c>
      <c r="D5223" s="3">
        <f>IFERROR(__xludf.DUMMYFUNCTION("IFERROR(
IF(REGEXMATCH(LOWER(O5223),""k""),
VALUE(REGEXEXTRACT(O5223,""[0-9]+""))*1000,
VALUE(REGEXEXTRACT(O5223,""[0-9]+""))
),
0
)"),0.0)</f>
        <v>0</v>
      </c>
      <c r="E5223" s="1" t="s">
        <v>11</v>
      </c>
      <c r="F5223" s="1" t="s">
        <v>20</v>
      </c>
      <c r="G5223" s="4" t="b">
        <f t="shared" si="2"/>
        <v>1</v>
      </c>
      <c r="H5223" s="1" t="str">
        <f t="shared" si="3"/>
        <v>Currently Unavailable</v>
      </c>
      <c r="I5223" s="1" t="str">
        <f t="shared" si="4"/>
        <v>No Badges</v>
      </c>
      <c r="J5223" s="3">
        <f t="shared" si="5"/>
        <v>0</v>
      </c>
    </row>
    <row r="5224">
      <c r="A5224" s="1" t="s">
        <v>3841</v>
      </c>
      <c r="B5224" s="3" t="str">
        <f t="shared" si="1"/>
        <v>Unavailable</v>
      </c>
      <c r="C5224" s="3">
        <v>126.0</v>
      </c>
      <c r="D5224" s="3">
        <f>IFERROR(__xludf.DUMMYFUNCTION("IFERROR(
IF(REGEXMATCH(LOWER(O5224),""k""),
VALUE(REGEXEXTRACT(O5224,""[0-9]+""))*1000,
VALUE(REGEXEXTRACT(O5224,""[0-9]+""))
),
0
)"),0.0)</f>
        <v>0</v>
      </c>
      <c r="E5224" s="1" t="s">
        <v>11</v>
      </c>
      <c r="F5224" s="1" t="s">
        <v>20</v>
      </c>
      <c r="G5224" s="4" t="b">
        <f t="shared" si="2"/>
        <v>1</v>
      </c>
      <c r="H5224" s="1" t="str">
        <f t="shared" si="3"/>
        <v>Currently Unavailable</v>
      </c>
      <c r="I5224" s="1" t="str">
        <f t="shared" si="4"/>
        <v>No Badges</v>
      </c>
      <c r="J5224" s="3">
        <f t="shared" si="5"/>
        <v>0</v>
      </c>
    </row>
    <row r="5225">
      <c r="A5225" s="1" t="s">
        <v>3842</v>
      </c>
      <c r="B5225" s="3" t="str">
        <f t="shared" si="1"/>
        <v>Unavailable</v>
      </c>
      <c r="C5225" s="3">
        <v>327.0</v>
      </c>
      <c r="D5225" s="3">
        <f>IFERROR(__xludf.DUMMYFUNCTION("IFERROR(
IF(REGEXMATCH(LOWER(O5225),""k""),
VALUE(REGEXEXTRACT(O5225,""[0-9]+""))*1000,
VALUE(REGEXEXTRACT(O5225,""[0-9]+""))
),
0
)"),0.0)</f>
        <v>0</v>
      </c>
      <c r="E5225" s="1" t="s">
        <v>11</v>
      </c>
      <c r="F5225" s="1" t="s">
        <v>20</v>
      </c>
      <c r="G5225" s="4" t="b">
        <f t="shared" si="2"/>
        <v>1</v>
      </c>
      <c r="H5225" s="1" t="str">
        <f t="shared" si="3"/>
        <v>Currently Unavailable</v>
      </c>
      <c r="I5225" s="1" t="str">
        <f t="shared" si="4"/>
        <v>No Badges</v>
      </c>
      <c r="J5225" s="3">
        <f t="shared" si="5"/>
        <v>0</v>
      </c>
    </row>
    <row r="5226">
      <c r="A5226" s="1" t="s">
        <v>3843</v>
      </c>
      <c r="B5226" s="3" t="str">
        <f t="shared" si="1"/>
        <v>Unavailable</v>
      </c>
      <c r="C5226" s="3">
        <v>44.0</v>
      </c>
      <c r="D5226" s="3">
        <f>IFERROR(__xludf.DUMMYFUNCTION("IFERROR(
IF(REGEXMATCH(LOWER(O5226),""k""),
VALUE(REGEXEXTRACT(O5226,""[0-9]+""))*1000,
VALUE(REGEXEXTRACT(O5226,""[0-9]+""))
),
0
)"),0.0)</f>
        <v>0</v>
      </c>
      <c r="E5226" s="1" t="s">
        <v>11</v>
      </c>
      <c r="F5226" s="1" t="s">
        <v>20</v>
      </c>
      <c r="G5226" s="4" t="b">
        <f t="shared" si="2"/>
        <v>1</v>
      </c>
      <c r="H5226" s="1" t="str">
        <f t="shared" si="3"/>
        <v>Currently Unavailable</v>
      </c>
      <c r="I5226" s="1" t="str">
        <f t="shared" si="4"/>
        <v>No Badges</v>
      </c>
      <c r="J5226" s="3">
        <f t="shared" si="5"/>
        <v>0</v>
      </c>
    </row>
    <row r="5227">
      <c r="A5227" s="1" t="s">
        <v>3844</v>
      </c>
      <c r="B5227" s="3" t="str">
        <f t="shared" si="1"/>
        <v>Unavailable</v>
      </c>
      <c r="C5227" s="5">
        <v>4393.0</v>
      </c>
      <c r="D5227" s="3">
        <f>IFERROR(__xludf.DUMMYFUNCTION("IFERROR(
IF(REGEXMATCH(LOWER(O5227),""k""),
VALUE(REGEXEXTRACT(O5227,""[0-9]+""))*1000,
VALUE(REGEXEXTRACT(O5227,""[0-9]+""))
),
0
)"),0.0)</f>
        <v>0</v>
      </c>
      <c r="E5227" s="1" t="s">
        <v>11</v>
      </c>
      <c r="F5227" s="1" t="s">
        <v>20</v>
      </c>
      <c r="G5227" s="4" t="b">
        <f t="shared" si="2"/>
        <v>1</v>
      </c>
      <c r="H5227" s="1" t="str">
        <f t="shared" si="3"/>
        <v>Currently Unavailable</v>
      </c>
      <c r="I5227" s="1" t="str">
        <f t="shared" si="4"/>
        <v>No Badges</v>
      </c>
      <c r="J5227" s="3">
        <f t="shared" si="5"/>
        <v>0</v>
      </c>
    </row>
    <row r="5228">
      <c r="A5228" s="1" t="s">
        <v>3845</v>
      </c>
      <c r="B5228" s="3" t="str">
        <f t="shared" si="1"/>
        <v>Unavailable</v>
      </c>
      <c r="C5228" s="5">
        <v>1354.0</v>
      </c>
      <c r="D5228" s="3">
        <f>IFERROR(__xludf.DUMMYFUNCTION("IFERROR(
IF(REGEXMATCH(LOWER(O5228),""k""),
VALUE(REGEXEXTRACT(O5228,""[0-9]+""))*1000,
VALUE(REGEXEXTRACT(O5228,""[0-9]+""))
),
0
)"),0.0)</f>
        <v>0</v>
      </c>
      <c r="E5228" s="1" t="s">
        <v>11</v>
      </c>
      <c r="F5228" s="1" t="s">
        <v>20</v>
      </c>
      <c r="G5228" s="4" t="b">
        <f t="shared" si="2"/>
        <v>1</v>
      </c>
      <c r="H5228" s="1" t="str">
        <f t="shared" si="3"/>
        <v>Currently Unavailable</v>
      </c>
      <c r="I5228" s="1" t="str">
        <f t="shared" si="4"/>
        <v>No Badges</v>
      </c>
      <c r="J5228" s="3">
        <f t="shared" si="5"/>
        <v>0</v>
      </c>
    </row>
    <row r="5229">
      <c r="A5229" s="1" t="s">
        <v>3846</v>
      </c>
      <c r="B5229" s="3" t="str">
        <f t="shared" si="1"/>
        <v>Unavailable</v>
      </c>
      <c r="C5229" s="3">
        <v>170.0</v>
      </c>
      <c r="D5229" s="3">
        <f>IFERROR(__xludf.DUMMYFUNCTION("IFERROR(
IF(REGEXMATCH(LOWER(O5229),""k""),
VALUE(REGEXEXTRACT(O5229,""[0-9]+""))*1000,
VALUE(REGEXEXTRACT(O5229,""[0-9]+""))
),
0
)"),0.0)</f>
        <v>0</v>
      </c>
      <c r="E5229" s="1" t="s">
        <v>11</v>
      </c>
      <c r="F5229" s="1" t="s">
        <v>20</v>
      </c>
      <c r="G5229" s="4" t="b">
        <f t="shared" si="2"/>
        <v>1</v>
      </c>
      <c r="H5229" s="1" t="str">
        <f t="shared" si="3"/>
        <v>Currently Unavailable</v>
      </c>
      <c r="I5229" s="1" t="str">
        <f t="shared" si="4"/>
        <v>No Badges</v>
      </c>
      <c r="J5229" s="3">
        <f t="shared" si="5"/>
        <v>0</v>
      </c>
    </row>
    <row r="5230">
      <c r="A5230" s="1" t="s">
        <v>3847</v>
      </c>
      <c r="B5230" s="3" t="str">
        <f t="shared" si="1"/>
        <v>Unavailable</v>
      </c>
      <c r="C5230" s="5">
        <v>1181.0</v>
      </c>
      <c r="D5230" s="3">
        <f>IFERROR(__xludf.DUMMYFUNCTION("IFERROR(
IF(REGEXMATCH(LOWER(O5230),""k""),
VALUE(REGEXEXTRACT(O5230,""[0-9]+""))*1000,
VALUE(REGEXEXTRACT(O5230,""[0-9]+""))
),
0
)"),0.0)</f>
        <v>0</v>
      </c>
      <c r="E5230" s="1" t="s">
        <v>11</v>
      </c>
      <c r="F5230" s="1" t="s">
        <v>20</v>
      </c>
      <c r="G5230" s="4" t="b">
        <f t="shared" si="2"/>
        <v>1</v>
      </c>
      <c r="H5230" s="1" t="str">
        <f t="shared" si="3"/>
        <v>Currently Unavailable</v>
      </c>
      <c r="I5230" s="1" t="str">
        <f t="shared" si="4"/>
        <v>No Badges</v>
      </c>
      <c r="J5230" s="3">
        <f t="shared" si="5"/>
        <v>0</v>
      </c>
    </row>
    <row r="5231">
      <c r="A5231" s="1" t="s">
        <v>3848</v>
      </c>
      <c r="B5231" s="3" t="str">
        <f t="shared" si="1"/>
        <v>Unavailable</v>
      </c>
      <c r="C5231" s="3">
        <v>156.0</v>
      </c>
      <c r="D5231" s="3">
        <f>IFERROR(__xludf.DUMMYFUNCTION("IFERROR(
IF(REGEXMATCH(LOWER(O5231),""k""),
VALUE(REGEXEXTRACT(O5231,""[0-9]+""))*1000,
VALUE(REGEXEXTRACT(O5231,""[0-9]+""))
),
0
)"),0.0)</f>
        <v>0</v>
      </c>
      <c r="E5231" s="1" t="s">
        <v>11</v>
      </c>
      <c r="F5231" s="1" t="s">
        <v>20</v>
      </c>
      <c r="G5231" s="4" t="b">
        <f t="shared" si="2"/>
        <v>1</v>
      </c>
      <c r="H5231" s="1" t="str">
        <f t="shared" si="3"/>
        <v>Currently Unavailable</v>
      </c>
      <c r="I5231" s="1" t="str">
        <f t="shared" si="4"/>
        <v>No Badges</v>
      </c>
      <c r="J5231" s="3">
        <f t="shared" si="5"/>
        <v>0</v>
      </c>
    </row>
    <row r="5232">
      <c r="A5232" s="1" t="s">
        <v>3849</v>
      </c>
      <c r="B5232" s="3" t="str">
        <f t="shared" si="1"/>
        <v>Unavailable</v>
      </c>
      <c r="C5232" s="5">
        <v>3053.0</v>
      </c>
      <c r="D5232" s="3">
        <f>IFERROR(__xludf.DUMMYFUNCTION("IFERROR(
IF(REGEXMATCH(LOWER(O5232),""k""),
VALUE(REGEXEXTRACT(O5232,""[0-9]+""))*1000,
VALUE(REGEXEXTRACT(O5232,""[0-9]+""))
),
0
)"),0.0)</f>
        <v>0</v>
      </c>
      <c r="E5232" s="1" t="s">
        <v>11</v>
      </c>
      <c r="F5232" s="1" t="s">
        <v>20</v>
      </c>
      <c r="G5232" s="4" t="b">
        <f t="shared" si="2"/>
        <v>1</v>
      </c>
      <c r="H5232" s="1" t="str">
        <f t="shared" si="3"/>
        <v>Currently Unavailable</v>
      </c>
      <c r="I5232" s="1" t="str">
        <f t="shared" si="4"/>
        <v>No Badges</v>
      </c>
      <c r="J5232" s="3">
        <f t="shared" si="5"/>
        <v>0</v>
      </c>
    </row>
    <row r="5233">
      <c r="A5233" s="1" t="s">
        <v>69</v>
      </c>
      <c r="B5233" s="3" t="str">
        <f t="shared" si="1"/>
        <v>Unavailable</v>
      </c>
      <c r="C5233" s="3">
        <v>45.0</v>
      </c>
      <c r="D5233" s="3">
        <f>IFERROR(__xludf.DUMMYFUNCTION("IFERROR(
IF(REGEXMATCH(LOWER(O5233),""k""),
VALUE(REGEXEXTRACT(O5233,""[0-9]+""))*1000,
VALUE(REGEXEXTRACT(O5233,""[0-9]+""))
),
0
)"),0.0)</f>
        <v>0</v>
      </c>
      <c r="E5233" s="1" t="s">
        <v>11</v>
      </c>
      <c r="F5233" s="1" t="s">
        <v>12</v>
      </c>
      <c r="G5233" s="4" t="b">
        <f t="shared" si="2"/>
        <v>1</v>
      </c>
      <c r="H5233" s="1" t="str">
        <f t="shared" si="3"/>
        <v>Currently Unavailable</v>
      </c>
      <c r="I5233" s="1" t="str">
        <f t="shared" si="4"/>
        <v>No Badges</v>
      </c>
      <c r="J5233" s="3">
        <f t="shared" si="5"/>
        <v>0</v>
      </c>
    </row>
    <row r="5234">
      <c r="A5234" s="1" t="s">
        <v>3850</v>
      </c>
      <c r="B5234" s="3" t="str">
        <f t="shared" si="1"/>
        <v>Unavailable</v>
      </c>
      <c r="C5234" s="3">
        <v>697.0</v>
      </c>
      <c r="D5234" s="3">
        <f>IFERROR(__xludf.DUMMYFUNCTION("IFERROR(
IF(REGEXMATCH(LOWER(O5234),""k""),
VALUE(REGEXEXTRACT(O5234,""[0-9]+""))*1000,
VALUE(REGEXEXTRACT(O5234,""[0-9]+""))
),
0
)"),0.0)</f>
        <v>0</v>
      </c>
      <c r="E5234" s="1" t="s">
        <v>11</v>
      </c>
      <c r="F5234" s="1" t="s">
        <v>20</v>
      </c>
      <c r="G5234" s="4" t="b">
        <f t="shared" si="2"/>
        <v>1</v>
      </c>
      <c r="H5234" s="1" t="str">
        <f t="shared" si="3"/>
        <v>Currently Unavailable</v>
      </c>
      <c r="I5234" s="1" t="str">
        <f t="shared" si="4"/>
        <v>No Badges</v>
      </c>
      <c r="J5234" s="3">
        <f t="shared" si="5"/>
        <v>0</v>
      </c>
    </row>
    <row r="5235">
      <c r="A5235" s="1" t="s">
        <v>3851</v>
      </c>
      <c r="B5235" s="3" t="str">
        <f t="shared" si="1"/>
        <v>Unavailable</v>
      </c>
      <c r="C5235" s="3">
        <v>50.0</v>
      </c>
      <c r="D5235" s="3">
        <f>IFERROR(__xludf.DUMMYFUNCTION("IFERROR(
IF(REGEXMATCH(LOWER(O5235),""k""),
VALUE(REGEXEXTRACT(O5235,""[0-9]+""))*1000,
VALUE(REGEXEXTRACT(O5235,""[0-9]+""))
),
0
)"),0.0)</f>
        <v>0</v>
      </c>
      <c r="E5235" s="1" t="s">
        <v>11</v>
      </c>
      <c r="F5235" s="1" t="s">
        <v>20</v>
      </c>
      <c r="G5235" s="4" t="b">
        <f t="shared" si="2"/>
        <v>1</v>
      </c>
      <c r="H5235" s="1" t="str">
        <f t="shared" si="3"/>
        <v>Currently Unavailable</v>
      </c>
      <c r="I5235" s="1" t="str">
        <f t="shared" si="4"/>
        <v>No Badges</v>
      </c>
      <c r="J5235" s="3">
        <f t="shared" si="5"/>
        <v>0</v>
      </c>
    </row>
    <row r="5236">
      <c r="A5236" s="1" t="s">
        <v>3852</v>
      </c>
      <c r="B5236" s="3" t="str">
        <f t="shared" si="1"/>
        <v>Unavailable</v>
      </c>
      <c r="C5236" s="5">
        <v>2912.0</v>
      </c>
      <c r="D5236" s="3">
        <f>IFERROR(__xludf.DUMMYFUNCTION("IFERROR(
IF(REGEXMATCH(LOWER(O5236),""k""),
VALUE(REGEXEXTRACT(O5236,""[0-9]+""))*1000,
VALUE(REGEXEXTRACT(O5236,""[0-9]+""))
),
0
)"),0.0)</f>
        <v>0</v>
      </c>
      <c r="E5236" s="1" t="s">
        <v>11</v>
      </c>
      <c r="F5236" s="1" t="s">
        <v>20</v>
      </c>
      <c r="G5236" s="4" t="b">
        <f t="shared" si="2"/>
        <v>1</v>
      </c>
      <c r="H5236" s="1" t="str">
        <f t="shared" si="3"/>
        <v>Currently Unavailable</v>
      </c>
      <c r="I5236" s="1" t="str">
        <f t="shared" si="4"/>
        <v>No Badges</v>
      </c>
      <c r="J5236" s="3">
        <f t="shared" si="5"/>
        <v>0</v>
      </c>
    </row>
    <row r="5237">
      <c r="A5237" s="1" t="s">
        <v>3853</v>
      </c>
      <c r="B5237" s="3" t="str">
        <f t="shared" si="1"/>
        <v>Unavailable</v>
      </c>
      <c r="C5237" s="5">
        <v>3400.0</v>
      </c>
      <c r="D5237" s="3">
        <f>IFERROR(__xludf.DUMMYFUNCTION("IFERROR(
IF(REGEXMATCH(LOWER(O5237),""k""),
VALUE(REGEXEXTRACT(O5237,""[0-9]+""))*1000,
VALUE(REGEXEXTRACT(O5237,""[0-9]+""))
),
0
)"),0.0)</f>
        <v>0</v>
      </c>
      <c r="E5237" s="1" t="s">
        <v>11</v>
      </c>
      <c r="F5237" s="1" t="s">
        <v>20</v>
      </c>
      <c r="G5237" s="4" t="b">
        <f t="shared" si="2"/>
        <v>1</v>
      </c>
      <c r="H5237" s="1" t="str">
        <f t="shared" si="3"/>
        <v>Currently Unavailable</v>
      </c>
      <c r="I5237" s="1" t="str">
        <f t="shared" si="4"/>
        <v>No Badges</v>
      </c>
      <c r="J5237" s="3">
        <f t="shared" si="5"/>
        <v>0</v>
      </c>
    </row>
    <row r="5238">
      <c r="A5238" s="1" t="s">
        <v>3854</v>
      </c>
      <c r="B5238" s="3" t="str">
        <f t="shared" si="1"/>
        <v>Unavailable</v>
      </c>
      <c r="C5238" s="3">
        <v>634.0</v>
      </c>
      <c r="D5238" s="3">
        <f>IFERROR(__xludf.DUMMYFUNCTION("IFERROR(
IF(REGEXMATCH(LOWER(O5238),""k""),
VALUE(REGEXEXTRACT(O5238,""[0-9]+""))*1000,
VALUE(REGEXEXTRACT(O5238,""[0-9]+""))
),
0
)"),0.0)</f>
        <v>0</v>
      </c>
      <c r="E5238" s="1" t="s">
        <v>11</v>
      </c>
      <c r="F5238" s="1" t="s">
        <v>20</v>
      </c>
      <c r="G5238" s="4" t="b">
        <f t="shared" si="2"/>
        <v>1</v>
      </c>
      <c r="H5238" s="1" t="str">
        <f t="shared" si="3"/>
        <v>Currently Unavailable</v>
      </c>
      <c r="I5238" s="1" t="str">
        <f t="shared" si="4"/>
        <v>No Badges</v>
      </c>
      <c r="J5238" s="3">
        <f t="shared" si="5"/>
        <v>0</v>
      </c>
    </row>
    <row r="5239">
      <c r="A5239" s="1" t="s">
        <v>3855</v>
      </c>
      <c r="B5239" s="3" t="str">
        <f t="shared" si="1"/>
        <v>Unavailable</v>
      </c>
      <c r="C5239" s="3">
        <v>369.0</v>
      </c>
      <c r="D5239" s="3">
        <f>IFERROR(__xludf.DUMMYFUNCTION("IFERROR(
IF(REGEXMATCH(LOWER(O5239),""k""),
VALUE(REGEXEXTRACT(O5239,""[0-9]+""))*1000,
VALUE(REGEXEXTRACT(O5239,""[0-9]+""))
),
0
)"),0.0)</f>
        <v>0</v>
      </c>
      <c r="E5239" s="1" t="s">
        <v>11</v>
      </c>
      <c r="F5239" s="1" t="s">
        <v>20</v>
      </c>
      <c r="G5239" s="4" t="b">
        <f t="shared" si="2"/>
        <v>1</v>
      </c>
      <c r="H5239" s="1" t="str">
        <f t="shared" si="3"/>
        <v>Currently Unavailable</v>
      </c>
      <c r="I5239" s="1" t="str">
        <f t="shared" si="4"/>
        <v>No Badges</v>
      </c>
      <c r="J5239" s="3">
        <f t="shared" si="5"/>
        <v>0</v>
      </c>
    </row>
    <row r="5240">
      <c r="A5240" s="1" t="s">
        <v>3856</v>
      </c>
      <c r="B5240" s="3" t="str">
        <f t="shared" si="1"/>
        <v>Unavailable</v>
      </c>
      <c r="C5240" s="5">
        <v>4270.0</v>
      </c>
      <c r="D5240" s="3">
        <f>IFERROR(__xludf.DUMMYFUNCTION("IFERROR(
IF(REGEXMATCH(LOWER(O5240),""k""),
VALUE(REGEXEXTRACT(O5240,""[0-9]+""))*1000,
VALUE(REGEXEXTRACT(O5240,""[0-9]+""))
),
0
)"),0.0)</f>
        <v>0</v>
      </c>
      <c r="E5240" s="1" t="s">
        <v>18</v>
      </c>
      <c r="F5240" s="1" t="s">
        <v>20</v>
      </c>
      <c r="G5240" s="4" t="b">
        <f t="shared" si="2"/>
        <v>1</v>
      </c>
      <c r="H5240" s="1" t="str">
        <f t="shared" si="3"/>
        <v>Currently Unavailable</v>
      </c>
      <c r="I5240" s="1" t="str">
        <f t="shared" si="4"/>
        <v>No Badges</v>
      </c>
      <c r="J5240" s="3">
        <f t="shared" si="5"/>
        <v>0</v>
      </c>
    </row>
    <row r="5241">
      <c r="A5241" s="1" t="s">
        <v>3857</v>
      </c>
      <c r="B5241" s="3" t="str">
        <f t="shared" si="1"/>
        <v>Unavailable</v>
      </c>
      <c r="C5241" s="5">
        <v>15342.0</v>
      </c>
      <c r="D5241" s="3">
        <f>IFERROR(__xludf.DUMMYFUNCTION("IFERROR(
IF(REGEXMATCH(LOWER(O5241),""k""),
VALUE(REGEXEXTRACT(O5241,""[0-9]+""))*1000,
VALUE(REGEXEXTRACT(O5241,""[0-9]+""))
),
0
)"),0.0)</f>
        <v>0</v>
      </c>
      <c r="E5241" s="1" t="s">
        <v>11</v>
      </c>
      <c r="F5241" s="1" t="s">
        <v>20</v>
      </c>
      <c r="G5241" s="4" t="b">
        <f t="shared" si="2"/>
        <v>1</v>
      </c>
      <c r="H5241" s="1" t="str">
        <f t="shared" si="3"/>
        <v>Currently Unavailable</v>
      </c>
      <c r="I5241" s="1" t="str">
        <f t="shared" si="4"/>
        <v>No Badges</v>
      </c>
      <c r="J5241" s="3">
        <f t="shared" si="5"/>
        <v>0</v>
      </c>
    </row>
    <row r="5242">
      <c r="A5242" s="1" t="s">
        <v>3858</v>
      </c>
      <c r="B5242" s="3" t="str">
        <f t="shared" si="1"/>
        <v>Unavailable</v>
      </c>
      <c r="C5242" s="3">
        <v>402.0</v>
      </c>
      <c r="D5242" s="3">
        <f>IFERROR(__xludf.DUMMYFUNCTION("IFERROR(
IF(REGEXMATCH(LOWER(O5242),""k""),
VALUE(REGEXEXTRACT(O5242,""[0-9]+""))*1000,
VALUE(REGEXEXTRACT(O5242,""[0-9]+""))
),
0
)"),0.0)</f>
        <v>0</v>
      </c>
      <c r="E5242" s="1" t="s">
        <v>11</v>
      </c>
      <c r="F5242" s="1" t="s">
        <v>20</v>
      </c>
      <c r="G5242" s="4" t="b">
        <f t="shared" si="2"/>
        <v>1</v>
      </c>
      <c r="H5242" s="1" t="str">
        <f t="shared" si="3"/>
        <v>Currently Unavailable</v>
      </c>
      <c r="I5242" s="1" t="str">
        <f t="shared" si="4"/>
        <v>No Badges</v>
      </c>
      <c r="J5242" s="3">
        <f t="shared" si="5"/>
        <v>0</v>
      </c>
    </row>
    <row r="5243">
      <c r="A5243" s="1" t="s">
        <v>3859</v>
      </c>
      <c r="B5243" s="3" t="str">
        <f t="shared" si="1"/>
        <v>Unavailable</v>
      </c>
      <c r="C5243" s="5">
        <v>1332.0</v>
      </c>
      <c r="D5243" s="3">
        <f>IFERROR(__xludf.DUMMYFUNCTION("IFERROR(
IF(REGEXMATCH(LOWER(O5243),""k""),
VALUE(REGEXEXTRACT(O5243,""[0-9]+""))*1000,
VALUE(REGEXEXTRACT(O5243,""[0-9]+""))
),
0
)"),0.0)</f>
        <v>0</v>
      </c>
      <c r="E5243" s="1" t="s">
        <v>11</v>
      </c>
      <c r="F5243" s="1" t="s">
        <v>20</v>
      </c>
      <c r="G5243" s="4" t="b">
        <f t="shared" si="2"/>
        <v>1</v>
      </c>
      <c r="H5243" s="1" t="str">
        <f t="shared" si="3"/>
        <v>Currently Unavailable</v>
      </c>
      <c r="I5243" s="1" t="str">
        <f t="shared" si="4"/>
        <v>No Badges</v>
      </c>
      <c r="J5243" s="3">
        <f t="shared" si="5"/>
        <v>0</v>
      </c>
    </row>
    <row r="5244">
      <c r="A5244" s="1" t="s">
        <v>3860</v>
      </c>
      <c r="B5244" s="3" t="str">
        <f t="shared" si="1"/>
        <v>Unavailable</v>
      </c>
      <c r="C5244" s="5">
        <v>16852.0</v>
      </c>
      <c r="D5244" s="3">
        <f>IFERROR(__xludf.DUMMYFUNCTION("IFERROR(
IF(REGEXMATCH(LOWER(O5244),""k""),
VALUE(REGEXEXTRACT(O5244,""[0-9]+""))*1000,
VALUE(REGEXEXTRACT(O5244,""[0-9]+""))
),
0
)"),0.0)</f>
        <v>0</v>
      </c>
      <c r="E5244" s="1" t="s">
        <v>11</v>
      </c>
      <c r="F5244" s="1" t="s">
        <v>20</v>
      </c>
      <c r="G5244" s="4" t="b">
        <f t="shared" si="2"/>
        <v>1</v>
      </c>
      <c r="H5244" s="1" t="str">
        <f t="shared" si="3"/>
        <v>Currently Unavailable</v>
      </c>
      <c r="I5244" s="1" t="str">
        <f t="shared" si="4"/>
        <v>No Badges</v>
      </c>
      <c r="J5244" s="3">
        <f t="shared" si="5"/>
        <v>0</v>
      </c>
    </row>
    <row r="5245">
      <c r="A5245" s="1" t="s">
        <v>3861</v>
      </c>
      <c r="B5245" s="3" t="str">
        <f t="shared" si="1"/>
        <v>Unavailable</v>
      </c>
      <c r="C5245" s="3">
        <v>678.0</v>
      </c>
      <c r="D5245" s="3">
        <f>IFERROR(__xludf.DUMMYFUNCTION("IFERROR(
IF(REGEXMATCH(LOWER(O5245),""k""),
VALUE(REGEXEXTRACT(O5245,""[0-9]+""))*1000,
VALUE(REGEXEXTRACT(O5245,""[0-9]+""))
),
0
)"),0.0)</f>
        <v>0</v>
      </c>
      <c r="E5245" s="1" t="s">
        <v>11</v>
      </c>
      <c r="F5245" s="1" t="s">
        <v>20</v>
      </c>
      <c r="G5245" s="4" t="b">
        <f t="shared" si="2"/>
        <v>1</v>
      </c>
      <c r="H5245" s="1" t="str">
        <f t="shared" si="3"/>
        <v>Currently Unavailable</v>
      </c>
      <c r="I5245" s="1" t="str">
        <f t="shared" si="4"/>
        <v>No Badges</v>
      </c>
      <c r="J5245" s="3">
        <f t="shared" si="5"/>
        <v>0</v>
      </c>
    </row>
    <row r="5246">
      <c r="A5246" s="1" t="s">
        <v>67</v>
      </c>
      <c r="B5246" s="3" t="str">
        <f t="shared" si="1"/>
        <v>Unavailable</v>
      </c>
      <c r="C5246" s="3">
        <v>264.0</v>
      </c>
      <c r="D5246" s="3">
        <f>IFERROR(__xludf.DUMMYFUNCTION("IFERROR(
IF(REGEXMATCH(LOWER(O5246),""k""),
VALUE(REGEXEXTRACT(O5246,""[0-9]+""))*1000,
VALUE(REGEXEXTRACT(O5246,""[0-9]+""))
),
0
)"),0.0)</f>
        <v>0</v>
      </c>
      <c r="E5246" s="1" t="s">
        <v>11</v>
      </c>
      <c r="F5246" s="1" t="s">
        <v>12</v>
      </c>
      <c r="G5246" s="4" t="b">
        <f t="shared" si="2"/>
        <v>1</v>
      </c>
      <c r="H5246" s="1" t="str">
        <f t="shared" si="3"/>
        <v>Currently Unavailable</v>
      </c>
      <c r="I5246" s="1" t="str">
        <f t="shared" si="4"/>
        <v>No Badges</v>
      </c>
      <c r="J5246" s="3">
        <f t="shared" si="5"/>
        <v>0</v>
      </c>
    </row>
    <row r="5247">
      <c r="A5247" s="1" t="s">
        <v>3862</v>
      </c>
      <c r="B5247" s="3" t="str">
        <f t="shared" si="1"/>
        <v>Unavailable</v>
      </c>
      <c r="C5247" s="5">
        <v>1077.0</v>
      </c>
      <c r="D5247" s="3">
        <f>IFERROR(__xludf.DUMMYFUNCTION("IFERROR(
IF(REGEXMATCH(LOWER(O5247),""k""),
VALUE(REGEXEXTRACT(O5247,""[0-9]+""))*1000,
VALUE(REGEXEXTRACT(O5247,""[0-9]+""))
),
0
)"),0.0)</f>
        <v>0</v>
      </c>
      <c r="E5247" s="1" t="s">
        <v>11</v>
      </c>
      <c r="F5247" s="1" t="s">
        <v>20</v>
      </c>
      <c r="G5247" s="4" t="b">
        <f t="shared" si="2"/>
        <v>1</v>
      </c>
      <c r="H5247" s="1" t="str">
        <f t="shared" si="3"/>
        <v>Currently Unavailable</v>
      </c>
      <c r="I5247" s="1" t="str">
        <f t="shared" si="4"/>
        <v>No Badges</v>
      </c>
      <c r="J5247" s="3">
        <f t="shared" si="5"/>
        <v>0</v>
      </c>
    </row>
    <row r="5248">
      <c r="A5248" s="1" t="s">
        <v>3863</v>
      </c>
      <c r="B5248" s="3" t="str">
        <f t="shared" si="1"/>
        <v>Unavailable</v>
      </c>
      <c r="C5248" s="3">
        <v>13.0</v>
      </c>
      <c r="D5248" s="3">
        <f>IFERROR(__xludf.DUMMYFUNCTION("IFERROR(
IF(REGEXMATCH(LOWER(O5248),""k""),
VALUE(REGEXEXTRACT(O5248,""[0-9]+""))*1000,
VALUE(REGEXEXTRACT(O5248,""[0-9]+""))
),
0
)"),0.0)</f>
        <v>0</v>
      </c>
      <c r="E5248" s="1" t="s">
        <v>11</v>
      </c>
      <c r="F5248" s="1" t="s">
        <v>12</v>
      </c>
      <c r="G5248" s="4" t="b">
        <f t="shared" si="2"/>
        <v>1</v>
      </c>
      <c r="H5248" s="1" t="str">
        <f t="shared" si="3"/>
        <v>Currently Unavailable</v>
      </c>
      <c r="I5248" s="1" t="str">
        <f t="shared" si="4"/>
        <v>No Badges</v>
      </c>
      <c r="J5248" s="3">
        <f t="shared" si="5"/>
        <v>0</v>
      </c>
    </row>
    <row r="5249">
      <c r="A5249" s="1" t="s">
        <v>3864</v>
      </c>
      <c r="B5249" s="3" t="str">
        <f t="shared" si="1"/>
        <v>Unavailable</v>
      </c>
      <c r="C5249" s="3">
        <v>652.0</v>
      </c>
      <c r="D5249" s="3">
        <f>IFERROR(__xludf.DUMMYFUNCTION("IFERROR(
IF(REGEXMATCH(LOWER(O5249),""k""),
VALUE(REGEXEXTRACT(O5249,""[0-9]+""))*1000,
VALUE(REGEXEXTRACT(O5249,""[0-9]+""))
),
0
)"),0.0)</f>
        <v>0</v>
      </c>
      <c r="E5249" s="1" t="s">
        <v>11</v>
      </c>
      <c r="F5249" s="1" t="s">
        <v>20</v>
      </c>
      <c r="G5249" s="4" t="b">
        <f t="shared" si="2"/>
        <v>1</v>
      </c>
      <c r="H5249" s="1" t="str">
        <f t="shared" si="3"/>
        <v>Currently Unavailable</v>
      </c>
      <c r="I5249" s="1" t="str">
        <f t="shared" si="4"/>
        <v>No Badges</v>
      </c>
      <c r="J5249" s="3">
        <f t="shared" si="5"/>
        <v>0</v>
      </c>
    </row>
    <row r="5250">
      <c r="A5250" s="1" t="s">
        <v>3865</v>
      </c>
      <c r="B5250" s="3" t="str">
        <f t="shared" si="1"/>
        <v>Unavailable</v>
      </c>
      <c r="C5250" s="3">
        <v>659.0</v>
      </c>
      <c r="D5250" s="3">
        <f>IFERROR(__xludf.DUMMYFUNCTION("IFERROR(
IF(REGEXMATCH(LOWER(O5250),""k""),
VALUE(REGEXEXTRACT(O5250,""[0-9]+""))*1000,
VALUE(REGEXEXTRACT(O5250,""[0-9]+""))
),
0
)"),0.0)</f>
        <v>0</v>
      </c>
      <c r="E5250" s="1" t="s">
        <v>11</v>
      </c>
      <c r="F5250" s="1" t="s">
        <v>20</v>
      </c>
      <c r="G5250" s="4" t="b">
        <f t="shared" si="2"/>
        <v>1</v>
      </c>
      <c r="H5250" s="1" t="str">
        <f t="shared" si="3"/>
        <v>Currently Unavailable</v>
      </c>
      <c r="I5250" s="1" t="str">
        <f t="shared" si="4"/>
        <v>No Badges</v>
      </c>
      <c r="J5250" s="3">
        <f t="shared" si="5"/>
        <v>0</v>
      </c>
    </row>
    <row r="5251">
      <c r="A5251" s="1" t="s">
        <v>3866</v>
      </c>
      <c r="B5251" s="3" t="str">
        <f t="shared" si="1"/>
        <v>Unavailable</v>
      </c>
      <c r="C5251" s="5">
        <v>3089.0</v>
      </c>
      <c r="D5251" s="3">
        <f>IFERROR(__xludf.DUMMYFUNCTION("IFERROR(
IF(REGEXMATCH(LOWER(O5251),""k""),
VALUE(REGEXEXTRACT(O5251,""[0-9]+""))*1000,
VALUE(REGEXEXTRACT(O5251,""[0-9]+""))
),
0
)"),0.0)</f>
        <v>0</v>
      </c>
      <c r="E5251" s="1" t="s">
        <v>11</v>
      </c>
      <c r="F5251" s="1" t="s">
        <v>20</v>
      </c>
      <c r="G5251" s="4" t="b">
        <f t="shared" si="2"/>
        <v>1</v>
      </c>
      <c r="H5251" s="1" t="str">
        <f t="shared" si="3"/>
        <v>Currently Unavailable</v>
      </c>
      <c r="I5251" s="1" t="str">
        <f t="shared" si="4"/>
        <v>No Badges</v>
      </c>
      <c r="J5251" s="3">
        <f t="shared" si="5"/>
        <v>0</v>
      </c>
    </row>
    <row r="5252">
      <c r="A5252" s="1" t="s">
        <v>3867</v>
      </c>
      <c r="B5252" s="3" t="str">
        <f t="shared" si="1"/>
        <v>Unavailable</v>
      </c>
      <c r="C5252" s="3">
        <v>778.0</v>
      </c>
      <c r="D5252" s="3">
        <f>IFERROR(__xludf.DUMMYFUNCTION("IFERROR(
IF(REGEXMATCH(LOWER(O5252),""k""),
VALUE(REGEXEXTRACT(O5252,""[0-9]+""))*1000,
VALUE(REGEXEXTRACT(O5252,""[0-9]+""))
),
0
)"),0.0)</f>
        <v>0</v>
      </c>
      <c r="E5252" s="1" t="s">
        <v>11</v>
      </c>
      <c r="F5252" s="1" t="s">
        <v>20</v>
      </c>
      <c r="G5252" s="4" t="b">
        <f t="shared" si="2"/>
        <v>1</v>
      </c>
      <c r="H5252" s="1" t="str">
        <f t="shared" si="3"/>
        <v>Currently Unavailable</v>
      </c>
      <c r="I5252" s="1" t="str">
        <f t="shared" si="4"/>
        <v>No Badges</v>
      </c>
      <c r="J5252" s="3">
        <f t="shared" si="5"/>
        <v>0</v>
      </c>
    </row>
    <row r="5253">
      <c r="A5253" s="1" t="s">
        <v>3868</v>
      </c>
      <c r="B5253" s="3" t="str">
        <f t="shared" si="1"/>
        <v>Unavailable</v>
      </c>
      <c r="C5253" s="3">
        <v>772.0</v>
      </c>
      <c r="D5253" s="3">
        <f>IFERROR(__xludf.DUMMYFUNCTION("IFERROR(
IF(REGEXMATCH(LOWER(O5253),""k""),
VALUE(REGEXEXTRACT(O5253,""[0-9]+""))*1000,
VALUE(REGEXEXTRACT(O5253,""[0-9]+""))
),
0
)"),0.0)</f>
        <v>0</v>
      </c>
      <c r="E5253" s="1" t="s">
        <v>11</v>
      </c>
      <c r="F5253" s="1" t="s">
        <v>20</v>
      </c>
      <c r="G5253" s="4" t="b">
        <f t="shared" si="2"/>
        <v>1</v>
      </c>
      <c r="H5253" s="1" t="str">
        <f t="shared" si="3"/>
        <v>Currently Unavailable</v>
      </c>
      <c r="I5253" s="1" t="str">
        <f t="shared" si="4"/>
        <v>No Badges</v>
      </c>
      <c r="J5253" s="3">
        <f t="shared" si="5"/>
        <v>0</v>
      </c>
    </row>
    <row r="5254">
      <c r="A5254" s="1" t="s">
        <v>3869</v>
      </c>
      <c r="B5254" s="3" t="str">
        <f t="shared" si="1"/>
        <v>Unavailable</v>
      </c>
      <c r="C5254" s="5">
        <v>2665.0</v>
      </c>
      <c r="D5254" s="3">
        <f>IFERROR(__xludf.DUMMYFUNCTION("IFERROR(
IF(REGEXMATCH(LOWER(O5254),""k""),
VALUE(REGEXEXTRACT(O5254,""[0-9]+""))*1000,
VALUE(REGEXEXTRACT(O5254,""[0-9]+""))
),
0
)"),0.0)</f>
        <v>0</v>
      </c>
      <c r="E5254" s="1" t="s">
        <v>11</v>
      </c>
      <c r="F5254" s="1" t="s">
        <v>20</v>
      </c>
      <c r="G5254" s="4" t="b">
        <f t="shared" si="2"/>
        <v>1</v>
      </c>
      <c r="H5254" s="1" t="str">
        <f t="shared" si="3"/>
        <v>Currently Unavailable</v>
      </c>
      <c r="I5254" s="1" t="str">
        <f t="shared" si="4"/>
        <v>No Badges</v>
      </c>
      <c r="J5254" s="3">
        <f t="shared" si="5"/>
        <v>0</v>
      </c>
    </row>
    <row r="5255">
      <c r="A5255" s="1" t="s">
        <v>3870</v>
      </c>
      <c r="B5255" s="3" t="str">
        <f t="shared" si="1"/>
        <v>Unavailable</v>
      </c>
      <c r="C5255" s="3">
        <v>146.0</v>
      </c>
      <c r="D5255" s="3">
        <f>IFERROR(__xludf.DUMMYFUNCTION("IFERROR(
IF(REGEXMATCH(LOWER(O5255),""k""),
VALUE(REGEXEXTRACT(O5255,""[0-9]+""))*1000,
VALUE(REGEXEXTRACT(O5255,""[0-9]+""))
),
0
)"),0.0)</f>
        <v>0</v>
      </c>
      <c r="E5255" s="1" t="s">
        <v>11</v>
      </c>
      <c r="F5255" s="1" t="s">
        <v>20</v>
      </c>
      <c r="G5255" s="4" t="b">
        <f t="shared" si="2"/>
        <v>1</v>
      </c>
      <c r="H5255" s="1" t="str">
        <f t="shared" si="3"/>
        <v>Currently Unavailable</v>
      </c>
      <c r="I5255" s="1" t="str">
        <f t="shared" si="4"/>
        <v>No Badges</v>
      </c>
      <c r="J5255" s="3">
        <f t="shared" si="5"/>
        <v>0</v>
      </c>
    </row>
    <row r="5256">
      <c r="A5256" s="1" t="s">
        <v>3871</v>
      </c>
      <c r="B5256" s="3" t="str">
        <f t="shared" si="1"/>
        <v>Unavailable</v>
      </c>
      <c r="C5256" s="3">
        <v>10.0</v>
      </c>
      <c r="D5256" s="3">
        <f>IFERROR(__xludf.DUMMYFUNCTION("IFERROR(
IF(REGEXMATCH(LOWER(O5256),""k""),
VALUE(REGEXEXTRACT(O5256,""[0-9]+""))*1000,
VALUE(REGEXEXTRACT(O5256,""[0-9]+""))
),
0
)"),0.0)</f>
        <v>0</v>
      </c>
      <c r="E5256" s="1" t="s">
        <v>11</v>
      </c>
      <c r="F5256" s="1" t="s">
        <v>20</v>
      </c>
      <c r="G5256" s="4" t="b">
        <f t="shared" si="2"/>
        <v>1</v>
      </c>
      <c r="H5256" s="1" t="str">
        <f t="shared" si="3"/>
        <v>Currently Unavailable</v>
      </c>
      <c r="I5256" s="1" t="str">
        <f t="shared" si="4"/>
        <v>No Badges</v>
      </c>
      <c r="J5256" s="3">
        <f t="shared" si="5"/>
        <v>0</v>
      </c>
    </row>
    <row r="5257">
      <c r="A5257" s="1" t="s">
        <v>3872</v>
      </c>
      <c r="B5257" s="3" t="str">
        <f t="shared" si="1"/>
        <v>Unavailable</v>
      </c>
      <c r="C5257" s="3">
        <v>344.0</v>
      </c>
      <c r="D5257" s="3">
        <f>IFERROR(__xludf.DUMMYFUNCTION("IFERROR(
IF(REGEXMATCH(LOWER(O5257),""k""),
VALUE(REGEXEXTRACT(O5257,""[0-9]+""))*1000,
VALUE(REGEXEXTRACT(O5257,""[0-9]+""))
),
0
)"),0.0)</f>
        <v>0</v>
      </c>
      <c r="E5257" s="1" t="s">
        <v>18</v>
      </c>
      <c r="F5257" s="1" t="s">
        <v>20</v>
      </c>
      <c r="G5257" s="4" t="b">
        <f t="shared" si="2"/>
        <v>1</v>
      </c>
      <c r="H5257" s="1" t="str">
        <f t="shared" si="3"/>
        <v>Currently Unavailable</v>
      </c>
      <c r="I5257" s="1" t="str">
        <f t="shared" si="4"/>
        <v>No Badges</v>
      </c>
      <c r="J5257" s="3">
        <f t="shared" si="5"/>
        <v>0</v>
      </c>
    </row>
    <row r="5258">
      <c r="A5258" s="1" t="s">
        <v>3873</v>
      </c>
      <c r="B5258" s="3" t="str">
        <f t="shared" si="1"/>
        <v>Unavailable</v>
      </c>
      <c r="C5258" s="3">
        <v>255.0</v>
      </c>
      <c r="D5258" s="3">
        <f>IFERROR(__xludf.DUMMYFUNCTION("IFERROR(
IF(REGEXMATCH(LOWER(O5258),""k""),
VALUE(REGEXEXTRACT(O5258,""[0-9]+""))*1000,
VALUE(REGEXEXTRACT(O5258,""[0-9]+""))
),
0
)"),0.0)</f>
        <v>0</v>
      </c>
      <c r="E5258" s="1" t="s">
        <v>11</v>
      </c>
      <c r="F5258" s="1" t="s">
        <v>20</v>
      </c>
      <c r="G5258" s="4" t="b">
        <f t="shared" si="2"/>
        <v>1</v>
      </c>
      <c r="H5258" s="1" t="str">
        <f t="shared" si="3"/>
        <v>Currently Unavailable</v>
      </c>
      <c r="I5258" s="1" t="str">
        <f t="shared" si="4"/>
        <v>No Badges</v>
      </c>
      <c r="J5258" s="3">
        <f t="shared" si="5"/>
        <v>0</v>
      </c>
    </row>
    <row r="5259">
      <c r="A5259" s="1" t="s">
        <v>3874</v>
      </c>
      <c r="B5259" s="3" t="str">
        <f t="shared" si="1"/>
        <v>Unavailable</v>
      </c>
      <c r="C5259" s="5">
        <v>1592.0</v>
      </c>
      <c r="D5259" s="3">
        <f>IFERROR(__xludf.DUMMYFUNCTION("IFERROR(
IF(REGEXMATCH(LOWER(O5259),""k""),
VALUE(REGEXEXTRACT(O5259,""[0-9]+""))*1000,
VALUE(REGEXEXTRACT(O5259,""[0-9]+""))
),
0
)"),0.0)</f>
        <v>0</v>
      </c>
      <c r="E5259" s="1" t="s">
        <v>11</v>
      </c>
      <c r="F5259" s="1" t="s">
        <v>20</v>
      </c>
      <c r="G5259" s="4" t="b">
        <f t="shared" si="2"/>
        <v>1</v>
      </c>
      <c r="H5259" s="1" t="str">
        <f t="shared" si="3"/>
        <v>Currently Unavailable</v>
      </c>
      <c r="I5259" s="1" t="str">
        <f t="shared" si="4"/>
        <v>No Badges</v>
      </c>
      <c r="J5259" s="3">
        <f t="shared" si="5"/>
        <v>0</v>
      </c>
    </row>
    <row r="5260">
      <c r="A5260" s="1" t="s">
        <v>3875</v>
      </c>
      <c r="B5260" s="3" t="str">
        <f t="shared" si="1"/>
        <v>Unavailable</v>
      </c>
      <c r="C5260" s="3">
        <v>185.0</v>
      </c>
      <c r="D5260" s="3">
        <f>IFERROR(__xludf.DUMMYFUNCTION("IFERROR(
IF(REGEXMATCH(LOWER(O5260),""k""),
VALUE(REGEXEXTRACT(O5260,""[0-9]+""))*1000,
VALUE(REGEXEXTRACT(O5260,""[0-9]+""))
),
0
)"),0.0)</f>
        <v>0</v>
      </c>
      <c r="E5260" s="1" t="s">
        <v>11</v>
      </c>
      <c r="F5260" s="1" t="s">
        <v>20</v>
      </c>
      <c r="G5260" s="4" t="b">
        <f t="shared" si="2"/>
        <v>1</v>
      </c>
      <c r="H5260" s="1" t="str">
        <f t="shared" si="3"/>
        <v>Currently Unavailable</v>
      </c>
      <c r="I5260" s="1" t="str">
        <f t="shared" si="4"/>
        <v>No Badges</v>
      </c>
      <c r="J5260" s="3">
        <f t="shared" si="5"/>
        <v>0</v>
      </c>
    </row>
    <row r="5261">
      <c r="A5261" s="1" t="s">
        <v>701</v>
      </c>
      <c r="B5261" s="3" t="str">
        <f t="shared" si="1"/>
        <v>Unavailable</v>
      </c>
      <c r="C5261" s="3">
        <v>8.0</v>
      </c>
      <c r="D5261" s="3">
        <f>IFERROR(__xludf.DUMMYFUNCTION("IFERROR(
IF(REGEXMATCH(LOWER(O5261),""k""),
VALUE(REGEXEXTRACT(O5261,""[0-9]+""))*1000,
VALUE(REGEXEXTRACT(O5261,""[0-9]+""))
),
0
)"),0.0)</f>
        <v>0</v>
      </c>
      <c r="E5261" s="1" t="s">
        <v>11</v>
      </c>
      <c r="F5261" s="1" t="s">
        <v>12</v>
      </c>
      <c r="G5261" s="4" t="b">
        <f t="shared" si="2"/>
        <v>1</v>
      </c>
      <c r="H5261" s="1" t="str">
        <f t="shared" si="3"/>
        <v>Currently Unavailable</v>
      </c>
      <c r="I5261" s="1" t="str">
        <f t="shared" si="4"/>
        <v>No Badges</v>
      </c>
      <c r="J5261" s="3">
        <f t="shared" si="5"/>
        <v>0</v>
      </c>
    </row>
    <row r="5262">
      <c r="A5262" s="1" t="s">
        <v>3876</v>
      </c>
      <c r="B5262" s="3" t="str">
        <f t="shared" si="1"/>
        <v>Unavailable</v>
      </c>
      <c r="C5262" s="3">
        <v>908.0</v>
      </c>
      <c r="D5262" s="3">
        <f>IFERROR(__xludf.DUMMYFUNCTION("IFERROR(
IF(REGEXMATCH(LOWER(O5262),""k""),
VALUE(REGEXEXTRACT(O5262,""[0-9]+""))*1000,
VALUE(REGEXEXTRACT(O5262,""[0-9]+""))
),
0
)"),0.0)</f>
        <v>0</v>
      </c>
      <c r="E5262" s="1" t="s">
        <v>11</v>
      </c>
      <c r="F5262" s="1" t="s">
        <v>20</v>
      </c>
      <c r="G5262" s="4" t="b">
        <f t="shared" si="2"/>
        <v>1</v>
      </c>
      <c r="H5262" s="1" t="str">
        <f t="shared" si="3"/>
        <v>Currently Unavailable</v>
      </c>
      <c r="I5262" s="1" t="str">
        <f t="shared" si="4"/>
        <v>No Badges</v>
      </c>
      <c r="J5262" s="3">
        <f t="shared" si="5"/>
        <v>0</v>
      </c>
    </row>
    <row r="5263">
      <c r="A5263" s="1" t="s">
        <v>40</v>
      </c>
      <c r="B5263" s="3" t="str">
        <f t="shared" si="1"/>
        <v>Unavailable</v>
      </c>
      <c r="C5263" s="3">
        <v>171.0</v>
      </c>
      <c r="D5263" s="3">
        <f>IFERROR(__xludf.DUMMYFUNCTION("IFERROR(
IF(REGEXMATCH(LOWER(O5263),""k""),
VALUE(REGEXEXTRACT(O5263,""[0-9]+""))*1000,
VALUE(REGEXEXTRACT(O5263,""[0-9]+""))
),
0
)"),0.0)</f>
        <v>0</v>
      </c>
      <c r="E5263" s="1" t="s">
        <v>11</v>
      </c>
      <c r="F5263" s="1" t="s">
        <v>12</v>
      </c>
      <c r="G5263" s="4" t="b">
        <f t="shared" si="2"/>
        <v>1</v>
      </c>
      <c r="H5263" s="1" t="str">
        <f t="shared" si="3"/>
        <v>Currently Unavailable</v>
      </c>
      <c r="I5263" s="1" t="str">
        <f t="shared" si="4"/>
        <v>No Badges</v>
      </c>
      <c r="J5263" s="3">
        <f t="shared" si="5"/>
        <v>0</v>
      </c>
    </row>
    <row r="5264">
      <c r="A5264" s="1" t="s">
        <v>3877</v>
      </c>
      <c r="B5264" s="3" t="str">
        <f t="shared" si="1"/>
        <v>Unavailable</v>
      </c>
      <c r="C5264" s="5">
        <v>1378.0</v>
      </c>
      <c r="D5264" s="3">
        <f>IFERROR(__xludf.DUMMYFUNCTION("IFERROR(
IF(REGEXMATCH(LOWER(O5264),""k""),
VALUE(REGEXEXTRACT(O5264,""[0-9]+""))*1000,
VALUE(REGEXEXTRACT(O5264,""[0-9]+""))
),
0
)"),0.0)</f>
        <v>0</v>
      </c>
      <c r="E5264" s="1" t="s">
        <v>11</v>
      </c>
      <c r="F5264" s="1" t="s">
        <v>20</v>
      </c>
      <c r="G5264" s="4" t="b">
        <f t="shared" si="2"/>
        <v>1</v>
      </c>
      <c r="H5264" s="1" t="str">
        <f t="shared" si="3"/>
        <v>Currently Unavailable</v>
      </c>
      <c r="I5264" s="1" t="str">
        <f t="shared" si="4"/>
        <v>No Badges</v>
      </c>
      <c r="J5264" s="3">
        <f t="shared" si="5"/>
        <v>0</v>
      </c>
    </row>
    <row r="5265">
      <c r="A5265" s="1" t="s">
        <v>3878</v>
      </c>
      <c r="B5265" s="3" t="str">
        <f t="shared" si="1"/>
        <v>Unavailable</v>
      </c>
      <c r="C5265" s="3">
        <v>214.0</v>
      </c>
      <c r="D5265" s="3">
        <f>IFERROR(__xludf.DUMMYFUNCTION("IFERROR(
IF(REGEXMATCH(LOWER(O5265),""k""),
VALUE(REGEXEXTRACT(O5265,""[0-9]+""))*1000,
VALUE(REGEXEXTRACT(O5265,""[0-9]+""))
),
0
)"),0.0)</f>
        <v>0</v>
      </c>
      <c r="E5265" s="1" t="s">
        <v>11</v>
      </c>
      <c r="F5265" s="1" t="s">
        <v>20</v>
      </c>
      <c r="G5265" s="4" t="b">
        <f t="shared" si="2"/>
        <v>1</v>
      </c>
      <c r="H5265" s="1" t="str">
        <f t="shared" si="3"/>
        <v>Currently Unavailable</v>
      </c>
      <c r="I5265" s="1" t="str">
        <f t="shared" si="4"/>
        <v>No Badges</v>
      </c>
      <c r="J5265" s="3">
        <f t="shared" si="5"/>
        <v>0</v>
      </c>
    </row>
    <row r="5266">
      <c r="A5266" s="1" t="s">
        <v>69</v>
      </c>
      <c r="B5266" s="3" t="str">
        <f t="shared" si="1"/>
        <v>Unavailable</v>
      </c>
      <c r="C5266" s="3">
        <v>45.0</v>
      </c>
      <c r="D5266" s="3">
        <f>IFERROR(__xludf.DUMMYFUNCTION("IFERROR(
IF(REGEXMATCH(LOWER(O5266),""k""),
VALUE(REGEXEXTRACT(O5266,""[0-9]+""))*1000,
VALUE(REGEXEXTRACT(O5266,""[0-9]+""))
),
0
)"),0.0)</f>
        <v>0</v>
      </c>
      <c r="E5266" s="1" t="s">
        <v>11</v>
      </c>
      <c r="F5266" s="1" t="s">
        <v>12</v>
      </c>
      <c r="G5266" s="4" t="b">
        <f t="shared" si="2"/>
        <v>1</v>
      </c>
      <c r="H5266" s="1" t="str">
        <f t="shared" si="3"/>
        <v>Currently Unavailable</v>
      </c>
      <c r="I5266" s="1" t="str">
        <f t="shared" si="4"/>
        <v>No Badges</v>
      </c>
      <c r="J5266" s="3">
        <f t="shared" si="5"/>
        <v>0</v>
      </c>
    </row>
    <row r="5267">
      <c r="A5267" s="1" t="s">
        <v>3879</v>
      </c>
      <c r="B5267" s="3" t="str">
        <f t="shared" si="1"/>
        <v>Unavailable</v>
      </c>
      <c r="C5267" s="3">
        <v>486.0</v>
      </c>
      <c r="D5267" s="3">
        <f>IFERROR(__xludf.DUMMYFUNCTION("IFERROR(
IF(REGEXMATCH(LOWER(O5267),""k""),
VALUE(REGEXEXTRACT(O5267,""[0-9]+""))*1000,
VALUE(REGEXEXTRACT(O5267,""[0-9]+""))
),
0
)"),0.0)</f>
        <v>0</v>
      </c>
      <c r="E5267" s="1" t="s">
        <v>11</v>
      </c>
      <c r="F5267" s="1" t="s">
        <v>20</v>
      </c>
      <c r="G5267" s="4" t="b">
        <f t="shared" si="2"/>
        <v>1</v>
      </c>
      <c r="H5267" s="1" t="str">
        <f t="shared" si="3"/>
        <v>Currently Unavailable</v>
      </c>
      <c r="I5267" s="1" t="str">
        <f t="shared" si="4"/>
        <v>No Badges</v>
      </c>
      <c r="J5267" s="3">
        <f t="shared" si="5"/>
        <v>0</v>
      </c>
    </row>
    <row r="5268">
      <c r="A5268" s="1" t="s">
        <v>3880</v>
      </c>
      <c r="B5268" s="3" t="str">
        <f t="shared" si="1"/>
        <v>Unavailable</v>
      </c>
      <c r="C5268" s="3">
        <v>793.0</v>
      </c>
      <c r="D5268" s="3">
        <f>IFERROR(__xludf.DUMMYFUNCTION("IFERROR(
IF(REGEXMATCH(LOWER(O5268),""k""),
VALUE(REGEXEXTRACT(O5268,""[0-9]+""))*1000,
VALUE(REGEXEXTRACT(O5268,""[0-9]+""))
),
0
)"),0.0)</f>
        <v>0</v>
      </c>
      <c r="E5268" s="1" t="s">
        <v>11</v>
      </c>
      <c r="F5268" s="1" t="s">
        <v>20</v>
      </c>
      <c r="G5268" s="4" t="b">
        <f t="shared" si="2"/>
        <v>1</v>
      </c>
      <c r="H5268" s="1" t="str">
        <f t="shared" si="3"/>
        <v>Currently Unavailable</v>
      </c>
      <c r="I5268" s="1" t="str">
        <f t="shared" si="4"/>
        <v>No Badges</v>
      </c>
      <c r="J5268" s="3">
        <f t="shared" si="5"/>
        <v>0</v>
      </c>
    </row>
    <row r="5269">
      <c r="A5269" s="1" t="s">
        <v>3881</v>
      </c>
      <c r="B5269" s="3" t="str">
        <f t="shared" si="1"/>
        <v>Unavailable</v>
      </c>
      <c r="C5269" s="5">
        <v>5967.0</v>
      </c>
      <c r="D5269" s="3">
        <f>IFERROR(__xludf.DUMMYFUNCTION("IFERROR(
IF(REGEXMATCH(LOWER(O5269),""k""),
VALUE(REGEXEXTRACT(O5269,""[0-9]+""))*1000,
VALUE(REGEXEXTRACT(O5269,""[0-9]+""))
),
0
)"),0.0)</f>
        <v>0</v>
      </c>
      <c r="E5269" s="1" t="s">
        <v>11</v>
      </c>
      <c r="F5269" s="1" t="s">
        <v>20</v>
      </c>
      <c r="G5269" s="4" t="b">
        <f t="shared" si="2"/>
        <v>1</v>
      </c>
      <c r="H5269" s="1" t="str">
        <f t="shared" si="3"/>
        <v>Currently Unavailable</v>
      </c>
      <c r="I5269" s="1" t="str">
        <f t="shared" si="4"/>
        <v>No Badges</v>
      </c>
      <c r="J5269" s="3">
        <f t="shared" si="5"/>
        <v>0</v>
      </c>
    </row>
    <row r="5270">
      <c r="A5270" s="1" t="s">
        <v>3882</v>
      </c>
      <c r="B5270" s="3" t="str">
        <f t="shared" si="1"/>
        <v>Unavailable</v>
      </c>
      <c r="C5270" s="3">
        <v>167.0</v>
      </c>
      <c r="D5270" s="3">
        <f>IFERROR(__xludf.DUMMYFUNCTION("IFERROR(
IF(REGEXMATCH(LOWER(O5270),""k""),
VALUE(REGEXEXTRACT(O5270,""[0-9]+""))*1000,
VALUE(REGEXEXTRACT(O5270,""[0-9]+""))
),
0
)"),0.0)</f>
        <v>0</v>
      </c>
      <c r="E5270" s="1" t="s">
        <v>11</v>
      </c>
      <c r="F5270" s="1" t="s">
        <v>20</v>
      </c>
      <c r="G5270" s="4" t="b">
        <f t="shared" si="2"/>
        <v>1</v>
      </c>
      <c r="H5270" s="1" t="str">
        <f t="shared" si="3"/>
        <v>Currently Unavailable</v>
      </c>
      <c r="I5270" s="1" t="str">
        <f t="shared" si="4"/>
        <v>No Badges</v>
      </c>
      <c r="J5270" s="3">
        <f t="shared" si="5"/>
        <v>0</v>
      </c>
    </row>
    <row r="5271">
      <c r="A5271" s="1" t="s">
        <v>3883</v>
      </c>
      <c r="B5271" s="3" t="str">
        <f t="shared" si="1"/>
        <v>Unavailable</v>
      </c>
      <c r="C5271" s="3">
        <v>481.0</v>
      </c>
      <c r="D5271" s="3">
        <f>IFERROR(__xludf.DUMMYFUNCTION("IFERROR(
IF(REGEXMATCH(LOWER(O5271),""k""),
VALUE(REGEXEXTRACT(O5271,""[0-9]+""))*1000,
VALUE(REGEXEXTRACT(O5271,""[0-9]+""))
),
0
)"),0.0)</f>
        <v>0</v>
      </c>
      <c r="E5271" s="1" t="s">
        <v>11</v>
      </c>
      <c r="F5271" s="1" t="s">
        <v>20</v>
      </c>
      <c r="G5271" s="4" t="b">
        <f t="shared" si="2"/>
        <v>1</v>
      </c>
      <c r="H5271" s="1" t="str">
        <f t="shared" si="3"/>
        <v>Currently Unavailable</v>
      </c>
      <c r="I5271" s="1" t="str">
        <f t="shared" si="4"/>
        <v>No Badges</v>
      </c>
      <c r="J5271" s="3">
        <f t="shared" si="5"/>
        <v>0</v>
      </c>
    </row>
    <row r="5272">
      <c r="A5272" s="1" t="s">
        <v>3884</v>
      </c>
      <c r="B5272" s="3" t="str">
        <f t="shared" si="1"/>
        <v>Unavailable</v>
      </c>
      <c r="C5272" s="3">
        <v>45.0</v>
      </c>
      <c r="D5272" s="3">
        <f>IFERROR(__xludf.DUMMYFUNCTION("IFERROR(
IF(REGEXMATCH(LOWER(O5272),""k""),
VALUE(REGEXEXTRACT(O5272,""[0-9]+""))*1000,
VALUE(REGEXEXTRACT(O5272,""[0-9]+""))
),
0
)"),0.0)</f>
        <v>0</v>
      </c>
      <c r="E5272" s="1" t="s">
        <v>11</v>
      </c>
      <c r="F5272" s="1" t="s">
        <v>20</v>
      </c>
      <c r="G5272" s="4" t="b">
        <f t="shared" si="2"/>
        <v>1</v>
      </c>
      <c r="H5272" s="1" t="str">
        <f t="shared" si="3"/>
        <v>Currently Unavailable</v>
      </c>
      <c r="I5272" s="1" t="str">
        <f t="shared" si="4"/>
        <v>No Badges</v>
      </c>
      <c r="J5272" s="3">
        <f t="shared" si="5"/>
        <v>0</v>
      </c>
    </row>
    <row r="5273">
      <c r="A5273" s="1" t="s">
        <v>3885</v>
      </c>
      <c r="B5273" s="3" t="str">
        <f t="shared" si="1"/>
        <v>Unavailable</v>
      </c>
      <c r="C5273" s="3">
        <v>24.0</v>
      </c>
      <c r="D5273" s="3">
        <f>IFERROR(__xludf.DUMMYFUNCTION("IFERROR(
IF(REGEXMATCH(LOWER(O5273),""k""),
VALUE(REGEXEXTRACT(O5273,""[0-9]+""))*1000,
VALUE(REGEXEXTRACT(O5273,""[0-9]+""))
),
0
)"),0.0)</f>
        <v>0</v>
      </c>
      <c r="E5273" s="1" t="s">
        <v>11</v>
      </c>
      <c r="F5273" s="1" t="s">
        <v>20</v>
      </c>
      <c r="G5273" s="4" t="b">
        <f t="shared" si="2"/>
        <v>1</v>
      </c>
      <c r="H5273" s="1" t="str">
        <f t="shared" si="3"/>
        <v>Currently Unavailable</v>
      </c>
      <c r="I5273" s="1" t="str">
        <f t="shared" si="4"/>
        <v>No Badges</v>
      </c>
      <c r="J5273" s="3">
        <f t="shared" si="5"/>
        <v>0</v>
      </c>
    </row>
    <row r="5274">
      <c r="A5274" s="1" t="s">
        <v>3886</v>
      </c>
      <c r="B5274" s="3" t="str">
        <f t="shared" si="1"/>
        <v>Unavailable</v>
      </c>
      <c r="C5274" s="3">
        <v>109.0</v>
      </c>
      <c r="D5274" s="3">
        <f>IFERROR(__xludf.DUMMYFUNCTION("IFERROR(
IF(REGEXMATCH(LOWER(O5274),""k""),
VALUE(REGEXEXTRACT(O5274,""[0-9]+""))*1000,
VALUE(REGEXEXTRACT(O5274,""[0-9]+""))
),
0
)"),0.0)</f>
        <v>0</v>
      </c>
      <c r="E5274" s="1" t="s">
        <v>11</v>
      </c>
      <c r="F5274" s="1" t="s">
        <v>20</v>
      </c>
      <c r="G5274" s="4" t="b">
        <f t="shared" si="2"/>
        <v>1</v>
      </c>
      <c r="H5274" s="1" t="str">
        <f t="shared" si="3"/>
        <v>Currently Unavailable</v>
      </c>
      <c r="I5274" s="1" t="str">
        <f t="shared" si="4"/>
        <v>No Badges</v>
      </c>
      <c r="J5274" s="3">
        <f t="shared" si="5"/>
        <v>0</v>
      </c>
    </row>
    <row r="5275">
      <c r="A5275" s="1" t="s">
        <v>3887</v>
      </c>
      <c r="B5275" s="3" t="str">
        <f t="shared" si="1"/>
        <v>Unavailable</v>
      </c>
      <c r="C5275" s="3">
        <v>73.0</v>
      </c>
      <c r="D5275" s="3">
        <f>IFERROR(__xludf.DUMMYFUNCTION("IFERROR(
IF(REGEXMATCH(LOWER(O5275),""k""),
VALUE(REGEXEXTRACT(O5275,""[0-9]+""))*1000,
VALUE(REGEXEXTRACT(O5275,""[0-9]+""))
),
0
)"),0.0)</f>
        <v>0</v>
      </c>
      <c r="E5275" s="1" t="s">
        <v>11</v>
      </c>
      <c r="F5275" s="1" t="s">
        <v>20</v>
      </c>
      <c r="G5275" s="4" t="b">
        <f t="shared" si="2"/>
        <v>1</v>
      </c>
      <c r="H5275" s="1" t="str">
        <f t="shared" si="3"/>
        <v>Currently Unavailable</v>
      </c>
      <c r="I5275" s="1" t="str">
        <f t="shared" si="4"/>
        <v>No Badges</v>
      </c>
      <c r="J5275" s="3">
        <f t="shared" si="5"/>
        <v>0</v>
      </c>
    </row>
    <row r="5276">
      <c r="A5276" s="1" t="s">
        <v>3888</v>
      </c>
      <c r="B5276" s="3" t="str">
        <f t="shared" si="1"/>
        <v>Unavailable</v>
      </c>
      <c r="C5276" s="5">
        <v>1760.0</v>
      </c>
      <c r="D5276" s="3">
        <f>IFERROR(__xludf.DUMMYFUNCTION("IFERROR(
IF(REGEXMATCH(LOWER(O5276),""k""),
VALUE(REGEXEXTRACT(O5276,""[0-9]+""))*1000,
VALUE(REGEXEXTRACT(O5276,""[0-9]+""))
),
0
)"),0.0)</f>
        <v>0</v>
      </c>
      <c r="E5276" s="1" t="s">
        <v>11</v>
      </c>
      <c r="F5276" s="1" t="s">
        <v>20</v>
      </c>
      <c r="G5276" s="4" t="b">
        <f t="shared" si="2"/>
        <v>1</v>
      </c>
      <c r="H5276" s="1" t="str">
        <f t="shared" si="3"/>
        <v>Currently Unavailable</v>
      </c>
      <c r="I5276" s="1" t="str">
        <f t="shared" si="4"/>
        <v>No Badges</v>
      </c>
      <c r="J5276" s="3">
        <f t="shared" si="5"/>
        <v>0</v>
      </c>
    </row>
    <row r="5277">
      <c r="A5277" s="1" t="s">
        <v>3889</v>
      </c>
      <c r="B5277" s="3" t="str">
        <f t="shared" si="1"/>
        <v>Unavailable</v>
      </c>
      <c r="C5277" s="3">
        <v>62.0</v>
      </c>
      <c r="D5277" s="3">
        <f>IFERROR(__xludf.DUMMYFUNCTION("IFERROR(
IF(REGEXMATCH(LOWER(O5277),""k""),
VALUE(REGEXEXTRACT(O5277,""[0-9]+""))*1000,
VALUE(REGEXEXTRACT(O5277,""[0-9]+""))
),
0
)"),0.0)</f>
        <v>0</v>
      </c>
      <c r="E5277" s="1" t="s">
        <v>11</v>
      </c>
      <c r="F5277" s="1" t="s">
        <v>20</v>
      </c>
      <c r="G5277" s="4" t="b">
        <f t="shared" si="2"/>
        <v>1</v>
      </c>
      <c r="H5277" s="1" t="str">
        <f t="shared" si="3"/>
        <v>Currently Unavailable</v>
      </c>
      <c r="I5277" s="1" t="str">
        <f t="shared" si="4"/>
        <v>No Badges</v>
      </c>
      <c r="J5277" s="3">
        <f t="shared" si="5"/>
        <v>0</v>
      </c>
    </row>
    <row r="5278">
      <c r="A5278" s="1" t="s">
        <v>3890</v>
      </c>
      <c r="B5278" s="3" t="str">
        <f t="shared" si="1"/>
        <v>Unavailable</v>
      </c>
      <c r="C5278" s="5">
        <v>4972.0</v>
      </c>
      <c r="D5278" s="3">
        <f>IFERROR(__xludf.DUMMYFUNCTION("IFERROR(
IF(REGEXMATCH(LOWER(O5278),""k""),
VALUE(REGEXEXTRACT(O5278,""[0-9]+""))*1000,
VALUE(REGEXEXTRACT(O5278,""[0-9]+""))
),
0
)"),0.0)</f>
        <v>0</v>
      </c>
      <c r="E5278" s="1" t="s">
        <v>11</v>
      </c>
      <c r="F5278" s="1" t="s">
        <v>20</v>
      </c>
      <c r="G5278" s="4" t="b">
        <f t="shared" si="2"/>
        <v>1</v>
      </c>
      <c r="H5278" s="1" t="str">
        <f t="shared" si="3"/>
        <v>Currently Unavailable</v>
      </c>
      <c r="I5278" s="1" t="str">
        <f t="shared" si="4"/>
        <v>No Badges</v>
      </c>
      <c r="J5278" s="3">
        <f t="shared" si="5"/>
        <v>0</v>
      </c>
    </row>
    <row r="5279">
      <c r="A5279" s="1" t="s">
        <v>67</v>
      </c>
      <c r="B5279" s="3" t="str">
        <f t="shared" si="1"/>
        <v>Unavailable</v>
      </c>
      <c r="C5279" s="3">
        <v>264.0</v>
      </c>
      <c r="D5279" s="3">
        <f>IFERROR(__xludf.DUMMYFUNCTION("IFERROR(
IF(REGEXMATCH(LOWER(O5279),""k""),
VALUE(REGEXEXTRACT(O5279,""[0-9]+""))*1000,
VALUE(REGEXEXTRACT(O5279,""[0-9]+""))
),
0
)"),0.0)</f>
        <v>0</v>
      </c>
      <c r="E5279" s="1" t="s">
        <v>11</v>
      </c>
      <c r="F5279" s="1" t="s">
        <v>12</v>
      </c>
      <c r="G5279" s="4" t="b">
        <f t="shared" si="2"/>
        <v>1</v>
      </c>
      <c r="H5279" s="1" t="str">
        <f t="shared" si="3"/>
        <v>Currently Unavailable</v>
      </c>
      <c r="I5279" s="1" t="str">
        <f t="shared" si="4"/>
        <v>No Badges</v>
      </c>
      <c r="J5279" s="3">
        <f t="shared" si="5"/>
        <v>0</v>
      </c>
    </row>
    <row r="5280">
      <c r="A5280" s="1" t="s">
        <v>3891</v>
      </c>
      <c r="B5280" s="3" t="str">
        <f t="shared" si="1"/>
        <v>Unavailable</v>
      </c>
      <c r="C5280" s="5">
        <v>6296.0</v>
      </c>
      <c r="D5280" s="3">
        <f>IFERROR(__xludf.DUMMYFUNCTION("IFERROR(
IF(REGEXMATCH(LOWER(O5280),""k""),
VALUE(REGEXEXTRACT(O5280,""[0-9]+""))*1000,
VALUE(REGEXEXTRACT(O5280,""[0-9]+""))
),
0
)"),0.0)</f>
        <v>0</v>
      </c>
      <c r="E5280" s="1" t="s">
        <v>11</v>
      </c>
      <c r="F5280" s="1" t="s">
        <v>20</v>
      </c>
      <c r="G5280" s="4" t="b">
        <f t="shared" si="2"/>
        <v>1</v>
      </c>
      <c r="H5280" s="1" t="str">
        <f t="shared" si="3"/>
        <v>Currently Unavailable</v>
      </c>
      <c r="I5280" s="1" t="str">
        <f t="shared" si="4"/>
        <v>No Badges</v>
      </c>
      <c r="J5280" s="3">
        <f t="shared" si="5"/>
        <v>0</v>
      </c>
    </row>
    <row r="5281">
      <c r="A5281" s="1" t="s">
        <v>701</v>
      </c>
      <c r="B5281" s="3" t="str">
        <f t="shared" si="1"/>
        <v>Unavailable</v>
      </c>
      <c r="C5281" s="3">
        <v>8.0</v>
      </c>
      <c r="D5281" s="3">
        <f>IFERROR(__xludf.DUMMYFUNCTION("IFERROR(
IF(REGEXMATCH(LOWER(O5281),""k""),
VALUE(REGEXEXTRACT(O5281,""[0-9]+""))*1000,
VALUE(REGEXEXTRACT(O5281,""[0-9]+""))
),
0
)"),0.0)</f>
        <v>0</v>
      </c>
      <c r="E5281" s="1" t="s">
        <v>11</v>
      </c>
      <c r="F5281" s="1" t="s">
        <v>12</v>
      </c>
      <c r="G5281" s="4" t="b">
        <f t="shared" si="2"/>
        <v>1</v>
      </c>
      <c r="H5281" s="1" t="str">
        <f t="shared" si="3"/>
        <v>Currently Unavailable</v>
      </c>
      <c r="I5281" s="1" t="str">
        <f t="shared" si="4"/>
        <v>No Badges</v>
      </c>
      <c r="J5281" s="3">
        <f t="shared" si="5"/>
        <v>0</v>
      </c>
    </row>
    <row r="5282">
      <c r="A5282" s="1" t="s">
        <v>3892</v>
      </c>
      <c r="B5282" s="3" t="str">
        <f t="shared" si="1"/>
        <v>Unavailable</v>
      </c>
      <c r="C5282" s="3">
        <v>203.0</v>
      </c>
      <c r="D5282" s="3">
        <f>IFERROR(__xludf.DUMMYFUNCTION("IFERROR(
IF(REGEXMATCH(LOWER(O5282),""k""),
VALUE(REGEXEXTRACT(O5282,""[0-9]+""))*1000,
VALUE(REGEXEXTRACT(O5282,""[0-9]+""))
),
0
)"),0.0)</f>
        <v>0</v>
      </c>
      <c r="E5282" s="1" t="s">
        <v>11</v>
      </c>
      <c r="F5282" s="1" t="s">
        <v>20</v>
      </c>
      <c r="G5282" s="4" t="b">
        <f t="shared" si="2"/>
        <v>1</v>
      </c>
      <c r="H5282" s="1" t="str">
        <f t="shared" si="3"/>
        <v>Currently Unavailable</v>
      </c>
      <c r="I5282" s="1" t="str">
        <f t="shared" si="4"/>
        <v>No Badges</v>
      </c>
      <c r="J5282" s="3">
        <f t="shared" si="5"/>
        <v>0</v>
      </c>
    </row>
    <row r="5283">
      <c r="A5283" s="1" t="s">
        <v>3893</v>
      </c>
      <c r="B5283" s="3" t="str">
        <f t="shared" si="1"/>
        <v>Unavailable</v>
      </c>
      <c r="C5283" s="3">
        <v>230.0</v>
      </c>
      <c r="D5283" s="3">
        <f>IFERROR(__xludf.DUMMYFUNCTION("IFERROR(
IF(REGEXMATCH(LOWER(O5283),""k""),
VALUE(REGEXEXTRACT(O5283,""[0-9]+""))*1000,
VALUE(REGEXEXTRACT(O5283,""[0-9]+""))
),
0
)"),0.0)</f>
        <v>0</v>
      </c>
      <c r="E5283" s="1" t="s">
        <v>11</v>
      </c>
      <c r="F5283" s="1" t="s">
        <v>20</v>
      </c>
      <c r="G5283" s="4" t="b">
        <f t="shared" si="2"/>
        <v>1</v>
      </c>
      <c r="H5283" s="1" t="str">
        <f t="shared" si="3"/>
        <v>Currently Unavailable</v>
      </c>
      <c r="I5283" s="1" t="str">
        <f t="shared" si="4"/>
        <v>No Badges</v>
      </c>
      <c r="J5283" s="3">
        <f t="shared" si="5"/>
        <v>0</v>
      </c>
    </row>
    <row r="5284">
      <c r="A5284" s="1" t="s">
        <v>3894</v>
      </c>
      <c r="B5284" s="3" t="str">
        <f t="shared" si="1"/>
        <v>Unavailable</v>
      </c>
      <c r="C5284" s="5">
        <v>6029.0</v>
      </c>
      <c r="D5284" s="3">
        <f>IFERROR(__xludf.DUMMYFUNCTION("IFERROR(
IF(REGEXMATCH(LOWER(O5284),""k""),
VALUE(REGEXEXTRACT(O5284,""[0-9]+""))*1000,
VALUE(REGEXEXTRACT(O5284,""[0-9]+""))
),
0
)"),0.0)</f>
        <v>0</v>
      </c>
      <c r="E5284" s="1" t="s">
        <v>11</v>
      </c>
      <c r="F5284" s="1" t="s">
        <v>20</v>
      </c>
      <c r="G5284" s="4" t="b">
        <f t="shared" si="2"/>
        <v>1</v>
      </c>
      <c r="H5284" s="1" t="str">
        <f t="shared" si="3"/>
        <v>Currently Unavailable</v>
      </c>
      <c r="I5284" s="1" t="str">
        <f t="shared" si="4"/>
        <v>No Badges</v>
      </c>
      <c r="J5284" s="3">
        <f t="shared" si="5"/>
        <v>0</v>
      </c>
    </row>
    <row r="5285">
      <c r="A5285" s="1" t="s">
        <v>3895</v>
      </c>
      <c r="B5285" s="3" t="str">
        <f t="shared" si="1"/>
        <v>Unavailable</v>
      </c>
      <c r="C5285" s="5">
        <v>1356.0</v>
      </c>
      <c r="D5285" s="3">
        <f>IFERROR(__xludf.DUMMYFUNCTION("IFERROR(
IF(REGEXMATCH(LOWER(O5285),""k""),
VALUE(REGEXEXTRACT(O5285,""[0-9]+""))*1000,
VALUE(REGEXEXTRACT(O5285,""[0-9]+""))
),
0
)"),0.0)</f>
        <v>0</v>
      </c>
      <c r="E5285" s="1" t="s">
        <v>158</v>
      </c>
      <c r="F5285" s="1" t="s">
        <v>20</v>
      </c>
      <c r="G5285" s="4" t="b">
        <f t="shared" si="2"/>
        <v>1</v>
      </c>
      <c r="H5285" s="1" t="str">
        <f t="shared" si="3"/>
        <v>Currently Unavailable</v>
      </c>
      <c r="I5285" s="1" t="str">
        <f t="shared" si="4"/>
        <v>No Badges</v>
      </c>
      <c r="J5285" s="3">
        <f t="shared" si="5"/>
        <v>0</v>
      </c>
    </row>
    <row r="5286">
      <c r="A5286" s="1" t="s">
        <v>3896</v>
      </c>
      <c r="B5286" s="3" t="str">
        <f t="shared" si="1"/>
        <v>Unavailable</v>
      </c>
      <c r="C5286" s="5">
        <v>2248.0</v>
      </c>
      <c r="D5286" s="3">
        <f>IFERROR(__xludf.DUMMYFUNCTION("IFERROR(
IF(REGEXMATCH(LOWER(O5286),""k""),
VALUE(REGEXEXTRACT(O5286,""[0-9]+""))*1000,
VALUE(REGEXEXTRACT(O5286,""[0-9]+""))
),
0
)"),0.0)</f>
        <v>0</v>
      </c>
      <c r="E5286" s="1" t="s">
        <v>11</v>
      </c>
      <c r="F5286" s="1" t="s">
        <v>20</v>
      </c>
      <c r="G5286" s="4" t="b">
        <f t="shared" si="2"/>
        <v>1</v>
      </c>
      <c r="H5286" s="1" t="str">
        <f t="shared" si="3"/>
        <v>Currently Unavailable</v>
      </c>
      <c r="I5286" s="1" t="str">
        <f t="shared" si="4"/>
        <v>No Badges</v>
      </c>
      <c r="J5286" s="3">
        <f t="shared" si="5"/>
        <v>0</v>
      </c>
    </row>
    <row r="5287">
      <c r="A5287" s="1" t="s">
        <v>3897</v>
      </c>
      <c r="B5287" s="3" t="str">
        <f t="shared" si="1"/>
        <v>Unavailable</v>
      </c>
      <c r="C5287" s="3">
        <v>676.0</v>
      </c>
      <c r="D5287" s="3">
        <f>IFERROR(__xludf.DUMMYFUNCTION("IFERROR(
IF(REGEXMATCH(LOWER(O5287),""k""),
VALUE(REGEXEXTRACT(O5287,""[0-9]+""))*1000,
VALUE(REGEXEXTRACT(O5287,""[0-9]+""))
),
0
)"),0.0)</f>
        <v>0</v>
      </c>
      <c r="E5287" s="1" t="s">
        <v>11</v>
      </c>
      <c r="F5287" s="1" t="s">
        <v>20</v>
      </c>
      <c r="G5287" s="4" t="b">
        <f t="shared" si="2"/>
        <v>1</v>
      </c>
      <c r="H5287" s="1" t="str">
        <f t="shared" si="3"/>
        <v>Currently Unavailable</v>
      </c>
      <c r="I5287" s="1" t="str">
        <f t="shared" si="4"/>
        <v>No Badges</v>
      </c>
      <c r="J5287" s="3">
        <f t="shared" si="5"/>
        <v>0</v>
      </c>
    </row>
    <row r="5288">
      <c r="A5288" s="1" t="s">
        <v>3898</v>
      </c>
      <c r="B5288" s="3" t="str">
        <f t="shared" si="1"/>
        <v>Unavailable</v>
      </c>
      <c r="C5288" s="5">
        <v>5603.0</v>
      </c>
      <c r="D5288" s="3">
        <f>IFERROR(__xludf.DUMMYFUNCTION("IFERROR(
IF(REGEXMATCH(LOWER(O5288),""k""),
VALUE(REGEXEXTRACT(O5288,""[0-9]+""))*1000,
VALUE(REGEXEXTRACT(O5288,""[0-9]+""))
),
0
)"),0.0)</f>
        <v>0</v>
      </c>
      <c r="E5288" s="1" t="s">
        <v>11</v>
      </c>
      <c r="F5288" s="1" t="s">
        <v>20</v>
      </c>
      <c r="G5288" s="4" t="b">
        <f t="shared" si="2"/>
        <v>1</v>
      </c>
      <c r="H5288" s="1" t="str">
        <f t="shared" si="3"/>
        <v>Currently Unavailable</v>
      </c>
      <c r="I5288" s="1" t="str">
        <f t="shared" si="4"/>
        <v>No Badges</v>
      </c>
      <c r="J5288" s="3">
        <f t="shared" si="5"/>
        <v>0</v>
      </c>
    </row>
    <row r="5289">
      <c r="A5289" s="1" t="s">
        <v>3899</v>
      </c>
      <c r="B5289" s="3" t="str">
        <f t="shared" si="1"/>
        <v>Unavailable</v>
      </c>
      <c r="C5289" s="5">
        <v>23138.0</v>
      </c>
      <c r="D5289" s="3">
        <f>IFERROR(__xludf.DUMMYFUNCTION("IFERROR(
IF(REGEXMATCH(LOWER(O5289),""k""),
VALUE(REGEXEXTRACT(O5289,""[0-9]+""))*1000,
VALUE(REGEXEXTRACT(O5289,""[0-9]+""))
),
0
)"),0.0)</f>
        <v>0</v>
      </c>
      <c r="E5289" s="1" t="s">
        <v>11</v>
      </c>
      <c r="F5289" s="1" t="s">
        <v>20</v>
      </c>
      <c r="G5289" s="4" t="b">
        <f t="shared" si="2"/>
        <v>1</v>
      </c>
      <c r="H5289" s="1" t="str">
        <f t="shared" si="3"/>
        <v>Currently Unavailable</v>
      </c>
      <c r="I5289" s="1" t="str">
        <f t="shared" si="4"/>
        <v>No Badges</v>
      </c>
      <c r="J5289" s="3">
        <f t="shared" si="5"/>
        <v>0</v>
      </c>
    </row>
    <row r="5290">
      <c r="A5290" s="1" t="s">
        <v>3900</v>
      </c>
      <c r="B5290" s="3" t="str">
        <f t="shared" si="1"/>
        <v>Unavailable</v>
      </c>
      <c r="C5290" s="5">
        <v>1764.0</v>
      </c>
      <c r="D5290" s="3">
        <f>IFERROR(__xludf.DUMMYFUNCTION("IFERROR(
IF(REGEXMATCH(LOWER(O5290),""k""),
VALUE(REGEXEXTRACT(O5290,""[0-9]+""))*1000,
VALUE(REGEXEXTRACT(O5290,""[0-9]+""))
),
0
)"),0.0)</f>
        <v>0</v>
      </c>
      <c r="E5290" s="1" t="s">
        <v>11</v>
      </c>
      <c r="F5290" s="1" t="s">
        <v>20</v>
      </c>
      <c r="G5290" s="4" t="b">
        <f t="shared" si="2"/>
        <v>1</v>
      </c>
      <c r="H5290" s="1" t="str">
        <f t="shared" si="3"/>
        <v>Currently Unavailable</v>
      </c>
      <c r="I5290" s="1" t="str">
        <f t="shared" si="4"/>
        <v>No Badges</v>
      </c>
      <c r="J5290" s="3">
        <f t="shared" si="5"/>
        <v>0</v>
      </c>
    </row>
    <row r="5291">
      <c r="A5291" s="1" t="s">
        <v>3901</v>
      </c>
      <c r="B5291" s="3" t="str">
        <f t="shared" si="1"/>
        <v>Unavailable</v>
      </c>
      <c r="C5291" s="5">
        <v>1513.0</v>
      </c>
      <c r="D5291" s="3">
        <f>IFERROR(__xludf.DUMMYFUNCTION("IFERROR(
IF(REGEXMATCH(LOWER(O5291),""k""),
VALUE(REGEXEXTRACT(O5291,""[0-9]+""))*1000,
VALUE(REGEXEXTRACT(O5291,""[0-9]+""))
),
0
)"),0.0)</f>
        <v>0</v>
      </c>
      <c r="E5291" s="1" t="s">
        <v>11</v>
      </c>
      <c r="F5291" s="1" t="s">
        <v>20</v>
      </c>
      <c r="G5291" s="4" t="b">
        <f t="shared" si="2"/>
        <v>1</v>
      </c>
      <c r="H5291" s="1" t="str">
        <f t="shared" si="3"/>
        <v>Currently Unavailable</v>
      </c>
      <c r="I5291" s="1" t="str">
        <f t="shared" si="4"/>
        <v>No Badges</v>
      </c>
      <c r="J5291" s="3">
        <f t="shared" si="5"/>
        <v>0</v>
      </c>
    </row>
    <row r="5292">
      <c r="A5292" s="1" t="s">
        <v>3902</v>
      </c>
      <c r="B5292" s="3" t="str">
        <f t="shared" si="1"/>
        <v>Unavailable</v>
      </c>
      <c r="C5292" s="3">
        <v>2.0</v>
      </c>
      <c r="D5292" s="3">
        <f>IFERROR(__xludf.DUMMYFUNCTION("IFERROR(
IF(REGEXMATCH(LOWER(O5292),""k""),
VALUE(REGEXEXTRACT(O5292,""[0-9]+""))*1000,
VALUE(REGEXEXTRACT(O5292,""[0-9]+""))
),
0
)"),0.0)</f>
        <v>0</v>
      </c>
      <c r="E5292" s="1" t="s">
        <v>11</v>
      </c>
      <c r="F5292" s="1" t="s">
        <v>20</v>
      </c>
      <c r="G5292" s="4" t="b">
        <f t="shared" si="2"/>
        <v>1</v>
      </c>
      <c r="H5292" s="1" t="str">
        <f t="shared" si="3"/>
        <v>Currently Unavailable</v>
      </c>
      <c r="I5292" s="1" t="str">
        <f t="shared" si="4"/>
        <v>No Badges</v>
      </c>
      <c r="J5292" s="3">
        <f t="shared" si="5"/>
        <v>0</v>
      </c>
    </row>
    <row r="5293">
      <c r="A5293" s="1" t="s">
        <v>3903</v>
      </c>
      <c r="B5293" s="3" t="str">
        <f t="shared" si="1"/>
        <v>Unavailable</v>
      </c>
      <c r="C5293" s="3">
        <v>33.0</v>
      </c>
      <c r="D5293" s="3">
        <f>IFERROR(__xludf.DUMMYFUNCTION("IFERROR(
IF(REGEXMATCH(LOWER(O5293),""k""),
VALUE(REGEXEXTRACT(O5293,""[0-9]+""))*1000,
VALUE(REGEXEXTRACT(O5293,""[0-9]+""))
),
0
)"),0.0)</f>
        <v>0</v>
      </c>
      <c r="E5293" s="1" t="s">
        <v>11</v>
      </c>
      <c r="F5293" s="1" t="s">
        <v>20</v>
      </c>
      <c r="G5293" s="4" t="b">
        <f t="shared" si="2"/>
        <v>1</v>
      </c>
      <c r="H5293" s="1" t="str">
        <f t="shared" si="3"/>
        <v>Currently Unavailable</v>
      </c>
      <c r="I5293" s="1" t="str">
        <f t="shared" si="4"/>
        <v>No Badges</v>
      </c>
      <c r="J5293" s="3">
        <f t="shared" si="5"/>
        <v>0</v>
      </c>
    </row>
    <row r="5294">
      <c r="A5294" s="1" t="s">
        <v>3904</v>
      </c>
      <c r="B5294" s="3" t="str">
        <f t="shared" si="1"/>
        <v>Unavailable</v>
      </c>
      <c r="C5294" s="5">
        <v>6704.0</v>
      </c>
      <c r="D5294" s="3">
        <f>IFERROR(__xludf.DUMMYFUNCTION("IFERROR(
IF(REGEXMATCH(LOWER(O5294),""k""),
VALUE(REGEXEXTRACT(O5294,""[0-9]+""))*1000,
VALUE(REGEXEXTRACT(O5294,""[0-9]+""))
),
0
)"),0.0)</f>
        <v>0</v>
      </c>
      <c r="E5294" s="1" t="s">
        <v>11</v>
      </c>
      <c r="F5294" s="1" t="s">
        <v>20</v>
      </c>
      <c r="G5294" s="4" t="b">
        <f t="shared" si="2"/>
        <v>1</v>
      </c>
      <c r="H5294" s="1" t="str">
        <f t="shared" si="3"/>
        <v>Currently Unavailable</v>
      </c>
      <c r="I5294" s="1" t="str">
        <f t="shared" si="4"/>
        <v>No Badges</v>
      </c>
      <c r="J5294" s="3">
        <f t="shared" si="5"/>
        <v>0</v>
      </c>
    </row>
    <row r="5295">
      <c r="A5295" s="1" t="s">
        <v>3905</v>
      </c>
      <c r="B5295" s="3" t="str">
        <f t="shared" si="1"/>
        <v>Unavailable</v>
      </c>
      <c r="C5295" s="5">
        <v>1353.0</v>
      </c>
      <c r="D5295" s="3">
        <f>IFERROR(__xludf.DUMMYFUNCTION("IFERROR(
IF(REGEXMATCH(LOWER(O5295),""k""),
VALUE(REGEXEXTRACT(O5295,""[0-9]+""))*1000,
VALUE(REGEXEXTRACT(O5295,""[0-9]+""))
),
0
)"),0.0)</f>
        <v>0</v>
      </c>
      <c r="E5295" s="1" t="s">
        <v>11</v>
      </c>
      <c r="F5295" s="1" t="s">
        <v>20</v>
      </c>
      <c r="G5295" s="4" t="b">
        <f t="shared" si="2"/>
        <v>1</v>
      </c>
      <c r="H5295" s="1" t="str">
        <f t="shared" si="3"/>
        <v>Currently Unavailable</v>
      </c>
      <c r="I5295" s="1" t="str">
        <f t="shared" si="4"/>
        <v>No Badges</v>
      </c>
      <c r="J5295" s="3">
        <f t="shared" si="5"/>
        <v>0</v>
      </c>
    </row>
    <row r="5296">
      <c r="A5296" s="1" t="s">
        <v>88</v>
      </c>
      <c r="B5296" s="3" t="str">
        <f t="shared" si="1"/>
        <v>Unavailable</v>
      </c>
      <c r="C5296" s="3">
        <v>5.0</v>
      </c>
      <c r="D5296" s="3">
        <f>IFERROR(__xludf.DUMMYFUNCTION("IFERROR(
IF(REGEXMATCH(LOWER(O5296),""k""),
VALUE(REGEXEXTRACT(O5296,""[0-9]+""))*1000,
VALUE(REGEXEXTRACT(O5296,""[0-9]+""))
),
0
)"),0.0)</f>
        <v>0</v>
      </c>
      <c r="E5296" s="1" t="s">
        <v>11</v>
      </c>
      <c r="F5296" s="1" t="s">
        <v>12</v>
      </c>
      <c r="G5296" s="4" t="b">
        <f t="shared" si="2"/>
        <v>1</v>
      </c>
      <c r="H5296" s="1" t="str">
        <f t="shared" si="3"/>
        <v>Currently Unavailable</v>
      </c>
      <c r="I5296" s="1" t="str">
        <f t="shared" si="4"/>
        <v>No Badges</v>
      </c>
      <c r="J5296" s="3">
        <f t="shared" si="5"/>
        <v>0</v>
      </c>
    </row>
    <row r="5297">
      <c r="A5297" s="1" t="s">
        <v>3906</v>
      </c>
      <c r="B5297" s="3" t="str">
        <f t="shared" si="1"/>
        <v>Unavailable</v>
      </c>
      <c r="C5297" s="3">
        <v>389.0</v>
      </c>
      <c r="D5297" s="3">
        <f>IFERROR(__xludf.DUMMYFUNCTION("IFERROR(
IF(REGEXMATCH(LOWER(O5297),""k""),
VALUE(REGEXEXTRACT(O5297,""[0-9]+""))*1000,
VALUE(REGEXEXTRACT(O5297,""[0-9]+""))
),
0
)"),0.0)</f>
        <v>0</v>
      </c>
      <c r="E5297" s="1" t="s">
        <v>11</v>
      </c>
      <c r="F5297" s="1" t="s">
        <v>20</v>
      </c>
      <c r="G5297" s="4" t="b">
        <f t="shared" si="2"/>
        <v>1</v>
      </c>
      <c r="H5297" s="1" t="str">
        <f t="shared" si="3"/>
        <v>Currently Unavailable</v>
      </c>
      <c r="I5297" s="1" t="str">
        <f t="shared" si="4"/>
        <v>No Badges</v>
      </c>
      <c r="J5297" s="3">
        <f t="shared" si="5"/>
        <v>0</v>
      </c>
    </row>
    <row r="5298">
      <c r="A5298" s="1" t="s">
        <v>3907</v>
      </c>
      <c r="B5298" s="3" t="str">
        <f t="shared" si="1"/>
        <v>Unavailable</v>
      </c>
      <c r="C5298" s="3">
        <v>521.0</v>
      </c>
      <c r="D5298" s="3">
        <f>IFERROR(__xludf.DUMMYFUNCTION("IFERROR(
IF(REGEXMATCH(LOWER(O5298),""k""),
VALUE(REGEXEXTRACT(O5298,""[0-9]+""))*1000,
VALUE(REGEXEXTRACT(O5298,""[0-9]+""))
),
0
)"),0.0)</f>
        <v>0</v>
      </c>
      <c r="E5298" s="1" t="s">
        <v>11</v>
      </c>
      <c r="F5298" s="1" t="s">
        <v>20</v>
      </c>
      <c r="G5298" s="4" t="b">
        <f t="shared" si="2"/>
        <v>1</v>
      </c>
      <c r="H5298" s="1" t="str">
        <f t="shared" si="3"/>
        <v>Currently Unavailable</v>
      </c>
      <c r="I5298" s="1" t="str">
        <f t="shared" si="4"/>
        <v>No Badges</v>
      </c>
      <c r="J5298" s="3">
        <f t="shared" si="5"/>
        <v>0</v>
      </c>
    </row>
    <row r="5299">
      <c r="A5299" s="1" t="s">
        <v>69</v>
      </c>
      <c r="B5299" s="3" t="str">
        <f t="shared" si="1"/>
        <v>Unavailable</v>
      </c>
      <c r="C5299" s="3">
        <v>45.0</v>
      </c>
      <c r="D5299" s="3">
        <f>IFERROR(__xludf.DUMMYFUNCTION("IFERROR(
IF(REGEXMATCH(LOWER(O5299),""k""),
VALUE(REGEXEXTRACT(O5299,""[0-9]+""))*1000,
VALUE(REGEXEXTRACT(O5299,""[0-9]+""))
),
0
)"),0.0)</f>
        <v>0</v>
      </c>
      <c r="E5299" s="1" t="s">
        <v>11</v>
      </c>
      <c r="F5299" s="1" t="s">
        <v>12</v>
      </c>
      <c r="G5299" s="4" t="b">
        <f t="shared" si="2"/>
        <v>1</v>
      </c>
      <c r="H5299" s="1" t="str">
        <f t="shared" si="3"/>
        <v>Currently Unavailable</v>
      </c>
      <c r="I5299" s="1" t="str">
        <f t="shared" si="4"/>
        <v>No Badges</v>
      </c>
      <c r="J5299" s="3">
        <f t="shared" si="5"/>
        <v>0</v>
      </c>
    </row>
    <row r="5300">
      <c r="A5300" s="1" t="s">
        <v>3908</v>
      </c>
      <c r="B5300" s="3" t="str">
        <f t="shared" si="1"/>
        <v>Unavailable</v>
      </c>
      <c r="C5300" s="3">
        <v>10.0</v>
      </c>
      <c r="D5300" s="3">
        <f>IFERROR(__xludf.DUMMYFUNCTION("IFERROR(
IF(REGEXMATCH(LOWER(O5300),""k""),
VALUE(REGEXEXTRACT(O5300,""[0-9]+""))*1000,
VALUE(REGEXEXTRACT(O5300,""[0-9]+""))
),
0
)"),0.0)</f>
        <v>0</v>
      </c>
      <c r="E5300" s="1" t="s">
        <v>11</v>
      </c>
      <c r="F5300" s="1" t="s">
        <v>20</v>
      </c>
      <c r="G5300" s="4" t="b">
        <f t="shared" si="2"/>
        <v>1</v>
      </c>
      <c r="H5300" s="1" t="str">
        <f t="shared" si="3"/>
        <v>Currently Unavailable</v>
      </c>
      <c r="I5300" s="1" t="str">
        <f t="shared" si="4"/>
        <v>No Badges</v>
      </c>
      <c r="J5300" s="3">
        <f t="shared" si="5"/>
        <v>0</v>
      </c>
    </row>
    <row r="5301">
      <c r="A5301" s="1" t="s">
        <v>3908</v>
      </c>
      <c r="B5301" s="3" t="str">
        <f t="shared" si="1"/>
        <v>Unavailable</v>
      </c>
      <c r="C5301" s="3">
        <v>10.0</v>
      </c>
      <c r="D5301" s="3">
        <f>IFERROR(__xludf.DUMMYFUNCTION("IFERROR(
IF(REGEXMATCH(LOWER(O5301),""k""),
VALUE(REGEXEXTRACT(O5301,""[0-9]+""))*1000,
VALUE(REGEXEXTRACT(O5301,""[0-9]+""))
),
0
)"),0.0)</f>
        <v>0</v>
      </c>
      <c r="E5301" s="1" t="s">
        <v>11</v>
      </c>
      <c r="F5301" s="1" t="s">
        <v>20</v>
      </c>
      <c r="G5301" s="4" t="b">
        <f t="shared" si="2"/>
        <v>1</v>
      </c>
      <c r="H5301" s="1" t="str">
        <f t="shared" si="3"/>
        <v>Currently Unavailable</v>
      </c>
      <c r="I5301" s="1" t="str">
        <f t="shared" si="4"/>
        <v>No Badges</v>
      </c>
      <c r="J5301" s="3">
        <f t="shared" si="5"/>
        <v>0</v>
      </c>
    </row>
    <row r="5302">
      <c r="A5302" s="1" t="s">
        <v>3909</v>
      </c>
      <c r="B5302" s="3" t="str">
        <f t="shared" si="1"/>
        <v>Unavailable</v>
      </c>
      <c r="C5302" s="5">
        <v>2683.0</v>
      </c>
      <c r="D5302" s="3">
        <f>IFERROR(__xludf.DUMMYFUNCTION("IFERROR(
IF(REGEXMATCH(LOWER(O5302),""k""),
VALUE(REGEXEXTRACT(O5302,""[0-9]+""))*1000,
VALUE(REGEXEXTRACT(O5302,""[0-9]+""))
),
0
)"),0.0)</f>
        <v>0</v>
      </c>
      <c r="E5302" s="1" t="s">
        <v>11</v>
      </c>
      <c r="F5302" s="1" t="s">
        <v>20</v>
      </c>
      <c r="G5302" s="4" t="b">
        <f t="shared" si="2"/>
        <v>1</v>
      </c>
      <c r="H5302" s="1" t="str">
        <f t="shared" si="3"/>
        <v>Currently Unavailable</v>
      </c>
      <c r="I5302" s="1" t="str">
        <f t="shared" si="4"/>
        <v>No Badges</v>
      </c>
      <c r="J5302" s="3">
        <f t="shared" si="5"/>
        <v>0</v>
      </c>
    </row>
    <row r="5303">
      <c r="A5303" s="1" t="s">
        <v>3910</v>
      </c>
      <c r="B5303" s="3" t="str">
        <f t="shared" si="1"/>
        <v>Unavailable</v>
      </c>
      <c r="C5303" s="5">
        <v>1203.0</v>
      </c>
      <c r="D5303" s="3">
        <f>IFERROR(__xludf.DUMMYFUNCTION("IFERROR(
IF(REGEXMATCH(LOWER(O5303),""k""),
VALUE(REGEXEXTRACT(O5303,""[0-9]+""))*1000,
VALUE(REGEXEXTRACT(O5303,""[0-9]+""))
),
0
)"),0.0)</f>
        <v>0</v>
      </c>
      <c r="E5303" s="1" t="s">
        <v>11</v>
      </c>
      <c r="F5303" s="1" t="s">
        <v>20</v>
      </c>
      <c r="G5303" s="4" t="b">
        <f t="shared" si="2"/>
        <v>1</v>
      </c>
      <c r="H5303" s="1" t="str">
        <f t="shared" si="3"/>
        <v>Currently Unavailable</v>
      </c>
      <c r="I5303" s="1" t="str">
        <f t="shared" si="4"/>
        <v>No Badges</v>
      </c>
      <c r="J5303" s="3">
        <f t="shared" si="5"/>
        <v>0</v>
      </c>
    </row>
    <row r="5304">
      <c r="A5304" s="1" t="s">
        <v>3911</v>
      </c>
      <c r="B5304" s="3" t="str">
        <f t="shared" si="1"/>
        <v>Unavailable</v>
      </c>
      <c r="C5304" s="3">
        <v>396.0</v>
      </c>
      <c r="D5304" s="3">
        <f>IFERROR(__xludf.DUMMYFUNCTION("IFERROR(
IF(REGEXMATCH(LOWER(O5304),""k""),
VALUE(REGEXEXTRACT(O5304,""[0-9]+""))*1000,
VALUE(REGEXEXTRACT(O5304,""[0-9]+""))
),
0
)"),0.0)</f>
        <v>0</v>
      </c>
      <c r="E5304" s="1" t="s">
        <v>158</v>
      </c>
      <c r="F5304" s="1" t="s">
        <v>20</v>
      </c>
      <c r="G5304" s="4" t="b">
        <f t="shared" si="2"/>
        <v>1</v>
      </c>
      <c r="H5304" s="1" t="str">
        <f t="shared" si="3"/>
        <v>Currently Unavailable</v>
      </c>
      <c r="I5304" s="1" t="str">
        <f t="shared" si="4"/>
        <v>No Badges</v>
      </c>
      <c r="J5304" s="3">
        <f t="shared" si="5"/>
        <v>0</v>
      </c>
    </row>
    <row r="5305">
      <c r="A5305" s="1" t="s">
        <v>3912</v>
      </c>
      <c r="B5305" s="3" t="str">
        <f t="shared" si="1"/>
        <v>Unavailable</v>
      </c>
      <c r="C5305" s="5">
        <v>1030.0</v>
      </c>
      <c r="D5305" s="3">
        <f>IFERROR(__xludf.DUMMYFUNCTION("IFERROR(
IF(REGEXMATCH(LOWER(O5305),""k""),
VALUE(REGEXEXTRACT(O5305,""[0-9]+""))*1000,
VALUE(REGEXEXTRACT(O5305,""[0-9]+""))
),
0
)"),0.0)</f>
        <v>0</v>
      </c>
      <c r="E5305" s="1" t="s">
        <v>11</v>
      </c>
      <c r="F5305" s="1" t="s">
        <v>20</v>
      </c>
      <c r="G5305" s="4" t="b">
        <f t="shared" si="2"/>
        <v>1</v>
      </c>
      <c r="H5305" s="1" t="str">
        <f t="shared" si="3"/>
        <v>Currently Unavailable</v>
      </c>
      <c r="I5305" s="1" t="str">
        <f t="shared" si="4"/>
        <v>No Badges</v>
      </c>
      <c r="J5305" s="3">
        <f t="shared" si="5"/>
        <v>0</v>
      </c>
    </row>
    <row r="5306">
      <c r="A5306" s="1" t="s">
        <v>3913</v>
      </c>
      <c r="B5306" s="3" t="str">
        <f t="shared" si="1"/>
        <v>Unavailable</v>
      </c>
      <c r="C5306" s="5">
        <v>5871.0</v>
      </c>
      <c r="D5306" s="3">
        <f>IFERROR(__xludf.DUMMYFUNCTION("IFERROR(
IF(REGEXMATCH(LOWER(O5306),""k""),
VALUE(REGEXEXTRACT(O5306,""[0-9]+""))*1000,
VALUE(REGEXEXTRACT(O5306,""[0-9]+""))
),
0
)"),0.0)</f>
        <v>0</v>
      </c>
      <c r="E5306" s="1" t="s">
        <v>11</v>
      </c>
      <c r="F5306" s="1" t="s">
        <v>20</v>
      </c>
      <c r="G5306" s="4" t="b">
        <f t="shared" si="2"/>
        <v>1</v>
      </c>
      <c r="H5306" s="1" t="str">
        <f t="shared" si="3"/>
        <v>Currently Unavailable</v>
      </c>
      <c r="I5306" s="1" t="str">
        <f t="shared" si="4"/>
        <v>No Badges</v>
      </c>
      <c r="J5306" s="3">
        <f t="shared" si="5"/>
        <v>0</v>
      </c>
    </row>
    <row r="5307">
      <c r="A5307" s="1" t="s">
        <v>3914</v>
      </c>
      <c r="B5307" s="3" t="str">
        <f t="shared" si="1"/>
        <v>Unavailable</v>
      </c>
      <c r="C5307" s="3">
        <v>330.0</v>
      </c>
      <c r="D5307" s="3">
        <f>IFERROR(__xludf.DUMMYFUNCTION("IFERROR(
IF(REGEXMATCH(LOWER(O5307),""k""),
VALUE(REGEXEXTRACT(O5307,""[0-9]+""))*1000,
VALUE(REGEXEXTRACT(O5307,""[0-9]+""))
),
0
)"),0.0)</f>
        <v>0</v>
      </c>
      <c r="E5307" s="1" t="s">
        <v>11</v>
      </c>
      <c r="F5307" s="1" t="s">
        <v>20</v>
      </c>
      <c r="G5307" s="4" t="b">
        <f t="shared" si="2"/>
        <v>1</v>
      </c>
      <c r="H5307" s="1" t="str">
        <f t="shared" si="3"/>
        <v>Currently Unavailable</v>
      </c>
      <c r="I5307" s="1" t="str">
        <f t="shared" si="4"/>
        <v>No Badges</v>
      </c>
      <c r="J5307" s="3">
        <f t="shared" si="5"/>
        <v>0</v>
      </c>
    </row>
    <row r="5308">
      <c r="A5308" s="1" t="s">
        <v>3915</v>
      </c>
      <c r="B5308" s="3" t="str">
        <f t="shared" si="1"/>
        <v>Unavailable</v>
      </c>
      <c r="C5308" s="5">
        <v>1274.0</v>
      </c>
      <c r="D5308" s="3">
        <f>IFERROR(__xludf.DUMMYFUNCTION("IFERROR(
IF(REGEXMATCH(LOWER(O5308),""k""),
VALUE(REGEXEXTRACT(O5308,""[0-9]+""))*1000,
VALUE(REGEXEXTRACT(O5308,""[0-9]+""))
),
0
)"),0.0)</f>
        <v>0</v>
      </c>
      <c r="E5308" s="1" t="s">
        <v>158</v>
      </c>
      <c r="F5308" s="1" t="s">
        <v>20</v>
      </c>
      <c r="G5308" s="4" t="b">
        <f t="shared" si="2"/>
        <v>1</v>
      </c>
      <c r="H5308" s="1" t="str">
        <f t="shared" si="3"/>
        <v>Currently Unavailable</v>
      </c>
      <c r="I5308" s="1" t="str">
        <f t="shared" si="4"/>
        <v>No Badges</v>
      </c>
      <c r="J5308" s="3">
        <f t="shared" si="5"/>
        <v>0</v>
      </c>
    </row>
    <row r="5309">
      <c r="A5309" s="1" t="s">
        <v>3916</v>
      </c>
      <c r="B5309" s="3" t="str">
        <f t="shared" si="1"/>
        <v>Unavailable</v>
      </c>
      <c r="C5309" s="5">
        <v>3656.0</v>
      </c>
      <c r="D5309" s="3">
        <f>IFERROR(__xludf.DUMMYFUNCTION("IFERROR(
IF(REGEXMATCH(LOWER(O5309),""k""),
VALUE(REGEXEXTRACT(O5309,""[0-9]+""))*1000,
VALUE(REGEXEXTRACT(O5309,""[0-9]+""))
),
0
)"),0.0)</f>
        <v>0</v>
      </c>
      <c r="E5309" s="1" t="s">
        <v>11</v>
      </c>
      <c r="F5309" s="1" t="s">
        <v>20</v>
      </c>
      <c r="G5309" s="4" t="b">
        <f t="shared" si="2"/>
        <v>1</v>
      </c>
      <c r="H5309" s="1" t="str">
        <f t="shared" si="3"/>
        <v>Currently Unavailable</v>
      </c>
      <c r="I5309" s="1" t="str">
        <f t="shared" si="4"/>
        <v>No Badges</v>
      </c>
      <c r="J5309" s="3">
        <f t="shared" si="5"/>
        <v>0</v>
      </c>
    </row>
    <row r="5310">
      <c r="A5310" s="1" t="s">
        <v>3917</v>
      </c>
      <c r="B5310" s="3" t="str">
        <f t="shared" si="1"/>
        <v>Unavailable</v>
      </c>
      <c r="C5310" s="3">
        <v>10.0</v>
      </c>
      <c r="D5310" s="3">
        <f>IFERROR(__xludf.DUMMYFUNCTION("IFERROR(
IF(REGEXMATCH(LOWER(O5310),""k""),
VALUE(REGEXEXTRACT(O5310,""[0-9]+""))*1000,
VALUE(REGEXEXTRACT(O5310,""[0-9]+""))
),
0
)"),0.0)</f>
        <v>0</v>
      </c>
      <c r="E5310" s="1" t="s">
        <v>11</v>
      </c>
      <c r="F5310" s="1" t="s">
        <v>20</v>
      </c>
      <c r="G5310" s="4" t="b">
        <f t="shared" si="2"/>
        <v>1</v>
      </c>
      <c r="H5310" s="1" t="str">
        <f t="shared" si="3"/>
        <v>Currently Unavailable</v>
      </c>
      <c r="I5310" s="1" t="str">
        <f t="shared" si="4"/>
        <v>No Badges</v>
      </c>
      <c r="J5310" s="3">
        <f t="shared" si="5"/>
        <v>0</v>
      </c>
    </row>
    <row r="5311">
      <c r="A5311" s="1" t="s">
        <v>3917</v>
      </c>
      <c r="B5311" s="3" t="str">
        <f t="shared" si="1"/>
        <v>Unavailable</v>
      </c>
      <c r="C5311" s="3">
        <v>10.0</v>
      </c>
      <c r="D5311" s="3">
        <f>IFERROR(__xludf.DUMMYFUNCTION("IFERROR(
IF(REGEXMATCH(LOWER(O5311),""k""),
VALUE(REGEXEXTRACT(O5311,""[0-9]+""))*1000,
VALUE(REGEXEXTRACT(O5311,""[0-9]+""))
),
0
)"),0.0)</f>
        <v>0</v>
      </c>
      <c r="E5311" s="1" t="s">
        <v>11</v>
      </c>
      <c r="F5311" s="1" t="s">
        <v>20</v>
      </c>
      <c r="G5311" s="4" t="b">
        <f t="shared" si="2"/>
        <v>1</v>
      </c>
      <c r="H5311" s="1" t="str">
        <f t="shared" si="3"/>
        <v>Currently Unavailable</v>
      </c>
      <c r="I5311" s="1" t="str">
        <f t="shared" si="4"/>
        <v>No Badges</v>
      </c>
      <c r="J5311" s="3">
        <f t="shared" si="5"/>
        <v>0</v>
      </c>
    </row>
    <row r="5312">
      <c r="A5312" s="1" t="s">
        <v>67</v>
      </c>
      <c r="B5312" s="3" t="str">
        <f t="shared" si="1"/>
        <v>Unavailable</v>
      </c>
      <c r="C5312" s="3">
        <v>264.0</v>
      </c>
      <c r="D5312" s="3">
        <f>IFERROR(__xludf.DUMMYFUNCTION("IFERROR(
IF(REGEXMATCH(LOWER(O5312),""k""),
VALUE(REGEXEXTRACT(O5312,""[0-9]+""))*1000,
VALUE(REGEXEXTRACT(O5312,""[0-9]+""))
),
0
)"),0.0)</f>
        <v>0</v>
      </c>
      <c r="E5312" s="1" t="s">
        <v>11</v>
      </c>
      <c r="F5312" s="1" t="s">
        <v>12</v>
      </c>
      <c r="G5312" s="4" t="b">
        <f t="shared" si="2"/>
        <v>1</v>
      </c>
      <c r="H5312" s="1" t="str">
        <f t="shared" si="3"/>
        <v>Currently Unavailable</v>
      </c>
      <c r="I5312" s="1" t="str">
        <f t="shared" si="4"/>
        <v>No Badges</v>
      </c>
      <c r="J5312" s="3">
        <f t="shared" si="5"/>
        <v>0</v>
      </c>
    </row>
    <row r="5313">
      <c r="A5313" s="1" t="s">
        <v>3918</v>
      </c>
      <c r="B5313" s="3" t="str">
        <f t="shared" si="1"/>
        <v>Unavailable</v>
      </c>
      <c r="C5313" s="5">
        <v>8294.0</v>
      </c>
      <c r="D5313" s="3">
        <f>IFERROR(__xludf.DUMMYFUNCTION("IFERROR(
IF(REGEXMATCH(LOWER(O5313),""k""),
VALUE(REGEXEXTRACT(O5313,""[0-9]+""))*1000,
VALUE(REGEXEXTRACT(O5313,""[0-9]+""))
),
0
)"),0.0)</f>
        <v>0</v>
      </c>
      <c r="E5313" s="1" t="s">
        <v>11</v>
      </c>
      <c r="F5313" s="1" t="s">
        <v>20</v>
      </c>
      <c r="G5313" s="4" t="b">
        <f t="shared" si="2"/>
        <v>1</v>
      </c>
      <c r="H5313" s="1" t="str">
        <f t="shared" si="3"/>
        <v>Currently Unavailable</v>
      </c>
      <c r="I5313" s="1" t="str">
        <f t="shared" si="4"/>
        <v>No Badges</v>
      </c>
      <c r="J5313" s="3">
        <f t="shared" si="5"/>
        <v>0</v>
      </c>
    </row>
    <row r="5314">
      <c r="A5314" s="1" t="s">
        <v>701</v>
      </c>
      <c r="B5314" s="3" t="str">
        <f t="shared" si="1"/>
        <v>Unavailable</v>
      </c>
      <c r="C5314" s="3">
        <v>8.0</v>
      </c>
      <c r="D5314" s="3">
        <f>IFERROR(__xludf.DUMMYFUNCTION("IFERROR(
IF(REGEXMATCH(LOWER(O5314),""k""),
VALUE(REGEXEXTRACT(O5314,""[0-9]+""))*1000,
VALUE(REGEXEXTRACT(O5314,""[0-9]+""))
),
0
)"),0.0)</f>
        <v>0</v>
      </c>
      <c r="E5314" s="1" t="s">
        <v>11</v>
      </c>
      <c r="F5314" s="1" t="s">
        <v>12</v>
      </c>
      <c r="G5314" s="4" t="b">
        <f t="shared" si="2"/>
        <v>1</v>
      </c>
      <c r="H5314" s="1" t="str">
        <f t="shared" si="3"/>
        <v>Currently Unavailable</v>
      </c>
      <c r="I5314" s="1" t="str">
        <f t="shared" si="4"/>
        <v>No Badges</v>
      </c>
      <c r="J5314" s="3">
        <f t="shared" si="5"/>
        <v>0</v>
      </c>
    </row>
    <row r="5315">
      <c r="A5315" s="1" t="s">
        <v>3919</v>
      </c>
      <c r="B5315" s="3" t="str">
        <f t="shared" si="1"/>
        <v>Unavailable</v>
      </c>
      <c r="C5315" s="5">
        <v>3549.0</v>
      </c>
      <c r="D5315" s="3">
        <f>IFERROR(__xludf.DUMMYFUNCTION("IFERROR(
IF(REGEXMATCH(LOWER(O5315),""k""),
VALUE(REGEXEXTRACT(O5315,""[0-9]+""))*1000,
VALUE(REGEXEXTRACT(O5315,""[0-9]+""))
),
0
)"),0.0)</f>
        <v>0</v>
      </c>
      <c r="E5315" s="1" t="s">
        <v>11</v>
      </c>
      <c r="F5315" s="1" t="s">
        <v>20</v>
      </c>
      <c r="G5315" s="4" t="b">
        <f t="shared" si="2"/>
        <v>1</v>
      </c>
      <c r="H5315" s="1" t="str">
        <f t="shared" si="3"/>
        <v>Currently Unavailable</v>
      </c>
      <c r="I5315" s="1" t="str">
        <f t="shared" si="4"/>
        <v>No Badges</v>
      </c>
      <c r="J5315" s="3">
        <f t="shared" si="5"/>
        <v>0</v>
      </c>
    </row>
    <row r="5316">
      <c r="A5316" s="1" t="s">
        <v>3920</v>
      </c>
      <c r="B5316" s="3" t="str">
        <f t="shared" si="1"/>
        <v>Unavailable</v>
      </c>
      <c r="C5316" s="5">
        <v>2158.0</v>
      </c>
      <c r="D5316" s="3">
        <f>IFERROR(__xludf.DUMMYFUNCTION("IFERROR(
IF(REGEXMATCH(LOWER(O5316),""k""),
VALUE(REGEXEXTRACT(O5316,""[0-9]+""))*1000,
VALUE(REGEXEXTRACT(O5316,""[0-9]+""))
),
0
)"),0.0)</f>
        <v>0</v>
      </c>
      <c r="E5316" s="1" t="s">
        <v>11</v>
      </c>
      <c r="F5316" s="1" t="s">
        <v>20</v>
      </c>
      <c r="G5316" s="4" t="b">
        <f t="shared" si="2"/>
        <v>1</v>
      </c>
      <c r="H5316" s="1" t="str">
        <f t="shared" si="3"/>
        <v>Currently Unavailable</v>
      </c>
      <c r="I5316" s="1" t="str">
        <f t="shared" si="4"/>
        <v>No Badges</v>
      </c>
      <c r="J5316" s="3">
        <f t="shared" si="5"/>
        <v>0</v>
      </c>
    </row>
    <row r="5317">
      <c r="A5317" s="1" t="s">
        <v>3921</v>
      </c>
      <c r="B5317" s="3" t="str">
        <f t="shared" si="1"/>
        <v>Unavailable</v>
      </c>
      <c r="C5317" s="3">
        <v>497.0</v>
      </c>
      <c r="D5317" s="3">
        <f>IFERROR(__xludf.DUMMYFUNCTION("IFERROR(
IF(REGEXMATCH(LOWER(O5317),""k""),
VALUE(REGEXEXTRACT(O5317,""[0-9]+""))*1000,
VALUE(REGEXEXTRACT(O5317,""[0-9]+""))
),
0
)"),0.0)</f>
        <v>0</v>
      </c>
      <c r="E5317" s="1" t="s">
        <v>11</v>
      </c>
      <c r="F5317" s="1" t="s">
        <v>20</v>
      </c>
      <c r="G5317" s="4" t="b">
        <f t="shared" si="2"/>
        <v>1</v>
      </c>
      <c r="H5317" s="1" t="str">
        <f t="shared" si="3"/>
        <v>Currently Unavailable</v>
      </c>
      <c r="I5317" s="1" t="str">
        <f t="shared" si="4"/>
        <v>No Badges</v>
      </c>
      <c r="J5317" s="3">
        <f t="shared" si="5"/>
        <v>0</v>
      </c>
    </row>
    <row r="5318">
      <c r="A5318" s="1" t="s">
        <v>3922</v>
      </c>
      <c r="B5318" s="3" t="str">
        <f t="shared" si="1"/>
        <v>Unavailable</v>
      </c>
      <c r="C5318" s="5">
        <v>1102.0</v>
      </c>
      <c r="D5318" s="3">
        <f>IFERROR(__xludf.DUMMYFUNCTION("IFERROR(
IF(REGEXMATCH(LOWER(O5318),""k""),
VALUE(REGEXEXTRACT(O5318,""[0-9]+""))*1000,
VALUE(REGEXEXTRACT(O5318,""[0-9]+""))
),
0
)"),0.0)</f>
        <v>0</v>
      </c>
      <c r="E5318" s="1" t="s">
        <v>11</v>
      </c>
      <c r="F5318" s="1" t="s">
        <v>20</v>
      </c>
      <c r="G5318" s="4" t="b">
        <f t="shared" si="2"/>
        <v>1</v>
      </c>
      <c r="H5318" s="1" t="str">
        <f t="shared" si="3"/>
        <v>Currently Unavailable</v>
      </c>
      <c r="I5318" s="1" t="str">
        <f t="shared" si="4"/>
        <v>No Badges</v>
      </c>
      <c r="J5318" s="3">
        <f t="shared" si="5"/>
        <v>0</v>
      </c>
    </row>
    <row r="5319">
      <c r="A5319" s="1" t="s">
        <v>3923</v>
      </c>
      <c r="B5319" s="3" t="str">
        <f t="shared" si="1"/>
        <v>Unavailable</v>
      </c>
      <c r="C5319" s="3">
        <v>518.0</v>
      </c>
      <c r="D5319" s="3">
        <f>IFERROR(__xludf.DUMMYFUNCTION("IFERROR(
IF(REGEXMATCH(LOWER(O5319),""k""),
VALUE(REGEXEXTRACT(O5319,""[0-9]+""))*1000,
VALUE(REGEXEXTRACT(O5319,""[0-9]+""))
),
0
)"),0.0)</f>
        <v>0</v>
      </c>
      <c r="E5319" s="1" t="s">
        <v>11</v>
      </c>
      <c r="F5319" s="1" t="s">
        <v>20</v>
      </c>
      <c r="G5319" s="4" t="b">
        <f t="shared" si="2"/>
        <v>1</v>
      </c>
      <c r="H5319" s="1" t="str">
        <f t="shared" si="3"/>
        <v>Currently Unavailable</v>
      </c>
      <c r="I5319" s="1" t="str">
        <f t="shared" si="4"/>
        <v>No Badges</v>
      </c>
      <c r="J5319" s="3">
        <f t="shared" si="5"/>
        <v>0</v>
      </c>
    </row>
    <row r="5320">
      <c r="A5320" s="1" t="s">
        <v>3924</v>
      </c>
      <c r="B5320" s="3" t="str">
        <f t="shared" si="1"/>
        <v>Unavailable</v>
      </c>
      <c r="C5320" s="5">
        <v>3209.0</v>
      </c>
      <c r="D5320" s="3">
        <f>IFERROR(__xludf.DUMMYFUNCTION("IFERROR(
IF(REGEXMATCH(LOWER(O5320),""k""),
VALUE(REGEXEXTRACT(O5320,""[0-9]+""))*1000,
VALUE(REGEXEXTRACT(O5320,""[0-9]+""))
),
0
)"),0.0)</f>
        <v>0</v>
      </c>
      <c r="E5320" s="1" t="s">
        <v>11</v>
      </c>
      <c r="F5320" s="1" t="s">
        <v>20</v>
      </c>
      <c r="G5320" s="4" t="b">
        <f t="shared" si="2"/>
        <v>1</v>
      </c>
      <c r="H5320" s="1" t="str">
        <f t="shared" si="3"/>
        <v>Currently Unavailable</v>
      </c>
      <c r="I5320" s="1" t="str">
        <f t="shared" si="4"/>
        <v>No Badges</v>
      </c>
      <c r="J5320" s="3">
        <f t="shared" si="5"/>
        <v>0</v>
      </c>
    </row>
    <row r="5321">
      <c r="A5321" s="1" t="s">
        <v>3925</v>
      </c>
      <c r="B5321" s="3" t="str">
        <f t="shared" si="1"/>
        <v>Unavailable</v>
      </c>
      <c r="C5321" s="3">
        <v>590.0</v>
      </c>
      <c r="D5321" s="3">
        <f>IFERROR(__xludf.DUMMYFUNCTION("IFERROR(
IF(REGEXMATCH(LOWER(O5321),""k""),
VALUE(REGEXEXTRACT(O5321,""[0-9]+""))*1000,
VALUE(REGEXEXTRACT(O5321,""[0-9]+""))
),
0
)"),0.0)</f>
        <v>0</v>
      </c>
      <c r="E5321" s="1" t="s">
        <v>11</v>
      </c>
      <c r="F5321" s="1" t="s">
        <v>20</v>
      </c>
      <c r="G5321" s="4" t="b">
        <f t="shared" si="2"/>
        <v>1</v>
      </c>
      <c r="H5321" s="1" t="str">
        <f t="shared" si="3"/>
        <v>Currently Unavailable</v>
      </c>
      <c r="I5321" s="1" t="str">
        <f t="shared" si="4"/>
        <v>No Badges</v>
      </c>
      <c r="J5321" s="3">
        <f t="shared" si="5"/>
        <v>0</v>
      </c>
    </row>
    <row r="5322">
      <c r="A5322" s="1" t="s">
        <v>3926</v>
      </c>
      <c r="B5322" s="3" t="str">
        <f t="shared" si="1"/>
        <v>Unavailable</v>
      </c>
      <c r="C5322" s="5">
        <v>15387.0</v>
      </c>
      <c r="D5322" s="3">
        <f>IFERROR(__xludf.DUMMYFUNCTION("IFERROR(
IF(REGEXMATCH(LOWER(O5322),""k""),
VALUE(REGEXEXTRACT(O5322,""[0-9]+""))*1000,
VALUE(REGEXEXTRACT(O5322,""[0-9]+""))
),
0
)"),0.0)</f>
        <v>0</v>
      </c>
      <c r="E5322" s="1" t="s">
        <v>11</v>
      </c>
      <c r="F5322" s="1" t="s">
        <v>20</v>
      </c>
      <c r="G5322" s="4" t="b">
        <f t="shared" si="2"/>
        <v>1</v>
      </c>
      <c r="H5322" s="1" t="str">
        <f t="shared" si="3"/>
        <v>Currently Unavailable</v>
      </c>
      <c r="I5322" s="1" t="str">
        <f t="shared" si="4"/>
        <v>No Badges</v>
      </c>
      <c r="J5322" s="3">
        <f t="shared" si="5"/>
        <v>0</v>
      </c>
    </row>
    <row r="5323">
      <c r="A5323" s="1" t="s">
        <v>3927</v>
      </c>
      <c r="B5323" s="3" t="str">
        <f t="shared" si="1"/>
        <v>Unavailable</v>
      </c>
      <c r="C5323" s="3">
        <v>504.0</v>
      </c>
      <c r="D5323" s="3">
        <f>IFERROR(__xludf.DUMMYFUNCTION("IFERROR(
IF(REGEXMATCH(LOWER(O5323),""k""),
VALUE(REGEXEXTRACT(O5323,""[0-9]+""))*1000,
VALUE(REGEXEXTRACT(O5323,""[0-9]+""))
),
0
)"),0.0)</f>
        <v>0</v>
      </c>
      <c r="E5323" s="1" t="s">
        <v>11</v>
      </c>
      <c r="F5323" s="1" t="s">
        <v>20</v>
      </c>
      <c r="G5323" s="4" t="b">
        <f t="shared" si="2"/>
        <v>1</v>
      </c>
      <c r="H5323" s="1" t="str">
        <f t="shared" si="3"/>
        <v>Currently Unavailable</v>
      </c>
      <c r="I5323" s="1" t="str">
        <f t="shared" si="4"/>
        <v>No Badges</v>
      </c>
      <c r="J5323" s="3">
        <f t="shared" si="5"/>
        <v>0</v>
      </c>
    </row>
    <row r="5324">
      <c r="A5324" s="1" t="s">
        <v>3928</v>
      </c>
      <c r="B5324" s="3" t="str">
        <f t="shared" si="1"/>
        <v>Unavailable</v>
      </c>
      <c r="C5324" s="5">
        <v>11272.0</v>
      </c>
      <c r="D5324" s="3">
        <f>IFERROR(__xludf.DUMMYFUNCTION("IFERROR(
IF(REGEXMATCH(LOWER(O5324),""k""),
VALUE(REGEXEXTRACT(O5324,""[0-9]+""))*1000,
VALUE(REGEXEXTRACT(O5324,""[0-9]+""))
),
0
)"),0.0)</f>
        <v>0</v>
      </c>
      <c r="E5324" s="1" t="s">
        <v>11</v>
      </c>
      <c r="F5324" s="1" t="s">
        <v>20</v>
      </c>
      <c r="G5324" s="4" t="b">
        <f t="shared" si="2"/>
        <v>1</v>
      </c>
      <c r="H5324" s="1" t="str">
        <f t="shared" si="3"/>
        <v>Currently Unavailable</v>
      </c>
      <c r="I5324" s="1" t="str">
        <f t="shared" si="4"/>
        <v>No Badges</v>
      </c>
      <c r="J5324" s="3">
        <f t="shared" si="5"/>
        <v>0</v>
      </c>
    </row>
    <row r="5325">
      <c r="A5325" s="1" t="s">
        <v>3929</v>
      </c>
      <c r="B5325" s="3" t="str">
        <f t="shared" si="1"/>
        <v>Unavailable</v>
      </c>
      <c r="C5325" s="5">
        <v>12997.0</v>
      </c>
      <c r="D5325" s="3">
        <f>IFERROR(__xludf.DUMMYFUNCTION("IFERROR(
IF(REGEXMATCH(LOWER(O5325),""k""),
VALUE(REGEXEXTRACT(O5325,""[0-9]+""))*1000,
VALUE(REGEXEXTRACT(O5325,""[0-9]+""))
),
0
)"),0.0)</f>
        <v>0</v>
      </c>
      <c r="E5325" s="1" t="s">
        <v>11</v>
      </c>
      <c r="F5325" s="1" t="s">
        <v>20</v>
      </c>
      <c r="G5325" s="4" t="b">
        <f t="shared" si="2"/>
        <v>1</v>
      </c>
      <c r="H5325" s="1" t="str">
        <f t="shared" si="3"/>
        <v>Currently Unavailable</v>
      </c>
      <c r="I5325" s="1" t="str">
        <f t="shared" si="4"/>
        <v>No Badges</v>
      </c>
      <c r="J5325" s="3">
        <f t="shared" si="5"/>
        <v>0</v>
      </c>
    </row>
    <row r="5326">
      <c r="A5326" s="1" t="s">
        <v>3930</v>
      </c>
      <c r="B5326" s="3" t="str">
        <f t="shared" si="1"/>
        <v>Unavailable</v>
      </c>
      <c r="C5326" s="3">
        <v>76.0</v>
      </c>
      <c r="D5326" s="3">
        <f>IFERROR(__xludf.DUMMYFUNCTION("IFERROR(
IF(REGEXMATCH(LOWER(O5326),""k""),
VALUE(REGEXEXTRACT(O5326,""[0-9]+""))*1000,
VALUE(REGEXEXTRACT(O5326,""[0-9]+""))
),
0
)"),0.0)</f>
        <v>0</v>
      </c>
      <c r="E5326" s="1" t="s">
        <v>11</v>
      </c>
      <c r="F5326" s="1" t="s">
        <v>20</v>
      </c>
      <c r="G5326" s="4" t="b">
        <f t="shared" si="2"/>
        <v>1</v>
      </c>
      <c r="H5326" s="1" t="str">
        <f t="shared" si="3"/>
        <v>Currently Unavailable</v>
      </c>
      <c r="I5326" s="1" t="str">
        <f t="shared" si="4"/>
        <v>No Badges</v>
      </c>
      <c r="J5326" s="3">
        <f t="shared" si="5"/>
        <v>0</v>
      </c>
    </row>
    <row r="5327">
      <c r="A5327" s="1" t="s">
        <v>3931</v>
      </c>
      <c r="B5327" s="3" t="str">
        <f t="shared" si="1"/>
        <v>Unavailable</v>
      </c>
      <c r="C5327" s="5">
        <v>1277.0</v>
      </c>
      <c r="D5327" s="3">
        <f>IFERROR(__xludf.DUMMYFUNCTION("IFERROR(
IF(REGEXMATCH(LOWER(O5327),""k""),
VALUE(REGEXEXTRACT(O5327,""[0-9]+""))*1000,
VALUE(REGEXEXTRACT(O5327,""[0-9]+""))
),
0
)"),0.0)</f>
        <v>0</v>
      </c>
      <c r="E5327" s="1" t="s">
        <v>11</v>
      </c>
      <c r="F5327" s="1" t="s">
        <v>20</v>
      </c>
      <c r="G5327" s="4" t="b">
        <f t="shared" si="2"/>
        <v>1</v>
      </c>
      <c r="H5327" s="1" t="str">
        <f t="shared" si="3"/>
        <v>Currently Unavailable</v>
      </c>
      <c r="I5327" s="1" t="str">
        <f t="shared" si="4"/>
        <v>No Badges</v>
      </c>
      <c r="J5327" s="3">
        <f t="shared" si="5"/>
        <v>0</v>
      </c>
    </row>
    <row r="5328">
      <c r="A5328" s="1" t="s">
        <v>3932</v>
      </c>
      <c r="B5328" s="3" t="str">
        <f t="shared" si="1"/>
        <v>Unavailable</v>
      </c>
      <c r="C5328" s="5">
        <v>2868.0</v>
      </c>
      <c r="D5328" s="3">
        <f>IFERROR(__xludf.DUMMYFUNCTION("IFERROR(
IF(REGEXMATCH(LOWER(O5328),""k""),
VALUE(REGEXEXTRACT(O5328,""[0-9]+""))*1000,
VALUE(REGEXEXTRACT(O5328,""[0-9]+""))
),
0
)"),0.0)</f>
        <v>0</v>
      </c>
      <c r="E5328" s="1" t="s">
        <v>11</v>
      </c>
      <c r="F5328" s="1" t="s">
        <v>20</v>
      </c>
      <c r="G5328" s="4" t="b">
        <f t="shared" si="2"/>
        <v>1</v>
      </c>
      <c r="H5328" s="1" t="str">
        <f t="shared" si="3"/>
        <v>Currently Unavailable</v>
      </c>
      <c r="I5328" s="1" t="str">
        <f t="shared" si="4"/>
        <v>No Badges</v>
      </c>
      <c r="J5328" s="3">
        <f t="shared" si="5"/>
        <v>0</v>
      </c>
    </row>
    <row r="5329">
      <c r="A5329" s="1" t="s">
        <v>40</v>
      </c>
      <c r="B5329" s="3" t="str">
        <f t="shared" si="1"/>
        <v>Unavailable</v>
      </c>
      <c r="C5329" s="3">
        <v>171.0</v>
      </c>
      <c r="D5329" s="3">
        <f>IFERROR(__xludf.DUMMYFUNCTION("IFERROR(
IF(REGEXMATCH(LOWER(O5329),""k""),
VALUE(REGEXEXTRACT(O5329,""[0-9]+""))*1000,
VALUE(REGEXEXTRACT(O5329,""[0-9]+""))
),
0
)"),0.0)</f>
        <v>0</v>
      </c>
      <c r="E5329" s="1" t="s">
        <v>11</v>
      </c>
      <c r="F5329" s="1" t="s">
        <v>12</v>
      </c>
      <c r="G5329" s="4" t="b">
        <f t="shared" si="2"/>
        <v>1</v>
      </c>
      <c r="H5329" s="1" t="str">
        <f t="shared" si="3"/>
        <v>Currently Unavailable</v>
      </c>
      <c r="I5329" s="1" t="str">
        <f t="shared" si="4"/>
        <v>No Badges</v>
      </c>
      <c r="J5329" s="3">
        <f t="shared" si="5"/>
        <v>0</v>
      </c>
    </row>
    <row r="5330">
      <c r="A5330" s="1" t="s">
        <v>3933</v>
      </c>
      <c r="B5330" s="3" t="str">
        <f t="shared" si="1"/>
        <v>Unavailable</v>
      </c>
      <c r="C5330" s="5">
        <v>11082.0</v>
      </c>
      <c r="D5330" s="3">
        <f>IFERROR(__xludf.DUMMYFUNCTION("IFERROR(
IF(REGEXMATCH(LOWER(O5330),""k""),
VALUE(REGEXEXTRACT(O5330,""[0-9]+""))*1000,
VALUE(REGEXEXTRACT(O5330,""[0-9]+""))
),
0
)"),0.0)</f>
        <v>0</v>
      </c>
      <c r="E5330" s="1" t="s">
        <v>11</v>
      </c>
      <c r="F5330" s="1" t="s">
        <v>20</v>
      </c>
      <c r="G5330" s="4" t="b">
        <f t="shared" si="2"/>
        <v>1</v>
      </c>
      <c r="H5330" s="1" t="str">
        <f t="shared" si="3"/>
        <v>Currently Unavailable</v>
      </c>
      <c r="I5330" s="1" t="str">
        <f t="shared" si="4"/>
        <v>No Badges</v>
      </c>
      <c r="J5330" s="3">
        <f t="shared" si="5"/>
        <v>0</v>
      </c>
    </row>
    <row r="5331">
      <c r="A5331" s="1" t="s">
        <v>3934</v>
      </c>
      <c r="B5331" s="3" t="str">
        <f t="shared" si="1"/>
        <v>Unavailable</v>
      </c>
      <c r="C5331" s="3">
        <v>660.0</v>
      </c>
      <c r="D5331" s="3">
        <f>IFERROR(__xludf.DUMMYFUNCTION("IFERROR(
IF(REGEXMATCH(LOWER(O5331),""k""),
VALUE(REGEXEXTRACT(O5331,""[0-9]+""))*1000,
VALUE(REGEXEXTRACT(O5331,""[0-9]+""))
),
0
)"),0.0)</f>
        <v>0</v>
      </c>
      <c r="E5331" s="1" t="s">
        <v>11</v>
      </c>
      <c r="F5331" s="1" t="s">
        <v>20</v>
      </c>
      <c r="G5331" s="4" t="b">
        <f t="shared" si="2"/>
        <v>1</v>
      </c>
      <c r="H5331" s="1" t="str">
        <f t="shared" si="3"/>
        <v>Currently Unavailable</v>
      </c>
      <c r="I5331" s="1" t="str">
        <f t="shared" si="4"/>
        <v>No Badges</v>
      </c>
      <c r="J5331" s="3">
        <f t="shared" si="5"/>
        <v>0</v>
      </c>
    </row>
    <row r="5332">
      <c r="A5332" s="1" t="s">
        <v>3935</v>
      </c>
      <c r="B5332" s="3" t="str">
        <f t="shared" si="1"/>
        <v>Unavailable</v>
      </c>
      <c r="C5332" s="3">
        <v>69.0</v>
      </c>
      <c r="D5332" s="3">
        <f>IFERROR(__xludf.DUMMYFUNCTION("IFERROR(
IF(REGEXMATCH(LOWER(O5332),""k""),
VALUE(REGEXEXTRACT(O5332,""[0-9]+""))*1000,
VALUE(REGEXEXTRACT(O5332,""[0-9]+""))
),
0
)"),0.0)</f>
        <v>0</v>
      </c>
      <c r="E5332" s="1" t="s">
        <v>11</v>
      </c>
      <c r="F5332" s="1" t="s">
        <v>20</v>
      </c>
      <c r="G5332" s="4" t="b">
        <f t="shared" si="2"/>
        <v>1</v>
      </c>
      <c r="H5332" s="1" t="str">
        <f t="shared" si="3"/>
        <v>Currently Unavailable</v>
      </c>
      <c r="I5332" s="1" t="str">
        <f t="shared" si="4"/>
        <v>No Badges</v>
      </c>
      <c r="J5332" s="3">
        <f t="shared" si="5"/>
        <v>0</v>
      </c>
    </row>
    <row r="5333">
      <c r="A5333" s="1" t="s">
        <v>3936</v>
      </c>
      <c r="B5333" s="3" t="str">
        <f t="shared" si="1"/>
        <v>Unavailable</v>
      </c>
      <c r="C5333" s="5">
        <v>1971.0</v>
      </c>
      <c r="D5333" s="3">
        <f>IFERROR(__xludf.DUMMYFUNCTION("IFERROR(
IF(REGEXMATCH(LOWER(O5333),""k""),
VALUE(REGEXEXTRACT(O5333,""[0-9]+""))*1000,
VALUE(REGEXEXTRACT(O5333,""[0-9]+""))
),
0
)"),0.0)</f>
        <v>0</v>
      </c>
      <c r="E5333" s="1" t="s">
        <v>11</v>
      </c>
      <c r="F5333" s="1" t="s">
        <v>20</v>
      </c>
      <c r="G5333" s="4" t="b">
        <f t="shared" si="2"/>
        <v>1</v>
      </c>
      <c r="H5333" s="1" t="str">
        <f t="shared" si="3"/>
        <v>Currently Unavailable</v>
      </c>
      <c r="I5333" s="1" t="str">
        <f t="shared" si="4"/>
        <v>No Badges</v>
      </c>
      <c r="J5333" s="3">
        <f t="shared" si="5"/>
        <v>0</v>
      </c>
    </row>
    <row r="5334">
      <c r="A5334" s="1" t="s">
        <v>3937</v>
      </c>
      <c r="B5334" s="3" t="str">
        <f t="shared" si="1"/>
        <v>Unavailable</v>
      </c>
      <c r="C5334" s="5">
        <v>1882.0</v>
      </c>
      <c r="D5334" s="3">
        <f>IFERROR(__xludf.DUMMYFUNCTION("IFERROR(
IF(REGEXMATCH(LOWER(O5334),""k""),
VALUE(REGEXEXTRACT(O5334,""[0-9]+""))*1000,
VALUE(REGEXEXTRACT(O5334,""[0-9]+""))
),
0
)"),0.0)</f>
        <v>0</v>
      </c>
      <c r="E5334" s="1" t="s">
        <v>11</v>
      </c>
      <c r="F5334" s="1" t="s">
        <v>20</v>
      </c>
      <c r="G5334" s="4" t="b">
        <f t="shared" si="2"/>
        <v>1</v>
      </c>
      <c r="H5334" s="1" t="str">
        <f t="shared" si="3"/>
        <v>Currently Unavailable</v>
      </c>
      <c r="I5334" s="1" t="str">
        <f t="shared" si="4"/>
        <v>No Badges</v>
      </c>
      <c r="J5334" s="3">
        <f t="shared" si="5"/>
        <v>0</v>
      </c>
    </row>
    <row r="5335">
      <c r="A5335" s="1" t="s">
        <v>3938</v>
      </c>
      <c r="B5335" s="3" t="str">
        <f t="shared" si="1"/>
        <v>Unavailable</v>
      </c>
      <c r="C5335" s="3">
        <v>325.0</v>
      </c>
      <c r="D5335" s="3">
        <f>IFERROR(__xludf.DUMMYFUNCTION("IFERROR(
IF(REGEXMATCH(LOWER(O5335),""k""),
VALUE(REGEXEXTRACT(O5335,""[0-9]+""))*1000,
VALUE(REGEXEXTRACT(O5335,""[0-9]+""))
),
0
)"),0.0)</f>
        <v>0</v>
      </c>
      <c r="E5335" s="1" t="s">
        <v>11</v>
      </c>
      <c r="F5335" s="1" t="s">
        <v>20</v>
      </c>
      <c r="G5335" s="4" t="b">
        <f t="shared" si="2"/>
        <v>1</v>
      </c>
      <c r="H5335" s="1" t="str">
        <f t="shared" si="3"/>
        <v>Currently Unavailable</v>
      </c>
      <c r="I5335" s="1" t="str">
        <f t="shared" si="4"/>
        <v>No Badges</v>
      </c>
      <c r="J5335" s="3">
        <f t="shared" si="5"/>
        <v>0</v>
      </c>
    </row>
    <row r="5336">
      <c r="A5336" s="1" t="s">
        <v>3939</v>
      </c>
      <c r="B5336" s="3" t="str">
        <f t="shared" si="1"/>
        <v>Unavailable</v>
      </c>
      <c r="C5336" s="3">
        <v>131.0</v>
      </c>
      <c r="D5336" s="3">
        <f>IFERROR(__xludf.DUMMYFUNCTION("IFERROR(
IF(REGEXMATCH(LOWER(O5336),""k""),
VALUE(REGEXEXTRACT(O5336,""[0-9]+""))*1000,
VALUE(REGEXEXTRACT(O5336,""[0-9]+""))
),
0
)"),0.0)</f>
        <v>0</v>
      </c>
      <c r="E5336" s="1" t="s">
        <v>11</v>
      </c>
      <c r="F5336" s="1" t="s">
        <v>20</v>
      </c>
      <c r="G5336" s="4" t="b">
        <f t="shared" si="2"/>
        <v>1</v>
      </c>
      <c r="H5336" s="1" t="str">
        <f t="shared" si="3"/>
        <v>Currently Unavailable</v>
      </c>
      <c r="I5336" s="1" t="str">
        <f t="shared" si="4"/>
        <v>No Badges</v>
      </c>
      <c r="J5336" s="3">
        <f t="shared" si="5"/>
        <v>0</v>
      </c>
    </row>
    <row r="5337">
      <c r="A5337" s="1" t="s">
        <v>3940</v>
      </c>
      <c r="B5337" s="3" t="str">
        <f t="shared" si="1"/>
        <v>Unavailable</v>
      </c>
      <c r="C5337" s="3">
        <v>13.0</v>
      </c>
      <c r="D5337" s="3">
        <f>IFERROR(__xludf.DUMMYFUNCTION("IFERROR(
IF(REGEXMATCH(LOWER(O5337),""k""),
VALUE(REGEXEXTRACT(O5337,""[0-9]+""))*1000,
VALUE(REGEXEXTRACT(O5337,""[0-9]+""))
),
0
)"),0.0)</f>
        <v>0</v>
      </c>
      <c r="E5337" s="1" t="s">
        <v>11</v>
      </c>
      <c r="F5337" s="1" t="s">
        <v>20</v>
      </c>
      <c r="G5337" s="4" t="b">
        <f t="shared" si="2"/>
        <v>1</v>
      </c>
      <c r="H5337" s="1" t="str">
        <f t="shared" si="3"/>
        <v>Currently Unavailable</v>
      </c>
      <c r="I5337" s="1" t="str">
        <f t="shared" si="4"/>
        <v>No Badges</v>
      </c>
      <c r="J5337" s="3">
        <f t="shared" si="5"/>
        <v>0</v>
      </c>
    </row>
    <row r="5338">
      <c r="A5338" s="1" t="s">
        <v>3941</v>
      </c>
      <c r="B5338" s="3" t="str">
        <f t="shared" si="1"/>
        <v>Unavailable</v>
      </c>
      <c r="C5338" s="5">
        <v>1408.0</v>
      </c>
      <c r="D5338" s="3">
        <f>IFERROR(__xludf.DUMMYFUNCTION("IFERROR(
IF(REGEXMATCH(LOWER(O5338),""k""),
VALUE(REGEXEXTRACT(O5338,""[0-9]+""))*1000,
VALUE(REGEXEXTRACT(O5338,""[0-9]+""))
),
0
)"),0.0)</f>
        <v>0</v>
      </c>
      <c r="E5338" s="1" t="s">
        <v>11</v>
      </c>
      <c r="F5338" s="1" t="s">
        <v>20</v>
      </c>
      <c r="G5338" s="4" t="b">
        <f t="shared" si="2"/>
        <v>1</v>
      </c>
      <c r="H5338" s="1" t="str">
        <f t="shared" si="3"/>
        <v>Currently Unavailable</v>
      </c>
      <c r="I5338" s="1" t="str">
        <f t="shared" si="4"/>
        <v>No Badges</v>
      </c>
      <c r="J5338" s="3">
        <f t="shared" si="5"/>
        <v>0</v>
      </c>
    </row>
    <row r="5339">
      <c r="A5339" s="1" t="s">
        <v>3942</v>
      </c>
      <c r="B5339" s="3" t="str">
        <f t="shared" si="1"/>
        <v>Unavailable</v>
      </c>
      <c r="C5339" s="5">
        <v>4473.0</v>
      </c>
      <c r="D5339" s="3">
        <f>IFERROR(__xludf.DUMMYFUNCTION("IFERROR(
IF(REGEXMATCH(LOWER(O5339),""k""),
VALUE(REGEXEXTRACT(O5339,""[0-9]+""))*1000,
VALUE(REGEXEXTRACT(O5339,""[0-9]+""))
),
0
)"),0.0)</f>
        <v>0</v>
      </c>
      <c r="E5339" s="1" t="s">
        <v>11</v>
      </c>
      <c r="F5339" s="1" t="s">
        <v>20</v>
      </c>
      <c r="G5339" s="4" t="b">
        <f t="shared" si="2"/>
        <v>1</v>
      </c>
      <c r="H5339" s="1" t="str">
        <f t="shared" si="3"/>
        <v>Currently Unavailable</v>
      </c>
      <c r="I5339" s="1" t="str">
        <f t="shared" si="4"/>
        <v>No Badges</v>
      </c>
      <c r="J5339" s="3">
        <f t="shared" si="5"/>
        <v>0</v>
      </c>
    </row>
    <row r="5340">
      <c r="A5340" s="1" t="s">
        <v>3943</v>
      </c>
      <c r="B5340" s="3" t="str">
        <f t="shared" si="1"/>
        <v>Unavailable</v>
      </c>
      <c r="C5340" s="5">
        <v>2379.0</v>
      </c>
      <c r="D5340" s="3">
        <f>IFERROR(__xludf.DUMMYFUNCTION("IFERROR(
IF(REGEXMATCH(LOWER(O5340),""k""),
VALUE(REGEXEXTRACT(O5340,""[0-9]+""))*1000,
VALUE(REGEXEXTRACT(O5340,""[0-9]+""))
),
0
)"),0.0)</f>
        <v>0</v>
      </c>
      <c r="E5340" s="1" t="s">
        <v>11</v>
      </c>
      <c r="F5340" s="1" t="s">
        <v>20</v>
      </c>
      <c r="G5340" s="4" t="b">
        <f t="shared" si="2"/>
        <v>1</v>
      </c>
      <c r="H5340" s="1" t="str">
        <f t="shared" si="3"/>
        <v>Currently Unavailable</v>
      </c>
      <c r="I5340" s="1" t="str">
        <f t="shared" si="4"/>
        <v>No Badges</v>
      </c>
      <c r="J5340" s="3">
        <f t="shared" si="5"/>
        <v>0</v>
      </c>
    </row>
    <row r="5341">
      <c r="A5341" s="1" t="s">
        <v>3944</v>
      </c>
      <c r="B5341" s="3" t="str">
        <f t="shared" si="1"/>
        <v>Unavailable</v>
      </c>
      <c r="C5341" s="3">
        <v>552.0</v>
      </c>
      <c r="D5341" s="3">
        <f>IFERROR(__xludf.DUMMYFUNCTION("IFERROR(
IF(REGEXMATCH(LOWER(O5341),""k""),
VALUE(REGEXEXTRACT(O5341,""[0-9]+""))*1000,
VALUE(REGEXEXTRACT(O5341,""[0-9]+""))
),
0
)"),0.0)</f>
        <v>0</v>
      </c>
      <c r="E5341" s="1" t="s">
        <v>11</v>
      </c>
      <c r="F5341" s="1" t="s">
        <v>20</v>
      </c>
      <c r="G5341" s="4" t="b">
        <f t="shared" si="2"/>
        <v>1</v>
      </c>
      <c r="H5341" s="1" t="str">
        <f t="shared" si="3"/>
        <v>Currently Unavailable</v>
      </c>
      <c r="I5341" s="1" t="str">
        <f t="shared" si="4"/>
        <v>No Badges</v>
      </c>
      <c r="J5341" s="3">
        <f t="shared" si="5"/>
        <v>0</v>
      </c>
    </row>
    <row r="5342">
      <c r="A5342" s="1" t="s">
        <v>3945</v>
      </c>
      <c r="B5342" s="3" t="str">
        <f t="shared" si="1"/>
        <v>Unavailable</v>
      </c>
      <c r="C5342" s="5">
        <v>6045.0</v>
      </c>
      <c r="D5342" s="3">
        <f>IFERROR(__xludf.DUMMYFUNCTION("IFERROR(
IF(REGEXMATCH(LOWER(O5342),""k""),
VALUE(REGEXEXTRACT(O5342,""[0-9]+""))*1000,
VALUE(REGEXEXTRACT(O5342,""[0-9]+""))
),
0
)"),0.0)</f>
        <v>0</v>
      </c>
      <c r="E5342" s="1" t="s">
        <v>11</v>
      </c>
      <c r="F5342" s="1" t="s">
        <v>20</v>
      </c>
      <c r="G5342" s="4" t="b">
        <f t="shared" si="2"/>
        <v>1</v>
      </c>
      <c r="H5342" s="1" t="str">
        <f t="shared" si="3"/>
        <v>Currently Unavailable</v>
      </c>
      <c r="I5342" s="1" t="str">
        <f t="shared" si="4"/>
        <v>No Badges</v>
      </c>
      <c r="J5342" s="3">
        <f t="shared" si="5"/>
        <v>0</v>
      </c>
    </row>
    <row r="5343">
      <c r="A5343" s="1" t="s">
        <v>3946</v>
      </c>
      <c r="B5343" s="3" t="str">
        <f t="shared" si="1"/>
        <v>Unavailable</v>
      </c>
      <c r="C5343" s="3">
        <v>23.0</v>
      </c>
      <c r="D5343" s="3">
        <f>IFERROR(__xludf.DUMMYFUNCTION("IFERROR(
IF(REGEXMATCH(LOWER(O5343),""k""),
VALUE(REGEXEXTRACT(O5343,""[0-9]+""))*1000,
VALUE(REGEXEXTRACT(O5343,""[0-9]+""))
),
0
)"),0.0)</f>
        <v>0</v>
      </c>
      <c r="E5343" s="1" t="s">
        <v>11</v>
      </c>
      <c r="F5343" s="1" t="s">
        <v>20</v>
      </c>
      <c r="G5343" s="4" t="b">
        <f t="shared" si="2"/>
        <v>1</v>
      </c>
      <c r="H5343" s="1" t="str">
        <f t="shared" si="3"/>
        <v>Currently Unavailable</v>
      </c>
      <c r="I5343" s="1" t="str">
        <f t="shared" si="4"/>
        <v>No Badges</v>
      </c>
      <c r="J5343" s="3">
        <f t="shared" si="5"/>
        <v>0</v>
      </c>
    </row>
    <row r="5344">
      <c r="A5344" s="1" t="s">
        <v>3947</v>
      </c>
      <c r="B5344" s="3" t="str">
        <f t="shared" si="1"/>
        <v>Unavailable</v>
      </c>
      <c r="C5344" s="5">
        <v>1465.0</v>
      </c>
      <c r="D5344" s="3">
        <f>IFERROR(__xludf.DUMMYFUNCTION("IFERROR(
IF(REGEXMATCH(LOWER(O5344),""k""),
VALUE(REGEXEXTRACT(O5344,""[0-9]+""))*1000,
VALUE(REGEXEXTRACT(O5344,""[0-9]+""))
),
0
)"),0.0)</f>
        <v>0</v>
      </c>
      <c r="E5344" s="1" t="s">
        <v>11</v>
      </c>
      <c r="F5344" s="1" t="s">
        <v>20</v>
      </c>
      <c r="G5344" s="4" t="b">
        <f t="shared" si="2"/>
        <v>1</v>
      </c>
      <c r="H5344" s="1" t="str">
        <f t="shared" si="3"/>
        <v>Currently Unavailable</v>
      </c>
      <c r="I5344" s="1" t="str">
        <f t="shared" si="4"/>
        <v>No Badges</v>
      </c>
      <c r="J5344" s="3">
        <f t="shared" si="5"/>
        <v>0</v>
      </c>
    </row>
    <row r="5345">
      <c r="A5345" s="1" t="s">
        <v>701</v>
      </c>
      <c r="B5345" s="3" t="str">
        <f t="shared" si="1"/>
        <v>Unavailable</v>
      </c>
      <c r="C5345" s="3">
        <v>8.0</v>
      </c>
      <c r="D5345" s="3">
        <f>IFERROR(__xludf.DUMMYFUNCTION("IFERROR(
IF(REGEXMATCH(LOWER(O5345),""k""),
VALUE(REGEXEXTRACT(O5345,""[0-9]+""))*1000,
VALUE(REGEXEXTRACT(O5345,""[0-9]+""))
),
0
)"),0.0)</f>
        <v>0</v>
      </c>
      <c r="E5345" s="1" t="s">
        <v>11</v>
      </c>
      <c r="F5345" s="1" t="s">
        <v>12</v>
      </c>
      <c r="G5345" s="4" t="b">
        <f t="shared" si="2"/>
        <v>1</v>
      </c>
      <c r="H5345" s="1" t="str">
        <f t="shared" si="3"/>
        <v>Currently Unavailable</v>
      </c>
      <c r="I5345" s="1" t="str">
        <f t="shared" si="4"/>
        <v>No Badges</v>
      </c>
      <c r="J5345" s="3">
        <f t="shared" si="5"/>
        <v>0</v>
      </c>
    </row>
    <row r="5346">
      <c r="A5346" s="1" t="s">
        <v>69</v>
      </c>
      <c r="B5346" s="3" t="str">
        <f t="shared" si="1"/>
        <v>Unavailable</v>
      </c>
      <c r="C5346" s="3">
        <v>45.0</v>
      </c>
      <c r="D5346" s="3">
        <f>IFERROR(__xludf.DUMMYFUNCTION("IFERROR(
IF(REGEXMATCH(LOWER(O5346),""k""),
VALUE(REGEXEXTRACT(O5346,""[0-9]+""))*1000,
VALUE(REGEXEXTRACT(O5346,""[0-9]+""))
),
0
)"),0.0)</f>
        <v>0</v>
      </c>
      <c r="E5346" s="1" t="s">
        <v>11</v>
      </c>
      <c r="F5346" s="1" t="s">
        <v>12</v>
      </c>
      <c r="G5346" s="4" t="b">
        <f t="shared" si="2"/>
        <v>1</v>
      </c>
      <c r="H5346" s="1" t="str">
        <f t="shared" si="3"/>
        <v>Currently Unavailable</v>
      </c>
      <c r="I5346" s="1" t="str">
        <f t="shared" si="4"/>
        <v>No Badges</v>
      </c>
      <c r="J5346" s="3">
        <f t="shared" si="5"/>
        <v>0</v>
      </c>
    </row>
    <row r="5347">
      <c r="A5347" s="1" t="s">
        <v>67</v>
      </c>
      <c r="B5347" s="3" t="str">
        <f t="shared" si="1"/>
        <v>Unavailable</v>
      </c>
      <c r="C5347" s="3">
        <v>264.0</v>
      </c>
      <c r="D5347" s="3">
        <f>IFERROR(__xludf.DUMMYFUNCTION("IFERROR(
IF(REGEXMATCH(LOWER(O5347),""k""),
VALUE(REGEXEXTRACT(O5347,""[0-9]+""))*1000,
VALUE(REGEXEXTRACT(O5347,""[0-9]+""))
),
0
)"),0.0)</f>
        <v>0</v>
      </c>
      <c r="E5347" s="1" t="s">
        <v>11</v>
      </c>
      <c r="F5347" s="1" t="s">
        <v>12</v>
      </c>
      <c r="G5347" s="4" t="b">
        <f t="shared" si="2"/>
        <v>1</v>
      </c>
      <c r="H5347" s="1" t="str">
        <f t="shared" si="3"/>
        <v>Currently Unavailable</v>
      </c>
      <c r="I5347" s="1" t="str">
        <f t="shared" si="4"/>
        <v>No Badges</v>
      </c>
      <c r="J5347" s="3">
        <f t="shared" si="5"/>
        <v>0</v>
      </c>
    </row>
    <row r="5348">
      <c r="A5348" s="1" t="s">
        <v>3948</v>
      </c>
      <c r="B5348" s="3" t="str">
        <f t="shared" si="1"/>
        <v>Unavailable</v>
      </c>
      <c r="C5348" s="3">
        <v>123.0</v>
      </c>
      <c r="D5348" s="3">
        <f>IFERROR(__xludf.DUMMYFUNCTION("IFERROR(
IF(REGEXMATCH(LOWER(O5348),""k""),
VALUE(REGEXEXTRACT(O5348,""[0-9]+""))*1000,
VALUE(REGEXEXTRACT(O5348,""[0-9]+""))
),
0
)"),0.0)</f>
        <v>0</v>
      </c>
      <c r="E5348" s="1" t="s">
        <v>11</v>
      </c>
      <c r="F5348" s="1" t="s">
        <v>20</v>
      </c>
      <c r="G5348" s="4" t="b">
        <f t="shared" si="2"/>
        <v>1</v>
      </c>
      <c r="H5348" s="1" t="str">
        <f t="shared" si="3"/>
        <v>Currently Unavailable</v>
      </c>
      <c r="I5348" s="1" t="str">
        <f t="shared" si="4"/>
        <v>No Badges</v>
      </c>
      <c r="J5348" s="3">
        <f t="shared" si="5"/>
        <v>0</v>
      </c>
    </row>
    <row r="5349">
      <c r="A5349" s="1" t="s">
        <v>3949</v>
      </c>
      <c r="B5349" s="3" t="str">
        <f t="shared" si="1"/>
        <v>Unavailable</v>
      </c>
      <c r="C5349" s="5">
        <v>7902.0</v>
      </c>
      <c r="D5349" s="3">
        <f>IFERROR(__xludf.DUMMYFUNCTION("IFERROR(
IF(REGEXMATCH(LOWER(O5349),""k""),
VALUE(REGEXEXTRACT(O5349,""[0-9]+""))*1000,
VALUE(REGEXEXTRACT(O5349,""[0-9]+""))
),
0
)"),0.0)</f>
        <v>0</v>
      </c>
      <c r="E5349" s="1" t="s">
        <v>11</v>
      </c>
      <c r="F5349" s="1" t="s">
        <v>20</v>
      </c>
      <c r="G5349" s="4" t="b">
        <f t="shared" si="2"/>
        <v>1</v>
      </c>
      <c r="H5349" s="1" t="str">
        <f t="shared" si="3"/>
        <v>Currently Unavailable</v>
      </c>
      <c r="I5349" s="1" t="str">
        <f t="shared" si="4"/>
        <v>No Badges</v>
      </c>
      <c r="J5349" s="3">
        <f t="shared" si="5"/>
        <v>0</v>
      </c>
    </row>
    <row r="5350">
      <c r="A5350" s="1" t="s">
        <v>3950</v>
      </c>
      <c r="B5350" s="3" t="str">
        <f t="shared" si="1"/>
        <v>Unavailable</v>
      </c>
      <c r="C5350" s="3">
        <v>924.0</v>
      </c>
      <c r="D5350" s="3">
        <f>IFERROR(__xludf.DUMMYFUNCTION("IFERROR(
IF(REGEXMATCH(LOWER(O5350),""k""),
VALUE(REGEXEXTRACT(O5350,""[0-9]+""))*1000,
VALUE(REGEXEXTRACT(O5350,""[0-9]+""))
),
0
)"),0.0)</f>
        <v>0</v>
      </c>
      <c r="E5350" s="1" t="s">
        <v>11</v>
      </c>
      <c r="F5350" s="1" t="s">
        <v>20</v>
      </c>
      <c r="G5350" s="4" t="b">
        <f t="shared" si="2"/>
        <v>1</v>
      </c>
      <c r="H5350" s="1" t="str">
        <f t="shared" si="3"/>
        <v>Currently Unavailable</v>
      </c>
      <c r="I5350" s="1" t="str">
        <f t="shared" si="4"/>
        <v>No Badges</v>
      </c>
      <c r="J5350" s="3">
        <f t="shared" si="5"/>
        <v>0</v>
      </c>
    </row>
    <row r="5351">
      <c r="A5351" s="1" t="s">
        <v>3951</v>
      </c>
      <c r="B5351" s="3" t="str">
        <f t="shared" si="1"/>
        <v>Unavailable</v>
      </c>
      <c r="C5351" s="3">
        <v>601.0</v>
      </c>
      <c r="D5351" s="3">
        <f>IFERROR(__xludf.DUMMYFUNCTION("IFERROR(
IF(REGEXMATCH(LOWER(O5351),""k""),
VALUE(REGEXEXTRACT(O5351,""[0-9]+""))*1000,
VALUE(REGEXEXTRACT(O5351,""[0-9]+""))
),
0
)"),0.0)</f>
        <v>0</v>
      </c>
      <c r="E5351" s="1" t="s">
        <v>11</v>
      </c>
      <c r="F5351" s="1" t="s">
        <v>20</v>
      </c>
      <c r="G5351" s="4" t="b">
        <f t="shared" si="2"/>
        <v>1</v>
      </c>
      <c r="H5351" s="1" t="str">
        <f t="shared" si="3"/>
        <v>Currently Unavailable</v>
      </c>
      <c r="I5351" s="1" t="str">
        <f t="shared" si="4"/>
        <v>No Badges</v>
      </c>
      <c r="J5351" s="3">
        <f t="shared" si="5"/>
        <v>0</v>
      </c>
    </row>
    <row r="5352">
      <c r="A5352" s="1" t="s">
        <v>3952</v>
      </c>
      <c r="B5352" s="3" t="str">
        <f t="shared" si="1"/>
        <v>Unavailable</v>
      </c>
      <c r="C5352" s="5">
        <v>6759.0</v>
      </c>
      <c r="D5352" s="3">
        <f>IFERROR(__xludf.DUMMYFUNCTION("IFERROR(
IF(REGEXMATCH(LOWER(O5352),""k""),
VALUE(REGEXEXTRACT(O5352,""[0-9]+""))*1000,
VALUE(REGEXEXTRACT(O5352,""[0-9]+""))
),
0
)"),0.0)</f>
        <v>0</v>
      </c>
      <c r="E5352" s="1" t="s">
        <v>11</v>
      </c>
      <c r="F5352" s="1" t="s">
        <v>20</v>
      </c>
      <c r="G5352" s="4" t="b">
        <f t="shared" si="2"/>
        <v>1</v>
      </c>
      <c r="H5352" s="1" t="str">
        <f t="shared" si="3"/>
        <v>Currently Unavailable</v>
      </c>
      <c r="I5352" s="1" t="str">
        <f t="shared" si="4"/>
        <v>No Badges</v>
      </c>
      <c r="J5352" s="3">
        <f t="shared" si="5"/>
        <v>0</v>
      </c>
    </row>
    <row r="5353">
      <c r="A5353" s="1" t="s">
        <v>3953</v>
      </c>
      <c r="B5353" s="3" t="str">
        <f t="shared" si="1"/>
        <v>Unavailable</v>
      </c>
      <c r="C5353" s="5">
        <v>4999.0</v>
      </c>
      <c r="D5353" s="3">
        <f>IFERROR(__xludf.DUMMYFUNCTION("IFERROR(
IF(REGEXMATCH(LOWER(O5353),""k""),
VALUE(REGEXEXTRACT(O5353,""[0-9]+""))*1000,
VALUE(REGEXEXTRACT(O5353,""[0-9]+""))
),
0
)"),0.0)</f>
        <v>0</v>
      </c>
      <c r="E5353" s="1" t="s">
        <v>11</v>
      </c>
      <c r="F5353" s="1" t="s">
        <v>20</v>
      </c>
      <c r="G5353" s="4" t="b">
        <f t="shared" si="2"/>
        <v>1</v>
      </c>
      <c r="H5353" s="1" t="str">
        <f t="shared" si="3"/>
        <v>Currently Unavailable</v>
      </c>
      <c r="I5353" s="1" t="str">
        <f t="shared" si="4"/>
        <v>No Badges</v>
      </c>
      <c r="J5353" s="3">
        <f t="shared" si="5"/>
        <v>0</v>
      </c>
    </row>
    <row r="5354">
      <c r="A5354" s="1" t="s">
        <v>3954</v>
      </c>
      <c r="B5354" s="3" t="str">
        <f t="shared" si="1"/>
        <v>Unavailable</v>
      </c>
      <c r="C5354" s="3">
        <v>138.0</v>
      </c>
      <c r="D5354" s="3">
        <f>IFERROR(__xludf.DUMMYFUNCTION("IFERROR(
IF(REGEXMATCH(LOWER(O5354),""k""),
VALUE(REGEXEXTRACT(O5354,""[0-9]+""))*1000,
VALUE(REGEXEXTRACT(O5354,""[0-9]+""))
),
0
)"),0.0)</f>
        <v>0</v>
      </c>
      <c r="E5354" s="1" t="s">
        <v>11</v>
      </c>
      <c r="F5354" s="1" t="s">
        <v>20</v>
      </c>
      <c r="G5354" s="4" t="b">
        <f t="shared" si="2"/>
        <v>1</v>
      </c>
      <c r="H5354" s="1" t="str">
        <f t="shared" si="3"/>
        <v>Currently Unavailable</v>
      </c>
      <c r="I5354" s="1" t="str">
        <f t="shared" si="4"/>
        <v>No Badges</v>
      </c>
      <c r="J5354" s="3">
        <f t="shared" si="5"/>
        <v>0</v>
      </c>
    </row>
    <row r="5355">
      <c r="A5355" s="1" t="s">
        <v>3955</v>
      </c>
      <c r="B5355" s="3" t="str">
        <f t="shared" si="1"/>
        <v>Unavailable</v>
      </c>
      <c r="C5355" s="5">
        <v>80753.0</v>
      </c>
      <c r="D5355" s="3">
        <f>IFERROR(__xludf.DUMMYFUNCTION("IFERROR(
IF(REGEXMATCH(LOWER(O5355),""k""),
VALUE(REGEXEXTRACT(O5355,""[0-9]+""))*1000,
VALUE(REGEXEXTRACT(O5355,""[0-9]+""))
),
0
)"),0.0)</f>
        <v>0</v>
      </c>
      <c r="E5355" s="1" t="s">
        <v>11</v>
      </c>
      <c r="F5355" s="1" t="s">
        <v>20</v>
      </c>
      <c r="G5355" s="4" t="b">
        <f t="shared" si="2"/>
        <v>1</v>
      </c>
      <c r="H5355" s="1" t="str">
        <f t="shared" si="3"/>
        <v>Currently Unavailable</v>
      </c>
      <c r="I5355" s="1" t="str">
        <f t="shared" si="4"/>
        <v>No Badges</v>
      </c>
      <c r="J5355" s="3">
        <f t="shared" si="5"/>
        <v>0</v>
      </c>
    </row>
    <row r="5356">
      <c r="A5356" s="1" t="s">
        <v>3956</v>
      </c>
      <c r="B5356" s="3" t="str">
        <f t="shared" si="1"/>
        <v>Unavailable</v>
      </c>
      <c r="C5356" s="5">
        <v>1188.0</v>
      </c>
      <c r="D5356" s="3">
        <f>IFERROR(__xludf.DUMMYFUNCTION("IFERROR(
IF(REGEXMATCH(LOWER(O5356),""k""),
VALUE(REGEXEXTRACT(O5356,""[0-9]+""))*1000,
VALUE(REGEXEXTRACT(O5356,""[0-9]+""))
),
0
)"),0.0)</f>
        <v>0</v>
      </c>
      <c r="E5356" s="1" t="s">
        <v>11</v>
      </c>
      <c r="F5356" s="1" t="s">
        <v>20</v>
      </c>
      <c r="G5356" s="4" t="b">
        <f t="shared" si="2"/>
        <v>1</v>
      </c>
      <c r="H5356" s="1" t="str">
        <f t="shared" si="3"/>
        <v>Currently Unavailable</v>
      </c>
      <c r="I5356" s="1" t="str">
        <f t="shared" si="4"/>
        <v>No Badges</v>
      </c>
      <c r="J5356" s="3">
        <f t="shared" si="5"/>
        <v>0</v>
      </c>
    </row>
    <row r="5357">
      <c r="A5357" s="1" t="s">
        <v>3957</v>
      </c>
      <c r="B5357" s="3" t="str">
        <f t="shared" si="1"/>
        <v>Unavailable</v>
      </c>
      <c r="C5357" s="3">
        <v>377.0</v>
      </c>
      <c r="D5357" s="3">
        <f>IFERROR(__xludf.DUMMYFUNCTION("IFERROR(
IF(REGEXMATCH(LOWER(O5357),""k""),
VALUE(REGEXEXTRACT(O5357,""[0-9]+""))*1000,
VALUE(REGEXEXTRACT(O5357,""[0-9]+""))
),
0
)"),0.0)</f>
        <v>0</v>
      </c>
      <c r="E5357" s="1" t="s">
        <v>11</v>
      </c>
      <c r="F5357" s="1" t="s">
        <v>20</v>
      </c>
      <c r="G5357" s="4" t="b">
        <f t="shared" si="2"/>
        <v>1</v>
      </c>
      <c r="H5357" s="1" t="str">
        <f t="shared" si="3"/>
        <v>Currently Unavailable</v>
      </c>
      <c r="I5357" s="1" t="str">
        <f t="shared" si="4"/>
        <v>No Badges</v>
      </c>
      <c r="J5357" s="3">
        <f t="shared" si="5"/>
        <v>0</v>
      </c>
    </row>
    <row r="5358">
      <c r="A5358" s="1" t="s">
        <v>3958</v>
      </c>
      <c r="B5358" s="3" t="str">
        <f t="shared" si="1"/>
        <v>Unavailable</v>
      </c>
      <c r="C5358" s="3">
        <v>467.0</v>
      </c>
      <c r="D5358" s="3">
        <f>IFERROR(__xludf.DUMMYFUNCTION("IFERROR(
IF(REGEXMATCH(LOWER(O5358),""k""),
VALUE(REGEXEXTRACT(O5358,""[0-9]+""))*1000,
VALUE(REGEXEXTRACT(O5358,""[0-9]+""))
),
0
)"),0.0)</f>
        <v>0</v>
      </c>
      <c r="E5358" s="1" t="s">
        <v>11</v>
      </c>
      <c r="F5358" s="1" t="s">
        <v>20</v>
      </c>
      <c r="G5358" s="4" t="b">
        <f t="shared" si="2"/>
        <v>1</v>
      </c>
      <c r="H5358" s="1" t="str">
        <f t="shared" si="3"/>
        <v>Currently Unavailable</v>
      </c>
      <c r="I5358" s="1" t="str">
        <f t="shared" si="4"/>
        <v>No Badges</v>
      </c>
      <c r="J5358" s="3">
        <f t="shared" si="5"/>
        <v>0</v>
      </c>
    </row>
    <row r="5359">
      <c r="A5359" s="1" t="s">
        <v>3959</v>
      </c>
      <c r="B5359" s="3" t="str">
        <f t="shared" si="1"/>
        <v>Unavailable</v>
      </c>
      <c r="C5359" s="5">
        <v>1393.0</v>
      </c>
      <c r="D5359" s="3">
        <f>IFERROR(__xludf.DUMMYFUNCTION("IFERROR(
IF(REGEXMATCH(LOWER(O5359),""k""),
VALUE(REGEXEXTRACT(O5359,""[0-9]+""))*1000,
VALUE(REGEXEXTRACT(O5359,""[0-9]+""))
),
0
)"),0.0)</f>
        <v>0</v>
      </c>
      <c r="E5359" s="1" t="s">
        <v>11</v>
      </c>
      <c r="F5359" s="1" t="s">
        <v>20</v>
      </c>
      <c r="G5359" s="4" t="b">
        <f t="shared" si="2"/>
        <v>1</v>
      </c>
      <c r="H5359" s="1" t="str">
        <f t="shared" si="3"/>
        <v>Currently Unavailable</v>
      </c>
      <c r="I5359" s="1" t="str">
        <f t="shared" si="4"/>
        <v>No Badges</v>
      </c>
      <c r="J5359" s="3">
        <f t="shared" si="5"/>
        <v>0</v>
      </c>
    </row>
    <row r="5360">
      <c r="A5360" s="1" t="s">
        <v>3960</v>
      </c>
      <c r="B5360" s="3" t="str">
        <f t="shared" si="1"/>
        <v>Unavailable</v>
      </c>
      <c r="C5360" s="3">
        <v>496.0</v>
      </c>
      <c r="D5360" s="3">
        <f>IFERROR(__xludf.DUMMYFUNCTION("IFERROR(
IF(REGEXMATCH(LOWER(O5360),""k""),
VALUE(REGEXEXTRACT(O5360,""[0-9]+""))*1000,
VALUE(REGEXEXTRACT(O5360,""[0-9]+""))
),
0
)"),0.0)</f>
        <v>0</v>
      </c>
      <c r="E5360" s="1" t="s">
        <v>11</v>
      </c>
      <c r="F5360" s="1" t="s">
        <v>20</v>
      </c>
      <c r="G5360" s="4" t="b">
        <f t="shared" si="2"/>
        <v>1</v>
      </c>
      <c r="H5360" s="1" t="str">
        <f t="shared" si="3"/>
        <v>Currently Unavailable</v>
      </c>
      <c r="I5360" s="1" t="str">
        <f t="shared" si="4"/>
        <v>No Badges</v>
      </c>
      <c r="J5360" s="3">
        <f t="shared" si="5"/>
        <v>0</v>
      </c>
    </row>
    <row r="5361">
      <c r="A5361" s="1" t="s">
        <v>88</v>
      </c>
      <c r="B5361" s="3" t="str">
        <f t="shared" si="1"/>
        <v>Unavailable</v>
      </c>
      <c r="C5361" s="3">
        <v>5.0</v>
      </c>
      <c r="D5361" s="3">
        <f>IFERROR(__xludf.DUMMYFUNCTION("IFERROR(
IF(REGEXMATCH(LOWER(O5361),""k""),
VALUE(REGEXEXTRACT(O5361,""[0-9]+""))*1000,
VALUE(REGEXEXTRACT(O5361,""[0-9]+""))
),
0
)"),0.0)</f>
        <v>0</v>
      </c>
      <c r="E5361" s="1" t="s">
        <v>11</v>
      </c>
      <c r="F5361" s="1" t="s">
        <v>12</v>
      </c>
      <c r="G5361" s="4" t="b">
        <f t="shared" si="2"/>
        <v>1</v>
      </c>
      <c r="H5361" s="1" t="str">
        <f t="shared" si="3"/>
        <v>Currently Unavailable</v>
      </c>
      <c r="I5361" s="1" t="str">
        <f t="shared" si="4"/>
        <v>No Badges</v>
      </c>
      <c r="J5361" s="3">
        <f t="shared" si="5"/>
        <v>0</v>
      </c>
    </row>
    <row r="5362">
      <c r="A5362" s="1" t="s">
        <v>40</v>
      </c>
      <c r="B5362" s="3" t="str">
        <f t="shared" si="1"/>
        <v>Unavailable</v>
      </c>
      <c r="C5362" s="3">
        <v>171.0</v>
      </c>
      <c r="D5362" s="3">
        <f>IFERROR(__xludf.DUMMYFUNCTION("IFERROR(
IF(REGEXMATCH(LOWER(O5362),""k""),
VALUE(REGEXEXTRACT(O5362,""[0-9]+""))*1000,
VALUE(REGEXEXTRACT(O5362,""[0-9]+""))
),
0
)"),0.0)</f>
        <v>0</v>
      </c>
      <c r="E5362" s="1" t="s">
        <v>11</v>
      </c>
      <c r="F5362" s="1" t="s">
        <v>12</v>
      </c>
      <c r="G5362" s="4" t="b">
        <f t="shared" si="2"/>
        <v>1</v>
      </c>
      <c r="H5362" s="1" t="str">
        <f t="shared" si="3"/>
        <v>Currently Unavailable</v>
      </c>
      <c r="I5362" s="1" t="str">
        <f t="shared" si="4"/>
        <v>No Badges</v>
      </c>
      <c r="J5362" s="3">
        <f t="shared" si="5"/>
        <v>0</v>
      </c>
    </row>
    <row r="5363">
      <c r="A5363" s="1" t="s">
        <v>3961</v>
      </c>
      <c r="B5363" s="3" t="str">
        <f t="shared" si="1"/>
        <v>Unavailable</v>
      </c>
      <c r="C5363" s="3">
        <v>202.0</v>
      </c>
      <c r="D5363" s="3">
        <f>IFERROR(__xludf.DUMMYFUNCTION("IFERROR(
IF(REGEXMATCH(LOWER(O5363),""k""),
VALUE(REGEXEXTRACT(O5363,""[0-9]+""))*1000,
VALUE(REGEXEXTRACT(O5363,""[0-9]+""))
),
0
)"),0.0)</f>
        <v>0</v>
      </c>
      <c r="E5363" s="1" t="s">
        <v>11</v>
      </c>
      <c r="F5363" s="1" t="s">
        <v>20</v>
      </c>
      <c r="G5363" s="4" t="b">
        <f t="shared" si="2"/>
        <v>1</v>
      </c>
      <c r="H5363" s="1" t="str">
        <f t="shared" si="3"/>
        <v>Currently Unavailable</v>
      </c>
      <c r="I5363" s="1" t="str">
        <f t="shared" si="4"/>
        <v>No Badges</v>
      </c>
      <c r="J5363" s="3">
        <f t="shared" si="5"/>
        <v>0</v>
      </c>
    </row>
    <row r="5364">
      <c r="A5364" s="1" t="s">
        <v>3962</v>
      </c>
      <c r="B5364" s="3" t="str">
        <f t="shared" si="1"/>
        <v>Unavailable</v>
      </c>
      <c r="C5364" s="5">
        <v>22117.0</v>
      </c>
      <c r="D5364" s="3">
        <f>IFERROR(__xludf.DUMMYFUNCTION("IFERROR(
IF(REGEXMATCH(LOWER(O5364),""k""),
VALUE(REGEXEXTRACT(O5364,""[0-9]+""))*1000,
VALUE(REGEXEXTRACT(O5364,""[0-9]+""))
),
0
)"),0.0)</f>
        <v>0</v>
      </c>
      <c r="E5364" s="1" t="s">
        <v>11</v>
      </c>
      <c r="F5364" s="1" t="s">
        <v>20</v>
      </c>
      <c r="G5364" s="4" t="b">
        <f t="shared" si="2"/>
        <v>1</v>
      </c>
      <c r="H5364" s="1" t="str">
        <f t="shared" si="3"/>
        <v>Currently Unavailable</v>
      </c>
      <c r="I5364" s="1" t="str">
        <f t="shared" si="4"/>
        <v>No Badges</v>
      </c>
      <c r="J5364" s="3">
        <f t="shared" si="5"/>
        <v>0</v>
      </c>
    </row>
    <row r="5365">
      <c r="A5365" s="1" t="s">
        <v>69</v>
      </c>
      <c r="B5365" s="3" t="str">
        <f t="shared" si="1"/>
        <v>Unavailable</v>
      </c>
      <c r="C5365" s="3">
        <v>45.0</v>
      </c>
      <c r="D5365" s="3">
        <f>IFERROR(__xludf.DUMMYFUNCTION("IFERROR(
IF(REGEXMATCH(LOWER(O5365),""k""),
VALUE(REGEXEXTRACT(O5365,""[0-9]+""))*1000,
VALUE(REGEXEXTRACT(O5365,""[0-9]+""))
),
0
)"),0.0)</f>
        <v>0</v>
      </c>
      <c r="E5365" s="1" t="s">
        <v>11</v>
      </c>
      <c r="F5365" s="1" t="s">
        <v>12</v>
      </c>
      <c r="G5365" s="4" t="b">
        <f t="shared" si="2"/>
        <v>1</v>
      </c>
      <c r="H5365" s="1" t="str">
        <f t="shared" si="3"/>
        <v>Currently Unavailable</v>
      </c>
      <c r="I5365" s="1" t="str">
        <f t="shared" si="4"/>
        <v>No Badges</v>
      </c>
      <c r="J5365" s="3">
        <f t="shared" si="5"/>
        <v>0</v>
      </c>
    </row>
    <row r="5366">
      <c r="A5366" s="1" t="s">
        <v>3963</v>
      </c>
      <c r="B5366" s="3" t="str">
        <f t="shared" si="1"/>
        <v>Unavailable</v>
      </c>
      <c r="C5366" s="3">
        <v>704.0</v>
      </c>
      <c r="D5366" s="3">
        <f>IFERROR(__xludf.DUMMYFUNCTION("IFERROR(
IF(REGEXMATCH(LOWER(O5366),""k""),
VALUE(REGEXEXTRACT(O5366,""[0-9]+""))*1000,
VALUE(REGEXEXTRACT(O5366,""[0-9]+""))
),
0
)"),0.0)</f>
        <v>0</v>
      </c>
      <c r="E5366" s="1" t="s">
        <v>11</v>
      </c>
      <c r="F5366" s="1" t="s">
        <v>20</v>
      </c>
      <c r="G5366" s="4" t="b">
        <f t="shared" si="2"/>
        <v>1</v>
      </c>
      <c r="H5366" s="1" t="str">
        <f t="shared" si="3"/>
        <v>Currently Unavailable</v>
      </c>
      <c r="I5366" s="1" t="str">
        <f t="shared" si="4"/>
        <v>No Badges</v>
      </c>
      <c r="J5366" s="3">
        <f t="shared" si="5"/>
        <v>0</v>
      </c>
    </row>
    <row r="5367">
      <c r="A5367" s="1" t="s">
        <v>3964</v>
      </c>
      <c r="B5367" s="3" t="str">
        <f t="shared" si="1"/>
        <v>Unavailable</v>
      </c>
      <c r="C5367" s="3">
        <v>388.0</v>
      </c>
      <c r="D5367" s="3">
        <f>IFERROR(__xludf.DUMMYFUNCTION("IFERROR(
IF(REGEXMATCH(LOWER(O5367),""k""),
VALUE(REGEXEXTRACT(O5367,""[0-9]+""))*1000,
VALUE(REGEXEXTRACT(O5367,""[0-9]+""))
),
0
)"),0.0)</f>
        <v>0</v>
      </c>
      <c r="E5367" s="1" t="s">
        <v>11</v>
      </c>
      <c r="F5367" s="1" t="s">
        <v>20</v>
      </c>
      <c r="G5367" s="4" t="b">
        <f t="shared" si="2"/>
        <v>1</v>
      </c>
      <c r="H5367" s="1" t="str">
        <f t="shared" si="3"/>
        <v>Currently Unavailable</v>
      </c>
      <c r="I5367" s="1" t="str">
        <f t="shared" si="4"/>
        <v>No Badges</v>
      </c>
      <c r="J5367" s="3">
        <f t="shared" si="5"/>
        <v>0</v>
      </c>
    </row>
    <row r="5368">
      <c r="A5368" s="1" t="s">
        <v>3965</v>
      </c>
      <c r="B5368" s="3" t="str">
        <f t="shared" si="1"/>
        <v>Unavailable</v>
      </c>
      <c r="C5368" s="3">
        <v>241.0</v>
      </c>
      <c r="D5368" s="3">
        <f>IFERROR(__xludf.DUMMYFUNCTION("IFERROR(
IF(REGEXMATCH(LOWER(O5368),""k""),
VALUE(REGEXEXTRACT(O5368,""[0-9]+""))*1000,
VALUE(REGEXEXTRACT(O5368,""[0-9]+""))
),
0
)"),0.0)</f>
        <v>0</v>
      </c>
      <c r="E5368" s="1" t="s">
        <v>11</v>
      </c>
      <c r="F5368" s="1" t="s">
        <v>20</v>
      </c>
      <c r="G5368" s="4" t="b">
        <f t="shared" si="2"/>
        <v>1</v>
      </c>
      <c r="H5368" s="1" t="str">
        <f t="shared" si="3"/>
        <v>Currently Unavailable</v>
      </c>
      <c r="I5368" s="1" t="str">
        <f t="shared" si="4"/>
        <v>No Badges</v>
      </c>
      <c r="J5368" s="3">
        <f t="shared" si="5"/>
        <v>0</v>
      </c>
    </row>
    <row r="5369">
      <c r="A5369" s="1" t="s">
        <v>3966</v>
      </c>
      <c r="B5369" s="3" t="str">
        <f t="shared" si="1"/>
        <v>Unavailable</v>
      </c>
      <c r="C5369" s="5">
        <v>4204.0</v>
      </c>
      <c r="D5369" s="3">
        <f>IFERROR(__xludf.DUMMYFUNCTION("IFERROR(
IF(REGEXMATCH(LOWER(O5369),""k""),
VALUE(REGEXEXTRACT(O5369,""[0-9]+""))*1000,
VALUE(REGEXEXTRACT(O5369,""[0-9]+""))
),
0
)"),0.0)</f>
        <v>0</v>
      </c>
      <c r="E5369" s="1" t="s">
        <v>11</v>
      </c>
      <c r="F5369" s="1" t="s">
        <v>20</v>
      </c>
      <c r="G5369" s="4" t="b">
        <f t="shared" si="2"/>
        <v>1</v>
      </c>
      <c r="H5369" s="1" t="str">
        <f t="shared" si="3"/>
        <v>Currently Unavailable</v>
      </c>
      <c r="I5369" s="1" t="str">
        <f t="shared" si="4"/>
        <v>No Badges</v>
      </c>
      <c r="J5369" s="3">
        <f t="shared" si="5"/>
        <v>0</v>
      </c>
    </row>
    <row r="5370">
      <c r="A5370" s="1" t="s">
        <v>3967</v>
      </c>
      <c r="B5370" s="3" t="str">
        <f t="shared" si="1"/>
        <v>Unavailable</v>
      </c>
      <c r="C5370" s="3">
        <v>177.0</v>
      </c>
      <c r="D5370" s="3">
        <f>IFERROR(__xludf.DUMMYFUNCTION("IFERROR(
IF(REGEXMATCH(LOWER(O5370),""k""),
VALUE(REGEXEXTRACT(O5370,""[0-9]+""))*1000,
VALUE(REGEXEXTRACT(O5370,""[0-9]+""))
),
0
)"),0.0)</f>
        <v>0</v>
      </c>
      <c r="E5370" s="1" t="s">
        <v>11</v>
      </c>
      <c r="F5370" s="1" t="s">
        <v>20</v>
      </c>
      <c r="G5370" s="4" t="b">
        <f t="shared" si="2"/>
        <v>1</v>
      </c>
      <c r="H5370" s="1" t="str">
        <f t="shared" si="3"/>
        <v>Currently Unavailable</v>
      </c>
      <c r="I5370" s="1" t="str">
        <f t="shared" si="4"/>
        <v>No Badges</v>
      </c>
      <c r="J5370" s="3">
        <f t="shared" si="5"/>
        <v>0</v>
      </c>
    </row>
    <row r="5371">
      <c r="A5371" s="1" t="s">
        <v>3968</v>
      </c>
      <c r="B5371" s="3" t="str">
        <f t="shared" si="1"/>
        <v>Unavailable</v>
      </c>
      <c r="C5371" s="3">
        <v>976.0</v>
      </c>
      <c r="D5371" s="3">
        <f>IFERROR(__xludf.DUMMYFUNCTION("IFERROR(
IF(REGEXMATCH(LOWER(O5371),""k""),
VALUE(REGEXEXTRACT(O5371,""[0-9]+""))*1000,
VALUE(REGEXEXTRACT(O5371,""[0-9]+""))
),
0
)"),0.0)</f>
        <v>0</v>
      </c>
      <c r="E5371" s="1" t="s">
        <v>11</v>
      </c>
      <c r="F5371" s="1" t="s">
        <v>20</v>
      </c>
      <c r="G5371" s="4" t="b">
        <f t="shared" si="2"/>
        <v>1</v>
      </c>
      <c r="H5371" s="1" t="str">
        <f t="shared" si="3"/>
        <v>Currently Unavailable</v>
      </c>
      <c r="I5371" s="1" t="str">
        <f t="shared" si="4"/>
        <v>No Badges</v>
      </c>
      <c r="J5371" s="3">
        <f t="shared" si="5"/>
        <v>0</v>
      </c>
    </row>
    <row r="5372">
      <c r="A5372" s="1" t="s">
        <v>3969</v>
      </c>
      <c r="B5372" s="3" t="str">
        <f t="shared" si="1"/>
        <v>Unavailable</v>
      </c>
      <c r="C5372" s="5">
        <v>3563.0</v>
      </c>
      <c r="D5372" s="3">
        <f>IFERROR(__xludf.DUMMYFUNCTION("IFERROR(
IF(REGEXMATCH(LOWER(O5372),""k""),
VALUE(REGEXEXTRACT(O5372,""[0-9]+""))*1000,
VALUE(REGEXEXTRACT(O5372,""[0-9]+""))
),
0
)"),0.0)</f>
        <v>0</v>
      </c>
      <c r="E5372" s="1" t="s">
        <v>11</v>
      </c>
      <c r="F5372" s="1" t="s">
        <v>20</v>
      </c>
      <c r="G5372" s="4" t="b">
        <f t="shared" si="2"/>
        <v>1</v>
      </c>
      <c r="H5372" s="1" t="str">
        <f t="shared" si="3"/>
        <v>Currently Unavailable</v>
      </c>
      <c r="I5372" s="1" t="str">
        <f t="shared" si="4"/>
        <v>No Badges</v>
      </c>
      <c r="J5372" s="3">
        <f t="shared" si="5"/>
        <v>0</v>
      </c>
    </row>
    <row r="5373">
      <c r="A5373" s="1" t="s">
        <v>3970</v>
      </c>
      <c r="B5373" s="3" t="str">
        <f t="shared" si="1"/>
        <v>Unavailable</v>
      </c>
      <c r="C5373" s="3">
        <v>68.0</v>
      </c>
      <c r="D5373" s="3">
        <f>IFERROR(__xludf.DUMMYFUNCTION("IFERROR(
IF(REGEXMATCH(LOWER(O5373),""k""),
VALUE(REGEXEXTRACT(O5373,""[0-9]+""))*1000,
VALUE(REGEXEXTRACT(O5373,""[0-9]+""))
),
0
)"),0.0)</f>
        <v>0</v>
      </c>
      <c r="E5373" s="1" t="s">
        <v>11</v>
      </c>
      <c r="F5373" s="1" t="s">
        <v>20</v>
      </c>
      <c r="G5373" s="4" t="b">
        <f t="shared" si="2"/>
        <v>1</v>
      </c>
      <c r="H5373" s="1" t="str">
        <f t="shared" si="3"/>
        <v>Currently Unavailable</v>
      </c>
      <c r="I5373" s="1" t="str">
        <f t="shared" si="4"/>
        <v>No Badges</v>
      </c>
      <c r="J5373" s="3">
        <f t="shared" si="5"/>
        <v>0</v>
      </c>
    </row>
    <row r="5374">
      <c r="A5374" s="1" t="s">
        <v>3971</v>
      </c>
      <c r="B5374" s="3" t="str">
        <f t="shared" si="1"/>
        <v>Unavailable</v>
      </c>
      <c r="C5374" s="3">
        <v>914.0</v>
      </c>
      <c r="D5374" s="3">
        <f>IFERROR(__xludf.DUMMYFUNCTION("IFERROR(
IF(REGEXMATCH(LOWER(O5374),""k""),
VALUE(REGEXEXTRACT(O5374,""[0-9]+""))*1000,
VALUE(REGEXEXTRACT(O5374,""[0-9]+""))
),
0
)"),0.0)</f>
        <v>0</v>
      </c>
      <c r="E5374" s="1" t="s">
        <v>11</v>
      </c>
      <c r="F5374" s="1" t="s">
        <v>20</v>
      </c>
      <c r="G5374" s="4" t="b">
        <f t="shared" si="2"/>
        <v>1</v>
      </c>
      <c r="H5374" s="1" t="str">
        <f t="shared" si="3"/>
        <v>Currently Unavailable</v>
      </c>
      <c r="I5374" s="1" t="str">
        <f t="shared" si="4"/>
        <v>No Badges</v>
      </c>
      <c r="J5374" s="3">
        <f t="shared" si="5"/>
        <v>0</v>
      </c>
    </row>
    <row r="5375">
      <c r="A5375" s="1" t="s">
        <v>3972</v>
      </c>
      <c r="B5375" s="3" t="str">
        <f t="shared" si="1"/>
        <v>Unavailable</v>
      </c>
      <c r="C5375" s="3">
        <v>217.0</v>
      </c>
      <c r="D5375" s="3">
        <f>IFERROR(__xludf.DUMMYFUNCTION("IFERROR(
IF(REGEXMATCH(LOWER(O5375),""k""),
VALUE(REGEXEXTRACT(O5375,""[0-9]+""))*1000,
VALUE(REGEXEXTRACT(O5375,""[0-9]+""))
),
0
)"),0.0)</f>
        <v>0</v>
      </c>
      <c r="E5375" s="1" t="s">
        <v>11</v>
      </c>
      <c r="F5375" s="1" t="s">
        <v>20</v>
      </c>
      <c r="G5375" s="4" t="b">
        <f t="shared" si="2"/>
        <v>1</v>
      </c>
      <c r="H5375" s="1" t="str">
        <f t="shared" si="3"/>
        <v>Currently Unavailable</v>
      </c>
      <c r="I5375" s="1" t="str">
        <f t="shared" si="4"/>
        <v>No Badges</v>
      </c>
      <c r="J5375" s="3">
        <f t="shared" si="5"/>
        <v>0</v>
      </c>
    </row>
    <row r="5376">
      <c r="A5376" s="1" t="s">
        <v>3973</v>
      </c>
      <c r="B5376" s="3" t="str">
        <f t="shared" si="1"/>
        <v>Unavailable</v>
      </c>
      <c r="C5376" s="5">
        <v>1341.0</v>
      </c>
      <c r="D5376" s="3">
        <f>IFERROR(__xludf.DUMMYFUNCTION("IFERROR(
IF(REGEXMATCH(LOWER(O5376),""k""),
VALUE(REGEXEXTRACT(O5376,""[0-9]+""))*1000,
VALUE(REGEXEXTRACT(O5376,""[0-9]+""))
),
0
)"),0.0)</f>
        <v>0</v>
      </c>
      <c r="E5376" s="1" t="s">
        <v>11</v>
      </c>
      <c r="F5376" s="1" t="s">
        <v>20</v>
      </c>
      <c r="G5376" s="4" t="b">
        <f t="shared" si="2"/>
        <v>1</v>
      </c>
      <c r="H5376" s="1" t="str">
        <f t="shared" si="3"/>
        <v>Currently Unavailable</v>
      </c>
      <c r="I5376" s="1" t="str">
        <f t="shared" si="4"/>
        <v>No Badges</v>
      </c>
      <c r="J5376" s="3">
        <f t="shared" si="5"/>
        <v>0</v>
      </c>
    </row>
    <row r="5377">
      <c r="A5377" s="1" t="s">
        <v>3974</v>
      </c>
      <c r="B5377" s="3" t="str">
        <f t="shared" si="1"/>
        <v>Unavailable</v>
      </c>
      <c r="C5377" s="5">
        <v>1338.0</v>
      </c>
      <c r="D5377" s="3">
        <f>IFERROR(__xludf.DUMMYFUNCTION("IFERROR(
IF(REGEXMATCH(LOWER(O5377),""k""),
VALUE(REGEXEXTRACT(O5377,""[0-9]+""))*1000,
VALUE(REGEXEXTRACT(O5377,""[0-9]+""))
),
0
)"),0.0)</f>
        <v>0</v>
      </c>
      <c r="E5377" s="1" t="s">
        <v>11</v>
      </c>
      <c r="F5377" s="1" t="s">
        <v>20</v>
      </c>
      <c r="G5377" s="4" t="b">
        <f t="shared" si="2"/>
        <v>1</v>
      </c>
      <c r="H5377" s="1" t="str">
        <f t="shared" si="3"/>
        <v>Currently Unavailable</v>
      </c>
      <c r="I5377" s="1" t="str">
        <f t="shared" si="4"/>
        <v>No Badges</v>
      </c>
      <c r="J5377" s="3">
        <f t="shared" si="5"/>
        <v>0</v>
      </c>
    </row>
    <row r="5378">
      <c r="A5378" s="1" t="s">
        <v>67</v>
      </c>
      <c r="B5378" s="3" t="str">
        <f t="shared" si="1"/>
        <v>Unavailable</v>
      </c>
      <c r="C5378" s="3">
        <v>264.0</v>
      </c>
      <c r="D5378" s="3">
        <f>IFERROR(__xludf.DUMMYFUNCTION("IFERROR(
IF(REGEXMATCH(LOWER(O5378),""k""),
VALUE(REGEXEXTRACT(O5378,""[0-9]+""))*1000,
VALUE(REGEXEXTRACT(O5378,""[0-9]+""))
),
0
)"),0.0)</f>
        <v>0</v>
      </c>
      <c r="E5378" s="1" t="s">
        <v>11</v>
      </c>
      <c r="F5378" s="1" t="s">
        <v>12</v>
      </c>
      <c r="G5378" s="4" t="b">
        <f t="shared" si="2"/>
        <v>1</v>
      </c>
      <c r="H5378" s="1" t="str">
        <f t="shared" si="3"/>
        <v>Currently Unavailable</v>
      </c>
      <c r="I5378" s="1" t="str">
        <f t="shared" si="4"/>
        <v>No Badges</v>
      </c>
      <c r="J5378" s="3">
        <f t="shared" si="5"/>
        <v>0</v>
      </c>
    </row>
    <row r="5379">
      <c r="A5379" s="1" t="s">
        <v>3975</v>
      </c>
      <c r="B5379" s="3" t="str">
        <f t="shared" si="1"/>
        <v>Unavailable</v>
      </c>
      <c r="C5379" s="3">
        <v>317.0</v>
      </c>
      <c r="D5379" s="3">
        <f>IFERROR(__xludf.DUMMYFUNCTION("IFERROR(
IF(REGEXMATCH(LOWER(O5379),""k""),
VALUE(REGEXEXTRACT(O5379,""[0-9]+""))*1000,
VALUE(REGEXEXTRACT(O5379,""[0-9]+""))
),
0
)"),0.0)</f>
        <v>0</v>
      </c>
      <c r="E5379" s="1" t="s">
        <v>11</v>
      </c>
      <c r="F5379" s="1" t="s">
        <v>20</v>
      </c>
      <c r="G5379" s="4" t="b">
        <f t="shared" si="2"/>
        <v>1</v>
      </c>
      <c r="H5379" s="1" t="str">
        <f t="shared" si="3"/>
        <v>Currently Unavailable</v>
      </c>
      <c r="I5379" s="1" t="str">
        <f t="shared" si="4"/>
        <v>No Badges</v>
      </c>
      <c r="J5379" s="3">
        <f t="shared" si="5"/>
        <v>0</v>
      </c>
    </row>
    <row r="5380">
      <c r="A5380" s="1" t="s">
        <v>701</v>
      </c>
      <c r="B5380" s="3" t="str">
        <f t="shared" si="1"/>
        <v>Unavailable</v>
      </c>
      <c r="C5380" s="3">
        <v>8.0</v>
      </c>
      <c r="D5380" s="3">
        <f>IFERROR(__xludf.DUMMYFUNCTION("IFERROR(
IF(REGEXMATCH(LOWER(O5380),""k""),
VALUE(REGEXEXTRACT(O5380,""[0-9]+""))*1000,
VALUE(REGEXEXTRACT(O5380,""[0-9]+""))
),
0
)"),0.0)</f>
        <v>0</v>
      </c>
      <c r="E5380" s="1" t="s">
        <v>11</v>
      </c>
      <c r="F5380" s="1" t="s">
        <v>12</v>
      </c>
      <c r="G5380" s="4" t="b">
        <f t="shared" si="2"/>
        <v>1</v>
      </c>
      <c r="H5380" s="1" t="str">
        <f t="shared" si="3"/>
        <v>Currently Unavailable</v>
      </c>
      <c r="I5380" s="1" t="str">
        <f t="shared" si="4"/>
        <v>No Badges</v>
      </c>
      <c r="J5380" s="3">
        <f t="shared" si="5"/>
        <v>0</v>
      </c>
    </row>
    <row r="5381">
      <c r="A5381" s="1" t="s">
        <v>3976</v>
      </c>
      <c r="B5381" s="3" t="str">
        <f t="shared" si="1"/>
        <v>Unavailable</v>
      </c>
      <c r="C5381" s="5">
        <v>21380.0</v>
      </c>
      <c r="D5381" s="3">
        <f>IFERROR(__xludf.DUMMYFUNCTION("IFERROR(
IF(REGEXMATCH(LOWER(O5381),""k""),
VALUE(REGEXEXTRACT(O5381,""[0-9]+""))*1000,
VALUE(REGEXEXTRACT(O5381,""[0-9]+""))
),
0
)"),0.0)</f>
        <v>0</v>
      </c>
      <c r="E5381" s="1" t="s">
        <v>11</v>
      </c>
      <c r="F5381" s="1" t="s">
        <v>20</v>
      </c>
      <c r="G5381" s="4" t="b">
        <f t="shared" si="2"/>
        <v>1</v>
      </c>
      <c r="H5381" s="1" t="str">
        <f t="shared" si="3"/>
        <v>Currently Unavailable</v>
      </c>
      <c r="I5381" s="1" t="str">
        <f t="shared" si="4"/>
        <v>No Badges</v>
      </c>
      <c r="J5381" s="3">
        <f t="shared" si="5"/>
        <v>0</v>
      </c>
    </row>
    <row r="5382">
      <c r="A5382" s="1" t="s">
        <v>3977</v>
      </c>
      <c r="B5382" s="3" t="str">
        <f t="shared" si="1"/>
        <v>Unavailable</v>
      </c>
      <c r="C5382" s="5">
        <v>13125.0</v>
      </c>
      <c r="D5382" s="3">
        <f>IFERROR(__xludf.DUMMYFUNCTION("IFERROR(
IF(REGEXMATCH(LOWER(O5382),""k""),
VALUE(REGEXEXTRACT(O5382,""[0-9]+""))*1000,
VALUE(REGEXEXTRACT(O5382,""[0-9]+""))
),
0
)"),0.0)</f>
        <v>0</v>
      </c>
      <c r="E5382" s="1" t="s">
        <v>11</v>
      </c>
      <c r="F5382" s="1" t="s">
        <v>20</v>
      </c>
      <c r="G5382" s="4" t="b">
        <f t="shared" si="2"/>
        <v>1</v>
      </c>
      <c r="H5382" s="1" t="str">
        <f t="shared" si="3"/>
        <v>Currently Unavailable</v>
      </c>
      <c r="I5382" s="1" t="str">
        <f t="shared" si="4"/>
        <v>No Badges</v>
      </c>
      <c r="J5382" s="3">
        <f t="shared" si="5"/>
        <v>0</v>
      </c>
    </row>
    <row r="5383">
      <c r="A5383" s="1" t="s">
        <v>3978</v>
      </c>
      <c r="B5383" s="3" t="str">
        <f t="shared" si="1"/>
        <v>Unavailable</v>
      </c>
      <c r="C5383" s="5">
        <v>1849.0</v>
      </c>
      <c r="D5383" s="3">
        <f>IFERROR(__xludf.DUMMYFUNCTION("IFERROR(
IF(REGEXMATCH(LOWER(O5383),""k""),
VALUE(REGEXEXTRACT(O5383,""[0-9]+""))*1000,
VALUE(REGEXEXTRACT(O5383,""[0-9]+""))
),
0
)"),0.0)</f>
        <v>0</v>
      </c>
      <c r="E5383" s="1" t="s">
        <v>11</v>
      </c>
      <c r="F5383" s="1" t="s">
        <v>20</v>
      </c>
      <c r="G5383" s="4" t="b">
        <f t="shared" si="2"/>
        <v>1</v>
      </c>
      <c r="H5383" s="1" t="str">
        <f t="shared" si="3"/>
        <v>Currently Unavailable</v>
      </c>
      <c r="I5383" s="1" t="str">
        <f t="shared" si="4"/>
        <v>No Badges</v>
      </c>
      <c r="J5383" s="3">
        <f t="shared" si="5"/>
        <v>0</v>
      </c>
    </row>
    <row r="5384">
      <c r="A5384" s="1" t="s">
        <v>3772</v>
      </c>
      <c r="B5384" s="3" t="str">
        <f t="shared" si="1"/>
        <v>Unavailable</v>
      </c>
      <c r="C5384" s="3">
        <v>139.0</v>
      </c>
      <c r="D5384" s="3">
        <f>IFERROR(__xludf.DUMMYFUNCTION("IFERROR(
IF(REGEXMATCH(LOWER(O5384),""k""),
VALUE(REGEXEXTRACT(O5384,""[0-9]+""))*1000,
VALUE(REGEXEXTRACT(O5384,""[0-9]+""))
),
0
)"),0.0)</f>
        <v>0</v>
      </c>
      <c r="E5384" s="1" t="s">
        <v>11</v>
      </c>
      <c r="F5384" s="1" t="s">
        <v>20</v>
      </c>
      <c r="G5384" s="4" t="b">
        <f t="shared" si="2"/>
        <v>1</v>
      </c>
      <c r="H5384" s="1" t="str">
        <f t="shared" si="3"/>
        <v>Currently Unavailable</v>
      </c>
      <c r="I5384" s="1" t="str">
        <f t="shared" si="4"/>
        <v>No Badges</v>
      </c>
      <c r="J5384" s="3">
        <f t="shared" si="5"/>
        <v>0</v>
      </c>
    </row>
    <row r="5385">
      <c r="A5385" s="1" t="s">
        <v>3979</v>
      </c>
      <c r="B5385" s="3" t="str">
        <f t="shared" si="1"/>
        <v>Unavailable</v>
      </c>
      <c r="C5385" s="5">
        <v>16319.0</v>
      </c>
      <c r="D5385" s="3">
        <f>IFERROR(__xludf.DUMMYFUNCTION("IFERROR(
IF(REGEXMATCH(LOWER(O5385),""k""),
VALUE(REGEXEXTRACT(O5385,""[0-9]+""))*1000,
VALUE(REGEXEXTRACT(O5385,""[0-9]+""))
),
0
)"),0.0)</f>
        <v>0</v>
      </c>
      <c r="E5385" s="1" t="s">
        <v>11</v>
      </c>
      <c r="F5385" s="1" t="s">
        <v>20</v>
      </c>
      <c r="G5385" s="4" t="b">
        <f t="shared" si="2"/>
        <v>1</v>
      </c>
      <c r="H5385" s="1" t="str">
        <f t="shared" si="3"/>
        <v>Currently Unavailable</v>
      </c>
      <c r="I5385" s="1" t="str">
        <f t="shared" si="4"/>
        <v>No Badges</v>
      </c>
      <c r="J5385" s="3">
        <f t="shared" si="5"/>
        <v>0</v>
      </c>
    </row>
    <row r="5386">
      <c r="A5386" s="1" t="s">
        <v>3980</v>
      </c>
      <c r="B5386" s="3" t="str">
        <f t="shared" si="1"/>
        <v>Unavailable</v>
      </c>
      <c r="C5386" s="5">
        <v>16627.0</v>
      </c>
      <c r="D5386" s="3">
        <f>IFERROR(__xludf.DUMMYFUNCTION("IFERROR(
IF(REGEXMATCH(LOWER(O5386),""k""),
VALUE(REGEXEXTRACT(O5386,""[0-9]+""))*1000,
VALUE(REGEXEXTRACT(O5386,""[0-9]+""))
),
0
)"),0.0)</f>
        <v>0</v>
      </c>
      <c r="E5386" s="1" t="s">
        <v>11</v>
      </c>
      <c r="F5386" s="1" t="s">
        <v>20</v>
      </c>
      <c r="G5386" s="4" t="b">
        <f t="shared" si="2"/>
        <v>1</v>
      </c>
      <c r="H5386" s="1" t="str">
        <f t="shared" si="3"/>
        <v>Currently Unavailable</v>
      </c>
      <c r="I5386" s="1" t="str">
        <f t="shared" si="4"/>
        <v>No Badges</v>
      </c>
      <c r="J5386" s="3">
        <f t="shared" si="5"/>
        <v>0</v>
      </c>
    </row>
    <row r="5387">
      <c r="A5387" s="1" t="s">
        <v>3981</v>
      </c>
      <c r="B5387" s="3" t="str">
        <f t="shared" si="1"/>
        <v>Unavailable</v>
      </c>
      <c r="C5387" s="3">
        <v>3.0</v>
      </c>
      <c r="D5387" s="3">
        <f>IFERROR(__xludf.DUMMYFUNCTION("IFERROR(
IF(REGEXMATCH(LOWER(O5387),""k""),
VALUE(REGEXEXTRACT(O5387,""[0-9]+""))*1000,
VALUE(REGEXEXTRACT(O5387,""[0-9]+""))
),
0
)"),0.0)</f>
        <v>0</v>
      </c>
      <c r="E5387" s="1" t="s">
        <v>11</v>
      </c>
      <c r="F5387" s="1" t="s">
        <v>20</v>
      </c>
      <c r="G5387" s="4" t="b">
        <f t="shared" si="2"/>
        <v>1</v>
      </c>
      <c r="H5387" s="1" t="str">
        <f t="shared" si="3"/>
        <v>Currently Unavailable</v>
      </c>
      <c r="I5387" s="1" t="str">
        <f t="shared" si="4"/>
        <v>No Badges</v>
      </c>
      <c r="J5387" s="3">
        <f t="shared" si="5"/>
        <v>0</v>
      </c>
    </row>
    <row r="5388">
      <c r="A5388" s="1" t="s">
        <v>3982</v>
      </c>
      <c r="B5388" s="3" t="str">
        <f t="shared" si="1"/>
        <v>Unavailable</v>
      </c>
      <c r="C5388" s="5">
        <v>2332.0</v>
      </c>
      <c r="D5388" s="3">
        <f>IFERROR(__xludf.DUMMYFUNCTION("IFERROR(
IF(REGEXMATCH(LOWER(O5388),""k""),
VALUE(REGEXEXTRACT(O5388,""[0-9]+""))*1000,
VALUE(REGEXEXTRACT(O5388,""[0-9]+""))
),
0
)"),0.0)</f>
        <v>0</v>
      </c>
      <c r="E5388" s="1" t="s">
        <v>11</v>
      </c>
      <c r="F5388" s="1" t="s">
        <v>20</v>
      </c>
      <c r="G5388" s="4" t="b">
        <f t="shared" si="2"/>
        <v>1</v>
      </c>
      <c r="H5388" s="1" t="str">
        <f t="shared" si="3"/>
        <v>Currently Unavailable</v>
      </c>
      <c r="I5388" s="1" t="str">
        <f t="shared" si="4"/>
        <v>No Badges</v>
      </c>
      <c r="J5388" s="3">
        <f t="shared" si="5"/>
        <v>0</v>
      </c>
    </row>
    <row r="5389">
      <c r="A5389" s="1" t="s">
        <v>3983</v>
      </c>
      <c r="B5389" s="3" t="str">
        <f t="shared" si="1"/>
        <v>Unavailable</v>
      </c>
      <c r="C5389" s="3">
        <v>718.0</v>
      </c>
      <c r="D5389" s="3">
        <f>IFERROR(__xludf.DUMMYFUNCTION("IFERROR(
IF(REGEXMATCH(LOWER(O5389),""k""),
VALUE(REGEXEXTRACT(O5389,""[0-9]+""))*1000,
VALUE(REGEXEXTRACT(O5389,""[0-9]+""))
),
0
)"),0.0)</f>
        <v>0</v>
      </c>
      <c r="E5389" s="1" t="s">
        <v>11</v>
      </c>
      <c r="F5389" s="1" t="s">
        <v>20</v>
      </c>
      <c r="G5389" s="4" t="b">
        <f t="shared" si="2"/>
        <v>1</v>
      </c>
      <c r="H5389" s="1" t="str">
        <f t="shared" si="3"/>
        <v>Currently Unavailable</v>
      </c>
      <c r="I5389" s="1" t="str">
        <f t="shared" si="4"/>
        <v>No Badges</v>
      </c>
      <c r="J5389" s="3">
        <f t="shared" si="5"/>
        <v>0</v>
      </c>
    </row>
    <row r="5390">
      <c r="A5390" s="1" t="s">
        <v>3984</v>
      </c>
      <c r="B5390" s="3" t="str">
        <f t="shared" si="1"/>
        <v>Unavailable</v>
      </c>
      <c r="C5390" s="3">
        <v>126.0</v>
      </c>
      <c r="D5390" s="3">
        <f>IFERROR(__xludf.DUMMYFUNCTION("IFERROR(
IF(REGEXMATCH(LOWER(O5390),""k""),
VALUE(REGEXEXTRACT(O5390,""[0-9]+""))*1000,
VALUE(REGEXEXTRACT(O5390,""[0-9]+""))
),
0
)"),0.0)</f>
        <v>0</v>
      </c>
      <c r="E5390" s="1" t="s">
        <v>11</v>
      </c>
      <c r="F5390" s="1" t="s">
        <v>20</v>
      </c>
      <c r="G5390" s="4" t="b">
        <f t="shared" si="2"/>
        <v>1</v>
      </c>
      <c r="H5390" s="1" t="str">
        <f t="shared" si="3"/>
        <v>Currently Unavailable</v>
      </c>
      <c r="I5390" s="1" t="str">
        <f t="shared" si="4"/>
        <v>No Badges</v>
      </c>
      <c r="J5390" s="3">
        <f t="shared" si="5"/>
        <v>0</v>
      </c>
    </row>
    <row r="5391">
      <c r="A5391" s="1" t="s">
        <v>3985</v>
      </c>
      <c r="B5391" s="3" t="str">
        <f t="shared" si="1"/>
        <v>Unavailable</v>
      </c>
      <c r="C5391" s="3">
        <v>167.0</v>
      </c>
      <c r="D5391" s="3">
        <f>IFERROR(__xludf.DUMMYFUNCTION("IFERROR(
IF(REGEXMATCH(LOWER(O5391),""k""),
VALUE(REGEXEXTRACT(O5391,""[0-9]+""))*1000,
VALUE(REGEXEXTRACT(O5391,""[0-9]+""))
),
0
)"),0.0)</f>
        <v>0</v>
      </c>
      <c r="E5391" s="1" t="s">
        <v>11</v>
      </c>
      <c r="F5391" s="1" t="s">
        <v>20</v>
      </c>
      <c r="G5391" s="4" t="b">
        <f t="shared" si="2"/>
        <v>1</v>
      </c>
      <c r="H5391" s="1" t="str">
        <f t="shared" si="3"/>
        <v>Currently Unavailable</v>
      </c>
      <c r="I5391" s="1" t="str">
        <f t="shared" si="4"/>
        <v>No Badges</v>
      </c>
      <c r="J5391" s="3">
        <f t="shared" si="5"/>
        <v>0</v>
      </c>
    </row>
    <row r="5392">
      <c r="A5392" s="1" t="s">
        <v>3986</v>
      </c>
      <c r="B5392" s="3" t="str">
        <f t="shared" si="1"/>
        <v>Unavailable</v>
      </c>
      <c r="C5392" s="3">
        <v>623.0</v>
      </c>
      <c r="D5392" s="3">
        <f>IFERROR(__xludf.DUMMYFUNCTION("IFERROR(
IF(REGEXMATCH(LOWER(O5392),""k""),
VALUE(REGEXEXTRACT(O5392,""[0-9]+""))*1000,
VALUE(REGEXEXTRACT(O5392,""[0-9]+""))
),
0
)"),0.0)</f>
        <v>0</v>
      </c>
      <c r="E5392" s="1" t="s">
        <v>11</v>
      </c>
      <c r="F5392" s="1" t="s">
        <v>20</v>
      </c>
      <c r="G5392" s="4" t="b">
        <f t="shared" si="2"/>
        <v>1</v>
      </c>
      <c r="H5392" s="1" t="str">
        <f t="shared" si="3"/>
        <v>Currently Unavailable</v>
      </c>
      <c r="I5392" s="1" t="str">
        <f t="shared" si="4"/>
        <v>No Badges</v>
      </c>
      <c r="J5392" s="3">
        <f t="shared" si="5"/>
        <v>0</v>
      </c>
    </row>
    <row r="5393">
      <c r="A5393" s="1" t="s">
        <v>3987</v>
      </c>
      <c r="B5393" s="3" t="str">
        <f t="shared" si="1"/>
        <v>Unavailable</v>
      </c>
      <c r="C5393" s="3">
        <v>187.0</v>
      </c>
      <c r="D5393" s="3">
        <f>IFERROR(__xludf.DUMMYFUNCTION("IFERROR(
IF(REGEXMATCH(LOWER(O5393),""k""),
VALUE(REGEXEXTRACT(O5393,""[0-9]+""))*1000,
VALUE(REGEXEXTRACT(O5393,""[0-9]+""))
),
0
)"),0.0)</f>
        <v>0</v>
      </c>
      <c r="E5393" s="1" t="s">
        <v>11</v>
      </c>
      <c r="F5393" s="1" t="s">
        <v>20</v>
      </c>
      <c r="G5393" s="4" t="b">
        <f t="shared" si="2"/>
        <v>1</v>
      </c>
      <c r="H5393" s="1" t="str">
        <f t="shared" si="3"/>
        <v>Currently Unavailable</v>
      </c>
      <c r="I5393" s="1" t="str">
        <f t="shared" si="4"/>
        <v>No Badges</v>
      </c>
      <c r="J5393" s="3">
        <f t="shared" si="5"/>
        <v>0</v>
      </c>
    </row>
    <row r="5394">
      <c r="A5394" s="1" t="s">
        <v>88</v>
      </c>
      <c r="B5394" s="3" t="str">
        <f t="shared" si="1"/>
        <v>Unavailable</v>
      </c>
      <c r="C5394" s="3">
        <v>5.0</v>
      </c>
      <c r="D5394" s="3">
        <f>IFERROR(__xludf.DUMMYFUNCTION("IFERROR(
IF(REGEXMATCH(LOWER(O5394),""k""),
VALUE(REGEXEXTRACT(O5394,""[0-9]+""))*1000,
VALUE(REGEXEXTRACT(O5394,""[0-9]+""))
),
0
)"),0.0)</f>
        <v>0</v>
      </c>
      <c r="E5394" s="1" t="s">
        <v>11</v>
      </c>
      <c r="F5394" s="1" t="s">
        <v>12</v>
      </c>
      <c r="G5394" s="4" t="b">
        <f t="shared" si="2"/>
        <v>1</v>
      </c>
      <c r="H5394" s="1" t="str">
        <f t="shared" si="3"/>
        <v>Currently Unavailable</v>
      </c>
      <c r="I5394" s="1" t="str">
        <f t="shared" si="4"/>
        <v>No Badges</v>
      </c>
      <c r="J5394" s="3">
        <f t="shared" si="5"/>
        <v>0</v>
      </c>
    </row>
    <row r="5395">
      <c r="A5395" s="1" t="s">
        <v>40</v>
      </c>
      <c r="B5395" s="3" t="str">
        <f t="shared" si="1"/>
        <v>Unavailable</v>
      </c>
      <c r="C5395" s="3">
        <v>171.0</v>
      </c>
      <c r="D5395" s="3">
        <f>IFERROR(__xludf.DUMMYFUNCTION("IFERROR(
IF(REGEXMATCH(LOWER(O5395),""k""),
VALUE(REGEXEXTRACT(O5395,""[0-9]+""))*1000,
VALUE(REGEXEXTRACT(O5395,""[0-9]+""))
),
0
)"),0.0)</f>
        <v>0</v>
      </c>
      <c r="E5395" s="1" t="s">
        <v>11</v>
      </c>
      <c r="F5395" s="1" t="s">
        <v>12</v>
      </c>
      <c r="G5395" s="4" t="b">
        <f t="shared" si="2"/>
        <v>1</v>
      </c>
      <c r="H5395" s="1" t="str">
        <f t="shared" si="3"/>
        <v>Currently Unavailable</v>
      </c>
      <c r="I5395" s="1" t="str">
        <f t="shared" si="4"/>
        <v>No Badges</v>
      </c>
      <c r="J5395" s="3">
        <f t="shared" si="5"/>
        <v>0</v>
      </c>
    </row>
    <row r="5396">
      <c r="A5396" s="1" t="s">
        <v>3988</v>
      </c>
      <c r="B5396" s="3" t="str">
        <f t="shared" si="1"/>
        <v>Unavailable</v>
      </c>
      <c r="C5396" s="5">
        <v>1859.0</v>
      </c>
      <c r="D5396" s="3">
        <f>IFERROR(__xludf.DUMMYFUNCTION("IFERROR(
IF(REGEXMATCH(LOWER(O5396),""k""),
VALUE(REGEXEXTRACT(O5396,""[0-9]+""))*1000,
VALUE(REGEXEXTRACT(O5396,""[0-9]+""))
),
0
)"),0.0)</f>
        <v>0</v>
      </c>
      <c r="E5396" s="1" t="s">
        <v>11</v>
      </c>
      <c r="F5396" s="1" t="s">
        <v>20</v>
      </c>
      <c r="G5396" s="4" t="b">
        <f t="shared" si="2"/>
        <v>1</v>
      </c>
      <c r="H5396" s="1" t="str">
        <f t="shared" si="3"/>
        <v>Currently Unavailable</v>
      </c>
      <c r="I5396" s="1" t="str">
        <f t="shared" si="4"/>
        <v>No Badges</v>
      </c>
      <c r="J5396" s="3">
        <f t="shared" si="5"/>
        <v>0</v>
      </c>
    </row>
    <row r="5397">
      <c r="A5397" s="1" t="s">
        <v>3989</v>
      </c>
      <c r="B5397" s="3" t="str">
        <f t="shared" si="1"/>
        <v>Unavailable</v>
      </c>
      <c r="C5397" s="5">
        <v>10671.0</v>
      </c>
      <c r="D5397" s="3">
        <f>IFERROR(__xludf.DUMMYFUNCTION("IFERROR(
IF(REGEXMATCH(LOWER(O5397),""k""),
VALUE(REGEXEXTRACT(O5397,""[0-9]+""))*1000,
VALUE(REGEXEXTRACT(O5397,""[0-9]+""))
),
0
)"),0.0)</f>
        <v>0</v>
      </c>
      <c r="E5397" s="1" t="s">
        <v>11</v>
      </c>
      <c r="F5397" s="1" t="s">
        <v>20</v>
      </c>
      <c r="G5397" s="4" t="b">
        <f t="shared" si="2"/>
        <v>1</v>
      </c>
      <c r="H5397" s="1" t="str">
        <f t="shared" si="3"/>
        <v>Currently Unavailable</v>
      </c>
      <c r="I5397" s="1" t="str">
        <f t="shared" si="4"/>
        <v>No Badges</v>
      </c>
      <c r="J5397" s="3">
        <f t="shared" si="5"/>
        <v>0</v>
      </c>
    </row>
    <row r="5398">
      <c r="A5398" s="1" t="s">
        <v>3990</v>
      </c>
      <c r="B5398" s="3" t="str">
        <f t="shared" si="1"/>
        <v>Unavailable</v>
      </c>
      <c r="C5398" s="3">
        <v>397.0</v>
      </c>
      <c r="D5398" s="3">
        <f>IFERROR(__xludf.DUMMYFUNCTION("IFERROR(
IF(REGEXMATCH(LOWER(O5398),""k""),
VALUE(REGEXEXTRACT(O5398,""[0-9]+""))*1000,
VALUE(REGEXEXTRACT(O5398,""[0-9]+""))
),
0
)"),0.0)</f>
        <v>0</v>
      </c>
      <c r="E5398" s="1" t="s">
        <v>11</v>
      </c>
      <c r="F5398" s="1" t="s">
        <v>20</v>
      </c>
      <c r="G5398" s="4" t="b">
        <f t="shared" si="2"/>
        <v>1</v>
      </c>
      <c r="H5398" s="1" t="str">
        <f t="shared" si="3"/>
        <v>Currently Unavailable</v>
      </c>
      <c r="I5398" s="1" t="str">
        <f t="shared" si="4"/>
        <v>No Badges</v>
      </c>
      <c r="J5398" s="3">
        <f t="shared" si="5"/>
        <v>0</v>
      </c>
    </row>
    <row r="5399">
      <c r="A5399" s="1" t="s">
        <v>3991</v>
      </c>
      <c r="B5399" s="3" t="str">
        <f t="shared" si="1"/>
        <v>Unavailable</v>
      </c>
      <c r="C5399" s="5">
        <v>6204.0</v>
      </c>
      <c r="D5399" s="3">
        <f>IFERROR(__xludf.DUMMYFUNCTION("IFERROR(
IF(REGEXMATCH(LOWER(O5399),""k""),
VALUE(REGEXEXTRACT(O5399,""[0-9]+""))*1000,
VALUE(REGEXEXTRACT(O5399,""[0-9]+""))
),
0
)"),0.0)</f>
        <v>0</v>
      </c>
      <c r="E5399" s="1" t="s">
        <v>11</v>
      </c>
      <c r="F5399" s="1" t="s">
        <v>20</v>
      </c>
      <c r="G5399" s="4" t="b">
        <f t="shared" si="2"/>
        <v>1</v>
      </c>
      <c r="H5399" s="1" t="str">
        <f t="shared" si="3"/>
        <v>Currently Unavailable</v>
      </c>
      <c r="I5399" s="1" t="str">
        <f t="shared" si="4"/>
        <v>No Badges</v>
      </c>
      <c r="J5399" s="3">
        <f t="shared" si="5"/>
        <v>0</v>
      </c>
    </row>
    <row r="5400">
      <c r="A5400" s="1" t="s">
        <v>3992</v>
      </c>
      <c r="B5400" s="3" t="str">
        <f t="shared" si="1"/>
        <v>Unavailable</v>
      </c>
      <c r="C5400" s="3">
        <v>34.0</v>
      </c>
      <c r="D5400" s="3">
        <f>IFERROR(__xludf.DUMMYFUNCTION("IFERROR(
IF(REGEXMATCH(LOWER(O5400),""k""),
VALUE(REGEXEXTRACT(O5400,""[0-9]+""))*1000,
VALUE(REGEXEXTRACT(O5400,""[0-9]+""))
),
0
)"),0.0)</f>
        <v>0</v>
      </c>
      <c r="E5400" s="1" t="s">
        <v>11</v>
      </c>
      <c r="F5400" s="1" t="s">
        <v>20</v>
      </c>
      <c r="G5400" s="4" t="b">
        <f t="shared" si="2"/>
        <v>1</v>
      </c>
      <c r="H5400" s="1" t="str">
        <f t="shared" si="3"/>
        <v>Currently Unavailable</v>
      </c>
      <c r="I5400" s="1" t="str">
        <f t="shared" si="4"/>
        <v>No Badges</v>
      </c>
      <c r="J5400" s="3">
        <f t="shared" si="5"/>
        <v>0</v>
      </c>
    </row>
    <row r="5401">
      <c r="A5401" s="1" t="s">
        <v>3993</v>
      </c>
      <c r="B5401" s="3" t="str">
        <f t="shared" si="1"/>
        <v>Unavailable</v>
      </c>
      <c r="C5401" s="3">
        <v>176.0</v>
      </c>
      <c r="D5401" s="3">
        <f>IFERROR(__xludf.DUMMYFUNCTION("IFERROR(
IF(REGEXMATCH(LOWER(O5401),""k""),
VALUE(REGEXEXTRACT(O5401,""[0-9]+""))*1000,
VALUE(REGEXEXTRACT(O5401,""[0-9]+""))
),
0
)"),0.0)</f>
        <v>0</v>
      </c>
      <c r="E5401" s="1" t="s">
        <v>11</v>
      </c>
      <c r="F5401" s="1" t="s">
        <v>20</v>
      </c>
      <c r="G5401" s="4" t="b">
        <f t="shared" si="2"/>
        <v>1</v>
      </c>
      <c r="H5401" s="1" t="str">
        <f t="shared" si="3"/>
        <v>Currently Unavailable</v>
      </c>
      <c r="I5401" s="1" t="str">
        <f t="shared" si="4"/>
        <v>No Badges</v>
      </c>
      <c r="J5401" s="3">
        <f t="shared" si="5"/>
        <v>0</v>
      </c>
    </row>
    <row r="5402">
      <c r="A5402" s="1" t="s">
        <v>3994</v>
      </c>
      <c r="B5402" s="3" t="str">
        <f t="shared" si="1"/>
        <v>Unavailable</v>
      </c>
      <c r="C5402" s="3">
        <v>335.0</v>
      </c>
      <c r="D5402" s="3">
        <f>IFERROR(__xludf.DUMMYFUNCTION("IFERROR(
IF(REGEXMATCH(LOWER(O5402),""k""),
VALUE(REGEXEXTRACT(O5402,""[0-9]+""))*1000,
VALUE(REGEXEXTRACT(O5402,""[0-9]+""))
),
0
)"),0.0)</f>
        <v>0</v>
      </c>
      <c r="E5402" s="1" t="s">
        <v>11</v>
      </c>
      <c r="F5402" s="1" t="s">
        <v>20</v>
      </c>
      <c r="G5402" s="4" t="b">
        <f t="shared" si="2"/>
        <v>1</v>
      </c>
      <c r="H5402" s="1" t="str">
        <f t="shared" si="3"/>
        <v>Currently Unavailable</v>
      </c>
      <c r="I5402" s="1" t="str">
        <f t="shared" si="4"/>
        <v>No Badges</v>
      </c>
      <c r="J5402" s="3">
        <f t="shared" si="5"/>
        <v>0</v>
      </c>
    </row>
    <row r="5403">
      <c r="A5403" s="1" t="s">
        <v>3995</v>
      </c>
      <c r="B5403" s="3" t="str">
        <f t="shared" si="1"/>
        <v>Unavailable</v>
      </c>
      <c r="C5403" s="3">
        <v>67.0</v>
      </c>
      <c r="D5403" s="3">
        <f>IFERROR(__xludf.DUMMYFUNCTION("IFERROR(
IF(REGEXMATCH(LOWER(O5403),""k""),
VALUE(REGEXEXTRACT(O5403,""[0-9]+""))*1000,
VALUE(REGEXEXTRACT(O5403,""[0-9]+""))
),
0
)"),0.0)</f>
        <v>0</v>
      </c>
      <c r="E5403" s="1" t="s">
        <v>18</v>
      </c>
      <c r="F5403" s="1" t="s">
        <v>20</v>
      </c>
      <c r="G5403" s="4" t="b">
        <f t="shared" si="2"/>
        <v>1</v>
      </c>
      <c r="H5403" s="1" t="str">
        <f t="shared" si="3"/>
        <v>Currently Unavailable</v>
      </c>
      <c r="I5403" s="1" t="str">
        <f t="shared" si="4"/>
        <v>No Badges</v>
      </c>
      <c r="J5403" s="3">
        <f t="shared" si="5"/>
        <v>0</v>
      </c>
    </row>
    <row r="5404">
      <c r="A5404" s="1" t="s">
        <v>3996</v>
      </c>
      <c r="B5404" s="3" t="str">
        <f t="shared" si="1"/>
        <v>Unavailable</v>
      </c>
      <c r="C5404" s="5">
        <v>1742.0</v>
      </c>
      <c r="D5404" s="3">
        <f>IFERROR(__xludf.DUMMYFUNCTION("IFERROR(
IF(REGEXMATCH(LOWER(O5404),""k""),
VALUE(REGEXEXTRACT(O5404,""[0-9]+""))*1000,
VALUE(REGEXEXTRACT(O5404,""[0-9]+""))
),
0
)"),0.0)</f>
        <v>0</v>
      </c>
      <c r="E5404" s="1" t="s">
        <v>11</v>
      </c>
      <c r="F5404" s="1" t="s">
        <v>20</v>
      </c>
      <c r="G5404" s="4" t="b">
        <f t="shared" si="2"/>
        <v>1</v>
      </c>
      <c r="H5404" s="1" t="str">
        <f t="shared" si="3"/>
        <v>Currently Unavailable</v>
      </c>
      <c r="I5404" s="1" t="str">
        <f t="shared" si="4"/>
        <v>No Badges</v>
      </c>
      <c r="J5404" s="3">
        <f t="shared" si="5"/>
        <v>0</v>
      </c>
    </row>
    <row r="5405">
      <c r="A5405" s="1" t="s">
        <v>3997</v>
      </c>
      <c r="B5405" s="3" t="str">
        <f t="shared" si="1"/>
        <v>Unavailable</v>
      </c>
      <c r="C5405" s="5">
        <v>18041.0</v>
      </c>
      <c r="D5405" s="3">
        <f>IFERROR(__xludf.DUMMYFUNCTION("IFERROR(
IF(REGEXMATCH(LOWER(O5405),""k""),
VALUE(REGEXEXTRACT(O5405,""[0-9]+""))*1000,
VALUE(REGEXEXTRACT(O5405,""[0-9]+""))
),
0
)"),0.0)</f>
        <v>0</v>
      </c>
      <c r="E5405" s="1" t="s">
        <v>11</v>
      </c>
      <c r="F5405" s="1" t="s">
        <v>20</v>
      </c>
      <c r="G5405" s="4" t="b">
        <f t="shared" si="2"/>
        <v>1</v>
      </c>
      <c r="H5405" s="1" t="str">
        <f t="shared" si="3"/>
        <v>Currently Unavailable</v>
      </c>
      <c r="I5405" s="1" t="str">
        <f t="shared" si="4"/>
        <v>No Badges</v>
      </c>
      <c r="J5405" s="3">
        <f t="shared" si="5"/>
        <v>0</v>
      </c>
    </row>
    <row r="5406">
      <c r="A5406" s="1" t="s">
        <v>3998</v>
      </c>
      <c r="B5406" s="3" t="str">
        <f t="shared" si="1"/>
        <v>Unavailable</v>
      </c>
      <c r="C5406" s="3">
        <v>278.0</v>
      </c>
      <c r="D5406" s="3">
        <f>IFERROR(__xludf.DUMMYFUNCTION("IFERROR(
IF(REGEXMATCH(LOWER(O5406),""k""),
VALUE(REGEXEXTRACT(O5406,""[0-9]+""))*1000,
VALUE(REGEXEXTRACT(O5406,""[0-9]+""))
),
0
)"),0.0)</f>
        <v>0</v>
      </c>
      <c r="E5406" s="1" t="s">
        <v>11</v>
      </c>
      <c r="F5406" s="1" t="s">
        <v>20</v>
      </c>
      <c r="G5406" s="4" t="b">
        <f t="shared" si="2"/>
        <v>1</v>
      </c>
      <c r="H5406" s="1" t="str">
        <f t="shared" si="3"/>
        <v>Currently Unavailable</v>
      </c>
      <c r="I5406" s="1" t="str">
        <f t="shared" si="4"/>
        <v>No Badges</v>
      </c>
      <c r="J5406" s="3">
        <f t="shared" si="5"/>
        <v>0</v>
      </c>
    </row>
    <row r="5407">
      <c r="A5407" s="1" t="s">
        <v>3999</v>
      </c>
      <c r="B5407" s="3" t="str">
        <f t="shared" si="1"/>
        <v>Unavailable</v>
      </c>
      <c r="C5407" s="3">
        <v>435.0</v>
      </c>
      <c r="D5407" s="3">
        <f>IFERROR(__xludf.DUMMYFUNCTION("IFERROR(
IF(REGEXMATCH(LOWER(O5407),""k""),
VALUE(REGEXEXTRACT(O5407,""[0-9]+""))*1000,
VALUE(REGEXEXTRACT(O5407,""[0-9]+""))
),
0
)"),0.0)</f>
        <v>0</v>
      </c>
      <c r="E5407" s="1" t="s">
        <v>11</v>
      </c>
      <c r="F5407" s="1" t="s">
        <v>20</v>
      </c>
      <c r="G5407" s="4" t="b">
        <f t="shared" si="2"/>
        <v>1</v>
      </c>
      <c r="H5407" s="1" t="str">
        <f t="shared" si="3"/>
        <v>Currently Unavailable</v>
      </c>
      <c r="I5407" s="1" t="str">
        <f t="shared" si="4"/>
        <v>No Badges</v>
      </c>
      <c r="J5407" s="3">
        <f t="shared" si="5"/>
        <v>0</v>
      </c>
    </row>
    <row r="5408">
      <c r="A5408" s="1" t="s">
        <v>4000</v>
      </c>
      <c r="B5408" s="3" t="str">
        <f t="shared" si="1"/>
        <v>Unavailable</v>
      </c>
      <c r="C5408" s="3">
        <v>135.0</v>
      </c>
      <c r="D5408" s="3">
        <f>IFERROR(__xludf.DUMMYFUNCTION("IFERROR(
IF(REGEXMATCH(LOWER(O5408),""k""),
VALUE(REGEXEXTRACT(O5408,""[0-9]+""))*1000,
VALUE(REGEXEXTRACT(O5408,""[0-9]+""))
),
0
)"),0.0)</f>
        <v>0</v>
      </c>
      <c r="E5408" s="1" t="s">
        <v>11</v>
      </c>
      <c r="F5408" s="1" t="s">
        <v>20</v>
      </c>
      <c r="G5408" s="4" t="b">
        <f t="shared" si="2"/>
        <v>1</v>
      </c>
      <c r="H5408" s="1" t="str">
        <f t="shared" si="3"/>
        <v>Currently Unavailable</v>
      </c>
      <c r="I5408" s="1" t="str">
        <f t="shared" si="4"/>
        <v>No Badges</v>
      </c>
      <c r="J5408" s="3">
        <f t="shared" si="5"/>
        <v>0</v>
      </c>
    </row>
    <row r="5409">
      <c r="A5409" s="1" t="s">
        <v>4001</v>
      </c>
      <c r="B5409" s="3" t="str">
        <f t="shared" si="1"/>
        <v>Unavailable</v>
      </c>
      <c r="C5409" s="3">
        <v>404.0</v>
      </c>
      <c r="D5409" s="3">
        <f>IFERROR(__xludf.DUMMYFUNCTION("IFERROR(
IF(REGEXMATCH(LOWER(O5409),""k""),
VALUE(REGEXEXTRACT(O5409,""[0-9]+""))*1000,
VALUE(REGEXEXTRACT(O5409,""[0-9]+""))
),
0
)"),0.0)</f>
        <v>0</v>
      </c>
      <c r="E5409" s="1" t="s">
        <v>11</v>
      </c>
      <c r="F5409" s="1" t="s">
        <v>20</v>
      </c>
      <c r="G5409" s="4" t="b">
        <f t="shared" si="2"/>
        <v>1</v>
      </c>
      <c r="H5409" s="1" t="str">
        <f t="shared" si="3"/>
        <v>Currently Unavailable</v>
      </c>
      <c r="I5409" s="1" t="str">
        <f t="shared" si="4"/>
        <v>No Badges</v>
      </c>
      <c r="J5409" s="3">
        <f t="shared" si="5"/>
        <v>0</v>
      </c>
    </row>
    <row r="5410">
      <c r="A5410" s="1" t="s">
        <v>4002</v>
      </c>
      <c r="B5410" s="3" t="str">
        <f t="shared" si="1"/>
        <v>Unavailable</v>
      </c>
      <c r="C5410" s="3">
        <v>379.0</v>
      </c>
      <c r="D5410" s="3">
        <f>IFERROR(__xludf.DUMMYFUNCTION("IFERROR(
IF(REGEXMATCH(LOWER(O5410),""k""),
VALUE(REGEXEXTRACT(O5410,""[0-9]+""))*1000,
VALUE(REGEXEXTRACT(O5410,""[0-9]+""))
),
0
)"),0.0)</f>
        <v>0</v>
      </c>
      <c r="E5410" s="1" t="s">
        <v>11</v>
      </c>
      <c r="F5410" s="1" t="s">
        <v>20</v>
      </c>
      <c r="G5410" s="4" t="b">
        <f t="shared" si="2"/>
        <v>1</v>
      </c>
      <c r="H5410" s="1" t="str">
        <f t="shared" si="3"/>
        <v>Currently Unavailable</v>
      </c>
      <c r="I5410" s="1" t="str">
        <f t="shared" si="4"/>
        <v>No Badges</v>
      </c>
      <c r="J5410" s="3">
        <f t="shared" si="5"/>
        <v>0</v>
      </c>
    </row>
    <row r="5411">
      <c r="A5411" s="1" t="s">
        <v>69</v>
      </c>
      <c r="B5411" s="3" t="str">
        <f t="shared" si="1"/>
        <v>Unavailable</v>
      </c>
      <c r="C5411" s="3">
        <v>45.0</v>
      </c>
      <c r="D5411" s="3">
        <f>IFERROR(__xludf.DUMMYFUNCTION("IFERROR(
IF(REGEXMATCH(LOWER(O5411),""k""),
VALUE(REGEXEXTRACT(O5411,""[0-9]+""))*1000,
VALUE(REGEXEXTRACT(O5411,""[0-9]+""))
),
0
)"),0.0)</f>
        <v>0</v>
      </c>
      <c r="E5411" s="1" t="s">
        <v>11</v>
      </c>
      <c r="F5411" s="1" t="s">
        <v>12</v>
      </c>
      <c r="G5411" s="4" t="b">
        <f t="shared" si="2"/>
        <v>1</v>
      </c>
      <c r="H5411" s="1" t="str">
        <f t="shared" si="3"/>
        <v>Currently Unavailable</v>
      </c>
      <c r="I5411" s="1" t="str">
        <f t="shared" si="4"/>
        <v>No Badges</v>
      </c>
      <c r="J5411" s="3">
        <f t="shared" si="5"/>
        <v>0</v>
      </c>
    </row>
    <row r="5412">
      <c r="A5412" s="1" t="s">
        <v>67</v>
      </c>
      <c r="B5412" s="3" t="str">
        <f t="shared" si="1"/>
        <v>Unavailable</v>
      </c>
      <c r="C5412" s="3">
        <v>264.0</v>
      </c>
      <c r="D5412" s="3">
        <f>IFERROR(__xludf.DUMMYFUNCTION("IFERROR(
IF(REGEXMATCH(LOWER(O5412),""k""),
VALUE(REGEXEXTRACT(O5412,""[0-9]+""))*1000,
VALUE(REGEXEXTRACT(O5412,""[0-9]+""))
),
0
)"),0.0)</f>
        <v>0</v>
      </c>
      <c r="E5412" s="1" t="s">
        <v>11</v>
      </c>
      <c r="F5412" s="1" t="s">
        <v>12</v>
      </c>
      <c r="G5412" s="4" t="b">
        <f t="shared" si="2"/>
        <v>1</v>
      </c>
      <c r="H5412" s="1" t="str">
        <f t="shared" si="3"/>
        <v>Currently Unavailable</v>
      </c>
      <c r="I5412" s="1" t="str">
        <f t="shared" si="4"/>
        <v>No Badges</v>
      </c>
      <c r="J5412" s="3">
        <f t="shared" si="5"/>
        <v>0</v>
      </c>
    </row>
    <row r="5413">
      <c r="A5413" s="1" t="s">
        <v>4003</v>
      </c>
      <c r="B5413" s="3" t="str">
        <f t="shared" si="1"/>
        <v>Unavailable</v>
      </c>
      <c r="C5413" s="5">
        <v>1108.0</v>
      </c>
      <c r="D5413" s="3">
        <f>IFERROR(__xludf.DUMMYFUNCTION("IFERROR(
IF(REGEXMATCH(LOWER(O5413),""k""),
VALUE(REGEXEXTRACT(O5413,""[0-9]+""))*1000,
VALUE(REGEXEXTRACT(O5413,""[0-9]+""))
),
0
)"),0.0)</f>
        <v>0</v>
      </c>
      <c r="E5413" s="1" t="s">
        <v>11</v>
      </c>
      <c r="F5413" s="1" t="s">
        <v>20</v>
      </c>
      <c r="G5413" s="4" t="b">
        <f t="shared" si="2"/>
        <v>1</v>
      </c>
      <c r="H5413" s="1" t="str">
        <f t="shared" si="3"/>
        <v>Currently Unavailable</v>
      </c>
      <c r="I5413" s="1" t="str">
        <f t="shared" si="4"/>
        <v>No Badges</v>
      </c>
      <c r="J5413" s="3">
        <f t="shared" si="5"/>
        <v>0</v>
      </c>
    </row>
    <row r="5414">
      <c r="A5414" s="1" t="s">
        <v>4004</v>
      </c>
      <c r="B5414" s="3" t="str">
        <f t="shared" si="1"/>
        <v>Unavailable</v>
      </c>
      <c r="C5414" s="5">
        <v>3967.0</v>
      </c>
      <c r="D5414" s="3">
        <f>IFERROR(__xludf.DUMMYFUNCTION("IFERROR(
IF(REGEXMATCH(LOWER(O5414),""k""),
VALUE(REGEXEXTRACT(O5414,""[0-9]+""))*1000,
VALUE(REGEXEXTRACT(O5414,""[0-9]+""))
),
0
)"),0.0)</f>
        <v>0</v>
      </c>
      <c r="E5414" s="1" t="s">
        <v>11</v>
      </c>
      <c r="F5414" s="1" t="s">
        <v>20</v>
      </c>
      <c r="G5414" s="4" t="b">
        <f t="shared" si="2"/>
        <v>1</v>
      </c>
      <c r="H5414" s="1" t="str">
        <f t="shared" si="3"/>
        <v>Currently Unavailable</v>
      </c>
      <c r="I5414" s="1" t="str">
        <f t="shared" si="4"/>
        <v>No Badges</v>
      </c>
      <c r="J5414" s="3">
        <f t="shared" si="5"/>
        <v>0</v>
      </c>
    </row>
    <row r="5415">
      <c r="A5415" s="1" t="s">
        <v>4005</v>
      </c>
      <c r="B5415" s="3" t="str">
        <f t="shared" si="1"/>
        <v>Unavailable</v>
      </c>
      <c r="C5415" s="5">
        <v>1016.0</v>
      </c>
      <c r="D5415" s="3">
        <f>IFERROR(__xludf.DUMMYFUNCTION("IFERROR(
IF(REGEXMATCH(LOWER(O5415),""k""),
VALUE(REGEXEXTRACT(O5415,""[0-9]+""))*1000,
VALUE(REGEXEXTRACT(O5415,""[0-9]+""))
),
0
)"),0.0)</f>
        <v>0</v>
      </c>
      <c r="E5415" s="1" t="s">
        <v>11</v>
      </c>
      <c r="F5415" s="1" t="s">
        <v>20</v>
      </c>
      <c r="G5415" s="4" t="b">
        <f t="shared" si="2"/>
        <v>1</v>
      </c>
      <c r="H5415" s="1" t="str">
        <f t="shared" si="3"/>
        <v>Currently Unavailable</v>
      </c>
      <c r="I5415" s="1" t="str">
        <f t="shared" si="4"/>
        <v>No Badges</v>
      </c>
      <c r="J5415" s="3">
        <f t="shared" si="5"/>
        <v>0</v>
      </c>
    </row>
    <row r="5416">
      <c r="A5416" s="1" t="s">
        <v>4006</v>
      </c>
      <c r="B5416" s="3" t="str">
        <f t="shared" si="1"/>
        <v>Unavailable</v>
      </c>
      <c r="C5416" s="5">
        <v>6038.0</v>
      </c>
      <c r="D5416" s="3">
        <f>IFERROR(__xludf.DUMMYFUNCTION("IFERROR(
IF(REGEXMATCH(LOWER(O5416),""k""),
VALUE(REGEXEXTRACT(O5416,""[0-9]+""))*1000,
VALUE(REGEXEXTRACT(O5416,""[0-9]+""))
),
0
)"),0.0)</f>
        <v>0</v>
      </c>
      <c r="E5416" s="1" t="s">
        <v>11</v>
      </c>
      <c r="F5416" s="1" t="s">
        <v>20</v>
      </c>
      <c r="G5416" s="4" t="b">
        <f t="shared" si="2"/>
        <v>1</v>
      </c>
      <c r="H5416" s="1" t="str">
        <f t="shared" si="3"/>
        <v>Currently Unavailable</v>
      </c>
      <c r="I5416" s="1" t="str">
        <f t="shared" si="4"/>
        <v>No Badges</v>
      </c>
      <c r="J5416" s="3">
        <f t="shared" si="5"/>
        <v>0</v>
      </c>
    </row>
    <row r="5417">
      <c r="A5417" s="1" t="s">
        <v>4007</v>
      </c>
      <c r="B5417" s="3" t="str">
        <f t="shared" si="1"/>
        <v>Unavailable</v>
      </c>
      <c r="C5417" s="5">
        <v>28666.0</v>
      </c>
      <c r="D5417" s="3">
        <f>IFERROR(__xludf.DUMMYFUNCTION("IFERROR(
IF(REGEXMATCH(LOWER(O5417),""k""),
VALUE(REGEXEXTRACT(O5417,""[0-9]+""))*1000,
VALUE(REGEXEXTRACT(O5417,""[0-9]+""))
),
0
)"),0.0)</f>
        <v>0</v>
      </c>
      <c r="E5417" s="1" t="s">
        <v>11</v>
      </c>
      <c r="F5417" s="1" t="s">
        <v>20</v>
      </c>
      <c r="G5417" s="4" t="b">
        <f t="shared" si="2"/>
        <v>1</v>
      </c>
      <c r="H5417" s="1" t="str">
        <f t="shared" si="3"/>
        <v>Currently Unavailable</v>
      </c>
      <c r="I5417" s="1" t="str">
        <f t="shared" si="4"/>
        <v>No Badges</v>
      </c>
      <c r="J5417" s="3">
        <f t="shared" si="5"/>
        <v>0</v>
      </c>
    </row>
    <row r="5418">
      <c r="A5418" s="1" t="s">
        <v>4008</v>
      </c>
      <c r="B5418" s="3" t="str">
        <f t="shared" si="1"/>
        <v>Unavailable</v>
      </c>
      <c r="C5418" s="3">
        <v>388.0</v>
      </c>
      <c r="D5418" s="3">
        <f>IFERROR(__xludf.DUMMYFUNCTION("IFERROR(
IF(REGEXMATCH(LOWER(O5418),""k""),
VALUE(REGEXEXTRACT(O5418,""[0-9]+""))*1000,
VALUE(REGEXEXTRACT(O5418,""[0-9]+""))
),
0
)"),0.0)</f>
        <v>0</v>
      </c>
      <c r="E5418" s="1" t="s">
        <v>11</v>
      </c>
      <c r="F5418" s="1" t="s">
        <v>20</v>
      </c>
      <c r="G5418" s="4" t="b">
        <f t="shared" si="2"/>
        <v>1</v>
      </c>
      <c r="H5418" s="1" t="str">
        <f t="shared" si="3"/>
        <v>Currently Unavailable</v>
      </c>
      <c r="I5418" s="1" t="str">
        <f t="shared" si="4"/>
        <v>No Badges</v>
      </c>
      <c r="J5418" s="3">
        <f t="shared" si="5"/>
        <v>0</v>
      </c>
    </row>
    <row r="5419">
      <c r="A5419" s="1" t="s">
        <v>4009</v>
      </c>
      <c r="B5419" s="3" t="str">
        <f t="shared" si="1"/>
        <v>Unavailable</v>
      </c>
      <c r="C5419" s="5">
        <v>2994.0</v>
      </c>
      <c r="D5419" s="3">
        <f>IFERROR(__xludf.DUMMYFUNCTION("IFERROR(
IF(REGEXMATCH(LOWER(O5419),""k""),
VALUE(REGEXEXTRACT(O5419,""[0-9]+""))*1000,
VALUE(REGEXEXTRACT(O5419,""[0-9]+""))
),
0
)"),0.0)</f>
        <v>0</v>
      </c>
      <c r="E5419" s="1" t="s">
        <v>11</v>
      </c>
      <c r="F5419" s="1" t="s">
        <v>20</v>
      </c>
      <c r="G5419" s="4" t="b">
        <f t="shared" si="2"/>
        <v>1</v>
      </c>
      <c r="H5419" s="1" t="str">
        <f t="shared" si="3"/>
        <v>Currently Unavailable</v>
      </c>
      <c r="I5419" s="1" t="str">
        <f t="shared" si="4"/>
        <v>No Badges</v>
      </c>
      <c r="J5419" s="3">
        <f t="shared" si="5"/>
        <v>0</v>
      </c>
    </row>
    <row r="5420">
      <c r="A5420" s="1" t="s">
        <v>4010</v>
      </c>
      <c r="B5420" s="3" t="str">
        <f t="shared" si="1"/>
        <v>Unavailable</v>
      </c>
      <c r="C5420" s="3">
        <v>936.0</v>
      </c>
      <c r="D5420" s="3">
        <f>IFERROR(__xludf.DUMMYFUNCTION("IFERROR(
IF(REGEXMATCH(LOWER(O5420),""k""),
VALUE(REGEXEXTRACT(O5420,""[0-9]+""))*1000,
VALUE(REGEXEXTRACT(O5420,""[0-9]+""))
),
0
)"),0.0)</f>
        <v>0</v>
      </c>
      <c r="E5420" s="1" t="s">
        <v>11</v>
      </c>
      <c r="F5420" s="1" t="s">
        <v>20</v>
      </c>
      <c r="G5420" s="4" t="b">
        <f t="shared" si="2"/>
        <v>1</v>
      </c>
      <c r="H5420" s="1" t="str">
        <f t="shared" si="3"/>
        <v>Currently Unavailable</v>
      </c>
      <c r="I5420" s="1" t="str">
        <f t="shared" si="4"/>
        <v>No Badges</v>
      </c>
      <c r="J5420" s="3">
        <f t="shared" si="5"/>
        <v>0</v>
      </c>
    </row>
    <row r="5421">
      <c r="A5421" s="1" t="s">
        <v>4011</v>
      </c>
      <c r="B5421" s="3" t="str">
        <f t="shared" si="1"/>
        <v>Unavailable</v>
      </c>
      <c r="C5421" s="5">
        <v>3312.0</v>
      </c>
      <c r="D5421" s="3">
        <f>IFERROR(__xludf.DUMMYFUNCTION("IFERROR(
IF(REGEXMATCH(LOWER(O5421),""k""),
VALUE(REGEXEXTRACT(O5421,""[0-9]+""))*1000,
VALUE(REGEXEXTRACT(O5421,""[0-9]+""))
),
0
)"),0.0)</f>
        <v>0</v>
      </c>
      <c r="E5421" s="1" t="s">
        <v>11</v>
      </c>
      <c r="F5421" s="1" t="s">
        <v>20</v>
      </c>
      <c r="G5421" s="4" t="b">
        <f t="shared" si="2"/>
        <v>1</v>
      </c>
      <c r="H5421" s="1" t="str">
        <f t="shared" si="3"/>
        <v>Currently Unavailable</v>
      </c>
      <c r="I5421" s="1" t="str">
        <f t="shared" si="4"/>
        <v>No Badges</v>
      </c>
      <c r="J5421" s="3">
        <f t="shared" si="5"/>
        <v>0</v>
      </c>
    </row>
    <row r="5422">
      <c r="A5422" s="1" t="s">
        <v>4012</v>
      </c>
      <c r="B5422" s="3" t="str">
        <f t="shared" si="1"/>
        <v>Unavailable</v>
      </c>
      <c r="C5422" s="3">
        <v>10.0</v>
      </c>
      <c r="D5422" s="3">
        <f>IFERROR(__xludf.DUMMYFUNCTION("IFERROR(
IF(REGEXMATCH(LOWER(O5422),""k""),
VALUE(REGEXEXTRACT(O5422,""[0-9]+""))*1000,
VALUE(REGEXEXTRACT(O5422,""[0-9]+""))
),
0
)"),0.0)</f>
        <v>0</v>
      </c>
      <c r="E5422" s="1" t="s">
        <v>11</v>
      </c>
      <c r="F5422" s="1" t="s">
        <v>20</v>
      </c>
      <c r="G5422" s="4" t="b">
        <f t="shared" si="2"/>
        <v>1</v>
      </c>
      <c r="H5422" s="1" t="str">
        <f t="shared" si="3"/>
        <v>Currently Unavailable</v>
      </c>
      <c r="I5422" s="1" t="str">
        <f t="shared" si="4"/>
        <v>No Badges</v>
      </c>
      <c r="J5422" s="3">
        <f t="shared" si="5"/>
        <v>0</v>
      </c>
    </row>
    <row r="5423">
      <c r="A5423" s="1" t="s">
        <v>4013</v>
      </c>
      <c r="B5423" s="3" t="str">
        <f t="shared" si="1"/>
        <v>Unavailable</v>
      </c>
      <c r="C5423" s="3">
        <v>619.0</v>
      </c>
      <c r="D5423" s="3">
        <f>IFERROR(__xludf.DUMMYFUNCTION("IFERROR(
IF(REGEXMATCH(LOWER(O5423),""k""),
VALUE(REGEXEXTRACT(O5423,""[0-9]+""))*1000,
VALUE(REGEXEXTRACT(O5423,""[0-9]+""))
),
0
)"),0.0)</f>
        <v>0</v>
      </c>
      <c r="E5423" s="1" t="s">
        <v>11</v>
      </c>
      <c r="F5423" s="1" t="s">
        <v>20</v>
      </c>
      <c r="G5423" s="4" t="b">
        <f t="shared" si="2"/>
        <v>1</v>
      </c>
      <c r="H5423" s="1" t="str">
        <f t="shared" si="3"/>
        <v>Currently Unavailable</v>
      </c>
      <c r="I5423" s="1" t="str">
        <f t="shared" si="4"/>
        <v>No Badges</v>
      </c>
      <c r="J5423" s="3">
        <f t="shared" si="5"/>
        <v>0</v>
      </c>
    </row>
    <row r="5424">
      <c r="A5424" s="1" t="s">
        <v>4014</v>
      </c>
      <c r="B5424" s="3" t="str">
        <f t="shared" si="1"/>
        <v>Unavailable</v>
      </c>
      <c r="C5424" s="5">
        <v>6022.0</v>
      </c>
      <c r="D5424" s="3">
        <f>IFERROR(__xludf.DUMMYFUNCTION("IFERROR(
IF(REGEXMATCH(LOWER(O5424),""k""),
VALUE(REGEXEXTRACT(O5424,""[0-9]+""))*1000,
VALUE(REGEXEXTRACT(O5424,""[0-9]+""))
),
0
)"),0.0)</f>
        <v>0</v>
      </c>
      <c r="E5424" s="1" t="s">
        <v>11</v>
      </c>
      <c r="F5424" s="1" t="s">
        <v>20</v>
      </c>
      <c r="G5424" s="4" t="b">
        <f t="shared" si="2"/>
        <v>1</v>
      </c>
      <c r="H5424" s="1" t="str">
        <f t="shared" si="3"/>
        <v>Currently Unavailable</v>
      </c>
      <c r="I5424" s="1" t="str">
        <f t="shared" si="4"/>
        <v>No Badges</v>
      </c>
      <c r="J5424" s="3">
        <f t="shared" si="5"/>
        <v>0</v>
      </c>
    </row>
    <row r="5425">
      <c r="A5425" s="1" t="s">
        <v>4015</v>
      </c>
      <c r="B5425" s="3" t="str">
        <f t="shared" si="1"/>
        <v>Unavailable</v>
      </c>
      <c r="C5425" s="5">
        <v>1140.0</v>
      </c>
      <c r="D5425" s="3">
        <f>IFERROR(__xludf.DUMMYFUNCTION("IFERROR(
IF(REGEXMATCH(LOWER(O5425),""k""),
VALUE(REGEXEXTRACT(O5425,""[0-9]+""))*1000,
VALUE(REGEXEXTRACT(O5425,""[0-9]+""))
),
0
)"),0.0)</f>
        <v>0</v>
      </c>
      <c r="E5425" s="1" t="s">
        <v>11</v>
      </c>
      <c r="F5425" s="1" t="s">
        <v>20</v>
      </c>
      <c r="G5425" s="4" t="b">
        <f t="shared" si="2"/>
        <v>1</v>
      </c>
      <c r="H5425" s="1" t="str">
        <f t="shared" si="3"/>
        <v>Currently Unavailable</v>
      </c>
      <c r="I5425" s="1" t="str">
        <f t="shared" si="4"/>
        <v>No Badges</v>
      </c>
      <c r="J5425" s="3">
        <f t="shared" si="5"/>
        <v>0</v>
      </c>
    </row>
    <row r="5426">
      <c r="A5426" s="1" t="s">
        <v>604</v>
      </c>
      <c r="B5426" s="3" t="str">
        <f t="shared" si="1"/>
        <v>Unavailable</v>
      </c>
      <c r="C5426" s="3">
        <v>30.0</v>
      </c>
      <c r="D5426" s="3">
        <f>IFERROR(__xludf.DUMMYFUNCTION("IFERROR(
IF(REGEXMATCH(LOWER(O5426),""k""),
VALUE(REGEXEXTRACT(O5426,""[0-9]+""))*1000,
VALUE(REGEXEXTRACT(O5426,""[0-9]+""))
),
0
)"),0.0)</f>
        <v>0</v>
      </c>
      <c r="E5426" s="1" t="s">
        <v>11</v>
      </c>
      <c r="F5426" s="1" t="s">
        <v>12</v>
      </c>
      <c r="G5426" s="4" t="b">
        <f t="shared" si="2"/>
        <v>1</v>
      </c>
      <c r="H5426" s="1" t="str">
        <f t="shared" si="3"/>
        <v>Currently Unavailable</v>
      </c>
      <c r="I5426" s="1" t="str">
        <f t="shared" si="4"/>
        <v>No Badges</v>
      </c>
      <c r="J5426" s="3">
        <f t="shared" si="5"/>
        <v>0</v>
      </c>
    </row>
    <row r="5427">
      <c r="A5427" s="1" t="s">
        <v>4016</v>
      </c>
      <c r="B5427" s="3" t="str">
        <f t="shared" si="1"/>
        <v>Unavailable</v>
      </c>
      <c r="C5427" s="3">
        <v>64.0</v>
      </c>
      <c r="D5427" s="3">
        <f>IFERROR(__xludf.DUMMYFUNCTION("IFERROR(
IF(REGEXMATCH(LOWER(O5427),""k""),
VALUE(REGEXEXTRACT(O5427,""[0-9]+""))*1000,
VALUE(REGEXEXTRACT(O5427,""[0-9]+""))
),
0
)"),0.0)</f>
        <v>0</v>
      </c>
      <c r="E5427" s="1" t="s">
        <v>11</v>
      </c>
      <c r="F5427" s="1" t="s">
        <v>12</v>
      </c>
      <c r="G5427" s="4" t="b">
        <f t="shared" si="2"/>
        <v>1</v>
      </c>
      <c r="H5427" s="1" t="str">
        <f t="shared" si="3"/>
        <v>Currently Unavailable</v>
      </c>
      <c r="I5427" s="1" t="str">
        <f t="shared" si="4"/>
        <v>No Badges</v>
      </c>
      <c r="J5427" s="3">
        <f t="shared" si="5"/>
        <v>0</v>
      </c>
    </row>
    <row r="5428">
      <c r="A5428" s="1" t="s">
        <v>3764</v>
      </c>
      <c r="B5428" s="3" t="str">
        <f t="shared" si="1"/>
        <v>Unavailable</v>
      </c>
      <c r="C5428" s="3">
        <v>375.0</v>
      </c>
      <c r="D5428" s="3">
        <f>IFERROR(__xludf.DUMMYFUNCTION("IFERROR(
IF(REGEXMATCH(LOWER(O5428),""k""),
VALUE(REGEXEXTRACT(O5428,""[0-9]+""))*1000,
VALUE(REGEXEXTRACT(O5428,""[0-9]+""))
),
0
)"),0.0)</f>
        <v>0</v>
      </c>
      <c r="E5428" s="1" t="s">
        <v>11</v>
      </c>
      <c r="F5428" s="1" t="s">
        <v>12</v>
      </c>
      <c r="G5428" s="4" t="b">
        <f t="shared" si="2"/>
        <v>1</v>
      </c>
      <c r="H5428" s="1" t="str">
        <f t="shared" si="3"/>
        <v>Currently Unavailable</v>
      </c>
      <c r="I5428" s="1" t="str">
        <f t="shared" si="4"/>
        <v>No Badges</v>
      </c>
      <c r="J5428" s="3">
        <f t="shared" si="5"/>
        <v>0</v>
      </c>
    </row>
    <row r="5429">
      <c r="A5429" s="1" t="s">
        <v>4017</v>
      </c>
      <c r="B5429" s="3" t="str">
        <f t="shared" si="1"/>
        <v>Unavailable</v>
      </c>
      <c r="C5429" s="3">
        <v>254.0</v>
      </c>
      <c r="D5429" s="3">
        <f>IFERROR(__xludf.DUMMYFUNCTION("IFERROR(
IF(REGEXMATCH(LOWER(O5429),""k""),
VALUE(REGEXEXTRACT(O5429,""[0-9]+""))*1000,
VALUE(REGEXEXTRACT(O5429,""[0-9]+""))
),
0
)"),0.0)</f>
        <v>0</v>
      </c>
      <c r="E5429" s="1" t="s">
        <v>11</v>
      </c>
      <c r="F5429" s="1" t="s">
        <v>20</v>
      </c>
      <c r="G5429" s="4" t="b">
        <f t="shared" si="2"/>
        <v>1</v>
      </c>
      <c r="H5429" s="1" t="str">
        <f t="shared" si="3"/>
        <v>Currently Unavailable</v>
      </c>
      <c r="I5429" s="1" t="str">
        <f t="shared" si="4"/>
        <v>No Badges</v>
      </c>
      <c r="J5429" s="3">
        <f t="shared" si="5"/>
        <v>0</v>
      </c>
    </row>
    <row r="5430">
      <c r="A5430" s="1" t="s">
        <v>4018</v>
      </c>
      <c r="B5430" s="3" t="str">
        <f t="shared" si="1"/>
        <v>Unavailable</v>
      </c>
      <c r="C5430" s="3">
        <v>378.0</v>
      </c>
      <c r="D5430" s="3">
        <f>IFERROR(__xludf.DUMMYFUNCTION("IFERROR(
IF(REGEXMATCH(LOWER(O5430),""k""),
VALUE(REGEXEXTRACT(O5430,""[0-9]+""))*1000,
VALUE(REGEXEXTRACT(O5430,""[0-9]+""))
),
0
)"),0.0)</f>
        <v>0</v>
      </c>
      <c r="E5430" s="1" t="s">
        <v>11</v>
      </c>
      <c r="F5430" s="1" t="s">
        <v>20</v>
      </c>
      <c r="G5430" s="4" t="b">
        <f t="shared" si="2"/>
        <v>1</v>
      </c>
      <c r="H5430" s="1" t="str">
        <f t="shared" si="3"/>
        <v>Currently Unavailable</v>
      </c>
      <c r="I5430" s="1" t="str">
        <f t="shared" si="4"/>
        <v>No Badges</v>
      </c>
      <c r="J5430" s="3">
        <f t="shared" si="5"/>
        <v>0</v>
      </c>
    </row>
    <row r="5431">
      <c r="A5431" s="1" t="s">
        <v>4019</v>
      </c>
      <c r="B5431" s="3" t="str">
        <f t="shared" si="1"/>
        <v>Unavailable</v>
      </c>
      <c r="C5431" s="3">
        <v>501.0</v>
      </c>
      <c r="D5431" s="3">
        <f>IFERROR(__xludf.DUMMYFUNCTION("IFERROR(
IF(REGEXMATCH(LOWER(O5431),""k""),
VALUE(REGEXEXTRACT(O5431,""[0-9]+""))*1000,
VALUE(REGEXEXTRACT(O5431,""[0-9]+""))
),
0
)"),0.0)</f>
        <v>0</v>
      </c>
      <c r="E5431" s="1" t="s">
        <v>158</v>
      </c>
      <c r="F5431" s="1" t="s">
        <v>20</v>
      </c>
      <c r="G5431" s="4" t="b">
        <f t="shared" si="2"/>
        <v>1</v>
      </c>
      <c r="H5431" s="1" t="str">
        <f t="shared" si="3"/>
        <v>Currently Unavailable</v>
      </c>
      <c r="I5431" s="1" t="str">
        <f t="shared" si="4"/>
        <v>No Badges</v>
      </c>
      <c r="J5431" s="3">
        <f t="shared" si="5"/>
        <v>0</v>
      </c>
    </row>
    <row r="5432">
      <c r="A5432" s="1" t="s">
        <v>4020</v>
      </c>
      <c r="B5432" s="3" t="str">
        <f t="shared" si="1"/>
        <v>Unavailable</v>
      </c>
      <c r="C5432" s="3">
        <v>911.0</v>
      </c>
      <c r="D5432" s="3">
        <f>IFERROR(__xludf.DUMMYFUNCTION("IFERROR(
IF(REGEXMATCH(LOWER(O5432),""k""),
VALUE(REGEXEXTRACT(O5432,""[0-9]+""))*1000,
VALUE(REGEXEXTRACT(O5432,""[0-9]+""))
),
0
)"),0.0)</f>
        <v>0</v>
      </c>
      <c r="E5432" s="1" t="s">
        <v>11</v>
      </c>
      <c r="F5432" s="1" t="s">
        <v>20</v>
      </c>
      <c r="G5432" s="4" t="b">
        <f t="shared" si="2"/>
        <v>1</v>
      </c>
      <c r="H5432" s="1" t="str">
        <f t="shared" si="3"/>
        <v>Currently Unavailable</v>
      </c>
      <c r="I5432" s="1" t="str">
        <f t="shared" si="4"/>
        <v>No Badges</v>
      </c>
      <c r="J5432" s="3">
        <f t="shared" si="5"/>
        <v>0</v>
      </c>
    </row>
    <row r="5433">
      <c r="A5433" s="1" t="s">
        <v>4021</v>
      </c>
      <c r="B5433" s="3" t="str">
        <f t="shared" si="1"/>
        <v>Unavailable</v>
      </c>
      <c r="C5433" s="3">
        <v>353.0</v>
      </c>
      <c r="D5433" s="3">
        <f>IFERROR(__xludf.DUMMYFUNCTION("IFERROR(
IF(REGEXMATCH(LOWER(O5433),""k""),
VALUE(REGEXEXTRACT(O5433,""[0-9]+""))*1000,
VALUE(REGEXEXTRACT(O5433,""[0-9]+""))
),
0
)"),0.0)</f>
        <v>0</v>
      </c>
      <c r="E5433" s="1" t="s">
        <v>11</v>
      </c>
      <c r="F5433" s="1" t="s">
        <v>20</v>
      </c>
      <c r="G5433" s="4" t="b">
        <f t="shared" si="2"/>
        <v>1</v>
      </c>
      <c r="H5433" s="1" t="str">
        <f t="shared" si="3"/>
        <v>Currently Unavailable</v>
      </c>
      <c r="I5433" s="1" t="str">
        <f t="shared" si="4"/>
        <v>No Badges</v>
      </c>
      <c r="J5433" s="3">
        <f t="shared" si="5"/>
        <v>0</v>
      </c>
    </row>
    <row r="5434">
      <c r="A5434" s="1" t="s">
        <v>4022</v>
      </c>
      <c r="B5434" s="3" t="str">
        <f t="shared" si="1"/>
        <v>Unavailable</v>
      </c>
      <c r="C5434" s="5">
        <v>16894.0</v>
      </c>
      <c r="D5434" s="3">
        <f>IFERROR(__xludf.DUMMYFUNCTION("IFERROR(
IF(REGEXMATCH(LOWER(O5434),""k""),
VALUE(REGEXEXTRACT(O5434,""[0-9]+""))*1000,
VALUE(REGEXEXTRACT(O5434,""[0-9]+""))
),
0
)"),0.0)</f>
        <v>0</v>
      </c>
      <c r="E5434" s="1" t="s">
        <v>11</v>
      </c>
      <c r="F5434" s="1" t="s">
        <v>20</v>
      </c>
      <c r="G5434" s="4" t="b">
        <f t="shared" si="2"/>
        <v>1</v>
      </c>
      <c r="H5434" s="1" t="str">
        <f t="shared" si="3"/>
        <v>Currently Unavailable</v>
      </c>
      <c r="I5434" s="1" t="str">
        <f t="shared" si="4"/>
        <v>No Badges</v>
      </c>
      <c r="J5434" s="3">
        <f t="shared" si="5"/>
        <v>0</v>
      </c>
    </row>
    <row r="5435">
      <c r="A5435" s="1" t="s">
        <v>4023</v>
      </c>
      <c r="B5435" s="3" t="str">
        <f t="shared" si="1"/>
        <v>Unavailable</v>
      </c>
      <c r="C5435" s="3">
        <v>232.0</v>
      </c>
      <c r="D5435" s="3">
        <f>IFERROR(__xludf.DUMMYFUNCTION("IFERROR(
IF(REGEXMATCH(LOWER(O5435),""k""),
VALUE(REGEXEXTRACT(O5435,""[0-9]+""))*1000,
VALUE(REGEXEXTRACT(O5435,""[0-9]+""))
),
0
)"),0.0)</f>
        <v>0</v>
      </c>
      <c r="E5435" s="1" t="s">
        <v>11</v>
      </c>
      <c r="F5435" s="1" t="s">
        <v>20</v>
      </c>
      <c r="G5435" s="4" t="b">
        <f t="shared" si="2"/>
        <v>1</v>
      </c>
      <c r="H5435" s="1" t="str">
        <f t="shared" si="3"/>
        <v>Currently Unavailable</v>
      </c>
      <c r="I5435" s="1" t="str">
        <f t="shared" si="4"/>
        <v>No Badges</v>
      </c>
      <c r="J5435" s="3">
        <f t="shared" si="5"/>
        <v>0</v>
      </c>
    </row>
    <row r="5436">
      <c r="A5436" s="1" t="s">
        <v>4024</v>
      </c>
      <c r="B5436" s="3" t="str">
        <f t="shared" si="1"/>
        <v>Unavailable</v>
      </c>
      <c r="C5436" s="3">
        <v>420.0</v>
      </c>
      <c r="D5436" s="3">
        <f>IFERROR(__xludf.DUMMYFUNCTION("IFERROR(
IF(REGEXMATCH(LOWER(O5436),""k""),
VALUE(REGEXEXTRACT(O5436,""[0-9]+""))*1000,
VALUE(REGEXEXTRACT(O5436,""[0-9]+""))
),
0
)"),0.0)</f>
        <v>0</v>
      </c>
      <c r="E5436" s="1" t="s">
        <v>11</v>
      </c>
      <c r="F5436" s="1" t="s">
        <v>20</v>
      </c>
      <c r="G5436" s="4" t="b">
        <f t="shared" si="2"/>
        <v>1</v>
      </c>
      <c r="H5436" s="1" t="str">
        <f t="shared" si="3"/>
        <v>Currently Unavailable</v>
      </c>
      <c r="I5436" s="1" t="str">
        <f t="shared" si="4"/>
        <v>No Badges</v>
      </c>
      <c r="J5436" s="3">
        <f t="shared" si="5"/>
        <v>0</v>
      </c>
    </row>
    <row r="5437">
      <c r="A5437" s="1" t="s">
        <v>4025</v>
      </c>
      <c r="B5437" s="3" t="str">
        <f t="shared" si="1"/>
        <v>Unavailable</v>
      </c>
      <c r="C5437" s="3">
        <v>836.0</v>
      </c>
      <c r="D5437" s="3">
        <f>IFERROR(__xludf.DUMMYFUNCTION("IFERROR(
IF(REGEXMATCH(LOWER(O5437),""k""),
VALUE(REGEXEXTRACT(O5437,""[0-9]+""))*1000,
VALUE(REGEXEXTRACT(O5437,""[0-9]+""))
),
0
)"),0.0)</f>
        <v>0</v>
      </c>
      <c r="E5437" s="1" t="s">
        <v>11</v>
      </c>
      <c r="F5437" s="1" t="s">
        <v>20</v>
      </c>
      <c r="G5437" s="4" t="b">
        <f t="shared" si="2"/>
        <v>1</v>
      </c>
      <c r="H5437" s="1" t="str">
        <f t="shared" si="3"/>
        <v>Currently Unavailable</v>
      </c>
      <c r="I5437" s="1" t="str">
        <f t="shared" si="4"/>
        <v>No Badges</v>
      </c>
      <c r="J5437" s="3">
        <f t="shared" si="5"/>
        <v>0</v>
      </c>
    </row>
    <row r="5438">
      <c r="A5438" s="1" t="s">
        <v>4026</v>
      </c>
      <c r="B5438" s="3" t="str">
        <f t="shared" si="1"/>
        <v>Unavailable</v>
      </c>
      <c r="C5438" s="5">
        <v>1590.0</v>
      </c>
      <c r="D5438" s="3">
        <f>IFERROR(__xludf.DUMMYFUNCTION("IFERROR(
IF(REGEXMATCH(LOWER(O5438),""k""),
VALUE(REGEXEXTRACT(O5438,""[0-9]+""))*1000,
VALUE(REGEXEXTRACT(O5438,""[0-9]+""))
),
0
)"),0.0)</f>
        <v>0</v>
      </c>
      <c r="E5438" s="1" t="s">
        <v>11</v>
      </c>
      <c r="F5438" s="1" t="s">
        <v>20</v>
      </c>
      <c r="G5438" s="4" t="b">
        <f t="shared" si="2"/>
        <v>1</v>
      </c>
      <c r="H5438" s="1" t="str">
        <f t="shared" si="3"/>
        <v>Currently Unavailable</v>
      </c>
      <c r="I5438" s="1" t="str">
        <f t="shared" si="4"/>
        <v>No Badges</v>
      </c>
      <c r="J5438" s="3">
        <f t="shared" si="5"/>
        <v>0</v>
      </c>
    </row>
    <row r="5439">
      <c r="A5439" s="1" t="s">
        <v>4027</v>
      </c>
      <c r="B5439" s="3" t="str">
        <f t="shared" si="1"/>
        <v>Unavailable</v>
      </c>
      <c r="C5439" s="3">
        <v>777.0</v>
      </c>
      <c r="D5439" s="3">
        <f>IFERROR(__xludf.DUMMYFUNCTION("IFERROR(
IF(REGEXMATCH(LOWER(O5439),""k""),
VALUE(REGEXEXTRACT(O5439,""[0-9]+""))*1000,
VALUE(REGEXEXTRACT(O5439,""[0-9]+""))
),
0
)"),0.0)</f>
        <v>0</v>
      </c>
      <c r="E5439" s="1" t="s">
        <v>11</v>
      </c>
      <c r="F5439" s="1" t="s">
        <v>20</v>
      </c>
      <c r="G5439" s="4" t="b">
        <f t="shared" si="2"/>
        <v>1</v>
      </c>
      <c r="H5439" s="1" t="str">
        <f t="shared" si="3"/>
        <v>Currently Unavailable</v>
      </c>
      <c r="I5439" s="1" t="str">
        <f t="shared" si="4"/>
        <v>No Badges</v>
      </c>
      <c r="J5439" s="3">
        <f t="shared" si="5"/>
        <v>0</v>
      </c>
    </row>
    <row r="5440">
      <c r="A5440" s="1" t="s">
        <v>4028</v>
      </c>
      <c r="B5440" s="3" t="str">
        <f t="shared" si="1"/>
        <v>Unavailable</v>
      </c>
      <c r="C5440" s="3">
        <v>459.0</v>
      </c>
      <c r="D5440" s="3">
        <f>IFERROR(__xludf.DUMMYFUNCTION("IFERROR(
IF(REGEXMATCH(LOWER(O5440),""k""),
VALUE(REGEXEXTRACT(O5440,""[0-9]+""))*1000,
VALUE(REGEXEXTRACT(O5440,""[0-9]+""))
),
0
)"),0.0)</f>
        <v>0</v>
      </c>
      <c r="E5440" s="1" t="s">
        <v>11</v>
      </c>
      <c r="F5440" s="1" t="s">
        <v>20</v>
      </c>
      <c r="G5440" s="4" t="b">
        <f t="shared" si="2"/>
        <v>1</v>
      </c>
      <c r="H5440" s="1" t="str">
        <f t="shared" si="3"/>
        <v>Currently Unavailable</v>
      </c>
      <c r="I5440" s="1" t="str">
        <f t="shared" si="4"/>
        <v>No Badges</v>
      </c>
      <c r="J5440" s="3">
        <f t="shared" si="5"/>
        <v>0</v>
      </c>
    </row>
    <row r="5441">
      <c r="A5441" s="1" t="s">
        <v>4029</v>
      </c>
      <c r="B5441" s="3" t="str">
        <f t="shared" si="1"/>
        <v>Unavailable</v>
      </c>
      <c r="C5441" s="3">
        <v>658.0</v>
      </c>
      <c r="D5441" s="3">
        <f>IFERROR(__xludf.DUMMYFUNCTION("IFERROR(
IF(REGEXMATCH(LOWER(O5441),""k""),
VALUE(REGEXEXTRACT(O5441,""[0-9]+""))*1000,
VALUE(REGEXEXTRACT(O5441,""[0-9]+""))
),
0
)"),0.0)</f>
        <v>0</v>
      </c>
      <c r="E5441" s="1" t="s">
        <v>11</v>
      </c>
      <c r="F5441" s="1" t="s">
        <v>20</v>
      </c>
      <c r="G5441" s="4" t="b">
        <f t="shared" si="2"/>
        <v>1</v>
      </c>
      <c r="H5441" s="1" t="str">
        <f t="shared" si="3"/>
        <v>Currently Unavailable</v>
      </c>
      <c r="I5441" s="1" t="str">
        <f t="shared" si="4"/>
        <v>No Badges</v>
      </c>
      <c r="J5441" s="3">
        <f t="shared" si="5"/>
        <v>0</v>
      </c>
    </row>
    <row r="5442">
      <c r="A5442" s="1" t="s">
        <v>4030</v>
      </c>
      <c r="B5442" s="3" t="str">
        <f t="shared" si="1"/>
        <v>Unavailable</v>
      </c>
      <c r="C5442" s="5">
        <v>1156.0</v>
      </c>
      <c r="D5442" s="3">
        <f>IFERROR(__xludf.DUMMYFUNCTION("IFERROR(
IF(REGEXMATCH(LOWER(O5442),""k""),
VALUE(REGEXEXTRACT(O5442,""[0-9]+""))*1000,
VALUE(REGEXEXTRACT(O5442,""[0-9]+""))
),
0
)"),0.0)</f>
        <v>0</v>
      </c>
      <c r="E5442" s="1" t="s">
        <v>11</v>
      </c>
      <c r="F5442" s="1" t="s">
        <v>20</v>
      </c>
      <c r="G5442" s="4" t="b">
        <f t="shared" si="2"/>
        <v>1</v>
      </c>
      <c r="H5442" s="1" t="str">
        <f t="shared" si="3"/>
        <v>Currently Unavailable</v>
      </c>
      <c r="I5442" s="1" t="str">
        <f t="shared" si="4"/>
        <v>No Badges</v>
      </c>
      <c r="J5442" s="3">
        <f t="shared" si="5"/>
        <v>0</v>
      </c>
    </row>
    <row r="5443">
      <c r="A5443" s="1" t="s">
        <v>4031</v>
      </c>
      <c r="B5443" s="3" t="str">
        <f t="shared" si="1"/>
        <v>Unavailable</v>
      </c>
      <c r="C5443" s="3">
        <v>53.0</v>
      </c>
      <c r="D5443" s="3">
        <f>IFERROR(__xludf.DUMMYFUNCTION("IFERROR(
IF(REGEXMATCH(LOWER(O5443),""k""),
VALUE(REGEXEXTRACT(O5443,""[0-9]+""))*1000,
VALUE(REGEXEXTRACT(O5443,""[0-9]+""))
),
0
)"),0.0)</f>
        <v>0</v>
      </c>
      <c r="E5443" s="1" t="s">
        <v>11</v>
      </c>
      <c r="F5443" s="1" t="s">
        <v>20</v>
      </c>
      <c r="G5443" s="4" t="b">
        <f t="shared" si="2"/>
        <v>1</v>
      </c>
      <c r="H5443" s="1" t="str">
        <f t="shared" si="3"/>
        <v>Currently Unavailable</v>
      </c>
      <c r="I5443" s="1" t="str">
        <f t="shared" si="4"/>
        <v>No Badges</v>
      </c>
      <c r="J5443" s="3">
        <f t="shared" si="5"/>
        <v>0</v>
      </c>
    </row>
    <row r="5444">
      <c r="A5444" s="1" t="s">
        <v>4032</v>
      </c>
      <c r="B5444" s="3" t="str">
        <f t="shared" si="1"/>
        <v>Unavailable</v>
      </c>
      <c r="C5444" s="3">
        <v>348.0</v>
      </c>
      <c r="D5444" s="3">
        <f>IFERROR(__xludf.DUMMYFUNCTION("IFERROR(
IF(REGEXMATCH(LOWER(O5444),""k""),
VALUE(REGEXEXTRACT(O5444,""[0-9]+""))*1000,
VALUE(REGEXEXTRACT(O5444,""[0-9]+""))
),
0
)"),0.0)</f>
        <v>0</v>
      </c>
      <c r="E5444" s="1" t="s">
        <v>11</v>
      </c>
      <c r="F5444" s="1" t="s">
        <v>20</v>
      </c>
      <c r="G5444" s="4" t="b">
        <f t="shared" si="2"/>
        <v>1</v>
      </c>
      <c r="H5444" s="1" t="str">
        <f t="shared" si="3"/>
        <v>Currently Unavailable</v>
      </c>
      <c r="I5444" s="1" t="str">
        <f t="shared" si="4"/>
        <v>No Badges</v>
      </c>
      <c r="J5444" s="3">
        <f t="shared" si="5"/>
        <v>0</v>
      </c>
    </row>
    <row r="5445">
      <c r="A5445" s="1" t="s">
        <v>4033</v>
      </c>
      <c r="B5445" s="3" t="str">
        <f t="shared" si="1"/>
        <v>Unavailable</v>
      </c>
      <c r="C5445" s="3">
        <v>292.0</v>
      </c>
      <c r="D5445" s="3">
        <f>IFERROR(__xludf.DUMMYFUNCTION("IFERROR(
IF(REGEXMATCH(LOWER(O5445),""k""),
VALUE(REGEXEXTRACT(O5445,""[0-9]+""))*1000,
VALUE(REGEXEXTRACT(O5445,""[0-9]+""))
),
0
)"),0.0)</f>
        <v>0</v>
      </c>
      <c r="E5445" s="1" t="s">
        <v>11</v>
      </c>
      <c r="F5445" s="1" t="s">
        <v>20</v>
      </c>
      <c r="G5445" s="4" t="b">
        <f t="shared" si="2"/>
        <v>1</v>
      </c>
      <c r="H5445" s="1" t="str">
        <f t="shared" si="3"/>
        <v>Currently Unavailable</v>
      </c>
      <c r="I5445" s="1" t="str">
        <f t="shared" si="4"/>
        <v>No Badges</v>
      </c>
      <c r="J5445" s="3">
        <f t="shared" si="5"/>
        <v>0</v>
      </c>
    </row>
    <row r="5446">
      <c r="A5446" s="1" t="s">
        <v>4034</v>
      </c>
      <c r="B5446" s="3" t="str">
        <f t="shared" si="1"/>
        <v>Unavailable</v>
      </c>
      <c r="C5446" s="3">
        <v>19.0</v>
      </c>
      <c r="D5446" s="3">
        <f>IFERROR(__xludf.DUMMYFUNCTION("IFERROR(
IF(REGEXMATCH(LOWER(O5446),""k""),
VALUE(REGEXEXTRACT(O5446,""[0-9]+""))*1000,
VALUE(REGEXEXTRACT(O5446,""[0-9]+""))
),
0
)"),0.0)</f>
        <v>0</v>
      </c>
      <c r="E5446" s="1" t="s">
        <v>11</v>
      </c>
      <c r="F5446" s="1" t="s">
        <v>20</v>
      </c>
      <c r="G5446" s="4" t="b">
        <f t="shared" si="2"/>
        <v>1</v>
      </c>
      <c r="H5446" s="1" t="str">
        <f t="shared" si="3"/>
        <v>Currently Unavailable</v>
      </c>
      <c r="I5446" s="1" t="str">
        <f t="shared" si="4"/>
        <v>No Badges</v>
      </c>
      <c r="J5446" s="3">
        <f t="shared" si="5"/>
        <v>0</v>
      </c>
    </row>
    <row r="5447">
      <c r="A5447" s="1" t="s">
        <v>4035</v>
      </c>
      <c r="B5447" s="3" t="str">
        <f t="shared" si="1"/>
        <v>Unavailable</v>
      </c>
      <c r="C5447" s="3">
        <v>681.0</v>
      </c>
      <c r="D5447" s="3">
        <f>IFERROR(__xludf.DUMMYFUNCTION("IFERROR(
IF(REGEXMATCH(LOWER(O5447),""k""),
VALUE(REGEXEXTRACT(O5447,""[0-9]+""))*1000,
VALUE(REGEXEXTRACT(O5447,""[0-9]+""))
),
0
)"),0.0)</f>
        <v>0</v>
      </c>
      <c r="E5447" s="1" t="s">
        <v>11</v>
      </c>
      <c r="F5447" s="1" t="s">
        <v>20</v>
      </c>
      <c r="G5447" s="4" t="b">
        <f t="shared" si="2"/>
        <v>1</v>
      </c>
      <c r="H5447" s="1" t="str">
        <f t="shared" si="3"/>
        <v>Currently Unavailable</v>
      </c>
      <c r="I5447" s="1" t="str">
        <f t="shared" si="4"/>
        <v>No Badges</v>
      </c>
      <c r="J5447" s="3">
        <f t="shared" si="5"/>
        <v>0</v>
      </c>
    </row>
    <row r="5448">
      <c r="A5448" s="1" t="s">
        <v>3764</v>
      </c>
      <c r="B5448" s="3" t="str">
        <f t="shared" si="1"/>
        <v>Unavailable</v>
      </c>
      <c r="C5448" s="3">
        <v>375.0</v>
      </c>
      <c r="D5448" s="3">
        <f>IFERROR(__xludf.DUMMYFUNCTION("IFERROR(
IF(REGEXMATCH(LOWER(O5448),""k""),
VALUE(REGEXEXTRACT(O5448,""[0-9]+""))*1000,
VALUE(REGEXEXTRACT(O5448,""[0-9]+""))
),
0
)"),0.0)</f>
        <v>0</v>
      </c>
      <c r="E5448" s="1" t="s">
        <v>11</v>
      </c>
      <c r="F5448" s="1" t="s">
        <v>20</v>
      </c>
      <c r="G5448" s="4" t="b">
        <f t="shared" si="2"/>
        <v>1</v>
      </c>
      <c r="H5448" s="1" t="str">
        <f t="shared" si="3"/>
        <v>Currently Unavailable</v>
      </c>
      <c r="I5448" s="1" t="str">
        <f t="shared" si="4"/>
        <v>No Badges</v>
      </c>
      <c r="J5448" s="3">
        <f t="shared" si="5"/>
        <v>0</v>
      </c>
    </row>
    <row r="5449">
      <c r="A5449" s="1" t="s">
        <v>4036</v>
      </c>
      <c r="B5449" s="3" t="str">
        <f t="shared" si="1"/>
        <v>Unavailable</v>
      </c>
      <c r="C5449" s="5">
        <v>1334.0</v>
      </c>
      <c r="D5449" s="3">
        <f>IFERROR(__xludf.DUMMYFUNCTION("IFERROR(
IF(REGEXMATCH(LOWER(O5449),""k""),
VALUE(REGEXEXTRACT(O5449,""[0-9]+""))*1000,
VALUE(REGEXEXTRACT(O5449,""[0-9]+""))
),
0
)"),0.0)</f>
        <v>0</v>
      </c>
      <c r="E5449" s="1" t="s">
        <v>11</v>
      </c>
      <c r="F5449" s="1" t="s">
        <v>20</v>
      </c>
      <c r="G5449" s="4" t="b">
        <f t="shared" si="2"/>
        <v>1</v>
      </c>
      <c r="H5449" s="1" t="str">
        <f t="shared" si="3"/>
        <v>Currently Unavailable</v>
      </c>
      <c r="I5449" s="1" t="str">
        <f t="shared" si="4"/>
        <v>No Badges</v>
      </c>
      <c r="J5449" s="3">
        <f t="shared" si="5"/>
        <v>0</v>
      </c>
    </row>
    <row r="5450">
      <c r="A5450" s="1" t="s">
        <v>4037</v>
      </c>
      <c r="B5450" s="3" t="str">
        <f t="shared" si="1"/>
        <v>Unavailable</v>
      </c>
      <c r="C5450" s="5">
        <v>2146.0</v>
      </c>
      <c r="D5450" s="3">
        <f>IFERROR(__xludf.DUMMYFUNCTION("IFERROR(
IF(REGEXMATCH(LOWER(O5450),""k""),
VALUE(REGEXEXTRACT(O5450,""[0-9]+""))*1000,
VALUE(REGEXEXTRACT(O5450,""[0-9]+""))
),
0
)"),0.0)</f>
        <v>0</v>
      </c>
      <c r="E5450" s="1" t="s">
        <v>11</v>
      </c>
      <c r="F5450" s="1" t="s">
        <v>20</v>
      </c>
      <c r="G5450" s="4" t="b">
        <f t="shared" si="2"/>
        <v>1</v>
      </c>
      <c r="H5450" s="1" t="str">
        <f t="shared" si="3"/>
        <v>Currently Unavailable</v>
      </c>
      <c r="I5450" s="1" t="str">
        <f t="shared" si="4"/>
        <v>No Badges</v>
      </c>
      <c r="J5450" s="3">
        <f t="shared" si="5"/>
        <v>0</v>
      </c>
    </row>
    <row r="5451">
      <c r="A5451" s="1" t="s">
        <v>4038</v>
      </c>
      <c r="B5451" s="3" t="str">
        <f t="shared" si="1"/>
        <v>Unavailable</v>
      </c>
      <c r="C5451" s="3">
        <v>146.0</v>
      </c>
      <c r="D5451" s="3">
        <f>IFERROR(__xludf.DUMMYFUNCTION("IFERROR(
IF(REGEXMATCH(LOWER(O5451),""k""),
VALUE(REGEXEXTRACT(O5451,""[0-9]+""))*1000,
VALUE(REGEXEXTRACT(O5451,""[0-9]+""))
),
0
)"),0.0)</f>
        <v>0</v>
      </c>
      <c r="E5451" s="1" t="s">
        <v>11</v>
      </c>
      <c r="F5451" s="1" t="s">
        <v>20</v>
      </c>
      <c r="G5451" s="4" t="b">
        <f t="shared" si="2"/>
        <v>1</v>
      </c>
      <c r="H5451" s="1" t="str">
        <f t="shared" si="3"/>
        <v>Currently Unavailable</v>
      </c>
      <c r="I5451" s="1" t="str">
        <f t="shared" si="4"/>
        <v>No Badges</v>
      </c>
      <c r="J5451" s="3">
        <f t="shared" si="5"/>
        <v>0</v>
      </c>
    </row>
    <row r="5452">
      <c r="A5452" s="1" t="s">
        <v>4039</v>
      </c>
      <c r="B5452" s="3" t="str">
        <f t="shared" si="1"/>
        <v>Unavailable</v>
      </c>
      <c r="C5452" s="3">
        <v>818.0</v>
      </c>
      <c r="D5452" s="3">
        <f>IFERROR(__xludf.DUMMYFUNCTION("IFERROR(
IF(REGEXMATCH(LOWER(O5452),""k""),
VALUE(REGEXEXTRACT(O5452,""[0-9]+""))*1000,
VALUE(REGEXEXTRACT(O5452,""[0-9]+""))
),
0
)"),0.0)</f>
        <v>0</v>
      </c>
      <c r="E5452" s="1" t="s">
        <v>11</v>
      </c>
      <c r="F5452" s="1" t="s">
        <v>20</v>
      </c>
      <c r="G5452" s="4" t="b">
        <f t="shared" si="2"/>
        <v>1</v>
      </c>
      <c r="H5452" s="1" t="str">
        <f t="shared" si="3"/>
        <v>Currently Unavailable</v>
      </c>
      <c r="I5452" s="1" t="str">
        <f t="shared" si="4"/>
        <v>No Badges</v>
      </c>
      <c r="J5452" s="3">
        <f t="shared" si="5"/>
        <v>0</v>
      </c>
    </row>
    <row r="5453">
      <c r="A5453" s="1" t="s">
        <v>4040</v>
      </c>
      <c r="B5453" s="3" t="str">
        <f t="shared" si="1"/>
        <v>Unavailable</v>
      </c>
      <c r="C5453" s="5">
        <v>2456.0</v>
      </c>
      <c r="D5453" s="3">
        <f>IFERROR(__xludf.DUMMYFUNCTION("IFERROR(
IF(REGEXMATCH(LOWER(O5453),""k""),
VALUE(REGEXEXTRACT(O5453,""[0-9]+""))*1000,
VALUE(REGEXEXTRACT(O5453,""[0-9]+""))
),
0
)"),0.0)</f>
        <v>0</v>
      </c>
      <c r="E5453" s="1" t="s">
        <v>11</v>
      </c>
      <c r="F5453" s="1" t="s">
        <v>20</v>
      </c>
      <c r="G5453" s="4" t="b">
        <f t="shared" si="2"/>
        <v>1</v>
      </c>
      <c r="H5453" s="1" t="str">
        <f t="shared" si="3"/>
        <v>Currently Unavailable</v>
      </c>
      <c r="I5453" s="1" t="str">
        <f t="shared" si="4"/>
        <v>No Badges</v>
      </c>
      <c r="J5453" s="3">
        <f t="shared" si="5"/>
        <v>0</v>
      </c>
    </row>
    <row r="5454">
      <c r="A5454" s="1" t="s">
        <v>4041</v>
      </c>
      <c r="B5454" s="3" t="str">
        <f t="shared" si="1"/>
        <v>Unavailable</v>
      </c>
      <c r="C5454" s="3">
        <v>95.0</v>
      </c>
      <c r="D5454" s="3">
        <f>IFERROR(__xludf.DUMMYFUNCTION("IFERROR(
IF(REGEXMATCH(LOWER(O5454),""k""),
VALUE(REGEXEXTRACT(O5454,""[0-9]+""))*1000,
VALUE(REGEXEXTRACT(O5454,""[0-9]+""))
),
0
)"),0.0)</f>
        <v>0</v>
      </c>
      <c r="E5454" s="1" t="s">
        <v>11</v>
      </c>
      <c r="F5454" s="1" t="s">
        <v>20</v>
      </c>
      <c r="G5454" s="4" t="b">
        <f t="shared" si="2"/>
        <v>1</v>
      </c>
      <c r="H5454" s="1" t="str">
        <f t="shared" si="3"/>
        <v>Currently Unavailable</v>
      </c>
      <c r="I5454" s="1" t="str">
        <f t="shared" si="4"/>
        <v>No Badges</v>
      </c>
      <c r="J5454" s="3">
        <f t="shared" si="5"/>
        <v>0</v>
      </c>
    </row>
    <row r="5455">
      <c r="A5455" s="1" t="s">
        <v>69</v>
      </c>
      <c r="B5455" s="3" t="str">
        <f t="shared" si="1"/>
        <v>Unavailable</v>
      </c>
      <c r="C5455" s="3">
        <v>45.0</v>
      </c>
      <c r="D5455" s="3">
        <f>IFERROR(__xludf.DUMMYFUNCTION("IFERROR(
IF(REGEXMATCH(LOWER(O5455),""k""),
VALUE(REGEXEXTRACT(O5455,""[0-9]+""))*1000,
VALUE(REGEXEXTRACT(O5455,""[0-9]+""))
),
0
)"),0.0)</f>
        <v>0</v>
      </c>
      <c r="E5455" s="1" t="s">
        <v>11</v>
      </c>
      <c r="F5455" s="1" t="s">
        <v>12</v>
      </c>
      <c r="G5455" s="4" t="b">
        <f t="shared" si="2"/>
        <v>1</v>
      </c>
      <c r="H5455" s="1" t="str">
        <f t="shared" si="3"/>
        <v>Currently Unavailable</v>
      </c>
      <c r="I5455" s="1" t="str">
        <f t="shared" si="4"/>
        <v>No Badges</v>
      </c>
      <c r="J5455" s="3">
        <f t="shared" si="5"/>
        <v>0</v>
      </c>
    </row>
    <row r="5456">
      <c r="A5456" s="1" t="s">
        <v>4042</v>
      </c>
      <c r="B5456" s="3" t="str">
        <f t="shared" si="1"/>
        <v>Unavailable</v>
      </c>
      <c r="C5456" s="3">
        <v>421.0</v>
      </c>
      <c r="D5456" s="3">
        <f>IFERROR(__xludf.DUMMYFUNCTION("IFERROR(
IF(REGEXMATCH(LOWER(O5456),""k""),
VALUE(REGEXEXTRACT(O5456,""[0-9]+""))*1000,
VALUE(REGEXEXTRACT(O5456,""[0-9]+""))
),
0
)"),0.0)</f>
        <v>0</v>
      </c>
      <c r="E5456" s="1" t="s">
        <v>11</v>
      </c>
      <c r="F5456" s="1" t="s">
        <v>20</v>
      </c>
      <c r="G5456" s="4" t="b">
        <f t="shared" si="2"/>
        <v>1</v>
      </c>
      <c r="H5456" s="1" t="str">
        <f t="shared" si="3"/>
        <v>Currently Unavailable</v>
      </c>
      <c r="I5456" s="1" t="str">
        <f t="shared" si="4"/>
        <v>No Badges</v>
      </c>
      <c r="J5456" s="3">
        <f t="shared" si="5"/>
        <v>0</v>
      </c>
    </row>
    <row r="5457">
      <c r="A5457" s="1" t="s">
        <v>4043</v>
      </c>
      <c r="B5457" s="3" t="str">
        <f t="shared" si="1"/>
        <v>Unavailable</v>
      </c>
      <c r="C5457" s="5">
        <v>1418.0</v>
      </c>
      <c r="D5457" s="3">
        <f>IFERROR(__xludf.DUMMYFUNCTION("IFERROR(
IF(REGEXMATCH(LOWER(O5457),""k""),
VALUE(REGEXEXTRACT(O5457,""[0-9]+""))*1000,
VALUE(REGEXEXTRACT(O5457,""[0-9]+""))
),
0
)"),0.0)</f>
        <v>0</v>
      </c>
      <c r="E5457" s="1" t="s">
        <v>11</v>
      </c>
      <c r="F5457" s="1" t="s">
        <v>20</v>
      </c>
      <c r="G5457" s="4" t="b">
        <f t="shared" si="2"/>
        <v>1</v>
      </c>
      <c r="H5457" s="1" t="str">
        <f t="shared" si="3"/>
        <v>Currently Unavailable</v>
      </c>
      <c r="I5457" s="1" t="str">
        <f t="shared" si="4"/>
        <v>No Badges</v>
      </c>
      <c r="J5457" s="3">
        <f t="shared" si="5"/>
        <v>0</v>
      </c>
    </row>
    <row r="5458">
      <c r="A5458" s="1" t="s">
        <v>4044</v>
      </c>
      <c r="B5458" s="3" t="str">
        <f t="shared" si="1"/>
        <v>Unavailable</v>
      </c>
      <c r="C5458" s="3">
        <v>10.0</v>
      </c>
      <c r="D5458" s="3">
        <f>IFERROR(__xludf.DUMMYFUNCTION("IFERROR(
IF(REGEXMATCH(LOWER(O5458),""k""),
VALUE(REGEXEXTRACT(O5458,""[0-9]+""))*1000,
VALUE(REGEXEXTRACT(O5458,""[0-9]+""))
),
0
)"),0.0)</f>
        <v>0</v>
      </c>
      <c r="E5458" s="1" t="s">
        <v>11</v>
      </c>
      <c r="F5458" s="1" t="s">
        <v>20</v>
      </c>
      <c r="G5458" s="4" t="b">
        <f t="shared" si="2"/>
        <v>1</v>
      </c>
      <c r="H5458" s="1" t="str">
        <f t="shared" si="3"/>
        <v>Currently Unavailable</v>
      </c>
      <c r="I5458" s="1" t="str">
        <f t="shared" si="4"/>
        <v>No Badges</v>
      </c>
      <c r="J5458" s="3">
        <f t="shared" si="5"/>
        <v>0</v>
      </c>
    </row>
    <row r="5459">
      <c r="A5459" s="1" t="s">
        <v>4045</v>
      </c>
      <c r="B5459" s="3" t="str">
        <f t="shared" si="1"/>
        <v>Unavailable</v>
      </c>
      <c r="C5459" s="5">
        <v>1069.0</v>
      </c>
      <c r="D5459" s="3">
        <f>IFERROR(__xludf.DUMMYFUNCTION("IFERROR(
IF(REGEXMATCH(LOWER(O5459),""k""),
VALUE(REGEXEXTRACT(O5459,""[0-9]+""))*1000,
VALUE(REGEXEXTRACT(O5459,""[0-9]+""))
),
0
)"),0.0)</f>
        <v>0</v>
      </c>
      <c r="E5459" s="1" t="s">
        <v>11</v>
      </c>
      <c r="F5459" s="1" t="s">
        <v>20</v>
      </c>
      <c r="G5459" s="4" t="b">
        <f t="shared" si="2"/>
        <v>1</v>
      </c>
      <c r="H5459" s="1" t="str">
        <f t="shared" si="3"/>
        <v>Currently Unavailable</v>
      </c>
      <c r="I5459" s="1" t="str">
        <f t="shared" si="4"/>
        <v>No Badges</v>
      </c>
      <c r="J5459" s="3">
        <f t="shared" si="5"/>
        <v>0</v>
      </c>
    </row>
    <row r="5460">
      <c r="A5460" s="1" t="s">
        <v>4046</v>
      </c>
      <c r="B5460" s="3" t="str">
        <f t="shared" si="1"/>
        <v>Unavailable</v>
      </c>
      <c r="C5460" s="3">
        <v>336.0</v>
      </c>
      <c r="D5460" s="3">
        <f>IFERROR(__xludf.DUMMYFUNCTION("IFERROR(
IF(REGEXMATCH(LOWER(O5460),""k""),
VALUE(REGEXEXTRACT(O5460,""[0-9]+""))*1000,
VALUE(REGEXEXTRACT(O5460,""[0-9]+""))
),
0
)"),0.0)</f>
        <v>0</v>
      </c>
      <c r="E5460" s="1" t="s">
        <v>11</v>
      </c>
      <c r="F5460" s="1" t="s">
        <v>20</v>
      </c>
      <c r="G5460" s="4" t="b">
        <f t="shared" si="2"/>
        <v>1</v>
      </c>
      <c r="H5460" s="1" t="str">
        <f t="shared" si="3"/>
        <v>Currently Unavailable</v>
      </c>
      <c r="I5460" s="1" t="str">
        <f t="shared" si="4"/>
        <v>No Badges</v>
      </c>
      <c r="J5460" s="3">
        <f t="shared" si="5"/>
        <v>0</v>
      </c>
    </row>
    <row r="5461">
      <c r="A5461" s="1" t="s">
        <v>4047</v>
      </c>
      <c r="B5461" s="3" t="str">
        <f t="shared" si="1"/>
        <v>Unavailable</v>
      </c>
      <c r="C5461" s="5">
        <v>3207.0</v>
      </c>
      <c r="D5461" s="3">
        <f>IFERROR(__xludf.DUMMYFUNCTION("IFERROR(
IF(REGEXMATCH(LOWER(O5461),""k""),
VALUE(REGEXEXTRACT(O5461,""[0-9]+""))*1000,
VALUE(REGEXEXTRACT(O5461,""[0-9]+""))
),
0
)"),0.0)</f>
        <v>0</v>
      </c>
      <c r="E5461" s="1" t="s">
        <v>11</v>
      </c>
      <c r="F5461" s="1" t="s">
        <v>20</v>
      </c>
      <c r="G5461" s="4" t="b">
        <f t="shared" si="2"/>
        <v>1</v>
      </c>
      <c r="H5461" s="1" t="str">
        <f t="shared" si="3"/>
        <v>Currently Unavailable</v>
      </c>
      <c r="I5461" s="1" t="str">
        <f t="shared" si="4"/>
        <v>No Badges</v>
      </c>
      <c r="J5461" s="3">
        <f t="shared" si="5"/>
        <v>0</v>
      </c>
    </row>
    <row r="5462">
      <c r="A5462" s="1" t="s">
        <v>4048</v>
      </c>
      <c r="B5462" s="3" t="str">
        <f t="shared" si="1"/>
        <v>Unavailable</v>
      </c>
      <c r="C5462" s="5">
        <v>1693.0</v>
      </c>
      <c r="D5462" s="3">
        <f>IFERROR(__xludf.DUMMYFUNCTION("IFERROR(
IF(REGEXMATCH(LOWER(O5462),""k""),
VALUE(REGEXEXTRACT(O5462,""[0-9]+""))*1000,
VALUE(REGEXEXTRACT(O5462,""[0-9]+""))
),
0
)"),0.0)</f>
        <v>0</v>
      </c>
      <c r="E5462" s="1" t="s">
        <v>11</v>
      </c>
      <c r="F5462" s="1" t="s">
        <v>20</v>
      </c>
      <c r="G5462" s="4" t="b">
        <f t="shared" si="2"/>
        <v>1</v>
      </c>
      <c r="H5462" s="1" t="str">
        <f t="shared" si="3"/>
        <v>Currently Unavailable</v>
      </c>
      <c r="I5462" s="1" t="str">
        <f t="shared" si="4"/>
        <v>No Badges</v>
      </c>
      <c r="J5462" s="3">
        <f t="shared" si="5"/>
        <v>0</v>
      </c>
    </row>
    <row r="5463">
      <c r="A5463" s="1" t="s">
        <v>4049</v>
      </c>
      <c r="B5463" s="3" t="str">
        <f t="shared" si="1"/>
        <v>Unavailable</v>
      </c>
      <c r="C5463" s="3">
        <v>269.0</v>
      </c>
      <c r="D5463" s="3">
        <f>IFERROR(__xludf.DUMMYFUNCTION("IFERROR(
IF(REGEXMATCH(LOWER(O5463),""k""),
VALUE(REGEXEXTRACT(O5463,""[0-9]+""))*1000,
VALUE(REGEXEXTRACT(O5463,""[0-9]+""))
),
0
)"),0.0)</f>
        <v>0</v>
      </c>
      <c r="E5463" s="1" t="s">
        <v>11</v>
      </c>
      <c r="F5463" s="1" t="s">
        <v>20</v>
      </c>
      <c r="G5463" s="4" t="b">
        <f t="shared" si="2"/>
        <v>1</v>
      </c>
      <c r="H5463" s="1" t="str">
        <f t="shared" si="3"/>
        <v>Currently Unavailable</v>
      </c>
      <c r="I5463" s="1" t="str">
        <f t="shared" si="4"/>
        <v>No Badges</v>
      </c>
      <c r="J5463" s="3">
        <f t="shared" si="5"/>
        <v>0</v>
      </c>
    </row>
    <row r="5464">
      <c r="A5464" s="1" t="s">
        <v>4050</v>
      </c>
      <c r="B5464" s="3" t="str">
        <f t="shared" si="1"/>
        <v>Unavailable</v>
      </c>
      <c r="C5464" s="5">
        <v>1465.0</v>
      </c>
      <c r="D5464" s="3">
        <f>IFERROR(__xludf.DUMMYFUNCTION("IFERROR(
IF(REGEXMATCH(LOWER(O5464),""k""),
VALUE(REGEXEXTRACT(O5464,""[0-9]+""))*1000,
VALUE(REGEXEXTRACT(O5464,""[0-9]+""))
),
0
)"),0.0)</f>
        <v>0</v>
      </c>
      <c r="E5464" s="1" t="s">
        <v>11</v>
      </c>
      <c r="F5464" s="1" t="s">
        <v>20</v>
      </c>
      <c r="G5464" s="4" t="b">
        <f t="shared" si="2"/>
        <v>1</v>
      </c>
      <c r="H5464" s="1" t="str">
        <f t="shared" si="3"/>
        <v>Currently Unavailable</v>
      </c>
      <c r="I5464" s="1" t="str">
        <f t="shared" si="4"/>
        <v>No Badges</v>
      </c>
      <c r="J5464" s="3">
        <f t="shared" si="5"/>
        <v>0</v>
      </c>
    </row>
    <row r="5465">
      <c r="A5465" s="1" t="s">
        <v>4051</v>
      </c>
      <c r="B5465" s="3" t="str">
        <f t="shared" si="1"/>
        <v>Unavailable</v>
      </c>
      <c r="C5465" s="5">
        <v>9970.0</v>
      </c>
      <c r="D5465" s="3">
        <f>IFERROR(__xludf.DUMMYFUNCTION("IFERROR(
IF(REGEXMATCH(LOWER(O5465),""k""),
VALUE(REGEXEXTRACT(O5465,""[0-9]+""))*1000,
VALUE(REGEXEXTRACT(O5465,""[0-9]+""))
),
0
)"),0.0)</f>
        <v>0</v>
      </c>
      <c r="E5465" s="1" t="s">
        <v>11</v>
      </c>
      <c r="F5465" s="1" t="s">
        <v>20</v>
      </c>
      <c r="G5465" s="4" t="b">
        <f t="shared" si="2"/>
        <v>1</v>
      </c>
      <c r="H5465" s="1" t="str">
        <f t="shared" si="3"/>
        <v>Currently Unavailable</v>
      </c>
      <c r="I5465" s="1" t="str">
        <f t="shared" si="4"/>
        <v>No Badges</v>
      </c>
      <c r="J5465" s="3">
        <f t="shared" si="5"/>
        <v>0</v>
      </c>
    </row>
    <row r="5466">
      <c r="A5466" s="1" t="s">
        <v>4052</v>
      </c>
      <c r="B5466" s="3" t="str">
        <f t="shared" si="1"/>
        <v>Unavailable</v>
      </c>
      <c r="C5466" s="5">
        <v>1117.0</v>
      </c>
      <c r="D5466" s="3">
        <f>IFERROR(__xludf.DUMMYFUNCTION("IFERROR(
IF(REGEXMATCH(LOWER(O5466),""k""),
VALUE(REGEXEXTRACT(O5466,""[0-9]+""))*1000,
VALUE(REGEXEXTRACT(O5466,""[0-9]+""))
),
0
)"),0.0)</f>
        <v>0</v>
      </c>
      <c r="E5466" s="1" t="s">
        <v>11</v>
      </c>
      <c r="F5466" s="1" t="s">
        <v>20</v>
      </c>
      <c r="G5466" s="4" t="b">
        <f t="shared" si="2"/>
        <v>1</v>
      </c>
      <c r="H5466" s="1" t="str">
        <f t="shared" si="3"/>
        <v>Currently Unavailable</v>
      </c>
      <c r="I5466" s="1" t="str">
        <f t="shared" si="4"/>
        <v>No Badges</v>
      </c>
      <c r="J5466" s="3">
        <f t="shared" si="5"/>
        <v>0</v>
      </c>
    </row>
    <row r="5467">
      <c r="A5467" s="1" t="s">
        <v>4053</v>
      </c>
      <c r="B5467" s="3" t="str">
        <f t="shared" si="1"/>
        <v>Unavailable</v>
      </c>
      <c r="C5467" s="3">
        <v>333.0</v>
      </c>
      <c r="D5467" s="3">
        <f>IFERROR(__xludf.DUMMYFUNCTION("IFERROR(
IF(REGEXMATCH(LOWER(O5467),""k""),
VALUE(REGEXEXTRACT(O5467,""[0-9]+""))*1000,
VALUE(REGEXEXTRACT(O5467,""[0-9]+""))
),
0
)"),0.0)</f>
        <v>0</v>
      </c>
      <c r="E5467" s="1" t="s">
        <v>11</v>
      </c>
      <c r="F5467" s="1" t="s">
        <v>20</v>
      </c>
      <c r="G5467" s="4" t="b">
        <f t="shared" si="2"/>
        <v>1</v>
      </c>
      <c r="H5467" s="1" t="str">
        <f t="shared" si="3"/>
        <v>Currently Unavailable</v>
      </c>
      <c r="I5467" s="1" t="str">
        <f t="shared" si="4"/>
        <v>No Badges</v>
      </c>
      <c r="J5467" s="3">
        <f t="shared" si="5"/>
        <v>0</v>
      </c>
    </row>
    <row r="5468">
      <c r="A5468" s="1" t="s">
        <v>67</v>
      </c>
      <c r="B5468" s="3" t="str">
        <f t="shared" si="1"/>
        <v>Unavailable</v>
      </c>
      <c r="C5468" s="3">
        <v>264.0</v>
      </c>
      <c r="D5468" s="3">
        <f>IFERROR(__xludf.DUMMYFUNCTION("IFERROR(
IF(REGEXMATCH(LOWER(O5468),""k""),
VALUE(REGEXEXTRACT(O5468,""[0-9]+""))*1000,
VALUE(REGEXEXTRACT(O5468,""[0-9]+""))
),
0
)"),0.0)</f>
        <v>0</v>
      </c>
      <c r="E5468" s="1" t="s">
        <v>11</v>
      </c>
      <c r="F5468" s="1" t="s">
        <v>12</v>
      </c>
      <c r="G5468" s="4" t="b">
        <f t="shared" si="2"/>
        <v>1</v>
      </c>
      <c r="H5468" s="1" t="str">
        <f t="shared" si="3"/>
        <v>Currently Unavailable</v>
      </c>
      <c r="I5468" s="1" t="str">
        <f t="shared" si="4"/>
        <v>No Badges</v>
      </c>
      <c r="J5468" s="3">
        <f t="shared" si="5"/>
        <v>0</v>
      </c>
    </row>
    <row r="5469">
      <c r="A5469" s="1" t="s">
        <v>4054</v>
      </c>
      <c r="B5469" s="3" t="str">
        <f t="shared" si="1"/>
        <v>Unavailable</v>
      </c>
      <c r="C5469" s="5">
        <v>1335.0</v>
      </c>
      <c r="D5469" s="3">
        <f>IFERROR(__xludf.DUMMYFUNCTION("IFERROR(
IF(REGEXMATCH(LOWER(O5469),""k""),
VALUE(REGEXEXTRACT(O5469,""[0-9]+""))*1000,
VALUE(REGEXEXTRACT(O5469,""[0-9]+""))
),
0
)"),0.0)</f>
        <v>0</v>
      </c>
      <c r="E5469" s="1" t="s">
        <v>11</v>
      </c>
      <c r="F5469" s="1" t="s">
        <v>20</v>
      </c>
      <c r="G5469" s="4" t="b">
        <f t="shared" si="2"/>
        <v>1</v>
      </c>
      <c r="H5469" s="1" t="str">
        <f t="shared" si="3"/>
        <v>Currently Unavailable</v>
      </c>
      <c r="I5469" s="1" t="str">
        <f t="shared" si="4"/>
        <v>No Badges</v>
      </c>
      <c r="J5469" s="3">
        <f t="shared" si="5"/>
        <v>0</v>
      </c>
    </row>
    <row r="5470">
      <c r="A5470" s="1" t="s">
        <v>4055</v>
      </c>
      <c r="B5470" s="3" t="str">
        <f t="shared" si="1"/>
        <v>Unavailable</v>
      </c>
      <c r="C5470" s="3">
        <v>845.0</v>
      </c>
      <c r="D5470" s="3">
        <f>IFERROR(__xludf.DUMMYFUNCTION("IFERROR(
IF(REGEXMATCH(LOWER(O5470),""k""),
VALUE(REGEXEXTRACT(O5470,""[0-9]+""))*1000,
VALUE(REGEXEXTRACT(O5470,""[0-9]+""))
),
0
)"),0.0)</f>
        <v>0</v>
      </c>
      <c r="E5470" s="1" t="s">
        <v>11</v>
      </c>
      <c r="F5470" s="1" t="s">
        <v>20</v>
      </c>
      <c r="G5470" s="4" t="b">
        <f t="shared" si="2"/>
        <v>1</v>
      </c>
      <c r="H5470" s="1" t="str">
        <f t="shared" si="3"/>
        <v>Currently Unavailable</v>
      </c>
      <c r="I5470" s="1" t="str">
        <f t="shared" si="4"/>
        <v>No Badges</v>
      </c>
      <c r="J5470" s="3">
        <f t="shared" si="5"/>
        <v>0</v>
      </c>
    </row>
    <row r="5471">
      <c r="A5471" s="1" t="s">
        <v>4056</v>
      </c>
      <c r="B5471" s="3" t="str">
        <f t="shared" si="1"/>
        <v>Unavailable</v>
      </c>
      <c r="C5471" s="3">
        <v>441.0</v>
      </c>
      <c r="D5471" s="3">
        <f>IFERROR(__xludf.DUMMYFUNCTION("IFERROR(
IF(REGEXMATCH(LOWER(O5471),""k""),
VALUE(REGEXEXTRACT(O5471,""[0-9]+""))*1000,
VALUE(REGEXEXTRACT(O5471,""[0-9]+""))
),
0
)"),0.0)</f>
        <v>0</v>
      </c>
      <c r="E5471" s="1" t="s">
        <v>11</v>
      </c>
      <c r="F5471" s="1" t="s">
        <v>20</v>
      </c>
      <c r="G5471" s="4" t="b">
        <f t="shared" si="2"/>
        <v>1</v>
      </c>
      <c r="H5471" s="1" t="str">
        <f t="shared" si="3"/>
        <v>Currently Unavailable</v>
      </c>
      <c r="I5471" s="1" t="str">
        <f t="shared" si="4"/>
        <v>No Badges</v>
      </c>
      <c r="J5471" s="3">
        <f t="shared" si="5"/>
        <v>0</v>
      </c>
    </row>
    <row r="5472">
      <c r="A5472" s="1" t="s">
        <v>4057</v>
      </c>
      <c r="B5472" s="3" t="str">
        <f t="shared" si="1"/>
        <v>Unavailable</v>
      </c>
      <c r="C5472" s="5">
        <v>2451.0</v>
      </c>
      <c r="D5472" s="3">
        <f>IFERROR(__xludf.DUMMYFUNCTION("IFERROR(
IF(REGEXMATCH(LOWER(O5472),""k""),
VALUE(REGEXEXTRACT(O5472,""[0-9]+""))*1000,
VALUE(REGEXEXTRACT(O5472,""[0-9]+""))
),
0
)"),0.0)</f>
        <v>0</v>
      </c>
      <c r="E5472" s="1" t="s">
        <v>11</v>
      </c>
      <c r="F5472" s="1" t="s">
        <v>20</v>
      </c>
      <c r="G5472" s="4" t="b">
        <f t="shared" si="2"/>
        <v>1</v>
      </c>
      <c r="H5472" s="1" t="str">
        <f t="shared" si="3"/>
        <v>Currently Unavailable</v>
      </c>
      <c r="I5472" s="1" t="str">
        <f t="shared" si="4"/>
        <v>No Badges</v>
      </c>
      <c r="J5472" s="3">
        <f t="shared" si="5"/>
        <v>0</v>
      </c>
    </row>
    <row r="5473">
      <c r="A5473" s="1" t="s">
        <v>4058</v>
      </c>
      <c r="B5473" s="3" t="str">
        <f t="shared" si="1"/>
        <v>Unavailable</v>
      </c>
      <c r="C5473" s="3">
        <v>17.0</v>
      </c>
      <c r="D5473" s="3">
        <f>IFERROR(__xludf.DUMMYFUNCTION("IFERROR(
IF(REGEXMATCH(LOWER(O5473),""k""),
VALUE(REGEXEXTRACT(O5473,""[0-9]+""))*1000,
VALUE(REGEXEXTRACT(O5473,""[0-9]+""))
),
0
)"),0.0)</f>
        <v>0</v>
      </c>
      <c r="E5473" s="1" t="s">
        <v>11</v>
      </c>
      <c r="F5473" s="1" t="s">
        <v>20</v>
      </c>
      <c r="G5473" s="4" t="b">
        <f t="shared" si="2"/>
        <v>1</v>
      </c>
      <c r="H5473" s="1" t="str">
        <f t="shared" si="3"/>
        <v>Currently Unavailable</v>
      </c>
      <c r="I5473" s="1" t="str">
        <f t="shared" si="4"/>
        <v>No Badges</v>
      </c>
      <c r="J5473" s="3">
        <f t="shared" si="5"/>
        <v>0</v>
      </c>
    </row>
    <row r="5474">
      <c r="A5474" s="1" t="s">
        <v>4059</v>
      </c>
      <c r="B5474" s="3" t="str">
        <f t="shared" si="1"/>
        <v>Unavailable</v>
      </c>
      <c r="C5474" s="5">
        <v>6082.0</v>
      </c>
      <c r="D5474" s="3">
        <f>IFERROR(__xludf.DUMMYFUNCTION("IFERROR(
IF(REGEXMATCH(LOWER(O5474),""k""),
VALUE(REGEXEXTRACT(O5474,""[0-9]+""))*1000,
VALUE(REGEXEXTRACT(O5474,""[0-9]+""))
),
0
)"),0.0)</f>
        <v>0</v>
      </c>
      <c r="E5474" s="1" t="s">
        <v>11</v>
      </c>
      <c r="F5474" s="1" t="s">
        <v>20</v>
      </c>
      <c r="G5474" s="4" t="b">
        <f t="shared" si="2"/>
        <v>1</v>
      </c>
      <c r="H5474" s="1" t="str">
        <f t="shared" si="3"/>
        <v>Currently Unavailable</v>
      </c>
      <c r="I5474" s="1" t="str">
        <f t="shared" si="4"/>
        <v>No Badges</v>
      </c>
      <c r="J5474" s="3">
        <f t="shared" si="5"/>
        <v>0</v>
      </c>
    </row>
    <row r="5475">
      <c r="A5475" s="1" t="s">
        <v>4060</v>
      </c>
      <c r="B5475" s="3" t="str">
        <f t="shared" si="1"/>
        <v>Unavailable</v>
      </c>
      <c r="C5475" s="3">
        <v>729.0</v>
      </c>
      <c r="D5475" s="3">
        <f>IFERROR(__xludf.DUMMYFUNCTION("IFERROR(
IF(REGEXMATCH(LOWER(O5475),""k""),
VALUE(REGEXEXTRACT(O5475,""[0-9]+""))*1000,
VALUE(REGEXEXTRACT(O5475,""[0-9]+""))
),
0
)"),0.0)</f>
        <v>0</v>
      </c>
      <c r="E5475" s="1" t="s">
        <v>11</v>
      </c>
      <c r="F5475" s="1" t="s">
        <v>20</v>
      </c>
      <c r="G5475" s="4" t="b">
        <f t="shared" si="2"/>
        <v>1</v>
      </c>
      <c r="H5475" s="1" t="str">
        <f t="shared" si="3"/>
        <v>Currently Unavailable</v>
      </c>
      <c r="I5475" s="1" t="str">
        <f t="shared" si="4"/>
        <v>No Badges</v>
      </c>
      <c r="J5475" s="3">
        <f t="shared" si="5"/>
        <v>0</v>
      </c>
    </row>
    <row r="5476">
      <c r="A5476" s="1" t="s">
        <v>4061</v>
      </c>
      <c r="B5476" s="1" t="str">
        <f t="shared" si="1"/>
        <v>Unavailable</v>
      </c>
      <c r="C5476" s="1"/>
      <c r="D5476" s="3">
        <f>IFERROR(__xludf.DUMMYFUNCTION("IFERROR(
IF(REGEXMATCH(LOWER(O5476),""k""),
VALUE(REGEXEXTRACT(O5476,""[0-9]+""))*1000,
VALUE(REGEXEXTRACT(O5476,""[0-9]+""))
),
0
)"),0.0)</f>
        <v>0</v>
      </c>
      <c r="E5476" s="1" t="s">
        <v>11</v>
      </c>
      <c r="F5476" s="1" t="s">
        <v>20</v>
      </c>
      <c r="G5476" s="4" t="b">
        <f t="shared" si="2"/>
        <v>1</v>
      </c>
      <c r="H5476" s="1" t="str">
        <f t="shared" si="3"/>
        <v>Currently Unavailable</v>
      </c>
      <c r="I5476" s="1" t="str">
        <f t="shared" si="4"/>
        <v>No Badges</v>
      </c>
      <c r="J5476" s="3">
        <f t="shared" si="5"/>
        <v>0</v>
      </c>
    </row>
    <row r="5477">
      <c r="A5477" s="1" t="s">
        <v>4062</v>
      </c>
      <c r="B5477" s="3" t="str">
        <f t="shared" si="1"/>
        <v>Unavailable</v>
      </c>
      <c r="C5477" s="3">
        <v>443.0</v>
      </c>
      <c r="D5477" s="3">
        <f>IFERROR(__xludf.DUMMYFUNCTION("IFERROR(
IF(REGEXMATCH(LOWER(O5477),""k""),
VALUE(REGEXEXTRACT(O5477,""[0-9]+""))*1000,
VALUE(REGEXEXTRACT(O5477,""[0-9]+""))
),
0
)"),0.0)</f>
        <v>0</v>
      </c>
      <c r="E5477" s="1" t="s">
        <v>11</v>
      </c>
      <c r="F5477" s="1" t="s">
        <v>20</v>
      </c>
      <c r="G5477" s="4" t="b">
        <f t="shared" si="2"/>
        <v>1</v>
      </c>
      <c r="H5477" s="1" t="str">
        <f t="shared" si="3"/>
        <v>Currently Unavailable</v>
      </c>
      <c r="I5477" s="1" t="str">
        <f t="shared" si="4"/>
        <v>No Badges</v>
      </c>
      <c r="J5477" s="3">
        <f t="shared" si="5"/>
        <v>0</v>
      </c>
    </row>
    <row r="5478">
      <c r="A5478" s="1" t="s">
        <v>4063</v>
      </c>
      <c r="B5478" s="3" t="str">
        <f t="shared" si="1"/>
        <v>Unavailable</v>
      </c>
      <c r="C5478" s="3">
        <v>209.0</v>
      </c>
      <c r="D5478" s="3">
        <f>IFERROR(__xludf.DUMMYFUNCTION("IFERROR(
IF(REGEXMATCH(LOWER(O5478),""k""),
VALUE(REGEXEXTRACT(O5478,""[0-9]+""))*1000,
VALUE(REGEXEXTRACT(O5478,""[0-9]+""))
),
0
)"),0.0)</f>
        <v>0</v>
      </c>
      <c r="E5478" s="1" t="s">
        <v>11</v>
      </c>
      <c r="F5478" s="1" t="s">
        <v>20</v>
      </c>
      <c r="G5478" s="4" t="b">
        <f t="shared" si="2"/>
        <v>1</v>
      </c>
      <c r="H5478" s="1" t="str">
        <f t="shared" si="3"/>
        <v>Currently Unavailable</v>
      </c>
      <c r="I5478" s="1" t="str">
        <f t="shared" si="4"/>
        <v>No Badges</v>
      </c>
      <c r="J5478" s="3">
        <f t="shared" si="5"/>
        <v>0</v>
      </c>
    </row>
    <row r="5479">
      <c r="A5479" s="1" t="s">
        <v>4064</v>
      </c>
      <c r="B5479" s="3" t="str">
        <f t="shared" si="1"/>
        <v>Unavailable</v>
      </c>
      <c r="C5479" s="3">
        <v>535.0</v>
      </c>
      <c r="D5479" s="3">
        <f>IFERROR(__xludf.DUMMYFUNCTION("IFERROR(
IF(REGEXMATCH(LOWER(O5479),""k""),
VALUE(REGEXEXTRACT(O5479,""[0-9]+""))*1000,
VALUE(REGEXEXTRACT(O5479,""[0-9]+""))
),
0
)"),0.0)</f>
        <v>0</v>
      </c>
      <c r="E5479" s="1" t="s">
        <v>11</v>
      </c>
      <c r="F5479" s="1" t="s">
        <v>20</v>
      </c>
      <c r="G5479" s="4" t="b">
        <f t="shared" si="2"/>
        <v>1</v>
      </c>
      <c r="H5479" s="1" t="str">
        <f t="shared" si="3"/>
        <v>Currently Unavailable</v>
      </c>
      <c r="I5479" s="1" t="str">
        <f t="shared" si="4"/>
        <v>No Badges</v>
      </c>
      <c r="J5479" s="3">
        <f t="shared" si="5"/>
        <v>0</v>
      </c>
    </row>
    <row r="5480">
      <c r="A5480" s="1" t="s">
        <v>4065</v>
      </c>
      <c r="B5480" s="3" t="str">
        <f t="shared" si="1"/>
        <v>Unavailable</v>
      </c>
      <c r="C5480" s="5">
        <v>1839.0</v>
      </c>
      <c r="D5480" s="3">
        <f>IFERROR(__xludf.DUMMYFUNCTION("IFERROR(
IF(REGEXMATCH(LOWER(O5480),""k""),
VALUE(REGEXEXTRACT(O5480,""[0-9]+""))*1000,
VALUE(REGEXEXTRACT(O5480,""[0-9]+""))
),
0
)"),0.0)</f>
        <v>0</v>
      </c>
      <c r="E5480" s="1" t="s">
        <v>11</v>
      </c>
      <c r="F5480" s="1" t="s">
        <v>20</v>
      </c>
      <c r="G5480" s="4" t="b">
        <f t="shared" si="2"/>
        <v>1</v>
      </c>
      <c r="H5480" s="1" t="str">
        <f t="shared" si="3"/>
        <v>Currently Unavailable</v>
      </c>
      <c r="I5480" s="1" t="str">
        <f t="shared" si="4"/>
        <v>No Badges</v>
      </c>
      <c r="J5480" s="3">
        <f t="shared" si="5"/>
        <v>0</v>
      </c>
    </row>
    <row r="5481">
      <c r="A5481" s="1" t="s">
        <v>4066</v>
      </c>
      <c r="B5481" s="3" t="str">
        <f t="shared" si="1"/>
        <v>Unavailable</v>
      </c>
      <c r="C5481" s="5">
        <v>4840.0</v>
      </c>
      <c r="D5481" s="3">
        <f>IFERROR(__xludf.DUMMYFUNCTION("IFERROR(
IF(REGEXMATCH(LOWER(O5481),""k""),
VALUE(REGEXEXTRACT(O5481,""[0-9]+""))*1000,
VALUE(REGEXEXTRACT(O5481,""[0-9]+""))
),
0
)"),0.0)</f>
        <v>0</v>
      </c>
      <c r="E5481" s="1" t="s">
        <v>11</v>
      </c>
      <c r="F5481" s="1" t="s">
        <v>20</v>
      </c>
      <c r="G5481" s="4" t="b">
        <f t="shared" si="2"/>
        <v>1</v>
      </c>
      <c r="H5481" s="1" t="str">
        <f t="shared" si="3"/>
        <v>Currently Unavailable</v>
      </c>
      <c r="I5481" s="1" t="str">
        <f t="shared" si="4"/>
        <v>No Badges</v>
      </c>
      <c r="J5481" s="3">
        <f t="shared" si="5"/>
        <v>0</v>
      </c>
    </row>
    <row r="5482">
      <c r="A5482" s="1" t="s">
        <v>4067</v>
      </c>
      <c r="B5482" s="3" t="str">
        <f t="shared" si="1"/>
        <v>Unavailable</v>
      </c>
      <c r="C5482" s="5">
        <v>8853.0</v>
      </c>
      <c r="D5482" s="3">
        <f>IFERROR(__xludf.DUMMYFUNCTION("IFERROR(
IF(REGEXMATCH(LOWER(O5482),""k""),
VALUE(REGEXEXTRACT(O5482,""[0-9]+""))*1000,
VALUE(REGEXEXTRACT(O5482,""[0-9]+""))
),
0
)"),0.0)</f>
        <v>0</v>
      </c>
      <c r="E5482" s="1" t="s">
        <v>11</v>
      </c>
      <c r="F5482" s="1" t="s">
        <v>20</v>
      </c>
      <c r="G5482" s="4" t="b">
        <f t="shared" si="2"/>
        <v>1</v>
      </c>
      <c r="H5482" s="1" t="str">
        <f t="shared" si="3"/>
        <v>Currently Unavailable</v>
      </c>
      <c r="I5482" s="1" t="str">
        <f t="shared" si="4"/>
        <v>No Badges</v>
      </c>
      <c r="J5482" s="3">
        <f t="shared" si="5"/>
        <v>0</v>
      </c>
    </row>
    <row r="5483">
      <c r="A5483" s="1" t="s">
        <v>4068</v>
      </c>
      <c r="B5483" s="3" t="str">
        <f t="shared" si="1"/>
        <v>Unavailable</v>
      </c>
      <c r="C5483" s="3">
        <v>378.0</v>
      </c>
      <c r="D5483" s="3">
        <f>IFERROR(__xludf.DUMMYFUNCTION("IFERROR(
IF(REGEXMATCH(LOWER(O5483),""k""),
VALUE(REGEXEXTRACT(O5483,""[0-9]+""))*1000,
VALUE(REGEXEXTRACT(O5483,""[0-9]+""))
),
0
)"),0.0)</f>
        <v>0</v>
      </c>
      <c r="E5483" s="1" t="s">
        <v>11</v>
      </c>
      <c r="F5483" s="1" t="s">
        <v>20</v>
      </c>
      <c r="G5483" s="4" t="b">
        <f t="shared" si="2"/>
        <v>1</v>
      </c>
      <c r="H5483" s="1" t="str">
        <f t="shared" si="3"/>
        <v>Currently Unavailable</v>
      </c>
      <c r="I5483" s="1" t="str">
        <f t="shared" si="4"/>
        <v>No Badges</v>
      </c>
      <c r="J5483" s="3">
        <f t="shared" si="5"/>
        <v>0</v>
      </c>
    </row>
    <row r="5484">
      <c r="A5484" s="1" t="s">
        <v>701</v>
      </c>
      <c r="B5484" s="3" t="str">
        <f t="shared" si="1"/>
        <v>Unavailable</v>
      </c>
      <c r="C5484" s="3">
        <v>8.0</v>
      </c>
      <c r="D5484" s="3">
        <f>IFERROR(__xludf.DUMMYFUNCTION("IFERROR(
IF(REGEXMATCH(LOWER(O5484),""k""),
VALUE(REGEXEXTRACT(O5484,""[0-9]+""))*1000,
VALUE(REGEXEXTRACT(O5484,""[0-9]+""))
),
0
)"),0.0)</f>
        <v>0</v>
      </c>
      <c r="E5484" s="1" t="s">
        <v>11</v>
      </c>
      <c r="F5484" s="1" t="s">
        <v>12</v>
      </c>
      <c r="G5484" s="4" t="b">
        <f t="shared" si="2"/>
        <v>1</v>
      </c>
      <c r="H5484" s="1" t="str">
        <f t="shared" si="3"/>
        <v>Currently Unavailable</v>
      </c>
      <c r="I5484" s="1" t="str">
        <f t="shared" si="4"/>
        <v>No Badges</v>
      </c>
      <c r="J5484" s="3">
        <f t="shared" si="5"/>
        <v>0</v>
      </c>
    </row>
    <row r="5485">
      <c r="A5485" s="1" t="s">
        <v>4069</v>
      </c>
      <c r="B5485" s="3" t="str">
        <f t="shared" si="1"/>
        <v>Unavailable</v>
      </c>
      <c r="C5485" s="3">
        <v>286.0</v>
      </c>
      <c r="D5485" s="3">
        <f>IFERROR(__xludf.DUMMYFUNCTION("IFERROR(
IF(REGEXMATCH(LOWER(O5485),""k""),
VALUE(REGEXEXTRACT(O5485,""[0-9]+""))*1000,
VALUE(REGEXEXTRACT(O5485,""[0-9]+""))
),
0
)"),0.0)</f>
        <v>0</v>
      </c>
      <c r="E5485" s="1" t="s">
        <v>11</v>
      </c>
      <c r="F5485" s="1" t="s">
        <v>20</v>
      </c>
      <c r="G5485" s="4" t="b">
        <f t="shared" si="2"/>
        <v>1</v>
      </c>
      <c r="H5485" s="1" t="str">
        <f t="shared" si="3"/>
        <v>Currently Unavailable</v>
      </c>
      <c r="I5485" s="1" t="str">
        <f t="shared" si="4"/>
        <v>No Badges</v>
      </c>
      <c r="J5485" s="3">
        <f t="shared" si="5"/>
        <v>0</v>
      </c>
    </row>
    <row r="5486">
      <c r="A5486" s="1" t="s">
        <v>4070</v>
      </c>
      <c r="B5486" s="3" t="str">
        <f t="shared" si="1"/>
        <v>Unavailable</v>
      </c>
      <c r="C5486" s="5">
        <v>1007.0</v>
      </c>
      <c r="D5486" s="3">
        <f>IFERROR(__xludf.DUMMYFUNCTION("IFERROR(
IF(REGEXMATCH(LOWER(O5486),""k""),
VALUE(REGEXEXTRACT(O5486,""[0-9]+""))*1000,
VALUE(REGEXEXTRACT(O5486,""[0-9]+""))
),
0
)"),0.0)</f>
        <v>0</v>
      </c>
      <c r="E5486" s="1" t="s">
        <v>11</v>
      </c>
      <c r="F5486" s="1" t="s">
        <v>20</v>
      </c>
      <c r="G5486" s="4" t="b">
        <f t="shared" si="2"/>
        <v>1</v>
      </c>
      <c r="H5486" s="1" t="str">
        <f t="shared" si="3"/>
        <v>Currently Unavailable</v>
      </c>
      <c r="I5486" s="1" t="str">
        <f t="shared" si="4"/>
        <v>No Badges</v>
      </c>
      <c r="J5486" s="3">
        <f t="shared" si="5"/>
        <v>0</v>
      </c>
    </row>
    <row r="5487">
      <c r="A5487" s="1" t="s">
        <v>4071</v>
      </c>
      <c r="B5487" s="3" t="str">
        <f t="shared" si="1"/>
        <v>Unavailable</v>
      </c>
      <c r="C5487" s="5">
        <v>1474.0</v>
      </c>
      <c r="D5487" s="3">
        <f>IFERROR(__xludf.DUMMYFUNCTION("IFERROR(
IF(REGEXMATCH(LOWER(O5487),""k""),
VALUE(REGEXEXTRACT(O5487,""[0-9]+""))*1000,
VALUE(REGEXEXTRACT(O5487,""[0-9]+""))
),
0
)"),0.0)</f>
        <v>0</v>
      </c>
      <c r="E5487" s="1" t="s">
        <v>11</v>
      </c>
      <c r="F5487" s="1" t="s">
        <v>20</v>
      </c>
      <c r="G5487" s="4" t="b">
        <f t="shared" si="2"/>
        <v>1</v>
      </c>
      <c r="H5487" s="1" t="str">
        <f t="shared" si="3"/>
        <v>Currently Unavailable</v>
      </c>
      <c r="I5487" s="1" t="str">
        <f t="shared" si="4"/>
        <v>No Badges</v>
      </c>
      <c r="J5487" s="3">
        <f t="shared" si="5"/>
        <v>0</v>
      </c>
    </row>
    <row r="5488">
      <c r="A5488" s="1" t="s">
        <v>4072</v>
      </c>
      <c r="B5488" s="3" t="str">
        <f t="shared" si="1"/>
        <v>Unavailable</v>
      </c>
      <c r="C5488" s="3">
        <v>437.0</v>
      </c>
      <c r="D5488" s="3">
        <f>IFERROR(__xludf.DUMMYFUNCTION("IFERROR(
IF(REGEXMATCH(LOWER(O5488),""k""),
VALUE(REGEXEXTRACT(O5488,""[0-9]+""))*1000,
VALUE(REGEXEXTRACT(O5488,""[0-9]+""))
),
0
)"),0.0)</f>
        <v>0</v>
      </c>
      <c r="E5488" s="1" t="s">
        <v>11</v>
      </c>
      <c r="F5488" s="1" t="s">
        <v>20</v>
      </c>
      <c r="G5488" s="4" t="b">
        <f t="shared" si="2"/>
        <v>1</v>
      </c>
      <c r="H5488" s="1" t="str">
        <f t="shared" si="3"/>
        <v>Currently Unavailable</v>
      </c>
      <c r="I5488" s="1" t="str">
        <f t="shared" si="4"/>
        <v>No Badges</v>
      </c>
      <c r="J5488" s="3">
        <f t="shared" si="5"/>
        <v>0</v>
      </c>
    </row>
    <row r="5489">
      <c r="A5489" s="1" t="s">
        <v>4073</v>
      </c>
      <c r="B5489" s="3" t="str">
        <f t="shared" si="1"/>
        <v>Unavailable</v>
      </c>
      <c r="C5489" s="3">
        <v>185.0</v>
      </c>
      <c r="D5489" s="3">
        <f>IFERROR(__xludf.DUMMYFUNCTION("IFERROR(
IF(REGEXMATCH(LOWER(O5489),""k""),
VALUE(REGEXEXTRACT(O5489,""[0-9]+""))*1000,
VALUE(REGEXEXTRACT(O5489,""[0-9]+""))
),
0
)"),0.0)</f>
        <v>0</v>
      </c>
      <c r="E5489" s="1" t="s">
        <v>11</v>
      </c>
      <c r="F5489" s="1" t="s">
        <v>20</v>
      </c>
      <c r="G5489" s="4" t="b">
        <f t="shared" si="2"/>
        <v>1</v>
      </c>
      <c r="H5489" s="1" t="str">
        <f t="shared" si="3"/>
        <v>Currently Unavailable</v>
      </c>
      <c r="I5489" s="1" t="str">
        <f t="shared" si="4"/>
        <v>No Badges</v>
      </c>
      <c r="J5489" s="3">
        <f t="shared" si="5"/>
        <v>0</v>
      </c>
    </row>
    <row r="5490">
      <c r="A5490" s="1" t="s">
        <v>4074</v>
      </c>
      <c r="B5490" s="3" t="str">
        <f t="shared" si="1"/>
        <v>Unavailable</v>
      </c>
      <c r="C5490" s="5">
        <v>40114.0</v>
      </c>
      <c r="D5490" s="3">
        <f>IFERROR(__xludf.DUMMYFUNCTION("IFERROR(
IF(REGEXMATCH(LOWER(O5490),""k""),
VALUE(REGEXEXTRACT(O5490,""[0-9]+""))*1000,
VALUE(REGEXEXTRACT(O5490,""[0-9]+""))
),
0
)"),0.0)</f>
        <v>0</v>
      </c>
      <c r="E5490" s="1" t="s">
        <v>11</v>
      </c>
      <c r="F5490" s="1" t="s">
        <v>20</v>
      </c>
      <c r="G5490" s="4" t="b">
        <f t="shared" si="2"/>
        <v>1</v>
      </c>
      <c r="H5490" s="1" t="str">
        <f t="shared" si="3"/>
        <v>Currently Unavailable</v>
      </c>
      <c r="I5490" s="1" t="str">
        <f t="shared" si="4"/>
        <v>No Badges</v>
      </c>
      <c r="J5490" s="3">
        <f t="shared" si="5"/>
        <v>0</v>
      </c>
    </row>
    <row r="5491">
      <c r="A5491" s="1" t="s">
        <v>4075</v>
      </c>
      <c r="B5491" s="3" t="str">
        <f t="shared" si="1"/>
        <v>Unavailable</v>
      </c>
      <c r="C5491" s="5">
        <v>1112.0</v>
      </c>
      <c r="D5491" s="3">
        <f>IFERROR(__xludf.DUMMYFUNCTION("IFERROR(
IF(REGEXMATCH(LOWER(O5491),""k""),
VALUE(REGEXEXTRACT(O5491,""[0-9]+""))*1000,
VALUE(REGEXEXTRACT(O5491,""[0-9]+""))
),
0
)"),0.0)</f>
        <v>0</v>
      </c>
      <c r="E5491" s="1" t="s">
        <v>11</v>
      </c>
      <c r="F5491" s="1" t="s">
        <v>20</v>
      </c>
      <c r="G5491" s="4" t="b">
        <f t="shared" si="2"/>
        <v>1</v>
      </c>
      <c r="H5491" s="1" t="str">
        <f t="shared" si="3"/>
        <v>Currently Unavailable</v>
      </c>
      <c r="I5491" s="1" t="str">
        <f t="shared" si="4"/>
        <v>No Badges</v>
      </c>
      <c r="J5491" s="3">
        <f t="shared" si="5"/>
        <v>0</v>
      </c>
    </row>
    <row r="5492">
      <c r="A5492" s="1" t="s">
        <v>4076</v>
      </c>
      <c r="B5492" s="3" t="str">
        <f t="shared" si="1"/>
        <v>Unavailable</v>
      </c>
      <c r="C5492" s="3">
        <v>154.0</v>
      </c>
      <c r="D5492" s="3">
        <f>IFERROR(__xludf.DUMMYFUNCTION("IFERROR(
IF(REGEXMATCH(LOWER(O5492),""k""),
VALUE(REGEXEXTRACT(O5492,""[0-9]+""))*1000,
VALUE(REGEXEXTRACT(O5492,""[0-9]+""))
),
0
)"),0.0)</f>
        <v>0</v>
      </c>
      <c r="E5492" s="1" t="s">
        <v>11</v>
      </c>
      <c r="F5492" s="1" t="s">
        <v>20</v>
      </c>
      <c r="G5492" s="4" t="b">
        <f t="shared" si="2"/>
        <v>1</v>
      </c>
      <c r="H5492" s="1" t="str">
        <f t="shared" si="3"/>
        <v>Currently Unavailable</v>
      </c>
      <c r="I5492" s="1" t="str">
        <f t="shared" si="4"/>
        <v>No Badges</v>
      </c>
      <c r="J5492" s="3">
        <f t="shared" si="5"/>
        <v>0</v>
      </c>
    </row>
    <row r="5493">
      <c r="A5493" s="1" t="s">
        <v>4077</v>
      </c>
      <c r="B5493" s="3" t="str">
        <f t="shared" si="1"/>
        <v>Unavailable</v>
      </c>
      <c r="C5493" s="5">
        <v>1357.0</v>
      </c>
      <c r="D5493" s="3">
        <f>IFERROR(__xludf.DUMMYFUNCTION("IFERROR(
IF(REGEXMATCH(LOWER(O5493),""k""),
VALUE(REGEXEXTRACT(O5493,""[0-9]+""))*1000,
VALUE(REGEXEXTRACT(O5493,""[0-9]+""))
),
0
)"),0.0)</f>
        <v>0</v>
      </c>
      <c r="E5493" s="1" t="s">
        <v>11</v>
      </c>
      <c r="F5493" s="1" t="s">
        <v>20</v>
      </c>
      <c r="G5493" s="4" t="b">
        <f t="shared" si="2"/>
        <v>1</v>
      </c>
      <c r="H5493" s="1" t="str">
        <f t="shared" si="3"/>
        <v>Currently Unavailable</v>
      </c>
      <c r="I5493" s="1" t="str">
        <f t="shared" si="4"/>
        <v>No Badges</v>
      </c>
      <c r="J5493" s="3">
        <f t="shared" si="5"/>
        <v>0</v>
      </c>
    </row>
    <row r="5494">
      <c r="A5494" s="1" t="s">
        <v>4078</v>
      </c>
      <c r="B5494" s="3" t="str">
        <f t="shared" si="1"/>
        <v>Unavailable</v>
      </c>
      <c r="C5494" s="3">
        <v>472.0</v>
      </c>
      <c r="D5494" s="3">
        <f>IFERROR(__xludf.DUMMYFUNCTION("IFERROR(
IF(REGEXMATCH(LOWER(O5494),""k""),
VALUE(REGEXEXTRACT(O5494,""[0-9]+""))*1000,
VALUE(REGEXEXTRACT(O5494,""[0-9]+""))
),
0
)"),0.0)</f>
        <v>0</v>
      </c>
      <c r="E5494" s="1" t="s">
        <v>11</v>
      </c>
      <c r="F5494" s="1" t="s">
        <v>20</v>
      </c>
      <c r="G5494" s="4" t="b">
        <f t="shared" si="2"/>
        <v>1</v>
      </c>
      <c r="H5494" s="1" t="str">
        <f t="shared" si="3"/>
        <v>Currently Unavailable</v>
      </c>
      <c r="I5494" s="1" t="str">
        <f t="shared" si="4"/>
        <v>No Badges</v>
      </c>
      <c r="J5494" s="3">
        <f t="shared" si="5"/>
        <v>0</v>
      </c>
    </row>
    <row r="5495">
      <c r="A5495" s="1" t="s">
        <v>4079</v>
      </c>
      <c r="B5495" s="3" t="str">
        <f t="shared" si="1"/>
        <v>Unavailable</v>
      </c>
      <c r="C5495" s="3">
        <v>93.0</v>
      </c>
      <c r="D5495" s="3">
        <f>IFERROR(__xludf.DUMMYFUNCTION("IFERROR(
IF(REGEXMATCH(LOWER(O5495),""k""),
VALUE(REGEXEXTRACT(O5495,""[0-9]+""))*1000,
VALUE(REGEXEXTRACT(O5495,""[0-9]+""))
),
0
)"),0.0)</f>
        <v>0</v>
      </c>
      <c r="E5495" s="1" t="s">
        <v>11</v>
      </c>
      <c r="F5495" s="1" t="s">
        <v>20</v>
      </c>
      <c r="G5495" s="4" t="b">
        <f t="shared" si="2"/>
        <v>1</v>
      </c>
      <c r="H5495" s="1" t="str">
        <f t="shared" si="3"/>
        <v>Currently Unavailable</v>
      </c>
      <c r="I5495" s="1" t="str">
        <f t="shared" si="4"/>
        <v>No Badges</v>
      </c>
      <c r="J5495" s="3">
        <f t="shared" si="5"/>
        <v>0</v>
      </c>
    </row>
    <row r="5496">
      <c r="A5496" s="1" t="s">
        <v>4080</v>
      </c>
      <c r="B5496" s="3" t="str">
        <f t="shared" si="1"/>
        <v>Unavailable</v>
      </c>
      <c r="C5496" s="3">
        <v>556.0</v>
      </c>
      <c r="D5496" s="3">
        <f>IFERROR(__xludf.DUMMYFUNCTION("IFERROR(
IF(REGEXMATCH(LOWER(O5496),""k""),
VALUE(REGEXEXTRACT(O5496,""[0-9]+""))*1000,
VALUE(REGEXEXTRACT(O5496,""[0-9]+""))
),
0
)"),0.0)</f>
        <v>0</v>
      </c>
      <c r="E5496" s="1" t="s">
        <v>11</v>
      </c>
      <c r="F5496" s="1" t="s">
        <v>20</v>
      </c>
      <c r="G5496" s="4" t="b">
        <f t="shared" si="2"/>
        <v>1</v>
      </c>
      <c r="H5496" s="1" t="str">
        <f t="shared" si="3"/>
        <v>Currently Unavailable</v>
      </c>
      <c r="I5496" s="1" t="str">
        <f t="shared" si="4"/>
        <v>No Badges</v>
      </c>
      <c r="J5496" s="3">
        <f t="shared" si="5"/>
        <v>0</v>
      </c>
    </row>
    <row r="5497">
      <c r="A5497" s="1" t="s">
        <v>4081</v>
      </c>
      <c r="B5497" s="3" t="str">
        <f t="shared" si="1"/>
        <v>Unavailable</v>
      </c>
      <c r="C5497" s="3">
        <v>200.0</v>
      </c>
      <c r="D5497" s="3">
        <f>IFERROR(__xludf.DUMMYFUNCTION("IFERROR(
IF(REGEXMATCH(LOWER(O5497),""k""),
VALUE(REGEXEXTRACT(O5497,""[0-9]+""))*1000,
VALUE(REGEXEXTRACT(O5497,""[0-9]+""))
),
0
)"),0.0)</f>
        <v>0</v>
      </c>
      <c r="E5497" s="1" t="s">
        <v>18</v>
      </c>
      <c r="F5497" s="1" t="s">
        <v>20</v>
      </c>
      <c r="G5497" s="4" t="b">
        <f t="shared" si="2"/>
        <v>1</v>
      </c>
      <c r="H5497" s="1" t="str">
        <f t="shared" si="3"/>
        <v>Currently Unavailable</v>
      </c>
      <c r="I5497" s="1" t="str">
        <f t="shared" si="4"/>
        <v>No Badges</v>
      </c>
      <c r="J5497" s="3">
        <f t="shared" si="5"/>
        <v>0</v>
      </c>
    </row>
    <row r="5498">
      <c r="A5498" s="1" t="s">
        <v>4082</v>
      </c>
      <c r="B5498" s="3" t="str">
        <f t="shared" si="1"/>
        <v>Unavailable</v>
      </c>
      <c r="C5498" s="3">
        <v>38.0</v>
      </c>
      <c r="D5498" s="3">
        <f>IFERROR(__xludf.DUMMYFUNCTION("IFERROR(
IF(REGEXMATCH(LOWER(O5498),""k""),
VALUE(REGEXEXTRACT(O5498,""[0-9]+""))*1000,
VALUE(REGEXEXTRACT(O5498,""[0-9]+""))
),
0
)"),0.0)</f>
        <v>0</v>
      </c>
      <c r="E5498" s="1" t="s">
        <v>11</v>
      </c>
      <c r="F5498" s="1" t="s">
        <v>20</v>
      </c>
      <c r="G5498" s="4" t="b">
        <f t="shared" si="2"/>
        <v>1</v>
      </c>
      <c r="H5498" s="1" t="str">
        <f t="shared" si="3"/>
        <v>Currently Unavailable</v>
      </c>
      <c r="I5498" s="1" t="str">
        <f t="shared" si="4"/>
        <v>No Badges</v>
      </c>
      <c r="J5498" s="3">
        <f t="shared" si="5"/>
        <v>0</v>
      </c>
    </row>
    <row r="5499">
      <c r="A5499" s="1" t="s">
        <v>4083</v>
      </c>
      <c r="B5499" s="3" t="str">
        <f t="shared" si="1"/>
        <v>Unavailable</v>
      </c>
      <c r="C5499" s="3">
        <v>826.0</v>
      </c>
      <c r="D5499" s="3">
        <f>IFERROR(__xludf.DUMMYFUNCTION("IFERROR(
IF(REGEXMATCH(LOWER(O5499),""k""),
VALUE(REGEXEXTRACT(O5499,""[0-9]+""))*1000,
VALUE(REGEXEXTRACT(O5499,""[0-9]+""))
),
0
)"),0.0)</f>
        <v>0</v>
      </c>
      <c r="E5499" s="1" t="s">
        <v>11</v>
      </c>
      <c r="F5499" s="1" t="s">
        <v>20</v>
      </c>
      <c r="G5499" s="4" t="b">
        <f t="shared" si="2"/>
        <v>1</v>
      </c>
      <c r="H5499" s="1" t="str">
        <f t="shared" si="3"/>
        <v>Currently Unavailable</v>
      </c>
      <c r="I5499" s="1" t="str">
        <f t="shared" si="4"/>
        <v>No Badges</v>
      </c>
      <c r="J5499" s="3">
        <f t="shared" si="5"/>
        <v>0</v>
      </c>
    </row>
    <row r="5500">
      <c r="A5500" s="1" t="s">
        <v>4084</v>
      </c>
      <c r="B5500" s="3" t="str">
        <f t="shared" si="1"/>
        <v>Unavailable</v>
      </c>
      <c r="C5500" s="3">
        <v>75.0</v>
      </c>
      <c r="D5500" s="3">
        <f>IFERROR(__xludf.DUMMYFUNCTION("IFERROR(
IF(REGEXMATCH(LOWER(O5500),""k""),
VALUE(REGEXEXTRACT(O5500,""[0-9]+""))*1000,
VALUE(REGEXEXTRACT(O5500,""[0-9]+""))
),
0
)"),0.0)</f>
        <v>0</v>
      </c>
      <c r="E5500" s="1" t="s">
        <v>11</v>
      </c>
      <c r="F5500" s="1" t="s">
        <v>20</v>
      </c>
      <c r="G5500" s="4" t="b">
        <f t="shared" si="2"/>
        <v>1</v>
      </c>
      <c r="H5500" s="1" t="str">
        <f t="shared" si="3"/>
        <v>Currently Unavailable</v>
      </c>
      <c r="I5500" s="1" t="str">
        <f t="shared" si="4"/>
        <v>No Badges</v>
      </c>
      <c r="J5500" s="3">
        <f t="shared" si="5"/>
        <v>0</v>
      </c>
    </row>
    <row r="5501">
      <c r="A5501" s="1" t="s">
        <v>4084</v>
      </c>
      <c r="B5501" s="3" t="str">
        <f t="shared" si="1"/>
        <v>Unavailable</v>
      </c>
      <c r="C5501" s="3">
        <v>75.0</v>
      </c>
      <c r="D5501" s="3">
        <f>IFERROR(__xludf.DUMMYFUNCTION("IFERROR(
IF(REGEXMATCH(LOWER(O5501),""k""),
VALUE(REGEXEXTRACT(O5501,""[0-9]+""))*1000,
VALUE(REGEXEXTRACT(O5501,""[0-9]+""))
),
0
)"),0.0)</f>
        <v>0</v>
      </c>
      <c r="E5501" s="1" t="s">
        <v>11</v>
      </c>
      <c r="F5501" s="1" t="s">
        <v>20</v>
      </c>
      <c r="G5501" s="4" t="b">
        <f t="shared" si="2"/>
        <v>1</v>
      </c>
      <c r="H5501" s="1" t="str">
        <f t="shared" si="3"/>
        <v>Currently Unavailable</v>
      </c>
      <c r="I5501" s="1" t="str">
        <f t="shared" si="4"/>
        <v>No Badges</v>
      </c>
      <c r="J5501" s="3">
        <f t="shared" si="5"/>
        <v>0</v>
      </c>
    </row>
    <row r="5502">
      <c r="A5502" s="1" t="s">
        <v>4085</v>
      </c>
      <c r="B5502" s="3" t="str">
        <f t="shared" si="1"/>
        <v>Unavailable</v>
      </c>
      <c r="C5502" s="5">
        <v>1237.0</v>
      </c>
      <c r="D5502" s="3">
        <f>IFERROR(__xludf.DUMMYFUNCTION("IFERROR(
IF(REGEXMATCH(LOWER(O5502),""k""),
VALUE(REGEXEXTRACT(O5502,""[0-9]+""))*1000,
VALUE(REGEXEXTRACT(O5502,""[0-9]+""))
),
0
)"),0.0)</f>
        <v>0</v>
      </c>
      <c r="E5502" s="1" t="s">
        <v>11</v>
      </c>
      <c r="F5502" s="1" t="s">
        <v>20</v>
      </c>
      <c r="G5502" s="4" t="b">
        <f t="shared" si="2"/>
        <v>1</v>
      </c>
      <c r="H5502" s="1" t="str">
        <f t="shared" si="3"/>
        <v>Currently Unavailable</v>
      </c>
      <c r="I5502" s="1" t="str">
        <f t="shared" si="4"/>
        <v>No Badges</v>
      </c>
      <c r="J5502" s="3">
        <f t="shared" si="5"/>
        <v>0</v>
      </c>
    </row>
    <row r="5503">
      <c r="A5503" s="1" t="s">
        <v>4086</v>
      </c>
      <c r="B5503" s="3" t="str">
        <f t="shared" si="1"/>
        <v>Unavailable</v>
      </c>
      <c r="C5503" s="5">
        <v>1533.0</v>
      </c>
      <c r="D5503" s="3">
        <f>IFERROR(__xludf.DUMMYFUNCTION("IFERROR(
IF(REGEXMATCH(LOWER(O5503),""k""),
VALUE(REGEXEXTRACT(O5503,""[0-9]+""))*1000,
VALUE(REGEXEXTRACT(O5503,""[0-9]+""))
),
0
)"),0.0)</f>
        <v>0</v>
      </c>
      <c r="E5503" s="1" t="s">
        <v>18</v>
      </c>
      <c r="F5503" s="1" t="s">
        <v>20</v>
      </c>
      <c r="G5503" s="4" t="b">
        <f t="shared" si="2"/>
        <v>1</v>
      </c>
      <c r="H5503" s="1" t="str">
        <f t="shared" si="3"/>
        <v>Currently Unavailable</v>
      </c>
      <c r="I5503" s="1" t="str">
        <f t="shared" si="4"/>
        <v>No Badges</v>
      </c>
      <c r="J5503" s="3">
        <f t="shared" si="5"/>
        <v>0</v>
      </c>
    </row>
    <row r="5504">
      <c r="A5504" s="1" t="s">
        <v>4087</v>
      </c>
      <c r="B5504" s="3" t="str">
        <f t="shared" si="1"/>
        <v>Unavailable</v>
      </c>
      <c r="C5504" s="3">
        <v>887.0</v>
      </c>
      <c r="D5504" s="3">
        <f>IFERROR(__xludf.DUMMYFUNCTION("IFERROR(
IF(REGEXMATCH(LOWER(O5504),""k""),
VALUE(REGEXEXTRACT(O5504,""[0-9]+""))*1000,
VALUE(REGEXEXTRACT(O5504,""[0-9]+""))
),
0
)"),0.0)</f>
        <v>0</v>
      </c>
      <c r="E5504" s="1" t="s">
        <v>11</v>
      </c>
      <c r="F5504" s="1" t="s">
        <v>20</v>
      </c>
      <c r="G5504" s="4" t="b">
        <f t="shared" si="2"/>
        <v>1</v>
      </c>
      <c r="H5504" s="1" t="str">
        <f t="shared" si="3"/>
        <v>Currently Unavailable</v>
      </c>
      <c r="I5504" s="1" t="str">
        <f t="shared" si="4"/>
        <v>No Badges</v>
      </c>
      <c r="J5504" s="3">
        <f t="shared" si="5"/>
        <v>0</v>
      </c>
    </row>
    <row r="5505">
      <c r="A5505" s="1" t="s">
        <v>4088</v>
      </c>
      <c r="B5505" s="3" t="str">
        <f t="shared" si="1"/>
        <v>Unavailable</v>
      </c>
      <c r="C5505" s="5">
        <v>2793.0</v>
      </c>
      <c r="D5505" s="3">
        <f>IFERROR(__xludf.DUMMYFUNCTION("IFERROR(
IF(REGEXMATCH(LOWER(O5505),""k""),
VALUE(REGEXEXTRACT(O5505,""[0-9]+""))*1000,
VALUE(REGEXEXTRACT(O5505,""[0-9]+""))
),
0
)"),0.0)</f>
        <v>0</v>
      </c>
      <c r="E5505" s="1" t="s">
        <v>11</v>
      </c>
      <c r="F5505" s="1" t="s">
        <v>20</v>
      </c>
      <c r="G5505" s="4" t="b">
        <f t="shared" si="2"/>
        <v>1</v>
      </c>
      <c r="H5505" s="1" t="str">
        <f t="shared" si="3"/>
        <v>Currently Unavailable</v>
      </c>
      <c r="I5505" s="1" t="str">
        <f t="shared" si="4"/>
        <v>No Badges</v>
      </c>
      <c r="J5505" s="3">
        <f t="shared" si="5"/>
        <v>0</v>
      </c>
    </row>
    <row r="5506">
      <c r="A5506" s="1" t="s">
        <v>4089</v>
      </c>
      <c r="B5506" s="3" t="str">
        <f t="shared" si="1"/>
        <v>Unavailable</v>
      </c>
      <c r="C5506" s="3">
        <v>7.0</v>
      </c>
      <c r="D5506" s="3">
        <f>IFERROR(__xludf.DUMMYFUNCTION("IFERROR(
IF(REGEXMATCH(LOWER(O5506),""k""),
VALUE(REGEXEXTRACT(O5506,""[0-9]+""))*1000,
VALUE(REGEXEXTRACT(O5506,""[0-9]+""))
),
0
)"),0.0)</f>
        <v>0</v>
      </c>
      <c r="E5506" s="1" t="s">
        <v>11</v>
      </c>
      <c r="F5506" s="1" t="s">
        <v>20</v>
      </c>
      <c r="G5506" s="4" t="b">
        <f t="shared" si="2"/>
        <v>1</v>
      </c>
      <c r="H5506" s="1" t="str">
        <f t="shared" si="3"/>
        <v>Currently Unavailable</v>
      </c>
      <c r="I5506" s="1" t="str">
        <f t="shared" si="4"/>
        <v>No Badges</v>
      </c>
      <c r="J5506" s="3">
        <f t="shared" si="5"/>
        <v>0</v>
      </c>
    </row>
    <row r="5507">
      <c r="A5507" s="1" t="s">
        <v>4090</v>
      </c>
      <c r="B5507" s="3" t="str">
        <f t="shared" si="1"/>
        <v>Unavailable</v>
      </c>
      <c r="C5507" s="3">
        <v>67.0</v>
      </c>
      <c r="D5507" s="3">
        <f>IFERROR(__xludf.DUMMYFUNCTION("IFERROR(
IF(REGEXMATCH(LOWER(O5507),""k""),
VALUE(REGEXEXTRACT(O5507,""[0-9]+""))*1000,
VALUE(REGEXEXTRACT(O5507,""[0-9]+""))
),
0
)"),0.0)</f>
        <v>0</v>
      </c>
      <c r="E5507" s="1" t="s">
        <v>11</v>
      </c>
      <c r="F5507" s="1" t="s">
        <v>20</v>
      </c>
      <c r="G5507" s="4" t="b">
        <f t="shared" si="2"/>
        <v>1</v>
      </c>
      <c r="H5507" s="1" t="str">
        <f t="shared" si="3"/>
        <v>Currently Unavailable</v>
      </c>
      <c r="I5507" s="1" t="str">
        <f t="shared" si="4"/>
        <v>No Badges</v>
      </c>
      <c r="J5507" s="3">
        <f t="shared" si="5"/>
        <v>0</v>
      </c>
    </row>
    <row r="5508">
      <c r="A5508" s="1" t="s">
        <v>4091</v>
      </c>
      <c r="B5508" s="3" t="str">
        <f t="shared" si="1"/>
        <v>Unavailable</v>
      </c>
      <c r="C5508" s="3">
        <v>54.0</v>
      </c>
      <c r="D5508" s="3">
        <f>IFERROR(__xludf.DUMMYFUNCTION("IFERROR(
IF(REGEXMATCH(LOWER(O5508),""k""),
VALUE(REGEXEXTRACT(O5508,""[0-9]+""))*1000,
VALUE(REGEXEXTRACT(O5508,""[0-9]+""))
),
0
)"),0.0)</f>
        <v>0</v>
      </c>
      <c r="E5508" s="1" t="s">
        <v>11</v>
      </c>
      <c r="F5508" s="1" t="s">
        <v>20</v>
      </c>
      <c r="G5508" s="4" t="b">
        <f t="shared" si="2"/>
        <v>1</v>
      </c>
      <c r="H5508" s="1" t="str">
        <f t="shared" si="3"/>
        <v>Currently Unavailable</v>
      </c>
      <c r="I5508" s="1" t="str">
        <f t="shared" si="4"/>
        <v>No Badges</v>
      </c>
      <c r="J5508" s="3">
        <f t="shared" si="5"/>
        <v>0</v>
      </c>
    </row>
    <row r="5509">
      <c r="A5509" s="1" t="s">
        <v>4092</v>
      </c>
      <c r="B5509" s="3" t="str">
        <f t="shared" si="1"/>
        <v>Unavailable</v>
      </c>
      <c r="C5509" s="5">
        <v>4859.0</v>
      </c>
      <c r="D5509" s="3">
        <f>IFERROR(__xludf.DUMMYFUNCTION("IFERROR(
IF(REGEXMATCH(LOWER(O5509),""k""),
VALUE(REGEXEXTRACT(O5509,""[0-9]+""))*1000,
VALUE(REGEXEXTRACT(O5509,""[0-9]+""))
),
0
)"),0.0)</f>
        <v>0</v>
      </c>
      <c r="E5509" s="1" t="s">
        <v>11</v>
      </c>
      <c r="F5509" s="1" t="s">
        <v>20</v>
      </c>
      <c r="G5509" s="4" t="b">
        <f t="shared" si="2"/>
        <v>1</v>
      </c>
      <c r="H5509" s="1" t="str">
        <f t="shared" si="3"/>
        <v>Currently Unavailable</v>
      </c>
      <c r="I5509" s="1" t="str">
        <f t="shared" si="4"/>
        <v>No Badges</v>
      </c>
      <c r="J5509" s="3">
        <f t="shared" si="5"/>
        <v>0</v>
      </c>
    </row>
    <row r="5510">
      <c r="A5510" s="1" t="s">
        <v>4093</v>
      </c>
      <c r="B5510" s="3" t="str">
        <f t="shared" si="1"/>
        <v>Unavailable</v>
      </c>
      <c r="C5510" s="5">
        <v>2327.0</v>
      </c>
      <c r="D5510" s="3">
        <f>IFERROR(__xludf.DUMMYFUNCTION("IFERROR(
IF(REGEXMATCH(LOWER(O5510),""k""),
VALUE(REGEXEXTRACT(O5510,""[0-9]+""))*1000,
VALUE(REGEXEXTRACT(O5510,""[0-9]+""))
),
0
)"),0.0)</f>
        <v>0</v>
      </c>
      <c r="E5510" s="1" t="s">
        <v>11</v>
      </c>
      <c r="F5510" s="1" t="s">
        <v>20</v>
      </c>
      <c r="G5510" s="4" t="b">
        <f t="shared" si="2"/>
        <v>1</v>
      </c>
      <c r="H5510" s="1" t="str">
        <f t="shared" si="3"/>
        <v>Currently Unavailable</v>
      </c>
      <c r="I5510" s="1" t="str">
        <f t="shared" si="4"/>
        <v>No Badges</v>
      </c>
      <c r="J5510" s="3">
        <f t="shared" si="5"/>
        <v>0</v>
      </c>
    </row>
    <row r="5511">
      <c r="A5511" s="1" t="s">
        <v>4094</v>
      </c>
      <c r="B5511" s="3" t="str">
        <f t="shared" si="1"/>
        <v>Unavailable</v>
      </c>
      <c r="C5511" s="5">
        <v>1289.0</v>
      </c>
      <c r="D5511" s="3">
        <f>IFERROR(__xludf.DUMMYFUNCTION("IFERROR(
IF(REGEXMATCH(LOWER(O5511),""k""),
VALUE(REGEXEXTRACT(O5511,""[0-9]+""))*1000,
VALUE(REGEXEXTRACT(O5511,""[0-9]+""))
),
0
)"),0.0)</f>
        <v>0</v>
      </c>
      <c r="E5511" s="1" t="s">
        <v>18</v>
      </c>
      <c r="F5511" s="1" t="s">
        <v>20</v>
      </c>
      <c r="G5511" s="4" t="b">
        <f t="shared" si="2"/>
        <v>1</v>
      </c>
      <c r="H5511" s="1" t="str">
        <f t="shared" si="3"/>
        <v>Currently Unavailable</v>
      </c>
      <c r="I5511" s="1" t="str">
        <f t="shared" si="4"/>
        <v>No Badges</v>
      </c>
      <c r="J5511" s="3">
        <f t="shared" si="5"/>
        <v>0</v>
      </c>
    </row>
    <row r="5512">
      <c r="A5512" s="1" t="s">
        <v>69</v>
      </c>
      <c r="B5512" s="3" t="str">
        <f t="shared" si="1"/>
        <v>Unavailable</v>
      </c>
      <c r="C5512" s="3">
        <v>45.0</v>
      </c>
      <c r="D5512" s="3">
        <f>IFERROR(__xludf.DUMMYFUNCTION("IFERROR(
IF(REGEXMATCH(LOWER(O5512),""k""),
VALUE(REGEXEXTRACT(O5512,""[0-9]+""))*1000,
VALUE(REGEXEXTRACT(O5512,""[0-9]+""))
),
0
)"),0.0)</f>
        <v>0</v>
      </c>
      <c r="E5512" s="1" t="s">
        <v>11</v>
      </c>
      <c r="F5512" s="1" t="s">
        <v>12</v>
      </c>
      <c r="G5512" s="4" t="b">
        <f t="shared" si="2"/>
        <v>1</v>
      </c>
      <c r="H5512" s="1" t="str">
        <f t="shared" si="3"/>
        <v>Currently Unavailable</v>
      </c>
      <c r="I5512" s="1" t="str">
        <f t="shared" si="4"/>
        <v>No Badges</v>
      </c>
      <c r="J5512" s="3">
        <f t="shared" si="5"/>
        <v>0</v>
      </c>
    </row>
    <row r="5513">
      <c r="A5513" s="1" t="s">
        <v>4095</v>
      </c>
      <c r="B5513" s="3" t="str">
        <f t="shared" si="1"/>
        <v>Unavailable</v>
      </c>
      <c r="C5513" s="5">
        <v>5244.0</v>
      </c>
      <c r="D5513" s="3">
        <f>IFERROR(__xludf.DUMMYFUNCTION("IFERROR(
IF(REGEXMATCH(LOWER(O5513),""k""),
VALUE(REGEXEXTRACT(O5513,""[0-9]+""))*1000,
VALUE(REGEXEXTRACT(O5513,""[0-9]+""))
),
0
)"),0.0)</f>
        <v>0</v>
      </c>
      <c r="E5513" s="1" t="s">
        <v>11</v>
      </c>
      <c r="F5513" s="1" t="s">
        <v>20</v>
      </c>
      <c r="G5513" s="4" t="b">
        <f t="shared" si="2"/>
        <v>1</v>
      </c>
      <c r="H5513" s="1" t="str">
        <f t="shared" si="3"/>
        <v>Currently Unavailable</v>
      </c>
      <c r="I5513" s="1" t="str">
        <f t="shared" si="4"/>
        <v>No Badges</v>
      </c>
      <c r="J5513" s="3">
        <f t="shared" si="5"/>
        <v>0</v>
      </c>
    </row>
    <row r="5514">
      <c r="A5514" s="1" t="s">
        <v>4096</v>
      </c>
      <c r="B5514" s="3" t="str">
        <f t="shared" si="1"/>
        <v>Unavailable</v>
      </c>
      <c r="C5514" s="3">
        <v>128.0</v>
      </c>
      <c r="D5514" s="3">
        <f>IFERROR(__xludf.DUMMYFUNCTION("IFERROR(
IF(REGEXMATCH(LOWER(O5514),""k""),
VALUE(REGEXEXTRACT(O5514,""[0-9]+""))*1000,
VALUE(REGEXEXTRACT(O5514,""[0-9]+""))
),
0
)"),0.0)</f>
        <v>0</v>
      </c>
      <c r="E5514" s="1" t="s">
        <v>11</v>
      </c>
      <c r="F5514" s="1" t="s">
        <v>20</v>
      </c>
      <c r="G5514" s="4" t="b">
        <f t="shared" si="2"/>
        <v>1</v>
      </c>
      <c r="H5514" s="1" t="str">
        <f t="shared" si="3"/>
        <v>Currently Unavailable</v>
      </c>
      <c r="I5514" s="1" t="str">
        <f t="shared" si="4"/>
        <v>No Badges</v>
      </c>
      <c r="J5514" s="3">
        <f t="shared" si="5"/>
        <v>0</v>
      </c>
    </row>
    <row r="5515">
      <c r="A5515" s="1" t="s">
        <v>4097</v>
      </c>
      <c r="B5515" s="3" t="str">
        <f t="shared" si="1"/>
        <v>Unavailable</v>
      </c>
      <c r="C5515" s="5">
        <v>3501.0</v>
      </c>
      <c r="D5515" s="3">
        <f>IFERROR(__xludf.DUMMYFUNCTION("IFERROR(
IF(REGEXMATCH(LOWER(O5515),""k""),
VALUE(REGEXEXTRACT(O5515,""[0-9]+""))*1000,
VALUE(REGEXEXTRACT(O5515,""[0-9]+""))
),
0
)"),0.0)</f>
        <v>0</v>
      </c>
      <c r="E5515" s="1" t="s">
        <v>11</v>
      </c>
      <c r="F5515" s="1" t="s">
        <v>20</v>
      </c>
      <c r="G5515" s="4" t="b">
        <f t="shared" si="2"/>
        <v>1</v>
      </c>
      <c r="H5515" s="1" t="str">
        <f t="shared" si="3"/>
        <v>Currently Unavailable</v>
      </c>
      <c r="I5515" s="1" t="str">
        <f t="shared" si="4"/>
        <v>No Badges</v>
      </c>
      <c r="J5515" s="3">
        <f t="shared" si="5"/>
        <v>0</v>
      </c>
    </row>
    <row r="5516">
      <c r="A5516" s="1" t="s">
        <v>4098</v>
      </c>
      <c r="B5516" s="3" t="str">
        <f t="shared" si="1"/>
        <v>Unavailable</v>
      </c>
      <c r="C5516" s="5">
        <v>3698.0</v>
      </c>
      <c r="D5516" s="3">
        <f>IFERROR(__xludf.DUMMYFUNCTION("IFERROR(
IF(REGEXMATCH(LOWER(O5516),""k""),
VALUE(REGEXEXTRACT(O5516,""[0-9]+""))*1000,
VALUE(REGEXEXTRACT(O5516,""[0-9]+""))
),
0
)"),0.0)</f>
        <v>0</v>
      </c>
      <c r="E5516" s="1" t="s">
        <v>11</v>
      </c>
      <c r="F5516" s="1" t="s">
        <v>20</v>
      </c>
      <c r="G5516" s="4" t="b">
        <f t="shared" si="2"/>
        <v>1</v>
      </c>
      <c r="H5516" s="1" t="str">
        <f t="shared" si="3"/>
        <v>Currently Unavailable</v>
      </c>
      <c r="I5516" s="1" t="str">
        <f t="shared" si="4"/>
        <v>No Badges</v>
      </c>
      <c r="J5516" s="3">
        <f t="shared" si="5"/>
        <v>0</v>
      </c>
    </row>
    <row r="5517">
      <c r="A5517" s="1" t="s">
        <v>4099</v>
      </c>
      <c r="B5517" s="3" t="str">
        <f t="shared" si="1"/>
        <v>Unavailable</v>
      </c>
      <c r="C5517" s="5">
        <v>1243.0</v>
      </c>
      <c r="D5517" s="3">
        <f>IFERROR(__xludf.DUMMYFUNCTION("IFERROR(
IF(REGEXMATCH(LOWER(O5517),""k""),
VALUE(REGEXEXTRACT(O5517,""[0-9]+""))*1000,
VALUE(REGEXEXTRACT(O5517,""[0-9]+""))
),
0
)"),0.0)</f>
        <v>0</v>
      </c>
      <c r="E5517" s="1" t="s">
        <v>11</v>
      </c>
      <c r="F5517" s="1" t="s">
        <v>20</v>
      </c>
      <c r="G5517" s="4" t="b">
        <f t="shared" si="2"/>
        <v>1</v>
      </c>
      <c r="H5517" s="1" t="str">
        <f t="shared" si="3"/>
        <v>Currently Unavailable</v>
      </c>
      <c r="I5517" s="1" t="str">
        <f t="shared" si="4"/>
        <v>No Badges</v>
      </c>
      <c r="J5517" s="3">
        <f t="shared" si="5"/>
        <v>0</v>
      </c>
    </row>
    <row r="5518">
      <c r="A5518" s="1" t="s">
        <v>4100</v>
      </c>
      <c r="B5518" s="3" t="str">
        <f t="shared" si="1"/>
        <v>Unavailable</v>
      </c>
      <c r="C5518" s="3">
        <v>5.0</v>
      </c>
      <c r="D5518" s="3">
        <f>IFERROR(__xludf.DUMMYFUNCTION("IFERROR(
IF(REGEXMATCH(LOWER(O5518),""k""),
VALUE(REGEXEXTRACT(O5518,""[0-9]+""))*1000,
VALUE(REGEXEXTRACT(O5518,""[0-9]+""))
),
0
)"),0.0)</f>
        <v>0</v>
      </c>
      <c r="E5518" s="1" t="s">
        <v>11</v>
      </c>
      <c r="F5518" s="1" t="s">
        <v>20</v>
      </c>
      <c r="G5518" s="4" t="b">
        <f t="shared" si="2"/>
        <v>1</v>
      </c>
      <c r="H5518" s="1" t="str">
        <f t="shared" si="3"/>
        <v>Currently Unavailable</v>
      </c>
      <c r="I5518" s="1" t="str">
        <f t="shared" si="4"/>
        <v>No Badges</v>
      </c>
      <c r="J5518" s="3">
        <f t="shared" si="5"/>
        <v>0</v>
      </c>
    </row>
    <row r="5519">
      <c r="A5519" s="1" t="s">
        <v>4101</v>
      </c>
      <c r="B5519" s="3" t="str">
        <f t="shared" si="1"/>
        <v>Unavailable</v>
      </c>
      <c r="C5519" s="5">
        <v>4495.0</v>
      </c>
      <c r="D5519" s="3">
        <f>IFERROR(__xludf.DUMMYFUNCTION("IFERROR(
IF(REGEXMATCH(LOWER(O5519),""k""),
VALUE(REGEXEXTRACT(O5519,""[0-9]+""))*1000,
VALUE(REGEXEXTRACT(O5519,""[0-9]+""))
),
0
)"),0.0)</f>
        <v>0</v>
      </c>
      <c r="E5519" s="1" t="s">
        <v>11</v>
      </c>
      <c r="F5519" s="1" t="s">
        <v>20</v>
      </c>
      <c r="G5519" s="4" t="b">
        <f t="shared" si="2"/>
        <v>1</v>
      </c>
      <c r="H5519" s="1" t="str">
        <f t="shared" si="3"/>
        <v>Currently Unavailable</v>
      </c>
      <c r="I5519" s="1" t="str">
        <f t="shared" si="4"/>
        <v>No Badges</v>
      </c>
      <c r="J5519" s="3">
        <f t="shared" si="5"/>
        <v>0</v>
      </c>
    </row>
    <row r="5520">
      <c r="A5520" s="1" t="s">
        <v>4102</v>
      </c>
      <c r="B5520" s="3" t="str">
        <f t="shared" si="1"/>
        <v>Unavailable</v>
      </c>
      <c r="C5520" s="5">
        <v>1283.0</v>
      </c>
      <c r="D5520" s="3">
        <f>IFERROR(__xludf.DUMMYFUNCTION("IFERROR(
IF(REGEXMATCH(LOWER(O5520),""k""),
VALUE(REGEXEXTRACT(O5520,""[0-9]+""))*1000,
VALUE(REGEXEXTRACT(O5520,""[0-9]+""))
),
0
)"),0.0)</f>
        <v>0</v>
      </c>
      <c r="E5520" s="1" t="s">
        <v>11</v>
      </c>
      <c r="F5520" s="1" t="s">
        <v>20</v>
      </c>
      <c r="G5520" s="4" t="b">
        <f t="shared" si="2"/>
        <v>1</v>
      </c>
      <c r="H5520" s="1" t="str">
        <f t="shared" si="3"/>
        <v>Currently Unavailable</v>
      </c>
      <c r="I5520" s="1" t="str">
        <f t="shared" si="4"/>
        <v>No Badges</v>
      </c>
      <c r="J5520" s="3">
        <f t="shared" si="5"/>
        <v>0</v>
      </c>
    </row>
    <row r="5521">
      <c r="A5521" s="1" t="s">
        <v>4103</v>
      </c>
      <c r="B5521" s="3" t="str">
        <f t="shared" si="1"/>
        <v>Unavailable</v>
      </c>
      <c r="C5521" s="5">
        <v>2471.0</v>
      </c>
      <c r="D5521" s="3">
        <f>IFERROR(__xludf.DUMMYFUNCTION("IFERROR(
IF(REGEXMATCH(LOWER(O5521),""k""),
VALUE(REGEXEXTRACT(O5521,""[0-9]+""))*1000,
VALUE(REGEXEXTRACT(O5521,""[0-9]+""))
),
0
)"),0.0)</f>
        <v>0</v>
      </c>
      <c r="E5521" s="1" t="s">
        <v>11</v>
      </c>
      <c r="F5521" s="1" t="s">
        <v>20</v>
      </c>
      <c r="G5521" s="4" t="b">
        <f t="shared" si="2"/>
        <v>1</v>
      </c>
      <c r="H5521" s="1" t="str">
        <f t="shared" si="3"/>
        <v>Currently Unavailable</v>
      </c>
      <c r="I5521" s="1" t="str">
        <f t="shared" si="4"/>
        <v>No Badges</v>
      </c>
      <c r="J5521" s="3">
        <f t="shared" si="5"/>
        <v>0</v>
      </c>
    </row>
    <row r="5522">
      <c r="A5522" s="1" t="s">
        <v>4104</v>
      </c>
      <c r="B5522" s="3" t="str">
        <f t="shared" si="1"/>
        <v>Unavailable</v>
      </c>
      <c r="C5522" s="3">
        <v>248.0</v>
      </c>
      <c r="D5522" s="3">
        <f>IFERROR(__xludf.DUMMYFUNCTION("IFERROR(
IF(REGEXMATCH(LOWER(O5522),""k""),
VALUE(REGEXEXTRACT(O5522,""[0-9]+""))*1000,
VALUE(REGEXEXTRACT(O5522,""[0-9]+""))
),
0
)"),0.0)</f>
        <v>0</v>
      </c>
      <c r="E5522" s="1" t="s">
        <v>11</v>
      </c>
      <c r="F5522" s="1" t="s">
        <v>20</v>
      </c>
      <c r="G5522" s="4" t="b">
        <f t="shared" si="2"/>
        <v>1</v>
      </c>
      <c r="H5522" s="1" t="str">
        <f t="shared" si="3"/>
        <v>Currently Unavailable</v>
      </c>
      <c r="I5522" s="1" t="str">
        <f t="shared" si="4"/>
        <v>No Badges</v>
      </c>
      <c r="J5522" s="3">
        <f t="shared" si="5"/>
        <v>0</v>
      </c>
    </row>
    <row r="5523">
      <c r="A5523" s="1" t="s">
        <v>4105</v>
      </c>
      <c r="B5523" s="3" t="str">
        <f t="shared" si="1"/>
        <v>Unavailable</v>
      </c>
      <c r="C5523" s="3">
        <v>43.0</v>
      </c>
      <c r="D5523" s="3">
        <f>IFERROR(__xludf.DUMMYFUNCTION("IFERROR(
IF(REGEXMATCH(LOWER(O5523),""k""),
VALUE(REGEXEXTRACT(O5523,""[0-9]+""))*1000,
VALUE(REGEXEXTRACT(O5523,""[0-9]+""))
),
0
)"),0.0)</f>
        <v>0</v>
      </c>
      <c r="E5523" s="1" t="s">
        <v>11</v>
      </c>
      <c r="F5523" s="1" t="s">
        <v>20</v>
      </c>
      <c r="G5523" s="4" t="b">
        <f t="shared" si="2"/>
        <v>1</v>
      </c>
      <c r="H5523" s="1" t="str">
        <f t="shared" si="3"/>
        <v>Currently Unavailable</v>
      </c>
      <c r="I5523" s="1" t="str">
        <f t="shared" si="4"/>
        <v>No Badges</v>
      </c>
      <c r="J5523" s="3">
        <f t="shared" si="5"/>
        <v>0</v>
      </c>
    </row>
    <row r="5524">
      <c r="A5524" s="1" t="s">
        <v>4106</v>
      </c>
      <c r="B5524" s="3" t="str">
        <f t="shared" si="1"/>
        <v>Unavailable</v>
      </c>
      <c r="C5524" s="3">
        <v>868.0</v>
      </c>
      <c r="D5524" s="3">
        <f>IFERROR(__xludf.DUMMYFUNCTION("IFERROR(
IF(REGEXMATCH(LOWER(O5524),""k""),
VALUE(REGEXEXTRACT(O5524,""[0-9]+""))*1000,
VALUE(REGEXEXTRACT(O5524,""[0-9]+""))
),
0
)"),0.0)</f>
        <v>0</v>
      </c>
      <c r="E5524" s="1" t="s">
        <v>11</v>
      </c>
      <c r="F5524" s="1" t="s">
        <v>20</v>
      </c>
      <c r="G5524" s="4" t="b">
        <f t="shared" si="2"/>
        <v>1</v>
      </c>
      <c r="H5524" s="1" t="str">
        <f t="shared" si="3"/>
        <v>Currently Unavailable</v>
      </c>
      <c r="I5524" s="1" t="str">
        <f t="shared" si="4"/>
        <v>No Badges</v>
      </c>
      <c r="J5524" s="3">
        <f t="shared" si="5"/>
        <v>0</v>
      </c>
    </row>
    <row r="5525">
      <c r="A5525" s="1" t="s">
        <v>88</v>
      </c>
      <c r="B5525" s="3" t="str">
        <f t="shared" si="1"/>
        <v>Unavailable</v>
      </c>
      <c r="C5525" s="3">
        <v>5.0</v>
      </c>
      <c r="D5525" s="3">
        <f>IFERROR(__xludf.DUMMYFUNCTION("IFERROR(
IF(REGEXMATCH(LOWER(O5525),""k""),
VALUE(REGEXEXTRACT(O5525,""[0-9]+""))*1000,
VALUE(REGEXEXTRACT(O5525,""[0-9]+""))
),
0
)"),0.0)</f>
        <v>0</v>
      </c>
      <c r="E5525" s="1" t="s">
        <v>11</v>
      </c>
      <c r="F5525" s="1" t="s">
        <v>12</v>
      </c>
      <c r="G5525" s="4" t="b">
        <f t="shared" si="2"/>
        <v>1</v>
      </c>
      <c r="H5525" s="1" t="str">
        <f t="shared" si="3"/>
        <v>Currently Unavailable</v>
      </c>
      <c r="I5525" s="1" t="str">
        <f t="shared" si="4"/>
        <v>No Badges</v>
      </c>
      <c r="J5525" s="3">
        <f t="shared" si="5"/>
        <v>0</v>
      </c>
    </row>
    <row r="5526">
      <c r="A5526" s="1" t="s">
        <v>701</v>
      </c>
      <c r="B5526" s="3" t="str">
        <f t="shared" si="1"/>
        <v>Unavailable</v>
      </c>
      <c r="C5526" s="3">
        <v>8.0</v>
      </c>
      <c r="D5526" s="3">
        <f>IFERROR(__xludf.DUMMYFUNCTION("IFERROR(
IF(REGEXMATCH(LOWER(O5526),""k""),
VALUE(REGEXEXTRACT(O5526,""[0-9]+""))*1000,
VALUE(REGEXEXTRACT(O5526,""[0-9]+""))
),
0
)"),0.0)</f>
        <v>0</v>
      </c>
      <c r="E5526" s="1" t="s">
        <v>11</v>
      </c>
      <c r="F5526" s="1" t="s">
        <v>12</v>
      </c>
      <c r="G5526" s="4" t="b">
        <f t="shared" si="2"/>
        <v>1</v>
      </c>
      <c r="H5526" s="1" t="str">
        <f t="shared" si="3"/>
        <v>Currently Unavailable</v>
      </c>
      <c r="I5526" s="1" t="str">
        <f t="shared" si="4"/>
        <v>No Badges</v>
      </c>
      <c r="J5526" s="3">
        <f t="shared" si="5"/>
        <v>0</v>
      </c>
    </row>
    <row r="5527">
      <c r="A5527" s="1" t="s">
        <v>67</v>
      </c>
      <c r="B5527" s="3" t="str">
        <f t="shared" si="1"/>
        <v>Unavailable</v>
      </c>
      <c r="C5527" s="3">
        <v>264.0</v>
      </c>
      <c r="D5527" s="3">
        <f>IFERROR(__xludf.DUMMYFUNCTION("IFERROR(
IF(REGEXMATCH(LOWER(O5527),""k""),
VALUE(REGEXEXTRACT(O5527,""[0-9]+""))*1000,
VALUE(REGEXEXTRACT(O5527,""[0-9]+""))
),
0
)"),0.0)</f>
        <v>0</v>
      </c>
      <c r="E5527" s="1" t="s">
        <v>11</v>
      </c>
      <c r="F5527" s="1" t="s">
        <v>12</v>
      </c>
      <c r="G5527" s="4" t="b">
        <f t="shared" si="2"/>
        <v>1</v>
      </c>
      <c r="H5527" s="1" t="str">
        <f t="shared" si="3"/>
        <v>Currently Unavailable</v>
      </c>
      <c r="I5527" s="1" t="str">
        <f t="shared" si="4"/>
        <v>No Badges</v>
      </c>
      <c r="J5527" s="3">
        <f t="shared" si="5"/>
        <v>0</v>
      </c>
    </row>
    <row r="5528">
      <c r="A5528" s="1" t="s">
        <v>4107</v>
      </c>
      <c r="B5528" s="3" t="str">
        <f t="shared" si="1"/>
        <v>Unavailable</v>
      </c>
      <c r="C5528" s="3">
        <v>649.0</v>
      </c>
      <c r="D5528" s="3">
        <f>IFERROR(__xludf.DUMMYFUNCTION("IFERROR(
IF(REGEXMATCH(LOWER(O5528),""k""),
VALUE(REGEXEXTRACT(O5528,""[0-9]+""))*1000,
VALUE(REGEXEXTRACT(O5528,""[0-9]+""))
),
0
)"),0.0)</f>
        <v>0</v>
      </c>
      <c r="E5528" s="1" t="s">
        <v>11</v>
      </c>
      <c r="F5528" s="1" t="s">
        <v>20</v>
      </c>
      <c r="G5528" s="4" t="b">
        <f t="shared" si="2"/>
        <v>1</v>
      </c>
      <c r="H5528" s="1" t="str">
        <f t="shared" si="3"/>
        <v>Currently Unavailable</v>
      </c>
      <c r="I5528" s="1" t="str">
        <f t="shared" si="4"/>
        <v>No Badges</v>
      </c>
      <c r="J5528" s="3">
        <f t="shared" si="5"/>
        <v>0</v>
      </c>
    </row>
    <row r="5529">
      <c r="A5529" s="1" t="s">
        <v>4108</v>
      </c>
      <c r="B5529" s="3" t="str">
        <f t="shared" si="1"/>
        <v>Unavailable</v>
      </c>
      <c r="C5529" s="5">
        <v>1764.0</v>
      </c>
      <c r="D5529" s="3">
        <f>IFERROR(__xludf.DUMMYFUNCTION("IFERROR(
IF(REGEXMATCH(LOWER(O5529),""k""),
VALUE(REGEXEXTRACT(O5529,""[0-9]+""))*1000,
VALUE(REGEXEXTRACT(O5529,""[0-9]+""))
),
0
)"),0.0)</f>
        <v>0</v>
      </c>
      <c r="E5529" s="1" t="s">
        <v>11</v>
      </c>
      <c r="F5529" s="1" t="s">
        <v>20</v>
      </c>
      <c r="G5529" s="4" t="b">
        <f t="shared" si="2"/>
        <v>1</v>
      </c>
      <c r="H5529" s="1" t="str">
        <f t="shared" si="3"/>
        <v>Currently Unavailable</v>
      </c>
      <c r="I5529" s="1" t="str">
        <f t="shared" si="4"/>
        <v>No Badges</v>
      </c>
      <c r="J5529" s="3">
        <f t="shared" si="5"/>
        <v>0</v>
      </c>
    </row>
    <row r="5530">
      <c r="A5530" s="1" t="s">
        <v>4109</v>
      </c>
      <c r="B5530" s="3" t="str">
        <f t="shared" si="1"/>
        <v>Unavailable</v>
      </c>
      <c r="C5530" s="3">
        <v>813.0</v>
      </c>
      <c r="D5530" s="3">
        <f>IFERROR(__xludf.DUMMYFUNCTION("IFERROR(
IF(REGEXMATCH(LOWER(O5530),""k""),
VALUE(REGEXEXTRACT(O5530,""[0-9]+""))*1000,
VALUE(REGEXEXTRACT(O5530,""[0-9]+""))
),
0
)"),0.0)</f>
        <v>0</v>
      </c>
      <c r="E5530" s="1" t="s">
        <v>11</v>
      </c>
      <c r="F5530" s="1" t="s">
        <v>20</v>
      </c>
      <c r="G5530" s="4" t="b">
        <f t="shared" si="2"/>
        <v>1</v>
      </c>
      <c r="H5530" s="1" t="str">
        <f t="shared" si="3"/>
        <v>Currently Unavailable</v>
      </c>
      <c r="I5530" s="1" t="str">
        <f t="shared" si="4"/>
        <v>No Badges</v>
      </c>
      <c r="J5530" s="3">
        <f t="shared" si="5"/>
        <v>0</v>
      </c>
    </row>
    <row r="5531">
      <c r="A5531" s="1" t="s">
        <v>4110</v>
      </c>
      <c r="B5531" s="3" t="str">
        <f t="shared" si="1"/>
        <v>Unavailable</v>
      </c>
      <c r="C5531" s="5">
        <v>1555.0</v>
      </c>
      <c r="D5531" s="3">
        <f>IFERROR(__xludf.DUMMYFUNCTION("IFERROR(
IF(REGEXMATCH(LOWER(O5531),""k""),
VALUE(REGEXEXTRACT(O5531,""[0-9]+""))*1000,
VALUE(REGEXEXTRACT(O5531,""[0-9]+""))
),
0
)"),0.0)</f>
        <v>0</v>
      </c>
      <c r="E5531" s="1" t="s">
        <v>11</v>
      </c>
      <c r="F5531" s="1" t="s">
        <v>20</v>
      </c>
      <c r="G5531" s="4" t="b">
        <f t="shared" si="2"/>
        <v>1</v>
      </c>
      <c r="H5531" s="1" t="str">
        <f t="shared" si="3"/>
        <v>Currently Unavailable</v>
      </c>
      <c r="I5531" s="1" t="str">
        <f t="shared" si="4"/>
        <v>No Badges</v>
      </c>
      <c r="J5531" s="3">
        <f t="shared" si="5"/>
        <v>0</v>
      </c>
    </row>
    <row r="5532">
      <c r="A5532" s="1" t="s">
        <v>4111</v>
      </c>
      <c r="B5532" s="3" t="str">
        <f t="shared" si="1"/>
        <v>Unavailable</v>
      </c>
      <c r="C5532" s="5">
        <v>1641.0</v>
      </c>
      <c r="D5532" s="3">
        <f>IFERROR(__xludf.DUMMYFUNCTION("IFERROR(
IF(REGEXMATCH(LOWER(O5532),""k""),
VALUE(REGEXEXTRACT(O5532,""[0-9]+""))*1000,
VALUE(REGEXEXTRACT(O5532,""[0-9]+""))
),
0
)"),0.0)</f>
        <v>0</v>
      </c>
      <c r="E5532" s="1" t="s">
        <v>11</v>
      </c>
      <c r="F5532" s="1" t="s">
        <v>20</v>
      </c>
      <c r="G5532" s="4" t="b">
        <f t="shared" si="2"/>
        <v>1</v>
      </c>
      <c r="H5532" s="1" t="str">
        <f t="shared" si="3"/>
        <v>Currently Unavailable</v>
      </c>
      <c r="I5532" s="1" t="str">
        <f t="shared" si="4"/>
        <v>No Badges</v>
      </c>
      <c r="J5532" s="3">
        <f t="shared" si="5"/>
        <v>0</v>
      </c>
    </row>
    <row r="5533">
      <c r="A5533" s="1" t="s">
        <v>4112</v>
      </c>
      <c r="B5533" s="3" t="str">
        <f t="shared" si="1"/>
        <v>Unavailable</v>
      </c>
      <c r="C5533" s="3">
        <v>170.0</v>
      </c>
      <c r="D5533" s="3">
        <f>IFERROR(__xludf.DUMMYFUNCTION("IFERROR(
IF(REGEXMATCH(LOWER(O5533),""k""),
VALUE(REGEXEXTRACT(O5533,""[0-9]+""))*1000,
VALUE(REGEXEXTRACT(O5533,""[0-9]+""))
),
0
)"),0.0)</f>
        <v>0</v>
      </c>
      <c r="E5533" s="1" t="s">
        <v>11</v>
      </c>
      <c r="F5533" s="1" t="s">
        <v>20</v>
      </c>
      <c r="G5533" s="4" t="b">
        <f t="shared" si="2"/>
        <v>1</v>
      </c>
      <c r="H5533" s="1" t="str">
        <f t="shared" si="3"/>
        <v>Currently Unavailable</v>
      </c>
      <c r="I5533" s="1" t="str">
        <f t="shared" si="4"/>
        <v>No Badges</v>
      </c>
      <c r="J5533" s="3">
        <f t="shared" si="5"/>
        <v>0</v>
      </c>
    </row>
    <row r="5534">
      <c r="A5534" s="1" t="s">
        <v>4113</v>
      </c>
      <c r="B5534" s="3" t="str">
        <f t="shared" si="1"/>
        <v>Unavailable</v>
      </c>
      <c r="C5534" s="3">
        <v>892.0</v>
      </c>
      <c r="D5534" s="3">
        <f>IFERROR(__xludf.DUMMYFUNCTION("IFERROR(
IF(REGEXMATCH(LOWER(O5534),""k""),
VALUE(REGEXEXTRACT(O5534,""[0-9]+""))*1000,
VALUE(REGEXEXTRACT(O5534,""[0-9]+""))
),
0
)"),0.0)</f>
        <v>0</v>
      </c>
      <c r="E5534" s="1" t="s">
        <v>11</v>
      </c>
      <c r="F5534" s="1" t="s">
        <v>20</v>
      </c>
      <c r="G5534" s="4" t="b">
        <f t="shared" si="2"/>
        <v>1</v>
      </c>
      <c r="H5534" s="1" t="str">
        <f t="shared" si="3"/>
        <v>Currently Unavailable</v>
      </c>
      <c r="I5534" s="1" t="str">
        <f t="shared" si="4"/>
        <v>No Badges</v>
      </c>
      <c r="J5534" s="3">
        <f t="shared" si="5"/>
        <v>0</v>
      </c>
    </row>
    <row r="5535">
      <c r="A5535" s="1" t="s">
        <v>4114</v>
      </c>
      <c r="B5535" s="3" t="str">
        <f t="shared" si="1"/>
        <v>Unavailable</v>
      </c>
      <c r="C5535" s="3">
        <v>47.0</v>
      </c>
      <c r="D5535" s="3">
        <f>IFERROR(__xludf.DUMMYFUNCTION("IFERROR(
IF(REGEXMATCH(LOWER(O5535),""k""),
VALUE(REGEXEXTRACT(O5535,""[0-9]+""))*1000,
VALUE(REGEXEXTRACT(O5535,""[0-9]+""))
),
0
)"),0.0)</f>
        <v>0</v>
      </c>
      <c r="E5535" s="1" t="s">
        <v>11</v>
      </c>
      <c r="F5535" s="1" t="s">
        <v>20</v>
      </c>
      <c r="G5535" s="4" t="b">
        <f t="shared" si="2"/>
        <v>1</v>
      </c>
      <c r="H5535" s="1" t="str">
        <f t="shared" si="3"/>
        <v>Currently Unavailable</v>
      </c>
      <c r="I5535" s="1" t="str">
        <f t="shared" si="4"/>
        <v>No Badges</v>
      </c>
      <c r="J5535" s="3">
        <f t="shared" si="5"/>
        <v>0</v>
      </c>
    </row>
    <row r="5536">
      <c r="A5536" s="1" t="s">
        <v>4115</v>
      </c>
      <c r="B5536" s="3" t="str">
        <f t="shared" si="1"/>
        <v>Unavailable</v>
      </c>
      <c r="C5536" s="3">
        <v>134.0</v>
      </c>
      <c r="D5536" s="3">
        <f>IFERROR(__xludf.DUMMYFUNCTION("IFERROR(
IF(REGEXMATCH(LOWER(O5536),""k""),
VALUE(REGEXEXTRACT(O5536,""[0-9]+""))*1000,
VALUE(REGEXEXTRACT(O5536,""[0-9]+""))
),
0
)"),0.0)</f>
        <v>0</v>
      </c>
      <c r="E5536" s="1" t="s">
        <v>11</v>
      </c>
      <c r="F5536" s="1" t="s">
        <v>20</v>
      </c>
      <c r="G5536" s="4" t="b">
        <f t="shared" si="2"/>
        <v>1</v>
      </c>
      <c r="H5536" s="1" t="str">
        <f t="shared" si="3"/>
        <v>Currently Unavailable</v>
      </c>
      <c r="I5536" s="1" t="str">
        <f t="shared" si="4"/>
        <v>No Badges</v>
      </c>
      <c r="J5536" s="3">
        <f t="shared" si="5"/>
        <v>0</v>
      </c>
    </row>
    <row r="5537">
      <c r="A5537" s="1" t="s">
        <v>4116</v>
      </c>
      <c r="B5537" s="3" t="str">
        <f t="shared" si="1"/>
        <v>Unavailable</v>
      </c>
      <c r="C5537" s="3">
        <v>474.0</v>
      </c>
      <c r="D5537" s="3">
        <f>IFERROR(__xludf.DUMMYFUNCTION("IFERROR(
IF(REGEXMATCH(LOWER(O5537),""k""),
VALUE(REGEXEXTRACT(O5537,""[0-9]+""))*1000,
VALUE(REGEXEXTRACT(O5537,""[0-9]+""))
),
0
)"),0.0)</f>
        <v>0</v>
      </c>
      <c r="E5537" s="1" t="s">
        <v>11</v>
      </c>
      <c r="F5537" s="1" t="s">
        <v>20</v>
      </c>
      <c r="G5537" s="4" t="b">
        <f t="shared" si="2"/>
        <v>1</v>
      </c>
      <c r="H5537" s="1" t="str">
        <f t="shared" si="3"/>
        <v>Currently Unavailable</v>
      </c>
      <c r="I5537" s="1" t="str">
        <f t="shared" si="4"/>
        <v>No Badges</v>
      </c>
      <c r="J5537" s="3">
        <f t="shared" si="5"/>
        <v>0</v>
      </c>
    </row>
    <row r="5538">
      <c r="A5538" s="1" t="s">
        <v>4117</v>
      </c>
      <c r="B5538" s="3" t="str">
        <f t="shared" si="1"/>
        <v>Unavailable</v>
      </c>
      <c r="C5538" s="5">
        <v>3843.0</v>
      </c>
      <c r="D5538" s="3">
        <f>IFERROR(__xludf.DUMMYFUNCTION("IFERROR(
IF(REGEXMATCH(LOWER(O5538),""k""),
VALUE(REGEXEXTRACT(O5538,""[0-9]+""))*1000,
VALUE(REGEXEXTRACT(O5538,""[0-9]+""))
),
0
)"),0.0)</f>
        <v>0</v>
      </c>
      <c r="E5538" s="1" t="s">
        <v>11</v>
      </c>
      <c r="F5538" s="1" t="s">
        <v>20</v>
      </c>
      <c r="G5538" s="4" t="b">
        <f t="shared" si="2"/>
        <v>1</v>
      </c>
      <c r="H5538" s="1" t="str">
        <f t="shared" si="3"/>
        <v>Currently Unavailable</v>
      </c>
      <c r="I5538" s="1" t="str">
        <f t="shared" si="4"/>
        <v>No Badges</v>
      </c>
      <c r="J5538" s="3">
        <f t="shared" si="5"/>
        <v>0</v>
      </c>
    </row>
    <row r="5539">
      <c r="A5539" s="1" t="s">
        <v>4118</v>
      </c>
      <c r="B5539" s="3" t="str">
        <f t="shared" si="1"/>
        <v>Unavailable</v>
      </c>
      <c r="C5539" s="3">
        <v>32.0</v>
      </c>
      <c r="D5539" s="3">
        <f>IFERROR(__xludf.DUMMYFUNCTION("IFERROR(
IF(REGEXMATCH(LOWER(O5539),""k""),
VALUE(REGEXEXTRACT(O5539,""[0-9]+""))*1000,
VALUE(REGEXEXTRACT(O5539,""[0-9]+""))
),
0
)"),0.0)</f>
        <v>0</v>
      </c>
      <c r="E5539" s="1" t="s">
        <v>11</v>
      </c>
      <c r="F5539" s="1" t="s">
        <v>20</v>
      </c>
      <c r="G5539" s="4" t="b">
        <f t="shared" si="2"/>
        <v>1</v>
      </c>
      <c r="H5539" s="1" t="str">
        <f t="shared" si="3"/>
        <v>Currently Unavailable</v>
      </c>
      <c r="I5539" s="1" t="str">
        <f t="shared" si="4"/>
        <v>No Badges</v>
      </c>
      <c r="J5539" s="3">
        <f t="shared" si="5"/>
        <v>0</v>
      </c>
    </row>
    <row r="5540">
      <c r="A5540" s="1" t="s">
        <v>4119</v>
      </c>
      <c r="B5540" s="3" t="str">
        <f t="shared" si="1"/>
        <v>Unavailable</v>
      </c>
      <c r="C5540" s="5">
        <v>1343.0</v>
      </c>
      <c r="D5540" s="3">
        <f>IFERROR(__xludf.DUMMYFUNCTION("IFERROR(
IF(REGEXMATCH(LOWER(O5540),""k""),
VALUE(REGEXEXTRACT(O5540,""[0-9]+""))*1000,
VALUE(REGEXEXTRACT(O5540,""[0-9]+""))
),
0
)"),0.0)</f>
        <v>0</v>
      </c>
      <c r="E5540" s="1" t="s">
        <v>11</v>
      </c>
      <c r="F5540" s="1" t="s">
        <v>20</v>
      </c>
      <c r="G5540" s="4" t="b">
        <f t="shared" si="2"/>
        <v>1</v>
      </c>
      <c r="H5540" s="1" t="str">
        <f t="shared" si="3"/>
        <v>Currently Unavailable</v>
      </c>
      <c r="I5540" s="1" t="str">
        <f t="shared" si="4"/>
        <v>No Badges</v>
      </c>
      <c r="J5540" s="3">
        <f t="shared" si="5"/>
        <v>0</v>
      </c>
    </row>
    <row r="5541">
      <c r="A5541" s="1" t="s">
        <v>4120</v>
      </c>
      <c r="B5541" s="3" t="str">
        <f t="shared" si="1"/>
        <v>Unavailable</v>
      </c>
      <c r="C5541" s="3">
        <v>430.0</v>
      </c>
      <c r="D5541" s="3">
        <f>IFERROR(__xludf.DUMMYFUNCTION("IFERROR(
IF(REGEXMATCH(LOWER(O5541),""k""),
VALUE(REGEXEXTRACT(O5541,""[0-9]+""))*1000,
VALUE(REGEXEXTRACT(O5541,""[0-9]+""))
),
0
)"),0.0)</f>
        <v>0</v>
      </c>
      <c r="E5541" s="1" t="s">
        <v>11</v>
      </c>
      <c r="F5541" s="1" t="s">
        <v>20</v>
      </c>
      <c r="G5541" s="4" t="b">
        <f t="shared" si="2"/>
        <v>1</v>
      </c>
      <c r="H5541" s="1" t="str">
        <f t="shared" si="3"/>
        <v>Currently Unavailable</v>
      </c>
      <c r="I5541" s="1" t="str">
        <f t="shared" si="4"/>
        <v>No Badges</v>
      </c>
      <c r="J5541" s="3">
        <f t="shared" si="5"/>
        <v>0</v>
      </c>
    </row>
    <row r="5542">
      <c r="A5542" s="1" t="s">
        <v>40</v>
      </c>
      <c r="B5542" s="3" t="str">
        <f t="shared" si="1"/>
        <v>Unavailable</v>
      </c>
      <c r="C5542" s="3">
        <v>171.0</v>
      </c>
      <c r="D5542" s="3">
        <f>IFERROR(__xludf.DUMMYFUNCTION("IFERROR(
IF(REGEXMATCH(LOWER(O5542),""k""),
VALUE(REGEXEXTRACT(O5542,""[0-9]+""))*1000,
VALUE(REGEXEXTRACT(O5542,""[0-9]+""))
),
0
)"),0.0)</f>
        <v>0</v>
      </c>
      <c r="E5542" s="1" t="s">
        <v>11</v>
      </c>
      <c r="F5542" s="1" t="s">
        <v>12</v>
      </c>
      <c r="G5542" s="4" t="b">
        <f t="shared" si="2"/>
        <v>1</v>
      </c>
      <c r="H5542" s="1" t="str">
        <f t="shared" si="3"/>
        <v>Currently Unavailable</v>
      </c>
      <c r="I5542" s="1" t="str">
        <f t="shared" si="4"/>
        <v>No Badges</v>
      </c>
      <c r="J5542" s="3">
        <f t="shared" si="5"/>
        <v>0</v>
      </c>
    </row>
    <row r="5543">
      <c r="A5543" s="1" t="s">
        <v>4121</v>
      </c>
      <c r="B5543" s="3" t="str">
        <f t="shared" si="1"/>
        <v>Unavailable</v>
      </c>
      <c r="C5543" s="3">
        <v>371.0</v>
      </c>
      <c r="D5543" s="3">
        <f>IFERROR(__xludf.DUMMYFUNCTION("IFERROR(
IF(REGEXMATCH(LOWER(O5543),""k""),
VALUE(REGEXEXTRACT(O5543,""[0-9]+""))*1000,
VALUE(REGEXEXTRACT(O5543,""[0-9]+""))
),
0
)"),0.0)</f>
        <v>0</v>
      </c>
      <c r="E5543" s="1" t="s">
        <v>11</v>
      </c>
      <c r="F5543" s="1" t="s">
        <v>20</v>
      </c>
      <c r="G5543" s="4" t="b">
        <f t="shared" si="2"/>
        <v>1</v>
      </c>
      <c r="H5543" s="1" t="str">
        <f t="shared" si="3"/>
        <v>Currently Unavailable</v>
      </c>
      <c r="I5543" s="1" t="str">
        <f t="shared" si="4"/>
        <v>No Badges</v>
      </c>
      <c r="J5543" s="3">
        <f t="shared" si="5"/>
        <v>0</v>
      </c>
    </row>
    <row r="5544">
      <c r="A5544" s="1" t="s">
        <v>4122</v>
      </c>
      <c r="B5544" s="3" t="str">
        <f t="shared" si="1"/>
        <v>Unavailable</v>
      </c>
      <c r="C5544" s="5">
        <v>2564.0</v>
      </c>
      <c r="D5544" s="3">
        <f>IFERROR(__xludf.DUMMYFUNCTION("IFERROR(
IF(REGEXMATCH(LOWER(O5544),""k""),
VALUE(REGEXEXTRACT(O5544,""[0-9]+""))*1000,
VALUE(REGEXEXTRACT(O5544,""[0-9]+""))
),
0
)"),0.0)</f>
        <v>0</v>
      </c>
      <c r="E5544" s="1" t="s">
        <v>11</v>
      </c>
      <c r="F5544" s="1" t="s">
        <v>20</v>
      </c>
      <c r="G5544" s="4" t="b">
        <f t="shared" si="2"/>
        <v>1</v>
      </c>
      <c r="H5544" s="1" t="str">
        <f t="shared" si="3"/>
        <v>Currently Unavailable</v>
      </c>
      <c r="I5544" s="1" t="str">
        <f t="shared" si="4"/>
        <v>No Badges</v>
      </c>
      <c r="J5544" s="3">
        <f t="shared" si="5"/>
        <v>0</v>
      </c>
    </row>
    <row r="5545">
      <c r="A5545" s="1" t="s">
        <v>4123</v>
      </c>
      <c r="B5545" s="3" t="str">
        <f t="shared" si="1"/>
        <v>Unavailable</v>
      </c>
      <c r="C5545" s="3">
        <v>721.0</v>
      </c>
      <c r="D5545" s="3">
        <f>IFERROR(__xludf.DUMMYFUNCTION("IFERROR(
IF(REGEXMATCH(LOWER(O5545),""k""),
VALUE(REGEXEXTRACT(O5545,""[0-9]+""))*1000,
VALUE(REGEXEXTRACT(O5545,""[0-9]+""))
),
0
)"),0.0)</f>
        <v>0</v>
      </c>
      <c r="E5545" s="1" t="s">
        <v>11</v>
      </c>
      <c r="F5545" s="1" t="s">
        <v>20</v>
      </c>
      <c r="G5545" s="4" t="b">
        <f t="shared" si="2"/>
        <v>1</v>
      </c>
      <c r="H5545" s="1" t="str">
        <f t="shared" si="3"/>
        <v>Currently Unavailable</v>
      </c>
      <c r="I5545" s="1" t="str">
        <f t="shared" si="4"/>
        <v>No Badges</v>
      </c>
      <c r="J5545" s="3">
        <f t="shared" si="5"/>
        <v>0</v>
      </c>
    </row>
    <row r="5546">
      <c r="A5546" s="1" t="s">
        <v>4124</v>
      </c>
      <c r="B5546" s="3" t="str">
        <f t="shared" si="1"/>
        <v>Unavailable</v>
      </c>
      <c r="C5546" s="5">
        <v>6139.0</v>
      </c>
      <c r="D5546" s="3">
        <f>IFERROR(__xludf.DUMMYFUNCTION("IFERROR(
IF(REGEXMATCH(LOWER(O5546),""k""),
VALUE(REGEXEXTRACT(O5546,""[0-9]+""))*1000,
VALUE(REGEXEXTRACT(O5546,""[0-9]+""))
),
0
)"),0.0)</f>
        <v>0</v>
      </c>
      <c r="E5546" s="1" t="s">
        <v>11</v>
      </c>
      <c r="F5546" s="1" t="s">
        <v>20</v>
      </c>
      <c r="G5546" s="4" t="b">
        <f t="shared" si="2"/>
        <v>1</v>
      </c>
      <c r="H5546" s="1" t="str">
        <f t="shared" si="3"/>
        <v>Currently Unavailable</v>
      </c>
      <c r="I5546" s="1" t="str">
        <f t="shared" si="4"/>
        <v>No Badges</v>
      </c>
      <c r="J5546" s="3">
        <f t="shared" si="5"/>
        <v>0</v>
      </c>
    </row>
    <row r="5547">
      <c r="A5547" s="1" t="s">
        <v>4125</v>
      </c>
      <c r="B5547" s="3" t="str">
        <f t="shared" si="1"/>
        <v>Unavailable</v>
      </c>
      <c r="C5547" s="3">
        <v>432.0</v>
      </c>
      <c r="D5547" s="3">
        <f>IFERROR(__xludf.DUMMYFUNCTION("IFERROR(
IF(REGEXMATCH(LOWER(O5547),""k""),
VALUE(REGEXEXTRACT(O5547,""[0-9]+""))*1000,
VALUE(REGEXEXTRACT(O5547,""[0-9]+""))
),
0
)"),0.0)</f>
        <v>0</v>
      </c>
      <c r="E5547" s="1" t="s">
        <v>11</v>
      </c>
      <c r="F5547" s="1" t="s">
        <v>20</v>
      </c>
      <c r="G5547" s="4" t="b">
        <f t="shared" si="2"/>
        <v>1</v>
      </c>
      <c r="H5547" s="1" t="str">
        <f t="shared" si="3"/>
        <v>Currently Unavailable</v>
      </c>
      <c r="I5547" s="1" t="str">
        <f t="shared" si="4"/>
        <v>No Badges</v>
      </c>
      <c r="J5547" s="3">
        <f t="shared" si="5"/>
        <v>0</v>
      </c>
    </row>
    <row r="5548">
      <c r="A5548" s="1" t="s">
        <v>4126</v>
      </c>
      <c r="B5548" s="3" t="str">
        <f t="shared" si="1"/>
        <v>Unavailable</v>
      </c>
      <c r="C5548" s="5">
        <v>5638.0</v>
      </c>
      <c r="D5548" s="3">
        <f>IFERROR(__xludf.DUMMYFUNCTION("IFERROR(
IF(REGEXMATCH(LOWER(O5548),""k""),
VALUE(REGEXEXTRACT(O5548,""[0-9]+""))*1000,
VALUE(REGEXEXTRACT(O5548,""[0-9]+""))
),
0
)"),0.0)</f>
        <v>0</v>
      </c>
      <c r="E5548" s="1" t="s">
        <v>11</v>
      </c>
      <c r="F5548" s="1" t="s">
        <v>20</v>
      </c>
      <c r="G5548" s="4" t="b">
        <f t="shared" si="2"/>
        <v>1</v>
      </c>
      <c r="H5548" s="1" t="str">
        <f t="shared" si="3"/>
        <v>Currently Unavailable</v>
      </c>
      <c r="I5548" s="1" t="str">
        <f t="shared" si="4"/>
        <v>No Badges</v>
      </c>
      <c r="J5548" s="3">
        <f t="shared" si="5"/>
        <v>0</v>
      </c>
    </row>
    <row r="5549">
      <c r="A5549" s="1" t="s">
        <v>4127</v>
      </c>
      <c r="B5549" s="3" t="str">
        <f t="shared" si="1"/>
        <v>Unavailable</v>
      </c>
      <c r="C5549" s="3">
        <v>132.0</v>
      </c>
      <c r="D5549" s="3">
        <f>IFERROR(__xludf.DUMMYFUNCTION("IFERROR(
IF(REGEXMATCH(LOWER(O5549),""k""),
VALUE(REGEXEXTRACT(O5549,""[0-9]+""))*1000,
VALUE(REGEXEXTRACT(O5549,""[0-9]+""))
),
0
)"),0.0)</f>
        <v>0</v>
      </c>
      <c r="E5549" s="1" t="s">
        <v>11</v>
      </c>
      <c r="F5549" s="1" t="s">
        <v>20</v>
      </c>
      <c r="G5549" s="4" t="b">
        <f t="shared" si="2"/>
        <v>1</v>
      </c>
      <c r="H5549" s="1" t="str">
        <f t="shared" si="3"/>
        <v>Currently Unavailable</v>
      </c>
      <c r="I5549" s="1" t="str">
        <f t="shared" si="4"/>
        <v>No Badges</v>
      </c>
      <c r="J5549" s="3">
        <f t="shared" si="5"/>
        <v>0</v>
      </c>
    </row>
    <row r="5550">
      <c r="A5550" s="1" t="s">
        <v>4128</v>
      </c>
      <c r="B5550" s="3" t="str">
        <f t="shared" si="1"/>
        <v>Unavailable</v>
      </c>
      <c r="C5550" s="5">
        <v>3949.0</v>
      </c>
      <c r="D5550" s="3">
        <f>IFERROR(__xludf.DUMMYFUNCTION("IFERROR(
IF(REGEXMATCH(LOWER(O5550),""k""),
VALUE(REGEXEXTRACT(O5550,""[0-9]+""))*1000,
VALUE(REGEXEXTRACT(O5550,""[0-9]+""))
),
0
)"),0.0)</f>
        <v>0</v>
      </c>
      <c r="E5550" s="1" t="s">
        <v>11</v>
      </c>
      <c r="F5550" s="1" t="s">
        <v>20</v>
      </c>
      <c r="G5550" s="4" t="b">
        <f t="shared" si="2"/>
        <v>1</v>
      </c>
      <c r="H5550" s="1" t="str">
        <f t="shared" si="3"/>
        <v>Currently Unavailable</v>
      </c>
      <c r="I5550" s="1" t="str">
        <f t="shared" si="4"/>
        <v>No Badges</v>
      </c>
      <c r="J5550" s="3">
        <f t="shared" si="5"/>
        <v>0</v>
      </c>
    </row>
    <row r="5551">
      <c r="A5551" s="1" t="s">
        <v>4129</v>
      </c>
      <c r="B5551" s="3" t="str">
        <f t="shared" si="1"/>
        <v>Unavailable</v>
      </c>
      <c r="C5551" s="5">
        <v>1243.0</v>
      </c>
      <c r="D5551" s="3">
        <f>IFERROR(__xludf.DUMMYFUNCTION("IFERROR(
IF(REGEXMATCH(LOWER(O5551),""k""),
VALUE(REGEXEXTRACT(O5551,""[0-9]+""))*1000,
VALUE(REGEXEXTRACT(O5551,""[0-9]+""))
),
0
)"),0.0)</f>
        <v>0</v>
      </c>
      <c r="E5551" s="1" t="s">
        <v>11</v>
      </c>
      <c r="F5551" s="1" t="s">
        <v>20</v>
      </c>
      <c r="G5551" s="4" t="b">
        <f t="shared" si="2"/>
        <v>1</v>
      </c>
      <c r="H5551" s="1" t="str">
        <f t="shared" si="3"/>
        <v>Currently Unavailable</v>
      </c>
      <c r="I5551" s="1" t="str">
        <f t="shared" si="4"/>
        <v>No Badges</v>
      </c>
      <c r="J5551" s="3">
        <f t="shared" si="5"/>
        <v>0</v>
      </c>
    </row>
    <row r="5552">
      <c r="A5552" s="1" t="s">
        <v>4130</v>
      </c>
      <c r="B5552" s="3" t="str">
        <f t="shared" si="1"/>
        <v>Unavailable</v>
      </c>
      <c r="C5552" s="3">
        <v>393.0</v>
      </c>
      <c r="D5552" s="3">
        <f>IFERROR(__xludf.DUMMYFUNCTION("IFERROR(
IF(REGEXMATCH(LOWER(O5552),""k""),
VALUE(REGEXEXTRACT(O5552,""[0-9]+""))*1000,
VALUE(REGEXEXTRACT(O5552,""[0-9]+""))
),
0
)"),0.0)</f>
        <v>0</v>
      </c>
      <c r="E5552" s="1" t="s">
        <v>18</v>
      </c>
      <c r="F5552" s="1" t="s">
        <v>20</v>
      </c>
      <c r="G5552" s="4" t="b">
        <f t="shared" si="2"/>
        <v>1</v>
      </c>
      <c r="H5552" s="1" t="str">
        <f t="shared" si="3"/>
        <v>Currently Unavailable</v>
      </c>
      <c r="I5552" s="1" t="str">
        <f t="shared" si="4"/>
        <v>No Badges</v>
      </c>
      <c r="J5552" s="3">
        <f t="shared" si="5"/>
        <v>0</v>
      </c>
    </row>
    <row r="5553">
      <c r="A5553" s="1" t="s">
        <v>4131</v>
      </c>
      <c r="B5553" s="3" t="str">
        <f t="shared" si="1"/>
        <v>Unavailable</v>
      </c>
      <c r="C5553" s="3">
        <v>914.0</v>
      </c>
      <c r="D5553" s="3">
        <f>IFERROR(__xludf.DUMMYFUNCTION("IFERROR(
IF(REGEXMATCH(LOWER(O5553),""k""),
VALUE(REGEXEXTRACT(O5553,""[0-9]+""))*1000,
VALUE(REGEXEXTRACT(O5553,""[0-9]+""))
),
0
)"),0.0)</f>
        <v>0</v>
      </c>
      <c r="E5553" s="1" t="s">
        <v>11</v>
      </c>
      <c r="F5553" s="1" t="s">
        <v>20</v>
      </c>
      <c r="G5553" s="4" t="b">
        <f t="shared" si="2"/>
        <v>1</v>
      </c>
      <c r="H5553" s="1" t="str">
        <f t="shared" si="3"/>
        <v>Currently Unavailable</v>
      </c>
      <c r="I5553" s="1" t="str">
        <f t="shared" si="4"/>
        <v>No Badges</v>
      </c>
      <c r="J5553" s="3">
        <f t="shared" si="5"/>
        <v>0</v>
      </c>
    </row>
    <row r="5554">
      <c r="A5554" s="1" t="s">
        <v>4132</v>
      </c>
      <c r="B5554" s="3" t="str">
        <f t="shared" si="1"/>
        <v>Unavailable</v>
      </c>
      <c r="C5554" s="3">
        <v>44.0</v>
      </c>
      <c r="D5554" s="3">
        <f>IFERROR(__xludf.DUMMYFUNCTION("IFERROR(
IF(REGEXMATCH(LOWER(O5554),""k""),
VALUE(REGEXEXTRACT(O5554,""[0-9]+""))*1000,
VALUE(REGEXEXTRACT(O5554,""[0-9]+""))
),
0
)"),0.0)</f>
        <v>0</v>
      </c>
      <c r="E5554" s="1" t="s">
        <v>11</v>
      </c>
      <c r="F5554" s="1" t="s">
        <v>20</v>
      </c>
      <c r="G5554" s="4" t="b">
        <f t="shared" si="2"/>
        <v>1</v>
      </c>
      <c r="H5554" s="1" t="str">
        <f t="shared" si="3"/>
        <v>Currently Unavailable</v>
      </c>
      <c r="I5554" s="1" t="str">
        <f t="shared" si="4"/>
        <v>No Badges</v>
      </c>
      <c r="J5554" s="3">
        <f t="shared" si="5"/>
        <v>0</v>
      </c>
    </row>
    <row r="5555">
      <c r="A5555" s="1" t="s">
        <v>4133</v>
      </c>
      <c r="B5555" s="3" t="str">
        <f t="shared" si="1"/>
        <v>Unavailable</v>
      </c>
      <c r="C5555" s="3">
        <v>3.0</v>
      </c>
      <c r="D5555" s="3">
        <f>IFERROR(__xludf.DUMMYFUNCTION("IFERROR(
IF(REGEXMATCH(LOWER(O5555),""k""),
VALUE(REGEXEXTRACT(O5555,""[0-9]+""))*1000,
VALUE(REGEXEXTRACT(O5555,""[0-9]+""))
),
0
)"),0.0)</f>
        <v>0</v>
      </c>
      <c r="E5555" s="1" t="s">
        <v>11</v>
      </c>
      <c r="F5555" s="1" t="s">
        <v>20</v>
      </c>
      <c r="G5555" s="4" t="b">
        <f t="shared" si="2"/>
        <v>1</v>
      </c>
      <c r="H5555" s="1" t="str">
        <f t="shared" si="3"/>
        <v>Currently Unavailable</v>
      </c>
      <c r="I5555" s="1" t="str">
        <f t="shared" si="4"/>
        <v>No Badges</v>
      </c>
      <c r="J5555" s="3">
        <f t="shared" si="5"/>
        <v>0</v>
      </c>
    </row>
    <row r="5556">
      <c r="A5556" s="1" t="s">
        <v>4134</v>
      </c>
      <c r="B5556" s="3" t="str">
        <f t="shared" si="1"/>
        <v>Unavailable</v>
      </c>
      <c r="C5556" s="5">
        <v>2667.0</v>
      </c>
      <c r="D5556" s="3">
        <f>IFERROR(__xludf.DUMMYFUNCTION("IFERROR(
IF(REGEXMATCH(LOWER(O5556),""k""),
VALUE(REGEXEXTRACT(O5556,""[0-9]+""))*1000,
VALUE(REGEXEXTRACT(O5556,""[0-9]+""))
),
0
)"),0.0)</f>
        <v>0</v>
      </c>
      <c r="E5556" s="1" t="s">
        <v>11</v>
      </c>
      <c r="F5556" s="1" t="s">
        <v>20</v>
      </c>
      <c r="G5556" s="4" t="b">
        <f t="shared" si="2"/>
        <v>1</v>
      </c>
      <c r="H5556" s="1" t="str">
        <f t="shared" si="3"/>
        <v>Currently Unavailable</v>
      </c>
      <c r="I5556" s="1" t="str">
        <f t="shared" si="4"/>
        <v>No Badges</v>
      </c>
      <c r="J5556" s="3">
        <f t="shared" si="5"/>
        <v>0</v>
      </c>
    </row>
    <row r="5557">
      <c r="A5557" s="1" t="s">
        <v>4135</v>
      </c>
      <c r="B5557" s="3" t="str">
        <f t="shared" si="1"/>
        <v>Unavailable</v>
      </c>
      <c r="C5557" s="5">
        <v>4684.0</v>
      </c>
      <c r="D5557" s="3">
        <f>IFERROR(__xludf.DUMMYFUNCTION("IFERROR(
IF(REGEXMATCH(LOWER(O5557),""k""),
VALUE(REGEXEXTRACT(O5557,""[0-9]+""))*1000,
VALUE(REGEXEXTRACT(O5557,""[0-9]+""))
),
0
)"),0.0)</f>
        <v>0</v>
      </c>
      <c r="E5557" s="1" t="s">
        <v>11</v>
      </c>
      <c r="F5557" s="1" t="s">
        <v>20</v>
      </c>
      <c r="G5557" s="4" t="b">
        <f t="shared" si="2"/>
        <v>1</v>
      </c>
      <c r="H5557" s="1" t="str">
        <f t="shared" si="3"/>
        <v>Currently Unavailable</v>
      </c>
      <c r="I5557" s="1" t="str">
        <f t="shared" si="4"/>
        <v>No Badges</v>
      </c>
      <c r="J5557" s="3">
        <f t="shared" si="5"/>
        <v>0</v>
      </c>
    </row>
    <row r="5558">
      <c r="A5558" s="1" t="s">
        <v>69</v>
      </c>
      <c r="B5558" s="3" t="str">
        <f t="shared" si="1"/>
        <v>Unavailable</v>
      </c>
      <c r="C5558" s="3">
        <v>45.0</v>
      </c>
      <c r="D5558" s="3">
        <f>IFERROR(__xludf.DUMMYFUNCTION("IFERROR(
IF(REGEXMATCH(LOWER(O5558),""k""),
VALUE(REGEXEXTRACT(O5558,""[0-9]+""))*1000,
VALUE(REGEXEXTRACT(O5558,""[0-9]+""))
),
0
)"),0.0)</f>
        <v>0</v>
      </c>
      <c r="E5558" s="1" t="s">
        <v>11</v>
      </c>
      <c r="F5558" s="1" t="s">
        <v>12</v>
      </c>
      <c r="G5558" s="4" t="b">
        <f t="shared" si="2"/>
        <v>1</v>
      </c>
      <c r="H5558" s="1" t="str">
        <f t="shared" si="3"/>
        <v>Currently Unavailable</v>
      </c>
      <c r="I5558" s="1" t="str">
        <f t="shared" si="4"/>
        <v>No Badges</v>
      </c>
      <c r="J5558" s="3">
        <f t="shared" si="5"/>
        <v>0</v>
      </c>
    </row>
    <row r="5559">
      <c r="A5559" s="1" t="s">
        <v>67</v>
      </c>
      <c r="B5559" s="3" t="str">
        <f t="shared" si="1"/>
        <v>Unavailable</v>
      </c>
      <c r="C5559" s="3">
        <v>264.0</v>
      </c>
      <c r="D5559" s="3">
        <f>IFERROR(__xludf.DUMMYFUNCTION("IFERROR(
IF(REGEXMATCH(LOWER(O5559),""k""),
VALUE(REGEXEXTRACT(O5559,""[0-9]+""))*1000,
VALUE(REGEXEXTRACT(O5559,""[0-9]+""))
),
0
)"),0.0)</f>
        <v>0</v>
      </c>
      <c r="E5559" s="1" t="s">
        <v>11</v>
      </c>
      <c r="F5559" s="1" t="s">
        <v>12</v>
      </c>
      <c r="G5559" s="4" t="b">
        <f t="shared" si="2"/>
        <v>1</v>
      </c>
      <c r="H5559" s="1" t="str">
        <f t="shared" si="3"/>
        <v>Currently Unavailable</v>
      </c>
      <c r="I5559" s="1" t="str">
        <f t="shared" si="4"/>
        <v>No Badges</v>
      </c>
      <c r="J5559" s="3">
        <f t="shared" si="5"/>
        <v>0</v>
      </c>
    </row>
    <row r="5560">
      <c r="A5560" s="1" t="s">
        <v>4136</v>
      </c>
      <c r="B5560" s="3" t="str">
        <f t="shared" si="1"/>
        <v>Unavailable</v>
      </c>
      <c r="C5560" s="3">
        <v>444.0</v>
      </c>
      <c r="D5560" s="3">
        <f>IFERROR(__xludf.DUMMYFUNCTION("IFERROR(
IF(REGEXMATCH(LOWER(O5560),""k""),
VALUE(REGEXEXTRACT(O5560,""[0-9]+""))*1000,
VALUE(REGEXEXTRACT(O5560,""[0-9]+""))
),
0
)"),0.0)</f>
        <v>0</v>
      </c>
      <c r="E5560" s="1" t="s">
        <v>11</v>
      </c>
      <c r="F5560" s="1" t="s">
        <v>20</v>
      </c>
      <c r="G5560" s="4" t="b">
        <f t="shared" si="2"/>
        <v>1</v>
      </c>
      <c r="H5560" s="1" t="str">
        <f t="shared" si="3"/>
        <v>Currently Unavailable</v>
      </c>
      <c r="I5560" s="1" t="str">
        <f t="shared" si="4"/>
        <v>No Badges</v>
      </c>
      <c r="J5560" s="3">
        <f t="shared" si="5"/>
        <v>0</v>
      </c>
    </row>
    <row r="5561">
      <c r="A5561" s="1" t="s">
        <v>4137</v>
      </c>
      <c r="B5561" s="3" t="str">
        <f t="shared" si="1"/>
        <v>Unavailable</v>
      </c>
      <c r="C5561" s="3">
        <v>588.0</v>
      </c>
      <c r="D5561" s="3">
        <f>IFERROR(__xludf.DUMMYFUNCTION("IFERROR(
IF(REGEXMATCH(LOWER(O5561),""k""),
VALUE(REGEXEXTRACT(O5561,""[0-9]+""))*1000,
VALUE(REGEXEXTRACT(O5561,""[0-9]+""))
),
0
)"),0.0)</f>
        <v>0</v>
      </c>
      <c r="E5561" s="1" t="s">
        <v>18</v>
      </c>
      <c r="F5561" s="1" t="s">
        <v>20</v>
      </c>
      <c r="G5561" s="4" t="b">
        <f t="shared" si="2"/>
        <v>1</v>
      </c>
      <c r="H5561" s="1" t="str">
        <f t="shared" si="3"/>
        <v>Currently Unavailable</v>
      </c>
      <c r="I5561" s="1" t="str">
        <f t="shared" si="4"/>
        <v>No Badges</v>
      </c>
      <c r="J5561" s="3">
        <f t="shared" si="5"/>
        <v>0</v>
      </c>
    </row>
    <row r="5562">
      <c r="A5562" s="1" t="s">
        <v>4138</v>
      </c>
      <c r="B5562" s="3" t="str">
        <f t="shared" si="1"/>
        <v>Unavailable</v>
      </c>
      <c r="C5562" s="5">
        <v>2632.0</v>
      </c>
      <c r="D5562" s="3">
        <f>IFERROR(__xludf.DUMMYFUNCTION("IFERROR(
IF(REGEXMATCH(LOWER(O5562),""k""),
VALUE(REGEXEXTRACT(O5562,""[0-9]+""))*1000,
VALUE(REGEXEXTRACT(O5562,""[0-9]+""))
),
0
)"),0.0)</f>
        <v>0</v>
      </c>
      <c r="E5562" s="1" t="s">
        <v>11</v>
      </c>
      <c r="F5562" s="1" t="s">
        <v>20</v>
      </c>
      <c r="G5562" s="4" t="b">
        <f t="shared" si="2"/>
        <v>1</v>
      </c>
      <c r="H5562" s="1" t="str">
        <f t="shared" si="3"/>
        <v>Currently Unavailable</v>
      </c>
      <c r="I5562" s="1" t="str">
        <f t="shared" si="4"/>
        <v>No Badges</v>
      </c>
      <c r="J5562" s="3">
        <f t="shared" si="5"/>
        <v>0</v>
      </c>
    </row>
    <row r="5563">
      <c r="A5563" s="1" t="s">
        <v>4139</v>
      </c>
      <c r="B5563" s="3" t="str">
        <f t="shared" si="1"/>
        <v>Unavailable</v>
      </c>
      <c r="C5563" s="3">
        <v>185.0</v>
      </c>
      <c r="D5563" s="3">
        <f>IFERROR(__xludf.DUMMYFUNCTION("IFERROR(
IF(REGEXMATCH(LOWER(O5563),""k""),
VALUE(REGEXEXTRACT(O5563,""[0-9]+""))*1000,
VALUE(REGEXEXTRACT(O5563,""[0-9]+""))
),
0
)"),0.0)</f>
        <v>0</v>
      </c>
      <c r="E5563" s="1" t="s">
        <v>11</v>
      </c>
      <c r="F5563" s="1" t="s">
        <v>20</v>
      </c>
      <c r="G5563" s="4" t="b">
        <f t="shared" si="2"/>
        <v>1</v>
      </c>
      <c r="H5563" s="1" t="str">
        <f t="shared" si="3"/>
        <v>Currently Unavailable</v>
      </c>
      <c r="I5563" s="1" t="str">
        <f t="shared" si="4"/>
        <v>No Badges</v>
      </c>
      <c r="J5563" s="3">
        <f t="shared" si="5"/>
        <v>0</v>
      </c>
    </row>
    <row r="5564">
      <c r="A5564" s="1" t="s">
        <v>4140</v>
      </c>
      <c r="B5564" s="3" t="str">
        <f t="shared" si="1"/>
        <v>Unavailable</v>
      </c>
      <c r="C5564" s="5">
        <v>7041.0</v>
      </c>
      <c r="D5564" s="3">
        <f>IFERROR(__xludf.DUMMYFUNCTION("IFERROR(
IF(REGEXMATCH(LOWER(O5564),""k""),
VALUE(REGEXEXTRACT(O5564,""[0-9]+""))*1000,
VALUE(REGEXEXTRACT(O5564,""[0-9]+""))
),
0
)"),0.0)</f>
        <v>0</v>
      </c>
      <c r="E5564" s="1" t="s">
        <v>11</v>
      </c>
      <c r="F5564" s="1" t="s">
        <v>20</v>
      </c>
      <c r="G5564" s="4" t="b">
        <f t="shared" si="2"/>
        <v>1</v>
      </c>
      <c r="H5564" s="1" t="str">
        <f t="shared" si="3"/>
        <v>Currently Unavailable</v>
      </c>
      <c r="I5564" s="1" t="str">
        <f t="shared" si="4"/>
        <v>No Badges</v>
      </c>
      <c r="J5564" s="3">
        <f t="shared" si="5"/>
        <v>0</v>
      </c>
    </row>
    <row r="5565">
      <c r="A5565" s="1" t="s">
        <v>4141</v>
      </c>
      <c r="B5565" s="3" t="str">
        <f t="shared" si="1"/>
        <v>Unavailable</v>
      </c>
      <c r="C5565" s="3">
        <v>482.0</v>
      </c>
      <c r="D5565" s="3">
        <f>IFERROR(__xludf.DUMMYFUNCTION("IFERROR(
IF(REGEXMATCH(LOWER(O5565),""k""),
VALUE(REGEXEXTRACT(O5565,""[0-9]+""))*1000,
VALUE(REGEXEXTRACT(O5565,""[0-9]+""))
),
0
)"),0.0)</f>
        <v>0</v>
      </c>
      <c r="E5565" s="1" t="s">
        <v>11</v>
      </c>
      <c r="F5565" s="1" t="s">
        <v>20</v>
      </c>
      <c r="G5565" s="4" t="b">
        <f t="shared" si="2"/>
        <v>1</v>
      </c>
      <c r="H5565" s="1" t="str">
        <f t="shared" si="3"/>
        <v>Currently Unavailable</v>
      </c>
      <c r="I5565" s="1" t="str">
        <f t="shared" si="4"/>
        <v>No Badges</v>
      </c>
      <c r="J5565" s="3">
        <f t="shared" si="5"/>
        <v>0</v>
      </c>
    </row>
    <row r="5566">
      <c r="A5566" s="1" t="s">
        <v>4142</v>
      </c>
      <c r="B5566" s="3" t="str">
        <f t="shared" si="1"/>
        <v>Unavailable</v>
      </c>
      <c r="C5566" s="5">
        <v>4197.0</v>
      </c>
      <c r="D5566" s="3">
        <f>IFERROR(__xludf.DUMMYFUNCTION("IFERROR(
IF(REGEXMATCH(LOWER(O5566),""k""),
VALUE(REGEXEXTRACT(O5566,""[0-9]+""))*1000,
VALUE(REGEXEXTRACT(O5566,""[0-9]+""))
),
0
)"),0.0)</f>
        <v>0</v>
      </c>
      <c r="E5566" s="1" t="s">
        <v>11</v>
      </c>
      <c r="F5566" s="1" t="s">
        <v>20</v>
      </c>
      <c r="G5566" s="4" t="b">
        <f t="shared" si="2"/>
        <v>1</v>
      </c>
      <c r="H5566" s="1" t="str">
        <f t="shared" si="3"/>
        <v>Currently Unavailable</v>
      </c>
      <c r="I5566" s="1" t="str">
        <f t="shared" si="4"/>
        <v>No Badges</v>
      </c>
      <c r="J5566" s="3">
        <f t="shared" si="5"/>
        <v>0</v>
      </c>
    </row>
    <row r="5567">
      <c r="A5567" s="1" t="s">
        <v>4143</v>
      </c>
      <c r="B5567" s="3" t="str">
        <f t="shared" si="1"/>
        <v>Unavailable</v>
      </c>
      <c r="C5567" s="5">
        <v>1925.0</v>
      </c>
      <c r="D5567" s="3">
        <f>IFERROR(__xludf.DUMMYFUNCTION("IFERROR(
IF(REGEXMATCH(LOWER(O5567),""k""),
VALUE(REGEXEXTRACT(O5567,""[0-9]+""))*1000,
VALUE(REGEXEXTRACT(O5567,""[0-9]+""))
),
0
)"),0.0)</f>
        <v>0</v>
      </c>
      <c r="E5567" s="1" t="s">
        <v>11</v>
      </c>
      <c r="F5567" s="1" t="s">
        <v>20</v>
      </c>
      <c r="G5567" s="4" t="b">
        <f t="shared" si="2"/>
        <v>1</v>
      </c>
      <c r="H5567" s="1" t="str">
        <f t="shared" si="3"/>
        <v>Currently Unavailable</v>
      </c>
      <c r="I5567" s="1" t="str">
        <f t="shared" si="4"/>
        <v>No Badges</v>
      </c>
      <c r="J5567" s="3">
        <f t="shared" si="5"/>
        <v>0</v>
      </c>
    </row>
    <row r="5568">
      <c r="A5568" s="1" t="s">
        <v>4144</v>
      </c>
      <c r="B5568" s="3" t="str">
        <f t="shared" si="1"/>
        <v>Unavailable</v>
      </c>
      <c r="C5568" s="5">
        <v>11369.0</v>
      </c>
      <c r="D5568" s="3">
        <f>IFERROR(__xludf.DUMMYFUNCTION("IFERROR(
IF(REGEXMATCH(LOWER(O5568),""k""),
VALUE(REGEXEXTRACT(O5568,""[0-9]+""))*1000,
VALUE(REGEXEXTRACT(O5568,""[0-9]+""))
),
0
)"),0.0)</f>
        <v>0</v>
      </c>
      <c r="E5568" s="1" t="s">
        <v>11</v>
      </c>
      <c r="F5568" s="1" t="s">
        <v>20</v>
      </c>
      <c r="G5568" s="4" t="b">
        <f t="shared" si="2"/>
        <v>1</v>
      </c>
      <c r="H5568" s="1" t="str">
        <f t="shared" si="3"/>
        <v>Currently Unavailable</v>
      </c>
      <c r="I5568" s="1" t="str">
        <f t="shared" si="4"/>
        <v>No Badges</v>
      </c>
      <c r="J5568" s="3">
        <f t="shared" si="5"/>
        <v>0</v>
      </c>
    </row>
    <row r="5569">
      <c r="A5569" s="1" t="s">
        <v>4145</v>
      </c>
      <c r="B5569" s="3" t="str">
        <f t="shared" si="1"/>
        <v>Unavailable</v>
      </c>
      <c r="C5569" s="5">
        <v>5178.0</v>
      </c>
      <c r="D5569" s="3">
        <f>IFERROR(__xludf.DUMMYFUNCTION("IFERROR(
IF(REGEXMATCH(LOWER(O5569),""k""),
VALUE(REGEXEXTRACT(O5569,""[0-9]+""))*1000,
VALUE(REGEXEXTRACT(O5569,""[0-9]+""))
),
0
)"),0.0)</f>
        <v>0</v>
      </c>
      <c r="E5569" s="1" t="s">
        <v>11</v>
      </c>
      <c r="F5569" s="1" t="s">
        <v>20</v>
      </c>
      <c r="G5569" s="4" t="b">
        <f t="shared" si="2"/>
        <v>1</v>
      </c>
      <c r="H5569" s="1" t="str">
        <f t="shared" si="3"/>
        <v>Currently Unavailable</v>
      </c>
      <c r="I5569" s="1" t="str">
        <f t="shared" si="4"/>
        <v>No Badges</v>
      </c>
      <c r="J5569" s="3">
        <f t="shared" si="5"/>
        <v>0</v>
      </c>
    </row>
    <row r="5570">
      <c r="A5570" s="1" t="s">
        <v>4146</v>
      </c>
      <c r="B5570" s="3" t="str">
        <f t="shared" si="1"/>
        <v>Unavailable</v>
      </c>
      <c r="C5570" s="3">
        <v>695.0</v>
      </c>
      <c r="D5570" s="3">
        <f>IFERROR(__xludf.DUMMYFUNCTION("IFERROR(
IF(REGEXMATCH(LOWER(O5570),""k""),
VALUE(REGEXEXTRACT(O5570,""[0-9]+""))*1000,
VALUE(REGEXEXTRACT(O5570,""[0-9]+""))
),
0
)"),0.0)</f>
        <v>0</v>
      </c>
      <c r="E5570" s="1" t="s">
        <v>11</v>
      </c>
      <c r="F5570" s="1" t="s">
        <v>20</v>
      </c>
      <c r="G5570" s="4" t="b">
        <f t="shared" si="2"/>
        <v>1</v>
      </c>
      <c r="H5570" s="1" t="str">
        <f t="shared" si="3"/>
        <v>Currently Unavailable</v>
      </c>
      <c r="I5570" s="1" t="str">
        <f t="shared" si="4"/>
        <v>No Badges</v>
      </c>
      <c r="J5570" s="3">
        <f t="shared" si="5"/>
        <v>0</v>
      </c>
    </row>
    <row r="5571">
      <c r="A5571" s="1" t="s">
        <v>4147</v>
      </c>
      <c r="B5571" s="3" t="str">
        <f t="shared" si="1"/>
        <v>Unavailable</v>
      </c>
      <c r="C5571" s="5">
        <v>2346.0</v>
      </c>
      <c r="D5571" s="3">
        <f>IFERROR(__xludf.DUMMYFUNCTION("IFERROR(
IF(REGEXMATCH(LOWER(O5571),""k""),
VALUE(REGEXEXTRACT(O5571,""[0-9]+""))*1000,
VALUE(REGEXEXTRACT(O5571,""[0-9]+""))
),
0
)"),0.0)</f>
        <v>0</v>
      </c>
      <c r="E5571" s="1" t="s">
        <v>18</v>
      </c>
      <c r="F5571" s="1" t="s">
        <v>20</v>
      </c>
      <c r="G5571" s="4" t="b">
        <f t="shared" si="2"/>
        <v>1</v>
      </c>
      <c r="H5571" s="1" t="str">
        <f t="shared" si="3"/>
        <v>Currently Unavailable</v>
      </c>
      <c r="I5571" s="1" t="str">
        <f t="shared" si="4"/>
        <v>No Badges</v>
      </c>
      <c r="J5571" s="3">
        <f t="shared" si="5"/>
        <v>0</v>
      </c>
    </row>
    <row r="5572">
      <c r="A5572" s="1" t="s">
        <v>4148</v>
      </c>
      <c r="B5572" s="3" t="str">
        <f t="shared" si="1"/>
        <v>Unavailable</v>
      </c>
      <c r="C5572" s="3">
        <v>956.0</v>
      </c>
      <c r="D5572" s="3">
        <f>IFERROR(__xludf.DUMMYFUNCTION("IFERROR(
IF(REGEXMATCH(LOWER(O5572),""k""),
VALUE(REGEXEXTRACT(O5572,""[0-9]+""))*1000,
VALUE(REGEXEXTRACT(O5572,""[0-9]+""))
),
0
)"),0.0)</f>
        <v>0</v>
      </c>
      <c r="E5572" s="1" t="s">
        <v>11</v>
      </c>
      <c r="F5572" s="1" t="s">
        <v>20</v>
      </c>
      <c r="G5572" s="4" t="b">
        <f t="shared" si="2"/>
        <v>1</v>
      </c>
      <c r="H5572" s="1" t="str">
        <f t="shared" si="3"/>
        <v>Currently Unavailable</v>
      </c>
      <c r="I5572" s="1" t="str">
        <f t="shared" si="4"/>
        <v>No Badges</v>
      </c>
      <c r="J5572" s="3">
        <f t="shared" si="5"/>
        <v>0</v>
      </c>
    </row>
    <row r="5573">
      <c r="A5573" s="1" t="s">
        <v>4149</v>
      </c>
      <c r="B5573" s="3" t="str">
        <f t="shared" si="1"/>
        <v>Unavailable</v>
      </c>
      <c r="C5573" s="5">
        <v>1423.0</v>
      </c>
      <c r="D5573" s="3">
        <f>IFERROR(__xludf.DUMMYFUNCTION("IFERROR(
IF(REGEXMATCH(LOWER(O5573),""k""),
VALUE(REGEXEXTRACT(O5573,""[0-9]+""))*1000,
VALUE(REGEXEXTRACT(O5573,""[0-9]+""))
),
0
)"),0.0)</f>
        <v>0</v>
      </c>
      <c r="E5573" s="1" t="s">
        <v>11</v>
      </c>
      <c r="F5573" s="1" t="s">
        <v>20</v>
      </c>
      <c r="G5573" s="4" t="b">
        <f t="shared" si="2"/>
        <v>1</v>
      </c>
      <c r="H5573" s="1" t="str">
        <f t="shared" si="3"/>
        <v>Currently Unavailable</v>
      </c>
      <c r="I5573" s="1" t="str">
        <f t="shared" si="4"/>
        <v>No Badges</v>
      </c>
      <c r="J5573" s="3">
        <f t="shared" si="5"/>
        <v>0</v>
      </c>
    </row>
    <row r="5574">
      <c r="A5574" s="1" t="s">
        <v>4150</v>
      </c>
      <c r="B5574" s="3" t="str">
        <f t="shared" si="1"/>
        <v>Unavailable</v>
      </c>
      <c r="C5574" s="3">
        <v>394.0</v>
      </c>
      <c r="D5574" s="3">
        <f>IFERROR(__xludf.DUMMYFUNCTION("IFERROR(
IF(REGEXMATCH(LOWER(O5574),""k""),
VALUE(REGEXEXTRACT(O5574,""[0-9]+""))*1000,
VALUE(REGEXEXTRACT(O5574,""[0-9]+""))
),
0
)"),0.0)</f>
        <v>0</v>
      </c>
      <c r="E5574" s="1" t="s">
        <v>11</v>
      </c>
      <c r="F5574" s="1" t="s">
        <v>20</v>
      </c>
      <c r="G5574" s="4" t="b">
        <f t="shared" si="2"/>
        <v>1</v>
      </c>
      <c r="H5574" s="1" t="str">
        <f t="shared" si="3"/>
        <v>Currently Unavailable</v>
      </c>
      <c r="I5574" s="1" t="str">
        <f t="shared" si="4"/>
        <v>No Badges</v>
      </c>
      <c r="J5574" s="3">
        <f t="shared" si="5"/>
        <v>0</v>
      </c>
    </row>
    <row r="5575">
      <c r="A5575" s="1" t="s">
        <v>701</v>
      </c>
      <c r="B5575" s="3" t="str">
        <f t="shared" si="1"/>
        <v>Unavailable</v>
      </c>
      <c r="C5575" s="3">
        <v>8.0</v>
      </c>
      <c r="D5575" s="3">
        <f>IFERROR(__xludf.DUMMYFUNCTION("IFERROR(
IF(REGEXMATCH(LOWER(O5575),""k""),
VALUE(REGEXEXTRACT(O5575,""[0-9]+""))*1000,
VALUE(REGEXEXTRACT(O5575,""[0-9]+""))
),
0
)"),0.0)</f>
        <v>0</v>
      </c>
      <c r="E5575" s="1" t="s">
        <v>11</v>
      </c>
      <c r="F5575" s="1" t="s">
        <v>12</v>
      </c>
      <c r="G5575" s="4" t="b">
        <f t="shared" si="2"/>
        <v>1</v>
      </c>
      <c r="H5575" s="1" t="str">
        <f t="shared" si="3"/>
        <v>Currently Unavailable</v>
      </c>
      <c r="I5575" s="1" t="str">
        <f t="shared" si="4"/>
        <v>No Badges</v>
      </c>
      <c r="J5575" s="3">
        <f t="shared" si="5"/>
        <v>0</v>
      </c>
    </row>
    <row r="5576">
      <c r="A5576" s="1" t="s">
        <v>4151</v>
      </c>
      <c r="B5576" s="3" t="str">
        <f t="shared" si="1"/>
        <v>Unavailable</v>
      </c>
      <c r="C5576" s="3">
        <v>412.0</v>
      </c>
      <c r="D5576" s="3">
        <f>IFERROR(__xludf.DUMMYFUNCTION("IFERROR(
IF(REGEXMATCH(LOWER(O5576),""k""),
VALUE(REGEXEXTRACT(O5576,""[0-9]+""))*1000,
VALUE(REGEXEXTRACT(O5576,""[0-9]+""))
),
0
)"),0.0)</f>
        <v>0</v>
      </c>
      <c r="E5576" s="1" t="s">
        <v>11</v>
      </c>
      <c r="F5576" s="1" t="s">
        <v>20</v>
      </c>
      <c r="G5576" s="4" t="b">
        <f t="shared" si="2"/>
        <v>1</v>
      </c>
      <c r="H5576" s="1" t="str">
        <f t="shared" si="3"/>
        <v>Currently Unavailable</v>
      </c>
      <c r="I5576" s="1" t="str">
        <f t="shared" si="4"/>
        <v>No Badges</v>
      </c>
      <c r="J5576" s="3">
        <f t="shared" si="5"/>
        <v>0</v>
      </c>
    </row>
    <row r="5577">
      <c r="A5577" s="1" t="s">
        <v>4152</v>
      </c>
      <c r="B5577" s="3" t="str">
        <f t="shared" si="1"/>
        <v>Unavailable</v>
      </c>
      <c r="C5577" s="3">
        <v>765.0</v>
      </c>
      <c r="D5577" s="3">
        <f>IFERROR(__xludf.DUMMYFUNCTION("IFERROR(
IF(REGEXMATCH(LOWER(O5577),""k""),
VALUE(REGEXEXTRACT(O5577,""[0-9]+""))*1000,
VALUE(REGEXEXTRACT(O5577,""[0-9]+""))
),
0
)"),0.0)</f>
        <v>0</v>
      </c>
      <c r="E5577" s="1" t="s">
        <v>11</v>
      </c>
      <c r="F5577" s="1" t="s">
        <v>20</v>
      </c>
      <c r="G5577" s="4" t="b">
        <f t="shared" si="2"/>
        <v>1</v>
      </c>
      <c r="H5577" s="1" t="str">
        <f t="shared" si="3"/>
        <v>Currently Unavailable</v>
      </c>
      <c r="I5577" s="1" t="str">
        <f t="shared" si="4"/>
        <v>No Badges</v>
      </c>
      <c r="J5577" s="3">
        <f t="shared" si="5"/>
        <v>0</v>
      </c>
    </row>
    <row r="5578">
      <c r="A5578" s="1" t="s">
        <v>69</v>
      </c>
      <c r="B5578" s="3" t="str">
        <f t="shared" si="1"/>
        <v>Unavailable</v>
      </c>
      <c r="C5578" s="3">
        <v>45.0</v>
      </c>
      <c r="D5578" s="3">
        <f>IFERROR(__xludf.DUMMYFUNCTION("IFERROR(
IF(REGEXMATCH(LOWER(O5578),""k""),
VALUE(REGEXEXTRACT(O5578,""[0-9]+""))*1000,
VALUE(REGEXEXTRACT(O5578,""[0-9]+""))
),
0
)"),0.0)</f>
        <v>0</v>
      </c>
      <c r="E5578" s="1" t="s">
        <v>11</v>
      </c>
      <c r="F5578" s="1" t="s">
        <v>12</v>
      </c>
      <c r="G5578" s="4" t="b">
        <f t="shared" si="2"/>
        <v>1</v>
      </c>
      <c r="H5578" s="1" t="str">
        <f t="shared" si="3"/>
        <v>Currently Unavailable</v>
      </c>
      <c r="I5578" s="1" t="str">
        <f t="shared" si="4"/>
        <v>No Badges</v>
      </c>
      <c r="J5578" s="3">
        <f t="shared" si="5"/>
        <v>0</v>
      </c>
    </row>
    <row r="5579">
      <c r="A5579" s="1" t="s">
        <v>4153</v>
      </c>
      <c r="B5579" s="3" t="str">
        <f t="shared" si="1"/>
        <v>Unavailable</v>
      </c>
      <c r="C5579" s="3">
        <v>221.0</v>
      </c>
      <c r="D5579" s="3">
        <f>IFERROR(__xludf.DUMMYFUNCTION("IFERROR(
IF(REGEXMATCH(LOWER(O5579),""k""),
VALUE(REGEXEXTRACT(O5579,""[0-9]+""))*1000,
VALUE(REGEXEXTRACT(O5579,""[0-9]+""))
),
0
)"),0.0)</f>
        <v>0</v>
      </c>
      <c r="E5579" s="1" t="s">
        <v>11</v>
      </c>
      <c r="F5579" s="1" t="s">
        <v>20</v>
      </c>
      <c r="G5579" s="4" t="b">
        <f t="shared" si="2"/>
        <v>1</v>
      </c>
      <c r="H5579" s="1" t="str">
        <f t="shared" si="3"/>
        <v>Currently Unavailable</v>
      </c>
      <c r="I5579" s="1" t="str">
        <f t="shared" si="4"/>
        <v>No Badges</v>
      </c>
      <c r="J5579" s="3">
        <f t="shared" si="5"/>
        <v>0</v>
      </c>
    </row>
    <row r="5580">
      <c r="A5580" s="1" t="s">
        <v>4154</v>
      </c>
      <c r="B5580" s="3" t="str">
        <f t="shared" si="1"/>
        <v>Unavailable</v>
      </c>
      <c r="C5580" s="3">
        <v>672.0</v>
      </c>
      <c r="D5580" s="3">
        <f>IFERROR(__xludf.DUMMYFUNCTION("IFERROR(
IF(REGEXMATCH(LOWER(O5580),""k""),
VALUE(REGEXEXTRACT(O5580,""[0-9]+""))*1000,
VALUE(REGEXEXTRACT(O5580,""[0-9]+""))
),
0
)"),0.0)</f>
        <v>0</v>
      </c>
      <c r="E5580" s="1" t="s">
        <v>11</v>
      </c>
      <c r="F5580" s="1" t="s">
        <v>20</v>
      </c>
      <c r="G5580" s="4" t="b">
        <f t="shared" si="2"/>
        <v>1</v>
      </c>
      <c r="H5580" s="1" t="str">
        <f t="shared" si="3"/>
        <v>Currently Unavailable</v>
      </c>
      <c r="I5580" s="1" t="str">
        <f t="shared" si="4"/>
        <v>No Badges</v>
      </c>
      <c r="J5580" s="3">
        <f t="shared" si="5"/>
        <v>0</v>
      </c>
    </row>
    <row r="5581">
      <c r="A5581" s="1" t="s">
        <v>4155</v>
      </c>
      <c r="B5581" s="3" t="str">
        <f t="shared" si="1"/>
        <v>Unavailable</v>
      </c>
      <c r="C5581" s="5">
        <v>7379.0</v>
      </c>
      <c r="D5581" s="3">
        <f>IFERROR(__xludf.DUMMYFUNCTION("IFERROR(
IF(REGEXMATCH(LOWER(O5581),""k""),
VALUE(REGEXEXTRACT(O5581,""[0-9]+""))*1000,
VALUE(REGEXEXTRACT(O5581,""[0-9]+""))
),
0
)"),0.0)</f>
        <v>0</v>
      </c>
      <c r="E5581" s="1" t="s">
        <v>11</v>
      </c>
      <c r="F5581" s="1" t="s">
        <v>20</v>
      </c>
      <c r="G5581" s="4" t="b">
        <f t="shared" si="2"/>
        <v>1</v>
      </c>
      <c r="H5581" s="1" t="str">
        <f t="shared" si="3"/>
        <v>Currently Unavailable</v>
      </c>
      <c r="I5581" s="1" t="str">
        <f t="shared" si="4"/>
        <v>No Badges</v>
      </c>
      <c r="J5581" s="3">
        <f t="shared" si="5"/>
        <v>0</v>
      </c>
    </row>
    <row r="5582">
      <c r="A5582" s="1" t="s">
        <v>4156</v>
      </c>
      <c r="B5582" s="3" t="str">
        <f t="shared" si="1"/>
        <v>Unavailable</v>
      </c>
      <c r="C5582" s="5">
        <v>2181.0</v>
      </c>
      <c r="D5582" s="3">
        <f>IFERROR(__xludf.DUMMYFUNCTION("IFERROR(
IF(REGEXMATCH(LOWER(O5582),""k""),
VALUE(REGEXEXTRACT(O5582,""[0-9]+""))*1000,
VALUE(REGEXEXTRACT(O5582,""[0-9]+""))
),
0
)"),0.0)</f>
        <v>0</v>
      </c>
      <c r="E5582" s="1" t="s">
        <v>11</v>
      </c>
      <c r="F5582" s="1" t="s">
        <v>20</v>
      </c>
      <c r="G5582" s="4" t="b">
        <f t="shared" si="2"/>
        <v>1</v>
      </c>
      <c r="H5582" s="1" t="str">
        <f t="shared" si="3"/>
        <v>Currently Unavailable</v>
      </c>
      <c r="I5582" s="1" t="str">
        <f t="shared" si="4"/>
        <v>No Badges</v>
      </c>
      <c r="J5582" s="3">
        <f t="shared" si="5"/>
        <v>0</v>
      </c>
    </row>
    <row r="5583">
      <c r="A5583" s="1" t="s">
        <v>4157</v>
      </c>
      <c r="B5583" s="3" t="str">
        <f t="shared" si="1"/>
        <v>Unavailable</v>
      </c>
      <c r="C5583" s="5">
        <v>1910.0</v>
      </c>
      <c r="D5583" s="3">
        <f>IFERROR(__xludf.DUMMYFUNCTION("IFERROR(
IF(REGEXMATCH(LOWER(O5583),""k""),
VALUE(REGEXEXTRACT(O5583,""[0-9]+""))*1000,
VALUE(REGEXEXTRACT(O5583,""[0-9]+""))
),
0
)"),0.0)</f>
        <v>0</v>
      </c>
      <c r="E5583" s="1" t="s">
        <v>11</v>
      </c>
      <c r="F5583" s="1" t="s">
        <v>20</v>
      </c>
      <c r="G5583" s="4" t="b">
        <f t="shared" si="2"/>
        <v>1</v>
      </c>
      <c r="H5583" s="1" t="str">
        <f t="shared" si="3"/>
        <v>Currently Unavailable</v>
      </c>
      <c r="I5583" s="1" t="str">
        <f t="shared" si="4"/>
        <v>No Badges</v>
      </c>
      <c r="J5583" s="3">
        <f t="shared" si="5"/>
        <v>0</v>
      </c>
    </row>
    <row r="5584">
      <c r="A5584" s="1" t="s">
        <v>4158</v>
      </c>
      <c r="B5584" s="3" t="str">
        <f t="shared" si="1"/>
        <v>Unavailable</v>
      </c>
      <c r="C5584" s="5">
        <v>5341.0</v>
      </c>
      <c r="D5584" s="3">
        <f>IFERROR(__xludf.DUMMYFUNCTION("IFERROR(
IF(REGEXMATCH(LOWER(O5584),""k""),
VALUE(REGEXEXTRACT(O5584,""[0-9]+""))*1000,
VALUE(REGEXEXTRACT(O5584,""[0-9]+""))
),
0
)"),0.0)</f>
        <v>0</v>
      </c>
      <c r="E5584" s="1" t="s">
        <v>11</v>
      </c>
      <c r="F5584" s="1" t="s">
        <v>20</v>
      </c>
      <c r="G5584" s="4" t="b">
        <f t="shared" si="2"/>
        <v>1</v>
      </c>
      <c r="H5584" s="1" t="str">
        <f t="shared" si="3"/>
        <v>Currently Unavailable</v>
      </c>
      <c r="I5584" s="1" t="str">
        <f t="shared" si="4"/>
        <v>No Badges</v>
      </c>
      <c r="J5584" s="3">
        <f t="shared" si="5"/>
        <v>0</v>
      </c>
    </row>
    <row r="5585">
      <c r="A5585" s="1" t="s">
        <v>4159</v>
      </c>
      <c r="B5585" s="3" t="str">
        <f t="shared" si="1"/>
        <v>Unavailable</v>
      </c>
      <c r="C5585" s="3">
        <v>13.0</v>
      </c>
      <c r="D5585" s="3">
        <f>IFERROR(__xludf.DUMMYFUNCTION("IFERROR(
IF(REGEXMATCH(LOWER(O5585),""k""),
VALUE(REGEXEXTRACT(O5585,""[0-9]+""))*1000,
VALUE(REGEXEXTRACT(O5585,""[0-9]+""))
),
0
)"),0.0)</f>
        <v>0</v>
      </c>
      <c r="E5585" s="1" t="s">
        <v>11</v>
      </c>
      <c r="F5585" s="1" t="s">
        <v>20</v>
      </c>
      <c r="G5585" s="4" t="b">
        <f t="shared" si="2"/>
        <v>1</v>
      </c>
      <c r="H5585" s="1" t="str">
        <f t="shared" si="3"/>
        <v>Currently Unavailable</v>
      </c>
      <c r="I5585" s="1" t="str">
        <f t="shared" si="4"/>
        <v>No Badges</v>
      </c>
      <c r="J5585" s="3">
        <f t="shared" si="5"/>
        <v>0</v>
      </c>
    </row>
    <row r="5586">
      <c r="A5586" s="1" t="s">
        <v>4160</v>
      </c>
      <c r="B5586" s="3" t="str">
        <f t="shared" si="1"/>
        <v>Unavailable</v>
      </c>
      <c r="C5586" s="3">
        <v>172.0</v>
      </c>
      <c r="D5586" s="3">
        <f>IFERROR(__xludf.DUMMYFUNCTION("IFERROR(
IF(REGEXMATCH(LOWER(O5586),""k""),
VALUE(REGEXEXTRACT(O5586,""[0-9]+""))*1000,
VALUE(REGEXEXTRACT(O5586,""[0-9]+""))
),
0
)"),0.0)</f>
        <v>0</v>
      </c>
      <c r="E5586" s="1" t="s">
        <v>11</v>
      </c>
      <c r="F5586" s="1" t="s">
        <v>20</v>
      </c>
      <c r="G5586" s="4" t="b">
        <f t="shared" si="2"/>
        <v>1</v>
      </c>
      <c r="H5586" s="1" t="str">
        <f t="shared" si="3"/>
        <v>Currently Unavailable</v>
      </c>
      <c r="I5586" s="1" t="str">
        <f t="shared" si="4"/>
        <v>No Badges</v>
      </c>
      <c r="J5586" s="3">
        <f t="shared" si="5"/>
        <v>0</v>
      </c>
    </row>
    <row r="5587">
      <c r="A5587" s="1" t="s">
        <v>4161</v>
      </c>
      <c r="B5587" s="3" t="str">
        <f t="shared" si="1"/>
        <v>Unavailable</v>
      </c>
      <c r="C5587" s="5">
        <v>2495.0</v>
      </c>
      <c r="D5587" s="3">
        <f>IFERROR(__xludf.DUMMYFUNCTION("IFERROR(
IF(REGEXMATCH(LOWER(O5587),""k""),
VALUE(REGEXEXTRACT(O5587,""[0-9]+""))*1000,
VALUE(REGEXEXTRACT(O5587,""[0-9]+""))
),
0
)"),0.0)</f>
        <v>0</v>
      </c>
      <c r="E5587" s="1" t="s">
        <v>11</v>
      </c>
      <c r="F5587" s="1" t="s">
        <v>20</v>
      </c>
      <c r="G5587" s="4" t="b">
        <f t="shared" si="2"/>
        <v>1</v>
      </c>
      <c r="H5587" s="1" t="str">
        <f t="shared" si="3"/>
        <v>Currently Unavailable</v>
      </c>
      <c r="I5587" s="1" t="str">
        <f t="shared" si="4"/>
        <v>No Badges</v>
      </c>
      <c r="J5587" s="3">
        <f t="shared" si="5"/>
        <v>0</v>
      </c>
    </row>
    <row r="5588">
      <c r="A5588" s="1" t="s">
        <v>4162</v>
      </c>
      <c r="B5588" s="3" t="str">
        <f t="shared" si="1"/>
        <v>Unavailable</v>
      </c>
      <c r="C5588" s="5">
        <v>1369.0</v>
      </c>
      <c r="D5588" s="3">
        <f>IFERROR(__xludf.DUMMYFUNCTION("IFERROR(
IF(REGEXMATCH(LOWER(O5588),""k""),
VALUE(REGEXEXTRACT(O5588,""[0-9]+""))*1000,
VALUE(REGEXEXTRACT(O5588,""[0-9]+""))
),
0
)"),0.0)</f>
        <v>0</v>
      </c>
      <c r="E5588" s="1" t="s">
        <v>18</v>
      </c>
      <c r="F5588" s="1" t="s">
        <v>20</v>
      </c>
      <c r="G5588" s="4" t="b">
        <f t="shared" si="2"/>
        <v>1</v>
      </c>
      <c r="H5588" s="1" t="str">
        <f t="shared" si="3"/>
        <v>Currently Unavailable</v>
      </c>
      <c r="I5588" s="1" t="str">
        <f t="shared" si="4"/>
        <v>No Badges</v>
      </c>
      <c r="J5588" s="3">
        <f t="shared" si="5"/>
        <v>0</v>
      </c>
    </row>
    <row r="5589">
      <c r="A5589" s="1" t="s">
        <v>4163</v>
      </c>
      <c r="B5589" s="3" t="str">
        <f t="shared" si="1"/>
        <v>Unavailable</v>
      </c>
      <c r="C5589" s="5">
        <v>7824.0</v>
      </c>
      <c r="D5589" s="3">
        <f>IFERROR(__xludf.DUMMYFUNCTION("IFERROR(
IF(REGEXMATCH(LOWER(O5589),""k""),
VALUE(REGEXEXTRACT(O5589,""[0-9]+""))*1000,
VALUE(REGEXEXTRACT(O5589,""[0-9]+""))
),
0
)"),0.0)</f>
        <v>0</v>
      </c>
      <c r="E5589" s="1" t="s">
        <v>11</v>
      </c>
      <c r="F5589" s="1" t="s">
        <v>20</v>
      </c>
      <c r="G5589" s="4" t="b">
        <f t="shared" si="2"/>
        <v>1</v>
      </c>
      <c r="H5589" s="1" t="str">
        <f t="shared" si="3"/>
        <v>Currently Unavailable</v>
      </c>
      <c r="I5589" s="1" t="str">
        <f t="shared" si="4"/>
        <v>No Badges</v>
      </c>
      <c r="J5589" s="3">
        <f t="shared" si="5"/>
        <v>0</v>
      </c>
    </row>
    <row r="5590">
      <c r="A5590" s="1" t="s">
        <v>4164</v>
      </c>
      <c r="B5590" s="3" t="str">
        <f t="shared" si="1"/>
        <v>Unavailable</v>
      </c>
      <c r="C5590" s="5">
        <v>1286.0</v>
      </c>
      <c r="D5590" s="3">
        <f>IFERROR(__xludf.DUMMYFUNCTION("IFERROR(
IF(REGEXMATCH(LOWER(O5590),""k""),
VALUE(REGEXEXTRACT(O5590,""[0-9]+""))*1000,
VALUE(REGEXEXTRACT(O5590,""[0-9]+""))
),
0
)"),0.0)</f>
        <v>0</v>
      </c>
      <c r="E5590" s="1" t="s">
        <v>11</v>
      </c>
      <c r="F5590" s="1" t="s">
        <v>20</v>
      </c>
      <c r="G5590" s="4" t="b">
        <f t="shared" si="2"/>
        <v>1</v>
      </c>
      <c r="H5590" s="1" t="str">
        <f t="shared" si="3"/>
        <v>Currently Unavailable</v>
      </c>
      <c r="I5590" s="1" t="str">
        <f t="shared" si="4"/>
        <v>No Badges</v>
      </c>
      <c r="J5590" s="3">
        <f t="shared" si="5"/>
        <v>0</v>
      </c>
    </row>
    <row r="5591">
      <c r="A5591" s="1" t="s">
        <v>67</v>
      </c>
      <c r="B5591" s="3" t="str">
        <f t="shared" si="1"/>
        <v>Unavailable</v>
      </c>
      <c r="C5591" s="3">
        <v>264.0</v>
      </c>
      <c r="D5591" s="3">
        <f>IFERROR(__xludf.DUMMYFUNCTION("IFERROR(
IF(REGEXMATCH(LOWER(O5591),""k""),
VALUE(REGEXEXTRACT(O5591,""[0-9]+""))*1000,
VALUE(REGEXEXTRACT(O5591,""[0-9]+""))
),
0
)"),0.0)</f>
        <v>0</v>
      </c>
      <c r="E5591" s="1" t="s">
        <v>11</v>
      </c>
      <c r="F5591" s="1" t="s">
        <v>12</v>
      </c>
      <c r="G5591" s="4" t="b">
        <f t="shared" si="2"/>
        <v>1</v>
      </c>
      <c r="H5591" s="1" t="str">
        <f t="shared" si="3"/>
        <v>Currently Unavailable</v>
      </c>
      <c r="I5591" s="1" t="str">
        <f t="shared" si="4"/>
        <v>No Badges</v>
      </c>
      <c r="J5591" s="3">
        <f t="shared" si="5"/>
        <v>0</v>
      </c>
    </row>
    <row r="5592">
      <c r="A5592" s="1" t="s">
        <v>4165</v>
      </c>
      <c r="B5592" s="3" t="str">
        <f t="shared" si="1"/>
        <v>Unavailable</v>
      </c>
      <c r="C5592" s="3">
        <v>142.0</v>
      </c>
      <c r="D5592" s="3">
        <f>IFERROR(__xludf.DUMMYFUNCTION("IFERROR(
IF(REGEXMATCH(LOWER(O5592),""k""),
VALUE(REGEXEXTRACT(O5592,""[0-9]+""))*1000,
VALUE(REGEXEXTRACT(O5592,""[0-9]+""))
),
0
)"),0.0)</f>
        <v>0</v>
      </c>
      <c r="E5592" s="1" t="s">
        <v>11</v>
      </c>
      <c r="F5592" s="1" t="s">
        <v>20</v>
      </c>
      <c r="G5592" s="4" t="b">
        <f t="shared" si="2"/>
        <v>1</v>
      </c>
      <c r="H5592" s="1" t="str">
        <f t="shared" si="3"/>
        <v>Currently Unavailable</v>
      </c>
      <c r="I5592" s="1" t="str">
        <f t="shared" si="4"/>
        <v>No Badges</v>
      </c>
      <c r="J5592" s="3">
        <f t="shared" si="5"/>
        <v>0</v>
      </c>
    </row>
    <row r="5593">
      <c r="A5593" s="1" t="s">
        <v>701</v>
      </c>
      <c r="B5593" s="3" t="str">
        <f t="shared" si="1"/>
        <v>Unavailable</v>
      </c>
      <c r="C5593" s="3">
        <v>8.0</v>
      </c>
      <c r="D5593" s="3">
        <f>IFERROR(__xludf.DUMMYFUNCTION("IFERROR(
IF(REGEXMATCH(LOWER(O5593),""k""),
VALUE(REGEXEXTRACT(O5593,""[0-9]+""))*1000,
VALUE(REGEXEXTRACT(O5593,""[0-9]+""))
),
0
)"),0.0)</f>
        <v>0</v>
      </c>
      <c r="E5593" s="1" t="s">
        <v>11</v>
      </c>
      <c r="F5593" s="1" t="s">
        <v>12</v>
      </c>
      <c r="G5593" s="4" t="b">
        <f t="shared" si="2"/>
        <v>1</v>
      </c>
      <c r="H5593" s="1" t="str">
        <f t="shared" si="3"/>
        <v>Currently Unavailable</v>
      </c>
      <c r="I5593" s="1" t="str">
        <f t="shared" si="4"/>
        <v>No Badges</v>
      </c>
      <c r="J5593" s="3">
        <f t="shared" si="5"/>
        <v>0</v>
      </c>
    </row>
    <row r="5594">
      <c r="A5594" s="1" t="s">
        <v>4166</v>
      </c>
      <c r="B5594" s="3" t="str">
        <f t="shared" si="1"/>
        <v>Unavailable</v>
      </c>
      <c r="C5594" s="3">
        <v>430.0</v>
      </c>
      <c r="D5594" s="3">
        <f>IFERROR(__xludf.DUMMYFUNCTION("IFERROR(
IF(REGEXMATCH(LOWER(O5594),""k""),
VALUE(REGEXEXTRACT(O5594,""[0-9]+""))*1000,
VALUE(REGEXEXTRACT(O5594,""[0-9]+""))
),
0
)"),0.0)</f>
        <v>0</v>
      </c>
      <c r="E5594" s="1" t="s">
        <v>11</v>
      </c>
      <c r="F5594" s="1" t="s">
        <v>20</v>
      </c>
      <c r="G5594" s="4" t="b">
        <f t="shared" si="2"/>
        <v>1</v>
      </c>
      <c r="H5594" s="1" t="str">
        <f t="shared" si="3"/>
        <v>Currently Unavailable</v>
      </c>
      <c r="I5594" s="1" t="str">
        <f t="shared" si="4"/>
        <v>No Badges</v>
      </c>
      <c r="J5594" s="3">
        <f t="shared" si="5"/>
        <v>0</v>
      </c>
    </row>
    <row r="5595">
      <c r="A5595" s="1" t="s">
        <v>4167</v>
      </c>
      <c r="B5595" s="3" t="str">
        <f t="shared" si="1"/>
        <v>Unavailable</v>
      </c>
      <c r="C5595" s="3">
        <v>810.0</v>
      </c>
      <c r="D5595" s="3">
        <f>IFERROR(__xludf.DUMMYFUNCTION("IFERROR(
IF(REGEXMATCH(LOWER(O5595),""k""),
VALUE(REGEXEXTRACT(O5595,""[0-9]+""))*1000,
VALUE(REGEXEXTRACT(O5595,""[0-9]+""))
),
0
)"),0.0)</f>
        <v>0</v>
      </c>
      <c r="E5595" s="1" t="s">
        <v>11</v>
      </c>
      <c r="F5595" s="1" t="s">
        <v>20</v>
      </c>
      <c r="G5595" s="4" t="b">
        <f t="shared" si="2"/>
        <v>1</v>
      </c>
      <c r="H5595" s="1" t="str">
        <f t="shared" si="3"/>
        <v>Currently Unavailable</v>
      </c>
      <c r="I5595" s="1" t="str">
        <f t="shared" si="4"/>
        <v>No Badges</v>
      </c>
      <c r="J5595" s="3">
        <f t="shared" si="5"/>
        <v>0</v>
      </c>
    </row>
    <row r="5596">
      <c r="A5596" s="1" t="s">
        <v>4168</v>
      </c>
      <c r="B5596" s="3" t="str">
        <f t="shared" si="1"/>
        <v>Unavailable</v>
      </c>
      <c r="C5596" s="3">
        <v>383.0</v>
      </c>
      <c r="D5596" s="3">
        <f>IFERROR(__xludf.DUMMYFUNCTION("IFERROR(
IF(REGEXMATCH(LOWER(O5596),""k""),
VALUE(REGEXEXTRACT(O5596,""[0-9]+""))*1000,
VALUE(REGEXEXTRACT(O5596,""[0-9]+""))
),
0
)"),0.0)</f>
        <v>0</v>
      </c>
      <c r="E5596" s="1" t="s">
        <v>11</v>
      </c>
      <c r="F5596" s="1" t="s">
        <v>20</v>
      </c>
      <c r="G5596" s="4" t="b">
        <f t="shared" si="2"/>
        <v>1</v>
      </c>
      <c r="H5596" s="1" t="str">
        <f t="shared" si="3"/>
        <v>Currently Unavailable</v>
      </c>
      <c r="I5596" s="1" t="str">
        <f t="shared" si="4"/>
        <v>No Badges</v>
      </c>
      <c r="J5596" s="3">
        <f t="shared" si="5"/>
        <v>0</v>
      </c>
    </row>
    <row r="5597">
      <c r="A5597" s="1" t="s">
        <v>4169</v>
      </c>
      <c r="B5597" s="3" t="str">
        <f t="shared" si="1"/>
        <v>Unavailable</v>
      </c>
      <c r="C5597" s="3">
        <v>33.0</v>
      </c>
      <c r="D5597" s="3">
        <f>IFERROR(__xludf.DUMMYFUNCTION("IFERROR(
IF(REGEXMATCH(LOWER(O5597),""k""),
VALUE(REGEXEXTRACT(O5597,""[0-9]+""))*1000,
VALUE(REGEXEXTRACT(O5597,""[0-9]+""))
),
0
)"),0.0)</f>
        <v>0</v>
      </c>
      <c r="E5597" s="1" t="s">
        <v>11</v>
      </c>
      <c r="F5597" s="1" t="s">
        <v>20</v>
      </c>
      <c r="G5597" s="4" t="b">
        <f t="shared" si="2"/>
        <v>1</v>
      </c>
      <c r="H5597" s="1" t="str">
        <f t="shared" si="3"/>
        <v>Currently Unavailable</v>
      </c>
      <c r="I5597" s="1" t="str">
        <f t="shared" si="4"/>
        <v>No Badges</v>
      </c>
      <c r="J5597" s="3">
        <f t="shared" si="5"/>
        <v>0</v>
      </c>
    </row>
    <row r="5598">
      <c r="A5598" s="1" t="s">
        <v>4170</v>
      </c>
      <c r="B5598" s="3" t="str">
        <f t="shared" si="1"/>
        <v>Unavailable</v>
      </c>
      <c r="C5598" s="3">
        <v>379.0</v>
      </c>
      <c r="D5598" s="3">
        <f>IFERROR(__xludf.DUMMYFUNCTION("IFERROR(
IF(REGEXMATCH(LOWER(O5598),""k""),
VALUE(REGEXEXTRACT(O5598,""[0-9]+""))*1000,
VALUE(REGEXEXTRACT(O5598,""[0-9]+""))
),
0
)"),0.0)</f>
        <v>0</v>
      </c>
      <c r="E5598" s="1" t="s">
        <v>11</v>
      </c>
      <c r="F5598" s="1" t="s">
        <v>20</v>
      </c>
      <c r="G5598" s="4" t="b">
        <f t="shared" si="2"/>
        <v>1</v>
      </c>
      <c r="H5598" s="1" t="str">
        <f t="shared" si="3"/>
        <v>Currently Unavailable</v>
      </c>
      <c r="I5598" s="1" t="str">
        <f t="shared" si="4"/>
        <v>No Badges</v>
      </c>
      <c r="J5598" s="3">
        <f t="shared" si="5"/>
        <v>0</v>
      </c>
    </row>
    <row r="5599">
      <c r="A5599" s="1" t="s">
        <v>4171</v>
      </c>
      <c r="B5599" s="3" t="str">
        <f t="shared" si="1"/>
        <v>Unavailable</v>
      </c>
      <c r="C5599" s="5">
        <v>4350.0</v>
      </c>
      <c r="D5599" s="3">
        <f>IFERROR(__xludf.DUMMYFUNCTION("IFERROR(
IF(REGEXMATCH(LOWER(O5599),""k""),
VALUE(REGEXEXTRACT(O5599,""[0-9]+""))*1000,
VALUE(REGEXEXTRACT(O5599,""[0-9]+""))
),
0
)"),0.0)</f>
        <v>0</v>
      </c>
      <c r="E5599" s="1" t="s">
        <v>11</v>
      </c>
      <c r="F5599" s="1" t="s">
        <v>20</v>
      </c>
      <c r="G5599" s="4" t="b">
        <f t="shared" si="2"/>
        <v>1</v>
      </c>
      <c r="H5599" s="1" t="str">
        <f t="shared" si="3"/>
        <v>Currently Unavailable</v>
      </c>
      <c r="I5599" s="1" t="str">
        <f t="shared" si="4"/>
        <v>No Badges</v>
      </c>
      <c r="J5599" s="3">
        <f t="shared" si="5"/>
        <v>0</v>
      </c>
    </row>
    <row r="5600">
      <c r="A5600" s="1" t="s">
        <v>4172</v>
      </c>
      <c r="B5600" s="3" t="str">
        <f t="shared" si="1"/>
        <v>Unavailable</v>
      </c>
      <c r="C5600" s="3">
        <v>73.0</v>
      </c>
      <c r="D5600" s="3">
        <f>IFERROR(__xludf.DUMMYFUNCTION("IFERROR(
IF(REGEXMATCH(LOWER(O5600),""k""),
VALUE(REGEXEXTRACT(O5600,""[0-9]+""))*1000,
VALUE(REGEXEXTRACT(O5600,""[0-9]+""))
),
0
)"),0.0)</f>
        <v>0</v>
      </c>
      <c r="E5600" s="1" t="s">
        <v>11</v>
      </c>
      <c r="F5600" s="1" t="s">
        <v>20</v>
      </c>
      <c r="G5600" s="4" t="b">
        <f t="shared" si="2"/>
        <v>1</v>
      </c>
      <c r="H5600" s="1" t="str">
        <f t="shared" si="3"/>
        <v>Currently Unavailable</v>
      </c>
      <c r="I5600" s="1" t="str">
        <f t="shared" si="4"/>
        <v>No Badges</v>
      </c>
      <c r="J5600" s="3">
        <f t="shared" si="5"/>
        <v>0</v>
      </c>
    </row>
    <row r="5601">
      <c r="A5601" s="1" t="s">
        <v>4173</v>
      </c>
      <c r="B5601" s="3" t="str">
        <f t="shared" si="1"/>
        <v>Unavailable</v>
      </c>
      <c r="C5601" s="3">
        <v>540.0</v>
      </c>
      <c r="D5601" s="3">
        <f>IFERROR(__xludf.DUMMYFUNCTION("IFERROR(
IF(REGEXMATCH(LOWER(O5601),""k""),
VALUE(REGEXEXTRACT(O5601,""[0-9]+""))*1000,
VALUE(REGEXEXTRACT(O5601,""[0-9]+""))
),
0
)"),0.0)</f>
        <v>0</v>
      </c>
      <c r="E5601" s="1" t="s">
        <v>11</v>
      </c>
      <c r="F5601" s="1" t="s">
        <v>20</v>
      </c>
      <c r="G5601" s="4" t="b">
        <f t="shared" si="2"/>
        <v>1</v>
      </c>
      <c r="H5601" s="1" t="str">
        <f t="shared" si="3"/>
        <v>Currently Unavailable</v>
      </c>
      <c r="I5601" s="1" t="str">
        <f t="shared" si="4"/>
        <v>No Badges</v>
      </c>
      <c r="J5601" s="3">
        <f t="shared" si="5"/>
        <v>0</v>
      </c>
    </row>
    <row r="5602">
      <c r="A5602" s="1" t="s">
        <v>4174</v>
      </c>
      <c r="B5602" s="3" t="str">
        <f t="shared" si="1"/>
        <v>Unavailable</v>
      </c>
      <c r="C5602" s="3">
        <v>39.0</v>
      </c>
      <c r="D5602" s="3">
        <f>IFERROR(__xludf.DUMMYFUNCTION("IFERROR(
IF(REGEXMATCH(LOWER(O5602),""k""),
VALUE(REGEXEXTRACT(O5602,""[0-9]+""))*1000,
VALUE(REGEXEXTRACT(O5602,""[0-9]+""))
),
0
)"),0.0)</f>
        <v>0</v>
      </c>
      <c r="E5602" s="1" t="s">
        <v>11</v>
      </c>
      <c r="F5602" s="1" t="s">
        <v>20</v>
      </c>
      <c r="G5602" s="4" t="b">
        <f t="shared" si="2"/>
        <v>1</v>
      </c>
      <c r="H5602" s="1" t="str">
        <f t="shared" si="3"/>
        <v>Currently Unavailable</v>
      </c>
      <c r="I5602" s="1" t="str">
        <f t="shared" si="4"/>
        <v>No Badges</v>
      </c>
      <c r="J5602" s="3">
        <f t="shared" si="5"/>
        <v>0</v>
      </c>
    </row>
    <row r="5603">
      <c r="A5603" s="1" t="s">
        <v>4175</v>
      </c>
      <c r="B5603" s="3" t="str">
        <f t="shared" si="1"/>
        <v>Unavailable</v>
      </c>
      <c r="C5603" s="5">
        <v>5290.0</v>
      </c>
      <c r="D5603" s="3">
        <f>IFERROR(__xludf.DUMMYFUNCTION("IFERROR(
IF(REGEXMATCH(LOWER(O5603),""k""),
VALUE(REGEXEXTRACT(O5603,""[0-9]+""))*1000,
VALUE(REGEXEXTRACT(O5603,""[0-9]+""))
),
0
)"),0.0)</f>
        <v>0</v>
      </c>
      <c r="E5603" s="1" t="s">
        <v>11</v>
      </c>
      <c r="F5603" s="1" t="s">
        <v>20</v>
      </c>
      <c r="G5603" s="4" t="b">
        <f t="shared" si="2"/>
        <v>1</v>
      </c>
      <c r="H5603" s="1" t="str">
        <f t="shared" si="3"/>
        <v>Currently Unavailable</v>
      </c>
      <c r="I5603" s="1" t="str">
        <f t="shared" si="4"/>
        <v>No Badges</v>
      </c>
      <c r="J5603" s="3">
        <f t="shared" si="5"/>
        <v>0</v>
      </c>
    </row>
    <row r="5604">
      <c r="A5604" s="1" t="s">
        <v>4176</v>
      </c>
      <c r="B5604" s="3" t="str">
        <f t="shared" si="1"/>
        <v>Unavailable</v>
      </c>
      <c r="C5604" s="3">
        <v>278.0</v>
      </c>
      <c r="D5604" s="3">
        <f>IFERROR(__xludf.DUMMYFUNCTION("IFERROR(
IF(REGEXMATCH(LOWER(O5604),""k""),
VALUE(REGEXEXTRACT(O5604,""[0-9]+""))*1000,
VALUE(REGEXEXTRACT(O5604,""[0-9]+""))
),
0
)"),0.0)</f>
        <v>0</v>
      </c>
      <c r="E5604" s="1" t="s">
        <v>11</v>
      </c>
      <c r="F5604" s="1" t="s">
        <v>20</v>
      </c>
      <c r="G5604" s="4" t="b">
        <f t="shared" si="2"/>
        <v>1</v>
      </c>
      <c r="H5604" s="1" t="str">
        <f t="shared" si="3"/>
        <v>Currently Unavailable</v>
      </c>
      <c r="I5604" s="1" t="str">
        <f t="shared" si="4"/>
        <v>No Badges</v>
      </c>
      <c r="J5604" s="3">
        <f t="shared" si="5"/>
        <v>0</v>
      </c>
    </row>
    <row r="5605">
      <c r="A5605" s="1" t="s">
        <v>4177</v>
      </c>
      <c r="B5605" s="3" t="str">
        <f t="shared" si="1"/>
        <v>Unavailable</v>
      </c>
      <c r="C5605" s="3">
        <v>285.0</v>
      </c>
      <c r="D5605" s="3">
        <f>IFERROR(__xludf.DUMMYFUNCTION("IFERROR(
IF(REGEXMATCH(LOWER(O5605),""k""),
VALUE(REGEXEXTRACT(O5605,""[0-9]+""))*1000,
VALUE(REGEXEXTRACT(O5605,""[0-9]+""))
),
0
)"),0.0)</f>
        <v>0</v>
      </c>
      <c r="E5605" s="1" t="s">
        <v>11</v>
      </c>
      <c r="F5605" s="1" t="s">
        <v>20</v>
      </c>
      <c r="G5605" s="4" t="b">
        <f t="shared" si="2"/>
        <v>1</v>
      </c>
      <c r="H5605" s="1" t="str">
        <f t="shared" si="3"/>
        <v>Currently Unavailable</v>
      </c>
      <c r="I5605" s="1" t="str">
        <f t="shared" si="4"/>
        <v>No Badges</v>
      </c>
      <c r="J5605" s="3">
        <f t="shared" si="5"/>
        <v>0</v>
      </c>
    </row>
    <row r="5606">
      <c r="A5606" s="1" t="s">
        <v>4178</v>
      </c>
      <c r="B5606" s="3" t="str">
        <f t="shared" si="1"/>
        <v>Unavailable</v>
      </c>
      <c r="C5606" s="3">
        <v>201.0</v>
      </c>
      <c r="D5606" s="3">
        <f>IFERROR(__xludf.DUMMYFUNCTION("IFERROR(
IF(REGEXMATCH(LOWER(O5606),""k""),
VALUE(REGEXEXTRACT(O5606,""[0-9]+""))*1000,
VALUE(REGEXEXTRACT(O5606,""[0-9]+""))
),
0
)"),0.0)</f>
        <v>0</v>
      </c>
      <c r="E5606" s="1" t="s">
        <v>11</v>
      </c>
      <c r="F5606" s="1" t="s">
        <v>20</v>
      </c>
      <c r="G5606" s="4" t="b">
        <f t="shared" si="2"/>
        <v>1</v>
      </c>
      <c r="H5606" s="1" t="str">
        <f t="shared" si="3"/>
        <v>Currently Unavailable</v>
      </c>
      <c r="I5606" s="1" t="str">
        <f t="shared" si="4"/>
        <v>No Badges</v>
      </c>
      <c r="J5606" s="3">
        <f t="shared" si="5"/>
        <v>0</v>
      </c>
    </row>
    <row r="5607">
      <c r="A5607" s="1" t="s">
        <v>88</v>
      </c>
      <c r="B5607" s="3" t="str">
        <f t="shared" si="1"/>
        <v>Unavailable</v>
      </c>
      <c r="C5607" s="3">
        <v>5.0</v>
      </c>
      <c r="D5607" s="3">
        <f>IFERROR(__xludf.DUMMYFUNCTION("IFERROR(
IF(REGEXMATCH(LOWER(O5607),""k""),
VALUE(REGEXEXTRACT(O5607,""[0-9]+""))*1000,
VALUE(REGEXEXTRACT(O5607,""[0-9]+""))
),
0
)"),0.0)</f>
        <v>0</v>
      </c>
      <c r="E5607" s="1" t="s">
        <v>11</v>
      </c>
      <c r="F5607" s="1" t="s">
        <v>12</v>
      </c>
      <c r="G5607" s="4" t="b">
        <f t="shared" si="2"/>
        <v>1</v>
      </c>
      <c r="H5607" s="1" t="str">
        <f t="shared" si="3"/>
        <v>Currently Unavailable</v>
      </c>
      <c r="I5607" s="1" t="str">
        <f t="shared" si="4"/>
        <v>No Badges</v>
      </c>
      <c r="J5607" s="3">
        <f t="shared" si="5"/>
        <v>0</v>
      </c>
    </row>
    <row r="5608">
      <c r="A5608" s="1" t="s">
        <v>40</v>
      </c>
      <c r="B5608" s="3" t="str">
        <f t="shared" si="1"/>
        <v>Unavailable</v>
      </c>
      <c r="C5608" s="3">
        <v>171.0</v>
      </c>
      <c r="D5608" s="3">
        <f>IFERROR(__xludf.DUMMYFUNCTION("IFERROR(
IF(REGEXMATCH(LOWER(O5608),""k""),
VALUE(REGEXEXTRACT(O5608,""[0-9]+""))*1000,
VALUE(REGEXEXTRACT(O5608,""[0-9]+""))
),
0
)"),0.0)</f>
        <v>0</v>
      </c>
      <c r="E5608" s="1" t="s">
        <v>11</v>
      </c>
      <c r="F5608" s="1" t="s">
        <v>12</v>
      </c>
      <c r="G5608" s="4" t="b">
        <f t="shared" si="2"/>
        <v>1</v>
      </c>
      <c r="H5608" s="1" t="str">
        <f t="shared" si="3"/>
        <v>Currently Unavailable</v>
      </c>
      <c r="I5608" s="1" t="str">
        <f t="shared" si="4"/>
        <v>No Badges</v>
      </c>
      <c r="J5608" s="3">
        <f t="shared" si="5"/>
        <v>0</v>
      </c>
    </row>
    <row r="5609">
      <c r="A5609" s="1" t="s">
        <v>4179</v>
      </c>
      <c r="B5609" s="3" t="str">
        <f t="shared" si="1"/>
        <v>Unavailable</v>
      </c>
      <c r="C5609" s="3">
        <v>800.0</v>
      </c>
      <c r="D5609" s="3">
        <f>IFERROR(__xludf.DUMMYFUNCTION("IFERROR(
IF(REGEXMATCH(LOWER(O5609),""k""),
VALUE(REGEXEXTRACT(O5609,""[0-9]+""))*1000,
VALUE(REGEXEXTRACT(O5609,""[0-9]+""))
),
0
)"),0.0)</f>
        <v>0</v>
      </c>
      <c r="E5609" s="1" t="s">
        <v>11</v>
      </c>
      <c r="F5609" s="1" t="s">
        <v>20</v>
      </c>
      <c r="G5609" s="4" t="b">
        <f t="shared" si="2"/>
        <v>1</v>
      </c>
      <c r="H5609" s="1" t="str">
        <f t="shared" si="3"/>
        <v>Currently Unavailable</v>
      </c>
      <c r="I5609" s="1" t="str">
        <f t="shared" si="4"/>
        <v>No Badges</v>
      </c>
      <c r="J5609" s="3">
        <f t="shared" si="5"/>
        <v>0</v>
      </c>
    </row>
    <row r="5610">
      <c r="A5610" s="1" t="s">
        <v>4180</v>
      </c>
      <c r="B5610" s="3" t="str">
        <f t="shared" si="1"/>
        <v>Unavailable</v>
      </c>
      <c r="C5610" s="3">
        <v>41.0</v>
      </c>
      <c r="D5610" s="3">
        <f>IFERROR(__xludf.DUMMYFUNCTION("IFERROR(
IF(REGEXMATCH(LOWER(O5610),""k""),
VALUE(REGEXEXTRACT(O5610,""[0-9]+""))*1000,
VALUE(REGEXEXTRACT(O5610,""[0-9]+""))
),
0
)"),0.0)</f>
        <v>0</v>
      </c>
      <c r="E5610" s="1" t="s">
        <v>11</v>
      </c>
      <c r="F5610" s="1" t="s">
        <v>20</v>
      </c>
      <c r="G5610" s="4" t="b">
        <f t="shared" si="2"/>
        <v>1</v>
      </c>
      <c r="H5610" s="1" t="str">
        <f t="shared" si="3"/>
        <v>Currently Unavailable</v>
      </c>
      <c r="I5610" s="1" t="str">
        <f t="shared" si="4"/>
        <v>No Badges</v>
      </c>
      <c r="J5610" s="3">
        <f t="shared" si="5"/>
        <v>0</v>
      </c>
    </row>
    <row r="5611">
      <c r="A5611" s="1" t="s">
        <v>4181</v>
      </c>
      <c r="B5611" s="3" t="str">
        <f t="shared" si="1"/>
        <v>Unavailable</v>
      </c>
      <c r="C5611" s="5">
        <v>2502.0</v>
      </c>
      <c r="D5611" s="3">
        <f>IFERROR(__xludf.DUMMYFUNCTION("IFERROR(
IF(REGEXMATCH(LOWER(O5611),""k""),
VALUE(REGEXEXTRACT(O5611,""[0-9]+""))*1000,
VALUE(REGEXEXTRACT(O5611,""[0-9]+""))
),
0
)"),0.0)</f>
        <v>0</v>
      </c>
      <c r="E5611" s="1" t="s">
        <v>11</v>
      </c>
      <c r="F5611" s="1" t="s">
        <v>20</v>
      </c>
      <c r="G5611" s="4" t="b">
        <f t="shared" si="2"/>
        <v>1</v>
      </c>
      <c r="H5611" s="1" t="str">
        <f t="shared" si="3"/>
        <v>Currently Unavailable</v>
      </c>
      <c r="I5611" s="1" t="str">
        <f t="shared" si="4"/>
        <v>No Badges</v>
      </c>
      <c r="J5611" s="3">
        <f t="shared" si="5"/>
        <v>0</v>
      </c>
    </row>
    <row r="5612">
      <c r="A5612" s="1" t="s">
        <v>4182</v>
      </c>
      <c r="B5612" s="3" t="str">
        <f t="shared" si="1"/>
        <v>Unavailable</v>
      </c>
      <c r="C5612" s="5">
        <v>4683.0</v>
      </c>
      <c r="D5612" s="3">
        <f>IFERROR(__xludf.DUMMYFUNCTION("IFERROR(
IF(REGEXMATCH(LOWER(O5612),""k""),
VALUE(REGEXEXTRACT(O5612,""[0-9]+""))*1000,
VALUE(REGEXEXTRACT(O5612,""[0-9]+""))
),
0
)"),0.0)</f>
        <v>0</v>
      </c>
      <c r="E5612" s="1" t="s">
        <v>11</v>
      </c>
      <c r="F5612" s="1" t="s">
        <v>20</v>
      </c>
      <c r="G5612" s="4" t="b">
        <f t="shared" si="2"/>
        <v>1</v>
      </c>
      <c r="H5612" s="1" t="str">
        <f t="shared" si="3"/>
        <v>Currently Unavailable</v>
      </c>
      <c r="I5612" s="1" t="str">
        <f t="shared" si="4"/>
        <v>No Badges</v>
      </c>
      <c r="J5612" s="3">
        <f t="shared" si="5"/>
        <v>0</v>
      </c>
    </row>
    <row r="5613">
      <c r="A5613" s="1" t="s">
        <v>4183</v>
      </c>
      <c r="B5613" s="3" t="str">
        <f t="shared" si="1"/>
        <v>Unavailable</v>
      </c>
      <c r="C5613" s="5">
        <v>3169.0</v>
      </c>
      <c r="D5613" s="3">
        <f>IFERROR(__xludf.DUMMYFUNCTION("IFERROR(
IF(REGEXMATCH(LOWER(O5613),""k""),
VALUE(REGEXEXTRACT(O5613,""[0-9]+""))*1000,
VALUE(REGEXEXTRACT(O5613,""[0-9]+""))
),
0
)"),0.0)</f>
        <v>0</v>
      </c>
      <c r="E5613" s="1" t="s">
        <v>11</v>
      </c>
      <c r="F5613" s="1" t="s">
        <v>20</v>
      </c>
      <c r="G5613" s="4" t="b">
        <f t="shared" si="2"/>
        <v>1</v>
      </c>
      <c r="H5613" s="1" t="str">
        <f t="shared" si="3"/>
        <v>Currently Unavailable</v>
      </c>
      <c r="I5613" s="1" t="str">
        <f t="shared" si="4"/>
        <v>No Badges</v>
      </c>
      <c r="J5613" s="3">
        <f t="shared" si="5"/>
        <v>0</v>
      </c>
    </row>
    <row r="5614">
      <c r="A5614" s="1" t="s">
        <v>4184</v>
      </c>
      <c r="B5614" s="3" t="str">
        <f t="shared" si="1"/>
        <v>Unavailable</v>
      </c>
      <c r="C5614" s="3">
        <v>63.0</v>
      </c>
      <c r="D5614" s="3">
        <f>IFERROR(__xludf.DUMMYFUNCTION("IFERROR(
IF(REGEXMATCH(LOWER(O5614),""k""),
VALUE(REGEXEXTRACT(O5614,""[0-9]+""))*1000,
VALUE(REGEXEXTRACT(O5614,""[0-9]+""))
),
0
)"),0.0)</f>
        <v>0</v>
      </c>
      <c r="E5614" s="1" t="s">
        <v>11</v>
      </c>
      <c r="F5614" s="1" t="s">
        <v>20</v>
      </c>
      <c r="G5614" s="4" t="b">
        <f t="shared" si="2"/>
        <v>1</v>
      </c>
      <c r="H5614" s="1" t="str">
        <f t="shared" si="3"/>
        <v>Currently Unavailable</v>
      </c>
      <c r="I5614" s="1" t="str">
        <f t="shared" si="4"/>
        <v>No Badges</v>
      </c>
      <c r="J5614" s="3">
        <f t="shared" si="5"/>
        <v>0</v>
      </c>
    </row>
    <row r="5615">
      <c r="A5615" s="1" t="s">
        <v>4185</v>
      </c>
      <c r="B5615" s="3" t="str">
        <f t="shared" si="1"/>
        <v>Unavailable</v>
      </c>
      <c r="C5615" s="3">
        <v>959.0</v>
      </c>
      <c r="D5615" s="3">
        <f>IFERROR(__xludf.DUMMYFUNCTION("IFERROR(
IF(REGEXMATCH(LOWER(O5615),""k""),
VALUE(REGEXEXTRACT(O5615,""[0-9]+""))*1000,
VALUE(REGEXEXTRACT(O5615,""[0-9]+""))
),
0
)"),0.0)</f>
        <v>0</v>
      </c>
      <c r="E5615" s="1" t="s">
        <v>11</v>
      </c>
      <c r="F5615" s="1" t="s">
        <v>20</v>
      </c>
      <c r="G5615" s="4" t="b">
        <f t="shared" si="2"/>
        <v>1</v>
      </c>
      <c r="H5615" s="1" t="str">
        <f t="shared" si="3"/>
        <v>Currently Unavailable</v>
      </c>
      <c r="I5615" s="1" t="str">
        <f t="shared" si="4"/>
        <v>No Badges</v>
      </c>
      <c r="J5615" s="3">
        <f t="shared" si="5"/>
        <v>0</v>
      </c>
    </row>
    <row r="5616">
      <c r="A5616" s="1" t="s">
        <v>4186</v>
      </c>
      <c r="B5616" s="3" t="str">
        <f t="shared" si="1"/>
        <v>Unavailable</v>
      </c>
      <c r="C5616" s="5">
        <v>1839.0</v>
      </c>
      <c r="D5616" s="3">
        <f>IFERROR(__xludf.DUMMYFUNCTION("IFERROR(
IF(REGEXMATCH(LOWER(O5616),""k""),
VALUE(REGEXEXTRACT(O5616,""[0-9]+""))*1000,
VALUE(REGEXEXTRACT(O5616,""[0-9]+""))
),
0
)"),0.0)</f>
        <v>0</v>
      </c>
      <c r="E5616" s="1" t="s">
        <v>11</v>
      </c>
      <c r="F5616" s="1" t="s">
        <v>20</v>
      </c>
      <c r="G5616" s="4" t="b">
        <f t="shared" si="2"/>
        <v>1</v>
      </c>
      <c r="H5616" s="1" t="str">
        <f t="shared" si="3"/>
        <v>Currently Unavailable</v>
      </c>
      <c r="I5616" s="1" t="str">
        <f t="shared" si="4"/>
        <v>No Badges</v>
      </c>
      <c r="J5616" s="3">
        <f t="shared" si="5"/>
        <v>0</v>
      </c>
    </row>
    <row r="5617">
      <c r="A5617" s="1" t="s">
        <v>4187</v>
      </c>
      <c r="B5617" s="3" t="str">
        <f t="shared" si="1"/>
        <v>Unavailable</v>
      </c>
      <c r="C5617" s="3">
        <v>461.0</v>
      </c>
      <c r="D5617" s="3">
        <f>IFERROR(__xludf.DUMMYFUNCTION("IFERROR(
IF(REGEXMATCH(LOWER(O5617),""k""),
VALUE(REGEXEXTRACT(O5617,""[0-9]+""))*1000,
VALUE(REGEXEXTRACT(O5617,""[0-9]+""))
),
0
)"),0.0)</f>
        <v>0</v>
      </c>
      <c r="E5617" s="1" t="s">
        <v>11</v>
      </c>
      <c r="F5617" s="1" t="s">
        <v>20</v>
      </c>
      <c r="G5617" s="4" t="b">
        <f t="shared" si="2"/>
        <v>1</v>
      </c>
      <c r="H5617" s="1" t="str">
        <f t="shared" si="3"/>
        <v>Currently Unavailable</v>
      </c>
      <c r="I5617" s="1" t="str">
        <f t="shared" si="4"/>
        <v>No Badges</v>
      </c>
      <c r="J5617" s="3">
        <f t="shared" si="5"/>
        <v>0</v>
      </c>
    </row>
    <row r="5618">
      <c r="A5618" s="1" t="s">
        <v>4188</v>
      </c>
      <c r="B5618" s="3" t="str">
        <f t="shared" si="1"/>
        <v>Unavailable</v>
      </c>
      <c r="C5618" s="3">
        <v>663.0</v>
      </c>
      <c r="D5618" s="3">
        <f>IFERROR(__xludf.DUMMYFUNCTION("IFERROR(
IF(REGEXMATCH(LOWER(O5618),""k""),
VALUE(REGEXEXTRACT(O5618,""[0-9]+""))*1000,
VALUE(REGEXEXTRACT(O5618,""[0-9]+""))
),
0
)"),0.0)</f>
        <v>0</v>
      </c>
      <c r="E5618" s="1" t="s">
        <v>11</v>
      </c>
      <c r="F5618" s="1" t="s">
        <v>20</v>
      </c>
      <c r="G5618" s="4" t="b">
        <f t="shared" si="2"/>
        <v>1</v>
      </c>
      <c r="H5618" s="1" t="str">
        <f t="shared" si="3"/>
        <v>Currently Unavailable</v>
      </c>
      <c r="I5618" s="1" t="str">
        <f t="shared" si="4"/>
        <v>No Badges</v>
      </c>
      <c r="J5618" s="3">
        <f t="shared" si="5"/>
        <v>0</v>
      </c>
    </row>
    <row r="5619">
      <c r="A5619" s="1" t="s">
        <v>4189</v>
      </c>
      <c r="B5619" s="3" t="str">
        <f t="shared" si="1"/>
        <v>Unavailable</v>
      </c>
      <c r="C5619" s="3">
        <v>281.0</v>
      </c>
      <c r="D5619" s="3">
        <f>IFERROR(__xludf.DUMMYFUNCTION("IFERROR(
IF(REGEXMATCH(LOWER(O5619),""k""),
VALUE(REGEXEXTRACT(O5619,""[0-9]+""))*1000,
VALUE(REGEXEXTRACT(O5619,""[0-9]+""))
),
0
)"),0.0)</f>
        <v>0</v>
      </c>
      <c r="E5619" s="1" t="s">
        <v>11</v>
      </c>
      <c r="F5619" s="1" t="s">
        <v>20</v>
      </c>
      <c r="G5619" s="4" t="b">
        <f t="shared" si="2"/>
        <v>1</v>
      </c>
      <c r="H5619" s="1" t="str">
        <f t="shared" si="3"/>
        <v>Currently Unavailable</v>
      </c>
      <c r="I5619" s="1" t="str">
        <f t="shared" si="4"/>
        <v>No Badges</v>
      </c>
      <c r="J5619" s="3">
        <f t="shared" si="5"/>
        <v>0</v>
      </c>
    </row>
    <row r="5620">
      <c r="A5620" s="1" t="s">
        <v>4190</v>
      </c>
      <c r="B5620" s="3" t="str">
        <f t="shared" si="1"/>
        <v>Unavailable</v>
      </c>
      <c r="C5620" s="3">
        <v>213.0</v>
      </c>
      <c r="D5620" s="3">
        <f>IFERROR(__xludf.DUMMYFUNCTION("IFERROR(
IF(REGEXMATCH(LOWER(O5620),""k""),
VALUE(REGEXEXTRACT(O5620,""[0-9]+""))*1000,
VALUE(REGEXEXTRACT(O5620,""[0-9]+""))
),
0
)"),0.0)</f>
        <v>0</v>
      </c>
      <c r="E5620" s="1" t="s">
        <v>11</v>
      </c>
      <c r="F5620" s="1" t="s">
        <v>20</v>
      </c>
      <c r="G5620" s="4" t="b">
        <f t="shared" si="2"/>
        <v>1</v>
      </c>
      <c r="H5620" s="1" t="str">
        <f t="shared" si="3"/>
        <v>Currently Unavailable</v>
      </c>
      <c r="I5620" s="1" t="str">
        <f t="shared" si="4"/>
        <v>No Badges</v>
      </c>
      <c r="J5620" s="3">
        <f t="shared" si="5"/>
        <v>0</v>
      </c>
    </row>
    <row r="5621">
      <c r="A5621" s="1" t="s">
        <v>4125</v>
      </c>
      <c r="B5621" s="3" t="str">
        <f t="shared" si="1"/>
        <v>Unavailable</v>
      </c>
      <c r="C5621" s="3">
        <v>432.0</v>
      </c>
      <c r="D5621" s="3">
        <f>IFERROR(__xludf.DUMMYFUNCTION("IFERROR(
IF(REGEXMATCH(LOWER(O5621),""k""),
VALUE(REGEXEXTRACT(O5621,""[0-9]+""))*1000,
VALUE(REGEXEXTRACT(O5621,""[0-9]+""))
),
0
)"),0.0)</f>
        <v>0</v>
      </c>
      <c r="E5621" s="1" t="s">
        <v>11</v>
      </c>
      <c r="F5621" s="1" t="s">
        <v>12</v>
      </c>
      <c r="G5621" s="4" t="b">
        <f t="shared" si="2"/>
        <v>1</v>
      </c>
      <c r="H5621" s="1" t="str">
        <f t="shared" si="3"/>
        <v>Currently Unavailable</v>
      </c>
      <c r="I5621" s="1" t="str">
        <f t="shared" si="4"/>
        <v>No Badges</v>
      </c>
      <c r="J5621" s="3">
        <f t="shared" si="5"/>
        <v>0</v>
      </c>
    </row>
    <row r="5622">
      <c r="A5622" s="1" t="s">
        <v>4191</v>
      </c>
      <c r="B5622" s="3" t="str">
        <f t="shared" si="1"/>
        <v>Unavailable</v>
      </c>
      <c r="C5622" s="3">
        <v>105.0</v>
      </c>
      <c r="D5622" s="3">
        <f>IFERROR(__xludf.DUMMYFUNCTION("IFERROR(
IF(REGEXMATCH(LOWER(O5622),""k""),
VALUE(REGEXEXTRACT(O5622,""[0-9]+""))*1000,
VALUE(REGEXEXTRACT(O5622,""[0-9]+""))
),
0
)"),0.0)</f>
        <v>0</v>
      </c>
      <c r="E5622" s="1" t="s">
        <v>11</v>
      </c>
      <c r="F5622" s="1" t="s">
        <v>20</v>
      </c>
      <c r="G5622" s="4" t="b">
        <f t="shared" si="2"/>
        <v>1</v>
      </c>
      <c r="H5622" s="1" t="str">
        <f t="shared" si="3"/>
        <v>Currently Unavailable</v>
      </c>
      <c r="I5622" s="1" t="str">
        <f t="shared" si="4"/>
        <v>No Badges</v>
      </c>
      <c r="J5622" s="3">
        <f t="shared" si="5"/>
        <v>0</v>
      </c>
    </row>
    <row r="5623">
      <c r="A5623" s="1" t="s">
        <v>4192</v>
      </c>
      <c r="B5623" s="3" t="str">
        <f t="shared" si="1"/>
        <v>Unavailable</v>
      </c>
      <c r="C5623" s="5">
        <v>7589.0</v>
      </c>
      <c r="D5623" s="3">
        <f>IFERROR(__xludf.DUMMYFUNCTION("IFERROR(
IF(REGEXMATCH(LOWER(O5623),""k""),
VALUE(REGEXEXTRACT(O5623,""[0-9]+""))*1000,
VALUE(REGEXEXTRACT(O5623,""[0-9]+""))
),
0
)"),0.0)</f>
        <v>0</v>
      </c>
      <c r="E5623" s="1" t="s">
        <v>11</v>
      </c>
      <c r="F5623" s="1" t="s">
        <v>20</v>
      </c>
      <c r="G5623" s="4" t="b">
        <f t="shared" si="2"/>
        <v>1</v>
      </c>
      <c r="H5623" s="1" t="str">
        <f t="shared" si="3"/>
        <v>Currently Unavailable</v>
      </c>
      <c r="I5623" s="1" t="str">
        <f t="shared" si="4"/>
        <v>No Badges</v>
      </c>
      <c r="J5623" s="3">
        <f t="shared" si="5"/>
        <v>0</v>
      </c>
    </row>
    <row r="5624">
      <c r="A5624" s="1" t="s">
        <v>4193</v>
      </c>
      <c r="B5624" s="3" t="str">
        <f t="shared" si="1"/>
        <v>Unavailable</v>
      </c>
      <c r="C5624" s="3">
        <v>582.0</v>
      </c>
      <c r="D5624" s="3">
        <f>IFERROR(__xludf.DUMMYFUNCTION("IFERROR(
IF(REGEXMATCH(LOWER(O5624),""k""),
VALUE(REGEXEXTRACT(O5624,""[0-9]+""))*1000,
VALUE(REGEXEXTRACT(O5624,""[0-9]+""))
),
0
)"),0.0)</f>
        <v>0</v>
      </c>
      <c r="E5624" s="1" t="s">
        <v>11</v>
      </c>
      <c r="F5624" s="1" t="s">
        <v>20</v>
      </c>
      <c r="G5624" s="4" t="b">
        <f t="shared" si="2"/>
        <v>1</v>
      </c>
      <c r="H5624" s="1" t="str">
        <f t="shared" si="3"/>
        <v>Currently Unavailable</v>
      </c>
      <c r="I5624" s="1" t="str">
        <f t="shared" si="4"/>
        <v>No Badges</v>
      </c>
      <c r="J5624" s="3">
        <f t="shared" si="5"/>
        <v>0</v>
      </c>
    </row>
    <row r="5625">
      <c r="A5625" s="1" t="s">
        <v>4194</v>
      </c>
      <c r="B5625" s="3" t="str">
        <f t="shared" si="1"/>
        <v>Unavailable</v>
      </c>
      <c r="C5625" s="5">
        <v>136822.0</v>
      </c>
      <c r="D5625" s="3">
        <f>IFERROR(__xludf.DUMMYFUNCTION("IFERROR(
IF(REGEXMATCH(LOWER(O5625),""k""),
VALUE(REGEXEXTRACT(O5625,""[0-9]+""))*1000,
VALUE(REGEXEXTRACT(O5625,""[0-9]+""))
),
0
)"),0.0)</f>
        <v>0</v>
      </c>
      <c r="E5625" s="1" t="s">
        <v>11</v>
      </c>
      <c r="F5625" s="1" t="s">
        <v>20</v>
      </c>
      <c r="G5625" s="4" t="b">
        <f t="shared" si="2"/>
        <v>1</v>
      </c>
      <c r="H5625" s="1" t="str">
        <f t="shared" si="3"/>
        <v>Currently Unavailable</v>
      </c>
      <c r="I5625" s="1" t="str">
        <f t="shared" si="4"/>
        <v>No Badges</v>
      </c>
      <c r="J5625" s="3">
        <f t="shared" si="5"/>
        <v>0</v>
      </c>
    </row>
    <row r="5626">
      <c r="A5626" s="1" t="s">
        <v>4195</v>
      </c>
      <c r="B5626" s="3" t="str">
        <f t="shared" si="1"/>
        <v>Unavailable</v>
      </c>
      <c r="C5626" s="3">
        <v>682.0</v>
      </c>
      <c r="D5626" s="3">
        <f>IFERROR(__xludf.DUMMYFUNCTION("IFERROR(
IF(REGEXMATCH(LOWER(O5626),""k""),
VALUE(REGEXEXTRACT(O5626,""[0-9]+""))*1000,
VALUE(REGEXEXTRACT(O5626,""[0-9]+""))
),
0
)"),0.0)</f>
        <v>0</v>
      </c>
      <c r="E5626" s="1" t="s">
        <v>11</v>
      </c>
      <c r="F5626" s="1" t="s">
        <v>20</v>
      </c>
      <c r="G5626" s="4" t="b">
        <f t="shared" si="2"/>
        <v>1</v>
      </c>
      <c r="H5626" s="1" t="str">
        <f t="shared" si="3"/>
        <v>Currently Unavailable</v>
      </c>
      <c r="I5626" s="1" t="str">
        <f t="shared" si="4"/>
        <v>No Badges</v>
      </c>
      <c r="J5626" s="3">
        <f t="shared" si="5"/>
        <v>0</v>
      </c>
    </row>
    <row r="5627">
      <c r="A5627" s="1" t="s">
        <v>4196</v>
      </c>
      <c r="B5627" s="3" t="str">
        <f t="shared" si="1"/>
        <v>Unavailable</v>
      </c>
      <c r="C5627" s="3">
        <v>172.0</v>
      </c>
      <c r="D5627" s="3">
        <f>IFERROR(__xludf.DUMMYFUNCTION("IFERROR(
IF(REGEXMATCH(LOWER(O5627),""k""),
VALUE(REGEXEXTRACT(O5627,""[0-9]+""))*1000,
VALUE(REGEXEXTRACT(O5627,""[0-9]+""))
),
0
)"),0.0)</f>
        <v>0</v>
      </c>
      <c r="E5627" s="1" t="s">
        <v>11</v>
      </c>
      <c r="F5627" s="1" t="s">
        <v>20</v>
      </c>
      <c r="G5627" s="4" t="b">
        <f t="shared" si="2"/>
        <v>1</v>
      </c>
      <c r="H5627" s="1" t="str">
        <f t="shared" si="3"/>
        <v>Currently Unavailable</v>
      </c>
      <c r="I5627" s="1" t="str">
        <f t="shared" si="4"/>
        <v>No Badges</v>
      </c>
      <c r="J5627" s="3">
        <f t="shared" si="5"/>
        <v>0</v>
      </c>
    </row>
    <row r="5628">
      <c r="A5628" s="1" t="s">
        <v>3774</v>
      </c>
      <c r="B5628" s="3" t="str">
        <f t="shared" si="1"/>
        <v>Unavailable</v>
      </c>
      <c r="C5628" s="3">
        <v>146.0</v>
      </c>
      <c r="D5628" s="3">
        <f>IFERROR(__xludf.DUMMYFUNCTION("IFERROR(
IF(REGEXMATCH(LOWER(O5628),""k""),
VALUE(REGEXEXTRACT(O5628,""[0-9]+""))*1000,
VALUE(REGEXEXTRACT(O5628,""[0-9]+""))
),
0
)"),0.0)</f>
        <v>0</v>
      </c>
      <c r="E5628" s="1" t="s">
        <v>11</v>
      </c>
      <c r="F5628" s="1" t="s">
        <v>12</v>
      </c>
      <c r="G5628" s="4" t="b">
        <f t="shared" si="2"/>
        <v>1</v>
      </c>
      <c r="H5628" s="1" t="str">
        <f t="shared" si="3"/>
        <v>Currently Unavailable</v>
      </c>
      <c r="I5628" s="1" t="str">
        <f t="shared" si="4"/>
        <v>No Badges</v>
      </c>
      <c r="J5628" s="3">
        <f t="shared" si="5"/>
        <v>0</v>
      </c>
    </row>
    <row r="5629">
      <c r="A5629" s="1" t="s">
        <v>4197</v>
      </c>
      <c r="B5629" s="3" t="str">
        <f t="shared" si="1"/>
        <v>Unavailable</v>
      </c>
      <c r="C5629" s="3">
        <v>6.0</v>
      </c>
      <c r="D5629" s="3">
        <f>IFERROR(__xludf.DUMMYFUNCTION("IFERROR(
IF(REGEXMATCH(LOWER(O5629),""k""),
VALUE(REGEXEXTRACT(O5629,""[0-9]+""))*1000,
VALUE(REGEXEXTRACT(O5629,""[0-9]+""))
),
0
)"),0.0)</f>
        <v>0</v>
      </c>
      <c r="E5629" s="1" t="s">
        <v>11</v>
      </c>
      <c r="F5629" s="1" t="s">
        <v>20</v>
      </c>
      <c r="G5629" s="4" t="b">
        <f t="shared" si="2"/>
        <v>1</v>
      </c>
      <c r="H5629" s="1" t="str">
        <f t="shared" si="3"/>
        <v>Currently Unavailable</v>
      </c>
      <c r="I5629" s="1" t="str">
        <f t="shared" si="4"/>
        <v>No Badges</v>
      </c>
      <c r="J5629" s="3">
        <f t="shared" si="5"/>
        <v>0</v>
      </c>
    </row>
    <row r="5630">
      <c r="A5630" s="1" t="s">
        <v>4198</v>
      </c>
      <c r="B5630" s="3" t="str">
        <f t="shared" si="1"/>
        <v>Unavailable</v>
      </c>
      <c r="C5630" s="3">
        <v>209.0</v>
      </c>
      <c r="D5630" s="3">
        <f>IFERROR(__xludf.DUMMYFUNCTION("IFERROR(
IF(REGEXMATCH(LOWER(O5630),""k""),
VALUE(REGEXEXTRACT(O5630,""[0-9]+""))*1000,
VALUE(REGEXEXTRACT(O5630,""[0-9]+""))
),
0
)"),0.0)</f>
        <v>0</v>
      </c>
      <c r="E5630" s="1" t="s">
        <v>11</v>
      </c>
      <c r="F5630" s="1" t="s">
        <v>20</v>
      </c>
      <c r="G5630" s="4" t="b">
        <f t="shared" si="2"/>
        <v>1</v>
      </c>
      <c r="H5630" s="1" t="str">
        <f t="shared" si="3"/>
        <v>Currently Unavailable</v>
      </c>
      <c r="I5630" s="1" t="str">
        <f t="shared" si="4"/>
        <v>No Badges</v>
      </c>
      <c r="J5630" s="3">
        <f t="shared" si="5"/>
        <v>0</v>
      </c>
    </row>
    <row r="5631">
      <c r="A5631" s="1" t="s">
        <v>4199</v>
      </c>
      <c r="B5631" s="3" t="str">
        <f t="shared" si="1"/>
        <v>Unavailable</v>
      </c>
      <c r="C5631" s="3">
        <v>72.0</v>
      </c>
      <c r="D5631" s="3">
        <f>IFERROR(__xludf.DUMMYFUNCTION("IFERROR(
IF(REGEXMATCH(LOWER(O5631),""k""),
VALUE(REGEXEXTRACT(O5631,""[0-9]+""))*1000,
VALUE(REGEXEXTRACT(O5631,""[0-9]+""))
),
0
)"),0.0)</f>
        <v>0</v>
      </c>
      <c r="E5631" s="1" t="s">
        <v>11</v>
      </c>
      <c r="F5631" s="1" t="s">
        <v>20</v>
      </c>
      <c r="G5631" s="4" t="b">
        <f t="shared" si="2"/>
        <v>1</v>
      </c>
      <c r="H5631" s="1" t="str">
        <f t="shared" si="3"/>
        <v>Currently Unavailable</v>
      </c>
      <c r="I5631" s="1" t="str">
        <f t="shared" si="4"/>
        <v>No Badges</v>
      </c>
      <c r="J5631" s="3">
        <f t="shared" si="5"/>
        <v>0</v>
      </c>
    </row>
    <row r="5632">
      <c r="A5632" s="1" t="s">
        <v>4200</v>
      </c>
      <c r="B5632" s="3" t="str">
        <f t="shared" si="1"/>
        <v>Unavailable</v>
      </c>
      <c r="C5632" s="3">
        <v>148.0</v>
      </c>
      <c r="D5632" s="3">
        <f>IFERROR(__xludf.DUMMYFUNCTION("IFERROR(
IF(REGEXMATCH(LOWER(O5632),""k""),
VALUE(REGEXEXTRACT(O5632,""[0-9]+""))*1000,
VALUE(REGEXEXTRACT(O5632,""[0-9]+""))
),
0
)"),0.0)</f>
        <v>0</v>
      </c>
      <c r="E5632" s="1" t="s">
        <v>11</v>
      </c>
      <c r="F5632" s="1" t="s">
        <v>20</v>
      </c>
      <c r="G5632" s="4" t="b">
        <f t="shared" si="2"/>
        <v>1</v>
      </c>
      <c r="H5632" s="1" t="str">
        <f t="shared" si="3"/>
        <v>Currently Unavailable</v>
      </c>
      <c r="I5632" s="1" t="str">
        <f t="shared" si="4"/>
        <v>No Badges</v>
      </c>
      <c r="J5632" s="3">
        <f t="shared" si="5"/>
        <v>0</v>
      </c>
    </row>
    <row r="5633">
      <c r="A5633" s="1" t="s">
        <v>4201</v>
      </c>
      <c r="B5633" s="3" t="str">
        <f t="shared" si="1"/>
        <v>Unavailable</v>
      </c>
      <c r="C5633" s="3">
        <v>401.0</v>
      </c>
      <c r="D5633" s="3">
        <f>IFERROR(__xludf.DUMMYFUNCTION("IFERROR(
IF(REGEXMATCH(LOWER(O5633),""k""),
VALUE(REGEXEXTRACT(O5633,""[0-9]+""))*1000,
VALUE(REGEXEXTRACT(O5633,""[0-9]+""))
),
0
)"),0.0)</f>
        <v>0</v>
      </c>
      <c r="E5633" s="1" t="s">
        <v>11</v>
      </c>
      <c r="F5633" s="1" t="s">
        <v>20</v>
      </c>
      <c r="G5633" s="4" t="b">
        <f t="shared" si="2"/>
        <v>1</v>
      </c>
      <c r="H5633" s="1" t="str">
        <f t="shared" si="3"/>
        <v>Currently Unavailable</v>
      </c>
      <c r="I5633" s="1" t="str">
        <f t="shared" si="4"/>
        <v>No Badges</v>
      </c>
      <c r="J5633" s="3">
        <f t="shared" si="5"/>
        <v>0</v>
      </c>
    </row>
    <row r="5634">
      <c r="A5634" s="1" t="s">
        <v>4202</v>
      </c>
      <c r="B5634" s="3" t="str">
        <f t="shared" si="1"/>
        <v>Unavailable</v>
      </c>
      <c r="C5634" s="5">
        <v>1840.0</v>
      </c>
      <c r="D5634" s="3">
        <f>IFERROR(__xludf.DUMMYFUNCTION("IFERROR(
IF(REGEXMATCH(LOWER(O5634),""k""),
VALUE(REGEXEXTRACT(O5634,""[0-9]+""))*1000,
VALUE(REGEXEXTRACT(O5634,""[0-9]+""))
),
0
)"),0.0)</f>
        <v>0</v>
      </c>
      <c r="E5634" s="1" t="s">
        <v>11</v>
      </c>
      <c r="F5634" s="1" t="s">
        <v>20</v>
      </c>
      <c r="G5634" s="4" t="b">
        <f t="shared" si="2"/>
        <v>1</v>
      </c>
      <c r="H5634" s="1" t="str">
        <f t="shared" si="3"/>
        <v>Currently Unavailable</v>
      </c>
      <c r="I5634" s="1" t="str">
        <f t="shared" si="4"/>
        <v>No Badges</v>
      </c>
      <c r="J5634" s="3">
        <f t="shared" si="5"/>
        <v>0</v>
      </c>
    </row>
    <row r="5635">
      <c r="A5635" s="1" t="s">
        <v>69</v>
      </c>
      <c r="B5635" s="3" t="str">
        <f t="shared" si="1"/>
        <v>Unavailable</v>
      </c>
      <c r="C5635" s="3">
        <v>45.0</v>
      </c>
      <c r="D5635" s="3">
        <f>IFERROR(__xludf.DUMMYFUNCTION("IFERROR(
IF(REGEXMATCH(LOWER(O5635),""k""),
VALUE(REGEXEXTRACT(O5635,""[0-9]+""))*1000,
VALUE(REGEXEXTRACT(O5635,""[0-9]+""))
),
0
)"),0.0)</f>
        <v>0</v>
      </c>
      <c r="E5635" s="1" t="s">
        <v>11</v>
      </c>
      <c r="F5635" s="1" t="s">
        <v>12</v>
      </c>
      <c r="G5635" s="4" t="b">
        <f t="shared" si="2"/>
        <v>1</v>
      </c>
      <c r="H5635" s="1" t="str">
        <f t="shared" si="3"/>
        <v>Currently Unavailable</v>
      </c>
      <c r="I5635" s="1" t="str">
        <f t="shared" si="4"/>
        <v>No Badges</v>
      </c>
      <c r="J5635" s="3">
        <f t="shared" si="5"/>
        <v>0</v>
      </c>
    </row>
    <row r="5636">
      <c r="A5636" s="1" t="s">
        <v>4203</v>
      </c>
      <c r="B5636" s="3" t="str">
        <f t="shared" si="1"/>
        <v>Unavailable</v>
      </c>
      <c r="C5636" s="3">
        <v>18.0</v>
      </c>
      <c r="D5636" s="3">
        <f>IFERROR(__xludf.DUMMYFUNCTION("IFERROR(
IF(REGEXMATCH(LOWER(O5636),""k""),
VALUE(REGEXEXTRACT(O5636,""[0-9]+""))*1000,
VALUE(REGEXEXTRACT(O5636,""[0-9]+""))
),
0
)"),0.0)</f>
        <v>0</v>
      </c>
      <c r="E5636" s="1" t="s">
        <v>11</v>
      </c>
      <c r="F5636" s="1" t="s">
        <v>20</v>
      </c>
      <c r="G5636" s="4" t="b">
        <f t="shared" si="2"/>
        <v>1</v>
      </c>
      <c r="H5636" s="1" t="str">
        <f t="shared" si="3"/>
        <v>Currently Unavailable</v>
      </c>
      <c r="I5636" s="1" t="str">
        <f t="shared" si="4"/>
        <v>No Badges</v>
      </c>
      <c r="J5636" s="3">
        <f t="shared" si="5"/>
        <v>0</v>
      </c>
    </row>
    <row r="5637">
      <c r="A5637" s="1" t="s">
        <v>4204</v>
      </c>
      <c r="B5637" s="3" t="str">
        <f t="shared" si="1"/>
        <v>Unavailable</v>
      </c>
      <c r="C5637" s="3">
        <v>362.0</v>
      </c>
      <c r="D5637" s="3">
        <f>IFERROR(__xludf.DUMMYFUNCTION("IFERROR(
IF(REGEXMATCH(LOWER(O5637),""k""),
VALUE(REGEXEXTRACT(O5637,""[0-9]+""))*1000,
VALUE(REGEXEXTRACT(O5637,""[0-9]+""))
),
0
)"),0.0)</f>
        <v>0</v>
      </c>
      <c r="E5637" s="1" t="s">
        <v>18</v>
      </c>
      <c r="F5637" s="1" t="s">
        <v>20</v>
      </c>
      <c r="G5637" s="4" t="b">
        <f t="shared" si="2"/>
        <v>1</v>
      </c>
      <c r="H5637" s="1" t="str">
        <f t="shared" si="3"/>
        <v>Currently Unavailable</v>
      </c>
      <c r="I5637" s="1" t="str">
        <f t="shared" si="4"/>
        <v>No Badges</v>
      </c>
      <c r="J5637" s="3">
        <f t="shared" si="5"/>
        <v>0</v>
      </c>
    </row>
    <row r="5638">
      <c r="A5638" s="1" t="s">
        <v>4205</v>
      </c>
      <c r="B5638" s="3" t="str">
        <f t="shared" si="1"/>
        <v>Unavailable</v>
      </c>
      <c r="C5638" s="3">
        <v>128.0</v>
      </c>
      <c r="D5638" s="3">
        <f>IFERROR(__xludf.DUMMYFUNCTION("IFERROR(
IF(REGEXMATCH(LOWER(O5638),""k""),
VALUE(REGEXEXTRACT(O5638,""[0-9]+""))*1000,
VALUE(REGEXEXTRACT(O5638,""[0-9]+""))
),
0
)"),0.0)</f>
        <v>0</v>
      </c>
      <c r="E5638" s="1" t="s">
        <v>11</v>
      </c>
      <c r="F5638" s="1" t="s">
        <v>20</v>
      </c>
      <c r="G5638" s="4" t="b">
        <f t="shared" si="2"/>
        <v>1</v>
      </c>
      <c r="H5638" s="1" t="str">
        <f t="shared" si="3"/>
        <v>Currently Unavailable</v>
      </c>
      <c r="I5638" s="1" t="str">
        <f t="shared" si="4"/>
        <v>No Badges</v>
      </c>
      <c r="J5638" s="3">
        <f t="shared" si="5"/>
        <v>0</v>
      </c>
    </row>
    <row r="5639">
      <c r="A5639" s="1" t="s">
        <v>4206</v>
      </c>
      <c r="B5639" s="3" t="str">
        <f t="shared" si="1"/>
        <v>Unavailable</v>
      </c>
      <c r="C5639" s="3">
        <v>29.0</v>
      </c>
      <c r="D5639" s="3">
        <f>IFERROR(__xludf.DUMMYFUNCTION("IFERROR(
IF(REGEXMATCH(LOWER(O5639),""k""),
VALUE(REGEXEXTRACT(O5639,""[0-9]+""))*1000,
VALUE(REGEXEXTRACT(O5639,""[0-9]+""))
),
0
)"),0.0)</f>
        <v>0</v>
      </c>
      <c r="E5639" s="1" t="s">
        <v>11</v>
      </c>
      <c r="F5639" s="1" t="s">
        <v>20</v>
      </c>
      <c r="G5639" s="4" t="b">
        <f t="shared" si="2"/>
        <v>1</v>
      </c>
      <c r="H5639" s="1" t="str">
        <f t="shared" si="3"/>
        <v>Currently Unavailable</v>
      </c>
      <c r="I5639" s="1" t="str">
        <f t="shared" si="4"/>
        <v>No Badges</v>
      </c>
      <c r="J5639" s="3">
        <f t="shared" si="5"/>
        <v>0</v>
      </c>
    </row>
    <row r="5640">
      <c r="A5640" s="1" t="s">
        <v>4207</v>
      </c>
      <c r="B5640" s="3" t="str">
        <f t="shared" si="1"/>
        <v>Unavailable</v>
      </c>
      <c r="C5640" s="5">
        <v>2576.0</v>
      </c>
      <c r="D5640" s="3">
        <f>IFERROR(__xludf.DUMMYFUNCTION("IFERROR(
IF(REGEXMATCH(LOWER(O5640),""k""),
VALUE(REGEXEXTRACT(O5640,""[0-9]+""))*1000,
VALUE(REGEXEXTRACT(O5640,""[0-9]+""))
),
0
)"),0.0)</f>
        <v>0</v>
      </c>
      <c r="E5640" s="1" t="s">
        <v>11</v>
      </c>
      <c r="F5640" s="1" t="s">
        <v>20</v>
      </c>
      <c r="G5640" s="4" t="b">
        <f t="shared" si="2"/>
        <v>1</v>
      </c>
      <c r="H5640" s="1" t="str">
        <f t="shared" si="3"/>
        <v>Currently Unavailable</v>
      </c>
      <c r="I5640" s="1" t="str">
        <f t="shared" si="4"/>
        <v>No Badges</v>
      </c>
      <c r="J5640" s="3">
        <f t="shared" si="5"/>
        <v>0</v>
      </c>
    </row>
    <row r="5641">
      <c r="A5641" s="1" t="s">
        <v>4208</v>
      </c>
      <c r="B5641" s="3" t="str">
        <f t="shared" si="1"/>
        <v>Unavailable</v>
      </c>
      <c r="C5641" s="3">
        <v>232.0</v>
      </c>
      <c r="D5641" s="3">
        <f>IFERROR(__xludf.DUMMYFUNCTION("IFERROR(
IF(REGEXMATCH(LOWER(O5641),""k""),
VALUE(REGEXEXTRACT(O5641,""[0-9]+""))*1000,
VALUE(REGEXEXTRACT(O5641,""[0-9]+""))
),
0
)"),0.0)</f>
        <v>0</v>
      </c>
      <c r="E5641" s="1" t="s">
        <v>11</v>
      </c>
      <c r="F5641" s="1" t="s">
        <v>20</v>
      </c>
      <c r="G5641" s="4" t="b">
        <f t="shared" si="2"/>
        <v>1</v>
      </c>
      <c r="H5641" s="1" t="str">
        <f t="shared" si="3"/>
        <v>Currently Unavailable</v>
      </c>
      <c r="I5641" s="1" t="str">
        <f t="shared" si="4"/>
        <v>No Badges</v>
      </c>
      <c r="J5641" s="3">
        <f t="shared" si="5"/>
        <v>0</v>
      </c>
    </row>
    <row r="5642">
      <c r="A5642" s="1" t="s">
        <v>4209</v>
      </c>
      <c r="B5642" s="3" t="str">
        <f t="shared" si="1"/>
        <v>Unavailable</v>
      </c>
      <c r="C5642" s="5">
        <v>2117.0</v>
      </c>
      <c r="D5642" s="3">
        <f>IFERROR(__xludf.DUMMYFUNCTION("IFERROR(
IF(REGEXMATCH(LOWER(O5642),""k""),
VALUE(REGEXEXTRACT(O5642,""[0-9]+""))*1000,
VALUE(REGEXEXTRACT(O5642,""[0-9]+""))
),
0
)"),0.0)</f>
        <v>0</v>
      </c>
      <c r="E5642" s="1" t="s">
        <v>11</v>
      </c>
      <c r="F5642" s="1" t="s">
        <v>20</v>
      </c>
      <c r="G5642" s="4" t="b">
        <f t="shared" si="2"/>
        <v>1</v>
      </c>
      <c r="H5642" s="1" t="str">
        <f t="shared" si="3"/>
        <v>Currently Unavailable</v>
      </c>
      <c r="I5642" s="1" t="str">
        <f t="shared" si="4"/>
        <v>No Badges</v>
      </c>
      <c r="J5642" s="3">
        <f t="shared" si="5"/>
        <v>0</v>
      </c>
    </row>
    <row r="5643">
      <c r="A5643" s="1" t="s">
        <v>4210</v>
      </c>
      <c r="B5643" s="3" t="str">
        <f t="shared" si="1"/>
        <v>Unavailable</v>
      </c>
      <c r="C5643" s="3">
        <v>554.0</v>
      </c>
      <c r="D5643" s="3">
        <f>IFERROR(__xludf.DUMMYFUNCTION("IFERROR(
IF(REGEXMATCH(LOWER(O5643),""k""),
VALUE(REGEXEXTRACT(O5643,""[0-9]+""))*1000,
VALUE(REGEXEXTRACT(O5643,""[0-9]+""))
),
0
)"),0.0)</f>
        <v>0</v>
      </c>
      <c r="E5643" s="1" t="s">
        <v>11</v>
      </c>
      <c r="F5643" s="1" t="s">
        <v>20</v>
      </c>
      <c r="G5643" s="4" t="b">
        <f t="shared" si="2"/>
        <v>1</v>
      </c>
      <c r="H5643" s="1" t="str">
        <f t="shared" si="3"/>
        <v>Currently Unavailable</v>
      </c>
      <c r="I5643" s="1" t="str">
        <f t="shared" si="4"/>
        <v>No Badges</v>
      </c>
      <c r="J5643" s="3">
        <f t="shared" si="5"/>
        <v>0</v>
      </c>
    </row>
    <row r="5644">
      <c r="A5644" s="1" t="s">
        <v>4211</v>
      </c>
      <c r="B5644" s="3" t="str">
        <f t="shared" si="1"/>
        <v>Unavailable</v>
      </c>
      <c r="C5644" s="3">
        <v>443.0</v>
      </c>
      <c r="D5644" s="3">
        <f>IFERROR(__xludf.DUMMYFUNCTION("IFERROR(
IF(REGEXMATCH(LOWER(O5644),""k""),
VALUE(REGEXEXTRACT(O5644,""[0-9]+""))*1000,
VALUE(REGEXEXTRACT(O5644,""[0-9]+""))
),
0
)"),0.0)</f>
        <v>0</v>
      </c>
      <c r="E5644" s="1" t="s">
        <v>11</v>
      </c>
      <c r="F5644" s="1" t="s">
        <v>20</v>
      </c>
      <c r="G5644" s="4" t="b">
        <f t="shared" si="2"/>
        <v>1</v>
      </c>
      <c r="H5644" s="1" t="str">
        <f t="shared" si="3"/>
        <v>Currently Unavailable</v>
      </c>
      <c r="I5644" s="1" t="str">
        <f t="shared" si="4"/>
        <v>No Badges</v>
      </c>
      <c r="J5644" s="3">
        <f t="shared" si="5"/>
        <v>0</v>
      </c>
    </row>
    <row r="5645">
      <c r="A5645" s="1" t="s">
        <v>4212</v>
      </c>
      <c r="B5645" s="3" t="str">
        <f t="shared" si="1"/>
        <v>Unavailable</v>
      </c>
      <c r="C5645" s="5">
        <v>1848.0</v>
      </c>
      <c r="D5645" s="3">
        <f>IFERROR(__xludf.DUMMYFUNCTION("IFERROR(
IF(REGEXMATCH(LOWER(O5645),""k""),
VALUE(REGEXEXTRACT(O5645,""[0-9]+""))*1000,
VALUE(REGEXEXTRACT(O5645,""[0-9]+""))
),
0
)"),0.0)</f>
        <v>0</v>
      </c>
      <c r="E5645" s="1" t="s">
        <v>11</v>
      </c>
      <c r="F5645" s="1" t="s">
        <v>20</v>
      </c>
      <c r="G5645" s="4" t="b">
        <f t="shared" si="2"/>
        <v>1</v>
      </c>
      <c r="H5645" s="1" t="str">
        <f t="shared" si="3"/>
        <v>Currently Unavailable</v>
      </c>
      <c r="I5645" s="1" t="str">
        <f t="shared" si="4"/>
        <v>No Badges</v>
      </c>
      <c r="J5645" s="3">
        <f t="shared" si="5"/>
        <v>0</v>
      </c>
    </row>
    <row r="5646">
      <c r="A5646" s="1" t="s">
        <v>4213</v>
      </c>
      <c r="B5646" s="3" t="str">
        <f t="shared" si="1"/>
        <v>Unavailable</v>
      </c>
      <c r="C5646" s="5">
        <v>1442.0</v>
      </c>
      <c r="D5646" s="3">
        <f>IFERROR(__xludf.DUMMYFUNCTION("IFERROR(
IF(REGEXMATCH(LOWER(O5646),""k""),
VALUE(REGEXEXTRACT(O5646,""[0-9]+""))*1000,
VALUE(REGEXEXTRACT(O5646,""[0-9]+""))
),
0
)"),0.0)</f>
        <v>0</v>
      </c>
      <c r="E5646" s="1" t="s">
        <v>11</v>
      </c>
      <c r="F5646" s="1" t="s">
        <v>20</v>
      </c>
      <c r="G5646" s="4" t="b">
        <f t="shared" si="2"/>
        <v>1</v>
      </c>
      <c r="H5646" s="1" t="str">
        <f t="shared" si="3"/>
        <v>Currently Unavailable</v>
      </c>
      <c r="I5646" s="1" t="str">
        <f t="shared" si="4"/>
        <v>No Badges</v>
      </c>
      <c r="J5646" s="3">
        <f t="shared" si="5"/>
        <v>0</v>
      </c>
    </row>
    <row r="5647">
      <c r="A5647" s="1" t="s">
        <v>4214</v>
      </c>
      <c r="B5647" s="3" t="str">
        <f t="shared" si="1"/>
        <v>Unavailable</v>
      </c>
      <c r="C5647" s="5">
        <v>1646.0</v>
      </c>
      <c r="D5647" s="3">
        <f>IFERROR(__xludf.DUMMYFUNCTION("IFERROR(
IF(REGEXMATCH(LOWER(O5647),""k""),
VALUE(REGEXEXTRACT(O5647,""[0-9]+""))*1000,
VALUE(REGEXEXTRACT(O5647,""[0-9]+""))
),
0
)"),0.0)</f>
        <v>0</v>
      </c>
      <c r="E5647" s="1" t="s">
        <v>11</v>
      </c>
      <c r="F5647" s="1" t="s">
        <v>20</v>
      </c>
      <c r="G5647" s="4" t="b">
        <f t="shared" si="2"/>
        <v>1</v>
      </c>
      <c r="H5647" s="1" t="str">
        <f t="shared" si="3"/>
        <v>Currently Unavailable</v>
      </c>
      <c r="I5647" s="1" t="str">
        <f t="shared" si="4"/>
        <v>No Badges</v>
      </c>
      <c r="J5647" s="3">
        <f t="shared" si="5"/>
        <v>0</v>
      </c>
    </row>
    <row r="5648">
      <c r="A5648" s="1" t="s">
        <v>67</v>
      </c>
      <c r="B5648" s="3" t="str">
        <f t="shared" si="1"/>
        <v>Unavailable</v>
      </c>
      <c r="C5648" s="3">
        <v>264.0</v>
      </c>
      <c r="D5648" s="3">
        <f>IFERROR(__xludf.DUMMYFUNCTION("IFERROR(
IF(REGEXMATCH(LOWER(O5648),""k""),
VALUE(REGEXEXTRACT(O5648,""[0-9]+""))*1000,
VALUE(REGEXEXTRACT(O5648,""[0-9]+""))
),
0
)"),0.0)</f>
        <v>0</v>
      </c>
      <c r="E5648" s="1" t="s">
        <v>11</v>
      </c>
      <c r="F5648" s="1" t="s">
        <v>12</v>
      </c>
      <c r="G5648" s="4" t="b">
        <f t="shared" si="2"/>
        <v>1</v>
      </c>
      <c r="H5648" s="1" t="str">
        <f t="shared" si="3"/>
        <v>Currently Unavailable</v>
      </c>
      <c r="I5648" s="1" t="str">
        <f t="shared" si="4"/>
        <v>No Badges</v>
      </c>
      <c r="J5648" s="3">
        <f t="shared" si="5"/>
        <v>0</v>
      </c>
    </row>
    <row r="5649">
      <c r="A5649" s="1" t="s">
        <v>4215</v>
      </c>
      <c r="B5649" s="3" t="str">
        <f t="shared" si="1"/>
        <v>Unavailable</v>
      </c>
      <c r="C5649" s="3">
        <v>117.0</v>
      </c>
      <c r="D5649" s="3">
        <f>IFERROR(__xludf.DUMMYFUNCTION("IFERROR(
IF(REGEXMATCH(LOWER(O5649),""k""),
VALUE(REGEXEXTRACT(O5649,""[0-9]+""))*1000,
VALUE(REGEXEXTRACT(O5649,""[0-9]+""))
),
0
)"),0.0)</f>
        <v>0</v>
      </c>
      <c r="E5649" s="1" t="s">
        <v>11</v>
      </c>
      <c r="F5649" s="1" t="s">
        <v>20</v>
      </c>
      <c r="G5649" s="4" t="b">
        <f t="shared" si="2"/>
        <v>1</v>
      </c>
      <c r="H5649" s="1" t="str">
        <f t="shared" si="3"/>
        <v>Currently Unavailable</v>
      </c>
      <c r="I5649" s="1" t="str">
        <f t="shared" si="4"/>
        <v>No Badges</v>
      </c>
      <c r="J5649" s="3">
        <f t="shared" si="5"/>
        <v>0</v>
      </c>
    </row>
    <row r="5650">
      <c r="A5650" s="1" t="s">
        <v>701</v>
      </c>
      <c r="B5650" s="3" t="str">
        <f t="shared" si="1"/>
        <v>Unavailable</v>
      </c>
      <c r="C5650" s="3">
        <v>8.0</v>
      </c>
      <c r="D5650" s="3">
        <f>IFERROR(__xludf.DUMMYFUNCTION("IFERROR(
IF(REGEXMATCH(LOWER(O5650),""k""),
VALUE(REGEXEXTRACT(O5650,""[0-9]+""))*1000,
VALUE(REGEXEXTRACT(O5650,""[0-9]+""))
),
0
)"),0.0)</f>
        <v>0</v>
      </c>
      <c r="E5650" s="1" t="s">
        <v>11</v>
      </c>
      <c r="F5650" s="1" t="s">
        <v>12</v>
      </c>
      <c r="G5650" s="4" t="b">
        <f t="shared" si="2"/>
        <v>1</v>
      </c>
      <c r="H5650" s="1" t="str">
        <f t="shared" si="3"/>
        <v>Currently Unavailable</v>
      </c>
      <c r="I5650" s="1" t="str">
        <f t="shared" si="4"/>
        <v>No Badges</v>
      </c>
      <c r="J5650" s="3">
        <f t="shared" si="5"/>
        <v>0</v>
      </c>
    </row>
    <row r="5651">
      <c r="A5651" s="1" t="s">
        <v>4216</v>
      </c>
      <c r="B5651" s="3" t="str">
        <f t="shared" si="1"/>
        <v>Unavailable</v>
      </c>
      <c r="C5651" s="3">
        <v>17.0</v>
      </c>
      <c r="D5651" s="3">
        <f>IFERROR(__xludf.DUMMYFUNCTION("IFERROR(
IF(REGEXMATCH(LOWER(O5651),""k""),
VALUE(REGEXEXTRACT(O5651,""[0-9]+""))*1000,
VALUE(REGEXEXTRACT(O5651,""[0-9]+""))
),
0
)"),0.0)</f>
        <v>0</v>
      </c>
      <c r="E5651" s="1" t="s">
        <v>11</v>
      </c>
      <c r="F5651" s="1" t="s">
        <v>20</v>
      </c>
      <c r="G5651" s="4" t="b">
        <f t="shared" si="2"/>
        <v>1</v>
      </c>
      <c r="H5651" s="1" t="str">
        <f t="shared" si="3"/>
        <v>Currently Unavailable</v>
      </c>
      <c r="I5651" s="1" t="str">
        <f t="shared" si="4"/>
        <v>No Badges</v>
      </c>
      <c r="J5651" s="3">
        <f t="shared" si="5"/>
        <v>0</v>
      </c>
    </row>
    <row r="5652">
      <c r="A5652" s="1" t="s">
        <v>4217</v>
      </c>
      <c r="B5652" s="3" t="str">
        <f t="shared" si="1"/>
        <v>Unavailable</v>
      </c>
      <c r="C5652" s="3">
        <v>987.0</v>
      </c>
      <c r="D5652" s="3">
        <f>IFERROR(__xludf.DUMMYFUNCTION("IFERROR(
IF(REGEXMATCH(LOWER(O5652),""k""),
VALUE(REGEXEXTRACT(O5652,""[0-9]+""))*1000,
VALUE(REGEXEXTRACT(O5652,""[0-9]+""))
),
0
)"),0.0)</f>
        <v>0</v>
      </c>
      <c r="E5652" s="1" t="s">
        <v>11</v>
      </c>
      <c r="F5652" s="1" t="s">
        <v>20</v>
      </c>
      <c r="G5652" s="4" t="b">
        <f t="shared" si="2"/>
        <v>1</v>
      </c>
      <c r="H5652" s="1" t="str">
        <f t="shared" si="3"/>
        <v>Currently Unavailable</v>
      </c>
      <c r="I5652" s="1" t="str">
        <f t="shared" si="4"/>
        <v>No Badges</v>
      </c>
      <c r="J5652" s="3">
        <f t="shared" si="5"/>
        <v>0</v>
      </c>
    </row>
    <row r="5653">
      <c r="A5653" s="1" t="s">
        <v>4218</v>
      </c>
      <c r="B5653" s="3" t="str">
        <f t="shared" si="1"/>
        <v>Unavailable</v>
      </c>
      <c r="C5653" s="3">
        <v>29.0</v>
      </c>
      <c r="D5653" s="3">
        <f>IFERROR(__xludf.DUMMYFUNCTION("IFERROR(
IF(REGEXMATCH(LOWER(O5653),""k""),
VALUE(REGEXEXTRACT(O5653,""[0-9]+""))*1000,
VALUE(REGEXEXTRACT(O5653,""[0-9]+""))
),
0
)"),0.0)</f>
        <v>0</v>
      </c>
      <c r="E5653" s="1" t="s">
        <v>11</v>
      </c>
      <c r="F5653" s="1" t="s">
        <v>20</v>
      </c>
      <c r="G5653" s="4" t="b">
        <f t="shared" si="2"/>
        <v>1</v>
      </c>
      <c r="H5653" s="1" t="str">
        <f t="shared" si="3"/>
        <v>Currently Unavailable</v>
      </c>
      <c r="I5653" s="1" t="str">
        <f t="shared" si="4"/>
        <v>No Badges</v>
      </c>
      <c r="J5653" s="3">
        <f t="shared" si="5"/>
        <v>0</v>
      </c>
    </row>
    <row r="5654">
      <c r="A5654" s="1" t="s">
        <v>4219</v>
      </c>
      <c r="B5654" s="3" t="str">
        <f t="shared" si="1"/>
        <v>Unavailable</v>
      </c>
      <c r="C5654" s="3">
        <v>88.0</v>
      </c>
      <c r="D5654" s="3">
        <f>IFERROR(__xludf.DUMMYFUNCTION("IFERROR(
IF(REGEXMATCH(LOWER(O5654),""k""),
VALUE(REGEXEXTRACT(O5654,""[0-9]+""))*1000,
VALUE(REGEXEXTRACT(O5654,""[0-9]+""))
),
0
)"),0.0)</f>
        <v>0</v>
      </c>
      <c r="E5654" s="1" t="s">
        <v>11</v>
      </c>
      <c r="F5654" s="1" t="s">
        <v>20</v>
      </c>
      <c r="G5654" s="4" t="b">
        <f t="shared" si="2"/>
        <v>1</v>
      </c>
      <c r="H5654" s="1" t="str">
        <f t="shared" si="3"/>
        <v>Currently Unavailable</v>
      </c>
      <c r="I5654" s="1" t="str">
        <f t="shared" si="4"/>
        <v>No Badges</v>
      </c>
      <c r="J5654" s="3">
        <f t="shared" si="5"/>
        <v>0</v>
      </c>
    </row>
    <row r="5655">
      <c r="A5655" s="1" t="s">
        <v>4220</v>
      </c>
      <c r="B5655" s="3" t="str">
        <f t="shared" si="1"/>
        <v>Unavailable</v>
      </c>
      <c r="C5655" s="3">
        <v>83.0</v>
      </c>
      <c r="D5655" s="3">
        <f>IFERROR(__xludf.DUMMYFUNCTION("IFERROR(
IF(REGEXMATCH(LOWER(O5655),""k""),
VALUE(REGEXEXTRACT(O5655,""[0-9]+""))*1000,
VALUE(REGEXEXTRACT(O5655,""[0-9]+""))
),
0
)"),0.0)</f>
        <v>0</v>
      </c>
      <c r="E5655" s="1" t="s">
        <v>11</v>
      </c>
      <c r="F5655" s="1" t="s">
        <v>20</v>
      </c>
      <c r="G5655" s="4" t="b">
        <f t="shared" si="2"/>
        <v>1</v>
      </c>
      <c r="H5655" s="1" t="str">
        <f t="shared" si="3"/>
        <v>Currently Unavailable</v>
      </c>
      <c r="I5655" s="1" t="str">
        <f t="shared" si="4"/>
        <v>No Badges</v>
      </c>
      <c r="J5655" s="3">
        <f t="shared" si="5"/>
        <v>0</v>
      </c>
    </row>
    <row r="5656">
      <c r="A5656" s="1" t="s">
        <v>4221</v>
      </c>
      <c r="B5656" s="3" t="str">
        <f t="shared" si="1"/>
        <v>Unavailable</v>
      </c>
      <c r="C5656" s="5">
        <v>1905.0</v>
      </c>
      <c r="D5656" s="3">
        <f>IFERROR(__xludf.DUMMYFUNCTION("IFERROR(
IF(REGEXMATCH(LOWER(O5656),""k""),
VALUE(REGEXEXTRACT(O5656,""[0-9]+""))*1000,
VALUE(REGEXEXTRACT(O5656,""[0-9]+""))
),
0
)"),0.0)</f>
        <v>0</v>
      </c>
      <c r="E5656" s="1" t="s">
        <v>11</v>
      </c>
      <c r="F5656" s="1" t="s">
        <v>20</v>
      </c>
      <c r="G5656" s="4" t="b">
        <f t="shared" si="2"/>
        <v>1</v>
      </c>
      <c r="H5656" s="1" t="str">
        <f t="shared" si="3"/>
        <v>Currently Unavailable</v>
      </c>
      <c r="I5656" s="1" t="str">
        <f t="shared" si="4"/>
        <v>No Badges</v>
      </c>
      <c r="J5656" s="3">
        <f t="shared" si="5"/>
        <v>0</v>
      </c>
    </row>
    <row r="5657">
      <c r="A5657" s="1" t="s">
        <v>4222</v>
      </c>
      <c r="B5657" s="3" t="str">
        <f t="shared" si="1"/>
        <v>Unavailable</v>
      </c>
      <c r="C5657" s="3">
        <v>120.0</v>
      </c>
      <c r="D5657" s="3">
        <f>IFERROR(__xludf.DUMMYFUNCTION("IFERROR(
IF(REGEXMATCH(LOWER(O5657),""k""),
VALUE(REGEXEXTRACT(O5657,""[0-9]+""))*1000,
VALUE(REGEXEXTRACT(O5657,""[0-9]+""))
),
0
)"),0.0)</f>
        <v>0</v>
      </c>
      <c r="E5657" s="1" t="s">
        <v>11</v>
      </c>
      <c r="F5657" s="1" t="s">
        <v>20</v>
      </c>
      <c r="G5657" s="4" t="b">
        <f t="shared" si="2"/>
        <v>1</v>
      </c>
      <c r="H5657" s="1" t="str">
        <f t="shared" si="3"/>
        <v>Currently Unavailable</v>
      </c>
      <c r="I5657" s="1" t="str">
        <f t="shared" si="4"/>
        <v>No Badges</v>
      </c>
      <c r="J5657" s="3">
        <f t="shared" si="5"/>
        <v>0</v>
      </c>
    </row>
    <row r="5658">
      <c r="A5658" s="1" t="s">
        <v>4223</v>
      </c>
      <c r="B5658" s="3" t="str">
        <f t="shared" si="1"/>
        <v>Unavailable</v>
      </c>
      <c r="C5658" s="3">
        <v>283.0</v>
      </c>
      <c r="D5658" s="3">
        <f>IFERROR(__xludf.DUMMYFUNCTION("IFERROR(
IF(REGEXMATCH(LOWER(O5658),""k""),
VALUE(REGEXEXTRACT(O5658,""[0-9]+""))*1000,
VALUE(REGEXEXTRACT(O5658,""[0-9]+""))
),
0
)"),0.0)</f>
        <v>0</v>
      </c>
      <c r="E5658" s="1" t="s">
        <v>11</v>
      </c>
      <c r="F5658" s="1" t="s">
        <v>20</v>
      </c>
      <c r="G5658" s="4" t="b">
        <f t="shared" si="2"/>
        <v>1</v>
      </c>
      <c r="H5658" s="1" t="str">
        <f t="shared" si="3"/>
        <v>Currently Unavailable</v>
      </c>
      <c r="I5658" s="1" t="str">
        <f t="shared" si="4"/>
        <v>No Badges</v>
      </c>
      <c r="J5658" s="3">
        <f t="shared" si="5"/>
        <v>0</v>
      </c>
    </row>
    <row r="5659">
      <c r="A5659" s="1" t="s">
        <v>4224</v>
      </c>
      <c r="B5659" s="3" t="str">
        <f t="shared" si="1"/>
        <v>Unavailable</v>
      </c>
      <c r="C5659" s="5">
        <v>3870.0</v>
      </c>
      <c r="D5659" s="3">
        <f>IFERROR(__xludf.DUMMYFUNCTION("IFERROR(
IF(REGEXMATCH(LOWER(O5659),""k""),
VALUE(REGEXEXTRACT(O5659,""[0-9]+""))*1000,
VALUE(REGEXEXTRACT(O5659,""[0-9]+""))
),
0
)"),0.0)</f>
        <v>0</v>
      </c>
      <c r="E5659" s="1" t="s">
        <v>11</v>
      </c>
      <c r="F5659" s="1" t="s">
        <v>20</v>
      </c>
      <c r="G5659" s="4" t="b">
        <f t="shared" si="2"/>
        <v>1</v>
      </c>
      <c r="H5659" s="1" t="str">
        <f t="shared" si="3"/>
        <v>Currently Unavailable</v>
      </c>
      <c r="I5659" s="1" t="str">
        <f t="shared" si="4"/>
        <v>No Badges</v>
      </c>
      <c r="J5659" s="3">
        <f t="shared" si="5"/>
        <v>0</v>
      </c>
    </row>
    <row r="5660">
      <c r="A5660" s="1" t="s">
        <v>4225</v>
      </c>
      <c r="B5660" s="3" t="str">
        <f t="shared" si="1"/>
        <v>Unavailable</v>
      </c>
      <c r="C5660" s="3">
        <v>403.0</v>
      </c>
      <c r="D5660" s="3">
        <f>IFERROR(__xludf.DUMMYFUNCTION("IFERROR(
IF(REGEXMATCH(LOWER(O5660),""k""),
VALUE(REGEXEXTRACT(O5660,""[0-9]+""))*1000,
VALUE(REGEXEXTRACT(O5660,""[0-9]+""))
),
0
)"),0.0)</f>
        <v>0</v>
      </c>
      <c r="E5660" s="1" t="s">
        <v>11</v>
      </c>
      <c r="F5660" s="1" t="s">
        <v>20</v>
      </c>
      <c r="G5660" s="4" t="b">
        <f t="shared" si="2"/>
        <v>1</v>
      </c>
      <c r="H5660" s="1" t="str">
        <f t="shared" si="3"/>
        <v>Currently Unavailable</v>
      </c>
      <c r="I5660" s="1" t="str">
        <f t="shared" si="4"/>
        <v>No Badges</v>
      </c>
      <c r="J5660" s="3">
        <f t="shared" si="5"/>
        <v>0</v>
      </c>
    </row>
    <row r="5661">
      <c r="A5661" s="1" t="s">
        <v>4226</v>
      </c>
      <c r="B5661" s="3" t="str">
        <f t="shared" si="1"/>
        <v>Unavailable</v>
      </c>
      <c r="C5661" s="3">
        <v>628.0</v>
      </c>
      <c r="D5661" s="3">
        <f>IFERROR(__xludf.DUMMYFUNCTION("IFERROR(
IF(REGEXMATCH(LOWER(O5661),""k""),
VALUE(REGEXEXTRACT(O5661,""[0-9]+""))*1000,
VALUE(REGEXEXTRACT(O5661,""[0-9]+""))
),
0
)"),0.0)</f>
        <v>0</v>
      </c>
      <c r="E5661" s="1" t="s">
        <v>11</v>
      </c>
      <c r="F5661" s="1" t="s">
        <v>20</v>
      </c>
      <c r="G5661" s="4" t="b">
        <f t="shared" si="2"/>
        <v>1</v>
      </c>
      <c r="H5661" s="1" t="str">
        <f t="shared" si="3"/>
        <v>Currently Unavailable</v>
      </c>
      <c r="I5661" s="1" t="str">
        <f t="shared" si="4"/>
        <v>No Badges</v>
      </c>
      <c r="J5661" s="3">
        <f t="shared" si="5"/>
        <v>0</v>
      </c>
    </row>
    <row r="5662">
      <c r="A5662" s="1" t="s">
        <v>4227</v>
      </c>
      <c r="B5662" s="3" t="str">
        <f t="shared" si="1"/>
        <v>Unavailable</v>
      </c>
      <c r="C5662" s="5">
        <v>1753.0</v>
      </c>
      <c r="D5662" s="3">
        <f>IFERROR(__xludf.DUMMYFUNCTION("IFERROR(
IF(REGEXMATCH(LOWER(O5662),""k""),
VALUE(REGEXEXTRACT(O5662,""[0-9]+""))*1000,
VALUE(REGEXEXTRACT(O5662,""[0-9]+""))
),
0
)"),0.0)</f>
        <v>0</v>
      </c>
      <c r="E5662" s="1" t="s">
        <v>18</v>
      </c>
      <c r="F5662" s="1" t="s">
        <v>20</v>
      </c>
      <c r="G5662" s="4" t="b">
        <f t="shared" si="2"/>
        <v>1</v>
      </c>
      <c r="H5662" s="1" t="str">
        <f t="shared" si="3"/>
        <v>Currently Unavailable</v>
      </c>
      <c r="I5662" s="1" t="str">
        <f t="shared" si="4"/>
        <v>No Badges</v>
      </c>
      <c r="J5662" s="3">
        <f t="shared" si="5"/>
        <v>0</v>
      </c>
    </row>
    <row r="5663">
      <c r="A5663" s="1" t="s">
        <v>4228</v>
      </c>
      <c r="B5663" s="3" t="str">
        <f t="shared" si="1"/>
        <v>Unavailable</v>
      </c>
      <c r="C5663" s="5">
        <v>8039.0</v>
      </c>
      <c r="D5663" s="3">
        <f>IFERROR(__xludf.DUMMYFUNCTION("IFERROR(
IF(REGEXMATCH(LOWER(O5663),""k""),
VALUE(REGEXEXTRACT(O5663,""[0-9]+""))*1000,
VALUE(REGEXEXTRACT(O5663,""[0-9]+""))
),
0
)"),0.0)</f>
        <v>0</v>
      </c>
      <c r="E5663" s="1" t="s">
        <v>11</v>
      </c>
      <c r="F5663" s="1" t="s">
        <v>20</v>
      </c>
      <c r="G5663" s="4" t="b">
        <f t="shared" si="2"/>
        <v>1</v>
      </c>
      <c r="H5663" s="1" t="str">
        <f t="shared" si="3"/>
        <v>Currently Unavailable</v>
      </c>
      <c r="I5663" s="1" t="str">
        <f t="shared" si="4"/>
        <v>No Badges</v>
      </c>
      <c r="J5663" s="3">
        <f t="shared" si="5"/>
        <v>0</v>
      </c>
    </row>
    <row r="5664">
      <c r="A5664" s="1" t="s">
        <v>4229</v>
      </c>
      <c r="B5664" s="3" t="str">
        <f t="shared" si="1"/>
        <v>Unavailable</v>
      </c>
      <c r="C5664" s="5">
        <v>1711.0</v>
      </c>
      <c r="D5664" s="3">
        <f>IFERROR(__xludf.DUMMYFUNCTION("IFERROR(
IF(REGEXMATCH(LOWER(O5664),""k""),
VALUE(REGEXEXTRACT(O5664,""[0-9]+""))*1000,
VALUE(REGEXEXTRACT(O5664,""[0-9]+""))
),
0
)"),0.0)</f>
        <v>0</v>
      </c>
      <c r="E5664" s="1" t="s">
        <v>11</v>
      </c>
      <c r="F5664" s="1" t="s">
        <v>20</v>
      </c>
      <c r="G5664" s="4" t="b">
        <f t="shared" si="2"/>
        <v>1</v>
      </c>
      <c r="H5664" s="1" t="str">
        <f t="shared" si="3"/>
        <v>Currently Unavailable</v>
      </c>
      <c r="I5664" s="1" t="str">
        <f t="shared" si="4"/>
        <v>No Badges</v>
      </c>
      <c r="J5664" s="3">
        <f t="shared" si="5"/>
        <v>0</v>
      </c>
    </row>
    <row r="5665">
      <c r="A5665" s="1" t="s">
        <v>88</v>
      </c>
      <c r="B5665" s="3" t="str">
        <f t="shared" si="1"/>
        <v>Unavailable</v>
      </c>
      <c r="C5665" s="3">
        <v>5.0</v>
      </c>
      <c r="D5665" s="3">
        <f>IFERROR(__xludf.DUMMYFUNCTION("IFERROR(
IF(REGEXMATCH(LOWER(O5665),""k""),
VALUE(REGEXEXTRACT(O5665,""[0-9]+""))*1000,
VALUE(REGEXEXTRACT(O5665,""[0-9]+""))
),
0
)"),0.0)</f>
        <v>0</v>
      </c>
      <c r="E5665" s="1" t="s">
        <v>11</v>
      </c>
      <c r="F5665" s="1" t="s">
        <v>12</v>
      </c>
      <c r="G5665" s="4" t="b">
        <f t="shared" si="2"/>
        <v>1</v>
      </c>
      <c r="H5665" s="1" t="str">
        <f t="shared" si="3"/>
        <v>Currently Unavailable</v>
      </c>
      <c r="I5665" s="1" t="str">
        <f t="shared" si="4"/>
        <v>No Badges</v>
      </c>
      <c r="J5665" s="3">
        <f t="shared" si="5"/>
        <v>0</v>
      </c>
    </row>
    <row r="5666">
      <c r="A5666" s="1" t="s">
        <v>4230</v>
      </c>
      <c r="B5666" s="3" t="str">
        <f t="shared" si="1"/>
        <v>Unavailable</v>
      </c>
      <c r="C5666" s="3">
        <v>175.0</v>
      </c>
      <c r="D5666" s="3">
        <f>IFERROR(__xludf.DUMMYFUNCTION("IFERROR(
IF(REGEXMATCH(LOWER(O5666),""k""),
VALUE(REGEXEXTRACT(O5666,""[0-9]+""))*1000,
VALUE(REGEXEXTRACT(O5666,""[0-9]+""))
),
0
)"),0.0)</f>
        <v>0</v>
      </c>
      <c r="E5666" s="1" t="s">
        <v>11</v>
      </c>
      <c r="F5666" s="1" t="s">
        <v>20</v>
      </c>
      <c r="G5666" s="4" t="b">
        <f t="shared" si="2"/>
        <v>1</v>
      </c>
      <c r="H5666" s="1" t="str">
        <f t="shared" si="3"/>
        <v>Currently Unavailable</v>
      </c>
      <c r="I5666" s="1" t="str">
        <f t="shared" si="4"/>
        <v>No Badges</v>
      </c>
      <c r="J5666" s="3">
        <f t="shared" si="5"/>
        <v>0</v>
      </c>
    </row>
    <row r="5667">
      <c r="A5667" s="1" t="s">
        <v>4231</v>
      </c>
      <c r="B5667" s="3" t="str">
        <f t="shared" si="1"/>
        <v>Unavailable</v>
      </c>
      <c r="C5667" s="5">
        <v>1051.0</v>
      </c>
      <c r="D5667" s="3">
        <f>IFERROR(__xludf.DUMMYFUNCTION("IFERROR(
IF(REGEXMATCH(LOWER(O5667),""k""),
VALUE(REGEXEXTRACT(O5667,""[0-9]+""))*1000,
VALUE(REGEXEXTRACT(O5667,""[0-9]+""))
),
0
)"),0.0)</f>
        <v>0</v>
      </c>
      <c r="E5667" s="1" t="s">
        <v>11</v>
      </c>
      <c r="F5667" s="1" t="s">
        <v>20</v>
      </c>
      <c r="G5667" s="4" t="b">
        <f t="shared" si="2"/>
        <v>1</v>
      </c>
      <c r="H5667" s="1" t="str">
        <f t="shared" si="3"/>
        <v>Currently Unavailable</v>
      </c>
      <c r="I5667" s="1" t="str">
        <f t="shared" si="4"/>
        <v>No Badges</v>
      </c>
      <c r="J5667" s="3">
        <f t="shared" si="5"/>
        <v>0</v>
      </c>
    </row>
    <row r="5668">
      <c r="A5668" s="1" t="s">
        <v>69</v>
      </c>
      <c r="B5668" s="3" t="str">
        <f t="shared" si="1"/>
        <v>Unavailable</v>
      </c>
      <c r="C5668" s="3">
        <v>45.0</v>
      </c>
      <c r="D5668" s="3">
        <f>IFERROR(__xludf.DUMMYFUNCTION("IFERROR(
IF(REGEXMATCH(LOWER(O5668),""k""),
VALUE(REGEXEXTRACT(O5668,""[0-9]+""))*1000,
VALUE(REGEXEXTRACT(O5668,""[0-9]+""))
),
0
)"),0.0)</f>
        <v>0</v>
      </c>
      <c r="E5668" s="1" t="s">
        <v>11</v>
      </c>
      <c r="F5668" s="1" t="s">
        <v>12</v>
      </c>
      <c r="G5668" s="4" t="b">
        <f t="shared" si="2"/>
        <v>1</v>
      </c>
      <c r="H5668" s="1" t="str">
        <f t="shared" si="3"/>
        <v>Currently Unavailable</v>
      </c>
      <c r="I5668" s="1" t="str">
        <f t="shared" si="4"/>
        <v>No Badges</v>
      </c>
      <c r="J5668" s="3">
        <f t="shared" si="5"/>
        <v>0</v>
      </c>
    </row>
    <row r="5669">
      <c r="A5669" s="1" t="s">
        <v>4232</v>
      </c>
      <c r="B5669" s="3" t="str">
        <f t="shared" si="1"/>
        <v>Unavailable</v>
      </c>
      <c r="C5669" s="5">
        <v>4711.0</v>
      </c>
      <c r="D5669" s="3">
        <f>IFERROR(__xludf.DUMMYFUNCTION("IFERROR(
IF(REGEXMATCH(LOWER(O5669),""k""),
VALUE(REGEXEXTRACT(O5669,""[0-9]+""))*1000,
VALUE(REGEXEXTRACT(O5669,""[0-9]+""))
),
0
)"),0.0)</f>
        <v>0</v>
      </c>
      <c r="E5669" s="1" t="s">
        <v>11</v>
      </c>
      <c r="F5669" s="1" t="s">
        <v>20</v>
      </c>
      <c r="G5669" s="4" t="b">
        <f t="shared" si="2"/>
        <v>1</v>
      </c>
      <c r="H5669" s="1" t="str">
        <f t="shared" si="3"/>
        <v>Currently Unavailable</v>
      </c>
      <c r="I5669" s="1" t="str">
        <f t="shared" si="4"/>
        <v>No Badges</v>
      </c>
      <c r="J5669" s="3">
        <f t="shared" si="5"/>
        <v>0</v>
      </c>
    </row>
    <row r="5670">
      <c r="A5670" s="1" t="s">
        <v>4233</v>
      </c>
      <c r="B5670" s="3" t="str">
        <f t="shared" si="1"/>
        <v>Unavailable</v>
      </c>
      <c r="C5670" s="5">
        <v>4965.0</v>
      </c>
      <c r="D5670" s="3">
        <f>IFERROR(__xludf.DUMMYFUNCTION("IFERROR(
IF(REGEXMATCH(LOWER(O5670),""k""),
VALUE(REGEXEXTRACT(O5670,""[0-9]+""))*1000,
VALUE(REGEXEXTRACT(O5670,""[0-9]+""))
),
0
)"),0.0)</f>
        <v>0</v>
      </c>
      <c r="E5670" s="1" t="s">
        <v>11</v>
      </c>
      <c r="F5670" s="1" t="s">
        <v>20</v>
      </c>
      <c r="G5670" s="4" t="b">
        <f t="shared" si="2"/>
        <v>1</v>
      </c>
      <c r="H5670" s="1" t="str">
        <f t="shared" si="3"/>
        <v>Currently Unavailable</v>
      </c>
      <c r="I5670" s="1" t="str">
        <f t="shared" si="4"/>
        <v>No Badges</v>
      </c>
      <c r="J5670" s="3">
        <f t="shared" si="5"/>
        <v>0</v>
      </c>
    </row>
    <row r="5671">
      <c r="A5671" s="1" t="s">
        <v>4234</v>
      </c>
      <c r="B5671" s="3" t="str">
        <f t="shared" si="1"/>
        <v>Unavailable</v>
      </c>
      <c r="C5671" s="3">
        <v>29.0</v>
      </c>
      <c r="D5671" s="3">
        <f>IFERROR(__xludf.DUMMYFUNCTION("IFERROR(
IF(REGEXMATCH(LOWER(O5671),""k""),
VALUE(REGEXEXTRACT(O5671,""[0-9]+""))*1000,
VALUE(REGEXEXTRACT(O5671,""[0-9]+""))
),
0
)"),0.0)</f>
        <v>0</v>
      </c>
      <c r="E5671" s="1" t="s">
        <v>11</v>
      </c>
      <c r="F5671" s="1" t="s">
        <v>20</v>
      </c>
      <c r="G5671" s="4" t="b">
        <f t="shared" si="2"/>
        <v>1</v>
      </c>
      <c r="H5671" s="1" t="str">
        <f t="shared" si="3"/>
        <v>Currently Unavailable</v>
      </c>
      <c r="I5671" s="1" t="str">
        <f t="shared" si="4"/>
        <v>No Badges</v>
      </c>
      <c r="J5671" s="3">
        <f t="shared" si="5"/>
        <v>0</v>
      </c>
    </row>
    <row r="5672">
      <c r="A5672" s="1" t="s">
        <v>4235</v>
      </c>
      <c r="B5672" s="3" t="str">
        <f t="shared" si="1"/>
        <v>Unavailable</v>
      </c>
      <c r="C5672" s="3">
        <v>25.0</v>
      </c>
      <c r="D5672" s="3">
        <f>IFERROR(__xludf.DUMMYFUNCTION("IFERROR(
IF(REGEXMATCH(LOWER(O5672),""k""),
VALUE(REGEXEXTRACT(O5672,""[0-9]+""))*1000,
VALUE(REGEXEXTRACT(O5672,""[0-9]+""))
),
0
)"),0.0)</f>
        <v>0</v>
      </c>
      <c r="E5672" s="1" t="s">
        <v>11</v>
      </c>
      <c r="F5672" s="1" t="s">
        <v>20</v>
      </c>
      <c r="G5672" s="4" t="b">
        <f t="shared" si="2"/>
        <v>1</v>
      </c>
      <c r="H5672" s="1" t="str">
        <f t="shared" si="3"/>
        <v>Currently Unavailable</v>
      </c>
      <c r="I5672" s="1" t="str">
        <f t="shared" si="4"/>
        <v>No Badges</v>
      </c>
      <c r="J5672" s="3">
        <f t="shared" si="5"/>
        <v>0</v>
      </c>
    </row>
    <row r="5673">
      <c r="A5673" s="1" t="s">
        <v>4236</v>
      </c>
      <c r="B5673" s="3" t="str">
        <f t="shared" si="1"/>
        <v>Unavailable</v>
      </c>
      <c r="C5673" s="5">
        <v>2218.0</v>
      </c>
      <c r="D5673" s="3">
        <f>IFERROR(__xludf.DUMMYFUNCTION("IFERROR(
IF(REGEXMATCH(LOWER(O5673),""k""),
VALUE(REGEXEXTRACT(O5673,""[0-9]+""))*1000,
VALUE(REGEXEXTRACT(O5673,""[0-9]+""))
),
0
)"),0.0)</f>
        <v>0</v>
      </c>
      <c r="E5673" s="1" t="s">
        <v>11</v>
      </c>
      <c r="F5673" s="1" t="s">
        <v>20</v>
      </c>
      <c r="G5673" s="4" t="b">
        <f t="shared" si="2"/>
        <v>1</v>
      </c>
      <c r="H5673" s="1" t="str">
        <f t="shared" si="3"/>
        <v>Currently Unavailable</v>
      </c>
      <c r="I5673" s="1" t="str">
        <f t="shared" si="4"/>
        <v>No Badges</v>
      </c>
      <c r="J5673" s="3">
        <f t="shared" si="5"/>
        <v>0</v>
      </c>
    </row>
    <row r="5674">
      <c r="A5674" s="1" t="s">
        <v>4237</v>
      </c>
      <c r="B5674" s="3" t="str">
        <f t="shared" si="1"/>
        <v>Unavailable</v>
      </c>
      <c r="C5674" s="3">
        <v>433.0</v>
      </c>
      <c r="D5674" s="3">
        <f>IFERROR(__xludf.DUMMYFUNCTION("IFERROR(
IF(REGEXMATCH(LOWER(O5674),""k""),
VALUE(REGEXEXTRACT(O5674,""[0-9]+""))*1000,
VALUE(REGEXEXTRACT(O5674,""[0-9]+""))
),
0
)"),0.0)</f>
        <v>0</v>
      </c>
      <c r="E5674" s="1" t="s">
        <v>11</v>
      </c>
      <c r="F5674" s="1" t="s">
        <v>20</v>
      </c>
      <c r="G5674" s="4" t="b">
        <f t="shared" si="2"/>
        <v>1</v>
      </c>
      <c r="H5674" s="1" t="str">
        <f t="shared" si="3"/>
        <v>Currently Unavailable</v>
      </c>
      <c r="I5674" s="1" t="str">
        <f t="shared" si="4"/>
        <v>No Badges</v>
      </c>
      <c r="J5674" s="3">
        <f t="shared" si="5"/>
        <v>0</v>
      </c>
    </row>
    <row r="5675">
      <c r="A5675" s="1" t="s">
        <v>4238</v>
      </c>
      <c r="B5675" s="3" t="str">
        <f t="shared" si="1"/>
        <v>Unavailable</v>
      </c>
      <c r="C5675" s="5">
        <v>1596.0</v>
      </c>
      <c r="D5675" s="3">
        <f>IFERROR(__xludf.DUMMYFUNCTION("IFERROR(
IF(REGEXMATCH(LOWER(O5675),""k""),
VALUE(REGEXEXTRACT(O5675,""[0-9]+""))*1000,
VALUE(REGEXEXTRACT(O5675,""[0-9]+""))
),
0
)"),0.0)</f>
        <v>0</v>
      </c>
      <c r="E5675" s="1" t="s">
        <v>11</v>
      </c>
      <c r="F5675" s="1" t="s">
        <v>20</v>
      </c>
      <c r="G5675" s="4" t="b">
        <f t="shared" si="2"/>
        <v>1</v>
      </c>
      <c r="H5675" s="1" t="str">
        <f t="shared" si="3"/>
        <v>Currently Unavailable</v>
      </c>
      <c r="I5675" s="1" t="str">
        <f t="shared" si="4"/>
        <v>No Badges</v>
      </c>
      <c r="J5675" s="3">
        <f t="shared" si="5"/>
        <v>0</v>
      </c>
    </row>
    <row r="5676">
      <c r="A5676" s="1" t="s">
        <v>4239</v>
      </c>
      <c r="B5676" s="3" t="str">
        <f t="shared" si="1"/>
        <v>Unavailable</v>
      </c>
      <c r="C5676" s="5">
        <v>2338.0</v>
      </c>
      <c r="D5676" s="3">
        <f>IFERROR(__xludf.DUMMYFUNCTION("IFERROR(
IF(REGEXMATCH(LOWER(O5676),""k""),
VALUE(REGEXEXTRACT(O5676,""[0-9]+""))*1000,
VALUE(REGEXEXTRACT(O5676,""[0-9]+""))
),
0
)"),0.0)</f>
        <v>0</v>
      </c>
      <c r="E5676" s="1" t="s">
        <v>11</v>
      </c>
      <c r="F5676" s="1" t="s">
        <v>20</v>
      </c>
      <c r="G5676" s="4" t="b">
        <f t="shared" si="2"/>
        <v>1</v>
      </c>
      <c r="H5676" s="1" t="str">
        <f t="shared" si="3"/>
        <v>Currently Unavailable</v>
      </c>
      <c r="I5676" s="1" t="str">
        <f t="shared" si="4"/>
        <v>No Badges</v>
      </c>
      <c r="J5676" s="3">
        <f t="shared" si="5"/>
        <v>0</v>
      </c>
    </row>
    <row r="5677">
      <c r="A5677" s="1" t="s">
        <v>4240</v>
      </c>
      <c r="B5677" s="3" t="str">
        <f t="shared" si="1"/>
        <v>Unavailable</v>
      </c>
      <c r="C5677" s="3">
        <v>339.0</v>
      </c>
      <c r="D5677" s="3">
        <f>IFERROR(__xludf.DUMMYFUNCTION("IFERROR(
IF(REGEXMATCH(LOWER(O5677),""k""),
VALUE(REGEXEXTRACT(O5677,""[0-9]+""))*1000,
VALUE(REGEXEXTRACT(O5677,""[0-9]+""))
),
0
)"),0.0)</f>
        <v>0</v>
      </c>
      <c r="E5677" s="1" t="s">
        <v>11</v>
      </c>
      <c r="F5677" s="1" t="s">
        <v>20</v>
      </c>
      <c r="G5677" s="4" t="b">
        <f t="shared" si="2"/>
        <v>1</v>
      </c>
      <c r="H5677" s="1" t="str">
        <f t="shared" si="3"/>
        <v>Currently Unavailable</v>
      </c>
      <c r="I5677" s="1" t="str">
        <f t="shared" si="4"/>
        <v>No Badges</v>
      </c>
      <c r="J5677" s="3">
        <f t="shared" si="5"/>
        <v>0</v>
      </c>
    </row>
    <row r="5678">
      <c r="A5678" s="1" t="s">
        <v>4241</v>
      </c>
      <c r="B5678" s="3" t="str">
        <f t="shared" si="1"/>
        <v>Unavailable</v>
      </c>
      <c r="C5678" s="3">
        <v>104.0</v>
      </c>
      <c r="D5678" s="3">
        <f>IFERROR(__xludf.DUMMYFUNCTION("IFERROR(
IF(REGEXMATCH(LOWER(O5678),""k""),
VALUE(REGEXEXTRACT(O5678,""[0-9]+""))*1000,
VALUE(REGEXEXTRACT(O5678,""[0-9]+""))
),
0
)"),0.0)</f>
        <v>0</v>
      </c>
      <c r="E5678" s="1" t="s">
        <v>11</v>
      </c>
      <c r="F5678" s="1" t="s">
        <v>20</v>
      </c>
      <c r="G5678" s="4" t="b">
        <f t="shared" si="2"/>
        <v>1</v>
      </c>
      <c r="H5678" s="1" t="str">
        <f t="shared" si="3"/>
        <v>Currently Unavailable</v>
      </c>
      <c r="I5678" s="1" t="str">
        <f t="shared" si="4"/>
        <v>No Badges</v>
      </c>
      <c r="J5678" s="3">
        <f t="shared" si="5"/>
        <v>0</v>
      </c>
    </row>
    <row r="5679">
      <c r="A5679" s="1" t="s">
        <v>4125</v>
      </c>
      <c r="B5679" s="3" t="str">
        <f t="shared" si="1"/>
        <v>Unavailable</v>
      </c>
      <c r="C5679" s="3">
        <v>432.0</v>
      </c>
      <c r="D5679" s="3">
        <f>IFERROR(__xludf.DUMMYFUNCTION("IFERROR(
IF(REGEXMATCH(LOWER(O5679),""k""),
VALUE(REGEXEXTRACT(O5679,""[0-9]+""))*1000,
VALUE(REGEXEXTRACT(O5679,""[0-9]+""))
),
0
)"),0.0)</f>
        <v>0</v>
      </c>
      <c r="E5679" s="1" t="s">
        <v>11</v>
      </c>
      <c r="F5679" s="1" t="s">
        <v>12</v>
      </c>
      <c r="G5679" s="4" t="b">
        <f t="shared" si="2"/>
        <v>1</v>
      </c>
      <c r="H5679" s="1" t="str">
        <f t="shared" si="3"/>
        <v>Currently Unavailable</v>
      </c>
      <c r="I5679" s="1" t="str">
        <f t="shared" si="4"/>
        <v>No Badges</v>
      </c>
      <c r="J5679" s="3">
        <f t="shared" si="5"/>
        <v>0</v>
      </c>
    </row>
    <row r="5680">
      <c r="A5680" s="1" t="s">
        <v>4242</v>
      </c>
      <c r="B5680" s="3" t="str">
        <f t="shared" si="1"/>
        <v>Unavailable</v>
      </c>
      <c r="C5680" s="3">
        <v>814.0</v>
      </c>
      <c r="D5680" s="3">
        <f>IFERROR(__xludf.DUMMYFUNCTION("IFERROR(
IF(REGEXMATCH(LOWER(O5680),""k""),
VALUE(REGEXEXTRACT(O5680,""[0-9]+""))*1000,
VALUE(REGEXEXTRACT(O5680,""[0-9]+""))
),
0
)"),0.0)</f>
        <v>0</v>
      </c>
      <c r="E5680" s="1" t="s">
        <v>11</v>
      </c>
      <c r="F5680" s="1" t="s">
        <v>20</v>
      </c>
      <c r="G5680" s="4" t="b">
        <f t="shared" si="2"/>
        <v>1</v>
      </c>
      <c r="H5680" s="1" t="str">
        <f t="shared" si="3"/>
        <v>Currently Unavailable</v>
      </c>
      <c r="I5680" s="1" t="str">
        <f t="shared" si="4"/>
        <v>No Badges</v>
      </c>
      <c r="J5680" s="3">
        <f t="shared" si="5"/>
        <v>0</v>
      </c>
    </row>
    <row r="5681">
      <c r="A5681" s="1" t="s">
        <v>67</v>
      </c>
      <c r="B5681" s="3" t="str">
        <f t="shared" si="1"/>
        <v>Unavailable</v>
      </c>
      <c r="C5681" s="3">
        <v>264.0</v>
      </c>
      <c r="D5681" s="3">
        <f>IFERROR(__xludf.DUMMYFUNCTION("IFERROR(
IF(REGEXMATCH(LOWER(O5681),""k""),
VALUE(REGEXEXTRACT(O5681,""[0-9]+""))*1000,
VALUE(REGEXEXTRACT(O5681,""[0-9]+""))
),
0
)"),0.0)</f>
        <v>0</v>
      </c>
      <c r="E5681" s="1" t="s">
        <v>11</v>
      </c>
      <c r="F5681" s="1" t="s">
        <v>12</v>
      </c>
      <c r="G5681" s="4" t="b">
        <f t="shared" si="2"/>
        <v>1</v>
      </c>
      <c r="H5681" s="1" t="str">
        <f t="shared" si="3"/>
        <v>Currently Unavailable</v>
      </c>
      <c r="I5681" s="1" t="str">
        <f t="shared" si="4"/>
        <v>No Badges</v>
      </c>
      <c r="J5681" s="3">
        <f t="shared" si="5"/>
        <v>0</v>
      </c>
    </row>
    <row r="5682">
      <c r="A5682" s="1" t="s">
        <v>4243</v>
      </c>
      <c r="B5682" s="3" t="str">
        <f t="shared" si="1"/>
        <v>Unavailable</v>
      </c>
      <c r="C5682" s="3">
        <v>317.0</v>
      </c>
      <c r="D5682" s="3">
        <f>IFERROR(__xludf.DUMMYFUNCTION("IFERROR(
IF(REGEXMATCH(LOWER(O5682),""k""),
VALUE(REGEXEXTRACT(O5682,""[0-9]+""))*1000,
VALUE(REGEXEXTRACT(O5682,""[0-9]+""))
),
0
)"),0.0)</f>
        <v>0</v>
      </c>
      <c r="E5682" s="1" t="s">
        <v>11</v>
      </c>
      <c r="F5682" s="1" t="s">
        <v>20</v>
      </c>
      <c r="G5682" s="4" t="b">
        <f t="shared" si="2"/>
        <v>1</v>
      </c>
      <c r="H5682" s="1" t="str">
        <f t="shared" si="3"/>
        <v>Currently Unavailable</v>
      </c>
      <c r="I5682" s="1" t="str">
        <f t="shared" si="4"/>
        <v>No Badges</v>
      </c>
      <c r="J5682" s="3">
        <f t="shared" si="5"/>
        <v>0</v>
      </c>
    </row>
    <row r="5683">
      <c r="A5683" s="1" t="s">
        <v>701</v>
      </c>
      <c r="B5683" s="3" t="str">
        <f t="shared" si="1"/>
        <v>Unavailable</v>
      </c>
      <c r="C5683" s="3">
        <v>8.0</v>
      </c>
      <c r="D5683" s="3">
        <f>IFERROR(__xludf.DUMMYFUNCTION("IFERROR(
IF(REGEXMATCH(LOWER(O5683),""k""),
VALUE(REGEXEXTRACT(O5683,""[0-9]+""))*1000,
VALUE(REGEXEXTRACT(O5683,""[0-9]+""))
),
0
)"),0.0)</f>
        <v>0</v>
      </c>
      <c r="E5683" s="1" t="s">
        <v>11</v>
      </c>
      <c r="F5683" s="1" t="s">
        <v>12</v>
      </c>
      <c r="G5683" s="4" t="b">
        <f t="shared" si="2"/>
        <v>1</v>
      </c>
      <c r="H5683" s="1" t="str">
        <f t="shared" si="3"/>
        <v>Currently Unavailable</v>
      </c>
      <c r="I5683" s="1" t="str">
        <f t="shared" si="4"/>
        <v>No Badges</v>
      </c>
      <c r="J5683" s="3">
        <f t="shared" si="5"/>
        <v>0</v>
      </c>
    </row>
    <row r="5684">
      <c r="A5684" s="1" t="s">
        <v>4244</v>
      </c>
      <c r="B5684" s="3" t="str">
        <f t="shared" si="1"/>
        <v>Unavailable</v>
      </c>
      <c r="C5684" s="3">
        <v>904.0</v>
      </c>
      <c r="D5684" s="3">
        <f>IFERROR(__xludf.DUMMYFUNCTION("IFERROR(
IF(REGEXMATCH(LOWER(O5684),""k""),
VALUE(REGEXEXTRACT(O5684,""[0-9]+""))*1000,
VALUE(REGEXEXTRACT(O5684,""[0-9]+""))
),
0
)"),0.0)</f>
        <v>0</v>
      </c>
      <c r="E5684" s="1" t="s">
        <v>11</v>
      </c>
      <c r="F5684" s="1" t="s">
        <v>20</v>
      </c>
      <c r="G5684" s="4" t="b">
        <f t="shared" si="2"/>
        <v>1</v>
      </c>
      <c r="H5684" s="1" t="str">
        <f t="shared" si="3"/>
        <v>Currently Unavailable</v>
      </c>
      <c r="I5684" s="1" t="str">
        <f t="shared" si="4"/>
        <v>No Badges</v>
      </c>
      <c r="J5684" s="3">
        <f t="shared" si="5"/>
        <v>0</v>
      </c>
    </row>
    <row r="5685">
      <c r="A5685" s="1" t="s">
        <v>4245</v>
      </c>
      <c r="B5685" s="3" t="str">
        <f t="shared" si="1"/>
        <v>Unavailable</v>
      </c>
      <c r="C5685" s="3">
        <v>161.0</v>
      </c>
      <c r="D5685" s="3">
        <f>IFERROR(__xludf.DUMMYFUNCTION("IFERROR(
IF(REGEXMATCH(LOWER(O5685),""k""),
VALUE(REGEXEXTRACT(O5685,""[0-9]+""))*1000,
VALUE(REGEXEXTRACT(O5685,""[0-9]+""))
),
0
)"),0.0)</f>
        <v>0</v>
      </c>
      <c r="E5685" s="1" t="s">
        <v>11</v>
      </c>
      <c r="F5685" s="1" t="s">
        <v>20</v>
      </c>
      <c r="G5685" s="4" t="b">
        <f t="shared" si="2"/>
        <v>1</v>
      </c>
      <c r="H5685" s="1" t="str">
        <f t="shared" si="3"/>
        <v>Currently Unavailable</v>
      </c>
      <c r="I5685" s="1" t="str">
        <f t="shared" si="4"/>
        <v>No Badges</v>
      </c>
      <c r="J5685" s="3">
        <f t="shared" si="5"/>
        <v>0</v>
      </c>
    </row>
    <row r="5686">
      <c r="A5686" s="1" t="s">
        <v>4246</v>
      </c>
      <c r="B5686" s="3" t="str">
        <f t="shared" si="1"/>
        <v>Unavailable</v>
      </c>
      <c r="C5686" s="3">
        <v>614.0</v>
      </c>
      <c r="D5686" s="3">
        <f>IFERROR(__xludf.DUMMYFUNCTION("IFERROR(
IF(REGEXMATCH(LOWER(O5686),""k""),
VALUE(REGEXEXTRACT(O5686,""[0-9]+""))*1000,
VALUE(REGEXEXTRACT(O5686,""[0-9]+""))
),
0
)"),0.0)</f>
        <v>0</v>
      </c>
      <c r="E5686" s="1" t="s">
        <v>11</v>
      </c>
      <c r="F5686" s="1" t="s">
        <v>20</v>
      </c>
      <c r="G5686" s="4" t="b">
        <f t="shared" si="2"/>
        <v>1</v>
      </c>
      <c r="H5686" s="1" t="str">
        <f t="shared" si="3"/>
        <v>Currently Unavailable</v>
      </c>
      <c r="I5686" s="1" t="str">
        <f t="shared" si="4"/>
        <v>No Badges</v>
      </c>
      <c r="J5686" s="3">
        <f t="shared" si="5"/>
        <v>0</v>
      </c>
    </row>
    <row r="5687">
      <c r="A5687" s="1" t="s">
        <v>4247</v>
      </c>
      <c r="B5687" s="3" t="str">
        <f t="shared" si="1"/>
        <v>Unavailable</v>
      </c>
      <c r="C5687" s="3">
        <v>506.0</v>
      </c>
      <c r="D5687" s="3">
        <f>IFERROR(__xludf.DUMMYFUNCTION("IFERROR(
IF(REGEXMATCH(LOWER(O5687),""k""),
VALUE(REGEXEXTRACT(O5687,""[0-9]+""))*1000,
VALUE(REGEXEXTRACT(O5687,""[0-9]+""))
),
0
)"),0.0)</f>
        <v>0</v>
      </c>
      <c r="E5687" s="1" t="s">
        <v>11</v>
      </c>
      <c r="F5687" s="1" t="s">
        <v>20</v>
      </c>
      <c r="G5687" s="4" t="b">
        <f t="shared" si="2"/>
        <v>1</v>
      </c>
      <c r="H5687" s="1" t="str">
        <f t="shared" si="3"/>
        <v>Currently Unavailable</v>
      </c>
      <c r="I5687" s="1" t="str">
        <f t="shared" si="4"/>
        <v>No Badges</v>
      </c>
      <c r="J5687" s="3">
        <f t="shared" si="5"/>
        <v>0</v>
      </c>
    </row>
    <row r="5688">
      <c r="A5688" s="1" t="s">
        <v>4248</v>
      </c>
      <c r="B5688" s="3" t="str">
        <f t="shared" si="1"/>
        <v>Unavailable</v>
      </c>
      <c r="C5688" s="5">
        <v>1601.0</v>
      </c>
      <c r="D5688" s="3">
        <f>IFERROR(__xludf.DUMMYFUNCTION("IFERROR(
IF(REGEXMATCH(LOWER(O5688),""k""),
VALUE(REGEXEXTRACT(O5688,""[0-9]+""))*1000,
VALUE(REGEXEXTRACT(O5688,""[0-9]+""))
),
0
)"),0.0)</f>
        <v>0</v>
      </c>
      <c r="E5688" s="1" t="s">
        <v>11</v>
      </c>
      <c r="F5688" s="1" t="s">
        <v>20</v>
      </c>
      <c r="G5688" s="4" t="b">
        <f t="shared" si="2"/>
        <v>1</v>
      </c>
      <c r="H5688" s="1" t="str">
        <f t="shared" si="3"/>
        <v>Currently Unavailable</v>
      </c>
      <c r="I5688" s="1" t="str">
        <f t="shared" si="4"/>
        <v>No Badges</v>
      </c>
      <c r="J5688" s="3">
        <f t="shared" si="5"/>
        <v>0</v>
      </c>
    </row>
    <row r="5689">
      <c r="A5689" s="1" t="s">
        <v>4249</v>
      </c>
      <c r="B5689" s="3" t="str">
        <f t="shared" si="1"/>
        <v>Unavailable</v>
      </c>
      <c r="C5689" s="3">
        <v>112.0</v>
      </c>
      <c r="D5689" s="3">
        <f>IFERROR(__xludf.DUMMYFUNCTION("IFERROR(
IF(REGEXMATCH(LOWER(O5689),""k""),
VALUE(REGEXEXTRACT(O5689,""[0-9]+""))*1000,
VALUE(REGEXEXTRACT(O5689,""[0-9]+""))
),
0
)"),0.0)</f>
        <v>0</v>
      </c>
      <c r="E5689" s="1" t="s">
        <v>11</v>
      </c>
      <c r="F5689" s="1" t="s">
        <v>20</v>
      </c>
      <c r="G5689" s="4" t="b">
        <f t="shared" si="2"/>
        <v>1</v>
      </c>
      <c r="H5689" s="1" t="str">
        <f t="shared" si="3"/>
        <v>Currently Unavailable</v>
      </c>
      <c r="I5689" s="1" t="str">
        <f t="shared" si="4"/>
        <v>No Badges</v>
      </c>
      <c r="J5689" s="3">
        <f t="shared" si="5"/>
        <v>0</v>
      </c>
    </row>
    <row r="5690">
      <c r="A5690" s="1" t="s">
        <v>4250</v>
      </c>
      <c r="B5690" s="3" t="str">
        <f t="shared" si="1"/>
        <v>Unavailable</v>
      </c>
      <c r="C5690" s="5">
        <v>5006.0</v>
      </c>
      <c r="D5690" s="3">
        <f>IFERROR(__xludf.DUMMYFUNCTION("IFERROR(
IF(REGEXMATCH(LOWER(O5690),""k""),
VALUE(REGEXEXTRACT(O5690,""[0-9]+""))*1000,
VALUE(REGEXEXTRACT(O5690,""[0-9]+""))
),
0
)"),0.0)</f>
        <v>0</v>
      </c>
      <c r="E5690" s="1" t="s">
        <v>11</v>
      </c>
      <c r="F5690" s="1" t="s">
        <v>20</v>
      </c>
      <c r="G5690" s="4" t="b">
        <f t="shared" si="2"/>
        <v>1</v>
      </c>
      <c r="H5690" s="1" t="str">
        <f t="shared" si="3"/>
        <v>Currently Unavailable</v>
      </c>
      <c r="I5690" s="1" t="str">
        <f t="shared" si="4"/>
        <v>No Badges</v>
      </c>
      <c r="J5690" s="3">
        <f t="shared" si="5"/>
        <v>0</v>
      </c>
    </row>
    <row r="5691">
      <c r="A5691" s="1" t="s">
        <v>4251</v>
      </c>
      <c r="B5691" s="3" t="str">
        <f t="shared" si="1"/>
        <v>Unavailable</v>
      </c>
      <c r="C5691" s="3">
        <v>919.0</v>
      </c>
      <c r="D5691" s="3">
        <f>IFERROR(__xludf.DUMMYFUNCTION("IFERROR(
IF(REGEXMATCH(LOWER(O5691),""k""),
VALUE(REGEXEXTRACT(O5691,""[0-9]+""))*1000,
VALUE(REGEXEXTRACT(O5691,""[0-9]+""))
),
0
)"),0.0)</f>
        <v>0</v>
      </c>
      <c r="E5691" s="1" t="s">
        <v>11</v>
      </c>
      <c r="F5691" s="1" t="s">
        <v>20</v>
      </c>
      <c r="G5691" s="4" t="b">
        <f t="shared" si="2"/>
        <v>1</v>
      </c>
      <c r="H5691" s="1" t="str">
        <f t="shared" si="3"/>
        <v>Currently Unavailable</v>
      </c>
      <c r="I5691" s="1" t="str">
        <f t="shared" si="4"/>
        <v>No Badges</v>
      </c>
      <c r="J5691" s="3">
        <f t="shared" si="5"/>
        <v>0</v>
      </c>
    </row>
    <row r="5692">
      <c r="A5692" s="1" t="s">
        <v>4252</v>
      </c>
      <c r="B5692" s="3" t="str">
        <f t="shared" si="1"/>
        <v>Unavailable</v>
      </c>
      <c r="C5692" s="5">
        <v>4741.0</v>
      </c>
      <c r="D5692" s="3">
        <f>IFERROR(__xludf.DUMMYFUNCTION("IFERROR(
IF(REGEXMATCH(LOWER(O5692),""k""),
VALUE(REGEXEXTRACT(O5692,""[0-9]+""))*1000,
VALUE(REGEXEXTRACT(O5692,""[0-9]+""))
),
0
)"),0.0)</f>
        <v>0</v>
      </c>
      <c r="E5692" s="1" t="s">
        <v>11</v>
      </c>
      <c r="F5692" s="1" t="s">
        <v>20</v>
      </c>
      <c r="G5692" s="4" t="b">
        <f t="shared" si="2"/>
        <v>1</v>
      </c>
      <c r="H5692" s="1" t="str">
        <f t="shared" si="3"/>
        <v>Currently Unavailable</v>
      </c>
      <c r="I5692" s="1" t="str">
        <f t="shared" si="4"/>
        <v>No Badges</v>
      </c>
      <c r="J5692" s="3">
        <f t="shared" si="5"/>
        <v>0</v>
      </c>
    </row>
    <row r="5693">
      <c r="A5693" s="1" t="s">
        <v>4253</v>
      </c>
      <c r="B5693" s="3" t="str">
        <f t="shared" si="1"/>
        <v>Unavailable</v>
      </c>
      <c r="C5693" s="5">
        <v>8914.0</v>
      </c>
      <c r="D5693" s="3">
        <f>IFERROR(__xludf.DUMMYFUNCTION("IFERROR(
IF(REGEXMATCH(LOWER(O5693),""k""),
VALUE(REGEXEXTRACT(O5693,""[0-9]+""))*1000,
VALUE(REGEXEXTRACT(O5693,""[0-9]+""))
),
0
)"),0.0)</f>
        <v>0</v>
      </c>
      <c r="E5693" s="1" t="s">
        <v>11</v>
      </c>
      <c r="F5693" s="1" t="s">
        <v>20</v>
      </c>
      <c r="G5693" s="4" t="b">
        <f t="shared" si="2"/>
        <v>1</v>
      </c>
      <c r="H5693" s="1" t="str">
        <f t="shared" si="3"/>
        <v>Currently Unavailable</v>
      </c>
      <c r="I5693" s="1" t="str">
        <f t="shared" si="4"/>
        <v>No Badges</v>
      </c>
      <c r="J5693" s="3">
        <f t="shared" si="5"/>
        <v>0</v>
      </c>
    </row>
    <row r="5694">
      <c r="A5694" s="1" t="s">
        <v>4254</v>
      </c>
      <c r="B5694" s="3" t="str">
        <f t="shared" si="1"/>
        <v>Unavailable</v>
      </c>
      <c r="C5694" s="3">
        <v>741.0</v>
      </c>
      <c r="D5694" s="3">
        <f>IFERROR(__xludf.DUMMYFUNCTION("IFERROR(
IF(REGEXMATCH(LOWER(O5694),""k""),
VALUE(REGEXEXTRACT(O5694,""[0-9]+""))*1000,
VALUE(REGEXEXTRACT(O5694,""[0-9]+""))
),
0
)"),0.0)</f>
        <v>0</v>
      </c>
      <c r="E5694" s="1" t="s">
        <v>11</v>
      </c>
      <c r="F5694" s="1" t="s">
        <v>20</v>
      </c>
      <c r="G5694" s="4" t="b">
        <f t="shared" si="2"/>
        <v>1</v>
      </c>
      <c r="H5694" s="1" t="str">
        <f t="shared" si="3"/>
        <v>Currently Unavailable</v>
      </c>
      <c r="I5694" s="1" t="str">
        <f t="shared" si="4"/>
        <v>No Badges</v>
      </c>
      <c r="J5694" s="3">
        <f t="shared" si="5"/>
        <v>0</v>
      </c>
    </row>
    <row r="5695">
      <c r="A5695" s="1" t="s">
        <v>4255</v>
      </c>
      <c r="B5695" s="3" t="str">
        <f t="shared" si="1"/>
        <v>Unavailable</v>
      </c>
      <c r="C5695" s="3">
        <v>250.0</v>
      </c>
      <c r="D5695" s="3">
        <f>IFERROR(__xludf.DUMMYFUNCTION("IFERROR(
IF(REGEXMATCH(LOWER(O5695),""k""),
VALUE(REGEXEXTRACT(O5695,""[0-9]+""))*1000,
VALUE(REGEXEXTRACT(O5695,""[0-9]+""))
),
0
)"),0.0)</f>
        <v>0</v>
      </c>
      <c r="E5695" s="1" t="s">
        <v>11</v>
      </c>
      <c r="F5695" s="1" t="s">
        <v>20</v>
      </c>
      <c r="G5695" s="4" t="b">
        <f t="shared" si="2"/>
        <v>1</v>
      </c>
      <c r="H5695" s="1" t="str">
        <f t="shared" si="3"/>
        <v>Currently Unavailable</v>
      </c>
      <c r="I5695" s="1" t="str">
        <f t="shared" si="4"/>
        <v>No Badges</v>
      </c>
      <c r="J5695" s="3">
        <f t="shared" si="5"/>
        <v>0</v>
      </c>
    </row>
    <row r="5696">
      <c r="A5696" s="1" t="s">
        <v>4256</v>
      </c>
      <c r="B5696" s="3" t="str">
        <f t="shared" si="1"/>
        <v>Unavailable</v>
      </c>
      <c r="C5696" s="3">
        <v>820.0</v>
      </c>
      <c r="D5696" s="3">
        <f>IFERROR(__xludf.DUMMYFUNCTION("IFERROR(
IF(REGEXMATCH(LOWER(O5696),""k""),
VALUE(REGEXEXTRACT(O5696,""[0-9]+""))*1000,
VALUE(REGEXEXTRACT(O5696,""[0-9]+""))
),
0
)"),0.0)</f>
        <v>0</v>
      </c>
      <c r="E5696" s="1" t="s">
        <v>11</v>
      </c>
      <c r="F5696" s="1" t="s">
        <v>20</v>
      </c>
      <c r="G5696" s="4" t="b">
        <f t="shared" si="2"/>
        <v>1</v>
      </c>
      <c r="H5696" s="1" t="str">
        <f t="shared" si="3"/>
        <v>Currently Unavailable</v>
      </c>
      <c r="I5696" s="1" t="str">
        <f t="shared" si="4"/>
        <v>No Badges</v>
      </c>
      <c r="J5696" s="3">
        <f t="shared" si="5"/>
        <v>0</v>
      </c>
    </row>
    <row r="5697">
      <c r="A5697" s="1" t="s">
        <v>88</v>
      </c>
      <c r="B5697" s="3" t="str">
        <f t="shared" si="1"/>
        <v>Unavailable</v>
      </c>
      <c r="C5697" s="3">
        <v>5.0</v>
      </c>
      <c r="D5697" s="3">
        <f>IFERROR(__xludf.DUMMYFUNCTION("IFERROR(
IF(REGEXMATCH(LOWER(O5697),""k""),
VALUE(REGEXEXTRACT(O5697,""[0-9]+""))*1000,
VALUE(REGEXEXTRACT(O5697,""[0-9]+""))
),
0
)"),0.0)</f>
        <v>0</v>
      </c>
      <c r="E5697" s="1" t="s">
        <v>11</v>
      </c>
      <c r="F5697" s="1" t="s">
        <v>12</v>
      </c>
      <c r="G5697" s="4" t="b">
        <f t="shared" si="2"/>
        <v>1</v>
      </c>
      <c r="H5697" s="1" t="str">
        <f t="shared" si="3"/>
        <v>Currently Unavailable</v>
      </c>
      <c r="I5697" s="1" t="str">
        <f t="shared" si="4"/>
        <v>No Badges</v>
      </c>
      <c r="J5697" s="3">
        <f t="shared" si="5"/>
        <v>0</v>
      </c>
    </row>
    <row r="5698">
      <c r="A5698" s="1" t="s">
        <v>40</v>
      </c>
      <c r="B5698" s="3" t="str">
        <f t="shared" si="1"/>
        <v>Unavailable</v>
      </c>
      <c r="C5698" s="3">
        <v>171.0</v>
      </c>
      <c r="D5698" s="3">
        <f>IFERROR(__xludf.DUMMYFUNCTION("IFERROR(
IF(REGEXMATCH(LOWER(O5698),""k""),
VALUE(REGEXEXTRACT(O5698,""[0-9]+""))*1000,
VALUE(REGEXEXTRACT(O5698,""[0-9]+""))
),
0
)"),0.0)</f>
        <v>0</v>
      </c>
      <c r="E5698" s="1" t="s">
        <v>11</v>
      </c>
      <c r="F5698" s="1" t="s">
        <v>12</v>
      </c>
      <c r="G5698" s="4" t="b">
        <f t="shared" si="2"/>
        <v>1</v>
      </c>
      <c r="H5698" s="1" t="str">
        <f t="shared" si="3"/>
        <v>Currently Unavailable</v>
      </c>
      <c r="I5698" s="1" t="str">
        <f t="shared" si="4"/>
        <v>No Badges</v>
      </c>
      <c r="J5698" s="3">
        <f t="shared" si="5"/>
        <v>0</v>
      </c>
    </row>
    <row r="5699">
      <c r="A5699" s="1" t="s">
        <v>4257</v>
      </c>
      <c r="B5699" s="3" t="str">
        <f t="shared" si="1"/>
        <v>Unavailable</v>
      </c>
      <c r="C5699" s="5">
        <v>2149.0</v>
      </c>
      <c r="D5699" s="3">
        <f>IFERROR(__xludf.DUMMYFUNCTION("IFERROR(
IF(REGEXMATCH(LOWER(O5699),""k""),
VALUE(REGEXEXTRACT(O5699,""[0-9]+""))*1000,
VALUE(REGEXEXTRACT(O5699,""[0-9]+""))
),
0
)"),0.0)</f>
        <v>0</v>
      </c>
      <c r="E5699" s="1" t="s">
        <v>11</v>
      </c>
      <c r="F5699" s="1" t="s">
        <v>20</v>
      </c>
      <c r="G5699" s="4" t="b">
        <f t="shared" si="2"/>
        <v>1</v>
      </c>
      <c r="H5699" s="1" t="str">
        <f t="shared" si="3"/>
        <v>Currently Unavailable</v>
      </c>
      <c r="I5699" s="1" t="str">
        <f t="shared" si="4"/>
        <v>No Badges</v>
      </c>
      <c r="J5699" s="3">
        <f t="shared" si="5"/>
        <v>0</v>
      </c>
    </row>
    <row r="5700">
      <c r="A5700" s="1" t="s">
        <v>4258</v>
      </c>
      <c r="B5700" s="3" t="str">
        <f t="shared" si="1"/>
        <v>Unavailable</v>
      </c>
      <c r="C5700" s="3">
        <v>766.0</v>
      </c>
      <c r="D5700" s="3">
        <f>IFERROR(__xludf.DUMMYFUNCTION("IFERROR(
IF(REGEXMATCH(LOWER(O5700),""k""),
VALUE(REGEXEXTRACT(O5700,""[0-9]+""))*1000,
VALUE(REGEXEXTRACT(O5700,""[0-9]+""))
),
0
)"),0.0)</f>
        <v>0</v>
      </c>
      <c r="E5700" s="1" t="s">
        <v>11</v>
      </c>
      <c r="F5700" s="1" t="s">
        <v>20</v>
      </c>
      <c r="G5700" s="4" t="b">
        <f t="shared" si="2"/>
        <v>1</v>
      </c>
      <c r="H5700" s="1" t="str">
        <f t="shared" si="3"/>
        <v>Currently Unavailable</v>
      </c>
      <c r="I5700" s="1" t="str">
        <f t="shared" si="4"/>
        <v>No Badges</v>
      </c>
      <c r="J5700" s="3">
        <f t="shared" si="5"/>
        <v>0</v>
      </c>
    </row>
    <row r="5701">
      <c r="A5701" s="1" t="s">
        <v>69</v>
      </c>
      <c r="B5701" s="3" t="str">
        <f t="shared" si="1"/>
        <v>Unavailable</v>
      </c>
      <c r="C5701" s="3">
        <v>45.0</v>
      </c>
      <c r="D5701" s="3">
        <f>IFERROR(__xludf.DUMMYFUNCTION("IFERROR(
IF(REGEXMATCH(LOWER(O5701),""k""),
VALUE(REGEXEXTRACT(O5701,""[0-9]+""))*1000,
VALUE(REGEXEXTRACT(O5701,""[0-9]+""))
),
0
)"),0.0)</f>
        <v>0</v>
      </c>
      <c r="E5701" s="1" t="s">
        <v>11</v>
      </c>
      <c r="F5701" s="1" t="s">
        <v>12</v>
      </c>
      <c r="G5701" s="4" t="b">
        <f t="shared" si="2"/>
        <v>1</v>
      </c>
      <c r="H5701" s="1" t="str">
        <f t="shared" si="3"/>
        <v>Currently Unavailable</v>
      </c>
      <c r="I5701" s="1" t="str">
        <f t="shared" si="4"/>
        <v>No Badges</v>
      </c>
      <c r="J5701" s="3">
        <f t="shared" si="5"/>
        <v>0</v>
      </c>
    </row>
    <row r="5702">
      <c r="A5702" s="1" t="s">
        <v>4259</v>
      </c>
      <c r="B5702" s="3" t="str">
        <f t="shared" si="1"/>
        <v>Unavailable</v>
      </c>
      <c r="C5702" s="5">
        <v>3436.0</v>
      </c>
      <c r="D5702" s="3">
        <f>IFERROR(__xludf.DUMMYFUNCTION("IFERROR(
IF(REGEXMATCH(LOWER(O5702),""k""),
VALUE(REGEXEXTRACT(O5702,""[0-9]+""))*1000,
VALUE(REGEXEXTRACT(O5702,""[0-9]+""))
),
0
)"),0.0)</f>
        <v>0</v>
      </c>
      <c r="E5702" s="1" t="s">
        <v>11</v>
      </c>
      <c r="F5702" s="1" t="s">
        <v>20</v>
      </c>
      <c r="G5702" s="4" t="b">
        <f t="shared" si="2"/>
        <v>1</v>
      </c>
      <c r="H5702" s="1" t="str">
        <f t="shared" si="3"/>
        <v>Currently Unavailable</v>
      </c>
      <c r="I5702" s="1" t="str">
        <f t="shared" si="4"/>
        <v>No Badges</v>
      </c>
      <c r="J5702" s="3">
        <f t="shared" si="5"/>
        <v>0</v>
      </c>
    </row>
    <row r="5703">
      <c r="A5703" s="1" t="s">
        <v>4260</v>
      </c>
      <c r="B5703" s="3" t="str">
        <f t="shared" si="1"/>
        <v>Unavailable</v>
      </c>
      <c r="C5703" s="5">
        <v>2407.0</v>
      </c>
      <c r="D5703" s="3">
        <f>IFERROR(__xludf.DUMMYFUNCTION("IFERROR(
IF(REGEXMATCH(LOWER(O5703),""k""),
VALUE(REGEXEXTRACT(O5703,""[0-9]+""))*1000,
VALUE(REGEXEXTRACT(O5703,""[0-9]+""))
),
0
)"),0.0)</f>
        <v>0</v>
      </c>
      <c r="E5703" s="1" t="s">
        <v>11</v>
      </c>
      <c r="F5703" s="1" t="s">
        <v>20</v>
      </c>
      <c r="G5703" s="4" t="b">
        <f t="shared" si="2"/>
        <v>1</v>
      </c>
      <c r="H5703" s="1" t="str">
        <f t="shared" si="3"/>
        <v>Currently Unavailable</v>
      </c>
      <c r="I5703" s="1" t="str">
        <f t="shared" si="4"/>
        <v>No Badges</v>
      </c>
      <c r="J5703" s="3">
        <f t="shared" si="5"/>
        <v>0</v>
      </c>
    </row>
    <row r="5704">
      <c r="A5704" s="1" t="s">
        <v>4261</v>
      </c>
      <c r="B5704" s="3" t="str">
        <f t="shared" si="1"/>
        <v>Unavailable</v>
      </c>
      <c r="C5704" s="5">
        <v>1005.0</v>
      </c>
      <c r="D5704" s="3">
        <f>IFERROR(__xludf.DUMMYFUNCTION("IFERROR(
IF(REGEXMATCH(LOWER(O5704),""k""),
VALUE(REGEXEXTRACT(O5704,""[0-9]+""))*1000,
VALUE(REGEXEXTRACT(O5704,""[0-9]+""))
),
0
)"),0.0)</f>
        <v>0</v>
      </c>
      <c r="E5704" s="1" t="s">
        <v>11</v>
      </c>
      <c r="F5704" s="1" t="s">
        <v>20</v>
      </c>
      <c r="G5704" s="4" t="b">
        <f t="shared" si="2"/>
        <v>1</v>
      </c>
      <c r="H5704" s="1" t="str">
        <f t="shared" si="3"/>
        <v>Currently Unavailable</v>
      </c>
      <c r="I5704" s="1" t="str">
        <f t="shared" si="4"/>
        <v>No Badges</v>
      </c>
      <c r="J5704" s="3">
        <f t="shared" si="5"/>
        <v>0</v>
      </c>
    </row>
    <row r="5705">
      <c r="A5705" s="1" t="s">
        <v>4262</v>
      </c>
      <c r="B5705" s="3" t="str">
        <f t="shared" si="1"/>
        <v>Unavailable</v>
      </c>
      <c r="C5705" s="5">
        <v>6337.0</v>
      </c>
      <c r="D5705" s="3">
        <f>IFERROR(__xludf.DUMMYFUNCTION("IFERROR(
IF(REGEXMATCH(LOWER(O5705),""k""),
VALUE(REGEXEXTRACT(O5705,""[0-9]+""))*1000,
VALUE(REGEXEXTRACT(O5705,""[0-9]+""))
),
0
)"),0.0)</f>
        <v>0</v>
      </c>
      <c r="E5705" s="1" t="s">
        <v>11</v>
      </c>
      <c r="F5705" s="1" t="s">
        <v>20</v>
      </c>
      <c r="G5705" s="4" t="b">
        <f t="shared" si="2"/>
        <v>1</v>
      </c>
      <c r="H5705" s="1" t="str">
        <f t="shared" si="3"/>
        <v>Currently Unavailable</v>
      </c>
      <c r="I5705" s="1" t="str">
        <f t="shared" si="4"/>
        <v>No Badges</v>
      </c>
      <c r="J5705" s="3">
        <f t="shared" si="5"/>
        <v>0</v>
      </c>
    </row>
    <row r="5706">
      <c r="A5706" s="1" t="s">
        <v>4263</v>
      </c>
      <c r="B5706" s="3" t="str">
        <f t="shared" si="1"/>
        <v>Unavailable</v>
      </c>
      <c r="C5706" s="3">
        <v>23.0</v>
      </c>
      <c r="D5706" s="3">
        <f>IFERROR(__xludf.DUMMYFUNCTION("IFERROR(
IF(REGEXMATCH(LOWER(O5706),""k""),
VALUE(REGEXEXTRACT(O5706,""[0-9]+""))*1000,
VALUE(REGEXEXTRACT(O5706,""[0-9]+""))
),
0
)"),0.0)</f>
        <v>0</v>
      </c>
      <c r="E5706" s="1" t="s">
        <v>11</v>
      </c>
      <c r="F5706" s="1" t="s">
        <v>20</v>
      </c>
      <c r="G5706" s="4" t="b">
        <f t="shared" si="2"/>
        <v>1</v>
      </c>
      <c r="H5706" s="1" t="str">
        <f t="shared" si="3"/>
        <v>Currently Unavailable</v>
      </c>
      <c r="I5706" s="1" t="str">
        <f t="shared" si="4"/>
        <v>No Badges</v>
      </c>
      <c r="J5706" s="3">
        <f t="shared" si="5"/>
        <v>0</v>
      </c>
    </row>
    <row r="5707">
      <c r="A5707" s="1" t="s">
        <v>4264</v>
      </c>
      <c r="B5707" s="3" t="str">
        <f t="shared" si="1"/>
        <v>Unavailable</v>
      </c>
      <c r="C5707" s="5">
        <v>3199.0</v>
      </c>
      <c r="D5707" s="3">
        <f>IFERROR(__xludf.DUMMYFUNCTION("IFERROR(
IF(REGEXMATCH(LOWER(O5707),""k""),
VALUE(REGEXEXTRACT(O5707,""[0-9]+""))*1000,
VALUE(REGEXEXTRACT(O5707,""[0-9]+""))
),
0
)"),0.0)</f>
        <v>0</v>
      </c>
      <c r="E5707" s="1" t="s">
        <v>11</v>
      </c>
      <c r="F5707" s="1" t="s">
        <v>20</v>
      </c>
      <c r="G5707" s="4" t="b">
        <f t="shared" si="2"/>
        <v>1</v>
      </c>
      <c r="H5707" s="1" t="str">
        <f t="shared" si="3"/>
        <v>Currently Unavailable</v>
      </c>
      <c r="I5707" s="1" t="str">
        <f t="shared" si="4"/>
        <v>No Badges</v>
      </c>
      <c r="J5707" s="3">
        <f t="shared" si="5"/>
        <v>0</v>
      </c>
    </row>
    <row r="5708">
      <c r="A5708" s="1" t="s">
        <v>4265</v>
      </c>
      <c r="B5708" s="3" t="str">
        <f t="shared" si="1"/>
        <v>Unavailable</v>
      </c>
      <c r="C5708" s="5">
        <v>1061.0</v>
      </c>
      <c r="D5708" s="3">
        <f>IFERROR(__xludf.DUMMYFUNCTION("IFERROR(
IF(REGEXMATCH(LOWER(O5708),""k""),
VALUE(REGEXEXTRACT(O5708,""[0-9]+""))*1000,
VALUE(REGEXEXTRACT(O5708,""[0-9]+""))
),
0
)"),0.0)</f>
        <v>0</v>
      </c>
      <c r="E5708" s="1" t="s">
        <v>11</v>
      </c>
      <c r="F5708" s="1" t="s">
        <v>20</v>
      </c>
      <c r="G5708" s="4" t="b">
        <f t="shared" si="2"/>
        <v>1</v>
      </c>
      <c r="H5708" s="1" t="str">
        <f t="shared" si="3"/>
        <v>Currently Unavailable</v>
      </c>
      <c r="I5708" s="1" t="str">
        <f t="shared" si="4"/>
        <v>No Badges</v>
      </c>
      <c r="J5708" s="3">
        <f t="shared" si="5"/>
        <v>0</v>
      </c>
    </row>
    <row r="5709">
      <c r="A5709" s="1" t="s">
        <v>4266</v>
      </c>
      <c r="B5709" s="3" t="str">
        <f t="shared" si="1"/>
        <v>Unavailable</v>
      </c>
      <c r="C5709" s="3">
        <v>66.0</v>
      </c>
      <c r="D5709" s="3">
        <f>IFERROR(__xludf.DUMMYFUNCTION("IFERROR(
IF(REGEXMATCH(LOWER(O5709),""k""),
VALUE(REGEXEXTRACT(O5709,""[0-9]+""))*1000,
VALUE(REGEXEXTRACT(O5709,""[0-9]+""))
),
0
)"),0.0)</f>
        <v>0</v>
      </c>
      <c r="E5709" s="1" t="s">
        <v>11</v>
      </c>
      <c r="F5709" s="1" t="s">
        <v>20</v>
      </c>
      <c r="G5709" s="4" t="b">
        <f t="shared" si="2"/>
        <v>1</v>
      </c>
      <c r="H5709" s="1" t="str">
        <f t="shared" si="3"/>
        <v>Currently Unavailable</v>
      </c>
      <c r="I5709" s="1" t="str">
        <f t="shared" si="4"/>
        <v>No Badges</v>
      </c>
      <c r="J5709" s="3">
        <f t="shared" si="5"/>
        <v>0</v>
      </c>
    </row>
    <row r="5710">
      <c r="A5710" s="1" t="s">
        <v>4267</v>
      </c>
      <c r="B5710" s="3" t="str">
        <f t="shared" si="1"/>
        <v>Unavailable</v>
      </c>
      <c r="C5710" s="5">
        <v>1145.0</v>
      </c>
      <c r="D5710" s="3">
        <f>IFERROR(__xludf.DUMMYFUNCTION("IFERROR(
IF(REGEXMATCH(LOWER(O5710),""k""),
VALUE(REGEXEXTRACT(O5710,""[0-9]+""))*1000,
VALUE(REGEXEXTRACT(O5710,""[0-9]+""))
),
0
)"),0.0)</f>
        <v>0</v>
      </c>
      <c r="E5710" s="1" t="s">
        <v>11</v>
      </c>
      <c r="F5710" s="1" t="s">
        <v>20</v>
      </c>
      <c r="G5710" s="4" t="b">
        <f t="shared" si="2"/>
        <v>1</v>
      </c>
      <c r="H5710" s="1" t="str">
        <f t="shared" si="3"/>
        <v>Currently Unavailable</v>
      </c>
      <c r="I5710" s="1" t="str">
        <f t="shared" si="4"/>
        <v>No Badges</v>
      </c>
      <c r="J5710" s="3">
        <f t="shared" si="5"/>
        <v>0</v>
      </c>
    </row>
    <row r="5711">
      <c r="A5711" s="1" t="s">
        <v>4268</v>
      </c>
      <c r="B5711" s="3" t="str">
        <f t="shared" si="1"/>
        <v>Unavailable</v>
      </c>
      <c r="C5711" s="5">
        <v>2013.0</v>
      </c>
      <c r="D5711" s="3">
        <f>IFERROR(__xludf.DUMMYFUNCTION("IFERROR(
IF(REGEXMATCH(LOWER(O5711),""k""),
VALUE(REGEXEXTRACT(O5711,""[0-9]+""))*1000,
VALUE(REGEXEXTRACT(O5711,""[0-9]+""))
),
0
)"),0.0)</f>
        <v>0</v>
      </c>
      <c r="E5711" s="1" t="s">
        <v>11</v>
      </c>
      <c r="F5711" s="1" t="s">
        <v>20</v>
      </c>
      <c r="G5711" s="4" t="b">
        <f t="shared" si="2"/>
        <v>1</v>
      </c>
      <c r="H5711" s="1" t="str">
        <f t="shared" si="3"/>
        <v>Currently Unavailable</v>
      </c>
      <c r="I5711" s="1" t="str">
        <f t="shared" si="4"/>
        <v>No Badges</v>
      </c>
      <c r="J5711" s="3">
        <f t="shared" si="5"/>
        <v>0</v>
      </c>
    </row>
    <row r="5712">
      <c r="A5712" s="1" t="s">
        <v>4269</v>
      </c>
      <c r="B5712" s="3" t="str">
        <f t="shared" si="1"/>
        <v>Unavailable</v>
      </c>
      <c r="C5712" s="5">
        <v>1198.0</v>
      </c>
      <c r="D5712" s="3">
        <f>IFERROR(__xludf.DUMMYFUNCTION("IFERROR(
IF(REGEXMATCH(LOWER(O5712),""k""),
VALUE(REGEXEXTRACT(O5712,""[0-9]+""))*1000,
VALUE(REGEXEXTRACT(O5712,""[0-9]+""))
),
0
)"),0.0)</f>
        <v>0</v>
      </c>
      <c r="E5712" s="1" t="s">
        <v>11</v>
      </c>
      <c r="F5712" s="1" t="s">
        <v>20</v>
      </c>
      <c r="G5712" s="4" t="b">
        <f t="shared" si="2"/>
        <v>1</v>
      </c>
      <c r="H5712" s="1" t="str">
        <f t="shared" si="3"/>
        <v>Currently Unavailable</v>
      </c>
      <c r="I5712" s="1" t="str">
        <f t="shared" si="4"/>
        <v>No Badges</v>
      </c>
      <c r="J5712" s="3">
        <f t="shared" si="5"/>
        <v>0</v>
      </c>
    </row>
    <row r="5713">
      <c r="A5713" s="1" t="s">
        <v>4270</v>
      </c>
      <c r="B5713" s="3" t="str">
        <f t="shared" si="1"/>
        <v>Unavailable</v>
      </c>
      <c r="C5713" s="3">
        <v>199.0</v>
      </c>
      <c r="D5713" s="3">
        <f>IFERROR(__xludf.DUMMYFUNCTION("IFERROR(
IF(REGEXMATCH(LOWER(O5713),""k""),
VALUE(REGEXEXTRACT(O5713,""[0-9]+""))*1000,
VALUE(REGEXEXTRACT(O5713,""[0-9]+""))
),
0
)"),0.0)</f>
        <v>0</v>
      </c>
      <c r="E5713" s="1" t="s">
        <v>11</v>
      </c>
      <c r="F5713" s="1" t="s">
        <v>20</v>
      </c>
      <c r="G5713" s="4" t="b">
        <f t="shared" si="2"/>
        <v>1</v>
      </c>
      <c r="H5713" s="1" t="str">
        <f t="shared" si="3"/>
        <v>Currently Unavailable</v>
      </c>
      <c r="I5713" s="1" t="str">
        <f t="shared" si="4"/>
        <v>No Badges</v>
      </c>
      <c r="J5713" s="3">
        <f t="shared" si="5"/>
        <v>0</v>
      </c>
    </row>
    <row r="5714">
      <c r="A5714" s="1" t="s">
        <v>67</v>
      </c>
      <c r="B5714" s="3" t="str">
        <f t="shared" si="1"/>
        <v>Unavailable</v>
      </c>
      <c r="C5714" s="3">
        <v>264.0</v>
      </c>
      <c r="D5714" s="3">
        <f>IFERROR(__xludf.DUMMYFUNCTION("IFERROR(
IF(REGEXMATCH(LOWER(O5714),""k""),
VALUE(REGEXEXTRACT(O5714,""[0-9]+""))*1000,
VALUE(REGEXEXTRACT(O5714,""[0-9]+""))
),
0
)"),0.0)</f>
        <v>0</v>
      </c>
      <c r="E5714" s="1" t="s">
        <v>11</v>
      </c>
      <c r="F5714" s="1" t="s">
        <v>12</v>
      </c>
      <c r="G5714" s="4" t="b">
        <f t="shared" si="2"/>
        <v>1</v>
      </c>
      <c r="H5714" s="1" t="str">
        <f t="shared" si="3"/>
        <v>Currently Unavailable</v>
      </c>
      <c r="I5714" s="1" t="str">
        <f t="shared" si="4"/>
        <v>No Badges</v>
      </c>
      <c r="J5714" s="3">
        <f t="shared" si="5"/>
        <v>0</v>
      </c>
    </row>
    <row r="5715">
      <c r="A5715" s="1" t="s">
        <v>4271</v>
      </c>
      <c r="B5715" s="3" t="str">
        <f t="shared" si="1"/>
        <v>Unavailable</v>
      </c>
      <c r="C5715" s="3">
        <v>957.0</v>
      </c>
      <c r="D5715" s="3">
        <f>IFERROR(__xludf.DUMMYFUNCTION("IFERROR(
IF(REGEXMATCH(LOWER(O5715),""k""),
VALUE(REGEXEXTRACT(O5715,""[0-9]+""))*1000,
VALUE(REGEXEXTRACT(O5715,""[0-9]+""))
),
0
)"),0.0)</f>
        <v>0</v>
      </c>
      <c r="E5715" s="1" t="s">
        <v>11</v>
      </c>
      <c r="F5715" s="1" t="s">
        <v>20</v>
      </c>
      <c r="G5715" s="4" t="b">
        <f t="shared" si="2"/>
        <v>1</v>
      </c>
      <c r="H5715" s="1" t="str">
        <f t="shared" si="3"/>
        <v>Currently Unavailable</v>
      </c>
      <c r="I5715" s="1" t="str">
        <f t="shared" si="4"/>
        <v>No Badges</v>
      </c>
      <c r="J5715" s="3">
        <f t="shared" si="5"/>
        <v>0</v>
      </c>
    </row>
    <row r="5716">
      <c r="A5716" s="1" t="s">
        <v>701</v>
      </c>
      <c r="B5716" s="3" t="str">
        <f t="shared" si="1"/>
        <v>Unavailable</v>
      </c>
      <c r="C5716" s="3">
        <v>8.0</v>
      </c>
      <c r="D5716" s="3">
        <f>IFERROR(__xludf.DUMMYFUNCTION("IFERROR(
IF(REGEXMATCH(LOWER(O5716),""k""),
VALUE(REGEXEXTRACT(O5716,""[0-9]+""))*1000,
VALUE(REGEXEXTRACT(O5716,""[0-9]+""))
),
0
)"),0.0)</f>
        <v>0</v>
      </c>
      <c r="E5716" s="1" t="s">
        <v>11</v>
      </c>
      <c r="F5716" s="1" t="s">
        <v>12</v>
      </c>
      <c r="G5716" s="4" t="b">
        <f t="shared" si="2"/>
        <v>1</v>
      </c>
      <c r="H5716" s="1" t="str">
        <f t="shared" si="3"/>
        <v>Currently Unavailable</v>
      </c>
      <c r="I5716" s="1" t="str">
        <f t="shared" si="4"/>
        <v>No Badges</v>
      </c>
      <c r="J5716" s="3">
        <f t="shared" si="5"/>
        <v>0</v>
      </c>
    </row>
    <row r="5717">
      <c r="A5717" s="1" t="s">
        <v>4272</v>
      </c>
      <c r="B5717" s="3" t="str">
        <f t="shared" si="1"/>
        <v>Unavailable</v>
      </c>
      <c r="C5717" s="5">
        <v>126398.0</v>
      </c>
      <c r="D5717" s="3">
        <f>IFERROR(__xludf.DUMMYFUNCTION("IFERROR(
IF(REGEXMATCH(LOWER(O5717),""k""),
VALUE(REGEXEXTRACT(O5717,""[0-9]+""))*1000,
VALUE(REGEXEXTRACT(O5717,""[0-9]+""))
),
0
)"),0.0)</f>
        <v>0</v>
      </c>
      <c r="E5717" s="1" t="s">
        <v>11</v>
      </c>
      <c r="F5717" s="1" t="s">
        <v>20</v>
      </c>
      <c r="G5717" s="4" t="b">
        <f t="shared" si="2"/>
        <v>1</v>
      </c>
      <c r="H5717" s="1" t="str">
        <f t="shared" si="3"/>
        <v>Currently Unavailable</v>
      </c>
      <c r="I5717" s="1" t="str">
        <f t="shared" si="4"/>
        <v>No Badges</v>
      </c>
      <c r="J5717" s="3">
        <f t="shared" si="5"/>
        <v>0</v>
      </c>
    </row>
    <row r="5718">
      <c r="A5718" s="1" t="s">
        <v>4273</v>
      </c>
      <c r="B5718" s="3" t="str">
        <f t="shared" si="1"/>
        <v>Unavailable</v>
      </c>
      <c r="C5718" s="5">
        <v>3703.0</v>
      </c>
      <c r="D5718" s="3">
        <f>IFERROR(__xludf.DUMMYFUNCTION("IFERROR(
IF(REGEXMATCH(LOWER(O5718),""k""),
VALUE(REGEXEXTRACT(O5718,""[0-9]+""))*1000,
VALUE(REGEXEXTRACT(O5718,""[0-9]+""))
),
0
)"),0.0)</f>
        <v>0</v>
      </c>
      <c r="E5718" s="1" t="s">
        <v>11</v>
      </c>
      <c r="F5718" s="1" t="s">
        <v>20</v>
      </c>
      <c r="G5718" s="4" t="b">
        <f t="shared" si="2"/>
        <v>1</v>
      </c>
      <c r="H5718" s="1" t="str">
        <f t="shared" si="3"/>
        <v>Currently Unavailable</v>
      </c>
      <c r="I5718" s="1" t="str">
        <f t="shared" si="4"/>
        <v>No Badges</v>
      </c>
      <c r="J5718" s="3">
        <f t="shared" si="5"/>
        <v>0</v>
      </c>
    </row>
    <row r="5719">
      <c r="A5719" s="1" t="s">
        <v>4274</v>
      </c>
      <c r="B5719" s="3" t="str">
        <f t="shared" si="1"/>
        <v>Unavailable</v>
      </c>
      <c r="C5719" s="3">
        <v>30.0</v>
      </c>
      <c r="D5719" s="3">
        <f>IFERROR(__xludf.DUMMYFUNCTION("IFERROR(
IF(REGEXMATCH(LOWER(O5719),""k""),
VALUE(REGEXEXTRACT(O5719,""[0-9]+""))*1000,
VALUE(REGEXEXTRACT(O5719,""[0-9]+""))
),
0
)"),0.0)</f>
        <v>0</v>
      </c>
      <c r="E5719" s="1" t="s">
        <v>11</v>
      </c>
      <c r="F5719" s="1" t="s">
        <v>20</v>
      </c>
      <c r="G5719" s="4" t="b">
        <f t="shared" si="2"/>
        <v>1</v>
      </c>
      <c r="H5719" s="1" t="str">
        <f t="shared" si="3"/>
        <v>Currently Unavailable</v>
      </c>
      <c r="I5719" s="1" t="str">
        <f t="shared" si="4"/>
        <v>No Badges</v>
      </c>
      <c r="J5719" s="3">
        <f t="shared" si="5"/>
        <v>0</v>
      </c>
    </row>
    <row r="5720">
      <c r="A5720" s="1" t="s">
        <v>4275</v>
      </c>
      <c r="B5720" s="3" t="str">
        <f t="shared" si="1"/>
        <v>Unavailable</v>
      </c>
      <c r="C5720" s="5">
        <v>1319.0</v>
      </c>
      <c r="D5720" s="3">
        <f>IFERROR(__xludf.DUMMYFUNCTION("IFERROR(
IF(REGEXMATCH(LOWER(O5720),""k""),
VALUE(REGEXEXTRACT(O5720,""[0-9]+""))*1000,
VALUE(REGEXEXTRACT(O5720,""[0-9]+""))
),
0
)"),0.0)</f>
        <v>0</v>
      </c>
      <c r="E5720" s="1" t="s">
        <v>11</v>
      </c>
      <c r="F5720" s="1" t="s">
        <v>20</v>
      </c>
      <c r="G5720" s="4" t="b">
        <f t="shared" si="2"/>
        <v>1</v>
      </c>
      <c r="H5720" s="1" t="str">
        <f t="shared" si="3"/>
        <v>Currently Unavailable</v>
      </c>
      <c r="I5720" s="1" t="str">
        <f t="shared" si="4"/>
        <v>No Badges</v>
      </c>
      <c r="J5720" s="3">
        <f t="shared" si="5"/>
        <v>0</v>
      </c>
    </row>
    <row r="5721">
      <c r="A5721" s="1" t="s">
        <v>4276</v>
      </c>
      <c r="B5721" s="3" t="str">
        <f t="shared" si="1"/>
        <v>Unavailable</v>
      </c>
      <c r="C5721" s="3">
        <v>149.0</v>
      </c>
      <c r="D5721" s="3">
        <f>IFERROR(__xludf.DUMMYFUNCTION("IFERROR(
IF(REGEXMATCH(LOWER(O5721),""k""),
VALUE(REGEXEXTRACT(O5721,""[0-9]+""))*1000,
VALUE(REGEXEXTRACT(O5721,""[0-9]+""))
),
0
)"),0.0)</f>
        <v>0</v>
      </c>
      <c r="E5721" s="1" t="s">
        <v>11</v>
      </c>
      <c r="F5721" s="1" t="s">
        <v>20</v>
      </c>
      <c r="G5721" s="4" t="b">
        <f t="shared" si="2"/>
        <v>1</v>
      </c>
      <c r="H5721" s="1" t="str">
        <f t="shared" si="3"/>
        <v>Currently Unavailable</v>
      </c>
      <c r="I5721" s="1" t="str">
        <f t="shared" si="4"/>
        <v>No Badges</v>
      </c>
      <c r="J5721" s="3">
        <f t="shared" si="5"/>
        <v>0</v>
      </c>
    </row>
    <row r="5722">
      <c r="A5722" s="1" t="s">
        <v>4277</v>
      </c>
      <c r="B5722" s="3" t="str">
        <f t="shared" si="1"/>
        <v>Unavailable</v>
      </c>
      <c r="C5722" s="3">
        <v>380.0</v>
      </c>
      <c r="D5722" s="3">
        <f>IFERROR(__xludf.DUMMYFUNCTION("IFERROR(
IF(REGEXMATCH(LOWER(O5722),""k""),
VALUE(REGEXEXTRACT(O5722,""[0-9]+""))*1000,
VALUE(REGEXEXTRACT(O5722,""[0-9]+""))
),
0
)"),0.0)</f>
        <v>0</v>
      </c>
      <c r="E5722" s="1" t="s">
        <v>11</v>
      </c>
      <c r="F5722" s="1" t="s">
        <v>20</v>
      </c>
      <c r="G5722" s="4" t="b">
        <f t="shared" si="2"/>
        <v>1</v>
      </c>
      <c r="H5722" s="1" t="str">
        <f t="shared" si="3"/>
        <v>Currently Unavailable</v>
      </c>
      <c r="I5722" s="1" t="str">
        <f t="shared" si="4"/>
        <v>No Badges</v>
      </c>
      <c r="J5722" s="3">
        <f t="shared" si="5"/>
        <v>0</v>
      </c>
    </row>
    <row r="5723">
      <c r="A5723" s="1" t="s">
        <v>4278</v>
      </c>
      <c r="B5723" s="3" t="str">
        <f t="shared" si="1"/>
        <v>Unavailable</v>
      </c>
      <c r="C5723" s="3">
        <v>684.0</v>
      </c>
      <c r="D5723" s="3">
        <f>IFERROR(__xludf.DUMMYFUNCTION("IFERROR(
IF(REGEXMATCH(LOWER(O5723),""k""),
VALUE(REGEXEXTRACT(O5723,""[0-9]+""))*1000,
VALUE(REGEXEXTRACT(O5723,""[0-9]+""))
),
0
)"),0.0)</f>
        <v>0</v>
      </c>
      <c r="E5723" s="1" t="s">
        <v>11</v>
      </c>
      <c r="F5723" s="1" t="s">
        <v>20</v>
      </c>
      <c r="G5723" s="4" t="b">
        <f t="shared" si="2"/>
        <v>1</v>
      </c>
      <c r="H5723" s="1" t="str">
        <f t="shared" si="3"/>
        <v>Currently Unavailable</v>
      </c>
      <c r="I5723" s="1" t="str">
        <f t="shared" si="4"/>
        <v>No Badges</v>
      </c>
      <c r="J5723" s="3">
        <f t="shared" si="5"/>
        <v>0</v>
      </c>
    </row>
    <row r="5724">
      <c r="A5724" s="1" t="s">
        <v>4279</v>
      </c>
      <c r="B5724" s="3" t="str">
        <f t="shared" si="1"/>
        <v>Unavailable</v>
      </c>
      <c r="C5724" s="5">
        <v>3631.0</v>
      </c>
      <c r="D5724" s="3">
        <f>IFERROR(__xludf.DUMMYFUNCTION("IFERROR(
IF(REGEXMATCH(LOWER(O5724),""k""),
VALUE(REGEXEXTRACT(O5724,""[0-9]+""))*1000,
VALUE(REGEXEXTRACT(O5724,""[0-9]+""))
),
0
)"),0.0)</f>
        <v>0</v>
      </c>
      <c r="E5724" s="1" t="s">
        <v>11</v>
      </c>
      <c r="F5724" s="1" t="s">
        <v>20</v>
      </c>
      <c r="G5724" s="4" t="b">
        <f t="shared" si="2"/>
        <v>1</v>
      </c>
      <c r="H5724" s="1" t="str">
        <f t="shared" si="3"/>
        <v>Currently Unavailable</v>
      </c>
      <c r="I5724" s="1" t="str">
        <f t="shared" si="4"/>
        <v>No Badges</v>
      </c>
      <c r="J5724" s="3">
        <f t="shared" si="5"/>
        <v>0</v>
      </c>
    </row>
    <row r="5725">
      <c r="A5725" s="1" t="s">
        <v>4280</v>
      </c>
      <c r="B5725" s="3" t="str">
        <f t="shared" si="1"/>
        <v>Unavailable</v>
      </c>
      <c r="C5725" s="3">
        <v>76.0</v>
      </c>
      <c r="D5725" s="3">
        <f>IFERROR(__xludf.DUMMYFUNCTION("IFERROR(
IF(REGEXMATCH(LOWER(O5725),""k""),
VALUE(REGEXEXTRACT(O5725,""[0-9]+""))*1000,
VALUE(REGEXEXTRACT(O5725,""[0-9]+""))
),
0
)"),0.0)</f>
        <v>0</v>
      </c>
      <c r="E5725" s="1" t="s">
        <v>11</v>
      </c>
      <c r="F5725" s="1" t="s">
        <v>20</v>
      </c>
      <c r="G5725" s="4" t="b">
        <f t="shared" si="2"/>
        <v>1</v>
      </c>
      <c r="H5725" s="1" t="str">
        <f t="shared" si="3"/>
        <v>Currently Unavailable</v>
      </c>
      <c r="I5725" s="1" t="str">
        <f t="shared" si="4"/>
        <v>No Badges</v>
      </c>
      <c r="J5725" s="3">
        <f t="shared" si="5"/>
        <v>0</v>
      </c>
    </row>
    <row r="5726">
      <c r="A5726" s="1" t="s">
        <v>4281</v>
      </c>
      <c r="B5726" s="3" t="str">
        <f t="shared" si="1"/>
        <v>Unavailable</v>
      </c>
      <c r="C5726" s="3">
        <v>59.0</v>
      </c>
      <c r="D5726" s="3">
        <f>IFERROR(__xludf.DUMMYFUNCTION("IFERROR(
IF(REGEXMATCH(LOWER(O5726),""k""),
VALUE(REGEXEXTRACT(O5726,""[0-9]+""))*1000,
VALUE(REGEXEXTRACT(O5726,""[0-9]+""))
),
0
)"),0.0)</f>
        <v>0</v>
      </c>
      <c r="E5726" s="1" t="s">
        <v>11</v>
      </c>
      <c r="F5726" s="1" t="s">
        <v>20</v>
      </c>
      <c r="G5726" s="4" t="b">
        <f t="shared" si="2"/>
        <v>1</v>
      </c>
      <c r="H5726" s="1" t="str">
        <f t="shared" si="3"/>
        <v>Currently Unavailable</v>
      </c>
      <c r="I5726" s="1" t="str">
        <f t="shared" si="4"/>
        <v>No Badges</v>
      </c>
      <c r="J5726" s="3">
        <f t="shared" si="5"/>
        <v>0</v>
      </c>
    </row>
    <row r="5727">
      <c r="A5727" s="1" t="s">
        <v>4282</v>
      </c>
      <c r="B5727" s="3" t="str">
        <f t="shared" si="1"/>
        <v>Unavailable</v>
      </c>
      <c r="C5727" s="3">
        <v>702.0</v>
      </c>
      <c r="D5727" s="3">
        <f>IFERROR(__xludf.DUMMYFUNCTION("IFERROR(
IF(REGEXMATCH(LOWER(O5727),""k""),
VALUE(REGEXEXTRACT(O5727,""[0-9]+""))*1000,
VALUE(REGEXEXTRACT(O5727,""[0-9]+""))
),
0
)"),0.0)</f>
        <v>0</v>
      </c>
      <c r="E5727" s="1" t="s">
        <v>11</v>
      </c>
      <c r="F5727" s="1" t="s">
        <v>20</v>
      </c>
      <c r="G5727" s="4" t="b">
        <f t="shared" si="2"/>
        <v>1</v>
      </c>
      <c r="H5727" s="1" t="str">
        <f t="shared" si="3"/>
        <v>Currently Unavailable</v>
      </c>
      <c r="I5727" s="1" t="str">
        <f t="shared" si="4"/>
        <v>No Badges</v>
      </c>
      <c r="J5727" s="3">
        <f t="shared" si="5"/>
        <v>0</v>
      </c>
    </row>
    <row r="5728">
      <c r="A5728" s="1" t="s">
        <v>4283</v>
      </c>
      <c r="B5728" s="3" t="str">
        <f t="shared" si="1"/>
        <v>Unavailable</v>
      </c>
      <c r="C5728" s="5">
        <v>2121.0</v>
      </c>
      <c r="D5728" s="3">
        <f>IFERROR(__xludf.DUMMYFUNCTION("IFERROR(
IF(REGEXMATCH(LOWER(O5728),""k""),
VALUE(REGEXEXTRACT(O5728,""[0-9]+""))*1000,
VALUE(REGEXEXTRACT(O5728,""[0-9]+""))
),
0
)"),0.0)</f>
        <v>0</v>
      </c>
      <c r="E5728" s="1" t="s">
        <v>11</v>
      </c>
      <c r="F5728" s="1" t="s">
        <v>20</v>
      </c>
      <c r="G5728" s="4" t="b">
        <f t="shared" si="2"/>
        <v>1</v>
      </c>
      <c r="H5728" s="1" t="str">
        <f t="shared" si="3"/>
        <v>Currently Unavailable</v>
      </c>
      <c r="I5728" s="1" t="str">
        <f t="shared" si="4"/>
        <v>No Badges</v>
      </c>
      <c r="J5728" s="3">
        <f t="shared" si="5"/>
        <v>0</v>
      </c>
    </row>
    <row r="5729">
      <c r="A5729" s="1" t="s">
        <v>4284</v>
      </c>
      <c r="B5729" s="3" t="str">
        <f t="shared" si="1"/>
        <v>Unavailable</v>
      </c>
      <c r="C5729" s="5">
        <v>7952.0</v>
      </c>
      <c r="D5729" s="3">
        <f>IFERROR(__xludf.DUMMYFUNCTION("IFERROR(
IF(REGEXMATCH(LOWER(O5729),""k""),
VALUE(REGEXEXTRACT(O5729,""[0-9]+""))*1000,
VALUE(REGEXEXTRACT(O5729,""[0-9]+""))
),
0
)"),0.0)</f>
        <v>0</v>
      </c>
      <c r="E5729" s="1" t="s">
        <v>11</v>
      </c>
      <c r="F5729" s="1" t="s">
        <v>20</v>
      </c>
      <c r="G5729" s="4" t="b">
        <f t="shared" si="2"/>
        <v>1</v>
      </c>
      <c r="H5729" s="1" t="str">
        <f t="shared" si="3"/>
        <v>Currently Unavailable</v>
      </c>
      <c r="I5729" s="1" t="str">
        <f t="shared" si="4"/>
        <v>No Badges</v>
      </c>
      <c r="J5729" s="3">
        <f t="shared" si="5"/>
        <v>0</v>
      </c>
    </row>
    <row r="5730">
      <c r="A5730" s="1" t="s">
        <v>88</v>
      </c>
      <c r="B5730" s="3" t="str">
        <f t="shared" si="1"/>
        <v>Unavailable</v>
      </c>
      <c r="C5730" s="3">
        <v>5.0</v>
      </c>
      <c r="D5730" s="3">
        <f>IFERROR(__xludf.DUMMYFUNCTION("IFERROR(
IF(REGEXMATCH(LOWER(O5730),""k""),
VALUE(REGEXEXTRACT(O5730,""[0-9]+""))*1000,
VALUE(REGEXEXTRACT(O5730,""[0-9]+""))
),
0
)"),0.0)</f>
        <v>0</v>
      </c>
      <c r="E5730" s="1" t="s">
        <v>11</v>
      </c>
      <c r="F5730" s="1" t="s">
        <v>12</v>
      </c>
      <c r="G5730" s="4" t="b">
        <f t="shared" si="2"/>
        <v>1</v>
      </c>
      <c r="H5730" s="1" t="str">
        <f t="shared" si="3"/>
        <v>Currently Unavailable</v>
      </c>
      <c r="I5730" s="1" t="str">
        <f t="shared" si="4"/>
        <v>No Badges</v>
      </c>
      <c r="J5730" s="3">
        <f t="shared" si="5"/>
        <v>0</v>
      </c>
    </row>
    <row r="5731">
      <c r="A5731" s="1" t="s">
        <v>40</v>
      </c>
      <c r="B5731" s="3" t="str">
        <f t="shared" si="1"/>
        <v>Unavailable</v>
      </c>
      <c r="C5731" s="3">
        <v>171.0</v>
      </c>
      <c r="D5731" s="3">
        <f>IFERROR(__xludf.DUMMYFUNCTION("IFERROR(
IF(REGEXMATCH(LOWER(O5731),""k""),
VALUE(REGEXEXTRACT(O5731,""[0-9]+""))*1000,
VALUE(REGEXEXTRACT(O5731,""[0-9]+""))
),
0
)"),0.0)</f>
        <v>0</v>
      </c>
      <c r="E5731" s="1" t="s">
        <v>11</v>
      </c>
      <c r="F5731" s="1" t="s">
        <v>12</v>
      </c>
      <c r="G5731" s="4" t="b">
        <f t="shared" si="2"/>
        <v>1</v>
      </c>
      <c r="H5731" s="1" t="str">
        <f t="shared" si="3"/>
        <v>Currently Unavailable</v>
      </c>
      <c r="I5731" s="1" t="str">
        <f t="shared" si="4"/>
        <v>No Badges</v>
      </c>
      <c r="J5731" s="3">
        <f t="shared" si="5"/>
        <v>0</v>
      </c>
    </row>
    <row r="5732">
      <c r="A5732" s="1" t="s">
        <v>4285</v>
      </c>
      <c r="B5732" s="3" t="str">
        <f t="shared" si="1"/>
        <v>Unavailable</v>
      </c>
      <c r="C5732" s="3">
        <v>178.0</v>
      </c>
      <c r="D5732" s="3">
        <f>IFERROR(__xludf.DUMMYFUNCTION("IFERROR(
IF(REGEXMATCH(LOWER(O5732),""k""),
VALUE(REGEXEXTRACT(O5732,""[0-9]+""))*1000,
VALUE(REGEXEXTRACT(O5732,""[0-9]+""))
),
0
)"),0.0)</f>
        <v>0</v>
      </c>
      <c r="E5732" s="1" t="s">
        <v>11</v>
      </c>
      <c r="F5732" s="1" t="s">
        <v>20</v>
      </c>
      <c r="G5732" s="4" t="b">
        <f t="shared" si="2"/>
        <v>1</v>
      </c>
      <c r="H5732" s="1" t="str">
        <f t="shared" si="3"/>
        <v>Currently Unavailable</v>
      </c>
      <c r="I5732" s="1" t="str">
        <f t="shared" si="4"/>
        <v>No Badges</v>
      </c>
      <c r="J5732" s="3">
        <f t="shared" si="5"/>
        <v>0</v>
      </c>
    </row>
    <row r="5733">
      <c r="A5733" s="1" t="s">
        <v>4286</v>
      </c>
      <c r="B5733" s="3" t="str">
        <f t="shared" si="1"/>
        <v>Unavailable</v>
      </c>
      <c r="C5733" s="5">
        <v>1546.0</v>
      </c>
      <c r="D5733" s="3">
        <f>IFERROR(__xludf.DUMMYFUNCTION("IFERROR(
IF(REGEXMATCH(LOWER(O5733),""k""),
VALUE(REGEXEXTRACT(O5733,""[0-9]+""))*1000,
VALUE(REGEXEXTRACT(O5733,""[0-9]+""))
),
0
)"),0.0)</f>
        <v>0</v>
      </c>
      <c r="E5733" s="1" t="s">
        <v>11</v>
      </c>
      <c r="F5733" s="1" t="s">
        <v>20</v>
      </c>
      <c r="G5733" s="4" t="b">
        <f t="shared" si="2"/>
        <v>1</v>
      </c>
      <c r="H5733" s="1" t="str">
        <f t="shared" si="3"/>
        <v>Currently Unavailable</v>
      </c>
      <c r="I5733" s="1" t="str">
        <f t="shared" si="4"/>
        <v>No Badges</v>
      </c>
      <c r="J5733" s="3">
        <f t="shared" si="5"/>
        <v>0</v>
      </c>
    </row>
    <row r="5734">
      <c r="A5734" s="1" t="s">
        <v>4287</v>
      </c>
      <c r="B5734" s="3" t="str">
        <f t="shared" si="1"/>
        <v>Unavailable</v>
      </c>
      <c r="C5734" s="3">
        <v>61.0</v>
      </c>
      <c r="D5734" s="3">
        <f>IFERROR(__xludf.DUMMYFUNCTION("IFERROR(
IF(REGEXMATCH(LOWER(O5734),""k""),
VALUE(REGEXEXTRACT(O5734,""[0-9]+""))*1000,
VALUE(REGEXEXTRACT(O5734,""[0-9]+""))
),
0
)"),0.0)</f>
        <v>0</v>
      </c>
      <c r="E5734" s="1" t="s">
        <v>11</v>
      </c>
      <c r="F5734" s="1" t="s">
        <v>20</v>
      </c>
      <c r="G5734" s="4" t="b">
        <f t="shared" si="2"/>
        <v>1</v>
      </c>
      <c r="H5734" s="1" t="str">
        <f t="shared" si="3"/>
        <v>Currently Unavailable</v>
      </c>
      <c r="I5734" s="1" t="str">
        <f t="shared" si="4"/>
        <v>No Badges</v>
      </c>
      <c r="J5734" s="3">
        <f t="shared" si="5"/>
        <v>0</v>
      </c>
    </row>
    <row r="5735">
      <c r="A5735" s="1" t="s">
        <v>4288</v>
      </c>
      <c r="B5735" s="3" t="str">
        <f t="shared" si="1"/>
        <v>Unavailable</v>
      </c>
      <c r="C5735" s="3">
        <v>601.0</v>
      </c>
      <c r="D5735" s="3">
        <f>IFERROR(__xludf.DUMMYFUNCTION("IFERROR(
IF(REGEXMATCH(LOWER(O5735),""k""),
VALUE(REGEXEXTRACT(O5735,""[0-9]+""))*1000,
VALUE(REGEXEXTRACT(O5735,""[0-9]+""))
),
0
)"),0.0)</f>
        <v>0</v>
      </c>
      <c r="E5735" s="1" t="s">
        <v>11</v>
      </c>
      <c r="F5735" s="1" t="s">
        <v>20</v>
      </c>
      <c r="G5735" s="4" t="b">
        <f t="shared" si="2"/>
        <v>1</v>
      </c>
      <c r="H5735" s="1" t="str">
        <f t="shared" si="3"/>
        <v>Currently Unavailable</v>
      </c>
      <c r="I5735" s="1" t="str">
        <f t="shared" si="4"/>
        <v>No Badges</v>
      </c>
      <c r="J5735" s="3">
        <f t="shared" si="5"/>
        <v>0</v>
      </c>
    </row>
    <row r="5736">
      <c r="A5736" s="1" t="s">
        <v>4289</v>
      </c>
      <c r="B5736" s="3" t="str">
        <f t="shared" si="1"/>
        <v>Unavailable</v>
      </c>
      <c r="C5736" s="5">
        <v>1590.0</v>
      </c>
      <c r="D5736" s="3">
        <f>IFERROR(__xludf.DUMMYFUNCTION("IFERROR(
IF(REGEXMATCH(LOWER(O5736),""k""),
VALUE(REGEXEXTRACT(O5736,""[0-9]+""))*1000,
VALUE(REGEXEXTRACT(O5736,""[0-9]+""))
),
0
)"),0.0)</f>
        <v>0</v>
      </c>
      <c r="E5736" s="1" t="s">
        <v>11</v>
      </c>
      <c r="F5736" s="1" t="s">
        <v>20</v>
      </c>
      <c r="G5736" s="4" t="b">
        <f t="shared" si="2"/>
        <v>1</v>
      </c>
      <c r="H5736" s="1" t="str">
        <f t="shared" si="3"/>
        <v>Currently Unavailable</v>
      </c>
      <c r="I5736" s="1" t="str">
        <f t="shared" si="4"/>
        <v>No Badges</v>
      </c>
      <c r="J5736" s="3">
        <f t="shared" si="5"/>
        <v>0</v>
      </c>
    </row>
    <row r="5737">
      <c r="A5737" s="1" t="s">
        <v>4290</v>
      </c>
      <c r="B5737" s="3" t="str">
        <f t="shared" si="1"/>
        <v>Unavailable</v>
      </c>
      <c r="C5737" s="5">
        <v>1855.0</v>
      </c>
      <c r="D5737" s="3">
        <f>IFERROR(__xludf.DUMMYFUNCTION("IFERROR(
IF(REGEXMATCH(LOWER(O5737),""k""),
VALUE(REGEXEXTRACT(O5737,""[0-9]+""))*1000,
VALUE(REGEXEXTRACT(O5737,""[0-9]+""))
),
0
)"),0.0)</f>
        <v>0</v>
      </c>
      <c r="E5737" s="1" t="s">
        <v>11</v>
      </c>
      <c r="F5737" s="1" t="s">
        <v>20</v>
      </c>
      <c r="G5737" s="4" t="b">
        <f t="shared" si="2"/>
        <v>1</v>
      </c>
      <c r="H5737" s="1" t="str">
        <f t="shared" si="3"/>
        <v>Currently Unavailable</v>
      </c>
      <c r="I5737" s="1" t="str">
        <f t="shared" si="4"/>
        <v>No Badges</v>
      </c>
      <c r="J5737" s="3">
        <f t="shared" si="5"/>
        <v>0</v>
      </c>
    </row>
    <row r="5738">
      <c r="A5738" s="1" t="s">
        <v>4291</v>
      </c>
      <c r="B5738" s="3" t="str">
        <f t="shared" si="1"/>
        <v>Unavailable</v>
      </c>
      <c r="C5738" s="5">
        <v>3996.0</v>
      </c>
      <c r="D5738" s="3">
        <f>IFERROR(__xludf.DUMMYFUNCTION("IFERROR(
IF(REGEXMATCH(LOWER(O5738),""k""),
VALUE(REGEXEXTRACT(O5738,""[0-9]+""))*1000,
VALUE(REGEXEXTRACT(O5738,""[0-9]+""))
),
0
)"),0.0)</f>
        <v>0</v>
      </c>
      <c r="E5738" s="1" t="s">
        <v>11</v>
      </c>
      <c r="F5738" s="1" t="s">
        <v>20</v>
      </c>
      <c r="G5738" s="4" t="b">
        <f t="shared" si="2"/>
        <v>1</v>
      </c>
      <c r="H5738" s="1" t="str">
        <f t="shared" si="3"/>
        <v>Currently Unavailable</v>
      </c>
      <c r="I5738" s="1" t="str">
        <f t="shared" si="4"/>
        <v>No Badges</v>
      </c>
      <c r="J5738" s="3">
        <f t="shared" si="5"/>
        <v>0</v>
      </c>
    </row>
    <row r="5739">
      <c r="A5739" s="1" t="s">
        <v>4292</v>
      </c>
      <c r="B5739" s="3" t="str">
        <f t="shared" si="1"/>
        <v>Unavailable</v>
      </c>
      <c r="C5739" s="3">
        <v>43.0</v>
      </c>
      <c r="D5739" s="3">
        <f>IFERROR(__xludf.DUMMYFUNCTION("IFERROR(
IF(REGEXMATCH(LOWER(O5739),""k""),
VALUE(REGEXEXTRACT(O5739,""[0-9]+""))*1000,
VALUE(REGEXEXTRACT(O5739,""[0-9]+""))
),
0
)"),0.0)</f>
        <v>0</v>
      </c>
      <c r="E5739" s="1" t="s">
        <v>11</v>
      </c>
      <c r="F5739" s="1" t="s">
        <v>20</v>
      </c>
      <c r="G5739" s="4" t="b">
        <f t="shared" si="2"/>
        <v>1</v>
      </c>
      <c r="H5739" s="1" t="str">
        <f t="shared" si="3"/>
        <v>Currently Unavailable</v>
      </c>
      <c r="I5739" s="1" t="str">
        <f t="shared" si="4"/>
        <v>No Badges</v>
      </c>
      <c r="J5739" s="3">
        <f t="shared" si="5"/>
        <v>0</v>
      </c>
    </row>
    <row r="5740">
      <c r="A5740" s="1" t="s">
        <v>4293</v>
      </c>
      <c r="B5740" s="3" t="str">
        <f t="shared" si="1"/>
        <v>Unavailable</v>
      </c>
      <c r="C5740" s="5">
        <v>1314.0</v>
      </c>
      <c r="D5740" s="3">
        <f>IFERROR(__xludf.DUMMYFUNCTION("IFERROR(
IF(REGEXMATCH(LOWER(O5740),""k""),
VALUE(REGEXEXTRACT(O5740,""[0-9]+""))*1000,
VALUE(REGEXEXTRACT(O5740,""[0-9]+""))
),
0
)"),0.0)</f>
        <v>0</v>
      </c>
      <c r="E5740" s="1" t="s">
        <v>11</v>
      </c>
      <c r="F5740" s="1" t="s">
        <v>20</v>
      </c>
      <c r="G5740" s="4" t="b">
        <f t="shared" si="2"/>
        <v>1</v>
      </c>
      <c r="H5740" s="1" t="str">
        <f t="shared" si="3"/>
        <v>Currently Unavailable</v>
      </c>
      <c r="I5740" s="1" t="str">
        <f t="shared" si="4"/>
        <v>No Badges</v>
      </c>
      <c r="J5740" s="3">
        <f t="shared" si="5"/>
        <v>0</v>
      </c>
    </row>
    <row r="5741">
      <c r="A5741" s="1" t="s">
        <v>4294</v>
      </c>
      <c r="B5741" s="3" t="str">
        <f t="shared" si="1"/>
        <v>Unavailable</v>
      </c>
      <c r="C5741" s="3">
        <v>867.0</v>
      </c>
      <c r="D5741" s="3">
        <f>IFERROR(__xludf.DUMMYFUNCTION("IFERROR(
IF(REGEXMATCH(LOWER(O5741),""k""),
VALUE(REGEXEXTRACT(O5741,""[0-9]+""))*1000,
VALUE(REGEXEXTRACT(O5741,""[0-9]+""))
),
0
)"),0.0)</f>
        <v>0</v>
      </c>
      <c r="E5741" s="1" t="s">
        <v>11</v>
      </c>
      <c r="F5741" s="1" t="s">
        <v>20</v>
      </c>
      <c r="G5741" s="4" t="b">
        <f t="shared" si="2"/>
        <v>1</v>
      </c>
      <c r="H5741" s="1" t="str">
        <f t="shared" si="3"/>
        <v>Currently Unavailable</v>
      </c>
      <c r="I5741" s="1" t="str">
        <f t="shared" si="4"/>
        <v>No Badges</v>
      </c>
      <c r="J5741" s="3">
        <f t="shared" si="5"/>
        <v>0</v>
      </c>
    </row>
    <row r="5742">
      <c r="A5742" s="1" t="s">
        <v>4295</v>
      </c>
      <c r="B5742" s="3" t="str">
        <f t="shared" si="1"/>
        <v>Unavailable</v>
      </c>
      <c r="C5742" s="5">
        <v>1052.0</v>
      </c>
      <c r="D5742" s="3">
        <f>IFERROR(__xludf.DUMMYFUNCTION("IFERROR(
IF(REGEXMATCH(LOWER(O5742),""k""),
VALUE(REGEXEXTRACT(O5742,""[0-9]+""))*1000,
VALUE(REGEXEXTRACT(O5742,""[0-9]+""))
),
0
)"),0.0)</f>
        <v>0</v>
      </c>
      <c r="E5742" s="1" t="s">
        <v>11</v>
      </c>
      <c r="F5742" s="1" t="s">
        <v>20</v>
      </c>
      <c r="G5742" s="4" t="b">
        <f t="shared" si="2"/>
        <v>1</v>
      </c>
      <c r="H5742" s="1" t="str">
        <f t="shared" si="3"/>
        <v>Currently Unavailable</v>
      </c>
      <c r="I5742" s="1" t="str">
        <f t="shared" si="4"/>
        <v>No Badges</v>
      </c>
      <c r="J5742" s="3">
        <f t="shared" si="5"/>
        <v>0</v>
      </c>
    </row>
    <row r="5743">
      <c r="A5743" s="1" t="s">
        <v>4296</v>
      </c>
      <c r="B5743" s="3" t="str">
        <f t="shared" si="1"/>
        <v>Unavailable</v>
      </c>
      <c r="C5743" s="3">
        <v>298.0</v>
      </c>
      <c r="D5743" s="3">
        <f>IFERROR(__xludf.DUMMYFUNCTION("IFERROR(
IF(REGEXMATCH(LOWER(O5743),""k""),
VALUE(REGEXEXTRACT(O5743,""[0-9]+""))*1000,
VALUE(REGEXEXTRACT(O5743,""[0-9]+""))
),
0
)"),0.0)</f>
        <v>0</v>
      </c>
      <c r="E5743" s="1" t="s">
        <v>11</v>
      </c>
      <c r="F5743" s="1" t="s">
        <v>20</v>
      </c>
      <c r="G5743" s="4" t="b">
        <f t="shared" si="2"/>
        <v>1</v>
      </c>
      <c r="H5743" s="1" t="str">
        <f t="shared" si="3"/>
        <v>Currently Unavailable</v>
      </c>
      <c r="I5743" s="1" t="str">
        <f t="shared" si="4"/>
        <v>No Badges</v>
      </c>
      <c r="J5743" s="3">
        <f t="shared" si="5"/>
        <v>0</v>
      </c>
    </row>
    <row r="5744">
      <c r="A5744" s="1" t="s">
        <v>4297</v>
      </c>
      <c r="B5744" s="3" t="str">
        <f t="shared" si="1"/>
        <v>Unavailable</v>
      </c>
      <c r="C5744" s="5">
        <v>10139.0</v>
      </c>
      <c r="D5744" s="3">
        <f>IFERROR(__xludf.DUMMYFUNCTION("IFERROR(
IF(REGEXMATCH(LOWER(O5744),""k""),
VALUE(REGEXEXTRACT(O5744,""[0-9]+""))*1000,
VALUE(REGEXEXTRACT(O5744,""[0-9]+""))
),
0
)"),0.0)</f>
        <v>0</v>
      </c>
      <c r="E5744" s="1" t="s">
        <v>11</v>
      </c>
      <c r="F5744" s="1" t="s">
        <v>20</v>
      </c>
      <c r="G5744" s="4" t="b">
        <f t="shared" si="2"/>
        <v>1</v>
      </c>
      <c r="H5744" s="1" t="str">
        <f t="shared" si="3"/>
        <v>Currently Unavailable</v>
      </c>
      <c r="I5744" s="1" t="str">
        <f t="shared" si="4"/>
        <v>No Badges</v>
      </c>
      <c r="J5744" s="3">
        <f t="shared" si="5"/>
        <v>0</v>
      </c>
    </row>
    <row r="5745">
      <c r="A5745" s="1" t="s">
        <v>4298</v>
      </c>
      <c r="B5745" s="3" t="str">
        <f t="shared" si="1"/>
        <v>Unavailable</v>
      </c>
      <c r="C5745" s="3">
        <v>877.0</v>
      </c>
      <c r="D5745" s="3">
        <f>IFERROR(__xludf.DUMMYFUNCTION("IFERROR(
IF(REGEXMATCH(LOWER(O5745),""k""),
VALUE(REGEXEXTRACT(O5745,""[0-9]+""))*1000,
VALUE(REGEXEXTRACT(O5745,""[0-9]+""))
),
0
)"),0.0)</f>
        <v>0</v>
      </c>
      <c r="E5745" s="1" t="s">
        <v>11</v>
      </c>
      <c r="F5745" s="1" t="s">
        <v>20</v>
      </c>
      <c r="G5745" s="4" t="b">
        <f t="shared" si="2"/>
        <v>1</v>
      </c>
      <c r="H5745" s="1" t="str">
        <f t="shared" si="3"/>
        <v>Currently Unavailable</v>
      </c>
      <c r="I5745" s="1" t="str">
        <f t="shared" si="4"/>
        <v>No Badges</v>
      </c>
      <c r="J5745" s="3">
        <f t="shared" si="5"/>
        <v>0</v>
      </c>
    </row>
    <row r="5746">
      <c r="A5746" s="1" t="s">
        <v>4299</v>
      </c>
      <c r="B5746" s="3" t="str">
        <f t="shared" si="1"/>
        <v>Unavailable</v>
      </c>
      <c r="C5746" s="3">
        <v>44.0</v>
      </c>
      <c r="D5746" s="3">
        <f>IFERROR(__xludf.DUMMYFUNCTION("IFERROR(
IF(REGEXMATCH(LOWER(O5746),""k""),
VALUE(REGEXEXTRACT(O5746,""[0-9]+""))*1000,
VALUE(REGEXEXTRACT(O5746,""[0-9]+""))
),
0
)"),0.0)</f>
        <v>0</v>
      </c>
      <c r="E5746" s="1" t="s">
        <v>11</v>
      </c>
      <c r="F5746" s="1" t="s">
        <v>20</v>
      </c>
      <c r="G5746" s="4" t="b">
        <f t="shared" si="2"/>
        <v>1</v>
      </c>
      <c r="H5746" s="1" t="str">
        <f t="shared" si="3"/>
        <v>Currently Unavailable</v>
      </c>
      <c r="I5746" s="1" t="str">
        <f t="shared" si="4"/>
        <v>No Badges</v>
      </c>
      <c r="J5746" s="3">
        <f t="shared" si="5"/>
        <v>0</v>
      </c>
    </row>
    <row r="5747">
      <c r="A5747" s="1" t="s">
        <v>4300</v>
      </c>
      <c r="B5747" s="3" t="str">
        <f t="shared" si="1"/>
        <v>Unavailable</v>
      </c>
      <c r="C5747" s="5">
        <v>1783.0</v>
      </c>
      <c r="D5747" s="3">
        <f>IFERROR(__xludf.DUMMYFUNCTION("IFERROR(
IF(REGEXMATCH(LOWER(O5747),""k""),
VALUE(REGEXEXTRACT(O5747,""[0-9]+""))*1000,
VALUE(REGEXEXTRACT(O5747,""[0-9]+""))
),
0
)"),0.0)</f>
        <v>0</v>
      </c>
      <c r="E5747" s="1" t="s">
        <v>11</v>
      </c>
      <c r="F5747" s="1" t="s">
        <v>20</v>
      </c>
      <c r="G5747" s="4" t="b">
        <f t="shared" si="2"/>
        <v>1</v>
      </c>
      <c r="H5747" s="1" t="str">
        <f t="shared" si="3"/>
        <v>Currently Unavailable</v>
      </c>
      <c r="I5747" s="1" t="str">
        <f t="shared" si="4"/>
        <v>No Badges</v>
      </c>
      <c r="J5747" s="3">
        <f t="shared" si="5"/>
        <v>0</v>
      </c>
    </row>
    <row r="5748">
      <c r="A5748" s="1" t="s">
        <v>4301</v>
      </c>
      <c r="B5748" s="3" t="str">
        <f t="shared" si="1"/>
        <v>Unavailable</v>
      </c>
      <c r="C5748" s="5">
        <v>2877.0</v>
      </c>
      <c r="D5748" s="3">
        <f>IFERROR(__xludf.DUMMYFUNCTION("IFERROR(
IF(REGEXMATCH(LOWER(O5748),""k""),
VALUE(REGEXEXTRACT(O5748,""[0-9]+""))*1000,
VALUE(REGEXEXTRACT(O5748,""[0-9]+""))
),
0
)"),0.0)</f>
        <v>0</v>
      </c>
      <c r="E5748" s="1" t="s">
        <v>11</v>
      </c>
      <c r="F5748" s="1" t="s">
        <v>20</v>
      </c>
      <c r="G5748" s="4" t="b">
        <f t="shared" si="2"/>
        <v>1</v>
      </c>
      <c r="H5748" s="1" t="str">
        <f t="shared" si="3"/>
        <v>Currently Unavailable</v>
      </c>
      <c r="I5748" s="1" t="str">
        <f t="shared" si="4"/>
        <v>No Badges</v>
      </c>
      <c r="J5748" s="3">
        <f t="shared" si="5"/>
        <v>0</v>
      </c>
    </row>
    <row r="5749">
      <c r="A5749" s="1" t="s">
        <v>4302</v>
      </c>
      <c r="B5749" s="3" t="str">
        <f t="shared" si="1"/>
        <v>Unavailable</v>
      </c>
      <c r="C5749" s="3">
        <v>735.0</v>
      </c>
      <c r="D5749" s="3">
        <f>IFERROR(__xludf.DUMMYFUNCTION("IFERROR(
IF(REGEXMATCH(LOWER(O5749),""k""),
VALUE(REGEXEXTRACT(O5749,""[0-9]+""))*1000,
VALUE(REGEXEXTRACT(O5749,""[0-9]+""))
),
0
)"),0.0)</f>
        <v>0</v>
      </c>
      <c r="E5749" s="1" t="s">
        <v>11</v>
      </c>
      <c r="F5749" s="1" t="s">
        <v>20</v>
      </c>
      <c r="G5749" s="4" t="b">
        <f t="shared" si="2"/>
        <v>1</v>
      </c>
      <c r="H5749" s="1" t="str">
        <f t="shared" si="3"/>
        <v>Currently Unavailable</v>
      </c>
      <c r="I5749" s="1" t="str">
        <f t="shared" si="4"/>
        <v>No Badges</v>
      </c>
      <c r="J5749" s="3">
        <f t="shared" si="5"/>
        <v>0</v>
      </c>
    </row>
    <row r="5750">
      <c r="A5750" s="1" t="s">
        <v>4303</v>
      </c>
      <c r="B5750" s="3" t="str">
        <f t="shared" si="1"/>
        <v>Unavailable</v>
      </c>
      <c r="C5750" s="5">
        <v>14117.0</v>
      </c>
      <c r="D5750" s="3">
        <f>IFERROR(__xludf.DUMMYFUNCTION("IFERROR(
IF(REGEXMATCH(LOWER(O5750),""k""),
VALUE(REGEXEXTRACT(O5750,""[0-9]+""))*1000,
VALUE(REGEXEXTRACT(O5750,""[0-9]+""))
),
0
)"),0.0)</f>
        <v>0</v>
      </c>
      <c r="E5750" s="1" t="s">
        <v>11</v>
      </c>
      <c r="F5750" s="1" t="s">
        <v>20</v>
      </c>
      <c r="G5750" s="4" t="b">
        <f t="shared" si="2"/>
        <v>1</v>
      </c>
      <c r="H5750" s="1" t="str">
        <f t="shared" si="3"/>
        <v>Currently Unavailable</v>
      </c>
      <c r="I5750" s="1" t="str">
        <f t="shared" si="4"/>
        <v>No Badges</v>
      </c>
      <c r="J5750" s="3">
        <f t="shared" si="5"/>
        <v>0</v>
      </c>
    </row>
    <row r="5751">
      <c r="A5751" s="1" t="s">
        <v>4304</v>
      </c>
      <c r="B5751" s="3" t="str">
        <f t="shared" si="1"/>
        <v>Unavailable</v>
      </c>
      <c r="C5751" s="5">
        <v>2800.0</v>
      </c>
      <c r="D5751" s="3">
        <f>IFERROR(__xludf.DUMMYFUNCTION("IFERROR(
IF(REGEXMATCH(LOWER(O5751),""k""),
VALUE(REGEXEXTRACT(O5751,""[0-9]+""))*1000,
VALUE(REGEXEXTRACT(O5751,""[0-9]+""))
),
0
)"),0.0)</f>
        <v>0</v>
      </c>
      <c r="E5751" s="1" t="s">
        <v>158</v>
      </c>
      <c r="F5751" s="1" t="s">
        <v>20</v>
      </c>
      <c r="G5751" s="4" t="b">
        <f t="shared" si="2"/>
        <v>1</v>
      </c>
      <c r="H5751" s="1" t="str">
        <f t="shared" si="3"/>
        <v>Currently Unavailable</v>
      </c>
      <c r="I5751" s="1" t="str">
        <f t="shared" si="4"/>
        <v>No Badges</v>
      </c>
      <c r="J5751" s="3">
        <f t="shared" si="5"/>
        <v>0</v>
      </c>
    </row>
    <row r="5752">
      <c r="A5752" s="1" t="s">
        <v>4305</v>
      </c>
      <c r="B5752" s="3" t="str">
        <f t="shared" si="1"/>
        <v>Unavailable</v>
      </c>
      <c r="C5752" s="3">
        <v>401.0</v>
      </c>
      <c r="D5752" s="3">
        <f>IFERROR(__xludf.DUMMYFUNCTION("IFERROR(
IF(REGEXMATCH(LOWER(O5752),""k""),
VALUE(REGEXEXTRACT(O5752,""[0-9]+""))*1000,
VALUE(REGEXEXTRACT(O5752,""[0-9]+""))
),
0
)"),0.0)</f>
        <v>0</v>
      </c>
      <c r="E5752" s="1" t="s">
        <v>11</v>
      </c>
      <c r="F5752" s="1" t="s">
        <v>20</v>
      </c>
      <c r="G5752" s="4" t="b">
        <f t="shared" si="2"/>
        <v>1</v>
      </c>
      <c r="H5752" s="1" t="str">
        <f t="shared" si="3"/>
        <v>Currently Unavailable</v>
      </c>
      <c r="I5752" s="1" t="str">
        <f t="shared" si="4"/>
        <v>No Badges</v>
      </c>
      <c r="J5752" s="3">
        <f t="shared" si="5"/>
        <v>0</v>
      </c>
    </row>
    <row r="5753">
      <c r="A5753" s="1" t="s">
        <v>4306</v>
      </c>
      <c r="B5753" s="3" t="str">
        <f t="shared" si="1"/>
        <v>Unavailable</v>
      </c>
      <c r="C5753" s="5">
        <v>3969.0</v>
      </c>
      <c r="D5753" s="3">
        <f>IFERROR(__xludf.DUMMYFUNCTION("IFERROR(
IF(REGEXMATCH(LOWER(O5753),""k""),
VALUE(REGEXEXTRACT(O5753,""[0-9]+""))*1000,
VALUE(REGEXEXTRACT(O5753,""[0-9]+""))
),
0
)"),0.0)</f>
        <v>0</v>
      </c>
      <c r="E5753" s="1" t="s">
        <v>11</v>
      </c>
      <c r="F5753" s="1" t="s">
        <v>20</v>
      </c>
      <c r="G5753" s="4" t="b">
        <f t="shared" si="2"/>
        <v>1</v>
      </c>
      <c r="H5753" s="1" t="str">
        <f t="shared" si="3"/>
        <v>Currently Unavailable</v>
      </c>
      <c r="I5753" s="1" t="str">
        <f t="shared" si="4"/>
        <v>No Badges</v>
      </c>
      <c r="J5753" s="3">
        <f t="shared" si="5"/>
        <v>0</v>
      </c>
    </row>
    <row r="5754">
      <c r="A5754" s="1" t="s">
        <v>4307</v>
      </c>
      <c r="B5754" s="3" t="str">
        <f t="shared" si="1"/>
        <v>Unavailable</v>
      </c>
      <c r="C5754" s="3">
        <v>124.0</v>
      </c>
      <c r="D5754" s="3">
        <f>IFERROR(__xludf.DUMMYFUNCTION("IFERROR(
IF(REGEXMATCH(LOWER(O5754),""k""),
VALUE(REGEXEXTRACT(O5754,""[0-9]+""))*1000,
VALUE(REGEXEXTRACT(O5754,""[0-9]+""))
),
0
)"),0.0)</f>
        <v>0</v>
      </c>
      <c r="E5754" s="1" t="s">
        <v>11</v>
      </c>
      <c r="F5754" s="1" t="s">
        <v>20</v>
      </c>
      <c r="G5754" s="4" t="b">
        <f t="shared" si="2"/>
        <v>1</v>
      </c>
      <c r="H5754" s="1" t="str">
        <f t="shared" si="3"/>
        <v>Currently Unavailable</v>
      </c>
      <c r="I5754" s="1" t="str">
        <f t="shared" si="4"/>
        <v>No Badges</v>
      </c>
      <c r="J5754" s="3">
        <f t="shared" si="5"/>
        <v>0</v>
      </c>
    </row>
    <row r="5755">
      <c r="A5755" s="1" t="s">
        <v>4308</v>
      </c>
      <c r="B5755" s="3" t="str">
        <f t="shared" si="1"/>
        <v>Unavailable</v>
      </c>
      <c r="C5755" s="5">
        <v>1008.0</v>
      </c>
      <c r="D5755" s="3">
        <f>IFERROR(__xludf.DUMMYFUNCTION("IFERROR(
IF(REGEXMATCH(LOWER(O5755),""k""),
VALUE(REGEXEXTRACT(O5755,""[0-9]+""))*1000,
VALUE(REGEXEXTRACT(O5755,""[0-9]+""))
),
0
)"),0.0)</f>
        <v>0</v>
      </c>
      <c r="E5755" s="1" t="s">
        <v>11</v>
      </c>
      <c r="F5755" s="1" t="s">
        <v>20</v>
      </c>
      <c r="G5755" s="4" t="b">
        <f t="shared" si="2"/>
        <v>1</v>
      </c>
      <c r="H5755" s="1" t="str">
        <f t="shared" si="3"/>
        <v>Currently Unavailable</v>
      </c>
      <c r="I5755" s="1" t="str">
        <f t="shared" si="4"/>
        <v>No Badges</v>
      </c>
      <c r="J5755" s="3">
        <f t="shared" si="5"/>
        <v>0</v>
      </c>
    </row>
    <row r="5756">
      <c r="A5756" s="1" t="s">
        <v>4309</v>
      </c>
      <c r="B5756" s="3" t="str">
        <f t="shared" si="1"/>
        <v>Unavailable</v>
      </c>
      <c r="C5756" s="5">
        <v>1283.0</v>
      </c>
      <c r="D5756" s="3">
        <f>IFERROR(__xludf.DUMMYFUNCTION("IFERROR(
IF(REGEXMATCH(LOWER(O5756),""k""),
VALUE(REGEXEXTRACT(O5756,""[0-9]+""))*1000,
VALUE(REGEXEXTRACT(O5756,""[0-9]+""))
),
0
)"),0.0)</f>
        <v>0</v>
      </c>
      <c r="E5756" s="1" t="s">
        <v>11</v>
      </c>
      <c r="F5756" s="1" t="s">
        <v>20</v>
      </c>
      <c r="G5756" s="4" t="b">
        <f t="shared" si="2"/>
        <v>1</v>
      </c>
      <c r="H5756" s="1" t="str">
        <f t="shared" si="3"/>
        <v>Currently Unavailable</v>
      </c>
      <c r="I5756" s="1" t="str">
        <f t="shared" si="4"/>
        <v>No Badges</v>
      </c>
      <c r="J5756" s="3">
        <f t="shared" si="5"/>
        <v>0</v>
      </c>
    </row>
    <row r="5757">
      <c r="A5757" s="1" t="s">
        <v>4310</v>
      </c>
      <c r="B5757" s="3" t="str">
        <f t="shared" si="1"/>
        <v>Unavailable</v>
      </c>
      <c r="C5757" s="5">
        <v>1289.0</v>
      </c>
      <c r="D5757" s="3">
        <f>IFERROR(__xludf.DUMMYFUNCTION("IFERROR(
IF(REGEXMATCH(LOWER(O5757),""k""),
VALUE(REGEXEXTRACT(O5757,""[0-9]+""))*1000,
VALUE(REGEXEXTRACT(O5757,""[0-9]+""))
),
0
)"),0.0)</f>
        <v>0</v>
      </c>
      <c r="E5757" s="1" t="s">
        <v>11</v>
      </c>
      <c r="F5757" s="1" t="s">
        <v>20</v>
      </c>
      <c r="G5757" s="4" t="b">
        <f t="shared" si="2"/>
        <v>1</v>
      </c>
      <c r="H5757" s="1" t="str">
        <f t="shared" si="3"/>
        <v>Currently Unavailable</v>
      </c>
      <c r="I5757" s="1" t="str">
        <f t="shared" si="4"/>
        <v>No Badges</v>
      </c>
      <c r="J5757" s="3">
        <f t="shared" si="5"/>
        <v>0</v>
      </c>
    </row>
    <row r="5758">
      <c r="A5758" s="1" t="s">
        <v>3171</v>
      </c>
      <c r="B5758" s="3" t="str">
        <f t="shared" si="1"/>
        <v>Unavailable</v>
      </c>
      <c r="C5758" s="5">
        <v>1439.0</v>
      </c>
      <c r="D5758" s="3">
        <f>IFERROR(__xludf.DUMMYFUNCTION("IFERROR(
IF(REGEXMATCH(LOWER(O5758),""k""),
VALUE(REGEXEXTRACT(O5758,""[0-9]+""))*1000,
VALUE(REGEXEXTRACT(O5758,""[0-9]+""))
),
0
)"),0.0)</f>
        <v>0</v>
      </c>
      <c r="E5758" s="1" t="s">
        <v>11</v>
      </c>
      <c r="F5758" s="1" t="s">
        <v>20</v>
      </c>
      <c r="G5758" s="4" t="b">
        <f t="shared" si="2"/>
        <v>1</v>
      </c>
      <c r="H5758" s="1" t="str">
        <f t="shared" si="3"/>
        <v>Currently Unavailable</v>
      </c>
      <c r="I5758" s="1" t="str">
        <f t="shared" si="4"/>
        <v>No Badges</v>
      </c>
      <c r="J5758" s="3">
        <f t="shared" si="5"/>
        <v>0</v>
      </c>
    </row>
    <row r="5759">
      <c r="A5759" s="1" t="s">
        <v>4311</v>
      </c>
      <c r="B5759" s="3" t="str">
        <f t="shared" si="1"/>
        <v>Unavailable</v>
      </c>
      <c r="C5759" s="3">
        <v>31.0</v>
      </c>
      <c r="D5759" s="3">
        <f>IFERROR(__xludf.DUMMYFUNCTION("IFERROR(
IF(REGEXMATCH(LOWER(O5759),""k""),
VALUE(REGEXEXTRACT(O5759,""[0-9]+""))*1000,
VALUE(REGEXEXTRACT(O5759,""[0-9]+""))
),
0
)"),0.0)</f>
        <v>0</v>
      </c>
      <c r="E5759" s="1" t="s">
        <v>11</v>
      </c>
      <c r="F5759" s="1" t="s">
        <v>20</v>
      </c>
      <c r="G5759" s="4" t="b">
        <f t="shared" si="2"/>
        <v>1</v>
      </c>
      <c r="H5759" s="1" t="str">
        <f t="shared" si="3"/>
        <v>Currently Unavailable</v>
      </c>
      <c r="I5759" s="1" t="str">
        <f t="shared" si="4"/>
        <v>No Badges</v>
      </c>
      <c r="J5759" s="3">
        <f t="shared" si="5"/>
        <v>0</v>
      </c>
    </row>
    <row r="5760">
      <c r="A5760" s="1" t="s">
        <v>4312</v>
      </c>
      <c r="B5760" s="3" t="str">
        <f t="shared" si="1"/>
        <v>Unavailable</v>
      </c>
      <c r="C5760" s="3">
        <v>519.0</v>
      </c>
      <c r="D5760" s="3">
        <f>IFERROR(__xludf.DUMMYFUNCTION("IFERROR(
IF(REGEXMATCH(LOWER(O5760),""k""),
VALUE(REGEXEXTRACT(O5760,""[0-9]+""))*1000,
VALUE(REGEXEXTRACT(O5760,""[0-9]+""))
),
0
)"),0.0)</f>
        <v>0</v>
      </c>
      <c r="E5760" s="1" t="s">
        <v>11</v>
      </c>
      <c r="F5760" s="1" t="s">
        <v>20</v>
      </c>
      <c r="G5760" s="4" t="b">
        <f t="shared" si="2"/>
        <v>1</v>
      </c>
      <c r="H5760" s="1" t="str">
        <f t="shared" si="3"/>
        <v>Currently Unavailable</v>
      </c>
      <c r="I5760" s="1" t="str">
        <f t="shared" si="4"/>
        <v>No Badges</v>
      </c>
      <c r="J5760" s="3">
        <f t="shared" si="5"/>
        <v>0</v>
      </c>
    </row>
    <row r="5761">
      <c r="A5761" s="1" t="s">
        <v>4313</v>
      </c>
      <c r="B5761" s="3" t="str">
        <f t="shared" si="1"/>
        <v>Unavailable</v>
      </c>
      <c r="C5761" s="3">
        <v>934.0</v>
      </c>
      <c r="D5761" s="3">
        <f>IFERROR(__xludf.DUMMYFUNCTION("IFERROR(
IF(REGEXMATCH(LOWER(O5761),""k""),
VALUE(REGEXEXTRACT(O5761,""[0-9]+""))*1000,
VALUE(REGEXEXTRACT(O5761,""[0-9]+""))
),
0
)"),0.0)</f>
        <v>0</v>
      </c>
      <c r="E5761" s="1" t="s">
        <v>11</v>
      </c>
      <c r="F5761" s="1" t="s">
        <v>20</v>
      </c>
      <c r="G5761" s="4" t="b">
        <f t="shared" si="2"/>
        <v>1</v>
      </c>
      <c r="H5761" s="1" t="str">
        <f t="shared" si="3"/>
        <v>Currently Unavailable</v>
      </c>
      <c r="I5761" s="1" t="str">
        <f t="shared" si="4"/>
        <v>No Badges</v>
      </c>
      <c r="J5761" s="3">
        <f t="shared" si="5"/>
        <v>0</v>
      </c>
    </row>
    <row r="5762">
      <c r="A5762" s="1" t="s">
        <v>4314</v>
      </c>
      <c r="B5762" s="3" t="str">
        <f t="shared" si="1"/>
        <v>Unavailable</v>
      </c>
      <c r="C5762" s="3">
        <v>602.0</v>
      </c>
      <c r="D5762" s="3">
        <f>IFERROR(__xludf.DUMMYFUNCTION("IFERROR(
IF(REGEXMATCH(LOWER(O5762),""k""),
VALUE(REGEXEXTRACT(O5762,""[0-9]+""))*1000,
VALUE(REGEXEXTRACT(O5762,""[0-9]+""))
),
0
)"),0.0)</f>
        <v>0</v>
      </c>
      <c r="E5762" s="1" t="s">
        <v>11</v>
      </c>
      <c r="F5762" s="1" t="s">
        <v>20</v>
      </c>
      <c r="G5762" s="4" t="b">
        <f t="shared" si="2"/>
        <v>1</v>
      </c>
      <c r="H5762" s="1" t="str">
        <f t="shared" si="3"/>
        <v>Currently Unavailable</v>
      </c>
      <c r="I5762" s="1" t="str">
        <f t="shared" si="4"/>
        <v>No Badges</v>
      </c>
      <c r="J5762" s="3">
        <f t="shared" si="5"/>
        <v>0</v>
      </c>
    </row>
    <row r="5763">
      <c r="A5763" s="1" t="s">
        <v>4315</v>
      </c>
      <c r="B5763" s="3" t="str">
        <f t="shared" si="1"/>
        <v>Unavailable</v>
      </c>
      <c r="C5763" s="3">
        <v>253.0</v>
      </c>
      <c r="D5763" s="3">
        <f>IFERROR(__xludf.DUMMYFUNCTION("IFERROR(
IF(REGEXMATCH(LOWER(O5763),""k""),
VALUE(REGEXEXTRACT(O5763,""[0-9]+""))*1000,
VALUE(REGEXEXTRACT(O5763,""[0-9]+""))
),
0
)"),0.0)</f>
        <v>0</v>
      </c>
      <c r="E5763" s="1" t="s">
        <v>11</v>
      </c>
      <c r="F5763" s="1" t="s">
        <v>20</v>
      </c>
      <c r="G5763" s="4" t="b">
        <f t="shared" si="2"/>
        <v>1</v>
      </c>
      <c r="H5763" s="1" t="str">
        <f t="shared" si="3"/>
        <v>Currently Unavailable</v>
      </c>
      <c r="I5763" s="1" t="str">
        <f t="shared" si="4"/>
        <v>No Badges</v>
      </c>
      <c r="J5763" s="3">
        <f t="shared" si="5"/>
        <v>0</v>
      </c>
    </row>
    <row r="5764">
      <c r="A5764" s="1" t="s">
        <v>4316</v>
      </c>
      <c r="B5764" s="3" t="str">
        <f t="shared" si="1"/>
        <v>Unavailable</v>
      </c>
      <c r="C5764" s="5">
        <v>35067.0</v>
      </c>
      <c r="D5764" s="3">
        <f>IFERROR(__xludf.DUMMYFUNCTION("IFERROR(
IF(REGEXMATCH(LOWER(O5764),""k""),
VALUE(REGEXEXTRACT(O5764,""[0-9]+""))*1000,
VALUE(REGEXEXTRACT(O5764,""[0-9]+""))
),
0
)"),0.0)</f>
        <v>0</v>
      </c>
      <c r="E5764" s="1" t="s">
        <v>11</v>
      </c>
      <c r="F5764" s="1" t="s">
        <v>12</v>
      </c>
      <c r="G5764" s="4" t="b">
        <f t="shared" si="2"/>
        <v>1</v>
      </c>
      <c r="H5764" s="1" t="str">
        <f t="shared" si="3"/>
        <v>Currently Unavailable</v>
      </c>
      <c r="I5764" s="1" t="str">
        <f t="shared" si="4"/>
        <v>No Badges</v>
      </c>
      <c r="J5764" s="3">
        <f t="shared" si="5"/>
        <v>0</v>
      </c>
    </row>
    <row r="5765">
      <c r="A5765" s="1" t="s">
        <v>4317</v>
      </c>
      <c r="B5765" s="3" t="str">
        <f t="shared" si="1"/>
        <v>Unavailable</v>
      </c>
      <c r="C5765" s="3">
        <v>317.0</v>
      </c>
      <c r="D5765" s="3">
        <f>IFERROR(__xludf.DUMMYFUNCTION("IFERROR(
IF(REGEXMATCH(LOWER(O5765),""k""),
VALUE(REGEXEXTRACT(O5765,""[0-9]+""))*1000,
VALUE(REGEXEXTRACT(O5765,""[0-9]+""))
),
0
)"),0.0)</f>
        <v>0</v>
      </c>
      <c r="E5765" s="1" t="s">
        <v>11</v>
      </c>
      <c r="F5765" s="1" t="s">
        <v>20</v>
      </c>
      <c r="G5765" s="4" t="b">
        <f t="shared" si="2"/>
        <v>1</v>
      </c>
      <c r="H5765" s="1" t="str">
        <f t="shared" si="3"/>
        <v>Currently Unavailable</v>
      </c>
      <c r="I5765" s="1" t="str">
        <f t="shared" si="4"/>
        <v>No Badges</v>
      </c>
      <c r="J5765" s="3">
        <f t="shared" si="5"/>
        <v>0</v>
      </c>
    </row>
    <row r="5766">
      <c r="A5766" s="1" t="s">
        <v>4318</v>
      </c>
      <c r="B5766" s="3" t="str">
        <f t="shared" si="1"/>
        <v>Unavailable</v>
      </c>
      <c r="C5766" s="5">
        <v>1102.0</v>
      </c>
      <c r="D5766" s="3">
        <f>IFERROR(__xludf.DUMMYFUNCTION("IFERROR(
IF(REGEXMATCH(LOWER(O5766),""k""),
VALUE(REGEXEXTRACT(O5766,""[0-9]+""))*1000,
VALUE(REGEXEXTRACT(O5766,""[0-9]+""))
),
0
)"),0.0)</f>
        <v>0</v>
      </c>
      <c r="E5766" s="1" t="s">
        <v>11</v>
      </c>
      <c r="F5766" s="1" t="s">
        <v>20</v>
      </c>
      <c r="G5766" s="4" t="b">
        <f t="shared" si="2"/>
        <v>1</v>
      </c>
      <c r="H5766" s="1" t="str">
        <f t="shared" si="3"/>
        <v>Currently Unavailable</v>
      </c>
      <c r="I5766" s="1" t="str">
        <f t="shared" si="4"/>
        <v>No Badges</v>
      </c>
      <c r="J5766" s="3">
        <f t="shared" si="5"/>
        <v>0</v>
      </c>
    </row>
    <row r="5767">
      <c r="A5767" s="1" t="s">
        <v>4319</v>
      </c>
      <c r="B5767" s="3" t="str">
        <f t="shared" si="1"/>
        <v>Unavailable</v>
      </c>
      <c r="C5767" s="5">
        <v>1621.0</v>
      </c>
      <c r="D5767" s="3">
        <f>IFERROR(__xludf.DUMMYFUNCTION("IFERROR(
IF(REGEXMATCH(LOWER(O5767),""k""),
VALUE(REGEXEXTRACT(O5767,""[0-9]+""))*1000,
VALUE(REGEXEXTRACT(O5767,""[0-9]+""))
),
0
)"),0.0)</f>
        <v>0</v>
      </c>
      <c r="E5767" s="1" t="s">
        <v>11</v>
      </c>
      <c r="F5767" s="1" t="s">
        <v>20</v>
      </c>
      <c r="G5767" s="4" t="b">
        <f t="shared" si="2"/>
        <v>1</v>
      </c>
      <c r="H5767" s="1" t="str">
        <f t="shared" si="3"/>
        <v>Currently Unavailable</v>
      </c>
      <c r="I5767" s="1" t="str">
        <f t="shared" si="4"/>
        <v>No Badges</v>
      </c>
      <c r="J5767" s="3">
        <f t="shared" si="5"/>
        <v>0</v>
      </c>
    </row>
    <row r="5768">
      <c r="A5768" s="1" t="s">
        <v>4320</v>
      </c>
      <c r="B5768" s="3" t="str">
        <f t="shared" si="1"/>
        <v>Unavailable</v>
      </c>
      <c r="C5768" s="3">
        <v>235.0</v>
      </c>
      <c r="D5768" s="3">
        <f>IFERROR(__xludf.DUMMYFUNCTION("IFERROR(
IF(REGEXMATCH(LOWER(O5768),""k""),
VALUE(REGEXEXTRACT(O5768,""[0-9]+""))*1000,
VALUE(REGEXEXTRACT(O5768,""[0-9]+""))
),
0
)"),0.0)</f>
        <v>0</v>
      </c>
      <c r="E5768" s="1" t="s">
        <v>11</v>
      </c>
      <c r="F5768" s="1" t="s">
        <v>20</v>
      </c>
      <c r="G5768" s="4" t="b">
        <f t="shared" si="2"/>
        <v>1</v>
      </c>
      <c r="H5768" s="1" t="str">
        <f t="shared" si="3"/>
        <v>Currently Unavailable</v>
      </c>
      <c r="I5768" s="1" t="str">
        <f t="shared" si="4"/>
        <v>No Badges</v>
      </c>
      <c r="J5768" s="3">
        <f t="shared" si="5"/>
        <v>0</v>
      </c>
    </row>
    <row r="5769">
      <c r="A5769" s="1" t="s">
        <v>4321</v>
      </c>
      <c r="B5769" s="3" t="str">
        <f t="shared" si="1"/>
        <v>Unavailable</v>
      </c>
      <c r="C5769" s="5">
        <v>4690.0</v>
      </c>
      <c r="D5769" s="3">
        <f>IFERROR(__xludf.DUMMYFUNCTION("IFERROR(
IF(REGEXMATCH(LOWER(O5769),""k""),
VALUE(REGEXEXTRACT(O5769,""[0-9]+""))*1000,
VALUE(REGEXEXTRACT(O5769,""[0-9]+""))
),
0
)"),0.0)</f>
        <v>0</v>
      </c>
      <c r="E5769" s="1" t="s">
        <v>11</v>
      </c>
      <c r="F5769" s="1" t="s">
        <v>20</v>
      </c>
      <c r="G5769" s="4" t="b">
        <f t="shared" si="2"/>
        <v>1</v>
      </c>
      <c r="H5769" s="1" t="str">
        <f t="shared" si="3"/>
        <v>Currently Unavailable</v>
      </c>
      <c r="I5769" s="1" t="str">
        <f t="shared" si="4"/>
        <v>No Badges</v>
      </c>
      <c r="J5769" s="3">
        <f t="shared" si="5"/>
        <v>0</v>
      </c>
    </row>
    <row r="5770">
      <c r="A5770" s="1" t="s">
        <v>4322</v>
      </c>
      <c r="B5770" s="3" t="str">
        <f t="shared" si="1"/>
        <v>Unavailable</v>
      </c>
      <c r="C5770" s="5">
        <v>4721.0</v>
      </c>
      <c r="D5770" s="3">
        <f>IFERROR(__xludf.DUMMYFUNCTION("IFERROR(
IF(REGEXMATCH(LOWER(O5770),""k""),
VALUE(REGEXEXTRACT(O5770,""[0-9]+""))*1000,
VALUE(REGEXEXTRACT(O5770,""[0-9]+""))
),
0
)"),0.0)</f>
        <v>0</v>
      </c>
      <c r="E5770" s="1" t="s">
        <v>11</v>
      </c>
      <c r="F5770" s="1" t="s">
        <v>20</v>
      </c>
      <c r="G5770" s="4" t="b">
        <f t="shared" si="2"/>
        <v>1</v>
      </c>
      <c r="H5770" s="1" t="str">
        <f t="shared" si="3"/>
        <v>Currently Unavailable</v>
      </c>
      <c r="I5770" s="1" t="str">
        <f t="shared" si="4"/>
        <v>No Badges</v>
      </c>
      <c r="J5770" s="3">
        <f t="shared" si="5"/>
        <v>0</v>
      </c>
    </row>
    <row r="5771">
      <c r="A5771" s="1" t="s">
        <v>4323</v>
      </c>
      <c r="B5771" s="3" t="str">
        <f t="shared" si="1"/>
        <v>Unavailable</v>
      </c>
      <c r="C5771" s="5">
        <v>2486.0</v>
      </c>
      <c r="D5771" s="3">
        <f>IFERROR(__xludf.DUMMYFUNCTION("IFERROR(
IF(REGEXMATCH(LOWER(O5771),""k""),
VALUE(REGEXEXTRACT(O5771,""[0-9]+""))*1000,
VALUE(REGEXEXTRACT(O5771,""[0-9]+""))
),
0
)"),0.0)</f>
        <v>0</v>
      </c>
      <c r="E5771" s="1" t="s">
        <v>11</v>
      </c>
      <c r="F5771" s="1" t="s">
        <v>20</v>
      </c>
      <c r="G5771" s="4" t="b">
        <f t="shared" si="2"/>
        <v>1</v>
      </c>
      <c r="H5771" s="1" t="str">
        <f t="shared" si="3"/>
        <v>Currently Unavailable</v>
      </c>
      <c r="I5771" s="1" t="str">
        <f t="shared" si="4"/>
        <v>No Badges</v>
      </c>
      <c r="J5771" s="3">
        <f t="shared" si="5"/>
        <v>0</v>
      </c>
    </row>
    <row r="5772">
      <c r="A5772" s="1" t="s">
        <v>4324</v>
      </c>
      <c r="B5772" s="3" t="str">
        <f t="shared" si="1"/>
        <v>Unavailable</v>
      </c>
      <c r="C5772" s="3">
        <v>126.0</v>
      </c>
      <c r="D5772" s="3">
        <f>IFERROR(__xludf.DUMMYFUNCTION("IFERROR(
IF(REGEXMATCH(LOWER(O5772),""k""),
VALUE(REGEXEXTRACT(O5772,""[0-9]+""))*1000,
VALUE(REGEXEXTRACT(O5772,""[0-9]+""))
),
0
)"),0.0)</f>
        <v>0</v>
      </c>
      <c r="E5772" s="1" t="s">
        <v>11</v>
      </c>
      <c r="F5772" s="1" t="s">
        <v>20</v>
      </c>
      <c r="G5772" s="4" t="b">
        <f t="shared" si="2"/>
        <v>1</v>
      </c>
      <c r="H5772" s="1" t="str">
        <f t="shared" si="3"/>
        <v>Currently Unavailable</v>
      </c>
      <c r="I5772" s="1" t="str">
        <f t="shared" si="4"/>
        <v>No Badges</v>
      </c>
      <c r="J5772" s="3">
        <f t="shared" si="5"/>
        <v>0</v>
      </c>
    </row>
    <row r="5773">
      <c r="A5773" s="1" t="s">
        <v>4325</v>
      </c>
      <c r="B5773" s="3" t="str">
        <f t="shared" si="1"/>
        <v>Unavailable</v>
      </c>
      <c r="C5773" s="3">
        <v>57.0</v>
      </c>
      <c r="D5773" s="3">
        <f>IFERROR(__xludf.DUMMYFUNCTION("IFERROR(
IF(REGEXMATCH(LOWER(O5773),""k""),
VALUE(REGEXEXTRACT(O5773,""[0-9]+""))*1000,
VALUE(REGEXEXTRACT(O5773,""[0-9]+""))
),
0
)"),0.0)</f>
        <v>0</v>
      </c>
      <c r="E5773" s="1" t="s">
        <v>11</v>
      </c>
      <c r="F5773" s="1" t="s">
        <v>20</v>
      </c>
      <c r="G5773" s="4" t="b">
        <f t="shared" si="2"/>
        <v>1</v>
      </c>
      <c r="H5773" s="1" t="str">
        <f t="shared" si="3"/>
        <v>Currently Unavailable</v>
      </c>
      <c r="I5773" s="1" t="str">
        <f t="shared" si="4"/>
        <v>No Badges</v>
      </c>
      <c r="J5773" s="3">
        <f t="shared" si="5"/>
        <v>0</v>
      </c>
    </row>
    <row r="5774">
      <c r="A5774" s="1" t="s">
        <v>4326</v>
      </c>
      <c r="B5774" s="3" t="str">
        <f t="shared" si="1"/>
        <v>Unavailable</v>
      </c>
      <c r="C5774" s="5">
        <v>1427.0</v>
      </c>
      <c r="D5774" s="3">
        <f>IFERROR(__xludf.DUMMYFUNCTION("IFERROR(
IF(REGEXMATCH(LOWER(O5774),""k""),
VALUE(REGEXEXTRACT(O5774,""[0-9]+""))*1000,
VALUE(REGEXEXTRACT(O5774,""[0-9]+""))
),
0
)"),0.0)</f>
        <v>0</v>
      </c>
      <c r="E5774" s="1" t="s">
        <v>11</v>
      </c>
      <c r="F5774" s="1" t="s">
        <v>20</v>
      </c>
      <c r="G5774" s="4" t="b">
        <f t="shared" si="2"/>
        <v>1</v>
      </c>
      <c r="H5774" s="1" t="str">
        <f t="shared" si="3"/>
        <v>Currently Unavailable</v>
      </c>
      <c r="I5774" s="1" t="str">
        <f t="shared" si="4"/>
        <v>No Badges</v>
      </c>
      <c r="J5774" s="3">
        <f t="shared" si="5"/>
        <v>0</v>
      </c>
    </row>
    <row r="5775">
      <c r="A5775" s="1" t="s">
        <v>4327</v>
      </c>
      <c r="B5775" s="3" t="str">
        <f t="shared" si="1"/>
        <v>Unavailable</v>
      </c>
      <c r="C5775" s="3">
        <v>257.0</v>
      </c>
      <c r="D5775" s="3">
        <f>IFERROR(__xludf.DUMMYFUNCTION("IFERROR(
IF(REGEXMATCH(LOWER(O5775),""k""),
VALUE(REGEXEXTRACT(O5775,""[0-9]+""))*1000,
VALUE(REGEXEXTRACT(O5775,""[0-9]+""))
),
0
)"),0.0)</f>
        <v>0</v>
      </c>
      <c r="E5775" s="1" t="s">
        <v>11</v>
      </c>
      <c r="F5775" s="1" t="s">
        <v>20</v>
      </c>
      <c r="G5775" s="4" t="b">
        <f t="shared" si="2"/>
        <v>1</v>
      </c>
      <c r="H5775" s="1" t="str">
        <f t="shared" si="3"/>
        <v>Currently Unavailable</v>
      </c>
      <c r="I5775" s="1" t="str">
        <f t="shared" si="4"/>
        <v>No Badges</v>
      </c>
      <c r="J5775" s="3">
        <f t="shared" si="5"/>
        <v>0</v>
      </c>
    </row>
    <row r="5776">
      <c r="A5776" s="1" t="s">
        <v>3132</v>
      </c>
      <c r="B5776" s="3" t="str">
        <f t="shared" si="1"/>
        <v>Unavailable</v>
      </c>
      <c r="C5776" s="3">
        <v>224.0</v>
      </c>
      <c r="D5776" s="3">
        <f>IFERROR(__xludf.DUMMYFUNCTION("IFERROR(
IF(REGEXMATCH(LOWER(O5776),""k""),
VALUE(REGEXEXTRACT(O5776,""[0-9]+""))*1000,
VALUE(REGEXEXTRACT(O5776,""[0-9]+""))
),
0
)"),0.0)</f>
        <v>0</v>
      </c>
      <c r="E5776" s="1" t="s">
        <v>11</v>
      </c>
      <c r="F5776" s="1" t="s">
        <v>20</v>
      </c>
      <c r="G5776" s="4" t="b">
        <f t="shared" si="2"/>
        <v>1</v>
      </c>
      <c r="H5776" s="1" t="str">
        <f t="shared" si="3"/>
        <v>Currently Unavailable</v>
      </c>
      <c r="I5776" s="1" t="str">
        <f t="shared" si="4"/>
        <v>No Badges</v>
      </c>
      <c r="J5776" s="3">
        <f t="shared" si="5"/>
        <v>0</v>
      </c>
    </row>
    <row r="5777">
      <c r="A5777" s="1" t="s">
        <v>4328</v>
      </c>
      <c r="B5777" s="3" t="str">
        <f t="shared" si="1"/>
        <v>Unavailable</v>
      </c>
      <c r="C5777" s="5">
        <v>1454.0</v>
      </c>
      <c r="D5777" s="3">
        <f>IFERROR(__xludf.DUMMYFUNCTION("IFERROR(
IF(REGEXMATCH(LOWER(O5777),""k""),
VALUE(REGEXEXTRACT(O5777,""[0-9]+""))*1000,
VALUE(REGEXEXTRACT(O5777,""[0-9]+""))
),
0
)"),0.0)</f>
        <v>0</v>
      </c>
      <c r="E5777" s="1" t="s">
        <v>11</v>
      </c>
      <c r="F5777" s="1" t="s">
        <v>20</v>
      </c>
      <c r="G5777" s="4" t="b">
        <f t="shared" si="2"/>
        <v>1</v>
      </c>
      <c r="H5777" s="1" t="str">
        <f t="shared" si="3"/>
        <v>Currently Unavailable</v>
      </c>
      <c r="I5777" s="1" t="str">
        <f t="shared" si="4"/>
        <v>No Badges</v>
      </c>
      <c r="J5777" s="3">
        <f t="shared" si="5"/>
        <v>0</v>
      </c>
    </row>
    <row r="5778">
      <c r="A5778" s="1" t="s">
        <v>4329</v>
      </c>
      <c r="B5778" s="3" t="str">
        <f t="shared" si="1"/>
        <v>Unavailable</v>
      </c>
      <c r="C5778" s="5">
        <v>9226.0</v>
      </c>
      <c r="D5778" s="3">
        <f>IFERROR(__xludf.DUMMYFUNCTION("IFERROR(
IF(REGEXMATCH(LOWER(O5778),""k""),
VALUE(REGEXEXTRACT(O5778,""[0-9]+""))*1000,
VALUE(REGEXEXTRACT(O5778,""[0-9]+""))
),
0
)"),0.0)</f>
        <v>0</v>
      </c>
      <c r="E5778" s="1" t="s">
        <v>11</v>
      </c>
      <c r="F5778" s="1" t="s">
        <v>20</v>
      </c>
      <c r="G5778" s="4" t="b">
        <f t="shared" si="2"/>
        <v>1</v>
      </c>
      <c r="H5778" s="1" t="str">
        <f t="shared" si="3"/>
        <v>Currently Unavailable</v>
      </c>
      <c r="I5778" s="1" t="str">
        <f t="shared" si="4"/>
        <v>No Badges</v>
      </c>
      <c r="J5778" s="3">
        <f t="shared" si="5"/>
        <v>0</v>
      </c>
    </row>
    <row r="5779">
      <c r="A5779" s="1" t="s">
        <v>4330</v>
      </c>
      <c r="B5779" s="3" t="str">
        <f t="shared" si="1"/>
        <v>Unavailable</v>
      </c>
      <c r="C5779" s="5">
        <v>8605.0</v>
      </c>
      <c r="D5779" s="3">
        <f>IFERROR(__xludf.DUMMYFUNCTION("IFERROR(
IF(REGEXMATCH(LOWER(O5779),""k""),
VALUE(REGEXEXTRACT(O5779,""[0-9]+""))*1000,
VALUE(REGEXEXTRACT(O5779,""[0-9]+""))
),
0
)"),0.0)</f>
        <v>0</v>
      </c>
      <c r="E5779" s="1" t="s">
        <v>11</v>
      </c>
      <c r="F5779" s="1" t="s">
        <v>20</v>
      </c>
      <c r="G5779" s="4" t="b">
        <f t="shared" si="2"/>
        <v>1</v>
      </c>
      <c r="H5779" s="1" t="str">
        <f t="shared" si="3"/>
        <v>Currently Unavailable</v>
      </c>
      <c r="I5779" s="1" t="str">
        <f t="shared" si="4"/>
        <v>No Badges</v>
      </c>
      <c r="J5779" s="3">
        <f t="shared" si="5"/>
        <v>0</v>
      </c>
    </row>
    <row r="5780">
      <c r="A5780" s="1" t="s">
        <v>3201</v>
      </c>
      <c r="B5780" s="3" t="str">
        <f t="shared" si="1"/>
        <v>Unavailable</v>
      </c>
      <c r="C5780" s="3">
        <v>465.0</v>
      </c>
      <c r="D5780" s="3">
        <f>IFERROR(__xludf.DUMMYFUNCTION("IFERROR(
IF(REGEXMATCH(LOWER(O5780),""k""),
VALUE(REGEXEXTRACT(O5780,""[0-9]+""))*1000,
VALUE(REGEXEXTRACT(O5780,""[0-9]+""))
),
0
)"),0.0)</f>
        <v>0</v>
      </c>
      <c r="E5780" s="1" t="s">
        <v>11</v>
      </c>
      <c r="F5780" s="1" t="s">
        <v>20</v>
      </c>
      <c r="G5780" s="4" t="b">
        <f t="shared" si="2"/>
        <v>1</v>
      </c>
      <c r="H5780" s="1" t="str">
        <f t="shared" si="3"/>
        <v>Currently Unavailable</v>
      </c>
      <c r="I5780" s="1" t="str">
        <f t="shared" si="4"/>
        <v>No Badges</v>
      </c>
      <c r="J5780" s="3">
        <f t="shared" si="5"/>
        <v>0</v>
      </c>
    </row>
    <row r="5781">
      <c r="A5781" s="1" t="s">
        <v>4331</v>
      </c>
      <c r="B5781" s="3" t="str">
        <f t="shared" si="1"/>
        <v>Unavailable</v>
      </c>
      <c r="C5781" s="5">
        <v>1006.0</v>
      </c>
      <c r="D5781" s="3">
        <f>IFERROR(__xludf.DUMMYFUNCTION("IFERROR(
IF(REGEXMATCH(LOWER(O5781),""k""),
VALUE(REGEXEXTRACT(O5781,""[0-9]+""))*1000,
VALUE(REGEXEXTRACT(O5781,""[0-9]+""))
),
0
)"),0.0)</f>
        <v>0</v>
      </c>
      <c r="E5781" s="1" t="s">
        <v>11</v>
      </c>
      <c r="F5781" s="1" t="s">
        <v>20</v>
      </c>
      <c r="G5781" s="4" t="b">
        <f t="shared" si="2"/>
        <v>1</v>
      </c>
      <c r="H5781" s="1" t="str">
        <f t="shared" si="3"/>
        <v>Currently Unavailable</v>
      </c>
      <c r="I5781" s="1" t="str">
        <f t="shared" si="4"/>
        <v>No Badges</v>
      </c>
      <c r="J5781" s="3">
        <f t="shared" si="5"/>
        <v>0</v>
      </c>
    </row>
    <row r="5782">
      <c r="A5782" s="1" t="s">
        <v>69</v>
      </c>
      <c r="B5782" s="3" t="str">
        <f t="shared" si="1"/>
        <v>Unavailable</v>
      </c>
      <c r="C5782" s="3">
        <v>45.0</v>
      </c>
      <c r="D5782" s="3">
        <f>IFERROR(__xludf.DUMMYFUNCTION("IFERROR(
IF(REGEXMATCH(LOWER(O5782),""k""),
VALUE(REGEXEXTRACT(O5782,""[0-9]+""))*1000,
VALUE(REGEXEXTRACT(O5782,""[0-9]+""))
),
0
)"),0.0)</f>
        <v>0</v>
      </c>
      <c r="E5782" s="1" t="s">
        <v>11</v>
      </c>
      <c r="F5782" s="1" t="s">
        <v>12</v>
      </c>
      <c r="G5782" s="4" t="b">
        <f t="shared" si="2"/>
        <v>1</v>
      </c>
      <c r="H5782" s="1" t="str">
        <f t="shared" si="3"/>
        <v>Currently Unavailable</v>
      </c>
      <c r="I5782" s="1" t="str">
        <f t="shared" si="4"/>
        <v>No Badges</v>
      </c>
      <c r="J5782" s="3">
        <f t="shared" si="5"/>
        <v>0</v>
      </c>
    </row>
    <row r="5783">
      <c r="A5783" s="1" t="s">
        <v>4332</v>
      </c>
      <c r="B5783" s="3" t="str">
        <f t="shared" si="1"/>
        <v>Unavailable</v>
      </c>
      <c r="C5783" s="3">
        <v>430.0</v>
      </c>
      <c r="D5783" s="3">
        <f>IFERROR(__xludf.DUMMYFUNCTION("IFERROR(
IF(REGEXMATCH(LOWER(O5783),""k""),
VALUE(REGEXEXTRACT(O5783,""[0-9]+""))*1000,
VALUE(REGEXEXTRACT(O5783,""[0-9]+""))
),
0
)"),0.0)</f>
        <v>0</v>
      </c>
      <c r="E5783" s="1" t="s">
        <v>11</v>
      </c>
      <c r="F5783" s="1" t="s">
        <v>20</v>
      </c>
      <c r="G5783" s="4" t="b">
        <f t="shared" si="2"/>
        <v>1</v>
      </c>
      <c r="H5783" s="1" t="str">
        <f t="shared" si="3"/>
        <v>Currently Unavailable</v>
      </c>
      <c r="I5783" s="1" t="str">
        <f t="shared" si="4"/>
        <v>No Badges</v>
      </c>
      <c r="J5783" s="3">
        <f t="shared" si="5"/>
        <v>0</v>
      </c>
    </row>
    <row r="5784">
      <c r="A5784" s="1" t="s">
        <v>4333</v>
      </c>
      <c r="B5784" s="3" t="str">
        <f t="shared" si="1"/>
        <v>Unavailable</v>
      </c>
      <c r="C5784" s="5">
        <v>1957.0</v>
      </c>
      <c r="D5784" s="3">
        <f>IFERROR(__xludf.DUMMYFUNCTION("IFERROR(
IF(REGEXMATCH(LOWER(O5784),""k""),
VALUE(REGEXEXTRACT(O5784,""[0-9]+""))*1000,
VALUE(REGEXEXTRACT(O5784,""[0-9]+""))
),
0
)"),0.0)</f>
        <v>0</v>
      </c>
      <c r="E5784" s="1" t="s">
        <v>11</v>
      </c>
      <c r="F5784" s="1" t="s">
        <v>20</v>
      </c>
      <c r="G5784" s="4" t="b">
        <f t="shared" si="2"/>
        <v>1</v>
      </c>
      <c r="H5784" s="1" t="str">
        <f t="shared" si="3"/>
        <v>Currently Unavailable</v>
      </c>
      <c r="I5784" s="1" t="str">
        <f t="shared" si="4"/>
        <v>No Badges</v>
      </c>
      <c r="J5784" s="3">
        <f t="shared" si="5"/>
        <v>0</v>
      </c>
    </row>
    <row r="5785">
      <c r="A5785" s="1" t="s">
        <v>4334</v>
      </c>
      <c r="B5785" s="3" t="str">
        <f t="shared" si="1"/>
        <v>Unavailable</v>
      </c>
      <c r="C5785" s="3">
        <v>646.0</v>
      </c>
      <c r="D5785" s="3">
        <f>IFERROR(__xludf.DUMMYFUNCTION("IFERROR(
IF(REGEXMATCH(LOWER(O5785),""k""),
VALUE(REGEXEXTRACT(O5785,""[0-9]+""))*1000,
VALUE(REGEXEXTRACT(O5785,""[0-9]+""))
),
0
)"),0.0)</f>
        <v>0</v>
      </c>
      <c r="E5785" s="1" t="s">
        <v>11</v>
      </c>
      <c r="F5785" s="1" t="s">
        <v>20</v>
      </c>
      <c r="G5785" s="4" t="b">
        <f t="shared" si="2"/>
        <v>1</v>
      </c>
      <c r="H5785" s="1" t="str">
        <f t="shared" si="3"/>
        <v>Currently Unavailable</v>
      </c>
      <c r="I5785" s="1" t="str">
        <f t="shared" si="4"/>
        <v>No Badges</v>
      </c>
      <c r="J5785" s="3">
        <f t="shared" si="5"/>
        <v>0</v>
      </c>
    </row>
    <row r="5786">
      <c r="A5786" s="1" t="s">
        <v>4335</v>
      </c>
      <c r="B5786" s="3" t="str">
        <f t="shared" si="1"/>
        <v>Unavailable</v>
      </c>
      <c r="C5786" s="5">
        <v>29426.0</v>
      </c>
      <c r="D5786" s="3">
        <f>IFERROR(__xludf.DUMMYFUNCTION("IFERROR(
IF(REGEXMATCH(LOWER(O5786),""k""),
VALUE(REGEXEXTRACT(O5786,""[0-9]+""))*1000,
VALUE(REGEXEXTRACT(O5786,""[0-9]+""))
),
0
)"),0.0)</f>
        <v>0</v>
      </c>
      <c r="E5786" s="1" t="s">
        <v>11</v>
      </c>
      <c r="F5786" s="1" t="s">
        <v>20</v>
      </c>
      <c r="G5786" s="4" t="b">
        <f t="shared" si="2"/>
        <v>1</v>
      </c>
      <c r="H5786" s="1" t="str">
        <f t="shared" si="3"/>
        <v>Currently Unavailable</v>
      </c>
      <c r="I5786" s="1" t="str">
        <f t="shared" si="4"/>
        <v>No Badges</v>
      </c>
      <c r="J5786" s="3">
        <f t="shared" si="5"/>
        <v>0</v>
      </c>
    </row>
    <row r="5787">
      <c r="A5787" s="1" t="s">
        <v>4336</v>
      </c>
      <c r="B5787" s="3" t="str">
        <f t="shared" si="1"/>
        <v>Unavailable</v>
      </c>
      <c r="C5787" s="5">
        <v>6799.0</v>
      </c>
      <c r="D5787" s="3">
        <f>IFERROR(__xludf.DUMMYFUNCTION("IFERROR(
IF(REGEXMATCH(LOWER(O5787),""k""),
VALUE(REGEXEXTRACT(O5787,""[0-9]+""))*1000,
VALUE(REGEXEXTRACT(O5787,""[0-9]+""))
),
0
)"),0.0)</f>
        <v>0</v>
      </c>
      <c r="E5787" s="1" t="s">
        <v>11</v>
      </c>
      <c r="F5787" s="1" t="s">
        <v>20</v>
      </c>
      <c r="G5787" s="4" t="b">
        <f t="shared" si="2"/>
        <v>1</v>
      </c>
      <c r="H5787" s="1" t="str">
        <f t="shared" si="3"/>
        <v>Currently Unavailable</v>
      </c>
      <c r="I5787" s="1" t="str">
        <f t="shared" si="4"/>
        <v>No Badges</v>
      </c>
      <c r="J5787" s="3">
        <f t="shared" si="5"/>
        <v>0</v>
      </c>
    </row>
    <row r="5788">
      <c r="A5788" s="1" t="s">
        <v>4329</v>
      </c>
      <c r="B5788" s="3" t="str">
        <f t="shared" si="1"/>
        <v>Unavailable</v>
      </c>
      <c r="C5788" s="5">
        <v>9241.0</v>
      </c>
      <c r="D5788" s="3">
        <f>IFERROR(__xludf.DUMMYFUNCTION("IFERROR(
IF(REGEXMATCH(LOWER(O5788),""k""),
VALUE(REGEXEXTRACT(O5788,""[0-9]+""))*1000,
VALUE(REGEXEXTRACT(O5788,""[0-9]+""))
),
0
)"),0.0)</f>
        <v>0</v>
      </c>
      <c r="E5788" s="1" t="s">
        <v>11</v>
      </c>
      <c r="F5788" s="1" t="s">
        <v>20</v>
      </c>
      <c r="G5788" s="4" t="b">
        <f t="shared" si="2"/>
        <v>1</v>
      </c>
      <c r="H5788" s="1" t="str">
        <f t="shared" si="3"/>
        <v>Currently Unavailable</v>
      </c>
      <c r="I5788" s="1" t="str">
        <f t="shared" si="4"/>
        <v>No Badges</v>
      </c>
      <c r="J5788" s="3">
        <f t="shared" si="5"/>
        <v>0</v>
      </c>
    </row>
    <row r="5789">
      <c r="A5789" s="1" t="s">
        <v>4262</v>
      </c>
      <c r="B5789" s="3" t="str">
        <f t="shared" si="1"/>
        <v>Unavailable</v>
      </c>
      <c r="C5789" s="5">
        <v>6338.0</v>
      </c>
      <c r="D5789" s="3">
        <f>IFERROR(__xludf.DUMMYFUNCTION("IFERROR(
IF(REGEXMATCH(LOWER(O5789),""k""),
VALUE(REGEXEXTRACT(O5789,""[0-9]+""))*1000,
VALUE(REGEXEXTRACT(O5789,""[0-9]+""))
),
0
)"),0.0)</f>
        <v>0</v>
      </c>
      <c r="E5789" s="1" t="s">
        <v>11</v>
      </c>
      <c r="F5789" s="1" t="s">
        <v>20</v>
      </c>
      <c r="G5789" s="4" t="b">
        <f t="shared" si="2"/>
        <v>1</v>
      </c>
      <c r="H5789" s="1" t="str">
        <f t="shared" si="3"/>
        <v>Currently Unavailable</v>
      </c>
      <c r="I5789" s="1" t="str">
        <f t="shared" si="4"/>
        <v>No Badges</v>
      </c>
      <c r="J5789" s="3">
        <f t="shared" si="5"/>
        <v>0</v>
      </c>
    </row>
    <row r="5790">
      <c r="A5790" s="1" t="s">
        <v>4337</v>
      </c>
      <c r="B5790" s="3" t="str">
        <f t="shared" si="1"/>
        <v>Unavailable</v>
      </c>
      <c r="C5790" s="5">
        <v>1686.0</v>
      </c>
      <c r="D5790" s="3">
        <f>IFERROR(__xludf.DUMMYFUNCTION("IFERROR(
IF(REGEXMATCH(LOWER(O5790),""k""),
VALUE(REGEXEXTRACT(O5790,""[0-9]+""))*1000,
VALUE(REGEXEXTRACT(O5790,""[0-9]+""))
),
0
)"),0.0)</f>
        <v>0</v>
      </c>
      <c r="E5790" s="1" t="s">
        <v>11</v>
      </c>
      <c r="F5790" s="1" t="s">
        <v>20</v>
      </c>
      <c r="G5790" s="4" t="b">
        <f t="shared" si="2"/>
        <v>1</v>
      </c>
      <c r="H5790" s="1" t="str">
        <f t="shared" si="3"/>
        <v>Currently Unavailable</v>
      </c>
      <c r="I5790" s="1" t="str">
        <f t="shared" si="4"/>
        <v>No Badges</v>
      </c>
      <c r="J5790" s="3">
        <f t="shared" si="5"/>
        <v>0</v>
      </c>
    </row>
    <row r="5791">
      <c r="A5791" s="1" t="s">
        <v>4338</v>
      </c>
      <c r="B5791" s="3" t="str">
        <f t="shared" si="1"/>
        <v>Unavailable</v>
      </c>
      <c r="C5791" s="5">
        <v>3689.0</v>
      </c>
      <c r="D5791" s="3">
        <f>IFERROR(__xludf.DUMMYFUNCTION("IFERROR(
IF(REGEXMATCH(LOWER(O5791),""k""),
VALUE(REGEXEXTRACT(O5791,""[0-9]+""))*1000,
VALUE(REGEXEXTRACT(O5791,""[0-9]+""))
),
0
)"),0.0)</f>
        <v>0</v>
      </c>
      <c r="E5791" s="1" t="s">
        <v>11</v>
      </c>
      <c r="F5791" s="1" t="s">
        <v>20</v>
      </c>
      <c r="G5791" s="4" t="b">
        <f t="shared" si="2"/>
        <v>1</v>
      </c>
      <c r="H5791" s="1" t="str">
        <f t="shared" si="3"/>
        <v>Currently Unavailable</v>
      </c>
      <c r="I5791" s="1" t="str">
        <f t="shared" si="4"/>
        <v>No Badges</v>
      </c>
      <c r="J5791" s="3">
        <f t="shared" si="5"/>
        <v>0</v>
      </c>
    </row>
    <row r="5792">
      <c r="A5792" s="1" t="s">
        <v>4339</v>
      </c>
      <c r="B5792" s="3" t="str">
        <f t="shared" si="1"/>
        <v>Unavailable</v>
      </c>
      <c r="C5792" s="3">
        <v>544.0</v>
      </c>
      <c r="D5792" s="3">
        <f>IFERROR(__xludf.DUMMYFUNCTION("IFERROR(
IF(REGEXMATCH(LOWER(O5792),""k""),
VALUE(REGEXEXTRACT(O5792,""[0-9]+""))*1000,
VALUE(REGEXEXTRACT(O5792,""[0-9]+""))
),
0
)"),0.0)</f>
        <v>0</v>
      </c>
      <c r="E5792" s="1" t="s">
        <v>11</v>
      </c>
      <c r="F5792" s="1" t="s">
        <v>20</v>
      </c>
      <c r="G5792" s="4" t="b">
        <f t="shared" si="2"/>
        <v>1</v>
      </c>
      <c r="H5792" s="1" t="str">
        <f t="shared" si="3"/>
        <v>Currently Unavailable</v>
      </c>
      <c r="I5792" s="1" t="str">
        <f t="shared" si="4"/>
        <v>No Badges</v>
      </c>
      <c r="J5792" s="3">
        <f t="shared" si="5"/>
        <v>0</v>
      </c>
    </row>
    <row r="5793">
      <c r="A5793" s="1" t="s">
        <v>4340</v>
      </c>
      <c r="B5793" s="3" t="str">
        <f t="shared" si="1"/>
        <v>Unavailable</v>
      </c>
      <c r="C5793" s="5">
        <v>2405.0</v>
      </c>
      <c r="D5793" s="3">
        <f>IFERROR(__xludf.DUMMYFUNCTION("IFERROR(
IF(REGEXMATCH(LOWER(O5793),""k""),
VALUE(REGEXEXTRACT(O5793,""[0-9]+""))*1000,
VALUE(REGEXEXTRACT(O5793,""[0-9]+""))
),
0
)"),0.0)</f>
        <v>0</v>
      </c>
      <c r="E5793" s="1" t="s">
        <v>11</v>
      </c>
      <c r="F5793" s="1" t="s">
        <v>20</v>
      </c>
      <c r="G5793" s="4" t="b">
        <f t="shared" si="2"/>
        <v>1</v>
      </c>
      <c r="H5793" s="1" t="str">
        <f t="shared" si="3"/>
        <v>Currently Unavailable</v>
      </c>
      <c r="I5793" s="1" t="str">
        <f t="shared" si="4"/>
        <v>No Badges</v>
      </c>
      <c r="J5793" s="3">
        <f t="shared" si="5"/>
        <v>0</v>
      </c>
    </row>
    <row r="5794">
      <c r="A5794" s="1" t="s">
        <v>4341</v>
      </c>
      <c r="B5794" s="3" t="str">
        <f t="shared" si="1"/>
        <v>Unavailable</v>
      </c>
      <c r="C5794" s="3">
        <v>201.0</v>
      </c>
      <c r="D5794" s="3">
        <f>IFERROR(__xludf.DUMMYFUNCTION("IFERROR(
IF(REGEXMATCH(LOWER(O5794),""k""),
VALUE(REGEXEXTRACT(O5794,""[0-9]+""))*1000,
VALUE(REGEXEXTRACT(O5794,""[0-9]+""))
),
0
)"),0.0)</f>
        <v>0</v>
      </c>
      <c r="E5794" s="1" t="s">
        <v>11</v>
      </c>
      <c r="F5794" s="1" t="s">
        <v>20</v>
      </c>
      <c r="G5794" s="4" t="b">
        <f t="shared" si="2"/>
        <v>1</v>
      </c>
      <c r="H5794" s="1" t="str">
        <f t="shared" si="3"/>
        <v>Currently Unavailable</v>
      </c>
      <c r="I5794" s="1" t="str">
        <f t="shared" si="4"/>
        <v>No Badges</v>
      </c>
      <c r="J5794" s="3">
        <f t="shared" si="5"/>
        <v>0</v>
      </c>
    </row>
    <row r="5795">
      <c r="A5795" s="1" t="s">
        <v>67</v>
      </c>
      <c r="B5795" s="3" t="str">
        <f t="shared" si="1"/>
        <v>Unavailable</v>
      </c>
      <c r="C5795" s="3">
        <v>264.0</v>
      </c>
      <c r="D5795" s="3">
        <f>IFERROR(__xludf.DUMMYFUNCTION("IFERROR(
IF(REGEXMATCH(LOWER(O5795),""k""),
VALUE(REGEXEXTRACT(O5795,""[0-9]+""))*1000,
VALUE(REGEXEXTRACT(O5795,""[0-9]+""))
),
0
)"),0.0)</f>
        <v>0</v>
      </c>
      <c r="E5795" s="1" t="s">
        <v>11</v>
      </c>
      <c r="F5795" s="1" t="s">
        <v>12</v>
      </c>
      <c r="G5795" s="4" t="b">
        <f t="shared" si="2"/>
        <v>1</v>
      </c>
      <c r="H5795" s="1" t="str">
        <f t="shared" si="3"/>
        <v>Currently Unavailable</v>
      </c>
      <c r="I5795" s="1" t="str">
        <f t="shared" si="4"/>
        <v>No Badges</v>
      </c>
      <c r="J5795" s="3">
        <f t="shared" si="5"/>
        <v>0</v>
      </c>
    </row>
    <row r="5796">
      <c r="A5796" s="1" t="s">
        <v>4233</v>
      </c>
      <c r="B5796" s="3" t="str">
        <f t="shared" si="1"/>
        <v>Unavailable</v>
      </c>
      <c r="C5796" s="5">
        <v>4965.0</v>
      </c>
      <c r="D5796" s="3">
        <f>IFERROR(__xludf.DUMMYFUNCTION("IFERROR(
IF(REGEXMATCH(LOWER(O5796),""k""),
VALUE(REGEXEXTRACT(O5796,""[0-9]+""))*1000,
VALUE(REGEXEXTRACT(O5796,""[0-9]+""))
),
0
)"),0.0)</f>
        <v>0</v>
      </c>
      <c r="E5796" s="1" t="s">
        <v>11</v>
      </c>
      <c r="F5796" s="1" t="s">
        <v>20</v>
      </c>
      <c r="G5796" s="4" t="b">
        <f t="shared" si="2"/>
        <v>1</v>
      </c>
      <c r="H5796" s="1" t="str">
        <f t="shared" si="3"/>
        <v>Currently Unavailable</v>
      </c>
      <c r="I5796" s="1" t="str">
        <f t="shared" si="4"/>
        <v>No Badges</v>
      </c>
      <c r="J5796" s="3">
        <f t="shared" si="5"/>
        <v>0</v>
      </c>
    </row>
    <row r="5797">
      <c r="A5797" s="1" t="s">
        <v>701</v>
      </c>
      <c r="B5797" s="3" t="str">
        <f t="shared" si="1"/>
        <v>Unavailable</v>
      </c>
      <c r="C5797" s="3">
        <v>8.0</v>
      </c>
      <c r="D5797" s="3">
        <f>IFERROR(__xludf.DUMMYFUNCTION("IFERROR(
IF(REGEXMATCH(LOWER(O5797),""k""),
VALUE(REGEXEXTRACT(O5797,""[0-9]+""))*1000,
VALUE(REGEXEXTRACT(O5797,""[0-9]+""))
),
0
)"),0.0)</f>
        <v>0</v>
      </c>
      <c r="E5797" s="1" t="s">
        <v>11</v>
      </c>
      <c r="F5797" s="1" t="s">
        <v>12</v>
      </c>
      <c r="G5797" s="4" t="b">
        <f t="shared" si="2"/>
        <v>1</v>
      </c>
      <c r="H5797" s="1" t="str">
        <f t="shared" si="3"/>
        <v>Currently Unavailable</v>
      </c>
      <c r="I5797" s="1" t="str">
        <f t="shared" si="4"/>
        <v>No Badges</v>
      </c>
      <c r="J5797" s="3">
        <f t="shared" si="5"/>
        <v>0</v>
      </c>
    </row>
    <row r="5798">
      <c r="A5798" s="1" t="s">
        <v>4342</v>
      </c>
      <c r="B5798" s="3" t="str">
        <f t="shared" si="1"/>
        <v>Unavailable</v>
      </c>
      <c r="C5798" s="3">
        <v>468.0</v>
      </c>
      <c r="D5798" s="3">
        <f>IFERROR(__xludf.DUMMYFUNCTION("IFERROR(
IF(REGEXMATCH(LOWER(O5798),""k""),
VALUE(REGEXEXTRACT(O5798,""[0-9]+""))*1000,
VALUE(REGEXEXTRACT(O5798,""[0-9]+""))
),
0
)"),0.0)</f>
        <v>0</v>
      </c>
      <c r="E5798" s="1" t="s">
        <v>11</v>
      </c>
      <c r="F5798" s="1" t="s">
        <v>20</v>
      </c>
      <c r="G5798" s="4" t="b">
        <f t="shared" si="2"/>
        <v>1</v>
      </c>
      <c r="H5798" s="1" t="str">
        <f t="shared" si="3"/>
        <v>Currently Unavailable</v>
      </c>
      <c r="I5798" s="1" t="str">
        <f t="shared" si="4"/>
        <v>No Badges</v>
      </c>
      <c r="J5798" s="3">
        <f t="shared" si="5"/>
        <v>0</v>
      </c>
    </row>
    <row r="5799">
      <c r="A5799" s="1" t="s">
        <v>4343</v>
      </c>
      <c r="B5799" s="3" t="str">
        <f t="shared" si="1"/>
        <v>Unavailable</v>
      </c>
      <c r="C5799" s="3">
        <v>419.0</v>
      </c>
      <c r="D5799" s="3">
        <f>IFERROR(__xludf.DUMMYFUNCTION("IFERROR(
IF(REGEXMATCH(LOWER(O5799),""k""),
VALUE(REGEXEXTRACT(O5799,""[0-9]+""))*1000,
VALUE(REGEXEXTRACT(O5799,""[0-9]+""))
),
0
)"),0.0)</f>
        <v>0</v>
      </c>
      <c r="E5799" s="1" t="s">
        <v>11</v>
      </c>
      <c r="F5799" s="1" t="s">
        <v>20</v>
      </c>
      <c r="G5799" s="4" t="b">
        <f t="shared" si="2"/>
        <v>1</v>
      </c>
      <c r="H5799" s="1" t="str">
        <f t="shared" si="3"/>
        <v>Currently Unavailable</v>
      </c>
      <c r="I5799" s="1" t="str">
        <f t="shared" si="4"/>
        <v>No Badges</v>
      </c>
      <c r="J5799" s="3">
        <f t="shared" si="5"/>
        <v>0</v>
      </c>
    </row>
    <row r="5800">
      <c r="A5800" s="1" t="s">
        <v>4344</v>
      </c>
      <c r="B5800" s="3" t="str">
        <f t="shared" si="1"/>
        <v>Unavailable</v>
      </c>
      <c r="C5800" s="3">
        <v>221.0</v>
      </c>
      <c r="D5800" s="3">
        <f>IFERROR(__xludf.DUMMYFUNCTION("IFERROR(
IF(REGEXMATCH(LOWER(O5800),""k""),
VALUE(REGEXEXTRACT(O5800,""[0-9]+""))*1000,
VALUE(REGEXEXTRACT(O5800,""[0-9]+""))
),
0
)"),0.0)</f>
        <v>0</v>
      </c>
      <c r="E5800" s="1" t="s">
        <v>11</v>
      </c>
      <c r="F5800" s="1" t="s">
        <v>20</v>
      </c>
      <c r="G5800" s="4" t="b">
        <f t="shared" si="2"/>
        <v>1</v>
      </c>
      <c r="H5800" s="1" t="str">
        <f t="shared" si="3"/>
        <v>Currently Unavailable</v>
      </c>
      <c r="I5800" s="1" t="str">
        <f t="shared" si="4"/>
        <v>No Badges</v>
      </c>
      <c r="J5800" s="3">
        <f t="shared" si="5"/>
        <v>0</v>
      </c>
    </row>
    <row r="5801">
      <c r="A5801" s="1" t="s">
        <v>4345</v>
      </c>
      <c r="B5801" s="3" t="str">
        <f t="shared" si="1"/>
        <v>Unavailable</v>
      </c>
      <c r="C5801" s="3">
        <v>575.0</v>
      </c>
      <c r="D5801" s="3">
        <f>IFERROR(__xludf.DUMMYFUNCTION("IFERROR(
IF(REGEXMATCH(LOWER(O5801),""k""),
VALUE(REGEXEXTRACT(O5801,""[0-9]+""))*1000,
VALUE(REGEXEXTRACT(O5801,""[0-9]+""))
),
0
)"),0.0)</f>
        <v>0</v>
      </c>
      <c r="E5801" s="1" t="s">
        <v>11</v>
      </c>
      <c r="F5801" s="1" t="s">
        <v>20</v>
      </c>
      <c r="G5801" s="4" t="b">
        <f t="shared" si="2"/>
        <v>1</v>
      </c>
      <c r="H5801" s="1" t="str">
        <f t="shared" si="3"/>
        <v>Currently Unavailable</v>
      </c>
      <c r="I5801" s="1" t="str">
        <f t="shared" si="4"/>
        <v>No Badges</v>
      </c>
      <c r="J5801" s="3">
        <f t="shared" si="5"/>
        <v>0</v>
      </c>
    </row>
    <row r="5802">
      <c r="A5802" s="1" t="s">
        <v>4346</v>
      </c>
      <c r="B5802" s="3" t="str">
        <f t="shared" si="1"/>
        <v>Unavailable</v>
      </c>
      <c r="C5802" s="5">
        <v>1375.0</v>
      </c>
      <c r="D5802" s="3">
        <f>IFERROR(__xludf.DUMMYFUNCTION("IFERROR(
IF(REGEXMATCH(LOWER(O5802),""k""),
VALUE(REGEXEXTRACT(O5802,""[0-9]+""))*1000,
VALUE(REGEXEXTRACT(O5802,""[0-9]+""))
),
0
)"),0.0)</f>
        <v>0</v>
      </c>
      <c r="E5802" s="1" t="s">
        <v>11</v>
      </c>
      <c r="F5802" s="1" t="s">
        <v>20</v>
      </c>
      <c r="G5802" s="4" t="b">
        <f t="shared" si="2"/>
        <v>1</v>
      </c>
      <c r="H5802" s="1" t="str">
        <f t="shared" si="3"/>
        <v>Currently Unavailable</v>
      </c>
      <c r="I5802" s="1" t="str">
        <f t="shared" si="4"/>
        <v>No Badges</v>
      </c>
      <c r="J5802" s="3">
        <f t="shared" si="5"/>
        <v>0</v>
      </c>
    </row>
    <row r="5803">
      <c r="A5803" s="1" t="s">
        <v>4347</v>
      </c>
      <c r="B5803" s="3" t="str">
        <f t="shared" si="1"/>
        <v>Unavailable</v>
      </c>
      <c r="C5803" s="5">
        <v>13600.0</v>
      </c>
      <c r="D5803" s="3">
        <f>IFERROR(__xludf.DUMMYFUNCTION("IFERROR(
IF(REGEXMATCH(LOWER(O5803),""k""),
VALUE(REGEXEXTRACT(O5803,""[0-9]+""))*1000,
VALUE(REGEXEXTRACT(O5803,""[0-9]+""))
),
0
)"),0.0)</f>
        <v>0</v>
      </c>
      <c r="E5803" s="1" t="s">
        <v>11</v>
      </c>
      <c r="F5803" s="1" t="s">
        <v>20</v>
      </c>
      <c r="G5803" s="4" t="b">
        <f t="shared" si="2"/>
        <v>1</v>
      </c>
      <c r="H5803" s="1" t="str">
        <f t="shared" si="3"/>
        <v>Currently Unavailable</v>
      </c>
      <c r="I5803" s="1" t="str">
        <f t="shared" si="4"/>
        <v>No Badges</v>
      </c>
      <c r="J5803" s="3">
        <f t="shared" si="5"/>
        <v>0</v>
      </c>
    </row>
    <row r="5804">
      <c r="A5804" s="1" t="s">
        <v>4348</v>
      </c>
      <c r="B5804" s="3" t="str">
        <f t="shared" si="1"/>
        <v>Unavailable</v>
      </c>
      <c r="C5804" s="3">
        <v>711.0</v>
      </c>
      <c r="D5804" s="3">
        <f>IFERROR(__xludf.DUMMYFUNCTION("IFERROR(
IF(REGEXMATCH(LOWER(O5804),""k""),
VALUE(REGEXEXTRACT(O5804,""[0-9]+""))*1000,
VALUE(REGEXEXTRACT(O5804,""[0-9]+""))
),
0
)"),0.0)</f>
        <v>0</v>
      </c>
      <c r="E5804" s="1" t="s">
        <v>11</v>
      </c>
      <c r="F5804" s="1" t="s">
        <v>20</v>
      </c>
      <c r="G5804" s="4" t="b">
        <f t="shared" si="2"/>
        <v>1</v>
      </c>
      <c r="H5804" s="1" t="str">
        <f t="shared" si="3"/>
        <v>Currently Unavailable</v>
      </c>
      <c r="I5804" s="1" t="str">
        <f t="shared" si="4"/>
        <v>No Badges</v>
      </c>
      <c r="J5804" s="3">
        <f t="shared" si="5"/>
        <v>0</v>
      </c>
    </row>
    <row r="5805">
      <c r="A5805" s="1" t="s">
        <v>4349</v>
      </c>
      <c r="B5805" s="3" t="str">
        <f t="shared" si="1"/>
        <v>Unavailable</v>
      </c>
      <c r="C5805" s="5">
        <v>2902.0</v>
      </c>
      <c r="D5805" s="3">
        <f>IFERROR(__xludf.DUMMYFUNCTION("IFERROR(
IF(REGEXMATCH(LOWER(O5805),""k""),
VALUE(REGEXEXTRACT(O5805,""[0-9]+""))*1000,
VALUE(REGEXEXTRACT(O5805,""[0-9]+""))
),
0
)"),0.0)</f>
        <v>0</v>
      </c>
      <c r="E5805" s="1" t="s">
        <v>11</v>
      </c>
      <c r="F5805" s="1" t="s">
        <v>20</v>
      </c>
      <c r="G5805" s="4" t="b">
        <f t="shared" si="2"/>
        <v>1</v>
      </c>
      <c r="H5805" s="1" t="str">
        <f t="shared" si="3"/>
        <v>Currently Unavailable</v>
      </c>
      <c r="I5805" s="1" t="str">
        <f t="shared" si="4"/>
        <v>No Badges</v>
      </c>
      <c r="J5805" s="3">
        <f t="shared" si="5"/>
        <v>0</v>
      </c>
    </row>
    <row r="5806">
      <c r="A5806" s="1" t="s">
        <v>4350</v>
      </c>
      <c r="B5806" s="3" t="str">
        <f t="shared" si="1"/>
        <v>Unavailable</v>
      </c>
      <c r="C5806" s="3">
        <v>27.0</v>
      </c>
      <c r="D5806" s="3">
        <f>IFERROR(__xludf.DUMMYFUNCTION("IFERROR(
IF(REGEXMATCH(LOWER(O5806),""k""),
VALUE(REGEXEXTRACT(O5806,""[0-9]+""))*1000,
VALUE(REGEXEXTRACT(O5806,""[0-9]+""))
),
0
)"),0.0)</f>
        <v>0</v>
      </c>
      <c r="E5806" s="1" t="s">
        <v>11</v>
      </c>
      <c r="F5806" s="1" t="s">
        <v>20</v>
      </c>
      <c r="G5806" s="4" t="b">
        <f t="shared" si="2"/>
        <v>1</v>
      </c>
      <c r="H5806" s="1" t="str">
        <f t="shared" si="3"/>
        <v>Currently Unavailable</v>
      </c>
      <c r="I5806" s="1" t="str">
        <f t="shared" si="4"/>
        <v>No Badges</v>
      </c>
      <c r="J5806" s="3">
        <f t="shared" si="5"/>
        <v>0</v>
      </c>
    </row>
    <row r="5807">
      <c r="A5807" s="1" t="s">
        <v>4351</v>
      </c>
      <c r="B5807" s="3" t="str">
        <f t="shared" si="1"/>
        <v>Unavailable</v>
      </c>
      <c r="C5807" s="3">
        <v>476.0</v>
      </c>
      <c r="D5807" s="3">
        <f>IFERROR(__xludf.DUMMYFUNCTION("IFERROR(
IF(REGEXMATCH(LOWER(O5807),""k""),
VALUE(REGEXEXTRACT(O5807,""[0-9]+""))*1000,
VALUE(REGEXEXTRACT(O5807,""[0-9]+""))
),
0
)"),0.0)</f>
        <v>0</v>
      </c>
      <c r="E5807" s="1" t="s">
        <v>11</v>
      </c>
      <c r="F5807" s="1" t="s">
        <v>20</v>
      </c>
      <c r="G5807" s="4" t="b">
        <f t="shared" si="2"/>
        <v>1</v>
      </c>
      <c r="H5807" s="1" t="str">
        <f t="shared" si="3"/>
        <v>Currently Unavailable</v>
      </c>
      <c r="I5807" s="1" t="str">
        <f t="shared" si="4"/>
        <v>No Badges</v>
      </c>
      <c r="J5807" s="3">
        <f t="shared" si="5"/>
        <v>0</v>
      </c>
    </row>
    <row r="5808">
      <c r="A5808" s="1" t="s">
        <v>4352</v>
      </c>
      <c r="B5808" s="3" t="str">
        <f t="shared" si="1"/>
        <v>Unavailable</v>
      </c>
      <c r="C5808" s="5">
        <v>2823.0</v>
      </c>
      <c r="D5808" s="3">
        <f>IFERROR(__xludf.DUMMYFUNCTION("IFERROR(
IF(REGEXMATCH(LOWER(O5808),""k""),
VALUE(REGEXEXTRACT(O5808,""[0-9]+""))*1000,
VALUE(REGEXEXTRACT(O5808,""[0-9]+""))
),
0
)"),0.0)</f>
        <v>0</v>
      </c>
      <c r="E5808" s="1" t="s">
        <v>11</v>
      </c>
      <c r="F5808" s="1" t="s">
        <v>20</v>
      </c>
      <c r="G5808" s="4" t="b">
        <f t="shared" si="2"/>
        <v>1</v>
      </c>
      <c r="H5808" s="1" t="str">
        <f t="shared" si="3"/>
        <v>Currently Unavailable</v>
      </c>
      <c r="I5808" s="1" t="str">
        <f t="shared" si="4"/>
        <v>No Badges</v>
      </c>
      <c r="J5808" s="3">
        <f t="shared" si="5"/>
        <v>0</v>
      </c>
    </row>
    <row r="5809">
      <c r="A5809" s="1" t="s">
        <v>4353</v>
      </c>
      <c r="B5809" s="3" t="str">
        <f t="shared" si="1"/>
        <v>Unavailable</v>
      </c>
      <c r="C5809" s="3">
        <v>58.0</v>
      </c>
      <c r="D5809" s="3">
        <f>IFERROR(__xludf.DUMMYFUNCTION("IFERROR(
IF(REGEXMATCH(LOWER(O5809),""k""),
VALUE(REGEXEXTRACT(O5809,""[0-9]+""))*1000,
VALUE(REGEXEXTRACT(O5809,""[0-9]+""))
),
0
)"),0.0)</f>
        <v>0</v>
      </c>
      <c r="E5809" s="1" t="s">
        <v>11</v>
      </c>
      <c r="F5809" s="1" t="s">
        <v>20</v>
      </c>
      <c r="G5809" s="4" t="b">
        <f t="shared" si="2"/>
        <v>1</v>
      </c>
      <c r="H5809" s="1" t="str">
        <f t="shared" si="3"/>
        <v>Currently Unavailable</v>
      </c>
      <c r="I5809" s="1" t="str">
        <f t="shared" si="4"/>
        <v>No Badges</v>
      </c>
      <c r="J5809" s="3">
        <f t="shared" si="5"/>
        <v>0</v>
      </c>
    </row>
    <row r="5810">
      <c r="A5810" s="1" t="s">
        <v>4354</v>
      </c>
      <c r="B5810" s="3" t="str">
        <f t="shared" si="1"/>
        <v>Unavailable</v>
      </c>
      <c r="C5810" s="5">
        <v>3930.0</v>
      </c>
      <c r="D5810" s="3">
        <f>IFERROR(__xludf.DUMMYFUNCTION("IFERROR(
IF(REGEXMATCH(LOWER(O5810),""k""),
VALUE(REGEXEXTRACT(O5810,""[0-9]+""))*1000,
VALUE(REGEXEXTRACT(O5810,""[0-9]+""))
),
0
)"),0.0)</f>
        <v>0</v>
      </c>
      <c r="E5810" s="1" t="s">
        <v>11</v>
      </c>
      <c r="F5810" s="1" t="s">
        <v>20</v>
      </c>
      <c r="G5810" s="4" t="b">
        <f t="shared" si="2"/>
        <v>1</v>
      </c>
      <c r="H5810" s="1" t="str">
        <f t="shared" si="3"/>
        <v>Currently Unavailable</v>
      </c>
      <c r="I5810" s="1" t="str">
        <f t="shared" si="4"/>
        <v>No Badges</v>
      </c>
      <c r="J5810" s="3">
        <f t="shared" si="5"/>
        <v>0</v>
      </c>
    </row>
    <row r="5811">
      <c r="A5811" s="1" t="s">
        <v>88</v>
      </c>
      <c r="B5811" s="3" t="str">
        <f t="shared" si="1"/>
        <v>Unavailable</v>
      </c>
      <c r="C5811" s="3">
        <v>5.0</v>
      </c>
      <c r="D5811" s="3">
        <f>IFERROR(__xludf.DUMMYFUNCTION("IFERROR(
IF(REGEXMATCH(LOWER(O5811),""k""),
VALUE(REGEXEXTRACT(O5811,""[0-9]+""))*1000,
VALUE(REGEXEXTRACT(O5811,""[0-9]+""))
),
0
)"),0.0)</f>
        <v>0</v>
      </c>
      <c r="E5811" s="1" t="s">
        <v>11</v>
      </c>
      <c r="F5811" s="1" t="s">
        <v>12</v>
      </c>
      <c r="G5811" s="4" t="b">
        <f t="shared" si="2"/>
        <v>1</v>
      </c>
      <c r="H5811" s="1" t="str">
        <f t="shared" si="3"/>
        <v>Currently Unavailable</v>
      </c>
      <c r="I5811" s="1" t="str">
        <f t="shared" si="4"/>
        <v>No Badges</v>
      </c>
      <c r="J5811" s="3">
        <f t="shared" si="5"/>
        <v>0</v>
      </c>
    </row>
    <row r="5812">
      <c r="A5812" s="1" t="s">
        <v>4327</v>
      </c>
      <c r="B5812" s="3" t="str">
        <f t="shared" si="1"/>
        <v>Unavailable</v>
      </c>
      <c r="C5812" s="3">
        <v>258.0</v>
      </c>
      <c r="D5812" s="3">
        <f>IFERROR(__xludf.DUMMYFUNCTION("IFERROR(
IF(REGEXMATCH(LOWER(O5812),""k""),
VALUE(REGEXEXTRACT(O5812,""[0-9]+""))*1000,
VALUE(REGEXEXTRACT(O5812,""[0-9]+""))
),
0
)"),0.0)</f>
        <v>0</v>
      </c>
      <c r="E5812" s="1" t="s">
        <v>11</v>
      </c>
      <c r="F5812" s="1" t="s">
        <v>20</v>
      </c>
      <c r="G5812" s="4" t="b">
        <f t="shared" si="2"/>
        <v>1</v>
      </c>
      <c r="H5812" s="1" t="str">
        <f t="shared" si="3"/>
        <v>Currently Unavailable</v>
      </c>
      <c r="I5812" s="1" t="str">
        <f t="shared" si="4"/>
        <v>No Badges</v>
      </c>
      <c r="J5812" s="3">
        <f t="shared" si="5"/>
        <v>0</v>
      </c>
    </row>
    <row r="5813">
      <c r="A5813" s="1" t="s">
        <v>4355</v>
      </c>
      <c r="B5813" s="3" t="str">
        <f t="shared" si="1"/>
        <v>Unavailable</v>
      </c>
      <c r="C5813" s="3">
        <v>903.0</v>
      </c>
      <c r="D5813" s="3">
        <f>IFERROR(__xludf.DUMMYFUNCTION("IFERROR(
IF(REGEXMATCH(LOWER(O5813),""k""),
VALUE(REGEXEXTRACT(O5813,""[0-9]+""))*1000,
VALUE(REGEXEXTRACT(O5813,""[0-9]+""))
),
0
)"),0.0)</f>
        <v>0</v>
      </c>
      <c r="E5813" s="1" t="s">
        <v>11</v>
      </c>
      <c r="F5813" s="1" t="s">
        <v>20</v>
      </c>
      <c r="G5813" s="4" t="b">
        <f t="shared" si="2"/>
        <v>1</v>
      </c>
      <c r="H5813" s="1" t="str">
        <f t="shared" si="3"/>
        <v>Currently Unavailable</v>
      </c>
      <c r="I5813" s="1" t="str">
        <f t="shared" si="4"/>
        <v>No Badges</v>
      </c>
      <c r="J5813" s="3">
        <f t="shared" si="5"/>
        <v>0</v>
      </c>
    </row>
    <row r="5814">
      <c r="A5814" s="1" t="s">
        <v>4255</v>
      </c>
      <c r="B5814" s="3" t="str">
        <f t="shared" si="1"/>
        <v>Unavailable</v>
      </c>
      <c r="C5814" s="3">
        <v>253.0</v>
      </c>
      <c r="D5814" s="3">
        <f>IFERROR(__xludf.DUMMYFUNCTION("IFERROR(
IF(REGEXMATCH(LOWER(O5814),""k""),
VALUE(REGEXEXTRACT(O5814,""[0-9]+""))*1000,
VALUE(REGEXEXTRACT(O5814,""[0-9]+""))
),
0
)"),0.0)</f>
        <v>0</v>
      </c>
      <c r="E5814" s="1" t="s">
        <v>18</v>
      </c>
      <c r="F5814" s="1" t="s">
        <v>20</v>
      </c>
      <c r="G5814" s="4" t="b">
        <f t="shared" si="2"/>
        <v>1</v>
      </c>
      <c r="H5814" s="1" t="str">
        <f t="shared" si="3"/>
        <v>Currently Unavailable</v>
      </c>
      <c r="I5814" s="1" t="str">
        <f t="shared" si="4"/>
        <v>No Badges</v>
      </c>
      <c r="J5814" s="3">
        <f t="shared" si="5"/>
        <v>0</v>
      </c>
    </row>
    <row r="5815">
      <c r="A5815" s="1" t="s">
        <v>4356</v>
      </c>
      <c r="B5815" s="3" t="str">
        <f t="shared" si="1"/>
        <v>Unavailable</v>
      </c>
      <c r="C5815" s="5">
        <v>4354.0</v>
      </c>
      <c r="D5815" s="3">
        <f>IFERROR(__xludf.DUMMYFUNCTION("IFERROR(
IF(REGEXMATCH(LOWER(O5815),""k""),
VALUE(REGEXEXTRACT(O5815,""[0-9]+""))*1000,
VALUE(REGEXEXTRACT(O5815,""[0-9]+""))
),
0
)"),0.0)</f>
        <v>0</v>
      </c>
      <c r="E5815" s="1" t="s">
        <v>11</v>
      </c>
      <c r="F5815" s="1" t="s">
        <v>20</v>
      </c>
      <c r="G5815" s="4" t="b">
        <f t="shared" si="2"/>
        <v>1</v>
      </c>
      <c r="H5815" s="1" t="str">
        <f t="shared" si="3"/>
        <v>Currently Unavailable</v>
      </c>
      <c r="I5815" s="1" t="str">
        <f t="shared" si="4"/>
        <v>No Badges</v>
      </c>
      <c r="J5815" s="3">
        <f t="shared" si="5"/>
        <v>0</v>
      </c>
    </row>
    <row r="5816">
      <c r="A5816" s="1" t="s">
        <v>4266</v>
      </c>
      <c r="B5816" s="3" t="str">
        <f t="shared" si="1"/>
        <v>Unavailable</v>
      </c>
      <c r="C5816" s="3">
        <v>66.0</v>
      </c>
      <c r="D5816" s="3">
        <f>IFERROR(__xludf.DUMMYFUNCTION("IFERROR(
IF(REGEXMATCH(LOWER(O5816),""k""),
VALUE(REGEXEXTRACT(O5816,""[0-9]+""))*1000,
VALUE(REGEXEXTRACT(O5816,""[0-9]+""))
),
0
)"),0.0)</f>
        <v>0</v>
      </c>
      <c r="E5816" s="1" t="s">
        <v>11</v>
      </c>
      <c r="F5816" s="1" t="s">
        <v>20</v>
      </c>
      <c r="G5816" s="4" t="b">
        <f t="shared" si="2"/>
        <v>1</v>
      </c>
      <c r="H5816" s="1" t="str">
        <f t="shared" si="3"/>
        <v>Currently Unavailable</v>
      </c>
      <c r="I5816" s="1" t="str">
        <f t="shared" si="4"/>
        <v>No Badges</v>
      </c>
      <c r="J5816" s="3">
        <f t="shared" si="5"/>
        <v>0</v>
      </c>
    </row>
    <row r="5817">
      <c r="A5817" s="1" t="s">
        <v>4308</v>
      </c>
      <c r="B5817" s="3" t="str">
        <f t="shared" si="1"/>
        <v>Unavailable</v>
      </c>
      <c r="C5817" s="5">
        <v>1016.0</v>
      </c>
      <c r="D5817" s="3">
        <f>IFERROR(__xludf.DUMMYFUNCTION("IFERROR(
IF(REGEXMATCH(LOWER(O5817),""k""),
VALUE(REGEXEXTRACT(O5817,""[0-9]+""))*1000,
VALUE(REGEXEXTRACT(O5817,""[0-9]+""))
),
0
)"),0.0)</f>
        <v>0</v>
      </c>
      <c r="E5817" s="1" t="s">
        <v>11</v>
      </c>
      <c r="F5817" s="1" t="s">
        <v>20</v>
      </c>
      <c r="G5817" s="4" t="b">
        <f t="shared" si="2"/>
        <v>1</v>
      </c>
      <c r="H5817" s="1" t="str">
        <f t="shared" si="3"/>
        <v>Currently Unavailable</v>
      </c>
      <c r="I5817" s="1" t="str">
        <f t="shared" si="4"/>
        <v>No Badges</v>
      </c>
      <c r="J5817" s="3">
        <f t="shared" si="5"/>
        <v>0</v>
      </c>
    </row>
    <row r="5818">
      <c r="A5818" s="1" t="s">
        <v>4357</v>
      </c>
      <c r="B5818" s="3" t="str">
        <f t="shared" si="1"/>
        <v>Unavailable</v>
      </c>
      <c r="C5818" s="3">
        <v>152.0</v>
      </c>
      <c r="D5818" s="3">
        <f>IFERROR(__xludf.DUMMYFUNCTION("IFERROR(
IF(REGEXMATCH(LOWER(O5818),""k""),
VALUE(REGEXEXTRACT(O5818,""[0-9]+""))*1000,
VALUE(REGEXEXTRACT(O5818,""[0-9]+""))
),
0
)"),0.0)</f>
        <v>0</v>
      </c>
      <c r="E5818" s="1" t="s">
        <v>11</v>
      </c>
      <c r="F5818" s="1" t="s">
        <v>20</v>
      </c>
      <c r="G5818" s="4" t="b">
        <f t="shared" si="2"/>
        <v>1</v>
      </c>
      <c r="H5818" s="1" t="str">
        <f t="shared" si="3"/>
        <v>Currently Unavailable</v>
      </c>
      <c r="I5818" s="1" t="str">
        <f t="shared" si="4"/>
        <v>No Badges</v>
      </c>
      <c r="J5818" s="3">
        <f t="shared" si="5"/>
        <v>0</v>
      </c>
    </row>
    <row r="5819">
      <c r="A5819" s="1" t="s">
        <v>4358</v>
      </c>
      <c r="B5819" s="3" t="str">
        <f t="shared" si="1"/>
        <v>Unavailable</v>
      </c>
      <c r="C5819" s="3">
        <v>109.0</v>
      </c>
      <c r="D5819" s="3">
        <f>IFERROR(__xludf.DUMMYFUNCTION("IFERROR(
IF(REGEXMATCH(LOWER(O5819),""k""),
VALUE(REGEXEXTRACT(O5819,""[0-9]+""))*1000,
VALUE(REGEXEXTRACT(O5819,""[0-9]+""))
),
0
)"),0.0)</f>
        <v>0</v>
      </c>
      <c r="E5819" s="1" t="s">
        <v>11</v>
      </c>
      <c r="F5819" s="1" t="s">
        <v>20</v>
      </c>
      <c r="G5819" s="4" t="b">
        <f t="shared" si="2"/>
        <v>1</v>
      </c>
      <c r="H5819" s="1" t="str">
        <f t="shared" si="3"/>
        <v>Currently Unavailable</v>
      </c>
      <c r="I5819" s="1" t="str">
        <f t="shared" si="4"/>
        <v>No Badges</v>
      </c>
      <c r="J5819" s="3">
        <f t="shared" si="5"/>
        <v>0</v>
      </c>
    </row>
    <row r="5820">
      <c r="A5820" s="1" t="s">
        <v>4359</v>
      </c>
      <c r="B5820" s="3" t="str">
        <f t="shared" si="1"/>
        <v>Unavailable</v>
      </c>
      <c r="C5820" s="3">
        <v>460.0</v>
      </c>
      <c r="D5820" s="3">
        <f>IFERROR(__xludf.DUMMYFUNCTION("IFERROR(
IF(REGEXMATCH(LOWER(O5820),""k""),
VALUE(REGEXEXTRACT(O5820,""[0-9]+""))*1000,
VALUE(REGEXEXTRACT(O5820,""[0-9]+""))
),
0
)"),0.0)</f>
        <v>0</v>
      </c>
      <c r="E5820" s="1" t="s">
        <v>11</v>
      </c>
      <c r="F5820" s="1" t="s">
        <v>20</v>
      </c>
      <c r="G5820" s="4" t="b">
        <f t="shared" si="2"/>
        <v>1</v>
      </c>
      <c r="H5820" s="1" t="str">
        <f t="shared" si="3"/>
        <v>Currently Unavailable</v>
      </c>
      <c r="I5820" s="1" t="str">
        <f t="shared" si="4"/>
        <v>No Badges</v>
      </c>
      <c r="J5820" s="3">
        <f t="shared" si="5"/>
        <v>0</v>
      </c>
    </row>
    <row r="5821">
      <c r="A5821" s="1" t="s">
        <v>4360</v>
      </c>
      <c r="B5821" s="1" t="str">
        <f t="shared" si="1"/>
        <v>Unavailable</v>
      </c>
      <c r="C5821" s="1"/>
      <c r="D5821" s="3">
        <f>IFERROR(__xludf.DUMMYFUNCTION("IFERROR(
IF(REGEXMATCH(LOWER(O5821),""k""),
VALUE(REGEXEXTRACT(O5821,""[0-9]+""))*1000,
VALUE(REGEXEXTRACT(O5821,""[0-9]+""))
),
0
)"),0.0)</f>
        <v>0</v>
      </c>
      <c r="E5821" s="1" t="s">
        <v>11</v>
      </c>
      <c r="F5821" s="1" t="s">
        <v>20</v>
      </c>
      <c r="G5821" s="4" t="b">
        <f t="shared" si="2"/>
        <v>1</v>
      </c>
      <c r="H5821" s="1" t="str">
        <f t="shared" si="3"/>
        <v>Currently Unavailable</v>
      </c>
      <c r="I5821" s="1" t="str">
        <f t="shared" si="4"/>
        <v>No Badges</v>
      </c>
      <c r="J5821" s="6">
        <f t="shared" si="5"/>
        <v>0</v>
      </c>
    </row>
    <row r="5822">
      <c r="A5822" s="1" t="s">
        <v>4361</v>
      </c>
      <c r="B5822" s="3" t="str">
        <f t="shared" si="1"/>
        <v>Unavailable</v>
      </c>
      <c r="C5822" s="3">
        <v>758.0</v>
      </c>
      <c r="D5822" s="3">
        <f>IFERROR(__xludf.DUMMYFUNCTION("IFERROR(
IF(REGEXMATCH(LOWER(O5822),""k""),
VALUE(REGEXEXTRACT(O5822,""[0-9]+""))*1000,
VALUE(REGEXEXTRACT(O5822,""[0-9]+""))
),
0
)"),0.0)</f>
        <v>0</v>
      </c>
      <c r="E5822" s="1" t="s">
        <v>11</v>
      </c>
      <c r="F5822" s="1" t="s">
        <v>20</v>
      </c>
      <c r="G5822" s="4" t="b">
        <f t="shared" si="2"/>
        <v>1</v>
      </c>
      <c r="H5822" s="1" t="str">
        <f t="shared" si="3"/>
        <v>Currently Unavailable</v>
      </c>
      <c r="I5822" s="1" t="str">
        <f t="shared" si="4"/>
        <v>No Badges</v>
      </c>
      <c r="J5822" s="3">
        <f t="shared" si="5"/>
        <v>0</v>
      </c>
    </row>
    <row r="5823">
      <c r="A5823" s="1" t="s">
        <v>4362</v>
      </c>
      <c r="B5823" s="3" t="str">
        <f t="shared" si="1"/>
        <v>Unavailable</v>
      </c>
      <c r="C5823" s="3">
        <v>79.0</v>
      </c>
      <c r="D5823" s="3">
        <f>IFERROR(__xludf.DUMMYFUNCTION("IFERROR(
IF(REGEXMATCH(LOWER(O5823),""k""),
VALUE(REGEXEXTRACT(O5823,""[0-9]+""))*1000,
VALUE(REGEXEXTRACT(O5823,""[0-9]+""))
),
0
)"),0.0)</f>
        <v>0</v>
      </c>
      <c r="E5823" s="1" t="s">
        <v>11</v>
      </c>
      <c r="F5823" s="1" t="s">
        <v>20</v>
      </c>
      <c r="G5823" s="4" t="b">
        <f t="shared" si="2"/>
        <v>1</v>
      </c>
      <c r="H5823" s="1" t="str">
        <f t="shared" si="3"/>
        <v>Currently Unavailable</v>
      </c>
      <c r="I5823" s="1" t="str">
        <f t="shared" si="4"/>
        <v>No Badges</v>
      </c>
      <c r="J5823" s="3">
        <f t="shared" si="5"/>
        <v>0</v>
      </c>
    </row>
    <row r="5824">
      <c r="A5824" s="1" t="s">
        <v>4363</v>
      </c>
      <c r="B5824" s="3" t="str">
        <f t="shared" si="1"/>
        <v>Unavailable</v>
      </c>
      <c r="C5824" s="5">
        <v>1897.0</v>
      </c>
      <c r="D5824" s="3">
        <f>IFERROR(__xludf.DUMMYFUNCTION("IFERROR(
IF(REGEXMATCH(LOWER(O5824),""k""),
VALUE(REGEXEXTRACT(O5824,""[0-9]+""))*1000,
VALUE(REGEXEXTRACT(O5824,""[0-9]+""))
),
0
)"),0.0)</f>
        <v>0</v>
      </c>
      <c r="E5824" s="1" t="s">
        <v>11</v>
      </c>
      <c r="F5824" s="1" t="s">
        <v>20</v>
      </c>
      <c r="G5824" s="4" t="b">
        <f t="shared" si="2"/>
        <v>1</v>
      </c>
      <c r="H5824" s="1" t="str">
        <f t="shared" si="3"/>
        <v>Currently Unavailable</v>
      </c>
      <c r="I5824" s="1" t="str">
        <f t="shared" si="4"/>
        <v>No Badges</v>
      </c>
      <c r="J5824" s="3">
        <f t="shared" si="5"/>
        <v>0</v>
      </c>
    </row>
    <row r="5825">
      <c r="A5825" s="1" t="s">
        <v>4364</v>
      </c>
      <c r="B5825" s="3" t="str">
        <f t="shared" si="1"/>
        <v>Unavailable</v>
      </c>
      <c r="C5825" s="5">
        <v>157355.0</v>
      </c>
      <c r="D5825" s="3">
        <f>IFERROR(__xludf.DUMMYFUNCTION("IFERROR(
IF(REGEXMATCH(LOWER(O5825),""k""),
VALUE(REGEXEXTRACT(O5825,""[0-9]+""))*1000,
VALUE(REGEXEXTRACT(O5825,""[0-9]+""))
),
0
)"),0.0)</f>
        <v>0</v>
      </c>
      <c r="E5825" s="1" t="s">
        <v>11</v>
      </c>
      <c r="F5825" s="1" t="s">
        <v>20</v>
      </c>
      <c r="G5825" s="4" t="b">
        <f t="shared" si="2"/>
        <v>1</v>
      </c>
      <c r="H5825" s="1" t="str">
        <f t="shared" si="3"/>
        <v>Currently Unavailable</v>
      </c>
      <c r="I5825" s="1" t="str">
        <f t="shared" si="4"/>
        <v>No Badges</v>
      </c>
      <c r="J5825" s="3">
        <f t="shared" si="5"/>
        <v>0</v>
      </c>
    </row>
    <row r="5826">
      <c r="A5826" s="1" t="s">
        <v>4365</v>
      </c>
      <c r="B5826" s="3" t="str">
        <f t="shared" si="1"/>
        <v>Unavailable</v>
      </c>
      <c r="C5826" s="3">
        <v>92.0</v>
      </c>
      <c r="D5826" s="3">
        <f>IFERROR(__xludf.DUMMYFUNCTION("IFERROR(
IF(REGEXMATCH(LOWER(O5826),""k""),
VALUE(REGEXEXTRACT(O5826,""[0-9]+""))*1000,
VALUE(REGEXEXTRACT(O5826,""[0-9]+""))
),
0
)"),0.0)</f>
        <v>0</v>
      </c>
      <c r="E5826" s="1" t="s">
        <v>18</v>
      </c>
      <c r="F5826" s="1" t="s">
        <v>20</v>
      </c>
      <c r="G5826" s="4" t="b">
        <f t="shared" si="2"/>
        <v>1</v>
      </c>
      <c r="H5826" s="1" t="str">
        <f t="shared" si="3"/>
        <v>Currently Unavailable</v>
      </c>
      <c r="I5826" s="1" t="str">
        <f t="shared" si="4"/>
        <v>No Badges</v>
      </c>
      <c r="J5826" s="3">
        <f t="shared" si="5"/>
        <v>0</v>
      </c>
    </row>
    <row r="5827">
      <c r="A5827" s="1" t="s">
        <v>4366</v>
      </c>
      <c r="B5827" s="3" t="str">
        <f t="shared" si="1"/>
        <v>Unavailable</v>
      </c>
      <c r="C5827" s="3">
        <v>36.0</v>
      </c>
      <c r="D5827" s="3">
        <f>IFERROR(__xludf.DUMMYFUNCTION("IFERROR(
IF(REGEXMATCH(LOWER(O5827),""k""),
VALUE(REGEXEXTRACT(O5827,""[0-9]+""))*1000,
VALUE(REGEXEXTRACT(O5827,""[0-9]+""))
),
0
)"),0.0)</f>
        <v>0</v>
      </c>
      <c r="E5827" s="1" t="s">
        <v>11</v>
      </c>
      <c r="F5827" s="1" t="s">
        <v>20</v>
      </c>
      <c r="G5827" s="4" t="b">
        <f t="shared" si="2"/>
        <v>1</v>
      </c>
      <c r="H5827" s="1" t="str">
        <f t="shared" si="3"/>
        <v>Currently Unavailable</v>
      </c>
      <c r="I5827" s="1" t="str">
        <f t="shared" si="4"/>
        <v>No Badges</v>
      </c>
      <c r="J5827" s="3">
        <f t="shared" si="5"/>
        <v>0</v>
      </c>
    </row>
    <row r="5828">
      <c r="A5828" s="1" t="s">
        <v>69</v>
      </c>
      <c r="B5828" s="3" t="str">
        <f t="shared" si="1"/>
        <v>Unavailable</v>
      </c>
      <c r="C5828" s="3">
        <v>45.0</v>
      </c>
      <c r="D5828" s="3">
        <f>IFERROR(__xludf.DUMMYFUNCTION("IFERROR(
IF(REGEXMATCH(LOWER(O5828),""k""),
VALUE(REGEXEXTRACT(O5828,""[0-9]+""))*1000,
VALUE(REGEXEXTRACT(O5828,""[0-9]+""))
),
0
)"),0.0)</f>
        <v>0</v>
      </c>
      <c r="E5828" s="1" t="s">
        <v>11</v>
      </c>
      <c r="F5828" s="1" t="s">
        <v>12</v>
      </c>
      <c r="G5828" s="4" t="b">
        <f t="shared" si="2"/>
        <v>1</v>
      </c>
      <c r="H5828" s="1" t="str">
        <f t="shared" si="3"/>
        <v>Currently Unavailable</v>
      </c>
      <c r="I5828" s="1" t="str">
        <f t="shared" si="4"/>
        <v>No Badges</v>
      </c>
      <c r="J5828" s="3">
        <f t="shared" si="5"/>
        <v>0</v>
      </c>
    </row>
    <row r="5829">
      <c r="A5829" s="1" t="s">
        <v>4367</v>
      </c>
      <c r="B5829" s="3" t="str">
        <f t="shared" si="1"/>
        <v>Unavailable</v>
      </c>
      <c r="C5829" s="3">
        <v>960.0</v>
      </c>
      <c r="D5829" s="3">
        <f>IFERROR(__xludf.DUMMYFUNCTION("IFERROR(
IF(REGEXMATCH(LOWER(O5829),""k""),
VALUE(REGEXEXTRACT(O5829,""[0-9]+""))*1000,
VALUE(REGEXEXTRACT(O5829,""[0-9]+""))
),
0
)"),0.0)</f>
        <v>0</v>
      </c>
      <c r="E5829" s="1" t="s">
        <v>11</v>
      </c>
      <c r="F5829" s="1" t="s">
        <v>20</v>
      </c>
      <c r="G5829" s="4" t="b">
        <f t="shared" si="2"/>
        <v>1</v>
      </c>
      <c r="H5829" s="1" t="str">
        <f t="shared" si="3"/>
        <v>Currently Unavailable</v>
      </c>
      <c r="I5829" s="1" t="str">
        <f t="shared" si="4"/>
        <v>No Badges</v>
      </c>
      <c r="J5829" s="3">
        <f t="shared" si="5"/>
        <v>0</v>
      </c>
    </row>
    <row r="5830">
      <c r="A5830" s="1" t="s">
        <v>67</v>
      </c>
      <c r="B5830" s="3" t="str">
        <f t="shared" si="1"/>
        <v>Unavailable</v>
      </c>
      <c r="C5830" s="3">
        <v>264.0</v>
      </c>
      <c r="D5830" s="3">
        <f>IFERROR(__xludf.DUMMYFUNCTION("IFERROR(
IF(REGEXMATCH(LOWER(O5830),""k""),
VALUE(REGEXEXTRACT(O5830,""[0-9]+""))*1000,
VALUE(REGEXEXTRACT(O5830,""[0-9]+""))
),
0
)"),0.0)</f>
        <v>0</v>
      </c>
      <c r="E5830" s="1" t="s">
        <v>11</v>
      </c>
      <c r="F5830" s="1" t="s">
        <v>12</v>
      </c>
      <c r="G5830" s="4" t="b">
        <f t="shared" si="2"/>
        <v>1</v>
      </c>
      <c r="H5830" s="1" t="str">
        <f t="shared" si="3"/>
        <v>Currently Unavailable</v>
      </c>
      <c r="I5830" s="1" t="str">
        <f t="shared" si="4"/>
        <v>No Badges</v>
      </c>
      <c r="J5830" s="3">
        <f t="shared" si="5"/>
        <v>0</v>
      </c>
    </row>
    <row r="5831">
      <c r="A5831" s="1" t="s">
        <v>4368</v>
      </c>
      <c r="B5831" s="3" t="str">
        <f t="shared" si="1"/>
        <v>Unavailable</v>
      </c>
      <c r="C5831" s="3">
        <v>2.0</v>
      </c>
      <c r="D5831" s="3">
        <f>IFERROR(__xludf.DUMMYFUNCTION("IFERROR(
IF(REGEXMATCH(LOWER(O5831),""k""),
VALUE(REGEXEXTRACT(O5831,""[0-9]+""))*1000,
VALUE(REGEXEXTRACT(O5831,""[0-9]+""))
),
0
)"),0.0)</f>
        <v>0</v>
      </c>
      <c r="E5831" s="1" t="s">
        <v>11</v>
      </c>
      <c r="F5831" s="1" t="s">
        <v>20</v>
      </c>
      <c r="G5831" s="4" t="b">
        <f t="shared" si="2"/>
        <v>1</v>
      </c>
      <c r="H5831" s="1" t="str">
        <f t="shared" si="3"/>
        <v>Currently Unavailable</v>
      </c>
      <c r="I5831" s="1" t="str">
        <f t="shared" si="4"/>
        <v>No Badges</v>
      </c>
      <c r="J5831" s="3">
        <f t="shared" si="5"/>
        <v>0</v>
      </c>
    </row>
    <row r="5832">
      <c r="A5832" s="1" t="s">
        <v>4369</v>
      </c>
      <c r="B5832" s="3" t="str">
        <f t="shared" si="1"/>
        <v>Unavailable</v>
      </c>
      <c r="C5832" s="5">
        <v>1506.0</v>
      </c>
      <c r="D5832" s="3">
        <f>IFERROR(__xludf.DUMMYFUNCTION("IFERROR(
IF(REGEXMATCH(LOWER(O5832),""k""),
VALUE(REGEXEXTRACT(O5832,""[0-9]+""))*1000,
VALUE(REGEXEXTRACT(O5832,""[0-9]+""))
),
0
)"),0.0)</f>
        <v>0</v>
      </c>
      <c r="E5832" s="1" t="s">
        <v>11</v>
      </c>
      <c r="F5832" s="1" t="s">
        <v>20</v>
      </c>
      <c r="G5832" s="4" t="b">
        <f t="shared" si="2"/>
        <v>1</v>
      </c>
      <c r="H5832" s="1" t="str">
        <f t="shared" si="3"/>
        <v>Currently Unavailable</v>
      </c>
      <c r="I5832" s="1" t="str">
        <f t="shared" si="4"/>
        <v>No Badges</v>
      </c>
      <c r="J5832" s="3">
        <f t="shared" si="5"/>
        <v>0</v>
      </c>
    </row>
    <row r="5833">
      <c r="A5833" s="1" t="s">
        <v>4370</v>
      </c>
      <c r="B5833" s="3" t="str">
        <f t="shared" si="1"/>
        <v>Unavailable</v>
      </c>
      <c r="C5833" s="3">
        <v>226.0</v>
      </c>
      <c r="D5833" s="3">
        <f>IFERROR(__xludf.DUMMYFUNCTION("IFERROR(
IF(REGEXMATCH(LOWER(O5833),""k""),
VALUE(REGEXEXTRACT(O5833,""[0-9]+""))*1000,
VALUE(REGEXEXTRACT(O5833,""[0-9]+""))
),
0
)"),0.0)</f>
        <v>0</v>
      </c>
      <c r="E5833" s="1" t="s">
        <v>11</v>
      </c>
      <c r="F5833" s="1" t="s">
        <v>20</v>
      </c>
      <c r="G5833" s="4" t="b">
        <f t="shared" si="2"/>
        <v>1</v>
      </c>
      <c r="H5833" s="1" t="str">
        <f t="shared" si="3"/>
        <v>Currently Unavailable</v>
      </c>
      <c r="I5833" s="1" t="str">
        <f t="shared" si="4"/>
        <v>No Badges</v>
      </c>
      <c r="J5833" s="3">
        <f t="shared" si="5"/>
        <v>0</v>
      </c>
    </row>
    <row r="5834">
      <c r="A5834" s="1" t="s">
        <v>4371</v>
      </c>
      <c r="B5834" s="3" t="str">
        <f t="shared" si="1"/>
        <v>Unavailable</v>
      </c>
      <c r="C5834" s="3">
        <v>122.0</v>
      </c>
      <c r="D5834" s="3">
        <f>IFERROR(__xludf.DUMMYFUNCTION("IFERROR(
IF(REGEXMATCH(LOWER(O5834),""k""),
VALUE(REGEXEXTRACT(O5834,""[0-9]+""))*1000,
VALUE(REGEXEXTRACT(O5834,""[0-9]+""))
),
0
)"),0.0)</f>
        <v>0</v>
      </c>
      <c r="E5834" s="1" t="s">
        <v>11</v>
      </c>
      <c r="F5834" s="1" t="s">
        <v>20</v>
      </c>
      <c r="G5834" s="4" t="b">
        <f t="shared" si="2"/>
        <v>1</v>
      </c>
      <c r="H5834" s="1" t="str">
        <f t="shared" si="3"/>
        <v>Currently Unavailable</v>
      </c>
      <c r="I5834" s="1" t="str">
        <f t="shared" si="4"/>
        <v>No Badges</v>
      </c>
      <c r="J5834" s="3">
        <f t="shared" si="5"/>
        <v>0</v>
      </c>
    </row>
    <row r="5835">
      <c r="A5835" s="1" t="s">
        <v>4281</v>
      </c>
      <c r="B5835" s="3" t="str">
        <f t="shared" si="1"/>
        <v>Unavailable</v>
      </c>
      <c r="C5835" s="3">
        <v>60.0</v>
      </c>
      <c r="D5835" s="3">
        <f>IFERROR(__xludf.DUMMYFUNCTION("IFERROR(
IF(REGEXMATCH(LOWER(O5835),""k""),
VALUE(REGEXEXTRACT(O5835,""[0-9]+""))*1000,
VALUE(REGEXEXTRACT(O5835,""[0-9]+""))
),
0
)"),0.0)</f>
        <v>0</v>
      </c>
      <c r="E5835" s="1" t="s">
        <v>11</v>
      </c>
      <c r="F5835" s="1" t="s">
        <v>20</v>
      </c>
      <c r="G5835" s="4" t="b">
        <f t="shared" si="2"/>
        <v>1</v>
      </c>
      <c r="H5835" s="1" t="str">
        <f t="shared" si="3"/>
        <v>Currently Unavailable</v>
      </c>
      <c r="I5835" s="1" t="str">
        <f t="shared" si="4"/>
        <v>No Badges</v>
      </c>
      <c r="J5835" s="3">
        <f t="shared" si="5"/>
        <v>0</v>
      </c>
    </row>
    <row r="5836">
      <c r="A5836" s="1" t="s">
        <v>4372</v>
      </c>
      <c r="B5836" s="3" t="str">
        <f t="shared" si="1"/>
        <v>Unavailable</v>
      </c>
      <c r="C5836" s="5">
        <v>8306.0</v>
      </c>
      <c r="D5836" s="3">
        <f>IFERROR(__xludf.DUMMYFUNCTION("IFERROR(
IF(REGEXMATCH(LOWER(O5836),""k""),
VALUE(REGEXEXTRACT(O5836,""[0-9]+""))*1000,
VALUE(REGEXEXTRACT(O5836,""[0-9]+""))
),
0
)"),0.0)</f>
        <v>0</v>
      </c>
      <c r="E5836" s="1" t="s">
        <v>11</v>
      </c>
      <c r="F5836" s="1" t="s">
        <v>20</v>
      </c>
      <c r="G5836" s="4" t="b">
        <f t="shared" si="2"/>
        <v>1</v>
      </c>
      <c r="H5836" s="1" t="str">
        <f t="shared" si="3"/>
        <v>Currently Unavailable</v>
      </c>
      <c r="I5836" s="1" t="str">
        <f t="shared" si="4"/>
        <v>No Badges</v>
      </c>
      <c r="J5836" s="3">
        <f t="shared" si="5"/>
        <v>0</v>
      </c>
    </row>
    <row r="5837">
      <c r="A5837" s="1" t="s">
        <v>4325</v>
      </c>
      <c r="B5837" s="3" t="str">
        <f t="shared" si="1"/>
        <v>Unavailable</v>
      </c>
      <c r="C5837" s="3">
        <v>57.0</v>
      </c>
      <c r="D5837" s="3">
        <f>IFERROR(__xludf.DUMMYFUNCTION("IFERROR(
IF(REGEXMATCH(LOWER(O5837),""k""),
VALUE(REGEXEXTRACT(O5837,""[0-9]+""))*1000,
VALUE(REGEXEXTRACT(O5837,""[0-9]+""))
),
0
)"),0.0)</f>
        <v>0</v>
      </c>
      <c r="E5837" s="1" t="s">
        <v>18</v>
      </c>
      <c r="F5837" s="1" t="s">
        <v>20</v>
      </c>
      <c r="G5837" s="4" t="b">
        <f t="shared" si="2"/>
        <v>1</v>
      </c>
      <c r="H5837" s="1" t="str">
        <f t="shared" si="3"/>
        <v>Currently Unavailable</v>
      </c>
      <c r="I5837" s="1" t="str">
        <f t="shared" si="4"/>
        <v>No Badges</v>
      </c>
      <c r="J5837" s="3">
        <f t="shared" si="5"/>
        <v>0</v>
      </c>
    </row>
    <row r="5838">
      <c r="A5838" s="1" t="s">
        <v>4373</v>
      </c>
      <c r="B5838" s="3" t="str">
        <f t="shared" si="1"/>
        <v>Unavailable</v>
      </c>
      <c r="C5838" s="3">
        <v>644.0</v>
      </c>
      <c r="D5838" s="3">
        <f>IFERROR(__xludf.DUMMYFUNCTION("IFERROR(
IF(REGEXMATCH(LOWER(O5838),""k""),
VALUE(REGEXEXTRACT(O5838,""[0-9]+""))*1000,
VALUE(REGEXEXTRACT(O5838,""[0-9]+""))
),
0
)"),0.0)</f>
        <v>0</v>
      </c>
      <c r="E5838" s="1" t="s">
        <v>11</v>
      </c>
      <c r="F5838" s="1" t="s">
        <v>20</v>
      </c>
      <c r="G5838" s="4" t="b">
        <f t="shared" si="2"/>
        <v>1</v>
      </c>
      <c r="H5838" s="1" t="str">
        <f t="shared" si="3"/>
        <v>Currently Unavailable</v>
      </c>
      <c r="I5838" s="1" t="str">
        <f t="shared" si="4"/>
        <v>No Badges</v>
      </c>
      <c r="J5838" s="3">
        <f t="shared" si="5"/>
        <v>0</v>
      </c>
    </row>
    <row r="5839">
      <c r="A5839" s="1" t="s">
        <v>4374</v>
      </c>
      <c r="B5839" s="3" t="str">
        <f t="shared" si="1"/>
        <v>Unavailable</v>
      </c>
      <c r="C5839" s="3">
        <v>46.0</v>
      </c>
      <c r="D5839" s="3">
        <f>IFERROR(__xludf.DUMMYFUNCTION("IFERROR(
IF(REGEXMATCH(LOWER(O5839),""k""),
VALUE(REGEXEXTRACT(O5839,""[0-9]+""))*1000,
VALUE(REGEXEXTRACT(O5839,""[0-9]+""))
),
0
)"),0.0)</f>
        <v>0</v>
      </c>
      <c r="E5839" s="1" t="s">
        <v>11</v>
      </c>
      <c r="F5839" s="1" t="s">
        <v>20</v>
      </c>
      <c r="G5839" s="4" t="b">
        <f t="shared" si="2"/>
        <v>1</v>
      </c>
      <c r="H5839" s="1" t="str">
        <f t="shared" si="3"/>
        <v>Currently Unavailable</v>
      </c>
      <c r="I5839" s="1" t="str">
        <f t="shared" si="4"/>
        <v>No Badges</v>
      </c>
      <c r="J5839" s="3">
        <f t="shared" si="5"/>
        <v>0</v>
      </c>
    </row>
    <row r="5840">
      <c r="A5840" s="1" t="s">
        <v>4375</v>
      </c>
      <c r="B5840" s="3" t="str">
        <f t="shared" si="1"/>
        <v>Unavailable</v>
      </c>
      <c r="C5840" s="5">
        <v>2678.0</v>
      </c>
      <c r="D5840" s="3">
        <f>IFERROR(__xludf.DUMMYFUNCTION("IFERROR(
IF(REGEXMATCH(LOWER(O5840),""k""),
VALUE(REGEXEXTRACT(O5840,""[0-9]+""))*1000,
VALUE(REGEXEXTRACT(O5840,""[0-9]+""))
),
0
)"),0.0)</f>
        <v>0</v>
      </c>
      <c r="E5840" s="1" t="s">
        <v>11</v>
      </c>
      <c r="F5840" s="1" t="s">
        <v>20</v>
      </c>
      <c r="G5840" s="4" t="b">
        <f t="shared" si="2"/>
        <v>1</v>
      </c>
      <c r="H5840" s="1" t="str">
        <f t="shared" si="3"/>
        <v>Currently Unavailable</v>
      </c>
      <c r="I5840" s="1" t="str">
        <f t="shared" si="4"/>
        <v>No Badges</v>
      </c>
      <c r="J5840" s="3">
        <f t="shared" si="5"/>
        <v>0</v>
      </c>
    </row>
    <row r="5841">
      <c r="A5841" s="1" t="s">
        <v>4376</v>
      </c>
      <c r="B5841" s="3" t="str">
        <f t="shared" si="1"/>
        <v>Unavailable</v>
      </c>
      <c r="C5841" s="5">
        <v>3327.0</v>
      </c>
      <c r="D5841" s="3">
        <f>IFERROR(__xludf.DUMMYFUNCTION("IFERROR(
IF(REGEXMATCH(LOWER(O5841),""k""),
VALUE(REGEXEXTRACT(O5841,""[0-9]+""))*1000,
VALUE(REGEXEXTRACT(O5841,""[0-9]+""))
),
0
)"),0.0)</f>
        <v>0</v>
      </c>
      <c r="E5841" s="1" t="s">
        <v>11</v>
      </c>
      <c r="F5841" s="1" t="s">
        <v>20</v>
      </c>
      <c r="G5841" s="4" t="b">
        <f t="shared" si="2"/>
        <v>1</v>
      </c>
      <c r="H5841" s="1" t="str">
        <f t="shared" si="3"/>
        <v>Currently Unavailable</v>
      </c>
      <c r="I5841" s="1" t="str">
        <f t="shared" si="4"/>
        <v>No Badges</v>
      </c>
      <c r="J5841" s="3">
        <f t="shared" si="5"/>
        <v>0</v>
      </c>
    </row>
    <row r="5842">
      <c r="A5842" s="1" t="s">
        <v>4377</v>
      </c>
      <c r="B5842" s="3" t="str">
        <f t="shared" si="1"/>
        <v>Unavailable</v>
      </c>
      <c r="C5842" s="5">
        <v>1373.0</v>
      </c>
      <c r="D5842" s="3">
        <f>IFERROR(__xludf.DUMMYFUNCTION("IFERROR(
IF(REGEXMATCH(LOWER(O5842),""k""),
VALUE(REGEXEXTRACT(O5842,""[0-9]+""))*1000,
VALUE(REGEXEXTRACT(O5842,""[0-9]+""))
),
0
)"),0.0)</f>
        <v>0</v>
      </c>
      <c r="E5842" s="1" t="s">
        <v>11</v>
      </c>
      <c r="F5842" s="1" t="s">
        <v>20</v>
      </c>
      <c r="G5842" s="4" t="b">
        <f t="shared" si="2"/>
        <v>1</v>
      </c>
      <c r="H5842" s="1" t="str">
        <f t="shared" si="3"/>
        <v>Currently Unavailable</v>
      </c>
      <c r="I5842" s="1" t="str">
        <f t="shared" si="4"/>
        <v>No Badges</v>
      </c>
      <c r="J5842" s="3">
        <f t="shared" si="5"/>
        <v>0</v>
      </c>
    </row>
    <row r="5843">
      <c r="A5843" s="1" t="s">
        <v>701</v>
      </c>
      <c r="B5843" s="3" t="str">
        <f t="shared" si="1"/>
        <v>Unavailable</v>
      </c>
      <c r="C5843" s="3">
        <v>8.0</v>
      </c>
      <c r="D5843" s="3">
        <f>IFERROR(__xludf.DUMMYFUNCTION("IFERROR(
IF(REGEXMATCH(LOWER(O5843),""k""),
VALUE(REGEXEXTRACT(O5843,""[0-9]+""))*1000,
VALUE(REGEXEXTRACT(O5843,""[0-9]+""))
),
0
)"),0.0)</f>
        <v>0</v>
      </c>
      <c r="E5843" s="1" t="s">
        <v>11</v>
      </c>
      <c r="F5843" s="1" t="s">
        <v>12</v>
      </c>
      <c r="G5843" s="4" t="b">
        <f t="shared" si="2"/>
        <v>1</v>
      </c>
      <c r="H5843" s="1" t="str">
        <f t="shared" si="3"/>
        <v>Currently Unavailable</v>
      </c>
      <c r="I5843" s="1" t="str">
        <f t="shared" si="4"/>
        <v>No Badges</v>
      </c>
      <c r="J5843" s="3">
        <f t="shared" si="5"/>
        <v>0</v>
      </c>
    </row>
    <row r="5844">
      <c r="A5844" s="1" t="s">
        <v>88</v>
      </c>
      <c r="B5844" s="3" t="str">
        <f t="shared" si="1"/>
        <v>Unavailable</v>
      </c>
      <c r="C5844" s="3">
        <v>5.0</v>
      </c>
      <c r="D5844" s="3">
        <f>IFERROR(__xludf.DUMMYFUNCTION("IFERROR(
IF(REGEXMATCH(LOWER(O5844),""k""),
VALUE(REGEXEXTRACT(O5844,""[0-9]+""))*1000,
VALUE(REGEXEXTRACT(O5844,""[0-9]+""))
),
0
)"),0.0)</f>
        <v>0</v>
      </c>
      <c r="E5844" s="1" t="s">
        <v>11</v>
      </c>
      <c r="F5844" s="1" t="s">
        <v>12</v>
      </c>
      <c r="G5844" s="4" t="b">
        <f t="shared" si="2"/>
        <v>1</v>
      </c>
      <c r="H5844" s="1" t="str">
        <f t="shared" si="3"/>
        <v>Currently Unavailable</v>
      </c>
      <c r="I5844" s="1" t="str">
        <f t="shared" si="4"/>
        <v>No Badges</v>
      </c>
      <c r="J5844" s="3">
        <f t="shared" si="5"/>
        <v>0</v>
      </c>
    </row>
    <row r="5845">
      <c r="A5845" s="1" t="s">
        <v>40</v>
      </c>
      <c r="B5845" s="3" t="str">
        <f t="shared" si="1"/>
        <v>Unavailable</v>
      </c>
      <c r="C5845" s="3">
        <v>171.0</v>
      </c>
      <c r="D5845" s="3">
        <f>IFERROR(__xludf.DUMMYFUNCTION("IFERROR(
IF(REGEXMATCH(LOWER(O5845),""k""),
VALUE(REGEXEXTRACT(O5845,""[0-9]+""))*1000,
VALUE(REGEXEXTRACT(O5845,""[0-9]+""))
),
0
)"),0.0)</f>
        <v>0</v>
      </c>
      <c r="E5845" s="1" t="s">
        <v>11</v>
      </c>
      <c r="F5845" s="1" t="s">
        <v>12</v>
      </c>
      <c r="G5845" s="4" t="b">
        <f t="shared" si="2"/>
        <v>1</v>
      </c>
      <c r="H5845" s="1" t="str">
        <f t="shared" si="3"/>
        <v>Currently Unavailable</v>
      </c>
      <c r="I5845" s="1" t="str">
        <f t="shared" si="4"/>
        <v>No Badges</v>
      </c>
      <c r="J5845" s="3">
        <f t="shared" si="5"/>
        <v>0</v>
      </c>
    </row>
    <row r="5846">
      <c r="A5846" s="1" t="s">
        <v>4378</v>
      </c>
      <c r="B5846" s="3" t="str">
        <f t="shared" si="1"/>
        <v>Unavailable</v>
      </c>
      <c r="C5846" s="3">
        <v>679.0</v>
      </c>
      <c r="D5846" s="3">
        <f>IFERROR(__xludf.DUMMYFUNCTION("IFERROR(
IF(REGEXMATCH(LOWER(O5846),""k""),
VALUE(REGEXEXTRACT(O5846,""[0-9]+""))*1000,
VALUE(REGEXEXTRACT(O5846,""[0-9]+""))
),
0
)"),0.0)</f>
        <v>0</v>
      </c>
      <c r="E5846" s="1" t="s">
        <v>11</v>
      </c>
      <c r="F5846" s="1" t="s">
        <v>20</v>
      </c>
      <c r="G5846" s="4" t="b">
        <f t="shared" si="2"/>
        <v>1</v>
      </c>
      <c r="H5846" s="1" t="str">
        <f t="shared" si="3"/>
        <v>Currently Unavailable</v>
      </c>
      <c r="I5846" s="1" t="str">
        <f t="shared" si="4"/>
        <v>No Badges</v>
      </c>
      <c r="J5846" s="3">
        <f t="shared" si="5"/>
        <v>0</v>
      </c>
    </row>
    <row r="5847">
      <c r="A5847" s="1" t="s">
        <v>4379</v>
      </c>
      <c r="B5847" s="3" t="str">
        <f t="shared" si="1"/>
        <v>Unavailable</v>
      </c>
      <c r="C5847" s="3">
        <v>162.0</v>
      </c>
      <c r="D5847" s="3">
        <f>IFERROR(__xludf.DUMMYFUNCTION("IFERROR(
IF(REGEXMATCH(LOWER(O5847),""k""),
VALUE(REGEXEXTRACT(O5847,""[0-9]+""))*1000,
VALUE(REGEXEXTRACT(O5847,""[0-9]+""))
),
0
)"),0.0)</f>
        <v>0</v>
      </c>
      <c r="E5847" s="1" t="s">
        <v>11</v>
      </c>
      <c r="F5847" s="1" t="s">
        <v>20</v>
      </c>
      <c r="G5847" s="4" t="b">
        <f t="shared" si="2"/>
        <v>1</v>
      </c>
      <c r="H5847" s="1" t="str">
        <f t="shared" si="3"/>
        <v>Currently Unavailable</v>
      </c>
      <c r="I5847" s="1" t="str">
        <f t="shared" si="4"/>
        <v>No Badges</v>
      </c>
      <c r="J5847" s="3">
        <f t="shared" si="5"/>
        <v>0</v>
      </c>
    </row>
    <row r="5848">
      <c r="A5848" s="1" t="s">
        <v>69</v>
      </c>
      <c r="B5848" s="3" t="str">
        <f t="shared" si="1"/>
        <v>Unavailable</v>
      </c>
      <c r="C5848" s="3">
        <v>45.0</v>
      </c>
      <c r="D5848" s="3">
        <f>IFERROR(__xludf.DUMMYFUNCTION("IFERROR(
IF(REGEXMATCH(LOWER(O5848),""k""),
VALUE(REGEXEXTRACT(O5848,""[0-9]+""))*1000,
VALUE(REGEXEXTRACT(O5848,""[0-9]+""))
),
0
)"),0.0)</f>
        <v>0</v>
      </c>
      <c r="E5848" s="1" t="s">
        <v>11</v>
      </c>
      <c r="F5848" s="1" t="s">
        <v>12</v>
      </c>
      <c r="G5848" s="4" t="b">
        <f t="shared" si="2"/>
        <v>1</v>
      </c>
      <c r="H5848" s="1" t="str">
        <f t="shared" si="3"/>
        <v>Currently Unavailable</v>
      </c>
      <c r="I5848" s="1" t="str">
        <f t="shared" si="4"/>
        <v>No Badges</v>
      </c>
      <c r="J5848" s="3">
        <f t="shared" si="5"/>
        <v>0</v>
      </c>
    </row>
    <row r="5849">
      <c r="A5849" s="1" t="s">
        <v>4380</v>
      </c>
      <c r="B5849" s="3" t="str">
        <f t="shared" si="1"/>
        <v>Unavailable</v>
      </c>
      <c r="C5849" s="5">
        <v>7144.0</v>
      </c>
      <c r="D5849" s="3">
        <f>IFERROR(__xludf.DUMMYFUNCTION("IFERROR(
IF(REGEXMATCH(LOWER(O5849),""k""),
VALUE(REGEXEXTRACT(O5849,""[0-9]+""))*1000,
VALUE(REGEXEXTRACT(O5849,""[0-9]+""))
),
0
)"),0.0)</f>
        <v>0</v>
      </c>
      <c r="E5849" s="1" t="s">
        <v>11</v>
      </c>
      <c r="F5849" s="1" t="s">
        <v>20</v>
      </c>
      <c r="G5849" s="4" t="b">
        <f t="shared" si="2"/>
        <v>1</v>
      </c>
      <c r="H5849" s="1" t="str">
        <f t="shared" si="3"/>
        <v>Currently Unavailable</v>
      </c>
      <c r="I5849" s="1" t="str">
        <f t="shared" si="4"/>
        <v>No Badges</v>
      </c>
      <c r="J5849" s="3">
        <f t="shared" si="5"/>
        <v>0</v>
      </c>
    </row>
    <row r="5850">
      <c r="A5850" s="1" t="s">
        <v>4381</v>
      </c>
      <c r="B5850" s="3" t="str">
        <f t="shared" si="1"/>
        <v>Unavailable</v>
      </c>
      <c r="C5850" s="5">
        <v>2880.0</v>
      </c>
      <c r="D5850" s="3">
        <f>IFERROR(__xludf.DUMMYFUNCTION("IFERROR(
IF(REGEXMATCH(LOWER(O5850),""k""),
VALUE(REGEXEXTRACT(O5850,""[0-9]+""))*1000,
VALUE(REGEXEXTRACT(O5850,""[0-9]+""))
),
0
)"),0.0)</f>
        <v>0</v>
      </c>
      <c r="E5850" s="1" t="s">
        <v>11</v>
      </c>
      <c r="F5850" s="1" t="s">
        <v>20</v>
      </c>
      <c r="G5850" s="4" t="b">
        <f t="shared" si="2"/>
        <v>1</v>
      </c>
      <c r="H5850" s="1" t="str">
        <f t="shared" si="3"/>
        <v>Currently Unavailable</v>
      </c>
      <c r="I5850" s="1" t="str">
        <f t="shared" si="4"/>
        <v>No Badges</v>
      </c>
      <c r="J5850" s="3">
        <f t="shared" si="5"/>
        <v>0</v>
      </c>
    </row>
    <row r="5851">
      <c r="A5851" s="1" t="s">
        <v>4382</v>
      </c>
      <c r="B5851" s="3" t="str">
        <f t="shared" si="1"/>
        <v>Unavailable</v>
      </c>
      <c r="C5851" s="5">
        <v>8875.0</v>
      </c>
      <c r="D5851" s="3">
        <f>IFERROR(__xludf.DUMMYFUNCTION("IFERROR(
IF(REGEXMATCH(LOWER(O5851),""k""),
VALUE(REGEXEXTRACT(O5851,""[0-9]+""))*1000,
VALUE(REGEXEXTRACT(O5851,""[0-9]+""))
),
0
)"),0.0)</f>
        <v>0</v>
      </c>
      <c r="E5851" s="1" t="s">
        <v>11</v>
      </c>
      <c r="F5851" s="1" t="s">
        <v>20</v>
      </c>
      <c r="G5851" s="4" t="b">
        <f t="shared" si="2"/>
        <v>1</v>
      </c>
      <c r="H5851" s="1" t="str">
        <f t="shared" si="3"/>
        <v>Currently Unavailable</v>
      </c>
      <c r="I5851" s="1" t="str">
        <f t="shared" si="4"/>
        <v>No Badges</v>
      </c>
      <c r="J5851" s="3">
        <f t="shared" si="5"/>
        <v>0</v>
      </c>
    </row>
    <row r="5852">
      <c r="A5852" s="1" t="s">
        <v>4383</v>
      </c>
      <c r="B5852" s="3" t="str">
        <f t="shared" si="1"/>
        <v>Unavailable</v>
      </c>
      <c r="C5852" s="5">
        <v>1822.0</v>
      </c>
      <c r="D5852" s="3">
        <f>IFERROR(__xludf.DUMMYFUNCTION("IFERROR(
IF(REGEXMATCH(LOWER(O5852),""k""),
VALUE(REGEXEXTRACT(O5852,""[0-9]+""))*1000,
VALUE(REGEXEXTRACT(O5852,""[0-9]+""))
),
0
)"),0.0)</f>
        <v>0</v>
      </c>
      <c r="E5852" s="1" t="s">
        <v>11</v>
      </c>
      <c r="F5852" s="1" t="s">
        <v>20</v>
      </c>
      <c r="G5852" s="4" t="b">
        <f t="shared" si="2"/>
        <v>1</v>
      </c>
      <c r="H5852" s="1" t="str">
        <f t="shared" si="3"/>
        <v>Currently Unavailable</v>
      </c>
      <c r="I5852" s="1" t="str">
        <f t="shared" si="4"/>
        <v>No Badges</v>
      </c>
      <c r="J5852" s="3">
        <f t="shared" si="5"/>
        <v>0</v>
      </c>
    </row>
    <row r="5853">
      <c r="A5853" s="1" t="s">
        <v>4384</v>
      </c>
      <c r="B5853" s="3" t="str">
        <f t="shared" si="1"/>
        <v>Unavailable</v>
      </c>
      <c r="C5853" s="3">
        <v>544.0</v>
      </c>
      <c r="D5853" s="3">
        <f>IFERROR(__xludf.DUMMYFUNCTION("IFERROR(
IF(REGEXMATCH(LOWER(O5853),""k""),
VALUE(REGEXEXTRACT(O5853,""[0-9]+""))*1000,
VALUE(REGEXEXTRACT(O5853,""[0-9]+""))
),
0
)"),0.0)</f>
        <v>0</v>
      </c>
      <c r="E5853" s="1" t="s">
        <v>11</v>
      </c>
      <c r="F5853" s="1" t="s">
        <v>20</v>
      </c>
      <c r="G5853" s="4" t="b">
        <f t="shared" si="2"/>
        <v>1</v>
      </c>
      <c r="H5853" s="1" t="str">
        <f t="shared" si="3"/>
        <v>Currently Unavailable</v>
      </c>
      <c r="I5853" s="1" t="str">
        <f t="shared" si="4"/>
        <v>No Badges</v>
      </c>
      <c r="J5853" s="3">
        <f t="shared" si="5"/>
        <v>0</v>
      </c>
    </row>
    <row r="5854">
      <c r="A5854" s="1" t="s">
        <v>4385</v>
      </c>
      <c r="B5854" s="3" t="str">
        <f t="shared" si="1"/>
        <v>Unavailable</v>
      </c>
      <c r="C5854" s="3">
        <v>623.0</v>
      </c>
      <c r="D5854" s="3">
        <f>IFERROR(__xludf.DUMMYFUNCTION("IFERROR(
IF(REGEXMATCH(LOWER(O5854),""k""),
VALUE(REGEXEXTRACT(O5854,""[0-9]+""))*1000,
VALUE(REGEXEXTRACT(O5854,""[0-9]+""))
),
0
)"),0.0)</f>
        <v>0</v>
      </c>
      <c r="E5854" s="1" t="s">
        <v>11</v>
      </c>
      <c r="F5854" s="1" t="s">
        <v>20</v>
      </c>
      <c r="G5854" s="4" t="b">
        <f t="shared" si="2"/>
        <v>1</v>
      </c>
      <c r="H5854" s="1" t="str">
        <f t="shared" si="3"/>
        <v>Currently Unavailable</v>
      </c>
      <c r="I5854" s="1" t="str">
        <f t="shared" si="4"/>
        <v>No Badges</v>
      </c>
      <c r="J5854" s="3">
        <f t="shared" si="5"/>
        <v>0</v>
      </c>
    </row>
    <row r="5855">
      <c r="A5855" s="1" t="s">
        <v>4386</v>
      </c>
      <c r="B5855" s="3" t="str">
        <f t="shared" si="1"/>
        <v>Unavailable</v>
      </c>
      <c r="C5855" s="3">
        <v>49.0</v>
      </c>
      <c r="D5855" s="3">
        <f>IFERROR(__xludf.DUMMYFUNCTION("IFERROR(
IF(REGEXMATCH(LOWER(O5855),""k""),
VALUE(REGEXEXTRACT(O5855,""[0-9]+""))*1000,
VALUE(REGEXEXTRACT(O5855,""[0-9]+""))
),
0
)"),0.0)</f>
        <v>0</v>
      </c>
      <c r="E5855" s="1" t="s">
        <v>11</v>
      </c>
      <c r="F5855" s="1" t="s">
        <v>20</v>
      </c>
      <c r="G5855" s="4" t="b">
        <f t="shared" si="2"/>
        <v>1</v>
      </c>
      <c r="H5855" s="1" t="str">
        <f t="shared" si="3"/>
        <v>Currently Unavailable</v>
      </c>
      <c r="I5855" s="1" t="str">
        <f t="shared" si="4"/>
        <v>No Badges</v>
      </c>
      <c r="J5855" s="3">
        <f t="shared" si="5"/>
        <v>0</v>
      </c>
    </row>
    <row r="5856">
      <c r="A5856" s="1" t="s">
        <v>4335</v>
      </c>
      <c r="B5856" s="3" t="str">
        <f t="shared" si="1"/>
        <v>Unavailable</v>
      </c>
      <c r="C5856" s="5">
        <v>29426.0</v>
      </c>
      <c r="D5856" s="3">
        <f>IFERROR(__xludf.DUMMYFUNCTION("IFERROR(
IF(REGEXMATCH(LOWER(O5856),""k""),
VALUE(REGEXEXTRACT(O5856,""[0-9]+""))*1000,
VALUE(REGEXEXTRACT(O5856,""[0-9]+""))
),
0
)"),0.0)</f>
        <v>0</v>
      </c>
      <c r="E5856" s="1" t="s">
        <v>11</v>
      </c>
      <c r="F5856" s="1" t="s">
        <v>20</v>
      </c>
      <c r="G5856" s="4" t="b">
        <f t="shared" si="2"/>
        <v>1</v>
      </c>
      <c r="H5856" s="1" t="str">
        <f t="shared" si="3"/>
        <v>Currently Unavailable</v>
      </c>
      <c r="I5856" s="1" t="str">
        <f t="shared" si="4"/>
        <v>No Badges</v>
      </c>
      <c r="J5856" s="3">
        <f t="shared" si="5"/>
        <v>0</v>
      </c>
    </row>
    <row r="5857">
      <c r="A5857" s="1" t="s">
        <v>4336</v>
      </c>
      <c r="B5857" s="3" t="str">
        <f t="shared" si="1"/>
        <v>Unavailable</v>
      </c>
      <c r="C5857" s="5">
        <v>6799.0</v>
      </c>
      <c r="D5857" s="3">
        <f>IFERROR(__xludf.DUMMYFUNCTION("IFERROR(
IF(REGEXMATCH(LOWER(O5857),""k""),
VALUE(REGEXEXTRACT(O5857,""[0-9]+""))*1000,
VALUE(REGEXEXTRACT(O5857,""[0-9]+""))
),
0
)"),0.0)</f>
        <v>0</v>
      </c>
      <c r="E5857" s="1" t="s">
        <v>11</v>
      </c>
      <c r="F5857" s="1" t="s">
        <v>20</v>
      </c>
      <c r="G5857" s="4" t="b">
        <f t="shared" si="2"/>
        <v>1</v>
      </c>
      <c r="H5857" s="1" t="str">
        <f t="shared" si="3"/>
        <v>Currently Unavailable</v>
      </c>
      <c r="I5857" s="1" t="str">
        <f t="shared" si="4"/>
        <v>No Badges</v>
      </c>
      <c r="J5857" s="3">
        <f t="shared" si="5"/>
        <v>0</v>
      </c>
    </row>
    <row r="5858">
      <c r="A5858" s="1" t="s">
        <v>4387</v>
      </c>
      <c r="B5858" s="3" t="str">
        <f t="shared" si="1"/>
        <v>Unavailable</v>
      </c>
      <c r="C5858" s="5">
        <v>3309.0</v>
      </c>
      <c r="D5858" s="3">
        <f>IFERROR(__xludf.DUMMYFUNCTION("IFERROR(
IF(REGEXMATCH(LOWER(O5858),""k""),
VALUE(REGEXEXTRACT(O5858,""[0-9]+""))*1000,
VALUE(REGEXEXTRACT(O5858,""[0-9]+""))
),
0
)"),0.0)</f>
        <v>0</v>
      </c>
      <c r="E5858" s="1" t="s">
        <v>11</v>
      </c>
      <c r="F5858" s="1" t="s">
        <v>20</v>
      </c>
      <c r="G5858" s="4" t="b">
        <f t="shared" si="2"/>
        <v>1</v>
      </c>
      <c r="H5858" s="1" t="str">
        <f t="shared" si="3"/>
        <v>Currently Unavailable</v>
      </c>
      <c r="I5858" s="1" t="str">
        <f t="shared" si="4"/>
        <v>No Badges</v>
      </c>
      <c r="J5858" s="3">
        <f t="shared" si="5"/>
        <v>0</v>
      </c>
    </row>
    <row r="5859">
      <c r="A5859" s="1" t="s">
        <v>4388</v>
      </c>
      <c r="B5859" s="3" t="str">
        <f t="shared" si="1"/>
        <v>Unavailable</v>
      </c>
      <c r="C5859" s="3">
        <v>850.0</v>
      </c>
      <c r="D5859" s="3">
        <f>IFERROR(__xludf.DUMMYFUNCTION("IFERROR(
IF(REGEXMATCH(LOWER(O5859),""k""),
VALUE(REGEXEXTRACT(O5859,""[0-9]+""))*1000,
VALUE(REGEXEXTRACT(O5859,""[0-9]+""))
),
0
)"),0.0)</f>
        <v>0</v>
      </c>
      <c r="E5859" s="1" t="s">
        <v>11</v>
      </c>
      <c r="F5859" s="1" t="s">
        <v>20</v>
      </c>
      <c r="G5859" s="4" t="b">
        <f t="shared" si="2"/>
        <v>1</v>
      </c>
      <c r="H5859" s="1" t="str">
        <f t="shared" si="3"/>
        <v>Currently Unavailable</v>
      </c>
      <c r="I5859" s="1" t="str">
        <f t="shared" si="4"/>
        <v>No Badges</v>
      </c>
      <c r="J5859" s="3">
        <f t="shared" si="5"/>
        <v>0</v>
      </c>
    </row>
    <row r="5860">
      <c r="A5860" s="1" t="s">
        <v>4389</v>
      </c>
      <c r="B5860" s="3" t="str">
        <f t="shared" si="1"/>
        <v>Unavailable</v>
      </c>
      <c r="C5860" s="5">
        <v>2055.0</v>
      </c>
      <c r="D5860" s="3">
        <f>IFERROR(__xludf.DUMMYFUNCTION("IFERROR(
IF(REGEXMATCH(LOWER(O5860),""k""),
VALUE(REGEXEXTRACT(O5860,""[0-9]+""))*1000,
VALUE(REGEXEXTRACT(O5860,""[0-9]+""))
),
0
)"),0.0)</f>
        <v>0</v>
      </c>
      <c r="E5860" s="1" t="s">
        <v>11</v>
      </c>
      <c r="F5860" s="1" t="s">
        <v>20</v>
      </c>
      <c r="G5860" s="4" t="b">
        <f t="shared" si="2"/>
        <v>1</v>
      </c>
      <c r="H5860" s="1" t="str">
        <f t="shared" si="3"/>
        <v>Currently Unavailable</v>
      </c>
      <c r="I5860" s="1" t="str">
        <f t="shared" si="4"/>
        <v>No Badges</v>
      </c>
      <c r="J5860" s="3">
        <f t="shared" si="5"/>
        <v>0</v>
      </c>
    </row>
    <row r="5861">
      <c r="A5861" s="1" t="s">
        <v>67</v>
      </c>
      <c r="B5861" s="3" t="str">
        <f t="shared" si="1"/>
        <v>Unavailable</v>
      </c>
      <c r="C5861" s="3">
        <v>264.0</v>
      </c>
      <c r="D5861" s="3">
        <f>IFERROR(__xludf.DUMMYFUNCTION("IFERROR(
IF(REGEXMATCH(LOWER(O5861),""k""),
VALUE(REGEXEXTRACT(O5861,""[0-9]+""))*1000,
VALUE(REGEXEXTRACT(O5861,""[0-9]+""))
),
0
)"),0.0)</f>
        <v>0</v>
      </c>
      <c r="E5861" s="1" t="s">
        <v>11</v>
      </c>
      <c r="F5861" s="1" t="s">
        <v>12</v>
      </c>
      <c r="G5861" s="4" t="b">
        <f t="shared" si="2"/>
        <v>1</v>
      </c>
      <c r="H5861" s="1" t="str">
        <f t="shared" si="3"/>
        <v>Currently Unavailable</v>
      </c>
      <c r="I5861" s="1" t="str">
        <f t="shared" si="4"/>
        <v>No Badges</v>
      </c>
      <c r="J5861" s="3">
        <f t="shared" si="5"/>
        <v>0</v>
      </c>
    </row>
    <row r="5862">
      <c r="A5862" s="1" t="s">
        <v>4390</v>
      </c>
      <c r="B5862" s="3" t="str">
        <f t="shared" si="1"/>
        <v>Unavailable</v>
      </c>
      <c r="C5862" s="5">
        <v>1568.0</v>
      </c>
      <c r="D5862" s="3">
        <f>IFERROR(__xludf.DUMMYFUNCTION("IFERROR(
IF(REGEXMATCH(LOWER(O5862),""k""),
VALUE(REGEXEXTRACT(O5862,""[0-9]+""))*1000,
VALUE(REGEXEXTRACT(O5862,""[0-9]+""))
),
0
)"),0.0)</f>
        <v>0</v>
      </c>
      <c r="E5862" s="1" t="s">
        <v>11</v>
      </c>
      <c r="F5862" s="1" t="s">
        <v>20</v>
      </c>
      <c r="G5862" s="4" t="b">
        <f t="shared" si="2"/>
        <v>1</v>
      </c>
      <c r="H5862" s="1" t="str">
        <f t="shared" si="3"/>
        <v>Currently Unavailable</v>
      </c>
      <c r="I5862" s="1" t="str">
        <f t="shared" si="4"/>
        <v>No Badges</v>
      </c>
      <c r="J5862" s="3">
        <f t="shared" si="5"/>
        <v>0</v>
      </c>
    </row>
    <row r="5863">
      <c r="A5863" s="1" t="s">
        <v>701</v>
      </c>
      <c r="B5863" s="3" t="str">
        <f t="shared" si="1"/>
        <v>Unavailable</v>
      </c>
      <c r="C5863" s="3">
        <v>8.0</v>
      </c>
      <c r="D5863" s="3">
        <f>IFERROR(__xludf.DUMMYFUNCTION("IFERROR(
IF(REGEXMATCH(LOWER(O5863),""k""),
VALUE(REGEXEXTRACT(O5863,""[0-9]+""))*1000,
VALUE(REGEXEXTRACT(O5863,""[0-9]+""))
),
0
)"),0.0)</f>
        <v>0</v>
      </c>
      <c r="E5863" s="1" t="s">
        <v>11</v>
      </c>
      <c r="F5863" s="1" t="s">
        <v>12</v>
      </c>
      <c r="G5863" s="4" t="b">
        <f t="shared" si="2"/>
        <v>1</v>
      </c>
      <c r="H5863" s="1" t="str">
        <f t="shared" si="3"/>
        <v>Currently Unavailable</v>
      </c>
      <c r="I5863" s="1" t="str">
        <f t="shared" si="4"/>
        <v>No Badges</v>
      </c>
      <c r="J5863" s="3">
        <f t="shared" si="5"/>
        <v>0</v>
      </c>
    </row>
    <row r="5864">
      <c r="A5864" s="1" t="s">
        <v>4391</v>
      </c>
      <c r="B5864" s="3" t="str">
        <f t="shared" si="1"/>
        <v>Unavailable</v>
      </c>
      <c r="C5864" s="5">
        <v>2195.0</v>
      </c>
      <c r="D5864" s="3">
        <f>IFERROR(__xludf.DUMMYFUNCTION("IFERROR(
IF(REGEXMATCH(LOWER(O5864),""k""),
VALUE(REGEXEXTRACT(O5864,""[0-9]+""))*1000,
VALUE(REGEXEXTRACT(O5864,""[0-9]+""))
),
0
)"),0.0)</f>
        <v>0</v>
      </c>
      <c r="E5864" s="1" t="s">
        <v>11</v>
      </c>
      <c r="F5864" s="1" t="s">
        <v>20</v>
      </c>
      <c r="G5864" s="4" t="b">
        <f t="shared" si="2"/>
        <v>1</v>
      </c>
      <c r="H5864" s="1" t="str">
        <f t="shared" si="3"/>
        <v>Currently Unavailable</v>
      </c>
      <c r="I5864" s="1" t="str">
        <f t="shared" si="4"/>
        <v>No Badges</v>
      </c>
      <c r="J5864" s="3">
        <f t="shared" si="5"/>
        <v>0</v>
      </c>
    </row>
    <row r="5865">
      <c r="A5865" s="1" t="s">
        <v>4392</v>
      </c>
      <c r="B5865" s="3" t="str">
        <f t="shared" si="1"/>
        <v>Unavailable</v>
      </c>
      <c r="C5865" s="5">
        <v>1068.0</v>
      </c>
      <c r="D5865" s="3">
        <f>IFERROR(__xludf.DUMMYFUNCTION("IFERROR(
IF(REGEXMATCH(LOWER(O5865),""k""),
VALUE(REGEXEXTRACT(O5865,""[0-9]+""))*1000,
VALUE(REGEXEXTRACT(O5865,""[0-9]+""))
),
0
)"),0.0)</f>
        <v>0</v>
      </c>
      <c r="E5865" s="1" t="s">
        <v>11</v>
      </c>
      <c r="F5865" s="1" t="s">
        <v>20</v>
      </c>
      <c r="G5865" s="4" t="b">
        <f t="shared" si="2"/>
        <v>1</v>
      </c>
      <c r="H5865" s="1" t="str">
        <f t="shared" si="3"/>
        <v>Currently Unavailable</v>
      </c>
      <c r="I5865" s="1" t="str">
        <f t="shared" si="4"/>
        <v>No Badges</v>
      </c>
      <c r="J5865" s="3">
        <f t="shared" si="5"/>
        <v>0</v>
      </c>
    </row>
    <row r="5866">
      <c r="A5866" s="1" t="s">
        <v>4393</v>
      </c>
      <c r="B5866" s="3" t="str">
        <f t="shared" si="1"/>
        <v>Unavailable</v>
      </c>
      <c r="C5866" s="5">
        <v>1234.0</v>
      </c>
      <c r="D5866" s="3">
        <f>IFERROR(__xludf.DUMMYFUNCTION("IFERROR(
IF(REGEXMATCH(LOWER(O5866),""k""),
VALUE(REGEXEXTRACT(O5866,""[0-9]+""))*1000,
VALUE(REGEXEXTRACT(O5866,""[0-9]+""))
),
0
)"),0.0)</f>
        <v>0</v>
      </c>
      <c r="E5866" s="1" t="s">
        <v>11</v>
      </c>
      <c r="F5866" s="1" t="s">
        <v>20</v>
      </c>
      <c r="G5866" s="4" t="b">
        <f t="shared" si="2"/>
        <v>1</v>
      </c>
      <c r="H5866" s="1" t="str">
        <f t="shared" si="3"/>
        <v>Currently Unavailable</v>
      </c>
      <c r="I5866" s="1" t="str">
        <f t="shared" si="4"/>
        <v>No Badges</v>
      </c>
      <c r="J5866" s="3">
        <f t="shared" si="5"/>
        <v>0</v>
      </c>
    </row>
    <row r="5867">
      <c r="A5867" s="1" t="s">
        <v>4394</v>
      </c>
      <c r="B5867" s="3" t="str">
        <f t="shared" si="1"/>
        <v>Unavailable</v>
      </c>
      <c r="C5867" s="5">
        <v>1732.0</v>
      </c>
      <c r="D5867" s="3">
        <f>IFERROR(__xludf.DUMMYFUNCTION("IFERROR(
IF(REGEXMATCH(LOWER(O5867),""k""),
VALUE(REGEXEXTRACT(O5867,""[0-9]+""))*1000,
VALUE(REGEXEXTRACT(O5867,""[0-9]+""))
),
0
)"),0.0)</f>
        <v>0</v>
      </c>
      <c r="E5867" s="1" t="s">
        <v>11</v>
      </c>
      <c r="F5867" s="1" t="s">
        <v>20</v>
      </c>
      <c r="G5867" s="4" t="b">
        <f t="shared" si="2"/>
        <v>1</v>
      </c>
      <c r="H5867" s="1" t="str">
        <f t="shared" si="3"/>
        <v>Currently Unavailable</v>
      </c>
      <c r="I5867" s="1" t="str">
        <f t="shared" si="4"/>
        <v>No Badges</v>
      </c>
      <c r="J5867" s="3">
        <f t="shared" si="5"/>
        <v>0</v>
      </c>
    </row>
    <row r="5868">
      <c r="A5868" s="1" t="s">
        <v>4395</v>
      </c>
      <c r="B5868" s="3" t="str">
        <f t="shared" si="1"/>
        <v>Unavailable</v>
      </c>
      <c r="C5868" s="5">
        <v>2667.0</v>
      </c>
      <c r="D5868" s="3">
        <f>IFERROR(__xludf.DUMMYFUNCTION("IFERROR(
IF(REGEXMATCH(LOWER(O5868),""k""),
VALUE(REGEXEXTRACT(O5868,""[0-9]+""))*1000,
VALUE(REGEXEXTRACT(O5868,""[0-9]+""))
),
0
)"),0.0)</f>
        <v>0</v>
      </c>
      <c r="E5868" s="1" t="s">
        <v>11</v>
      </c>
      <c r="F5868" s="1" t="s">
        <v>20</v>
      </c>
      <c r="G5868" s="4" t="b">
        <f t="shared" si="2"/>
        <v>1</v>
      </c>
      <c r="H5868" s="1" t="str">
        <f t="shared" si="3"/>
        <v>Currently Unavailable</v>
      </c>
      <c r="I5868" s="1" t="str">
        <f t="shared" si="4"/>
        <v>No Badges</v>
      </c>
      <c r="J5868" s="3">
        <f t="shared" si="5"/>
        <v>0</v>
      </c>
    </row>
    <row r="5869">
      <c r="A5869" s="1" t="s">
        <v>4396</v>
      </c>
      <c r="B5869" s="3" t="str">
        <f t="shared" si="1"/>
        <v>Unavailable</v>
      </c>
      <c r="C5869" s="3">
        <v>20.0</v>
      </c>
      <c r="D5869" s="3">
        <f>IFERROR(__xludf.DUMMYFUNCTION("IFERROR(
IF(REGEXMATCH(LOWER(O5869),""k""),
VALUE(REGEXEXTRACT(O5869,""[0-9]+""))*1000,
VALUE(REGEXEXTRACT(O5869,""[0-9]+""))
),
0
)"),0.0)</f>
        <v>0</v>
      </c>
      <c r="E5869" s="1" t="s">
        <v>11</v>
      </c>
      <c r="F5869" s="1" t="s">
        <v>20</v>
      </c>
      <c r="G5869" s="4" t="b">
        <f t="shared" si="2"/>
        <v>1</v>
      </c>
      <c r="H5869" s="1" t="str">
        <f t="shared" si="3"/>
        <v>Currently Unavailable</v>
      </c>
      <c r="I5869" s="1" t="str">
        <f t="shared" si="4"/>
        <v>No Badges</v>
      </c>
      <c r="J5869" s="3">
        <f t="shared" si="5"/>
        <v>0</v>
      </c>
    </row>
    <row r="5870">
      <c r="A5870" s="1" t="s">
        <v>4397</v>
      </c>
      <c r="B5870" s="3" t="str">
        <f t="shared" si="1"/>
        <v>Unavailable</v>
      </c>
      <c r="C5870" s="3">
        <v>265.0</v>
      </c>
      <c r="D5870" s="3">
        <f>IFERROR(__xludf.DUMMYFUNCTION("IFERROR(
IF(REGEXMATCH(LOWER(O5870),""k""),
VALUE(REGEXEXTRACT(O5870,""[0-9]+""))*1000,
VALUE(REGEXEXTRACT(O5870,""[0-9]+""))
),
0
)"),0.0)</f>
        <v>0</v>
      </c>
      <c r="E5870" s="1" t="s">
        <v>11</v>
      </c>
      <c r="F5870" s="1" t="s">
        <v>20</v>
      </c>
      <c r="G5870" s="4" t="b">
        <f t="shared" si="2"/>
        <v>1</v>
      </c>
      <c r="H5870" s="1" t="str">
        <f t="shared" si="3"/>
        <v>Currently Unavailable</v>
      </c>
      <c r="I5870" s="1" t="str">
        <f t="shared" si="4"/>
        <v>No Badges</v>
      </c>
      <c r="J5870" s="3">
        <f t="shared" si="5"/>
        <v>0</v>
      </c>
    </row>
    <row r="5871">
      <c r="A5871" s="1" t="s">
        <v>4398</v>
      </c>
      <c r="B5871" s="3" t="str">
        <f t="shared" si="1"/>
        <v>Unavailable</v>
      </c>
      <c r="C5871" s="3">
        <v>291.0</v>
      </c>
      <c r="D5871" s="3">
        <f>IFERROR(__xludf.DUMMYFUNCTION("IFERROR(
IF(REGEXMATCH(LOWER(O5871),""k""),
VALUE(REGEXEXTRACT(O5871,""[0-9]+""))*1000,
VALUE(REGEXEXTRACT(O5871,""[0-9]+""))
),
0
)"),0.0)</f>
        <v>0</v>
      </c>
      <c r="E5871" s="1" t="s">
        <v>11</v>
      </c>
      <c r="F5871" s="1" t="s">
        <v>20</v>
      </c>
      <c r="G5871" s="4" t="b">
        <f t="shared" si="2"/>
        <v>1</v>
      </c>
      <c r="H5871" s="1" t="str">
        <f t="shared" si="3"/>
        <v>Currently Unavailable</v>
      </c>
      <c r="I5871" s="1" t="str">
        <f t="shared" si="4"/>
        <v>No Badges</v>
      </c>
      <c r="J5871" s="3">
        <f t="shared" si="5"/>
        <v>0</v>
      </c>
    </row>
    <row r="5872">
      <c r="A5872" s="1" t="s">
        <v>4346</v>
      </c>
      <c r="B5872" s="3" t="str">
        <f t="shared" si="1"/>
        <v>Unavailable</v>
      </c>
      <c r="C5872" s="5">
        <v>1375.0</v>
      </c>
      <c r="D5872" s="3">
        <f>IFERROR(__xludf.DUMMYFUNCTION("IFERROR(
IF(REGEXMATCH(LOWER(O5872),""k""),
VALUE(REGEXEXTRACT(O5872,""[0-9]+""))*1000,
VALUE(REGEXEXTRACT(O5872,""[0-9]+""))
),
0
)"),0.0)</f>
        <v>0</v>
      </c>
      <c r="E5872" s="1" t="s">
        <v>11</v>
      </c>
      <c r="F5872" s="1" t="s">
        <v>20</v>
      </c>
      <c r="G5872" s="4" t="b">
        <f t="shared" si="2"/>
        <v>1</v>
      </c>
      <c r="H5872" s="1" t="str">
        <f t="shared" si="3"/>
        <v>Currently Unavailable</v>
      </c>
      <c r="I5872" s="1" t="str">
        <f t="shared" si="4"/>
        <v>No Badges</v>
      </c>
      <c r="J5872" s="3">
        <f t="shared" si="5"/>
        <v>0</v>
      </c>
    </row>
    <row r="5873">
      <c r="A5873" s="1" t="s">
        <v>4347</v>
      </c>
      <c r="B5873" s="3" t="str">
        <f t="shared" si="1"/>
        <v>Unavailable</v>
      </c>
      <c r="C5873" s="5">
        <v>13600.0</v>
      </c>
      <c r="D5873" s="3">
        <f>IFERROR(__xludf.DUMMYFUNCTION("IFERROR(
IF(REGEXMATCH(LOWER(O5873),""k""),
VALUE(REGEXEXTRACT(O5873,""[0-9]+""))*1000,
VALUE(REGEXEXTRACT(O5873,""[0-9]+""))
),
0
)"),0.0)</f>
        <v>0</v>
      </c>
      <c r="E5873" s="1" t="s">
        <v>11</v>
      </c>
      <c r="F5873" s="1" t="s">
        <v>20</v>
      </c>
      <c r="G5873" s="4" t="b">
        <f t="shared" si="2"/>
        <v>1</v>
      </c>
      <c r="H5873" s="1" t="str">
        <f t="shared" si="3"/>
        <v>Currently Unavailable</v>
      </c>
      <c r="I5873" s="1" t="str">
        <f t="shared" si="4"/>
        <v>No Badges</v>
      </c>
      <c r="J5873" s="3">
        <f t="shared" si="5"/>
        <v>0</v>
      </c>
    </row>
    <row r="5874">
      <c r="A5874" s="1" t="s">
        <v>4399</v>
      </c>
      <c r="B5874" s="3" t="str">
        <f t="shared" si="1"/>
        <v>Unavailable</v>
      </c>
      <c r="C5874" s="3">
        <v>284.0</v>
      </c>
      <c r="D5874" s="3">
        <f>IFERROR(__xludf.DUMMYFUNCTION("IFERROR(
IF(REGEXMATCH(LOWER(O5874),""k""),
VALUE(REGEXEXTRACT(O5874,""[0-9]+""))*1000,
VALUE(REGEXEXTRACT(O5874,""[0-9]+""))
),
0
)"),0.0)</f>
        <v>0</v>
      </c>
      <c r="E5874" s="1" t="s">
        <v>11</v>
      </c>
      <c r="F5874" s="1" t="s">
        <v>20</v>
      </c>
      <c r="G5874" s="4" t="b">
        <f t="shared" si="2"/>
        <v>1</v>
      </c>
      <c r="H5874" s="1" t="str">
        <f t="shared" si="3"/>
        <v>Currently Unavailable</v>
      </c>
      <c r="I5874" s="1" t="str">
        <f t="shared" si="4"/>
        <v>No Badges</v>
      </c>
      <c r="J5874" s="3">
        <f t="shared" si="5"/>
        <v>0</v>
      </c>
    </row>
    <row r="5875">
      <c r="A5875" s="1" t="s">
        <v>4348</v>
      </c>
      <c r="B5875" s="3" t="str">
        <f t="shared" si="1"/>
        <v>Unavailable</v>
      </c>
      <c r="C5875" s="3">
        <v>711.0</v>
      </c>
      <c r="D5875" s="3">
        <f>IFERROR(__xludf.DUMMYFUNCTION("IFERROR(
IF(REGEXMATCH(LOWER(O5875),""k""),
VALUE(REGEXEXTRACT(O5875,""[0-9]+""))*1000,
VALUE(REGEXEXTRACT(O5875,""[0-9]+""))
),
0
)"),0.0)</f>
        <v>0</v>
      </c>
      <c r="E5875" s="1" t="s">
        <v>11</v>
      </c>
      <c r="F5875" s="1" t="s">
        <v>20</v>
      </c>
      <c r="G5875" s="4" t="b">
        <f t="shared" si="2"/>
        <v>1</v>
      </c>
      <c r="H5875" s="1" t="str">
        <f t="shared" si="3"/>
        <v>Currently Unavailable</v>
      </c>
      <c r="I5875" s="1" t="str">
        <f t="shared" si="4"/>
        <v>No Badges</v>
      </c>
      <c r="J5875" s="3">
        <f t="shared" si="5"/>
        <v>0</v>
      </c>
    </row>
    <row r="5876">
      <c r="A5876" s="1" t="s">
        <v>4400</v>
      </c>
      <c r="B5876" s="3" t="str">
        <f t="shared" si="1"/>
        <v>Unavailable</v>
      </c>
      <c r="C5876" s="3">
        <v>240.0</v>
      </c>
      <c r="D5876" s="3">
        <f>IFERROR(__xludf.DUMMYFUNCTION("IFERROR(
IF(REGEXMATCH(LOWER(O5876),""k""),
VALUE(REGEXEXTRACT(O5876,""[0-9]+""))*1000,
VALUE(REGEXEXTRACT(O5876,""[0-9]+""))
),
0
)"),0.0)</f>
        <v>0</v>
      </c>
      <c r="E5876" s="1" t="s">
        <v>11</v>
      </c>
      <c r="F5876" s="1" t="s">
        <v>20</v>
      </c>
      <c r="G5876" s="4" t="b">
        <f t="shared" si="2"/>
        <v>1</v>
      </c>
      <c r="H5876" s="1" t="str">
        <f t="shared" si="3"/>
        <v>Currently Unavailable</v>
      </c>
      <c r="I5876" s="1" t="str">
        <f t="shared" si="4"/>
        <v>No Badges</v>
      </c>
      <c r="J5876" s="3">
        <f t="shared" si="5"/>
        <v>0</v>
      </c>
    </row>
    <row r="5877">
      <c r="A5877" s="1" t="s">
        <v>88</v>
      </c>
      <c r="B5877" s="3" t="str">
        <f t="shared" si="1"/>
        <v>Unavailable</v>
      </c>
      <c r="C5877" s="3">
        <v>5.0</v>
      </c>
      <c r="D5877" s="3">
        <f>IFERROR(__xludf.DUMMYFUNCTION("IFERROR(
IF(REGEXMATCH(LOWER(O5877),""k""),
VALUE(REGEXEXTRACT(O5877,""[0-9]+""))*1000,
VALUE(REGEXEXTRACT(O5877,""[0-9]+""))
),
0
)"),0.0)</f>
        <v>0</v>
      </c>
      <c r="E5877" s="1" t="s">
        <v>11</v>
      </c>
      <c r="F5877" s="1" t="s">
        <v>12</v>
      </c>
      <c r="G5877" s="4" t="b">
        <f t="shared" si="2"/>
        <v>1</v>
      </c>
      <c r="H5877" s="1" t="str">
        <f t="shared" si="3"/>
        <v>Currently Unavailable</v>
      </c>
      <c r="I5877" s="1" t="str">
        <f t="shared" si="4"/>
        <v>No Badges</v>
      </c>
      <c r="J5877" s="3">
        <f t="shared" si="5"/>
        <v>0</v>
      </c>
    </row>
    <row r="5878">
      <c r="A5878" s="1" t="s">
        <v>4401</v>
      </c>
      <c r="B5878" s="3" t="str">
        <f t="shared" si="1"/>
        <v>Unavailable</v>
      </c>
      <c r="C5878" s="5">
        <v>9076.0</v>
      </c>
      <c r="D5878" s="3">
        <f>IFERROR(__xludf.DUMMYFUNCTION("IFERROR(
IF(REGEXMATCH(LOWER(O5878),""k""),
VALUE(REGEXEXTRACT(O5878,""[0-9]+""))*1000,
VALUE(REGEXEXTRACT(O5878,""[0-9]+""))
),
0
)"),0.0)</f>
        <v>0</v>
      </c>
      <c r="E5878" s="1" t="s">
        <v>11</v>
      </c>
      <c r="F5878" s="1" t="s">
        <v>20</v>
      </c>
      <c r="G5878" s="4" t="b">
        <f t="shared" si="2"/>
        <v>1</v>
      </c>
      <c r="H5878" s="1" t="str">
        <f t="shared" si="3"/>
        <v>Currently Unavailable</v>
      </c>
      <c r="I5878" s="1" t="str">
        <f t="shared" si="4"/>
        <v>No Badges</v>
      </c>
      <c r="J5878" s="3">
        <f t="shared" si="5"/>
        <v>0</v>
      </c>
    </row>
    <row r="5879">
      <c r="A5879" s="1" t="s">
        <v>4402</v>
      </c>
      <c r="B5879" s="3" t="str">
        <f t="shared" si="1"/>
        <v>Unavailable</v>
      </c>
      <c r="C5879" s="3">
        <v>740.0</v>
      </c>
      <c r="D5879" s="3">
        <f>IFERROR(__xludf.DUMMYFUNCTION("IFERROR(
IF(REGEXMATCH(LOWER(O5879),""k""),
VALUE(REGEXEXTRACT(O5879,""[0-9]+""))*1000,
VALUE(REGEXEXTRACT(O5879,""[0-9]+""))
),
0
)"),0.0)</f>
        <v>0</v>
      </c>
      <c r="E5879" s="1" t="s">
        <v>11</v>
      </c>
      <c r="F5879" s="1" t="s">
        <v>20</v>
      </c>
      <c r="G5879" s="4" t="b">
        <f t="shared" si="2"/>
        <v>1</v>
      </c>
      <c r="H5879" s="1" t="str">
        <f t="shared" si="3"/>
        <v>Currently Unavailable</v>
      </c>
      <c r="I5879" s="1" t="str">
        <f t="shared" si="4"/>
        <v>No Badges</v>
      </c>
      <c r="J5879" s="3">
        <f t="shared" si="5"/>
        <v>0</v>
      </c>
    </row>
    <row r="5880">
      <c r="A5880" s="1" t="s">
        <v>4403</v>
      </c>
      <c r="B5880" s="3" t="str">
        <f t="shared" si="1"/>
        <v>Unavailable</v>
      </c>
      <c r="C5880" s="5">
        <v>2121.0</v>
      </c>
      <c r="D5880" s="3">
        <f>IFERROR(__xludf.DUMMYFUNCTION("IFERROR(
IF(REGEXMATCH(LOWER(O5880),""k""),
VALUE(REGEXEXTRACT(O5880,""[0-9]+""))*1000,
VALUE(REGEXEXTRACT(O5880,""[0-9]+""))
),
0
)"),0.0)</f>
        <v>0</v>
      </c>
      <c r="E5880" s="1" t="s">
        <v>11</v>
      </c>
      <c r="F5880" s="1" t="s">
        <v>20</v>
      </c>
      <c r="G5880" s="4" t="b">
        <f t="shared" si="2"/>
        <v>1</v>
      </c>
      <c r="H5880" s="1" t="str">
        <f t="shared" si="3"/>
        <v>Currently Unavailable</v>
      </c>
      <c r="I5880" s="1" t="str">
        <f t="shared" si="4"/>
        <v>No Badges</v>
      </c>
      <c r="J5880" s="3">
        <f t="shared" si="5"/>
        <v>0</v>
      </c>
    </row>
    <row r="5881">
      <c r="A5881" s="1" t="s">
        <v>69</v>
      </c>
      <c r="B5881" s="3" t="str">
        <f t="shared" si="1"/>
        <v>Unavailable</v>
      </c>
      <c r="C5881" s="3">
        <v>45.0</v>
      </c>
      <c r="D5881" s="3">
        <f>IFERROR(__xludf.DUMMYFUNCTION("IFERROR(
IF(REGEXMATCH(LOWER(O5881),""k""),
VALUE(REGEXEXTRACT(O5881,""[0-9]+""))*1000,
VALUE(REGEXEXTRACT(O5881,""[0-9]+""))
),
0
)"),0.0)</f>
        <v>0</v>
      </c>
      <c r="E5881" s="1" t="s">
        <v>11</v>
      </c>
      <c r="F5881" s="1" t="s">
        <v>12</v>
      </c>
      <c r="G5881" s="4" t="b">
        <f t="shared" si="2"/>
        <v>1</v>
      </c>
      <c r="H5881" s="1" t="str">
        <f t="shared" si="3"/>
        <v>Currently Unavailable</v>
      </c>
      <c r="I5881" s="1" t="str">
        <f t="shared" si="4"/>
        <v>No Badges</v>
      </c>
      <c r="J5881" s="3">
        <f t="shared" si="5"/>
        <v>0</v>
      </c>
    </row>
    <row r="5882">
      <c r="A5882" s="1" t="s">
        <v>4404</v>
      </c>
      <c r="B5882" s="3" t="str">
        <f t="shared" si="1"/>
        <v>Unavailable</v>
      </c>
      <c r="C5882" s="3">
        <v>614.0</v>
      </c>
      <c r="D5882" s="3">
        <f>IFERROR(__xludf.DUMMYFUNCTION("IFERROR(
IF(REGEXMATCH(LOWER(O5882),""k""),
VALUE(REGEXEXTRACT(O5882,""[0-9]+""))*1000,
VALUE(REGEXEXTRACT(O5882,""[0-9]+""))
),
0
)"),0.0)</f>
        <v>0</v>
      </c>
      <c r="E5882" s="1" t="s">
        <v>11</v>
      </c>
      <c r="F5882" s="1" t="s">
        <v>20</v>
      </c>
      <c r="G5882" s="4" t="b">
        <f t="shared" si="2"/>
        <v>1</v>
      </c>
      <c r="H5882" s="1" t="str">
        <f t="shared" si="3"/>
        <v>Currently Unavailable</v>
      </c>
      <c r="I5882" s="1" t="str">
        <f t="shared" si="4"/>
        <v>No Badges</v>
      </c>
      <c r="J5882" s="3">
        <f t="shared" si="5"/>
        <v>0</v>
      </c>
    </row>
    <row r="5883">
      <c r="A5883" s="1" t="s">
        <v>4405</v>
      </c>
      <c r="B5883" s="3" t="str">
        <f t="shared" si="1"/>
        <v>Unavailable</v>
      </c>
      <c r="C5883" s="3">
        <v>38.0</v>
      </c>
      <c r="D5883" s="3">
        <f>IFERROR(__xludf.DUMMYFUNCTION("IFERROR(
IF(REGEXMATCH(LOWER(O5883),""k""),
VALUE(REGEXEXTRACT(O5883,""[0-9]+""))*1000,
VALUE(REGEXEXTRACT(O5883,""[0-9]+""))
),
0
)"),0.0)</f>
        <v>0</v>
      </c>
      <c r="E5883" s="1" t="s">
        <v>11</v>
      </c>
      <c r="F5883" s="1" t="s">
        <v>20</v>
      </c>
      <c r="G5883" s="4" t="b">
        <f t="shared" si="2"/>
        <v>1</v>
      </c>
      <c r="H5883" s="1" t="str">
        <f t="shared" si="3"/>
        <v>Currently Unavailable</v>
      </c>
      <c r="I5883" s="1" t="str">
        <f t="shared" si="4"/>
        <v>No Badges</v>
      </c>
      <c r="J5883" s="3">
        <f t="shared" si="5"/>
        <v>0</v>
      </c>
    </row>
    <row r="5884">
      <c r="A5884" s="1" t="s">
        <v>4406</v>
      </c>
      <c r="B5884" s="3" t="str">
        <f t="shared" si="1"/>
        <v>Unavailable</v>
      </c>
      <c r="C5884" s="5">
        <v>8932.0</v>
      </c>
      <c r="D5884" s="3">
        <f>IFERROR(__xludf.DUMMYFUNCTION("IFERROR(
IF(REGEXMATCH(LOWER(O5884),""k""),
VALUE(REGEXEXTRACT(O5884,""[0-9]+""))*1000,
VALUE(REGEXEXTRACT(O5884,""[0-9]+""))
),
0
)"),0.0)</f>
        <v>0</v>
      </c>
      <c r="E5884" s="1" t="s">
        <v>11</v>
      </c>
      <c r="F5884" s="1" t="s">
        <v>20</v>
      </c>
      <c r="G5884" s="4" t="b">
        <f t="shared" si="2"/>
        <v>1</v>
      </c>
      <c r="H5884" s="1" t="str">
        <f t="shared" si="3"/>
        <v>Currently Unavailable</v>
      </c>
      <c r="I5884" s="1" t="str">
        <f t="shared" si="4"/>
        <v>No Badges</v>
      </c>
      <c r="J5884" s="3">
        <f t="shared" si="5"/>
        <v>0</v>
      </c>
    </row>
    <row r="5885">
      <c r="A5885" s="1" t="s">
        <v>4407</v>
      </c>
      <c r="B5885" s="3" t="str">
        <f t="shared" si="1"/>
        <v>Unavailable</v>
      </c>
      <c r="C5885" s="5">
        <v>2802.0</v>
      </c>
      <c r="D5885" s="3">
        <f>IFERROR(__xludf.DUMMYFUNCTION("IFERROR(
IF(REGEXMATCH(LOWER(O5885),""k""),
VALUE(REGEXEXTRACT(O5885,""[0-9]+""))*1000,
VALUE(REGEXEXTRACT(O5885,""[0-9]+""))
),
0
)"),0.0)</f>
        <v>0</v>
      </c>
      <c r="E5885" s="1" t="s">
        <v>11</v>
      </c>
      <c r="F5885" s="1" t="s">
        <v>20</v>
      </c>
      <c r="G5885" s="4" t="b">
        <f t="shared" si="2"/>
        <v>1</v>
      </c>
      <c r="H5885" s="1" t="str">
        <f t="shared" si="3"/>
        <v>Currently Unavailable</v>
      </c>
      <c r="I5885" s="1" t="str">
        <f t="shared" si="4"/>
        <v>No Badges</v>
      </c>
      <c r="J5885" s="3">
        <f t="shared" si="5"/>
        <v>0</v>
      </c>
    </row>
    <row r="5886">
      <c r="A5886" s="1" t="s">
        <v>4408</v>
      </c>
      <c r="B5886" s="3" t="str">
        <f t="shared" si="1"/>
        <v>Unavailable</v>
      </c>
      <c r="C5886" s="3">
        <v>413.0</v>
      </c>
      <c r="D5886" s="3">
        <f>IFERROR(__xludf.DUMMYFUNCTION("IFERROR(
IF(REGEXMATCH(LOWER(O5886),""k""),
VALUE(REGEXEXTRACT(O5886,""[0-9]+""))*1000,
VALUE(REGEXEXTRACT(O5886,""[0-9]+""))
),
0
)"),0.0)</f>
        <v>0</v>
      </c>
      <c r="E5886" s="1" t="s">
        <v>11</v>
      </c>
      <c r="F5886" s="1" t="s">
        <v>20</v>
      </c>
      <c r="G5886" s="4" t="b">
        <f t="shared" si="2"/>
        <v>1</v>
      </c>
      <c r="H5886" s="1" t="str">
        <f t="shared" si="3"/>
        <v>Currently Unavailable</v>
      </c>
      <c r="I5886" s="1" t="str">
        <f t="shared" si="4"/>
        <v>No Badges</v>
      </c>
      <c r="J5886" s="3">
        <f t="shared" si="5"/>
        <v>0</v>
      </c>
    </row>
    <row r="5887">
      <c r="A5887" s="1" t="s">
        <v>4409</v>
      </c>
      <c r="B5887" s="3" t="str">
        <f t="shared" si="1"/>
        <v>Unavailable</v>
      </c>
      <c r="C5887" s="3">
        <v>4.0</v>
      </c>
      <c r="D5887" s="3">
        <f>IFERROR(__xludf.DUMMYFUNCTION("IFERROR(
IF(REGEXMATCH(LOWER(O5887),""k""),
VALUE(REGEXEXTRACT(O5887,""[0-9]+""))*1000,
VALUE(REGEXEXTRACT(O5887,""[0-9]+""))
),
0
)"),0.0)</f>
        <v>0</v>
      </c>
      <c r="E5887" s="1" t="s">
        <v>11</v>
      </c>
      <c r="F5887" s="1" t="s">
        <v>20</v>
      </c>
      <c r="G5887" s="4" t="b">
        <f t="shared" si="2"/>
        <v>1</v>
      </c>
      <c r="H5887" s="1" t="str">
        <f t="shared" si="3"/>
        <v>Currently Unavailable</v>
      </c>
      <c r="I5887" s="1" t="str">
        <f t="shared" si="4"/>
        <v>No Badges</v>
      </c>
      <c r="J5887" s="3">
        <f t="shared" si="5"/>
        <v>0</v>
      </c>
    </row>
    <row r="5888">
      <c r="A5888" s="1" t="s">
        <v>4410</v>
      </c>
      <c r="B5888" s="3" t="str">
        <f t="shared" si="1"/>
        <v>Unavailable</v>
      </c>
      <c r="C5888" s="3">
        <v>318.0</v>
      </c>
      <c r="D5888" s="3">
        <f>IFERROR(__xludf.DUMMYFUNCTION("IFERROR(
IF(REGEXMATCH(LOWER(O5888),""k""),
VALUE(REGEXEXTRACT(O5888,""[0-9]+""))*1000,
VALUE(REGEXEXTRACT(O5888,""[0-9]+""))
),
0
)"),0.0)</f>
        <v>0</v>
      </c>
      <c r="E5888" s="1" t="s">
        <v>11</v>
      </c>
      <c r="F5888" s="1" t="s">
        <v>20</v>
      </c>
      <c r="G5888" s="4" t="b">
        <f t="shared" si="2"/>
        <v>1</v>
      </c>
      <c r="H5888" s="1" t="str">
        <f t="shared" si="3"/>
        <v>Currently Unavailable</v>
      </c>
      <c r="I5888" s="1" t="str">
        <f t="shared" si="4"/>
        <v>No Badges</v>
      </c>
      <c r="J5888" s="3">
        <f t="shared" si="5"/>
        <v>0</v>
      </c>
    </row>
    <row r="5889">
      <c r="A5889" s="1" t="s">
        <v>4411</v>
      </c>
      <c r="B5889" s="3" t="str">
        <f t="shared" si="1"/>
        <v>Unavailable</v>
      </c>
      <c r="C5889" s="3">
        <v>673.0</v>
      </c>
      <c r="D5889" s="3">
        <f>IFERROR(__xludf.DUMMYFUNCTION("IFERROR(
IF(REGEXMATCH(LOWER(O5889),""k""),
VALUE(REGEXEXTRACT(O5889,""[0-9]+""))*1000,
VALUE(REGEXEXTRACT(O5889,""[0-9]+""))
),
0
)"),0.0)</f>
        <v>0</v>
      </c>
      <c r="E5889" s="1" t="s">
        <v>11</v>
      </c>
      <c r="F5889" s="1" t="s">
        <v>20</v>
      </c>
      <c r="G5889" s="4" t="b">
        <f t="shared" si="2"/>
        <v>1</v>
      </c>
      <c r="H5889" s="1" t="str">
        <f t="shared" si="3"/>
        <v>Currently Unavailable</v>
      </c>
      <c r="I5889" s="1" t="str">
        <f t="shared" si="4"/>
        <v>No Badges</v>
      </c>
      <c r="J5889" s="3">
        <f t="shared" si="5"/>
        <v>0</v>
      </c>
    </row>
    <row r="5890">
      <c r="A5890" s="1" t="s">
        <v>4412</v>
      </c>
      <c r="B5890" s="3" t="str">
        <f t="shared" si="1"/>
        <v>Unavailable</v>
      </c>
      <c r="C5890" s="3">
        <v>347.0</v>
      </c>
      <c r="D5890" s="3">
        <f>IFERROR(__xludf.DUMMYFUNCTION("IFERROR(
IF(REGEXMATCH(LOWER(O5890),""k""),
VALUE(REGEXEXTRACT(O5890,""[0-9]+""))*1000,
VALUE(REGEXEXTRACT(O5890,""[0-9]+""))
),
0
)"),0.0)</f>
        <v>0</v>
      </c>
      <c r="E5890" s="1" t="s">
        <v>11</v>
      </c>
      <c r="F5890" s="1" t="s">
        <v>20</v>
      </c>
      <c r="G5890" s="4" t="b">
        <f t="shared" si="2"/>
        <v>1</v>
      </c>
      <c r="H5890" s="1" t="str">
        <f t="shared" si="3"/>
        <v>Currently Unavailable</v>
      </c>
      <c r="I5890" s="1" t="str">
        <f t="shared" si="4"/>
        <v>No Badges</v>
      </c>
      <c r="J5890" s="3">
        <f t="shared" si="5"/>
        <v>0</v>
      </c>
    </row>
    <row r="5891">
      <c r="A5891" s="1" t="s">
        <v>4357</v>
      </c>
      <c r="B5891" s="3" t="str">
        <f t="shared" si="1"/>
        <v>Unavailable</v>
      </c>
      <c r="C5891" s="3">
        <v>152.0</v>
      </c>
      <c r="D5891" s="3">
        <f>IFERROR(__xludf.DUMMYFUNCTION("IFERROR(
IF(REGEXMATCH(LOWER(O5891),""k""),
VALUE(REGEXEXTRACT(O5891,""[0-9]+""))*1000,
VALUE(REGEXEXTRACT(O5891,""[0-9]+""))
),
0
)"),0.0)</f>
        <v>0</v>
      </c>
      <c r="E5891" s="1" t="s">
        <v>11</v>
      </c>
      <c r="F5891" s="1" t="s">
        <v>20</v>
      </c>
      <c r="G5891" s="4" t="b">
        <f t="shared" si="2"/>
        <v>1</v>
      </c>
      <c r="H5891" s="1" t="str">
        <f t="shared" si="3"/>
        <v>Currently Unavailable</v>
      </c>
      <c r="I5891" s="1" t="str">
        <f t="shared" si="4"/>
        <v>No Badges</v>
      </c>
      <c r="J5891" s="3">
        <f t="shared" si="5"/>
        <v>0</v>
      </c>
    </row>
    <row r="5892">
      <c r="A5892" s="1" t="s">
        <v>4358</v>
      </c>
      <c r="B5892" s="3" t="str">
        <f t="shared" si="1"/>
        <v>Unavailable</v>
      </c>
      <c r="C5892" s="3">
        <v>109.0</v>
      </c>
      <c r="D5892" s="3">
        <f>IFERROR(__xludf.DUMMYFUNCTION("IFERROR(
IF(REGEXMATCH(LOWER(O5892),""k""),
VALUE(REGEXEXTRACT(O5892,""[0-9]+""))*1000,
VALUE(REGEXEXTRACT(O5892,""[0-9]+""))
),
0
)"),0.0)</f>
        <v>0</v>
      </c>
      <c r="E5892" s="1" t="s">
        <v>11</v>
      </c>
      <c r="F5892" s="1" t="s">
        <v>20</v>
      </c>
      <c r="G5892" s="4" t="b">
        <f t="shared" si="2"/>
        <v>1</v>
      </c>
      <c r="H5892" s="1" t="str">
        <f t="shared" si="3"/>
        <v>Currently Unavailable</v>
      </c>
      <c r="I5892" s="1" t="str">
        <f t="shared" si="4"/>
        <v>No Badges</v>
      </c>
      <c r="J5892" s="3">
        <f t="shared" si="5"/>
        <v>0</v>
      </c>
    </row>
    <row r="5893">
      <c r="A5893" s="1" t="s">
        <v>4361</v>
      </c>
      <c r="B5893" s="3" t="str">
        <f t="shared" si="1"/>
        <v>Unavailable</v>
      </c>
      <c r="C5893" s="3">
        <v>758.0</v>
      </c>
      <c r="D5893" s="3">
        <f>IFERROR(__xludf.DUMMYFUNCTION("IFERROR(
IF(REGEXMATCH(LOWER(O5893),""k""),
VALUE(REGEXEXTRACT(O5893,""[0-9]+""))*1000,
VALUE(REGEXEXTRACT(O5893,""[0-9]+""))
),
0
)"),0.0)</f>
        <v>0</v>
      </c>
      <c r="E5893" s="1" t="s">
        <v>11</v>
      </c>
      <c r="F5893" s="1" t="s">
        <v>20</v>
      </c>
      <c r="G5893" s="4" t="b">
        <f t="shared" si="2"/>
        <v>1</v>
      </c>
      <c r="H5893" s="1" t="str">
        <f t="shared" si="3"/>
        <v>Currently Unavailable</v>
      </c>
      <c r="I5893" s="1" t="str">
        <f t="shared" si="4"/>
        <v>No Badges</v>
      </c>
      <c r="J5893" s="3">
        <f t="shared" si="5"/>
        <v>0</v>
      </c>
    </row>
    <row r="5894">
      <c r="A5894" s="1" t="s">
        <v>4413</v>
      </c>
      <c r="B5894" s="3" t="str">
        <f t="shared" si="1"/>
        <v>Unavailable</v>
      </c>
      <c r="C5894" s="3">
        <v>2.0</v>
      </c>
      <c r="D5894" s="3">
        <f>IFERROR(__xludf.DUMMYFUNCTION("IFERROR(
IF(REGEXMATCH(LOWER(O5894),""k""),
VALUE(REGEXEXTRACT(O5894,""[0-9]+""))*1000,
VALUE(REGEXEXTRACT(O5894,""[0-9]+""))
),
0
)"),0.0)</f>
        <v>0</v>
      </c>
      <c r="E5894" s="1" t="s">
        <v>11</v>
      </c>
      <c r="F5894" s="1" t="s">
        <v>12</v>
      </c>
      <c r="G5894" s="4" t="b">
        <f t="shared" si="2"/>
        <v>1</v>
      </c>
      <c r="H5894" s="1" t="str">
        <f t="shared" si="3"/>
        <v>Currently Unavailable</v>
      </c>
      <c r="I5894" s="1" t="str">
        <f t="shared" si="4"/>
        <v>No Badges</v>
      </c>
      <c r="J5894" s="3">
        <f t="shared" si="5"/>
        <v>0</v>
      </c>
    </row>
    <row r="5895">
      <c r="A5895" s="1" t="s">
        <v>67</v>
      </c>
      <c r="B5895" s="3" t="str">
        <f t="shared" si="1"/>
        <v>Unavailable</v>
      </c>
      <c r="C5895" s="3">
        <v>264.0</v>
      </c>
      <c r="D5895" s="3">
        <f>IFERROR(__xludf.DUMMYFUNCTION("IFERROR(
IF(REGEXMATCH(LOWER(O5895),""k""),
VALUE(REGEXEXTRACT(O5895,""[0-9]+""))*1000,
VALUE(REGEXEXTRACT(O5895,""[0-9]+""))
),
0
)"),0.0)</f>
        <v>0</v>
      </c>
      <c r="E5895" s="1" t="s">
        <v>11</v>
      </c>
      <c r="F5895" s="1" t="s">
        <v>12</v>
      </c>
      <c r="G5895" s="4" t="b">
        <f t="shared" si="2"/>
        <v>1</v>
      </c>
      <c r="H5895" s="1" t="str">
        <f t="shared" si="3"/>
        <v>Currently Unavailable</v>
      </c>
      <c r="I5895" s="1" t="str">
        <f t="shared" si="4"/>
        <v>No Badges</v>
      </c>
      <c r="J5895" s="3">
        <f t="shared" si="5"/>
        <v>0</v>
      </c>
    </row>
    <row r="5896">
      <c r="A5896" s="1" t="s">
        <v>4362</v>
      </c>
      <c r="B5896" s="3" t="str">
        <f t="shared" si="1"/>
        <v>Unavailable</v>
      </c>
      <c r="C5896" s="3">
        <v>79.0</v>
      </c>
      <c r="D5896" s="3">
        <f>IFERROR(__xludf.DUMMYFUNCTION("IFERROR(
IF(REGEXMATCH(LOWER(O5896),""k""),
VALUE(REGEXEXTRACT(O5896,""[0-9]+""))*1000,
VALUE(REGEXEXTRACT(O5896,""[0-9]+""))
),
0
)"),0.0)</f>
        <v>0</v>
      </c>
      <c r="E5896" s="1" t="s">
        <v>11</v>
      </c>
      <c r="F5896" s="1" t="s">
        <v>20</v>
      </c>
      <c r="G5896" s="4" t="b">
        <f t="shared" si="2"/>
        <v>1</v>
      </c>
      <c r="H5896" s="1" t="str">
        <f t="shared" si="3"/>
        <v>Currently Unavailable</v>
      </c>
      <c r="I5896" s="1" t="str">
        <f t="shared" si="4"/>
        <v>No Badges</v>
      </c>
      <c r="J5896" s="3">
        <f t="shared" si="5"/>
        <v>0</v>
      </c>
    </row>
    <row r="5897">
      <c r="A5897" s="1" t="s">
        <v>4363</v>
      </c>
      <c r="B5897" s="3" t="str">
        <f t="shared" si="1"/>
        <v>Unavailable</v>
      </c>
      <c r="C5897" s="5">
        <v>1897.0</v>
      </c>
      <c r="D5897" s="3">
        <f>IFERROR(__xludf.DUMMYFUNCTION("IFERROR(
IF(REGEXMATCH(LOWER(O5897),""k""),
VALUE(REGEXEXTRACT(O5897,""[0-9]+""))*1000,
VALUE(REGEXEXTRACT(O5897,""[0-9]+""))
),
0
)"),0.0)</f>
        <v>0</v>
      </c>
      <c r="E5897" s="1" t="s">
        <v>11</v>
      </c>
      <c r="F5897" s="1" t="s">
        <v>20</v>
      </c>
      <c r="G5897" s="4" t="b">
        <f t="shared" si="2"/>
        <v>1</v>
      </c>
      <c r="H5897" s="1" t="str">
        <f t="shared" si="3"/>
        <v>Currently Unavailable</v>
      </c>
      <c r="I5897" s="1" t="str">
        <f t="shared" si="4"/>
        <v>No Badges</v>
      </c>
      <c r="J5897" s="3">
        <f t="shared" si="5"/>
        <v>0</v>
      </c>
    </row>
    <row r="5898">
      <c r="A5898" s="1" t="s">
        <v>4364</v>
      </c>
      <c r="B5898" s="3" t="str">
        <f t="shared" si="1"/>
        <v>Unavailable</v>
      </c>
      <c r="C5898" s="5">
        <v>157355.0</v>
      </c>
      <c r="D5898" s="3">
        <f>IFERROR(__xludf.DUMMYFUNCTION("IFERROR(
IF(REGEXMATCH(LOWER(O5898),""k""),
VALUE(REGEXEXTRACT(O5898,""[0-9]+""))*1000,
VALUE(REGEXEXTRACT(O5898,""[0-9]+""))
),
0
)"),0.0)</f>
        <v>0</v>
      </c>
      <c r="E5898" s="1" t="s">
        <v>11</v>
      </c>
      <c r="F5898" s="1" t="s">
        <v>20</v>
      </c>
      <c r="G5898" s="4" t="b">
        <f t="shared" si="2"/>
        <v>1</v>
      </c>
      <c r="H5898" s="1" t="str">
        <f t="shared" si="3"/>
        <v>Currently Unavailable</v>
      </c>
      <c r="I5898" s="1" t="str">
        <f t="shared" si="4"/>
        <v>No Badges</v>
      </c>
      <c r="J5898" s="3">
        <f t="shared" si="5"/>
        <v>0</v>
      </c>
    </row>
    <row r="5899">
      <c r="A5899" s="1" t="s">
        <v>4414</v>
      </c>
      <c r="B5899" s="3" t="str">
        <f t="shared" si="1"/>
        <v>Unavailable</v>
      </c>
      <c r="C5899" s="3">
        <v>265.0</v>
      </c>
      <c r="D5899" s="3">
        <f>IFERROR(__xludf.DUMMYFUNCTION("IFERROR(
IF(REGEXMATCH(LOWER(O5899),""k""),
VALUE(REGEXEXTRACT(O5899,""[0-9]+""))*1000,
VALUE(REGEXEXTRACT(O5899,""[0-9]+""))
),
0
)"),0.0)</f>
        <v>0</v>
      </c>
      <c r="E5899" s="1" t="s">
        <v>11</v>
      </c>
      <c r="F5899" s="1" t="s">
        <v>20</v>
      </c>
      <c r="G5899" s="4" t="b">
        <f t="shared" si="2"/>
        <v>1</v>
      </c>
      <c r="H5899" s="1" t="str">
        <f t="shared" si="3"/>
        <v>Currently Unavailable</v>
      </c>
      <c r="I5899" s="1" t="str">
        <f t="shared" si="4"/>
        <v>No Badges</v>
      </c>
      <c r="J5899" s="3">
        <f t="shared" si="5"/>
        <v>0</v>
      </c>
    </row>
    <row r="5900">
      <c r="A5900" s="1" t="s">
        <v>4415</v>
      </c>
      <c r="B5900" s="3" t="str">
        <f t="shared" si="1"/>
        <v>Unavailable</v>
      </c>
      <c r="C5900" s="3">
        <v>997.0</v>
      </c>
      <c r="D5900" s="3">
        <f>IFERROR(__xludf.DUMMYFUNCTION("IFERROR(
IF(REGEXMATCH(LOWER(O5900),""k""),
VALUE(REGEXEXTRACT(O5900,""[0-9]+""))*1000,
VALUE(REGEXEXTRACT(O5900,""[0-9]+""))
),
0
)"),0.0)</f>
        <v>0</v>
      </c>
      <c r="E5900" s="1" t="s">
        <v>11</v>
      </c>
      <c r="F5900" s="1" t="s">
        <v>20</v>
      </c>
      <c r="G5900" s="4" t="b">
        <f t="shared" si="2"/>
        <v>1</v>
      </c>
      <c r="H5900" s="1" t="str">
        <f t="shared" si="3"/>
        <v>Currently Unavailable</v>
      </c>
      <c r="I5900" s="1" t="str">
        <f t="shared" si="4"/>
        <v>No Badges</v>
      </c>
      <c r="J5900" s="3">
        <f t="shared" si="5"/>
        <v>0</v>
      </c>
    </row>
    <row r="5901">
      <c r="A5901" s="1" t="s">
        <v>4416</v>
      </c>
      <c r="B5901" s="3" t="str">
        <f t="shared" si="1"/>
        <v>Unavailable</v>
      </c>
      <c r="C5901" s="5">
        <v>3376.0</v>
      </c>
      <c r="D5901" s="3">
        <f>IFERROR(__xludf.DUMMYFUNCTION("IFERROR(
IF(REGEXMATCH(LOWER(O5901),""k""),
VALUE(REGEXEXTRACT(O5901,""[0-9]+""))*1000,
VALUE(REGEXEXTRACT(O5901,""[0-9]+""))
),
0
)"),0.0)</f>
        <v>0</v>
      </c>
      <c r="E5901" s="1" t="s">
        <v>11</v>
      </c>
      <c r="F5901" s="1" t="s">
        <v>20</v>
      </c>
      <c r="G5901" s="4" t="b">
        <f t="shared" si="2"/>
        <v>1</v>
      </c>
      <c r="H5901" s="1" t="str">
        <f t="shared" si="3"/>
        <v>Currently Unavailable</v>
      </c>
      <c r="I5901" s="1" t="str">
        <f t="shared" si="4"/>
        <v>No Badges</v>
      </c>
      <c r="J5901" s="3">
        <f t="shared" si="5"/>
        <v>0</v>
      </c>
    </row>
    <row r="5902">
      <c r="A5902" s="1" t="s">
        <v>4417</v>
      </c>
      <c r="B5902" s="3" t="str">
        <f t="shared" si="1"/>
        <v>Unavailable</v>
      </c>
      <c r="C5902" s="3">
        <v>279.0</v>
      </c>
      <c r="D5902" s="3">
        <f>IFERROR(__xludf.DUMMYFUNCTION("IFERROR(
IF(REGEXMATCH(LOWER(O5902),""k""),
VALUE(REGEXEXTRACT(O5902,""[0-9]+""))*1000,
VALUE(REGEXEXTRACT(O5902,""[0-9]+""))
),
0
)"),0.0)</f>
        <v>0</v>
      </c>
      <c r="E5902" s="1" t="s">
        <v>11</v>
      </c>
      <c r="F5902" s="1" t="s">
        <v>20</v>
      </c>
      <c r="G5902" s="4" t="b">
        <f t="shared" si="2"/>
        <v>1</v>
      </c>
      <c r="H5902" s="1" t="str">
        <f t="shared" si="3"/>
        <v>Currently Unavailable</v>
      </c>
      <c r="I5902" s="1" t="str">
        <f t="shared" si="4"/>
        <v>No Badges</v>
      </c>
      <c r="J5902" s="3">
        <f t="shared" si="5"/>
        <v>0</v>
      </c>
    </row>
    <row r="5903">
      <c r="A5903" s="1" t="s">
        <v>4418</v>
      </c>
      <c r="B5903" s="3" t="str">
        <f t="shared" si="1"/>
        <v>Unavailable</v>
      </c>
      <c r="C5903" s="3">
        <v>240.0</v>
      </c>
      <c r="D5903" s="3">
        <f>IFERROR(__xludf.DUMMYFUNCTION("IFERROR(
IF(REGEXMATCH(LOWER(O5903),""k""),
VALUE(REGEXEXTRACT(O5903,""[0-9]+""))*1000,
VALUE(REGEXEXTRACT(O5903,""[0-9]+""))
),
0
)"),0.0)</f>
        <v>0</v>
      </c>
      <c r="E5903" s="1" t="s">
        <v>11</v>
      </c>
      <c r="F5903" s="1" t="s">
        <v>20</v>
      </c>
      <c r="G5903" s="4" t="b">
        <f t="shared" si="2"/>
        <v>1</v>
      </c>
      <c r="H5903" s="1" t="str">
        <f t="shared" si="3"/>
        <v>Currently Unavailable</v>
      </c>
      <c r="I5903" s="1" t="str">
        <f t="shared" si="4"/>
        <v>No Badges</v>
      </c>
      <c r="J5903" s="3">
        <f t="shared" si="5"/>
        <v>0</v>
      </c>
    </row>
    <row r="5904">
      <c r="A5904" s="1" t="s">
        <v>4419</v>
      </c>
      <c r="B5904" s="3" t="str">
        <f t="shared" si="1"/>
        <v>Unavailable</v>
      </c>
      <c r="C5904" s="3">
        <v>198.0</v>
      </c>
      <c r="D5904" s="3">
        <f>IFERROR(__xludf.DUMMYFUNCTION("IFERROR(
IF(REGEXMATCH(LOWER(O5904),""k""),
VALUE(REGEXEXTRACT(O5904,""[0-9]+""))*1000,
VALUE(REGEXEXTRACT(O5904,""[0-9]+""))
),
0
)"),0.0)</f>
        <v>0</v>
      </c>
      <c r="E5904" s="1" t="s">
        <v>11</v>
      </c>
      <c r="F5904" s="1" t="s">
        <v>20</v>
      </c>
      <c r="G5904" s="4" t="b">
        <f t="shared" si="2"/>
        <v>1</v>
      </c>
      <c r="H5904" s="1" t="str">
        <f t="shared" si="3"/>
        <v>Currently Unavailable</v>
      </c>
      <c r="I5904" s="1" t="str">
        <f t="shared" si="4"/>
        <v>No Badges</v>
      </c>
      <c r="J5904" s="3">
        <f t="shared" si="5"/>
        <v>0</v>
      </c>
    </row>
    <row r="5905">
      <c r="A5905" s="1" t="s">
        <v>4420</v>
      </c>
      <c r="B5905" s="3" t="str">
        <f t="shared" si="1"/>
        <v>Unavailable</v>
      </c>
      <c r="C5905" s="3">
        <v>355.0</v>
      </c>
      <c r="D5905" s="3">
        <f>IFERROR(__xludf.DUMMYFUNCTION("IFERROR(
IF(REGEXMATCH(LOWER(O5905),""k""),
VALUE(REGEXEXTRACT(O5905,""[0-9]+""))*1000,
VALUE(REGEXEXTRACT(O5905,""[0-9]+""))
),
0
)"),0.0)</f>
        <v>0</v>
      </c>
      <c r="E5905" s="1" t="s">
        <v>11</v>
      </c>
      <c r="F5905" s="1" t="s">
        <v>20</v>
      </c>
      <c r="G5905" s="4" t="b">
        <f t="shared" si="2"/>
        <v>1</v>
      </c>
      <c r="H5905" s="1" t="str">
        <f t="shared" si="3"/>
        <v>Currently Unavailable</v>
      </c>
      <c r="I5905" s="1" t="str">
        <f t="shared" si="4"/>
        <v>No Badges</v>
      </c>
      <c r="J5905" s="3">
        <f t="shared" si="5"/>
        <v>0</v>
      </c>
    </row>
    <row r="5906">
      <c r="A5906" s="1" t="s">
        <v>4421</v>
      </c>
      <c r="B5906" s="3" t="str">
        <f t="shared" si="1"/>
        <v>Unavailable</v>
      </c>
      <c r="C5906" s="5">
        <v>1467.0</v>
      </c>
      <c r="D5906" s="3">
        <f>IFERROR(__xludf.DUMMYFUNCTION("IFERROR(
IF(REGEXMATCH(LOWER(O5906),""k""),
VALUE(REGEXEXTRACT(O5906,""[0-9]+""))*1000,
VALUE(REGEXEXTRACT(O5906,""[0-9]+""))
),
0
)"),0.0)</f>
        <v>0</v>
      </c>
      <c r="E5906" s="1" t="s">
        <v>11</v>
      </c>
      <c r="F5906" s="1" t="s">
        <v>20</v>
      </c>
      <c r="G5906" s="4" t="b">
        <f t="shared" si="2"/>
        <v>1</v>
      </c>
      <c r="H5906" s="1" t="str">
        <f t="shared" si="3"/>
        <v>Currently Unavailable</v>
      </c>
      <c r="I5906" s="1" t="str">
        <f t="shared" si="4"/>
        <v>No Badges</v>
      </c>
      <c r="J5906" s="3">
        <f t="shared" si="5"/>
        <v>0</v>
      </c>
    </row>
    <row r="5907">
      <c r="A5907" s="1" t="s">
        <v>4422</v>
      </c>
      <c r="B5907" s="3" t="str">
        <f t="shared" si="1"/>
        <v>Unavailable</v>
      </c>
      <c r="C5907" s="3">
        <v>274.0</v>
      </c>
      <c r="D5907" s="3">
        <f>IFERROR(__xludf.DUMMYFUNCTION("IFERROR(
IF(REGEXMATCH(LOWER(O5907),""k""),
VALUE(REGEXEXTRACT(O5907,""[0-9]+""))*1000,
VALUE(REGEXEXTRACT(O5907,""[0-9]+""))
),
0
)"),0.0)</f>
        <v>0</v>
      </c>
      <c r="E5907" s="1" t="s">
        <v>11</v>
      </c>
      <c r="F5907" s="1" t="s">
        <v>20</v>
      </c>
      <c r="G5907" s="4" t="b">
        <f t="shared" si="2"/>
        <v>1</v>
      </c>
      <c r="H5907" s="1" t="str">
        <f t="shared" si="3"/>
        <v>Currently Unavailable</v>
      </c>
      <c r="I5907" s="1" t="str">
        <f t="shared" si="4"/>
        <v>No Badges</v>
      </c>
      <c r="J5907" s="3">
        <f t="shared" si="5"/>
        <v>0</v>
      </c>
    </row>
    <row r="5908">
      <c r="A5908" s="1" t="s">
        <v>4423</v>
      </c>
      <c r="B5908" s="3" t="str">
        <f t="shared" si="1"/>
        <v>Unavailable</v>
      </c>
      <c r="C5908" s="5">
        <v>1013.0</v>
      </c>
      <c r="D5908" s="3">
        <f>IFERROR(__xludf.DUMMYFUNCTION("IFERROR(
IF(REGEXMATCH(LOWER(O5908),""k""),
VALUE(REGEXEXTRACT(O5908,""[0-9]+""))*1000,
VALUE(REGEXEXTRACT(O5908,""[0-9]+""))
),
0
)"),0.0)</f>
        <v>0</v>
      </c>
      <c r="E5908" s="1" t="s">
        <v>11</v>
      </c>
      <c r="F5908" s="1" t="s">
        <v>20</v>
      </c>
      <c r="G5908" s="4" t="b">
        <f t="shared" si="2"/>
        <v>1</v>
      </c>
      <c r="H5908" s="1" t="str">
        <f t="shared" si="3"/>
        <v>Currently Unavailable</v>
      </c>
      <c r="I5908" s="1" t="str">
        <f t="shared" si="4"/>
        <v>No Badges</v>
      </c>
      <c r="J5908" s="3">
        <f t="shared" si="5"/>
        <v>0</v>
      </c>
    </row>
    <row r="5909">
      <c r="A5909" s="1" t="s">
        <v>4424</v>
      </c>
      <c r="B5909" s="3" t="str">
        <f t="shared" si="1"/>
        <v>Unavailable</v>
      </c>
      <c r="C5909" s="3">
        <v>82.0</v>
      </c>
      <c r="D5909" s="3">
        <f>IFERROR(__xludf.DUMMYFUNCTION("IFERROR(
IF(REGEXMATCH(LOWER(O5909),""k""),
VALUE(REGEXEXTRACT(O5909,""[0-9]+""))*1000,
VALUE(REGEXEXTRACT(O5909,""[0-9]+""))
),
0
)"),0.0)</f>
        <v>0</v>
      </c>
      <c r="E5909" s="1" t="s">
        <v>11</v>
      </c>
      <c r="F5909" s="1" t="s">
        <v>12</v>
      </c>
      <c r="G5909" s="4" t="b">
        <f t="shared" si="2"/>
        <v>1</v>
      </c>
      <c r="H5909" s="1" t="str">
        <f t="shared" si="3"/>
        <v>Currently Unavailable</v>
      </c>
      <c r="I5909" s="1" t="str">
        <f t="shared" si="4"/>
        <v>No Badges</v>
      </c>
      <c r="J5909" s="3">
        <f t="shared" si="5"/>
        <v>0</v>
      </c>
    </row>
    <row r="5910">
      <c r="A5910" s="1" t="s">
        <v>4425</v>
      </c>
      <c r="B5910" s="3" t="str">
        <f t="shared" si="1"/>
        <v>Unavailable</v>
      </c>
      <c r="C5910" s="3">
        <v>1.0</v>
      </c>
      <c r="D5910" s="3">
        <f>IFERROR(__xludf.DUMMYFUNCTION("IFERROR(
IF(REGEXMATCH(LOWER(O5910),""k""),
VALUE(REGEXEXTRACT(O5910,""[0-9]+""))*1000,
VALUE(REGEXEXTRACT(O5910,""[0-9]+""))
),
0
)"),0.0)</f>
        <v>0</v>
      </c>
      <c r="E5910" s="1" t="s">
        <v>11</v>
      </c>
      <c r="F5910" s="1" t="s">
        <v>12</v>
      </c>
      <c r="G5910" s="4" t="b">
        <f t="shared" si="2"/>
        <v>1</v>
      </c>
      <c r="H5910" s="1" t="str">
        <f t="shared" si="3"/>
        <v>Currently Unavailable</v>
      </c>
      <c r="I5910" s="1" t="str">
        <f t="shared" si="4"/>
        <v>No Badges</v>
      </c>
      <c r="J5910" s="3">
        <f t="shared" si="5"/>
        <v>0</v>
      </c>
    </row>
    <row r="5911">
      <c r="A5911" s="1" t="s">
        <v>701</v>
      </c>
      <c r="B5911" s="3" t="str">
        <f t="shared" si="1"/>
        <v>Unavailable</v>
      </c>
      <c r="C5911" s="3">
        <v>8.0</v>
      </c>
      <c r="D5911" s="3">
        <f>IFERROR(__xludf.DUMMYFUNCTION("IFERROR(
IF(REGEXMATCH(LOWER(O5911),""k""),
VALUE(REGEXEXTRACT(O5911,""[0-9]+""))*1000,
VALUE(REGEXEXTRACT(O5911,""[0-9]+""))
),
0
)"),0.0)</f>
        <v>0</v>
      </c>
      <c r="E5911" s="1" t="s">
        <v>11</v>
      </c>
      <c r="F5911" s="1" t="s">
        <v>12</v>
      </c>
      <c r="G5911" s="4" t="b">
        <f t="shared" si="2"/>
        <v>1</v>
      </c>
      <c r="H5911" s="1" t="str">
        <f t="shared" si="3"/>
        <v>Currently Unavailable</v>
      </c>
      <c r="I5911" s="1" t="str">
        <f t="shared" si="4"/>
        <v>No Badges</v>
      </c>
      <c r="J5911" s="3">
        <f t="shared" si="5"/>
        <v>0</v>
      </c>
    </row>
    <row r="5912">
      <c r="A5912" s="1" t="s">
        <v>4426</v>
      </c>
      <c r="B5912" s="3" t="str">
        <f t="shared" si="1"/>
        <v>Unavailable</v>
      </c>
      <c r="C5912" s="5">
        <v>1226.0</v>
      </c>
      <c r="D5912" s="3">
        <f>IFERROR(__xludf.DUMMYFUNCTION("IFERROR(
IF(REGEXMATCH(LOWER(O5912),""k""),
VALUE(REGEXEXTRACT(O5912,""[0-9]+""))*1000,
VALUE(REGEXEXTRACT(O5912,""[0-9]+""))
),
0
)"),0.0)</f>
        <v>0</v>
      </c>
      <c r="E5912" s="1" t="s">
        <v>11</v>
      </c>
      <c r="F5912" s="1" t="s">
        <v>20</v>
      </c>
      <c r="G5912" s="4" t="b">
        <f t="shared" si="2"/>
        <v>1</v>
      </c>
      <c r="H5912" s="1" t="str">
        <f t="shared" si="3"/>
        <v>Currently Unavailable</v>
      </c>
      <c r="I5912" s="1" t="str">
        <f t="shared" si="4"/>
        <v>No Badges</v>
      </c>
      <c r="J5912" s="3">
        <f t="shared" si="5"/>
        <v>0</v>
      </c>
    </row>
    <row r="5913">
      <c r="A5913" s="1" t="s">
        <v>4427</v>
      </c>
      <c r="B5913" s="3" t="str">
        <f t="shared" si="1"/>
        <v>Unavailable</v>
      </c>
      <c r="C5913" s="3">
        <v>229.0</v>
      </c>
      <c r="D5913" s="3">
        <f>IFERROR(__xludf.DUMMYFUNCTION("IFERROR(
IF(REGEXMATCH(LOWER(O5913),""k""),
VALUE(REGEXEXTRACT(O5913,""[0-9]+""))*1000,
VALUE(REGEXEXTRACT(O5913,""[0-9]+""))
),
0
)"),0.0)</f>
        <v>0</v>
      </c>
      <c r="E5913" s="1" t="s">
        <v>11</v>
      </c>
      <c r="F5913" s="1" t="s">
        <v>20</v>
      </c>
      <c r="G5913" s="4" t="b">
        <f t="shared" si="2"/>
        <v>1</v>
      </c>
      <c r="H5913" s="1" t="str">
        <f t="shared" si="3"/>
        <v>Currently Unavailable</v>
      </c>
      <c r="I5913" s="1" t="str">
        <f t="shared" si="4"/>
        <v>No Badges</v>
      </c>
      <c r="J5913" s="3">
        <f t="shared" si="5"/>
        <v>0</v>
      </c>
    </row>
    <row r="5914">
      <c r="A5914" s="1" t="s">
        <v>88</v>
      </c>
      <c r="B5914" s="3" t="str">
        <f t="shared" si="1"/>
        <v>Unavailable</v>
      </c>
      <c r="C5914" s="3">
        <v>5.0</v>
      </c>
      <c r="D5914" s="3">
        <f>IFERROR(__xludf.DUMMYFUNCTION("IFERROR(
IF(REGEXMATCH(LOWER(O5914),""k""),
VALUE(REGEXEXTRACT(O5914,""[0-9]+""))*1000,
VALUE(REGEXEXTRACT(O5914,""[0-9]+""))
),
0
)"),0.0)</f>
        <v>0</v>
      </c>
      <c r="E5914" s="1" t="s">
        <v>11</v>
      </c>
      <c r="F5914" s="1" t="s">
        <v>12</v>
      </c>
      <c r="G5914" s="4" t="b">
        <f t="shared" si="2"/>
        <v>1</v>
      </c>
      <c r="H5914" s="1" t="str">
        <f t="shared" si="3"/>
        <v>Currently Unavailable</v>
      </c>
      <c r="I5914" s="1" t="str">
        <f t="shared" si="4"/>
        <v>No Badges</v>
      </c>
      <c r="J5914" s="3">
        <f t="shared" si="5"/>
        <v>0</v>
      </c>
    </row>
    <row r="5915">
      <c r="A5915" s="1" t="s">
        <v>4428</v>
      </c>
      <c r="B5915" s="3" t="str">
        <f t="shared" si="1"/>
        <v>Unavailable</v>
      </c>
      <c r="C5915" s="3">
        <v>121.0</v>
      </c>
      <c r="D5915" s="3">
        <f>IFERROR(__xludf.DUMMYFUNCTION("IFERROR(
IF(REGEXMATCH(LOWER(O5915),""k""),
VALUE(REGEXEXTRACT(O5915,""[0-9]+""))*1000,
VALUE(REGEXEXTRACT(O5915,""[0-9]+""))
),
0
)"),0.0)</f>
        <v>0</v>
      </c>
      <c r="E5915" s="1" t="s">
        <v>11</v>
      </c>
      <c r="F5915" s="1" t="s">
        <v>20</v>
      </c>
      <c r="G5915" s="4" t="b">
        <f t="shared" si="2"/>
        <v>1</v>
      </c>
      <c r="H5915" s="1" t="str">
        <f t="shared" si="3"/>
        <v>Currently Unavailable</v>
      </c>
      <c r="I5915" s="1" t="str">
        <f t="shared" si="4"/>
        <v>No Badges</v>
      </c>
      <c r="J5915" s="3">
        <f t="shared" si="5"/>
        <v>0</v>
      </c>
    </row>
    <row r="5916">
      <c r="A5916" s="1" t="s">
        <v>4429</v>
      </c>
      <c r="B5916" s="3" t="str">
        <f t="shared" si="1"/>
        <v>Unavailable</v>
      </c>
      <c r="C5916" s="5">
        <v>3441.0</v>
      </c>
      <c r="D5916" s="3">
        <f>IFERROR(__xludf.DUMMYFUNCTION("IFERROR(
IF(REGEXMATCH(LOWER(O5916),""k""),
VALUE(REGEXEXTRACT(O5916,""[0-9]+""))*1000,
VALUE(REGEXEXTRACT(O5916,""[0-9]+""))
),
0
)"),0.0)</f>
        <v>0</v>
      </c>
      <c r="E5916" s="1" t="s">
        <v>11</v>
      </c>
      <c r="F5916" s="1" t="s">
        <v>20</v>
      </c>
      <c r="G5916" s="4" t="b">
        <f t="shared" si="2"/>
        <v>1</v>
      </c>
      <c r="H5916" s="1" t="str">
        <f t="shared" si="3"/>
        <v>Currently Unavailable</v>
      </c>
      <c r="I5916" s="1" t="str">
        <f t="shared" si="4"/>
        <v>No Badges</v>
      </c>
      <c r="J5916" s="3">
        <f t="shared" si="5"/>
        <v>0</v>
      </c>
    </row>
    <row r="5917">
      <c r="A5917" s="1" t="s">
        <v>4430</v>
      </c>
      <c r="B5917" s="3" t="str">
        <f t="shared" si="1"/>
        <v>Unavailable</v>
      </c>
      <c r="C5917" s="5">
        <v>1110.0</v>
      </c>
      <c r="D5917" s="3">
        <f>IFERROR(__xludf.DUMMYFUNCTION("IFERROR(
IF(REGEXMATCH(LOWER(O5917),""k""),
VALUE(REGEXEXTRACT(O5917,""[0-9]+""))*1000,
VALUE(REGEXEXTRACT(O5917,""[0-9]+""))
),
0
)"),0.0)</f>
        <v>0</v>
      </c>
      <c r="E5917" s="1" t="s">
        <v>11</v>
      </c>
      <c r="F5917" s="1" t="s">
        <v>20</v>
      </c>
      <c r="G5917" s="4" t="b">
        <f t="shared" si="2"/>
        <v>1</v>
      </c>
      <c r="H5917" s="1" t="str">
        <f t="shared" si="3"/>
        <v>Currently Unavailable</v>
      </c>
      <c r="I5917" s="1" t="str">
        <f t="shared" si="4"/>
        <v>No Badges</v>
      </c>
      <c r="J5917" s="3">
        <f t="shared" si="5"/>
        <v>0</v>
      </c>
    </row>
    <row r="5918">
      <c r="A5918" s="1" t="s">
        <v>4431</v>
      </c>
      <c r="B5918" s="3" t="str">
        <f t="shared" si="1"/>
        <v>Unavailable</v>
      </c>
      <c r="C5918" s="5">
        <v>5076.0</v>
      </c>
      <c r="D5918" s="3">
        <f>IFERROR(__xludf.DUMMYFUNCTION("IFERROR(
IF(REGEXMATCH(LOWER(O5918),""k""),
VALUE(REGEXEXTRACT(O5918,""[0-9]+""))*1000,
VALUE(REGEXEXTRACT(O5918,""[0-9]+""))
),
0
)"),0.0)</f>
        <v>0</v>
      </c>
      <c r="E5918" s="1" t="s">
        <v>11</v>
      </c>
      <c r="F5918" s="1" t="s">
        <v>20</v>
      </c>
      <c r="G5918" s="4" t="b">
        <f t="shared" si="2"/>
        <v>1</v>
      </c>
      <c r="H5918" s="1" t="str">
        <f t="shared" si="3"/>
        <v>Currently Unavailable</v>
      </c>
      <c r="I5918" s="1" t="str">
        <f t="shared" si="4"/>
        <v>No Badges</v>
      </c>
      <c r="J5918" s="3">
        <f t="shared" si="5"/>
        <v>0</v>
      </c>
    </row>
    <row r="5919">
      <c r="A5919" s="1" t="s">
        <v>4432</v>
      </c>
      <c r="B5919" s="3" t="str">
        <f t="shared" si="1"/>
        <v>Unavailable</v>
      </c>
      <c r="C5919" s="5">
        <v>2125.0</v>
      </c>
      <c r="D5919" s="3">
        <f>IFERROR(__xludf.DUMMYFUNCTION("IFERROR(
IF(REGEXMATCH(LOWER(O5919),""k""),
VALUE(REGEXEXTRACT(O5919,""[0-9]+""))*1000,
VALUE(REGEXEXTRACT(O5919,""[0-9]+""))
),
0
)"),0.0)</f>
        <v>0</v>
      </c>
      <c r="E5919" s="1" t="s">
        <v>11</v>
      </c>
      <c r="F5919" s="1" t="s">
        <v>20</v>
      </c>
      <c r="G5919" s="4" t="b">
        <f t="shared" si="2"/>
        <v>1</v>
      </c>
      <c r="H5919" s="1" t="str">
        <f t="shared" si="3"/>
        <v>Currently Unavailable</v>
      </c>
      <c r="I5919" s="1" t="str">
        <f t="shared" si="4"/>
        <v>No Badges</v>
      </c>
      <c r="J5919" s="3">
        <f t="shared" si="5"/>
        <v>0</v>
      </c>
    </row>
    <row r="5920">
      <c r="A5920" s="1" t="s">
        <v>4433</v>
      </c>
      <c r="B5920" s="3" t="str">
        <f t="shared" si="1"/>
        <v>Unavailable</v>
      </c>
      <c r="C5920" s="5">
        <v>3485.0</v>
      </c>
      <c r="D5920" s="3">
        <f>IFERROR(__xludf.DUMMYFUNCTION("IFERROR(
IF(REGEXMATCH(LOWER(O5920),""k""),
VALUE(REGEXEXTRACT(O5920,""[0-9]+""))*1000,
VALUE(REGEXEXTRACT(O5920,""[0-9]+""))
),
0
)"),0.0)</f>
        <v>0</v>
      </c>
      <c r="E5920" s="1" t="s">
        <v>11</v>
      </c>
      <c r="F5920" s="1" t="s">
        <v>20</v>
      </c>
      <c r="G5920" s="4" t="b">
        <f t="shared" si="2"/>
        <v>1</v>
      </c>
      <c r="H5920" s="1" t="str">
        <f t="shared" si="3"/>
        <v>Currently Unavailable</v>
      </c>
      <c r="I5920" s="1" t="str">
        <f t="shared" si="4"/>
        <v>No Badges</v>
      </c>
      <c r="J5920" s="3">
        <f t="shared" si="5"/>
        <v>0</v>
      </c>
    </row>
    <row r="5921">
      <c r="A5921" s="1" t="s">
        <v>4434</v>
      </c>
      <c r="B5921" s="3" t="str">
        <f t="shared" si="1"/>
        <v>Unavailable</v>
      </c>
      <c r="C5921" s="5">
        <v>1146.0</v>
      </c>
      <c r="D5921" s="3">
        <f>IFERROR(__xludf.DUMMYFUNCTION("IFERROR(
IF(REGEXMATCH(LOWER(O5921),""k""),
VALUE(REGEXEXTRACT(O5921,""[0-9]+""))*1000,
VALUE(REGEXEXTRACT(O5921,""[0-9]+""))
),
0
)"),0.0)</f>
        <v>0</v>
      </c>
      <c r="E5921" s="1" t="s">
        <v>11</v>
      </c>
      <c r="F5921" s="1" t="s">
        <v>20</v>
      </c>
      <c r="G5921" s="4" t="b">
        <f t="shared" si="2"/>
        <v>1</v>
      </c>
      <c r="H5921" s="1" t="str">
        <f t="shared" si="3"/>
        <v>Currently Unavailable</v>
      </c>
      <c r="I5921" s="1" t="str">
        <f t="shared" si="4"/>
        <v>No Badges</v>
      </c>
      <c r="J5921" s="3">
        <f t="shared" si="5"/>
        <v>0</v>
      </c>
    </row>
    <row r="5922">
      <c r="A5922" s="1" t="s">
        <v>4435</v>
      </c>
      <c r="B5922" s="3" t="str">
        <f t="shared" si="1"/>
        <v>Unavailable</v>
      </c>
      <c r="C5922" s="5">
        <v>3827.0</v>
      </c>
      <c r="D5922" s="3">
        <f>IFERROR(__xludf.DUMMYFUNCTION("IFERROR(
IF(REGEXMATCH(LOWER(O5922),""k""),
VALUE(REGEXEXTRACT(O5922,""[0-9]+""))*1000,
VALUE(REGEXEXTRACT(O5922,""[0-9]+""))
),
0
)"),0.0)</f>
        <v>0</v>
      </c>
      <c r="E5922" s="1" t="s">
        <v>11</v>
      </c>
      <c r="F5922" s="1" t="s">
        <v>20</v>
      </c>
      <c r="G5922" s="4" t="b">
        <f t="shared" si="2"/>
        <v>1</v>
      </c>
      <c r="H5922" s="1" t="str">
        <f t="shared" si="3"/>
        <v>Currently Unavailable</v>
      </c>
      <c r="I5922" s="1" t="str">
        <f t="shared" si="4"/>
        <v>No Badges</v>
      </c>
      <c r="J5922" s="3">
        <f t="shared" si="5"/>
        <v>0</v>
      </c>
    </row>
    <row r="5923">
      <c r="A5923" s="1" t="s">
        <v>4436</v>
      </c>
      <c r="B5923" s="3" t="str">
        <f t="shared" si="1"/>
        <v>Unavailable</v>
      </c>
      <c r="C5923" s="3">
        <v>953.0</v>
      </c>
      <c r="D5923" s="3">
        <f>IFERROR(__xludf.DUMMYFUNCTION("IFERROR(
IF(REGEXMATCH(LOWER(O5923),""k""),
VALUE(REGEXEXTRACT(O5923,""[0-9]+""))*1000,
VALUE(REGEXEXTRACT(O5923,""[0-9]+""))
),
0
)"),0.0)</f>
        <v>0</v>
      </c>
      <c r="E5923" s="1" t="s">
        <v>11</v>
      </c>
      <c r="F5923" s="1" t="s">
        <v>20</v>
      </c>
      <c r="G5923" s="4" t="b">
        <f t="shared" si="2"/>
        <v>1</v>
      </c>
      <c r="H5923" s="1" t="str">
        <f t="shared" si="3"/>
        <v>Currently Unavailable</v>
      </c>
      <c r="I5923" s="1" t="str">
        <f t="shared" si="4"/>
        <v>No Badges</v>
      </c>
      <c r="J5923" s="3">
        <f t="shared" si="5"/>
        <v>0</v>
      </c>
    </row>
    <row r="5924">
      <c r="A5924" s="1" t="s">
        <v>4437</v>
      </c>
      <c r="B5924" s="3" t="str">
        <f t="shared" si="1"/>
        <v>Unavailable</v>
      </c>
      <c r="C5924" s="5">
        <v>1820.0</v>
      </c>
      <c r="D5924" s="3">
        <f>IFERROR(__xludf.DUMMYFUNCTION("IFERROR(
IF(REGEXMATCH(LOWER(O5924),""k""),
VALUE(REGEXEXTRACT(O5924,""[0-9]+""))*1000,
VALUE(REGEXEXTRACT(O5924,""[0-9]+""))
),
0
)"),0.0)</f>
        <v>0</v>
      </c>
      <c r="E5924" s="1" t="s">
        <v>11</v>
      </c>
      <c r="F5924" s="1" t="s">
        <v>20</v>
      </c>
      <c r="G5924" s="4" t="b">
        <f t="shared" si="2"/>
        <v>1</v>
      </c>
      <c r="H5924" s="1" t="str">
        <f t="shared" si="3"/>
        <v>Currently Unavailable</v>
      </c>
      <c r="I5924" s="1" t="str">
        <f t="shared" si="4"/>
        <v>No Badges</v>
      </c>
      <c r="J5924" s="3">
        <f t="shared" si="5"/>
        <v>0</v>
      </c>
    </row>
    <row r="5925">
      <c r="A5925" s="1" t="s">
        <v>4438</v>
      </c>
      <c r="B5925" s="3" t="str">
        <f t="shared" si="1"/>
        <v>Unavailable</v>
      </c>
      <c r="C5925" s="3">
        <v>342.0</v>
      </c>
      <c r="D5925" s="3">
        <f>IFERROR(__xludf.DUMMYFUNCTION("IFERROR(
IF(REGEXMATCH(LOWER(O5925),""k""),
VALUE(REGEXEXTRACT(O5925,""[0-9]+""))*1000,
VALUE(REGEXEXTRACT(O5925,""[0-9]+""))
),
0
)"),0.0)</f>
        <v>0</v>
      </c>
      <c r="E5925" s="1" t="s">
        <v>11</v>
      </c>
      <c r="F5925" s="1" t="s">
        <v>20</v>
      </c>
      <c r="G5925" s="4" t="b">
        <f t="shared" si="2"/>
        <v>1</v>
      </c>
      <c r="H5925" s="1" t="str">
        <f t="shared" si="3"/>
        <v>Currently Unavailable</v>
      </c>
      <c r="I5925" s="1" t="str">
        <f t="shared" si="4"/>
        <v>No Badges</v>
      </c>
      <c r="J5925" s="3">
        <f t="shared" si="5"/>
        <v>0</v>
      </c>
    </row>
    <row r="5926">
      <c r="A5926" s="1" t="s">
        <v>4439</v>
      </c>
      <c r="B5926" s="3" t="str">
        <f t="shared" si="1"/>
        <v>Unavailable</v>
      </c>
      <c r="C5926" s="3">
        <v>988.0</v>
      </c>
      <c r="D5926" s="3">
        <f>IFERROR(__xludf.DUMMYFUNCTION("IFERROR(
IF(REGEXMATCH(LOWER(O5926),""k""),
VALUE(REGEXEXTRACT(O5926,""[0-9]+""))*1000,
VALUE(REGEXEXTRACT(O5926,""[0-9]+""))
),
0
)"),0.0)</f>
        <v>0</v>
      </c>
      <c r="E5926" s="1" t="s">
        <v>11</v>
      </c>
      <c r="F5926" s="1" t="s">
        <v>20</v>
      </c>
      <c r="G5926" s="4" t="b">
        <f t="shared" si="2"/>
        <v>1</v>
      </c>
      <c r="H5926" s="1" t="str">
        <f t="shared" si="3"/>
        <v>Currently Unavailable</v>
      </c>
      <c r="I5926" s="1" t="str">
        <f t="shared" si="4"/>
        <v>No Badges</v>
      </c>
      <c r="J5926" s="3">
        <f t="shared" si="5"/>
        <v>0</v>
      </c>
    </row>
    <row r="5927">
      <c r="A5927" s="1" t="s">
        <v>69</v>
      </c>
      <c r="B5927" s="3" t="str">
        <f t="shared" si="1"/>
        <v>Unavailable</v>
      </c>
      <c r="C5927" s="3">
        <v>45.0</v>
      </c>
      <c r="D5927" s="3">
        <f>IFERROR(__xludf.DUMMYFUNCTION("IFERROR(
IF(REGEXMATCH(LOWER(O5927),""k""),
VALUE(REGEXEXTRACT(O5927,""[0-9]+""))*1000,
VALUE(REGEXEXTRACT(O5927,""[0-9]+""))
),
0
)"),0.0)</f>
        <v>0</v>
      </c>
      <c r="E5927" s="1" t="s">
        <v>11</v>
      </c>
      <c r="F5927" s="1" t="s">
        <v>12</v>
      </c>
      <c r="G5927" s="4" t="b">
        <f t="shared" si="2"/>
        <v>1</v>
      </c>
      <c r="H5927" s="1" t="str">
        <f t="shared" si="3"/>
        <v>Currently Unavailable</v>
      </c>
      <c r="I5927" s="1" t="str">
        <f t="shared" si="4"/>
        <v>No Badges</v>
      </c>
      <c r="J5927" s="3">
        <f t="shared" si="5"/>
        <v>0</v>
      </c>
    </row>
    <row r="5928">
      <c r="A5928" s="1" t="s">
        <v>67</v>
      </c>
      <c r="B5928" s="3" t="str">
        <f t="shared" si="1"/>
        <v>Unavailable</v>
      </c>
      <c r="C5928" s="3">
        <v>264.0</v>
      </c>
      <c r="D5928" s="3">
        <f>IFERROR(__xludf.DUMMYFUNCTION("IFERROR(
IF(REGEXMATCH(LOWER(O5928),""k""),
VALUE(REGEXEXTRACT(O5928,""[0-9]+""))*1000,
VALUE(REGEXEXTRACT(O5928,""[0-9]+""))
),
0
)"),0.0)</f>
        <v>0</v>
      </c>
      <c r="E5928" s="1" t="s">
        <v>11</v>
      </c>
      <c r="F5928" s="1" t="s">
        <v>12</v>
      </c>
      <c r="G5928" s="4" t="b">
        <f t="shared" si="2"/>
        <v>1</v>
      </c>
      <c r="H5928" s="1" t="str">
        <f t="shared" si="3"/>
        <v>Currently Unavailable</v>
      </c>
      <c r="I5928" s="1" t="str">
        <f t="shared" si="4"/>
        <v>No Badges</v>
      </c>
      <c r="J5928" s="3">
        <f t="shared" si="5"/>
        <v>0</v>
      </c>
    </row>
    <row r="5929">
      <c r="A5929" s="1" t="s">
        <v>4440</v>
      </c>
      <c r="B5929" s="3" t="str">
        <f t="shared" si="1"/>
        <v>Unavailable</v>
      </c>
      <c r="C5929" s="3">
        <v>649.0</v>
      </c>
      <c r="D5929" s="3">
        <f>IFERROR(__xludf.DUMMYFUNCTION("IFERROR(
IF(REGEXMATCH(LOWER(O5929),""k""),
VALUE(REGEXEXTRACT(O5929,""[0-9]+""))*1000,
VALUE(REGEXEXTRACT(O5929,""[0-9]+""))
),
0
)"),0.0)</f>
        <v>0</v>
      </c>
      <c r="E5929" s="1" t="s">
        <v>11</v>
      </c>
      <c r="F5929" s="1" t="s">
        <v>20</v>
      </c>
      <c r="G5929" s="4" t="b">
        <f t="shared" si="2"/>
        <v>1</v>
      </c>
      <c r="H5929" s="1" t="str">
        <f t="shared" si="3"/>
        <v>Currently Unavailable</v>
      </c>
      <c r="I5929" s="1" t="str">
        <f t="shared" si="4"/>
        <v>No Badges</v>
      </c>
      <c r="J5929" s="3">
        <f t="shared" si="5"/>
        <v>0</v>
      </c>
    </row>
    <row r="5930">
      <c r="A5930" s="1" t="s">
        <v>4441</v>
      </c>
      <c r="B5930" s="3" t="str">
        <f t="shared" si="1"/>
        <v>Unavailable</v>
      </c>
      <c r="C5930" s="3">
        <v>608.0</v>
      </c>
      <c r="D5930" s="3">
        <f>IFERROR(__xludf.DUMMYFUNCTION("IFERROR(
IF(REGEXMATCH(LOWER(O5930),""k""),
VALUE(REGEXEXTRACT(O5930,""[0-9]+""))*1000,
VALUE(REGEXEXTRACT(O5930,""[0-9]+""))
),
0
)"),0.0)</f>
        <v>0</v>
      </c>
      <c r="E5930" s="1" t="s">
        <v>11</v>
      </c>
      <c r="F5930" s="1" t="s">
        <v>20</v>
      </c>
      <c r="G5930" s="4" t="b">
        <f t="shared" si="2"/>
        <v>1</v>
      </c>
      <c r="H5930" s="1" t="str">
        <f t="shared" si="3"/>
        <v>Currently Unavailable</v>
      </c>
      <c r="I5930" s="1" t="str">
        <f t="shared" si="4"/>
        <v>No Badges</v>
      </c>
      <c r="J5930" s="3">
        <f t="shared" si="5"/>
        <v>0</v>
      </c>
    </row>
    <row r="5931">
      <c r="A5931" s="1" t="s">
        <v>4442</v>
      </c>
      <c r="B5931" s="3" t="str">
        <f t="shared" si="1"/>
        <v>Unavailable</v>
      </c>
      <c r="C5931" s="3">
        <v>73.0</v>
      </c>
      <c r="D5931" s="3">
        <f>IFERROR(__xludf.DUMMYFUNCTION("IFERROR(
IF(REGEXMATCH(LOWER(O5931),""k""),
VALUE(REGEXEXTRACT(O5931,""[0-9]+""))*1000,
VALUE(REGEXEXTRACT(O5931,""[0-9]+""))
),
0
)"),0.0)</f>
        <v>0</v>
      </c>
      <c r="E5931" s="1" t="s">
        <v>11</v>
      </c>
      <c r="F5931" s="1" t="s">
        <v>20</v>
      </c>
      <c r="G5931" s="4" t="b">
        <f t="shared" si="2"/>
        <v>1</v>
      </c>
      <c r="H5931" s="1" t="str">
        <f t="shared" si="3"/>
        <v>Currently Unavailable</v>
      </c>
      <c r="I5931" s="1" t="str">
        <f t="shared" si="4"/>
        <v>No Badges</v>
      </c>
      <c r="J5931" s="3">
        <f t="shared" si="5"/>
        <v>0</v>
      </c>
    </row>
    <row r="5932">
      <c r="A5932" s="1" t="s">
        <v>4443</v>
      </c>
      <c r="B5932" s="3" t="str">
        <f t="shared" si="1"/>
        <v>Unavailable</v>
      </c>
      <c r="C5932" s="5">
        <v>13092.0</v>
      </c>
      <c r="D5932" s="3">
        <f>IFERROR(__xludf.DUMMYFUNCTION("IFERROR(
IF(REGEXMATCH(LOWER(O5932),""k""),
VALUE(REGEXEXTRACT(O5932,""[0-9]+""))*1000,
VALUE(REGEXEXTRACT(O5932,""[0-9]+""))
),
0
)"),0.0)</f>
        <v>0</v>
      </c>
      <c r="E5932" s="1" t="s">
        <v>11</v>
      </c>
      <c r="F5932" s="1" t="s">
        <v>20</v>
      </c>
      <c r="G5932" s="4" t="b">
        <f t="shared" si="2"/>
        <v>1</v>
      </c>
      <c r="H5932" s="1" t="str">
        <f t="shared" si="3"/>
        <v>Currently Unavailable</v>
      </c>
      <c r="I5932" s="1" t="str">
        <f t="shared" si="4"/>
        <v>No Badges</v>
      </c>
      <c r="J5932" s="3">
        <f t="shared" si="5"/>
        <v>0</v>
      </c>
    </row>
    <row r="5933">
      <c r="A5933" s="1" t="s">
        <v>4444</v>
      </c>
      <c r="B5933" s="3" t="str">
        <f t="shared" si="1"/>
        <v>Unavailable</v>
      </c>
      <c r="C5933" s="5">
        <v>12305.0</v>
      </c>
      <c r="D5933" s="3">
        <f>IFERROR(__xludf.DUMMYFUNCTION("IFERROR(
IF(REGEXMATCH(LOWER(O5933),""k""),
VALUE(REGEXEXTRACT(O5933,""[0-9]+""))*1000,
VALUE(REGEXEXTRACT(O5933,""[0-9]+""))
),
0
)"),0.0)</f>
        <v>0</v>
      </c>
      <c r="E5933" s="1" t="s">
        <v>11</v>
      </c>
      <c r="F5933" s="1" t="s">
        <v>20</v>
      </c>
      <c r="G5933" s="4" t="b">
        <f t="shared" si="2"/>
        <v>1</v>
      </c>
      <c r="H5933" s="1" t="str">
        <f t="shared" si="3"/>
        <v>Currently Unavailable</v>
      </c>
      <c r="I5933" s="1" t="str">
        <f t="shared" si="4"/>
        <v>No Badges</v>
      </c>
      <c r="J5933" s="3">
        <f t="shared" si="5"/>
        <v>0</v>
      </c>
    </row>
    <row r="5934">
      <c r="A5934" s="1" t="s">
        <v>4445</v>
      </c>
      <c r="B5934" s="3" t="str">
        <f t="shared" si="1"/>
        <v>Unavailable</v>
      </c>
      <c r="C5934" s="5">
        <v>4746.0</v>
      </c>
      <c r="D5934" s="3">
        <f>IFERROR(__xludf.DUMMYFUNCTION("IFERROR(
IF(REGEXMATCH(LOWER(O5934),""k""),
VALUE(REGEXEXTRACT(O5934,""[0-9]+""))*1000,
VALUE(REGEXEXTRACT(O5934,""[0-9]+""))
),
0
)"),0.0)</f>
        <v>0</v>
      </c>
      <c r="E5934" s="1" t="s">
        <v>11</v>
      </c>
      <c r="F5934" s="1" t="s">
        <v>20</v>
      </c>
      <c r="G5934" s="4" t="b">
        <f t="shared" si="2"/>
        <v>1</v>
      </c>
      <c r="H5934" s="1" t="str">
        <f t="shared" si="3"/>
        <v>Currently Unavailable</v>
      </c>
      <c r="I5934" s="1" t="str">
        <f t="shared" si="4"/>
        <v>No Badges</v>
      </c>
      <c r="J5934" s="3">
        <f t="shared" si="5"/>
        <v>0</v>
      </c>
    </row>
    <row r="5935">
      <c r="A5935" s="1" t="s">
        <v>4446</v>
      </c>
      <c r="B5935" s="3" t="str">
        <f t="shared" si="1"/>
        <v>Unavailable</v>
      </c>
      <c r="C5935" s="5">
        <v>9883.0</v>
      </c>
      <c r="D5935" s="3">
        <f>IFERROR(__xludf.DUMMYFUNCTION("IFERROR(
IF(REGEXMATCH(LOWER(O5935),""k""),
VALUE(REGEXEXTRACT(O5935,""[0-9]+""))*1000,
VALUE(REGEXEXTRACT(O5935,""[0-9]+""))
),
0
)"),0.0)</f>
        <v>0</v>
      </c>
      <c r="E5935" s="1" t="s">
        <v>11</v>
      </c>
      <c r="F5935" s="1" t="s">
        <v>20</v>
      </c>
      <c r="G5935" s="4" t="b">
        <f t="shared" si="2"/>
        <v>1</v>
      </c>
      <c r="H5935" s="1" t="str">
        <f t="shared" si="3"/>
        <v>Currently Unavailable</v>
      </c>
      <c r="I5935" s="1" t="str">
        <f t="shared" si="4"/>
        <v>No Badges</v>
      </c>
      <c r="J5935" s="3">
        <f t="shared" si="5"/>
        <v>0</v>
      </c>
    </row>
    <row r="5936">
      <c r="A5936" s="1" t="s">
        <v>4447</v>
      </c>
      <c r="B5936" s="3" t="str">
        <f t="shared" si="1"/>
        <v>Unavailable</v>
      </c>
      <c r="C5936" s="3">
        <v>89.0</v>
      </c>
      <c r="D5936" s="3">
        <f>IFERROR(__xludf.DUMMYFUNCTION("IFERROR(
IF(REGEXMATCH(LOWER(O5936),""k""),
VALUE(REGEXEXTRACT(O5936,""[0-9]+""))*1000,
VALUE(REGEXEXTRACT(O5936,""[0-9]+""))
),
0
)"),0.0)</f>
        <v>0</v>
      </c>
      <c r="E5936" s="1" t="s">
        <v>11</v>
      </c>
      <c r="F5936" s="1" t="s">
        <v>20</v>
      </c>
      <c r="G5936" s="4" t="b">
        <f t="shared" si="2"/>
        <v>1</v>
      </c>
      <c r="H5936" s="1" t="str">
        <f t="shared" si="3"/>
        <v>Currently Unavailable</v>
      </c>
      <c r="I5936" s="1" t="str">
        <f t="shared" si="4"/>
        <v>No Badges</v>
      </c>
      <c r="J5936" s="3">
        <f t="shared" si="5"/>
        <v>0</v>
      </c>
    </row>
    <row r="5937">
      <c r="A5937" s="1" t="s">
        <v>4448</v>
      </c>
      <c r="B5937" s="3" t="str">
        <f t="shared" si="1"/>
        <v>Unavailable</v>
      </c>
      <c r="C5937" s="3">
        <v>642.0</v>
      </c>
      <c r="D5937" s="3">
        <f>IFERROR(__xludf.DUMMYFUNCTION("IFERROR(
IF(REGEXMATCH(LOWER(O5937),""k""),
VALUE(REGEXEXTRACT(O5937,""[0-9]+""))*1000,
VALUE(REGEXEXTRACT(O5937,""[0-9]+""))
),
0
)"),0.0)</f>
        <v>0</v>
      </c>
      <c r="E5937" s="1" t="s">
        <v>11</v>
      </c>
      <c r="F5937" s="1" t="s">
        <v>20</v>
      </c>
      <c r="G5937" s="4" t="b">
        <f t="shared" si="2"/>
        <v>1</v>
      </c>
      <c r="H5937" s="1" t="str">
        <f t="shared" si="3"/>
        <v>Currently Unavailable</v>
      </c>
      <c r="I5937" s="1" t="str">
        <f t="shared" si="4"/>
        <v>No Badges</v>
      </c>
      <c r="J5937" s="3">
        <f t="shared" si="5"/>
        <v>0</v>
      </c>
    </row>
    <row r="5938">
      <c r="A5938" s="1" t="s">
        <v>4384</v>
      </c>
      <c r="B5938" s="3" t="str">
        <f t="shared" si="1"/>
        <v>Unavailable</v>
      </c>
      <c r="C5938" s="3">
        <v>544.0</v>
      </c>
      <c r="D5938" s="3">
        <f>IFERROR(__xludf.DUMMYFUNCTION("IFERROR(
IF(REGEXMATCH(LOWER(O5938),""k""),
VALUE(REGEXEXTRACT(O5938,""[0-9]+""))*1000,
VALUE(REGEXEXTRACT(O5938,""[0-9]+""))
),
0
)"),0.0)</f>
        <v>0</v>
      </c>
      <c r="E5938" s="1" t="s">
        <v>11</v>
      </c>
      <c r="F5938" s="1" t="s">
        <v>20</v>
      </c>
      <c r="G5938" s="4" t="b">
        <f t="shared" si="2"/>
        <v>1</v>
      </c>
      <c r="H5938" s="1" t="str">
        <f t="shared" si="3"/>
        <v>Currently Unavailable</v>
      </c>
      <c r="I5938" s="1" t="str">
        <f t="shared" si="4"/>
        <v>No Badges</v>
      </c>
      <c r="J5938" s="3">
        <f t="shared" si="5"/>
        <v>0</v>
      </c>
    </row>
    <row r="5939">
      <c r="A5939" s="1" t="s">
        <v>4385</v>
      </c>
      <c r="B5939" s="3" t="str">
        <f t="shared" si="1"/>
        <v>Unavailable</v>
      </c>
      <c r="C5939" s="3">
        <v>623.0</v>
      </c>
      <c r="D5939" s="3">
        <f>IFERROR(__xludf.DUMMYFUNCTION("IFERROR(
IF(REGEXMATCH(LOWER(O5939),""k""),
VALUE(REGEXEXTRACT(O5939,""[0-9]+""))*1000,
VALUE(REGEXEXTRACT(O5939,""[0-9]+""))
),
0
)"),0.0)</f>
        <v>0</v>
      </c>
      <c r="E5939" s="1" t="s">
        <v>11</v>
      </c>
      <c r="F5939" s="1" t="s">
        <v>20</v>
      </c>
      <c r="G5939" s="4" t="b">
        <f t="shared" si="2"/>
        <v>1</v>
      </c>
      <c r="H5939" s="1" t="str">
        <f t="shared" si="3"/>
        <v>Currently Unavailable</v>
      </c>
      <c r="I5939" s="1" t="str">
        <f t="shared" si="4"/>
        <v>No Badges</v>
      </c>
      <c r="J5939" s="3">
        <f t="shared" si="5"/>
        <v>0</v>
      </c>
    </row>
    <row r="5940">
      <c r="A5940" s="1" t="s">
        <v>4449</v>
      </c>
      <c r="B5940" s="3" t="str">
        <f t="shared" si="1"/>
        <v>Unavailable</v>
      </c>
      <c r="C5940" s="3">
        <v>523.0</v>
      </c>
      <c r="D5940" s="3">
        <f>IFERROR(__xludf.DUMMYFUNCTION("IFERROR(
IF(REGEXMATCH(LOWER(O5940),""k""),
VALUE(REGEXEXTRACT(O5940,""[0-9]+""))*1000,
VALUE(REGEXEXTRACT(O5940,""[0-9]+""))
),
0
)"),0.0)</f>
        <v>0</v>
      </c>
      <c r="E5940" s="1" t="s">
        <v>11</v>
      </c>
      <c r="F5940" s="1" t="s">
        <v>20</v>
      </c>
      <c r="G5940" s="4" t="b">
        <f t="shared" si="2"/>
        <v>1</v>
      </c>
      <c r="H5940" s="1" t="str">
        <f t="shared" si="3"/>
        <v>Currently Unavailable</v>
      </c>
      <c r="I5940" s="1" t="str">
        <f t="shared" si="4"/>
        <v>No Badges</v>
      </c>
      <c r="J5940" s="3">
        <f t="shared" si="5"/>
        <v>0</v>
      </c>
    </row>
    <row r="5941">
      <c r="A5941" s="1" t="s">
        <v>4450</v>
      </c>
      <c r="B5941" s="3" t="str">
        <f t="shared" si="1"/>
        <v>Unavailable</v>
      </c>
      <c r="C5941" s="3">
        <v>611.0</v>
      </c>
      <c r="D5941" s="3">
        <f>IFERROR(__xludf.DUMMYFUNCTION("IFERROR(
IF(REGEXMATCH(LOWER(O5941),""k""),
VALUE(REGEXEXTRACT(O5941,""[0-9]+""))*1000,
VALUE(REGEXEXTRACT(O5941,""[0-9]+""))
),
0
)"),0.0)</f>
        <v>0</v>
      </c>
      <c r="E5941" s="1" t="s">
        <v>11</v>
      </c>
      <c r="F5941" s="1" t="s">
        <v>20</v>
      </c>
      <c r="G5941" s="4" t="b">
        <f t="shared" si="2"/>
        <v>1</v>
      </c>
      <c r="H5941" s="1" t="str">
        <f t="shared" si="3"/>
        <v>Currently Unavailable</v>
      </c>
      <c r="I5941" s="1" t="str">
        <f t="shared" si="4"/>
        <v>No Badges</v>
      </c>
      <c r="J5941" s="3">
        <f t="shared" si="5"/>
        <v>0</v>
      </c>
    </row>
    <row r="5942">
      <c r="A5942" s="1" t="s">
        <v>4451</v>
      </c>
      <c r="B5942" s="3" t="str">
        <f t="shared" si="1"/>
        <v>Unavailable</v>
      </c>
      <c r="C5942" s="5">
        <v>4663.0</v>
      </c>
      <c r="D5942" s="3">
        <f>IFERROR(__xludf.DUMMYFUNCTION("IFERROR(
IF(REGEXMATCH(LOWER(O5942),""k""),
VALUE(REGEXEXTRACT(O5942,""[0-9]+""))*1000,
VALUE(REGEXEXTRACT(O5942,""[0-9]+""))
),
0
)"),0.0)</f>
        <v>0</v>
      </c>
      <c r="E5942" s="1" t="s">
        <v>11</v>
      </c>
      <c r="F5942" s="1" t="s">
        <v>20</v>
      </c>
      <c r="G5942" s="4" t="b">
        <f t="shared" si="2"/>
        <v>1</v>
      </c>
      <c r="H5942" s="1" t="str">
        <f t="shared" si="3"/>
        <v>Currently Unavailable</v>
      </c>
      <c r="I5942" s="1" t="str">
        <f t="shared" si="4"/>
        <v>No Badges</v>
      </c>
      <c r="J5942" s="3">
        <f t="shared" si="5"/>
        <v>0</v>
      </c>
    </row>
    <row r="5943">
      <c r="A5943" s="1" t="s">
        <v>701</v>
      </c>
      <c r="B5943" s="3" t="str">
        <f t="shared" si="1"/>
        <v>Unavailable</v>
      </c>
      <c r="C5943" s="3">
        <v>8.0</v>
      </c>
      <c r="D5943" s="3">
        <f>IFERROR(__xludf.DUMMYFUNCTION("IFERROR(
IF(REGEXMATCH(LOWER(O5943),""k""),
VALUE(REGEXEXTRACT(O5943,""[0-9]+""))*1000,
VALUE(REGEXEXTRACT(O5943,""[0-9]+""))
),
0
)"),0.0)</f>
        <v>0</v>
      </c>
      <c r="E5943" s="1" t="s">
        <v>11</v>
      </c>
      <c r="F5943" s="1" t="s">
        <v>12</v>
      </c>
      <c r="G5943" s="4" t="b">
        <f t="shared" si="2"/>
        <v>1</v>
      </c>
      <c r="H5943" s="1" t="str">
        <f t="shared" si="3"/>
        <v>Currently Unavailable</v>
      </c>
      <c r="I5943" s="1" t="str">
        <f t="shared" si="4"/>
        <v>No Badges</v>
      </c>
      <c r="J5943" s="3">
        <f t="shared" si="5"/>
        <v>0</v>
      </c>
    </row>
    <row r="5944">
      <c r="A5944" s="1" t="s">
        <v>4388</v>
      </c>
      <c r="B5944" s="3" t="str">
        <f t="shared" si="1"/>
        <v>Unavailable</v>
      </c>
      <c r="C5944" s="3">
        <v>850.0</v>
      </c>
      <c r="D5944" s="3">
        <f>IFERROR(__xludf.DUMMYFUNCTION("IFERROR(
IF(REGEXMATCH(LOWER(O5944),""k""),
VALUE(REGEXEXTRACT(O5944,""[0-9]+""))*1000,
VALUE(REGEXEXTRACT(O5944,""[0-9]+""))
),
0
)"),0.0)</f>
        <v>0</v>
      </c>
      <c r="E5944" s="1" t="s">
        <v>11</v>
      </c>
      <c r="F5944" s="1" t="s">
        <v>20</v>
      </c>
      <c r="G5944" s="4" t="b">
        <f t="shared" si="2"/>
        <v>1</v>
      </c>
      <c r="H5944" s="1" t="str">
        <f t="shared" si="3"/>
        <v>Currently Unavailable</v>
      </c>
      <c r="I5944" s="1" t="str">
        <f t="shared" si="4"/>
        <v>No Badges</v>
      </c>
      <c r="J5944" s="3">
        <f t="shared" si="5"/>
        <v>0</v>
      </c>
    </row>
    <row r="5945">
      <c r="A5945" s="1" t="s">
        <v>4389</v>
      </c>
      <c r="B5945" s="3" t="str">
        <f t="shared" si="1"/>
        <v>Unavailable</v>
      </c>
      <c r="C5945" s="5">
        <v>2055.0</v>
      </c>
      <c r="D5945" s="3">
        <f>IFERROR(__xludf.DUMMYFUNCTION("IFERROR(
IF(REGEXMATCH(LOWER(O5945),""k""),
VALUE(REGEXEXTRACT(O5945,""[0-9]+""))*1000,
VALUE(REGEXEXTRACT(O5945,""[0-9]+""))
),
0
)"),0.0)</f>
        <v>0</v>
      </c>
      <c r="E5945" s="1" t="s">
        <v>11</v>
      </c>
      <c r="F5945" s="1" t="s">
        <v>20</v>
      </c>
      <c r="G5945" s="4" t="b">
        <f t="shared" si="2"/>
        <v>1</v>
      </c>
      <c r="H5945" s="1" t="str">
        <f t="shared" si="3"/>
        <v>Currently Unavailable</v>
      </c>
      <c r="I5945" s="1" t="str">
        <f t="shared" si="4"/>
        <v>No Badges</v>
      </c>
      <c r="J5945" s="3">
        <f t="shared" si="5"/>
        <v>0</v>
      </c>
    </row>
    <row r="5946">
      <c r="A5946" s="1" t="s">
        <v>4452</v>
      </c>
      <c r="B5946" s="3" t="str">
        <f t="shared" si="1"/>
        <v>Unavailable</v>
      </c>
      <c r="C5946" s="5">
        <v>5180.0</v>
      </c>
      <c r="D5946" s="3">
        <f>IFERROR(__xludf.DUMMYFUNCTION("IFERROR(
IF(REGEXMATCH(LOWER(O5946),""k""),
VALUE(REGEXEXTRACT(O5946,""[0-9]+""))*1000,
VALUE(REGEXEXTRACT(O5946,""[0-9]+""))
),
0
)"),0.0)</f>
        <v>0</v>
      </c>
      <c r="E5946" s="1" t="s">
        <v>18</v>
      </c>
      <c r="F5946" s="1" t="s">
        <v>20</v>
      </c>
      <c r="G5946" s="4" t="b">
        <f t="shared" si="2"/>
        <v>1</v>
      </c>
      <c r="H5946" s="1" t="str">
        <f t="shared" si="3"/>
        <v>Currently Unavailable</v>
      </c>
      <c r="I5946" s="1" t="str">
        <f t="shared" si="4"/>
        <v>No Badges</v>
      </c>
      <c r="J5946" s="3">
        <f t="shared" si="5"/>
        <v>0</v>
      </c>
    </row>
    <row r="5947">
      <c r="A5947" s="1" t="s">
        <v>69</v>
      </c>
      <c r="B5947" s="3" t="str">
        <f t="shared" si="1"/>
        <v>Unavailable</v>
      </c>
      <c r="C5947" s="3">
        <v>45.0</v>
      </c>
      <c r="D5947" s="3">
        <f>IFERROR(__xludf.DUMMYFUNCTION("IFERROR(
IF(REGEXMATCH(LOWER(O5947),""k""),
VALUE(REGEXEXTRACT(O5947,""[0-9]+""))*1000,
VALUE(REGEXEXTRACT(O5947,""[0-9]+""))
),
0
)"),0.0)</f>
        <v>0</v>
      </c>
      <c r="E5947" s="1" t="s">
        <v>11</v>
      </c>
      <c r="F5947" s="1" t="s">
        <v>12</v>
      </c>
      <c r="G5947" s="4" t="b">
        <f t="shared" si="2"/>
        <v>1</v>
      </c>
      <c r="H5947" s="1" t="str">
        <f t="shared" si="3"/>
        <v>Currently Unavailable</v>
      </c>
      <c r="I5947" s="1" t="str">
        <f t="shared" si="4"/>
        <v>No Badges</v>
      </c>
      <c r="J5947" s="3">
        <f t="shared" si="5"/>
        <v>0</v>
      </c>
    </row>
    <row r="5948">
      <c r="A5948" s="1" t="s">
        <v>4390</v>
      </c>
      <c r="B5948" s="3" t="str">
        <f t="shared" si="1"/>
        <v>Unavailable</v>
      </c>
      <c r="C5948" s="5">
        <v>1568.0</v>
      </c>
      <c r="D5948" s="3">
        <f>IFERROR(__xludf.DUMMYFUNCTION("IFERROR(
IF(REGEXMATCH(LOWER(O5948),""k""),
VALUE(REGEXEXTRACT(O5948,""[0-9]+""))*1000,
VALUE(REGEXEXTRACT(O5948,""[0-9]+""))
),
0
)"),0.0)</f>
        <v>0</v>
      </c>
      <c r="E5948" s="1" t="s">
        <v>11</v>
      </c>
      <c r="F5948" s="1" t="s">
        <v>20</v>
      </c>
      <c r="G5948" s="4" t="b">
        <f t="shared" si="2"/>
        <v>1</v>
      </c>
      <c r="H5948" s="1" t="str">
        <f t="shared" si="3"/>
        <v>Currently Unavailable</v>
      </c>
      <c r="I5948" s="1" t="str">
        <f t="shared" si="4"/>
        <v>No Badges</v>
      </c>
      <c r="J5948" s="3">
        <f t="shared" si="5"/>
        <v>0</v>
      </c>
    </row>
    <row r="5949">
      <c r="A5949" s="1" t="s">
        <v>4391</v>
      </c>
      <c r="B5949" s="3" t="str">
        <f t="shared" si="1"/>
        <v>Unavailable</v>
      </c>
      <c r="C5949" s="5">
        <v>2195.0</v>
      </c>
      <c r="D5949" s="3">
        <f>IFERROR(__xludf.DUMMYFUNCTION("IFERROR(
IF(REGEXMATCH(LOWER(O5949),""k""),
VALUE(REGEXEXTRACT(O5949,""[0-9]+""))*1000,
VALUE(REGEXEXTRACT(O5949,""[0-9]+""))
),
0
)"),0.0)</f>
        <v>0</v>
      </c>
      <c r="E5949" s="1" t="s">
        <v>11</v>
      </c>
      <c r="F5949" s="1" t="s">
        <v>20</v>
      </c>
      <c r="G5949" s="4" t="b">
        <f t="shared" si="2"/>
        <v>1</v>
      </c>
      <c r="H5949" s="1" t="str">
        <f t="shared" si="3"/>
        <v>Currently Unavailable</v>
      </c>
      <c r="I5949" s="1" t="str">
        <f t="shared" si="4"/>
        <v>No Badges</v>
      </c>
      <c r="J5949" s="3">
        <f t="shared" si="5"/>
        <v>0</v>
      </c>
    </row>
    <row r="5950">
      <c r="A5950" s="1" t="s">
        <v>4392</v>
      </c>
      <c r="B5950" s="3" t="str">
        <f t="shared" si="1"/>
        <v>Unavailable</v>
      </c>
      <c r="C5950" s="5">
        <v>1068.0</v>
      </c>
      <c r="D5950" s="3">
        <f>IFERROR(__xludf.DUMMYFUNCTION("IFERROR(
IF(REGEXMATCH(LOWER(O5950),""k""),
VALUE(REGEXEXTRACT(O5950,""[0-9]+""))*1000,
VALUE(REGEXEXTRACT(O5950,""[0-9]+""))
),
0
)"),0.0)</f>
        <v>0</v>
      </c>
      <c r="E5950" s="1" t="s">
        <v>11</v>
      </c>
      <c r="F5950" s="1" t="s">
        <v>20</v>
      </c>
      <c r="G5950" s="4" t="b">
        <f t="shared" si="2"/>
        <v>1</v>
      </c>
      <c r="H5950" s="1" t="str">
        <f t="shared" si="3"/>
        <v>Currently Unavailable</v>
      </c>
      <c r="I5950" s="1" t="str">
        <f t="shared" si="4"/>
        <v>No Badges</v>
      </c>
      <c r="J5950" s="3">
        <f t="shared" si="5"/>
        <v>0</v>
      </c>
    </row>
    <row r="5951">
      <c r="A5951" s="1" t="s">
        <v>4453</v>
      </c>
      <c r="B5951" s="3" t="str">
        <f t="shared" si="1"/>
        <v>Unavailable</v>
      </c>
      <c r="C5951" s="5">
        <v>1356.0</v>
      </c>
      <c r="D5951" s="3">
        <f>IFERROR(__xludf.DUMMYFUNCTION("IFERROR(
IF(REGEXMATCH(LOWER(O5951),""k""),
VALUE(REGEXEXTRACT(O5951,""[0-9]+""))*1000,
VALUE(REGEXEXTRACT(O5951,""[0-9]+""))
),
0
)"),0.0)</f>
        <v>0</v>
      </c>
      <c r="E5951" s="1" t="s">
        <v>11</v>
      </c>
      <c r="F5951" s="1" t="s">
        <v>20</v>
      </c>
      <c r="G5951" s="4" t="b">
        <f t="shared" si="2"/>
        <v>1</v>
      </c>
      <c r="H5951" s="1" t="str">
        <f t="shared" si="3"/>
        <v>Currently Unavailable</v>
      </c>
      <c r="I5951" s="1" t="str">
        <f t="shared" si="4"/>
        <v>No Badges</v>
      </c>
      <c r="J5951" s="3">
        <f t="shared" si="5"/>
        <v>0</v>
      </c>
    </row>
    <row r="5952">
      <c r="A5952" s="1" t="s">
        <v>4454</v>
      </c>
      <c r="B5952" s="3" t="str">
        <f t="shared" si="1"/>
        <v>Unavailable</v>
      </c>
      <c r="C5952" s="5">
        <v>5376.0</v>
      </c>
      <c r="D5952" s="3">
        <f>IFERROR(__xludf.DUMMYFUNCTION("IFERROR(
IF(REGEXMATCH(LOWER(O5952),""k""),
VALUE(REGEXEXTRACT(O5952,""[0-9]+""))*1000,
VALUE(REGEXEXTRACT(O5952,""[0-9]+""))
),
0
)"),0.0)</f>
        <v>0</v>
      </c>
      <c r="E5952" s="1" t="s">
        <v>11</v>
      </c>
      <c r="F5952" s="1" t="s">
        <v>20</v>
      </c>
      <c r="G5952" s="4" t="b">
        <f t="shared" si="2"/>
        <v>1</v>
      </c>
      <c r="H5952" s="1" t="str">
        <f t="shared" si="3"/>
        <v>Currently Unavailable</v>
      </c>
      <c r="I5952" s="1" t="str">
        <f t="shared" si="4"/>
        <v>No Badges</v>
      </c>
      <c r="J5952" s="3">
        <f t="shared" si="5"/>
        <v>0</v>
      </c>
    </row>
    <row r="5953">
      <c r="A5953" s="1" t="s">
        <v>4455</v>
      </c>
      <c r="B5953" s="3" t="str">
        <f t="shared" si="1"/>
        <v>Unavailable</v>
      </c>
      <c r="C5953" s="3">
        <v>63.0</v>
      </c>
      <c r="D5953" s="3">
        <f>IFERROR(__xludf.DUMMYFUNCTION("IFERROR(
IF(REGEXMATCH(LOWER(O5953),""k""),
VALUE(REGEXEXTRACT(O5953,""[0-9]+""))*1000,
VALUE(REGEXEXTRACT(O5953,""[0-9]+""))
),
0
)"),0.0)</f>
        <v>0</v>
      </c>
      <c r="E5953" s="1" t="s">
        <v>18</v>
      </c>
      <c r="F5953" s="1" t="s">
        <v>20</v>
      </c>
      <c r="G5953" s="4" t="b">
        <f t="shared" si="2"/>
        <v>1</v>
      </c>
      <c r="H5953" s="1" t="str">
        <f t="shared" si="3"/>
        <v>Currently Unavailable</v>
      </c>
      <c r="I5953" s="1" t="str">
        <f t="shared" si="4"/>
        <v>No Badges</v>
      </c>
      <c r="J5953" s="3">
        <f t="shared" si="5"/>
        <v>0</v>
      </c>
    </row>
    <row r="5954">
      <c r="A5954" s="1" t="s">
        <v>4455</v>
      </c>
      <c r="B5954" s="3" t="str">
        <f t="shared" si="1"/>
        <v>Unavailable</v>
      </c>
      <c r="C5954" s="3">
        <v>63.0</v>
      </c>
      <c r="D5954" s="3">
        <f>IFERROR(__xludf.DUMMYFUNCTION("IFERROR(
IF(REGEXMATCH(LOWER(O5954),""k""),
VALUE(REGEXEXTRACT(O5954,""[0-9]+""))*1000,
VALUE(REGEXEXTRACT(O5954,""[0-9]+""))
),
0
)"),0.0)</f>
        <v>0</v>
      </c>
      <c r="E5954" s="1" t="s">
        <v>11</v>
      </c>
      <c r="F5954" s="1" t="s">
        <v>20</v>
      </c>
      <c r="G5954" s="4" t="b">
        <f t="shared" si="2"/>
        <v>1</v>
      </c>
      <c r="H5954" s="1" t="str">
        <f t="shared" si="3"/>
        <v>Currently Unavailable</v>
      </c>
      <c r="I5954" s="1" t="str">
        <f t="shared" si="4"/>
        <v>No Badges</v>
      </c>
      <c r="J5954" s="3">
        <f t="shared" si="5"/>
        <v>0</v>
      </c>
    </row>
    <row r="5955">
      <c r="A5955" s="1" t="s">
        <v>4456</v>
      </c>
      <c r="B5955" s="3" t="str">
        <f t="shared" si="1"/>
        <v>Unavailable</v>
      </c>
      <c r="C5955" s="3">
        <v>827.0</v>
      </c>
      <c r="D5955" s="3">
        <f>IFERROR(__xludf.DUMMYFUNCTION("IFERROR(
IF(REGEXMATCH(LOWER(O5955),""k""),
VALUE(REGEXEXTRACT(O5955,""[0-9]+""))*1000,
VALUE(REGEXEXTRACT(O5955,""[0-9]+""))
),
0
)"),0.0)</f>
        <v>0</v>
      </c>
      <c r="E5955" s="1" t="s">
        <v>11</v>
      </c>
      <c r="F5955" s="1" t="s">
        <v>20</v>
      </c>
      <c r="G5955" s="4" t="b">
        <f t="shared" si="2"/>
        <v>1</v>
      </c>
      <c r="H5955" s="1" t="str">
        <f t="shared" si="3"/>
        <v>Currently Unavailable</v>
      </c>
      <c r="I5955" s="1" t="str">
        <f t="shared" si="4"/>
        <v>No Badges</v>
      </c>
      <c r="J5955" s="3">
        <f t="shared" si="5"/>
        <v>0</v>
      </c>
    </row>
    <row r="5956">
      <c r="A5956" s="1" t="s">
        <v>4457</v>
      </c>
      <c r="B5956" s="3" t="str">
        <f t="shared" si="1"/>
        <v>Unavailable</v>
      </c>
      <c r="C5956" s="5">
        <v>1076.0</v>
      </c>
      <c r="D5956" s="3">
        <f>IFERROR(__xludf.DUMMYFUNCTION("IFERROR(
IF(REGEXMATCH(LOWER(O5956),""k""),
VALUE(REGEXEXTRACT(O5956,""[0-9]+""))*1000,
VALUE(REGEXEXTRACT(O5956,""[0-9]+""))
),
0
)"),0.0)</f>
        <v>0</v>
      </c>
      <c r="E5956" s="1" t="s">
        <v>11</v>
      </c>
      <c r="F5956" s="1" t="s">
        <v>20</v>
      </c>
      <c r="G5956" s="4" t="b">
        <f t="shared" si="2"/>
        <v>1</v>
      </c>
      <c r="H5956" s="1" t="str">
        <f t="shared" si="3"/>
        <v>Currently Unavailable</v>
      </c>
      <c r="I5956" s="1" t="str">
        <f t="shared" si="4"/>
        <v>No Badges</v>
      </c>
      <c r="J5956" s="3">
        <f t="shared" si="5"/>
        <v>0</v>
      </c>
    </row>
    <row r="5957">
      <c r="A5957" s="1" t="s">
        <v>4458</v>
      </c>
      <c r="B5957" s="3" t="str">
        <f t="shared" si="1"/>
        <v>Unavailable</v>
      </c>
      <c r="C5957" s="3">
        <v>19.0</v>
      </c>
      <c r="D5957" s="3">
        <f>IFERROR(__xludf.DUMMYFUNCTION("IFERROR(
IF(REGEXMATCH(LOWER(O5957),""k""),
VALUE(REGEXEXTRACT(O5957,""[0-9]+""))*1000,
VALUE(REGEXEXTRACT(O5957,""[0-9]+""))
),
0
)"),0.0)</f>
        <v>0</v>
      </c>
      <c r="E5957" s="1" t="s">
        <v>11</v>
      </c>
      <c r="F5957" s="1" t="s">
        <v>20</v>
      </c>
      <c r="G5957" s="4" t="b">
        <f t="shared" si="2"/>
        <v>1</v>
      </c>
      <c r="H5957" s="1" t="str">
        <f t="shared" si="3"/>
        <v>Currently Unavailable</v>
      </c>
      <c r="I5957" s="1" t="str">
        <f t="shared" si="4"/>
        <v>No Badges</v>
      </c>
      <c r="J5957" s="3">
        <f t="shared" si="5"/>
        <v>0</v>
      </c>
    </row>
    <row r="5958">
      <c r="A5958" s="1" t="s">
        <v>4459</v>
      </c>
      <c r="B5958" s="3" t="str">
        <f t="shared" si="1"/>
        <v>Unavailable</v>
      </c>
      <c r="C5958" s="3">
        <v>219.0</v>
      </c>
      <c r="D5958" s="3">
        <f>IFERROR(__xludf.DUMMYFUNCTION("IFERROR(
IF(REGEXMATCH(LOWER(O5958),""k""),
VALUE(REGEXEXTRACT(O5958,""[0-9]+""))*1000,
VALUE(REGEXEXTRACT(O5958,""[0-9]+""))
),
0
)"),0.0)</f>
        <v>0</v>
      </c>
      <c r="E5958" s="1" t="s">
        <v>11</v>
      </c>
      <c r="F5958" s="1" t="s">
        <v>20</v>
      </c>
      <c r="G5958" s="4" t="b">
        <f t="shared" si="2"/>
        <v>1</v>
      </c>
      <c r="H5958" s="1" t="str">
        <f t="shared" si="3"/>
        <v>Currently Unavailable</v>
      </c>
      <c r="I5958" s="1" t="str">
        <f t="shared" si="4"/>
        <v>No Badges</v>
      </c>
      <c r="J5958" s="3">
        <f t="shared" si="5"/>
        <v>0</v>
      </c>
    </row>
    <row r="5959">
      <c r="A5959" s="1" t="s">
        <v>4460</v>
      </c>
      <c r="B5959" s="3" t="str">
        <f t="shared" si="1"/>
        <v>Unavailable</v>
      </c>
      <c r="C5959" s="3">
        <v>33.0</v>
      </c>
      <c r="D5959" s="3">
        <f>IFERROR(__xludf.DUMMYFUNCTION("IFERROR(
IF(REGEXMATCH(LOWER(O5959),""k""),
VALUE(REGEXEXTRACT(O5959,""[0-9]+""))*1000,
VALUE(REGEXEXTRACT(O5959,""[0-9]+""))
),
0
)"),0.0)</f>
        <v>0</v>
      </c>
      <c r="E5959" s="1" t="s">
        <v>11</v>
      </c>
      <c r="F5959" s="1" t="s">
        <v>20</v>
      </c>
      <c r="G5959" s="4" t="b">
        <f t="shared" si="2"/>
        <v>1</v>
      </c>
      <c r="H5959" s="1" t="str">
        <f t="shared" si="3"/>
        <v>Currently Unavailable</v>
      </c>
      <c r="I5959" s="1" t="str">
        <f t="shared" si="4"/>
        <v>No Badges</v>
      </c>
      <c r="J5959" s="3">
        <f t="shared" si="5"/>
        <v>0</v>
      </c>
    </row>
    <row r="5960">
      <c r="A5960" s="1" t="s">
        <v>67</v>
      </c>
      <c r="B5960" s="3" t="str">
        <f t="shared" si="1"/>
        <v>Unavailable</v>
      </c>
      <c r="C5960" s="3">
        <v>264.0</v>
      </c>
      <c r="D5960" s="3">
        <f>IFERROR(__xludf.DUMMYFUNCTION("IFERROR(
IF(REGEXMATCH(LOWER(O5960),""k""),
VALUE(REGEXEXTRACT(O5960,""[0-9]+""))*1000,
VALUE(REGEXEXTRACT(O5960,""[0-9]+""))
),
0
)"),0.0)</f>
        <v>0</v>
      </c>
      <c r="E5960" s="1" t="s">
        <v>11</v>
      </c>
      <c r="F5960" s="1" t="s">
        <v>12</v>
      </c>
      <c r="G5960" s="4" t="b">
        <f t="shared" si="2"/>
        <v>1</v>
      </c>
      <c r="H5960" s="1" t="str">
        <f t="shared" si="3"/>
        <v>Currently Unavailable</v>
      </c>
      <c r="I5960" s="1" t="str">
        <f t="shared" si="4"/>
        <v>No Badges</v>
      </c>
      <c r="J5960" s="3">
        <f t="shared" si="5"/>
        <v>0</v>
      </c>
    </row>
    <row r="5961">
      <c r="A5961" s="1" t="s">
        <v>4461</v>
      </c>
      <c r="B5961" s="3" t="str">
        <f t="shared" si="1"/>
        <v>Unavailable</v>
      </c>
      <c r="C5961" s="5">
        <v>1323.0</v>
      </c>
      <c r="D5961" s="3">
        <f>IFERROR(__xludf.DUMMYFUNCTION("IFERROR(
IF(REGEXMATCH(LOWER(O5961),""k""),
VALUE(REGEXEXTRACT(O5961,""[0-9]+""))*1000,
VALUE(REGEXEXTRACT(O5961,""[0-9]+""))
),
0
)"),0.0)</f>
        <v>0</v>
      </c>
      <c r="E5961" s="1" t="s">
        <v>11</v>
      </c>
      <c r="F5961" s="1" t="s">
        <v>20</v>
      </c>
      <c r="G5961" s="4" t="b">
        <f t="shared" si="2"/>
        <v>1</v>
      </c>
      <c r="H5961" s="1" t="str">
        <f t="shared" si="3"/>
        <v>Currently Unavailable</v>
      </c>
      <c r="I5961" s="1" t="str">
        <f t="shared" si="4"/>
        <v>No Badges</v>
      </c>
      <c r="J5961" s="3">
        <f t="shared" si="5"/>
        <v>0</v>
      </c>
    </row>
    <row r="5962">
      <c r="A5962" s="1" t="s">
        <v>701</v>
      </c>
      <c r="B5962" s="3" t="str">
        <f t="shared" si="1"/>
        <v>Unavailable</v>
      </c>
      <c r="C5962" s="3">
        <v>8.0</v>
      </c>
      <c r="D5962" s="3">
        <f>IFERROR(__xludf.DUMMYFUNCTION("IFERROR(
IF(REGEXMATCH(LOWER(O5962),""k""),
VALUE(REGEXEXTRACT(O5962,""[0-9]+""))*1000,
VALUE(REGEXEXTRACT(O5962,""[0-9]+""))
),
0
)"),0.0)</f>
        <v>0</v>
      </c>
      <c r="E5962" s="1" t="s">
        <v>11</v>
      </c>
      <c r="F5962" s="1" t="s">
        <v>12</v>
      </c>
      <c r="G5962" s="4" t="b">
        <f t="shared" si="2"/>
        <v>1</v>
      </c>
      <c r="H5962" s="1" t="str">
        <f t="shared" si="3"/>
        <v>Currently Unavailable</v>
      </c>
      <c r="I5962" s="1" t="str">
        <f t="shared" si="4"/>
        <v>No Badges</v>
      </c>
      <c r="J5962" s="3">
        <f t="shared" si="5"/>
        <v>0</v>
      </c>
    </row>
    <row r="5963">
      <c r="A5963" s="1" t="s">
        <v>4462</v>
      </c>
      <c r="B5963" s="3" t="str">
        <f t="shared" si="1"/>
        <v>Unavailable</v>
      </c>
      <c r="C5963" s="5">
        <v>18532.0</v>
      </c>
      <c r="D5963" s="3">
        <f>IFERROR(__xludf.DUMMYFUNCTION("IFERROR(
IF(REGEXMATCH(LOWER(O5963),""k""),
VALUE(REGEXEXTRACT(O5963,""[0-9]+""))*1000,
VALUE(REGEXEXTRACT(O5963,""[0-9]+""))
),
0
)"),0.0)</f>
        <v>0</v>
      </c>
      <c r="E5963" s="1" t="s">
        <v>11</v>
      </c>
      <c r="F5963" s="1" t="s">
        <v>20</v>
      </c>
      <c r="G5963" s="4" t="b">
        <f t="shared" si="2"/>
        <v>1</v>
      </c>
      <c r="H5963" s="1" t="str">
        <f t="shared" si="3"/>
        <v>Currently Unavailable</v>
      </c>
      <c r="I5963" s="1" t="str">
        <f t="shared" si="4"/>
        <v>No Badges</v>
      </c>
      <c r="J5963" s="3">
        <f t="shared" si="5"/>
        <v>0</v>
      </c>
    </row>
    <row r="5964">
      <c r="A5964" s="1" t="s">
        <v>4463</v>
      </c>
      <c r="B5964" s="3" t="str">
        <f t="shared" si="1"/>
        <v>Unavailable</v>
      </c>
      <c r="C5964" s="5">
        <v>64543.0</v>
      </c>
      <c r="D5964" s="3">
        <f>IFERROR(__xludf.DUMMYFUNCTION("IFERROR(
IF(REGEXMATCH(LOWER(O5964),""k""),
VALUE(REGEXEXTRACT(O5964,""[0-9]+""))*1000,
VALUE(REGEXEXTRACT(O5964,""[0-9]+""))
),
0
)"),0.0)</f>
        <v>0</v>
      </c>
      <c r="E5964" s="1" t="s">
        <v>158</v>
      </c>
      <c r="F5964" s="1" t="s">
        <v>20</v>
      </c>
      <c r="G5964" s="4" t="b">
        <f t="shared" si="2"/>
        <v>1</v>
      </c>
      <c r="H5964" s="1" t="str">
        <f t="shared" si="3"/>
        <v>Currently Unavailable</v>
      </c>
      <c r="I5964" s="1" t="str">
        <f t="shared" si="4"/>
        <v>No Badges</v>
      </c>
      <c r="J5964" s="3">
        <f t="shared" si="5"/>
        <v>0</v>
      </c>
    </row>
    <row r="5965">
      <c r="A5965" s="1" t="s">
        <v>4464</v>
      </c>
      <c r="B5965" s="3" t="str">
        <f t="shared" si="1"/>
        <v>Unavailable</v>
      </c>
      <c r="C5965" s="5">
        <v>94058.0</v>
      </c>
      <c r="D5965" s="3">
        <f>IFERROR(__xludf.DUMMYFUNCTION("IFERROR(
IF(REGEXMATCH(LOWER(O5965),""k""),
VALUE(REGEXEXTRACT(O5965,""[0-9]+""))*1000,
VALUE(REGEXEXTRACT(O5965,""[0-9]+""))
),
0
)"),0.0)</f>
        <v>0</v>
      </c>
      <c r="E5965" s="1" t="s">
        <v>11</v>
      </c>
      <c r="F5965" s="1" t="s">
        <v>20</v>
      </c>
      <c r="G5965" s="4" t="b">
        <f t="shared" si="2"/>
        <v>1</v>
      </c>
      <c r="H5965" s="1" t="str">
        <f t="shared" si="3"/>
        <v>Currently Unavailable</v>
      </c>
      <c r="I5965" s="1" t="str">
        <f t="shared" si="4"/>
        <v>No Badges</v>
      </c>
      <c r="J5965" s="3">
        <f t="shared" si="5"/>
        <v>0</v>
      </c>
    </row>
    <row r="5966">
      <c r="A5966" s="1" t="s">
        <v>4465</v>
      </c>
      <c r="B5966" s="3" t="str">
        <f t="shared" si="1"/>
        <v>Unavailable</v>
      </c>
      <c r="C5966" s="5">
        <v>3217.0</v>
      </c>
      <c r="D5966" s="3">
        <f>IFERROR(__xludf.DUMMYFUNCTION("IFERROR(
IF(REGEXMATCH(LOWER(O5966),""k""),
VALUE(REGEXEXTRACT(O5966,""[0-9]+""))*1000,
VALUE(REGEXEXTRACT(O5966,""[0-9]+""))
),
0
)"),0.0)</f>
        <v>0</v>
      </c>
      <c r="E5966" s="1" t="s">
        <v>11</v>
      </c>
      <c r="F5966" s="1" t="s">
        <v>20</v>
      </c>
      <c r="G5966" s="4" t="b">
        <f t="shared" si="2"/>
        <v>1</v>
      </c>
      <c r="H5966" s="1" t="str">
        <f t="shared" si="3"/>
        <v>Currently Unavailable</v>
      </c>
      <c r="I5966" s="1" t="str">
        <f t="shared" si="4"/>
        <v>No Badges</v>
      </c>
      <c r="J5966" s="3">
        <f t="shared" si="5"/>
        <v>0</v>
      </c>
    </row>
    <row r="5967">
      <c r="A5967" s="1" t="s">
        <v>4466</v>
      </c>
      <c r="B5967" s="3" t="str">
        <f t="shared" si="1"/>
        <v>Unavailable</v>
      </c>
      <c r="C5967" s="5">
        <v>15868.0</v>
      </c>
      <c r="D5967" s="3">
        <f>IFERROR(__xludf.DUMMYFUNCTION("IFERROR(
IF(REGEXMATCH(LOWER(O5967),""k""),
VALUE(REGEXEXTRACT(O5967,""[0-9]+""))*1000,
VALUE(REGEXEXTRACT(O5967,""[0-9]+""))
),
0
)"),0.0)</f>
        <v>0</v>
      </c>
      <c r="E5967" s="1" t="s">
        <v>11</v>
      </c>
      <c r="F5967" s="1" t="s">
        <v>20</v>
      </c>
      <c r="G5967" s="4" t="b">
        <f t="shared" si="2"/>
        <v>1</v>
      </c>
      <c r="H5967" s="1" t="str">
        <f t="shared" si="3"/>
        <v>Currently Unavailable</v>
      </c>
      <c r="I5967" s="1" t="str">
        <f t="shared" si="4"/>
        <v>No Badges</v>
      </c>
      <c r="J5967" s="3">
        <f t="shared" si="5"/>
        <v>0</v>
      </c>
    </row>
    <row r="5968">
      <c r="A5968" s="1" t="s">
        <v>4467</v>
      </c>
      <c r="B5968" s="3" t="str">
        <f t="shared" si="1"/>
        <v>Unavailable</v>
      </c>
      <c r="C5968" s="5">
        <v>47221.0</v>
      </c>
      <c r="D5968" s="3">
        <f>IFERROR(__xludf.DUMMYFUNCTION("IFERROR(
IF(REGEXMATCH(LOWER(O5968),""k""),
VALUE(REGEXEXTRACT(O5968,""[0-9]+""))*1000,
VALUE(REGEXEXTRACT(O5968,""[0-9]+""))
),
0
)"),0.0)</f>
        <v>0</v>
      </c>
      <c r="E5968" s="1" t="s">
        <v>11</v>
      </c>
      <c r="F5968" s="1" t="s">
        <v>20</v>
      </c>
      <c r="G5968" s="4" t="b">
        <f t="shared" si="2"/>
        <v>1</v>
      </c>
      <c r="H5968" s="1" t="str">
        <f t="shared" si="3"/>
        <v>Currently Unavailable</v>
      </c>
      <c r="I5968" s="1" t="str">
        <f t="shared" si="4"/>
        <v>No Badges</v>
      </c>
      <c r="J5968" s="3">
        <f t="shared" si="5"/>
        <v>0</v>
      </c>
    </row>
    <row r="5969">
      <c r="A5969" s="1" t="s">
        <v>4468</v>
      </c>
      <c r="B5969" s="3" t="str">
        <f t="shared" si="1"/>
        <v>Unavailable</v>
      </c>
      <c r="C5969" s="5">
        <v>36633.0</v>
      </c>
      <c r="D5969" s="3">
        <f>IFERROR(__xludf.DUMMYFUNCTION("IFERROR(
IF(REGEXMATCH(LOWER(O5969),""k""),
VALUE(REGEXEXTRACT(O5969,""[0-9]+""))*1000,
VALUE(REGEXEXTRACT(O5969,""[0-9]+""))
),
0
)"),0.0)</f>
        <v>0</v>
      </c>
      <c r="E5969" s="1" t="s">
        <v>11</v>
      </c>
      <c r="F5969" s="1" t="s">
        <v>20</v>
      </c>
      <c r="G5969" s="4" t="b">
        <f t="shared" si="2"/>
        <v>1</v>
      </c>
      <c r="H5969" s="1" t="str">
        <f t="shared" si="3"/>
        <v>Currently Unavailable</v>
      </c>
      <c r="I5969" s="1" t="str">
        <f t="shared" si="4"/>
        <v>No Badges</v>
      </c>
      <c r="J5969" s="3">
        <f t="shared" si="5"/>
        <v>0</v>
      </c>
    </row>
    <row r="5970">
      <c r="A5970" s="1" t="s">
        <v>4469</v>
      </c>
      <c r="B5970" s="3" t="str">
        <f t="shared" si="1"/>
        <v>Unavailable</v>
      </c>
      <c r="C5970" s="5">
        <v>151397.0</v>
      </c>
      <c r="D5970" s="3">
        <f>IFERROR(__xludf.DUMMYFUNCTION("IFERROR(
IF(REGEXMATCH(LOWER(O5970),""k""),
VALUE(REGEXEXTRACT(O5970,""[0-9]+""))*1000,
VALUE(REGEXEXTRACT(O5970,""[0-9]+""))
),
0
)"),0.0)</f>
        <v>0</v>
      </c>
      <c r="E5970" s="1" t="s">
        <v>158</v>
      </c>
      <c r="F5970" s="1" t="s">
        <v>20</v>
      </c>
      <c r="G5970" s="4" t="b">
        <f t="shared" si="2"/>
        <v>1</v>
      </c>
      <c r="H5970" s="1" t="str">
        <f t="shared" si="3"/>
        <v>Currently Unavailable</v>
      </c>
      <c r="I5970" s="1" t="str">
        <f t="shared" si="4"/>
        <v>No Badges</v>
      </c>
      <c r="J5970" s="3">
        <f t="shared" si="5"/>
        <v>0</v>
      </c>
    </row>
    <row r="5971">
      <c r="A5971" s="1" t="s">
        <v>4470</v>
      </c>
      <c r="B5971" s="3" t="str">
        <f t="shared" si="1"/>
        <v>Unavailable</v>
      </c>
      <c r="C5971" s="5">
        <v>113740.0</v>
      </c>
      <c r="D5971" s="3">
        <f>IFERROR(__xludf.DUMMYFUNCTION("IFERROR(
IF(REGEXMATCH(LOWER(O5971),""k""),
VALUE(REGEXEXTRACT(O5971,""[0-9]+""))*1000,
VALUE(REGEXEXTRACT(O5971,""[0-9]+""))
),
0
)"),0.0)</f>
        <v>0</v>
      </c>
      <c r="E5971" s="1" t="s">
        <v>158</v>
      </c>
      <c r="F5971" s="1" t="s">
        <v>20</v>
      </c>
      <c r="G5971" s="4" t="b">
        <f t="shared" si="2"/>
        <v>1</v>
      </c>
      <c r="H5971" s="1" t="str">
        <f t="shared" si="3"/>
        <v>Currently Unavailable</v>
      </c>
      <c r="I5971" s="1" t="str">
        <f t="shared" si="4"/>
        <v>No Badges</v>
      </c>
      <c r="J5971" s="3">
        <f t="shared" si="5"/>
        <v>0</v>
      </c>
    </row>
    <row r="5972">
      <c r="A5972" s="1" t="s">
        <v>4471</v>
      </c>
      <c r="B5972" s="3" t="str">
        <f t="shared" si="1"/>
        <v>Unavailable</v>
      </c>
      <c r="C5972" s="5">
        <v>114733.0</v>
      </c>
      <c r="D5972" s="3">
        <f>IFERROR(__xludf.DUMMYFUNCTION("IFERROR(
IF(REGEXMATCH(LOWER(O5972),""k""),
VALUE(REGEXEXTRACT(O5972,""[0-9]+""))*1000,
VALUE(REGEXEXTRACT(O5972,""[0-9]+""))
),
0
)"),0.0)</f>
        <v>0</v>
      </c>
      <c r="E5972" s="1" t="s">
        <v>158</v>
      </c>
      <c r="F5972" s="1" t="s">
        <v>20</v>
      </c>
      <c r="G5972" s="4" t="b">
        <f t="shared" si="2"/>
        <v>1</v>
      </c>
      <c r="H5972" s="1" t="str">
        <f t="shared" si="3"/>
        <v>Currently Unavailable</v>
      </c>
      <c r="I5972" s="1" t="str">
        <f t="shared" si="4"/>
        <v>No Badges</v>
      </c>
      <c r="J5972" s="3">
        <f t="shared" si="5"/>
        <v>0</v>
      </c>
    </row>
    <row r="5973">
      <c r="A5973" s="1" t="s">
        <v>4472</v>
      </c>
      <c r="B5973" s="3" t="str">
        <f t="shared" si="1"/>
        <v>Unavailable</v>
      </c>
      <c r="C5973" s="3">
        <v>65.0</v>
      </c>
      <c r="D5973" s="3">
        <f>IFERROR(__xludf.DUMMYFUNCTION("IFERROR(
IF(REGEXMATCH(LOWER(O5973),""k""),
VALUE(REGEXEXTRACT(O5973,""[0-9]+""))*1000,
VALUE(REGEXEXTRACT(O5973,""[0-9]+""))
),
0
)"),0.0)</f>
        <v>0</v>
      </c>
      <c r="E5973" s="1" t="s">
        <v>11</v>
      </c>
      <c r="F5973" s="1" t="s">
        <v>20</v>
      </c>
      <c r="G5973" s="4" t="b">
        <f t="shared" si="2"/>
        <v>1</v>
      </c>
      <c r="H5973" s="1" t="str">
        <f t="shared" si="3"/>
        <v>Currently Unavailable</v>
      </c>
      <c r="I5973" s="1" t="str">
        <f t="shared" si="4"/>
        <v>No Badges</v>
      </c>
      <c r="J5973" s="3">
        <f t="shared" si="5"/>
        <v>0</v>
      </c>
    </row>
    <row r="5974">
      <c r="A5974" s="1" t="s">
        <v>4473</v>
      </c>
      <c r="B5974" s="3" t="str">
        <f t="shared" si="1"/>
        <v>Unavailable</v>
      </c>
      <c r="C5974" s="5">
        <v>36346.0</v>
      </c>
      <c r="D5974" s="3">
        <f>IFERROR(__xludf.DUMMYFUNCTION("IFERROR(
IF(REGEXMATCH(LOWER(O5974),""k""),
VALUE(REGEXEXTRACT(O5974,""[0-9]+""))*1000,
VALUE(REGEXEXTRACT(O5974,""[0-9]+""))
),
0
)"),0.0)</f>
        <v>0</v>
      </c>
      <c r="E5974" s="1" t="s">
        <v>11</v>
      </c>
      <c r="F5974" s="1" t="s">
        <v>20</v>
      </c>
      <c r="G5974" s="4" t="b">
        <f t="shared" si="2"/>
        <v>1</v>
      </c>
      <c r="H5974" s="1" t="str">
        <f t="shared" si="3"/>
        <v>Currently Unavailable</v>
      </c>
      <c r="I5974" s="1" t="str">
        <f t="shared" si="4"/>
        <v>No Badges</v>
      </c>
      <c r="J5974" s="3">
        <f t="shared" si="5"/>
        <v>0</v>
      </c>
    </row>
    <row r="5975">
      <c r="A5975" s="1" t="s">
        <v>4474</v>
      </c>
      <c r="B5975" s="3" t="str">
        <f t="shared" si="1"/>
        <v>Unavailable</v>
      </c>
      <c r="C5975" s="5">
        <v>132059.0</v>
      </c>
      <c r="D5975" s="3">
        <f>IFERROR(__xludf.DUMMYFUNCTION("IFERROR(
IF(REGEXMATCH(LOWER(O5975),""k""),
VALUE(REGEXEXTRACT(O5975,""[0-9]+""))*1000,
VALUE(REGEXEXTRACT(O5975,""[0-9]+""))
),
0
)"),0.0)</f>
        <v>0</v>
      </c>
      <c r="E5975" s="1" t="s">
        <v>11</v>
      </c>
      <c r="F5975" s="1" t="s">
        <v>20</v>
      </c>
      <c r="G5975" s="4" t="b">
        <f t="shared" si="2"/>
        <v>1</v>
      </c>
      <c r="H5975" s="1" t="str">
        <f t="shared" si="3"/>
        <v>Currently Unavailable</v>
      </c>
      <c r="I5975" s="1" t="str">
        <f t="shared" si="4"/>
        <v>No Badges</v>
      </c>
      <c r="J5975" s="3">
        <f t="shared" si="5"/>
        <v>0</v>
      </c>
    </row>
    <row r="5976">
      <c r="A5976" s="1" t="s">
        <v>4475</v>
      </c>
      <c r="B5976" s="3" t="str">
        <f t="shared" si="1"/>
        <v>Unavailable</v>
      </c>
      <c r="C5976" s="5">
        <v>8085.0</v>
      </c>
      <c r="D5976" s="3">
        <f>IFERROR(__xludf.DUMMYFUNCTION("IFERROR(
IF(REGEXMATCH(LOWER(O5976),""k""),
VALUE(REGEXEXTRACT(O5976,""[0-9]+""))*1000,
VALUE(REGEXEXTRACT(O5976,""[0-9]+""))
),
0
)"),0.0)</f>
        <v>0</v>
      </c>
      <c r="E5976" s="1" t="s">
        <v>11</v>
      </c>
      <c r="F5976" s="1" t="s">
        <v>20</v>
      </c>
      <c r="G5976" s="4" t="b">
        <f t="shared" si="2"/>
        <v>1</v>
      </c>
      <c r="H5976" s="1" t="str">
        <f t="shared" si="3"/>
        <v>Currently Unavailable</v>
      </c>
      <c r="I5976" s="1" t="str">
        <f t="shared" si="4"/>
        <v>No Badges</v>
      </c>
      <c r="J5976" s="3">
        <f t="shared" si="5"/>
        <v>0</v>
      </c>
    </row>
    <row r="5977">
      <c r="A5977" s="1" t="s">
        <v>40</v>
      </c>
      <c r="B5977" s="3" t="str">
        <f t="shared" si="1"/>
        <v>Unavailable</v>
      </c>
      <c r="C5977" s="3">
        <v>171.0</v>
      </c>
      <c r="D5977" s="3">
        <f>IFERROR(__xludf.DUMMYFUNCTION("IFERROR(
IF(REGEXMATCH(LOWER(O5977),""k""),
VALUE(REGEXEXTRACT(O5977,""[0-9]+""))*1000,
VALUE(REGEXEXTRACT(O5977,""[0-9]+""))
),
0
)"),0.0)</f>
        <v>0</v>
      </c>
      <c r="E5977" s="1" t="s">
        <v>11</v>
      </c>
      <c r="F5977" s="1" t="s">
        <v>12</v>
      </c>
      <c r="G5977" s="4" t="b">
        <f t="shared" si="2"/>
        <v>1</v>
      </c>
      <c r="H5977" s="1" t="str">
        <f t="shared" si="3"/>
        <v>Currently Unavailable</v>
      </c>
      <c r="I5977" s="1" t="str">
        <f t="shared" si="4"/>
        <v>No Badges</v>
      </c>
      <c r="J5977" s="3">
        <f t="shared" si="5"/>
        <v>0</v>
      </c>
    </row>
    <row r="5978">
      <c r="A5978" s="1" t="s">
        <v>4476</v>
      </c>
      <c r="B5978" s="3" t="str">
        <f t="shared" si="1"/>
        <v>Unavailable</v>
      </c>
      <c r="C5978" s="5">
        <v>4841.0</v>
      </c>
      <c r="D5978" s="3">
        <f>IFERROR(__xludf.DUMMYFUNCTION("IFERROR(
IF(REGEXMATCH(LOWER(O5978),""k""),
VALUE(REGEXEXTRACT(O5978,""[0-9]+""))*1000,
VALUE(REGEXEXTRACT(O5978,""[0-9]+""))
),
0
)"),0.0)</f>
        <v>0</v>
      </c>
      <c r="E5978" s="1" t="s">
        <v>11</v>
      </c>
      <c r="F5978" s="1" t="s">
        <v>20</v>
      </c>
      <c r="G5978" s="4" t="b">
        <f t="shared" si="2"/>
        <v>1</v>
      </c>
      <c r="H5978" s="1" t="str">
        <f t="shared" si="3"/>
        <v>Currently Unavailable</v>
      </c>
      <c r="I5978" s="1" t="str">
        <f t="shared" si="4"/>
        <v>No Badges</v>
      </c>
      <c r="J5978" s="3">
        <f t="shared" si="5"/>
        <v>0</v>
      </c>
    </row>
    <row r="5979">
      <c r="A5979" s="1" t="s">
        <v>4477</v>
      </c>
      <c r="B5979" s="3" t="str">
        <f t="shared" si="1"/>
        <v>Unavailable</v>
      </c>
      <c r="C5979" s="5">
        <v>1527.0</v>
      </c>
      <c r="D5979" s="3">
        <f>IFERROR(__xludf.DUMMYFUNCTION("IFERROR(
IF(REGEXMATCH(LOWER(O5979),""k""),
VALUE(REGEXEXTRACT(O5979,""[0-9]+""))*1000,
VALUE(REGEXEXTRACT(O5979,""[0-9]+""))
),
0
)"),0.0)</f>
        <v>0</v>
      </c>
      <c r="E5979" s="1" t="s">
        <v>11</v>
      </c>
      <c r="F5979" s="1" t="s">
        <v>20</v>
      </c>
      <c r="G5979" s="4" t="b">
        <f t="shared" si="2"/>
        <v>1</v>
      </c>
      <c r="H5979" s="1" t="str">
        <f t="shared" si="3"/>
        <v>Currently Unavailable</v>
      </c>
      <c r="I5979" s="1" t="str">
        <f t="shared" si="4"/>
        <v>No Badges</v>
      </c>
      <c r="J5979" s="3">
        <f t="shared" si="5"/>
        <v>0</v>
      </c>
    </row>
    <row r="5980">
      <c r="A5980" s="1" t="s">
        <v>69</v>
      </c>
      <c r="B5980" s="3" t="str">
        <f t="shared" si="1"/>
        <v>Unavailable</v>
      </c>
      <c r="C5980" s="3">
        <v>45.0</v>
      </c>
      <c r="D5980" s="3">
        <f>IFERROR(__xludf.DUMMYFUNCTION("IFERROR(
IF(REGEXMATCH(LOWER(O5980),""k""),
VALUE(REGEXEXTRACT(O5980,""[0-9]+""))*1000,
VALUE(REGEXEXTRACT(O5980,""[0-9]+""))
),
0
)"),0.0)</f>
        <v>0</v>
      </c>
      <c r="E5980" s="1" t="s">
        <v>11</v>
      </c>
      <c r="F5980" s="1" t="s">
        <v>12</v>
      </c>
      <c r="G5980" s="4" t="b">
        <f t="shared" si="2"/>
        <v>1</v>
      </c>
      <c r="H5980" s="1" t="str">
        <f t="shared" si="3"/>
        <v>Currently Unavailable</v>
      </c>
      <c r="I5980" s="1" t="str">
        <f t="shared" si="4"/>
        <v>No Badges</v>
      </c>
      <c r="J5980" s="3">
        <f t="shared" si="5"/>
        <v>0</v>
      </c>
    </row>
    <row r="5981">
      <c r="A5981" s="1" t="s">
        <v>4478</v>
      </c>
      <c r="B5981" s="3" t="str">
        <f t="shared" si="1"/>
        <v>Unavailable</v>
      </c>
      <c r="C5981" s="5">
        <v>1951.0</v>
      </c>
      <c r="D5981" s="3">
        <f>IFERROR(__xludf.DUMMYFUNCTION("IFERROR(
IF(REGEXMATCH(LOWER(O5981),""k""),
VALUE(REGEXEXTRACT(O5981,""[0-9]+""))*1000,
VALUE(REGEXEXTRACT(O5981,""[0-9]+""))
),
0
)"),0.0)</f>
        <v>0</v>
      </c>
      <c r="E5981" s="1" t="s">
        <v>18</v>
      </c>
      <c r="F5981" s="1" t="s">
        <v>20</v>
      </c>
      <c r="G5981" s="4" t="b">
        <f t="shared" si="2"/>
        <v>1</v>
      </c>
      <c r="H5981" s="1" t="str">
        <f t="shared" si="3"/>
        <v>Currently Unavailable</v>
      </c>
      <c r="I5981" s="1" t="str">
        <f t="shared" si="4"/>
        <v>No Badges</v>
      </c>
      <c r="J5981" s="3">
        <f t="shared" si="5"/>
        <v>0</v>
      </c>
    </row>
    <row r="5982">
      <c r="A5982" s="1" t="s">
        <v>4479</v>
      </c>
      <c r="B5982" s="3" t="str">
        <f t="shared" si="1"/>
        <v>Unavailable</v>
      </c>
      <c r="C5982" s="5">
        <v>1245.0</v>
      </c>
      <c r="D5982" s="3">
        <f>IFERROR(__xludf.DUMMYFUNCTION("IFERROR(
IF(REGEXMATCH(LOWER(O5982),""k""),
VALUE(REGEXEXTRACT(O5982,""[0-9]+""))*1000,
VALUE(REGEXEXTRACT(O5982,""[0-9]+""))
),
0
)"),0.0)</f>
        <v>0</v>
      </c>
      <c r="E5982" s="1" t="s">
        <v>11</v>
      </c>
      <c r="F5982" s="1" t="s">
        <v>20</v>
      </c>
      <c r="G5982" s="4" t="b">
        <f t="shared" si="2"/>
        <v>1</v>
      </c>
      <c r="H5982" s="1" t="str">
        <f t="shared" si="3"/>
        <v>Currently Unavailable</v>
      </c>
      <c r="I5982" s="1" t="str">
        <f t="shared" si="4"/>
        <v>No Badges</v>
      </c>
      <c r="J5982" s="3">
        <f t="shared" si="5"/>
        <v>0</v>
      </c>
    </row>
    <row r="5983">
      <c r="A5983" s="1" t="s">
        <v>4480</v>
      </c>
      <c r="B5983" s="3" t="str">
        <f t="shared" si="1"/>
        <v>Unavailable</v>
      </c>
      <c r="C5983" s="3">
        <v>423.0</v>
      </c>
      <c r="D5983" s="3">
        <f>IFERROR(__xludf.DUMMYFUNCTION("IFERROR(
IF(REGEXMATCH(LOWER(O5983),""k""),
VALUE(REGEXEXTRACT(O5983,""[0-9]+""))*1000,
VALUE(REGEXEXTRACT(O5983,""[0-9]+""))
),
0
)"),0.0)</f>
        <v>0</v>
      </c>
      <c r="E5983" s="1" t="s">
        <v>11</v>
      </c>
      <c r="F5983" s="1" t="s">
        <v>20</v>
      </c>
      <c r="G5983" s="4" t="b">
        <f t="shared" si="2"/>
        <v>1</v>
      </c>
      <c r="H5983" s="1" t="str">
        <f t="shared" si="3"/>
        <v>Currently Unavailable</v>
      </c>
      <c r="I5983" s="1" t="str">
        <f t="shared" si="4"/>
        <v>No Badges</v>
      </c>
      <c r="J5983" s="3">
        <f t="shared" si="5"/>
        <v>0</v>
      </c>
    </row>
    <row r="5984">
      <c r="A5984" s="1" t="s">
        <v>4481</v>
      </c>
      <c r="B5984" s="3" t="str">
        <f t="shared" si="1"/>
        <v>Unavailable</v>
      </c>
      <c r="C5984" s="5">
        <v>12822.0</v>
      </c>
      <c r="D5984" s="3">
        <f>IFERROR(__xludf.DUMMYFUNCTION("IFERROR(
IF(REGEXMATCH(LOWER(O5984),""k""),
VALUE(REGEXEXTRACT(O5984,""[0-9]+""))*1000,
VALUE(REGEXEXTRACT(O5984,""[0-9]+""))
),
0
)"),0.0)</f>
        <v>0</v>
      </c>
      <c r="E5984" s="1" t="s">
        <v>11</v>
      </c>
      <c r="F5984" s="1" t="s">
        <v>20</v>
      </c>
      <c r="G5984" s="4" t="b">
        <f t="shared" si="2"/>
        <v>1</v>
      </c>
      <c r="H5984" s="1" t="str">
        <f t="shared" si="3"/>
        <v>Currently Unavailable</v>
      </c>
      <c r="I5984" s="1" t="str">
        <f t="shared" si="4"/>
        <v>No Badges</v>
      </c>
      <c r="J5984" s="3">
        <f t="shared" si="5"/>
        <v>0</v>
      </c>
    </row>
    <row r="5985">
      <c r="A5985" s="1" t="s">
        <v>4482</v>
      </c>
      <c r="B5985" s="3" t="str">
        <f t="shared" si="1"/>
        <v>Unavailable</v>
      </c>
      <c r="C5985" s="5">
        <v>7846.0</v>
      </c>
      <c r="D5985" s="3">
        <f>IFERROR(__xludf.DUMMYFUNCTION("IFERROR(
IF(REGEXMATCH(LOWER(O5985),""k""),
VALUE(REGEXEXTRACT(O5985,""[0-9]+""))*1000,
VALUE(REGEXEXTRACT(O5985,""[0-9]+""))
),
0
)"),0.0)</f>
        <v>0</v>
      </c>
      <c r="E5985" s="1" t="s">
        <v>11</v>
      </c>
      <c r="F5985" s="1" t="s">
        <v>20</v>
      </c>
      <c r="G5985" s="4" t="b">
        <f t="shared" si="2"/>
        <v>1</v>
      </c>
      <c r="H5985" s="1" t="str">
        <f t="shared" si="3"/>
        <v>Currently Unavailable</v>
      </c>
      <c r="I5985" s="1" t="str">
        <f t="shared" si="4"/>
        <v>No Badges</v>
      </c>
      <c r="J5985" s="3">
        <f t="shared" si="5"/>
        <v>0</v>
      </c>
    </row>
    <row r="5986">
      <c r="A5986" s="1" t="s">
        <v>4483</v>
      </c>
      <c r="B5986" s="3" t="str">
        <f t="shared" si="1"/>
        <v>Unavailable</v>
      </c>
      <c r="C5986" s="5">
        <v>28135.0</v>
      </c>
      <c r="D5986" s="3">
        <f>IFERROR(__xludf.DUMMYFUNCTION("IFERROR(
IF(REGEXMATCH(LOWER(O5986),""k""),
VALUE(REGEXEXTRACT(O5986,""[0-9]+""))*1000,
VALUE(REGEXEXTRACT(O5986,""[0-9]+""))
),
0
)"),0.0)</f>
        <v>0</v>
      </c>
      <c r="E5986" s="1" t="s">
        <v>11</v>
      </c>
      <c r="F5986" s="1" t="s">
        <v>20</v>
      </c>
      <c r="G5986" s="4" t="b">
        <f t="shared" si="2"/>
        <v>1</v>
      </c>
      <c r="H5986" s="1" t="str">
        <f t="shared" si="3"/>
        <v>Currently Unavailable</v>
      </c>
      <c r="I5986" s="1" t="str">
        <f t="shared" si="4"/>
        <v>No Badges</v>
      </c>
      <c r="J5986" s="3">
        <f t="shared" si="5"/>
        <v>0</v>
      </c>
    </row>
    <row r="5987">
      <c r="A5987" s="1" t="s">
        <v>4484</v>
      </c>
      <c r="B5987" s="3" t="str">
        <f t="shared" si="1"/>
        <v>Unavailable</v>
      </c>
      <c r="C5987" s="5">
        <v>4330.0</v>
      </c>
      <c r="D5987" s="3">
        <f>IFERROR(__xludf.DUMMYFUNCTION("IFERROR(
IF(REGEXMATCH(LOWER(O5987),""k""),
VALUE(REGEXEXTRACT(O5987,""[0-9]+""))*1000,
VALUE(REGEXEXTRACT(O5987,""[0-9]+""))
),
0
)"),0.0)</f>
        <v>0</v>
      </c>
      <c r="E5987" s="1" t="s">
        <v>11</v>
      </c>
      <c r="F5987" s="1" t="s">
        <v>20</v>
      </c>
      <c r="G5987" s="4" t="b">
        <f t="shared" si="2"/>
        <v>1</v>
      </c>
      <c r="H5987" s="1" t="str">
        <f t="shared" si="3"/>
        <v>Currently Unavailable</v>
      </c>
      <c r="I5987" s="1" t="str">
        <f t="shared" si="4"/>
        <v>No Badges</v>
      </c>
      <c r="J5987" s="3">
        <f t="shared" si="5"/>
        <v>0</v>
      </c>
    </row>
    <row r="5988">
      <c r="A5988" s="1" t="s">
        <v>4485</v>
      </c>
      <c r="B5988" s="3" t="str">
        <f t="shared" si="1"/>
        <v>Unavailable</v>
      </c>
      <c r="C5988" s="3">
        <v>260.0</v>
      </c>
      <c r="D5988" s="3">
        <f>IFERROR(__xludf.DUMMYFUNCTION("IFERROR(
IF(REGEXMATCH(LOWER(O5988),""k""),
VALUE(REGEXEXTRACT(O5988,""[0-9]+""))*1000,
VALUE(REGEXEXTRACT(O5988,""[0-9]+""))
),
0
)"),0.0)</f>
        <v>0</v>
      </c>
      <c r="E5988" s="1" t="s">
        <v>158</v>
      </c>
      <c r="F5988" s="1" t="s">
        <v>20</v>
      </c>
      <c r="G5988" s="4" t="b">
        <f t="shared" si="2"/>
        <v>1</v>
      </c>
      <c r="H5988" s="1" t="str">
        <f t="shared" si="3"/>
        <v>Currently Unavailable</v>
      </c>
      <c r="I5988" s="1" t="str">
        <f t="shared" si="4"/>
        <v>No Badges</v>
      </c>
      <c r="J5988" s="3">
        <f t="shared" si="5"/>
        <v>0</v>
      </c>
    </row>
    <row r="5989">
      <c r="A5989" s="1" t="s">
        <v>4486</v>
      </c>
      <c r="B5989" s="3" t="str">
        <f t="shared" si="1"/>
        <v>Unavailable</v>
      </c>
      <c r="C5989" s="5">
        <v>1224.0</v>
      </c>
      <c r="D5989" s="3">
        <f>IFERROR(__xludf.DUMMYFUNCTION("IFERROR(
IF(REGEXMATCH(LOWER(O5989),""k""),
VALUE(REGEXEXTRACT(O5989,""[0-9]+""))*1000,
VALUE(REGEXEXTRACT(O5989,""[0-9]+""))
),
0
)"),0.0)</f>
        <v>0</v>
      </c>
      <c r="E5989" s="1" t="s">
        <v>11</v>
      </c>
      <c r="F5989" s="1" t="s">
        <v>20</v>
      </c>
      <c r="G5989" s="4" t="b">
        <f t="shared" si="2"/>
        <v>1</v>
      </c>
      <c r="H5989" s="1" t="str">
        <f t="shared" si="3"/>
        <v>Currently Unavailable</v>
      </c>
      <c r="I5989" s="1" t="str">
        <f t="shared" si="4"/>
        <v>No Badges</v>
      </c>
      <c r="J5989" s="3">
        <f t="shared" si="5"/>
        <v>0</v>
      </c>
    </row>
    <row r="5990">
      <c r="A5990" s="1" t="s">
        <v>4487</v>
      </c>
      <c r="B5990" s="3" t="str">
        <f t="shared" si="1"/>
        <v>Unavailable</v>
      </c>
      <c r="C5990" s="5">
        <v>56984.0</v>
      </c>
      <c r="D5990" s="3">
        <f>IFERROR(__xludf.DUMMYFUNCTION("IFERROR(
IF(REGEXMATCH(LOWER(O5990),""k""),
VALUE(REGEXEXTRACT(O5990,""[0-9]+""))*1000,
VALUE(REGEXEXTRACT(O5990,""[0-9]+""))
),
0
)"),0.0)</f>
        <v>0</v>
      </c>
      <c r="E5990" s="1" t="s">
        <v>11</v>
      </c>
      <c r="F5990" s="1" t="s">
        <v>20</v>
      </c>
      <c r="G5990" s="4" t="b">
        <f t="shared" si="2"/>
        <v>1</v>
      </c>
      <c r="H5990" s="1" t="str">
        <f t="shared" si="3"/>
        <v>Currently Unavailable</v>
      </c>
      <c r="I5990" s="1" t="str">
        <f t="shared" si="4"/>
        <v>No Badges</v>
      </c>
      <c r="J5990" s="3">
        <f t="shared" si="5"/>
        <v>0</v>
      </c>
    </row>
    <row r="5991">
      <c r="A5991" s="1" t="s">
        <v>4488</v>
      </c>
      <c r="B5991" s="3" t="str">
        <f t="shared" si="1"/>
        <v>Unavailable</v>
      </c>
      <c r="C5991" s="3">
        <v>30.0</v>
      </c>
      <c r="D5991" s="3">
        <f>IFERROR(__xludf.DUMMYFUNCTION("IFERROR(
IF(REGEXMATCH(LOWER(O5991),""k""),
VALUE(REGEXEXTRACT(O5991,""[0-9]+""))*1000,
VALUE(REGEXEXTRACT(O5991,""[0-9]+""))
),
0
)"),0.0)</f>
        <v>0</v>
      </c>
      <c r="E5991" s="1" t="s">
        <v>11</v>
      </c>
      <c r="F5991" s="1" t="s">
        <v>20</v>
      </c>
      <c r="G5991" s="4" t="b">
        <f t="shared" si="2"/>
        <v>1</v>
      </c>
      <c r="H5991" s="1" t="str">
        <f t="shared" si="3"/>
        <v>Currently Unavailable</v>
      </c>
      <c r="I5991" s="1" t="str">
        <f t="shared" si="4"/>
        <v>No Badges</v>
      </c>
      <c r="J5991" s="3">
        <f t="shared" si="5"/>
        <v>0</v>
      </c>
    </row>
    <row r="5992">
      <c r="A5992" s="1" t="s">
        <v>4489</v>
      </c>
      <c r="B5992" s="3" t="str">
        <f t="shared" si="1"/>
        <v>Unavailable</v>
      </c>
      <c r="C5992" s="5">
        <v>1311.0</v>
      </c>
      <c r="D5992" s="3">
        <f>IFERROR(__xludf.DUMMYFUNCTION("IFERROR(
IF(REGEXMATCH(LOWER(O5992),""k""),
VALUE(REGEXEXTRACT(O5992,""[0-9]+""))*1000,
VALUE(REGEXEXTRACT(O5992,""[0-9]+""))
),
0
)"),0.0)</f>
        <v>0</v>
      </c>
      <c r="E5992" s="1" t="s">
        <v>11</v>
      </c>
      <c r="F5992" s="1" t="s">
        <v>20</v>
      </c>
      <c r="G5992" s="4" t="b">
        <f t="shared" si="2"/>
        <v>1</v>
      </c>
      <c r="H5992" s="1" t="str">
        <f t="shared" si="3"/>
        <v>Currently Unavailable</v>
      </c>
      <c r="I5992" s="1" t="str">
        <f t="shared" si="4"/>
        <v>No Badges</v>
      </c>
      <c r="J5992" s="3">
        <f t="shared" si="5"/>
        <v>0</v>
      </c>
    </row>
    <row r="5993">
      <c r="A5993" s="1" t="s">
        <v>67</v>
      </c>
      <c r="B5993" s="3" t="str">
        <f t="shared" si="1"/>
        <v>Unavailable</v>
      </c>
      <c r="C5993" s="3">
        <v>264.0</v>
      </c>
      <c r="D5993" s="3">
        <f>IFERROR(__xludf.DUMMYFUNCTION("IFERROR(
IF(REGEXMATCH(LOWER(O5993),""k""),
VALUE(REGEXEXTRACT(O5993,""[0-9]+""))*1000,
VALUE(REGEXEXTRACT(O5993,""[0-9]+""))
),
0
)"),0.0)</f>
        <v>0</v>
      </c>
      <c r="E5993" s="1" t="s">
        <v>11</v>
      </c>
      <c r="F5993" s="1" t="s">
        <v>12</v>
      </c>
      <c r="G5993" s="4" t="b">
        <f t="shared" si="2"/>
        <v>1</v>
      </c>
      <c r="H5993" s="1" t="str">
        <f t="shared" si="3"/>
        <v>Currently Unavailable</v>
      </c>
      <c r="I5993" s="1" t="str">
        <f t="shared" si="4"/>
        <v>No Badges</v>
      </c>
      <c r="J5993" s="3">
        <f t="shared" si="5"/>
        <v>0</v>
      </c>
    </row>
    <row r="5994">
      <c r="A5994" s="1" t="s">
        <v>4490</v>
      </c>
      <c r="B5994" s="3" t="str">
        <f t="shared" si="1"/>
        <v>Unavailable</v>
      </c>
      <c r="C5994" s="3">
        <v>866.0</v>
      </c>
      <c r="D5994" s="3">
        <f>IFERROR(__xludf.DUMMYFUNCTION("IFERROR(
IF(REGEXMATCH(LOWER(O5994),""k""),
VALUE(REGEXEXTRACT(O5994,""[0-9]+""))*1000,
VALUE(REGEXEXTRACT(O5994,""[0-9]+""))
),
0
)"),0.0)</f>
        <v>0</v>
      </c>
      <c r="E5994" s="1" t="s">
        <v>11</v>
      </c>
      <c r="F5994" s="1" t="s">
        <v>20</v>
      </c>
      <c r="G5994" s="4" t="b">
        <f t="shared" si="2"/>
        <v>1</v>
      </c>
      <c r="H5994" s="1" t="str">
        <f t="shared" si="3"/>
        <v>Currently Unavailable</v>
      </c>
      <c r="I5994" s="1" t="str">
        <f t="shared" si="4"/>
        <v>No Badges</v>
      </c>
      <c r="J5994" s="3">
        <f t="shared" si="5"/>
        <v>0</v>
      </c>
    </row>
    <row r="5995">
      <c r="A5995" s="1" t="s">
        <v>4491</v>
      </c>
      <c r="B5995" s="3" t="str">
        <f t="shared" si="1"/>
        <v>Unavailable</v>
      </c>
      <c r="C5995" s="5">
        <v>1685.0</v>
      </c>
      <c r="D5995" s="3">
        <f>IFERROR(__xludf.DUMMYFUNCTION("IFERROR(
IF(REGEXMATCH(LOWER(O5995),""k""),
VALUE(REGEXEXTRACT(O5995,""[0-9]+""))*1000,
VALUE(REGEXEXTRACT(O5995,""[0-9]+""))
),
0
)"),0.0)</f>
        <v>0</v>
      </c>
      <c r="E5995" s="1" t="s">
        <v>11</v>
      </c>
      <c r="F5995" s="1" t="s">
        <v>20</v>
      </c>
      <c r="G5995" s="4" t="b">
        <f t="shared" si="2"/>
        <v>1</v>
      </c>
      <c r="H5995" s="1" t="str">
        <f t="shared" si="3"/>
        <v>Currently Unavailable</v>
      </c>
      <c r="I5995" s="1" t="str">
        <f t="shared" si="4"/>
        <v>No Badges</v>
      </c>
      <c r="J5995" s="3">
        <f t="shared" si="5"/>
        <v>0</v>
      </c>
    </row>
    <row r="5996">
      <c r="A5996" s="1" t="s">
        <v>4492</v>
      </c>
      <c r="B5996" s="3" t="str">
        <f t="shared" si="1"/>
        <v>Unavailable</v>
      </c>
      <c r="C5996" s="5">
        <v>4319.0</v>
      </c>
      <c r="D5996" s="3">
        <f>IFERROR(__xludf.DUMMYFUNCTION("IFERROR(
IF(REGEXMATCH(LOWER(O5996),""k""),
VALUE(REGEXEXTRACT(O5996,""[0-9]+""))*1000,
VALUE(REGEXEXTRACT(O5996,""[0-9]+""))
),
0
)"),0.0)</f>
        <v>0</v>
      </c>
      <c r="E5996" s="1" t="s">
        <v>11</v>
      </c>
      <c r="F5996" s="1" t="s">
        <v>20</v>
      </c>
      <c r="G5996" s="4" t="b">
        <f t="shared" si="2"/>
        <v>1</v>
      </c>
      <c r="H5996" s="1" t="str">
        <f t="shared" si="3"/>
        <v>Currently Unavailable</v>
      </c>
      <c r="I5996" s="1" t="str">
        <f t="shared" si="4"/>
        <v>No Badges</v>
      </c>
      <c r="J5996" s="3">
        <f t="shared" si="5"/>
        <v>0</v>
      </c>
    </row>
    <row r="5997">
      <c r="A5997" s="1" t="s">
        <v>4493</v>
      </c>
      <c r="B5997" s="3" t="str">
        <f t="shared" si="1"/>
        <v>Unavailable</v>
      </c>
      <c r="C5997" s="5">
        <v>34545.0</v>
      </c>
      <c r="D5997" s="3">
        <f>IFERROR(__xludf.DUMMYFUNCTION("IFERROR(
IF(REGEXMATCH(LOWER(O5997),""k""),
VALUE(REGEXEXTRACT(O5997,""[0-9]+""))*1000,
VALUE(REGEXEXTRACT(O5997,""[0-9]+""))
),
0
)"),0.0)</f>
        <v>0</v>
      </c>
      <c r="E5997" s="1" t="s">
        <v>11</v>
      </c>
      <c r="F5997" s="1" t="s">
        <v>20</v>
      </c>
      <c r="G5997" s="4" t="b">
        <f t="shared" si="2"/>
        <v>1</v>
      </c>
      <c r="H5997" s="1" t="str">
        <f t="shared" si="3"/>
        <v>Currently Unavailable</v>
      </c>
      <c r="I5997" s="1" t="str">
        <f t="shared" si="4"/>
        <v>No Badges</v>
      </c>
      <c r="J5997" s="3">
        <f t="shared" si="5"/>
        <v>0</v>
      </c>
    </row>
    <row r="5998">
      <c r="A5998" s="1" t="s">
        <v>4494</v>
      </c>
      <c r="B5998" s="3" t="str">
        <f t="shared" si="1"/>
        <v>Unavailable</v>
      </c>
      <c r="C5998" s="3">
        <v>971.0</v>
      </c>
      <c r="D5998" s="3">
        <f>IFERROR(__xludf.DUMMYFUNCTION("IFERROR(
IF(REGEXMATCH(LOWER(O5998),""k""),
VALUE(REGEXEXTRACT(O5998,""[0-9]+""))*1000,
VALUE(REGEXEXTRACT(O5998,""[0-9]+""))
),
0
)"),0.0)</f>
        <v>0</v>
      </c>
      <c r="E5998" s="1" t="s">
        <v>11</v>
      </c>
      <c r="F5998" s="1" t="s">
        <v>20</v>
      </c>
      <c r="G5998" s="4" t="b">
        <f t="shared" si="2"/>
        <v>1</v>
      </c>
      <c r="H5998" s="1" t="str">
        <f t="shared" si="3"/>
        <v>Currently Unavailable</v>
      </c>
      <c r="I5998" s="1" t="str">
        <f t="shared" si="4"/>
        <v>No Badges</v>
      </c>
      <c r="J5998" s="3">
        <f t="shared" si="5"/>
        <v>0</v>
      </c>
    </row>
    <row r="5999">
      <c r="A5999" s="1" t="s">
        <v>4495</v>
      </c>
      <c r="B5999" s="3" t="str">
        <f t="shared" si="1"/>
        <v>Unavailable</v>
      </c>
      <c r="C5999" s="3">
        <v>391.0</v>
      </c>
      <c r="D5999" s="3">
        <f>IFERROR(__xludf.DUMMYFUNCTION("IFERROR(
IF(REGEXMATCH(LOWER(O5999),""k""),
VALUE(REGEXEXTRACT(O5999,""[0-9]+""))*1000,
VALUE(REGEXEXTRACT(O5999,""[0-9]+""))
),
0
)"),0.0)</f>
        <v>0</v>
      </c>
      <c r="E5999" s="1" t="s">
        <v>11</v>
      </c>
      <c r="F5999" s="1" t="s">
        <v>20</v>
      </c>
      <c r="G5999" s="4" t="b">
        <f t="shared" si="2"/>
        <v>1</v>
      </c>
      <c r="H5999" s="1" t="str">
        <f t="shared" si="3"/>
        <v>Currently Unavailable</v>
      </c>
      <c r="I5999" s="1" t="str">
        <f t="shared" si="4"/>
        <v>No Badges</v>
      </c>
      <c r="J5999" s="3">
        <f t="shared" si="5"/>
        <v>0</v>
      </c>
    </row>
    <row r="6000">
      <c r="A6000" s="1" t="s">
        <v>4496</v>
      </c>
      <c r="B6000" s="3" t="str">
        <f t="shared" si="1"/>
        <v>Unavailable</v>
      </c>
      <c r="C6000" s="5">
        <v>1934.0</v>
      </c>
      <c r="D6000" s="3">
        <f>IFERROR(__xludf.DUMMYFUNCTION("IFERROR(
IF(REGEXMATCH(LOWER(O6000),""k""),
VALUE(REGEXEXTRACT(O6000,""[0-9]+""))*1000,
VALUE(REGEXEXTRACT(O6000,""[0-9]+""))
),
0
)"),0.0)</f>
        <v>0</v>
      </c>
      <c r="E6000" s="1" t="s">
        <v>18</v>
      </c>
      <c r="F6000" s="1" t="s">
        <v>20</v>
      </c>
      <c r="G6000" s="4" t="b">
        <f t="shared" si="2"/>
        <v>1</v>
      </c>
      <c r="H6000" s="1" t="str">
        <f t="shared" si="3"/>
        <v>Currently Unavailable</v>
      </c>
      <c r="I6000" s="1" t="str">
        <f t="shared" si="4"/>
        <v>No Badges</v>
      </c>
      <c r="J6000" s="3">
        <f t="shared" si="5"/>
        <v>0</v>
      </c>
    </row>
    <row r="6001">
      <c r="A6001" s="1" t="s">
        <v>4497</v>
      </c>
      <c r="B6001" s="3" t="str">
        <f t="shared" si="1"/>
        <v>Unavailable</v>
      </c>
      <c r="C6001" s="5">
        <v>4764.0</v>
      </c>
      <c r="D6001" s="3">
        <f>IFERROR(__xludf.DUMMYFUNCTION("IFERROR(
IF(REGEXMATCH(LOWER(O6001),""k""),
VALUE(REGEXEXTRACT(O6001,""[0-9]+""))*1000,
VALUE(REGEXEXTRACT(O6001,""[0-9]+""))
),
0
)"),0.0)</f>
        <v>0</v>
      </c>
      <c r="E6001" s="1" t="s">
        <v>11</v>
      </c>
      <c r="F6001" s="1" t="s">
        <v>20</v>
      </c>
      <c r="G6001" s="4" t="b">
        <f t="shared" si="2"/>
        <v>1</v>
      </c>
      <c r="H6001" s="1" t="str">
        <f t="shared" si="3"/>
        <v>Currently Unavailable</v>
      </c>
      <c r="I6001" s="1" t="str">
        <f t="shared" si="4"/>
        <v>No Badges</v>
      </c>
      <c r="J6001" s="3">
        <f t="shared" si="5"/>
        <v>0</v>
      </c>
    </row>
    <row r="6002">
      <c r="A6002" s="1" t="s">
        <v>4498</v>
      </c>
      <c r="B6002" s="3" t="str">
        <f t="shared" si="1"/>
        <v>Unavailable</v>
      </c>
      <c r="C6002" s="3">
        <v>620.0</v>
      </c>
      <c r="D6002" s="3">
        <f>IFERROR(__xludf.DUMMYFUNCTION("IFERROR(
IF(REGEXMATCH(LOWER(O6002),""k""),
VALUE(REGEXEXTRACT(O6002,""[0-9]+""))*1000,
VALUE(REGEXEXTRACT(O6002,""[0-9]+""))
),
0
)"),0.0)</f>
        <v>0</v>
      </c>
      <c r="E6002" s="1" t="s">
        <v>11</v>
      </c>
      <c r="F6002" s="1" t="s">
        <v>20</v>
      </c>
      <c r="G6002" s="4" t="b">
        <f t="shared" si="2"/>
        <v>1</v>
      </c>
      <c r="H6002" s="1" t="str">
        <f t="shared" si="3"/>
        <v>Currently Unavailable</v>
      </c>
      <c r="I6002" s="1" t="str">
        <f t="shared" si="4"/>
        <v>No Badges</v>
      </c>
      <c r="J6002" s="3">
        <f t="shared" si="5"/>
        <v>0</v>
      </c>
    </row>
    <row r="6003">
      <c r="A6003" s="1" t="s">
        <v>4499</v>
      </c>
      <c r="B6003" s="3" t="str">
        <f t="shared" si="1"/>
        <v>Unavailable</v>
      </c>
      <c r="C6003" s="5">
        <v>1419.0</v>
      </c>
      <c r="D6003" s="3">
        <f>IFERROR(__xludf.DUMMYFUNCTION("IFERROR(
IF(REGEXMATCH(LOWER(O6003),""k""),
VALUE(REGEXEXTRACT(O6003,""[0-9]+""))*1000,
VALUE(REGEXEXTRACT(O6003,""[0-9]+""))
),
0
)"),0.0)</f>
        <v>0</v>
      </c>
      <c r="E6003" s="1" t="s">
        <v>11</v>
      </c>
      <c r="F6003" s="1" t="s">
        <v>20</v>
      </c>
      <c r="G6003" s="4" t="b">
        <f t="shared" si="2"/>
        <v>1</v>
      </c>
      <c r="H6003" s="1" t="str">
        <f t="shared" si="3"/>
        <v>Currently Unavailable</v>
      </c>
      <c r="I6003" s="1" t="str">
        <f t="shared" si="4"/>
        <v>No Badges</v>
      </c>
      <c r="J6003" s="3">
        <f t="shared" si="5"/>
        <v>0</v>
      </c>
    </row>
    <row r="6004">
      <c r="A6004" s="1" t="s">
        <v>4500</v>
      </c>
      <c r="B6004" s="3" t="str">
        <f t="shared" si="1"/>
        <v>Unavailable</v>
      </c>
      <c r="C6004" s="5">
        <v>101753.0</v>
      </c>
      <c r="D6004" s="3">
        <f>IFERROR(__xludf.DUMMYFUNCTION("IFERROR(
IF(REGEXMATCH(LOWER(O6004),""k""),
VALUE(REGEXEXTRACT(O6004,""[0-9]+""))*1000,
VALUE(REGEXEXTRACT(O6004,""[0-9]+""))
),
0
)"),0.0)</f>
        <v>0</v>
      </c>
      <c r="E6004" s="1" t="s">
        <v>158</v>
      </c>
      <c r="F6004" s="1" t="s">
        <v>20</v>
      </c>
      <c r="G6004" s="4" t="b">
        <f t="shared" si="2"/>
        <v>1</v>
      </c>
      <c r="H6004" s="1" t="str">
        <f t="shared" si="3"/>
        <v>Currently Unavailable</v>
      </c>
      <c r="I6004" s="1" t="str">
        <f t="shared" si="4"/>
        <v>No Badges</v>
      </c>
      <c r="J6004" s="3">
        <f t="shared" si="5"/>
        <v>0</v>
      </c>
    </row>
    <row r="6005">
      <c r="A6005" s="1" t="s">
        <v>4501</v>
      </c>
      <c r="B6005" s="3" t="str">
        <f t="shared" si="1"/>
        <v>Unavailable</v>
      </c>
      <c r="C6005" s="5">
        <v>2606.0</v>
      </c>
      <c r="D6005" s="3">
        <f>IFERROR(__xludf.DUMMYFUNCTION("IFERROR(
IF(REGEXMATCH(LOWER(O6005),""k""),
VALUE(REGEXEXTRACT(O6005,""[0-9]+""))*1000,
VALUE(REGEXEXTRACT(O6005,""[0-9]+""))
),
0
)"),0.0)</f>
        <v>0</v>
      </c>
      <c r="E6005" s="1" t="s">
        <v>11</v>
      </c>
      <c r="F6005" s="1" t="s">
        <v>20</v>
      </c>
      <c r="G6005" s="4" t="b">
        <f t="shared" si="2"/>
        <v>1</v>
      </c>
      <c r="H6005" s="1" t="str">
        <f t="shared" si="3"/>
        <v>Currently Unavailable</v>
      </c>
      <c r="I6005" s="1" t="str">
        <f t="shared" si="4"/>
        <v>No Badges</v>
      </c>
      <c r="J6005" s="3">
        <f t="shared" si="5"/>
        <v>0</v>
      </c>
    </row>
    <row r="6006">
      <c r="A6006" s="1" t="s">
        <v>4502</v>
      </c>
      <c r="B6006" s="3" t="str">
        <f t="shared" si="1"/>
        <v>Unavailable</v>
      </c>
      <c r="C6006" s="3">
        <v>111.0</v>
      </c>
      <c r="D6006" s="3">
        <f>IFERROR(__xludf.DUMMYFUNCTION("IFERROR(
IF(REGEXMATCH(LOWER(O6006),""k""),
VALUE(REGEXEXTRACT(O6006,""[0-9]+""))*1000,
VALUE(REGEXEXTRACT(O6006,""[0-9]+""))
),
0
)"),0.0)</f>
        <v>0</v>
      </c>
      <c r="E6006" s="1" t="s">
        <v>11</v>
      </c>
      <c r="F6006" s="1" t="s">
        <v>20</v>
      </c>
      <c r="G6006" s="4" t="b">
        <f t="shared" si="2"/>
        <v>1</v>
      </c>
      <c r="H6006" s="1" t="str">
        <f t="shared" si="3"/>
        <v>Currently Unavailable</v>
      </c>
      <c r="I6006" s="1" t="str">
        <f t="shared" si="4"/>
        <v>No Badges</v>
      </c>
      <c r="J6006" s="3">
        <f t="shared" si="5"/>
        <v>0</v>
      </c>
    </row>
    <row r="6007">
      <c r="A6007" s="1" t="s">
        <v>4503</v>
      </c>
      <c r="B6007" s="3" t="str">
        <f t="shared" si="1"/>
        <v>Unavailable</v>
      </c>
      <c r="C6007" s="5">
        <v>1330.0</v>
      </c>
      <c r="D6007" s="3">
        <f>IFERROR(__xludf.DUMMYFUNCTION("IFERROR(
IF(REGEXMATCH(LOWER(O6007),""k""),
VALUE(REGEXEXTRACT(O6007,""[0-9]+""))*1000,
VALUE(REGEXEXTRACT(O6007,""[0-9]+""))
),
0
)"),0.0)</f>
        <v>0</v>
      </c>
      <c r="E6007" s="1" t="s">
        <v>11</v>
      </c>
      <c r="F6007" s="1" t="s">
        <v>20</v>
      </c>
      <c r="G6007" s="4" t="b">
        <f t="shared" si="2"/>
        <v>1</v>
      </c>
      <c r="H6007" s="1" t="str">
        <f t="shared" si="3"/>
        <v>Currently Unavailable</v>
      </c>
      <c r="I6007" s="1" t="str">
        <f t="shared" si="4"/>
        <v>No Badges</v>
      </c>
      <c r="J6007" s="3">
        <f t="shared" si="5"/>
        <v>0</v>
      </c>
    </row>
    <row r="6008">
      <c r="A6008" s="1" t="s">
        <v>701</v>
      </c>
      <c r="B6008" s="3" t="str">
        <f t="shared" si="1"/>
        <v>Unavailable</v>
      </c>
      <c r="C6008" s="3">
        <v>8.0</v>
      </c>
      <c r="D6008" s="3">
        <f>IFERROR(__xludf.DUMMYFUNCTION("IFERROR(
IF(REGEXMATCH(LOWER(O6008),""k""),
VALUE(REGEXEXTRACT(O6008,""[0-9]+""))*1000,
VALUE(REGEXEXTRACT(O6008,""[0-9]+""))
),
0
)"),0.0)</f>
        <v>0</v>
      </c>
      <c r="E6008" s="1" t="s">
        <v>11</v>
      </c>
      <c r="F6008" s="1" t="s">
        <v>12</v>
      </c>
      <c r="G6008" s="4" t="b">
        <f t="shared" si="2"/>
        <v>1</v>
      </c>
      <c r="H6008" s="1" t="str">
        <f t="shared" si="3"/>
        <v>Currently Unavailable</v>
      </c>
      <c r="I6008" s="1" t="str">
        <f t="shared" si="4"/>
        <v>No Badges</v>
      </c>
      <c r="J6008" s="3">
        <f t="shared" si="5"/>
        <v>0</v>
      </c>
    </row>
    <row r="6009">
      <c r="A6009" s="1" t="s">
        <v>4504</v>
      </c>
      <c r="B6009" s="3" t="str">
        <f t="shared" si="1"/>
        <v>Unavailable</v>
      </c>
      <c r="C6009" s="5">
        <v>5449.0</v>
      </c>
      <c r="D6009" s="3">
        <f>IFERROR(__xludf.DUMMYFUNCTION("IFERROR(
IF(REGEXMATCH(LOWER(O6009),""k""),
VALUE(REGEXEXTRACT(O6009,""[0-9]+""))*1000,
VALUE(REGEXEXTRACT(O6009,""[0-9]+""))
),
0
)"),0.0)</f>
        <v>0</v>
      </c>
      <c r="E6009" s="1" t="s">
        <v>158</v>
      </c>
      <c r="F6009" s="1" t="s">
        <v>20</v>
      </c>
      <c r="G6009" s="4" t="b">
        <f t="shared" si="2"/>
        <v>1</v>
      </c>
      <c r="H6009" s="1" t="str">
        <f t="shared" si="3"/>
        <v>Currently Unavailable</v>
      </c>
      <c r="I6009" s="1" t="str">
        <f t="shared" si="4"/>
        <v>No Badges</v>
      </c>
      <c r="J6009" s="3">
        <f t="shared" si="5"/>
        <v>0</v>
      </c>
    </row>
    <row r="6010">
      <c r="A6010" s="1" t="s">
        <v>4505</v>
      </c>
      <c r="B6010" s="3" t="str">
        <f t="shared" si="1"/>
        <v>Unavailable</v>
      </c>
      <c r="C6010" s="3">
        <v>757.0</v>
      </c>
      <c r="D6010" s="3">
        <f>IFERROR(__xludf.DUMMYFUNCTION("IFERROR(
IF(REGEXMATCH(LOWER(O6010),""k""),
VALUE(REGEXEXTRACT(O6010,""[0-9]+""))*1000,
VALUE(REGEXEXTRACT(O6010,""[0-9]+""))
),
0
)"),0.0)</f>
        <v>0</v>
      </c>
      <c r="E6010" s="1" t="s">
        <v>158</v>
      </c>
      <c r="F6010" s="1" t="s">
        <v>20</v>
      </c>
      <c r="G6010" s="4" t="b">
        <f t="shared" si="2"/>
        <v>1</v>
      </c>
      <c r="H6010" s="1" t="str">
        <f t="shared" si="3"/>
        <v>Currently Unavailable</v>
      </c>
      <c r="I6010" s="1" t="str">
        <f t="shared" si="4"/>
        <v>No Badges</v>
      </c>
      <c r="J6010" s="3">
        <f t="shared" si="5"/>
        <v>0</v>
      </c>
    </row>
    <row r="6011">
      <c r="A6011" s="1" t="s">
        <v>4506</v>
      </c>
      <c r="B6011" s="3" t="str">
        <f t="shared" si="1"/>
        <v>Unavailable</v>
      </c>
      <c r="C6011" s="5">
        <v>17396.0</v>
      </c>
      <c r="D6011" s="3">
        <f>IFERROR(__xludf.DUMMYFUNCTION("IFERROR(
IF(REGEXMATCH(LOWER(O6011),""k""),
VALUE(REGEXEXTRACT(O6011,""[0-9]+""))*1000,
VALUE(REGEXEXTRACT(O6011,""[0-9]+""))
),
0
)"),0.0)</f>
        <v>0</v>
      </c>
      <c r="E6011" s="1" t="s">
        <v>11</v>
      </c>
      <c r="F6011" s="1" t="s">
        <v>20</v>
      </c>
      <c r="G6011" s="4" t="b">
        <f t="shared" si="2"/>
        <v>1</v>
      </c>
      <c r="H6011" s="1" t="str">
        <f t="shared" si="3"/>
        <v>Currently Unavailable</v>
      </c>
      <c r="I6011" s="1" t="str">
        <f t="shared" si="4"/>
        <v>No Badges</v>
      </c>
      <c r="J6011" s="3">
        <f t="shared" si="5"/>
        <v>0</v>
      </c>
    </row>
    <row r="6012">
      <c r="A6012" s="1" t="s">
        <v>4507</v>
      </c>
      <c r="B6012" s="3" t="str">
        <f t="shared" si="1"/>
        <v>Unavailable</v>
      </c>
      <c r="C6012" s="5">
        <v>17179.0</v>
      </c>
      <c r="D6012" s="3">
        <f>IFERROR(__xludf.DUMMYFUNCTION("IFERROR(
IF(REGEXMATCH(LOWER(O6012),""k""),
VALUE(REGEXEXTRACT(O6012,""[0-9]+""))*1000,
VALUE(REGEXEXTRACT(O6012,""[0-9]+""))
),
0
)"),0.0)</f>
        <v>0</v>
      </c>
      <c r="E6012" s="1" t="s">
        <v>11</v>
      </c>
      <c r="F6012" s="1" t="s">
        <v>20</v>
      </c>
      <c r="G6012" s="4" t="b">
        <f t="shared" si="2"/>
        <v>1</v>
      </c>
      <c r="H6012" s="1" t="str">
        <f t="shared" si="3"/>
        <v>Currently Unavailable</v>
      </c>
      <c r="I6012" s="1" t="str">
        <f t="shared" si="4"/>
        <v>No Badges</v>
      </c>
      <c r="J6012" s="3">
        <f t="shared" si="5"/>
        <v>0</v>
      </c>
    </row>
    <row r="6013">
      <c r="A6013" s="1" t="s">
        <v>69</v>
      </c>
      <c r="B6013" s="3" t="str">
        <f t="shared" si="1"/>
        <v>Unavailable</v>
      </c>
      <c r="C6013" s="3">
        <v>45.0</v>
      </c>
      <c r="D6013" s="3">
        <f>IFERROR(__xludf.DUMMYFUNCTION("IFERROR(
IF(REGEXMATCH(LOWER(O6013),""k""),
VALUE(REGEXEXTRACT(O6013,""[0-9]+""))*1000,
VALUE(REGEXEXTRACT(O6013,""[0-9]+""))
),
0
)"),0.0)</f>
        <v>0</v>
      </c>
      <c r="E6013" s="1" t="s">
        <v>11</v>
      </c>
      <c r="F6013" s="1" t="s">
        <v>12</v>
      </c>
      <c r="G6013" s="4" t="b">
        <f t="shared" si="2"/>
        <v>1</v>
      </c>
      <c r="H6013" s="1" t="str">
        <f t="shared" si="3"/>
        <v>Currently Unavailable</v>
      </c>
      <c r="I6013" s="1" t="str">
        <f t="shared" si="4"/>
        <v>No Badges</v>
      </c>
      <c r="J6013" s="3">
        <f t="shared" si="5"/>
        <v>0</v>
      </c>
    </row>
    <row r="6014">
      <c r="A6014" s="1" t="s">
        <v>4508</v>
      </c>
      <c r="B6014" s="3" t="str">
        <f t="shared" si="1"/>
        <v>Unavailable</v>
      </c>
      <c r="C6014" s="5">
        <v>4370.0</v>
      </c>
      <c r="D6014" s="3">
        <f>IFERROR(__xludf.DUMMYFUNCTION("IFERROR(
IF(REGEXMATCH(LOWER(O6014),""k""),
VALUE(REGEXEXTRACT(O6014,""[0-9]+""))*1000,
VALUE(REGEXEXTRACT(O6014,""[0-9]+""))
),
0
)"),0.0)</f>
        <v>0</v>
      </c>
      <c r="E6014" s="1" t="s">
        <v>11</v>
      </c>
      <c r="F6014" s="1" t="s">
        <v>20</v>
      </c>
      <c r="G6014" s="4" t="b">
        <f t="shared" si="2"/>
        <v>1</v>
      </c>
      <c r="H6014" s="1" t="str">
        <f t="shared" si="3"/>
        <v>Currently Unavailable</v>
      </c>
      <c r="I6014" s="1" t="str">
        <f t="shared" si="4"/>
        <v>No Badges</v>
      </c>
      <c r="J6014" s="3">
        <f t="shared" si="5"/>
        <v>0</v>
      </c>
    </row>
    <row r="6015">
      <c r="A6015" s="1" t="s">
        <v>4509</v>
      </c>
      <c r="B6015" s="3" t="str">
        <f t="shared" si="1"/>
        <v>Unavailable</v>
      </c>
      <c r="C6015" s="5">
        <v>2889.0</v>
      </c>
      <c r="D6015" s="3">
        <f>IFERROR(__xludf.DUMMYFUNCTION("IFERROR(
IF(REGEXMATCH(LOWER(O6015),""k""),
VALUE(REGEXEXTRACT(O6015,""[0-9]+""))*1000,
VALUE(REGEXEXTRACT(O6015,""[0-9]+""))
),
0
)"),0.0)</f>
        <v>0</v>
      </c>
      <c r="E6015" s="1" t="s">
        <v>11</v>
      </c>
      <c r="F6015" s="1" t="s">
        <v>20</v>
      </c>
      <c r="G6015" s="4" t="b">
        <f t="shared" si="2"/>
        <v>1</v>
      </c>
      <c r="H6015" s="1" t="str">
        <f t="shared" si="3"/>
        <v>Currently Unavailable</v>
      </c>
      <c r="I6015" s="1" t="str">
        <f t="shared" si="4"/>
        <v>No Badges</v>
      </c>
      <c r="J6015" s="3">
        <f t="shared" si="5"/>
        <v>0</v>
      </c>
    </row>
    <row r="6016">
      <c r="A6016" s="1" t="s">
        <v>4510</v>
      </c>
      <c r="B6016" s="3" t="str">
        <f t="shared" si="1"/>
        <v>Unavailable</v>
      </c>
      <c r="C6016" s="5">
        <v>1837.0</v>
      </c>
      <c r="D6016" s="3">
        <f>IFERROR(__xludf.DUMMYFUNCTION("IFERROR(
IF(REGEXMATCH(LOWER(O6016),""k""),
VALUE(REGEXEXTRACT(O6016,""[0-9]+""))*1000,
VALUE(REGEXEXTRACT(O6016,""[0-9]+""))
),
0
)"),0.0)</f>
        <v>0</v>
      </c>
      <c r="E6016" s="1" t="s">
        <v>158</v>
      </c>
      <c r="F6016" s="1" t="s">
        <v>20</v>
      </c>
      <c r="G6016" s="4" t="b">
        <f t="shared" si="2"/>
        <v>1</v>
      </c>
      <c r="H6016" s="1" t="str">
        <f t="shared" si="3"/>
        <v>Currently Unavailable</v>
      </c>
      <c r="I6016" s="1" t="str">
        <f t="shared" si="4"/>
        <v>No Badges</v>
      </c>
      <c r="J6016" s="3">
        <f t="shared" si="5"/>
        <v>0</v>
      </c>
    </row>
    <row r="6017">
      <c r="A6017" s="1" t="s">
        <v>4511</v>
      </c>
      <c r="B6017" s="3" t="str">
        <f t="shared" si="1"/>
        <v>Unavailable</v>
      </c>
      <c r="C6017" s="5">
        <v>4511.0</v>
      </c>
      <c r="D6017" s="3">
        <f>IFERROR(__xludf.DUMMYFUNCTION("IFERROR(
IF(REGEXMATCH(LOWER(O6017),""k""),
VALUE(REGEXEXTRACT(O6017,""[0-9]+""))*1000,
VALUE(REGEXEXTRACT(O6017,""[0-9]+""))
),
0
)"),0.0)</f>
        <v>0</v>
      </c>
      <c r="E6017" s="1" t="s">
        <v>11</v>
      </c>
      <c r="F6017" s="1" t="s">
        <v>20</v>
      </c>
      <c r="G6017" s="4" t="b">
        <f t="shared" si="2"/>
        <v>1</v>
      </c>
      <c r="H6017" s="1" t="str">
        <f t="shared" si="3"/>
        <v>Currently Unavailable</v>
      </c>
      <c r="I6017" s="1" t="str">
        <f t="shared" si="4"/>
        <v>No Badges</v>
      </c>
      <c r="J6017" s="3">
        <f t="shared" si="5"/>
        <v>0</v>
      </c>
    </row>
    <row r="6018">
      <c r="A6018" s="1" t="s">
        <v>4512</v>
      </c>
      <c r="B6018" s="3" t="str">
        <f t="shared" si="1"/>
        <v>Unavailable</v>
      </c>
      <c r="C6018" s="5">
        <v>11542.0</v>
      </c>
      <c r="D6018" s="3">
        <f>IFERROR(__xludf.DUMMYFUNCTION("IFERROR(
IF(REGEXMATCH(LOWER(O6018),""k""),
VALUE(REGEXEXTRACT(O6018,""[0-9]+""))*1000,
VALUE(REGEXEXTRACT(O6018,""[0-9]+""))
),
0
)"),0.0)</f>
        <v>0</v>
      </c>
      <c r="E6018" s="1" t="s">
        <v>11</v>
      </c>
      <c r="F6018" s="1" t="s">
        <v>20</v>
      </c>
      <c r="G6018" s="4" t="b">
        <f t="shared" si="2"/>
        <v>1</v>
      </c>
      <c r="H6018" s="1" t="str">
        <f t="shared" si="3"/>
        <v>Currently Unavailable</v>
      </c>
      <c r="I6018" s="1" t="str">
        <f t="shared" si="4"/>
        <v>No Badges</v>
      </c>
      <c r="J6018" s="3">
        <f t="shared" si="5"/>
        <v>0</v>
      </c>
    </row>
    <row r="6019">
      <c r="A6019" s="1" t="s">
        <v>4513</v>
      </c>
      <c r="B6019" s="3" t="str">
        <f t="shared" si="1"/>
        <v>Unavailable</v>
      </c>
      <c r="C6019" s="3">
        <v>4.0</v>
      </c>
      <c r="D6019" s="3">
        <f>IFERROR(__xludf.DUMMYFUNCTION("IFERROR(
IF(REGEXMATCH(LOWER(O6019),""k""),
VALUE(REGEXEXTRACT(O6019,""[0-9]+""))*1000,
VALUE(REGEXEXTRACT(O6019,""[0-9]+""))
),
0
)"),0.0)</f>
        <v>0</v>
      </c>
      <c r="E6019" s="1" t="s">
        <v>11</v>
      </c>
      <c r="F6019" s="1" t="s">
        <v>20</v>
      </c>
      <c r="G6019" s="4" t="b">
        <f t="shared" si="2"/>
        <v>1</v>
      </c>
      <c r="H6019" s="1" t="str">
        <f t="shared" si="3"/>
        <v>Currently Unavailable</v>
      </c>
      <c r="I6019" s="1" t="str">
        <f t="shared" si="4"/>
        <v>No Badges</v>
      </c>
      <c r="J6019" s="3">
        <f t="shared" si="5"/>
        <v>0</v>
      </c>
    </row>
    <row r="6020">
      <c r="A6020" s="1" t="s">
        <v>4489</v>
      </c>
      <c r="B6020" s="3" t="str">
        <f t="shared" si="1"/>
        <v>Unavailable</v>
      </c>
      <c r="C6020" s="5">
        <v>1311.0</v>
      </c>
      <c r="D6020" s="3">
        <f>IFERROR(__xludf.DUMMYFUNCTION("IFERROR(
IF(REGEXMATCH(LOWER(O6020),""k""),
VALUE(REGEXEXTRACT(O6020,""[0-9]+""))*1000,
VALUE(REGEXEXTRACT(O6020,""[0-9]+""))
),
0
)"),0.0)</f>
        <v>0</v>
      </c>
      <c r="E6020" s="1" t="s">
        <v>11</v>
      </c>
      <c r="F6020" s="1" t="s">
        <v>12</v>
      </c>
      <c r="G6020" s="4" t="b">
        <f t="shared" si="2"/>
        <v>1</v>
      </c>
      <c r="H6020" s="1" t="str">
        <f t="shared" si="3"/>
        <v>Currently Unavailable</v>
      </c>
      <c r="I6020" s="1" t="str">
        <f t="shared" si="4"/>
        <v>No Badges</v>
      </c>
      <c r="J6020" s="3">
        <f t="shared" si="5"/>
        <v>0</v>
      </c>
    </row>
    <row r="6021">
      <c r="A6021" s="1" t="s">
        <v>4512</v>
      </c>
      <c r="B6021" s="3" t="str">
        <f t="shared" si="1"/>
        <v>Unavailable</v>
      </c>
      <c r="C6021" s="5">
        <v>11542.0</v>
      </c>
      <c r="D6021" s="3">
        <f>IFERROR(__xludf.DUMMYFUNCTION("IFERROR(
IF(REGEXMATCH(LOWER(O6021),""k""),
VALUE(REGEXEXTRACT(O6021,""[0-9]+""))*1000,
VALUE(REGEXEXTRACT(O6021,""[0-9]+""))
),
0
)"),0.0)</f>
        <v>0</v>
      </c>
      <c r="E6021" s="1" t="s">
        <v>11</v>
      </c>
      <c r="F6021" s="1" t="s">
        <v>20</v>
      </c>
      <c r="G6021" s="4" t="b">
        <f t="shared" si="2"/>
        <v>1</v>
      </c>
      <c r="H6021" s="1" t="str">
        <f t="shared" si="3"/>
        <v>Currently Unavailable</v>
      </c>
      <c r="I6021" s="1" t="str">
        <f t="shared" si="4"/>
        <v>No Badges</v>
      </c>
      <c r="J6021" s="3">
        <f t="shared" si="5"/>
        <v>0</v>
      </c>
    </row>
    <row r="6022">
      <c r="A6022" s="1" t="s">
        <v>4514</v>
      </c>
      <c r="B6022" s="3" t="str">
        <f t="shared" si="1"/>
        <v>Unavailable</v>
      </c>
      <c r="C6022" s="3">
        <v>60.0</v>
      </c>
      <c r="D6022" s="3">
        <f>IFERROR(__xludf.DUMMYFUNCTION("IFERROR(
IF(REGEXMATCH(LOWER(O6022),""k""),
VALUE(REGEXEXTRACT(O6022,""[0-9]+""))*1000,
VALUE(REGEXEXTRACT(O6022,""[0-9]+""))
),
0
)"),0.0)</f>
        <v>0</v>
      </c>
      <c r="E6022" s="1" t="s">
        <v>11</v>
      </c>
      <c r="F6022" s="1" t="s">
        <v>20</v>
      </c>
      <c r="G6022" s="4" t="b">
        <f t="shared" si="2"/>
        <v>1</v>
      </c>
      <c r="H6022" s="1" t="str">
        <f t="shared" si="3"/>
        <v>Currently Unavailable</v>
      </c>
      <c r="I6022" s="1" t="str">
        <f t="shared" si="4"/>
        <v>No Badges</v>
      </c>
      <c r="J6022" s="3">
        <f t="shared" si="5"/>
        <v>0</v>
      </c>
    </row>
    <row r="6023">
      <c r="A6023" s="1" t="s">
        <v>4515</v>
      </c>
      <c r="B6023" s="3" t="str">
        <f t="shared" si="1"/>
        <v>Unavailable</v>
      </c>
      <c r="C6023" s="5">
        <v>14293.0</v>
      </c>
      <c r="D6023" s="3">
        <f>IFERROR(__xludf.DUMMYFUNCTION("IFERROR(
IF(REGEXMATCH(LOWER(O6023),""k""),
VALUE(REGEXEXTRACT(O6023,""[0-9]+""))*1000,
VALUE(REGEXEXTRACT(O6023,""[0-9]+""))
),
0
)"),0.0)</f>
        <v>0</v>
      </c>
      <c r="E6023" s="1" t="s">
        <v>11</v>
      </c>
      <c r="F6023" s="1" t="s">
        <v>20</v>
      </c>
      <c r="G6023" s="4" t="b">
        <f t="shared" si="2"/>
        <v>1</v>
      </c>
      <c r="H6023" s="1" t="str">
        <f t="shared" si="3"/>
        <v>Currently Unavailable</v>
      </c>
      <c r="I6023" s="1" t="str">
        <f t="shared" si="4"/>
        <v>No Badges</v>
      </c>
      <c r="J6023" s="3">
        <f t="shared" si="5"/>
        <v>0</v>
      </c>
    </row>
    <row r="6024">
      <c r="A6024" s="1" t="s">
        <v>4516</v>
      </c>
      <c r="B6024" s="3" t="str">
        <f t="shared" si="1"/>
        <v>Unavailable</v>
      </c>
      <c r="C6024" s="5">
        <v>1337.0</v>
      </c>
      <c r="D6024" s="3">
        <f>IFERROR(__xludf.DUMMYFUNCTION("IFERROR(
IF(REGEXMATCH(LOWER(O6024),""k""),
VALUE(REGEXEXTRACT(O6024,""[0-9]+""))*1000,
VALUE(REGEXEXTRACT(O6024,""[0-9]+""))
),
0
)"),0.0)</f>
        <v>0</v>
      </c>
      <c r="E6024" s="1" t="s">
        <v>11</v>
      </c>
      <c r="F6024" s="1" t="s">
        <v>20</v>
      </c>
      <c r="G6024" s="4" t="b">
        <f t="shared" si="2"/>
        <v>1</v>
      </c>
      <c r="H6024" s="1" t="str">
        <f t="shared" si="3"/>
        <v>Currently Unavailable</v>
      </c>
      <c r="I6024" s="1" t="str">
        <f t="shared" si="4"/>
        <v>No Badges</v>
      </c>
      <c r="J6024" s="3">
        <f t="shared" si="5"/>
        <v>0</v>
      </c>
    </row>
    <row r="6025">
      <c r="A6025" s="1" t="s">
        <v>4517</v>
      </c>
      <c r="B6025" s="3" t="str">
        <f t="shared" si="1"/>
        <v>Unavailable</v>
      </c>
      <c r="C6025" s="3">
        <v>63.0</v>
      </c>
      <c r="D6025" s="3">
        <f>IFERROR(__xludf.DUMMYFUNCTION("IFERROR(
IF(REGEXMATCH(LOWER(O6025),""k""),
VALUE(REGEXEXTRACT(O6025,""[0-9]+""))*1000,
VALUE(REGEXEXTRACT(O6025,""[0-9]+""))
),
0
)"),0.0)</f>
        <v>0</v>
      </c>
      <c r="E6025" s="1" t="s">
        <v>11</v>
      </c>
      <c r="F6025" s="1" t="s">
        <v>20</v>
      </c>
      <c r="G6025" s="4" t="b">
        <f t="shared" si="2"/>
        <v>1</v>
      </c>
      <c r="H6025" s="1" t="str">
        <f t="shared" si="3"/>
        <v>Currently Unavailable</v>
      </c>
      <c r="I6025" s="1" t="str">
        <f t="shared" si="4"/>
        <v>No Badges</v>
      </c>
      <c r="J6025" s="3">
        <f t="shared" si="5"/>
        <v>0</v>
      </c>
    </row>
    <row r="6026">
      <c r="A6026" s="1" t="s">
        <v>67</v>
      </c>
      <c r="B6026" s="3" t="str">
        <f t="shared" si="1"/>
        <v>Unavailable</v>
      </c>
      <c r="C6026" s="3">
        <v>264.0</v>
      </c>
      <c r="D6026" s="3">
        <f>IFERROR(__xludf.DUMMYFUNCTION("IFERROR(
IF(REGEXMATCH(LOWER(O6026),""k""),
VALUE(REGEXEXTRACT(O6026,""[0-9]+""))*1000,
VALUE(REGEXEXTRACT(O6026,""[0-9]+""))
),
0
)"),0.0)</f>
        <v>0</v>
      </c>
      <c r="E6026" s="1" t="s">
        <v>11</v>
      </c>
      <c r="F6026" s="1" t="s">
        <v>12</v>
      </c>
      <c r="G6026" s="4" t="b">
        <f t="shared" si="2"/>
        <v>1</v>
      </c>
      <c r="H6026" s="1" t="str">
        <f t="shared" si="3"/>
        <v>Currently Unavailable</v>
      </c>
      <c r="I6026" s="1" t="str">
        <f t="shared" si="4"/>
        <v>No Badges</v>
      </c>
      <c r="J6026" s="3">
        <f t="shared" si="5"/>
        <v>0</v>
      </c>
    </row>
    <row r="6027">
      <c r="A6027" s="1" t="s">
        <v>4518</v>
      </c>
      <c r="B6027" s="3" t="str">
        <f t="shared" si="1"/>
        <v>Unavailable</v>
      </c>
      <c r="C6027" s="5">
        <v>4414.0</v>
      </c>
      <c r="D6027" s="3">
        <f>IFERROR(__xludf.DUMMYFUNCTION("IFERROR(
IF(REGEXMATCH(LOWER(O6027),""k""),
VALUE(REGEXEXTRACT(O6027,""[0-9]+""))*1000,
VALUE(REGEXEXTRACT(O6027,""[0-9]+""))
),
0
)"),0.0)</f>
        <v>0</v>
      </c>
      <c r="E6027" s="1" t="s">
        <v>158</v>
      </c>
      <c r="F6027" s="1" t="s">
        <v>20</v>
      </c>
      <c r="G6027" s="4" t="b">
        <f t="shared" si="2"/>
        <v>1</v>
      </c>
      <c r="H6027" s="1" t="str">
        <f t="shared" si="3"/>
        <v>Currently Unavailable</v>
      </c>
      <c r="I6027" s="1" t="str">
        <f t="shared" si="4"/>
        <v>No Badges</v>
      </c>
      <c r="J6027" s="3">
        <f t="shared" si="5"/>
        <v>0</v>
      </c>
    </row>
    <row r="6028">
      <c r="A6028" s="1" t="s">
        <v>701</v>
      </c>
      <c r="B6028" s="3" t="str">
        <f t="shared" si="1"/>
        <v>Unavailable</v>
      </c>
      <c r="C6028" s="3">
        <v>8.0</v>
      </c>
      <c r="D6028" s="3">
        <f>IFERROR(__xludf.DUMMYFUNCTION("IFERROR(
IF(REGEXMATCH(LOWER(O6028),""k""),
VALUE(REGEXEXTRACT(O6028,""[0-9]+""))*1000,
VALUE(REGEXEXTRACT(O6028,""[0-9]+""))
),
0
)"),0.0)</f>
        <v>0</v>
      </c>
      <c r="E6028" s="1" t="s">
        <v>11</v>
      </c>
      <c r="F6028" s="1" t="s">
        <v>12</v>
      </c>
      <c r="G6028" s="4" t="b">
        <f t="shared" si="2"/>
        <v>1</v>
      </c>
      <c r="H6028" s="1" t="str">
        <f t="shared" si="3"/>
        <v>Currently Unavailable</v>
      </c>
      <c r="I6028" s="1" t="str">
        <f t="shared" si="4"/>
        <v>No Badges</v>
      </c>
      <c r="J6028" s="3">
        <f t="shared" si="5"/>
        <v>0</v>
      </c>
    </row>
    <row r="6029">
      <c r="A6029" s="1" t="s">
        <v>4519</v>
      </c>
      <c r="B6029" s="3" t="str">
        <f t="shared" si="1"/>
        <v>Unavailable</v>
      </c>
      <c r="C6029" s="5">
        <v>1234.0</v>
      </c>
      <c r="D6029" s="3">
        <f>IFERROR(__xludf.DUMMYFUNCTION("IFERROR(
IF(REGEXMATCH(LOWER(O6029),""k""),
VALUE(REGEXEXTRACT(O6029,""[0-9]+""))*1000,
VALUE(REGEXEXTRACT(O6029,""[0-9]+""))
),
0
)"),0.0)</f>
        <v>0</v>
      </c>
      <c r="E6029" s="1" t="s">
        <v>11</v>
      </c>
      <c r="F6029" s="1" t="s">
        <v>20</v>
      </c>
      <c r="G6029" s="4" t="b">
        <f t="shared" si="2"/>
        <v>1</v>
      </c>
      <c r="H6029" s="1" t="str">
        <f t="shared" si="3"/>
        <v>Currently Unavailable</v>
      </c>
      <c r="I6029" s="1" t="str">
        <f t="shared" si="4"/>
        <v>No Badges</v>
      </c>
      <c r="J6029" s="3">
        <f t="shared" si="5"/>
        <v>0</v>
      </c>
    </row>
    <row r="6030">
      <c r="A6030" s="1" t="s">
        <v>4520</v>
      </c>
      <c r="B6030" s="3" t="str">
        <f t="shared" si="1"/>
        <v>Unavailable</v>
      </c>
      <c r="C6030" s="3">
        <v>360.0</v>
      </c>
      <c r="D6030" s="3">
        <f>IFERROR(__xludf.DUMMYFUNCTION("IFERROR(
IF(REGEXMATCH(LOWER(O6030),""k""),
VALUE(REGEXEXTRACT(O6030,""[0-9]+""))*1000,
VALUE(REGEXEXTRACT(O6030,""[0-9]+""))
),
0
)"),0.0)</f>
        <v>0</v>
      </c>
      <c r="E6030" s="1" t="s">
        <v>11</v>
      </c>
      <c r="F6030" s="1" t="s">
        <v>20</v>
      </c>
      <c r="G6030" s="4" t="b">
        <f t="shared" si="2"/>
        <v>1</v>
      </c>
      <c r="H6030" s="1" t="str">
        <f t="shared" si="3"/>
        <v>Currently Unavailable</v>
      </c>
      <c r="I6030" s="1" t="str">
        <f t="shared" si="4"/>
        <v>No Badges</v>
      </c>
      <c r="J6030" s="3">
        <f t="shared" si="5"/>
        <v>0</v>
      </c>
    </row>
    <row r="6031">
      <c r="A6031" s="1" t="s">
        <v>4521</v>
      </c>
      <c r="B6031" s="3" t="str">
        <f t="shared" si="1"/>
        <v>Unavailable</v>
      </c>
      <c r="C6031" s="5">
        <v>1979.0</v>
      </c>
      <c r="D6031" s="3">
        <f>IFERROR(__xludf.DUMMYFUNCTION("IFERROR(
IF(REGEXMATCH(LOWER(O6031),""k""),
VALUE(REGEXEXTRACT(O6031,""[0-9]+""))*1000,
VALUE(REGEXEXTRACT(O6031,""[0-9]+""))
),
0
)"),0.0)</f>
        <v>0</v>
      </c>
      <c r="E6031" s="1" t="s">
        <v>11</v>
      </c>
      <c r="F6031" s="1" t="s">
        <v>20</v>
      </c>
      <c r="G6031" s="4" t="b">
        <f t="shared" si="2"/>
        <v>1</v>
      </c>
      <c r="H6031" s="1" t="str">
        <f t="shared" si="3"/>
        <v>Currently Unavailable</v>
      </c>
      <c r="I6031" s="1" t="str">
        <f t="shared" si="4"/>
        <v>No Badges</v>
      </c>
      <c r="J6031" s="3">
        <f t="shared" si="5"/>
        <v>0</v>
      </c>
    </row>
    <row r="6032">
      <c r="A6032" s="1" t="s">
        <v>4522</v>
      </c>
      <c r="B6032" s="3" t="str">
        <f t="shared" si="1"/>
        <v>Unavailable</v>
      </c>
      <c r="C6032" s="5">
        <v>3719.0</v>
      </c>
      <c r="D6032" s="3">
        <f>IFERROR(__xludf.DUMMYFUNCTION("IFERROR(
IF(REGEXMATCH(LOWER(O6032),""k""),
VALUE(REGEXEXTRACT(O6032,""[0-9]+""))*1000,
VALUE(REGEXEXTRACT(O6032,""[0-9]+""))
),
0
)"),0.0)</f>
        <v>0</v>
      </c>
      <c r="E6032" s="1" t="s">
        <v>11</v>
      </c>
      <c r="F6032" s="1" t="s">
        <v>20</v>
      </c>
      <c r="G6032" s="4" t="b">
        <f t="shared" si="2"/>
        <v>1</v>
      </c>
      <c r="H6032" s="1" t="str">
        <f t="shared" si="3"/>
        <v>Currently Unavailable</v>
      </c>
      <c r="I6032" s="1" t="str">
        <f t="shared" si="4"/>
        <v>No Badges</v>
      </c>
      <c r="J6032" s="3">
        <f t="shared" si="5"/>
        <v>0</v>
      </c>
    </row>
    <row r="6033">
      <c r="A6033" s="1" t="s">
        <v>4523</v>
      </c>
      <c r="B6033" s="3" t="str">
        <f t="shared" si="1"/>
        <v>Unavailable</v>
      </c>
      <c r="C6033" s="5">
        <v>11180.0</v>
      </c>
      <c r="D6033" s="3">
        <f>IFERROR(__xludf.DUMMYFUNCTION("IFERROR(
IF(REGEXMATCH(LOWER(O6033),""k""),
VALUE(REGEXEXTRACT(O6033,""[0-9]+""))*1000,
VALUE(REGEXEXTRACT(O6033,""[0-9]+""))
),
0
)"),0.0)</f>
        <v>0</v>
      </c>
      <c r="E6033" s="1" t="s">
        <v>11</v>
      </c>
      <c r="F6033" s="1" t="s">
        <v>20</v>
      </c>
      <c r="G6033" s="4" t="b">
        <f t="shared" si="2"/>
        <v>1</v>
      </c>
      <c r="H6033" s="1" t="str">
        <f t="shared" si="3"/>
        <v>Currently Unavailable</v>
      </c>
      <c r="I6033" s="1" t="str">
        <f t="shared" si="4"/>
        <v>No Badges</v>
      </c>
      <c r="J6033" s="3">
        <f t="shared" si="5"/>
        <v>0</v>
      </c>
    </row>
    <row r="6034">
      <c r="A6034" s="1" t="s">
        <v>4524</v>
      </c>
      <c r="B6034" s="3" t="str">
        <f t="shared" si="1"/>
        <v>Unavailable</v>
      </c>
      <c r="C6034" s="5">
        <v>6920.0</v>
      </c>
      <c r="D6034" s="3">
        <f>IFERROR(__xludf.DUMMYFUNCTION("IFERROR(
IF(REGEXMATCH(LOWER(O6034),""k""),
VALUE(REGEXEXTRACT(O6034,""[0-9]+""))*1000,
VALUE(REGEXEXTRACT(O6034,""[0-9]+""))
),
0
)"),0.0)</f>
        <v>0</v>
      </c>
      <c r="E6034" s="1" t="s">
        <v>11</v>
      </c>
      <c r="F6034" s="1" t="s">
        <v>20</v>
      </c>
      <c r="G6034" s="4" t="b">
        <f t="shared" si="2"/>
        <v>1</v>
      </c>
      <c r="H6034" s="1" t="str">
        <f t="shared" si="3"/>
        <v>Currently Unavailable</v>
      </c>
      <c r="I6034" s="1" t="str">
        <f t="shared" si="4"/>
        <v>No Badges</v>
      </c>
      <c r="J6034" s="3">
        <f t="shared" si="5"/>
        <v>0</v>
      </c>
    </row>
    <row r="6035">
      <c r="A6035" s="1" t="s">
        <v>4525</v>
      </c>
      <c r="B6035" s="3" t="str">
        <f t="shared" si="1"/>
        <v>Unavailable</v>
      </c>
      <c r="C6035" s="3">
        <v>265.0</v>
      </c>
      <c r="D6035" s="3">
        <f>IFERROR(__xludf.DUMMYFUNCTION("IFERROR(
IF(REGEXMATCH(LOWER(O6035),""k""),
VALUE(REGEXEXTRACT(O6035,""[0-9]+""))*1000,
VALUE(REGEXEXTRACT(O6035,""[0-9]+""))
),
0
)"),0.0)</f>
        <v>0</v>
      </c>
      <c r="E6035" s="1" t="s">
        <v>11</v>
      </c>
      <c r="F6035" s="1" t="s">
        <v>20</v>
      </c>
      <c r="G6035" s="4" t="b">
        <f t="shared" si="2"/>
        <v>1</v>
      </c>
      <c r="H6035" s="1" t="str">
        <f t="shared" si="3"/>
        <v>Currently Unavailable</v>
      </c>
      <c r="I6035" s="1" t="str">
        <f t="shared" si="4"/>
        <v>No Badges</v>
      </c>
      <c r="J6035" s="3">
        <f t="shared" si="5"/>
        <v>0</v>
      </c>
    </row>
    <row r="6036">
      <c r="A6036" s="1" t="s">
        <v>4526</v>
      </c>
      <c r="B6036" s="3" t="str">
        <f t="shared" si="1"/>
        <v>Unavailable</v>
      </c>
      <c r="C6036" s="3">
        <v>927.0</v>
      </c>
      <c r="D6036" s="3">
        <f>IFERROR(__xludf.DUMMYFUNCTION("IFERROR(
IF(REGEXMATCH(LOWER(O6036),""k""),
VALUE(REGEXEXTRACT(O6036,""[0-9]+""))*1000,
VALUE(REGEXEXTRACT(O6036,""[0-9]+""))
),
0
)"),0.0)</f>
        <v>0</v>
      </c>
      <c r="E6036" s="1" t="s">
        <v>11</v>
      </c>
      <c r="F6036" s="1" t="s">
        <v>12</v>
      </c>
      <c r="G6036" s="4" t="b">
        <f t="shared" si="2"/>
        <v>1</v>
      </c>
      <c r="H6036" s="1" t="str">
        <f t="shared" si="3"/>
        <v>Currently Unavailable</v>
      </c>
      <c r="I6036" s="1" t="str">
        <f t="shared" si="4"/>
        <v>No Badges</v>
      </c>
      <c r="J6036" s="3">
        <f t="shared" si="5"/>
        <v>0</v>
      </c>
    </row>
    <row r="6037">
      <c r="A6037" s="1" t="s">
        <v>4527</v>
      </c>
      <c r="B6037" s="3" t="str">
        <f t="shared" si="1"/>
        <v>Unavailable</v>
      </c>
      <c r="C6037" s="3">
        <v>94.0</v>
      </c>
      <c r="D6037" s="3">
        <f>IFERROR(__xludf.DUMMYFUNCTION("IFERROR(
IF(REGEXMATCH(LOWER(O6037),""k""),
VALUE(REGEXEXTRACT(O6037,""[0-9]+""))*1000,
VALUE(REGEXEXTRACT(O6037,""[0-9]+""))
),
0
)"),0.0)</f>
        <v>0</v>
      </c>
      <c r="E6037" s="1" t="s">
        <v>11</v>
      </c>
      <c r="F6037" s="1" t="s">
        <v>20</v>
      </c>
      <c r="G6037" s="4" t="b">
        <f t="shared" si="2"/>
        <v>1</v>
      </c>
      <c r="H6037" s="1" t="str">
        <f t="shared" si="3"/>
        <v>Currently Unavailable</v>
      </c>
      <c r="I6037" s="1" t="str">
        <f t="shared" si="4"/>
        <v>No Badges</v>
      </c>
      <c r="J6037" s="3">
        <f t="shared" si="5"/>
        <v>0</v>
      </c>
    </row>
    <row r="6038">
      <c r="A6038" s="1" t="s">
        <v>4528</v>
      </c>
      <c r="B6038" s="3" t="str">
        <f t="shared" si="1"/>
        <v>Unavailable</v>
      </c>
      <c r="C6038" s="5">
        <v>7666.0</v>
      </c>
      <c r="D6038" s="3">
        <f>IFERROR(__xludf.DUMMYFUNCTION("IFERROR(
IF(REGEXMATCH(LOWER(O6038),""k""),
VALUE(REGEXEXTRACT(O6038,""[0-9]+""))*1000,
VALUE(REGEXEXTRACT(O6038,""[0-9]+""))
),
0
)"),0.0)</f>
        <v>0</v>
      </c>
      <c r="E6038" s="1" t="s">
        <v>11</v>
      </c>
      <c r="F6038" s="1" t="s">
        <v>20</v>
      </c>
      <c r="G6038" s="4" t="b">
        <f t="shared" si="2"/>
        <v>1</v>
      </c>
      <c r="H6038" s="1" t="str">
        <f t="shared" si="3"/>
        <v>Currently Unavailable</v>
      </c>
      <c r="I6038" s="1" t="str">
        <f t="shared" si="4"/>
        <v>No Badges</v>
      </c>
      <c r="J6038" s="3">
        <f t="shared" si="5"/>
        <v>0</v>
      </c>
    </row>
    <row r="6039">
      <c r="A6039" s="1" t="s">
        <v>4529</v>
      </c>
      <c r="B6039" s="3" t="str">
        <f t="shared" si="1"/>
        <v>Unavailable</v>
      </c>
      <c r="C6039" s="3">
        <v>269.0</v>
      </c>
      <c r="D6039" s="3">
        <f>IFERROR(__xludf.DUMMYFUNCTION("IFERROR(
IF(REGEXMATCH(LOWER(O6039),""k""),
VALUE(REGEXEXTRACT(O6039,""[0-9]+""))*1000,
VALUE(REGEXEXTRACT(O6039,""[0-9]+""))
),
0
)"),0.0)</f>
        <v>0</v>
      </c>
      <c r="E6039" s="1" t="s">
        <v>11</v>
      </c>
      <c r="F6039" s="1" t="s">
        <v>20</v>
      </c>
      <c r="G6039" s="4" t="b">
        <f t="shared" si="2"/>
        <v>1</v>
      </c>
      <c r="H6039" s="1" t="str">
        <f t="shared" si="3"/>
        <v>Currently Unavailable</v>
      </c>
      <c r="I6039" s="1" t="str">
        <f t="shared" si="4"/>
        <v>No Badges</v>
      </c>
      <c r="J6039" s="3">
        <f t="shared" si="5"/>
        <v>0</v>
      </c>
    </row>
    <row r="6040">
      <c r="A6040" s="1" t="s">
        <v>4530</v>
      </c>
      <c r="B6040" s="3" t="str">
        <f t="shared" si="1"/>
        <v>Unavailable</v>
      </c>
      <c r="C6040" s="3">
        <v>834.0</v>
      </c>
      <c r="D6040" s="3">
        <f>IFERROR(__xludf.DUMMYFUNCTION("IFERROR(
IF(REGEXMATCH(LOWER(O6040),""k""),
VALUE(REGEXEXTRACT(O6040,""[0-9]+""))*1000,
VALUE(REGEXEXTRACT(O6040,""[0-9]+""))
),
0
)"),0.0)</f>
        <v>0</v>
      </c>
      <c r="E6040" s="1" t="s">
        <v>11</v>
      </c>
      <c r="F6040" s="1" t="s">
        <v>20</v>
      </c>
      <c r="G6040" s="4" t="b">
        <f t="shared" si="2"/>
        <v>1</v>
      </c>
      <c r="H6040" s="1" t="str">
        <f t="shared" si="3"/>
        <v>Currently Unavailable</v>
      </c>
      <c r="I6040" s="1" t="str">
        <f t="shared" si="4"/>
        <v>No Badges</v>
      </c>
      <c r="J6040" s="3">
        <f t="shared" si="5"/>
        <v>0</v>
      </c>
    </row>
    <row r="6041">
      <c r="A6041" s="1" t="s">
        <v>4531</v>
      </c>
      <c r="B6041" s="3" t="str">
        <f t="shared" si="1"/>
        <v>Unavailable</v>
      </c>
      <c r="C6041" s="5">
        <v>4152.0</v>
      </c>
      <c r="D6041" s="3">
        <f>IFERROR(__xludf.DUMMYFUNCTION("IFERROR(
IF(REGEXMATCH(LOWER(O6041),""k""),
VALUE(REGEXEXTRACT(O6041,""[0-9]+""))*1000,
VALUE(REGEXEXTRACT(O6041,""[0-9]+""))
),
0
)"),0.0)</f>
        <v>0</v>
      </c>
      <c r="E6041" s="1" t="s">
        <v>11</v>
      </c>
      <c r="F6041" s="1" t="s">
        <v>20</v>
      </c>
      <c r="G6041" s="4" t="b">
        <f t="shared" si="2"/>
        <v>1</v>
      </c>
      <c r="H6041" s="1" t="str">
        <f t="shared" si="3"/>
        <v>Currently Unavailable</v>
      </c>
      <c r="I6041" s="1" t="str">
        <f t="shared" si="4"/>
        <v>No Badges</v>
      </c>
      <c r="J6041" s="3">
        <f t="shared" si="5"/>
        <v>0</v>
      </c>
    </row>
    <row r="6042">
      <c r="A6042" s="1" t="s">
        <v>88</v>
      </c>
      <c r="B6042" s="3" t="str">
        <f t="shared" si="1"/>
        <v>Unavailable</v>
      </c>
      <c r="C6042" s="3">
        <v>5.0</v>
      </c>
      <c r="D6042" s="3">
        <f>IFERROR(__xludf.DUMMYFUNCTION("IFERROR(
IF(REGEXMATCH(LOWER(O6042),""k""),
VALUE(REGEXEXTRACT(O6042,""[0-9]+""))*1000,
VALUE(REGEXEXTRACT(O6042,""[0-9]+""))
),
0
)"),0.0)</f>
        <v>0</v>
      </c>
      <c r="E6042" s="1" t="s">
        <v>11</v>
      </c>
      <c r="F6042" s="1" t="s">
        <v>12</v>
      </c>
      <c r="G6042" s="4" t="b">
        <f t="shared" si="2"/>
        <v>1</v>
      </c>
      <c r="H6042" s="1" t="str">
        <f t="shared" si="3"/>
        <v>Currently Unavailable</v>
      </c>
      <c r="I6042" s="1" t="str">
        <f t="shared" si="4"/>
        <v>No Badges</v>
      </c>
      <c r="J6042" s="3">
        <f t="shared" si="5"/>
        <v>0</v>
      </c>
    </row>
    <row r="6043">
      <c r="A6043" s="1" t="s">
        <v>40</v>
      </c>
      <c r="B6043" s="3" t="str">
        <f t="shared" si="1"/>
        <v>Unavailable</v>
      </c>
      <c r="C6043" s="3">
        <v>171.0</v>
      </c>
      <c r="D6043" s="3">
        <f>IFERROR(__xludf.DUMMYFUNCTION("IFERROR(
IF(REGEXMATCH(LOWER(O6043),""k""),
VALUE(REGEXEXTRACT(O6043,""[0-9]+""))*1000,
VALUE(REGEXEXTRACT(O6043,""[0-9]+""))
),
0
)"),0.0)</f>
        <v>0</v>
      </c>
      <c r="E6043" s="1" t="s">
        <v>11</v>
      </c>
      <c r="F6043" s="1" t="s">
        <v>12</v>
      </c>
      <c r="G6043" s="4" t="b">
        <f t="shared" si="2"/>
        <v>1</v>
      </c>
      <c r="H6043" s="1" t="str">
        <f t="shared" si="3"/>
        <v>Currently Unavailable</v>
      </c>
      <c r="I6043" s="1" t="str">
        <f t="shared" si="4"/>
        <v>No Badges</v>
      </c>
      <c r="J6043" s="3">
        <f t="shared" si="5"/>
        <v>0</v>
      </c>
    </row>
    <row r="6044">
      <c r="A6044" s="1" t="s">
        <v>4532</v>
      </c>
      <c r="B6044" s="3" t="str">
        <f t="shared" si="1"/>
        <v>Unavailable</v>
      </c>
      <c r="C6044" s="5">
        <v>3986.0</v>
      </c>
      <c r="D6044" s="3">
        <f>IFERROR(__xludf.DUMMYFUNCTION("IFERROR(
IF(REGEXMATCH(LOWER(O6044),""k""),
VALUE(REGEXEXTRACT(O6044,""[0-9]+""))*1000,
VALUE(REGEXEXTRACT(O6044,""[0-9]+""))
),
0
)"),0.0)</f>
        <v>0</v>
      </c>
      <c r="E6044" s="1" t="s">
        <v>11</v>
      </c>
      <c r="F6044" s="1" t="s">
        <v>20</v>
      </c>
      <c r="G6044" s="4" t="b">
        <f t="shared" si="2"/>
        <v>1</v>
      </c>
      <c r="H6044" s="1" t="str">
        <f t="shared" si="3"/>
        <v>Currently Unavailable</v>
      </c>
      <c r="I6044" s="1" t="str">
        <f t="shared" si="4"/>
        <v>No Badges</v>
      </c>
      <c r="J6044" s="3">
        <f t="shared" si="5"/>
        <v>0</v>
      </c>
    </row>
    <row r="6045">
      <c r="A6045" s="1" t="s">
        <v>4533</v>
      </c>
      <c r="B6045" s="3" t="str">
        <f t="shared" si="1"/>
        <v>Unavailable</v>
      </c>
      <c r="C6045" s="5">
        <v>1542.0</v>
      </c>
      <c r="D6045" s="3">
        <f>IFERROR(__xludf.DUMMYFUNCTION("IFERROR(
IF(REGEXMATCH(LOWER(O6045),""k""),
VALUE(REGEXEXTRACT(O6045,""[0-9]+""))*1000,
VALUE(REGEXEXTRACT(O6045,""[0-9]+""))
),
0
)"),0.0)</f>
        <v>0</v>
      </c>
      <c r="E6045" s="1" t="s">
        <v>11</v>
      </c>
      <c r="F6045" s="1" t="s">
        <v>20</v>
      </c>
      <c r="G6045" s="4" t="b">
        <f t="shared" si="2"/>
        <v>1</v>
      </c>
      <c r="H6045" s="1" t="str">
        <f t="shared" si="3"/>
        <v>Currently Unavailable</v>
      </c>
      <c r="I6045" s="1" t="str">
        <f t="shared" si="4"/>
        <v>No Badges</v>
      </c>
      <c r="J6045" s="3">
        <f t="shared" si="5"/>
        <v>0</v>
      </c>
    </row>
    <row r="6046">
      <c r="A6046" s="1" t="s">
        <v>604</v>
      </c>
      <c r="B6046" s="3" t="str">
        <f t="shared" si="1"/>
        <v>Unavailable</v>
      </c>
      <c r="C6046" s="3">
        <v>30.0</v>
      </c>
      <c r="D6046" s="3">
        <f>IFERROR(__xludf.DUMMYFUNCTION("IFERROR(
IF(REGEXMATCH(LOWER(O6046),""k""),
VALUE(REGEXEXTRACT(O6046,""[0-9]+""))*1000,
VALUE(REGEXEXTRACT(O6046,""[0-9]+""))
),
0
)"),0.0)</f>
        <v>0</v>
      </c>
      <c r="E6046" s="1" t="s">
        <v>11</v>
      </c>
      <c r="F6046" s="1" t="s">
        <v>12</v>
      </c>
      <c r="G6046" s="4" t="b">
        <f t="shared" si="2"/>
        <v>1</v>
      </c>
      <c r="H6046" s="1" t="str">
        <f t="shared" si="3"/>
        <v>Currently Unavailable</v>
      </c>
      <c r="I6046" s="1" t="str">
        <f t="shared" si="4"/>
        <v>No Badges</v>
      </c>
      <c r="J6046" s="3">
        <f t="shared" si="5"/>
        <v>0</v>
      </c>
    </row>
    <row r="6047">
      <c r="A6047" s="1" t="s">
        <v>4534</v>
      </c>
      <c r="B6047" s="3" t="str">
        <f t="shared" si="1"/>
        <v>Unavailable</v>
      </c>
      <c r="C6047" s="5">
        <v>6943.0</v>
      </c>
      <c r="D6047" s="3">
        <f>IFERROR(__xludf.DUMMYFUNCTION("IFERROR(
IF(REGEXMATCH(LOWER(O6047),""k""),
VALUE(REGEXEXTRACT(O6047,""[0-9]+""))*1000,
VALUE(REGEXEXTRACT(O6047,""[0-9]+""))
),
0
)"),0.0)</f>
        <v>0</v>
      </c>
      <c r="E6047" s="1" t="s">
        <v>11</v>
      </c>
      <c r="F6047" s="1" t="s">
        <v>20</v>
      </c>
      <c r="G6047" s="4" t="b">
        <f t="shared" si="2"/>
        <v>1</v>
      </c>
      <c r="H6047" s="1" t="str">
        <f t="shared" si="3"/>
        <v>Currently Unavailable</v>
      </c>
      <c r="I6047" s="1" t="str">
        <f t="shared" si="4"/>
        <v>No Badges</v>
      </c>
      <c r="J6047" s="3">
        <f t="shared" si="5"/>
        <v>0</v>
      </c>
    </row>
    <row r="6048">
      <c r="A6048" s="1" t="s">
        <v>4535</v>
      </c>
      <c r="B6048" s="3" t="str">
        <f t="shared" si="1"/>
        <v>Unavailable</v>
      </c>
      <c r="C6048" s="5">
        <v>3694.0</v>
      </c>
      <c r="D6048" s="3">
        <f>IFERROR(__xludf.DUMMYFUNCTION("IFERROR(
IF(REGEXMATCH(LOWER(O6048),""k""),
VALUE(REGEXEXTRACT(O6048,""[0-9]+""))*1000,
VALUE(REGEXEXTRACT(O6048,""[0-9]+""))
),
0
)"),0.0)</f>
        <v>0</v>
      </c>
      <c r="E6048" s="1" t="s">
        <v>11</v>
      </c>
      <c r="F6048" s="1" t="s">
        <v>20</v>
      </c>
      <c r="G6048" s="4" t="b">
        <f t="shared" si="2"/>
        <v>1</v>
      </c>
      <c r="H6048" s="1" t="str">
        <f t="shared" si="3"/>
        <v>Currently Unavailable</v>
      </c>
      <c r="I6048" s="1" t="str">
        <f t="shared" si="4"/>
        <v>No Badges</v>
      </c>
      <c r="J6048" s="3">
        <f t="shared" si="5"/>
        <v>0</v>
      </c>
    </row>
    <row r="6049">
      <c r="A6049" s="1" t="s">
        <v>4536</v>
      </c>
      <c r="B6049" s="3" t="str">
        <f t="shared" si="1"/>
        <v>Unavailable</v>
      </c>
      <c r="C6049" s="3">
        <v>181.0</v>
      </c>
      <c r="D6049" s="3">
        <f>IFERROR(__xludf.DUMMYFUNCTION("IFERROR(
IF(REGEXMATCH(LOWER(O6049),""k""),
VALUE(REGEXEXTRACT(O6049,""[0-9]+""))*1000,
VALUE(REGEXEXTRACT(O6049,""[0-9]+""))
),
0
)"),0.0)</f>
        <v>0</v>
      </c>
      <c r="E6049" s="1" t="s">
        <v>11</v>
      </c>
      <c r="F6049" s="1" t="s">
        <v>20</v>
      </c>
      <c r="G6049" s="4" t="b">
        <f t="shared" si="2"/>
        <v>1</v>
      </c>
      <c r="H6049" s="1" t="str">
        <f t="shared" si="3"/>
        <v>Currently Unavailable</v>
      </c>
      <c r="I6049" s="1" t="str">
        <f t="shared" si="4"/>
        <v>No Badges</v>
      </c>
      <c r="J6049" s="3">
        <f t="shared" si="5"/>
        <v>0</v>
      </c>
    </row>
    <row r="6050">
      <c r="A6050" s="1" t="s">
        <v>4537</v>
      </c>
      <c r="B6050" s="3" t="str">
        <f t="shared" si="1"/>
        <v>Unavailable</v>
      </c>
      <c r="C6050" s="5">
        <v>20329.0</v>
      </c>
      <c r="D6050" s="3">
        <f>IFERROR(__xludf.DUMMYFUNCTION("IFERROR(
IF(REGEXMATCH(LOWER(O6050),""k""),
VALUE(REGEXEXTRACT(O6050,""[0-9]+""))*1000,
VALUE(REGEXEXTRACT(O6050,""[0-9]+""))
),
0
)"),0.0)</f>
        <v>0</v>
      </c>
      <c r="E6050" s="1" t="s">
        <v>11</v>
      </c>
      <c r="F6050" s="1" t="s">
        <v>20</v>
      </c>
      <c r="G6050" s="4" t="b">
        <f t="shared" si="2"/>
        <v>1</v>
      </c>
      <c r="H6050" s="1" t="str">
        <f t="shared" si="3"/>
        <v>Currently Unavailable</v>
      </c>
      <c r="I6050" s="1" t="str">
        <f t="shared" si="4"/>
        <v>No Badges</v>
      </c>
      <c r="J6050" s="3">
        <f t="shared" si="5"/>
        <v>0</v>
      </c>
    </row>
    <row r="6051">
      <c r="A6051" s="1" t="s">
        <v>4538</v>
      </c>
      <c r="B6051" s="3" t="str">
        <f t="shared" si="1"/>
        <v>Unavailable</v>
      </c>
      <c r="C6051" s="3">
        <v>16.0</v>
      </c>
      <c r="D6051" s="3">
        <f>IFERROR(__xludf.DUMMYFUNCTION("IFERROR(
IF(REGEXMATCH(LOWER(O6051),""k""),
VALUE(REGEXEXTRACT(O6051,""[0-9]+""))*1000,
VALUE(REGEXEXTRACT(O6051,""[0-9]+""))
),
0
)"),0.0)</f>
        <v>0</v>
      </c>
      <c r="E6051" s="1" t="s">
        <v>11</v>
      </c>
      <c r="F6051" s="1" t="s">
        <v>20</v>
      </c>
      <c r="G6051" s="4" t="b">
        <f t="shared" si="2"/>
        <v>1</v>
      </c>
      <c r="H6051" s="1" t="str">
        <f t="shared" si="3"/>
        <v>Currently Unavailable</v>
      </c>
      <c r="I6051" s="1" t="str">
        <f t="shared" si="4"/>
        <v>No Badges</v>
      </c>
      <c r="J6051" s="3">
        <f t="shared" si="5"/>
        <v>0</v>
      </c>
    </row>
    <row r="6052">
      <c r="A6052" s="1" t="s">
        <v>4539</v>
      </c>
      <c r="B6052" s="3" t="str">
        <f t="shared" si="1"/>
        <v>Unavailable</v>
      </c>
      <c r="C6052" s="5">
        <v>15632.0</v>
      </c>
      <c r="D6052" s="3">
        <f>IFERROR(__xludf.DUMMYFUNCTION("IFERROR(
IF(REGEXMATCH(LOWER(O6052),""k""),
VALUE(REGEXEXTRACT(O6052,""[0-9]+""))*1000,
VALUE(REGEXEXTRACT(O6052,""[0-9]+""))
),
0
)"),0.0)</f>
        <v>0</v>
      </c>
      <c r="E6052" s="1" t="s">
        <v>11</v>
      </c>
      <c r="F6052" s="1" t="s">
        <v>20</v>
      </c>
      <c r="G6052" s="4" t="b">
        <f t="shared" si="2"/>
        <v>1</v>
      </c>
      <c r="H6052" s="1" t="str">
        <f t="shared" si="3"/>
        <v>Currently Unavailable</v>
      </c>
      <c r="I6052" s="1" t="str">
        <f t="shared" si="4"/>
        <v>No Badges</v>
      </c>
      <c r="J6052" s="3">
        <f t="shared" si="5"/>
        <v>0</v>
      </c>
    </row>
    <row r="6053">
      <c r="A6053" s="1" t="s">
        <v>4540</v>
      </c>
      <c r="B6053" s="3" t="str">
        <f t="shared" si="1"/>
        <v>Unavailable</v>
      </c>
      <c r="C6053" s="5">
        <v>1450.0</v>
      </c>
      <c r="D6053" s="3">
        <f>IFERROR(__xludf.DUMMYFUNCTION("IFERROR(
IF(REGEXMATCH(LOWER(O6053),""k""),
VALUE(REGEXEXTRACT(O6053,""[0-9]+""))*1000,
VALUE(REGEXEXTRACT(O6053,""[0-9]+""))
),
0
)"),0.0)</f>
        <v>0</v>
      </c>
      <c r="E6053" s="1" t="s">
        <v>11</v>
      </c>
      <c r="F6053" s="1" t="s">
        <v>20</v>
      </c>
      <c r="G6053" s="4" t="b">
        <f t="shared" si="2"/>
        <v>1</v>
      </c>
      <c r="H6053" s="1" t="str">
        <f t="shared" si="3"/>
        <v>Currently Unavailable</v>
      </c>
      <c r="I6053" s="1" t="str">
        <f t="shared" si="4"/>
        <v>No Badges</v>
      </c>
      <c r="J6053" s="3">
        <f t="shared" si="5"/>
        <v>0</v>
      </c>
    </row>
    <row r="6054">
      <c r="A6054" s="1" t="s">
        <v>4541</v>
      </c>
      <c r="B6054" s="3" t="str">
        <f t="shared" si="1"/>
        <v>Unavailable</v>
      </c>
      <c r="C6054" s="5">
        <v>24043.0</v>
      </c>
      <c r="D6054" s="3">
        <f>IFERROR(__xludf.DUMMYFUNCTION("IFERROR(
IF(REGEXMATCH(LOWER(O6054),""k""),
VALUE(REGEXEXTRACT(O6054,""[0-9]+""))*1000,
VALUE(REGEXEXTRACT(O6054,""[0-9]+""))
),
0
)"),0.0)</f>
        <v>0</v>
      </c>
      <c r="E6054" s="1" t="s">
        <v>11</v>
      </c>
      <c r="F6054" s="1" t="s">
        <v>20</v>
      </c>
      <c r="G6054" s="4" t="b">
        <f t="shared" si="2"/>
        <v>1</v>
      </c>
      <c r="H6054" s="1" t="str">
        <f t="shared" si="3"/>
        <v>Currently Unavailable</v>
      </c>
      <c r="I6054" s="1" t="str">
        <f t="shared" si="4"/>
        <v>No Badges</v>
      </c>
      <c r="J6054" s="3">
        <f t="shared" si="5"/>
        <v>0</v>
      </c>
    </row>
    <row r="6055">
      <c r="A6055" s="1" t="s">
        <v>4542</v>
      </c>
      <c r="B6055" s="3" t="str">
        <f t="shared" si="1"/>
        <v>Unavailable</v>
      </c>
      <c r="C6055" s="5">
        <v>1229.0</v>
      </c>
      <c r="D6055" s="3">
        <f>IFERROR(__xludf.DUMMYFUNCTION("IFERROR(
IF(REGEXMATCH(LOWER(O6055),""k""),
VALUE(REGEXEXTRACT(O6055,""[0-9]+""))*1000,
VALUE(REGEXEXTRACT(O6055,""[0-9]+""))
),
0
)"),0.0)</f>
        <v>0</v>
      </c>
      <c r="E6055" s="1" t="s">
        <v>11</v>
      </c>
      <c r="F6055" s="1" t="s">
        <v>20</v>
      </c>
      <c r="G6055" s="4" t="b">
        <f t="shared" si="2"/>
        <v>1</v>
      </c>
      <c r="H6055" s="1" t="str">
        <f t="shared" si="3"/>
        <v>Currently Unavailable</v>
      </c>
      <c r="I6055" s="1" t="str">
        <f t="shared" si="4"/>
        <v>No Badges</v>
      </c>
      <c r="J6055" s="3">
        <f t="shared" si="5"/>
        <v>0</v>
      </c>
    </row>
    <row r="6056">
      <c r="A6056" s="1" t="s">
        <v>4543</v>
      </c>
      <c r="B6056" s="3" t="str">
        <f t="shared" si="1"/>
        <v>Unavailable</v>
      </c>
      <c r="C6056" s="5">
        <v>10616.0</v>
      </c>
      <c r="D6056" s="3">
        <f>IFERROR(__xludf.DUMMYFUNCTION("IFERROR(
IF(REGEXMATCH(LOWER(O6056),""k""),
VALUE(REGEXEXTRACT(O6056,""[0-9]+""))*1000,
VALUE(REGEXEXTRACT(O6056,""[0-9]+""))
),
0
)"),0.0)</f>
        <v>0</v>
      </c>
      <c r="E6056" s="1" t="s">
        <v>158</v>
      </c>
      <c r="F6056" s="1" t="s">
        <v>20</v>
      </c>
      <c r="G6056" s="4" t="b">
        <f t="shared" si="2"/>
        <v>1</v>
      </c>
      <c r="H6056" s="1" t="str">
        <f t="shared" si="3"/>
        <v>Currently Unavailable</v>
      </c>
      <c r="I6056" s="1" t="str">
        <f t="shared" si="4"/>
        <v>No Badges</v>
      </c>
      <c r="J6056" s="3">
        <f t="shared" si="5"/>
        <v>0</v>
      </c>
    </row>
    <row r="6057">
      <c r="A6057" s="1" t="s">
        <v>4544</v>
      </c>
      <c r="B6057" s="3" t="str">
        <f t="shared" si="1"/>
        <v>Unavailable</v>
      </c>
      <c r="C6057" s="5">
        <v>3735.0</v>
      </c>
      <c r="D6057" s="3">
        <f>IFERROR(__xludf.DUMMYFUNCTION("IFERROR(
IF(REGEXMATCH(LOWER(O6057),""k""),
VALUE(REGEXEXTRACT(O6057,""[0-9]+""))*1000,
VALUE(REGEXEXTRACT(O6057,""[0-9]+""))
),
0
)"),0.0)</f>
        <v>0</v>
      </c>
      <c r="E6057" s="1" t="s">
        <v>11</v>
      </c>
      <c r="F6057" s="1" t="s">
        <v>20</v>
      </c>
      <c r="G6057" s="4" t="b">
        <f t="shared" si="2"/>
        <v>1</v>
      </c>
      <c r="H6057" s="1" t="str">
        <f t="shared" si="3"/>
        <v>Currently Unavailable</v>
      </c>
      <c r="I6057" s="1" t="str">
        <f t="shared" si="4"/>
        <v>No Badges</v>
      </c>
      <c r="J6057" s="3">
        <f t="shared" si="5"/>
        <v>0</v>
      </c>
    </row>
    <row r="6058">
      <c r="A6058" s="1" t="s">
        <v>4545</v>
      </c>
      <c r="B6058" s="3" t="str">
        <f t="shared" si="1"/>
        <v>Unavailable</v>
      </c>
      <c r="C6058" s="5">
        <v>85544.0</v>
      </c>
      <c r="D6058" s="3">
        <f>IFERROR(__xludf.DUMMYFUNCTION("IFERROR(
IF(REGEXMATCH(LOWER(O6058),""k""),
VALUE(REGEXEXTRACT(O6058,""[0-9]+""))*1000,
VALUE(REGEXEXTRACT(O6058,""[0-9]+""))
),
0
)"),0.0)</f>
        <v>0</v>
      </c>
      <c r="E6058" s="1" t="s">
        <v>11</v>
      </c>
      <c r="F6058" s="1" t="s">
        <v>20</v>
      </c>
      <c r="G6058" s="4" t="b">
        <f t="shared" si="2"/>
        <v>1</v>
      </c>
      <c r="H6058" s="1" t="str">
        <f t="shared" si="3"/>
        <v>Currently Unavailable</v>
      </c>
      <c r="I6058" s="1" t="str">
        <f t="shared" si="4"/>
        <v>No Badges</v>
      </c>
      <c r="J6058" s="3">
        <f t="shared" si="5"/>
        <v>0</v>
      </c>
    </row>
    <row r="6059">
      <c r="A6059" s="1" t="s">
        <v>4546</v>
      </c>
      <c r="B6059" s="3" t="str">
        <f t="shared" si="1"/>
        <v>Unavailable</v>
      </c>
      <c r="C6059" s="5">
        <v>30463.0</v>
      </c>
      <c r="D6059" s="3">
        <f>IFERROR(__xludf.DUMMYFUNCTION("IFERROR(
IF(REGEXMATCH(LOWER(O6059),""k""),
VALUE(REGEXEXTRACT(O6059,""[0-9]+""))*1000,
VALUE(REGEXEXTRACT(O6059,""[0-9]+""))
),
0
)"),0.0)</f>
        <v>0</v>
      </c>
      <c r="E6059" s="1" t="s">
        <v>11</v>
      </c>
      <c r="F6059" s="1" t="s">
        <v>20</v>
      </c>
      <c r="G6059" s="4" t="b">
        <f t="shared" si="2"/>
        <v>1</v>
      </c>
      <c r="H6059" s="1" t="str">
        <f t="shared" si="3"/>
        <v>Currently Unavailable</v>
      </c>
      <c r="I6059" s="1" t="str">
        <f t="shared" si="4"/>
        <v>No Badges</v>
      </c>
      <c r="J6059" s="3">
        <f t="shared" si="5"/>
        <v>0</v>
      </c>
    </row>
    <row r="6060">
      <c r="A6060" s="1" t="s">
        <v>701</v>
      </c>
      <c r="B6060" s="3" t="str">
        <f t="shared" si="1"/>
        <v>Unavailable</v>
      </c>
      <c r="C6060" s="3">
        <v>8.0</v>
      </c>
      <c r="D6060" s="3">
        <f>IFERROR(__xludf.DUMMYFUNCTION("IFERROR(
IF(REGEXMATCH(LOWER(O6060),""k""),
VALUE(REGEXEXTRACT(O6060,""[0-9]+""))*1000,
VALUE(REGEXEXTRACT(O6060,""[0-9]+""))
),
0
)"),0.0)</f>
        <v>0</v>
      </c>
      <c r="E6060" s="1" t="s">
        <v>11</v>
      </c>
      <c r="F6060" s="1" t="s">
        <v>12</v>
      </c>
      <c r="G6060" s="4" t="b">
        <f t="shared" si="2"/>
        <v>1</v>
      </c>
      <c r="H6060" s="1" t="str">
        <f t="shared" si="3"/>
        <v>Currently Unavailable</v>
      </c>
      <c r="I6060" s="1" t="str">
        <f t="shared" si="4"/>
        <v>No Badges</v>
      </c>
      <c r="J6060" s="3">
        <f t="shared" si="5"/>
        <v>0</v>
      </c>
    </row>
    <row r="6061">
      <c r="A6061" s="1" t="s">
        <v>69</v>
      </c>
      <c r="B6061" s="3" t="str">
        <f t="shared" si="1"/>
        <v>Unavailable</v>
      </c>
      <c r="C6061" s="3">
        <v>45.0</v>
      </c>
      <c r="D6061" s="3">
        <f>IFERROR(__xludf.DUMMYFUNCTION("IFERROR(
IF(REGEXMATCH(LOWER(O6061),""k""),
VALUE(REGEXEXTRACT(O6061,""[0-9]+""))*1000,
VALUE(REGEXEXTRACT(O6061,""[0-9]+""))
),
0
)"),0.0)</f>
        <v>0</v>
      </c>
      <c r="E6061" s="1" t="s">
        <v>11</v>
      </c>
      <c r="F6061" s="1" t="s">
        <v>12</v>
      </c>
      <c r="G6061" s="4" t="b">
        <f t="shared" si="2"/>
        <v>1</v>
      </c>
      <c r="H6061" s="1" t="str">
        <f t="shared" si="3"/>
        <v>Currently Unavailable</v>
      </c>
      <c r="I6061" s="1" t="str">
        <f t="shared" si="4"/>
        <v>No Badges</v>
      </c>
      <c r="J6061" s="3">
        <f t="shared" si="5"/>
        <v>0</v>
      </c>
    </row>
    <row r="6062">
      <c r="A6062" s="1" t="s">
        <v>4547</v>
      </c>
      <c r="B6062" s="3" t="str">
        <f t="shared" si="1"/>
        <v>Unavailable</v>
      </c>
      <c r="C6062" s="5">
        <v>10168.0</v>
      </c>
      <c r="D6062" s="3">
        <f>IFERROR(__xludf.DUMMYFUNCTION("IFERROR(
IF(REGEXMATCH(LOWER(O6062),""k""),
VALUE(REGEXEXTRACT(O6062,""[0-9]+""))*1000,
VALUE(REGEXEXTRACT(O6062,""[0-9]+""))
),
0
)"),0.0)</f>
        <v>0</v>
      </c>
      <c r="E6062" s="1" t="s">
        <v>11</v>
      </c>
      <c r="F6062" s="1" t="s">
        <v>20</v>
      </c>
      <c r="G6062" s="4" t="b">
        <f t="shared" si="2"/>
        <v>1</v>
      </c>
      <c r="H6062" s="1" t="str">
        <f t="shared" si="3"/>
        <v>Currently Unavailable</v>
      </c>
      <c r="I6062" s="1" t="str">
        <f t="shared" si="4"/>
        <v>No Badges</v>
      </c>
      <c r="J6062" s="3">
        <f t="shared" si="5"/>
        <v>0</v>
      </c>
    </row>
    <row r="6063">
      <c r="A6063" s="1" t="s">
        <v>4548</v>
      </c>
      <c r="B6063" s="3" t="str">
        <f t="shared" si="1"/>
        <v>Unavailable</v>
      </c>
      <c r="C6063" s="3">
        <v>33.0</v>
      </c>
      <c r="D6063" s="3">
        <f>IFERROR(__xludf.DUMMYFUNCTION("IFERROR(
IF(REGEXMATCH(LOWER(O6063),""k""),
VALUE(REGEXEXTRACT(O6063,""[0-9]+""))*1000,
VALUE(REGEXEXTRACT(O6063,""[0-9]+""))
),
0
)"),0.0)</f>
        <v>0</v>
      </c>
      <c r="E6063" s="1" t="s">
        <v>11</v>
      </c>
      <c r="F6063" s="1" t="s">
        <v>20</v>
      </c>
      <c r="G6063" s="4" t="b">
        <f t="shared" si="2"/>
        <v>1</v>
      </c>
      <c r="H6063" s="1" t="str">
        <f t="shared" si="3"/>
        <v>Currently Unavailable</v>
      </c>
      <c r="I6063" s="1" t="str">
        <f t="shared" si="4"/>
        <v>No Badges</v>
      </c>
      <c r="J6063" s="3">
        <f t="shared" si="5"/>
        <v>0</v>
      </c>
    </row>
    <row r="6064">
      <c r="A6064" s="1" t="s">
        <v>4549</v>
      </c>
      <c r="B6064" s="3" t="str">
        <f t="shared" si="1"/>
        <v>Unavailable</v>
      </c>
      <c r="C6064" s="5">
        <v>16285.0</v>
      </c>
      <c r="D6064" s="3">
        <f>IFERROR(__xludf.DUMMYFUNCTION("IFERROR(
IF(REGEXMATCH(LOWER(O6064),""k""),
VALUE(REGEXEXTRACT(O6064,""[0-9]+""))*1000,
VALUE(REGEXEXTRACT(O6064,""[0-9]+""))
),
0
)"),0.0)</f>
        <v>0</v>
      </c>
      <c r="E6064" s="1" t="s">
        <v>11</v>
      </c>
      <c r="F6064" s="1" t="s">
        <v>20</v>
      </c>
      <c r="G6064" s="4" t="b">
        <f t="shared" si="2"/>
        <v>1</v>
      </c>
      <c r="H6064" s="1" t="str">
        <f t="shared" si="3"/>
        <v>Currently Unavailable</v>
      </c>
      <c r="I6064" s="1" t="str">
        <f t="shared" si="4"/>
        <v>No Badges</v>
      </c>
      <c r="J6064" s="3">
        <f t="shared" si="5"/>
        <v>0</v>
      </c>
    </row>
    <row r="6065">
      <c r="A6065" s="1" t="s">
        <v>4550</v>
      </c>
      <c r="B6065" s="3" t="str">
        <f t="shared" si="1"/>
        <v>Unavailable</v>
      </c>
      <c r="C6065" s="5">
        <v>1092.0</v>
      </c>
      <c r="D6065" s="3">
        <f>IFERROR(__xludf.DUMMYFUNCTION("IFERROR(
IF(REGEXMATCH(LOWER(O6065),""k""),
VALUE(REGEXEXTRACT(O6065,""[0-9]+""))*1000,
VALUE(REGEXEXTRACT(O6065,""[0-9]+""))
),
0
)"),0.0)</f>
        <v>0</v>
      </c>
      <c r="E6065" s="1" t="s">
        <v>11</v>
      </c>
      <c r="F6065" s="1" t="s">
        <v>20</v>
      </c>
      <c r="G6065" s="4" t="b">
        <f t="shared" si="2"/>
        <v>1</v>
      </c>
      <c r="H6065" s="1" t="str">
        <f t="shared" si="3"/>
        <v>Currently Unavailable</v>
      </c>
      <c r="I6065" s="1" t="str">
        <f t="shared" si="4"/>
        <v>No Badges</v>
      </c>
      <c r="J6065" s="3">
        <f t="shared" si="5"/>
        <v>0</v>
      </c>
    </row>
    <row r="6066">
      <c r="A6066" s="1" t="s">
        <v>4551</v>
      </c>
      <c r="B6066" s="3" t="str">
        <f t="shared" si="1"/>
        <v>Unavailable</v>
      </c>
      <c r="C6066" s="5">
        <v>2837.0</v>
      </c>
      <c r="D6066" s="3">
        <f>IFERROR(__xludf.DUMMYFUNCTION("IFERROR(
IF(REGEXMATCH(LOWER(O6066),""k""),
VALUE(REGEXEXTRACT(O6066,""[0-9]+""))*1000,
VALUE(REGEXEXTRACT(O6066,""[0-9]+""))
),
0
)"),0.0)</f>
        <v>0</v>
      </c>
      <c r="E6066" s="1" t="s">
        <v>11</v>
      </c>
      <c r="F6066" s="1" t="s">
        <v>20</v>
      </c>
      <c r="G6066" s="4" t="b">
        <f t="shared" si="2"/>
        <v>1</v>
      </c>
      <c r="H6066" s="1" t="str">
        <f t="shared" si="3"/>
        <v>Currently Unavailable</v>
      </c>
      <c r="I6066" s="1" t="str">
        <f t="shared" si="4"/>
        <v>No Badges</v>
      </c>
      <c r="J6066" s="3">
        <f t="shared" si="5"/>
        <v>0</v>
      </c>
    </row>
    <row r="6067">
      <c r="A6067" s="1" t="s">
        <v>4552</v>
      </c>
      <c r="B6067" s="3" t="str">
        <f t="shared" si="1"/>
        <v>Unavailable</v>
      </c>
      <c r="C6067" s="3">
        <v>787.0</v>
      </c>
      <c r="D6067" s="3">
        <f>IFERROR(__xludf.DUMMYFUNCTION("IFERROR(
IF(REGEXMATCH(LOWER(O6067),""k""),
VALUE(REGEXEXTRACT(O6067,""[0-9]+""))*1000,
VALUE(REGEXEXTRACT(O6067,""[0-9]+""))
),
0
)"),0.0)</f>
        <v>0</v>
      </c>
      <c r="E6067" s="1" t="s">
        <v>11</v>
      </c>
      <c r="F6067" s="1" t="s">
        <v>20</v>
      </c>
      <c r="G6067" s="4" t="b">
        <f t="shared" si="2"/>
        <v>1</v>
      </c>
      <c r="H6067" s="1" t="str">
        <f t="shared" si="3"/>
        <v>Currently Unavailable</v>
      </c>
      <c r="I6067" s="1" t="str">
        <f t="shared" si="4"/>
        <v>No Badges</v>
      </c>
      <c r="J6067" s="3">
        <f t="shared" si="5"/>
        <v>0</v>
      </c>
    </row>
    <row r="6068">
      <c r="A6068" s="1" t="s">
        <v>4553</v>
      </c>
      <c r="B6068" s="3" t="str">
        <f t="shared" si="1"/>
        <v>Unavailable</v>
      </c>
      <c r="C6068" s="5">
        <v>2617.0</v>
      </c>
      <c r="D6068" s="3">
        <f>IFERROR(__xludf.DUMMYFUNCTION("IFERROR(
IF(REGEXMATCH(LOWER(O6068),""k""),
VALUE(REGEXEXTRACT(O6068,""[0-9]+""))*1000,
VALUE(REGEXEXTRACT(O6068,""[0-9]+""))
),
0
)"),0.0)</f>
        <v>0</v>
      </c>
      <c r="E6068" s="1" t="s">
        <v>11</v>
      </c>
      <c r="F6068" s="1" t="s">
        <v>20</v>
      </c>
      <c r="G6068" s="4" t="b">
        <f t="shared" si="2"/>
        <v>1</v>
      </c>
      <c r="H6068" s="1" t="str">
        <f t="shared" si="3"/>
        <v>Currently Unavailable</v>
      </c>
      <c r="I6068" s="1" t="str">
        <f t="shared" si="4"/>
        <v>No Badges</v>
      </c>
      <c r="J6068" s="3">
        <f t="shared" si="5"/>
        <v>0</v>
      </c>
    </row>
    <row r="6069">
      <c r="A6069" s="1" t="s">
        <v>4554</v>
      </c>
      <c r="B6069" s="3" t="str">
        <f t="shared" si="1"/>
        <v>Unavailable</v>
      </c>
      <c r="C6069" s="5">
        <v>11813.0</v>
      </c>
      <c r="D6069" s="3">
        <f>IFERROR(__xludf.DUMMYFUNCTION("IFERROR(
IF(REGEXMATCH(LOWER(O6069),""k""),
VALUE(REGEXEXTRACT(O6069,""[0-9]+""))*1000,
VALUE(REGEXEXTRACT(O6069,""[0-9]+""))
),
0
)"),0.0)</f>
        <v>0</v>
      </c>
      <c r="E6069" s="1" t="s">
        <v>158</v>
      </c>
      <c r="F6069" s="1" t="s">
        <v>20</v>
      </c>
      <c r="G6069" s="4" t="b">
        <f t="shared" si="2"/>
        <v>1</v>
      </c>
      <c r="H6069" s="1" t="str">
        <f t="shared" si="3"/>
        <v>Currently Unavailable</v>
      </c>
      <c r="I6069" s="1" t="str">
        <f t="shared" si="4"/>
        <v>No Badges</v>
      </c>
      <c r="J6069" s="3">
        <f t="shared" si="5"/>
        <v>0</v>
      </c>
    </row>
    <row r="6070">
      <c r="A6070" s="1" t="s">
        <v>4555</v>
      </c>
      <c r="B6070" s="3" t="str">
        <f t="shared" si="1"/>
        <v>Unavailable</v>
      </c>
      <c r="C6070" s="5">
        <v>2003.0</v>
      </c>
      <c r="D6070" s="3">
        <f>IFERROR(__xludf.DUMMYFUNCTION("IFERROR(
IF(REGEXMATCH(LOWER(O6070),""k""),
VALUE(REGEXEXTRACT(O6070,""[0-9]+""))*1000,
VALUE(REGEXEXTRACT(O6070,""[0-9]+""))
),
0
)"),0.0)</f>
        <v>0</v>
      </c>
      <c r="E6070" s="1" t="s">
        <v>11</v>
      </c>
      <c r="F6070" s="1" t="s">
        <v>20</v>
      </c>
      <c r="G6070" s="4" t="b">
        <f t="shared" si="2"/>
        <v>1</v>
      </c>
      <c r="H6070" s="1" t="str">
        <f t="shared" si="3"/>
        <v>Currently Unavailable</v>
      </c>
      <c r="I6070" s="1" t="str">
        <f t="shared" si="4"/>
        <v>No Badges</v>
      </c>
      <c r="J6070" s="3">
        <f t="shared" si="5"/>
        <v>0</v>
      </c>
    </row>
    <row r="6071">
      <c r="A6071" s="1" t="s">
        <v>4556</v>
      </c>
      <c r="B6071" s="3" t="str">
        <f t="shared" si="1"/>
        <v>Unavailable</v>
      </c>
      <c r="C6071" s="5">
        <v>7973.0</v>
      </c>
      <c r="D6071" s="3">
        <f>IFERROR(__xludf.DUMMYFUNCTION("IFERROR(
IF(REGEXMATCH(LOWER(O6071),""k""),
VALUE(REGEXEXTRACT(O6071,""[0-9]+""))*1000,
VALUE(REGEXEXTRACT(O6071,""[0-9]+""))
),
0
)"),0.0)</f>
        <v>0</v>
      </c>
      <c r="E6071" s="1" t="s">
        <v>158</v>
      </c>
      <c r="F6071" s="1" t="s">
        <v>20</v>
      </c>
      <c r="G6071" s="4" t="b">
        <f t="shared" si="2"/>
        <v>1</v>
      </c>
      <c r="H6071" s="1" t="str">
        <f t="shared" si="3"/>
        <v>Currently Unavailable</v>
      </c>
      <c r="I6071" s="1" t="str">
        <f t="shared" si="4"/>
        <v>No Badges</v>
      </c>
      <c r="J6071" s="3">
        <f t="shared" si="5"/>
        <v>0</v>
      </c>
    </row>
    <row r="6072">
      <c r="A6072" s="1" t="s">
        <v>4557</v>
      </c>
      <c r="B6072" s="3" t="str">
        <f t="shared" si="1"/>
        <v>Unavailable</v>
      </c>
      <c r="C6072" s="3">
        <v>283.0</v>
      </c>
      <c r="D6072" s="3">
        <f>IFERROR(__xludf.DUMMYFUNCTION("IFERROR(
IF(REGEXMATCH(LOWER(O6072),""k""),
VALUE(REGEXEXTRACT(O6072,""[0-9]+""))*1000,
VALUE(REGEXEXTRACT(O6072,""[0-9]+""))
),
0
)"),0.0)</f>
        <v>0</v>
      </c>
      <c r="E6072" s="1" t="s">
        <v>11</v>
      </c>
      <c r="F6072" s="1" t="s">
        <v>20</v>
      </c>
      <c r="G6072" s="4" t="b">
        <f t="shared" si="2"/>
        <v>1</v>
      </c>
      <c r="H6072" s="1" t="str">
        <f t="shared" si="3"/>
        <v>Currently Unavailable</v>
      </c>
      <c r="I6072" s="1" t="str">
        <f t="shared" si="4"/>
        <v>No Badges</v>
      </c>
      <c r="J6072" s="3">
        <f t="shared" si="5"/>
        <v>0</v>
      </c>
    </row>
    <row r="6073">
      <c r="A6073" s="1" t="s">
        <v>4558</v>
      </c>
      <c r="B6073" s="3" t="str">
        <f t="shared" si="1"/>
        <v>Unavailable</v>
      </c>
      <c r="C6073" s="5">
        <v>15019.0</v>
      </c>
      <c r="D6073" s="3">
        <f>IFERROR(__xludf.DUMMYFUNCTION("IFERROR(
IF(REGEXMATCH(LOWER(O6073),""k""),
VALUE(REGEXEXTRACT(O6073,""[0-9]+""))*1000,
VALUE(REGEXEXTRACT(O6073,""[0-9]+""))
),
0
)"),0.0)</f>
        <v>0</v>
      </c>
      <c r="E6073" s="1" t="s">
        <v>11</v>
      </c>
      <c r="F6073" s="1" t="s">
        <v>20</v>
      </c>
      <c r="G6073" s="4" t="b">
        <f t="shared" si="2"/>
        <v>1</v>
      </c>
      <c r="H6073" s="1" t="str">
        <f t="shared" si="3"/>
        <v>Currently Unavailable</v>
      </c>
      <c r="I6073" s="1" t="str">
        <f t="shared" si="4"/>
        <v>No Badges</v>
      </c>
      <c r="J6073" s="3">
        <f t="shared" si="5"/>
        <v>0</v>
      </c>
    </row>
    <row r="6074">
      <c r="A6074" s="1" t="s">
        <v>40</v>
      </c>
      <c r="B6074" s="3" t="str">
        <f t="shared" si="1"/>
        <v>Unavailable</v>
      </c>
      <c r="C6074" s="3">
        <v>171.0</v>
      </c>
      <c r="D6074" s="3">
        <f>IFERROR(__xludf.DUMMYFUNCTION("IFERROR(
IF(REGEXMATCH(LOWER(O6074),""k""),
VALUE(REGEXEXTRACT(O6074,""[0-9]+""))*1000,
VALUE(REGEXEXTRACT(O6074,""[0-9]+""))
),
0
)"),0.0)</f>
        <v>0</v>
      </c>
      <c r="E6074" s="1" t="s">
        <v>11</v>
      </c>
      <c r="F6074" s="1" t="s">
        <v>12</v>
      </c>
      <c r="G6074" s="4" t="b">
        <f t="shared" si="2"/>
        <v>1</v>
      </c>
      <c r="H6074" s="1" t="str">
        <f t="shared" si="3"/>
        <v>Currently Unavailable</v>
      </c>
      <c r="I6074" s="1" t="str">
        <f t="shared" si="4"/>
        <v>No Badges</v>
      </c>
      <c r="J6074" s="3">
        <f t="shared" si="5"/>
        <v>0</v>
      </c>
    </row>
    <row r="6075">
      <c r="A6075" s="1" t="s">
        <v>88</v>
      </c>
      <c r="B6075" s="3" t="str">
        <f t="shared" si="1"/>
        <v>Unavailable</v>
      </c>
      <c r="C6075" s="3">
        <v>5.0</v>
      </c>
      <c r="D6075" s="3">
        <f>IFERROR(__xludf.DUMMYFUNCTION("IFERROR(
IF(REGEXMATCH(LOWER(O6075),""k""),
VALUE(REGEXEXTRACT(O6075,""[0-9]+""))*1000,
VALUE(REGEXEXTRACT(O6075,""[0-9]+""))
),
0
)"),0.0)</f>
        <v>0</v>
      </c>
      <c r="E6075" s="1" t="s">
        <v>11</v>
      </c>
      <c r="F6075" s="1" t="s">
        <v>12</v>
      </c>
      <c r="G6075" s="4" t="b">
        <f t="shared" si="2"/>
        <v>1</v>
      </c>
      <c r="H6075" s="1" t="str">
        <f t="shared" si="3"/>
        <v>Currently Unavailable</v>
      </c>
      <c r="I6075" s="1" t="str">
        <f t="shared" si="4"/>
        <v>No Badges</v>
      </c>
      <c r="J6075" s="3">
        <f t="shared" si="5"/>
        <v>0</v>
      </c>
    </row>
    <row r="6076">
      <c r="A6076" s="1" t="s">
        <v>4559</v>
      </c>
      <c r="B6076" s="3" t="str">
        <f t="shared" si="1"/>
        <v>Unavailable</v>
      </c>
      <c r="C6076" s="5">
        <v>14872.0</v>
      </c>
      <c r="D6076" s="3">
        <f>IFERROR(__xludf.DUMMYFUNCTION("IFERROR(
IF(REGEXMATCH(LOWER(O6076),""k""),
VALUE(REGEXEXTRACT(O6076,""[0-9]+""))*1000,
VALUE(REGEXEXTRACT(O6076,""[0-9]+""))
),
0
)"),0.0)</f>
        <v>0</v>
      </c>
      <c r="E6076" s="1" t="s">
        <v>11</v>
      </c>
      <c r="F6076" s="1" t="s">
        <v>20</v>
      </c>
      <c r="G6076" s="4" t="b">
        <f t="shared" si="2"/>
        <v>1</v>
      </c>
      <c r="H6076" s="1" t="str">
        <f t="shared" si="3"/>
        <v>Currently Unavailable</v>
      </c>
      <c r="I6076" s="1" t="str">
        <f t="shared" si="4"/>
        <v>No Badges</v>
      </c>
      <c r="J6076" s="3">
        <f t="shared" si="5"/>
        <v>0</v>
      </c>
    </row>
    <row r="6077">
      <c r="A6077" s="1" t="s">
        <v>4560</v>
      </c>
      <c r="B6077" s="3" t="str">
        <f t="shared" si="1"/>
        <v>Unavailable</v>
      </c>
      <c r="C6077" s="5">
        <v>20009.0</v>
      </c>
      <c r="D6077" s="3">
        <f>IFERROR(__xludf.DUMMYFUNCTION("IFERROR(
IF(REGEXMATCH(LOWER(O6077),""k""),
VALUE(REGEXEXTRACT(O6077,""[0-9]+""))*1000,
VALUE(REGEXEXTRACT(O6077,""[0-9]+""))
),
0
)"),0.0)</f>
        <v>0</v>
      </c>
      <c r="E6077" s="1" t="s">
        <v>11</v>
      </c>
      <c r="F6077" s="1" t="s">
        <v>20</v>
      </c>
      <c r="G6077" s="4" t="b">
        <f t="shared" si="2"/>
        <v>1</v>
      </c>
      <c r="H6077" s="1" t="str">
        <f t="shared" si="3"/>
        <v>Currently Unavailable</v>
      </c>
      <c r="I6077" s="1" t="str">
        <f t="shared" si="4"/>
        <v>No Badges</v>
      </c>
      <c r="J6077" s="3">
        <f t="shared" si="5"/>
        <v>0</v>
      </c>
    </row>
    <row r="6078">
      <c r="A6078" s="1" t="s">
        <v>4561</v>
      </c>
      <c r="B6078" s="3" t="str">
        <f t="shared" si="1"/>
        <v>Unavailable</v>
      </c>
      <c r="C6078" s="5">
        <v>6252.0</v>
      </c>
      <c r="D6078" s="3">
        <f>IFERROR(__xludf.DUMMYFUNCTION("IFERROR(
IF(REGEXMATCH(LOWER(O6078),""k""),
VALUE(REGEXEXTRACT(O6078,""[0-9]+""))*1000,
VALUE(REGEXEXTRACT(O6078,""[0-9]+""))
),
0
)"),0.0)</f>
        <v>0</v>
      </c>
      <c r="E6078" s="1" t="s">
        <v>11</v>
      </c>
      <c r="F6078" s="1" t="s">
        <v>20</v>
      </c>
      <c r="G6078" s="4" t="b">
        <f t="shared" si="2"/>
        <v>1</v>
      </c>
      <c r="H6078" s="1" t="str">
        <f t="shared" si="3"/>
        <v>Currently Unavailable</v>
      </c>
      <c r="I6078" s="1" t="str">
        <f t="shared" si="4"/>
        <v>No Badges</v>
      </c>
      <c r="J6078" s="3">
        <f t="shared" si="5"/>
        <v>0</v>
      </c>
    </row>
    <row r="6079">
      <c r="A6079" s="1" t="s">
        <v>69</v>
      </c>
      <c r="B6079" s="3" t="str">
        <f t="shared" si="1"/>
        <v>Unavailable</v>
      </c>
      <c r="C6079" s="3">
        <v>45.0</v>
      </c>
      <c r="D6079" s="3">
        <f>IFERROR(__xludf.DUMMYFUNCTION("IFERROR(
IF(REGEXMATCH(LOWER(O6079),""k""),
VALUE(REGEXEXTRACT(O6079,""[0-9]+""))*1000,
VALUE(REGEXEXTRACT(O6079,""[0-9]+""))
),
0
)"),0.0)</f>
        <v>0</v>
      </c>
      <c r="E6079" s="1" t="s">
        <v>11</v>
      </c>
      <c r="F6079" s="1" t="s">
        <v>12</v>
      </c>
      <c r="G6079" s="4" t="b">
        <f t="shared" si="2"/>
        <v>1</v>
      </c>
      <c r="H6079" s="1" t="str">
        <f t="shared" si="3"/>
        <v>Currently Unavailable</v>
      </c>
      <c r="I6079" s="1" t="str">
        <f t="shared" si="4"/>
        <v>No Badges</v>
      </c>
      <c r="J6079" s="3">
        <f t="shared" si="5"/>
        <v>0</v>
      </c>
    </row>
    <row r="6080">
      <c r="A6080" s="1" t="s">
        <v>4562</v>
      </c>
      <c r="B6080" s="3" t="str">
        <f t="shared" si="1"/>
        <v>Unavailable</v>
      </c>
      <c r="C6080" s="5">
        <v>2188.0</v>
      </c>
      <c r="D6080" s="3">
        <f>IFERROR(__xludf.DUMMYFUNCTION("IFERROR(
IF(REGEXMATCH(LOWER(O6080),""k""),
VALUE(REGEXEXTRACT(O6080,""[0-9]+""))*1000,
VALUE(REGEXEXTRACT(O6080,""[0-9]+""))
),
0
)"),0.0)</f>
        <v>0</v>
      </c>
      <c r="E6080" s="1" t="s">
        <v>11</v>
      </c>
      <c r="F6080" s="1" t="s">
        <v>20</v>
      </c>
      <c r="G6080" s="4" t="b">
        <f t="shared" si="2"/>
        <v>1</v>
      </c>
      <c r="H6080" s="1" t="str">
        <f t="shared" si="3"/>
        <v>Currently Unavailable</v>
      </c>
      <c r="I6080" s="1" t="str">
        <f t="shared" si="4"/>
        <v>No Badges</v>
      </c>
      <c r="J6080" s="3">
        <f t="shared" si="5"/>
        <v>0</v>
      </c>
    </row>
    <row r="6081">
      <c r="A6081" s="1" t="s">
        <v>4563</v>
      </c>
      <c r="B6081" s="3" t="str">
        <f t="shared" si="1"/>
        <v>Unavailable</v>
      </c>
      <c r="C6081" s="5">
        <v>9026.0</v>
      </c>
      <c r="D6081" s="3">
        <f>IFERROR(__xludf.DUMMYFUNCTION("IFERROR(
IF(REGEXMATCH(LOWER(O6081),""k""),
VALUE(REGEXEXTRACT(O6081,""[0-9]+""))*1000,
VALUE(REGEXEXTRACT(O6081,""[0-9]+""))
),
0
)"),0.0)</f>
        <v>0</v>
      </c>
      <c r="E6081" s="1" t="s">
        <v>11</v>
      </c>
      <c r="F6081" s="1" t="s">
        <v>20</v>
      </c>
      <c r="G6081" s="4" t="b">
        <f t="shared" si="2"/>
        <v>1</v>
      </c>
      <c r="H6081" s="1" t="str">
        <f t="shared" si="3"/>
        <v>Currently Unavailable</v>
      </c>
      <c r="I6081" s="1" t="str">
        <f t="shared" si="4"/>
        <v>No Badges</v>
      </c>
      <c r="J6081" s="3">
        <f t="shared" si="5"/>
        <v>0</v>
      </c>
    </row>
    <row r="6082">
      <c r="A6082" s="1" t="s">
        <v>4564</v>
      </c>
      <c r="B6082" s="3" t="str">
        <f t="shared" si="1"/>
        <v>Unavailable</v>
      </c>
      <c r="C6082" s="5">
        <v>24810.0</v>
      </c>
      <c r="D6082" s="3">
        <f>IFERROR(__xludf.DUMMYFUNCTION("IFERROR(
IF(REGEXMATCH(LOWER(O6082),""k""),
VALUE(REGEXEXTRACT(O6082,""[0-9]+""))*1000,
VALUE(REGEXEXTRACT(O6082,""[0-9]+""))
),
0
)"),0.0)</f>
        <v>0</v>
      </c>
      <c r="E6082" s="1" t="s">
        <v>158</v>
      </c>
      <c r="F6082" s="1" t="s">
        <v>20</v>
      </c>
      <c r="G6082" s="4" t="b">
        <f t="shared" si="2"/>
        <v>1</v>
      </c>
      <c r="H6082" s="1" t="str">
        <f t="shared" si="3"/>
        <v>Currently Unavailable</v>
      </c>
      <c r="I6082" s="1" t="str">
        <f t="shared" si="4"/>
        <v>No Badges</v>
      </c>
      <c r="J6082" s="3">
        <f t="shared" si="5"/>
        <v>0</v>
      </c>
    </row>
    <row r="6083">
      <c r="A6083" s="1" t="s">
        <v>4565</v>
      </c>
      <c r="B6083" s="3" t="str">
        <f t="shared" si="1"/>
        <v>Unavailable</v>
      </c>
      <c r="C6083" s="5">
        <v>10660.0</v>
      </c>
      <c r="D6083" s="3">
        <f>IFERROR(__xludf.DUMMYFUNCTION("IFERROR(
IF(REGEXMATCH(LOWER(O6083),""k""),
VALUE(REGEXEXTRACT(O6083,""[0-9]+""))*1000,
VALUE(REGEXEXTRACT(O6083,""[0-9]+""))
),
0
)"),0.0)</f>
        <v>0</v>
      </c>
      <c r="E6083" s="1" t="s">
        <v>11</v>
      </c>
      <c r="F6083" s="1" t="s">
        <v>20</v>
      </c>
      <c r="G6083" s="4" t="b">
        <f t="shared" si="2"/>
        <v>1</v>
      </c>
      <c r="H6083" s="1" t="str">
        <f t="shared" si="3"/>
        <v>Currently Unavailable</v>
      </c>
      <c r="I6083" s="1" t="str">
        <f t="shared" si="4"/>
        <v>No Badges</v>
      </c>
      <c r="J6083" s="3">
        <f t="shared" si="5"/>
        <v>0</v>
      </c>
    </row>
    <row r="6084">
      <c r="A6084" s="1" t="s">
        <v>4566</v>
      </c>
      <c r="B6084" s="3" t="str">
        <f t="shared" si="1"/>
        <v>Unavailable</v>
      </c>
      <c r="C6084" s="5">
        <v>18877.0</v>
      </c>
      <c r="D6084" s="3">
        <f>IFERROR(__xludf.DUMMYFUNCTION("IFERROR(
IF(REGEXMATCH(LOWER(O6084),""k""),
VALUE(REGEXEXTRACT(O6084,""[0-9]+""))*1000,
VALUE(REGEXEXTRACT(O6084,""[0-9]+""))
),
0
)"),0.0)</f>
        <v>0</v>
      </c>
      <c r="E6084" s="1" t="s">
        <v>11</v>
      </c>
      <c r="F6084" s="1" t="s">
        <v>20</v>
      </c>
      <c r="G6084" s="4" t="b">
        <f t="shared" si="2"/>
        <v>1</v>
      </c>
      <c r="H6084" s="1" t="str">
        <f t="shared" si="3"/>
        <v>Currently Unavailable</v>
      </c>
      <c r="I6084" s="1" t="str">
        <f t="shared" si="4"/>
        <v>No Badges</v>
      </c>
      <c r="J6084" s="3">
        <f t="shared" si="5"/>
        <v>0</v>
      </c>
    </row>
    <row r="6085">
      <c r="A6085" s="1" t="s">
        <v>4567</v>
      </c>
      <c r="B6085" s="3" t="str">
        <f t="shared" si="1"/>
        <v>Unavailable</v>
      </c>
      <c r="C6085" s="5">
        <v>15166.0</v>
      </c>
      <c r="D6085" s="3">
        <f>IFERROR(__xludf.DUMMYFUNCTION("IFERROR(
IF(REGEXMATCH(LOWER(O6085),""k""),
VALUE(REGEXEXTRACT(O6085,""[0-9]+""))*1000,
VALUE(REGEXEXTRACT(O6085,""[0-9]+""))
),
0
)"),0.0)</f>
        <v>0</v>
      </c>
      <c r="E6085" s="1" t="s">
        <v>11</v>
      </c>
      <c r="F6085" s="1" t="s">
        <v>20</v>
      </c>
      <c r="G6085" s="4" t="b">
        <f t="shared" si="2"/>
        <v>1</v>
      </c>
      <c r="H6085" s="1" t="str">
        <f t="shared" si="3"/>
        <v>Currently Unavailable</v>
      </c>
      <c r="I6085" s="1" t="str">
        <f t="shared" si="4"/>
        <v>No Badges</v>
      </c>
      <c r="J6085" s="3">
        <f t="shared" si="5"/>
        <v>0</v>
      </c>
    </row>
    <row r="6086">
      <c r="A6086" s="1" t="s">
        <v>4568</v>
      </c>
      <c r="B6086" s="3" t="str">
        <f t="shared" si="1"/>
        <v>Unavailable</v>
      </c>
      <c r="C6086" s="5">
        <v>57061.0</v>
      </c>
      <c r="D6086" s="3">
        <f>IFERROR(__xludf.DUMMYFUNCTION("IFERROR(
IF(REGEXMATCH(LOWER(O6086),""k""),
VALUE(REGEXEXTRACT(O6086,""[0-9]+""))*1000,
VALUE(REGEXEXTRACT(O6086,""[0-9]+""))
),
0
)"),0.0)</f>
        <v>0</v>
      </c>
      <c r="E6086" s="1" t="s">
        <v>11</v>
      </c>
      <c r="F6086" s="1" t="s">
        <v>20</v>
      </c>
      <c r="G6086" s="4" t="b">
        <f t="shared" si="2"/>
        <v>1</v>
      </c>
      <c r="H6086" s="1" t="str">
        <f t="shared" si="3"/>
        <v>Currently Unavailable</v>
      </c>
      <c r="I6086" s="1" t="str">
        <f t="shared" si="4"/>
        <v>No Badges</v>
      </c>
      <c r="J6086" s="3">
        <f t="shared" si="5"/>
        <v>0</v>
      </c>
    </row>
    <row r="6087">
      <c r="A6087" s="1" t="s">
        <v>4569</v>
      </c>
      <c r="B6087" s="3" t="str">
        <f t="shared" si="1"/>
        <v>Unavailable</v>
      </c>
      <c r="C6087" s="5">
        <v>3864.0</v>
      </c>
      <c r="D6087" s="3">
        <f>IFERROR(__xludf.DUMMYFUNCTION("IFERROR(
IF(REGEXMATCH(LOWER(O6087),""k""),
VALUE(REGEXEXTRACT(O6087,""[0-9]+""))*1000,
VALUE(REGEXEXTRACT(O6087,""[0-9]+""))
),
0
)"),0.0)</f>
        <v>0</v>
      </c>
      <c r="E6087" s="1" t="s">
        <v>11</v>
      </c>
      <c r="F6087" s="1" t="s">
        <v>20</v>
      </c>
      <c r="G6087" s="4" t="b">
        <f t="shared" si="2"/>
        <v>1</v>
      </c>
      <c r="H6087" s="1" t="str">
        <f t="shared" si="3"/>
        <v>Currently Unavailable</v>
      </c>
      <c r="I6087" s="1" t="str">
        <f t="shared" si="4"/>
        <v>No Badges</v>
      </c>
      <c r="J6087" s="3">
        <f t="shared" si="5"/>
        <v>0</v>
      </c>
    </row>
    <row r="6088">
      <c r="A6088" s="1" t="s">
        <v>4570</v>
      </c>
      <c r="B6088" s="3" t="str">
        <f t="shared" si="1"/>
        <v>Unavailable</v>
      </c>
      <c r="C6088" s="5">
        <v>20032.0</v>
      </c>
      <c r="D6088" s="3">
        <f>IFERROR(__xludf.DUMMYFUNCTION("IFERROR(
IF(REGEXMATCH(LOWER(O6088),""k""),
VALUE(REGEXEXTRACT(O6088,""[0-9]+""))*1000,
VALUE(REGEXEXTRACT(O6088,""[0-9]+""))
),
0
)"),0.0)</f>
        <v>0</v>
      </c>
      <c r="E6088" s="1" t="s">
        <v>11</v>
      </c>
      <c r="F6088" s="1" t="s">
        <v>20</v>
      </c>
      <c r="G6088" s="4" t="b">
        <f t="shared" si="2"/>
        <v>1</v>
      </c>
      <c r="H6088" s="1" t="str">
        <f t="shared" si="3"/>
        <v>Currently Unavailable</v>
      </c>
      <c r="I6088" s="1" t="str">
        <f t="shared" si="4"/>
        <v>No Badges</v>
      </c>
      <c r="J6088" s="3">
        <f t="shared" si="5"/>
        <v>0</v>
      </c>
    </row>
    <row r="6089">
      <c r="A6089" s="1" t="s">
        <v>4571</v>
      </c>
      <c r="B6089" s="3" t="str">
        <f t="shared" si="1"/>
        <v>Unavailable</v>
      </c>
      <c r="C6089" s="5">
        <v>2281.0</v>
      </c>
      <c r="D6089" s="3">
        <f>IFERROR(__xludf.DUMMYFUNCTION("IFERROR(
IF(REGEXMATCH(LOWER(O6089),""k""),
VALUE(REGEXEXTRACT(O6089,""[0-9]+""))*1000,
VALUE(REGEXEXTRACT(O6089,""[0-9]+""))
),
0
)"),0.0)</f>
        <v>0</v>
      </c>
      <c r="E6089" s="1" t="s">
        <v>11</v>
      </c>
      <c r="F6089" s="1" t="s">
        <v>20</v>
      </c>
      <c r="G6089" s="4" t="b">
        <f t="shared" si="2"/>
        <v>1</v>
      </c>
      <c r="H6089" s="1" t="str">
        <f t="shared" si="3"/>
        <v>Currently Unavailable</v>
      </c>
      <c r="I6089" s="1" t="str">
        <f t="shared" si="4"/>
        <v>No Badges</v>
      </c>
      <c r="J6089" s="3">
        <f t="shared" si="5"/>
        <v>0</v>
      </c>
    </row>
    <row r="6090">
      <c r="A6090" s="1" t="s">
        <v>4572</v>
      </c>
      <c r="B6090" s="3" t="str">
        <f t="shared" si="1"/>
        <v>Unavailable</v>
      </c>
      <c r="C6090" s="5">
        <v>124776.0</v>
      </c>
      <c r="D6090" s="3">
        <f>IFERROR(__xludf.DUMMYFUNCTION("IFERROR(
IF(REGEXMATCH(LOWER(O6090),""k""),
VALUE(REGEXEXTRACT(O6090,""[0-9]+""))*1000,
VALUE(REGEXEXTRACT(O6090,""[0-9]+""))
),
0
)"),0.0)</f>
        <v>0</v>
      </c>
      <c r="E6090" s="1" t="s">
        <v>11</v>
      </c>
      <c r="F6090" s="1" t="s">
        <v>20</v>
      </c>
      <c r="G6090" s="4" t="b">
        <f t="shared" si="2"/>
        <v>1</v>
      </c>
      <c r="H6090" s="1" t="str">
        <f t="shared" si="3"/>
        <v>Currently Unavailable</v>
      </c>
      <c r="I6090" s="1" t="str">
        <f t="shared" si="4"/>
        <v>No Badges</v>
      </c>
      <c r="J6090" s="3">
        <f t="shared" si="5"/>
        <v>0</v>
      </c>
    </row>
    <row r="6091">
      <c r="A6091" s="1" t="s">
        <v>4573</v>
      </c>
      <c r="B6091" s="3" t="str">
        <f t="shared" si="1"/>
        <v>Unavailable</v>
      </c>
      <c r="C6091" s="5">
        <v>14190.0</v>
      </c>
      <c r="D6091" s="3">
        <f>IFERROR(__xludf.DUMMYFUNCTION("IFERROR(
IF(REGEXMATCH(LOWER(O6091),""k""),
VALUE(REGEXEXTRACT(O6091,""[0-9]+""))*1000,
VALUE(REGEXEXTRACT(O6091,""[0-9]+""))
),
0
)"),0.0)</f>
        <v>0</v>
      </c>
      <c r="E6091" s="1" t="s">
        <v>11</v>
      </c>
      <c r="F6091" s="1" t="s">
        <v>20</v>
      </c>
      <c r="G6091" s="4" t="b">
        <f t="shared" si="2"/>
        <v>1</v>
      </c>
      <c r="H6091" s="1" t="str">
        <f t="shared" si="3"/>
        <v>Currently Unavailable</v>
      </c>
      <c r="I6091" s="1" t="str">
        <f t="shared" si="4"/>
        <v>No Badges</v>
      </c>
      <c r="J6091" s="3">
        <f t="shared" si="5"/>
        <v>0</v>
      </c>
    </row>
    <row r="6092">
      <c r="A6092" s="1" t="s">
        <v>67</v>
      </c>
      <c r="B6092" s="3" t="str">
        <f t="shared" si="1"/>
        <v>Unavailable</v>
      </c>
      <c r="C6092" s="3">
        <v>264.0</v>
      </c>
      <c r="D6092" s="3">
        <f>IFERROR(__xludf.DUMMYFUNCTION("IFERROR(
IF(REGEXMATCH(LOWER(O6092),""k""),
VALUE(REGEXEXTRACT(O6092,""[0-9]+""))*1000,
VALUE(REGEXEXTRACT(O6092,""[0-9]+""))
),
0
)"),0.0)</f>
        <v>0</v>
      </c>
      <c r="E6092" s="1" t="s">
        <v>11</v>
      </c>
      <c r="F6092" s="1" t="s">
        <v>12</v>
      </c>
      <c r="G6092" s="4" t="b">
        <f t="shared" si="2"/>
        <v>1</v>
      </c>
      <c r="H6092" s="1" t="str">
        <f t="shared" si="3"/>
        <v>Currently Unavailable</v>
      </c>
      <c r="I6092" s="1" t="str">
        <f t="shared" si="4"/>
        <v>No Badges</v>
      </c>
      <c r="J6092" s="3">
        <f t="shared" si="5"/>
        <v>0</v>
      </c>
    </row>
    <row r="6093">
      <c r="A6093" s="1" t="s">
        <v>4574</v>
      </c>
      <c r="B6093" s="3" t="str">
        <f t="shared" si="1"/>
        <v>Unavailable</v>
      </c>
      <c r="C6093" s="5">
        <v>4142.0</v>
      </c>
      <c r="D6093" s="3">
        <f>IFERROR(__xludf.DUMMYFUNCTION("IFERROR(
IF(REGEXMATCH(LOWER(O6093),""k""),
VALUE(REGEXEXTRACT(O6093,""[0-9]+""))*1000,
VALUE(REGEXEXTRACT(O6093,""[0-9]+""))
),
0
)"),0.0)</f>
        <v>0</v>
      </c>
      <c r="E6093" s="1" t="s">
        <v>11</v>
      </c>
      <c r="F6093" s="1" t="s">
        <v>20</v>
      </c>
      <c r="G6093" s="4" t="b">
        <f t="shared" si="2"/>
        <v>1</v>
      </c>
      <c r="H6093" s="1" t="str">
        <f t="shared" si="3"/>
        <v>Currently Unavailable</v>
      </c>
      <c r="I6093" s="1" t="str">
        <f t="shared" si="4"/>
        <v>No Badges</v>
      </c>
      <c r="J6093" s="3">
        <f t="shared" si="5"/>
        <v>0</v>
      </c>
    </row>
    <row r="6094">
      <c r="A6094" s="1" t="s">
        <v>4575</v>
      </c>
      <c r="B6094" s="3" t="str">
        <f t="shared" si="1"/>
        <v>Unavailable</v>
      </c>
      <c r="C6094" s="5">
        <v>23954.0</v>
      </c>
      <c r="D6094" s="3">
        <f>IFERROR(__xludf.DUMMYFUNCTION("IFERROR(
IF(REGEXMATCH(LOWER(O6094),""k""),
VALUE(REGEXEXTRACT(O6094,""[0-9]+""))*1000,
VALUE(REGEXEXTRACT(O6094,""[0-9]+""))
),
0
)"),0.0)</f>
        <v>0</v>
      </c>
      <c r="E6094" s="1" t="s">
        <v>11</v>
      </c>
      <c r="F6094" s="1" t="s">
        <v>20</v>
      </c>
      <c r="G6094" s="4" t="b">
        <f t="shared" si="2"/>
        <v>1</v>
      </c>
      <c r="H6094" s="1" t="str">
        <f t="shared" si="3"/>
        <v>Currently Unavailable</v>
      </c>
      <c r="I6094" s="1" t="str">
        <f t="shared" si="4"/>
        <v>No Badges</v>
      </c>
      <c r="J6094" s="3">
        <f t="shared" si="5"/>
        <v>0</v>
      </c>
    </row>
    <row r="6095">
      <c r="A6095" s="1" t="s">
        <v>4576</v>
      </c>
      <c r="B6095" s="3" t="str">
        <f t="shared" si="1"/>
        <v>Unavailable</v>
      </c>
      <c r="C6095" s="5">
        <v>4012.0</v>
      </c>
      <c r="D6095" s="3">
        <f>IFERROR(__xludf.DUMMYFUNCTION("IFERROR(
IF(REGEXMATCH(LOWER(O6095),""k""),
VALUE(REGEXEXTRACT(O6095,""[0-9]+""))*1000,
VALUE(REGEXEXTRACT(O6095,""[0-9]+""))
),
0
)"),0.0)</f>
        <v>0</v>
      </c>
      <c r="E6095" s="1" t="s">
        <v>11</v>
      </c>
      <c r="F6095" s="1" t="s">
        <v>20</v>
      </c>
      <c r="G6095" s="4" t="b">
        <f t="shared" si="2"/>
        <v>1</v>
      </c>
      <c r="H6095" s="1" t="str">
        <f t="shared" si="3"/>
        <v>Currently Unavailable</v>
      </c>
      <c r="I6095" s="1" t="str">
        <f t="shared" si="4"/>
        <v>No Badges</v>
      </c>
      <c r="J6095" s="3">
        <f t="shared" si="5"/>
        <v>0</v>
      </c>
    </row>
    <row r="6096">
      <c r="A6096" s="1" t="s">
        <v>4577</v>
      </c>
      <c r="B6096" s="3" t="str">
        <f t="shared" si="1"/>
        <v>Unavailable</v>
      </c>
      <c r="C6096" s="5">
        <v>3332.0</v>
      </c>
      <c r="D6096" s="3">
        <f>IFERROR(__xludf.DUMMYFUNCTION("IFERROR(
IF(REGEXMATCH(LOWER(O6096),""k""),
VALUE(REGEXEXTRACT(O6096,""[0-9]+""))*1000,
VALUE(REGEXEXTRACT(O6096,""[0-9]+""))
),
0
)"),0.0)</f>
        <v>0</v>
      </c>
      <c r="E6096" s="1" t="s">
        <v>11</v>
      </c>
      <c r="F6096" s="1" t="s">
        <v>20</v>
      </c>
      <c r="G6096" s="4" t="b">
        <f t="shared" si="2"/>
        <v>1</v>
      </c>
      <c r="H6096" s="1" t="str">
        <f t="shared" si="3"/>
        <v>Currently Unavailable</v>
      </c>
      <c r="I6096" s="1" t="str">
        <f t="shared" si="4"/>
        <v>No Badges</v>
      </c>
      <c r="J6096" s="3">
        <f t="shared" si="5"/>
        <v>0</v>
      </c>
    </row>
    <row r="6097">
      <c r="A6097" s="1" t="s">
        <v>4578</v>
      </c>
      <c r="B6097" s="3" t="str">
        <f t="shared" si="1"/>
        <v>Unavailable</v>
      </c>
      <c r="C6097" s="5">
        <v>16798.0</v>
      </c>
      <c r="D6097" s="3">
        <f>IFERROR(__xludf.DUMMYFUNCTION("IFERROR(
IF(REGEXMATCH(LOWER(O6097),""k""),
VALUE(REGEXEXTRACT(O6097,""[0-9]+""))*1000,
VALUE(REGEXEXTRACT(O6097,""[0-9]+""))
),
0
)"),0.0)</f>
        <v>0</v>
      </c>
      <c r="E6097" s="1" t="s">
        <v>11</v>
      </c>
      <c r="F6097" s="1" t="s">
        <v>20</v>
      </c>
      <c r="G6097" s="4" t="b">
        <f t="shared" si="2"/>
        <v>1</v>
      </c>
      <c r="H6097" s="1" t="str">
        <f t="shared" si="3"/>
        <v>Currently Unavailable</v>
      </c>
      <c r="I6097" s="1" t="str">
        <f t="shared" si="4"/>
        <v>No Badges</v>
      </c>
      <c r="J6097" s="3">
        <f t="shared" si="5"/>
        <v>0</v>
      </c>
    </row>
    <row r="6098">
      <c r="A6098" s="1" t="s">
        <v>4579</v>
      </c>
      <c r="B6098" s="3" t="str">
        <f t="shared" si="1"/>
        <v>Unavailable</v>
      </c>
      <c r="C6098" s="5">
        <v>1762.0</v>
      </c>
      <c r="D6098" s="3">
        <f>IFERROR(__xludf.DUMMYFUNCTION("IFERROR(
IF(REGEXMATCH(LOWER(O6098),""k""),
VALUE(REGEXEXTRACT(O6098,""[0-9]+""))*1000,
VALUE(REGEXEXTRACT(O6098,""[0-9]+""))
),
0
)"),0.0)</f>
        <v>0</v>
      </c>
      <c r="E6098" s="1" t="s">
        <v>11</v>
      </c>
      <c r="F6098" s="1" t="s">
        <v>20</v>
      </c>
      <c r="G6098" s="4" t="b">
        <f t="shared" si="2"/>
        <v>1</v>
      </c>
      <c r="H6098" s="1" t="str">
        <f t="shared" si="3"/>
        <v>Currently Unavailable</v>
      </c>
      <c r="I6098" s="1" t="str">
        <f t="shared" si="4"/>
        <v>No Badges</v>
      </c>
      <c r="J6098" s="3">
        <f t="shared" si="5"/>
        <v>0</v>
      </c>
    </row>
    <row r="6099">
      <c r="A6099" s="1" t="s">
        <v>4580</v>
      </c>
      <c r="B6099" s="3" t="str">
        <f t="shared" si="1"/>
        <v>Unavailable</v>
      </c>
      <c r="C6099" s="5">
        <v>11309.0</v>
      </c>
      <c r="D6099" s="3">
        <f>IFERROR(__xludf.DUMMYFUNCTION("IFERROR(
IF(REGEXMATCH(LOWER(O6099),""k""),
VALUE(REGEXEXTRACT(O6099,""[0-9]+""))*1000,
VALUE(REGEXEXTRACT(O6099,""[0-9]+""))
),
0
)"),0.0)</f>
        <v>0</v>
      </c>
      <c r="E6099" s="1" t="s">
        <v>11</v>
      </c>
      <c r="F6099" s="1" t="s">
        <v>20</v>
      </c>
      <c r="G6099" s="4" t="b">
        <f t="shared" si="2"/>
        <v>1</v>
      </c>
      <c r="H6099" s="1" t="str">
        <f t="shared" si="3"/>
        <v>Currently Unavailable</v>
      </c>
      <c r="I6099" s="1" t="str">
        <f t="shared" si="4"/>
        <v>No Badges</v>
      </c>
      <c r="J6099" s="3">
        <f t="shared" si="5"/>
        <v>0</v>
      </c>
    </row>
    <row r="6100">
      <c r="A6100" s="1" t="s">
        <v>4581</v>
      </c>
      <c r="B6100" s="3" t="str">
        <f t="shared" si="1"/>
        <v>Unavailable</v>
      </c>
      <c r="C6100" s="5">
        <v>15783.0</v>
      </c>
      <c r="D6100" s="3">
        <f>IFERROR(__xludf.DUMMYFUNCTION("IFERROR(
IF(REGEXMATCH(LOWER(O6100),""k""),
VALUE(REGEXEXTRACT(O6100,""[0-9]+""))*1000,
VALUE(REGEXEXTRACT(O6100,""[0-9]+""))
),
0
)"),0.0)</f>
        <v>0</v>
      </c>
      <c r="E6100" s="1" t="s">
        <v>11</v>
      </c>
      <c r="F6100" s="1" t="s">
        <v>20</v>
      </c>
      <c r="G6100" s="4" t="b">
        <f t="shared" si="2"/>
        <v>1</v>
      </c>
      <c r="H6100" s="1" t="str">
        <f t="shared" si="3"/>
        <v>Currently Unavailable</v>
      </c>
      <c r="I6100" s="1" t="str">
        <f t="shared" si="4"/>
        <v>No Badges</v>
      </c>
      <c r="J6100" s="3">
        <f t="shared" si="5"/>
        <v>0</v>
      </c>
    </row>
    <row r="6101">
      <c r="A6101" s="1" t="s">
        <v>4582</v>
      </c>
      <c r="B6101" s="3" t="str">
        <f t="shared" si="1"/>
        <v>Unavailable</v>
      </c>
      <c r="C6101" s="5">
        <v>1075.0</v>
      </c>
      <c r="D6101" s="3">
        <f>IFERROR(__xludf.DUMMYFUNCTION("IFERROR(
IF(REGEXMATCH(LOWER(O6101),""k""),
VALUE(REGEXEXTRACT(O6101,""[0-9]+""))*1000,
VALUE(REGEXEXTRACT(O6101,""[0-9]+""))
),
0
)"),0.0)</f>
        <v>0</v>
      </c>
      <c r="E6101" s="1" t="s">
        <v>11</v>
      </c>
      <c r="F6101" s="1" t="s">
        <v>20</v>
      </c>
      <c r="G6101" s="4" t="b">
        <f t="shared" si="2"/>
        <v>1</v>
      </c>
      <c r="H6101" s="1" t="str">
        <f t="shared" si="3"/>
        <v>Currently Unavailable</v>
      </c>
      <c r="I6101" s="1" t="str">
        <f t="shared" si="4"/>
        <v>No Badges</v>
      </c>
      <c r="J6101" s="3">
        <f t="shared" si="5"/>
        <v>0</v>
      </c>
    </row>
    <row r="6102">
      <c r="A6102" s="1" t="s">
        <v>4583</v>
      </c>
      <c r="B6102" s="3" t="str">
        <f t="shared" si="1"/>
        <v>Unavailable</v>
      </c>
      <c r="C6102" s="3">
        <v>329.0</v>
      </c>
      <c r="D6102" s="3">
        <f>IFERROR(__xludf.DUMMYFUNCTION("IFERROR(
IF(REGEXMATCH(LOWER(O6102),""k""),
VALUE(REGEXEXTRACT(O6102,""[0-9]+""))*1000,
VALUE(REGEXEXTRACT(O6102,""[0-9]+""))
),
0
)"),0.0)</f>
        <v>0</v>
      </c>
      <c r="E6102" s="1" t="s">
        <v>11</v>
      </c>
      <c r="F6102" s="1" t="s">
        <v>20</v>
      </c>
      <c r="G6102" s="4" t="b">
        <f t="shared" si="2"/>
        <v>1</v>
      </c>
      <c r="H6102" s="1" t="str">
        <f t="shared" si="3"/>
        <v>Currently Unavailable</v>
      </c>
      <c r="I6102" s="1" t="str">
        <f t="shared" si="4"/>
        <v>No Badges</v>
      </c>
      <c r="J6102" s="3">
        <f t="shared" si="5"/>
        <v>0</v>
      </c>
    </row>
    <row r="6103">
      <c r="A6103" s="1" t="s">
        <v>4565</v>
      </c>
      <c r="B6103" s="3" t="str">
        <f t="shared" si="1"/>
        <v>Unavailable</v>
      </c>
      <c r="C6103" s="5">
        <v>10660.0</v>
      </c>
      <c r="D6103" s="3">
        <f>IFERROR(__xludf.DUMMYFUNCTION("IFERROR(
IF(REGEXMATCH(LOWER(O6103),""k""),
VALUE(REGEXEXTRACT(O6103,""[0-9]+""))*1000,
VALUE(REGEXEXTRACT(O6103,""[0-9]+""))
),
0
)"),0.0)</f>
        <v>0</v>
      </c>
      <c r="E6103" s="1" t="s">
        <v>11</v>
      </c>
      <c r="F6103" s="1" t="s">
        <v>12</v>
      </c>
      <c r="G6103" s="4" t="b">
        <f t="shared" si="2"/>
        <v>1</v>
      </c>
      <c r="H6103" s="1" t="str">
        <f t="shared" si="3"/>
        <v>Currently Unavailable</v>
      </c>
      <c r="I6103" s="1" t="str">
        <f t="shared" si="4"/>
        <v>No Badges</v>
      </c>
      <c r="J6103" s="3">
        <f t="shared" si="5"/>
        <v>0</v>
      </c>
    </row>
    <row r="6104">
      <c r="A6104" s="1" t="s">
        <v>4584</v>
      </c>
      <c r="B6104" s="3" t="str">
        <f t="shared" si="1"/>
        <v>Unavailable</v>
      </c>
      <c r="C6104" s="5">
        <v>4722.0</v>
      </c>
      <c r="D6104" s="3">
        <f>IFERROR(__xludf.DUMMYFUNCTION("IFERROR(
IF(REGEXMATCH(LOWER(O6104),""k""),
VALUE(REGEXEXTRACT(O6104,""[0-9]+""))*1000,
VALUE(REGEXEXTRACT(O6104,""[0-9]+""))
),
0
)"),0.0)</f>
        <v>0</v>
      </c>
      <c r="E6104" s="1" t="s">
        <v>11</v>
      </c>
      <c r="F6104" s="1" t="s">
        <v>20</v>
      </c>
      <c r="G6104" s="4" t="b">
        <f t="shared" si="2"/>
        <v>1</v>
      </c>
      <c r="H6104" s="1" t="str">
        <f t="shared" si="3"/>
        <v>Currently Unavailable</v>
      </c>
      <c r="I6104" s="1" t="str">
        <f t="shared" si="4"/>
        <v>No Badges</v>
      </c>
      <c r="J6104" s="3">
        <f t="shared" si="5"/>
        <v>0</v>
      </c>
    </row>
    <row r="6105">
      <c r="A6105" s="1" t="s">
        <v>4585</v>
      </c>
      <c r="B6105" s="3" t="str">
        <f t="shared" si="1"/>
        <v>Unavailable</v>
      </c>
      <c r="C6105" s="5">
        <v>1225.0</v>
      </c>
      <c r="D6105" s="3">
        <f>IFERROR(__xludf.DUMMYFUNCTION("IFERROR(
IF(REGEXMATCH(LOWER(O6105),""k""),
VALUE(REGEXEXTRACT(O6105,""[0-9]+""))*1000,
VALUE(REGEXEXTRACT(O6105,""[0-9]+""))
),
0
)"),0.0)</f>
        <v>0</v>
      </c>
      <c r="E6105" s="1" t="s">
        <v>11</v>
      </c>
      <c r="F6105" s="1" t="s">
        <v>20</v>
      </c>
      <c r="G6105" s="4" t="b">
        <f t="shared" si="2"/>
        <v>1</v>
      </c>
      <c r="H6105" s="1" t="str">
        <f t="shared" si="3"/>
        <v>Currently Unavailable</v>
      </c>
      <c r="I6105" s="1" t="str">
        <f t="shared" si="4"/>
        <v>No Badges</v>
      </c>
      <c r="J6105" s="3">
        <f t="shared" si="5"/>
        <v>0</v>
      </c>
    </row>
    <row r="6106">
      <c r="A6106" s="1" t="s">
        <v>4586</v>
      </c>
      <c r="B6106" s="3" t="str">
        <f t="shared" si="1"/>
        <v>Unavailable</v>
      </c>
      <c r="C6106" s="5">
        <v>5223.0</v>
      </c>
      <c r="D6106" s="3">
        <f>IFERROR(__xludf.DUMMYFUNCTION("IFERROR(
IF(REGEXMATCH(LOWER(O6106),""k""),
VALUE(REGEXEXTRACT(O6106,""[0-9]+""))*1000,
VALUE(REGEXEXTRACT(O6106,""[0-9]+""))
),
0
)"),0.0)</f>
        <v>0</v>
      </c>
      <c r="E6106" s="1" t="s">
        <v>158</v>
      </c>
      <c r="F6106" s="1" t="s">
        <v>20</v>
      </c>
      <c r="G6106" s="4" t="b">
        <f t="shared" si="2"/>
        <v>1</v>
      </c>
      <c r="H6106" s="1" t="str">
        <f t="shared" si="3"/>
        <v>Currently Unavailable</v>
      </c>
      <c r="I6106" s="1" t="str">
        <f t="shared" si="4"/>
        <v>No Badges</v>
      </c>
      <c r="J6106" s="3">
        <f t="shared" si="5"/>
        <v>0</v>
      </c>
    </row>
    <row r="6107">
      <c r="A6107" s="1" t="s">
        <v>701</v>
      </c>
      <c r="B6107" s="3" t="str">
        <f t="shared" si="1"/>
        <v>Unavailable</v>
      </c>
      <c r="C6107" s="3">
        <v>8.0</v>
      </c>
      <c r="D6107" s="3">
        <f>IFERROR(__xludf.DUMMYFUNCTION("IFERROR(
IF(REGEXMATCH(LOWER(O6107),""k""),
VALUE(REGEXEXTRACT(O6107,""[0-9]+""))*1000,
VALUE(REGEXEXTRACT(O6107,""[0-9]+""))
),
0
)"),0.0)</f>
        <v>0</v>
      </c>
      <c r="E6107" s="1" t="s">
        <v>11</v>
      </c>
      <c r="F6107" s="1" t="s">
        <v>12</v>
      </c>
      <c r="G6107" s="4" t="b">
        <f t="shared" si="2"/>
        <v>1</v>
      </c>
      <c r="H6107" s="1" t="str">
        <f t="shared" si="3"/>
        <v>Currently Unavailable</v>
      </c>
      <c r="I6107" s="1" t="str">
        <f t="shared" si="4"/>
        <v>No Badges</v>
      </c>
      <c r="J6107" s="3">
        <f t="shared" si="5"/>
        <v>0</v>
      </c>
    </row>
    <row r="6108">
      <c r="A6108" s="1" t="s">
        <v>4587</v>
      </c>
      <c r="B6108" s="3" t="str">
        <f t="shared" si="1"/>
        <v>Unavailable</v>
      </c>
      <c r="C6108" s="5">
        <v>60564.0</v>
      </c>
      <c r="D6108" s="3">
        <f>IFERROR(__xludf.DUMMYFUNCTION("IFERROR(
IF(REGEXMATCH(LOWER(O6108),""k""),
VALUE(REGEXEXTRACT(O6108,""[0-9]+""))*1000,
VALUE(REGEXEXTRACT(O6108,""[0-9]+""))
),
0
)"),0.0)</f>
        <v>0</v>
      </c>
      <c r="E6108" s="1" t="s">
        <v>11</v>
      </c>
      <c r="F6108" s="1" t="s">
        <v>20</v>
      </c>
      <c r="G6108" s="4" t="b">
        <f t="shared" si="2"/>
        <v>1</v>
      </c>
      <c r="H6108" s="1" t="str">
        <f t="shared" si="3"/>
        <v>Currently Unavailable</v>
      </c>
      <c r="I6108" s="1" t="str">
        <f t="shared" si="4"/>
        <v>No Badges</v>
      </c>
      <c r="J6108" s="3">
        <f t="shared" si="5"/>
        <v>0</v>
      </c>
    </row>
    <row r="6109">
      <c r="A6109" s="1" t="s">
        <v>88</v>
      </c>
      <c r="B6109" s="3" t="str">
        <f t="shared" si="1"/>
        <v>Unavailable</v>
      </c>
      <c r="C6109" s="3">
        <v>5.0</v>
      </c>
      <c r="D6109" s="3">
        <f>IFERROR(__xludf.DUMMYFUNCTION("IFERROR(
IF(REGEXMATCH(LOWER(O6109),""k""),
VALUE(REGEXEXTRACT(O6109,""[0-9]+""))*1000,
VALUE(REGEXEXTRACT(O6109,""[0-9]+""))
),
0
)"),0.0)</f>
        <v>0</v>
      </c>
      <c r="E6109" s="1" t="s">
        <v>11</v>
      </c>
      <c r="F6109" s="1" t="s">
        <v>12</v>
      </c>
      <c r="G6109" s="4" t="b">
        <f t="shared" si="2"/>
        <v>1</v>
      </c>
      <c r="H6109" s="1" t="str">
        <f t="shared" si="3"/>
        <v>Currently Unavailable</v>
      </c>
      <c r="I6109" s="1" t="str">
        <f t="shared" si="4"/>
        <v>No Badges</v>
      </c>
      <c r="J6109" s="3">
        <f t="shared" si="5"/>
        <v>0</v>
      </c>
    </row>
    <row r="6110">
      <c r="A6110" s="1" t="s">
        <v>4588</v>
      </c>
      <c r="B6110" s="3" t="str">
        <f t="shared" si="1"/>
        <v>Unavailable</v>
      </c>
      <c r="C6110" s="5">
        <v>1922.0</v>
      </c>
      <c r="D6110" s="3">
        <f>IFERROR(__xludf.DUMMYFUNCTION("IFERROR(
IF(REGEXMATCH(LOWER(O6110),""k""),
VALUE(REGEXEXTRACT(O6110,""[0-9]+""))*1000,
VALUE(REGEXEXTRACT(O6110,""[0-9]+""))
),
0
)"),0.0)</f>
        <v>0</v>
      </c>
      <c r="E6110" s="1" t="s">
        <v>11</v>
      </c>
      <c r="F6110" s="1" t="s">
        <v>20</v>
      </c>
      <c r="G6110" s="4" t="b">
        <f t="shared" si="2"/>
        <v>1</v>
      </c>
      <c r="H6110" s="1" t="str">
        <f t="shared" si="3"/>
        <v>Currently Unavailable</v>
      </c>
      <c r="I6110" s="1" t="str">
        <f t="shared" si="4"/>
        <v>No Badges</v>
      </c>
      <c r="J6110" s="3">
        <f t="shared" si="5"/>
        <v>0</v>
      </c>
    </row>
    <row r="6111">
      <c r="A6111" s="1" t="s">
        <v>4589</v>
      </c>
      <c r="B6111" s="3" t="str">
        <f t="shared" si="1"/>
        <v>Unavailable</v>
      </c>
      <c r="C6111" s="5">
        <v>26717.0</v>
      </c>
      <c r="D6111" s="3">
        <f>IFERROR(__xludf.DUMMYFUNCTION("IFERROR(
IF(REGEXMATCH(LOWER(O6111),""k""),
VALUE(REGEXEXTRACT(O6111,""[0-9]+""))*1000,
VALUE(REGEXEXTRACT(O6111,""[0-9]+""))
),
0
)"),0.0)</f>
        <v>0</v>
      </c>
      <c r="E6111" s="1" t="s">
        <v>11</v>
      </c>
      <c r="F6111" s="1" t="s">
        <v>20</v>
      </c>
      <c r="G6111" s="4" t="b">
        <f t="shared" si="2"/>
        <v>1</v>
      </c>
      <c r="H6111" s="1" t="str">
        <f t="shared" si="3"/>
        <v>Currently Unavailable</v>
      </c>
      <c r="I6111" s="1" t="str">
        <f t="shared" si="4"/>
        <v>No Badges</v>
      </c>
      <c r="J6111" s="3">
        <f t="shared" si="5"/>
        <v>0</v>
      </c>
    </row>
    <row r="6112">
      <c r="A6112" s="1" t="s">
        <v>69</v>
      </c>
      <c r="B6112" s="3" t="str">
        <f t="shared" si="1"/>
        <v>Unavailable</v>
      </c>
      <c r="C6112" s="3">
        <v>45.0</v>
      </c>
      <c r="D6112" s="3">
        <f>IFERROR(__xludf.DUMMYFUNCTION("IFERROR(
IF(REGEXMATCH(LOWER(O6112),""k""),
VALUE(REGEXEXTRACT(O6112,""[0-9]+""))*1000,
VALUE(REGEXEXTRACT(O6112,""[0-9]+""))
),
0
)"),0.0)</f>
        <v>0</v>
      </c>
      <c r="E6112" s="1" t="s">
        <v>11</v>
      </c>
      <c r="F6112" s="1" t="s">
        <v>12</v>
      </c>
      <c r="G6112" s="4" t="b">
        <f t="shared" si="2"/>
        <v>1</v>
      </c>
      <c r="H6112" s="1" t="str">
        <f t="shared" si="3"/>
        <v>Currently Unavailable</v>
      </c>
      <c r="I6112" s="1" t="str">
        <f t="shared" si="4"/>
        <v>No Badges</v>
      </c>
      <c r="J6112" s="3">
        <f t="shared" si="5"/>
        <v>0</v>
      </c>
    </row>
    <row r="6113">
      <c r="A6113" s="1" t="s">
        <v>4590</v>
      </c>
      <c r="B6113" s="3" t="str">
        <f t="shared" si="1"/>
        <v>Unavailable</v>
      </c>
      <c r="C6113" s="5">
        <v>2619.0</v>
      </c>
      <c r="D6113" s="3">
        <f>IFERROR(__xludf.DUMMYFUNCTION("IFERROR(
IF(REGEXMATCH(LOWER(O6113),""k""),
VALUE(REGEXEXTRACT(O6113,""[0-9]+""))*1000,
VALUE(REGEXEXTRACT(O6113,""[0-9]+""))
),
0
)"),0.0)</f>
        <v>0</v>
      </c>
      <c r="E6113" s="1" t="s">
        <v>11</v>
      </c>
      <c r="F6113" s="1" t="s">
        <v>20</v>
      </c>
      <c r="G6113" s="4" t="b">
        <f t="shared" si="2"/>
        <v>1</v>
      </c>
      <c r="H6113" s="1" t="str">
        <f t="shared" si="3"/>
        <v>Currently Unavailable</v>
      </c>
      <c r="I6113" s="1" t="str">
        <f t="shared" si="4"/>
        <v>No Badges</v>
      </c>
      <c r="J6113" s="3">
        <f t="shared" si="5"/>
        <v>0</v>
      </c>
    </row>
    <row r="6114">
      <c r="A6114" s="1" t="s">
        <v>4591</v>
      </c>
      <c r="B6114" s="3" t="str">
        <f t="shared" si="1"/>
        <v>Unavailable</v>
      </c>
      <c r="C6114" s="5">
        <v>18713.0</v>
      </c>
      <c r="D6114" s="3">
        <f>IFERROR(__xludf.DUMMYFUNCTION("IFERROR(
IF(REGEXMATCH(LOWER(O6114),""k""),
VALUE(REGEXEXTRACT(O6114,""[0-9]+""))*1000,
VALUE(REGEXEXTRACT(O6114,""[0-9]+""))
),
0
)"),0.0)</f>
        <v>0</v>
      </c>
      <c r="E6114" s="1" t="s">
        <v>11</v>
      </c>
      <c r="F6114" s="1" t="s">
        <v>20</v>
      </c>
      <c r="G6114" s="4" t="b">
        <f t="shared" si="2"/>
        <v>1</v>
      </c>
      <c r="H6114" s="1" t="str">
        <f t="shared" si="3"/>
        <v>Currently Unavailable</v>
      </c>
      <c r="I6114" s="1" t="str">
        <f t="shared" si="4"/>
        <v>No Badges</v>
      </c>
      <c r="J6114" s="3">
        <f t="shared" si="5"/>
        <v>0</v>
      </c>
    </row>
    <row r="6115">
      <c r="A6115" s="1" t="s">
        <v>4592</v>
      </c>
      <c r="B6115" s="3" t="str">
        <f t="shared" si="1"/>
        <v>Unavailable</v>
      </c>
      <c r="C6115" s="5">
        <v>45958.0</v>
      </c>
      <c r="D6115" s="3">
        <f>IFERROR(__xludf.DUMMYFUNCTION("IFERROR(
IF(REGEXMATCH(LOWER(O6115),""k""),
VALUE(REGEXEXTRACT(O6115,""[0-9]+""))*1000,
VALUE(REGEXEXTRACT(O6115,""[0-9]+""))
),
0
)"),0.0)</f>
        <v>0</v>
      </c>
      <c r="E6115" s="1" t="s">
        <v>11</v>
      </c>
      <c r="F6115" s="1" t="s">
        <v>20</v>
      </c>
      <c r="G6115" s="4" t="b">
        <f t="shared" si="2"/>
        <v>1</v>
      </c>
      <c r="H6115" s="1" t="str">
        <f t="shared" si="3"/>
        <v>Currently Unavailable</v>
      </c>
      <c r="I6115" s="1" t="str">
        <f t="shared" si="4"/>
        <v>No Badges</v>
      </c>
      <c r="J6115" s="3">
        <f t="shared" si="5"/>
        <v>0</v>
      </c>
    </row>
    <row r="6116">
      <c r="A6116" s="1" t="s">
        <v>4593</v>
      </c>
      <c r="B6116" s="3" t="str">
        <f t="shared" si="1"/>
        <v>Unavailable</v>
      </c>
      <c r="C6116" s="3">
        <v>275.0</v>
      </c>
      <c r="D6116" s="3">
        <f>IFERROR(__xludf.DUMMYFUNCTION("IFERROR(
IF(REGEXMATCH(LOWER(O6116),""k""),
VALUE(REGEXEXTRACT(O6116,""[0-9]+""))*1000,
VALUE(REGEXEXTRACT(O6116,""[0-9]+""))
),
0
)"),0.0)</f>
        <v>0</v>
      </c>
      <c r="E6116" s="1" t="s">
        <v>18</v>
      </c>
      <c r="F6116" s="1" t="s">
        <v>20</v>
      </c>
      <c r="G6116" s="4" t="b">
        <f t="shared" si="2"/>
        <v>1</v>
      </c>
      <c r="H6116" s="1" t="str">
        <f t="shared" si="3"/>
        <v>Currently Unavailable</v>
      </c>
      <c r="I6116" s="1" t="str">
        <f t="shared" si="4"/>
        <v>No Badges</v>
      </c>
      <c r="J6116" s="3">
        <f t="shared" si="5"/>
        <v>0</v>
      </c>
    </row>
    <row r="6117">
      <c r="A6117" s="1" t="s">
        <v>4594</v>
      </c>
      <c r="B6117" s="3" t="str">
        <f t="shared" si="1"/>
        <v>Unavailable</v>
      </c>
      <c r="C6117" s="5">
        <v>5573.0</v>
      </c>
      <c r="D6117" s="3">
        <f>IFERROR(__xludf.DUMMYFUNCTION("IFERROR(
IF(REGEXMATCH(LOWER(O6117),""k""),
VALUE(REGEXEXTRACT(O6117,""[0-9]+""))*1000,
VALUE(REGEXEXTRACT(O6117,""[0-9]+""))
),
0
)"),0.0)</f>
        <v>0</v>
      </c>
      <c r="E6117" s="1" t="s">
        <v>11</v>
      </c>
      <c r="F6117" s="1" t="s">
        <v>20</v>
      </c>
      <c r="G6117" s="4" t="b">
        <f t="shared" si="2"/>
        <v>1</v>
      </c>
      <c r="H6117" s="1" t="str">
        <f t="shared" si="3"/>
        <v>Currently Unavailable</v>
      </c>
      <c r="I6117" s="1" t="str">
        <f t="shared" si="4"/>
        <v>No Badges</v>
      </c>
      <c r="J6117" s="3">
        <f t="shared" si="5"/>
        <v>0</v>
      </c>
    </row>
    <row r="6118">
      <c r="A6118" s="1" t="s">
        <v>4595</v>
      </c>
      <c r="B6118" s="3" t="str">
        <f t="shared" si="1"/>
        <v>Unavailable</v>
      </c>
      <c r="C6118" s="3">
        <v>409.0</v>
      </c>
      <c r="D6118" s="3">
        <f>IFERROR(__xludf.DUMMYFUNCTION("IFERROR(
IF(REGEXMATCH(LOWER(O6118),""k""),
VALUE(REGEXEXTRACT(O6118,""[0-9]+""))*1000,
VALUE(REGEXEXTRACT(O6118,""[0-9]+""))
),
0
)"),0.0)</f>
        <v>0</v>
      </c>
      <c r="E6118" s="1" t="s">
        <v>11</v>
      </c>
      <c r="F6118" s="1" t="s">
        <v>20</v>
      </c>
      <c r="G6118" s="4" t="b">
        <f t="shared" si="2"/>
        <v>1</v>
      </c>
      <c r="H6118" s="1" t="str">
        <f t="shared" si="3"/>
        <v>Currently Unavailable</v>
      </c>
      <c r="I6118" s="1" t="str">
        <f t="shared" si="4"/>
        <v>No Badges</v>
      </c>
      <c r="J6118" s="3">
        <f t="shared" si="5"/>
        <v>0</v>
      </c>
    </row>
    <row r="6119">
      <c r="A6119" s="1" t="s">
        <v>4596</v>
      </c>
      <c r="B6119" s="3" t="str">
        <f t="shared" si="1"/>
        <v>Unavailable</v>
      </c>
      <c r="C6119" s="5">
        <v>71140.0</v>
      </c>
      <c r="D6119" s="3">
        <f>IFERROR(__xludf.DUMMYFUNCTION("IFERROR(
IF(REGEXMATCH(LOWER(O6119),""k""),
VALUE(REGEXEXTRACT(O6119,""[0-9]+""))*1000,
VALUE(REGEXEXTRACT(O6119,""[0-9]+""))
),
0
)"),0.0)</f>
        <v>0</v>
      </c>
      <c r="E6119" s="1" t="s">
        <v>11</v>
      </c>
      <c r="F6119" s="1" t="s">
        <v>20</v>
      </c>
      <c r="G6119" s="4" t="b">
        <f t="shared" si="2"/>
        <v>1</v>
      </c>
      <c r="H6119" s="1" t="str">
        <f t="shared" si="3"/>
        <v>Currently Unavailable</v>
      </c>
      <c r="I6119" s="1" t="str">
        <f t="shared" si="4"/>
        <v>No Badges</v>
      </c>
      <c r="J6119" s="3">
        <f t="shared" si="5"/>
        <v>0</v>
      </c>
    </row>
    <row r="6120">
      <c r="A6120" s="1" t="s">
        <v>4597</v>
      </c>
      <c r="B6120" s="3" t="str">
        <f t="shared" si="1"/>
        <v>Unavailable</v>
      </c>
      <c r="C6120" s="5">
        <v>1609.0</v>
      </c>
      <c r="D6120" s="3">
        <f>IFERROR(__xludf.DUMMYFUNCTION("IFERROR(
IF(REGEXMATCH(LOWER(O6120),""k""),
VALUE(REGEXEXTRACT(O6120,""[0-9]+""))*1000,
VALUE(REGEXEXTRACT(O6120,""[0-9]+""))
),
0
)"),0.0)</f>
        <v>0</v>
      </c>
      <c r="E6120" s="1" t="s">
        <v>11</v>
      </c>
      <c r="F6120" s="1" t="s">
        <v>20</v>
      </c>
      <c r="G6120" s="4" t="b">
        <f t="shared" si="2"/>
        <v>1</v>
      </c>
      <c r="H6120" s="1" t="str">
        <f t="shared" si="3"/>
        <v>Currently Unavailable</v>
      </c>
      <c r="I6120" s="1" t="str">
        <f t="shared" si="4"/>
        <v>No Badges</v>
      </c>
      <c r="J6120" s="3">
        <f t="shared" si="5"/>
        <v>0</v>
      </c>
    </row>
    <row r="6121">
      <c r="A6121" s="1" t="s">
        <v>4598</v>
      </c>
      <c r="B6121" s="3" t="str">
        <f t="shared" si="1"/>
        <v>Unavailable</v>
      </c>
      <c r="C6121" s="3">
        <v>633.0</v>
      </c>
      <c r="D6121" s="3">
        <f>IFERROR(__xludf.DUMMYFUNCTION("IFERROR(
IF(REGEXMATCH(LOWER(O6121),""k""),
VALUE(REGEXEXTRACT(O6121,""[0-9]+""))*1000,
VALUE(REGEXEXTRACT(O6121,""[0-9]+""))
),
0
)"),0.0)</f>
        <v>0</v>
      </c>
      <c r="E6121" s="1" t="s">
        <v>11</v>
      </c>
      <c r="F6121" s="1" t="s">
        <v>20</v>
      </c>
      <c r="G6121" s="4" t="b">
        <f t="shared" si="2"/>
        <v>1</v>
      </c>
      <c r="H6121" s="1" t="str">
        <f t="shared" si="3"/>
        <v>Currently Unavailable</v>
      </c>
      <c r="I6121" s="1" t="str">
        <f t="shared" si="4"/>
        <v>No Badges</v>
      </c>
      <c r="J6121" s="3">
        <f t="shared" si="5"/>
        <v>0</v>
      </c>
    </row>
    <row r="6122">
      <c r="A6122" s="1" t="s">
        <v>4599</v>
      </c>
      <c r="B6122" s="3" t="str">
        <f t="shared" si="1"/>
        <v>Unavailable</v>
      </c>
      <c r="C6122" s="5">
        <v>15020.0</v>
      </c>
      <c r="D6122" s="3">
        <f>IFERROR(__xludf.DUMMYFUNCTION("IFERROR(
IF(REGEXMATCH(LOWER(O6122),""k""),
VALUE(REGEXEXTRACT(O6122,""[0-9]+""))*1000,
VALUE(REGEXEXTRACT(O6122,""[0-9]+""))
),
0
)"),0.0)</f>
        <v>0</v>
      </c>
      <c r="E6122" s="1" t="s">
        <v>11</v>
      </c>
      <c r="F6122" s="1" t="s">
        <v>20</v>
      </c>
      <c r="G6122" s="4" t="b">
        <f t="shared" si="2"/>
        <v>1</v>
      </c>
      <c r="H6122" s="1" t="str">
        <f t="shared" si="3"/>
        <v>Currently Unavailable</v>
      </c>
      <c r="I6122" s="1" t="str">
        <f t="shared" si="4"/>
        <v>No Badges</v>
      </c>
      <c r="J6122" s="3">
        <f t="shared" si="5"/>
        <v>0</v>
      </c>
    </row>
    <row r="6123">
      <c r="A6123" s="1" t="s">
        <v>4600</v>
      </c>
      <c r="B6123" s="3" t="str">
        <f t="shared" si="1"/>
        <v>Unavailable</v>
      </c>
      <c r="C6123" s="5">
        <v>3108.0</v>
      </c>
      <c r="D6123" s="3">
        <f>IFERROR(__xludf.DUMMYFUNCTION("IFERROR(
IF(REGEXMATCH(LOWER(O6123),""k""),
VALUE(REGEXEXTRACT(O6123,""[0-9]+""))*1000,
VALUE(REGEXEXTRACT(O6123,""[0-9]+""))
),
0
)"),0.0)</f>
        <v>0</v>
      </c>
      <c r="E6123" s="1" t="s">
        <v>11</v>
      </c>
      <c r="F6123" s="1" t="s">
        <v>20</v>
      </c>
      <c r="G6123" s="4" t="b">
        <f t="shared" si="2"/>
        <v>1</v>
      </c>
      <c r="H6123" s="1" t="str">
        <f t="shared" si="3"/>
        <v>Currently Unavailable</v>
      </c>
      <c r="I6123" s="1" t="str">
        <f t="shared" si="4"/>
        <v>No Badges</v>
      </c>
      <c r="J6123" s="3">
        <f t="shared" si="5"/>
        <v>0</v>
      </c>
    </row>
    <row r="6124">
      <c r="A6124" s="1" t="s">
        <v>4601</v>
      </c>
      <c r="B6124" s="3" t="str">
        <f t="shared" si="1"/>
        <v>Unavailable</v>
      </c>
      <c r="C6124" s="5">
        <v>2617.0</v>
      </c>
      <c r="D6124" s="3">
        <f>IFERROR(__xludf.DUMMYFUNCTION("IFERROR(
IF(REGEXMATCH(LOWER(O6124),""k""),
VALUE(REGEXEXTRACT(O6124,""[0-9]+""))*1000,
VALUE(REGEXEXTRACT(O6124,""[0-9]+""))
),
0
)"),0.0)</f>
        <v>0</v>
      </c>
      <c r="E6124" s="1" t="s">
        <v>18</v>
      </c>
      <c r="F6124" s="1" t="s">
        <v>20</v>
      </c>
      <c r="G6124" s="4" t="b">
        <f t="shared" si="2"/>
        <v>1</v>
      </c>
      <c r="H6124" s="1" t="str">
        <f t="shared" si="3"/>
        <v>Currently Unavailable</v>
      </c>
      <c r="I6124" s="1" t="str">
        <f t="shared" si="4"/>
        <v>No Badges</v>
      </c>
      <c r="J6124" s="3">
        <f t="shared" si="5"/>
        <v>0</v>
      </c>
    </row>
    <row r="6125">
      <c r="A6125" s="1" t="s">
        <v>67</v>
      </c>
      <c r="B6125" s="3" t="str">
        <f t="shared" si="1"/>
        <v>Unavailable</v>
      </c>
      <c r="C6125" s="3">
        <v>264.0</v>
      </c>
      <c r="D6125" s="3">
        <f>IFERROR(__xludf.DUMMYFUNCTION("IFERROR(
IF(REGEXMATCH(LOWER(O6125),""k""),
VALUE(REGEXEXTRACT(O6125,""[0-9]+""))*1000,
VALUE(REGEXEXTRACT(O6125,""[0-9]+""))
),
0
)"),0.0)</f>
        <v>0</v>
      </c>
      <c r="E6125" s="1" t="s">
        <v>11</v>
      </c>
      <c r="F6125" s="1" t="s">
        <v>12</v>
      </c>
      <c r="G6125" s="4" t="b">
        <f t="shared" si="2"/>
        <v>1</v>
      </c>
      <c r="H6125" s="1" t="str">
        <f t="shared" si="3"/>
        <v>Currently Unavailable</v>
      </c>
      <c r="I6125" s="1" t="str">
        <f t="shared" si="4"/>
        <v>No Badges</v>
      </c>
      <c r="J6125" s="3">
        <f t="shared" si="5"/>
        <v>0</v>
      </c>
    </row>
    <row r="6126">
      <c r="A6126" s="1" t="s">
        <v>4602</v>
      </c>
      <c r="B6126" s="3" t="str">
        <f t="shared" si="1"/>
        <v>Unavailable</v>
      </c>
      <c r="C6126" s="3">
        <v>825.0</v>
      </c>
      <c r="D6126" s="3">
        <f>IFERROR(__xludf.DUMMYFUNCTION("IFERROR(
IF(REGEXMATCH(LOWER(O6126),""k""),
VALUE(REGEXEXTRACT(O6126,""[0-9]+""))*1000,
VALUE(REGEXEXTRACT(O6126,""[0-9]+""))
),
0
)"),0.0)</f>
        <v>0</v>
      </c>
      <c r="E6126" s="1" t="s">
        <v>11</v>
      </c>
      <c r="F6126" s="1" t="s">
        <v>20</v>
      </c>
      <c r="G6126" s="4" t="b">
        <f t="shared" si="2"/>
        <v>1</v>
      </c>
      <c r="H6126" s="1" t="str">
        <f t="shared" si="3"/>
        <v>Currently Unavailable</v>
      </c>
      <c r="I6126" s="1" t="str">
        <f t="shared" si="4"/>
        <v>No Badges</v>
      </c>
      <c r="J6126" s="3">
        <f t="shared" si="5"/>
        <v>0</v>
      </c>
    </row>
    <row r="6127">
      <c r="A6127" s="1" t="s">
        <v>701</v>
      </c>
      <c r="B6127" s="3" t="str">
        <f t="shared" si="1"/>
        <v>Unavailable</v>
      </c>
      <c r="C6127" s="3">
        <v>8.0</v>
      </c>
      <c r="D6127" s="3">
        <f>IFERROR(__xludf.DUMMYFUNCTION("IFERROR(
IF(REGEXMATCH(LOWER(O6127),""k""),
VALUE(REGEXEXTRACT(O6127,""[0-9]+""))*1000,
VALUE(REGEXEXTRACT(O6127,""[0-9]+""))
),
0
)"),0.0)</f>
        <v>0</v>
      </c>
      <c r="E6127" s="1" t="s">
        <v>11</v>
      </c>
      <c r="F6127" s="1" t="s">
        <v>12</v>
      </c>
      <c r="G6127" s="4" t="b">
        <f t="shared" si="2"/>
        <v>1</v>
      </c>
      <c r="H6127" s="1" t="str">
        <f t="shared" si="3"/>
        <v>Currently Unavailable</v>
      </c>
      <c r="I6127" s="1" t="str">
        <f t="shared" si="4"/>
        <v>No Badges</v>
      </c>
      <c r="J6127" s="3">
        <f t="shared" si="5"/>
        <v>0</v>
      </c>
    </row>
    <row r="6128">
      <c r="A6128" s="1" t="s">
        <v>4603</v>
      </c>
      <c r="B6128" s="3" t="str">
        <f t="shared" si="1"/>
        <v>Unavailable</v>
      </c>
      <c r="C6128" s="5">
        <v>19613.0</v>
      </c>
      <c r="D6128" s="3">
        <f>IFERROR(__xludf.DUMMYFUNCTION("IFERROR(
IF(REGEXMATCH(LOWER(O6128),""k""),
VALUE(REGEXEXTRACT(O6128,""[0-9]+""))*1000,
VALUE(REGEXEXTRACT(O6128,""[0-9]+""))
),
0
)"),0.0)</f>
        <v>0</v>
      </c>
      <c r="E6128" s="1" t="s">
        <v>1591</v>
      </c>
      <c r="F6128" s="1" t="s">
        <v>20</v>
      </c>
      <c r="G6128" s="4" t="b">
        <f t="shared" si="2"/>
        <v>1</v>
      </c>
      <c r="H6128" s="1" t="str">
        <f t="shared" si="3"/>
        <v>Currently Unavailable</v>
      </c>
      <c r="I6128" s="1" t="str">
        <f t="shared" si="4"/>
        <v>No Badges</v>
      </c>
      <c r="J6128" s="3">
        <f t="shared" si="5"/>
        <v>0</v>
      </c>
    </row>
    <row r="6129">
      <c r="A6129" s="1" t="s">
        <v>4604</v>
      </c>
      <c r="B6129" s="3" t="str">
        <f t="shared" si="1"/>
        <v>Unavailable</v>
      </c>
      <c r="C6129" s="5">
        <v>14045.0</v>
      </c>
      <c r="D6129" s="3">
        <f>IFERROR(__xludf.DUMMYFUNCTION("IFERROR(
IF(REGEXMATCH(LOWER(O6129),""k""),
VALUE(REGEXEXTRACT(O6129,""[0-9]+""))*1000,
VALUE(REGEXEXTRACT(O6129,""[0-9]+""))
),
0
)"),0.0)</f>
        <v>0</v>
      </c>
      <c r="E6129" s="1" t="s">
        <v>158</v>
      </c>
      <c r="F6129" s="1" t="s">
        <v>20</v>
      </c>
      <c r="G6129" s="4" t="b">
        <f t="shared" si="2"/>
        <v>1</v>
      </c>
      <c r="H6129" s="1" t="str">
        <f t="shared" si="3"/>
        <v>Currently Unavailable</v>
      </c>
      <c r="I6129" s="1" t="str">
        <f t="shared" si="4"/>
        <v>No Badges</v>
      </c>
      <c r="J6129" s="3">
        <f t="shared" si="5"/>
        <v>0</v>
      </c>
    </row>
    <row r="6130">
      <c r="A6130" s="1" t="s">
        <v>4605</v>
      </c>
      <c r="B6130" s="3" t="str">
        <f t="shared" si="1"/>
        <v>Unavailable</v>
      </c>
      <c r="C6130" s="3">
        <v>441.0</v>
      </c>
      <c r="D6130" s="3">
        <f>IFERROR(__xludf.DUMMYFUNCTION("IFERROR(
IF(REGEXMATCH(LOWER(O6130),""k""),
VALUE(REGEXEXTRACT(O6130,""[0-9]+""))*1000,
VALUE(REGEXEXTRACT(O6130,""[0-9]+""))
),
0
)"),0.0)</f>
        <v>0</v>
      </c>
      <c r="E6130" s="1" t="s">
        <v>11</v>
      </c>
      <c r="F6130" s="1" t="s">
        <v>20</v>
      </c>
      <c r="G6130" s="4" t="b">
        <f t="shared" si="2"/>
        <v>1</v>
      </c>
      <c r="H6130" s="1" t="str">
        <f t="shared" si="3"/>
        <v>Currently Unavailable</v>
      </c>
      <c r="I6130" s="1" t="str">
        <f t="shared" si="4"/>
        <v>No Badges</v>
      </c>
      <c r="J6130" s="3">
        <f t="shared" si="5"/>
        <v>0</v>
      </c>
    </row>
    <row r="6131">
      <c r="A6131" s="1" t="s">
        <v>4606</v>
      </c>
      <c r="B6131" s="3" t="str">
        <f t="shared" si="1"/>
        <v>Unavailable</v>
      </c>
      <c r="C6131" s="5">
        <v>9361.0</v>
      </c>
      <c r="D6131" s="3">
        <f>IFERROR(__xludf.DUMMYFUNCTION("IFERROR(
IF(REGEXMATCH(LOWER(O6131),""k""),
VALUE(REGEXEXTRACT(O6131,""[0-9]+""))*1000,
VALUE(REGEXEXTRACT(O6131,""[0-9]+""))
),
0
)"),0.0)</f>
        <v>0</v>
      </c>
      <c r="E6131" s="1" t="s">
        <v>11</v>
      </c>
      <c r="F6131" s="1" t="s">
        <v>20</v>
      </c>
      <c r="G6131" s="4" t="b">
        <f t="shared" si="2"/>
        <v>1</v>
      </c>
      <c r="H6131" s="1" t="str">
        <f t="shared" si="3"/>
        <v>Currently Unavailable</v>
      </c>
      <c r="I6131" s="1" t="str">
        <f t="shared" si="4"/>
        <v>No Badges</v>
      </c>
      <c r="J6131" s="3">
        <f t="shared" si="5"/>
        <v>0</v>
      </c>
    </row>
    <row r="6132">
      <c r="A6132" s="1" t="s">
        <v>4607</v>
      </c>
      <c r="B6132" s="3" t="str">
        <f t="shared" si="1"/>
        <v>Unavailable</v>
      </c>
      <c r="C6132" s="5">
        <v>1105.0</v>
      </c>
      <c r="D6132" s="3">
        <f>IFERROR(__xludf.DUMMYFUNCTION("IFERROR(
IF(REGEXMATCH(LOWER(O6132),""k""),
VALUE(REGEXEXTRACT(O6132,""[0-9]+""))*1000,
VALUE(REGEXEXTRACT(O6132,""[0-9]+""))
),
0
)"),0.0)</f>
        <v>0</v>
      </c>
      <c r="E6132" s="1" t="s">
        <v>11</v>
      </c>
      <c r="F6132" s="1" t="s">
        <v>20</v>
      </c>
      <c r="G6132" s="4" t="b">
        <f t="shared" si="2"/>
        <v>1</v>
      </c>
      <c r="H6132" s="1" t="str">
        <f t="shared" si="3"/>
        <v>Currently Unavailable</v>
      </c>
      <c r="I6132" s="1" t="str">
        <f t="shared" si="4"/>
        <v>No Badges</v>
      </c>
      <c r="J6132" s="3">
        <f t="shared" si="5"/>
        <v>0</v>
      </c>
    </row>
    <row r="6133">
      <c r="A6133" s="1" t="s">
        <v>4608</v>
      </c>
      <c r="B6133" s="3" t="str">
        <f t="shared" si="1"/>
        <v>Unavailable</v>
      </c>
      <c r="C6133" s="5">
        <v>12173.0</v>
      </c>
      <c r="D6133" s="3">
        <f>IFERROR(__xludf.DUMMYFUNCTION("IFERROR(
IF(REGEXMATCH(LOWER(O6133),""k""),
VALUE(REGEXEXTRACT(O6133,""[0-9]+""))*1000,
VALUE(REGEXEXTRACT(O6133,""[0-9]+""))
),
0
)"),0.0)</f>
        <v>0</v>
      </c>
      <c r="E6133" s="1" t="s">
        <v>11</v>
      </c>
      <c r="F6133" s="1" t="s">
        <v>20</v>
      </c>
      <c r="G6133" s="4" t="b">
        <f t="shared" si="2"/>
        <v>1</v>
      </c>
      <c r="H6133" s="1" t="str">
        <f t="shared" si="3"/>
        <v>Currently Unavailable</v>
      </c>
      <c r="I6133" s="1" t="str">
        <f t="shared" si="4"/>
        <v>No Badges</v>
      </c>
      <c r="J6133" s="3">
        <f t="shared" si="5"/>
        <v>0</v>
      </c>
    </row>
    <row r="6134">
      <c r="A6134" s="1" t="s">
        <v>4609</v>
      </c>
      <c r="B6134" s="3" t="str">
        <f t="shared" si="1"/>
        <v>Unavailable</v>
      </c>
      <c r="C6134" s="5">
        <v>1355.0</v>
      </c>
      <c r="D6134" s="3">
        <f>IFERROR(__xludf.DUMMYFUNCTION("IFERROR(
IF(REGEXMATCH(LOWER(O6134),""k""),
VALUE(REGEXEXTRACT(O6134,""[0-9]+""))*1000,
VALUE(REGEXEXTRACT(O6134,""[0-9]+""))
),
0
)"),0.0)</f>
        <v>0</v>
      </c>
      <c r="E6134" s="1" t="s">
        <v>11</v>
      </c>
      <c r="F6134" s="1" t="s">
        <v>20</v>
      </c>
      <c r="G6134" s="4" t="b">
        <f t="shared" si="2"/>
        <v>1</v>
      </c>
      <c r="H6134" s="1" t="str">
        <f t="shared" si="3"/>
        <v>Currently Unavailable</v>
      </c>
      <c r="I6134" s="1" t="str">
        <f t="shared" si="4"/>
        <v>No Badges</v>
      </c>
      <c r="J6134" s="3">
        <f t="shared" si="5"/>
        <v>0</v>
      </c>
    </row>
    <row r="6135">
      <c r="A6135" s="1" t="s">
        <v>4610</v>
      </c>
      <c r="B6135" s="3" t="str">
        <f t="shared" si="1"/>
        <v>Unavailable</v>
      </c>
      <c r="C6135" s="5">
        <v>17386.0</v>
      </c>
      <c r="D6135" s="3">
        <f>IFERROR(__xludf.DUMMYFUNCTION("IFERROR(
IF(REGEXMATCH(LOWER(O6135),""k""),
VALUE(REGEXEXTRACT(O6135,""[0-9]+""))*1000,
VALUE(REGEXEXTRACT(O6135,""[0-9]+""))
),
0
)"),0.0)</f>
        <v>0</v>
      </c>
      <c r="E6135" s="1" t="s">
        <v>11</v>
      </c>
      <c r="F6135" s="1" t="s">
        <v>20</v>
      </c>
      <c r="G6135" s="4" t="b">
        <f t="shared" si="2"/>
        <v>1</v>
      </c>
      <c r="H6135" s="1" t="str">
        <f t="shared" si="3"/>
        <v>Currently Unavailable</v>
      </c>
      <c r="I6135" s="1" t="str">
        <f t="shared" si="4"/>
        <v>No Badges</v>
      </c>
      <c r="J6135" s="3">
        <f t="shared" si="5"/>
        <v>0</v>
      </c>
    </row>
    <row r="6136">
      <c r="A6136" s="1" t="s">
        <v>4611</v>
      </c>
      <c r="B6136" s="3" t="str">
        <f t="shared" si="1"/>
        <v>Unavailable</v>
      </c>
      <c r="C6136" s="5">
        <v>12461.0</v>
      </c>
      <c r="D6136" s="3">
        <f>IFERROR(__xludf.DUMMYFUNCTION("IFERROR(
IF(REGEXMATCH(LOWER(O6136),""k""),
VALUE(REGEXEXTRACT(O6136,""[0-9]+""))*1000,
VALUE(REGEXEXTRACT(O6136,""[0-9]+""))
),
0
)"),0.0)</f>
        <v>0</v>
      </c>
      <c r="E6136" s="1" t="s">
        <v>11</v>
      </c>
      <c r="F6136" s="1" t="s">
        <v>20</v>
      </c>
      <c r="G6136" s="4" t="b">
        <f t="shared" si="2"/>
        <v>1</v>
      </c>
      <c r="H6136" s="1" t="str">
        <f t="shared" si="3"/>
        <v>Currently Unavailable</v>
      </c>
      <c r="I6136" s="1" t="str">
        <f t="shared" si="4"/>
        <v>No Badges</v>
      </c>
      <c r="J6136" s="3">
        <f t="shared" si="5"/>
        <v>0</v>
      </c>
    </row>
    <row r="6137">
      <c r="A6137" s="1" t="s">
        <v>4612</v>
      </c>
      <c r="B6137" s="3" t="str">
        <f t="shared" si="1"/>
        <v>Unavailable</v>
      </c>
      <c r="C6137" s="5">
        <v>2989.0</v>
      </c>
      <c r="D6137" s="3">
        <f>IFERROR(__xludf.DUMMYFUNCTION("IFERROR(
IF(REGEXMATCH(LOWER(O6137),""k""),
VALUE(REGEXEXTRACT(O6137,""[0-9]+""))*1000,
VALUE(REGEXEXTRACT(O6137,""[0-9]+""))
),
0
)"),0.0)</f>
        <v>0</v>
      </c>
      <c r="E6137" s="1" t="s">
        <v>11</v>
      </c>
      <c r="F6137" s="1" t="s">
        <v>20</v>
      </c>
      <c r="G6137" s="4" t="b">
        <f t="shared" si="2"/>
        <v>1</v>
      </c>
      <c r="H6137" s="1" t="str">
        <f t="shared" si="3"/>
        <v>Currently Unavailable</v>
      </c>
      <c r="I6137" s="1" t="str">
        <f t="shared" si="4"/>
        <v>No Badges</v>
      </c>
      <c r="J6137" s="3">
        <f t="shared" si="5"/>
        <v>0</v>
      </c>
    </row>
    <row r="6138">
      <c r="A6138" s="1" t="s">
        <v>4613</v>
      </c>
      <c r="B6138" s="3" t="str">
        <f t="shared" si="1"/>
        <v>Unavailable</v>
      </c>
      <c r="C6138" s="5">
        <v>2155.0</v>
      </c>
      <c r="D6138" s="3">
        <f>IFERROR(__xludf.DUMMYFUNCTION("IFERROR(
IF(REGEXMATCH(LOWER(O6138),""k""),
VALUE(REGEXEXTRACT(O6138,""[0-9]+""))*1000,
VALUE(REGEXEXTRACT(O6138,""[0-9]+""))
),
0
)"),0.0)</f>
        <v>0</v>
      </c>
      <c r="E6138" s="1" t="s">
        <v>11</v>
      </c>
      <c r="F6138" s="1" t="s">
        <v>20</v>
      </c>
      <c r="G6138" s="4" t="b">
        <f t="shared" si="2"/>
        <v>1</v>
      </c>
      <c r="H6138" s="1" t="str">
        <f t="shared" si="3"/>
        <v>Currently Unavailable</v>
      </c>
      <c r="I6138" s="1" t="str">
        <f t="shared" si="4"/>
        <v>No Badges</v>
      </c>
      <c r="J6138" s="3">
        <f t="shared" si="5"/>
        <v>0</v>
      </c>
    </row>
    <row r="6139">
      <c r="A6139" s="1" t="s">
        <v>4614</v>
      </c>
      <c r="B6139" s="3" t="str">
        <f t="shared" si="1"/>
        <v>Unavailable</v>
      </c>
      <c r="C6139" s="5">
        <v>201087.0</v>
      </c>
      <c r="D6139" s="3">
        <f>IFERROR(__xludf.DUMMYFUNCTION("IFERROR(
IF(REGEXMATCH(LOWER(O6139),""k""),
VALUE(REGEXEXTRACT(O6139,""[0-9]+""))*1000,
VALUE(REGEXEXTRACT(O6139,""[0-9]+""))
),
0
)"),0.0)</f>
        <v>0</v>
      </c>
      <c r="E6139" s="1" t="s">
        <v>11</v>
      </c>
      <c r="F6139" s="1" t="s">
        <v>20</v>
      </c>
      <c r="G6139" s="4" t="b">
        <f t="shared" si="2"/>
        <v>1</v>
      </c>
      <c r="H6139" s="1" t="str">
        <f t="shared" si="3"/>
        <v>Currently Unavailable</v>
      </c>
      <c r="I6139" s="1" t="str">
        <f t="shared" si="4"/>
        <v>No Badges</v>
      </c>
      <c r="J6139" s="3">
        <f t="shared" si="5"/>
        <v>0</v>
      </c>
    </row>
    <row r="6140">
      <c r="A6140" s="1" t="s">
        <v>4615</v>
      </c>
      <c r="B6140" s="3" t="str">
        <f t="shared" si="1"/>
        <v>Unavailable</v>
      </c>
      <c r="C6140" s="5">
        <v>7907.0</v>
      </c>
      <c r="D6140" s="3">
        <f>IFERROR(__xludf.DUMMYFUNCTION("IFERROR(
IF(REGEXMATCH(LOWER(O6140),""k""),
VALUE(REGEXEXTRACT(O6140,""[0-9]+""))*1000,
VALUE(REGEXEXTRACT(O6140,""[0-9]+""))
),
0
)"),0.0)</f>
        <v>0</v>
      </c>
      <c r="E6140" s="1" t="s">
        <v>11</v>
      </c>
      <c r="F6140" s="1" t="s">
        <v>20</v>
      </c>
      <c r="G6140" s="4" t="b">
        <f t="shared" si="2"/>
        <v>1</v>
      </c>
      <c r="H6140" s="1" t="str">
        <f t="shared" si="3"/>
        <v>Currently Unavailable</v>
      </c>
      <c r="I6140" s="1" t="str">
        <f t="shared" si="4"/>
        <v>No Badges</v>
      </c>
      <c r="J6140" s="3">
        <f t="shared" si="5"/>
        <v>0</v>
      </c>
    </row>
    <row r="6141">
      <c r="A6141" s="1" t="s">
        <v>4616</v>
      </c>
      <c r="B6141" s="3" t="str">
        <f t="shared" si="1"/>
        <v>Unavailable</v>
      </c>
      <c r="C6141" s="5">
        <v>6614.0</v>
      </c>
      <c r="D6141" s="3">
        <f>IFERROR(__xludf.DUMMYFUNCTION("IFERROR(
IF(REGEXMATCH(LOWER(O6141),""k""),
VALUE(REGEXEXTRACT(O6141,""[0-9]+""))*1000,
VALUE(REGEXEXTRACT(O6141,""[0-9]+""))
),
0
)"),0.0)</f>
        <v>0</v>
      </c>
      <c r="E6141" s="1" t="s">
        <v>11</v>
      </c>
      <c r="F6141" s="1" t="s">
        <v>20</v>
      </c>
      <c r="G6141" s="4" t="b">
        <f t="shared" si="2"/>
        <v>1</v>
      </c>
      <c r="H6141" s="1" t="str">
        <f t="shared" si="3"/>
        <v>Currently Unavailable</v>
      </c>
      <c r="I6141" s="1" t="str">
        <f t="shared" si="4"/>
        <v>No Badges</v>
      </c>
      <c r="J6141" s="3">
        <f t="shared" si="5"/>
        <v>0</v>
      </c>
    </row>
    <row r="6142">
      <c r="A6142" s="1" t="s">
        <v>40</v>
      </c>
      <c r="B6142" s="3" t="str">
        <f t="shared" si="1"/>
        <v>Unavailable</v>
      </c>
      <c r="C6142" s="3">
        <v>171.0</v>
      </c>
      <c r="D6142" s="3">
        <f>IFERROR(__xludf.DUMMYFUNCTION("IFERROR(
IF(REGEXMATCH(LOWER(O6142),""k""),
VALUE(REGEXEXTRACT(O6142,""[0-9]+""))*1000,
VALUE(REGEXEXTRACT(O6142,""[0-9]+""))
),
0
)"),0.0)</f>
        <v>0</v>
      </c>
      <c r="E6142" s="1" t="s">
        <v>11</v>
      </c>
      <c r="F6142" s="1" t="s">
        <v>12</v>
      </c>
      <c r="G6142" s="4" t="b">
        <f t="shared" si="2"/>
        <v>1</v>
      </c>
      <c r="H6142" s="1" t="str">
        <f t="shared" si="3"/>
        <v>Currently Unavailable</v>
      </c>
      <c r="I6142" s="1" t="str">
        <f t="shared" si="4"/>
        <v>No Badges</v>
      </c>
      <c r="J6142" s="3">
        <f t="shared" si="5"/>
        <v>0</v>
      </c>
    </row>
    <row r="6143">
      <c r="A6143" s="1" t="s">
        <v>4617</v>
      </c>
      <c r="B6143" s="3" t="str">
        <f t="shared" si="1"/>
        <v>Unavailable</v>
      </c>
      <c r="C6143" s="5">
        <v>6275.0</v>
      </c>
      <c r="D6143" s="3">
        <f>IFERROR(__xludf.DUMMYFUNCTION("IFERROR(
IF(REGEXMATCH(LOWER(O6143),""k""),
VALUE(REGEXEXTRACT(O6143,""[0-9]+""))*1000,
VALUE(REGEXEXTRACT(O6143,""[0-9]+""))
),
0
)"),0.0)</f>
        <v>0</v>
      </c>
      <c r="E6143" s="1" t="s">
        <v>11</v>
      </c>
      <c r="F6143" s="1" t="s">
        <v>20</v>
      </c>
      <c r="G6143" s="4" t="b">
        <f t="shared" si="2"/>
        <v>1</v>
      </c>
      <c r="H6143" s="1" t="str">
        <f t="shared" si="3"/>
        <v>Currently Unavailable</v>
      </c>
      <c r="I6143" s="1" t="str">
        <f t="shared" si="4"/>
        <v>No Badges</v>
      </c>
      <c r="J6143" s="3">
        <f t="shared" si="5"/>
        <v>0</v>
      </c>
    </row>
    <row r="6144">
      <c r="A6144" s="1" t="s">
        <v>4618</v>
      </c>
      <c r="B6144" s="3" t="str">
        <f t="shared" si="1"/>
        <v>Unavailable</v>
      </c>
      <c r="C6144" s="5">
        <v>38038.0</v>
      </c>
      <c r="D6144" s="3">
        <f>IFERROR(__xludf.DUMMYFUNCTION("IFERROR(
IF(REGEXMATCH(LOWER(O6144),""k""),
VALUE(REGEXEXTRACT(O6144,""[0-9]+""))*1000,
VALUE(REGEXEXTRACT(O6144,""[0-9]+""))
),
0
)"),0.0)</f>
        <v>0</v>
      </c>
      <c r="E6144" s="1" t="s">
        <v>11</v>
      </c>
      <c r="F6144" s="1" t="s">
        <v>20</v>
      </c>
      <c r="G6144" s="4" t="b">
        <f t="shared" si="2"/>
        <v>1</v>
      </c>
      <c r="H6144" s="1" t="str">
        <f t="shared" si="3"/>
        <v>Currently Unavailable</v>
      </c>
      <c r="I6144" s="1" t="str">
        <f t="shared" si="4"/>
        <v>No Badges</v>
      </c>
      <c r="J6144" s="3">
        <f t="shared" si="5"/>
        <v>0</v>
      </c>
    </row>
    <row r="6145">
      <c r="A6145" s="1" t="s">
        <v>69</v>
      </c>
      <c r="B6145" s="3" t="str">
        <f t="shared" si="1"/>
        <v>Unavailable</v>
      </c>
      <c r="C6145" s="3">
        <v>45.0</v>
      </c>
      <c r="D6145" s="3">
        <f>IFERROR(__xludf.DUMMYFUNCTION("IFERROR(
IF(REGEXMATCH(LOWER(O6145),""k""),
VALUE(REGEXEXTRACT(O6145,""[0-9]+""))*1000,
VALUE(REGEXEXTRACT(O6145,""[0-9]+""))
),
0
)"),0.0)</f>
        <v>0</v>
      </c>
      <c r="E6145" s="1" t="s">
        <v>11</v>
      </c>
      <c r="F6145" s="1" t="s">
        <v>12</v>
      </c>
      <c r="G6145" s="4" t="b">
        <f t="shared" si="2"/>
        <v>1</v>
      </c>
      <c r="H6145" s="1" t="str">
        <f t="shared" si="3"/>
        <v>Currently Unavailable</v>
      </c>
      <c r="I6145" s="1" t="str">
        <f t="shared" si="4"/>
        <v>No Badges</v>
      </c>
      <c r="J6145" s="3">
        <f t="shared" si="5"/>
        <v>0</v>
      </c>
    </row>
    <row r="6146">
      <c r="A6146" s="1" t="s">
        <v>4619</v>
      </c>
      <c r="B6146" s="3" t="str">
        <f t="shared" si="1"/>
        <v>Unavailable</v>
      </c>
      <c r="C6146" s="5">
        <v>12540.0</v>
      </c>
      <c r="D6146" s="3">
        <f>IFERROR(__xludf.DUMMYFUNCTION("IFERROR(
IF(REGEXMATCH(LOWER(O6146),""k""),
VALUE(REGEXEXTRACT(O6146,""[0-9]+""))*1000,
VALUE(REGEXEXTRACT(O6146,""[0-9]+""))
),
0
)"),0.0)</f>
        <v>0</v>
      </c>
      <c r="E6146" s="1" t="s">
        <v>11</v>
      </c>
      <c r="F6146" s="1" t="s">
        <v>20</v>
      </c>
      <c r="G6146" s="4" t="b">
        <f t="shared" si="2"/>
        <v>1</v>
      </c>
      <c r="H6146" s="1" t="str">
        <f t="shared" si="3"/>
        <v>Currently Unavailable</v>
      </c>
      <c r="I6146" s="1" t="str">
        <f t="shared" si="4"/>
        <v>No Badges</v>
      </c>
      <c r="J6146" s="3">
        <f t="shared" si="5"/>
        <v>0</v>
      </c>
    </row>
    <row r="6147">
      <c r="A6147" s="1" t="s">
        <v>4620</v>
      </c>
      <c r="B6147" s="3" t="str">
        <f t="shared" si="1"/>
        <v>Unavailable</v>
      </c>
      <c r="C6147" s="5">
        <v>10528.0</v>
      </c>
      <c r="D6147" s="3">
        <f>IFERROR(__xludf.DUMMYFUNCTION("IFERROR(
IF(REGEXMATCH(LOWER(O6147),""k""),
VALUE(REGEXEXTRACT(O6147,""[0-9]+""))*1000,
VALUE(REGEXEXTRACT(O6147,""[0-9]+""))
),
0
)"),0.0)</f>
        <v>0</v>
      </c>
      <c r="E6147" s="1" t="s">
        <v>11</v>
      </c>
      <c r="F6147" s="1" t="s">
        <v>20</v>
      </c>
      <c r="G6147" s="4" t="b">
        <f t="shared" si="2"/>
        <v>1</v>
      </c>
      <c r="H6147" s="1" t="str">
        <f t="shared" si="3"/>
        <v>Currently Unavailable</v>
      </c>
      <c r="I6147" s="1" t="str">
        <f t="shared" si="4"/>
        <v>No Badges</v>
      </c>
      <c r="J6147" s="3">
        <f t="shared" si="5"/>
        <v>0</v>
      </c>
    </row>
    <row r="6148">
      <c r="A6148" s="1" t="s">
        <v>4621</v>
      </c>
      <c r="B6148" s="3" t="str">
        <f t="shared" si="1"/>
        <v>Unavailable</v>
      </c>
      <c r="C6148" s="5">
        <v>6435.0</v>
      </c>
      <c r="D6148" s="3">
        <f>IFERROR(__xludf.DUMMYFUNCTION("IFERROR(
IF(REGEXMATCH(LOWER(O6148),""k""),
VALUE(REGEXEXTRACT(O6148,""[0-9]+""))*1000,
VALUE(REGEXEXTRACT(O6148,""[0-9]+""))
),
0
)"),0.0)</f>
        <v>0</v>
      </c>
      <c r="E6148" s="1" t="s">
        <v>11</v>
      </c>
      <c r="F6148" s="1" t="s">
        <v>20</v>
      </c>
      <c r="G6148" s="4" t="b">
        <f t="shared" si="2"/>
        <v>1</v>
      </c>
      <c r="H6148" s="1" t="str">
        <f t="shared" si="3"/>
        <v>Currently Unavailable</v>
      </c>
      <c r="I6148" s="1" t="str">
        <f t="shared" si="4"/>
        <v>No Badges</v>
      </c>
      <c r="J6148" s="3">
        <f t="shared" si="5"/>
        <v>0</v>
      </c>
    </row>
    <row r="6149">
      <c r="A6149" s="1" t="s">
        <v>4622</v>
      </c>
      <c r="B6149" s="3" t="str">
        <f t="shared" si="1"/>
        <v>Unavailable</v>
      </c>
      <c r="C6149" s="5">
        <v>19050.0</v>
      </c>
      <c r="D6149" s="3">
        <f>IFERROR(__xludf.DUMMYFUNCTION("IFERROR(
IF(REGEXMATCH(LOWER(O6149),""k""),
VALUE(REGEXEXTRACT(O6149,""[0-9]+""))*1000,
VALUE(REGEXEXTRACT(O6149,""[0-9]+""))
),
0
)"),0.0)</f>
        <v>0</v>
      </c>
      <c r="E6149" s="1" t="s">
        <v>11</v>
      </c>
      <c r="F6149" s="1" t="s">
        <v>20</v>
      </c>
      <c r="G6149" s="4" t="b">
        <f t="shared" si="2"/>
        <v>1</v>
      </c>
      <c r="H6149" s="1" t="str">
        <f t="shared" si="3"/>
        <v>Currently Unavailable</v>
      </c>
      <c r="I6149" s="1" t="str">
        <f t="shared" si="4"/>
        <v>No Badges</v>
      </c>
      <c r="J6149" s="3">
        <f t="shared" si="5"/>
        <v>0</v>
      </c>
    </row>
    <row r="6150">
      <c r="A6150" s="1" t="s">
        <v>4623</v>
      </c>
      <c r="B6150" s="3" t="str">
        <f t="shared" si="1"/>
        <v>Unavailable</v>
      </c>
      <c r="C6150" s="5">
        <v>12968.0</v>
      </c>
      <c r="D6150" s="3">
        <f>IFERROR(__xludf.DUMMYFUNCTION("IFERROR(
IF(REGEXMATCH(LOWER(O6150),""k""),
VALUE(REGEXEXTRACT(O6150,""[0-9]+""))*1000,
VALUE(REGEXEXTRACT(O6150,""[0-9]+""))
),
0
)"),0.0)</f>
        <v>0</v>
      </c>
      <c r="E6150" s="1" t="s">
        <v>11</v>
      </c>
      <c r="F6150" s="1" t="s">
        <v>20</v>
      </c>
      <c r="G6150" s="4" t="b">
        <f t="shared" si="2"/>
        <v>1</v>
      </c>
      <c r="H6150" s="1" t="str">
        <f t="shared" si="3"/>
        <v>Currently Unavailable</v>
      </c>
      <c r="I6150" s="1" t="str">
        <f t="shared" si="4"/>
        <v>No Badges</v>
      </c>
      <c r="J6150" s="3">
        <f t="shared" si="5"/>
        <v>0</v>
      </c>
    </row>
    <row r="6151">
      <c r="A6151" s="1" t="s">
        <v>4624</v>
      </c>
      <c r="B6151" s="3" t="str">
        <f t="shared" si="1"/>
        <v>Unavailable</v>
      </c>
      <c r="C6151" s="3">
        <v>525.0</v>
      </c>
      <c r="D6151" s="3">
        <f>IFERROR(__xludf.DUMMYFUNCTION("IFERROR(
IF(REGEXMATCH(LOWER(O6151),""k""),
VALUE(REGEXEXTRACT(O6151,""[0-9]+""))*1000,
VALUE(REGEXEXTRACT(O6151,""[0-9]+""))
),
0
)"),0.0)</f>
        <v>0</v>
      </c>
      <c r="E6151" s="1" t="s">
        <v>11</v>
      </c>
      <c r="F6151" s="1" t="s">
        <v>20</v>
      </c>
      <c r="G6151" s="4" t="b">
        <f t="shared" si="2"/>
        <v>1</v>
      </c>
      <c r="H6151" s="1" t="str">
        <f t="shared" si="3"/>
        <v>Currently Unavailable</v>
      </c>
      <c r="I6151" s="1" t="str">
        <f t="shared" si="4"/>
        <v>No Badges</v>
      </c>
      <c r="J6151" s="3">
        <f t="shared" si="5"/>
        <v>0</v>
      </c>
    </row>
    <row r="6152">
      <c r="A6152" s="1" t="s">
        <v>4625</v>
      </c>
      <c r="B6152" s="3" t="str">
        <f t="shared" si="1"/>
        <v>Unavailable</v>
      </c>
      <c r="C6152" s="5">
        <v>15274.0</v>
      </c>
      <c r="D6152" s="3">
        <f>IFERROR(__xludf.DUMMYFUNCTION("IFERROR(
IF(REGEXMATCH(LOWER(O6152),""k""),
VALUE(REGEXEXTRACT(O6152,""[0-9]+""))*1000,
VALUE(REGEXEXTRACT(O6152,""[0-9]+""))
),
0
)"),0.0)</f>
        <v>0</v>
      </c>
      <c r="E6152" s="1" t="s">
        <v>11</v>
      </c>
      <c r="F6152" s="1" t="s">
        <v>20</v>
      </c>
      <c r="G6152" s="4" t="b">
        <f t="shared" si="2"/>
        <v>1</v>
      </c>
      <c r="H6152" s="1" t="str">
        <f t="shared" si="3"/>
        <v>Currently Unavailable</v>
      </c>
      <c r="I6152" s="1" t="str">
        <f t="shared" si="4"/>
        <v>No Badges</v>
      </c>
      <c r="J6152" s="3">
        <f t="shared" si="5"/>
        <v>0</v>
      </c>
    </row>
    <row r="6153">
      <c r="A6153" s="1" t="s">
        <v>4626</v>
      </c>
      <c r="B6153" s="3" t="str">
        <f t="shared" si="1"/>
        <v>Unavailable</v>
      </c>
      <c r="C6153" s="5">
        <v>8414.0</v>
      </c>
      <c r="D6153" s="3">
        <f>IFERROR(__xludf.DUMMYFUNCTION("IFERROR(
IF(REGEXMATCH(LOWER(O6153),""k""),
VALUE(REGEXEXTRACT(O6153,""[0-9]+""))*1000,
VALUE(REGEXEXTRACT(O6153,""[0-9]+""))
),
0
)"),0.0)</f>
        <v>0</v>
      </c>
      <c r="E6153" s="1" t="s">
        <v>11</v>
      </c>
      <c r="F6153" s="1" t="s">
        <v>20</v>
      </c>
      <c r="G6153" s="4" t="b">
        <f t="shared" si="2"/>
        <v>1</v>
      </c>
      <c r="H6153" s="1" t="str">
        <f t="shared" si="3"/>
        <v>Currently Unavailable</v>
      </c>
      <c r="I6153" s="1" t="str">
        <f t="shared" si="4"/>
        <v>No Badges</v>
      </c>
      <c r="J6153" s="3">
        <f t="shared" si="5"/>
        <v>0</v>
      </c>
    </row>
    <row r="6154">
      <c r="A6154" s="1" t="s">
        <v>4627</v>
      </c>
      <c r="B6154" s="3" t="str">
        <f t="shared" si="1"/>
        <v>Unavailable</v>
      </c>
      <c r="C6154" s="5">
        <v>14023.0</v>
      </c>
      <c r="D6154" s="3">
        <f>IFERROR(__xludf.DUMMYFUNCTION("IFERROR(
IF(REGEXMATCH(LOWER(O6154),""k""),
VALUE(REGEXEXTRACT(O6154,""[0-9]+""))*1000,
VALUE(REGEXEXTRACT(O6154,""[0-9]+""))
),
0
)"),0.0)</f>
        <v>0</v>
      </c>
      <c r="E6154" s="1" t="s">
        <v>11</v>
      </c>
      <c r="F6154" s="1" t="s">
        <v>20</v>
      </c>
      <c r="G6154" s="4" t="b">
        <f t="shared" si="2"/>
        <v>1</v>
      </c>
      <c r="H6154" s="1" t="str">
        <f t="shared" si="3"/>
        <v>Currently Unavailable</v>
      </c>
      <c r="I6154" s="1" t="str">
        <f t="shared" si="4"/>
        <v>No Badges</v>
      </c>
      <c r="J6154" s="3">
        <f t="shared" si="5"/>
        <v>0</v>
      </c>
    </row>
    <row r="6155">
      <c r="A6155" s="1" t="s">
        <v>4628</v>
      </c>
      <c r="B6155" s="3" t="str">
        <f t="shared" si="1"/>
        <v>Unavailable</v>
      </c>
      <c r="C6155" s="5">
        <v>16594.0</v>
      </c>
      <c r="D6155" s="3">
        <f>IFERROR(__xludf.DUMMYFUNCTION("IFERROR(
IF(REGEXMATCH(LOWER(O6155),""k""),
VALUE(REGEXEXTRACT(O6155,""[0-9]+""))*1000,
VALUE(REGEXEXTRACT(O6155,""[0-9]+""))
),
0
)"),0.0)</f>
        <v>0</v>
      </c>
      <c r="E6155" s="1" t="s">
        <v>11</v>
      </c>
      <c r="F6155" s="1" t="s">
        <v>20</v>
      </c>
      <c r="G6155" s="4" t="b">
        <f t="shared" si="2"/>
        <v>1</v>
      </c>
      <c r="H6155" s="1" t="str">
        <f t="shared" si="3"/>
        <v>Currently Unavailable</v>
      </c>
      <c r="I6155" s="1" t="str">
        <f t="shared" si="4"/>
        <v>No Badges</v>
      </c>
      <c r="J6155" s="3">
        <f t="shared" si="5"/>
        <v>0</v>
      </c>
    </row>
    <row r="6156">
      <c r="A6156" s="1" t="s">
        <v>4629</v>
      </c>
      <c r="B6156" s="3" t="str">
        <f t="shared" si="1"/>
        <v>Unavailable</v>
      </c>
      <c r="C6156" s="5">
        <v>1956.0</v>
      </c>
      <c r="D6156" s="3">
        <f>IFERROR(__xludf.DUMMYFUNCTION("IFERROR(
IF(REGEXMATCH(LOWER(O6156),""k""),
VALUE(REGEXEXTRACT(O6156,""[0-9]+""))*1000,
VALUE(REGEXEXTRACT(O6156,""[0-9]+""))
),
0
)"),0.0)</f>
        <v>0</v>
      </c>
      <c r="E6156" s="1" t="s">
        <v>11</v>
      </c>
      <c r="F6156" s="1" t="s">
        <v>20</v>
      </c>
      <c r="G6156" s="4" t="b">
        <f t="shared" si="2"/>
        <v>1</v>
      </c>
      <c r="H6156" s="1" t="str">
        <f t="shared" si="3"/>
        <v>Currently Unavailable</v>
      </c>
      <c r="I6156" s="1" t="str">
        <f t="shared" si="4"/>
        <v>No Badges</v>
      </c>
      <c r="J6156" s="3">
        <f t="shared" si="5"/>
        <v>0</v>
      </c>
    </row>
    <row r="6157">
      <c r="A6157" s="1" t="s">
        <v>4630</v>
      </c>
      <c r="B6157" s="3" t="str">
        <f t="shared" si="1"/>
        <v>Unavailable</v>
      </c>
      <c r="C6157" s="5">
        <v>20705.0</v>
      </c>
      <c r="D6157" s="3">
        <f>IFERROR(__xludf.DUMMYFUNCTION("IFERROR(
IF(REGEXMATCH(LOWER(O6157),""k""),
VALUE(REGEXEXTRACT(O6157,""[0-9]+""))*1000,
VALUE(REGEXEXTRACT(O6157,""[0-9]+""))
),
0
)"),0.0)</f>
        <v>0</v>
      </c>
      <c r="E6157" s="1" t="s">
        <v>11</v>
      </c>
      <c r="F6157" s="1" t="s">
        <v>20</v>
      </c>
      <c r="G6157" s="4" t="b">
        <f t="shared" si="2"/>
        <v>1</v>
      </c>
      <c r="H6157" s="1" t="str">
        <f t="shared" si="3"/>
        <v>Currently Unavailable</v>
      </c>
      <c r="I6157" s="1" t="str">
        <f t="shared" si="4"/>
        <v>No Badges</v>
      </c>
      <c r="J6157" s="3">
        <f t="shared" si="5"/>
        <v>0</v>
      </c>
    </row>
    <row r="6158">
      <c r="A6158" s="1" t="s">
        <v>67</v>
      </c>
      <c r="B6158" s="3" t="str">
        <f t="shared" si="1"/>
        <v>Unavailable</v>
      </c>
      <c r="C6158" s="3">
        <v>264.0</v>
      </c>
      <c r="D6158" s="3">
        <f>IFERROR(__xludf.DUMMYFUNCTION("IFERROR(
IF(REGEXMATCH(LOWER(O6158),""k""),
VALUE(REGEXEXTRACT(O6158,""[0-9]+""))*1000,
VALUE(REGEXEXTRACT(O6158,""[0-9]+""))
),
0
)"),0.0)</f>
        <v>0</v>
      </c>
      <c r="E6158" s="1" t="s">
        <v>11</v>
      </c>
      <c r="F6158" s="1" t="s">
        <v>12</v>
      </c>
      <c r="G6158" s="4" t="b">
        <f t="shared" si="2"/>
        <v>1</v>
      </c>
      <c r="H6158" s="1" t="str">
        <f t="shared" si="3"/>
        <v>Currently Unavailable</v>
      </c>
      <c r="I6158" s="1" t="str">
        <f t="shared" si="4"/>
        <v>No Badges</v>
      </c>
      <c r="J6158" s="3">
        <f t="shared" si="5"/>
        <v>0</v>
      </c>
    </row>
    <row r="6159">
      <c r="A6159" s="1" t="s">
        <v>4631</v>
      </c>
      <c r="B6159" s="3" t="str">
        <f t="shared" si="1"/>
        <v>Unavailable</v>
      </c>
      <c r="C6159" s="3">
        <v>143.0</v>
      </c>
      <c r="D6159" s="3">
        <f>IFERROR(__xludf.DUMMYFUNCTION("IFERROR(
IF(REGEXMATCH(LOWER(O6159),""k""),
VALUE(REGEXEXTRACT(O6159,""[0-9]+""))*1000,
VALUE(REGEXEXTRACT(O6159,""[0-9]+""))
),
0
)"),0.0)</f>
        <v>0</v>
      </c>
      <c r="E6159" s="1" t="s">
        <v>11</v>
      </c>
      <c r="F6159" s="1" t="s">
        <v>20</v>
      </c>
      <c r="G6159" s="4" t="b">
        <f t="shared" si="2"/>
        <v>1</v>
      </c>
      <c r="H6159" s="1" t="str">
        <f t="shared" si="3"/>
        <v>Currently Unavailable</v>
      </c>
      <c r="I6159" s="1" t="str">
        <f t="shared" si="4"/>
        <v>No Badges</v>
      </c>
      <c r="J6159" s="3">
        <f t="shared" si="5"/>
        <v>0</v>
      </c>
    </row>
    <row r="6160">
      <c r="A6160" s="1" t="s">
        <v>701</v>
      </c>
      <c r="B6160" s="3" t="str">
        <f t="shared" si="1"/>
        <v>Unavailable</v>
      </c>
      <c r="C6160" s="3">
        <v>8.0</v>
      </c>
      <c r="D6160" s="3">
        <f>IFERROR(__xludf.DUMMYFUNCTION("IFERROR(
IF(REGEXMATCH(LOWER(O6160),""k""),
VALUE(REGEXEXTRACT(O6160,""[0-9]+""))*1000,
VALUE(REGEXEXTRACT(O6160,""[0-9]+""))
),
0
)"),0.0)</f>
        <v>0</v>
      </c>
      <c r="E6160" s="1" t="s">
        <v>11</v>
      </c>
      <c r="F6160" s="1" t="s">
        <v>12</v>
      </c>
      <c r="G6160" s="4" t="b">
        <f t="shared" si="2"/>
        <v>1</v>
      </c>
      <c r="H6160" s="1" t="str">
        <f t="shared" si="3"/>
        <v>Currently Unavailable</v>
      </c>
      <c r="I6160" s="1" t="str">
        <f t="shared" si="4"/>
        <v>No Badges</v>
      </c>
      <c r="J6160" s="3">
        <f t="shared" si="5"/>
        <v>0</v>
      </c>
    </row>
    <row r="6161">
      <c r="A6161" s="1" t="s">
        <v>4632</v>
      </c>
      <c r="B6161" s="3" t="str">
        <f t="shared" si="1"/>
        <v>Unavailable</v>
      </c>
      <c r="C6161" s="5">
        <v>9115.0</v>
      </c>
      <c r="D6161" s="3">
        <f>IFERROR(__xludf.DUMMYFUNCTION("IFERROR(
IF(REGEXMATCH(LOWER(O6161),""k""),
VALUE(REGEXEXTRACT(O6161,""[0-9]+""))*1000,
VALUE(REGEXEXTRACT(O6161,""[0-9]+""))
),
0
)"),0.0)</f>
        <v>0</v>
      </c>
      <c r="E6161" s="1" t="s">
        <v>11</v>
      </c>
      <c r="F6161" s="1" t="s">
        <v>20</v>
      </c>
      <c r="G6161" s="4" t="b">
        <f t="shared" si="2"/>
        <v>1</v>
      </c>
      <c r="H6161" s="1" t="str">
        <f t="shared" si="3"/>
        <v>Currently Unavailable</v>
      </c>
      <c r="I6161" s="1" t="str">
        <f t="shared" si="4"/>
        <v>No Badges</v>
      </c>
      <c r="J6161" s="3">
        <f t="shared" si="5"/>
        <v>0</v>
      </c>
    </row>
    <row r="6162">
      <c r="A6162" s="1" t="s">
        <v>4633</v>
      </c>
      <c r="B6162" s="3" t="str">
        <f t="shared" si="1"/>
        <v>Unavailable</v>
      </c>
      <c r="C6162" s="5">
        <v>8614.0</v>
      </c>
      <c r="D6162" s="3">
        <f>IFERROR(__xludf.DUMMYFUNCTION("IFERROR(
IF(REGEXMATCH(LOWER(O6162),""k""),
VALUE(REGEXEXTRACT(O6162,""[0-9]+""))*1000,
VALUE(REGEXEXTRACT(O6162,""[0-9]+""))
),
0
)"),0.0)</f>
        <v>0</v>
      </c>
      <c r="E6162" s="1" t="s">
        <v>11</v>
      </c>
      <c r="F6162" s="1" t="s">
        <v>20</v>
      </c>
      <c r="G6162" s="4" t="b">
        <f t="shared" si="2"/>
        <v>1</v>
      </c>
      <c r="H6162" s="1" t="str">
        <f t="shared" si="3"/>
        <v>Currently Unavailable</v>
      </c>
      <c r="I6162" s="1" t="str">
        <f t="shared" si="4"/>
        <v>No Badges</v>
      </c>
      <c r="J6162" s="3">
        <f t="shared" si="5"/>
        <v>0</v>
      </c>
    </row>
    <row r="6163">
      <c r="A6163" s="1" t="s">
        <v>4634</v>
      </c>
      <c r="B6163" s="3" t="str">
        <f t="shared" si="1"/>
        <v>Unavailable</v>
      </c>
      <c r="C6163" s="5">
        <v>1381.0</v>
      </c>
      <c r="D6163" s="3">
        <f>IFERROR(__xludf.DUMMYFUNCTION("IFERROR(
IF(REGEXMATCH(LOWER(O6163),""k""),
VALUE(REGEXEXTRACT(O6163,""[0-9]+""))*1000,
VALUE(REGEXEXTRACT(O6163,""[0-9]+""))
),
0
)"),0.0)</f>
        <v>0</v>
      </c>
      <c r="E6163" s="1" t="s">
        <v>11</v>
      </c>
      <c r="F6163" s="1" t="s">
        <v>20</v>
      </c>
      <c r="G6163" s="4" t="b">
        <f t="shared" si="2"/>
        <v>1</v>
      </c>
      <c r="H6163" s="1" t="str">
        <f t="shared" si="3"/>
        <v>Currently Unavailable</v>
      </c>
      <c r="I6163" s="1" t="str">
        <f t="shared" si="4"/>
        <v>No Badges</v>
      </c>
      <c r="J6163" s="3">
        <f t="shared" si="5"/>
        <v>0</v>
      </c>
    </row>
    <row r="6164">
      <c r="A6164" s="1" t="s">
        <v>4635</v>
      </c>
      <c r="B6164" s="3" t="str">
        <f t="shared" si="1"/>
        <v>Unavailable</v>
      </c>
      <c r="C6164" s="5">
        <v>33227.0</v>
      </c>
      <c r="D6164" s="3">
        <f>IFERROR(__xludf.DUMMYFUNCTION("IFERROR(
IF(REGEXMATCH(LOWER(O6164),""k""),
VALUE(REGEXEXTRACT(O6164,""[0-9]+""))*1000,
VALUE(REGEXEXTRACT(O6164,""[0-9]+""))
),
0
)"),0.0)</f>
        <v>0</v>
      </c>
      <c r="E6164" s="1" t="s">
        <v>11</v>
      </c>
      <c r="F6164" s="1" t="s">
        <v>20</v>
      </c>
      <c r="G6164" s="4" t="b">
        <f t="shared" si="2"/>
        <v>1</v>
      </c>
      <c r="H6164" s="1" t="str">
        <f t="shared" si="3"/>
        <v>Currently Unavailable</v>
      </c>
      <c r="I6164" s="1" t="str">
        <f t="shared" si="4"/>
        <v>No Badges</v>
      </c>
      <c r="J6164" s="3">
        <f t="shared" si="5"/>
        <v>0</v>
      </c>
    </row>
    <row r="6165">
      <c r="A6165" s="1" t="s">
        <v>4636</v>
      </c>
      <c r="B6165" s="3" t="str">
        <f t="shared" si="1"/>
        <v>Unavailable</v>
      </c>
      <c r="C6165" s="5">
        <v>1702.0</v>
      </c>
      <c r="D6165" s="3">
        <f>IFERROR(__xludf.DUMMYFUNCTION("IFERROR(
IF(REGEXMATCH(LOWER(O6165),""k""),
VALUE(REGEXEXTRACT(O6165,""[0-9]+""))*1000,
VALUE(REGEXEXTRACT(O6165,""[0-9]+""))
),
0
)"),0.0)</f>
        <v>0</v>
      </c>
      <c r="E6165" s="1" t="s">
        <v>11</v>
      </c>
      <c r="F6165" s="1" t="s">
        <v>20</v>
      </c>
      <c r="G6165" s="4" t="b">
        <f t="shared" si="2"/>
        <v>1</v>
      </c>
      <c r="H6165" s="1" t="str">
        <f t="shared" si="3"/>
        <v>Currently Unavailable</v>
      </c>
      <c r="I6165" s="1" t="str">
        <f t="shared" si="4"/>
        <v>No Badges</v>
      </c>
      <c r="J6165" s="3">
        <f t="shared" si="5"/>
        <v>0</v>
      </c>
    </row>
    <row r="6166">
      <c r="A6166" s="1" t="s">
        <v>4637</v>
      </c>
      <c r="B6166" s="3" t="str">
        <f t="shared" si="1"/>
        <v>Unavailable</v>
      </c>
      <c r="C6166" s="5">
        <v>84496.0</v>
      </c>
      <c r="D6166" s="3">
        <f>IFERROR(__xludf.DUMMYFUNCTION("IFERROR(
IF(REGEXMATCH(LOWER(O6166),""k""),
VALUE(REGEXEXTRACT(O6166,""[0-9]+""))*1000,
VALUE(REGEXEXTRACT(O6166,""[0-9]+""))
),
0
)"),0.0)</f>
        <v>0</v>
      </c>
      <c r="E6166" s="1" t="s">
        <v>11</v>
      </c>
      <c r="F6166" s="1" t="s">
        <v>20</v>
      </c>
      <c r="G6166" s="4" t="b">
        <f t="shared" si="2"/>
        <v>1</v>
      </c>
      <c r="H6166" s="1" t="str">
        <f t="shared" si="3"/>
        <v>Currently Unavailable</v>
      </c>
      <c r="I6166" s="1" t="str">
        <f t="shared" si="4"/>
        <v>No Badges</v>
      </c>
      <c r="J6166" s="3">
        <f t="shared" si="5"/>
        <v>0</v>
      </c>
    </row>
    <row r="6167">
      <c r="A6167" s="1" t="s">
        <v>4638</v>
      </c>
      <c r="B6167" s="3" t="str">
        <f t="shared" si="1"/>
        <v>Unavailable</v>
      </c>
      <c r="C6167" s="5">
        <v>1489.0</v>
      </c>
      <c r="D6167" s="3">
        <f>IFERROR(__xludf.DUMMYFUNCTION("IFERROR(
IF(REGEXMATCH(LOWER(O6167),""k""),
VALUE(REGEXEXTRACT(O6167,""[0-9]+""))*1000,
VALUE(REGEXEXTRACT(O6167,""[0-9]+""))
),
0
)"),0.0)</f>
        <v>0</v>
      </c>
      <c r="E6167" s="1" t="s">
        <v>11</v>
      </c>
      <c r="F6167" s="1" t="s">
        <v>20</v>
      </c>
      <c r="G6167" s="4" t="b">
        <f t="shared" si="2"/>
        <v>1</v>
      </c>
      <c r="H6167" s="1" t="str">
        <f t="shared" si="3"/>
        <v>Currently Unavailable</v>
      </c>
      <c r="I6167" s="1" t="str">
        <f t="shared" si="4"/>
        <v>No Badges</v>
      </c>
      <c r="J6167" s="3">
        <f t="shared" si="5"/>
        <v>0</v>
      </c>
    </row>
    <row r="6168">
      <c r="A6168" s="1" t="s">
        <v>4617</v>
      </c>
      <c r="B6168" s="3" t="str">
        <f t="shared" si="1"/>
        <v>Unavailable</v>
      </c>
      <c r="C6168" s="5">
        <v>6275.0</v>
      </c>
      <c r="D6168" s="3">
        <f>IFERROR(__xludf.DUMMYFUNCTION("IFERROR(
IF(REGEXMATCH(LOWER(O6168),""k""),
VALUE(REGEXEXTRACT(O6168,""[0-9]+""))*1000,
VALUE(REGEXEXTRACT(O6168,""[0-9]+""))
),
0
)"),0.0)</f>
        <v>0</v>
      </c>
      <c r="E6168" s="1" t="s">
        <v>11</v>
      </c>
      <c r="F6168" s="1" t="s">
        <v>12</v>
      </c>
      <c r="G6168" s="4" t="b">
        <f t="shared" si="2"/>
        <v>1</v>
      </c>
      <c r="H6168" s="1" t="str">
        <f t="shared" si="3"/>
        <v>Currently Unavailable</v>
      </c>
      <c r="I6168" s="1" t="str">
        <f t="shared" si="4"/>
        <v>No Badges</v>
      </c>
      <c r="J6168" s="3">
        <f t="shared" si="5"/>
        <v>0</v>
      </c>
    </row>
    <row r="6169">
      <c r="A6169" s="1" t="s">
        <v>4639</v>
      </c>
      <c r="B6169" s="3" t="str">
        <f t="shared" si="1"/>
        <v>Unavailable</v>
      </c>
      <c r="C6169" s="3">
        <v>822.0</v>
      </c>
      <c r="D6169" s="3">
        <f>IFERROR(__xludf.DUMMYFUNCTION("IFERROR(
IF(REGEXMATCH(LOWER(O6169),""k""),
VALUE(REGEXEXTRACT(O6169,""[0-9]+""))*1000,
VALUE(REGEXEXTRACT(O6169,""[0-9]+""))
),
0
)"),0.0)</f>
        <v>0</v>
      </c>
      <c r="E6169" s="1" t="s">
        <v>11</v>
      </c>
      <c r="F6169" s="1" t="s">
        <v>20</v>
      </c>
      <c r="G6169" s="4" t="b">
        <f t="shared" si="2"/>
        <v>1</v>
      </c>
      <c r="H6169" s="1" t="str">
        <f t="shared" si="3"/>
        <v>Currently Unavailable</v>
      </c>
      <c r="I6169" s="1" t="str">
        <f t="shared" si="4"/>
        <v>No Badges</v>
      </c>
      <c r="J6169" s="3">
        <f t="shared" si="5"/>
        <v>0</v>
      </c>
    </row>
    <row r="6170">
      <c r="A6170" s="1" t="s">
        <v>4640</v>
      </c>
      <c r="B6170" s="3" t="str">
        <f t="shared" si="1"/>
        <v>Unavailable</v>
      </c>
      <c r="C6170" s="3">
        <v>688.0</v>
      </c>
      <c r="D6170" s="3">
        <f>IFERROR(__xludf.DUMMYFUNCTION("IFERROR(
IF(REGEXMATCH(LOWER(O6170),""k""),
VALUE(REGEXEXTRACT(O6170,""[0-9]+""))*1000,
VALUE(REGEXEXTRACT(O6170,""[0-9]+""))
),
0
)"),0.0)</f>
        <v>0</v>
      </c>
      <c r="E6170" s="1" t="s">
        <v>11</v>
      </c>
      <c r="F6170" s="1" t="s">
        <v>20</v>
      </c>
      <c r="G6170" s="4" t="b">
        <f t="shared" si="2"/>
        <v>1</v>
      </c>
      <c r="H6170" s="1" t="str">
        <f t="shared" si="3"/>
        <v>Currently Unavailable</v>
      </c>
      <c r="I6170" s="1" t="str">
        <f t="shared" si="4"/>
        <v>No Badges</v>
      </c>
      <c r="J6170" s="3">
        <f t="shared" si="5"/>
        <v>0</v>
      </c>
    </row>
    <row r="6171">
      <c r="A6171" s="1" t="s">
        <v>4641</v>
      </c>
      <c r="B6171" s="3" t="str">
        <f t="shared" si="1"/>
        <v>Unavailable</v>
      </c>
      <c r="C6171" s="3">
        <v>974.0</v>
      </c>
      <c r="D6171" s="3">
        <f>IFERROR(__xludf.DUMMYFUNCTION("IFERROR(
IF(REGEXMATCH(LOWER(O6171),""k""),
VALUE(REGEXEXTRACT(O6171,""[0-9]+""))*1000,
VALUE(REGEXEXTRACT(O6171,""[0-9]+""))
),
0
)"),0.0)</f>
        <v>0</v>
      </c>
      <c r="E6171" s="1" t="s">
        <v>11</v>
      </c>
      <c r="F6171" s="1" t="s">
        <v>20</v>
      </c>
      <c r="G6171" s="4" t="b">
        <f t="shared" si="2"/>
        <v>1</v>
      </c>
      <c r="H6171" s="1" t="str">
        <f t="shared" si="3"/>
        <v>Currently Unavailable</v>
      </c>
      <c r="I6171" s="1" t="str">
        <f t="shared" si="4"/>
        <v>No Badges</v>
      </c>
      <c r="J6171" s="3">
        <f t="shared" si="5"/>
        <v>0</v>
      </c>
    </row>
    <row r="6172">
      <c r="A6172" s="1" t="s">
        <v>4642</v>
      </c>
      <c r="B6172" s="3" t="str">
        <f t="shared" si="1"/>
        <v>Unavailable</v>
      </c>
      <c r="C6172" s="5">
        <v>119153.0</v>
      </c>
      <c r="D6172" s="3">
        <f>IFERROR(__xludf.DUMMYFUNCTION("IFERROR(
IF(REGEXMATCH(LOWER(O6172),""k""),
VALUE(REGEXEXTRACT(O6172,""[0-9]+""))*1000,
VALUE(REGEXEXTRACT(O6172,""[0-9]+""))
),
0
)"),0.0)</f>
        <v>0</v>
      </c>
      <c r="E6172" s="1" t="s">
        <v>11</v>
      </c>
      <c r="F6172" s="1" t="s">
        <v>20</v>
      </c>
      <c r="G6172" s="4" t="b">
        <f t="shared" si="2"/>
        <v>1</v>
      </c>
      <c r="H6172" s="1" t="str">
        <f t="shared" si="3"/>
        <v>Currently Unavailable</v>
      </c>
      <c r="I6172" s="1" t="str">
        <f t="shared" si="4"/>
        <v>No Badges</v>
      </c>
      <c r="J6172" s="3">
        <f t="shared" si="5"/>
        <v>0</v>
      </c>
    </row>
    <row r="6173">
      <c r="A6173" s="1" t="s">
        <v>4643</v>
      </c>
      <c r="B6173" s="3" t="str">
        <f t="shared" si="1"/>
        <v>Unavailable</v>
      </c>
      <c r="C6173" s="5">
        <v>40314.0</v>
      </c>
      <c r="D6173" s="3">
        <f>IFERROR(__xludf.DUMMYFUNCTION("IFERROR(
IF(REGEXMATCH(LOWER(O6173),""k""),
VALUE(REGEXEXTRACT(O6173,""[0-9]+""))*1000,
VALUE(REGEXEXTRACT(O6173,""[0-9]+""))
),
0
)"),0.0)</f>
        <v>0</v>
      </c>
      <c r="E6173" s="1" t="s">
        <v>11</v>
      </c>
      <c r="F6173" s="1" t="s">
        <v>20</v>
      </c>
      <c r="G6173" s="4" t="b">
        <f t="shared" si="2"/>
        <v>1</v>
      </c>
      <c r="H6173" s="1" t="str">
        <f t="shared" si="3"/>
        <v>Currently Unavailable</v>
      </c>
      <c r="I6173" s="1" t="str">
        <f t="shared" si="4"/>
        <v>No Badges</v>
      </c>
      <c r="J6173" s="3">
        <f t="shared" si="5"/>
        <v>0</v>
      </c>
    </row>
    <row r="6174">
      <c r="A6174" s="1" t="s">
        <v>4644</v>
      </c>
      <c r="B6174" s="3" t="str">
        <f t="shared" si="1"/>
        <v>Unavailable</v>
      </c>
      <c r="C6174" s="5">
        <v>3394.0</v>
      </c>
      <c r="D6174" s="3">
        <f>IFERROR(__xludf.DUMMYFUNCTION("IFERROR(
IF(REGEXMATCH(LOWER(O6174),""k""),
VALUE(REGEXEXTRACT(O6174,""[0-9]+""))*1000,
VALUE(REGEXEXTRACT(O6174,""[0-9]+""))
),
0
)"),0.0)</f>
        <v>0</v>
      </c>
      <c r="E6174" s="1" t="s">
        <v>11</v>
      </c>
      <c r="F6174" s="1" t="s">
        <v>20</v>
      </c>
      <c r="G6174" s="4" t="b">
        <f t="shared" si="2"/>
        <v>1</v>
      </c>
      <c r="H6174" s="1" t="str">
        <f t="shared" si="3"/>
        <v>Currently Unavailable</v>
      </c>
      <c r="I6174" s="1" t="str">
        <f t="shared" si="4"/>
        <v>No Badges</v>
      </c>
      <c r="J6174" s="3">
        <f t="shared" si="5"/>
        <v>0</v>
      </c>
    </row>
    <row r="6175">
      <c r="A6175" s="1" t="s">
        <v>40</v>
      </c>
      <c r="B6175" s="3" t="str">
        <f t="shared" si="1"/>
        <v>Unavailable</v>
      </c>
      <c r="C6175" s="3">
        <v>171.0</v>
      </c>
      <c r="D6175" s="3">
        <f>IFERROR(__xludf.DUMMYFUNCTION("IFERROR(
IF(REGEXMATCH(LOWER(O6175),""k""),
VALUE(REGEXEXTRACT(O6175,""[0-9]+""))*1000,
VALUE(REGEXEXTRACT(O6175,""[0-9]+""))
),
0
)"),0.0)</f>
        <v>0</v>
      </c>
      <c r="E6175" s="1" t="s">
        <v>11</v>
      </c>
      <c r="F6175" s="1" t="s">
        <v>12</v>
      </c>
      <c r="G6175" s="4" t="b">
        <f t="shared" si="2"/>
        <v>1</v>
      </c>
      <c r="H6175" s="1" t="str">
        <f t="shared" si="3"/>
        <v>Currently Unavailable</v>
      </c>
      <c r="I6175" s="1" t="str">
        <f t="shared" si="4"/>
        <v>No Badges</v>
      </c>
      <c r="J6175" s="3">
        <f t="shared" si="5"/>
        <v>0</v>
      </c>
    </row>
    <row r="6176">
      <c r="A6176" s="1" t="s">
        <v>4645</v>
      </c>
      <c r="B6176" s="3" t="str">
        <f t="shared" si="1"/>
        <v>Unavailable</v>
      </c>
      <c r="C6176" s="5">
        <v>5917.0</v>
      </c>
      <c r="D6176" s="3">
        <f>IFERROR(__xludf.DUMMYFUNCTION("IFERROR(
IF(REGEXMATCH(LOWER(O6176),""k""),
VALUE(REGEXEXTRACT(O6176,""[0-9]+""))*1000,
VALUE(REGEXEXTRACT(O6176,""[0-9]+""))
),
0
)"),0.0)</f>
        <v>0</v>
      </c>
      <c r="E6176" s="1" t="s">
        <v>11</v>
      </c>
      <c r="F6176" s="1" t="s">
        <v>20</v>
      </c>
      <c r="G6176" s="4" t="b">
        <f t="shared" si="2"/>
        <v>1</v>
      </c>
      <c r="H6176" s="1" t="str">
        <f t="shared" si="3"/>
        <v>Currently Unavailable</v>
      </c>
      <c r="I6176" s="1" t="str">
        <f t="shared" si="4"/>
        <v>No Badges</v>
      </c>
      <c r="J6176" s="3">
        <f t="shared" si="5"/>
        <v>0</v>
      </c>
    </row>
    <row r="6177">
      <c r="A6177" s="1" t="s">
        <v>4646</v>
      </c>
      <c r="B6177" s="3" t="str">
        <f t="shared" si="1"/>
        <v>Unavailable</v>
      </c>
      <c r="C6177" s="5">
        <v>75041.0</v>
      </c>
      <c r="D6177" s="3">
        <f>IFERROR(__xludf.DUMMYFUNCTION("IFERROR(
IF(REGEXMATCH(LOWER(O6177),""k""),
VALUE(REGEXEXTRACT(O6177,""[0-9]+""))*1000,
VALUE(REGEXEXTRACT(O6177,""[0-9]+""))
),
0
)"),0.0)</f>
        <v>0</v>
      </c>
      <c r="E6177" s="1" t="s">
        <v>11</v>
      </c>
      <c r="F6177" s="1" t="s">
        <v>20</v>
      </c>
      <c r="G6177" s="4" t="b">
        <f t="shared" si="2"/>
        <v>1</v>
      </c>
      <c r="H6177" s="1" t="str">
        <f t="shared" si="3"/>
        <v>Currently Unavailable</v>
      </c>
      <c r="I6177" s="1" t="str">
        <f t="shared" si="4"/>
        <v>No Badges</v>
      </c>
      <c r="J6177" s="3">
        <f t="shared" si="5"/>
        <v>0</v>
      </c>
    </row>
    <row r="6178">
      <c r="A6178" s="1" t="s">
        <v>4647</v>
      </c>
      <c r="B6178" s="3" t="str">
        <f t="shared" si="1"/>
        <v>Unavailable</v>
      </c>
      <c r="C6178" s="5">
        <v>5270.0</v>
      </c>
      <c r="D6178" s="3">
        <f>IFERROR(__xludf.DUMMYFUNCTION("IFERROR(
IF(REGEXMATCH(LOWER(O6178),""k""),
VALUE(REGEXEXTRACT(O6178,""[0-9]+""))*1000,
VALUE(REGEXEXTRACT(O6178,""[0-9]+""))
),
0
)"),0.0)</f>
        <v>0</v>
      </c>
      <c r="E6178" s="1" t="s">
        <v>11</v>
      </c>
      <c r="F6178" s="1" t="s">
        <v>20</v>
      </c>
      <c r="G6178" s="4" t="b">
        <f t="shared" si="2"/>
        <v>1</v>
      </c>
      <c r="H6178" s="1" t="str">
        <f t="shared" si="3"/>
        <v>Currently Unavailable</v>
      </c>
      <c r="I6178" s="1" t="str">
        <f t="shared" si="4"/>
        <v>No Badges</v>
      </c>
      <c r="J6178" s="3">
        <f t="shared" si="5"/>
        <v>0</v>
      </c>
    </row>
    <row r="6179">
      <c r="A6179" s="1" t="s">
        <v>4648</v>
      </c>
      <c r="B6179" s="3" t="str">
        <f t="shared" si="1"/>
        <v>Unavailable</v>
      </c>
      <c r="C6179" s="5">
        <v>1067.0</v>
      </c>
      <c r="D6179" s="3">
        <f>IFERROR(__xludf.DUMMYFUNCTION("IFERROR(
IF(REGEXMATCH(LOWER(O6179),""k""),
VALUE(REGEXEXTRACT(O6179,""[0-9]+""))*1000,
VALUE(REGEXEXTRACT(O6179,""[0-9]+""))
),
0
)"),0.0)</f>
        <v>0</v>
      </c>
      <c r="E6179" s="1" t="s">
        <v>11</v>
      </c>
      <c r="F6179" s="1" t="s">
        <v>20</v>
      </c>
      <c r="G6179" s="4" t="b">
        <f t="shared" si="2"/>
        <v>1</v>
      </c>
      <c r="H6179" s="1" t="str">
        <f t="shared" si="3"/>
        <v>Currently Unavailable</v>
      </c>
      <c r="I6179" s="1" t="str">
        <f t="shared" si="4"/>
        <v>No Badges</v>
      </c>
      <c r="J6179" s="3">
        <f t="shared" si="5"/>
        <v>0</v>
      </c>
    </row>
    <row r="6180">
      <c r="A6180" s="1" t="s">
        <v>4649</v>
      </c>
      <c r="B6180" s="3" t="str">
        <f t="shared" si="1"/>
        <v>Unavailable</v>
      </c>
      <c r="C6180" s="5">
        <v>31400.0</v>
      </c>
      <c r="D6180" s="3">
        <f>IFERROR(__xludf.DUMMYFUNCTION("IFERROR(
IF(REGEXMATCH(LOWER(O6180),""k""),
VALUE(REGEXEXTRACT(O6180,""[0-9]+""))*1000,
VALUE(REGEXEXTRACT(O6180,""[0-9]+""))
),
0
)"),0.0)</f>
        <v>0</v>
      </c>
      <c r="E6180" s="1" t="s">
        <v>11</v>
      </c>
      <c r="F6180" s="1" t="s">
        <v>20</v>
      </c>
      <c r="G6180" s="4" t="b">
        <f t="shared" si="2"/>
        <v>1</v>
      </c>
      <c r="H6180" s="1" t="str">
        <f t="shared" si="3"/>
        <v>Currently Unavailable</v>
      </c>
      <c r="I6180" s="1" t="str">
        <f t="shared" si="4"/>
        <v>No Badges</v>
      </c>
      <c r="J6180" s="3">
        <f t="shared" si="5"/>
        <v>0</v>
      </c>
    </row>
    <row r="6181">
      <c r="A6181" s="1" t="s">
        <v>4650</v>
      </c>
      <c r="B6181" s="3" t="str">
        <f t="shared" si="1"/>
        <v>Unavailable</v>
      </c>
      <c r="C6181" s="5">
        <v>7691.0</v>
      </c>
      <c r="D6181" s="3">
        <f>IFERROR(__xludf.DUMMYFUNCTION("IFERROR(
IF(REGEXMATCH(LOWER(O6181),""k""),
VALUE(REGEXEXTRACT(O6181,""[0-9]+""))*1000,
VALUE(REGEXEXTRACT(O6181,""[0-9]+""))
),
0
)"),0.0)</f>
        <v>0</v>
      </c>
      <c r="E6181" s="1" t="s">
        <v>11</v>
      </c>
      <c r="F6181" s="1" t="s">
        <v>20</v>
      </c>
      <c r="G6181" s="4" t="b">
        <f t="shared" si="2"/>
        <v>1</v>
      </c>
      <c r="H6181" s="1" t="str">
        <f t="shared" si="3"/>
        <v>Currently Unavailable</v>
      </c>
      <c r="I6181" s="1" t="str">
        <f t="shared" si="4"/>
        <v>No Badges</v>
      </c>
      <c r="J6181" s="3">
        <f t="shared" si="5"/>
        <v>0</v>
      </c>
    </row>
    <row r="6182">
      <c r="A6182" s="1" t="s">
        <v>4651</v>
      </c>
      <c r="B6182" s="3" t="str">
        <f t="shared" si="1"/>
        <v>Unavailable</v>
      </c>
      <c r="C6182" s="3">
        <v>348.0</v>
      </c>
      <c r="D6182" s="3">
        <f>IFERROR(__xludf.DUMMYFUNCTION("IFERROR(
IF(REGEXMATCH(LOWER(O6182),""k""),
VALUE(REGEXEXTRACT(O6182,""[0-9]+""))*1000,
VALUE(REGEXEXTRACT(O6182,""[0-9]+""))
),
0
)"),0.0)</f>
        <v>0</v>
      </c>
      <c r="E6182" s="1" t="s">
        <v>11</v>
      </c>
      <c r="F6182" s="1" t="s">
        <v>20</v>
      </c>
      <c r="G6182" s="4" t="b">
        <f t="shared" si="2"/>
        <v>1</v>
      </c>
      <c r="H6182" s="1" t="str">
        <f t="shared" si="3"/>
        <v>Currently Unavailable</v>
      </c>
      <c r="I6182" s="1" t="str">
        <f t="shared" si="4"/>
        <v>No Badges</v>
      </c>
      <c r="J6182" s="3">
        <f t="shared" si="5"/>
        <v>0</v>
      </c>
    </row>
    <row r="6183">
      <c r="A6183" s="1" t="s">
        <v>4652</v>
      </c>
      <c r="B6183" s="3" t="str">
        <f t="shared" si="1"/>
        <v>Unavailable</v>
      </c>
      <c r="C6183" s="5">
        <v>44182.0</v>
      </c>
      <c r="D6183" s="3">
        <f>IFERROR(__xludf.DUMMYFUNCTION("IFERROR(
IF(REGEXMATCH(LOWER(O6183),""k""),
VALUE(REGEXEXTRACT(O6183,""[0-9]+""))*1000,
VALUE(REGEXEXTRACT(O6183,""[0-9]+""))
),
0
)"),0.0)</f>
        <v>0</v>
      </c>
      <c r="E6183" s="1" t="s">
        <v>11</v>
      </c>
      <c r="F6183" s="1" t="s">
        <v>20</v>
      </c>
      <c r="G6183" s="4" t="b">
        <f t="shared" si="2"/>
        <v>1</v>
      </c>
      <c r="H6183" s="1" t="str">
        <f t="shared" si="3"/>
        <v>Currently Unavailable</v>
      </c>
      <c r="I6183" s="1" t="str">
        <f t="shared" si="4"/>
        <v>No Badges</v>
      </c>
      <c r="J6183" s="3">
        <f t="shared" si="5"/>
        <v>0</v>
      </c>
    </row>
    <row r="6184">
      <c r="A6184" s="1" t="s">
        <v>4653</v>
      </c>
      <c r="B6184" s="3" t="str">
        <f t="shared" si="1"/>
        <v>Unavailable</v>
      </c>
      <c r="C6184" s="5">
        <v>51708.0</v>
      </c>
      <c r="D6184" s="3">
        <f>IFERROR(__xludf.DUMMYFUNCTION("IFERROR(
IF(REGEXMATCH(LOWER(O6184),""k""),
VALUE(REGEXEXTRACT(O6184,""[0-9]+""))*1000,
VALUE(REGEXEXTRACT(O6184,""[0-9]+""))
),
0
)"),0.0)</f>
        <v>0</v>
      </c>
      <c r="E6184" s="1" t="s">
        <v>11</v>
      </c>
      <c r="F6184" s="1" t="s">
        <v>20</v>
      </c>
      <c r="G6184" s="4" t="b">
        <f t="shared" si="2"/>
        <v>1</v>
      </c>
      <c r="H6184" s="1" t="str">
        <f t="shared" si="3"/>
        <v>Currently Unavailable</v>
      </c>
      <c r="I6184" s="1" t="str">
        <f t="shared" si="4"/>
        <v>No Badges</v>
      </c>
      <c r="J6184" s="3">
        <f t="shared" si="5"/>
        <v>0</v>
      </c>
    </row>
    <row r="6185">
      <c r="A6185" s="1" t="s">
        <v>4654</v>
      </c>
      <c r="B6185" s="3" t="str">
        <f t="shared" si="1"/>
        <v>Unavailable</v>
      </c>
      <c r="C6185" s="5">
        <v>2004.0</v>
      </c>
      <c r="D6185" s="3">
        <f>IFERROR(__xludf.DUMMYFUNCTION("IFERROR(
IF(REGEXMATCH(LOWER(O6185),""k""),
VALUE(REGEXEXTRACT(O6185,""[0-9]+""))*1000,
VALUE(REGEXEXTRACT(O6185,""[0-9]+""))
),
0
)"),0.0)</f>
        <v>0</v>
      </c>
      <c r="E6185" s="1" t="s">
        <v>11</v>
      </c>
      <c r="F6185" s="1" t="s">
        <v>20</v>
      </c>
      <c r="G6185" s="4" t="b">
        <f t="shared" si="2"/>
        <v>1</v>
      </c>
      <c r="H6185" s="1" t="str">
        <f t="shared" si="3"/>
        <v>Currently Unavailable</v>
      </c>
      <c r="I6185" s="1" t="str">
        <f t="shared" si="4"/>
        <v>No Badges</v>
      </c>
      <c r="J6185" s="3">
        <f t="shared" si="5"/>
        <v>0</v>
      </c>
    </row>
    <row r="6186">
      <c r="A6186" s="1" t="s">
        <v>4655</v>
      </c>
      <c r="B6186" s="3" t="str">
        <f t="shared" si="1"/>
        <v>Unavailable</v>
      </c>
      <c r="C6186" s="5">
        <v>61647.0</v>
      </c>
      <c r="D6186" s="3">
        <f>IFERROR(__xludf.DUMMYFUNCTION("IFERROR(
IF(REGEXMATCH(LOWER(O6186),""k""),
VALUE(REGEXEXTRACT(O6186,""[0-9]+""))*1000,
VALUE(REGEXEXTRACT(O6186,""[0-9]+""))
),
0
)"),0.0)</f>
        <v>0</v>
      </c>
      <c r="E6186" s="1" t="s">
        <v>18</v>
      </c>
      <c r="F6186" s="1" t="s">
        <v>20</v>
      </c>
      <c r="G6186" s="4" t="b">
        <f t="shared" si="2"/>
        <v>1</v>
      </c>
      <c r="H6186" s="1" t="str">
        <f t="shared" si="3"/>
        <v>Currently Unavailable</v>
      </c>
      <c r="I6186" s="1" t="str">
        <f t="shared" si="4"/>
        <v>No Badges</v>
      </c>
      <c r="J6186" s="3">
        <f t="shared" si="5"/>
        <v>0</v>
      </c>
    </row>
    <row r="6187">
      <c r="A6187" s="1" t="s">
        <v>4656</v>
      </c>
      <c r="B6187" s="3" t="str">
        <f t="shared" si="1"/>
        <v>Unavailable</v>
      </c>
      <c r="C6187" s="5">
        <v>4959.0</v>
      </c>
      <c r="D6187" s="3">
        <f>IFERROR(__xludf.DUMMYFUNCTION("IFERROR(
IF(REGEXMATCH(LOWER(O6187),""k""),
VALUE(REGEXEXTRACT(O6187,""[0-9]+""))*1000,
VALUE(REGEXEXTRACT(O6187,""[0-9]+""))
),
0
)"),0.0)</f>
        <v>0</v>
      </c>
      <c r="E6187" s="1" t="s">
        <v>11</v>
      </c>
      <c r="F6187" s="1" t="s">
        <v>20</v>
      </c>
      <c r="G6187" s="4" t="b">
        <f t="shared" si="2"/>
        <v>1</v>
      </c>
      <c r="H6187" s="1" t="str">
        <f t="shared" si="3"/>
        <v>Currently Unavailable</v>
      </c>
      <c r="I6187" s="1" t="str">
        <f t="shared" si="4"/>
        <v>No Badges</v>
      </c>
      <c r="J6187" s="3">
        <f t="shared" si="5"/>
        <v>0</v>
      </c>
    </row>
    <row r="6188">
      <c r="A6188" s="1" t="s">
        <v>4657</v>
      </c>
      <c r="B6188" s="3" t="str">
        <f t="shared" si="1"/>
        <v>Unavailable</v>
      </c>
      <c r="C6188" s="5">
        <v>9564.0</v>
      </c>
      <c r="D6188" s="3">
        <f>IFERROR(__xludf.DUMMYFUNCTION("IFERROR(
IF(REGEXMATCH(LOWER(O6188),""k""),
VALUE(REGEXEXTRACT(O6188,""[0-9]+""))*1000,
VALUE(REGEXEXTRACT(O6188,""[0-9]+""))
),
0
)"),0.0)</f>
        <v>0</v>
      </c>
      <c r="E6188" s="1" t="s">
        <v>11</v>
      </c>
      <c r="F6188" s="1" t="s">
        <v>20</v>
      </c>
      <c r="G6188" s="4" t="b">
        <f t="shared" si="2"/>
        <v>1</v>
      </c>
      <c r="H6188" s="1" t="str">
        <f t="shared" si="3"/>
        <v>Currently Unavailable</v>
      </c>
      <c r="I6188" s="1" t="str">
        <f t="shared" si="4"/>
        <v>No Badges</v>
      </c>
      <c r="J6188" s="3">
        <f t="shared" si="5"/>
        <v>0</v>
      </c>
    </row>
    <row r="6189">
      <c r="A6189" s="1" t="s">
        <v>4658</v>
      </c>
      <c r="B6189" s="3" t="str">
        <f t="shared" si="1"/>
        <v>Unavailable</v>
      </c>
      <c r="C6189" s="3">
        <v>472.0</v>
      </c>
      <c r="D6189" s="3">
        <f>IFERROR(__xludf.DUMMYFUNCTION("IFERROR(
IF(REGEXMATCH(LOWER(O6189),""k""),
VALUE(REGEXEXTRACT(O6189,""[0-9]+""))*1000,
VALUE(REGEXEXTRACT(O6189,""[0-9]+""))
),
0
)"),0.0)</f>
        <v>0</v>
      </c>
      <c r="E6189" s="1" t="s">
        <v>11</v>
      </c>
      <c r="F6189" s="1" t="s">
        <v>20</v>
      </c>
      <c r="G6189" s="4" t="b">
        <f t="shared" si="2"/>
        <v>1</v>
      </c>
      <c r="H6189" s="1" t="str">
        <f t="shared" si="3"/>
        <v>Currently Unavailable</v>
      </c>
      <c r="I6189" s="1" t="str">
        <f t="shared" si="4"/>
        <v>No Badges</v>
      </c>
      <c r="J6189" s="3">
        <f t="shared" si="5"/>
        <v>0</v>
      </c>
    </row>
    <row r="6190">
      <c r="A6190" s="1" t="s">
        <v>4659</v>
      </c>
      <c r="B6190" s="3" t="str">
        <f t="shared" si="1"/>
        <v>Unavailable</v>
      </c>
      <c r="C6190" s="5">
        <v>8635.0</v>
      </c>
      <c r="D6190" s="3">
        <f>IFERROR(__xludf.DUMMYFUNCTION("IFERROR(
IF(REGEXMATCH(LOWER(O6190),""k""),
VALUE(REGEXEXTRACT(O6190,""[0-9]+""))*1000,
VALUE(REGEXEXTRACT(O6190,""[0-9]+""))
),
0
)"),0.0)</f>
        <v>0</v>
      </c>
      <c r="E6190" s="1" t="s">
        <v>11</v>
      </c>
      <c r="F6190" s="1" t="s">
        <v>20</v>
      </c>
      <c r="G6190" s="4" t="b">
        <f t="shared" si="2"/>
        <v>1</v>
      </c>
      <c r="H6190" s="1" t="str">
        <f t="shared" si="3"/>
        <v>Currently Unavailable</v>
      </c>
      <c r="I6190" s="1" t="str">
        <f t="shared" si="4"/>
        <v>No Badges</v>
      </c>
      <c r="J6190" s="3">
        <f t="shared" si="5"/>
        <v>0</v>
      </c>
    </row>
    <row r="6191">
      <c r="A6191" s="1" t="s">
        <v>69</v>
      </c>
      <c r="B6191" s="3" t="str">
        <f t="shared" si="1"/>
        <v>Unavailable</v>
      </c>
      <c r="C6191" s="3">
        <v>45.0</v>
      </c>
      <c r="D6191" s="3">
        <f>IFERROR(__xludf.DUMMYFUNCTION("IFERROR(
IF(REGEXMATCH(LOWER(O6191),""k""),
VALUE(REGEXEXTRACT(O6191,""[0-9]+""))*1000,
VALUE(REGEXEXTRACT(O6191,""[0-9]+""))
),
0
)"),0.0)</f>
        <v>0</v>
      </c>
      <c r="E6191" s="1" t="s">
        <v>11</v>
      </c>
      <c r="F6191" s="1" t="s">
        <v>12</v>
      </c>
      <c r="G6191" s="4" t="b">
        <f t="shared" si="2"/>
        <v>1</v>
      </c>
      <c r="H6191" s="1" t="str">
        <f t="shared" si="3"/>
        <v>Currently Unavailable</v>
      </c>
      <c r="I6191" s="1" t="str">
        <f t="shared" si="4"/>
        <v>No Badges</v>
      </c>
      <c r="J6191" s="3">
        <f t="shared" si="5"/>
        <v>0</v>
      </c>
    </row>
    <row r="6192">
      <c r="A6192" s="1" t="s">
        <v>67</v>
      </c>
      <c r="B6192" s="3" t="str">
        <f t="shared" si="1"/>
        <v>Unavailable</v>
      </c>
      <c r="C6192" s="3">
        <v>264.0</v>
      </c>
      <c r="D6192" s="3">
        <f>IFERROR(__xludf.DUMMYFUNCTION("IFERROR(
IF(REGEXMATCH(LOWER(O6192),""k""),
VALUE(REGEXEXTRACT(O6192,""[0-9]+""))*1000,
VALUE(REGEXEXTRACT(O6192,""[0-9]+""))
),
0
)"),0.0)</f>
        <v>0</v>
      </c>
      <c r="E6192" s="1" t="s">
        <v>11</v>
      </c>
      <c r="F6192" s="1" t="s">
        <v>12</v>
      </c>
      <c r="G6192" s="4" t="b">
        <f t="shared" si="2"/>
        <v>1</v>
      </c>
      <c r="H6192" s="1" t="str">
        <f t="shared" si="3"/>
        <v>Currently Unavailable</v>
      </c>
      <c r="I6192" s="1" t="str">
        <f t="shared" si="4"/>
        <v>No Badges</v>
      </c>
      <c r="J6192" s="3">
        <f t="shared" si="5"/>
        <v>0</v>
      </c>
    </row>
    <row r="6193">
      <c r="A6193" s="1" t="s">
        <v>4660</v>
      </c>
      <c r="B6193" s="3" t="str">
        <f t="shared" si="1"/>
        <v>Unavailable</v>
      </c>
      <c r="C6193" s="5">
        <v>23718.0</v>
      </c>
      <c r="D6193" s="3">
        <f>IFERROR(__xludf.DUMMYFUNCTION("IFERROR(
IF(REGEXMATCH(LOWER(O6193),""k""),
VALUE(REGEXEXTRACT(O6193,""[0-9]+""))*1000,
VALUE(REGEXEXTRACT(O6193,""[0-9]+""))
),
0
)"),0.0)</f>
        <v>0</v>
      </c>
      <c r="E6193" s="1" t="s">
        <v>11</v>
      </c>
      <c r="F6193" s="1" t="s">
        <v>20</v>
      </c>
      <c r="G6193" s="4" t="b">
        <f t="shared" si="2"/>
        <v>1</v>
      </c>
      <c r="H6193" s="1" t="str">
        <f t="shared" si="3"/>
        <v>Currently Unavailable</v>
      </c>
      <c r="I6193" s="1" t="str">
        <f t="shared" si="4"/>
        <v>No Badges</v>
      </c>
      <c r="J6193" s="3">
        <f t="shared" si="5"/>
        <v>0</v>
      </c>
    </row>
    <row r="6194">
      <c r="A6194" s="1" t="s">
        <v>4661</v>
      </c>
      <c r="B6194" s="3" t="str">
        <f t="shared" si="1"/>
        <v>Unavailable</v>
      </c>
      <c r="C6194" s="5">
        <v>49744.0</v>
      </c>
      <c r="D6194" s="3">
        <f>IFERROR(__xludf.DUMMYFUNCTION("IFERROR(
IF(REGEXMATCH(LOWER(O6194),""k""),
VALUE(REGEXEXTRACT(O6194,""[0-9]+""))*1000,
VALUE(REGEXEXTRACT(O6194,""[0-9]+""))
),
0
)"),0.0)</f>
        <v>0</v>
      </c>
      <c r="E6194" s="1" t="s">
        <v>11</v>
      </c>
      <c r="F6194" s="1" t="s">
        <v>20</v>
      </c>
      <c r="G6194" s="4" t="b">
        <f t="shared" si="2"/>
        <v>1</v>
      </c>
      <c r="H6194" s="1" t="str">
        <f t="shared" si="3"/>
        <v>Currently Unavailable</v>
      </c>
      <c r="I6194" s="1" t="str">
        <f t="shared" si="4"/>
        <v>No Badges</v>
      </c>
      <c r="J6194" s="3">
        <f t="shared" si="5"/>
        <v>0</v>
      </c>
    </row>
    <row r="6195">
      <c r="A6195" s="1" t="s">
        <v>4662</v>
      </c>
      <c r="B6195" s="3" t="str">
        <f t="shared" si="1"/>
        <v>Unavailable</v>
      </c>
      <c r="C6195" s="5">
        <v>30950.0</v>
      </c>
      <c r="D6195" s="3">
        <f>IFERROR(__xludf.DUMMYFUNCTION("IFERROR(
IF(REGEXMATCH(LOWER(O6195),""k""),
VALUE(REGEXEXTRACT(O6195,""[0-9]+""))*1000,
VALUE(REGEXEXTRACT(O6195,""[0-9]+""))
),
0
)"),0.0)</f>
        <v>0</v>
      </c>
      <c r="E6195" s="1" t="s">
        <v>11</v>
      </c>
      <c r="F6195" s="1" t="s">
        <v>20</v>
      </c>
      <c r="G6195" s="4" t="b">
        <f t="shared" si="2"/>
        <v>1</v>
      </c>
      <c r="H6195" s="1" t="str">
        <f t="shared" si="3"/>
        <v>Currently Unavailable</v>
      </c>
      <c r="I6195" s="1" t="str">
        <f t="shared" si="4"/>
        <v>No Badges</v>
      </c>
      <c r="J6195" s="3">
        <f t="shared" si="5"/>
        <v>0</v>
      </c>
    </row>
    <row r="6196">
      <c r="A6196" s="1" t="s">
        <v>4663</v>
      </c>
      <c r="B6196" s="3" t="str">
        <f t="shared" si="1"/>
        <v>Unavailable</v>
      </c>
      <c r="C6196" s="5">
        <v>13572.0</v>
      </c>
      <c r="D6196" s="3">
        <f>IFERROR(__xludf.DUMMYFUNCTION("IFERROR(
IF(REGEXMATCH(LOWER(O6196),""k""),
VALUE(REGEXEXTRACT(O6196,""[0-9]+""))*1000,
VALUE(REGEXEXTRACT(O6196,""[0-9]+""))
),
0
)"),0.0)</f>
        <v>0</v>
      </c>
      <c r="E6196" s="1" t="s">
        <v>11</v>
      </c>
      <c r="F6196" s="1" t="s">
        <v>20</v>
      </c>
      <c r="G6196" s="4" t="b">
        <f t="shared" si="2"/>
        <v>1</v>
      </c>
      <c r="H6196" s="1" t="str">
        <f t="shared" si="3"/>
        <v>Currently Unavailable</v>
      </c>
      <c r="I6196" s="1" t="str">
        <f t="shared" si="4"/>
        <v>No Badges</v>
      </c>
      <c r="J6196" s="3">
        <f t="shared" si="5"/>
        <v>0</v>
      </c>
    </row>
    <row r="6197">
      <c r="A6197" s="1" t="s">
        <v>4664</v>
      </c>
      <c r="B6197" s="3" t="str">
        <f t="shared" si="1"/>
        <v>Unavailable</v>
      </c>
      <c r="C6197" s="5">
        <v>12563.0</v>
      </c>
      <c r="D6197" s="3">
        <f>IFERROR(__xludf.DUMMYFUNCTION("IFERROR(
IF(REGEXMATCH(LOWER(O6197),""k""),
VALUE(REGEXEXTRACT(O6197,""[0-9]+""))*1000,
VALUE(REGEXEXTRACT(O6197,""[0-9]+""))
),
0
)"),0.0)</f>
        <v>0</v>
      </c>
      <c r="E6197" s="1" t="s">
        <v>11</v>
      </c>
      <c r="F6197" s="1" t="s">
        <v>20</v>
      </c>
      <c r="G6197" s="4" t="b">
        <f t="shared" si="2"/>
        <v>1</v>
      </c>
      <c r="H6197" s="1" t="str">
        <f t="shared" si="3"/>
        <v>Currently Unavailable</v>
      </c>
      <c r="I6197" s="1" t="str">
        <f t="shared" si="4"/>
        <v>No Badges</v>
      </c>
      <c r="J6197" s="3">
        <f t="shared" si="5"/>
        <v>0</v>
      </c>
    </row>
    <row r="6198">
      <c r="A6198" s="1" t="s">
        <v>4665</v>
      </c>
      <c r="B6198" s="3" t="str">
        <f t="shared" si="1"/>
        <v>Unavailable</v>
      </c>
      <c r="C6198" s="5">
        <v>37870.0</v>
      </c>
      <c r="D6198" s="3">
        <f>IFERROR(__xludf.DUMMYFUNCTION("IFERROR(
IF(REGEXMATCH(LOWER(O6198),""k""),
VALUE(REGEXEXTRACT(O6198,""[0-9]+""))*1000,
VALUE(REGEXEXTRACT(O6198,""[0-9]+""))
),
0
)"),0.0)</f>
        <v>0</v>
      </c>
      <c r="E6198" s="1" t="s">
        <v>11</v>
      </c>
      <c r="F6198" s="1" t="s">
        <v>20</v>
      </c>
      <c r="G6198" s="4" t="b">
        <f t="shared" si="2"/>
        <v>1</v>
      </c>
      <c r="H6198" s="1" t="str">
        <f t="shared" si="3"/>
        <v>Currently Unavailable</v>
      </c>
      <c r="I6198" s="1" t="str">
        <f t="shared" si="4"/>
        <v>No Badges</v>
      </c>
      <c r="J6198" s="3">
        <f t="shared" si="5"/>
        <v>0</v>
      </c>
    </row>
    <row r="6199">
      <c r="A6199" s="1" t="s">
        <v>4666</v>
      </c>
      <c r="B6199" s="3" t="str">
        <f t="shared" si="1"/>
        <v>Unavailable</v>
      </c>
      <c r="C6199" s="5">
        <v>8769.0</v>
      </c>
      <c r="D6199" s="3">
        <f>IFERROR(__xludf.DUMMYFUNCTION("IFERROR(
IF(REGEXMATCH(LOWER(O6199),""k""),
VALUE(REGEXEXTRACT(O6199,""[0-9]+""))*1000,
VALUE(REGEXEXTRACT(O6199,""[0-9]+""))
),
0
)"),0.0)</f>
        <v>0</v>
      </c>
      <c r="E6199" s="1" t="s">
        <v>11</v>
      </c>
      <c r="F6199" s="1" t="s">
        <v>20</v>
      </c>
      <c r="G6199" s="4" t="b">
        <f t="shared" si="2"/>
        <v>1</v>
      </c>
      <c r="H6199" s="1" t="str">
        <f t="shared" si="3"/>
        <v>Currently Unavailable</v>
      </c>
      <c r="I6199" s="1" t="str">
        <f t="shared" si="4"/>
        <v>No Badges</v>
      </c>
      <c r="J6199" s="3">
        <f t="shared" si="5"/>
        <v>0</v>
      </c>
    </row>
    <row r="6200">
      <c r="A6200" s="1" t="s">
        <v>4667</v>
      </c>
      <c r="B6200" s="3" t="str">
        <f t="shared" si="1"/>
        <v>Unavailable</v>
      </c>
      <c r="C6200" s="5">
        <v>28743.0</v>
      </c>
      <c r="D6200" s="3">
        <f>IFERROR(__xludf.DUMMYFUNCTION("IFERROR(
IF(REGEXMATCH(LOWER(O6200),""k""),
VALUE(REGEXEXTRACT(O6200,""[0-9]+""))*1000,
VALUE(REGEXEXTRACT(O6200,""[0-9]+""))
),
0
)"),0.0)</f>
        <v>0</v>
      </c>
      <c r="E6200" s="1" t="s">
        <v>11</v>
      </c>
      <c r="F6200" s="1" t="s">
        <v>20</v>
      </c>
      <c r="G6200" s="4" t="b">
        <f t="shared" si="2"/>
        <v>1</v>
      </c>
      <c r="H6200" s="1" t="str">
        <f t="shared" si="3"/>
        <v>Currently Unavailable</v>
      </c>
      <c r="I6200" s="1" t="str">
        <f t="shared" si="4"/>
        <v>No Badges</v>
      </c>
      <c r="J6200" s="3">
        <f t="shared" si="5"/>
        <v>0</v>
      </c>
    </row>
    <row r="6201">
      <c r="A6201" s="1" t="s">
        <v>1253</v>
      </c>
      <c r="B6201" s="3" t="str">
        <f t="shared" si="1"/>
        <v>Unavailable</v>
      </c>
      <c r="C6201" s="5">
        <v>13511.0</v>
      </c>
      <c r="D6201" s="3">
        <f>IFERROR(__xludf.DUMMYFUNCTION("IFERROR(
IF(REGEXMATCH(LOWER(O6201),""k""),
VALUE(REGEXEXTRACT(O6201,""[0-9]+""))*1000,
VALUE(REGEXEXTRACT(O6201,""[0-9]+""))
),
0
)"),0.0)</f>
        <v>0</v>
      </c>
      <c r="E6201" s="1" t="s">
        <v>11</v>
      </c>
      <c r="F6201" s="1" t="s">
        <v>20</v>
      </c>
      <c r="G6201" s="4" t="b">
        <f t="shared" si="2"/>
        <v>1</v>
      </c>
      <c r="H6201" s="1" t="str">
        <f t="shared" si="3"/>
        <v>Currently Unavailable</v>
      </c>
      <c r="I6201" s="1" t="str">
        <f t="shared" si="4"/>
        <v>No Badges</v>
      </c>
      <c r="J6201" s="3">
        <f t="shared" si="5"/>
        <v>0</v>
      </c>
    </row>
    <row r="6202">
      <c r="A6202" s="1" t="s">
        <v>4668</v>
      </c>
      <c r="B6202" s="3" t="str">
        <f t="shared" si="1"/>
        <v>Unavailable</v>
      </c>
      <c r="C6202" s="5">
        <v>5593.0</v>
      </c>
      <c r="D6202" s="3">
        <f>IFERROR(__xludf.DUMMYFUNCTION("IFERROR(
IF(REGEXMATCH(LOWER(O6202),""k""),
VALUE(REGEXEXTRACT(O6202,""[0-9]+""))*1000,
VALUE(REGEXEXTRACT(O6202,""[0-9]+""))
),
0
)"),0.0)</f>
        <v>0</v>
      </c>
      <c r="E6202" s="1" t="s">
        <v>11</v>
      </c>
      <c r="F6202" s="1" t="s">
        <v>20</v>
      </c>
      <c r="G6202" s="4" t="b">
        <f t="shared" si="2"/>
        <v>1</v>
      </c>
      <c r="H6202" s="1" t="str">
        <f t="shared" si="3"/>
        <v>Currently Unavailable</v>
      </c>
      <c r="I6202" s="1" t="str">
        <f t="shared" si="4"/>
        <v>No Badges</v>
      </c>
      <c r="J6202" s="3">
        <f t="shared" si="5"/>
        <v>0</v>
      </c>
    </row>
    <row r="6203">
      <c r="A6203" s="1" t="s">
        <v>4669</v>
      </c>
      <c r="B6203" s="3" t="str">
        <f t="shared" si="1"/>
        <v>Unavailable</v>
      </c>
      <c r="C6203" s="5">
        <v>35307.0</v>
      </c>
      <c r="D6203" s="3">
        <f>IFERROR(__xludf.DUMMYFUNCTION("IFERROR(
IF(REGEXMATCH(LOWER(O6203),""k""),
VALUE(REGEXEXTRACT(O6203,""[0-9]+""))*1000,
VALUE(REGEXEXTRACT(O6203,""[0-9]+""))
),
0
)"),0.0)</f>
        <v>0</v>
      </c>
      <c r="E6203" s="1" t="s">
        <v>11</v>
      </c>
      <c r="F6203" s="1" t="s">
        <v>20</v>
      </c>
      <c r="G6203" s="4" t="b">
        <f t="shared" si="2"/>
        <v>1</v>
      </c>
      <c r="H6203" s="1" t="str">
        <f t="shared" si="3"/>
        <v>Currently Unavailable</v>
      </c>
      <c r="I6203" s="1" t="str">
        <f t="shared" si="4"/>
        <v>No Badges</v>
      </c>
      <c r="J6203" s="3">
        <f t="shared" si="5"/>
        <v>0</v>
      </c>
    </row>
    <row r="6204">
      <c r="A6204" s="1" t="s">
        <v>4670</v>
      </c>
      <c r="B6204" s="3" t="str">
        <f t="shared" si="1"/>
        <v>Unavailable</v>
      </c>
      <c r="C6204" s="3">
        <v>7.0</v>
      </c>
      <c r="D6204" s="3">
        <f>IFERROR(__xludf.DUMMYFUNCTION("IFERROR(
IF(REGEXMATCH(LOWER(O6204),""k""),
VALUE(REGEXEXTRACT(O6204,""[0-9]+""))*1000,
VALUE(REGEXEXTRACT(O6204,""[0-9]+""))
),
0
)"),0.0)</f>
        <v>0</v>
      </c>
      <c r="E6204" s="1" t="s">
        <v>11</v>
      </c>
      <c r="F6204" s="1" t="s">
        <v>20</v>
      </c>
      <c r="G6204" s="4" t="b">
        <f t="shared" si="2"/>
        <v>1</v>
      </c>
      <c r="H6204" s="1" t="str">
        <f t="shared" si="3"/>
        <v>Currently Unavailable</v>
      </c>
      <c r="I6204" s="1" t="str">
        <f t="shared" si="4"/>
        <v>No Badges</v>
      </c>
      <c r="J6204" s="3">
        <f t="shared" si="5"/>
        <v>0</v>
      </c>
    </row>
    <row r="6205">
      <c r="A6205" s="1" t="s">
        <v>4671</v>
      </c>
      <c r="B6205" s="3" t="str">
        <f t="shared" si="1"/>
        <v>Unavailable</v>
      </c>
      <c r="C6205" s="5">
        <v>2002.0</v>
      </c>
      <c r="D6205" s="3">
        <f>IFERROR(__xludf.DUMMYFUNCTION("IFERROR(
IF(REGEXMATCH(LOWER(O6205),""k""),
VALUE(REGEXEXTRACT(O6205,""[0-9]+""))*1000,
VALUE(REGEXEXTRACT(O6205,""[0-9]+""))
),
0
)"),0.0)</f>
        <v>0</v>
      </c>
      <c r="E6205" s="1" t="s">
        <v>11</v>
      </c>
      <c r="F6205" s="1" t="s">
        <v>20</v>
      </c>
      <c r="G6205" s="4" t="b">
        <f t="shared" si="2"/>
        <v>1</v>
      </c>
      <c r="H6205" s="1" t="str">
        <f t="shared" si="3"/>
        <v>Currently Unavailable</v>
      </c>
      <c r="I6205" s="1" t="str">
        <f t="shared" si="4"/>
        <v>No Badges</v>
      </c>
      <c r="J6205" s="3">
        <f t="shared" si="5"/>
        <v>0</v>
      </c>
    </row>
    <row r="6206">
      <c r="A6206" s="1" t="s">
        <v>701</v>
      </c>
      <c r="B6206" s="3" t="str">
        <f t="shared" si="1"/>
        <v>Unavailable</v>
      </c>
      <c r="C6206" s="3">
        <v>8.0</v>
      </c>
      <c r="D6206" s="3">
        <f>IFERROR(__xludf.DUMMYFUNCTION("IFERROR(
IF(REGEXMATCH(LOWER(O6206),""k""),
VALUE(REGEXEXTRACT(O6206,""[0-9]+""))*1000,
VALUE(REGEXEXTRACT(O6206,""[0-9]+""))
),
0
)"),0.0)</f>
        <v>0</v>
      </c>
      <c r="E6206" s="1" t="s">
        <v>11</v>
      </c>
      <c r="F6206" s="1" t="s">
        <v>12</v>
      </c>
      <c r="G6206" s="4" t="b">
        <f t="shared" si="2"/>
        <v>1</v>
      </c>
      <c r="H6206" s="1" t="str">
        <f t="shared" si="3"/>
        <v>Currently Unavailable</v>
      </c>
      <c r="I6206" s="1" t="str">
        <f t="shared" si="4"/>
        <v>No Badges</v>
      </c>
      <c r="J6206" s="3">
        <f t="shared" si="5"/>
        <v>0</v>
      </c>
    </row>
    <row r="6207">
      <c r="A6207" s="1" t="s">
        <v>4672</v>
      </c>
      <c r="B6207" s="3" t="str">
        <f t="shared" si="1"/>
        <v>Unavailable</v>
      </c>
      <c r="C6207" s="5">
        <v>22112.0</v>
      </c>
      <c r="D6207" s="3">
        <f>IFERROR(__xludf.DUMMYFUNCTION("IFERROR(
IF(REGEXMATCH(LOWER(O6207),""k""),
VALUE(REGEXEXTRACT(O6207,""[0-9]+""))*1000,
VALUE(REGEXEXTRACT(O6207,""[0-9]+""))
),
0
)"),0.0)</f>
        <v>0</v>
      </c>
      <c r="E6207" s="1" t="s">
        <v>11</v>
      </c>
      <c r="F6207" s="1" t="s">
        <v>20</v>
      </c>
      <c r="G6207" s="4" t="b">
        <f t="shared" si="2"/>
        <v>1</v>
      </c>
      <c r="H6207" s="1" t="str">
        <f t="shared" si="3"/>
        <v>Currently Unavailable</v>
      </c>
      <c r="I6207" s="1" t="str">
        <f t="shared" si="4"/>
        <v>No Badges</v>
      </c>
      <c r="J6207" s="3">
        <f t="shared" si="5"/>
        <v>0</v>
      </c>
    </row>
    <row r="6208">
      <c r="A6208" s="1" t="s">
        <v>88</v>
      </c>
      <c r="B6208" s="3" t="str">
        <f t="shared" si="1"/>
        <v>Unavailable</v>
      </c>
      <c r="C6208" s="3">
        <v>5.0</v>
      </c>
      <c r="D6208" s="3">
        <f>IFERROR(__xludf.DUMMYFUNCTION("IFERROR(
IF(REGEXMATCH(LOWER(O6208),""k""),
VALUE(REGEXEXTRACT(O6208,""[0-9]+""))*1000,
VALUE(REGEXEXTRACT(O6208,""[0-9]+""))
),
0
)"),0.0)</f>
        <v>0</v>
      </c>
      <c r="E6208" s="1" t="s">
        <v>11</v>
      </c>
      <c r="F6208" s="1" t="s">
        <v>12</v>
      </c>
      <c r="G6208" s="4" t="b">
        <f t="shared" si="2"/>
        <v>1</v>
      </c>
      <c r="H6208" s="1" t="str">
        <f t="shared" si="3"/>
        <v>Currently Unavailable</v>
      </c>
      <c r="I6208" s="1" t="str">
        <f t="shared" si="4"/>
        <v>No Badges</v>
      </c>
      <c r="J6208" s="3">
        <f t="shared" si="5"/>
        <v>0</v>
      </c>
    </row>
    <row r="6209">
      <c r="A6209" s="1" t="s">
        <v>4673</v>
      </c>
      <c r="B6209" s="3" t="str">
        <f t="shared" si="1"/>
        <v>Unavailable</v>
      </c>
      <c r="C6209" s="5">
        <v>6346.0</v>
      </c>
      <c r="D6209" s="3">
        <f>IFERROR(__xludf.DUMMYFUNCTION("IFERROR(
IF(REGEXMATCH(LOWER(O6209),""k""),
VALUE(REGEXEXTRACT(O6209,""[0-9]+""))*1000,
VALUE(REGEXEXTRACT(O6209,""[0-9]+""))
),
0
)"),0.0)</f>
        <v>0</v>
      </c>
      <c r="E6209" s="1" t="s">
        <v>11</v>
      </c>
      <c r="F6209" s="1" t="s">
        <v>20</v>
      </c>
      <c r="G6209" s="4" t="b">
        <f t="shared" si="2"/>
        <v>1</v>
      </c>
      <c r="H6209" s="1" t="str">
        <f t="shared" si="3"/>
        <v>Currently Unavailable</v>
      </c>
      <c r="I6209" s="1" t="str">
        <f t="shared" si="4"/>
        <v>No Badges</v>
      </c>
      <c r="J6209" s="3">
        <f t="shared" si="5"/>
        <v>0</v>
      </c>
    </row>
    <row r="6210">
      <c r="A6210" s="1" t="s">
        <v>4674</v>
      </c>
      <c r="B6210" s="3" t="str">
        <f t="shared" si="1"/>
        <v>Unavailable</v>
      </c>
      <c r="C6210" s="5">
        <v>1305.0</v>
      </c>
      <c r="D6210" s="3">
        <f>IFERROR(__xludf.DUMMYFUNCTION("IFERROR(
IF(REGEXMATCH(LOWER(O6210),""k""),
VALUE(REGEXEXTRACT(O6210,""[0-9]+""))*1000,
VALUE(REGEXEXTRACT(O6210,""[0-9]+""))
),
0
)"),0.0)</f>
        <v>0</v>
      </c>
      <c r="E6210" s="1" t="s">
        <v>11</v>
      </c>
      <c r="F6210" s="1" t="s">
        <v>20</v>
      </c>
      <c r="G6210" s="4" t="b">
        <f t="shared" si="2"/>
        <v>1</v>
      </c>
      <c r="H6210" s="1" t="str">
        <f t="shared" si="3"/>
        <v>Currently Unavailable</v>
      </c>
      <c r="I6210" s="1" t="str">
        <f t="shared" si="4"/>
        <v>No Badges</v>
      </c>
      <c r="J6210" s="3">
        <f t="shared" si="5"/>
        <v>0</v>
      </c>
    </row>
    <row r="6211">
      <c r="A6211" s="1" t="s">
        <v>69</v>
      </c>
      <c r="B6211" s="3" t="str">
        <f t="shared" si="1"/>
        <v>Unavailable</v>
      </c>
      <c r="C6211" s="3">
        <v>45.0</v>
      </c>
      <c r="D6211" s="3">
        <f>IFERROR(__xludf.DUMMYFUNCTION("IFERROR(
IF(REGEXMATCH(LOWER(O6211),""k""),
VALUE(REGEXEXTRACT(O6211,""[0-9]+""))*1000,
VALUE(REGEXEXTRACT(O6211,""[0-9]+""))
),
0
)"),0.0)</f>
        <v>0</v>
      </c>
      <c r="E6211" s="1" t="s">
        <v>11</v>
      </c>
      <c r="F6211" s="1" t="s">
        <v>12</v>
      </c>
      <c r="G6211" s="4" t="b">
        <f t="shared" si="2"/>
        <v>1</v>
      </c>
      <c r="H6211" s="1" t="str">
        <f t="shared" si="3"/>
        <v>Currently Unavailable</v>
      </c>
      <c r="I6211" s="1" t="str">
        <f t="shared" si="4"/>
        <v>No Badges</v>
      </c>
      <c r="J6211" s="3">
        <f t="shared" si="5"/>
        <v>0</v>
      </c>
    </row>
    <row r="6212">
      <c r="A6212" s="1" t="s">
        <v>4675</v>
      </c>
      <c r="B6212" s="3" t="str">
        <f t="shared" si="1"/>
        <v>Unavailable</v>
      </c>
      <c r="C6212" s="5">
        <v>4437.0</v>
      </c>
      <c r="D6212" s="3">
        <f>IFERROR(__xludf.DUMMYFUNCTION("IFERROR(
IF(REGEXMATCH(LOWER(O6212),""k""),
VALUE(REGEXEXTRACT(O6212,""[0-9]+""))*1000,
VALUE(REGEXEXTRACT(O6212,""[0-9]+""))
),
0
)"),0.0)</f>
        <v>0</v>
      </c>
      <c r="E6212" s="1" t="s">
        <v>11</v>
      </c>
      <c r="F6212" s="1" t="s">
        <v>20</v>
      </c>
      <c r="G6212" s="4" t="b">
        <f t="shared" si="2"/>
        <v>1</v>
      </c>
      <c r="H6212" s="1" t="str">
        <f t="shared" si="3"/>
        <v>Currently Unavailable</v>
      </c>
      <c r="I6212" s="1" t="str">
        <f t="shared" si="4"/>
        <v>No Badges</v>
      </c>
      <c r="J6212" s="3">
        <f t="shared" si="5"/>
        <v>0</v>
      </c>
    </row>
    <row r="6213">
      <c r="A6213" s="1" t="s">
        <v>4676</v>
      </c>
      <c r="B6213" s="3" t="str">
        <f t="shared" si="1"/>
        <v>Unavailable</v>
      </c>
      <c r="C6213" s="5">
        <v>19950.0</v>
      </c>
      <c r="D6213" s="3">
        <f>IFERROR(__xludf.DUMMYFUNCTION("IFERROR(
IF(REGEXMATCH(LOWER(O6213),""k""),
VALUE(REGEXEXTRACT(O6213,""[0-9]+""))*1000,
VALUE(REGEXEXTRACT(O6213,""[0-9]+""))
),
0
)"),0.0)</f>
        <v>0</v>
      </c>
      <c r="E6213" s="1" t="s">
        <v>11</v>
      </c>
      <c r="F6213" s="1" t="s">
        <v>20</v>
      </c>
      <c r="G6213" s="4" t="b">
        <f t="shared" si="2"/>
        <v>1</v>
      </c>
      <c r="H6213" s="1" t="str">
        <f t="shared" si="3"/>
        <v>Currently Unavailable</v>
      </c>
      <c r="I6213" s="1" t="str">
        <f t="shared" si="4"/>
        <v>No Badges</v>
      </c>
      <c r="J6213" s="3">
        <f t="shared" si="5"/>
        <v>0</v>
      </c>
    </row>
    <row r="6214">
      <c r="A6214" s="1" t="s">
        <v>4677</v>
      </c>
      <c r="B6214" s="3" t="str">
        <f t="shared" si="1"/>
        <v>Unavailable</v>
      </c>
      <c r="C6214" s="5">
        <v>22857.0</v>
      </c>
      <c r="D6214" s="3">
        <f>IFERROR(__xludf.DUMMYFUNCTION("IFERROR(
IF(REGEXMATCH(LOWER(O6214),""k""),
VALUE(REGEXEXTRACT(O6214,""[0-9]+""))*1000,
VALUE(REGEXEXTRACT(O6214,""[0-9]+""))
),
0
)"),0.0)</f>
        <v>0</v>
      </c>
      <c r="E6214" s="1" t="s">
        <v>11</v>
      </c>
      <c r="F6214" s="1" t="s">
        <v>20</v>
      </c>
      <c r="G6214" s="4" t="b">
        <f t="shared" si="2"/>
        <v>1</v>
      </c>
      <c r="H6214" s="1" t="str">
        <f t="shared" si="3"/>
        <v>Currently Unavailable</v>
      </c>
      <c r="I6214" s="1" t="str">
        <f t="shared" si="4"/>
        <v>No Badges</v>
      </c>
      <c r="J6214" s="3">
        <f t="shared" si="5"/>
        <v>0</v>
      </c>
    </row>
    <row r="6215">
      <c r="A6215" s="1" t="s">
        <v>4678</v>
      </c>
      <c r="B6215" s="3" t="str">
        <f t="shared" si="1"/>
        <v>Unavailable</v>
      </c>
      <c r="C6215" s="5">
        <v>9655.0</v>
      </c>
      <c r="D6215" s="3">
        <f>IFERROR(__xludf.DUMMYFUNCTION("IFERROR(
IF(REGEXMATCH(LOWER(O6215),""k""),
VALUE(REGEXEXTRACT(O6215,""[0-9]+""))*1000,
VALUE(REGEXEXTRACT(O6215,""[0-9]+""))
),
0
)"),0.0)</f>
        <v>0</v>
      </c>
      <c r="E6215" s="1" t="s">
        <v>11</v>
      </c>
      <c r="F6215" s="1" t="s">
        <v>20</v>
      </c>
      <c r="G6215" s="4" t="b">
        <f t="shared" si="2"/>
        <v>1</v>
      </c>
      <c r="H6215" s="1" t="str">
        <f t="shared" si="3"/>
        <v>Currently Unavailable</v>
      </c>
      <c r="I6215" s="1" t="str">
        <f t="shared" si="4"/>
        <v>No Badges</v>
      </c>
      <c r="J6215" s="3">
        <f t="shared" si="5"/>
        <v>0</v>
      </c>
    </row>
    <row r="6216">
      <c r="A6216" s="1" t="s">
        <v>4679</v>
      </c>
      <c r="B6216" s="3" t="str">
        <f t="shared" si="1"/>
        <v>Unavailable</v>
      </c>
      <c r="C6216" s="5">
        <v>11705.0</v>
      </c>
      <c r="D6216" s="3">
        <f>IFERROR(__xludf.DUMMYFUNCTION("IFERROR(
IF(REGEXMATCH(LOWER(O6216),""k""),
VALUE(REGEXEXTRACT(O6216,""[0-9]+""))*1000,
VALUE(REGEXEXTRACT(O6216,""[0-9]+""))
),
0
)"),0.0)</f>
        <v>0</v>
      </c>
      <c r="E6216" s="1" t="s">
        <v>11</v>
      </c>
      <c r="F6216" s="1" t="s">
        <v>20</v>
      </c>
      <c r="G6216" s="4" t="b">
        <f t="shared" si="2"/>
        <v>1</v>
      </c>
      <c r="H6216" s="1" t="str">
        <f t="shared" si="3"/>
        <v>Currently Unavailable</v>
      </c>
      <c r="I6216" s="1" t="str">
        <f t="shared" si="4"/>
        <v>No Badges</v>
      </c>
      <c r="J6216" s="3">
        <f t="shared" si="5"/>
        <v>0</v>
      </c>
    </row>
    <row r="6217">
      <c r="A6217" s="1" t="s">
        <v>4680</v>
      </c>
      <c r="B6217" s="3" t="str">
        <f t="shared" si="1"/>
        <v>Unavailable</v>
      </c>
      <c r="C6217" s="5">
        <v>14432.0</v>
      </c>
      <c r="D6217" s="3">
        <f>IFERROR(__xludf.DUMMYFUNCTION("IFERROR(
IF(REGEXMATCH(LOWER(O6217),""k""),
VALUE(REGEXEXTRACT(O6217,""[0-9]+""))*1000,
VALUE(REGEXEXTRACT(O6217,""[0-9]+""))
),
0
)"),0.0)</f>
        <v>0</v>
      </c>
      <c r="E6217" s="1" t="s">
        <v>11</v>
      </c>
      <c r="F6217" s="1" t="s">
        <v>20</v>
      </c>
      <c r="G6217" s="4" t="b">
        <f t="shared" si="2"/>
        <v>1</v>
      </c>
      <c r="H6217" s="1" t="str">
        <f t="shared" si="3"/>
        <v>Currently Unavailable</v>
      </c>
      <c r="I6217" s="1" t="str">
        <f t="shared" si="4"/>
        <v>No Badges</v>
      </c>
      <c r="J6217" s="3">
        <f t="shared" si="5"/>
        <v>0</v>
      </c>
    </row>
    <row r="6218">
      <c r="A6218" s="1" t="s">
        <v>4681</v>
      </c>
      <c r="B6218" s="3" t="str">
        <f t="shared" si="1"/>
        <v>Unavailable</v>
      </c>
      <c r="C6218" s="5">
        <v>8421.0</v>
      </c>
      <c r="D6218" s="3">
        <f>IFERROR(__xludf.DUMMYFUNCTION("IFERROR(
IF(REGEXMATCH(LOWER(O6218),""k""),
VALUE(REGEXEXTRACT(O6218,""[0-9]+""))*1000,
VALUE(REGEXEXTRACT(O6218,""[0-9]+""))
),
0
)"),0.0)</f>
        <v>0</v>
      </c>
      <c r="E6218" s="1" t="s">
        <v>11</v>
      </c>
      <c r="F6218" s="1" t="s">
        <v>20</v>
      </c>
      <c r="G6218" s="4" t="b">
        <f t="shared" si="2"/>
        <v>1</v>
      </c>
      <c r="H6218" s="1" t="str">
        <f t="shared" si="3"/>
        <v>Currently Unavailable</v>
      </c>
      <c r="I6218" s="1" t="str">
        <f t="shared" si="4"/>
        <v>No Badges</v>
      </c>
      <c r="J6218" s="3">
        <f t="shared" si="5"/>
        <v>0</v>
      </c>
    </row>
    <row r="6219">
      <c r="A6219" s="1" t="s">
        <v>4682</v>
      </c>
      <c r="B6219" s="3" t="str">
        <f t="shared" si="1"/>
        <v>Unavailable</v>
      </c>
      <c r="C6219" s="3">
        <v>416.0</v>
      </c>
      <c r="D6219" s="3">
        <f>IFERROR(__xludf.DUMMYFUNCTION("IFERROR(
IF(REGEXMATCH(LOWER(O6219),""k""),
VALUE(REGEXEXTRACT(O6219,""[0-9]+""))*1000,
VALUE(REGEXEXTRACT(O6219,""[0-9]+""))
),
0
)"),0.0)</f>
        <v>0</v>
      </c>
      <c r="E6219" s="1" t="s">
        <v>11</v>
      </c>
      <c r="F6219" s="1" t="s">
        <v>20</v>
      </c>
      <c r="G6219" s="4" t="b">
        <f t="shared" si="2"/>
        <v>1</v>
      </c>
      <c r="H6219" s="1" t="str">
        <f t="shared" si="3"/>
        <v>Currently Unavailable</v>
      </c>
      <c r="I6219" s="1" t="str">
        <f t="shared" si="4"/>
        <v>No Badges</v>
      </c>
      <c r="J6219" s="3">
        <f t="shared" si="5"/>
        <v>0</v>
      </c>
    </row>
    <row r="6220">
      <c r="A6220" s="1" t="s">
        <v>4683</v>
      </c>
      <c r="B6220" s="3" t="str">
        <f t="shared" si="1"/>
        <v>Unavailable</v>
      </c>
      <c r="C6220" s="3">
        <v>91.0</v>
      </c>
      <c r="D6220" s="3">
        <f>IFERROR(__xludf.DUMMYFUNCTION("IFERROR(
IF(REGEXMATCH(LOWER(O6220),""k""),
VALUE(REGEXEXTRACT(O6220,""[0-9]+""))*1000,
VALUE(REGEXEXTRACT(O6220,""[0-9]+""))
),
0
)"),0.0)</f>
        <v>0</v>
      </c>
      <c r="E6220" s="1" t="s">
        <v>11</v>
      </c>
      <c r="F6220" s="1" t="s">
        <v>20</v>
      </c>
      <c r="G6220" s="4" t="b">
        <f t="shared" si="2"/>
        <v>1</v>
      </c>
      <c r="H6220" s="1" t="str">
        <f t="shared" si="3"/>
        <v>Currently Unavailable</v>
      </c>
      <c r="I6220" s="1" t="str">
        <f t="shared" si="4"/>
        <v>No Badges</v>
      </c>
      <c r="J6220" s="3">
        <f t="shared" si="5"/>
        <v>0</v>
      </c>
    </row>
    <row r="6221">
      <c r="A6221" s="1" t="s">
        <v>4684</v>
      </c>
      <c r="B6221" s="3" t="str">
        <f t="shared" si="1"/>
        <v>Unavailable</v>
      </c>
      <c r="C6221" s="3">
        <v>449.0</v>
      </c>
      <c r="D6221" s="3">
        <f>IFERROR(__xludf.DUMMYFUNCTION("IFERROR(
IF(REGEXMATCH(LOWER(O6221),""k""),
VALUE(REGEXEXTRACT(O6221,""[0-9]+""))*1000,
VALUE(REGEXEXTRACT(O6221,""[0-9]+""))
),
0
)"),0.0)</f>
        <v>0</v>
      </c>
      <c r="E6221" s="1" t="s">
        <v>11</v>
      </c>
      <c r="F6221" s="1" t="s">
        <v>20</v>
      </c>
      <c r="G6221" s="4" t="b">
        <f t="shared" si="2"/>
        <v>1</v>
      </c>
      <c r="H6221" s="1" t="str">
        <f t="shared" si="3"/>
        <v>Currently Unavailable</v>
      </c>
      <c r="I6221" s="1" t="str">
        <f t="shared" si="4"/>
        <v>No Badges</v>
      </c>
      <c r="J6221" s="3">
        <f t="shared" si="5"/>
        <v>0</v>
      </c>
    </row>
    <row r="6222">
      <c r="A6222" s="1" t="s">
        <v>4685</v>
      </c>
      <c r="B6222" s="3" t="str">
        <f t="shared" si="1"/>
        <v>Unavailable</v>
      </c>
      <c r="C6222" s="5">
        <v>1237.0</v>
      </c>
      <c r="D6222" s="3">
        <f>IFERROR(__xludf.DUMMYFUNCTION("IFERROR(
IF(REGEXMATCH(LOWER(O6222),""k""),
VALUE(REGEXEXTRACT(O6222,""[0-9]+""))*1000,
VALUE(REGEXEXTRACT(O6222,""[0-9]+""))
),
0
)"),0.0)</f>
        <v>0</v>
      </c>
      <c r="E6222" s="1" t="s">
        <v>11</v>
      </c>
      <c r="F6222" s="1" t="s">
        <v>20</v>
      </c>
      <c r="G6222" s="4" t="b">
        <f t="shared" si="2"/>
        <v>1</v>
      </c>
      <c r="H6222" s="1" t="str">
        <f t="shared" si="3"/>
        <v>Currently Unavailable</v>
      </c>
      <c r="I6222" s="1" t="str">
        <f t="shared" si="4"/>
        <v>No Badges</v>
      </c>
      <c r="J6222" s="3">
        <f t="shared" si="5"/>
        <v>0</v>
      </c>
    </row>
    <row r="6223">
      <c r="A6223" s="1" t="s">
        <v>4686</v>
      </c>
      <c r="B6223" s="3" t="str">
        <f t="shared" si="1"/>
        <v>Unavailable</v>
      </c>
      <c r="C6223" s="5">
        <v>3746.0</v>
      </c>
      <c r="D6223" s="3">
        <f>IFERROR(__xludf.DUMMYFUNCTION("IFERROR(
IF(REGEXMATCH(LOWER(O6223),""k""),
VALUE(REGEXEXTRACT(O6223,""[0-9]+""))*1000,
VALUE(REGEXEXTRACT(O6223,""[0-9]+""))
),
0
)"),0.0)</f>
        <v>0</v>
      </c>
      <c r="E6223" s="1" t="s">
        <v>11</v>
      </c>
      <c r="F6223" s="1" t="s">
        <v>20</v>
      </c>
      <c r="G6223" s="4" t="b">
        <f t="shared" si="2"/>
        <v>1</v>
      </c>
      <c r="H6223" s="1" t="str">
        <f t="shared" si="3"/>
        <v>Currently Unavailable</v>
      </c>
      <c r="I6223" s="1" t="str">
        <f t="shared" si="4"/>
        <v>No Badges</v>
      </c>
      <c r="J6223" s="3">
        <f t="shared" si="5"/>
        <v>0</v>
      </c>
    </row>
    <row r="6224">
      <c r="A6224" s="1" t="s">
        <v>67</v>
      </c>
      <c r="B6224" s="3" t="str">
        <f t="shared" si="1"/>
        <v>Unavailable</v>
      </c>
      <c r="C6224" s="3">
        <v>264.0</v>
      </c>
      <c r="D6224" s="3">
        <f>IFERROR(__xludf.DUMMYFUNCTION("IFERROR(
IF(REGEXMATCH(LOWER(O6224),""k""),
VALUE(REGEXEXTRACT(O6224,""[0-9]+""))*1000,
VALUE(REGEXEXTRACT(O6224,""[0-9]+""))
),
0
)"),0.0)</f>
        <v>0</v>
      </c>
      <c r="E6224" s="1" t="s">
        <v>11</v>
      </c>
      <c r="F6224" s="1" t="s">
        <v>12</v>
      </c>
      <c r="G6224" s="4" t="b">
        <f t="shared" si="2"/>
        <v>1</v>
      </c>
      <c r="H6224" s="1" t="str">
        <f t="shared" si="3"/>
        <v>Currently Unavailable</v>
      </c>
      <c r="I6224" s="1" t="str">
        <f t="shared" si="4"/>
        <v>No Badges</v>
      </c>
      <c r="J6224" s="3">
        <f t="shared" si="5"/>
        <v>0</v>
      </c>
    </row>
    <row r="6225">
      <c r="A6225" s="1" t="s">
        <v>4687</v>
      </c>
      <c r="B6225" s="3" t="str">
        <f t="shared" si="1"/>
        <v>Unavailable</v>
      </c>
      <c r="C6225" s="3">
        <v>871.0</v>
      </c>
      <c r="D6225" s="3">
        <f>IFERROR(__xludf.DUMMYFUNCTION("IFERROR(
IF(REGEXMATCH(LOWER(O6225),""k""),
VALUE(REGEXEXTRACT(O6225,""[0-9]+""))*1000,
VALUE(REGEXEXTRACT(O6225,""[0-9]+""))
),
0
)"),0.0)</f>
        <v>0</v>
      </c>
      <c r="E6225" s="1" t="s">
        <v>11</v>
      </c>
      <c r="F6225" s="1" t="s">
        <v>12</v>
      </c>
      <c r="G6225" s="4" t="b">
        <f t="shared" si="2"/>
        <v>1</v>
      </c>
      <c r="H6225" s="1" t="str">
        <f t="shared" si="3"/>
        <v>Currently Unavailable</v>
      </c>
      <c r="I6225" s="1" t="str">
        <f t="shared" si="4"/>
        <v>No Badges</v>
      </c>
      <c r="J6225" s="3">
        <f t="shared" si="5"/>
        <v>0</v>
      </c>
    </row>
    <row r="6226">
      <c r="A6226" s="1" t="s">
        <v>701</v>
      </c>
      <c r="B6226" s="3" t="str">
        <f t="shared" si="1"/>
        <v>Unavailable</v>
      </c>
      <c r="C6226" s="3">
        <v>8.0</v>
      </c>
      <c r="D6226" s="3">
        <f>IFERROR(__xludf.DUMMYFUNCTION("IFERROR(
IF(REGEXMATCH(LOWER(O6226),""k""),
VALUE(REGEXEXTRACT(O6226,""[0-9]+""))*1000,
VALUE(REGEXEXTRACT(O6226,""[0-9]+""))
),
0
)"),0.0)</f>
        <v>0</v>
      </c>
      <c r="E6226" s="1" t="s">
        <v>11</v>
      </c>
      <c r="F6226" s="1" t="s">
        <v>12</v>
      </c>
      <c r="G6226" s="4" t="b">
        <f t="shared" si="2"/>
        <v>1</v>
      </c>
      <c r="H6226" s="1" t="str">
        <f t="shared" si="3"/>
        <v>Currently Unavailable</v>
      </c>
      <c r="I6226" s="1" t="str">
        <f t="shared" si="4"/>
        <v>No Badges</v>
      </c>
      <c r="J6226" s="3">
        <f t="shared" si="5"/>
        <v>0</v>
      </c>
    </row>
    <row r="6227">
      <c r="A6227" s="1" t="s">
        <v>4688</v>
      </c>
      <c r="B6227" s="3" t="str">
        <f t="shared" si="1"/>
        <v>Unavailable</v>
      </c>
      <c r="C6227" s="5">
        <v>2062.0</v>
      </c>
      <c r="D6227" s="3">
        <f>IFERROR(__xludf.DUMMYFUNCTION("IFERROR(
IF(REGEXMATCH(LOWER(O6227),""k""),
VALUE(REGEXEXTRACT(O6227,""[0-9]+""))*1000,
VALUE(REGEXEXTRACT(O6227,""[0-9]+""))
),
0
)"),0.0)</f>
        <v>0</v>
      </c>
      <c r="E6227" s="1" t="s">
        <v>11</v>
      </c>
      <c r="F6227" s="1" t="s">
        <v>20</v>
      </c>
      <c r="G6227" s="4" t="b">
        <f t="shared" si="2"/>
        <v>1</v>
      </c>
      <c r="H6227" s="1" t="str">
        <f t="shared" si="3"/>
        <v>Currently Unavailable</v>
      </c>
      <c r="I6227" s="1" t="str">
        <f t="shared" si="4"/>
        <v>No Badges</v>
      </c>
      <c r="J6227" s="3">
        <f t="shared" si="5"/>
        <v>0</v>
      </c>
    </row>
    <row r="6228">
      <c r="A6228" s="1" t="s">
        <v>4689</v>
      </c>
      <c r="B6228" s="3" t="str">
        <f t="shared" si="1"/>
        <v>Unavailable</v>
      </c>
      <c r="C6228" s="3">
        <v>9.0</v>
      </c>
      <c r="D6228" s="3">
        <f>IFERROR(__xludf.DUMMYFUNCTION("IFERROR(
IF(REGEXMATCH(LOWER(O6228),""k""),
VALUE(REGEXEXTRACT(O6228,""[0-9]+""))*1000,
VALUE(REGEXEXTRACT(O6228,""[0-9]+""))
),
0
)"),0.0)</f>
        <v>0</v>
      </c>
      <c r="E6228" s="1" t="s">
        <v>11</v>
      </c>
      <c r="F6228" s="1" t="s">
        <v>20</v>
      </c>
      <c r="G6228" s="4" t="b">
        <f t="shared" si="2"/>
        <v>1</v>
      </c>
      <c r="H6228" s="1" t="str">
        <f t="shared" si="3"/>
        <v>Currently Unavailable</v>
      </c>
      <c r="I6228" s="1" t="str">
        <f t="shared" si="4"/>
        <v>No Badges</v>
      </c>
      <c r="J6228" s="3">
        <f t="shared" si="5"/>
        <v>0</v>
      </c>
    </row>
    <row r="6229">
      <c r="A6229" s="1" t="s">
        <v>4690</v>
      </c>
      <c r="B6229" s="3" t="str">
        <f t="shared" si="1"/>
        <v>Unavailable</v>
      </c>
      <c r="C6229" s="3">
        <v>348.0</v>
      </c>
      <c r="D6229" s="3">
        <f>IFERROR(__xludf.DUMMYFUNCTION("IFERROR(
IF(REGEXMATCH(LOWER(O6229),""k""),
VALUE(REGEXEXTRACT(O6229,""[0-9]+""))*1000,
VALUE(REGEXEXTRACT(O6229,""[0-9]+""))
),
0
)"),0.0)</f>
        <v>0</v>
      </c>
      <c r="E6229" s="1" t="s">
        <v>11</v>
      </c>
      <c r="F6229" s="1" t="s">
        <v>20</v>
      </c>
      <c r="G6229" s="4" t="b">
        <f t="shared" si="2"/>
        <v>1</v>
      </c>
      <c r="H6229" s="1" t="str">
        <f t="shared" si="3"/>
        <v>Currently Unavailable</v>
      </c>
      <c r="I6229" s="1" t="str">
        <f t="shared" si="4"/>
        <v>No Badges</v>
      </c>
      <c r="J6229" s="3">
        <f t="shared" si="5"/>
        <v>0</v>
      </c>
    </row>
    <row r="6230">
      <c r="A6230" s="1" t="s">
        <v>4691</v>
      </c>
      <c r="B6230" s="3" t="str">
        <f t="shared" si="1"/>
        <v>Unavailable</v>
      </c>
      <c r="C6230" s="5">
        <v>1003.0</v>
      </c>
      <c r="D6230" s="3">
        <f>IFERROR(__xludf.DUMMYFUNCTION("IFERROR(
IF(REGEXMATCH(LOWER(O6230),""k""),
VALUE(REGEXEXTRACT(O6230,""[0-9]+""))*1000,
VALUE(REGEXEXTRACT(O6230,""[0-9]+""))
),
0
)"),0.0)</f>
        <v>0</v>
      </c>
      <c r="E6230" s="1" t="s">
        <v>18</v>
      </c>
      <c r="F6230" s="1" t="s">
        <v>20</v>
      </c>
      <c r="G6230" s="4" t="b">
        <f t="shared" si="2"/>
        <v>1</v>
      </c>
      <c r="H6230" s="1" t="str">
        <f t="shared" si="3"/>
        <v>Currently Unavailable</v>
      </c>
      <c r="I6230" s="1" t="str">
        <f t="shared" si="4"/>
        <v>No Badges</v>
      </c>
      <c r="J6230" s="3">
        <f t="shared" si="5"/>
        <v>0</v>
      </c>
    </row>
    <row r="6231">
      <c r="A6231" s="1" t="s">
        <v>4692</v>
      </c>
      <c r="B6231" s="3" t="str">
        <f t="shared" si="1"/>
        <v>Unavailable</v>
      </c>
      <c r="C6231" s="3">
        <v>68.0</v>
      </c>
      <c r="D6231" s="3">
        <f>IFERROR(__xludf.DUMMYFUNCTION("IFERROR(
IF(REGEXMATCH(LOWER(O6231),""k""),
VALUE(REGEXEXTRACT(O6231,""[0-9]+""))*1000,
VALUE(REGEXEXTRACT(O6231,""[0-9]+""))
),
0
)"),0.0)</f>
        <v>0</v>
      </c>
      <c r="E6231" s="1" t="s">
        <v>11</v>
      </c>
      <c r="F6231" s="1" t="s">
        <v>20</v>
      </c>
      <c r="G6231" s="4" t="b">
        <f t="shared" si="2"/>
        <v>1</v>
      </c>
      <c r="H6231" s="1" t="str">
        <f t="shared" si="3"/>
        <v>Currently Unavailable</v>
      </c>
      <c r="I6231" s="1" t="str">
        <f t="shared" si="4"/>
        <v>No Badges</v>
      </c>
      <c r="J6231" s="3">
        <f t="shared" si="5"/>
        <v>0</v>
      </c>
    </row>
    <row r="6232">
      <c r="A6232" s="1" t="s">
        <v>4693</v>
      </c>
      <c r="B6232" s="3" t="str">
        <f t="shared" si="1"/>
        <v>Unavailable</v>
      </c>
      <c r="C6232" s="3">
        <v>627.0</v>
      </c>
      <c r="D6232" s="3">
        <f>IFERROR(__xludf.DUMMYFUNCTION("IFERROR(
IF(REGEXMATCH(LOWER(O6232),""k""),
VALUE(REGEXEXTRACT(O6232,""[0-9]+""))*1000,
VALUE(REGEXEXTRACT(O6232,""[0-9]+""))
),
0
)"),0.0)</f>
        <v>0</v>
      </c>
      <c r="E6232" s="1" t="s">
        <v>11</v>
      </c>
      <c r="F6232" s="1" t="s">
        <v>20</v>
      </c>
      <c r="G6232" s="4" t="b">
        <f t="shared" si="2"/>
        <v>1</v>
      </c>
      <c r="H6232" s="1" t="str">
        <f t="shared" si="3"/>
        <v>Currently Unavailable</v>
      </c>
      <c r="I6232" s="1" t="str">
        <f t="shared" si="4"/>
        <v>No Badges</v>
      </c>
      <c r="J6232" s="3">
        <f t="shared" si="5"/>
        <v>0</v>
      </c>
    </row>
    <row r="6233">
      <c r="A6233" s="1" t="s">
        <v>4694</v>
      </c>
      <c r="B6233" s="3" t="str">
        <f t="shared" si="1"/>
        <v>Unavailable</v>
      </c>
      <c r="C6233" s="3">
        <v>35.0</v>
      </c>
      <c r="D6233" s="3">
        <f>IFERROR(__xludf.DUMMYFUNCTION("IFERROR(
IF(REGEXMATCH(LOWER(O6233),""k""),
VALUE(REGEXEXTRACT(O6233,""[0-9]+""))*1000,
VALUE(REGEXEXTRACT(O6233,""[0-9]+""))
),
0
)"),0.0)</f>
        <v>0</v>
      </c>
      <c r="E6233" s="1" t="s">
        <v>11</v>
      </c>
      <c r="F6233" s="1" t="s">
        <v>20</v>
      </c>
      <c r="G6233" s="4" t="b">
        <f t="shared" si="2"/>
        <v>1</v>
      </c>
      <c r="H6233" s="1" t="str">
        <f t="shared" si="3"/>
        <v>Currently Unavailable</v>
      </c>
      <c r="I6233" s="1" t="str">
        <f t="shared" si="4"/>
        <v>No Badges</v>
      </c>
      <c r="J6233" s="3">
        <f t="shared" si="5"/>
        <v>0</v>
      </c>
    </row>
    <row r="6234">
      <c r="A6234" s="1" t="s">
        <v>4695</v>
      </c>
      <c r="B6234" s="3" t="str">
        <f t="shared" si="1"/>
        <v>Unavailable</v>
      </c>
      <c r="C6234" s="3">
        <v>312.0</v>
      </c>
      <c r="D6234" s="3">
        <f>IFERROR(__xludf.DUMMYFUNCTION("IFERROR(
IF(REGEXMATCH(LOWER(O6234),""k""),
VALUE(REGEXEXTRACT(O6234,""[0-9]+""))*1000,
VALUE(REGEXEXTRACT(O6234,""[0-9]+""))
),
0
)"),0.0)</f>
        <v>0</v>
      </c>
      <c r="E6234" s="1" t="s">
        <v>11</v>
      </c>
      <c r="F6234" s="1" t="s">
        <v>20</v>
      </c>
      <c r="G6234" s="4" t="b">
        <f t="shared" si="2"/>
        <v>1</v>
      </c>
      <c r="H6234" s="1" t="str">
        <f t="shared" si="3"/>
        <v>Currently Unavailable</v>
      </c>
      <c r="I6234" s="1" t="str">
        <f t="shared" si="4"/>
        <v>No Badges</v>
      </c>
      <c r="J6234" s="3">
        <f t="shared" si="5"/>
        <v>0</v>
      </c>
    </row>
    <row r="6235">
      <c r="A6235" s="1" t="s">
        <v>4696</v>
      </c>
      <c r="B6235" s="3" t="str">
        <f t="shared" si="1"/>
        <v>Unavailable</v>
      </c>
      <c r="C6235" s="5">
        <v>1232.0</v>
      </c>
      <c r="D6235" s="3">
        <f>IFERROR(__xludf.DUMMYFUNCTION("IFERROR(
IF(REGEXMATCH(LOWER(O6235),""k""),
VALUE(REGEXEXTRACT(O6235,""[0-9]+""))*1000,
VALUE(REGEXEXTRACT(O6235,""[0-9]+""))
),
0
)"),0.0)</f>
        <v>0</v>
      </c>
      <c r="E6235" s="1" t="s">
        <v>11</v>
      </c>
      <c r="F6235" s="1" t="s">
        <v>20</v>
      </c>
      <c r="G6235" s="4" t="b">
        <f t="shared" si="2"/>
        <v>1</v>
      </c>
      <c r="H6235" s="1" t="str">
        <f t="shared" si="3"/>
        <v>Currently Unavailable</v>
      </c>
      <c r="I6235" s="1" t="str">
        <f t="shared" si="4"/>
        <v>No Badges</v>
      </c>
      <c r="J6235" s="3">
        <f t="shared" si="5"/>
        <v>0</v>
      </c>
    </row>
    <row r="6236">
      <c r="A6236" s="1" t="s">
        <v>4697</v>
      </c>
      <c r="B6236" s="3" t="str">
        <f t="shared" si="1"/>
        <v>Unavailable</v>
      </c>
      <c r="C6236" s="3">
        <v>51.0</v>
      </c>
      <c r="D6236" s="3">
        <f>IFERROR(__xludf.DUMMYFUNCTION("IFERROR(
IF(REGEXMATCH(LOWER(O6236),""k""),
VALUE(REGEXEXTRACT(O6236,""[0-9]+""))*1000,
VALUE(REGEXEXTRACT(O6236,""[0-9]+""))
),
0
)"),0.0)</f>
        <v>0</v>
      </c>
      <c r="E6236" s="1" t="s">
        <v>11</v>
      </c>
      <c r="F6236" s="1" t="s">
        <v>20</v>
      </c>
      <c r="G6236" s="4" t="b">
        <f t="shared" si="2"/>
        <v>1</v>
      </c>
      <c r="H6236" s="1" t="str">
        <f t="shared" si="3"/>
        <v>Currently Unavailable</v>
      </c>
      <c r="I6236" s="1" t="str">
        <f t="shared" si="4"/>
        <v>No Badges</v>
      </c>
      <c r="J6236" s="3">
        <f t="shared" si="5"/>
        <v>0</v>
      </c>
    </row>
    <row r="6237">
      <c r="A6237" s="1" t="s">
        <v>4698</v>
      </c>
      <c r="B6237" s="3" t="str">
        <f t="shared" si="1"/>
        <v>Unavailable</v>
      </c>
      <c r="C6237" s="5">
        <v>1036.0</v>
      </c>
      <c r="D6237" s="3">
        <f>IFERROR(__xludf.DUMMYFUNCTION("IFERROR(
IF(REGEXMATCH(LOWER(O6237),""k""),
VALUE(REGEXEXTRACT(O6237,""[0-9]+""))*1000,
VALUE(REGEXEXTRACT(O6237,""[0-9]+""))
),
0
)"),0.0)</f>
        <v>0</v>
      </c>
      <c r="E6237" s="1" t="s">
        <v>11</v>
      </c>
      <c r="F6237" s="1" t="s">
        <v>20</v>
      </c>
      <c r="G6237" s="4" t="b">
        <f t="shared" si="2"/>
        <v>1</v>
      </c>
      <c r="H6237" s="1" t="str">
        <f t="shared" si="3"/>
        <v>Currently Unavailable</v>
      </c>
      <c r="I6237" s="1" t="str">
        <f t="shared" si="4"/>
        <v>No Badges</v>
      </c>
      <c r="J6237" s="3">
        <f t="shared" si="5"/>
        <v>0</v>
      </c>
    </row>
    <row r="6238">
      <c r="A6238" s="1" t="s">
        <v>4699</v>
      </c>
      <c r="B6238" s="3" t="str">
        <f t="shared" si="1"/>
        <v>Unavailable</v>
      </c>
      <c r="C6238" s="3">
        <v>135.0</v>
      </c>
      <c r="D6238" s="3">
        <f>IFERROR(__xludf.DUMMYFUNCTION("IFERROR(
IF(REGEXMATCH(LOWER(O6238),""k""),
VALUE(REGEXEXTRACT(O6238,""[0-9]+""))*1000,
VALUE(REGEXEXTRACT(O6238,""[0-9]+""))
),
0
)"),0.0)</f>
        <v>0</v>
      </c>
      <c r="E6238" s="1" t="s">
        <v>11</v>
      </c>
      <c r="F6238" s="1" t="s">
        <v>20</v>
      </c>
      <c r="G6238" s="4" t="b">
        <f t="shared" si="2"/>
        <v>1</v>
      </c>
      <c r="H6238" s="1" t="str">
        <f t="shared" si="3"/>
        <v>Currently Unavailable</v>
      </c>
      <c r="I6238" s="1" t="str">
        <f t="shared" si="4"/>
        <v>No Badges</v>
      </c>
      <c r="J6238" s="3">
        <f t="shared" si="5"/>
        <v>0</v>
      </c>
    </row>
    <row r="6239">
      <c r="A6239" s="1" t="s">
        <v>4700</v>
      </c>
      <c r="B6239" s="3" t="str">
        <f t="shared" si="1"/>
        <v>Unavailable</v>
      </c>
      <c r="C6239" s="3">
        <v>330.0</v>
      </c>
      <c r="D6239" s="3">
        <f>IFERROR(__xludf.DUMMYFUNCTION("IFERROR(
IF(REGEXMATCH(LOWER(O6239),""k""),
VALUE(REGEXEXTRACT(O6239,""[0-9]+""))*1000,
VALUE(REGEXEXTRACT(O6239,""[0-9]+""))
),
0
)"),0.0)</f>
        <v>0</v>
      </c>
      <c r="E6239" s="1" t="s">
        <v>11</v>
      </c>
      <c r="F6239" s="1" t="s">
        <v>12</v>
      </c>
      <c r="G6239" s="4" t="b">
        <f t="shared" si="2"/>
        <v>1</v>
      </c>
      <c r="H6239" s="1" t="str">
        <f t="shared" si="3"/>
        <v>Currently Unavailable</v>
      </c>
      <c r="I6239" s="1" t="str">
        <f t="shared" si="4"/>
        <v>No Badges</v>
      </c>
      <c r="J6239" s="3">
        <f t="shared" si="5"/>
        <v>0</v>
      </c>
    </row>
    <row r="6240">
      <c r="A6240" s="1" t="s">
        <v>88</v>
      </c>
      <c r="B6240" s="3" t="str">
        <f t="shared" si="1"/>
        <v>Unavailable</v>
      </c>
      <c r="C6240" s="3">
        <v>5.0</v>
      </c>
      <c r="D6240" s="3">
        <f>IFERROR(__xludf.DUMMYFUNCTION("IFERROR(
IF(REGEXMATCH(LOWER(O6240),""k""),
VALUE(REGEXEXTRACT(O6240,""[0-9]+""))*1000,
VALUE(REGEXEXTRACT(O6240,""[0-9]+""))
),
0
)"),0.0)</f>
        <v>0</v>
      </c>
      <c r="E6240" s="1" t="s">
        <v>11</v>
      </c>
      <c r="F6240" s="1" t="s">
        <v>12</v>
      </c>
      <c r="G6240" s="4" t="b">
        <f t="shared" si="2"/>
        <v>1</v>
      </c>
      <c r="H6240" s="1" t="str">
        <f t="shared" si="3"/>
        <v>Currently Unavailable</v>
      </c>
      <c r="I6240" s="1" t="str">
        <f t="shared" si="4"/>
        <v>No Badges</v>
      </c>
      <c r="J6240" s="3">
        <f t="shared" si="5"/>
        <v>0</v>
      </c>
    </row>
    <row r="6241">
      <c r="A6241" s="1" t="s">
        <v>40</v>
      </c>
      <c r="B6241" s="3" t="str">
        <f t="shared" si="1"/>
        <v>Unavailable</v>
      </c>
      <c r="C6241" s="3">
        <v>171.0</v>
      </c>
      <c r="D6241" s="3">
        <f>IFERROR(__xludf.DUMMYFUNCTION("IFERROR(
IF(REGEXMATCH(LOWER(O6241),""k""),
VALUE(REGEXEXTRACT(O6241,""[0-9]+""))*1000,
VALUE(REGEXEXTRACT(O6241,""[0-9]+""))
),
0
)"),0.0)</f>
        <v>0</v>
      </c>
      <c r="E6241" s="1" t="s">
        <v>11</v>
      </c>
      <c r="F6241" s="1" t="s">
        <v>12</v>
      </c>
      <c r="G6241" s="4" t="b">
        <f t="shared" si="2"/>
        <v>1</v>
      </c>
      <c r="H6241" s="1" t="str">
        <f t="shared" si="3"/>
        <v>Currently Unavailable</v>
      </c>
      <c r="I6241" s="1" t="str">
        <f t="shared" si="4"/>
        <v>No Badges</v>
      </c>
      <c r="J6241" s="3">
        <f t="shared" si="5"/>
        <v>0</v>
      </c>
    </row>
    <row r="6242">
      <c r="A6242" s="1" t="s">
        <v>4701</v>
      </c>
      <c r="B6242" s="3" t="str">
        <f t="shared" si="1"/>
        <v>Unavailable</v>
      </c>
      <c r="C6242" s="3">
        <v>437.0</v>
      </c>
      <c r="D6242" s="3">
        <f>IFERROR(__xludf.DUMMYFUNCTION("IFERROR(
IF(REGEXMATCH(LOWER(O6242),""k""),
VALUE(REGEXEXTRACT(O6242,""[0-9]+""))*1000,
VALUE(REGEXEXTRACT(O6242,""[0-9]+""))
),
0
)"),0.0)</f>
        <v>0</v>
      </c>
      <c r="E6242" s="1" t="s">
        <v>11</v>
      </c>
      <c r="F6242" s="1" t="s">
        <v>20</v>
      </c>
      <c r="G6242" s="4" t="b">
        <f t="shared" si="2"/>
        <v>1</v>
      </c>
      <c r="H6242" s="1" t="str">
        <f t="shared" si="3"/>
        <v>Currently Unavailable</v>
      </c>
      <c r="I6242" s="1" t="str">
        <f t="shared" si="4"/>
        <v>No Badges</v>
      </c>
      <c r="J6242" s="3">
        <f t="shared" si="5"/>
        <v>0</v>
      </c>
    </row>
    <row r="6243">
      <c r="A6243" s="1" t="s">
        <v>4702</v>
      </c>
      <c r="B6243" s="3" t="str">
        <f t="shared" si="1"/>
        <v>Unavailable</v>
      </c>
      <c r="C6243" s="3">
        <v>210.0</v>
      </c>
      <c r="D6243" s="3">
        <f>IFERROR(__xludf.DUMMYFUNCTION("IFERROR(
IF(REGEXMATCH(LOWER(O6243),""k""),
VALUE(REGEXEXTRACT(O6243,""[0-9]+""))*1000,
VALUE(REGEXEXTRACT(O6243,""[0-9]+""))
),
0
)"),0.0)</f>
        <v>0</v>
      </c>
      <c r="E6243" s="1" t="s">
        <v>11</v>
      </c>
      <c r="F6243" s="1" t="s">
        <v>20</v>
      </c>
      <c r="G6243" s="4" t="b">
        <f t="shared" si="2"/>
        <v>1</v>
      </c>
      <c r="H6243" s="1" t="str">
        <f t="shared" si="3"/>
        <v>Currently Unavailable</v>
      </c>
      <c r="I6243" s="1" t="str">
        <f t="shared" si="4"/>
        <v>No Badges</v>
      </c>
      <c r="J6243" s="3">
        <f t="shared" si="5"/>
        <v>0</v>
      </c>
    </row>
    <row r="6244">
      <c r="A6244" s="1" t="s">
        <v>69</v>
      </c>
      <c r="B6244" s="3" t="str">
        <f t="shared" si="1"/>
        <v>Unavailable</v>
      </c>
      <c r="C6244" s="3">
        <v>45.0</v>
      </c>
      <c r="D6244" s="3">
        <f>IFERROR(__xludf.DUMMYFUNCTION("IFERROR(
IF(REGEXMATCH(LOWER(O6244),""k""),
VALUE(REGEXEXTRACT(O6244,""[0-9]+""))*1000,
VALUE(REGEXEXTRACT(O6244,""[0-9]+""))
),
0
)"),0.0)</f>
        <v>0</v>
      </c>
      <c r="E6244" s="1" t="s">
        <v>11</v>
      </c>
      <c r="F6244" s="1" t="s">
        <v>12</v>
      </c>
      <c r="G6244" s="4" t="b">
        <f t="shared" si="2"/>
        <v>1</v>
      </c>
      <c r="H6244" s="1" t="str">
        <f t="shared" si="3"/>
        <v>Currently Unavailable</v>
      </c>
      <c r="I6244" s="1" t="str">
        <f t="shared" si="4"/>
        <v>No Badges</v>
      </c>
      <c r="J6244" s="3">
        <f t="shared" si="5"/>
        <v>0</v>
      </c>
    </row>
    <row r="6245">
      <c r="A6245" s="1" t="s">
        <v>4703</v>
      </c>
      <c r="B6245" s="3" t="str">
        <f t="shared" si="1"/>
        <v>Unavailable</v>
      </c>
      <c r="C6245" s="3">
        <v>240.0</v>
      </c>
      <c r="D6245" s="3">
        <f>IFERROR(__xludf.DUMMYFUNCTION("IFERROR(
IF(REGEXMATCH(LOWER(O6245),""k""),
VALUE(REGEXEXTRACT(O6245,""[0-9]+""))*1000,
VALUE(REGEXEXTRACT(O6245,""[0-9]+""))
),
0
)"),0.0)</f>
        <v>0</v>
      </c>
      <c r="E6245" s="1" t="s">
        <v>11</v>
      </c>
      <c r="F6245" s="1" t="s">
        <v>20</v>
      </c>
      <c r="G6245" s="4" t="b">
        <f t="shared" si="2"/>
        <v>1</v>
      </c>
      <c r="H6245" s="1" t="str">
        <f t="shared" si="3"/>
        <v>Currently Unavailable</v>
      </c>
      <c r="I6245" s="1" t="str">
        <f t="shared" si="4"/>
        <v>No Badges</v>
      </c>
      <c r="J6245" s="3">
        <f t="shared" si="5"/>
        <v>0</v>
      </c>
    </row>
    <row r="6246">
      <c r="A6246" s="1" t="s">
        <v>4704</v>
      </c>
      <c r="B6246" s="3" t="str">
        <f t="shared" si="1"/>
        <v>Unavailable</v>
      </c>
      <c r="C6246" s="3">
        <v>412.0</v>
      </c>
      <c r="D6246" s="3">
        <f>IFERROR(__xludf.DUMMYFUNCTION("IFERROR(
IF(REGEXMATCH(LOWER(O6246),""k""),
VALUE(REGEXEXTRACT(O6246,""[0-9]+""))*1000,
VALUE(REGEXEXTRACT(O6246,""[0-9]+""))
),
0
)"),0.0)</f>
        <v>0</v>
      </c>
      <c r="E6246" s="1" t="s">
        <v>11</v>
      </c>
      <c r="F6246" s="1" t="s">
        <v>20</v>
      </c>
      <c r="G6246" s="4" t="b">
        <f t="shared" si="2"/>
        <v>1</v>
      </c>
      <c r="H6246" s="1" t="str">
        <f t="shared" si="3"/>
        <v>Currently Unavailable</v>
      </c>
      <c r="I6246" s="1" t="str">
        <f t="shared" si="4"/>
        <v>No Badges</v>
      </c>
      <c r="J6246" s="3">
        <f t="shared" si="5"/>
        <v>0</v>
      </c>
    </row>
    <row r="6247">
      <c r="A6247" s="1" t="s">
        <v>4705</v>
      </c>
      <c r="B6247" s="3" t="str">
        <f t="shared" si="1"/>
        <v>Unavailable</v>
      </c>
      <c r="C6247" s="3">
        <v>1.0</v>
      </c>
      <c r="D6247" s="3">
        <f>IFERROR(__xludf.DUMMYFUNCTION("IFERROR(
IF(REGEXMATCH(LOWER(O6247),""k""),
VALUE(REGEXEXTRACT(O6247,""[0-9]+""))*1000,
VALUE(REGEXEXTRACT(O6247,""[0-9]+""))
),
0
)"),0.0)</f>
        <v>0</v>
      </c>
      <c r="E6247" s="1" t="s">
        <v>11</v>
      </c>
      <c r="F6247" s="1" t="s">
        <v>20</v>
      </c>
      <c r="G6247" s="4" t="b">
        <f t="shared" si="2"/>
        <v>1</v>
      </c>
      <c r="H6247" s="1" t="str">
        <f t="shared" si="3"/>
        <v>Currently Unavailable</v>
      </c>
      <c r="I6247" s="1" t="str">
        <f t="shared" si="4"/>
        <v>No Badges</v>
      </c>
      <c r="J6247" s="3">
        <f t="shared" si="5"/>
        <v>0</v>
      </c>
    </row>
    <row r="6248">
      <c r="A6248" s="1" t="s">
        <v>4706</v>
      </c>
      <c r="B6248" s="3" t="str">
        <f t="shared" si="1"/>
        <v>Unavailable</v>
      </c>
      <c r="C6248" s="3">
        <v>146.0</v>
      </c>
      <c r="D6248" s="3">
        <f>IFERROR(__xludf.DUMMYFUNCTION("IFERROR(
IF(REGEXMATCH(LOWER(O6248),""k""),
VALUE(REGEXEXTRACT(O6248,""[0-9]+""))*1000,
VALUE(REGEXEXTRACT(O6248,""[0-9]+""))
),
0
)"),0.0)</f>
        <v>0</v>
      </c>
      <c r="E6248" s="1" t="s">
        <v>11</v>
      </c>
      <c r="F6248" s="1" t="s">
        <v>20</v>
      </c>
      <c r="G6248" s="4" t="b">
        <f t="shared" si="2"/>
        <v>1</v>
      </c>
      <c r="H6248" s="1" t="str">
        <f t="shared" si="3"/>
        <v>Currently Unavailable</v>
      </c>
      <c r="I6248" s="1" t="str">
        <f t="shared" si="4"/>
        <v>No Badges</v>
      </c>
      <c r="J6248" s="3">
        <f t="shared" si="5"/>
        <v>0</v>
      </c>
    </row>
    <row r="6249">
      <c r="A6249" s="1" t="s">
        <v>4707</v>
      </c>
      <c r="B6249" s="3" t="str">
        <f t="shared" si="1"/>
        <v>Unavailable</v>
      </c>
      <c r="C6249" s="3">
        <v>986.0</v>
      </c>
      <c r="D6249" s="3">
        <f>IFERROR(__xludf.DUMMYFUNCTION("IFERROR(
IF(REGEXMATCH(LOWER(O6249),""k""),
VALUE(REGEXEXTRACT(O6249,""[0-9]+""))*1000,
VALUE(REGEXEXTRACT(O6249,""[0-9]+""))
),
0
)"),0.0)</f>
        <v>0</v>
      </c>
      <c r="E6249" s="1" t="s">
        <v>11</v>
      </c>
      <c r="F6249" s="1" t="s">
        <v>20</v>
      </c>
      <c r="G6249" s="4" t="b">
        <f t="shared" si="2"/>
        <v>1</v>
      </c>
      <c r="H6249" s="1" t="str">
        <f t="shared" si="3"/>
        <v>Currently Unavailable</v>
      </c>
      <c r="I6249" s="1" t="str">
        <f t="shared" si="4"/>
        <v>No Badges</v>
      </c>
      <c r="J6249" s="3">
        <f t="shared" si="5"/>
        <v>0</v>
      </c>
    </row>
    <row r="6250">
      <c r="A6250" s="1" t="s">
        <v>4708</v>
      </c>
      <c r="B6250" s="3" t="str">
        <f t="shared" si="1"/>
        <v>Unavailable</v>
      </c>
      <c r="C6250" s="5">
        <v>1397.0</v>
      </c>
      <c r="D6250" s="3">
        <f>IFERROR(__xludf.DUMMYFUNCTION("IFERROR(
IF(REGEXMATCH(LOWER(O6250),""k""),
VALUE(REGEXEXTRACT(O6250,""[0-9]+""))*1000,
VALUE(REGEXEXTRACT(O6250,""[0-9]+""))
),
0
)"),0.0)</f>
        <v>0</v>
      </c>
      <c r="E6250" s="1" t="s">
        <v>11</v>
      </c>
      <c r="F6250" s="1" t="s">
        <v>20</v>
      </c>
      <c r="G6250" s="4" t="b">
        <f t="shared" si="2"/>
        <v>1</v>
      </c>
      <c r="H6250" s="1" t="str">
        <f t="shared" si="3"/>
        <v>Currently Unavailable</v>
      </c>
      <c r="I6250" s="1" t="str">
        <f t="shared" si="4"/>
        <v>No Badges</v>
      </c>
      <c r="J6250" s="3">
        <f t="shared" si="5"/>
        <v>0</v>
      </c>
    </row>
    <row r="6251">
      <c r="A6251" s="1" t="s">
        <v>4709</v>
      </c>
      <c r="B6251" s="3" t="str">
        <f t="shared" si="1"/>
        <v>Unavailable</v>
      </c>
      <c r="C6251" s="3">
        <v>423.0</v>
      </c>
      <c r="D6251" s="3">
        <f>IFERROR(__xludf.DUMMYFUNCTION("IFERROR(
IF(REGEXMATCH(LOWER(O6251),""k""),
VALUE(REGEXEXTRACT(O6251,""[0-9]+""))*1000,
VALUE(REGEXEXTRACT(O6251,""[0-9]+""))
),
0
)"),0.0)</f>
        <v>0</v>
      </c>
      <c r="E6251" s="1" t="s">
        <v>11</v>
      </c>
      <c r="F6251" s="1" t="s">
        <v>20</v>
      </c>
      <c r="G6251" s="4" t="b">
        <f t="shared" si="2"/>
        <v>1</v>
      </c>
      <c r="H6251" s="1" t="str">
        <f t="shared" si="3"/>
        <v>Currently Unavailable</v>
      </c>
      <c r="I6251" s="1" t="str">
        <f t="shared" si="4"/>
        <v>No Badges</v>
      </c>
      <c r="J6251" s="3">
        <f t="shared" si="5"/>
        <v>0</v>
      </c>
    </row>
    <row r="6252">
      <c r="A6252" s="1" t="s">
        <v>4710</v>
      </c>
      <c r="B6252" s="3" t="str">
        <f t="shared" si="1"/>
        <v>Unavailable</v>
      </c>
      <c r="C6252" s="3">
        <v>443.0</v>
      </c>
      <c r="D6252" s="3">
        <f>IFERROR(__xludf.DUMMYFUNCTION("IFERROR(
IF(REGEXMATCH(LOWER(O6252),""k""),
VALUE(REGEXEXTRACT(O6252,""[0-9]+""))*1000,
VALUE(REGEXEXTRACT(O6252,""[0-9]+""))
),
0
)"),0.0)</f>
        <v>0</v>
      </c>
      <c r="E6252" s="1" t="s">
        <v>11</v>
      </c>
      <c r="F6252" s="1" t="s">
        <v>20</v>
      </c>
      <c r="G6252" s="4" t="b">
        <f t="shared" si="2"/>
        <v>1</v>
      </c>
      <c r="H6252" s="1" t="str">
        <f t="shared" si="3"/>
        <v>Currently Unavailable</v>
      </c>
      <c r="I6252" s="1" t="str">
        <f t="shared" si="4"/>
        <v>No Badges</v>
      </c>
      <c r="J6252" s="3">
        <f t="shared" si="5"/>
        <v>0</v>
      </c>
    </row>
    <row r="6253">
      <c r="A6253" s="1" t="s">
        <v>4711</v>
      </c>
      <c r="B6253" s="3" t="str">
        <f t="shared" si="1"/>
        <v>Unavailable</v>
      </c>
      <c r="C6253" s="3">
        <v>369.0</v>
      </c>
      <c r="D6253" s="3">
        <f>IFERROR(__xludf.DUMMYFUNCTION("IFERROR(
IF(REGEXMATCH(LOWER(O6253),""k""),
VALUE(REGEXEXTRACT(O6253,""[0-9]+""))*1000,
VALUE(REGEXEXTRACT(O6253,""[0-9]+""))
),
0
)"),0.0)</f>
        <v>0</v>
      </c>
      <c r="E6253" s="1" t="s">
        <v>11</v>
      </c>
      <c r="F6253" s="1" t="s">
        <v>20</v>
      </c>
      <c r="G6253" s="4" t="b">
        <f t="shared" si="2"/>
        <v>1</v>
      </c>
      <c r="H6253" s="1" t="str">
        <f t="shared" si="3"/>
        <v>Currently Unavailable</v>
      </c>
      <c r="I6253" s="1" t="str">
        <f t="shared" si="4"/>
        <v>No Badges</v>
      </c>
      <c r="J6253" s="6">
        <f t="shared" si="5"/>
        <v>0</v>
      </c>
    </row>
    <row r="6254">
      <c r="A6254" s="1" t="s">
        <v>4712</v>
      </c>
      <c r="B6254" s="3" t="str">
        <f t="shared" si="1"/>
        <v>Unavailable</v>
      </c>
      <c r="C6254" s="3">
        <v>52.0</v>
      </c>
      <c r="D6254" s="3">
        <f>IFERROR(__xludf.DUMMYFUNCTION("IFERROR(
IF(REGEXMATCH(LOWER(O6254),""k""),
VALUE(REGEXEXTRACT(O6254,""[0-9]+""))*1000,
VALUE(REGEXEXTRACT(O6254,""[0-9]+""))
),
0
)"),0.0)</f>
        <v>0</v>
      </c>
      <c r="E6254" s="1" t="s">
        <v>11</v>
      </c>
      <c r="F6254" s="1" t="s">
        <v>20</v>
      </c>
      <c r="G6254" s="4" t="b">
        <f t="shared" si="2"/>
        <v>1</v>
      </c>
      <c r="H6254" s="1" t="str">
        <f t="shared" si="3"/>
        <v>Currently Unavailable</v>
      </c>
      <c r="I6254" s="1" t="str">
        <f t="shared" si="4"/>
        <v>No Badges</v>
      </c>
      <c r="J6254" s="3">
        <f t="shared" si="5"/>
        <v>0</v>
      </c>
    </row>
    <row r="6255">
      <c r="A6255" s="1" t="s">
        <v>4713</v>
      </c>
      <c r="B6255" s="3" t="str">
        <f t="shared" si="1"/>
        <v>Unavailable</v>
      </c>
      <c r="C6255" s="5">
        <v>3643.0</v>
      </c>
      <c r="D6255" s="3">
        <f>IFERROR(__xludf.DUMMYFUNCTION("IFERROR(
IF(REGEXMATCH(LOWER(O6255),""k""),
VALUE(REGEXEXTRACT(O6255,""[0-9]+""))*1000,
VALUE(REGEXEXTRACT(O6255,""[0-9]+""))
),
0
)"),0.0)</f>
        <v>0</v>
      </c>
      <c r="E6255" s="1" t="s">
        <v>11</v>
      </c>
      <c r="F6255" s="1" t="s">
        <v>20</v>
      </c>
      <c r="G6255" s="4" t="b">
        <f t="shared" si="2"/>
        <v>1</v>
      </c>
      <c r="H6255" s="1" t="str">
        <f t="shared" si="3"/>
        <v>Currently Unavailable</v>
      </c>
      <c r="I6255" s="1" t="str">
        <f t="shared" si="4"/>
        <v>No Badges</v>
      </c>
      <c r="J6255" s="3">
        <f t="shared" si="5"/>
        <v>0</v>
      </c>
    </row>
    <row r="6256">
      <c r="A6256" s="1" t="s">
        <v>4714</v>
      </c>
      <c r="B6256" s="3" t="str">
        <f t="shared" si="1"/>
        <v>Unavailable</v>
      </c>
      <c r="C6256" s="5">
        <v>2223.0</v>
      </c>
      <c r="D6256" s="3">
        <f>IFERROR(__xludf.DUMMYFUNCTION("IFERROR(
IF(REGEXMATCH(LOWER(O6256),""k""),
VALUE(REGEXEXTRACT(O6256,""[0-9]+""))*1000,
VALUE(REGEXEXTRACT(O6256,""[0-9]+""))
),
0
)"),0.0)</f>
        <v>0</v>
      </c>
      <c r="E6256" s="1" t="s">
        <v>11</v>
      </c>
      <c r="F6256" s="1" t="s">
        <v>20</v>
      </c>
      <c r="G6256" s="4" t="b">
        <f t="shared" si="2"/>
        <v>1</v>
      </c>
      <c r="H6256" s="1" t="str">
        <f t="shared" si="3"/>
        <v>Currently Unavailable</v>
      </c>
      <c r="I6256" s="1" t="str">
        <f t="shared" si="4"/>
        <v>No Badges</v>
      </c>
      <c r="J6256" s="3">
        <f t="shared" si="5"/>
        <v>0</v>
      </c>
    </row>
    <row r="6257">
      <c r="A6257" s="1" t="s">
        <v>67</v>
      </c>
      <c r="B6257" s="3" t="str">
        <f t="shared" si="1"/>
        <v>Unavailable</v>
      </c>
      <c r="C6257" s="3">
        <v>264.0</v>
      </c>
      <c r="D6257" s="3">
        <f>IFERROR(__xludf.DUMMYFUNCTION("IFERROR(
IF(REGEXMATCH(LOWER(O6257),""k""),
VALUE(REGEXEXTRACT(O6257,""[0-9]+""))*1000,
VALUE(REGEXEXTRACT(O6257,""[0-9]+""))
),
0
)"),0.0)</f>
        <v>0</v>
      </c>
      <c r="E6257" s="1" t="s">
        <v>11</v>
      </c>
      <c r="F6257" s="1" t="s">
        <v>12</v>
      </c>
      <c r="G6257" s="4" t="b">
        <f t="shared" si="2"/>
        <v>1</v>
      </c>
      <c r="H6257" s="1" t="str">
        <f t="shared" si="3"/>
        <v>Currently Unavailable</v>
      </c>
      <c r="I6257" s="1" t="str">
        <f t="shared" si="4"/>
        <v>No Badges</v>
      </c>
      <c r="J6257" s="3">
        <f t="shared" si="5"/>
        <v>0</v>
      </c>
    </row>
    <row r="6258">
      <c r="A6258" s="1" t="s">
        <v>4715</v>
      </c>
      <c r="B6258" s="3" t="str">
        <f t="shared" si="1"/>
        <v>Unavailable</v>
      </c>
      <c r="C6258" s="3">
        <v>219.0</v>
      </c>
      <c r="D6258" s="3">
        <f>IFERROR(__xludf.DUMMYFUNCTION("IFERROR(
IF(REGEXMATCH(LOWER(O6258),""k""),
VALUE(REGEXEXTRACT(O6258,""[0-9]+""))*1000,
VALUE(REGEXEXTRACT(O6258,""[0-9]+""))
),
0
)"),0.0)</f>
        <v>0</v>
      </c>
      <c r="E6258" s="1" t="s">
        <v>11</v>
      </c>
      <c r="F6258" s="1" t="s">
        <v>20</v>
      </c>
      <c r="G6258" s="4" t="b">
        <f t="shared" si="2"/>
        <v>1</v>
      </c>
      <c r="H6258" s="1" t="str">
        <f t="shared" si="3"/>
        <v>Currently Unavailable</v>
      </c>
      <c r="I6258" s="1" t="str">
        <f t="shared" si="4"/>
        <v>No Badges</v>
      </c>
      <c r="J6258" s="3">
        <f t="shared" si="5"/>
        <v>0</v>
      </c>
    </row>
    <row r="6259">
      <c r="A6259" s="1" t="s">
        <v>701</v>
      </c>
      <c r="B6259" s="3" t="str">
        <f t="shared" si="1"/>
        <v>Unavailable</v>
      </c>
      <c r="C6259" s="3">
        <v>8.0</v>
      </c>
      <c r="D6259" s="3">
        <f>IFERROR(__xludf.DUMMYFUNCTION("IFERROR(
IF(REGEXMATCH(LOWER(O6259),""k""),
VALUE(REGEXEXTRACT(O6259,""[0-9]+""))*1000,
VALUE(REGEXEXTRACT(O6259,""[0-9]+""))
),
0
)"),0.0)</f>
        <v>0</v>
      </c>
      <c r="E6259" s="1" t="s">
        <v>11</v>
      </c>
      <c r="F6259" s="1" t="s">
        <v>12</v>
      </c>
      <c r="G6259" s="4" t="b">
        <f t="shared" si="2"/>
        <v>1</v>
      </c>
      <c r="H6259" s="1" t="str">
        <f t="shared" si="3"/>
        <v>Currently Unavailable</v>
      </c>
      <c r="I6259" s="1" t="str">
        <f t="shared" si="4"/>
        <v>No Badges</v>
      </c>
      <c r="J6259" s="3">
        <f t="shared" si="5"/>
        <v>0</v>
      </c>
    </row>
    <row r="6260">
      <c r="A6260" s="1" t="s">
        <v>4716</v>
      </c>
      <c r="B6260" s="3" t="str">
        <f t="shared" si="1"/>
        <v>Unavailable</v>
      </c>
      <c r="C6260" s="3">
        <v>139.0</v>
      </c>
      <c r="D6260" s="3">
        <f>IFERROR(__xludf.DUMMYFUNCTION("IFERROR(
IF(REGEXMATCH(LOWER(O6260),""k""),
VALUE(REGEXEXTRACT(O6260,""[0-9]+""))*1000,
VALUE(REGEXEXTRACT(O6260,""[0-9]+""))
),
0
)"),0.0)</f>
        <v>0</v>
      </c>
      <c r="E6260" s="1" t="s">
        <v>11</v>
      </c>
      <c r="F6260" s="1" t="s">
        <v>20</v>
      </c>
      <c r="G6260" s="4" t="b">
        <f t="shared" si="2"/>
        <v>1</v>
      </c>
      <c r="H6260" s="1" t="str">
        <f t="shared" si="3"/>
        <v>Currently Unavailable</v>
      </c>
      <c r="I6260" s="1" t="str">
        <f t="shared" si="4"/>
        <v>No Badges</v>
      </c>
      <c r="J6260" s="3">
        <f t="shared" si="5"/>
        <v>0</v>
      </c>
    </row>
    <row r="6261">
      <c r="A6261" s="1" t="s">
        <v>4717</v>
      </c>
      <c r="B6261" s="3" t="str">
        <f t="shared" si="1"/>
        <v>Unavailable</v>
      </c>
      <c r="C6261" s="5">
        <v>1702.0</v>
      </c>
      <c r="D6261" s="3">
        <f>IFERROR(__xludf.DUMMYFUNCTION("IFERROR(
IF(REGEXMATCH(LOWER(O6261),""k""),
VALUE(REGEXEXTRACT(O6261,""[0-9]+""))*1000,
VALUE(REGEXEXTRACT(O6261,""[0-9]+""))
),
0
)"),0.0)</f>
        <v>0</v>
      </c>
      <c r="E6261" s="1" t="s">
        <v>11</v>
      </c>
      <c r="F6261" s="1" t="s">
        <v>20</v>
      </c>
      <c r="G6261" s="4" t="b">
        <f t="shared" si="2"/>
        <v>1</v>
      </c>
      <c r="H6261" s="1" t="str">
        <f t="shared" si="3"/>
        <v>Currently Unavailable</v>
      </c>
      <c r="I6261" s="1" t="str">
        <f t="shared" si="4"/>
        <v>No Badges</v>
      </c>
      <c r="J6261" s="3">
        <f t="shared" si="5"/>
        <v>0</v>
      </c>
    </row>
    <row r="6262">
      <c r="A6262" s="1" t="s">
        <v>4718</v>
      </c>
      <c r="B6262" s="3" t="str">
        <f t="shared" si="1"/>
        <v>Unavailable</v>
      </c>
      <c r="C6262" s="3">
        <v>527.0</v>
      </c>
      <c r="D6262" s="3">
        <f>IFERROR(__xludf.DUMMYFUNCTION("IFERROR(
IF(REGEXMATCH(LOWER(O6262),""k""),
VALUE(REGEXEXTRACT(O6262,""[0-9]+""))*1000,
VALUE(REGEXEXTRACT(O6262,""[0-9]+""))
),
0
)"),0.0)</f>
        <v>0</v>
      </c>
      <c r="E6262" s="1" t="s">
        <v>11</v>
      </c>
      <c r="F6262" s="1" t="s">
        <v>20</v>
      </c>
      <c r="G6262" s="4" t="b">
        <f t="shared" si="2"/>
        <v>1</v>
      </c>
      <c r="H6262" s="1" t="str">
        <f t="shared" si="3"/>
        <v>Currently Unavailable</v>
      </c>
      <c r="I6262" s="1" t="str">
        <f t="shared" si="4"/>
        <v>No Badges</v>
      </c>
      <c r="J6262" s="3">
        <f t="shared" si="5"/>
        <v>0</v>
      </c>
    </row>
    <row r="6263">
      <c r="A6263" s="1" t="s">
        <v>4719</v>
      </c>
      <c r="B6263" s="3" t="str">
        <f t="shared" si="1"/>
        <v>Unavailable</v>
      </c>
      <c r="C6263" s="5">
        <v>2149.0</v>
      </c>
      <c r="D6263" s="3">
        <f>IFERROR(__xludf.DUMMYFUNCTION("IFERROR(
IF(REGEXMATCH(LOWER(O6263),""k""),
VALUE(REGEXEXTRACT(O6263,""[0-9]+""))*1000,
VALUE(REGEXEXTRACT(O6263,""[0-9]+""))
),
0
)"),0.0)</f>
        <v>0</v>
      </c>
      <c r="E6263" s="1" t="s">
        <v>11</v>
      </c>
      <c r="F6263" s="1" t="s">
        <v>20</v>
      </c>
      <c r="G6263" s="4" t="b">
        <f t="shared" si="2"/>
        <v>1</v>
      </c>
      <c r="H6263" s="1" t="str">
        <f t="shared" si="3"/>
        <v>Currently Unavailable</v>
      </c>
      <c r="I6263" s="1" t="str">
        <f t="shared" si="4"/>
        <v>No Badges</v>
      </c>
      <c r="J6263" s="3">
        <f t="shared" si="5"/>
        <v>0</v>
      </c>
    </row>
    <row r="6264">
      <c r="A6264" s="1" t="s">
        <v>4720</v>
      </c>
      <c r="B6264" s="3" t="str">
        <f t="shared" si="1"/>
        <v>Unavailable</v>
      </c>
      <c r="C6264" s="3">
        <v>55.0</v>
      </c>
      <c r="D6264" s="3">
        <f>IFERROR(__xludf.DUMMYFUNCTION("IFERROR(
IF(REGEXMATCH(LOWER(O6264),""k""),
VALUE(REGEXEXTRACT(O6264,""[0-9]+""))*1000,
VALUE(REGEXEXTRACT(O6264,""[0-9]+""))
),
0
)"),0.0)</f>
        <v>0</v>
      </c>
      <c r="E6264" s="1" t="s">
        <v>11</v>
      </c>
      <c r="F6264" s="1" t="s">
        <v>20</v>
      </c>
      <c r="G6264" s="4" t="b">
        <f t="shared" si="2"/>
        <v>1</v>
      </c>
      <c r="H6264" s="1" t="str">
        <f t="shared" si="3"/>
        <v>Currently Unavailable</v>
      </c>
      <c r="I6264" s="1" t="str">
        <f t="shared" si="4"/>
        <v>No Badges</v>
      </c>
      <c r="J6264" s="3">
        <f t="shared" si="5"/>
        <v>0</v>
      </c>
    </row>
    <row r="6265">
      <c r="A6265" s="1" t="s">
        <v>4721</v>
      </c>
      <c r="B6265" s="3" t="str">
        <f t="shared" si="1"/>
        <v>Unavailable</v>
      </c>
      <c r="C6265" s="3">
        <v>103.0</v>
      </c>
      <c r="D6265" s="3">
        <f>IFERROR(__xludf.DUMMYFUNCTION("IFERROR(
IF(REGEXMATCH(LOWER(O6265),""k""),
VALUE(REGEXEXTRACT(O6265,""[0-9]+""))*1000,
VALUE(REGEXEXTRACT(O6265,""[0-9]+""))
),
0
)"),0.0)</f>
        <v>0</v>
      </c>
      <c r="E6265" s="1" t="s">
        <v>11</v>
      </c>
      <c r="F6265" s="1" t="s">
        <v>20</v>
      </c>
      <c r="G6265" s="4" t="b">
        <f t="shared" si="2"/>
        <v>1</v>
      </c>
      <c r="H6265" s="1" t="str">
        <f t="shared" si="3"/>
        <v>Currently Unavailable</v>
      </c>
      <c r="I6265" s="1" t="str">
        <f t="shared" si="4"/>
        <v>No Badges</v>
      </c>
      <c r="J6265" s="3">
        <f t="shared" si="5"/>
        <v>0</v>
      </c>
    </row>
    <row r="6266">
      <c r="A6266" s="1" t="s">
        <v>4722</v>
      </c>
      <c r="B6266" s="3" t="str">
        <f t="shared" si="1"/>
        <v>Unavailable</v>
      </c>
      <c r="C6266" s="5">
        <v>4056.0</v>
      </c>
      <c r="D6266" s="3">
        <f>IFERROR(__xludf.DUMMYFUNCTION("IFERROR(
IF(REGEXMATCH(LOWER(O6266),""k""),
VALUE(REGEXEXTRACT(O6266,""[0-9]+""))*1000,
VALUE(REGEXEXTRACT(O6266,""[0-9]+""))
),
0
)"),0.0)</f>
        <v>0</v>
      </c>
      <c r="E6266" s="1" t="s">
        <v>11</v>
      </c>
      <c r="F6266" s="1" t="s">
        <v>20</v>
      </c>
      <c r="G6266" s="4" t="b">
        <f t="shared" si="2"/>
        <v>1</v>
      </c>
      <c r="H6266" s="1" t="str">
        <f t="shared" si="3"/>
        <v>Currently Unavailable</v>
      </c>
      <c r="I6266" s="1" t="str">
        <f t="shared" si="4"/>
        <v>No Badges</v>
      </c>
      <c r="J6266" s="3">
        <f t="shared" si="5"/>
        <v>0</v>
      </c>
    </row>
    <row r="6267">
      <c r="A6267" s="1" t="s">
        <v>4723</v>
      </c>
      <c r="B6267" s="3" t="str">
        <f t="shared" si="1"/>
        <v>Unavailable</v>
      </c>
      <c r="C6267" s="3">
        <v>397.0</v>
      </c>
      <c r="D6267" s="3">
        <f>IFERROR(__xludf.DUMMYFUNCTION("IFERROR(
IF(REGEXMATCH(LOWER(O6267),""k""),
VALUE(REGEXEXTRACT(O6267,""[0-9]+""))*1000,
VALUE(REGEXEXTRACT(O6267,""[0-9]+""))
),
0
)"),0.0)</f>
        <v>0</v>
      </c>
      <c r="E6267" s="1" t="s">
        <v>11</v>
      </c>
      <c r="F6267" s="1" t="s">
        <v>20</v>
      </c>
      <c r="G6267" s="4" t="b">
        <f t="shared" si="2"/>
        <v>1</v>
      </c>
      <c r="H6267" s="1" t="str">
        <f t="shared" si="3"/>
        <v>Currently Unavailable</v>
      </c>
      <c r="I6267" s="1" t="str">
        <f t="shared" si="4"/>
        <v>No Badges</v>
      </c>
      <c r="J6267" s="3">
        <f t="shared" si="5"/>
        <v>0</v>
      </c>
    </row>
    <row r="6268">
      <c r="A6268" s="1" t="s">
        <v>4724</v>
      </c>
      <c r="B6268" s="3" t="str">
        <f t="shared" si="1"/>
        <v>Unavailable</v>
      </c>
      <c r="C6268" s="3">
        <v>316.0</v>
      </c>
      <c r="D6268" s="3">
        <f>IFERROR(__xludf.DUMMYFUNCTION("IFERROR(
IF(REGEXMATCH(LOWER(O6268),""k""),
VALUE(REGEXEXTRACT(O6268,""[0-9]+""))*1000,
VALUE(REGEXEXTRACT(O6268,""[0-9]+""))
),
0
)"),0.0)</f>
        <v>0</v>
      </c>
      <c r="E6268" s="1" t="s">
        <v>11</v>
      </c>
      <c r="F6268" s="1" t="s">
        <v>20</v>
      </c>
      <c r="G6268" s="4" t="b">
        <f t="shared" si="2"/>
        <v>1</v>
      </c>
      <c r="H6268" s="1" t="str">
        <f t="shared" si="3"/>
        <v>Currently Unavailable</v>
      </c>
      <c r="I6268" s="1" t="str">
        <f t="shared" si="4"/>
        <v>No Badges</v>
      </c>
      <c r="J6268" s="3">
        <f t="shared" si="5"/>
        <v>0</v>
      </c>
    </row>
    <row r="6269">
      <c r="A6269" s="1" t="s">
        <v>4725</v>
      </c>
      <c r="B6269" s="3" t="str">
        <f t="shared" si="1"/>
        <v>Unavailable</v>
      </c>
      <c r="C6269" s="3">
        <v>840.0</v>
      </c>
      <c r="D6269" s="3">
        <f>IFERROR(__xludf.DUMMYFUNCTION("IFERROR(
IF(REGEXMATCH(LOWER(O6269),""k""),
VALUE(REGEXEXTRACT(O6269,""[0-9]+""))*1000,
VALUE(REGEXEXTRACT(O6269,""[0-9]+""))
),
0
)"),0.0)</f>
        <v>0</v>
      </c>
      <c r="E6269" s="1" t="s">
        <v>11</v>
      </c>
      <c r="F6269" s="1" t="s">
        <v>20</v>
      </c>
      <c r="G6269" s="4" t="b">
        <f t="shared" si="2"/>
        <v>1</v>
      </c>
      <c r="H6269" s="1" t="str">
        <f t="shared" si="3"/>
        <v>Currently Unavailable</v>
      </c>
      <c r="I6269" s="1" t="str">
        <f t="shared" si="4"/>
        <v>No Badges</v>
      </c>
      <c r="J6269" s="3">
        <f t="shared" si="5"/>
        <v>0</v>
      </c>
    </row>
    <row r="6270">
      <c r="A6270" s="1" t="s">
        <v>4726</v>
      </c>
      <c r="B6270" s="3" t="str">
        <f t="shared" si="1"/>
        <v>Unavailable</v>
      </c>
      <c r="C6270" s="3">
        <v>246.0</v>
      </c>
      <c r="D6270" s="3">
        <f>IFERROR(__xludf.DUMMYFUNCTION("IFERROR(
IF(REGEXMATCH(LOWER(O6270),""k""),
VALUE(REGEXEXTRACT(O6270,""[0-9]+""))*1000,
VALUE(REGEXEXTRACT(O6270,""[0-9]+""))
),
0
)"),0.0)</f>
        <v>0</v>
      </c>
      <c r="E6270" s="1" t="s">
        <v>11</v>
      </c>
      <c r="F6270" s="1" t="s">
        <v>20</v>
      </c>
      <c r="G6270" s="4" t="b">
        <f t="shared" si="2"/>
        <v>1</v>
      </c>
      <c r="H6270" s="1" t="str">
        <f t="shared" si="3"/>
        <v>Currently Unavailable</v>
      </c>
      <c r="I6270" s="1" t="str">
        <f t="shared" si="4"/>
        <v>No Badges</v>
      </c>
      <c r="J6270" s="3">
        <f t="shared" si="5"/>
        <v>0</v>
      </c>
    </row>
    <row r="6271">
      <c r="A6271" s="1" t="s">
        <v>4727</v>
      </c>
      <c r="B6271" s="3" t="str">
        <f t="shared" si="1"/>
        <v>Unavailable</v>
      </c>
      <c r="C6271" s="3">
        <v>344.0</v>
      </c>
      <c r="D6271" s="3">
        <f>IFERROR(__xludf.DUMMYFUNCTION("IFERROR(
IF(REGEXMATCH(LOWER(O6271),""k""),
VALUE(REGEXEXTRACT(O6271,""[0-9]+""))*1000,
VALUE(REGEXEXTRACT(O6271,""[0-9]+""))
),
0
)"),0.0)</f>
        <v>0</v>
      </c>
      <c r="E6271" s="1" t="s">
        <v>11</v>
      </c>
      <c r="F6271" s="1" t="s">
        <v>20</v>
      </c>
      <c r="G6271" s="4" t="b">
        <f t="shared" si="2"/>
        <v>1</v>
      </c>
      <c r="H6271" s="1" t="str">
        <f t="shared" si="3"/>
        <v>Currently Unavailable</v>
      </c>
      <c r="I6271" s="1" t="str">
        <f t="shared" si="4"/>
        <v>No Badges</v>
      </c>
      <c r="J6271" s="3">
        <f t="shared" si="5"/>
        <v>0</v>
      </c>
    </row>
    <row r="6272">
      <c r="A6272" s="1" t="s">
        <v>4728</v>
      </c>
      <c r="B6272" s="3" t="str">
        <f t="shared" si="1"/>
        <v>Unavailable</v>
      </c>
      <c r="C6272" s="3">
        <v>726.0</v>
      </c>
      <c r="D6272" s="3">
        <f>IFERROR(__xludf.DUMMYFUNCTION("IFERROR(
IF(REGEXMATCH(LOWER(O6272),""k""),
VALUE(REGEXEXTRACT(O6272,""[0-9]+""))*1000,
VALUE(REGEXEXTRACT(O6272,""[0-9]+""))
),
0
)"),0.0)</f>
        <v>0</v>
      </c>
      <c r="E6272" s="1" t="s">
        <v>11</v>
      </c>
      <c r="F6272" s="1" t="s">
        <v>20</v>
      </c>
      <c r="G6272" s="4" t="b">
        <f t="shared" si="2"/>
        <v>1</v>
      </c>
      <c r="H6272" s="1" t="str">
        <f t="shared" si="3"/>
        <v>Currently Unavailable</v>
      </c>
      <c r="I6272" s="1" t="str">
        <f t="shared" si="4"/>
        <v>No Badges</v>
      </c>
      <c r="J6272" s="3">
        <f t="shared" si="5"/>
        <v>0</v>
      </c>
    </row>
    <row r="6273">
      <c r="A6273" s="1" t="s">
        <v>4729</v>
      </c>
      <c r="B6273" s="3" t="str">
        <f t="shared" si="1"/>
        <v>Unavailable</v>
      </c>
      <c r="C6273" s="3">
        <v>204.0</v>
      </c>
      <c r="D6273" s="3">
        <f>IFERROR(__xludf.DUMMYFUNCTION("IFERROR(
IF(REGEXMATCH(LOWER(O6273),""k""),
VALUE(REGEXEXTRACT(O6273,""[0-9]+""))*1000,
VALUE(REGEXEXTRACT(O6273,""[0-9]+""))
),
0
)"),0.0)</f>
        <v>0</v>
      </c>
      <c r="E6273" s="1" t="s">
        <v>11</v>
      </c>
      <c r="F6273" s="1" t="s">
        <v>12</v>
      </c>
      <c r="G6273" s="4" t="b">
        <f t="shared" si="2"/>
        <v>1</v>
      </c>
      <c r="H6273" s="1" t="str">
        <f t="shared" si="3"/>
        <v>Currently Unavailable</v>
      </c>
      <c r="I6273" s="1" t="str">
        <f t="shared" si="4"/>
        <v>No Badges</v>
      </c>
      <c r="J6273" s="3">
        <f t="shared" si="5"/>
        <v>0</v>
      </c>
    </row>
    <row r="6274">
      <c r="A6274" s="1" t="s">
        <v>88</v>
      </c>
      <c r="B6274" s="3" t="str">
        <f t="shared" si="1"/>
        <v>Unavailable</v>
      </c>
      <c r="C6274" s="3">
        <v>5.0</v>
      </c>
      <c r="D6274" s="3">
        <f>IFERROR(__xludf.DUMMYFUNCTION("IFERROR(
IF(REGEXMATCH(LOWER(O6274),""k""),
VALUE(REGEXEXTRACT(O6274,""[0-9]+""))*1000,
VALUE(REGEXEXTRACT(O6274,""[0-9]+""))
),
0
)"),0.0)</f>
        <v>0</v>
      </c>
      <c r="E6274" s="1" t="s">
        <v>11</v>
      </c>
      <c r="F6274" s="1" t="s">
        <v>12</v>
      </c>
      <c r="G6274" s="4" t="b">
        <f t="shared" si="2"/>
        <v>1</v>
      </c>
      <c r="H6274" s="1" t="str">
        <f t="shared" si="3"/>
        <v>Currently Unavailable</v>
      </c>
      <c r="I6274" s="1" t="str">
        <f t="shared" si="4"/>
        <v>No Badges</v>
      </c>
      <c r="J6274" s="3">
        <f t="shared" si="5"/>
        <v>0</v>
      </c>
    </row>
    <row r="6275">
      <c r="A6275" s="1" t="s">
        <v>4730</v>
      </c>
      <c r="B6275" s="3" t="str">
        <f t="shared" si="1"/>
        <v>Unavailable</v>
      </c>
      <c r="C6275" s="3">
        <v>183.0</v>
      </c>
      <c r="D6275" s="3">
        <f>IFERROR(__xludf.DUMMYFUNCTION("IFERROR(
IF(REGEXMATCH(LOWER(O6275),""k""),
VALUE(REGEXEXTRACT(O6275,""[0-9]+""))*1000,
VALUE(REGEXEXTRACT(O6275,""[0-9]+""))
),
0
)"),0.0)</f>
        <v>0</v>
      </c>
      <c r="E6275" s="1" t="s">
        <v>11</v>
      </c>
      <c r="F6275" s="1" t="s">
        <v>20</v>
      </c>
      <c r="G6275" s="4" t="b">
        <f t="shared" si="2"/>
        <v>1</v>
      </c>
      <c r="H6275" s="1" t="str">
        <f t="shared" si="3"/>
        <v>Currently Unavailable</v>
      </c>
      <c r="I6275" s="1" t="str">
        <f t="shared" si="4"/>
        <v>No Badges</v>
      </c>
      <c r="J6275" s="3">
        <f t="shared" si="5"/>
        <v>0</v>
      </c>
    </row>
    <row r="6276">
      <c r="A6276" s="1" t="s">
        <v>4731</v>
      </c>
      <c r="B6276" s="3" t="str">
        <f t="shared" si="1"/>
        <v>Unavailable</v>
      </c>
      <c r="C6276" s="3">
        <v>182.0</v>
      </c>
      <c r="D6276" s="3">
        <f>IFERROR(__xludf.DUMMYFUNCTION("IFERROR(
IF(REGEXMATCH(LOWER(O6276),""k""),
VALUE(REGEXEXTRACT(O6276,""[0-9]+""))*1000,
VALUE(REGEXEXTRACT(O6276,""[0-9]+""))
),
0
)"),0.0)</f>
        <v>0</v>
      </c>
      <c r="E6276" s="1" t="s">
        <v>11</v>
      </c>
      <c r="F6276" s="1" t="s">
        <v>20</v>
      </c>
      <c r="G6276" s="4" t="b">
        <f t="shared" si="2"/>
        <v>1</v>
      </c>
      <c r="H6276" s="1" t="str">
        <f t="shared" si="3"/>
        <v>Currently Unavailable</v>
      </c>
      <c r="I6276" s="1" t="str">
        <f t="shared" si="4"/>
        <v>No Badges</v>
      </c>
      <c r="J6276" s="3">
        <f t="shared" si="5"/>
        <v>0</v>
      </c>
    </row>
    <row r="6277">
      <c r="A6277" s="1" t="s">
        <v>4732</v>
      </c>
      <c r="B6277" s="3" t="str">
        <f t="shared" si="1"/>
        <v>Unavailable</v>
      </c>
      <c r="C6277" s="5">
        <v>1954.0</v>
      </c>
      <c r="D6277" s="3">
        <f>IFERROR(__xludf.DUMMYFUNCTION("IFERROR(
IF(REGEXMATCH(LOWER(O6277),""k""),
VALUE(REGEXEXTRACT(O6277,""[0-9]+""))*1000,
VALUE(REGEXEXTRACT(O6277,""[0-9]+""))
),
0
)"),0.0)</f>
        <v>0</v>
      </c>
      <c r="E6277" s="1" t="s">
        <v>11</v>
      </c>
      <c r="F6277" s="1" t="s">
        <v>20</v>
      </c>
      <c r="G6277" s="4" t="b">
        <f t="shared" si="2"/>
        <v>1</v>
      </c>
      <c r="H6277" s="1" t="str">
        <f t="shared" si="3"/>
        <v>Currently Unavailable</v>
      </c>
      <c r="I6277" s="1" t="str">
        <f t="shared" si="4"/>
        <v>No Badges</v>
      </c>
      <c r="J6277" s="3">
        <f t="shared" si="5"/>
        <v>0</v>
      </c>
    </row>
    <row r="6278">
      <c r="A6278" s="1" t="s">
        <v>4733</v>
      </c>
      <c r="B6278" s="3" t="str">
        <f t="shared" si="1"/>
        <v>Unavailable</v>
      </c>
      <c r="C6278" s="3">
        <v>195.0</v>
      </c>
      <c r="D6278" s="3">
        <f>IFERROR(__xludf.DUMMYFUNCTION("IFERROR(
IF(REGEXMATCH(LOWER(O6278),""k""),
VALUE(REGEXEXTRACT(O6278,""[0-9]+""))*1000,
VALUE(REGEXEXTRACT(O6278,""[0-9]+""))
),
0
)"),0.0)</f>
        <v>0</v>
      </c>
      <c r="E6278" s="1" t="s">
        <v>11</v>
      </c>
      <c r="F6278" s="1" t="s">
        <v>20</v>
      </c>
      <c r="G6278" s="4" t="b">
        <f t="shared" si="2"/>
        <v>1</v>
      </c>
      <c r="H6278" s="1" t="str">
        <f t="shared" si="3"/>
        <v>Currently Unavailable</v>
      </c>
      <c r="I6278" s="1" t="str">
        <f t="shared" si="4"/>
        <v>No Badges</v>
      </c>
      <c r="J6278" s="3">
        <f t="shared" si="5"/>
        <v>0</v>
      </c>
    </row>
    <row r="6279">
      <c r="A6279" s="1" t="s">
        <v>4734</v>
      </c>
      <c r="B6279" s="3" t="str">
        <f t="shared" si="1"/>
        <v>Unavailable</v>
      </c>
      <c r="C6279" s="3">
        <v>266.0</v>
      </c>
      <c r="D6279" s="3">
        <f>IFERROR(__xludf.DUMMYFUNCTION("IFERROR(
IF(REGEXMATCH(LOWER(O6279),""k""),
VALUE(REGEXEXTRACT(O6279,""[0-9]+""))*1000,
VALUE(REGEXEXTRACT(O6279,""[0-9]+""))
),
0
)"),0.0)</f>
        <v>0</v>
      </c>
      <c r="E6279" s="1" t="s">
        <v>11</v>
      </c>
      <c r="F6279" s="1" t="s">
        <v>20</v>
      </c>
      <c r="G6279" s="4" t="b">
        <f t="shared" si="2"/>
        <v>1</v>
      </c>
      <c r="H6279" s="1" t="str">
        <f t="shared" si="3"/>
        <v>Currently Unavailable</v>
      </c>
      <c r="I6279" s="1" t="str">
        <f t="shared" si="4"/>
        <v>No Badges</v>
      </c>
      <c r="J6279" s="3">
        <f t="shared" si="5"/>
        <v>0</v>
      </c>
    </row>
    <row r="6280">
      <c r="A6280" s="1" t="s">
        <v>4735</v>
      </c>
      <c r="B6280" s="3" t="str">
        <f t="shared" si="1"/>
        <v>Unavailable</v>
      </c>
      <c r="C6280" s="3">
        <v>407.0</v>
      </c>
      <c r="D6280" s="3">
        <f>IFERROR(__xludf.DUMMYFUNCTION("IFERROR(
IF(REGEXMATCH(LOWER(O6280),""k""),
VALUE(REGEXEXTRACT(O6280,""[0-9]+""))*1000,
VALUE(REGEXEXTRACT(O6280,""[0-9]+""))
),
0
)"),0.0)</f>
        <v>0</v>
      </c>
      <c r="E6280" s="1" t="s">
        <v>11</v>
      </c>
      <c r="F6280" s="1" t="s">
        <v>20</v>
      </c>
      <c r="G6280" s="4" t="b">
        <f t="shared" si="2"/>
        <v>1</v>
      </c>
      <c r="H6280" s="1" t="str">
        <f t="shared" si="3"/>
        <v>Currently Unavailable</v>
      </c>
      <c r="I6280" s="1" t="str">
        <f t="shared" si="4"/>
        <v>No Badges</v>
      </c>
      <c r="J6280" s="3">
        <f t="shared" si="5"/>
        <v>0</v>
      </c>
    </row>
    <row r="6281">
      <c r="A6281" s="1" t="s">
        <v>4736</v>
      </c>
      <c r="B6281" s="3" t="str">
        <f t="shared" si="1"/>
        <v>Unavailable</v>
      </c>
      <c r="C6281" s="3">
        <v>54.0</v>
      </c>
      <c r="D6281" s="3">
        <f>IFERROR(__xludf.DUMMYFUNCTION("IFERROR(
IF(REGEXMATCH(LOWER(O6281),""k""),
VALUE(REGEXEXTRACT(O6281,""[0-9]+""))*1000,
VALUE(REGEXEXTRACT(O6281,""[0-9]+""))
),
0
)"),0.0)</f>
        <v>0</v>
      </c>
      <c r="E6281" s="1" t="s">
        <v>11</v>
      </c>
      <c r="F6281" s="1" t="s">
        <v>20</v>
      </c>
      <c r="G6281" s="4" t="b">
        <f t="shared" si="2"/>
        <v>1</v>
      </c>
      <c r="H6281" s="1" t="str">
        <f t="shared" si="3"/>
        <v>Currently Unavailable</v>
      </c>
      <c r="I6281" s="1" t="str">
        <f t="shared" si="4"/>
        <v>No Badges</v>
      </c>
      <c r="J6281" s="3">
        <f t="shared" si="5"/>
        <v>0</v>
      </c>
    </row>
    <row r="6282">
      <c r="A6282" s="1" t="s">
        <v>4737</v>
      </c>
      <c r="B6282" s="3" t="str">
        <f t="shared" si="1"/>
        <v>Unavailable</v>
      </c>
      <c r="C6282" s="3">
        <v>52.0</v>
      </c>
      <c r="D6282" s="3">
        <f>IFERROR(__xludf.DUMMYFUNCTION("IFERROR(
IF(REGEXMATCH(LOWER(O6282),""k""),
VALUE(REGEXEXTRACT(O6282,""[0-9]+""))*1000,
VALUE(REGEXEXTRACT(O6282,""[0-9]+""))
),
0
)"),0.0)</f>
        <v>0</v>
      </c>
      <c r="E6282" s="1" t="s">
        <v>11</v>
      </c>
      <c r="F6282" s="1" t="s">
        <v>20</v>
      </c>
      <c r="G6282" s="4" t="b">
        <f t="shared" si="2"/>
        <v>1</v>
      </c>
      <c r="H6282" s="1" t="str">
        <f t="shared" si="3"/>
        <v>Currently Unavailable</v>
      </c>
      <c r="I6282" s="1" t="str">
        <f t="shared" si="4"/>
        <v>No Badges</v>
      </c>
      <c r="J6282" s="3">
        <f t="shared" si="5"/>
        <v>0</v>
      </c>
    </row>
    <row r="6283">
      <c r="A6283" s="1" t="s">
        <v>4738</v>
      </c>
      <c r="B6283" s="3" t="str">
        <f t="shared" si="1"/>
        <v>Unavailable</v>
      </c>
      <c r="C6283" s="3">
        <v>149.0</v>
      </c>
      <c r="D6283" s="3">
        <f>IFERROR(__xludf.DUMMYFUNCTION("IFERROR(
IF(REGEXMATCH(LOWER(O6283),""k""),
VALUE(REGEXEXTRACT(O6283,""[0-9]+""))*1000,
VALUE(REGEXEXTRACT(O6283,""[0-9]+""))
),
0
)"),0.0)</f>
        <v>0</v>
      </c>
      <c r="E6283" s="1" t="s">
        <v>11</v>
      </c>
      <c r="F6283" s="1" t="s">
        <v>20</v>
      </c>
      <c r="G6283" s="4" t="b">
        <f t="shared" si="2"/>
        <v>1</v>
      </c>
      <c r="H6283" s="1" t="str">
        <f t="shared" si="3"/>
        <v>Currently Unavailable</v>
      </c>
      <c r="I6283" s="1" t="str">
        <f t="shared" si="4"/>
        <v>No Badges</v>
      </c>
      <c r="J6283" s="3">
        <f t="shared" si="5"/>
        <v>0</v>
      </c>
    </row>
    <row r="6284">
      <c r="A6284" s="1" t="s">
        <v>4739</v>
      </c>
      <c r="B6284" s="3" t="str">
        <f t="shared" si="1"/>
        <v>Unavailable</v>
      </c>
      <c r="C6284" s="5">
        <v>3962.0</v>
      </c>
      <c r="D6284" s="3">
        <f>IFERROR(__xludf.DUMMYFUNCTION("IFERROR(
IF(REGEXMATCH(LOWER(O6284),""k""),
VALUE(REGEXEXTRACT(O6284,""[0-9]+""))*1000,
VALUE(REGEXEXTRACT(O6284,""[0-9]+""))
),
0
)"),0.0)</f>
        <v>0</v>
      </c>
      <c r="E6284" s="1" t="s">
        <v>11</v>
      </c>
      <c r="F6284" s="1" t="s">
        <v>20</v>
      </c>
      <c r="G6284" s="4" t="b">
        <f t="shared" si="2"/>
        <v>1</v>
      </c>
      <c r="H6284" s="1" t="str">
        <f t="shared" si="3"/>
        <v>Currently Unavailable</v>
      </c>
      <c r="I6284" s="1" t="str">
        <f t="shared" si="4"/>
        <v>No Badges</v>
      </c>
      <c r="J6284" s="3">
        <f t="shared" si="5"/>
        <v>0</v>
      </c>
    </row>
    <row r="6285">
      <c r="A6285" s="1" t="s">
        <v>4740</v>
      </c>
      <c r="B6285" s="3" t="str">
        <f t="shared" si="1"/>
        <v>Unavailable</v>
      </c>
      <c r="C6285" s="5">
        <v>1857.0</v>
      </c>
      <c r="D6285" s="3">
        <f>IFERROR(__xludf.DUMMYFUNCTION("IFERROR(
IF(REGEXMATCH(LOWER(O6285),""k""),
VALUE(REGEXEXTRACT(O6285,""[0-9]+""))*1000,
VALUE(REGEXEXTRACT(O6285,""[0-9]+""))
),
0
)"),0.0)</f>
        <v>0</v>
      </c>
      <c r="E6285" s="1" t="s">
        <v>11</v>
      </c>
      <c r="F6285" s="1" t="s">
        <v>20</v>
      </c>
      <c r="G6285" s="4" t="b">
        <f t="shared" si="2"/>
        <v>1</v>
      </c>
      <c r="H6285" s="1" t="str">
        <f t="shared" si="3"/>
        <v>Currently Unavailable</v>
      </c>
      <c r="I6285" s="1" t="str">
        <f t="shared" si="4"/>
        <v>No Badges</v>
      </c>
      <c r="J6285" s="3">
        <f t="shared" si="5"/>
        <v>0</v>
      </c>
    </row>
    <row r="6286">
      <c r="A6286" s="1" t="s">
        <v>4741</v>
      </c>
      <c r="B6286" s="3" t="str">
        <f t="shared" si="1"/>
        <v>Unavailable</v>
      </c>
      <c r="C6286" s="3">
        <v>442.0</v>
      </c>
      <c r="D6286" s="3">
        <f>IFERROR(__xludf.DUMMYFUNCTION("IFERROR(
IF(REGEXMATCH(LOWER(O6286),""k""),
VALUE(REGEXEXTRACT(O6286,""[0-9]+""))*1000,
VALUE(REGEXEXTRACT(O6286,""[0-9]+""))
),
0
)"),0.0)</f>
        <v>0</v>
      </c>
      <c r="E6286" s="1" t="s">
        <v>11</v>
      </c>
      <c r="F6286" s="1" t="s">
        <v>20</v>
      </c>
      <c r="G6286" s="4" t="b">
        <f t="shared" si="2"/>
        <v>1</v>
      </c>
      <c r="H6286" s="1" t="str">
        <f t="shared" si="3"/>
        <v>Currently Unavailable</v>
      </c>
      <c r="I6286" s="1" t="str">
        <f t="shared" si="4"/>
        <v>No Badges</v>
      </c>
      <c r="J6286" s="3">
        <f t="shared" si="5"/>
        <v>0</v>
      </c>
    </row>
    <row r="6287">
      <c r="A6287" s="1" t="s">
        <v>4742</v>
      </c>
      <c r="B6287" s="3" t="str">
        <f t="shared" si="1"/>
        <v>Unavailable</v>
      </c>
      <c r="C6287" s="3">
        <v>65.0</v>
      </c>
      <c r="D6287" s="3">
        <f>IFERROR(__xludf.DUMMYFUNCTION("IFERROR(
IF(REGEXMATCH(LOWER(O6287),""k""),
VALUE(REGEXEXTRACT(O6287,""[0-9]+""))*1000,
VALUE(REGEXEXTRACT(O6287,""[0-9]+""))
),
0
)"),0.0)</f>
        <v>0</v>
      </c>
      <c r="E6287" s="1" t="s">
        <v>11</v>
      </c>
      <c r="F6287" s="1" t="s">
        <v>20</v>
      </c>
      <c r="G6287" s="4" t="b">
        <f t="shared" si="2"/>
        <v>1</v>
      </c>
      <c r="H6287" s="1" t="str">
        <f t="shared" si="3"/>
        <v>Currently Unavailable</v>
      </c>
      <c r="I6287" s="1" t="str">
        <f t="shared" si="4"/>
        <v>No Badges</v>
      </c>
      <c r="J6287" s="3">
        <f t="shared" si="5"/>
        <v>0</v>
      </c>
    </row>
    <row r="6288">
      <c r="A6288" s="1" t="s">
        <v>4743</v>
      </c>
      <c r="B6288" s="3" t="str">
        <f t="shared" si="1"/>
        <v>Unavailable</v>
      </c>
      <c r="C6288" s="3">
        <v>528.0</v>
      </c>
      <c r="D6288" s="3">
        <f>IFERROR(__xludf.DUMMYFUNCTION("IFERROR(
IF(REGEXMATCH(LOWER(O6288),""k""),
VALUE(REGEXEXTRACT(O6288,""[0-9]+""))*1000,
VALUE(REGEXEXTRACT(O6288,""[0-9]+""))
),
0
)"),0.0)</f>
        <v>0</v>
      </c>
      <c r="E6288" s="1" t="s">
        <v>11</v>
      </c>
      <c r="F6288" s="1" t="s">
        <v>20</v>
      </c>
      <c r="G6288" s="4" t="b">
        <f t="shared" si="2"/>
        <v>1</v>
      </c>
      <c r="H6288" s="1" t="str">
        <f t="shared" si="3"/>
        <v>Currently Unavailable</v>
      </c>
      <c r="I6288" s="1" t="str">
        <f t="shared" si="4"/>
        <v>No Badges</v>
      </c>
      <c r="J6288" s="3">
        <f t="shared" si="5"/>
        <v>0</v>
      </c>
    </row>
    <row r="6289">
      <c r="A6289" s="1" t="s">
        <v>4744</v>
      </c>
      <c r="B6289" s="3" t="str">
        <f t="shared" si="1"/>
        <v>Unavailable</v>
      </c>
      <c r="C6289" s="3">
        <v>158.0</v>
      </c>
      <c r="D6289" s="3">
        <f>IFERROR(__xludf.DUMMYFUNCTION("IFERROR(
IF(REGEXMATCH(LOWER(O6289),""k""),
VALUE(REGEXEXTRACT(O6289,""[0-9]+""))*1000,
VALUE(REGEXEXTRACT(O6289,""[0-9]+""))
),
0
)"),0.0)</f>
        <v>0</v>
      </c>
      <c r="E6289" s="1" t="s">
        <v>11</v>
      </c>
      <c r="F6289" s="1" t="s">
        <v>20</v>
      </c>
      <c r="G6289" s="4" t="b">
        <f t="shared" si="2"/>
        <v>1</v>
      </c>
      <c r="H6289" s="1" t="str">
        <f t="shared" si="3"/>
        <v>Currently Unavailable</v>
      </c>
      <c r="I6289" s="1" t="str">
        <f t="shared" si="4"/>
        <v>No Badges</v>
      </c>
      <c r="J6289" s="3">
        <f t="shared" si="5"/>
        <v>0</v>
      </c>
    </row>
    <row r="6290">
      <c r="A6290" s="1" t="s">
        <v>4745</v>
      </c>
      <c r="B6290" s="3" t="str">
        <f t="shared" si="1"/>
        <v>Unavailable</v>
      </c>
      <c r="C6290" s="3">
        <v>147.0</v>
      </c>
      <c r="D6290" s="3">
        <f>IFERROR(__xludf.DUMMYFUNCTION("IFERROR(
IF(REGEXMATCH(LOWER(O6290),""k""),
VALUE(REGEXEXTRACT(O6290,""[0-9]+""))*1000,
VALUE(REGEXEXTRACT(O6290,""[0-9]+""))
),
0
)"),0.0)</f>
        <v>0</v>
      </c>
      <c r="E6290" s="1" t="s">
        <v>11</v>
      </c>
      <c r="F6290" s="1" t="s">
        <v>20</v>
      </c>
      <c r="G6290" s="4" t="b">
        <f t="shared" si="2"/>
        <v>1</v>
      </c>
      <c r="H6290" s="1" t="str">
        <f t="shared" si="3"/>
        <v>Currently Unavailable</v>
      </c>
      <c r="I6290" s="1" t="str">
        <f t="shared" si="4"/>
        <v>No Badges</v>
      </c>
      <c r="J6290" s="3">
        <f t="shared" si="5"/>
        <v>0</v>
      </c>
    </row>
    <row r="6291">
      <c r="A6291" s="1" t="s">
        <v>4746</v>
      </c>
      <c r="B6291" s="3" t="str">
        <f t="shared" si="1"/>
        <v>Unavailable</v>
      </c>
      <c r="C6291" s="5">
        <v>7387.0</v>
      </c>
      <c r="D6291" s="3">
        <f>IFERROR(__xludf.DUMMYFUNCTION("IFERROR(
IF(REGEXMATCH(LOWER(O6291),""k""),
VALUE(REGEXEXTRACT(O6291,""[0-9]+""))*1000,
VALUE(REGEXEXTRACT(O6291,""[0-9]+""))
),
0
)"),0.0)</f>
        <v>0</v>
      </c>
      <c r="E6291" s="1" t="s">
        <v>11</v>
      </c>
      <c r="F6291" s="1" t="s">
        <v>20</v>
      </c>
      <c r="G6291" s="4" t="b">
        <f t="shared" si="2"/>
        <v>1</v>
      </c>
      <c r="H6291" s="1" t="str">
        <f t="shared" si="3"/>
        <v>Currently Unavailable</v>
      </c>
      <c r="I6291" s="1" t="str">
        <f t="shared" si="4"/>
        <v>No Badges</v>
      </c>
      <c r="J6291" s="3">
        <f t="shared" si="5"/>
        <v>0</v>
      </c>
    </row>
    <row r="6292">
      <c r="A6292" s="1" t="s">
        <v>4747</v>
      </c>
      <c r="B6292" s="3" t="str">
        <f t="shared" si="1"/>
        <v>Unavailable</v>
      </c>
      <c r="C6292" s="5">
        <v>2981.0</v>
      </c>
      <c r="D6292" s="3">
        <f>IFERROR(__xludf.DUMMYFUNCTION("IFERROR(
IF(REGEXMATCH(LOWER(O6292),""k""),
VALUE(REGEXEXTRACT(O6292,""[0-9]+""))*1000,
VALUE(REGEXEXTRACT(O6292,""[0-9]+""))
),
0
)"),0.0)</f>
        <v>0</v>
      </c>
      <c r="E6292" s="1" t="s">
        <v>11</v>
      </c>
      <c r="F6292" s="1" t="s">
        <v>20</v>
      </c>
      <c r="G6292" s="4" t="b">
        <f t="shared" si="2"/>
        <v>1</v>
      </c>
      <c r="H6292" s="1" t="str">
        <f t="shared" si="3"/>
        <v>Currently Unavailable</v>
      </c>
      <c r="I6292" s="1" t="str">
        <f t="shared" si="4"/>
        <v>No Badges</v>
      </c>
      <c r="J6292" s="3">
        <f t="shared" si="5"/>
        <v>0</v>
      </c>
    </row>
    <row r="6293">
      <c r="A6293" s="1" t="s">
        <v>4748</v>
      </c>
      <c r="B6293" s="3" t="str">
        <f t="shared" si="1"/>
        <v>Unavailable</v>
      </c>
      <c r="C6293" s="3">
        <v>11.0</v>
      </c>
      <c r="D6293" s="3">
        <f>IFERROR(__xludf.DUMMYFUNCTION("IFERROR(
IF(REGEXMATCH(LOWER(O6293),""k""),
VALUE(REGEXEXTRACT(O6293,""[0-9]+""))*1000,
VALUE(REGEXEXTRACT(O6293,""[0-9]+""))
),
0
)"),0.0)</f>
        <v>0</v>
      </c>
      <c r="E6293" s="1" t="s">
        <v>11</v>
      </c>
      <c r="F6293" s="1" t="s">
        <v>20</v>
      </c>
      <c r="G6293" s="4" t="b">
        <f t="shared" si="2"/>
        <v>1</v>
      </c>
      <c r="H6293" s="1" t="str">
        <f t="shared" si="3"/>
        <v>Currently Unavailable</v>
      </c>
      <c r="I6293" s="1" t="str">
        <f t="shared" si="4"/>
        <v>No Badges</v>
      </c>
      <c r="J6293" s="3">
        <f t="shared" si="5"/>
        <v>0</v>
      </c>
    </row>
    <row r="6294">
      <c r="A6294" s="1" t="s">
        <v>4749</v>
      </c>
      <c r="B6294" s="3" t="str">
        <f t="shared" si="1"/>
        <v>Unavailable</v>
      </c>
      <c r="C6294" s="5">
        <v>8785.0</v>
      </c>
      <c r="D6294" s="3">
        <f>IFERROR(__xludf.DUMMYFUNCTION("IFERROR(
IF(REGEXMATCH(LOWER(O6294),""k""),
VALUE(REGEXEXTRACT(O6294,""[0-9]+""))*1000,
VALUE(REGEXEXTRACT(O6294,""[0-9]+""))
),
0
)"),0.0)</f>
        <v>0</v>
      </c>
      <c r="E6294" s="1" t="s">
        <v>11</v>
      </c>
      <c r="F6294" s="1" t="s">
        <v>20</v>
      </c>
      <c r="G6294" s="4" t="b">
        <f t="shared" si="2"/>
        <v>1</v>
      </c>
      <c r="H6294" s="1" t="str">
        <f t="shared" si="3"/>
        <v>Currently Unavailable</v>
      </c>
      <c r="I6294" s="1" t="str">
        <f t="shared" si="4"/>
        <v>No Badges</v>
      </c>
      <c r="J6294" s="3">
        <f t="shared" si="5"/>
        <v>0</v>
      </c>
    </row>
    <row r="6295">
      <c r="A6295" s="1" t="s">
        <v>4750</v>
      </c>
      <c r="B6295" s="3" t="str">
        <f t="shared" si="1"/>
        <v>Unavailable</v>
      </c>
      <c r="C6295" s="3">
        <v>723.0</v>
      </c>
      <c r="D6295" s="3">
        <f>IFERROR(__xludf.DUMMYFUNCTION("IFERROR(
IF(REGEXMATCH(LOWER(O6295),""k""),
VALUE(REGEXEXTRACT(O6295,""[0-9]+""))*1000,
VALUE(REGEXEXTRACT(O6295,""[0-9]+""))
),
0
)"),0.0)</f>
        <v>0</v>
      </c>
      <c r="E6295" s="1" t="s">
        <v>11</v>
      </c>
      <c r="F6295" s="1" t="s">
        <v>20</v>
      </c>
      <c r="G6295" s="4" t="b">
        <f t="shared" si="2"/>
        <v>1</v>
      </c>
      <c r="H6295" s="1" t="str">
        <f t="shared" si="3"/>
        <v>Currently Unavailable</v>
      </c>
      <c r="I6295" s="1" t="str">
        <f t="shared" si="4"/>
        <v>No Badges</v>
      </c>
      <c r="J6295" s="3">
        <f t="shared" si="5"/>
        <v>0</v>
      </c>
    </row>
    <row r="6296">
      <c r="A6296" s="1" t="s">
        <v>4751</v>
      </c>
      <c r="B6296" s="3" t="str">
        <f t="shared" si="1"/>
        <v>Unavailable</v>
      </c>
      <c r="C6296" s="3">
        <v>326.0</v>
      </c>
      <c r="D6296" s="3">
        <f>IFERROR(__xludf.DUMMYFUNCTION("IFERROR(
IF(REGEXMATCH(LOWER(O6296),""k""),
VALUE(REGEXEXTRACT(O6296,""[0-9]+""))*1000,
VALUE(REGEXEXTRACT(O6296,""[0-9]+""))
),
0
)"),0.0)</f>
        <v>0</v>
      </c>
      <c r="E6296" s="1" t="s">
        <v>11</v>
      </c>
      <c r="F6296" s="1" t="s">
        <v>20</v>
      </c>
      <c r="G6296" s="4" t="b">
        <f t="shared" si="2"/>
        <v>1</v>
      </c>
      <c r="H6296" s="1" t="str">
        <f t="shared" si="3"/>
        <v>Currently Unavailable</v>
      </c>
      <c r="I6296" s="1" t="str">
        <f t="shared" si="4"/>
        <v>No Badges</v>
      </c>
      <c r="J6296" s="3">
        <f t="shared" si="5"/>
        <v>0</v>
      </c>
    </row>
    <row r="6297">
      <c r="A6297" s="1" t="s">
        <v>4752</v>
      </c>
      <c r="B6297" s="3" t="str">
        <f t="shared" si="1"/>
        <v>Unavailable</v>
      </c>
      <c r="C6297" s="3">
        <v>948.0</v>
      </c>
      <c r="D6297" s="3">
        <f>IFERROR(__xludf.DUMMYFUNCTION("IFERROR(
IF(REGEXMATCH(LOWER(O6297),""k""),
VALUE(REGEXEXTRACT(O6297,""[0-9]+""))*1000,
VALUE(REGEXEXTRACT(O6297,""[0-9]+""))
),
0
)"),0.0)</f>
        <v>0</v>
      </c>
      <c r="E6297" s="1" t="s">
        <v>11</v>
      </c>
      <c r="F6297" s="1" t="s">
        <v>20</v>
      </c>
      <c r="G6297" s="4" t="b">
        <f t="shared" si="2"/>
        <v>1</v>
      </c>
      <c r="H6297" s="1" t="str">
        <f t="shared" si="3"/>
        <v>Currently Unavailable</v>
      </c>
      <c r="I6297" s="1" t="str">
        <f t="shared" si="4"/>
        <v>No Badges</v>
      </c>
      <c r="J6297" s="3">
        <f t="shared" si="5"/>
        <v>0</v>
      </c>
    </row>
    <row r="6298">
      <c r="A6298" s="1" t="s">
        <v>4753</v>
      </c>
      <c r="B6298" s="3" t="str">
        <f t="shared" si="1"/>
        <v>Unavailable</v>
      </c>
      <c r="C6298" s="3">
        <v>328.0</v>
      </c>
      <c r="D6298" s="3">
        <f>IFERROR(__xludf.DUMMYFUNCTION("IFERROR(
IF(REGEXMATCH(LOWER(O6298),""k""),
VALUE(REGEXEXTRACT(O6298,""[0-9]+""))*1000,
VALUE(REGEXEXTRACT(O6298,""[0-9]+""))
),
0
)"),0.0)</f>
        <v>0</v>
      </c>
      <c r="E6298" s="1" t="s">
        <v>11</v>
      </c>
      <c r="F6298" s="1" t="s">
        <v>20</v>
      </c>
      <c r="G6298" s="4" t="b">
        <f t="shared" si="2"/>
        <v>1</v>
      </c>
      <c r="H6298" s="1" t="str">
        <f t="shared" si="3"/>
        <v>Currently Unavailable</v>
      </c>
      <c r="I6298" s="1" t="str">
        <f t="shared" si="4"/>
        <v>No Badges</v>
      </c>
      <c r="J6298" s="3">
        <f t="shared" si="5"/>
        <v>0</v>
      </c>
    </row>
    <row r="6299">
      <c r="A6299" s="1" t="s">
        <v>4754</v>
      </c>
      <c r="B6299" s="3" t="str">
        <f t="shared" si="1"/>
        <v>Unavailable</v>
      </c>
      <c r="C6299" s="5">
        <v>4071.0</v>
      </c>
      <c r="D6299" s="3">
        <f>IFERROR(__xludf.DUMMYFUNCTION("IFERROR(
IF(REGEXMATCH(LOWER(O6299),""k""),
VALUE(REGEXEXTRACT(O6299,""[0-9]+""))*1000,
VALUE(REGEXEXTRACT(O6299,""[0-9]+""))
),
0
)"),0.0)</f>
        <v>0</v>
      </c>
      <c r="E6299" s="1" t="s">
        <v>11</v>
      </c>
      <c r="F6299" s="1" t="s">
        <v>20</v>
      </c>
      <c r="G6299" s="4" t="b">
        <f t="shared" si="2"/>
        <v>1</v>
      </c>
      <c r="H6299" s="1" t="str">
        <f t="shared" si="3"/>
        <v>Currently Unavailable</v>
      </c>
      <c r="I6299" s="1" t="str">
        <f t="shared" si="4"/>
        <v>No Badges</v>
      </c>
      <c r="J6299" s="3">
        <f t="shared" si="5"/>
        <v>0</v>
      </c>
    </row>
    <row r="6300">
      <c r="A6300" s="1" t="s">
        <v>4755</v>
      </c>
      <c r="B6300" s="3" t="str">
        <f t="shared" si="1"/>
        <v>Unavailable</v>
      </c>
      <c r="C6300" s="3">
        <v>316.0</v>
      </c>
      <c r="D6300" s="3">
        <f>IFERROR(__xludf.DUMMYFUNCTION("IFERROR(
IF(REGEXMATCH(LOWER(O6300),""k""),
VALUE(REGEXEXTRACT(O6300,""[0-9]+""))*1000,
VALUE(REGEXEXTRACT(O6300,""[0-9]+""))
),
0
)"),0.0)</f>
        <v>0</v>
      </c>
      <c r="E6300" s="1" t="s">
        <v>11</v>
      </c>
      <c r="F6300" s="1" t="s">
        <v>20</v>
      </c>
      <c r="G6300" s="4" t="b">
        <f t="shared" si="2"/>
        <v>1</v>
      </c>
      <c r="H6300" s="1" t="str">
        <f t="shared" si="3"/>
        <v>Currently Unavailable</v>
      </c>
      <c r="I6300" s="1" t="str">
        <f t="shared" si="4"/>
        <v>No Badges</v>
      </c>
      <c r="J6300" s="3">
        <f t="shared" si="5"/>
        <v>0</v>
      </c>
    </row>
    <row r="6301">
      <c r="A6301" s="1" t="s">
        <v>69</v>
      </c>
      <c r="B6301" s="3" t="str">
        <f t="shared" si="1"/>
        <v>Unavailable</v>
      </c>
      <c r="C6301" s="3">
        <v>45.0</v>
      </c>
      <c r="D6301" s="3">
        <f>IFERROR(__xludf.DUMMYFUNCTION("IFERROR(
IF(REGEXMATCH(LOWER(O6301),""k""),
VALUE(REGEXEXTRACT(O6301,""[0-9]+""))*1000,
VALUE(REGEXEXTRACT(O6301,""[0-9]+""))
),
0
)"),0.0)</f>
        <v>0</v>
      </c>
      <c r="E6301" s="1" t="s">
        <v>11</v>
      </c>
      <c r="F6301" s="1" t="s">
        <v>12</v>
      </c>
      <c r="G6301" s="4" t="b">
        <f t="shared" si="2"/>
        <v>1</v>
      </c>
      <c r="H6301" s="1" t="str">
        <f t="shared" si="3"/>
        <v>Currently Unavailable</v>
      </c>
      <c r="I6301" s="1" t="str">
        <f t="shared" si="4"/>
        <v>No Badges</v>
      </c>
      <c r="J6301" s="3">
        <f t="shared" si="5"/>
        <v>0</v>
      </c>
    </row>
    <row r="6302">
      <c r="A6302" s="1" t="s">
        <v>4756</v>
      </c>
      <c r="B6302" s="3" t="str">
        <f t="shared" si="1"/>
        <v>Unavailable</v>
      </c>
      <c r="C6302" s="3">
        <v>414.0</v>
      </c>
      <c r="D6302" s="3">
        <f>IFERROR(__xludf.DUMMYFUNCTION("IFERROR(
IF(REGEXMATCH(LOWER(O6302),""k""),
VALUE(REGEXEXTRACT(O6302,""[0-9]+""))*1000,
VALUE(REGEXEXTRACT(O6302,""[0-9]+""))
),
0
)"),0.0)</f>
        <v>0</v>
      </c>
      <c r="E6302" s="1" t="s">
        <v>11</v>
      </c>
      <c r="F6302" s="1" t="s">
        <v>20</v>
      </c>
      <c r="G6302" s="4" t="b">
        <f t="shared" si="2"/>
        <v>1</v>
      </c>
      <c r="H6302" s="1" t="str">
        <f t="shared" si="3"/>
        <v>Currently Unavailable</v>
      </c>
      <c r="I6302" s="1" t="str">
        <f t="shared" si="4"/>
        <v>No Badges</v>
      </c>
      <c r="J6302" s="3">
        <f t="shared" si="5"/>
        <v>0</v>
      </c>
    </row>
    <row r="6303">
      <c r="A6303" s="1" t="s">
        <v>4757</v>
      </c>
      <c r="B6303" s="3" t="str">
        <f t="shared" si="1"/>
        <v>Unavailable</v>
      </c>
      <c r="C6303" s="3">
        <v>630.0</v>
      </c>
      <c r="D6303" s="3">
        <f>IFERROR(__xludf.DUMMYFUNCTION("IFERROR(
IF(REGEXMATCH(LOWER(O6303),""k""),
VALUE(REGEXEXTRACT(O6303,""[0-9]+""))*1000,
VALUE(REGEXEXTRACT(O6303,""[0-9]+""))
),
0
)"),0.0)</f>
        <v>0</v>
      </c>
      <c r="E6303" s="1" t="s">
        <v>11</v>
      </c>
      <c r="F6303" s="1" t="s">
        <v>20</v>
      </c>
      <c r="G6303" s="4" t="b">
        <f t="shared" si="2"/>
        <v>1</v>
      </c>
      <c r="H6303" s="1" t="str">
        <f t="shared" si="3"/>
        <v>Currently Unavailable</v>
      </c>
      <c r="I6303" s="1" t="str">
        <f t="shared" si="4"/>
        <v>No Badges</v>
      </c>
      <c r="J6303" s="3">
        <f t="shared" si="5"/>
        <v>0</v>
      </c>
    </row>
    <row r="6304">
      <c r="A6304" s="1" t="s">
        <v>4758</v>
      </c>
      <c r="B6304" s="3" t="str">
        <f t="shared" si="1"/>
        <v>Unavailable</v>
      </c>
      <c r="C6304" s="3">
        <v>959.0</v>
      </c>
      <c r="D6304" s="3">
        <f>IFERROR(__xludf.DUMMYFUNCTION("IFERROR(
IF(REGEXMATCH(LOWER(O6304),""k""),
VALUE(REGEXEXTRACT(O6304,""[0-9]+""))*1000,
VALUE(REGEXEXTRACT(O6304,""[0-9]+""))
),
0
)"),0.0)</f>
        <v>0</v>
      </c>
      <c r="E6304" s="1" t="s">
        <v>11</v>
      </c>
      <c r="F6304" s="1" t="s">
        <v>20</v>
      </c>
      <c r="G6304" s="4" t="b">
        <f t="shared" si="2"/>
        <v>1</v>
      </c>
      <c r="H6304" s="1" t="str">
        <f t="shared" si="3"/>
        <v>Currently Unavailable</v>
      </c>
      <c r="I6304" s="1" t="str">
        <f t="shared" si="4"/>
        <v>No Badges</v>
      </c>
      <c r="J6304" s="3">
        <f t="shared" si="5"/>
        <v>0</v>
      </c>
    </row>
    <row r="6305">
      <c r="A6305" s="1" t="s">
        <v>4759</v>
      </c>
      <c r="B6305" s="3" t="str">
        <f t="shared" si="1"/>
        <v>Unavailable</v>
      </c>
      <c r="C6305" s="5">
        <v>1682.0</v>
      </c>
      <c r="D6305" s="3">
        <f>IFERROR(__xludf.DUMMYFUNCTION("IFERROR(
IF(REGEXMATCH(LOWER(O6305),""k""),
VALUE(REGEXEXTRACT(O6305,""[0-9]+""))*1000,
VALUE(REGEXEXTRACT(O6305,""[0-9]+""))
),
0
)"),0.0)</f>
        <v>0</v>
      </c>
      <c r="E6305" s="1" t="s">
        <v>11</v>
      </c>
      <c r="F6305" s="1" t="s">
        <v>20</v>
      </c>
      <c r="G6305" s="4" t="b">
        <f t="shared" si="2"/>
        <v>1</v>
      </c>
      <c r="H6305" s="1" t="str">
        <f t="shared" si="3"/>
        <v>Currently Unavailable</v>
      </c>
      <c r="I6305" s="1" t="str">
        <f t="shared" si="4"/>
        <v>No Badges</v>
      </c>
      <c r="J6305" s="3">
        <f t="shared" si="5"/>
        <v>0</v>
      </c>
    </row>
    <row r="6306">
      <c r="A6306" s="1" t="s">
        <v>4760</v>
      </c>
      <c r="B6306" s="3" t="str">
        <f t="shared" si="1"/>
        <v>Unavailable</v>
      </c>
      <c r="C6306" s="3">
        <v>447.0</v>
      </c>
      <c r="D6306" s="3">
        <f>IFERROR(__xludf.DUMMYFUNCTION("IFERROR(
IF(REGEXMATCH(LOWER(O6306),""k""),
VALUE(REGEXEXTRACT(O6306,""[0-9]+""))*1000,
VALUE(REGEXEXTRACT(O6306,""[0-9]+""))
),
0
)"),0.0)</f>
        <v>0</v>
      </c>
      <c r="E6306" s="1" t="s">
        <v>11</v>
      </c>
      <c r="F6306" s="1" t="s">
        <v>20</v>
      </c>
      <c r="G6306" s="4" t="b">
        <f t="shared" si="2"/>
        <v>1</v>
      </c>
      <c r="H6306" s="1" t="str">
        <f t="shared" si="3"/>
        <v>Currently Unavailable</v>
      </c>
      <c r="I6306" s="1" t="str">
        <f t="shared" si="4"/>
        <v>No Badges</v>
      </c>
      <c r="J6306" s="3">
        <f t="shared" si="5"/>
        <v>0</v>
      </c>
    </row>
    <row r="6307">
      <c r="A6307" s="1" t="s">
        <v>4761</v>
      </c>
      <c r="B6307" s="3" t="str">
        <f t="shared" si="1"/>
        <v>Unavailable</v>
      </c>
      <c r="C6307" s="3">
        <v>992.0</v>
      </c>
      <c r="D6307" s="3">
        <f>IFERROR(__xludf.DUMMYFUNCTION("IFERROR(
IF(REGEXMATCH(LOWER(O6307),""k""),
VALUE(REGEXEXTRACT(O6307,""[0-9]+""))*1000,
VALUE(REGEXEXTRACT(O6307,""[0-9]+""))
),
0
)"),0.0)</f>
        <v>0</v>
      </c>
      <c r="E6307" s="1" t="s">
        <v>11</v>
      </c>
      <c r="F6307" s="1" t="s">
        <v>20</v>
      </c>
      <c r="G6307" s="4" t="b">
        <f t="shared" si="2"/>
        <v>1</v>
      </c>
      <c r="H6307" s="1" t="str">
        <f t="shared" si="3"/>
        <v>Currently Unavailable</v>
      </c>
      <c r="I6307" s="1" t="str">
        <f t="shared" si="4"/>
        <v>No Badges</v>
      </c>
      <c r="J6307" s="3">
        <f t="shared" si="5"/>
        <v>0</v>
      </c>
    </row>
    <row r="6308">
      <c r="A6308" s="1" t="s">
        <v>4762</v>
      </c>
      <c r="B6308" s="3" t="str">
        <f t="shared" si="1"/>
        <v>Unavailable</v>
      </c>
      <c r="C6308" s="5">
        <v>1375.0</v>
      </c>
      <c r="D6308" s="3">
        <f>IFERROR(__xludf.DUMMYFUNCTION("IFERROR(
IF(REGEXMATCH(LOWER(O6308),""k""),
VALUE(REGEXEXTRACT(O6308,""[0-9]+""))*1000,
VALUE(REGEXEXTRACT(O6308,""[0-9]+""))
),
0
)"),0.0)</f>
        <v>0</v>
      </c>
      <c r="E6308" s="1" t="s">
        <v>11</v>
      </c>
      <c r="F6308" s="1" t="s">
        <v>20</v>
      </c>
      <c r="G6308" s="4" t="b">
        <f t="shared" si="2"/>
        <v>1</v>
      </c>
      <c r="H6308" s="1" t="str">
        <f t="shared" si="3"/>
        <v>Currently Unavailable</v>
      </c>
      <c r="I6308" s="1" t="str">
        <f t="shared" si="4"/>
        <v>No Badges</v>
      </c>
      <c r="J6308" s="3">
        <f t="shared" si="5"/>
        <v>0</v>
      </c>
    </row>
    <row r="6309">
      <c r="A6309" s="1" t="s">
        <v>4763</v>
      </c>
      <c r="B6309" s="3" t="str">
        <f t="shared" si="1"/>
        <v>Unavailable</v>
      </c>
      <c r="C6309" s="3">
        <v>787.0</v>
      </c>
      <c r="D6309" s="3">
        <f>IFERROR(__xludf.DUMMYFUNCTION("IFERROR(
IF(REGEXMATCH(LOWER(O6309),""k""),
VALUE(REGEXEXTRACT(O6309,""[0-9]+""))*1000,
VALUE(REGEXEXTRACT(O6309,""[0-9]+""))
),
0
)"),0.0)</f>
        <v>0</v>
      </c>
      <c r="E6309" s="1" t="s">
        <v>11</v>
      </c>
      <c r="F6309" s="1" t="s">
        <v>20</v>
      </c>
      <c r="G6309" s="4" t="b">
        <f t="shared" si="2"/>
        <v>1</v>
      </c>
      <c r="H6309" s="1" t="str">
        <f t="shared" si="3"/>
        <v>Currently Unavailable</v>
      </c>
      <c r="I6309" s="1" t="str">
        <f t="shared" si="4"/>
        <v>No Badges</v>
      </c>
      <c r="J6309" s="3">
        <f t="shared" si="5"/>
        <v>0</v>
      </c>
    </row>
    <row r="6310">
      <c r="A6310" s="1" t="s">
        <v>4764</v>
      </c>
      <c r="B6310" s="3" t="str">
        <f t="shared" si="1"/>
        <v>Unavailable</v>
      </c>
      <c r="C6310" s="3">
        <v>21.0</v>
      </c>
      <c r="D6310" s="3">
        <f>IFERROR(__xludf.DUMMYFUNCTION("IFERROR(
IF(REGEXMATCH(LOWER(O6310),""k""),
VALUE(REGEXEXTRACT(O6310,""[0-9]+""))*1000,
VALUE(REGEXEXTRACT(O6310,""[0-9]+""))
),
0
)"),0.0)</f>
        <v>0</v>
      </c>
      <c r="E6310" s="1" t="s">
        <v>11</v>
      </c>
      <c r="F6310" s="1" t="s">
        <v>20</v>
      </c>
      <c r="G6310" s="4" t="b">
        <f t="shared" si="2"/>
        <v>1</v>
      </c>
      <c r="H6310" s="1" t="str">
        <f t="shared" si="3"/>
        <v>Currently Unavailable</v>
      </c>
      <c r="I6310" s="1" t="str">
        <f t="shared" si="4"/>
        <v>No Badges</v>
      </c>
      <c r="J6310" s="3">
        <f t="shared" si="5"/>
        <v>0</v>
      </c>
    </row>
    <row r="6311">
      <c r="A6311" s="1" t="s">
        <v>4765</v>
      </c>
      <c r="B6311" s="3" t="str">
        <f t="shared" si="1"/>
        <v>Unavailable</v>
      </c>
      <c r="C6311" s="3">
        <v>259.0</v>
      </c>
      <c r="D6311" s="3">
        <f>IFERROR(__xludf.DUMMYFUNCTION("IFERROR(
IF(REGEXMATCH(LOWER(O6311),""k""),
VALUE(REGEXEXTRACT(O6311,""[0-9]+""))*1000,
VALUE(REGEXEXTRACT(O6311,""[0-9]+""))
),
0
)"),0.0)</f>
        <v>0</v>
      </c>
      <c r="E6311" s="1" t="s">
        <v>11</v>
      </c>
      <c r="F6311" s="1" t="s">
        <v>20</v>
      </c>
      <c r="G6311" s="4" t="b">
        <f t="shared" si="2"/>
        <v>1</v>
      </c>
      <c r="H6311" s="1" t="str">
        <f t="shared" si="3"/>
        <v>Currently Unavailable</v>
      </c>
      <c r="I6311" s="1" t="str">
        <f t="shared" si="4"/>
        <v>No Badges</v>
      </c>
      <c r="J6311" s="3">
        <f t="shared" si="5"/>
        <v>0</v>
      </c>
    </row>
    <row r="6312">
      <c r="A6312" s="1" t="s">
        <v>4766</v>
      </c>
      <c r="B6312" s="3" t="str">
        <f t="shared" si="1"/>
        <v>Unavailable</v>
      </c>
      <c r="C6312" s="3">
        <v>610.0</v>
      </c>
      <c r="D6312" s="3">
        <f>IFERROR(__xludf.DUMMYFUNCTION("IFERROR(
IF(REGEXMATCH(LOWER(O6312),""k""),
VALUE(REGEXEXTRACT(O6312,""[0-9]+""))*1000,
VALUE(REGEXEXTRACT(O6312,""[0-9]+""))
),
0
)"),0.0)</f>
        <v>0</v>
      </c>
      <c r="E6312" s="1" t="s">
        <v>11</v>
      </c>
      <c r="F6312" s="1" t="s">
        <v>20</v>
      </c>
      <c r="G6312" s="4" t="b">
        <f t="shared" si="2"/>
        <v>1</v>
      </c>
      <c r="H6312" s="1" t="str">
        <f t="shared" si="3"/>
        <v>Currently Unavailable</v>
      </c>
      <c r="I6312" s="1" t="str">
        <f t="shared" si="4"/>
        <v>No Badges</v>
      </c>
      <c r="J6312" s="3">
        <f t="shared" si="5"/>
        <v>0</v>
      </c>
    </row>
    <row r="6313">
      <c r="A6313" s="1" t="s">
        <v>4767</v>
      </c>
      <c r="B6313" s="3" t="str">
        <f t="shared" si="1"/>
        <v>Unavailable</v>
      </c>
      <c r="C6313" s="3">
        <v>394.0</v>
      </c>
      <c r="D6313" s="3">
        <f>IFERROR(__xludf.DUMMYFUNCTION("IFERROR(
IF(REGEXMATCH(LOWER(O6313),""k""),
VALUE(REGEXEXTRACT(O6313,""[0-9]+""))*1000,
VALUE(REGEXEXTRACT(O6313,""[0-9]+""))
),
0
)"),0.0)</f>
        <v>0</v>
      </c>
      <c r="E6313" s="1" t="s">
        <v>11</v>
      </c>
      <c r="F6313" s="1" t="s">
        <v>20</v>
      </c>
      <c r="G6313" s="4" t="b">
        <f t="shared" si="2"/>
        <v>1</v>
      </c>
      <c r="H6313" s="1" t="str">
        <f t="shared" si="3"/>
        <v>Currently Unavailable</v>
      </c>
      <c r="I6313" s="1" t="str">
        <f t="shared" si="4"/>
        <v>No Badges</v>
      </c>
      <c r="J6313" s="3">
        <f t="shared" si="5"/>
        <v>0</v>
      </c>
    </row>
    <row r="6314">
      <c r="A6314" s="1" t="s">
        <v>701</v>
      </c>
      <c r="B6314" s="3" t="str">
        <f t="shared" si="1"/>
        <v>Unavailable</v>
      </c>
      <c r="C6314" s="3">
        <v>8.0</v>
      </c>
      <c r="D6314" s="3">
        <f>IFERROR(__xludf.DUMMYFUNCTION("IFERROR(
IF(REGEXMATCH(LOWER(O6314),""k""),
VALUE(REGEXEXTRACT(O6314,""[0-9]+""))*1000,
VALUE(REGEXEXTRACT(O6314,""[0-9]+""))
),
0
)"),0.0)</f>
        <v>0</v>
      </c>
      <c r="E6314" s="1" t="s">
        <v>11</v>
      </c>
      <c r="F6314" s="1" t="s">
        <v>12</v>
      </c>
      <c r="G6314" s="4" t="b">
        <f t="shared" si="2"/>
        <v>1</v>
      </c>
      <c r="H6314" s="1" t="str">
        <f t="shared" si="3"/>
        <v>Currently Unavailable</v>
      </c>
      <c r="I6314" s="1" t="str">
        <f t="shared" si="4"/>
        <v>No Badges</v>
      </c>
      <c r="J6314" s="3">
        <f t="shared" si="5"/>
        <v>0</v>
      </c>
    </row>
    <row r="6315">
      <c r="A6315" s="1" t="s">
        <v>67</v>
      </c>
      <c r="B6315" s="3" t="str">
        <f t="shared" si="1"/>
        <v>Unavailable</v>
      </c>
      <c r="C6315" s="3">
        <v>264.0</v>
      </c>
      <c r="D6315" s="3">
        <f>IFERROR(__xludf.DUMMYFUNCTION("IFERROR(
IF(REGEXMATCH(LOWER(O6315),""k""),
VALUE(REGEXEXTRACT(O6315,""[0-9]+""))*1000,
VALUE(REGEXEXTRACT(O6315,""[0-9]+""))
),
0
)"),0.0)</f>
        <v>0</v>
      </c>
      <c r="E6315" s="1" t="s">
        <v>11</v>
      </c>
      <c r="F6315" s="1" t="s">
        <v>12</v>
      </c>
      <c r="G6315" s="4" t="b">
        <f t="shared" si="2"/>
        <v>1</v>
      </c>
      <c r="H6315" s="1" t="str">
        <f t="shared" si="3"/>
        <v>Currently Unavailable</v>
      </c>
      <c r="I6315" s="1" t="str">
        <f t="shared" si="4"/>
        <v>No Badges</v>
      </c>
      <c r="J6315" s="3">
        <f t="shared" si="5"/>
        <v>0</v>
      </c>
    </row>
    <row r="6316">
      <c r="A6316" s="1" t="s">
        <v>4768</v>
      </c>
      <c r="B6316" s="3" t="str">
        <f t="shared" si="1"/>
        <v>Unavailable</v>
      </c>
      <c r="C6316" s="3">
        <v>472.0</v>
      </c>
      <c r="D6316" s="3">
        <f>IFERROR(__xludf.DUMMYFUNCTION("IFERROR(
IF(REGEXMATCH(LOWER(O6316),""k""),
VALUE(REGEXEXTRACT(O6316,""[0-9]+""))*1000,
VALUE(REGEXEXTRACT(O6316,""[0-9]+""))
),
0
)"),0.0)</f>
        <v>0</v>
      </c>
      <c r="E6316" s="1" t="s">
        <v>11</v>
      </c>
      <c r="F6316" s="1" t="s">
        <v>20</v>
      </c>
      <c r="G6316" s="4" t="b">
        <f t="shared" si="2"/>
        <v>1</v>
      </c>
      <c r="H6316" s="1" t="str">
        <f t="shared" si="3"/>
        <v>Currently Unavailable</v>
      </c>
      <c r="I6316" s="1" t="str">
        <f t="shared" si="4"/>
        <v>No Badges</v>
      </c>
      <c r="J6316" s="3">
        <f t="shared" si="5"/>
        <v>0</v>
      </c>
    </row>
    <row r="6317">
      <c r="A6317" s="1" t="s">
        <v>4769</v>
      </c>
      <c r="B6317" s="3" t="str">
        <f t="shared" si="1"/>
        <v>Unavailable</v>
      </c>
      <c r="C6317" s="3">
        <v>242.0</v>
      </c>
      <c r="D6317" s="3">
        <f>IFERROR(__xludf.DUMMYFUNCTION("IFERROR(
IF(REGEXMATCH(LOWER(O6317),""k""),
VALUE(REGEXEXTRACT(O6317,""[0-9]+""))*1000,
VALUE(REGEXEXTRACT(O6317,""[0-9]+""))
),
0
)"),0.0)</f>
        <v>0</v>
      </c>
      <c r="E6317" s="1" t="s">
        <v>11</v>
      </c>
      <c r="F6317" s="1" t="s">
        <v>20</v>
      </c>
      <c r="G6317" s="4" t="b">
        <f t="shared" si="2"/>
        <v>1</v>
      </c>
      <c r="H6317" s="1" t="str">
        <f t="shared" si="3"/>
        <v>Currently Unavailable</v>
      </c>
      <c r="I6317" s="1" t="str">
        <f t="shared" si="4"/>
        <v>No Badges</v>
      </c>
      <c r="J6317" s="3">
        <f t="shared" si="5"/>
        <v>0</v>
      </c>
    </row>
    <row r="6318">
      <c r="A6318" s="1" t="s">
        <v>4770</v>
      </c>
      <c r="B6318" s="3" t="str">
        <f t="shared" si="1"/>
        <v>Unavailable</v>
      </c>
      <c r="C6318" s="3">
        <v>244.0</v>
      </c>
      <c r="D6318" s="3">
        <f>IFERROR(__xludf.DUMMYFUNCTION("IFERROR(
IF(REGEXMATCH(LOWER(O6318),""k""),
VALUE(REGEXEXTRACT(O6318,""[0-9]+""))*1000,
VALUE(REGEXEXTRACT(O6318,""[0-9]+""))
),
0
)"),0.0)</f>
        <v>0</v>
      </c>
      <c r="E6318" s="1" t="s">
        <v>11</v>
      </c>
      <c r="F6318" s="1" t="s">
        <v>20</v>
      </c>
      <c r="G6318" s="4" t="b">
        <f t="shared" si="2"/>
        <v>1</v>
      </c>
      <c r="H6318" s="1" t="str">
        <f t="shared" si="3"/>
        <v>Currently Unavailable</v>
      </c>
      <c r="I6318" s="1" t="str">
        <f t="shared" si="4"/>
        <v>No Badges</v>
      </c>
      <c r="J6318" s="3">
        <f t="shared" si="5"/>
        <v>0</v>
      </c>
    </row>
    <row r="6319">
      <c r="A6319" s="1" t="s">
        <v>4771</v>
      </c>
      <c r="B6319" s="3" t="str">
        <f t="shared" si="1"/>
        <v>Unavailable</v>
      </c>
      <c r="C6319" s="3">
        <v>41.0</v>
      </c>
      <c r="D6319" s="3">
        <f>IFERROR(__xludf.DUMMYFUNCTION("IFERROR(
IF(REGEXMATCH(LOWER(O6319),""k""),
VALUE(REGEXEXTRACT(O6319,""[0-9]+""))*1000,
VALUE(REGEXEXTRACT(O6319,""[0-9]+""))
),
0
)"),0.0)</f>
        <v>0</v>
      </c>
      <c r="E6319" s="1" t="s">
        <v>11</v>
      </c>
      <c r="F6319" s="1" t="s">
        <v>20</v>
      </c>
      <c r="G6319" s="4" t="b">
        <f t="shared" si="2"/>
        <v>1</v>
      </c>
      <c r="H6319" s="1" t="str">
        <f t="shared" si="3"/>
        <v>Currently Unavailable</v>
      </c>
      <c r="I6319" s="1" t="str">
        <f t="shared" si="4"/>
        <v>No Badges</v>
      </c>
      <c r="J6319" s="3">
        <f t="shared" si="5"/>
        <v>0</v>
      </c>
    </row>
    <row r="6320">
      <c r="A6320" s="1" t="s">
        <v>4772</v>
      </c>
      <c r="B6320" s="3" t="str">
        <f t="shared" si="1"/>
        <v>Unavailable</v>
      </c>
      <c r="C6320" s="5">
        <v>1003.0</v>
      </c>
      <c r="D6320" s="3">
        <f>IFERROR(__xludf.DUMMYFUNCTION("IFERROR(
IF(REGEXMATCH(LOWER(O6320),""k""),
VALUE(REGEXEXTRACT(O6320,""[0-9]+""))*1000,
VALUE(REGEXEXTRACT(O6320,""[0-9]+""))
),
0
)"),0.0)</f>
        <v>0</v>
      </c>
      <c r="E6320" s="1" t="s">
        <v>11</v>
      </c>
      <c r="F6320" s="1" t="s">
        <v>20</v>
      </c>
      <c r="G6320" s="4" t="b">
        <f t="shared" si="2"/>
        <v>1</v>
      </c>
      <c r="H6320" s="1" t="str">
        <f t="shared" si="3"/>
        <v>Currently Unavailable</v>
      </c>
      <c r="I6320" s="1" t="str">
        <f t="shared" si="4"/>
        <v>No Badges</v>
      </c>
      <c r="J6320" s="3">
        <f t="shared" si="5"/>
        <v>0</v>
      </c>
    </row>
    <row r="6321">
      <c r="A6321" s="1" t="s">
        <v>4773</v>
      </c>
      <c r="B6321" s="3" t="str">
        <f t="shared" si="1"/>
        <v>Unavailable</v>
      </c>
      <c r="C6321" s="5">
        <v>3965.0</v>
      </c>
      <c r="D6321" s="3">
        <f>IFERROR(__xludf.DUMMYFUNCTION("IFERROR(
IF(REGEXMATCH(LOWER(O6321),""k""),
VALUE(REGEXEXTRACT(O6321,""[0-9]+""))*1000,
VALUE(REGEXEXTRACT(O6321,""[0-9]+""))
),
0
)"),0.0)</f>
        <v>0</v>
      </c>
      <c r="E6321" s="1" t="s">
        <v>11</v>
      </c>
      <c r="F6321" s="1" t="s">
        <v>20</v>
      </c>
      <c r="G6321" s="4" t="b">
        <f t="shared" si="2"/>
        <v>1</v>
      </c>
      <c r="H6321" s="1" t="str">
        <f t="shared" si="3"/>
        <v>Currently Unavailable</v>
      </c>
      <c r="I6321" s="1" t="str">
        <f t="shared" si="4"/>
        <v>No Badges</v>
      </c>
      <c r="J6321" s="3">
        <f t="shared" si="5"/>
        <v>0</v>
      </c>
    </row>
    <row r="6322">
      <c r="A6322" s="1" t="s">
        <v>4774</v>
      </c>
      <c r="B6322" s="3" t="str">
        <f t="shared" si="1"/>
        <v>Unavailable</v>
      </c>
      <c r="C6322" s="3">
        <v>288.0</v>
      </c>
      <c r="D6322" s="3">
        <f>IFERROR(__xludf.DUMMYFUNCTION("IFERROR(
IF(REGEXMATCH(LOWER(O6322),""k""),
VALUE(REGEXEXTRACT(O6322,""[0-9]+""))*1000,
VALUE(REGEXEXTRACT(O6322,""[0-9]+""))
),
0
)"),0.0)</f>
        <v>0</v>
      </c>
      <c r="E6322" s="1" t="s">
        <v>11</v>
      </c>
      <c r="F6322" s="1" t="s">
        <v>20</v>
      </c>
      <c r="G6322" s="4" t="b">
        <f t="shared" si="2"/>
        <v>1</v>
      </c>
      <c r="H6322" s="1" t="str">
        <f t="shared" si="3"/>
        <v>Currently Unavailable</v>
      </c>
      <c r="I6322" s="1" t="str">
        <f t="shared" si="4"/>
        <v>No Badges</v>
      </c>
      <c r="J6322" s="3">
        <f t="shared" si="5"/>
        <v>0</v>
      </c>
    </row>
    <row r="6323">
      <c r="A6323" s="1" t="s">
        <v>4775</v>
      </c>
      <c r="B6323" s="3" t="str">
        <f t="shared" si="1"/>
        <v>Unavailable</v>
      </c>
      <c r="C6323" s="5">
        <v>9090.0</v>
      </c>
      <c r="D6323" s="3">
        <f>IFERROR(__xludf.DUMMYFUNCTION("IFERROR(
IF(REGEXMATCH(LOWER(O6323),""k""),
VALUE(REGEXEXTRACT(O6323,""[0-9]+""))*1000,
VALUE(REGEXEXTRACT(O6323,""[0-9]+""))
),
0
)"),0.0)</f>
        <v>0</v>
      </c>
      <c r="E6323" s="1" t="s">
        <v>11</v>
      </c>
      <c r="F6323" s="1" t="s">
        <v>20</v>
      </c>
      <c r="G6323" s="4" t="b">
        <f t="shared" si="2"/>
        <v>1</v>
      </c>
      <c r="H6323" s="1" t="str">
        <f t="shared" si="3"/>
        <v>Currently Unavailable</v>
      </c>
      <c r="I6323" s="1" t="str">
        <f t="shared" si="4"/>
        <v>No Badges</v>
      </c>
      <c r="J6323" s="3">
        <f t="shared" si="5"/>
        <v>0</v>
      </c>
    </row>
    <row r="6324">
      <c r="A6324" s="1" t="s">
        <v>4776</v>
      </c>
      <c r="B6324" s="3" t="str">
        <f t="shared" si="1"/>
        <v>Unavailable</v>
      </c>
      <c r="C6324" s="3">
        <v>303.0</v>
      </c>
      <c r="D6324" s="3">
        <f>IFERROR(__xludf.DUMMYFUNCTION("IFERROR(
IF(REGEXMATCH(LOWER(O6324),""k""),
VALUE(REGEXEXTRACT(O6324,""[0-9]+""))*1000,
VALUE(REGEXEXTRACT(O6324,""[0-9]+""))
),
0
)"),0.0)</f>
        <v>0</v>
      </c>
      <c r="E6324" s="1" t="s">
        <v>11</v>
      </c>
      <c r="F6324" s="1" t="s">
        <v>20</v>
      </c>
      <c r="G6324" s="4" t="b">
        <f t="shared" si="2"/>
        <v>1</v>
      </c>
      <c r="H6324" s="1" t="str">
        <f t="shared" si="3"/>
        <v>Currently Unavailable</v>
      </c>
      <c r="I6324" s="1" t="str">
        <f t="shared" si="4"/>
        <v>No Badges</v>
      </c>
      <c r="J6324" s="3">
        <f t="shared" si="5"/>
        <v>0</v>
      </c>
    </row>
    <row r="6325">
      <c r="A6325" s="1" t="s">
        <v>4777</v>
      </c>
      <c r="B6325" s="3" t="str">
        <f t="shared" si="1"/>
        <v>Unavailable</v>
      </c>
      <c r="C6325" s="3">
        <v>647.0</v>
      </c>
      <c r="D6325" s="3">
        <f>IFERROR(__xludf.DUMMYFUNCTION("IFERROR(
IF(REGEXMATCH(LOWER(O6325),""k""),
VALUE(REGEXEXTRACT(O6325,""[0-9]+""))*1000,
VALUE(REGEXEXTRACT(O6325,""[0-9]+""))
),
0
)"),0.0)</f>
        <v>0</v>
      </c>
      <c r="E6325" s="1" t="s">
        <v>11</v>
      </c>
      <c r="F6325" s="1" t="s">
        <v>20</v>
      </c>
      <c r="G6325" s="4" t="b">
        <f t="shared" si="2"/>
        <v>1</v>
      </c>
      <c r="H6325" s="1" t="str">
        <f t="shared" si="3"/>
        <v>Currently Unavailable</v>
      </c>
      <c r="I6325" s="1" t="str">
        <f t="shared" si="4"/>
        <v>No Badges</v>
      </c>
      <c r="J6325" s="3">
        <f t="shared" si="5"/>
        <v>0</v>
      </c>
    </row>
    <row r="6326">
      <c r="A6326" s="1" t="s">
        <v>4778</v>
      </c>
      <c r="B6326" s="3" t="str">
        <f t="shared" si="1"/>
        <v>Unavailable</v>
      </c>
      <c r="C6326" s="5">
        <v>1907.0</v>
      </c>
      <c r="D6326" s="3">
        <f>IFERROR(__xludf.DUMMYFUNCTION("IFERROR(
IF(REGEXMATCH(LOWER(O6326),""k""),
VALUE(REGEXEXTRACT(O6326,""[0-9]+""))*1000,
VALUE(REGEXEXTRACT(O6326,""[0-9]+""))
),
0
)"),0.0)</f>
        <v>0</v>
      </c>
      <c r="E6326" s="1" t="s">
        <v>11</v>
      </c>
      <c r="F6326" s="1" t="s">
        <v>20</v>
      </c>
      <c r="G6326" s="4" t="b">
        <f t="shared" si="2"/>
        <v>1</v>
      </c>
      <c r="H6326" s="1" t="str">
        <f t="shared" si="3"/>
        <v>Currently Unavailable</v>
      </c>
      <c r="I6326" s="1" t="str">
        <f t="shared" si="4"/>
        <v>No Badges</v>
      </c>
      <c r="J6326" s="3">
        <f t="shared" si="5"/>
        <v>0</v>
      </c>
    </row>
    <row r="6327">
      <c r="A6327" s="1" t="s">
        <v>4779</v>
      </c>
      <c r="B6327" s="3" t="str">
        <f t="shared" si="1"/>
        <v>Unavailable</v>
      </c>
      <c r="C6327" s="3">
        <v>406.0</v>
      </c>
      <c r="D6327" s="3">
        <f>IFERROR(__xludf.DUMMYFUNCTION("IFERROR(
IF(REGEXMATCH(LOWER(O6327),""k""),
VALUE(REGEXEXTRACT(O6327,""[0-9]+""))*1000,
VALUE(REGEXEXTRACT(O6327,""[0-9]+""))
),
0
)"),0.0)</f>
        <v>0</v>
      </c>
      <c r="E6327" s="1" t="s">
        <v>11</v>
      </c>
      <c r="F6327" s="1" t="s">
        <v>20</v>
      </c>
      <c r="G6327" s="4" t="b">
        <f t="shared" si="2"/>
        <v>1</v>
      </c>
      <c r="H6327" s="1" t="str">
        <f t="shared" si="3"/>
        <v>Currently Unavailable</v>
      </c>
      <c r="I6327" s="1" t="str">
        <f t="shared" si="4"/>
        <v>No Badges</v>
      </c>
      <c r="J6327" s="3">
        <f t="shared" si="5"/>
        <v>0</v>
      </c>
    </row>
    <row r="6328">
      <c r="A6328" s="1" t="s">
        <v>4780</v>
      </c>
      <c r="B6328" s="3" t="str">
        <f t="shared" si="1"/>
        <v>Unavailable</v>
      </c>
      <c r="C6328" s="5">
        <v>1985.0</v>
      </c>
      <c r="D6328" s="3">
        <f>IFERROR(__xludf.DUMMYFUNCTION("IFERROR(
IF(REGEXMATCH(LOWER(O6328),""k""),
VALUE(REGEXEXTRACT(O6328,""[0-9]+""))*1000,
VALUE(REGEXEXTRACT(O6328,""[0-9]+""))
),
0
)"),0.0)</f>
        <v>0</v>
      </c>
      <c r="E6328" s="1" t="s">
        <v>11</v>
      </c>
      <c r="F6328" s="1" t="s">
        <v>20</v>
      </c>
      <c r="G6328" s="4" t="b">
        <f t="shared" si="2"/>
        <v>1</v>
      </c>
      <c r="H6328" s="1" t="str">
        <f t="shared" si="3"/>
        <v>Currently Unavailable</v>
      </c>
      <c r="I6328" s="1" t="str">
        <f t="shared" si="4"/>
        <v>No Badges</v>
      </c>
      <c r="J6328" s="3">
        <f t="shared" si="5"/>
        <v>0</v>
      </c>
    </row>
    <row r="6329">
      <c r="A6329" s="1" t="s">
        <v>4781</v>
      </c>
      <c r="B6329" s="3" t="str">
        <f t="shared" si="1"/>
        <v>Unavailable</v>
      </c>
      <c r="C6329" s="5">
        <v>5342.0</v>
      </c>
      <c r="D6329" s="3">
        <f>IFERROR(__xludf.DUMMYFUNCTION("IFERROR(
IF(REGEXMATCH(LOWER(O6329),""k""),
VALUE(REGEXEXTRACT(O6329,""[0-9]+""))*1000,
VALUE(REGEXEXTRACT(O6329,""[0-9]+""))
),
0
)"),0.0)</f>
        <v>0</v>
      </c>
      <c r="E6329" s="1" t="s">
        <v>11</v>
      </c>
      <c r="F6329" s="1" t="s">
        <v>20</v>
      </c>
      <c r="G6329" s="4" t="b">
        <f t="shared" si="2"/>
        <v>1</v>
      </c>
      <c r="H6329" s="1" t="str">
        <f t="shared" si="3"/>
        <v>Currently Unavailable</v>
      </c>
      <c r="I6329" s="1" t="str">
        <f t="shared" si="4"/>
        <v>No Badges</v>
      </c>
      <c r="J6329" s="3">
        <f t="shared" si="5"/>
        <v>0</v>
      </c>
    </row>
    <row r="6330">
      <c r="A6330" s="1" t="s">
        <v>4782</v>
      </c>
      <c r="B6330" s="3" t="str">
        <f t="shared" si="1"/>
        <v>Unavailable</v>
      </c>
      <c r="C6330" s="5">
        <v>5518.0</v>
      </c>
      <c r="D6330" s="3">
        <f>IFERROR(__xludf.DUMMYFUNCTION("IFERROR(
IF(REGEXMATCH(LOWER(O6330),""k""),
VALUE(REGEXEXTRACT(O6330,""[0-9]+""))*1000,
VALUE(REGEXEXTRACT(O6330,""[0-9]+""))
),
0
)"),0.0)</f>
        <v>0</v>
      </c>
      <c r="E6330" s="1" t="s">
        <v>11</v>
      </c>
      <c r="F6330" s="1" t="s">
        <v>20</v>
      </c>
      <c r="G6330" s="4" t="b">
        <f t="shared" si="2"/>
        <v>1</v>
      </c>
      <c r="H6330" s="1" t="str">
        <f t="shared" si="3"/>
        <v>Currently Unavailable</v>
      </c>
      <c r="I6330" s="1" t="str">
        <f t="shared" si="4"/>
        <v>No Badges</v>
      </c>
      <c r="J6330" s="3">
        <f t="shared" si="5"/>
        <v>0</v>
      </c>
    </row>
    <row r="6331">
      <c r="A6331" s="1" t="s">
        <v>88</v>
      </c>
      <c r="B6331" s="3" t="str">
        <f t="shared" si="1"/>
        <v>Unavailable</v>
      </c>
      <c r="C6331" s="3">
        <v>5.0</v>
      </c>
      <c r="D6331" s="3">
        <f>IFERROR(__xludf.DUMMYFUNCTION("IFERROR(
IF(REGEXMATCH(LOWER(O6331),""k""),
VALUE(REGEXEXTRACT(O6331,""[0-9]+""))*1000,
VALUE(REGEXEXTRACT(O6331,""[0-9]+""))
),
0
)"),0.0)</f>
        <v>0</v>
      </c>
      <c r="E6331" s="1" t="s">
        <v>11</v>
      </c>
      <c r="F6331" s="1" t="s">
        <v>12</v>
      </c>
      <c r="G6331" s="4" t="b">
        <f t="shared" si="2"/>
        <v>1</v>
      </c>
      <c r="H6331" s="1" t="str">
        <f t="shared" si="3"/>
        <v>Currently Unavailable</v>
      </c>
      <c r="I6331" s="1" t="str">
        <f t="shared" si="4"/>
        <v>No Badges</v>
      </c>
      <c r="J6331" s="3">
        <f t="shared" si="5"/>
        <v>0</v>
      </c>
    </row>
    <row r="6332">
      <c r="A6332" s="1" t="s">
        <v>4783</v>
      </c>
      <c r="B6332" s="3" t="str">
        <f t="shared" si="1"/>
        <v>Unavailable</v>
      </c>
      <c r="C6332" s="5">
        <v>1497.0</v>
      </c>
      <c r="D6332" s="3">
        <f>IFERROR(__xludf.DUMMYFUNCTION("IFERROR(
IF(REGEXMATCH(LOWER(O6332),""k""),
VALUE(REGEXEXTRACT(O6332,""[0-9]+""))*1000,
VALUE(REGEXEXTRACT(O6332,""[0-9]+""))
),
0
)"),0.0)</f>
        <v>0</v>
      </c>
      <c r="E6332" s="1" t="s">
        <v>11</v>
      </c>
      <c r="F6332" s="1" t="s">
        <v>20</v>
      </c>
      <c r="G6332" s="4" t="b">
        <f t="shared" si="2"/>
        <v>1</v>
      </c>
      <c r="H6332" s="1" t="str">
        <f t="shared" si="3"/>
        <v>Currently Unavailable</v>
      </c>
      <c r="I6332" s="1" t="str">
        <f t="shared" si="4"/>
        <v>No Badges</v>
      </c>
      <c r="J6332" s="3">
        <f t="shared" si="5"/>
        <v>0</v>
      </c>
    </row>
    <row r="6333">
      <c r="A6333" s="1" t="s">
        <v>4784</v>
      </c>
      <c r="B6333" s="3" t="str">
        <f t="shared" si="1"/>
        <v>Unavailable</v>
      </c>
      <c r="C6333" s="5">
        <v>2522.0</v>
      </c>
      <c r="D6333" s="3">
        <f>IFERROR(__xludf.DUMMYFUNCTION("IFERROR(
IF(REGEXMATCH(LOWER(O6333),""k""),
VALUE(REGEXEXTRACT(O6333,""[0-9]+""))*1000,
VALUE(REGEXEXTRACT(O6333,""[0-9]+""))
),
0
)"),0.0)</f>
        <v>0</v>
      </c>
      <c r="E6333" s="1" t="s">
        <v>11</v>
      </c>
      <c r="F6333" s="1" t="s">
        <v>20</v>
      </c>
      <c r="G6333" s="4" t="b">
        <f t="shared" si="2"/>
        <v>1</v>
      </c>
      <c r="H6333" s="1" t="str">
        <f t="shared" si="3"/>
        <v>Currently Unavailable</v>
      </c>
      <c r="I6333" s="1" t="str">
        <f t="shared" si="4"/>
        <v>No Badges</v>
      </c>
      <c r="J6333" s="3">
        <f t="shared" si="5"/>
        <v>0</v>
      </c>
    </row>
    <row r="6334">
      <c r="A6334" s="1" t="s">
        <v>69</v>
      </c>
      <c r="B6334" s="3" t="str">
        <f t="shared" si="1"/>
        <v>Unavailable</v>
      </c>
      <c r="C6334" s="3">
        <v>45.0</v>
      </c>
      <c r="D6334" s="3">
        <f>IFERROR(__xludf.DUMMYFUNCTION("IFERROR(
IF(REGEXMATCH(LOWER(O6334),""k""),
VALUE(REGEXEXTRACT(O6334,""[0-9]+""))*1000,
VALUE(REGEXEXTRACT(O6334,""[0-9]+""))
),
0
)"),0.0)</f>
        <v>0</v>
      </c>
      <c r="E6334" s="1" t="s">
        <v>11</v>
      </c>
      <c r="F6334" s="1" t="s">
        <v>12</v>
      </c>
      <c r="G6334" s="4" t="b">
        <f t="shared" si="2"/>
        <v>1</v>
      </c>
      <c r="H6334" s="1" t="str">
        <f t="shared" si="3"/>
        <v>Currently Unavailable</v>
      </c>
      <c r="I6334" s="1" t="str">
        <f t="shared" si="4"/>
        <v>No Badges</v>
      </c>
      <c r="J6334" s="3">
        <f t="shared" si="5"/>
        <v>0</v>
      </c>
    </row>
    <row r="6335">
      <c r="A6335" s="1" t="s">
        <v>4785</v>
      </c>
      <c r="B6335" s="3" t="str">
        <f t="shared" si="1"/>
        <v>Unavailable</v>
      </c>
      <c r="C6335" s="5">
        <v>9340.0</v>
      </c>
      <c r="D6335" s="3">
        <f>IFERROR(__xludf.DUMMYFUNCTION("IFERROR(
IF(REGEXMATCH(LOWER(O6335),""k""),
VALUE(REGEXEXTRACT(O6335,""[0-9]+""))*1000,
VALUE(REGEXEXTRACT(O6335,""[0-9]+""))
),
0
)"),0.0)</f>
        <v>0</v>
      </c>
      <c r="E6335" s="1" t="s">
        <v>11</v>
      </c>
      <c r="F6335" s="1" t="s">
        <v>20</v>
      </c>
      <c r="G6335" s="4" t="b">
        <f t="shared" si="2"/>
        <v>1</v>
      </c>
      <c r="H6335" s="1" t="str">
        <f t="shared" si="3"/>
        <v>Currently Unavailable</v>
      </c>
      <c r="I6335" s="1" t="str">
        <f t="shared" si="4"/>
        <v>No Badges</v>
      </c>
      <c r="J6335" s="3">
        <f t="shared" si="5"/>
        <v>0</v>
      </c>
    </row>
    <row r="6336">
      <c r="A6336" s="1" t="s">
        <v>4786</v>
      </c>
      <c r="B6336" s="3" t="str">
        <f t="shared" si="1"/>
        <v>Unavailable</v>
      </c>
      <c r="C6336" s="5">
        <v>5617.0</v>
      </c>
      <c r="D6336" s="3">
        <f>IFERROR(__xludf.DUMMYFUNCTION("IFERROR(
IF(REGEXMATCH(LOWER(O6336),""k""),
VALUE(REGEXEXTRACT(O6336,""[0-9]+""))*1000,
VALUE(REGEXEXTRACT(O6336,""[0-9]+""))
),
0
)"),0.0)</f>
        <v>0</v>
      </c>
      <c r="E6336" s="1" t="s">
        <v>11</v>
      </c>
      <c r="F6336" s="1" t="s">
        <v>20</v>
      </c>
      <c r="G6336" s="4" t="b">
        <f t="shared" si="2"/>
        <v>1</v>
      </c>
      <c r="H6336" s="1" t="str">
        <f t="shared" si="3"/>
        <v>Currently Unavailable</v>
      </c>
      <c r="I6336" s="1" t="str">
        <f t="shared" si="4"/>
        <v>No Badges</v>
      </c>
      <c r="J6336" s="3">
        <f t="shared" si="5"/>
        <v>0</v>
      </c>
    </row>
    <row r="6337">
      <c r="A6337" s="1" t="s">
        <v>4787</v>
      </c>
      <c r="B6337" s="3" t="str">
        <f t="shared" si="1"/>
        <v>Unavailable</v>
      </c>
      <c r="C6337" s="3">
        <v>291.0</v>
      </c>
      <c r="D6337" s="3">
        <f>IFERROR(__xludf.DUMMYFUNCTION("IFERROR(
IF(REGEXMATCH(LOWER(O6337),""k""),
VALUE(REGEXEXTRACT(O6337,""[0-9]+""))*1000,
VALUE(REGEXEXTRACT(O6337,""[0-9]+""))
),
0
)"),0.0)</f>
        <v>0</v>
      </c>
      <c r="E6337" s="1" t="s">
        <v>11</v>
      </c>
      <c r="F6337" s="1" t="s">
        <v>20</v>
      </c>
      <c r="G6337" s="4" t="b">
        <f t="shared" si="2"/>
        <v>1</v>
      </c>
      <c r="H6337" s="1" t="str">
        <f t="shared" si="3"/>
        <v>Currently Unavailable</v>
      </c>
      <c r="I6337" s="1" t="str">
        <f t="shared" si="4"/>
        <v>No Badges</v>
      </c>
      <c r="J6337" s="3">
        <f t="shared" si="5"/>
        <v>0</v>
      </c>
    </row>
    <row r="6338">
      <c r="A6338" s="1" t="s">
        <v>4788</v>
      </c>
      <c r="B6338" s="3" t="str">
        <f t="shared" si="1"/>
        <v>Unavailable</v>
      </c>
      <c r="C6338" s="5">
        <v>9737.0</v>
      </c>
      <c r="D6338" s="3">
        <f>IFERROR(__xludf.DUMMYFUNCTION("IFERROR(
IF(REGEXMATCH(LOWER(O6338),""k""),
VALUE(REGEXEXTRACT(O6338,""[0-9]+""))*1000,
VALUE(REGEXEXTRACT(O6338,""[0-9]+""))
),
0
)"),0.0)</f>
        <v>0</v>
      </c>
      <c r="E6338" s="1" t="s">
        <v>11</v>
      </c>
      <c r="F6338" s="1" t="s">
        <v>20</v>
      </c>
      <c r="G6338" s="4" t="b">
        <f t="shared" si="2"/>
        <v>1</v>
      </c>
      <c r="H6338" s="1" t="str">
        <f t="shared" si="3"/>
        <v>Currently Unavailable</v>
      </c>
      <c r="I6338" s="1" t="str">
        <f t="shared" si="4"/>
        <v>No Badges</v>
      </c>
      <c r="J6338" s="3">
        <f t="shared" si="5"/>
        <v>0</v>
      </c>
    </row>
    <row r="6339">
      <c r="A6339" s="1" t="s">
        <v>4789</v>
      </c>
      <c r="B6339" s="3" t="str">
        <f t="shared" si="1"/>
        <v>Unavailable</v>
      </c>
      <c r="C6339" s="3">
        <v>682.0</v>
      </c>
      <c r="D6339" s="3">
        <f>IFERROR(__xludf.DUMMYFUNCTION("IFERROR(
IF(REGEXMATCH(LOWER(O6339),""k""),
VALUE(REGEXEXTRACT(O6339,""[0-9]+""))*1000,
VALUE(REGEXEXTRACT(O6339,""[0-9]+""))
),
0
)"),0.0)</f>
        <v>0</v>
      </c>
      <c r="E6339" s="1" t="s">
        <v>11</v>
      </c>
      <c r="F6339" s="1" t="s">
        <v>20</v>
      </c>
      <c r="G6339" s="4" t="b">
        <f t="shared" si="2"/>
        <v>1</v>
      </c>
      <c r="H6339" s="1" t="str">
        <f t="shared" si="3"/>
        <v>Currently Unavailable</v>
      </c>
      <c r="I6339" s="1" t="str">
        <f t="shared" si="4"/>
        <v>No Badges</v>
      </c>
      <c r="J6339" s="3">
        <f t="shared" si="5"/>
        <v>0</v>
      </c>
    </row>
    <row r="6340">
      <c r="A6340" s="1" t="s">
        <v>4790</v>
      </c>
      <c r="B6340" s="3" t="str">
        <f t="shared" si="1"/>
        <v>Unavailable</v>
      </c>
      <c r="C6340" s="5">
        <v>13725.0</v>
      </c>
      <c r="D6340" s="3">
        <f>IFERROR(__xludf.DUMMYFUNCTION("IFERROR(
IF(REGEXMATCH(LOWER(O6340),""k""),
VALUE(REGEXEXTRACT(O6340,""[0-9]+""))*1000,
VALUE(REGEXEXTRACT(O6340,""[0-9]+""))
),
0
)"),0.0)</f>
        <v>0</v>
      </c>
      <c r="E6340" s="1" t="s">
        <v>11</v>
      </c>
      <c r="F6340" s="1" t="s">
        <v>20</v>
      </c>
      <c r="G6340" s="4" t="b">
        <f t="shared" si="2"/>
        <v>1</v>
      </c>
      <c r="H6340" s="1" t="str">
        <f t="shared" si="3"/>
        <v>Currently Unavailable</v>
      </c>
      <c r="I6340" s="1" t="str">
        <f t="shared" si="4"/>
        <v>No Badges</v>
      </c>
      <c r="J6340" s="3">
        <f t="shared" si="5"/>
        <v>0</v>
      </c>
    </row>
    <row r="6341">
      <c r="A6341" s="1" t="s">
        <v>4791</v>
      </c>
      <c r="B6341" s="3" t="str">
        <f t="shared" si="1"/>
        <v>Unavailable</v>
      </c>
      <c r="C6341" s="5">
        <v>5252.0</v>
      </c>
      <c r="D6341" s="3">
        <f>IFERROR(__xludf.DUMMYFUNCTION("IFERROR(
IF(REGEXMATCH(LOWER(O6341),""k""),
VALUE(REGEXEXTRACT(O6341,""[0-9]+""))*1000,
VALUE(REGEXEXTRACT(O6341,""[0-9]+""))
),
0
)"),0.0)</f>
        <v>0</v>
      </c>
      <c r="E6341" s="1" t="s">
        <v>158</v>
      </c>
      <c r="F6341" s="1" t="s">
        <v>20</v>
      </c>
      <c r="G6341" s="4" t="b">
        <f t="shared" si="2"/>
        <v>1</v>
      </c>
      <c r="H6341" s="1" t="str">
        <f t="shared" si="3"/>
        <v>Currently Unavailable</v>
      </c>
      <c r="I6341" s="1" t="str">
        <f t="shared" si="4"/>
        <v>No Badges</v>
      </c>
      <c r="J6341" s="3">
        <f t="shared" si="5"/>
        <v>0</v>
      </c>
    </row>
    <row r="6342">
      <c r="A6342" s="1" t="s">
        <v>4792</v>
      </c>
      <c r="B6342" s="3" t="str">
        <f t="shared" si="1"/>
        <v>Unavailable</v>
      </c>
      <c r="C6342" s="3">
        <v>42.0</v>
      </c>
      <c r="D6342" s="3">
        <f>IFERROR(__xludf.DUMMYFUNCTION("IFERROR(
IF(REGEXMATCH(LOWER(O6342),""k""),
VALUE(REGEXEXTRACT(O6342,""[0-9]+""))*1000,
VALUE(REGEXEXTRACT(O6342,""[0-9]+""))
),
0
)"),0.0)</f>
        <v>0</v>
      </c>
      <c r="E6342" s="1" t="s">
        <v>11</v>
      </c>
      <c r="F6342" s="1" t="s">
        <v>20</v>
      </c>
      <c r="G6342" s="4" t="b">
        <f t="shared" si="2"/>
        <v>1</v>
      </c>
      <c r="H6342" s="1" t="str">
        <f t="shared" si="3"/>
        <v>Currently Unavailable</v>
      </c>
      <c r="I6342" s="1" t="str">
        <f t="shared" si="4"/>
        <v>No Badges</v>
      </c>
      <c r="J6342" s="3">
        <f t="shared" si="5"/>
        <v>0</v>
      </c>
    </row>
    <row r="6343">
      <c r="A6343" s="1" t="s">
        <v>4793</v>
      </c>
      <c r="B6343" s="3" t="str">
        <f t="shared" si="1"/>
        <v>Unavailable</v>
      </c>
      <c r="C6343" s="3">
        <v>96.0</v>
      </c>
      <c r="D6343" s="3">
        <f>IFERROR(__xludf.DUMMYFUNCTION("IFERROR(
IF(REGEXMATCH(LOWER(O6343),""k""),
VALUE(REGEXEXTRACT(O6343,""[0-9]+""))*1000,
VALUE(REGEXEXTRACT(O6343,""[0-9]+""))
),
0
)"),0.0)</f>
        <v>0</v>
      </c>
      <c r="E6343" s="1" t="s">
        <v>11</v>
      </c>
      <c r="F6343" s="1" t="s">
        <v>20</v>
      </c>
      <c r="G6343" s="4" t="b">
        <f t="shared" si="2"/>
        <v>1</v>
      </c>
      <c r="H6343" s="1" t="str">
        <f t="shared" si="3"/>
        <v>Currently Unavailable</v>
      </c>
      <c r="I6343" s="1" t="str">
        <f t="shared" si="4"/>
        <v>No Badges</v>
      </c>
      <c r="J6343" s="3">
        <f t="shared" si="5"/>
        <v>0</v>
      </c>
    </row>
    <row r="6344">
      <c r="A6344" s="1" t="s">
        <v>4794</v>
      </c>
      <c r="B6344" s="3" t="str">
        <f t="shared" si="1"/>
        <v>Unavailable</v>
      </c>
      <c r="C6344" s="5">
        <v>2281.0</v>
      </c>
      <c r="D6344" s="3">
        <f>IFERROR(__xludf.DUMMYFUNCTION("IFERROR(
IF(REGEXMATCH(LOWER(O6344),""k""),
VALUE(REGEXEXTRACT(O6344,""[0-9]+""))*1000,
VALUE(REGEXEXTRACT(O6344,""[0-9]+""))
),
0
)"),0.0)</f>
        <v>0</v>
      </c>
      <c r="E6344" s="1" t="s">
        <v>11</v>
      </c>
      <c r="F6344" s="1" t="s">
        <v>20</v>
      </c>
      <c r="G6344" s="4" t="b">
        <f t="shared" si="2"/>
        <v>1</v>
      </c>
      <c r="H6344" s="1" t="str">
        <f t="shared" si="3"/>
        <v>Currently Unavailable</v>
      </c>
      <c r="I6344" s="1" t="str">
        <f t="shared" si="4"/>
        <v>No Badges</v>
      </c>
      <c r="J6344" s="3">
        <f t="shared" si="5"/>
        <v>0</v>
      </c>
    </row>
    <row r="6345">
      <c r="A6345" s="1" t="s">
        <v>4795</v>
      </c>
      <c r="B6345" s="3" t="str">
        <f t="shared" si="1"/>
        <v>Unavailable</v>
      </c>
      <c r="C6345" s="5">
        <v>2661.0</v>
      </c>
      <c r="D6345" s="3">
        <f>IFERROR(__xludf.DUMMYFUNCTION("IFERROR(
IF(REGEXMATCH(LOWER(O6345),""k""),
VALUE(REGEXEXTRACT(O6345,""[0-9]+""))*1000,
VALUE(REGEXEXTRACT(O6345,""[0-9]+""))
),
0
)"),0.0)</f>
        <v>0</v>
      </c>
      <c r="E6345" s="1" t="s">
        <v>11</v>
      </c>
      <c r="F6345" s="1" t="s">
        <v>20</v>
      </c>
      <c r="G6345" s="4" t="b">
        <f t="shared" si="2"/>
        <v>1</v>
      </c>
      <c r="H6345" s="1" t="str">
        <f t="shared" si="3"/>
        <v>Currently Unavailable</v>
      </c>
      <c r="I6345" s="1" t="str">
        <f t="shared" si="4"/>
        <v>No Badges</v>
      </c>
      <c r="J6345" s="3">
        <f t="shared" si="5"/>
        <v>0</v>
      </c>
    </row>
    <row r="6346">
      <c r="A6346" s="1" t="s">
        <v>4796</v>
      </c>
      <c r="B6346" s="3" t="str">
        <f t="shared" si="1"/>
        <v>Unavailable</v>
      </c>
      <c r="C6346" s="3">
        <v>454.0</v>
      </c>
      <c r="D6346" s="3">
        <f>IFERROR(__xludf.DUMMYFUNCTION("IFERROR(
IF(REGEXMATCH(LOWER(O6346),""k""),
VALUE(REGEXEXTRACT(O6346,""[0-9]+""))*1000,
VALUE(REGEXEXTRACT(O6346,""[0-9]+""))
),
0
)"),0.0)</f>
        <v>0</v>
      </c>
      <c r="E6346" s="1" t="s">
        <v>11</v>
      </c>
      <c r="F6346" s="1" t="s">
        <v>20</v>
      </c>
      <c r="G6346" s="4" t="b">
        <f t="shared" si="2"/>
        <v>1</v>
      </c>
      <c r="H6346" s="1" t="str">
        <f t="shared" si="3"/>
        <v>Currently Unavailable</v>
      </c>
      <c r="I6346" s="1" t="str">
        <f t="shared" si="4"/>
        <v>No Badges</v>
      </c>
      <c r="J6346" s="3">
        <f t="shared" si="5"/>
        <v>0</v>
      </c>
    </row>
    <row r="6347">
      <c r="A6347" s="1" t="s">
        <v>67</v>
      </c>
      <c r="B6347" s="3" t="str">
        <f t="shared" si="1"/>
        <v>Unavailable</v>
      </c>
      <c r="C6347" s="3">
        <v>264.0</v>
      </c>
      <c r="D6347" s="3">
        <f>IFERROR(__xludf.DUMMYFUNCTION("IFERROR(
IF(REGEXMATCH(LOWER(O6347),""k""),
VALUE(REGEXEXTRACT(O6347,""[0-9]+""))*1000,
VALUE(REGEXEXTRACT(O6347,""[0-9]+""))
),
0
)"),0.0)</f>
        <v>0</v>
      </c>
      <c r="E6347" s="1" t="s">
        <v>11</v>
      </c>
      <c r="F6347" s="1" t="s">
        <v>12</v>
      </c>
      <c r="G6347" s="4" t="b">
        <f t="shared" si="2"/>
        <v>1</v>
      </c>
      <c r="H6347" s="1" t="str">
        <f t="shared" si="3"/>
        <v>Currently Unavailable</v>
      </c>
      <c r="I6347" s="1" t="str">
        <f t="shared" si="4"/>
        <v>No Badges</v>
      </c>
      <c r="J6347" s="3">
        <f t="shared" si="5"/>
        <v>0</v>
      </c>
    </row>
    <row r="6348">
      <c r="A6348" s="1" t="s">
        <v>4797</v>
      </c>
      <c r="B6348" s="3" t="str">
        <f t="shared" si="1"/>
        <v>Unavailable</v>
      </c>
      <c r="C6348" s="3">
        <v>668.0</v>
      </c>
      <c r="D6348" s="3">
        <f>IFERROR(__xludf.DUMMYFUNCTION("IFERROR(
IF(REGEXMATCH(LOWER(O6348),""k""),
VALUE(REGEXEXTRACT(O6348,""[0-9]+""))*1000,
VALUE(REGEXEXTRACT(O6348,""[0-9]+""))
),
0
)"),0.0)</f>
        <v>0</v>
      </c>
      <c r="E6348" s="1" t="s">
        <v>11</v>
      </c>
      <c r="F6348" s="1" t="s">
        <v>20</v>
      </c>
      <c r="G6348" s="4" t="b">
        <f t="shared" si="2"/>
        <v>1</v>
      </c>
      <c r="H6348" s="1" t="str">
        <f t="shared" si="3"/>
        <v>Currently Unavailable</v>
      </c>
      <c r="I6348" s="1" t="str">
        <f t="shared" si="4"/>
        <v>No Badges</v>
      </c>
      <c r="J6348" s="3">
        <f t="shared" si="5"/>
        <v>0</v>
      </c>
    </row>
    <row r="6349">
      <c r="A6349" s="1" t="s">
        <v>701</v>
      </c>
      <c r="B6349" s="3" t="str">
        <f t="shared" si="1"/>
        <v>Unavailable</v>
      </c>
      <c r="C6349" s="3">
        <v>8.0</v>
      </c>
      <c r="D6349" s="3">
        <f>IFERROR(__xludf.DUMMYFUNCTION("IFERROR(
IF(REGEXMATCH(LOWER(O6349),""k""),
VALUE(REGEXEXTRACT(O6349,""[0-9]+""))*1000,
VALUE(REGEXEXTRACT(O6349,""[0-9]+""))
),
0
)"),0.0)</f>
        <v>0</v>
      </c>
      <c r="E6349" s="1" t="s">
        <v>11</v>
      </c>
      <c r="F6349" s="1" t="s">
        <v>12</v>
      </c>
      <c r="G6349" s="4" t="b">
        <f t="shared" si="2"/>
        <v>1</v>
      </c>
      <c r="H6349" s="1" t="str">
        <f t="shared" si="3"/>
        <v>Currently Unavailable</v>
      </c>
      <c r="I6349" s="1" t="str">
        <f t="shared" si="4"/>
        <v>No Badges</v>
      </c>
      <c r="J6349" s="3">
        <f t="shared" si="5"/>
        <v>0</v>
      </c>
    </row>
    <row r="6350">
      <c r="A6350" s="1" t="s">
        <v>4798</v>
      </c>
      <c r="B6350" s="3" t="str">
        <f t="shared" si="1"/>
        <v>Unavailable</v>
      </c>
      <c r="C6350" s="3">
        <v>562.0</v>
      </c>
      <c r="D6350" s="3">
        <f>IFERROR(__xludf.DUMMYFUNCTION("IFERROR(
IF(REGEXMATCH(LOWER(O6350),""k""),
VALUE(REGEXEXTRACT(O6350,""[0-9]+""))*1000,
VALUE(REGEXEXTRACT(O6350,""[0-9]+""))
),
0
)"),0.0)</f>
        <v>0</v>
      </c>
      <c r="E6350" s="1" t="s">
        <v>11</v>
      </c>
      <c r="F6350" s="1" t="s">
        <v>20</v>
      </c>
      <c r="G6350" s="4" t="b">
        <f t="shared" si="2"/>
        <v>1</v>
      </c>
      <c r="H6350" s="1" t="str">
        <f t="shared" si="3"/>
        <v>Currently Unavailable</v>
      </c>
      <c r="I6350" s="1" t="str">
        <f t="shared" si="4"/>
        <v>No Badges</v>
      </c>
      <c r="J6350" s="3">
        <f t="shared" si="5"/>
        <v>0</v>
      </c>
    </row>
    <row r="6351">
      <c r="A6351" s="1" t="s">
        <v>4799</v>
      </c>
      <c r="B6351" s="3" t="str">
        <f t="shared" si="1"/>
        <v>Unavailable</v>
      </c>
      <c r="C6351" s="3">
        <v>983.0</v>
      </c>
      <c r="D6351" s="3">
        <f>IFERROR(__xludf.DUMMYFUNCTION("IFERROR(
IF(REGEXMATCH(LOWER(O6351),""k""),
VALUE(REGEXEXTRACT(O6351,""[0-9]+""))*1000,
VALUE(REGEXEXTRACT(O6351,""[0-9]+""))
),
0
)"),0.0)</f>
        <v>0</v>
      </c>
      <c r="E6351" s="1" t="s">
        <v>11</v>
      </c>
      <c r="F6351" s="1" t="s">
        <v>20</v>
      </c>
      <c r="G6351" s="4" t="b">
        <f t="shared" si="2"/>
        <v>1</v>
      </c>
      <c r="H6351" s="1" t="str">
        <f t="shared" si="3"/>
        <v>Currently Unavailable</v>
      </c>
      <c r="I6351" s="1" t="str">
        <f t="shared" si="4"/>
        <v>No Badges</v>
      </c>
      <c r="J6351" s="3">
        <f t="shared" si="5"/>
        <v>0</v>
      </c>
    </row>
    <row r="6352">
      <c r="A6352" s="1" t="s">
        <v>4800</v>
      </c>
      <c r="B6352" s="3" t="str">
        <f t="shared" si="1"/>
        <v>Unavailable</v>
      </c>
      <c r="C6352" s="3">
        <v>666.0</v>
      </c>
      <c r="D6352" s="3">
        <f>IFERROR(__xludf.DUMMYFUNCTION("IFERROR(
IF(REGEXMATCH(LOWER(O6352),""k""),
VALUE(REGEXEXTRACT(O6352,""[0-9]+""))*1000,
VALUE(REGEXEXTRACT(O6352,""[0-9]+""))
),
0
)"),0.0)</f>
        <v>0</v>
      </c>
      <c r="E6352" s="1" t="s">
        <v>11</v>
      </c>
      <c r="F6352" s="1" t="s">
        <v>20</v>
      </c>
      <c r="G6352" s="4" t="b">
        <f t="shared" si="2"/>
        <v>1</v>
      </c>
      <c r="H6352" s="1" t="str">
        <f t="shared" si="3"/>
        <v>Currently Unavailable</v>
      </c>
      <c r="I6352" s="1" t="str">
        <f t="shared" si="4"/>
        <v>No Badges</v>
      </c>
      <c r="J6352" s="3">
        <f t="shared" si="5"/>
        <v>0</v>
      </c>
    </row>
    <row r="6353">
      <c r="A6353" s="1" t="s">
        <v>4801</v>
      </c>
      <c r="B6353" s="3" t="str">
        <f t="shared" si="1"/>
        <v>Unavailable</v>
      </c>
      <c r="C6353" s="5">
        <v>1660.0</v>
      </c>
      <c r="D6353" s="3">
        <f>IFERROR(__xludf.DUMMYFUNCTION("IFERROR(
IF(REGEXMATCH(LOWER(O6353),""k""),
VALUE(REGEXEXTRACT(O6353,""[0-9]+""))*1000,
VALUE(REGEXEXTRACT(O6353,""[0-9]+""))
),
0
)"),0.0)</f>
        <v>0</v>
      </c>
      <c r="E6353" s="1" t="s">
        <v>11</v>
      </c>
      <c r="F6353" s="1" t="s">
        <v>20</v>
      </c>
      <c r="G6353" s="4" t="b">
        <f t="shared" si="2"/>
        <v>1</v>
      </c>
      <c r="H6353" s="1" t="str">
        <f t="shared" si="3"/>
        <v>Currently Unavailable</v>
      </c>
      <c r="I6353" s="1" t="str">
        <f t="shared" si="4"/>
        <v>No Badges</v>
      </c>
      <c r="J6353" s="3">
        <f t="shared" si="5"/>
        <v>0</v>
      </c>
    </row>
    <row r="6354">
      <c r="A6354" s="1" t="s">
        <v>4802</v>
      </c>
      <c r="B6354" s="3" t="str">
        <f t="shared" si="1"/>
        <v>Unavailable</v>
      </c>
      <c r="C6354" s="3">
        <v>194.0</v>
      </c>
      <c r="D6354" s="3">
        <f>IFERROR(__xludf.DUMMYFUNCTION("IFERROR(
IF(REGEXMATCH(LOWER(O6354),""k""),
VALUE(REGEXEXTRACT(O6354,""[0-9]+""))*1000,
VALUE(REGEXEXTRACT(O6354,""[0-9]+""))
),
0
)"),0.0)</f>
        <v>0</v>
      </c>
      <c r="E6354" s="1" t="s">
        <v>11</v>
      </c>
      <c r="F6354" s="1" t="s">
        <v>20</v>
      </c>
      <c r="G6354" s="4" t="b">
        <f t="shared" si="2"/>
        <v>1</v>
      </c>
      <c r="H6354" s="1" t="str">
        <f t="shared" si="3"/>
        <v>Currently Unavailable</v>
      </c>
      <c r="I6354" s="1" t="str">
        <f t="shared" si="4"/>
        <v>No Badges</v>
      </c>
      <c r="J6354" s="3">
        <f t="shared" si="5"/>
        <v>0</v>
      </c>
    </row>
    <row r="6355">
      <c r="A6355" s="1" t="s">
        <v>4803</v>
      </c>
      <c r="B6355" s="3" t="str">
        <f t="shared" si="1"/>
        <v>Unavailable</v>
      </c>
      <c r="C6355" s="3">
        <v>396.0</v>
      </c>
      <c r="D6355" s="3">
        <f>IFERROR(__xludf.DUMMYFUNCTION("IFERROR(
IF(REGEXMATCH(LOWER(O6355),""k""),
VALUE(REGEXEXTRACT(O6355,""[0-9]+""))*1000,
VALUE(REGEXEXTRACT(O6355,""[0-9]+""))
),
0
)"),0.0)</f>
        <v>0</v>
      </c>
      <c r="E6355" s="1" t="s">
        <v>11</v>
      </c>
      <c r="F6355" s="1" t="s">
        <v>20</v>
      </c>
      <c r="G6355" s="4" t="b">
        <f t="shared" si="2"/>
        <v>1</v>
      </c>
      <c r="H6355" s="1" t="str">
        <f t="shared" si="3"/>
        <v>Currently Unavailable</v>
      </c>
      <c r="I6355" s="1" t="str">
        <f t="shared" si="4"/>
        <v>No Badges</v>
      </c>
      <c r="J6355" s="3">
        <f t="shared" si="5"/>
        <v>0</v>
      </c>
    </row>
    <row r="6356">
      <c r="A6356" s="1" t="s">
        <v>4804</v>
      </c>
      <c r="B6356" s="3" t="str">
        <f t="shared" si="1"/>
        <v>Unavailable</v>
      </c>
      <c r="C6356" s="5">
        <v>1561.0</v>
      </c>
      <c r="D6356" s="3">
        <f>IFERROR(__xludf.DUMMYFUNCTION("IFERROR(
IF(REGEXMATCH(LOWER(O6356),""k""),
VALUE(REGEXEXTRACT(O6356,""[0-9]+""))*1000,
VALUE(REGEXEXTRACT(O6356,""[0-9]+""))
),
0
)"),0.0)</f>
        <v>0</v>
      </c>
      <c r="E6356" s="1" t="s">
        <v>11</v>
      </c>
      <c r="F6356" s="1" t="s">
        <v>20</v>
      </c>
      <c r="G6356" s="4" t="b">
        <f t="shared" si="2"/>
        <v>1</v>
      </c>
      <c r="H6356" s="1" t="str">
        <f t="shared" si="3"/>
        <v>Currently Unavailable</v>
      </c>
      <c r="I6356" s="1" t="str">
        <f t="shared" si="4"/>
        <v>No Badges</v>
      </c>
      <c r="J6356" s="3">
        <f t="shared" si="5"/>
        <v>0</v>
      </c>
    </row>
    <row r="6357">
      <c r="A6357" s="1" t="s">
        <v>4805</v>
      </c>
      <c r="B6357" s="3" t="str">
        <f t="shared" si="1"/>
        <v>Unavailable</v>
      </c>
      <c r="C6357" s="3">
        <v>111.0</v>
      </c>
      <c r="D6357" s="3">
        <f>IFERROR(__xludf.DUMMYFUNCTION("IFERROR(
IF(REGEXMATCH(LOWER(O6357),""k""),
VALUE(REGEXEXTRACT(O6357,""[0-9]+""))*1000,
VALUE(REGEXEXTRACT(O6357,""[0-9]+""))
),
0
)"),0.0)</f>
        <v>0</v>
      </c>
      <c r="E6357" s="1" t="s">
        <v>11</v>
      </c>
      <c r="F6357" s="1" t="s">
        <v>20</v>
      </c>
      <c r="G6357" s="4" t="b">
        <f t="shared" si="2"/>
        <v>1</v>
      </c>
      <c r="H6357" s="1" t="str">
        <f t="shared" si="3"/>
        <v>Currently Unavailable</v>
      </c>
      <c r="I6357" s="1" t="str">
        <f t="shared" si="4"/>
        <v>No Badges</v>
      </c>
      <c r="J6357" s="3">
        <f t="shared" si="5"/>
        <v>0</v>
      </c>
    </row>
    <row r="6358">
      <c r="A6358" s="1" t="s">
        <v>4806</v>
      </c>
      <c r="B6358" s="1" t="str">
        <f t="shared" si="1"/>
        <v>Unavailable</v>
      </c>
      <c r="C6358" s="1"/>
      <c r="D6358" s="3">
        <f>IFERROR(__xludf.DUMMYFUNCTION("IFERROR(
IF(REGEXMATCH(LOWER(O6358),""k""),
VALUE(REGEXEXTRACT(O6358,""[0-9]+""))*1000,
VALUE(REGEXEXTRACT(O6358,""[0-9]+""))
),
0
)"),0.0)</f>
        <v>0</v>
      </c>
      <c r="E6358" s="1" t="s">
        <v>11</v>
      </c>
      <c r="F6358" s="1" t="s">
        <v>20</v>
      </c>
      <c r="G6358" s="4" t="b">
        <f t="shared" si="2"/>
        <v>1</v>
      </c>
      <c r="H6358" s="1" t="str">
        <f t="shared" si="3"/>
        <v>Currently Unavailable</v>
      </c>
      <c r="I6358" s="1" t="str">
        <f t="shared" si="4"/>
        <v>No Badges</v>
      </c>
      <c r="J6358" s="6">
        <f t="shared" si="5"/>
        <v>0</v>
      </c>
    </row>
    <row r="6359">
      <c r="A6359" s="1" t="s">
        <v>4807</v>
      </c>
      <c r="B6359" s="3" t="str">
        <f t="shared" si="1"/>
        <v>Unavailable</v>
      </c>
      <c r="C6359" s="3">
        <v>227.0</v>
      </c>
      <c r="D6359" s="3">
        <f>IFERROR(__xludf.DUMMYFUNCTION("IFERROR(
IF(REGEXMATCH(LOWER(O6359),""k""),
VALUE(REGEXEXTRACT(O6359,""[0-9]+""))*1000,
VALUE(REGEXEXTRACT(O6359,""[0-9]+""))
),
0
)"),0.0)</f>
        <v>0</v>
      </c>
      <c r="E6359" s="1" t="s">
        <v>11</v>
      </c>
      <c r="F6359" s="1" t="s">
        <v>20</v>
      </c>
      <c r="G6359" s="4" t="b">
        <f t="shared" si="2"/>
        <v>1</v>
      </c>
      <c r="H6359" s="1" t="str">
        <f t="shared" si="3"/>
        <v>Currently Unavailable</v>
      </c>
      <c r="I6359" s="1" t="str">
        <f t="shared" si="4"/>
        <v>No Badges</v>
      </c>
      <c r="J6359" s="3">
        <f t="shared" si="5"/>
        <v>0</v>
      </c>
    </row>
    <row r="6360">
      <c r="A6360" s="1" t="s">
        <v>4808</v>
      </c>
      <c r="B6360" s="3" t="str">
        <f t="shared" si="1"/>
        <v>Unavailable</v>
      </c>
      <c r="C6360" s="3">
        <v>320.0</v>
      </c>
      <c r="D6360" s="3">
        <f>IFERROR(__xludf.DUMMYFUNCTION("IFERROR(
IF(REGEXMATCH(LOWER(O6360),""k""),
VALUE(REGEXEXTRACT(O6360,""[0-9]+""))*1000,
VALUE(REGEXEXTRACT(O6360,""[0-9]+""))
),
0
)"),0.0)</f>
        <v>0</v>
      </c>
      <c r="E6360" s="1" t="s">
        <v>11</v>
      </c>
      <c r="F6360" s="1" t="s">
        <v>20</v>
      </c>
      <c r="G6360" s="4" t="b">
        <f t="shared" si="2"/>
        <v>1</v>
      </c>
      <c r="H6360" s="1" t="str">
        <f t="shared" si="3"/>
        <v>Currently Unavailable</v>
      </c>
      <c r="I6360" s="1" t="str">
        <f t="shared" si="4"/>
        <v>No Badges</v>
      </c>
      <c r="J6360" s="3">
        <f t="shared" si="5"/>
        <v>0</v>
      </c>
    </row>
    <row r="6361">
      <c r="A6361" s="1" t="s">
        <v>4809</v>
      </c>
      <c r="B6361" s="3" t="str">
        <f t="shared" si="1"/>
        <v>Unavailable</v>
      </c>
      <c r="C6361" s="3">
        <v>753.0</v>
      </c>
      <c r="D6361" s="3">
        <f>IFERROR(__xludf.DUMMYFUNCTION("IFERROR(
IF(REGEXMATCH(LOWER(O6361),""k""),
VALUE(REGEXEXTRACT(O6361,""[0-9]+""))*1000,
VALUE(REGEXEXTRACT(O6361,""[0-9]+""))
),
0
)"),0.0)</f>
        <v>0</v>
      </c>
      <c r="E6361" s="1" t="s">
        <v>11</v>
      </c>
      <c r="F6361" s="1" t="s">
        <v>20</v>
      </c>
      <c r="G6361" s="4" t="b">
        <f t="shared" si="2"/>
        <v>1</v>
      </c>
      <c r="H6361" s="1" t="str">
        <f t="shared" si="3"/>
        <v>Currently Unavailable</v>
      </c>
      <c r="I6361" s="1" t="str">
        <f t="shared" si="4"/>
        <v>No Badges</v>
      </c>
      <c r="J6361" s="3">
        <f t="shared" si="5"/>
        <v>0</v>
      </c>
    </row>
    <row r="6362">
      <c r="A6362" s="1" t="s">
        <v>4810</v>
      </c>
      <c r="B6362" s="3" t="str">
        <f t="shared" si="1"/>
        <v>Unavailable</v>
      </c>
      <c r="C6362" s="5">
        <v>1479.0</v>
      </c>
      <c r="D6362" s="3">
        <f>IFERROR(__xludf.DUMMYFUNCTION("IFERROR(
IF(REGEXMATCH(LOWER(O6362),""k""),
VALUE(REGEXEXTRACT(O6362,""[0-9]+""))*1000,
VALUE(REGEXEXTRACT(O6362,""[0-9]+""))
),
0
)"),0.0)</f>
        <v>0</v>
      </c>
      <c r="E6362" s="1" t="s">
        <v>11</v>
      </c>
      <c r="F6362" s="1" t="s">
        <v>20</v>
      </c>
      <c r="G6362" s="4" t="b">
        <f t="shared" si="2"/>
        <v>1</v>
      </c>
      <c r="H6362" s="1" t="str">
        <f t="shared" si="3"/>
        <v>Currently Unavailable</v>
      </c>
      <c r="I6362" s="1" t="str">
        <f t="shared" si="4"/>
        <v>No Badges</v>
      </c>
      <c r="J6362" s="3">
        <f t="shared" si="5"/>
        <v>0</v>
      </c>
    </row>
    <row r="6363">
      <c r="A6363" s="1" t="s">
        <v>4811</v>
      </c>
      <c r="B6363" s="3" t="str">
        <f t="shared" si="1"/>
        <v>Unavailable</v>
      </c>
      <c r="C6363" s="5">
        <v>1941.0</v>
      </c>
      <c r="D6363" s="3">
        <f>IFERROR(__xludf.DUMMYFUNCTION("IFERROR(
IF(REGEXMATCH(LOWER(O6363),""k""),
VALUE(REGEXEXTRACT(O6363,""[0-9]+""))*1000,
VALUE(REGEXEXTRACT(O6363,""[0-9]+""))
),
0
)"),0.0)</f>
        <v>0</v>
      </c>
      <c r="E6363" s="1" t="s">
        <v>11</v>
      </c>
      <c r="F6363" s="1" t="s">
        <v>20</v>
      </c>
      <c r="G6363" s="4" t="b">
        <f t="shared" si="2"/>
        <v>1</v>
      </c>
      <c r="H6363" s="1" t="str">
        <f t="shared" si="3"/>
        <v>Currently Unavailable</v>
      </c>
      <c r="I6363" s="1" t="str">
        <f t="shared" si="4"/>
        <v>No Badges</v>
      </c>
      <c r="J6363" s="3">
        <f t="shared" si="5"/>
        <v>0</v>
      </c>
    </row>
    <row r="6364">
      <c r="A6364" s="1" t="s">
        <v>40</v>
      </c>
      <c r="B6364" s="3" t="str">
        <f t="shared" si="1"/>
        <v>Unavailable</v>
      </c>
      <c r="C6364" s="3">
        <v>171.0</v>
      </c>
      <c r="D6364" s="3">
        <f>IFERROR(__xludf.DUMMYFUNCTION("IFERROR(
IF(REGEXMATCH(LOWER(O6364),""k""),
VALUE(REGEXEXTRACT(O6364,""[0-9]+""))*1000,
VALUE(REGEXEXTRACT(O6364,""[0-9]+""))
),
0
)"),0.0)</f>
        <v>0</v>
      </c>
      <c r="E6364" s="1" t="s">
        <v>11</v>
      </c>
      <c r="F6364" s="1" t="s">
        <v>12</v>
      </c>
      <c r="G6364" s="4" t="b">
        <f t="shared" si="2"/>
        <v>1</v>
      </c>
      <c r="H6364" s="1" t="str">
        <f t="shared" si="3"/>
        <v>Currently Unavailable</v>
      </c>
      <c r="I6364" s="1" t="str">
        <f t="shared" si="4"/>
        <v>No Badges</v>
      </c>
      <c r="J6364" s="3">
        <f t="shared" si="5"/>
        <v>0</v>
      </c>
    </row>
    <row r="6365">
      <c r="A6365" s="1" t="s">
        <v>4812</v>
      </c>
      <c r="B6365" s="3" t="str">
        <f t="shared" si="1"/>
        <v>Unavailable</v>
      </c>
      <c r="C6365" s="5">
        <v>2344.0</v>
      </c>
      <c r="D6365" s="3">
        <f>IFERROR(__xludf.DUMMYFUNCTION("IFERROR(
IF(REGEXMATCH(LOWER(O6365),""k""),
VALUE(REGEXEXTRACT(O6365,""[0-9]+""))*1000,
VALUE(REGEXEXTRACT(O6365,""[0-9]+""))
),
0
)"),0.0)</f>
        <v>0</v>
      </c>
      <c r="E6365" s="1" t="s">
        <v>11</v>
      </c>
      <c r="F6365" s="1" t="s">
        <v>20</v>
      </c>
      <c r="G6365" s="4" t="b">
        <f t="shared" si="2"/>
        <v>1</v>
      </c>
      <c r="H6365" s="1" t="str">
        <f t="shared" si="3"/>
        <v>Currently Unavailable</v>
      </c>
      <c r="I6365" s="1" t="str">
        <f t="shared" si="4"/>
        <v>No Badges</v>
      </c>
      <c r="J6365" s="3">
        <f t="shared" si="5"/>
        <v>0</v>
      </c>
    </row>
    <row r="6366">
      <c r="A6366" s="1" t="s">
        <v>4813</v>
      </c>
      <c r="B6366" s="3" t="str">
        <f t="shared" si="1"/>
        <v>Unavailable</v>
      </c>
      <c r="C6366" s="5">
        <v>1443.0</v>
      </c>
      <c r="D6366" s="3">
        <f>IFERROR(__xludf.DUMMYFUNCTION("IFERROR(
IF(REGEXMATCH(LOWER(O6366),""k""),
VALUE(REGEXEXTRACT(O6366,""[0-9]+""))*1000,
VALUE(REGEXEXTRACT(O6366,""[0-9]+""))
),
0
)"),0.0)</f>
        <v>0</v>
      </c>
      <c r="E6366" s="1" t="s">
        <v>11</v>
      </c>
      <c r="F6366" s="1" t="s">
        <v>20</v>
      </c>
      <c r="G6366" s="4" t="b">
        <f t="shared" si="2"/>
        <v>1</v>
      </c>
      <c r="H6366" s="1" t="str">
        <f t="shared" si="3"/>
        <v>Currently Unavailable</v>
      </c>
      <c r="I6366" s="1" t="str">
        <f t="shared" si="4"/>
        <v>No Badges</v>
      </c>
      <c r="J6366" s="3">
        <f t="shared" si="5"/>
        <v>0</v>
      </c>
    </row>
    <row r="6367">
      <c r="A6367" s="1" t="s">
        <v>4814</v>
      </c>
      <c r="B6367" s="3" t="str">
        <f t="shared" si="1"/>
        <v>Unavailable</v>
      </c>
      <c r="C6367" s="3">
        <v>86.0</v>
      </c>
      <c r="D6367" s="3">
        <f>IFERROR(__xludf.DUMMYFUNCTION("IFERROR(
IF(REGEXMATCH(LOWER(O6367),""k""),
VALUE(REGEXEXTRACT(O6367,""[0-9]+""))*1000,
VALUE(REGEXEXTRACT(O6367,""[0-9]+""))
),
0
)"),0.0)</f>
        <v>0</v>
      </c>
      <c r="E6367" s="1" t="s">
        <v>11</v>
      </c>
      <c r="F6367" s="1" t="s">
        <v>20</v>
      </c>
      <c r="G6367" s="4" t="b">
        <f t="shared" si="2"/>
        <v>1</v>
      </c>
      <c r="H6367" s="1" t="str">
        <f t="shared" si="3"/>
        <v>Currently Unavailable</v>
      </c>
      <c r="I6367" s="1" t="str">
        <f t="shared" si="4"/>
        <v>No Badges</v>
      </c>
      <c r="J6367" s="3">
        <f t="shared" si="5"/>
        <v>0</v>
      </c>
    </row>
    <row r="6368">
      <c r="A6368" s="1" t="s">
        <v>4815</v>
      </c>
      <c r="B6368" s="3" t="str">
        <f t="shared" si="1"/>
        <v>Unavailable</v>
      </c>
      <c r="C6368" s="3">
        <v>812.0</v>
      </c>
      <c r="D6368" s="3">
        <f>IFERROR(__xludf.DUMMYFUNCTION("IFERROR(
IF(REGEXMATCH(LOWER(O6368),""k""),
VALUE(REGEXEXTRACT(O6368,""[0-9]+""))*1000,
VALUE(REGEXEXTRACT(O6368,""[0-9]+""))
),
0
)"),0.0)</f>
        <v>0</v>
      </c>
      <c r="E6368" s="1" t="s">
        <v>11</v>
      </c>
      <c r="F6368" s="1" t="s">
        <v>20</v>
      </c>
      <c r="G6368" s="4" t="b">
        <f t="shared" si="2"/>
        <v>1</v>
      </c>
      <c r="H6368" s="1" t="str">
        <f t="shared" si="3"/>
        <v>Currently Unavailable</v>
      </c>
      <c r="I6368" s="1" t="str">
        <f t="shared" si="4"/>
        <v>No Badges</v>
      </c>
      <c r="J6368" s="3">
        <f t="shared" si="5"/>
        <v>0</v>
      </c>
    </row>
    <row r="6369">
      <c r="A6369" s="1" t="s">
        <v>4816</v>
      </c>
      <c r="B6369" s="3" t="str">
        <f t="shared" si="1"/>
        <v>Unavailable</v>
      </c>
      <c r="C6369" s="3">
        <v>292.0</v>
      </c>
      <c r="D6369" s="3">
        <f>IFERROR(__xludf.DUMMYFUNCTION("IFERROR(
IF(REGEXMATCH(LOWER(O6369),""k""),
VALUE(REGEXEXTRACT(O6369,""[0-9]+""))*1000,
VALUE(REGEXEXTRACT(O6369,""[0-9]+""))
),
0
)"),0.0)</f>
        <v>0</v>
      </c>
      <c r="E6369" s="1" t="s">
        <v>11</v>
      </c>
      <c r="F6369" s="1" t="s">
        <v>20</v>
      </c>
      <c r="G6369" s="4" t="b">
        <f t="shared" si="2"/>
        <v>1</v>
      </c>
      <c r="H6369" s="1" t="str">
        <f t="shared" si="3"/>
        <v>Currently Unavailable</v>
      </c>
      <c r="I6369" s="1" t="str">
        <f t="shared" si="4"/>
        <v>No Badges</v>
      </c>
      <c r="J6369" s="3">
        <f t="shared" si="5"/>
        <v>0</v>
      </c>
    </row>
    <row r="6370">
      <c r="A6370" s="1" t="s">
        <v>4817</v>
      </c>
      <c r="B6370" s="3" t="str">
        <f t="shared" si="1"/>
        <v>Unavailable</v>
      </c>
      <c r="C6370" s="3">
        <v>898.0</v>
      </c>
      <c r="D6370" s="3">
        <f>IFERROR(__xludf.DUMMYFUNCTION("IFERROR(
IF(REGEXMATCH(LOWER(O6370),""k""),
VALUE(REGEXEXTRACT(O6370,""[0-9]+""))*1000,
VALUE(REGEXEXTRACT(O6370,""[0-9]+""))
),
0
)"),0.0)</f>
        <v>0</v>
      </c>
      <c r="E6370" s="1" t="s">
        <v>11</v>
      </c>
      <c r="F6370" s="1" t="s">
        <v>20</v>
      </c>
      <c r="G6370" s="4" t="b">
        <f t="shared" si="2"/>
        <v>1</v>
      </c>
      <c r="H6370" s="1" t="str">
        <f t="shared" si="3"/>
        <v>Currently Unavailable</v>
      </c>
      <c r="I6370" s="1" t="str">
        <f t="shared" si="4"/>
        <v>No Badges</v>
      </c>
      <c r="J6370" s="3">
        <f t="shared" si="5"/>
        <v>0</v>
      </c>
    </row>
    <row r="6371">
      <c r="A6371" s="1" t="s">
        <v>4818</v>
      </c>
      <c r="B6371" s="3" t="str">
        <f t="shared" si="1"/>
        <v>Unavailable</v>
      </c>
      <c r="C6371" s="5">
        <v>2184.0</v>
      </c>
      <c r="D6371" s="3">
        <f>IFERROR(__xludf.DUMMYFUNCTION("IFERROR(
IF(REGEXMATCH(LOWER(O6371),""k""),
VALUE(REGEXEXTRACT(O6371,""[0-9]+""))*1000,
VALUE(REGEXEXTRACT(O6371,""[0-9]+""))
),
0
)"),0.0)</f>
        <v>0</v>
      </c>
      <c r="E6371" s="1" t="s">
        <v>11</v>
      </c>
      <c r="F6371" s="1" t="s">
        <v>20</v>
      </c>
      <c r="G6371" s="4" t="b">
        <f t="shared" si="2"/>
        <v>1</v>
      </c>
      <c r="H6371" s="1" t="str">
        <f t="shared" si="3"/>
        <v>Currently Unavailable</v>
      </c>
      <c r="I6371" s="1" t="str">
        <f t="shared" si="4"/>
        <v>No Badges</v>
      </c>
      <c r="J6371" s="3">
        <f t="shared" si="5"/>
        <v>0</v>
      </c>
    </row>
    <row r="6372">
      <c r="A6372" s="1" t="s">
        <v>4819</v>
      </c>
      <c r="B6372" s="3" t="str">
        <f t="shared" si="1"/>
        <v>Unavailable</v>
      </c>
      <c r="C6372" s="5">
        <v>2960.0</v>
      </c>
      <c r="D6372" s="3">
        <f>IFERROR(__xludf.DUMMYFUNCTION("IFERROR(
IF(REGEXMATCH(LOWER(O6372),""k""),
VALUE(REGEXEXTRACT(O6372,""[0-9]+""))*1000,
VALUE(REGEXEXTRACT(O6372,""[0-9]+""))
),
0
)"),0.0)</f>
        <v>0</v>
      </c>
      <c r="E6372" s="1" t="s">
        <v>11</v>
      </c>
      <c r="F6372" s="1" t="s">
        <v>20</v>
      </c>
      <c r="G6372" s="4" t="b">
        <f t="shared" si="2"/>
        <v>1</v>
      </c>
      <c r="H6372" s="1" t="str">
        <f t="shared" si="3"/>
        <v>Currently Unavailable</v>
      </c>
      <c r="I6372" s="1" t="str">
        <f t="shared" si="4"/>
        <v>No Badges</v>
      </c>
      <c r="J6372" s="3">
        <f t="shared" si="5"/>
        <v>0</v>
      </c>
    </row>
    <row r="6373">
      <c r="A6373" s="1" t="s">
        <v>4820</v>
      </c>
      <c r="B6373" s="3" t="str">
        <f t="shared" si="1"/>
        <v>Unavailable</v>
      </c>
      <c r="C6373" s="3">
        <v>223.0</v>
      </c>
      <c r="D6373" s="3">
        <f>IFERROR(__xludf.DUMMYFUNCTION("IFERROR(
IF(REGEXMATCH(LOWER(O6373),""k""),
VALUE(REGEXEXTRACT(O6373,""[0-9]+""))*1000,
VALUE(REGEXEXTRACT(O6373,""[0-9]+""))
),
0
)"),0.0)</f>
        <v>0</v>
      </c>
      <c r="E6373" s="1" t="s">
        <v>11</v>
      </c>
      <c r="F6373" s="1" t="s">
        <v>20</v>
      </c>
      <c r="G6373" s="4" t="b">
        <f t="shared" si="2"/>
        <v>1</v>
      </c>
      <c r="H6373" s="1" t="str">
        <f t="shared" si="3"/>
        <v>Currently Unavailable</v>
      </c>
      <c r="I6373" s="1" t="str">
        <f t="shared" si="4"/>
        <v>No Badges</v>
      </c>
      <c r="J6373" s="3">
        <f t="shared" si="5"/>
        <v>0</v>
      </c>
    </row>
    <row r="6374">
      <c r="A6374" s="1" t="s">
        <v>4821</v>
      </c>
      <c r="B6374" s="3" t="str">
        <f t="shared" si="1"/>
        <v>Unavailable</v>
      </c>
      <c r="C6374" s="3">
        <v>198.0</v>
      </c>
      <c r="D6374" s="3">
        <f>IFERROR(__xludf.DUMMYFUNCTION("IFERROR(
IF(REGEXMATCH(LOWER(O6374),""k""),
VALUE(REGEXEXTRACT(O6374,""[0-9]+""))*1000,
VALUE(REGEXEXTRACT(O6374,""[0-9]+""))
),
0
)"),0.0)</f>
        <v>0</v>
      </c>
      <c r="E6374" s="1" t="s">
        <v>11</v>
      </c>
      <c r="F6374" s="1" t="s">
        <v>20</v>
      </c>
      <c r="G6374" s="4" t="b">
        <f t="shared" si="2"/>
        <v>1</v>
      </c>
      <c r="H6374" s="1" t="str">
        <f t="shared" si="3"/>
        <v>Currently Unavailable</v>
      </c>
      <c r="I6374" s="1" t="str">
        <f t="shared" si="4"/>
        <v>No Badges</v>
      </c>
      <c r="J6374" s="3">
        <f t="shared" si="5"/>
        <v>0</v>
      </c>
    </row>
    <row r="6375">
      <c r="A6375" s="1" t="s">
        <v>4822</v>
      </c>
      <c r="B6375" s="3" t="str">
        <f t="shared" si="1"/>
        <v>Unavailable</v>
      </c>
      <c r="C6375" s="5">
        <v>3034.0</v>
      </c>
      <c r="D6375" s="3">
        <f>IFERROR(__xludf.DUMMYFUNCTION("IFERROR(
IF(REGEXMATCH(LOWER(O6375),""k""),
VALUE(REGEXEXTRACT(O6375,""[0-9]+""))*1000,
VALUE(REGEXEXTRACT(O6375,""[0-9]+""))
),
0
)"),0.0)</f>
        <v>0</v>
      </c>
      <c r="E6375" s="1" t="s">
        <v>11</v>
      </c>
      <c r="F6375" s="1" t="s">
        <v>20</v>
      </c>
      <c r="G6375" s="4" t="b">
        <f t="shared" si="2"/>
        <v>1</v>
      </c>
      <c r="H6375" s="1" t="str">
        <f t="shared" si="3"/>
        <v>Currently Unavailable</v>
      </c>
      <c r="I6375" s="1" t="str">
        <f t="shared" si="4"/>
        <v>No Badges</v>
      </c>
      <c r="J6375" s="3">
        <f t="shared" si="5"/>
        <v>0</v>
      </c>
    </row>
    <row r="6376">
      <c r="A6376" s="1" t="s">
        <v>4823</v>
      </c>
      <c r="B6376" s="3" t="str">
        <f t="shared" si="1"/>
        <v>Unavailable</v>
      </c>
      <c r="C6376" s="3">
        <v>119.0</v>
      </c>
      <c r="D6376" s="3">
        <f>IFERROR(__xludf.DUMMYFUNCTION("IFERROR(
IF(REGEXMATCH(LOWER(O6376),""k""),
VALUE(REGEXEXTRACT(O6376,""[0-9]+""))*1000,
VALUE(REGEXEXTRACT(O6376,""[0-9]+""))
),
0
)"),0.0)</f>
        <v>0</v>
      </c>
      <c r="E6376" s="1" t="s">
        <v>11</v>
      </c>
      <c r="F6376" s="1" t="s">
        <v>20</v>
      </c>
      <c r="G6376" s="4" t="b">
        <f t="shared" si="2"/>
        <v>1</v>
      </c>
      <c r="H6376" s="1" t="str">
        <f t="shared" si="3"/>
        <v>Currently Unavailable</v>
      </c>
      <c r="I6376" s="1" t="str">
        <f t="shared" si="4"/>
        <v>No Badges</v>
      </c>
      <c r="J6376" s="3">
        <f t="shared" si="5"/>
        <v>0</v>
      </c>
    </row>
    <row r="6377">
      <c r="A6377" s="1" t="s">
        <v>4824</v>
      </c>
      <c r="B6377" s="3" t="str">
        <f t="shared" si="1"/>
        <v>Unavailable</v>
      </c>
      <c r="C6377" s="5">
        <v>3256.0</v>
      </c>
      <c r="D6377" s="3">
        <f>IFERROR(__xludf.DUMMYFUNCTION("IFERROR(
IF(REGEXMATCH(LOWER(O6377),""k""),
VALUE(REGEXEXTRACT(O6377,""[0-9]+""))*1000,
VALUE(REGEXEXTRACT(O6377,""[0-9]+""))
),
0
)"),0.0)</f>
        <v>0</v>
      </c>
      <c r="E6377" s="1" t="s">
        <v>158</v>
      </c>
      <c r="F6377" s="1" t="s">
        <v>20</v>
      </c>
      <c r="G6377" s="4" t="b">
        <f t="shared" si="2"/>
        <v>1</v>
      </c>
      <c r="H6377" s="1" t="str">
        <f t="shared" si="3"/>
        <v>Currently Unavailable</v>
      </c>
      <c r="I6377" s="1" t="str">
        <f t="shared" si="4"/>
        <v>No Badges</v>
      </c>
      <c r="J6377" s="3">
        <f t="shared" si="5"/>
        <v>0</v>
      </c>
    </row>
    <row r="6378">
      <c r="A6378" s="1" t="s">
        <v>4825</v>
      </c>
      <c r="B6378" s="3" t="str">
        <f t="shared" si="1"/>
        <v>Unavailable</v>
      </c>
      <c r="C6378" s="5">
        <v>1898.0</v>
      </c>
      <c r="D6378" s="3">
        <f>IFERROR(__xludf.DUMMYFUNCTION("IFERROR(
IF(REGEXMATCH(LOWER(O6378),""k""),
VALUE(REGEXEXTRACT(O6378,""[0-9]+""))*1000,
VALUE(REGEXEXTRACT(O6378,""[0-9]+""))
),
0
)"),0.0)</f>
        <v>0</v>
      </c>
      <c r="E6378" s="1" t="s">
        <v>11</v>
      </c>
      <c r="F6378" s="1" t="s">
        <v>20</v>
      </c>
      <c r="G6378" s="4" t="b">
        <f t="shared" si="2"/>
        <v>1</v>
      </c>
      <c r="H6378" s="1" t="str">
        <f t="shared" si="3"/>
        <v>Currently Unavailable</v>
      </c>
      <c r="I6378" s="1" t="str">
        <f t="shared" si="4"/>
        <v>No Badges</v>
      </c>
      <c r="J6378" s="3">
        <f t="shared" si="5"/>
        <v>0</v>
      </c>
    </row>
    <row r="6379">
      <c r="A6379" s="1" t="s">
        <v>4826</v>
      </c>
      <c r="B6379" s="3" t="str">
        <f t="shared" si="1"/>
        <v>Unavailable</v>
      </c>
      <c r="C6379" s="5">
        <v>1379.0</v>
      </c>
      <c r="D6379" s="3">
        <f>IFERROR(__xludf.DUMMYFUNCTION("IFERROR(
IF(REGEXMATCH(LOWER(O6379),""k""),
VALUE(REGEXEXTRACT(O6379,""[0-9]+""))*1000,
VALUE(REGEXEXTRACT(O6379,""[0-9]+""))
),
0
)"),0.0)</f>
        <v>0</v>
      </c>
      <c r="E6379" s="1" t="s">
        <v>11</v>
      </c>
      <c r="F6379" s="1" t="s">
        <v>20</v>
      </c>
      <c r="G6379" s="4" t="b">
        <f t="shared" si="2"/>
        <v>1</v>
      </c>
      <c r="H6379" s="1" t="str">
        <f t="shared" si="3"/>
        <v>Currently Unavailable</v>
      </c>
      <c r="I6379" s="1" t="str">
        <f t="shared" si="4"/>
        <v>No Badges</v>
      </c>
      <c r="J6379" s="3">
        <f t="shared" si="5"/>
        <v>0</v>
      </c>
    </row>
    <row r="6380">
      <c r="A6380" s="1" t="s">
        <v>69</v>
      </c>
      <c r="B6380" s="3" t="str">
        <f t="shared" si="1"/>
        <v>Unavailable</v>
      </c>
      <c r="C6380" s="3">
        <v>45.0</v>
      </c>
      <c r="D6380" s="3">
        <f>IFERROR(__xludf.DUMMYFUNCTION("IFERROR(
IF(REGEXMATCH(LOWER(O6380),""k""),
VALUE(REGEXEXTRACT(O6380,""[0-9]+""))*1000,
VALUE(REGEXEXTRACT(O6380,""[0-9]+""))
),
0
)"),0.0)</f>
        <v>0</v>
      </c>
      <c r="E6380" s="1" t="s">
        <v>11</v>
      </c>
      <c r="F6380" s="1" t="s">
        <v>12</v>
      </c>
      <c r="G6380" s="4" t="b">
        <f t="shared" si="2"/>
        <v>1</v>
      </c>
      <c r="H6380" s="1" t="str">
        <f t="shared" si="3"/>
        <v>Currently Unavailable</v>
      </c>
      <c r="I6380" s="1" t="str">
        <f t="shared" si="4"/>
        <v>No Badges</v>
      </c>
      <c r="J6380" s="3">
        <f t="shared" si="5"/>
        <v>0</v>
      </c>
    </row>
    <row r="6381">
      <c r="A6381" s="1" t="s">
        <v>67</v>
      </c>
      <c r="B6381" s="3" t="str">
        <f t="shared" si="1"/>
        <v>Unavailable</v>
      </c>
      <c r="C6381" s="3">
        <v>264.0</v>
      </c>
      <c r="D6381" s="3">
        <f>IFERROR(__xludf.DUMMYFUNCTION("IFERROR(
IF(REGEXMATCH(LOWER(O6381),""k""),
VALUE(REGEXEXTRACT(O6381,""[0-9]+""))*1000,
VALUE(REGEXEXTRACT(O6381,""[0-9]+""))
),
0
)"),0.0)</f>
        <v>0</v>
      </c>
      <c r="E6381" s="1" t="s">
        <v>11</v>
      </c>
      <c r="F6381" s="1" t="s">
        <v>12</v>
      </c>
      <c r="G6381" s="4" t="b">
        <f t="shared" si="2"/>
        <v>1</v>
      </c>
      <c r="H6381" s="1" t="str">
        <f t="shared" si="3"/>
        <v>Currently Unavailable</v>
      </c>
      <c r="I6381" s="1" t="str">
        <f t="shared" si="4"/>
        <v>No Badges</v>
      </c>
      <c r="J6381" s="3">
        <f t="shared" si="5"/>
        <v>0</v>
      </c>
    </row>
    <row r="6382">
      <c r="A6382" s="1" t="s">
        <v>4827</v>
      </c>
      <c r="B6382" s="3" t="str">
        <f t="shared" si="1"/>
        <v>Unavailable</v>
      </c>
      <c r="C6382" s="5">
        <v>1518.0</v>
      </c>
      <c r="D6382" s="3">
        <f>IFERROR(__xludf.DUMMYFUNCTION("IFERROR(
IF(REGEXMATCH(LOWER(O6382),""k""),
VALUE(REGEXEXTRACT(O6382,""[0-9]+""))*1000,
VALUE(REGEXEXTRACT(O6382,""[0-9]+""))
),
0
)"),0.0)</f>
        <v>0</v>
      </c>
      <c r="E6382" s="1" t="s">
        <v>11</v>
      </c>
      <c r="F6382" s="1" t="s">
        <v>20</v>
      </c>
      <c r="G6382" s="4" t="b">
        <f t="shared" si="2"/>
        <v>1</v>
      </c>
      <c r="H6382" s="1" t="str">
        <f t="shared" si="3"/>
        <v>Currently Unavailable</v>
      </c>
      <c r="I6382" s="1" t="str">
        <f t="shared" si="4"/>
        <v>No Badges</v>
      </c>
      <c r="J6382" s="3">
        <f t="shared" si="5"/>
        <v>0</v>
      </c>
    </row>
    <row r="6383">
      <c r="A6383" s="1" t="s">
        <v>4828</v>
      </c>
      <c r="B6383" s="3" t="str">
        <f t="shared" si="1"/>
        <v>Unavailable</v>
      </c>
      <c r="C6383" s="5">
        <v>3916.0</v>
      </c>
      <c r="D6383" s="3">
        <f>IFERROR(__xludf.DUMMYFUNCTION("IFERROR(
IF(REGEXMATCH(LOWER(O6383),""k""),
VALUE(REGEXEXTRACT(O6383,""[0-9]+""))*1000,
VALUE(REGEXEXTRACT(O6383,""[0-9]+""))
),
0
)"),0.0)</f>
        <v>0</v>
      </c>
      <c r="E6383" s="1" t="s">
        <v>11</v>
      </c>
      <c r="F6383" s="1" t="s">
        <v>20</v>
      </c>
      <c r="G6383" s="4" t="b">
        <f t="shared" si="2"/>
        <v>1</v>
      </c>
      <c r="H6383" s="1" t="str">
        <f t="shared" si="3"/>
        <v>Currently Unavailable</v>
      </c>
      <c r="I6383" s="1" t="str">
        <f t="shared" si="4"/>
        <v>No Badges</v>
      </c>
      <c r="J6383" s="3">
        <f t="shared" si="5"/>
        <v>0</v>
      </c>
    </row>
    <row r="6384">
      <c r="A6384" s="1" t="s">
        <v>4829</v>
      </c>
      <c r="B6384" s="3" t="str">
        <f t="shared" si="1"/>
        <v>Unavailable</v>
      </c>
      <c r="C6384" s="5">
        <v>1498.0</v>
      </c>
      <c r="D6384" s="3">
        <f>IFERROR(__xludf.DUMMYFUNCTION("IFERROR(
IF(REGEXMATCH(LOWER(O6384),""k""),
VALUE(REGEXEXTRACT(O6384,""[0-9]+""))*1000,
VALUE(REGEXEXTRACT(O6384,""[0-9]+""))
),
0
)"),0.0)</f>
        <v>0</v>
      </c>
      <c r="E6384" s="1" t="s">
        <v>11</v>
      </c>
      <c r="F6384" s="1" t="s">
        <v>20</v>
      </c>
      <c r="G6384" s="4" t="b">
        <f t="shared" si="2"/>
        <v>1</v>
      </c>
      <c r="H6384" s="1" t="str">
        <f t="shared" si="3"/>
        <v>Currently Unavailable</v>
      </c>
      <c r="I6384" s="1" t="str">
        <f t="shared" si="4"/>
        <v>No Badges</v>
      </c>
      <c r="J6384" s="3">
        <f t="shared" si="5"/>
        <v>0</v>
      </c>
    </row>
    <row r="6385">
      <c r="A6385" s="1" t="s">
        <v>4830</v>
      </c>
      <c r="B6385" s="3" t="str">
        <f t="shared" si="1"/>
        <v>Unavailable</v>
      </c>
      <c r="C6385" s="5">
        <v>2741.0</v>
      </c>
      <c r="D6385" s="3">
        <f>IFERROR(__xludf.DUMMYFUNCTION("IFERROR(
IF(REGEXMATCH(LOWER(O6385),""k""),
VALUE(REGEXEXTRACT(O6385,""[0-9]+""))*1000,
VALUE(REGEXEXTRACT(O6385,""[0-9]+""))
),
0
)"),0.0)</f>
        <v>0</v>
      </c>
      <c r="E6385" s="1" t="s">
        <v>11</v>
      </c>
      <c r="F6385" s="1" t="s">
        <v>20</v>
      </c>
      <c r="G6385" s="4" t="b">
        <f t="shared" si="2"/>
        <v>1</v>
      </c>
      <c r="H6385" s="1" t="str">
        <f t="shared" si="3"/>
        <v>Currently Unavailable</v>
      </c>
      <c r="I6385" s="1" t="str">
        <f t="shared" si="4"/>
        <v>No Badges</v>
      </c>
      <c r="J6385" s="3">
        <f t="shared" si="5"/>
        <v>0</v>
      </c>
    </row>
    <row r="6386">
      <c r="A6386" s="1" t="s">
        <v>4831</v>
      </c>
      <c r="B6386" s="3" t="str">
        <f t="shared" si="1"/>
        <v>Unavailable</v>
      </c>
      <c r="C6386" s="3">
        <v>255.0</v>
      </c>
      <c r="D6386" s="3">
        <f>IFERROR(__xludf.DUMMYFUNCTION("IFERROR(
IF(REGEXMATCH(LOWER(O6386),""k""),
VALUE(REGEXEXTRACT(O6386,""[0-9]+""))*1000,
VALUE(REGEXEXTRACT(O6386,""[0-9]+""))
),
0
)"),0.0)</f>
        <v>0</v>
      </c>
      <c r="E6386" s="1" t="s">
        <v>11</v>
      </c>
      <c r="F6386" s="1" t="s">
        <v>20</v>
      </c>
      <c r="G6386" s="4" t="b">
        <f t="shared" si="2"/>
        <v>1</v>
      </c>
      <c r="H6386" s="1" t="str">
        <f t="shared" si="3"/>
        <v>Currently Unavailable</v>
      </c>
      <c r="I6386" s="1" t="str">
        <f t="shared" si="4"/>
        <v>No Badges</v>
      </c>
      <c r="J6386" s="3">
        <f t="shared" si="5"/>
        <v>0</v>
      </c>
    </row>
    <row r="6387">
      <c r="A6387" s="1" t="s">
        <v>4832</v>
      </c>
      <c r="B6387" s="3" t="str">
        <f t="shared" si="1"/>
        <v>Unavailable</v>
      </c>
      <c r="C6387" s="5">
        <v>2808.0</v>
      </c>
      <c r="D6387" s="3">
        <f>IFERROR(__xludf.DUMMYFUNCTION("IFERROR(
IF(REGEXMATCH(LOWER(O6387),""k""),
VALUE(REGEXEXTRACT(O6387,""[0-9]+""))*1000,
VALUE(REGEXEXTRACT(O6387,""[0-9]+""))
),
0
)"),0.0)</f>
        <v>0</v>
      </c>
      <c r="E6387" s="1" t="s">
        <v>11</v>
      </c>
      <c r="F6387" s="1" t="s">
        <v>20</v>
      </c>
      <c r="G6387" s="4" t="b">
        <f t="shared" si="2"/>
        <v>1</v>
      </c>
      <c r="H6387" s="1" t="str">
        <f t="shared" si="3"/>
        <v>Currently Unavailable</v>
      </c>
      <c r="I6387" s="1" t="str">
        <f t="shared" si="4"/>
        <v>No Badges</v>
      </c>
      <c r="J6387" s="3">
        <f t="shared" si="5"/>
        <v>0</v>
      </c>
    </row>
    <row r="6388">
      <c r="A6388" s="1" t="s">
        <v>4833</v>
      </c>
      <c r="B6388" s="3" t="str">
        <f t="shared" si="1"/>
        <v>Unavailable</v>
      </c>
      <c r="C6388" s="3">
        <v>317.0</v>
      </c>
      <c r="D6388" s="3">
        <f>IFERROR(__xludf.DUMMYFUNCTION("IFERROR(
IF(REGEXMATCH(LOWER(O6388),""k""),
VALUE(REGEXEXTRACT(O6388,""[0-9]+""))*1000,
VALUE(REGEXEXTRACT(O6388,""[0-9]+""))
),
0
)"),0.0)</f>
        <v>0</v>
      </c>
      <c r="E6388" s="1" t="s">
        <v>11</v>
      </c>
      <c r="F6388" s="1" t="s">
        <v>20</v>
      </c>
      <c r="G6388" s="4" t="b">
        <f t="shared" si="2"/>
        <v>1</v>
      </c>
      <c r="H6388" s="1" t="str">
        <f t="shared" si="3"/>
        <v>Currently Unavailable</v>
      </c>
      <c r="I6388" s="1" t="str">
        <f t="shared" si="4"/>
        <v>No Badges</v>
      </c>
      <c r="J6388" s="3">
        <f t="shared" si="5"/>
        <v>0</v>
      </c>
    </row>
    <row r="6389">
      <c r="A6389" s="1" t="s">
        <v>4834</v>
      </c>
      <c r="B6389" s="3" t="str">
        <f t="shared" si="1"/>
        <v>Unavailable</v>
      </c>
      <c r="C6389" s="5">
        <v>1468.0</v>
      </c>
      <c r="D6389" s="3">
        <f>IFERROR(__xludf.DUMMYFUNCTION("IFERROR(
IF(REGEXMATCH(LOWER(O6389),""k""),
VALUE(REGEXEXTRACT(O6389,""[0-9]+""))*1000,
VALUE(REGEXEXTRACT(O6389,""[0-9]+""))
),
0
)"),0.0)</f>
        <v>0</v>
      </c>
      <c r="E6389" s="1" t="s">
        <v>11</v>
      </c>
      <c r="F6389" s="1" t="s">
        <v>20</v>
      </c>
      <c r="G6389" s="4" t="b">
        <f t="shared" si="2"/>
        <v>1</v>
      </c>
      <c r="H6389" s="1" t="str">
        <f t="shared" si="3"/>
        <v>Currently Unavailable</v>
      </c>
      <c r="I6389" s="1" t="str">
        <f t="shared" si="4"/>
        <v>No Badges</v>
      </c>
      <c r="J6389" s="3">
        <f t="shared" si="5"/>
        <v>0</v>
      </c>
    </row>
    <row r="6390">
      <c r="A6390" s="1" t="s">
        <v>4835</v>
      </c>
      <c r="B6390" s="3" t="str">
        <f t="shared" si="1"/>
        <v>Unavailable</v>
      </c>
      <c r="C6390" s="5">
        <v>2838.0</v>
      </c>
      <c r="D6390" s="3">
        <f>IFERROR(__xludf.DUMMYFUNCTION("IFERROR(
IF(REGEXMATCH(LOWER(O6390),""k""),
VALUE(REGEXEXTRACT(O6390,""[0-9]+""))*1000,
VALUE(REGEXEXTRACT(O6390,""[0-9]+""))
),
0
)"),0.0)</f>
        <v>0</v>
      </c>
      <c r="E6390" s="1" t="s">
        <v>11</v>
      </c>
      <c r="F6390" s="1" t="s">
        <v>20</v>
      </c>
      <c r="G6390" s="4" t="b">
        <f t="shared" si="2"/>
        <v>1</v>
      </c>
      <c r="H6390" s="1" t="str">
        <f t="shared" si="3"/>
        <v>Currently Unavailable</v>
      </c>
      <c r="I6390" s="1" t="str">
        <f t="shared" si="4"/>
        <v>No Badges</v>
      </c>
      <c r="J6390" s="3">
        <f t="shared" si="5"/>
        <v>0</v>
      </c>
    </row>
    <row r="6391">
      <c r="A6391" s="1" t="s">
        <v>4836</v>
      </c>
      <c r="B6391" s="3" t="str">
        <f t="shared" si="1"/>
        <v>Unavailable</v>
      </c>
      <c r="C6391" s="5">
        <v>1484.0</v>
      </c>
      <c r="D6391" s="3">
        <f>IFERROR(__xludf.DUMMYFUNCTION("IFERROR(
IF(REGEXMATCH(LOWER(O6391),""k""),
VALUE(REGEXEXTRACT(O6391,""[0-9]+""))*1000,
VALUE(REGEXEXTRACT(O6391,""[0-9]+""))
),
0
)"),0.0)</f>
        <v>0</v>
      </c>
      <c r="E6391" s="1" t="s">
        <v>11</v>
      </c>
      <c r="F6391" s="1" t="s">
        <v>20</v>
      </c>
      <c r="G6391" s="4" t="b">
        <f t="shared" si="2"/>
        <v>1</v>
      </c>
      <c r="H6391" s="1" t="str">
        <f t="shared" si="3"/>
        <v>Currently Unavailable</v>
      </c>
      <c r="I6391" s="1" t="str">
        <f t="shared" si="4"/>
        <v>No Badges</v>
      </c>
      <c r="J6391" s="3">
        <f t="shared" si="5"/>
        <v>0</v>
      </c>
    </row>
    <row r="6392">
      <c r="A6392" s="1" t="s">
        <v>4837</v>
      </c>
      <c r="B6392" s="3" t="str">
        <f t="shared" si="1"/>
        <v>Unavailable</v>
      </c>
      <c r="C6392" s="3">
        <v>330.0</v>
      </c>
      <c r="D6392" s="3">
        <f>IFERROR(__xludf.DUMMYFUNCTION("IFERROR(
IF(REGEXMATCH(LOWER(O6392),""k""),
VALUE(REGEXEXTRACT(O6392,""[0-9]+""))*1000,
VALUE(REGEXEXTRACT(O6392,""[0-9]+""))
),
0
)"),0.0)</f>
        <v>0</v>
      </c>
      <c r="E6392" s="1" t="s">
        <v>11</v>
      </c>
      <c r="F6392" s="1" t="s">
        <v>20</v>
      </c>
      <c r="G6392" s="4" t="b">
        <f t="shared" si="2"/>
        <v>1</v>
      </c>
      <c r="H6392" s="1" t="str">
        <f t="shared" si="3"/>
        <v>Currently Unavailable</v>
      </c>
      <c r="I6392" s="1" t="str">
        <f t="shared" si="4"/>
        <v>No Badges</v>
      </c>
      <c r="J6392" s="3">
        <f t="shared" si="5"/>
        <v>0</v>
      </c>
    </row>
    <row r="6393">
      <c r="A6393" s="1" t="s">
        <v>4838</v>
      </c>
      <c r="B6393" s="3" t="str">
        <f t="shared" si="1"/>
        <v>Unavailable</v>
      </c>
      <c r="C6393" s="5">
        <v>1150.0</v>
      </c>
      <c r="D6393" s="3">
        <f>IFERROR(__xludf.DUMMYFUNCTION("IFERROR(
IF(REGEXMATCH(LOWER(O6393),""k""),
VALUE(REGEXEXTRACT(O6393,""[0-9]+""))*1000,
VALUE(REGEXEXTRACT(O6393,""[0-9]+""))
),
0
)"),0.0)</f>
        <v>0</v>
      </c>
      <c r="E6393" s="1" t="s">
        <v>11</v>
      </c>
      <c r="F6393" s="1" t="s">
        <v>20</v>
      </c>
      <c r="G6393" s="4" t="b">
        <f t="shared" si="2"/>
        <v>1</v>
      </c>
      <c r="H6393" s="1" t="str">
        <f t="shared" si="3"/>
        <v>Currently Unavailable</v>
      </c>
      <c r="I6393" s="1" t="str">
        <f t="shared" si="4"/>
        <v>No Badges</v>
      </c>
      <c r="J6393" s="3">
        <f t="shared" si="5"/>
        <v>0</v>
      </c>
    </row>
    <row r="6394">
      <c r="A6394" s="1" t="s">
        <v>4839</v>
      </c>
      <c r="B6394" s="3" t="str">
        <f t="shared" si="1"/>
        <v>Unavailable</v>
      </c>
      <c r="C6394" s="5">
        <v>3185.0</v>
      </c>
      <c r="D6394" s="3">
        <f>IFERROR(__xludf.DUMMYFUNCTION("IFERROR(
IF(REGEXMATCH(LOWER(O6394),""k""),
VALUE(REGEXEXTRACT(O6394,""[0-9]+""))*1000,
VALUE(REGEXEXTRACT(O6394,""[0-9]+""))
),
0
)"),0.0)</f>
        <v>0</v>
      </c>
      <c r="E6394" s="1" t="s">
        <v>11</v>
      </c>
      <c r="F6394" s="1" t="s">
        <v>20</v>
      </c>
      <c r="G6394" s="4" t="b">
        <f t="shared" si="2"/>
        <v>1</v>
      </c>
      <c r="H6394" s="1" t="str">
        <f t="shared" si="3"/>
        <v>Currently Unavailable</v>
      </c>
      <c r="I6394" s="1" t="str">
        <f t="shared" si="4"/>
        <v>No Badges</v>
      </c>
      <c r="J6394" s="3">
        <f t="shared" si="5"/>
        <v>0</v>
      </c>
    </row>
    <row r="6395">
      <c r="A6395" s="1" t="s">
        <v>701</v>
      </c>
      <c r="B6395" s="3" t="str">
        <f t="shared" si="1"/>
        <v>Unavailable</v>
      </c>
      <c r="C6395" s="3">
        <v>8.0</v>
      </c>
      <c r="D6395" s="3">
        <f>IFERROR(__xludf.DUMMYFUNCTION("IFERROR(
IF(REGEXMATCH(LOWER(O6395),""k""),
VALUE(REGEXEXTRACT(O6395,""[0-9]+""))*1000,
VALUE(REGEXEXTRACT(O6395,""[0-9]+""))
),
0
)"),0.0)</f>
        <v>0</v>
      </c>
      <c r="E6395" s="1" t="s">
        <v>11</v>
      </c>
      <c r="F6395" s="1" t="s">
        <v>12</v>
      </c>
      <c r="G6395" s="4" t="b">
        <f t="shared" si="2"/>
        <v>1</v>
      </c>
      <c r="H6395" s="1" t="str">
        <f t="shared" si="3"/>
        <v>Currently Unavailable</v>
      </c>
      <c r="I6395" s="1" t="str">
        <f t="shared" si="4"/>
        <v>No Badges</v>
      </c>
      <c r="J6395" s="3">
        <f t="shared" si="5"/>
        <v>0</v>
      </c>
    </row>
    <row r="6396">
      <c r="A6396" s="1" t="s">
        <v>4840</v>
      </c>
      <c r="B6396" s="3" t="str">
        <f t="shared" si="1"/>
        <v>Unavailable</v>
      </c>
      <c r="C6396" s="5">
        <v>1890.0</v>
      </c>
      <c r="D6396" s="3">
        <f>IFERROR(__xludf.DUMMYFUNCTION("IFERROR(
IF(REGEXMATCH(LOWER(O6396),""k""),
VALUE(REGEXEXTRACT(O6396,""[0-9]+""))*1000,
VALUE(REGEXEXTRACT(O6396,""[0-9]+""))
),
0
)"),0.0)</f>
        <v>0</v>
      </c>
      <c r="E6396" s="1" t="s">
        <v>11</v>
      </c>
      <c r="F6396" s="1" t="s">
        <v>20</v>
      </c>
      <c r="G6396" s="4" t="b">
        <f t="shared" si="2"/>
        <v>1</v>
      </c>
      <c r="H6396" s="1" t="str">
        <f t="shared" si="3"/>
        <v>Currently Unavailable</v>
      </c>
      <c r="I6396" s="1" t="str">
        <f t="shared" si="4"/>
        <v>No Badges</v>
      </c>
      <c r="J6396" s="3">
        <f t="shared" si="5"/>
        <v>0</v>
      </c>
    </row>
    <row r="6397">
      <c r="A6397" s="1" t="s">
        <v>88</v>
      </c>
      <c r="B6397" s="3" t="str">
        <f t="shared" si="1"/>
        <v>Unavailable</v>
      </c>
      <c r="C6397" s="3">
        <v>5.0</v>
      </c>
      <c r="D6397" s="3">
        <f>IFERROR(__xludf.DUMMYFUNCTION("IFERROR(
IF(REGEXMATCH(LOWER(O6397),""k""),
VALUE(REGEXEXTRACT(O6397,""[0-9]+""))*1000,
VALUE(REGEXEXTRACT(O6397,""[0-9]+""))
),
0
)"),0.0)</f>
        <v>0</v>
      </c>
      <c r="E6397" s="1" t="s">
        <v>11</v>
      </c>
      <c r="F6397" s="1" t="s">
        <v>12</v>
      </c>
      <c r="G6397" s="4" t="b">
        <f t="shared" si="2"/>
        <v>1</v>
      </c>
      <c r="H6397" s="1" t="str">
        <f t="shared" si="3"/>
        <v>Currently Unavailable</v>
      </c>
      <c r="I6397" s="1" t="str">
        <f t="shared" si="4"/>
        <v>No Badges</v>
      </c>
      <c r="J6397" s="3">
        <f t="shared" si="5"/>
        <v>0</v>
      </c>
    </row>
    <row r="6398">
      <c r="A6398" s="1" t="s">
        <v>4841</v>
      </c>
      <c r="B6398" s="3" t="str">
        <f t="shared" si="1"/>
        <v>Unavailable</v>
      </c>
      <c r="C6398" s="3">
        <v>720.0</v>
      </c>
      <c r="D6398" s="3">
        <f>IFERROR(__xludf.DUMMYFUNCTION("IFERROR(
IF(REGEXMATCH(LOWER(O6398),""k""),
VALUE(REGEXEXTRACT(O6398,""[0-9]+""))*1000,
VALUE(REGEXEXTRACT(O6398,""[0-9]+""))
),
0
)"),0.0)</f>
        <v>0</v>
      </c>
      <c r="E6398" s="1" t="s">
        <v>11</v>
      </c>
      <c r="F6398" s="1" t="s">
        <v>20</v>
      </c>
      <c r="G6398" s="4" t="b">
        <f t="shared" si="2"/>
        <v>1</v>
      </c>
      <c r="H6398" s="1" t="str">
        <f t="shared" si="3"/>
        <v>Currently Unavailable</v>
      </c>
      <c r="I6398" s="1" t="str">
        <f t="shared" si="4"/>
        <v>No Badges</v>
      </c>
      <c r="J6398" s="3">
        <f t="shared" si="5"/>
        <v>0</v>
      </c>
    </row>
    <row r="6399">
      <c r="A6399" s="1" t="s">
        <v>4842</v>
      </c>
      <c r="B6399" s="3" t="str">
        <f t="shared" si="1"/>
        <v>Unavailable</v>
      </c>
      <c r="C6399" s="5">
        <v>1195.0</v>
      </c>
      <c r="D6399" s="3">
        <f>IFERROR(__xludf.DUMMYFUNCTION("IFERROR(
IF(REGEXMATCH(LOWER(O6399),""k""),
VALUE(REGEXEXTRACT(O6399,""[0-9]+""))*1000,
VALUE(REGEXEXTRACT(O6399,""[0-9]+""))
),
0
)"),0.0)</f>
        <v>0</v>
      </c>
      <c r="E6399" s="1" t="s">
        <v>11</v>
      </c>
      <c r="F6399" s="1" t="s">
        <v>20</v>
      </c>
      <c r="G6399" s="4" t="b">
        <f t="shared" si="2"/>
        <v>1</v>
      </c>
      <c r="H6399" s="1" t="str">
        <f t="shared" si="3"/>
        <v>Currently Unavailable</v>
      </c>
      <c r="I6399" s="1" t="str">
        <f t="shared" si="4"/>
        <v>No Badges</v>
      </c>
      <c r="J6399" s="3">
        <f t="shared" si="5"/>
        <v>0</v>
      </c>
    </row>
    <row r="6400">
      <c r="A6400" s="1" t="s">
        <v>4843</v>
      </c>
      <c r="B6400" s="3" t="str">
        <f t="shared" si="1"/>
        <v>Unavailable</v>
      </c>
      <c r="C6400" s="5">
        <v>4724.0</v>
      </c>
      <c r="D6400" s="3">
        <f>IFERROR(__xludf.DUMMYFUNCTION("IFERROR(
IF(REGEXMATCH(LOWER(O6400),""k""),
VALUE(REGEXEXTRACT(O6400,""[0-9]+""))*1000,
VALUE(REGEXEXTRACT(O6400,""[0-9]+""))
),
0
)"),0.0)</f>
        <v>0</v>
      </c>
      <c r="E6400" s="1" t="s">
        <v>11</v>
      </c>
      <c r="F6400" s="1" t="s">
        <v>20</v>
      </c>
      <c r="G6400" s="4" t="b">
        <f t="shared" si="2"/>
        <v>1</v>
      </c>
      <c r="H6400" s="1" t="str">
        <f t="shared" si="3"/>
        <v>Currently Unavailable</v>
      </c>
      <c r="I6400" s="1" t="str">
        <f t="shared" si="4"/>
        <v>No Badges</v>
      </c>
      <c r="J6400" s="3">
        <f t="shared" si="5"/>
        <v>0</v>
      </c>
    </row>
    <row r="6401">
      <c r="A6401" s="1" t="s">
        <v>4844</v>
      </c>
      <c r="B6401" s="3" t="str">
        <f t="shared" si="1"/>
        <v>Unavailable</v>
      </c>
      <c r="C6401" s="5">
        <v>1006.0</v>
      </c>
      <c r="D6401" s="3">
        <f>IFERROR(__xludf.DUMMYFUNCTION("IFERROR(
IF(REGEXMATCH(LOWER(O6401),""k""),
VALUE(REGEXEXTRACT(O6401,""[0-9]+""))*1000,
VALUE(REGEXEXTRACT(O6401,""[0-9]+""))
),
0
)"),0.0)</f>
        <v>0</v>
      </c>
      <c r="E6401" s="1" t="s">
        <v>11</v>
      </c>
      <c r="F6401" s="1" t="s">
        <v>20</v>
      </c>
      <c r="G6401" s="4" t="b">
        <f t="shared" si="2"/>
        <v>1</v>
      </c>
      <c r="H6401" s="1" t="str">
        <f t="shared" si="3"/>
        <v>Currently Unavailable</v>
      </c>
      <c r="I6401" s="1" t="str">
        <f t="shared" si="4"/>
        <v>No Badges</v>
      </c>
      <c r="J6401" s="3">
        <f t="shared" si="5"/>
        <v>0</v>
      </c>
    </row>
    <row r="6402">
      <c r="A6402" s="1" t="s">
        <v>4845</v>
      </c>
      <c r="B6402" s="3" t="str">
        <f t="shared" si="1"/>
        <v>Unavailable</v>
      </c>
      <c r="C6402" s="5">
        <v>1391.0</v>
      </c>
      <c r="D6402" s="3">
        <f>IFERROR(__xludf.DUMMYFUNCTION("IFERROR(
IF(REGEXMATCH(LOWER(O6402),""k""),
VALUE(REGEXEXTRACT(O6402,""[0-9]+""))*1000,
VALUE(REGEXEXTRACT(O6402,""[0-9]+""))
),
0
)"),0.0)</f>
        <v>0</v>
      </c>
      <c r="E6402" s="1" t="s">
        <v>11</v>
      </c>
      <c r="F6402" s="1" t="s">
        <v>20</v>
      </c>
      <c r="G6402" s="4" t="b">
        <f t="shared" si="2"/>
        <v>1</v>
      </c>
      <c r="H6402" s="1" t="str">
        <f t="shared" si="3"/>
        <v>Currently Unavailable</v>
      </c>
      <c r="I6402" s="1" t="str">
        <f t="shared" si="4"/>
        <v>No Badges</v>
      </c>
      <c r="J6402" s="3">
        <f t="shared" si="5"/>
        <v>0</v>
      </c>
    </row>
    <row r="6403">
      <c r="A6403" s="1" t="s">
        <v>4846</v>
      </c>
      <c r="B6403" s="3" t="str">
        <f t="shared" si="1"/>
        <v>Unavailable</v>
      </c>
      <c r="C6403" s="5">
        <v>2246.0</v>
      </c>
      <c r="D6403" s="3">
        <f>IFERROR(__xludf.DUMMYFUNCTION("IFERROR(
IF(REGEXMATCH(LOWER(O6403),""k""),
VALUE(REGEXEXTRACT(O6403,""[0-9]+""))*1000,
VALUE(REGEXEXTRACT(O6403,""[0-9]+""))
),
0
)"),0.0)</f>
        <v>0</v>
      </c>
      <c r="E6403" s="1" t="s">
        <v>11</v>
      </c>
      <c r="F6403" s="1" t="s">
        <v>20</v>
      </c>
      <c r="G6403" s="4" t="b">
        <f t="shared" si="2"/>
        <v>1</v>
      </c>
      <c r="H6403" s="1" t="str">
        <f t="shared" si="3"/>
        <v>Currently Unavailable</v>
      </c>
      <c r="I6403" s="1" t="str">
        <f t="shared" si="4"/>
        <v>No Badges</v>
      </c>
      <c r="J6403" s="3">
        <f t="shared" si="5"/>
        <v>0</v>
      </c>
    </row>
    <row r="6404">
      <c r="A6404" s="1" t="s">
        <v>4847</v>
      </c>
      <c r="B6404" s="3" t="str">
        <f t="shared" si="1"/>
        <v>Unavailable</v>
      </c>
      <c r="C6404" s="3">
        <v>38.0</v>
      </c>
      <c r="D6404" s="3">
        <f>IFERROR(__xludf.DUMMYFUNCTION("IFERROR(
IF(REGEXMATCH(LOWER(O6404),""k""),
VALUE(REGEXEXTRACT(O6404,""[0-9]+""))*1000,
VALUE(REGEXEXTRACT(O6404,""[0-9]+""))
),
0
)"),0.0)</f>
        <v>0</v>
      </c>
      <c r="E6404" s="1" t="s">
        <v>11</v>
      </c>
      <c r="F6404" s="1" t="s">
        <v>20</v>
      </c>
      <c r="G6404" s="4" t="b">
        <f t="shared" si="2"/>
        <v>1</v>
      </c>
      <c r="H6404" s="1" t="str">
        <f t="shared" si="3"/>
        <v>Currently Unavailable</v>
      </c>
      <c r="I6404" s="1" t="str">
        <f t="shared" si="4"/>
        <v>No Badges</v>
      </c>
      <c r="J6404" s="3">
        <f t="shared" si="5"/>
        <v>0</v>
      </c>
    </row>
    <row r="6405">
      <c r="A6405" s="1" t="s">
        <v>4848</v>
      </c>
      <c r="B6405" s="3" t="str">
        <f t="shared" si="1"/>
        <v>Unavailable</v>
      </c>
      <c r="C6405" s="5">
        <v>2021.0</v>
      </c>
      <c r="D6405" s="3">
        <f>IFERROR(__xludf.DUMMYFUNCTION("IFERROR(
IF(REGEXMATCH(LOWER(O6405),""k""),
VALUE(REGEXEXTRACT(O6405,""[0-9]+""))*1000,
VALUE(REGEXEXTRACT(O6405,""[0-9]+""))
),
0
)"),0.0)</f>
        <v>0</v>
      </c>
      <c r="E6405" s="1" t="s">
        <v>11</v>
      </c>
      <c r="F6405" s="1" t="s">
        <v>20</v>
      </c>
      <c r="G6405" s="4" t="b">
        <f t="shared" si="2"/>
        <v>1</v>
      </c>
      <c r="H6405" s="1" t="str">
        <f t="shared" si="3"/>
        <v>Currently Unavailable</v>
      </c>
      <c r="I6405" s="1" t="str">
        <f t="shared" si="4"/>
        <v>No Badges</v>
      </c>
      <c r="J6405" s="3">
        <f t="shared" si="5"/>
        <v>0</v>
      </c>
    </row>
    <row r="6406">
      <c r="A6406" s="1" t="s">
        <v>4849</v>
      </c>
      <c r="B6406" s="3" t="str">
        <f t="shared" si="1"/>
        <v>Unavailable</v>
      </c>
      <c r="C6406" s="5">
        <v>2473.0</v>
      </c>
      <c r="D6406" s="3">
        <f>IFERROR(__xludf.DUMMYFUNCTION("IFERROR(
IF(REGEXMATCH(LOWER(O6406),""k""),
VALUE(REGEXEXTRACT(O6406,""[0-9]+""))*1000,
VALUE(REGEXEXTRACT(O6406,""[0-9]+""))
),
0
)"),0.0)</f>
        <v>0</v>
      </c>
      <c r="E6406" s="1" t="s">
        <v>11</v>
      </c>
      <c r="F6406" s="1" t="s">
        <v>20</v>
      </c>
      <c r="G6406" s="4" t="b">
        <f t="shared" si="2"/>
        <v>1</v>
      </c>
      <c r="H6406" s="1" t="str">
        <f t="shared" si="3"/>
        <v>Currently Unavailable</v>
      </c>
      <c r="I6406" s="1" t="str">
        <f t="shared" si="4"/>
        <v>No Badges</v>
      </c>
      <c r="J6406" s="3">
        <f t="shared" si="5"/>
        <v>0</v>
      </c>
    </row>
    <row r="6407">
      <c r="A6407" s="1" t="s">
        <v>4850</v>
      </c>
      <c r="B6407" s="3" t="str">
        <f t="shared" si="1"/>
        <v>Unavailable</v>
      </c>
      <c r="C6407" s="3">
        <v>17.0</v>
      </c>
      <c r="D6407" s="3">
        <f>IFERROR(__xludf.DUMMYFUNCTION("IFERROR(
IF(REGEXMATCH(LOWER(O6407),""k""),
VALUE(REGEXEXTRACT(O6407,""[0-9]+""))*1000,
VALUE(REGEXEXTRACT(O6407,""[0-9]+""))
),
0
)"),0.0)</f>
        <v>0</v>
      </c>
      <c r="E6407" s="1" t="s">
        <v>18</v>
      </c>
      <c r="F6407" s="1" t="s">
        <v>20</v>
      </c>
      <c r="G6407" s="4" t="b">
        <f t="shared" si="2"/>
        <v>1</v>
      </c>
      <c r="H6407" s="1" t="str">
        <f t="shared" si="3"/>
        <v>Currently Unavailable</v>
      </c>
      <c r="I6407" s="1" t="str">
        <f t="shared" si="4"/>
        <v>No Badges</v>
      </c>
      <c r="J6407" s="3">
        <f t="shared" si="5"/>
        <v>0</v>
      </c>
    </row>
    <row r="6408">
      <c r="A6408" s="1" t="s">
        <v>4851</v>
      </c>
      <c r="B6408" s="3" t="str">
        <f t="shared" si="1"/>
        <v>Unavailable</v>
      </c>
      <c r="C6408" s="5">
        <v>16832.0</v>
      </c>
      <c r="D6408" s="3">
        <f>IFERROR(__xludf.DUMMYFUNCTION("IFERROR(
IF(REGEXMATCH(LOWER(O6408),""k""),
VALUE(REGEXEXTRACT(O6408,""[0-9]+""))*1000,
VALUE(REGEXEXTRACT(O6408,""[0-9]+""))
),
0
)"),0.0)</f>
        <v>0</v>
      </c>
      <c r="E6408" s="1" t="s">
        <v>11</v>
      </c>
      <c r="F6408" s="1" t="s">
        <v>20</v>
      </c>
      <c r="G6408" s="4" t="b">
        <f t="shared" si="2"/>
        <v>1</v>
      </c>
      <c r="H6408" s="1" t="str">
        <f t="shared" si="3"/>
        <v>Currently Unavailable</v>
      </c>
      <c r="I6408" s="1" t="str">
        <f t="shared" si="4"/>
        <v>No Badges</v>
      </c>
      <c r="J6408" s="3">
        <f t="shared" si="5"/>
        <v>0</v>
      </c>
    </row>
    <row r="6409">
      <c r="A6409" s="1" t="s">
        <v>4852</v>
      </c>
      <c r="B6409" s="3" t="str">
        <f t="shared" si="1"/>
        <v>Unavailable</v>
      </c>
      <c r="C6409" s="3">
        <v>796.0</v>
      </c>
      <c r="D6409" s="3">
        <f>IFERROR(__xludf.DUMMYFUNCTION("IFERROR(
IF(REGEXMATCH(LOWER(O6409),""k""),
VALUE(REGEXEXTRACT(O6409,""[0-9]+""))*1000,
VALUE(REGEXEXTRACT(O6409,""[0-9]+""))
),
0
)"),0.0)</f>
        <v>0</v>
      </c>
      <c r="E6409" s="1" t="s">
        <v>11</v>
      </c>
      <c r="F6409" s="1" t="s">
        <v>20</v>
      </c>
      <c r="G6409" s="4" t="b">
        <f t="shared" si="2"/>
        <v>1</v>
      </c>
      <c r="H6409" s="1" t="str">
        <f t="shared" si="3"/>
        <v>Currently Unavailable</v>
      </c>
      <c r="I6409" s="1" t="str">
        <f t="shared" si="4"/>
        <v>No Badges</v>
      </c>
      <c r="J6409" s="3">
        <f t="shared" si="5"/>
        <v>0</v>
      </c>
    </row>
    <row r="6410">
      <c r="A6410" s="1" t="s">
        <v>4853</v>
      </c>
      <c r="B6410" s="3" t="str">
        <f t="shared" si="1"/>
        <v>Unavailable</v>
      </c>
      <c r="C6410" s="3">
        <v>973.0</v>
      </c>
      <c r="D6410" s="3">
        <f>IFERROR(__xludf.DUMMYFUNCTION("IFERROR(
IF(REGEXMATCH(LOWER(O6410),""k""),
VALUE(REGEXEXTRACT(O6410,""[0-9]+""))*1000,
VALUE(REGEXEXTRACT(O6410,""[0-9]+""))
),
0
)"),0.0)</f>
        <v>0</v>
      </c>
      <c r="E6410" s="1" t="s">
        <v>11</v>
      </c>
      <c r="F6410" s="1" t="s">
        <v>20</v>
      </c>
      <c r="G6410" s="4" t="b">
        <f t="shared" si="2"/>
        <v>1</v>
      </c>
      <c r="H6410" s="1" t="str">
        <f t="shared" si="3"/>
        <v>Currently Unavailable</v>
      </c>
      <c r="I6410" s="1" t="str">
        <f t="shared" si="4"/>
        <v>No Badges</v>
      </c>
      <c r="J6410" s="3">
        <f t="shared" si="5"/>
        <v>0</v>
      </c>
    </row>
    <row r="6411">
      <c r="A6411" s="1" t="s">
        <v>4854</v>
      </c>
      <c r="B6411" s="3" t="str">
        <f t="shared" si="1"/>
        <v>Unavailable</v>
      </c>
      <c r="C6411" s="5">
        <v>59976.0</v>
      </c>
      <c r="D6411" s="3">
        <f>IFERROR(__xludf.DUMMYFUNCTION("IFERROR(
IF(REGEXMATCH(LOWER(O6411),""k""),
VALUE(REGEXEXTRACT(O6411,""[0-9]+""))*1000,
VALUE(REGEXEXTRACT(O6411,""[0-9]+""))
),
0
)"),0.0)</f>
        <v>0</v>
      </c>
      <c r="E6411" s="1" t="s">
        <v>11</v>
      </c>
      <c r="F6411" s="1" t="s">
        <v>20</v>
      </c>
      <c r="G6411" s="4" t="b">
        <f t="shared" si="2"/>
        <v>1</v>
      </c>
      <c r="H6411" s="1" t="str">
        <f t="shared" si="3"/>
        <v>Currently Unavailable</v>
      </c>
      <c r="I6411" s="1" t="str">
        <f t="shared" si="4"/>
        <v>No Badges</v>
      </c>
      <c r="J6411" s="3">
        <f t="shared" si="5"/>
        <v>0</v>
      </c>
    </row>
    <row r="6412">
      <c r="A6412" s="1" t="s">
        <v>4855</v>
      </c>
      <c r="B6412" s="3" t="str">
        <f t="shared" si="1"/>
        <v>Unavailable</v>
      </c>
      <c r="C6412" s="3">
        <v>654.0</v>
      </c>
      <c r="D6412" s="3">
        <f>IFERROR(__xludf.DUMMYFUNCTION("IFERROR(
IF(REGEXMATCH(LOWER(O6412),""k""),
VALUE(REGEXEXTRACT(O6412,""[0-9]+""))*1000,
VALUE(REGEXEXTRACT(O6412,""[0-9]+""))
),
0
)"),0.0)</f>
        <v>0</v>
      </c>
      <c r="E6412" s="1" t="s">
        <v>11</v>
      </c>
      <c r="F6412" s="1" t="s">
        <v>20</v>
      </c>
      <c r="G6412" s="4" t="b">
        <f t="shared" si="2"/>
        <v>1</v>
      </c>
      <c r="H6412" s="1" t="str">
        <f t="shared" si="3"/>
        <v>Currently Unavailable</v>
      </c>
      <c r="I6412" s="1" t="str">
        <f t="shared" si="4"/>
        <v>No Badges</v>
      </c>
      <c r="J6412" s="3">
        <f t="shared" si="5"/>
        <v>0</v>
      </c>
    </row>
    <row r="6413">
      <c r="A6413" s="1" t="s">
        <v>4856</v>
      </c>
      <c r="B6413" s="3" t="str">
        <f t="shared" si="1"/>
        <v>Unavailable</v>
      </c>
      <c r="C6413" s="3">
        <v>54.0</v>
      </c>
      <c r="D6413" s="3">
        <f>IFERROR(__xludf.DUMMYFUNCTION("IFERROR(
IF(REGEXMATCH(LOWER(O6413),""k""),
VALUE(REGEXEXTRACT(O6413,""[0-9]+""))*1000,
VALUE(REGEXEXTRACT(O6413,""[0-9]+""))
),
0
)"),0.0)</f>
        <v>0</v>
      </c>
      <c r="E6413" s="1" t="s">
        <v>11</v>
      </c>
      <c r="F6413" s="1" t="s">
        <v>20</v>
      </c>
      <c r="G6413" s="4" t="b">
        <f t="shared" si="2"/>
        <v>1</v>
      </c>
      <c r="H6413" s="1" t="str">
        <f t="shared" si="3"/>
        <v>Currently Unavailable</v>
      </c>
      <c r="I6413" s="1" t="str">
        <f t="shared" si="4"/>
        <v>No Badges</v>
      </c>
      <c r="J6413" s="3">
        <f t="shared" si="5"/>
        <v>0</v>
      </c>
    </row>
    <row r="6414">
      <c r="A6414" s="1" t="s">
        <v>4857</v>
      </c>
      <c r="B6414" s="3" t="str">
        <f t="shared" si="1"/>
        <v>Unavailable</v>
      </c>
      <c r="C6414" s="5">
        <v>2648.0</v>
      </c>
      <c r="D6414" s="3">
        <f>IFERROR(__xludf.DUMMYFUNCTION("IFERROR(
IF(REGEXMATCH(LOWER(O6414),""k""),
VALUE(REGEXEXTRACT(O6414,""[0-9]+""))*1000,
VALUE(REGEXEXTRACT(O6414,""[0-9]+""))
),
0
)"),0.0)</f>
        <v>0</v>
      </c>
      <c r="E6414" s="1" t="s">
        <v>11</v>
      </c>
      <c r="F6414" s="1" t="s">
        <v>20</v>
      </c>
      <c r="G6414" s="4" t="b">
        <f t="shared" si="2"/>
        <v>1</v>
      </c>
      <c r="H6414" s="1" t="str">
        <f t="shared" si="3"/>
        <v>Currently Unavailable</v>
      </c>
      <c r="I6414" s="1" t="str">
        <f t="shared" si="4"/>
        <v>No Badges</v>
      </c>
      <c r="J6414" s="3">
        <f t="shared" si="5"/>
        <v>0</v>
      </c>
    </row>
    <row r="6415">
      <c r="A6415" s="1" t="s">
        <v>4858</v>
      </c>
      <c r="B6415" s="3" t="str">
        <f t="shared" si="1"/>
        <v>Unavailable</v>
      </c>
      <c r="C6415" s="5">
        <v>4691.0</v>
      </c>
      <c r="D6415" s="3">
        <f>IFERROR(__xludf.DUMMYFUNCTION("IFERROR(
IF(REGEXMATCH(LOWER(O6415),""k""),
VALUE(REGEXEXTRACT(O6415,""[0-9]+""))*1000,
VALUE(REGEXEXTRACT(O6415,""[0-9]+""))
),
0
)"),0.0)</f>
        <v>0</v>
      </c>
      <c r="E6415" s="1" t="s">
        <v>11</v>
      </c>
      <c r="F6415" s="1" t="s">
        <v>20</v>
      </c>
      <c r="G6415" s="4" t="b">
        <f t="shared" si="2"/>
        <v>1</v>
      </c>
      <c r="H6415" s="1" t="str">
        <f t="shared" si="3"/>
        <v>Currently Unavailable</v>
      </c>
      <c r="I6415" s="1" t="str">
        <f t="shared" si="4"/>
        <v>No Badges</v>
      </c>
      <c r="J6415" s="3">
        <f t="shared" si="5"/>
        <v>0</v>
      </c>
    </row>
    <row r="6416">
      <c r="A6416" s="1" t="s">
        <v>4859</v>
      </c>
      <c r="B6416" s="3" t="str">
        <f t="shared" si="1"/>
        <v>Unavailable</v>
      </c>
      <c r="C6416" s="5">
        <v>15749.0</v>
      </c>
      <c r="D6416" s="3">
        <f>IFERROR(__xludf.DUMMYFUNCTION("IFERROR(
IF(REGEXMATCH(LOWER(O6416),""k""),
VALUE(REGEXEXTRACT(O6416,""[0-9]+""))*1000,
VALUE(REGEXEXTRACT(O6416,""[0-9]+""))
),
0
)"),0.0)</f>
        <v>0</v>
      </c>
      <c r="E6416" s="1" t="s">
        <v>11</v>
      </c>
      <c r="F6416" s="1" t="s">
        <v>20</v>
      </c>
      <c r="G6416" s="4" t="b">
        <f t="shared" si="2"/>
        <v>1</v>
      </c>
      <c r="H6416" s="1" t="str">
        <f t="shared" si="3"/>
        <v>Currently Unavailable</v>
      </c>
      <c r="I6416" s="1" t="str">
        <f t="shared" si="4"/>
        <v>No Badges</v>
      </c>
      <c r="J6416" s="3">
        <f t="shared" si="5"/>
        <v>0</v>
      </c>
    </row>
    <row r="6417">
      <c r="A6417" s="1" t="s">
        <v>4860</v>
      </c>
      <c r="B6417" s="3" t="str">
        <f t="shared" si="1"/>
        <v>Unavailable</v>
      </c>
      <c r="C6417" s="3">
        <v>186.0</v>
      </c>
      <c r="D6417" s="3">
        <f>IFERROR(__xludf.DUMMYFUNCTION("IFERROR(
IF(REGEXMATCH(LOWER(O6417),""k""),
VALUE(REGEXEXTRACT(O6417,""[0-9]+""))*1000,
VALUE(REGEXEXTRACT(O6417,""[0-9]+""))
),
0
)"),0.0)</f>
        <v>0</v>
      </c>
      <c r="E6417" s="1" t="s">
        <v>11</v>
      </c>
      <c r="F6417" s="1" t="s">
        <v>20</v>
      </c>
      <c r="G6417" s="4" t="b">
        <f t="shared" si="2"/>
        <v>1</v>
      </c>
      <c r="H6417" s="1" t="str">
        <f t="shared" si="3"/>
        <v>Currently Unavailable</v>
      </c>
      <c r="I6417" s="1" t="str">
        <f t="shared" si="4"/>
        <v>No Badges</v>
      </c>
      <c r="J6417" s="3">
        <f t="shared" si="5"/>
        <v>0</v>
      </c>
    </row>
    <row r="6418">
      <c r="A6418" s="1" t="s">
        <v>4861</v>
      </c>
      <c r="B6418" s="3" t="str">
        <f t="shared" si="1"/>
        <v>Unavailable</v>
      </c>
      <c r="C6418" s="3">
        <v>452.0</v>
      </c>
      <c r="D6418" s="3">
        <f>IFERROR(__xludf.DUMMYFUNCTION("IFERROR(
IF(REGEXMATCH(LOWER(O6418),""k""),
VALUE(REGEXEXTRACT(O6418,""[0-9]+""))*1000,
VALUE(REGEXEXTRACT(O6418,""[0-9]+""))
),
0
)"),0.0)</f>
        <v>0</v>
      </c>
      <c r="E6418" s="1" t="s">
        <v>11</v>
      </c>
      <c r="F6418" s="1" t="s">
        <v>20</v>
      </c>
      <c r="G6418" s="4" t="b">
        <f t="shared" si="2"/>
        <v>1</v>
      </c>
      <c r="H6418" s="1" t="str">
        <f t="shared" si="3"/>
        <v>Currently Unavailable</v>
      </c>
      <c r="I6418" s="1" t="str">
        <f t="shared" si="4"/>
        <v>No Badges</v>
      </c>
      <c r="J6418" s="3">
        <f t="shared" si="5"/>
        <v>0</v>
      </c>
    </row>
    <row r="6419">
      <c r="A6419" s="1" t="s">
        <v>4862</v>
      </c>
      <c r="B6419" s="3" t="str">
        <f t="shared" si="1"/>
        <v>Unavailable</v>
      </c>
      <c r="C6419" s="3">
        <v>189.0</v>
      </c>
      <c r="D6419" s="3">
        <f>IFERROR(__xludf.DUMMYFUNCTION("IFERROR(
IF(REGEXMATCH(LOWER(O6419),""k""),
VALUE(REGEXEXTRACT(O6419,""[0-9]+""))*1000,
VALUE(REGEXEXTRACT(O6419,""[0-9]+""))
),
0
)"),0.0)</f>
        <v>0</v>
      </c>
      <c r="E6419" s="1" t="s">
        <v>11</v>
      </c>
      <c r="F6419" s="1" t="s">
        <v>20</v>
      </c>
      <c r="G6419" s="4" t="b">
        <f t="shared" si="2"/>
        <v>1</v>
      </c>
      <c r="H6419" s="1" t="str">
        <f t="shared" si="3"/>
        <v>Currently Unavailable</v>
      </c>
      <c r="I6419" s="1" t="str">
        <f t="shared" si="4"/>
        <v>No Badges</v>
      </c>
      <c r="J6419" s="3">
        <f t="shared" si="5"/>
        <v>0</v>
      </c>
    </row>
    <row r="6420">
      <c r="A6420" s="1" t="s">
        <v>4863</v>
      </c>
      <c r="B6420" s="3" t="str">
        <f t="shared" si="1"/>
        <v>Unavailable</v>
      </c>
      <c r="C6420" s="5">
        <v>41492.0</v>
      </c>
      <c r="D6420" s="3">
        <f>IFERROR(__xludf.DUMMYFUNCTION("IFERROR(
IF(REGEXMATCH(LOWER(O6420),""k""),
VALUE(REGEXEXTRACT(O6420,""[0-9]+""))*1000,
VALUE(REGEXEXTRACT(O6420,""[0-9]+""))
),
0
)"),0.0)</f>
        <v>0</v>
      </c>
      <c r="E6420" s="1" t="s">
        <v>11</v>
      </c>
      <c r="F6420" s="1" t="s">
        <v>20</v>
      </c>
      <c r="G6420" s="4" t="b">
        <f t="shared" si="2"/>
        <v>1</v>
      </c>
      <c r="H6420" s="1" t="str">
        <f t="shared" si="3"/>
        <v>Currently Unavailable</v>
      </c>
      <c r="I6420" s="1" t="str">
        <f t="shared" si="4"/>
        <v>No Badges</v>
      </c>
      <c r="J6420" s="3">
        <f t="shared" si="5"/>
        <v>0</v>
      </c>
    </row>
    <row r="6421">
      <c r="A6421" s="1" t="s">
        <v>4864</v>
      </c>
      <c r="B6421" s="3" t="str">
        <f t="shared" si="1"/>
        <v>Unavailable</v>
      </c>
      <c r="C6421" s="3">
        <v>31.0</v>
      </c>
      <c r="D6421" s="3">
        <f>IFERROR(__xludf.DUMMYFUNCTION("IFERROR(
IF(REGEXMATCH(LOWER(O6421),""k""),
VALUE(REGEXEXTRACT(O6421,""[0-9]+""))*1000,
VALUE(REGEXEXTRACT(O6421,""[0-9]+""))
),
0
)"),0.0)</f>
        <v>0</v>
      </c>
      <c r="E6421" s="1" t="s">
        <v>11</v>
      </c>
      <c r="F6421" s="1" t="s">
        <v>20</v>
      </c>
      <c r="G6421" s="4" t="b">
        <f t="shared" si="2"/>
        <v>1</v>
      </c>
      <c r="H6421" s="1" t="str">
        <f t="shared" si="3"/>
        <v>Currently Unavailable</v>
      </c>
      <c r="I6421" s="1" t="str">
        <f t="shared" si="4"/>
        <v>No Badges</v>
      </c>
      <c r="J6421" s="3">
        <f t="shared" si="5"/>
        <v>0</v>
      </c>
    </row>
    <row r="6422">
      <c r="A6422" s="1" t="s">
        <v>4865</v>
      </c>
      <c r="B6422" s="3" t="str">
        <f t="shared" si="1"/>
        <v>Unavailable</v>
      </c>
      <c r="C6422" s="5">
        <v>2361.0</v>
      </c>
      <c r="D6422" s="3">
        <f>IFERROR(__xludf.DUMMYFUNCTION("IFERROR(
IF(REGEXMATCH(LOWER(O6422),""k""),
VALUE(REGEXEXTRACT(O6422,""[0-9]+""))*1000,
VALUE(REGEXEXTRACT(O6422,""[0-9]+""))
),
0
)"),0.0)</f>
        <v>0</v>
      </c>
      <c r="E6422" s="1" t="s">
        <v>18</v>
      </c>
      <c r="F6422" s="1" t="s">
        <v>20</v>
      </c>
      <c r="G6422" s="4" t="b">
        <f t="shared" si="2"/>
        <v>1</v>
      </c>
      <c r="H6422" s="1" t="str">
        <f t="shared" si="3"/>
        <v>Currently Unavailable</v>
      </c>
      <c r="I6422" s="1" t="str">
        <f t="shared" si="4"/>
        <v>No Badges</v>
      </c>
      <c r="J6422" s="3">
        <f t="shared" si="5"/>
        <v>0</v>
      </c>
    </row>
    <row r="6423">
      <c r="A6423" s="1" t="s">
        <v>4866</v>
      </c>
      <c r="B6423" s="3" t="str">
        <f t="shared" si="1"/>
        <v>Unavailable</v>
      </c>
      <c r="C6423" s="5">
        <v>7263.0</v>
      </c>
      <c r="D6423" s="3">
        <f>IFERROR(__xludf.DUMMYFUNCTION("IFERROR(
IF(REGEXMATCH(LOWER(O6423),""k""),
VALUE(REGEXEXTRACT(O6423,""[0-9]+""))*1000,
VALUE(REGEXEXTRACT(O6423,""[0-9]+""))
),
0
)"),0.0)</f>
        <v>0</v>
      </c>
      <c r="E6423" s="1" t="s">
        <v>11</v>
      </c>
      <c r="F6423" s="1" t="s">
        <v>20</v>
      </c>
      <c r="G6423" s="4" t="b">
        <f t="shared" si="2"/>
        <v>1</v>
      </c>
      <c r="H6423" s="1" t="str">
        <f t="shared" si="3"/>
        <v>Currently Unavailable</v>
      </c>
      <c r="I6423" s="1" t="str">
        <f t="shared" si="4"/>
        <v>No Badges</v>
      </c>
      <c r="J6423" s="3">
        <f t="shared" si="5"/>
        <v>0</v>
      </c>
    </row>
    <row r="6424">
      <c r="A6424" s="1" t="s">
        <v>69</v>
      </c>
      <c r="B6424" s="3" t="str">
        <f t="shared" si="1"/>
        <v>Unavailable</v>
      </c>
      <c r="C6424" s="3">
        <v>45.0</v>
      </c>
      <c r="D6424" s="3">
        <f>IFERROR(__xludf.DUMMYFUNCTION("IFERROR(
IF(REGEXMATCH(LOWER(O6424),""k""),
VALUE(REGEXEXTRACT(O6424,""[0-9]+""))*1000,
VALUE(REGEXEXTRACT(O6424,""[0-9]+""))
),
0
)"),0.0)</f>
        <v>0</v>
      </c>
      <c r="E6424" s="1" t="s">
        <v>11</v>
      </c>
      <c r="F6424" s="1" t="s">
        <v>12</v>
      </c>
      <c r="G6424" s="4" t="b">
        <f t="shared" si="2"/>
        <v>1</v>
      </c>
      <c r="H6424" s="1" t="str">
        <f t="shared" si="3"/>
        <v>Currently Unavailable</v>
      </c>
      <c r="I6424" s="1" t="str">
        <f t="shared" si="4"/>
        <v>No Badges</v>
      </c>
      <c r="J6424" s="3">
        <f t="shared" si="5"/>
        <v>0</v>
      </c>
    </row>
    <row r="6425">
      <c r="A6425" s="1" t="s">
        <v>4867</v>
      </c>
      <c r="B6425" s="3" t="str">
        <f t="shared" si="1"/>
        <v>Unavailable</v>
      </c>
      <c r="C6425" s="3">
        <v>134.0</v>
      </c>
      <c r="D6425" s="3">
        <f>IFERROR(__xludf.DUMMYFUNCTION("IFERROR(
IF(REGEXMATCH(LOWER(O6425),""k""),
VALUE(REGEXEXTRACT(O6425,""[0-9]+""))*1000,
VALUE(REGEXEXTRACT(O6425,""[0-9]+""))
),
0
)"),0.0)</f>
        <v>0</v>
      </c>
      <c r="E6425" s="1" t="s">
        <v>11</v>
      </c>
      <c r="F6425" s="1" t="s">
        <v>20</v>
      </c>
      <c r="G6425" s="4" t="b">
        <f t="shared" si="2"/>
        <v>1</v>
      </c>
      <c r="H6425" s="1" t="str">
        <f t="shared" si="3"/>
        <v>Currently Unavailable</v>
      </c>
      <c r="I6425" s="1" t="str">
        <f t="shared" si="4"/>
        <v>No Badges</v>
      </c>
      <c r="J6425" s="3">
        <f t="shared" si="5"/>
        <v>0</v>
      </c>
    </row>
    <row r="6426">
      <c r="A6426" s="1" t="s">
        <v>4868</v>
      </c>
      <c r="B6426" s="3" t="str">
        <f t="shared" si="1"/>
        <v>Unavailable</v>
      </c>
      <c r="C6426" s="3">
        <v>78.0</v>
      </c>
      <c r="D6426" s="3">
        <f>IFERROR(__xludf.DUMMYFUNCTION("IFERROR(
IF(REGEXMATCH(LOWER(O6426),""k""),
VALUE(REGEXEXTRACT(O6426,""[0-9]+""))*1000,
VALUE(REGEXEXTRACT(O6426,""[0-9]+""))
),
0
)"),0.0)</f>
        <v>0</v>
      </c>
      <c r="E6426" s="1" t="s">
        <v>11</v>
      </c>
      <c r="F6426" s="1" t="s">
        <v>20</v>
      </c>
      <c r="G6426" s="4" t="b">
        <f t="shared" si="2"/>
        <v>1</v>
      </c>
      <c r="H6426" s="1" t="str">
        <f t="shared" si="3"/>
        <v>Currently Unavailable</v>
      </c>
      <c r="I6426" s="1" t="str">
        <f t="shared" si="4"/>
        <v>No Badges</v>
      </c>
      <c r="J6426" s="3">
        <f t="shared" si="5"/>
        <v>0</v>
      </c>
    </row>
    <row r="6427">
      <c r="A6427" s="1" t="s">
        <v>4869</v>
      </c>
      <c r="B6427" s="3" t="str">
        <f t="shared" si="1"/>
        <v>Unavailable</v>
      </c>
      <c r="C6427" s="3">
        <v>317.0</v>
      </c>
      <c r="D6427" s="3">
        <f>IFERROR(__xludf.DUMMYFUNCTION("IFERROR(
IF(REGEXMATCH(LOWER(O6427),""k""),
VALUE(REGEXEXTRACT(O6427,""[0-9]+""))*1000,
VALUE(REGEXEXTRACT(O6427,""[0-9]+""))
),
0
)"),0.0)</f>
        <v>0</v>
      </c>
      <c r="E6427" s="1" t="s">
        <v>11</v>
      </c>
      <c r="F6427" s="1" t="s">
        <v>20</v>
      </c>
      <c r="G6427" s="4" t="b">
        <f t="shared" si="2"/>
        <v>1</v>
      </c>
      <c r="H6427" s="1" t="str">
        <f t="shared" si="3"/>
        <v>Currently Unavailable</v>
      </c>
      <c r="I6427" s="1" t="str">
        <f t="shared" si="4"/>
        <v>No Badges</v>
      </c>
      <c r="J6427" s="3">
        <f t="shared" si="5"/>
        <v>0</v>
      </c>
    </row>
    <row r="6428">
      <c r="A6428" s="1" t="s">
        <v>4870</v>
      </c>
      <c r="B6428" s="3" t="str">
        <f t="shared" si="1"/>
        <v>Unavailable</v>
      </c>
      <c r="C6428" s="3">
        <v>690.0</v>
      </c>
      <c r="D6428" s="3">
        <f>IFERROR(__xludf.DUMMYFUNCTION("IFERROR(
IF(REGEXMATCH(LOWER(O6428),""k""),
VALUE(REGEXEXTRACT(O6428,""[0-9]+""))*1000,
VALUE(REGEXEXTRACT(O6428,""[0-9]+""))
),
0
)"),0.0)</f>
        <v>0</v>
      </c>
      <c r="E6428" s="1" t="s">
        <v>11</v>
      </c>
      <c r="F6428" s="1" t="s">
        <v>20</v>
      </c>
      <c r="G6428" s="4" t="b">
        <f t="shared" si="2"/>
        <v>1</v>
      </c>
      <c r="H6428" s="1" t="str">
        <f t="shared" si="3"/>
        <v>Currently Unavailable</v>
      </c>
      <c r="I6428" s="1" t="str">
        <f t="shared" si="4"/>
        <v>No Badges</v>
      </c>
      <c r="J6428" s="3">
        <f t="shared" si="5"/>
        <v>0</v>
      </c>
    </row>
    <row r="6429">
      <c r="A6429" s="1" t="s">
        <v>4871</v>
      </c>
      <c r="B6429" s="3" t="str">
        <f t="shared" si="1"/>
        <v>Unavailable</v>
      </c>
      <c r="C6429" s="5">
        <v>2911.0</v>
      </c>
      <c r="D6429" s="3">
        <f>IFERROR(__xludf.DUMMYFUNCTION("IFERROR(
IF(REGEXMATCH(LOWER(O6429),""k""),
VALUE(REGEXEXTRACT(O6429,""[0-9]+""))*1000,
VALUE(REGEXEXTRACT(O6429,""[0-9]+""))
),
0
)"),0.0)</f>
        <v>0</v>
      </c>
      <c r="E6429" s="1" t="s">
        <v>11</v>
      </c>
      <c r="F6429" s="1" t="s">
        <v>20</v>
      </c>
      <c r="G6429" s="4" t="b">
        <f t="shared" si="2"/>
        <v>1</v>
      </c>
      <c r="H6429" s="1" t="str">
        <f t="shared" si="3"/>
        <v>Currently Unavailable</v>
      </c>
      <c r="I6429" s="1" t="str">
        <f t="shared" si="4"/>
        <v>No Badges</v>
      </c>
      <c r="J6429" s="3">
        <f t="shared" si="5"/>
        <v>0</v>
      </c>
    </row>
    <row r="6430">
      <c r="A6430" s="1" t="s">
        <v>4872</v>
      </c>
      <c r="B6430" s="3" t="str">
        <f t="shared" si="1"/>
        <v>Unavailable</v>
      </c>
      <c r="C6430" s="3">
        <v>95.0</v>
      </c>
      <c r="D6430" s="3">
        <f>IFERROR(__xludf.DUMMYFUNCTION("IFERROR(
IF(REGEXMATCH(LOWER(O6430),""k""),
VALUE(REGEXEXTRACT(O6430,""[0-9]+""))*1000,
VALUE(REGEXEXTRACT(O6430,""[0-9]+""))
),
0
)"),0.0)</f>
        <v>0</v>
      </c>
      <c r="E6430" s="1" t="s">
        <v>11</v>
      </c>
      <c r="F6430" s="1" t="s">
        <v>20</v>
      </c>
      <c r="G6430" s="4" t="b">
        <f t="shared" si="2"/>
        <v>1</v>
      </c>
      <c r="H6430" s="1" t="str">
        <f t="shared" si="3"/>
        <v>Currently Unavailable</v>
      </c>
      <c r="I6430" s="1" t="str">
        <f t="shared" si="4"/>
        <v>No Badges</v>
      </c>
      <c r="J6430" s="3">
        <f t="shared" si="5"/>
        <v>0</v>
      </c>
    </row>
    <row r="6431">
      <c r="A6431" s="1" t="s">
        <v>4873</v>
      </c>
      <c r="B6431" s="3" t="str">
        <f t="shared" si="1"/>
        <v>Unavailable</v>
      </c>
      <c r="C6431" s="5">
        <v>22416.0</v>
      </c>
      <c r="D6431" s="3">
        <f>IFERROR(__xludf.DUMMYFUNCTION("IFERROR(
IF(REGEXMATCH(LOWER(O6431),""k""),
VALUE(REGEXEXTRACT(O6431,""[0-9]+""))*1000,
VALUE(REGEXEXTRACT(O6431,""[0-9]+""))
),
0
)"),0.0)</f>
        <v>0</v>
      </c>
      <c r="E6431" s="1" t="s">
        <v>11</v>
      </c>
      <c r="F6431" s="1" t="s">
        <v>20</v>
      </c>
      <c r="G6431" s="4" t="b">
        <f t="shared" si="2"/>
        <v>1</v>
      </c>
      <c r="H6431" s="1" t="str">
        <f t="shared" si="3"/>
        <v>Currently Unavailable</v>
      </c>
      <c r="I6431" s="1" t="str">
        <f t="shared" si="4"/>
        <v>No Badges</v>
      </c>
      <c r="J6431" s="3">
        <f t="shared" si="5"/>
        <v>0</v>
      </c>
    </row>
    <row r="6432">
      <c r="A6432" s="1" t="s">
        <v>4874</v>
      </c>
      <c r="B6432" s="3" t="str">
        <f t="shared" si="1"/>
        <v>Unavailable</v>
      </c>
      <c r="C6432" s="3">
        <v>212.0</v>
      </c>
      <c r="D6432" s="3">
        <f>IFERROR(__xludf.DUMMYFUNCTION("IFERROR(
IF(REGEXMATCH(LOWER(O6432),""k""),
VALUE(REGEXEXTRACT(O6432,""[0-9]+""))*1000,
VALUE(REGEXEXTRACT(O6432,""[0-9]+""))
),
0
)"),0.0)</f>
        <v>0</v>
      </c>
      <c r="E6432" s="1" t="s">
        <v>11</v>
      </c>
      <c r="F6432" s="1" t="s">
        <v>20</v>
      </c>
      <c r="G6432" s="4" t="b">
        <f t="shared" si="2"/>
        <v>1</v>
      </c>
      <c r="H6432" s="1" t="str">
        <f t="shared" si="3"/>
        <v>Currently Unavailable</v>
      </c>
      <c r="I6432" s="1" t="str">
        <f t="shared" si="4"/>
        <v>No Badges</v>
      </c>
      <c r="J6432" s="3">
        <f t="shared" si="5"/>
        <v>0</v>
      </c>
    </row>
    <row r="6433">
      <c r="A6433" s="1" t="s">
        <v>4875</v>
      </c>
      <c r="B6433" s="3" t="str">
        <f t="shared" si="1"/>
        <v>Unavailable</v>
      </c>
      <c r="C6433" s="5">
        <v>1734.0</v>
      </c>
      <c r="D6433" s="3">
        <f>IFERROR(__xludf.DUMMYFUNCTION("IFERROR(
IF(REGEXMATCH(LOWER(O6433),""k""),
VALUE(REGEXEXTRACT(O6433,""[0-9]+""))*1000,
VALUE(REGEXEXTRACT(O6433,""[0-9]+""))
),
0
)"),0.0)</f>
        <v>0</v>
      </c>
      <c r="E6433" s="1" t="s">
        <v>11</v>
      </c>
      <c r="F6433" s="1" t="s">
        <v>20</v>
      </c>
      <c r="G6433" s="4" t="b">
        <f t="shared" si="2"/>
        <v>1</v>
      </c>
      <c r="H6433" s="1" t="str">
        <f t="shared" si="3"/>
        <v>Currently Unavailable</v>
      </c>
      <c r="I6433" s="1" t="str">
        <f t="shared" si="4"/>
        <v>No Badges</v>
      </c>
      <c r="J6433" s="3">
        <f t="shared" si="5"/>
        <v>0</v>
      </c>
    </row>
    <row r="6434">
      <c r="A6434" s="1" t="s">
        <v>4876</v>
      </c>
      <c r="B6434" s="3" t="str">
        <f t="shared" si="1"/>
        <v>Unavailable</v>
      </c>
      <c r="C6434" s="3">
        <v>227.0</v>
      </c>
      <c r="D6434" s="3">
        <f>IFERROR(__xludf.DUMMYFUNCTION("IFERROR(
IF(REGEXMATCH(LOWER(O6434),""k""),
VALUE(REGEXEXTRACT(O6434,""[0-9]+""))*1000,
VALUE(REGEXEXTRACT(O6434,""[0-9]+""))
),
0
)"),0.0)</f>
        <v>0</v>
      </c>
      <c r="E6434" s="1" t="s">
        <v>11</v>
      </c>
      <c r="F6434" s="1" t="s">
        <v>20</v>
      </c>
      <c r="G6434" s="4" t="b">
        <f t="shared" si="2"/>
        <v>1</v>
      </c>
      <c r="H6434" s="1" t="str">
        <f t="shared" si="3"/>
        <v>Currently Unavailable</v>
      </c>
      <c r="I6434" s="1" t="str">
        <f t="shared" si="4"/>
        <v>No Badges</v>
      </c>
      <c r="J6434" s="3">
        <f t="shared" si="5"/>
        <v>0</v>
      </c>
    </row>
    <row r="6435">
      <c r="A6435" s="1" t="s">
        <v>4877</v>
      </c>
      <c r="B6435" s="3" t="str">
        <f t="shared" si="1"/>
        <v>Unavailable</v>
      </c>
      <c r="C6435" s="5">
        <v>2260.0</v>
      </c>
      <c r="D6435" s="3">
        <f>IFERROR(__xludf.DUMMYFUNCTION("IFERROR(
IF(REGEXMATCH(LOWER(O6435),""k""),
VALUE(REGEXEXTRACT(O6435,""[0-9]+""))*1000,
VALUE(REGEXEXTRACT(O6435,""[0-9]+""))
),
0
)"),0.0)</f>
        <v>0</v>
      </c>
      <c r="E6435" s="1" t="s">
        <v>11</v>
      </c>
      <c r="F6435" s="1" t="s">
        <v>20</v>
      </c>
      <c r="G6435" s="4" t="b">
        <f t="shared" si="2"/>
        <v>1</v>
      </c>
      <c r="H6435" s="1" t="str">
        <f t="shared" si="3"/>
        <v>Currently Unavailable</v>
      </c>
      <c r="I6435" s="1" t="str">
        <f t="shared" si="4"/>
        <v>No Badges</v>
      </c>
      <c r="J6435" s="3">
        <f t="shared" si="5"/>
        <v>0</v>
      </c>
    </row>
    <row r="6436">
      <c r="A6436" s="1" t="s">
        <v>4878</v>
      </c>
      <c r="B6436" s="3" t="str">
        <f t="shared" si="1"/>
        <v>Unavailable</v>
      </c>
      <c r="C6436" s="3">
        <v>465.0</v>
      </c>
      <c r="D6436" s="3">
        <f>IFERROR(__xludf.DUMMYFUNCTION("IFERROR(
IF(REGEXMATCH(LOWER(O6436),""k""),
VALUE(REGEXEXTRACT(O6436,""[0-9]+""))*1000,
VALUE(REGEXEXTRACT(O6436,""[0-9]+""))
),
0
)"),0.0)</f>
        <v>0</v>
      </c>
      <c r="E6436" s="1" t="s">
        <v>11</v>
      </c>
      <c r="F6436" s="1" t="s">
        <v>20</v>
      </c>
      <c r="G6436" s="4" t="b">
        <f t="shared" si="2"/>
        <v>1</v>
      </c>
      <c r="H6436" s="1" t="str">
        <f t="shared" si="3"/>
        <v>Currently Unavailable</v>
      </c>
      <c r="I6436" s="1" t="str">
        <f t="shared" si="4"/>
        <v>No Badges</v>
      </c>
      <c r="J6436" s="3">
        <f t="shared" si="5"/>
        <v>0</v>
      </c>
    </row>
    <row r="6437">
      <c r="A6437" s="1" t="s">
        <v>4879</v>
      </c>
      <c r="B6437" s="3" t="str">
        <f t="shared" si="1"/>
        <v>Unavailable</v>
      </c>
      <c r="C6437" s="3">
        <v>118.0</v>
      </c>
      <c r="D6437" s="3">
        <f>IFERROR(__xludf.DUMMYFUNCTION("IFERROR(
IF(REGEXMATCH(LOWER(O6437),""k""),
VALUE(REGEXEXTRACT(O6437,""[0-9]+""))*1000,
VALUE(REGEXEXTRACT(O6437,""[0-9]+""))
),
0
)"),0.0)</f>
        <v>0</v>
      </c>
      <c r="E6437" s="1" t="s">
        <v>11</v>
      </c>
      <c r="F6437" s="1" t="s">
        <v>20</v>
      </c>
      <c r="G6437" s="4" t="b">
        <f t="shared" si="2"/>
        <v>1</v>
      </c>
      <c r="H6437" s="1" t="str">
        <f t="shared" si="3"/>
        <v>Currently Unavailable</v>
      </c>
      <c r="I6437" s="1" t="str">
        <f t="shared" si="4"/>
        <v>No Badges</v>
      </c>
      <c r="J6437" s="3">
        <f t="shared" si="5"/>
        <v>0</v>
      </c>
    </row>
    <row r="6438">
      <c r="A6438" s="1" t="s">
        <v>701</v>
      </c>
      <c r="B6438" s="3" t="str">
        <f t="shared" si="1"/>
        <v>Unavailable</v>
      </c>
      <c r="C6438" s="3">
        <v>8.0</v>
      </c>
      <c r="D6438" s="3">
        <f>IFERROR(__xludf.DUMMYFUNCTION("IFERROR(
IF(REGEXMATCH(LOWER(O6438),""k""),
VALUE(REGEXEXTRACT(O6438,""[0-9]+""))*1000,
VALUE(REGEXEXTRACT(O6438,""[0-9]+""))
),
0
)"),0.0)</f>
        <v>0</v>
      </c>
      <c r="E6438" s="1" t="s">
        <v>11</v>
      </c>
      <c r="F6438" s="1" t="s">
        <v>12</v>
      </c>
      <c r="G6438" s="4" t="b">
        <f t="shared" si="2"/>
        <v>1</v>
      </c>
      <c r="H6438" s="1" t="str">
        <f t="shared" si="3"/>
        <v>Currently Unavailable</v>
      </c>
      <c r="I6438" s="1" t="str">
        <f t="shared" si="4"/>
        <v>No Badges</v>
      </c>
      <c r="J6438" s="3">
        <f t="shared" si="5"/>
        <v>0</v>
      </c>
    </row>
    <row r="6439">
      <c r="A6439" s="1" t="s">
        <v>67</v>
      </c>
      <c r="B6439" s="3" t="str">
        <f t="shared" si="1"/>
        <v>Unavailable</v>
      </c>
      <c r="C6439" s="3">
        <v>264.0</v>
      </c>
      <c r="D6439" s="3">
        <f>IFERROR(__xludf.DUMMYFUNCTION("IFERROR(
IF(REGEXMATCH(LOWER(O6439),""k""),
VALUE(REGEXEXTRACT(O6439,""[0-9]+""))*1000,
VALUE(REGEXEXTRACT(O6439,""[0-9]+""))
),
0
)"),0.0)</f>
        <v>0</v>
      </c>
      <c r="E6439" s="1" t="s">
        <v>11</v>
      </c>
      <c r="F6439" s="1" t="s">
        <v>12</v>
      </c>
      <c r="G6439" s="4" t="b">
        <f t="shared" si="2"/>
        <v>1</v>
      </c>
      <c r="H6439" s="1" t="str">
        <f t="shared" si="3"/>
        <v>Currently Unavailable</v>
      </c>
      <c r="I6439" s="1" t="str">
        <f t="shared" si="4"/>
        <v>No Badges</v>
      </c>
      <c r="J6439" s="3">
        <f t="shared" si="5"/>
        <v>0</v>
      </c>
    </row>
    <row r="6440">
      <c r="A6440" s="1" t="s">
        <v>4880</v>
      </c>
      <c r="B6440" s="3" t="str">
        <f t="shared" si="1"/>
        <v>Unavailable</v>
      </c>
      <c r="C6440" s="5">
        <v>9000.0</v>
      </c>
      <c r="D6440" s="3">
        <f>IFERROR(__xludf.DUMMYFUNCTION("IFERROR(
IF(REGEXMATCH(LOWER(O6440),""k""),
VALUE(REGEXEXTRACT(O6440,""[0-9]+""))*1000,
VALUE(REGEXEXTRACT(O6440,""[0-9]+""))
),
0
)"),0.0)</f>
        <v>0</v>
      </c>
      <c r="E6440" s="1" t="s">
        <v>11</v>
      </c>
      <c r="F6440" s="1" t="s">
        <v>20</v>
      </c>
      <c r="G6440" s="4" t="b">
        <f t="shared" si="2"/>
        <v>1</v>
      </c>
      <c r="H6440" s="1" t="str">
        <f t="shared" si="3"/>
        <v>Currently Unavailable</v>
      </c>
      <c r="I6440" s="1" t="str">
        <f t="shared" si="4"/>
        <v>No Badges</v>
      </c>
      <c r="J6440" s="3">
        <f t="shared" si="5"/>
        <v>0</v>
      </c>
    </row>
    <row r="6441">
      <c r="A6441" s="1" t="s">
        <v>4881</v>
      </c>
      <c r="B6441" s="3" t="str">
        <f t="shared" si="1"/>
        <v>Unavailable</v>
      </c>
      <c r="C6441" s="3">
        <v>9.0</v>
      </c>
      <c r="D6441" s="3">
        <f>IFERROR(__xludf.DUMMYFUNCTION("IFERROR(
IF(REGEXMATCH(LOWER(O6441),""k""),
VALUE(REGEXEXTRACT(O6441,""[0-9]+""))*1000,
VALUE(REGEXEXTRACT(O6441,""[0-9]+""))
),
0
)"),0.0)</f>
        <v>0</v>
      </c>
      <c r="E6441" s="1" t="s">
        <v>11</v>
      </c>
      <c r="F6441" s="1" t="s">
        <v>20</v>
      </c>
      <c r="G6441" s="4" t="b">
        <f t="shared" si="2"/>
        <v>1</v>
      </c>
      <c r="H6441" s="1" t="str">
        <f t="shared" si="3"/>
        <v>Currently Unavailable</v>
      </c>
      <c r="I6441" s="1" t="str">
        <f t="shared" si="4"/>
        <v>No Badges</v>
      </c>
      <c r="J6441" s="3">
        <f t="shared" si="5"/>
        <v>0</v>
      </c>
    </row>
    <row r="6442">
      <c r="A6442" s="1" t="s">
        <v>4882</v>
      </c>
      <c r="B6442" s="3" t="str">
        <f t="shared" si="1"/>
        <v>Unavailable</v>
      </c>
      <c r="C6442" s="3">
        <v>240.0</v>
      </c>
      <c r="D6442" s="3">
        <f>IFERROR(__xludf.DUMMYFUNCTION("IFERROR(
IF(REGEXMATCH(LOWER(O6442),""k""),
VALUE(REGEXEXTRACT(O6442,""[0-9]+""))*1000,
VALUE(REGEXEXTRACT(O6442,""[0-9]+""))
),
0
)"),0.0)</f>
        <v>0</v>
      </c>
      <c r="E6442" s="1" t="s">
        <v>11</v>
      </c>
      <c r="F6442" s="1" t="s">
        <v>20</v>
      </c>
      <c r="G6442" s="4" t="b">
        <f t="shared" si="2"/>
        <v>1</v>
      </c>
      <c r="H6442" s="1" t="str">
        <f t="shared" si="3"/>
        <v>Currently Unavailable</v>
      </c>
      <c r="I6442" s="1" t="str">
        <f t="shared" si="4"/>
        <v>No Badges</v>
      </c>
      <c r="J6442" s="3">
        <f t="shared" si="5"/>
        <v>0</v>
      </c>
    </row>
    <row r="6443">
      <c r="A6443" s="1" t="s">
        <v>4883</v>
      </c>
      <c r="B6443" s="3" t="str">
        <f t="shared" si="1"/>
        <v>Unavailable</v>
      </c>
      <c r="C6443" s="3">
        <v>687.0</v>
      </c>
      <c r="D6443" s="3">
        <f>IFERROR(__xludf.DUMMYFUNCTION("IFERROR(
IF(REGEXMATCH(LOWER(O6443),""k""),
VALUE(REGEXEXTRACT(O6443,""[0-9]+""))*1000,
VALUE(REGEXEXTRACT(O6443,""[0-9]+""))
),
0
)"),0.0)</f>
        <v>0</v>
      </c>
      <c r="E6443" s="1" t="s">
        <v>11</v>
      </c>
      <c r="F6443" s="1" t="s">
        <v>20</v>
      </c>
      <c r="G6443" s="4" t="b">
        <f t="shared" si="2"/>
        <v>1</v>
      </c>
      <c r="H6443" s="1" t="str">
        <f t="shared" si="3"/>
        <v>Currently Unavailable</v>
      </c>
      <c r="I6443" s="1" t="str">
        <f t="shared" si="4"/>
        <v>No Badges</v>
      </c>
      <c r="J6443" s="3">
        <f t="shared" si="5"/>
        <v>0</v>
      </c>
    </row>
    <row r="6444">
      <c r="A6444" s="1" t="s">
        <v>4884</v>
      </c>
      <c r="B6444" s="3" t="str">
        <f t="shared" si="1"/>
        <v>Unavailable</v>
      </c>
      <c r="C6444" s="5">
        <v>2188.0</v>
      </c>
      <c r="D6444" s="3">
        <f>IFERROR(__xludf.DUMMYFUNCTION("IFERROR(
IF(REGEXMATCH(LOWER(O6444),""k""),
VALUE(REGEXEXTRACT(O6444,""[0-9]+""))*1000,
VALUE(REGEXEXTRACT(O6444,""[0-9]+""))
),
0
)"),0.0)</f>
        <v>0</v>
      </c>
      <c r="E6444" s="1" t="s">
        <v>11</v>
      </c>
      <c r="F6444" s="1" t="s">
        <v>20</v>
      </c>
      <c r="G6444" s="4" t="b">
        <f t="shared" si="2"/>
        <v>1</v>
      </c>
      <c r="H6444" s="1" t="str">
        <f t="shared" si="3"/>
        <v>Currently Unavailable</v>
      </c>
      <c r="I6444" s="1" t="str">
        <f t="shared" si="4"/>
        <v>No Badges</v>
      </c>
      <c r="J6444" s="3">
        <f t="shared" si="5"/>
        <v>0</v>
      </c>
    </row>
    <row r="6445">
      <c r="A6445" s="1" t="s">
        <v>4885</v>
      </c>
      <c r="B6445" s="3" t="str">
        <f t="shared" si="1"/>
        <v>Unavailable</v>
      </c>
      <c r="C6445" s="5">
        <v>3244.0</v>
      </c>
      <c r="D6445" s="3">
        <f>IFERROR(__xludf.DUMMYFUNCTION("IFERROR(
IF(REGEXMATCH(LOWER(O6445),""k""),
VALUE(REGEXEXTRACT(O6445,""[0-9]+""))*1000,
VALUE(REGEXEXTRACT(O6445,""[0-9]+""))
),
0
)"),0.0)</f>
        <v>0</v>
      </c>
      <c r="E6445" s="1" t="s">
        <v>11</v>
      </c>
      <c r="F6445" s="1" t="s">
        <v>20</v>
      </c>
      <c r="G6445" s="4" t="b">
        <f t="shared" si="2"/>
        <v>1</v>
      </c>
      <c r="H6445" s="1" t="str">
        <f t="shared" si="3"/>
        <v>Currently Unavailable</v>
      </c>
      <c r="I6445" s="1" t="str">
        <f t="shared" si="4"/>
        <v>No Badges</v>
      </c>
      <c r="J6445" s="3">
        <f t="shared" si="5"/>
        <v>0</v>
      </c>
    </row>
    <row r="6446">
      <c r="A6446" s="1" t="s">
        <v>4886</v>
      </c>
      <c r="B6446" s="3" t="str">
        <f t="shared" si="1"/>
        <v>Unavailable</v>
      </c>
      <c r="C6446" s="3">
        <v>692.0</v>
      </c>
      <c r="D6446" s="3">
        <f>IFERROR(__xludf.DUMMYFUNCTION("IFERROR(
IF(REGEXMATCH(LOWER(O6446),""k""),
VALUE(REGEXEXTRACT(O6446,""[0-9]+""))*1000,
VALUE(REGEXEXTRACT(O6446,""[0-9]+""))
),
0
)"),0.0)</f>
        <v>0</v>
      </c>
      <c r="E6446" s="1" t="s">
        <v>11</v>
      </c>
      <c r="F6446" s="1" t="s">
        <v>20</v>
      </c>
      <c r="G6446" s="4" t="b">
        <f t="shared" si="2"/>
        <v>1</v>
      </c>
      <c r="H6446" s="1" t="str">
        <f t="shared" si="3"/>
        <v>Currently Unavailable</v>
      </c>
      <c r="I6446" s="1" t="str">
        <f t="shared" si="4"/>
        <v>No Badges</v>
      </c>
      <c r="J6446" s="3">
        <f t="shared" si="5"/>
        <v>0</v>
      </c>
    </row>
    <row r="6447">
      <c r="A6447" s="1" t="s">
        <v>4887</v>
      </c>
      <c r="B6447" s="3" t="str">
        <f t="shared" si="1"/>
        <v>Unavailable</v>
      </c>
      <c r="C6447" s="3">
        <v>405.0</v>
      </c>
      <c r="D6447" s="3">
        <f>IFERROR(__xludf.DUMMYFUNCTION("IFERROR(
IF(REGEXMATCH(LOWER(O6447),""k""),
VALUE(REGEXEXTRACT(O6447,""[0-9]+""))*1000,
VALUE(REGEXEXTRACT(O6447,""[0-9]+""))
),
0
)"),0.0)</f>
        <v>0</v>
      </c>
      <c r="E6447" s="1" t="s">
        <v>11</v>
      </c>
      <c r="F6447" s="1" t="s">
        <v>20</v>
      </c>
      <c r="G6447" s="4" t="b">
        <f t="shared" si="2"/>
        <v>1</v>
      </c>
      <c r="H6447" s="1" t="str">
        <f t="shared" si="3"/>
        <v>Currently Unavailable</v>
      </c>
      <c r="I6447" s="1" t="str">
        <f t="shared" si="4"/>
        <v>No Badges</v>
      </c>
      <c r="J6447" s="3">
        <f t="shared" si="5"/>
        <v>0</v>
      </c>
    </row>
    <row r="6448">
      <c r="A6448" s="1" t="s">
        <v>4888</v>
      </c>
      <c r="B6448" s="3" t="str">
        <f t="shared" si="1"/>
        <v>Unavailable</v>
      </c>
      <c r="C6448" s="3">
        <v>145.0</v>
      </c>
      <c r="D6448" s="3">
        <f>IFERROR(__xludf.DUMMYFUNCTION("IFERROR(
IF(REGEXMATCH(LOWER(O6448),""k""),
VALUE(REGEXEXTRACT(O6448,""[0-9]+""))*1000,
VALUE(REGEXEXTRACT(O6448,""[0-9]+""))
),
0
)"),0.0)</f>
        <v>0</v>
      </c>
      <c r="E6448" s="1" t="s">
        <v>11</v>
      </c>
      <c r="F6448" s="1" t="s">
        <v>20</v>
      </c>
      <c r="G6448" s="4" t="b">
        <f t="shared" si="2"/>
        <v>1</v>
      </c>
      <c r="H6448" s="1" t="str">
        <f t="shared" si="3"/>
        <v>Currently Unavailable</v>
      </c>
      <c r="I6448" s="1" t="str">
        <f t="shared" si="4"/>
        <v>No Badges</v>
      </c>
      <c r="J6448" s="3">
        <f t="shared" si="5"/>
        <v>0</v>
      </c>
    </row>
    <row r="6449">
      <c r="A6449" s="1" t="s">
        <v>4889</v>
      </c>
      <c r="B6449" s="3" t="str">
        <f t="shared" si="1"/>
        <v>Unavailable</v>
      </c>
      <c r="C6449" s="3">
        <v>142.0</v>
      </c>
      <c r="D6449" s="3">
        <f>IFERROR(__xludf.DUMMYFUNCTION("IFERROR(
IF(REGEXMATCH(LOWER(O6449),""k""),
VALUE(REGEXEXTRACT(O6449,""[0-9]+""))*1000,
VALUE(REGEXEXTRACT(O6449,""[0-9]+""))
),
0
)"),0.0)</f>
        <v>0</v>
      </c>
      <c r="E6449" s="1" t="s">
        <v>11</v>
      </c>
      <c r="F6449" s="1" t="s">
        <v>20</v>
      </c>
      <c r="G6449" s="4" t="b">
        <f t="shared" si="2"/>
        <v>1</v>
      </c>
      <c r="H6449" s="1" t="str">
        <f t="shared" si="3"/>
        <v>Currently Unavailable</v>
      </c>
      <c r="I6449" s="1" t="str">
        <f t="shared" si="4"/>
        <v>No Badges</v>
      </c>
      <c r="J6449" s="3">
        <f t="shared" si="5"/>
        <v>0</v>
      </c>
    </row>
    <row r="6450">
      <c r="A6450" s="1" t="s">
        <v>4890</v>
      </c>
      <c r="B6450" s="3" t="str">
        <f t="shared" si="1"/>
        <v>Unavailable</v>
      </c>
      <c r="C6450" s="5">
        <v>1588.0</v>
      </c>
      <c r="D6450" s="3">
        <f>IFERROR(__xludf.DUMMYFUNCTION("IFERROR(
IF(REGEXMATCH(LOWER(O6450),""k""),
VALUE(REGEXEXTRACT(O6450,""[0-9]+""))*1000,
VALUE(REGEXEXTRACT(O6450,""[0-9]+""))
),
0
)"),0.0)</f>
        <v>0</v>
      </c>
      <c r="E6450" s="1" t="s">
        <v>11</v>
      </c>
      <c r="F6450" s="1" t="s">
        <v>20</v>
      </c>
      <c r="G6450" s="4" t="b">
        <f t="shared" si="2"/>
        <v>1</v>
      </c>
      <c r="H6450" s="1" t="str">
        <f t="shared" si="3"/>
        <v>Currently Unavailable</v>
      </c>
      <c r="I6450" s="1" t="str">
        <f t="shared" si="4"/>
        <v>No Badges</v>
      </c>
      <c r="J6450" s="3">
        <f t="shared" si="5"/>
        <v>0</v>
      </c>
    </row>
    <row r="6451">
      <c r="A6451" s="1" t="s">
        <v>4891</v>
      </c>
      <c r="B6451" s="3" t="str">
        <f t="shared" si="1"/>
        <v>Unavailable</v>
      </c>
      <c r="C6451" s="3">
        <v>346.0</v>
      </c>
      <c r="D6451" s="3">
        <f>IFERROR(__xludf.DUMMYFUNCTION("IFERROR(
IF(REGEXMATCH(LOWER(O6451),""k""),
VALUE(REGEXEXTRACT(O6451,""[0-9]+""))*1000,
VALUE(REGEXEXTRACT(O6451,""[0-9]+""))
),
0
)"),0.0)</f>
        <v>0</v>
      </c>
      <c r="E6451" s="1" t="s">
        <v>11</v>
      </c>
      <c r="F6451" s="1" t="s">
        <v>20</v>
      </c>
      <c r="G6451" s="4" t="b">
        <f t="shared" si="2"/>
        <v>1</v>
      </c>
      <c r="H6451" s="1" t="str">
        <f t="shared" si="3"/>
        <v>Currently Unavailable</v>
      </c>
      <c r="I6451" s="1" t="str">
        <f t="shared" si="4"/>
        <v>No Badges</v>
      </c>
      <c r="J6451" s="3">
        <f t="shared" si="5"/>
        <v>0</v>
      </c>
    </row>
    <row r="6452">
      <c r="A6452" s="1" t="s">
        <v>604</v>
      </c>
      <c r="B6452" s="3" t="str">
        <f t="shared" si="1"/>
        <v>Unavailable</v>
      </c>
      <c r="C6452" s="3">
        <v>30.0</v>
      </c>
      <c r="D6452" s="3">
        <f>IFERROR(__xludf.DUMMYFUNCTION("IFERROR(
IF(REGEXMATCH(LOWER(O6452),""k""),
VALUE(REGEXEXTRACT(O6452,""[0-9]+""))*1000,
VALUE(REGEXEXTRACT(O6452,""[0-9]+""))
),
0
)"),0.0)</f>
        <v>0</v>
      </c>
      <c r="E6452" s="1" t="s">
        <v>11</v>
      </c>
      <c r="F6452" s="1" t="s">
        <v>12</v>
      </c>
      <c r="G6452" s="4" t="b">
        <f t="shared" si="2"/>
        <v>1</v>
      </c>
      <c r="H6452" s="1" t="str">
        <f t="shared" si="3"/>
        <v>Currently Unavailable</v>
      </c>
      <c r="I6452" s="1" t="str">
        <f t="shared" si="4"/>
        <v>No Badges</v>
      </c>
      <c r="J6452" s="3">
        <f t="shared" si="5"/>
        <v>0</v>
      </c>
    </row>
    <row r="6453">
      <c r="A6453" s="1" t="s">
        <v>4892</v>
      </c>
      <c r="B6453" s="3" t="str">
        <f t="shared" si="1"/>
        <v>Unavailable</v>
      </c>
      <c r="C6453" s="3">
        <v>596.0</v>
      </c>
      <c r="D6453" s="3">
        <f>IFERROR(__xludf.DUMMYFUNCTION("IFERROR(
IF(REGEXMATCH(LOWER(O6453),""k""),
VALUE(REGEXEXTRACT(O6453,""[0-9]+""))*1000,
VALUE(REGEXEXTRACT(O6453,""[0-9]+""))
),
0
)"),0.0)</f>
        <v>0</v>
      </c>
      <c r="E6453" s="1" t="s">
        <v>11</v>
      </c>
      <c r="F6453" s="1" t="s">
        <v>20</v>
      </c>
      <c r="G6453" s="4" t="b">
        <f t="shared" si="2"/>
        <v>1</v>
      </c>
      <c r="H6453" s="1" t="str">
        <f t="shared" si="3"/>
        <v>Currently Unavailable</v>
      </c>
      <c r="I6453" s="1" t="str">
        <f t="shared" si="4"/>
        <v>No Badges</v>
      </c>
      <c r="J6453" s="3">
        <f t="shared" si="5"/>
        <v>0</v>
      </c>
    </row>
    <row r="6454">
      <c r="A6454" s="1" t="s">
        <v>4893</v>
      </c>
      <c r="B6454" s="3" t="str">
        <f t="shared" si="1"/>
        <v>Unavailable</v>
      </c>
      <c r="C6454" s="5">
        <v>12901.0</v>
      </c>
      <c r="D6454" s="3">
        <f>IFERROR(__xludf.DUMMYFUNCTION("IFERROR(
IF(REGEXMATCH(LOWER(O6454),""k""),
VALUE(REGEXEXTRACT(O6454,""[0-9]+""))*1000,
VALUE(REGEXEXTRACT(O6454,""[0-9]+""))
),
0
)"),0.0)</f>
        <v>0</v>
      </c>
      <c r="E6454" s="1" t="s">
        <v>11</v>
      </c>
      <c r="F6454" s="1" t="s">
        <v>20</v>
      </c>
      <c r="G6454" s="4" t="b">
        <f t="shared" si="2"/>
        <v>1</v>
      </c>
      <c r="H6454" s="1" t="str">
        <f t="shared" si="3"/>
        <v>Currently Unavailable</v>
      </c>
      <c r="I6454" s="1" t="str">
        <f t="shared" si="4"/>
        <v>No Badges</v>
      </c>
      <c r="J6454" s="3">
        <f t="shared" si="5"/>
        <v>0</v>
      </c>
    </row>
    <row r="6455">
      <c r="A6455" s="1" t="s">
        <v>4894</v>
      </c>
      <c r="B6455" s="3" t="str">
        <f t="shared" si="1"/>
        <v>Unavailable</v>
      </c>
      <c r="C6455" s="3">
        <v>139.0</v>
      </c>
      <c r="D6455" s="3">
        <f>IFERROR(__xludf.DUMMYFUNCTION("IFERROR(
IF(REGEXMATCH(LOWER(O6455),""k""),
VALUE(REGEXEXTRACT(O6455,""[0-9]+""))*1000,
VALUE(REGEXEXTRACT(O6455,""[0-9]+""))
),
0
)"),0.0)</f>
        <v>0</v>
      </c>
      <c r="E6455" s="1" t="s">
        <v>11</v>
      </c>
      <c r="F6455" s="1" t="s">
        <v>20</v>
      </c>
      <c r="G6455" s="4" t="b">
        <f t="shared" si="2"/>
        <v>1</v>
      </c>
      <c r="H6455" s="1" t="str">
        <f t="shared" si="3"/>
        <v>Currently Unavailable</v>
      </c>
      <c r="I6455" s="1" t="str">
        <f t="shared" si="4"/>
        <v>No Badges</v>
      </c>
      <c r="J6455" s="3">
        <f t="shared" si="5"/>
        <v>0</v>
      </c>
    </row>
    <row r="6456">
      <c r="A6456" s="1" t="s">
        <v>4895</v>
      </c>
      <c r="B6456" s="3" t="str">
        <f t="shared" si="1"/>
        <v>Unavailable</v>
      </c>
      <c r="C6456" s="3">
        <v>639.0</v>
      </c>
      <c r="D6456" s="3">
        <f>IFERROR(__xludf.DUMMYFUNCTION("IFERROR(
IF(REGEXMATCH(LOWER(O6456),""k""),
VALUE(REGEXEXTRACT(O6456,""[0-9]+""))*1000,
VALUE(REGEXEXTRACT(O6456,""[0-9]+""))
),
0
)"),0.0)</f>
        <v>0</v>
      </c>
      <c r="E6456" s="1" t="s">
        <v>11</v>
      </c>
      <c r="F6456" s="1" t="s">
        <v>20</v>
      </c>
      <c r="G6456" s="4" t="b">
        <f t="shared" si="2"/>
        <v>1</v>
      </c>
      <c r="H6456" s="1" t="str">
        <f t="shared" si="3"/>
        <v>Currently Unavailable</v>
      </c>
      <c r="I6456" s="1" t="str">
        <f t="shared" si="4"/>
        <v>No Badges</v>
      </c>
      <c r="J6456" s="3">
        <f t="shared" si="5"/>
        <v>0</v>
      </c>
    </row>
    <row r="6457">
      <c r="A6457" s="1" t="s">
        <v>69</v>
      </c>
      <c r="B6457" s="3" t="str">
        <f t="shared" si="1"/>
        <v>Unavailable</v>
      </c>
      <c r="C6457" s="3">
        <v>45.0</v>
      </c>
      <c r="D6457" s="3">
        <f>IFERROR(__xludf.DUMMYFUNCTION("IFERROR(
IF(REGEXMATCH(LOWER(O6457),""k""),
VALUE(REGEXEXTRACT(O6457,""[0-9]+""))*1000,
VALUE(REGEXEXTRACT(O6457,""[0-9]+""))
),
0
)"),0.0)</f>
        <v>0</v>
      </c>
      <c r="E6457" s="1" t="s">
        <v>11</v>
      </c>
      <c r="F6457" s="1" t="s">
        <v>12</v>
      </c>
      <c r="G6457" s="4" t="b">
        <f t="shared" si="2"/>
        <v>1</v>
      </c>
      <c r="H6457" s="1" t="str">
        <f t="shared" si="3"/>
        <v>Currently Unavailable</v>
      </c>
      <c r="I6457" s="1" t="str">
        <f t="shared" si="4"/>
        <v>No Badges</v>
      </c>
      <c r="J6457" s="3">
        <f t="shared" si="5"/>
        <v>0</v>
      </c>
    </row>
    <row r="6458">
      <c r="A6458" s="1" t="s">
        <v>4896</v>
      </c>
      <c r="B6458" s="3" t="str">
        <f t="shared" si="1"/>
        <v>Unavailable</v>
      </c>
      <c r="C6458" s="5">
        <v>2663.0</v>
      </c>
      <c r="D6458" s="3">
        <f>IFERROR(__xludf.DUMMYFUNCTION("IFERROR(
IF(REGEXMATCH(LOWER(O6458),""k""),
VALUE(REGEXEXTRACT(O6458,""[0-9]+""))*1000,
VALUE(REGEXEXTRACT(O6458,""[0-9]+""))
),
0
)"),0.0)</f>
        <v>0</v>
      </c>
      <c r="E6458" s="1" t="s">
        <v>11</v>
      </c>
      <c r="F6458" s="1" t="s">
        <v>20</v>
      </c>
      <c r="G6458" s="4" t="b">
        <f t="shared" si="2"/>
        <v>1</v>
      </c>
      <c r="H6458" s="1" t="str">
        <f t="shared" si="3"/>
        <v>Currently Unavailable</v>
      </c>
      <c r="I6458" s="1" t="str">
        <f t="shared" si="4"/>
        <v>No Badges</v>
      </c>
      <c r="J6458" s="3">
        <f t="shared" si="5"/>
        <v>0</v>
      </c>
    </row>
    <row r="6459">
      <c r="A6459" s="1" t="s">
        <v>4897</v>
      </c>
      <c r="B6459" s="3" t="str">
        <f t="shared" si="1"/>
        <v>Unavailable</v>
      </c>
      <c r="C6459" s="3">
        <v>196.0</v>
      </c>
      <c r="D6459" s="3">
        <f>IFERROR(__xludf.DUMMYFUNCTION("IFERROR(
IF(REGEXMATCH(LOWER(O6459),""k""),
VALUE(REGEXEXTRACT(O6459,""[0-9]+""))*1000,
VALUE(REGEXEXTRACT(O6459,""[0-9]+""))
),
0
)"),0.0)</f>
        <v>0</v>
      </c>
      <c r="E6459" s="1" t="s">
        <v>11</v>
      </c>
      <c r="F6459" s="1" t="s">
        <v>20</v>
      </c>
      <c r="G6459" s="4" t="b">
        <f t="shared" si="2"/>
        <v>1</v>
      </c>
      <c r="H6459" s="1" t="str">
        <f t="shared" si="3"/>
        <v>Currently Unavailable</v>
      </c>
      <c r="I6459" s="1" t="str">
        <f t="shared" si="4"/>
        <v>No Badges</v>
      </c>
      <c r="J6459" s="3">
        <f t="shared" si="5"/>
        <v>0</v>
      </c>
    </row>
    <row r="6460">
      <c r="A6460" s="1" t="s">
        <v>4898</v>
      </c>
      <c r="B6460" s="3" t="str">
        <f t="shared" si="1"/>
        <v>Unavailable</v>
      </c>
      <c r="C6460" s="3">
        <v>833.0</v>
      </c>
      <c r="D6460" s="3">
        <f>IFERROR(__xludf.DUMMYFUNCTION("IFERROR(
IF(REGEXMATCH(LOWER(O6460),""k""),
VALUE(REGEXEXTRACT(O6460,""[0-9]+""))*1000,
VALUE(REGEXEXTRACT(O6460,""[0-9]+""))
),
0
)"),0.0)</f>
        <v>0</v>
      </c>
      <c r="E6460" s="1" t="s">
        <v>11</v>
      </c>
      <c r="F6460" s="1" t="s">
        <v>20</v>
      </c>
      <c r="G6460" s="4" t="b">
        <f t="shared" si="2"/>
        <v>1</v>
      </c>
      <c r="H6460" s="1" t="str">
        <f t="shared" si="3"/>
        <v>Currently Unavailable</v>
      </c>
      <c r="I6460" s="1" t="str">
        <f t="shared" si="4"/>
        <v>No Badges</v>
      </c>
      <c r="J6460" s="3">
        <f t="shared" si="5"/>
        <v>0</v>
      </c>
    </row>
    <row r="6461">
      <c r="A6461" s="1" t="s">
        <v>4899</v>
      </c>
      <c r="B6461" s="3" t="str">
        <f t="shared" si="1"/>
        <v>Unavailable</v>
      </c>
      <c r="C6461" s="5">
        <v>4476.0</v>
      </c>
      <c r="D6461" s="3">
        <f>IFERROR(__xludf.DUMMYFUNCTION("IFERROR(
IF(REGEXMATCH(LOWER(O6461),""k""),
VALUE(REGEXEXTRACT(O6461,""[0-9]+""))*1000,
VALUE(REGEXEXTRACT(O6461,""[0-9]+""))
),
0
)"),0.0)</f>
        <v>0</v>
      </c>
      <c r="E6461" s="1" t="s">
        <v>11</v>
      </c>
      <c r="F6461" s="1" t="s">
        <v>20</v>
      </c>
      <c r="G6461" s="4" t="b">
        <f t="shared" si="2"/>
        <v>1</v>
      </c>
      <c r="H6461" s="1" t="str">
        <f t="shared" si="3"/>
        <v>Currently Unavailable</v>
      </c>
      <c r="I6461" s="1" t="str">
        <f t="shared" si="4"/>
        <v>No Badges</v>
      </c>
      <c r="J6461" s="3">
        <f t="shared" si="5"/>
        <v>0</v>
      </c>
    </row>
    <row r="6462">
      <c r="A6462" s="1" t="s">
        <v>4900</v>
      </c>
      <c r="B6462" s="3" t="str">
        <f t="shared" si="1"/>
        <v>Unavailable</v>
      </c>
      <c r="C6462" s="3">
        <v>255.0</v>
      </c>
      <c r="D6462" s="3">
        <f>IFERROR(__xludf.DUMMYFUNCTION("IFERROR(
IF(REGEXMATCH(LOWER(O6462),""k""),
VALUE(REGEXEXTRACT(O6462,""[0-9]+""))*1000,
VALUE(REGEXEXTRACT(O6462,""[0-9]+""))
),
0
)"),0.0)</f>
        <v>0</v>
      </c>
      <c r="E6462" s="1" t="s">
        <v>11</v>
      </c>
      <c r="F6462" s="1" t="s">
        <v>20</v>
      </c>
      <c r="G6462" s="4" t="b">
        <f t="shared" si="2"/>
        <v>1</v>
      </c>
      <c r="H6462" s="1" t="str">
        <f t="shared" si="3"/>
        <v>Currently Unavailable</v>
      </c>
      <c r="I6462" s="1" t="str">
        <f t="shared" si="4"/>
        <v>No Badges</v>
      </c>
      <c r="J6462" s="3">
        <f t="shared" si="5"/>
        <v>0</v>
      </c>
    </row>
    <row r="6463">
      <c r="A6463" s="1" t="s">
        <v>4901</v>
      </c>
      <c r="B6463" s="3" t="str">
        <f t="shared" si="1"/>
        <v>Unavailable</v>
      </c>
      <c r="C6463" s="3">
        <v>353.0</v>
      </c>
      <c r="D6463" s="3">
        <f>IFERROR(__xludf.DUMMYFUNCTION("IFERROR(
IF(REGEXMATCH(LOWER(O6463),""k""),
VALUE(REGEXEXTRACT(O6463,""[0-9]+""))*1000,
VALUE(REGEXEXTRACT(O6463,""[0-9]+""))
),
0
)"),0.0)</f>
        <v>0</v>
      </c>
      <c r="E6463" s="1" t="s">
        <v>18</v>
      </c>
      <c r="F6463" s="1" t="s">
        <v>20</v>
      </c>
      <c r="G6463" s="4" t="b">
        <f t="shared" si="2"/>
        <v>1</v>
      </c>
      <c r="H6463" s="1" t="str">
        <f t="shared" si="3"/>
        <v>Currently Unavailable</v>
      </c>
      <c r="I6463" s="1" t="str">
        <f t="shared" si="4"/>
        <v>No Badges</v>
      </c>
      <c r="J6463" s="3">
        <f t="shared" si="5"/>
        <v>0</v>
      </c>
    </row>
    <row r="6464">
      <c r="A6464" s="1" t="s">
        <v>4902</v>
      </c>
      <c r="B6464" s="3" t="str">
        <f t="shared" si="1"/>
        <v>Unavailable</v>
      </c>
      <c r="C6464" s="3">
        <v>593.0</v>
      </c>
      <c r="D6464" s="3">
        <f>IFERROR(__xludf.DUMMYFUNCTION("IFERROR(
IF(REGEXMATCH(LOWER(O6464),""k""),
VALUE(REGEXEXTRACT(O6464,""[0-9]+""))*1000,
VALUE(REGEXEXTRACT(O6464,""[0-9]+""))
),
0
)"),0.0)</f>
        <v>0</v>
      </c>
      <c r="E6464" s="1" t="s">
        <v>11</v>
      </c>
      <c r="F6464" s="1" t="s">
        <v>20</v>
      </c>
      <c r="G6464" s="4" t="b">
        <f t="shared" si="2"/>
        <v>1</v>
      </c>
      <c r="H6464" s="1" t="str">
        <f t="shared" si="3"/>
        <v>Currently Unavailable</v>
      </c>
      <c r="I6464" s="1" t="str">
        <f t="shared" si="4"/>
        <v>No Badges</v>
      </c>
      <c r="J6464" s="3">
        <f t="shared" si="5"/>
        <v>0</v>
      </c>
    </row>
    <row r="6465">
      <c r="A6465" s="1" t="s">
        <v>4903</v>
      </c>
      <c r="B6465" s="3" t="str">
        <f t="shared" si="1"/>
        <v>Unavailable</v>
      </c>
      <c r="C6465" s="3">
        <v>363.0</v>
      </c>
      <c r="D6465" s="3">
        <f>IFERROR(__xludf.DUMMYFUNCTION("IFERROR(
IF(REGEXMATCH(LOWER(O6465),""k""),
VALUE(REGEXEXTRACT(O6465,""[0-9]+""))*1000,
VALUE(REGEXEXTRACT(O6465,""[0-9]+""))
),
0
)"),0.0)</f>
        <v>0</v>
      </c>
      <c r="E6465" s="1" t="s">
        <v>11</v>
      </c>
      <c r="F6465" s="1" t="s">
        <v>20</v>
      </c>
      <c r="G6465" s="4" t="b">
        <f t="shared" si="2"/>
        <v>1</v>
      </c>
      <c r="H6465" s="1" t="str">
        <f t="shared" si="3"/>
        <v>Currently Unavailable</v>
      </c>
      <c r="I6465" s="1" t="str">
        <f t="shared" si="4"/>
        <v>No Badges</v>
      </c>
      <c r="J6465" s="3">
        <f t="shared" si="5"/>
        <v>0</v>
      </c>
    </row>
    <row r="6466">
      <c r="A6466" s="1" t="s">
        <v>4904</v>
      </c>
      <c r="B6466" s="3" t="str">
        <f t="shared" si="1"/>
        <v>Unavailable</v>
      </c>
      <c r="C6466" s="5">
        <v>2394.0</v>
      </c>
      <c r="D6466" s="3">
        <f>IFERROR(__xludf.DUMMYFUNCTION("IFERROR(
IF(REGEXMATCH(LOWER(O6466),""k""),
VALUE(REGEXEXTRACT(O6466,""[0-9]+""))*1000,
VALUE(REGEXEXTRACT(O6466,""[0-9]+""))
),
0
)"),0.0)</f>
        <v>0</v>
      </c>
      <c r="E6466" s="1" t="s">
        <v>11</v>
      </c>
      <c r="F6466" s="1" t="s">
        <v>20</v>
      </c>
      <c r="G6466" s="4" t="b">
        <f t="shared" si="2"/>
        <v>1</v>
      </c>
      <c r="H6466" s="1" t="str">
        <f t="shared" si="3"/>
        <v>Currently Unavailable</v>
      </c>
      <c r="I6466" s="1" t="str">
        <f t="shared" si="4"/>
        <v>No Badges</v>
      </c>
      <c r="J6466" s="3">
        <f t="shared" si="5"/>
        <v>0</v>
      </c>
    </row>
    <row r="6467">
      <c r="A6467" s="1" t="s">
        <v>4905</v>
      </c>
      <c r="B6467" s="3" t="str">
        <f t="shared" si="1"/>
        <v>Unavailable</v>
      </c>
      <c r="C6467" s="5">
        <v>2166.0</v>
      </c>
      <c r="D6467" s="3">
        <f>IFERROR(__xludf.DUMMYFUNCTION("IFERROR(
IF(REGEXMATCH(LOWER(O6467),""k""),
VALUE(REGEXEXTRACT(O6467,""[0-9]+""))*1000,
VALUE(REGEXEXTRACT(O6467,""[0-9]+""))
),
0
)"),0.0)</f>
        <v>0</v>
      </c>
      <c r="E6467" s="1" t="s">
        <v>11</v>
      </c>
      <c r="F6467" s="1" t="s">
        <v>20</v>
      </c>
      <c r="G6467" s="4" t="b">
        <f t="shared" si="2"/>
        <v>1</v>
      </c>
      <c r="H6467" s="1" t="str">
        <f t="shared" si="3"/>
        <v>Currently Unavailable</v>
      </c>
      <c r="I6467" s="1" t="str">
        <f t="shared" si="4"/>
        <v>No Badges</v>
      </c>
      <c r="J6467" s="3">
        <f t="shared" si="5"/>
        <v>0</v>
      </c>
    </row>
    <row r="6468">
      <c r="A6468" s="1" t="s">
        <v>4906</v>
      </c>
      <c r="B6468" s="3" t="str">
        <f t="shared" si="1"/>
        <v>Unavailable</v>
      </c>
      <c r="C6468" s="5">
        <v>1882.0</v>
      </c>
      <c r="D6468" s="3">
        <f>IFERROR(__xludf.DUMMYFUNCTION("IFERROR(
IF(REGEXMATCH(LOWER(O6468),""k""),
VALUE(REGEXEXTRACT(O6468,""[0-9]+""))*1000,
VALUE(REGEXEXTRACT(O6468,""[0-9]+""))
),
0
)"),0.0)</f>
        <v>0</v>
      </c>
      <c r="E6468" s="1" t="s">
        <v>11</v>
      </c>
      <c r="F6468" s="1" t="s">
        <v>20</v>
      </c>
      <c r="G6468" s="4" t="b">
        <f t="shared" si="2"/>
        <v>1</v>
      </c>
      <c r="H6468" s="1" t="str">
        <f t="shared" si="3"/>
        <v>Currently Unavailable</v>
      </c>
      <c r="I6468" s="1" t="str">
        <f t="shared" si="4"/>
        <v>No Badges</v>
      </c>
      <c r="J6468" s="3">
        <f t="shared" si="5"/>
        <v>0</v>
      </c>
    </row>
    <row r="6469">
      <c r="A6469" s="1" t="s">
        <v>4907</v>
      </c>
      <c r="B6469" s="3" t="str">
        <f t="shared" si="1"/>
        <v>Unavailable</v>
      </c>
      <c r="C6469" s="5">
        <v>3400.0</v>
      </c>
      <c r="D6469" s="3">
        <f>IFERROR(__xludf.DUMMYFUNCTION("IFERROR(
IF(REGEXMATCH(LOWER(O6469),""k""),
VALUE(REGEXEXTRACT(O6469,""[0-9]+""))*1000,
VALUE(REGEXEXTRACT(O6469,""[0-9]+""))
),
0
)"),0.0)</f>
        <v>0</v>
      </c>
      <c r="E6469" s="1" t="s">
        <v>11</v>
      </c>
      <c r="F6469" s="1" t="s">
        <v>20</v>
      </c>
      <c r="G6469" s="4" t="b">
        <f t="shared" si="2"/>
        <v>1</v>
      </c>
      <c r="H6469" s="1" t="str">
        <f t="shared" si="3"/>
        <v>Currently Unavailable</v>
      </c>
      <c r="I6469" s="1" t="str">
        <f t="shared" si="4"/>
        <v>No Badges</v>
      </c>
      <c r="J6469" s="3">
        <f t="shared" si="5"/>
        <v>0</v>
      </c>
    </row>
    <row r="6470">
      <c r="A6470" s="1" t="s">
        <v>67</v>
      </c>
      <c r="B6470" s="3" t="str">
        <f t="shared" si="1"/>
        <v>Unavailable</v>
      </c>
      <c r="C6470" s="3">
        <v>264.0</v>
      </c>
      <c r="D6470" s="3">
        <f>IFERROR(__xludf.DUMMYFUNCTION("IFERROR(
IF(REGEXMATCH(LOWER(O6470),""k""),
VALUE(REGEXEXTRACT(O6470,""[0-9]+""))*1000,
VALUE(REGEXEXTRACT(O6470,""[0-9]+""))
),
0
)"),0.0)</f>
        <v>0</v>
      </c>
      <c r="E6470" s="1" t="s">
        <v>11</v>
      </c>
      <c r="F6470" s="1" t="s">
        <v>12</v>
      </c>
      <c r="G6470" s="4" t="b">
        <f t="shared" si="2"/>
        <v>1</v>
      </c>
      <c r="H6470" s="1" t="str">
        <f t="shared" si="3"/>
        <v>Currently Unavailable</v>
      </c>
      <c r="I6470" s="1" t="str">
        <f t="shared" si="4"/>
        <v>No Badges</v>
      </c>
      <c r="J6470" s="3">
        <f t="shared" si="5"/>
        <v>0</v>
      </c>
    </row>
    <row r="6471">
      <c r="A6471" s="1" t="s">
        <v>4908</v>
      </c>
      <c r="B6471" s="3" t="str">
        <f t="shared" si="1"/>
        <v>Unavailable</v>
      </c>
      <c r="C6471" s="3">
        <v>921.0</v>
      </c>
      <c r="D6471" s="3">
        <f>IFERROR(__xludf.DUMMYFUNCTION("IFERROR(
IF(REGEXMATCH(LOWER(O6471),""k""),
VALUE(REGEXEXTRACT(O6471,""[0-9]+""))*1000,
VALUE(REGEXEXTRACT(O6471,""[0-9]+""))
),
0
)"),0.0)</f>
        <v>0</v>
      </c>
      <c r="E6471" s="1" t="s">
        <v>11</v>
      </c>
      <c r="F6471" s="1" t="s">
        <v>20</v>
      </c>
      <c r="G6471" s="4" t="b">
        <f t="shared" si="2"/>
        <v>1</v>
      </c>
      <c r="H6471" s="1" t="str">
        <f t="shared" si="3"/>
        <v>Currently Unavailable</v>
      </c>
      <c r="I6471" s="1" t="str">
        <f t="shared" si="4"/>
        <v>No Badges</v>
      </c>
      <c r="J6471" s="3">
        <f t="shared" si="5"/>
        <v>0</v>
      </c>
    </row>
    <row r="6472">
      <c r="A6472" s="1" t="s">
        <v>701</v>
      </c>
      <c r="B6472" s="3" t="str">
        <f t="shared" si="1"/>
        <v>Unavailable</v>
      </c>
      <c r="C6472" s="3">
        <v>8.0</v>
      </c>
      <c r="D6472" s="3">
        <f>IFERROR(__xludf.DUMMYFUNCTION("IFERROR(
IF(REGEXMATCH(LOWER(O6472),""k""),
VALUE(REGEXEXTRACT(O6472,""[0-9]+""))*1000,
VALUE(REGEXEXTRACT(O6472,""[0-9]+""))
),
0
)"),0.0)</f>
        <v>0</v>
      </c>
      <c r="E6472" s="1" t="s">
        <v>11</v>
      </c>
      <c r="F6472" s="1" t="s">
        <v>12</v>
      </c>
      <c r="G6472" s="4" t="b">
        <f t="shared" si="2"/>
        <v>1</v>
      </c>
      <c r="H6472" s="1" t="str">
        <f t="shared" si="3"/>
        <v>Currently Unavailable</v>
      </c>
      <c r="I6472" s="1" t="str">
        <f t="shared" si="4"/>
        <v>No Badges</v>
      </c>
      <c r="J6472" s="3">
        <f t="shared" si="5"/>
        <v>0</v>
      </c>
    </row>
    <row r="6473">
      <c r="A6473" s="1" t="s">
        <v>4909</v>
      </c>
      <c r="B6473" s="3" t="str">
        <f t="shared" si="1"/>
        <v>Unavailable</v>
      </c>
      <c r="C6473" s="5">
        <v>2744.0</v>
      </c>
      <c r="D6473" s="3">
        <f>IFERROR(__xludf.DUMMYFUNCTION("IFERROR(
IF(REGEXMATCH(LOWER(O6473),""k""),
VALUE(REGEXEXTRACT(O6473,""[0-9]+""))*1000,
VALUE(REGEXEXTRACT(O6473,""[0-9]+""))
),
0
)"),0.0)</f>
        <v>0</v>
      </c>
      <c r="E6473" s="1" t="s">
        <v>11</v>
      </c>
      <c r="F6473" s="1" t="s">
        <v>20</v>
      </c>
      <c r="G6473" s="4" t="b">
        <f t="shared" si="2"/>
        <v>1</v>
      </c>
      <c r="H6473" s="1" t="str">
        <f t="shared" si="3"/>
        <v>Currently Unavailable</v>
      </c>
      <c r="I6473" s="1" t="str">
        <f t="shared" si="4"/>
        <v>No Badges</v>
      </c>
      <c r="J6473" s="3">
        <f t="shared" si="5"/>
        <v>0</v>
      </c>
    </row>
    <row r="6474">
      <c r="A6474" s="1" t="s">
        <v>4910</v>
      </c>
      <c r="B6474" s="3" t="str">
        <f t="shared" si="1"/>
        <v>Unavailable</v>
      </c>
      <c r="C6474" s="3">
        <v>962.0</v>
      </c>
      <c r="D6474" s="3">
        <f>IFERROR(__xludf.DUMMYFUNCTION("IFERROR(
IF(REGEXMATCH(LOWER(O6474),""k""),
VALUE(REGEXEXTRACT(O6474,""[0-9]+""))*1000,
VALUE(REGEXEXTRACT(O6474,""[0-9]+""))
),
0
)"),0.0)</f>
        <v>0</v>
      </c>
      <c r="E6474" s="1" t="s">
        <v>11</v>
      </c>
      <c r="F6474" s="1" t="s">
        <v>20</v>
      </c>
      <c r="G6474" s="4" t="b">
        <f t="shared" si="2"/>
        <v>1</v>
      </c>
      <c r="H6474" s="1" t="str">
        <f t="shared" si="3"/>
        <v>Currently Unavailable</v>
      </c>
      <c r="I6474" s="1" t="str">
        <f t="shared" si="4"/>
        <v>No Badges</v>
      </c>
      <c r="J6474" s="3">
        <f t="shared" si="5"/>
        <v>0</v>
      </c>
    </row>
    <row r="6475">
      <c r="A6475" s="1" t="s">
        <v>4911</v>
      </c>
      <c r="B6475" s="3" t="str">
        <f t="shared" si="1"/>
        <v>Unavailable</v>
      </c>
      <c r="C6475" s="5">
        <v>1057.0</v>
      </c>
      <c r="D6475" s="3">
        <f>IFERROR(__xludf.DUMMYFUNCTION("IFERROR(
IF(REGEXMATCH(LOWER(O6475),""k""),
VALUE(REGEXEXTRACT(O6475,""[0-9]+""))*1000,
VALUE(REGEXEXTRACT(O6475,""[0-9]+""))
),
0
)"),0.0)</f>
        <v>0</v>
      </c>
      <c r="E6475" s="1" t="s">
        <v>11</v>
      </c>
      <c r="F6475" s="1" t="s">
        <v>20</v>
      </c>
      <c r="G6475" s="4" t="b">
        <f t="shared" si="2"/>
        <v>1</v>
      </c>
      <c r="H6475" s="1" t="str">
        <f t="shared" si="3"/>
        <v>Currently Unavailable</v>
      </c>
      <c r="I6475" s="1" t="str">
        <f t="shared" si="4"/>
        <v>No Badges</v>
      </c>
      <c r="J6475" s="3">
        <f t="shared" si="5"/>
        <v>0</v>
      </c>
    </row>
    <row r="6476">
      <c r="A6476" s="1" t="s">
        <v>4912</v>
      </c>
      <c r="B6476" s="3" t="str">
        <f t="shared" si="1"/>
        <v>Unavailable</v>
      </c>
      <c r="C6476" s="5">
        <v>54292.0</v>
      </c>
      <c r="D6476" s="3">
        <f>IFERROR(__xludf.DUMMYFUNCTION("IFERROR(
IF(REGEXMATCH(LOWER(O6476),""k""),
VALUE(REGEXEXTRACT(O6476,""[0-9]+""))*1000,
VALUE(REGEXEXTRACT(O6476,""[0-9]+""))
),
0
)"),0.0)</f>
        <v>0</v>
      </c>
      <c r="E6476" s="1" t="s">
        <v>11</v>
      </c>
      <c r="F6476" s="1" t="s">
        <v>20</v>
      </c>
      <c r="G6476" s="4" t="b">
        <f t="shared" si="2"/>
        <v>1</v>
      </c>
      <c r="H6476" s="1" t="str">
        <f t="shared" si="3"/>
        <v>Currently Unavailable</v>
      </c>
      <c r="I6476" s="1" t="str">
        <f t="shared" si="4"/>
        <v>No Badges</v>
      </c>
      <c r="J6476" s="3">
        <f t="shared" si="5"/>
        <v>0</v>
      </c>
    </row>
    <row r="6477">
      <c r="A6477" s="1" t="s">
        <v>4913</v>
      </c>
      <c r="B6477" s="3" t="str">
        <f t="shared" si="1"/>
        <v>Unavailable</v>
      </c>
      <c r="C6477" s="5">
        <v>1823.0</v>
      </c>
      <c r="D6477" s="3">
        <f>IFERROR(__xludf.DUMMYFUNCTION("IFERROR(
IF(REGEXMATCH(LOWER(O6477),""k""),
VALUE(REGEXEXTRACT(O6477,""[0-9]+""))*1000,
VALUE(REGEXEXTRACT(O6477,""[0-9]+""))
),
0
)"),0.0)</f>
        <v>0</v>
      </c>
      <c r="E6477" s="1" t="s">
        <v>11</v>
      </c>
      <c r="F6477" s="1" t="s">
        <v>20</v>
      </c>
      <c r="G6477" s="4" t="b">
        <f t="shared" si="2"/>
        <v>1</v>
      </c>
      <c r="H6477" s="1" t="str">
        <f t="shared" si="3"/>
        <v>Currently Unavailable</v>
      </c>
      <c r="I6477" s="1" t="str">
        <f t="shared" si="4"/>
        <v>No Badges</v>
      </c>
      <c r="J6477" s="3">
        <f t="shared" si="5"/>
        <v>0</v>
      </c>
    </row>
    <row r="6478">
      <c r="A6478" s="1" t="s">
        <v>4914</v>
      </c>
      <c r="B6478" s="3" t="str">
        <f t="shared" si="1"/>
        <v>Unavailable</v>
      </c>
      <c r="C6478" s="3">
        <v>209.0</v>
      </c>
      <c r="D6478" s="3">
        <f>IFERROR(__xludf.DUMMYFUNCTION("IFERROR(
IF(REGEXMATCH(LOWER(O6478),""k""),
VALUE(REGEXEXTRACT(O6478,""[0-9]+""))*1000,
VALUE(REGEXEXTRACT(O6478,""[0-9]+""))
),
0
)"),0.0)</f>
        <v>0</v>
      </c>
      <c r="E6478" s="1" t="s">
        <v>11</v>
      </c>
      <c r="F6478" s="1" t="s">
        <v>20</v>
      </c>
      <c r="G6478" s="4" t="b">
        <f t="shared" si="2"/>
        <v>1</v>
      </c>
      <c r="H6478" s="1" t="str">
        <f t="shared" si="3"/>
        <v>Currently Unavailable</v>
      </c>
      <c r="I6478" s="1" t="str">
        <f t="shared" si="4"/>
        <v>No Badges</v>
      </c>
      <c r="J6478" s="3">
        <f t="shared" si="5"/>
        <v>0</v>
      </c>
    </row>
    <row r="6479">
      <c r="A6479" s="1" t="s">
        <v>4915</v>
      </c>
      <c r="B6479" s="3" t="str">
        <f t="shared" si="1"/>
        <v>Unavailable</v>
      </c>
      <c r="C6479" s="5">
        <v>1110.0</v>
      </c>
      <c r="D6479" s="3">
        <f>IFERROR(__xludf.DUMMYFUNCTION("IFERROR(
IF(REGEXMATCH(LOWER(O6479),""k""),
VALUE(REGEXEXTRACT(O6479,""[0-9]+""))*1000,
VALUE(REGEXEXTRACT(O6479,""[0-9]+""))
),
0
)"),0.0)</f>
        <v>0</v>
      </c>
      <c r="E6479" s="1" t="s">
        <v>11</v>
      </c>
      <c r="F6479" s="1" t="s">
        <v>20</v>
      </c>
      <c r="G6479" s="4" t="b">
        <f t="shared" si="2"/>
        <v>1</v>
      </c>
      <c r="H6479" s="1" t="str">
        <f t="shared" si="3"/>
        <v>Currently Unavailable</v>
      </c>
      <c r="I6479" s="1" t="str">
        <f t="shared" si="4"/>
        <v>No Badges</v>
      </c>
      <c r="J6479" s="3">
        <f t="shared" si="5"/>
        <v>0</v>
      </c>
    </row>
    <row r="6480">
      <c r="A6480" s="1" t="s">
        <v>4916</v>
      </c>
      <c r="B6480" s="3" t="str">
        <f t="shared" si="1"/>
        <v>Unavailable</v>
      </c>
      <c r="C6480" s="5">
        <v>2479.0</v>
      </c>
      <c r="D6480" s="3">
        <f>IFERROR(__xludf.DUMMYFUNCTION("IFERROR(
IF(REGEXMATCH(LOWER(O6480),""k""),
VALUE(REGEXEXTRACT(O6480,""[0-9]+""))*1000,
VALUE(REGEXEXTRACT(O6480,""[0-9]+""))
),
0
)"),0.0)</f>
        <v>0</v>
      </c>
      <c r="E6480" s="1" t="s">
        <v>11</v>
      </c>
      <c r="F6480" s="1" t="s">
        <v>20</v>
      </c>
      <c r="G6480" s="4" t="b">
        <f t="shared" si="2"/>
        <v>1</v>
      </c>
      <c r="H6480" s="1" t="str">
        <f t="shared" si="3"/>
        <v>Currently Unavailable</v>
      </c>
      <c r="I6480" s="1" t="str">
        <f t="shared" si="4"/>
        <v>No Badges</v>
      </c>
      <c r="J6480" s="3">
        <f t="shared" si="5"/>
        <v>0</v>
      </c>
    </row>
    <row r="6481">
      <c r="A6481" s="1" t="s">
        <v>4687</v>
      </c>
      <c r="B6481" s="3" t="str">
        <f t="shared" si="1"/>
        <v>Unavailable</v>
      </c>
      <c r="C6481" s="3">
        <v>871.0</v>
      </c>
      <c r="D6481" s="3">
        <f>IFERROR(__xludf.DUMMYFUNCTION("IFERROR(
IF(REGEXMATCH(LOWER(O6481),""k""),
VALUE(REGEXEXTRACT(O6481,""[0-9]+""))*1000,
VALUE(REGEXEXTRACT(O6481,""[0-9]+""))
),
0
)"),0.0)</f>
        <v>0</v>
      </c>
      <c r="E6481" s="1" t="s">
        <v>11</v>
      </c>
      <c r="F6481" s="1" t="s">
        <v>20</v>
      </c>
      <c r="G6481" s="4" t="b">
        <f t="shared" si="2"/>
        <v>1</v>
      </c>
      <c r="H6481" s="1" t="str">
        <f t="shared" si="3"/>
        <v>Currently Unavailable</v>
      </c>
      <c r="I6481" s="1" t="str">
        <f t="shared" si="4"/>
        <v>No Badges</v>
      </c>
      <c r="J6481" s="3">
        <f t="shared" si="5"/>
        <v>0</v>
      </c>
    </row>
    <row r="6482">
      <c r="A6482" s="1" t="s">
        <v>4917</v>
      </c>
      <c r="B6482" s="3" t="str">
        <f t="shared" si="1"/>
        <v>Unavailable</v>
      </c>
      <c r="C6482" s="3">
        <v>14.0</v>
      </c>
      <c r="D6482" s="3">
        <f>IFERROR(__xludf.DUMMYFUNCTION("IFERROR(
IF(REGEXMATCH(LOWER(O6482),""k""),
VALUE(REGEXEXTRACT(O6482,""[0-9]+""))*1000,
VALUE(REGEXEXTRACT(O6482,""[0-9]+""))
),
0
)"),0.0)</f>
        <v>0</v>
      </c>
      <c r="E6482" s="1" t="s">
        <v>11</v>
      </c>
      <c r="F6482" s="1" t="s">
        <v>20</v>
      </c>
      <c r="G6482" s="4" t="b">
        <f t="shared" si="2"/>
        <v>1</v>
      </c>
      <c r="H6482" s="1" t="str">
        <f t="shared" si="3"/>
        <v>Currently Unavailable</v>
      </c>
      <c r="I6482" s="1" t="str">
        <f t="shared" si="4"/>
        <v>No Badges</v>
      </c>
      <c r="J6482" s="3">
        <f t="shared" si="5"/>
        <v>0</v>
      </c>
    </row>
    <row r="6483">
      <c r="A6483" s="1" t="s">
        <v>4918</v>
      </c>
      <c r="B6483" s="3" t="str">
        <f t="shared" si="1"/>
        <v>Unavailable</v>
      </c>
      <c r="C6483" s="3">
        <v>583.0</v>
      </c>
      <c r="D6483" s="3">
        <f>IFERROR(__xludf.DUMMYFUNCTION("IFERROR(
IF(REGEXMATCH(LOWER(O6483),""k""),
VALUE(REGEXEXTRACT(O6483,""[0-9]+""))*1000,
VALUE(REGEXEXTRACT(O6483,""[0-9]+""))
),
0
)"),0.0)</f>
        <v>0</v>
      </c>
      <c r="E6483" s="1" t="s">
        <v>11</v>
      </c>
      <c r="F6483" s="1" t="s">
        <v>20</v>
      </c>
      <c r="G6483" s="4" t="b">
        <f t="shared" si="2"/>
        <v>1</v>
      </c>
      <c r="H6483" s="1" t="str">
        <f t="shared" si="3"/>
        <v>Currently Unavailable</v>
      </c>
      <c r="I6483" s="1" t="str">
        <f t="shared" si="4"/>
        <v>No Badges</v>
      </c>
      <c r="J6483" s="3">
        <f t="shared" si="5"/>
        <v>0</v>
      </c>
    </row>
    <row r="6484">
      <c r="A6484" s="1" t="s">
        <v>4919</v>
      </c>
      <c r="B6484" s="3" t="str">
        <f t="shared" si="1"/>
        <v>Unavailable</v>
      </c>
      <c r="C6484" s="5">
        <v>1309.0</v>
      </c>
      <c r="D6484" s="3">
        <f>IFERROR(__xludf.DUMMYFUNCTION("IFERROR(
IF(REGEXMATCH(LOWER(O6484),""k""),
VALUE(REGEXEXTRACT(O6484,""[0-9]+""))*1000,
VALUE(REGEXEXTRACT(O6484,""[0-9]+""))
),
0
)"),0.0)</f>
        <v>0</v>
      </c>
      <c r="E6484" s="1" t="s">
        <v>11</v>
      </c>
      <c r="F6484" s="1" t="s">
        <v>20</v>
      </c>
      <c r="G6484" s="4" t="b">
        <f t="shared" si="2"/>
        <v>1</v>
      </c>
      <c r="H6484" s="1" t="str">
        <f t="shared" si="3"/>
        <v>Currently Unavailable</v>
      </c>
      <c r="I6484" s="1" t="str">
        <f t="shared" si="4"/>
        <v>No Badges</v>
      </c>
      <c r="J6484" s="3">
        <f t="shared" si="5"/>
        <v>0</v>
      </c>
    </row>
    <row r="6485">
      <c r="A6485" s="1" t="s">
        <v>4920</v>
      </c>
      <c r="B6485" s="3" t="str">
        <f t="shared" si="1"/>
        <v>Unavailable</v>
      </c>
      <c r="C6485" s="3">
        <v>232.0</v>
      </c>
      <c r="D6485" s="3">
        <f>IFERROR(__xludf.DUMMYFUNCTION("IFERROR(
IF(REGEXMATCH(LOWER(O6485),""k""),
VALUE(REGEXEXTRACT(O6485,""[0-9]+""))*1000,
VALUE(REGEXEXTRACT(O6485,""[0-9]+""))
),
0
)"),0.0)</f>
        <v>0</v>
      </c>
      <c r="E6485" s="1" t="s">
        <v>11</v>
      </c>
      <c r="F6485" s="1" t="s">
        <v>20</v>
      </c>
      <c r="G6485" s="4" t="b">
        <f t="shared" si="2"/>
        <v>1</v>
      </c>
      <c r="H6485" s="1" t="str">
        <f t="shared" si="3"/>
        <v>Currently Unavailable</v>
      </c>
      <c r="I6485" s="1" t="str">
        <f t="shared" si="4"/>
        <v>No Badges</v>
      </c>
      <c r="J6485" s="3">
        <f t="shared" si="5"/>
        <v>0</v>
      </c>
    </row>
    <row r="6486">
      <c r="A6486" s="1" t="s">
        <v>88</v>
      </c>
      <c r="B6486" s="3" t="str">
        <f t="shared" si="1"/>
        <v>Unavailable</v>
      </c>
      <c r="C6486" s="3">
        <v>5.0</v>
      </c>
      <c r="D6486" s="3">
        <f>IFERROR(__xludf.DUMMYFUNCTION("IFERROR(
IF(REGEXMATCH(LOWER(O6486),""k""),
VALUE(REGEXEXTRACT(O6486,""[0-9]+""))*1000,
VALUE(REGEXEXTRACT(O6486,""[0-9]+""))
),
0
)"),0.0)</f>
        <v>0</v>
      </c>
      <c r="E6486" s="1" t="s">
        <v>11</v>
      </c>
      <c r="F6486" s="1" t="s">
        <v>12</v>
      </c>
      <c r="G6486" s="4" t="b">
        <f t="shared" si="2"/>
        <v>1</v>
      </c>
      <c r="H6486" s="1" t="str">
        <f t="shared" si="3"/>
        <v>Currently Unavailable</v>
      </c>
      <c r="I6486" s="1" t="str">
        <f t="shared" si="4"/>
        <v>No Badges</v>
      </c>
      <c r="J6486" s="3">
        <f t="shared" si="5"/>
        <v>0</v>
      </c>
    </row>
    <row r="6487">
      <c r="A6487" s="1" t="s">
        <v>40</v>
      </c>
      <c r="B6487" s="3" t="str">
        <f t="shared" si="1"/>
        <v>Unavailable</v>
      </c>
      <c r="C6487" s="3">
        <v>171.0</v>
      </c>
      <c r="D6487" s="3">
        <f>IFERROR(__xludf.DUMMYFUNCTION("IFERROR(
IF(REGEXMATCH(LOWER(O6487),""k""),
VALUE(REGEXEXTRACT(O6487,""[0-9]+""))*1000,
VALUE(REGEXEXTRACT(O6487,""[0-9]+""))
),
0
)"),0.0)</f>
        <v>0</v>
      </c>
      <c r="E6487" s="1" t="s">
        <v>11</v>
      </c>
      <c r="F6487" s="1" t="s">
        <v>12</v>
      </c>
      <c r="G6487" s="4" t="b">
        <f t="shared" si="2"/>
        <v>1</v>
      </c>
      <c r="H6487" s="1" t="str">
        <f t="shared" si="3"/>
        <v>Currently Unavailable</v>
      </c>
      <c r="I6487" s="1" t="str">
        <f t="shared" si="4"/>
        <v>No Badges</v>
      </c>
      <c r="J6487" s="3">
        <f t="shared" si="5"/>
        <v>0</v>
      </c>
    </row>
    <row r="6488">
      <c r="A6488" s="1" t="s">
        <v>4921</v>
      </c>
      <c r="B6488" s="3" t="str">
        <f t="shared" si="1"/>
        <v>Unavailable</v>
      </c>
      <c r="C6488" s="3">
        <v>274.0</v>
      </c>
      <c r="D6488" s="3">
        <f>IFERROR(__xludf.DUMMYFUNCTION("IFERROR(
IF(REGEXMATCH(LOWER(O6488),""k""),
VALUE(REGEXEXTRACT(O6488,""[0-9]+""))*1000,
VALUE(REGEXEXTRACT(O6488,""[0-9]+""))
),
0
)"),0.0)</f>
        <v>0</v>
      </c>
      <c r="E6488" s="1" t="s">
        <v>11</v>
      </c>
      <c r="F6488" s="1" t="s">
        <v>20</v>
      </c>
      <c r="G6488" s="4" t="b">
        <f t="shared" si="2"/>
        <v>1</v>
      </c>
      <c r="H6488" s="1" t="str">
        <f t="shared" si="3"/>
        <v>Currently Unavailable</v>
      </c>
      <c r="I6488" s="1" t="str">
        <f t="shared" si="4"/>
        <v>No Badges</v>
      </c>
      <c r="J6488" s="3">
        <f t="shared" si="5"/>
        <v>0</v>
      </c>
    </row>
    <row r="6489">
      <c r="A6489" s="1" t="s">
        <v>4922</v>
      </c>
      <c r="B6489" s="3" t="str">
        <f t="shared" si="1"/>
        <v>Unavailable</v>
      </c>
      <c r="C6489" s="3">
        <v>283.0</v>
      </c>
      <c r="D6489" s="3">
        <f>IFERROR(__xludf.DUMMYFUNCTION("IFERROR(
IF(REGEXMATCH(LOWER(O6489),""k""),
VALUE(REGEXEXTRACT(O6489,""[0-9]+""))*1000,
VALUE(REGEXEXTRACT(O6489,""[0-9]+""))
),
0
)"),0.0)</f>
        <v>0</v>
      </c>
      <c r="E6489" s="1" t="s">
        <v>11</v>
      </c>
      <c r="F6489" s="1" t="s">
        <v>20</v>
      </c>
      <c r="G6489" s="4" t="b">
        <f t="shared" si="2"/>
        <v>1</v>
      </c>
      <c r="H6489" s="1" t="str">
        <f t="shared" si="3"/>
        <v>Currently Unavailable</v>
      </c>
      <c r="I6489" s="1" t="str">
        <f t="shared" si="4"/>
        <v>No Badges</v>
      </c>
      <c r="J6489" s="3">
        <f t="shared" si="5"/>
        <v>0</v>
      </c>
    </row>
    <row r="6490">
      <c r="A6490" s="1" t="s">
        <v>4923</v>
      </c>
      <c r="B6490" s="3" t="str">
        <f t="shared" si="1"/>
        <v>Unavailable</v>
      </c>
      <c r="C6490" s="5">
        <v>2688.0</v>
      </c>
      <c r="D6490" s="3">
        <f>IFERROR(__xludf.DUMMYFUNCTION("IFERROR(
IF(REGEXMATCH(LOWER(O6490),""k""),
VALUE(REGEXEXTRACT(O6490,""[0-9]+""))*1000,
VALUE(REGEXEXTRACT(O6490,""[0-9]+""))
),
0
)"),0.0)</f>
        <v>0</v>
      </c>
      <c r="E6490" s="1" t="s">
        <v>11</v>
      </c>
      <c r="F6490" s="1" t="s">
        <v>20</v>
      </c>
      <c r="G6490" s="4" t="b">
        <f t="shared" si="2"/>
        <v>1</v>
      </c>
      <c r="H6490" s="1" t="str">
        <f t="shared" si="3"/>
        <v>Currently Unavailable</v>
      </c>
      <c r="I6490" s="1" t="str">
        <f t="shared" si="4"/>
        <v>No Badges</v>
      </c>
      <c r="J6490" s="3">
        <f t="shared" si="5"/>
        <v>0</v>
      </c>
    </row>
    <row r="6491">
      <c r="A6491" s="1" t="s">
        <v>4924</v>
      </c>
      <c r="B6491" s="3" t="str">
        <f t="shared" si="1"/>
        <v>Unavailable</v>
      </c>
      <c r="C6491" s="5">
        <v>1833.0</v>
      </c>
      <c r="D6491" s="3">
        <f>IFERROR(__xludf.DUMMYFUNCTION("IFERROR(
IF(REGEXMATCH(LOWER(O6491),""k""),
VALUE(REGEXEXTRACT(O6491,""[0-9]+""))*1000,
VALUE(REGEXEXTRACT(O6491,""[0-9]+""))
),
0
)"),0.0)</f>
        <v>0</v>
      </c>
      <c r="E6491" s="1" t="s">
        <v>11</v>
      </c>
      <c r="F6491" s="1" t="s">
        <v>20</v>
      </c>
      <c r="G6491" s="4" t="b">
        <f t="shared" si="2"/>
        <v>1</v>
      </c>
      <c r="H6491" s="1" t="str">
        <f t="shared" si="3"/>
        <v>Currently Unavailable</v>
      </c>
      <c r="I6491" s="1" t="str">
        <f t="shared" si="4"/>
        <v>No Badges</v>
      </c>
      <c r="J6491" s="3">
        <f t="shared" si="5"/>
        <v>0</v>
      </c>
    </row>
    <row r="6492">
      <c r="A6492" s="1" t="s">
        <v>4925</v>
      </c>
      <c r="B6492" s="3" t="str">
        <f t="shared" si="1"/>
        <v>Unavailable</v>
      </c>
      <c r="C6492" s="3">
        <v>339.0</v>
      </c>
      <c r="D6492" s="3">
        <f>IFERROR(__xludf.DUMMYFUNCTION("IFERROR(
IF(REGEXMATCH(LOWER(O6492),""k""),
VALUE(REGEXEXTRACT(O6492,""[0-9]+""))*1000,
VALUE(REGEXEXTRACT(O6492,""[0-9]+""))
),
0
)"),0.0)</f>
        <v>0</v>
      </c>
      <c r="E6492" s="1" t="s">
        <v>11</v>
      </c>
      <c r="F6492" s="1" t="s">
        <v>20</v>
      </c>
      <c r="G6492" s="4" t="b">
        <f t="shared" si="2"/>
        <v>1</v>
      </c>
      <c r="H6492" s="1" t="str">
        <f t="shared" si="3"/>
        <v>Currently Unavailable</v>
      </c>
      <c r="I6492" s="1" t="str">
        <f t="shared" si="4"/>
        <v>No Badges</v>
      </c>
      <c r="J6492" s="3">
        <f t="shared" si="5"/>
        <v>0</v>
      </c>
    </row>
    <row r="6493">
      <c r="A6493" s="1" t="s">
        <v>4926</v>
      </c>
      <c r="B6493" s="3" t="str">
        <f t="shared" si="1"/>
        <v>Unavailable</v>
      </c>
      <c r="C6493" s="3">
        <v>787.0</v>
      </c>
      <c r="D6493" s="3">
        <f>IFERROR(__xludf.DUMMYFUNCTION("IFERROR(
IF(REGEXMATCH(LOWER(O6493),""k""),
VALUE(REGEXEXTRACT(O6493,""[0-9]+""))*1000,
VALUE(REGEXEXTRACT(O6493,""[0-9]+""))
),
0
)"),0.0)</f>
        <v>0</v>
      </c>
      <c r="E6493" s="1" t="s">
        <v>11</v>
      </c>
      <c r="F6493" s="1" t="s">
        <v>20</v>
      </c>
      <c r="G6493" s="4" t="b">
        <f t="shared" si="2"/>
        <v>1</v>
      </c>
      <c r="H6493" s="1" t="str">
        <f t="shared" si="3"/>
        <v>Currently Unavailable</v>
      </c>
      <c r="I6493" s="1" t="str">
        <f t="shared" si="4"/>
        <v>No Badges</v>
      </c>
      <c r="J6493" s="3">
        <f t="shared" si="5"/>
        <v>0</v>
      </c>
    </row>
    <row r="6494">
      <c r="A6494" s="1" t="s">
        <v>4927</v>
      </c>
      <c r="B6494" s="3" t="str">
        <f t="shared" si="1"/>
        <v>Unavailable</v>
      </c>
      <c r="C6494" s="5">
        <v>5726.0</v>
      </c>
      <c r="D6494" s="3">
        <f>IFERROR(__xludf.DUMMYFUNCTION("IFERROR(
IF(REGEXMATCH(LOWER(O6494),""k""),
VALUE(REGEXEXTRACT(O6494,""[0-9]+""))*1000,
VALUE(REGEXEXTRACT(O6494,""[0-9]+""))
),
0
)"),0.0)</f>
        <v>0</v>
      </c>
      <c r="E6494" s="1" t="s">
        <v>11</v>
      </c>
      <c r="F6494" s="1" t="s">
        <v>20</v>
      </c>
      <c r="G6494" s="4" t="b">
        <f t="shared" si="2"/>
        <v>1</v>
      </c>
      <c r="H6494" s="1" t="str">
        <f t="shared" si="3"/>
        <v>Currently Unavailable</v>
      </c>
      <c r="I6494" s="1" t="str">
        <f t="shared" si="4"/>
        <v>No Badges</v>
      </c>
      <c r="J6494" s="3">
        <f t="shared" si="5"/>
        <v>0</v>
      </c>
    </row>
    <row r="6495">
      <c r="A6495" s="1" t="s">
        <v>4928</v>
      </c>
      <c r="B6495" s="3" t="str">
        <f t="shared" si="1"/>
        <v>Unavailable</v>
      </c>
      <c r="C6495" s="3">
        <v>72.0</v>
      </c>
      <c r="D6495" s="3">
        <f>IFERROR(__xludf.DUMMYFUNCTION("IFERROR(
IF(REGEXMATCH(LOWER(O6495),""k""),
VALUE(REGEXEXTRACT(O6495,""[0-9]+""))*1000,
VALUE(REGEXEXTRACT(O6495,""[0-9]+""))
),
0
)"),0.0)</f>
        <v>0</v>
      </c>
      <c r="E6495" s="1" t="s">
        <v>11</v>
      </c>
      <c r="F6495" s="1" t="s">
        <v>20</v>
      </c>
      <c r="G6495" s="4" t="b">
        <f t="shared" si="2"/>
        <v>1</v>
      </c>
      <c r="H6495" s="1" t="str">
        <f t="shared" si="3"/>
        <v>Currently Unavailable</v>
      </c>
      <c r="I6495" s="1" t="str">
        <f t="shared" si="4"/>
        <v>No Badges</v>
      </c>
      <c r="J6495" s="3">
        <f t="shared" si="5"/>
        <v>0</v>
      </c>
    </row>
    <row r="6496">
      <c r="A6496" s="1" t="s">
        <v>4929</v>
      </c>
      <c r="B6496" s="3" t="str">
        <f t="shared" si="1"/>
        <v>Unavailable</v>
      </c>
      <c r="C6496" s="5">
        <v>2911.0</v>
      </c>
      <c r="D6496" s="3">
        <f>IFERROR(__xludf.DUMMYFUNCTION("IFERROR(
IF(REGEXMATCH(LOWER(O6496),""k""),
VALUE(REGEXEXTRACT(O6496,""[0-9]+""))*1000,
VALUE(REGEXEXTRACT(O6496,""[0-9]+""))
),
0
)"),0.0)</f>
        <v>0</v>
      </c>
      <c r="E6496" s="1" t="s">
        <v>11</v>
      </c>
      <c r="F6496" s="1" t="s">
        <v>20</v>
      </c>
      <c r="G6496" s="4" t="b">
        <f t="shared" si="2"/>
        <v>1</v>
      </c>
      <c r="H6496" s="1" t="str">
        <f t="shared" si="3"/>
        <v>Currently Unavailable</v>
      </c>
      <c r="I6496" s="1" t="str">
        <f t="shared" si="4"/>
        <v>No Badges</v>
      </c>
      <c r="J6496" s="3">
        <f t="shared" si="5"/>
        <v>0</v>
      </c>
    </row>
    <row r="6497">
      <c r="A6497" s="1" t="s">
        <v>4930</v>
      </c>
      <c r="B6497" s="3" t="str">
        <f t="shared" si="1"/>
        <v>Unavailable</v>
      </c>
      <c r="C6497" s="3">
        <v>221.0</v>
      </c>
      <c r="D6497" s="3">
        <f>IFERROR(__xludf.DUMMYFUNCTION("IFERROR(
IF(REGEXMATCH(LOWER(O6497),""k""),
VALUE(REGEXEXTRACT(O6497,""[0-9]+""))*1000,
VALUE(REGEXEXTRACT(O6497,""[0-9]+""))
),
0
)"),0.0)</f>
        <v>0</v>
      </c>
      <c r="E6497" s="1" t="s">
        <v>11</v>
      </c>
      <c r="F6497" s="1" t="s">
        <v>20</v>
      </c>
      <c r="G6497" s="4" t="b">
        <f t="shared" si="2"/>
        <v>1</v>
      </c>
      <c r="H6497" s="1" t="str">
        <f t="shared" si="3"/>
        <v>Currently Unavailable</v>
      </c>
      <c r="I6497" s="1" t="str">
        <f t="shared" si="4"/>
        <v>No Badges</v>
      </c>
      <c r="J6497" s="3">
        <f t="shared" si="5"/>
        <v>0</v>
      </c>
    </row>
    <row r="6498">
      <c r="A6498" s="1" t="s">
        <v>4931</v>
      </c>
      <c r="B6498" s="3" t="str">
        <f t="shared" si="1"/>
        <v>Unavailable</v>
      </c>
      <c r="C6498" s="5">
        <v>1486.0</v>
      </c>
      <c r="D6498" s="3">
        <f>IFERROR(__xludf.DUMMYFUNCTION("IFERROR(
IF(REGEXMATCH(LOWER(O6498),""k""),
VALUE(REGEXEXTRACT(O6498,""[0-9]+""))*1000,
VALUE(REGEXEXTRACT(O6498,""[0-9]+""))
),
0
)"),0.0)</f>
        <v>0</v>
      </c>
      <c r="E6498" s="1" t="s">
        <v>11</v>
      </c>
      <c r="F6498" s="1" t="s">
        <v>20</v>
      </c>
      <c r="G6498" s="4" t="b">
        <f t="shared" si="2"/>
        <v>1</v>
      </c>
      <c r="H6498" s="1" t="str">
        <f t="shared" si="3"/>
        <v>Currently Unavailable</v>
      </c>
      <c r="I6498" s="1" t="str">
        <f t="shared" si="4"/>
        <v>No Badges</v>
      </c>
      <c r="J6498" s="3">
        <f t="shared" si="5"/>
        <v>0</v>
      </c>
    </row>
    <row r="6499">
      <c r="A6499" s="1" t="s">
        <v>4932</v>
      </c>
      <c r="B6499" s="3" t="str">
        <f t="shared" si="1"/>
        <v>Unavailable</v>
      </c>
      <c r="C6499" s="5">
        <v>5194.0</v>
      </c>
      <c r="D6499" s="3">
        <f>IFERROR(__xludf.DUMMYFUNCTION("IFERROR(
IF(REGEXMATCH(LOWER(O6499),""k""),
VALUE(REGEXEXTRACT(O6499,""[0-9]+""))*1000,
VALUE(REGEXEXTRACT(O6499,""[0-9]+""))
),
0
)"),0.0)</f>
        <v>0</v>
      </c>
      <c r="E6499" s="1" t="s">
        <v>11</v>
      </c>
      <c r="F6499" s="1" t="s">
        <v>20</v>
      </c>
      <c r="G6499" s="4" t="b">
        <f t="shared" si="2"/>
        <v>1</v>
      </c>
      <c r="H6499" s="1" t="str">
        <f t="shared" si="3"/>
        <v>Currently Unavailable</v>
      </c>
      <c r="I6499" s="1" t="str">
        <f t="shared" si="4"/>
        <v>No Badges</v>
      </c>
      <c r="J6499" s="3">
        <f t="shared" si="5"/>
        <v>0</v>
      </c>
    </row>
    <row r="6500">
      <c r="A6500" s="1" t="s">
        <v>4933</v>
      </c>
      <c r="B6500" s="3" t="str">
        <f t="shared" si="1"/>
        <v>Unavailable</v>
      </c>
      <c r="C6500" s="5">
        <v>18710.0</v>
      </c>
      <c r="D6500" s="3">
        <f>IFERROR(__xludf.DUMMYFUNCTION("IFERROR(
IF(REGEXMATCH(LOWER(O6500),""k""),
VALUE(REGEXEXTRACT(O6500,""[0-9]+""))*1000,
VALUE(REGEXEXTRACT(O6500,""[0-9]+""))
),
0
)"),0.0)</f>
        <v>0</v>
      </c>
      <c r="E6500" s="1" t="s">
        <v>11</v>
      </c>
      <c r="F6500" s="1" t="s">
        <v>20</v>
      </c>
      <c r="G6500" s="4" t="b">
        <f t="shared" si="2"/>
        <v>1</v>
      </c>
      <c r="H6500" s="1" t="str">
        <f t="shared" si="3"/>
        <v>Currently Unavailable</v>
      </c>
      <c r="I6500" s="1" t="str">
        <f t="shared" si="4"/>
        <v>No Badges</v>
      </c>
      <c r="J6500" s="3">
        <f t="shared" si="5"/>
        <v>0</v>
      </c>
    </row>
    <row r="6501">
      <c r="A6501" s="1" t="s">
        <v>4934</v>
      </c>
      <c r="B6501" s="3" t="str">
        <f t="shared" si="1"/>
        <v>Unavailable</v>
      </c>
      <c r="C6501" s="3">
        <v>351.0</v>
      </c>
      <c r="D6501" s="3">
        <f>IFERROR(__xludf.DUMMYFUNCTION("IFERROR(
IF(REGEXMATCH(LOWER(O6501),""k""),
VALUE(REGEXEXTRACT(O6501,""[0-9]+""))*1000,
VALUE(REGEXEXTRACT(O6501,""[0-9]+""))
),
0
)"),0.0)</f>
        <v>0</v>
      </c>
      <c r="E6501" s="1" t="s">
        <v>11</v>
      </c>
      <c r="F6501" s="1" t="s">
        <v>20</v>
      </c>
      <c r="G6501" s="4" t="b">
        <f t="shared" si="2"/>
        <v>1</v>
      </c>
      <c r="H6501" s="1" t="str">
        <f t="shared" si="3"/>
        <v>Currently Unavailable</v>
      </c>
      <c r="I6501" s="1" t="str">
        <f t="shared" si="4"/>
        <v>No Badges</v>
      </c>
      <c r="J6501" s="3">
        <f t="shared" si="5"/>
        <v>0</v>
      </c>
    </row>
    <row r="6502">
      <c r="A6502" s="1" t="s">
        <v>4935</v>
      </c>
      <c r="B6502" s="3" t="str">
        <f t="shared" si="1"/>
        <v>Unavailable</v>
      </c>
      <c r="C6502" s="3">
        <v>300.0</v>
      </c>
      <c r="D6502" s="3">
        <f>IFERROR(__xludf.DUMMYFUNCTION("IFERROR(
IF(REGEXMATCH(LOWER(O6502),""k""),
VALUE(REGEXEXTRACT(O6502,""[0-9]+""))*1000,
VALUE(REGEXEXTRACT(O6502,""[0-9]+""))
),
0
)"),0.0)</f>
        <v>0</v>
      </c>
      <c r="E6502" s="1" t="s">
        <v>11</v>
      </c>
      <c r="F6502" s="1" t="s">
        <v>20</v>
      </c>
      <c r="G6502" s="4" t="b">
        <f t="shared" si="2"/>
        <v>1</v>
      </c>
      <c r="H6502" s="1" t="str">
        <f t="shared" si="3"/>
        <v>Currently Unavailable</v>
      </c>
      <c r="I6502" s="1" t="str">
        <f t="shared" si="4"/>
        <v>No Badges</v>
      </c>
      <c r="J6502" s="3">
        <f t="shared" si="5"/>
        <v>0</v>
      </c>
    </row>
    <row r="6503">
      <c r="A6503" s="1" t="s">
        <v>4936</v>
      </c>
      <c r="B6503" s="3" t="str">
        <f t="shared" si="1"/>
        <v>Unavailable</v>
      </c>
      <c r="C6503" s="5">
        <v>4546.0</v>
      </c>
      <c r="D6503" s="3">
        <f>IFERROR(__xludf.DUMMYFUNCTION("IFERROR(
IF(REGEXMATCH(LOWER(O6503),""k""),
VALUE(REGEXEXTRACT(O6503,""[0-9]+""))*1000,
VALUE(REGEXEXTRACT(O6503,""[0-9]+""))
),
0
)"),0.0)</f>
        <v>0</v>
      </c>
      <c r="E6503" s="1" t="s">
        <v>11</v>
      </c>
      <c r="F6503" s="1" t="s">
        <v>20</v>
      </c>
      <c r="G6503" s="4" t="b">
        <f t="shared" si="2"/>
        <v>1</v>
      </c>
      <c r="H6503" s="1" t="str">
        <f t="shared" si="3"/>
        <v>Currently Unavailable</v>
      </c>
      <c r="I6503" s="1" t="str">
        <f t="shared" si="4"/>
        <v>No Badges</v>
      </c>
      <c r="J6503" s="3">
        <f t="shared" si="5"/>
        <v>0</v>
      </c>
    </row>
    <row r="6504">
      <c r="A6504" s="1" t="s">
        <v>4937</v>
      </c>
      <c r="B6504" s="3" t="str">
        <f t="shared" si="1"/>
        <v>Unavailable</v>
      </c>
      <c r="C6504" s="3">
        <v>623.0</v>
      </c>
      <c r="D6504" s="3">
        <f>IFERROR(__xludf.DUMMYFUNCTION("IFERROR(
IF(REGEXMATCH(LOWER(O6504),""k""),
VALUE(REGEXEXTRACT(O6504,""[0-9]+""))*1000,
VALUE(REGEXEXTRACT(O6504,""[0-9]+""))
),
0
)"),0.0)</f>
        <v>0</v>
      </c>
      <c r="E6504" s="1" t="s">
        <v>11</v>
      </c>
      <c r="F6504" s="1" t="s">
        <v>20</v>
      </c>
      <c r="G6504" s="4" t="b">
        <f t="shared" si="2"/>
        <v>1</v>
      </c>
      <c r="H6504" s="1" t="str">
        <f t="shared" si="3"/>
        <v>Currently Unavailable</v>
      </c>
      <c r="I6504" s="1" t="str">
        <f t="shared" si="4"/>
        <v>No Badges</v>
      </c>
      <c r="J6504" s="3">
        <f t="shared" si="5"/>
        <v>0</v>
      </c>
    </row>
    <row r="6505">
      <c r="A6505" s="1" t="s">
        <v>4938</v>
      </c>
      <c r="B6505" s="3" t="str">
        <f t="shared" si="1"/>
        <v>Unavailable</v>
      </c>
      <c r="C6505" s="5">
        <v>2071.0</v>
      </c>
      <c r="D6505" s="3">
        <f>IFERROR(__xludf.DUMMYFUNCTION("IFERROR(
IF(REGEXMATCH(LOWER(O6505),""k""),
VALUE(REGEXEXTRACT(O6505,""[0-9]+""))*1000,
VALUE(REGEXEXTRACT(O6505,""[0-9]+""))
),
0
)"),0.0)</f>
        <v>0</v>
      </c>
      <c r="E6505" s="1" t="s">
        <v>11</v>
      </c>
      <c r="F6505" s="1" t="s">
        <v>20</v>
      </c>
      <c r="G6505" s="4" t="b">
        <f t="shared" si="2"/>
        <v>1</v>
      </c>
      <c r="H6505" s="1" t="str">
        <f t="shared" si="3"/>
        <v>Currently Unavailable</v>
      </c>
      <c r="I6505" s="1" t="str">
        <f t="shared" si="4"/>
        <v>No Badges</v>
      </c>
      <c r="J6505" s="3">
        <f t="shared" si="5"/>
        <v>0</v>
      </c>
    </row>
    <row r="6506">
      <c r="A6506" s="1" t="s">
        <v>4939</v>
      </c>
      <c r="B6506" s="3" t="str">
        <f t="shared" si="1"/>
        <v>Unavailable</v>
      </c>
      <c r="C6506" s="3">
        <v>199.0</v>
      </c>
      <c r="D6506" s="3">
        <f>IFERROR(__xludf.DUMMYFUNCTION("IFERROR(
IF(REGEXMATCH(LOWER(O6506),""k""),
VALUE(REGEXEXTRACT(O6506,""[0-9]+""))*1000,
VALUE(REGEXEXTRACT(O6506,""[0-9]+""))
),
0
)"),0.0)</f>
        <v>0</v>
      </c>
      <c r="E6506" s="1" t="s">
        <v>11</v>
      </c>
      <c r="F6506" s="1" t="s">
        <v>20</v>
      </c>
      <c r="G6506" s="4" t="b">
        <f t="shared" si="2"/>
        <v>1</v>
      </c>
      <c r="H6506" s="1" t="str">
        <f t="shared" si="3"/>
        <v>Currently Unavailable</v>
      </c>
      <c r="I6506" s="1" t="str">
        <f t="shared" si="4"/>
        <v>No Badges</v>
      </c>
      <c r="J6506" s="3">
        <f t="shared" si="5"/>
        <v>0</v>
      </c>
    </row>
    <row r="6507">
      <c r="A6507" s="1" t="s">
        <v>4940</v>
      </c>
      <c r="B6507" s="3" t="str">
        <f t="shared" si="1"/>
        <v>Unavailable</v>
      </c>
      <c r="C6507" s="5">
        <v>10759.0</v>
      </c>
      <c r="D6507" s="3">
        <f>IFERROR(__xludf.DUMMYFUNCTION("IFERROR(
IF(REGEXMATCH(LOWER(O6507),""k""),
VALUE(REGEXEXTRACT(O6507,""[0-9]+""))*1000,
VALUE(REGEXEXTRACT(O6507,""[0-9]+""))
),
0
)"),0.0)</f>
        <v>0</v>
      </c>
      <c r="E6507" s="1" t="s">
        <v>11</v>
      </c>
      <c r="F6507" s="1" t="s">
        <v>20</v>
      </c>
      <c r="G6507" s="4" t="b">
        <f t="shared" si="2"/>
        <v>1</v>
      </c>
      <c r="H6507" s="1" t="str">
        <f t="shared" si="3"/>
        <v>Currently Unavailable</v>
      </c>
      <c r="I6507" s="1" t="str">
        <f t="shared" si="4"/>
        <v>No Badges</v>
      </c>
      <c r="J6507" s="3">
        <f t="shared" si="5"/>
        <v>0</v>
      </c>
    </row>
    <row r="6508">
      <c r="A6508" s="1" t="s">
        <v>4941</v>
      </c>
      <c r="B6508" s="3" t="str">
        <f t="shared" si="1"/>
        <v>Unavailable</v>
      </c>
      <c r="C6508" s="3">
        <v>82.0</v>
      </c>
      <c r="D6508" s="3">
        <f>IFERROR(__xludf.DUMMYFUNCTION("IFERROR(
IF(REGEXMATCH(LOWER(O6508),""k""),
VALUE(REGEXEXTRACT(O6508,""[0-9]+""))*1000,
VALUE(REGEXEXTRACT(O6508,""[0-9]+""))
),
0
)"),0.0)</f>
        <v>0</v>
      </c>
      <c r="E6508" s="1" t="s">
        <v>11</v>
      </c>
      <c r="F6508" s="1" t="s">
        <v>20</v>
      </c>
      <c r="G6508" s="4" t="b">
        <f t="shared" si="2"/>
        <v>1</v>
      </c>
      <c r="H6508" s="1" t="str">
        <f t="shared" si="3"/>
        <v>Currently Unavailable</v>
      </c>
      <c r="I6508" s="1" t="str">
        <f t="shared" si="4"/>
        <v>No Badges</v>
      </c>
      <c r="J6508" s="3">
        <f t="shared" si="5"/>
        <v>0</v>
      </c>
    </row>
    <row r="6509">
      <c r="A6509" s="1" t="s">
        <v>4942</v>
      </c>
      <c r="B6509" s="3" t="str">
        <f t="shared" si="1"/>
        <v>Unavailable</v>
      </c>
      <c r="C6509" s="3">
        <v>270.0</v>
      </c>
      <c r="D6509" s="3">
        <f>IFERROR(__xludf.DUMMYFUNCTION("IFERROR(
IF(REGEXMATCH(LOWER(O6509),""k""),
VALUE(REGEXEXTRACT(O6509,""[0-9]+""))*1000,
VALUE(REGEXEXTRACT(O6509,""[0-9]+""))
),
0
)"),0.0)</f>
        <v>0</v>
      </c>
      <c r="E6509" s="1" t="s">
        <v>11</v>
      </c>
      <c r="F6509" s="1" t="s">
        <v>20</v>
      </c>
      <c r="G6509" s="4" t="b">
        <f t="shared" si="2"/>
        <v>1</v>
      </c>
      <c r="H6509" s="1" t="str">
        <f t="shared" si="3"/>
        <v>Currently Unavailable</v>
      </c>
      <c r="I6509" s="1" t="str">
        <f t="shared" si="4"/>
        <v>No Badges</v>
      </c>
      <c r="J6509" s="3">
        <f t="shared" si="5"/>
        <v>0</v>
      </c>
    </row>
    <row r="6510">
      <c r="A6510" s="1" t="s">
        <v>4943</v>
      </c>
      <c r="B6510" s="3" t="str">
        <f t="shared" si="1"/>
        <v>Unavailable</v>
      </c>
      <c r="C6510" s="3">
        <v>450.0</v>
      </c>
      <c r="D6510" s="3">
        <f>IFERROR(__xludf.DUMMYFUNCTION("IFERROR(
IF(REGEXMATCH(LOWER(O6510),""k""),
VALUE(REGEXEXTRACT(O6510,""[0-9]+""))*1000,
VALUE(REGEXEXTRACT(O6510,""[0-9]+""))
),
0
)"),0.0)</f>
        <v>0</v>
      </c>
      <c r="E6510" s="1" t="s">
        <v>11</v>
      </c>
      <c r="F6510" s="1" t="s">
        <v>20</v>
      </c>
      <c r="G6510" s="4" t="b">
        <f t="shared" si="2"/>
        <v>1</v>
      </c>
      <c r="H6510" s="1" t="str">
        <f t="shared" si="3"/>
        <v>Currently Unavailable</v>
      </c>
      <c r="I6510" s="1" t="str">
        <f t="shared" si="4"/>
        <v>No Badges</v>
      </c>
      <c r="J6510" s="3">
        <f t="shared" si="5"/>
        <v>0</v>
      </c>
    </row>
    <row r="6511">
      <c r="A6511" s="1" t="s">
        <v>4944</v>
      </c>
      <c r="B6511" s="3" t="str">
        <f t="shared" si="1"/>
        <v>Unavailable</v>
      </c>
      <c r="C6511" s="5">
        <v>8664.0</v>
      </c>
      <c r="D6511" s="3">
        <f>IFERROR(__xludf.DUMMYFUNCTION("IFERROR(
IF(REGEXMATCH(LOWER(O6511),""k""),
VALUE(REGEXEXTRACT(O6511,""[0-9]+""))*1000,
VALUE(REGEXEXTRACT(O6511,""[0-9]+""))
),
0
)"),0.0)</f>
        <v>0</v>
      </c>
      <c r="E6511" s="1" t="s">
        <v>11</v>
      </c>
      <c r="F6511" s="1" t="s">
        <v>20</v>
      </c>
      <c r="G6511" s="4" t="b">
        <f t="shared" si="2"/>
        <v>1</v>
      </c>
      <c r="H6511" s="1" t="str">
        <f t="shared" si="3"/>
        <v>Currently Unavailable</v>
      </c>
      <c r="I6511" s="1" t="str">
        <f t="shared" si="4"/>
        <v>No Badges</v>
      </c>
      <c r="J6511" s="3">
        <f t="shared" si="5"/>
        <v>0</v>
      </c>
    </row>
    <row r="6512">
      <c r="A6512" s="1" t="s">
        <v>4945</v>
      </c>
      <c r="B6512" s="3" t="str">
        <f t="shared" si="1"/>
        <v>Unavailable</v>
      </c>
      <c r="C6512" s="3">
        <v>460.0</v>
      </c>
      <c r="D6512" s="3">
        <f>IFERROR(__xludf.DUMMYFUNCTION("IFERROR(
IF(REGEXMATCH(LOWER(O6512),""k""),
VALUE(REGEXEXTRACT(O6512,""[0-9]+""))*1000,
VALUE(REGEXEXTRACT(O6512,""[0-9]+""))
),
0
)"),0.0)</f>
        <v>0</v>
      </c>
      <c r="E6512" s="1" t="s">
        <v>11</v>
      </c>
      <c r="F6512" s="1" t="s">
        <v>20</v>
      </c>
      <c r="G6512" s="4" t="b">
        <f t="shared" si="2"/>
        <v>1</v>
      </c>
      <c r="H6512" s="1" t="str">
        <f t="shared" si="3"/>
        <v>Currently Unavailable</v>
      </c>
      <c r="I6512" s="1" t="str">
        <f t="shared" si="4"/>
        <v>No Badges</v>
      </c>
      <c r="J6512" s="3">
        <f t="shared" si="5"/>
        <v>0</v>
      </c>
    </row>
    <row r="6513">
      <c r="A6513" s="1" t="s">
        <v>88</v>
      </c>
      <c r="B6513" s="3" t="str">
        <f t="shared" si="1"/>
        <v>Unavailable</v>
      </c>
      <c r="C6513" s="3">
        <v>5.0</v>
      </c>
      <c r="D6513" s="3">
        <f>IFERROR(__xludf.DUMMYFUNCTION("IFERROR(
IF(REGEXMATCH(LOWER(O6513),""k""),
VALUE(REGEXEXTRACT(O6513,""[0-9]+""))*1000,
VALUE(REGEXEXTRACT(O6513,""[0-9]+""))
),
0
)"),0.0)</f>
        <v>0</v>
      </c>
      <c r="E6513" s="1" t="s">
        <v>11</v>
      </c>
      <c r="F6513" s="1" t="s">
        <v>12</v>
      </c>
      <c r="G6513" s="4" t="b">
        <f t="shared" si="2"/>
        <v>1</v>
      </c>
      <c r="H6513" s="1" t="str">
        <f t="shared" si="3"/>
        <v>Currently Unavailable</v>
      </c>
      <c r="I6513" s="1" t="str">
        <f t="shared" si="4"/>
        <v>No Badges</v>
      </c>
      <c r="J6513" s="3">
        <f t="shared" si="5"/>
        <v>0</v>
      </c>
    </row>
    <row r="6514">
      <c r="A6514" s="1" t="s">
        <v>4946</v>
      </c>
      <c r="B6514" s="3" t="str">
        <f t="shared" si="1"/>
        <v>Unavailable</v>
      </c>
      <c r="C6514" s="3">
        <v>49.0</v>
      </c>
      <c r="D6514" s="3">
        <f>IFERROR(__xludf.DUMMYFUNCTION("IFERROR(
IF(REGEXMATCH(LOWER(O6514),""k""),
VALUE(REGEXEXTRACT(O6514,""[0-9]+""))*1000,
VALUE(REGEXEXTRACT(O6514,""[0-9]+""))
),
0
)"),0.0)</f>
        <v>0</v>
      </c>
      <c r="E6514" s="1" t="s">
        <v>11</v>
      </c>
      <c r="F6514" s="1" t="s">
        <v>20</v>
      </c>
      <c r="G6514" s="4" t="b">
        <f t="shared" si="2"/>
        <v>1</v>
      </c>
      <c r="H6514" s="1" t="str">
        <f t="shared" si="3"/>
        <v>Currently Unavailable</v>
      </c>
      <c r="I6514" s="1" t="str">
        <f t="shared" si="4"/>
        <v>No Badges</v>
      </c>
      <c r="J6514" s="3">
        <f t="shared" si="5"/>
        <v>0</v>
      </c>
    </row>
    <row r="6515">
      <c r="A6515" s="1" t="s">
        <v>4947</v>
      </c>
      <c r="B6515" s="3" t="str">
        <f t="shared" si="1"/>
        <v>Unavailable</v>
      </c>
      <c r="C6515" s="3">
        <v>774.0</v>
      </c>
      <c r="D6515" s="3">
        <f>IFERROR(__xludf.DUMMYFUNCTION("IFERROR(
IF(REGEXMATCH(LOWER(O6515),""k""),
VALUE(REGEXEXTRACT(O6515,""[0-9]+""))*1000,
VALUE(REGEXEXTRACT(O6515,""[0-9]+""))
),
0
)"),0.0)</f>
        <v>0</v>
      </c>
      <c r="E6515" s="1" t="s">
        <v>11</v>
      </c>
      <c r="F6515" s="1" t="s">
        <v>20</v>
      </c>
      <c r="G6515" s="4" t="b">
        <f t="shared" si="2"/>
        <v>1</v>
      </c>
      <c r="H6515" s="1" t="str">
        <f t="shared" si="3"/>
        <v>Currently Unavailable</v>
      </c>
      <c r="I6515" s="1" t="str">
        <f t="shared" si="4"/>
        <v>No Badges</v>
      </c>
      <c r="J6515" s="3">
        <f t="shared" si="5"/>
        <v>0</v>
      </c>
    </row>
    <row r="6516">
      <c r="A6516" s="1" t="s">
        <v>4948</v>
      </c>
      <c r="B6516" s="3" t="str">
        <f t="shared" si="1"/>
        <v>Unavailable</v>
      </c>
      <c r="C6516" s="3">
        <v>105.0</v>
      </c>
      <c r="D6516" s="3">
        <f>IFERROR(__xludf.DUMMYFUNCTION("IFERROR(
IF(REGEXMATCH(LOWER(O6516),""k""),
VALUE(REGEXEXTRACT(O6516,""[0-9]+""))*1000,
VALUE(REGEXEXTRACT(O6516,""[0-9]+""))
),
0
)"),0.0)</f>
        <v>0</v>
      </c>
      <c r="E6516" s="1" t="s">
        <v>11</v>
      </c>
      <c r="F6516" s="1" t="s">
        <v>20</v>
      </c>
      <c r="G6516" s="4" t="b">
        <f t="shared" si="2"/>
        <v>1</v>
      </c>
      <c r="H6516" s="1" t="str">
        <f t="shared" si="3"/>
        <v>Currently Unavailable</v>
      </c>
      <c r="I6516" s="1" t="str">
        <f t="shared" si="4"/>
        <v>No Badges</v>
      </c>
      <c r="J6516" s="3">
        <f t="shared" si="5"/>
        <v>0</v>
      </c>
    </row>
    <row r="6517">
      <c r="A6517" s="1" t="s">
        <v>4949</v>
      </c>
      <c r="B6517" s="3" t="str">
        <f t="shared" si="1"/>
        <v>Unavailable</v>
      </c>
      <c r="C6517" s="3">
        <v>729.0</v>
      </c>
      <c r="D6517" s="3">
        <f>IFERROR(__xludf.DUMMYFUNCTION("IFERROR(
IF(REGEXMATCH(LOWER(O6517),""k""),
VALUE(REGEXEXTRACT(O6517,""[0-9]+""))*1000,
VALUE(REGEXEXTRACT(O6517,""[0-9]+""))
),
0
)"),0.0)</f>
        <v>0</v>
      </c>
      <c r="E6517" s="1" t="s">
        <v>11</v>
      </c>
      <c r="F6517" s="1" t="s">
        <v>20</v>
      </c>
      <c r="G6517" s="4" t="b">
        <f t="shared" si="2"/>
        <v>1</v>
      </c>
      <c r="H6517" s="1" t="str">
        <f t="shared" si="3"/>
        <v>Currently Unavailable</v>
      </c>
      <c r="I6517" s="1" t="str">
        <f t="shared" si="4"/>
        <v>No Badges</v>
      </c>
      <c r="J6517" s="3">
        <f t="shared" si="5"/>
        <v>0</v>
      </c>
    </row>
    <row r="6518">
      <c r="A6518" s="1" t="s">
        <v>4950</v>
      </c>
      <c r="B6518" s="3" t="str">
        <f t="shared" si="1"/>
        <v>Unavailable</v>
      </c>
      <c r="C6518" s="5">
        <v>6806.0</v>
      </c>
      <c r="D6518" s="3">
        <f>IFERROR(__xludf.DUMMYFUNCTION("IFERROR(
IF(REGEXMATCH(LOWER(O6518),""k""),
VALUE(REGEXEXTRACT(O6518,""[0-9]+""))*1000,
VALUE(REGEXEXTRACT(O6518,""[0-9]+""))
),
0
)"),0.0)</f>
        <v>0</v>
      </c>
      <c r="E6518" s="1" t="s">
        <v>11</v>
      </c>
      <c r="F6518" s="1" t="s">
        <v>20</v>
      </c>
      <c r="G6518" s="4" t="b">
        <f t="shared" si="2"/>
        <v>1</v>
      </c>
      <c r="H6518" s="1" t="str">
        <f t="shared" si="3"/>
        <v>Currently Unavailable</v>
      </c>
      <c r="I6518" s="1" t="str">
        <f t="shared" si="4"/>
        <v>No Badges</v>
      </c>
      <c r="J6518" s="3">
        <f t="shared" si="5"/>
        <v>0</v>
      </c>
    </row>
    <row r="6519">
      <c r="A6519" s="1" t="s">
        <v>4951</v>
      </c>
      <c r="B6519" s="3" t="str">
        <f t="shared" si="1"/>
        <v>Unavailable</v>
      </c>
      <c r="C6519" s="3">
        <v>18.0</v>
      </c>
      <c r="D6519" s="3">
        <f>IFERROR(__xludf.DUMMYFUNCTION("IFERROR(
IF(REGEXMATCH(LOWER(O6519),""k""),
VALUE(REGEXEXTRACT(O6519,""[0-9]+""))*1000,
VALUE(REGEXEXTRACT(O6519,""[0-9]+""))
),
0
)"),0.0)</f>
        <v>0</v>
      </c>
      <c r="E6519" s="1" t="s">
        <v>11</v>
      </c>
      <c r="F6519" s="1" t="s">
        <v>20</v>
      </c>
      <c r="G6519" s="4" t="b">
        <f t="shared" si="2"/>
        <v>1</v>
      </c>
      <c r="H6519" s="1" t="str">
        <f t="shared" si="3"/>
        <v>Currently Unavailable</v>
      </c>
      <c r="I6519" s="1" t="str">
        <f t="shared" si="4"/>
        <v>No Badges</v>
      </c>
      <c r="J6519" s="3">
        <f t="shared" si="5"/>
        <v>0</v>
      </c>
    </row>
    <row r="6520">
      <c r="A6520" s="1" t="s">
        <v>4952</v>
      </c>
      <c r="B6520" s="3" t="str">
        <f t="shared" si="1"/>
        <v>Unavailable</v>
      </c>
      <c r="C6520" s="3">
        <v>25.0</v>
      </c>
      <c r="D6520" s="3">
        <f>IFERROR(__xludf.DUMMYFUNCTION("IFERROR(
IF(REGEXMATCH(LOWER(O6520),""k""),
VALUE(REGEXEXTRACT(O6520,""[0-9]+""))*1000,
VALUE(REGEXEXTRACT(O6520,""[0-9]+""))
),
0
)"),0.0)</f>
        <v>0</v>
      </c>
      <c r="E6520" s="1" t="s">
        <v>11</v>
      </c>
      <c r="F6520" s="1" t="s">
        <v>20</v>
      </c>
      <c r="G6520" s="4" t="b">
        <f t="shared" si="2"/>
        <v>1</v>
      </c>
      <c r="H6520" s="1" t="str">
        <f t="shared" si="3"/>
        <v>Currently Unavailable</v>
      </c>
      <c r="I6520" s="1" t="str">
        <f t="shared" si="4"/>
        <v>No Badges</v>
      </c>
      <c r="J6520" s="3">
        <f t="shared" si="5"/>
        <v>0</v>
      </c>
    </row>
    <row r="6521">
      <c r="A6521" s="1" t="s">
        <v>4953</v>
      </c>
      <c r="B6521" s="3" t="str">
        <f t="shared" si="1"/>
        <v>Unavailable</v>
      </c>
      <c r="C6521" s="3">
        <v>230.0</v>
      </c>
      <c r="D6521" s="3">
        <f>IFERROR(__xludf.DUMMYFUNCTION("IFERROR(
IF(REGEXMATCH(LOWER(O6521),""k""),
VALUE(REGEXEXTRACT(O6521,""[0-9]+""))*1000,
VALUE(REGEXEXTRACT(O6521,""[0-9]+""))
),
0
)"),0.0)</f>
        <v>0</v>
      </c>
      <c r="E6521" s="1" t="s">
        <v>11</v>
      </c>
      <c r="F6521" s="1" t="s">
        <v>20</v>
      </c>
      <c r="G6521" s="4" t="b">
        <f t="shared" si="2"/>
        <v>1</v>
      </c>
      <c r="H6521" s="1" t="str">
        <f t="shared" si="3"/>
        <v>Currently Unavailable</v>
      </c>
      <c r="I6521" s="1" t="str">
        <f t="shared" si="4"/>
        <v>No Badges</v>
      </c>
      <c r="J6521" s="3">
        <f t="shared" si="5"/>
        <v>0</v>
      </c>
    </row>
    <row r="6522">
      <c r="A6522" s="1" t="s">
        <v>4954</v>
      </c>
      <c r="B6522" s="3" t="str">
        <f t="shared" si="1"/>
        <v>Unavailable</v>
      </c>
      <c r="C6522" s="5">
        <v>3536.0</v>
      </c>
      <c r="D6522" s="3">
        <f>IFERROR(__xludf.DUMMYFUNCTION("IFERROR(
IF(REGEXMATCH(LOWER(O6522),""k""),
VALUE(REGEXEXTRACT(O6522,""[0-9]+""))*1000,
VALUE(REGEXEXTRACT(O6522,""[0-9]+""))
),
0
)"),0.0)</f>
        <v>0</v>
      </c>
      <c r="E6522" s="1" t="s">
        <v>11</v>
      </c>
      <c r="F6522" s="1" t="s">
        <v>20</v>
      </c>
      <c r="G6522" s="4" t="b">
        <f t="shared" si="2"/>
        <v>1</v>
      </c>
      <c r="H6522" s="1" t="str">
        <f t="shared" si="3"/>
        <v>Currently Unavailable</v>
      </c>
      <c r="I6522" s="1" t="str">
        <f t="shared" si="4"/>
        <v>No Badges</v>
      </c>
      <c r="J6522" s="3">
        <f t="shared" si="5"/>
        <v>0</v>
      </c>
    </row>
    <row r="6523">
      <c r="A6523" s="1" t="s">
        <v>4955</v>
      </c>
      <c r="B6523" s="3" t="str">
        <f t="shared" si="1"/>
        <v>Unavailable</v>
      </c>
      <c r="C6523" s="5">
        <v>2323.0</v>
      </c>
      <c r="D6523" s="3">
        <f>IFERROR(__xludf.DUMMYFUNCTION("IFERROR(
IF(REGEXMATCH(LOWER(O6523),""k""),
VALUE(REGEXEXTRACT(O6523,""[0-9]+""))*1000,
VALUE(REGEXEXTRACT(O6523,""[0-9]+""))
),
0
)"),0.0)</f>
        <v>0</v>
      </c>
      <c r="E6523" s="1" t="s">
        <v>11</v>
      </c>
      <c r="F6523" s="1" t="s">
        <v>20</v>
      </c>
      <c r="G6523" s="4" t="b">
        <f t="shared" si="2"/>
        <v>1</v>
      </c>
      <c r="H6523" s="1" t="str">
        <f t="shared" si="3"/>
        <v>Currently Unavailable</v>
      </c>
      <c r="I6523" s="1" t="str">
        <f t="shared" si="4"/>
        <v>No Badges</v>
      </c>
      <c r="J6523" s="3">
        <f t="shared" si="5"/>
        <v>0</v>
      </c>
    </row>
    <row r="6524">
      <c r="A6524" s="1" t="s">
        <v>4956</v>
      </c>
      <c r="B6524" s="3" t="str">
        <f t="shared" si="1"/>
        <v>Unavailable</v>
      </c>
      <c r="C6524" s="5">
        <v>3322.0</v>
      </c>
      <c r="D6524" s="3">
        <f>IFERROR(__xludf.DUMMYFUNCTION("IFERROR(
IF(REGEXMATCH(LOWER(O6524),""k""),
VALUE(REGEXEXTRACT(O6524,""[0-9]+""))*1000,
VALUE(REGEXEXTRACT(O6524,""[0-9]+""))
),
0
)"),0.0)</f>
        <v>0</v>
      </c>
      <c r="E6524" s="1" t="s">
        <v>11</v>
      </c>
      <c r="F6524" s="1" t="s">
        <v>20</v>
      </c>
      <c r="G6524" s="4" t="b">
        <f t="shared" si="2"/>
        <v>1</v>
      </c>
      <c r="H6524" s="1" t="str">
        <f t="shared" si="3"/>
        <v>Currently Unavailable</v>
      </c>
      <c r="I6524" s="1" t="str">
        <f t="shared" si="4"/>
        <v>No Badges</v>
      </c>
      <c r="J6524" s="3">
        <f t="shared" si="5"/>
        <v>0</v>
      </c>
    </row>
    <row r="6525">
      <c r="A6525" s="1" t="s">
        <v>4957</v>
      </c>
      <c r="B6525" s="3" t="str">
        <f t="shared" si="1"/>
        <v>Unavailable</v>
      </c>
      <c r="C6525" s="3">
        <v>38.0</v>
      </c>
      <c r="D6525" s="3">
        <f>IFERROR(__xludf.DUMMYFUNCTION("IFERROR(
IF(REGEXMATCH(LOWER(O6525),""k""),
VALUE(REGEXEXTRACT(O6525,""[0-9]+""))*1000,
VALUE(REGEXEXTRACT(O6525,""[0-9]+""))
),
0
)"),0.0)</f>
        <v>0</v>
      </c>
      <c r="E6525" s="1" t="s">
        <v>11</v>
      </c>
      <c r="F6525" s="1" t="s">
        <v>20</v>
      </c>
      <c r="G6525" s="4" t="b">
        <f t="shared" si="2"/>
        <v>1</v>
      </c>
      <c r="H6525" s="1" t="str">
        <f t="shared" si="3"/>
        <v>Currently Unavailable</v>
      </c>
      <c r="I6525" s="1" t="str">
        <f t="shared" si="4"/>
        <v>No Badges</v>
      </c>
      <c r="J6525" s="3">
        <f t="shared" si="5"/>
        <v>0</v>
      </c>
    </row>
    <row r="6526">
      <c r="A6526" s="1" t="s">
        <v>4958</v>
      </c>
      <c r="B6526" s="3" t="str">
        <f t="shared" si="1"/>
        <v>Unavailable</v>
      </c>
      <c r="C6526" s="3">
        <v>760.0</v>
      </c>
      <c r="D6526" s="3">
        <f>IFERROR(__xludf.DUMMYFUNCTION("IFERROR(
IF(REGEXMATCH(LOWER(O6526),""k""),
VALUE(REGEXEXTRACT(O6526,""[0-9]+""))*1000,
VALUE(REGEXEXTRACT(O6526,""[0-9]+""))
),
0
)"),0.0)</f>
        <v>0</v>
      </c>
      <c r="E6526" s="1" t="s">
        <v>11</v>
      </c>
      <c r="F6526" s="1" t="s">
        <v>20</v>
      </c>
      <c r="G6526" s="4" t="b">
        <f t="shared" si="2"/>
        <v>1</v>
      </c>
      <c r="H6526" s="1" t="str">
        <f t="shared" si="3"/>
        <v>Currently Unavailable</v>
      </c>
      <c r="I6526" s="1" t="str">
        <f t="shared" si="4"/>
        <v>No Badges</v>
      </c>
      <c r="J6526" s="3">
        <f t="shared" si="5"/>
        <v>0</v>
      </c>
    </row>
    <row r="6527">
      <c r="A6527" s="1" t="s">
        <v>69</v>
      </c>
      <c r="B6527" s="3" t="str">
        <f t="shared" si="1"/>
        <v>Unavailable</v>
      </c>
      <c r="C6527" s="3">
        <v>45.0</v>
      </c>
      <c r="D6527" s="3">
        <f>IFERROR(__xludf.DUMMYFUNCTION("IFERROR(
IF(REGEXMATCH(LOWER(O6527),""k""),
VALUE(REGEXEXTRACT(O6527,""[0-9]+""))*1000,
VALUE(REGEXEXTRACT(O6527,""[0-9]+""))
),
0
)"),0.0)</f>
        <v>0</v>
      </c>
      <c r="E6527" s="1" t="s">
        <v>11</v>
      </c>
      <c r="F6527" s="1" t="s">
        <v>12</v>
      </c>
      <c r="G6527" s="4" t="b">
        <f t="shared" si="2"/>
        <v>1</v>
      </c>
      <c r="H6527" s="1" t="str">
        <f t="shared" si="3"/>
        <v>Currently Unavailable</v>
      </c>
      <c r="I6527" s="1" t="str">
        <f t="shared" si="4"/>
        <v>No Badges</v>
      </c>
      <c r="J6527" s="3">
        <f t="shared" si="5"/>
        <v>0</v>
      </c>
    </row>
    <row r="6528">
      <c r="A6528" s="1" t="s">
        <v>67</v>
      </c>
      <c r="B6528" s="3" t="str">
        <f t="shared" si="1"/>
        <v>Unavailable</v>
      </c>
      <c r="C6528" s="3">
        <v>264.0</v>
      </c>
      <c r="D6528" s="3">
        <f>IFERROR(__xludf.DUMMYFUNCTION("IFERROR(
IF(REGEXMATCH(LOWER(O6528),""k""),
VALUE(REGEXEXTRACT(O6528,""[0-9]+""))*1000,
VALUE(REGEXEXTRACT(O6528,""[0-9]+""))
),
0
)"),0.0)</f>
        <v>0</v>
      </c>
      <c r="E6528" s="1" t="s">
        <v>11</v>
      </c>
      <c r="F6528" s="1" t="s">
        <v>12</v>
      </c>
      <c r="G6528" s="4" t="b">
        <f t="shared" si="2"/>
        <v>1</v>
      </c>
      <c r="H6528" s="1" t="str">
        <f t="shared" si="3"/>
        <v>Currently Unavailable</v>
      </c>
      <c r="I6528" s="1" t="str">
        <f t="shared" si="4"/>
        <v>No Badges</v>
      </c>
      <c r="J6528" s="3">
        <f t="shared" si="5"/>
        <v>0</v>
      </c>
    </row>
    <row r="6529">
      <c r="A6529" s="1" t="s">
        <v>4959</v>
      </c>
      <c r="B6529" s="3" t="str">
        <f t="shared" si="1"/>
        <v>Unavailable</v>
      </c>
      <c r="C6529" s="3">
        <v>912.0</v>
      </c>
      <c r="D6529" s="3">
        <f>IFERROR(__xludf.DUMMYFUNCTION("IFERROR(
IF(REGEXMATCH(LOWER(O6529),""k""),
VALUE(REGEXEXTRACT(O6529,""[0-9]+""))*1000,
VALUE(REGEXEXTRACT(O6529,""[0-9]+""))
),
0
)"),0.0)</f>
        <v>0</v>
      </c>
      <c r="E6529" s="1" t="s">
        <v>11</v>
      </c>
      <c r="F6529" s="1" t="s">
        <v>20</v>
      </c>
      <c r="G6529" s="4" t="b">
        <f t="shared" si="2"/>
        <v>1</v>
      </c>
      <c r="H6529" s="1" t="str">
        <f t="shared" si="3"/>
        <v>Currently Unavailable</v>
      </c>
      <c r="I6529" s="1" t="str">
        <f t="shared" si="4"/>
        <v>No Badges</v>
      </c>
      <c r="J6529" s="3">
        <f t="shared" si="5"/>
        <v>0</v>
      </c>
    </row>
    <row r="6530">
      <c r="A6530" s="1" t="s">
        <v>4960</v>
      </c>
      <c r="B6530" s="3" t="str">
        <f t="shared" si="1"/>
        <v>Unavailable</v>
      </c>
      <c r="C6530" s="3">
        <v>1.0</v>
      </c>
      <c r="D6530" s="3">
        <f>IFERROR(__xludf.DUMMYFUNCTION("IFERROR(
IF(REGEXMATCH(LOWER(O6530),""k""),
VALUE(REGEXEXTRACT(O6530,""[0-9]+""))*1000,
VALUE(REGEXEXTRACT(O6530,""[0-9]+""))
),
0
)"),0.0)</f>
        <v>0</v>
      </c>
      <c r="E6530" s="1" t="s">
        <v>11</v>
      </c>
      <c r="F6530" s="1" t="s">
        <v>20</v>
      </c>
      <c r="G6530" s="4" t="b">
        <f t="shared" si="2"/>
        <v>1</v>
      </c>
      <c r="H6530" s="1" t="str">
        <f t="shared" si="3"/>
        <v>Currently Unavailable</v>
      </c>
      <c r="I6530" s="1" t="str">
        <f t="shared" si="4"/>
        <v>No Badges</v>
      </c>
      <c r="J6530" s="3">
        <f t="shared" si="5"/>
        <v>0</v>
      </c>
    </row>
    <row r="6531">
      <c r="A6531" s="1" t="s">
        <v>4961</v>
      </c>
      <c r="B6531" s="3" t="str">
        <f t="shared" si="1"/>
        <v>Unavailable</v>
      </c>
      <c r="C6531" s="3">
        <v>47.0</v>
      </c>
      <c r="D6531" s="3">
        <f>IFERROR(__xludf.DUMMYFUNCTION("IFERROR(
IF(REGEXMATCH(LOWER(O6531),""k""),
VALUE(REGEXEXTRACT(O6531,""[0-9]+""))*1000,
VALUE(REGEXEXTRACT(O6531,""[0-9]+""))
),
0
)"),0.0)</f>
        <v>0</v>
      </c>
      <c r="E6531" s="1" t="s">
        <v>11</v>
      </c>
      <c r="F6531" s="1" t="s">
        <v>20</v>
      </c>
      <c r="G6531" s="4" t="b">
        <f t="shared" si="2"/>
        <v>1</v>
      </c>
      <c r="H6531" s="1" t="str">
        <f t="shared" si="3"/>
        <v>Currently Unavailable</v>
      </c>
      <c r="I6531" s="1" t="str">
        <f t="shared" si="4"/>
        <v>No Badges</v>
      </c>
      <c r="J6531" s="3">
        <f t="shared" si="5"/>
        <v>0</v>
      </c>
    </row>
    <row r="6532">
      <c r="A6532" s="1" t="s">
        <v>4962</v>
      </c>
      <c r="B6532" s="3" t="str">
        <f t="shared" si="1"/>
        <v>Unavailable</v>
      </c>
      <c r="C6532" s="5">
        <v>2541.0</v>
      </c>
      <c r="D6532" s="3">
        <f>IFERROR(__xludf.DUMMYFUNCTION("IFERROR(
IF(REGEXMATCH(LOWER(O6532),""k""),
VALUE(REGEXEXTRACT(O6532,""[0-9]+""))*1000,
VALUE(REGEXEXTRACT(O6532,""[0-9]+""))
),
0
)"),0.0)</f>
        <v>0</v>
      </c>
      <c r="E6532" s="1" t="s">
        <v>11</v>
      </c>
      <c r="F6532" s="1" t="s">
        <v>20</v>
      </c>
      <c r="G6532" s="4" t="b">
        <f t="shared" si="2"/>
        <v>1</v>
      </c>
      <c r="H6532" s="1" t="str">
        <f t="shared" si="3"/>
        <v>Currently Unavailable</v>
      </c>
      <c r="I6532" s="1" t="str">
        <f t="shared" si="4"/>
        <v>No Badges</v>
      </c>
      <c r="J6532" s="3">
        <f t="shared" si="5"/>
        <v>0</v>
      </c>
    </row>
    <row r="6533">
      <c r="A6533" s="1" t="s">
        <v>4963</v>
      </c>
      <c r="B6533" s="3" t="str">
        <f t="shared" si="1"/>
        <v>Unavailable</v>
      </c>
      <c r="C6533" s="5">
        <v>1532.0</v>
      </c>
      <c r="D6533" s="3">
        <f>IFERROR(__xludf.DUMMYFUNCTION("IFERROR(
IF(REGEXMATCH(LOWER(O6533),""k""),
VALUE(REGEXEXTRACT(O6533,""[0-9]+""))*1000,
VALUE(REGEXEXTRACT(O6533,""[0-9]+""))
),
0
)"),0.0)</f>
        <v>0</v>
      </c>
      <c r="E6533" s="1" t="s">
        <v>11</v>
      </c>
      <c r="F6533" s="1" t="s">
        <v>20</v>
      </c>
      <c r="G6533" s="4" t="b">
        <f t="shared" si="2"/>
        <v>1</v>
      </c>
      <c r="H6533" s="1" t="str">
        <f t="shared" si="3"/>
        <v>Currently Unavailable</v>
      </c>
      <c r="I6533" s="1" t="str">
        <f t="shared" si="4"/>
        <v>No Badges</v>
      </c>
      <c r="J6533" s="3">
        <f t="shared" si="5"/>
        <v>0</v>
      </c>
    </row>
    <row r="6534">
      <c r="A6534" s="1" t="s">
        <v>4964</v>
      </c>
      <c r="B6534" s="3" t="str">
        <f t="shared" si="1"/>
        <v>Unavailable</v>
      </c>
      <c r="C6534" s="5">
        <v>2495.0</v>
      </c>
      <c r="D6534" s="3">
        <f>IFERROR(__xludf.DUMMYFUNCTION("IFERROR(
IF(REGEXMATCH(LOWER(O6534),""k""),
VALUE(REGEXEXTRACT(O6534,""[0-9]+""))*1000,
VALUE(REGEXEXTRACT(O6534,""[0-9]+""))
),
0
)"),0.0)</f>
        <v>0</v>
      </c>
      <c r="E6534" s="1" t="s">
        <v>11</v>
      </c>
      <c r="F6534" s="1" t="s">
        <v>20</v>
      </c>
      <c r="G6534" s="4" t="b">
        <f t="shared" si="2"/>
        <v>1</v>
      </c>
      <c r="H6534" s="1" t="str">
        <f t="shared" si="3"/>
        <v>Currently Unavailable</v>
      </c>
      <c r="I6534" s="1" t="str">
        <f t="shared" si="4"/>
        <v>No Badges</v>
      </c>
      <c r="J6534" s="3">
        <f t="shared" si="5"/>
        <v>0</v>
      </c>
    </row>
    <row r="6535">
      <c r="A6535" s="1" t="s">
        <v>4965</v>
      </c>
      <c r="B6535" s="3" t="str">
        <f t="shared" si="1"/>
        <v>Unavailable</v>
      </c>
      <c r="C6535" s="5">
        <v>7093.0</v>
      </c>
      <c r="D6535" s="3">
        <f>IFERROR(__xludf.DUMMYFUNCTION("IFERROR(
IF(REGEXMATCH(LOWER(O6535),""k""),
VALUE(REGEXEXTRACT(O6535,""[0-9]+""))*1000,
VALUE(REGEXEXTRACT(O6535,""[0-9]+""))
),
0
)"),0.0)</f>
        <v>0</v>
      </c>
      <c r="E6535" s="1" t="s">
        <v>11</v>
      </c>
      <c r="F6535" s="1" t="s">
        <v>20</v>
      </c>
      <c r="G6535" s="4" t="b">
        <f t="shared" si="2"/>
        <v>1</v>
      </c>
      <c r="H6535" s="1" t="str">
        <f t="shared" si="3"/>
        <v>Currently Unavailable</v>
      </c>
      <c r="I6535" s="1" t="str">
        <f t="shared" si="4"/>
        <v>No Badges</v>
      </c>
      <c r="J6535" s="3">
        <f t="shared" si="5"/>
        <v>0</v>
      </c>
    </row>
    <row r="6536">
      <c r="A6536" s="1" t="s">
        <v>4966</v>
      </c>
      <c r="B6536" s="3" t="str">
        <f t="shared" si="1"/>
        <v>Unavailable</v>
      </c>
      <c r="C6536" s="5">
        <v>1544.0</v>
      </c>
      <c r="D6536" s="3">
        <f>IFERROR(__xludf.DUMMYFUNCTION("IFERROR(
IF(REGEXMATCH(LOWER(O6536),""k""),
VALUE(REGEXEXTRACT(O6536,""[0-9]+""))*1000,
VALUE(REGEXEXTRACT(O6536,""[0-9]+""))
),
0
)"),0.0)</f>
        <v>0</v>
      </c>
      <c r="E6536" s="1" t="s">
        <v>11</v>
      </c>
      <c r="F6536" s="1" t="s">
        <v>20</v>
      </c>
      <c r="G6536" s="4" t="b">
        <f t="shared" si="2"/>
        <v>1</v>
      </c>
      <c r="H6536" s="1" t="str">
        <f t="shared" si="3"/>
        <v>Currently Unavailable</v>
      </c>
      <c r="I6536" s="1" t="str">
        <f t="shared" si="4"/>
        <v>No Badges</v>
      </c>
      <c r="J6536" s="3">
        <f t="shared" si="5"/>
        <v>0</v>
      </c>
    </row>
    <row r="6537">
      <c r="A6537" s="1" t="s">
        <v>4967</v>
      </c>
      <c r="B6537" s="3" t="str">
        <f t="shared" si="1"/>
        <v>Unavailable</v>
      </c>
      <c r="C6537" s="5">
        <v>32397.0</v>
      </c>
      <c r="D6537" s="3">
        <f>IFERROR(__xludf.DUMMYFUNCTION("IFERROR(
IF(REGEXMATCH(LOWER(O6537),""k""),
VALUE(REGEXEXTRACT(O6537,""[0-9]+""))*1000,
VALUE(REGEXEXTRACT(O6537,""[0-9]+""))
),
0
)"),0.0)</f>
        <v>0</v>
      </c>
      <c r="E6537" s="1" t="s">
        <v>18</v>
      </c>
      <c r="F6537" s="1" t="s">
        <v>20</v>
      </c>
      <c r="G6537" s="4" t="b">
        <f t="shared" si="2"/>
        <v>1</v>
      </c>
      <c r="H6537" s="1" t="str">
        <f t="shared" si="3"/>
        <v>Currently Unavailable</v>
      </c>
      <c r="I6537" s="1" t="str">
        <f t="shared" si="4"/>
        <v>No Badges</v>
      </c>
      <c r="J6537" s="3">
        <f t="shared" si="5"/>
        <v>0</v>
      </c>
    </row>
    <row r="6538">
      <c r="A6538" s="1" t="s">
        <v>4968</v>
      </c>
      <c r="B6538" s="3" t="str">
        <f t="shared" si="1"/>
        <v>Unavailable</v>
      </c>
      <c r="C6538" s="5">
        <v>1618.0</v>
      </c>
      <c r="D6538" s="3">
        <f>IFERROR(__xludf.DUMMYFUNCTION("IFERROR(
IF(REGEXMATCH(LOWER(O6538),""k""),
VALUE(REGEXEXTRACT(O6538,""[0-9]+""))*1000,
VALUE(REGEXEXTRACT(O6538,""[0-9]+""))
),
0
)"),0.0)</f>
        <v>0</v>
      </c>
      <c r="E6538" s="1" t="s">
        <v>11</v>
      </c>
      <c r="F6538" s="1" t="s">
        <v>20</v>
      </c>
      <c r="G6538" s="4" t="b">
        <f t="shared" si="2"/>
        <v>1</v>
      </c>
      <c r="H6538" s="1" t="str">
        <f t="shared" si="3"/>
        <v>Currently Unavailable</v>
      </c>
      <c r="I6538" s="1" t="str">
        <f t="shared" si="4"/>
        <v>No Badges</v>
      </c>
      <c r="J6538" s="3">
        <f t="shared" si="5"/>
        <v>0</v>
      </c>
    </row>
    <row r="6539">
      <c r="A6539" s="1" t="s">
        <v>4969</v>
      </c>
      <c r="B6539" s="3" t="str">
        <f t="shared" si="1"/>
        <v>Unavailable</v>
      </c>
      <c r="C6539" s="5">
        <v>3666.0</v>
      </c>
      <c r="D6539" s="3">
        <f>IFERROR(__xludf.DUMMYFUNCTION("IFERROR(
IF(REGEXMATCH(LOWER(O6539),""k""),
VALUE(REGEXEXTRACT(O6539,""[0-9]+""))*1000,
VALUE(REGEXEXTRACT(O6539,""[0-9]+""))
),
0
)"),0.0)</f>
        <v>0</v>
      </c>
      <c r="E6539" s="1" t="s">
        <v>11</v>
      </c>
      <c r="F6539" s="1" t="s">
        <v>20</v>
      </c>
      <c r="G6539" s="4" t="b">
        <f t="shared" si="2"/>
        <v>1</v>
      </c>
      <c r="H6539" s="1" t="str">
        <f t="shared" si="3"/>
        <v>Currently Unavailable</v>
      </c>
      <c r="I6539" s="1" t="str">
        <f t="shared" si="4"/>
        <v>No Badges</v>
      </c>
      <c r="J6539" s="3">
        <f t="shared" si="5"/>
        <v>0</v>
      </c>
    </row>
    <row r="6540">
      <c r="A6540" s="1" t="s">
        <v>4970</v>
      </c>
      <c r="B6540" s="3" t="str">
        <f t="shared" si="1"/>
        <v>Unavailable</v>
      </c>
      <c r="C6540" s="3">
        <v>963.0</v>
      </c>
      <c r="D6540" s="3">
        <f>IFERROR(__xludf.DUMMYFUNCTION("IFERROR(
IF(REGEXMATCH(LOWER(O6540),""k""),
VALUE(REGEXEXTRACT(O6540,""[0-9]+""))*1000,
VALUE(REGEXEXTRACT(O6540,""[0-9]+""))
),
0
)"),0.0)</f>
        <v>0</v>
      </c>
      <c r="E6540" s="1" t="s">
        <v>11</v>
      </c>
      <c r="F6540" s="1" t="s">
        <v>20</v>
      </c>
      <c r="G6540" s="4" t="b">
        <f t="shared" si="2"/>
        <v>1</v>
      </c>
      <c r="H6540" s="1" t="str">
        <f t="shared" si="3"/>
        <v>Currently Unavailable</v>
      </c>
      <c r="I6540" s="1" t="str">
        <f t="shared" si="4"/>
        <v>No Badges</v>
      </c>
      <c r="J6540" s="3">
        <f t="shared" si="5"/>
        <v>0</v>
      </c>
    </row>
    <row r="6541">
      <c r="A6541" s="1" t="s">
        <v>4971</v>
      </c>
      <c r="B6541" s="3" t="str">
        <f t="shared" si="1"/>
        <v>Unavailable</v>
      </c>
      <c r="C6541" s="5">
        <v>1704.0</v>
      </c>
      <c r="D6541" s="3">
        <f>IFERROR(__xludf.DUMMYFUNCTION("IFERROR(
IF(REGEXMATCH(LOWER(O6541),""k""),
VALUE(REGEXEXTRACT(O6541,""[0-9]+""))*1000,
VALUE(REGEXEXTRACT(O6541,""[0-9]+""))
),
0
)"),0.0)</f>
        <v>0</v>
      </c>
      <c r="E6541" s="1" t="s">
        <v>11</v>
      </c>
      <c r="F6541" s="1" t="s">
        <v>20</v>
      </c>
      <c r="G6541" s="4" t="b">
        <f t="shared" si="2"/>
        <v>1</v>
      </c>
      <c r="H6541" s="1" t="str">
        <f t="shared" si="3"/>
        <v>Currently Unavailable</v>
      </c>
      <c r="I6541" s="1" t="str">
        <f t="shared" si="4"/>
        <v>No Badges</v>
      </c>
      <c r="J6541" s="3">
        <f t="shared" si="5"/>
        <v>0</v>
      </c>
    </row>
    <row r="6542">
      <c r="A6542" s="1" t="s">
        <v>701</v>
      </c>
      <c r="B6542" s="3" t="str">
        <f t="shared" si="1"/>
        <v>Unavailable</v>
      </c>
      <c r="C6542" s="3">
        <v>8.0</v>
      </c>
      <c r="D6542" s="3">
        <f>IFERROR(__xludf.DUMMYFUNCTION("IFERROR(
IF(REGEXMATCH(LOWER(O6542),""k""),
VALUE(REGEXEXTRACT(O6542,""[0-9]+""))*1000,
VALUE(REGEXEXTRACT(O6542,""[0-9]+""))
),
0
)"),0.0)</f>
        <v>0</v>
      </c>
      <c r="E6542" s="1" t="s">
        <v>11</v>
      </c>
      <c r="F6542" s="1" t="s">
        <v>12</v>
      </c>
      <c r="G6542" s="4" t="b">
        <f t="shared" si="2"/>
        <v>1</v>
      </c>
      <c r="H6542" s="1" t="str">
        <f t="shared" si="3"/>
        <v>Currently Unavailable</v>
      </c>
      <c r="I6542" s="1" t="str">
        <f t="shared" si="4"/>
        <v>No Badges</v>
      </c>
      <c r="J6542" s="3">
        <f t="shared" si="5"/>
        <v>0</v>
      </c>
    </row>
    <row r="6543">
      <c r="A6543" s="1" t="s">
        <v>4972</v>
      </c>
      <c r="B6543" s="3" t="str">
        <f t="shared" si="1"/>
        <v>Unavailable</v>
      </c>
      <c r="C6543" s="5">
        <v>1370.0</v>
      </c>
      <c r="D6543" s="3">
        <f>IFERROR(__xludf.DUMMYFUNCTION("IFERROR(
IF(REGEXMATCH(LOWER(O6543),""k""),
VALUE(REGEXEXTRACT(O6543,""[0-9]+""))*1000,
VALUE(REGEXEXTRACT(O6543,""[0-9]+""))
),
0
)"),0.0)</f>
        <v>0</v>
      </c>
      <c r="E6543" s="1" t="s">
        <v>11</v>
      </c>
      <c r="F6543" s="1" t="s">
        <v>20</v>
      </c>
      <c r="G6543" s="4" t="b">
        <f t="shared" si="2"/>
        <v>1</v>
      </c>
      <c r="H6543" s="1" t="str">
        <f t="shared" si="3"/>
        <v>Currently Unavailable</v>
      </c>
      <c r="I6543" s="1" t="str">
        <f t="shared" si="4"/>
        <v>No Badges</v>
      </c>
      <c r="J6543" s="3">
        <f t="shared" si="5"/>
        <v>0</v>
      </c>
    </row>
    <row r="6544">
      <c r="A6544" s="1" t="s">
        <v>4973</v>
      </c>
      <c r="B6544" s="3" t="str">
        <f t="shared" si="1"/>
        <v>Unavailable</v>
      </c>
      <c r="C6544" s="3">
        <v>10.0</v>
      </c>
      <c r="D6544" s="3">
        <f>IFERROR(__xludf.DUMMYFUNCTION("IFERROR(
IF(REGEXMATCH(LOWER(O6544),""k""),
VALUE(REGEXEXTRACT(O6544,""[0-9]+""))*1000,
VALUE(REGEXEXTRACT(O6544,""[0-9]+""))
),
0
)"),0.0)</f>
        <v>0</v>
      </c>
      <c r="E6544" s="1" t="s">
        <v>11</v>
      </c>
      <c r="F6544" s="1" t="s">
        <v>12</v>
      </c>
      <c r="G6544" s="4" t="b">
        <f t="shared" si="2"/>
        <v>1</v>
      </c>
      <c r="H6544" s="1" t="str">
        <f t="shared" si="3"/>
        <v>Currently Unavailable</v>
      </c>
      <c r="I6544" s="1" t="str">
        <f t="shared" si="4"/>
        <v>No Badges</v>
      </c>
      <c r="J6544" s="3">
        <f t="shared" si="5"/>
        <v>0</v>
      </c>
    </row>
    <row r="6545">
      <c r="A6545" s="1" t="s">
        <v>4974</v>
      </c>
      <c r="B6545" s="3" t="str">
        <f t="shared" si="1"/>
        <v>Unavailable</v>
      </c>
      <c r="C6545" s="3">
        <v>350.0</v>
      </c>
      <c r="D6545" s="3">
        <f>IFERROR(__xludf.DUMMYFUNCTION("IFERROR(
IF(REGEXMATCH(LOWER(O6545),""k""),
VALUE(REGEXEXTRACT(O6545,""[0-9]+""))*1000,
VALUE(REGEXEXTRACT(O6545,""[0-9]+""))
),
0
)"),0.0)</f>
        <v>0</v>
      </c>
      <c r="E6545" s="1" t="s">
        <v>11</v>
      </c>
      <c r="F6545" s="1" t="s">
        <v>20</v>
      </c>
      <c r="G6545" s="4" t="b">
        <f t="shared" si="2"/>
        <v>1</v>
      </c>
      <c r="H6545" s="1" t="str">
        <f t="shared" si="3"/>
        <v>Currently Unavailable</v>
      </c>
      <c r="I6545" s="1" t="str">
        <f t="shared" si="4"/>
        <v>No Badges</v>
      </c>
      <c r="J6545" s="3">
        <f t="shared" si="5"/>
        <v>0</v>
      </c>
    </row>
    <row r="6546">
      <c r="A6546" s="1" t="s">
        <v>4975</v>
      </c>
      <c r="B6546" s="3" t="str">
        <f t="shared" si="1"/>
        <v>Unavailable</v>
      </c>
      <c r="C6546" s="5">
        <v>4831.0</v>
      </c>
      <c r="D6546" s="3">
        <f>IFERROR(__xludf.DUMMYFUNCTION("IFERROR(
IF(REGEXMATCH(LOWER(O6546),""k""),
VALUE(REGEXEXTRACT(O6546,""[0-9]+""))*1000,
VALUE(REGEXEXTRACT(O6546,""[0-9]+""))
),
0
)"),0.0)</f>
        <v>0</v>
      </c>
      <c r="E6546" s="1" t="s">
        <v>11</v>
      </c>
      <c r="F6546" s="1" t="s">
        <v>20</v>
      </c>
      <c r="G6546" s="4" t="b">
        <f t="shared" si="2"/>
        <v>1</v>
      </c>
      <c r="H6546" s="1" t="str">
        <f t="shared" si="3"/>
        <v>Currently Unavailable</v>
      </c>
      <c r="I6546" s="1" t="str">
        <f t="shared" si="4"/>
        <v>No Badges</v>
      </c>
      <c r="J6546" s="3">
        <f t="shared" si="5"/>
        <v>0</v>
      </c>
    </row>
    <row r="6547">
      <c r="A6547" s="1" t="s">
        <v>69</v>
      </c>
      <c r="B6547" s="3" t="str">
        <f t="shared" si="1"/>
        <v>Unavailable</v>
      </c>
      <c r="C6547" s="3">
        <v>45.0</v>
      </c>
      <c r="D6547" s="3">
        <f>IFERROR(__xludf.DUMMYFUNCTION("IFERROR(
IF(REGEXMATCH(LOWER(O6547),""k""),
VALUE(REGEXEXTRACT(O6547,""[0-9]+""))*1000,
VALUE(REGEXEXTRACT(O6547,""[0-9]+""))
),
0
)"),0.0)</f>
        <v>0</v>
      </c>
      <c r="E6547" s="1" t="s">
        <v>11</v>
      </c>
      <c r="F6547" s="1" t="s">
        <v>12</v>
      </c>
      <c r="G6547" s="4" t="b">
        <f t="shared" si="2"/>
        <v>1</v>
      </c>
      <c r="H6547" s="1" t="str">
        <f t="shared" si="3"/>
        <v>Currently Unavailable</v>
      </c>
      <c r="I6547" s="1" t="str">
        <f t="shared" si="4"/>
        <v>No Badges</v>
      </c>
      <c r="J6547" s="3">
        <f t="shared" si="5"/>
        <v>0</v>
      </c>
    </row>
    <row r="6548">
      <c r="A6548" s="1" t="s">
        <v>4976</v>
      </c>
      <c r="B6548" s="3" t="str">
        <f t="shared" si="1"/>
        <v>Unavailable</v>
      </c>
      <c r="C6548" s="3">
        <v>375.0</v>
      </c>
      <c r="D6548" s="3">
        <f>IFERROR(__xludf.DUMMYFUNCTION("IFERROR(
IF(REGEXMATCH(LOWER(O6548),""k""),
VALUE(REGEXEXTRACT(O6548,""[0-9]+""))*1000,
VALUE(REGEXEXTRACT(O6548,""[0-9]+""))
),
0
)"),0.0)</f>
        <v>0</v>
      </c>
      <c r="E6548" s="1" t="s">
        <v>11</v>
      </c>
      <c r="F6548" s="1" t="s">
        <v>20</v>
      </c>
      <c r="G6548" s="4" t="b">
        <f t="shared" si="2"/>
        <v>1</v>
      </c>
      <c r="H6548" s="1" t="str">
        <f t="shared" si="3"/>
        <v>Currently Unavailable</v>
      </c>
      <c r="I6548" s="1" t="str">
        <f t="shared" si="4"/>
        <v>No Badges</v>
      </c>
      <c r="J6548" s="3">
        <f t="shared" si="5"/>
        <v>0</v>
      </c>
    </row>
    <row r="6549">
      <c r="A6549" s="1" t="s">
        <v>4977</v>
      </c>
      <c r="B6549" s="3" t="str">
        <f t="shared" si="1"/>
        <v>Unavailable</v>
      </c>
      <c r="C6549" s="3">
        <v>45.0</v>
      </c>
      <c r="D6549" s="3">
        <f>IFERROR(__xludf.DUMMYFUNCTION("IFERROR(
IF(REGEXMATCH(LOWER(O6549),""k""),
VALUE(REGEXEXTRACT(O6549,""[0-9]+""))*1000,
VALUE(REGEXEXTRACT(O6549,""[0-9]+""))
),
0
)"),0.0)</f>
        <v>0</v>
      </c>
      <c r="E6549" s="1" t="s">
        <v>11</v>
      </c>
      <c r="F6549" s="1" t="s">
        <v>20</v>
      </c>
      <c r="G6549" s="4" t="b">
        <f t="shared" si="2"/>
        <v>1</v>
      </c>
      <c r="H6549" s="1" t="str">
        <f t="shared" si="3"/>
        <v>Currently Unavailable</v>
      </c>
      <c r="I6549" s="1" t="str">
        <f t="shared" si="4"/>
        <v>No Badges</v>
      </c>
      <c r="J6549" s="3">
        <f t="shared" si="5"/>
        <v>0</v>
      </c>
    </row>
    <row r="6550">
      <c r="A6550" s="1" t="s">
        <v>4978</v>
      </c>
      <c r="B6550" s="3" t="str">
        <f t="shared" si="1"/>
        <v>Unavailable</v>
      </c>
      <c r="C6550" s="3">
        <v>31.0</v>
      </c>
      <c r="D6550" s="3">
        <f>IFERROR(__xludf.DUMMYFUNCTION("IFERROR(
IF(REGEXMATCH(LOWER(O6550),""k""),
VALUE(REGEXEXTRACT(O6550,""[0-9]+""))*1000,
VALUE(REGEXEXTRACT(O6550,""[0-9]+""))
),
0
)"),0.0)</f>
        <v>0</v>
      </c>
      <c r="E6550" s="1" t="s">
        <v>11</v>
      </c>
      <c r="F6550" s="1" t="s">
        <v>20</v>
      </c>
      <c r="G6550" s="4" t="b">
        <f t="shared" si="2"/>
        <v>1</v>
      </c>
      <c r="H6550" s="1" t="str">
        <f t="shared" si="3"/>
        <v>Currently Unavailable</v>
      </c>
      <c r="I6550" s="1" t="str">
        <f t="shared" si="4"/>
        <v>No Badges</v>
      </c>
      <c r="J6550" s="3">
        <f t="shared" si="5"/>
        <v>0</v>
      </c>
    </row>
    <row r="6551">
      <c r="A6551" s="1" t="s">
        <v>4979</v>
      </c>
      <c r="B6551" s="3" t="str">
        <f t="shared" si="1"/>
        <v>Unavailable</v>
      </c>
      <c r="C6551" s="5">
        <v>3117.0</v>
      </c>
      <c r="D6551" s="3">
        <f>IFERROR(__xludf.DUMMYFUNCTION("IFERROR(
IF(REGEXMATCH(LOWER(O6551),""k""),
VALUE(REGEXEXTRACT(O6551,""[0-9]+""))*1000,
VALUE(REGEXEXTRACT(O6551,""[0-9]+""))
),
0
)"),0.0)</f>
        <v>0</v>
      </c>
      <c r="E6551" s="1" t="s">
        <v>11</v>
      </c>
      <c r="F6551" s="1" t="s">
        <v>20</v>
      </c>
      <c r="G6551" s="4" t="b">
        <f t="shared" si="2"/>
        <v>1</v>
      </c>
      <c r="H6551" s="1" t="str">
        <f t="shared" si="3"/>
        <v>Currently Unavailable</v>
      </c>
      <c r="I6551" s="1" t="str">
        <f t="shared" si="4"/>
        <v>No Badges</v>
      </c>
      <c r="J6551" s="3">
        <f t="shared" si="5"/>
        <v>0</v>
      </c>
    </row>
    <row r="6552">
      <c r="A6552" s="1" t="s">
        <v>4980</v>
      </c>
      <c r="B6552" s="3" t="str">
        <f t="shared" si="1"/>
        <v>Unavailable</v>
      </c>
      <c r="C6552" s="3">
        <v>236.0</v>
      </c>
      <c r="D6552" s="3">
        <f>IFERROR(__xludf.DUMMYFUNCTION("IFERROR(
IF(REGEXMATCH(LOWER(O6552),""k""),
VALUE(REGEXEXTRACT(O6552,""[0-9]+""))*1000,
VALUE(REGEXEXTRACT(O6552,""[0-9]+""))
),
0
)"),0.0)</f>
        <v>0</v>
      </c>
      <c r="E6552" s="1" t="s">
        <v>11</v>
      </c>
      <c r="F6552" s="1" t="s">
        <v>20</v>
      </c>
      <c r="G6552" s="4" t="b">
        <f t="shared" si="2"/>
        <v>1</v>
      </c>
      <c r="H6552" s="1" t="str">
        <f t="shared" si="3"/>
        <v>Currently Unavailable</v>
      </c>
      <c r="I6552" s="1" t="str">
        <f t="shared" si="4"/>
        <v>No Badges</v>
      </c>
      <c r="J6552" s="3">
        <f t="shared" si="5"/>
        <v>0</v>
      </c>
    </row>
    <row r="6553">
      <c r="A6553" s="1" t="s">
        <v>4981</v>
      </c>
      <c r="B6553" s="3" t="str">
        <f t="shared" si="1"/>
        <v>Unavailable</v>
      </c>
      <c r="C6553" s="5">
        <v>4482.0</v>
      </c>
      <c r="D6553" s="3">
        <f>IFERROR(__xludf.DUMMYFUNCTION("IFERROR(
IF(REGEXMATCH(LOWER(O6553),""k""),
VALUE(REGEXEXTRACT(O6553,""[0-9]+""))*1000,
VALUE(REGEXEXTRACT(O6553,""[0-9]+""))
),
0
)"),0.0)</f>
        <v>0</v>
      </c>
      <c r="E6553" s="1" t="s">
        <v>11</v>
      </c>
      <c r="F6553" s="1" t="s">
        <v>20</v>
      </c>
      <c r="G6553" s="4" t="b">
        <f t="shared" si="2"/>
        <v>1</v>
      </c>
      <c r="H6553" s="1" t="str">
        <f t="shared" si="3"/>
        <v>Currently Unavailable</v>
      </c>
      <c r="I6553" s="1" t="str">
        <f t="shared" si="4"/>
        <v>No Badges</v>
      </c>
      <c r="J6553" s="3">
        <f t="shared" si="5"/>
        <v>0</v>
      </c>
    </row>
    <row r="6554">
      <c r="A6554" s="1" t="s">
        <v>4982</v>
      </c>
      <c r="B6554" s="3" t="str">
        <f t="shared" si="1"/>
        <v>Unavailable</v>
      </c>
      <c r="C6554" s="5">
        <v>2194.0</v>
      </c>
      <c r="D6554" s="3">
        <f>IFERROR(__xludf.DUMMYFUNCTION("IFERROR(
IF(REGEXMATCH(LOWER(O6554),""k""),
VALUE(REGEXEXTRACT(O6554,""[0-9]+""))*1000,
VALUE(REGEXEXTRACT(O6554,""[0-9]+""))
),
0
)"),0.0)</f>
        <v>0</v>
      </c>
      <c r="E6554" s="1" t="s">
        <v>11</v>
      </c>
      <c r="F6554" s="1" t="s">
        <v>20</v>
      </c>
      <c r="G6554" s="4" t="b">
        <f t="shared" si="2"/>
        <v>1</v>
      </c>
      <c r="H6554" s="1" t="str">
        <f t="shared" si="3"/>
        <v>Currently Unavailable</v>
      </c>
      <c r="I6554" s="1" t="str">
        <f t="shared" si="4"/>
        <v>No Badges</v>
      </c>
      <c r="J6554" s="3">
        <f t="shared" si="5"/>
        <v>0</v>
      </c>
    </row>
    <row r="6555">
      <c r="A6555" s="1" t="s">
        <v>4983</v>
      </c>
      <c r="B6555" s="3" t="str">
        <f t="shared" si="1"/>
        <v>Unavailable</v>
      </c>
      <c r="C6555" s="5">
        <v>5564.0</v>
      </c>
      <c r="D6555" s="3">
        <f>IFERROR(__xludf.DUMMYFUNCTION("IFERROR(
IF(REGEXMATCH(LOWER(O6555),""k""),
VALUE(REGEXEXTRACT(O6555,""[0-9]+""))*1000,
VALUE(REGEXEXTRACT(O6555,""[0-9]+""))
),
0
)"),0.0)</f>
        <v>0</v>
      </c>
      <c r="E6555" s="1" t="s">
        <v>11</v>
      </c>
      <c r="F6555" s="1" t="s">
        <v>20</v>
      </c>
      <c r="G6555" s="4" t="b">
        <f t="shared" si="2"/>
        <v>1</v>
      </c>
      <c r="H6555" s="1" t="str">
        <f t="shared" si="3"/>
        <v>Currently Unavailable</v>
      </c>
      <c r="I6555" s="1" t="str">
        <f t="shared" si="4"/>
        <v>No Badges</v>
      </c>
      <c r="J6555" s="3">
        <f t="shared" si="5"/>
        <v>0</v>
      </c>
    </row>
    <row r="6556">
      <c r="A6556" s="1" t="s">
        <v>4984</v>
      </c>
      <c r="B6556" s="3" t="str">
        <f t="shared" si="1"/>
        <v>Unavailable</v>
      </c>
      <c r="C6556" s="5">
        <v>1637.0</v>
      </c>
      <c r="D6556" s="3">
        <f>IFERROR(__xludf.DUMMYFUNCTION("IFERROR(
IF(REGEXMATCH(LOWER(O6556),""k""),
VALUE(REGEXEXTRACT(O6556,""[0-9]+""))*1000,
VALUE(REGEXEXTRACT(O6556,""[0-9]+""))
),
0
)"),0.0)</f>
        <v>0</v>
      </c>
      <c r="E6556" s="1" t="s">
        <v>11</v>
      </c>
      <c r="F6556" s="1" t="s">
        <v>20</v>
      </c>
      <c r="G6556" s="4" t="b">
        <f t="shared" si="2"/>
        <v>1</v>
      </c>
      <c r="H6556" s="1" t="str">
        <f t="shared" si="3"/>
        <v>Currently Unavailable</v>
      </c>
      <c r="I6556" s="1" t="str">
        <f t="shared" si="4"/>
        <v>No Badges</v>
      </c>
      <c r="J6556" s="3">
        <f t="shared" si="5"/>
        <v>0</v>
      </c>
    </row>
    <row r="6557">
      <c r="A6557" s="1" t="s">
        <v>4985</v>
      </c>
      <c r="B6557" s="3" t="str">
        <f t="shared" si="1"/>
        <v>Unavailable</v>
      </c>
      <c r="C6557" s="5">
        <v>3691.0</v>
      </c>
      <c r="D6557" s="3">
        <f>IFERROR(__xludf.DUMMYFUNCTION("IFERROR(
IF(REGEXMATCH(LOWER(O6557),""k""),
VALUE(REGEXEXTRACT(O6557,""[0-9]+""))*1000,
VALUE(REGEXEXTRACT(O6557,""[0-9]+""))
),
0
)"),0.0)</f>
        <v>0</v>
      </c>
      <c r="E6557" s="1" t="s">
        <v>11</v>
      </c>
      <c r="F6557" s="1" t="s">
        <v>20</v>
      </c>
      <c r="G6557" s="4" t="b">
        <f t="shared" si="2"/>
        <v>1</v>
      </c>
      <c r="H6557" s="1" t="str">
        <f t="shared" si="3"/>
        <v>Currently Unavailable</v>
      </c>
      <c r="I6557" s="1" t="str">
        <f t="shared" si="4"/>
        <v>No Badges</v>
      </c>
      <c r="J6557" s="3">
        <f t="shared" si="5"/>
        <v>0</v>
      </c>
    </row>
    <row r="6558">
      <c r="A6558" s="1" t="s">
        <v>4986</v>
      </c>
      <c r="B6558" s="3" t="str">
        <f t="shared" si="1"/>
        <v>Unavailable</v>
      </c>
      <c r="C6558" s="5">
        <v>1226.0</v>
      </c>
      <c r="D6558" s="3">
        <f>IFERROR(__xludf.DUMMYFUNCTION("IFERROR(
IF(REGEXMATCH(LOWER(O6558),""k""),
VALUE(REGEXEXTRACT(O6558,""[0-9]+""))*1000,
VALUE(REGEXEXTRACT(O6558,""[0-9]+""))
),
0
)"),0.0)</f>
        <v>0</v>
      </c>
      <c r="E6558" s="1" t="s">
        <v>11</v>
      </c>
      <c r="F6558" s="1" t="s">
        <v>20</v>
      </c>
      <c r="G6558" s="4" t="b">
        <f t="shared" si="2"/>
        <v>1</v>
      </c>
      <c r="H6558" s="1" t="str">
        <f t="shared" si="3"/>
        <v>Currently Unavailable</v>
      </c>
      <c r="I6558" s="1" t="str">
        <f t="shared" si="4"/>
        <v>No Badges</v>
      </c>
      <c r="J6558" s="3">
        <f t="shared" si="5"/>
        <v>0</v>
      </c>
    </row>
    <row r="6559">
      <c r="A6559" s="1" t="s">
        <v>4987</v>
      </c>
      <c r="B6559" s="3" t="str">
        <f t="shared" si="1"/>
        <v>Unavailable</v>
      </c>
      <c r="C6559" s="3">
        <v>271.0</v>
      </c>
      <c r="D6559" s="3">
        <f>IFERROR(__xludf.DUMMYFUNCTION("IFERROR(
IF(REGEXMATCH(LOWER(O6559),""k""),
VALUE(REGEXEXTRACT(O6559,""[0-9]+""))*1000,
VALUE(REGEXEXTRACT(O6559,""[0-9]+""))
),
0
)"),0.0)</f>
        <v>0</v>
      </c>
      <c r="E6559" s="1" t="s">
        <v>11</v>
      </c>
      <c r="F6559" s="1" t="s">
        <v>20</v>
      </c>
      <c r="G6559" s="4" t="b">
        <f t="shared" si="2"/>
        <v>1</v>
      </c>
      <c r="H6559" s="1" t="str">
        <f t="shared" si="3"/>
        <v>Currently Unavailable</v>
      </c>
      <c r="I6559" s="1" t="str">
        <f t="shared" si="4"/>
        <v>No Badges</v>
      </c>
      <c r="J6559" s="3">
        <f t="shared" si="5"/>
        <v>0</v>
      </c>
    </row>
    <row r="6560">
      <c r="A6560" s="1" t="s">
        <v>67</v>
      </c>
      <c r="B6560" s="3" t="str">
        <f t="shared" si="1"/>
        <v>Unavailable</v>
      </c>
      <c r="C6560" s="3">
        <v>264.0</v>
      </c>
      <c r="D6560" s="3">
        <f>IFERROR(__xludf.DUMMYFUNCTION("IFERROR(
IF(REGEXMATCH(LOWER(O6560),""k""),
VALUE(REGEXEXTRACT(O6560,""[0-9]+""))*1000,
VALUE(REGEXEXTRACT(O6560,""[0-9]+""))
),
0
)"),0.0)</f>
        <v>0</v>
      </c>
      <c r="E6560" s="1" t="s">
        <v>11</v>
      </c>
      <c r="F6560" s="1" t="s">
        <v>12</v>
      </c>
      <c r="G6560" s="4" t="b">
        <f t="shared" si="2"/>
        <v>1</v>
      </c>
      <c r="H6560" s="1" t="str">
        <f t="shared" si="3"/>
        <v>Currently Unavailable</v>
      </c>
      <c r="I6560" s="1" t="str">
        <f t="shared" si="4"/>
        <v>No Badges</v>
      </c>
      <c r="J6560" s="3">
        <f t="shared" si="5"/>
        <v>0</v>
      </c>
    </row>
    <row r="6561">
      <c r="A6561" s="1" t="s">
        <v>4988</v>
      </c>
      <c r="B6561" s="3" t="str">
        <f t="shared" si="1"/>
        <v>Unavailable</v>
      </c>
      <c r="C6561" s="3">
        <v>372.0</v>
      </c>
      <c r="D6561" s="3">
        <f>IFERROR(__xludf.DUMMYFUNCTION("IFERROR(
IF(REGEXMATCH(LOWER(O6561),""k""),
VALUE(REGEXEXTRACT(O6561,""[0-9]+""))*1000,
VALUE(REGEXEXTRACT(O6561,""[0-9]+""))
),
0
)"),0.0)</f>
        <v>0</v>
      </c>
      <c r="E6561" s="1" t="s">
        <v>11</v>
      </c>
      <c r="F6561" s="1" t="s">
        <v>20</v>
      </c>
      <c r="G6561" s="4" t="b">
        <f t="shared" si="2"/>
        <v>1</v>
      </c>
      <c r="H6561" s="1" t="str">
        <f t="shared" si="3"/>
        <v>Currently Unavailable</v>
      </c>
      <c r="I6561" s="1" t="str">
        <f t="shared" si="4"/>
        <v>No Badges</v>
      </c>
      <c r="J6561" s="3">
        <f t="shared" si="5"/>
        <v>0</v>
      </c>
    </row>
    <row r="6562">
      <c r="A6562" s="1" t="s">
        <v>701</v>
      </c>
      <c r="B6562" s="3" t="str">
        <f t="shared" si="1"/>
        <v>Unavailable</v>
      </c>
      <c r="C6562" s="3">
        <v>8.0</v>
      </c>
      <c r="D6562" s="3">
        <f>IFERROR(__xludf.DUMMYFUNCTION("IFERROR(
IF(REGEXMATCH(LOWER(O6562),""k""),
VALUE(REGEXEXTRACT(O6562,""[0-9]+""))*1000,
VALUE(REGEXEXTRACT(O6562,""[0-9]+""))
),
0
)"),0.0)</f>
        <v>0</v>
      </c>
      <c r="E6562" s="1" t="s">
        <v>11</v>
      </c>
      <c r="F6562" s="1" t="s">
        <v>12</v>
      </c>
      <c r="G6562" s="4" t="b">
        <f t="shared" si="2"/>
        <v>1</v>
      </c>
      <c r="H6562" s="1" t="str">
        <f t="shared" si="3"/>
        <v>Currently Unavailable</v>
      </c>
      <c r="I6562" s="1" t="str">
        <f t="shared" si="4"/>
        <v>No Badges</v>
      </c>
      <c r="J6562" s="3">
        <f t="shared" si="5"/>
        <v>0</v>
      </c>
    </row>
    <row r="6563">
      <c r="A6563" s="1" t="s">
        <v>4989</v>
      </c>
      <c r="B6563" s="3" t="str">
        <f t="shared" si="1"/>
        <v>Unavailable</v>
      </c>
      <c r="C6563" s="3">
        <v>355.0</v>
      </c>
      <c r="D6563" s="3">
        <f>IFERROR(__xludf.DUMMYFUNCTION("IFERROR(
IF(REGEXMATCH(LOWER(O6563),""k""),
VALUE(REGEXEXTRACT(O6563,""[0-9]+""))*1000,
VALUE(REGEXEXTRACT(O6563,""[0-9]+""))
),
0
)"),0.0)</f>
        <v>0</v>
      </c>
      <c r="E6563" s="1" t="s">
        <v>11</v>
      </c>
      <c r="F6563" s="1" t="s">
        <v>20</v>
      </c>
      <c r="G6563" s="4" t="b">
        <f t="shared" si="2"/>
        <v>1</v>
      </c>
      <c r="H6563" s="1" t="str">
        <f t="shared" si="3"/>
        <v>Currently Unavailable</v>
      </c>
      <c r="I6563" s="1" t="str">
        <f t="shared" si="4"/>
        <v>No Badges</v>
      </c>
      <c r="J6563" s="3">
        <f t="shared" si="5"/>
        <v>0</v>
      </c>
    </row>
    <row r="6564">
      <c r="A6564" s="1" t="s">
        <v>4990</v>
      </c>
      <c r="B6564" s="3" t="str">
        <f t="shared" si="1"/>
        <v>Unavailable</v>
      </c>
      <c r="C6564" s="3">
        <v>322.0</v>
      </c>
      <c r="D6564" s="3">
        <f>IFERROR(__xludf.DUMMYFUNCTION("IFERROR(
IF(REGEXMATCH(LOWER(O6564),""k""),
VALUE(REGEXEXTRACT(O6564,""[0-9]+""))*1000,
VALUE(REGEXEXTRACT(O6564,""[0-9]+""))
),
0
)"),0.0)</f>
        <v>0</v>
      </c>
      <c r="E6564" s="1" t="s">
        <v>11</v>
      </c>
      <c r="F6564" s="1" t="s">
        <v>20</v>
      </c>
      <c r="G6564" s="4" t="b">
        <f t="shared" si="2"/>
        <v>1</v>
      </c>
      <c r="H6564" s="1" t="str">
        <f t="shared" si="3"/>
        <v>Currently Unavailable</v>
      </c>
      <c r="I6564" s="1" t="str">
        <f t="shared" si="4"/>
        <v>No Badges</v>
      </c>
      <c r="J6564" s="3">
        <f t="shared" si="5"/>
        <v>0</v>
      </c>
    </row>
    <row r="6565">
      <c r="A6565" s="1" t="s">
        <v>4991</v>
      </c>
      <c r="B6565" s="3" t="str">
        <f t="shared" si="1"/>
        <v>Unavailable</v>
      </c>
      <c r="C6565" s="3">
        <v>34.0</v>
      </c>
      <c r="D6565" s="3">
        <f>IFERROR(__xludf.DUMMYFUNCTION("IFERROR(
IF(REGEXMATCH(LOWER(O6565),""k""),
VALUE(REGEXEXTRACT(O6565,""[0-9]+""))*1000,
VALUE(REGEXEXTRACT(O6565,""[0-9]+""))
),
0
)"),0.0)</f>
        <v>0</v>
      </c>
      <c r="E6565" s="1" t="s">
        <v>11</v>
      </c>
      <c r="F6565" s="1" t="s">
        <v>20</v>
      </c>
      <c r="G6565" s="4" t="b">
        <f t="shared" si="2"/>
        <v>1</v>
      </c>
      <c r="H6565" s="1" t="str">
        <f t="shared" si="3"/>
        <v>Currently Unavailable</v>
      </c>
      <c r="I6565" s="1" t="str">
        <f t="shared" si="4"/>
        <v>No Badges</v>
      </c>
      <c r="J6565" s="3">
        <f t="shared" si="5"/>
        <v>0</v>
      </c>
    </row>
    <row r="6566">
      <c r="A6566" s="1" t="s">
        <v>4992</v>
      </c>
      <c r="B6566" s="3" t="str">
        <f t="shared" si="1"/>
        <v>Unavailable</v>
      </c>
      <c r="C6566" s="3">
        <v>299.0</v>
      </c>
      <c r="D6566" s="3">
        <f>IFERROR(__xludf.DUMMYFUNCTION("IFERROR(
IF(REGEXMATCH(LOWER(O6566),""k""),
VALUE(REGEXEXTRACT(O6566,""[0-9]+""))*1000,
VALUE(REGEXEXTRACT(O6566,""[0-9]+""))
),
0
)"),0.0)</f>
        <v>0</v>
      </c>
      <c r="E6566" s="1" t="s">
        <v>11</v>
      </c>
      <c r="F6566" s="1" t="s">
        <v>20</v>
      </c>
      <c r="G6566" s="4" t="b">
        <f t="shared" si="2"/>
        <v>1</v>
      </c>
      <c r="H6566" s="1" t="str">
        <f t="shared" si="3"/>
        <v>Currently Unavailable</v>
      </c>
      <c r="I6566" s="1" t="str">
        <f t="shared" si="4"/>
        <v>No Badges</v>
      </c>
      <c r="J6566" s="3">
        <f t="shared" si="5"/>
        <v>0</v>
      </c>
    </row>
    <row r="6567">
      <c r="A6567" s="1" t="s">
        <v>4993</v>
      </c>
      <c r="B6567" s="3" t="str">
        <f t="shared" si="1"/>
        <v>Unavailable</v>
      </c>
      <c r="C6567" s="5">
        <v>1486.0</v>
      </c>
      <c r="D6567" s="3">
        <f>IFERROR(__xludf.DUMMYFUNCTION("IFERROR(
IF(REGEXMATCH(LOWER(O6567),""k""),
VALUE(REGEXEXTRACT(O6567,""[0-9]+""))*1000,
VALUE(REGEXEXTRACT(O6567,""[0-9]+""))
),
0
)"),0.0)</f>
        <v>0</v>
      </c>
      <c r="E6567" s="1" t="s">
        <v>11</v>
      </c>
      <c r="F6567" s="1" t="s">
        <v>20</v>
      </c>
      <c r="G6567" s="4" t="b">
        <f t="shared" si="2"/>
        <v>1</v>
      </c>
      <c r="H6567" s="1" t="str">
        <f t="shared" si="3"/>
        <v>Currently Unavailable</v>
      </c>
      <c r="I6567" s="1" t="str">
        <f t="shared" si="4"/>
        <v>No Badges</v>
      </c>
      <c r="J6567" s="3">
        <f t="shared" si="5"/>
        <v>0</v>
      </c>
    </row>
    <row r="6568">
      <c r="A6568" s="1" t="s">
        <v>4994</v>
      </c>
      <c r="B6568" s="3" t="str">
        <f t="shared" si="1"/>
        <v>Unavailable</v>
      </c>
      <c r="C6568" s="5">
        <v>2487.0</v>
      </c>
      <c r="D6568" s="3">
        <f>IFERROR(__xludf.DUMMYFUNCTION("IFERROR(
IF(REGEXMATCH(LOWER(O6568),""k""),
VALUE(REGEXEXTRACT(O6568,""[0-9]+""))*1000,
VALUE(REGEXEXTRACT(O6568,""[0-9]+""))
),
0
)"),0.0)</f>
        <v>0</v>
      </c>
      <c r="E6568" s="1" t="s">
        <v>11</v>
      </c>
      <c r="F6568" s="1" t="s">
        <v>20</v>
      </c>
      <c r="G6568" s="4" t="b">
        <f t="shared" si="2"/>
        <v>1</v>
      </c>
      <c r="H6568" s="1" t="str">
        <f t="shared" si="3"/>
        <v>Currently Unavailable</v>
      </c>
      <c r="I6568" s="1" t="str">
        <f t="shared" si="4"/>
        <v>No Badges</v>
      </c>
      <c r="J6568" s="3">
        <f t="shared" si="5"/>
        <v>0</v>
      </c>
    </row>
    <row r="6569">
      <c r="A6569" s="1" t="s">
        <v>4995</v>
      </c>
      <c r="B6569" s="3" t="str">
        <f t="shared" si="1"/>
        <v>Unavailable</v>
      </c>
      <c r="C6569" s="3">
        <v>178.0</v>
      </c>
      <c r="D6569" s="3">
        <f>IFERROR(__xludf.DUMMYFUNCTION("IFERROR(
IF(REGEXMATCH(LOWER(O6569),""k""),
VALUE(REGEXEXTRACT(O6569,""[0-9]+""))*1000,
VALUE(REGEXEXTRACT(O6569,""[0-9]+""))
),
0
)"),0.0)</f>
        <v>0</v>
      </c>
      <c r="E6569" s="1" t="s">
        <v>11</v>
      </c>
      <c r="F6569" s="1" t="s">
        <v>20</v>
      </c>
      <c r="G6569" s="4" t="b">
        <f t="shared" si="2"/>
        <v>1</v>
      </c>
      <c r="H6569" s="1" t="str">
        <f t="shared" si="3"/>
        <v>Currently Unavailable</v>
      </c>
      <c r="I6569" s="1" t="str">
        <f t="shared" si="4"/>
        <v>No Badges</v>
      </c>
      <c r="J6569" s="3">
        <f t="shared" si="5"/>
        <v>0</v>
      </c>
    </row>
    <row r="6570">
      <c r="A6570" s="1" t="s">
        <v>4996</v>
      </c>
      <c r="B6570" s="3" t="str">
        <f t="shared" si="1"/>
        <v>Unavailable</v>
      </c>
      <c r="C6570" s="5">
        <v>4433.0</v>
      </c>
      <c r="D6570" s="3">
        <f>IFERROR(__xludf.DUMMYFUNCTION("IFERROR(
IF(REGEXMATCH(LOWER(O6570),""k""),
VALUE(REGEXEXTRACT(O6570,""[0-9]+""))*1000,
VALUE(REGEXEXTRACT(O6570,""[0-9]+""))
),
0
)"),0.0)</f>
        <v>0</v>
      </c>
      <c r="E6570" s="1" t="s">
        <v>158</v>
      </c>
      <c r="F6570" s="1" t="s">
        <v>20</v>
      </c>
      <c r="G6570" s="4" t="b">
        <f t="shared" si="2"/>
        <v>1</v>
      </c>
      <c r="H6570" s="1" t="str">
        <f t="shared" si="3"/>
        <v>Currently Unavailable</v>
      </c>
      <c r="I6570" s="1" t="str">
        <f t="shared" si="4"/>
        <v>No Badges</v>
      </c>
      <c r="J6570" s="3">
        <f t="shared" si="5"/>
        <v>0</v>
      </c>
    </row>
    <row r="6571">
      <c r="A6571" s="1" t="s">
        <v>4997</v>
      </c>
      <c r="B6571" s="3" t="str">
        <f t="shared" si="1"/>
        <v>Unavailable</v>
      </c>
      <c r="C6571" s="3">
        <v>50.0</v>
      </c>
      <c r="D6571" s="3">
        <f>IFERROR(__xludf.DUMMYFUNCTION("IFERROR(
IF(REGEXMATCH(LOWER(O6571),""k""),
VALUE(REGEXEXTRACT(O6571,""[0-9]+""))*1000,
VALUE(REGEXEXTRACT(O6571,""[0-9]+""))
),
0
)"),0.0)</f>
        <v>0</v>
      </c>
      <c r="E6571" s="1" t="s">
        <v>11</v>
      </c>
      <c r="F6571" s="1" t="s">
        <v>20</v>
      </c>
      <c r="G6571" s="4" t="b">
        <f t="shared" si="2"/>
        <v>1</v>
      </c>
      <c r="H6571" s="1" t="str">
        <f t="shared" si="3"/>
        <v>Currently Unavailable</v>
      </c>
      <c r="I6571" s="1" t="str">
        <f t="shared" si="4"/>
        <v>No Badges</v>
      </c>
      <c r="J6571" s="3">
        <f t="shared" si="5"/>
        <v>0</v>
      </c>
    </row>
    <row r="6572">
      <c r="A6572" s="1" t="s">
        <v>4998</v>
      </c>
      <c r="B6572" s="3" t="str">
        <f t="shared" si="1"/>
        <v>Unavailable</v>
      </c>
      <c r="C6572" s="3">
        <v>181.0</v>
      </c>
      <c r="D6572" s="3">
        <f>IFERROR(__xludf.DUMMYFUNCTION("IFERROR(
IF(REGEXMATCH(LOWER(O6572),""k""),
VALUE(REGEXEXTRACT(O6572,""[0-9]+""))*1000,
VALUE(REGEXEXTRACT(O6572,""[0-9]+""))
),
0
)"),0.0)</f>
        <v>0</v>
      </c>
      <c r="E6572" s="1" t="s">
        <v>11</v>
      </c>
      <c r="F6572" s="1" t="s">
        <v>20</v>
      </c>
      <c r="G6572" s="4" t="b">
        <f t="shared" si="2"/>
        <v>1</v>
      </c>
      <c r="H6572" s="1" t="str">
        <f t="shared" si="3"/>
        <v>Currently Unavailable</v>
      </c>
      <c r="I6572" s="1" t="str">
        <f t="shared" si="4"/>
        <v>No Badges</v>
      </c>
      <c r="J6572" s="3">
        <f t="shared" si="5"/>
        <v>0</v>
      </c>
    </row>
    <row r="6573">
      <c r="A6573" s="1" t="s">
        <v>4999</v>
      </c>
      <c r="B6573" s="3" t="str">
        <f t="shared" si="1"/>
        <v>Unavailable</v>
      </c>
      <c r="C6573" s="3">
        <v>92.0</v>
      </c>
      <c r="D6573" s="3">
        <f>IFERROR(__xludf.DUMMYFUNCTION("IFERROR(
IF(REGEXMATCH(LOWER(O6573),""k""),
VALUE(REGEXEXTRACT(O6573,""[0-9]+""))*1000,
VALUE(REGEXEXTRACT(O6573,""[0-9]+""))
),
0
)"),0.0)</f>
        <v>0</v>
      </c>
      <c r="E6573" s="1" t="s">
        <v>11</v>
      </c>
      <c r="F6573" s="1" t="s">
        <v>20</v>
      </c>
      <c r="G6573" s="4" t="b">
        <f t="shared" si="2"/>
        <v>1</v>
      </c>
      <c r="H6573" s="1" t="str">
        <f t="shared" si="3"/>
        <v>Currently Unavailable</v>
      </c>
      <c r="I6573" s="1" t="str">
        <f t="shared" si="4"/>
        <v>No Badges</v>
      </c>
      <c r="J6573" s="3">
        <f t="shared" si="5"/>
        <v>0</v>
      </c>
    </row>
    <row r="6574">
      <c r="A6574" s="1" t="s">
        <v>5000</v>
      </c>
      <c r="B6574" s="3" t="str">
        <f t="shared" si="1"/>
        <v>Unavailable</v>
      </c>
      <c r="C6574" s="3">
        <v>33.0</v>
      </c>
      <c r="D6574" s="3">
        <f>IFERROR(__xludf.DUMMYFUNCTION("IFERROR(
IF(REGEXMATCH(LOWER(O6574),""k""),
VALUE(REGEXEXTRACT(O6574,""[0-9]+""))*1000,
VALUE(REGEXEXTRACT(O6574,""[0-9]+""))
),
0
)"),0.0)</f>
        <v>0</v>
      </c>
      <c r="E6574" s="1" t="s">
        <v>11</v>
      </c>
      <c r="F6574" s="1" t="s">
        <v>20</v>
      </c>
      <c r="G6574" s="4" t="b">
        <f t="shared" si="2"/>
        <v>1</v>
      </c>
      <c r="H6574" s="1" t="str">
        <f t="shared" si="3"/>
        <v>Currently Unavailable</v>
      </c>
      <c r="I6574" s="1" t="str">
        <f t="shared" si="4"/>
        <v>No Badges</v>
      </c>
      <c r="J6574" s="3">
        <f t="shared" si="5"/>
        <v>0</v>
      </c>
    </row>
    <row r="6575">
      <c r="A6575" s="1" t="s">
        <v>5001</v>
      </c>
      <c r="B6575" s="3" t="str">
        <f t="shared" si="1"/>
        <v>Unavailable</v>
      </c>
      <c r="C6575" s="5">
        <v>1025.0</v>
      </c>
      <c r="D6575" s="3">
        <f>IFERROR(__xludf.DUMMYFUNCTION("IFERROR(
IF(REGEXMATCH(LOWER(O6575),""k""),
VALUE(REGEXEXTRACT(O6575,""[0-9]+""))*1000,
VALUE(REGEXEXTRACT(O6575,""[0-9]+""))
),
0
)"),0.0)</f>
        <v>0</v>
      </c>
      <c r="E6575" s="1" t="s">
        <v>11</v>
      </c>
      <c r="F6575" s="1" t="s">
        <v>20</v>
      </c>
      <c r="G6575" s="4" t="b">
        <f t="shared" si="2"/>
        <v>1</v>
      </c>
      <c r="H6575" s="1" t="str">
        <f t="shared" si="3"/>
        <v>Currently Unavailable</v>
      </c>
      <c r="I6575" s="1" t="str">
        <f t="shared" si="4"/>
        <v>No Badges</v>
      </c>
      <c r="J6575" s="3">
        <f t="shared" si="5"/>
        <v>0</v>
      </c>
    </row>
    <row r="6576">
      <c r="A6576" s="1" t="s">
        <v>88</v>
      </c>
      <c r="B6576" s="3" t="str">
        <f t="shared" si="1"/>
        <v>Unavailable</v>
      </c>
      <c r="C6576" s="3">
        <v>5.0</v>
      </c>
      <c r="D6576" s="3">
        <f>IFERROR(__xludf.DUMMYFUNCTION("IFERROR(
IF(REGEXMATCH(LOWER(O6576),""k""),
VALUE(REGEXEXTRACT(O6576,""[0-9]+""))*1000,
VALUE(REGEXEXTRACT(O6576,""[0-9]+""))
),
0
)"),0.0)</f>
        <v>0</v>
      </c>
      <c r="E6576" s="1" t="s">
        <v>11</v>
      </c>
      <c r="F6576" s="1" t="s">
        <v>12</v>
      </c>
      <c r="G6576" s="4" t="b">
        <f t="shared" si="2"/>
        <v>1</v>
      </c>
      <c r="H6576" s="1" t="str">
        <f t="shared" si="3"/>
        <v>Currently Unavailable</v>
      </c>
      <c r="I6576" s="1" t="str">
        <f t="shared" si="4"/>
        <v>No Badges</v>
      </c>
      <c r="J6576" s="3">
        <f t="shared" si="5"/>
        <v>0</v>
      </c>
    </row>
    <row r="6577">
      <c r="A6577" s="1" t="s">
        <v>40</v>
      </c>
      <c r="B6577" s="3" t="str">
        <f t="shared" si="1"/>
        <v>Unavailable</v>
      </c>
      <c r="C6577" s="3">
        <v>171.0</v>
      </c>
      <c r="D6577" s="3">
        <f>IFERROR(__xludf.DUMMYFUNCTION("IFERROR(
IF(REGEXMATCH(LOWER(O6577),""k""),
VALUE(REGEXEXTRACT(O6577,""[0-9]+""))*1000,
VALUE(REGEXEXTRACT(O6577,""[0-9]+""))
),
0
)"),0.0)</f>
        <v>0</v>
      </c>
      <c r="E6577" s="1" t="s">
        <v>11</v>
      </c>
      <c r="F6577" s="1" t="s">
        <v>12</v>
      </c>
      <c r="G6577" s="4" t="b">
        <f t="shared" si="2"/>
        <v>1</v>
      </c>
      <c r="H6577" s="1" t="str">
        <f t="shared" si="3"/>
        <v>Currently Unavailable</v>
      </c>
      <c r="I6577" s="1" t="str">
        <f t="shared" si="4"/>
        <v>No Badges</v>
      </c>
      <c r="J6577" s="3">
        <f t="shared" si="5"/>
        <v>0</v>
      </c>
    </row>
    <row r="6578">
      <c r="A6578" s="1" t="s">
        <v>5002</v>
      </c>
      <c r="B6578" s="3" t="str">
        <f t="shared" si="1"/>
        <v>Unavailable</v>
      </c>
      <c r="C6578" s="5">
        <v>4030.0</v>
      </c>
      <c r="D6578" s="3">
        <f>IFERROR(__xludf.DUMMYFUNCTION("IFERROR(
IF(REGEXMATCH(LOWER(O6578),""k""),
VALUE(REGEXEXTRACT(O6578,""[0-9]+""))*1000,
VALUE(REGEXEXTRACT(O6578,""[0-9]+""))
),
0
)"),0.0)</f>
        <v>0</v>
      </c>
      <c r="E6578" s="1" t="s">
        <v>11</v>
      </c>
      <c r="F6578" s="1" t="s">
        <v>20</v>
      </c>
      <c r="G6578" s="4" t="b">
        <f t="shared" si="2"/>
        <v>1</v>
      </c>
      <c r="H6578" s="1" t="str">
        <f t="shared" si="3"/>
        <v>Currently Unavailable</v>
      </c>
      <c r="I6578" s="1" t="str">
        <f t="shared" si="4"/>
        <v>No Badges</v>
      </c>
      <c r="J6578" s="3">
        <f t="shared" si="5"/>
        <v>0</v>
      </c>
    </row>
    <row r="6579">
      <c r="A6579" s="1" t="s">
        <v>88</v>
      </c>
      <c r="B6579" s="3" t="str">
        <f t="shared" si="1"/>
        <v>Unavailable</v>
      </c>
      <c r="C6579" s="3">
        <v>5.0</v>
      </c>
      <c r="D6579" s="3">
        <f>IFERROR(__xludf.DUMMYFUNCTION("IFERROR(
IF(REGEXMATCH(LOWER(O6579),""k""),
VALUE(REGEXEXTRACT(O6579,""[0-9]+""))*1000,
VALUE(REGEXEXTRACT(O6579,""[0-9]+""))
),
0
)"),0.0)</f>
        <v>0</v>
      </c>
      <c r="E6579" s="1" t="s">
        <v>11</v>
      </c>
      <c r="F6579" s="1" t="s">
        <v>12</v>
      </c>
      <c r="G6579" s="4" t="b">
        <f t="shared" si="2"/>
        <v>1</v>
      </c>
      <c r="H6579" s="1" t="str">
        <f t="shared" si="3"/>
        <v>Currently Unavailable</v>
      </c>
      <c r="I6579" s="1" t="str">
        <f t="shared" si="4"/>
        <v>No Badges</v>
      </c>
      <c r="J6579" s="3">
        <f t="shared" si="5"/>
        <v>0</v>
      </c>
    </row>
    <row r="6580">
      <c r="A6580" s="1" t="s">
        <v>5003</v>
      </c>
      <c r="B6580" s="3" t="str">
        <f t="shared" si="1"/>
        <v>Unavailable</v>
      </c>
      <c r="C6580" s="5">
        <v>1551.0</v>
      </c>
      <c r="D6580" s="3">
        <f>IFERROR(__xludf.DUMMYFUNCTION("IFERROR(
IF(REGEXMATCH(LOWER(O6580),""k""),
VALUE(REGEXEXTRACT(O6580,""[0-9]+""))*1000,
VALUE(REGEXEXTRACT(O6580,""[0-9]+""))
),
0
)"),0.0)</f>
        <v>0</v>
      </c>
      <c r="E6580" s="1" t="s">
        <v>11</v>
      </c>
      <c r="F6580" s="1" t="s">
        <v>20</v>
      </c>
      <c r="G6580" s="4" t="b">
        <f t="shared" si="2"/>
        <v>1</v>
      </c>
      <c r="H6580" s="1" t="str">
        <f t="shared" si="3"/>
        <v>Currently Unavailable</v>
      </c>
      <c r="I6580" s="1" t="str">
        <f t="shared" si="4"/>
        <v>No Badges</v>
      </c>
      <c r="J6580" s="3">
        <f t="shared" si="5"/>
        <v>0</v>
      </c>
    </row>
    <row r="6581">
      <c r="A6581" s="1" t="s">
        <v>5004</v>
      </c>
      <c r="B6581" s="3" t="str">
        <f t="shared" si="1"/>
        <v>Unavailable</v>
      </c>
      <c r="C6581" s="3">
        <v>772.0</v>
      </c>
      <c r="D6581" s="3">
        <f>IFERROR(__xludf.DUMMYFUNCTION("IFERROR(
IF(REGEXMATCH(LOWER(O6581),""k""),
VALUE(REGEXEXTRACT(O6581,""[0-9]+""))*1000,
VALUE(REGEXEXTRACT(O6581,""[0-9]+""))
),
0
)"),0.0)</f>
        <v>0</v>
      </c>
      <c r="E6581" s="1" t="s">
        <v>11</v>
      </c>
      <c r="F6581" s="1" t="s">
        <v>20</v>
      </c>
      <c r="G6581" s="4" t="b">
        <f t="shared" si="2"/>
        <v>1</v>
      </c>
      <c r="H6581" s="1" t="str">
        <f t="shared" si="3"/>
        <v>Currently Unavailable</v>
      </c>
      <c r="I6581" s="1" t="str">
        <f t="shared" si="4"/>
        <v>No Badges</v>
      </c>
      <c r="J6581" s="3">
        <f t="shared" si="5"/>
        <v>0</v>
      </c>
    </row>
    <row r="6582">
      <c r="A6582" s="1" t="s">
        <v>5005</v>
      </c>
      <c r="B6582" s="3" t="str">
        <f t="shared" si="1"/>
        <v>Unavailable</v>
      </c>
      <c r="C6582" s="5">
        <v>1258.0</v>
      </c>
      <c r="D6582" s="3">
        <f>IFERROR(__xludf.DUMMYFUNCTION("IFERROR(
IF(REGEXMATCH(LOWER(O6582),""k""),
VALUE(REGEXEXTRACT(O6582,""[0-9]+""))*1000,
VALUE(REGEXEXTRACT(O6582,""[0-9]+""))
),
0
)"),0.0)</f>
        <v>0</v>
      </c>
      <c r="E6582" s="1" t="s">
        <v>11</v>
      </c>
      <c r="F6582" s="1" t="s">
        <v>20</v>
      </c>
      <c r="G6582" s="4" t="b">
        <f t="shared" si="2"/>
        <v>1</v>
      </c>
      <c r="H6582" s="1" t="str">
        <f t="shared" si="3"/>
        <v>Currently Unavailable</v>
      </c>
      <c r="I6582" s="1" t="str">
        <f t="shared" si="4"/>
        <v>No Badges</v>
      </c>
      <c r="J6582" s="3">
        <f t="shared" si="5"/>
        <v>0</v>
      </c>
    </row>
    <row r="6583">
      <c r="A6583" s="1" t="s">
        <v>5006</v>
      </c>
      <c r="B6583" s="3" t="str">
        <f t="shared" si="1"/>
        <v>Unavailable</v>
      </c>
      <c r="C6583" s="3">
        <v>444.0</v>
      </c>
      <c r="D6583" s="3">
        <f>IFERROR(__xludf.DUMMYFUNCTION("IFERROR(
IF(REGEXMATCH(LOWER(O6583),""k""),
VALUE(REGEXEXTRACT(O6583,""[0-9]+""))*1000,
VALUE(REGEXEXTRACT(O6583,""[0-9]+""))
),
0
)"),0.0)</f>
        <v>0</v>
      </c>
      <c r="E6583" s="1" t="s">
        <v>11</v>
      </c>
      <c r="F6583" s="1" t="s">
        <v>20</v>
      </c>
      <c r="G6583" s="4" t="b">
        <f t="shared" si="2"/>
        <v>1</v>
      </c>
      <c r="H6583" s="1" t="str">
        <f t="shared" si="3"/>
        <v>Currently Unavailable</v>
      </c>
      <c r="I6583" s="1" t="str">
        <f t="shared" si="4"/>
        <v>No Badges</v>
      </c>
      <c r="J6583" s="3">
        <f t="shared" si="5"/>
        <v>0</v>
      </c>
    </row>
    <row r="6584">
      <c r="A6584" s="1" t="s">
        <v>4700</v>
      </c>
      <c r="B6584" s="3" t="str">
        <f t="shared" si="1"/>
        <v>Unavailable</v>
      </c>
      <c r="C6584" s="3">
        <v>330.0</v>
      </c>
      <c r="D6584" s="3">
        <f>IFERROR(__xludf.DUMMYFUNCTION("IFERROR(
IF(REGEXMATCH(LOWER(O6584),""k""),
VALUE(REGEXEXTRACT(O6584,""[0-9]+""))*1000,
VALUE(REGEXEXTRACT(O6584,""[0-9]+""))
),
0
)"),0.0)</f>
        <v>0</v>
      </c>
      <c r="E6584" s="1" t="s">
        <v>11</v>
      </c>
      <c r="F6584" s="1" t="s">
        <v>20</v>
      </c>
      <c r="G6584" s="4" t="b">
        <f t="shared" si="2"/>
        <v>1</v>
      </c>
      <c r="H6584" s="1" t="str">
        <f t="shared" si="3"/>
        <v>Currently Unavailable</v>
      </c>
      <c r="I6584" s="1" t="str">
        <f t="shared" si="4"/>
        <v>No Badges</v>
      </c>
      <c r="J6584" s="3">
        <f t="shared" si="5"/>
        <v>0</v>
      </c>
    </row>
    <row r="6585">
      <c r="A6585" s="1" t="s">
        <v>5007</v>
      </c>
      <c r="B6585" s="3" t="str">
        <f t="shared" si="1"/>
        <v>Unavailable</v>
      </c>
      <c r="C6585" s="3">
        <v>529.0</v>
      </c>
      <c r="D6585" s="3">
        <f>IFERROR(__xludf.DUMMYFUNCTION("IFERROR(
IF(REGEXMATCH(LOWER(O6585),""k""),
VALUE(REGEXEXTRACT(O6585,""[0-9]+""))*1000,
VALUE(REGEXEXTRACT(O6585,""[0-9]+""))
),
0
)"),0.0)</f>
        <v>0</v>
      </c>
      <c r="E6585" s="1" t="s">
        <v>11</v>
      </c>
      <c r="F6585" s="1" t="s">
        <v>20</v>
      </c>
      <c r="G6585" s="4" t="b">
        <f t="shared" si="2"/>
        <v>1</v>
      </c>
      <c r="H6585" s="1" t="str">
        <f t="shared" si="3"/>
        <v>Currently Unavailable</v>
      </c>
      <c r="I6585" s="1" t="str">
        <f t="shared" si="4"/>
        <v>No Badges</v>
      </c>
      <c r="J6585" s="3">
        <f t="shared" si="5"/>
        <v>0</v>
      </c>
    </row>
    <row r="6586">
      <c r="A6586" s="1" t="s">
        <v>5008</v>
      </c>
      <c r="B6586" s="3" t="str">
        <f t="shared" si="1"/>
        <v>Unavailable</v>
      </c>
      <c r="C6586" s="3">
        <v>227.0</v>
      </c>
      <c r="D6586" s="3">
        <f>IFERROR(__xludf.DUMMYFUNCTION("IFERROR(
IF(REGEXMATCH(LOWER(O6586),""k""),
VALUE(REGEXEXTRACT(O6586,""[0-9]+""))*1000,
VALUE(REGEXEXTRACT(O6586,""[0-9]+""))
),
0
)"),0.0)</f>
        <v>0</v>
      </c>
      <c r="E6586" s="1" t="s">
        <v>11</v>
      </c>
      <c r="F6586" s="1" t="s">
        <v>20</v>
      </c>
      <c r="G6586" s="4" t="b">
        <f t="shared" si="2"/>
        <v>1</v>
      </c>
      <c r="H6586" s="1" t="str">
        <f t="shared" si="3"/>
        <v>Currently Unavailable</v>
      </c>
      <c r="I6586" s="1" t="str">
        <f t="shared" si="4"/>
        <v>No Badges</v>
      </c>
      <c r="J6586" s="3">
        <f t="shared" si="5"/>
        <v>0</v>
      </c>
    </row>
    <row r="6587">
      <c r="A6587" s="1" t="s">
        <v>5009</v>
      </c>
      <c r="B6587" s="3" t="str">
        <f t="shared" si="1"/>
        <v>Unavailable</v>
      </c>
      <c r="C6587" s="5">
        <v>15250.0</v>
      </c>
      <c r="D6587" s="3">
        <f>IFERROR(__xludf.DUMMYFUNCTION("IFERROR(
IF(REGEXMATCH(LOWER(O6587),""k""),
VALUE(REGEXEXTRACT(O6587,""[0-9]+""))*1000,
VALUE(REGEXEXTRACT(O6587,""[0-9]+""))
),
0
)"),0.0)</f>
        <v>0</v>
      </c>
      <c r="E6587" s="1" t="s">
        <v>11</v>
      </c>
      <c r="F6587" s="1" t="s">
        <v>20</v>
      </c>
      <c r="G6587" s="4" t="b">
        <f t="shared" si="2"/>
        <v>1</v>
      </c>
      <c r="H6587" s="1" t="str">
        <f t="shared" si="3"/>
        <v>Currently Unavailable</v>
      </c>
      <c r="I6587" s="1" t="str">
        <f t="shared" si="4"/>
        <v>No Badges</v>
      </c>
      <c r="J6587" s="3">
        <f t="shared" si="5"/>
        <v>0</v>
      </c>
    </row>
    <row r="6588">
      <c r="A6588" s="1" t="s">
        <v>5010</v>
      </c>
      <c r="B6588" s="3" t="str">
        <f t="shared" si="1"/>
        <v>Unavailable</v>
      </c>
      <c r="C6588" s="3">
        <v>498.0</v>
      </c>
      <c r="D6588" s="3">
        <f>IFERROR(__xludf.DUMMYFUNCTION("IFERROR(
IF(REGEXMATCH(LOWER(O6588),""k""),
VALUE(REGEXEXTRACT(O6588,""[0-9]+""))*1000,
VALUE(REGEXEXTRACT(O6588,""[0-9]+""))
),
0
)"),0.0)</f>
        <v>0</v>
      </c>
      <c r="E6588" s="1" t="s">
        <v>11</v>
      </c>
      <c r="F6588" s="1" t="s">
        <v>20</v>
      </c>
      <c r="G6588" s="4" t="b">
        <f t="shared" si="2"/>
        <v>1</v>
      </c>
      <c r="H6588" s="1" t="str">
        <f t="shared" si="3"/>
        <v>Currently Unavailable</v>
      </c>
      <c r="I6588" s="1" t="str">
        <f t="shared" si="4"/>
        <v>No Badges</v>
      </c>
      <c r="J6588" s="3">
        <f t="shared" si="5"/>
        <v>0</v>
      </c>
    </row>
    <row r="6589">
      <c r="A6589" s="1" t="s">
        <v>5010</v>
      </c>
      <c r="B6589" s="3" t="str">
        <f t="shared" si="1"/>
        <v>Unavailable</v>
      </c>
      <c r="C6589" s="3">
        <v>498.0</v>
      </c>
      <c r="D6589" s="3">
        <f>IFERROR(__xludf.DUMMYFUNCTION("IFERROR(
IF(REGEXMATCH(LOWER(O6589),""k""),
VALUE(REGEXEXTRACT(O6589,""[0-9]+""))*1000,
VALUE(REGEXEXTRACT(O6589,""[0-9]+""))
),
0
)"),0.0)</f>
        <v>0</v>
      </c>
      <c r="E6589" s="1" t="s">
        <v>11</v>
      </c>
      <c r="F6589" s="1" t="s">
        <v>20</v>
      </c>
      <c r="G6589" s="4" t="b">
        <f t="shared" si="2"/>
        <v>1</v>
      </c>
      <c r="H6589" s="1" t="str">
        <f t="shared" si="3"/>
        <v>Currently Unavailable</v>
      </c>
      <c r="I6589" s="1" t="str">
        <f t="shared" si="4"/>
        <v>No Badges</v>
      </c>
      <c r="J6589" s="3">
        <f t="shared" si="5"/>
        <v>0</v>
      </c>
    </row>
    <row r="6590">
      <c r="A6590" s="1" t="s">
        <v>5011</v>
      </c>
      <c r="B6590" s="3" t="str">
        <f t="shared" si="1"/>
        <v>Unavailable</v>
      </c>
      <c r="C6590" s="3">
        <v>274.0</v>
      </c>
      <c r="D6590" s="3">
        <f>IFERROR(__xludf.DUMMYFUNCTION("IFERROR(
IF(REGEXMATCH(LOWER(O6590),""k""),
VALUE(REGEXEXTRACT(O6590,""[0-9]+""))*1000,
VALUE(REGEXEXTRACT(O6590,""[0-9]+""))
),
0
)"),0.0)</f>
        <v>0</v>
      </c>
      <c r="E6590" s="1" t="s">
        <v>11</v>
      </c>
      <c r="F6590" s="1" t="s">
        <v>20</v>
      </c>
      <c r="G6590" s="4" t="b">
        <f t="shared" si="2"/>
        <v>1</v>
      </c>
      <c r="H6590" s="1" t="str">
        <f t="shared" si="3"/>
        <v>Currently Unavailable</v>
      </c>
      <c r="I6590" s="1" t="str">
        <f t="shared" si="4"/>
        <v>No Badges</v>
      </c>
      <c r="J6590" s="3">
        <f t="shared" si="5"/>
        <v>0</v>
      </c>
    </row>
    <row r="6591">
      <c r="A6591" s="1" t="s">
        <v>5012</v>
      </c>
      <c r="B6591" s="3" t="str">
        <f t="shared" si="1"/>
        <v>Unavailable</v>
      </c>
      <c r="C6591" s="5">
        <v>16626.0</v>
      </c>
      <c r="D6591" s="3">
        <f>IFERROR(__xludf.DUMMYFUNCTION("IFERROR(
IF(REGEXMATCH(LOWER(O6591),""k""),
VALUE(REGEXEXTRACT(O6591,""[0-9]+""))*1000,
VALUE(REGEXEXTRACT(O6591,""[0-9]+""))
),
0
)"),0.0)</f>
        <v>0</v>
      </c>
      <c r="E6591" s="1" t="s">
        <v>11</v>
      </c>
      <c r="F6591" s="1" t="s">
        <v>20</v>
      </c>
      <c r="G6591" s="4" t="b">
        <f t="shared" si="2"/>
        <v>1</v>
      </c>
      <c r="H6591" s="1" t="str">
        <f t="shared" si="3"/>
        <v>Currently Unavailable</v>
      </c>
      <c r="I6591" s="1" t="str">
        <f t="shared" si="4"/>
        <v>No Badges</v>
      </c>
      <c r="J6591" s="3">
        <f t="shared" si="5"/>
        <v>0</v>
      </c>
    </row>
    <row r="6592">
      <c r="A6592" s="1" t="s">
        <v>5013</v>
      </c>
      <c r="B6592" s="3" t="str">
        <f t="shared" si="1"/>
        <v>Unavailable</v>
      </c>
      <c r="C6592" s="5">
        <v>1622.0</v>
      </c>
      <c r="D6592" s="3">
        <f>IFERROR(__xludf.DUMMYFUNCTION("IFERROR(
IF(REGEXMATCH(LOWER(O6592),""k""),
VALUE(REGEXEXTRACT(O6592,""[0-9]+""))*1000,
VALUE(REGEXEXTRACT(O6592,""[0-9]+""))
),
0
)"),0.0)</f>
        <v>0</v>
      </c>
      <c r="E6592" s="1" t="s">
        <v>11</v>
      </c>
      <c r="F6592" s="1" t="s">
        <v>20</v>
      </c>
      <c r="G6592" s="4" t="b">
        <f t="shared" si="2"/>
        <v>1</v>
      </c>
      <c r="H6592" s="1" t="str">
        <f t="shared" si="3"/>
        <v>Currently Unavailable</v>
      </c>
      <c r="I6592" s="1" t="str">
        <f t="shared" si="4"/>
        <v>No Badges</v>
      </c>
      <c r="J6592" s="3">
        <f t="shared" si="5"/>
        <v>0</v>
      </c>
    </row>
    <row r="6593">
      <c r="A6593" s="1" t="s">
        <v>604</v>
      </c>
      <c r="B6593" s="3" t="str">
        <f t="shared" si="1"/>
        <v>Unavailable</v>
      </c>
      <c r="C6593" s="3">
        <v>30.0</v>
      </c>
      <c r="D6593" s="3">
        <f>IFERROR(__xludf.DUMMYFUNCTION("IFERROR(
IF(REGEXMATCH(LOWER(O6593),""k""),
VALUE(REGEXEXTRACT(O6593,""[0-9]+""))*1000,
VALUE(REGEXEXTRACT(O6593,""[0-9]+""))
),
0
)"),0.0)</f>
        <v>0</v>
      </c>
      <c r="E6593" s="1" t="s">
        <v>11</v>
      </c>
      <c r="F6593" s="1" t="s">
        <v>12</v>
      </c>
      <c r="G6593" s="4" t="b">
        <f t="shared" si="2"/>
        <v>1</v>
      </c>
      <c r="H6593" s="1" t="str">
        <f t="shared" si="3"/>
        <v>Currently Unavailable</v>
      </c>
      <c r="I6593" s="1" t="str">
        <f t="shared" si="4"/>
        <v>No Badges</v>
      </c>
      <c r="J6593" s="3">
        <f t="shared" si="5"/>
        <v>0</v>
      </c>
    </row>
    <row r="6594">
      <c r="A6594" s="1" t="s">
        <v>701</v>
      </c>
      <c r="B6594" s="3" t="str">
        <f t="shared" si="1"/>
        <v>Unavailable</v>
      </c>
      <c r="C6594" s="3">
        <v>8.0</v>
      </c>
      <c r="D6594" s="3">
        <f>IFERROR(__xludf.DUMMYFUNCTION("IFERROR(
IF(REGEXMATCH(LOWER(O6594),""k""),
VALUE(REGEXEXTRACT(O6594,""[0-9]+""))*1000,
VALUE(REGEXEXTRACT(O6594,""[0-9]+""))
),
0
)"),0.0)</f>
        <v>0</v>
      </c>
      <c r="E6594" s="1" t="s">
        <v>11</v>
      </c>
      <c r="F6594" s="1" t="s">
        <v>12</v>
      </c>
      <c r="G6594" s="4" t="b">
        <f t="shared" si="2"/>
        <v>1</v>
      </c>
      <c r="H6594" s="1" t="str">
        <f t="shared" si="3"/>
        <v>Currently Unavailable</v>
      </c>
      <c r="I6594" s="1" t="str">
        <f t="shared" si="4"/>
        <v>No Badges</v>
      </c>
      <c r="J6594" s="3">
        <f t="shared" si="5"/>
        <v>0</v>
      </c>
    </row>
    <row r="6595">
      <c r="A6595" s="1" t="s">
        <v>69</v>
      </c>
      <c r="B6595" s="3" t="str">
        <f t="shared" si="1"/>
        <v>Unavailable</v>
      </c>
      <c r="C6595" s="3">
        <v>45.0</v>
      </c>
      <c r="D6595" s="3">
        <f>IFERROR(__xludf.DUMMYFUNCTION("IFERROR(
IF(REGEXMATCH(LOWER(O6595),""k""),
VALUE(REGEXEXTRACT(O6595,""[0-9]+""))*1000,
VALUE(REGEXEXTRACT(O6595,""[0-9]+""))
),
0
)"),0.0)</f>
        <v>0</v>
      </c>
      <c r="E6595" s="1" t="s">
        <v>11</v>
      </c>
      <c r="F6595" s="1" t="s">
        <v>12</v>
      </c>
      <c r="G6595" s="4" t="b">
        <f t="shared" si="2"/>
        <v>1</v>
      </c>
      <c r="H6595" s="1" t="str">
        <f t="shared" si="3"/>
        <v>Currently Unavailable</v>
      </c>
      <c r="I6595" s="1" t="str">
        <f t="shared" si="4"/>
        <v>No Badges</v>
      </c>
      <c r="J6595" s="3">
        <f t="shared" si="5"/>
        <v>0</v>
      </c>
    </row>
    <row r="6596">
      <c r="A6596" s="1" t="s">
        <v>5014</v>
      </c>
      <c r="B6596" s="3" t="str">
        <f t="shared" si="1"/>
        <v>Unavailable</v>
      </c>
      <c r="C6596" s="5">
        <v>10619.0</v>
      </c>
      <c r="D6596" s="3">
        <f>IFERROR(__xludf.DUMMYFUNCTION("IFERROR(
IF(REGEXMATCH(LOWER(O6596),""k""),
VALUE(REGEXEXTRACT(O6596,""[0-9]+""))*1000,
VALUE(REGEXEXTRACT(O6596,""[0-9]+""))
),
0
)"),0.0)</f>
        <v>0</v>
      </c>
      <c r="E6596" s="1" t="s">
        <v>11</v>
      </c>
      <c r="F6596" s="1" t="s">
        <v>20</v>
      </c>
      <c r="G6596" s="4" t="b">
        <f t="shared" si="2"/>
        <v>1</v>
      </c>
      <c r="H6596" s="1" t="str">
        <f t="shared" si="3"/>
        <v>Currently Unavailable</v>
      </c>
      <c r="I6596" s="1" t="str">
        <f t="shared" si="4"/>
        <v>No Badges</v>
      </c>
      <c r="J6596" s="3">
        <f t="shared" si="5"/>
        <v>0</v>
      </c>
    </row>
    <row r="6597">
      <c r="A6597" s="1" t="s">
        <v>5015</v>
      </c>
      <c r="B6597" s="3" t="str">
        <f t="shared" si="1"/>
        <v>Unavailable</v>
      </c>
      <c r="C6597" s="3">
        <v>561.0</v>
      </c>
      <c r="D6597" s="3">
        <f>IFERROR(__xludf.DUMMYFUNCTION("IFERROR(
IF(REGEXMATCH(LOWER(O6597),""k""),
VALUE(REGEXEXTRACT(O6597,""[0-9]+""))*1000,
VALUE(REGEXEXTRACT(O6597,""[0-9]+""))
),
0
)"),0.0)</f>
        <v>0</v>
      </c>
      <c r="E6597" s="1" t="s">
        <v>11</v>
      </c>
      <c r="F6597" s="1" t="s">
        <v>20</v>
      </c>
      <c r="G6597" s="4" t="b">
        <f t="shared" si="2"/>
        <v>1</v>
      </c>
      <c r="H6597" s="1" t="str">
        <f t="shared" si="3"/>
        <v>Currently Unavailable</v>
      </c>
      <c r="I6597" s="1" t="str">
        <f t="shared" si="4"/>
        <v>No Badges</v>
      </c>
      <c r="J6597" s="3">
        <f t="shared" si="5"/>
        <v>0</v>
      </c>
    </row>
    <row r="6598">
      <c r="A6598" s="1" t="s">
        <v>5016</v>
      </c>
      <c r="B6598" s="3" t="str">
        <f t="shared" si="1"/>
        <v>Unavailable</v>
      </c>
      <c r="C6598" s="5">
        <v>3883.0</v>
      </c>
      <c r="D6598" s="3">
        <f>IFERROR(__xludf.DUMMYFUNCTION("IFERROR(
IF(REGEXMATCH(LOWER(O6598),""k""),
VALUE(REGEXEXTRACT(O6598,""[0-9]+""))*1000,
VALUE(REGEXEXTRACT(O6598,""[0-9]+""))
),
0
)"),0.0)</f>
        <v>0</v>
      </c>
      <c r="E6598" s="1" t="s">
        <v>11</v>
      </c>
      <c r="F6598" s="1" t="s">
        <v>20</v>
      </c>
      <c r="G6598" s="4" t="b">
        <f t="shared" si="2"/>
        <v>1</v>
      </c>
      <c r="H6598" s="1" t="str">
        <f t="shared" si="3"/>
        <v>Currently Unavailable</v>
      </c>
      <c r="I6598" s="1" t="str">
        <f t="shared" si="4"/>
        <v>No Badges</v>
      </c>
      <c r="J6598" s="3">
        <f t="shared" si="5"/>
        <v>0</v>
      </c>
    </row>
    <row r="6599">
      <c r="A6599" s="1" t="s">
        <v>5017</v>
      </c>
      <c r="B6599" s="3" t="str">
        <f t="shared" si="1"/>
        <v>Unavailable</v>
      </c>
      <c r="C6599" s="3">
        <v>905.0</v>
      </c>
      <c r="D6599" s="3">
        <f>IFERROR(__xludf.DUMMYFUNCTION("IFERROR(
IF(REGEXMATCH(LOWER(O6599),""k""),
VALUE(REGEXEXTRACT(O6599,""[0-9]+""))*1000,
VALUE(REGEXEXTRACT(O6599,""[0-9]+""))
),
0
)"),0.0)</f>
        <v>0</v>
      </c>
      <c r="E6599" s="1" t="s">
        <v>11</v>
      </c>
      <c r="F6599" s="1" t="s">
        <v>20</v>
      </c>
      <c r="G6599" s="4" t="b">
        <f t="shared" si="2"/>
        <v>1</v>
      </c>
      <c r="H6599" s="1" t="str">
        <f t="shared" si="3"/>
        <v>Currently Unavailable</v>
      </c>
      <c r="I6599" s="1" t="str">
        <f t="shared" si="4"/>
        <v>No Badges</v>
      </c>
      <c r="J6599" s="3">
        <f t="shared" si="5"/>
        <v>0</v>
      </c>
    </row>
    <row r="6600">
      <c r="A6600" s="1" t="s">
        <v>5018</v>
      </c>
      <c r="B6600" s="1" t="str">
        <f t="shared" si="1"/>
        <v>Unavailable</v>
      </c>
      <c r="C6600" s="1"/>
      <c r="D6600" s="3">
        <f>IFERROR(__xludf.DUMMYFUNCTION("IFERROR(
IF(REGEXMATCH(LOWER(O6600),""k""),
VALUE(REGEXEXTRACT(O6600,""[0-9]+""))*1000,
VALUE(REGEXEXTRACT(O6600,""[0-9]+""))
),
0
)"),0.0)</f>
        <v>0</v>
      </c>
      <c r="E6600" s="1" t="s">
        <v>11</v>
      </c>
      <c r="F6600" s="1" t="s">
        <v>20</v>
      </c>
      <c r="G6600" s="4" t="b">
        <f t="shared" si="2"/>
        <v>1</v>
      </c>
      <c r="H6600" s="1" t="str">
        <f t="shared" si="3"/>
        <v>Currently Unavailable</v>
      </c>
      <c r="I6600" s="1" t="str">
        <f t="shared" si="4"/>
        <v>No Badges</v>
      </c>
      <c r="J6600" s="6">
        <f t="shared" si="5"/>
        <v>0</v>
      </c>
    </row>
    <row r="6601">
      <c r="A6601" s="1" t="s">
        <v>5019</v>
      </c>
      <c r="B6601" s="3" t="str">
        <f t="shared" si="1"/>
        <v>Unavailable</v>
      </c>
      <c r="C6601" s="5">
        <v>11175.0</v>
      </c>
      <c r="D6601" s="3">
        <f>IFERROR(__xludf.DUMMYFUNCTION("IFERROR(
IF(REGEXMATCH(LOWER(O6601),""k""),
VALUE(REGEXEXTRACT(O6601,""[0-9]+""))*1000,
VALUE(REGEXEXTRACT(O6601,""[0-9]+""))
),
0
)"),0.0)</f>
        <v>0</v>
      </c>
      <c r="E6601" s="1" t="s">
        <v>11</v>
      </c>
      <c r="F6601" s="1" t="s">
        <v>20</v>
      </c>
      <c r="G6601" s="4" t="b">
        <f t="shared" si="2"/>
        <v>1</v>
      </c>
      <c r="H6601" s="1" t="str">
        <f t="shared" si="3"/>
        <v>Currently Unavailable</v>
      </c>
      <c r="I6601" s="1" t="str">
        <f t="shared" si="4"/>
        <v>No Badges</v>
      </c>
      <c r="J6601" s="3">
        <f t="shared" si="5"/>
        <v>0</v>
      </c>
    </row>
    <row r="6602">
      <c r="A6602" s="1" t="s">
        <v>5020</v>
      </c>
      <c r="B6602" s="3" t="str">
        <f t="shared" si="1"/>
        <v>Unavailable</v>
      </c>
      <c r="C6602" s="3">
        <v>3.0</v>
      </c>
      <c r="D6602" s="3">
        <f>IFERROR(__xludf.DUMMYFUNCTION("IFERROR(
IF(REGEXMATCH(LOWER(O6602),""k""),
VALUE(REGEXEXTRACT(O6602,""[0-9]+""))*1000,
VALUE(REGEXEXTRACT(O6602,""[0-9]+""))
),
0
)"),0.0)</f>
        <v>0</v>
      </c>
      <c r="E6602" s="1" t="s">
        <v>11</v>
      </c>
      <c r="F6602" s="1" t="s">
        <v>20</v>
      </c>
      <c r="G6602" s="4" t="b">
        <f t="shared" si="2"/>
        <v>1</v>
      </c>
      <c r="H6602" s="1" t="str">
        <f t="shared" si="3"/>
        <v>Currently Unavailable</v>
      </c>
      <c r="I6602" s="1" t="str">
        <f t="shared" si="4"/>
        <v>No Badges</v>
      </c>
      <c r="J6602" s="3">
        <f t="shared" si="5"/>
        <v>0</v>
      </c>
    </row>
    <row r="6603">
      <c r="A6603" s="1" t="s">
        <v>5021</v>
      </c>
      <c r="B6603" s="3" t="str">
        <f t="shared" si="1"/>
        <v>Unavailable</v>
      </c>
      <c r="C6603" s="3">
        <v>543.0</v>
      </c>
      <c r="D6603" s="3">
        <f>IFERROR(__xludf.DUMMYFUNCTION("IFERROR(
IF(REGEXMATCH(LOWER(O6603),""k""),
VALUE(REGEXEXTRACT(O6603,""[0-9]+""))*1000,
VALUE(REGEXEXTRACT(O6603,""[0-9]+""))
),
0
)"),0.0)</f>
        <v>0</v>
      </c>
      <c r="E6603" s="1" t="s">
        <v>11</v>
      </c>
      <c r="F6603" s="1" t="s">
        <v>20</v>
      </c>
      <c r="G6603" s="4" t="b">
        <f t="shared" si="2"/>
        <v>1</v>
      </c>
      <c r="H6603" s="1" t="str">
        <f t="shared" si="3"/>
        <v>Currently Unavailable</v>
      </c>
      <c r="I6603" s="1" t="str">
        <f t="shared" si="4"/>
        <v>No Badges</v>
      </c>
      <c r="J6603" s="3">
        <f t="shared" si="5"/>
        <v>0</v>
      </c>
    </row>
    <row r="6604">
      <c r="A6604" s="1" t="s">
        <v>5022</v>
      </c>
      <c r="B6604" s="3" t="str">
        <f t="shared" si="1"/>
        <v>Unavailable</v>
      </c>
      <c r="C6604" s="5">
        <v>1019.0</v>
      </c>
      <c r="D6604" s="3">
        <f>IFERROR(__xludf.DUMMYFUNCTION("IFERROR(
IF(REGEXMATCH(LOWER(O6604),""k""),
VALUE(REGEXEXTRACT(O6604,""[0-9]+""))*1000,
VALUE(REGEXEXTRACT(O6604,""[0-9]+""))
),
0
)"),0.0)</f>
        <v>0</v>
      </c>
      <c r="E6604" s="1" t="s">
        <v>11</v>
      </c>
      <c r="F6604" s="1" t="s">
        <v>20</v>
      </c>
      <c r="G6604" s="4" t="b">
        <f t="shared" si="2"/>
        <v>1</v>
      </c>
      <c r="H6604" s="1" t="str">
        <f t="shared" si="3"/>
        <v>Currently Unavailable</v>
      </c>
      <c r="I6604" s="1" t="str">
        <f t="shared" si="4"/>
        <v>No Badges</v>
      </c>
      <c r="J6604" s="3">
        <f t="shared" si="5"/>
        <v>0</v>
      </c>
    </row>
    <row r="6605">
      <c r="A6605" s="1" t="s">
        <v>5023</v>
      </c>
      <c r="B6605" s="3" t="str">
        <f t="shared" si="1"/>
        <v>Unavailable</v>
      </c>
      <c r="C6605" s="3">
        <v>684.0</v>
      </c>
      <c r="D6605" s="3">
        <f>IFERROR(__xludf.DUMMYFUNCTION("IFERROR(
IF(REGEXMATCH(LOWER(O6605),""k""),
VALUE(REGEXEXTRACT(O6605,""[0-9]+""))*1000,
VALUE(REGEXEXTRACT(O6605,""[0-9]+""))
),
0
)"),0.0)</f>
        <v>0</v>
      </c>
      <c r="E6605" s="1" t="s">
        <v>11</v>
      </c>
      <c r="F6605" s="1" t="s">
        <v>20</v>
      </c>
      <c r="G6605" s="4" t="b">
        <f t="shared" si="2"/>
        <v>1</v>
      </c>
      <c r="H6605" s="1" t="str">
        <f t="shared" si="3"/>
        <v>Currently Unavailable</v>
      </c>
      <c r="I6605" s="1" t="str">
        <f t="shared" si="4"/>
        <v>No Badges</v>
      </c>
      <c r="J6605" s="3">
        <f t="shared" si="5"/>
        <v>0</v>
      </c>
    </row>
    <row r="6606">
      <c r="A6606" s="1" t="s">
        <v>5024</v>
      </c>
      <c r="B6606" s="3" t="str">
        <f t="shared" si="1"/>
        <v>Unavailable</v>
      </c>
      <c r="C6606" s="5">
        <v>1449.0</v>
      </c>
      <c r="D6606" s="3">
        <f>IFERROR(__xludf.DUMMYFUNCTION("IFERROR(
IF(REGEXMATCH(LOWER(O6606),""k""),
VALUE(REGEXEXTRACT(O6606,""[0-9]+""))*1000,
VALUE(REGEXEXTRACT(O6606,""[0-9]+""))
),
0
)"),0.0)</f>
        <v>0</v>
      </c>
      <c r="E6606" s="1" t="s">
        <v>11</v>
      </c>
      <c r="F6606" s="1" t="s">
        <v>20</v>
      </c>
      <c r="G6606" s="4" t="b">
        <f t="shared" si="2"/>
        <v>1</v>
      </c>
      <c r="H6606" s="1" t="str">
        <f t="shared" si="3"/>
        <v>Currently Unavailable</v>
      </c>
      <c r="I6606" s="1" t="str">
        <f t="shared" si="4"/>
        <v>No Badges</v>
      </c>
      <c r="J6606" s="3">
        <f t="shared" si="5"/>
        <v>0</v>
      </c>
    </row>
    <row r="6607">
      <c r="A6607" s="1" t="s">
        <v>5025</v>
      </c>
      <c r="B6607" s="3" t="str">
        <f t="shared" si="1"/>
        <v>Unavailable</v>
      </c>
      <c r="C6607" s="5">
        <v>7983.0</v>
      </c>
      <c r="D6607" s="3">
        <f>IFERROR(__xludf.DUMMYFUNCTION("IFERROR(
IF(REGEXMATCH(LOWER(O6607),""k""),
VALUE(REGEXEXTRACT(O6607,""[0-9]+""))*1000,
VALUE(REGEXEXTRACT(O6607,""[0-9]+""))
),
0
)"),0.0)</f>
        <v>0</v>
      </c>
      <c r="E6607" s="1" t="s">
        <v>11</v>
      </c>
      <c r="F6607" s="1" t="s">
        <v>20</v>
      </c>
      <c r="G6607" s="4" t="b">
        <f t="shared" si="2"/>
        <v>1</v>
      </c>
      <c r="H6607" s="1" t="str">
        <f t="shared" si="3"/>
        <v>Currently Unavailable</v>
      </c>
      <c r="I6607" s="1" t="str">
        <f t="shared" si="4"/>
        <v>No Badges</v>
      </c>
      <c r="J6607" s="3">
        <f t="shared" si="5"/>
        <v>0</v>
      </c>
    </row>
    <row r="6608">
      <c r="A6608" s="1" t="s">
        <v>67</v>
      </c>
      <c r="B6608" s="3" t="str">
        <f t="shared" si="1"/>
        <v>Unavailable</v>
      </c>
      <c r="C6608" s="3">
        <v>264.0</v>
      </c>
      <c r="D6608" s="3">
        <f>IFERROR(__xludf.DUMMYFUNCTION("IFERROR(
IF(REGEXMATCH(LOWER(O6608),""k""),
VALUE(REGEXEXTRACT(O6608,""[0-9]+""))*1000,
VALUE(REGEXEXTRACT(O6608,""[0-9]+""))
),
0
)"),0.0)</f>
        <v>0</v>
      </c>
      <c r="E6608" s="1" t="s">
        <v>11</v>
      </c>
      <c r="F6608" s="1" t="s">
        <v>12</v>
      </c>
      <c r="G6608" s="4" t="b">
        <f t="shared" si="2"/>
        <v>1</v>
      </c>
      <c r="H6608" s="1" t="str">
        <f t="shared" si="3"/>
        <v>Currently Unavailable</v>
      </c>
      <c r="I6608" s="1" t="str">
        <f t="shared" si="4"/>
        <v>No Badges</v>
      </c>
      <c r="J6608" s="3">
        <f t="shared" si="5"/>
        <v>0</v>
      </c>
    </row>
    <row r="6609">
      <c r="A6609" s="1" t="s">
        <v>4767</v>
      </c>
      <c r="B6609" s="3" t="str">
        <f t="shared" si="1"/>
        <v>Unavailable</v>
      </c>
      <c r="C6609" s="3">
        <v>394.0</v>
      </c>
      <c r="D6609" s="3">
        <f>IFERROR(__xludf.DUMMYFUNCTION("IFERROR(
IF(REGEXMATCH(LOWER(O6609),""k""),
VALUE(REGEXEXTRACT(O6609,""[0-9]+""))*1000,
VALUE(REGEXEXTRACT(O6609,""[0-9]+""))
),
0
)"),0.0)</f>
        <v>0</v>
      </c>
      <c r="E6609" s="1" t="s">
        <v>11</v>
      </c>
      <c r="F6609" s="1" t="s">
        <v>12</v>
      </c>
      <c r="G6609" s="4" t="b">
        <f t="shared" si="2"/>
        <v>1</v>
      </c>
      <c r="H6609" s="1" t="str">
        <f t="shared" si="3"/>
        <v>Currently Unavailable</v>
      </c>
      <c r="I6609" s="1" t="str">
        <f t="shared" si="4"/>
        <v>No Badges</v>
      </c>
      <c r="J6609" s="3">
        <f t="shared" si="5"/>
        <v>0</v>
      </c>
    </row>
    <row r="6610">
      <c r="A6610" s="1" t="s">
        <v>5026</v>
      </c>
      <c r="B6610" s="3" t="str">
        <f t="shared" si="1"/>
        <v>Unavailable</v>
      </c>
      <c r="C6610" s="5">
        <v>2766.0</v>
      </c>
      <c r="D6610" s="3">
        <f>IFERROR(__xludf.DUMMYFUNCTION("IFERROR(
IF(REGEXMATCH(LOWER(O6610),""k""),
VALUE(REGEXEXTRACT(O6610,""[0-9]+""))*1000,
VALUE(REGEXEXTRACT(O6610,""[0-9]+""))
),
0
)"),0.0)</f>
        <v>0</v>
      </c>
      <c r="E6610" s="1" t="s">
        <v>11</v>
      </c>
      <c r="F6610" s="1" t="s">
        <v>20</v>
      </c>
      <c r="G6610" s="4" t="b">
        <f t="shared" si="2"/>
        <v>1</v>
      </c>
      <c r="H6610" s="1" t="str">
        <f t="shared" si="3"/>
        <v>Currently Unavailable</v>
      </c>
      <c r="I6610" s="1" t="str">
        <f t="shared" si="4"/>
        <v>No Badges</v>
      </c>
      <c r="J6610" s="3">
        <f t="shared" si="5"/>
        <v>0</v>
      </c>
    </row>
    <row r="6611">
      <c r="A6611" s="1" t="s">
        <v>5027</v>
      </c>
      <c r="B6611" s="3" t="str">
        <f t="shared" si="1"/>
        <v>Unavailable</v>
      </c>
      <c r="C6611" s="5">
        <v>2375.0</v>
      </c>
      <c r="D6611" s="3">
        <f>IFERROR(__xludf.DUMMYFUNCTION("IFERROR(
IF(REGEXMATCH(LOWER(O6611),""k""),
VALUE(REGEXEXTRACT(O6611,""[0-9]+""))*1000,
VALUE(REGEXEXTRACT(O6611,""[0-9]+""))
),
0
)"),0.0)</f>
        <v>0</v>
      </c>
      <c r="E6611" s="1" t="s">
        <v>11</v>
      </c>
      <c r="F6611" s="1" t="s">
        <v>20</v>
      </c>
      <c r="G6611" s="4" t="b">
        <f t="shared" si="2"/>
        <v>1</v>
      </c>
      <c r="H6611" s="1" t="str">
        <f t="shared" si="3"/>
        <v>Currently Unavailable</v>
      </c>
      <c r="I6611" s="1" t="str">
        <f t="shared" si="4"/>
        <v>No Badges</v>
      </c>
      <c r="J6611" s="3">
        <f t="shared" si="5"/>
        <v>0</v>
      </c>
    </row>
    <row r="6612">
      <c r="A6612" s="1" t="s">
        <v>5028</v>
      </c>
      <c r="B6612" s="3" t="str">
        <f t="shared" si="1"/>
        <v>Unavailable</v>
      </c>
      <c r="C6612" s="5">
        <v>7775.0</v>
      </c>
      <c r="D6612" s="3">
        <f>IFERROR(__xludf.DUMMYFUNCTION("IFERROR(
IF(REGEXMATCH(LOWER(O6612),""k""),
VALUE(REGEXEXTRACT(O6612,""[0-9]+""))*1000,
VALUE(REGEXEXTRACT(O6612,""[0-9]+""))
),
0
)"),0.0)</f>
        <v>0</v>
      </c>
      <c r="E6612" s="1" t="s">
        <v>11</v>
      </c>
      <c r="F6612" s="1" t="s">
        <v>20</v>
      </c>
      <c r="G6612" s="4" t="b">
        <f t="shared" si="2"/>
        <v>1</v>
      </c>
      <c r="H6612" s="1" t="str">
        <f t="shared" si="3"/>
        <v>Currently Unavailable</v>
      </c>
      <c r="I6612" s="1" t="str">
        <f t="shared" si="4"/>
        <v>No Badges</v>
      </c>
      <c r="J6612" s="3">
        <f t="shared" si="5"/>
        <v>0</v>
      </c>
    </row>
    <row r="6613">
      <c r="A6613" s="1" t="s">
        <v>69</v>
      </c>
      <c r="B6613" s="3" t="str">
        <f t="shared" si="1"/>
        <v>Unavailable</v>
      </c>
      <c r="C6613" s="3">
        <v>45.0</v>
      </c>
      <c r="D6613" s="3">
        <f>IFERROR(__xludf.DUMMYFUNCTION("IFERROR(
IF(REGEXMATCH(LOWER(O6613),""k""),
VALUE(REGEXEXTRACT(O6613,""[0-9]+""))*1000,
VALUE(REGEXEXTRACT(O6613,""[0-9]+""))
),
0
)"),0.0)</f>
        <v>0</v>
      </c>
      <c r="E6613" s="1" t="s">
        <v>11</v>
      </c>
      <c r="F6613" s="1" t="s">
        <v>12</v>
      </c>
      <c r="G6613" s="4" t="b">
        <f t="shared" si="2"/>
        <v>1</v>
      </c>
      <c r="H6613" s="1" t="str">
        <f t="shared" si="3"/>
        <v>Currently Unavailable</v>
      </c>
      <c r="I6613" s="1" t="str">
        <f t="shared" si="4"/>
        <v>No Badges</v>
      </c>
      <c r="J6613" s="3">
        <f t="shared" si="5"/>
        <v>0</v>
      </c>
    </row>
    <row r="6614">
      <c r="A6614" s="1" t="s">
        <v>5029</v>
      </c>
      <c r="B6614" s="3" t="str">
        <f t="shared" si="1"/>
        <v>Unavailable</v>
      </c>
      <c r="C6614" s="3">
        <v>76.0</v>
      </c>
      <c r="D6614" s="3">
        <f>IFERROR(__xludf.DUMMYFUNCTION("IFERROR(
IF(REGEXMATCH(LOWER(O6614),""k""),
VALUE(REGEXEXTRACT(O6614,""[0-9]+""))*1000,
VALUE(REGEXEXTRACT(O6614,""[0-9]+""))
),
0
)"),0.0)</f>
        <v>0</v>
      </c>
      <c r="E6614" s="1" t="s">
        <v>11</v>
      </c>
      <c r="F6614" s="1" t="s">
        <v>20</v>
      </c>
      <c r="G6614" s="4" t="b">
        <f t="shared" si="2"/>
        <v>1</v>
      </c>
      <c r="H6614" s="1" t="str">
        <f t="shared" si="3"/>
        <v>Currently Unavailable</v>
      </c>
      <c r="I6614" s="1" t="str">
        <f t="shared" si="4"/>
        <v>No Badges</v>
      </c>
      <c r="J6614" s="3">
        <f t="shared" si="5"/>
        <v>0</v>
      </c>
    </row>
    <row r="6615">
      <c r="A6615" s="1" t="s">
        <v>5030</v>
      </c>
      <c r="B6615" s="3" t="str">
        <f t="shared" si="1"/>
        <v>Unavailable</v>
      </c>
      <c r="C6615" s="3">
        <v>61.0</v>
      </c>
      <c r="D6615" s="3">
        <f>IFERROR(__xludf.DUMMYFUNCTION("IFERROR(
IF(REGEXMATCH(LOWER(O6615),""k""),
VALUE(REGEXEXTRACT(O6615,""[0-9]+""))*1000,
VALUE(REGEXEXTRACT(O6615,""[0-9]+""))
),
0
)"),0.0)</f>
        <v>0</v>
      </c>
      <c r="E6615" s="1" t="s">
        <v>11</v>
      </c>
      <c r="F6615" s="1" t="s">
        <v>20</v>
      </c>
      <c r="G6615" s="4" t="b">
        <f t="shared" si="2"/>
        <v>1</v>
      </c>
      <c r="H6615" s="1" t="str">
        <f t="shared" si="3"/>
        <v>Currently Unavailable</v>
      </c>
      <c r="I6615" s="1" t="str">
        <f t="shared" si="4"/>
        <v>No Badges</v>
      </c>
      <c r="J6615" s="3">
        <f t="shared" si="5"/>
        <v>0</v>
      </c>
    </row>
    <row r="6616">
      <c r="A6616" s="1" t="s">
        <v>5031</v>
      </c>
      <c r="B6616" s="3" t="str">
        <f t="shared" si="1"/>
        <v>Unavailable</v>
      </c>
      <c r="C6616" s="3">
        <v>16.0</v>
      </c>
      <c r="D6616" s="3">
        <f>IFERROR(__xludf.DUMMYFUNCTION("IFERROR(
IF(REGEXMATCH(LOWER(O6616),""k""),
VALUE(REGEXEXTRACT(O6616,""[0-9]+""))*1000,
VALUE(REGEXEXTRACT(O6616,""[0-9]+""))
),
0
)"),0.0)</f>
        <v>0</v>
      </c>
      <c r="E6616" s="1" t="s">
        <v>11</v>
      </c>
      <c r="F6616" s="1" t="s">
        <v>20</v>
      </c>
      <c r="G6616" s="4" t="b">
        <f t="shared" si="2"/>
        <v>1</v>
      </c>
      <c r="H6616" s="1" t="str">
        <f t="shared" si="3"/>
        <v>Currently Unavailable</v>
      </c>
      <c r="I6616" s="1" t="str">
        <f t="shared" si="4"/>
        <v>No Badges</v>
      </c>
      <c r="J6616" s="3">
        <f t="shared" si="5"/>
        <v>0</v>
      </c>
    </row>
    <row r="6617">
      <c r="A6617" s="1" t="s">
        <v>5032</v>
      </c>
      <c r="B6617" s="3" t="str">
        <f t="shared" si="1"/>
        <v>Unavailable</v>
      </c>
      <c r="C6617" s="5">
        <v>3728.0</v>
      </c>
      <c r="D6617" s="3">
        <f>IFERROR(__xludf.DUMMYFUNCTION("IFERROR(
IF(REGEXMATCH(LOWER(O6617),""k""),
VALUE(REGEXEXTRACT(O6617,""[0-9]+""))*1000,
VALUE(REGEXEXTRACT(O6617,""[0-9]+""))
),
0
)"),0.0)</f>
        <v>0</v>
      </c>
      <c r="E6617" s="1" t="s">
        <v>11</v>
      </c>
      <c r="F6617" s="1" t="s">
        <v>20</v>
      </c>
      <c r="G6617" s="4" t="b">
        <f t="shared" si="2"/>
        <v>1</v>
      </c>
      <c r="H6617" s="1" t="str">
        <f t="shared" si="3"/>
        <v>Currently Unavailable</v>
      </c>
      <c r="I6617" s="1" t="str">
        <f t="shared" si="4"/>
        <v>No Badges</v>
      </c>
      <c r="J6617" s="3">
        <f t="shared" si="5"/>
        <v>0</v>
      </c>
    </row>
    <row r="6618">
      <c r="A6618" s="1" t="s">
        <v>5033</v>
      </c>
      <c r="B6618" s="3" t="str">
        <f t="shared" si="1"/>
        <v>Unavailable</v>
      </c>
      <c r="C6618" s="5">
        <v>7207.0</v>
      </c>
      <c r="D6618" s="3">
        <f>IFERROR(__xludf.DUMMYFUNCTION("IFERROR(
IF(REGEXMATCH(LOWER(O6618),""k""),
VALUE(REGEXEXTRACT(O6618,""[0-9]+""))*1000,
VALUE(REGEXEXTRACT(O6618,""[0-9]+""))
),
0
)"),0.0)</f>
        <v>0</v>
      </c>
      <c r="E6618" s="1" t="s">
        <v>11</v>
      </c>
      <c r="F6618" s="1" t="s">
        <v>20</v>
      </c>
      <c r="G6618" s="4" t="b">
        <f t="shared" si="2"/>
        <v>1</v>
      </c>
      <c r="H6618" s="1" t="str">
        <f t="shared" si="3"/>
        <v>Currently Unavailable</v>
      </c>
      <c r="I6618" s="1" t="str">
        <f t="shared" si="4"/>
        <v>No Badges</v>
      </c>
      <c r="J6618" s="3">
        <f t="shared" si="5"/>
        <v>0</v>
      </c>
    </row>
    <row r="6619">
      <c r="A6619" s="1" t="s">
        <v>5034</v>
      </c>
      <c r="B6619" s="3" t="str">
        <f t="shared" si="1"/>
        <v>Unavailable</v>
      </c>
      <c r="C6619" s="5">
        <v>4424.0</v>
      </c>
      <c r="D6619" s="3">
        <f>IFERROR(__xludf.DUMMYFUNCTION("IFERROR(
IF(REGEXMATCH(LOWER(O6619),""k""),
VALUE(REGEXEXTRACT(O6619,""[0-9]+""))*1000,
VALUE(REGEXEXTRACT(O6619,""[0-9]+""))
),
0
)"),0.0)</f>
        <v>0</v>
      </c>
      <c r="E6619" s="1" t="s">
        <v>11</v>
      </c>
      <c r="F6619" s="1" t="s">
        <v>20</v>
      </c>
      <c r="G6619" s="4" t="b">
        <f t="shared" si="2"/>
        <v>1</v>
      </c>
      <c r="H6619" s="1" t="str">
        <f t="shared" si="3"/>
        <v>Currently Unavailable</v>
      </c>
      <c r="I6619" s="1" t="str">
        <f t="shared" si="4"/>
        <v>No Badges</v>
      </c>
      <c r="J6619" s="3">
        <f t="shared" si="5"/>
        <v>0</v>
      </c>
    </row>
    <row r="6620">
      <c r="A6620" s="1" t="s">
        <v>5035</v>
      </c>
      <c r="B6620" s="3" t="str">
        <f t="shared" si="1"/>
        <v>Unavailable</v>
      </c>
      <c r="C6620" s="5">
        <v>3151.0</v>
      </c>
      <c r="D6620" s="3">
        <f>IFERROR(__xludf.DUMMYFUNCTION("IFERROR(
IF(REGEXMATCH(LOWER(O6620),""k""),
VALUE(REGEXEXTRACT(O6620,""[0-9]+""))*1000,
VALUE(REGEXEXTRACT(O6620,""[0-9]+""))
),
0
)"),0.0)</f>
        <v>0</v>
      </c>
      <c r="E6620" s="1" t="s">
        <v>11</v>
      </c>
      <c r="F6620" s="1" t="s">
        <v>20</v>
      </c>
      <c r="G6620" s="4" t="b">
        <f t="shared" si="2"/>
        <v>1</v>
      </c>
      <c r="H6620" s="1" t="str">
        <f t="shared" si="3"/>
        <v>Currently Unavailable</v>
      </c>
      <c r="I6620" s="1" t="str">
        <f t="shared" si="4"/>
        <v>No Badges</v>
      </c>
      <c r="J6620" s="3">
        <f t="shared" si="5"/>
        <v>0</v>
      </c>
    </row>
    <row r="6621">
      <c r="A6621" s="1" t="s">
        <v>5036</v>
      </c>
      <c r="B6621" s="3" t="str">
        <f t="shared" si="1"/>
        <v>Unavailable</v>
      </c>
      <c r="C6621" s="5">
        <v>2980.0</v>
      </c>
      <c r="D6621" s="3">
        <f>IFERROR(__xludf.DUMMYFUNCTION("IFERROR(
IF(REGEXMATCH(LOWER(O6621),""k""),
VALUE(REGEXEXTRACT(O6621,""[0-9]+""))*1000,
VALUE(REGEXEXTRACT(O6621,""[0-9]+""))
),
0
)"),0.0)</f>
        <v>0</v>
      </c>
      <c r="E6621" s="1" t="s">
        <v>11</v>
      </c>
      <c r="F6621" s="1" t="s">
        <v>20</v>
      </c>
      <c r="G6621" s="4" t="b">
        <f t="shared" si="2"/>
        <v>1</v>
      </c>
      <c r="H6621" s="1" t="str">
        <f t="shared" si="3"/>
        <v>Currently Unavailable</v>
      </c>
      <c r="I6621" s="1" t="str">
        <f t="shared" si="4"/>
        <v>No Badges</v>
      </c>
      <c r="J6621" s="3">
        <f t="shared" si="5"/>
        <v>0</v>
      </c>
    </row>
    <row r="6622">
      <c r="A6622" s="1" t="s">
        <v>5037</v>
      </c>
      <c r="B6622" s="3" t="str">
        <f t="shared" si="1"/>
        <v>Unavailable</v>
      </c>
      <c r="C6622" s="5">
        <v>1196.0</v>
      </c>
      <c r="D6622" s="3">
        <f>IFERROR(__xludf.DUMMYFUNCTION("IFERROR(
IF(REGEXMATCH(LOWER(O6622),""k""),
VALUE(REGEXEXTRACT(O6622,""[0-9]+""))*1000,
VALUE(REGEXEXTRACT(O6622,""[0-9]+""))
),
0
)"),0.0)</f>
        <v>0</v>
      </c>
      <c r="E6622" s="1" t="s">
        <v>11</v>
      </c>
      <c r="F6622" s="1" t="s">
        <v>20</v>
      </c>
      <c r="G6622" s="4" t="b">
        <f t="shared" si="2"/>
        <v>1</v>
      </c>
      <c r="H6622" s="1" t="str">
        <f t="shared" si="3"/>
        <v>Currently Unavailable</v>
      </c>
      <c r="I6622" s="1" t="str">
        <f t="shared" si="4"/>
        <v>No Badges</v>
      </c>
      <c r="J6622" s="3">
        <f t="shared" si="5"/>
        <v>0</v>
      </c>
    </row>
    <row r="6623">
      <c r="A6623" s="1" t="s">
        <v>5038</v>
      </c>
      <c r="B6623" s="3" t="str">
        <f t="shared" si="1"/>
        <v>Unavailable</v>
      </c>
      <c r="C6623" s="3">
        <v>830.0</v>
      </c>
      <c r="D6623" s="3">
        <f>IFERROR(__xludf.DUMMYFUNCTION("IFERROR(
IF(REGEXMATCH(LOWER(O6623),""k""),
VALUE(REGEXEXTRACT(O6623,""[0-9]+""))*1000,
VALUE(REGEXEXTRACT(O6623,""[0-9]+""))
),
0
)"),0.0)</f>
        <v>0</v>
      </c>
      <c r="E6623" s="1" t="s">
        <v>11</v>
      </c>
      <c r="F6623" s="1" t="s">
        <v>20</v>
      </c>
      <c r="G6623" s="4" t="b">
        <f t="shared" si="2"/>
        <v>1</v>
      </c>
      <c r="H6623" s="1" t="str">
        <f t="shared" si="3"/>
        <v>Currently Unavailable</v>
      </c>
      <c r="I6623" s="1" t="str">
        <f t="shared" si="4"/>
        <v>No Badges</v>
      </c>
      <c r="J6623" s="3">
        <f t="shared" si="5"/>
        <v>0</v>
      </c>
    </row>
    <row r="6624">
      <c r="A6624" s="1" t="s">
        <v>5039</v>
      </c>
      <c r="B6624" s="3" t="str">
        <f t="shared" si="1"/>
        <v>Unavailable</v>
      </c>
      <c r="C6624" s="5">
        <v>2564.0</v>
      </c>
      <c r="D6624" s="3">
        <f>IFERROR(__xludf.DUMMYFUNCTION("IFERROR(
IF(REGEXMATCH(LOWER(O6624),""k""),
VALUE(REGEXEXTRACT(O6624,""[0-9]+""))*1000,
VALUE(REGEXEXTRACT(O6624,""[0-9]+""))
),
0
)"),0.0)</f>
        <v>0</v>
      </c>
      <c r="E6624" s="1" t="s">
        <v>11</v>
      </c>
      <c r="F6624" s="1" t="s">
        <v>20</v>
      </c>
      <c r="G6624" s="4" t="b">
        <f t="shared" si="2"/>
        <v>1</v>
      </c>
      <c r="H6624" s="1" t="str">
        <f t="shared" si="3"/>
        <v>Currently Unavailable</v>
      </c>
      <c r="I6624" s="1" t="str">
        <f t="shared" si="4"/>
        <v>No Badges</v>
      </c>
      <c r="J6624" s="3">
        <f t="shared" si="5"/>
        <v>0</v>
      </c>
    </row>
    <row r="6625">
      <c r="A6625" s="1" t="s">
        <v>5040</v>
      </c>
      <c r="B6625" s="3" t="str">
        <f t="shared" si="1"/>
        <v>Unavailable</v>
      </c>
      <c r="C6625" s="5">
        <v>1860.0</v>
      </c>
      <c r="D6625" s="3">
        <f>IFERROR(__xludf.DUMMYFUNCTION("IFERROR(
IF(REGEXMATCH(LOWER(O6625),""k""),
VALUE(REGEXEXTRACT(O6625,""[0-9]+""))*1000,
VALUE(REGEXEXTRACT(O6625,""[0-9]+""))
),
0
)"),0.0)</f>
        <v>0</v>
      </c>
      <c r="E6625" s="1" t="s">
        <v>11</v>
      </c>
      <c r="F6625" s="1" t="s">
        <v>20</v>
      </c>
      <c r="G6625" s="4" t="b">
        <f t="shared" si="2"/>
        <v>1</v>
      </c>
      <c r="H6625" s="1" t="str">
        <f t="shared" si="3"/>
        <v>Currently Unavailable</v>
      </c>
      <c r="I6625" s="1" t="str">
        <f t="shared" si="4"/>
        <v>No Badges</v>
      </c>
      <c r="J6625" s="3">
        <f t="shared" si="5"/>
        <v>0</v>
      </c>
    </row>
    <row r="6626">
      <c r="A6626" s="1" t="s">
        <v>67</v>
      </c>
      <c r="B6626" s="3" t="str">
        <f t="shared" si="1"/>
        <v>Unavailable</v>
      </c>
      <c r="C6626" s="3">
        <v>264.0</v>
      </c>
      <c r="D6626" s="3">
        <f>IFERROR(__xludf.DUMMYFUNCTION("IFERROR(
IF(REGEXMATCH(LOWER(O6626),""k""),
VALUE(REGEXEXTRACT(O6626,""[0-9]+""))*1000,
VALUE(REGEXEXTRACT(O6626,""[0-9]+""))
),
0
)"),0.0)</f>
        <v>0</v>
      </c>
      <c r="E6626" s="1" t="s">
        <v>11</v>
      </c>
      <c r="F6626" s="1" t="s">
        <v>12</v>
      </c>
      <c r="G6626" s="4" t="b">
        <f t="shared" si="2"/>
        <v>1</v>
      </c>
      <c r="H6626" s="1" t="str">
        <f t="shared" si="3"/>
        <v>Currently Unavailable</v>
      </c>
      <c r="I6626" s="1" t="str">
        <f t="shared" si="4"/>
        <v>No Badges</v>
      </c>
      <c r="J6626" s="3">
        <f t="shared" si="5"/>
        <v>0</v>
      </c>
    </row>
    <row r="6627">
      <c r="A6627" s="1" t="s">
        <v>5041</v>
      </c>
      <c r="B6627" s="3" t="str">
        <f t="shared" si="1"/>
        <v>Unavailable</v>
      </c>
      <c r="C6627" s="3">
        <v>510.0</v>
      </c>
      <c r="D6627" s="3">
        <f>IFERROR(__xludf.DUMMYFUNCTION("IFERROR(
IF(REGEXMATCH(LOWER(O6627),""k""),
VALUE(REGEXEXTRACT(O6627,""[0-9]+""))*1000,
VALUE(REGEXEXTRACT(O6627,""[0-9]+""))
),
0
)"),0.0)</f>
        <v>0</v>
      </c>
      <c r="E6627" s="1" t="s">
        <v>11</v>
      </c>
      <c r="F6627" s="1" t="s">
        <v>20</v>
      </c>
      <c r="G6627" s="4" t="b">
        <f t="shared" si="2"/>
        <v>1</v>
      </c>
      <c r="H6627" s="1" t="str">
        <f t="shared" si="3"/>
        <v>Currently Unavailable</v>
      </c>
      <c r="I6627" s="1" t="str">
        <f t="shared" si="4"/>
        <v>No Badges</v>
      </c>
      <c r="J6627" s="3">
        <f t="shared" si="5"/>
        <v>0</v>
      </c>
    </row>
    <row r="6628">
      <c r="A6628" s="1" t="s">
        <v>701</v>
      </c>
      <c r="B6628" s="3" t="str">
        <f t="shared" si="1"/>
        <v>Unavailable</v>
      </c>
      <c r="C6628" s="3">
        <v>8.0</v>
      </c>
      <c r="D6628" s="3">
        <f>IFERROR(__xludf.DUMMYFUNCTION("IFERROR(
IF(REGEXMATCH(LOWER(O6628),""k""),
VALUE(REGEXEXTRACT(O6628,""[0-9]+""))*1000,
VALUE(REGEXEXTRACT(O6628,""[0-9]+""))
),
0
)"),0.0)</f>
        <v>0</v>
      </c>
      <c r="E6628" s="1" t="s">
        <v>11</v>
      </c>
      <c r="F6628" s="1" t="s">
        <v>12</v>
      </c>
      <c r="G6628" s="4" t="b">
        <f t="shared" si="2"/>
        <v>1</v>
      </c>
      <c r="H6628" s="1" t="str">
        <f t="shared" si="3"/>
        <v>Currently Unavailable</v>
      </c>
      <c r="I6628" s="1" t="str">
        <f t="shared" si="4"/>
        <v>No Badges</v>
      </c>
      <c r="J6628" s="3">
        <f t="shared" si="5"/>
        <v>0</v>
      </c>
    </row>
    <row r="6629">
      <c r="A6629" s="1" t="s">
        <v>5042</v>
      </c>
      <c r="B6629" s="3" t="str">
        <f t="shared" si="1"/>
        <v>Unavailable</v>
      </c>
      <c r="C6629" s="5">
        <v>17599.0</v>
      </c>
      <c r="D6629" s="3">
        <f>IFERROR(__xludf.DUMMYFUNCTION("IFERROR(
IF(REGEXMATCH(LOWER(O6629),""k""),
VALUE(REGEXEXTRACT(O6629,""[0-9]+""))*1000,
VALUE(REGEXEXTRACT(O6629,""[0-9]+""))
),
0
)"),0.0)</f>
        <v>0</v>
      </c>
      <c r="E6629" s="1" t="s">
        <v>11</v>
      </c>
      <c r="F6629" s="1" t="s">
        <v>20</v>
      </c>
      <c r="G6629" s="4" t="b">
        <f t="shared" si="2"/>
        <v>1</v>
      </c>
      <c r="H6629" s="1" t="str">
        <f t="shared" si="3"/>
        <v>Currently Unavailable</v>
      </c>
      <c r="I6629" s="1" t="str">
        <f t="shared" si="4"/>
        <v>No Badges</v>
      </c>
      <c r="J6629" s="3">
        <f t="shared" si="5"/>
        <v>0</v>
      </c>
    </row>
    <row r="6630">
      <c r="A6630" s="1" t="s">
        <v>5043</v>
      </c>
      <c r="B6630" s="3" t="str">
        <f t="shared" si="1"/>
        <v>Unavailable</v>
      </c>
      <c r="C6630" s="5">
        <v>1734.0</v>
      </c>
      <c r="D6630" s="3">
        <f>IFERROR(__xludf.DUMMYFUNCTION("IFERROR(
IF(REGEXMATCH(LOWER(O6630),""k""),
VALUE(REGEXEXTRACT(O6630,""[0-9]+""))*1000,
VALUE(REGEXEXTRACT(O6630,""[0-9]+""))
),
0
)"),0.0)</f>
        <v>0</v>
      </c>
      <c r="E6630" s="1" t="s">
        <v>11</v>
      </c>
      <c r="F6630" s="1" t="s">
        <v>20</v>
      </c>
      <c r="G6630" s="4" t="b">
        <f t="shared" si="2"/>
        <v>1</v>
      </c>
      <c r="H6630" s="1" t="str">
        <f t="shared" si="3"/>
        <v>Currently Unavailable</v>
      </c>
      <c r="I6630" s="1" t="str">
        <f t="shared" si="4"/>
        <v>No Badges</v>
      </c>
      <c r="J6630" s="3">
        <f t="shared" si="5"/>
        <v>0</v>
      </c>
    </row>
    <row r="6631">
      <c r="A6631" s="1" t="s">
        <v>5044</v>
      </c>
      <c r="B6631" s="3" t="str">
        <f t="shared" si="1"/>
        <v>Unavailable</v>
      </c>
      <c r="C6631" s="3">
        <v>880.0</v>
      </c>
      <c r="D6631" s="3">
        <f>IFERROR(__xludf.DUMMYFUNCTION("IFERROR(
IF(REGEXMATCH(LOWER(O6631),""k""),
VALUE(REGEXEXTRACT(O6631,""[0-9]+""))*1000,
VALUE(REGEXEXTRACT(O6631,""[0-9]+""))
),
0
)"),0.0)</f>
        <v>0</v>
      </c>
      <c r="E6631" s="1" t="s">
        <v>11</v>
      </c>
      <c r="F6631" s="1" t="s">
        <v>20</v>
      </c>
      <c r="G6631" s="4" t="b">
        <f t="shared" si="2"/>
        <v>1</v>
      </c>
      <c r="H6631" s="1" t="str">
        <f t="shared" si="3"/>
        <v>Currently Unavailable</v>
      </c>
      <c r="I6631" s="1" t="str">
        <f t="shared" si="4"/>
        <v>No Badges</v>
      </c>
      <c r="J6631" s="3">
        <f t="shared" si="5"/>
        <v>0</v>
      </c>
    </row>
    <row r="6632">
      <c r="A6632" s="1" t="s">
        <v>5045</v>
      </c>
      <c r="B6632" s="3" t="str">
        <f t="shared" si="1"/>
        <v>Unavailable</v>
      </c>
      <c r="C6632" s="5">
        <v>3566.0</v>
      </c>
      <c r="D6632" s="3">
        <f>IFERROR(__xludf.DUMMYFUNCTION("IFERROR(
IF(REGEXMATCH(LOWER(O6632),""k""),
VALUE(REGEXEXTRACT(O6632,""[0-9]+""))*1000,
VALUE(REGEXEXTRACT(O6632,""[0-9]+""))
),
0
)"),0.0)</f>
        <v>0</v>
      </c>
      <c r="E6632" s="1" t="s">
        <v>11</v>
      </c>
      <c r="F6632" s="1" t="s">
        <v>20</v>
      </c>
      <c r="G6632" s="4" t="b">
        <f t="shared" si="2"/>
        <v>1</v>
      </c>
      <c r="H6632" s="1" t="str">
        <f t="shared" si="3"/>
        <v>Currently Unavailable</v>
      </c>
      <c r="I6632" s="1" t="str">
        <f t="shared" si="4"/>
        <v>No Badges</v>
      </c>
      <c r="J6632" s="3">
        <f t="shared" si="5"/>
        <v>0</v>
      </c>
    </row>
    <row r="6633">
      <c r="A6633" s="1" t="s">
        <v>5046</v>
      </c>
      <c r="B6633" s="3" t="str">
        <f t="shared" si="1"/>
        <v>Unavailable</v>
      </c>
      <c r="C6633" s="3">
        <v>877.0</v>
      </c>
      <c r="D6633" s="3">
        <f>IFERROR(__xludf.DUMMYFUNCTION("IFERROR(
IF(REGEXMATCH(LOWER(O6633),""k""),
VALUE(REGEXEXTRACT(O6633,""[0-9]+""))*1000,
VALUE(REGEXEXTRACT(O6633,""[0-9]+""))
),
0
)"),0.0)</f>
        <v>0</v>
      </c>
      <c r="E6633" s="1" t="s">
        <v>11</v>
      </c>
      <c r="F6633" s="1" t="s">
        <v>20</v>
      </c>
      <c r="G6633" s="4" t="b">
        <f t="shared" si="2"/>
        <v>1</v>
      </c>
      <c r="H6633" s="1" t="str">
        <f t="shared" si="3"/>
        <v>Currently Unavailable</v>
      </c>
      <c r="I6633" s="1" t="str">
        <f t="shared" si="4"/>
        <v>No Badges</v>
      </c>
      <c r="J6633" s="3">
        <f t="shared" si="5"/>
        <v>0</v>
      </c>
    </row>
    <row r="6634">
      <c r="A6634" s="1" t="s">
        <v>5047</v>
      </c>
      <c r="B6634" s="3" t="str">
        <f t="shared" si="1"/>
        <v>Unavailable</v>
      </c>
      <c r="C6634" s="5">
        <v>1685.0</v>
      </c>
      <c r="D6634" s="3">
        <f>IFERROR(__xludf.DUMMYFUNCTION("IFERROR(
IF(REGEXMATCH(LOWER(O6634),""k""),
VALUE(REGEXEXTRACT(O6634,""[0-9]+""))*1000,
VALUE(REGEXEXTRACT(O6634,""[0-9]+""))
),
0
)"),0.0)</f>
        <v>0</v>
      </c>
      <c r="E6634" s="1" t="s">
        <v>11</v>
      </c>
      <c r="F6634" s="1" t="s">
        <v>20</v>
      </c>
      <c r="G6634" s="4" t="b">
        <f t="shared" si="2"/>
        <v>1</v>
      </c>
      <c r="H6634" s="1" t="str">
        <f t="shared" si="3"/>
        <v>Currently Unavailable</v>
      </c>
      <c r="I6634" s="1" t="str">
        <f t="shared" si="4"/>
        <v>No Badges</v>
      </c>
      <c r="J6634" s="3">
        <f t="shared" si="5"/>
        <v>0</v>
      </c>
    </row>
    <row r="6635">
      <c r="A6635" s="1" t="s">
        <v>5047</v>
      </c>
      <c r="B6635" s="3" t="str">
        <f t="shared" si="1"/>
        <v>Unavailable</v>
      </c>
      <c r="C6635" s="5">
        <v>1685.0</v>
      </c>
      <c r="D6635" s="3">
        <f>IFERROR(__xludf.DUMMYFUNCTION("IFERROR(
IF(REGEXMATCH(LOWER(O6635),""k""),
VALUE(REGEXEXTRACT(O6635,""[0-9]+""))*1000,
VALUE(REGEXEXTRACT(O6635,""[0-9]+""))
),
0
)"),0.0)</f>
        <v>0</v>
      </c>
      <c r="E6635" s="1" t="s">
        <v>11</v>
      </c>
      <c r="F6635" s="1" t="s">
        <v>20</v>
      </c>
      <c r="G6635" s="4" t="b">
        <f t="shared" si="2"/>
        <v>1</v>
      </c>
      <c r="H6635" s="1" t="str">
        <f t="shared" si="3"/>
        <v>Currently Unavailable</v>
      </c>
      <c r="I6635" s="1" t="str">
        <f t="shared" si="4"/>
        <v>No Badges</v>
      </c>
      <c r="J6635" s="3">
        <f t="shared" si="5"/>
        <v>0</v>
      </c>
    </row>
    <row r="6636">
      <c r="A6636" s="1" t="s">
        <v>5048</v>
      </c>
      <c r="B6636" s="3" t="str">
        <f t="shared" si="1"/>
        <v>Unavailable</v>
      </c>
      <c r="C6636" s="3">
        <v>132.0</v>
      </c>
      <c r="D6636" s="3">
        <f>IFERROR(__xludf.DUMMYFUNCTION("IFERROR(
IF(REGEXMATCH(LOWER(O6636),""k""),
VALUE(REGEXEXTRACT(O6636,""[0-9]+""))*1000,
VALUE(REGEXEXTRACT(O6636,""[0-9]+""))
),
0
)"),0.0)</f>
        <v>0</v>
      </c>
      <c r="E6636" s="1" t="s">
        <v>11</v>
      </c>
      <c r="F6636" s="1" t="s">
        <v>20</v>
      </c>
      <c r="G6636" s="4" t="b">
        <f t="shared" si="2"/>
        <v>1</v>
      </c>
      <c r="H6636" s="1" t="str">
        <f t="shared" si="3"/>
        <v>Currently Unavailable</v>
      </c>
      <c r="I6636" s="1" t="str">
        <f t="shared" si="4"/>
        <v>No Badges</v>
      </c>
      <c r="J6636" s="3">
        <f t="shared" si="5"/>
        <v>0</v>
      </c>
    </row>
    <row r="6637">
      <c r="A6637" s="1" t="s">
        <v>5049</v>
      </c>
      <c r="B6637" s="3" t="str">
        <f t="shared" si="1"/>
        <v>Unavailable</v>
      </c>
      <c r="C6637" s="3">
        <v>213.0</v>
      </c>
      <c r="D6637" s="3">
        <f>IFERROR(__xludf.DUMMYFUNCTION("IFERROR(
IF(REGEXMATCH(LOWER(O6637),""k""),
VALUE(REGEXEXTRACT(O6637,""[0-9]+""))*1000,
VALUE(REGEXEXTRACT(O6637,""[0-9]+""))
),
0
)"),0.0)</f>
        <v>0</v>
      </c>
      <c r="E6637" s="1" t="s">
        <v>11</v>
      </c>
      <c r="F6637" s="1" t="s">
        <v>20</v>
      </c>
      <c r="G6637" s="4" t="b">
        <f t="shared" si="2"/>
        <v>1</v>
      </c>
      <c r="H6637" s="1" t="str">
        <f t="shared" si="3"/>
        <v>Currently Unavailable</v>
      </c>
      <c r="I6637" s="1" t="str">
        <f t="shared" si="4"/>
        <v>No Badges</v>
      </c>
      <c r="J6637" s="3">
        <f t="shared" si="5"/>
        <v>0</v>
      </c>
    </row>
    <row r="6638">
      <c r="A6638" s="1" t="s">
        <v>5050</v>
      </c>
      <c r="B6638" s="3" t="str">
        <f t="shared" si="1"/>
        <v>Unavailable</v>
      </c>
      <c r="C6638" s="3">
        <v>225.0</v>
      </c>
      <c r="D6638" s="3">
        <f>IFERROR(__xludf.DUMMYFUNCTION("IFERROR(
IF(REGEXMATCH(LOWER(O6638),""k""),
VALUE(REGEXEXTRACT(O6638,""[0-9]+""))*1000,
VALUE(REGEXEXTRACT(O6638,""[0-9]+""))
),
0
)"),0.0)</f>
        <v>0</v>
      </c>
      <c r="E6638" s="1" t="s">
        <v>11</v>
      </c>
      <c r="F6638" s="1" t="s">
        <v>20</v>
      </c>
      <c r="G6638" s="4" t="b">
        <f t="shared" si="2"/>
        <v>1</v>
      </c>
      <c r="H6638" s="1" t="str">
        <f t="shared" si="3"/>
        <v>Currently Unavailable</v>
      </c>
      <c r="I6638" s="1" t="str">
        <f t="shared" si="4"/>
        <v>No Badges</v>
      </c>
      <c r="J6638" s="3">
        <f t="shared" si="5"/>
        <v>0</v>
      </c>
    </row>
    <row r="6639">
      <c r="A6639" s="1" t="s">
        <v>5051</v>
      </c>
      <c r="B6639" s="3" t="str">
        <f t="shared" si="1"/>
        <v>Unavailable</v>
      </c>
      <c r="C6639" s="3">
        <v>169.0</v>
      </c>
      <c r="D6639" s="3">
        <f>IFERROR(__xludf.DUMMYFUNCTION("IFERROR(
IF(REGEXMATCH(LOWER(O6639),""k""),
VALUE(REGEXEXTRACT(O6639,""[0-9]+""))*1000,
VALUE(REGEXEXTRACT(O6639,""[0-9]+""))
),
0
)"),0.0)</f>
        <v>0</v>
      </c>
      <c r="E6639" s="1" t="s">
        <v>11</v>
      </c>
      <c r="F6639" s="1" t="s">
        <v>20</v>
      </c>
      <c r="G6639" s="4" t="b">
        <f t="shared" si="2"/>
        <v>1</v>
      </c>
      <c r="H6639" s="1" t="str">
        <f t="shared" si="3"/>
        <v>Currently Unavailable</v>
      </c>
      <c r="I6639" s="1" t="str">
        <f t="shared" si="4"/>
        <v>No Badges</v>
      </c>
      <c r="J6639" s="3">
        <f t="shared" si="5"/>
        <v>0</v>
      </c>
    </row>
    <row r="6640">
      <c r="A6640" s="1" t="s">
        <v>5052</v>
      </c>
      <c r="B6640" s="3" t="str">
        <f t="shared" si="1"/>
        <v>Unavailable</v>
      </c>
      <c r="C6640" s="3">
        <v>376.0</v>
      </c>
      <c r="D6640" s="3">
        <f>IFERROR(__xludf.DUMMYFUNCTION("IFERROR(
IF(REGEXMATCH(LOWER(O6640),""k""),
VALUE(REGEXEXTRACT(O6640,""[0-9]+""))*1000,
VALUE(REGEXEXTRACT(O6640,""[0-9]+""))
),
0
)"),0.0)</f>
        <v>0</v>
      </c>
      <c r="E6640" s="1" t="s">
        <v>11</v>
      </c>
      <c r="F6640" s="1" t="s">
        <v>20</v>
      </c>
      <c r="G6640" s="4" t="b">
        <f t="shared" si="2"/>
        <v>1</v>
      </c>
      <c r="H6640" s="1" t="str">
        <f t="shared" si="3"/>
        <v>Currently Unavailable</v>
      </c>
      <c r="I6640" s="1" t="str">
        <f t="shared" si="4"/>
        <v>No Badges</v>
      </c>
      <c r="J6640" s="3">
        <f t="shared" si="5"/>
        <v>0</v>
      </c>
    </row>
    <row r="6641">
      <c r="A6641" s="1" t="s">
        <v>5053</v>
      </c>
      <c r="B6641" s="3" t="str">
        <f t="shared" si="1"/>
        <v>Unavailable</v>
      </c>
      <c r="C6641" s="3">
        <v>209.0</v>
      </c>
      <c r="D6641" s="3">
        <f>IFERROR(__xludf.DUMMYFUNCTION("IFERROR(
IF(REGEXMATCH(LOWER(O6641),""k""),
VALUE(REGEXEXTRACT(O6641,""[0-9]+""))*1000,
VALUE(REGEXEXTRACT(O6641,""[0-9]+""))
),
0
)"),0.0)</f>
        <v>0</v>
      </c>
      <c r="E6641" s="1" t="s">
        <v>11</v>
      </c>
      <c r="F6641" s="1" t="s">
        <v>20</v>
      </c>
      <c r="G6641" s="4" t="b">
        <f t="shared" si="2"/>
        <v>1</v>
      </c>
      <c r="H6641" s="1" t="str">
        <f t="shared" si="3"/>
        <v>Currently Unavailable</v>
      </c>
      <c r="I6641" s="1" t="str">
        <f t="shared" si="4"/>
        <v>No Badges</v>
      </c>
      <c r="J6641" s="3">
        <f t="shared" si="5"/>
        <v>0</v>
      </c>
    </row>
    <row r="6642">
      <c r="A6642" s="1" t="s">
        <v>88</v>
      </c>
      <c r="B6642" s="3" t="str">
        <f t="shared" si="1"/>
        <v>Unavailable</v>
      </c>
      <c r="C6642" s="3">
        <v>5.0</v>
      </c>
      <c r="D6642" s="3">
        <f>IFERROR(__xludf.DUMMYFUNCTION("IFERROR(
IF(REGEXMATCH(LOWER(O6642),""k""),
VALUE(REGEXEXTRACT(O6642,""[0-9]+""))*1000,
VALUE(REGEXEXTRACT(O6642,""[0-9]+""))
),
0
)"),0.0)</f>
        <v>0</v>
      </c>
      <c r="E6642" s="1" t="s">
        <v>11</v>
      </c>
      <c r="F6642" s="1" t="s">
        <v>12</v>
      </c>
      <c r="G6642" s="4" t="b">
        <f t="shared" si="2"/>
        <v>1</v>
      </c>
      <c r="H6642" s="1" t="str">
        <f t="shared" si="3"/>
        <v>Currently Unavailable</v>
      </c>
      <c r="I6642" s="1" t="str">
        <f t="shared" si="4"/>
        <v>No Badges</v>
      </c>
      <c r="J6642" s="3">
        <f t="shared" si="5"/>
        <v>0</v>
      </c>
    </row>
    <row r="6643">
      <c r="A6643" s="1" t="s">
        <v>40</v>
      </c>
      <c r="B6643" s="3" t="str">
        <f t="shared" si="1"/>
        <v>Unavailable</v>
      </c>
      <c r="C6643" s="3">
        <v>171.0</v>
      </c>
      <c r="D6643" s="3">
        <f>IFERROR(__xludf.DUMMYFUNCTION("IFERROR(
IF(REGEXMATCH(LOWER(O6643),""k""),
VALUE(REGEXEXTRACT(O6643,""[0-9]+""))*1000,
VALUE(REGEXEXTRACT(O6643,""[0-9]+""))
),
0
)"),0.0)</f>
        <v>0</v>
      </c>
      <c r="E6643" s="1" t="s">
        <v>11</v>
      </c>
      <c r="F6643" s="1" t="s">
        <v>12</v>
      </c>
      <c r="G6643" s="4" t="b">
        <f t="shared" si="2"/>
        <v>1</v>
      </c>
      <c r="H6643" s="1" t="str">
        <f t="shared" si="3"/>
        <v>Currently Unavailable</v>
      </c>
      <c r="I6643" s="1" t="str">
        <f t="shared" si="4"/>
        <v>No Badges</v>
      </c>
      <c r="J6643" s="3">
        <f t="shared" si="5"/>
        <v>0</v>
      </c>
    </row>
    <row r="6644">
      <c r="A6644" s="1" t="s">
        <v>5054</v>
      </c>
      <c r="B6644" s="3" t="str">
        <f t="shared" si="1"/>
        <v>Unavailable</v>
      </c>
      <c r="C6644" s="5">
        <v>2334.0</v>
      </c>
      <c r="D6644" s="3">
        <f>IFERROR(__xludf.DUMMYFUNCTION("IFERROR(
IF(REGEXMATCH(LOWER(O6644),""k""),
VALUE(REGEXEXTRACT(O6644,""[0-9]+""))*1000,
VALUE(REGEXEXTRACT(O6644,""[0-9]+""))
),
0
)"),0.0)</f>
        <v>0</v>
      </c>
      <c r="E6644" s="1" t="s">
        <v>11</v>
      </c>
      <c r="F6644" s="1" t="s">
        <v>20</v>
      </c>
      <c r="G6644" s="4" t="b">
        <f t="shared" si="2"/>
        <v>1</v>
      </c>
      <c r="H6644" s="1" t="str">
        <f t="shared" si="3"/>
        <v>Currently Unavailable</v>
      </c>
      <c r="I6644" s="1" t="str">
        <f t="shared" si="4"/>
        <v>No Badges</v>
      </c>
      <c r="J6644" s="3">
        <f t="shared" si="5"/>
        <v>0</v>
      </c>
    </row>
    <row r="6645">
      <c r="A6645" s="1" t="s">
        <v>5055</v>
      </c>
      <c r="B6645" s="3" t="str">
        <f t="shared" si="1"/>
        <v>Unavailable</v>
      </c>
      <c r="C6645" s="5">
        <v>1332.0</v>
      </c>
      <c r="D6645" s="3">
        <f>IFERROR(__xludf.DUMMYFUNCTION("IFERROR(
IF(REGEXMATCH(LOWER(O6645),""k""),
VALUE(REGEXEXTRACT(O6645,""[0-9]+""))*1000,
VALUE(REGEXEXTRACT(O6645,""[0-9]+""))
),
0
)"),0.0)</f>
        <v>0</v>
      </c>
      <c r="E6645" s="1" t="s">
        <v>18</v>
      </c>
      <c r="F6645" s="1" t="s">
        <v>20</v>
      </c>
      <c r="G6645" s="4" t="b">
        <f t="shared" si="2"/>
        <v>1</v>
      </c>
      <c r="H6645" s="1" t="str">
        <f t="shared" si="3"/>
        <v>Currently Unavailable</v>
      </c>
      <c r="I6645" s="1" t="str">
        <f t="shared" si="4"/>
        <v>No Badges</v>
      </c>
      <c r="J6645" s="3">
        <f t="shared" si="5"/>
        <v>0</v>
      </c>
    </row>
    <row r="6646">
      <c r="A6646" s="1" t="s">
        <v>69</v>
      </c>
      <c r="B6646" s="3" t="str">
        <f t="shared" si="1"/>
        <v>Unavailable</v>
      </c>
      <c r="C6646" s="3">
        <v>45.0</v>
      </c>
      <c r="D6646" s="3">
        <f>IFERROR(__xludf.DUMMYFUNCTION("IFERROR(
IF(REGEXMATCH(LOWER(O6646),""k""),
VALUE(REGEXEXTRACT(O6646,""[0-9]+""))*1000,
VALUE(REGEXEXTRACT(O6646,""[0-9]+""))
),
0
)"),0.0)</f>
        <v>0</v>
      </c>
      <c r="E6646" s="1" t="s">
        <v>11</v>
      </c>
      <c r="F6646" s="1" t="s">
        <v>12</v>
      </c>
      <c r="G6646" s="4" t="b">
        <f t="shared" si="2"/>
        <v>1</v>
      </c>
      <c r="H6646" s="1" t="str">
        <f t="shared" si="3"/>
        <v>Currently Unavailable</v>
      </c>
      <c r="I6646" s="1" t="str">
        <f t="shared" si="4"/>
        <v>No Badges</v>
      </c>
      <c r="J6646" s="3">
        <f t="shared" si="5"/>
        <v>0</v>
      </c>
    </row>
    <row r="6647">
      <c r="A6647" s="1" t="s">
        <v>5056</v>
      </c>
      <c r="B6647" s="3" t="str">
        <f t="shared" si="1"/>
        <v>Unavailable</v>
      </c>
      <c r="C6647" s="5">
        <v>1168.0</v>
      </c>
      <c r="D6647" s="3">
        <f>IFERROR(__xludf.DUMMYFUNCTION("IFERROR(
IF(REGEXMATCH(LOWER(O6647),""k""),
VALUE(REGEXEXTRACT(O6647,""[0-9]+""))*1000,
VALUE(REGEXEXTRACT(O6647,""[0-9]+""))
),
0
)"),0.0)</f>
        <v>0</v>
      </c>
      <c r="E6647" s="1" t="s">
        <v>11</v>
      </c>
      <c r="F6647" s="1" t="s">
        <v>20</v>
      </c>
      <c r="G6647" s="4" t="b">
        <f t="shared" si="2"/>
        <v>1</v>
      </c>
      <c r="H6647" s="1" t="str">
        <f t="shared" si="3"/>
        <v>Currently Unavailable</v>
      </c>
      <c r="I6647" s="1" t="str">
        <f t="shared" si="4"/>
        <v>No Badges</v>
      </c>
      <c r="J6647" s="3">
        <f t="shared" si="5"/>
        <v>0</v>
      </c>
    </row>
    <row r="6648">
      <c r="A6648" s="1" t="s">
        <v>5057</v>
      </c>
      <c r="B6648" s="3" t="str">
        <f t="shared" si="1"/>
        <v>Unavailable</v>
      </c>
      <c r="C6648" s="5">
        <v>2812.0</v>
      </c>
      <c r="D6648" s="3">
        <f>IFERROR(__xludf.DUMMYFUNCTION("IFERROR(
IF(REGEXMATCH(LOWER(O6648),""k""),
VALUE(REGEXEXTRACT(O6648,""[0-9]+""))*1000,
VALUE(REGEXEXTRACT(O6648,""[0-9]+""))
),
0
)"),0.0)</f>
        <v>0</v>
      </c>
      <c r="E6648" s="1" t="s">
        <v>11</v>
      </c>
      <c r="F6648" s="1" t="s">
        <v>20</v>
      </c>
      <c r="G6648" s="4" t="b">
        <f t="shared" si="2"/>
        <v>1</v>
      </c>
      <c r="H6648" s="1" t="str">
        <f t="shared" si="3"/>
        <v>Currently Unavailable</v>
      </c>
      <c r="I6648" s="1" t="str">
        <f t="shared" si="4"/>
        <v>No Badges</v>
      </c>
      <c r="J6648" s="3">
        <f t="shared" si="5"/>
        <v>0</v>
      </c>
    </row>
    <row r="6649">
      <c r="A6649" s="1" t="s">
        <v>5058</v>
      </c>
      <c r="B6649" s="3" t="str">
        <f t="shared" si="1"/>
        <v>Unavailable</v>
      </c>
      <c r="C6649" s="3">
        <v>300.0</v>
      </c>
      <c r="D6649" s="3">
        <f>IFERROR(__xludf.DUMMYFUNCTION("IFERROR(
IF(REGEXMATCH(LOWER(O6649),""k""),
VALUE(REGEXEXTRACT(O6649,""[0-9]+""))*1000,
VALUE(REGEXEXTRACT(O6649,""[0-9]+""))
),
0
)"),0.0)</f>
        <v>0</v>
      </c>
      <c r="E6649" s="1" t="s">
        <v>11</v>
      </c>
      <c r="F6649" s="1" t="s">
        <v>20</v>
      </c>
      <c r="G6649" s="4" t="b">
        <f t="shared" si="2"/>
        <v>1</v>
      </c>
      <c r="H6649" s="1" t="str">
        <f t="shared" si="3"/>
        <v>Currently Unavailable</v>
      </c>
      <c r="I6649" s="1" t="str">
        <f t="shared" si="4"/>
        <v>No Badges</v>
      </c>
      <c r="J6649" s="3">
        <f t="shared" si="5"/>
        <v>0</v>
      </c>
    </row>
    <row r="6650">
      <c r="A6650" s="1" t="s">
        <v>5059</v>
      </c>
      <c r="B6650" s="3" t="str">
        <f t="shared" si="1"/>
        <v>Unavailable</v>
      </c>
      <c r="C6650" s="5">
        <v>2223.0</v>
      </c>
      <c r="D6650" s="3">
        <f>IFERROR(__xludf.DUMMYFUNCTION("IFERROR(
IF(REGEXMATCH(LOWER(O6650),""k""),
VALUE(REGEXEXTRACT(O6650,""[0-9]+""))*1000,
VALUE(REGEXEXTRACT(O6650,""[0-9]+""))
),
0
)"),0.0)</f>
        <v>0</v>
      </c>
      <c r="E6650" s="1" t="s">
        <v>11</v>
      </c>
      <c r="F6650" s="1" t="s">
        <v>20</v>
      </c>
      <c r="G6650" s="4" t="b">
        <f t="shared" si="2"/>
        <v>1</v>
      </c>
      <c r="H6650" s="1" t="str">
        <f t="shared" si="3"/>
        <v>Currently Unavailable</v>
      </c>
      <c r="I6650" s="1" t="str">
        <f t="shared" si="4"/>
        <v>No Badges</v>
      </c>
      <c r="J6650" s="3">
        <f t="shared" si="5"/>
        <v>0</v>
      </c>
    </row>
    <row r="6651">
      <c r="A6651" s="1" t="s">
        <v>5060</v>
      </c>
      <c r="B6651" s="3" t="str">
        <f t="shared" si="1"/>
        <v>Unavailable</v>
      </c>
      <c r="C6651" s="3">
        <v>1.0</v>
      </c>
      <c r="D6651" s="3">
        <f>IFERROR(__xludf.DUMMYFUNCTION("IFERROR(
IF(REGEXMATCH(LOWER(O6651),""k""),
VALUE(REGEXEXTRACT(O6651,""[0-9]+""))*1000,
VALUE(REGEXEXTRACT(O6651,""[0-9]+""))
),
0
)"),0.0)</f>
        <v>0</v>
      </c>
      <c r="E6651" s="1" t="s">
        <v>11</v>
      </c>
      <c r="F6651" s="1" t="s">
        <v>20</v>
      </c>
      <c r="G6651" s="4" t="b">
        <f t="shared" si="2"/>
        <v>1</v>
      </c>
      <c r="H6651" s="1" t="str">
        <f t="shared" si="3"/>
        <v>Currently Unavailable</v>
      </c>
      <c r="I6651" s="1" t="str">
        <f t="shared" si="4"/>
        <v>No Badges</v>
      </c>
      <c r="J6651" s="3">
        <f t="shared" si="5"/>
        <v>0</v>
      </c>
    </row>
    <row r="6652">
      <c r="A6652" s="1" t="s">
        <v>5061</v>
      </c>
      <c r="B6652" s="3" t="str">
        <f t="shared" si="1"/>
        <v>Unavailable</v>
      </c>
      <c r="C6652" s="3">
        <v>189.0</v>
      </c>
      <c r="D6652" s="3">
        <f>IFERROR(__xludf.DUMMYFUNCTION("IFERROR(
IF(REGEXMATCH(LOWER(O6652),""k""),
VALUE(REGEXEXTRACT(O6652,""[0-9]+""))*1000,
VALUE(REGEXEXTRACT(O6652,""[0-9]+""))
),
0
)"),0.0)</f>
        <v>0</v>
      </c>
      <c r="E6652" s="1" t="s">
        <v>11</v>
      </c>
      <c r="F6652" s="1" t="s">
        <v>20</v>
      </c>
      <c r="G6652" s="4" t="b">
        <f t="shared" si="2"/>
        <v>1</v>
      </c>
      <c r="H6652" s="1" t="str">
        <f t="shared" si="3"/>
        <v>Currently Unavailable</v>
      </c>
      <c r="I6652" s="1" t="str">
        <f t="shared" si="4"/>
        <v>No Badges</v>
      </c>
      <c r="J6652" s="3">
        <f t="shared" si="5"/>
        <v>0</v>
      </c>
    </row>
    <row r="6653">
      <c r="A6653" s="1" t="s">
        <v>5062</v>
      </c>
      <c r="B6653" s="3" t="str">
        <f t="shared" si="1"/>
        <v>Unavailable</v>
      </c>
      <c r="C6653" s="3">
        <v>453.0</v>
      </c>
      <c r="D6653" s="3">
        <f>IFERROR(__xludf.DUMMYFUNCTION("IFERROR(
IF(REGEXMATCH(LOWER(O6653),""k""),
VALUE(REGEXEXTRACT(O6653,""[0-9]+""))*1000,
VALUE(REGEXEXTRACT(O6653,""[0-9]+""))
),
0
)"),0.0)</f>
        <v>0</v>
      </c>
      <c r="E6653" s="1" t="s">
        <v>18</v>
      </c>
      <c r="F6653" s="1" t="s">
        <v>20</v>
      </c>
      <c r="G6653" s="4" t="b">
        <f t="shared" si="2"/>
        <v>1</v>
      </c>
      <c r="H6653" s="1" t="str">
        <f t="shared" si="3"/>
        <v>Currently Unavailable</v>
      </c>
      <c r="I6653" s="1" t="str">
        <f t="shared" si="4"/>
        <v>No Badges</v>
      </c>
      <c r="J6653" s="3">
        <f t="shared" si="5"/>
        <v>0</v>
      </c>
    </row>
    <row r="6654">
      <c r="A6654" s="1" t="s">
        <v>5063</v>
      </c>
      <c r="B6654" s="3" t="str">
        <f t="shared" si="1"/>
        <v>Unavailable</v>
      </c>
      <c r="C6654" s="5">
        <v>4102.0</v>
      </c>
      <c r="D6654" s="3">
        <f>IFERROR(__xludf.DUMMYFUNCTION("IFERROR(
IF(REGEXMATCH(LOWER(O6654),""k""),
VALUE(REGEXEXTRACT(O6654,""[0-9]+""))*1000,
VALUE(REGEXEXTRACT(O6654,""[0-9]+""))
),
0
)"),0.0)</f>
        <v>0</v>
      </c>
      <c r="E6654" s="1" t="s">
        <v>18</v>
      </c>
      <c r="F6654" s="1" t="s">
        <v>20</v>
      </c>
      <c r="G6654" s="4" t="b">
        <f t="shared" si="2"/>
        <v>1</v>
      </c>
      <c r="H6654" s="1" t="str">
        <f t="shared" si="3"/>
        <v>Currently Unavailable</v>
      </c>
      <c r="I6654" s="1" t="str">
        <f t="shared" si="4"/>
        <v>No Badges</v>
      </c>
      <c r="J6654" s="3">
        <f t="shared" si="5"/>
        <v>0</v>
      </c>
    </row>
    <row r="6655">
      <c r="A6655" s="1" t="s">
        <v>5064</v>
      </c>
      <c r="B6655" s="3" t="str">
        <f t="shared" si="1"/>
        <v>Unavailable</v>
      </c>
      <c r="C6655" s="5">
        <v>1032.0</v>
      </c>
      <c r="D6655" s="3">
        <f>IFERROR(__xludf.DUMMYFUNCTION("IFERROR(
IF(REGEXMATCH(LOWER(O6655),""k""),
VALUE(REGEXEXTRACT(O6655,""[0-9]+""))*1000,
VALUE(REGEXEXTRACT(O6655,""[0-9]+""))
),
0
)"),0.0)</f>
        <v>0</v>
      </c>
      <c r="E6655" s="1" t="s">
        <v>11</v>
      </c>
      <c r="F6655" s="1" t="s">
        <v>20</v>
      </c>
      <c r="G6655" s="4" t="b">
        <f t="shared" si="2"/>
        <v>1</v>
      </c>
      <c r="H6655" s="1" t="str">
        <f t="shared" si="3"/>
        <v>Currently Unavailable</v>
      </c>
      <c r="I6655" s="1" t="str">
        <f t="shared" si="4"/>
        <v>No Badges</v>
      </c>
      <c r="J6655" s="3">
        <f t="shared" si="5"/>
        <v>0</v>
      </c>
    </row>
    <row r="6656">
      <c r="A6656" s="1" t="s">
        <v>5065</v>
      </c>
      <c r="B6656" s="3" t="str">
        <f t="shared" si="1"/>
        <v>Unavailable</v>
      </c>
      <c r="C6656" s="3">
        <v>679.0</v>
      </c>
      <c r="D6656" s="3">
        <f>IFERROR(__xludf.DUMMYFUNCTION("IFERROR(
IF(REGEXMATCH(LOWER(O6656),""k""),
VALUE(REGEXEXTRACT(O6656,""[0-9]+""))*1000,
VALUE(REGEXEXTRACT(O6656,""[0-9]+""))
),
0
)"),0.0)</f>
        <v>0</v>
      </c>
      <c r="E6656" s="1" t="s">
        <v>11</v>
      </c>
      <c r="F6656" s="1" t="s">
        <v>20</v>
      </c>
      <c r="G6656" s="4" t="b">
        <f t="shared" si="2"/>
        <v>1</v>
      </c>
      <c r="H6656" s="1" t="str">
        <f t="shared" si="3"/>
        <v>Currently Unavailable</v>
      </c>
      <c r="I6656" s="1" t="str">
        <f t="shared" si="4"/>
        <v>No Badges</v>
      </c>
      <c r="J6656" s="3">
        <f t="shared" si="5"/>
        <v>0</v>
      </c>
    </row>
    <row r="6657">
      <c r="A6657" s="1" t="s">
        <v>5066</v>
      </c>
      <c r="B6657" s="3" t="str">
        <f t="shared" si="1"/>
        <v>Unavailable</v>
      </c>
      <c r="C6657" s="3">
        <v>777.0</v>
      </c>
      <c r="D6657" s="3">
        <f>IFERROR(__xludf.DUMMYFUNCTION("IFERROR(
IF(REGEXMATCH(LOWER(O6657),""k""),
VALUE(REGEXEXTRACT(O6657,""[0-9]+""))*1000,
VALUE(REGEXEXTRACT(O6657,""[0-9]+""))
),
0
)"),0.0)</f>
        <v>0</v>
      </c>
      <c r="E6657" s="1" t="s">
        <v>11</v>
      </c>
      <c r="F6657" s="1" t="s">
        <v>20</v>
      </c>
      <c r="G6657" s="4" t="b">
        <f t="shared" si="2"/>
        <v>1</v>
      </c>
      <c r="H6657" s="1" t="str">
        <f t="shared" si="3"/>
        <v>Currently Unavailable</v>
      </c>
      <c r="I6657" s="1" t="str">
        <f t="shared" si="4"/>
        <v>No Badges</v>
      </c>
      <c r="J6657" s="3">
        <f t="shared" si="5"/>
        <v>0</v>
      </c>
    </row>
    <row r="6658">
      <c r="A6658" s="1" t="s">
        <v>5067</v>
      </c>
      <c r="B6658" s="3" t="str">
        <f t="shared" si="1"/>
        <v>Unavailable</v>
      </c>
      <c r="C6658" s="3">
        <v>236.0</v>
      </c>
      <c r="D6658" s="3">
        <f>IFERROR(__xludf.DUMMYFUNCTION("IFERROR(
IF(REGEXMATCH(LOWER(O6658),""k""),
VALUE(REGEXEXTRACT(O6658,""[0-9]+""))*1000,
VALUE(REGEXEXTRACT(O6658,""[0-9]+""))
),
0
)"),0.0)</f>
        <v>0</v>
      </c>
      <c r="E6658" s="1" t="s">
        <v>11</v>
      </c>
      <c r="F6658" s="1" t="s">
        <v>20</v>
      </c>
      <c r="G6658" s="4" t="b">
        <f t="shared" si="2"/>
        <v>1</v>
      </c>
      <c r="H6658" s="1" t="str">
        <f t="shared" si="3"/>
        <v>Currently Unavailable</v>
      </c>
      <c r="I6658" s="1" t="str">
        <f t="shared" si="4"/>
        <v>No Badges</v>
      </c>
      <c r="J6658" s="3">
        <f t="shared" si="5"/>
        <v>0</v>
      </c>
    </row>
    <row r="6659">
      <c r="A6659" s="1" t="s">
        <v>67</v>
      </c>
      <c r="B6659" s="3" t="str">
        <f t="shared" si="1"/>
        <v>Unavailable</v>
      </c>
      <c r="C6659" s="3">
        <v>264.0</v>
      </c>
      <c r="D6659" s="3">
        <f>IFERROR(__xludf.DUMMYFUNCTION("IFERROR(
IF(REGEXMATCH(LOWER(O6659),""k""),
VALUE(REGEXEXTRACT(O6659,""[0-9]+""))*1000,
VALUE(REGEXEXTRACT(O6659,""[0-9]+""))
),
0
)"),0.0)</f>
        <v>0</v>
      </c>
      <c r="E6659" s="1" t="s">
        <v>11</v>
      </c>
      <c r="F6659" s="1" t="s">
        <v>12</v>
      </c>
      <c r="G6659" s="4" t="b">
        <f t="shared" si="2"/>
        <v>1</v>
      </c>
      <c r="H6659" s="1" t="str">
        <f t="shared" si="3"/>
        <v>Currently Unavailable</v>
      </c>
      <c r="I6659" s="1" t="str">
        <f t="shared" si="4"/>
        <v>No Badges</v>
      </c>
      <c r="J6659" s="3">
        <f t="shared" si="5"/>
        <v>0</v>
      </c>
    </row>
    <row r="6660">
      <c r="A6660" s="1" t="s">
        <v>5068</v>
      </c>
      <c r="B6660" s="3" t="str">
        <f t="shared" si="1"/>
        <v>Unavailable</v>
      </c>
      <c r="C6660" s="5">
        <v>1642.0</v>
      </c>
      <c r="D6660" s="3">
        <f>IFERROR(__xludf.DUMMYFUNCTION("IFERROR(
IF(REGEXMATCH(LOWER(O6660),""k""),
VALUE(REGEXEXTRACT(O6660,""[0-9]+""))*1000,
VALUE(REGEXEXTRACT(O6660,""[0-9]+""))
),
0
)"),0.0)</f>
        <v>0</v>
      </c>
      <c r="E6660" s="1" t="s">
        <v>11</v>
      </c>
      <c r="F6660" s="1" t="s">
        <v>20</v>
      </c>
      <c r="G6660" s="4" t="b">
        <f t="shared" si="2"/>
        <v>1</v>
      </c>
      <c r="H6660" s="1" t="str">
        <f t="shared" si="3"/>
        <v>Currently Unavailable</v>
      </c>
      <c r="I6660" s="1" t="str">
        <f t="shared" si="4"/>
        <v>No Badges</v>
      </c>
      <c r="J6660" s="3">
        <f t="shared" si="5"/>
        <v>0</v>
      </c>
    </row>
    <row r="6661">
      <c r="A6661" s="1" t="s">
        <v>701</v>
      </c>
      <c r="B6661" s="3" t="str">
        <f t="shared" si="1"/>
        <v>Unavailable</v>
      </c>
      <c r="C6661" s="3">
        <v>8.0</v>
      </c>
      <c r="D6661" s="3">
        <f>IFERROR(__xludf.DUMMYFUNCTION("IFERROR(
IF(REGEXMATCH(LOWER(O6661),""k""),
VALUE(REGEXEXTRACT(O6661,""[0-9]+""))*1000,
VALUE(REGEXEXTRACT(O6661,""[0-9]+""))
),
0
)"),0.0)</f>
        <v>0</v>
      </c>
      <c r="E6661" s="1" t="s">
        <v>11</v>
      </c>
      <c r="F6661" s="1" t="s">
        <v>12</v>
      </c>
      <c r="G6661" s="4" t="b">
        <f t="shared" si="2"/>
        <v>1</v>
      </c>
      <c r="H6661" s="1" t="str">
        <f t="shared" si="3"/>
        <v>Currently Unavailable</v>
      </c>
      <c r="I6661" s="1" t="str">
        <f t="shared" si="4"/>
        <v>No Badges</v>
      </c>
      <c r="J6661" s="3">
        <f t="shared" si="5"/>
        <v>0</v>
      </c>
    </row>
    <row r="6662">
      <c r="A6662" s="1" t="s">
        <v>5069</v>
      </c>
      <c r="B6662" s="3" t="str">
        <f t="shared" si="1"/>
        <v>Unavailable</v>
      </c>
      <c r="C6662" s="3">
        <v>356.0</v>
      </c>
      <c r="D6662" s="3">
        <f>IFERROR(__xludf.DUMMYFUNCTION("IFERROR(
IF(REGEXMATCH(LOWER(O6662),""k""),
VALUE(REGEXEXTRACT(O6662,""[0-9]+""))*1000,
VALUE(REGEXEXTRACT(O6662,""[0-9]+""))
),
0
)"),0.0)</f>
        <v>0</v>
      </c>
      <c r="E6662" s="1" t="s">
        <v>11</v>
      </c>
      <c r="F6662" s="1" t="s">
        <v>20</v>
      </c>
      <c r="G6662" s="4" t="b">
        <f t="shared" si="2"/>
        <v>1</v>
      </c>
      <c r="H6662" s="1" t="str">
        <f t="shared" si="3"/>
        <v>Currently Unavailable</v>
      </c>
      <c r="I6662" s="1" t="str">
        <f t="shared" si="4"/>
        <v>No Badges</v>
      </c>
      <c r="J6662" s="3">
        <f t="shared" si="5"/>
        <v>0</v>
      </c>
    </row>
    <row r="6663">
      <c r="A6663" s="1" t="s">
        <v>5070</v>
      </c>
      <c r="B6663" s="3" t="str">
        <f t="shared" si="1"/>
        <v>Unavailable</v>
      </c>
      <c r="C6663" s="3">
        <v>607.0</v>
      </c>
      <c r="D6663" s="3">
        <f>IFERROR(__xludf.DUMMYFUNCTION("IFERROR(
IF(REGEXMATCH(LOWER(O6663),""k""),
VALUE(REGEXEXTRACT(O6663,""[0-9]+""))*1000,
VALUE(REGEXEXTRACT(O6663,""[0-9]+""))
),
0
)"),0.0)</f>
        <v>0</v>
      </c>
      <c r="E6663" s="1" t="s">
        <v>11</v>
      </c>
      <c r="F6663" s="1" t="s">
        <v>20</v>
      </c>
      <c r="G6663" s="4" t="b">
        <f t="shared" si="2"/>
        <v>1</v>
      </c>
      <c r="H6663" s="1" t="str">
        <f t="shared" si="3"/>
        <v>Currently Unavailable</v>
      </c>
      <c r="I6663" s="1" t="str">
        <f t="shared" si="4"/>
        <v>No Badges</v>
      </c>
      <c r="J6663" s="3">
        <f t="shared" si="5"/>
        <v>0</v>
      </c>
    </row>
    <row r="6664">
      <c r="A6664" s="1" t="s">
        <v>5071</v>
      </c>
      <c r="B6664" s="3" t="str">
        <f t="shared" si="1"/>
        <v>Unavailable</v>
      </c>
      <c r="C6664" s="3">
        <v>386.0</v>
      </c>
      <c r="D6664" s="3">
        <f>IFERROR(__xludf.DUMMYFUNCTION("IFERROR(
IF(REGEXMATCH(LOWER(O6664),""k""),
VALUE(REGEXEXTRACT(O6664,""[0-9]+""))*1000,
VALUE(REGEXEXTRACT(O6664,""[0-9]+""))
),
0
)"),0.0)</f>
        <v>0</v>
      </c>
      <c r="E6664" s="1" t="s">
        <v>11</v>
      </c>
      <c r="F6664" s="1" t="s">
        <v>20</v>
      </c>
      <c r="G6664" s="4" t="b">
        <f t="shared" si="2"/>
        <v>1</v>
      </c>
      <c r="H6664" s="1" t="str">
        <f t="shared" si="3"/>
        <v>Currently Unavailable</v>
      </c>
      <c r="I6664" s="1" t="str">
        <f t="shared" si="4"/>
        <v>No Badges</v>
      </c>
      <c r="J6664" s="3">
        <f t="shared" si="5"/>
        <v>0</v>
      </c>
    </row>
    <row r="6665">
      <c r="A6665" s="1" t="s">
        <v>5072</v>
      </c>
      <c r="B6665" s="3" t="str">
        <f t="shared" si="1"/>
        <v>Unavailable</v>
      </c>
      <c r="C6665" s="3">
        <v>824.0</v>
      </c>
      <c r="D6665" s="3">
        <f>IFERROR(__xludf.DUMMYFUNCTION("IFERROR(
IF(REGEXMATCH(LOWER(O6665),""k""),
VALUE(REGEXEXTRACT(O6665,""[0-9]+""))*1000,
VALUE(REGEXEXTRACT(O6665,""[0-9]+""))
),
0
)"),0.0)</f>
        <v>0</v>
      </c>
      <c r="E6665" s="1" t="s">
        <v>11</v>
      </c>
      <c r="F6665" s="1" t="s">
        <v>20</v>
      </c>
      <c r="G6665" s="4" t="b">
        <f t="shared" si="2"/>
        <v>1</v>
      </c>
      <c r="H6665" s="1" t="str">
        <f t="shared" si="3"/>
        <v>Currently Unavailable</v>
      </c>
      <c r="I6665" s="1" t="str">
        <f t="shared" si="4"/>
        <v>No Badges</v>
      </c>
      <c r="J6665" s="3">
        <f t="shared" si="5"/>
        <v>0</v>
      </c>
    </row>
    <row r="6666">
      <c r="A6666" s="1" t="s">
        <v>5072</v>
      </c>
      <c r="B6666" s="3" t="str">
        <f t="shared" si="1"/>
        <v>Unavailable</v>
      </c>
      <c r="C6666" s="3">
        <v>824.0</v>
      </c>
      <c r="D6666" s="3">
        <f>IFERROR(__xludf.DUMMYFUNCTION("IFERROR(
IF(REGEXMATCH(LOWER(O6666),""k""),
VALUE(REGEXEXTRACT(O6666,""[0-9]+""))*1000,
VALUE(REGEXEXTRACT(O6666,""[0-9]+""))
),
0
)"),0.0)</f>
        <v>0</v>
      </c>
      <c r="E6666" s="1" t="s">
        <v>11</v>
      </c>
      <c r="F6666" s="1" t="s">
        <v>20</v>
      </c>
      <c r="G6666" s="4" t="b">
        <f t="shared" si="2"/>
        <v>1</v>
      </c>
      <c r="H6666" s="1" t="str">
        <f t="shared" si="3"/>
        <v>Currently Unavailable</v>
      </c>
      <c r="I6666" s="1" t="str">
        <f t="shared" si="4"/>
        <v>No Badges</v>
      </c>
      <c r="J6666" s="3">
        <f t="shared" si="5"/>
        <v>0</v>
      </c>
    </row>
    <row r="6667">
      <c r="A6667" s="1" t="s">
        <v>5073</v>
      </c>
      <c r="B6667" s="3" t="str">
        <f t="shared" si="1"/>
        <v>Unavailable</v>
      </c>
      <c r="C6667" s="3">
        <v>461.0</v>
      </c>
      <c r="D6667" s="3">
        <f>IFERROR(__xludf.DUMMYFUNCTION("IFERROR(
IF(REGEXMATCH(LOWER(O6667),""k""),
VALUE(REGEXEXTRACT(O6667,""[0-9]+""))*1000,
VALUE(REGEXEXTRACT(O6667,""[0-9]+""))
),
0
)"),0.0)</f>
        <v>0</v>
      </c>
      <c r="E6667" s="1" t="s">
        <v>11</v>
      </c>
      <c r="F6667" s="1" t="s">
        <v>20</v>
      </c>
      <c r="G6667" s="4" t="b">
        <f t="shared" si="2"/>
        <v>1</v>
      </c>
      <c r="H6667" s="1" t="str">
        <f t="shared" si="3"/>
        <v>Currently Unavailable</v>
      </c>
      <c r="I6667" s="1" t="str">
        <f t="shared" si="4"/>
        <v>No Badges</v>
      </c>
      <c r="J6667" s="3">
        <f t="shared" si="5"/>
        <v>0</v>
      </c>
    </row>
    <row r="6668">
      <c r="A6668" s="1" t="s">
        <v>5074</v>
      </c>
      <c r="B6668" s="3" t="str">
        <f t="shared" si="1"/>
        <v>Unavailable</v>
      </c>
      <c r="C6668" s="5">
        <v>5101.0</v>
      </c>
      <c r="D6668" s="3">
        <f>IFERROR(__xludf.DUMMYFUNCTION("IFERROR(
IF(REGEXMATCH(LOWER(O6668),""k""),
VALUE(REGEXEXTRACT(O6668,""[0-9]+""))*1000,
VALUE(REGEXEXTRACT(O6668,""[0-9]+""))
),
0
)"),0.0)</f>
        <v>0</v>
      </c>
      <c r="E6668" s="1" t="s">
        <v>11</v>
      </c>
      <c r="F6668" s="1" t="s">
        <v>20</v>
      </c>
      <c r="G6668" s="4" t="b">
        <f t="shared" si="2"/>
        <v>1</v>
      </c>
      <c r="H6668" s="1" t="str">
        <f t="shared" si="3"/>
        <v>Currently Unavailable</v>
      </c>
      <c r="I6668" s="1" t="str">
        <f t="shared" si="4"/>
        <v>No Badges</v>
      </c>
      <c r="J6668" s="3">
        <f t="shared" si="5"/>
        <v>0</v>
      </c>
    </row>
    <row r="6669">
      <c r="A6669" s="1" t="s">
        <v>5075</v>
      </c>
      <c r="B6669" s="3" t="str">
        <f t="shared" si="1"/>
        <v>Unavailable</v>
      </c>
      <c r="C6669" s="5">
        <v>5817.0</v>
      </c>
      <c r="D6669" s="3">
        <f>IFERROR(__xludf.DUMMYFUNCTION("IFERROR(
IF(REGEXMATCH(LOWER(O6669),""k""),
VALUE(REGEXEXTRACT(O6669,""[0-9]+""))*1000,
VALUE(REGEXEXTRACT(O6669,""[0-9]+""))
),
0
)"),0.0)</f>
        <v>0</v>
      </c>
      <c r="E6669" s="1" t="s">
        <v>11</v>
      </c>
      <c r="F6669" s="1" t="s">
        <v>20</v>
      </c>
      <c r="G6669" s="4" t="b">
        <f t="shared" si="2"/>
        <v>1</v>
      </c>
      <c r="H6669" s="1" t="str">
        <f t="shared" si="3"/>
        <v>Currently Unavailable</v>
      </c>
      <c r="I6669" s="1" t="str">
        <f t="shared" si="4"/>
        <v>No Badges</v>
      </c>
      <c r="J6669" s="3">
        <f t="shared" si="5"/>
        <v>0</v>
      </c>
    </row>
    <row r="6670">
      <c r="A6670" s="1" t="s">
        <v>5076</v>
      </c>
      <c r="B6670" s="3" t="str">
        <f t="shared" si="1"/>
        <v>Unavailable</v>
      </c>
      <c r="C6670" s="3">
        <v>929.0</v>
      </c>
      <c r="D6670" s="3">
        <f>IFERROR(__xludf.DUMMYFUNCTION("IFERROR(
IF(REGEXMATCH(LOWER(O6670),""k""),
VALUE(REGEXEXTRACT(O6670,""[0-9]+""))*1000,
VALUE(REGEXEXTRACT(O6670,""[0-9]+""))
),
0
)"),0.0)</f>
        <v>0</v>
      </c>
      <c r="E6670" s="1" t="s">
        <v>11</v>
      </c>
      <c r="F6670" s="1" t="s">
        <v>20</v>
      </c>
      <c r="G6670" s="4" t="b">
        <f t="shared" si="2"/>
        <v>1</v>
      </c>
      <c r="H6670" s="1" t="str">
        <f t="shared" si="3"/>
        <v>Currently Unavailable</v>
      </c>
      <c r="I6670" s="1" t="str">
        <f t="shared" si="4"/>
        <v>No Badges</v>
      </c>
      <c r="J6670" s="3">
        <f t="shared" si="5"/>
        <v>0</v>
      </c>
    </row>
    <row r="6671">
      <c r="A6671" s="1" t="s">
        <v>5077</v>
      </c>
      <c r="B6671" s="3" t="str">
        <f t="shared" si="1"/>
        <v>Unavailable</v>
      </c>
      <c r="C6671" s="3">
        <v>175.0</v>
      </c>
      <c r="D6671" s="3">
        <f>IFERROR(__xludf.DUMMYFUNCTION("IFERROR(
IF(REGEXMATCH(LOWER(O6671),""k""),
VALUE(REGEXEXTRACT(O6671,""[0-9]+""))*1000,
VALUE(REGEXEXTRACT(O6671,""[0-9]+""))
),
0
)"),0.0)</f>
        <v>0</v>
      </c>
      <c r="E6671" s="1" t="s">
        <v>11</v>
      </c>
      <c r="F6671" s="1" t="s">
        <v>20</v>
      </c>
      <c r="G6671" s="4" t="b">
        <f t="shared" si="2"/>
        <v>1</v>
      </c>
      <c r="H6671" s="1" t="str">
        <f t="shared" si="3"/>
        <v>Currently Unavailable</v>
      </c>
      <c r="I6671" s="1" t="str">
        <f t="shared" si="4"/>
        <v>No Badges</v>
      </c>
      <c r="J6671" s="3">
        <f t="shared" si="5"/>
        <v>0</v>
      </c>
    </row>
    <row r="6672">
      <c r="A6672" s="1" t="s">
        <v>5078</v>
      </c>
      <c r="B6672" s="3" t="str">
        <f t="shared" si="1"/>
        <v>Unavailable</v>
      </c>
      <c r="C6672" s="5">
        <v>1147.0</v>
      </c>
      <c r="D6672" s="3">
        <f>IFERROR(__xludf.DUMMYFUNCTION("IFERROR(
IF(REGEXMATCH(LOWER(O6672),""k""),
VALUE(REGEXEXTRACT(O6672,""[0-9]+""))*1000,
VALUE(REGEXEXTRACT(O6672,""[0-9]+""))
),
0
)"),0.0)</f>
        <v>0</v>
      </c>
      <c r="E6672" s="1" t="s">
        <v>11</v>
      </c>
      <c r="F6672" s="1" t="s">
        <v>20</v>
      </c>
      <c r="G6672" s="4" t="b">
        <f t="shared" si="2"/>
        <v>1</v>
      </c>
      <c r="H6672" s="1" t="str">
        <f t="shared" si="3"/>
        <v>Currently Unavailable</v>
      </c>
      <c r="I6672" s="1" t="str">
        <f t="shared" si="4"/>
        <v>No Badges</v>
      </c>
      <c r="J6672" s="3">
        <f t="shared" si="5"/>
        <v>0</v>
      </c>
    </row>
    <row r="6673">
      <c r="A6673" s="1" t="s">
        <v>5079</v>
      </c>
      <c r="B6673" s="3" t="str">
        <f t="shared" si="1"/>
        <v>Unavailable</v>
      </c>
      <c r="C6673" s="3">
        <v>790.0</v>
      </c>
      <c r="D6673" s="3">
        <f>IFERROR(__xludf.DUMMYFUNCTION("IFERROR(
IF(REGEXMATCH(LOWER(O6673),""k""),
VALUE(REGEXEXTRACT(O6673,""[0-9]+""))*1000,
VALUE(REGEXEXTRACT(O6673,""[0-9]+""))
),
0
)"),0.0)</f>
        <v>0</v>
      </c>
      <c r="E6673" s="1" t="s">
        <v>11</v>
      </c>
      <c r="F6673" s="1" t="s">
        <v>20</v>
      </c>
      <c r="G6673" s="4" t="b">
        <f t="shared" si="2"/>
        <v>1</v>
      </c>
      <c r="H6673" s="1" t="str">
        <f t="shared" si="3"/>
        <v>Currently Unavailable</v>
      </c>
      <c r="I6673" s="1" t="str">
        <f t="shared" si="4"/>
        <v>No Badges</v>
      </c>
      <c r="J6673" s="3">
        <f t="shared" si="5"/>
        <v>0</v>
      </c>
    </row>
    <row r="6674">
      <c r="A6674" s="1" t="s">
        <v>5080</v>
      </c>
      <c r="B6674" s="3" t="str">
        <f t="shared" si="1"/>
        <v>Unavailable</v>
      </c>
      <c r="C6674" s="5">
        <v>1148.0</v>
      </c>
      <c r="D6674" s="3">
        <f>IFERROR(__xludf.DUMMYFUNCTION("IFERROR(
IF(REGEXMATCH(LOWER(O6674),""k""),
VALUE(REGEXEXTRACT(O6674,""[0-9]+""))*1000,
VALUE(REGEXEXTRACT(O6674,""[0-9]+""))
),
0
)"),0.0)</f>
        <v>0</v>
      </c>
      <c r="E6674" s="1" t="s">
        <v>11</v>
      </c>
      <c r="F6674" s="1" t="s">
        <v>20</v>
      </c>
      <c r="G6674" s="4" t="b">
        <f t="shared" si="2"/>
        <v>1</v>
      </c>
      <c r="H6674" s="1" t="str">
        <f t="shared" si="3"/>
        <v>Currently Unavailable</v>
      </c>
      <c r="I6674" s="1" t="str">
        <f t="shared" si="4"/>
        <v>No Badges</v>
      </c>
      <c r="J6674" s="3">
        <f t="shared" si="5"/>
        <v>0</v>
      </c>
    </row>
    <row r="6675">
      <c r="A6675" s="1" t="s">
        <v>5081</v>
      </c>
      <c r="B6675" s="3" t="str">
        <f t="shared" si="1"/>
        <v>Unavailable</v>
      </c>
      <c r="C6675" s="5">
        <v>2085.0</v>
      </c>
      <c r="D6675" s="3">
        <f>IFERROR(__xludf.DUMMYFUNCTION("IFERROR(
IF(REGEXMATCH(LOWER(O6675),""k""),
VALUE(REGEXEXTRACT(O6675,""[0-9]+""))*1000,
VALUE(REGEXEXTRACT(O6675,""[0-9]+""))
),
0
)"),0.0)</f>
        <v>0</v>
      </c>
      <c r="E6675" s="1" t="s">
        <v>11</v>
      </c>
      <c r="F6675" s="1" t="s">
        <v>20</v>
      </c>
      <c r="G6675" s="4" t="b">
        <f t="shared" si="2"/>
        <v>1</v>
      </c>
      <c r="H6675" s="1" t="str">
        <f t="shared" si="3"/>
        <v>Currently Unavailable</v>
      </c>
      <c r="I6675" s="1" t="str">
        <f t="shared" si="4"/>
        <v>No Badges</v>
      </c>
      <c r="J6675" s="3">
        <f t="shared" si="5"/>
        <v>0</v>
      </c>
    </row>
    <row r="6676">
      <c r="A6676" s="1" t="s">
        <v>5082</v>
      </c>
      <c r="B6676" s="3" t="str">
        <f t="shared" si="1"/>
        <v>Unavailable</v>
      </c>
      <c r="C6676" s="3">
        <v>1.0</v>
      </c>
      <c r="D6676" s="3">
        <f>IFERROR(__xludf.DUMMYFUNCTION("IFERROR(
IF(REGEXMATCH(LOWER(O6676),""k""),
VALUE(REGEXEXTRACT(O6676,""[0-9]+""))*1000,
VALUE(REGEXEXTRACT(O6676,""[0-9]+""))
),
0
)"),0.0)</f>
        <v>0</v>
      </c>
      <c r="E6676" s="1" t="s">
        <v>11</v>
      </c>
      <c r="F6676" s="1" t="s">
        <v>12</v>
      </c>
      <c r="G6676" s="4" t="b">
        <f t="shared" si="2"/>
        <v>1</v>
      </c>
      <c r="H6676" s="1" t="str">
        <f t="shared" si="3"/>
        <v>Currently Unavailable</v>
      </c>
      <c r="I6676" s="1" t="str">
        <f t="shared" si="4"/>
        <v>No Badges</v>
      </c>
      <c r="J6676" s="3">
        <f t="shared" si="5"/>
        <v>0</v>
      </c>
    </row>
    <row r="6677">
      <c r="A6677" s="1" t="s">
        <v>5083</v>
      </c>
      <c r="B6677" s="3" t="str">
        <f t="shared" si="1"/>
        <v>Unavailable</v>
      </c>
      <c r="C6677" s="3">
        <v>793.0</v>
      </c>
      <c r="D6677" s="3">
        <f>IFERROR(__xludf.DUMMYFUNCTION("IFERROR(
IF(REGEXMATCH(LOWER(O6677),""k""),
VALUE(REGEXEXTRACT(O6677,""[0-9]+""))*1000,
VALUE(REGEXEXTRACT(O6677,""[0-9]+""))
),
0
)"),0.0)</f>
        <v>0</v>
      </c>
      <c r="E6677" s="1" t="s">
        <v>11</v>
      </c>
      <c r="F6677" s="1" t="s">
        <v>20</v>
      </c>
      <c r="G6677" s="4" t="b">
        <f t="shared" si="2"/>
        <v>1</v>
      </c>
      <c r="H6677" s="1" t="str">
        <f t="shared" si="3"/>
        <v>Currently Unavailable</v>
      </c>
      <c r="I6677" s="1" t="str">
        <f t="shared" si="4"/>
        <v>No Badges</v>
      </c>
      <c r="J6677" s="3">
        <f t="shared" si="5"/>
        <v>0</v>
      </c>
    </row>
    <row r="6678">
      <c r="A6678" s="1" t="s">
        <v>5084</v>
      </c>
      <c r="B6678" s="3" t="str">
        <f t="shared" si="1"/>
        <v>Unavailable</v>
      </c>
      <c r="C6678" s="3">
        <v>17.0</v>
      </c>
      <c r="D6678" s="3">
        <f>IFERROR(__xludf.DUMMYFUNCTION("IFERROR(
IF(REGEXMATCH(LOWER(O6678),""k""),
VALUE(REGEXEXTRACT(O6678,""[0-9]+""))*1000,
VALUE(REGEXEXTRACT(O6678,""[0-9]+""))
),
0
)"),0.0)</f>
        <v>0</v>
      </c>
      <c r="E6678" s="1" t="s">
        <v>11</v>
      </c>
      <c r="F6678" s="1" t="s">
        <v>20</v>
      </c>
      <c r="G6678" s="4" t="b">
        <f t="shared" si="2"/>
        <v>1</v>
      </c>
      <c r="H6678" s="1" t="str">
        <f t="shared" si="3"/>
        <v>Currently Unavailable</v>
      </c>
      <c r="I6678" s="1" t="str">
        <f t="shared" si="4"/>
        <v>No Badges</v>
      </c>
      <c r="J6678" s="3">
        <f t="shared" si="5"/>
        <v>0</v>
      </c>
    </row>
    <row r="6679">
      <c r="A6679" s="1" t="s">
        <v>69</v>
      </c>
      <c r="B6679" s="3" t="str">
        <f t="shared" si="1"/>
        <v>Unavailable</v>
      </c>
      <c r="C6679" s="3">
        <v>45.0</v>
      </c>
      <c r="D6679" s="3">
        <f>IFERROR(__xludf.DUMMYFUNCTION("IFERROR(
IF(REGEXMATCH(LOWER(O6679),""k""),
VALUE(REGEXEXTRACT(O6679,""[0-9]+""))*1000,
VALUE(REGEXEXTRACT(O6679,""[0-9]+""))
),
0
)"),0.0)</f>
        <v>0</v>
      </c>
      <c r="E6679" s="1" t="s">
        <v>11</v>
      </c>
      <c r="F6679" s="1" t="s">
        <v>12</v>
      </c>
      <c r="G6679" s="4" t="b">
        <f t="shared" si="2"/>
        <v>1</v>
      </c>
      <c r="H6679" s="1" t="str">
        <f t="shared" si="3"/>
        <v>Currently Unavailable</v>
      </c>
      <c r="I6679" s="1" t="str">
        <f t="shared" si="4"/>
        <v>No Badges</v>
      </c>
      <c r="J6679" s="3">
        <f t="shared" si="5"/>
        <v>0</v>
      </c>
    </row>
    <row r="6680">
      <c r="A6680" s="1" t="s">
        <v>5085</v>
      </c>
      <c r="B6680" s="3" t="str">
        <f t="shared" si="1"/>
        <v>Unavailable</v>
      </c>
      <c r="C6680" s="3">
        <v>906.0</v>
      </c>
      <c r="D6680" s="3">
        <f>IFERROR(__xludf.DUMMYFUNCTION("IFERROR(
IF(REGEXMATCH(LOWER(O6680),""k""),
VALUE(REGEXEXTRACT(O6680,""[0-9]+""))*1000,
VALUE(REGEXEXTRACT(O6680,""[0-9]+""))
),
0
)"),0.0)</f>
        <v>0</v>
      </c>
      <c r="E6680" s="1" t="s">
        <v>11</v>
      </c>
      <c r="F6680" s="1" t="s">
        <v>20</v>
      </c>
      <c r="G6680" s="4" t="b">
        <f t="shared" si="2"/>
        <v>1</v>
      </c>
      <c r="H6680" s="1" t="str">
        <f t="shared" si="3"/>
        <v>Currently Unavailable</v>
      </c>
      <c r="I6680" s="1" t="str">
        <f t="shared" si="4"/>
        <v>No Badges</v>
      </c>
      <c r="J6680" s="3">
        <f t="shared" si="5"/>
        <v>0</v>
      </c>
    </row>
    <row r="6681">
      <c r="A6681" s="1" t="s">
        <v>5086</v>
      </c>
      <c r="B6681" s="3" t="str">
        <f t="shared" si="1"/>
        <v>Unavailable</v>
      </c>
      <c r="C6681" s="5">
        <v>2061.0</v>
      </c>
      <c r="D6681" s="3">
        <f>IFERROR(__xludf.DUMMYFUNCTION("IFERROR(
IF(REGEXMATCH(LOWER(O6681),""k""),
VALUE(REGEXEXTRACT(O6681,""[0-9]+""))*1000,
VALUE(REGEXEXTRACT(O6681,""[0-9]+""))
),
0
)"),0.0)</f>
        <v>0</v>
      </c>
      <c r="E6681" s="1" t="s">
        <v>11</v>
      </c>
      <c r="F6681" s="1" t="s">
        <v>20</v>
      </c>
      <c r="G6681" s="4" t="b">
        <f t="shared" si="2"/>
        <v>1</v>
      </c>
      <c r="H6681" s="1" t="str">
        <f t="shared" si="3"/>
        <v>Currently Unavailable</v>
      </c>
      <c r="I6681" s="1" t="str">
        <f t="shared" si="4"/>
        <v>No Badges</v>
      </c>
      <c r="J6681" s="3">
        <f t="shared" si="5"/>
        <v>0</v>
      </c>
    </row>
    <row r="6682">
      <c r="A6682" s="1" t="s">
        <v>5087</v>
      </c>
      <c r="B6682" s="3" t="str">
        <f t="shared" si="1"/>
        <v>Unavailable</v>
      </c>
      <c r="C6682" s="5">
        <v>2696.0</v>
      </c>
      <c r="D6682" s="3">
        <f>IFERROR(__xludf.DUMMYFUNCTION("IFERROR(
IF(REGEXMATCH(LOWER(O6682),""k""),
VALUE(REGEXEXTRACT(O6682,""[0-9]+""))*1000,
VALUE(REGEXEXTRACT(O6682,""[0-9]+""))
),
0
)"),0.0)</f>
        <v>0</v>
      </c>
      <c r="E6682" s="1" t="s">
        <v>11</v>
      </c>
      <c r="F6682" s="1" t="s">
        <v>20</v>
      </c>
      <c r="G6682" s="4" t="b">
        <f t="shared" si="2"/>
        <v>1</v>
      </c>
      <c r="H6682" s="1" t="str">
        <f t="shared" si="3"/>
        <v>Currently Unavailable</v>
      </c>
      <c r="I6682" s="1" t="str">
        <f t="shared" si="4"/>
        <v>No Badges</v>
      </c>
      <c r="J6682" s="3">
        <f t="shared" si="5"/>
        <v>0</v>
      </c>
    </row>
    <row r="6683">
      <c r="A6683" s="1" t="s">
        <v>5088</v>
      </c>
      <c r="B6683" s="3" t="str">
        <f t="shared" si="1"/>
        <v>Unavailable</v>
      </c>
      <c r="C6683" s="3">
        <v>76.0</v>
      </c>
      <c r="D6683" s="3">
        <f>IFERROR(__xludf.DUMMYFUNCTION("IFERROR(
IF(REGEXMATCH(LOWER(O6683),""k""),
VALUE(REGEXEXTRACT(O6683,""[0-9]+""))*1000,
VALUE(REGEXEXTRACT(O6683,""[0-9]+""))
),
0
)"),0.0)</f>
        <v>0</v>
      </c>
      <c r="E6683" s="1" t="s">
        <v>11</v>
      </c>
      <c r="F6683" s="1" t="s">
        <v>20</v>
      </c>
      <c r="G6683" s="4" t="b">
        <f t="shared" si="2"/>
        <v>1</v>
      </c>
      <c r="H6683" s="1" t="str">
        <f t="shared" si="3"/>
        <v>Currently Unavailable</v>
      </c>
      <c r="I6683" s="1" t="str">
        <f t="shared" si="4"/>
        <v>No Badges</v>
      </c>
      <c r="J6683" s="3">
        <f t="shared" si="5"/>
        <v>0</v>
      </c>
    </row>
    <row r="6684">
      <c r="A6684" s="1" t="s">
        <v>5089</v>
      </c>
      <c r="B6684" s="3" t="str">
        <f t="shared" si="1"/>
        <v>Unavailable</v>
      </c>
      <c r="C6684" s="3">
        <v>594.0</v>
      </c>
      <c r="D6684" s="3">
        <f>IFERROR(__xludf.DUMMYFUNCTION("IFERROR(
IF(REGEXMATCH(LOWER(O6684),""k""),
VALUE(REGEXEXTRACT(O6684,""[0-9]+""))*1000,
VALUE(REGEXEXTRACT(O6684,""[0-9]+""))
),
0
)"),0.0)</f>
        <v>0</v>
      </c>
      <c r="E6684" s="1" t="s">
        <v>11</v>
      </c>
      <c r="F6684" s="1" t="s">
        <v>20</v>
      </c>
      <c r="G6684" s="4" t="b">
        <f t="shared" si="2"/>
        <v>1</v>
      </c>
      <c r="H6684" s="1" t="str">
        <f t="shared" si="3"/>
        <v>Currently Unavailable</v>
      </c>
      <c r="I6684" s="1" t="str">
        <f t="shared" si="4"/>
        <v>No Badges</v>
      </c>
      <c r="J6684" s="3">
        <f t="shared" si="5"/>
        <v>0</v>
      </c>
    </row>
    <row r="6685">
      <c r="A6685" s="1" t="s">
        <v>5090</v>
      </c>
      <c r="B6685" s="3" t="str">
        <f t="shared" si="1"/>
        <v>Unavailable</v>
      </c>
      <c r="C6685" s="3">
        <v>36.0</v>
      </c>
      <c r="D6685" s="3">
        <f>IFERROR(__xludf.DUMMYFUNCTION("IFERROR(
IF(REGEXMATCH(LOWER(O6685),""k""),
VALUE(REGEXEXTRACT(O6685,""[0-9]+""))*1000,
VALUE(REGEXEXTRACT(O6685,""[0-9]+""))
),
0
)"),0.0)</f>
        <v>0</v>
      </c>
      <c r="E6685" s="1" t="s">
        <v>11</v>
      </c>
      <c r="F6685" s="1" t="s">
        <v>20</v>
      </c>
      <c r="G6685" s="4" t="b">
        <f t="shared" si="2"/>
        <v>1</v>
      </c>
      <c r="H6685" s="1" t="str">
        <f t="shared" si="3"/>
        <v>Currently Unavailable</v>
      </c>
      <c r="I6685" s="1" t="str">
        <f t="shared" si="4"/>
        <v>No Badges</v>
      </c>
      <c r="J6685" s="3">
        <f t="shared" si="5"/>
        <v>0</v>
      </c>
    </row>
    <row r="6686">
      <c r="A6686" s="1" t="s">
        <v>5091</v>
      </c>
      <c r="B6686" s="3" t="str">
        <f t="shared" si="1"/>
        <v>Unavailable</v>
      </c>
      <c r="C6686" s="5">
        <v>1285.0</v>
      </c>
      <c r="D6686" s="3">
        <f>IFERROR(__xludf.DUMMYFUNCTION("IFERROR(
IF(REGEXMATCH(LOWER(O6686),""k""),
VALUE(REGEXEXTRACT(O6686,""[0-9]+""))*1000,
VALUE(REGEXEXTRACT(O6686,""[0-9]+""))
),
0
)"),0.0)</f>
        <v>0</v>
      </c>
      <c r="E6686" s="1" t="s">
        <v>11</v>
      </c>
      <c r="F6686" s="1" t="s">
        <v>20</v>
      </c>
      <c r="G6686" s="4" t="b">
        <f t="shared" si="2"/>
        <v>1</v>
      </c>
      <c r="H6686" s="1" t="str">
        <f t="shared" si="3"/>
        <v>Currently Unavailable</v>
      </c>
      <c r="I6686" s="1" t="str">
        <f t="shared" si="4"/>
        <v>No Badges</v>
      </c>
      <c r="J6686" s="3">
        <f t="shared" si="5"/>
        <v>0</v>
      </c>
    </row>
    <row r="6687">
      <c r="A6687" s="1" t="s">
        <v>5092</v>
      </c>
      <c r="B6687" s="3" t="str">
        <f t="shared" si="1"/>
        <v>Unavailable</v>
      </c>
      <c r="C6687" s="3">
        <v>487.0</v>
      </c>
      <c r="D6687" s="3">
        <f>IFERROR(__xludf.DUMMYFUNCTION("IFERROR(
IF(REGEXMATCH(LOWER(O6687),""k""),
VALUE(REGEXEXTRACT(O6687,""[0-9]+""))*1000,
VALUE(REGEXEXTRACT(O6687,""[0-9]+""))
),
0
)"),0.0)</f>
        <v>0</v>
      </c>
      <c r="E6687" s="1" t="s">
        <v>11</v>
      </c>
      <c r="F6687" s="1" t="s">
        <v>20</v>
      </c>
      <c r="G6687" s="4" t="b">
        <f t="shared" si="2"/>
        <v>1</v>
      </c>
      <c r="H6687" s="1" t="str">
        <f t="shared" si="3"/>
        <v>Currently Unavailable</v>
      </c>
      <c r="I6687" s="1" t="str">
        <f t="shared" si="4"/>
        <v>No Badges</v>
      </c>
      <c r="J6687" s="3">
        <f t="shared" si="5"/>
        <v>0</v>
      </c>
    </row>
    <row r="6688">
      <c r="A6688" s="1" t="s">
        <v>5093</v>
      </c>
      <c r="B6688" s="3" t="str">
        <f t="shared" si="1"/>
        <v>Unavailable</v>
      </c>
      <c r="C6688" s="3">
        <v>798.0</v>
      </c>
      <c r="D6688" s="3">
        <f>IFERROR(__xludf.DUMMYFUNCTION("IFERROR(
IF(REGEXMATCH(LOWER(O6688),""k""),
VALUE(REGEXEXTRACT(O6688,""[0-9]+""))*1000,
VALUE(REGEXEXTRACT(O6688,""[0-9]+""))
),
0
)"),0.0)</f>
        <v>0</v>
      </c>
      <c r="E6688" s="1" t="s">
        <v>11</v>
      </c>
      <c r="F6688" s="1" t="s">
        <v>20</v>
      </c>
      <c r="G6688" s="4" t="b">
        <f t="shared" si="2"/>
        <v>1</v>
      </c>
      <c r="H6688" s="1" t="str">
        <f t="shared" si="3"/>
        <v>Currently Unavailable</v>
      </c>
      <c r="I6688" s="1" t="str">
        <f t="shared" si="4"/>
        <v>No Badges</v>
      </c>
      <c r="J6688" s="3">
        <f t="shared" si="5"/>
        <v>0</v>
      </c>
    </row>
    <row r="6689">
      <c r="A6689" s="1" t="s">
        <v>5094</v>
      </c>
      <c r="B6689" s="3" t="str">
        <f t="shared" si="1"/>
        <v>Unavailable</v>
      </c>
      <c r="C6689" s="3">
        <v>235.0</v>
      </c>
      <c r="D6689" s="3">
        <f>IFERROR(__xludf.DUMMYFUNCTION("IFERROR(
IF(REGEXMATCH(LOWER(O6689),""k""),
VALUE(REGEXEXTRACT(O6689,""[0-9]+""))*1000,
VALUE(REGEXEXTRACT(O6689,""[0-9]+""))
),
0
)"),0.0)</f>
        <v>0</v>
      </c>
      <c r="E6689" s="1" t="s">
        <v>11</v>
      </c>
      <c r="F6689" s="1" t="s">
        <v>20</v>
      </c>
      <c r="G6689" s="4" t="b">
        <f t="shared" si="2"/>
        <v>1</v>
      </c>
      <c r="H6689" s="1" t="str">
        <f t="shared" si="3"/>
        <v>Currently Unavailable</v>
      </c>
      <c r="I6689" s="1" t="str">
        <f t="shared" si="4"/>
        <v>No Badges</v>
      </c>
      <c r="J6689" s="3">
        <f t="shared" si="5"/>
        <v>0</v>
      </c>
    </row>
    <row r="6690">
      <c r="A6690" s="1" t="s">
        <v>5095</v>
      </c>
      <c r="B6690" s="3" t="str">
        <f t="shared" si="1"/>
        <v>Unavailable</v>
      </c>
      <c r="C6690" s="3">
        <v>272.0</v>
      </c>
      <c r="D6690" s="3">
        <f>IFERROR(__xludf.DUMMYFUNCTION("IFERROR(
IF(REGEXMATCH(LOWER(O6690),""k""),
VALUE(REGEXEXTRACT(O6690,""[0-9]+""))*1000,
VALUE(REGEXEXTRACT(O6690,""[0-9]+""))
),
0
)"),0.0)</f>
        <v>0</v>
      </c>
      <c r="E6690" s="1" t="s">
        <v>11</v>
      </c>
      <c r="F6690" s="1" t="s">
        <v>20</v>
      </c>
      <c r="G6690" s="4" t="b">
        <f t="shared" si="2"/>
        <v>1</v>
      </c>
      <c r="H6690" s="1" t="str">
        <f t="shared" si="3"/>
        <v>Currently Unavailable</v>
      </c>
      <c r="I6690" s="1" t="str">
        <f t="shared" si="4"/>
        <v>No Badges</v>
      </c>
      <c r="J6690" s="3">
        <f t="shared" si="5"/>
        <v>0</v>
      </c>
    </row>
    <row r="6691">
      <c r="A6691" s="1" t="s">
        <v>5096</v>
      </c>
      <c r="B6691" s="3" t="str">
        <f t="shared" si="1"/>
        <v>Unavailable</v>
      </c>
      <c r="C6691" s="5">
        <v>5091.0</v>
      </c>
      <c r="D6691" s="3">
        <f>IFERROR(__xludf.DUMMYFUNCTION("IFERROR(
IF(REGEXMATCH(LOWER(O6691),""k""),
VALUE(REGEXEXTRACT(O6691,""[0-9]+""))*1000,
VALUE(REGEXEXTRACT(O6691,""[0-9]+""))
),
0
)"),0.0)</f>
        <v>0</v>
      </c>
      <c r="E6691" s="1" t="s">
        <v>11</v>
      </c>
      <c r="F6691" s="1" t="s">
        <v>20</v>
      </c>
      <c r="G6691" s="4" t="b">
        <f t="shared" si="2"/>
        <v>1</v>
      </c>
      <c r="H6691" s="1" t="str">
        <f t="shared" si="3"/>
        <v>Currently Unavailable</v>
      </c>
      <c r="I6691" s="1" t="str">
        <f t="shared" si="4"/>
        <v>No Badges</v>
      </c>
      <c r="J6691" s="3">
        <f t="shared" si="5"/>
        <v>0</v>
      </c>
    </row>
    <row r="6692">
      <c r="A6692" s="1" t="s">
        <v>67</v>
      </c>
      <c r="B6692" s="3" t="str">
        <f t="shared" si="1"/>
        <v>Unavailable</v>
      </c>
      <c r="C6692" s="3">
        <v>264.0</v>
      </c>
      <c r="D6692" s="3">
        <f>IFERROR(__xludf.DUMMYFUNCTION("IFERROR(
IF(REGEXMATCH(LOWER(O6692),""k""),
VALUE(REGEXEXTRACT(O6692,""[0-9]+""))*1000,
VALUE(REGEXEXTRACT(O6692,""[0-9]+""))
),
0
)"),0.0)</f>
        <v>0</v>
      </c>
      <c r="E6692" s="1" t="s">
        <v>11</v>
      </c>
      <c r="F6692" s="1" t="s">
        <v>12</v>
      </c>
      <c r="G6692" s="4" t="b">
        <f t="shared" si="2"/>
        <v>1</v>
      </c>
      <c r="H6692" s="1" t="str">
        <f t="shared" si="3"/>
        <v>Currently Unavailable</v>
      </c>
      <c r="I6692" s="1" t="str">
        <f t="shared" si="4"/>
        <v>No Badges</v>
      </c>
      <c r="J6692" s="3">
        <f t="shared" si="5"/>
        <v>0</v>
      </c>
    </row>
    <row r="6693">
      <c r="A6693" s="1" t="s">
        <v>5097</v>
      </c>
      <c r="B6693" s="3" t="str">
        <f t="shared" si="1"/>
        <v>Unavailable</v>
      </c>
      <c r="C6693" s="5">
        <v>1566.0</v>
      </c>
      <c r="D6693" s="3">
        <f>IFERROR(__xludf.DUMMYFUNCTION("IFERROR(
IF(REGEXMATCH(LOWER(O6693),""k""),
VALUE(REGEXEXTRACT(O6693,""[0-9]+""))*1000,
VALUE(REGEXEXTRACT(O6693,""[0-9]+""))
),
0
)"),0.0)</f>
        <v>0</v>
      </c>
      <c r="E6693" s="1" t="s">
        <v>11</v>
      </c>
      <c r="F6693" s="1" t="s">
        <v>20</v>
      </c>
      <c r="G6693" s="4" t="b">
        <f t="shared" si="2"/>
        <v>1</v>
      </c>
      <c r="H6693" s="1" t="str">
        <f t="shared" si="3"/>
        <v>Currently Unavailable</v>
      </c>
      <c r="I6693" s="1" t="str">
        <f t="shared" si="4"/>
        <v>No Badges</v>
      </c>
      <c r="J6693" s="3">
        <f t="shared" si="5"/>
        <v>0</v>
      </c>
    </row>
    <row r="6694">
      <c r="A6694" s="1" t="s">
        <v>701</v>
      </c>
      <c r="B6694" s="3" t="str">
        <f t="shared" si="1"/>
        <v>Unavailable</v>
      </c>
      <c r="C6694" s="3">
        <v>8.0</v>
      </c>
      <c r="D6694" s="3">
        <f>IFERROR(__xludf.DUMMYFUNCTION("IFERROR(
IF(REGEXMATCH(LOWER(O6694),""k""),
VALUE(REGEXEXTRACT(O6694,""[0-9]+""))*1000,
VALUE(REGEXEXTRACT(O6694,""[0-9]+""))
),
0
)"),0.0)</f>
        <v>0</v>
      </c>
      <c r="E6694" s="1" t="s">
        <v>11</v>
      </c>
      <c r="F6694" s="1" t="s">
        <v>12</v>
      </c>
      <c r="G6694" s="4" t="b">
        <f t="shared" si="2"/>
        <v>1</v>
      </c>
      <c r="H6694" s="1" t="str">
        <f t="shared" si="3"/>
        <v>Currently Unavailable</v>
      </c>
      <c r="I6694" s="1" t="str">
        <f t="shared" si="4"/>
        <v>No Badges</v>
      </c>
      <c r="J6694" s="3">
        <f t="shared" si="5"/>
        <v>0</v>
      </c>
    </row>
    <row r="6695">
      <c r="A6695" s="1" t="s">
        <v>5098</v>
      </c>
      <c r="B6695" s="3" t="str">
        <f t="shared" si="1"/>
        <v>Unavailable</v>
      </c>
      <c r="C6695" s="3">
        <v>933.0</v>
      </c>
      <c r="D6695" s="3">
        <f>IFERROR(__xludf.DUMMYFUNCTION("IFERROR(
IF(REGEXMATCH(LOWER(O6695),""k""),
VALUE(REGEXEXTRACT(O6695,""[0-9]+""))*1000,
VALUE(REGEXEXTRACT(O6695,""[0-9]+""))
),
0
)"),0.0)</f>
        <v>0</v>
      </c>
      <c r="E6695" s="1" t="s">
        <v>11</v>
      </c>
      <c r="F6695" s="1" t="s">
        <v>20</v>
      </c>
      <c r="G6695" s="4" t="b">
        <f t="shared" si="2"/>
        <v>1</v>
      </c>
      <c r="H6695" s="1" t="str">
        <f t="shared" si="3"/>
        <v>Currently Unavailable</v>
      </c>
      <c r="I6695" s="1" t="str">
        <f t="shared" si="4"/>
        <v>No Badges</v>
      </c>
      <c r="J6695" s="3">
        <f t="shared" si="5"/>
        <v>0</v>
      </c>
    </row>
    <row r="6696">
      <c r="A6696" s="1" t="s">
        <v>5099</v>
      </c>
      <c r="B6696" s="3" t="str">
        <f t="shared" si="1"/>
        <v>Unavailable</v>
      </c>
      <c r="C6696" s="5">
        <v>1107.0</v>
      </c>
      <c r="D6696" s="3">
        <f>IFERROR(__xludf.DUMMYFUNCTION("IFERROR(
IF(REGEXMATCH(LOWER(O6696),""k""),
VALUE(REGEXEXTRACT(O6696,""[0-9]+""))*1000,
VALUE(REGEXEXTRACT(O6696,""[0-9]+""))
),
0
)"),0.0)</f>
        <v>0</v>
      </c>
      <c r="E6696" s="1" t="s">
        <v>11</v>
      </c>
      <c r="F6696" s="1" t="s">
        <v>20</v>
      </c>
      <c r="G6696" s="4" t="b">
        <f t="shared" si="2"/>
        <v>1</v>
      </c>
      <c r="H6696" s="1" t="str">
        <f t="shared" si="3"/>
        <v>Currently Unavailable</v>
      </c>
      <c r="I6696" s="1" t="str">
        <f t="shared" si="4"/>
        <v>No Badges</v>
      </c>
      <c r="J6696" s="3">
        <f t="shared" si="5"/>
        <v>0</v>
      </c>
    </row>
    <row r="6697">
      <c r="A6697" s="1" t="s">
        <v>5100</v>
      </c>
      <c r="B6697" s="3" t="str">
        <f t="shared" si="1"/>
        <v>Unavailable</v>
      </c>
      <c r="C6697" s="5">
        <v>5847.0</v>
      </c>
      <c r="D6697" s="3">
        <f>IFERROR(__xludf.DUMMYFUNCTION("IFERROR(
IF(REGEXMATCH(LOWER(O6697),""k""),
VALUE(REGEXEXTRACT(O6697,""[0-9]+""))*1000,
VALUE(REGEXEXTRACT(O6697,""[0-9]+""))
),
0
)"),0.0)</f>
        <v>0</v>
      </c>
      <c r="E6697" s="1" t="s">
        <v>11</v>
      </c>
      <c r="F6697" s="1" t="s">
        <v>20</v>
      </c>
      <c r="G6697" s="4" t="b">
        <f t="shared" si="2"/>
        <v>1</v>
      </c>
      <c r="H6697" s="1" t="str">
        <f t="shared" si="3"/>
        <v>Currently Unavailable</v>
      </c>
      <c r="I6697" s="1" t="str">
        <f t="shared" si="4"/>
        <v>No Badges</v>
      </c>
      <c r="J6697" s="3">
        <f t="shared" si="5"/>
        <v>0</v>
      </c>
    </row>
    <row r="6698">
      <c r="A6698" s="1" t="s">
        <v>5101</v>
      </c>
      <c r="B6698" s="3" t="str">
        <f t="shared" si="1"/>
        <v>Unavailable</v>
      </c>
      <c r="C6698" s="3">
        <v>52.0</v>
      </c>
      <c r="D6698" s="3">
        <f>IFERROR(__xludf.DUMMYFUNCTION("IFERROR(
IF(REGEXMATCH(LOWER(O6698),""k""),
VALUE(REGEXEXTRACT(O6698,""[0-9]+""))*1000,
VALUE(REGEXEXTRACT(O6698,""[0-9]+""))
),
0
)"),0.0)</f>
        <v>0</v>
      </c>
      <c r="E6698" s="1" t="s">
        <v>11</v>
      </c>
      <c r="F6698" s="1" t="s">
        <v>20</v>
      </c>
      <c r="G6698" s="4" t="b">
        <f t="shared" si="2"/>
        <v>1</v>
      </c>
      <c r="H6698" s="1" t="str">
        <f t="shared" si="3"/>
        <v>Currently Unavailable</v>
      </c>
      <c r="I6698" s="1" t="str">
        <f t="shared" si="4"/>
        <v>No Badges</v>
      </c>
      <c r="J6698" s="3">
        <f t="shared" si="5"/>
        <v>0</v>
      </c>
    </row>
    <row r="6699">
      <c r="A6699" s="1" t="s">
        <v>5102</v>
      </c>
      <c r="B6699" s="3" t="str">
        <f t="shared" si="1"/>
        <v>Unavailable</v>
      </c>
      <c r="C6699" s="3">
        <v>294.0</v>
      </c>
      <c r="D6699" s="3">
        <f>IFERROR(__xludf.DUMMYFUNCTION("IFERROR(
IF(REGEXMATCH(LOWER(O6699),""k""),
VALUE(REGEXEXTRACT(O6699,""[0-9]+""))*1000,
VALUE(REGEXEXTRACT(O6699,""[0-9]+""))
),
0
)"),0.0)</f>
        <v>0</v>
      </c>
      <c r="E6699" s="1" t="s">
        <v>11</v>
      </c>
      <c r="F6699" s="1" t="s">
        <v>20</v>
      </c>
      <c r="G6699" s="4" t="b">
        <f t="shared" si="2"/>
        <v>1</v>
      </c>
      <c r="H6699" s="1" t="str">
        <f t="shared" si="3"/>
        <v>Currently Unavailable</v>
      </c>
      <c r="I6699" s="1" t="str">
        <f t="shared" si="4"/>
        <v>No Badges</v>
      </c>
      <c r="J6699" s="3">
        <f t="shared" si="5"/>
        <v>0</v>
      </c>
    </row>
    <row r="6700">
      <c r="A6700" s="1" t="s">
        <v>5103</v>
      </c>
      <c r="B6700" s="3" t="str">
        <f t="shared" si="1"/>
        <v>Unavailable</v>
      </c>
      <c r="C6700" s="5">
        <v>13801.0</v>
      </c>
      <c r="D6700" s="3">
        <f>IFERROR(__xludf.DUMMYFUNCTION("IFERROR(
IF(REGEXMATCH(LOWER(O6700),""k""),
VALUE(REGEXEXTRACT(O6700,""[0-9]+""))*1000,
VALUE(REGEXEXTRACT(O6700,""[0-9]+""))
),
0
)"),0.0)</f>
        <v>0</v>
      </c>
      <c r="E6700" s="1" t="s">
        <v>11</v>
      </c>
      <c r="F6700" s="1" t="s">
        <v>20</v>
      </c>
      <c r="G6700" s="4" t="b">
        <f t="shared" si="2"/>
        <v>1</v>
      </c>
      <c r="H6700" s="1" t="str">
        <f t="shared" si="3"/>
        <v>Currently Unavailable</v>
      </c>
      <c r="I6700" s="1" t="str">
        <f t="shared" si="4"/>
        <v>No Badges</v>
      </c>
      <c r="J6700" s="3">
        <f t="shared" si="5"/>
        <v>0</v>
      </c>
    </row>
    <row r="6701">
      <c r="A6701" s="1" t="s">
        <v>5104</v>
      </c>
      <c r="B6701" s="3" t="str">
        <f t="shared" si="1"/>
        <v>Unavailable</v>
      </c>
      <c r="C6701" s="5">
        <v>39463.0</v>
      </c>
      <c r="D6701" s="3">
        <f>IFERROR(__xludf.DUMMYFUNCTION("IFERROR(
IF(REGEXMATCH(LOWER(O6701),""k""),
VALUE(REGEXEXTRACT(O6701,""[0-9]+""))*1000,
VALUE(REGEXEXTRACT(O6701,""[0-9]+""))
),
0
)"),0.0)</f>
        <v>0</v>
      </c>
      <c r="E6701" s="1" t="s">
        <v>11</v>
      </c>
      <c r="F6701" s="1" t="s">
        <v>20</v>
      </c>
      <c r="G6701" s="4" t="b">
        <f t="shared" si="2"/>
        <v>1</v>
      </c>
      <c r="H6701" s="1" t="str">
        <f t="shared" si="3"/>
        <v>Currently Unavailable</v>
      </c>
      <c r="I6701" s="1" t="str">
        <f t="shared" si="4"/>
        <v>No Badges</v>
      </c>
      <c r="J6701" s="3">
        <f t="shared" si="5"/>
        <v>0</v>
      </c>
    </row>
    <row r="6702">
      <c r="A6702" s="1" t="s">
        <v>5105</v>
      </c>
      <c r="B6702" s="3" t="str">
        <f t="shared" si="1"/>
        <v>Unavailable</v>
      </c>
      <c r="C6702" s="3">
        <v>203.0</v>
      </c>
      <c r="D6702" s="3">
        <f>IFERROR(__xludf.DUMMYFUNCTION("IFERROR(
IF(REGEXMATCH(LOWER(O6702),""k""),
VALUE(REGEXEXTRACT(O6702,""[0-9]+""))*1000,
VALUE(REGEXEXTRACT(O6702,""[0-9]+""))
),
0
)"),0.0)</f>
        <v>0</v>
      </c>
      <c r="E6702" s="1" t="s">
        <v>158</v>
      </c>
      <c r="F6702" s="1" t="s">
        <v>20</v>
      </c>
      <c r="G6702" s="4" t="b">
        <f t="shared" si="2"/>
        <v>1</v>
      </c>
      <c r="H6702" s="1" t="str">
        <f t="shared" si="3"/>
        <v>Currently Unavailable</v>
      </c>
      <c r="I6702" s="1" t="str">
        <f t="shared" si="4"/>
        <v>No Badges</v>
      </c>
      <c r="J6702" s="3">
        <f t="shared" si="5"/>
        <v>0</v>
      </c>
    </row>
    <row r="6703">
      <c r="A6703" s="1" t="s">
        <v>5106</v>
      </c>
      <c r="B6703" s="3" t="str">
        <f t="shared" si="1"/>
        <v>Unavailable</v>
      </c>
      <c r="C6703" s="5">
        <v>5416.0</v>
      </c>
      <c r="D6703" s="3">
        <f>IFERROR(__xludf.DUMMYFUNCTION("IFERROR(
IF(REGEXMATCH(LOWER(O6703),""k""),
VALUE(REGEXEXTRACT(O6703,""[0-9]+""))*1000,
VALUE(REGEXEXTRACT(O6703,""[0-9]+""))
),
0
)"),0.0)</f>
        <v>0</v>
      </c>
      <c r="E6703" s="1" t="s">
        <v>11</v>
      </c>
      <c r="F6703" s="1" t="s">
        <v>20</v>
      </c>
      <c r="G6703" s="4" t="b">
        <f t="shared" si="2"/>
        <v>1</v>
      </c>
      <c r="H6703" s="1" t="str">
        <f t="shared" si="3"/>
        <v>Currently Unavailable</v>
      </c>
      <c r="I6703" s="1" t="str">
        <f t="shared" si="4"/>
        <v>No Badges</v>
      </c>
      <c r="J6703" s="3">
        <f t="shared" si="5"/>
        <v>0</v>
      </c>
    </row>
    <row r="6704">
      <c r="A6704" s="1" t="s">
        <v>5107</v>
      </c>
      <c r="B6704" s="3" t="str">
        <f t="shared" si="1"/>
        <v>Unavailable</v>
      </c>
      <c r="C6704" s="3">
        <v>27.0</v>
      </c>
      <c r="D6704" s="3">
        <f>IFERROR(__xludf.DUMMYFUNCTION("IFERROR(
IF(REGEXMATCH(LOWER(O6704),""k""),
VALUE(REGEXEXTRACT(O6704,""[0-9]+""))*1000,
VALUE(REGEXEXTRACT(O6704,""[0-9]+""))
),
0
)"),0.0)</f>
        <v>0</v>
      </c>
      <c r="E6704" s="1" t="s">
        <v>11</v>
      </c>
      <c r="F6704" s="1" t="s">
        <v>20</v>
      </c>
      <c r="G6704" s="4" t="b">
        <f t="shared" si="2"/>
        <v>1</v>
      </c>
      <c r="H6704" s="1" t="str">
        <f t="shared" si="3"/>
        <v>Currently Unavailable</v>
      </c>
      <c r="I6704" s="1" t="str">
        <f t="shared" si="4"/>
        <v>No Badges</v>
      </c>
      <c r="J6704" s="3">
        <f t="shared" si="5"/>
        <v>0</v>
      </c>
    </row>
    <row r="6705">
      <c r="A6705" s="1" t="s">
        <v>5108</v>
      </c>
      <c r="B6705" s="3" t="str">
        <f t="shared" si="1"/>
        <v>Unavailable</v>
      </c>
      <c r="C6705" s="5">
        <v>10381.0</v>
      </c>
      <c r="D6705" s="3">
        <f>IFERROR(__xludf.DUMMYFUNCTION("IFERROR(
IF(REGEXMATCH(LOWER(O6705),""k""),
VALUE(REGEXEXTRACT(O6705,""[0-9]+""))*1000,
VALUE(REGEXEXTRACT(O6705,""[0-9]+""))
),
0
)"),0.0)</f>
        <v>0</v>
      </c>
      <c r="E6705" s="1" t="s">
        <v>11</v>
      </c>
      <c r="F6705" s="1" t="s">
        <v>20</v>
      </c>
      <c r="G6705" s="4" t="b">
        <f t="shared" si="2"/>
        <v>1</v>
      </c>
      <c r="H6705" s="1" t="str">
        <f t="shared" si="3"/>
        <v>Currently Unavailable</v>
      </c>
      <c r="I6705" s="1" t="str">
        <f t="shared" si="4"/>
        <v>No Badges</v>
      </c>
      <c r="J6705" s="3">
        <f t="shared" si="5"/>
        <v>0</v>
      </c>
    </row>
    <row r="6706">
      <c r="A6706" s="1" t="s">
        <v>5109</v>
      </c>
      <c r="B6706" s="3" t="str">
        <f t="shared" si="1"/>
        <v>Unavailable</v>
      </c>
      <c r="C6706" s="3">
        <v>111.0</v>
      </c>
      <c r="D6706" s="3">
        <f>IFERROR(__xludf.DUMMYFUNCTION("IFERROR(
IF(REGEXMATCH(LOWER(O6706),""k""),
VALUE(REGEXEXTRACT(O6706,""[0-9]+""))*1000,
VALUE(REGEXEXTRACT(O6706,""[0-9]+""))
),
0
)"),0.0)</f>
        <v>0</v>
      </c>
      <c r="E6706" s="1" t="s">
        <v>11</v>
      </c>
      <c r="F6706" s="1" t="s">
        <v>20</v>
      </c>
      <c r="G6706" s="4" t="b">
        <f t="shared" si="2"/>
        <v>1</v>
      </c>
      <c r="H6706" s="1" t="str">
        <f t="shared" si="3"/>
        <v>Currently Unavailable</v>
      </c>
      <c r="I6706" s="1" t="str">
        <f t="shared" si="4"/>
        <v>No Badges</v>
      </c>
      <c r="J6706" s="3">
        <f t="shared" si="5"/>
        <v>0</v>
      </c>
    </row>
    <row r="6707">
      <c r="A6707" s="1" t="s">
        <v>604</v>
      </c>
      <c r="B6707" s="3" t="str">
        <f t="shared" si="1"/>
        <v>Unavailable</v>
      </c>
      <c r="C6707" s="3">
        <v>30.0</v>
      </c>
      <c r="D6707" s="3">
        <f>IFERROR(__xludf.DUMMYFUNCTION("IFERROR(
IF(REGEXMATCH(LOWER(O6707),""k""),
VALUE(REGEXEXTRACT(O6707,""[0-9]+""))*1000,
VALUE(REGEXEXTRACT(O6707,""[0-9]+""))
),
0
)"),0.0)</f>
        <v>0</v>
      </c>
      <c r="E6707" s="1" t="s">
        <v>11</v>
      </c>
      <c r="F6707" s="1" t="s">
        <v>12</v>
      </c>
      <c r="G6707" s="4" t="b">
        <f t="shared" si="2"/>
        <v>1</v>
      </c>
      <c r="H6707" s="1" t="str">
        <f t="shared" si="3"/>
        <v>Currently Unavailable</v>
      </c>
      <c r="I6707" s="1" t="str">
        <f t="shared" si="4"/>
        <v>No Badges</v>
      </c>
      <c r="J6707" s="3">
        <f t="shared" si="5"/>
        <v>0</v>
      </c>
    </row>
    <row r="6708">
      <c r="A6708" s="1" t="s">
        <v>5110</v>
      </c>
      <c r="B6708" s="3" t="str">
        <f t="shared" si="1"/>
        <v>Unavailable</v>
      </c>
      <c r="C6708" s="3">
        <v>184.0</v>
      </c>
      <c r="D6708" s="3">
        <f>IFERROR(__xludf.DUMMYFUNCTION("IFERROR(
IF(REGEXMATCH(LOWER(O6708),""k""),
VALUE(REGEXEXTRACT(O6708,""[0-9]+""))*1000,
VALUE(REGEXEXTRACT(O6708,""[0-9]+""))
),
0
)"),0.0)</f>
        <v>0</v>
      </c>
      <c r="E6708" s="1" t="s">
        <v>11</v>
      </c>
      <c r="F6708" s="1" t="s">
        <v>20</v>
      </c>
      <c r="G6708" s="4" t="b">
        <f t="shared" si="2"/>
        <v>1</v>
      </c>
      <c r="H6708" s="1" t="str">
        <f t="shared" si="3"/>
        <v>Currently Unavailable</v>
      </c>
      <c r="I6708" s="1" t="str">
        <f t="shared" si="4"/>
        <v>No Badges</v>
      </c>
      <c r="J6708" s="3">
        <f t="shared" si="5"/>
        <v>0</v>
      </c>
    </row>
    <row r="6709">
      <c r="A6709" s="1" t="s">
        <v>88</v>
      </c>
      <c r="B6709" s="3" t="str">
        <f t="shared" si="1"/>
        <v>Unavailable</v>
      </c>
      <c r="C6709" s="3">
        <v>5.0</v>
      </c>
      <c r="D6709" s="3">
        <f>IFERROR(__xludf.DUMMYFUNCTION("IFERROR(
IF(REGEXMATCH(LOWER(O6709),""k""),
VALUE(REGEXEXTRACT(O6709,""[0-9]+""))*1000,
VALUE(REGEXEXTRACT(O6709,""[0-9]+""))
),
0
)"),0.0)</f>
        <v>0</v>
      </c>
      <c r="E6709" s="1" t="s">
        <v>11</v>
      </c>
      <c r="F6709" s="1" t="s">
        <v>12</v>
      </c>
      <c r="G6709" s="4" t="b">
        <f t="shared" si="2"/>
        <v>1</v>
      </c>
      <c r="H6709" s="1" t="str">
        <f t="shared" si="3"/>
        <v>Currently Unavailable</v>
      </c>
      <c r="I6709" s="1" t="str">
        <f t="shared" si="4"/>
        <v>No Badges</v>
      </c>
      <c r="J6709" s="3">
        <f t="shared" si="5"/>
        <v>0</v>
      </c>
    </row>
    <row r="6710">
      <c r="A6710" s="1" t="s">
        <v>5111</v>
      </c>
      <c r="B6710" s="3" t="str">
        <f t="shared" si="1"/>
        <v>Unavailable</v>
      </c>
      <c r="C6710" s="3">
        <v>768.0</v>
      </c>
      <c r="D6710" s="3">
        <f>IFERROR(__xludf.DUMMYFUNCTION("IFERROR(
IF(REGEXMATCH(LOWER(O6710),""k""),
VALUE(REGEXEXTRACT(O6710,""[0-9]+""))*1000,
VALUE(REGEXEXTRACT(O6710,""[0-9]+""))
),
0
)"),0.0)</f>
        <v>0</v>
      </c>
      <c r="E6710" s="1" t="s">
        <v>11</v>
      </c>
      <c r="F6710" s="1" t="s">
        <v>20</v>
      </c>
      <c r="G6710" s="4" t="b">
        <f t="shared" si="2"/>
        <v>1</v>
      </c>
      <c r="H6710" s="1" t="str">
        <f t="shared" si="3"/>
        <v>Currently Unavailable</v>
      </c>
      <c r="I6710" s="1" t="str">
        <f t="shared" si="4"/>
        <v>No Badges</v>
      </c>
      <c r="J6710" s="3">
        <f t="shared" si="5"/>
        <v>0</v>
      </c>
    </row>
    <row r="6711">
      <c r="A6711" s="1" t="s">
        <v>5112</v>
      </c>
      <c r="B6711" s="3" t="str">
        <f t="shared" si="1"/>
        <v>Unavailable</v>
      </c>
      <c r="C6711" s="5">
        <v>68384.0</v>
      </c>
      <c r="D6711" s="3">
        <f>IFERROR(__xludf.DUMMYFUNCTION("IFERROR(
IF(REGEXMATCH(LOWER(O6711),""k""),
VALUE(REGEXEXTRACT(O6711,""[0-9]+""))*1000,
VALUE(REGEXEXTRACT(O6711,""[0-9]+""))
),
0
)"),0.0)</f>
        <v>0</v>
      </c>
      <c r="E6711" s="1" t="s">
        <v>11</v>
      </c>
      <c r="F6711" s="1" t="s">
        <v>20</v>
      </c>
      <c r="G6711" s="4" t="b">
        <f t="shared" si="2"/>
        <v>1</v>
      </c>
      <c r="H6711" s="1" t="str">
        <f t="shared" si="3"/>
        <v>Currently Unavailable</v>
      </c>
      <c r="I6711" s="1" t="str">
        <f t="shared" si="4"/>
        <v>No Badges</v>
      </c>
      <c r="J6711" s="3">
        <f t="shared" si="5"/>
        <v>0</v>
      </c>
    </row>
    <row r="6712">
      <c r="A6712" s="1" t="s">
        <v>701</v>
      </c>
      <c r="B6712" s="3" t="str">
        <f t="shared" si="1"/>
        <v>Unavailable</v>
      </c>
      <c r="C6712" s="3">
        <v>8.0</v>
      </c>
      <c r="D6712" s="3">
        <f>IFERROR(__xludf.DUMMYFUNCTION("IFERROR(
IF(REGEXMATCH(LOWER(O6712),""k""),
VALUE(REGEXEXTRACT(O6712,""[0-9]+""))*1000,
VALUE(REGEXEXTRACT(O6712,""[0-9]+""))
),
0
)"),0.0)</f>
        <v>0</v>
      </c>
      <c r="E6712" s="1" t="s">
        <v>11</v>
      </c>
      <c r="F6712" s="1" t="s">
        <v>12</v>
      </c>
      <c r="G6712" s="4" t="b">
        <f t="shared" si="2"/>
        <v>1</v>
      </c>
      <c r="H6712" s="1" t="str">
        <f t="shared" si="3"/>
        <v>Currently Unavailable</v>
      </c>
      <c r="I6712" s="1" t="str">
        <f t="shared" si="4"/>
        <v>No Badges</v>
      </c>
      <c r="J6712" s="3">
        <f t="shared" si="5"/>
        <v>0</v>
      </c>
    </row>
    <row r="6713">
      <c r="A6713" s="1" t="s">
        <v>5113</v>
      </c>
      <c r="B6713" s="3" t="str">
        <f t="shared" si="1"/>
        <v>Unavailable</v>
      </c>
      <c r="C6713" s="3">
        <v>662.0</v>
      </c>
      <c r="D6713" s="3">
        <f>IFERROR(__xludf.DUMMYFUNCTION("IFERROR(
IF(REGEXMATCH(LOWER(O6713),""k""),
VALUE(REGEXEXTRACT(O6713,""[0-9]+""))*1000,
VALUE(REGEXEXTRACT(O6713,""[0-9]+""))
),
0
)"),0.0)</f>
        <v>0</v>
      </c>
      <c r="E6713" s="1" t="s">
        <v>11</v>
      </c>
      <c r="F6713" s="1" t="s">
        <v>20</v>
      </c>
      <c r="G6713" s="4" t="b">
        <f t="shared" si="2"/>
        <v>1</v>
      </c>
      <c r="H6713" s="1" t="str">
        <f t="shared" si="3"/>
        <v>Currently Unavailable</v>
      </c>
      <c r="I6713" s="1" t="str">
        <f t="shared" si="4"/>
        <v>No Badges</v>
      </c>
      <c r="J6713" s="3">
        <f t="shared" si="5"/>
        <v>0</v>
      </c>
    </row>
    <row r="6714">
      <c r="A6714" s="1" t="s">
        <v>5114</v>
      </c>
      <c r="B6714" s="3" t="str">
        <f t="shared" si="1"/>
        <v>Unavailable</v>
      </c>
      <c r="C6714" s="3">
        <v>26.0</v>
      </c>
      <c r="D6714" s="3">
        <f>IFERROR(__xludf.DUMMYFUNCTION("IFERROR(
IF(REGEXMATCH(LOWER(O6714),""k""),
VALUE(REGEXEXTRACT(O6714,""[0-9]+""))*1000,
VALUE(REGEXEXTRACT(O6714,""[0-9]+""))
),
0
)"),0.0)</f>
        <v>0</v>
      </c>
      <c r="E6714" s="1" t="s">
        <v>11</v>
      </c>
      <c r="F6714" s="1" t="s">
        <v>20</v>
      </c>
      <c r="G6714" s="4" t="b">
        <f t="shared" si="2"/>
        <v>1</v>
      </c>
      <c r="H6714" s="1" t="str">
        <f t="shared" si="3"/>
        <v>Currently Unavailable</v>
      </c>
      <c r="I6714" s="1" t="str">
        <f t="shared" si="4"/>
        <v>No Badges</v>
      </c>
      <c r="J6714" s="6">
        <f t="shared" si="5"/>
        <v>0</v>
      </c>
    </row>
    <row r="6715">
      <c r="A6715" s="1" t="s">
        <v>5115</v>
      </c>
      <c r="B6715" s="3" t="str">
        <f t="shared" si="1"/>
        <v>Unavailable</v>
      </c>
      <c r="C6715" s="3">
        <v>135.0</v>
      </c>
      <c r="D6715" s="3">
        <f>IFERROR(__xludf.DUMMYFUNCTION("IFERROR(
IF(REGEXMATCH(LOWER(O6715),""k""),
VALUE(REGEXEXTRACT(O6715,""[0-9]+""))*1000,
VALUE(REGEXEXTRACT(O6715,""[0-9]+""))
),
0
)"),0.0)</f>
        <v>0</v>
      </c>
      <c r="E6715" s="1" t="s">
        <v>11</v>
      </c>
      <c r="F6715" s="1" t="s">
        <v>20</v>
      </c>
      <c r="G6715" s="4" t="b">
        <f t="shared" si="2"/>
        <v>1</v>
      </c>
      <c r="H6715" s="1" t="str">
        <f t="shared" si="3"/>
        <v>Currently Unavailable</v>
      </c>
      <c r="I6715" s="1" t="str">
        <f t="shared" si="4"/>
        <v>No Badges</v>
      </c>
      <c r="J6715" s="3">
        <f t="shared" si="5"/>
        <v>0</v>
      </c>
    </row>
    <row r="6716">
      <c r="A6716" s="1" t="s">
        <v>5116</v>
      </c>
      <c r="B6716" s="3" t="str">
        <f t="shared" si="1"/>
        <v>Unavailable</v>
      </c>
      <c r="C6716" s="3">
        <v>53.0</v>
      </c>
      <c r="D6716" s="3">
        <f>IFERROR(__xludf.DUMMYFUNCTION("IFERROR(
IF(REGEXMATCH(LOWER(O6716),""k""),
VALUE(REGEXEXTRACT(O6716,""[0-9]+""))*1000,
VALUE(REGEXEXTRACT(O6716,""[0-9]+""))
),
0
)"),0.0)</f>
        <v>0</v>
      </c>
      <c r="E6716" s="1" t="s">
        <v>11</v>
      </c>
      <c r="F6716" s="1" t="s">
        <v>20</v>
      </c>
      <c r="G6716" s="4" t="b">
        <f t="shared" si="2"/>
        <v>1</v>
      </c>
      <c r="H6716" s="1" t="str">
        <f t="shared" si="3"/>
        <v>Currently Unavailable</v>
      </c>
      <c r="I6716" s="1" t="str">
        <f t="shared" si="4"/>
        <v>No Badges</v>
      </c>
      <c r="J6716" s="3">
        <f t="shared" si="5"/>
        <v>0</v>
      </c>
    </row>
    <row r="6717">
      <c r="A6717" s="1" t="s">
        <v>5117</v>
      </c>
      <c r="B6717" s="3" t="str">
        <f t="shared" si="1"/>
        <v>Unavailable</v>
      </c>
      <c r="C6717" s="3">
        <v>730.0</v>
      </c>
      <c r="D6717" s="3">
        <f>IFERROR(__xludf.DUMMYFUNCTION("IFERROR(
IF(REGEXMATCH(LOWER(O6717),""k""),
VALUE(REGEXEXTRACT(O6717,""[0-9]+""))*1000,
VALUE(REGEXEXTRACT(O6717,""[0-9]+""))
),
0
)"),0.0)</f>
        <v>0</v>
      </c>
      <c r="E6717" s="1" t="s">
        <v>11</v>
      </c>
      <c r="F6717" s="1" t="s">
        <v>20</v>
      </c>
      <c r="G6717" s="4" t="b">
        <f t="shared" si="2"/>
        <v>1</v>
      </c>
      <c r="H6717" s="1" t="str">
        <f t="shared" si="3"/>
        <v>Currently Unavailable</v>
      </c>
      <c r="I6717" s="1" t="str">
        <f t="shared" si="4"/>
        <v>No Badges</v>
      </c>
      <c r="J6717" s="3">
        <f t="shared" si="5"/>
        <v>0</v>
      </c>
    </row>
    <row r="6718">
      <c r="A6718" s="1" t="s">
        <v>5118</v>
      </c>
      <c r="B6718" s="3" t="str">
        <f t="shared" si="1"/>
        <v>Unavailable</v>
      </c>
      <c r="C6718" s="3">
        <v>566.0</v>
      </c>
      <c r="D6718" s="3">
        <f>IFERROR(__xludf.DUMMYFUNCTION("IFERROR(
IF(REGEXMATCH(LOWER(O6718),""k""),
VALUE(REGEXEXTRACT(O6718,""[0-9]+""))*1000,
VALUE(REGEXEXTRACT(O6718,""[0-9]+""))
),
0
)"),0.0)</f>
        <v>0</v>
      </c>
      <c r="E6718" s="1" t="s">
        <v>11</v>
      </c>
      <c r="F6718" s="1" t="s">
        <v>20</v>
      </c>
      <c r="G6718" s="4" t="b">
        <f t="shared" si="2"/>
        <v>1</v>
      </c>
      <c r="H6718" s="1" t="str">
        <f t="shared" si="3"/>
        <v>Currently Unavailable</v>
      </c>
      <c r="I6718" s="1" t="str">
        <f t="shared" si="4"/>
        <v>No Badges</v>
      </c>
      <c r="J6718" s="3">
        <f t="shared" si="5"/>
        <v>0</v>
      </c>
    </row>
    <row r="6719">
      <c r="A6719" s="1" t="s">
        <v>5119</v>
      </c>
      <c r="B6719" s="3" t="str">
        <f t="shared" si="1"/>
        <v>Unavailable</v>
      </c>
      <c r="C6719" s="3">
        <v>328.0</v>
      </c>
      <c r="D6719" s="3">
        <f>IFERROR(__xludf.DUMMYFUNCTION("IFERROR(
IF(REGEXMATCH(LOWER(O6719),""k""),
VALUE(REGEXEXTRACT(O6719,""[0-9]+""))*1000,
VALUE(REGEXEXTRACT(O6719,""[0-9]+""))
),
0
)"),0.0)</f>
        <v>0</v>
      </c>
      <c r="E6719" s="1" t="s">
        <v>11</v>
      </c>
      <c r="F6719" s="1" t="s">
        <v>20</v>
      </c>
      <c r="G6719" s="4" t="b">
        <f t="shared" si="2"/>
        <v>1</v>
      </c>
      <c r="H6719" s="1" t="str">
        <f t="shared" si="3"/>
        <v>Currently Unavailable</v>
      </c>
      <c r="I6719" s="1" t="str">
        <f t="shared" si="4"/>
        <v>No Badges</v>
      </c>
      <c r="J6719" s="3">
        <f t="shared" si="5"/>
        <v>0</v>
      </c>
    </row>
    <row r="6720">
      <c r="A6720" s="1" t="s">
        <v>5120</v>
      </c>
      <c r="B6720" s="3" t="str">
        <f t="shared" si="1"/>
        <v>Unavailable</v>
      </c>
      <c r="C6720" s="5">
        <v>1656.0</v>
      </c>
      <c r="D6720" s="3">
        <f>IFERROR(__xludf.DUMMYFUNCTION("IFERROR(
IF(REGEXMATCH(LOWER(O6720),""k""),
VALUE(REGEXEXTRACT(O6720,""[0-9]+""))*1000,
VALUE(REGEXEXTRACT(O6720,""[0-9]+""))
),
0
)"),0.0)</f>
        <v>0</v>
      </c>
      <c r="E6720" s="1" t="s">
        <v>11</v>
      </c>
      <c r="F6720" s="1" t="s">
        <v>20</v>
      </c>
      <c r="G6720" s="4" t="b">
        <f t="shared" si="2"/>
        <v>1</v>
      </c>
      <c r="H6720" s="1" t="str">
        <f t="shared" si="3"/>
        <v>Currently Unavailable</v>
      </c>
      <c r="I6720" s="1" t="str">
        <f t="shared" si="4"/>
        <v>No Badges</v>
      </c>
      <c r="J6720" s="3">
        <f t="shared" si="5"/>
        <v>0</v>
      </c>
    </row>
    <row r="6721">
      <c r="A6721" s="1" t="s">
        <v>5121</v>
      </c>
      <c r="B6721" s="3" t="str">
        <f t="shared" si="1"/>
        <v>Unavailable</v>
      </c>
      <c r="C6721" s="5">
        <v>5493.0</v>
      </c>
      <c r="D6721" s="3">
        <f>IFERROR(__xludf.DUMMYFUNCTION("IFERROR(
IF(REGEXMATCH(LOWER(O6721),""k""),
VALUE(REGEXEXTRACT(O6721,""[0-9]+""))*1000,
VALUE(REGEXEXTRACT(O6721,""[0-9]+""))
),
0
)"),0.0)</f>
        <v>0</v>
      </c>
      <c r="E6721" s="1" t="s">
        <v>11</v>
      </c>
      <c r="F6721" s="1" t="s">
        <v>20</v>
      </c>
      <c r="G6721" s="4" t="b">
        <f t="shared" si="2"/>
        <v>1</v>
      </c>
      <c r="H6721" s="1" t="str">
        <f t="shared" si="3"/>
        <v>Currently Unavailable</v>
      </c>
      <c r="I6721" s="1" t="str">
        <f t="shared" si="4"/>
        <v>No Badges</v>
      </c>
      <c r="J6721" s="3">
        <f t="shared" si="5"/>
        <v>0</v>
      </c>
    </row>
    <row r="6722">
      <c r="A6722" s="1" t="s">
        <v>5122</v>
      </c>
      <c r="B6722" s="3" t="str">
        <f t="shared" si="1"/>
        <v>Unavailable</v>
      </c>
      <c r="C6722" s="3">
        <v>791.0</v>
      </c>
      <c r="D6722" s="3">
        <f>IFERROR(__xludf.DUMMYFUNCTION("IFERROR(
IF(REGEXMATCH(LOWER(O6722),""k""),
VALUE(REGEXEXTRACT(O6722,""[0-9]+""))*1000,
VALUE(REGEXEXTRACT(O6722,""[0-9]+""))
),
0
)"),0.0)</f>
        <v>0</v>
      </c>
      <c r="E6722" s="1" t="s">
        <v>11</v>
      </c>
      <c r="F6722" s="1" t="s">
        <v>20</v>
      </c>
      <c r="G6722" s="4" t="b">
        <f t="shared" si="2"/>
        <v>1</v>
      </c>
      <c r="H6722" s="1" t="str">
        <f t="shared" si="3"/>
        <v>Currently Unavailable</v>
      </c>
      <c r="I6722" s="1" t="str">
        <f t="shared" si="4"/>
        <v>No Badges</v>
      </c>
      <c r="J6722" s="3">
        <f t="shared" si="5"/>
        <v>0</v>
      </c>
    </row>
    <row r="6723">
      <c r="A6723" s="1" t="s">
        <v>5123</v>
      </c>
      <c r="B6723" s="3" t="str">
        <f t="shared" si="1"/>
        <v>Unavailable</v>
      </c>
      <c r="C6723" s="5">
        <v>3832.0</v>
      </c>
      <c r="D6723" s="3">
        <f>IFERROR(__xludf.DUMMYFUNCTION("IFERROR(
IF(REGEXMATCH(LOWER(O6723),""k""),
VALUE(REGEXEXTRACT(O6723,""[0-9]+""))*1000,
VALUE(REGEXEXTRACT(O6723,""[0-9]+""))
),
0
)"),0.0)</f>
        <v>0</v>
      </c>
      <c r="E6723" s="1" t="s">
        <v>11</v>
      </c>
      <c r="F6723" s="1" t="s">
        <v>20</v>
      </c>
      <c r="G6723" s="4" t="b">
        <f t="shared" si="2"/>
        <v>1</v>
      </c>
      <c r="H6723" s="1" t="str">
        <f t="shared" si="3"/>
        <v>Currently Unavailable</v>
      </c>
      <c r="I6723" s="1" t="str">
        <f t="shared" si="4"/>
        <v>No Badges</v>
      </c>
      <c r="J6723" s="3">
        <f t="shared" si="5"/>
        <v>0</v>
      </c>
    </row>
    <row r="6724">
      <c r="A6724" s="1" t="s">
        <v>5124</v>
      </c>
      <c r="B6724" s="3" t="str">
        <f t="shared" si="1"/>
        <v>Unavailable</v>
      </c>
      <c r="C6724" s="3">
        <v>202.0</v>
      </c>
      <c r="D6724" s="3">
        <f>IFERROR(__xludf.DUMMYFUNCTION("IFERROR(
IF(REGEXMATCH(LOWER(O6724),""k""),
VALUE(REGEXEXTRACT(O6724,""[0-9]+""))*1000,
VALUE(REGEXEXTRACT(O6724,""[0-9]+""))
),
0
)"),0.0)</f>
        <v>0</v>
      </c>
      <c r="E6724" s="1" t="s">
        <v>11</v>
      </c>
      <c r="F6724" s="1" t="s">
        <v>20</v>
      </c>
      <c r="G6724" s="4" t="b">
        <f t="shared" si="2"/>
        <v>1</v>
      </c>
      <c r="H6724" s="1" t="str">
        <f t="shared" si="3"/>
        <v>Currently Unavailable</v>
      </c>
      <c r="I6724" s="1" t="str">
        <f t="shared" si="4"/>
        <v>No Badges</v>
      </c>
      <c r="J6724" s="3">
        <f t="shared" si="5"/>
        <v>0</v>
      </c>
    </row>
    <row r="6725">
      <c r="A6725" s="1" t="s">
        <v>69</v>
      </c>
      <c r="B6725" s="3" t="str">
        <f t="shared" si="1"/>
        <v>Unavailable</v>
      </c>
      <c r="C6725" s="3">
        <v>45.0</v>
      </c>
      <c r="D6725" s="3">
        <f>IFERROR(__xludf.DUMMYFUNCTION("IFERROR(
IF(REGEXMATCH(LOWER(O6725),""k""),
VALUE(REGEXEXTRACT(O6725,""[0-9]+""))*1000,
VALUE(REGEXEXTRACT(O6725,""[0-9]+""))
),
0
)"),0.0)</f>
        <v>0</v>
      </c>
      <c r="E6725" s="1" t="s">
        <v>11</v>
      </c>
      <c r="F6725" s="1" t="s">
        <v>12</v>
      </c>
      <c r="G6725" s="4" t="b">
        <f t="shared" si="2"/>
        <v>1</v>
      </c>
      <c r="H6725" s="1" t="str">
        <f t="shared" si="3"/>
        <v>Currently Unavailable</v>
      </c>
      <c r="I6725" s="1" t="str">
        <f t="shared" si="4"/>
        <v>No Badges</v>
      </c>
      <c r="J6725" s="3">
        <f t="shared" si="5"/>
        <v>0</v>
      </c>
    </row>
    <row r="6726">
      <c r="A6726" s="1" t="s">
        <v>67</v>
      </c>
      <c r="B6726" s="3" t="str">
        <f t="shared" si="1"/>
        <v>Unavailable</v>
      </c>
      <c r="C6726" s="3">
        <v>264.0</v>
      </c>
      <c r="D6726" s="3">
        <f>IFERROR(__xludf.DUMMYFUNCTION("IFERROR(
IF(REGEXMATCH(LOWER(O6726),""k""),
VALUE(REGEXEXTRACT(O6726,""[0-9]+""))*1000,
VALUE(REGEXEXTRACT(O6726,""[0-9]+""))
),
0
)"),0.0)</f>
        <v>0</v>
      </c>
      <c r="E6726" s="1" t="s">
        <v>11</v>
      </c>
      <c r="F6726" s="1" t="s">
        <v>12</v>
      </c>
      <c r="G6726" s="4" t="b">
        <f t="shared" si="2"/>
        <v>1</v>
      </c>
      <c r="H6726" s="1" t="str">
        <f t="shared" si="3"/>
        <v>Currently Unavailable</v>
      </c>
      <c r="I6726" s="1" t="str">
        <f t="shared" si="4"/>
        <v>No Badges</v>
      </c>
      <c r="J6726" s="3">
        <f t="shared" si="5"/>
        <v>0</v>
      </c>
    </row>
    <row r="6727">
      <c r="A6727" s="1" t="s">
        <v>5125</v>
      </c>
      <c r="B6727" s="3" t="str">
        <f t="shared" si="1"/>
        <v>Unavailable</v>
      </c>
      <c r="C6727" s="3">
        <v>204.0</v>
      </c>
      <c r="D6727" s="3">
        <f>IFERROR(__xludf.DUMMYFUNCTION("IFERROR(
IF(REGEXMATCH(LOWER(O6727),""k""),
VALUE(REGEXEXTRACT(O6727,""[0-9]+""))*1000,
VALUE(REGEXEXTRACT(O6727,""[0-9]+""))
),
0
)"),0.0)</f>
        <v>0</v>
      </c>
      <c r="E6727" s="1" t="s">
        <v>11</v>
      </c>
      <c r="F6727" s="1" t="s">
        <v>20</v>
      </c>
      <c r="G6727" s="4" t="b">
        <f t="shared" si="2"/>
        <v>1</v>
      </c>
      <c r="H6727" s="1" t="str">
        <f t="shared" si="3"/>
        <v>Currently Unavailable</v>
      </c>
      <c r="I6727" s="1" t="str">
        <f t="shared" si="4"/>
        <v>No Badges</v>
      </c>
      <c r="J6727" s="3">
        <f t="shared" si="5"/>
        <v>0</v>
      </c>
    </row>
    <row r="6728">
      <c r="A6728" s="1" t="s">
        <v>5126</v>
      </c>
      <c r="B6728" s="3" t="str">
        <f t="shared" si="1"/>
        <v>Unavailable</v>
      </c>
      <c r="C6728" s="5">
        <v>1552.0</v>
      </c>
      <c r="D6728" s="3">
        <f>IFERROR(__xludf.DUMMYFUNCTION("IFERROR(
IF(REGEXMATCH(LOWER(O6728),""k""),
VALUE(REGEXEXTRACT(O6728,""[0-9]+""))*1000,
VALUE(REGEXEXTRACT(O6728,""[0-9]+""))
),
0
)"),0.0)</f>
        <v>0</v>
      </c>
      <c r="E6728" s="1" t="s">
        <v>11</v>
      </c>
      <c r="F6728" s="1" t="s">
        <v>20</v>
      </c>
      <c r="G6728" s="4" t="b">
        <f t="shared" si="2"/>
        <v>1</v>
      </c>
      <c r="H6728" s="1" t="str">
        <f t="shared" si="3"/>
        <v>Currently Unavailable</v>
      </c>
      <c r="I6728" s="1" t="str">
        <f t="shared" si="4"/>
        <v>No Badges</v>
      </c>
      <c r="J6728" s="3">
        <f t="shared" si="5"/>
        <v>0</v>
      </c>
    </row>
    <row r="6729">
      <c r="A6729" s="1" t="s">
        <v>5127</v>
      </c>
      <c r="B6729" s="3" t="str">
        <f t="shared" si="1"/>
        <v>Unavailable</v>
      </c>
      <c r="C6729" s="3">
        <v>324.0</v>
      </c>
      <c r="D6729" s="3">
        <f>IFERROR(__xludf.DUMMYFUNCTION("IFERROR(
IF(REGEXMATCH(LOWER(O6729),""k""),
VALUE(REGEXEXTRACT(O6729,""[0-9]+""))*1000,
VALUE(REGEXEXTRACT(O6729,""[0-9]+""))
),
0
)"),0.0)</f>
        <v>0</v>
      </c>
      <c r="E6729" s="1" t="s">
        <v>11</v>
      </c>
      <c r="F6729" s="1" t="s">
        <v>20</v>
      </c>
      <c r="G6729" s="4" t="b">
        <f t="shared" si="2"/>
        <v>1</v>
      </c>
      <c r="H6729" s="1" t="str">
        <f t="shared" si="3"/>
        <v>Currently Unavailable</v>
      </c>
      <c r="I6729" s="1" t="str">
        <f t="shared" si="4"/>
        <v>No Badges</v>
      </c>
      <c r="J6729" s="3">
        <f t="shared" si="5"/>
        <v>0</v>
      </c>
    </row>
    <row r="6730">
      <c r="A6730" s="1" t="s">
        <v>5128</v>
      </c>
      <c r="B6730" s="3" t="str">
        <f t="shared" si="1"/>
        <v>Unavailable</v>
      </c>
      <c r="C6730" s="5">
        <v>4574.0</v>
      </c>
      <c r="D6730" s="3">
        <f>IFERROR(__xludf.DUMMYFUNCTION("IFERROR(
IF(REGEXMATCH(LOWER(O6730),""k""),
VALUE(REGEXEXTRACT(O6730,""[0-9]+""))*1000,
VALUE(REGEXEXTRACT(O6730,""[0-9]+""))
),
0
)"),0.0)</f>
        <v>0</v>
      </c>
      <c r="E6730" s="1" t="s">
        <v>11</v>
      </c>
      <c r="F6730" s="1" t="s">
        <v>20</v>
      </c>
      <c r="G6730" s="4" t="b">
        <f t="shared" si="2"/>
        <v>1</v>
      </c>
      <c r="H6730" s="1" t="str">
        <f t="shared" si="3"/>
        <v>Currently Unavailable</v>
      </c>
      <c r="I6730" s="1" t="str">
        <f t="shared" si="4"/>
        <v>No Badges</v>
      </c>
      <c r="J6730" s="3">
        <f t="shared" si="5"/>
        <v>0</v>
      </c>
    </row>
    <row r="6731">
      <c r="A6731" s="1" t="s">
        <v>5129</v>
      </c>
      <c r="B6731" s="3" t="str">
        <f t="shared" si="1"/>
        <v>Unavailable</v>
      </c>
      <c r="C6731" s="5">
        <v>7029.0</v>
      </c>
      <c r="D6731" s="3">
        <f>IFERROR(__xludf.DUMMYFUNCTION("IFERROR(
IF(REGEXMATCH(LOWER(O6731),""k""),
VALUE(REGEXEXTRACT(O6731,""[0-9]+""))*1000,
VALUE(REGEXEXTRACT(O6731,""[0-9]+""))
),
0
)"),0.0)</f>
        <v>0</v>
      </c>
      <c r="E6731" s="1" t="s">
        <v>11</v>
      </c>
      <c r="F6731" s="1" t="s">
        <v>20</v>
      </c>
      <c r="G6731" s="4" t="b">
        <f t="shared" si="2"/>
        <v>1</v>
      </c>
      <c r="H6731" s="1" t="str">
        <f t="shared" si="3"/>
        <v>Currently Unavailable</v>
      </c>
      <c r="I6731" s="1" t="str">
        <f t="shared" si="4"/>
        <v>No Badges</v>
      </c>
      <c r="J6731" s="3">
        <f t="shared" si="5"/>
        <v>0</v>
      </c>
    </row>
    <row r="6732">
      <c r="A6732" s="1" t="s">
        <v>5130</v>
      </c>
      <c r="B6732" s="3" t="str">
        <f t="shared" si="1"/>
        <v>Unavailable</v>
      </c>
      <c r="C6732" s="3">
        <v>437.0</v>
      </c>
      <c r="D6732" s="3">
        <f>IFERROR(__xludf.DUMMYFUNCTION("IFERROR(
IF(REGEXMATCH(LOWER(O6732),""k""),
VALUE(REGEXEXTRACT(O6732,""[0-9]+""))*1000,
VALUE(REGEXEXTRACT(O6732,""[0-9]+""))
),
0
)"),0.0)</f>
        <v>0</v>
      </c>
      <c r="E6732" s="1" t="s">
        <v>11</v>
      </c>
      <c r="F6732" s="1" t="s">
        <v>20</v>
      </c>
      <c r="G6732" s="4" t="b">
        <f t="shared" si="2"/>
        <v>1</v>
      </c>
      <c r="H6732" s="1" t="str">
        <f t="shared" si="3"/>
        <v>Currently Unavailable</v>
      </c>
      <c r="I6732" s="1" t="str">
        <f t="shared" si="4"/>
        <v>No Badges</v>
      </c>
      <c r="J6732" s="3">
        <f t="shared" si="5"/>
        <v>0</v>
      </c>
    </row>
    <row r="6733">
      <c r="A6733" s="1" t="s">
        <v>5131</v>
      </c>
      <c r="B6733" s="3" t="str">
        <f t="shared" si="1"/>
        <v>Unavailable</v>
      </c>
      <c r="C6733" s="3">
        <v>709.0</v>
      </c>
      <c r="D6733" s="3">
        <f>IFERROR(__xludf.DUMMYFUNCTION("IFERROR(
IF(REGEXMATCH(LOWER(O6733),""k""),
VALUE(REGEXEXTRACT(O6733,""[0-9]+""))*1000,
VALUE(REGEXEXTRACT(O6733,""[0-9]+""))
),
0
)"),0.0)</f>
        <v>0</v>
      </c>
      <c r="E6733" s="1" t="s">
        <v>11</v>
      </c>
      <c r="F6733" s="1" t="s">
        <v>20</v>
      </c>
      <c r="G6733" s="4" t="b">
        <f t="shared" si="2"/>
        <v>1</v>
      </c>
      <c r="H6733" s="1" t="str">
        <f t="shared" si="3"/>
        <v>Currently Unavailable</v>
      </c>
      <c r="I6733" s="1" t="str">
        <f t="shared" si="4"/>
        <v>No Badges</v>
      </c>
      <c r="J6733" s="3">
        <f t="shared" si="5"/>
        <v>0</v>
      </c>
    </row>
    <row r="6734">
      <c r="A6734" s="1" t="s">
        <v>5132</v>
      </c>
      <c r="B6734" s="3" t="str">
        <f t="shared" si="1"/>
        <v>Unavailable</v>
      </c>
      <c r="C6734" s="5">
        <v>3590.0</v>
      </c>
      <c r="D6734" s="3">
        <f>IFERROR(__xludf.DUMMYFUNCTION("IFERROR(
IF(REGEXMATCH(LOWER(O6734),""k""),
VALUE(REGEXEXTRACT(O6734,""[0-9]+""))*1000,
VALUE(REGEXEXTRACT(O6734,""[0-9]+""))
),
0
)"),0.0)</f>
        <v>0</v>
      </c>
      <c r="E6734" s="1" t="s">
        <v>11</v>
      </c>
      <c r="F6734" s="1" t="s">
        <v>20</v>
      </c>
      <c r="G6734" s="4" t="b">
        <f t="shared" si="2"/>
        <v>1</v>
      </c>
      <c r="H6734" s="1" t="str">
        <f t="shared" si="3"/>
        <v>Currently Unavailable</v>
      </c>
      <c r="I6734" s="1" t="str">
        <f t="shared" si="4"/>
        <v>No Badges</v>
      </c>
      <c r="J6734" s="3">
        <f t="shared" si="5"/>
        <v>0</v>
      </c>
    </row>
    <row r="6735">
      <c r="A6735" s="1" t="s">
        <v>5133</v>
      </c>
      <c r="B6735" s="3" t="str">
        <f t="shared" si="1"/>
        <v>Unavailable</v>
      </c>
      <c r="C6735" s="5">
        <v>3301.0</v>
      </c>
      <c r="D6735" s="3">
        <f>IFERROR(__xludf.DUMMYFUNCTION("IFERROR(
IF(REGEXMATCH(LOWER(O6735),""k""),
VALUE(REGEXEXTRACT(O6735,""[0-9]+""))*1000,
VALUE(REGEXEXTRACT(O6735,""[0-9]+""))
),
0
)"),0.0)</f>
        <v>0</v>
      </c>
      <c r="E6735" s="1" t="s">
        <v>11</v>
      </c>
      <c r="F6735" s="1" t="s">
        <v>20</v>
      </c>
      <c r="G6735" s="4" t="b">
        <f t="shared" si="2"/>
        <v>1</v>
      </c>
      <c r="H6735" s="1" t="str">
        <f t="shared" si="3"/>
        <v>Currently Unavailable</v>
      </c>
      <c r="I6735" s="1" t="str">
        <f t="shared" si="4"/>
        <v>No Badges</v>
      </c>
      <c r="J6735" s="3">
        <f t="shared" si="5"/>
        <v>0</v>
      </c>
    </row>
    <row r="6736">
      <c r="A6736" s="1" t="s">
        <v>5134</v>
      </c>
      <c r="B6736" s="3" t="str">
        <f t="shared" si="1"/>
        <v>Unavailable</v>
      </c>
      <c r="C6736" s="3">
        <v>540.0</v>
      </c>
      <c r="D6736" s="3">
        <f>IFERROR(__xludf.DUMMYFUNCTION("IFERROR(
IF(REGEXMATCH(LOWER(O6736),""k""),
VALUE(REGEXEXTRACT(O6736,""[0-9]+""))*1000,
VALUE(REGEXEXTRACT(O6736,""[0-9]+""))
),
0
)"),0.0)</f>
        <v>0</v>
      </c>
      <c r="E6736" s="1" t="s">
        <v>11</v>
      </c>
      <c r="F6736" s="1" t="s">
        <v>20</v>
      </c>
      <c r="G6736" s="4" t="b">
        <f t="shared" si="2"/>
        <v>1</v>
      </c>
      <c r="H6736" s="1" t="str">
        <f t="shared" si="3"/>
        <v>Currently Unavailable</v>
      </c>
      <c r="I6736" s="1" t="str">
        <f t="shared" si="4"/>
        <v>No Badges</v>
      </c>
      <c r="J6736" s="3">
        <f t="shared" si="5"/>
        <v>0</v>
      </c>
    </row>
    <row r="6737">
      <c r="A6737" s="1" t="s">
        <v>5135</v>
      </c>
      <c r="B6737" s="3" t="str">
        <f t="shared" si="1"/>
        <v>Unavailable</v>
      </c>
      <c r="C6737" s="3">
        <v>563.0</v>
      </c>
      <c r="D6737" s="3">
        <f>IFERROR(__xludf.DUMMYFUNCTION("IFERROR(
IF(REGEXMATCH(LOWER(O6737),""k""),
VALUE(REGEXEXTRACT(O6737,""[0-9]+""))*1000,
VALUE(REGEXEXTRACT(O6737,""[0-9]+""))
),
0
)"),0.0)</f>
        <v>0</v>
      </c>
      <c r="E6737" s="1" t="s">
        <v>11</v>
      </c>
      <c r="F6737" s="1" t="s">
        <v>20</v>
      </c>
      <c r="G6737" s="4" t="b">
        <f t="shared" si="2"/>
        <v>1</v>
      </c>
      <c r="H6737" s="1" t="str">
        <f t="shared" si="3"/>
        <v>Currently Unavailable</v>
      </c>
      <c r="I6737" s="1" t="str">
        <f t="shared" si="4"/>
        <v>No Badges</v>
      </c>
      <c r="J6737" s="3">
        <f t="shared" si="5"/>
        <v>0</v>
      </c>
    </row>
    <row r="6738">
      <c r="A6738" s="1" t="s">
        <v>5136</v>
      </c>
      <c r="B6738" s="3" t="str">
        <f t="shared" si="1"/>
        <v>Unavailable</v>
      </c>
      <c r="C6738" s="3">
        <v>767.0</v>
      </c>
      <c r="D6738" s="3">
        <f>IFERROR(__xludf.DUMMYFUNCTION("IFERROR(
IF(REGEXMATCH(LOWER(O6738),""k""),
VALUE(REGEXEXTRACT(O6738,""[0-9]+""))*1000,
VALUE(REGEXEXTRACT(O6738,""[0-9]+""))
),
0
)"),0.0)</f>
        <v>0</v>
      </c>
      <c r="E6738" s="1" t="s">
        <v>11</v>
      </c>
      <c r="F6738" s="1" t="s">
        <v>20</v>
      </c>
      <c r="G6738" s="4" t="b">
        <f t="shared" si="2"/>
        <v>1</v>
      </c>
      <c r="H6738" s="1" t="str">
        <f t="shared" si="3"/>
        <v>Currently Unavailable</v>
      </c>
      <c r="I6738" s="1" t="str">
        <f t="shared" si="4"/>
        <v>No Badges</v>
      </c>
      <c r="J6738" s="3">
        <f t="shared" si="5"/>
        <v>0</v>
      </c>
    </row>
    <row r="6739">
      <c r="A6739" s="1" t="s">
        <v>5137</v>
      </c>
      <c r="B6739" s="3" t="str">
        <f t="shared" si="1"/>
        <v>Unavailable</v>
      </c>
      <c r="C6739" s="3">
        <v>768.0</v>
      </c>
      <c r="D6739" s="3">
        <f>IFERROR(__xludf.DUMMYFUNCTION("IFERROR(
IF(REGEXMATCH(LOWER(O6739),""k""),
VALUE(REGEXEXTRACT(O6739,""[0-9]+""))*1000,
VALUE(REGEXEXTRACT(O6739,""[0-9]+""))
),
0
)"),0.0)</f>
        <v>0</v>
      </c>
      <c r="E6739" s="1" t="s">
        <v>11</v>
      </c>
      <c r="F6739" s="1" t="s">
        <v>20</v>
      </c>
      <c r="G6739" s="4" t="b">
        <f t="shared" si="2"/>
        <v>1</v>
      </c>
      <c r="H6739" s="1" t="str">
        <f t="shared" si="3"/>
        <v>Currently Unavailable</v>
      </c>
      <c r="I6739" s="1" t="str">
        <f t="shared" si="4"/>
        <v>No Badges</v>
      </c>
      <c r="J6739" s="3">
        <f t="shared" si="5"/>
        <v>0</v>
      </c>
    </row>
    <row r="6740">
      <c r="A6740" s="1" t="s">
        <v>5138</v>
      </c>
      <c r="B6740" s="3" t="str">
        <f t="shared" si="1"/>
        <v>Unavailable</v>
      </c>
      <c r="C6740" s="3">
        <v>368.0</v>
      </c>
      <c r="D6740" s="3">
        <f>IFERROR(__xludf.DUMMYFUNCTION("IFERROR(
IF(REGEXMATCH(LOWER(O6740),""k""),
VALUE(REGEXEXTRACT(O6740,""[0-9]+""))*1000,
VALUE(REGEXEXTRACT(O6740,""[0-9]+""))
),
0
)"),0.0)</f>
        <v>0</v>
      </c>
      <c r="E6740" s="1" t="s">
        <v>11</v>
      </c>
      <c r="F6740" s="1" t="s">
        <v>20</v>
      </c>
      <c r="G6740" s="4" t="b">
        <f t="shared" si="2"/>
        <v>1</v>
      </c>
      <c r="H6740" s="1" t="str">
        <f t="shared" si="3"/>
        <v>Currently Unavailable</v>
      </c>
      <c r="I6740" s="1" t="str">
        <f t="shared" si="4"/>
        <v>No Badges</v>
      </c>
      <c r="J6740" s="3">
        <f t="shared" si="5"/>
        <v>0</v>
      </c>
    </row>
    <row r="6741">
      <c r="A6741" s="1" t="s">
        <v>5139</v>
      </c>
      <c r="B6741" s="3" t="str">
        <f t="shared" si="1"/>
        <v>Unavailable</v>
      </c>
      <c r="C6741" s="5">
        <v>1109.0</v>
      </c>
      <c r="D6741" s="3">
        <f>IFERROR(__xludf.DUMMYFUNCTION("IFERROR(
IF(REGEXMATCH(LOWER(O6741),""k""),
VALUE(REGEXEXTRACT(O6741,""[0-9]+""))*1000,
VALUE(REGEXEXTRACT(O6741,""[0-9]+""))
),
0
)"),0.0)</f>
        <v>0</v>
      </c>
      <c r="E6741" s="1" t="s">
        <v>11</v>
      </c>
      <c r="F6741" s="1" t="s">
        <v>20</v>
      </c>
      <c r="G6741" s="4" t="b">
        <f t="shared" si="2"/>
        <v>1</v>
      </c>
      <c r="H6741" s="1" t="str">
        <f t="shared" si="3"/>
        <v>Currently Unavailable</v>
      </c>
      <c r="I6741" s="1" t="str">
        <f t="shared" si="4"/>
        <v>No Badges</v>
      </c>
      <c r="J6741" s="3">
        <f t="shared" si="5"/>
        <v>0</v>
      </c>
    </row>
    <row r="6742">
      <c r="A6742" s="1" t="s">
        <v>88</v>
      </c>
      <c r="B6742" s="3" t="str">
        <f t="shared" si="1"/>
        <v>Unavailable</v>
      </c>
      <c r="C6742" s="3">
        <v>5.0</v>
      </c>
      <c r="D6742" s="3">
        <f>IFERROR(__xludf.DUMMYFUNCTION("IFERROR(
IF(REGEXMATCH(LOWER(O6742),""k""),
VALUE(REGEXEXTRACT(O6742,""[0-9]+""))*1000,
VALUE(REGEXEXTRACT(O6742,""[0-9]+""))
),
0
)"),0.0)</f>
        <v>0</v>
      </c>
      <c r="E6742" s="1" t="s">
        <v>11</v>
      </c>
      <c r="F6742" s="1" t="s">
        <v>12</v>
      </c>
      <c r="G6742" s="4" t="b">
        <f t="shared" si="2"/>
        <v>1</v>
      </c>
      <c r="H6742" s="1" t="str">
        <f t="shared" si="3"/>
        <v>Currently Unavailable</v>
      </c>
      <c r="I6742" s="1" t="str">
        <f t="shared" si="4"/>
        <v>No Badges</v>
      </c>
      <c r="J6742" s="3">
        <f t="shared" si="5"/>
        <v>0</v>
      </c>
    </row>
    <row r="6743">
      <c r="A6743" s="1" t="s">
        <v>5140</v>
      </c>
      <c r="B6743" s="3" t="str">
        <f t="shared" si="1"/>
        <v>Unavailable</v>
      </c>
      <c r="C6743" s="5">
        <v>1194.0</v>
      </c>
      <c r="D6743" s="3">
        <f>IFERROR(__xludf.DUMMYFUNCTION("IFERROR(
IF(REGEXMATCH(LOWER(O6743),""k""),
VALUE(REGEXEXTRACT(O6743,""[0-9]+""))*1000,
VALUE(REGEXEXTRACT(O6743,""[0-9]+""))
),
0
)"),0.0)</f>
        <v>0</v>
      </c>
      <c r="E6743" s="1" t="s">
        <v>11</v>
      </c>
      <c r="F6743" s="1" t="s">
        <v>20</v>
      </c>
      <c r="G6743" s="4" t="b">
        <f t="shared" si="2"/>
        <v>1</v>
      </c>
      <c r="H6743" s="1" t="str">
        <f t="shared" si="3"/>
        <v>Currently Unavailable</v>
      </c>
      <c r="I6743" s="1" t="str">
        <f t="shared" si="4"/>
        <v>No Badges</v>
      </c>
      <c r="J6743" s="3">
        <f t="shared" si="5"/>
        <v>0</v>
      </c>
    </row>
    <row r="6744">
      <c r="A6744" s="1" t="s">
        <v>5141</v>
      </c>
      <c r="B6744" s="3" t="str">
        <f t="shared" si="1"/>
        <v>Unavailable</v>
      </c>
      <c r="C6744" s="5">
        <v>9401.0</v>
      </c>
      <c r="D6744" s="3">
        <f>IFERROR(__xludf.DUMMYFUNCTION("IFERROR(
IF(REGEXMATCH(LOWER(O6744),""k""),
VALUE(REGEXEXTRACT(O6744,""[0-9]+""))*1000,
VALUE(REGEXEXTRACT(O6744,""[0-9]+""))
),
0
)"),0.0)</f>
        <v>0</v>
      </c>
      <c r="E6744" s="1" t="s">
        <v>11</v>
      </c>
      <c r="F6744" s="1" t="s">
        <v>20</v>
      </c>
      <c r="G6744" s="4" t="b">
        <f t="shared" si="2"/>
        <v>1</v>
      </c>
      <c r="H6744" s="1" t="str">
        <f t="shared" si="3"/>
        <v>Currently Unavailable</v>
      </c>
      <c r="I6744" s="1" t="str">
        <f t="shared" si="4"/>
        <v>No Badges</v>
      </c>
      <c r="J6744" s="3">
        <f t="shared" si="5"/>
        <v>0</v>
      </c>
    </row>
    <row r="6745">
      <c r="A6745" s="1" t="s">
        <v>5142</v>
      </c>
      <c r="B6745" s="3" t="str">
        <f t="shared" si="1"/>
        <v>Unavailable</v>
      </c>
      <c r="C6745" s="3">
        <v>24.0</v>
      </c>
      <c r="D6745" s="3">
        <f>IFERROR(__xludf.DUMMYFUNCTION("IFERROR(
IF(REGEXMATCH(LOWER(O6745),""k""),
VALUE(REGEXEXTRACT(O6745,""[0-9]+""))*1000,
VALUE(REGEXEXTRACT(O6745,""[0-9]+""))
),
0
)"),0.0)</f>
        <v>0</v>
      </c>
      <c r="E6745" s="1" t="s">
        <v>11</v>
      </c>
      <c r="F6745" s="1" t="s">
        <v>20</v>
      </c>
      <c r="G6745" s="4" t="b">
        <f t="shared" si="2"/>
        <v>1</v>
      </c>
      <c r="H6745" s="1" t="str">
        <f t="shared" si="3"/>
        <v>Currently Unavailable</v>
      </c>
      <c r="I6745" s="1" t="str">
        <f t="shared" si="4"/>
        <v>No Badges</v>
      </c>
      <c r="J6745" s="3">
        <f t="shared" si="5"/>
        <v>0</v>
      </c>
    </row>
    <row r="6746">
      <c r="A6746" s="1" t="s">
        <v>5143</v>
      </c>
      <c r="B6746" s="3" t="str">
        <f t="shared" si="1"/>
        <v>Unavailable</v>
      </c>
      <c r="C6746" s="3">
        <v>406.0</v>
      </c>
      <c r="D6746" s="3">
        <f>IFERROR(__xludf.DUMMYFUNCTION("IFERROR(
IF(REGEXMATCH(LOWER(O6746),""k""),
VALUE(REGEXEXTRACT(O6746,""[0-9]+""))*1000,
VALUE(REGEXEXTRACT(O6746,""[0-9]+""))
),
0
)"),0.0)</f>
        <v>0</v>
      </c>
      <c r="E6746" s="1" t="s">
        <v>11</v>
      </c>
      <c r="F6746" s="1" t="s">
        <v>20</v>
      </c>
      <c r="G6746" s="4" t="b">
        <f t="shared" si="2"/>
        <v>1</v>
      </c>
      <c r="H6746" s="1" t="str">
        <f t="shared" si="3"/>
        <v>Currently Unavailable</v>
      </c>
      <c r="I6746" s="1" t="str">
        <f t="shared" si="4"/>
        <v>No Badges</v>
      </c>
      <c r="J6746" s="3">
        <f t="shared" si="5"/>
        <v>0</v>
      </c>
    </row>
    <row r="6747">
      <c r="A6747" s="1" t="s">
        <v>5144</v>
      </c>
      <c r="B6747" s="3" t="str">
        <f t="shared" si="1"/>
        <v>Unavailable</v>
      </c>
      <c r="C6747" s="5">
        <v>2917.0</v>
      </c>
      <c r="D6747" s="3">
        <f>IFERROR(__xludf.DUMMYFUNCTION("IFERROR(
IF(REGEXMATCH(LOWER(O6747),""k""),
VALUE(REGEXEXTRACT(O6747,""[0-9]+""))*1000,
VALUE(REGEXEXTRACT(O6747,""[0-9]+""))
),
0
)"),0.0)</f>
        <v>0</v>
      </c>
      <c r="E6747" s="1" t="s">
        <v>11</v>
      </c>
      <c r="F6747" s="1" t="s">
        <v>20</v>
      </c>
      <c r="G6747" s="4" t="b">
        <f t="shared" si="2"/>
        <v>1</v>
      </c>
      <c r="H6747" s="1" t="str">
        <f t="shared" si="3"/>
        <v>Currently Unavailable</v>
      </c>
      <c r="I6747" s="1" t="str">
        <f t="shared" si="4"/>
        <v>No Badges</v>
      </c>
      <c r="J6747" s="3">
        <f t="shared" si="5"/>
        <v>0</v>
      </c>
    </row>
    <row r="6748">
      <c r="A6748" s="1" t="s">
        <v>5145</v>
      </c>
      <c r="B6748" s="3" t="str">
        <f t="shared" si="1"/>
        <v>Unavailable</v>
      </c>
      <c r="C6748" s="3">
        <v>291.0</v>
      </c>
      <c r="D6748" s="3">
        <f>IFERROR(__xludf.DUMMYFUNCTION("IFERROR(
IF(REGEXMATCH(LOWER(O6748),""k""),
VALUE(REGEXEXTRACT(O6748,""[0-9]+""))*1000,
VALUE(REGEXEXTRACT(O6748,""[0-9]+""))
),
0
)"),0.0)</f>
        <v>0</v>
      </c>
      <c r="E6748" s="1" t="s">
        <v>11</v>
      </c>
      <c r="F6748" s="1" t="s">
        <v>20</v>
      </c>
      <c r="G6748" s="4" t="b">
        <f t="shared" si="2"/>
        <v>1</v>
      </c>
      <c r="H6748" s="1" t="str">
        <f t="shared" si="3"/>
        <v>Currently Unavailable</v>
      </c>
      <c r="I6748" s="1" t="str">
        <f t="shared" si="4"/>
        <v>No Badges</v>
      </c>
      <c r="J6748" s="3">
        <f t="shared" si="5"/>
        <v>0</v>
      </c>
    </row>
    <row r="6749">
      <c r="A6749" s="1" t="s">
        <v>5146</v>
      </c>
      <c r="B6749" s="3" t="str">
        <f t="shared" si="1"/>
        <v>Unavailable</v>
      </c>
      <c r="C6749" s="5">
        <v>1233.0</v>
      </c>
      <c r="D6749" s="3">
        <f>IFERROR(__xludf.DUMMYFUNCTION("IFERROR(
IF(REGEXMATCH(LOWER(O6749),""k""),
VALUE(REGEXEXTRACT(O6749,""[0-9]+""))*1000,
VALUE(REGEXEXTRACT(O6749,""[0-9]+""))
),
0
)"),0.0)</f>
        <v>0</v>
      </c>
      <c r="E6749" s="1" t="s">
        <v>11</v>
      </c>
      <c r="F6749" s="1" t="s">
        <v>20</v>
      </c>
      <c r="G6749" s="4" t="b">
        <f t="shared" si="2"/>
        <v>1</v>
      </c>
      <c r="H6749" s="1" t="str">
        <f t="shared" si="3"/>
        <v>Currently Unavailable</v>
      </c>
      <c r="I6749" s="1" t="str">
        <f t="shared" si="4"/>
        <v>No Badges</v>
      </c>
      <c r="J6749" s="3">
        <f t="shared" si="5"/>
        <v>0</v>
      </c>
    </row>
    <row r="6750">
      <c r="A6750" s="1" t="s">
        <v>5147</v>
      </c>
      <c r="B6750" s="3" t="str">
        <f t="shared" si="1"/>
        <v>Unavailable</v>
      </c>
      <c r="C6750" s="3">
        <v>276.0</v>
      </c>
      <c r="D6750" s="3">
        <f>IFERROR(__xludf.DUMMYFUNCTION("IFERROR(
IF(REGEXMATCH(LOWER(O6750),""k""),
VALUE(REGEXEXTRACT(O6750,""[0-9]+""))*1000,
VALUE(REGEXEXTRACT(O6750,""[0-9]+""))
),
0
)"),0.0)</f>
        <v>0</v>
      </c>
      <c r="E6750" s="1" t="s">
        <v>11</v>
      </c>
      <c r="F6750" s="1" t="s">
        <v>20</v>
      </c>
      <c r="G6750" s="4" t="b">
        <f t="shared" si="2"/>
        <v>1</v>
      </c>
      <c r="H6750" s="1" t="str">
        <f t="shared" si="3"/>
        <v>Currently Unavailable</v>
      </c>
      <c r="I6750" s="1" t="str">
        <f t="shared" si="4"/>
        <v>No Badges</v>
      </c>
      <c r="J6750" s="3">
        <f t="shared" si="5"/>
        <v>0</v>
      </c>
    </row>
    <row r="6751">
      <c r="A6751" s="1" t="s">
        <v>5148</v>
      </c>
      <c r="B6751" s="3" t="str">
        <f t="shared" si="1"/>
        <v>Unavailable</v>
      </c>
      <c r="C6751" s="3">
        <v>641.0</v>
      </c>
      <c r="D6751" s="3">
        <f>IFERROR(__xludf.DUMMYFUNCTION("IFERROR(
IF(REGEXMATCH(LOWER(O6751),""k""),
VALUE(REGEXEXTRACT(O6751,""[0-9]+""))*1000,
VALUE(REGEXEXTRACT(O6751,""[0-9]+""))
),
0
)"),0.0)</f>
        <v>0</v>
      </c>
      <c r="E6751" s="1" t="s">
        <v>11</v>
      </c>
      <c r="F6751" s="1" t="s">
        <v>20</v>
      </c>
      <c r="G6751" s="4" t="b">
        <f t="shared" si="2"/>
        <v>1</v>
      </c>
      <c r="H6751" s="1" t="str">
        <f t="shared" si="3"/>
        <v>Currently Unavailable</v>
      </c>
      <c r="I6751" s="1" t="str">
        <f t="shared" si="4"/>
        <v>No Badges</v>
      </c>
      <c r="J6751" s="3">
        <f t="shared" si="5"/>
        <v>0</v>
      </c>
    </row>
    <row r="6752">
      <c r="A6752" s="1" t="s">
        <v>5149</v>
      </c>
      <c r="B6752" s="3" t="str">
        <f t="shared" si="1"/>
        <v>Unavailable</v>
      </c>
      <c r="C6752" s="5">
        <v>3495.0</v>
      </c>
      <c r="D6752" s="3">
        <f>IFERROR(__xludf.DUMMYFUNCTION("IFERROR(
IF(REGEXMATCH(LOWER(O6752),""k""),
VALUE(REGEXEXTRACT(O6752,""[0-9]+""))*1000,
VALUE(REGEXEXTRACT(O6752,""[0-9]+""))
),
0
)"),0.0)</f>
        <v>0</v>
      </c>
      <c r="E6752" s="1" t="s">
        <v>11</v>
      </c>
      <c r="F6752" s="1" t="s">
        <v>20</v>
      </c>
      <c r="G6752" s="4" t="b">
        <f t="shared" si="2"/>
        <v>1</v>
      </c>
      <c r="H6752" s="1" t="str">
        <f t="shared" si="3"/>
        <v>Currently Unavailable</v>
      </c>
      <c r="I6752" s="1" t="str">
        <f t="shared" si="4"/>
        <v>No Badges</v>
      </c>
      <c r="J6752" s="3">
        <f t="shared" si="5"/>
        <v>0</v>
      </c>
    </row>
    <row r="6753">
      <c r="A6753" s="1" t="s">
        <v>5150</v>
      </c>
      <c r="B6753" s="3" t="str">
        <f t="shared" si="1"/>
        <v>Unavailable</v>
      </c>
      <c r="C6753" s="3">
        <v>56.0</v>
      </c>
      <c r="D6753" s="3">
        <f>IFERROR(__xludf.DUMMYFUNCTION("IFERROR(
IF(REGEXMATCH(LOWER(O6753),""k""),
VALUE(REGEXEXTRACT(O6753,""[0-9]+""))*1000,
VALUE(REGEXEXTRACT(O6753,""[0-9]+""))
),
0
)"),0.0)</f>
        <v>0</v>
      </c>
      <c r="E6753" s="1" t="s">
        <v>11</v>
      </c>
      <c r="F6753" s="1" t="s">
        <v>20</v>
      </c>
      <c r="G6753" s="4" t="b">
        <f t="shared" si="2"/>
        <v>1</v>
      </c>
      <c r="H6753" s="1" t="str">
        <f t="shared" si="3"/>
        <v>Currently Unavailable</v>
      </c>
      <c r="I6753" s="1" t="str">
        <f t="shared" si="4"/>
        <v>No Badges</v>
      </c>
      <c r="J6753" s="6">
        <f t="shared" si="5"/>
        <v>0</v>
      </c>
    </row>
    <row r="6754">
      <c r="A6754" s="1" t="s">
        <v>5151</v>
      </c>
      <c r="B6754" s="3" t="str">
        <f t="shared" si="1"/>
        <v>Unavailable</v>
      </c>
      <c r="C6754" s="5">
        <v>4880.0</v>
      </c>
      <c r="D6754" s="3">
        <f>IFERROR(__xludf.DUMMYFUNCTION("IFERROR(
IF(REGEXMATCH(LOWER(O6754),""k""),
VALUE(REGEXEXTRACT(O6754,""[0-9]+""))*1000,
VALUE(REGEXEXTRACT(O6754,""[0-9]+""))
),
0
)"),0.0)</f>
        <v>0</v>
      </c>
      <c r="E6754" s="1" t="s">
        <v>11</v>
      </c>
      <c r="F6754" s="1" t="s">
        <v>20</v>
      </c>
      <c r="G6754" s="4" t="b">
        <f t="shared" si="2"/>
        <v>1</v>
      </c>
      <c r="H6754" s="1" t="str">
        <f t="shared" si="3"/>
        <v>Currently Unavailable</v>
      </c>
      <c r="I6754" s="1" t="str">
        <f t="shared" si="4"/>
        <v>No Badges</v>
      </c>
      <c r="J6754" s="3">
        <f t="shared" si="5"/>
        <v>0</v>
      </c>
    </row>
    <row r="6755">
      <c r="A6755" s="1" t="s">
        <v>5152</v>
      </c>
      <c r="B6755" s="3" t="str">
        <f t="shared" si="1"/>
        <v>Unavailable</v>
      </c>
      <c r="C6755" s="5">
        <v>5059.0</v>
      </c>
      <c r="D6755" s="3">
        <f>IFERROR(__xludf.DUMMYFUNCTION("IFERROR(
IF(REGEXMATCH(LOWER(O6755),""k""),
VALUE(REGEXEXTRACT(O6755,""[0-9]+""))*1000,
VALUE(REGEXEXTRACT(O6755,""[0-9]+""))
),
0
)"),0.0)</f>
        <v>0</v>
      </c>
      <c r="E6755" s="1" t="s">
        <v>11</v>
      </c>
      <c r="F6755" s="1" t="s">
        <v>20</v>
      </c>
      <c r="G6755" s="4" t="b">
        <f t="shared" si="2"/>
        <v>1</v>
      </c>
      <c r="H6755" s="1" t="str">
        <f t="shared" si="3"/>
        <v>Currently Unavailable</v>
      </c>
      <c r="I6755" s="1" t="str">
        <f t="shared" si="4"/>
        <v>No Badges</v>
      </c>
      <c r="J6755" s="3">
        <f t="shared" si="5"/>
        <v>0</v>
      </c>
    </row>
    <row r="6756">
      <c r="A6756" s="1" t="s">
        <v>5153</v>
      </c>
      <c r="B6756" s="3" t="str">
        <f t="shared" si="1"/>
        <v>Unavailable</v>
      </c>
      <c r="C6756" s="5">
        <v>6551.0</v>
      </c>
      <c r="D6756" s="3">
        <f>IFERROR(__xludf.DUMMYFUNCTION("IFERROR(
IF(REGEXMATCH(LOWER(O6756),""k""),
VALUE(REGEXEXTRACT(O6756,""[0-9]+""))*1000,
VALUE(REGEXEXTRACT(O6756,""[0-9]+""))
),
0
)"),0.0)</f>
        <v>0</v>
      </c>
      <c r="E6756" s="1" t="s">
        <v>11</v>
      </c>
      <c r="F6756" s="1" t="s">
        <v>20</v>
      </c>
      <c r="G6756" s="4" t="b">
        <f t="shared" si="2"/>
        <v>1</v>
      </c>
      <c r="H6756" s="1" t="str">
        <f t="shared" si="3"/>
        <v>Currently Unavailable</v>
      </c>
      <c r="I6756" s="1" t="str">
        <f t="shared" si="4"/>
        <v>No Badges</v>
      </c>
      <c r="J6756" s="3">
        <f t="shared" si="5"/>
        <v>0</v>
      </c>
    </row>
    <row r="6757">
      <c r="A6757" s="1" t="s">
        <v>5154</v>
      </c>
      <c r="B6757" s="3" t="str">
        <f t="shared" si="1"/>
        <v>Unavailable</v>
      </c>
      <c r="C6757" s="5">
        <v>2351.0</v>
      </c>
      <c r="D6757" s="3">
        <f>IFERROR(__xludf.DUMMYFUNCTION("IFERROR(
IF(REGEXMATCH(LOWER(O6757),""k""),
VALUE(REGEXEXTRACT(O6757,""[0-9]+""))*1000,
VALUE(REGEXEXTRACT(O6757,""[0-9]+""))
),
0
)"),0.0)</f>
        <v>0</v>
      </c>
      <c r="E6757" s="1" t="s">
        <v>11</v>
      </c>
      <c r="F6757" s="1" t="s">
        <v>20</v>
      </c>
      <c r="G6757" s="4" t="b">
        <f t="shared" si="2"/>
        <v>1</v>
      </c>
      <c r="H6757" s="1" t="str">
        <f t="shared" si="3"/>
        <v>Currently Unavailable</v>
      </c>
      <c r="I6757" s="1" t="str">
        <f t="shared" si="4"/>
        <v>No Badges</v>
      </c>
      <c r="J6757" s="3">
        <f t="shared" si="5"/>
        <v>0</v>
      </c>
    </row>
    <row r="6758">
      <c r="A6758" s="1" t="s">
        <v>5155</v>
      </c>
      <c r="B6758" s="3" t="str">
        <f t="shared" si="1"/>
        <v>Unavailable</v>
      </c>
      <c r="C6758" s="3">
        <v>152.0</v>
      </c>
      <c r="D6758" s="3">
        <f>IFERROR(__xludf.DUMMYFUNCTION("IFERROR(
IF(REGEXMATCH(LOWER(O6758),""k""),
VALUE(REGEXEXTRACT(O6758,""[0-9]+""))*1000,
VALUE(REGEXEXTRACT(O6758,""[0-9]+""))
),
0
)"),0.0)</f>
        <v>0</v>
      </c>
      <c r="E6758" s="1" t="s">
        <v>11</v>
      </c>
      <c r="F6758" s="1" t="s">
        <v>20</v>
      </c>
      <c r="G6758" s="4" t="b">
        <f t="shared" si="2"/>
        <v>1</v>
      </c>
      <c r="H6758" s="1" t="str">
        <f t="shared" si="3"/>
        <v>Currently Unavailable</v>
      </c>
      <c r="I6758" s="1" t="str">
        <f t="shared" si="4"/>
        <v>No Badges</v>
      </c>
      <c r="J6758" s="3">
        <f t="shared" si="5"/>
        <v>0</v>
      </c>
    </row>
    <row r="6759">
      <c r="A6759" s="1" t="s">
        <v>5156</v>
      </c>
      <c r="B6759" s="3" t="str">
        <f t="shared" si="1"/>
        <v>Unavailable</v>
      </c>
      <c r="C6759" s="3">
        <v>779.0</v>
      </c>
      <c r="D6759" s="3">
        <f>IFERROR(__xludf.DUMMYFUNCTION("IFERROR(
IF(REGEXMATCH(LOWER(O6759),""k""),
VALUE(REGEXEXTRACT(O6759,""[0-9]+""))*1000,
VALUE(REGEXEXTRACT(O6759,""[0-9]+""))
),
0
)"),0.0)</f>
        <v>0</v>
      </c>
      <c r="E6759" s="1" t="s">
        <v>11</v>
      </c>
      <c r="F6759" s="1" t="s">
        <v>20</v>
      </c>
      <c r="G6759" s="4" t="b">
        <f t="shared" si="2"/>
        <v>1</v>
      </c>
      <c r="H6759" s="1" t="str">
        <f t="shared" si="3"/>
        <v>Currently Unavailable</v>
      </c>
      <c r="I6759" s="1" t="str">
        <f t="shared" si="4"/>
        <v>No Badges</v>
      </c>
      <c r="J6759" s="3">
        <f t="shared" si="5"/>
        <v>0</v>
      </c>
    </row>
    <row r="6760">
      <c r="A6760" s="1" t="s">
        <v>5157</v>
      </c>
      <c r="B6760" s="3" t="str">
        <f t="shared" si="1"/>
        <v>Unavailable</v>
      </c>
      <c r="C6760" s="5">
        <v>1886.0</v>
      </c>
      <c r="D6760" s="3">
        <f>IFERROR(__xludf.DUMMYFUNCTION("IFERROR(
IF(REGEXMATCH(LOWER(O6760),""k""),
VALUE(REGEXEXTRACT(O6760,""[0-9]+""))*1000,
VALUE(REGEXEXTRACT(O6760,""[0-9]+""))
),
0
)"),0.0)</f>
        <v>0</v>
      </c>
      <c r="E6760" s="1" t="s">
        <v>11</v>
      </c>
      <c r="F6760" s="1" t="s">
        <v>20</v>
      </c>
      <c r="G6760" s="4" t="b">
        <f t="shared" si="2"/>
        <v>1</v>
      </c>
      <c r="H6760" s="1" t="str">
        <f t="shared" si="3"/>
        <v>Currently Unavailable</v>
      </c>
      <c r="I6760" s="1" t="str">
        <f t="shared" si="4"/>
        <v>No Badges</v>
      </c>
      <c r="J6760" s="3">
        <f t="shared" si="5"/>
        <v>0</v>
      </c>
    </row>
    <row r="6761">
      <c r="A6761" s="1" t="s">
        <v>5158</v>
      </c>
      <c r="B6761" s="3" t="str">
        <f t="shared" si="1"/>
        <v>Unavailable</v>
      </c>
      <c r="C6761" s="3">
        <v>946.0</v>
      </c>
      <c r="D6761" s="3">
        <f>IFERROR(__xludf.DUMMYFUNCTION("IFERROR(
IF(REGEXMATCH(LOWER(O6761),""k""),
VALUE(REGEXEXTRACT(O6761,""[0-9]+""))*1000,
VALUE(REGEXEXTRACT(O6761,""[0-9]+""))
),
0
)"),0.0)</f>
        <v>0</v>
      </c>
      <c r="E6761" s="1" t="s">
        <v>11</v>
      </c>
      <c r="F6761" s="1" t="s">
        <v>20</v>
      </c>
      <c r="G6761" s="4" t="b">
        <f t="shared" si="2"/>
        <v>1</v>
      </c>
      <c r="H6761" s="1" t="str">
        <f t="shared" si="3"/>
        <v>Currently Unavailable</v>
      </c>
      <c r="I6761" s="1" t="str">
        <f t="shared" si="4"/>
        <v>No Badges</v>
      </c>
      <c r="J6761" s="3">
        <f t="shared" si="5"/>
        <v>0</v>
      </c>
    </row>
    <row r="6762">
      <c r="A6762" s="1" t="s">
        <v>5159</v>
      </c>
      <c r="B6762" s="3" t="str">
        <f t="shared" si="1"/>
        <v>Unavailable</v>
      </c>
      <c r="C6762" s="3">
        <v>176.0</v>
      </c>
      <c r="D6762" s="3">
        <f>IFERROR(__xludf.DUMMYFUNCTION("IFERROR(
IF(REGEXMATCH(LOWER(O6762),""k""),
VALUE(REGEXEXTRACT(O6762,""[0-9]+""))*1000,
VALUE(REGEXEXTRACT(O6762,""[0-9]+""))
),
0
)"),0.0)</f>
        <v>0</v>
      </c>
      <c r="E6762" s="1" t="s">
        <v>11</v>
      </c>
      <c r="F6762" s="1" t="s">
        <v>20</v>
      </c>
      <c r="G6762" s="4" t="b">
        <f t="shared" si="2"/>
        <v>1</v>
      </c>
      <c r="H6762" s="1" t="str">
        <f t="shared" si="3"/>
        <v>Currently Unavailable</v>
      </c>
      <c r="I6762" s="1" t="str">
        <f t="shared" si="4"/>
        <v>No Badges</v>
      </c>
      <c r="J6762" s="3">
        <f t="shared" si="5"/>
        <v>0</v>
      </c>
    </row>
    <row r="6763">
      <c r="A6763" s="1" t="s">
        <v>5160</v>
      </c>
      <c r="B6763" s="3" t="str">
        <f t="shared" si="1"/>
        <v>Unavailable</v>
      </c>
      <c r="C6763" s="3">
        <v>441.0</v>
      </c>
      <c r="D6763" s="3">
        <f>IFERROR(__xludf.DUMMYFUNCTION("IFERROR(
IF(REGEXMATCH(LOWER(O6763),""k""),
VALUE(REGEXEXTRACT(O6763,""[0-9]+""))*1000,
VALUE(REGEXEXTRACT(O6763,""[0-9]+""))
),
0
)"),0.0)</f>
        <v>0</v>
      </c>
      <c r="E6763" s="1" t="s">
        <v>11</v>
      </c>
      <c r="F6763" s="1" t="s">
        <v>20</v>
      </c>
      <c r="G6763" s="4" t="b">
        <f t="shared" si="2"/>
        <v>1</v>
      </c>
      <c r="H6763" s="1" t="str">
        <f t="shared" si="3"/>
        <v>Currently Unavailable</v>
      </c>
      <c r="I6763" s="1" t="str">
        <f t="shared" si="4"/>
        <v>No Badges</v>
      </c>
      <c r="J6763" s="3">
        <f t="shared" si="5"/>
        <v>0</v>
      </c>
    </row>
    <row r="6764">
      <c r="A6764" s="1" t="s">
        <v>5161</v>
      </c>
      <c r="B6764" s="3" t="str">
        <f t="shared" si="1"/>
        <v>Unavailable</v>
      </c>
      <c r="C6764" s="5">
        <v>2782.0</v>
      </c>
      <c r="D6764" s="3">
        <f>IFERROR(__xludf.DUMMYFUNCTION("IFERROR(
IF(REGEXMATCH(LOWER(O6764),""k""),
VALUE(REGEXEXTRACT(O6764,""[0-9]+""))*1000,
VALUE(REGEXEXTRACT(O6764,""[0-9]+""))
),
0
)"),0.0)</f>
        <v>0</v>
      </c>
      <c r="E6764" s="1" t="s">
        <v>11</v>
      </c>
      <c r="F6764" s="1" t="s">
        <v>20</v>
      </c>
      <c r="G6764" s="4" t="b">
        <f t="shared" si="2"/>
        <v>1</v>
      </c>
      <c r="H6764" s="1" t="str">
        <f t="shared" si="3"/>
        <v>Currently Unavailable</v>
      </c>
      <c r="I6764" s="1" t="str">
        <f t="shared" si="4"/>
        <v>No Badges</v>
      </c>
      <c r="J6764" s="3">
        <f t="shared" si="5"/>
        <v>0</v>
      </c>
    </row>
    <row r="6765">
      <c r="A6765" s="1" t="s">
        <v>5162</v>
      </c>
      <c r="B6765" s="3" t="str">
        <f t="shared" si="1"/>
        <v>Unavailable</v>
      </c>
      <c r="C6765" s="5">
        <v>4294.0</v>
      </c>
      <c r="D6765" s="3">
        <f>IFERROR(__xludf.DUMMYFUNCTION("IFERROR(
IF(REGEXMATCH(LOWER(O6765),""k""),
VALUE(REGEXEXTRACT(O6765,""[0-9]+""))*1000,
VALUE(REGEXEXTRACT(O6765,""[0-9]+""))
),
0
)"),0.0)</f>
        <v>0</v>
      </c>
      <c r="E6765" s="1" t="s">
        <v>11</v>
      </c>
      <c r="F6765" s="1" t="s">
        <v>20</v>
      </c>
      <c r="G6765" s="4" t="b">
        <f t="shared" si="2"/>
        <v>1</v>
      </c>
      <c r="H6765" s="1" t="str">
        <f t="shared" si="3"/>
        <v>Currently Unavailable</v>
      </c>
      <c r="I6765" s="1" t="str">
        <f t="shared" si="4"/>
        <v>No Badges</v>
      </c>
      <c r="J6765" s="3">
        <f t="shared" si="5"/>
        <v>0</v>
      </c>
    </row>
    <row r="6766">
      <c r="A6766" s="1" t="s">
        <v>5163</v>
      </c>
      <c r="B6766" s="3" t="str">
        <f t="shared" si="1"/>
        <v>Unavailable</v>
      </c>
      <c r="C6766" s="3">
        <v>509.0</v>
      </c>
      <c r="D6766" s="3">
        <f>IFERROR(__xludf.DUMMYFUNCTION("IFERROR(
IF(REGEXMATCH(LOWER(O6766),""k""),
VALUE(REGEXEXTRACT(O6766,""[0-9]+""))*1000,
VALUE(REGEXEXTRACT(O6766,""[0-9]+""))
),
0
)"),0.0)</f>
        <v>0</v>
      </c>
      <c r="E6766" s="1" t="s">
        <v>158</v>
      </c>
      <c r="F6766" s="1" t="s">
        <v>20</v>
      </c>
      <c r="G6766" s="4" t="b">
        <f t="shared" si="2"/>
        <v>1</v>
      </c>
      <c r="H6766" s="1" t="str">
        <f t="shared" si="3"/>
        <v>Currently Unavailable</v>
      </c>
      <c r="I6766" s="1" t="str">
        <f t="shared" si="4"/>
        <v>No Badges</v>
      </c>
      <c r="J6766" s="3">
        <f t="shared" si="5"/>
        <v>0</v>
      </c>
    </row>
    <row r="6767">
      <c r="A6767" s="1" t="s">
        <v>5164</v>
      </c>
      <c r="B6767" s="3" t="str">
        <f t="shared" si="1"/>
        <v>Unavailable</v>
      </c>
      <c r="C6767" s="3">
        <v>47.0</v>
      </c>
      <c r="D6767" s="3">
        <f>IFERROR(__xludf.DUMMYFUNCTION("IFERROR(
IF(REGEXMATCH(LOWER(O6767),""k""),
VALUE(REGEXEXTRACT(O6767,""[0-9]+""))*1000,
VALUE(REGEXEXTRACT(O6767,""[0-9]+""))
),
0
)"),0.0)</f>
        <v>0</v>
      </c>
      <c r="E6767" s="1" t="s">
        <v>11</v>
      </c>
      <c r="F6767" s="1" t="s">
        <v>20</v>
      </c>
      <c r="G6767" s="4" t="b">
        <f t="shared" si="2"/>
        <v>1</v>
      </c>
      <c r="H6767" s="1" t="str">
        <f t="shared" si="3"/>
        <v>Currently Unavailable</v>
      </c>
      <c r="I6767" s="1" t="str">
        <f t="shared" si="4"/>
        <v>No Badges</v>
      </c>
      <c r="J6767" s="3">
        <f t="shared" si="5"/>
        <v>0</v>
      </c>
    </row>
    <row r="6768">
      <c r="A6768" s="1" t="s">
        <v>5165</v>
      </c>
      <c r="B6768" s="3" t="str">
        <f t="shared" si="1"/>
        <v>Unavailable</v>
      </c>
      <c r="C6768" s="5">
        <v>7681.0</v>
      </c>
      <c r="D6768" s="3">
        <f>IFERROR(__xludf.DUMMYFUNCTION("IFERROR(
IF(REGEXMATCH(LOWER(O6768),""k""),
VALUE(REGEXEXTRACT(O6768,""[0-9]+""))*1000,
VALUE(REGEXEXTRACT(O6768,""[0-9]+""))
),
0
)"),0.0)</f>
        <v>0</v>
      </c>
      <c r="E6768" s="1" t="s">
        <v>11</v>
      </c>
      <c r="F6768" s="1" t="s">
        <v>20</v>
      </c>
      <c r="G6768" s="4" t="b">
        <f t="shared" si="2"/>
        <v>1</v>
      </c>
      <c r="H6768" s="1" t="str">
        <f t="shared" si="3"/>
        <v>Currently Unavailable</v>
      </c>
      <c r="I6768" s="1" t="str">
        <f t="shared" si="4"/>
        <v>No Badges</v>
      </c>
      <c r="J6768" s="3">
        <f t="shared" si="5"/>
        <v>0</v>
      </c>
    </row>
    <row r="6769">
      <c r="A6769" s="1" t="s">
        <v>69</v>
      </c>
      <c r="B6769" s="3" t="str">
        <f t="shared" si="1"/>
        <v>Unavailable</v>
      </c>
      <c r="C6769" s="3">
        <v>45.0</v>
      </c>
      <c r="D6769" s="3">
        <f>IFERROR(__xludf.DUMMYFUNCTION("IFERROR(
IF(REGEXMATCH(LOWER(O6769),""k""),
VALUE(REGEXEXTRACT(O6769,""[0-9]+""))*1000,
VALUE(REGEXEXTRACT(O6769,""[0-9]+""))
),
0
)"),0.0)</f>
        <v>0</v>
      </c>
      <c r="E6769" s="1" t="s">
        <v>11</v>
      </c>
      <c r="F6769" s="1" t="s">
        <v>12</v>
      </c>
      <c r="G6769" s="4" t="b">
        <f t="shared" si="2"/>
        <v>1</v>
      </c>
      <c r="H6769" s="1" t="str">
        <f t="shared" si="3"/>
        <v>Currently Unavailable</v>
      </c>
      <c r="I6769" s="1" t="str">
        <f t="shared" si="4"/>
        <v>No Badges</v>
      </c>
      <c r="J6769" s="3">
        <f t="shared" si="5"/>
        <v>0</v>
      </c>
    </row>
    <row r="6770">
      <c r="A6770" s="1" t="s">
        <v>5166</v>
      </c>
      <c r="B6770" s="3" t="str">
        <f t="shared" si="1"/>
        <v>Unavailable</v>
      </c>
      <c r="C6770" s="5">
        <v>2876.0</v>
      </c>
      <c r="D6770" s="3">
        <f>IFERROR(__xludf.DUMMYFUNCTION("IFERROR(
IF(REGEXMATCH(LOWER(O6770),""k""),
VALUE(REGEXEXTRACT(O6770,""[0-9]+""))*1000,
VALUE(REGEXEXTRACT(O6770,""[0-9]+""))
),
0
)"),0.0)</f>
        <v>0</v>
      </c>
      <c r="E6770" s="1" t="s">
        <v>11</v>
      </c>
      <c r="F6770" s="1" t="s">
        <v>20</v>
      </c>
      <c r="G6770" s="4" t="b">
        <f t="shared" si="2"/>
        <v>1</v>
      </c>
      <c r="H6770" s="1" t="str">
        <f t="shared" si="3"/>
        <v>Currently Unavailable</v>
      </c>
      <c r="I6770" s="1" t="str">
        <f t="shared" si="4"/>
        <v>No Badges</v>
      </c>
      <c r="J6770" s="3">
        <f t="shared" si="5"/>
        <v>0</v>
      </c>
    </row>
    <row r="6771">
      <c r="A6771" s="1" t="s">
        <v>5167</v>
      </c>
      <c r="B6771" s="3" t="str">
        <f t="shared" si="1"/>
        <v>Unavailable</v>
      </c>
      <c r="C6771" s="5">
        <v>3530.0</v>
      </c>
      <c r="D6771" s="3">
        <f>IFERROR(__xludf.DUMMYFUNCTION("IFERROR(
IF(REGEXMATCH(LOWER(O6771),""k""),
VALUE(REGEXEXTRACT(O6771,""[0-9]+""))*1000,
VALUE(REGEXEXTRACT(O6771,""[0-9]+""))
),
0
)"),0.0)</f>
        <v>0</v>
      </c>
      <c r="E6771" s="1" t="s">
        <v>11</v>
      </c>
      <c r="F6771" s="1" t="s">
        <v>20</v>
      </c>
      <c r="G6771" s="4" t="b">
        <f t="shared" si="2"/>
        <v>1</v>
      </c>
      <c r="H6771" s="1" t="str">
        <f t="shared" si="3"/>
        <v>Currently Unavailable</v>
      </c>
      <c r="I6771" s="1" t="str">
        <f t="shared" si="4"/>
        <v>No Badges</v>
      </c>
      <c r="J6771" s="3">
        <f t="shared" si="5"/>
        <v>0</v>
      </c>
    </row>
    <row r="6772">
      <c r="A6772" s="1" t="s">
        <v>5168</v>
      </c>
      <c r="B6772" s="3" t="str">
        <f t="shared" si="1"/>
        <v>Unavailable</v>
      </c>
      <c r="C6772" s="3">
        <v>274.0</v>
      </c>
      <c r="D6772" s="3">
        <f>IFERROR(__xludf.DUMMYFUNCTION("IFERROR(
IF(REGEXMATCH(LOWER(O6772),""k""),
VALUE(REGEXEXTRACT(O6772,""[0-9]+""))*1000,
VALUE(REGEXEXTRACT(O6772,""[0-9]+""))
),
0
)"),0.0)</f>
        <v>0</v>
      </c>
      <c r="E6772" s="1" t="s">
        <v>11</v>
      </c>
      <c r="F6772" s="1" t="s">
        <v>20</v>
      </c>
      <c r="G6772" s="4" t="b">
        <f t="shared" si="2"/>
        <v>1</v>
      </c>
      <c r="H6772" s="1" t="str">
        <f t="shared" si="3"/>
        <v>Currently Unavailable</v>
      </c>
      <c r="I6772" s="1" t="str">
        <f t="shared" si="4"/>
        <v>No Badges</v>
      </c>
      <c r="J6772" s="3">
        <f t="shared" si="5"/>
        <v>0</v>
      </c>
    </row>
    <row r="6773">
      <c r="A6773" s="1" t="s">
        <v>5169</v>
      </c>
      <c r="B6773" s="3" t="str">
        <f t="shared" si="1"/>
        <v>Unavailable</v>
      </c>
      <c r="C6773" s="3">
        <v>64.0</v>
      </c>
      <c r="D6773" s="3">
        <f>IFERROR(__xludf.DUMMYFUNCTION("IFERROR(
IF(REGEXMATCH(LOWER(O6773),""k""),
VALUE(REGEXEXTRACT(O6773,""[0-9]+""))*1000,
VALUE(REGEXEXTRACT(O6773,""[0-9]+""))
),
0
)"),0.0)</f>
        <v>0</v>
      </c>
      <c r="E6773" s="1" t="s">
        <v>11</v>
      </c>
      <c r="F6773" s="1" t="s">
        <v>20</v>
      </c>
      <c r="G6773" s="4" t="b">
        <f t="shared" si="2"/>
        <v>1</v>
      </c>
      <c r="H6773" s="1" t="str">
        <f t="shared" si="3"/>
        <v>Currently Unavailable</v>
      </c>
      <c r="I6773" s="1" t="str">
        <f t="shared" si="4"/>
        <v>No Badges</v>
      </c>
      <c r="J6773" s="3">
        <f t="shared" si="5"/>
        <v>0</v>
      </c>
    </row>
    <row r="6774">
      <c r="A6774" s="1" t="s">
        <v>5170</v>
      </c>
      <c r="B6774" s="3" t="str">
        <f t="shared" si="1"/>
        <v>Unavailable</v>
      </c>
      <c r="C6774" s="3">
        <v>25.0</v>
      </c>
      <c r="D6774" s="3">
        <f>IFERROR(__xludf.DUMMYFUNCTION("IFERROR(
IF(REGEXMATCH(LOWER(O6774),""k""),
VALUE(REGEXEXTRACT(O6774,""[0-9]+""))*1000,
VALUE(REGEXEXTRACT(O6774,""[0-9]+""))
),
0
)"),0.0)</f>
        <v>0</v>
      </c>
      <c r="E6774" s="1" t="s">
        <v>11</v>
      </c>
      <c r="F6774" s="1" t="s">
        <v>20</v>
      </c>
      <c r="G6774" s="4" t="b">
        <f t="shared" si="2"/>
        <v>1</v>
      </c>
      <c r="H6774" s="1" t="str">
        <f t="shared" si="3"/>
        <v>Currently Unavailable</v>
      </c>
      <c r="I6774" s="1" t="str">
        <f t="shared" si="4"/>
        <v>No Badges</v>
      </c>
      <c r="J6774" s="3">
        <f t="shared" si="5"/>
        <v>0</v>
      </c>
    </row>
    <row r="6775">
      <c r="A6775" s="1" t="s">
        <v>5171</v>
      </c>
      <c r="B6775" s="3" t="str">
        <f t="shared" si="1"/>
        <v>Unavailable</v>
      </c>
      <c r="C6775" s="5">
        <v>2998.0</v>
      </c>
      <c r="D6775" s="3">
        <f>IFERROR(__xludf.DUMMYFUNCTION("IFERROR(
IF(REGEXMATCH(LOWER(O6775),""k""),
VALUE(REGEXEXTRACT(O6775,""[0-9]+""))*1000,
VALUE(REGEXEXTRACT(O6775,""[0-9]+""))
),
0
)"),0.0)</f>
        <v>0</v>
      </c>
      <c r="E6775" s="1" t="s">
        <v>11</v>
      </c>
      <c r="F6775" s="1" t="s">
        <v>20</v>
      </c>
      <c r="G6775" s="4" t="b">
        <f t="shared" si="2"/>
        <v>1</v>
      </c>
      <c r="H6775" s="1" t="str">
        <f t="shared" si="3"/>
        <v>Currently Unavailable</v>
      </c>
      <c r="I6775" s="1" t="str">
        <f t="shared" si="4"/>
        <v>No Badges</v>
      </c>
      <c r="J6775" s="3">
        <f t="shared" si="5"/>
        <v>0</v>
      </c>
    </row>
    <row r="6776">
      <c r="A6776" s="1" t="s">
        <v>5172</v>
      </c>
      <c r="B6776" s="3" t="str">
        <f t="shared" si="1"/>
        <v>Unavailable</v>
      </c>
      <c r="C6776" s="5">
        <v>8282.0</v>
      </c>
      <c r="D6776" s="3">
        <f>IFERROR(__xludf.DUMMYFUNCTION("IFERROR(
IF(REGEXMATCH(LOWER(O6776),""k""),
VALUE(REGEXEXTRACT(O6776,""[0-9]+""))*1000,
VALUE(REGEXEXTRACT(O6776,""[0-9]+""))
),
0
)"),0.0)</f>
        <v>0</v>
      </c>
      <c r="E6776" s="1" t="s">
        <v>11</v>
      </c>
      <c r="F6776" s="1" t="s">
        <v>20</v>
      </c>
      <c r="G6776" s="4" t="b">
        <f t="shared" si="2"/>
        <v>1</v>
      </c>
      <c r="H6776" s="1" t="str">
        <f t="shared" si="3"/>
        <v>Currently Unavailable</v>
      </c>
      <c r="I6776" s="1" t="str">
        <f t="shared" si="4"/>
        <v>No Badges</v>
      </c>
      <c r="J6776" s="3">
        <f t="shared" si="5"/>
        <v>0</v>
      </c>
    </row>
    <row r="6777">
      <c r="A6777" s="1" t="s">
        <v>5173</v>
      </c>
      <c r="B6777" s="3" t="str">
        <f t="shared" si="1"/>
        <v>Unavailable</v>
      </c>
      <c r="C6777" s="3">
        <v>944.0</v>
      </c>
      <c r="D6777" s="3">
        <f>IFERROR(__xludf.DUMMYFUNCTION("IFERROR(
IF(REGEXMATCH(LOWER(O6777),""k""),
VALUE(REGEXEXTRACT(O6777,""[0-9]+""))*1000,
VALUE(REGEXEXTRACT(O6777,""[0-9]+""))
),
0
)"),0.0)</f>
        <v>0</v>
      </c>
      <c r="E6777" s="1" t="s">
        <v>11</v>
      </c>
      <c r="F6777" s="1" t="s">
        <v>20</v>
      </c>
      <c r="G6777" s="4" t="b">
        <f t="shared" si="2"/>
        <v>1</v>
      </c>
      <c r="H6777" s="1" t="str">
        <f t="shared" si="3"/>
        <v>Currently Unavailable</v>
      </c>
      <c r="I6777" s="1" t="str">
        <f t="shared" si="4"/>
        <v>No Badges</v>
      </c>
      <c r="J6777" s="3">
        <f t="shared" si="5"/>
        <v>0</v>
      </c>
    </row>
    <row r="6778">
      <c r="A6778" s="1" t="s">
        <v>5174</v>
      </c>
      <c r="B6778" s="3" t="str">
        <f t="shared" si="1"/>
        <v>Unavailable</v>
      </c>
      <c r="C6778" s="3">
        <v>559.0</v>
      </c>
      <c r="D6778" s="3">
        <f>IFERROR(__xludf.DUMMYFUNCTION("IFERROR(
IF(REGEXMATCH(LOWER(O6778),""k""),
VALUE(REGEXEXTRACT(O6778,""[0-9]+""))*1000,
VALUE(REGEXEXTRACT(O6778,""[0-9]+""))
),
0
)"),0.0)</f>
        <v>0</v>
      </c>
      <c r="E6778" s="1" t="s">
        <v>11</v>
      </c>
      <c r="F6778" s="1" t="s">
        <v>20</v>
      </c>
      <c r="G6778" s="4" t="b">
        <f t="shared" si="2"/>
        <v>1</v>
      </c>
      <c r="H6778" s="1" t="str">
        <f t="shared" si="3"/>
        <v>Currently Unavailable</v>
      </c>
      <c r="I6778" s="1" t="str">
        <f t="shared" si="4"/>
        <v>No Badges</v>
      </c>
      <c r="J6778" s="3">
        <f t="shared" si="5"/>
        <v>0</v>
      </c>
    </row>
    <row r="6779">
      <c r="A6779" s="1" t="s">
        <v>5175</v>
      </c>
      <c r="B6779" s="3" t="str">
        <f t="shared" si="1"/>
        <v>Unavailable</v>
      </c>
      <c r="C6779" s="5">
        <v>1808.0</v>
      </c>
      <c r="D6779" s="3">
        <f>IFERROR(__xludf.DUMMYFUNCTION("IFERROR(
IF(REGEXMATCH(LOWER(O6779),""k""),
VALUE(REGEXEXTRACT(O6779,""[0-9]+""))*1000,
VALUE(REGEXEXTRACT(O6779,""[0-9]+""))
),
0
)"),0.0)</f>
        <v>0</v>
      </c>
      <c r="E6779" s="1" t="s">
        <v>158</v>
      </c>
      <c r="F6779" s="1" t="s">
        <v>20</v>
      </c>
      <c r="G6779" s="4" t="b">
        <f t="shared" si="2"/>
        <v>1</v>
      </c>
      <c r="H6779" s="1" t="str">
        <f t="shared" si="3"/>
        <v>Currently Unavailable</v>
      </c>
      <c r="I6779" s="1" t="str">
        <f t="shared" si="4"/>
        <v>No Badges</v>
      </c>
      <c r="J6779" s="3">
        <f t="shared" si="5"/>
        <v>0</v>
      </c>
    </row>
    <row r="6780">
      <c r="A6780" s="1" t="s">
        <v>5176</v>
      </c>
      <c r="B6780" s="3" t="str">
        <f t="shared" si="1"/>
        <v>Unavailable</v>
      </c>
      <c r="C6780" s="3">
        <v>912.0</v>
      </c>
      <c r="D6780" s="3">
        <f>IFERROR(__xludf.DUMMYFUNCTION("IFERROR(
IF(REGEXMATCH(LOWER(O6780),""k""),
VALUE(REGEXEXTRACT(O6780,""[0-9]+""))*1000,
VALUE(REGEXEXTRACT(O6780,""[0-9]+""))
),
0
)"),0.0)</f>
        <v>0</v>
      </c>
      <c r="E6780" s="1" t="s">
        <v>11</v>
      </c>
      <c r="F6780" s="1" t="s">
        <v>20</v>
      </c>
      <c r="G6780" s="4" t="b">
        <f t="shared" si="2"/>
        <v>1</v>
      </c>
      <c r="H6780" s="1" t="str">
        <f t="shared" si="3"/>
        <v>Currently Unavailable</v>
      </c>
      <c r="I6780" s="1" t="str">
        <f t="shared" si="4"/>
        <v>No Badges</v>
      </c>
      <c r="J6780" s="3">
        <f t="shared" si="5"/>
        <v>0</v>
      </c>
    </row>
    <row r="6781">
      <c r="A6781" s="1" t="s">
        <v>5173</v>
      </c>
      <c r="B6781" s="3" t="str">
        <f t="shared" si="1"/>
        <v>Unavailable</v>
      </c>
      <c r="C6781" s="3">
        <v>945.0</v>
      </c>
      <c r="D6781" s="3">
        <f>IFERROR(__xludf.DUMMYFUNCTION("IFERROR(
IF(REGEXMATCH(LOWER(O6781),""k""),
VALUE(REGEXEXTRACT(O6781,""[0-9]+""))*1000,
VALUE(REGEXEXTRACT(O6781,""[0-9]+""))
),
0
)"),0.0)</f>
        <v>0</v>
      </c>
      <c r="E6781" s="1" t="s">
        <v>11</v>
      </c>
      <c r="F6781" s="1" t="s">
        <v>20</v>
      </c>
      <c r="G6781" s="4" t="b">
        <f t="shared" si="2"/>
        <v>1</v>
      </c>
      <c r="H6781" s="1" t="str">
        <f t="shared" si="3"/>
        <v>Currently Unavailable</v>
      </c>
      <c r="I6781" s="1" t="str">
        <f t="shared" si="4"/>
        <v>No Badges</v>
      </c>
      <c r="J6781" s="3">
        <f t="shared" si="5"/>
        <v>0</v>
      </c>
    </row>
    <row r="6782">
      <c r="A6782" s="1" t="s">
        <v>5177</v>
      </c>
      <c r="B6782" s="3" t="str">
        <f t="shared" si="1"/>
        <v>Unavailable</v>
      </c>
      <c r="C6782" s="5">
        <v>17787.0</v>
      </c>
      <c r="D6782" s="3">
        <f>IFERROR(__xludf.DUMMYFUNCTION("IFERROR(
IF(REGEXMATCH(LOWER(O6782),""k""),
VALUE(REGEXEXTRACT(O6782,""[0-9]+""))*1000,
VALUE(REGEXEXTRACT(O6782,""[0-9]+""))
),
0
)"),0.0)</f>
        <v>0</v>
      </c>
      <c r="E6782" s="1" t="s">
        <v>11</v>
      </c>
      <c r="F6782" s="1" t="s">
        <v>20</v>
      </c>
      <c r="G6782" s="4" t="b">
        <f t="shared" si="2"/>
        <v>1</v>
      </c>
      <c r="H6782" s="1" t="str">
        <f t="shared" si="3"/>
        <v>Currently Unavailable</v>
      </c>
      <c r="I6782" s="1" t="str">
        <f t="shared" si="4"/>
        <v>No Badges</v>
      </c>
      <c r="J6782" s="3">
        <f t="shared" si="5"/>
        <v>0</v>
      </c>
    </row>
    <row r="6783">
      <c r="A6783" s="1" t="s">
        <v>67</v>
      </c>
      <c r="B6783" s="3" t="str">
        <f t="shared" si="1"/>
        <v>Unavailable</v>
      </c>
      <c r="C6783" s="3">
        <v>264.0</v>
      </c>
      <c r="D6783" s="3">
        <f>IFERROR(__xludf.DUMMYFUNCTION("IFERROR(
IF(REGEXMATCH(LOWER(O6783),""k""),
VALUE(REGEXEXTRACT(O6783,""[0-9]+""))*1000,
VALUE(REGEXEXTRACT(O6783,""[0-9]+""))
),
0
)"),0.0)</f>
        <v>0</v>
      </c>
      <c r="E6783" s="1" t="s">
        <v>11</v>
      </c>
      <c r="F6783" s="1" t="s">
        <v>12</v>
      </c>
      <c r="G6783" s="4" t="b">
        <f t="shared" si="2"/>
        <v>1</v>
      </c>
      <c r="H6783" s="1" t="str">
        <f t="shared" si="3"/>
        <v>Currently Unavailable</v>
      </c>
      <c r="I6783" s="1" t="str">
        <f t="shared" si="4"/>
        <v>No Badges</v>
      </c>
      <c r="J6783" s="3">
        <f t="shared" si="5"/>
        <v>0</v>
      </c>
    </row>
    <row r="6784">
      <c r="A6784" s="1" t="s">
        <v>5168</v>
      </c>
      <c r="B6784" s="3" t="str">
        <f t="shared" si="1"/>
        <v>Unavailable</v>
      </c>
      <c r="C6784" s="3">
        <v>276.0</v>
      </c>
      <c r="D6784" s="3">
        <f>IFERROR(__xludf.DUMMYFUNCTION("IFERROR(
IF(REGEXMATCH(LOWER(O6784),""k""),
VALUE(REGEXEXTRACT(O6784,""[0-9]+""))*1000,
VALUE(REGEXEXTRACT(O6784,""[0-9]+""))
),
0
)"),0.0)</f>
        <v>0</v>
      </c>
      <c r="E6784" s="1" t="s">
        <v>11</v>
      </c>
      <c r="F6784" s="1" t="s">
        <v>20</v>
      </c>
      <c r="G6784" s="4" t="b">
        <f t="shared" si="2"/>
        <v>1</v>
      </c>
      <c r="H6784" s="1" t="str">
        <f t="shared" si="3"/>
        <v>Currently Unavailable</v>
      </c>
      <c r="I6784" s="1" t="str">
        <f t="shared" si="4"/>
        <v>No Badges</v>
      </c>
      <c r="J6784" s="3">
        <f t="shared" si="5"/>
        <v>0</v>
      </c>
    </row>
    <row r="6785">
      <c r="A6785" s="1" t="s">
        <v>5178</v>
      </c>
      <c r="B6785" s="3" t="str">
        <f t="shared" si="1"/>
        <v>Unavailable</v>
      </c>
      <c r="C6785" s="3">
        <v>49.0</v>
      </c>
      <c r="D6785" s="3">
        <f>IFERROR(__xludf.DUMMYFUNCTION("IFERROR(
IF(REGEXMATCH(LOWER(O6785),""k""),
VALUE(REGEXEXTRACT(O6785,""[0-9]+""))*1000,
VALUE(REGEXEXTRACT(O6785,""[0-9]+""))
),
0
)"),0.0)</f>
        <v>0</v>
      </c>
      <c r="E6785" s="1" t="s">
        <v>18</v>
      </c>
      <c r="F6785" s="1" t="s">
        <v>20</v>
      </c>
      <c r="G6785" s="4" t="b">
        <f t="shared" si="2"/>
        <v>1</v>
      </c>
      <c r="H6785" s="1" t="str">
        <f t="shared" si="3"/>
        <v>Currently Unavailable</v>
      </c>
      <c r="I6785" s="1" t="str">
        <f t="shared" si="4"/>
        <v>No Badges</v>
      </c>
      <c r="J6785" s="3">
        <f t="shared" si="5"/>
        <v>0</v>
      </c>
    </row>
    <row r="6786">
      <c r="A6786" s="1" t="s">
        <v>5172</v>
      </c>
      <c r="B6786" s="3" t="str">
        <f t="shared" si="1"/>
        <v>Unavailable</v>
      </c>
      <c r="C6786" s="5">
        <v>8282.0</v>
      </c>
      <c r="D6786" s="3">
        <f>IFERROR(__xludf.DUMMYFUNCTION("IFERROR(
IF(REGEXMATCH(LOWER(O6786),""k""),
VALUE(REGEXEXTRACT(O6786,""[0-9]+""))*1000,
VALUE(REGEXEXTRACT(O6786,""[0-9]+""))
),
0
)"),0.0)</f>
        <v>0</v>
      </c>
      <c r="E6786" s="1" t="s">
        <v>11</v>
      </c>
      <c r="F6786" s="1" t="s">
        <v>20</v>
      </c>
      <c r="G6786" s="4" t="b">
        <f t="shared" si="2"/>
        <v>1</v>
      </c>
      <c r="H6786" s="1" t="str">
        <f t="shared" si="3"/>
        <v>Currently Unavailable</v>
      </c>
      <c r="I6786" s="1" t="str">
        <f t="shared" si="4"/>
        <v>No Badges</v>
      </c>
      <c r="J6786" s="3">
        <f t="shared" si="5"/>
        <v>0</v>
      </c>
    </row>
    <row r="6787">
      <c r="A6787" s="1" t="s">
        <v>5169</v>
      </c>
      <c r="B6787" s="3" t="str">
        <f t="shared" si="1"/>
        <v>Unavailable</v>
      </c>
      <c r="C6787" s="3">
        <v>65.0</v>
      </c>
      <c r="D6787" s="3">
        <f>IFERROR(__xludf.DUMMYFUNCTION("IFERROR(
IF(REGEXMATCH(LOWER(O6787),""k""),
VALUE(REGEXEXTRACT(O6787,""[0-9]+""))*1000,
VALUE(REGEXEXTRACT(O6787,""[0-9]+""))
),
0
)"),0.0)</f>
        <v>0</v>
      </c>
      <c r="E6787" s="1" t="s">
        <v>11</v>
      </c>
      <c r="F6787" s="1" t="s">
        <v>20</v>
      </c>
      <c r="G6787" s="4" t="b">
        <f t="shared" si="2"/>
        <v>1</v>
      </c>
      <c r="H6787" s="1" t="str">
        <f t="shared" si="3"/>
        <v>Currently Unavailable</v>
      </c>
      <c r="I6787" s="1" t="str">
        <f t="shared" si="4"/>
        <v>No Badges</v>
      </c>
      <c r="J6787" s="3">
        <f t="shared" si="5"/>
        <v>0</v>
      </c>
    </row>
    <row r="6788">
      <c r="A6788" s="1" t="s">
        <v>5179</v>
      </c>
      <c r="B6788" s="3" t="str">
        <f t="shared" si="1"/>
        <v>Unavailable</v>
      </c>
      <c r="C6788" s="5">
        <v>1225.0</v>
      </c>
      <c r="D6788" s="3">
        <f>IFERROR(__xludf.DUMMYFUNCTION("IFERROR(
IF(REGEXMATCH(LOWER(O6788),""k""),
VALUE(REGEXEXTRACT(O6788,""[0-9]+""))*1000,
VALUE(REGEXEXTRACT(O6788,""[0-9]+""))
),
0
)"),0.0)</f>
        <v>0</v>
      </c>
      <c r="E6788" s="1" t="s">
        <v>11</v>
      </c>
      <c r="F6788" s="1" t="s">
        <v>20</v>
      </c>
      <c r="G6788" s="4" t="b">
        <f t="shared" si="2"/>
        <v>1</v>
      </c>
      <c r="H6788" s="1" t="str">
        <f t="shared" si="3"/>
        <v>Currently Unavailable</v>
      </c>
      <c r="I6788" s="1" t="str">
        <f t="shared" si="4"/>
        <v>No Badges</v>
      </c>
      <c r="J6788" s="3">
        <f t="shared" si="5"/>
        <v>0</v>
      </c>
    </row>
    <row r="6789">
      <c r="A6789" s="1" t="s">
        <v>5180</v>
      </c>
      <c r="B6789" s="3" t="str">
        <f t="shared" si="1"/>
        <v>Unavailable</v>
      </c>
      <c r="C6789" s="5">
        <v>4995.0</v>
      </c>
      <c r="D6789" s="3">
        <f>IFERROR(__xludf.DUMMYFUNCTION("IFERROR(
IF(REGEXMATCH(LOWER(O6789),""k""),
VALUE(REGEXEXTRACT(O6789,""[0-9]+""))*1000,
VALUE(REGEXEXTRACT(O6789,""[0-9]+""))
),
0
)"),0.0)</f>
        <v>0</v>
      </c>
      <c r="E6789" s="1" t="s">
        <v>18</v>
      </c>
      <c r="F6789" s="1" t="s">
        <v>20</v>
      </c>
      <c r="G6789" s="4" t="b">
        <f t="shared" si="2"/>
        <v>1</v>
      </c>
      <c r="H6789" s="1" t="str">
        <f t="shared" si="3"/>
        <v>Currently Unavailable</v>
      </c>
      <c r="I6789" s="1" t="str">
        <f t="shared" si="4"/>
        <v>No Badges</v>
      </c>
      <c r="J6789" s="3">
        <f t="shared" si="5"/>
        <v>0</v>
      </c>
    </row>
    <row r="6790">
      <c r="A6790" s="1" t="s">
        <v>5181</v>
      </c>
      <c r="B6790" s="3" t="str">
        <f t="shared" si="1"/>
        <v>Unavailable</v>
      </c>
      <c r="C6790" s="3">
        <v>38.0</v>
      </c>
      <c r="D6790" s="3">
        <f>IFERROR(__xludf.DUMMYFUNCTION("IFERROR(
IF(REGEXMATCH(LOWER(O6790),""k""),
VALUE(REGEXEXTRACT(O6790,""[0-9]+""))*1000,
VALUE(REGEXEXTRACT(O6790,""[0-9]+""))
),
0
)"),0.0)</f>
        <v>0</v>
      </c>
      <c r="E6790" s="1" t="s">
        <v>11</v>
      </c>
      <c r="F6790" s="1" t="s">
        <v>20</v>
      </c>
      <c r="G6790" s="4" t="b">
        <f t="shared" si="2"/>
        <v>1</v>
      </c>
      <c r="H6790" s="1" t="str">
        <f t="shared" si="3"/>
        <v>Currently Unavailable</v>
      </c>
      <c r="I6790" s="1" t="str">
        <f t="shared" si="4"/>
        <v>No Badges</v>
      </c>
      <c r="J6790" s="3">
        <f t="shared" si="5"/>
        <v>0</v>
      </c>
    </row>
    <row r="6791">
      <c r="A6791" s="1" t="s">
        <v>5182</v>
      </c>
      <c r="B6791" s="3" t="str">
        <f t="shared" si="1"/>
        <v>Unavailable</v>
      </c>
      <c r="C6791" s="5">
        <v>2465.0</v>
      </c>
      <c r="D6791" s="3">
        <f>IFERROR(__xludf.DUMMYFUNCTION("IFERROR(
IF(REGEXMATCH(LOWER(O6791),""k""),
VALUE(REGEXEXTRACT(O6791,""[0-9]+""))*1000,
VALUE(REGEXEXTRACT(O6791,""[0-9]+""))
),
0
)"),0.0)</f>
        <v>0</v>
      </c>
      <c r="E6791" s="1" t="s">
        <v>11</v>
      </c>
      <c r="F6791" s="1" t="s">
        <v>20</v>
      </c>
      <c r="G6791" s="4" t="b">
        <f t="shared" si="2"/>
        <v>1</v>
      </c>
      <c r="H6791" s="1" t="str">
        <f t="shared" si="3"/>
        <v>Currently Unavailable</v>
      </c>
      <c r="I6791" s="1" t="str">
        <f t="shared" si="4"/>
        <v>No Badges</v>
      </c>
      <c r="J6791" s="3">
        <f t="shared" si="5"/>
        <v>0</v>
      </c>
    </row>
    <row r="6792">
      <c r="A6792" s="1" t="s">
        <v>5183</v>
      </c>
      <c r="B6792" s="3" t="str">
        <f t="shared" si="1"/>
        <v>Unavailable</v>
      </c>
      <c r="C6792" s="5">
        <v>2860.0</v>
      </c>
      <c r="D6792" s="3">
        <f>IFERROR(__xludf.DUMMYFUNCTION("IFERROR(
IF(REGEXMATCH(LOWER(O6792),""k""),
VALUE(REGEXEXTRACT(O6792,""[0-9]+""))*1000,
VALUE(REGEXEXTRACT(O6792,""[0-9]+""))
),
0
)"),0.0)</f>
        <v>0</v>
      </c>
      <c r="E6792" s="1" t="s">
        <v>11</v>
      </c>
      <c r="F6792" s="1" t="s">
        <v>20</v>
      </c>
      <c r="G6792" s="4" t="b">
        <f t="shared" si="2"/>
        <v>1</v>
      </c>
      <c r="H6792" s="1" t="str">
        <f t="shared" si="3"/>
        <v>Currently Unavailable</v>
      </c>
      <c r="I6792" s="1" t="str">
        <f t="shared" si="4"/>
        <v>No Badges</v>
      </c>
      <c r="J6792" s="3">
        <f t="shared" si="5"/>
        <v>0</v>
      </c>
    </row>
    <row r="6793">
      <c r="A6793" s="1" t="s">
        <v>5184</v>
      </c>
      <c r="B6793" s="3" t="str">
        <f t="shared" si="1"/>
        <v>Unavailable</v>
      </c>
      <c r="C6793" s="3">
        <v>733.0</v>
      </c>
      <c r="D6793" s="3">
        <f>IFERROR(__xludf.DUMMYFUNCTION("IFERROR(
IF(REGEXMATCH(LOWER(O6793),""k""),
VALUE(REGEXEXTRACT(O6793,""[0-9]+""))*1000,
VALUE(REGEXEXTRACT(O6793,""[0-9]+""))
),
0
)"),0.0)</f>
        <v>0</v>
      </c>
      <c r="E6793" s="1" t="s">
        <v>11</v>
      </c>
      <c r="F6793" s="1" t="s">
        <v>20</v>
      </c>
      <c r="G6793" s="4" t="b">
        <f t="shared" si="2"/>
        <v>1</v>
      </c>
      <c r="H6793" s="1" t="str">
        <f t="shared" si="3"/>
        <v>Currently Unavailable</v>
      </c>
      <c r="I6793" s="1" t="str">
        <f t="shared" si="4"/>
        <v>No Badges</v>
      </c>
      <c r="J6793" s="3">
        <f t="shared" si="5"/>
        <v>0</v>
      </c>
    </row>
    <row r="6794">
      <c r="A6794" s="1" t="s">
        <v>5185</v>
      </c>
      <c r="B6794" s="3" t="str">
        <f t="shared" si="1"/>
        <v>Unavailable</v>
      </c>
      <c r="C6794" s="3">
        <v>348.0</v>
      </c>
      <c r="D6794" s="3">
        <f>IFERROR(__xludf.DUMMYFUNCTION("IFERROR(
IF(REGEXMATCH(LOWER(O6794),""k""),
VALUE(REGEXEXTRACT(O6794,""[0-9]+""))*1000,
VALUE(REGEXEXTRACT(O6794,""[0-9]+""))
),
0
)"),0.0)</f>
        <v>0</v>
      </c>
      <c r="E6794" s="1" t="s">
        <v>11</v>
      </c>
      <c r="F6794" s="1" t="s">
        <v>20</v>
      </c>
      <c r="G6794" s="4" t="b">
        <f t="shared" si="2"/>
        <v>1</v>
      </c>
      <c r="H6794" s="1" t="str">
        <f t="shared" si="3"/>
        <v>Currently Unavailable</v>
      </c>
      <c r="I6794" s="1" t="str">
        <f t="shared" si="4"/>
        <v>No Badges</v>
      </c>
      <c r="J6794" s="3">
        <f t="shared" si="5"/>
        <v>0</v>
      </c>
    </row>
    <row r="6795">
      <c r="A6795" s="1" t="s">
        <v>5186</v>
      </c>
      <c r="B6795" s="3" t="str">
        <f t="shared" si="1"/>
        <v>Unavailable</v>
      </c>
      <c r="C6795" s="5">
        <v>6845.0</v>
      </c>
      <c r="D6795" s="3">
        <f>IFERROR(__xludf.DUMMYFUNCTION("IFERROR(
IF(REGEXMATCH(LOWER(O6795),""k""),
VALUE(REGEXEXTRACT(O6795,""[0-9]+""))*1000,
VALUE(REGEXEXTRACT(O6795,""[0-9]+""))
),
0
)"),0.0)</f>
        <v>0</v>
      </c>
      <c r="E6795" s="1" t="s">
        <v>11</v>
      </c>
      <c r="F6795" s="1" t="s">
        <v>20</v>
      </c>
      <c r="G6795" s="4" t="b">
        <f t="shared" si="2"/>
        <v>1</v>
      </c>
      <c r="H6795" s="1" t="str">
        <f t="shared" si="3"/>
        <v>Currently Unavailable</v>
      </c>
      <c r="I6795" s="1" t="str">
        <f t="shared" si="4"/>
        <v>No Badges</v>
      </c>
      <c r="J6795" s="3">
        <f t="shared" si="5"/>
        <v>0</v>
      </c>
    </row>
    <row r="6796">
      <c r="A6796" s="1" t="s">
        <v>5187</v>
      </c>
      <c r="B6796" s="3" t="str">
        <f t="shared" si="1"/>
        <v>Unavailable</v>
      </c>
      <c r="C6796" s="5">
        <v>1774.0</v>
      </c>
      <c r="D6796" s="3">
        <f>IFERROR(__xludf.DUMMYFUNCTION("IFERROR(
IF(REGEXMATCH(LOWER(O6796),""k""),
VALUE(REGEXEXTRACT(O6796,""[0-9]+""))*1000,
VALUE(REGEXEXTRACT(O6796,""[0-9]+""))
),
0
)"),0.0)</f>
        <v>0</v>
      </c>
      <c r="E6796" s="1" t="s">
        <v>11</v>
      </c>
      <c r="F6796" s="1" t="s">
        <v>20</v>
      </c>
      <c r="G6796" s="4" t="b">
        <f t="shared" si="2"/>
        <v>1</v>
      </c>
      <c r="H6796" s="1" t="str">
        <f t="shared" si="3"/>
        <v>Currently Unavailable</v>
      </c>
      <c r="I6796" s="1" t="str">
        <f t="shared" si="4"/>
        <v>No Badges</v>
      </c>
      <c r="J6796" s="3">
        <f t="shared" si="5"/>
        <v>0</v>
      </c>
    </row>
    <row r="6797">
      <c r="A6797" s="1" t="s">
        <v>701</v>
      </c>
      <c r="B6797" s="3" t="str">
        <f t="shared" si="1"/>
        <v>Unavailable</v>
      </c>
      <c r="C6797" s="3">
        <v>8.0</v>
      </c>
      <c r="D6797" s="3">
        <f>IFERROR(__xludf.DUMMYFUNCTION("IFERROR(
IF(REGEXMATCH(LOWER(O6797),""k""),
VALUE(REGEXEXTRACT(O6797,""[0-9]+""))*1000,
VALUE(REGEXEXTRACT(O6797,""[0-9]+""))
),
0
)"),0.0)</f>
        <v>0</v>
      </c>
      <c r="E6797" s="1" t="s">
        <v>11</v>
      </c>
      <c r="F6797" s="1" t="s">
        <v>12</v>
      </c>
      <c r="G6797" s="4" t="b">
        <f t="shared" si="2"/>
        <v>1</v>
      </c>
      <c r="H6797" s="1" t="str">
        <f t="shared" si="3"/>
        <v>Currently Unavailable</v>
      </c>
      <c r="I6797" s="1" t="str">
        <f t="shared" si="4"/>
        <v>No Badges</v>
      </c>
      <c r="J6797" s="3">
        <f t="shared" si="5"/>
        <v>0</v>
      </c>
    </row>
    <row r="6798">
      <c r="A6798" s="1" t="s">
        <v>5188</v>
      </c>
      <c r="B6798" s="3" t="str">
        <f t="shared" si="1"/>
        <v>Unavailable</v>
      </c>
      <c r="C6798" s="3">
        <v>145.0</v>
      </c>
      <c r="D6798" s="3">
        <f>IFERROR(__xludf.DUMMYFUNCTION("IFERROR(
IF(REGEXMATCH(LOWER(O6798),""k""),
VALUE(REGEXEXTRACT(O6798,""[0-9]+""))*1000,
VALUE(REGEXEXTRACT(O6798,""[0-9]+""))
),
0
)"),0.0)</f>
        <v>0</v>
      </c>
      <c r="E6798" s="1" t="s">
        <v>11</v>
      </c>
      <c r="F6798" s="1" t="s">
        <v>20</v>
      </c>
      <c r="G6798" s="4" t="b">
        <f t="shared" si="2"/>
        <v>1</v>
      </c>
      <c r="H6798" s="1" t="str">
        <f t="shared" si="3"/>
        <v>Currently Unavailable</v>
      </c>
      <c r="I6798" s="1" t="str">
        <f t="shared" si="4"/>
        <v>No Badges</v>
      </c>
      <c r="J6798" s="3">
        <f t="shared" si="5"/>
        <v>0</v>
      </c>
    </row>
    <row r="6799">
      <c r="A6799" s="1" t="s">
        <v>5189</v>
      </c>
      <c r="B6799" s="3" t="str">
        <f t="shared" si="1"/>
        <v>Unavailable</v>
      </c>
      <c r="C6799" s="5">
        <v>1790.0</v>
      </c>
      <c r="D6799" s="3">
        <f>IFERROR(__xludf.DUMMYFUNCTION("IFERROR(
IF(REGEXMATCH(LOWER(O6799),""k""),
VALUE(REGEXEXTRACT(O6799,""[0-9]+""))*1000,
VALUE(REGEXEXTRACT(O6799,""[0-9]+""))
),
0
)"),0.0)</f>
        <v>0</v>
      </c>
      <c r="E6799" s="1" t="s">
        <v>11</v>
      </c>
      <c r="F6799" s="1" t="s">
        <v>20</v>
      </c>
      <c r="G6799" s="4" t="b">
        <f t="shared" si="2"/>
        <v>1</v>
      </c>
      <c r="H6799" s="1" t="str">
        <f t="shared" si="3"/>
        <v>Currently Unavailable</v>
      </c>
      <c r="I6799" s="1" t="str">
        <f t="shared" si="4"/>
        <v>No Badges</v>
      </c>
      <c r="J6799" s="3">
        <f t="shared" si="5"/>
        <v>0</v>
      </c>
    </row>
    <row r="6800">
      <c r="A6800" s="1" t="s">
        <v>5190</v>
      </c>
      <c r="B6800" s="3" t="str">
        <f t="shared" si="1"/>
        <v>Unavailable</v>
      </c>
      <c r="C6800" s="3">
        <v>116.0</v>
      </c>
      <c r="D6800" s="3">
        <f>IFERROR(__xludf.DUMMYFUNCTION("IFERROR(
IF(REGEXMATCH(LOWER(O6800),""k""),
VALUE(REGEXEXTRACT(O6800,""[0-9]+""))*1000,
VALUE(REGEXEXTRACT(O6800,""[0-9]+""))
),
0
)"),0.0)</f>
        <v>0</v>
      </c>
      <c r="E6800" s="1" t="s">
        <v>11</v>
      </c>
      <c r="F6800" s="1" t="s">
        <v>20</v>
      </c>
      <c r="G6800" s="4" t="b">
        <f t="shared" si="2"/>
        <v>1</v>
      </c>
      <c r="H6800" s="1" t="str">
        <f t="shared" si="3"/>
        <v>Currently Unavailable</v>
      </c>
      <c r="I6800" s="1" t="str">
        <f t="shared" si="4"/>
        <v>No Badges</v>
      </c>
      <c r="J6800" s="3">
        <f t="shared" si="5"/>
        <v>0</v>
      </c>
    </row>
    <row r="6801">
      <c r="A6801" s="1" t="s">
        <v>5191</v>
      </c>
      <c r="B6801" s="3" t="str">
        <f t="shared" si="1"/>
        <v>Unavailable</v>
      </c>
      <c r="C6801" s="5">
        <v>4458.0</v>
      </c>
      <c r="D6801" s="3">
        <f>IFERROR(__xludf.DUMMYFUNCTION("IFERROR(
IF(REGEXMATCH(LOWER(O6801),""k""),
VALUE(REGEXEXTRACT(O6801,""[0-9]+""))*1000,
VALUE(REGEXEXTRACT(O6801,""[0-9]+""))
),
0
)"),0.0)</f>
        <v>0</v>
      </c>
      <c r="E6801" s="1" t="s">
        <v>11</v>
      </c>
      <c r="F6801" s="1" t="s">
        <v>20</v>
      </c>
      <c r="G6801" s="4" t="b">
        <f t="shared" si="2"/>
        <v>1</v>
      </c>
      <c r="H6801" s="1" t="str">
        <f t="shared" si="3"/>
        <v>Currently Unavailable</v>
      </c>
      <c r="I6801" s="1" t="str">
        <f t="shared" si="4"/>
        <v>No Badges</v>
      </c>
      <c r="J6801" s="3">
        <f t="shared" si="5"/>
        <v>0</v>
      </c>
    </row>
    <row r="6802">
      <c r="A6802" s="1" t="s">
        <v>5192</v>
      </c>
      <c r="B6802" s="3" t="str">
        <f t="shared" si="1"/>
        <v>Unavailable</v>
      </c>
      <c r="C6802" s="3">
        <v>143.0</v>
      </c>
      <c r="D6802" s="3">
        <f>IFERROR(__xludf.DUMMYFUNCTION("IFERROR(
IF(REGEXMATCH(LOWER(O6802),""k""),
VALUE(REGEXEXTRACT(O6802,""[0-9]+""))*1000,
VALUE(REGEXEXTRACT(O6802,""[0-9]+""))
),
0
)"),0.0)</f>
        <v>0</v>
      </c>
      <c r="E6802" s="1" t="s">
        <v>11</v>
      </c>
      <c r="F6802" s="1" t="s">
        <v>20</v>
      </c>
      <c r="G6802" s="4" t="b">
        <f t="shared" si="2"/>
        <v>1</v>
      </c>
      <c r="H6802" s="1" t="str">
        <f t="shared" si="3"/>
        <v>Currently Unavailable</v>
      </c>
      <c r="I6802" s="1" t="str">
        <f t="shared" si="4"/>
        <v>No Badges</v>
      </c>
      <c r="J6802" s="3">
        <f t="shared" si="5"/>
        <v>0</v>
      </c>
    </row>
    <row r="6803">
      <c r="A6803" s="1" t="s">
        <v>5193</v>
      </c>
      <c r="B6803" s="3" t="str">
        <f t="shared" si="1"/>
        <v>Unavailable</v>
      </c>
      <c r="C6803" s="3">
        <v>197.0</v>
      </c>
      <c r="D6803" s="3">
        <f>IFERROR(__xludf.DUMMYFUNCTION("IFERROR(
IF(REGEXMATCH(LOWER(O6803),""k""),
VALUE(REGEXEXTRACT(O6803,""[0-9]+""))*1000,
VALUE(REGEXEXTRACT(O6803,""[0-9]+""))
),
0
)"),0.0)</f>
        <v>0</v>
      </c>
      <c r="E6803" s="1" t="s">
        <v>11</v>
      </c>
      <c r="F6803" s="1" t="s">
        <v>20</v>
      </c>
      <c r="G6803" s="4" t="b">
        <f t="shared" si="2"/>
        <v>1</v>
      </c>
      <c r="H6803" s="1" t="str">
        <f t="shared" si="3"/>
        <v>Currently Unavailable</v>
      </c>
      <c r="I6803" s="1" t="str">
        <f t="shared" si="4"/>
        <v>No Badges</v>
      </c>
      <c r="J6803" s="3">
        <f t="shared" si="5"/>
        <v>0</v>
      </c>
    </row>
    <row r="6804">
      <c r="A6804" s="1" t="s">
        <v>5194</v>
      </c>
      <c r="B6804" s="3" t="str">
        <f t="shared" si="1"/>
        <v>Unavailable</v>
      </c>
      <c r="C6804" s="5">
        <v>645416.0</v>
      </c>
      <c r="D6804" s="3">
        <f>IFERROR(__xludf.DUMMYFUNCTION("IFERROR(
IF(REGEXMATCH(LOWER(O6804),""k""),
VALUE(REGEXEXTRACT(O6804,""[0-9]+""))*1000,
VALUE(REGEXEXTRACT(O6804,""[0-9]+""))
),
0
)"),0.0)</f>
        <v>0</v>
      </c>
      <c r="E6804" s="1" t="s">
        <v>11</v>
      </c>
      <c r="F6804" s="1" t="s">
        <v>20</v>
      </c>
      <c r="G6804" s="4" t="b">
        <f t="shared" si="2"/>
        <v>1</v>
      </c>
      <c r="H6804" s="1" t="str">
        <f t="shared" si="3"/>
        <v>Currently Unavailable</v>
      </c>
      <c r="I6804" s="1" t="str">
        <f t="shared" si="4"/>
        <v>No Badges</v>
      </c>
      <c r="J6804" s="3">
        <f t="shared" si="5"/>
        <v>0</v>
      </c>
    </row>
    <row r="6805">
      <c r="A6805" s="1" t="s">
        <v>5195</v>
      </c>
      <c r="B6805" s="3" t="str">
        <f t="shared" si="1"/>
        <v>Unavailable</v>
      </c>
      <c r="C6805" s="3">
        <v>897.0</v>
      </c>
      <c r="D6805" s="3">
        <f>IFERROR(__xludf.DUMMYFUNCTION("IFERROR(
IF(REGEXMATCH(LOWER(O6805),""k""),
VALUE(REGEXEXTRACT(O6805,""[0-9]+""))*1000,
VALUE(REGEXEXTRACT(O6805,""[0-9]+""))
),
0
)"),0.0)</f>
        <v>0</v>
      </c>
      <c r="E6805" s="1" t="s">
        <v>11</v>
      </c>
      <c r="F6805" s="1" t="s">
        <v>20</v>
      </c>
      <c r="G6805" s="4" t="b">
        <f t="shared" si="2"/>
        <v>1</v>
      </c>
      <c r="H6805" s="1" t="str">
        <f t="shared" si="3"/>
        <v>Currently Unavailable</v>
      </c>
      <c r="I6805" s="1" t="str">
        <f t="shared" si="4"/>
        <v>No Badges</v>
      </c>
      <c r="J6805" s="3">
        <f t="shared" si="5"/>
        <v>0</v>
      </c>
    </row>
    <row r="6806">
      <c r="A6806" s="1" t="s">
        <v>5196</v>
      </c>
      <c r="B6806" s="3" t="str">
        <f t="shared" si="1"/>
        <v>Unavailable</v>
      </c>
      <c r="C6806" s="5">
        <v>1671.0</v>
      </c>
      <c r="D6806" s="3">
        <f>IFERROR(__xludf.DUMMYFUNCTION("IFERROR(
IF(REGEXMATCH(LOWER(O6806),""k""),
VALUE(REGEXEXTRACT(O6806,""[0-9]+""))*1000,
VALUE(REGEXEXTRACT(O6806,""[0-9]+""))
),
0
)"),0.0)</f>
        <v>0</v>
      </c>
      <c r="E6806" s="1" t="s">
        <v>11</v>
      </c>
      <c r="F6806" s="1" t="s">
        <v>20</v>
      </c>
      <c r="G6806" s="4" t="b">
        <f t="shared" si="2"/>
        <v>1</v>
      </c>
      <c r="H6806" s="1" t="str">
        <f t="shared" si="3"/>
        <v>Currently Unavailable</v>
      </c>
      <c r="I6806" s="1" t="str">
        <f t="shared" si="4"/>
        <v>No Badges</v>
      </c>
      <c r="J6806" s="3">
        <f t="shared" si="5"/>
        <v>0</v>
      </c>
    </row>
    <row r="6807">
      <c r="A6807" s="1" t="s">
        <v>5197</v>
      </c>
      <c r="B6807" s="3" t="str">
        <f t="shared" si="1"/>
        <v>Unavailable</v>
      </c>
      <c r="C6807" s="5">
        <v>1566.0</v>
      </c>
      <c r="D6807" s="3">
        <f>IFERROR(__xludf.DUMMYFUNCTION("IFERROR(
IF(REGEXMATCH(LOWER(O6807),""k""),
VALUE(REGEXEXTRACT(O6807,""[0-9]+""))*1000,
VALUE(REGEXEXTRACT(O6807,""[0-9]+""))
),
0
)"),0.0)</f>
        <v>0</v>
      </c>
      <c r="E6807" s="1" t="s">
        <v>11</v>
      </c>
      <c r="F6807" s="1" t="s">
        <v>20</v>
      </c>
      <c r="G6807" s="4" t="b">
        <f t="shared" si="2"/>
        <v>1</v>
      </c>
      <c r="H6807" s="1" t="str">
        <f t="shared" si="3"/>
        <v>Currently Unavailable</v>
      </c>
      <c r="I6807" s="1" t="str">
        <f t="shared" si="4"/>
        <v>No Badges</v>
      </c>
      <c r="J6807" s="3">
        <f t="shared" si="5"/>
        <v>0</v>
      </c>
    </row>
    <row r="6808">
      <c r="A6808" s="1" t="s">
        <v>5198</v>
      </c>
      <c r="B6808" s="3" t="str">
        <f t="shared" si="1"/>
        <v>Unavailable</v>
      </c>
      <c r="C6808" s="5">
        <v>1587.0</v>
      </c>
      <c r="D6808" s="3">
        <f>IFERROR(__xludf.DUMMYFUNCTION("IFERROR(
IF(REGEXMATCH(LOWER(O6808),""k""),
VALUE(REGEXEXTRACT(O6808,""[0-9]+""))*1000,
VALUE(REGEXEXTRACT(O6808,""[0-9]+""))
),
0
)"),0.0)</f>
        <v>0</v>
      </c>
      <c r="E6808" s="1" t="s">
        <v>11</v>
      </c>
      <c r="F6808" s="1" t="s">
        <v>20</v>
      </c>
      <c r="G6808" s="4" t="b">
        <f t="shared" si="2"/>
        <v>1</v>
      </c>
      <c r="H6808" s="1" t="str">
        <f t="shared" si="3"/>
        <v>Currently Unavailable</v>
      </c>
      <c r="I6808" s="1" t="str">
        <f t="shared" si="4"/>
        <v>No Badges</v>
      </c>
      <c r="J6808" s="3">
        <f t="shared" si="5"/>
        <v>0</v>
      </c>
    </row>
    <row r="6809">
      <c r="A6809" s="1" t="s">
        <v>5199</v>
      </c>
      <c r="B6809" s="3" t="str">
        <f t="shared" si="1"/>
        <v>Unavailable</v>
      </c>
      <c r="C6809" s="5">
        <v>3955.0</v>
      </c>
      <c r="D6809" s="3">
        <f>IFERROR(__xludf.DUMMYFUNCTION("IFERROR(
IF(REGEXMATCH(LOWER(O6809),""k""),
VALUE(REGEXEXTRACT(O6809,""[0-9]+""))*1000,
VALUE(REGEXEXTRACT(O6809,""[0-9]+""))
),
0
)"),0.0)</f>
        <v>0</v>
      </c>
      <c r="E6809" s="1" t="s">
        <v>11</v>
      </c>
      <c r="F6809" s="1" t="s">
        <v>20</v>
      </c>
      <c r="G6809" s="4" t="b">
        <f t="shared" si="2"/>
        <v>1</v>
      </c>
      <c r="H6809" s="1" t="str">
        <f t="shared" si="3"/>
        <v>Currently Unavailable</v>
      </c>
      <c r="I6809" s="1" t="str">
        <f t="shared" si="4"/>
        <v>No Badges</v>
      </c>
      <c r="J6809" s="3">
        <f t="shared" si="5"/>
        <v>0</v>
      </c>
    </row>
    <row r="6810">
      <c r="A6810" s="1" t="s">
        <v>5200</v>
      </c>
      <c r="B6810" s="3" t="str">
        <f t="shared" si="1"/>
        <v>Unavailable</v>
      </c>
      <c r="C6810" s="5">
        <v>7097.0</v>
      </c>
      <c r="D6810" s="3">
        <f>IFERROR(__xludf.DUMMYFUNCTION("IFERROR(
IF(REGEXMATCH(LOWER(O6810),""k""),
VALUE(REGEXEXTRACT(O6810,""[0-9]+""))*1000,
VALUE(REGEXEXTRACT(O6810,""[0-9]+""))
),
0
)"),0.0)</f>
        <v>0</v>
      </c>
      <c r="E6810" s="1" t="s">
        <v>11</v>
      </c>
      <c r="F6810" s="1" t="s">
        <v>20</v>
      </c>
      <c r="G6810" s="4" t="b">
        <f t="shared" si="2"/>
        <v>1</v>
      </c>
      <c r="H6810" s="1" t="str">
        <f t="shared" si="3"/>
        <v>Currently Unavailable</v>
      </c>
      <c r="I6810" s="1" t="str">
        <f t="shared" si="4"/>
        <v>No Badges</v>
      </c>
      <c r="J6810" s="3">
        <f t="shared" si="5"/>
        <v>0</v>
      </c>
    </row>
    <row r="6811">
      <c r="A6811" s="1" t="s">
        <v>5201</v>
      </c>
      <c r="B6811" s="3" t="str">
        <f t="shared" si="1"/>
        <v>Unavailable</v>
      </c>
      <c r="C6811" s="5">
        <v>11603.0</v>
      </c>
      <c r="D6811" s="3">
        <f>IFERROR(__xludf.DUMMYFUNCTION("IFERROR(
IF(REGEXMATCH(LOWER(O6811),""k""),
VALUE(REGEXEXTRACT(O6811,""[0-9]+""))*1000,
VALUE(REGEXEXTRACT(O6811,""[0-9]+""))
),
0
)"),0.0)</f>
        <v>0</v>
      </c>
      <c r="E6811" s="1" t="s">
        <v>11</v>
      </c>
      <c r="F6811" s="1" t="s">
        <v>20</v>
      </c>
      <c r="G6811" s="4" t="b">
        <f t="shared" si="2"/>
        <v>1</v>
      </c>
      <c r="H6811" s="1" t="str">
        <f t="shared" si="3"/>
        <v>Currently Unavailable</v>
      </c>
      <c r="I6811" s="1" t="str">
        <f t="shared" si="4"/>
        <v>No Badges</v>
      </c>
      <c r="J6811" s="3">
        <f t="shared" si="5"/>
        <v>0</v>
      </c>
    </row>
    <row r="6812">
      <c r="A6812" s="1" t="s">
        <v>5202</v>
      </c>
      <c r="B6812" s="3" t="str">
        <f t="shared" si="1"/>
        <v>Unavailable</v>
      </c>
      <c r="C6812" s="5">
        <v>2171.0</v>
      </c>
      <c r="D6812" s="3">
        <f>IFERROR(__xludf.DUMMYFUNCTION("IFERROR(
IF(REGEXMATCH(LOWER(O6812),""k""),
VALUE(REGEXEXTRACT(O6812,""[0-9]+""))*1000,
VALUE(REGEXEXTRACT(O6812,""[0-9]+""))
),
0
)"),0.0)</f>
        <v>0</v>
      </c>
      <c r="E6812" s="1" t="s">
        <v>11</v>
      </c>
      <c r="F6812" s="1" t="s">
        <v>20</v>
      </c>
      <c r="G6812" s="4" t="b">
        <f t="shared" si="2"/>
        <v>1</v>
      </c>
      <c r="H6812" s="1" t="str">
        <f t="shared" si="3"/>
        <v>Currently Unavailable</v>
      </c>
      <c r="I6812" s="1" t="str">
        <f t="shared" si="4"/>
        <v>No Badges</v>
      </c>
      <c r="J6812" s="3">
        <f t="shared" si="5"/>
        <v>0</v>
      </c>
    </row>
    <row r="6813">
      <c r="A6813" s="1" t="s">
        <v>5203</v>
      </c>
      <c r="B6813" s="3" t="str">
        <f t="shared" si="1"/>
        <v>Unavailable</v>
      </c>
      <c r="C6813" s="3">
        <v>845.0</v>
      </c>
      <c r="D6813" s="3">
        <f>IFERROR(__xludf.DUMMYFUNCTION("IFERROR(
IF(REGEXMATCH(LOWER(O6813),""k""),
VALUE(REGEXEXTRACT(O6813,""[0-9]+""))*1000,
VALUE(REGEXEXTRACT(O6813,""[0-9]+""))
),
0
)"),0.0)</f>
        <v>0</v>
      </c>
      <c r="E6813" s="1" t="s">
        <v>11</v>
      </c>
      <c r="F6813" s="1" t="s">
        <v>20</v>
      </c>
      <c r="G6813" s="4" t="b">
        <f t="shared" si="2"/>
        <v>1</v>
      </c>
      <c r="H6813" s="1" t="str">
        <f t="shared" si="3"/>
        <v>Currently Unavailable</v>
      </c>
      <c r="I6813" s="1" t="str">
        <f t="shared" si="4"/>
        <v>No Badges</v>
      </c>
      <c r="J6813" s="3">
        <f t="shared" si="5"/>
        <v>0</v>
      </c>
    </row>
    <row r="6814">
      <c r="A6814" s="1" t="s">
        <v>5204</v>
      </c>
      <c r="B6814" s="3" t="str">
        <f t="shared" si="1"/>
        <v>Unavailable</v>
      </c>
      <c r="C6814" s="5">
        <v>1833.0</v>
      </c>
      <c r="D6814" s="3">
        <f>IFERROR(__xludf.DUMMYFUNCTION("IFERROR(
IF(REGEXMATCH(LOWER(O6814),""k""),
VALUE(REGEXEXTRACT(O6814,""[0-9]+""))*1000,
VALUE(REGEXEXTRACT(O6814,""[0-9]+""))
),
0
)"),0.0)</f>
        <v>0</v>
      </c>
      <c r="E6814" s="1" t="s">
        <v>11</v>
      </c>
      <c r="F6814" s="1" t="s">
        <v>20</v>
      </c>
      <c r="G6814" s="4" t="b">
        <f t="shared" si="2"/>
        <v>1</v>
      </c>
      <c r="H6814" s="1" t="str">
        <f t="shared" si="3"/>
        <v>Currently Unavailable</v>
      </c>
      <c r="I6814" s="1" t="str">
        <f t="shared" si="4"/>
        <v>No Badges</v>
      </c>
      <c r="J6814" s="3">
        <f t="shared" si="5"/>
        <v>0</v>
      </c>
    </row>
    <row r="6815">
      <c r="A6815" s="1" t="s">
        <v>5205</v>
      </c>
      <c r="B6815" s="3" t="str">
        <f t="shared" si="1"/>
        <v>Unavailable</v>
      </c>
      <c r="C6815" s="5">
        <v>5144.0</v>
      </c>
      <c r="D6815" s="3">
        <f>IFERROR(__xludf.DUMMYFUNCTION("IFERROR(
IF(REGEXMATCH(LOWER(O6815),""k""),
VALUE(REGEXEXTRACT(O6815,""[0-9]+""))*1000,
VALUE(REGEXEXTRACT(O6815,""[0-9]+""))
),
0
)"),0.0)</f>
        <v>0</v>
      </c>
      <c r="E6815" s="1" t="s">
        <v>11</v>
      </c>
      <c r="F6815" s="1" t="s">
        <v>20</v>
      </c>
      <c r="G6815" s="4" t="b">
        <f t="shared" si="2"/>
        <v>1</v>
      </c>
      <c r="H6815" s="1" t="str">
        <f t="shared" si="3"/>
        <v>Currently Unavailable</v>
      </c>
      <c r="I6815" s="1" t="str">
        <f t="shared" si="4"/>
        <v>No Badges</v>
      </c>
      <c r="J6815" s="3">
        <f t="shared" si="5"/>
        <v>0</v>
      </c>
    </row>
    <row r="6816">
      <c r="A6816" s="1" t="s">
        <v>5136</v>
      </c>
      <c r="B6816" s="3" t="str">
        <f t="shared" si="1"/>
        <v>Unavailable</v>
      </c>
      <c r="C6816" s="3">
        <v>770.0</v>
      </c>
      <c r="D6816" s="3">
        <f>IFERROR(__xludf.DUMMYFUNCTION("IFERROR(
IF(REGEXMATCH(LOWER(O6816),""k""),
VALUE(REGEXEXTRACT(O6816,""[0-9]+""))*1000,
VALUE(REGEXEXTRACT(O6816,""[0-9]+""))
),
0
)"),0.0)</f>
        <v>0</v>
      </c>
      <c r="E6816" s="1" t="s">
        <v>11</v>
      </c>
      <c r="F6816" s="1" t="s">
        <v>20</v>
      </c>
      <c r="G6816" s="4" t="b">
        <f t="shared" si="2"/>
        <v>1</v>
      </c>
      <c r="H6816" s="1" t="str">
        <f t="shared" si="3"/>
        <v>Currently Unavailable</v>
      </c>
      <c r="I6816" s="1" t="str">
        <f t="shared" si="4"/>
        <v>No Badges</v>
      </c>
      <c r="J6816" s="3">
        <f t="shared" si="5"/>
        <v>0</v>
      </c>
    </row>
    <row r="6817">
      <c r="A6817" s="1" t="s">
        <v>5206</v>
      </c>
      <c r="B6817" s="3" t="str">
        <f t="shared" si="1"/>
        <v>Unavailable</v>
      </c>
      <c r="C6817" s="5">
        <v>1006.0</v>
      </c>
      <c r="D6817" s="3">
        <f>IFERROR(__xludf.DUMMYFUNCTION("IFERROR(
IF(REGEXMATCH(LOWER(O6817),""k""),
VALUE(REGEXEXTRACT(O6817,""[0-9]+""))*1000,
VALUE(REGEXEXTRACT(O6817,""[0-9]+""))
),
0
)"),0.0)</f>
        <v>0</v>
      </c>
      <c r="E6817" s="1" t="s">
        <v>11</v>
      </c>
      <c r="F6817" s="1" t="s">
        <v>20</v>
      </c>
      <c r="G6817" s="4" t="b">
        <f t="shared" si="2"/>
        <v>1</v>
      </c>
      <c r="H6817" s="1" t="str">
        <f t="shared" si="3"/>
        <v>Currently Unavailable</v>
      </c>
      <c r="I6817" s="1" t="str">
        <f t="shared" si="4"/>
        <v>No Badges</v>
      </c>
      <c r="J6817" s="3">
        <f t="shared" si="5"/>
        <v>0</v>
      </c>
    </row>
    <row r="6818">
      <c r="A6818" s="1" t="s">
        <v>5207</v>
      </c>
      <c r="B6818" s="3" t="str">
        <f t="shared" si="1"/>
        <v>Unavailable</v>
      </c>
      <c r="C6818" s="5">
        <v>4412.0</v>
      </c>
      <c r="D6818" s="3">
        <f>IFERROR(__xludf.DUMMYFUNCTION("IFERROR(
IF(REGEXMATCH(LOWER(O6818),""k""),
VALUE(REGEXEXTRACT(O6818,""[0-9]+""))*1000,
VALUE(REGEXEXTRACT(O6818,""[0-9]+""))
),
0
)"),0.0)</f>
        <v>0</v>
      </c>
      <c r="E6818" s="1" t="s">
        <v>11</v>
      </c>
      <c r="F6818" s="1" t="s">
        <v>20</v>
      </c>
      <c r="G6818" s="4" t="b">
        <f t="shared" si="2"/>
        <v>1</v>
      </c>
      <c r="H6818" s="1" t="str">
        <f t="shared" si="3"/>
        <v>Currently Unavailable</v>
      </c>
      <c r="I6818" s="1" t="str">
        <f t="shared" si="4"/>
        <v>No Badges</v>
      </c>
      <c r="J6818" s="3">
        <f t="shared" si="5"/>
        <v>0</v>
      </c>
    </row>
    <row r="6819">
      <c r="A6819" s="1" t="s">
        <v>5208</v>
      </c>
      <c r="B6819" s="3" t="str">
        <f t="shared" si="1"/>
        <v>Unavailable</v>
      </c>
      <c r="C6819" s="5">
        <v>4791.0</v>
      </c>
      <c r="D6819" s="3">
        <f>IFERROR(__xludf.DUMMYFUNCTION("IFERROR(
IF(REGEXMATCH(LOWER(O6819),""k""),
VALUE(REGEXEXTRACT(O6819,""[0-9]+""))*1000,
VALUE(REGEXEXTRACT(O6819,""[0-9]+""))
),
0
)"),0.0)</f>
        <v>0</v>
      </c>
      <c r="E6819" s="1" t="s">
        <v>11</v>
      </c>
      <c r="F6819" s="1" t="s">
        <v>20</v>
      </c>
      <c r="G6819" s="4" t="b">
        <f t="shared" si="2"/>
        <v>1</v>
      </c>
      <c r="H6819" s="1" t="str">
        <f t="shared" si="3"/>
        <v>Currently Unavailable</v>
      </c>
      <c r="I6819" s="1" t="str">
        <f t="shared" si="4"/>
        <v>No Badges</v>
      </c>
      <c r="J6819" s="3">
        <f t="shared" si="5"/>
        <v>0</v>
      </c>
    </row>
    <row r="6820">
      <c r="A6820" s="1" t="s">
        <v>5209</v>
      </c>
      <c r="B6820" s="3" t="str">
        <f t="shared" si="1"/>
        <v>Unavailable</v>
      </c>
      <c r="C6820" s="5">
        <v>2561.0</v>
      </c>
      <c r="D6820" s="3">
        <f>IFERROR(__xludf.DUMMYFUNCTION("IFERROR(
IF(REGEXMATCH(LOWER(O6820),""k""),
VALUE(REGEXEXTRACT(O6820,""[0-9]+""))*1000,
VALUE(REGEXEXTRACT(O6820,""[0-9]+""))
),
0
)"),0.0)</f>
        <v>0</v>
      </c>
      <c r="E6820" s="1" t="s">
        <v>11</v>
      </c>
      <c r="F6820" s="1" t="s">
        <v>20</v>
      </c>
      <c r="G6820" s="4" t="b">
        <f t="shared" si="2"/>
        <v>1</v>
      </c>
      <c r="H6820" s="1" t="str">
        <f t="shared" si="3"/>
        <v>Currently Unavailable</v>
      </c>
      <c r="I6820" s="1" t="str">
        <f t="shared" si="4"/>
        <v>No Badges</v>
      </c>
      <c r="J6820" s="3">
        <f t="shared" si="5"/>
        <v>0</v>
      </c>
    </row>
    <row r="6821">
      <c r="A6821" s="1" t="s">
        <v>5210</v>
      </c>
      <c r="B6821" s="3" t="str">
        <f t="shared" si="1"/>
        <v>Unavailable</v>
      </c>
      <c r="C6821" s="5">
        <v>3795.0</v>
      </c>
      <c r="D6821" s="3">
        <f>IFERROR(__xludf.DUMMYFUNCTION("IFERROR(
IF(REGEXMATCH(LOWER(O6821),""k""),
VALUE(REGEXEXTRACT(O6821,""[0-9]+""))*1000,
VALUE(REGEXEXTRACT(O6821,""[0-9]+""))
),
0
)"),0.0)</f>
        <v>0</v>
      </c>
      <c r="E6821" s="1" t="s">
        <v>11</v>
      </c>
      <c r="F6821" s="1" t="s">
        <v>20</v>
      </c>
      <c r="G6821" s="4" t="b">
        <f t="shared" si="2"/>
        <v>1</v>
      </c>
      <c r="H6821" s="1" t="str">
        <f t="shared" si="3"/>
        <v>Currently Unavailable</v>
      </c>
      <c r="I6821" s="1" t="str">
        <f t="shared" si="4"/>
        <v>No Badges</v>
      </c>
      <c r="J6821" s="3">
        <f t="shared" si="5"/>
        <v>0</v>
      </c>
    </row>
    <row r="6822">
      <c r="A6822" s="1" t="s">
        <v>5175</v>
      </c>
      <c r="B6822" s="3" t="str">
        <f t="shared" si="1"/>
        <v>Unavailable</v>
      </c>
      <c r="C6822" s="5">
        <v>1808.0</v>
      </c>
      <c r="D6822" s="3">
        <f>IFERROR(__xludf.DUMMYFUNCTION("IFERROR(
IF(REGEXMATCH(LOWER(O6822),""k""),
VALUE(REGEXEXTRACT(O6822,""[0-9]+""))*1000,
VALUE(REGEXEXTRACT(O6822,""[0-9]+""))
),
0
)"),0.0)</f>
        <v>0</v>
      </c>
      <c r="E6822" s="1" t="s">
        <v>158</v>
      </c>
      <c r="F6822" s="1" t="s">
        <v>20</v>
      </c>
      <c r="G6822" s="4" t="b">
        <f t="shared" si="2"/>
        <v>1</v>
      </c>
      <c r="H6822" s="1" t="str">
        <f t="shared" si="3"/>
        <v>Currently Unavailable</v>
      </c>
      <c r="I6822" s="1" t="str">
        <f t="shared" si="4"/>
        <v>No Badges</v>
      </c>
      <c r="J6822" s="3">
        <f t="shared" si="5"/>
        <v>0</v>
      </c>
    </row>
    <row r="6823">
      <c r="A6823" s="1" t="s">
        <v>5211</v>
      </c>
      <c r="B6823" s="3" t="str">
        <f t="shared" si="1"/>
        <v>Unavailable</v>
      </c>
      <c r="C6823" s="3">
        <v>774.0</v>
      </c>
      <c r="D6823" s="3">
        <f>IFERROR(__xludf.DUMMYFUNCTION("IFERROR(
IF(REGEXMATCH(LOWER(O6823),""k""),
VALUE(REGEXEXTRACT(O6823,""[0-9]+""))*1000,
VALUE(REGEXEXTRACT(O6823,""[0-9]+""))
),
0
)"),0.0)</f>
        <v>0</v>
      </c>
      <c r="E6823" s="1" t="s">
        <v>11</v>
      </c>
      <c r="F6823" s="1" t="s">
        <v>20</v>
      </c>
      <c r="G6823" s="4" t="b">
        <f t="shared" si="2"/>
        <v>1</v>
      </c>
      <c r="H6823" s="1" t="str">
        <f t="shared" si="3"/>
        <v>Currently Unavailable</v>
      </c>
      <c r="I6823" s="1" t="str">
        <f t="shared" si="4"/>
        <v>No Badges</v>
      </c>
      <c r="J6823" s="3">
        <f t="shared" si="5"/>
        <v>0</v>
      </c>
    </row>
    <row r="6824">
      <c r="A6824" s="1" t="s">
        <v>5212</v>
      </c>
      <c r="B6824" s="3" t="str">
        <f t="shared" si="1"/>
        <v>Unavailable</v>
      </c>
      <c r="C6824" s="5">
        <v>4614.0</v>
      </c>
      <c r="D6824" s="3">
        <f>IFERROR(__xludf.DUMMYFUNCTION("IFERROR(
IF(REGEXMATCH(LOWER(O6824),""k""),
VALUE(REGEXEXTRACT(O6824,""[0-9]+""))*1000,
VALUE(REGEXEXTRACT(O6824,""[0-9]+""))
),
0
)"),0.0)</f>
        <v>0</v>
      </c>
      <c r="E6824" s="1" t="s">
        <v>11</v>
      </c>
      <c r="F6824" s="1" t="s">
        <v>20</v>
      </c>
      <c r="G6824" s="4" t="b">
        <f t="shared" si="2"/>
        <v>1</v>
      </c>
      <c r="H6824" s="1" t="str">
        <f t="shared" si="3"/>
        <v>Currently Unavailable</v>
      </c>
      <c r="I6824" s="1" t="str">
        <f t="shared" si="4"/>
        <v>No Badges</v>
      </c>
      <c r="J6824" s="3">
        <f t="shared" si="5"/>
        <v>0</v>
      </c>
    </row>
    <row r="6825">
      <c r="A6825" s="1" t="s">
        <v>5213</v>
      </c>
      <c r="B6825" s="3" t="str">
        <f t="shared" si="1"/>
        <v>Unavailable</v>
      </c>
      <c r="C6825" s="5">
        <v>1199.0</v>
      </c>
      <c r="D6825" s="3">
        <f>IFERROR(__xludf.DUMMYFUNCTION("IFERROR(
IF(REGEXMATCH(LOWER(O6825),""k""),
VALUE(REGEXEXTRACT(O6825,""[0-9]+""))*1000,
VALUE(REGEXEXTRACT(O6825,""[0-9]+""))
),
0
)"),0.0)</f>
        <v>0</v>
      </c>
      <c r="E6825" s="1" t="s">
        <v>11</v>
      </c>
      <c r="F6825" s="1" t="s">
        <v>20</v>
      </c>
      <c r="G6825" s="4" t="b">
        <f t="shared" si="2"/>
        <v>1</v>
      </c>
      <c r="H6825" s="1" t="str">
        <f t="shared" si="3"/>
        <v>Currently Unavailable</v>
      </c>
      <c r="I6825" s="1" t="str">
        <f t="shared" si="4"/>
        <v>No Badges</v>
      </c>
      <c r="J6825" s="3">
        <f t="shared" si="5"/>
        <v>0</v>
      </c>
    </row>
    <row r="6826">
      <c r="A6826" s="1" t="s">
        <v>69</v>
      </c>
      <c r="B6826" s="3" t="str">
        <f t="shared" si="1"/>
        <v>Unavailable</v>
      </c>
      <c r="C6826" s="3">
        <v>45.0</v>
      </c>
      <c r="D6826" s="3">
        <f>IFERROR(__xludf.DUMMYFUNCTION("IFERROR(
IF(REGEXMATCH(LOWER(O6826),""k""),
VALUE(REGEXEXTRACT(O6826,""[0-9]+""))*1000,
VALUE(REGEXEXTRACT(O6826,""[0-9]+""))
),
0
)"),0.0)</f>
        <v>0</v>
      </c>
      <c r="E6826" s="1" t="s">
        <v>11</v>
      </c>
      <c r="F6826" s="1" t="s">
        <v>12</v>
      </c>
      <c r="G6826" s="4" t="b">
        <f t="shared" si="2"/>
        <v>1</v>
      </c>
      <c r="H6826" s="1" t="str">
        <f t="shared" si="3"/>
        <v>Currently Unavailable</v>
      </c>
      <c r="I6826" s="1" t="str">
        <f t="shared" si="4"/>
        <v>No Badges</v>
      </c>
      <c r="J6826" s="3">
        <f t="shared" si="5"/>
        <v>0</v>
      </c>
    </row>
    <row r="6827">
      <c r="A6827" s="1" t="s">
        <v>5214</v>
      </c>
      <c r="B6827" s="3" t="str">
        <f t="shared" si="1"/>
        <v>Unavailable</v>
      </c>
      <c r="C6827" s="3">
        <v>514.0</v>
      </c>
      <c r="D6827" s="3">
        <f>IFERROR(__xludf.DUMMYFUNCTION("IFERROR(
IF(REGEXMATCH(LOWER(O6827),""k""),
VALUE(REGEXEXTRACT(O6827,""[0-9]+""))*1000,
VALUE(REGEXEXTRACT(O6827,""[0-9]+""))
),
0
)"),0.0)</f>
        <v>0</v>
      </c>
      <c r="E6827" s="1" t="s">
        <v>11</v>
      </c>
      <c r="F6827" s="1" t="s">
        <v>20</v>
      </c>
      <c r="G6827" s="4" t="b">
        <f t="shared" si="2"/>
        <v>1</v>
      </c>
      <c r="H6827" s="1" t="str">
        <f t="shared" si="3"/>
        <v>Currently Unavailable</v>
      </c>
      <c r="I6827" s="1" t="str">
        <f t="shared" si="4"/>
        <v>No Badges</v>
      </c>
      <c r="J6827" s="3">
        <f t="shared" si="5"/>
        <v>0</v>
      </c>
    </row>
    <row r="6828">
      <c r="A6828" s="1" t="s">
        <v>5180</v>
      </c>
      <c r="B6828" s="3" t="str">
        <f t="shared" si="1"/>
        <v>Unavailable</v>
      </c>
      <c r="C6828" s="5">
        <v>4995.0</v>
      </c>
      <c r="D6828" s="3">
        <f>IFERROR(__xludf.DUMMYFUNCTION("IFERROR(
IF(REGEXMATCH(LOWER(O6828),""k""),
VALUE(REGEXEXTRACT(O6828,""[0-9]+""))*1000,
VALUE(REGEXEXTRACT(O6828,""[0-9]+""))
),
0
)"),0.0)</f>
        <v>0</v>
      </c>
      <c r="E6828" s="1" t="s">
        <v>11</v>
      </c>
      <c r="F6828" s="1" t="s">
        <v>20</v>
      </c>
      <c r="G6828" s="4" t="b">
        <f t="shared" si="2"/>
        <v>1</v>
      </c>
      <c r="H6828" s="1" t="str">
        <f t="shared" si="3"/>
        <v>Currently Unavailable</v>
      </c>
      <c r="I6828" s="1" t="str">
        <f t="shared" si="4"/>
        <v>No Badges</v>
      </c>
      <c r="J6828" s="3">
        <f t="shared" si="5"/>
        <v>0</v>
      </c>
    </row>
    <row r="6829">
      <c r="A6829" s="1" t="s">
        <v>5215</v>
      </c>
      <c r="B6829" s="3" t="str">
        <f t="shared" si="1"/>
        <v>Unavailable</v>
      </c>
      <c r="C6829" s="5">
        <v>2120.0</v>
      </c>
      <c r="D6829" s="3">
        <f>IFERROR(__xludf.DUMMYFUNCTION("IFERROR(
IF(REGEXMATCH(LOWER(O6829),""k""),
VALUE(REGEXEXTRACT(O6829,""[0-9]+""))*1000,
VALUE(REGEXEXTRACT(O6829,""[0-9]+""))
),
0
)"),0.0)</f>
        <v>0</v>
      </c>
      <c r="E6829" s="1" t="s">
        <v>11</v>
      </c>
      <c r="F6829" s="1" t="s">
        <v>20</v>
      </c>
      <c r="G6829" s="4" t="b">
        <f t="shared" si="2"/>
        <v>1</v>
      </c>
      <c r="H6829" s="1" t="str">
        <f t="shared" si="3"/>
        <v>Currently Unavailable</v>
      </c>
      <c r="I6829" s="1" t="str">
        <f t="shared" si="4"/>
        <v>No Badges</v>
      </c>
      <c r="J6829" s="3">
        <f t="shared" si="5"/>
        <v>0</v>
      </c>
    </row>
    <row r="6830">
      <c r="A6830" s="1" t="s">
        <v>5182</v>
      </c>
      <c r="B6830" s="3" t="str">
        <f t="shared" si="1"/>
        <v>Unavailable</v>
      </c>
      <c r="C6830" s="5">
        <v>2465.0</v>
      </c>
      <c r="D6830" s="3">
        <f>IFERROR(__xludf.DUMMYFUNCTION("IFERROR(
IF(REGEXMATCH(LOWER(O6830),""k""),
VALUE(REGEXEXTRACT(O6830,""[0-9]+""))*1000,
VALUE(REGEXEXTRACT(O6830,""[0-9]+""))
),
0
)"),0.0)</f>
        <v>0</v>
      </c>
      <c r="E6830" s="1" t="s">
        <v>11</v>
      </c>
      <c r="F6830" s="1" t="s">
        <v>20</v>
      </c>
      <c r="G6830" s="4" t="b">
        <f t="shared" si="2"/>
        <v>1</v>
      </c>
      <c r="H6830" s="1" t="str">
        <f t="shared" si="3"/>
        <v>Currently Unavailable</v>
      </c>
      <c r="I6830" s="1" t="str">
        <f t="shared" si="4"/>
        <v>No Badges</v>
      </c>
      <c r="J6830" s="3">
        <f t="shared" si="5"/>
        <v>0</v>
      </c>
    </row>
    <row r="6831">
      <c r="A6831" s="1" t="s">
        <v>5216</v>
      </c>
      <c r="B6831" s="3" t="str">
        <f t="shared" si="1"/>
        <v>Unavailable</v>
      </c>
      <c r="C6831" s="5">
        <v>4796.0</v>
      </c>
      <c r="D6831" s="3">
        <f>IFERROR(__xludf.DUMMYFUNCTION("IFERROR(
IF(REGEXMATCH(LOWER(O6831),""k""),
VALUE(REGEXEXTRACT(O6831,""[0-9]+""))*1000,
VALUE(REGEXEXTRACT(O6831,""[0-9]+""))
),
0
)"),0.0)</f>
        <v>0</v>
      </c>
      <c r="E6831" s="1" t="s">
        <v>11</v>
      </c>
      <c r="F6831" s="1" t="s">
        <v>20</v>
      </c>
      <c r="G6831" s="4" t="b">
        <f t="shared" si="2"/>
        <v>1</v>
      </c>
      <c r="H6831" s="1" t="str">
        <f t="shared" si="3"/>
        <v>Currently Unavailable</v>
      </c>
      <c r="I6831" s="1" t="str">
        <f t="shared" si="4"/>
        <v>No Badges</v>
      </c>
      <c r="J6831" s="3">
        <f t="shared" si="5"/>
        <v>0</v>
      </c>
    </row>
    <row r="6832">
      <c r="A6832" s="1" t="s">
        <v>5217</v>
      </c>
      <c r="B6832" s="3" t="str">
        <f t="shared" si="1"/>
        <v>Unavailable</v>
      </c>
      <c r="C6832" s="5">
        <v>1707.0</v>
      </c>
      <c r="D6832" s="3">
        <f>IFERROR(__xludf.DUMMYFUNCTION("IFERROR(
IF(REGEXMATCH(LOWER(O6832),""k""),
VALUE(REGEXEXTRACT(O6832,""[0-9]+""))*1000,
VALUE(REGEXEXTRACT(O6832,""[0-9]+""))
),
0
)"),0.0)</f>
        <v>0</v>
      </c>
      <c r="E6832" s="1" t="s">
        <v>11</v>
      </c>
      <c r="F6832" s="1" t="s">
        <v>20</v>
      </c>
      <c r="G6832" s="4" t="b">
        <f t="shared" si="2"/>
        <v>1</v>
      </c>
      <c r="H6832" s="1" t="str">
        <f t="shared" si="3"/>
        <v>Currently Unavailable</v>
      </c>
      <c r="I6832" s="1" t="str">
        <f t="shared" si="4"/>
        <v>No Badges</v>
      </c>
      <c r="J6832" s="3">
        <f t="shared" si="5"/>
        <v>0</v>
      </c>
    </row>
    <row r="6833">
      <c r="A6833" s="1" t="s">
        <v>5218</v>
      </c>
      <c r="B6833" s="3" t="str">
        <f t="shared" si="1"/>
        <v>Unavailable</v>
      </c>
      <c r="C6833" s="5">
        <v>8062.0</v>
      </c>
      <c r="D6833" s="3">
        <f>IFERROR(__xludf.DUMMYFUNCTION("IFERROR(
IF(REGEXMATCH(LOWER(O6833),""k""),
VALUE(REGEXEXTRACT(O6833,""[0-9]+""))*1000,
VALUE(REGEXEXTRACT(O6833,""[0-9]+""))
),
0
)"),0.0)</f>
        <v>0</v>
      </c>
      <c r="E6833" s="1" t="s">
        <v>11</v>
      </c>
      <c r="F6833" s="1" t="s">
        <v>20</v>
      </c>
      <c r="G6833" s="4" t="b">
        <f t="shared" si="2"/>
        <v>1</v>
      </c>
      <c r="H6833" s="1" t="str">
        <f t="shared" si="3"/>
        <v>Currently Unavailable</v>
      </c>
      <c r="I6833" s="1" t="str">
        <f t="shared" si="4"/>
        <v>No Badges</v>
      </c>
      <c r="J6833" s="3">
        <f t="shared" si="5"/>
        <v>0</v>
      </c>
    </row>
    <row r="6834">
      <c r="A6834" s="1" t="s">
        <v>5219</v>
      </c>
      <c r="B6834" s="3" t="str">
        <f t="shared" si="1"/>
        <v>Unavailable</v>
      </c>
      <c r="C6834" s="5">
        <v>3516.0</v>
      </c>
      <c r="D6834" s="3">
        <f>IFERROR(__xludf.DUMMYFUNCTION("IFERROR(
IF(REGEXMATCH(LOWER(O6834),""k""),
VALUE(REGEXEXTRACT(O6834,""[0-9]+""))*1000,
VALUE(REGEXEXTRACT(O6834,""[0-9]+""))
),
0
)"),0.0)</f>
        <v>0</v>
      </c>
      <c r="E6834" s="1" t="s">
        <v>11</v>
      </c>
      <c r="F6834" s="1" t="s">
        <v>20</v>
      </c>
      <c r="G6834" s="4" t="b">
        <f t="shared" si="2"/>
        <v>1</v>
      </c>
      <c r="H6834" s="1" t="str">
        <f t="shared" si="3"/>
        <v>Currently Unavailable</v>
      </c>
      <c r="I6834" s="1" t="str">
        <f t="shared" si="4"/>
        <v>No Badges</v>
      </c>
      <c r="J6834" s="3">
        <f t="shared" si="5"/>
        <v>0</v>
      </c>
    </row>
    <row r="6835">
      <c r="A6835" s="1" t="s">
        <v>5220</v>
      </c>
      <c r="B6835" s="3" t="str">
        <f t="shared" si="1"/>
        <v>Unavailable</v>
      </c>
      <c r="C6835" s="5">
        <v>5308.0</v>
      </c>
      <c r="D6835" s="3">
        <f>IFERROR(__xludf.DUMMYFUNCTION("IFERROR(
IF(REGEXMATCH(LOWER(O6835),""k""),
VALUE(REGEXEXTRACT(O6835,""[0-9]+""))*1000,
VALUE(REGEXEXTRACT(O6835,""[0-9]+""))
),
0
)"),0.0)</f>
        <v>0</v>
      </c>
      <c r="E6835" s="1" t="s">
        <v>11</v>
      </c>
      <c r="F6835" s="1" t="s">
        <v>20</v>
      </c>
      <c r="G6835" s="4" t="b">
        <f t="shared" si="2"/>
        <v>1</v>
      </c>
      <c r="H6835" s="1" t="str">
        <f t="shared" si="3"/>
        <v>Currently Unavailable</v>
      </c>
      <c r="I6835" s="1" t="str">
        <f t="shared" si="4"/>
        <v>No Badges</v>
      </c>
      <c r="J6835" s="3">
        <f t="shared" si="5"/>
        <v>0</v>
      </c>
    </row>
    <row r="6836">
      <c r="A6836" s="1" t="s">
        <v>5221</v>
      </c>
      <c r="B6836" s="3" t="str">
        <f t="shared" si="1"/>
        <v>Unavailable</v>
      </c>
      <c r="C6836" s="5">
        <v>3212.0</v>
      </c>
      <c r="D6836" s="3">
        <f>IFERROR(__xludf.DUMMYFUNCTION("IFERROR(
IF(REGEXMATCH(LOWER(O6836),""k""),
VALUE(REGEXEXTRACT(O6836,""[0-9]+""))*1000,
VALUE(REGEXEXTRACT(O6836,""[0-9]+""))
),
0
)"),0.0)</f>
        <v>0</v>
      </c>
      <c r="E6836" s="1" t="s">
        <v>11</v>
      </c>
      <c r="F6836" s="1" t="s">
        <v>20</v>
      </c>
      <c r="G6836" s="4" t="b">
        <f t="shared" si="2"/>
        <v>1</v>
      </c>
      <c r="H6836" s="1" t="str">
        <f t="shared" si="3"/>
        <v>Currently Unavailable</v>
      </c>
      <c r="I6836" s="1" t="str">
        <f t="shared" si="4"/>
        <v>No Badges</v>
      </c>
      <c r="J6836" s="3">
        <f t="shared" si="5"/>
        <v>0</v>
      </c>
    </row>
    <row r="6837">
      <c r="A6837" s="1" t="s">
        <v>5222</v>
      </c>
      <c r="B6837" s="3" t="str">
        <f t="shared" si="1"/>
        <v>Unavailable</v>
      </c>
      <c r="C6837" s="5">
        <v>2897.0</v>
      </c>
      <c r="D6837" s="3">
        <f>IFERROR(__xludf.DUMMYFUNCTION("IFERROR(
IF(REGEXMATCH(LOWER(O6837),""k""),
VALUE(REGEXEXTRACT(O6837,""[0-9]+""))*1000,
VALUE(REGEXEXTRACT(O6837,""[0-9]+""))
),
0
)"),0.0)</f>
        <v>0</v>
      </c>
      <c r="E6837" s="1" t="s">
        <v>11</v>
      </c>
      <c r="F6837" s="1" t="s">
        <v>20</v>
      </c>
      <c r="G6837" s="4" t="b">
        <f t="shared" si="2"/>
        <v>1</v>
      </c>
      <c r="H6837" s="1" t="str">
        <f t="shared" si="3"/>
        <v>Currently Unavailable</v>
      </c>
      <c r="I6837" s="1" t="str">
        <f t="shared" si="4"/>
        <v>No Badges</v>
      </c>
      <c r="J6837" s="3">
        <f t="shared" si="5"/>
        <v>0</v>
      </c>
    </row>
    <row r="6838">
      <c r="A6838" s="1" t="s">
        <v>5223</v>
      </c>
      <c r="B6838" s="3" t="str">
        <f t="shared" si="1"/>
        <v>Unavailable</v>
      </c>
      <c r="C6838" s="5">
        <v>19151.0</v>
      </c>
      <c r="D6838" s="3">
        <f>IFERROR(__xludf.DUMMYFUNCTION("IFERROR(
IF(REGEXMATCH(LOWER(O6838),""k""),
VALUE(REGEXEXTRACT(O6838,""[0-9]+""))*1000,
VALUE(REGEXEXTRACT(O6838,""[0-9]+""))
),
0
)"),0.0)</f>
        <v>0</v>
      </c>
      <c r="E6838" s="1" t="s">
        <v>11</v>
      </c>
      <c r="F6838" s="1" t="s">
        <v>20</v>
      </c>
      <c r="G6838" s="4" t="b">
        <f t="shared" si="2"/>
        <v>1</v>
      </c>
      <c r="H6838" s="1" t="str">
        <f t="shared" si="3"/>
        <v>Currently Unavailable</v>
      </c>
      <c r="I6838" s="1" t="str">
        <f t="shared" si="4"/>
        <v>No Badges</v>
      </c>
      <c r="J6838" s="3">
        <f t="shared" si="5"/>
        <v>0</v>
      </c>
    </row>
    <row r="6839">
      <c r="A6839" s="1" t="s">
        <v>67</v>
      </c>
      <c r="B6839" s="3" t="str">
        <f t="shared" si="1"/>
        <v>Unavailable</v>
      </c>
      <c r="C6839" s="3">
        <v>264.0</v>
      </c>
      <c r="D6839" s="3">
        <f>IFERROR(__xludf.DUMMYFUNCTION("IFERROR(
IF(REGEXMATCH(LOWER(O6839),""k""),
VALUE(REGEXEXTRACT(O6839,""[0-9]+""))*1000,
VALUE(REGEXEXTRACT(O6839,""[0-9]+""))
),
0
)"),0.0)</f>
        <v>0</v>
      </c>
      <c r="E6839" s="1" t="s">
        <v>11</v>
      </c>
      <c r="F6839" s="1" t="s">
        <v>12</v>
      </c>
      <c r="G6839" s="4" t="b">
        <f t="shared" si="2"/>
        <v>1</v>
      </c>
      <c r="H6839" s="1" t="str">
        <f t="shared" si="3"/>
        <v>Currently Unavailable</v>
      </c>
      <c r="I6839" s="1" t="str">
        <f t="shared" si="4"/>
        <v>No Badges</v>
      </c>
      <c r="J6839" s="3">
        <f t="shared" si="5"/>
        <v>0</v>
      </c>
    </row>
    <row r="6840">
      <c r="A6840" s="1" t="s">
        <v>5224</v>
      </c>
      <c r="B6840" s="3" t="str">
        <f t="shared" si="1"/>
        <v>Unavailable</v>
      </c>
      <c r="C6840" s="3">
        <v>299.0</v>
      </c>
      <c r="D6840" s="3">
        <f>IFERROR(__xludf.DUMMYFUNCTION("IFERROR(
IF(REGEXMATCH(LOWER(O6840),""k""),
VALUE(REGEXEXTRACT(O6840,""[0-9]+""))*1000,
VALUE(REGEXEXTRACT(O6840,""[0-9]+""))
),
0
)"),0.0)</f>
        <v>0</v>
      </c>
      <c r="E6840" s="1" t="s">
        <v>11</v>
      </c>
      <c r="F6840" s="1" t="s">
        <v>20</v>
      </c>
      <c r="G6840" s="4" t="b">
        <f t="shared" si="2"/>
        <v>1</v>
      </c>
      <c r="H6840" s="1" t="str">
        <f t="shared" si="3"/>
        <v>Currently Unavailable</v>
      </c>
      <c r="I6840" s="1" t="str">
        <f t="shared" si="4"/>
        <v>No Badges</v>
      </c>
      <c r="J6840" s="3">
        <f t="shared" si="5"/>
        <v>0</v>
      </c>
    </row>
    <row r="6841">
      <c r="A6841" s="1" t="s">
        <v>701</v>
      </c>
      <c r="B6841" s="3" t="str">
        <f t="shared" si="1"/>
        <v>Unavailable</v>
      </c>
      <c r="C6841" s="3">
        <v>8.0</v>
      </c>
      <c r="D6841" s="3">
        <f>IFERROR(__xludf.DUMMYFUNCTION("IFERROR(
IF(REGEXMATCH(LOWER(O6841),""k""),
VALUE(REGEXEXTRACT(O6841,""[0-9]+""))*1000,
VALUE(REGEXEXTRACT(O6841,""[0-9]+""))
),
0
)"),0.0)</f>
        <v>0</v>
      </c>
      <c r="E6841" s="1" t="s">
        <v>11</v>
      </c>
      <c r="F6841" s="1" t="s">
        <v>12</v>
      </c>
      <c r="G6841" s="4" t="b">
        <f t="shared" si="2"/>
        <v>1</v>
      </c>
      <c r="H6841" s="1" t="str">
        <f t="shared" si="3"/>
        <v>Currently Unavailable</v>
      </c>
      <c r="I6841" s="1" t="str">
        <f t="shared" si="4"/>
        <v>No Badges</v>
      </c>
      <c r="J6841" s="3">
        <f t="shared" si="5"/>
        <v>0</v>
      </c>
    </row>
    <row r="6842">
      <c r="A6842" s="1" t="s">
        <v>5225</v>
      </c>
      <c r="B6842" s="3" t="str">
        <f t="shared" si="1"/>
        <v>Unavailable</v>
      </c>
      <c r="C6842" s="5">
        <v>2143.0</v>
      </c>
      <c r="D6842" s="3">
        <f>IFERROR(__xludf.DUMMYFUNCTION("IFERROR(
IF(REGEXMATCH(LOWER(O6842),""k""),
VALUE(REGEXEXTRACT(O6842,""[0-9]+""))*1000,
VALUE(REGEXEXTRACT(O6842,""[0-9]+""))
),
0
)"),0.0)</f>
        <v>0</v>
      </c>
      <c r="E6842" s="1" t="s">
        <v>11</v>
      </c>
      <c r="F6842" s="1" t="s">
        <v>20</v>
      </c>
      <c r="G6842" s="4" t="b">
        <f t="shared" si="2"/>
        <v>1</v>
      </c>
      <c r="H6842" s="1" t="str">
        <f t="shared" si="3"/>
        <v>Currently Unavailable</v>
      </c>
      <c r="I6842" s="1" t="str">
        <f t="shared" si="4"/>
        <v>No Badges</v>
      </c>
      <c r="J6842" s="3">
        <f t="shared" si="5"/>
        <v>0</v>
      </c>
    </row>
    <row r="6843">
      <c r="A6843" s="1" t="s">
        <v>5191</v>
      </c>
      <c r="B6843" s="3" t="str">
        <f t="shared" si="1"/>
        <v>Unavailable</v>
      </c>
      <c r="C6843" s="5">
        <v>4458.0</v>
      </c>
      <c r="D6843" s="3">
        <f>IFERROR(__xludf.DUMMYFUNCTION("IFERROR(
IF(REGEXMATCH(LOWER(O6843),""k""),
VALUE(REGEXEXTRACT(O6843,""[0-9]+""))*1000,
VALUE(REGEXEXTRACT(O6843,""[0-9]+""))
),
0
)"),0.0)</f>
        <v>0</v>
      </c>
      <c r="E6843" s="1" t="s">
        <v>11</v>
      </c>
      <c r="F6843" s="1" t="s">
        <v>20</v>
      </c>
      <c r="G6843" s="4" t="b">
        <f t="shared" si="2"/>
        <v>1</v>
      </c>
      <c r="H6843" s="1" t="str">
        <f t="shared" si="3"/>
        <v>Currently Unavailable</v>
      </c>
      <c r="I6843" s="1" t="str">
        <f t="shared" si="4"/>
        <v>No Badges</v>
      </c>
      <c r="J6843" s="3">
        <f t="shared" si="5"/>
        <v>0</v>
      </c>
    </row>
    <row r="6844">
      <c r="A6844" s="1" t="s">
        <v>5226</v>
      </c>
      <c r="B6844" s="3" t="str">
        <f t="shared" si="1"/>
        <v>Unavailable</v>
      </c>
      <c r="C6844" s="3">
        <v>989.0</v>
      </c>
      <c r="D6844" s="3">
        <f>IFERROR(__xludf.DUMMYFUNCTION("IFERROR(
IF(REGEXMATCH(LOWER(O6844),""k""),
VALUE(REGEXEXTRACT(O6844,""[0-9]+""))*1000,
VALUE(REGEXEXTRACT(O6844,""[0-9]+""))
),
0
)"),0.0)</f>
        <v>0</v>
      </c>
      <c r="E6844" s="1" t="s">
        <v>11</v>
      </c>
      <c r="F6844" s="1" t="s">
        <v>20</v>
      </c>
      <c r="G6844" s="4" t="b">
        <f t="shared" si="2"/>
        <v>1</v>
      </c>
      <c r="H6844" s="1" t="str">
        <f t="shared" si="3"/>
        <v>Currently Unavailable</v>
      </c>
      <c r="I6844" s="1" t="str">
        <f t="shared" si="4"/>
        <v>No Badges</v>
      </c>
      <c r="J6844" s="3">
        <f t="shared" si="5"/>
        <v>0</v>
      </c>
    </row>
    <row r="6845">
      <c r="A6845" s="1" t="s">
        <v>5227</v>
      </c>
      <c r="B6845" s="3" t="str">
        <f t="shared" si="1"/>
        <v>Unavailable</v>
      </c>
      <c r="C6845" s="5">
        <v>1682.0</v>
      </c>
      <c r="D6845" s="3">
        <f>IFERROR(__xludf.DUMMYFUNCTION("IFERROR(
IF(REGEXMATCH(LOWER(O6845),""k""),
VALUE(REGEXEXTRACT(O6845,""[0-9]+""))*1000,
VALUE(REGEXEXTRACT(O6845,""[0-9]+""))
),
0
)"),0.0)</f>
        <v>0</v>
      </c>
      <c r="E6845" s="1" t="s">
        <v>11</v>
      </c>
      <c r="F6845" s="1" t="s">
        <v>20</v>
      </c>
      <c r="G6845" s="4" t="b">
        <f t="shared" si="2"/>
        <v>1</v>
      </c>
      <c r="H6845" s="1" t="str">
        <f t="shared" si="3"/>
        <v>Currently Unavailable</v>
      </c>
      <c r="I6845" s="1" t="str">
        <f t="shared" si="4"/>
        <v>No Badges</v>
      </c>
      <c r="J6845" s="3">
        <f t="shared" si="5"/>
        <v>0</v>
      </c>
    </row>
    <row r="6846">
      <c r="A6846" s="1" t="s">
        <v>5228</v>
      </c>
      <c r="B6846" s="3" t="str">
        <f t="shared" si="1"/>
        <v>Unavailable</v>
      </c>
      <c r="C6846" s="3">
        <v>156.0</v>
      </c>
      <c r="D6846" s="3">
        <f>IFERROR(__xludf.DUMMYFUNCTION("IFERROR(
IF(REGEXMATCH(LOWER(O6846),""k""),
VALUE(REGEXEXTRACT(O6846,""[0-9]+""))*1000,
VALUE(REGEXEXTRACT(O6846,""[0-9]+""))
),
0
)"),0.0)</f>
        <v>0</v>
      </c>
      <c r="E6846" s="1" t="s">
        <v>11</v>
      </c>
      <c r="F6846" s="1" t="s">
        <v>20</v>
      </c>
      <c r="G6846" s="4" t="b">
        <f t="shared" si="2"/>
        <v>1</v>
      </c>
      <c r="H6846" s="1" t="str">
        <f t="shared" si="3"/>
        <v>Currently Unavailable</v>
      </c>
      <c r="I6846" s="1" t="str">
        <f t="shared" si="4"/>
        <v>No Badges</v>
      </c>
      <c r="J6846" s="3">
        <f t="shared" si="5"/>
        <v>0</v>
      </c>
    </row>
    <row r="6847">
      <c r="A6847" s="1" t="s">
        <v>5229</v>
      </c>
      <c r="B6847" s="3" t="str">
        <f t="shared" si="1"/>
        <v>Unavailable</v>
      </c>
      <c r="C6847" s="5">
        <v>2827.0</v>
      </c>
      <c r="D6847" s="3">
        <f>IFERROR(__xludf.DUMMYFUNCTION("IFERROR(
IF(REGEXMATCH(LOWER(O6847),""k""),
VALUE(REGEXEXTRACT(O6847,""[0-9]+""))*1000,
VALUE(REGEXEXTRACT(O6847,""[0-9]+""))
),
0
)"),0.0)</f>
        <v>0</v>
      </c>
      <c r="E6847" s="1" t="s">
        <v>11</v>
      </c>
      <c r="F6847" s="1" t="s">
        <v>20</v>
      </c>
      <c r="G6847" s="4" t="b">
        <f t="shared" si="2"/>
        <v>1</v>
      </c>
      <c r="H6847" s="1" t="str">
        <f t="shared" si="3"/>
        <v>Currently Unavailable</v>
      </c>
      <c r="I6847" s="1" t="str">
        <f t="shared" si="4"/>
        <v>No Badges</v>
      </c>
      <c r="J6847" s="3">
        <f t="shared" si="5"/>
        <v>0</v>
      </c>
    </row>
    <row r="6848">
      <c r="A6848" s="1" t="s">
        <v>5230</v>
      </c>
      <c r="B6848" s="3" t="str">
        <f t="shared" si="1"/>
        <v>Unavailable</v>
      </c>
      <c r="C6848" s="3">
        <v>494.0</v>
      </c>
      <c r="D6848" s="3">
        <f>IFERROR(__xludf.DUMMYFUNCTION("IFERROR(
IF(REGEXMATCH(LOWER(O6848),""k""),
VALUE(REGEXEXTRACT(O6848,""[0-9]+""))*1000,
VALUE(REGEXEXTRACT(O6848,""[0-9]+""))
),
0
)"),0.0)</f>
        <v>0</v>
      </c>
      <c r="E6848" s="1" t="s">
        <v>11</v>
      </c>
      <c r="F6848" s="1" t="s">
        <v>20</v>
      </c>
      <c r="G6848" s="4" t="b">
        <f t="shared" si="2"/>
        <v>1</v>
      </c>
      <c r="H6848" s="1" t="str">
        <f t="shared" si="3"/>
        <v>Currently Unavailable</v>
      </c>
      <c r="I6848" s="1" t="str">
        <f t="shared" si="4"/>
        <v>No Badges</v>
      </c>
      <c r="J6848" s="3">
        <f t="shared" si="5"/>
        <v>0</v>
      </c>
    </row>
    <row r="6849">
      <c r="A6849" s="1" t="s">
        <v>5231</v>
      </c>
      <c r="B6849" s="3" t="str">
        <f t="shared" si="1"/>
        <v>Unavailable</v>
      </c>
      <c r="C6849" s="5">
        <v>7107.0</v>
      </c>
      <c r="D6849" s="3">
        <f>IFERROR(__xludf.DUMMYFUNCTION("IFERROR(
IF(REGEXMATCH(LOWER(O6849),""k""),
VALUE(REGEXEXTRACT(O6849,""[0-9]+""))*1000,
VALUE(REGEXEXTRACT(O6849,""[0-9]+""))
),
0
)"),0.0)</f>
        <v>0</v>
      </c>
      <c r="E6849" s="1" t="s">
        <v>11</v>
      </c>
      <c r="F6849" s="1" t="s">
        <v>20</v>
      </c>
      <c r="G6849" s="4" t="b">
        <f t="shared" si="2"/>
        <v>1</v>
      </c>
      <c r="H6849" s="1" t="str">
        <f t="shared" si="3"/>
        <v>Currently Unavailable</v>
      </c>
      <c r="I6849" s="1" t="str">
        <f t="shared" si="4"/>
        <v>No Badges</v>
      </c>
      <c r="J6849" s="3">
        <f t="shared" si="5"/>
        <v>0</v>
      </c>
    </row>
    <row r="6850">
      <c r="A6850" s="1" t="s">
        <v>5232</v>
      </c>
      <c r="B6850" s="3" t="str">
        <f t="shared" si="1"/>
        <v>Unavailable</v>
      </c>
      <c r="C6850" s="3">
        <v>339.0</v>
      </c>
      <c r="D6850" s="3">
        <f>IFERROR(__xludf.DUMMYFUNCTION("IFERROR(
IF(REGEXMATCH(LOWER(O6850),""k""),
VALUE(REGEXEXTRACT(O6850,""[0-9]+""))*1000,
VALUE(REGEXEXTRACT(O6850,""[0-9]+""))
),
0
)"),0.0)</f>
        <v>0</v>
      </c>
      <c r="E6850" s="1" t="s">
        <v>11</v>
      </c>
      <c r="F6850" s="1" t="s">
        <v>20</v>
      </c>
      <c r="G6850" s="4" t="b">
        <f t="shared" si="2"/>
        <v>1</v>
      </c>
      <c r="H6850" s="1" t="str">
        <f t="shared" si="3"/>
        <v>Currently Unavailable</v>
      </c>
      <c r="I6850" s="1" t="str">
        <f t="shared" si="4"/>
        <v>No Badges</v>
      </c>
      <c r="J6850" s="3">
        <f t="shared" si="5"/>
        <v>0</v>
      </c>
    </row>
    <row r="6851">
      <c r="A6851" s="1" t="s">
        <v>5233</v>
      </c>
      <c r="B6851" s="3" t="str">
        <f t="shared" si="1"/>
        <v>Unavailable</v>
      </c>
      <c r="C6851" s="3">
        <v>10.0</v>
      </c>
      <c r="D6851" s="3">
        <f>IFERROR(__xludf.DUMMYFUNCTION("IFERROR(
IF(REGEXMATCH(LOWER(O6851),""k""),
VALUE(REGEXEXTRACT(O6851,""[0-9]+""))*1000,
VALUE(REGEXEXTRACT(O6851,""[0-9]+""))
),
0
)"),0.0)</f>
        <v>0</v>
      </c>
      <c r="E6851" s="1" t="s">
        <v>11</v>
      </c>
      <c r="F6851" s="1" t="s">
        <v>20</v>
      </c>
      <c r="G6851" s="4" t="b">
        <f t="shared" si="2"/>
        <v>1</v>
      </c>
      <c r="H6851" s="1" t="str">
        <f t="shared" si="3"/>
        <v>Currently Unavailable</v>
      </c>
      <c r="I6851" s="1" t="str">
        <f t="shared" si="4"/>
        <v>No Badges</v>
      </c>
      <c r="J6851" s="6">
        <f t="shared" si="5"/>
        <v>0</v>
      </c>
    </row>
    <row r="6852">
      <c r="A6852" s="1" t="s">
        <v>5234</v>
      </c>
      <c r="B6852" s="3" t="str">
        <f t="shared" si="1"/>
        <v>Unavailable</v>
      </c>
      <c r="C6852" s="5">
        <v>11754.0</v>
      </c>
      <c r="D6852" s="3">
        <f>IFERROR(__xludf.DUMMYFUNCTION("IFERROR(
IF(REGEXMATCH(LOWER(O6852),""k""),
VALUE(REGEXEXTRACT(O6852,""[0-9]+""))*1000,
VALUE(REGEXEXTRACT(O6852,""[0-9]+""))
),
0
)"),0.0)</f>
        <v>0</v>
      </c>
      <c r="E6852" s="1" t="s">
        <v>11</v>
      </c>
      <c r="F6852" s="1" t="s">
        <v>20</v>
      </c>
      <c r="G6852" s="4" t="b">
        <f t="shared" si="2"/>
        <v>1</v>
      </c>
      <c r="H6852" s="1" t="str">
        <f t="shared" si="3"/>
        <v>Currently Unavailable</v>
      </c>
      <c r="I6852" s="1" t="str">
        <f t="shared" si="4"/>
        <v>No Badges</v>
      </c>
      <c r="J6852" s="3">
        <f t="shared" si="5"/>
        <v>0</v>
      </c>
    </row>
    <row r="6853">
      <c r="A6853" s="1" t="s">
        <v>5235</v>
      </c>
      <c r="B6853" s="3" t="str">
        <f t="shared" si="1"/>
        <v>Unavailable</v>
      </c>
      <c r="C6853" s="5">
        <v>3427.0</v>
      </c>
      <c r="D6853" s="3">
        <f>IFERROR(__xludf.DUMMYFUNCTION("IFERROR(
IF(REGEXMATCH(LOWER(O6853),""k""),
VALUE(REGEXEXTRACT(O6853,""[0-9]+""))*1000,
VALUE(REGEXEXTRACT(O6853,""[0-9]+""))
),
0
)"),0.0)</f>
        <v>0</v>
      </c>
      <c r="E6853" s="1" t="s">
        <v>11</v>
      </c>
      <c r="F6853" s="1" t="s">
        <v>20</v>
      </c>
      <c r="G6853" s="4" t="b">
        <f t="shared" si="2"/>
        <v>1</v>
      </c>
      <c r="H6853" s="1" t="str">
        <f t="shared" si="3"/>
        <v>Currently Unavailable</v>
      </c>
      <c r="I6853" s="1" t="str">
        <f t="shared" si="4"/>
        <v>No Badges</v>
      </c>
      <c r="J6853" s="3">
        <f t="shared" si="5"/>
        <v>0</v>
      </c>
    </row>
    <row r="6854">
      <c r="A6854" s="1" t="s">
        <v>5236</v>
      </c>
      <c r="B6854" s="3" t="str">
        <f t="shared" si="1"/>
        <v>Unavailable</v>
      </c>
      <c r="C6854" s="3">
        <v>666.0</v>
      </c>
      <c r="D6854" s="3">
        <f>IFERROR(__xludf.DUMMYFUNCTION("IFERROR(
IF(REGEXMATCH(LOWER(O6854),""k""),
VALUE(REGEXEXTRACT(O6854,""[0-9]+""))*1000,
VALUE(REGEXEXTRACT(O6854,""[0-9]+""))
),
0
)"),0.0)</f>
        <v>0</v>
      </c>
      <c r="E6854" s="1" t="s">
        <v>11</v>
      </c>
      <c r="F6854" s="1" t="s">
        <v>20</v>
      </c>
      <c r="G6854" s="4" t="b">
        <f t="shared" si="2"/>
        <v>1</v>
      </c>
      <c r="H6854" s="1" t="str">
        <f t="shared" si="3"/>
        <v>Currently Unavailable</v>
      </c>
      <c r="I6854" s="1" t="str">
        <f t="shared" si="4"/>
        <v>No Badges</v>
      </c>
      <c r="J6854" s="3">
        <f t="shared" si="5"/>
        <v>0</v>
      </c>
    </row>
    <row r="6855">
      <c r="A6855" s="1" t="s">
        <v>40</v>
      </c>
      <c r="B6855" s="3" t="str">
        <f t="shared" si="1"/>
        <v>Unavailable</v>
      </c>
      <c r="C6855" s="3">
        <v>171.0</v>
      </c>
      <c r="D6855" s="3">
        <f>IFERROR(__xludf.DUMMYFUNCTION("IFERROR(
IF(REGEXMATCH(LOWER(O6855),""k""),
VALUE(REGEXEXTRACT(O6855,""[0-9]+""))*1000,
VALUE(REGEXEXTRACT(O6855,""[0-9]+""))
),
0
)"),0.0)</f>
        <v>0</v>
      </c>
      <c r="E6855" s="1" t="s">
        <v>11</v>
      </c>
      <c r="F6855" s="1" t="s">
        <v>12</v>
      </c>
      <c r="G6855" s="4" t="b">
        <f t="shared" si="2"/>
        <v>1</v>
      </c>
      <c r="H6855" s="1" t="str">
        <f t="shared" si="3"/>
        <v>Currently Unavailable</v>
      </c>
      <c r="I6855" s="1" t="str">
        <f t="shared" si="4"/>
        <v>No Badges</v>
      </c>
      <c r="J6855" s="3">
        <f t="shared" si="5"/>
        <v>0</v>
      </c>
    </row>
    <row r="6856">
      <c r="A6856" s="1" t="s">
        <v>5207</v>
      </c>
      <c r="B6856" s="3" t="str">
        <f t="shared" si="1"/>
        <v>Unavailable</v>
      </c>
      <c r="C6856" s="5">
        <v>4412.0</v>
      </c>
      <c r="D6856" s="3">
        <f>IFERROR(__xludf.DUMMYFUNCTION("IFERROR(
IF(REGEXMATCH(LOWER(O6856),""k""),
VALUE(REGEXEXTRACT(O6856,""[0-9]+""))*1000,
VALUE(REGEXEXTRACT(O6856,""[0-9]+""))
),
0
)"),0.0)</f>
        <v>0</v>
      </c>
      <c r="E6856" s="1" t="s">
        <v>11</v>
      </c>
      <c r="F6856" s="1" t="s">
        <v>20</v>
      </c>
      <c r="G6856" s="4" t="b">
        <f t="shared" si="2"/>
        <v>1</v>
      </c>
      <c r="H6856" s="1" t="str">
        <f t="shared" si="3"/>
        <v>Currently Unavailable</v>
      </c>
      <c r="I6856" s="1" t="str">
        <f t="shared" si="4"/>
        <v>No Badges</v>
      </c>
      <c r="J6856" s="3">
        <f t="shared" si="5"/>
        <v>0</v>
      </c>
    </row>
    <row r="6857">
      <c r="A6857" s="1" t="s">
        <v>5208</v>
      </c>
      <c r="B6857" s="3" t="str">
        <f t="shared" si="1"/>
        <v>Unavailable</v>
      </c>
      <c r="C6857" s="5">
        <v>4791.0</v>
      </c>
      <c r="D6857" s="3">
        <f>IFERROR(__xludf.DUMMYFUNCTION("IFERROR(
IF(REGEXMATCH(LOWER(O6857),""k""),
VALUE(REGEXEXTRACT(O6857,""[0-9]+""))*1000,
VALUE(REGEXEXTRACT(O6857,""[0-9]+""))
),
0
)"),0.0)</f>
        <v>0</v>
      </c>
      <c r="E6857" s="1" t="s">
        <v>11</v>
      </c>
      <c r="F6857" s="1" t="s">
        <v>20</v>
      </c>
      <c r="G6857" s="4" t="b">
        <f t="shared" si="2"/>
        <v>1</v>
      </c>
      <c r="H6857" s="1" t="str">
        <f t="shared" si="3"/>
        <v>Currently Unavailable</v>
      </c>
      <c r="I6857" s="1" t="str">
        <f t="shared" si="4"/>
        <v>No Badges</v>
      </c>
      <c r="J6857" s="3">
        <f t="shared" si="5"/>
        <v>0</v>
      </c>
    </row>
    <row r="6858">
      <c r="A6858" s="1" t="s">
        <v>5237</v>
      </c>
      <c r="B6858" s="3" t="str">
        <f t="shared" si="1"/>
        <v>Unavailable</v>
      </c>
      <c r="C6858" s="5">
        <v>3036.0</v>
      </c>
      <c r="D6858" s="3">
        <f>IFERROR(__xludf.DUMMYFUNCTION("IFERROR(
IF(REGEXMATCH(LOWER(O6858),""k""),
VALUE(REGEXEXTRACT(O6858,""[0-9]+""))*1000,
VALUE(REGEXEXTRACT(O6858,""[0-9]+""))
),
0
)"),0.0)</f>
        <v>0</v>
      </c>
      <c r="E6858" s="1" t="s">
        <v>11</v>
      </c>
      <c r="F6858" s="1" t="s">
        <v>20</v>
      </c>
      <c r="G6858" s="4" t="b">
        <f t="shared" si="2"/>
        <v>1</v>
      </c>
      <c r="H6858" s="1" t="str">
        <f t="shared" si="3"/>
        <v>Currently Unavailable</v>
      </c>
      <c r="I6858" s="1" t="str">
        <f t="shared" si="4"/>
        <v>No Badges</v>
      </c>
      <c r="J6858" s="3">
        <f t="shared" si="5"/>
        <v>0</v>
      </c>
    </row>
    <row r="6859">
      <c r="A6859" s="1" t="s">
        <v>5238</v>
      </c>
      <c r="B6859" s="3" t="str">
        <f t="shared" si="1"/>
        <v>Unavailable</v>
      </c>
      <c r="C6859" s="3">
        <v>330.0</v>
      </c>
      <c r="D6859" s="3">
        <f>IFERROR(__xludf.DUMMYFUNCTION("IFERROR(
IF(REGEXMATCH(LOWER(O6859),""k""),
VALUE(REGEXEXTRACT(O6859,""[0-9]+""))*1000,
VALUE(REGEXEXTRACT(O6859,""[0-9]+""))
),
0
)"),0.0)</f>
        <v>0</v>
      </c>
      <c r="E6859" s="1" t="s">
        <v>11</v>
      </c>
      <c r="F6859" s="1" t="s">
        <v>20</v>
      </c>
      <c r="G6859" s="4" t="b">
        <f t="shared" si="2"/>
        <v>1</v>
      </c>
      <c r="H6859" s="1" t="str">
        <f t="shared" si="3"/>
        <v>Currently Unavailable</v>
      </c>
      <c r="I6859" s="1" t="str">
        <f t="shared" si="4"/>
        <v>No Badges</v>
      </c>
      <c r="J6859" s="3">
        <f t="shared" si="5"/>
        <v>0</v>
      </c>
    </row>
    <row r="6860">
      <c r="A6860" s="1" t="s">
        <v>5239</v>
      </c>
      <c r="B6860" s="3" t="str">
        <f t="shared" si="1"/>
        <v>Unavailable</v>
      </c>
      <c r="C6860" s="3">
        <v>22.0</v>
      </c>
      <c r="D6860" s="3">
        <f>IFERROR(__xludf.DUMMYFUNCTION("IFERROR(
IF(REGEXMATCH(LOWER(O6860),""k""),
VALUE(REGEXEXTRACT(O6860,""[0-9]+""))*1000,
VALUE(REGEXEXTRACT(O6860,""[0-9]+""))
),
0
)"),0.0)</f>
        <v>0</v>
      </c>
      <c r="E6860" s="1" t="s">
        <v>11</v>
      </c>
      <c r="F6860" s="1" t="s">
        <v>20</v>
      </c>
      <c r="G6860" s="4" t="b">
        <f t="shared" si="2"/>
        <v>1</v>
      </c>
      <c r="H6860" s="1" t="str">
        <f t="shared" si="3"/>
        <v>Currently Unavailable</v>
      </c>
      <c r="I6860" s="1" t="str">
        <f t="shared" si="4"/>
        <v>No Badges</v>
      </c>
      <c r="J6860" s="3">
        <f t="shared" si="5"/>
        <v>0</v>
      </c>
    </row>
    <row r="6861">
      <c r="A6861" s="1" t="s">
        <v>5240</v>
      </c>
      <c r="B6861" s="3" t="str">
        <f t="shared" si="1"/>
        <v>Unavailable</v>
      </c>
      <c r="C6861" s="5">
        <v>5922.0</v>
      </c>
      <c r="D6861" s="3">
        <f>IFERROR(__xludf.DUMMYFUNCTION("IFERROR(
IF(REGEXMATCH(LOWER(O6861),""k""),
VALUE(REGEXEXTRACT(O6861,""[0-9]+""))*1000,
VALUE(REGEXEXTRACT(O6861,""[0-9]+""))
),
0
)"),0.0)</f>
        <v>0</v>
      </c>
      <c r="E6861" s="1" t="s">
        <v>11</v>
      </c>
      <c r="F6861" s="1" t="s">
        <v>20</v>
      </c>
      <c r="G6861" s="4" t="b">
        <f t="shared" si="2"/>
        <v>1</v>
      </c>
      <c r="H6861" s="1" t="str">
        <f t="shared" si="3"/>
        <v>Currently Unavailable</v>
      </c>
      <c r="I6861" s="1" t="str">
        <f t="shared" si="4"/>
        <v>No Badges</v>
      </c>
      <c r="J6861" s="3">
        <f t="shared" si="5"/>
        <v>0</v>
      </c>
    </row>
    <row r="6862">
      <c r="A6862" s="1" t="s">
        <v>5241</v>
      </c>
      <c r="B6862" s="3" t="str">
        <f t="shared" si="1"/>
        <v>Unavailable</v>
      </c>
      <c r="C6862" s="3">
        <v>584.0</v>
      </c>
      <c r="D6862" s="3">
        <f>IFERROR(__xludf.DUMMYFUNCTION("IFERROR(
IF(REGEXMATCH(LOWER(O6862),""k""),
VALUE(REGEXEXTRACT(O6862,""[0-9]+""))*1000,
VALUE(REGEXEXTRACT(O6862,""[0-9]+""))
),
0
)"),0.0)</f>
        <v>0</v>
      </c>
      <c r="E6862" s="1" t="s">
        <v>11</v>
      </c>
      <c r="F6862" s="1" t="s">
        <v>20</v>
      </c>
      <c r="G6862" s="4" t="b">
        <f t="shared" si="2"/>
        <v>1</v>
      </c>
      <c r="H6862" s="1" t="str">
        <f t="shared" si="3"/>
        <v>Currently Unavailable</v>
      </c>
      <c r="I6862" s="1" t="str">
        <f t="shared" si="4"/>
        <v>No Badges</v>
      </c>
      <c r="J6862" s="3">
        <f t="shared" si="5"/>
        <v>0</v>
      </c>
    </row>
    <row r="6863">
      <c r="A6863" s="1" t="s">
        <v>5242</v>
      </c>
      <c r="B6863" s="3" t="str">
        <f t="shared" si="1"/>
        <v>Unavailable</v>
      </c>
      <c r="C6863" s="3">
        <v>615.0</v>
      </c>
      <c r="D6863" s="3">
        <f>IFERROR(__xludf.DUMMYFUNCTION("IFERROR(
IF(REGEXMATCH(LOWER(O6863),""k""),
VALUE(REGEXEXTRACT(O6863,""[0-9]+""))*1000,
VALUE(REGEXEXTRACT(O6863,""[0-9]+""))
),
0
)"),0.0)</f>
        <v>0</v>
      </c>
      <c r="E6863" s="1" t="s">
        <v>11</v>
      </c>
      <c r="F6863" s="1" t="s">
        <v>20</v>
      </c>
      <c r="G6863" s="4" t="b">
        <f t="shared" si="2"/>
        <v>1</v>
      </c>
      <c r="H6863" s="1" t="str">
        <f t="shared" si="3"/>
        <v>Currently Unavailable</v>
      </c>
      <c r="I6863" s="1" t="str">
        <f t="shared" si="4"/>
        <v>No Badges</v>
      </c>
      <c r="J6863" s="3">
        <f t="shared" si="5"/>
        <v>0</v>
      </c>
    </row>
    <row r="6864">
      <c r="A6864" s="1" t="s">
        <v>5212</v>
      </c>
      <c r="B6864" s="3" t="str">
        <f t="shared" si="1"/>
        <v>Unavailable</v>
      </c>
      <c r="C6864" s="5">
        <v>4614.0</v>
      </c>
      <c r="D6864" s="3">
        <f>IFERROR(__xludf.DUMMYFUNCTION("IFERROR(
IF(REGEXMATCH(LOWER(O6864),""k""),
VALUE(REGEXEXTRACT(O6864,""[0-9]+""))*1000,
VALUE(REGEXEXTRACT(O6864,""[0-9]+""))
),
0
)"),0.0)</f>
        <v>0</v>
      </c>
      <c r="E6864" s="1" t="s">
        <v>11</v>
      </c>
      <c r="F6864" s="1" t="s">
        <v>20</v>
      </c>
      <c r="G6864" s="4" t="b">
        <f t="shared" si="2"/>
        <v>1</v>
      </c>
      <c r="H6864" s="1" t="str">
        <f t="shared" si="3"/>
        <v>Currently Unavailable</v>
      </c>
      <c r="I6864" s="1" t="str">
        <f t="shared" si="4"/>
        <v>No Badges</v>
      </c>
      <c r="J6864" s="3">
        <f t="shared" si="5"/>
        <v>0</v>
      </c>
    </row>
    <row r="6865">
      <c r="A6865" s="1" t="s">
        <v>5213</v>
      </c>
      <c r="B6865" s="3" t="str">
        <f t="shared" si="1"/>
        <v>Unavailable</v>
      </c>
      <c r="C6865" s="5">
        <v>1199.0</v>
      </c>
      <c r="D6865" s="3">
        <f>IFERROR(__xludf.DUMMYFUNCTION("IFERROR(
IF(REGEXMATCH(LOWER(O6865),""k""),
VALUE(REGEXEXTRACT(O6865,""[0-9]+""))*1000,
VALUE(REGEXEXTRACT(O6865,""[0-9]+""))
),
0
)"),0.0)</f>
        <v>0</v>
      </c>
      <c r="E6865" s="1" t="s">
        <v>11</v>
      </c>
      <c r="F6865" s="1" t="s">
        <v>20</v>
      </c>
      <c r="G6865" s="4" t="b">
        <f t="shared" si="2"/>
        <v>1</v>
      </c>
      <c r="H6865" s="1" t="str">
        <f t="shared" si="3"/>
        <v>Currently Unavailable</v>
      </c>
      <c r="I6865" s="1" t="str">
        <f t="shared" si="4"/>
        <v>No Badges</v>
      </c>
      <c r="J6865" s="3">
        <f t="shared" si="5"/>
        <v>0</v>
      </c>
    </row>
    <row r="6866">
      <c r="A6866" s="1" t="s">
        <v>5243</v>
      </c>
      <c r="B6866" s="3" t="str">
        <f t="shared" si="1"/>
        <v>Unavailable</v>
      </c>
      <c r="C6866" s="3">
        <v>81.0</v>
      </c>
      <c r="D6866" s="3">
        <f>IFERROR(__xludf.DUMMYFUNCTION("IFERROR(
IF(REGEXMATCH(LOWER(O6866),""k""),
VALUE(REGEXEXTRACT(O6866,""[0-9]+""))*1000,
VALUE(REGEXEXTRACT(O6866,""[0-9]+""))
),
0
)"),0.0)</f>
        <v>0</v>
      </c>
      <c r="E6866" s="1" t="s">
        <v>11</v>
      </c>
      <c r="F6866" s="1" t="s">
        <v>20</v>
      </c>
      <c r="G6866" s="4" t="b">
        <f t="shared" si="2"/>
        <v>1</v>
      </c>
      <c r="H6866" s="1" t="str">
        <f t="shared" si="3"/>
        <v>Currently Unavailable</v>
      </c>
      <c r="I6866" s="1" t="str">
        <f t="shared" si="4"/>
        <v>No Badges</v>
      </c>
      <c r="J6866" s="3">
        <f t="shared" si="5"/>
        <v>0</v>
      </c>
    </row>
    <row r="6867">
      <c r="A6867" s="1" t="s">
        <v>5244</v>
      </c>
      <c r="B6867" s="3" t="str">
        <f t="shared" si="1"/>
        <v>Unavailable</v>
      </c>
      <c r="C6867" s="5">
        <v>3435.0</v>
      </c>
      <c r="D6867" s="3">
        <f>IFERROR(__xludf.DUMMYFUNCTION("IFERROR(
IF(REGEXMATCH(LOWER(O6867),""k""),
VALUE(REGEXEXTRACT(O6867,""[0-9]+""))*1000,
VALUE(REGEXEXTRACT(O6867,""[0-9]+""))
),
0
)"),0.0)</f>
        <v>0</v>
      </c>
      <c r="E6867" s="1" t="s">
        <v>11</v>
      </c>
      <c r="F6867" s="1" t="s">
        <v>20</v>
      </c>
      <c r="G6867" s="4" t="b">
        <f t="shared" si="2"/>
        <v>1</v>
      </c>
      <c r="H6867" s="1" t="str">
        <f t="shared" si="3"/>
        <v>Currently Unavailable</v>
      </c>
      <c r="I6867" s="1" t="str">
        <f t="shared" si="4"/>
        <v>No Badges</v>
      </c>
      <c r="J6867" s="3">
        <f t="shared" si="5"/>
        <v>0</v>
      </c>
    </row>
    <row r="6868">
      <c r="A6868" s="1" t="s">
        <v>5245</v>
      </c>
      <c r="B6868" s="3" t="str">
        <f t="shared" si="1"/>
        <v>Unavailable</v>
      </c>
      <c r="C6868" s="5">
        <v>15380.0</v>
      </c>
      <c r="D6868" s="3">
        <f>IFERROR(__xludf.DUMMYFUNCTION("IFERROR(
IF(REGEXMATCH(LOWER(O6868),""k""),
VALUE(REGEXEXTRACT(O6868,""[0-9]+""))*1000,
VALUE(REGEXEXTRACT(O6868,""[0-9]+""))
),
0
)"),0.0)</f>
        <v>0</v>
      </c>
      <c r="E6868" s="1" t="s">
        <v>11</v>
      </c>
      <c r="F6868" s="1" t="s">
        <v>20</v>
      </c>
      <c r="G6868" s="4" t="b">
        <f t="shared" si="2"/>
        <v>1</v>
      </c>
      <c r="H6868" s="1" t="str">
        <f t="shared" si="3"/>
        <v>Currently Unavailable</v>
      </c>
      <c r="I6868" s="1" t="str">
        <f t="shared" si="4"/>
        <v>No Badges</v>
      </c>
      <c r="J6868" s="3">
        <f t="shared" si="5"/>
        <v>0</v>
      </c>
    </row>
    <row r="6869">
      <c r="A6869" s="1" t="s">
        <v>5246</v>
      </c>
      <c r="B6869" s="3" t="str">
        <f t="shared" si="1"/>
        <v>Unavailable</v>
      </c>
      <c r="C6869" s="5">
        <v>1474.0</v>
      </c>
      <c r="D6869" s="3">
        <f>IFERROR(__xludf.DUMMYFUNCTION("IFERROR(
IF(REGEXMATCH(LOWER(O6869),""k""),
VALUE(REGEXEXTRACT(O6869,""[0-9]+""))*1000,
VALUE(REGEXEXTRACT(O6869,""[0-9]+""))
),
0
)"),0.0)</f>
        <v>0</v>
      </c>
      <c r="E6869" s="1" t="s">
        <v>11</v>
      </c>
      <c r="F6869" s="1" t="s">
        <v>20</v>
      </c>
      <c r="G6869" s="4" t="b">
        <f t="shared" si="2"/>
        <v>1</v>
      </c>
      <c r="H6869" s="1" t="str">
        <f t="shared" si="3"/>
        <v>Currently Unavailable</v>
      </c>
      <c r="I6869" s="1" t="str">
        <f t="shared" si="4"/>
        <v>No Badges</v>
      </c>
      <c r="J6869" s="3">
        <f t="shared" si="5"/>
        <v>0</v>
      </c>
    </row>
    <row r="6870">
      <c r="A6870" s="1" t="s">
        <v>5247</v>
      </c>
      <c r="B6870" s="3" t="str">
        <f t="shared" si="1"/>
        <v>Unavailable</v>
      </c>
      <c r="C6870" s="5">
        <v>32810.0</v>
      </c>
      <c r="D6870" s="3">
        <f>IFERROR(__xludf.DUMMYFUNCTION("IFERROR(
IF(REGEXMATCH(LOWER(O6870),""k""),
VALUE(REGEXEXTRACT(O6870,""[0-9]+""))*1000,
VALUE(REGEXEXTRACT(O6870,""[0-9]+""))
),
0
)"),0.0)</f>
        <v>0</v>
      </c>
      <c r="E6870" s="1" t="s">
        <v>11</v>
      </c>
      <c r="F6870" s="1" t="s">
        <v>20</v>
      </c>
      <c r="G6870" s="4" t="b">
        <f t="shared" si="2"/>
        <v>1</v>
      </c>
      <c r="H6870" s="1" t="str">
        <f t="shared" si="3"/>
        <v>Currently Unavailable</v>
      </c>
      <c r="I6870" s="1" t="str">
        <f t="shared" si="4"/>
        <v>No Badges</v>
      </c>
      <c r="J6870" s="3">
        <f t="shared" si="5"/>
        <v>0</v>
      </c>
    </row>
    <row r="6871">
      <c r="A6871" s="1" t="s">
        <v>5248</v>
      </c>
      <c r="B6871" s="3" t="str">
        <f t="shared" si="1"/>
        <v>Unavailable</v>
      </c>
      <c r="C6871" s="3">
        <v>517.0</v>
      </c>
      <c r="D6871" s="3">
        <f>IFERROR(__xludf.DUMMYFUNCTION("IFERROR(
IF(REGEXMATCH(LOWER(O6871),""k""),
VALUE(REGEXEXTRACT(O6871,""[0-9]+""))*1000,
VALUE(REGEXEXTRACT(O6871,""[0-9]+""))
),
0
)"),0.0)</f>
        <v>0</v>
      </c>
      <c r="E6871" s="1" t="s">
        <v>11</v>
      </c>
      <c r="F6871" s="1" t="s">
        <v>20</v>
      </c>
      <c r="G6871" s="4" t="b">
        <f t="shared" si="2"/>
        <v>1</v>
      </c>
      <c r="H6871" s="1" t="str">
        <f t="shared" si="3"/>
        <v>Currently Unavailable</v>
      </c>
      <c r="I6871" s="1" t="str">
        <f t="shared" si="4"/>
        <v>No Badges</v>
      </c>
      <c r="J6871" s="3">
        <f t="shared" si="5"/>
        <v>0</v>
      </c>
    </row>
    <row r="6872">
      <c r="A6872" s="1" t="s">
        <v>5249</v>
      </c>
      <c r="B6872" s="3" t="str">
        <f t="shared" si="1"/>
        <v>Unavailable</v>
      </c>
      <c r="C6872" s="5">
        <v>70083.0</v>
      </c>
      <c r="D6872" s="3">
        <f>IFERROR(__xludf.DUMMYFUNCTION("IFERROR(
IF(REGEXMATCH(LOWER(O6872),""k""),
VALUE(REGEXEXTRACT(O6872,""[0-9]+""))*1000,
VALUE(REGEXEXTRACT(O6872,""[0-9]+""))
),
0
)"),0.0)</f>
        <v>0</v>
      </c>
      <c r="E6872" s="1" t="s">
        <v>11</v>
      </c>
      <c r="F6872" s="1" t="s">
        <v>20</v>
      </c>
      <c r="G6872" s="4" t="b">
        <f t="shared" si="2"/>
        <v>1</v>
      </c>
      <c r="H6872" s="1" t="str">
        <f t="shared" si="3"/>
        <v>Currently Unavailable</v>
      </c>
      <c r="I6872" s="1" t="str">
        <f t="shared" si="4"/>
        <v>No Badges</v>
      </c>
      <c r="J6872" s="3">
        <f t="shared" si="5"/>
        <v>0</v>
      </c>
    </row>
    <row r="6873">
      <c r="A6873" s="1" t="s">
        <v>5250</v>
      </c>
      <c r="B6873" s="3" t="str">
        <f t="shared" si="1"/>
        <v>Unavailable</v>
      </c>
      <c r="C6873" s="5">
        <v>54759.0</v>
      </c>
      <c r="D6873" s="3">
        <f>IFERROR(__xludf.DUMMYFUNCTION("IFERROR(
IF(REGEXMATCH(LOWER(O6873),""k""),
VALUE(REGEXEXTRACT(O6873,""[0-9]+""))*1000,
VALUE(REGEXEXTRACT(O6873,""[0-9]+""))
),
0
)"),0.0)</f>
        <v>0</v>
      </c>
      <c r="E6873" s="1" t="s">
        <v>11</v>
      </c>
      <c r="F6873" s="1" t="s">
        <v>20</v>
      </c>
      <c r="G6873" s="4" t="b">
        <f t="shared" si="2"/>
        <v>1</v>
      </c>
      <c r="H6873" s="1" t="str">
        <f t="shared" si="3"/>
        <v>Currently Unavailable</v>
      </c>
      <c r="I6873" s="1" t="str">
        <f t="shared" si="4"/>
        <v>No Badges</v>
      </c>
      <c r="J6873" s="3">
        <f t="shared" si="5"/>
        <v>0</v>
      </c>
    </row>
    <row r="6874">
      <c r="A6874" s="1" t="s">
        <v>5251</v>
      </c>
      <c r="B6874" s="3" t="str">
        <f t="shared" si="1"/>
        <v>Unavailable</v>
      </c>
      <c r="C6874" s="5">
        <v>48326.0</v>
      </c>
      <c r="D6874" s="3">
        <f>IFERROR(__xludf.DUMMYFUNCTION("IFERROR(
IF(REGEXMATCH(LOWER(O6874),""k""),
VALUE(REGEXEXTRACT(O6874,""[0-9]+""))*1000,
VALUE(REGEXEXTRACT(O6874,""[0-9]+""))
),
0
)"),0.0)</f>
        <v>0</v>
      </c>
      <c r="E6874" s="1" t="s">
        <v>11</v>
      </c>
      <c r="F6874" s="1" t="s">
        <v>20</v>
      </c>
      <c r="G6874" s="4" t="b">
        <f t="shared" si="2"/>
        <v>1</v>
      </c>
      <c r="H6874" s="1" t="str">
        <f t="shared" si="3"/>
        <v>Currently Unavailable</v>
      </c>
      <c r="I6874" s="1" t="str">
        <f t="shared" si="4"/>
        <v>No Badges</v>
      </c>
      <c r="J6874" s="3">
        <f t="shared" si="5"/>
        <v>0</v>
      </c>
    </row>
    <row r="6875">
      <c r="A6875" s="1" t="s">
        <v>5252</v>
      </c>
      <c r="B6875" s="3" t="str">
        <f t="shared" si="1"/>
        <v>Unavailable</v>
      </c>
      <c r="C6875" s="5">
        <v>2740.0</v>
      </c>
      <c r="D6875" s="3">
        <f>IFERROR(__xludf.DUMMYFUNCTION("IFERROR(
IF(REGEXMATCH(LOWER(O6875),""k""),
VALUE(REGEXEXTRACT(O6875,""[0-9]+""))*1000,
VALUE(REGEXEXTRACT(O6875,""[0-9]+""))
),
0
)"),0.0)</f>
        <v>0</v>
      </c>
      <c r="E6875" s="1" t="s">
        <v>158</v>
      </c>
      <c r="F6875" s="1" t="s">
        <v>20</v>
      </c>
      <c r="G6875" s="4" t="b">
        <f t="shared" si="2"/>
        <v>1</v>
      </c>
      <c r="H6875" s="1" t="str">
        <f t="shared" si="3"/>
        <v>Currently Unavailable</v>
      </c>
      <c r="I6875" s="1" t="str">
        <f t="shared" si="4"/>
        <v>No Badges</v>
      </c>
      <c r="J6875" s="3">
        <f t="shared" si="5"/>
        <v>0</v>
      </c>
    </row>
    <row r="6876">
      <c r="A6876" s="1" t="s">
        <v>5253</v>
      </c>
      <c r="B6876" s="3" t="str">
        <f t="shared" si="1"/>
        <v>Unavailable</v>
      </c>
      <c r="C6876" s="5">
        <v>3875.0</v>
      </c>
      <c r="D6876" s="3">
        <f>IFERROR(__xludf.DUMMYFUNCTION("IFERROR(
IF(REGEXMATCH(LOWER(O6876),""k""),
VALUE(REGEXEXTRACT(O6876,""[0-9]+""))*1000,
VALUE(REGEXEXTRACT(O6876,""[0-9]+""))
),
0
)"),0.0)</f>
        <v>0</v>
      </c>
      <c r="E6876" s="1" t="s">
        <v>158</v>
      </c>
      <c r="F6876" s="1" t="s">
        <v>20</v>
      </c>
      <c r="G6876" s="4" t="b">
        <f t="shared" si="2"/>
        <v>1</v>
      </c>
      <c r="H6876" s="1" t="str">
        <f t="shared" si="3"/>
        <v>Currently Unavailable</v>
      </c>
      <c r="I6876" s="1" t="str">
        <f t="shared" si="4"/>
        <v>No Badges</v>
      </c>
      <c r="J6876" s="3">
        <f t="shared" si="5"/>
        <v>0</v>
      </c>
    </row>
    <row r="6877">
      <c r="A6877" s="1" t="s">
        <v>5254</v>
      </c>
      <c r="B6877" s="3" t="str">
        <f t="shared" si="1"/>
        <v>Unavailable</v>
      </c>
      <c r="C6877" s="5">
        <v>23494.0</v>
      </c>
      <c r="D6877" s="3">
        <f>IFERROR(__xludf.DUMMYFUNCTION("IFERROR(
IF(REGEXMATCH(LOWER(O6877),""k""),
VALUE(REGEXEXTRACT(O6877,""[0-9]+""))*1000,
VALUE(REGEXEXTRACT(O6877,""[0-9]+""))
),
0
)"),0.0)</f>
        <v>0</v>
      </c>
      <c r="E6877" s="1" t="s">
        <v>11</v>
      </c>
      <c r="F6877" s="1" t="s">
        <v>20</v>
      </c>
      <c r="G6877" s="4" t="b">
        <f t="shared" si="2"/>
        <v>1</v>
      </c>
      <c r="H6877" s="1" t="str">
        <f t="shared" si="3"/>
        <v>Currently Unavailable</v>
      </c>
      <c r="I6877" s="1" t="str">
        <f t="shared" si="4"/>
        <v>No Badges</v>
      </c>
      <c r="J6877" s="3">
        <f t="shared" si="5"/>
        <v>0</v>
      </c>
    </row>
    <row r="6878">
      <c r="A6878" s="1" t="s">
        <v>5255</v>
      </c>
      <c r="B6878" s="3" t="str">
        <f t="shared" si="1"/>
        <v>Unavailable</v>
      </c>
      <c r="C6878" s="5">
        <v>18220.0</v>
      </c>
      <c r="D6878" s="3">
        <f>IFERROR(__xludf.DUMMYFUNCTION("IFERROR(
IF(REGEXMATCH(LOWER(O6878),""k""),
VALUE(REGEXEXTRACT(O6878,""[0-9]+""))*1000,
VALUE(REGEXEXTRACT(O6878,""[0-9]+""))
),
0
)"),0.0)</f>
        <v>0</v>
      </c>
      <c r="E6878" s="1" t="s">
        <v>11</v>
      </c>
      <c r="F6878" s="1" t="s">
        <v>20</v>
      </c>
      <c r="G6878" s="4" t="b">
        <f t="shared" si="2"/>
        <v>1</v>
      </c>
      <c r="H6878" s="1" t="str">
        <f t="shared" si="3"/>
        <v>Currently Unavailable</v>
      </c>
      <c r="I6878" s="1" t="str">
        <f t="shared" si="4"/>
        <v>No Badges</v>
      </c>
      <c r="J6878" s="3">
        <f t="shared" si="5"/>
        <v>0</v>
      </c>
    </row>
    <row r="6879">
      <c r="A6879" s="1" t="s">
        <v>5256</v>
      </c>
      <c r="B6879" s="3" t="str">
        <f t="shared" si="1"/>
        <v>Unavailable</v>
      </c>
      <c r="C6879" s="5">
        <v>25884.0</v>
      </c>
      <c r="D6879" s="3">
        <f>IFERROR(__xludf.DUMMYFUNCTION("IFERROR(
IF(REGEXMATCH(LOWER(O6879),""k""),
VALUE(REGEXEXTRACT(O6879,""[0-9]+""))*1000,
VALUE(REGEXEXTRACT(O6879,""[0-9]+""))
),
0
)"),0.0)</f>
        <v>0</v>
      </c>
      <c r="E6879" s="1" t="s">
        <v>11</v>
      </c>
      <c r="F6879" s="1" t="s">
        <v>20</v>
      </c>
      <c r="G6879" s="4" t="b">
        <f t="shared" si="2"/>
        <v>1</v>
      </c>
      <c r="H6879" s="1" t="str">
        <f t="shared" si="3"/>
        <v>Currently Unavailable</v>
      </c>
      <c r="I6879" s="1" t="str">
        <f t="shared" si="4"/>
        <v>No Badges</v>
      </c>
      <c r="J6879" s="3">
        <f t="shared" si="5"/>
        <v>0</v>
      </c>
    </row>
    <row r="6880">
      <c r="A6880" s="1" t="s">
        <v>5249</v>
      </c>
      <c r="B6880" s="3" t="str">
        <f t="shared" si="1"/>
        <v>Unavailable</v>
      </c>
      <c r="C6880" s="5">
        <v>70083.0</v>
      </c>
      <c r="D6880" s="3">
        <f>IFERROR(__xludf.DUMMYFUNCTION("IFERROR(
IF(REGEXMATCH(LOWER(O6880),""k""),
VALUE(REGEXEXTRACT(O6880,""[0-9]+""))*1000,
VALUE(REGEXEXTRACT(O6880,""[0-9]+""))
),
0
)"),0.0)</f>
        <v>0</v>
      </c>
      <c r="E6880" s="1" t="s">
        <v>11</v>
      </c>
      <c r="F6880" s="1" t="s">
        <v>12</v>
      </c>
      <c r="G6880" s="4" t="b">
        <f t="shared" si="2"/>
        <v>1</v>
      </c>
      <c r="H6880" s="1" t="str">
        <f t="shared" si="3"/>
        <v>Currently Unavailable</v>
      </c>
      <c r="I6880" s="1" t="str">
        <f t="shared" si="4"/>
        <v>No Badges</v>
      </c>
      <c r="J6880" s="3">
        <f t="shared" si="5"/>
        <v>0</v>
      </c>
    </row>
    <row r="6881">
      <c r="A6881" s="1" t="s">
        <v>5249</v>
      </c>
      <c r="B6881" s="3" t="str">
        <f t="shared" si="1"/>
        <v>Unavailable</v>
      </c>
      <c r="C6881" s="5">
        <v>70083.0</v>
      </c>
      <c r="D6881" s="3">
        <f>IFERROR(__xludf.DUMMYFUNCTION("IFERROR(
IF(REGEXMATCH(LOWER(O6881),""k""),
VALUE(REGEXEXTRACT(O6881,""[0-9]+""))*1000,
VALUE(REGEXEXTRACT(O6881,""[0-9]+""))
),
0
)"),0.0)</f>
        <v>0</v>
      </c>
      <c r="E6881" s="1" t="s">
        <v>11</v>
      </c>
      <c r="F6881" s="1" t="s">
        <v>12</v>
      </c>
      <c r="G6881" s="4" t="b">
        <f t="shared" si="2"/>
        <v>1</v>
      </c>
      <c r="H6881" s="1" t="str">
        <f t="shared" si="3"/>
        <v>Currently Unavailable</v>
      </c>
      <c r="I6881" s="1" t="str">
        <f t="shared" si="4"/>
        <v>No Badges</v>
      </c>
      <c r="J6881" s="3">
        <f t="shared" si="5"/>
        <v>0</v>
      </c>
    </row>
    <row r="6882">
      <c r="A6882" s="1" t="s">
        <v>5249</v>
      </c>
      <c r="B6882" s="3" t="str">
        <f t="shared" si="1"/>
        <v>Unavailable</v>
      </c>
      <c r="C6882" s="5">
        <v>70083.0</v>
      </c>
      <c r="D6882" s="3">
        <f>IFERROR(__xludf.DUMMYFUNCTION("IFERROR(
IF(REGEXMATCH(LOWER(O6882),""k""),
VALUE(REGEXEXTRACT(O6882,""[0-9]+""))*1000,
VALUE(REGEXEXTRACT(O6882,""[0-9]+""))
),
0
)"),0.0)</f>
        <v>0</v>
      </c>
      <c r="E6882" s="1" t="s">
        <v>11</v>
      </c>
      <c r="F6882" s="1" t="s">
        <v>12</v>
      </c>
      <c r="G6882" s="4" t="b">
        <f t="shared" si="2"/>
        <v>1</v>
      </c>
      <c r="H6882" s="1" t="str">
        <f t="shared" si="3"/>
        <v>Currently Unavailable</v>
      </c>
      <c r="I6882" s="1" t="str">
        <f t="shared" si="4"/>
        <v>No Badges</v>
      </c>
      <c r="J6882" s="3">
        <f t="shared" si="5"/>
        <v>0</v>
      </c>
    </row>
    <row r="6883">
      <c r="A6883" s="1" t="s">
        <v>69</v>
      </c>
      <c r="B6883" s="3" t="str">
        <f t="shared" si="1"/>
        <v>Unavailable</v>
      </c>
      <c r="C6883" s="3">
        <v>45.0</v>
      </c>
      <c r="D6883" s="3">
        <f>IFERROR(__xludf.DUMMYFUNCTION("IFERROR(
IF(REGEXMATCH(LOWER(O6883),""k""),
VALUE(REGEXEXTRACT(O6883,""[0-9]+""))*1000,
VALUE(REGEXEXTRACT(O6883,""[0-9]+""))
),
0
)"),0.0)</f>
        <v>0</v>
      </c>
      <c r="E6883" s="1" t="s">
        <v>11</v>
      </c>
      <c r="F6883" s="1" t="s">
        <v>12</v>
      </c>
      <c r="G6883" s="4" t="b">
        <f t="shared" si="2"/>
        <v>1</v>
      </c>
      <c r="H6883" s="1" t="str">
        <f t="shared" si="3"/>
        <v>Currently Unavailable</v>
      </c>
      <c r="I6883" s="1" t="str">
        <f t="shared" si="4"/>
        <v>No Badges</v>
      </c>
      <c r="J6883" s="3">
        <f t="shared" si="5"/>
        <v>0</v>
      </c>
    </row>
    <row r="6884">
      <c r="A6884" s="1" t="s">
        <v>5249</v>
      </c>
      <c r="B6884" s="3" t="str">
        <f t="shared" si="1"/>
        <v>Unavailable</v>
      </c>
      <c r="C6884" s="5">
        <v>70083.0</v>
      </c>
      <c r="D6884" s="3">
        <f>IFERROR(__xludf.DUMMYFUNCTION("IFERROR(
IF(REGEXMATCH(LOWER(O6884),""k""),
VALUE(REGEXEXTRACT(O6884,""[0-9]+""))*1000,
VALUE(REGEXEXTRACT(O6884,""[0-9]+""))
),
0
)"),0.0)</f>
        <v>0</v>
      </c>
      <c r="E6884" s="1" t="s">
        <v>11</v>
      </c>
      <c r="F6884" s="1" t="s">
        <v>12</v>
      </c>
      <c r="G6884" s="4" t="b">
        <f t="shared" si="2"/>
        <v>1</v>
      </c>
      <c r="H6884" s="1" t="str">
        <f t="shared" si="3"/>
        <v>Currently Unavailable</v>
      </c>
      <c r="I6884" s="1" t="str">
        <f t="shared" si="4"/>
        <v>No Badges</v>
      </c>
      <c r="J6884" s="3">
        <f t="shared" si="5"/>
        <v>0</v>
      </c>
    </row>
    <row r="6885">
      <c r="A6885" s="1" t="s">
        <v>5249</v>
      </c>
      <c r="B6885" s="3" t="str">
        <f t="shared" si="1"/>
        <v>Unavailable</v>
      </c>
      <c r="C6885" s="5">
        <v>70083.0</v>
      </c>
      <c r="D6885" s="3">
        <f>IFERROR(__xludf.DUMMYFUNCTION("IFERROR(
IF(REGEXMATCH(LOWER(O6885),""k""),
VALUE(REGEXEXTRACT(O6885,""[0-9]+""))*1000,
VALUE(REGEXEXTRACT(O6885,""[0-9]+""))
),
0
)"),0.0)</f>
        <v>0</v>
      </c>
      <c r="E6885" s="1" t="s">
        <v>11</v>
      </c>
      <c r="F6885" s="1" t="s">
        <v>12</v>
      </c>
      <c r="G6885" s="4" t="b">
        <f t="shared" si="2"/>
        <v>1</v>
      </c>
      <c r="H6885" s="1" t="str">
        <f t="shared" si="3"/>
        <v>Currently Unavailable</v>
      </c>
      <c r="I6885" s="1" t="str">
        <f t="shared" si="4"/>
        <v>No Badges</v>
      </c>
      <c r="J6885" s="3">
        <f t="shared" si="5"/>
        <v>0</v>
      </c>
    </row>
    <row r="6886">
      <c r="A6886" s="1" t="s">
        <v>5257</v>
      </c>
      <c r="B6886" s="3" t="str">
        <f t="shared" si="1"/>
        <v>Unavailable</v>
      </c>
      <c r="C6886" s="5">
        <v>2216.0</v>
      </c>
      <c r="D6886" s="3">
        <f>IFERROR(__xludf.DUMMYFUNCTION("IFERROR(
IF(REGEXMATCH(LOWER(O6886),""k""),
VALUE(REGEXEXTRACT(O6886,""[0-9]+""))*1000,
VALUE(REGEXEXTRACT(O6886,""[0-9]+""))
),
0
)"),0.0)</f>
        <v>0</v>
      </c>
      <c r="E6886" s="1" t="s">
        <v>11</v>
      </c>
      <c r="F6886" s="1" t="s">
        <v>20</v>
      </c>
      <c r="G6886" s="4" t="b">
        <f t="shared" si="2"/>
        <v>1</v>
      </c>
      <c r="H6886" s="1" t="str">
        <f t="shared" si="3"/>
        <v>Currently Unavailable</v>
      </c>
      <c r="I6886" s="1" t="str">
        <f t="shared" si="4"/>
        <v>No Badges</v>
      </c>
      <c r="J6886" s="3">
        <f t="shared" si="5"/>
        <v>0</v>
      </c>
    </row>
    <row r="6887">
      <c r="A6887" s="1" t="s">
        <v>5258</v>
      </c>
      <c r="B6887" s="3" t="str">
        <f t="shared" si="1"/>
        <v>Unavailable</v>
      </c>
      <c r="C6887" s="3">
        <v>815.0</v>
      </c>
      <c r="D6887" s="3">
        <f>IFERROR(__xludf.DUMMYFUNCTION("IFERROR(
IF(REGEXMATCH(LOWER(O6887),""k""),
VALUE(REGEXEXTRACT(O6887,""[0-9]+""))*1000,
VALUE(REGEXEXTRACT(O6887,""[0-9]+""))
),
0
)"),0.0)</f>
        <v>0</v>
      </c>
      <c r="E6887" s="1" t="s">
        <v>11</v>
      </c>
      <c r="F6887" s="1" t="s">
        <v>20</v>
      </c>
      <c r="G6887" s="4" t="b">
        <f t="shared" si="2"/>
        <v>1</v>
      </c>
      <c r="H6887" s="1" t="str">
        <f t="shared" si="3"/>
        <v>Currently Unavailable</v>
      </c>
      <c r="I6887" s="1" t="str">
        <f t="shared" si="4"/>
        <v>No Badges</v>
      </c>
      <c r="J6887" s="3">
        <f t="shared" si="5"/>
        <v>0</v>
      </c>
    </row>
    <row r="6888">
      <c r="A6888" s="1" t="s">
        <v>5259</v>
      </c>
      <c r="B6888" s="1" t="str">
        <f t="shared" si="1"/>
        <v>Unavailable</v>
      </c>
      <c r="C6888" s="1"/>
      <c r="D6888" s="3">
        <f>IFERROR(__xludf.DUMMYFUNCTION("IFERROR(
IF(REGEXMATCH(LOWER(O6888),""k""),
VALUE(REGEXEXTRACT(O6888,""[0-9]+""))*1000,
VALUE(REGEXEXTRACT(O6888,""[0-9]+""))
),
0
)"),0.0)</f>
        <v>0</v>
      </c>
      <c r="E6888" s="1" t="s">
        <v>11</v>
      </c>
      <c r="F6888" s="1" t="s">
        <v>20</v>
      </c>
      <c r="G6888" s="4" t="b">
        <f t="shared" si="2"/>
        <v>1</v>
      </c>
      <c r="H6888" s="1" t="str">
        <f t="shared" si="3"/>
        <v>Currently Unavailable</v>
      </c>
      <c r="I6888" s="1" t="str">
        <f t="shared" si="4"/>
        <v>No Badges</v>
      </c>
      <c r="J6888" s="3">
        <f t="shared" si="5"/>
        <v>0</v>
      </c>
    </row>
    <row r="6889">
      <c r="A6889" s="1" t="s">
        <v>5260</v>
      </c>
      <c r="B6889" s="3" t="str">
        <f t="shared" si="1"/>
        <v>Unavailable</v>
      </c>
      <c r="C6889" s="3">
        <v>496.0</v>
      </c>
      <c r="D6889" s="3">
        <f>IFERROR(__xludf.DUMMYFUNCTION("IFERROR(
IF(REGEXMATCH(LOWER(O6889),""k""),
VALUE(REGEXEXTRACT(O6889,""[0-9]+""))*1000,
VALUE(REGEXEXTRACT(O6889,""[0-9]+""))
),
0
)"),0.0)</f>
        <v>0</v>
      </c>
      <c r="E6889" s="1" t="s">
        <v>11</v>
      </c>
      <c r="F6889" s="1" t="s">
        <v>20</v>
      </c>
      <c r="G6889" s="4" t="b">
        <f t="shared" si="2"/>
        <v>1</v>
      </c>
      <c r="H6889" s="1" t="str">
        <f t="shared" si="3"/>
        <v>Currently Unavailable</v>
      </c>
      <c r="I6889" s="1" t="str">
        <f t="shared" si="4"/>
        <v>No Badges</v>
      </c>
      <c r="J6889" s="3">
        <f t="shared" si="5"/>
        <v>0</v>
      </c>
    </row>
    <row r="6890">
      <c r="A6890" s="1" t="s">
        <v>5261</v>
      </c>
      <c r="B6890" s="3" t="str">
        <f t="shared" si="1"/>
        <v>Unavailable</v>
      </c>
      <c r="C6890" s="3">
        <v>723.0</v>
      </c>
      <c r="D6890" s="3">
        <f>IFERROR(__xludf.DUMMYFUNCTION("IFERROR(
IF(REGEXMATCH(LOWER(O6890),""k""),
VALUE(REGEXEXTRACT(O6890,""[0-9]+""))*1000,
VALUE(REGEXEXTRACT(O6890,""[0-9]+""))
),
0
)"),0.0)</f>
        <v>0</v>
      </c>
      <c r="E6890" s="1" t="s">
        <v>11</v>
      </c>
      <c r="F6890" s="1" t="s">
        <v>20</v>
      </c>
      <c r="G6890" s="4" t="b">
        <f t="shared" si="2"/>
        <v>1</v>
      </c>
      <c r="H6890" s="1" t="str">
        <f t="shared" si="3"/>
        <v>Currently Unavailable</v>
      </c>
      <c r="I6890" s="1" t="str">
        <f t="shared" si="4"/>
        <v>No Badges</v>
      </c>
      <c r="J6890" s="3">
        <f t="shared" si="5"/>
        <v>0</v>
      </c>
    </row>
    <row r="6891">
      <c r="A6891" s="1" t="s">
        <v>5262</v>
      </c>
      <c r="B6891" s="3" t="str">
        <f t="shared" si="1"/>
        <v>Unavailable</v>
      </c>
      <c r="C6891" s="5">
        <v>30942.0</v>
      </c>
      <c r="D6891" s="3">
        <f>IFERROR(__xludf.DUMMYFUNCTION("IFERROR(
IF(REGEXMATCH(LOWER(O6891),""k""),
VALUE(REGEXEXTRACT(O6891,""[0-9]+""))*1000,
VALUE(REGEXEXTRACT(O6891,""[0-9]+""))
),
0
)"),0.0)</f>
        <v>0</v>
      </c>
      <c r="E6891" s="1" t="s">
        <v>11</v>
      </c>
      <c r="F6891" s="1" t="s">
        <v>12</v>
      </c>
      <c r="G6891" s="4" t="b">
        <f t="shared" si="2"/>
        <v>1</v>
      </c>
      <c r="H6891" s="1" t="str">
        <f t="shared" si="3"/>
        <v>Currently Unavailable</v>
      </c>
      <c r="I6891" s="1" t="str">
        <f t="shared" si="4"/>
        <v>No Badges</v>
      </c>
      <c r="J6891" s="3">
        <f t="shared" si="5"/>
        <v>0</v>
      </c>
    </row>
    <row r="6892">
      <c r="A6892" s="1" t="s">
        <v>5263</v>
      </c>
      <c r="B6892" s="3" t="str">
        <f t="shared" si="1"/>
        <v>Unavailable</v>
      </c>
      <c r="C6892" s="5">
        <v>2169.0</v>
      </c>
      <c r="D6892" s="3">
        <f>IFERROR(__xludf.DUMMYFUNCTION("IFERROR(
IF(REGEXMATCH(LOWER(O6892),""k""),
VALUE(REGEXEXTRACT(O6892,""[0-9]+""))*1000,
VALUE(REGEXEXTRACT(O6892,""[0-9]+""))
),
0
)"),0.0)</f>
        <v>0</v>
      </c>
      <c r="E6892" s="1" t="s">
        <v>11</v>
      </c>
      <c r="F6892" s="1" t="s">
        <v>20</v>
      </c>
      <c r="G6892" s="4" t="b">
        <f t="shared" si="2"/>
        <v>1</v>
      </c>
      <c r="H6892" s="1" t="str">
        <f t="shared" si="3"/>
        <v>Currently Unavailable</v>
      </c>
      <c r="I6892" s="1" t="str">
        <f t="shared" si="4"/>
        <v>No Badges</v>
      </c>
      <c r="J6892" s="3">
        <f t="shared" si="5"/>
        <v>0</v>
      </c>
    </row>
    <row r="6893">
      <c r="A6893" s="1" t="s">
        <v>5264</v>
      </c>
      <c r="B6893" s="3" t="str">
        <f t="shared" si="1"/>
        <v>Unavailable</v>
      </c>
      <c r="C6893" s="5">
        <v>1742.0</v>
      </c>
      <c r="D6893" s="3">
        <f>IFERROR(__xludf.DUMMYFUNCTION("IFERROR(
IF(REGEXMATCH(LOWER(O6893),""k""),
VALUE(REGEXEXTRACT(O6893,""[0-9]+""))*1000,
VALUE(REGEXEXTRACT(O6893,""[0-9]+""))
),
0
)"),0.0)</f>
        <v>0</v>
      </c>
      <c r="E6893" s="1" t="s">
        <v>18</v>
      </c>
      <c r="F6893" s="1" t="s">
        <v>20</v>
      </c>
      <c r="G6893" s="4" t="b">
        <f t="shared" si="2"/>
        <v>1</v>
      </c>
      <c r="H6893" s="1" t="str">
        <f t="shared" si="3"/>
        <v>Currently Unavailable</v>
      </c>
      <c r="I6893" s="1" t="str">
        <f t="shared" si="4"/>
        <v>No Badges</v>
      </c>
      <c r="J6893" s="3">
        <f t="shared" si="5"/>
        <v>0</v>
      </c>
    </row>
    <row r="6894">
      <c r="A6894" s="1" t="s">
        <v>5265</v>
      </c>
      <c r="B6894" s="3" t="str">
        <f t="shared" si="1"/>
        <v>Unavailable</v>
      </c>
      <c r="C6894" s="3">
        <v>743.0</v>
      </c>
      <c r="D6894" s="3">
        <f>IFERROR(__xludf.DUMMYFUNCTION("IFERROR(
IF(REGEXMATCH(LOWER(O6894),""k""),
VALUE(REGEXEXTRACT(O6894,""[0-9]+""))*1000,
VALUE(REGEXEXTRACT(O6894,""[0-9]+""))
),
0
)"),0.0)</f>
        <v>0</v>
      </c>
      <c r="E6894" s="1" t="s">
        <v>158</v>
      </c>
      <c r="F6894" s="1" t="s">
        <v>20</v>
      </c>
      <c r="G6894" s="4" t="b">
        <f t="shared" si="2"/>
        <v>1</v>
      </c>
      <c r="H6894" s="1" t="str">
        <f t="shared" si="3"/>
        <v>Currently Unavailable</v>
      </c>
      <c r="I6894" s="1" t="str">
        <f t="shared" si="4"/>
        <v>No Badges</v>
      </c>
      <c r="J6894" s="3">
        <f t="shared" si="5"/>
        <v>0</v>
      </c>
    </row>
    <row r="6895">
      <c r="A6895" s="1" t="s">
        <v>5266</v>
      </c>
      <c r="B6895" s="3" t="str">
        <f t="shared" si="1"/>
        <v>Unavailable</v>
      </c>
      <c r="C6895" s="5">
        <v>7601.0</v>
      </c>
      <c r="D6895" s="3">
        <f>IFERROR(__xludf.DUMMYFUNCTION("IFERROR(
IF(REGEXMATCH(LOWER(O6895),""k""),
VALUE(REGEXEXTRACT(O6895,""[0-9]+""))*1000,
VALUE(REGEXEXTRACT(O6895,""[0-9]+""))
),
0
)"),0.0)</f>
        <v>0</v>
      </c>
      <c r="E6895" s="1" t="s">
        <v>11</v>
      </c>
      <c r="F6895" s="1" t="s">
        <v>20</v>
      </c>
      <c r="G6895" s="4" t="b">
        <f t="shared" si="2"/>
        <v>1</v>
      </c>
      <c r="H6895" s="1" t="str">
        <f t="shared" si="3"/>
        <v>Currently Unavailable</v>
      </c>
      <c r="I6895" s="1" t="str">
        <f t="shared" si="4"/>
        <v>No Badges</v>
      </c>
      <c r="J6895" s="3">
        <f t="shared" si="5"/>
        <v>0</v>
      </c>
    </row>
    <row r="6896">
      <c r="A6896" s="1" t="s">
        <v>5267</v>
      </c>
      <c r="B6896" s="3" t="str">
        <f t="shared" si="1"/>
        <v>Unavailable</v>
      </c>
      <c r="C6896" s="3">
        <v>590.0</v>
      </c>
      <c r="D6896" s="3">
        <f>IFERROR(__xludf.DUMMYFUNCTION("IFERROR(
IF(REGEXMATCH(LOWER(O6896),""k""),
VALUE(REGEXEXTRACT(O6896,""[0-9]+""))*1000,
VALUE(REGEXEXTRACT(O6896,""[0-9]+""))
),
0
)"),0.0)</f>
        <v>0</v>
      </c>
      <c r="E6896" s="1" t="s">
        <v>11</v>
      </c>
      <c r="F6896" s="1" t="s">
        <v>20</v>
      </c>
      <c r="G6896" s="4" t="b">
        <f t="shared" si="2"/>
        <v>1</v>
      </c>
      <c r="H6896" s="1" t="str">
        <f t="shared" si="3"/>
        <v>Currently Unavailable</v>
      </c>
      <c r="I6896" s="1" t="str">
        <f t="shared" si="4"/>
        <v>No Badges</v>
      </c>
      <c r="J6896" s="3">
        <f t="shared" si="5"/>
        <v>0</v>
      </c>
    </row>
    <row r="6897">
      <c r="A6897" s="1" t="s">
        <v>88</v>
      </c>
      <c r="B6897" s="3" t="str">
        <f t="shared" si="1"/>
        <v>Unavailable</v>
      </c>
      <c r="C6897" s="3">
        <v>5.0</v>
      </c>
      <c r="D6897" s="3">
        <f>IFERROR(__xludf.DUMMYFUNCTION("IFERROR(
IF(REGEXMATCH(LOWER(O6897),""k""),
VALUE(REGEXEXTRACT(O6897,""[0-9]+""))*1000,
VALUE(REGEXEXTRACT(O6897,""[0-9]+""))
),
0
)"),0.0)</f>
        <v>0</v>
      </c>
      <c r="E6897" s="1" t="s">
        <v>11</v>
      </c>
      <c r="F6897" s="1" t="s">
        <v>12</v>
      </c>
      <c r="G6897" s="4" t="b">
        <f t="shared" si="2"/>
        <v>1</v>
      </c>
      <c r="H6897" s="1" t="str">
        <f t="shared" si="3"/>
        <v>Currently Unavailable</v>
      </c>
      <c r="I6897" s="1" t="str">
        <f t="shared" si="4"/>
        <v>No Badges</v>
      </c>
      <c r="J6897" s="3">
        <f t="shared" si="5"/>
        <v>0</v>
      </c>
    </row>
    <row r="6898">
      <c r="A6898" s="1" t="s">
        <v>67</v>
      </c>
      <c r="B6898" s="3" t="str">
        <f t="shared" si="1"/>
        <v>Unavailable</v>
      </c>
      <c r="C6898" s="3">
        <v>264.0</v>
      </c>
      <c r="D6898" s="3">
        <f>IFERROR(__xludf.DUMMYFUNCTION("IFERROR(
IF(REGEXMATCH(LOWER(O6898),""k""),
VALUE(REGEXEXTRACT(O6898,""[0-9]+""))*1000,
VALUE(REGEXEXTRACT(O6898,""[0-9]+""))
),
0
)"),0.0)</f>
        <v>0</v>
      </c>
      <c r="E6898" s="1" t="s">
        <v>11</v>
      </c>
      <c r="F6898" s="1" t="s">
        <v>12</v>
      </c>
      <c r="G6898" s="4" t="b">
        <f t="shared" si="2"/>
        <v>1</v>
      </c>
      <c r="H6898" s="1" t="str">
        <f t="shared" si="3"/>
        <v>Currently Unavailable</v>
      </c>
      <c r="I6898" s="1" t="str">
        <f t="shared" si="4"/>
        <v>No Badges</v>
      </c>
      <c r="J6898" s="3">
        <f t="shared" si="5"/>
        <v>0</v>
      </c>
    </row>
    <row r="6899">
      <c r="A6899" s="1" t="s">
        <v>5268</v>
      </c>
      <c r="B6899" s="3" t="str">
        <f t="shared" si="1"/>
        <v>Unavailable</v>
      </c>
      <c r="C6899" s="5">
        <v>14186.0</v>
      </c>
      <c r="D6899" s="3">
        <f>IFERROR(__xludf.DUMMYFUNCTION("IFERROR(
IF(REGEXMATCH(LOWER(O6899),""k""),
VALUE(REGEXEXTRACT(O6899,""[0-9]+""))*1000,
VALUE(REGEXEXTRACT(O6899,""[0-9]+""))
),
0
)"),0.0)</f>
        <v>0</v>
      </c>
      <c r="E6899" s="1" t="s">
        <v>18</v>
      </c>
      <c r="F6899" s="1" t="s">
        <v>20</v>
      </c>
      <c r="G6899" s="4" t="b">
        <f t="shared" si="2"/>
        <v>1</v>
      </c>
      <c r="H6899" s="1" t="str">
        <f t="shared" si="3"/>
        <v>Currently Unavailable</v>
      </c>
      <c r="I6899" s="1" t="str">
        <f t="shared" si="4"/>
        <v>No Badges</v>
      </c>
      <c r="J6899" s="3">
        <f t="shared" si="5"/>
        <v>0</v>
      </c>
    </row>
    <row r="6900">
      <c r="A6900" s="1" t="s">
        <v>5269</v>
      </c>
      <c r="B6900" s="3" t="str">
        <f t="shared" si="1"/>
        <v>Unavailable</v>
      </c>
      <c r="C6900" s="5">
        <v>24816.0</v>
      </c>
      <c r="D6900" s="3">
        <f>IFERROR(__xludf.DUMMYFUNCTION("IFERROR(
IF(REGEXMATCH(LOWER(O6900),""k""),
VALUE(REGEXEXTRACT(O6900,""[0-9]+""))*1000,
VALUE(REGEXEXTRACT(O6900,""[0-9]+""))
),
0
)"),0.0)</f>
        <v>0</v>
      </c>
      <c r="E6900" s="1" t="s">
        <v>11</v>
      </c>
      <c r="F6900" s="1" t="s">
        <v>20</v>
      </c>
      <c r="G6900" s="4" t="b">
        <f t="shared" si="2"/>
        <v>1</v>
      </c>
      <c r="H6900" s="1" t="str">
        <f t="shared" si="3"/>
        <v>Currently Unavailable</v>
      </c>
      <c r="I6900" s="1" t="str">
        <f t="shared" si="4"/>
        <v>No Badges</v>
      </c>
      <c r="J6900" s="3">
        <f t="shared" si="5"/>
        <v>0</v>
      </c>
    </row>
    <row r="6901">
      <c r="A6901" s="1" t="s">
        <v>5270</v>
      </c>
      <c r="B6901" s="3" t="str">
        <f t="shared" si="1"/>
        <v>Unavailable</v>
      </c>
      <c r="C6901" s="3">
        <v>526.0</v>
      </c>
      <c r="D6901" s="3">
        <f>IFERROR(__xludf.DUMMYFUNCTION("IFERROR(
IF(REGEXMATCH(LOWER(O6901),""k""),
VALUE(REGEXEXTRACT(O6901,""[0-9]+""))*1000,
VALUE(REGEXEXTRACT(O6901,""[0-9]+""))
),
0
)"),0.0)</f>
        <v>0</v>
      </c>
      <c r="E6901" s="1" t="s">
        <v>11</v>
      </c>
      <c r="F6901" s="1" t="s">
        <v>20</v>
      </c>
      <c r="G6901" s="4" t="b">
        <f t="shared" si="2"/>
        <v>1</v>
      </c>
      <c r="H6901" s="1" t="str">
        <f t="shared" si="3"/>
        <v>Currently Unavailable</v>
      </c>
      <c r="I6901" s="1" t="str">
        <f t="shared" si="4"/>
        <v>No Badges</v>
      </c>
      <c r="J6901" s="3">
        <f t="shared" si="5"/>
        <v>0</v>
      </c>
    </row>
    <row r="6902">
      <c r="A6902" s="1" t="s">
        <v>5271</v>
      </c>
      <c r="B6902" s="3" t="str">
        <f t="shared" si="1"/>
        <v>Unavailable</v>
      </c>
      <c r="C6902" s="5">
        <v>10058.0</v>
      </c>
      <c r="D6902" s="3">
        <f>IFERROR(__xludf.DUMMYFUNCTION("IFERROR(
IF(REGEXMATCH(LOWER(O6902),""k""),
VALUE(REGEXEXTRACT(O6902,""[0-9]+""))*1000,
VALUE(REGEXEXTRACT(O6902,""[0-9]+""))
),
0
)"),0.0)</f>
        <v>0</v>
      </c>
      <c r="E6902" s="1" t="s">
        <v>11</v>
      </c>
      <c r="F6902" s="1" t="s">
        <v>20</v>
      </c>
      <c r="G6902" s="4" t="b">
        <f t="shared" si="2"/>
        <v>1</v>
      </c>
      <c r="H6902" s="1" t="str">
        <f t="shared" si="3"/>
        <v>Currently Unavailable</v>
      </c>
      <c r="I6902" s="1" t="str">
        <f t="shared" si="4"/>
        <v>No Badges</v>
      </c>
      <c r="J6902" s="3">
        <f t="shared" si="5"/>
        <v>0</v>
      </c>
    </row>
    <row r="6903">
      <c r="A6903" s="1" t="s">
        <v>5272</v>
      </c>
      <c r="B6903" s="3" t="str">
        <f t="shared" si="1"/>
        <v>Unavailable</v>
      </c>
      <c r="C6903" s="5">
        <v>7948.0</v>
      </c>
      <c r="D6903" s="3">
        <f>IFERROR(__xludf.DUMMYFUNCTION("IFERROR(
IF(REGEXMATCH(LOWER(O6903),""k""),
VALUE(REGEXEXTRACT(O6903,""[0-9]+""))*1000,
VALUE(REGEXEXTRACT(O6903,""[0-9]+""))
),
0
)"),0.0)</f>
        <v>0</v>
      </c>
      <c r="E6903" s="1" t="s">
        <v>11</v>
      </c>
      <c r="F6903" s="1" t="s">
        <v>20</v>
      </c>
      <c r="G6903" s="4" t="b">
        <f t="shared" si="2"/>
        <v>1</v>
      </c>
      <c r="H6903" s="1" t="str">
        <f t="shared" si="3"/>
        <v>Currently Unavailable</v>
      </c>
      <c r="I6903" s="1" t="str">
        <f t="shared" si="4"/>
        <v>No Badges</v>
      </c>
      <c r="J6903" s="3">
        <f t="shared" si="5"/>
        <v>0</v>
      </c>
    </row>
    <row r="6904">
      <c r="A6904" s="1" t="s">
        <v>5273</v>
      </c>
      <c r="B6904" s="3" t="str">
        <f t="shared" si="1"/>
        <v>Unavailable</v>
      </c>
      <c r="C6904" s="5">
        <v>3267.0</v>
      </c>
      <c r="D6904" s="3">
        <f>IFERROR(__xludf.DUMMYFUNCTION("IFERROR(
IF(REGEXMATCH(LOWER(O6904),""k""),
VALUE(REGEXEXTRACT(O6904,""[0-9]+""))*1000,
VALUE(REGEXEXTRACT(O6904,""[0-9]+""))
),
0
)"),0.0)</f>
        <v>0</v>
      </c>
      <c r="E6904" s="1" t="s">
        <v>11</v>
      </c>
      <c r="F6904" s="1" t="s">
        <v>20</v>
      </c>
      <c r="G6904" s="4" t="b">
        <f t="shared" si="2"/>
        <v>1</v>
      </c>
      <c r="H6904" s="1" t="str">
        <f t="shared" si="3"/>
        <v>Currently Unavailable</v>
      </c>
      <c r="I6904" s="1" t="str">
        <f t="shared" si="4"/>
        <v>No Badges</v>
      </c>
      <c r="J6904" s="3">
        <f t="shared" si="5"/>
        <v>0</v>
      </c>
    </row>
    <row r="6905">
      <c r="A6905" s="1" t="s">
        <v>5274</v>
      </c>
      <c r="B6905" s="3" t="str">
        <f t="shared" si="1"/>
        <v>Unavailable</v>
      </c>
      <c r="C6905" s="5">
        <v>19929.0</v>
      </c>
      <c r="D6905" s="3">
        <f>IFERROR(__xludf.DUMMYFUNCTION("IFERROR(
IF(REGEXMATCH(LOWER(O6905),""k""),
VALUE(REGEXEXTRACT(O6905,""[0-9]+""))*1000,
VALUE(REGEXEXTRACT(O6905,""[0-9]+""))
),
0
)"),0.0)</f>
        <v>0</v>
      </c>
      <c r="E6905" s="1" t="s">
        <v>158</v>
      </c>
      <c r="F6905" s="1" t="s">
        <v>20</v>
      </c>
      <c r="G6905" s="4" t="b">
        <f t="shared" si="2"/>
        <v>1</v>
      </c>
      <c r="H6905" s="1" t="str">
        <f t="shared" si="3"/>
        <v>Currently Unavailable</v>
      </c>
      <c r="I6905" s="1" t="str">
        <f t="shared" si="4"/>
        <v>No Badges</v>
      </c>
      <c r="J6905" s="3">
        <f t="shared" si="5"/>
        <v>0</v>
      </c>
    </row>
    <row r="6906">
      <c r="A6906" s="1" t="s">
        <v>5275</v>
      </c>
      <c r="B6906" s="3" t="str">
        <f t="shared" si="1"/>
        <v>Unavailable</v>
      </c>
      <c r="C6906" s="5">
        <v>3665.0</v>
      </c>
      <c r="D6906" s="3">
        <f>IFERROR(__xludf.DUMMYFUNCTION("IFERROR(
IF(REGEXMATCH(LOWER(O6906),""k""),
VALUE(REGEXEXTRACT(O6906,""[0-9]+""))*1000,
VALUE(REGEXEXTRACT(O6906,""[0-9]+""))
),
0
)"),0.0)</f>
        <v>0</v>
      </c>
      <c r="E6906" s="1" t="s">
        <v>11</v>
      </c>
      <c r="F6906" s="1" t="s">
        <v>20</v>
      </c>
      <c r="G6906" s="4" t="b">
        <f t="shared" si="2"/>
        <v>1</v>
      </c>
      <c r="H6906" s="1" t="str">
        <f t="shared" si="3"/>
        <v>Currently Unavailable</v>
      </c>
      <c r="I6906" s="1" t="str">
        <f t="shared" si="4"/>
        <v>No Badges</v>
      </c>
      <c r="J6906" s="3">
        <f t="shared" si="5"/>
        <v>0</v>
      </c>
    </row>
    <row r="6907">
      <c r="A6907" s="1" t="s">
        <v>5276</v>
      </c>
      <c r="B6907" s="3" t="str">
        <f t="shared" si="1"/>
        <v>Unavailable</v>
      </c>
      <c r="C6907" s="5">
        <v>3765.0</v>
      </c>
      <c r="D6907" s="3">
        <f>IFERROR(__xludf.DUMMYFUNCTION("IFERROR(
IF(REGEXMATCH(LOWER(O6907),""k""),
VALUE(REGEXEXTRACT(O6907,""[0-9]+""))*1000,
VALUE(REGEXEXTRACT(O6907,""[0-9]+""))
),
0
)"),0.0)</f>
        <v>0</v>
      </c>
      <c r="E6907" s="1" t="s">
        <v>11</v>
      </c>
      <c r="F6907" s="1" t="s">
        <v>20</v>
      </c>
      <c r="G6907" s="4" t="b">
        <f t="shared" si="2"/>
        <v>1</v>
      </c>
      <c r="H6907" s="1" t="str">
        <f t="shared" si="3"/>
        <v>Currently Unavailable</v>
      </c>
      <c r="I6907" s="1" t="str">
        <f t="shared" si="4"/>
        <v>No Badges</v>
      </c>
      <c r="J6907" s="3">
        <f t="shared" si="5"/>
        <v>0</v>
      </c>
    </row>
    <row r="6908">
      <c r="A6908" s="1" t="s">
        <v>5277</v>
      </c>
      <c r="B6908" s="3" t="str">
        <f t="shared" si="1"/>
        <v>Unavailable</v>
      </c>
      <c r="C6908" s="5">
        <v>3292.0</v>
      </c>
      <c r="D6908" s="3">
        <f>IFERROR(__xludf.DUMMYFUNCTION("IFERROR(
IF(REGEXMATCH(LOWER(O6908),""k""),
VALUE(REGEXEXTRACT(O6908,""[0-9]+""))*1000,
VALUE(REGEXEXTRACT(O6908,""[0-9]+""))
),
0
)"),0.0)</f>
        <v>0</v>
      </c>
      <c r="E6908" s="1" t="s">
        <v>11</v>
      </c>
      <c r="F6908" s="1" t="s">
        <v>20</v>
      </c>
      <c r="G6908" s="4" t="b">
        <f t="shared" si="2"/>
        <v>1</v>
      </c>
      <c r="H6908" s="1" t="str">
        <f t="shared" si="3"/>
        <v>Currently Unavailable</v>
      </c>
      <c r="I6908" s="1" t="str">
        <f t="shared" si="4"/>
        <v>No Badges</v>
      </c>
      <c r="J6908" s="3">
        <f t="shared" si="5"/>
        <v>0</v>
      </c>
    </row>
    <row r="6909">
      <c r="A6909" s="1" t="s">
        <v>5278</v>
      </c>
      <c r="B6909" s="3" t="str">
        <f t="shared" si="1"/>
        <v>Unavailable</v>
      </c>
      <c r="C6909" s="5">
        <v>3520.0</v>
      </c>
      <c r="D6909" s="3">
        <f>IFERROR(__xludf.DUMMYFUNCTION("IFERROR(
IF(REGEXMATCH(LOWER(O6909),""k""),
VALUE(REGEXEXTRACT(O6909,""[0-9]+""))*1000,
VALUE(REGEXEXTRACT(O6909,""[0-9]+""))
),
0
)"),0.0)</f>
        <v>0</v>
      </c>
      <c r="E6909" s="1" t="s">
        <v>11</v>
      </c>
      <c r="F6909" s="1" t="s">
        <v>20</v>
      </c>
      <c r="G6909" s="4" t="b">
        <f t="shared" si="2"/>
        <v>1</v>
      </c>
      <c r="H6909" s="1" t="str">
        <f t="shared" si="3"/>
        <v>Currently Unavailable</v>
      </c>
      <c r="I6909" s="1" t="str">
        <f t="shared" si="4"/>
        <v>No Badges</v>
      </c>
      <c r="J6909" s="3">
        <f t="shared" si="5"/>
        <v>0</v>
      </c>
    </row>
    <row r="6910">
      <c r="A6910" s="1" t="s">
        <v>5279</v>
      </c>
      <c r="B6910" s="3" t="str">
        <f t="shared" si="1"/>
        <v>Unavailable</v>
      </c>
      <c r="C6910" s="5">
        <v>3125.0</v>
      </c>
      <c r="D6910" s="3">
        <f>IFERROR(__xludf.DUMMYFUNCTION("IFERROR(
IF(REGEXMATCH(LOWER(O6910),""k""),
VALUE(REGEXEXTRACT(O6910,""[0-9]+""))*1000,
VALUE(REGEXEXTRACT(O6910,""[0-9]+""))
),
0
)"),0.0)</f>
        <v>0</v>
      </c>
      <c r="E6910" s="1" t="s">
        <v>11</v>
      </c>
      <c r="F6910" s="1" t="s">
        <v>20</v>
      </c>
      <c r="G6910" s="4" t="b">
        <f t="shared" si="2"/>
        <v>1</v>
      </c>
      <c r="H6910" s="1" t="str">
        <f t="shared" si="3"/>
        <v>Currently Unavailable</v>
      </c>
      <c r="I6910" s="1" t="str">
        <f t="shared" si="4"/>
        <v>No Badges</v>
      </c>
      <c r="J6910" s="3">
        <f t="shared" si="5"/>
        <v>0</v>
      </c>
    </row>
    <row r="6911">
      <c r="A6911" s="1" t="s">
        <v>604</v>
      </c>
      <c r="B6911" s="3" t="str">
        <f t="shared" si="1"/>
        <v>Unavailable</v>
      </c>
      <c r="C6911" s="3">
        <v>30.0</v>
      </c>
      <c r="D6911" s="3">
        <f>IFERROR(__xludf.DUMMYFUNCTION("IFERROR(
IF(REGEXMATCH(LOWER(O6911),""k""),
VALUE(REGEXEXTRACT(O6911,""[0-9]+""))*1000,
VALUE(REGEXEXTRACT(O6911,""[0-9]+""))
),
0
)"),0.0)</f>
        <v>0</v>
      </c>
      <c r="E6911" s="1" t="s">
        <v>11</v>
      </c>
      <c r="F6911" s="1" t="s">
        <v>12</v>
      </c>
      <c r="G6911" s="4" t="b">
        <f t="shared" si="2"/>
        <v>1</v>
      </c>
      <c r="H6911" s="1" t="str">
        <f t="shared" si="3"/>
        <v>Currently Unavailable</v>
      </c>
      <c r="I6911" s="1" t="str">
        <f t="shared" si="4"/>
        <v>No Badges</v>
      </c>
      <c r="J6911" s="3">
        <f t="shared" si="5"/>
        <v>0</v>
      </c>
    </row>
    <row r="6912">
      <c r="A6912" s="1" t="s">
        <v>5280</v>
      </c>
      <c r="B6912" s="3" t="str">
        <f t="shared" si="1"/>
        <v>Unavailable</v>
      </c>
      <c r="C6912" s="3">
        <v>457.0</v>
      </c>
      <c r="D6912" s="3">
        <f>IFERROR(__xludf.DUMMYFUNCTION("IFERROR(
IF(REGEXMATCH(LOWER(O6912),""k""),
VALUE(REGEXEXTRACT(O6912,""[0-9]+""))*1000,
VALUE(REGEXEXTRACT(O6912,""[0-9]+""))
),
0
)"),0.0)</f>
        <v>0</v>
      </c>
      <c r="E6912" s="1" t="s">
        <v>18</v>
      </c>
      <c r="F6912" s="1" t="s">
        <v>20</v>
      </c>
      <c r="G6912" s="4" t="b">
        <f t="shared" si="2"/>
        <v>1</v>
      </c>
      <c r="H6912" s="1" t="str">
        <f t="shared" si="3"/>
        <v>Currently Unavailable</v>
      </c>
      <c r="I6912" s="1" t="str">
        <f t="shared" si="4"/>
        <v>No Badges</v>
      </c>
      <c r="J6912" s="3">
        <f t="shared" si="5"/>
        <v>0</v>
      </c>
    </row>
    <row r="6913">
      <c r="A6913" s="1" t="s">
        <v>701</v>
      </c>
      <c r="B6913" s="3" t="str">
        <f t="shared" si="1"/>
        <v>Unavailable</v>
      </c>
      <c r="C6913" s="3">
        <v>8.0</v>
      </c>
      <c r="D6913" s="3">
        <f>IFERROR(__xludf.DUMMYFUNCTION("IFERROR(
IF(REGEXMATCH(LOWER(O6913),""k""),
VALUE(REGEXEXTRACT(O6913,""[0-9]+""))*1000,
VALUE(REGEXEXTRACT(O6913,""[0-9]+""))
),
0
)"),0.0)</f>
        <v>0</v>
      </c>
      <c r="E6913" s="1" t="s">
        <v>11</v>
      </c>
      <c r="F6913" s="1" t="s">
        <v>12</v>
      </c>
      <c r="G6913" s="4" t="b">
        <f t="shared" si="2"/>
        <v>1</v>
      </c>
      <c r="H6913" s="1" t="str">
        <f t="shared" si="3"/>
        <v>Currently Unavailable</v>
      </c>
      <c r="I6913" s="1" t="str">
        <f t="shared" si="4"/>
        <v>No Badges</v>
      </c>
      <c r="J6913" s="3">
        <f t="shared" si="5"/>
        <v>0</v>
      </c>
    </row>
    <row r="6914">
      <c r="A6914" s="1" t="s">
        <v>5281</v>
      </c>
      <c r="B6914" s="3" t="str">
        <f t="shared" si="1"/>
        <v>Unavailable</v>
      </c>
      <c r="C6914" s="5">
        <v>1191.0</v>
      </c>
      <c r="D6914" s="3">
        <f>IFERROR(__xludf.DUMMYFUNCTION("IFERROR(
IF(REGEXMATCH(LOWER(O6914),""k""),
VALUE(REGEXEXTRACT(O6914,""[0-9]+""))*1000,
VALUE(REGEXEXTRACT(O6914,""[0-9]+""))
),
0
)"),0.0)</f>
        <v>0</v>
      </c>
      <c r="E6914" s="1" t="s">
        <v>11</v>
      </c>
      <c r="F6914" s="1" t="s">
        <v>20</v>
      </c>
      <c r="G6914" s="4" t="b">
        <f t="shared" si="2"/>
        <v>1</v>
      </c>
      <c r="H6914" s="1" t="str">
        <f t="shared" si="3"/>
        <v>Currently Unavailable</v>
      </c>
      <c r="I6914" s="1" t="str">
        <f t="shared" si="4"/>
        <v>No Badges</v>
      </c>
      <c r="J6914" s="3">
        <f t="shared" si="5"/>
        <v>0</v>
      </c>
    </row>
    <row r="6915">
      <c r="A6915" s="1" t="s">
        <v>5282</v>
      </c>
      <c r="B6915" s="3" t="str">
        <f t="shared" si="1"/>
        <v>Unavailable</v>
      </c>
      <c r="C6915" s="5">
        <v>4568.0</v>
      </c>
      <c r="D6915" s="3">
        <f>IFERROR(__xludf.DUMMYFUNCTION("IFERROR(
IF(REGEXMATCH(LOWER(O6915),""k""),
VALUE(REGEXEXTRACT(O6915,""[0-9]+""))*1000,
VALUE(REGEXEXTRACT(O6915,""[0-9]+""))
),
0
)"),0.0)</f>
        <v>0</v>
      </c>
      <c r="E6915" s="1" t="s">
        <v>11</v>
      </c>
      <c r="F6915" s="1" t="s">
        <v>20</v>
      </c>
      <c r="G6915" s="4" t="b">
        <f t="shared" si="2"/>
        <v>1</v>
      </c>
      <c r="H6915" s="1" t="str">
        <f t="shared" si="3"/>
        <v>Currently Unavailable</v>
      </c>
      <c r="I6915" s="1" t="str">
        <f t="shared" si="4"/>
        <v>No Badges</v>
      </c>
      <c r="J6915" s="3">
        <f t="shared" si="5"/>
        <v>0</v>
      </c>
    </row>
    <row r="6916">
      <c r="A6916" s="1" t="s">
        <v>69</v>
      </c>
      <c r="B6916" s="3" t="str">
        <f t="shared" si="1"/>
        <v>Unavailable</v>
      </c>
      <c r="C6916" s="3">
        <v>45.0</v>
      </c>
      <c r="D6916" s="3">
        <f>IFERROR(__xludf.DUMMYFUNCTION("IFERROR(
IF(REGEXMATCH(LOWER(O6916),""k""),
VALUE(REGEXEXTRACT(O6916,""[0-9]+""))*1000,
VALUE(REGEXEXTRACT(O6916,""[0-9]+""))
),
0
)"),0.0)</f>
        <v>0</v>
      </c>
      <c r="E6916" s="1" t="s">
        <v>11</v>
      </c>
      <c r="F6916" s="1" t="s">
        <v>12</v>
      </c>
      <c r="G6916" s="4" t="b">
        <f t="shared" si="2"/>
        <v>1</v>
      </c>
      <c r="H6916" s="1" t="str">
        <f t="shared" si="3"/>
        <v>Currently Unavailable</v>
      </c>
      <c r="I6916" s="1" t="str">
        <f t="shared" si="4"/>
        <v>No Badges</v>
      </c>
      <c r="J6916" s="3">
        <f t="shared" si="5"/>
        <v>0</v>
      </c>
    </row>
    <row r="6917">
      <c r="A6917" s="1" t="s">
        <v>5283</v>
      </c>
      <c r="B6917" s="3" t="str">
        <f t="shared" si="1"/>
        <v>Unavailable</v>
      </c>
      <c r="C6917" s="5">
        <v>1155.0</v>
      </c>
      <c r="D6917" s="3">
        <f>IFERROR(__xludf.DUMMYFUNCTION("IFERROR(
IF(REGEXMATCH(LOWER(O6917),""k""),
VALUE(REGEXEXTRACT(O6917,""[0-9]+""))*1000,
VALUE(REGEXEXTRACT(O6917,""[0-9]+""))
),
0
)"),0.0)</f>
        <v>0</v>
      </c>
      <c r="E6917" s="1" t="s">
        <v>11</v>
      </c>
      <c r="F6917" s="1" t="s">
        <v>20</v>
      </c>
      <c r="G6917" s="4" t="b">
        <f t="shared" si="2"/>
        <v>1</v>
      </c>
      <c r="H6917" s="1" t="str">
        <f t="shared" si="3"/>
        <v>Currently Unavailable</v>
      </c>
      <c r="I6917" s="1" t="str">
        <f t="shared" si="4"/>
        <v>No Badges</v>
      </c>
      <c r="J6917" s="3">
        <f t="shared" si="5"/>
        <v>0</v>
      </c>
    </row>
    <row r="6918">
      <c r="A6918" s="1" t="s">
        <v>5284</v>
      </c>
      <c r="B6918" s="3" t="str">
        <f t="shared" si="1"/>
        <v>Unavailable</v>
      </c>
      <c r="C6918" s="3">
        <v>62.0</v>
      </c>
      <c r="D6918" s="3">
        <f>IFERROR(__xludf.DUMMYFUNCTION("IFERROR(
IF(REGEXMATCH(LOWER(O6918),""k""),
VALUE(REGEXEXTRACT(O6918,""[0-9]+""))*1000,
VALUE(REGEXEXTRACT(O6918,""[0-9]+""))
),
0
)"),0.0)</f>
        <v>0</v>
      </c>
      <c r="E6918" s="1" t="s">
        <v>11</v>
      </c>
      <c r="F6918" s="1" t="s">
        <v>20</v>
      </c>
      <c r="G6918" s="4" t="b">
        <f t="shared" si="2"/>
        <v>1</v>
      </c>
      <c r="H6918" s="1" t="str">
        <f t="shared" si="3"/>
        <v>Currently Unavailable</v>
      </c>
      <c r="I6918" s="1" t="str">
        <f t="shared" si="4"/>
        <v>No Badges</v>
      </c>
      <c r="J6918" s="3">
        <f t="shared" si="5"/>
        <v>0</v>
      </c>
    </row>
    <row r="6919">
      <c r="A6919" s="1" t="s">
        <v>5262</v>
      </c>
      <c r="B6919" s="3" t="str">
        <f t="shared" si="1"/>
        <v>Unavailable</v>
      </c>
      <c r="C6919" s="5">
        <v>30942.0</v>
      </c>
      <c r="D6919" s="3">
        <f>IFERROR(__xludf.DUMMYFUNCTION("IFERROR(
IF(REGEXMATCH(LOWER(O6919),""k""),
VALUE(REGEXEXTRACT(O6919,""[0-9]+""))*1000,
VALUE(REGEXEXTRACT(O6919,""[0-9]+""))
),
0
)"),0.0)</f>
        <v>0</v>
      </c>
      <c r="E6919" s="1" t="s">
        <v>11</v>
      </c>
      <c r="F6919" s="1" t="s">
        <v>20</v>
      </c>
      <c r="G6919" s="4" t="b">
        <f t="shared" si="2"/>
        <v>1</v>
      </c>
      <c r="H6919" s="1" t="str">
        <f t="shared" si="3"/>
        <v>Currently Unavailable</v>
      </c>
      <c r="I6919" s="1" t="str">
        <f t="shared" si="4"/>
        <v>No Badges</v>
      </c>
      <c r="J6919" s="3">
        <f t="shared" si="5"/>
        <v>0</v>
      </c>
    </row>
    <row r="6920">
      <c r="A6920" s="1" t="s">
        <v>5285</v>
      </c>
      <c r="B6920" s="3" t="str">
        <f t="shared" si="1"/>
        <v>Unavailable</v>
      </c>
      <c r="C6920" s="5">
        <v>28924.0</v>
      </c>
      <c r="D6920" s="3">
        <f>IFERROR(__xludf.DUMMYFUNCTION("IFERROR(
IF(REGEXMATCH(LOWER(O6920),""k""),
VALUE(REGEXEXTRACT(O6920,""[0-9]+""))*1000,
VALUE(REGEXEXTRACT(O6920,""[0-9]+""))
),
0
)"),0.0)</f>
        <v>0</v>
      </c>
      <c r="E6920" s="1" t="s">
        <v>11</v>
      </c>
      <c r="F6920" s="1" t="s">
        <v>20</v>
      </c>
      <c r="G6920" s="4" t="b">
        <f t="shared" si="2"/>
        <v>1</v>
      </c>
      <c r="H6920" s="1" t="str">
        <f t="shared" si="3"/>
        <v>Currently Unavailable</v>
      </c>
      <c r="I6920" s="1" t="str">
        <f t="shared" si="4"/>
        <v>No Badges</v>
      </c>
      <c r="J6920" s="3">
        <f t="shared" si="5"/>
        <v>0</v>
      </c>
    </row>
    <row r="6921">
      <c r="A6921" s="1" t="s">
        <v>5286</v>
      </c>
      <c r="B6921" s="3" t="str">
        <f t="shared" si="1"/>
        <v>Unavailable</v>
      </c>
      <c r="C6921" s="3">
        <v>454.0</v>
      </c>
      <c r="D6921" s="3">
        <f>IFERROR(__xludf.DUMMYFUNCTION("IFERROR(
IF(REGEXMATCH(LOWER(O6921),""k""),
VALUE(REGEXEXTRACT(O6921,""[0-9]+""))*1000,
VALUE(REGEXEXTRACT(O6921,""[0-9]+""))
),
0
)"),0.0)</f>
        <v>0</v>
      </c>
      <c r="E6921" s="1" t="s">
        <v>11</v>
      </c>
      <c r="F6921" s="1" t="s">
        <v>20</v>
      </c>
      <c r="G6921" s="4" t="b">
        <f t="shared" si="2"/>
        <v>1</v>
      </c>
      <c r="H6921" s="1" t="str">
        <f t="shared" si="3"/>
        <v>Currently Unavailable</v>
      </c>
      <c r="I6921" s="1" t="str">
        <f t="shared" si="4"/>
        <v>No Badges</v>
      </c>
      <c r="J6921" s="3">
        <f t="shared" si="5"/>
        <v>0</v>
      </c>
    </row>
    <row r="6922">
      <c r="A6922" s="1" t="s">
        <v>5287</v>
      </c>
      <c r="B6922" s="3" t="str">
        <f t="shared" si="1"/>
        <v>Unavailable</v>
      </c>
      <c r="C6922" s="5">
        <v>1784.0</v>
      </c>
      <c r="D6922" s="3">
        <f>IFERROR(__xludf.DUMMYFUNCTION("IFERROR(
IF(REGEXMATCH(LOWER(O6922),""k""),
VALUE(REGEXEXTRACT(O6922,""[0-9]+""))*1000,
VALUE(REGEXEXTRACT(O6922,""[0-9]+""))
),
0
)"),0.0)</f>
        <v>0</v>
      </c>
      <c r="E6922" s="1" t="s">
        <v>11</v>
      </c>
      <c r="F6922" s="1" t="s">
        <v>20</v>
      </c>
      <c r="G6922" s="4" t="b">
        <f t="shared" si="2"/>
        <v>1</v>
      </c>
      <c r="H6922" s="1" t="str">
        <f t="shared" si="3"/>
        <v>Currently Unavailable</v>
      </c>
      <c r="I6922" s="1" t="str">
        <f t="shared" si="4"/>
        <v>No Badges</v>
      </c>
      <c r="J6922" s="3">
        <f t="shared" si="5"/>
        <v>0</v>
      </c>
    </row>
    <row r="6923">
      <c r="A6923" s="1" t="s">
        <v>5288</v>
      </c>
      <c r="B6923" s="3" t="str">
        <f t="shared" si="1"/>
        <v>Unavailable</v>
      </c>
      <c r="C6923" s="3">
        <v>894.0</v>
      </c>
      <c r="D6923" s="3">
        <f>IFERROR(__xludf.DUMMYFUNCTION("IFERROR(
IF(REGEXMATCH(LOWER(O6923),""k""),
VALUE(REGEXEXTRACT(O6923,""[0-9]+""))*1000,
VALUE(REGEXEXTRACT(O6923,""[0-9]+""))
),
0
)"),0.0)</f>
        <v>0</v>
      </c>
      <c r="E6923" s="1" t="s">
        <v>11</v>
      </c>
      <c r="F6923" s="1" t="s">
        <v>20</v>
      </c>
      <c r="G6923" s="4" t="b">
        <f t="shared" si="2"/>
        <v>1</v>
      </c>
      <c r="H6923" s="1" t="str">
        <f t="shared" si="3"/>
        <v>Currently Unavailable</v>
      </c>
      <c r="I6923" s="1" t="str">
        <f t="shared" si="4"/>
        <v>No Badges</v>
      </c>
      <c r="J6923" s="3">
        <f t="shared" si="5"/>
        <v>0</v>
      </c>
    </row>
    <row r="6924">
      <c r="A6924" s="1" t="s">
        <v>5289</v>
      </c>
      <c r="B6924" s="3" t="str">
        <f t="shared" si="1"/>
        <v>Unavailable</v>
      </c>
      <c r="C6924" s="5">
        <v>6351.0</v>
      </c>
      <c r="D6924" s="3">
        <f>IFERROR(__xludf.DUMMYFUNCTION("IFERROR(
IF(REGEXMATCH(LOWER(O6924),""k""),
VALUE(REGEXEXTRACT(O6924,""[0-9]+""))*1000,
VALUE(REGEXEXTRACT(O6924,""[0-9]+""))
),
0
)"),0.0)</f>
        <v>0</v>
      </c>
      <c r="E6924" s="1" t="s">
        <v>11</v>
      </c>
      <c r="F6924" s="1" t="s">
        <v>20</v>
      </c>
      <c r="G6924" s="4" t="b">
        <f t="shared" si="2"/>
        <v>1</v>
      </c>
      <c r="H6924" s="1" t="str">
        <f t="shared" si="3"/>
        <v>Currently Unavailable</v>
      </c>
      <c r="I6924" s="1" t="str">
        <f t="shared" si="4"/>
        <v>No Badges</v>
      </c>
      <c r="J6924" s="3">
        <f t="shared" si="5"/>
        <v>0</v>
      </c>
    </row>
    <row r="6925">
      <c r="A6925" s="1" t="s">
        <v>5290</v>
      </c>
      <c r="B6925" s="3" t="str">
        <f t="shared" si="1"/>
        <v>Unavailable</v>
      </c>
      <c r="C6925" s="5">
        <v>3685.0</v>
      </c>
      <c r="D6925" s="3">
        <f>IFERROR(__xludf.DUMMYFUNCTION("IFERROR(
IF(REGEXMATCH(LOWER(O6925),""k""),
VALUE(REGEXEXTRACT(O6925,""[0-9]+""))*1000,
VALUE(REGEXEXTRACT(O6925,""[0-9]+""))
),
0
)"),0.0)</f>
        <v>0</v>
      </c>
      <c r="E6925" s="1" t="s">
        <v>11</v>
      </c>
      <c r="F6925" s="1" t="s">
        <v>20</v>
      </c>
      <c r="G6925" s="4" t="b">
        <f t="shared" si="2"/>
        <v>1</v>
      </c>
      <c r="H6925" s="1" t="str">
        <f t="shared" si="3"/>
        <v>Currently Unavailable</v>
      </c>
      <c r="I6925" s="1" t="str">
        <f t="shared" si="4"/>
        <v>No Badges</v>
      </c>
      <c r="J6925" s="3">
        <f t="shared" si="5"/>
        <v>0</v>
      </c>
    </row>
    <row r="6926">
      <c r="A6926" s="1" t="s">
        <v>5291</v>
      </c>
      <c r="B6926" s="3" t="str">
        <f t="shared" si="1"/>
        <v>Unavailable</v>
      </c>
      <c r="C6926" s="3">
        <v>281.0</v>
      </c>
      <c r="D6926" s="3">
        <f>IFERROR(__xludf.DUMMYFUNCTION("IFERROR(
IF(REGEXMATCH(LOWER(O6926),""k""),
VALUE(REGEXEXTRACT(O6926,""[0-9]+""))*1000,
VALUE(REGEXEXTRACT(O6926,""[0-9]+""))
),
0
)"),0.0)</f>
        <v>0</v>
      </c>
      <c r="E6926" s="1" t="s">
        <v>11</v>
      </c>
      <c r="F6926" s="1" t="s">
        <v>20</v>
      </c>
      <c r="G6926" s="4" t="b">
        <f t="shared" si="2"/>
        <v>1</v>
      </c>
      <c r="H6926" s="1" t="str">
        <f t="shared" si="3"/>
        <v>Currently Unavailable</v>
      </c>
      <c r="I6926" s="1" t="str">
        <f t="shared" si="4"/>
        <v>No Badges</v>
      </c>
      <c r="J6926" s="3">
        <f t="shared" si="5"/>
        <v>0</v>
      </c>
    </row>
    <row r="6927">
      <c r="A6927" s="1" t="s">
        <v>5292</v>
      </c>
      <c r="B6927" s="3" t="str">
        <f t="shared" si="1"/>
        <v>Unavailable</v>
      </c>
      <c r="C6927" s="3">
        <v>519.0</v>
      </c>
      <c r="D6927" s="3">
        <f>IFERROR(__xludf.DUMMYFUNCTION("IFERROR(
IF(REGEXMATCH(LOWER(O6927),""k""),
VALUE(REGEXEXTRACT(O6927,""[0-9]+""))*1000,
VALUE(REGEXEXTRACT(O6927,""[0-9]+""))
),
0
)"),0.0)</f>
        <v>0</v>
      </c>
      <c r="E6927" s="1" t="s">
        <v>11</v>
      </c>
      <c r="F6927" s="1" t="s">
        <v>20</v>
      </c>
      <c r="G6927" s="4" t="b">
        <f t="shared" si="2"/>
        <v>1</v>
      </c>
      <c r="H6927" s="1" t="str">
        <f t="shared" si="3"/>
        <v>Currently Unavailable</v>
      </c>
      <c r="I6927" s="1" t="str">
        <f t="shared" si="4"/>
        <v>No Badges</v>
      </c>
      <c r="J6927" s="3">
        <f t="shared" si="5"/>
        <v>0</v>
      </c>
    </row>
    <row r="6928">
      <c r="A6928" s="1" t="s">
        <v>5293</v>
      </c>
      <c r="B6928" s="3" t="str">
        <f t="shared" si="1"/>
        <v>Unavailable</v>
      </c>
      <c r="C6928" s="5">
        <v>127740.0</v>
      </c>
      <c r="D6928" s="3">
        <f>IFERROR(__xludf.DUMMYFUNCTION("IFERROR(
IF(REGEXMATCH(LOWER(O6928),""k""),
VALUE(REGEXEXTRACT(O6928,""[0-9]+""))*1000,
VALUE(REGEXEXTRACT(O6928,""[0-9]+""))
),
0
)"),0.0)</f>
        <v>0</v>
      </c>
      <c r="E6928" s="1" t="s">
        <v>11</v>
      </c>
      <c r="F6928" s="1" t="s">
        <v>20</v>
      </c>
      <c r="G6928" s="4" t="b">
        <f t="shared" si="2"/>
        <v>1</v>
      </c>
      <c r="H6928" s="1" t="str">
        <f t="shared" si="3"/>
        <v>Currently Unavailable</v>
      </c>
      <c r="I6928" s="1" t="str">
        <f t="shared" si="4"/>
        <v>No Badges</v>
      </c>
      <c r="J6928" s="3">
        <f t="shared" si="5"/>
        <v>0</v>
      </c>
    </row>
    <row r="6929">
      <c r="A6929" s="1" t="s">
        <v>67</v>
      </c>
      <c r="B6929" s="3" t="str">
        <f t="shared" si="1"/>
        <v>Unavailable</v>
      </c>
      <c r="C6929" s="3">
        <v>264.0</v>
      </c>
      <c r="D6929" s="3">
        <f>IFERROR(__xludf.DUMMYFUNCTION("IFERROR(
IF(REGEXMATCH(LOWER(O6929),""k""),
VALUE(REGEXEXTRACT(O6929,""[0-9]+""))*1000,
VALUE(REGEXEXTRACT(O6929,""[0-9]+""))
),
0
)"),0.0)</f>
        <v>0</v>
      </c>
      <c r="E6929" s="1" t="s">
        <v>11</v>
      </c>
      <c r="F6929" s="1" t="s">
        <v>12</v>
      </c>
      <c r="G6929" s="4" t="b">
        <f t="shared" si="2"/>
        <v>1</v>
      </c>
      <c r="H6929" s="1" t="str">
        <f t="shared" si="3"/>
        <v>Currently Unavailable</v>
      </c>
      <c r="I6929" s="1" t="str">
        <f t="shared" si="4"/>
        <v>No Badges</v>
      </c>
      <c r="J6929" s="3">
        <f t="shared" si="5"/>
        <v>0</v>
      </c>
    </row>
    <row r="6930">
      <c r="A6930" s="1" t="s">
        <v>5294</v>
      </c>
      <c r="B6930" s="3" t="str">
        <f t="shared" si="1"/>
        <v>Unavailable</v>
      </c>
      <c r="C6930" s="5">
        <v>18973.0</v>
      </c>
      <c r="D6930" s="3">
        <f>IFERROR(__xludf.DUMMYFUNCTION("IFERROR(
IF(REGEXMATCH(LOWER(O6930),""k""),
VALUE(REGEXEXTRACT(O6930,""[0-9]+""))*1000,
VALUE(REGEXEXTRACT(O6930,""[0-9]+""))
),
0
)"),0.0)</f>
        <v>0</v>
      </c>
      <c r="E6930" s="1" t="s">
        <v>11</v>
      </c>
      <c r="F6930" s="1" t="s">
        <v>20</v>
      </c>
      <c r="G6930" s="4" t="b">
        <f t="shared" si="2"/>
        <v>1</v>
      </c>
      <c r="H6930" s="1" t="str">
        <f t="shared" si="3"/>
        <v>Currently Unavailable</v>
      </c>
      <c r="I6930" s="1" t="str">
        <f t="shared" si="4"/>
        <v>No Badges</v>
      </c>
      <c r="J6930" s="3">
        <f t="shared" si="5"/>
        <v>0</v>
      </c>
    </row>
    <row r="6931">
      <c r="A6931" s="1" t="s">
        <v>701</v>
      </c>
      <c r="B6931" s="3" t="str">
        <f t="shared" si="1"/>
        <v>Unavailable</v>
      </c>
      <c r="C6931" s="3">
        <v>8.0</v>
      </c>
      <c r="D6931" s="3">
        <f>IFERROR(__xludf.DUMMYFUNCTION("IFERROR(
IF(REGEXMATCH(LOWER(O6931),""k""),
VALUE(REGEXEXTRACT(O6931,""[0-9]+""))*1000,
VALUE(REGEXEXTRACT(O6931,""[0-9]+""))
),
0
)"),0.0)</f>
        <v>0</v>
      </c>
      <c r="E6931" s="1" t="s">
        <v>11</v>
      </c>
      <c r="F6931" s="1" t="s">
        <v>12</v>
      </c>
      <c r="G6931" s="4" t="b">
        <f t="shared" si="2"/>
        <v>1</v>
      </c>
      <c r="H6931" s="1" t="str">
        <f t="shared" si="3"/>
        <v>Currently Unavailable</v>
      </c>
      <c r="I6931" s="1" t="str">
        <f t="shared" si="4"/>
        <v>No Badges</v>
      </c>
      <c r="J6931" s="3">
        <f t="shared" si="5"/>
        <v>0</v>
      </c>
    </row>
    <row r="6932">
      <c r="A6932" s="1" t="s">
        <v>5295</v>
      </c>
      <c r="B6932" s="3" t="str">
        <f t="shared" si="1"/>
        <v>Unavailable</v>
      </c>
      <c r="C6932" s="3">
        <v>1.0</v>
      </c>
      <c r="D6932" s="3">
        <f>IFERROR(__xludf.DUMMYFUNCTION("IFERROR(
IF(REGEXMATCH(LOWER(O6932),""k""),
VALUE(REGEXEXTRACT(O6932,""[0-9]+""))*1000,
VALUE(REGEXEXTRACT(O6932,""[0-9]+""))
),
0
)"),0.0)</f>
        <v>0</v>
      </c>
      <c r="E6932" s="1" t="s">
        <v>11</v>
      </c>
      <c r="F6932" s="1" t="s">
        <v>20</v>
      </c>
      <c r="G6932" s="4" t="b">
        <f t="shared" si="2"/>
        <v>1</v>
      </c>
      <c r="H6932" s="1" t="str">
        <f t="shared" si="3"/>
        <v>Currently Unavailable</v>
      </c>
      <c r="I6932" s="1" t="str">
        <f t="shared" si="4"/>
        <v>No Badges</v>
      </c>
      <c r="J6932" s="3">
        <f t="shared" si="5"/>
        <v>0</v>
      </c>
    </row>
    <row r="6933">
      <c r="A6933" s="1" t="s">
        <v>5296</v>
      </c>
      <c r="B6933" s="3" t="str">
        <f t="shared" si="1"/>
        <v>Unavailable</v>
      </c>
      <c r="C6933" s="5">
        <v>4629.0</v>
      </c>
      <c r="D6933" s="3">
        <f>IFERROR(__xludf.DUMMYFUNCTION("IFERROR(
IF(REGEXMATCH(LOWER(O6933),""k""),
VALUE(REGEXEXTRACT(O6933,""[0-9]+""))*1000,
VALUE(REGEXEXTRACT(O6933,""[0-9]+""))
),
0
)"),0.0)</f>
        <v>0</v>
      </c>
      <c r="E6933" s="1" t="s">
        <v>11</v>
      </c>
      <c r="F6933" s="1" t="s">
        <v>20</v>
      </c>
      <c r="G6933" s="4" t="b">
        <f t="shared" si="2"/>
        <v>1</v>
      </c>
      <c r="H6933" s="1" t="str">
        <f t="shared" si="3"/>
        <v>Currently Unavailable</v>
      </c>
      <c r="I6933" s="1" t="str">
        <f t="shared" si="4"/>
        <v>No Badges</v>
      </c>
      <c r="J6933" s="3">
        <f t="shared" si="5"/>
        <v>0</v>
      </c>
    </row>
    <row r="6934">
      <c r="A6934" s="1" t="s">
        <v>5297</v>
      </c>
      <c r="B6934" s="3" t="str">
        <f t="shared" si="1"/>
        <v>Unavailable</v>
      </c>
      <c r="C6934" s="3">
        <v>167.0</v>
      </c>
      <c r="D6934" s="3">
        <f>IFERROR(__xludf.DUMMYFUNCTION("IFERROR(
IF(REGEXMATCH(LOWER(O6934),""k""),
VALUE(REGEXEXTRACT(O6934,""[0-9]+""))*1000,
VALUE(REGEXEXTRACT(O6934,""[0-9]+""))
),
0
)"),0.0)</f>
        <v>0</v>
      </c>
      <c r="E6934" s="1" t="s">
        <v>11</v>
      </c>
      <c r="F6934" s="1" t="s">
        <v>20</v>
      </c>
      <c r="G6934" s="4" t="b">
        <f t="shared" si="2"/>
        <v>1</v>
      </c>
      <c r="H6934" s="1" t="str">
        <f t="shared" si="3"/>
        <v>Currently Unavailable</v>
      </c>
      <c r="I6934" s="1" t="str">
        <f t="shared" si="4"/>
        <v>No Badges</v>
      </c>
      <c r="J6934" s="3">
        <f t="shared" si="5"/>
        <v>0</v>
      </c>
    </row>
    <row r="6935">
      <c r="A6935" s="1" t="s">
        <v>5298</v>
      </c>
      <c r="B6935" s="3" t="str">
        <f t="shared" si="1"/>
        <v>Unavailable</v>
      </c>
      <c r="C6935" s="5">
        <v>7259.0</v>
      </c>
      <c r="D6935" s="3">
        <f>IFERROR(__xludf.DUMMYFUNCTION("IFERROR(
IF(REGEXMATCH(LOWER(O6935),""k""),
VALUE(REGEXEXTRACT(O6935,""[0-9]+""))*1000,
VALUE(REGEXEXTRACT(O6935,""[0-9]+""))
),
0
)"),0.0)</f>
        <v>0</v>
      </c>
      <c r="E6935" s="1" t="s">
        <v>11</v>
      </c>
      <c r="F6935" s="1" t="s">
        <v>20</v>
      </c>
      <c r="G6935" s="4" t="b">
        <f t="shared" si="2"/>
        <v>1</v>
      </c>
      <c r="H6935" s="1" t="str">
        <f t="shared" si="3"/>
        <v>Currently Unavailable</v>
      </c>
      <c r="I6935" s="1" t="str">
        <f t="shared" si="4"/>
        <v>No Badges</v>
      </c>
      <c r="J6935" s="3">
        <f t="shared" si="5"/>
        <v>0</v>
      </c>
    </row>
    <row r="6936">
      <c r="A6936" s="1" t="s">
        <v>5299</v>
      </c>
      <c r="B6936" s="3" t="str">
        <f t="shared" si="1"/>
        <v>Unavailable</v>
      </c>
      <c r="C6936" s="5">
        <v>5625.0</v>
      </c>
      <c r="D6936" s="3">
        <f>IFERROR(__xludf.DUMMYFUNCTION("IFERROR(
IF(REGEXMATCH(LOWER(O6936),""k""),
VALUE(REGEXEXTRACT(O6936,""[0-9]+""))*1000,
VALUE(REGEXEXTRACT(O6936,""[0-9]+""))
),
0
)"),0.0)</f>
        <v>0</v>
      </c>
      <c r="E6936" s="1" t="s">
        <v>11</v>
      </c>
      <c r="F6936" s="1" t="s">
        <v>20</v>
      </c>
      <c r="G6936" s="4" t="b">
        <f t="shared" si="2"/>
        <v>1</v>
      </c>
      <c r="H6936" s="1" t="str">
        <f t="shared" si="3"/>
        <v>Currently Unavailable</v>
      </c>
      <c r="I6936" s="1" t="str">
        <f t="shared" si="4"/>
        <v>No Badges</v>
      </c>
      <c r="J6936" s="3">
        <f t="shared" si="5"/>
        <v>0</v>
      </c>
    </row>
    <row r="6937">
      <c r="A6937" s="1" t="s">
        <v>5300</v>
      </c>
      <c r="B6937" s="3" t="str">
        <f t="shared" si="1"/>
        <v>Unavailable</v>
      </c>
      <c r="C6937" s="3">
        <v>606.0</v>
      </c>
      <c r="D6937" s="3">
        <f>IFERROR(__xludf.DUMMYFUNCTION("IFERROR(
IF(REGEXMATCH(LOWER(O6937),""k""),
VALUE(REGEXEXTRACT(O6937,""[0-9]+""))*1000,
VALUE(REGEXEXTRACT(O6937,""[0-9]+""))
),
0
)"),0.0)</f>
        <v>0</v>
      </c>
      <c r="E6937" s="1" t="s">
        <v>11</v>
      </c>
      <c r="F6937" s="1" t="s">
        <v>20</v>
      </c>
      <c r="G6937" s="4" t="b">
        <f t="shared" si="2"/>
        <v>1</v>
      </c>
      <c r="H6937" s="1" t="str">
        <f t="shared" si="3"/>
        <v>Currently Unavailable</v>
      </c>
      <c r="I6937" s="1" t="str">
        <f t="shared" si="4"/>
        <v>No Badges</v>
      </c>
      <c r="J6937" s="3">
        <f t="shared" si="5"/>
        <v>0</v>
      </c>
    </row>
    <row r="6938">
      <c r="A6938" s="1" t="s">
        <v>5301</v>
      </c>
      <c r="B6938" s="3" t="str">
        <f t="shared" si="1"/>
        <v>Unavailable</v>
      </c>
      <c r="C6938" s="5">
        <v>12108.0</v>
      </c>
      <c r="D6938" s="3">
        <f>IFERROR(__xludf.DUMMYFUNCTION("IFERROR(
IF(REGEXMATCH(LOWER(O6938),""k""),
VALUE(REGEXEXTRACT(O6938,""[0-9]+""))*1000,
VALUE(REGEXEXTRACT(O6938,""[0-9]+""))
),
0
)"),0.0)</f>
        <v>0</v>
      </c>
      <c r="E6938" s="1" t="s">
        <v>11</v>
      </c>
      <c r="F6938" s="1" t="s">
        <v>20</v>
      </c>
      <c r="G6938" s="4" t="b">
        <f t="shared" si="2"/>
        <v>1</v>
      </c>
      <c r="H6938" s="1" t="str">
        <f t="shared" si="3"/>
        <v>Currently Unavailable</v>
      </c>
      <c r="I6938" s="1" t="str">
        <f t="shared" si="4"/>
        <v>No Badges</v>
      </c>
      <c r="J6938" s="3">
        <f t="shared" si="5"/>
        <v>0</v>
      </c>
    </row>
    <row r="6939">
      <c r="A6939" s="1" t="s">
        <v>5302</v>
      </c>
      <c r="B6939" s="3" t="str">
        <f t="shared" si="1"/>
        <v>Unavailable</v>
      </c>
      <c r="C6939" s="3">
        <v>861.0</v>
      </c>
      <c r="D6939" s="3">
        <f>IFERROR(__xludf.DUMMYFUNCTION("IFERROR(
IF(REGEXMATCH(LOWER(O6939),""k""),
VALUE(REGEXEXTRACT(O6939,""[0-9]+""))*1000,
VALUE(REGEXEXTRACT(O6939,""[0-9]+""))
),
0
)"),0.0)</f>
        <v>0</v>
      </c>
      <c r="E6939" s="1" t="s">
        <v>11</v>
      </c>
      <c r="F6939" s="1" t="s">
        <v>20</v>
      </c>
      <c r="G6939" s="4" t="b">
        <f t="shared" si="2"/>
        <v>1</v>
      </c>
      <c r="H6939" s="1" t="str">
        <f t="shared" si="3"/>
        <v>Currently Unavailable</v>
      </c>
      <c r="I6939" s="1" t="str">
        <f t="shared" si="4"/>
        <v>No Badges</v>
      </c>
      <c r="J6939" s="3">
        <f t="shared" si="5"/>
        <v>0</v>
      </c>
    </row>
    <row r="6940">
      <c r="A6940" s="1" t="s">
        <v>5303</v>
      </c>
      <c r="B6940" s="3" t="str">
        <f t="shared" si="1"/>
        <v>Unavailable</v>
      </c>
      <c r="C6940" s="3">
        <v>836.0</v>
      </c>
      <c r="D6940" s="3">
        <f>IFERROR(__xludf.DUMMYFUNCTION("IFERROR(
IF(REGEXMATCH(LOWER(O6940),""k""),
VALUE(REGEXEXTRACT(O6940,""[0-9]+""))*1000,
VALUE(REGEXEXTRACT(O6940,""[0-9]+""))
),
0
)"),0.0)</f>
        <v>0</v>
      </c>
      <c r="E6940" s="1" t="s">
        <v>11</v>
      </c>
      <c r="F6940" s="1" t="s">
        <v>20</v>
      </c>
      <c r="G6940" s="4" t="b">
        <f t="shared" si="2"/>
        <v>1</v>
      </c>
      <c r="H6940" s="1" t="str">
        <f t="shared" si="3"/>
        <v>Currently Unavailable</v>
      </c>
      <c r="I6940" s="1" t="str">
        <f t="shared" si="4"/>
        <v>No Badges</v>
      </c>
      <c r="J6940" s="3">
        <f t="shared" si="5"/>
        <v>0</v>
      </c>
    </row>
    <row r="6941">
      <c r="A6941" s="1" t="s">
        <v>5304</v>
      </c>
      <c r="B6941" s="3" t="str">
        <f t="shared" si="1"/>
        <v>Unavailable</v>
      </c>
      <c r="C6941" s="5">
        <v>12631.0</v>
      </c>
      <c r="D6941" s="3">
        <f>IFERROR(__xludf.DUMMYFUNCTION("IFERROR(
IF(REGEXMATCH(LOWER(O6941),""k""),
VALUE(REGEXEXTRACT(O6941,""[0-9]+""))*1000,
VALUE(REGEXEXTRACT(O6941,""[0-9]+""))
),
0
)"),0.0)</f>
        <v>0</v>
      </c>
      <c r="E6941" s="1" t="s">
        <v>11</v>
      </c>
      <c r="F6941" s="1" t="s">
        <v>20</v>
      </c>
      <c r="G6941" s="4" t="b">
        <f t="shared" si="2"/>
        <v>1</v>
      </c>
      <c r="H6941" s="1" t="str">
        <f t="shared" si="3"/>
        <v>Currently Unavailable</v>
      </c>
      <c r="I6941" s="1" t="str">
        <f t="shared" si="4"/>
        <v>No Badges</v>
      </c>
      <c r="J6941" s="3">
        <f t="shared" si="5"/>
        <v>0</v>
      </c>
    </row>
    <row r="6942">
      <c r="A6942" s="1" t="s">
        <v>5305</v>
      </c>
      <c r="B6942" s="3" t="str">
        <f t="shared" si="1"/>
        <v>Unavailable</v>
      </c>
      <c r="C6942" s="5">
        <v>51421.0</v>
      </c>
      <c r="D6942" s="3">
        <f>IFERROR(__xludf.DUMMYFUNCTION("IFERROR(
IF(REGEXMATCH(LOWER(O6942),""k""),
VALUE(REGEXEXTRACT(O6942,""[0-9]+""))*1000,
VALUE(REGEXEXTRACT(O6942,""[0-9]+""))
),
0
)"),0.0)</f>
        <v>0</v>
      </c>
      <c r="E6942" s="1" t="s">
        <v>11</v>
      </c>
      <c r="F6942" s="1" t="s">
        <v>20</v>
      </c>
      <c r="G6942" s="4" t="b">
        <f t="shared" si="2"/>
        <v>1</v>
      </c>
      <c r="H6942" s="1" t="str">
        <f t="shared" si="3"/>
        <v>Currently Unavailable</v>
      </c>
      <c r="I6942" s="1" t="str">
        <f t="shared" si="4"/>
        <v>No Badges</v>
      </c>
      <c r="J6942" s="3">
        <f t="shared" si="5"/>
        <v>0</v>
      </c>
    </row>
    <row r="6943">
      <c r="A6943" s="1" t="s">
        <v>5306</v>
      </c>
      <c r="B6943" s="3" t="str">
        <f t="shared" si="1"/>
        <v>Unavailable</v>
      </c>
      <c r="C6943" s="5">
        <v>2679.0</v>
      </c>
      <c r="D6943" s="3">
        <f>IFERROR(__xludf.DUMMYFUNCTION("IFERROR(
IF(REGEXMATCH(LOWER(O6943),""k""),
VALUE(REGEXEXTRACT(O6943,""[0-9]+""))*1000,
VALUE(REGEXEXTRACT(O6943,""[0-9]+""))
),
0
)"),0.0)</f>
        <v>0</v>
      </c>
      <c r="E6943" s="1" t="s">
        <v>11</v>
      </c>
      <c r="F6943" s="1" t="s">
        <v>20</v>
      </c>
      <c r="G6943" s="4" t="b">
        <f t="shared" si="2"/>
        <v>1</v>
      </c>
      <c r="H6943" s="1" t="str">
        <f t="shared" si="3"/>
        <v>Currently Unavailable</v>
      </c>
      <c r="I6943" s="1" t="str">
        <f t="shared" si="4"/>
        <v>No Badges</v>
      </c>
      <c r="J6943" s="3">
        <f t="shared" si="5"/>
        <v>0</v>
      </c>
    </row>
    <row r="6944">
      <c r="A6944" s="1" t="s">
        <v>5307</v>
      </c>
      <c r="B6944" s="3" t="str">
        <f t="shared" si="1"/>
        <v>Unavailable</v>
      </c>
      <c r="C6944" s="5">
        <v>2721.0</v>
      </c>
      <c r="D6944" s="3">
        <f>IFERROR(__xludf.DUMMYFUNCTION("IFERROR(
IF(REGEXMATCH(LOWER(O6944),""k""),
VALUE(REGEXEXTRACT(O6944,""[0-9]+""))*1000,
VALUE(REGEXEXTRACT(O6944,""[0-9]+""))
),
0
)"),0.0)</f>
        <v>0</v>
      </c>
      <c r="E6944" s="1" t="s">
        <v>11</v>
      </c>
      <c r="F6944" s="1" t="s">
        <v>20</v>
      </c>
      <c r="G6944" s="4" t="b">
        <f t="shared" si="2"/>
        <v>1</v>
      </c>
      <c r="H6944" s="1" t="str">
        <f t="shared" si="3"/>
        <v>Currently Unavailable</v>
      </c>
      <c r="I6944" s="1" t="str">
        <f t="shared" si="4"/>
        <v>No Badges</v>
      </c>
      <c r="J6944" s="3">
        <f t="shared" si="5"/>
        <v>0</v>
      </c>
    </row>
    <row r="6945">
      <c r="A6945" s="1" t="s">
        <v>88</v>
      </c>
      <c r="B6945" s="3" t="str">
        <f t="shared" si="1"/>
        <v>Unavailable</v>
      </c>
      <c r="C6945" s="3">
        <v>5.0</v>
      </c>
      <c r="D6945" s="3">
        <f>IFERROR(__xludf.DUMMYFUNCTION("IFERROR(
IF(REGEXMATCH(LOWER(O6945),""k""),
VALUE(REGEXEXTRACT(O6945,""[0-9]+""))*1000,
VALUE(REGEXEXTRACT(O6945,""[0-9]+""))
),
0
)"),0.0)</f>
        <v>0</v>
      </c>
      <c r="E6945" s="1" t="s">
        <v>11</v>
      </c>
      <c r="F6945" s="1" t="s">
        <v>12</v>
      </c>
      <c r="G6945" s="4" t="b">
        <f t="shared" si="2"/>
        <v>1</v>
      </c>
      <c r="H6945" s="1" t="str">
        <f t="shared" si="3"/>
        <v>Currently Unavailable</v>
      </c>
      <c r="I6945" s="1" t="str">
        <f t="shared" si="4"/>
        <v>No Badges</v>
      </c>
      <c r="J6945" s="3">
        <f t="shared" si="5"/>
        <v>0</v>
      </c>
    </row>
    <row r="6946">
      <c r="A6946" s="1" t="s">
        <v>40</v>
      </c>
      <c r="B6946" s="3" t="str">
        <f t="shared" si="1"/>
        <v>Unavailable</v>
      </c>
      <c r="C6946" s="3">
        <v>171.0</v>
      </c>
      <c r="D6946" s="3">
        <f>IFERROR(__xludf.DUMMYFUNCTION("IFERROR(
IF(REGEXMATCH(LOWER(O6946),""k""),
VALUE(REGEXEXTRACT(O6946,""[0-9]+""))*1000,
VALUE(REGEXEXTRACT(O6946,""[0-9]+""))
),
0
)"),0.0)</f>
        <v>0</v>
      </c>
      <c r="E6946" s="1" t="s">
        <v>11</v>
      </c>
      <c r="F6946" s="1" t="s">
        <v>12</v>
      </c>
      <c r="G6946" s="4" t="b">
        <f t="shared" si="2"/>
        <v>1</v>
      </c>
      <c r="H6946" s="1" t="str">
        <f t="shared" si="3"/>
        <v>Currently Unavailable</v>
      </c>
      <c r="I6946" s="1" t="str">
        <f t="shared" si="4"/>
        <v>No Badges</v>
      </c>
      <c r="J6946" s="3">
        <f t="shared" si="5"/>
        <v>0</v>
      </c>
    </row>
    <row r="6947">
      <c r="A6947" s="1" t="s">
        <v>5308</v>
      </c>
      <c r="B6947" s="3" t="str">
        <f t="shared" si="1"/>
        <v>Unavailable</v>
      </c>
      <c r="C6947" s="5">
        <v>6956.0</v>
      </c>
      <c r="D6947" s="3">
        <f>IFERROR(__xludf.DUMMYFUNCTION("IFERROR(
IF(REGEXMATCH(LOWER(O6947),""k""),
VALUE(REGEXEXTRACT(O6947,""[0-9]+""))*1000,
VALUE(REGEXEXTRACT(O6947,""[0-9]+""))
),
0
)"),0.0)</f>
        <v>0</v>
      </c>
      <c r="E6947" s="1" t="s">
        <v>11</v>
      </c>
      <c r="F6947" s="1" t="s">
        <v>20</v>
      </c>
      <c r="G6947" s="4" t="b">
        <f t="shared" si="2"/>
        <v>1</v>
      </c>
      <c r="H6947" s="1" t="str">
        <f t="shared" si="3"/>
        <v>Currently Unavailable</v>
      </c>
      <c r="I6947" s="1" t="str">
        <f t="shared" si="4"/>
        <v>No Badges</v>
      </c>
      <c r="J6947" s="3">
        <f t="shared" si="5"/>
        <v>0</v>
      </c>
    </row>
    <row r="6948">
      <c r="A6948" s="1" t="s">
        <v>604</v>
      </c>
      <c r="B6948" s="3" t="str">
        <f t="shared" si="1"/>
        <v>Unavailable</v>
      </c>
      <c r="C6948" s="3">
        <v>30.0</v>
      </c>
      <c r="D6948" s="3">
        <f>IFERROR(__xludf.DUMMYFUNCTION("IFERROR(
IF(REGEXMATCH(LOWER(O6948),""k""),
VALUE(REGEXEXTRACT(O6948,""[0-9]+""))*1000,
VALUE(REGEXEXTRACT(O6948,""[0-9]+""))
),
0
)"),0.0)</f>
        <v>0</v>
      </c>
      <c r="E6948" s="1" t="s">
        <v>11</v>
      </c>
      <c r="F6948" s="1" t="s">
        <v>12</v>
      </c>
      <c r="G6948" s="4" t="b">
        <f t="shared" si="2"/>
        <v>1</v>
      </c>
      <c r="H6948" s="1" t="str">
        <f t="shared" si="3"/>
        <v>Currently Unavailable</v>
      </c>
      <c r="I6948" s="1" t="str">
        <f t="shared" si="4"/>
        <v>No Badges</v>
      </c>
      <c r="J6948" s="3">
        <f t="shared" si="5"/>
        <v>0</v>
      </c>
    </row>
    <row r="6949">
      <c r="A6949" s="1" t="s">
        <v>5309</v>
      </c>
      <c r="B6949" s="3" t="str">
        <f t="shared" si="1"/>
        <v>Unavailable</v>
      </c>
      <c r="C6949" s="5">
        <v>1839.0</v>
      </c>
      <c r="D6949" s="3">
        <f>IFERROR(__xludf.DUMMYFUNCTION("IFERROR(
IF(REGEXMATCH(LOWER(O6949),""k""),
VALUE(REGEXEXTRACT(O6949,""[0-9]+""))*1000,
VALUE(REGEXEXTRACT(O6949,""[0-9]+""))
),
0
)"),0.0)</f>
        <v>0</v>
      </c>
      <c r="E6949" s="1" t="s">
        <v>11</v>
      </c>
      <c r="F6949" s="1" t="s">
        <v>20</v>
      </c>
      <c r="G6949" s="4" t="b">
        <f t="shared" si="2"/>
        <v>1</v>
      </c>
      <c r="H6949" s="1" t="str">
        <f t="shared" si="3"/>
        <v>Currently Unavailable</v>
      </c>
      <c r="I6949" s="1" t="str">
        <f t="shared" si="4"/>
        <v>No Badges</v>
      </c>
      <c r="J6949" s="3">
        <f t="shared" si="5"/>
        <v>0</v>
      </c>
    </row>
    <row r="6950">
      <c r="A6950" s="1" t="s">
        <v>5310</v>
      </c>
      <c r="B6950" s="3" t="str">
        <f t="shared" si="1"/>
        <v>Unavailable</v>
      </c>
      <c r="C6950" s="5">
        <v>27609.0</v>
      </c>
      <c r="D6950" s="3">
        <f>IFERROR(__xludf.DUMMYFUNCTION("IFERROR(
IF(REGEXMATCH(LOWER(O6950),""k""),
VALUE(REGEXEXTRACT(O6950,""[0-9]+""))*1000,
VALUE(REGEXEXTRACT(O6950,""[0-9]+""))
),
0
)"),0.0)</f>
        <v>0</v>
      </c>
      <c r="E6950" s="1" t="s">
        <v>11</v>
      </c>
      <c r="F6950" s="1" t="s">
        <v>20</v>
      </c>
      <c r="G6950" s="4" t="b">
        <f t="shared" si="2"/>
        <v>1</v>
      </c>
      <c r="H6950" s="1" t="str">
        <f t="shared" si="3"/>
        <v>Currently Unavailable</v>
      </c>
      <c r="I6950" s="1" t="str">
        <f t="shared" si="4"/>
        <v>No Badges</v>
      </c>
      <c r="J6950" s="3">
        <f t="shared" si="5"/>
        <v>0</v>
      </c>
    </row>
    <row r="6951">
      <c r="A6951" s="1" t="s">
        <v>5311</v>
      </c>
      <c r="B6951" s="3" t="str">
        <f t="shared" si="1"/>
        <v>Unavailable</v>
      </c>
      <c r="C6951" s="5">
        <v>7363.0</v>
      </c>
      <c r="D6951" s="3">
        <f>IFERROR(__xludf.DUMMYFUNCTION("IFERROR(
IF(REGEXMATCH(LOWER(O6951),""k""),
VALUE(REGEXEXTRACT(O6951,""[0-9]+""))*1000,
VALUE(REGEXEXTRACT(O6951,""[0-9]+""))
),
0
)"),0.0)</f>
        <v>0</v>
      </c>
      <c r="E6951" s="1" t="s">
        <v>11</v>
      </c>
      <c r="F6951" s="1" t="s">
        <v>20</v>
      </c>
      <c r="G6951" s="4" t="b">
        <f t="shared" si="2"/>
        <v>1</v>
      </c>
      <c r="H6951" s="1" t="str">
        <f t="shared" si="3"/>
        <v>Currently Unavailable</v>
      </c>
      <c r="I6951" s="1" t="str">
        <f t="shared" si="4"/>
        <v>No Badges</v>
      </c>
      <c r="J6951" s="3">
        <f t="shared" si="5"/>
        <v>0</v>
      </c>
    </row>
    <row r="6952">
      <c r="A6952" s="1" t="s">
        <v>5312</v>
      </c>
      <c r="B6952" s="3" t="str">
        <f t="shared" si="1"/>
        <v>Unavailable</v>
      </c>
      <c r="C6952" s="5">
        <v>25027.0</v>
      </c>
      <c r="D6952" s="3">
        <f>IFERROR(__xludf.DUMMYFUNCTION("IFERROR(
IF(REGEXMATCH(LOWER(O6952),""k""),
VALUE(REGEXEXTRACT(O6952,""[0-9]+""))*1000,
VALUE(REGEXEXTRACT(O6952,""[0-9]+""))
),
0
)"),0.0)</f>
        <v>0</v>
      </c>
      <c r="E6952" s="1" t="s">
        <v>11</v>
      </c>
      <c r="F6952" s="1" t="s">
        <v>20</v>
      </c>
      <c r="G6952" s="4" t="b">
        <f t="shared" si="2"/>
        <v>1</v>
      </c>
      <c r="H6952" s="1" t="str">
        <f t="shared" si="3"/>
        <v>Currently Unavailable</v>
      </c>
      <c r="I6952" s="1" t="str">
        <f t="shared" si="4"/>
        <v>No Badges</v>
      </c>
      <c r="J6952" s="3">
        <f t="shared" si="5"/>
        <v>0</v>
      </c>
    </row>
    <row r="6953">
      <c r="A6953" s="1" t="s">
        <v>5313</v>
      </c>
      <c r="B6953" s="3" t="str">
        <f t="shared" si="1"/>
        <v>Unavailable</v>
      </c>
      <c r="C6953" s="3">
        <v>22.0</v>
      </c>
      <c r="D6953" s="3">
        <f>IFERROR(__xludf.DUMMYFUNCTION("IFERROR(
IF(REGEXMATCH(LOWER(O6953),""k""),
VALUE(REGEXEXTRACT(O6953,""[0-9]+""))*1000,
VALUE(REGEXEXTRACT(O6953,""[0-9]+""))
),
0
)"),0.0)</f>
        <v>0</v>
      </c>
      <c r="E6953" s="1" t="s">
        <v>11</v>
      </c>
      <c r="F6953" s="1" t="s">
        <v>20</v>
      </c>
      <c r="G6953" s="4" t="b">
        <f t="shared" si="2"/>
        <v>1</v>
      </c>
      <c r="H6953" s="1" t="str">
        <f t="shared" si="3"/>
        <v>Currently Unavailable</v>
      </c>
      <c r="I6953" s="1" t="str">
        <f t="shared" si="4"/>
        <v>No Badges</v>
      </c>
      <c r="J6953" s="3">
        <f t="shared" si="5"/>
        <v>0</v>
      </c>
    </row>
    <row r="6954">
      <c r="A6954" s="1" t="s">
        <v>5314</v>
      </c>
      <c r="B6954" s="3" t="str">
        <f t="shared" si="1"/>
        <v>Unavailable</v>
      </c>
      <c r="C6954" s="5">
        <v>3485.0</v>
      </c>
      <c r="D6954" s="3">
        <f>IFERROR(__xludf.DUMMYFUNCTION("IFERROR(
IF(REGEXMATCH(LOWER(O6954),""k""),
VALUE(REGEXEXTRACT(O6954,""[0-9]+""))*1000,
VALUE(REGEXEXTRACT(O6954,""[0-9]+""))
),
0
)"),0.0)</f>
        <v>0</v>
      </c>
      <c r="E6954" s="1" t="s">
        <v>11</v>
      </c>
      <c r="F6954" s="1" t="s">
        <v>20</v>
      </c>
      <c r="G6954" s="4" t="b">
        <f t="shared" si="2"/>
        <v>1</v>
      </c>
      <c r="H6954" s="1" t="str">
        <f t="shared" si="3"/>
        <v>Currently Unavailable</v>
      </c>
      <c r="I6954" s="1" t="str">
        <f t="shared" si="4"/>
        <v>No Badges</v>
      </c>
      <c r="J6954" s="3">
        <f t="shared" si="5"/>
        <v>0</v>
      </c>
    </row>
    <row r="6955">
      <c r="A6955" s="1" t="s">
        <v>5315</v>
      </c>
      <c r="B6955" s="3" t="str">
        <f t="shared" si="1"/>
        <v>Unavailable</v>
      </c>
      <c r="C6955" s="5">
        <v>14706.0</v>
      </c>
      <c r="D6955" s="3">
        <f>IFERROR(__xludf.DUMMYFUNCTION("IFERROR(
IF(REGEXMATCH(LOWER(O6955),""k""),
VALUE(REGEXEXTRACT(O6955,""[0-9]+""))*1000,
VALUE(REGEXEXTRACT(O6955,""[0-9]+""))
),
0
)"),0.0)</f>
        <v>0</v>
      </c>
      <c r="E6955" s="1" t="s">
        <v>11</v>
      </c>
      <c r="F6955" s="1" t="s">
        <v>20</v>
      </c>
      <c r="G6955" s="4" t="b">
        <f t="shared" si="2"/>
        <v>1</v>
      </c>
      <c r="H6955" s="1" t="str">
        <f t="shared" si="3"/>
        <v>Currently Unavailable</v>
      </c>
      <c r="I6955" s="1" t="str">
        <f t="shared" si="4"/>
        <v>No Badges</v>
      </c>
      <c r="J6955" s="3">
        <f t="shared" si="5"/>
        <v>0</v>
      </c>
    </row>
    <row r="6956">
      <c r="A6956" s="1" t="s">
        <v>5314</v>
      </c>
      <c r="B6956" s="3" t="str">
        <f t="shared" si="1"/>
        <v>Unavailable</v>
      </c>
      <c r="C6956" s="5">
        <v>3485.0</v>
      </c>
      <c r="D6956" s="3">
        <f>IFERROR(__xludf.DUMMYFUNCTION("IFERROR(
IF(REGEXMATCH(LOWER(O6956),""k""),
VALUE(REGEXEXTRACT(O6956,""[0-9]+""))*1000,
VALUE(REGEXEXTRACT(O6956,""[0-9]+""))
),
0
)"),0.0)</f>
        <v>0</v>
      </c>
      <c r="E6956" s="1" t="s">
        <v>11</v>
      </c>
      <c r="F6956" s="1" t="s">
        <v>12</v>
      </c>
      <c r="G6956" s="4" t="b">
        <f t="shared" si="2"/>
        <v>1</v>
      </c>
      <c r="H6956" s="1" t="str">
        <f t="shared" si="3"/>
        <v>Currently Unavailable</v>
      </c>
      <c r="I6956" s="1" t="str">
        <f t="shared" si="4"/>
        <v>No Badges</v>
      </c>
      <c r="J6956" s="3">
        <f t="shared" si="5"/>
        <v>0</v>
      </c>
    </row>
    <row r="6957">
      <c r="A6957" s="1" t="s">
        <v>5316</v>
      </c>
      <c r="B6957" s="3" t="str">
        <f t="shared" si="1"/>
        <v>Unavailable</v>
      </c>
      <c r="C6957" s="5">
        <v>2994.0</v>
      </c>
      <c r="D6957" s="3">
        <f>IFERROR(__xludf.DUMMYFUNCTION("IFERROR(
IF(REGEXMATCH(LOWER(O6957),""k""),
VALUE(REGEXEXTRACT(O6957,""[0-9]+""))*1000,
VALUE(REGEXEXTRACT(O6957,""[0-9]+""))
),
0
)"),0.0)</f>
        <v>0</v>
      </c>
      <c r="E6957" s="1" t="s">
        <v>11</v>
      </c>
      <c r="F6957" s="1" t="s">
        <v>20</v>
      </c>
      <c r="G6957" s="4" t="b">
        <f t="shared" si="2"/>
        <v>1</v>
      </c>
      <c r="H6957" s="1" t="str">
        <f t="shared" si="3"/>
        <v>Currently Unavailable</v>
      </c>
      <c r="I6957" s="1" t="str">
        <f t="shared" si="4"/>
        <v>No Badges</v>
      </c>
      <c r="J6957" s="3">
        <f t="shared" si="5"/>
        <v>0</v>
      </c>
    </row>
    <row r="6958">
      <c r="A6958" s="1" t="s">
        <v>5317</v>
      </c>
      <c r="B6958" s="3" t="str">
        <f t="shared" si="1"/>
        <v>Unavailable</v>
      </c>
      <c r="C6958" s="5">
        <v>3898.0</v>
      </c>
      <c r="D6958" s="3">
        <f>IFERROR(__xludf.DUMMYFUNCTION("IFERROR(
IF(REGEXMATCH(LOWER(O6958),""k""),
VALUE(REGEXEXTRACT(O6958,""[0-9]+""))*1000,
VALUE(REGEXEXTRACT(O6958,""[0-9]+""))
),
0
)"),0.0)</f>
        <v>0</v>
      </c>
      <c r="E6958" s="1" t="s">
        <v>158</v>
      </c>
      <c r="F6958" s="1" t="s">
        <v>20</v>
      </c>
      <c r="G6958" s="4" t="b">
        <f t="shared" si="2"/>
        <v>1</v>
      </c>
      <c r="H6958" s="1" t="str">
        <f t="shared" si="3"/>
        <v>Currently Unavailable</v>
      </c>
      <c r="I6958" s="1" t="str">
        <f t="shared" si="4"/>
        <v>No Badges</v>
      </c>
      <c r="J6958" s="3">
        <f t="shared" si="5"/>
        <v>0</v>
      </c>
    </row>
    <row r="6959">
      <c r="A6959" s="1" t="s">
        <v>5318</v>
      </c>
      <c r="B6959" s="3" t="str">
        <f t="shared" si="1"/>
        <v>Unavailable</v>
      </c>
      <c r="C6959" s="5">
        <v>16069.0</v>
      </c>
      <c r="D6959" s="3">
        <f>IFERROR(__xludf.DUMMYFUNCTION("IFERROR(
IF(REGEXMATCH(LOWER(O6959),""k""),
VALUE(REGEXEXTRACT(O6959,""[0-9]+""))*1000,
VALUE(REGEXEXTRACT(O6959,""[0-9]+""))
),
0
)"),0.0)</f>
        <v>0</v>
      </c>
      <c r="E6959" s="1" t="s">
        <v>11</v>
      </c>
      <c r="F6959" s="1" t="s">
        <v>20</v>
      </c>
      <c r="G6959" s="4" t="b">
        <f t="shared" si="2"/>
        <v>1</v>
      </c>
      <c r="H6959" s="1" t="str">
        <f t="shared" si="3"/>
        <v>Currently Unavailable</v>
      </c>
      <c r="I6959" s="1" t="str">
        <f t="shared" si="4"/>
        <v>No Badges</v>
      </c>
      <c r="J6959" s="3">
        <f t="shared" si="5"/>
        <v>0</v>
      </c>
    </row>
    <row r="6960">
      <c r="A6960" s="1" t="s">
        <v>5319</v>
      </c>
      <c r="B6960" s="3" t="str">
        <f t="shared" si="1"/>
        <v>Unavailable</v>
      </c>
      <c r="C6960" s="5">
        <v>5742.0</v>
      </c>
      <c r="D6960" s="3">
        <f>IFERROR(__xludf.DUMMYFUNCTION("IFERROR(
IF(REGEXMATCH(LOWER(O6960),""k""),
VALUE(REGEXEXTRACT(O6960,""[0-9]+""))*1000,
VALUE(REGEXEXTRACT(O6960,""[0-9]+""))
),
0
)"),0.0)</f>
        <v>0</v>
      </c>
      <c r="E6960" s="1" t="s">
        <v>11</v>
      </c>
      <c r="F6960" s="1" t="s">
        <v>20</v>
      </c>
      <c r="G6960" s="4" t="b">
        <f t="shared" si="2"/>
        <v>1</v>
      </c>
      <c r="H6960" s="1" t="str">
        <f t="shared" si="3"/>
        <v>Currently Unavailable</v>
      </c>
      <c r="I6960" s="1" t="str">
        <f t="shared" si="4"/>
        <v>No Badges</v>
      </c>
      <c r="J6960" s="3">
        <f t="shared" si="5"/>
        <v>0</v>
      </c>
    </row>
    <row r="6961">
      <c r="A6961" s="1" t="s">
        <v>5320</v>
      </c>
      <c r="B6961" s="3" t="str">
        <f t="shared" si="1"/>
        <v>Unavailable</v>
      </c>
      <c r="C6961" s="5">
        <v>18062.0</v>
      </c>
      <c r="D6961" s="3">
        <f>IFERROR(__xludf.DUMMYFUNCTION("IFERROR(
IF(REGEXMATCH(LOWER(O6961),""k""),
VALUE(REGEXEXTRACT(O6961,""[0-9]+""))*1000,
VALUE(REGEXEXTRACT(O6961,""[0-9]+""))
),
0
)"),0.0)</f>
        <v>0</v>
      </c>
      <c r="E6961" s="1" t="s">
        <v>158</v>
      </c>
      <c r="F6961" s="1" t="s">
        <v>20</v>
      </c>
      <c r="G6961" s="4" t="b">
        <f t="shared" si="2"/>
        <v>1</v>
      </c>
      <c r="H6961" s="1" t="str">
        <f t="shared" si="3"/>
        <v>Currently Unavailable</v>
      </c>
      <c r="I6961" s="1" t="str">
        <f t="shared" si="4"/>
        <v>No Badges</v>
      </c>
      <c r="J6961" s="3">
        <f t="shared" si="5"/>
        <v>0</v>
      </c>
    </row>
    <row r="6962">
      <c r="A6962" s="1" t="s">
        <v>88</v>
      </c>
      <c r="B6962" s="3" t="str">
        <f t="shared" si="1"/>
        <v>Unavailable</v>
      </c>
      <c r="C6962" s="3">
        <v>5.0</v>
      </c>
      <c r="D6962" s="3">
        <f>IFERROR(__xludf.DUMMYFUNCTION("IFERROR(
IF(REGEXMATCH(LOWER(O6962),""k""),
VALUE(REGEXEXTRACT(O6962,""[0-9]+""))*1000,
VALUE(REGEXEXTRACT(O6962,""[0-9]+""))
),
0
)"),0.0)</f>
        <v>0</v>
      </c>
      <c r="E6962" s="1" t="s">
        <v>11</v>
      </c>
      <c r="F6962" s="1" t="s">
        <v>12</v>
      </c>
      <c r="G6962" s="4" t="b">
        <f t="shared" si="2"/>
        <v>1</v>
      </c>
      <c r="H6962" s="1" t="str">
        <f t="shared" si="3"/>
        <v>Currently Unavailable</v>
      </c>
      <c r="I6962" s="1" t="str">
        <f t="shared" si="4"/>
        <v>No Badges</v>
      </c>
      <c r="J6962" s="3">
        <f t="shared" si="5"/>
        <v>0</v>
      </c>
    </row>
    <row r="6963">
      <c r="A6963" s="1" t="s">
        <v>69</v>
      </c>
      <c r="B6963" s="3" t="str">
        <f t="shared" si="1"/>
        <v>Unavailable</v>
      </c>
      <c r="C6963" s="3">
        <v>45.0</v>
      </c>
      <c r="D6963" s="3">
        <f>IFERROR(__xludf.DUMMYFUNCTION("IFERROR(
IF(REGEXMATCH(LOWER(O6963),""k""),
VALUE(REGEXEXTRACT(O6963,""[0-9]+""))*1000,
VALUE(REGEXEXTRACT(O6963,""[0-9]+""))
),
0
)"),0.0)</f>
        <v>0</v>
      </c>
      <c r="E6963" s="1" t="s">
        <v>11</v>
      </c>
      <c r="F6963" s="1" t="s">
        <v>12</v>
      </c>
      <c r="G6963" s="4" t="b">
        <f t="shared" si="2"/>
        <v>1</v>
      </c>
      <c r="H6963" s="1" t="str">
        <f t="shared" si="3"/>
        <v>Currently Unavailable</v>
      </c>
      <c r="I6963" s="1" t="str">
        <f t="shared" si="4"/>
        <v>No Badges</v>
      </c>
      <c r="J6963" s="3">
        <f t="shared" si="5"/>
        <v>0</v>
      </c>
    </row>
    <row r="6964">
      <c r="A6964" s="1" t="s">
        <v>5321</v>
      </c>
      <c r="B6964" s="3" t="str">
        <f t="shared" si="1"/>
        <v>Unavailable</v>
      </c>
      <c r="C6964" s="5">
        <v>37000.0</v>
      </c>
      <c r="D6964" s="3">
        <f>IFERROR(__xludf.DUMMYFUNCTION("IFERROR(
IF(REGEXMATCH(LOWER(O6964),""k""),
VALUE(REGEXEXTRACT(O6964,""[0-9]+""))*1000,
VALUE(REGEXEXTRACT(O6964,""[0-9]+""))
),
0
)"),0.0)</f>
        <v>0</v>
      </c>
      <c r="E6964" s="1" t="s">
        <v>158</v>
      </c>
      <c r="F6964" s="1" t="s">
        <v>20</v>
      </c>
      <c r="G6964" s="4" t="b">
        <f t="shared" si="2"/>
        <v>1</v>
      </c>
      <c r="H6964" s="1" t="str">
        <f t="shared" si="3"/>
        <v>Currently Unavailable</v>
      </c>
      <c r="I6964" s="1" t="str">
        <f t="shared" si="4"/>
        <v>No Badges</v>
      </c>
      <c r="J6964" s="3">
        <f t="shared" si="5"/>
        <v>0</v>
      </c>
    </row>
    <row r="6965">
      <c r="A6965" s="1" t="s">
        <v>5322</v>
      </c>
      <c r="B6965" s="3" t="str">
        <f t="shared" si="1"/>
        <v>Unavailable</v>
      </c>
      <c r="C6965" s="5">
        <v>42772.0</v>
      </c>
      <c r="D6965" s="3">
        <f>IFERROR(__xludf.DUMMYFUNCTION("IFERROR(
IF(REGEXMATCH(LOWER(O6965),""k""),
VALUE(REGEXEXTRACT(O6965,""[0-9]+""))*1000,
VALUE(REGEXEXTRACT(O6965,""[0-9]+""))
),
0
)"),0.0)</f>
        <v>0</v>
      </c>
      <c r="E6965" s="1" t="s">
        <v>11</v>
      </c>
      <c r="F6965" s="1" t="s">
        <v>20</v>
      </c>
      <c r="G6965" s="4" t="b">
        <f t="shared" si="2"/>
        <v>1</v>
      </c>
      <c r="H6965" s="1" t="str">
        <f t="shared" si="3"/>
        <v>Currently Unavailable</v>
      </c>
      <c r="I6965" s="1" t="str">
        <f t="shared" si="4"/>
        <v>No Badges</v>
      </c>
      <c r="J6965" s="3">
        <f t="shared" si="5"/>
        <v>0</v>
      </c>
    </row>
    <row r="6966">
      <c r="A6966" s="1" t="s">
        <v>5323</v>
      </c>
      <c r="B6966" s="3" t="str">
        <f t="shared" si="1"/>
        <v>Unavailable</v>
      </c>
      <c r="C6966" s="5">
        <v>4368.0</v>
      </c>
      <c r="D6966" s="3">
        <f>IFERROR(__xludf.DUMMYFUNCTION("IFERROR(
IF(REGEXMATCH(LOWER(O6966),""k""),
VALUE(REGEXEXTRACT(O6966,""[0-9]+""))*1000,
VALUE(REGEXEXTRACT(O6966,""[0-9]+""))
),
0
)"),0.0)</f>
        <v>0</v>
      </c>
      <c r="E6966" s="1" t="s">
        <v>11</v>
      </c>
      <c r="F6966" s="1" t="s">
        <v>20</v>
      </c>
      <c r="G6966" s="4" t="b">
        <f t="shared" si="2"/>
        <v>1</v>
      </c>
      <c r="H6966" s="1" t="str">
        <f t="shared" si="3"/>
        <v>Currently Unavailable</v>
      </c>
      <c r="I6966" s="1" t="str">
        <f t="shared" si="4"/>
        <v>No Badges</v>
      </c>
      <c r="J6966" s="3">
        <f t="shared" si="5"/>
        <v>0</v>
      </c>
    </row>
    <row r="6967">
      <c r="A6967" s="1" t="s">
        <v>5324</v>
      </c>
      <c r="B6967" s="3" t="str">
        <f t="shared" si="1"/>
        <v>Unavailable</v>
      </c>
      <c r="C6967" s="5">
        <v>1885.0</v>
      </c>
      <c r="D6967" s="3">
        <f>IFERROR(__xludf.DUMMYFUNCTION("IFERROR(
IF(REGEXMATCH(LOWER(O6967),""k""),
VALUE(REGEXEXTRACT(O6967,""[0-9]+""))*1000,
VALUE(REGEXEXTRACT(O6967,""[0-9]+""))
),
0
)"),0.0)</f>
        <v>0</v>
      </c>
      <c r="E6967" s="1" t="s">
        <v>11</v>
      </c>
      <c r="F6967" s="1" t="s">
        <v>20</v>
      </c>
      <c r="G6967" s="4" t="b">
        <f t="shared" si="2"/>
        <v>1</v>
      </c>
      <c r="H6967" s="1" t="str">
        <f t="shared" si="3"/>
        <v>Currently Unavailable</v>
      </c>
      <c r="I6967" s="1" t="str">
        <f t="shared" si="4"/>
        <v>No Badges</v>
      </c>
      <c r="J6967" s="3">
        <f t="shared" si="5"/>
        <v>0</v>
      </c>
    </row>
    <row r="6968">
      <c r="A6968" s="1" t="s">
        <v>5325</v>
      </c>
      <c r="B6968" s="3" t="str">
        <f t="shared" si="1"/>
        <v>Unavailable</v>
      </c>
      <c r="C6968" s="5">
        <v>8009.0</v>
      </c>
      <c r="D6968" s="3">
        <f>IFERROR(__xludf.DUMMYFUNCTION("IFERROR(
IF(REGEXMATCH(LOWER(O6968),""k""),
VALUE(REGEXEXTRACT(O6968,""[0-9]+""))*1000,
VALUE(REGEXEXTRACT(O6968,""[0-9]+""))
),
0
)"),0.0)</f>
        <v>0</v>
      </c>
      <c r="E6968" s="1" t="s">
        <v>11</v>
      </c>
      <c r="F6968" s="1" t="s">
        <v>20</v>
      </c>
      <c r="G6968" s="4" t="b">
        <f t="shared" si="2"/>
        <v>1</v>
      </c>
      <c r="H6968" s="1" t="str">
        <f t="shared" si="3"/>
        <v>Currently Unavailable</v>
      </c>
      <c r="I6968" s="1" t="str">
        <f t="shared" si="4"/>
        <v>No Badges</v>
      </c>
      <c r="J6968" s="3">
        <f t="shared" si="5"/>
        <v>0</v>
      </c>
    </row>
    <row r="6969">
      <c r="A6969" s="1" t="s">
        <v>5326</v>
      </c>
      <c r="B6969" s="3" t="str">
        <f t="shared" si="1"/>
        <v>Unavailable</v>
      </c>
      <c r="C6969" s="5">
        <v>18674.0</v>
      </c>
      <c r="D6969" s="3">
        <f>IFERROR(__xludf.DUMMYFUNCTION("IFERROR(
IF(REGEXMATCH(LOWER(O6969),""k""),
VALUE(REGEXEXTRACT(O6969,""[0-9]+""))*1000,
VALUE(REGEXEXTRACT(O6969,""[0-9]+""))
),
0
)"),0.0)</f>
        <v>0</v>
      </c>
      <c r="E6969" s="1" t="s">
        <v>11</v>
      </c>
      <c r="F6969" s="1" t="s">
        <v>20</v>
      </c>
      <c r="G6969" s="4" t="b">
        <f t="shared" si="2"/>
        <v>1</v>
      </c>
      <c r="H6969" s="1" t="str">
        <f t="shared" si="3"/>
        <v>Currently Unavailable</v>
      </c>
      <c r="I6969" s="1" t="str">
        <f t="shared" si="4"/>
        <v>No Badges</v>
      </c>
      <c r="J6969" s="3">
        <f t="shared" si="5"/>
        <v>0</v>
      </c>
    </row>
    <row r="6970">
      <c r="A6970" s="1" t="s">
        <v>5327</v>
      </c>
      <c r="B6970" s="3" t="str">
        <f t="shared" si="1"/>
        <v>Unavailable</v>
      </c>
      <c r="C6970" s="5">
        <v>14924.0</v>
      </c>
      <c r="D6970" s="3">
        <f>IFERROR(__xludf.DUMMYFUNCTION("IFERROR(
IF(REGEXMATCH(LOWER(O6970),""k""),
VALUE(REGEXEXTRACT(O6970,""[0-9]+""))*1000,
VALUE(REGEXEXTRACT(O6970,""[0-9]+""))
),
0
)"),0.0)</f>
        <v>0</v>
      </c>
      <c r="E6970" s="1" t="s">
        <v>11</v>
      </c>
      <c r="F6970" s="1" t="s">
        <v>20</v>
      </c>
      <c r="G6970" s="4" t="b">
        <f t="shared" si="2"/>
        <v>1</v>
      </c>
      <c r="H6970" s="1" t="str">
        <f t="shared" si="3"/>
        <v>Currently Unavailable</v>
      </c>
      <c r="I6970" s="1" t="str">
        <f t="shared" si="4"/>
        <v>No Badges</v>
      </c>
      <c r="J6970" s="3">
        <f t="shared" si="5"/>
        <v>0</v>
      </c>
    </row>
    <row r="6971">
      <c r="A6971" s="1" t="s">
        <v>5328</v>
      </c>
      <c r="B6971" s="3" t="str">
        <f t="shared" si="1"/>
        <v>Unavailable</v>
      </c>
      <c r="C6971" s="5">
        <v>13350.0</v>
      </c>
      <c r="D6971" s="3">
        <f>IFERROR(__xludf.DUMMYFUNCTION("IFERROR(
IF(REGEXMATCH(LOWER(O6971),""k""),
VALUE(REGEXEXTRACT(O6971,""[0-9]+""))*1000,
VALUE(REGEXEXTRACT(O6971,""[0-9]+""))
),
0
)"),0.0)</f>
        <v>0</v>
      </c>
      <c r="E6971" s="1" t="s">
        <v>11</v>
      </c>
      <c r="F6971" s="1" t="s">
        <v>20</v>
      </c>
      <c r="G6971" s="4" t="b">
        <f t="shared" si="2"/>
        <v>1</v>
      </c>
      <c r="H6971" s="1" t="str">
        <f t="shared" si="3"/>
        <v>Currently Unavailable</v>
      </c>
      <c r="I6971" s="1" t="str">
        <f t="shared" si="4"/>
        <v>No Badges</v>
      </c>
      <c r="J6971" s="3">
        <f t="shared" si="5"/>
        <v>0</v>
      </c>
    </row>
    <row r="6972">
      <c r="A6972" s="1" t="s">
        <v>5329</v>
      </c>
      <c r="B6972" s="3" t="str">
        <f t="shared" si="1"/>
        <v>Unavailable</v>
      </c>
      <c r="C6972" s="5">
        <v>105561.0</v>
      </c>
      <c r="D6972" s="3">
        <f>IFERROR(__xludf.DUMMYFUNCTION("IFERROR(
IF(REGEXMATCH(LOWER(O6972),""k""),
VALUE(REGEXEXTRACT(O6972,""[0-9]+""))*1000,
VALUE(REGEXEXTRACT(O6972,""[0-9]+""))
),
0
)"),0.0)</f>
        <v>0</v>
      </c>
      <c r="E6972" s="1" t="s">
        <v>18</v>
      </c>
      <c r="F6972" s="1" t="s">
        <v>20</v>
      </c>
      <c r="G6972" s="4" t="b">
        <f t="shared" si="2"/>
        <v>1</v>
      </c>
      <c r="H6972" s="1" t="str">
        <f t="shared" si="3"/>
        <v>Currently Unavailable</v>
      </c>
      <c r="I6972" s="1" t="str">
        <f t="shared" si="4"/>
        <v>No Badges</v>
      </c>
      <c r="J6972" s="3">
        <f t="shared" si="5"/>
        <v>0</v>
      </c>
    </row>
    <row r="6973">
      <c r="A6973" s="1" t="s">
        <v>5330</v>
      </c>
      <c r="B6973" s="3" t="str">
        <f t="shared" si="1"/>
        <v>Unavailable</v>
      </c>
      <c r="C6973" s="5">
        <v>14141.0</v>
      </c>
      <c r="D6973" s="3">
        <f>IFERROR(__xludf.DUMMYFUNCTION("IFERROR(
IF(REGEXMATCH(LOWER(O6973),""k""),
VALUE(REGEXEXTRACT(O6973,""[0-9]+""))*1000,
VALUE(REGEXEXTRACT(O6973,""[0-9]+""))
),
0
)"),0.0)</f>
        <v>0</v>
      </c>
      <c r="E6973" s="1" t="s">
        <v>11</v>
      </c>
      <c r="F6973" s="1" t="s">
        <v>20</v>
      </c>
      <c r="G6973" s="4" t="b">
        <f t="shared" si="2"/>
        <v>1</v>
      </c>
      <c r="H6973" s="1" t="str">
        <f t="shared" si="3"/>
        <v>Currently Unavailable</v>
      </c>
      <c r="I6973" s="1" t="str">
        <f t="shared" si="4"/>
        <v>No Badges</v>
      </c>
      <c r="J6973" s="3">
        <f t="shared" si="5"/>
        <v>0</v>
      </c>
    </row>
    <row r="6974">
      <c r="A6974" s="1" t="s">
        <v>5331</v>
      </c>
      <c r="B6974" s="3" t="str">
        <f t="shared" si="1"/>
        <v>Unavailable</v>
      </c>
      <c r="C6974" s="3">
        <v>408.0</v>
      </c>
      <c r="D6974" s="3">
        <f>IFERROR(__xludf.DUMMYFUNCTION("IFERROR(
IF(REGEXMATCH(LOWER(O6974),""k""),
VALUE(REGEXEXTRACT(O6974,""[0-9]+""))*1000,
VALUE(REGEXEXTRACT(O6974,""[0-9]+""))
),
0
)"),0.0)</f>
        <v>0</v>
      </c>
      <c r="E6974" s="1" t="s">
        <v>11</v>
      </c>
      <c r="F6974" s="1" t="s">
        <v>20</v>
      </c>
      <c r="G6974" s="4" t="b">
        <f t="shared" si="2"/>
        <v>1</v>
      </c>
      <c r="H6974" s="1" t="str">
        <f t="shared" si="3"/>
        <v>Currently Unavailable</v>
      </c>
      <c r="I6974" s="1" t="str">
        <f t="shared" si="4"/>
        <v>No Badges</v>
      </c>
      <c r="J6974" s="3">
        <f t="shared" si="5"/>
        <v>0</v>
      </c>
    </row>
    <row r="6975">
      <c r="A6975" s="1" t="s">
        <v>5332</v>
      </c>
      <c r="B6975" s="3" t="str">
        <f t="shared" si="1"/>
        <v>Unavailable</v>
      </c>
      <c r="C6975" s="5">
        <v>3368.0</v>
      </c>
      <c r="D6975" s="3">
        <f>IFERROR(__xludf.DUMMYFUNCTION("IFERROR(
IF(REGEXMATCH(LOWER(O6975),""k""),
VALUE(REGEXEXTRACT(O6975,""[0-9]+""))*1000,
VALUE(REGEXEXTRACT(O6975,""[0-9]+""))
),
0
)"),0.0)</f>
        <v>0</v>
      </c>
      <c r="E6975" s="1" t="s">
        <v>158</v>
      </c>
      <c r="F6975" s="1" t="s">
        <v>20</v>
      </c>
      <c r="G6975" s="4" t="b">
        <f t="shared" si="2"/>
        <v>1</v>
      </c>
      <c r="H6975" s="1" t="str">
        <f t="shared" si="3"/>
        <v>Currently Unavailable</v>
      </c>
      <c r="I6975" s="1" t="str">
        <f t="shared" si="4"/>
        <v>No Badges</v>
      </c>
      <c r="J6975" s="3">
        <f t="shared" si="5"/>
        <v>0</v>
      </c>
    </row>
    <row r="6976">
      <c r="A6976" s="1" t="s">
        <v>5333</v>
      </c>
      <c r="B6976" s="3" t="str">
        <f t="shared" si="1"/>
        <v>Unavailable</v>
      </c>
      <c r="C6976" s="5">
        <v>8939.0</v>
      </c>
      <c r="D6976" s="3">
        <f>IFERROR(__xludf.DUMMYFUNCTION("IFERROR(
IF(REGEXMATCH(LOWER(O6976),""k""),
VALUE(REGEXEXTRACT(O6976,""[0-9]+""))*1000,
VALUE(REGEXEXTRACT(O6976,""[0-9]+""))
),
0
)"),0.0)</f>
        <v>0</v>
      </c>
      <c r="E6976" s="1" t="s">
        <v>11</v>
      </c>
      <c r="F6976" s="1" t="s">
        <v>20</v>
      </c>
      <c r="G6976" s="4" t="b">
        <f t="shared" si="2"/>
        <v>1</v>
      </c>
      <c r="H6976" s="1" t="str">
        <f t="shared" si="3"/>
        <v>Currently Unavailable</v>
      </c>
      <c r="I6976" s="1" t="str">
        <f t="shared" si="4"/>
        <v>No Badges</v>
      </c>
      <c r="J6976" s="3">
        <f t="shared" si="5"/>
        <v>0</v>
      </c>
    </row>
    <row r="6977">
      <c r="A6977" s="1" t="s">
        <v>5334</v>
      </c>
      <c r="B6977" s="3" t="str">
        <f t="shared" si="1"/>
        <v>Unavailable</v>
      </c>
      <c r="C6977" s="5">
        <v>46671.0</v>
      </c>
      <c r="D6977" s="3">
        <f>IFERROR(__xludf.DUMMYFUNCTION("IFERROR(
IF(REGEXMATCH(LOWER(O6977),""k""),
VALUE(REGEXEXTRACT(O6977,""[0-9]+""))*1000,
VALUE(REGEXEXTRACT(O6977,""[0-9]+""))
),
0
)"),0.0)</f>
        <v>0</v>
      </c>
      <c r="E6977" s="1" t="s">
        <v>11</v>
      </c>
      <c r="F6977" s="1" t="s">
        <v>20</v>
      </c>
      <c r="G6977" s="4" t="b">
        <f t="shared" si="2"/>
        <v>1</v>
      </c>
      <c r="H6977" s="1" t="str">
        <f t="shared" si="3"/>
        <v>Currently Unavailable</v>
      </c>
      <c r="I6977" s="1" t="str">
        <f t="shared" si="4"/>
        <v>No Badges</v>
      </c>
      <c r="J6977" s="3">
        <f t="shared" si="5"/>
        <v>0</v>
      </c>
    </row>
    <row r="6978">
      <c r="A6978" s="1" t="s">
        <v>701</v>
      </c>
      <c r="B6978" s="3" t="str">
        <f t="shared" si="1"/>
        <v>Unavailable</v>
      </c>
      <c r="C6978" s="3">
        <v>8.0</v>
      </c>
      <c r="D6978" s="3">
        <f>IFERROR(__xludf.DUMMYFUNCTION("IFERROR(
IF(REGEXMATCH(LOWER(O6978),""k""),
VALUE(REGEXEXTRACT(O6978,""[0-9]+""))*1000,
VALUE(REGEXEXTRACT(O6978,""[0-9]+""))
),
0
)"),0.0)</f>
        <v>0</v>
      </c>
      <c r="E6978" s="1" t="s">
        <v>11</v>
      </c>
      <c r="F6978" s="1" t="s">
        <v>12</v>
      </c>
      <c r="G6978" s="4" t="b">
        <f t="shared" si="2"/>
        <v>1</v>
      </c>
      <c r="H6978" s="1" t="str">
        <f t="shared" si="3"/>
        <v>Currently Unavailable</v>
      </c>
      <c r="I6978" s="1" t="str">
        <f t="shared" si="4"/>
        <v>No Badges</v>
      </c>
      <c r="J6978" s="3">
        <f t="shared" si="5"/>
        <v>0</v>
      </c>
    </row>
    <row r="6979">
      <c r="A6979" s="1" t="s">
        <v>67</v>
      </c>
      <c r="B6979" s="3" t="str">
        <f t="shared" si="1"/>
        <v>Unavailable</v>
      </c>
      <c r="C6979" s="3">
        <v>264.0</v>
      </c>
      <c r="D6979" s="3">
        <f>IFERROR(__xludf.DUMMYFUNCTION("IFERROR(
IF(REGEXMATCH(LOWER(O6979),""k""),
VALUE(REGEXEXTRACT(O6979,""[0-9]+""))*1000,
VALUE(REGEXEXTRACT(O6979,""[0-9]+""))
),
0
)"),0.0)</f>
        <v>0</v>
      </c>
      <c r="E6979" s="1" t="s">
        <v>11</v>
      </c>
      <c r="F6979" s="1" t="s">
        <v>12</v>
      </c>
      <c r="G6979" s="4" t="b">
        <f t="shared" si="2"/>
        <v>1</v>
      </c>
      <c r="H6979" s="1" t="str">
        <f t="shared" si="3"/>
        <v>Currently Unavailable</v>
      </c>
      <c r="I6979" s="1" t="str">
        <f t="shared" si="4"/>
        <v>No Badges</v>
      </c>
      <c r="J6979" s="3">
        <f t="shared" si="5"/>
        <v>0</v>
      </c>
    </row>
    <row r="6980">
      <c r="A6980" s="1" t="s">
        <v>5335</v>
      </c>
      <c r="B6980" s="3" t="str">
        <f t="shared" si="1"/>
        <v>Unavailable</v>
      </c>
      <c r="C6980" s="5">
        <v>14370.0</v>
      </c>
      <c r="D6980" s="3">
        <f>IFERROR(__xludf.DUMMYFUNCTION("IFERROR(
IF(REGEXMATCH(LOWER(O6980),""k""),
VALUE(REGEXEXTRACT(O6980,""[0-9]+""))*1000,
VALUE(REGEXEXTRACT(O6980,""[0-9]+""))
),
0
)"),0.0)</f>
        <v>0</v>
      </c>
      <c r="E6980" s="1" t="s">
        <v>11</v>
      </c>
      <c r="F6980" s="1" t="s">
        <v>20</v>
      </c>
      <c r="G6980" s="4" t="b">
        <f t="shared" si="2"/>
        <v>1</v>
      </c>
      <c r="H6980" s="1" t="str">
        <f t="shared" si="3"/>
        <v>Currently Unavailable</v>
      </c>
      <c r="I6980" s="1" t="str">
        <f t="shared" si="4"/>
        <v>No Badges</v>
      </c>
      <c r="J6980" s="3">
        <f t="shared" si="5"/>
        <v>0</v>
      </c>
    </row>
    <row r="6981">
      <c r="A6981" s="1" t="s">
        <v>88</v>
      </c>
      <c r="B6981" s="3" t="str">
        <f t="shared" si="1"/>
        <v>Unavailable</v>
      </c>
      <c r="C6981" s="3">
        <v>5.0</v>
      </c>
      <c r="D6981" s="3">
        <f>IFERROR(__xludf.DUMMYFUNCTION("IFERROR(
IF(REGEXMATCH(LOWER(O6981),""k""),
VALUE(REGEXEXTRACT(O6981,""[0-9]+""))*1000,
VALUE(REGEXEXTRACT(O6981,""[0-9]+""))
),
0
)"),0.0)</f>
        <v>0</v>
      </c>
      <c r="E6981" s="1" t="s">
        <v>11</v>
      </c>
      <c r="F6981" s="1" t="s">
        <v>12</v>
      </c>
      <c r="G6981" s="4" t="b">
        <f t="shared" si="2"/>
        <v>1</v>
      </c>
      <c r="H6981" s="1" t="str">
        <f t="shared" si="3"/>
        <v>Currently Unavailable</v>
      </c>
      <c r="I6981" s="1" t="str">
        <f t="shared" si="4"/>
        <v>No Badges</v>
      </c>
      <c r="J6981" s="3">
        <f t="shared" si="5"/>
        <v>0</v>
      </c>
    </row>
    <row r="6982">
      <c r="A6982" s="1" t="s">
        <v>5336</v>
      </c>
      <c r="B6982" s="3" t="str">
        <f t="shared" si="1"/>
        <v>Unavailable</v>
      </c>
      <c r="C6982" s="5">
        <v>1610.0</v>
      </c>
      <c r="D6982" s="3">
        <f>IFERROR(__xludf.DUMMYFUNCTION("IFERROR(
IF(REGEXMATCH(LOWER(O6982),""k""),
VALUE(REGEXEXTRACT(O6982,""[0-9]+""))*1000,
VALUE(REGEXEXTRACT(O6982,""[0-9]+""))
),
0
)"),0.0)</f>
        <v>0</v>
      </c>
      <c r="E6982" s="1" t="s">
        <v>11</v>
      </c>
      <c r="F6982" s="1" t="s">
        <v>20</v>
      </c>
      <c r="G6982" s="4" t="b">
        <f t="shared" si="2"/>
        <v>1</v>
      </c>
      <c r="H6982" s="1" t="str">
        <f t="shared" si="3"/>
        <v>Currently Unavailable</v>
      </c>
      <c r="I6982" s="1" t="str">
        <f t="shared" si="4"/>
        <v>No Badges</v>
      </c>
      <c r="J6982" s="3">
        <f t="shared" si="5"/>
        <v>0</v>
      </c>
    </row>
    <row r="6983">
      <c r="A6983" s="1" t="s">
        <v>5337</v>
      </c>
      <c r="B6983" s="3" t="str">
        <f t="shared" si="1"/>
        <v>Unavailable</v>
      </c>
      <c r="C6983" s="5">
        <v>39785.0</v>
      </c>
      <c r="D6983" s="3">
        <f>IFERROR(__xludf.DUMMYFUNCTION("IFERROR(
IF(REGEXMATCH(LOWER(O6983),""k""),
VALUE(REGEXEXTRACT(O6983,""[0-9]+""))*1000,
VALUE(REGEXEXTRACT(O6983,""[0-9]+""))
),
0
)"),0.0)</f>
        <v>0</v>
      </c>
      <c r="E6983" s="1" t="s">
        <v>11</v>
      </c>
      <c r="F6983" s="1" t="s">
        <v>20</v>
      </c>
      <c r="G6983" s="4" t="b">
        <f t="shared" si="2"/>
        <v>1</v>
      </c>
      <c r="H6983" s="1" t="str">
        <f t="shared" si="3"/>
        <v>Currently Unavailable</v>
      </c>
      <c r="I6983" s="1" t="str">
        <f t="shared" si="4"/>
        <v>No Badges</v>
      </c>
      <c r="J6983" s="3">
        <f t="shared" si="5"/>
        <v>0</v>
      </c>
    </row>
    <row r="6984">
      <c r="A6984" s="1" t="s">
        <v>5338</v>
      </c>
      <c r="B6984" s="3" t="str">
        <f t="shared" si="1"/>
        <v>Unavailable</v>
      </c>
      <c r="C6984" s="5">
        <v>2480.0</v>
      </c>
      <c r="D6984" s="3">
        <f>IFERROR(__xludf.DUMMYFUNCTION("IFERROR(
IF(REGEXMATCH(LOWER(O6984),""k""),
VALUE(REGEXEXTRACT(O6984,""[0-9]+""))*1000,
VALUE(REGEXEXTRACT(O6984,""[0-9]+""))
),
0
)"),0.0)</f>
        <v>0</v>
      </c>
      <c r="E6984" s="1" t="s">
        <v>11</v>
      </c>
      <c r="F6984" s="1" t="s">
        <v>20</v>
      </c>
      <c r="G6984" s="4" t="b">
        <f t="shared" si="2"/>
        <v>1</v>
      </c>
      <c r="H6984" s="1" t="str">
        <f t="shared" si="3"/>
        <v>Currently Unavailable</v>
      </c>
      <c r="I6984" s="1" t="str">
        <f t="shared" si="4"/>
        <v>No Badges</v>
      </c>
      <c r="J6984" s="3">
        <f t="shared" si="5"/>
        <v>0</v>
      </c>
    </row>
    <row r="6985">
      <c r="A6985" s="1" t="s">
        <v>5339</v>
      </c>
      <c r="B6985" s="3" t="str">
        <f t="shared" si="1"/>
        <v>Unavailable</v>
      </c>
      <c r="C6985" s="5">
        <v>17521.0</v>
      </c>
      <c r="D6985" s="3">
        <f>IFERROR(__xludf.DUMMYFUNCTION("IFERROR(
IF(REGEXMATCH(LOWER(O6985),""k""),
VALUE(REGEXEXTRACT(O6985,""[0-9]+""))*1000,
VALUE(REGEXEXTRACT(O6985,""[0-9]+""))
),
0
)"),0.0)</f>
        <v>0</v>
      </c>
      <c r="E6985" s="1" t="s">
        <v>11</v>
      </c>
      <c r="F6985" s="1" t="s">
        <v>20</v>
      </c>
      <c r="G6985" s="4" t="b">
        <f t="shared" si="2"/>
        <v>1</v>
      </c>
      <c r="H6985" s="1" t="str">
        <f t="shared" si="3"/>
        <v>Currently Unavailable</v>
      </c>
      <c r="I6985" s="1" t="str">
        <f t="shared" si="4"/>
        <v>No Badges</v>
      </c>
      <c r="J6985" s="3">
        <f t="shared" si="5"/>
        <v>0</v>
      </c>
    </row>
    <row r="6986">
      <c r="A6986" s="1" t="s">
        <v>5340</v>
      </c>
      <c r="B6986" s="3" t="str">
        <f t="shared" si="1"/>
        <v>Unavailable</v>
      </c>
      <c r="C6986" s="3">
        <v>290.0</v>
      </c>
      <c r="D6986" s="3">
        <f>IFERROR(__xludf.DUMMYFUNCTION("IFERROR(
IF(REGEXMATCH(LOWER(O6986),""k""),
VALUE(REGEXEXTRACT(O6986,""[0-9]+""))*1000,
VALUE(REGEXEXTRACT(O6986,""[0-9]+""))
),
0
)"),0.0)</f>
        <v>0</v>
      </c>
      <c r="E6986" s="1" t="s">
        <v>11</v>
      </c>
      <c r="F6986" s="1" t="s">
        <v>20</v>
      </c>
      <c r="G6986" s="4" t="b">
        <f t="shared" si="2"/>
        <v>1</v>
      </c>
      <c r="H6986" s="1" t="str">
        <f t="shared" si="3"/>
        <v>Currently Unavailable</v>
      </c>
      <c r="I6986" s="1" t="str">
        <f t="shared" si="4"/>
        <v>No Badges</v>
      </c>
      <c r="J6986" s="3">
        <f t="shared" si="5"/>
        <v>0</v>
      </c>
    </row>
    <row r="6987">
      <c r="A6987" s="1" t="s">
        <v>5341</v>
      </c>
      <c r="B6987" s="3" t="str">
        <f t="shared" si="1"/>
        <v>Unavailable</v>
      </c>
      <c r="C6987" s="5">
        <v>3966.0</v>
      </c>
      <c r="D6987" s="3">
        <f>IFERROR(__xludf.DUMMYFUNCTION("IFERROR(
IF(REGEXMATCH(LOWER(O6987),""k""),
VALUE(REGEXEXTRACT(O6987,""[0-9]+""))*1000,
VALUE(REGEXEXTRACT(O6987,""[0-9]+""))
),
0
)"),0.0)</f>
        <v>0</v>
      </c>
      <c r="E6987" s="1" t="s">
        <v>11</v>
      </c>
      <c r="F6987" s="1" t="s">
        <v>20</v>
      </c>
      <c r="G6987" s="4" t="b">
        <f t="shared" si="2"/>
        <v>1</v>
      </c>
      <c r="H6987" s="1" t="str">
        <f t="shared" si="3"/>
        <v>Currently Unavailable</v>
      </c>
      <c r="I6987" s="1" t="str">
        <f t="shared" si="4"/>
        <v>No Badges</v>
      </c>
      <c r="J6987" s="3">
        <f t="shared" si="5"/>
        <v>0</v>
      </c>
    </row>
    <row r="6988">
      <c r="A6988" s="1" t="s">
        <v>5342</v>
      </c>
      <c r="B6988" s="3" t="str">
        <f t="shared" si="1"/>
        <v>Unavailable</v>
      </c>
      <c r="C6988" s="5">
        <v>46982.0</v>
      </c>
      <c r="D6988" s="3">
        <f>IFERROR(__xludf.DUMMYFUNCTION("IFERROR(
IF(REGEXMATCH(LOWER(O6988),""k""),
VALUE(REGEXEXTRACT(O6988,""[0-9]+""))*1000,
VALUE(REGEXEXTRACT(O6988,""[0-9]+""))
),
0
)"),0.0)</f>
        <v>0</v>
      </c>
      <c r="E6988" s="1" t="s">
        <v>11</v>
      </c>
      <c r="F6988" s="1" t="s">
        <v>20</v>
      </c>
      <c r="G6988" s="4" t="b">
        <f t="shared" si="2"/>
        <v>1</v>
      </c>
      <c r="H6988" s="1" t="str">
        <f t="shared" si="3"/>
        <v>Currently Unavailable</v>
      </c>
      <c r="I6988" s="1" t="str">
        <f t="shared" si="4"/>
        <v>No Badges</v>
      </c>
      <c r="J6988" s="3">
        <f t="shared" si="5"/>
        <v>0</v>
      </c>
    </row>
    <row r="6989">
      <c r="A6989" s="1" t="s">
        <v>5343</v>
      </c>
      <c r="B6989" s="3" t="str">
        <f t="shared" si="1"/>
        <v>Unavailable</v>
      </c>
      <c r="C6989" s="5">
        <v>12063.0</v>
      </c>
      <c r="D6989" s="3">
        <f>IFERROR(__xludf.DUMMYFUNCTION("IFERROR(
IF(REGEXMATCH(LOWER(O6989),""k""),
VALUE(REGEXEXTRACT(O6989,""[0-9]+""))*1000,
VALUE(REGEXEXTRACT(O6989,""[0-9]+""))
),
0
)"),0.0)</f>
        <v>0</v>
      </c>
      <c r="E6989" s="1" t="s">
        <v>11</v>
      </c>
      <c r="F6989" s="1" t="s">
        <v>20</v>
      </c>
      <c r="G6989" s="4" t="b">
        <f t="shared" si="2"/>
        <v>1</v>
      </c>
      <c r="H6989" s="1" t="str">
        <f t="shared" si="3"/>
        <v>Currently Unavailable</v>
      </c>
      <c r="I6989" s="1" t="str">
        <f t="shared" si="4"/>
        <v>No Badges</v>
      </c>
      <c r="J6989" s="3">
        <f t="shared" si="5"/>
        <v>0</v>
      </c>
    </row>
    <row r="6990">
      <c r="A6990" s="1" t="s">
        <v>5344</v>
      </c>
      <c r="B6990" s="3" t="str">
        <f t="shared" si="1"/>
        <v>Unavailable</v>
      </c>
      <c r="C6990" s="5">
        <v>10765.0</v>
      </c>
      <c r="D6990" s="3">
        <f>IFERROR(__xludf.DUMMYFUNCTION("IFERROR(
IF(REGEXMATCH(LOWER(O6990),""k""),
VALUE(REGEXEXTRACT(O6990,""[0-9]+""))*1000,
VALUE(REGEXEXTRACT(O6990,""[0-9]+""))
),
0
)"),0.0)</f>
        <v>0</v>
      </c>
      <c r="E6990" s="1" t="s">
        <v>11</v>
      </c>
      <c r="F6990" s="1" t="s">
        <v>20</v>
      </c>
      <c r="G6990" s="4" t="b">
        <f t="shared" si="2"/>
        <v>1</v>
      </c>
      <c r="H6990" s="1" t="str">
        <f t="shared" si="3"/>
        <v>Currently Unavailable</v>
      </c>
      <c r="I6990" s="1" t="str">
        <f t="shared" si="4"/>
        <v>No Badges</v>
      </c>
      <c r="J6990" s="3">
        <f t="shared" si="5"/>
        <v>0</v>
      </c>
    </row>
    <row r="6991">
      <c r="A6991" s="1" t="s">
        <v>5345</v>
      </c>
      <c r="B6991" s="3" t="str">
        <f t="shared" si="1"/>
        <v>Unavailable</v>
      </c>
      <c r="C6991" s="5">
        <v>11805.0</v>
      </c>
      <c r="D6991" s="3">
        <f>IFERROR(__xludf.DUMMYFUNCTION("IFERROR(
IF(REGEXMATCH(LOWER(O6991),""k""),
VALUE(REGEXEXTRACT(O6991,""[0-9]+""))*1000,
VALUE(REGEXEXTRACT(O6991,""[0-9]+""))
),
0
)"),0.0)</f>
        <v>0</v>
      </c>
      <c r="E6991" s="1" t="s">
        <v>11</v>
      </c>
      <c r="F6991" s="1" t="s">
        <v>20</v>
      </c>
      <c r="G6991" s="4" t="b">
        <f t="shared" si="2"/>
        <v>1</v>
      </c>
      <c r="H6991" s="1" t="str">
        <f t="shared" si="3"/>
        <v>Currently Unavailable</v>
      </c>
      <c r="I6991" s="1" t="str">
        <f t="shared" si="4"/>
        <v>No Badges</v>
      </c>
      <c r="J6991" s="3">
        <f t="shared" si="5"/>
        <v>0</v>
      </c>
    </row>
    <row r="6992">
      <c r="A6992" s="1" t="s">
        <v>5346</v>
      </c>
      <c r="B6992" s="3" t="str">
        <f t="shared" si="1"/>
        <v>Unavailable</v>
      </c>
      <c r="C6992" s="5">
        <v>4307.0</v>
      </c>
      <c r="D6992" s="3">
        <f>IFERROR(__xludf.DUMMYFUNCTION("IFERROR(
IF(REGEXMATCH(LOWER(O6992),""k""),
VALUE(REGEXEXTRACT(O6992,""[0-9]+""))*1000,
VALUE(REGEXEXTRACT(O6992,""[0-9]+""))
),
0
)"),0.0)</f>
        <v>0</v>
      </c>
      <c r="E6992" s="1" t="s">
        <v>11</v>
      </c>
      <c r="F6992" s="1" t="s">
        <v>20</v>
      </c>
      <c r="G6992" s="4" t="b">
        <f t="shared" si="2"/>
        <v>1</v>
      </c>
      <c r="H6992" s="1" t="str">
        <f t="shared" si="3"/>
        <v>Currently Unavailable</v>
      </c>
      <c r="I6992" s="1" t="str">
        <f t="shared" si="4"/>
        <v>No Badges</v>
      </c>
      <c r="J6992" s="3">
        <f t="shared" si="5"/>
        <v>0</v>
      </c>
    </row>
    <row r="6993">
      <c r="A6993" s="1" t="s">
        <v>5347</v>
      </c>
      <c r="B6993" s="3" t="str">
        <f t="shared" si="1"/>
        <v>Unavailable</v>
      </c>
      <c r="C6993" s="5">
        <v>7577.0</v>
      </c>
      <c r="D6993" s="3">
        <f>IFERROR(__xludf.DUMMYFUNCTION("IFERROR(
IF(REGEXMATCH(LOWER(O6993),""k""),
VALUE(REGEXEXTRACT(O6993,""[0-9]+""))*1000,
VALUE(REGEXEXTRACT(O6993,""[0-9]+""))
),
0
)"),0.0)</f>
        <v>0</v>
      </c>
      <c r="E6993" s="1" t="s">
        <v>11</v>
      </c>
      <c r="F6993" s="1" t="s">
        <v>20</v>
      </c>
      <c r="G6993" s="4" t="b">
        <f t="shared" si="2"/>
        <v>1</v>
      </c>
      <c r="H6993" s="1" t="str">
        <f t="shared" si="3"/>
        <v>Currently Unavailable</v>
      </c>
      <c r="I6993" s="1" t="str">
        <f t="shared" si="4"/>
        <v>No Badges</v>
      </c>
      <c r="J6993" s="3">
        <f t="shared" si="5"/>
        <v>0</v>
      </c>
    </row>
    <row r="6994">
      <c r="A6994" s="1" t="s">
        <v>5348</v>
      </c>
      <c r="B6994" s="3" t="str">
        <f t="shared" si="1"/>
        <v>Unavailable</v>
      </c>
      <c r="C6994" s="5">
        <v>14111.0</v>
      </c>
      <c r="D6994" s="3">
        <f>IFERROR(__xludf.DUMMYFUNCTION("IFERROR(
IF(REGEXMATCH(LOWER(O6994),""k""),
VALUE(REGEXEXTRACT(O6994,""[0-9]+""))*1000,
VALUE(REGEXEXTRACT(O6994,""[0-9]+""))
),
0
)"),0.0)</f>
        <v>0</v>
      </c>
      <c r="E6994" s="1" t="s">
        <v>11</v>
      </c>
      <c r="F6994" s="1" t="s">
        <v>20</v>
      </c>
      <c r="G6994" s="4" t="b">
        <f t="shared" si="2"/>
        <v>1</v>
      </c>
      <c r="H6994" s="1" t="str">
        <f t="shared" si="3"/>
        <v>Currently Unavailable</v>
      </c>
      <c r="I6994" s="1" t="str">
        <f t="shared" si="4"/>
        <v>No Badges</v>
      </c>
      <c r="J6994" s="3">
        <f t="shared" si="5"/>
        <v>0</v>
      </c>
    </row>
    <row r="6995">
      <c r="A6995" s="1" t="s">
        <v>5349</v>
      </c>
      <c r="B6995" s="3" t="str">
        <f t="shared" si="1"/>
        <v>Unavailable</v>
      </c>
      <c r="C6995" s="5">
        <v>2199.0</v>
      </c>
      <c r="D6995" s="3">
        <f>IFERROR(__xludf.DUMMYFUNCTION("IFERROR(
IF(REGEXMATCH(LOWER(O6995),""k""),
VALUE(REGEXEXTRACT(O6995,""[0-9]+""))*1000,
VALUE(REGEXEXTRACT(O6995,""[0-9]+""))
),
0
)"),0.0)</f>
        <v>0</v>
      </c>
      <c r="E6995" s="1" t="s">
        <v>11</v>
      </c>
      <c r="F6995" s="1" t="s">
        <v>20</v>
      </c>
      <c r="G6995" s="4" t="b">
        <f t="shared" si="2"/>
        <v>1</v>
      </c>
      <c r="H6995" s="1" t="str">
        <f t="shared" si="3"/>
        <v>Currently Unavailable</v>
      </c>
      <c r="I6995" s="1" t="str">
        <f t="shared" si="4"/>
        <v>No Badges</v>
      </c>
      <c r="J6995" s="3">
        <f t="shared" si="5"/>
        <v>0</v>
      </c>
    </row>
    <row r="6996">
      <c r="A6996" s="1" t="s">
        <v>69</v>
      </c>
      <c r="B6996" s="3" t="str">
        <f t="shared" si="1"/>
        <v>Unavailable</v>
      </c>
      <c r="C6996" s="3">
        <v>45.0</v>
      </c>
      <c r="D6996" s="3">
        <f>IFERROR(__xludf.DUMMYFUNCTION("IFERROR(
IF(REGEXMATCH(LOWER(O6996),""k""),
VALUE(REGEXEXTRACT(O6996,""[0-9]+""))*1000,
VALUE(REGEXEXTRACT(O6996,""[0-9]+""))
),
0
)"),0.0)</f>
        <v>0</v>
      </c>
      <c r="E6996" s="1" t="s">
        <v>11</v>
      </c>
      <c r="F6996" s="1" t="s">
        <v>12</v>
      </c>
      <c r="G6996" s="4" t="b">
        <f t="shared" si="2"/>
        <v>1</v>
      </c>
      <c r="H6996" s="1" t="str">
        <f t="shared" si="3"/>
        <v>Currently Unavailable</v>
      </c>
      <c r="I6996" s="1" t="str">
        <f t="shared" si="4"/>
        <v>No Badges</v>
      </c>
      <c r="J6996" s="3">
        <f t="shared" si="5"/>
        <v>0</v>
      </c>
    </row>
    <row r="6997">
      <c r="A6997" s="1" t="s">
        <v>5350</v>
      </c>
      <c r="B6997" s="3" t="str">
        <f t="shared" si="1"/>
        <v>Unavailable</v>
      </c>
      <c r="C6997" s="5">
        <v>5202.0</v>
      </c>
      <c r="D6997" s="3">
        <f>IFERROR(__xludf.DUMMYFUNCTION("IFERROR(
IF(REGEXMATCH(LOWER(O6997),""k""),
VALUE(REGEXEXTRACT(O6997,""[0-9]+""))*1000,
VALUE(REGEXEXTRACT(O6997,""[0-9]+""))
),
0
)"),0.0)</f>
        <v>0</v>
      </c>
      <c r="E6997" s="1" t="s">
        <v>11</v>
      </c>
      <c r="F6997" s="1" t="s">
        <v>20</v>
      </c>
      <c r="G6997" s="4" t="b">
        <f t="shared" si="2"/>
        <v>1</v>
      </c>
      <c r="H6997" s="1" t="str">
        <f t="shared" si="3"/>
        <v>Currently Unavailable</v>
      </c>
      <c r="I6997" s="1" t="str">
        <f t="shared" si="4"/>
        <v>No Badges</v>
      </c>
      <c r="J6997" s="3">
        <f t="shared" si="5"/>
        <v>0</v>
      </c>
    </row>
    <row r="6998">
      <c r="A6998" s="1" t="s">
        <v>5351</v>
      </c>
      <c r="B6998" s="3" t="str">
        <f t="shared" si="1"/>
        <v>Unavailable</v>
      </c>
      <c r="C6998" s="3">
        <v>548.0</v>
      </c>
      <c r="D6998" s="3">
        <f>IFERROR(__xludf.DUMMYFUNCTION("IFERROR(
IF(REGEXMATCH(LOWER(O6998),""k""),
VALUE(REGEXEXTRACT(O6998,""[0-9]+""))*1000,
VALUE(REGEXEXTRACT(O6998,""[0-9]+""))
),
0
)"),0.0)</f>
        <v>0</v>
      </c>
      <c r="E6998" s="1" t="s">
        <v>11</v>
      </c>
      <c r="F6998" s="1" t="s">
        <v>20</v>
      </c>
      <c r="G6998" s="4" t="b">
        <f t="shared" si="2"/>
        <v>1</v>
      </c>
      <c r="H6998" s="1" t="str">
        <f t="shared" si="3"/>
        <v>Currently Unavailable</v>
      </c>
      <c r="I6998" s="1" t="str">
        <f t="shared" si="4"/>
        <v>No Badges</v>
      </c>
      <c r="J6998" s="3">
        <f t="shared" si="5"/>
        <v>0</v>
      </c>
    </row>
    <row r="6999">
      <c r="A6999" s="1" t="s">
        <v>5352</v>
      </c>
      <c r="B6999" s="3" t="str">
        <f t="shared" si="1"/>
        <v>Unavailable</v>
      </c>
      <c r="C6999" s="5">
        <v>6264.0</v>
      </c>
      <c r="D6999" s="3">
        <f>IFERROR(__xludf.DUMMYFUNCTION("IFERROR(
IF(REGEXMATCH(LOWER(O6999),""k""),
VALUE(REGEXEXTRACT(O6999,""[0-9]+""))*1000,
VALUE(REGEXEXTRACT(O6999,""[0-9]+""))
),
0
)"),0.0)</f>
        <v>0</v>
      </c>
      <c r="E6999" s="1" t="s">
        <v>11</v>
      </c>
      <c r="F6999" s="1" t="s">
        <v>20</v>
      </c>
      <c r="G6999" s="4" t="b">
        <f t="shared" si="2"/>
        <v>1</v>
      </c>
      <c r="H6999" s="1" t="str">
        <f t="shared" si="3"/>
        <v>Currently Unavailable</v>
      </c>
      <c r="I6999" s="1" t="str">
        <f t="shared" si="4"/>
        <v>No Badges</v>
      </c>
      <c r="J6999" s="3">
        <f t="shared" si="5"/>
        <v>0</v>
      </c>
    </row>
    <row r="7000">
      <c r="A7000" s="1" t="s">
        <v>5353</v>
      </c>
      <c r="B7000" s="3" t="str">
        <f t="shared" si="1"/>
        <v>Unavailable</v>
      </c>
      <c r="C7000" s="5">
        <v>27654.0</v>
      </c>
      <c r="D7000" s="3">
        <f>IFERROR(__xludf.DUMMYFUNCTION("IFERROR(
IF(REGEXMATCH(LOWER(O7000),""k""),
VALUE(REGEXEXTRACT(O7000,""[0-9]+""))*1000,
VALUE(REGEXEXTRACT(O7000,""[0-9]+""))
),
0
)"),0.0)</f>
        <v>0</v>
      </c>
      <c r="E7000" s="1" t="s">
        <v>11</v>
      </c>
      <c r="F7000" s="1" t="s">
        <v>20</v>
      </c>
      <c r="G7000" s="4" t="b">
        <f t="shared" si="2"/>
        <v>1</v>
      </c>
      <c r="H7000" s="1" t="str">
        <f t="shared" si="3"/>
        <v>Currently Unavailable</v>
      </c>
      <c r="I7000" s="1" t="str">
        <f t="shared" si="4"/>
        <v>No Badges</v>
      </c>
      <c r="J7000" s="3">
        <f t="shared" si="5"/>
        <v>0</v>
      </c>
    </row>
    <row r="7001">
      <c r="A7001" s="1" t="s">
        <v>5354</v>
      </c>
      <c r="B7001" s="3" t="str">
        <f t="shared" si="1"/>
        <v>Unavailable</v>
      </c>
      <c r="C7001" s="5">
        <v>8477.0</v>
      </c>
      <c r="D7001" s="3">
        <f>IFERROR(__xludf.DUMMYFUNCTION("IFERROR(
IF(REGEXMATCH(LOWER(O7001),""k""),
VALUE(REGEXEXTRACT(O7001,""[0-9]+""))*1000,
VALUE(REGEXEXTRACT(O7001,""[0-9]+""))
),
0
)"),0.0)</f>
        <v>0</v>
      </c>
      <c r="E7001" s="1" t="s">
        <v>11</v>
      </c>
      <c r="F7001" s="1" t="s">
        <v>20</v>
      </c>
      <c r="G7001" s="4" t="b">
        <f t="shared" si="2"/>
        <v>1</v>
      </c>
      <c r="H7001" s="1" t="str">
        <f t="shared" si="3"/>
        <v>Currently Unavailable</v>
      </c>
      <c r="I7001" s="1" t="str">
        <f t="shared" si="4"/>
        <v>No Badges</v>
      </c>
      <c r="J7001" s="3">
        <f t="shared" si="5"/>
        <v>0</v>
      </c>
    </row>
    <row r="7002">
      <c r="A7002" s="1" t="s">
        <v>5355</v>
      </c>
      <c r="B7002" s="3" t="str">
        <f t="shared" si="1"/>
        <v>Unavailable</v>
      </c>
      <c r="C7002" s="3">
        <v>657.0</v>
      </c>
      <c r="D7002" s="3">
        <f>IFERROR(__xludf.DUMMYFUNCTION("IFERROR(
IF(REGEXMATCH(LOWER(O7002),""k""),
VALUE(REGEXEXTRACT(O7002,""[0-9]+""))*1000,
VALUE(REGEXEXTRACT(O7002,""[0-9]+""))
),
0
)"),0.0)</f>
        <v>0</v>
      </c>
      <c r="E7002" s="1" t="s">
        <v>11</v>
      </c>
      <c r="F7002" s="1" t="s">
        <v>20</v>
      </c>
      <c r="G7002" s="4" t="b">
        <f t="shared" si="2"/>
        <v>1</v>
      </c>
      <c r="H7002" s="1" t="str">
        <f t="shared" si="3"/>
        <v>Currently Unavailable</v>
      </c>
      <c r="I7002" s="1" t="str">
        <f t="shared" si="4"/>
        <v>No Badges</v>
      </c>
      <c r="J7002" s="3">
        <f t="shared" si="5"/>
        <v>0</v>
      </c>
    </row>
    <row r="7003">
      <c r="A7003" s="1" t="s">
        <v>5356</v>
      </c>
      <c r="B7003" s="3" t="str">
        <f t="shared" si="1"/>
        <v>Unavailable</v>
      </c>
      <c r="C7003" s="5">
        <v>1513.0</v>
      </c>
      <c r="D7003" s="3">
        <f>IFERROR(__xludf.DUMMYFUNCTION("IFERROR(
IF(REGEXMATCH(LOWER(O7003),""k""),
VALUE(REGEXEXTRACT(O7003,""[0-9]+""))*1000,
VALUE(REGEXEXTRACT(O7003,""[0-9]+""))
),
0
)"),0.0)</f>
        <v>0</v>
      </c>
      <c r="E7003" s="1" t="s">
        <v>11</v>
      </c>
      <c r="F7003" s="1" t="s">
        <v>20</v>
      </c>
      <c r="G7003" s="4" t="b">
        <f t="shared" si="2"/>
        <v>1</v>
      </c>
      <c r="H7003" s="1" t="str">
        <f t="shared" si="3"/>
        <v>Currently Unavailable</v>
      </c>
      <c r="I7003" s="1" t="str">
        <f t="shared" si="4"/>
        <v>No Badges</v>
      </c>
      <c r="J7003" s="3">
        <f t="shared" si="5"/>
        <v>0</v>
      </c>
    </row>
    <row r="7004">
      <c r="A7004" s="1" t="s">
        <v>5357</v>
      </c>
      <c r="B7004" s="3" t="str">
        <f t="shared" si="1"/>
        <v>Unavailable</v>
      </c>
      <c r="C7004" s="5">
        <v>14187.0</v>
      </c>
      <c r="D7004" s="3">
        <f>IFERROR(__xludf.DUMMYFUNCTION("IFERROR(
IF(REGEXMATCH(LOWER(O7004),""k""),
VALUE(REGEXEXTRACT(O7004,""[0-9]+""))*1000,
VALUE(REGEXEXTRACT(O7004,""[0-9]+""))
),
0
)"),0.0)</f>
        <v>0</v>
      </c>
      <c r="E7004" s="1" t="s">
        <v>18</v>
      </c>
      <c r="F7004" s="1" t="s">
        <v>20</v>
      </c>
      <c r="G7004" s="4" t="b">
        <f t="shared" si="2"/>
        <v>1</v>
      </c>
      <c r="H7004" s="1" t="str">
        <f t="shared" si="3"/>
        <v>Currently Unavailable</v>
      </c>
      <c r="I7004" s="1" t="str">
        <f t="shared" si="4"/>
        <v>No Badges</v>
      </c>
      <c r="J7004" s="3">
        <f t="shared" si="5"/>
        <v>0</v>
      </c>
    </row>
    <row r="7005">
      <c r="A7005" s="1" t="s">
        <v>5358</v>
      </c>
      <c r="B7005" s="3" t="str">
        <f t="shared" si="1"/>
        <v>Unavailable</v>
      </c>
      <c r="C7005" s="5">
        <v>1821.0</v>
      </c>
      <c r="D7005" s="3">
        <f>IFERROR(__xludf.DUMMYFUNCTION("IFERROR(
IF(REGEXMATCH(LOWER(O7005),""k""),
VALUE(REGEXEXTRACT(O7005,""[0-9]+""))*1000,
VALUE(REGEXEXTRACT(O7005,""[0-9]+""))
),
0
)"),0.0)</f>
        <v>0</v>
      </c>
      <c r="E7005" s="1" t="s">
        <v>11</v>
      </c>
      <c r="F7005" s="1" t="s">
        <v>20</v>
      </c>
      <c r="G7005" s="4" t="b">
        <f t="shared" si="2"/>
        <v>1</v>
      </c>
      <c r="H7005" s="1" t="str">
        <f t="shared" si="3"/>
        <v>Currently Unavailable</v>
      </c>
      <c r="I7005" s="1" t="str">
        <f t="shared" si="4"/>
        <v>No Badges</v>
      </c>
      <c r="J7005" s="3">
        <f t="shared" si="5"/>
        <v>0</v>
      </c>
    </row>
    <row r="7006">
      <c r="A7006" s="1" t="s">
        <v>5359</v>
      </c>
      <c r="B7006" s="3" t="str">
        <f t="shared" si="1"/>
        <v>Unavailable</v>
      </c>
      <c r="C7006" s="5">
        <v>2674.0</v>
      </c>
      <c r="D7006" s="3">
        <f>IFERROR(__xludf.DUMMYFUNCTION("IFERROR(
IF(REGEXMATCH(LOWER(O7006),""k""),
VALUE(REGEXEXTRACT(O7006,""[0-9]+""))*1000,
VALUE(REGEXEXTRACT(O7006,""[0-9]+""))
),
0
)"),0.0)</f>
        <v>0</v>
      </c>
      <c r="E7006" s="1" t="s">
        <v>11</v>
      </c>
      <c r="F7006" s="1" t="s">
        <v>20</v>
      </c>
      <c r="G7006" s="4" t="b">
        <f t="shared" si="2"/>
        <v>1</v>
      </c>
      <c r="H7006" s="1" t="str">
        <f t="shared" si="3"/>
        <v>Currently Unavailable</v>
      </c>
      <c r="I7006" s="1" t="str">
        <f t="shared" si="4"/>
        <v>No Badges</v>
      </c>
      <c r="J7006" s="3">
        <f t="shared" si="5"/>
        <v>0</v>
      </c>
    </row>
    <row r="7007">
      <c r="A7007" s="1" t="s">
        <v>5360</v>
      </c>
      <c r="B7007" s="3" t="str">
        <f t="shared" si="1"/>
        <v>Unavailable</v>
      </c>
      <c r="C7007" s="5">
        <v>16437.0</v>
      </c>
      <c r="D7007" s="3">
        <f>IFERROR(__xludf.DUMMYFUNCTION("IFERROR(
IF(REGEXMATCH(LOWER(O7007),""k""),
VALUE(REGEXEXTRACT(O7007,""[0-9]+""))*1000,
VALUE(REGEXEXTRACT(O7007,""[0-9]+""))
),
0
)"),0.0)</f>
        <v>0</v>
      </c>
      <c r="E7007" s="1" t="s">
        <v>11</v>
      </c>
      <c r="F7007" s="1" t="s">
        <v>20</v>
      </c>
      <c r="G7007" s="4" t="b">
        <f t="shared" si="2"/>
        <v>1</v>
      </c>
      <c r="H7007" s="1" t="str">
        <f t="shared" si="3"/>
        <v>Currently Unavailable</v>
      </c>
      <c r="I7007" s="1" t="str">
        <f t="shared" si="4"/>
        <v>No Badges</v>
      </c>
      <c r="J7007" s="3">
        <f t="shared" si="5"/>
        <v>0</v>
      </c>
    </row>
    <row r="7008">
      <c r="A7008" s="1" t="s">
        <v>5361</v>
      </c>
      <c r="B7008" s="3" t="str">
        <f t="shared" si="1"/>
        <v>Unavailable</v>
      </c>
      <c r="C7008" s="5">
        <v>56993.0</v>
      </c>
      <c r="D7008" s="3">
        <f>IFERROR(__xludf.DUMMYFUNCTION("IFERROR(
IF(REGEXMATCH(LOWER(O7008),""k""),
VALUE(REGEXEXTRACT(O7008,""[0-9]+""))*1000,
VALUE(REGEXEXTRACT(O7008,""[0-9]+""))
),
0
)"),0.0)</f>
        <v>0</v>
      </c>
      <c r="E7008" s="1" t="s">
        <v>11</v>
      </c>
      <c r="F7008" s="1" t="s">
        <v>20</v>
      </c>
      <c r="G7008" s="4" t="b">
        <f t="shared" si="2"/>
        <v>1</v>
      </c>
      <c r="H7008" s="1" t="str">
        <f t="shared" si="3"/>
        <v>Currently Unavailable</v>
      </c>
      <c r="I7008" s="1" t="str">
        <f t="shared" si="4"/>
        <v>No Badges</v>
      </c>
      <c r="J7008" s="3">
        <f t="shared" si="5"/>
        <v>0</v>
      </c>
    </row>
    <row r="7009">
      <c r="A7009" s="1" t="s">
        <v>5278</v>
      </c>
      <c r="B7009" s="3" t="str">
        <f t="shared" si="1"/>
        <v>Unavailable</v>
      </c>
      <c r="C7009" s="5">
        <v>3520.0</v>
      </c>
      <c r="D7009" s="3">
        <f>IFERROR(__xludf.DUMMYFUNCTION("IFERROR(
IF(REGEXMATCH(LOWER(O7009),""k""),
VALUE(REGEXEXTRACT(O7009,""[0-9]+""))*1000,
VALUE(REGEXEXTRACT(O7009,""[0-9]+""))
),
0
)"),0.0)</f>
        <v>0</v>
      </c>
      <c r="E7009" s="1" t="s">
        <v>11</v>
      </c>
      <c r="F7009" s="1" t="s">
        <v>12</v>
      </c>
      <c r="G7009" s="4" t="b">
        <f t="shared" si="2"/>
        <v>1</v>
      </c>
      <c r="H7009" s="1" t="str">
        <f t="shared" si="3"/>
        <v>Currently Unavailable</v>
      </c>
      <c r="I7009" s="1" t="str">
        <f t="shared" si="4"/>
        <v>No Badges</v>
      </c>
      <c r="J7009" s="3">
        <f t="shared" si="5"/>
        <v>0</v>
      </c>
    </row>
    <row r="7010">
      <c r="A7010" s="1" t="s">
        <v>67</v>
      </c>
      <c r="B7010" s="3" t="str">
        <f t="shared" si="1"/>
        <v>Unavailable</v>
      </c>
      <c r="C7010" s="3">
        <v>264.0</v>
      </c>
      <c r="D7010" s="3">
        <f>IFERROR(__xludf.DUMMYFUNCTION("IFERROR(
IF(REGEXMATCH(LOWER(O7010),""k""),
VALUE(REGEXEXTRACT(O7010,""[0-9]+""))*1000,
VALUE(REGEXEXTRACT(O7010,""[0-9]+""))
),
0
)"),0.0)</f>
        <v>0</v>
      </c>
      <c r="E7010" s="1" t="s">
        <v>11</v>
      </c>
      <c r="F7010" s="1" t="s">
        <v>12</v>
      </c>
      <c r="G7010" s="4" t="b">
        <f t="shared" si="2"/>
        <v>1</v>
      </c>
      <c r="H7010" s="1" t="str">
        <f t="shared" si="3"/>
        <v>Currently Unavailable</v>
      </c>
      <c r="I7010" s="1" t="str">
        <f t="shared" si="4"/>
        <v>No Badges</v>
      </c>
      <c r="J7010" s="3">
        <f t="shared" si="5"/>
        <v>0</v>
      </c>
    </row>
    <row r="7011">
      <c r="A7011" s="1" t="s">
        <v>5362</v>
      </c>
      <c r="B7011" s="3" t="str">
        <f t="shared" si="1"/>
        <v>Unavailable</v>
      </c>
      <c r="C7011" s="5">
        <v>7696.0</v>
      </c>
      <c r="D7011" s="3">
        <f>IFERROR(__xludf.DUMMYFUNCTION("IFERROR(
IF(REGEXMATCH(LOWER(O7011),""k""),
VALUE(REGEXEXTRACT(O7011,""[0-9]+""))*1000,
VALUE(REGEXEXTRACT(O7011,""[0-9]+""))
),
0
)"),0.0)</f>
        <v>0</v>
      </c>
      <c r="E7011" s="1" t="s">
        <v>11</v>
      </c>
      <c r="F7011" s="1" t="s">
        <v>20</v>
      </c>
      <c r="G7011" s="4" t="b">
        <f t="shared" si="2"/>
        <v>1</v>
      </c>
      <c r="H7011" s="1" t="str">
        <f t="shared" si="3"/>
        <v>Currently Unavailable</v>
      </c>
      <c r="I7011" s="1" t="str">
        <f t="shared" si="4"/>
        <v>No Badges</v>
      </c>
      <c r="J7011" s="3">
        <f t="shared" si="5"/>
        <v>0</v>
      </c>
    </row>
    <row r="7012">
      <c r="A7012" s="1" t="s">
        <v>701</v>
      </c>
      <c r="B7012" s="3" t="str">
        <f t="shared" si="1"/>
        <v>Unavailable</v>
      </c>
      <c r="C7012" s="3">
        <v>8.0</v>
      </c>
      <c r="D7012" s="3">
        <f>IFERROR(__xludf.DUMMYFUNCTION("IFERROR(
IF(REGEXMATCH(LOWER(O7012),""k""),
VALUE(REGEXEXTRACT(O7012,""[0-9]+""))*1000,
VALUE(REGEXEXTRACT(O7012,""[0-9]+""))
),
0
)"),0.0)</f>
        <v>0</v>
      </c>
      <c r="E7012" s="1" t="s">
        <v>11</v>
      </c>
      <c r="F7012" s="1" t="s">
        <v>12</v>
      </c>
      <c r="G7012" s="4" t="b">
        <f t="shared" si="2"/>
        <v>1</v>
      </c>
      <c r="H7012" s="1" t="str">
        <f t="shared" si="3"/>
        <v>Currently Unavailable</v>
      </c>
      <c r="I7012" s="1" t="str">
        <f t="shared" si="4"/>
        <v>No Badges</v>
      </c>
      <c r="J7012" s="3">
        <f t="shared" si="5"/>
        <v>0</v>
      </c>
    </row>
    <row r="7013">
      <c r="A7013" s="1" t="s">
        <v>5363</v>
      </c>
      <c r="B7013" s="3" t="str">
        <f t="shared" si="1"/>
        <v>Unavailable</v>
      </c>
      <c r="C7013" s="5">
        <v>36352.0</v>
      </c>
      <c r="D7013" s="3">
        <f>IFERROR(__xludf.DUMMYFUNCTION("IFERROR(
IF(REGEXMATCH(LOWER(O7013),""k""),
VALUE(REGEXEXTRACT(O7013,""[0-9]+""))*1000,
VALUE(REGEXEXTRACT(O7013,""[0-9]+""))
),
0
)"),0.0)</f>
        <v>0</v>
      </c>
      <c r="E7013" s="1" t="s">
        <v>11</v>
      </c>
      <c r="F7013" s="1" t="s">
        <v>20</v>
      </c>
      <c r="G7013" s="4" t="b">
        <f t="shared" si="2"/>
        <v>1</v>
      </c>
      <c r="H7013" s="1" t="str">
        <f t="shared" si="3"/>
        <v>Currently Unavailable</v>
      </c>
      <c r="I7013" s="1" t="str">
        <f t="shared" si="4"/>
        <v>No Badges</v>
      </c>
      <c r="J7013" s="3">
        <f t="shared" si="5"/>
        <v>0</v>
      </c>
    </row>
    <row r="7014">
      <c r="A7014" s="1" t="s">
        <v>5364</v>
      </c>
      <c r="B7014" s="3" t="str">
        <f t="shared" si="1"/>
        <v>Unavailable</v>
      </c>
      <c r="C7014" s="5">
        <v>13700.0</v>
      </c>
      <c r="D7014" s="3">
        <f>IFERROR(__xludf.DUMMYFUNCTION("IFERROR(
IF(REGEXMATCH(LOWER(O7014),""k""),
VALUE(REGEXEXTRACT(O7014,""[0-9]+""))*1000,
VALUE(REGEXEXTRACT(O7014,""[0-9]+""))
),
0
)"),0.0)</f>
        <v>0</v>
      </c>
      <c r="E7014" s="1" t="s">
        <v>11</v>
      </c>
      <c r="F7014" s="1" t="s">
        <v>20</v>
      </c>
      <c r="G7014" s="4" t="b">
        <f t="shared" si="2"/>
        <v>1</v>
      </c>
      <c r="H7014" s="1" t="str">
        <f t="shared" si="3"/>
        <v>Currently Unavailable</v>
      </c>
      <c r="I7014" s="1" t="str">
        <f t="shared" si="4"/>
        <v>No Badges</v>
      </c>
      <c r="J7014" s="3">
        <f t="shared" si="5"/>
        <v>0</v>
      </c>
    </row>
    <row r="7015">
      <c r="A7015" s="1" t="s">
        <v>69</v>
      </c>
      <c r="B7015" s="3" t="str">
        <f t="shared" si="1"/>
        <v>Unavailable</v>
      </c>
      <c r="C7015" s="3">
        <v>45.0</v>
      </c>
      <c r="D7015" s="3">
        <f>IFERROR(__xludf.DUMMYFUNCTION("IFERROR(
IF(REGEXMATCH(LOWER(O7015),""k""),
VALUE(REGEXEXTRACT(O7015,""[0-9]+""))*1000,
VALUE(REGEXEXTRACT(O7015,""[0-9]+""))
),
0
)"),0.0)</f>
        <v>0</v>
      </c>
      <c r="E7015" s="1" t="s">
        <v>11</v>
      </c>
      <c r="F7015" s="1" t="s">
        <v>12</v>
      </c>
      <c r="G7015" s="4" t="b">
        <f t="shared" si="2"/>
        <v>1</v>
      </c>
      <c r="H7015" s="1" t="str">
        <f t="shared" si="3"/>
        <v>Currently Unavailable</v>
      </c>
      <c r="I7015" s="1" t="str">
        <f t="shared" si="4"/>
        <v>No Badges</v>
      </c>
      <c r="J7015" s="3">
        <f t="shared" si="5"/>
        <v>0</v>
      </c>
    </row>
    <row r="7016">
      <c r="A7016" s="1" t="s">
        <v>5365</v>
      </c>
      <c r="B7016" s="3" t="str">
        <f t="shared" si="1"/>
        <v>Unavailable</v>
      </c>
      <c r="C7016" s="5">
        <v>15745.0</v>
      </c>
      <c r="D7016" s="3">
        <f>IFERROR(__xludf.DUMMYFUNCTION("IFERROR(
IF(REGEXMATCH(LOWER(O7016),""k""),
VALUE(REGEXEXTRACT(O7016,""[0-9]+""))*1000,
VALUE(REGEXEXTRACT(O7016,""[0-9]+""))
),
0
)"),0.0)</f>
        <v>0</v>
      </c>
      <c r="E7016" s="1" t="s">
        <v>11</v>
      </c>
      <c r="F7016" s="1" t="s">
        <v>20</v>
      </c>
      <c r="G7016" s="4" t="b">
        <f t="shared" si="2"/>
        <v>1</v>
      </c>
      <c r="H7016" s="1" t="str">
        <f t="shared" si="3"/>
        <v>Currently Unavailable</v>
      </c>
      <c r="I7016" s="1" t="str">
        <f t="shared" si="4"/>
        <v>No Badges</v>
      </c>
      <c r="J7016" s="3">
        <f t="shared" si="5"/>
        <v>0</v>
      </c>
    </row>
    <row r="7017">
      <c r="A7017" s="1" t="s">
        <v>5366</v>
      </c>
      <c r="B7017" s="3" t="str">
        <f t="shared" si="1"/>
        <v>Unavailable</v>
      </c>
      <c r="C7017" s="5">
        <v>12632.0</v>
      </c>
      <c r="D7017" s="3">
        <f>IFERROR(__xludf.DUMMYFUNCTION("IFERROR(
IF(REGEXMATCH(LOWER(O7017),""k""),
VALUE(REGEXEXTRACT(O7017,""[0-9]+""))*1000,
VALUE(REGEXEXTRACT(O7017,""[0-9]+""))
),
0
)"),0.0)</f>
        <v>0</v>
      </c>
      <c r="E7017" s="1" t="s">
        <v>11</v>
      </c>
      <c r="F7017" s="1" t="s">
        <v>20</v>
      </c>
      <c r="G7017" s="4" t="b">
        <f t="shared" si="2"/>
        <v>1</v>
      </c>
      <c r="H7017" s="1" t="str">
        <f t="shared" si="3"/>
        <v>Currently Unavailable</v>
      </c>
      <c r="I7017" s="1" t="str">
        <f t="shared" si="4"/>
        <v>No Badges</v>
      </c>
      <c r="J7017" s="3">
        <f t="shared" si="5"/>
        <v>0</v>
      </c>
    </row>
    <row r="7018">
      <c r="A7018" s="1" t="s">
        <v>5367</v>
      </c>
      <c r="B7018" s="3" t="str">
        <f t="shared" si="1"/>
        <v>Unavailable</v>
      </c>
      <c r="C7018" s="3">
        <v>491.0</v>
      </c>
      <c r="D7018" s="3">
        <f>IFERROR(__xludf.DUMMYFUNCTION("IFERROR(
IF(REGEXMATCH(LOWER(O7018),""k""),
VALUE(REGEXEXTRACT(O7018,""[0-9]+""))*1000,
VALUE(REGEXEXTRACT(O7018,""[0-9]+""))
),
0
)"),0.0)</f>
        <v>0</v>
      </c>
      <c r="E7018" s="1" t="s">
        <v>11</v>
      </c>
      <c r="F7018" s="1" t="s">
        <v>20</v>
      </c>
      <c r="G7018" s="4" t="b">
        <f t="shared" si="2"/>
        <v>1</v>
      </c>
      <c r="H7018" s="1" t="str">
        <f t="shared" si="3"/>
        <v>Currently Unavailable</v>
      </c>
      <c r="I7018" s="1" t="str">
        <f t="shared" si="4"/>
        <v>No Badges</v>
      </c>
      <c r="J7018" s="3">
        <f t="shared" si="5"/>
        <v>0</v>
      </c>
    </row>
    <row r="7019">
      <c r="A7019" s="1" t="s">
        <v>5368</v>
      </c>
      <c r="B7019" s="3" t="str">
        <f t="shared" si="1"/>
        <v>Unavailable</v>
      </c>
      <c r="C7019" s="5">
        <v>6183.0</v>
      </c>
      <c r="D7019" s="3">
        <f>IFERROR(__xludf.DUMMYFUNCTION("IFERROR(
IF(REGEXMATCH(LOWER(O7019),""k""),
VALUE(REGEXEXTRACT(O7019,""[0-9]+""))*1000,
VALUE(REGEXEXTRACT(O7019,""[0-9]+""))
),
0
)"),0.0)</f>
        <v>0</v>
      </c>
      <c r="E7019" s="1" t="s">
        <v>11</v>
      </c>
      <c r="F7019" s="1" t="s">
        <v>20</v>
      </c>
      <c r="G7019" s="4" t="b">
        <f t="shared" si="2"/>
        <v>1</v>
      </c>
      <c r="H7019" s="1" t="str">
        <f t="shared" si="3"/>
        <v>Currently Unavailable</v>
      </c>
      <c r="I7019" s="1" t="str">
        <f t="shared" si="4"/>
        <v>No Badges</v>
      </c>
      <c r="J7019" s="3">
        <f t="shared" si="5"/>
        <v>0</v>
      </c>
    </row>
    <row r="7020">
      <c r="A7020" s="1" t="s">
        <v>5369</v>
      </c>
      <c r="B7020" s="3" t="str">
        <f t="shared" si="1"/>
        <v>Unavailable</v>
      </c>
      <c r="C7020" s="5">
        <v>137809.0</v>
      </c>
      <c r="D7020" s="3">
        <f>IFERROR(__xludf.DUMMYFUNCTION("IFERROR(
IF(REGEXMATCH(LOWER(O7020),""k""),
VALUE(REGEXEXTRACT(O7020,""[0-9]+""))*1000,
VALUE(REGEXEXTRACT(O7020,""[0-9]+""))
),
0
)"),0.0)</f>
        <v>0</v>
      </c>
      <c r="E7020" s="1" t="s">
        <v>11</v>
      </c>
      <c r="F7020" s="1" t="s">
        <v>20</v>
      </c>
      <c r="G7020" s="4" t="b">
        <f t="shared" si="2"/>
        <v>1</v>
      </c>
      <c r="H7020" s="1" t="str">
        <f t="shared" si="3"/>
        <v>Currently Unavailable</v>
      </c>
      <c r="I7020" s="1" t="str">
        <f t="shared" si="4"/>
        <v>No Badges</v>
      </c>
      <c r="J7020" s="3">
        <f t="shared" si="5"/>
        <v>0</v>
      </c>
    </row>
    <row r="7021">
      <c r="A7021" s="1" t="s">
        <v>5370</v>
      </c>
      <c r="B7021" s="3" t="str">
        <f t="shared" si="1"/>
        <v>Unavailable</v>
      </c>
      <c r="C7021" s="5">
        <v>12389.0</v>
      </c>
      <c r="D7021" s="3">
        <f>IFERROR(__xludf.DUMMYFUNCTION("IFERROR(
IF(REGEXMATCH(LOWER(O7021),""k""),
VALUE(REGEXEXTRACT(O7021,""[0-9]+""))*1000,
VALUE(REGEXEXTRACT(O7021,""[0-9]+""))
),
0
)"),0.0)</f>
        <v>0</v>
      </c>
      <c r="E7021" s="1" t="s">
        <v>11</v>
      </c>
      <c r="F7021" s="1" t="s">
        <v>20</v>
      </c>
      <c r="G7021" s="4" t="b">
        <f t="shared" si="2"/>
        <v>1</v>
      </c>
      <c r="H7021" s="1" t="str">
        <f t="shared" si="3"/>
        <v>Currently Unavailable</v>
      </c>
      <c r="I7021" s="1" t="str">
        <f t="shared" si="4"/>
        <v>No Badges</v>
      </c>
      <c r="J7021" s="3">
        <f t="shared" si="5"/>
        <v>0</v>
      </c>
    </row>
    <row r="7022">
      <c r="A7022" s="1" t="s">
        <v>5371</v>
      </c>
      <c r="B7022" s="3" t="str">
        <f t="shared" si="1"/>
        <v>Unavailable</v>
      </c>
      <c r="C7022" s="3">
        <v>56.0</v>
      </c>
      <c r="D7022" s="3">
        <f>IFERROR(__xludf.DUMMYFUNCTION("IFERROR(
IF(REGEXMATCH(LOWER(O7022),""k""),
VALUE(REGEXEXTRACT(O7022,""[0-9]+""))*1000,
VALUE(REGEXEXTRACT(O7022,""[0-9]+""))
),
0
)"),0.0)</f>
        <v>0</v>
      </c>
      <c r="E7022" s="1" t="s">
        <v>11</v>
      </c>
      <c r="F7022" s="1" t="s">
        <v>20</v>
      </c>
      <c r="G7022" s="4" t="b">
        <f t="shared" si="2"/>
        <v>1</v>
      </c>
      <c r="H7022" s="1" t="str">
        <f t="shared" si="3"/>
        <v>Currently Unavailable</v>
      </c>
      <c r="I7022" s="1" t="str">
        <f t="shared" si="4"/>
        <v>No Badges</v>
      </c>
      <c r="J7022" s="3">
        <f t="shared" si="5"/>
        <v>0</v>
      </c>
    </row>
    <row r="7023">
      <c r="A7023" s="1" t="s">
        <v>5372</v>
      </c>
      <c r="B7023" s="3" t="str">
        <f t="shared" si="1"/>
        <v>Unavailable</v>
      </c>
      <c r="C7023" s="5">
        <v>11845.0</v>
      </c>
      <c r="D7023" s="3">
        <f>IFERROR(__xludf.DUMMYFUNCTION("IFERROR(
IF(REGEXMATCH(LOWER(O7023),""k""),
VALUE(REGEXEXTRACT(O7023,""[0-9]+""))*1000,
VALUE(REGEXEXTRACT(O7023,""[0-9]+""))
),
0
)"),0.0)</f>
        <v>0</v>
      </c>
      <c r="E7023" s="1" t="s">
        <v>11</v>
      </c>
      <c r="F7023" s="1" t="s">
        <v>20</v>
      </c>
      <c r="G7023" s="4" t="b">
        <f t="shared" si="2"/>
        <v>1</v>
      </c>
      <c r="H7023" s="1" t="str">
        <f t="shared" si="3"/>
        <v>Currently Unavailable</v>
      </c>
      <c r="I7023" s="1" t="str">
        <f t="shared" si="4"/>
        <v>No Badges</v>
      </c>
      <c r="J7023" s="3">
        <f t="shared" si="5"/>
        <v>0</v>
      </c>
    </row>
    <row r="7024">
      <c r="A7024" s="1" t="s">
        <v>5373</v>
      </c>
      <c r="B7024" s="3" t="str">
        <f t="shared" si="1"/>
        <v>Unavailable</v>
      </c>
      <c r="C7024" s="5">
        <v>56241.0</v>
      </c>
      <c r="D7024" s="3">
        <f>IFERROR(__xludf.DUMMYFUNCTION("IFERROR(
IF(REGEXMATCH(LOWER(O7024),""k""),
VALUE(REGEXEXTRACT(O7024,""[0-9]+""))*1000,
VALUE(REGEXEXTRACT(O7024,""[0-9]+""))
),
0
)"),0.0)</f>
        <v>0</v>
      </c>
      <c r="E7024" s="1" t="s">
        <v>11</v>
      </c>
      <c r="F7024" s="1" t="s">
        <v>20</v>
      </c>
      <c r="G7024" s="4" t="b">
        <f t="shared" si="2"/>
        <v>1</v>
      </c>
      <c r="H7024" s="1" t="str">
        <f t="shared" si="3"/>
        <v>Currently Unavailable</v>
      </c>
      <c r="I7024" s="1" t="str">
        <f t="shared" si="4"/>
        <v>No Badges</v>
      </c>
      <c r="J7024" s="3">
        <f t="shared" si="5"/>
        <v>0</v>
      </c>
    </row>
    <row r="7025">
      <c r="A7025" s="1" t="s">
        <v>5374</v>
      </c>
      <c r="B7025" s="3" t="str">
        <f t="shared" si="1"/>
        <v>Unavailable</v>
      </c>
      <c r="C7025" s="5">
        <v>7742.0</v>
      </c>
      <c r="D7025" s="3">
        <f>IFERROR(__xludf.DUMMYFUNCTION("IFERROR(
IF(REGEXMATCH(LOWER(O7025),""k""),
VALUE(REGEXEXTRACT(O7025,""[0-9]+""))*1000,
VALUE(REGEXEXTRACT(O7025,""[0-9]+""))
),
0
)"),0.0)</f>
        <v>0</v>
      </c>
      <c r="E7025" s="1" t="s">
        <v>11</v>
      </c>
      <c r="F7025" s="1" t="s">
        <v>20</v>
      </c>
      <c r="G7025" s="4" t="b">
        <f t="shared" si="2"/>
        <v>1</v>
      </c>
      <c r="H7025" s="1" t="str">
        <f t="shared" si="3"/>
        <v>Currently Unavailable</v>
      </c>
      <c r="I7025" s="1" t="str">
        <f t="shared" si="4"/>
        <v>No Badges</v>
      </c>
      <c r="J7025" s="3">
        <f t="shared" si="5"/>
        <v>0</v>
      </c>
    </row>
    <row r="7026">
      <c r="A7026" s="1" t="s">
        <v>5375</v>
      </c>
      <c r="B7026" s="3" t="str">
        <f t="shared" si="1"/>
        <v>Unavailable</v>
      </c>
      <c r="C7026" s="5">
        <v>127795.0</v>
      </c>
      <c r="D7026" s="3">
        <f>IFERROR(__xludf.DUMMYFUNCTION("IFERROR(
IF(REGEXMATCH(LOWER(O7026),""k""),
VALUE(REGEXEXTRACT(O7026,""[0-9]+""))*1000,
VALUE(REGEXEXTRACT(O7026,""[0-9]+""))
),
0
)"),0.0)</f>
        <v>0</v>
      </c>
      <c r="E7026" s="1" t="s">
        <v>11</v>
      </c>
      <c r="F7026" s="1" t="s">
        <v>20</v>
      </c>
      <c r="G7026" s="4" t="b">
        <f t="shared" si="2"/>
        <v>1</v>
      </c>
      <c r="H7026" s="1" t="str">
        <f t="shared" si="3"/>
        <v>Currently Unavailable</v>
      </c>
      <c r="I7026" s="1" t="str">
        <f t="shared" si="4"/>
        <v>No Badges</v>
      </c>
      <c r="J7026" s="3">
        <f t="shared" si="5"/>
        <v>0</v>
      </c>
    </row>
    <row r="7027">
      <c r="A7027" s="1" t="s">
        <v>5376</v>
      </c>
      <c r="B7027" s="3" t="str">
        <f t="shared" si="1"/>
        <v>Unavailable</v>
      </c>
      <c r="C7027" s="5">
        <v>3104.0</v>
      </c>
      <c r="D7027" s="3">
        <f>IFERROR(__xludf.DUMMYFUNCTION("IFERROR(
IF(REGEXMATCH(LOWER(O7027),""k""),
VALUE(REGEXEXTRACT(O7027,""[0-9]+""))*1000,
VALUE(REGEXEXTRACT(O7027,""[0-9]+""))
),
0
)"),0.0)</f>
        <v>0</v>
      </c>
      <c r="E7027" s="1" t="s">
        <v>11</v>
      </c>
      <c r="F7027" s="1" t="s">
        <v>20</v>
      </c>
      <c r="G7027" s="4" t="b">
        <f t="shared" si="2"/>
        <v>1</v>
      </c>
      <c r="H7027" s="1" t="str">
        <f t="shared" si="3"/>
        <v>Currently Unavailable</v>
      </c>
      <c r="I7027" s="1" t="str">
        <f t="shared" si="4"/>
        <v>No Badges</v>
      </c>
      <c r="J7027" s="3">
        <f t="shared" si="5"/>
        <v>0</v>
      </c>
    </row>
    <row r="7028">
      <c r="A7028" s="1" t="s">
        <v>67</v>
      </c>
      <c r="B7028" s="3" t="str">
        <f t="shared" si="1"/>
        <v>Unavailable</v>
      </c>
      <c r="C7028" s="3">
        <v>264.0</v>
      </c>
      <c r="D7028" s="3">
        <f>IFERROR(__xludf.DUMMYFUNCTION("IFERROR(
IF(REGEXMATCH(LOWER(O7028),""k""),
VALUE(REGEXEXTRACT(O7028,""[0-9]+""))*1000,
VALUE(REGEXEXTRACT(O7028,""[0-9]+""))
),
0
)"),0.0)</f>
        <v>0</v>
      </c>
      <c r="E7028" s="1" t="s">
        <v>11</v>
      </c>
      <c r="F7028" s="1" t="s">
        <v>12</v>
      </c>
      <c r="G7028" s="4" t="b">
        <f t="shared" si="2"/>
        <v>1</v>
      </c>
      <c r="H7028" s="1" t="str">
        <f t="shared" si="3"/>
        <v>Currently Unavailable</v>
      </c>
      <c r="I7028" s="1" t="str">
        <f t="shared" si="4"/>
        <v>No Badges</v>
      </c>
      <c r="J7028" s="3">
        <f t="shared" si="5"/>
        <v>0</v>
      </c>
    </row>
    <row r="7029">
      <c r="A7029" s="1" t="s">
        <v>5377</v>
      </c>
      <c r="B7029" s="3" t="str">
        <f t="shared" si="1"/>
        <v>Unavailable</v>
      </c>
      <c r="C7029" s="5">
        <v>1064.0</v>
      </c>
      <c r="D7029" s="3">
        <f>IFERROR(__xludf.DUMMYFUNCTION("IFERROR(
IF(REGEXMATCH(LOWER(O7029),""k""),
VALUE(REGEXEXTRACT(O7029,""[0-9]+""))*1000,
VALUE(REGEXEXTRACT(O7029,""[0-9]+""))
),
0
)"),0.0)</f>
        <v>0</v>
      </c>
      <c r="E7029" s="1" t="s">
        <v>11</v>
      </c>
      <c r="F7029" s="1" t="s">
        <v>20</v>
      </c>
      <c r="G7029" s="4" t="b">
        <f t="shared" si="2"/>
        <v>1</v>
      </c>
      <c r="H7029" s="1" t="str">
        <f t="shared" si="3"/>
        <v>Currently Unavailable</v>
      </c>
      <c r="I7029" s="1" t="str">
        <f t="shared" si="4"/>
        <v>No Badges</v>
      </c>
      <c r="J7029" s="3">
        <f t="shared" si="5"/>
        <v>0</v>
      </c>
    </row>
    <row r="7030">
      <c r="A7030" s="1" t="s">
        <v>701</v>
      </c>
      <c r="B7030" s="3" t="str">
        <f t="shared" si="1"/>
        <v>Unavailable</v>
      </c>
      <c r="C7030" s="3">
        <v>8.0</v>
      </c>
      <c r="D7030" s="3">
        <f>IFERROR(__xludf.DUMMYFUNCTION("IFERROR(
IF(REGEXMATCH(LOWER(O7030),""k""),
VALUE(REGEXEXTRACT(O7030,""[0-9]+""))*1000,
VALUE(REGEXEXTRACT(O7030,""[0-9]+""))
),
0
)"),0.0)</f>
        <v>0</v>
      </c>
      <c r="E7030" s="1" t="s">
        <v>11</v>
      </c>
      <c r="F7030" s="1" t="s">
        <v>12</v>
      </c>
      <c r="G7030" s="4" t="b">
        <f t="shared" si="2"/>
        <v>1</v>
      </c>
      <c r="H7030" s="1" t="str">
        <f t="shared" si="3"/>
        <v>Currently Unavailable</v>
      </c>
      <c r="I7030" s="1" t="str">
        <f t="shared" si="4"/>
        <v>No Badges</v>
      </c>
      <c r="J7030" s="3">
        <f t="shared" si="5"/>
        <v>0</v>
      </c>
    </row>
    <row r="7031">
      <c r="A7031" s="1" t="s">
        <v>5378</v>
      </c>
      <c r="B7031" s="3" t="str">
        <f t="shared" si="1"/>
        <v>Unavailable</v>
      </c>
      <c r="C7031" s="3">
        <v>310.0</v>
      </c>
      <c r="D7031" s="3">
        <f>IFERROR(__xludf.DUMMYFUNCTION("IFERROR(
IF(REGEXMATCH(LOWER(O7031),""k""),
VALUE(REGEXEXTRACT(O7031,""[0-9]+""))*1000,
VALUE(REGEXEXTRACT(O7031,""[0-9]+""))
),
0
)"),0.0)</f>
        <v>0</v>
      </c>
      <c r="E7031" s="1" t="s">
        <v>11</v>
      </c>
      <c r="F7031" s="1" t="s">
        <v>20</v>
      </c>
      <c r="G7031" s="4" t="b">
        <f t="shared" si="2"/>
        <v>1</v>
      </c>
      <c r="H7031" s="1" t="str">
        <f t="shared" si="3"/>
        <v>Currently Unavailable</v>
      </c>
      <c r="I7031" s="1" t="str">
        <f t="shared" si="4"/>
        <v>No Badges</v>
      </c>
      <c r="J7031" s="3">
        <f t="shared" si="5"/>
        <v>0</v>
      </c>
    </row>
    <row r="7032">
      <c r="A7032" s="1" t="s">
        <v>5379</v>
      </c>
      <c r="B7032" s="3" t="str">
        <f t="shared" si="1"/>
        <v>Unavailable</v>
      </c>
      <c r="C7032" s="5">
        <v>19210.0</v>
      </c>
      <c r="D7032" s="3">
        <f>IFERROR(__xludf.DUMMYFUNCTION("IFERROR(
IF(REGEXMATCH(LOWER(O7032),""k""),
VALUE(REGEXEXTRACT(O7032,""[0-9]+""))*1000,
VALUE(REGEXEXTRACT(O7032,""[0-9]+""))
),
0
)"),0.0)</f>
        <v>0</v>
      </c>
      <c r="E7032" s="1" t="s">
        <v>11</v>
      </c>
      <c r="F7032" s="1" t="s">
        <v>20</v>
      </c>
      <c r="G7032" s="4" t="b">
        <f t="shared" si="2"/>
        <v>1</v>
      </c>
      <c r="H7032" s="1" t="str">
        <f t="shared" si="3"/>
        <v>Currently Unavailable</v>
      </c>
      <c r="I7032" s="1" t="str">
        <f t="shared" si="4"/>
        <v>No Badges</v>
      </c>
      <c r="J7032" s="3">
        <f t="shared" si="5"/>
        <v>0</v>
      </c>
    </row>
    <row r="7033">
      <c r="A7033" s="1" t="s">
        <v>5380</v>
      </c>
      <c r="B7033" s="3" t="str">
        <f t="shared" si="1"/>
        <v>Unavailable</v>
      </c>
      <c r="C7033" s="3">
        <v>310.0</v>
      </c>
      <c r="D7033" s="3">
        <f>IFERROR(__xludf.DUMMYFUNCTION("IFERROR(
IF(REGEXMATCH(LOWER(O7033),""k""),
VALUE(REGEXEXTRACT(O7033,""[0-9]+""))*1000,
VALUE(REGEXEXTRACT(O7033,""[0-9]+""))
),
0
)"),0.0)</f>
        <v>0</v>
      </c>
      <c r="E7033" s="1" t="s">
        <v>11</v>
      </c>
      <c r="F7033" s="1" t="s">
        <v>20</v>
      </c>
      <c r="G7033" s="4" t="b">
        <f t="shared" si="2"/>
        <v>1</v>
      </c>
      <c r="H7033" s="1" t="str">
        <f t="shared" si="3"/>
        <v>Currently Unavailable</v>
      </c>
      <c r="I7033" s="1" t="str">
        <f t="shared" si="4"/>
        <v>No Badges</v>
      </c>
      <c r="J7033" s="6">
        <f t="shared" si="5"/>
        <v>0</v>
      </c>
    </row>
    <row r="7034">
      <c r="A7034" s="1" t="s">
        <v>5381</v>
      </c>
      <c r="B7034" s="3" t="str">
        <f t="shared" si="1"/>
        <v>Unavailable</v>
      </c>
      <c r="C7034" s="5">
        <v>28408.0</v>
      </c>
      <c r="D7034" s="3">
        <f>IFERROR(__xludf.DUMMYFUNCTION("IFERROR(
IF(REGEXMATCH(LOWER(O7034),""k""),
VALUE(REGEXEXTRACT(O7034,""[0-9]+""))*1000,
VALUE(REGEXEXTRACT(O7034,""[0-9]+""))
),
0
)"),0.0)</f>
        <v>0</v>
      </c>
      <c r="E7034" s="1" t="s">
        <v>11</v>
      </c>
      <c r="F7034" s="1" t="s">
        <v>20</v>
      </c>
      <c r="G7034" s="4" t="b">
        <f t="shared" si="2"/>
        <v>1</v>
      </c>
      <c r="H7034" s="1" t="str">
        <f t="shared" si="3"/>
        <v>Currently Unavailable</v>
      </c>
      <c r="I7034" s="1" t="str">
        <f t="shared" si="4"/>
        <v>No Badges</v>
      </c>
      <c r="J7034" s="3">
        <f t="shared" si="5"/>
        <v>0</v>
      </c>
    </row>
    <row r="7035">
      <c r="A7035" s="1" t="s">
        <v>5382</v>
      </c>
      <c r="B7035" s="3" t="str">
        <f t="shared" si="1"/>
        <v>Unavailable</v>
      </c>
      <c r="C7035" s="5">
        <v>99983.0</v>
      </c>
      <c r="D7035" s="3">
        <f>IFERROR(__xludf.DUMMYFUNCTION("IFERROR(
IF(REGEXMATCH(LOWER(O7035),""k""),
VALUE(REGEXEXTRACT(O7035,""[0-9]+""))*1000,
VALUE(REGEXEXTRACT(O7035,""[0-9]+""))
),
0
)"),0.0)</f>
        <v>0</v>
      </c>
      <c r="E7035" s="1" t="s">
        <v>11</v>
      </c>
      <c r="F7035" s="1" t="s">
        <v>20</v>
      </c>
      <c r="G7035" s="4" t="b">
        <f t="shared" si="2"/>
        <v>1</v>
      </c>
      <c r="H7035" s="1" t="str">
        <f t="shared" si="3"/>
        <v>Currently Unavailable</v>
      </c>
      <c r="I7035" s="1" t="str">
        <f t="shared" si="4"/>
        <v>No Badges</v>
      </c>
      <c r="J7035" s="3">
        <f t="shared" si="5"/>
        <v>0</v>
      </c>
    </row>
    <row r="7036">
      <c r="A7036" s="1" t="s">
        <v>5383</v>
      </c>
      <c r="B7036" s="3" t="str">
        <f t="shared" si="1"/>
        <v>Unavailable</v>
      </c>
      <c r="C7036" s="3">
        <v>70.0</v>
      </c>
      <c r="D7036" s="3">
        <f>IFERROR(__xludf.DUMMYFUNCTION("IFERROR(
IF(REGEXMATCH(LOWER(O7036),""k""),
VALUE(REGEXEXTRACT(O7036,""[0-9]+""))*1000,
VALUE(REGEXEXTRACT(O7036,""[0-9]+""))
),
0
)"),0.0)</f>
        <v>0</v>
      </c>
      <c r="E7036" s="1" t="s">
        <v>11</v>
      </c>
      <c r="F7036" s="1" t="s">
        <v>20</v>
      </c>
      <c r="G7036" s="4" t="b">
        <f t="shared" si="2"/>
        <v>1</v>
      </c>
      <c r="H7036" s="1" t="str">
        <f t="shared" si="3"/>
        <v>Currently Unavailable</v>
      </c>
      <c r="I7036" s="1" t="str">
        <f t="shared" si="4"/>
        <v>No Badges</v>
      </c>
      <c r="J7036" s="3">
        <f t="shared" si="5"/>
        <v>0</v>
      </c>
    </row>
    <row r="7037">
      <c r="A7037" s="1" t="s">
        <v>5384</v>
      </c>
      <c r="B7037" s="3" t="str">
        <f t="shared" si="1"/>
        <v>Unavailable</v>
      </c>
      <c r="C7037" s="5">
        <v>30703.0</v>
      </c>
      <c r="D7037" s="3">
        <f>IFERROR(__xludf.DUMMYFUNCTION("IFERROR(
IF(REGEXMATCH(LOWER(O7037),""k""),
VALUE(REGEXEXTRACT(O7037,""[0-9]+""))*1000,
VALUE(REGEXEXTRACT(O7037,""[0-9]+""))
),
0
)"),0.0)</f>
        <v>0</v>
      </c>
      <c r="E7037" s="1" t="s">
        <v>11</v>
      </c>
      <c r="F7037" s="1" t="s">
        <v>20</v>
      </c>
      <c r="G7037" s="4" t="b">
        <f t="shared" si="2"/>
        <v>1</v>
      </c>
      <c r="H7037" s="1" t="str">
        <f t="shared" si="3"/>
        <v>Currently Unavailable</v>
      </c>
      <c r="I7037" s="1" t="str">
        <f t="shared" si="4"/>
        <v>No Badges</v>
      </c>
      <c r="J7037" s="3">
        <f t="shared" si="5"/>
        <v>0</v>
      </c>
    </row>
    <row r="7038">
      <c r="A7038" s="1" t="s">
        <v>5385</v>
      </c>
      <c r="B7038" s="3" t="str">
        <f t="shared" si="1"/>
        <v>Unavailable</v>
      </c>
      <c r="C7038" s="5">
        <v>46807.0</v>
      </c>
      <c r="D7038" s="3">
        <f>IFERROR(__xludf.DUMMYFUNCTION("IFERROR(
IF(REGEXMATCH(LOWER(O7038),""k""),
VALUE(REGEXEXTRACT(O7038,""[0-9]+""))*1000,
VALUE(REGEXEXTRACT(O7038,""[0-9]+""))
),
0
)"),0.0)</f>
        <v>0</v>
      </c>
      <c r="E7038" s="1" t="s">
        <v>158</v>
      </c>
      <c r="F7038" s="1" t="s">
        <v>20</v>
      </c>
      <c r="G7038" s="4" t="b">
        <f t="shared" si="2"/>
        <v>1</v>
      </c>
      <c r="H7038" s="1" t="str">
        <f t="shared" si="3"/>
        <v>Currently Unavailable</v>
      </c>
      <c r="I7038" s="1" t="str">
        <f t="shared" si="4"/>
        <v>No Badges</v>
      </c>
      <c r="J7038" s="3">
        <f t="shared" si="5"/>
        <v>0</v>
      </c>
    </row>
    <row r="7039">
      <c r="A7039" s="1" t="s">
        <v>5386</v>
      </c>
      <c r="B7039" s="3" t="str">
        <f t="shared" si="1"/>
        <v>Unavailable</v>
      </c>
      <c r="C7039" s="5">
        <v>30321.0</v>
      </c>
      <c r="D7039" s="3">
        <f>IFERROR(__xludf.DUMMYFUNCTION("IFERROR(
IF(REGEXMATCH(LOWER(O7039),""k""),
VALUE(REGEXEXTRACT(O7039,""[0-9]+""))*1000,
VALUE(REGEXEXTRACT(O7039,""[0-9]+""))
),
0
)"),0.0)</f>
        <v>0</v>
      </c>
      <c r="E7039" s="1" t="s">
        <v>11</v>
      </c>
      <c r="F7039" s="1" t="s">
        <v>20</v>
      </c>
      <c r="G7039" s="4" t="b">
        <f t="shared" si="2"/>
        <v>1</v>
      </c>
      <c r="H7039" s="1" t="str">
        <f t="shared" si="3"/>
        <v>Currently Unavailable</v>
      </c>
      <c r="I7039" s="1" t="str">
        <f t="shared" si="4"/>
        <v>No Badges</v>
      </c>
      <c r="J7039" s="3">
        <f t="shared" si="5"/>
        <v>0</v>
      </c>
    </row>
    <row r="7040">
      <c r="A7040" s="1" t="s">
        <v>5387</v>
      </c>
      <c r="B7040" s="3" t="str">
        <f t="shared" si="1"/>
        <v>Unavailable</v>
      </c>
      <c r="C7040" s="5">
        <v>14470.0</v>
      </c>
      <c r="D7040" s="3">
        <f>IFERROR(__xludf.DUMMYFUNCTION("IFERROR(
IF(REGEXMATCH(LOWER(O7040),""k""),
VALUE(REGEXEXTRACT(O7040,""[0-9]+""))*1000,
VALUE(REGEXEXTRACT(O7040,""[0-9]+""))
),
0
)"),0.0)</f>
        <v>0</v>
      </c>
      <c r="E7040" s="1" t="s">
        <v>11</v>
      </c>
      <c r="F7040" s="1" t="s">
        <v>20</v>
      </c>
      <c r="G7040" s="4" t="b">
        <f t="shared" si="2"/>
        <v>1</v>
      </c>
      <c r="H7040" s="1" t="str">
        <f t="shared" si="3"/>
        <v>Currently Unavailable</v>
      </c>
      <c r="I7040" s="1" t="str">
        <f t="shared" si="4"/>
        <v>No Badges</v>
      </c>
      <c r="J7040" s="3">
        <f t="shared" si="5"/>
        <v>0</v>
      </c>
    </row>
    <row r="7041">
      <c r="A7041" s="1" t="s">
        <v>5388</v>
      </c>
      <c r="B7041" s="3" t="str">
        <f t="shared" si="1"/>
        <v>Unavailable</v>
      </c>
      <c r="C7041" s="5">
        <v>8449.0</v>
      </c>
      <c r="D7041" s="3">
        <f>IFERROR(__xludf.DUMMYFUNCTION("IFERROR(
IF(REGEXMATCH(LOWER(O7041),""k""),
VALUE(REGEXEXTRACT(O7041,""[0-9]+""))*1000,
VALUE(REGEXEXTRACT(O7041,""[0-9]+""))
),
0
)"),0.0)</f>
        <v>0</v>
      </c>
      <c r="E7041" s="1" t="s">
        <v>158</v>
      </c>
      <c r="F7041" s="1" t="s">
        <v>20</v>
      </c>
      <c r="G7041" s="4" t="b">
        <f t="shared" si="2"/>
        <v>1</v>
      </c>
      <c r="H7041" s="1" t="str">
        <f t="shared" si="3"/>
        <v>Currently Unavailable</v>
      </c>
      <c r="I7041" s="1" t="str">
        <f t="shared" si="4"/>
        <v>No Badges</v>
      </c>
      <c r="J7041" s="3">
        <f t="shared" si="5"/>
        <v>0</v>
      </c>
    </row>
    <row r="7042">
      <c r="A7042" s="1" t="s">
        <v>5389</v>
      </c>
      <c r="B7042" s="3" t="str">
        <f t="shared" si="1"/>
        <v>Unavailable</v>
      </c>
      <c r="C7042" s="5">
        <v>10779.0</v>
      </c>
      <c r="D7042" s="3">
        <f>IFERROR(__xludf.DUMMYFUNCTION("IFERROR(
IF(REGEXMATCH(LOWER(O7042),""k""),
VALUE(REGEXEXTRACT(O7042,""[0-9]+""))*1000,
VALUE(REGEXEXTRACT(O7042,""[0-9]+""))
),
0
)"),0.0)</f>
        <v>0</v>
      </c>
      <c r="E7042" s="1" t="s">
        <v>11</v>
      </c>
      <c r="F7042" s="1" t="s">
        <v>20</v>
      </c>
      <c r="G7042" s="4" t="b">
        <f t="shared" si="2"/>
        <v>1</v>
      </c>
      <c r="H7042" s="1" t="str">
        <f t="shared" si="3"/>
        <v>Currently Unavailable</v>
      </c>
      <c r="I7042" s="1" t="str">
        <f t="shared" si="4"/>
        <v>No Badges</v>
      </c>
      <c r="J7042" s="3">
        <f t="shared" si="5"/>
        <v>0</v>
      </c>
    </row>
    <row r="7043">
      <c r="A7043" s="1" t="s">
        <v>5390</v>
      </c>
      <c r="B7043" s="3" t="str">
        <f t="shared" si="1"/>
        <v>Unavailable</v>
      </c>
      <c r="C7043" s="5">
        <v>3383.0</v>
      </c>
      <c r="D7043" s="3">
        <f>IFERROR(__xludf.DUMMYFUNCTION("IFERROR(
IF(REGEXMATCH(LOWER(O7043),""k""),
VALUE(REGEXEXTRACT(O7043,""[0-9]+""))*1000,
VALUE(REGEXEXTRACT(O7043,""[0-9]+""))
),
0
)"),0.0)</f>
        <v>0</v>
      </c>
      <c r="E7043" s="1" t="s">
        <v>11</v>
      </c>
      <c r="F7043" s="1" t="s">
        <v>20</v>
      </c>
      <c r="G7043" s="4" t="b">
        <f t="shared" si="2"/>
        <v>1</v>
      </c>
      <c r="H7043" s="1" t="str">
        <f t="shared" si="3"/>
        <v>Currently Unavailable</v>
      </c>
      <c r="I7043" s="1" t="str">
        <f t="shared" si="4"/>
        <v>No Badges</v>
      </c>
      <c r="J7043" s="3">
        <f t="shared" si="5"/>
        <v>0</v>
      </c>
    </row>
    <row r="7044">
      <c r="A7044" s="1" t="s">
        <v>88</v>
      </c>
      <c r="B7044" s="3" t="str">
        <f t="shared" si="1"/>
        <v>Unavailable</v>
      </c>
      <c r="C7044" s="3">
        <v>5.0</v>
      </c>
      <c r="D7044" s="3">
        <f>IFERROR(__xludf.DUMMYFUNCTION("IFERROR(
IF(REGEXMATCH(LOWER(O7044),""k""),
VALUE(REGEXEXTRACT(O7044,""[0-9]+""))*1000,
VALUE(REGEXEXTRACT(O7044,""[0-9]+""))
),
0
)"),0.0)</f>
        <v>0</v>
      </c>
      <c r="E7044" s="1" t="s">
        <v>11</v>
      </c>
      <c r="F7044" s="1" t="s">
        <v>12</v>
      </c>
      <c r="G7044" s="4" t="b">
        <f t="shared" si="2"/>
        <v>1</v>
      </c>
      <c r="H7044" s="1" t="str">
        <f t="shared" si="3"/>
        <v>Currently Unavailable</v>
      </c>
      <c r="I7044" s="1" t="str">
        <f t="shared" si="4"/>
        <v>No Badges</v>
      </c>
      <c r="J7044" s="3">
        <f t="shared" si="5"/>
        <v>0</v>
      </c>
    </row>
    <row r="7045">
      <c r="A7045" s="1" t="s">
        <v>5391</v>
      </c>
      <c r="B7045" s="3" t="str">
        <f t="shared" si="1"/>
        <v>Unavailable</v>
      </c>
      <c r="C7045" s="5">
        <v>29125.0</v>
      </c>
      <c r="D7045" s="3">
        <f>IFERROR(__xludf.DUMMYFUNCTION("IFERROR(
IF(REGEXMATCH(LOWER(O7045),""k""),
VALUE(REGEXEXTRACT(O7045,""[0-9]+""))*1000,
VALUE(REGEXEXTRACT(O7045,""[0-9]+""))
),
0
)"),0.0)</f>
        <v>0</v>
      </c>
      <c r="E7045" s="1" t="s">
        <v>11</v>
      </c>
      <c r="F7045" s="1" t="s">
        <v>20</v>
      </c>
      <c r="G7045" s="4" t="b">
        <f t="shared" si="2"/>
        <v>1</v>
      </c>
      <c r="H7045" s="1" t="str">
        <f t="shared" si="3"/>
        <v>Currently Unavailable</v>
      </c>
      <c r="I7045" s="1" t="str">
        <f t="shared" si="4"/>
        <v>No Badges</v>
      </c>
      <c r="J7045" s="3">
        <f t="shared" si="5"/>
        <v>0</v>
      </c>
    </row>
    <row r="7046">
      <c r="A7046" s="1" t="s">
        <v>5392</v>
      </c>
      <c r="B7046" s="3" t="str">
        <f t="shared" si="1"/>
        <v>Unavailable</v>
      </c>
      <c r="C7046" s="5">
        <v>12774.0</v>
      </c>
      <c r="D7046" s="3">
        <f>IFERROR(__xludf.DUMMYFUNCTION("IFERROR(
IF(REGEXMATCH(LOWER(O7046),""k""),
VALUE(REGEXEXTRACT(O7046,""[0-9]+""))*1000,
VALUE(REGEXEXTRACT(O7046,""[0-9]+""))
),
0
)"),0.0)</f>
        <v>0</v>
      </c>
      <c r="E7046" s="1" t="s">
        <v>11</v>
      </c>
      <c r="F7046" s="1" t="s">
        <v>20</v>
      </c>
      <c r="G7046" s="4" t="b">
        <f t="shared" si="2"/>
        <v>1</v>
      </c>
      <c r="H7046" s="1" t="str">
        <f t="shared" si="3"/>
        <v>Currently Unavailable</v>
      </c>
      <c r="I7046" s="1" t="str">
        <f t="shared" si="4"/>
        <v>No Badges</v>
      </c>
      <c r="J7046" s="3">
        <f t="shared" si="5"/>
        <v>0</v>
      </c>
    </row>
    <row r="7047">
      <c r="A7047" s="1" t="s">
        <v>5393</v>
      </c>
      <c r="B7047" s="3" t="str">
        <f t="shared" si="1"/>
        <v>Unavailable</v>
      </c>
      <c r="C7047" s="5">
        <v>3796.0</v>
      </c>
      <c r="D7047" s="3">
        <f>IFERROR(__xludf.DUMMYFUNCTION("IFERROR(
IF(REGEXMATCH(LOWER(O7047),""k""),
VALUE(REGEXEXTRACT(O7047,""[0-9]+""))*1000,
VALUE(REGEXEXTRACT(O7047,""[0-9]+""))
),
0
)"),0.0)</f>
        <v>0</v>
      </c>
      <c r="E7047" s="1" t="s">
        <v>11</v>
      </c>
      <c r="F7047" s="1" t="s">
        <v>20</v>
      </c>
      <c r="G7047" s="4" t="b">
        <f t="shared" si="2"/>
        <v>1</v>
      </c>
      <c r="H7047" s="1" t="str">
        <f t="shared" si="3"/>
        <v>Currently Unavailable</v>
      </c>
      <c r="I7047" s="1" t="str">
        <f t="shared" si="4"/>
        <v>No Badges</v>
      </c>
      <c r="J7047" s="3">
        <f t="shared" si="5"/>
        <v>0</v>
      </c>
    </row>
    <row r="7048">
      <c r="A7048" s="1" t="s">
        <v>69</v>
      </c>
      <c r="B7048" s="3" t="str">
        <f t="shared" si="1"/>
        <v>Unavailable</v>
      </c>
      <c r="C7048" s="3">
        <v>45.0</v>
      </c>
      <c r="D7048" s="3">
        <f>IFERROR(__xludf.DUMMYFUNCTION("IFERROR(
IF(REGEXMATCH(LOWER(O7048),""k""),
VALUE(REGEXEXTRACT(O7048,""[0-9]+""))*1000,
VALUE(REGEXEXTRACT(O7048,""[0-9]+""))
),
0
)"),0.0)</f>
        <v>0</v>
      </c>
      <c r="E7048" s="1" t="s">
        <v>11</v>
      </c>
      <c r="F7048" s="1" t="s">
        <v>12</v>
      </c>
      <c r="G7048" s="4" t="b">
        <f t="shared" si="2"/>
        <v>1</v>
      </c>
      <c r="H7048" s="1" t="str">
        <f t="shared" si="3"/>
        <v>Currently Unavailable</v>
      </c>
      <c r="I7048" s="1" t="str">
        <f t="shared" si="4"/>
        <v>No Badges</v>
      </c>
      <c r="J7048" s="3">
        <f t="shared" si="5"/>
        <v>0</v>
      </c>
    </row>
    <row r="7049">
      <c r="A7049" s="1" t="s">
        <v>5363</v>
      </c>
      <c r="B7049" s="3" t="str">
        <f t="shared" si="1"/>
        <v>Unavailable</v>
      </c>
      <c r="C7049" s="5">
        <v>36352.0</v>
      </c>
      <c r="D7049" s="3">
        <f>IFERROR(__xludf.DUMMYFUNCTION("IFERROR(
IF(REGEXMATCH(LOWER(O7049),""k""),
VALUE(REGEXEXTRACT(O7049,""[0-9]+""))*1000,
VALUE(REGEXEXTRACT(O7049,""[0-9]+""))
),
0
)"),0.0)</f>
        <v>0</v>
      </c>
      <c r="E7049" s="1" t="s">
        <v>11</v>
      </c>
      <c r="F7049" s="1" t="s">
        <v>12</v>
      </c>
      <c r="G7049" s="4" t="b">
        <f t="shared" si="2"/>
        <v>1</v>
      </c>
      <c r="H7049" s="1" t="str">
        <f t="shared" si="3"/>
        <v>Currently Unavailable</v>
      </c>
      <c r="I7049" s="1" t="str">
        <f t="shared" si="4"/>
        <v>No Badges</v>
      </c>
      <c r="J7049" s="3">
        <f t="shared" si="5"/>
        <v>0</v>
      </c>
    </row>
    <row r="7050">
      <c r="A7050" s="1" t="s">
        <v>5378</v>
      </c>
      <c r="B7050" s="3" t="str">
        <f t="shared" si="1"/>
        <v>Unavailable</v>
      </c>
      <c r="C7050" s="3">
        <v>310.0</v>
      </c>
      <c r="D7050" s="3">
        <f>IFERROR(__xludf.DUMMYFUNCTION("IFERROR(
IF(REGEXMATCH(LOWER(O7050),""k""),
VALUE(REGEXEXTRACT(O7050,""[0-9]+""))*1000,
VALUE(REGEXEXTRACT(O7050,""[0-9]+""))
),
0
)"),0.0)</f>
        <v>0</v>
      </c>
      <c r="E7050" s="1" t="s">
        <v>11</v>
      </c>
      <c r="F7050" s="1" t="s">
        <v>12</v>
      </c>
      <c r="G7050" s="4" t="b">
        <f t="shared" si="2"/>
        <v>1</v>
      </c>
      <c r="H7050" s="1" t="str">
        <f t="shared" si="3"/>
        <v>Currently Unavailable</v>
      </c>
      <c r="I7050" s="1" t="str">
        <f t="shared" si="4"/>
        <v>No Badges</v>
      </c>
      <c r="J7050" s="3">
        <f t="shared" si="5"/>
        <v>0</v>
      </c>
    </row>
    <row r="7051">
      <c r="A7051" s="1" t="s">
        <v>5394</v>
      </c>
      <c r="B7051" s="3" t="str">
        <f t="shared" si="1"/>
        <v>Unavailable</v>
      </c>
      <c r="C7051" s="5">
        <v>10600.0</v>
      </c>
      <c r="D7051" s="3">
        <f>IFERROR(__xludf.DUMMYFUNCTION("IFERROR(
IF(REGEXMATCH(LOWER(O7051),""k""),
VALUE(REGEXEXTRACT(O7051,""[0-9]+""))*1000,
VALUE(REGEXEXTRACT(O7051,""[0-9]+""))
),
0
)"),0.0)</f>
        <v>0</v>
      </c>
      <c r="E7051" s="1" t="s">
        <v>11</v>
      </c>
      <c r="F7051" s="1" t="s">
        <v>20</v>
      </c>
      <c r="G7051" s="4" t="b">
        <f t="shared" si="2"/>
        <v>1</v>
      </c>
      <c r="H7051" s="1" t="str">
        <f t="shared" si="3"/>
        <v>Currently Unavailable</v>
      </c>
      <c r="I7051" s="1" t="str">
        <f t="shared" si="4"/>
        <v>No Badges</v>
      </c>
      <c r="J7051" s="3">
        <f t="shared" si="5"/>
        <v>0</v>
      </c>
    </row>
    <row r="7052">
      <c r="A7052" s="1" t="s">
        <v>5395</v>
      </c>
      <c r="B7052" s="3" t="str">
        <f t="shared" si="1"/>
        <v>Unavailable</v>
      </c>
      <c r="C7052" s="5">
        <v>8956.0</v>
      </c>
      <c r="D7052" s="3">
        <f>IFERROR(__xludf.DUMMYFUNCTION("IFERROR(
IF(REGEXMATCH(LOWER(O7052),""k""),
VALUE(REGEXEXTRACT(O7052,""[0-9]+""))*1000,
VALUE(REGEXEXTRACT(O7052,""[0-9]+""))
),
0
)"),0.0)</f>
        <v>0</v>
      </c>
      <c r="E7052" s="1" t="s">
        <v>11</v>
      </c>
      <c r="F7052" s="1" t="s">
        <v>20</v>
      </c>
      <c r="G7052" s="4" t="b">
        <f t="shared" si="2"/>
        <v>1</v>
      </c>
      <c r="H7052" s="1" t="str">
        <f t="shared" si="3"/>
        <v>Currently Unavailable</v>
      </c>
      <c r="I7052" s="1" t="str">
        <f t="shared" si="4"/>
        <v>No Badges</v>
      </c>
      <c r="J7052" s="3">
        <f t="shared" si="5"/>
        <v>0</v>
      </c>
    </row>
    <row r="7053">
      <c r="A7053" s="1" t="s">
        <v>5396</v>
      </c>
      <c r="B7053" s="3" t="str">
        <f t="shared" si="1"/>
        <v>Unavailable</v>
      </c>
      <c r="C7053" s="5">
        <v>11255.0</v>
      </c>
      <c r="D7053" s="3">
        <f>IFERROR(__xludf.DUMMYFUNCTION("IFERROR(
IF(REGEXMATCH(LOWER(O7053),""k""),
VALUE(REGEXEXTRACT(O7053,""[0-9]+""))*1000,
VALUE(REGEXEXTRACT(O7053,""[0-9]+""))
),
0
)"),0.0)</f>
        <v>0</v>
      </c>
      <c r="E7053" s="1" t="s">
        <v>11</v>
      </c>
      <c r="F7053" s="1" t="s">
        <v>20</v>
      </c>
      <c r="G7053" s="4" t="b">
        <f t="shared" si="2"/>
        <v>1</v>
      </c>
      <c r="H7053" s="1" t="str">
        <f t="shared" si="3"/>
        <v>Currently Unavailable</v>
      </c>
      <c r="I7053" s="1" t="str">
        <f t="shared" si="4"/>
        <v>No Badges</v>
      </c>
      <c r="J7053" s="3">
        <f t="shared" si="5"/>
        <v>0</v>
      </c>
    </row>
    <row r="7054">
      <c r="A7054" s="1" t="s">
        <v>5397</v>
      </c>
      <c r="B7054" s="3" t="str">
        <f t="shared" si="1"/>
        <v>Unavailable</v>
      </c>
      <c r="C7054" s="5">
        <v>1465.0</v>
      </c>
      <c r="D7054" s="3">
        <f>IFERROR(__xludf.DUMMYFUNCTION("IFERROR(
IF(REGEXMATCH(LOWER(O7054),""k""),
VALUE(REGEXEXTRACT(O7054,""[0-9]+""))*1000,
VALUE(REGEXEXTRACT(O7054,""[0-9]+""))
),
0
)"),0.0)</f>
        <v>0</v>
      </c>
      <c r="E7054" s="1" t="s">
        <v>11</v>
      </c>
      <c r="F7054" s="1" t="s">
        <v>12</v>
      </c>
      <c r="G7054" s="4" t="b">
        <f t="shared" si="2"/>
        <v>1</v>
      </c>
      <c r="H7054" s="1" t="str">
        <f t="shared" si="3"/>
        <v>Currently Unavailable</v>
      </c>
      <c r="I7054" s="1" t="str">
        <f t="shared" si="4"/>
        <v>No Badges</v>
      </c>
      <c r="J7054" s="3">
        <f t="shared" si="5"/>
        <v>0</v>
      </c>
    </row>
    <row r="7055">
      <c r="A7055" s="1" t="s">
        <v>5398</v>
      </c>
      <c r="B7055" s="3" t="str">
        <f t="shared" si="1"/>
        <v>Unavailable</v>
      </c>
      <c r="C7055" s="3">
        <v>19.0</v>
      </c>
      <c r="D7055" s="3">
        <f>IFERROR(__xludf.DUMMYFUNCTION("IFERROR(
IF(REGEXMATCH(LOWER(O7055),""k""),
VALUE(REGEXEXTRACT(O7055,""[0-9]+""))*1000,
VALUE(REGEXEXTRACT(O7055,""[0-9]+""))
),
0
)"),0.0)</f>
        <v>0</v>
      </c>
      <c r="E7055" s="1" t="s">
        <v>11</v>
      </c>
      <c r="F7055" s="1" t="s">
        <v>20</v>
      </c>
      <c r="G7055" s="4" t="b">
        <f t="shared" si="2"/>
        <v>1</v>
      </c>
      <c r="H7055" s="1" t="str">
        <f t="shared" si="3"/>
        <v>Currently Unavailable</v>
      </c>
      <c r="I7055" s="1" t="str">
        <f t="shared" si="4"/>
        <v>No Badges</v>
      </c>
      <c r="J7055" s="3">
        <f t="shared" si="5"/>
        <v>0</v>
      </c>
    </row>
    <row r="7056">
      <c r="A7056" s="1" t="s">
        <v>5399</v>
      </c>
      <c r="B7056" s="3" t="str">
        <f t="shared" si="1"/>
        <v>Unavailable</v>
      </c>
      <c r="C7056" s="5">
        <v>1710.0</v>
      </c>
      <c r="D7056" s="3">
        <f>IFERROR(__xludf.DUMMYFUNCTION("IFERROR(
IF(REGEXMATCH(LOWER(O7056),""k""),
VALUE(REGEXEXTRACT(O7056,""[0-9]+""))*1000,
VALUE(REGEXEXTRACT(O7056,""[0-9]+""))
),
0
)"),0.0)</f>
        <v>0</v>
      </c>
      <c r="E7056" s="1" t="s">
        <v>11</v>
      </c>
      <c r="F7056" s="1" t="s">
        <v>12</v>
      </c>
      <c r="G7056" s="4" t="b">
        <f t="shared" si="2"/>
        <v>1</v>
      </c>
      <c r="H7056" s="1" t="str">
        <f t="shared" si="3"/>
        <v>Currently Unavailable</v>
      </c>
      <c r="I7056" s="1" t="str">
        <f t="shared" si="4"/>
        <v>No Badges</v>
      </c>
      <c r="J7056" s="3">
        <f t="shared" si="5"/>
        <v>0</v>
      </c>
    </row>
    <row r="7057">
      <c r="A7057" s="1" t="s">
        <v>5400</v>
      </c>
      <c r="B7057" s="3" t="str">
        <f t="shared" si="1"/>
        <v>Unavailable</v>
      </c>
      <c r="C7057" s="3">
        <v>69.0</v>
      </c>
      <c r="D7057" s="3">
        <f>IFERROR(__xludf.DUMMYFUNCTION("IFERROR(
IF(REGEXMATCH(LOWER(O7057),""k""),
VALUE(REGEXEXTRACT(O7057,""[0-9]+""))*1000,
VALUE(REGEXEXTRACT(O7057,""[0-9]+""))
),
0
)"),0.0)</f>
        <v>0</v>
      </c>
      <c r="E7057" s="1" t="s">
        <v>11</v>
      </c>
      <c r="F7057" s="1" t="s">
        <v>12</v>
      </c>
      <c r="G7057" s="4" t="b">
        <f t="shared" si="2"/>
        <v>1</v>
      </c>
      <c r="H7057" s="1" t="str">
        <f t="shared" si="3"/>
        <v>Currently Unavailable</v>
      </c>
      <c r="I7057" s="1" t="str">
        <f t="shared" si="4"/>
        <v>No Badges</v>
      </c>
      <c r="J7057" s="3">
        <f t="shared" si="5"/>
        <v>0</v>
      </c>
    </row>
    <row r="7058">
      <c r="A7058" s="1" t="s">
        <v>5397</v>
      </c>
      <c r="B7058" s="3" t="str">
        <f t="shared" si="1"/>
        <v>Unavailable</v>
      </c>
      <c r="C7058" s="5">
        <v>1465.0</v>
      </c>
      <c r="D7058" s="3">
        <f>IFERROR(__xludf.DUMMYFUNCTION("IFERROR(
IF(REGEXMATCH(LOWER(O7058),""k""),
VALUE(REGEXEXTRACT(O7058,""[0-9]+""))*1000,
VALUE(REGEXEXTRACT(O7058,""[0-9]+""))
),
0
)"),0.0)</f>
        <v>0</v>
      </c>
      <c r="E7058" s="1" t="s">
        <v>11</v>
      </c>
      <c r="F7058" s="1" t="s">
        <v>12</v>
      </c>
      <c r="G7058" s="4" t="b">
        <f t="shared" si="2"/>
        <v>1</v>
      </c>
      <c r="H7058" s="1" t="str">
        <f t="shared" si="3"/>
        <v>Currently Unavailable</v>
      </c>
      <c r="I7058" s="1" t="str">
        <f t="shared" si="4"/>
        <v>No Badges</v>
      </c>
      <c r="J7058" s="3">
        <f t="shared" si="5"/>
        <v>0</v>
      </c>
    </row>
    <row r="7059">
      <c r="A7059" s="1" t="s">
        <v>5401</v>
      </c>
      <c r="B7059" s="3" t="str">
        <f t="shared" si="1"/>
        <v>Unavailable</v>
      </c>
      <c r="C7059" s="5">
        <v>2195.0</v>
      </c>
      <c r="D7059" s="3">
        <f>IFERROR(__xludf.DUMMYFUNCTION("IFERROR(
IF(REGEXMATCH(LOWER(O7059),""k""),
VALUE(REGEXEXTRACT(O7059,""[0-9]+""))*1000,
VALUE(REGEXEXTRACT(O7059,""[0-9]+""))
),
0
)"),0.0)</f>
        <v>0</v>
      </c>
      <c r="E7059" s="1" t="s">
        <v>18</v>
      </c>
      <c r="F7059" s="1" t="s">
        <v>12</v>
      </c>
      <c r="G7059" s="4" t="b">
        <f t="shared" si="2"/>
        <v>1</v>
      </c>
      <c r="H7059" s="1" t="str">
        <f t="shared" si="3"/>
        <v>Currently Unavailable</v>
      </c>
      <c r="I7059" s="1" t="str">
        <f t="shared" si="4"/>
        <v>No Badges</v>
      </c>
      <c r="J7059" s="3">
        <f t="shared" si="5"/>
        <v>0</v>
      </c>
    </row>
    <row r="7060">
      <c r="A7060" s="1" t="s">
        <v>5397</v>
      </c>
      <c r="B7060" s="3" t="str">
        <f t="shared" si="1"/>
        <v>Unavailable</v>
      </c>
      <c r="C7060" s="5">
        <v>1465.0</v>
      </c>
      <c r="D7060" s="3">
        <f>IFERROR(__xludf.DUMMYFUNCTION("IFERROR(
IF(REGEXMATCH(LOWER(O7060),""k""),
VALUE(REGEXEXTRACT(O7060,""[0-9]+""))*1000,
VALUE(REGEXEXTRACT(O7060,""[0-9]+""))
),
0
)"),0.0)</f>
        <v>0</v>
      </c>
      <c r="E7060" s="1" t="s">
        <v>11</v>
      </c>
      <c r="F7060" s="1" t="s">
        <v>12</v>
      </c>
      <c r="G7060" s="4" t="b">
        <f t="shared" si="2"/>
        <v>1</v>
      </c>
      <c r="H7060" s="1" t="str">
        <f t="shared" si="3"/>
        <v>Currently Unavailable</v>
      </c>
      <c r="I7060" s="1" t="str">
        <f t="shared" si="4"/>
        <v>No Badges</v>
      </c>
      <c r="J7060" s="3">
        <f t="shared" si="5"/>
        <v>0</v>
      </c>
    </row>
    <row r="7061">
      <c r="A7061" s="1" t="s">
        <v>67</v>
      </c>
      <c r="B7061" s="3" t="str">
        <f t="shared" si="1"/>
        <v>Unavailable</v>
      </c>
      <c r="C7061" s="3">
        <v>264.0</v>
      </c>
      <c r="D7061" s="3">
        <f>IFERROR(__xludf.DUMMYFUNCTION("IFERROR(
IF(REGEXMATCH(LOWER(O7061),""k""),
VALUE(REGEXEXTRACT(O7061,""[0-9]+""))*1000,
VALUE(REGEXEXTRACT(O7061,""[0-9]+""))
),
0
)"),0.0)</f>
        <v>0</v>
      </c>
      <c r="E7061" s="1" t="s">
        <v>11</v>
      </c>
      <c r="F7061" s="1" t="s">
        <v>12</v>
      </c>
      <c r="G7061" s="4" t="b">
        <f t="shared" si="2"/>
        <v>1</v>
      </c>
      <c r="H7061" s="1" t="str">
        <f t="shared" si="3"/>
        <v>Currently Unavailable</v>
      </c>
      <c r="I7061" s="1" t="str">
        <f t="shared" si="4"/>
        <v>No Badges</v>
      </c>
      <c r="J7061" s="3">
        <f t="shared" si="5"/>
        <v>0</v>
      </c>
    </row>
    <row r="7062">
      <c r="A7062" s="1" t="s">
        <v>5402</v>
      </c>
      <c r="B7062" s="3" t="str">
        <f t="shared" si="1"/>
        <v>Unavailable</v>
      </c>
      <c r="C7062" s="3">
        <v>394.0</v>
      </c>
      <c r="D7062" s="3">
        <f>IFERROR(__xludf.DUMMYFUNCTION("IFERROR(
IF(REGEXMATCH(LOWER(O7062),""k""),
VALUE(REGEXEXTRACT(O7062,""[0-9]+""))*1000,
VALUE(REGEXEXTRACT(O7062,""[0-9]+""))
),
0
)"),0.0)</f>
        <v>0</v>
      </c>
      <c r="E7062" s="1" t="s">
        <v>11</v>
      </c>
      <c r="F7062" s="1" t="s">
        <v>12</v>
      </c>
      <c r="G7062" s="4" t="b">
        <f t="shared" si="2"/>
        <v>1</v>
      </c>
      <c r="H7062" s="1" t="str">
        <f t="shared" si="3"/>
        <v>Currently Unavailable</v>
      </c>
      <c r="I7062" s="1" t="str">
        <f t="shared" si="4"/>
        <v>No Badges</v>
      </c>
      <c r="J7062" s="3">
        <f t="shared" si="5"/>
        <v>0</v>
      </c>
    </row>
    <row r="7063">
      <c r="A7063" s="1" t="s">
        <v>701</v>
      </c>
      <c r="B7063" s="3" t="str">
        <f t="shared" si="1"/>
        <v>Unavailable</v>
      </c>
      <c r="C7063" s="3">
        <v>8.0</v>
      </c>
      <c r="D7063" s="3">
        <f>IFERROR(__xludf.DUMMYFUNCTION("IFERROR(
IF(REGEXMATCH(LOWER(O7063),""k""),
VALUE(REGEXEXTRACT(O7063,""[0-9]+""))*1000,
VALUE(REGEXEXTRACT(O7063,""[0-9]+""))
),
0
)"),0.0)</f>
        <v>0</v>
      </c>
      <c r="E7063" s="1" t="s">
        <v>11</v>
      </c>
      <c r="F7063" s="1" t="s">
        <v>12</v>
      </c>
      <c r="G7063" s="4" t="b">
        <f t="shared" si="2"/>
        <v>1</v>
      </c>
      <c r="H7063" s="1" t="str">
        <f t="shared" si="3"/>
        <v>Currently Unavailable</v>
      </c>
      <c r="I7063" s="1" t="str">
        <f t="shared" si="4"/>
        <v>No Badges</v>
      </c>
      <c r="J7063" s="3">
        <f t="shared" si="5"/>
        <v>0</v>
      </c>
    </row>
    <row r="7064">
      <c r="A7064" s="1" t="s">
        <v>5403</v>
      </c>
      <c r="B7064" s="1" t="str">
        <f t="shared" si="1"/>
        <v>Unavailable</v>
      </c>
      <c r="C7064" s="1"/>
      <c r="D7064" s="3">
        <f>IFERROR(__xludf.DUMMYFUNCTION("IFERROR(
IF(REGEXMATCH(LOWER(O7064),""k""),
VALUE(REGEXEXTRACT(O7064,""[0-9]+""))*1000,
VALUE(REGEXEXTRACT(O7064,""[0-9]+""))
),
0
)"),0.0)</f>
        <v>0</v>
      </c>
      <c r="E7064" s="1" t="s">
        <v>11</v>
      </c>
      <c r="F7064" s="1" t="s">
        <v>12</v>
      </c>
      <c r="G7064" s="4" t="b">
        <f t="shared" si="2"/>
        <v>1</v>
      </c>
      <c r="H7064" s="1" t="str">
        <f t="shared" si="3"/>
        <v>Currently Unavailable</v>
      </c>
      <c r="I7064" s="1" t="str">
        <f t="shared" si="4"/>
        <v>No Badges</v>
      </c>
      <c r="J7064" s="3">
        <f t="shared" si="5"/>
        <v>0</v>
      </c>
    </row>
    <row r="7065">
      <c r="A7065" s="1" t="s">
        <v>5404</v>
      </c>
      <c r="B7065" s="3" t="str">
        <f t="shared" si="1"/>
        <v>Unavailable</v>
      </c>
      <c r="C7065" s="3">
        <v>8.0</v>
      </c>
      <c r="D7065" s="3">
        <f>IFERROR(__xludf.DUMMYFUNCTION("IFERROR(
IF(REGEXMATCH(LOWER(O7065),""k""),
VALUE(REGEXEXTRACT(O7065,""[0-9]+""))*1000,
VALUE(REGEXEXTRACT(O7065,""[0-9]+""))
),
0
)"),0.0)</f>
        <v>0</v>
      </c>
      <c r="E7065" s="1" t="s">
        <v>11</v>
      </c>
      <c r="F7065" s="1" t="s">
        <v>12</v>
      </c>
      <c r="G7065" s="4" t="b">
        <f t="shared" si="2"/>
        <v>1</v>
      </c>
      <c r="H7065" s="1" t="str">
        <f t="shared" si="3"/>
        <v>Currently Unavailable</v>
      </c>
      <c r="I7065" s="1" t="str">
        <f t="shared" si="4"/>
        <v>No Badges</v>
      </c>
      <c r="J7065" s="3">
        <f t="shared" si="5"/>
        <v>0</v>
      </c>
    </row>
    <row r="7066">
      <c r="A7066" s="1" t="s">
        <v>5397</v>
      </c>
      <c r="B7066" s="3" t="str">
        <f t="shared" si="1"/>
        <v>Unavailable</v>
      </c>
      <c r="C7066" s="5">
        <v>1465.0</v>
      </c>
      <c r="D7066" s="3">
        <f>IFERROR(__xludf.DUMMYFUNCTION("IFERROR(
IF(REGEXMATCH(LOWER(O7066),""k""),
VALUE(REGEXEXTRACT(O7066,""[0-9]+""))*1000,
VALUE(REGEXEXTRACT(O7066,""[0-9]+""))
),
0
)"),0.0)</f>
        <v>0</v>
      </c>
      <c r="E7066" s="1" t="s">
        <v>11</v>
      </c>
      <c r="F7066" s="1" t="s">
        <v>12</v>
      </c>
      <c r="G7066" s="4" t="b">
        <f t="shared" si="2"/>
        <v>1</v>
      </c>
      <c r="H7066" s="1" t="str">
        <f t="shared" si="3"/>
        <v>Currently Unavailable</v>
      </c>
      <c r="I7066" s="1" t="str">
        <f t="shared" si="4"/>
        <v>No Badges</v>
      </c>
      <c r="J7066" s="3">
        <f t="shared" si="5"/>
        <v>0</v>
      </c>
    </row>
    <row r="7067">
      <c r="A7067" s="1" t="s">
        <v>5405</v>
      </c>
      <c r="B7067" s="3" t="str">
        <f t="shared" si="1"/>
        <v>Unavailable</v>
      </c>
      <c r="C7067" s="3">
        <v>158.0</v>
      </c>
      <c r="D7067" s="3">
        <f>IFERROR(__xludf.DUMMYFUNCTION("IFERROR(
IF(REGEXMATCH(LOWER(O7067),""k""),
VALUE(REGEXEXTRACT(O7067,""[0-9]+""))*1000,
VALUE(REGEXEXTRACT(O7067,""[0-9]+""))
),
0
)"),0.0)</f>
        <v>0</v>
      </c>
      <c r="E7067" s="1" t="s">
        <v>11</v>
      </c>
      <c r="F7067" s="1" t="s">
        <v>12</v>
      </c>
      <c r="G7067" s="4" t="b">
        <f t="shared" si="2"/>
        <v>1</v>
      </c>
      <c r="H7067" s="1" t="str">
        <f t="shared" si="3"/>
        <v>Currently Unavailable</v>
      </c>
      <c r="I7067" s="1" t="str">
        <f t="shared" si="4"/>
        <v>No Badges</v>
      </c>
      <c r="J7067" s="3">
        <f t="shared" si="5"/>
        <v>0</v>
      </c>
    </row>
    <row r="7068">
      <c r="A7068" s="1" t="s">
        <v>5397</v>
      </c>
      <c r="B7068" s="3" t="str">
        <f t="shared" si="1"/>
        <v>Unavailable</v>
      </c>
      <c r="C7068" s="5">
        <v>1465.0</v>
      </c>
      <c r="D7068" s="3">
        <f>IFERROR(__xludf.DUMMYFUNCTION("IFERROR(
IF(REGEXMATCH(LOWER(O7068),""k""),
VALUE(REGEXEXTRACT(O7068,""[0-9]+""))*1000,
VALUE(REGEXEXTRACT(O7068,""[0-9]+""))
),
0
)"),0.0)</f>
        <v>0</v>
      </c>
      <c r="E7068" s="1" t="s">
        <v>11</v>
      </c>
      <c r="F7068" s="1" t="s">
        <v>12</v>
      </c>
      <c r="G7068" s="4" t="b">
        <f t="shared" si="2"/>
        <v>1</v>
      </c>
      <c r="H7068" s="1" t="str">
        <f t="shared" si="3"/>
        <v>Currently Unavailable</v>
      </c>
      <c r="I7068" s="1" t="str">
        <f t="shared" si="4"/>
        <v>No Badges</v>
      </c>
      <c r="J7068" s="3">
        <f t="shared" si="5"/>
        <v>0</v>
      </c>
    </row>
    <row r="7069">
      <c r="A7069" s="1" t="s">
        <v>5406</v>
      </c>
      <c r="B7069" s="3" t="str">
        <f t="shared" si="1"/>
        <v>Unavailable</v>
      </c>
      <c r="C7069" s="5">
        <v>1690.0</v>
      </c>
      <c r="D7069" s="3">
        <f>IFERROR(__xludf.DUMMYFUNCTION("IFERROR(
IF(REGEXMATCH(LOWER(O7069),""k""),
VALUE(REGEXEXTRACT(O7069,""[0-9]+""))*1000,
VALUE(REGEXEXTRACT(O7069,""[0-9]+""))
),
0
)"),0.0)</f>
        <v>0</v>
      </c>
      <c r="E7069" s="1" t="s">
        <v>11</v>
      </c>
      <c r="F7069" s="1" t="s">
        <v>12</v>
      </c>
      <c r="G7069" s="4" t="b">
        <f t="shared" si="2"/>
        <v>1</v>
      </c>
      <c r="H7069" s="1" t="str">
        <f t="shared" si="3"/>
        <v>Currently Unavailable</v>
      </c>
      <c r="I7069" s="1" t="str">
        <f t="shared" si="4"/>
        <v>No Badges</v>
      </c>
      <c r="J7069" s="3">
        <f t="shared" si="5"/>
        <v>0</v>
      </c>
    </row>
    <row r="7070">
      <c r="A7070" s="1" t="s">
        <v>5407</v>
      </c>
      <c r="B7070" s="3" t="str">
        <f t="shared" si="1"/>
        <v>Unavailable</v>
      </c>
      <c r="C7070" s="5">
        <v>1268.0</v>
      </c>
      <c r="D7070" s="3">
        <f>IFERROR(__xludf.DUMMYFUNCTION("IFERROR(
IF(REGEXMATCH(LOWER(O7070),""k""),
VALUE(REGEXEXTRACT(O7070,""[0-9]+""))*1000,
VALUE(REGEXEXTRACT(O7070,""[0-9]+""))
),
0
)"),0.0)</f>
        <v>0</v>
      </c>
      <c r="E7070" s="1" t="s">
        <v>11</v>
      </c>
      <c r="F7070" s="1" t="s">
        <v>12</v>
      </c>
      <c r="G7070" s="4" t="b">
        <f t="shared" si="2"/>
        <v>1</v>
      </c>
      <c r="H7070" s="1" t="str">
        <f t="shared" si="3"/>
        <v>Currently Unavailable</v>
      </c>
      <c r="I7070" s="1" t="str">
        <f t="shared" si="4"/>
        <v>No Badges</v>
      </c>
      <c r="J7070" s="3">
        <f t="shared" si="5"/>
        <v>0</v>
      </c>
    </row>
    <row r="7071">
      <c r="A7071" s="1" t="s">
        <v>5397</v>
      </c>
      <c r="B7071" s="3" t="str">
        <f t="shared" si="1"/>
        <v>Unavailable</v>
      </c>
      <c r="C7071" s="5">
        <v>1465.0</v>
      </c>
      <c r="D7071" s="3">
        <f>IFERROR(__xludf.DUMMYFUNCTION("IFERROR(
IF(REGEXMATCH(LOWER(O7071),""k""),
VALUE(REGEXEXTRACT(O7071,""[0-9]+""))*1000,
VALUE(REGEXEXTRACT(O7071,""[0-9]+""))
),
0
)"),0.0)</f>
        <v>0</v>
      </c>
      <c r="E7071" s="1" t="s">
        <v>11</v>
      </c>
      <c r="F7071" s="1" t="s">
        <v>12</v>
      </c>
      <c r="G7071" s="4" t="b">
        <f t="shared" si="2"/>
        <v>1</v>
      </c>
      <c r="H7071" s="1" t="str">
        <f t="shared" si="3"/>
        <v>Currently Unavailable</v>
      </c>
      <c r="I7071" s="1" t="str">
        <f t="shared" si="4"/>
        <v>No Badges</v>
      </c>
      <c r="J7071" s="3">
        <f t="shared" si="5"/>
        <v>0</v>
      </c>
    </row>
    <row r="7072">
      <c r="A7072" s="1" t="s">
        <v>5404</v>
      </c>
      <c r="B7072" s="3" t="str">
        <f t="shared" si="1"/>
        <v>Unavailable</v>
      </c>
      <c r="C7072" s="3">
        <v>8.0</v>
      </c>
      <c r="D7072" s="3">
        <f>IFERROR(__xludf.DUMMYFUNCTION("IFERROR(
IF(REGEXMATCH(LOWER(O7072),""k""),
VALUE(REGEXEXTRACT(O7072,""[0-9]+""))*1000,
VALUE(REGEXEXTRACT(O7072,""[0-9]+""))
),
0
)"),0.0)</f>
        <v>0</v>
      </c>
      <c r="E7072" s="1" t="s">
        <v>11</v>
      </c>
      <c r="F7072" s="1" t="s">
        <v>12</v>
      </c>
      <c r="G7072" s="4" t="b">
        <f t="shared" si="2"/>
        <v>1</v>
      </c>
      <c r="H7072" s="1" t="str">
        <f t="shared" si="3"/>
        <v>Currently Unavailable</v>
      </c>
      <c r="I7072" s="1" t="str">
        <f t="shared" si="4"/>
        <v>No Badges</v>
      </c>
      <c r="J7072" s="3">
        <f t="shared" si="5"/>
        <v>0</v>
      </c>
    </row>
    <row r="7073">
      <c r="A7073" s="1" t="s">
        <v>5408</v>
      </c>
      <c r="B7073" s="3" t="str">
        <f t="shared" si="1"/>
        <v>Unavailable</v>
      </c>
      <c r="C7073" s="3">
        <v>24.0</v>
      </c>
      <c r="D7073" s="3">
        <f>IFERROR(__xludf.DUMMYFUNCTION("IFERROR(
IF(REGEXMATCH(LOWER(O7073),""k""),
VALUE(REGEXEXTRACT(O7073,""[0-9]+""))*1000,
VALUE(REGEXEXTRACT(O7073,""[0-9]+""))
),
0
)"),0.0)</f>
        <v>0</v>
      </c>
      <c r="E7073" s="1" t="s">
        <v>11</v>
      </c>
      <c r="F7073" s="1" t="s">
        <v>12</v>
      </c>
      <c r="G7073" s="4" t="b">
        <f t="shared" si="2"/>
        <v>1</v>
      </c>
      <c r="H7073" s="1" t="str">
        <f t="shared" si="3"/>
        <v>Currently Unavailable</v>
      </c>
      <c r="I7073" s="1" t="str">
        <f t="shared" si="4"/>
        <v>No Badges</v>
      </c>
      <c r="J7073" s="3">
        <f t="shared" si="5"/>
        <v>0</v>
      </c>
    </row>
    <row r="7074">
      <c r="A7074" s="1" t="s">
        <v>5397</v>
      </c>
      <c r="B7074" s="3" t="str">
        <f t="shared" si="1"/>
        <v>Unavailable</v>
      </c>
      <c r="C7074" s="5">
        <v>1465.0</v>
      </c>
      <c r="D7074" s="3">
        <f>IFERROR(__xludf.DUMMYFUNCTION("IFERROR(
IF(REGEXMATCH(LOWER(O7074),""k""),
VALUE(REGEXEXTRACT(O7074,""[0-9]+""))*1000,
VALUE(REGEXEXTRACT(O7074,""[0-9]+""))
),
0
)"),0.0)</f>
        <v>0</v>
      </c>
      <c r="E7074" s="1" t="s">
        <v>11</v>
      </c>
      <c r="F7074" s="1" t="s">
        <v>12</v>
      </c>
      <c r="G7074" s="4" t="b">
        <f t="shared" si="2"/>
        <v>1</v>
      </c>
      <c r="H7074" s="1" t="str">
        <f t="shared" si="3"/>
        <v>Currently Unavailable</v>
      </c>
      <c r="I7074" s="1" t="str">
        <f t="shared" si="4"/>
        <v>No Badges</v>
      </c>
      <c r="J7074" s="3">
        <f t="shared" si="5"/>
        <v>0</v>
      </c>
    </row>
    <row r="7075">
      <c r="A7075" s="1" t="s">
        <v>5397</v>
      </c>
      <c r="B7075" s="3" t="str">
        <f t="shared" si="1"/>
        <v>Unavailable</v>
      </c>
      <c r="C7075" s="5">
        <v>1465.0</v>
      </c>
      <c r="D7075" s="3">
        <f>IFERROR(__xludf.DUMMYFUNCTION("IFERROR(
IF(REGEXMATCH(LOWER(O7075),""k""),
VALUE(REGEXEXTRACT(O7075,""[0-9]+""))*1000,
VALUE(REGEXEXTRACT(O7075,""[0-9]+""))
),
0
)"),0.0)</f>
        <v>0</v>
      </c>
      <c r="E7075" s="1" t="s">
        <v>11</v>
      </c>
      <c r="F7075" s="1" t="s">
        <v>12</v>
      </c>
      <c r="G7075" s="4" t="b">
        <f t="shared" si="2"/>
        <v>1</v>
      </c>
      <c r="H7075" s="1" t="str">
        <f t="shared" si="3"/>
        <v>Currently Unavailable</v>
      </c>
      <c r="I7075" s="1" t="str">
        <f t="shared" si="4"/>
        <v>No Badges</v>
      </c>
      <c r="J7075" s="3">
        <f t="shared" si="5"/>
        <v>0</v>
      </c>
    </row>
    <row r="7076">
      <c r="A7076" s="1" t="s">
        <v>5397</v>
      </c>
      <c r="B7076" s="3" t="str">
        <f t="shared" si="1"/>
        <v>Unavailable</v>
      </c>
      <c r="C7076" s="5">
        <v>1465.0</v>
      </c>
      <c r="D7076" s="3">
        <f>IFERROR(__xludf.DUMMYFUNCTION("IFERROR(
IF(REGEXMATCH(LOWER(O7076),""k""),
VALUE(REGEXEXTRACT(O7076,""[0-9]+""))*1000,
VALUE(REGEXEXTRACT(O7076,""[0-9]+""))
),
0
)"),0.0)</f>
        <v>0</v>
      </c>
      <c r="E7076" s="1" t="s">
        <v>11</v>
      </c>
      <c r="F7076" s="1" t="s">
        <v>12</v>
      </c>
      <c r="G7076" s="4" t="b">
        <f t="shared" si="2"/>
        <v>1</v>
      </c>
      <c r="H7076" s="1" t="str">
        <f t="shared" si="3"/>
        <v>Currently Unavailable</v>
      </c>
      <c r="I7076" s="1" t="str">
        <f t="shared" si="4"/>
        <v>No Badges</v>
      </c>
      <c r="J7076" s="3">
        <f t="shared" si="5"/>
        <v>0</v>
      </c>
    </row>
    <row r="7077">
      <c r="A7077" s="1" t="s">
        <v>88</v>
      </c>
      <c r="B7077" s="3" t="str">
        <f t="shared" si="1"/>
        <v>Unavailable</v>
      </c>
      <c r="C7077" s="3">
        <v>5.0</v>
      </c>
      <c r="D7077" s="3">
        <f>IFERROR(__xludf.DUMMYFUNCTION("IFERROR(
IF(REGEXMATCH(LOWER(O7077),""k""),
VALUE(REGEXEXTRACT(O7077,""[0-9]+""))*1000,
VALUE(REGEXEXTRACT(O7077,""[0-9]+""))
),
0
)"),0.0)</f>
        <v>0</v>
      </c>
      <c r="E7077" s="1" t="s">
        <v>11</v>
      </c>
      <c r="F7077" s="1" t="s">
        <v>12</v>
      </c>
      <c r="G7077" s="4" t="b">
        <f t="shared" si="2"/>
        <v>1</v>
      </c>
      <c r="H7077" s="1" t="str">
        <f t="shared" si="3"/>
        <v>Currently Unavailable</v>
      </c>
      <c r="I7077" s="1" t="str">
        <f t="shared" si="4"/>
        <v>No Badges</v>
      </c>
      <c r="J7077" s="3">
        <f t="shared" si="5"/>
        <v>0</v>
      </c>
    </row>
    <row r="7078">
      <c r="A7078" s="1" t="s">
        <v>5397</v>
      </c>
      <c r="B7078" s="3" t="str">
        <f t="shared" si="1"/>
        <v>Unavailable</v>
      </c>
      <c r="C7078" s="5">
        <v>1465.0</v>
      </c>
      <c r="D7078" s="3">
        <f>IFERROR(__xludf.DUMMYFUNCTION("IFERROR(
IF(REGEXMATCH(LOWER(O7078),""k""),
VALUE(REGEXEXTRACT(O7078,""[0-9]+""))*1000,
VALUE(REGEXEXTRACT(O7078,""[0-9]+""))
),
0
)"),0.0)</f>
        <v>0</v>
      </c>
      <c r="E7078" s="1" t="s">
        <v>11</v>
      </c>
      <c r="F7078" s="1" t="s">
        <v>12</v>
      </c>
      <c r="G7078" s="4" t="b">
        <f t="shared" si="2"/>
        <v>1</v>
      </c>
      <c r="H7078" s="1" t="str">
        <f t="shared" si="3"/>
        <v>Currently Unavailable</v>
      </c>
      <c r="I7078" s="1" t="str">
        <f t="shared" si="4"/>
        <v>No Badges</v>
      </c>
      <c r="J7078" s="3">
        <f t="shared" si="5"/>
        <v>0</v>
      </c>
    </row>
    <row r="7079">
      <c r="A7079" s="1" t="s">
        <v>5409</v>
      </c>
      <c r="B7079" s="3" t="str">
        <f t="shared" si="1"/>
        <v>Unavailable</v>
      </c>
      <c r="C7079" s="3">
        <v>554.0</v>
      </c>
      <c r="D7079" s="3">
        <f>IFERROR(__xludf.DUMMYFUNCTION("IFERROR(
IF(REGEXMATCH(LOWER(O7079),""k""),
VALUE(REGEXEXTRACT(O7079,""[0-9]+""))*1000,
VALUE(REGEXEXTRACT(O7079,""[0-9]+""))
),
0
)"),0.0)</f>
        <v>0</v>
      </c>
      <c r="E7079" s="1" t="s">
        <v>11</v>
      </c>
      <c r="F7079" s="1" t="s">
        <v>20</v>
      </c>
      <c r="G7079" s="4" t="b">
        <f t="shared" si="2"/>
        <v>1</v>
      </c>
      <c r="H7079" s="1" t="str">
        <f t="shared" si="3"/>
        <v>Currently Unavailable</v>
      </c>
      <c r="I7079" s="1" t="str">
        <f t="shared" si="4"/>
        <v>No Badges</v>
      </c>
      <c r="J7079" s="3">
        <f t="shared" si="5"/>
        <v>0</v>
      </c>
    </row>
    <row r="7080">
      <c r="A7080" s="1" t="s">
        <v>5410</v>
      </c>
      <c r="B7080" s="3" t="str">
        <f t="shared" si="1"/>
        <v>Unavailable</v>
      </c>
      <c r="C7080" s="3">
        <v>18.0</v>
      </c>
      <c r="D7080" s="3">
        <f>IFERROR(__xludf.DUMMYFUNCTION("IFERROR(
IF(REGEXMATCH(LOWER(O7080),""k""),
VALUE(REGEXEXTRACT(O7080,""[0-9]+""))*1000,
VALUE(REGEXEXTRACT(O7080,""[0-9]+""))
),
0
)"),0.0)</f>
        <v>0</v>
      </c>
      <c r="E7080" s="1" t="s">
        <v>11</v>
      </c>
      <c r="F7080" s="1" t="s">
        <v>20</v>
      </c>
      <c r="G7080" s="4" t="b">
        <f t="shared" si="2"/>
        <v>1</v>
      </c>
      <c r="H7080" s="1" t="str">
        <f t="shared" si="3"/>
        <v>Currently Unavailable</v>
      </c>
      <c r="I7080" s="1" t="str">
        <f t="shared" si="4"/>
        <v>No Badges</v>
      </c>
      <c r="J7080" s="6">
        <f t="shared" si="5"/>
        <v>0</v>
      </c>
    </row>
    <row r="7081">
      <c r="A7081" s="1" t="s">
        <v>69</v>
      </c>
      <c r="B7081" s="3" t="str">
        <f t="shared" si="1"/>
        <v>Unavailable</v>
      </c>
      <c r="C7081" s="3">
        <v>45.0</v>
      </c>
      <c r="D7081" s="3">
        <f>IFERROR(__xludf.DUMMYFUNCTION("IFERROR(
IF(REGEXMATCH(LOWER(O7081),""k""),
VALUE(REGEXEXTRACT(O7081,""[0-9]+""))*1000,
VALUE(REGEXEXTRACT(O7081,""[0-9]+""))
),
0
)"),0.0)</f>
        <v>0</v>
      </c>
      <c r="E7081" s="1" t="s">
        <v>11</v>
      </c>
      <c r="F7081" s="1" t="s">
        <v>12</v>
      </c>
      <c r="G7081" s="4" t="b">
        <f t="shared" si="2"/>
        <v>1</v>
      </c>
      <c r="H7081" s="1" t="str">
        <f t="shared" si="3"/>
        <v>Currently Unavailable</v>
      </c>
      <c r="I7081" s="1" t="str">
        <f t="shared" si="4"/>
        <v>No Badges</v>
      </c>
      <c r="J7081" s="3">
        <f t="shared" si="5"/>
        <v>0</v>
      </c>
    </row>
    <row r="7082">
      <c r="A7082" s="1" t="s">
        <v>5411</v>
      </c>
      <c r="B7082" s="3" t="str">
        <f t="shared" si="1"/>
        <v>Unavailable</v>
      </c>
      <c r="C7082" s="3">
        <v>167.0</v>
      </c>
      <c r="D7082" s="3">
        <f>IFERROR(__xludf.DUMMYFUNCTION("IFERROR(
IF(REGEXMATCH(LOWER(O7082),""k""),
VALUE(REGEXEXTRACT(O7082,""[0-9]+""))*1000,
VALUE(REGEXEXTRACT(O7082,""[0-9]+""))
),
0
)"),0.0)</f>
        <v>0</v>
      </c>
      <c r="E7082" s="1" t="s">
        <v>11</v>
      </c>
      <c r="F7082" s="1" t="s">
        <v>20</v>
      </c>
      <c r="G7082" s="4" t="b">
        <f t="shared" si="2"/>
        <v>1</v>
      </c>
      <c r="H7082" s="1" t="str">
        <f t="shared" si="3"/>
        <v>Currently Unavailable</v>
      </c>
      <c r="I7082" s="1" t="str">
        <f t="shared" si="4"/>
        <v>No Badges</v>
      </c>
      <c r="J7082" s="3">
        <f t="shared" si="5"/>
        <v>0</v>
      </c>
    </row>
    <row r="7083">
      <c r="A7083" s="1" t="s">
        <v>5412</v>
      </c>
      <c r="B7083" s="3" t="str">
        <f t="shared" si="1"/>
        <v>Unavailable</v>
      </c>
      <c r="C7083" s="3">
        <v>73.0</v>
      </c>
      <c r="D7083" s="3">
        <f>IFERROR(__xludf.DUMMYFUNCTION("IFERROR(
IF(REGEXMATCH(LOWER(O7083),""k""),
VALUE(REGEXEXTRACT(O7083,""[0-9]+""))*1000,
VALUE(REGEXEXTRACT(O7083,""[0-9]+""))
),
0
)"),0.0)</f>
        <v>0</v>
      </c>
      <c r="E7083" s="1" t="s">
        <v>11</v>
      </c>
      <c r="F7083" s="1" t="s">
        <v>12</v>
      </c>
      <c r="G7083" s="4" t="b">
        <f t="shared" si="2"/>
        <v>1</v>
      </c>
      <c r="H7083" s="1" t="str">
        <f t="shared" si="3"/>
        <v>Currently Unavailable</v>
      </c>
      <c r="I7083" s="1" t="str">
        <f t="shared" si="4"/>
        <v>No Badges</v>
      </c>
      <c r="J7083" s="3">
        <f t="shared" si="5"/>
        <v>0</v>
      </c>
    </row>
    <row r="7084">
      <c r="A7084" s="1" t="s">
        <v>5404</v>
      </c>
      <c r="B7084" s="3" t="str">
        <f t="shared" si="1"/>
        <v>Unavailable</v>
      </c>
      <c r="C7084" s="3">
        <v>8.0</v>
      </c>
      <c r="D7084" s="3">
        <f>IFERROR(__xludf.DUMMYFUNCTION("IFERROR(
IF(REGEXMATCH(LOWER(O7084),""k""),
VALUE(REGEXEXTRACT(O7084,""[0-9]+""))*1000,
VALUE(REGEXEXTRACT(O7084,""[0-9]+""))
),
0
)"),0.0)</f>
        <v>0</v>
      </c>
      <c r="E7084" s="1" t="s">
        <v>11</v>
      </c>
      <c r="F7084" s="1" t="s">
        <v>12</v>
      </c>
      <c r="G7084" s="4" t="b">
        <f t="shared" si="2"/>
        <v>1</v>
      </c>
      <c r="H7084" s="1" t="str">
        <f t="shared" si="3"/>
        <v>Currently Unavailable</v>
      </c>
      <c r="I7084" s="1" t="str">
        <f t="shared" si="4"/>
        <v>No Badges</v>
      </c>
      <c r="J7084" s="3">
        <f t="shared" si="5"/>
        <v>0</v>
      </c>
    </row>
    <row r="7085">
      <c r="A7085" s="1" t="s">
        <v>5404</v>
      </c>
      <c r="B7085" s="3" t="str">
        <f t="shared" si="1"/>
        <v>Unavailable</v>
      </c>
      <c r="C7085" s="3">
        <v>8.0</v>
      </c>
      <c r="D7085" s="3">
        <f>IFERROR(__xludf.DUMMYFUNCTION("IFERROR(
IF(REGEXMATCH(LOWER(O7085),""k""),
VALUE(REGEXEXTRACT(O7085,""[0-9]+""))*1000,
VALUE(REGEXEXTRACT(O7085,""[0-9]+""))
),
0
)"),0.0)</f>
        <v>0</v>
      </c>
      <c r="E7085" s="1" t="s">
        <v>11</v>
      </c>
      <c r="F7085" s="1" t="s">
        <v>12</v>
      </c>
      <c r="G7085" s="4" t="b">
        <f t="shared" si="2"/>
        <v>1</v>
      </c>
      <c r="H7085" s="1" t="str">
        <f t="shared" si="3"/>
        <v>Currently Unavailable</v>
      </c>
      <c r="I7085" s="1" t="str">
        <f t="shared" si="4"/>
        <v>No Badges</v>
      </c>
      <c r="J7085" s="3">
        <f t="shared" si="5"/>
        <v>0</v>
      </c>
    </row>
    <row r="7086">
      <c r="A7086" s="1" t="s">
        <v>5404</v>
      </c>
      <c r="B7086" s="3" t="str">
        <f t="shared" si="1"/>
        <v>Unavailable</v>
      </c>
      <c r="C7086" s="3">
        <v>8.0</v>
      </c>
      <c r="D7086" s="3">
        <f>IFERROR(__xludf.DUMMYFUNCTION("IFERROR(
IF(REGEXMATCH(LOWER(O7086),""k""),
VALUE(REGEXEXTRACT(O7086,""[0-9]+""))*1000,
VALUE(REGEXEXTRACT(O7086,""[0-9]+""))
),
0
)"),0.0)</f>
        <v>0</v>
      </c>
      <c r="E7086" s="1" t="s">
        <v>11</v>
      </c>
      <c r="F7086" s="1" t="s">
        <v>12</v>
      </c>
      <c r="G7086" s="4" t="b">
        <f t="shared" si="2"/>
        <v>1</v>
      </c>
      <c r="H7086" s="1" t="str">
        <f t="shared" si="3"/>
        <v>Currently Unavailable</v>
      </c>
      <c r="I7086" s="1" t="str">
        <f t="shared" si="4"/>
        <v>No Badges</v>
      </c>
      <c r="J7086" s="3">
        <f t="shared" si="5"/>
        <v>0</v>
      </c>
    </row>
    <row r="7087">
      <c r="A7087" s="1" t="s">
        <v>5404</v>
      </c>
      <c r="B7087" s="3" t="str">
        <f t="shared" si="1"/>
        <v>Unavailable</v>
      </c>
      <c r="C7087" s="3">
        <v>8.0</v>
      </c>
      <c r="D7087" s="3">
        <f>IFERROR(__xludf.DUMMYFUNCTION("IFERROR(
IF(REGEXMATCH(LOWER(O7087),""k""),
VALUE(REGEXEXTRACT(O7087,""[0-9]+""))*1000,
VALUE(REGEXEXTRACT(O7087,""[0-9]+""))
),
0
)"),0.0)</f>
        <v>0</v>
      </c>
      <c r="E7087" s="1" t="s">
        <v>11</v>
      </c>
      <c r="F7087" s="1" t="s">
        <v>12</v>
      </c>
      <c r="G7087" s="4" t="b">
        <f t="shared" si="2"/>
        <v>1</v>
      </c>
      <c r="H7087" s="1" t="str">
        <f t="shared" si="3"/>
        <v>Currently Unavailable</v>
      </c>
      <c r="I7087" s="1" t="str">
        <f t="shared" si="4"/>
        <v>No Badges</v>
      </c>
      <c r="J7087" s="3">
        <f t="shared" si="5"/>
        <v>0</v>
      </c>
    </row>
    <row r="7088">
      <c r="A7088" s="1" t="s">
        <v>5413</v>
      </c>
      <c r="B7088" s="3" t="str">
        <f t="shared" si="1"/>
        <v>Unavailable</v>
      </c>
      <c r="C7088" s="3">
        <v>7.0</v>
      </c>
      <c r="D7088" s="3">
        <f>IFERROR(__xludf.DUMMYFUNCTION("IFERROR(
IF(REGEXMATCH(LOWER(O7088),""k""),
VALUE(REGEXEXTRACT(O7088,""[0-9]+""))*1000,
VALUE(REGEXEXTRACT(O7088,""[0-9]+""))
),
0
)"),0.0)</f>
        <v>0</v>
      </c>
      <c r="E7088" s="1" t="s">
        <v>11</v>
      </c>
      <c r="F7088" s="1" t="s">
        <v>20</v>
      </c>
      <c r="G7088" s="4" t="b">
        <f t="shared" si="2"/>
        <v>1</v>
      </c>
      <c r="H7088" s="1" t="str">
        <f t="shared" si="3"/>
        <v>Currently Unavailable</v>
      </c>
      <c r="I7088" s="1" t="str">
        <f t="shared" si="4"/>
        <v>No Badges</v>
      </c>
      <c r="J7088" s="3">
        <f t="shared" si="5"/>
        <v>0</v>
      </c>
    </row>
    <row r="7089">
      <c r="A7089" s="1" t="s">
        <v>5404</v>
      </c>
      <c r="B7089" s="3" t="str">
        <f t="shared" si="1"/>
        <v>Unavailable</v>
      </c>
      <c r="C7089" s="3">
        <v>8.0</v>
      </c>
      <c r="D7089" s="3">
        <f>IFERROR(__xludf.DUMMYFUNCTION("IFERROR(
IF(REGEXMATCH(LOWER(O7089),""k""),
VALUE(REGEXEXTRACT(O7089,""[0-9]+""))*1000,
VALUE(REGEXEXTRACT(O7089,""[0-9]+""))
),
0
)"),0.0)</f>
        <v>0</v>
      </c>
      <c r="E7089" s="1" t="s">
        <v>11</v>
      </c>
      <c r="F7089" s="1" t="s">
        <v>12</v>
      </c>
      <c r="G7089" s="4" t="b">
        <f t="shared" si="2"/>
        <v>1</v>
      </c>
      <c r="H7089" s="1" t="str">
        <f t="shared" si="3"/>
        <v>Currently Unavailable</v>
      </c>
      <c r="I7089" s="1" t="str">
        <f t="shared" si="4"/>
        <v>No Badges</v>
      </c>
      <c r="J7089" s="3">
        <f t="shared" si="5"/>
        <v>0</v>
      </c>
    </row>
    <row r="7090">
      <c r="A7090" s="1" t="s">
        <v>5404</v>
      </c>
      <c r="B7090" s="3" t="str">
        <f t="shared" si="1"/>
        <v>Unavailable</v>
      </c>
      <c r="C7090" s="3">
        <v>8.0</v>
      </c>
      <c r="D7090" s="3">
        <f>IFERROR(__xludf.DUMMYFUNCTION("IFERROR(
IF(REGEXMATCH(LOWER(O7090),""k""),
VALUE(REGEXEXTRACT(O7090,""[0-9]+""))*1000,
VALUE(REGEXEXTRACT(O7090,""[0-9]+""))
),
0
)"),0.0)</f>
        <v>0</v>
      </c>
      <c r="E7090" s="1" t="s">
        <v>11</v>
      </c>
      <c r="F7090" s="1" t="s">
        <v>12</v>
      </c>
      <c r="G7090" s="4" t="b">
        <f t="shared" si="2"/>
        <v>1</v>
      </c>
      <c r="H7090" s="1" t="str">
        <f t="shared" si="3"/>
        <v>Currently Unavailable</v>
      </c>
      <c r="I7090" s="1" t="str">
        <f t="shared" si="4"/>
        <v>No Badges</v>
      </c>
      <c r="J7090" s="3">
        <f t="shared" si="5"/>
        <v>0</v>
      </c>
    </row>
    <row r="7091">
      <c r="A7091" s="1" t="s">
        <v>5404</v>
      </c>
      <c r="B7091" s="3" t="str">
        <f t="shared" si="1"/>
        <v>Unavailable</v>
      </c>
      <c r="C7091" s="3">
        <v>8.0</v>
      </c>
      <c r="D7091" s="3">
        <f>IFERROR(__xludf.DUMMYFUNCTION("IFERROR(
IF(REGEXMATCH(LOWER(O7091),""k""),
VALUE(REGEXEXTRACT(O7091,""[0-9]+""))*1000,
VALUE(REGEXEXTRACT(O7091,""[0-9]+""))
),
0
)"),0.0)</f>
        <v>0</v>
      </c>
      <c r="E7091" s="1" t="s">
        <v>11</v>
      </c>
      <c r="F7091" s="1" t="s">
        <v>12</v>
      </c>
      <c r="G7091" s="4" t="b">
        <f t="shared" si="2"/>
        <v>1</v>
      </c>
      <c r="H7091" s="1" t="str">
        <f t="shared" si="3"/>
        <v>Currently Unavailable</v>
      </c>
      <c r="I7091" s="1" t="str">
        <f t="shared" si="4"/>
        <v>No Badges</v>
      </c>
      <c r="J7091" s="3">
        <f t="shared" si="5"/>
        <v>0</v>
      </c>
    </row>
    <row r="7092">
      <c r="A7092" s="1" t="s">
        <v>5414</v>
      </c>
      <c r="B7092" s="3" t="str">
        <f t="shared" si="1"/>
        <v>Unavailable</v>
      </c>
      <c r="C7092" s="3">
        <v>313.0</v>
      </c>
      <c r="D7092" s="3">
        <f>IFERROR(__xludf.DUMMYFUNCTION("IFERROR(
IF(REGEXMATCH(LOWER(O7092),""k""),
VALUE(REGEXEXTRACT(O7092,""[0-9]+""))*1000,
VALUE(REGEXEXTRACT(O7092,""[0-9]+""))
),
0
)"),0.0)</f>
        <v>0</v>
      </c>
      <c r="E7092" s="1" t="s">
        <v>11</v>
      </c>
      <c r="F7092" s="1" t="s">
        <v>20</v>
      </c>
      <c r="G7092" s="4" t="b">
        <f t="shared" si="2"/>
        <v>1</v>
      </c>
      <c r="H7092" s="1" t="str">
        <f t="shared" si="3"/>
        <v>Currently Unavailable</v>
      </c>
      <c r="I7092" s="1" t="str">
        <f t="shared" si="4"/>
        <v>No Badges</v>
      </c>
      <c r="J7092" s="6">
        <f t="shared" si="5"/>
        <v>0</v>
      </c>
    </row>
    <row r="7093">
      <c r="A7093" s="1" t="s">
        <v>5415</v>
      </c>
      <c r="B7093" s="3" t="str">
        <f t="shared" si="1"/>
        <v>Unavailable</v>
      </c>
      <c r="C7093" s="3">
        <v>286.0</v>
      </c>
      <c r="D7093" s="3">
        <f>IFERROR(__xludf.DUMMYFUNCTION("IFERROR(
IF(REGEXMATCH(LOWER(O7093),""k""),
VALUE(REGEXEXTRACT(O7093,""[0-9]+""))*1000,
VALUE(REGEXEXTRACT(O7093,""[0-9]+""))
),
0
)"),0.0)</f>
        <v>0</v>
      </c>
      <c r="E7093" s="1" t="s">
        <v>11</v>
      </c>
      <c r="F7093" s="1" t="s">
        <v>20</v>
      </c>
      <c r="G7093" s="4" t="b">
        <f t="shared" si="2"/>
        <v>1</v>
      </c>
      <c r="H7093" s="1" t="str">
        <f t="shared" si="3"/>
        <v>Currently Unavailable</v>
      </c>
      <c r="I7093" s="1" t="str">
        <f t="shared" si="4"/>
        <v>No Badges</v>
      </c>
      <c r="J7093" s="6">
        <f t="shared" si="5"/>
        <v>0</v>
      </c>
    </row>
    <row r="7094">
      <c r="A7094" s="1" t="s">
        <v>67</v>
      </c>
      <c r="B7094" s="3" t="str">
        <f t="shared" si="1"/>
        <v>Unavailable</v>
      </c>
      <c r="C7094" s="3">
        <v>264.0</v>
      </c>
      <c r="D7094" s="3">
        <f>IFERROR(__xludf.DUMMYFUNCTION("IFERROR(
IF(REGEXMATCH(LOWER(O7094),""k""),
VALUE(REGEXEXTRACT(O7094,""[0-9]+""))*1000,
VALUE(REGEXEXTRACT(O7094,""[0-9]+""))
),
0
)"),0.0)</f>
        <v>0</v>
      </c>
      <c r="E7094" s="1" t="s">
        <v>11</v>
      </c>
      <c r="F7094" s="1" t="s">
        <v>12</v>
      </c>
      <c r="G7094" s="4" t="b">
        <f t="shared" si="2"/>
        <v>1</v>
      </c>
      <c r="H7094" s="1" t="str">
        <f t="shared" si="3"/>
        <v>Currently Unavailable</v>
      </c>
      <c r="I7094" s="1" t="str">
        <f t="shared" si="4"/>
        <v>No Badges</v>
      </c>
      <c r="J7094" s="3">
        <f t="shared" si="5"/>
        <v>0</v>
      </c>
    </row>
    <row r="7095">
      <c r="A7095" s="1" t="s">
        <v>5416</v>
      </c>
      <c r="B7095" s="3" t="str">
        <f t="shared" si="1"/>
        <v>Unavailable</v>
      </c>
      <c r="C7095" s="3">
        <v>48.0</v>
      </c>
      <c r="D7095" s="3">
        <f>IFERROR(__xludf.DUMMYFUNCTION("IFERROR(
IF(REGEXMATCH(LOWER(O7095),""k""),
VALUE(REGEXEXTRACT(O7095,""[0-9]+""))*1000,
VALUE(REGEXEXTRACT(O7095,""[0-9]+""))
),
0
)"),0.0)</f>
        <v>0</v>
      </c>
      <c r="E7095" s="1" t="s">
        <v>11</v>
      </c>
      <c r="F7095" s="1" t="s">
        <v>20</v>
      </c>
      <c r="G7095" s="4" t="b">
        <f t="shared" si="2"/>
        <v>1</v>
      </c>
      <c r="H7095" s="1" t="str">
        <f t="shared" si="3"/>
        <v>Currently Unavailable</v>
      </c>
      <c r="I7095" s="1" t="str">
        <f t="shared" si="4"/>
        <v>No Badges</v>
      </c>
      <c r="J7095" s="6">
        <f t="shared" si="5"/>
        <v>0</v>
      </c>
    </row>
    <row r="7096">
      <c r="A7096" s="1" t="s">
        <v>701</v>
      </c>
      <c r="B7096" s="3" t="str">
        <f t="shared" si="1"/>
        <v>Unavailable</v>
      </c>
      <c r="C7096" s="3">
        <v>8.0</v>
      </c>
      <c r="D7096" s="3">
        <f>IFERROR(__xludf.DUMMYFUNCTION("IFERROR(
IF(REGEXMATCH(LOWER(O7096),""k""),
VALUE(REGEXEXTRACT(O7096,""[0-9]+""))*1000,
VALUE(REGEXEXTRACT(O7096,""[0-9]+""))
),
0
)"),0.0)</f>
        <v>0</v>
      </c>
      <c r="E7096" s="1" t="s">
        <v>11</v>
      </c>
      <c r="F7096" s="1" t="s">
        <v>12</v>
      </c>
      <c r="G7096" s="4" t="b">
        <f t="shared" si="2"/>
        <v>1</v>
      </c>
      <c r="H7096" s="1" t="str">
        <f t="shared" si="3"/>
        <v>Currently Unavailable</v>
      </c>
      <c r="I7096" s="1" t="str">
        <f t="shared" si="4"/>
        <v>No Badges</v>
      </c>
      <c r="J7096" s="3">
        <f t="shared" si="5"/>
        <v>0</v>
      </c>
    </row>
    <row r="7097">
      <c r="A7097" s="1" t="s">
        <v>5417</v>
      </c>
      <c r="B7097" s="3" t="str">
        <f t="shared" si="1"/>
        <v>Unavailable</v>
      </c>
      <c r="C7097" s="3">
        <v>140.0</v>
      </c>
      <c r="D7097" s="3">
        <f>IFERROR(__xludf.DUMMYFUNCTION("IFERROR(
IF(REGEXMATCH(LOWER(O7097),""k""),
VALUE(REGEXEXTRACT(O7097,""[0-9]+""))*1000,
VALUE(REGEXEXTRACT(O7097,""[0-9]+""))
),
0
)"),0.0)</f>
        <v>0</v>
      </c>
      <c r="E7097" s="1" t="s">
        <v>11</v>
      </c>
      <c r="F7097" s="1" t="s">
        <v>20</v>
      </c>
      <c r="G7097" s="4" t="b">
        <f t="shared" si="2"/>
        <v>1</v>
      </c>
      <c r="H7097" s="1" t="str">
        <f t="shared" si="3"/>
        <v>Currently Unavailable</v>
      </c>
      <c r="I7097" s="1" t="str">
        <f t="shared" si="4"/>
        <v>No Badges</v>
      </c>
      <c r="J7097" s="6">
        <f t="shared" si="5"/>
        <v>0</v>
      </c>
    </row>
    <row r="7098">
      <c r="A7098" s="1" t="s">
        <v>5418</v>
      </c>
      <c r="B7098" s="3" t="str">
        <f t="shared" si="1"/>
        <v>Unavailable</v>
      </c>
      <c r="C7098" s="3">
        <v>17.0</v>
      </c>
      <c r="D7098" s="3">
        <f>IFERROR(__xludf.DUMMYFUNCTION("IFERROR(
IF(REGEXMATCH(LOWER(O7098),""k""),
VALUE(REGEXEXTRACT(O7098,""[0-9]+""))*1000,
VALUE(REGEXEXTRACT(O7098,""[0-9]+""))
),
0
)"),0.0)</f>
        <v>0</v>
      </c>
      <c r="E7098" s="1" t="s">
        <v>11</v>
      </c>
      <c r="F7098" s="1" t="s">
        <v>20</v>
      </c>
      <c r="G7098" s="4" t="b">
        <f t="shared" si="2"/>
        <v>1</v>
      </c>
      <c r="H7098" s="1" t="str">
        <f t="shared" si="3"/>
        <v>Currently Unavailable</v>
      </c>
      <c r="I7098" s="1" t="str">
        <f t="shared" si="4"/>
        <v>No Badges</v>
      </c>
      <c r="J7098" s="3">
        <f t="shared" si="5"/>
        <v>0</v>
      </c>
    </row>
    <row r="7099">
      <c r="A7099" s="1" t="s">
        <v>5419</v>
      </c>
      <c r="B7099" s="3" t="str">
        <f t="shared" si="1"/>
        <v>Unavailable</v>
      </c>
      <c r="C7099" s="3">
        <v>143.0</v>
      </c>
      <c r="D7099" s="3">
        <f>IFERROR(__xludf.DUMMYFUNCTION("IFERROR(
IF(REGEXMATCH(LOWER(O7099),""k""),
VALUE(REGEXEXTRACT(O7099,""[0-9]+""))*1000,
VALUE(REGEXEXTRACT(O7099,""[0-9]+""))
),
0
)"),0.0)</f>
        <v>0</v>
      </c>
      <c r="E7099" s="1" t="s">
        <v>11</v>
      </c>
      <c r="F7099" s="1" t="s">
        <v>20</v>
      </c>
      <c r="G7099" s="4" t="b">
        <f t="shared" si="2"/>
        <v>1</v>
      </c>
      <c r="H7099" s="1" t="str">
        <f t="shared" si="3"/>
        <v>Currently Unavailable</v>
      </c>
      <c r="I7099" s="1" t="str">
        <f t="shared" si="4"/>
        <v>No Badges</v>
      </c>
      <c r="J7099" s="3">
        <f t="shared" si="5"/>
        <v>0</v>
      </c>
    </row>
    <row r="7100">
      <c r="A7100" s="1" t="s">
        <v>5420</v>
      </c>
      <c r="B7100" s="3" t="str">
        <f t="shared" si="1"/>
        <v>Unavailable</v>
      </c>
      <c r="C7100" s="3">
        <v>3.0</v>
      </c>
      <c r="D7100" s="3">
        <f>IFERROR(__xludf.DUMMYFUNCTION("IFERROR(
IF(REGEXMATCH(LOWER(O7100),""k""),
VALUE(REGEXEXTRACT(O7100,""[0-9]+""))*1000,
VALUE(REGEXEXTRACT(O7100,""[0-9]+""))
),
0
)"),0.0)</f>
        <v>0</v>
      </c>
      <c r="E7100" s="1" t="s">
        <v>11</v>
      </c>
      <c r="F7100" s="1" t="s">
        <v>20</v>
      </c>
      <c r="G7100" s="4" t="b">
        <f t="shared" si="2"/>
        <v>1</v>
      </c>
      <c r="H7100" s="1" t="str">
        <f t="shared" si="3"/>
        <v>Currently Unavailable</v>
      </c>
      <c r="I7100" s="1" t="str">
        <f t="shared" si="4"/>
        <v>No Badges</v>
      </c>
      <c r="J7100" s="3">
        <f t="shared" si="5"/>
        <v>0</v>
      </c>
    </row>
    <row r="7101">
      <c r="A7101" s="1" t="s">
        <v>5421</v>
      </c>
      <c r="B7101" s="1" t="str">
        <f t="shared" si="1"/>
        <v>Unavailable</v>
      </c>
      <c r="C7101" s="1"/>
      <c r="D7101" s="3">
        <f>IFERROR(__xludf.DUMMYFUNCTION("IFERROR(
IF(REGEXMATCH(LOWER(O7101),""k""),
VALUE(REGEXEXTRACT(O7101,""[0-9]+""))*1000,
VALUE(REGEXEXTRACT(O7101,""[0-9]+""))
),
0
)"),0.0)</f>
        <v>0</v>
      </c>
      <c r="E7101" s="1" t="s">
        <v>11</v>
      </c>
      <c r="F7101" s="1" t="s">
        <v>20</v>
      </c>
      <c r="G7101" s="4" t="b">
        <f t="shared" si="2"/>
        <v>1</v>
      </c>
      <c r="H7101" s="1" t="str">
        <f t="shared" si="3"/>
        <v>Currently Unavailable</v>
      </c>
      <c r="I7101" s="1" t="str">
        <f t="shared" si="4"/>
        <v>No Badges</v>
      </c>
      <c r="J7101" s="3">
        <f t="shared" si="5"/>
        <v>0</v>
      </c>
    </row>
    <row r="7102">
      <c r="A7102" s="1" t="s">
        <v>5422</v>
      </c>
      <c r="B7102" s="3" t="str">
        <f t="shared" si="1"/>
        <v>Unavailable</v>
      </c>
      <c r="C7102" s="3">
        <v>86.0</v>
      </c>
      <c r="D7102" s="3">
        <f>IFERROR(__xludf.DUMMYFUNCTION("IFERROR(
IF(REGEXMATCH(LOWER(O7102),""k""),
VALUE(REGEXEXTRACT(O7102,""[0-9]+""))*1000,
VALUE(REGEXEXTRACT(O7102,""[0-9]+""))
),
0
)"),0.0)</f>
        <v>0</v>
      </c>
      <c r="E7102" s="1" t="s">
        <v>11</v>
      </c>
      <c r="F7102" s="1" t="s">
        <v>12</v>
      </c>
      <c r="G7102" s="4" t="b">
        <f t="shared" si="2"/>
        <v>1</v>
      </c>
      <c r="H7102" s="1" t="str">
        <f t="shared" si="3"/>
        <v>Currently Unavailable</v>
      </c>
      <c r="I7102" s="1" t="str">
        <f t="shared" si="4"/>
        <v>No Badges</v>
      </c>
      <c r="J7102" s="3">
        <f t="shared" si="5"/>
        <v>0</v>
      </c>
    </row>
    <row r="7103">
      <c r="A7103" s="1" t="s">
        <v>5423</v>
      </c>
      <c r="B7103" s="3" t="str">
        <f t="shared" si="1"/>
        <v>Unavailable</v>
      </c>
      <c r="C7103" s="3">
        <v>62.0</v>
      </c>
      <c r="D7103" s="3">
        <f>IFERROR(__xludf.DUMMYFUNCTION("IFERROR(
IF(REGEXMATCH(LOWER(O7103),""k""),
VALUE(REGEXEXTRACT(O7103,""[0-9]+""))*1000,
VALUE(REGEXEXTRACT(O7103,""[0-9]+""))
),
0
)"),0.0)</f>
        <v>0</v>
      </c>
      <c r="E7103" s="1" t="s">
        <v>11</v>
      </c>
      <c r="F7103" s="1" t="s">
        <v>20</v>
      </c>
      <c r="G7103" s="4" t="b">
        <f t="shared" si="2"/>
        <v>1</v>
      </c>
      <c r="H7103" s="1" t="str">
        <f t="shared" si="3"/>
        <v>Currently Unavailable</v>
      </c>
      <c r="I7103" s="1" t="str">
        <f t="shared" si="4"/>
        <v>No Badges</v>
      </c>
      <c r="J7103" s="6">
        <f t="shared" si="5"/>
        <v>0</v>
      </c>
    </row>
    <row r="7104">
      <c r="A7104" s="1" t="s">
        <v>5424</v>
      </c>
      <c r="B7104" s="3" t="str">
        <f t="shared" si="1"/>
        <v>Unavailable</v>
      </c>
      <c r="C7104" s="3">
        <v>385.0</v>
      </c>
      <c r="D7104" s="3">
        <f>IFERROR(__xludf.DUMMYFUNCTION("IFERROR(
IF(REGEXMATCH(LOWER(O7104),""k""),
VALUE(REGEXEXTRACT(O7104,""[0-9]+""))*1000,
VALUE(REGEXEXTRACT(O7104,""[0-9]+""))
),
0
)"),0.0)</f>
        <v>0</v>
      </c>
      <c r="E7104" s="1" t="s">
        <v>11</v>
      </c>
      <c r="F7104" s="1" t="s">
        <v>20</v>
      </c>
      <c r="G7104" s="4" t="b">
        <f t="shared" si="2"/>
        <v>1</v>
      </c>
      <c r="H7104" s="1" t="str">
        <f t="shared" si="3"/>
        <v>Currently Unavailable</v>
      </c>
      <c r="I7104" s="1" t="str">
        <f t="shared" si="4"/>
        <v>No Badges</v>
      </c>
      <c r="J7104" s="3">
        <f t="shared" si="5"/>
        <v>0</v>
      </c>
    </row>
    <row r="7105">
      <c r="A7105" s="1" t="s">
        <v>5397</v>
      </c>
      <c r="B7105" s="3" t="str">
        <f t="shared" si="1"/>
        <v>Unavailable</v>
      </c>
      <c r="C7105" s="5">
        <v>1465.0</v>
      </c>
      <c r="D7105" s="3">
        <f>IFERROR(__xludf.DUMMYFUNCTION("IFERROR(
IF(REGEXMATCH(LOWER(O7105),""k""),
VALUE(REGEXEXTRACT(O7105,""[0-9]+""))*1000,
VALUE(REGEXEXTRACT(O7105,""[0-9]+""))
),
0
)"),0.0)</f>
        <v>0</v>
      </c>
      <c r="E7105" s="1" t="s">
        <v>11</v>
      </c>
      <c r="F7105" s="1" t="s">
        <v>12</v>
      </c>
      <c r="G7105" s="4" t="b">
        <f t="shared" si="2"/>
        <v>1</v>
      </c>
      <c r="H7105" s="1" t="str">
        <f t="shared" si="3"/>
        <v>Currently Unavailable</v>
      </c>
      <c r="I7105" s="1" t="str">
        <f t="shared" si="4"/>
        <v>No Badges</v>
      </c>
      <c r="J7105" s="3">
        <f t="shared" si="5"/>
        <v>0</v>
      </c>
    </row>
    <row r="7106">
      <c r="A7106" s="1" t="s">
        <v>5425</v>
      </c>
      <c r="B7106" s="3" t="str">
        <f t="shared" si="1"/>
        <v>Unavailable</v>
      </c>
      <c r="C7106" s="3">
        <v>191.0</v>
      </c>
      <c r="D7106" s="3">
        <f>IFERROR(__xludf.DUMMYFUNCTION("IFERROR(
IF(REGEXMATCH(LOWER(O7106),""k""),
VALUE(REGEXEXTRACT(O7106,""[0-9]+""))*1000,
VALUE(REGEXEXTRACT(O7106,""[0-9]+""))
),
0
)"),0.0)</f>
        <v>0</v>
      </c>
      <c r="E7106" s="1" t="s">
        <v>11</v>
      </c>
      <c r="F7106" s="1" t="s">
        <v>20</v>
      </c>
      <c r="G7106" s="4" t="b">
        <f t="shared" si="2"/>
        <v>1</v>
      </c>
      <c r="H7106" s="1" t="str">
        <f t="shared" si="3"/>
        <v>Currently Unavailable</v>
      </c>
      <c r="I7106" s="1" t="str">
        <f t="shared" si="4"/>
        <v>No Badges</v>
      </c>
      <c r="J7106" s="6">
        <f t="shared" si="5"/>
        <v>0</v>
      </c>
    </row>
    <row r="7107">
      <c r="A7107" s="1" t="s">
        <v>5426</v>
      </c>
      <c r="B7107" s="3" t="str">
        <f t="shared" si="1"/>
        <v>Unavailable</v>
      </c>
      <c r="C7107" s="3">
        <v>741.0</v>
      </c>
      <c r="D7107" s="3">
        <f>IFERROR(__xludf.DUMMYFUNCTION("IFERROR(
IF(REGEXMATCH(LOWER(O7107),""k""),
VALUE(REGEXEXTRACT(O7107,""[0-9]+""))*1000,
VALUE(REGEXEXTRACT(O7107,""[0-9]+""))
),
0
)"),0.0)</f>
        <v>0</v>
      </c>
      <c r="E7107" s="1" t="s">
        <v>11</v>
      </c>
      <c r="F7107" s="1" t="s">
        <v>20</v>
      </c>
      <c r="G7107" s="4" t="b">
        <f t="shared" si="2"/>
        <v>1</v>
      </c>
      <c r="H7107" s="1" t="str">
        <f t="shared" si="3"/>
        <v>Currently Unavailable</v>
      </c>
      <c r="I7107" s="1" t="str">
        <f t="shared" si="4"/>
        <v>No Badges</v>
      </c>
      <c r="J7107" s="6">
        <f t="shared" si="5"/>
        <v>0</v>
      </c>
    </row>
    <row r="7108">
      <c r="A7108" s="1" t="s">
        <v>5427</v>
      </c>
      <c r="B7108" s="3" t="str">
        <f t="shared" si="1"/>
        <v>Unavailable</v>
      </c>
      <c r="C7108" s="3">
        <v>355.0</v>
      </c>
      <c r="D7108" s="3">
        <f>IFERROR(__xludf.DUMMYFUNCTION("IFERROR(
IF(REGEXMATCH(LOWER(O7108),""k""),
VALUE(REGEXEXTRACT(O7108,""[0-9]+""))*1000,
VALUE(REGEXEXTRACT(O7108,""[0-9]+""))
),
0
)"),0.0)</f>
        <v>0</v>
      </c>
      <c r="E7108" s="1" t="s">
        <v>11</v>
      </c>
      <c r="F7108" s="1" t="s">
        <v>20</v>
      </c>
      <c r="G7108" s="4" t="b">
        <f t="shared" si="2"/>
        <v>1</v>
      </c>
      <c r="H7108" s="1" t="str">
        <f t="shared" si="3"/>
        <v>Currently Unavailable</v>
      </c>
      <c r="I7108" s="1" t="str">
        <f t="shared" si="4"/>
        <v>No Badges</v>
      </c>
      <c r="J7108" s="3">
        <f t="shared" si="5"/>
        <v>0</v>
      </c>
    </row>
    <row r="7109">
      <c r="A7109" s="1" t="s">
        <v>604</v>
      </c>
      <c r="B7109" s="3" t="str">
        <f t="shared" si="1"/>
        <v>Unavailable</v>
      </c>
      <c r="C7109" s="3">
        <v>30.0</v>
      </c>
      <c r="D7109" s="3">
        <f>IFERROR(__xludf.DUMMYFUNCTION("IFERROR(
IF(REGEXMATCH(LOWER(O7109),""k""),
VALUE(REGEXEXTRACT(O7109,""[0-9]+""))*1000,
VALUE(REGEXEXTRACT(O7109,""[0-9]+""))
),
0
)"),0.0)</f>
        <v>0</v>
      </c>
      <c r="E7109" s="1" t="s">
        <v>11</v>
      </c>
      <c r="F7109" s="1" t="s">
        <v>12</v>
      </c>
      <c r="G7109" s="4" t="b">
        <f t="shared" si="2"/>
        <v>1</v>
      </c>
      <c r="H7109" s="1" t="str">
        <f t="shared" si="3"/>
        <v>Currently Unavailable</v>
      </c>
      <c r="I7109" s="1" t="str">
        <f t="shared" si="4"/>
        <v>No Badges</v>
      </c>
      <c r="J7109" s="3">
        <f t="shared" si="5"/>
        <v>0</v>
      </c>
    </row>
    <row r="7110">
      <c r="A7110" s="1" t="s">
        <v>5428</v>
      </c>
      <c r="B7110" s="3" t="str">
        <f t="shared" si="1"/>
        <v>Unavailable</v>
      </c>
      <c r="C7110" s="3">
        <v>452.0</v>
      </c>
      <c r="D7110" s="3">
        <f>IFERROR(__xludf.DUMMYFUNCTION("IFERROR(
IF(REGEXMATCH(LOWER(O7110),""k""),
VALUE(REGEXEXTRACT(O7110,""[0-9]+""))*1000,
VALUE(REGEXEXTRACT(O7110,""[0-9]+""))
),
0
)"),0.0)</f>
        <v>0</v>
      </c>
      <c r="E7110" s="1" t="s">
        <v>11</v>
      </c>
      <c r="F7110" s="1" t="s">
        <v>20</v>
      </c>
      <c r="G7110" s="4" t="b">
        <f t="shared" si="2"/>
        <v>1</v>
      </c>
      <c r="H7110" s="1" t="str">
        <f t="shared" si="3"/>
        <v>Currently Unavailable</v>
      </c>
      <c r="I7110" s="1" t="str">
        <f t="shared" si="4"/>
        <v>No Badges</v>
      </c>
      <c r="J7110" s="6">
        <f t="shared" si="5"/>
        <v>0</v>
      </c>
    </row>
    <row r="7111">
      <c r="A7111" s="1" t="s">
        <v>88</v>
      </c>
      <c r="B7111" s="3" t="str">
        <f t="shared" si="1"/>
        <v>Unavailable</v>
      </c>
      <c r="C7111" s="3">
        <v>5.0</v>
      </c>
      <c r="D7111" s="3">
        <f>IFERROR(__xludf.DUMMYFUNCTION("IFERROR(
IF(REGEXMATCH(LOWER(O7111),""k""),
VALUE(REGEXEXTRACT(O7111,""[0-9]+""))*1000,
VALUE(REGEXEXTRACT(O7111,""[0-9]+""))
),
0
)"),0.0)</f>
        <v>0</v>
      </c>
      <c r="E7111" s="1" t="s">
        <v>11</v>
      </c>
      <c r="F7111" s="1" t="s">
        <v>12</v>
      </c>
      <c r="G7111" s="4" t="b">
        <f t="shared" si="2"/>
        <v>1</v>
      </c>
      <c r="H7111" s="1" t="str">
        <f t="shared" si="3"/>
        <v>Currently Unavailable</v>
      </c>
      <c r="I7111" s="1" t="str">
        <f t="shared" si="4"/>
        <v>No Badges</v>
      </c>
      <c r="J7111" s="3">
        <f t="shared" si="5"/>
        <v>0</v>
      </c>
    </row>
    <row r="7112">
      <c r="A7112" s="1" t="s">
        <v>5397</v>
      </c>
      <c r="B7112" s="3" t="str">
        <f t="shared" si="1"/>
        <v>Unavailable</v>
      </c>
      <c r="C7112" s="5">
        <v>1465.0</v>
      </c>
      <c r="D7112" s="3">
        <f>IFERROR(__xludf.DUMMYFUNCTION("IFERROR(
IF(REGEXMATCH(LOWER(O7112),""k""),
VALUE(REGEXEXTRACT(O7112,""[0-9]+""))*1000,
VALUE(REGEXEXTRACT(O7112,""[0-9]+""))
),
0
)"),0.0)</f>
        <v>0</v>
      </c>
      <c r="E7112" s="1" t="s">
        <v>11</v>
      </c>
      <c r="F7112" s="1" t="s">
        <v>12</v>
      </c>
      <c r="G7112" s="4" t="b">
        <f t="shared" si="2"/>
        <v>1</v>
      </c>
      <c r="H7112" s="1" t="str">
        <f t="shared" si="3"/>
        <v>Currently Unavailable</v>
      </c>
      <c r="I7112" s="1" t="str">
        <f t="shared" si="4"/>
        <v>No Badges</v>
      </c>
      <c r="J7112" s="3">
        <f t="shared" si="5"/>
        <v>0</v>
      </c>
    </row>
    <row r="7113">
      <c r="A7113" s="1" t="s">
        <v>5429</v>
      </c>
      <c r="B7113" s="3" t="str">
        <f t="shared" si="1"/>
        <v>Unavailable</v>
      </c>
      <c r="C7113" s="3">
        <v>87.0</v>
      </c>
      <c r="D7113" s="3">
        <f>IFERROR(__xludf.DUMMYFUNCTION("IFERROR(
IF(REGEXMATCH(LOWER(O7113),""k""),
VALUE(REGEXEXTRACT(O7113,""[0-9]+""))*1000,
VALUE(REGEXEXTRACT(O7113,""[0-9]+""))
),
0
)"),0.0)</f>
        <v>0</v>
      </c>
      <c r="E7113" s="1" t="s">
        <v>11</v>
      </c>
      <c r="F7113" s="1" t="s">
        <v>20</v>
      </c>
      <c r="G7113" s="4" t="b">
        <f t="shared" si="2"/>
        <v>1</v>
      </c>
      <c r="H7113" s="1" t="str">
        <f t="shared" si="3"/>
        <v>Currently Unavailable</v>
      </c>
      <c r="I7113" s="1" t="str">
        <f t="shared" si="4"/>
        <v>No Badges</v>
      </c>
      <c r="J7113" s="6">
        <f t="shared" si="5"/>
        <v>0</v>
      </c>
    </row>
    <row r="7114">
      <c r="A7114" s="1" t="s">
        <v>69</v>
      </c>
      <c r="B7114" s="3" t="str">
        <f t="shared" si="1"/>
        <v>Unavailable</v>
      </c>
      <c r="C7114" s="3">
        <v>45.0</v>
      </c>
      <c r="D7114" s="3">
        <f>IFERROR(__xludf.DUMMYFUNCTION("IFERROR(
IF(REGEXMATCH(LOWER(O7114),""k""),
VALUE(REGEXEXTRACT(O7114,""[0-9]+""))*1000,
VALUE(REGEXEXTRACT(O7114,""[0-9]+""))
),
0
)"),0.0)</f>
        <v>0</v>
      </c>
      <c r="E7114" s="1" t="s">
        <v>11</v>
      </c>
      <c r="F7114" s="1" t="s">
        <v>12</v>
      </c>
      <c r="G7114" s="4" t="b">
        <f t="shared" si="2"/>
        <v>1</v>
      </c>
      <c r="H7114" s="1" t="str">
        <f t="shared" si="3"/>
        <v>Currently Unavailable</v>
      </c>
      <c r="I7114" s="1" t="str">
        <f t="shared" si="4"/>
        <v>No Badges</v>
      </c>
      <c r="J7114" s="3">
        <f t="shared" si="5"/>
        <v>0</v>
      </c>
    </row>
    <row r="7115">
      <c r="A7115" s="1" t="s">
        <v>5430</v>
      </c>
      <c r="B7115" s="3" t="str">
        <f t="shared" si="1"/>
        <v>Unavailable</v>
      </c>
      <c r="C7115" s="3">
        <v>26.0</v>
      </c>
      <c r="D7115" s="3">
        <f>IFERROR(__xludf.DUMMYFUNCTION("IFERROR(
IF(REGEXMATCH(LOWER(O7115),""k""),
VALUE(REGEXEXTRACT(O7115,""[0-9]+""))*1000,
VALUE(REGEXEXTRACT(O7115,""[0-9]+""))
),
0
)"),0.0)</f>
        <v>0</v>
      </c>
      <c r="E7115" s="1" t="s">
        <v>11</v>
      </c>
      <c r="F7115" s="1" t="s">
        <v>20</v>
      </c>
      <c r="G7115" s="4" t="b">
        <f t="shared" si="2"/>
        <v>1</v>
      </c>
      <c r="H7115" s="1" t="str">
        <f t="shared" si="3"/>
        <v>Currently Unavailable</v>
      </c>
      <c r="I7115" s="1" t="str">
        <f t="shared" si="4"/>
        <v>No Badges</v>
      </c>
      <c r="J7115" s="3">
        <f t="shared" si="5"/>
        <v>0</v>
      </c>
    </row>
    <row r="7116">
      <c r="A7116" s="1" t="s">
        <v>5431</v>
      </c>
      <c r="B7116" s="3" t="str">
        <f t="shared" si="1"/>
        <v>Unavailable</v>
      </c>
      <c r="C7116" s="3">
        <v>78.0</v>
      </c>
      <c r="D7116" s="3">
        <f>IFERROR(__xludf.DUMMYFUNCTION("IFERROR(
IF(REGEXMATCH(LOWER(O7116),""k""),
VALUE(REGEXEXTRACT(O7116,""[0-9]+""))*1000,
VALUE(REGEXEXTRACT(O7116,""[0-9]+""))
),
0
)"),0.0)</f>
        <v>0</v>
      </c>
      <c r="E7116" s="1" t="s">
        <v>11</v>
      </c>
      <c r="F7116" s="1" t="s">
        <v>20</v>
      </c>
      <c r="G7116" s="4" t="b">
        <f t="shared" si="2"/>
        <v>1</v>
      </c>
      <c r="H7116" s="1" t="str">
        <f t="shared" si="3"/>
        <v>Currently Unavailable</v>
      </c>
      <c r="I7116" s="1" t="str">
        <f t="shared" si="4"/>
        <v>No Badges</v>
      </c>
      <c r="J7116" s="3">
        <f t="shared" si="5"/>
        <v>0</v>
      </c>
    </row>
    <row r="7117">
      <c r="A7117" s="1" t="s">
        <v>5432</v>
      </c>
      <c r="B7117" s="3" t="str">
        <f t="shared" si="1"/>
        <v>Unavailable</v>
      </c>
      <c r="C7117" s="3">
        <v>22.0</v>
      </c>
      <c r="D7117" s="3">
        <f>IFERROR(__xludf.DUMMYFUNCTION("IFERROR(
IF(REGEXMATCH(LOWER(O7117),""k""),
VALUE(REGEXEXTRACT(O7117,""[0-9]+""))*1000,
VALUE(REGEXEXTRACT(O7117,""[0-9]+""))
),
0
)"),0.0)</f>
        <v>0</v>
      </c>
      <c r="E7117" s="1" t="s">
        <v>11</v>
      </c>
      <c r="F7117" s="1" t="s">
        <v>20</v>
      </c>
      <c r="G7117" s="4" t="b">
        <f t="shared" si="2"/>
        <v>1</v>
      </c>
      <c r="H7117" s="1" t="str">
        <f t="shared" si="3"/>
        <v>Currently Unavailable</v>
      </c>
      <c r="I7117" s="1" t="str">
        <f t="shared" si="4"/>
        <v>No Badges</v>
      </c>
      <c r="J7117" s="3">
        <f t="shared" si="5"/>
        <v>0</v>
      </c>
    </row>
    <row r="7118">
      <c r="A7118" s="1" t="s">
        <v>5433</v>
      </c>
      <c r="B7118" s="3" t="str">
        <f t="shared" si="1"/>
        <v>Unavailable</v>
      </c>
      <c r="C7118" s="3">
        <v>28.0</v>
      </c>
      <c r="D7118" s="3">
        <f>IFERROR(__xludf.DUMMYFUNCTION("IFERROR(
IF(REGEXMATCH(LOWER(O7118),""k""),
VALUE(REGEXEXTRACT(O7118,""[0-9]+""))*1000,
VALUE(REGEXEXTRACT(O7118,""[0-9]+""))
),
0
)"),0.0)</f>
        <v>0</v>
      </c>
      <c r="E7118" s="1" t="s">
        <v>11</v>
      </c>
      <c r="F7118" s="1" t="s">
        <v>20</v>
      </c>
      <c r="G7118" s="4" t="b">
        <f t="shared" si="2"/>
        <v>1</v>
      </c>
      <c r="H7118" s="1" t="str">
        <f t="shared" si="3"/>
        <v>Currently Unavailable</v>
      </c>
      <c r="I7118" s="1" t="str">
        <f t="shared" si="4"/>
        <v>No Badges</v>
      </c>
      <c r="J7118" s="6">
        <f t="shared" si="5"/>
        <v>0</v>
      </c>
    </row>
    <row r="7119">
      <c r="A7119" s="1" t="s">
        <v>5434</v>
      </c>
      <c r="B7119" s="3" t="str">
        <f t="shared" si="1"/>
        <v>Unavailable</v>
      </c>
      <c r="C7119" s="3">
        <v>2.0</v>
      </c>
      <c r="D7119" s="3">
        <f>IFERROR(__xludf.DUMMYFUNCTION("IFERROR(
IF(REGEXMATCH(LOWER(O7119),""k""),
VALUE(REGEXEXTRACT(O7119,""[0-9]+""))*1000,
VALUE(REGEXEXTRACT(O7119,""[0-9]+""))
),
0
)"),0.0)</f>
        <v>0</v>
      </c>
      <c r="E7119" s="1" t="s">
        <v>11</v>
      </c>
      <c r="F7119" s="1" t="s">
        <v>20</v>
      </c>
      <c r="G7119" s="4" t="b">
        <f t="shared" si="2"/>
        <v>1</v>
      </c>
      <c r="H7119" s="1" t="str">
        <f t="shared" si="3"/>
        <v>Currently Unavailable</v>
      </c>
      <c r="I7119" s="1" t="str">
        <f t="shared" si="4"/>
        <v>No Badges</v>
      </c>
      <c r="J7119" s="3">
        <f t="shared" si="5"/>
        <v>0</v>
      </c>
    </row>
    <row r="7120">
      <c r="A7120" s="1" t="s">
        <v>5435</v>
      </c>
      <c r="B7120" s="3" t="str">
        <f t="shared" si="1"/>
        <v>Unavailable</v>
      </c>
      <c r="C7120" s="5">
        <v>1030.0</v>
      </c>
      <c r="D7120" s="3">
        <f>IFERROR(__xludf.DUMMYFUNCTION("IFERROR(
IF(REGEXMATCH(LOWER(O7120),""k""),
VALUE(REGEXEXTRACT(O7120,""[0-9]+""))*1000,
VALUE(REGEXEXTRACT(O7120,""[0-9]+""))
),
0
)"),0.0)</f>
        <v>0</v>
      </c>
      <c r="E7120" s="1" t="s">
        <v>11</v>
      </c>
      <c r="F7120" s="1" t="s">
        <v>20</v>
      </c>
      <c r="G7120" s="4" t="b">
        <f t="shared" si="2"/>
        <v>1</v>
      </c>
      <c r="H7120" s="1" t="str">
        <f t="shared" si="3"/>
        <v>Currently Unavailable</v>
      </c>
      <c r="I7120" s="1" t="str">
        <f t="shared" si="4"/>
        <v>No Badges</v>
      </c>
      <c r="J7120" s="3">
        <f t="shared" si="5"/>
        <v>0</v>
      </c>
    </row>
    <row r="7121">
      <c r="A7121" s="1" t="s">
        <v>5436</v>
      </c>
      <c r="B7121" s="3" t="str">
        <f t="shared" si="1"/>
        <v>Unavailable</v>
      </c>
      <c r="C7121" s="3">
        <v>131.0</v>
      </c>
      <c r="D7121" s="3">
        <f>IFERROR(__xludf.DUMMYFUNCTION("IFERROR(
IF(REGEXMATCH(LOWER(O7121),""k""),
VALUE(REGEXEXTRACT(O7121,""[0-9]+""))*1000,
VALUE(REGEXEXTRACT(O7121,""[0-9]+""))
),
0
)"),0.0)</f>
        <v>0</v>
      </c>
      <c r="E7121" s="1" t="s">
        <v>11</v>
      </c>
      <c r="F7121" s="1" t="s">
        <v>20</v>
      </c>
      <c r="G7121" s="4" t="b">
        <f t="shared" si="2"/>
        <v>1</v>
      </c>
      <c r="H7121" s="1" t="str">
        <f t="shared" si="3"/>
        <v>Currently Unavailable</v>
      </c>
      <c r="I7121" s="1" t="str">
        <f t="shared" si="4"/>
        <v>No Badges</v>
      </c>
      <c r="J7121" s="3">
        <f t="shared" si="5"/>
        <v>0</v>
      </c>
    </row>
    <row r="7122">
      <c r="A7122" s="1" t="s">
        <v>5437</v>
      </c>
      <c r="B7122" s="3" t="str">
        <f t="shared" si="1"/>
        <v>Unavailable</v>
      </c>
      <c r="C7122" s="3">
        <v>118.0</v>
      </c>
      <c r="D7122" s="3">
        <f>IFERROR(__xludf.DUMMYFUNCTION("IFERROR(
IF(REGEXMATCH(LOWER(O7122),""k""),
VALUE(REGEXEXTRACT(O7122,""[0-9]+""))*1000,
VALUE(REGEXEXTRACT(O7122,""[0-9]+""))
),
0
)"),0.0)</f>
        <v>0</v>
      </c>
      <c r="E7122" s="1" t="s">
        <v>11</v>
      </c>
      <c r="F7122" s="1" t="s">
        <v>20</v>
      </c>
      <c r="G7122" s="4" t="b">
        <f t="shared" si="2"/>
        <v>1</v>
      </c>
      <c r="H7122" s="1" t="str">
        <f t="shared" si="3"/>
        <v>Currently Unavailable</v>
      </c>
      <c r="I7122" s="1" t="str">
        <f t="shared" si="4"/>
        <v>No Badges</v>
      </c>
      <c r="J7122" s="3">
        <f t="shared" si="5"/>
        <v>0</v>
      </c>
    </row>
    <row r="7123">
      <c r="A7123" s="1" t="s">
        <v>5438</v>
      </c>
      <c r="B7123" s="3" t="str">
        <f t="shared" si="1"/>
        <v>Unavailable</v>
      </c>
      <c r="C7123" s="3">
        <v>48.0</v>
      </c>
      <c r="D7123" s="3">
        <f>IFERROR(__xludf.DUMMYFUNCTION("IFERROR(
IF(REGEXMATCH(LOWER(O7123),""k""),
VALUE(REGEXEXTRACT(O7123,""[0-9]+""))*1000,
VALUE(REGEXEXTRACT(O7123,""[0-9]+""))
),
0
)"),0.0)</f>
        <v>0</v>
      </c>
      <c r="E7123" s="1" t="s">
        <v>11</v>
      </c>
      <c r="F7123" s="1" t="s">
        <v>20</v>
      </c>
      <c r="G7123" s="4" t="b">
        <f t="shared" si="2"/>
        <v>1</v>
      </c>
      <c r="H7123" s="1" t="str">
        <f t="shared" si="3"/>
        <v>Currently Unavailable</v>
      </c>
      <c r="I7123" s="1" t="str">
        <f t="shared" si="4"/>
        <v>No Badges</v>
      </c>
      <c r="J7123" s="6">
        <f t="shared" si="5"/>
        <v>0</v>
      </c>
    </row>
    <row r="7124">
      <c r="A7124" s="1" t="s">
        <v>5439</v>
      </c>
      <c r="B7124" s="3" t="str">
        <f t="shared" si="1"/>
        <v>Unavailable</v>
      </c>
      <c r="C7124" s="5">
        <v>1799.0</v>
      </c>
      <c r="D7124" s="3">
        <f>IFERROR(__xludf.DUMMYFUNCTION("IFERROR(
IF(REGEXMATCH(LOWER(O7124),""k""),
VALUE(REGEXEXTRACT(O7124,""[0-9]+""))*1000,
VALUE(REGEXEXTRACT(O7124,""[0-9]+""))
),
0
)"),0.0)</f>
        <v>0</v>
      </c>
      <c r="E7124" s="1" t="s">
        <v>11</v>
      </c>
      <c r="F7124" s="1" t="s">
        <v>20</v>
      </c>
      <c r="G7124" s="4" t="b">
        <f t="shared" si="2"/>
        <v>1</v>
      </c>
      <c r="H7124" s="1" t="str">
        <f t="shared" si="3"/>
        <v>Currently Unavailable</v>
      </c>
      <c r="I7124" s="1" t="str">
        <f t="shared" si="4"/>
        <v>No Badges</v>
      </c>
      <c r="J7124" s="3">
        <f t="shared" si="5"/>
        <v>0</v>
      </c>
    </row>
    <row r="7125">
      <c r="A7125" s="1" t="s">
        <v>5440</v>
      </c>
      <c r="B7125" s="3" t="str">
        <f t="shared" si="1"/>
        <v>Unavailable</v>
      </c>
      <c r="C7125" s="3">
        <v>793.0</v>
      </c>
      <c r="D7125" s="3">
        <f>IFERROR(__xludf.DUMMYFUNCTION("IFERROR(
IF(REGEXMATCH(LOWER(O7125),""k""),
VALUE(REGEXEXTRACT(O7125,""[0-9]+""))*1000,
VALUE(REGEXEXTRACT(O7125,""[0-9]+""))
),
0
)"),0.0)</f>
        <v>0</v>
      </c>
      <c r="E7125" s="1" t="s">
        <v>11</v>
      </c>
      <c r="F7125" s="1" t="s">
        <v>20</v>
      </c>
      <c r="G7125" s="4" t="b">
        <f t="shared" si="2"/>
        <v>1</v>
      </c>
      <c r="H7125" s="1" t="str">
        <f t="shared" si="3"/>
        <v>Currently Unavailable</v>
      </c>
      <c r="I7125" s="1" t="str">
        <f t="shared" si="4"/>
        <v>No Badges</v>
      </c>
      <c r="J7125" s="3">
        <f t="shared" si="5"/>
        <v>0</v>
      </c>
    </row>
    <row r="7126">
      <c r="A7126" s="1" t="s">
        <v>5441</v>
      </c>
      <c r="B7126" s="3" t="str">
        <f t="shared" si="1"/>
        <v>Unavailable</v>
      </c>
      <c r="C7126" s="3">
        <v>51.0</v>
      </c>
      <c r="D7126" s="3">
        <f>IFERROR(__xludf.DUMMYFUNCTION("IFERROR(
IF(REGEXMATCH(LOWER(O7126),""k""),
VALUE(REGEXEXTRACT(O7126,""[0-9]+""))*1000,
VALUE(REGEXEXTRACT(O7126,""[0-9]+""))
),
0
)"),0.0)</f>
        <v>0</v>
      </c>
      <c r="E7126" s="1" t="s">
        <v>11</v>
      </c>
      <c r="F7126" s="1" t="s">
        <v>20</v>
      </c>
      <c r="G7126" s="4" t="b">
        <f t="shared" si="2"/>
        <v>1</v>
      </c>
      <c r="H7126" s="1" t="str">
        <f t="shared" si="3"/>
        <v>Currently Unavailable</v>
      </c>
      <c r="I7126" s="1" t="str">
        <f t="shared" si="4"/>
        <v>No Badges</v>
      </c>
      <c r="J7126" s="3">
        <f t="shared" si="5"/>
        <v>0</v>
      </c>
    </row>
    <row r="7127">
      <c r="A7127" s="1" t="s">
        <v>67</v>
      </c>
      <c r="B7127" s="3" t="str">
        <f t="shared" si="1"/>
        <v>Unavailable</v>
      </c>
      <c r="C7127" s="3">
        <v>264.0</v>
      </c>
      <c r="D7127" s="3">
        <f>IFERROR(__xludf.DUMMYFUNCTION("IFERROR(
IF(REGEXMATCH(LOWER(O7127),""k""),
VALUE(REGEXEXTRACT(O7127,""[0-9]+""))*1000,
VALUE(REGEXEXTRACT(O7127,""[0-9]+""))
),
0
)"),0.0)</f>
        <v>0</v>
      </c>
      <c r="E7127" s="1" t="s">
        <v>11</v>
      </c>
      <c r="F7127" s="1" t="s">
        <v>12</v>
      </c>
      <c r="G7127" s="4" t="b">
        <f t="shared" si="2"/>
        <v>1</v>
      </c>
      <c r="H7127" s="1" t="str">
        <f t="shared" si="3"/>
        <v>Currently Unavailable</v>
      </c>
      <c r="I7127" s="1" t="str">
        <f t="shared" si="4"/>
        <v>No Badges</v>
      </c>
      <c r="J7127" s="3">
        <f t="shared" si="5"/>
        <v>0</v>
      </c>
    </row>
    <row r="7128">
      <c r="A7128" s="1" t="s">
        <v>5442</v>
      </c>
      <c r="B7128" s="3" t="str">
        <f t="shared" si="1"/>
        <v>Unavailable</v>
      </c>
      <c r="C7128" s="3">
        <v>473.0</v>
      </c>
      <c r="D7128" s="3">
        <f>IFERROR(__xludf.DUMMYFUNCTION("IFERROR(
IF(REGEXMATCH(LOWER(O7128),""k""),
VALUE(REGEXEXTRACT(O7128,""[0-9]+""))*1000,
VALUE(REGEXEXTRACT(O7128,""[0-9]+""))
),
0
)"),0.0)</f>
        <v>0</v>
      </c>
      <c r="E7128" s="1" t="s">
        <v>11</v>
      </c>
      <c r="F7128" s="1" t="s">
        <v>20</v>
      </c>
      <c r="G7128" s="4" t="b">
        <f t="shared" si="2"/>
        <v>1</v>
      </c>
      <c r="H7128" s="1" t="str">
        <f t="shared" si="3"/>
        <v>Currently Unavailable</v>
      </c>
      <c r="I7128" s="1" t="str">
        <f t="shared" si="4"/>
        <v>No Badges</v>
      </c>
      <c r="J7128" s="6">
        <f t="shared" si="5"/>
        <v>0</v>
      </c>
    </row>
    <row r="7129">
      <c r="A7129" s="1" t="s">
        <v>701</v>
      </c>
      <c r="B7129" s="3" t="str">
        <f t="shared" si="1"/>
        <v>Unavailable</v>
      </c>
      <c r="C7129" s="3">
        <v>8.0</v>
      </c>
      <c r="D7129" s="3">
        <f>IFERROR(__xludf.DUMMYFUNCTION("IFERROR(
IF(REGEXMATCH(LOWER(O7129),""k""),
VALUE(REGEXEXTRACT(O7129,""[0-9]+""))*1000,
VALUE(REGEXEXTRACT(O7129,""[0-9]+""))
),
0
)"),0.0)</f>
        <v>0</v>
      </c>
      <c r="E7129" s="1" t="s">
        <v>11</v>
      </c>
      <c r="F7129" s="1" t="s">
        <v>12</v>
      </c>
      <c r="G7129" s="4" t="b">
        <f t="shared" si="2"/>
        <v>1</v>
      </c>
      <c r="H7129" s="1" t="str">
        <f t="shared" si="3"/>
        <v>Currently Unavailable</v>
      </c>
      <c r="I7129" s="1" t="str">
        <f t="shared" si="4"/>
        <v>No Badges</v>
      </c>
      <c r="J7129" s="3">
        <f t="shared" si="5"/>
        <v>0</v>
      </c>
    </row>
    <row r="7130">
      <c r="A7130" s="1" t="s">
        <v>5443</v>
      </c>
      <c r="B7130" s="3" t="str">
        <f t="shared" si="1"/>
        <v>Unavailable</v>
      </c>
      <c r="C7130" s="3">
        <v>1.0</v>
      </c>
      <c r="D7130" s="3">
        <f>IFERROR(__xludf.DUMMYFUNCTION("IFERROR(
IF(REGEXMATCH(LOWER(O7130),""k""),
VALUE(REGEXEXTRACT(O7130,""[0-9]+""))*1000,
VALUE(REGEXEXTRACT(O7130,""[0-9]+""))
),
0
)"),0.0)</f>
        <v>0</v>
      </c>
      <c r="E7130" s="1" t="s">
        <v>11</v>
      </c>
      <c r="F7130" s="1" t="s">
        <v>20</v>
      </c>
      <c r="G7130" s="4" t="b">
        <f t="shared" si="2"/>
        <v>1</v>
      </c>
      <c r="H7130" s="1" t="str">
        <f t="shared" si="3"/>
        <v>Currently Unavailable</v>
      </c>
      <c r="I7130" s="1" t="str">
        <f t="shared" si="4"/>
        <v>No Badges</v>
      </c>
      <c r="J7130" s="3">
        <f t="shared" si="5"/>
        <v>0</v>
      </c>
    </row>
    <row r="7131">
      <c r="A7131" s="1" t="s">
        <v>5444</v>
      </c>
      <c r="B7131" s="3" t="str">
        <f t="shared" si="1"/>
        <v>Unavailable</v>
      </c>
      <c r="C7131" s="3">
        <v>8.0</v>
      </c>
      <c r="D7131" s="3">
        <f>IFERROR(__xludf.DUMMYFUNCTION("IFERROR(
IF(REGEXMATCH(LOWER(O7131),""k""),
VALUE(REGEXEXTRACT(O7131,""[0-9]+""))*1000,
VALUE(REGEXEXTRACT(O7131,""[0-9]+""))
),
0
)"),0.0)</f>
        <v>0</v>
      </c>
      <c r="E7131" s="1" t="s">
        <v>11</v>
      </c>
      <c r="F7131" s="1" t="s">
        <v>20</v>
      </c>
      <c r="G7131" s="4" t="b">
        <f t="shared" si="2"/>
        <v>1</v>
      </c>
      <c r="H7131" s="1" t="str">
        <f t="shared" si="3"/>
        <v>Currently Unavailable</v>
      </c>
      <c r="I7131" s="1" t="str">
        <f t="shared" si="4"/>
        <v>No Badges</v>
      </c>
      <c r="J7131" s="3">
        <f t="shared" si="5"/>
        <v>0</v>
      </c>
    </row>
    <row r="7132">
      <c r="A7132" s="1" t="s">
        <v>5445</v>
      </c>
      <c r="B7132" s="3" t="str">
        <f t="shared" si="1"/>
        <v>Unavailable</v>
      </c>
      <c r="C7132" s="3">
        <v>190.0</v>
      </c>
      <c r="D7132" s="3">
        <f>IFERROR(__xludf.DUMMYFUNCTION("IFERROR(
IF(REGEXMATCH(LOWER(O7132),""k""),
VALUE(REGEXEXTRACT(O7132,""[0-9]+""))*1000,
VALUE(REGEXEXTRACT(O7132,""[0-9]+""))
),
0
)"),0.0)</f>
        <v>0</v>
      </c>
      <c r="E7132" s="1" t="s">
        <v>11</v>
      </c>
      <c r="F7132" s="1" t="s">
        <v>20</v>
      </c>
      <c r="G7132" s="4" t="b">
        <f t="shared" si="2"/>
        <v>1</v>
      </c>
      <c r="H7132" s="1" t="str">
        <f t="shared" si="3"/>
        <v>Currently Unavailable</v>
      </c>
      <c r="I7132" s="1" t="str">
        <f t="shared" si="4"/>
        <v>No Badges</v>
      </c>
      <c r="J7132" s="3">
        <f t="shared" si="5"/>
        <v>0</v>
      </c>
    </row>
    <row r="7133">
      <c r="A7133" s="1" t="s">
        <v>5446</v>
      </c>
      <c r="B7133" s="3" t="str">
        <f t="shared" si="1"/>
        <v>Unavailable</v>
      </c>
      <c r="C7133" s="3">
        <v>120.0</v>
      </c>
      <c r="D7133" s="3">
        <f>IFERROR(__xludf.DUMMYFUNCTION("IFERROR(
IF(REGEXMATCH(LOWER(O7133),""k""),
VALUE(REGEXEXTRACT(O7133,""[0-9]+""))*1000,
VALUE(REGEXEXTRACT(O7133,""[0-9]+""))
),
0
)"),0.0)</f>
        <v>0</v>
      </c>
      <c r="E7133" s="1" t="s">
        <v>11</v>
      </c>
      <c r="F7133" s="1" t="s">
        <v>20</v>
      </c>
      <c r="G7133" s="4" t="b">
        <f t="shared" si="2"/>
        <v>1</v>
      </c>
      <c r="H7133" s="1" t="str">
        <f t="shared" si="3"/>
        <v>Currently Unavailable</v>
      </c>
      <c r="I7133" s="1" t="str">
        <f t="shared" si="4"/>
        <v>No Badges</v>
      </c>
      <c r="J7133" s="3">
        <f t="shared" si="5"/>
        <v>0</v>
      </c>
    </row>
    <row r="7134">
      <c r="A7134" s="1" t="s">
        <v>5405</v>
      </c>
      <c r="B7134" s="3" t="str">
        <f t="shared" si="1"/>
        <v>Unavailable</v>
      </c>
      <c r="C7134" s="3">
        <v>158.0</v>
      </c>
      <c r="D7134" s="3">
        <f>IFERROR(__xludf.DUMMYFUNCTION("IFERROR(
IF(REGEXMATCH(LOWER(O7134),""k""),
VALUE(REGEXEXTRACT(O7134,""[0-9]+""))*1000,
VALUE(REGEXEXTRACT(O7134,""[0-9]+""))
),
0
)"),0.0)</f>
        <v>0</v>
      </c>
      <c r="E7134" s="1" t="s">
        <v>11</v>
      </c>
      <c r="F7134" s="1" t="s">
        <v>12</v>
      </c>
      <c r="G7134" s="4" t="b">
        <f t="shared" si="2"/>
        <v>1</v>
      </c>
      <c r="H7134" s="1" t="str">
        <f t="shared" si="3"/>
        <v>Currently Unavailable</v>
      </c>
      <c r="I7134" s="1" t="str">
        <f t="shared" si="4"/>
        <v>No Badges</v>
      </c>
      <c r="J7134" s="3">
        <f t="shared" si="5"/>
        <v>0</v>
      </c>
    </row>
    <row r="7135">
      <c r="A7135" s="1" t="s">
        <v>5447</v>
      </c>
      <c r="B7135" s="3" t="str">
        <f t="shared" si="1"/>
        <v>Unavailable</v>
      </c>
      <c r="C7135" s="3">
        <v>221.0</v>
      </c>
      <c r="D7135" s="3">
        <f>IFERROR(__xludf.DUMMYFUNCTION("IFERROR(
IF(REGEXMATCH(LOWER(O7135),""k""),
VALUE(REGEXEXTRACT(O7135,""[0-9]+""))*1000,
VALUE(REGEXEXTRACT(O7135,""[0-9]+""))
),
0
)"),0.0)</f>
        <v>0</v>
      </c>
      <c r="E7135" s="1" t="s">
        <v>11</v>
      </c>
      <c r="F7135" s="1" t="s">
        <v>20</v>
      </c>
      <c r="G7135" s="4" t="b">
        <f t="shared" si="2"/>
        <v>1</v>
      </c>
      <c r="H7135" s="1" t="str">
        <f t="shared" si="3"/>
        <v>Currently Unavailable</v>
      </c>
      <c r="I7135" s="1" t="str">
        <f t="shared" si="4"/>
        <v>No Badges</v>
      </c>
      <c r="J7135" s="6">
        <f t="shared" si="5"/>
        <v>0</v>
      </c>
    </row>
    <row r="7136">
      <c r="A7136" s="1" t="s">
        <v>5448</v>
      </c>
      <c r="B7136" s="3" t="str">
        <f t="shared" si="1"/>
        <v>Unavailable</v>
      </c>
      <c r="C7136" s="3">
        <v>13.0</v>
      </c>
      <c r="D7136" s="3">
        <f>IFERROR(__xludf.DUMMYFUNCTION("IFERROR(
IF(REGEXMATCH(LOWER(O7136),""k""),
VALUE(REGEXEXTRACT(O7136,""[0-9]+""))*1000,
VALUE(REGEXEXTRACT(O7136,""[0-9]+""))
),
0
)"),0.0)</f>
        <v>0</v>
      </c>
      <c r="E7136" s="1" t="s">
        <v>11</v>
      </c>
      <c r="F7136" s="1" t="s">
        <v>20</v>
      </c>
      <c r="G7136" s="4" t="b">
        <f t="shared" si="2"/>
        <v>1</v>
      </c>
      <c r="H7136" s="1" t="str">
        <f t="shared" si="3"/>
        <v>Currently Unavailable</v>
      </c>
      <c r="I7136" s="1" t="str">
        <f t="shared" si="4"/>
        <v>No Badges</v>
      </c>
      <c r="J7136" s="3">
        <f t="shared" si="5"/>
        <v>0</v>
      </c>
    </row>
    <row r="7137">
      <c r="A7137" s="1" t="s">
        <v>5449</v>
      </c>
      <c r="B7137" s="1" t="str">
        <f t="shared" si="1"/>
        <v>Unavailable</v>
      </c>
      <c r="C7137" s="1"/>
      <c r="D7137" s="3">
        <f>IFERROR(__xludf.DUMMYFUNCTION("IFERROR(
IF(REGEXMATCH(LOWER(O7137),""k""),
VALUE(REGEXEXTRACT(O7137,""[0-9]+""))*1000,
VALUE(REGEXEXTRACT(O7137,""[0-9]+""))
),
0
)"),0.0)</f>
        <v>0</v>
      </c>
      <c r="E7137" s="1" t="s">
        <v>11</v>
      </c>
      <c r="F7137" s="1" t="s">
        <v>20</v>
      </c>
      <c r="G7137" s="4" t="b">
        <f t="shared" si="2"/>
        <v>1</v>
      </c>
      <c r="H7137" s="1" t="str">
        <f t="shared" si="3"/>
        <v>Currently Unavailable</v>
      </c>
      <c r="I7137" s="1" t="str">
        <f t="shared" si="4"/>
        <v>No Badges</v>
      </c>
      <c r="J7137" s="6">
        <f t="shared" si="5"/>
        <v>0</v>
      </c>
    </row>
    <row r="7138">
      <c r="A7138" s="1" t="s">
        <v>5450</v>
      </c>
      <c r="B7138" s="3" t="str">
        <f t="shared" si="1"/>
        <v>Unavailable</v>
      </c>
      <c r="C7138" s="3">
        <v>725.0</v>
      </c>
      <c r="D7138" s="3">
        <f>IFERROR(__xludf.DUMMYFUNCTION("IFERROR(
IF(REGEXMATCH(LOWER(O7138),""k""),
VALUE(REGEXEXTRACT(O7138,""[0-9]+""))*1000,
VALUE(REGEXEXTRACT(O7138,""[0-9]+""))
),
0
)"),0.0)</f>
        <v>0</v>
      </c>
      <c r="E7138" s="1" t="s">
        <v>11</v>
      </c>
      <c r="F7138" s="1" t="s">
        <v>20</v>
      </c>
      <c r="G7138" s="4" t="b">
        <f t="shared" si="2"/>
        <v>1</v>
      </c>
      <c r="H7138" s="1" t="str">
        <f t="shared" si="3"/>
        <v>Currently Unavailable</v>
      </c>
      <c r="I7138" s="1" t="str">
        <f t="shared" si="4"/>
        <v>No Badges</v>
      </c>
      <c r="J7138" s="3">
        <f t="shared" si="5"/>
        <v>0</v>
      </c>
    </row>
    <row r="7139">
      <c r="A7139" s="1" t="s">
        <v>5451</v>
      </c>
      <c r="B7139" s="3" t="str">
        <f t="shared" si="1"/>
        <v>Unavailable</v>
      </c>
      <c r="C7139" s="3">
        <v>185.0</v>
      </c>
      <c r="D7139" s="3">
        <f>IFERROR(__xludf.DUMMYFUNCTION("IFERROR(
IF(REGEXMATCH(LOWER(O7139),""k""),
VALUE(REGEXEXTRACT(O7139,""[0-9]+""))*1000,
VALUE(REGEXEXTRACT(O7139,""[0-9]+""))
),
0
)"),0.0)</f>
        <v>0</v>
      </c>
      <c r="E7139" s="1" t="s">
        <v>11</v>
      </c>
      <c r="F7139" s="1" t="s">
        <v>20</v>
      </c>
      <c r="G7139" s="4" t="b">
        <f t="shared" si="2"/>
        <v>1</v>
      </c>
      <c r="H7139" s="1" t="str">
        <f t="shared" si="3"/>
        <v>Currently Unavailable</v>
      </c>
      <c r="I7139" s="1" t="str">
        <f t="shared" si="4"/>
        <v>No Badges</v>
      </c>
      <c r="J7139" s="3">
        <f t="shared" si="5"/>
        <v>0</v>
      </c>
    </row>
    <row r="7140">
      <c r="A7140" s="1" t="s">
        <v>5452</v>
      </c>
      <c r="B7140" s="3" t="str">
        <f t="shared" si="1"/>
        <v>Unavailable</v>
      </c>
      <c r="C7140" s="3">
        <v>394.0</v>
      </c>
      <c r="D7140" s="3">
        <f>IFERROR(__xludf.DUMMYFUNCTION("IFERROR(
IF(REGEXMATCH(LOWER(O7140),""k""),
VALUE(REGEXEXTRACT(O7140,""[0-9]+""))*1000,
VALUE(REGEXEXTRACT(O7140,""[0-9]+""))
),
0
)"),0.0)</f>
        <v>0</v>
      </c>
      <c r="E7140" s="1" t="s">
        <v>11</v>
      </c>
      <c r="F7140" s="1" t="s">
        <v>20</v>
      </c>
      <c r="G7140" s="4" t="b">
        <f t="shared" si="2"/>
        <v>1</v>
      </c>
      <c r="H7140" s="1" t="str">
        <f t="shared" si="3"/>
        <v>Currently Unavailable</v>
      </c>
      <c r="I7140" s="1" t="str">
        <f t="shared" si="4"/>
        <v>No Badges</v>
      </c>
      <c r="J7140" s="3">
        <f t="shared" si="5"/>
        <v>0</v>
      </c>
    </row>
    <row r="7141">
      <c r="A7141" s="1" t="s">
        <v>5453</v>
      </c>
      <c r="B7141" s="3" t="str">
        <f t="shared" si="1"/>
        <v>Unavailable</v>
      </c>
      <c r="C7141" s="3">
        <v>53.0</v>
      </c>
      <c r="D7141" s="3">
        <f>IFERROR(__xludf.DUMMYFUNCTION("IFERROR(
IF(REGEXMATCH(LOWER(O7141),""k""),
VALUE(REGEXEXTRACT(O7141,""[0-9]+""))*1000,
VALUE(REGEXEXTRACT(O7141,""[0-9]+""))
),
0
)"),0.0)</f>
        <v>0</v>
      </c>
      <c r="E7141" s="1" t="s">
        <v>11</v>
      </c>
      <c r="F7141" s="1" t="s">
        <v>20</v>
      </c>
      <c r="G7141" s="4" t="b">
        <f t="shared" si="2"/>
        <v>1</v>
      </c>
      <c r="H7141" s="1" t="str">
        <f t="shared" si="3"/>
        <v>Currently Unavailable</v>
      </c>
      <c r="I7141" s="1" t="str">
        <f t="shared" si="4"/>
        <v>No Badges</v>
      </c>
      <c r="J7141" s="3">
        <f t="shared" si="5"/>
        <v>0</v>
      </c>
    </row>
    <row r="7142">
      <c r="A7142" s="1" t="s">
        <v>5405</v>
      </c>
      <c r="B7142" s="3" t="str">
        <f t="shared" si="1"/>
        <v>Unavailable</v>
      </c>
      <c r="C7142" s="3">
        <v>158.0</v>
      </c>
      <c r="D7142" s="3">
        <f>IFERROR(__xludf.DUMMYFUNCTION("IFERROR(
IF(REGEXMATCH(LOWER(O7142),""k""),
VALUE(REGEXEXTRACT(O7142,""[0-9]+""))*1000,
VALUE(REGEXEXTRACT(O7142,""[0-9]+""))
),
0
)"),0.0)</f>
        <v>0</v>
      </c>
      <c r="E7142" s="1" t="s">
        <v>11</v>
      </c>
      <c r="F7142" s="1" t="s">
        <v>12</v>
      </c>
      <c r="G7142" s="4" t="b">
        <f t="shared" si="2"/>
        <v>1</v>
      </c>
      <c r="H7142" s="1" t="str">
        <f t="shared" si="3"/>
        <v>Currently Unavailable</v>
      </c>
      <c r="I7142" s="1" t="str">
        <f t="shared" si="4"/>
        <v>No Badges</v>
      </c>
      <c r="J7142" s="3">
        <f t="shared" si="5"/>
        <v>0</v>
      </c>
    </row>
    <row r="7143">
      <c r="A7143" s="1" t="s">
        <v>5454</v>
      </c>
      <c r="B7143" s="3" t="str">
        <f t="shared" si="1"/>
        <v>Unavailable</v>
      </c>
      <c r="C7143" s="3">
        <v>21.0</v>
      </c>
      <c r="D7143" s="3">
        <f>IFERROR(__xludf.DUMMYFUNCTION("IFERROR(
IF(REGEXMATCH(LOWER(O7143),""k""),
VALUE(REGEXEXTRACT(O7143,""[0-9]+""))*1000,
VALUE(REGEXEXTRACT(O7143,""[0-9]+""))
),
0
)"),0.0)</f>
        <v>0</v>
      </c>
      <c r="E7143" s="1" t="s">
        <v>11</v>
      </c>
      <c r="F7143" s="1" t="s">
        <v>20</v>
      </c>
      <c r="G7143" s="4" t="b">
        <f t="shared" si="2"/>
        <v>1</v>
      </c>
      <c r="H7143" s="1" t="str">
        <f t="shared" si="3"/>
        <v>Currently Unavailable</v>
      </c>
      <c r="I7143" s="1" t="str">
        <f t="shared" si="4"/>
        <v>No Badges</v>
      </c>
      <c r="J7143" s="6">
        <f t="shared" si="5"/>
        <v>0</v>
      </c>
    </row>
    <row r="7144">
      <c r="A7144" s="1" t="s">
        <v>88</v>
      </c>
      <c r="B7144" s="3" t="str">
        <f t="shared" si="1"/>
        <v>Unavailable</v>
      </c>
      <c r="C7144" s="3">
        <v>5.0</v>
      </c>
      <c r="D7144" s="3">
        <f>IFERROR(__xludf.DUMMYFUNCTION("IFERROR(
IF(REGEXMATCH(LOWER(O7144),""k""),
VALUE(REGEXEXTRACT(O7144,""[0-9]+""))*1000,
VALUE(REGEXEXTRACT(O7144,""[0-9]+""))
),
0
)"),0.0)</f>
        <v>0</v>
      </c>
      <c r="E7144" s="1" t="s">
        <v>11</v>
      </c>
      <c r="F7144" s="1" t="s">
        <v>12</v>
      </c>
      <c r="G7144" s="4" t="b">
        <f t="shared" si="2"/>
        <v>1</v>
      </c>
      <c r="H7144" s="1" t="str">
        <f t="shared" si="3"/>
        <v>Currently Unavailable</v>
      </c>
      <c r="I7144" s="1" t="str">
        <f t="shared" si="4"/>
        <v>No Badges</v>
      </c>
      <c r="J7144" s="3">
        <f t="shared" si="5"/>
        <v>0</v>
      </c>
    </row>
    <row r="7145">
      <c r="A7145" s="1" t="s">
        <v>5455</v>
      </c>
      <c r="B7145" s="3" t="str">
        <f t="shared" si="1"/>
        <v>Unavailable</v>
      </c>
      <c r="C7145" s="3">
        <v>10.0</v>
      </c>
      <c r="D7145" s="3">
        <f>IFERROR(__xludf.DUMMYFUNCTION("IFERROR(
IF(REGEXMATCH(LOWER(O7145),""k""),
VALUE(REGEXEXTRACT(O7145,""[0-9]+""))*1000,
VALUE(REGEXEXTRACT(O7145,""[0-9]+""))
),
0
)"),0.0)</f>
        <v>0</v>
      </c>
      <c r="E7145" s="1" t="s">
        <v>11</v>
      </c>
      <c r="F7145" s="1" t="s">
        <v>20</v>
      </c>
      <c r="G7145" s="4" t="b">
        <f t="shared" si="2"/>
        <v>1</v>
      </c>
      <c r="H7145" s="1" t="str">
        <f t="shared" si="3"/>
        <v>Currently Unavailable</v>
      </c>
      <c r="I7145" s="1" t="str">
        <f t="shared" si="4"/>
        <v>No Badges</v>
      </c>
      <c r="J7145" s="3">
        <f t="shared" si="5"/>
        <v>0</v>
      </c>
    </row>
    <row r="7146">
      <c r="A7146" s="1" t="s">
        <v>5456</v>
      </c>
      <c r="B7146" s="3" t="str">
        <f t="shared" si="1"/>
        <v>Unavailable</v>
      </c>
      <c r="C7146" s="3">
        <v>108.0</v>
      </c>
      <c r="D7146" s="3">
        <f>IFERROR(__xludf.DUMMYFUNCTION("IFERROR(
IF(REGEXMATCH(LOWER(O7146),""k""),
VALUE(REGEXEXTRACT(O7146,""[0-9]+""))*1000,
VALUE(REGEXEXTRACT(O7146,""[0-9]+""))
),
0
)"),0.0)</f>
        <v>0</v>
      </c>
      <c r="E7146" s="1" t="s">
        <v>11</v>
      </c>
      <c r="F7146" s="1" t="s">
        <v>20</v>
      </c>
      <c r="G7146" s="4" t="b">
        <f t="shared" si="2"/>
        <v>1</v>
      </c>
      <c r="H7146" s="1" t="str">
        <f t="shared" si="3"/>
        <v>Currently Unavailable</v>
      </c>
      <c r="I7146" s="1" t="str">
        <f t="shared" si="4"/>
        <v>No Badges</v>
      </c>
      <c r="J7146" s="6">
        <f t="shared" si="5"/>
        <v>0</v>
      </c>
    </row>
    <row r="7147">
      <c r="A7147" s="1" t="s">
        <v>69</v>
      </c>
      <c r="B7147" s="3" t="str">
        <f t="shared" si="1"/>
        <v>Unavailable</v>
      </c>
      <c r="C7147" s="3">
        <v>45.0</v>
      </c>
      <c r="D7147" s="3">
        <f>IFERROR(__xludf.DUMMYFUNCTION("IFERROR(
IF(REGEXMATCH(LOWER(O7147),""k""),
VALUE(REGEXEXTRACT(O7147,""[0-9]+""))*1000,
VALUE(REGEXEXTRACT(O7147,""[0-9]+""))
),
0
)"),0.0)</f>
        <v>0</v>
      </c>
      <c r="E7147" s="1" t="s">
        <v>11</v>
      </c>
      <c r="F7147" s="1" t="s">
        <v>12</v>
      </c>
      <c r="G7147" s="4" t="b">
        <f t="shared" si="2"/>
        <v>1</v>
      </c>
      <c r="H7147" s="1" t="str">
        <f t="shared" si="3"/>
        <v>Currently Unavailable</v>
      </c>
      <c r="I7147" s="1" t="str">
        <f t="shared" si="4"/>
        <v>No Badges</v>
      </c>
      <c r="J7147" s="3">
        <f t="shared" si="5"/>
        <v>0</v>
      </c>
    </row>
    <row r="7148">
      <c r="A7148" s="1" t="s">
        <v>5457</v>
      </c>
      <c r="B7148" s="3" t="str">
        <f t="shared" si="1"/>
        <v>Unavailable</v>
      </c>
      <c r="C7148" s="3">
        <v>82.0</v>
      </c>
      <c r="D7148" s="3">
        <f>IFERROR(__xludf.DUMMYFUNCTION("IFERROR(
IF(REGEXMATCH(LOWER(O7148),""k""),
VALUE(REGEXEXTRACT(O7148,""[0-9]+""))*1000,
VALUE(REGEXEXTRACT(O7148,""[0-9]+""))
),
0
)"),0.0)</f>
        <v>0</v>
      </c>
      <c r="E7148" s="1" t="s">
        <v>11</v>
      </c>
      <c r="F7148" s="1" t="s">
        <v>20</v>
      </c>
      <c r="G7148" s="4" t="b">
        <f t="shared" si="2"/>
        <v>1</v>
      </c>
      <c r="H7148" s="1" t="str">
        <f t="shared" si="3"/>
        <v>Currently Unavailable</v>
      </c>
      <c r="I7148" s="1" t="str">
        <f t="shared" si="4"/>
        <v>No Badges</v>
      </c>
      <c r="J7148" s="3">
        <f t="shared" si="5"/>
        <v>0</v>
      </c>
    </row>
    <row r="7149">
      <c r="A7149" s="1" t="s">
        <v>5458</v>
      </c>
      <c r="B7149" s="3" t="str">
        <f t="shared" si="1"/>
        <v>Unavailable</v>
      </c>
      <c r="C7149" s="3">
        <v>342.0</v>
      </c>
      <c r="D7149" s="3">
        <f>IFERROR(__xludf.DUMMYFUNCTION("IFERROR(
IF(REGEXMATCH(LOWER(O7149),""k""),
VALUE(REGEXEXTRACT(O7149,""[0-9]+""))*1000,
VALUE(REGEXEXTRACT(O7149,""[0-9]+""))
),
0
)"),0.0)</f>
        <v>0</v>
      </c>
      <c r="E7149" s="1" t="s">
        <v>11</v>
      </c>
      <c r="F7149" s="1" t="s">
        <v>20</v>
      </c>
      <c r="G7149" s="4" t="b">
        <f t="shared" si="2"/>
        <v>1</v>
      </c>
      <c r="H7149" s="1" t="str">
        <f t="shared" si="3"/>
        <v>Currently Unavailable</v>
      </c>
      <c r="I7149" s="1" t="str">
        <f t="shared" si="4"/>
        <v>No Badges</v>
      </c>
      <c r="J7149" s="3">
        <f t="shared" si="5"/>
        <v>0</v>
      </c>
    </row>
    <row r="7150">
      <c r="A7150" s="1" t="s">
        <v>5459</v>
      </c>
      <c r="B7150" s="3" t="str">
        <f t="shared" si="1"/>
        <v>Unavailable</v>
      </c>
      <c r="C7150" s="3">
        <v>483.0</v>
      </c>
      <c r="D7150" s="3">
        <f>IFERROR(__xludf.DUMMYFUNCTION("IFERROR(
IF(REGEXMATCH(LOWER(O7150),""k""),
VALUE(REGEXEXTRACT(O7150,""[0-9]+""))*1000,
VALUE(REGEXEXTRACT(O7150,""[0-9]+""))
),
0
)"),0.0)</f>
        <v>0</v>
      </c>
      <c r="E7150" s="1" t="s">
        <v>11</v>
      </c>
      <c r="F7150" s="1" t="s">
        <v>20</v>
      </c>
      <c r="G7150" s="4" t="b">
        <f t="shared" si="2"/>
        <v>1</v>
      </c>
      <c r="H7150" s="1" t="str">
        <f t="shared" si="3"/>
        <v>Currently Unavailable</v>
      </c>
      <c r="I7150" s="1" t="str">
        <f t="shared" si="4"/>
        <v>No Badges</v>
      </c>
      <c r="J7150" s="6">
        <f t="shared" si="5"/>
        <v>0</v>
      </c>
    </row>
    <row r="7151">
      <c r="A7151" s="1" t="s">
        <v>5460</v>
      </c>
      <c r="B7151" s="3" t="str">
        <f t="shared" si="1"/>
        <v>Unavailable</v>
      </c>
      <c r="C7151" s="3">
        <v>133.0</v>
      </c>
      <c r="D7151" s="3">
        <f>IFERROR(__xludf.DUMMYFUNCTION("IFERROR(
IF(REGEXMATCH(LOWER(O7151),""k""),
VALUE(REGEXEXTRACT(O7151,""[0-9]+""))*1000,
VALUE(REGEXEXTRACT(O7151,""[0-9]+""))
),
0
)"),0.0)</f>
        <v>0</v>
      </c>
      <c r="E7151" s="1" t="s">
        <v>11</v>
      </c>
      <c r="F7151" s="1" t="s">
        <v>20</v>
      </c>
      <c r="G7151" s="4" t="b">
        <f t="shared" si="2"/>
        <v>1</v>
      </c>
      <c r="H7151" s="1" t="str">
        <f t="shared" si="3"/>
        <v>Currently Unavailable</v>
      </c>
      <c r="I7151" s="1" t="str">
        <f t="shared" si="4"/>
        <v>No Badges</v>
      </c>
      <c r="J7151" s="3">
        <f t="shared" si="5"/>
        <v>0</v>
      </c>
    </row>
    <row r="7152">
      <c r="A7152" s="1" t="s">
        <v>5461</v>
      </c>
      <c r="B7152" s="3" t="str">
        <f t="shared" si="1"/>
        <v>Unavailable</v>
      </c>
      <c r="C7152" s="3">
        <v>9.0</v>
      </c>
      <c r="D7152" s="3">
        <f>IFERROR(__xludf.DUMMYFUNCTION("IFERROR(
IF(REGEXMATCH(LOWER(O7152),""k""),
VALUE(REGEXEXTRACT(O7152,""[0-9]+""))*1000,
VALUE(REGEXEXTRACT(O7152,""[0-9]+""))
),
0
)"),0.0)</f>
        <v>0</v>
      </c>
      <c r="E7152" s="1" t="s">
        <v>11</v>
      </c>
      <c r="F7152" s="1" t="s">
        <v>20</v>
      </c>
      <c r="G7152" s="4" t="b">
        <f t="shared" si="2"/>
        <v>1</v>
      </c>
      <c r="H7152" s="1" t="str">
        <f t="shared" si="3"/>
        <v>Currently Unavailable</v>
      </c>
      <c r="I7152" s="1" t="str">
        <f t="shared" si="4"/>
        <v>No Badges</v>
      </c>
      <c r="J7152" s="3">
        <f t="shared" si="5"/>
        <v>0</v>
      </c>
    </row>
    <row r="7153">
      <c r="A7153" s="1" t="s">
        <v>5462</v>
      </c>
      <c r="B7153" s="3" t="str">
        <f t="shared" si="1"/>
        <v>Unavailable</v>
      </c>
      <c r="C7153" s="3">
        <v>412.0</v>
      </c>
      <c r="D7153" s="3">
        <f>IFERROR(__xludf.DUMMYFUNCTION("IFERROR(
IF(REGEXMATCH(LOWER(O7153),""k""),
VALUE(REGEXEXTRACT(O7153,""[0-9]+""))*1000,
VALUE(REGEXEXTRACT(O7153,""[0-9]+""))
),
0
)"),0.0)</f>
        <v>0</v>
      </c>
      <c r="E7153" s="1" t="s">
        <v>11</v>
      </c>
      <c r="F7153" s="1" t="s">
        <v>20</v>
      </c>
      <c r="G7153" s="4" t="b">
        <f t="shared" si="2"/>
        <v>1</v>
      </c>
      <c r="H7153" s="1" t="str">
        <f t="shared" si="3"/>
        <v>Currently Unavailable</v>
      </c>
      <c r="I7153" s="1" t="str">
        <f t="shared" si="4"/>
        <v>No Badges</v>
      </c>
      <c r="J7153" s="3">
        <f t="shared" si="5"/>
        <v>0</v>
      </c>
    </row>
    <row r="7154">
      <c r="A7154" s="1" t="s">
        <v>5463</v>
      </c>
      <c r="B7154" s="3" t="str">
        <f t="shared" si="1"/>
        <v>Unavailable</v>
      </c>
      <c r="C7154" s="3">
        <v>11.0</v>
      </c>
      <c r="D7154" s="3">
        <f>IFERROR(__xludf.DUMMYFUNCTION("IFERROR(
IF(REGEXMATCH(LOWER(O7154),""k""),
VALUE(REGEXEXTRACT(O7154,""[0-9]+""))*1000,
VALUE(REGEXEXTRACT(O7154,""[0-9]+""))
),
0
)"),0.0)</f>
        <v>0</v>
      </c>
      <c r="E7154" s="1" t="s">
        <v>11</v>
      </c>
      <c r="F7154" s="1" t="s">
        <v>20</v>
      </c>
      <c r="G7154" s="4" t="b">
        <f t="shared" si="2"/>
        <v>1</v>
      </c>
      <c r="H7154" s="1" t="str">
        <f t="shared" si="3"/>
        <v>Currently Unavailable</v>
      </c>
      <c r="I7154" s="1" t="str">
        <f t="shared" si="4"/>
        <v>No Badges</v>
      </c>
      <c r="J7154" s="3">
        <f t="shared" si="5"/>
        <v>0</v>
      </c>
    </row>
    <row r="7155">
      <c r="A7155" s="1" t="s">
        <v>5464</v>
      </c>
      <c r="B7155" s="3" t="str">
        <f t="shared" si="1"/>
        <v>Unavailable</v>
      </c>
      <c r="C7155" s="3">
        <v>30.0</v>
      </c>
      <c r="D7155" s="3">
        <f>IFERROR(__xludf.DUMMYFUNCTION("IFERROR(
IF(REGEXMATCH(LOWER(O7155),""k""),
VALUE(REGEXEXTRACT(O7155,""[0-9]+""))*1000,
VALUE(REGEXEXTRACT(O7155,""[0-9]+""))
),
0
)"),0.0)</f>
        <v>0</v>
      </c>
      <c r="E7155" s="1" t="s">
        <v>11</v>
      </c>
      <c r="F7155" s="1" t="s">
        <v>20</v>
      </c>
      <c r="G7155" s="4" t="b">
        <f t="shared" si="2"/>
        <v>1</v>
      </c>
      <c r="H7155" s="1" t="str">
        <f t="shared" si="3"/>
        <v>Currently Unavailable</v>
      </c>
      <c r="I7155" s="1" t="str">
        <f t="shared" si="4"/>
        <v>No Badges</v>
      </c>
      <c r="J7155" s="3">
        <f t="shared" si="5"/>
        <v>0</v>
      </c>
    </row>
    <row r="7156">
      <c r="A7156" s="1" t="s">
        <v>5465</v>
      </c>
      <c r="B7156" s="3" t="str">
        <f t="shared" si="1"/>
        <v>Unavailable</v>
      </c>
      <c r="C7156" s="3">
        <v>26.0</v>
      </c>
      <c r="D7156" s="3">
        <f>IFERROR(__xludf.DUMMYFUNCTION("IFERROR(
IF(REGEXMATCH(LOWER(O7156),""k""),
VALUE(REGEXEXTRACT(O7156,""[0-9]+""))*1000,
VALUE(REGEXEXTRACT(O7156,""[0-9]+""))
),
0
)"),0.0)</f>
        <v>0</v>
      </c>
      <c r="E7156" s="1" t="s">
        <v>11</v>
      </c>
      <c r="F7156" s="1" t="s">
        <v>20</v>
      </c>
      <c r="G7156" s="4" t="b">
        <f t="shared" si="2"/>
        <v>1</v>
      </c>
      <c r="H7156" s="1" t="str">
        <f t="shared" si="3"/>
        <v>Currently Unavailable</v>
      </c>
      <c r="I7156" s="1" t="str">
        <f t="shared" si="4"/>
        <v>No Badges</v>
      </c>
      <c r="J7156" s="3">
        <f t="shared" si="5"/>
        <v>0</v>
      </c>
    </row>
    <row r="7157">
      <c r="A7157" s="1" t="s">
        <v>5466</v>
      </c>
      <c r="B7157" s="3" t="str">
        <f t="shared" si="1"/>
        <v>Unavailable</v>
      </c>
      <c r="C7157" s="3">
        <v>253.0</v>
      </c>
      <c r="D7157" s="3">
        <f>IFERROR(__xludf.DUMMYFUNCTION("IFERROR(
IF(REGEXMATCH(LOWER(O7157),""k""),
VALUE(REGEXEXTRACT(O7157,""[0-9]+""))*1000,
VALUE(REGEXEXTRACT(O7157,""[0-9]+""))
),
0
)"),0.0)</f>
        <v>0</v>
      </c>
      <c r="E7157" s="1" t="s">
        <v>11</v>
      </c>
      <c r="F7157" s="1" t="s">
        <v>20</v>
      </c>
      <c r="G7157" s="4" t="b">
        <f t="shared" si="2"/>
        <v>1</v>
      </c>
      <c r="H7157" s="1" t="str">
        <f t="shared" si="3"/>
        <v>Currently Unavailable</v>
      </c>
      <c r="I7157" s="1" t="str">
        <f t="shared" si="4"/>
        <v>No Badges</v>
      </c>
      <c r="J7157" s="3">
        <f t="shared" si="5"/>
        <v>0</v>
      </c>
    </row>
    <row r="7158">
      <c r="A7158" s="1" t="s">
        <v>5467</v>
      </c>
      <c r="B7158" s="3" t="str">
        <f t="shared" si="1"/>
        <v>Unavailable</v>
      </c>
      <c r="C7158" s="3">
        <v>619.0</v>
      </c>
      <c r="D7158" s="3">
        <f>IFERROR(__xludf.DUMMYFUNCTION("IFERROR(
IF(REGEXMATCH(LOWER(O7158),""k""),
VALUE(REGEXEXTRACT(O7158,""[0-9]+""))*1000,
VALUE(REGEXEXTRACT(O7158,""[0-9]+""))
),
0
)"),0.0)</f>
        <v>0</v>
      </c>
      <c r="E7158" s="1" t="s">
        <v>11</v>
      </c>
      <c r="F7158" s="1" t="s">
        <v>20</v>
      </c>
      <c r="G7158" s="4" t="b">
        <f t="shared" si="2"/>
        <v>1</v>
      </c>
      <c r="H7158" s="1" t="str">
        <f t="shared" si="3"/>
        <v>Currently Unavailable</v>
      </c>
      <c r="I7158" s="1" t="str">
        <f t="shared" si="4"/>
        <v>No Badges</v>
      </c>
      <c r="J7158" s="3">
        <f t="shared" si="5"/>
        <v>0</v>
      </c>
    </row>
    <row r="7159">
      <c r="A7159" s="1" t="s">
        <v>5468</v>
      </c>
      <c r="B7159" s="3" t="str">
        <f t="shared" si="1"/>
        <v>Unavailable</v>
      </c>
      <c r="C7159" s="3">
        <v>12.0</v>
      </c>
      <c r="D7159" s="3">
        <f>IFERROR(__xludf.DUMMYFUNCTION("IFERROR(
IF(REGEXMATCH(LOWER(O7159),""k""),
VALUE(REGEXEXTRACT(O7159,""[0-9]+""))*1000,
VALUE(REGEXEXTRACT(O7159,""[0-9]+""))
),
0
)"),0.0)</f>
        <v>0</v>
      </c>
      <c r="E7159" s="1" t="s">
        <v>11</v>
      </c>
      <c r="F7159" s="1" t="s">
        <v>20</v>
      </c>
      <c r="G7159" s="4" t="b">
        <f t="shared" si="2"/>
        <v>1</v>
      </c>
      <c r="H7159" s="1" t="str">
        <f t="shared" si="3"/>
        <v>Currently Unavailable</v>
      </c>
      <c r="I7159" s="1" t="str">
        <f t="shared" si="4"/>
        <v>No Badges</v>
      </c>
      <c r="J7159" s="3">
        <f t="shared" si="5"/>
        <v>0</v>
      </c>
    </row>
    <row r="7160">
      <c r="A7160" s="1" t="s">
        <v>67</v>
      </c>
      <c r="B7160" s="3" t="str">
        <f t="shared" si="1"/>
        <v>Unavailable</v>
      </c>
      <c r="C7160" s="3">
        <v>264.0</v>
      </c>
      <c r="D7160" s="3">
        <f>IFERROR(__xludf.DUMMYFUNCTION("IFERROR(
IF(REGEXMATCH(LOWER(O7160),""k""),
VALUE(REGEXEXTRACT(O7160,""[0-9]+""))*1000,
VALUE(REGEXEXTRACT(O7160,""[0-9]+""))
),
0
)"),0.0)</f>
        <v>0</v>
      </c>
      <c r="E7160" s="1" t="s">
        <v>11</v>
      </c>
      <c r="F7160" s="1" t="s">
        <v>12</v>
      </c>
      <c r="G7160" s="4" t="b">
        <f t="shared" si="2"/>
        <v>1</v>
      </c>
      <c r="H7160" s="1" t="str">
        <f t="shared" si="3"/>
        <v>Currently Unavailable</v>
      </c>
      <c r="I7160" s="1" t="str">
        <f t="shared" si="4"/>
        <v>No Badges</v>
      </c>
      <c r="J7160" s="3">
        <f t="shared" si="5"/>
        <v>0</v>
      </c>
    </row>
    <row r="7161">
      <c r="A7161" s="1" t="s">
        <v>5469</v>
      </c>
      <c r="B7161" s="3" t="str">
        <f t="shared" si="1"/>
        <v>Unavailable</v>
      </c>
      <c r="C7161" s="3">
        <v>143.0</v>
      </c>
      <c r="D7161" s="3">
        <f>IFERROR(__xludf.DUMMYFUNCTION("IFERROR(
IF(REGEXMATCH(LOWER(O7161),""k""),
VALUE(REGEXEXTRACT(O7161,""[0-9]+""))*1000,
VALUE(REGEXEXTRACT(O7161,""[0-9]+""))
),
0
)"),0.0)</f>
        <v>0</v>
      </c>
      <c r="E7161" s="1" t="s">
        <v>11</v>
      </c>
      <c r="F7161" s="1" t="s">
        <v>20</v>
      </c>
      <c r="G7161" s="4" t="b">
        <f t="shared" si="2"/>
        <v>1</v>
      </c>
      <c r="H7161" s="1" t="str">
        <f t="shared" si="3"/>
        <v>Currently Unavailable</v>
      </c>
      <c r="I7161" s="1" t="str">
        <f t="shared" si="4"/>
        <v>No Badges</v>
      </c>
      <c r="J7161" s="3">
        <f t="shared" si="5"/>
        <v>0</v>
      </c>
    </row>
    <row r="7162">
      <c r="A7162" s="1" t="s">
        <v>701</v>
      </c>
      <c r="B7162" s="3" t="str">
        <f t="shared" si="1"/>
        <v>Unavailable</v>
      </c>
      <c r="C7162" s="3">
        <v>8.0</v>
      </c>
      <c r="D7162" s="3">
        <f>IFERROR(__xludf.DUMMYFUNCTION("IFERROR(
IF(REGEXMATCH(LOWER(O7162),""k""),
VALUE(REGEXEXTRACT(O7162,""[0-9]+""))*1000,
VALUE(REGEXEXTRACT(O7162,""[0-9]+""))
),
0
)"),0.0)</f>
        <v>0</v>
      </c>
      <c r="E7162" s="1" t="s">
        <v>11</v>
      </c>
      <c r="F7162" s="1" t="s">
        <v>12</v>
      </c>
      <c r="G7162" s="4" t="b">
        <f t="shared" si="2"/>
        <v>1</v>
      </c>
      <c r="H7162" s="1" t="str">
        <f t="shared" si="3"/>
        <v>Currently Unavailable</v>
      </c>
      <c r="I7162" s="1" t="str">
        <f t="shared" si="4"/>
        <v>No Badges</v>
      </c>
      <c r="J7162" s="3">
        <f t="shared" si="5"/>
        <v>0</v>
      </c>
    </row>
    <row r="7163">
      <c r="A7163" s="1" t="s">
        <v>5470</v>
      </c>
      <c r="B7163" s="3" t="str">
        <f t="shared" si="1"/>
        <v>Unavailable</v>
      </c>
      <c r="C7163" s="5">
        <v>3088.0</v>
      </c>
      <c r="D7163" s="3">
        <f>IFERROR(__xludf.DUMMYFUNCTION("IFERROR(
IF(REGEXMATCH(LOWER(O7163),""k""),
VALUE(REGEXEXTRACT(O7163,""[0-9]+""))*1000,
VALUE(REGEXEXTRACT(O7163,""[0-9]+""))
),
0
)"),0.0)</f>
        <v>0</v>
      </c>
      <c r="E7163" s="1" t="s">
        <v>11</v>
      </c>
      <c r="F7163" s="1" t="s">
        <v>20</v>
      </c>
      <c r="G7163" s="4" t="b">
        <f t="shared" si="2"/>
        <v>1</v>
      </c>
      <c r="H7163" s="1" t="str">
        <f t="shared" si="3"/>
        <v>Currently Unavailable</v>
      </c>
      <c r="I7163" s="1" t="str">
        <f t="shared" si="4"/>
        <v>No Badges</v>
      </c>
      <c r="J7163" s="3">
        <f t="shared" si="5"/>
        <v>0</v>
      </c>
    </row>
    <row r="7164">
      <c r="A7164" s="1" t="s">
        <v>5471</v>
      </c>
      <c r="B7164" s="3" t="str">
        <f t="shared" si="1"/>
        <v>Unavailable</v>
      </c>
      <c r="C7164" s="3">
        <v>43.0</v>
      </c>
      <c r="D7164" s="3">
        <f>IFERROR(__xludf.DUMMYFUNCTION("IFERROR(
IF(REGEXMATCH(LOWER(O7164),""k""),
VALUE(REGEXEXTRACT(O7164,""[0-9]+""))*1000,
VALUE(REGEXEXTRACT(O7164,""[0-9]+""))
),
0
)"),0.0)</f>
        <v>0</v>
      </c>
      <c r="E7164" s="1" t="s">
        <v>11</v>
      </c>
      <c r="F7164" s="1" t="s">
        <v>20</v>
      </c>
      <c r="G7164" s="4" t="b">
        <f t="shared" si="2"/>
        <v>1</v>
      </c>
      <c r="H7164" s="1" t="str">
        <f t="shared" si="3"/>
        <v>Currently Unavailable</v>
      </c>
      <c r="I7164" s="1" t="str">
        <f t="shared" si="4"/>
        <v>No Badges</v>
      </c>
      <c r="J7164" s="6">
        <f t="shared" si="5"/>
        <v>0</v>
      </c>
    </row>
    <row r="7165">
      <c r="A7165" s="1" t="s">
        <v>5472</v>
      </c>
      <c r="B7165" s="3" t="str">
        <f t="shared" si="1"/>
        <v>Unavailable</v>
      </c>
      <c r="C7165" s="3">
        <v>813.0</v>
      </c>
      <c r="D7165" s="3">
        <f>IFERROR(__xludf.DUMMYFUNCTION("IFERROR(
IF(REGEXMATCH(LOWER(O7165),""k""),
VALUE(REGEXEXTRACT(O7165,""[0-9]+""))*1000,
VALUE(REGEXEXTRACT(O7165,""[0-9]+""))
),
0
)"),0.0)</f>
        <v>0</v>
      </c>
      <c r="E7165" s="1" t="s">
        <v>11</v>
      </c>
      <c r="F7165" s="1" t="s">
        <v>20</v>
      </c>
      <c r="G7165" s="4" t="b">
        <f t="shared" si="2"/>
        <v>1</v>
      </c>
      <c r="H7165" s="1" t="str">
        <f t="shared" si="3"/>
        <v>Currently Unavailable</v>
      </c>
      <c r="I7165" s="1" t="str">
        <f t="shared" si="4"/>
        <v>No Badges</v>
      </c>
      <c r="J7165" s="3">
        <f t="shared" si="5"/>
        <v>0</v>
      </c>
    </row>
    <row r="7166">
      <c r="A7166" s="1" t="s">
        <v>5472</v>
      </c>
      <c r="B7166" s="3" t="str">
        <f t="shared" si="1"/>
        <v>Unavailable</v>
      </c>
      <c r="C7166" s="3">
        <v>813.0</v>
      </c>
      <c r="D7166" s="3">
        <f>IFERROR(__xludf.DUMMYFUNCTION("IFERROR(
IF(REGEXMATCH(LOWER(O7166),""k""),
VALUE(REGEXEXTRACT(O7166,""[0-9]+""))*1000,
VALUE(REGEXEXTRACT(O7166,""[0-9]+""))
),
0
)"),0.0)</f>
        <v>0</v>
      </c>
      <c r="E7166" s="1" t="s">
        <v>11</v>
      </c>
      <c r="F7166" s="1" t="s">
        <v>20</v>
      </c>
      <c r="G7166" s="4" t="b">
        <f t="shared" si="2"/>
        <v>1</v>
      </c>
      <c r="H7166" s="1" t="str">
        <f t="shared" si="3"/>
        <v>Currently Unavailable</v>
      </c>
      <c r="I7166" s="1" t="str">
        <f t="shared" si="4"/>
        <v>No Badges</v>
      </c>
      <c r="J7166" s="3">
        <f t="shared" si="5"/>
        <v>0</v>
      </c>
    </row>
    <row r="7167">
      <c r="A7167" s="1" t="s">
        <v>5473</v>
      </c>
      <c r="B7167" s="3" t="str">
        <f t="shared" si="1"/>
        <v>Unavailable</v>
      </c>
      <c r="C7167" s="3">
        <v>45.0</v>
      </c>
      <c r="D7167" s="3">
        <f>IFERROR(__xludf.DUMMYFUNCTION("IFERROR(
IF(REGEXMATCH(LOWER(O7167),""k""),
VALUE(REGEXEXTRACT(O7167,""[0-9]+""))*1000,
VALUE(REGEXEXTRACT(O7167,""[0-9]+""))
),
0
)"),0.0)</f>
        <v>0</v>
      </c>
      <c r="E7167" s="1" t="s">
        <v>11</v>
      </c>
      <c r="F7167" s="1" t="s">
        <v>20</v>
      </c>
      <c r="G7167" s="4" t="b">
        <f t="shared" si="2"/>
        <v>1</v>
      </c>
      <c r="H7167" s="1" t="str">
        <f t="shared" si="3"/>
        <v>Currently Unavailable</v>
      </c>
      <c r="I7167" s="1" t="str">
        <f t="shared" si="4"/>
        <v>No Badges</v>
      </c>
      <c r="J7167" s="3">
        <f t="shared" si="5"/>
        <v>0</v>
      </c>
    </row>
    <row r="7168">
      <c r="A7168" s="1" t="s">
        <v>5397</v>
      </c>
      <c r="B7168" s="3" t="str">
        <f t="shared" si="1"/>
        <v>Unavailable</v>
      </c>
      <c r="C7168" s="5">
        <v>1465.0</v>
      </c>
      <c r="D7168" s="3">
        <f>IFERROR(__xludf.DUMMYFUNCTION("IFERROR(
IF(REGEXMATCH(LOWER(O7168),""k""),
VALUE(REGEXEXTRACT(O7168,""[0-9]+""))*1000,
VALUE(REGEXEXTRACT(O7168,""[0-9]+""))
),
0
)"),0.0)</f>
        <v>0</v>
      </c>
      <c r="E7168" s="1" t="s">
        <v>11</v>
      </c>
      <c r="F7168" s="1" t="s">
        <v>12</v>
      </c>
      <c r="G7168" s="4" t="b">
        <f t="shared" si="2"/>
        <v>1</v>
      </c>
      <c r="H7168" s="1" t="str">
        <f t="shared" si="3"/>
        <v>Currently Unavailable</v>
      </c>
      <c r="I7168" s="1" t="str">
        <f t="shared" si="4"/>
        <v>No Badges</v>
      </c>
      <c r="J7168" s="3">
        <f t="shared" si="5"/>
        <v>0</v>
      </c>
    </row>
    <row r="7169">
      <c r="A7169" s="1" t="s">
        <v>5474</v>
      </c>
      <c r="B7169" s="3" t="str">
        <f t="shared" si="1"/>
        <v>Unavailable</v>
      </c>
      <c r="C7169" s="3">
        <v>8.0</v>
      </c>
      <c r="D7169" s="3">
        <f>IFERROR(__xludf.DUMMYFUNCTION("IFERROR(
IF(REGEXMATCH(LOWER(O7169),""k""),
VALUE(REGEXEXTRACT(O7169,""[0-9]+""))*1000,
VALUE(REGEXEXTRACT(O7169,""[0-9]+""))
),
0
)"),0.0)</f>
        <v>0</v>
      </c>
      <c r="E7169" s="1" t="s">
        <v>11</v>
      </c>
      <c r="F7169" s="1" t="s">
        <v>20</v>
      </c>
      <c r="G7169" s="4" t="b">
        <f t="shared" si="2"/>
        <v>1</v>
      </c>
      <c r="H7169" s="1" t="str">
        <f t="shared" si="3"/>
        <v>Currently Unavailable</v>
      </c>
      <c r="I7169" s="1" t="str">
        <f t="shared" si="4"/>
        <v>No Badges</v>
      </c>
      <c r="J7169" s="3">
        <f t="shared" si="5"/>
        <v>0</v>
      </c>
    </row>
    <row r="7170">
      <c r="A7170" s="1" t="s">
        <v>5475</v>
      </c>
      <c r="B7170" s="3" t="str">
        <f t="shared" si="1"/>
        <v>Unavailable</v>
      </c>
      <c r="C7170" s="3">
        <v>34.0</v>
      </c>
      <c r="D7170" s="3">
        <f>IFERROR(__xludf.DUMMYFUNCTION("IFERROR(
IF(REGEXMATCH(LOWER(O7170),""k""),
VALUE(REGEXEXTRACT(O7170,""[0-9]+""))*1000,
VALUE(REGEXEXTRACT(O7170,""[0-9]+""))
),
0
)"),0.0)</f>
        <v>0</v>
      </c>
      <c r="E7170" s="1" t="s">
        <v>11</v>
      </c>
      <c r="F7170" s="1" t="s">
        <v>20</v>
      </c>
      <c r="G7170" s="4" t="b">
        <f t="shared" si="2"/>
        <v>1</v>
      </c>
      <c r="H7170" s="1" t="str">
        <f t="shared" si="3"/>
        <v>Currently Unavailable</v>
      </c>
      <c r="I7170" s="1" t="str">
        <f t="shared" si="4"/>
        <v>No Badges</v>
      </c>
      <c r="J7170" s="3">
        <f t="shared" si="5"/>
        <v>0</v>
      </c>
    </row>
    <row r="7171">
      <c r="A7171" s="1" t="s">
        <v>5476</v>
      </c>
      <c r="B7171" s="3" t="str">
        <f t="shared" si="1"/>
        <v>Unavailable</v>
      </c>
      <c r="C7171" s="3">
        <v>122.0</v>
      </c>
      <c r="D7171" s="3">
        <f>IFERROR(__xludf.DUMMYFUNCTION("IFERROR(
IF(REGEXMATCH(LOWER(O7171),""k""),
VALUE(REGEXEXTRACT(O7171,""[0-9]+""))*1000,
VALUE(REGEXEXTRACT(O7171,""[0-9]+""))
),
0
)"),0.0)</f>
        <v>0</v>
      </c>
      <c r="E7171" s="1" t="s">
        <v>11</v>
      </c>
      <c r="F7171" s="1" t="s">
        <v>20</v>
      </c>
      <c r="G7171" s="4" t="b">
        <f t="shared" si="2"/>
        <v>1</v>
      </c>
      <c r="H7171" s="1" t="str">
        <f t="shared" si="3"/>
        <v>Currently Unavailable</v>
      </c>
      <c r="I7171" s="1" t="str">
        <f t="shared" si="4"/>
        <v>No Badges</v>
      </c>
      <c r="J7171" s="3">
        <f t="shared" si="5"/>
        <v>0</v>
      </c>
    </row>
    <row r="7172">
      <c r="A7172" s="1" t="s">
        <v>5477</v>
      </c>
      <c r="B7172" s="3" t="str">
        <f t="shared" si="1"/>
        <v>Unavailable</v>
      </c>
      <c r="C7172" s="3">
        <v>325.0</v>
      </c>
      <c r="D7172" s="3">
        <f>IFERROR(__xludf.DUMMYFUNCTION("IFERROR(
IF(REGEXMATCH(LOWER(O7172),""k""),
VALUE(REGEXEXTRACT(O7172,""[0-9]+""))*1000,
VALUE(REGEXEXTRACT(O7172,""[0-9]+""))
),
0
)"),0.0)</f>
        <v>0</v>
      </c>
      <c r="E7172" s="1" t="s">
        <v>11</v>
      </c>
      <c r="F7172" s="1" t="s">
        <v>20</v>
      </c>
      <c r="G7172" s="4" t="b">
        <f t="shared" si="2"/>
        <v>1</v>
      </c>
      <c r="H7172" s="1" t="str">
        <f t="shared" si="3"/>
        <v>Currently Unavailable</v>
      </c>
      <c r="I7172" s="1" t="str">
        <f t="shared" si="4"/>
        <v>No Badges</v>
      </c>
      <c r="J7172" s="6">
        <f t="shared" si="5"/>
        <v>0</v>
      </c>
    </row>
    <row r="7173">
      <c r="A7173" s="1" t="s">
        <v>5478</v>
      </c>
      <c r="B7173" s="3" t="str">
        <f t="shared" si="1"/>
        <v>Unavailable</v>
      </c>
      <c r="C7173" s="3">
        <v>346.0</v>
      </c>
      <c r="D7173" s="3">
        <f>IFERROR(__xludf.DUMMYFUNCTION("IFERROR(
IF(REGEXMATCH(LOWER(O7173),""k""),
VALUE(REGEXEXTRACT(O7173,""[0-9]+""))*1000,
VALUE(REGEXEXTRACT(O7173,""[0-9]+""))
),
0
)"),0.0)</f>
        <v>0</v>
      </c>
      <c r="E7173" s="1" t="s">
        <v>11</v>
      </c>
      <c r="F7173" s="1" t="s">
        <v>20</v>
      </c>
      <c r="G7173" s="4" t="b">
        <f t="shared" si="2"/>
        <v>1</v>
      </c>
      <c r="H7173" s="1" t="str">
        <f t="shared" si="3"/>
        <v>Currently Unavailable</v>
      </c>
      <c r="I7173" s="1" t="str">
        <f t="shared" si="4"/>
        <v>No Badges</v>
      </c>
      <c r="J7173" s="6">
        <f t="shared" si="5"/>
        <v>0</v>
      </c>
    </row>
    <row r="7174">
      <c r="A7174" s="1" t="s">
        <v>5479</v>
      </c>
      <c r="B7174" s="3" t="str">
        <f t="shared" si="1"/>
        <v>Unavailable</v>
      </c>
      <c r="C7174" s="3">
        <v>325.0</v>
      </c>
      <c r="D7174" s="3">
        <f>IFERROR(__xludf.DUMMYFUNCTION("IFERROR(
IF(REGEXMATCH(LOWER(O7174),""k""),
VALUE(REGEXEXTRACT(O7174,""[0-9]+""))*1000,
VALUE(REGEXEXTRACT(O7174,""[0-9]+""))
),
0
)"),0.0)</f>
        <v>0</v>
      </c>
      <c r="E7174" s="1" t="s">
        <v>11</v>
      </c>
      <c r="F7174" s="1" t="s">
        <v>20</v>
      </c>
      <c r="G7174" s="4" t="b">
        <f t="shared" si="2"/>
        <v>1</v>
      </c>
      <c r="H7174" s="1" t="str">
        <f t="shared" si="3"/>
        <v>Currently Unavailable</v>
      </c>
      <c r="I7174" s="1" t="str">
        <f t="shared" si="4"/>
        <v>No Badges</v>
      </c>
      <c r="J7174" s="3">
        <f t="shared" si="5"/>
        <v>0</v>
      </c>
    </row>
    <row r="7175">
      <c r="A7175" s="1" t="s">
        <v>5480</v>
      </c>
      <c r="B7175" s="3" t="str">
        <f t="shared" si="1"/>
        <v>Unavailable</v>
      </c>
      <c r="C7175" s="3">
        <v>1.0</v>
      </c>
      <c r="D7175" s="3">
        <f>IFERROR(__xludf.DUMMYFUNCTION("IFERROR(
IF(REGEXMATCH(LOWER(O7175),""k""),
VALUE(REGEXEXTRACT(O7175,""[0-9]+""))*1000,
VALUE(REGEXEXTRACT(O7175,""[0-9]+""))
),
0
)"),0.0)</f>
        <v>0</v>
      </c>
      <c r="E7175" s="1" t="s">
        <v>11</v>
      </c>
      <c r="F7175" s="1" t="s">
        <v>20</v>
      </c>
      <c r="G7175" s="4" t="b">
        <f t="shared" si="2"/>
        <v>1</v>
      </c>
      <c r="H7175" s="1" t="str">
        <f t="shared" si="3"/>
        <v>Currently Unavailable</v>
      </c>
      <c r="I7175" s="1" t="str">
        <f t="shared" si="4"/>
        <v>No Badges</v>
      </c>
      <c r="J7175" s="3">
        <f t="shared" si="5"/>
        <v>0</v>
      </c>
    </row>
    <row r="7176">
      <c r="A7176" s="1" t="s">
        <v>5481</v>
      </c>
      <c r="B7176" s="3" t="str">
        <f t="shared" si="1"/>
        <v>Unavailable</v>
      </c>
      <c r="C7176" s="3">
        <v>5.0</v>
      </c>
      <c r="D7176" s="3">
        <f>IFERROR(__xludf.DUMMYFUNCTION("IFERROR(
IF(REGEXMATCH(LOWER(O7176),""k""),
VALUE(REGEXEXTRACT(O7176,""[0-9]+""))*1000,
VALUE(REGEXEXTRACT(O7176,""[0-9]+""))
),
0
)"),0.0)</f>
        <v>0</v>
      </c>
      <c r="E7176" s="1" t="s">
        <v>11</v>
      </c>
      <c r="F7176" s="1" t="s">
        <v>20</v>
      </c>
      <c r="G7176" s="4" t="b">
        <f t="shared" si="2"/>
        <v>1</v>
      </c>
      <c r="H7176" s="1" t="str">
        <f t="shared" si="3"/>
        <v>Currently Unavailable</v>
      </c>
      <c r="I7176" s="1" t="str">
        <f t="shared" si="4"/>
        <v>No Badges</v>
      </c>
      <c r="J7176" s="3">
        <f t="shared" si="5"/>
        <v>0</v>
      </c>
    </row>
    <row r="7177">
      <c r="A7177" s="1" t="s">
        <v>5482</v>
      </c>
      <c r="B7177" s="3" t="str">
        <f t="shared" si="1"/>
        <v>Unavailable</v>
      </c>
      <c r="C7177" s="3">
        <v>347.0</v>
      </c>
      <c r="D7177" s="3">
        <f>IFERROR(__xludf.DUMMYFUNCTION("IFERROR(
IF(REGEXMATCH(LOWER(O7177),""k""),
VALUE(REGEXEXTRACT(O7177,""[0-9]+""))*1000,
VALUE(REGEXEXTRACT(O7177,""[0-9]+""))
),
0
)"),0.0)</f>
        <v>0</v>
      </c>
      <c r="E7177" s="1" t="s">
        <v>11</v>
      </c>
      <c r="F7177" s="1" t="s">
        <v>20</v>
      </c>
      <c r="G7177" s="4" t="b">
        <f t="shared" si="2"/>
        <v>1</v>
      </c>
      <c r="H7177" s="1" t="str">
        <f t="shared" si="3"/>
        <v>Currently Unavailable</v>
      </c>
      <c r="I7177" s="1" t="str">
        <f t="shared" si="4"/>
        <v>No Badges</v>
      </c>
      <c r="J7177" s="3">
        <f t="shared" si="5"/>
        <v>0</v>
      </c>
    </row>
    <row r="7178">
      <c r="A7178" s="1" t="s">
        <v>5483</v>
      </c>
      <c r="B7178" s="3" t="str">
        <f t="shared" si="1"/>
        <v>Unavailable</v>
      </c>
      <c r="C7178" s="3">
        <v>14.0</v>
      </c>
      <c r="D7178" s="3">
        <f>IFERROR(__xludf.DUMMYFUNCTION("IFERROR(
IF(REGEXMATCH(LOWER(O7178),""k""),
VALUE(REGEXEXTRACT(O7178,""[0-9]+""))*1000,
VALUE(REGEXEXTRACT(O7178,""[0-9]+""))
),
0
)"),0.0)</f>
        <v>0</v>
      </c>
      <c r="E7178" s="1" t="s">
        <v>11</v>
      </c>
      <c r="F7178" s="1" t="s">
        <v>20</v>
      </c>
      <c r="G7178" s="4" t="b">
        <f t="shared" si="2"/>
        <v>1</v>
      </c>
      <c r="H7178" s="1" t="str">
        <f t="shared" si="3"/>
        <v>Currently Unavailable</v>
      </c>
      <c r="I7178" s="1" t="str">
        <f t="shared" si="4"/>
        <v>No Badges</v>
      </c>
      <c r="J7178" s="3">
        <f t="shared" si="5"/>
        <v>0</v>
      </c>
    </row>
    <row r="7179">
      <c r="A7179" s="1" t="s">
        <v>5484</v>
      </c>
      <c r="B7179" s="3" t="str">
        <f t="shared" si="1"/>
        <v>Unavailable</v>
      </c>
      <c r="C7179" s="3">
        <v>95.0</v>
      </c>
      <c r="D7179" s="3">
        <f>IFERROR(__xludf.DUMMYFUNCTION("IFERROR(
IF(REGEXMATCH(LOWER(O7179),""k""),
VALUE(REGEXEXTRACT(O7179,""[0-9]+""))*1000,
VALUE(REGEXEXTRACT(O7179,""[0-9]+""))
),
0
)"),0.0)</f>
        <v>0</v>
      </c>
      <c r="E7179" s="1" t="s">
        <v>11</v>
      </c>
      <c r="F7179" s="1" t="s">
        <v>20</v>
      </c>
      <c r="G7179" s="4" t="b">
        <f t="shared" si="2"/>
        <v>1</v>
      </c>
      <c r="H7179" s="1" t="str">
        <f t="shared" si="3"/>
        <v>Currently Unavailable</v>
      </c>
      <c r="I7179" s="1" t="str">
        <f t="shared" si="4"/>
        <v>No Badges</v>
      </c>
      <c r="J7179" s="3">
        <f t="shared" si="5"/>
        <v>0</v>
      </c>
    </row>
    <row r="7180">
      <c r="A7180" s="1" t="s">
        <v>69</v>
      </c>
      <c r="B7180" s="3" t="str">
        <f t="shared" si="1"/>
        <v>Unavailable</v>
      </c>
      <c r="C7180" s="3">
        <v>45.0</v>
      </c>
      <c r="D7180" s="3">
        <f>IFERROR(__xludf.DUMMYFUNCTION("IFERROR(
IF(REGEXMATCH(LOWER(O7180),""k""),
VALUE(REGEXEXTRACT(O7180,""[0-9]+""))*1000,
VALUE(REGEXEXTRACT(O7180,""[0-9]+""))
),
0
)"),0.0)</f>
        <v>0</v>
      </c>
      <c r="E7180" s="1" t="s">
        <v>11</v>
      </c>
      <c r="F7180" s="1" t="s">
        <v>12</v>
      </c>
      <c r="G7180" s="4" t="b">
        <f t="shared" si="2"/>
        <v>1</v>
      </c>
      <c r="H7180" s="1" t="str">
        <f t="shared" si="3"/>
        <v>Currently Unavailable</v>
      </c>
      <c r="I7180" s="1" t="str">
        <f t="shared" si="4"/>
        <v>No Badges</v>
      </c>
      <c r="J7180" s="3">
        <f t="shared" si="5"/>
        <v>0</v>
      </c>
    </row>
    <row r="7181">
      <c r="A7181" s="1" t="s">
        <v>5485</v>
      </c>
      <c r="B7181" s="3" t="str">
        <f t="shared" si="1"/>
        <v>Unavailable</v>
      </c>
      <c r="C7181" s="3">
        <v>14.0</v>
      </c>
      <c r="D7181" s="3">
        <f>IFERROR(__xludf.DUMMYFUNCTION("IFERROR(
IF(REGEXMATCH(LOWER(O7181),""k""),
VALUE(REGEXEXTRACT(O7181,""[0-9]+""))*1000,
VALUE(REGEXEXTRACT(O7181,""[0-9]+""))
),
0
)"),0.0)</f>
        <v>0</v>
      </c>
      <c r="E7181" s="1" t="s">
        <v>11</v>
      </c>
      <c r="F7181" s="1" t="s">
        <v>20</v>
      </c>
      <c r="G7181" s="4" t="b">
        <f t="shared" si="2"/>
        <v>1</v>
      </c>
      <c r="H7181" s="1" t="str">
        <f t="shared" si="3"/>
        <v>Currently Unavailable</v>
      </c>
      <c r="I7181" s="1" t="str">
        <f t="shared" si="4"/>
        <v>No Badges</v>
      </c>
      <c r="J7181" s="3">
        <f t="shared" si="5"/>
        <v>0</v>
      </c>
    </row>
    <row r="7182">
      <c r="A7182" s="1" t="s">
        <v>5486</v>
      </c>
      <c r="B7182" s="3" t="str">
        <f t="shared" si="1"/>
        <v>Unavailable</v>
      </c>
      <c r="C7182" s="5">
        <v>1500.0</v>
      </c>
      <c r="D7182" s="3">
        <f>IFERROR(__xludf.DUMMYFUNCTION("IFERROR(
IF(REGEXMATCH(LOWER(O7182),""k""),
VALUE(REGEXEXTRACT(O7182,""[0-9]+""))*1000,
VALUE(REGEXEXTRACT(O7182,""[0-9]+""))
),
0
)"),0.0)</f>
        <v>0</v>
      </c>
      <c r="E7182" s="1" t="s">
        <v>11</v>
      </c>
      <c r="F7182" s="1" t="s">
        <v>20</v>
      </c>
      <c r="G7182" s="4" t="b">
        <f t="shared" si="2"/>
        <v>1</v>
      </c>
      <c r="H7182" s="1" t="str">
        <f t="shared" si="3"/>
        <v>Currently Unavailable</v>
      </c>
      <c r="I7182" s="1" t="str">
        <f t="shared" si="4"/>
        <v>No Badges</v>
      </c>
      <c r="J7182" s="3">
        <f t="shared" si="5"/>
        <v>0</v>
      </c>
    </row>
    <row r="7183">
      <c r="A7183" s="1" t="s">
        <v>5487</v>
      </c>
      <c r="B7183" s="3" t="str">
        <f t="shared" si="1"/>
        <v>Unavailable</v>
      </c>
      <c r="C7183" s="3">
        <v>344.0</v>
      </c>
      <c r="D7183" s="3">
        <f>IFERROR(__xludf.DUMMYFUNCTION("IFERROR(
IF(REGEXMATCH(LOWER(O7183),""k""),
VALUE(REGEXEXTRACT(O7183,""[0-9]+""))*1000,
VALUE(REGEXEXTRACT(O7183,""[0-9]+""))
),
0
)"),0.0)</f>
        <v>0</v>
      </c>
      <c r="E7183" s="1" t="s">
        <v>11</v>
      </c>
      <c r="F7183" s="1" t="s">
        <v>20</v>
      </c>
      <c r="G7183" s="4" t="b">
        <f t="shared" si="2"/>
        <v>1</v>
      </c>
      <c r="H7183" s="1" t="str">
        <f t="shared" si="3"/>
        <v>Currently Unavailable</v>
      </c>
      <c r="I7183" s="1" t="str">
        <f t="shared" si="4"/>
        <v>No Badges</v>
      </c>
      <c r="J7183" s="3">
        <f t="shared" si="5"/>
        <v>0</v>
      </c>
    </row>
    <row r="7184">
      <c r="A7184" s="1" t="s">
        <v>5397</v>
      </c>
      <c r="B7184" s="3" t="str">
        <f t="shared" si="1"/>
        <v>Unavailable</v>
      </c>
      <c r="C7184" s="5">
        <v>1465.0</v>
      </c>
      <c r="D7184" s="3">
        <f>IFERROR(__xludf.DUMMYFUNCTION("IFERROR(
IF(REGEXMATCH(LOWER(O7184),""k""),
VALUE(REGEXEXTRACT(O7184,""[0-9]+""))*1000,
VALUE(REGEXEXTRACT(O7184,""[0-9]+""))
),
0
)"),0.0)</f>
        <v>0</v>
      </c>
      <c r="E7184" s="1" t="s">
        <v>11</v>
      </c>
      <c r="F7184" s="1" t="s">
        <v>12</v>
      </c>
      <c r="G7184" s="4" t="b">
        <f t="shared" si="2"/>
        <v>1</v>
      </c>
      <c r="H7184" s="1" t="str">
        <f t="shared" si="3"/>
        <v>Currently Unavailable</v>
      </c>
      <c r="I7184" s="1" t="str">
        <f t="shared" si="4"/>
        <v>No Badges</v>
      </c>
      <c r="J7184" s="3">
        <f t="shared" si="5"/>
        <v>0</v>
      </c>
    </row>
    <row r="7185">
      <c r="A7185" s="1" t="s">
        <v>5488</v>
      </c>
      <c r="B7185" s="3" t="str">
        <f t="shared" si="1"/>
        <v>Unavailable</v>
      </c>
      <c r="C7185" s="3">
        <v>33.0</v>
      </c>
      <c r="D7185" s="3">
        <f>IFERROR(__xludf.DUMMYFUNCTION("IFERROR(
IF(REGEXMATCH(LOWER(O7185),""k""),
VALUE(REGEXEXTRACT(O7185,""[0-9]+""))*1000,
VALUE(REGEXEXTRACT(O7185,""[0-9]+""))
),
0
)"),0.0)</f>
        <v>0</v>
      </c>
      <c r="E7185" s="1" t="s">
        <v>11</v>
      </c>
      <c r="F7185" s="1" t="s">
        <v>20</v>
      </c>
      <c r="G7185" s="4" t="b">
        <f t="shared" si="2"/>
        <v>1</v>
      </c>
      <c r="H7185" s="1" t="str">
        <f t="shared" si="3"/>
        <v>Currently Unavailable</v>
      </c>
      <c r="I7185" s="1" t="str">
        <f t="shared" si="4"/>
        <v>No Badges</v>
      </c>
      <c r="J7185" s="3">
        <f t="shared" si="5"/>
        <v>0</v>
      </c>
    </row>
    <row r="7186">
      <c r="A7186" s="1" t="s">
        <v>5489</v>
      </c>
      <c r="B7186" s="3" t="str">
        <f t="shared" si="1"/>
        <v>Unavailable</v>
      </c>
      <c r="C7186" s="3">
        <v>119.0</v>
      </c>
      <c r="D7186" s="3">
        <f>IFERROR(__xludf.DUMMYFUNCTION("IFERROR(
IF(REGEXMATCH(LOWER(O7186),""k""),
VALUE(REGEXEXTRACT(O7186,""[0-9]+""))*1000,
VALUE(REGEXEXTRACT(O7186,""[0-9]+""))
),
0
)"),0.0)</f>
        <v>0</v>
      </c>
      <c r="E7186" s="1" t="s">
        <v>11</v>
      </c>
      <c r="F7186" s="1" t="s">
        <v>20</v>
      </c>
      <c r="G7186" s="4" t="b">
        <f t="shared" si="2"/>
        <v>1</v>
      </c>
      <c r="H7186" s="1" t="str">
        <f t="shared" si="3"/>
        <v>Currently Unavailable</v>
      </c>
      <c r="I7186" s="1" t="str">
        <f t="shared" si="4"/>
        <v>No Badges</v>
      </c>
      <c r="J7186" s="3">
        <f t="shared" si="5"/>
        <v>0</v>
      </c>
    </row>
    <row r="7187">
      <c r="A7187" s="1" t="s">
        <v>5490</v>
      </c>
      <c r="B7187" s="3" t="str">
        <f t="shared" si="1"/>
        <v>Unavailable</v>
      </c>
      <c r="C7187" s="3">
        <v>88.0</v>
      </c>
      <c r="D7187" s="3">
        <f>IFERROR(__xludf.DUMMYFUNCTION("IFERROR(
IF(REGEXMATCH(LOWER(O7187),""k""),
VALUE(REGEXEXTRACT(O7187,""[0-9]+""))*1000,
VALUE(REGEXEXTRACT(O7187,""[0-9]+""))
),
0
)"),0.0)</f>
        <v>0</v>
      </c>
      <c r="E7187" s="1" t="s">
        <v>11</v>
      </c>
      <c r="F7187" s="1" t="s">
        <v>20</v>
      </c>
      <c r="G7187" s="4" t="b">
        <f t="shared" si="2"/>
        <v>1</v>
      </c>
      <c r="H7187" s="1" t="str">
        <f t="shared" si="3"/>
        <v>Currently Unavailable</v>
      </c>
      <c r="I7187" s="1" t="str">
        <f t="shared" si="4"/>
        <v>No Badges</v>
      </c>
      <c r="J7187" s="3">
        <f t="shared" si="5"/>
        <v>0</v>
      </c>
    </row>
    <row r="7188">
      <c r="A7188" s="1" t="s">
        <v>5491</v>
      </c>
      <c r="B7188" s="3" t="str">
        <f t="shared" si="1"/>
        <v>Unavailable</v>
      </c>
      <c r="C7188" s="5">
        <v>3016.0</v>
      </c>
      <c r="D7188" s="3">
        <f>IFERROR(__xludf.DUMMYFUNCTION("IFERROR(
IF(REGEXMATCH(LOWER(O7188),""k""),
VALUE(REGEXEXTRACT(O7188,""[0-9]+""))*1000,
VALUE(REGEXEXTRACT(O7188,""[0-9]+""))
),
0
)"),0.0)</f>
        <v>0</v>
      </c>
      <c r="E7188" s="1" t="s">
        <v>11</v>
      </c>
      <c r="F7188" s="1" t="s">
        <v>20</v>
      </c>
      <c r="G7188" s="4" t="b">
        <f t="shared" si="2"/>
        <v>1</v>
      </c>
      <c r="H7188" s="1" t="str">
        <f t="shared" si="3"/>
        <v>Currently Unavailable</v>
      </c>
      <c r="I7188" s="1" t="str">
        <f t="shared" si="4"/>
        <v>No Badges</v>
      </c>
      <c r="J7188" s="3">
        <f t="shared" si="5"/>
        <v>0</v>
      </c>
    </row>
    <row r="7189">
      <c r="A7189" s="1" t="s">
        <v>5492</v>
      </c>
      <c r="B7189" s="3" t="str">
        <f t="shared" si="1"/>
        <v>Unavailable</v>
      </c>
      <c r="C7189" s="3">
        <v>157.0</v>
      </c>
      <c r="D7189" s="3">
        <f>IFERROR(__xludf.DUMMYFUNCTION("IFERROR(
IF(REGEXMATCH(LOWER(O7189),""k""),
VALUE(REGEXEXTRACT(O7189,""[0-9]+""))*1000,
VALUE(REGEXEXTRACT(O7189,""[0-9]+""))
),
0
)"),0.0)</f>
        <v>0</v>
      </c>
      <c r="E7189" s="1" t="s">
        <v>11</v>
      </c>
      <c r="F7189" s="1" t="s">
        <v>20</v>
      </c>
      <c r="G7189" s="4" t="b">
        <f t="shared" si="2"/>
        <v>1</v>
      </c>
      <c r="H7189" s="1" t="str">
        <f t="shared" si="3"/>
        <v>Currently Unavailable</v>
      </c>
      <c r="I7189" s="1" t="str">
        <f t="shared" si="4"/>
        <v>No Badges</v>
      </c>
      <c r="J7189" s="3">
        <f t="shared" si="5"/>
        <v>0</v>
      </c>
    </row>
    <row r="7190">
      <c r="A7190" s="1" t="s">
        <v>5493</v>
      </c>
      <c r="B7190" s="3" t="str">
        <f t="shared" si="1"/>
        <v>Unavailable</v>
      </c>
      <c r="C7190" s="3">
        <v>62.0</v>
      </c>
      <c r="D7190" s="3">
        <f>IFERROR(__xludf.DUMMYFUNCTION("IFERROR(
IF(REGEXMATCH(LOWER(O7190),""k""),
VALUE(REGEXEXTRACT(O7190,""[0-9]+""))*1000,
VALUE(REGEXEXTRACT(O7190,""[0-9]+""))
),
0
)"),0.0)</f>
        <v>0</v>
      </c>
      <c r="E7190" s="1" t="s">
        <v>11</v>
      </c>
      <c r="F7190" s="1" t="s">
        <v>20</v>
      </c>
      <c r="G7190" s="4" t="b">
        <f t="shared" si="2"/>
        <v>1</v>
      </c>
      <c r="H7190" s="1" t="str">
        <f t="shared" si="3"/>
        <v>Currently Unavailable</v>
      </c>
      <c r="I7190" s="1" t="str">
        <f t="shared" si="4"/>
        <v>No Badges</v>
      </c>
      <c r="J7190" s="3">
        <f t="shared" si="5"/>
        <v>0</v>
      </c>
    </row>
    <row r="7191">
      <c r="A7191" s="1" t="s">
        <v>5494</v>
      </c>
      <c r="B7191" s="3" t="str">
        <f t="shared" si="1"/>
        <v>Unavailable</v>
      </c>
      <c r="C7191" s="3">
        <v>13.0</v>
      </c>
      <c r="D7191" s="3">
        <f>IFERROR(__xludf.DUMMYFUNCTION("IFERROR(
IF(REGEXMATCH(LOWER(O7191),""k""),
VALUE(REGEXEXTRACT(O7191,""[0-9]+""))*1000,
VALUE(REGEXEXTRACT(O7191,""[0-9]+""))
),
0
)"),0.0)</f>
        <v>0</v>
      </c>
      <c r="E7191" s="1" t="s">
        <v>11</v>
      </c>
      <c r="F7191" s="1" t="s">
        <v>20</v>
      </c>
      <c r="G7191" s="4" t="b">
        <f t="shared" si="2"/>
        <v>1</v>
      </c>
      <c r="H7191" s="1" t="str">
        <f t="shared" si="3"/>
        <v>Currently Unavailable</v>
      </c>
      <c r="I7191" s="1" t="str">
        <f t="shared" si="4"/>
        <v>No Badges</v>
      </c>
      <c r="J7191" s="3">
        <f t="shared" si="5"/>
        <v>0</v>
      </c>
    </row>
    <row r="7192">
      <c r="A7192" s="1" t="s">
        <v>5495</v>
      </c>
      <c r="B7192" s="3" t="str">
        <f t="shared" si="1"/>
        <v>Unavailable</v>
      </c>
      <c r="C7192" s="3">
        <v>7.0</v>
      </c>
      <c r="D7192" s="3">
        <f>IFERROR(__xludf.DUMMYFUNCTION("IFERROR(
IF(REGEXMATCH(LOWER(O7192),""k""),
VALUE(REGEXEXTRACT(O7192,""[0-9]+""))*1000,
VALUE(REGEXEXTRACT(O7192,""[0-9]+""))
),
0
)"),0.0)</f>
        <v>0</v>
      </c>
      <c r="E7192" s="1" t="s">
        <v>11</v>
      </c>
      <c r="F7192" s="1" t="s">
        <v>20</v>
      </c>
      <c r="G7192" s="4" t="b">
        <f t="shared" si="2"/>
        <v>1</v>
      </c>
      <c r="H7192" s="1" t="str">
        <f t="shared" si="3"/>
        <v>Currently Unavailable</v>
      </c>
      <c r="I7192" s="1" t="str">
        <f t="shared" si="4"/>
        <v>No Badges</v>
      </c>
      <c r="J7192" s="3">
        <f t="shared" si="5"/>
        <v>0</v>
      </c>
    </row>
    <row r="7193">
      <c r="A7193" s="1" t="s">
        <v>67</v>
      </c>
      <c r="B7193" s="3" t="str">
        <f t="shared" si="1"/>
        <v>Unavailable</v>
      </c>
      <c r="C7193" s="3">
        <v>264.0</v>
      </c>
      <c r="D7193" s="3">
        <f>IFERROR(__xludf.DUMMYFUNCTION("IFERROR(
IF(REGEXMATCH(LOWER(O7193),""k""),
VALUE(REGEXEXTRACT(O7193,""[0-9]+""))*1000,
VALUE(REGEXEXTRACT(O7193,""[0-9]+""))
),
0
)"),0.0)</f>
        <v>0</v>
      </c>
      <c r="E7193" s="1" t="s">
        <v>11</v>
      </c>
      <c r="F7193" s="1" t="s">
        <v>12</v>
      </c>
      <c r="G7193" s="4" t="b">
        <f t="shared" si="2"/>
        <v>1</v>
      </c>
      <c r="H7193" s="1" t="str">
        <f t="shared" si="3"/>
        <v>Currently Unavailable</v>
      </c>
      <c r="I7193" s="1" t="str">
        <f t="shared" si="4"/>
        <v>No Badges</v>
      </c>
      <c r="J7193" s="3">
        <f t="shared" si="5"/>
        <v>0</v>
      </c>
    </row>
    <row r="7194">
      <c r="A7194" s="1" t="s">
        <v>5496</v>
      </c>
      <c r="B7194" s="3" t="str">
        <f t="shared" si="1"/>
        <v>Unavailable</v>
      </c>
      <c r="C7194" s="3">
        <v>5.0</v>
      </c>
      <c r="D7194" s="3">
        <f>IFERROR(__xludf.DUMMYFUNCTION("IFERROR(
IF(REGEXMATCH(LOWER(O7194),""k""),
VALUE(REGEXEXTRACT(O7194,""[0-9]+""))*1000,
VALUE(REGEXEXTRACT(O7194,""[0-9]+""))
),
0
)"),0.0)</f>
        <v>0</v>
      </c>
      <c r="E7194" s="1" t="s">
        <v>11</v>
      </c>
      <c r="F7194" s="1" t="s">
        <v>20</v>
      </c>
      <c r="G7194" s="4" t="b">
        <f t="shared" si="2"/>
        <v>1</v>
      </c>
      <c r="H7194" s="1" t="str">
        <f t="shared" si="3"/>
        <v>Currently Unavailable</v>
      </c>
      <c r="I7194" s="1" t="str">
        <f t="shared" si="4"/>
        <v>No Badges</v>
      </c>
      <c r="J7194" s="6">
        <f t="shared" si="5"/>
        <v>0</v>
      </c>
    </row>
    <row r="7195">
      <c r="A7195" s="1" t="s">
        <v>701</v>
      </c>
      <c r="B7195" s="3" t="str">
        <f t="shared" si="1"/>
        <v>Unavailable</v>
      </c>
      <c r="C7195" s="3">
        <v>8.0</v>
      </c>
      <c r="D7195" s="3">
        <f>IFERROR(__xludf.DUMMYFUNCTION("IFERROR(
IF(REGEXMATCH(LOWER(O7195),""k""),
VALUE(REGEXEXTRACT(O7195,""[0-9]+""))*1000,
VALUE(REGEXEXTRACT(O7195,""[0-9]+""))
),
0
)"),0.0)</f>
        <v>0</v>
      </c>
      <c r="E7195" s="1" t="s">
        <v>11</v>
      </c>
      <c r="F7195" s="1" t="s">
        <v>12</v>
      </c>
      <c r="G7195" s="4" t="b">
        <f t="shared" si="2"/>
        <v>1</v>
      </c>
      <c r="H7195" s="1" t="str">
        <f t="shared" si="3"/>
        <v>Currently Unavailable</v>
      </c>
      <c r="I7195" s="1" t="str">
        <f t="shared" si="4"/>
        <v>No Badges</v>
      </c>
      <c r="J7195" s="3">
        <f t="shared" si="5"/>
        <v>0</v>
      </c>
    </row>
    <row r="7196">
      <c r="A7196" s="1" t="s">
        <v>5497</v>
      </c>
      <c r="B7196" s="3" t="str">
        <f t="shared" si="1"/>
        <v>Unavailable</v>
      </c>
      <c r="C7196" s="3">
        <v>181.0</v>
      </c>
      <c r="D7196" s="3">
        <f>IFERROR(__xludf.DUMMYFUNCTION("IFERROR(
IF(REGEXMATCH(LOWER(O7196),""k""),
VALUE(REGEXEXTRACT(O7196,""[0-9]+""))*1000,
VALUE(REGEXEXTRACT(O7196,""[0-9]+""))
),
0
)"),0.0)</f>
        <v>0</v>
      </c>
      <c r="E7196" s="1" t="s">
        <v>11</v>
      </c>
      <c r="F7196" s="1" t="s">
        <v>20</v>
      </c>
      <c r="G7196" s="4" t="b">
        <f t="shared" si="2"/>
        <v>1</v>
      </c>
      <c r="H7196" s="1" t="str">
        <f t="shared" si="3"/>
        <v>Currently Unavailable</v>
      </c>
      <c r="I7196" s="1" t="str">
        <f t="shared" si="4"/>
        <v>No Badges</v>
      </c>
      <c r="J7196" s="3">
        <f t="shared" si="5"/>
        <v>0</v>
      </c>
    </row>
    <row r="7197">
      <c r="A7197" s="1" t="s">
        <v>5498</v>
      </c>
      <c r="B7197" s="3" t="str">
        <f t="shared" si="1"/>
        <v>Unavailable</v>
      </c>
      <c r="C7197" s="3">
        <v>16.0</v>
      </c>
      <c r="D7197" s="3">
        <f>IFERROR(__xludf.DUMMYFUNCTION("IFERROR(
IF(REGEXMATCH(LOWER(O7197),""k""),
VALUE(REGEXEXTRACT(O7197,""[0-9]+""))*1000,
VALUE(REGEXEXTRACT(O7197,""[0-9]+""))
),
0
)"),0.0)</f>
        <v>0</v>
      </c>
      <c r="E7197" s="1" t="s">
        <v>11</v>
      </c>
      <c r="F7197" s="1" t="s">
        <v>20</v>
      </c>
      <c r="G7197" s="4" t="b">
        <f t="shared" si="2"/>
        <v>1</v>
      </c>
      <c r="H7197" s="1" t="str">
        <f t="shared" si="3"/>
        <v>Currently Unavailable</v>
      </c>
      <c r="I7197" s="1" t="str">
        <f t="shared" si="4"/>
        <v>No Badges</v>
      </c>
      <c r="J7197" s="3">
        <f t="shared" si="5"/>
        <v>0</v>
      </c>
    </row>
    <row r="7198">
      <c r="A7198" s="1" t="s">
        <v>5499</v>
      </c>
      <c r="B7198" s="3" t="str">
        <f t="shared" si="1"/>
        <v>Unavailable</v>
      </c>
      <c r="C7198" s="3">
        <v>783.0</v>
      </c>
      <c r="D7198" s="3">
        <f>IFERROR(__xludf.DUMMYFUNCTION("IFERROR(
IF(REGEXMATCH(LOWER(O7198),""k""),
VALUE(REGEXEXTRACT(O7198,""[0-9]+""))*1000,
VALUE(REGEXEXTRACT(O7198,""[0-9]+""))
),
0
)"),0.0)</f>
        <v>0</v>
      </c>
      <c r="E7198" s="1" t="s">
        <v>11</v>
      </c>
      <c r="F7198" s="1" t="s">
        <v>20</v>
      </c>
      <c r="G7198" s="4" t="b">
        <f t="shared" si="2"/>
        <v>1</v>
      </c>
      <c r="H7198" s="1" t="str">
        <f t="shared" si="3"/>
        <v>Currently Unavailable</v>
      </c>
      <c r="I7198" s="1" t="str">
        <f t="shared" si="4"/>
        <v>No Badges</v>
      </c>
      <c r="J7198" s="3">
        <f t="shared" si="5"/>
        <v>0</v>
      </c>
    </row>
    <row r="7199">
      <c r="A7199" s="1" t="s">
        <v>5397</v>
      </c>
      <c r="B7199" s="3" t="str">
        <f t="shared" si="1"/>
        <v>Unavailable</v>
      </c>
      <c r="C7199" s="5">
        <v>1465.0</v>
      </c>
      <c r="D7199" s="3">
        <f>IFERROR(__xludf.DUMMYFUNCTION("IFERROR(
IF(REGEXMATCH(LOWER(O7199),""k""),
VALUE(REGEXEXTRACT(O7199,""[0-9]+""))*1000,
VALUE(REGEXEXTRACT(O7199,""[0-9]+""))
),
0
)"),0.0)</f>
        <v>0</v>
      </c>
      <c r="E7199" s="1" t="s">
        <v>11</v>
      </c>
      <c r="F7199" s="1" t="s">
        <v>12</v>
      </c>
      <c r="G7199" s="4" t="b">
        <f t="shared" si="2"/>
        <v>1</v>
      </c>
      <c r="H7199" s="1" t="str">
        <f t="shared" si="3"/>
        <v>Currently Unavailable</v>
      </c>
      <c r="I7199" s="1" t="str">
        <f t="shared" si="4"/>
        <v>No Badges</v>
      </c>
      <c r="J7199" s="3">
        <f t="shared" si="5"/>
        <v>0</v>
      </c>
    </row>
    <row r="7200">
      <c r="A7200" s="1" t="s">
        <v>5500</v>
      </c>
      <c r="B7200" s="3" t="str">
        <f t="shared" si="1"/>
        <v>Unavailable</v>
      </c>
      <c r="C7200" s="3">
        <v>272.0</v>
      </c>
      <c r="D7200" s="3">
        <f>IFERROR(__xludf.DUMMYFUNCTION("IFERROR(
IF(REGEXMATCH(LOWER(O7200),""k""),
VALUE(REGEXEXTRACT(O7200,""[0-9]+""))*1000,
VALUE(REGEXEXTRACT(O7200,""[0-9]+""))
),
0
)"),0.0)</f>
        <v>0</v>
      </c>
      <c r="E7200" s="1" t="s">
        <v>11</v>
      </c>
      <c r="F7200" s="1" t="s">
        <v>20</v>
      </c>
      <c r="G7200" s="4" t="b">
        <f t="shared" si="2"/>
        <v>1</v>
      </c>
      <c r="H7200" s="1" t="str">
        <f t="shared" si="3"/>
        <v>Currently Unavailable</v>
      </c>
      <c r="I7200" s="1" t="str">
        <f t="shared" si="4"/>
        <v>No Badges</v>
      </c>
      <c r="J7200" s="3">
        <f t="shared" si="5"/>
        <v>0</v>
      </c>
    </row>
    <row r="7201">
      <c r="A7201" s="1" t="s">
        <v>5501</v>
      </c>
      <c r="B7201" s="3" t="str">
        <f t="shared" si="1"/>
        <v>Unavailable</v>
      </c>
      <c r="C7201" s="3">
        <v>235.0</v>
      </c>
      <c r="D7201" s="3">
        <f>IFERROR(__xludf.DUMMYFUNCTION("IFERROR(
IF(REGEXMATCH(LOWER(O7201),""k""),
VALUE(REGEXEXTRACT(O7201,""[0-9]+""))*1000,
VALUE(REGEXEXTRACT(O7201,""[0-9]+""))
),
0
)"),0.0)</f>
        <v>0</v>
      </c>
      <c r="E7201" s="1" t="s">
        <v>11</v>
      </c>
      <c r="F7201" s="1" t="s">
        <v>20</v>
      </c>
      <c r="G7201" s="4" t="b">
        <f t="shared" si="2"/>
        <v>1</v>
      </c>
      <c r="H7201" s="1" t="str">
        <f t="shared" si="3"/>
        <v>Currently Unavailable</v>
      </c>
      <c r="I7201" s="1" t="str">
        <f t="shared" si="4"/>
        <v>No Badges</v>
      </c>
      <c r="J7201" s="3">
        <f t="shared" si="5"/>
        <v>0</v>
      </c>
    </row>
    <row r="7202">
      <c r="A7202" s="1" t="s">
        <v>5502</v>
      </c>
      <c r="B7202" s="3" t="str">
        <f t="shared" si="1"/>
        <v>Unavailable</v>
      </c>
      <c r="C7202" s="3">
        <v>185.0</v>
      </c>
      <c r="D7202" s="3">
        <f>IFERROR(__xludf.DUMMYFUNCTION("IFERROR(
IF(REGEXMATCH(LOWER(O7202),""k""),
VALUE(REGEXEXTRACT(O7202,""[0-9]+""))*1000,
VALUE(REGEXEXTRACT(O7202,""[0-9]+""))
),
0
)"),0.0)</f>
        <v>0</v>
      </c>
      <c r="E7202" s="1" t="s">
        <v>11</v>
      </c>
      <c r="F7202" s="1" t="s">
        <v>20</v>
      </c>
      <c r="G7202" s="4" t="b">
        <f t="shared" si="2"/>
        <v>1</v>
      </c>
      <c r="H7202" s="1" t="str">
        <f t="shared" si="3"/>
        <v>Currently Unavailable</v>
      </c>
      <c r="I7202" s="1" t="str">
        <f t="shared" si="4"/>
        <v>No Badges</v>
      </c>
      <c r="J7202" s="3">
        <f t="shared" si="5"/>
        <v>0</v>
      </c>
    </row>
    <row r="7203">
      <c r="A7203" s="1" t="s">
        <v>5503</v>
      </c>
      <c r="B7203" s="3" t="str">
        <f t="shared" si="1"/>
        <v>Unavailable</v>
      </c>
      <c r="C7203" s="3">
        <v>23.0</v>
      </c>
      <c r="D7203" s="3">
        <f>IFERROR(__xludf.DUMMYFUNCTION("IFERROR(
IF(REGEXMATCH(LOWER(O7203),""k""),
VALUE(REGEXEXTRACT(O7203,""[0-9]+""))*1000,
VALUE(REGEXEXTRACT(O7203,""[0-9]+""))
),
0
)"),0.0)</f>
        <v>0</v>
      </c>
      <c r="E7203" s="1" t="s">
        <v>11</v>
      </c>
      <c r="F7203" s="1" t="s">
        <v>20</v>
      </c>
      <c r="G7203" s="4" t="b">
        <f t="shared" si="2"/>
        <v>1</v>
      </c>
      <c r="H7203" s="1" t="str">
        <f t="shared" si="3"/>
        <v>Currently Unavailable</v>
      </c>
      <c r="I7203" s="1" t="str">
        <f t="shared" si="4"/>
        <v>No Badges</v>
      </c>
      <c r="J7203" s="3">
        <f t="shared" si="5"/>
        <v>0</v>
      </c>
    </row>
    <row r="7204">
      <c r="A7204" s="1" t="s">
        <v>5504</v>
      </c>
      <c r="B7204" s="3" t="str">
        <f t="shared" si="1"/>
        <v>Unavailable</v>
      </c>
      <c r="C7204" s="3">
        <v>517.0</v>
      </c>
      <c r="D7204" s="3">
        <f>IFERROR(__xludf.DUMMYFUNCTION("IFERROR(
IF(REGEXMATCH(LOWER(O7204),""k""),
VALUE(REGEXEXTRACT(O7204,""[0-9]+""))*1000,
VALUE(REGEXEXTRACT(O7204,""[0-9]+""))
),
0
)"),0.0)</f>
        <v>0</v>
      </c>
      <c r="E7204" s="1" t="s">
        <v>11</v>
      </c>
      <c r="F7204" s="1" t="s">
        <v>20</v>
      </c>
      <c r="G7204" s="4" t="b">
        <f t="shared" si="2"/>
        <v>1</v>
      </c>
      <c r="H7204" s="1" t="str">
        <f t="shared" si="3"/>
        <v>Currently Unavailable</v>
      </c>
      <c r="I7204" s="1" t="str">
        <f t="shared" si="4"/>
        <v>No Badges</v>
      </c>
      <c r="J7204" s="6">
        <f t="shared" si="5"/>
        <v>0</v>
      </c>
    </row>
    <row r="7205">
      <c r="A7205" s="1" t="s">
        <v>5505</v>
      </c>
      <c r="B7205" s="3" t="str">
        <f t="shared" si="1"/>
        <v>Unavailable</v>
      </c>
      <c r="C7205" s="3">
        <v>624.0</v>
      </c>
      <c r="D7205" s="3">
        <f>IFERROR(__xludf.DUMMYFUNCTION("IFERROR(
IF(REGEXMATCH(LOWER(O7205),""k""),
VALUE(REGEXEXTRACT(O7205,""[0-9]+""))*1000,
VALUE(REGEXEXTRACT(O7205,""[0-9]+""))
),
0
)"),0.0)</f>
        <v>0</v>
      </c>
      <c r="E7205" s="1" t="s">
        <v>11</v>
      </c>
      <c r="F7205" s="1" t="s">
        <v>20</v>
      </c>
      <c r="G7205" s="4" t="b">
        <f t="shared" si="2"/>
        <v>1</v>
      </c>
      <c r="H7205" s="1" t="str">
        <f t="shared" si="3"/>
        <v>Currently Unavailable</v>
      </c>
      <c r="I7205" s="1" t="str">
        <f t="shared" si="4"/>
        <v>No Badges</v>
      </c>
      <c r="J7205" s="3">
        <f t="shared" si="5"/>
        <v>0</v>
      </c>
    </row>
    <row r="7206">
      <c r="A7206" s="1" t="s">
        <v>5506</v>
      </c>
      <c r="B7206" s="3" t="str">
        <f t="shared" si="1"/>
        <v>Unavailable</v>
      </c>
      <c r="C7206" s="3">
        <v>2.0</v>
      </c>
      <c r="D7206" s="3">
        <f>IFERROR(__xludf.DUMMYFUNCTION("IFERROR(
IF(REGEXMATCH(LOWER(O7206),""k""),
VALUE(REGEXEXTRACT(O7206,""[0-9]+""))*1000,
VALUE(REGEXEXTRACT(O7206,""[0-9]+""))
),
0
)"),0.0)</f>
        <v>0</v>
      </c>
      <c r="E7206" s="1" t="s">
        <v>11</v>
      </c>
      <c r="F7206" s="1" t="s">
        <v>20</v>
      </c>
      <c r="G7206" s="4" t="b">
        <f t="shared" si="2"/>
        <v>1</v>
      </c>
      <c r="H7206" s="1" t="str">
        <f t="shared" si="3"/>
        <v>Currently Unavailable</v>
      </c>
      <c r="I7206" s="1" t="str">
        <f t="shared" si="4"/>
        <v>No Badges</v>
      </c>
      <c r="J7206" s="3">
        <f t="shared" si="5"/>
        <v>0</v>
      </c>
    </row>
    <row r="7207">
      <c r="A7207" s="1" t="s">
        <v>5507</v>
      </c>
      <c r="B7207" s="3" t="str">
        <f t="shared" si="1"/>
        <v>Unavailable</v>
      </c>
      <c r="C7207" s="3">
        <v>22.0</v>
      </c>
      <c r="D7207" s="3">
        <f>IFERROR(__xludf.DUMMYFUNCTION("IFERROR(
IF(REGEXMATCH(LOWER(O7207),""k""),
VALUE(REGEXEXTRACT(O7207,""[0-9]+""))*1000,
VALUE(REGEXEXTRACT(O7207,""[0-9]+""))
),
0
)"),0.0)</f>
        <v>0</v>
      </c>
      <c r="E7207" s="1" t="s">
        <v>11</v>
      </c>
      <c r="F7207" s="1" t="s">
        <v>20</v>
      </c>
      <c r="G7207" s="4" t="b">
        <f t="shared" si="2"/>
        <v>1</v>
      </c>
      <c r="H7207" s="1" t="str">
        <f t="shared" si="3"/>
        <v>Currently Unavailable</v>
      </c>
      <c r="I7207" s="1" t="str">
        <f t="shared" si="4"/>
        <v>No Badges</v>
      </c>
      <c r="J7207" s="3">
        <f t="shared" si="5"/>
        <v>0</v>
      </c>
    </row>
    <row r="7208">
      <c r="A7208" s="1" t="s">
        <v>5508</v>
      </c>
      <c r="B7208" s="3" t="str">
        <f t="shared" si="1"/>
        <v>Unavailable</v>
      </c>
      <c r="C7208" s="3">
        <v>151.0</v>
      </c>
      <c r="D7208" s="3">
        <f>IFERROR(__xludf.DUMMYFUNCTION("IFERROR(
IF(REGEXMATCH(LOWER(O7208),""k""),
VALUE(REGEXEXTRACT(O7208,""[0-9]+""))*1000,
VALUE(REGEXEXTRACT(O7208,""[0-9]+""))
),
0
)"),0.0)</f>
        <v>0</v>
      </c>
      <c r="E7208" s="1" t="s">
        <v>11</v>
      </c>
      <c r="F7208" s="1" t="s">
        <v>20</v>
      </c>
      <c r="G7208" s="4" t="b">
        <f t="shared" si="2"/>
        <v>1</v>
      </c>
      <c r="H7208" s="1" t="str">
        <f t="shared" si="3"/>
        <v>Currently Unavailable</v>
      </c>
      <c r="I7208" s="1" t="str">
        <f t="shared" si="4"/>
        <v>No Badges</v>
      </c>
      <c r="J7208" s="6">
        <f t="shared" si="5"/>
        <v>0</v>
      </c>
    </row>
    <row r="7209">
      <c r="A7209" s="1" t="s">
        <v>88</v>
      </c>
      <c r="B7209" s="3" t="str">
        <f t="shared" si="1"/>
        <v>Unavailable</v>
      </c>
      <c r="C7209" s="3">
        <v>5.0</v>
      </c>
      <c r="D7209" s="3">
        <f>IFERROR(__xludf.DUMMYFUNCTION("IFERROR(
IF(REGEXMATCH(LOWER(O7209),""k""),
VALUE(REGEXEXTRACT(O7209,""[0-9]+""))*1000,
VALUE(REGEXEXTRACT(O7209,""[0-9]+""))
),
0
)"),0.0)</f>
        <v>0</v>
      </c>
      <c r="E7209" s="1" t="s">
        <v>11</v>
      </c>
      <c r="F7209" s="1" t="s">
        <v>12</v>
      </c>
      <c r="G7209" s="4" t="b">
        <f t="shared" si="2"/>
        <v>1</v>
      </c>
      <c r="H7209" s="1" t="str">
        <f t="shared" si="3"/>
        <v>Currently Unavailable</v>
      </c>
      <c r="I7209" s="1" t="str">
        <f t="shared" si="4"/>
        <v>No Badges</v>
      </c>
      <c r="J7209" s="3">
        <f t="shared" si="5"/>
        <v>0</v>
      </c>
    </row>
    <row r="7210">
      <c r="A7210" s="1" t="s">
        <v>40</v>
      </c>
      <c r="B7210" s="3" t="str">
        <f t="shared" si="1"/>
        <v>Unavailable</v>
      </c>
      <c r="C7210" s="3">
        <v>171.0</v>
      </c>
      <c r="D7210" s="3">
        <f>IFERROR(__xludf.DUMMYFUNCTION("IFERROR(
IF(REGEXMATCH(LOWER(O7210),""k""),
VALUE(REGEXEXTRACT(O7210,""[0-9]+""))*1000,
VALUE(REGEXEXTRACT(O7210,""[0-9]+""))
),
0
)"),0.0)</f>
        <v>0</v>
      </c>
      <c r="E7210" s="1" t="s">
        <v>11</v>
      </c>
      <c r="F7210" s="1" t="s">
        <v>12</v>
      </c>
      <c r="G7210" s="4" t="b">
        <f t="shared" si="2"/>
        <v>1</v>
      </c>
      <c r="H7210" s="1" t="str">
        <f t="shared" si="3"/>
        <v>Currently Unavailable</v>
      </c>
      <c r="I7210" s="1" t="str">
        <f t="shared" si="4"/>
        <v>No Badges</v>
      </c>
      <c r="J7210" s="3">
        <f t="shared" si="5"/>
        <v>0</v>
      </c>
    </row>
    <row r="7211">
      <c r="A7211" s="1" t="s">
        <v>5509</v>
      </c>
      <c r="B7211" s="3" t="str">
        <f t="shared" si="1"/>
        <v>Unavailable</v>
      </c>
      <c r="C7211" s="3">
        <v>143.0</v>
      </c>
      <c r="D7211" s="3">
        <f>IFERROR(__xludf.DUMMYFUNCTION("IFERROR(
IF(REGEXMATCH(LOWER(O7211),""k""),
VALUE(REGEXEXTRACT(O7211,""[0-9]+""))*1000,
VALUE(REGEXEXTRACT(O7211,""[0-9]+""))
),
0
)"),0.0)</f>
        <v>0</v>
      </c>
      <c r="E7211" s="1" t="s">
        <v>11</v>
      </c>
      <c r="F7211" s="1" t="s">
        <v>20</v>
      </c>
      <c r="G7211" s="4" t="b">
        <f t="shared" si="2"/>
        <v>1</v>
      </c>
      <c r="H7211" s="1" t="str">
        <f t="shared" si="3"/>
        <v>Currently Unavailable</v>
      </c>
      <c r="I7211" s="1" t="str">
        <f t="shared" si="4"/>
        <v>No Badges</v>
      </c>
      <c r="J7211" s="3">
        <f t="shared" si="5"/>
        <v>0</v>
      </c>
    </row>
    <row r="7212">
      <c r="A7212" s="1" t="s">
        <v>604</v>
      </c>
      <c r="B7212" s="3" t="str">
        <f t="shared" si="1"/>
        <v>Unavailable</v>
      </c>
      <c r="C7212" s="3">
        <v>30.0</v>
      </c>
      <c r="D7212" s="3">
        <f>IFERROR(__xludf.DUMMYFUNCTION("IFERROR(
IF(REGEXMATCH(LOWER(O7212),""k""),
VALUE(REGEXEXTRACT(O7212,""[0-9]+""))*1000,
VALUE(REGEXEXTRACT(O7212,""[0-9]+""))
),
0
)"),0.0)</f>
        <v>0</v>
      </c>
      <c r="E7212" s="1" t="s">
        <v>11</v>
      </c>
      <c r="F7212" s="1" t="s">
        <v>12</v>
      </c>
      <c r="G7212" s="4" t="b">
        <f t="shared" si="2"/>
        <v>1</v>
      </c>
      <c r="H7212" s="1" t="str">
        <f t="shared" si="3"/>
        <v>Currently Unavailable</v>
      </c>
      <c r="I7212" s="1" t="str">
        <f t="shared" si="4"/>
        <v>No Badges</v>
      </c>
      <c r="J7212" s="3">
        <f t="shared" si="5"/>
        <v>0</v>
      </c>
    </row>
    <row r="7213">
      <c r="A7213" s="1" t="s">
        <v>5510</v>
      </c>
      <c r="B7213" s="3" t="str">
        <f t="shared" si="1"/>
        <v>Unavailable</v>
      </c>
      <c r="C7213" s="3">
        <v>385.0</v>
      </c>
      <c r="D7213" s="3">
        <f>IFERROR(__xludf.DUMMYFUNCTION("IFERROR(
IF(REGEXMATCH(LOWER(O7213),""k""),
VALUE(REGEXEXTRACT(O7213,""[0-9]+""))*1000,
VALUE(REGEXEXTRACT(O7213,""[0-9]+""))
),
0
)"),0.0)</f>
        <v>0</v>
      </c>
      <c r="E7213" s="1" t="s">
        <v>11</v>
      </c>
      <c r="F7213" s="1" t="s">
        <v>20</v>
      </c>
      <c r="G7213" s="4" t="b">
        <f t="shared" si="2"/>
        <v>1</v>
      </c>
      <c r="H7213" s="1" t="str">
        <f t="shared" si="3"/>
        <v>Currently Unavailable</v>
      </c>
      <c r="I7213" s="1" t="str">
        <f t="shared" si="4"/>
        <v>No Badges</v>
      </c>
      <c r="J7213" s="3">
        <f t="shared" si="5"/>
        <v>0</v>
      </c>
    </row>
    <row r="7214">
      <c r="A7214" s="1" t="s">
        <v>5511</v>
      </c>
      <c r="B7214" s="3" t="str">
        <f t="shared" si="1"/>
        <v>Unavailable</v>
      </c>
      <c r="C7214" s="3">
        <v>77.0</v>
      </c>
      <c r="D7214" s="3">
        <f>IFERROR(__xludf.DUMMYFUNCTION("IFERROR(
IF(REGEXMATCH(LOWER(O7214),""k""),
VALUE(REGEXEXTRACT(O7214,""[0-9]+""))*1000,
VALUE(REGEXEXTRACT(O7214,""[0-9]+""))
),
0
)"),0.0)</f>
        <v>0</v>
      </c>
      <c r="E7214" s="1" t="s">
        <v>11</v>
      </c>
      <c r="F7214" s="1" t="s">
        <v>20</v>
      </c>
      <c r="G7214" s="4" t="b">
        <f t="shared" si="2"/>
        <v>1</v>
      </c>
      <c r="H7214" s="1" t="str">
        <f t="shared" si="3"/>
        <v>Currently Unavailable</v>
      </c>
      <c r="I7214" s="1" t="str">
        <f t="shared" si="4"/>
        <v>No Badges</v>
      </c>
      <c r="J7214" s="3">
        <f t="shared" si="5"/>
        <v>0</v>
      </c>
    </row>
    <row r="7215">
      <c r="A7215" s="1" t="s">
        <v>5512</v>
      </c>
      <c r="B7215" s="3" t="str">
        <f t="shared" si="1"/>
        <v>Unavailable</v>
      </c>
      <c r="C7215" s="3">
        <v>7.0</v>
      </c>
      <c r="D7215" s="3">
        <f>IFERROR(__xludf.DUMMYFUNCTION("IFERROR(
IF(REGEXMATCH(LOWER(O7215),""k""),
VALUE(REGEXEXTRACT(O7215,""[0-9]+""))*1000,
VALUE(REGEXEXTRACT(O7215,""[0-9]+""))
),
0
)"),0.0)</f>
        <v>0</v>
      </c>
      <c r="E7215" s="1" t="s">
        <v>11</v>
      </c>
      <c r="F7215" s="1" t="s">
        <v>20</v>
      </c>
      <c r="G7215" s="4" t="b">
        <f t="shared" si="2"/>
        <v>1</v>
      </c>
      <c r="H7215" s="1" t="str">
        <f t="shared" si="3"/>
        <v>Currently Unavailable</v>
      </c>
      <c r="I7215" s="1" t="str">
        <f t="shared" si="4"/>
        <v>No Badges</v>
      </c>
      <c r="J7215" s="6">
        <f t="shared" si="5"/>
        <v>0</v>
      </c>
    </row>
    <row r="7216">
      <c r="A7216" s="1" t="s">
        <v>5513</v>
      </c>
      <c r="B7216" s="3" t="str">
        <f t="shared" si="1"/>
        <v>Unavailable</v>
      </c>
      <c r="C7216" s="3">
        <v>472.0</v>
      </c>
      <c r="D7216" s="3">
        <f>IFERROR(__xludf.DUMMYFUNCTION("IFERROR(
IF(REGEXMATCH(LOWER(O7216),""k""),
VALUE(REGEXEXTRACT(O7216,""[0-9]+""))*1000,
VALUE(REGEXEXTRACT(O7216,""[0-9]+""))
),
0
)"),0.0)</f>
        <v>0</v>
      </c>
      <c r="E7216" s="1" t="s">
        <v>11</v>
      </c>
      <c r="F7216" s="1" t="s">
        <v>20</v>
      </c>
      <c r="G7216" s="4" t="b">
        <f t="shared" si="2"/>
        <v>1</v>
      </c>
      <c r="H7216" s="1" t="str">
        <f t="shared" si="3"/>
        <v>Currently Unavailable</v>
      </c>
      <c r="I7216" s="1" t="str">
        <f t="shared" si="4"/>
        <v>No Badges</v>
      </c>
      <c r="J7216" s="3">
        <f t="shared" si="5"/>
        <v>0</v>
      </c>
    </row>
    <row r="7217">
      <c r="A7217" s="1" t="s">
        <v>5514</v>
      </c>
      <c r="B7217" s="3" t="str">
        <f t="shared" si="1"/>
        <v>Unavailable</v>
      </c>
      <c r="C7217" s="3">
        <v>89.0</v>
      </c>
      <c r="D7217" s="3">
        <f>IFERROR(__xludf.DUMMYFUNCTION("IFERROR(
IF(REGEXMATCH(LOWER(O7217),""k""),
VALUE(REGEXEXTRACT(O7217,""[0-9]+""))*1000,
VALUE(REGEXEXTRACT(O7217,""[0-9]+""))
),
0
)"),0.0)</f>
        <v>0</v>
      </c>
      <c r="E7217" s="1" t="s">
        <v>11</v>
      </c>
      <c r="F7217" s="1" t="s">
        <v>20</v>
      </c>
      <c r="G7217" s="4" t="b">
        <f t="shared" si="2"/>
        <v>1</v>
      </c>
      <c r="H7217" s="1" t="str">
        <f t="shared" si="3"/>
        <v>Currently Unavailable</v>
      </c>
      <c r="I7217" s="1" t="str">
        <f t="shared" si="4"/>
        <v>No Badges</v>
      </c>
      <c r="J7217" s="3">
        <f t="shared" si="5"/>
        <v>0</v>
      </c>
    </row>
    <row r="7218">
      <c r="A7218" s="1" t="s">
        <v>5515</v>
      </c>
      <c r="B7218" s="3" t="str">
        <f t="shared" si="1"/>
        <v>Unavailable</v>
      </c>
      <c r="C7218" s="3">
        <v>249.0</v>
      </c>
      <c r="D7218" s="3">
        <f>IFERROR(__xludf.DUMMYFUNCTION("IFERROR(
IF(REGEXMATCH(LOWER(O7218),""k""),
VALUE(REGEXEXTRACT(O7218,""[0-9]+""))*1000,
VALUE(REGEXEXTRACT(O7218,""[0-9]+""))
),
0
)"),0.0)</f>
        <v>0</v>
      </c>
      <c r="E7218" s="1" t="s">
        <v>11</v>
      </c>
      <c r="F7218" s="1" t="s">
        <v>20</v>
      </c>
      <c r="G7218" s="4" t="b">
        <f t="shared" si="2"/>
        <v>1</v>
      </c>
      <c r="H7218" s="1" t="str">
        <f t="shared" si="3"/>
        <v>Currently Unavailable</v>
      </c>
      <c r="I7218" s="1" t="str">
        <f t="shared" si="4"/>
        <v>No Badges</v>
      </c>
      <c r="J7218" s="3">
        <f t="shared" si="5"/>
        <v>0</v>
      </c>
    </row>
    <row r="7219">
      <c r="A7219" s="1" t="s">
        <v>5516</v>
      </c>
      <c r="B7219" s="3" t="str">
        <f t="shared" si="1"/>
        <v>Unavailable</v>
      </c>
      <c r="C7219" s="3">
        <v>50.0</v>
      </c>
      <c r="D7219" s="3">
        <f>IFERROR(__xludf.DUMMYFUNCTION("IFERROR(
IF(REGEXMATCH(LOWER(O7219),""k""),
VALUE(REGEXEXTRACT(O7219,""[0-9]+""))*1000,
VALUE(REGEXEXTRACT(O7219,""[0-9]+""))
),
0
)"),0.0)</f>
        <v>0</v>
      </c>
      <c r="E7219" s="1" t="s">
        <v>11</v>
      </c>
      <c r="F7219" s="1" t="s">
        <v>20</v>
      </c>
      <c r="G7219" s="4" t="b">
        <f t="shared" si="2"/>
        <v>1</v>
      </c>
      <c r="H7219" s="1" t="str">
        <f t="shared" si="3"/>
        <v>Currently Unavailable</v>
      </c>
      <c r="I7219" s="1" t="str">
        <f t="shared" si="4"/>
        <v>No Badges</v>
      </c>
      <c r="J7219" s="3">
        <f t="shared" si="5"/>
        <v>0</v>
      </c>
    </row>
    <row r="7220">
      <c r="A7220" s="1" t="s">
        <v>5517</v>
      </c>
      <c r="B7220" s="3" t="str">
        <f t="shared" si="1"/>
        <v>Unavailable</v>
      </c>
      <c r="C7220" s="3">
        <v>12.0</v>
      </c>
      <c r="D7220" s="3">
        <f>IFERROR(__xludf.DUMMYFUNCTION("IFERROR(
IF(REGEXMATCH(LOWER(O7220),""k""),
VALUE(REGEXEXTRACT(O7220,""[0-9]+""))*1000,
VALUE(REGEXEXTRACT(O7220,""[0-9]+""))
),
0
)"),0.0)</f>
        <v>0</v>
      </c>
      <c r="E7220" s="1" t="s">
        <v>11</v>
      </c>
      <c r="F7220" s="1" t="s">
        <v>20</v>
      </c>
      <c r="G7220" s="4" t="b">
        <f t="shared" si="2"/>
        <v>1</v>
      </c>
      <c r="H7220" s="1" t="str">
        <f t="shared" si="3"/>
        <v>Currently Unavailable</v>
      </c>
      <c r="I7220" s="1" t="str">
        <f t="shared" si="4"/>
        <v>No Badges</v>
      </c>
      <c r="J7220" s="3">
        <f t="shared" si="5"/>
        <v>0</v>
      </c>
    </row>
    <row r="7221">
      <c r="A7221" s="1" t="s">
        <v>5518</v>
      </c>
      <c r="B7221" s="3" t="str">
        <f t="shared" si="1"/>
        <v>Unavailable</v>
      </c>
      <c r="C7221" s="3">
        <v>29.0</v>
      </c>
      <c r="D7221" s="3">
        <f>IFERROR(__xludf.DUMMYFUNCTION("IFERROR(
IF(REGEXMATCH(LOWER(O7221),""k""),
VALUE(REGEXEXTRACT(O7221,""[0-9]+""))*1000,
VALUE(REGEXEXTRACT(O7221,""[0-9]+""))
),
0
)"),0.0)</f>
        <v>0</v>
      </c>
      <c r="E7221" s="1" t="s">
        <v>11</v>
      </c>
      <c r="F7221" s="1" t="s">
        <v>20</v>
      </c>
      <c r="G7221" s="4" t="b">
        <f t="shared" si="2"/>
        <v>1</v>
      </c>
      <c r="H7221" s="1" t="str">
        <f t="shared" si="3"/>
        <v>Currently Unavailable</v>
      </c>
      <c r="I7221" s="1" t="str">
        <f t="shared" si="4"/>
        <v>No Badges</v>
      </c>
      <c r="J7221" s="3">
        <f t="shared" si="5"/>
        <v>0</v>
      </c>
    </row>
    <row r="7222">
      <c r="A7222" s="1" t="s">
        <v>5519</v>
      </c>
      <c r="B7222" s="3" t="str">
        <f t="shared" si="1"/>
        <v>Unavailable</v>
      </c>
      <c r="C7222" s="3">
        <v>3.0</v>
      </c>
      <c r="D7222" s="3">
        <f>IFERROR(__xludf.DUMMYFUNCTION("IFERROR(
IF(REGEXMATCH(LOWER(O7222),""k""),
VALUE(REGEXEXTRACT(O7222,""[0-9]+""))*1000,
VALUE(REGEXEXTRACT(O7222,""[0-9]+""))
),
0
)"),0.0)</f>
        <v>0</v>
      </c>
      <c r="E7222" s="1" t="s">
        <v>11</v>
      </c>
      <c r="F7222" s="1" t="s">
        <v>20</v>
      </c>
      <c r="G7222" s="4" t="b">
        <f t="shared" si="2"/>
        <v>1</v>
      </c>
      <c r="H7222" s="1" t="str">
        <f t="shared" si="3"/>
        <v>Currently Unavailable</v>
      </c>
      <c r="I7222" s="1" t="str">
        <f t="shared" si="4"/>
        <v>No Badges</v>
      </c>
      <c r="J7222" s="3">
        <f t="shared" si="5"/>
        <v>0</v>
      </c>
    </row>
    <row r="7223">
      <c r="A7223" s="1" t="s">
        <v>5520</v>
      </c>
      <c r="B7223" s="3" t="str">
        <f t="shared" si="1"/>
        <v>Unavailable</v>
      </c>
      <c r="C7223" s="5">
        <v>2718.0</v>
      </c>
      <c r="D7223" s="3">
        <f>IFERROR(__xludf.DUMMYFUNCTION("IFERROR(
IF(REGEXMATCH(LOWER(O7223),""k""),
VALUE(REGEXEXTRACT(O7223,""[0-9]+""))*1000,
VALUE(REGEXEXTRACT(O7223,""[0-9]+""))
),
0
)"),0.0)</f>
        <v>0</v>
      </c>
      <c r="E7223" s="1" t="s">
        <v>11</v>
      </c>
      <c r="F7223" s="1" t="s">
        <v>20</v>
      </c>
      <c r="G7223" s="4" t="b">
        <f t="shared" si="2"/>
        <v>1</v>
      </c>
      <c r="H7223" s="1" t="str">
        <f t="shared" si="3"/>
        <v>Currently Unavailable</v>
      </c>
      <c r="I7223" s="1" t="str">
        <f t="shared" si="4"/>
        <v>No Badges</v>
      </c>
      <c r="J7223" s="3">
        <f t="shared" si="5"/>
        <v>0</v>
      </c>
    </row>
    <row r="7224">
      <c r="A7224" s="1" t="s">
        <v>5521</v>
      </c>
      <c r="B7224" s="3" t="str">
        <f t="shared" si="1"/>
        <v>Unavailable</v>
      </c>
      <c r="C7224" s="3">
        <v>63.0</v>
      </c>
      <c r="D7224" s="3">
        <f>IFERROR(__xludf.DUMMYFUNCTION("IFERROR(
IF(REGEXMATCH(LOWER(O7224),""k""),
VALUE(REGEXEXTRACT(O7224,""[0-9]+""))*1000,
VALUE(REGEXEXTRACT(O7224,""[0-9]+""))
),
0
)"),0.0)</f>
        <v>0</v>
      </c>
      <c r="E7224" s="1" t="s">
        <v>11</v>
      </c>
      <c r="F7224" s="1" t="s">
        <v>20</v>
      </c>
      <c r="G7224" s="4" t="b">
        <f t="shared" si="2"/>
        <v>1</v>
      </c>
      <c r="H7224" s="1" t="str">
        <f t="shared" si="3"/>
        <v>Currently Unavailable</v>
      </c>
      <c r="I7224" s="1" t="str">
        <f t="shared" si="4"/>
        <v>No Badges</v>
      </c>
      <c r="J7224" s="3">
        <f t="shared" si="5"/>
        <v>0</v>
      </c>
    </row>
    <row r="7225">
      <c r="A7225" s="1" t="s">
        <v>5522</v>
      </c>
      <c r="B7225" s="3" t="str">
        <f t="shared" si="1"/>
        <v>Unavailable</v>
      </c>
      <c r="C7225" s="3">
        <v>72.0</v>
      </c>
      <c r="D7225" s="3">
        <f>IFERROR(__xludf.DUMMYFUNCTION("IFERROR(
IF(REGEXMATCH(LOWER(O7225),""k""),
VALUE(REGEXEXTRACT(O7225,""[0-9]+""))*1000,
VALUE(REGEXEXTRACT(O7225,""[0-9]+""))
),
0
)"),0.0)</f>
        <v>0</v>
      </c>
      <c r="E7225" s="1" t="s">
        <v>11</v>
      </c>
      <c r="F7225" s="1" t="s">
        <v>20</v>
      </c>
      <c r="G7225" s="4" t="b">
        <f t="shared" si="2"/>
        <v>1</v>
      </c>
      <c r="H7225" s="1" t="str">
        <f t="shared" si="3"/>
        <v>Currently Unavailable</v>
      </c>
      <c r="I7225" s="1" t="str">
        <f t="shared" si="4"/>
        <v>No Badges</v>
      </c>
      <c r="J7225" s="3">
        <f t="shared" si="5"/>
        <v>0</v>
      </c>
    </row>
    <row r="7226">
      <c r="A7226" s="1" t="s">
        <v>69</v>
      </c>
      <c r="B7226" s="3" t="str">
        <f t="shared" si="1"/>
        <v>Unavailable</v>
      </c>
      <c r="C7226" s="3">
        <v>45.0</v>
      </c>
      <c r="D7226" s="3">
        <f>IFERROR(__xludf.DUMMYFUNCTION("IFERROR(
IF(REGEXMATCH(LOWER(O7226),""k""),
VALUE(REGEXEXTRACT(O7226,""[0-9]+""))*1000,
VALUE(REGEXEXTRACT(O7226,""[0-9]+""))
),
0
)"),0.0)</f>
        <v>0</v>
      </c>
      <c r="E7226" s="1" t="s">
        <v>11</v>
      </c>
      <c r="F7226" s="1" t="s">
        <v>12</v>
      </c>
      <c r="G7226" s="4" t="b">
        <f t="shared" si="2"/>
        <v>1</v>
      </c>
      <c r="H7226" s="1" t="str">
        <f t="shared" si="3"/>
        <v>Currently Unavailable</v>
      </c>
      <c r="I7226" s="1" t="str">
        <f t="shared" si="4"/>
        <v>No Badges</v>
      </c>
      <c r="J7226" s="3">
        <f t="shared" si="5"/>
        <v>0</v>
      </c>
    </row>
    <row r="7227">
      <c r="A7227" s="1" t="s">
        <v>67</v>
      </c>
      <c r="B7227" s="3" t="str">
        <f t="shared" si="1"/>
        <v>Unavailable</v>
      </c>
      <c r="C7227" s="3">
        <v>264.0</v>
      </c>
      <c r="D7227" s="3">
        <f>IFERROR(__xludf.DUMMYFUNCTION("IFERROR(
IF(REGEXMATCH(LOWER(O7227),""k""),
VALUE(REGEXEXTRACT(O7227,""[0-9]+""))*1000,
VALUE(REGEXEXTRACT(O7227,""[0-9]+""))
),
0
)"),0.0)</f>
        <v>0</v>
      </c>
      <c r="E7227" s="1" t="s">
        <v>11</v>
      </c>
      <c r="F7227" s="1" t="s">
        <v>12</v>
      </c>
      <c r="G7227" s="4" t="b">
        <f t="shared" si="2"/>
        <v>1</v>
      </c>
      <c r="H7227" s="1" t="str">
        <f t="shared" si="3"/>
        <v>Currently Unavailable</v>
      </c>
      <c r="I7227" s="1" t="str">
        <f t="shared" si="4"/>
        <v>No Badges</v>
      </c>
      <c r="J7227" s="3">
        <f t="shared" si="5"/>
        <v>0</v>
      </c>
    </row>
    <row r="7228">
      <c r="A7228" s="1" t="s">
        <v>5523</v>
      </c>
      <c r="B7228" s="3" t="str">
        <f t="shared" si="1"/>
        <v>Unavailable</v>
      </c>
      <c r="C7228" s="3">
        <v>113.0</v>
      </c>
      <c r="D7228" s="3">
        <f>IFERROR(__xludf.DUMMYFUNCTION("IFERROR(
IF(REGEXMATCH(LOWER(O7228),""k""),
VALUE(REGEXEXTRACT(O7228,""[0-9]+""))*1000,
VALUE(REGEXEXTRACT(O7228,""[0-9]+""))
),
0
)"),0.0)</f>
        <v>0</v>
      </c>
      <c r="E7228" s="1" t="s">
        <v>11</v>
      </c>
      <c r="F7228" s="1" t="s">
        <v>20</v>
      </c>
      <c r="G7228" s="4" t="b">
        <f t="shared" si="2"/>
        <v>1</v>
      </c>
      <c r="H7228" s="1" t="str">
        <f t="shared" si="3"/>
        <v>Currently Unavailable</v>
      </c>
      <c r="I7228" s="1" t="str">
        <f t="shared" si="4"/>
        <v>No Badges</v>
      </c>
      <c r="J7228" s="3">
        <f t="shared" si="5"/>
        <v>0</v>
      </c>
    </row>
    <row r="7229">
      <c r="A7229" s="1" t="s">
        <v>5524</v>
      </c>
      <c r="B7229" s="3" t="str">
        <f t="shared" si="1"/>
        <v>Unavailable</v>
      </c>
      <c r="C7229" s="5">
        <v>1204.0</v>
      </c>
      <c r="D7229" s="3">
        <f>IFERROR(__xludf.DUMMYFUNCTION("IFERROR(
IF(REGEXMATCH(LOWER(O7229),""k""),
VALUE(REGEXEXTRACT(O7229,""[0-9]+""))*1000,
VALUE(REGEXEXTRACT(O7229,""[0-9]+""))
),
0
)"),0.0)</f>
        <v>0</v>
      </c>
      <c r="E7229" s="1" t="s">
        <v>11</v>
      </c>
      <c r="F7229" s="1" t="s">
        <v>20</v>
      </c>
      <c r="G7229" s="4" t="b">
        <f t="shared" si="2"/>
        <v>1</v>
      </c>
      <c r="H7229" s="1" t="str">
        <f t="shared" si="3"/>
        <v>Currently Unavailable</v>
      </c>
      <c r="I7229" s="1" t="str">
        <f t="shared" si="4"/>
        <v>No Badges</v>
      </c>
      <c r="J7229" s="3">
        <f t="shared" si="5"/>
        <v>0</v>
      </c>
    </row>
    <row r="7230">
      <c r="A7230" s="1" t="s">
        <v>5525</v>
      </c>
      <c r="B7230" s="3" t="str">
        <f t="shared" si="1"/>
        <v>Unavailable</v>
      </c>
      <c r="C7230" s="3">
        <v>20.0</v>
      </c>
      <c r="D7230" s="3">
        <f>IFERROR(__xludf.DUMMYFUNCTION("IFERROR(
IF(REGEXMATCH(LOWER(O7230),""k""),
VALUE(REGEXEXTRACT(O7230,""[0-9]+""))*1000,
VALUE(REGEXEXTRACT(O7230,""[0-9]+""))
),
0
)"),0.0)</f>
        <v>0</v>
      </c>
      <c r="E7230" s="1" t="s">
        <v>11</v>
      </c>
      <c r="F7230" s="1" t="s">
        <v>20</v>
      </c>
      <c r="G7230" s="4" t="b">
        <f t="shared" si="2"/>
        <v>1</v>
      </c>
      <c r="H7230" s="1" t="str">
        <f t="shared" si="3"/>
        <v>Currently Unavailable</v>
      </c>
      <c r="I7230" s="1" t="str">
        <f t="shared" si="4"/>
        <v>No Badges</v>
      </c>
      <c r="J7230" s="3">
        <f t="shared" si="5"/>
        <v>0</v>
      </c>
    </row>
    <row r="7231">
      <c r="A7231" s="1" t="s">
        <v>5526</v>
      </c>
      <c r="B7231" s="3" t="str">
        <f t="shared" si="1"/>
        <v>Unavailable</v>
      </c>
      <c r="C7231" s="3">
        <v>395.0</v>
      </c>
      <c r="D7231" s="3">
        <f>IFERROR(__xludf.DUMMYFUNCTION("IFERROR(
IF(REGEXMATCH(LOWER(O7231),""k""),
VALUE(REGEXEXTRACT(O7231,""[0-9]+""))*1000,
VALUE(REGEXEXTRACT(O7231,""[0-9]+""))
),
0
)"),0.0)</f>
        <v>0</v>
      </c>
      <c r="E7231" s="1" t="s">
        <v>11</v>
      </c>
      <c r="F7231" s="1" t="s">
        <v>20</v>
      </c>
      <c r="G7231" s="4" t="b">
        <f t="shared" si="2"/>
        <v>1</v>
      </c>
      <c r="H7231" s="1" t="str">
        <f t="shared" si="3"/>
        <v>Currently Unavailable</v>
      </c>
      <c r="I7231" s="1" t="str">
        <f t="shared" si="4"/>
        <v>No Badges</v>
      </c>
      <c r="J7231" s="3">
        <f t="shared" si="5"/>
        <v>0</v>
      </c>
    </row>
    <row r="7232">
      <c r="A7232" s="1" t="s">
        <v>5527</v>
      </c>
      <c r="B7232" s="3" t="str">
        <f t="shared" si="1"/>
        <v>Unavailable</v>
      </c>
      <c r="C7232" s="5">
        <v>1625.0</v>
      </c>
      <c r="D7232" s="3">
        <f>IFERROR(__xludf.DUMMYFUNCTION("IFERROR(
IF(REGEXMATCH(LOWER(O7232),""k""),
VALUE(REGEXEXTRACT(O7232,""[0-9]+""))*1000,
VALUE(REGEXEXTRACT(O7232,""[0-9]+""))
),
0
)"),0.0)</f>
        <v>0</v>
      </c>
      <c r="E7232" s="1" t="s">
        <v>11</v>
      </c>
      <c r="F7232" s="1" t="s">
        <v>20</v>
      </c>
      <c r="G7232" s="4" t="b">
        <f t="shared" si="2"/>
        <v>1</v>
      </c>
      <c r="H7232" s="1" t="str">
        <f t="shared" si="3"/>
        <v>Currently Unavailable</v>
      </c>
      <c r="I7232" s="1" t="str">
        <f t="shared" si="4"/>
        <v>No Badges</v>
      </c>
      <c r="J7232" s="3">
        <f t="shared" si="5"/>
        <v>0</v>
      </c>
    </row>
    <row r="7233">
      <c r="A7233" s="1" t="s">
        <v>5528</v>
      </c>
      <c r="B7233" s="3" t="str">
        <f t="shared" si="1"/>
        <v>Unavailable</v>
      </c>
      <c r="C7233" s="3">
        <v>15.0</v>
      </c>
      <c r="D7233" s="3">
        <f>IFERROR(__xludf.DUMMYFUNCTION("IFERROR(
IF(REGEXMATCH(LOWER(O7233),""k""),
VALUE(REGEXEXTRACT(O7233,""[0-9]+""))*1000,
VALUE(REGEXEXTRACT(O7233,""[0-9]+""))
),
0
)"),0.0)</f>
        <v>0</v>
      </c>
      <c r="E7233" s="1" t="s">
        <v>11</v>
      </c>
      <c r="F7233" s="1" t="s">
        <v>20</v>
      </c>
      <c r="G7233" s="4" t="b">
        <f t="shared" si="2"/>
        <v>1</v>
      </c>
      <c r="H7233" s="1" t="str">
        <f t="shared" si="3"/>
        <v>Currently Unavailable</v>
      </c>
      <c r="I7233" s="1" t="str">
        <f t="shared" si="4"/>
        <v>No Badges</v>
      </c>
      <c r="J7233" s="3">
        <f t="shared" si="5"/>
        <v>0</v>
      </c>
    </row>
    <row r="7234">
      <c r="A7234" s="1" t="s">
        <v>5529</v>
      </c>
      <c r="B7234" s="3" t="str">
        <f t="shared" si="1"/>
        <v>Unavailable</v>
      </c>
      <c r="C7234" s="3">
        <v>452.0</v>
      </c>
      <c r="D7234" s="3">
        <f>IFERROR(__xludf.DUMMYFUNCTION("IFERROR(
IF(REGEXMATCH(LOWER(O7234),""k""),
VALUE(REGEXEXTRACT(O7234,""[0-9]+""))*1000,
VALUE(REGEXEXTRACT(O7234,""[0-9]+""))
),
0
)"),0.0)</f>
        <v>0</v>
      </c>
      <c r="E7234" s="1" t="s">
        <v>11</v>
      </c>
      <c r="F7234" s="1" t="s">
        <v>20</v>
      </c>
      <c r="G7234" s="4" t="b">
        <f t="shared" si="2"/>
        <v>1</v>
      </c>
      <c r="H7234" s="1" t="str">
        <f t="shared" si="3"/>
        <v>Currently Unavailable</v>
      </c>
      <c r="I7234" s="1" t="str">
        <f t="shared" si="4"/>
        <v>No Badges</v>
      </c>
      <c r="J7234" s="6">
        <f t="shared" si="5"/>
        <v>0</v>
      </c>
    </row>
    <row r="7235">
      <c r="A7235" s="1" t="s">
        <v>5530</v>
      </c>
      <c r="B7235" s="3" t="str">
        <f t="shared" si="1"/>
        <v>Unavailable</v>
      </c>
      <c r="C7235" s="3">
        <v>602.0</v>
      </c>
      <c r="D7235" s="3">
        <f>IFERROR(__xludf.DUMMYFUNCTION("IFERROR(
IF(REGEXMATCH(LOWER(O7235),""k""),
VALUE(REGEXEXTRACT(O7235,""[0-9]+""))*1000,
VALUE(REGEXEXTRACT(O7235,""[0-9]+""))
),
0
)"),0.0)</f>
        <v>0</v>
      </c>
      <c r="E7235" s="1" t="s">
        <v>11</v>
      </c>
      <c r="F7235" s="1" t="s">
        <v>20</v>
      </c>
      <c r="G7235" s="4" t="b">
        <f t="shared" si="2"/>
        <v>1</v>
      </c>
      <c r="H7235" s="1" t="str">
        <f t="shared" si="3"/>
        <v>Currently Unavailable</v>
      </c>
      <c r="I7235" s="1" t="str">
        <f t="shared" si="4"/>
        <v>No Badges</v>
      </c>
      <c r="J7235" s="6">
        <f t="shared" si="5"/>
        <v>0</v>
      </c>
    </row>
    <row r="7236">
      <c r="A7236" s="1" t="s">
        <v>5531</v>
      </c>
      <c r="B7236" s="3" t="str">
        <f t="shared" si="1"/>
        <v>Unavailable</v>
      </c>
      <c r="C7236" s="3">
        <v>24.0</v>
      </c>
      <c r="D7236" s="3">
        <f>IFERROR(__xludf.DUMMYFUNCTION("IFERROR(
IF(REGEXMATCH(LOWER(O7236),""k""),
VALUE(REGEXEXTRACT(O7236,""[0-9]+""))*1000,
VALUE(REGEXEXTRACT(O7236,""[0-9]+""))
),
0
)"),0.0)</f>
        <v>0</v>
      </c>
      <c r="E7236" s="1" t="s">
        <v>11</v>
      </c>
      <c r="F7236" s="1" t="s">
        <v>20</v>
      </c>
      <c r="G7236" s="4" t="b">
        <f t="shared" si="2"/>
        <v>1</v>
      </c>
      <c r="H7236" s="1" t="str">
        <f t="shared" si="3"/>
        <v>Currently Unavailable</v>
      </c>
      <c r="I7236" s="1" t="str">
        <f t="shared" si="4"/>
        <v>No Badges</v>
      </c>
      <c r="J7236" s="6">
        <f t="shared" si="5"/>
        <v>0</v>
      </c>
    </row>
    <row r="7237">
      <c r="A7237" s="1" t="s">
        <v>5532</v>
      </c>
      <c r="B7237" s="3" t="str">
        <f t="shared" si="1"/>
        <v>Unavailable</v>
      </c>
      <c r="C7237" s="3">
        <v>49.0</v>
      </c>
      <c r="D7237" s="3">
        <f>IFERROR(__xludf.DUMMYFUNCTION("IFERROR(
IF(REGEXMATCH(LOWER(O7237),""k""),
VALUE(REGEXEXTRACT(O7237,""[0-9]+""))*1000,
VALUE(REGEXEXTRACT(O7237,""[0-9]+""))
),
0
)"),0.0)</f>
        <v>0</v>
      </c>
      <c r="E7237" s="1" t="s">
        <v>11</v>
      </c>
      <c r="F7237" s="1" t="s">
        <v>20</v>
      </c>
      <c r="G7237" s="4" t="b">
        <f t="shared" si="2"/>
        <v>1</v>
      </c>
      <c r="H7237" s="1" t="str">
        <f t="shared" si="3"/>
        <v>Currently Unavailable</v>
      </c>
      <c r="I7237" s="1" t="str">
        <f t="shared" si="4"/>
        <v>No Badges</v>
      </c>
      <c r="J7237" s="3">
        <f t="shared" si="5"/>
        <v>0</v>
      </c>
    </row>
    <row r="7238">
      <c r="A7238" s="1" t="s">
        <v>5533</v>
      </c>
      <c r="B7238" s="3" t="str">
        <f t="shared" si="1"/>
        <v>Unavailable</v>
      </c>
      <c r="C7238" s="3">
        <v>92.0</v>
      </c>
      <c r="D7238" s="3">
        <f>IFERROR(__xludf.DUMMYFUNCTION("IFERROR(
IF(REGEXMATCH(LOWER(O7238),""k""),
VALUE(REGEXEXTRACT(O7238,""[0-9]+""))*1000,
VALUE(REGEXEXTRACT(O7238,""[0-9]+""))
),
0
)"),0.0)</f>
        <v>0</v>
      </c>
      <c r="E7238" s="1" t="s">
        <v>11</v>
      </c>
      <c r="F7238" s="1" t="s">
        <v>20</v>
      </c>
      <c r="G7238" s="4" t="b">
        <f t="shared" si="2"/>
        <v>1</v>
      </c>
      <c r="H7238" s="1" t="str">
        <f t="shared" si="3"/>
        <v>Currently Unavailable</v>
      </c>
      <c r="I7238" s="1" t="str">
        <f t="shared" si="4"/>
        <v>No Badges</v>
      </c>
      <c r="J7238" s="3">
        <f t="shared" si="5"/>
        <v>0</v>
      </c>
    </row>
    <row r="7239">
      <c r="A7239" s="1" t="s">
        <v>5534</v>
      </c>
      <c r="B7239" s="3" t="str">
        <f t="shared" si="1"/>
        <v>Unavailable</v>
      </c>
      <c r="C7239" s="3">
        <v>7.0</v>
      </c>
      <c r="D7239" s="3">
        <f>IFERROR(__xludf.DUMMYFUNCTION("IFERROR(
IF(REGEXMATCH(LOWER(O7239),""k""),
VALUE(REGEXEXTRACT(O7239,""[0-9]+""))*1000,
VALUE(REGEXEXTRACT(O7239,""[0-9]+""))
),
0
)"),0.0)</f>
        <v>0</v>
      </c>
      <c r="E7239" s="1" t="s">
        <v>11</v>
      </c>
      <c r="F7239" s="1" t="s">
        <v>20</v>
      </c>
      <c r="G7239" s="4" t="b">
        <f t="shared" si="2"/>
        <v>1</v>
      </c>
      <c r="H7239" s="1" t="str">
        <f t="shared" si="3"/>
        <v>Currently Unavailable</v>
      </c>
      <c r="I7239" s="1" t="str">
        <f t="shared" si="4"/>
        <v>No Badges</v>
      </c>
      <c r="J7239" s="3">
        <f t="shared" si="5"/>
        <v>0</v>
      </c>
    </row>
    <row r="7240">
      <c r="A7240" s="1" t="s">
        <v>5535</v>
      </c>
      <c r="B7240" s="3" t="str">
        <f t="shared" si="1"/>
        <v>Unavailable</v>
      </c>
      <c r="C7240" s="3">
        <v>253.0</v>
      </c>
      <c r="D7240" s="3">
        <f>IFERROR(__xludf.DUMMYFUNCTION("IFERROR(
IF(REGEXMATCH(LOWER(O7240),""k""),
VALUE(REGEXEXTRACT(O7240,""[0-9]+""))*1000,
VALUE(REGEXEXTRACT(O7240,""[0-9]+""))
),
0
)"),0.0)</f>
        <v>0</v>
      </c>
      <c r="E7240" s="1" t="s">
        <v>11</v>
      </c>
      <c r="F7240" s="1" t="s">
        <v>20</v>
      </c>
      <c r="G7240" s="4" t="b">
        <f t="shared" si="2"/>
        <v>1</v>
      </c>
      <c r="H7240" s="1" t="str">
        <f t="shared" si="3"/>
        <v>Currently Unavailable</v>
      </c>
      <c r="I7240" s="1" t="str">
        <f t="shared" si="4"/>
        <v>No Badges</v>
      </c>
      <c r="J7240" s="3">
        <f t="shared" si="5"/>
        <v>0</v>
      </c>
    </row>
    <row r="7241">
      <c r="A7241" s="1" t="s">
        <v>701</v>
      </c>
      <c r="B7241" s="3" t="str">
        <f t="shared" si="1"/>
        <v>Unavailable</v>
      </c>
      <c r="C7241" s="3">
        <v>8.0</v>
      </c>
      <c r="D7241" s="3">
        <f>IFERROR(__xludf.DUMMYFUNCTION("IFERROR(
IF(REGEXMATCH(LOWER(O7241),""k""),
VALUE(REGEXEXTRACT(O7241,""[0-9]+""))*1000,
VALUE(REGEXEXTRACT(O7241,""[0-9]+""))
),
0
)"),0.0)</f>
        <v>0</v>
      </c>
      <c r="E7241" s="1" t="s">
        <v>11</v>
      </c>
      <c r="F7241" s="1" t="s">
        <v>12</v>
      </c>
      <c r="G7241" s="4" t="b">
        <f t="shared" si="2"/>
        <v>1</v>
      </c>
      <c r="H7241" s="1" t="str">
        <f t="shared" si="3"/>
        <v>Currently Unavailable</v>
      </c>
      <c r="I7241" s="1" t="str">
        <f t="shared" si="4"/>
        <v>No Badges</v>
      </c>
      <c r="J7241" s="3">
        <f t="shared" si="5"/>
        <v>0</v>
      </c>
    </row>
    <row r="7242">
      <c r="A7242" s="1" t="s">
        <v>5536</v>
      </c>
      <c r="B7242" s="3" t="str">
        <f t="shared" si="1"/>
        <v>Unavailable</v>
      </c>
      <c r="C7242" s="5">
        <v>1565.0</v>
      </c>
      <c r="D7242" s="3">
        <f>IFERROR(__xludf.DUMMYFUNCTION("IFERROR(
IF(REGEXMATCH(LOWER(O7242),""k""),
VALUE(REGEXEXTRACT(O7242,""[0-9]+""))*1000,
VALUE(REGEXEXTRACT(O7242,""[0-9]+""))
),
0
)"),0.0)</f>
        <v>0</v>
      </c>
      <c r="E7242" s="1" t="s">
        <v>11</v>
      </c>
      <c r="F7242" s="1" t="s">
        <v>20</v>
      </c>
      <c r="G7242" s="4" t="b">
        <f t="shared" si="2"/>
        <v>1</v>
      </c>
      <c r="H7242" s="1" t="str">
        <f t="shared" si="3"/>
        <v>Currently Unavailable</v>
      </c>
      <c r="I7242" s="1" t="str">
        <f t="shared" si="4"/>
        <v>No Badges</v>
      </c>
      <c r="J7242" s="3">
        <f t="shared" si="5"/>
        <v>0</v>
      </c>
    </row>
    <row r="7243">
      <c r="A7243" s="1" t="s">
        <v>88</v>
      </c>
      <c r="B7243" s="3" t="str">
        <f t="shared" si="1"/>
        <v>Unavailable</v>
      </c>
      <c r="C7243" s="3">
        <v>5.0</v>
      </c>
      <c r="D7243" s="3">
        <f>IFERROR(__xludf.DUMMYFUNCTION("IFERROR(
IF(REGEXMATCH(LOWER(O7243),""k""),
VALUE(REGEXEXTRACT(O7243,""[0-9]+""))*1000,
VALUE(REGEXEXTRACT(O7243,""[0-9]+""))
),
0
)"),0.0)</f>
        <v>0</v>
      </c>
      <c r="E7243" s="1" t="s">
        <v>11</v>
      </c>
      <c r="F7243" s="1" t="s">
        <v>12</v>
      </c>
      <c r="G7243" s="4" t="b">
        <f t="shared" si="2"/>
        <v>1</v>
      </c>
      <c r="H7243" s="1" t="str">
        <f t="shared" si="3"/>
        <v>Currently Unavailable</v>
      </c>
      <c r="I7243" s="1" t="str">
        <f t="shared" si="4"/>
        <v>No Badges</v>
      </c>
      <c r="J7243" s="3">
        <f t="shared" si="5"/>
        <v>0</v>
      </c>
    </row>
    <row r="7244">
      <c r="A7244" s="1" t="s">
        <v>5537</v>
      </c>
      <c r="B7244" s="3" t="str">
        <f t="shared" si="1"/>
        <v>Unavailable</v>
      </c>
      <c r="C7244" s="3">
        <v>393.0</v>
      </c>
      <c r="D7244" s="3">
        <f>IFERROR(__xludf.DUMMYFUNCTION("IFERROR(
IF(REGEXMATCH(LOWER(O7244),""k""),
VALUE(REGEXEXTRACT(O7244,""[0-9]+""))*1000,
VALUE(REGEXEXTRACT(O7244,""[0-9]+""))
),
0
)"),0.0)</f>
        <v>0</v>
      </c>
      <c r="E7244" s="1" t="s">
        <v>11</v>
      </c>
      <c r="F7244" s="1" t="s">
        <v>20</v>
      </c>
      <c r="G7244" s="4" t="b">
        <f t="shared" si="2"/>
        <v>1</v>
      </c>
      <c r="H7244" s="1" t="str">
        <f t="shared" si="3"/>
        <v>Currently Unavailable</v>
      </c>
      <c r="I7244" s="1" t="str">
        <f t="shared" si="4"/>
        <v>No Badges</v>
      </c>
      <c r="J7244" s="3">
        <f t="shared" si="5"/>
        <v>0</v>
      </c>
    </row>
    <row r="7245">
      <c r="A7245" s="1" t="s">
        <v>5538</v>
      </c>
      <c r="B7245" s="3" t="str">
        <f t="shared" si="1"/>
        <v>Unavailable</v>
      </c>
      <c r="C7245" s="5">
        <v>1204.0</v>
      </c>
      <c r="D7245" s="3">
        <f>IFERROR(__xludf.DUMMYFUNCTION("IFERROR(
IF(REGEXMATCH(LOWER(O7245),""k""),
VALUE(REGEXEXTRACT(O7245,""[0-9]+""))*1000,
VALUE(REGEXEXTRACT(O7245,""[0-9]+""))
),
0
)"),0.0)</f>
        <v>0</v>
      </c>
      <c r="E7245" s="1" t="s">
        <v>11</v>
      </c>
      <c r="F7245" s="1" t="s">
        <v>20</v>
      </c>
      <c r="G7245" s="4" t="b">
        <f t="shared" si="2"/>
        <v>1</v>
      </c>
      <c r="H7245" s="1" t="str">
        <f t="shared" si="3"/>
        <v>Currently Unavailable</v>
      </c>
      <c r="I7245" s="1" t="str">
        <f t="shared" si="4"/>
        <v>No Badges</v>
      </c>
      <c r="J7245" s="3">
        <f t="shared" si="5"/>
        <v>0</v>
      </c>
    </row>
    <row r="7246">
      <c r="A7246" s="1" t="s">
        <v>69</v>
      </c>
      <c r="B7246" s="3" t="str">
        <f t="shared" si="1"/>
        <v>Unavailable</v>
      </c>
      <c r="C7246" s="3">
        <v>45.0</v>
      </c>
      <c r="D7246" s="3">
        <f>IFERROR(__xludf.DUMMYFUNCTION("IFERROR(
IF(REGEXMATCH(LOWER(O7246),""k""),
VALUE(REGEXEXTRACT(O7246,""[0-9]+""))*1000,
VALUE(REGEXEXTRACT(O7246,""[0-9]+""))
),
0
)"),0.0)</f>
        <v>0</v>
      </c>
      <c r="E7246" s="1" t="s">
        <v>11</v>
      </c>
      <c r="F7246" s="1" t="s">
        <v>12</v>
      </c>
      <c r="G7246" s="4" t="b">
        <f t="shared" si="2"/>
        <v>1</v>
      </c>
      <c r="H7246" s="1" t="str">
        <f t="shared" si="3"/>
        <v>Currently Unavailable</v>
      </c>
      <c r="I7246" s="1" t="str">
        <f t="shared" si="4"/>
        <v>No Badges</v>
      </c>
      <c r="J7246" s="3">
        <f t="shared" si="5"/>
        <v>0</v>
      </c>
    </row>
    <row r="7247">
      <c r="A7247" s="1" t="s">
        <v>5397</v>
      </c>
      <c r="B7247" s="3" t="str">
        <f t="shared" si="1"/>
        <v>Unavailable</v>
      </c>
      <c r="C7247" s="5">
        <v>1465.0</v>
      </c>
      <c r="D7247" s="3">
        <f>IFERROR(__xludf.DUMMYFUNCTION("IFERROR(
IF(REGEXMATCH(LOWER(O7247),""k""),
VALUE(REGEXEXTRACT(O7247,""[0-9]+""))*1000,
VALUE(REGEXEXTRACT(O7247,""[0-9]+""))
),
0
)"),0.0)</f>
        <v>0</v>
      </c>
      <c r="E7247" s="1" t="s">
        <v>11</v>
      </c>
      <c r="F7247" s="1" t="s">
        <v>12</v>
      </c>
      <c r="G7247" s="4" t="b">
        <f t="shared" si="2"/>
        <v>1</v>
      </c>
      <c r="H7247" s="1" t="str">
        <f t="shared" si="3"/>
        <v>Currently Unavailable</v>
      </c>
      <c r="I7247" s="1" t="str">
        <f t="shared" si="4"/>
        <v>No Badges</v>
      </c>
      <c r="J7247" s="3">
        <f t="shared" si="5"/>
        <v>0</v>
      </c>
    </row>
    <row r="7248">
      <c r="A7248" s="1" t="s">
        <v>5539</v>
      </c>
      <c r="B7248" s="3" t="str">
        <f t="shared" si="1"/>
        <v>Unavailable</v>
      </c>
      <c r="C7248" s="3">
        <v>268.0</v>
      </c>
      <c r="D7248" s="3">
        <f>IFERROR(__xludf.DUMMYFUNCTION("IFERROR(
IF(REGEXMATCH(LOWER(O7248),""k""),
VALUE(REGEXEXTRACT(O7248,""[0-9]+""))*1000,
VALUE(REGEXEXTRACT(O7248,""[0-9]+""))
),
0
)"),0.0)</f>
        <v>0</v>
      </c>
      <c r="E7248" s="1" t="s">
        <v>11</v>
      </c>
      <c r="F7248" s="1" t="s">
        <v>20</v>
      </c>
      <c r="G7248" s="4" t="b">
        <f t="shared" si="2"/>
        <v>1</v>
      </c>
      <c r="H7248" s="1" t="str">
        <f t="shared" si="3"/>
        <v>Currently Unavailable</v>
      </c>
      <c r="I7248" s="1" t="str">
        <f t="shared" si="4"/>
        <v>No Badges</v>
      </c>
      <c r="J7248" s="3">
        <f t="shared" si="5"/>
        <v>0</v>
      </c>
    </row>
    <row r="7249">
      <c r="A7249" s="1" t="s">
        <v>5540</v>
      </c>
      <c r="B7249" s="3" t="str">
        <f t="shared" si="1"/>
        <v>Unavailable</v>
      </c>
      <c r="C7249" s="3">
        <v>453.0</v>
      </c>
      <c r="D7249" s="3">
        <f>IFERROR(__xludf.DUMMYFUNCTION("IFERROR(
IF(REGEXMATCH(LOWER(O7249),""k""),
VALUE(REGEXEXTRACT(O7249,""[0-9]+""))*1000,
VALUE(REGEXEXTRACT(O7249,""[0-9]+""))
),
0
)"),0.0)</f>
        <v>0</v>
      </c>
      <c r="E7249" s="1" t="s">
        <v>11</v>
      </c>
      <c r="F7249" s="1" t="s">
        <v>20</v>
      </c>
      <c r="G7249" s="4" t="b">
        <f t="shared" si="2"/>
        <v>1</v>
      </c>
      <c r="H7249" s="1" t="str">
        <f t="shared" si="3"/>
        <v>Currently Unavailable</v>
      </c>
      <c r="I7249" s="1" t="str">
        <f t="shared" si="4"/>
        <v>No Badges</v>
      </c>
      <c r="J7249" s="3">
        <f t="shared" si="5"/>
        <v>0</v>
      </c>
    </row>
    <row r="7250">
      <c r="A7250" s="1" t="s">
        <v>5541</v>
      </c>
      <c r="B7250" s="3" t="str">
        <f t="shared" si="1"/>
        <v>Unavailable</v>
      </c>
      <c r="C7250" s="3">
        <v>81.0</v>
      </c>
      <c r="D7250" s="3">
        <f>IFERROR(__xludf.DUMMYFUNCTION("IFERROR(
IF(REGEXMATCH(LOWER(O7250),""k""),
VALUE(REGEXEXTRACT(O7250,""[0-9]+""))*1000,
VALUE(REGEXEXTRACT(O7250,""[0-9]+""))
),
0
)"),0.0)</f>
        <v>0</v>
      </c>
      <c r="E7250" s="1" t="s">
        <v>11</v>
      </c>
      <c r="F7250" s="1" t="s">
        <v>20</v>
      </c>
      <c r="G7250" s="4" t="b">
        <f t="shared" si="2"/>
        <v>1</v>
      </c>
      <c r="H7250" s="1" t="str">
        <f t="shared" si="3"/>
        <v>Currently Unavailable</v>
      </c>
      <c r="I7250" s="1" t="str">
        <f t="shared" si="4"/>
        <v>No Badges</v>
      </c>
      <c r="J7250" s="3">
        <f t="shared" si="5"/>
        <v>0</v>
      </c>
    </row>
    <row r="7251">
      <c r="A7251" s="1" t="s">
        <v>5542</v>
      </c>
      <c r="B7251" s="3" t="str">
        <f t="shared" si="1"/>
        <v>Unavailable</v>
      </c>
      <c r="C7251" s="3">
        <v>40.0</v>
      </c>
      <c r="D7251" s="3">
        <f>IFERROR(__xludf.DUMMYFUNCTION("IFERROR(
IF(REGEXMATCH(LOWER(O7251),""k""),
VALUE(REGEXEXTRACT(O7251,""[0-9]+""))*1000,
VALUE(REGEXEXTRACT(O7251,""[0-9]+""))
),
0
)"),0.0)</f>
        <v>0</v>
      </c>
      <c r="E7251" s="1" t="s">
        <v>11</v>
      </c>
      <c r="F7251" s="1" t="s">
        <v>20</v>
      </c>
      <c r="G7251" s="4" t="b">
        <f t="shared" si="2"/>
        <v>1</v>
      </c>
      <c r="H7251" s="1" t="str">
        <f t="shared" si="3"/>
        <v>Currently Unavailable</v>
      </c>
      <c r="I7251" s="1" t="str">
        <f t="shared" si="4"/>
        <v>No Badges</v>
      </c>
      <c r="J7251" s="6">
        <f t="shared" si="5"/>
        <v>0</v>
      </c>
    </row>
    <row r="7252">
      <c r="A7252" s="1" t="s">
        <v>5543</v>
      </c>
      <c r="B7252" s="3" t="str">
        <f t="shared" si="1"/>
        <v>Unavailable</v>
      </c>
      <c r="C7252" s="3">
        <v>167.0</v>
      </c>
      <c r="D7252" s="3">
        <f>IFERROR(__xludf.DUMMYFUNCTION("IFERROR(
IF(REGEXMATCH(LOWER(O7252),""k""),
VALUE(REGEXEXTRACT(O7252,""[0-9]+""))*1000,
VALUE(REGEXEXTRACT(O7252,""[0-9]+""))
),
0
)"),0.0)</f>
        <v>0</v>
      </c>
      <c r="E7252" s="1" t="s">
        <v>11</v>
      </c>
      <c r="F7252" s="1" t="s">
        <v>20</v>
      </c>
      <c r="G7252" s="4" t="b">
        <f t="shared" si="2"/>
        <v>1</v>
      </c>
      <c r="H7252" s="1" t="str">
        <f t="shared" si="3"/>
        <v>Currently Unavailable</v>
      </c>
      <c r="I7252" s="1" t="str">
        <f t="shared" si="4"/>
        <v>No Badges</v>
      </c>
      <c r="J7252" s="6">
        <f t="shared" si="5"/>
        <v>0</v>
      </c>
    </row>
    <row r="7253">
      <c r="A7253" s="1" t="s">
        <v>5544</v>
      </c>
      <c r="B7253" s="3" t="str">
        <f t="shared" si="1"/>
        <v>Unavailable</v>
      </c>
      <c r="C7253" s="3">
        <v>232.0</v>
      </c>
      <c r="D7253" s="3">
        <f>IFERROR(__xludf.DUMMYFUNCTION("IFERROR(
IF(REGEXMATCH(LOWER(O7253),""k""),
VALUE(REGEXEXTRACT(O7253,""[0-9]+""))*1000,
VALUE(REGEXEXTRACT(O7253,""[0-9]+""))
),
0
)"),0.0)</f>
        <v>0</v>
      </c>
      <c r="E7253" s="1" t="s">
        <v>11</v>
      </c>
      <c r="F7253" s="1" t="s">
        <v>20</v>
      </c>
      <c r="G7253" s="4" t="b">
        <f t="shared" si="2"/>
        <v>1</v>
      </c>
      <c r="H7253" s="1" t="str">
        <f t="shared" si="3"/>
        <v>Currently Unavailable</v>
      </c>
      <c r="I7253" s="1" t="str">
        <f t="shared" si="4"/>
        <v>No Badges</v>
      </c>
      <c r="J7253" s="3">
        <f t="shared" si="5"/>
        <v>0</v>
      </c>
    </row>
    <row r="7254">
      <c r="A7254" s="1" t="s">
        <v>5545</v>
      </c>
      <c r="B7254" s="3" t="str">
        <f t="shared" si="1"/>
        <v>Unavailable</v>
      </c>
      <c r="C7254" s="3">
        <v>11.0</v>
      </c>
      <c r="D7254" s="3">
        <f>IFERROR(__xludf.DUMMYFUNCTION("IFERROR(
IF(REGEXMATCH(LOWER(O7254),""k""),
VALUE(REGEXEXTRACT(O7254,""[0-9]+""))*1000,
VALUE(REGEXEXTRACT(O7254,""[0-9]+""))
),
0
)"),0.0)</f>
        <v>0</v>
      </c>
      <c r="E7254" s="1" t="s">
        <v>11</v>
      </c>
      <c r="F7254" s="1" t="s">
        <v>20</v>
      </c>
      <c r="G7254" s="4" t="b">
        <f t="shared" si="2"/>
        <v>1</v>
      </c>
      <c r="H7254" s="1" t="str">
        <f t="shared" si="3"/>
        <v>Currently Unavailable</v>
      </c>
      <c r="I7254" s="1" t="str">
        <f t="shared" si="4"/>
        <v>No Badges</v>
      </c>
      <c r="J7254" s="3">
        <f t="shared" si="5"/>
        <v>0</v>
      </c>
    </row>
    <row r="7255">
      <c r="A7255" s="1" t="s">
        <v>5546</v>
      </c>
      <c r="B7255" s="3" t="str">
        <f t="shared" si="1"/>
        <v>Unavailable</v>
      </c>
      <c r="C7255" s="3">
        <v>48.0</v>
      </c>
      <c r="D7255" s="3">
        <f>IFERROR(__xludf.DUMMYFUNCTION("IFERROR(
IF(REGEXMATCH(LOWER(O7255),""k""),
VALUE(REGEXEXTRACT(O7255,""[0-9]+""))*1000,
VALUE(REGEXEXTRACT(O7255,""[0-9]+""))
),
0
)"),0.0)</f>
        <v>0</v>
      </c>
      <c r="E7255" s="1" t="s">
        <v>11</v>
      </c>
      <c r="F7255" s="1" t="s">
        <v>20</v>
      </c>
      <c r="G7255" s="4" t="b">
        <f t="shared" si="2"/>
        <v>1</v>
      </c>
      <c r="H7255" s="1" t="str">
        <f t="shared" si="3"/>
        <v>Currently Unavailable</v>
      </c>
      <c r="I7255" s="1" t="str">
        <f t="shared" si="4"/>
        <v>No Badges</v>
      </c>
      <c r="J7255" s="6">
        <f t="shared" si="5"/>
        <v>0</v>
      </c>
    </row>
    <row r="7256">
      <c r="A7256" s="1" t="s">
        <v>5547</v>
      </c>
      <c r="B7256" s="3" t="str">
        <f t="shared" si="1"/>
        <v>Unavailable</v>
      </c>
      <c r="C7256" s="3">
        <v>633.0</v>
      </c>
      <c r="D7256" s="3">
        <f>IFERROR(__xludf.DUMMYFUNCTION("IFERROR(
IF(REGEXMATCH(LOWER(O7256),""k""),
VALUE(REGEXEXTRACT(O7256,""[0-9]+""))*1000,
VALUE(REGEXEXTRACT(O7256,""[0-9]+""))
),
0
)"),0.0)</f>
        <v>0</v>
      </c>
      <c r="E7256" s="1" t="s">
        <v>11</v>
      </c>
      <c r="F7256" s="1" t="s">
        <v>20</v>
      </c>
      <c r="G7256" s="4" t="b">
        <f t="shared" si="2"/>
        <v>1</v>
      </c>
      <c r="H7256" s="1" t="str">
        <f t="shared" si="3"/>
        <v>Currently Unavailable</v>
      </c>
      <c r="I7256" s="1" t="str">
        <f t="shared" si="4"/>
        <v>No Badges</v>
      </c>
      <c r="J7256" s="3">
        <f t="shared" si="5"/>
        <v>0</v>
      </c>
    </row>
    <row r="7257">
      <c r="A7257" s="1" t="s">
        <v>5548</v>
      </c>
      <c r="B7257" s="3" t="str">
        <f t="shared" si="1"/>
        <v>Unavailable</v>
      </c>
      <c r="C7257" s="3">
        <v>36.0</v>
      </c>
      <c r="D7257" s="3">
        <f>IFERROR(__xludf.DUMMYFUNCTION("IFERROR(
IF(REGEXMATCH(LOWER(O7257),""k""),
VALUE(REGEXEXTRACT(O7257,""[0-9]+""))*1000,
VALUE(REGEXEXTRACT(O7257,""[0-9]+""))
),
0
)"),0.0)</f>
        <v>0</v>
      </c>
      <c r="E7257" s="1" t="s">
        <v>11</v>
      </c>
      <c r="F7257" s="1" t="s">
        <v>20</v>
      </c>
      <c r="G7257" s="4" t="b">
        <f t="shared" si="2"/>
        <v>1</v>
      </c>
      <c r="H7257" s="1" t="str">
        <f t="shared" si="3"/>
        <v>Currently Unavailable</v>
      </c>
      <c r="I7257" s="1" t="str">
        <f t="shared" si="4"/>
        <v>No Badges</v>
      </c>
      <c r="J7257" s="3">
        <f t="shared" si="5"/>
        <v>0</v>
      </c>
    </row>
    <row r="7258">
      <c r="A7258" s="1" t="s">
        <v>5549</v>
      </c>
      <c r="B7258" s="3" t="str">
        <f t="shared" si="1"/>
        <v>Unavailable</v>
      </c>
      <c r="C7258" s="5">
        <v>1783.0</v>
      </c>
      <c r="D7258" s="3">
        <f>IFERROR(__xludf.DUMMYFUNCTION("IFERROR(
IF(REGEXMATCH(LOWER(O7258),""k""),
VALUE(REGEXEXTRACT(O7258,""[0-9]+""))*1000,
VALUE(REGEXEXTRACT(O7258,""[0-9]+""))
),
0
)"),0.0)</f>
        <v>0</v>
      </c>
      <c r="E7258" s="1" t="s">
        <v>11</v>
      </c>
      <c r="F7258" s="1" t="s">
        <v>20</v>
      </c>
      <c r="G7258" s="4" t="b">
        <f t="shared" si="2"/>
        <v>1</v>
      </c>
      <c r="H7258" s="1" t="str">
        <f t="shared" si="3"/>
        <v>Currently Unavailable</v>
      </c>
      <c r="I7258" s="1" t="str">
        <f t="shared" si="4"/>
        <v>No Badges</v>
      </c>
      <c r="J7258" s="3">
        <f t="shared" si="5"/>
        <v>0</v>
      </c>
    </row>
    <row r="7259">
      <c r="A7259" s="1" t="s">
        <v>67</v>
      </c>
      <c r="B7259" s="3" t="str">
        <f t="shared" si="1"/>
        <v>Unavailable</v>
      </c>
      <c r="C7259" s="3">
        <v>264.0</v>
      </c>
      <c r="D7259" s="3">
        <f>IFERROR(__xludf.DUMMYFUNCTION("IFERROR(
IF(REGEXMATCH(LOWER(O7259),""k""),
VALUE(REGEXEXTRACT(O7259,""[0-9]+""))*1000,
VALUE(REGEXEXTRACT(O7259,""[0-9]+""))
),
0
)"),0.0)</f>
        <v>0</v>
      </c>
      <c r="E7259" s="1" t="s">
        <v>11</v>
      </c>
      <c r="F7259" s="1" t="s">
        <v>12</v>
      </c>
      <c r="G7259" s="4" t="b">
        <f t="shared" si="2"/>
        <v>1</v>
      </c>
      <c r="H7259" s="1" t="str">
        <f t="shared" si="3"/>
        <v>Currently Unavailable</v>
      </c>
      <c r="I7259" s="1" t="str">
        <f t="shared" si="4"/>
        <v>No Badges</v>
      </c>
      <c r="J7259" s="3">
        <f t="shared" si="5"/>
        <v>0</v>
      </c>
    </row>
    <row r="7260">
      <c r="A7260" s="1" t="s">
        <v>5550</v>
      </c>
      <c r="B7260" s="3" t="str">
        <f t="shared" si="1"/>
        <v>Unavailable</v>
      </c>
      <c r="C7260" s="3">
        <v>30.0</v>
      </c>
      <c r="D7260" s="3">
        <f>IFERROR(__xludf.DUMMYFUNCTION("IFERROR(
IF(REGEXMATCH(LOWER(O7260),""k""),
VALUE(REGEXEXTRACT(O7260,""[0-9]+""))*1000,
VALUE(REGEXEXTRACT(O7260,""[0-9]+""))
),
0
)"),0.0)</f>
        <v>0</v>
      </c>
      <c r="E7260" s="1" t="s">
        <v>11</v>
      </c>
      <c r="F7260" s="1" t="s">
        <v>20</v>
      </c>
      <c r="G7260" s="4" t="b">
        <f t="shared" si="2"/>
        <v>1</v>
      </c>
      <c r="H7260" s="1" t="str">
        <f t="shared" si="3"/>
        <v>Currently Unavailable</v>
      </c>
      <c r="I7260" s="1" t="str">
        <f t="shared" si="4"/>
        <v>No Badges</v>
      </c>
      <c r="J7260" s="3">
        <f t="shared" si="5"/>
        <v>0</v>
      </c>
    </row>
    <row r="7261">
      <c r="A7261" s="1" t="s">
        <v>701</v>
      </c>
      <c r="B7261" s="3" t="str">
        <f t="shared" si="1"/>
        <v>Unavailable</v>
      </c>
      <c r="C7261" s="3">
        <v>8.0</v>
      </c>
      <c r="D7261" s="3">
        <f>IFERROR(__xludf.DUMMYFUNCTION("IFERROR(
IF(REGEXMATCH(LOWER(O7261),""k""),
VALUE(REGEXEXTRACT(O7261,""[0-9]+""))*1000,
VALUE(REGEXEXTRACT(O7261,""[0-9]+""))
),
0
)"),0.0)</f>
        <v>0</v>
      </c>
      <c r="E7261" s="1" t="s">
        <v>11</v>
      </c>
      <c r="F7261" s="1" t="s">
        <v>12</v>
      </c>
      <c r="G7261" s="4" t="b">
        <f t="shared" si="2"/>
        <v>1</v>
      </c>
      <c r="H7261" s="1" t="str">
        <f t="shared" si="3"/>
        <v>Currently Unavailable</v>
      </c>
      <c r="I7261" s="1" t="str">
        <f t="shared" si="4"/>
        <v>No Badges</v>
      </c>
      <c r="J7261" s="3">
        <f t="shared" si="5"/>
        <v>0</v>
      </c>
    </row>
    <row r="7262">
      <c r="A7262" s="1" t="s">
        <v>5551</v>
      </c>
      <c r="B7262" s="3" t="str">
        <f t="shared" si="1"/>
        <v>Unavailable</v>
      </c>
      <c r="C7262" s="3">
        <v>110.0</v>
      </c>
      <c r="D7262" s="3">
        <f>IFERROR(__xludf.DUMMYFUNCTION("IFERROR(
IF(REGEXMATCH(LOWER(O7262),""k""),
VALUE(REGEXEXTRACT(O7262,""[0-9]+""))*1000,
VALUE(REGEXEXTRACT(O7262,""[0-9]+""))
),
0
)"),0.0)</f>
        <v>0</v>
      </c>
      <c r="E7262" s="1" t="s">
        <v>11</v>
      </c>
      <c r="F7262" s="1" t="s">
        <v>20</v>
      </c>
      <c r="G7262" s="4" t="b">
        <f t="shared" si="2"/>
        <v>1</v>
      </c>
      <c r="H7262" s="1" t="str">
        <f t="shared" si="3"/>
        <v>Currently Unavailable</v>
      </c>
      <c r="I7262" s="1" t="str">
        <f t="shared" si="4"/>
        <v>No Badges</v>
      </c>
      <c r="J7262" s="3">
        <f t="shared" si="5"/>
        <v>0</v>
      </c>
    </row>
    <row r="7263">
      <c r="A7263" s="1" t="s">
        <v>5552</v>
      </c>
      <c r="B7263" s="3" t="str">
        <f t="shared" si="1"/>
        <v>Unavailable</v>
      </c>
      <c r="C7263" s="3">
        <v>22.0</v>
      </c>
      <c r="D7263" s="3">
        <f>IFERROR(__xludf.DUMMYFUNCTION("IFERROR(
IF(REGEXMATCH(LOWER(O7263),""k""),
VALUE(REGEXEXTRACT(O7263,""[0-9]+""))*1000,
VALUE(REGEXEXTRACT(O7263,""[0-9]+""))
),
0
)"),0.0)</f>
        <v>0</v>
      </c>
      <c r="E7263" s="1" t="s">
        <v>11</v>
      </c>
      <c r="F7263" s="1" t="s">
        <v>20</v>
      </c>
      <c r="G7263" s="4" t="b">
        <f t="shared" si="2"/>
        <v>1</v>
      </c>
      <c r="H7263" s="1" t="str">
        <f t="shared" si="3"/>
        <v>Currently Unavailable</v>
      </c>
      <c r="I7263" s="1" t="str">
        <f t="shared" si="4"/>
        <v>No Badges</v>
      </c>
      <c r="J7263" s="6">
        <f t="shared" si="5"/>
        <v>0</v>
      </c>
    </row>
    <row r="7264">
      <c r="A7264" s="1" t="s">
        <v>5553</v>
      </c>
      <c r="B7264" s="3" t="str">
        <f t="shared" si="1"/>
        <v>Unavailable</v>
      </c>
      <c r="C7264" s="3">
        <v>1.0</v>
      </c>
      <c r="D7264" s="3">
        <f>IFERROR(__xludf.DUMMYFUNCTION("IFERROR(
IF(REGEXMATCH(LOWER(O7264),""k""),
VALUE(REGEXEXTRACT(O7264,""[0-9]+""))*1000,
VALUE(REGEXEXTRACT(O7264,""[0-9]+""))
),
0
)"),0.0)</f>
        <v>0</v>
      </c>
      <c r="E7264" s="1" t="s">
        <v>11</v>
      </c>
      <c r="F7264" s="1" t="s">
        <v>20</v>
      </c>
      <c r="G7264" s="4" t="b">
        <f t="shared" si="2"/>
        <v>1</v>
      </c>
      <c r="H7264" s="1" t="str">
        <f t="shared" si="3"/>
        <v>Currently Unavailable</v>
      </c>
      <c r="I7264" s="1" t="str">
        <f t="shared" si="4"/>
        <v>No Badges</v>
      </c>
      <c r="J7264" s="6">
        <f t="shared" si="5"/>
        <v>0</v>
      </c>
    </row>
    <row r="7265">
      <c r="A7265" s="1" t="s">
        <v>5554</v>
      </c>
      <c r="B7265" s="3" t="str">
        <f t="shared" si="1"/>
        <v>Unavailable</v>
      </c>
      <c r="C7265" s="3">
        <v>42.0</v>
      </c>
      <c r="D7265" s="3">
        <f>IFERROR(__xludf.DUMMYFUNCTION("IFERROR(
IF(REGEXMATCH(LOWER(O7265),""k""),
VALUE(REGEXEXTRACT(O7265,""[0-9]+""))*1000,
VALUE(REGEXEXTRACT(O7265,""[0-9]+""))
),
0
)"),0.0)</f>
        <v>0</v>
      </c>
      <c r="E7265" s="1" t="s">
        <v>11</v>
      </c>
      <c r="F7265" s="1" t="s">
        <v>20</v>
      </c>
      <c r="G7265" s="4" t="b">
        <f t="shared" si="2"/>
        <v>1</v>
      </c>
      <c r="H7265" s="1" t="str">
        <f t="shared" si="3"/>
        <v>Currently Unavailable</v>
      </c>
      <c r="I7265" s="1" t="str">
        <f t="shared" si="4"/>
        <v>No Badges</v>
      </c>
      <c r="J7265" s="3">
        <f t="shared" si="5"/>
        <v>0</v>
      </c>
    </row>
    <row r="7266">
      <c r="A7266" s="1" t="s">
        <v>5555</v>
      </c>
      <c r="B7266" s="3" t="str">
        <f t="shared" si="1"/>
        <v>Unavailable</v>
      </c>
      <c r="C7266" s="3">
        <v>107.0</v>
      </c>
      <c r="D7266" s="3">
        <f>IFERROR(__xludf.DUMMYFUNCTION("IFERROR(
IF(REGEXMATCH(LOWER(O7266),""k""),
VALUE(REGEXEXTRACT(O7266,""[0-9]+""))*1000,
VALUE(REGEXEXTRACT(O7266,""[0-9]+""))
),
0
)"),0.0)</f>
        <v>0</v>
      </c>
      <c r="E7266" s="1" t="s">
        <v>11</v>
      </c>
      <c r="F7266" s="1" t="s">
        <v>20</v>
      </c>
      <c r="G7266" s="4" t="b">
        <f t="shared" si="2"/>
        <v>1</v>
      </c>
      <c r="H7266" s="1" t="str">
        <f t="shared" si="3"/>
        <v>Currently Unavailable</v>
      </c>
      <c r="I7266" s="1" t="str">
        <f t="shared" si="4"/>
        <v>No Badges</v>
      </c>
      <c r="J7266" s="3">
        <f t="shared" si="5"/>
        <v>0</v>
      </c>
    </row>
    <row r="7267">
      <c r="A7267" s="1" t="s">
        <v>5556</v>
      </c>
      <c r="B7267" s="3" t="str">
        <f t="shared" si="1"/>
        <v>Unavailable</v>
      </c>
      <c r="C7267" s="3">
        <v>9.0</v>
      </c>
      <c r="D7267" s="3">
        <f>IFERROR(__xludf.DUMMYFUNCTION("IFERROR(
IF(REGEXMATCH(LOWER(O7267),""k""),
VALUE(REGEXEXTRACT(O7267,""[0-9]+""))*1000,
VALUE(REGEXEXTRACT(O7267,""[0-9]+""))
),
0
)"),0.0)</f>
        <v>0</v>
      </c>
      <c r="E7267" s="1" t="s">
        <v>11</v>
      </c>
      <c r="F7267" s="1" t="s">
        <v>20</v>
      </c>
      <c r="G7267" s="4" t="b">
        <f t="shared" si="2"/>
        <v>1</v>
      </c>
      <c r="H7267" s="1" t="str">
        <f t="shared" si="3"/>
        <v>Currently Unavailable</v>
      </c>
      <c r="I7267" s="1" t="str">
        <f t="shared" si="4"/>
        <v>No Badges</v>
      </c>
      <c r="J7267" s="3">
        <f t="shared" si="5"/>
        <v>0</v>
      </c>
    </row>
    <row r="7268">
      <c r="A7268" s="1" t="s">
        <v>5557</v>
      </c>
      <c r="B7268" s="3" t="str">
        <f t="shared" si="1"/>
        <v>Unavailable</v>
      </c>
      <c r="C7268" s="3">
        <v>51.0</v>
      </c>
      <c r="D7268" s="3">
        <f>IFERROR(__xludf.DUMMYFUNCTION("IFERROR(
IF(REGEXMATCH(LOWER(O7268),""k""),
VALUE(REGEXEXTRACT(O7268,""[0-9]+""))*1000,
VALUE(REGEXEXTRACT(O7268,""[0-9]+""))
),
0
)"),0.0)</f>
        <v>0</v>
      </c>
      <c r="E7268" s="1" t="s">
        <v>11</v>
      </c>
      <c r="F7268" s="1" t="s">
        <v>20</v>
      </c>
      <c r="G7268" s="4" t="b">
        <f t="shared" si="2"/>
        <v>1</v>
      </c>
      <c r="H7268" s="1" t="str">
        <f t="shared" si="3"/>
        <v>Currently Unavailable</v>
      </c>
      <c r="I7268" s="1" t="str">
        <f t="shared" si="4"/>
        <v>No Badges</v>
      </c>
      <c r="J7268" s="3">
        <f t="shared" si="5"/>
        <v>0</v>
      </c>
    </row>
    <row r="7269">
      <c r="A7269" s="1" t="s">
        <v>5558</v>
      </c>
      <c r="B7269" s="3" t="str">
        <f t="shared" si="1"/>
        <v>Unavailable</v>
      </c>
      <c r="C7269" s="3">
        <v>73.0</v>
      </c>
      <c r="D7269" s="3">
        <f>IFERROR(__xludf.DUMMYFUNCTION("IFERROR(
IF(REGEXMATCH(LOWER(O7269),""k""),
VALUE(REGEXEXTRACT(O7269,""[0-9]+""))*1000,
VALUE(REGEXEXTRACT(O7269,""[0-9]+""))
),
0
)"),0.0)</f>
        <v>0</v>
      </c>
      <c r="E7269" s="1" t="s">
        <v>11</v>
      </c>
      <c r="F7269" s="1" t="s">
        <v>20</v>
      </c>
      <c r="G7269" s="4" t="b">
        <f t="shared" si="2"/>
        <v>1</v>
      </c>
      <c r="H7269" s="1" t="str">
        <f t="shared" si="3"/>
        <v>Currently Unavailable</v>
      </c>
      <c r="I7269" s="1" t="str">
        <f t="shared" si="4"/>
        <v>No Badges</v>
      </c>
      <c r="J7269" s="3">
        <f t="shared" si="5"/>
        <v>0</v>
      </c>
    </row>
    <row r="7270">
      <c r="A7270" s="1" t="s">
        <v>5559</v>
      </c>
      <c r="B7270" s="3" t="str">
        <f t="shared" si="1"/>
        <v>Unavailable</v>
      </c>
      <c r="C7270" s="3">
        <v>235.0</v>
      </c>
      <c r="D7270" s="3">
        <f>IFERROR(__xludf.DUMMYFUNCTION("IFERROR(
IF(REGEXMATCH(LOWER(O7270),""k""),
VALUE(REGEXEXTRACT(O7270,""[0-9]+""))*1000,
VALUE(REGEXEXTRACT(O7270,""[0-9]+""))
),
0
)"),0.0)</f>
        <v>0</v>
      </c>
      <c r="E7270" s="1" t="s">
        <v>11</v>
      </c>
      <c r="F7270" s="1" t="s">
        <v>20</v>
      </c>
      <c r="G7270" s="4" t="b">
        <f t="shared" si="2"/>
        <v>1</v>
      </c>
      <c r="H7270" s="1" t="str">
        <f t="shared" si="3"/>
        <v>Currently Unavailable</v>
      </c>
      <c r="I7270" s="1" t="str">
        <f t="shared" si="4"/>
        <v>No Badges</v>
      </c>
      <c r="J7270" s="3">
        <f t="shared" si="5"/>
        <v>0</v>
      </c>
    </row>
    <row r="7271">
      <c r="A7271" s="1" t="s">
        <v>5560</v>
      </c>
      <c r="B7271" s="3" t="str">
        <f t="shared" si="1"/>
        <v>Unavailable</v>
      </c>
      <c r="C7271" s="3">
        <v>2.0</v>
      </c>
      <c r="D7271" s="3">
        <f>IFERROR(__xludf.DUMMYFUNCTION("IFERROR(
IF(REGEXMATCH(LOWER(O7271),""k""),
VALUE(REGEXEXTRACT(O7271,""[0-9]+""))*1000,
VALUE(REGEXEXTRACT(O7271,""[0-9]+""))
),
0
)"),0.0)</f>
        <v>0</v>
      </c>
      <c r="E7271" s="1" t="s">
        <v>11</v>
      </c>
      <c r="F7271" s="1" t="s">
        <v>20</v>
      </c>
      <c r="G7271" s="4" t="b">
        <f t="shared" si="2"/>
        <v>1</v>
      </c>
      <c r="H7271" s="1" t="str">
        <f t="shared" si="3"/>
        <v>Currently Unavailable</v>
      </c>
      <c r="I7271" s="1" t="str">
        <f t="shared" si="4"/>
        <v>No Badges</v>
      </c>
      <c r="J7271" s="3">
        <f t="shared" si="5"/>
        <v>0</v>
      </c>
    </row>
    <row r="7272">
      <c r="A7272" s="1" t="s">
        <v>5561</v>
      </c>
      <c r="B7272" s="1" t="str">
        <f t="shared" si="1"/>
        <v>Unavailable</v>
      </c>
      <c r="C7272" s="1"/>
      <c r="D7272" s="3">
        <f>IFERROR(__xludf.DUMMYFUNCTION("IFERROR(
IF(REGEXMATCH(LOWER(O7272),""k""),
VALUE(REGEXEXTRACT(O7272,""[0-9]+""))*1000,
VALUE(REGEXEXTRACT(O7272,""[0-9]+""))
),
0
)"),0.0)</f>
        <v>0</v>
      </c>
      <c r="E7272" s="1" t="s">
        <v>11</v>
      </c>
      <c r="F7272" s="1" t="s">
        <v>20</v>
      </c>
      <c r="G7272" s="4" t="b">
        <f t="shared" si="2"/>
        <v>1</v>
      </c>
      <c r="H7272" s="1" t="str">
        <f t="shared" si="3"/>
        <v>Currently Unavailable</v>
      </c>
      <c r="I7272" s="1" t="str">
        <f t="shared" si="4"/>
        <v>No Badges</v>
      </c>
      <c r="J7272" s="3">
        <f t="shared" si="5"/>
        <v>0</v>
      </c>
    </row>
    <row r="7273">
      <c r="A7273" s="1" t="s">
        <v>5562</v>
      </c>
      <c r="B7273" s="3" t="str">
        <f t="shared" si="1"/>
        <v>Unavailable</v>
      </c>
      <c r="C7273" s="3">
        <v>6.0</v>
      </c>
      <c r="D7273" s="3">
        <f>IFERROR(__xludf.DUMMYFUNCTION("IFERROR(
IF(REGEXMATCH(LOWER(O7273),""k""),
VALUE(REGEXEXTRACT(O7273,""[0-9]+""))*1000,
VALUE(REGEXEXTRACT(O7273,""[0-9]+""))
),
0
)"),0.0)</f>
        <v>0</v>
      </c>
      <c r="E7273" s="1" t="s">
        <v>11</v>
      </c>
      <c r="F7273" s="1" t="s">
        <v>20</v>
      </c>
      <c r="G7273" s="4" t="b">
        <f t="shared" si="2"/>
        <v>1</v>
      </c>
      <c r="H7273" s="1" t="str">
        <f t="shared" si="3"/>
        <v>Currently Unavailable</v>
      </c>
      <c r="I7273" s="1" t="str">
        <f t="shared" si="4"/>
        <v>No Badges</v>
      </c>
      <c r="J7273" s="3">
        <f t="shared" si="5"/>
        <v>0</v>
      </c>
    </row>
    <row r="7274">
      <c r="A7274" s="1" t="s">
        <v>5563</v>
      </c>
      <c r="B7274" s="3" t="str">
        <f t="shared" si="1"/>
        <v>Unavailable</v>
      </c>
      <c r="C7274" s="3">
        <v>885.0</v>
      </c>
      <c r="D7274" s="3">
        <f>IFERROR(__xludf.DUMMYFUNCTION("IFERROR(
IF(REGEXMATCH(LOWER(O7274),""k""),
VALUE(REGEXEXTRACT(O7274,""[0-9]+""))*1000,
VALUE(REGEXEXTRACT(O7274,""[0-9]+""))
),
0
)"),0.0)</f>
        <v>0</v>
      </c>
      <c r="E7274" s="1" t="s">
        <v>11</v>
      </c>
      <c r="F7274" s="1" t="s">
        <v>20</v>
      </c>
      <c r="G7274" s="4" t="b">
        <f t="shared" si="2"/>
        <v>1</v>
      </c>
      <c r="H7274" s="1" t="str">
        <f t="shared" si="3"/>
        <v>Currently Unavailable</v>
      </c>
      <c r="I7274" s="1" t="str">
        <f t="shared" si="4"/>
        <v>No Badges</v>
      </c>
      <c r="J7274" s="3">
        <f t="shared" si="5"/>
        <v>0</v>
      </c>
    </row>
    <row r="7275">
      <c r="A7275" s="1" t="s">
        <v>5564</v>
      </c>
      <c r="B7275" s="3" t="str">
        <f t="shared" si="1"/>
        <v>Unavailable</v>
      </c>
      <c r="C7275" s="3">
        <v>15.0</v>
      </c>
      <c r="D7275" s="3">
        <f>IFERROR(__xludf.DUMMYFUNCTION("IFERROR(
IF(REGEXMATCH(LOWER(O7275),""k""),
VALUE(REGEXEXTRACT(O7275,""[0-9]+""))*1000,
VALUE(REGEXEXTRACT(O7275,""[0-9]+""))
),
0
)"),0.0)</f>
        <v>0</v>
      </c>
      <c r="E7275" s="1" t="s">
        <v>11</v>
      </c>
      <c r="F7275" s="1" t="s">
        <v>20</v>
      </c>
      <c r="G7275" s="4" t="b">
        <f t="shared" si="2"/>
        <v>1</v>
      </c>
      <c r="H7275" s="1" t="str">
        <f t="shared" si="3"/>
        <v>Currently Unavailable</v>
      </c>
      <c r="I7275" s="1" t="str">
        <f t="shared" si="4"/>
        <v>No Badges</v>
      </c>
      <c r="J7275" s="3">
        <f t="shared" si="5"/>
        <v>0</v>
      </c>
    </row>
    <row r="7276">
      <c r="A7276" s="1" t="s">
        <v>88</v>
      </c>
      <c r="B7276" s="3" t="str">
        <f t="shared" si="1"/>
        <v>Unavailable</v>
      </c>
      <c r="C7276" s="3">
        <v>5.0</v>
      </c>
      <c r="D7276" s="3">
        <f>IFERROR(__xludf.DUMMYFUNCTION("IFERROR(
IF(REGEXMATCH(LOWER(O7276),""k""),
VALUE(REGEXEXTRACT(O7276,""[0-9]+""))*1000,
VALUE(REGEXEXTRACT(O7276,""[0-9]+""))
),
0
)"),0.0)</f>
        <v>0</v>
      </c>
      <c r="E7276" s="1" t="s">
        <v>11</v>
      </c>
      <c r="F7276" s="1" t="s">
        <v>12</v>
      </c>
      <c r="G7276" s="4" t="b">
        <f t="shared" si="2"/>
        <v>1</v>
      </c>
      <c r="H7276" s="1" t="str">
        <f t="shared" si="3"/>
        <v>Currently Unavailable</v>
      </c>
      <c r="I7276" s="1" t="str">
        <f t="shared" si="4"/>
        <v>No Badges</v>
      </c>
      <c r="J7276" s="3">
        <f t="shared" si="5"/>
        <v>0</v>
      </c>
    </row>
    <row r="7277">
      <c r="A7277" s="1" t="s">
        <v>5405</v>
      </c>
      <c r="B7277" s="3" t="str">
        <f t="shared" si="1"/>
        <v>Unavailable</v>
      </c>
      <c r="C7277" s="3">
        <v>158.0</v>
      </c>
      <c r="D7277" s="3">
        <f>IFERROR(__xludf.DUMMYFUNCTION("IFERROR(
IF(REGEXMATCH(LOWER(O7277),""k""),
VALUE(REGEXEXTRACT(O7277,""[0-9]+""))*1000,
VALUE(REGEXEXTRACT(O7277,""[0-9]+""))
),
0
)"),0.0)</f>
        <v>0</v>
      </c>
      <c r="E7277" s="1" t="s">
        <v>11</v>
      </c>
      <c r="F7277" s="1" t="s">
        <v>20</v>
      </c>
      <c r="G7277" s="4" t="b">
        <f t="shared" si="2"/>
        <v>1</v>
      </c>
      <c r="H7277" s="1" t="str">
        <f t="shared" si="3"/>
        <v>Currently Unavailable</v>
      </c>
      <c r="I7277" s="1" t="str">
        <f t="shared" si="4"/>
        <v>No Badges</v>
      </c>
      <c r="J7277" s="3">
        <f t="shared" si="5"/>
        <v>0</v>
      </c>
    </row>
    <row r="7278">
      <c r="A7278" s="1" t="s">
        <v>5565</v>
      </c>
      <c r="B7278" s="3" t="str">
        <f t="shared" si="1"/>
        <v>Unavailable</v>
      </c>
      <c r="C7278" s="3">
        <v>634.0</v>
      </c>
      <c r="D7278" s="3">
        <f>IFERROR(__xludf.DUMMYFUNCTION("IFERROR(
IF(REGEXMATCH(LOWER(O7278),""k""),
VALUE(REGEXEXTRACT(O7278,""[0-9]+""))*1000,
VALUE(REGEXEXTRACT(O7278,""[0-9]+""))
),
0
)"),0.0)</f>
        <v>0</v>
      </c>
      <c r="E7278" s="1" t="s">
        <v>11</v>
      </c>
      <c r="F7278" s="1" t="s">
        <v>20</v>
      </c>
      <c r="G7278" s="4" t="b">
        <f t="shared" si="2"/>
        <v>1</v>
      </c>
      <c r="H7278" s="1" t="str">
        <f t="shared" si="3"/>
        <v>Currently Unavailable</v>
      </c>
      <c r="I7278" s="1" t="str">
        <f t="shared" si="4"/>
        <v>No Badges</v>
      </c>
      <c r="J7278" s="3">
        <f t="shared" si="5"/>
        <v>0</v>
      </c>
    </row>
    <row r="7279">
      <c r="A7279" s="1" t="s">
        <v>5566</v>
      </c>
      <c r="B7279" s="3" t="str">
        <f t="shared" si="1"/>
        <v>Unavailable</v>
      </c>
      <c r="C7279" s="3">
        <v>21.0</v>
      </c>
      <c r="D7279" s="3">
        <f>IFERROR(__xludf.DUMMYFUNCTION("IFERROR(
IF(REGEXMATCH(LOWER(O7279),""k""),
VALUE(REGEXEXTRACT(O7279,""[0-9]+""))*1000,
VALUE(REGEXEXTRACT(O7279,""[0-9]+""))
),
0
)"),0.0)</f>
        <v>0</v>
      </c>
      <c r="E7279" s="1" t="s">
        <v>11</v>
      </c>
      <c r="F7279" s="1" t="s">
        <v>20</v>
      </c>
      <c r="G7279" s="4" t="b">
        <f t="shared" si="2"/>
        <v>1</v>
      </c>
      <c r="H7279" s="1" t="str">
        <f t="shared" si="3"/>
        <v>Currently Unavailable</v>
      </c>
      <c r="I7279" s="1" t="str">
        <f t="shared" si="4"/>
        <v>No Badges</v>
      </c>
      <c r="J7279" s="3">
        <f t="shared" si="5"/>
        <v>0</v>
      </c>
    </row>
    <row r="7280">
      <c r="A7280" s="1" t="s">
        <v>5567</v>
      </c>
      <c r="B7280" s="3" t="str">
        <f t="shared" si="1"/>
        <v>Unavailable</v>
      </c>
      <c r="C7280" s="3">
        <v>135.0</v>
      </c>
      <c r="D7280" s="3">
        <f>IFERROR(__xludf.DUMMYFUNCTION("IFERROR(
IF(REGEXMATCH(LOWER(O7280),""k""),
VALUE(REGEXEXTRACT(O7280,""[0-9]+""))*1000,
VALUE(REGEXEXTRACT(O7280,""[0-9]+""))
),
0
)"),0.0)</f>
        <v>0</v>
      </c>
      <c r="E7280" s="1" t="s">
        <v>11</v>
      </c>
      <c r="F7280" s="1" t="s">
        <v>20</v>
      </c>
      <c r="G7280" s="4" t="b">
        <f t="shared" si="2"/>
        <v>1</v>
      </c>
      <c r="H7280" s="1" t="str">
        <f t="shared" si="3"/>
        <v>Currently Unavailable</v>
      </c>
      <c r="I7280" s="1" t="str">
        <f t="shared" si="4"/>
        <v>No Badges</v>
      </c>
      <c r="J7280" s="3">
        <f t="shared" si="5"/>
        <v>0</v>
      </c>
    </row>
    <row r="7281">
      <c r="A7281" s="1" t="s">
        <v>5568</v>
      </c>
      <c r="B7281" s="3" t="str">
        <f t="shared" si="1"/>
        <v>Unavailable</v>
      </c>
      <c r="C7281" s="3">
        <v>81.0</v>
      </c>
      <c r="D7281" s="3">
        <f>IFERROR(__xludf.DUMMYFUNCTION("IFERROR(
IF(REGEXMATCH(LOWER(O7281),""k""),
VALUE(REGEXEXTRACT(O7281,""[0-9]+""))*1000,
VALUE(REGEXEXTRACT(O7281,""[0-9]+""))
),
0
)"),0.0)</f>
        <v>0</v>
      </c>
      <c r="E7281" s="1" t="s">
        <v>11</v>
      </c>
      <c r="F7281" s="1" t="s">
        <v>20</v>
      </c>
      <c r="G7281" s="4" t="b">
        <f t="shared" si="2"/>
        <v>1</v>
      </c>
      <c r="H7281" s="1" t="str">
        <f t="shared" si="3"/>
        <v>Currently Unavailable</v>
      </c>
      <c r="I7281" s="1" t="str">
        <f t="shared" si="4"/>
        <v>No Badges</v>
      </c>
      <c r="J7281" s="3">
        <f t="shared" si="5"/>
        <v>0</v>
      </c>
    </row>
    <row r="7282">
      <c r="A7282" s="1" t="s">
        <v>5569</v>
      </c>
      <c r="B7282" s="3" t="str">
        <f t="shared" si="1"/>
        <v>Unavailable</v>
      </c>
      <c r="C7282" s="3">
        <v>451.0</v>
      </c>
      <c r="D7282" s="3">
        <f>IFERROR(__xludf.DUMMYFUNCTION("IFERROR(
IF(REGEXMATCH(LOWER(O7282),""k""),
VALUE(REGEXEXTRACT(O7282,""[0-9]+""))*1000,
VALUE(REGEXEXTRACT(O7282,""[0-9]+""))
),
0
)"),0.0)</f>
        <v>0</v>
      </c>
      <c r="E7282" s="1" t="s">
        <v>11</v>
      </c>
      <c r="F7282" s="1" t="s">
        <v>20</v>
      </c>
      <c r="G7282" s="4" t="b">
        <f t="shared" si="2"/>
        <v>1</v>
      </c>
      <c r="H7282" s="1" t="str">
        <f t="shared" si="3"/>
        <v>Currently Unavailable</v>
      </c>
      <c r="I7282" s="1" t="str">
        <f t="shared" si="4"/>
        <v>No Badges</v>
      </c>
      <c r="J7282" s="6">
        <f t="shared" si="5"/>
        <v>0</v>
      </c>
    </row>
    <row r="7283">
      <c r="A7283" s="1" t="s">
        <v>5570</v>
      </c>
      <c r="B7283" s="3" t="str">
        <f t="shared" si="1"/>
        <v>Unavailable</v>
      </c>
      <c r="C7283" s="3">
        <v>178.0</v>
      </c>
      <c r="D7283" s="3">
        <f>IFERROR(__xludf.DUMMYFUNCTION("IFERROR(
IF(REGEXMATCH(LOWER(O7283),""k""),
VALUE(REGEXEXTRACT(O7283,""[0-9]+""))*1000,
VALUE(REGEXEXTRACT(O7283,""[0-9]+""))
),
0
)"),0.0)</f>
        <v>0</v>
      </c>
      <c r="E7283" s="1" t="s">
        <v>11</v>
      </c>
      <c r="F7283" s="1" t="s">
        <v>20</v>
      </c>
      <c r="G7283" s="4" t="b">
        <f t="shared" si="2"/>
        <v>1</v>
      </c>
      <c r="H7283" s="1" t="str">
        <f t="shared" si="3"/>
        <v>Currently Unavailable</v>
      </c>
      <c r="I7283" s="1" t="str">
        <f t="shared" si="4"/>
        <v>No Badges</v>
      </c>
      <c r="J7283" s="3">
        <f t="shared" si="5"/>
        <v>0</v>
      </c>
    </row>
    <row r="7284">
      <c r="A7284" s="1" t="s">
        <v>5571</v>
      </c>
      <c r="B7284" s="3" t="str">
        <f t="shared" si="1"/>
        <v>Unavailable</v>
      </c>
      <c r="C7284" s="3">
        <v>34.0</v>
      </c>
      <c r="D7284" s="3">
        <f>IFERROR(__xludf.DUMMYFUNCTION("IFERROR(
IF(REGEXMATCH(LOWER(O7284),""k""),
VALUE(REGEXEXTRACT(O7284,""[0-9]+""))*1000,
VALUE(REGEXEXTRACT(O7284,""[0-9]+""))
),
0
)"),0.0)</f>
        <v>0</v>
      </c>
      <c r="E7284" s="1" t="s">
        <v>11</v>
      </c>
      <c r="F7284" s="1" t="s">
        <v>20</v>
      </c>
      <c r="G7284" s="4" t="b">
        <f t="shared" si="2"/>
        <v>1</v>
      </c>
      <c r="H7284" s="1" t="str">
        <f t="shared" si="3"/>
        <v>Currently Unavailable</v>
      </c>
      <c r="I7284" s="1" t="str">
        <f t="shared" si="4"/>
        <v>No Badges</v>
      </c>
      <c r="J7284" s="3">
        <f t="shared" si="5"/>
        <v>0</v>
      </c>
    </row>
    <row r="7285">
      <c r="A7285" s="1" t="s">
        <v>5572</v>
      </c>
      <c r="B7285" s="3" t="str">
        <f t="shared" si="1"/>
        <v>Unavailable</v>
      </c>
      <c r="C7285" s="3">
        <v>23.0</v>
      </c>
      <c r="D7285" s="3">
        <f>IFERROR(__xludf.DUMMYFUNCTION("IFERROR(
IF(REGEXMATCH(LOWER(O7285),""k""),
VALUE(REGEXEXTRACT(O7285,""[0-9]+""))*1000,
VALUE(REGEXEXTRACT(O7285,""[0-9]+""))
),
0
)"),0.0)</f>
        <v>0</v>
      </c>
      <c r="E7285" s="1" t="s">
        <v>11</v>
      </c>
      <c r="F7285" s="1" t="s">
        <v>20</v>
      </c>
      <c r="G7285" s="4" t="b">
        <f t="shared" si="2"/>
        <v>1</v>
      </c>
      <c r="H7285" s="1" t="str">
        <f t="shared" si="3"/>
        <v>Currently Unavailable</v>
      </c>
      <c r="I7285" s="1" t="str">
        <f t="shared" si="4"/>
        <v>No Badges</v>
      </c>
      <c r="J7285" s="3">
        <f t="shared" si="5"/>
        <v>0</v>
      </c>
    </row>
    <row r="7286">
      <c r="A7286" s="1" t="s">
        <v>5573</v>
      </c>
      <c r="B7286" s="3" t="str">
        <f t="shared" si="1"/>
        <v>Unavailable</v>
      </c>
      <c r="C7286" s="3">
        <v>46.0</v>
      </c>
      <c r="D7286" s="3">
        <f>IFERROR(__xludf.DUMMYFUNCTION("IFERROR(
IF(REGEXMATCH(LOWER(O7286),""k""),
VALUE(REGEXEXTRACT(O7286,""[0-9]+""))*1000,
VALUE(REGEXEXTRACT(O7286,""[0-9]+""))
),
0
)"),0.0)</f>
        <v>0</v>
      </c>
      <c r="E7286" s="1" t="s">
        <v>11</v>
      </c>
      <c r="F7286" s="1" t="s">
        <v>20</v>
      </c>
      <c r="G7286" s="4" t="b">
        <f t="shared" si="2"/>
        <v>1</v>
      </c>
      <c r="H7286" s="1" t="str">
        <f t="shared" si="3"/>
        <v>Currently Unavailable</v>
      </c>
      <c r="I7286" s="1" t="str">
        <f t="shared" si="4"/>
        <v>No Badges</v>
      </c>
      <c r="J7286" s="3">
        <f t="shared" si="5"/>
        <v>0</v>
      </c>
    </row>
    <row r="7287">
      <c r="A7287" s="1" t="s">
        <v>5574</v>
      </c>
      <c r="B7287" s="3" t="str">
        <f t="shared" si="1"/>
        <v>Unavailable</v>
      </c>
      <c r="C7287" s="3">
        <v>54.0</v>
      </c>
      <c r="D7287" s="3">
        <f>IFERROR(__xludf.DUMMYFUNCTION("IFERROR(
IF(REGEXMATCH(LOWER(O7287),""k""),
VALUE(REGEXEXTRACT(O7287,""[0-9]+""))*1000,
VALUE(REGEXEXTRACT(O7287,""[0-9]+""))
),
0
)"),0.0)</f>
        <v>0</v>
      </c>
      <c r="E7287" s="1" t="s">
        <v>11</v>
      </c>
      <c r="F7287" s="1" t="s">
        <v>20</v>
      </c>
      <c r="G7287" s="4" t="b">
        <f t="shared" si="2"/>
        <v>1</v>
      </c>
      <c r="H7287" s="1" t="str">
        <f t="shared" si="3"/>
        <v>Currently Unavailable</v>
      </c>
      <c r="I7287" s="1" t="str">
        <f t="shared" si="4"/>
        <v>No Badges</v>
      </c>
      <c r="J7287" s="3">
        <f t="shared" si="5"/>
        <v>0</v>
      </c>
    </row>
    <row r="7288">
      <c r="A7288" s="1" t="s">
        <v>5575</v>
      </c>
      <c r="B7288" s="3" t="str">
        <f t="shared" si="1"/>
        <v>Unavailable</v>
      </c>
      <c r="C7288" s="3">
        <v>6.0</v>
      </c>
      <c r="D7288" s="3">
        <f>IFERROR(__xludf.DUMMYFUNCTION("IFERROR(
IF(REGEXMATCH(LOWER(O7288),""k""),
VALUE(REGEXEXTRACT(O7288,""[0-9]+""))*1000,
VALUE(REGEXEXTRACT(O7288,""[0-9]+""))
),
0
)"),0.0)</f>
        <v>0</v>
      </c>
      <c r="E7288" s="1" t="s">
        <v>11</v>
      </c>
      <c r="F7288" s="1" t="s">
        <v>20</v>
      </c>
      <c r="G7288" s="4" t="b">
        <f t="shared" si="2"/>
        <v>1</v>
      </c>
      <c r="H7288" s="1" t="str">
        <f t="shared" si="3"/>
        <v>Currently Unavailable</v>
      </c>
      <c r="I7288" s="1" t="str">
        <f t="shared" si="4"/>
        <v>No Badges</v>
      </c>
      <c r="J7288" s="3">
        <f t="shared" si="5"/>
        <v>0</v>
      </c>
    </row>
    <row r="7289">
      <c r="A7289" s="1" t="s">
        <v>5576</v>
      </c>
      <c r="B7289" s="3" t="str">
        <f t="shared" si="1"/>
        <v>Unavailable</v>
      </c>
      <c r="C7289" s="3">
        <v>9.0</v>
      </c>
      <c r="D7289" s="3">
        <f>IFERROR(__xludf.DUMMYFUNCTION("IFERROR(
IF(REGEXMATCH(LOWER(O7289),""k""),
VALUE(REGEXEXTRACT(O7289,""[0-9]+""))*1000,
VALUE(REGEXEXTRACT(O7289,""[0-9]+""))
),
0
)"),0.0)</f>
        <v>0</v>
      </c>
      <c r="E7289" s="1" t="s">
        <v>11</v>
      </c>
      <c r="F7289" s="1" t="s">
        <v>20</v>
      </c>
      <c r="G7289" s="4" t="b">
        <f t="shared" si="2"/>
        <v>1</v>
      </c>
      <c r="H7289" s="1" t="str">
        <f t="shared" si="3"/>
        <v>Currently Unavailable</v>
      </c>
      <c r="I7289" s="1" t="str">
        <f t="shared" si="4"/>
        <v>No Badges</v>
      </c>
      <c r="J7289" s="3">
        <f t="shared" si="5"/>
        <v>0</v>
      </c>
    </row>
    <row r="7290">
      <c r="A7290" s="1" t="s">
        <v>5577</v>
      </c>
      <c r="B7290" s="3" t="str">
        <f t="shared" si="1"/>
        <v>Unavailable</v>
      </c>
      <c r="C7290" s="5">
        <v>1887.0</v>
      </c>
      <c r="D7290" s="3">
        <f>IFERROR(__xludf.DUMMYFUNCTION("IFERROR(
IF(REGEXMATCH(LOWER(O7290),""k""),
VALUE(REGEXEXTRACT(O7290,""[0-9]+""))*1000,
VALUE(REGEXEXTRACT(O7290,""[0-9]+""))
),
0
)"),0.0)</f>
        <v>0</v>
      </c>
      <c r="E7290" s="1" t="s">
        <v>11</v>
      </c>
      <c r="F7290" s="1" t="s">
        <v>20</v>
      </c>
      <c r="G7290" s="4" t="b">
        <f t="shared" si="2"/>
        <v>1</v>
      </c>
      <c r="H7290" s="1" t="str">
        <f t="shared" si="3"/>
        <v>Currently Unavailable</v>
      </c>
      <c r="I7290" s="1" t="str">
        <f t="shared" si="4"/>
        <v>No Badges</v>
      </c>
      <c r="J7290" s="3">
        <f t="shared" si="5"/>
        <v>0</v>
      </c>
    </row>
    <row r="7291">
      <c r="A7291" s="1" t="s">
        <v>5578</v>
      </c>
      <c r="B7291" s="3" t="str">
        <f t="shared" si="1"/>
        <v>Unavailable</v>
      </c>
      <c r="C7291" s="3">
        <v>46.0</v>
      </c>
      <c r="D7291" s="3">
        <f>IFERROR(__xludf.DUMMYFUNCTION("IFERROR(
IF(REGEXMATCH(LOWER(O7291),""k""),
VALUE(REGEXEXTRACT(O7291,""[0-9]+""))*1000,
VALUE(REGEXEXTRACT(O7291,""[0-9]+""))
),
0
)"),0.0)</f>
        <v>0</v>
      </c>
      <c r="E7291" s="1" t="s">
        <v>11</v>
      </c>
      <c r="F7291" s="1" t="s">
        <v>20</v>
      </c>
      <c r="G7291" s="4" t="b">
        <f t="shared" si="2"/>
        <v>1</v>
      </c>
      <c r="H7291" s="1" t="str">
        <f t="shared" si="3"/>
        <v>Currently Unavailable</v>
      </c>
      <c r="I7291" s="1" t="str">
        <f t="shared" si="4"/>
        <v>No Badges</v>
      </c>
      <c r="J7291" s="3">
        <f t="shared" si="5"/>
        <v>0</v>
      </c>
    </row>
    <row r="7292">
      <c r="A7292" s="1" t="s">
        <v>5579</v>
      </c>
      <c r="B7292" s="3" t="str">
        <f t="shared" si="1"/>
        <v>Unavailable</v>
      </c>
      <c r="C7292" s="5">
        <v>3545.0</v>
      </c>
      <c r="D7292" s="3">
        <f>IFERROR(__xludf.DUMMYFUNCTION("IFERROR(
IF(REGEXMATCH(LOWER(O7292),""k""),
VALUE(REGEXEXTRACT(O7292,""[0-9]+""))*1000,
VALUE(REGEXEXTRACT(O7292,""[0-9]+""))
),
0
)"),0.0)</f>
        <v>0</v>
      </c>
      <c r="E7292" s="1" t="s">
        <v>11</v>
      </c>
      <c r="F7292" s="1" t="s">
        <v>20</v>
      </c>
      <c r="G7292" s="4" t="b">
        <f t="shared" si="2"/>
        <v>1</v>
      </c>
      <c r="H7292" s="1" t="str">
        <f t="shared" si="3"/>
        <v>Currently Unavailable</v>
      </c>
      <c r="I7292" s="1" t="str">
        <f t="shared" si="4"/>
        <v>No Badges</v>
      </c>
      <c r="J7292" s="3">
        <f t="shared" si="5"/>
        <v>0</v>
      </c>
    </row>
    <row r="7293">
      <c r="A7293" s="1" t="s">
        <v>5580</v>
      </c>
      <c r="B7293" s="3" t="str">
        <f t="shared" si="1"/>
        <v>Unavailable</v>
      </c>
      <c r="C7293" s="3">
        <v>206.0</v>
      </c>
      <c r="D7293" s="3">
        <f>IFERROR(__xludf.DUMMYFUNCTION("IFERROR(
IF(REGEXMATCH(LOWER(O7293),""k""),
VALUE(REGEXEXTRACT(O7293,""[0-9]+""))*1000,
VALUE(REGEXEXTRACT(O7293,""[0-9]+""))
),
0
)"),0.0)</f>
        <v>0</v>
      </c>
      <c r="E7293" s="1" t="s">
        <v>11</v>
      </c>
      <c r="F7293" s="1" t="s">
        <v>20</v>
      </c>
      <c r="G7293" s="4" t="b">
        <f t="shared" si="2"/>
        <v>1</v>
      </c>
      <c r="H7293" s="1" t="str">
        <f t="shared" si="3"/>
        <v>Currently Unavailable</v>
      </c>
      <c r="I7293" s="1" t="str">
        <f t="shared" si="4"/>
        <v>No Badges</v>
      </c>
      <c r="J7293" s="3">
        <f t="shared" si="5"/>
        <v>0</v>
      </c>
    </row>
    <row r="7294">
      <c r="A7294" s="1" t="s">
        <v>5581</v>
      </c>
      <c r="B7294" s="3" t="str">
        <f t="shared" si="1"/>
        <v>Unavailable</v>
      </c>
      <c r="C7294" s="3">
        <v>223.0</v>
      </c>
      <c r="D7294" s="3">
        <f>IFERROR(__xludf.DUMMYFUNCTION("IFERROR(
IF(REGEXMATCH(LOWER(O7294),""k""),
VALUE(REGEXEXTRACT(O7294,""[0-9]+""))*1000,
VALUE(REGEXEXTRACT(O7294,""[0-9]+""))
),
0
)"),0.0)</f>
        <v>0</v>
      </c>
      <c r="E7294" s="1" t="s">
        <v>11</v>
      </c>
      <c r="F7294" s="1" t="s">
        <v>20</v>
      </c>
      <c r="G7294" s="4" t="b">
        <f t="shared" si="2"/>
        <v>1</v>
      </c>
      <c r="H7294" s="1" t="str">
        <f t="shared" si="3"/>
        <v>Currently Unavailable</v>
      </c>
      <c r="I7294" s="1" t="str">
        <f t="shared" si="4"/>
        <v>No Badges</v>
      </c>
      <c r="J7294" s="3">
        <f t="shared" si="5"/>
        <v>0</v>
      </c>
    </row>
    <row r="7295">
      <c r="A7295" s="1" t="s">
        <v>5582</v>
      </c>
      <c r="B7295" s="3" t="str">
        <f t="shared" si="1"/>
        <v>Unavailable</v>
      </c>
      <c r="C7295" s="5">
        <v>1205.0</v>
      </c>
      <c r="D7295" s="3">
        <f>IFERROR(__xludf.DUMMYFUNCTION("IFERROR(
IF(REGEXMATCH(LOWER(O7295),""k""),
VALUE(REGEXEXTRACT(O7295,""[0-9]+""))*1000,
VALUE(REGEXEXTRACT(O7295,""[0-9]+""))
),
0
)"),0.0)</f>
        <v>0</v>
      </c>
      <c r="E7295" s="1" t="s">
        <v>11</v>
      </c>
      <c r="F7295" s="1" t="s">
        <v>20</v>
      </c>
      <c r="G7295" s="4" t="b">
        <f t="shared" si="2"/>
        <v>1</v>
      </c>
      <c r="H7295" s="1" t="str">
        <f t="shared" si="3"/>
        <v>Currently Unavailable</v>
      </c>
      <c r="I7295" s="1" t="str">
        <f t="shared" si="4"/>
        <v>No Badges</v>
      </c>
      <c r="J7295" s="3">
        <f t="shared" si="5"/>
        <v>0</v>
      </c>
    </row>
    <row r="7296">
      <c r="A7296" s="1" t="s">
        <v>5583</v>
      </c>
      <c r="B7296" s="3" t="str">
        <f t="shared" si="1"/>
        <v>Unavailable</v>
      </c>
      <c r="C7296" s="5">
        <v>1893.0</v>
      </c>
      <c r="D7296" s="3">
        <f>IFERROR(__xludf.DUMMYFUNCTION("IFERROR(
IF(REGEXMATCH(LOWER(O7296),""k""),
VALUE(REGEXEXTRACT(O7296,""[0-9]+""))*1000,
VALUE(REGEXEXTRACT(O7296,""[0-9]+""))
),
0
)"),0.0)</f>
        <v>0</v>
      </c>
      <c r="E7296" s="1" t="s">
        <v>11</v>
      </c>
      <c r="F7296" s="1" t="s">
        <v>20</v>
      </c>
      <c r="G7296" s="4" t="b">
        <f t="shared" si="2"/>
        <v>1</v>
      </c>
      <c r="H7296" s="1" t="str">
        <f t="shared" si="3"/>
        <v>Currently Unavailable</v>
      </c>
      <c r="I7296" s="1" t="str">
        <f t="shared" si="4"/>
        <v>No Badges</v>
      </c>
      <c r="J7296" s="3">
        <f t="shared" si="5"/>
        <v>0</v>
      </c>
    </row>
    <row r="7297">
      <c r="A7297" s="1" t="s">
        <v>5584</v>
      </c>
      <c r="B7297" s="3" t="str">
        <f t="shared" si="1"/>
        <v>Unavailable</v>
      </c>
      <c r="C7297" s="5">
        <v>1478.0</v>
      </c>
      <c r="D7297" s="3">
        <f>IFERROR(__xludf.DUMMYFUNCTION("IFERROR(
IF(REGEXMATCH(LOWER(O7297),""k""),
VALUE(REGEXEXTRACT(O7297,""[0-9]+""))*1000,
VALUE(REGEXEXTRACT(O7297,""[0-9]+""))
),
0
)"),0.0)</f>
        <v>0</v>
      </c>
      <c r="E7297" s="1" t="s">
        <v>11</v>
      </c>
      <c r="F7297" s="1" t="s">
        <v>20</v>
      </c>
      <c r="G7297" s="4" t="b">
        <f t="shared" si="2"/>
        <v>1</v>
      </c>
      <c r="H7297" s="1" t="str">
        <f t="shared" si="3"/>
        <v>Currently Unavailable</v>
      </c>
      <c r="I7297" s="1" t="str">
        <f t="shared" si="4"/>
        <v>No Badges</v>
      </c>
      <c r="J7297" s="3">
        <f t="shared" si="5"/>
        <v>0</v>
      </c>
    </row>
    <row r="7298">
      <c r="A7298" s="1" t="s">
        <v>5585</v>
      </c>
      <c r="B7298" s="3" t="str">
        <f t="shared" si="1"/>
        <v>Unavailable</v>
      </c>
      <c r="C7298" s="3">
        <v>114.0</v>
      </c>
      <c r="D7298" s="3">
        <f>IFERROR(__xludf.DUMMYFUNCTION("IFERROR(
IF(REGEXMATCH(LOWER(O7298),""k""),
VALUE(REGEXEXTRACT(O7298,""[0-9]+""))*1000,
VALUE(REGEXEXTRACT(O7298,""[0-9]+""))
),
0
)"),0.0)</f>
        <v>0</v>
      </c>
      <c r="E7298" s="1" t="s">
        <v>11</v>
      </c>
      <c r="F7298" s="1" t="s">
        <v>20</v>
      </c>
      <c r="G7298" s="4" t="b">
        <f t="shared" si="2"/>
        <v>1</v>
      </c>
      <c r="H7298" s="1" t="str">
        <f t="shared" si="3"/>
        <v>Currently Unavailable</v>
      </c>
      <c r="I7298" s="1" t="str">
        <f t="shared" si="4"/>
        <v>No Badges</v>
      </c>
      <c r="J7298" s="3">
        <f t="shared" si="5"/>
        <v>0</v>
      </c>
    </row>
    <row r="7299">
      <c r="A7299" s="1" t="s">
        <v>5586</v>
      </c>
      <c r="B7299" s="3" t="str">
        <f t="shared" si="1"/>
        <v>Unavailable</v>
      </c>
      <c r="C7299" s="3">
        <v>24.0</v>
      </c>
      <c r="D7299" s="3">
        <f>IFERROR(__xludf.DUMMYFUNCTION("IFERROR(
IF(REGEXMATCH(LOWER(O7299),""k""),
VALUE(REGEXEXTRACT(O7299,""[0-9]+""))*1000,
VALUE(REGEXEXTRACT(O7299,""[0-9]+""))
),
0
)"),0.0)</f>
        <v>0</v>
      </c>
      <c r="E7299" s="1" t="s">
        <v>11</v>
      </c>
      <c r="F7299" s="1" t="s">
        <v>20</v>
      </c>
      <c r="G7299" s="4" t="b">
        <f t="shared" si="2"/>
        <v>1</v>
      </c>
      <c r="H7299" s="1" t="str">
        <f t="shared" si="3"/>
        <v>Currently Unavailable</v>
      </c>
      <c r="I7299" s="1" t="str">
        <f t="shared" si="4"/>
        <v>No Badges</v>
      </c>
      <c r="J7299" s="3">
        <f t="shared" si="5"/>
        <v>0</v>
      </c>
    </row>
    <row r="7300">
      <c r="A7300" s="1" t="s">
        <v>5587</v>
      </c>
      <c r="B7300" s="3" t="str">
        <f t="shared" si="1"/>
        <v>Unavailable</v>
      </c>
      <c r="C7300" s="5">
        <v>4418.0</v>
      </c>
      <c r="D7300" s="3">
        <f>IFERROR(__xludf.DUMMYFUNCTION("IFERROR(
IF(REGEXMATCH(LOWER(O7300),""k""),
VALUE(REGEXEXTRACT(O7300,""[0-9]+""))*1000,
VALUE(REGEXEXTRACT(O7300,""[0-9]+""))
),
0
)"),0.0)</f>
        <v>0</v>
      </c>
      <c r="E7300" s="1" t="s">
        <v>11</v>
      </c>
      <c r="F7300" s="1" t="s">
        <v>20</v>
      </c>
      <c r="G7300" s="4" t="b">
        <f t="shared" si="2"/>
        <v>1</v>
      </c>
      <c r="H7300" s="1" t="str">
        <f t="shared" si="3"/>
        <v>Currently Unavailable</v>
      </c>
      <c r="I7300" s="1" t="str">
        <f t="shared" si="4"/>
        <v>No Badges</v>
      </c>
      <c r="J7300" s="3">
        <f t="shared" si="5"/>
        <v>0</v>
      </c>
    </row>
    <row r="7301">
      <c r="A7301" s="1" t="s">
        <v>5588</v>
      </c>
      <c r="B7301" s="3" t="str">
        <f t="shared" si="1"/>
        <v>Unavailable</v>
      </c>
      <c r="C7301" s="3">
        <v>10.0</v>
      </c>
      <c r="D7301" s="3">
        <f>IFERROR(__xludf.DUMMYFUNCTION("IFERROR(
IF(REGEXMATCH(LOWER(O7301),""k""),
VALUE(REGEXEXTRACT(O7301,""[0-9]+""))*1000,
VALUE(REGEXEXTRACT(O7301,""[0-9]+""))
),
0
)"),0.0)</f>
        <v>0</v>
      </c>
      <c r="E7301" s="1" t="s">
        <v>11</v>
      </c>
      <c r="F7301" s="1" t="s">
        <v>20</v>
      </c>
      <c r="G7301" s="4" t="b">
        <f t="shared" si="2"/>
        <v>1</v>
      </c>
      <c r="H7301" s="1" t="str">
        <f t="shared" si="3"/>
        <v>Currently Unavailable</v>
      </c>
      <c r="I7301" s="1" t="str">
        <f t="shared" si="4"/>
        <v>No Badges</v>
      </c>
      <c r="J7301" s="3">
        <f t="shared" si="5"/>
        <v>0</v>
      </c>
    </row>
    <row r="7302">
      <c r="A7302" s="1" t="s">
        <v>5589</v>
      </c>
      <c r="B7302" s="3" t="str">
        <f t="shared" si="1"/>
        <v>Unavailable</v>
      </c>
      <c r="C7302" s="5">
        <v>1333.0</v>
      </c>
      <c r="D7302" s="3">
        <f>IFERROR(__xludf.DUMMYFUNCTION("IFERROR(
IF(REGEXMATCH(LOWER(O7302),""k""),
VALUE(REGEXEXTRACT(O7302,""[0-9]+""))*1000,
VALUE(REGEXEXTRACT(O7302,""[0-9]+""))
),
0
)"),0.0)</f>
        <v>0</v>
      </c>
      <c r="E7302" s="1" t="s">
        <v>11</v>
      </c>
      <c r="F7302" s="1" t="s">
        <v>20</v>
      </c>
      <c r="G7302" s="4" t="b">
        <f t="shared" si="2"/>
        <v>1</v>
      </c>
      <c r="H7302" s="1" t="str">
        <f t="shared" si="3"/>
        <v>Currently Unavailable</v>
      </c>
      <c r="I7302" s="1" t="str">
        <f t="shared" si="4"/>
        <v>No Badges</v>
      </c>
      <c r="J7302" s="3">
        <f t="shared" si="5"/>
        <v>0</v>
      </c>
    </row>
    <row r="7303">
      <c r="A7303" s="1" t="s">
        <v>69</v>
      </c>
      <c r="B7303" s="3" t="str">
        <f t="shared" si="1"/>
        <v>Unavailable</v>
      </c>
      <c r="C7303" s="3">
        <v>45.0</v>
      </c>
      <c r="D7303" s="3">
        <f>IFERROR(__xludf.DUMMYFUNCTION("IFERROR(
IF(REGEXMATCH(LOWER(O7303),""k""),
VALUE(REGEXEXTRACT(O7303,""[0-9]+""))*1000,
VALUE(REGEXEXTRACT(O7303,""[0-9]+""))
),
0
)"),0.0)</f>
        <v>0</v>
      </c>
      <c r="E7303" s="1" t="s">
        <v>11</v>
      </c>
      <c r="F7303" s="1" t="s">
        <v>12</v>
      </c>
      <c r="G7303" s="4" t="b">
        <f t="shared" si="2"/>
        <v>1</v>
      </c>
      <c r="H7303" s="1" t="str">
        <f t="shared" si="3"/>
        <v>Currently Unavailable</v>
      </c>
      <c r="I7303" s="1" t="str">
        <f t="shared" si="4"/>
        <v>No Badges</v>
      </c>
      <c r="J7303" s="3">
        <f t="shared" si="5"/>
        <v>0</v>
      </c>
    </row>
    <row r="7304">
      <c r="A7304" s="1" t="s">
        <v>5590</v>
      </c>
      <c r="B7304" s="3" t="str">
        <f t="shared" si="1"/>
        <v>Unavailable</v>
      </c>
      <c r="C7304" s="3">
        <v>3.0</v>
      </c>
      <c r="D7304" s="3">
        <f>IFERROR(__xludf.DUMMYFUNCTION("IFERROR(
IF(REGEXMATCH(LOWER(O7304),""k""),
VALUE(REGEXEXTRACT(O7304,""[0-9]+""))*1000,
VALUE(REGEXEXTRACT(O7304,""[0-9]+""))
),
0
)"),0.0)</f>
        <v>0</v>
      </c>
      <c r="E7304" s="1" t="s">
        <v>11</v>
      </c>
      <c r="F7304" s="1" t="s">
        <v>20</v>
      </c>
      <c r="G7304" s="4" t="b">
        <f t="shared" si="2"/>
        <v>1</v>
      </c>
      <c r="H7304" s="1" t="str">
        <f t="shared" si="3"/>
        <v>Currently Unavailable</v>
      </c>
      <c r="I7304" s="1" t="str">
        <f t="shared" si="4"/>
        <v>No Badges</v>
      </c>
      <c r="J7304" s="3">
        <f t="shared" si="5"/>
        <v>0</v>
      </c>
    </row>
    <row r="7305">
      <c r="A7305" s="1" t="s">
        <v>5591</v>
      </c>
      <c r="B7305" s="3" t="str">
        <f t="shared" si="1"/>
        <v>Unavailable</v>
      </c>
      <c r="C7305" s="3">
        <v>428.0</v>
      </c>
      <c r="D7305" s="3">
        <f>IFERROR(__xludf.DUMMYFUNCTION("IFERROR(
IF(REGEXMATCH(LOWER(O7305),""k""),
VALUE(REGEXEXTRACT(O7305,""[0-9]+""))*1000,
VALUE(REGEXEXTRACT(O7305,""[0-9]+""))
),
0
)"),0.0)</f>
        <v>0</v>
      </c>
      <c r="E7305" s="1" t="s">
        <v>11</v>
      </c>
      <c r="F7305" s="1" t="s">
        <v>20</v>
      </c>
      <c r="G7305" s="4" t="b">
        <f t="shared" si="2"/>
        <v>1</v>
      </c>
      <c r="H7305" s="1" t="str">
        <f t="shared" si="3"/>
        <v>Currently Unavailable</v>
      </c>
      <c r="I7305" s="1" t="str">
        <f t="shared" si="4"/>
        <v>No Badges</v>
      </c>
      <c r="J7305" s="3">
        <f t="shared" si="5"/>
        <v>0</v>
      </c>
    </row>
    <row r="7306">
      <c r="A7306" s="1" t="s">
        <v>5592</v>
      </c>
      <c r="B7306" s="3" t="str">
        <f t="shared" si="1"/>
        <v>Unavailable</v>
      </c>
      <c r="C7306" s="3">
        <v>10.0</v>
      </c>
      <c r="D7306" s="3">
        <f>IFERROR(__xludf.DUMMYFUNCTION("IFERROR(
IF(REGEXMATCH(LOWER(O7306),""k""),
VALUE(REGEXEXTRACT(O7306,""[0-9]+""))*1000,
VALUE(REGEXEXTRACT(O7306,""[0-9]+""))
),
0
)"),0.0)</f>
        <v>0</v>
      </c>
      <c r="E7306" s="1" t="s">
        <v>11</v>
      </c>
      <c r="F7306" s="1" t="s">
        <v>20</v>
      </c>
      <c r="G7306" s="4" t="b">
        <f t="shared" si="2"/>
        <v>1</v>
      </c>
      <c r="H7306" s="1" t="str">
        <f t="shared" si="3"/>
        <v>Currently Unavailable</v>
      </c>
      <c r="I7306" s="1" t="str">
        <f t="shared" si="4"/>
        <v>No Badges</v>
      </c>
      <c r="J7306" s="3">
        <f t="shared" si="5"/>
        <v>0</v>
      </c>
    </row>
    <row r="7307">
      <c r="A7307" s="1" t="s">
        <v>5593</v>
      </c>
      <c r="B7307" s="3" t="str">
        <f t="shared" si="1"/>
        <v>Unavailable</v>
      </c>
      <c r="C7307" s="3">
        <v>18.0</v>
      </c>
      <c r="D7307" s="3">
        <f>IFERROR(__xludf.DUMMYFUNCTION("IFERROR(
IF(REGEXMATCH(LOWER(O7307),""k""),
VALUE(REGEXEXTRACT(O7307,""[0-9]+""))*1000,
VALUE(REGEXEXTRACT(O7307,""[0-9]+""))
),
0
)"),0.0)</f>
        <v>0</v>
      </c>
      <c r="E7307" s="1" t="s">
        <v>11</v>
      </c>
      <c r="F7307" s="1" t="s">
        <v>20</v>
      </c>
      <c r="G7307" s="4" t="b">
        <f t="shared" si="2"/>
        <v>1</v>
      </c>
      <c r="H7307" s="1" t="str">
        <f t="shared" si="3"/>
        <v>Currently Unavailable</v>
      </c>
      <c r="I7307" s="1" t="str">
        <f t="shared" si="4"/>
        <v>No Badges</v>
      </c>
      <c r="J7307" s="6">
        <f t="shared" si="5"/>
        <v>0</v>
      </c>
    </row>
    <row r="7308">
      <c r="A7308" s="1" t="s">
        <v>5594</v>
      </c>
      <c r="B7308" s="3" t="str">
        <f t="shared" si="1"/>
        <v>Unavailable</v>
      </c>
      <c r="C7308" s="3">
        <v>452.0</v>
      </c>
      <c r="D7308" s="3">
        <f>IFERROR(__xludf.DUMMYFUNCTION("IFERROR(
IF(REGEXMATCH(LOWER(O7308),""k""),
VALUE(REGEXEXTRACT(O7308,""[0-9]+""))*1000,
VALUE(REGEXEXTRACT(O7308,""[0-9]+""))
),
0
)"),0.0)</f>
        <v>0</v>
      </c>
      <c r="E7308" s="1" t="s">
        <v>11</v>
      </c>
      <c r="F7308" s="1" t="s">
        <v>20</v>
      </c>
      <c r="G7308" s="4" t="b">
        <f t="shared" si="2"/>
        <v>1</v>
      </c>
      <c r="H7308" s="1" t="str">
        <f t="shared" si="3"/>
        <v>Currently Unavailable</v>
      </c>
      <c r="I7308" s="1" t="str">
        <f t="shared" si="4"/>
        <v>No Badges</v>
      </c>
      <c r="J7308" s="3">
        <f t="shared" si="5"/>
        <v>0</v>
      </c>
    </row>
    <row r="7309">
      <c r="A7309" s="1" t="s">
        <v>5595</v>
      </c>
      <c r="B7309" s="3" t="str">
        <f t="shared" si="1"/>
        <v>Unavailable</v>
      </c>
      <c r="C7309" s="3">
        <v>323.0</v>
      </c>
      <c r="D7309" s="3">
        <f>IFERROR(__xludf.DUMMYFUNCTION("IFERROR(
IF(REGEXMATCH(LOWER(O7309),""k""),
VALUE(REGEXEXTRACT(O7309,""[0-9]+""))*1000,
VALUE(REGEXEXTRACT(O7309,""[0-9]+""))
),
0
)"),0.0)</f>
        <v>0</v>
      </c>
      <c r="E7309" s="1" t="s">
        <v>11</v>
      </c>
      <c r="F7309" s="1" t="s">
        <v>20</v>
      </c>
      <c r="G7309" s="4" t="b">
        <f t="shared" si="2"/>
        <v>1</v>
      </c>
      <c r="H7309" s="1" t="str">
        <f t="shared" si="3"/>
        <v>Currently Unavailable</v>
      </c>
      <c r="I7309" s="1" t="str">
        <f t="shared" si="4"/>
        <v>No Badges</v>
      </c>
      <c r="J7309" s="3">
        <f t="shared" si="5"/>
        <v>0</v>
      </c>
    </row>
    <row r="7310">
      <c r="A7310" s="1" t="s">
        <v>5596</v>
      </c>
      <c r="B7310" s="3" t="str">
        <f t="shared" si="1"/>
        <v>Unavailable</v>
      </c>
      <c r="C7310" s="3">
        <v>488.0</v>
      </c>
      <c r="D7310" s="3">
        <f>IFERROR(__xludf.DUMMYFUNCTION("IFERROR(
IF(REGEXMATCH(LOWER(O7310),""k""),
VALUE(REGEXEXTRACT(O7310,""[0-9]+""))*1000,
VALUE(REGEXEXTRACT(O7310,""[0-9]+""))
),
0
)"),0.0)</f>
        <v>0</v>
      </c>
      <c r="E7310" s="1" t="s">
        <v>11</v>
      </c>
      <c r="F7310" s="1" t="s">
        <v>20</v>
      </c>
      <c r="G7310" s="4" t="b">
        <f t="shared" si="2"/>
        <v>1</v>
      </c>
      <c r="H7310" s="1" t="str">
        <f t="shared" si="3"/>
        <v>Currently Unavailable</v>
      </c>
      <c r="I7310" s="1" t="str">
        <f t="shared" si="4"/>
        <v>No Badges</v>
      </c>
      <c r="J7310" s="3">
        <f t="shared" si="5"/>
        <v>0</v>
      </c>
    </row>
    <row r="7311">
      <c r="A7311" s="1" t="s">
        <v>5597</v>
      </c>
      <c r="B7311" s="3" t="str">
        <f t="shared" si="1"/>
        <v>Unavailable</v>
      </c>
      <c r="C7311" s="3">
        <v>300.0</v>
      </c>
      <c r="D7311" s="3">
        <f>IFERROR(__xludf.DUMMYFUNCTION("IFERROR(
IF(REGEXMATCH(LOWER(O7311),""k""),
VALUE(REGEXEXTRACT(O7311,""[0-9]+""))*1000,
VALUE(REGEXEXTRACT(O7311,""[0-9]+""))
),
0
)"),0.0)</f>
        <v>0</v>
      </c>
      <c r="E7311" s="1" t="s">
        <v>11</v>
      </c>
      <c r="F7311" s="1" t="s">
        <v>20</v>
      </c>
      <c r="G7311" s="4" t="b">
        <f t="shared" si="2"/>
        <v>1</v>
      </c>
      <c r="H7311" s="1" t="str">
        <f t="shared" si="3"/>
        <v>Currently Unavailable</v>
      </c>
      <c r="I7311" s="1" t="str">
        <f t="shared" si="4"/>
        <v>No Badges</v>
      </c>
      <c r="J7311" s="3">
        <f t="shared" si="5"/>
        <v>0</v>
      </c>
    </row>
    <row r="7312">
      <c r="A7312" s="1" t="s">
        <v>5598</v>
      </c>
      <c r="B7312" s="3" t="str">
        <f t="shared" si="1"/>
        <v>Unavailable</v>
      </c>
      <c r="C7312" s="3">
        <v>29.0</v>
      </c>
      <c r="D7312" s="3">
        <f>IFERROR(__xludf.DUMMYFUNCTION("IFERROR(
IF(REGEXMATCH(LOWER(O7312),""k""),
VALUE(REGEXEXTRACT(O7312,""[0-9]+""))*1000,
VALUE(REGEXEXTRACT(O7312,""[0-9]+""))
),
0
)"),0.0)</f>
        <v>0</v>
      </c>
      <c r="E7312" s="1" t="s">
        <v>11</v>
      </c>
      <c r="F7312" s="1" t="s">
        <v>20</v>
      </c>
      <c r="G7312" s="4" t="b">
        <f t="shared" si="2"/>
        <v>1</v>
      </c>
      <c r="H7312" s="1" t="str">
        <f t="shared" si="3"/>
        <v>Currently Unavailable</v>
      </c>
      <c r="I7312" s="1" t="str">
        <f t="shared" si="4"/>
        <v>No Badges</v>
      </c>
      <c r="J7312" s="3">
        <f t="shared" si="5"/>
        <v>0</v>
      </c>
    </row>
    <row r="7313">
      <c r="A7313" s="1" t="s">
        <v>5599</v>
      </c>
      <c r="B7313" s="3" t="str">
        <f t="shared" si="1"/>
        <v>Unavailable</v>
      </c>
      <c r="C7313" s="3">
        <v>8.0</v>
      </c>
      <c r="D7313" s="3">
        <f>IFERROR(__xludf.DUMMYFUNCTION("IFERROR(
IF(REGEXMATCH(LOWER(O7313),""k""),
VALUE(REGEXEXTRACT(O7313,""[0-9]+""))*1000,
VALUE(REGEXEXTRACT(O7313,""[0-9]+""))
),
0
)"),0.0)</f>
        <v>0</v>
      </c>
      <c r="E7313" s="1" t="s">
        <v>11</v>
      </c>
      <c r="F7313" s="1" t="s">
        <v>20</v>
      </c>
      <c r="G7313" s="4" t="b">
        <f t="shared" si="2"/>
        <v>1</v>
      </c>
      <c r="H7313" s="1" t="str">
        <f t="shared" si="3"/>
        <v>Currently Unavailable</v>
      </c>
      <c r="I7313" s="1" t="str">
        <f t="shared" si="4"/>
        <v>No Badges</v>
      </c>
      <c r="J7313" s="3">
        <f t="shared" si="5"/>
        <v>0</v>
      </c>
    </row>
    <row r="7314">
      <c r="A7314" s="1" t="s">
        <v>5600</v>
      </c>
      <c r="B7314" s="3" t="str">
        <f t="shared" si="1"/>
        <v>Unavailable</v>
      </c>
      <c r="C7314" s="3">
        <v>57.0</v>
      </c>
      <c r="D7314" s="3">
        <f>IFERROR(__xludf.DUMMYFUNCTION("IFERROR(
IF(REGEXMATCH(LOWER(O7314),""k""),
VALUE(REGEXEXTRACT(O7314,""[0-9]+""))*1000,
VALUE(REGEXEXTRACT(O7314,""[0-9]+""))
),
0
)"),0.0)</f>
        <v>0</v>
      </c>
      <c r="E7314" s="1" t="s">
        <v>11</v>
      </c>
      <c r="F7314" s="1" t="s">
        <v>20</v>
      </c>
      <c r="G7314" s="4" t="b">
        <f t="shared" si="2"/>
        <v>1</v>
      </c>
      <c r="H7314" s="1" t="str">
        <f t="shared" si="3"/>
        <v>Currently Unavailable</v>
      </c>
      <c r="I7314" s="1" t="str">
        <f t="shared" si="4"/>
        <v>No Badges</v>
      </c>
      <c r="J7314" s="3">
        <f t="shared" si="5"/>
        <v>0</v>
      </c>
    </row>
    <row r="7315">
      <c r="A7315" s="1" t="s">
        <v>5601</v>
      </c>
      <c r="B7315" s="3" t="str">
        <f t="shared" si="1"/>
        <v>Unavailable</v>
      </c>
      <c r="C7315" s="3">
        <v>24.0</v>
      </c>
      <c r="D7315" s="3">
        <f>IFERROR(__xludf.DUMMYFUNCTION("IFERROR(
IF(REGEXMATCH(LOWER(O7315),""k""),
VALUE(REGEXEXTRACT(O7315,""[0-9]+""))*1000,
VALUE(REGEXEXTRACT(O7315,""[0-9]+""))
),
0
)"),0.0)</f>
        <v>0</v>
      </c>
      <c r="E7315" s="1" t="s">
        <v>11</v>
      </c>
      <c r="F7315" s="1" t="s">
        <v>20</v>
      </c>
      <c r="G7315" s="4" t="b">
        <f t="shared" si="2"/>
        <v>1</v>
      </c>
      <c r="H7315" s="1" t="str">
        <f t="shared" si="3"/>
        <v>Currently Unavailable</v>
      </c>
      <c r="I7315" s="1" t="str">
        <f t="shared" si="4"/>
        <v>No Badges</v>
      </c>
      <c r="J7315" s="3">
        <f t="shared" si="5"/>
        <v>0</v>
      </c>
    </row>
    <row r="7316">
      <c r="A7316" s="1" t="s">
        <v>67</v>
      </c>
      <c r="B7316" s="3" t="str">
        <f t="shared" si="1"/>
        <v>Unavailable</v>
      </c>
      <c r="C7316" s="3">
        <v>264.0</v>
      </c>
      <c r="D7316" s="3">
        <f>IFERROR(__xludf.DUMMYFUNCTION("IFERROR(
IF(REGEXMATCH(LOWER(O7316),""k""),
VALUE(REGEXEXTRACT(O7316,""[0-9]+""))*1000,
VALUE(REGEXEXTRACT(O7316,""[0-9]+""))
),
0
)"),0.0)</f>
        <v>0</v>
      </c>
      <c r="E7316" s="1" t="s">
        <v>11</v>
      </c>
      <c r="F7316" s="1" t="s">
        <v>12</v>
      </c>
      <c r="G7316" s="4" t="b">
        <f t="shared" si="2"/>
        <v>1</v>
      </c>
      <c r="H7316" s="1" t="str">
        <f t="shared" si="3"/>
        <v>Currently Unavailable</v>
      </c>
      <c r="I7316" s="1" t="str">
        <f t="shared" si="4"/>
        <v>No Badges</v>
      </c>
      <c r="J7316" s="3">
        <f t="shared" si="5"/>
        <v>0</v>
      </c>
    </row>
    <row r="7317">
      <c r="A7317" s="1" t="s">
        <v>5602</v>
      </c>
      <c r="B7317" s="3" t="str">
        <f t="shared" si="1"/>
        <v>Unavailable</v>
      </c>
      <c r="C7317" s="3">
        <v>19.0</v>
      </c>
      <c r="D7317" s="3">
        <f>IFERROR(__xludf.DUMMYFUNCTION("IFERROR(
IF(REGEXMATCH(LOWER(O7317),""k""),
VALUE(REGEXEXTRACT(O7317,""[0-9]+""))*1000,
VALUE(REGEXEXTRACT(O7317,""[0-9]+""))
),
0
)"),0.0)</f>
        <v>0</v>
      </c>
      <c r="E7317" s="1" t="s">
        <v>11</v>
      </c>
      <c r="F7317" s="1" t="s">
        <v>20</v>
      </c>
      <c r="G7317" s="4" t="b">
        <f t="shared" si="2"/>
        <v>1</v>
      </c>
      <c r="H7317" s="1" t="str">
        <f t="shared" si="3"/>
        <v>Currently Unavailable</v>
      </c>
      <c r="I7317" s="1" t="str">
        <f t="shared" si="4"/>
        <v>No Badges</v>
      </c>
      <c r="J7317" s="3">
        <f t="shared" si="5"/>
        <v>0</v>
      </c>
    </row>
    <row r="7318">
      <c r="A7318" s="1" t="s">
        <v>701</v>
      </c>
      <c r="B7318" s="3" t="str">
        <f t="shared" si="1"/>
        <v>Unavailable</v>
      </c>
      <c r="C7318" s="3">
        <v>8.0</v>
      </c>
      <c r="D7318" s="3">
        <f>IFERROR(__xludf.DUMMYFUNCTION("IFERROR(
IF(REGEXMATCH(LOWER(O7318),""k""),
VALUE(REGEXEXTRACT(O7318,""[0-9]+""))*1000,
VALUE(REGEXEXTRACT(O7318,""[0-9]+""))
),
0
)"),0.0)</f>
        <v>0</v>
      </c>
      <c r="E7318" s="1" t="s">
        <v>11</v>
      </c>
      <c r="F7318" s="1" t="s">
        <v>12</v>
      </c>
      <c r="G7318" s="4" t="b">
        <f t="shared" si="2"/>
        <v>1</v>
      </c>
      <c r="H7318" s="1" t="str">
        <f t="shared" si="3"/>
        <v>Currently Unavailable</v>
      </c>
      <c r="I7318" s="1" t="str">
        <f t="shared" si="4"/>
        <v>No Badges</v>
      </c>
      <c r="J7318" s="3">
        <f t="shared" si="5"/>
        <v>0</v>
      </c>
    </row>
    <row r="7319">
      <c r="A7319" s="1" t="s">
        <v>5603</v>
      </c>
      <c r="B7319" s="3" t="str">
        <f t="shared" si="1"/>
        <v>Unavailable</v>
      </c>
      <c r="C7319" s="3">
        <v>101.0</v>
      </c>
      <c r="D7319" s="3">
        <f>IFERROR(__xludf.DUMMYFUNCTION("IFERROR(
IF(REGEXMATCH(LOWER(O7319),""k""),
VALUE(REGEXEXTRACT(O7319,""[0-9]+""))*1000,
VALUE(REGEXEXTRACT(O7319,""[0-9]+""))
),
0
)"),0.0)</f>
        <v>0</v>
      </c>
      <c r="E7319" s="1" t="s">
        <v>11</v>
      </c>
      <c r="F7319" s="1" t="s">
        <v>20</v>
      </c>
      <c r="G7319" s="4" t="b">
        <f t="shared" si="2"/>
        <v>1</v>
      </c>
      <c r="H7319" s="1" t="str">
        <f t="shared" si="3"/>
        <v>Currently Unavailable</v>
      </c>
      <c r="I7319" s="1" t="str">
        <f t="shared" si="4"/>
        <v>No Badges</v>
      </c>
      <c r="J7319" s="3">
        <f t="shared" si="5"/>
        <v>0</v>
      </c>
    </row>
    <row r="7320">
      <c r="A7320" s="1" t="s">
        <v>5397</v>
      </c>
      <c r="B7320" s="3" t="str">
        <f t="shared" si="1"/>
        <v>Unavailable</v>
      </c>
      <c r="C7320" s="5">
        <v>1465.0</v>
      </c>
      <c r="D7320" s="3">
        <f>IFERROR(__xludf.DUMMYFUNCTION("IFERROR(
IF(REGEXMATCH(LOWER(O7320),""k""),
VALUE(REGEXEXTRACT(O7320,""[0-9]+""))*1000,
VALUE(REGEXEXTRACT(O7320,""[0-9]+""))
),
0
)"),0.0)</f>
        <v>0</v>
      </c>
      <c r="E7320" s="1" t="s">
        <v>11</v>
      </c>
      <c r="F7320" s="1" t="s">
        <v>12</v>
      </c>
      <c r="G7320" s="4" t="b">
        <f t="shared" si="2"/>
        <v>1</v>
      </c>
      <c r="H7320" s="1" t="str">
        <f t="shared" si="3"/>
        <v>Currently Unavailable</v>
      </c>
      <c r="I7320" s="1" t="str">
        <f t="shared" si="4"/>
        <v>No Badges</v>
      </c>
      <c r="J7320" s="3">
        <f t="shared" si="5"/>
        <v>0</v>
      </c>
    </row>
    <row r="7321">
      <c r="A7321" s="1" t="s">
        <v>5604</v>
      </c>
      <c r="B7321" s="3" t="str">
        <f t="shared" si="1"/>
        <v>Unavailable</v>
      </c>
      <c r="C7321" s="3">
        <v>63.0</v>
      </c>
      <c r="D7321" s="3">
        <f>IFERROR(__xludf.DUMMYFUNCTION("IFERROR(
IF(REGEXMATCH(LOWER(O7321),""k""),
VALUE(REGEXEXTRACT(O7321,""[0-9]+""))*1000,
VALUE(REGEXEXTRACT(O7321,""[0-9]+""))
),
0
)"),0.0)</f>
        <v>0</v>
      </c>
      <c r="E7321" s="1" t="s">
        <v>158</v>
      </c>
      <c r="F7321" s="1" t="s">
        <v>20</v>
      </c>
      <c r="G7321" s="4" t="b">
        <f t="shared" si="2"/>
        <v>1</v>
      </c>
      <c r="H7321" s="1" t="str">
        <f t="shared" si="3"/>
        <v>Currently Unavailable</v>
      </c>
      <c r="I7321" s="1" t="str">
        <f t="shared" si="4"/>
        <v>No Badges</v>
      </c>
      <c r="J7321" s="3">
        <f t="shared" si="5"/>
        <v>0</v>
      </c>
    </row>
    <row r="7322">
      <c r="A7322" s="1" t="s">
        <v>5605</v>
      </c>
      <c r="B7322" s="3" t="str">
        <f t="shared" si="1"/>
        <v>Unavailable</v>
      </c>
      <c r="C7322" s="5">
        <v>1702.0</v>
      </c>
      <c r="D7322" s="3">
        <f>IFERROR(__xludf.DUMMYFUNCTION("IFERROR(
IF(REGEXMATCH(LOWER(O7322),""k""),
VALUE(REGEXEXTRACT(O7322,""[0-9]+""))*1000,
VALUE(REGEXEXTRACT(O7322,""[0-9]+""))
),
0
)"),0.0)</f>
        <v>0</v>
      </c>
      <c r="E7322" s="1" t="s">
        <v>11</v>
      </c>
      <c r="F7322" s="1" t="s">
        <v>20</v>
      </c>
      <c r="G7322" s="4" t="b">
        <f t="shared" si="2"/>
        <v>1</v>
      </c>
      <c r="H7322" s="1" t="str">
        <f t="shared" si="3"/>
        <v>Currently Unavailable</v>
      </c>
      <c r="I7322" s="1" t="str">
        <f t="shared" si="4"/>
        <v>No Badges</v>
      </c>
      <c r="J7322" s="3">
        <f t="shared" si="5"/>
        <v>0</v>
      </c>
    </row>
    <row r="7323">
      <c r="A7323" s="1" t="s">
        <v>5606</v>
      </c>
      <c r="B7323" s="3" t="str">
        <f t="shared" si="1"/>
        <v>Unavailable</v>
      </c>
      <c r="C7323" s="3">
        <v>1.0</v>
      </c>
      <c r="D7323" s="3">
        <f>IFERROR(__xludf.DUMMYFUNCTION("IFERROR(
IF(REGEXMATCH(LOWER(O7323),""k""),
VALUE(REGEXEXTRACT(O7323,""[0-9]+""))*1000,
VALUE(REGEXEXTRACT(O7323,""[0-9]+""))
),
0
)"),0.0)</f>
        <v>0</v>
      </c>
      <c r="E7323" s="1" t="s">
        <v>11</v>
      </c>
      <c r="F7323" s="1" t="s">
        <v>20</v>
      </c>
      <c r="G7323" s="4" t="b">
        <f t="shared" si="2"/>
        <v>1</v>
      </c>
      <c r="H7323" s="1" t="str">
        <f t="shared" si="3"/>
        <v>Currently Unavailable</v>
      </c>
      <c r="I7323" s="1" t="str">
        <f t="shared" si="4"/>
        <v>No Badges</v>
      </c>
      <c r="J7323" s="3">
        <f t="shared" si="5"/>
        <v>0</v>
      </c>
    </row>
    <row r="7324">
      <c r="A7324" s="1" t="s">
        <v>5607</v>
      </c>
      <c r="B7324" s="3" t="str">
        <f t="shared" si="1"/>
        <v>Unavailable</v>
      </c>
      <c r="C7324" s="3">
        <v>195.0</v>
      </c>
      <c r="D7324" s="3">
        <f>IFERROR(__xludf.DUMMYFUNCTION("IFERROR(
IF(REGEXMATCH(LOWER(O7324),""k""),
VALUE(REGEXEXTRACT(O7324,""[0-9]+""))*1000,
VALUE(REGEXEXTRACT(O7324,""[0-9]+""))
),
0
)"),0.0)</f>
        <v>0</v>
      </c>
      <c r="E7324" s="1" t="s">
        <v>11</v>
      </c>
      <c r="F7324" s="1" t="s">
        <v>20</v>
      </c>
      <c r="G7324" s="4" t="b">
        <f t="shared" si="2"/>
        <v>1</v>
      </c>
      <c r="H7324" s="1" t="str">
        <f t="shared" si="3"/>
        <v>Currently Unavailable</v>
      </c>
      <c r="I7324" s="1" t="str">
        <f t="shared" si="4"/>
        <v>No Badges</v>
      </c>
      <c r="J7324" s="3">
        <f t="shared" si="5"/>
        <v>0</v>
      </c>
    </row>
    <row r="7325">
      <c r="A7325" s="1" t="s">
        <v>5608</v>
      </c>
      <c r="B7325" s="3" t="str">
        <f t="shared" si="1"/>
        <v>Unavailable</v>
      </c>
      <c r="C7325" s="3">
        <v>9.0</v>
      </c>
      <c r="D7325" s="3">
        <f>IFERROR(__xludf.DUMMYFUNCTION("IFERROR(
IF(REGEXMATCH(LOWER(O7325),""k""),
VALUE(REGEXEXTRACT(O7325,""[0-9]+""))*1000,
VALUE(REGEXEXTRACT(O7325,""[0-9]+""))
),
0
)"),0.0)</f>
        <v>0</v>
      </c>
      <c r="E7325" s="1" t="s">
        <v>11</v>
      </c>
      <c r="F7325" s="1" t="s">
        <v>20</v>
      </c>
      <c r="G7325" s="4" t="b">
        <f t="shared" si="2"/>
        <v>1</v>
      </c>
      <c r="H7325" s="1" t="str">
        <f t="shared" si="3"/>
        <v>Currently Unavailable</v>
      </c>
      <c r="I7325" s="1" t="str">
        <f t="shared" si="4"/>
        <v>No Badges</v>
      </c>
      <c r="J7325" s="3">
        <f t="shared" si="5"/>
        <v>0</v>
      </c>
    </row>
    <row r="7326">
      <c r="A7326" s="1" t="s">
        <v>5609</v>
      </c>
      <c r="B7326" s="3" t="str">
        <f t="shared" si="1"/>
        <v>Unavailable</v>
      </c>
      <c r="C7326" s="3">
        <v>5.0</v>
      </c>
      <c r="D7326" s="3">
        <f>IFERROR(__xludf.DUMMYFUNCTION("IFERROR(
IF(REGEXMATCH(LOWER(O7326),""k""),
VALUE(REGEXEXTRACT(O7326,""[0-9]+""))*1000,
VALUE(REGEXEXTRACT(O7326,""[0-9]+""))
),
0
)"),0.0)</f>
        <v>0</v>
      </c>
      <c r="E7326" s="1" t="s">
        <v>11</v>
      </c>
      <c r="F7326" s="1" t="s">
        <v>20</v>
      </c>
      <c r="G7326" s="4" t="b">
        <f t="shared" si="2"/>
        <v>1</v>
      </c>
      <c r="H7326" s="1" t="str">
        <f t="shared" si="3"/>
        <v>Currently Unavailable</v>
      </c>
      <c r="I7326" s="1" t="str">
        <f t="shared" si="4"/>
        <v>No Badges</v>
      </c>
      <c r="J7326" s="3">
        <f t="shared" si="5"/>
        <v>0</v>
      </c>
    </row>
    <row r="7327">
      <c r="A7327" s="1" t="s">
        <v>5610</v>
      </c>
      <c r="B7327" s="3" t="str">
        <f t="shared" si="1"/>
        <v>Unavailable</v>
      </c>
      <c r="C7327" s="3">
        <v>22.0</v>
      </c>
      <c r="D7327" s="3">
        <f>IFERROR(__xludf.DUMMYFUNCTION("IFERROR(
IF(REGEXMATCH(LOWER(O7327),""k""),
VALUE(REGEXEXTRACT(O7327,""[0-9]+""))*1000,
VALUE(REGEXEXTRACT(O7327,""[0-9]+""))
),
0
)"),0.0)</f>
        <v>0</v>
      </c>
      <c r="E7327" s="1" t="s">
        <v>11</v>
      </c>
      <c r="F7327" s="1" t="s">
        <v>20</v>
      </c>
      <c r="G7327" s="4" t="b">
        <f t="shared" si="2"/>
        <v>1</v>
      </c>
      <c r="H7327" s="1" t="str">
        <f t="shared" si="3"/>
        <v>Currently Unavailable</v>
      </c>
      <c r="I7327" s="1" t="str">
        <f t="shared" si="4"/>
        <v>No Badges</v>
      </c>
      <c r="J7327" s="3">
        <f t="shared" si="5"/>
        <v>0</v>
      </c>
    </row>
    <row r="7328">
      <c r="A7328" s="1" t="s">
        <v>5611</v>
      </c>
      <c r="B7328" s="3" t="str">
        <f t="shared" si="1"/>
        <v>Unavailable</v>
      </c>
      <c r="C7328" s="3">
        <v>4.0</v>
      </c>
      <c r="D7328" s="3">
        <f>IFERROR(__xludf.DUMMYFUNCTION("IFERROR(
IF(REGEXMATCH(LOWER(O7328),""k""),
VALUE(REGEXEXTRACT(O7328,""[0-9]+""))*1000,
VALUE(REGEXEXTRACT(O7328,""[0-9]+""))
),
0
)"),0.0)</f>
        <v>0</v>
      </c>
      <c r="E7328" s="1" t="s">
        <v>11</v>
      </c>
      <c r="F7328" s="1" t="s">
        <v>20</v>
      </c>
      <c r="G7328" s="4" t="b">
        <f t="shared" si="2"/>
        <v>1</v>
      </c>
      <c r="H7328" s="1" t="str">
        <f t="shared" si="3"/>
        <v>Currently Unavailable</v>
      </c>
      <c r="I7328" s="1" t="str">
        <f t="shared" si="4"/>
        <v>No Badges</v>
      </c>
      <c r="J7328" s="3">
        <f t="shared" si="5"/>
        <v>0</v>
      </c>
    </row>
    <row r="7329">
      <c r="A7329" s="1" t="s">
        <v>5612</v>
      </c>
      <c r="B7329" s="3" t="str">
        <f t="shared" si="1"/>
        <v>Unavailable</v>
      </c>
      <c r="C7329" s="3">
        <v>90.0</v>
      </c>
      <c r="D7329" s="3">
        <f>IFERROR(__xludf.DUMMYFUNCTION("IFERROR(
IF(REGEXMATCH(LOWER(O7329),""k""),
VALUE(REGEXEXTRACT(O7329,""[0-9]+""))*1000,
VALUE(REGEXEXTRACT(O7329,""[0-9]+""))
),
0
)"),0.0)</f>
        <v>0</v>
      </c>
      <c r="E7329" s="1" t="s">
        <v>11</v>
      </c>
      <c r="F7329" s="1" t="s">
        <v>20</v>
      </c>
      <c r="G7329" s="4" t="b">
        <f t="shared" si="2"/>
        <v>1</v>
      </c>
      <c r="H7329" s="1" t="str">
        <f t="shared" si="3"/>
        <v>Currently Unavailable</v>
      </c>
      <c r="I7329" s="1" t="str">
        <f t="shared" si="4"/>
        <v>No Badges</v>
      </c>
      <c r="J7329" s="3">
        <f t="shared" si="5"/>
        <v>0</v>
      </c>
    </row>
    <row r="7330">
      <c r="A7330" s="1" t="s">
        <v>5613</v>
      </c>
      <c r="B7330" s="3" t="str">
        <f t="shared" si="1"/>
        <v>Unavailable</v>
      </c>
      <c r="C7330" s="3">
        <v>121.0</v>
      </c>
      <c r="D7330" s="3">
        <f>IFERROR(__xludf.DUMMYFUNCTION("IFERROR(
IF(REGEXMATCH(LOWER(O7330),""k""),
VALUE(REGEXEXTRACT(O7330,""[0-9]+""))*1000,
VALUE(REGEXEXTRACT(O7330,""[0-9]+""))
),
0
)"),0.0)</f>
        <v>0</v>
      </c>
      <c r="E7330" s="1" t="s">
        <v>11</v>
      </c>
      <c r="F7330" s="1" t="s">
        <v>20</v>
      </c>
      <c r="G7330" s="4" t="b">
        <f t="shared" si="2"/>
        <v>1</v>
      </c>
      <c r="H7330" s="1" t="str">
        <f t="shared" si="3"/>
        <v>Currently Unavailable</v>
      </c>
      <c r="I7330" s="1" t="str">
        <f t="shared" si="4"/>
        <v>No Badges</v>
      </c>
      <c r="J7330" s="3">
        <f t="shared" si="5"/>
        <v>0</v>
      </c>
    </row>
    <row r="7331">
      <c r="A7331" s="1" t="s">
        <v>5614</v>
      </c>
      <c r="B7331" s="3" t="str">
        <f t="shared" si="1"/>
        <v>Unavailable</v>
      </c>
      <c r="C7331" s="3">
        <v>439.0</v>
      </c>
      <c r="D7331" s="3">
        <f>IFERROR(__xludf.DUMMYFUNCTION("IFERROR(
IF(REGEXMATCH(LOWER(O7331),""k""),
VALUE(REGEXEXTRACT(O7331,""[0-9]+""))*1000,
VALUE(REGEXEXTRACT(O7331,""[0-9]+""))
),
0
)"),0.0)</f>
        <v>0</v>
      </c>
      <c r="E7331" s="1" t="s">
        <v>11</v>
      </c>
      <c r="F7331" s="1" t="s">
        <v>20</v>
      </c>
      <c r="G7331" s="4" t="b">
        <f t="shared" si="2"/>
        <v>1</v>
      </c>
      <c r="H7331" s="1" t="str">
        <f t="shared" si="3"/>
        <v>Currently Unavailable</v>
      </c>
      <c r="I7331" s="1" t="str">
        <f t="shared" si="4"/>
        <v>No Badges</v>
      </c>
      <c r="J7331" s="3">
        <f t="shared" si="5"/>
        <v>0</v>
      </c>
    </row>
    <row r="7332">
      <c r="A7332" s="1" t="s">
        <v>88</v>
      </c>
      <c r="B7332" s="3" t="str">
        <f t="shared" si="1"/>
        <v>Unavailable</v>
      </c>
      <c r="C7332" s="3">
        <v>5.0</v>
      </c>
      <c r="D7332" s="3">
        <f>IFERROR(__xludf.DUMMYFUNCTION("IFERROR(
IF(REGEXMATCH(LOWER(O7332),""k""),
VALUE(REGEXEXTRACT(O7332,""[0-9]+""))*1000,
VALUE(REGEXEXTRACT(O7332,""[0-9]+""))
),
0
)"),0.0)</f>
        <v>0</v>
      </c>
      <c r="E7332" s="1" t="s">
        <v>11</v>
      </c>
      <c r="F7332" s="1" t="s">
        <v>12</v>
      </c>
      <c r="G7332" s="4" t="b">
        <f t="shared" si="2"/>
        <v>1</v>
      </c>
      <c r="H7332" s="1" t="str">
        <f t="shared" si="3"/>
        <v>Currently Unavailable</v>
      </c>
      <c r="I7332" s="1" t="str">
        <f t="shared" si="4"/>
        <v>No Badges</v>
      </c>
      <c r="J7332" s="3">
        <f t="shared" si="5"/>
        <v>0</v>
      </c>
    </row>
    <row r="7333">
      <c r="A7333" s="1" t="s">
        <v>5615</v>
      </c>
      <c r="B7333" s="3" t="str">
        <f t="shared" si="1"/>
        <v>Unavailable</v>
      </c>
      <c r="C7333" s="3">
        <v>43.0</v>
      </c>
      <c r="D7333" s="3">
        <f>IFERROR(__xludf.DUMMYFUNCTION("IFERROR(
IF(REGEXMATCH(LOWER(O7333),""k""),
VALUE(REGEXEXTRACT(O7333,""[0-9]+""))*1000,
VALUE(REGEXEXTRACT(O7333,""[0-9]+""))
),
0
)"),0.0)</f>
        <v>0</v>
      </c>
      <c r="E7333" s="1" t="s">
        <v>11</v>
      </c>
      <c r="F7333" s="1" t="s">
        <v>20</v>
      </c>
      <c r="G7333" s="4" t="b">
        <f t="shared" si="2"/>
        <v>1</v>
      </c>
      <c r="H7333" s="1" t="str">
        <f t="shared" si="3"/>
        <v>Currently Unavailable</v>
      </c>
      <c r="I7333" s="1" t="str">
        <f t="shared" si="4"/>
        <v>No Badges</v>
      </c>
      <c r="J7333" s="3">
        <f t="shared" si="5"/>
        <v>0</v>
      </c>
    </row>
    <row r="7334">
      <c r="A7334" s="1" t="s">
        <v>5616</v>
      </c>
      <c r="B7334" s="3" t="str">
        <f t="shared" si="1"/>
        <v>Unavailable</v>
      </c>
      <c r="C7334" s="3">
        <v>26.0</v>
      </c>
      <c r="D7334" s="3">
        <f>IFERROR(__xludf.DUMMYFUNCTION("IFERROR(
IF(REGEXMATCH(LOWER(O7334),""k""),
VALUE(REGEXEXTRACT(O7334,""[0-9]+""))*1000,
VALUE(REGEXEXTRACT(O7334,""[0-9]+""))
),
0
)"),0.0)</f>
        <v>0</v>
      </c>
      <c r="E7334" s="1" t="s">
        <v>11</v>
      </c>
      <c r="F7334" s="1" t="s">
        <v>20</v>
      </c>
      <c r="G7334" s="4" t="b">
        <f t="shared" si="2"/>
        <v>1</v>
      </c>
      <c r="H7334" s="1" t="str">
        <f t="shared" si="3"/>
        <v>Currently Unavailable</v>
      </c>
      <c r="I7334" s="1" t="str">
        <f t="shared" si="4"/>
        <v>No Badges</v>
      </c>
      <c r="J7334" s="3">
        <f t="shared" si="5"/>
        <v>0</v>
      </c>
    </row>
    <row r="7335">
      <c r="A7335" s="1" t="s">
        <v>5617</v>
      </c>
      <c r="B7335" s="3" t="str">
        <f t="shared" si="1"/>
        <v>Unavailable</v>
      </c>
      <c r="C7335" s="3">
        <v>3.0</v>
      </c>
      <c r="D7335" s="3">
        <f>IFERROR(__xludf.DUMMYFUNCTION("IFERROR(
IF(REGEXMATCH(LOWER(O7335),""k""),
VALUE(REGEXEXTRACT(O7335,""[0-9]+""))*1000,
VALUE(REGEXEXTRACT(O7335,""[0-9]+""))
),
0
)"),0.0)</f>
        <v>0</v>
      </c>
      <c r="E7335" s="1" t="s">
        <v>11</v>
      </c>
      <c r="F7335" s="1" t="s">
        <v>20</v>
      </c>
      <c r="G7335" s="4" t="b">
        <f t="shared" si="2"/>
        <v>1</v>
      </c>
      <c r="H7335" s="1" t="str">
        <f t="shared" si="3"/>
        <v>Currently Unavailable</v>
      </c>
      <c r="I7335" s="1" t="str">
        <f t="shared" si="4"/>
        <v>No Badges</v>
      </c>
      <c r="J7335" s="3">
        <f t="shared" si="5"/>
        <v>0</v>
      </c>
    </row>
    <row r="7336">
      <c r="A7336" s="1" t="s">
        <v>88</v>
      </c>
      <c r="B7336" s="3" t="str">
        <f t="shared" si="1"/>
        <v>Unavailable</v>
      </c>
      <c r="C7336" s="3">
        <v>5.0</v>
      </c>
      <c r="D7336" s="3">
        <f>IFERROR(__xludf.DUMMYFUNCTION("IFERROR(
IF(REGEXMATCH(LOWER(O7336),""k""),
VALUE(REGEXEXTRACT(O7336,""[0-9]+""))*1000,
VALUE(REGEXEXTRACT(O7336,""[0-9]+""))
),
0
)"),0.0)</f>
        <v>0</v>
      </c>
      <c r="E7336" s="1" t="s">
        <v>11</v>
      </c>
      <c r="F7336" s="1" t="s">
        <v>12</v>
      </c>
      <c r="G7336" s="4" t="b">
        <f t="shared" si="2"/>
        <v>1</v>
      </c>
      <c r="H7336" s="1" t="str">
        <f t="shared" si="3"/>
        <v>Currently Unavailable</v>
      </c>
      <c r="I7336" s="1" t="str">
        <f t="shared" si="4"/>
        <v>No Badges</v>
      </c>
      <c r="J7336" s="3">
        <f t="shared" si="5"/>
        <v>0</v>
      </c>
    </row>
    <row r="7337">
      <c r="A7337" s="1" t="s">
        <v>5618</v>
      </c>
      <c r="B7337" s="3" t="str">
        <f t="shared" si="1"/>
        <v>Unavailable</v>
      </c>
      <c r="C7337" s="3">
        <v>191.0</v>
      </c>
      <c r="D7337" s="3">
        <f>IFERROR(__xludf.DUMMYFUNCTION("IFERROR(
IF(REGEXMATCH(LOWER(O7337),""k""),
VALUE(REGEXEXTRACT(O7337,""[0-9]+""))*1000,
VALUE(REGEXEXTRACT(O7337,""[0-9]+""))
),
0
)"),0.0)</f>
        <v>0</v>
      </c>
      <c r="E7337" s="1" t="s">
        <v>11</v>
      </c>
      <c r="F7337" s="1" t="s">
        <v>20</v>
      </c>
      <c r="G7337" s="4" t="b">
        <f t="shared" si="2"/>
        <v>1</v>
      </c>
      <c r="H7337" s="1" t="str">
        <f t="shared" si="3"/>
        <v>Currently Unavailable</v>
      </c>
      <c r="I7337" s="1" t="str">
        <f t="shared" si="4"/>
        <v>No Badges</v>
      </c>
      <c r="J7337" s="3">
        <f t="shared" si="5"/>
        <v>0</v>
      </c>
    </row>
    <row r="7338">
      <c r="A7338" s="1" t="s">
        <v>5619</v>
      </c>
      <c r="B7338" s="3" t="str">
        <f t="shared" si="1"/>
        <v>Unavailable</v>
      </c>
      <c r="C7338" s="3">
        <v>79.0</v>
      </c>
      <c r="D7338" s="3">
        <f>IFERROR(__xludf.DUMMYFUNCTION("IFERROR(
IF(REGEXMATCH(LOWER(O7338),""k""),
VALUE(REGEXEXTRACT(O7338,""[0-9]+""))*1000,
VALUE(REGEXEXTRACT(O7338,""[0-9]+""))
),
0
)"),0.0)</f>
        <v>0</v>
      </c>
      <c r="E7338" s="1" t="s">
        <v>11</v>
      </c>
      <c r="F7338" s="1" t="s">
        <v>20</v>
      </c>
      <c r="G7338" s="4" t="b">
        <f t="shared" si="2"/>
        <v>1</v>
      </c>
      <c r="H7338" s="1" t="str">
        <f t="shared" si="3"/>
        <v>Currently Unavailable</v>
      </c>
      <c r="I7338" s="1" t="str">
        <f t="shared" si="4"/>
        <v>No Badges</v>
      </c>
      <c r="J7338" s="3">
        <f t="shared" si="5"/>
        <v>0</v>
      </c>
    </row>
    <row r="7339">
      <c r="A7339" s="1" t="s">
        <v>5620</v>
      </c>
      <c r="B7339" s="3" t="str">
        <f t="shared" si="1"/>
        <v>Unavailable</v>
      </c>
      <c r="C7339" s="3">
        <v>3.0</v>
      </c>
      <c r="D7339" s="3">
        <f>IFERROR(__xludf.DUMMYFUNCTION("IFERROR(
IF(REGEXMATCH(LOWER(O7339),""k""),
VALUE(REGEXEXTRACT(O7339,""[0-9]+""))*1000,
VALUE(REGEXEXTRACT(O7339,""[0-9]+""))
),
0
)"),0.0)</f>
        <v>0</v>
      </c>
      <c r="E7339" s="1" t="s">
        <v>11</v>
      </c>
      <c r="F7339" s="1" t="s">
        <v>20</v>
      </c>
      <c r="G7339" s="4" t="b">
        <f t="shared" si="2"/>
        <v>1</v>
      </c>
      <c r="H7339" s="1" t="str">
        <f t="shared" si="3"/>
        <v>Currently Unavailable</v>
      </c>
      <c r="I7339" s="1" t="str">
        <f t="shared" si="4"/>
        <v>No Badges</v>
      </c>
      <c r="J7339" s="3">
        <f t="shared" si="5"/>
        <v>0</v>
      </c>
    </row>
    <row r="7340">
      <c r="A7340" s="1" t="s">
        <v>5621</v>
      </c>
      <c r="B7340" s="3" t="str">
        <f t="shared" si="1"/>
        <v>Unavailable</v>
      </c>
      <c r="C7340" s="3">
        <v>166.0</v>
      </c>
      <c r="D7340" s="3">
        <f>IFERROR(__xludf.DUMMYFUNCTION("IFERROR(
IF(REGEXMATCH(LOWER(O7340),""k""),
VALUE(REGEXEXTRACT(O7340,""[0-9]+""))*1000,
VALUE(REGEXEXTRACT(O7340,""[0-9]+""))
),
0
)"),0.0)</f>
        <v>0</v>
      </c>
      <c r="E7340" s="1" t="s">
        <v>11</v>
      </c>
      <c r="F7340" s="1" t="s">
        <v>20</v>
      </c>
      <c r="G7340" s="4" t="b">
        <f t="shared" si="2"/>
        <v>1</v>
      </c>
      <c r="H7340" s="1" t="str">
        <f t="shared" si="3"/>
        <v>Currently Unavailable</v>
      </c>
      <c r="I7340" s="1" t="str">
        <f t="shared" si="4"/>
        <v>No Badges</v>
      </c>
      <c r="J7340" s="6">
        <f t="shared" si="5"/>
        <v>0</v>
      </c>
    </row>
    <row r="7341">
      <c r="A7341" s="1" t="s">
        <v>5622</v>
      </c>
      <c r="B7341" s="3" t="str">
        <f t="shared" si="1"/>
        <v>Unavailable</v>
      </c>
      <c r="C7341" s="3">
        <v>541.0</v>
      </c>
      <c r="D7341" s="3">
        <f>IFERROR(__xludf.DUMMYFUNCTION("IFERROR(
IF(REGEXMATCH(LOWER(O7341),""k""),
VALUE(REGEXEXTRACT(O7341,""[0-9]+""))*1000,
VALUE(REGEXEXTRACT(O7341,""[0-9]+""))
),
0
)"),0.0)</f>
        <v>0</v>
      </c>
      <c r="E7341" s="1" t="s">
        <v>11</v>
      </c>
      <c r="F7341" s="1" t="s">
        <v>20</v>
      </c>
      <c r="G7341" s="4" t="b">
        <f t="shared" si="2"/>
        <v>1</v>
      </c>
      <c r="H7341" s="1" t="str">
        <f t="shared" si="3"/>
        <v>Currently Unavailable</v>
      </c>
      <c r="I7341" s="1" t="str">
        <f t="shared" si="4"/>
        <v>No Badges</v>
      </c>
      <c r="J7341" s="3">
        <f t="shared" si="5"/>
        <v>0</v>
      </c>
    </row>
    <row r="7342">
      <c r="A7342" s="1" t="s">
        <v>5623</v>
      </c>
      <c r="B7342" s="3" t="str">
        <f t="shared" si="1"/>
        <v>Unavailable</v>
      </c>
      <c r="C7342" s="5">
        <v>1591.0</v>
      </c>
      <c r="D7342" s="3">
        <f>IFERROR(__xludf.DUMMYFUNCTION("IFERROR(
IF(REGEXMATCH(LOWER(O7342),""k""),
VALUE(REGEXEXTRACT(O7342,""[0-9]+""))*1000,
VALUE(REGEXEXTRACT(O7342,""[0-9]+""))
),
0
)"),0.0)</f>
        <v>0</v>
      </c>
      <c r="E7342" s="1" t="s">
        <v>11</v>
      </c>
      <c r="F7342" s="1" t="s">
        <v>20</v>
      </c>
      <c r="G7342" s="4" t="b">
        <f t="shared" si="2"/>
        <v>1</v>
      </c>
      <c r="H7342" s="1" t="str">
        <f t="shared" si="3"/>
        <v>Currently Unavailable</v>
      </c>
      <c r="I7342" s="1" t="str">
        <f t="shared" si="4"/>
        <v>No Badges</v>
      </c>
      <c r="J7342" s="3">
        <f t="shared" si="5"/>
        <v>0</v>
      </c>
    </row>
    <row r="7343">
      <c r="A7343" s="1" t="s">
        <v>5624</v>
      </c>
      <c r="B7343" s="3" t="str">
        <f t="shared" si="1"/>
        <v>Unavailable</v>
      </c>
      <c r="C7343" s="3">
        <v>197.0</v>
      </c>
      <c r="D7343" s="3">
        <f>IFERROR(__xludf.DUMMYFUNCTION("IFERROR(
IF(REGEXMATCH(LOWER(O7343),""k""),
VALUE(REGEXEXTRACT(O7343,""[0-9]+""))*1000,
VALUE(REGEXEXTRACT(O7343,""[0-9]+""))
),
0
)"),0.0)</f>
        <v>0</v>
      </c>
      <c r="E7343" s="1" t="s">
        <v>11</v>
      </c>
      <c r="F7343" s="1" t="s">
        <v>20</v>
      </c>
      <c r="G7343" s="4" t="b">
        <f t="shared" si="2"/>
        <v>1</v>
      </c>
      <c r="H7343" s="1" t="str">
        <f t="shared" si="3"/>
        <v>Currently Unavailable</v>
      </c>
      <c r="I7343" s="1" t="str">
        <f t="shared" si="4"/>
        <v>No Badges</v>
      </c>
      <c r="J7343" s="3">
        <f t="shared" si="5"/>
        <v>0</v>
      </c>
    </row>
    <row r="7344">
      <c r="A7344" s="1" t="s">
        <v>5525</v>
      </c>
      <c r="B7344" s="3" t="str">
        <f t="shared" si="1"/>
        <v>Unavailable</v>
      </c>
      <c r="C7344" s="3">
        <v>20.0</v>
      </c>
      <c r="D7344" s="3">
        <f>IFERROR(__xludf.DUMMYFUNCTION("IFERROR(
IF(REGEXMATCH(LOWER(O7344),""k""),
VALUE(REGEXEXTRACT(O7344,""[0-9]+""))*1000,
VALUE(REGEXEXTRACT(O7344,""[0-9]+""))
),
0
)"),0.0)</f>
        <v>0</v>
      </c>
      <c r="E7344" s="1" t="s">
        <v>11</v>
      </c>
      <c r="F7344" s="1" t="s">
        <v>20</v>
      </c>
      <c r="G7344" s="4" t="b">
        <f t="shared" si="2"/>
        <v>1</v>
      </c>
      <c r="H7344" s="1" t="str">
        <f t="shared" si="3"/>
        <v>Currently Unavailable</v>
      </c>
      <c r="I7344" s="1" t="str">
        <f t="shared" si="4"/>
        <v>No Badges</v>
      </c>
      <c r="J7344" s="3">
        <f t="shared" si="5"/>
        <v>0</v>
      </c>
    </row>
    <row r="7345">
      <c r="A7345" s="1" t="s">
        <v>5569</v>
      </c>
      <c r="B7345" s="3" t="str">
        <f t="shared" si="1"/>
        <v>Unavailable</v>
      </c>
      <c r="C7345" s="3">
        <v>451.0</v>
      </c>
      <c r="D7345" s="3">
        <f>IFERROR(__xludf.DUMMYFUNCTION("IFERROR(
IF(REGEXMATCH(LOWER(O7345),""k""),
VALUE(REGEXEXTRACT(O7345,""[0-9]+""))*1000,
VALUE(REGEXEXTRACT(O7345,""[0-9]+""))
),
0
)"),0.0)</f>
        <v>0</v>
      </c>
      <c r="E7345" s="1" t="s">
        <v>11</v>
      </c>
      <c r="F7345" s="1" t="s">
        <v>20</v>
      </c>
      <c r="G7345" s="4" t="b">
        <f t="shared" si="2"/>
        <v>1</v>
      </c>
      <c r="H7345" s="1" t="str">
        <f t="shared" si="3"/>
        <v>Currently Unavailable</v>
      </c>
      <c r="I7345" s="1" t="str">
        <f t="shared" si="4"/>
        <v>No Badges</v>
      </c>
      <c r="J7345" s="6">
        <f t="shared" si="5"/>
        <v>0</v>
      </c>
    </row>
    <row r="7346">
      <c r="A7346" s="1" t="s">
        <v>5625</v>
      </c>
      <c r="B7346" s="3" t="str">
        <f t="shared" si="1"/>
        <v>Unavailable</v>
      </c>
      <c r="C7346" s="3">
        <v>103.0</v>
      </c>
      <c r="D7346" s="3">
        <f>IFERROR(__xludf.DUMMYFUNCTION("IFERROR(
IF(REGEXMATCH(LOWER(O7346),""k""),
VALUE(REGEXEXTRACT(O7346,""[0-9]+""))*1000,
VALUE(REGEXEXTRACT(O7346,""[0-9]+""))
),
0
)"),0.0)</f>
        <v>0</v>
      </c>
      <c r="E7346" s="1" t="s">
        <v>11</v>
      </c>
      <c r="F7346" s="1" t="s">
        <v>20</v>
      </c>
      <c r="G7346" s="4" t="b">
        <f t="shared" si="2"/>
        <v>1</v>
      </c>
      <c r="H7346" s="1" t="str">
        <f t="shared" si="3"/>
        <v>Currently Unavailable</v>
      </c>
      <c r="I7346" s="1" t="str">
        <f t="shared" si="4"/>
        <v>No Badges</v>
      </c>
      <c r="J7346" s="3">
        <f t="shared" si="5"/>
        <v>0</v>
      </c>
    </row>
    <row r="7347">
      <c r="A7347" s="1" t="s">
        <v>5626</v>
      </c>
      <c r="B7347" s="3" t="str">
        <f t="shared" si="1"/>
        <v>Unavailable</v>
      </c>
      <c r="C7347" s="5">
        <v>1476.0</v>
      </c>
      <c r="D7347" s="3">
        <f>IFERROR(__xludf.DUMMYFUNCTION("IFERROR(
IF(REGEXMATCH(LOWER(O7347),""k""),
VALUE(REGEXEXTRACT(O7347,""[0-9]+""))*1000,
VALUE(REGEXEXTRACT(O7347,""[0-9]+""))
),
0
)"),0.0)</f>
        <v>0</v>
      </c>
      <c r="E7347" s="1" t="s">
        <v>11</v>
      </c>
      <c r="F7347" s="1" t="s">
        <v>20</v>
      </c>
      <c r="G7347" s="4" t="b">
        <f t="shared" si="2"/>
        <v>1</v>
      </c>
      <c r="H7347" s="1" t="str">
        <f t="shared" si="3"/>
        <v>Currently Unavailable</v>
      </c>
      <c r="I7347" s="1" t="str">
        <f t="shared" si="4"/>
        <v>No Badges</v>
      </c>
      <c r="J7347" s="3">
        <f t="shared" si="5"/>
        <v>0</v>
      </c>
    </row>
    <row r="7348">
      <c r="A7348" s="1" t="s">
        <v>5627</v>
      </c>
      <c r="B7348" s="3" t="str">
        <f t="shared" si="1"/>
        <v>Unavailable</v>
      </c>
      <c r="C7348" s="3">
        <v>452.0</v>
      </c>
      <c r="D7348" s="3">
        <f>IFERROR(__xludf.DUMMYFUNCTION("IFERROR(
IF(REGEXMATCH(LOWER(O7348),""k""),
VALUE(REGEXEXTRACT(O7348,""[0-9]+""))*1000,
VALUE(REGEXEXTRACT(O7348,""[0-9]+""))
),
0
)"),0.0)</f>
        <v>0</v>
      </c>
      <c r="E7348" s="1" t="s">
        <v>11</v>
      </c>
      <c r="F7348" s="1" t="s">
        <v>20</v>
      </c>
      <c r="G7348" s="4" t="b">
        <f t="shared" si="2"/>
        <v>1</v>
      </c>
      <c r="H7348" s="1" t="str">
        <f t="shared" si="3"/>
        <v>Currently Unavailable</v>
      </c>
      <c r="I7348" s="1" t="str">
        <f t="shared" si="4"/>
        <v>No Badges</v>
      </c>
      <c r="J7348" s="3">
        <f t="shared" si="5"/>
        <v>0</v>
      </c>
    </row>
    <row r="7349">
      <c r="A7349" s="1" t="s">
        <v>5628</v>
      </c>
      <c r="B7349" s="3" t="str">
        <f t="shared" si="1"/>
        <v>Unavailable</v>
      </c>
      <c r="C7349" s="3">
        <v>97.0</v>
      </c>
      <c r="D7349" s="3">
        <f>IFERROR(__xludf.DUMMYFUNCTION("IFERROR(
IF(REGEXMATCH(LOWER(O7349),""k""),
VALUE(REGEXEXTRACT(O7349,""[0-9]+""))*1000,
VALUE(REGEXEXTRACT(O7349,""[0-9]+""))
),
0
)"),0.0)</f>
        <v>0</v>
      </c>
      <c r="E7349" s="1" t="s">
        <v>11</v>
      </c>
      <c r="F7349" s="1" t="s">
        <v>20</v>
      </c>
      <c r="G7349" s="4" t="b">
        <f t="shared" si="2"/>
        <v>1</v>
      </c>
      <c r="H7349" s="1" t="str">
        <f t="shared" si="3"/>
        <v>Currently Unavailable</v>
      </c>
      <c r="I7349" s="1" t="str">
        <f t="shared" si="4"/>
        <v>No Badges</v>
      </c>
      <c r="J7349" s="3">
        <f t="shared" si="5"/>
        <v>0</v>
      </c>
    </row>
    <row r="7350">
      <c r="A7350" s="1" t="s">
        <v>69</v>
      </c>
      <c r="B7350" s="3" t="str">
        <f t="shared" si="1"/>
        <v>Unavailable</v>
      </c>
      <c r="C7350" s="3">
        <v>45.0</v>
      </c>
      <c r="D7350" s="3">
        <f>IFERROR(__xludf.DUMMYFUNCTION("IFERROR(
IF(REGEXMATCH(LOWER(O7350),""k""),
VALUE(REGEXEXTRACT(O7350,""[0-9]+""))*1000,
VALUE(REGEXEXTRACT(O7350,""[0-9]+""))
),
0
)"),0.0)</f>
        <v>0</v>
      </c>
      <c r="E7350" s="1" t="s">
        <v>11</v>
      </c>
      <c r="F7350" s="1" t="s">
        <v>12</v>
      </c>
      <c r="G7350" s="4" t="b">
        <f t="shared" si="2"/>
        <v>1</v>
      </c>
      <c r="H7350" s="1" t="str">
        <f t="shared" si="3"/>
        <v>Currently Unavailable</v>
      </c>
      <c r="I7350" s="1" t="str">
        <f t="shared" si="4"/>
        <v>No Badges</v>
      </c>
      <c r="J7350" s="3">
        <f t="shared" si="5"/>
        <v>0</v>
      </c>
    </row>
    <row r="7351">
      <c r="A7351" s="1" t="s">
        <v>5629</v>
      </c>
      <c r="B7351" s="3" t="str">
        <f t="shared" si="1"/>
        <v>Unavailable</v>
      </c>
      <c r="C7351" s="3">
        <v>66.0</v>
      </c>
      <c r="D7351" s="3">
        <f>IFERROR(__xludf.DUMMYFUNCTION("IFERROR(
IF(REGEXMATCH(LOWER(O7351),""k""),
VALUE(REGEXEXTRACT(O7351,""[0-9]+""))*1000,
VALUE(REGEXEXTRACT(O7351,""[0-9]+""))
),
0
)"),0.0)</f>
        <v>0</v>
      </c>
      <c r="E7351" s="1" t="s">
        <v>11</v>
      </c>
      <c r="F7351" s="1" t="s">
        <v>20</v>
      </c>
      <c r="G7351" s="4" t="b">
        <f t="shared" si="2"/>
        <v>1</v>
      </c>
      <c r="H7351" s="1" t="str">
        <f t="shared" si="3"/>
        <v>Currently Unavailable</v>
      </c>
      <c r="I7351" s="1" t="str">
        <f t="shared" si="4"/>
        <v>No Badges</v>
      </c>
      <c r="J7351" s="3">
        <f t="shared" si="5"/>
        <v>0</v>
      </c>
    </row>
    <row r="7352">
      <c r="A7352" s="1" t="s">
        <v>696</v>
      </c>
      <c r="B7352" s="3" t="str">
        <f t="shared" si="1"/>
        <v>Unavailable</v>
      </c>
      <c r="C7352" s="3">
        <v>86.0</v>
      </c>
      <c r="D7352" s="3">
        <f>IFERROR(__xludf.DUMMYFUNCTION("IFERROR(
IF(REGEXMATCH(LOWER(O7352),""k""),
VALUE(REGEXEXTRACT(O7352,""[0-9]+""))*1000,
VALUE(REGEXEXTRACT(O7352,""[0-9]+""))
),
0
)"),0.0)</f>
        <v>0</v>
      </c>
      <c r="E7352" s="1" t="s">
        <v>11</v>
      </c>
      <c r="F7352" s="1" t="s">
        <v>20</v>
      </c>
      <c r="G7352" s="4" t="b">
        <f t="shared" si="2"/>
        <v>1</v>
      </c>
      <c r="H7352" s="1" t="str">
        <f t="shared" si="3"/>
        <v>Currently Unavailable</v>
      </c>
      <c r="I7352" s="1" t="str">
        <f t="shared" si="4"/>
        <v>No Badges</v>
      </c>
      <c r="J7352" s="3">
        <f t="shared" si="5"/>
        <v>0</v>
      </c>
    </row>
    <row r="7353">
      <c r="A7353" s="1" t="s">
        <v>652</v>
      </c>
      <c r="B7353" s="3" t="str">
        <f t="shared" si="1"/>
        <v>Unavailable</v>
      </c>
      <c r="C7353" s="3">
        <v>320.0</v>
      </c>
      <c r="D7353" s="3">
        <f>IFERROR(__xludf.DUMMYFUNCTION("IFERROR(
IF(REGEXMATCH(LOWER(O7353),""k""),
VALUE(REGEXEXTRACT(O7353,""[0-9]+""))*1000,
VALUE(REGEXEXTRACT(O7353,""[0-9]+""))
),
0
)"),0.0)</f>
        <v>0</v>
      </c>
      <c r="E7353" s="1" t="s">
        <v>11</v>
      </c>
      <c r="F7353" s="1" t="s">
        <v>20</v>
      </c>
      <c r="G7353" s="4" t="b">
        <f t="shared" si="2"/>
        <v>1</v>
      </c>
      <c r="H7353" s="1" t="str">
        <f t="shared" si="3"/>
        <v>Currently Unavailable</v>
      </c>
      <c r="I7353" s="1" t="str">
        <f t="shared" si="4"/>
        <v>No Badges</v>
      </c>
      <c r="J7353" s="3">
        <f t="shared" si="5"/>
        <v>0</v>
      </c>
    </row>
    <row r="7354">
      <c r="A7354" s="1" t="s">
        <v>5630</v>
      </c>
      <c r="B7354" s="3" t="str">
        <f t="shared" si="1"/>
        <v>Unavailable</v>
      </c>
      <c r="C7354" s="3">
        <v>677.0</v>
      </c>
      <c r="D7354" s="3">
        <f>IFERROR(__xludf.DUMMYFUNCTION("IFERROR(
IF(REGEXMATCH(LOWER(O7354),""k""),
VALUE(REGEXEXTRACT(O7354,""[0-9]+""))*1000,
VALUE(REGEXEXTRACT(O7354,""[0-9]+""))
),
0
)"),0.0)</f>
        <v>0</v>
      </c>
      <c r="E7354" s="1" t="s">
        <v>11</v>
      </c>
      <c r="F7354" s="1" t="s">
        <v>20</v>
      </c>
      <c r="G7354" s="4" t="b">
        <f t="shared" si="2"/>
        <v>1</v>
      </c>
      <c r="H7354" s="1" t="str">
        <f t="shared" si="3"/>
        <v>Currently Unavailable</v>
      </c>
      <c r="I7354" s="1" t="str">
        <f t="shared" si="4"/>
        <v>No Badges</v>
      </c>
      <c r="J7354" s="3">
        <f t="shared" si="5"/>
        <v>0</v>
      </c>
    </row>
    <row r="7355">
      <c r="A7355" s="1" t="s">
        <v>5631</v>
      </c>
      <c r="B7355" s="3" t="str">
        <f t="shared" si="1"/>
        <v>Unavailable</v>
      </c>
      <c r="C7355" s="3">
        <v>59.0</v>
      </c>
      <c r="D7355" s="3">
        <f>IFERROR(__xludf.DUMMYFUNCTION("IFERROR(
IF(REGEXMATCH(LOWER(O7355),""k""),
VALUE(REGEXEXTRACT(O7355,""[0-9]+""))*1000,
VALUE(REGEXEXTRACT(O7355,""[0-9]+""))
),
0
)"),0.0)</f>
        <v>0</v>
      </c>
      <c r="E7355" s="1" t="s">
        <v>11</v>
      </c>
      <c r="F7355" s="1" t="s">
        <v>20</v>
      </c>
      <c r="G7355" s="4" t="b">
        <f t="shared" si="2"/>
        <v>1</v>
      </c>
      <c r="H7355" s="1" t="str">
        <f t="shared" si="3"/>
        <v>Currently Unavailable</v>
      </c>
      <c r="I7355" s="1" t="str">
        <f t="shared" si="4"/>
        <v>No Badges</v>
      </c>
      <c r="J7355" s="3">
        <f t="shared" si="5"/>
        <v>0</v>
      </c>
    </row>
    <row r="7356">
      <c r="A7356" s="1" t="s">
        <v>5632</v>
      </c>
      <c r="B7356" s="3" t="str">
        <f t="shared" si="1"/>
        <v>Unavailable</v>
      </c>
      <c r="C7356" s="5">
        <v>2899.0</v>
      </c>
      <c r="D7356" s="3">
        <f>IFERROR(__xludf.DUMMYFUNCTION("IFERROR(
IF(REGEXMATCH(LOWER(O7356),""k""),
VALUE(REGEXEXTRACT(O7356,""[0-9]+""))*1000,
VALUE(REGEXEXTRACT(O7356,""[0-9]+""))
),
0
)"),0.0)</f>
        <v>0</v>
      </c>
      <c r="E7356" s="1" t="s">
        <v>11</v>
      </c>
      <c r="F7356" s="1" t="s">
        <v>20</v>
      </c>
      <c r="G7356" s="4" t="b">
        <f t="shared" si="2"/>
        <v>1</v>
      </c>
      <c r="H7356" s="1" t="str">
        <f t="shared" si="3"/>
        <v>Currently Unavailable</v>
      </c>
      <c r="I7356" s="1" t="str">
        <f t="shared" si="4"/>
        <v>No Badges</v>
      </c>
      <c r="J7356" s="3">
        <f t="shared" si="5"/>
        <v>0</v>
      </c>
    </row>
    <row r="7357">
      <c r="A7357" s="1" t="s">
        <v>5554</v>
      </c>
      <c r="B7357" s="3" t="str">
        <f t="shared" si="1"/>
        <v>Unavailable</v>
      </c>
      <c r="C7357" s="3">
        <v>42.0</v>
      </c>
      <c r="D7357" s="3">
        <f>IFERROR(__xludf.DUMMYFUNCTION("IFERROR(
IF(REGEXMATCH(LOWER(O7357),""k""),
VALUE(REGEXEXTRACT(O7357,""[0-9]+""))*1000,
VALUE(REGEXEXTRACT(O7357,""[0-9]+""))
),
0
)"),0.0)</f>
        <v>0</v>
      </c>
      <c r="E7357" s="1" t="s">
        <v>11</v>
      </c>
      <c r="F7357" s="1" t="s">
        <v>20</v>
      </c>
      <c r="G7357" s="4" t="b">
        <f t="shared" si="2"/>
        <v>1</v>
      </c>
      <c r="H7357" s="1" t="str">
        <f t="shared" si="3"/>
        <v>Currently Unavailable</v>
      </c>
      <c r="I7357" s="1" t="str">
        <f t="shared" si="4"/>
        <v>No Badges</v>
      </c>
      <c r="J7357" s="3">
        <f t="shared" si="5"/>
        <v>0</v>
      </c>
    </row>
    <row r="7358">
      <c r="A7358" s="1" t="s">
        <v>546</v>
      </c>
      <c r="B7358" s="3" t="str">
        <f t="shared" si="1"/>
        <v>Unavailable</v>
      </c>
      <c r="C7358" s="3">
        <v>191.0</v>
      </c>
      <c r="D7358" s="3">
        <f>IFERROR(__xludf.DUMMYFUNCTION("IFERROR(
IF(REGEXMATCH(LOWER(O7358),""k""),
VALUE(REGEXEXTRACT(O7358,""[0-9]+""))*1000,
VALUE(REGEXEXTRACT(O7358,""[0-9]+""))
),
0
)"),0.0)</f>
        <v>0</v>
      </c>
      <c r="E7358" s="1" t="s">
        <v>11</v>
      </c>
      <c r="F7358" s="1" t="s">
        <v>20</v>
      </c>
      <c r="G7358" s="4" t="b">
        <f t="shared" si="2"/>
        <v>1</v>
      </c>
      <c r="H7358" s="1" t="str">
        <f t="shared" si="3"/>
        <v>Currently Unavailable</v>
      </c>
      <c r="I7358" s="1" t="str">
        <f t="shared" si="4"/>
        <v>No Badges</v>
      </c>
      <c r="J7358" s="3">
        <f t="shared" si="5"/>
        <v>0</v>
      </c>
    </row>
    <row r="7359">
      <c r="A7359" s="1" t="s">
        <v>5633</v>
      </c>
      <c r="B7359" s="3" t="str">
        <f t="shared" si="1"/>
        <v>Unavailable</v>
      </c>
      <c r="C7359" s="3">
        <v>402.0</v>
      </c>
      <c r="D7359" s="3">
        <f>IFERROR(__xludf.DUMMYFUNCTION("IFERROR(
IF(REGEXMATCH(LOWER(O7359),""k""),
VALUE(REGEXEXTRACT(O7359,""[0-9]+""))*1000,
VALUE(REGEXEXTRACT(O7359,""[0-9]+""))
),
0
)"),0.0)</f>
        <v>0</v>
      </c>
      <c r="E7359" s="1" t="s">
        <v>11</v>
      </c>
      <c r="F7359" s="1" t="s">
        <v>20</v>
      </c>
      <c r="G7359" s="4" t="b">
        <f t="shared" si="2"/>
        <v>1</v>
      </c>
      <c r="H7359" s="1" t="str">
        <f t="shared" si="3"/>
        <v>Currently Unavailable</v>
      </c>
      <c r="I7359" s="1" t="str">
        <f t="shared" si="4"/>
        <v>No Badges</v>
      </c>
      <c r="J7359" s="3">
        <f t="shared" si="5"/>
        <v>0</v>
      </c>
    </row>
    <row r="7360">
      <c r="A7360" s="1" t="s">
        <v>5634</v>
      </c>
      <c r="B7360" s="3" t="str">
        <f t="shared" si="1"/>
        <v>Unavailable</v>
      </c>
      <c r="C7360" s="3">
        <v>3.0</v>
      </c>
      <c r="D7360" s="3">
        <f>IFERROR(__xludf.DUMMYFUNCTION("IFERROR(
IF(REGEXMATCH(LOWER(O7360),""k""),
VALUE(REGEXEXTRACT(O7360,""[0-9]+""))*1000,
VALUE(REGEXEXTRACT(O7360,""[0-9]+""))
),
0
)"),0.0)</f>
        <v>0</v>
      </c>
      <c r="E7360" s="1" t="s">
        <v>11</v>
      </c>
      <c r="F7360" s="1" t="s">
        <v>20</v>
      </c>
      <c r="G7360" s="4" t="b">
        <f t="shared" si="2"/>
        <v>1</v>
      </c>
      <c r="H7360" s="1" t="str">
        <f t="shared" si="3"/>
        <v>Currently Unavailable</v>
      </c>
      <c r="I7360" s="1" t="str">
        <f t="shared" si="4"/>
        <v>No Badges</v>
      </c>
      <c r="J7360" s="3">
        <f t="shared" si="5"/>
        <v>0</v>
      </c>
    </row>
    <row r="7361">
      <c r="A7361" s="1" t="s">
        <v>5635</v>
      </c>
      <c r="B7361" s="3" t="str">
        <f t="shared" si="1"/>
        <v>Unavailable</v>
      </c>
      <c r="C7361" s="3">
        <v>27.0</v>
      </c>
      <c r="D7361" s="3">
        <f>IFERROR(__xludf.DUMMYFUNCTION("IFERROR(
IF(REGEXMATCH(LOWER(O7361),""k""),
VALUE(REGEXEXTRACT(O7361,""[0-9]+""))*1000,
VALUE(REGEXEXTRACT(O7361,""[0-9]+""))
),
0
)"),0.0)</f>
        <v>0</v>
      </c>
      <c r="E7361" s="1" t="s">
        <v>11</v>
      </c>
      <c r="F7361" s="1" t="s">
        <v>20</v>
      </c>
      <c r="G7361" s="4" t="b">
        <f t="shared" si="2"/>
        <v>1</v>
      </c>
      <c r="H7361" s="1" t="str">
        <f t="shared" si="3"/>
        <v>Currently Unavailable</v>
      </c>
      <c r="I7361" s="1" t="str">
        <f t="shared" si="4"/>
        <v>No Badges</v>
      </c>
      <c r="J7361" s="3">
        <f t="shared" si="5"/>
        <v>0</v>
      </c>
    </row>
    <row r="7362">
      <c r="A7362" s="1" t="s">
        <v>5636</v>
      </c>
      <c r="B7362" s="3" t="str">
        <f t="shared" si="1"/>
        <v>Unavailable</v>
      </c>
      <c r="C7362" s="3">
        <v>122.0</v>
      </c>
      <c r="D7362" s="3">
        <f>IFERROR(__xludf.DUMMYFUNCTION("IFERROR(
IF(REGEXMATCH(LOWER(O7362),""k""),
VALUE(REGEXEXTRACT(O7362,""[0-9]+""))*1000,
VALUE(REGEXEXTRACT(O7362,""[0-9]+""))
),
0
)"),0.0)</f>
        <v>0</v>
      </c>
      <c r="E7362" s="1" t="s">
        <v>11</v>
      </c>
      <c r="F7362" s="1" t="s">
        <v>20</v>
      </c>
      <c r="G7362" s="4" t="b">
        <f t="shared" si="2"/>
        <v>1</v>
      </c>
      <c r="H7362" s="1" t="str">
        <f t="shared" si="3"/>
        <v>Currently Unavailable</v>
      </c>
      <c r="I7362" s="1" t="str">
        <f t="shared" si="4"/>
        <v>No Badges</v>
      </c>
      <c r="J7362" s="3">
        <f t="shared" si="5"/>
        <v>0</v>
      </c>
    </row>
    <row r="7363">
      <c r="A7363" s="1" t="s">
        <v>5637</v>
      </c>
      <c r="B7363" s="3" t="str">
        <f t="shared" si="1"/>
        <v>Unavailable</v>
      </c>
      <c r="C7363" s="3">
        <v>153.0</v>
      </c>
      <c r="D7363" s="3">
        <f>IFERROR(__xludf.DUMMYFUNCTION("IFERROR(
IF(REGEXMATCH(LOWER(O7363),""k""),
VALUE(REGEXEXTRACT(O7363,""[0-9]+""))*1000,
VALUE(REGEXEXTRACT(O7363,""[0-9]+""))
),
0
)"),0.0)</f>
        <v>0</v>
      </c>
      <c r="E7363" s="1" t="s">
        <v>11</v>
      </c>
      <c r="F7363" s="1" t="s">
        <v>20</v>
      </c>
      <c r="G7363" s="4" t="b">
        <f t="shared" si="2"/>
        <v>1</v>
      </c>
      <c r="H7363" s="1" t="str">
        <f t="shared" si="3"/>
        <v>Currently Unavailable</v>
      </c>
      <c r="I7363" s="1" t="str">
        <f t="shared" si="4"/>
        <v>No Badges</v>
      </c>
      <c r="J7363" s="3">
        <f t="shared" si="5"/>
        <v>0</v>
      </c>
    </row>
    <row r="7364">
      <c r="A7364" s="1" t="s">
        <v>67</v>
      </c>
      <c r="B7364" s="3" t="str">
        <f t="shared" si="1"/>
        <v>Unavailable</v>
      </c>
      <c r="C7364" s="3">
        <v>264.0</v>
      </c>
      <c r="D7364" s="3">
        <f>IFERROR(__xludf.DUMMYFUNCTION("IFERROR(
IF(REGEXMATCH(LOWER(O7364),""k""),
VALUE(REGEXEXTRACT(O7364,""[0-9]+""))*1000,
VALUE(REGEXEXTRACT(O7364,""[0-9]+""))
),
0
)"),0.0)</f>
        <v>0</v>
      </c>
      <c r="E7364" s="1" t="s">
        <v>11</v>
      </c>
      <c r="F7364" s="1" t="s">
        <v>12</v>
      </c>
      <c r="G7364" s="4" t="b">
        <f t="shared" si="2"/>
        <v>1</v>
      </c>
      <c r="H7364" s="1" t="str">
        <f t="shared" si="3"/>
        <v>Currently Unavailable</v>
      </c>
      <c r="I7364" s="1" t="str">
        <f t="shared" si="4"/>
        <v>No Badges</v>
      </c>
      <c r="J7364" s="3">
        <f t="shared" si="5"/>
        <v>0</v>
      </c>
    </row>
    <row r="7365">
      <c r="A7365" s="1" t="s">
        <v>5638</v>
      </c>
      <c r="B7365" s="3" t="str">
        <f t="shared" si="1"/>
        <v>Unavailable</v>
      </c>
      <c r="C7365" s="3">
        <v>86.0</v>
      </c>
      <c r="D7365" s="3">
        <f>IFERROR(__xludf.DUMMYFUNCTION("IFERROR(
IF(REGEXMATCH(LOWER(O7365),""k""),
VALUE(REGEXEXTRACT(O7365,""[0-9]+""))*1000,
VALUE(REGEXEXTRACT(O7365,""[0-9]+""))
),
0
)"),0.0)</f>
        <v>0</v>
      </c>
      <c r="E7365" s="1" t="s">
        <v>11</v>
      </c>
      <c r="F7365" s="1" t="s">
        <v>20</v>
      </c>
      <c r="G7365" s="4" t="b">
        <f t="shared" si="2"/>
        <v>1</v>
      </c>
      <c r="H7365" s="1" t="str">
        <f t="shared" si="3"/>
        <v>Currently Unavailable</v>
      </c>
      <c r="I7365" s="1" t="str">
        <f t="shared" si="4"/>
        <v>No Badges</v>
      </c>
      <c r="J7365" s="3">
        <f t="shared" si="5"/>
        <v>0</v>
      </c>
    </row>
    <row r="7366">
      <c r="A7366" s="1" t="s">
        <v>701</v>
      </c>
      <c r="B7366" s="3" t="str">
        <f t="shared" si="1"/>
        <v>Unavailable</v>
      </c>
      <c r="C7366" s="3">
        <v>8.0</v>
      </c>
      <c r="D7366" s="3">
        <f>IFERROR(__xludf.DUMMYFUNCTION("IFERROR(
IF(REGEXMATCH(LOWER(O7366),""k""),
VALUE(REGEXEXTRACT(O7366,""[0-9]+""))*1000,
VALUE(REGEXEXTRACT(O7366,""[0-9]+""))
),
0
)"),0.0)</f>
        <v>0</v>
      </c>
      <c r="E7366" s="1" t="s">
        <v>11</v>
      </c>
      <c r="F7366" s="1" t="s">
        <v>12</v>
      </c>
      <c r="G7366" s="4" t="b">
        <f t="shared" si="2"/>
        <v>1</v>
      </c>
      <c r="H7366" s="1" t="str">
        <f t="shared" si="3"/>
        <v>Currently Unavailable</v>
      </c>
      <c r="I7366" s="1" t="str">
        <f t="shared" si="4"/>
        <v>No Badges</v>
      </c>
      <c r="J7366" s="3">
        <f t="shared" si="5"/>
        <v>0</v>
      </c>
    </row>
    <row r="7367">
      <c r="A7367" s="1" t="s">
        <v>5639</v>
      </c>
      <c r="B7367" s="3" t="str">
        <f t="shared" si="1"/>
        <v>Unavailable</v>
      </c>
      <c r="C7367" s="3">
        <v>418.0</v>
      </c>
      <c r="D7367" s="3">
        <f>IFERROR(__xludf.DUMMYFUNCTION("IFERROR(
IF(REGEXMATCH(LOWER(O7367),""k""),
VALUE(REGEXEXTRACT(O7367,""[0-9]+""))*1000,
VALUE(REGEXEXTRACT(O7367,""[0-9]+""))
),
0
)"),0.0)</f>
        <v>0</v>
      </c>
      <c r="E7367" s="1" t="s">
        <v>11</v>
      </c>
      <c r="F7367" s="1" t="s">
        <v>20</v>
      </c>
      <c r="G7367" s="4" t="b">
        <f t="shared" si="2"/>
        <v>1</v>
      </c>
      <c r="H7367" s="1" t="str">
        <f t="shared" si="3"/>
        <v>Currently Unavailable</v>
      </c>
      <c r="I7367" s="1" t="str">
        <f t="shared" si="4"/>
        <v>No Badges</v>
      </c>
      <c r="J7367" s="3">
        <f t="shared" si="5"/>
        <v>0</v>
      </c>
    </row>
    <row r="7368">
      <c r="A7368" s="1" t="s">
        <v>5640</v>
      </c>
      <c r="B7368" s="3" t="str">
        <f t="shared" si="1"/>
        <v>Unavailable</v>
      </c>
      <c r="C7368" s="3">
        <v>24.0</v>
      </c>
      <c r="D7368" s="3">
        <f>IFERROR(__xludf.DUMMYFUNCTION("IFERROR(
IF(REGEXMATCH(LOWER(O7368),""k""),
VALUE(REGEXEXTRACT(O7368,""[0-9]+""))*1000,
VALUE(REGEXEXTRACT(O7368,""[0-9]+""))
),
0
)"),0.0)</f>
        <v>0</v>
      </c>
      <c r="E7368" s="1" t="s">
        <v>11</v>
      </c>
      <c r="F7368" s="1" t="s">
        <v>20</v>
      </c>
      <c r="G7368" s="4" t="b">
        <f t="shared" si="2"/>
        <v>1</v>
      </c>
      <c r="H7368" s="1" t="str">
        <f t="shared" si="3"/>
        <v>Currently Unavailable</v>
      </c>
      <c r="I7368" s="1" t="str">
        <f t="shared" si="4"/>
        <v>No Badges</v>
      </c>
      <c r="J7368" s="3">
        <f t="shared" si="5"/>
        <v>0</v>
      </c>
    </row>
    <row r="7369">
      <c r="A7369" s="1" t="s">
        <v>69</v>
      </c>
      <c r="B7369" s="3" t="str">
        <f t="shared" si="1"/>
        <v>Unavailable</v>
      </c>
      <c r="C7369" s="3">
        <v>45.0</v>
      </c>
      <c r="D7369" s="3">
        <f>IFERROR(__xludf.DUMMYFUNCTION("IFERROR(
IF(REGEXMATCH(LOWER(O7369),""k""),
VALUE(REGEXEXTRACT(O7369,""[0-9]+""))*1000,
VALUE(REGEXEXTRACT(O7369,""[0-9]+""))
),
0
)"),0.0)</f>
        <v>0</v>
      </c>
      <c r="E7369" s="1" t="s">
        <v>11</v>
      </c>
      <c r="F7369" s="1" t="s">
        <v>12</v>
      </c>
      <c r="G7369" s="4" t="b">
        <f t="shared" si="2"/>
        <v>1</v>
      </c>
      <c r="H7369" s="1" t="str">
        <f t="shared" si="3"/>
        <v>Currently Unavailable</v>
      </c>
      <c r="I7369" s="1" t="str">
        <f t="shared" si="4"/>
        <v>No Badges</v>
      </c>
      <c r="J7369" s="3">
        <f t="shared" si="5"/>
        <v>0</v>
      </c>
    </row>
    <row r="7370">
      <c r="A7370" s="1" t="s">
        <v>5537</v>
      </c>
      <c r="B7370" s="3" t="str">
        <f t="shared" si="1"/>
        <v>Unavailable</v>
      </c>
      <c r="C7370" s="3">
        <v>393.0</v>
      </c>
      <c r="D7370" s="3">
        <f>IFERROR(__xludf.DUMMYFUNCTION("IFERROR(
IF(REGEXMATCH(LOWER(O7370),""k""),
VALUE(REGEXEXTRACT(O7370,""[0-9]+""))*1000,
VALUE(REGEXEXTRACT(O7370,""[0-9]+""))
),
0
)"),0.0)</f>
        <v>0</v>
      </c>
      <c r="E7370" s="1" t="s">
        <v>11</v>
      </c>
      <c r="F7370" s="1" t="s">
        <v>20</v>
      </c>
      <c r="G7370" s="4" t="b">
        <f t="shared" si="2"/>
        <v>1</v>
      </c>
      <c r="H7370" s="1" t="str">
        <f t="shared" si="3"/>
        <v>Currently Unavailable</v>
      </c>
      <c r="I7370" s="1" t="str">
        <f t="shared" si="4"/>
        <v>No Badges</v>
      </c>
      <c r="J7370" s="3">
        <f t="shared" si="5"/>
        <v>0</v>
      </c>
    </row>
    <row r="7371">
      <c r="A7371" s="1" t="s">
        <v>5641</v>
      </c>
      <c r="B7371" s="3" t="str">
        <f t="shared" si="1"/>
        <v>Unavailable</v>
      </c>
      <c r="C7371" s="3">
        <v>43.0</v>
      </c>
      <c r="D7371" s="3">
        <f>IFERROR(__xludf.DUMMYFUNCTION("IFERROR(
IF(REGEXMATCH(LOWER(O7371),""k""),
VALUE(REGEXEXTRACT(O7371,""[0-9]+""))*1000,
VALUE(REGEXEXTRACT(O7371,""[0-9]+""))
),
0
)"),0.0)</f>
        <v>0</v>
      </c>
      <c r="E7371" s="1" t="s">
        <v>11</v>
      </c>
      <c r="F7371" s="1" t="s">
        <v>20</v>
      </c>
      <c r="G7371" s="4" t="b">
        <f t="shared" si="2"/>
        <v>1</v>
      </c>
      <c r="H7371" s="1" t="str">
        <f t="shared" si="3"/>
        <v>Currently Unavailable</v>
      </c>
      <c r="I7371" s="1" t="str">
        <f t="shared" si="4"/>
        <v>No Badges</v>
      </c>
      <c r="J7371" s="3">
        <f t="shared" si="5"/>
        <v>0</v>
      </c>
    </row>
    <row r="7372">
      <c r="A7372" s="1" t="s">
        <v>5642</v>
      </c>
      <c r="B7372" s="3" t="str">
        <f t="shared" si="1"/>
        <v>Unavailable</v>
      </c>
      <c r="C7372" s="5">
        <v>5377.0</v>
      </c>
      <c r="D7372" s="3">
        <f>IFERROR(__xludf.DUMMYFUNCTION("IFERROR(
IF(REGEXMATCH(LOWER(O7372),""k""),
VALUE(REGEXEXTRACT(O7372,""[0-9]+""))*1000,
VALUE(REGEXEXTRACT(O7372,""[0-9]+""))
),
0
)"),0.0)</f>
        <v>0</v>
      </c>
      <c r="E7372" s="1" t="s">
        <v>18</v>
      </c>
      <c r="F7372" s="1" t="s">
        <v>20</v>
      </c>
      <c r="G7372" s="4" t="b">
        <f t="shared" si="2"/>
        <v>1</v>
      </c>
      <c r="H7372" s="1" t="str">
        <f t="shared" si="3"/>
        <v>Currently Unavailable</v>
      </c>
      <c r="I7372" s="1" t="str">
        <f t="shared" si="4"/>
        <v>No Badges</v>
      </c>
      <c r="J7372" s="6">
        <f t="shared" si="5"/>
        <v>0</v>
      </c>
    </row>
    <row r="7373">
      <c r="A7373" s="1" t="s">
        <v>5643</v>
      </c>
      <c r="B7373" s="3" t="str">
        <f t="shared" si="1"/>
        <v>Unavailable</v>
      </c>
      <c r="C7373" s="3">
        <v>2.0</v>
      </c>
      <c r="D7373" s="3">
        <f>IFERROR(__xludf.DUMMYFUNCTION("IFERROR(
IF(REGEXMATCH(LOWER(O7373),""k""),
VALUE(REGEXEXTRACT(O7373,""[0-9]+""))*1000,
VALUE(REGEXEXTRACT(O7373,""[0-9]+""))
),
0
)"),0.0)</f>
        <v>0</v>
      </c>
      <c r="E7373" s="1" t="s">
        <v>11</v>
      </c>
      <c r="F7373" s="1" t="s">
        <v>20</v>
      </c>
      <c r="G7373" s="4" t="b">
        <f t="shared" si="2"/>
        <v>1</v>
      </c>
      <c r="H7373" s="1" t="str">
        <f t="shared" si="3"/>
        <v>Currently Unavailable</v>
      </c>
      <c r="I7373" s="1" t="str">
        <f t="shared" si="4"/>
        <v>No Badges</v>
      </c>
      <c r="J7373" s="3">
        <f t="shared" si="5"/>
        <v>0</v>
      </c>
    </row>
    <row r="7374">
      <c r="A7374" s="1" t="s">
        <v>747</v>
      </c>
      <c r="B7374" s="3" t="str">
        <f t="shared" si="1"/>
        <v>Unavailable</v>
      </c>
      <c r="C7374" s="3">
        <v>166.0</v>
      </c>
      <c r="D7374" s="3">
        <f>IFERROR(__xludf.DUMMYFUNCTION("IFERROR(
IF(REGEXMATCH(LOWER(O7374),""k""),
VALUE(REGEXEXTRACT(O7374,""[0-9]+""))*1000,
VALUE(REGEXEXTRACT(O7374,""[0-9]+""))
),
0
)"),0.0)</f>
        <v>0</v>
      </c>
      <c r="E7374" s="1" t="s">
        <v>11</v>
      </c>
      <c r="F7374" s="1" t="s">
        <v>20</v>
      </c>
      <c r="G7374" s="4" t="b">
        <f t="shared" si="2"/>
        <v>1</v>
      </c>
      <c r="H7374" s="1" t="str">
        <f t="shared" si="3"/>
        <v>Currently Unavailable</v>
      </c>
      <c r="I7374" s="1" t="str">
        <f t="shared" si="4"/>
        <v>No Badges</v>
      </c>
      <c r="J7374" s="3">
        <f t="shared" si="5"/>
        <v>0</v>
      </c>
    </row>
    <row r="7375">
      <c r="A7375" s="1" t="s">
        <v>5644</v>
      </c>
      <c r="B7375" s="3" t="str">
        <f t="shared" si="1"/>
        <v>Unavailable</v>
      </c>
      <c r="C7375" s="3">
        <v>98.0</v>
      </c>
      <c r="D7375" s="3">
        <f>IFERROR(__xludf.DUMMYFUNCTION("IFERROR(
IF(REGEXMATCH(LOWER(O7375),""k""),
VALUE(REGEXEXTRACT(O7375,""[0-9]+""))*1000,
VALUE(REGEXEXTRACT(O7375,""[0-9]+""))
),
0
)"),0.0)</f>
        <v>0</v>
      </c>
      <c r="E7375" s="1" t="s">
        <v>11</v>
      </c>
      <c r="F7375" s="1" t="s">
        <v>20</v>
      </c>
      <c r="G7375" s="4" t="b">
        <f t="shared" si="2"/>
        <v>1</v>
      </c>
      <c r="H7375" s="1" t="str">
        <f t="shared" si="3"/>
        <v>Currently Unavailable</v>
      </c>
      <c r="I7375" s="1" t="str">
        <f t="shared" si="4"/>
        <v>No Badges</v>
      </c>
      <c r="J7375" s="3">
        <f t="shared" si="5"/>
        <v>0</v>
      </c>
    </row>
    <row r="7376">
      <c r="A7376" s="1" t="s">
        <v>5645</v>
      </c>
      <c r="B7376" s="3" t="str">
        <f t="shared" si="1"/>
        <v>Unavailable</v>
      </c>
      <c r="C7376" s="5">
        <v>1804.0</v>
      </c>
      <c r="D7376" s="3">
        <f>IFERROR(__xludf.DUMMYFUNCTION("IFERROR(
IF(REGEXMATCH(LOWER(O7376),""k""),
VALUE(REGEXEXTRACT(O7376,""[0-9]+""))*1000,
VALUE(REGEXEXTRACT(O7376,""[0-9]+""))
),
0
)"),0.0)</f>
        <v>0</v>
      </c>
      <c r="E7376" s="1" t="s">
        <v>11</v>
      </c>
      <c r="F7376" s="1" t="s">
        <v>20</v>
      </c>
      <c r="G7376" s="4" t="b">
        <f t="shared" si="2"/>
        <v>1</v>
      </c>
      <c r="H7376" s="1" t="str">
        <f t="shared" si="3"/>
        <v>Currently Unavailable</v>
      </c>
      <c r="I7376" s="1" t="str">
        <f t="shared" si="4"/>
        <v>No Badges</v>
      </c>
      <c r="J7376" s="3">
        <f t="shared" si="5"/>
        <v>0</v>
      </c>
    </row>
    <row r="7377">
      <c r="A7377" s="1" t="s">
        <v>5646</v>
      </c>
      <c r="B7377" s="3" t="str">
        <f t="shared" si="1"/>
        <v>Unavailable</v>
      </c>
      <c r="C7377" s="3">
        <v>243.0</v>
      </c>
      <c r="D7377" s="3">
        <f>IFERROR(__xludf.DUMMYFUNCTION("IFERROR(
IF(REGEXMATCH(LOWER(O7377),""k""),
VALUE(REGEXEXTRACT(O7377,""[0-9]+""))*1000,
VALUE(REGEXEXTRACT(O7377,""[0-9]+""))
),
0
)"),0.0)</f>
        <v>0</v>
      </c>
      <c r="E7377" s="1" t="s">
        <v>11</v>
      </c>
      <c r="F7377" s="1" t="s">
        <v>20</v>
      </c>
      <c r="G7377" s="4" t="b">
        <f t="shared" si="2"/>
        <v>1</v>
      </c>
      <c r="H7377" s="1" t="str">
        <f t="shared" si="3"/>
        <v>Currently Unavailable</v>
      </c>
      <c r="I7377" s="1" t="str">
        <f t="shared" si="4"/>
        <v>No Badges</v>
      </c>
      <c r="J7377" s="3">
        <f t="shared" si="5"/>
        <v>0</v>
      </c>
    </row>
    <row r="7378">
      <c r="A7378" s="1" t="s">
        <v>5647</v>
      </c>
      <c r="B7378" s="3" t="str">
        <f t="shared" si="1"/>
        <v>Unavailable</v>
      </c>
      <c r="C7378" s="3">
        <v>88.0</v>
      </c>
      <c r="D7378" s="3">
        <f>IFERROR(__xludf.DUMMYFUNCTION("IFERROR(
IF(REGEXMATCH(LOWER(O7378),""k""),
VALUE(REGEXEXTRACT(O7378,""[0-9]+""))*1000,
VALUE(REGEXEXTRACT(O7378,""[0-9]+""))
),
0
)"),0.0)</f>
        <v>0</v>
      </c>
      <c r="E7378" s="1" t="s">
        <v>11</v>
      </c>
      <c r="F7378" s="1" t="s">
        <v>20</v>
      </c>
      <c r="G7378" s="4" t="b">
        <f t="shared" si="2"/>
        <v>1</v>
      </c>
      <c r="H7378" s="1" t="str">
        <f t="shared" si="3"/>
        <v>Currently Unavailable</v>
      </c>
      <c r="I7378" s="1" t="str">
        <f t="shared" si="4"/>
        <v>No Badges</v>
      </c>
      <c r="J7378" s="3">
        <f t="shared" si="5"/>
        <v>0</v>
      </c>
    </row>
    <row r="7379">
      <c r="A7379" s="1" t="s">
        <v>5648</v>
      </c>
      <c r="B7379" s="3" t="str">
        <f t="shared" si="1"/>
        <v>Unavailable</v>
      </c>
      <c r="C7379" s="3">
        <v>84.0</v>
      </c>
      <c r="D7379" s="3">
        <f>IFERROR(__xludf.DUMMYFUNCTION("IFERROR(
IF(REGEXMATCH(LOWER(O7379),""k""),
VALUE(REGEXEXTRACT(O7379,""[0-9]+""))*1000,
VALUE(REGEXEXTRACT(O7379,""[0-9]+""))
),
0
)"),0.0)</f>
        <v>0</v>
      </c>
      <c r="E7379" s="1" t="s">
        <v>11</v>
      </c>
      <c r="F7379" s="1" t="s">
        <v>20</v>
      </c>
      <c r="G7379" s="4" t="b">
        <f t="shared" si="2"/>
        <v>1</v>
      </c>
      <c r="H7379" s="1" t="str">
        <f t="shared" si="3"/>
        <v>Currently Unavailable</v>
      </c>
      <c r="I7379" s="1" t="str">
        <f t="shared" si="4"/>
        <v>No Badges</v>
      </c>
      <c r="J7379" s="3">
        <f t="shared" si="5"/>
        <v>0</v>
      </c>
    </row>
    <row r="7380">
      <c r="A7380" s="1" t="s">
        <v>5649</v>
      </c>
      <c r="B7380" s="3" t="str">
        <f t="shared" si="1"/>
        <v>Unavailable</v>
      </c>
      <c r="C7380" s="3">
        <v>31.0</v>
      </c>
      <c r="D7380" s="3">
        <f>IFERROR(__xludf.DUMMYFUNCTION("IFERROR(
IF(REGEXMATCH(LOWER(O7380),""k""),
VALUE(REGEXEXTRACT(O7380,""[0-9]+""))*1000,
VALUE(REGEXEXTRACT(O7380,""[0-9]+""))
),
0
)"),0.0)</f>
        <v>0</v>
      </c>
      <c r="E7380" s="1" t="s">
        <v>11</v>
      </c>
      <c r="F7380" s="1" t="s">
        <v>20</v>
      </c>
      <c r="G7380" s="4" t="b">
        <f t="shared" si="2"/>
        <v>1</v>
      </c>
      <c r="H7380" s="1" t="str">
        <f t="shared" si="3"/>
        <v>Currently Unavailable</v>
      </c>
      <c r="I7380" s="1" t="str">
        <f t="shared" si="4"/>
        <v>No Badges</v>
      </c>
      <c r="J7380" s="3">
        <f t="shared" si="5"/>
        <v>0</v>
      </c>
    </row>
    <row r="7381">
      <c r="A7381" s="1" t="s">
        <v>5650</v>
      </c>
      <c r="B7381" s="3" t="str">
        <f t="shared" si="1"/>
        <v>Unavailable</v>
      </c>
      <c r="C7381" s="3">
        <v>578.0</v>
      </c>
      <c r="D7381" s="3">
        <f>IFERROR(__xludf.DUMMYFUNCTION("IFERROR(
IF(REGEXMATCH(LOWER(O7381),""k""),
VALUE(REGEXEXTRACT(O7381,""[0-9]+""))*1000,
VALUE(REGEXEXTRACT(O7381,""[0-9]+""))
),
0
)"),0.0)</f>
        <v>0</v>
      </c>
      <c r="E7381" s="1" t="s">
        <v>11</v>
      </c>
      <c r="F7381" s="1" t="s">
        <v>20</v>
      </c>
      <c r="G7381" s="4" t="b">
        <f t="shared" si="2"/>
        <v>1</v>
      </c>
      <c r="H7381" s="1" t="str">
        <f t="shared" si="3"/>
        <v>Currently Unavailable</v>
      </c>
      <c r="I7381" s="1" t="str">
        <f t="shared" si="4"/>
        <v>No Badges</v>
      </c>
      <c r="J7381" s="3">
        <f t="shared" si="5"/>
        <v>0</v>
      </c>
    </row>
    <row r="7382">
      <c r="A7382" s="1" t="s">
        <v>67</v>
      </c>
      <c r="B7382" s="3" t="str">
        <f t="shared" si="1"/>
        <v>Unavailable</v>
      </c>
      <c r="C7382" s="3">
        <v>264.0</v>
      </c>
      <c r="D7382" s="3">
        <f>IFERROR(__xludf.DUMMYFUNCTION("IFERROR(
IF(REGEXMATCH(LOWER(O7382),""k""),
VALUE(REGEXEXTRACT(O7382,""[0-9]+""))*1000,
VALUE(REGEXEXTRACT(O7382,""[0-9]+""))
),
0
)"),0.0)</f>
        <v>0</v>
      </c>
      <c r="E7382" s="1" t="s">
        <v>11</v>
      </c>
      <c r="F7382" s="1" t="s">
        <v>12</v>
      </c>
      <c r="G7382" s="4" t="b">
        <f t="shared" si="2"/>
        <v>1</v>
      </c>
      <c r="H7382" s="1" t="str">
        <f t="shared" si="3"/>
        <v>Currently Unavailable</v>
      </c>
      <c r="I7382" s="1" t="str">
        <f t="shared" si="4"/>
        <v>No Badges</v>
      </c>
      <c r="J7382" s="3">
        <f t="shared" si="5"/>
        <v>0</v>
      </c>
    </row>
    <row r="7383">
      <c r="A7383" s="1" t="s">
        <v>5651</v>
      </c>
      <c r="B7383" s="3" t="str">
        <f t="shared" si="1"/>
        <v>Unavailable</v>
      </c>
      <c r="C7383" s="3">
        <v>20.0</v>
      </c>
      <c r="D7383" s="3">
        <f>IFERROR(__xludf.DUMMYFUNCTION("IFERROR(
IF(REGEXMATCH(LOWER(O7383),""k""),
VALUE(REGEXEXTRACT(O7383,""[0-9]+""))*1000,
VALUE(REGEXEXTRACT(O7383,""[0-9]+""))
),
0
)"),0.0)</f>
        <v>0</v>
      </c>
      <c r="E7383" s="1" t="s">
        <v>11</v>
      </c>
      <c r="F7383" s="1" t="s">
        <v>20</v>
      </c>
      <c r="G7383" s="4" t="b">
        <f t="shared" si="2"/>
        <v>1</v>
      </c>
      <c r="H7383" s="1" t="str">
        <f t="shared" si="3"/>
        <v>Currently Unavailable</v>
      </c>
      <c r="I7383" s="1" t="str">
        <f t="shared" si="4"/>
        <v>No Badges</v>
      </c>
      <c r="J7383" s="3">
        <f t="shared" si="5"/>
        <v>0</v>
      </c>
    </row>
    <row r="7384">
      <c r="A7384" s="1" t="s">
        <v>5652</v>
      </c>
      <c r="B7384" s="3" t="str">
        <f t="shared" si="1"/>
        <v>Unavailable</v>
      </c>
      <c r="C7384" s="3">
        <v>131.0</v>
      </c>
      <c r="D7384" s="3">
        <f>IFERROR(__xludf.DUMMYFUNCTION("IFERROR(
IF(REGEXMATCH(LOWER(O7384),""k""),
VALUE(REGEXEXTRACT(O7384,""[0-9]+""))*1000,
VALUE(REGEXEXTRACT(O7384,""[0-9]+""))
),
0
)"),0.0)</f>
        <v>0</v>
      </c>
      <c r="E7384" s="1" t="s">
        <v>11</v>
      </c>
      <c r="F7384" s="1" t="s">
        <v>20</v>
      </c>
      <c r="G7384" s="4" t="b">
        <f t="shared" si="2"/>
        <v>1</v>
      </c>
      <c r="H7384" s="1" t="str">
        <f t="shared" si="3"/>
        <v>Currently Unavailable</v>
      </c>
      <c r="I7384" s="1" t="str">
        <f t="shared" si="4"/>
        <v>No Badges</v>
      </c>
      <c r="J7384" s="3">
        <f t="shared" si="5"/>
        <v>0</v>
      </c>
    </row>
    <row r="7385">
      <c r="A7385" s="1" t="s">
        <v>5653</v>
      </c>
      <c r="B7385" s="3" t="str">
        <f t="shared" si="1"/>
        <v>Unavailable</v>
      </c>
      <c r="C7385" s="3">
        <v>234.0</v>
      </c>
      <c r="D7385" s="3">
        <f>IFERROR(__xludf.DUMMYFUNCTION("IFERROR(
IF(REGEXMATCH(LOWER(O7385),""k""),
VALUE(REGEXEXTRACT(O7385,""[0-9]+""))*1000,
VALUE(REGEXEXTRACT(O7385,""[0-9]+""))
),
0
)"),0.0)</f>
        <v>0</v>
      </c>
      <c r="E7385" s="1" t="s">
        <v>11</v>
      </c>
      <c r="F7385" s="1" t="s">
        <v>20</v>
      </c>
      <c r="G7385" s="4" t="b">
        <f t="shared" si="2"/>
        <v>1</v>
      </c>
      <c r="H7385" s="1" t="str">
        <f t="shared" si="3"/>
        <v>Currently Unavailable</v>
      </c>
      <c r="I7385" s="1" t="str">
        <f t="shared" si="4"/>
        <v>No Badges</v>
      </c>
      <c r="J7385" s="3">
        <f t="shared" si="5"/>
        <v>0</v>
      </c>
    </row>
    <row r="7386">
      <c r="A7386" s="1" t="s">
        <v>5654</v>
      </c>
      <c r="B7386" s="3" t="str">
        <f t="shared" si="1"/>
        <v>Unavailable</v>
      </c>
      <c r="C7386" s="3">
        <v>187.0</v>
      </c>
      <c r="D7386" s="3">
        <f>IFERROR(__xludf.DUMMYFUNCTION("IFERROR(
IF(REGEXMATCH(LOWER(O7386),""k""),
VALUE(REGEXEXTRACT(O7386,""[0-9]+""))*1000,
VALUE(REGEXEXTRACT(O7386,""[0-9]+""))
),
0
)"),0.0)</f>
        <v>0</v>
      </c>
      <c r="E7386" s="1" t="s">
        <v>11</v>
      </c>
      <c r="F7386" s="1" t="s">
        <v>20</v>
      </c>
      <c r="G7386" s="4" t="b">
        <f t="shared" si="2"/>
        <v>1</v>
      </c>
      <c r="H7386" s="1" t="str">
        <f t="shared" si="3"/>
        <v>Currently Unavailable</v>
      </c>
      <c r="I7386" s="1" t="str">
        <f t="shared" si="4"/>
        <v>No Badges</v>
      </c>
      <c r="J7386" s="3">
        <f t="shared" si="5"/>
        <v>0</v>
      </c>
    </row>
    <row r="7387">
      <c r="A7387" s="1" t="s">
        <v>5655</v>
      </c>
      <c r="B7387" s="3" t="str">
        <f t="shared" si="1"/>
        <v>Unavailable</v>
      </c>
      <c r="C7387" s="3">
        <v>105.0</v>
      </c>
      <c r="D7387" s="3">
        <f>IFERROR(__xludf.DUMMYFUNCTION("IFERROR(
IF(REGEXMATCH(LOWER(O7387),""k""),
VALUE(REGEXEXTRACT(O7387,""[0-9]+""))*1000,
VALUE(REGEXEXTRACT(O7387,""[0-9]+""))
),
0
)"),0.0)</f>
        <v>0</v>
      </c>
      <c r="E7387" s="1" t="s">
        <v>11</v>
      </c>
      <c r="F7387" s="1" t="s">
        <v>20</v>
      </c>
      <c r="G7387" s="4" t="b">
        <f t="shared" si="2"/>
        <v>1</v>
      </c>
      <c r="H7387" s="1" t="str">
        <f t="shared" si="3"/>
        <v>Currently Unavailable</v>
      </c>
      <c r="I7387" s="1" t="str">
        <f t="shared" si="4"/>
        <v>No Badges</v>
      </c>
      <c r="J7387" s="3">
        <f t="shared" si="5"/>
        <v>0</v>
      </c>
    </row>
    <row r="7388">
      <c r="A7388" s="1" t="s">
        <v>5656</v>
      </c>
      <c r="B7388" s="3" t="str">
        <f t="shared" si="1"/>
        <v>Unavailable</v>
      </c>
      <c r="C7388" s="3">
        <v>205.0</v>
      </c>
      <c r="D7388" s="3">
        <f>IFERROR(__xludf.DUMMYFUNCTION("IFERROR(
IF(REGEXMATCH(LOWER(O7388),""k""),
VALUE(REGEXEXTRACT(O7388,""[0-9]+""))*1000,
VALUE(REGEXEXTRACT(O7388,""[0-9]+""))
),
0
)"),0.0)</f>
        <v>0</v>
      </c>
      <c r="E7388" s="1" t="s">
        <v>11</v>
      </c>
      <c r="F7388" s="1" t="s">
        <v>20</v>
      </c>
      <c r="G7388" s="4" t="b">
        <f t="shared" si="2"/>
        <v>1</v>
      </c>
      <c r="H7388" s="1" t="str">
        <f t="shared" si="3"/>
        <v>Currently Unavailable</v>
      </c>
      <c r="I7388" s="1" t="str">
        <f t="shared" si="4"/>
        <v>No Badges</v>
      </c>
      <c r="J7388" s="3">
        <f t="shared" si="5"/>
        <v>0</v>
      </c>
    </row>
    <row r="7389">
      <c r="A7389" s="1" t="s">
        <v>5657</v>
      </c>
      <c r="B7389" s="3" t="str">
        <f t="shared" si="1"/>
        <v>Unavailable</v>
      </c>
      <c r="C7389" s="5">
        <v>5459.0</v>
      </c>
      <c r="D7389" s="3">
        <f>IFERROR(__xludf.DUMMYFUNCTION("IFERROR(
IF(REGEXMATCH(LOWER(O7389),""k""),
VALUE(REGEXEXTRACT(O7389,""[0-9]+""))*1000,
VALUE(REGEXEXTRACT(O7389,""[0-9]+""))
),
0
)"),0.0)</f>
        <v>0</v>
      </c>
      <c r="E7389" s="1" t="s">
        <v>11</v>
      </c>
      <c r="F7389" s="1" t="s">
        <v>20</v>
      </c>
      <c r="G7389" s="4" t="b">
        <f t="shared" si="2"/>
        <v>1</v>
      </c>
      <c r="H7389" s="1" t="str">
        <f t="shared" si="3"/>
        <v>Currently Unavailable</v>
      </c>
      <c r="I7389" s="1" t="str">
        <f t="shared" si="4"/>
        <v>No Badges</v>
      </c>
      <c r="J7389" s="3">
        <f t="shared" si="5"/>
        <v>0</v>
      </c>
    </row>
    <row r="7390">
      <c r="A7390" s="1" t="s">
        <v>5658</v>
      </c>
      <c r="B7390" s="3" t="str">
        <f t="shared" si="1"/>
        <v>Unavailable</v>
      </c>
      <c r="C7390" s="3">
        <v>467.0</v>
      </c>
      <c r="D7390" s="3">
        <f>IFERROR(__xludf.DUMMYFUNCTION("IFERROR(
IF(REGEXMATCH(LOWER(O7390),""k""),
VALUE(REGEXEXTRACT(O7390,""[0-9]+""))*1000,
VALUE(REGEXEXTRACT(O7390,""[0-9]+""))
),
0
)"),0.0)</f>
        <v>0</v>
      </c>
      <c r="E7390" s="1" t="s">
        <v>11</v>
      </c>
      <c r="F7390" s="1" t="s">
        <v>20</v>
      </c>
      <c r="G7390" s="4" t="b">
        <f t="shared" si="2"/>
        <v>1</v>
      </c>
      <c r="H7390" s="1" t="str">
        <f t="shared" si="3"/>
        <v>Currently Unavailable</v>
      </c>
      <c r="I7390" s="1" t="str">
        <f t="shared" si="4"/>
        <v>No Badges</v>
      </c>
      <c r="J7390" s="3">
        <f t="shared" si="5"/>
        <v>0</v>
      </c>
    </row>
    <row r="7391">
      <c r="A7391" s="1" t="s">
        <v>5659</v>
      </c>
      <c r="B7391" s="3" t="str">
        <f t="shared" si="1"/>
        <v>Unavailable</v>
      </c>
      <c r="C7391" s="3">
        <v>19.0</v>
      </c>
      <c r="D7391" s="3">
        <f>IFERROR(__xludf.DUMMYFUNCTION("IFERROR(
IF(REGEXMATCH(LOWER(O7391),""k""),
VALUE(REGEXEXTRACT(O7391,""[0-9]+""))*1000,
VALUE(REGEXEXTRACT(O7391,""[0-9]+""))
),
0
)"),0.0)</f>
        <v>0</v>
      </c>
      <c r="E7391" s="1" t="s">
        <v>11</v>
      </c>
      <c r="F7391" s="1" t="s">
        <v>20</v>
      </c>
      <c r="G7391" s="4" t="b">
        <f t="shared" si="2"/>
        <v>1</v>
      </c>
      <c r="H7391" s="1" t="str">
        <f t="shared" si="3"/>
        <v>Currently Unavailable</v>
      </c>
      <c r="I7391" s="1" t="str">
        <f t="shared" si="4"/>
        <v>No Badges</v>
      </c>
      <c r="J7391" s="3">
        <f t="shared" si="5"/>
        <v>0</v>
      </c>
    </row>
    <row r="7392">
      <c r="A7392" s="1" t="s">
        <v>5660</v>
      </c>
      <c r="B7392" s="3" t="str">
        <f t="shared" si="1"/>
        <v>Unavailable</v>
      </c>
      <c r="C7392" s="3">
        <v>133.0</v>
      </c>
      <c r="D7392" s="3">
        <f>IFERROR(__xludf.DUMMYFUNCTION("IFERROR(
IF(REGEXMATCH(LOWER(O7392),""k""),
VALUE(REGEXEXTRACT(O7392,""[0-9]+""))*1000,
VALUE(REGEXEXTRACT(O7392,""[0-9]+""))
),
0
)"),0.0)</f>
        <v>0</v>
      </c>
      <c r="E7392" s="1" t="s">
        <v>11</v>
      </c>
      <c r="F7392" s="1" t="s">
        <v>20</v>
      </c>
      <c r="G7392" s="4" t="b">
        <f t="shared" si="2"/>
        <v>1</v>
      </c>
      <c r="H7392" s="1" t="str">
        <f t="shared" si="3"/>
        <v>Currently Unavailable</v>
      </c>
      <c r="I7392" s="1" t="str">
        <f t="shared" si="4"/>
        <v>No Badges</v>
      </c>
      <c r="J7392" s="3">
        <f t="shared" si="5"/>
        <v>0</v>
      </c>
    </row>
    <row r="7393">
      <c r="A7393" s="1" t="s">
        <v>5661</v>
      </c>
      <c r="B7393" s="3" t="str">
        <f t="shared" si="1"/>
        <v>Unavailable</v>
      </c>
      <c r="C7393" s="3">
        <v>96.0</v>
      </c>
      <c r="D7393" s="3">
        <f>IFERROR(__xludf.DUMMYFUNCTION("IFERROR(
IF(REGEXMATCH(LOWER(O7393),""k""),
VALUE(REGEXEXTRACT(O7393,""[0-9]+""))*1000,
VALUE(REGEXEXTRACT(O7393,""[0-9]+""))
),
0
)"),0.0)</f>
        <v>0</v>
      </c>
      <c r="E7393" s="1" t="s">
        <v>11</v>
      </c>
      <c r="F7393" s="1" t="s">
        <v>20</v>
      </c>
      <c r="G7393" s="4" t="b">
        <f t="shared" si="2"/>
        <v>1</v>
      </c>
      <c r="H7393" s="1" t="str">
        <f t="shared" si="3"/>
        <v>Currently Unavailable</v>
      </c>
      <c r="I7393" s="1" t="str">
        <f t="shared" si="4"/>
        <v>No Badges</v>
      </c>
      <c r="J7393" s="3">
        <f t="shared" si="5"/>
        <v>0</v>
      </c>
    </row>
    <row r="7394">
      <c r="A7394" s="1" t="s">
        <v>5662</v>
      </c>
      <c r="B7394" s="3" t="str">
        <f t="shared" si="1"/>
        <v>Unavailable</v>
      </c>
      <c r="C7394" s="3">
        <v>268.0</v>
      </c>
      <c r="D7394" s="3">
        <f>IFERROR(__xludf.DUMMYFUNCTION("IFERROR(
IF(REGEXMATCH(LOWER(O7394),""k""),
VALUE(REGEXEXTRACT(O7394,""[0-9]+""))*1000,
VALUE(REGEXEXTRACT(O7394,""[0-9]+""))
),
0
)"),0.0)</f>
        <v>0</v>
      </c>
      <c r="E7394" s="1" t="s">
        <v>11</v>
      </c>
      <c r="F7394" s="1" t="s">
        <v>20</v>
      </c>
      <c r="G7394" s="4" t="b">
        <f t="shared" si="2"/>
        <v>1</v>
      </c>
      <c r="H7394" s="1" t="str">
        <f t="shared" si="3"/>
        <v>Currently Unavailable</v>
      </c>
      <c r="I7394" s="1" t="str">
        <f t="shared" si="4"/>
        <v>No Badges</v>
      </c>
      <c r="J7394" s="3">
        <f t="shared" si="5"/>
        <v>0</v>
      </c>
    </row>
    <row r="7395">
      <c r="A7395" s="1" t="s">
        <v>5663</v>
      </c>
      <c r="B7395" s="3" t="str">
        <f t="shared" si="1"/>
        <v>Unavailable</v>
      </c>
      <c r="C7395" s="3">
        <v>574.0</v>
      </c>
      <c r="D7395" s="3">
        <f>IFERROR(__xludf.DUMMYFUNCTION("IFERROR(
IF(REGEXMATCH(LOWER(O7395),""k""),
VALUE(REGEXEXTRACT(O7395,""[0-9]+""))*1000,
VALUE(REGEXEXTRACT(O7395,""[0-9]+""))
),
0
)"),0.0)</f>
        <v>0</v>
      </c>
      <c r="E7395" s="1" t="s">
        <v>11</v>
      </c>
      <c r="F7395" s="1" t="s">
        <v>20</v>
      </c>
      <c r="G7395" s="4" t="b">
        <f t="shared" si="2"/>
        <v>1</v>
      </c>
      <c r="H7395" s="1" t="str">
        <f t="shared" si="3"/>
        <v>Currently Unavailable</v>
      </c>
      <c r="I7395" s="1" t="str">
        <f t="shared" si="4"/>
        <v>No Badges</v>
      </c>
      <c r="J7395" s="3">
        <f t="shared" si="5"/>
        <v>0</v>
      </c>
    </row>
    <row r="7396">
      <c r="A7396" s="1" t="s">
        <v>5664</v>
      </c>
      <c r="B7396" s="3" t="str">
        <f t="shared" si="1"/>
        <v>Unavailable</v>
      </c>
      <c r="C7396" s="3">
        <v>9.0</v>
      </c>
      <c r="D7396" s="3">
        <f>IFERROR(__xludf.DUMMYFUNCTION("IFERROR(
IF(REGEXMATCH(LOWER(O7396),""k""),
VALUE(REGEXEXTRACT(O7396,""[0-9]+""))*1000,
VALUE(REGEXEXTRACT(O7396,""[0-9]+""))
),
0
)"),0.0)</f>
        <v>0</v>
      </c>
      <c r="E7396" s="1" t="s">
        <v>11</v>
      </c>
      <c r="F7396" s="1" t="s">
        <v>20</v>
      </c>
      <c r="G7396" s="4" t="b">
        <f t="shared" si="2"/>
        <v>1</v>
      </c>
      <c r="H7396" s="1" t="str">
        <f t="shared" si="3"/>
        <v>Currently Unavailable</v>
      </c>
      <c r="I7396" s="1" t="str">
        <f t="shared" si="4"/>
        <v>No Badges</v>
      </c>
      <c r="J7396" s="3">
        <f t="shared" si="5"/>
        <v>0</v>
      </c>
    </row>
    <row r="7397">
      <c r="A7397" s="1" t="s">
        <v>701</v>
      </c>
      <c r="B7397" s="3" t="str">
        <f t="shared" si="1"/>
        <v>Unavailable</v>
      </c>
      <c r="C7397" s="3">
        <v>8.0</v>
      </c>
      <c r="D7397" s="3">
        <f>IFERROR(__xludf.DUMMYFUNCTION("IFERROR(
IF(REGEXMATCH(LOWER(O7397),""k""),
VALUE(REGEXEXTRACT(O7397,""[0-9]+""))*1000,
VALUE(REGEXEXTRACT(O7397,""[0-9]+""))
),
0
)"),0.0)</f>
        <v>0</v>
      </c>
      <c r="E7397" s="1" t="s">
        <v>11</v>
      </c>
      <c r="F7397" s="1" t="s">
        <v>12</v>
      </c>
      <c r="G7397" s="4" t="b">
        <f t="shared" si="2"/>
        <v>1</v>
      </c>
      <c r="H7397" s="1" t="str">
        <f t="shared" si="3"/>
        <v>Currently Unavailable</v>
      </c>
      <c r="I7397" s="1" t="str">
        <f t="shared" si="4"/>
        <v>No Badges</v>
      </c>
      <c r="J7397" s="3">
        <f t="shared" si="5"/>
        <v>0</v>
      </c>
    </row>
    <row r="7398">
      <c r="A7398" s="1" t="s">
        <v>5665</v>
      </c>
      <c r="B7398" s="3" t="str">
        <f t="shared" si="1"/>
        <v>Unavailable</v>
      </c>
      <c r="C7398" s="5">
        <v>1212.0</v>
      </c>
      <c r="D7398" s="3">
        <f>IFERROR(__xludf.DUMMYFUNCTION("IFERROR(
IF(REGEXMATCH(LOWER(O7398),""k""),
VALUE(REGEXEXTRACT(O7398,""[0-9]+""))*1000,
VALUE(REGEXEXTRACT(O7398,""[0-9]+""))
),
0
)"),0.0)</f>
        <v>0</v>
      </c>
      <c r="E7398" s="1" t="s">
        <v>11</v>
      </c>
      <c r="F7398" s="1" t="s">
        <v>20</v>
      </c>
      <c r="G7398" s="4" t="b">
        <f t="shared" si="2"/>
        <v>1</v>
      </c>
      <c r="H7398" s="1" t="str">
        <f t="shared" si="3"/>
        <v>Currently Unavailable</v>
      </c>
      <c r="I7398" s="1" t="str">
        <f t="shared" si="4"/>
        <v>No Badges</v>
      </c>
      <c r="J7398" s="3">
        <f t="shared" si="5"/>
        <v>0</v>
      </c>
    </row>
    <row r="7399">
      <c r="A7399" s="1" t="s">
        <v>88</v>
      </c>
      <c r="B7399" s="3" t="str">
        <f t="shared" si="1"/>
        <v>Unavailable</v>
      </c>
      <c r="C7399" s="3">
        <v>5.0</v>
      </c>
      <c r="D7399" s="3">
        <f>IFERROR(__xludf.DUMMYFUNCTION("IFERROR(
IF(REGEXMATCH(LOWER(O7399),""k""),
VALUE(REGEXEXTRACT(O7399,""[0-9]+""))*1000,
VALUE(REGEXEXTRACT(O7399,""[0-9]+""))
),
0
)"),0.0)</f>
        <v>0</v>
      </c>
      <c r="E7399" s="1" t="s">
        <v>11</v>
      </c>
      <c r="F7399" s="1" t="s">
        <v>12</v>
      </c>
      <c r="G7399" s="4" t="b">
        <f t="shared" si="2"/>
        <v>1</v>
      </c>
      <c r="H7399" s="1" t="str">
        <f t="shared" si="3"/>
        <v>Currently Unavailable</v>
      </c>
      <c r="I7399" s="1" t="str">
        <f t="shared" si="4"/>
        <v>No Badges</v>
      </c>
      <c r="J7399" s="3">
        <f t="shared" si="5"/>
        <v>0</v>
      </c>
    </row>
    <row r="7400">
      <c r="A7400" s="1" t="s">
        <v>5666</v>
      </c>
      <c r="B7400" s="3" t="str">
        <f t="shared" si="1"/>
        <v>Unavailable</v>
      </c>
      <c r="C7400" s="3">
        <v>647.0</v>
      </c>
      <c r="D7400" s="3">
        <f>IFERROR(__xludf.DUMMYFUNCTION("IFERROR(
IF(REGEXMATCH(LOWER(O7400),""k""),
VALUE(REGEXEXTRACT(O7400,""[0-9]+""))*1000,
VALUE(REGEXEXTRACT(O7400,""[0-9]+""))
),
0
)"),0.0)</f>
        <v>0</v>
      </c>
      <c r="E7400" s="1" t="s">
        <v>11</v>
      </c>
      <c r="F7400" s="1" t="s">
        <v>20</v>
      </c>
      <c r="G7400" s="4" t="b">
        <f t="shared" si="2"/>
        <v>1</v>
      </c>
      <c r="H7400" s="1" t="str">
        <f t="shared" si="3"/>
        <v>Currently Unavailable</v>
      </c>
      <c r="I7400" s="1" t="str">
        <f t="shared" si="4"/>
        <v>No Badges</v>
      </c>
      <c r="J7400" s="3">
        <f t="shared" si="5"/>
        <v>0</v>
      </c>
    </row>
    <row r="7401">
      <c r="A7401" s="1" t="s">
        <v>5667</v>
      </c>
      <c r="B7401" s="3" t="str">
        <f t="shared" si="1"/>
        <v>Unavailable</v>
      </c>
      <c r="C7401" s="3">
        <v>279.0</v>
      </c>
      <c r="D7401" s="3">
        <f>IFERROR(__xludf.DUMMYFUNCTION("IFERROR(
IF(REGEXMATCH(LOWER(O7401),""k""),
VALUE(REGEXEXTRACT(O7401,""[0-9]+""))*1000,
VALUE(REGEXEXTRACT(O7401,""[0-9]+""))
),
0
)"),0.0)</f>
        <v>0</v>
      </c>
      <c r="E7401" s="1" t="s">
        <v>11</v>
      </c>
      <c r="F7401" s="1" t="s">
        <v>20</v>
      </c>
      <c r="G7401" s="4" t="b">
        <f t="shared" si="2"/>
        <v>1</v>
      </c>
      <c r="H7401" s="1" t="str">
        <f t="shared" si="3"/>
        <v>Currently Unavailable</v>
      </c>
      <c r="I7401" s="1" t="str">
        <f t="shared" si="4"/>
        <v>No Badges</v>
      </c>
      <c r="J7401" s="3">
        <f t="shared" si="5"/>
        <v>0</v>
      </c>
    </row>
    <row r="7402">
      <c r="A7402" s="1" t="s">
        <v>69</v>
      </c>
      <c r="B7402" s="3" t="str">
        <f t="shared" si="1"/>
        <v>Unavailable</v>
      </c>
      <c r="C7402" s="3">
        <v>45.0</v>
      </c>
      <c r="D7402" s="3">
        <f>IFERROR(__xludf.DUMMYFUNCTION("IFERROR(
IF(REGEXMATCH(LOWER(O7402),""k""),
VALUE(REGEXEXTRACT(O7402,""[0-9]+""))*1000,
VALUE(REGEXEXTRACT(O7402,""[0-9]+""))
),
0
)"),0.0)</f>
        <v>0</v>
      </c>
      <c r="E7402" s="1" t="s">
        <v>11</v>
      </c>
      <c r="F7402" s="1" t="s">
        <v>12</v>
      </c>
      <c r="G7402" s="4" t="b">
        <f t="shared" si="2"/>
        <v>1</v>
      </c>
      <c r="H7402" s="1" t="str">
        <f t="shared" si="3"/>
        <v>Currently Unavailable</v>
      </c>
      <c r="I7402" s="1" t="str">
        <f t="shared" si="4"/>
        <v>No Badges</v>
      </c>
      <c r="J7402" s="3">
        <f t="shared" si="5"/>
        <v>0</v>
      </c>
    </row>
    <row r="7403">
      <c r="A7403" s="1" t="s">
        <v>5668</v>
      </c>
      <c r="B7403" s="3" t="str">
        <f t="shared" si="1"/>
        <v>Unavailable</v>
      </c>
      <c r="C7403" s="3">
        <v>24.0</v>
      </c>
      <c r="D7403" s="3">
        <f>IFERROR(__xludf.DUMMYFUNCTION("IFERROR(
IF(REGEXMATCH(LOWER(O7403),""k""),
VALUE(REGEXEXTRACT(O7403,""[0-9]+""))*1000,
VALUE(REGEXEXTRACT(O7403,""[0-9]+""))
),
0
)"),0.0)</f>
        <v>0</v>
      </c>
      <c r="E7403" s="1" t="s">
        <v>11</v>
      </c>
      <c r="F7403" s="1" t="s">
        <v>20</v>
      </c>
      <c r="G7403" s="4" t="b">
        <f t="shared" si="2"/>
        <v>1</v>
      </c>
      <c r="H7403" s="1" t="str">
        <f t="shared" si="3"/>
        <v>Currently Unavailable</v>
      </c>
      <c r="I7403" s="1" t="str">
        <f t="shared" si="4"/>
        <v>No Badges</v>
      </c>
      <c r="J7403" s="3">
        <f t="shared" si="5"/>
        <v>0</v>
      </c>
    </row>
    <row r="7404">
      <c r="A7404" s="1" t="s">
        <v>5669</v>
      </c>
      <c r="B7404" s="3" t="str">
        <f t="shared" si="1"/>
        <v>Unavailable</v>
      </c>
      <c r="C7404" s="3">
        <v>41.0</v>
      </c>
      <c r="D7404" s="3">
        <f>IFERROR(__xludf.DUMMYFUNCTION("IFERROR(
IF(REGEXMATCH(LOWER(O7404),""k""),
VALUE(REGEXEXTRACT(O7404,""[0-9]+""))*1000,
VALUE(REGEXEXTRACT(O7404,""[0-9]+""))
),
0
)"),0.0)</f>
        <v>0</v>
      </c>
      <c r="E7404" s="1" t="s">
        <v>11</v>
      </c>
      <c r="F7404" s="1" t="s">
        <v>20</v>
      </c>
      <c r="G7404" s="4" t="b">
        <f t="shared" si="2"/>
        <v>1</v>
      </c>
      <c r="H7404" s="1" t="str">
        <f t="shared" si="3"/>
        <v>Currently Unavailable</v>
      </c>
      <c r="I7404" s="1" t="str">
        <f t="shared" si="4"/>
        <v>No Badges</v>
      </c>
      <c r="J7404" s="3">
        <f t="shared" si="5"/>
        <v>0</v>
      </c>
    </row>
    <row r="7405">
      <c r="A7405" s="1" t="s">
        <v>5670</v>
      </c>
      <c r="B7405" s="3" t="str">
        <f t="shared" si="1"/>
        <v>Unavailable</v>
      </c>
      <c r="C7405" s="3">
        <v>786.0</v>
      </c>
      <c r="D7405" s="3">
        <f>IFERROR(__xludf.DUMMYFUNCTION("IFERROR(
IF(REGEXMATCH(LOWER(O7405),""k""),
VALUE(REGEXEXTRACT(O7405,""[0-9]+""))*1000,
VALUE(REGEXEXTRACT(O7405,""[0-9]+""))
),
0
)"),0.0)</f>
        <v>0</v>
      </c>
      <c r="E7405" s="1" t="s">
        <v>11</v>
      </c>
      <c r="F7405" s="1" t="s">
        <v>20</v>
      </c>
      <c r="G7405" s="4" t="b">
        <f t="shared" si="2"/>
        <v>1</v>
      </c>
      <c r="H7405" s="1" t="str">
        <f t="shared" si="3"/>
        <v>Currently Unavailable</v>
      </c>
      <c r="I7405" s="1" t="str">
        <f t="shared" si="4"/>
        <v>No Badges</v>
      </c>
      <c r="J7405" s="3">
        <f t="shared" si="5"/>
        <v>0</v>
      </c>
    </row>
    <row r="7406">
      <c r="A7406" s="1" t="s">
        <v>5671</v>
      </c>
      <c r="B7406" s="3" t="str">
        <f t="shared" si="1"/>
        <v>Unavailable</v>
      </c>
      <c r="C7406" s="3">
        <v>82.0</v>
      </c>
      <c r="D7406" s="3">
        <f>IFERROR(__xludf.DUMMYFUNCTION("IFERROR(
IF(REGEXMATCH(LOWER(O7406),""k""),
VALUE(REGEXEXTRACT(O7406,""[0-9]+""))*1000,
VALUE(REGEXEXTRACT(O7406,""[0-9]+""))
),
0
)"),0.0)</f>
        <v>0</v>
      </c>
      <c r="E7406" s="1" t="s">
        <v>11</v>
      </c>
      <c r="F7406" s="1" t="s">
        <v>20</v>
      </c>
      <c r="G7406" s="4" t="b">
        <f t="shared" si="2"/>
        <v>1</v>
      </c>
      <c r="H7406" s="1" t="str">
        <f t="shared" si="3"/>
        <v>Currently Unavailable</v>
      </c>
      <c r="I7406" s="1" t="str">
        <f t="shared" si="4"/>
        <v>No Badges</v>
      </c>
      <c r="J7406" s="3">
        <f t="shared" si="5"/>
        <v>0</v>
      </c>
    </row>
    <row r="7407">
      <c r="A7407" s="1" t="s">
        <v>5672</v>
      </c>
      <c r="B7407" s="3" t="str">
        <f t="shared" si="1"/>
        <v>Unavailable</v>
      </c>
      <c r="C7407" s="3">
        <v>6.0</v>
      </c>
      <c r="D7407" s="3">
        <f>IFERROR(__xludf.DUMMYFUNCTION("IFERROR(
IF(REGEXMATCH(LOWER(O7407),""k""),
VALUE(REGEXEXTRACT(O7407,""[0-9]+""))*1000,
VALUE(REGEXEXTRACT(O7407,""[0-9]+""))
),
0
)"),0.0)</f>
        <v>0</v>
      </c>
      <c r="E7407" s="1" t="s">
        <v>11</v>
      </c>
      <c r="F7407" s="1" t="s">
        <v>20</v>
      </c>
      <c r="G7407" s="4" t="b">
        <f t="shared" si="2"/>
        <v>1</v>
      </c>
      <c r="H7407" s="1" t="str">
        <f t="shared" si="3"/>
        <v>Currently Unavailable</v>
      </c>
      <c r="I7407" s="1" t="str">
        <f t="shared" si="4"/>
        <v>No Badges</v>
      </c>
      <c r="J7407" s="3">
        <f t="shared" si="5"/>
        <v>0</v>
      </c>
    </row>
    <row r="7408">
      <c r="A7408" s="1" t="s">
        <v>5673</v>
      </c>
      <c r="B7408" s="3" t="str">
        <f t="shared" si="1"/>
        <v>Unavailable</v>
      </c>
      <c r="C7408" s="3">
        <v>17.0</v>
      </c>
      <c r="D7408" s="3">
        <f>IFERROR(__xludf.DUMMYFUNCTION("IFERROR(
IF(REGEXMATCH(LOWER(O7408),""k""),
VALUE(REGEXEXTRACT(O7408,""[0-9]+""))*1000,
VALUE(REGEXEXTRACT(O7408,""[0-9]+""))
),
0
)"),0.0)</f>
        <v>0</v>
      </c>
      <c r="E7408" s="1" t="s">
        <v>11</v>
      </c>
      <c r="F7408" s="1" t="s">
        <v>20</v>
      </c>
      <c r="G7408" s="4" t="b">
        <f t="shared" si="2"/>
        <v>1</v>
      </c>
      <c r="H7408" s="1" t="str">
        <f t="shared" si="3"/>
        <v>Currently Unavailable</v>
      </c>
      <c r="I7408" s="1" t="str">
        <f t="shared" si="4"/>
        <v>No Badges</v>
      </c>
      <c r="J7408" s="3">
        <f t="shared" si="5"/>
        <v>0</v>
      </c>
    </row>
    <row r="7409">
      <c r="A7409" s="1" t="s">
        <v>5615</v>
      </c>
      <c r="B7409" s="3" t="str">
        <f t="shared" si="1"/>
        <v>Unavailable</v>
      </c>
      <c r="C7409" s="3">
        <v>43.0</v>
      </c>
      <c r="D7409" s="3">
        <f>IFERROR(__xludf.DUMMYFUNCTION("IFERROR(
IF(REGEXMATCH(LOWER(O7409),""k""),
VALUE(REGEXEXTRACT(O7409,""[0-9]+""))*1000,
VALUE(REGEXEXTRACT(O7409,""[0-9]+""))
),
0
)"),0.0)</f>
        <v>0</v>
      </c>
      <c r="E7409" s="1" t="s">
        <v>11</v>
      </c>
      <c r="F7409" s="1" t="s">
        <v>20</v>
      </c>
      <c r="G7409" s="4" t="b">
        <f t="shared" si="2"/>
        <v>1</v>
      </c>
      <c r="H7409" s="1" t="str">
        <f t="shared" si="3"/>
        <v>Currently Unavailable</v>
      </c>
      <c r="I7409" s="1" t="str">
        <f t="shared" si="4"/>
        <v>No Badges</v>
      </c>
      <c r="J7409" s="3">
        <f t="shared" si="5"/>
        <v>0</v>
      </c>
    </row>
    <row r="7410">
      <c r="A7410" s="1" t="s">
        <v>5674</v>
      </c>
      <c r="B7410" s="3" t="str">
        <f t="shared" si="1"/>
        <v>Unavailable</v>
      </c>
      <c r="C7410" s="5">
        <v>1292.0</v>
      </c>
      <c r="D7410" s="3">
        <f>IFERROR(__xludf.DUMMYFUNCTION("IFERROR(
IF(REGEXMATCH(LOWER(O7410),""k""),
VALUE(REGEXEXTRACT(O7410,""[0-9]+""))*1000,
VALUE(REGEXEXTRACT(O7410,""[0-9]+""))
),
0
)"),0.0)</f>
        <v>0</v>
      </c>
      <c r="E7410" s="1" t="s">
        <v>11</v>
      </c>
      <c r="F7410" s="1" t="s">
        <v>20</v>
      </c>
      <c r="G7410" s="4" t="b">
        <f t="shared" si="2"/>
        <v>1</v>
      </c>
      <c r="H7410" s="1" t="str">
        <f t="shared" si="3"/>
        <v>Currently Unavailable</v>
      </c>
      <c r="I7410" s="1" t="str">
        <f t="shared" si="4"/>
        <v>No Badges</v>
      </c>
      <c r="J7410" s="3">
        <f t="shared" si="5"/>
        <v>0</v>
      </c>
    </row>
    <row r="7411">
      <c r="A7411" s="1" t="s">
        <v>5675</v>
      </c>
      <c r="B7411" s="3" t="str">
        <f t="shared" si="1"/>
        <v>Unavailable</v>
      </c>
      <c r="C7411" s="3">
        <v>5.0</v>
      </c>
      <c r="D7411" s="3">
        <f>IFERROR(__xludf.DUMMYFUNCTION("IFERROR(
IF(REGEXMATCH(LOWER(O7411),""k""),
VALUE(REGEXEXTRACT(O7411,""[0-9]+""))*1000,
VALUE(REGEXEXTRACT(O7411,""[0-9]+""))
),
0
)"),0.0)</f>
        <v>0</v>
      </c>
      <c r="E7411" s="1" t="s">
        <v>11</v>
      </c>
      <c r="F7411" s="1" t="s">
        <v>20</v>
      </c>
      <c r="G7411" s="4" t="b">
        <f t="shared" si="2"/>
        <v>1</v>
      </c>
      <c r="H7411" s="1" t="str">
        <f t="shared" si="3"/>
        <v>Currently Unavailable</v>
      </c>
      <c r="I7411" s="1" t="str">
        <f t="shared" si="4"/>
        <v>No Badges</v>
      </c>
      <c r="J7411" s="3">
        <f t="shared" si="5"/>
        <v>0</v>
      </c>
    </row>
    <row r="7412">
      <c r="A7412" s="1" t="s">
        <v>5676</v>
      </c>
      <c r="B7412" s="3" t="str">
        <f t="shared" si="1"/>
        <v>Unavailable</v>
      </c>
      <c r="C7412" s="5">
        <v>2121.0</v>
      </c>
      <c r="D7412" s="3">
        <f>IFERROR(__xludf.DUMMYFUNCTION("IFERROR(
IF(REGEXMATCH(LOWER(O7412),""k""),
VALUE(REGEXEXTRACT(O7412,""[0-9]+""))*1000,
VALUE(REGEXEXTRACT(O7412,""[0-9]+""))
),
0
)"),0.0)</f>
        <v>0</v>
      </c>
      <c r="E7412" s="1" t="s">
        <v>11</v>
      </c>
      <c r="F7412" s="1" t="s">
        <v>20</v>
      </c>
      <c r="G7412" s="4" t="b">
        <f t="shared" si="2"/>
        <v>1</v>
      </c>
      <c r="H7412" s="1" t="str">
        <f t="shared" si="3"/>
        <v>Currently Unavailable</v>
      </c>
      <c r="I7412" s="1" t="str">
        <f t="shared" si="4"/>
        <v>No Badges</v>
      </c>
      <c r="J7412" s="3">
        <f t="shared" si="5"/>
        <v>0</v>
      </c>
    </row>
    <row r="7413">
      <c r="A7413" s="1" t="s">
        <v>5677</v>
      </c>
      <c r="B7413" s="3" t="str">
        <f t="shared" si="1"/>
        <v>Unavailable</v>
      </c>
      <c r="C7413" s="5">
        <v>1315.0</v>
      </c>
      <c r="D7413" s="3">
        <f>IFERROR(__xludf.DUMMYFUNCTION("IFERROR(
IF(REGEXMATCH(LOWER(O7413),""k""),
VALUE(REGEXEXTRACT(O7413,""[0-9]+""))*1000,
VALUE(REGEXEXTRACT(O7413,""[0-9]+""))
),
0
)"),0.0)</f>
        <v>0</v>
      </c>
      <c r="E7413" s="1" t="s">
        <v>11</v>
      </c>
      <c r="F7413" s="1" t="s">
        <v>20</v>
      </c>
      <c r="G7413" s="4" t="b">
        <f t="shared" si="2"/>
        <v>1</v>
      </c>
      <c r="H7413" s="1" t="str">
        <f t="shared" si="3"/>
        <v>Currently Unavailable</v>
      </c>
      <c r="I7413" s="1" t="str">
        <f t="shared" si="4"/>
        <v>No Badges</v>
      </c>
      <c r="J7413" s="3">
        <f t="shared" si="5"/>
        <v>0</v>
      </c>
    </row>
    <row r="7414">
      <c r="A7414" s="1" t="s">
        <v>5678</v>
      </c>
      <c r="B7414" s="3" t="str">
        <f t="shared" si="1"/>
        <v>Unavailable</v>
      </c>
      <c r="C7414" s="3">
        <v>12.0</v>
      </c>
      <c r="D7414" s="3">
        <f>IFERROR(__xludf.DUMMYFUNCTION("IFERROR(
IF(REGEXMATCH(LOWER(O7414),""k""),
VALUE(REGEXEXTRACT(O7414,""[0-9]+""))*1000,
VALUE(REGEXEXTRACT(O7414,""[0-9]+""))
),
0
)"),0.0)</f>
        <v>0</v>
      </c>
      <c r="E7414" s="1" t="s">
        <v>11</v>
      </c>
      <c r="F7414" s="1" t="s">
        <v>20</v>
      </c>
      <c r="G7414" s="4" t="b">
        <f t="shared" si="2"/>
        <v>1</v>
      </c>
      <c r="H7414" s="1" t="str">
        <f t="shared" si="3"/>
        <v>Currently Unavailable</v>
      </c>
      <c r="I7414" s="1" t="str">
        <f t="shared" si="4"/>
        <v>No Badges</v>
      </c>
      <c r="J7414" s="3">
        <f t="shared" si="5"/>
        <v>0</v>
      </c>
    </row>
    <row r="7415">
      <c r="A7415" s="1" t="s">
        <v>67</v>
      </c>
      <c r="B7415" s="3" t="str">
        <f t="shared" si="1"/>
        <v>Unavailable</v>
      </c>
      <c r="C7415" s="3">
        <v>264.0</v>
      </c>
      <c r="D7415" s="3">
        <f>IFERROR(__xludf.DUMMYFUNCTION("IFERROR(
IF(REGEXMATCH(LOWER(O7415),""k""),
VALUE(REGEXEXTRACT(O7415,""[0-9]+""))*1000,
VALUE(REGEXEXTRACT(O7415,""[0-9]+""))
),
0
)"),0.0)</f>
        <v>0</v>
      </c>
      <c r="E7415" s="1" t="s">
        <v>11</v>
      </c>
      <c r="F7415" s="1" t="s">
        <v>12</v>
      </c>
      <c r="G7415" s="4" t="b">
        <f t="shared" si="2"/>
        <v>1</v>
      </c>
      <c r="H7415" s="1" t="str">
        <f t="shared" si="3"/>
        <v>Currently Unavailable</v>
      </c>
      <c r="I7415" s="1" t="str">
        <f t="shared" si="4"/>
        <v>No Badges</v>
      </c>
      <c r="J7415" s="3">
        <f t="shared" si="5"/>
        <v>0</v>
      </c>
    </row>
    <row r="7416">
      <c r="A7416" s="1" t="s">
        <v>5679</v>
      </c>
      <c r="B7416" s="3" t="str">
        <f t="shared" si="1"/>
        <v>Unavailable</v>
      </c>
      <c r="C7416" s="3">
        <v>128.0</v>
      </c>
      <c r="D7416" s="3">
        <f>IFERROR(__xludf.DUMMYFUNCTION("IFERROR(
IF(REGEXMATCH(LOWER(O7416),""k""),
VALUE(REGEXEXTRACT(O7416,""[0-9]+""))*1000,
VALUE(REGEXEXTRACT(O7416,""[0-9]+""))
),
0
)"),0.0)</f>
        <v>0</v>
      </c>
      <c r="E7416" s="1" t="s">
        <v>11</v>
      </c>
      <c r="F7416" s="1" t="s">
        <v>20</v>
      </c>
      <c r="G7416" s="4" t="b">
        <f t="shared" si="2"/>
        <v>1</v>
      </c>
      <c r="H7416" s="1" t="str">
        <f t="shared" si="3"/>
        <v>Currently Unavailable</v>
      </c>
      <c r="I7416" s="1" t="str">
        <f t="shared" si="4"/>
        <v>No Badges</v>
      </c>
      <c r="J7416" s="3">
        <f t="shared" si="5"/>
        <v>0</v>
      </c>
    </row>
    <row r="7417">
      <c r="A7417" s="1" t="s">
        <v>701</v>
      </c>
      <c r="B7417" s="3" t="str">
        <f t="shared" si="1"/>
        <v>Unavailable</v>
      </c>
      <c r="C7417" s="3">
        <v>8.0</v>
      </c>
      <c r="D7417" s="3">
        <f>IFERROR(__xludf.DUMMYFUNCTION("IFERROR(
IF(REGEXMATCH(LOWER(O7417),""k""),
VALUE(REGEXEXTRACT(O7417,""[0-9]+""))*1000,
VALUE(REGEXEXTRACT(O7417,""[0-9]+""))
),
0
)"),0.0)</f>
        <v>0</v>
      </c>
      <c r="E7417" s="1" t="s">
        <v>11</v>
      </c>
      <c r="F7417" s="1" t="s">
        <v>12</v>
      </c>
      <c r="G7417" s="4" t="b">
        <f t="shared" si="2"/>
        <v>1</v>
      </c>
      <c r="H7417" s="1" t="str">
        <f t="shared" si="3"/>
        <v>Currently Unavailable</v>
      </c>
      <c r="I7417" s="1" t="str">
        <f t="shared" si="4"/>
        <v>No Badges</v>
      </c>
      <c r="J7417" s="3">
        <f t="shared" si="5"/>
        <v>0</v>
      </c>
    </row>
    <row r="7418">
      <c r="A7418" s="1" t="s">
        <v>5680</v>
      </c>
      <c r="B7418" s="3" t="str">
        <f t="shared" si="1"/>
        <v>Unavailable</v>
      </c>
      <c r="C7418" s="3">
        <v>268.0</v>
      </c>
      <c r="D7418" s="3">
        <f>IFERROR(__xludf.DUMMYFUNCTION("IFERROR(
IF(REGEXMATCH(LOWER(O7418),""k""),
VALUE(REGEXEXTRACT(O7418,""[0-9]+""))*1000,
VALUE(REGEXEXTRACT(O7418,""[0-9]+""))
),
0
)"),0.0)</f>
        <v>0</v>
      </c>
      <c r="E7418" s="1" t="s">
        <v>11</v>
      </c>
      <c r="F7418" s="1" t="s">
        <v>20</v>
      </c>
      <c r="G7418" s="4" t="b">
        <f t="shared" si="2"/>
        <v>1</v>
      </c>
      <c r="H7418" s="1" t="str">
        <f t="shared" si="3"/>
        <v>Currently Unavailable</v>
      </c>
      <c r="I7418" s="1" t="str">
        <f t="shared" si="4"/>
        <v>No Badges</v>
      </c>
      <c r="J7418" s="3">
        <f t="shared" si="5"/>
        <v>0</v>
      </c>
    </row>
    <row r="7419">
      <c r="A7419" s="1" t="s">
        <v>5681</v>
      </c>
      <c r="B7419" s="3" t="str">
        <f t="shared" si="1"/>
        <v>Unavailable</v>
      </c>
      <c r="C7419" s="3">
        <v>32.0</v>
      </c>
      <c r="D7419" s="3">
        <f>IFERROR(__xludf.DUMMYFUNCTION("IFERROR(
IF(REGEXMATCH(LOWER(O7419),""k""),
VALUE(REGEXEXTRACT(O7419,""[0-9]+""))*1000,
VALUE(REGEXEXTRACT(O7419,""[0-9]+""))
),
0
)"),0.0)</f>
        <v>0</v>
      </c>
      <c r="E7419" s="1" t="s">
        <v>11</v>
      </c>
      <c r="F7419" s="1" t="s">
        <v>20</v>
      </c>
      <c r="G7419" s="4" t="b">
        <f t="shared" si="2"/>
        <v>1</v>
      </c>
      <c r="H7419" s="1" t="str">
        <f t="shared" si="3"/>
        <v>Currently Unavailable</v>
      </c>
      <c r="I7419" s="1" t="str">
        <f t="shared" si="4"/>
        <v>No Badges</v>
      </c>
      <c r="J7419" s="3">
        <f t="shared" si="5"/>
        <v>0</v>
      </c>
    </row>
    <row r="7420">
      <c r="A7420" s="1" t="s">
        <v>5682</v>
      </c>
      <c r="B7420" s="3" t="str">
        <f t="shared" si="1"/>
        <v>Unavailable</v>
      </c>
      <c r="C7420" s="3">
        <v>513.0</v>
      </c>
      <c r="D7420" s="3">
        <f>IFERROR(__xludf.DUMMYFUNCTION("IFERROR(
IF(REGEXMATCH(LOWER(O7420),""k""),
VALUE(REGEXEXTRACT(O7420,""[0-9]+""))*1000,
VALUE(REGEXEXTRACT(O7420,""[0-9]+""))
),
0
)"),0.0)</f>
        <v>0</v>
      </c>
      <c r="E7420" s="1" t="s">
        <v>11</v>
      </c>
      <c r="F7420" s="1" t="s">
        <v>20</v>
      </c>
      <c r="G7420" s="4" t="b">
        <f t="shared" si="2"/>
        <v>1</v>
      </c>
      <c r="H7420" s="1" t="str">
        <f t="shared" si="3"/>
        <v>Currently Unavailable</v>
      </c>
      <c r="I7420" s="1" t="str">
        <f t="shared" si="4"/>
        <v>No Badges</v>
      </c>
      <c r="J7420" s="3">
        <f t="shared" si="5"/>
        <v>0</v>
      </c>
    </row>
    <row r="7421">
      <c r="A7421" s="1" t="s">
        <v>5683</v>
      </c>
      <c r="B7421" s="3" t="str">
        <f t="shared" si="1"/>
        <v>Unavailable</v>
      </c>
      <c r="C7421" s="3">
        <v>20.0</v>
      </c>
      <c r="D7421" s="3">
        <f>IFERROR(__xludf.DUMMYFUNCTION("IFERROR(
IF(REGEXMATCH(LOWER(O7421),""k""),
VALUE(REGEXEXTRACT(O7421,""[0-9]+""))*1000,
VALUE(REGEXEXTRACT(O7421,""[0-9]+""))
),
0
)"),0.0)</f>
        <v>0</v>
      </c>
      <c r="E7421" s="1" t="s">
        <v>11</v>
      </c>
      <c r="F7421" s="1" t="s">
        <v>20</v>
      </c>
      <c r="G7421" s="4" t="b">
        <f t="shared" si="2"/>
        <v>1</v>
      </c>
      <c r="H7421" s="1" t="str">
        <f t="shared" si="3"/>
        <v>Currently Unavailable</v>
      </c>
      <c r="I7421" s="1" t="str">
        <f t="shared" si="4"/>
        <v>No Badges</v>
      </c>
      <c r="J7421" s="3">
        <f t="shared" si="5"/>
        <v>0</v>
      </c>
    </row>
    <row r="7422">
      <c r="A7422" s="1" t="s">
        <v>5621</v>
      </c>
      <c r="B7422" s="3" t="str">
        <f t="shared" si="1"/>
        <v>Unavailable</v>
      </c>
      <c r="C7422" s="3">
        <v>166.0</v>
      </c>
      <c r="D7422" s="3">
        <f>IFERROR(__xludf.DUMMYFUNCTION("IFERROR(
IF(REGEXMATCH(LOWER(O7422),""k""),
VALUE(REGEXEXTRACT(O7422,""[0-9]+""))*1000,
VALUE(REGEXEXTRACT(O7422,""[0-9]+""))
),
0
)"),0.0)</f>
        <v>0</v>
      </c>
      <c r="E7422" s="1" t="s">
        <v>11</v>
      </c>
      <c r="F7422" s="1" t="s">
        <v>20</v>
      </c>
      <c r="G7422" s="4" t="b">
        <f t="shared" si="2"/>
        <v>1</v>
      </c>
      <c r="H7422" s="1" t="str">
        <f t="shared" si="3"/>
        <v>Currently Unavailable</v>
      </c>
      <c r="I7422" s="1" t="str">
        <f t="shared" si="4"/>
        <v>No Badges</v>
      </c>
      <c r="J7422" s="3">
        <f t="shared" si="5"/>
        <v>0</v>
      </c>
    </row>
    <row r="7423">
      <c r="A7423" s="1" t="s">
        <v>5623</v>
      </c>
      <c r="B7423" s="3" t="str">
        <f t="shared" si="1"/>
        <v>Unavailable</v>
      </c>
      <c r="C7423" s="5">
        <v>1591.0</v>
      </c>
      <c r="D7423" s="3">
        <f>IFERROR(__xludf.DUMMYFUNCTION("IFERROR(
IF(REGEXMATCH(LOWER(O7423),""k""),
VALUE(REGEXEXTRACT(O7423,""[0-9]+""))*1000,
VALUE(REGEXEXTRACT(O7423,""[0-9]+""))
),
0
)"),0.0)</f>
        <v>0</v>
      </c>
      <c r="E7423" s="1" t="s">
        <v>11</v>
      </c>
      <c r="F7423" s="1" t="s">
        <v>20</v>
      </c>
      <c r="G7423" s="4" t="b">
        <f t="shared" si="2"/>
        <v>1</v>
      </c>
      <c r="H7423" s="1" t="str">
        <f t="shared" si="3"/>
        <v>Currently Unavailable</v>
      </c>
      <c r="I7423" s="1" t="str">
        <f t="shared" si="4"/>
        <v>No Badges</v>
      </c>
      <c r="J7423" s="3">
        <f t="shared" si="5"/>
        <v>0</v>
      </c>
    </row>
    <row r="7424">
      <c r="A7424" s="1" t="s">
        <v>5624</v>
      </c>
      <c r="B7424" s="3" t="str">
        <f t="shared" si="1"/>
        <v>Unavailable</v>
      </c>
      <c r="C7424" s="3">
        <v>197.0</v>
      </c>
      <c r="D7424" s="3">
        <f>IFERROR(__xludf.DUMMYFUNCTION("IFERROR(
IF(REGEXMATCH(LOWER(O7424),""k""),
VALUE(REGEXEXTRACT(O7424,""[0-9]+""))*1000,
VALUE(REGEXEXTRACT(O7424,""[0-9]+""))
),
0
)"),0.0)</f>
        <v>0</v>
      </c>
      <c r="E7424" s="1" t="s">
        <v>11</v>
      </c>
      <c r="F7424" s="1" t="s">
        <v>20</v>
      </c>
      <c r="G7424" s="4" t="b">
        <f t="shared" si="2"/>
        <v>1</v>
      </c>
      <c r="H7424" s="1" t="str">
        <f t="shared" si="3"/>
        <v>Currently Unavailable</v>
      </c>
      <c r="I7424" s="1" t="str">
        <f t="shared" si="4"/>
        <v>No Badges</v>
      </c>
      <c r="J7424" s="3">
        <f t="shared" si="5"/>
        <v>0</v>
      </c>
    </row>
    <row r="7425">
      <c r="A7425" s="1" t="s">
        <v>5684</v>
      </c>
      <c r="B7425" s="3" t="str">
        <f t="shared" si="1"/>
        <v>Unavailable</v>
      </c>
      <c r="C7425" s="3">
        <v>53.0</v>
      </c>
      <c r="D7425" s="3">
        <f>IFERROR(__xludf.DUMMYFUNCTION("IFERROR(
IF(REGEXMATCH(LOWER(O7425),""k""),
VALUE(REGEXEXTRACT(O7425,""[0-9]+""))*1000,
VALUE(REGEXEXTRACT(O7425,""[0-9]+""))
),
0
)"),0.0)</f>
        <v>0</v>
      </c>
      <c r="E7425" s="1" t="s">
        <v>11</v>
      </c>
      <c r="F7425" s="1" t="s">
        <v>20</v>
      </c>
      <c r="G7425" s="4" t="b">
        <f t="shared" si="2"/>
        <v>1</v>
      </c>
      <c r="H7425" s="1" t="str">
        <f t="shared" si="3"/>
        <v>Currently Unavailable</v>
      </c>
      <c r="I7425" s="1" t="str">
        <f t="shared" si="4"/>
        <v>No Badges</v>
      </c>
      <c r="J7425" s="3">
        <f t="shared" si="5"/>
        <v>0</v>
      </c>
    </row>
    <row r="7426">
      <c r="A7426" s="1" t="s">
        <v>5685</v>
      </c>
      <c r="B7426" s="3" t="str">
        <f t="shared" si="1"/>
        <v>Unavailable</v>
      </c>
      <c r="C7426" s="3">
        <v>25.0</v>
      </c>
      <c r="D7426" s="3">
        <f>IFERROR(__xludf.DUMMYFUNCTION("IFERROR(
IF(REGEXMATCH(LOWER(O7426),""k""),
VALUE(REGEXEXTRACT(O7426,""[0-9]+""))*1000,
VALUE(REGEXEXTRACT(O7426,""[0-9]+""))
),
0
)"),0.0)</f>
        <v>0</v>
      </c>
      <c r="E7426" s="1" t="s">
        <v>11</v>
      </c>
      <c r="F7426" s="1" t="s">
        <v>20</v>
      </c>
      <c r="G7426" s="4" t="b">
        <f t="shared" si="2"/>
        <v>1</v>
      </c>
      <c r="H7426" s="1" t="str">
        <f t="shared" si="3"/>
        <v>Currently Unavailable</v>
      </c>
      <c r="I7426" s="1" t="str">
        <f t="shared" si="4"/>
        <v>No Badges</v>
      </c>
      <c r="J7426" s="3">
        <f t="shared" si="5"/>
        <v>0</v>
      </c>
    </row>
    <row r="7427">
      <c r="A7427" s="1" t="s">
        <v>5686</v>
      </c>
      <c r="B7427" s="3" t="str">
        <f t="shared" si="1"/>
        <v>Unavailable</v>
      </c>
      <c r="C7427" s="5">
        <v>4027.0</v>
      </c>
      <c r="D7427" s="3">
        <f>IFERROR(__xludf.DUMMYFUNCTION("IFERROR(
IF(REGEXMATCH(LOWER(O7427),""k""),
VALUE(REGEXEXTRACT(O7427,""[0-9]+""))*1000,
VALUE(REGEXEXTRACT(O7427,""[0-9]+""))
),
0
)"),0.0)</f>
        <v>0</v>
      </c>
      <c r="E7427" s="1" t="s">
        <v>11</v>
      </c>
      <c r="F7427" s="1" t="s">
        <v>20</v>
      </c>
      <c r="G7427" s="4" t="b">
        <f t="shared" si="2"/>
        <v>1</v>
      </c>
      <c r="H7427" s="1" t="str">
        <f t="shared" si="3"/>
        <v>Currently Unavailable</v>
      </c>
      <c r="I7427" s="1" t="str">
        <f t="shared" si="4"/>
        <v>No Badges</v>
      </c>
      <c r="J7427" s="3">
        <f t="shared" si="5"/>
        <v>0</v>
      </c>
    </row>
    <row r="7428">
      <c r="A7428" s="1" t="s">
        <v>5687</v>
      </c>
      <c r="B7428" s="3" t="str">
        <f t="shared" si="1"/>
        <v>Unavailable</v>
      </c>
      <c r="C7428" s="5">
        <v>1171.0</v>
      </c>
      <c r="D7428" s="3">
        <f>IFERROR(__xludf.DUMMYFUNCTION("IFERROR(
IF(REGEXMATCH(LOWER(O7428),""k""),
VALUE(REGEXEXTRACT(O7428,""[0-9]+""))*1000,
VALUE(REGEXEXTRACT(O7428,""[0-9]+""))
),
0
)"),0.0)</f>
        <v>0</v>
      </c>
      <c r="E7428" s="1" t="s">
        <v>11</v>
      </c>
      <c r="F7428" s="1" t="s">
        <v>20</v>
      </c>
      <c r="G7428" s="4" t="b">
        <f t="shared" si="2"/>
        <v>1</v>
      </c>
      <c r="H7428" s="1" t="str">
        <f t="shared" si="3"/>
        <v>Currently Unavailable</v>
      </c>
      <c r="I7428" s="1" t="str">
        <f t="shared" si="4"/>
        <v>No Badges</v>
      </c>
      <c r="J7428" s="3">
        <f t="shared" si="5"/>
        <v>0</v>
      </c>
    </row>
    <row r="7429">
      <c r="A7429" s="1" t="s">
        <v>5688</v>
      </c>
      <c r="B7429" s="3" t="str">
        <f t="shared" si="1"/>
        <v>Unavailable</v>
      </c>
      <c r="C7429" s="3">
        <v>472.0</v>
      </c>
      <c r="D7429" s="3">
        <f>IFERROR(__xludf.DUMMYFUNCTION("IFERROR(
IF(REGEXMATCH(LOWER(O7429),""k""),
VALUE(REGEXEXTRACT(O7429,""[0-9]+""))*1000,
VALUE(REGEXEXTRACT(O7429,""[0-9]+""))
),
0
)"),0.0)</f>
        <v>0</v>
      </c>
      <c r="E7429" s="1" t="s">
        <v>11</v>
      </c>
      <c r="F7429" s="1" t="s">
        <v>20</v>
      </c>
      <c r="G7429" s="4" t="b">
        <f t="shared" si="2"/>
        <v>1</v>
      </c>
      <c r="H7429" s="1" t="str">
        <f t="shared" si="3"/>
        <v>Currently Unavailable</v>
      </c>
      <c r="I7429" s="1" t="str">
        <f t="shared" si="4"/>
        <v>No Badges</v>
      </c>
      <c r="J7429" s="3">
        <f t="shared" si="5"/>
        <v>0</v>
      </c>
    </row>
    <row r="7430">
      <c r="A7430" s="1" t="s">
        <v>5689</v>
      </c>
      <c r="B7430" s="3" t="str">
        <f t="shared" si="1"/>
        <v>Unavailable</v>
      </c>
      <c r="C7430" s="3">
        <v>245.0</v>
      </c>
      <c r="D7430" s="3">
        <f>IFERROR(__xludf.DUMMYFUNCTION("IFERROR(
IF(REGEXMATCH(LOWER(O7430),""k""),
VALUE(REGEXEXTRACT(O7430,""[0-9]+""))*1000,
VALUE(REGEXEXTRACT(O7430,""[0-9]+""))
),
0
)"),0.0)</f>
        <v>0</v>
      </c>
      <c r="E7430" s="1" t="s">
        <v>11</v>
      </c>
      <c r="F7430" s="1" t="s">
        <v>20</v>
      </c>
      <c r="G7430" s="4" t="b">
        <f t="shared" si="2"/>
        <v>1</v>
      </c>
      <c r="H7430" s="1" t="str">
        <f t="shared" si="3"/>
        <v>Currently Unavailable</v>
      </c>
      <c r="I7430" s="1" t="str">
        <f t="shared" si="4"/>
        <v>No Badges</v>
      </c>
      <c r="J7430" s="3">
        <f t="shared" si="5"/>
        <v>0</v>
      </c>
    </row>
    <row r="7431">
      <c r="A7431" s="1" t="s">
        <v>40</v>
      </c>
      <c r="B7431" s="3" t="str">
        <f t="shared" si="1"/>
        <v>Unavailable</v>
      </c>
      <c r="C7431" s="3">
        <v>171.0</v>
      </c>
      <c r="D7431" s="3">
        <f>IFERROR(__xludf.DUMMYFUNCTION("IFERROR(
IF(REGEXMATCH(LOWER(O7431),""k""),
VALUE(REGEXEXTRACT(O7431,""[0-9]+""))*1000,
VALUE(REGEXEXTRACT(O7431,""[0-9]+""))
),
0
)"),0.0)</f>
        <v>0</v>
      </c>
      <c r="E7431" s="1" t="s">
        <v>11</v>
      </c>
      <c r="F7431" s="1" t="s">
        <v>12</v>
      </c>
      <c r="G7431" s="4" t="b">
        <f t="shared" si="2"/>
        <v>1</v>
      </c>
      <c r="H7431" s="1" t="str">
        <f t="shared" si="3"/>
        <v>Currently Unavailable</v>
      </c>
      <c r="I7431" s="1" t="str">
        <f t="shared" si="4"/>
        <v>No Badges</v>
      </c>
      <c r="J7431" s="3">
        <f t="shared" si="5"/>
        <v>0</v>
      </c>
    </row>
    <row r="7432">
      <c r="A7432" s="1" t="s">
        <v>5690</v>
      </c>
      <c r="B7432" s="3" t="str">
        <f t="shared" si="1"/>
        <v>Unavailable</v>
      </c>
      <c r="C7432" s="3">
        <v>840.0</v>
      </c>
      <c r="D7432" s="3">
        <f>IFERROR(__xludf.DUMMYFUNCTION("IFERROR(
IF(REGEXMATCH(LOWER(O7432),""k""),
VALUE(REGEXEXTRACT(O7432,""[0-9]+""))*1000,
VALUE(REGEXEXTRACT(O7432,""[0-9]+""))
),
0
)"),0.0)</f>
        <v>0</v>
      </c>
      <c r="E7432" s="1" t="s">
        <v>11</v>
      </c>
      <c r="F7432" s="1" t="s">
        <v>20</v>
      </c>
      <c r="G7432" s="4" t="b">
        <f t="shared" si="2"/>
        <v>1</v>
      </c>
      <c r="H7432" s="1" t="str">
        <f t="shared" si="3"/>
        <v>Currently Unavailable</v>
      </c>
      <c r="I7432" s="1" t="str">
        <f t="shared" si="4"/>
        <v>No Badges</v>
      </c>
      <c r="J7432" s="3">
        <f t="shared" si="5"/>
        <v>0</v>
      </c>
    </row>
    <row r="7433">
      <c r="A7433" s="1" t="s">
        <v>5691</v>
      </c>
      <c r="B7433" s="3" t="str">
        <f t="shared" si="1"/>
        <v>Unavailable</v>
      </c>
      <c r="C7433" s="3">
        <v>275.0</v>
      </c>
      <c r="D7433" s="3">
        <f>IFERROR(__xludf.DUMMYFUNCTION("IFERROR(
IF(REGEXMATCH(LOWER(O7433),""k""),
VALUE(REGEXEXTRACT(O7433,""[0-9]+""))*1000,
VALUE(REGEXEXTRACT(O7433,""[0-9]+""))
),
0
)"),0.0)</f>
        <v>0</v>
      </c>
      <c r="E7433" s="1" t="s">
        <v>11</v>
      </c>
      <c r="F7433" s="1" t="s">
        <v>20</v>
      </c>
      <c r="G7433" s="4" t="b">
        <f t="shared" si="2"/>
        <v>1</v>
      </c>
      <c r="H7433" s="1" t="str">
        <f t="shared" si="3"/>
        <v>Currently Unavailable</v>
      </c>
      <c r="I7433" s="1" t="str">
        <f t="shared" si="4"/>
        <v>No Badges</v>
      </c>
      <c r="J7433" s="3">
        <f t="shared" si="5"/>
        <v>0</v>
      </c>
    </row>
    <row r="7434">
      <c r="A7434" s="1" t="s">
        <v>5692</v>
      </c>
      <c r="B7434" s="3" t="str">
        <f t="shared" si="1"/>
        <v>Unavailable</v>
      </c>
      <c r="C7434" s="3">
        <v>118.0</v>
      </c>
      <c r="D7434" s="3">
        <f>IFERROR(__xludf.DUMMYFUNCTION("IFERROR(
IF(REGEXMATCH(LOWER(O7434),""k""),
VALUE(REGEXEXTRACT(O7434,""[0-9]+""))*1000,
VALUE(REGEXEXTRACT(O7434,""[0-9]+""))
),
0
)"),0.0)</f>
        <v>0</v>
      </c>
      <c r="E7434" s="1" t="s">
        <v>11</v>
      </c>
      <c r="F7434" s="1" t="s">
        <v>20</v>
      </c>
      <c r="G7434" s="4" t="b">
        <f t="shared" si="2"/>
        <v>1</v>
      </c>
      <c r="H7434" s="1" t="str">
        <f t="shared" si="3"/>
        <v>Currently Unavailable</v>
      </c>
      <c r="I7434" s="1" t="str">
        <f t="shared" si="4"/>
        <v>No Badges</v>
      </c>
      <c r="J7434" s="3">
        <f t="shared" si="5"/>
        <v>0</v>
      </c>
    </row>
    <row r="7435">
      <c r="A7435" s="1" t="s">
        <v>5693</v>
      </c>
      <c r="B7435" s="3" t="str">
        <f t="shared" si="1"/>
        <v>Unavailable</v>
      </c>
      <c r="C7435" s="3">
        <v>157.0</v>
      </c>
      <c r="D7435" s="3">
        <f>IFERROR(__xludf.DUMMYFUNCTION("IFERROR(
IF(REGEXMATCH(LOWER(O7435),""k""),
VALUE(REGEXEXTRACT(O7435,""[0-9]+""))*1000,
VALUE(REGEXEXTRACT(O7435,""[0-9]+""))
),
0
)"),0.0)</f>
        <v>0</v>
      </c>
      <c r="E7435" s="1" t="s">
        <v>11</v>
      </c>
      <c r="F7435" s="1" t="s">
        <v>20</v>
      </c>
      <c r="G7435" s="4" t="b">
        <f t="shared" si="2"/>
        <v>1</v>
      </c>
      <c r="H7435" s="1" t="str">
        <f t="shared" si="3"/>
        <v>Currently Unavailable</v>
      </c>
      <c r="I7435" s="1" t="str">
        <f t="shared" si="4"/>
        <v>No Badges</v>
      </c>
      <c r="J7435" s="3">
        <f t="shared" si="5"/>
        <v>0</v>
      </c>
    </row>
    <row r="7436">
      <c r="A7436" s="1" t="s">
        <v>5694</v>
      </c>
      <c r="B7436" s="3" t="str">
        <f t="shared" si="1"/>
        <v>Unavailable</v>
      </c>
      <c r="C7436" s="3">
        <v>7.0</v>
      </c>
      <c r="D7436" s="3">
        <f>IFERROR(__xludf.DUMMYFUNCTION("IFERROR(
IF(REGEXMATCH(LOWER(O7436),""k""),
VALUE(REGEXEXTRACT(O7436,""[0-9]+""))*1000,
VALUE(REGEXEXTRACT(O7436,""[0-9]+""))
),
0
)"),0.0)</f>
        <v>0</v>
      </c>
      <c r="E7436" s="1" t="s">
        <v>11</v>
      </c>
      <c r="F7436" s="1" t="s">
        <v>20</v>
      </c>
      <c r="G7436" s="4" t="b">
        <f t="shared" si="2"/>
        <v>1</v>
      </c>
      <c r="H7436" s="1" t="str">
        <f t="shared" si="3"/>
        <v>Currently Unavailable</v>
      </c>
      <c r="I7436" s="1" t="str">
        <f t="shared" si="4"/>
        <v>No Badges</v>
      </c>
      <c r="J7436" s="3">
        <f t="shared" si="5"/>
        <v>0</v>
      </c>
    </row>
    <row r="7437">
      <c r="A7437" s="1" t="s">
        <v>5695</v>
      </c>
      <c r="B7437" s="3" t="str">
        <f t="shared" si="1"/>
        <v>Unavailable</v>
      </c>
      <c r="C7437" s="3">
        <v>4.0</v>
      </c>
      <c r="D7437" s="3">
        <f>IFERROR(__xludf.DUMMYFUNCTION("IFERROR(
IF(REGEXMATCH(LOWER(O7437),""k""),
VALUE(REGEXEXTRACT(O7437,""[0-9]+""))*1000,
VALUE(REGEXEXTRACT(O7437,""[0-9]+""))
),
0
)"),0.0)</f>
        <v>0</v>
      </c>
      <c r="E7437" s="1" t="s">
        <v>11</v>
      </c>
      <c r="F7437" s="1" t="s">
        <v>20</v>
      </c>
      <c r="G7437" s="4" t="b">
        <f t="shared" si="2"/>
        <v>1</v>
      </c>
      <c r="H7437" s="1" t="str">
        <f t="shared" si="3"/>
        <v>Currently Unavailable</v>
      </c>
      <c r="I7437" s="1" t="str">
        <f t="shared" si="4"/>
        <v>No Badges</v>
      </c>
      <c r="J7437" s="3">
        <f t="shared" si="5"/>
        <v>0</v>
      </c>
    </row>
    <row r="7438">
      <c r="A7438" s="1" t="s">
        <v>5696</v>
      </c>
      <c r="B7438" s="3" t="str">
        <f t="shared" si="1"/>
        <v>Unavailable</v>
      </c>
      <c r="C7438" s="3">
        <v>55.0</v>
      </c>
      <c r="D7438" s="3">
        <f>IFERROR(__xludf.DUMMYFUNCTION("IFERROR(
IF(REGEXMATCH(LOWER(O7438),""k""),
VALUE(REGEXEXTRACT(O7438,""[0-9]+""))*1000,
VALUE(REGEXEXTRACT(O7438,""[0-9]+""))
),
0
)"),0.0)</f>
        <v>0</v>
      </c>
      <c r="E7438" s="1" t="s">
        <v>11</v>
      </c>
      <c r="F7438" s="1" t="s">
        <v>20</v>
      </c>
      <c r="G7438" s="4" t="b">
        <f t="shared" si="2"/>
        <v>1</v>
      </c>
      <c r="H7438" s="1" t="str">
        <f t="shared" si="3"/>
        <v>Currently Unavailable</v>
      </c>
      <c r="I7438" s="1" t="str">
        <f t="shared" si="4"/>
        <v>No Badges</v>
      </c>
      <c r="J7438" s="3">
        <f t="shared" si="5"/>
        <v>0</v>
      </c>
    </row>
    <row r="7439">
      <c r="A7439" s="1" t="s">
        <v>5697</v>
      </c>
      <c r="B7439" s="3" t="str">
        <f t="shared" si="1"/>
        <v>Unavailable</v>
      </c>
      <c r="C7439" s="3">
        <v>261.0</v>
      </c>
      <c r="D7439" s="3">
        <f>IFERROR(__xludf.DUMMYFUNCTION("IFERROR(
IF(REGEXMATCH(LOWER(O7439),""k""),
VALUE(REGEXEXTRACT(O7439,""[0-9]+""))*1000,
VALUE(REGEXEXTRACT(O7439,""[0-9]+""))
),
0
)"),0.0)</f>
        <v>0</v>
      </c>
      <c r="E7439" s="1" t="s">
        <v>11</v>
      </c>
      <c r="F7439" s="1" t="s">
        <v>20</v>
      </c>
      <c r="G7439" s="4" t="b">
        <f t="shared" si="2"/>
        <v>1</v>
      </c>
      <c r="H7439" s="1" t="str">
        <f t="shared" si="3"/>
        <v>Currently Unavailable</v>
      </c>
      <c r="I7439" s="1" t="str">
        <f t="shared" si="4"/>
        <v>No Badges</v>
      </c>
      <c r="J7439" s="3">
        <f t="shared" si="5"/>
        <v>0</v>
      </c>
    </row>
    <row r="7440">
      <c r="A7440" s="1" t="s">
        <v>5698</v>
      </c>
      <c r="B7440" s="3" t="str">
        <f t="shared" si="1"/>
        <v>Unavailable</v>
      </c>
      <c r="C7440" s="3">
        <v>38.0</v>
      </c>
      <c r="D7440" s="3">
        <f>IFERROR(__xludf.DUMMYFUNCTION("IFERROR(
IF(REGEXMATCH(LOWER(O7440),""k""),
VALUE(REGEXEXTRACT(O7440,""[0-9]+""))*1000,
VALUE(REGEXEXTRACT(O7440,""[0-9]+""))
),
0
)"),0.0)</f>
        <v>0</v>
      </c>
      <c r="E7440" s="1" t="s">
        <v>11</v>
      </c>
      <c r="F7440" s="1" t="s">
        <v>20</v>
      </c>
      <c r="G7440" s="4" t="b">
        <f t="shared" si="2"/>
        <v>1</v>
      </c>
      <c r="H7440" s="1" t="str">
        <f t="shared" si="3"/>
        <v>Currently Unavailable</v>
      </c>
      <c r="I7440" s="1" t="str">
        <f t="shared" si="4"/>
        <v>No Badges</v>
      </c>
      <c r="J7440" s="3">
        <f t="shared" si="5"/>
        <v>0</v>
      </c>
    </row>
    <row r="7441">
      <c r="A7441" s="1" t="s">
        <v>5699</v>
      </c>
      <c r="B7441" s="3" t="str">
        <f t="shared" si="1"/>
        <v>Unavailable</v>
      </c>
      <c r="C7441" s="5">
        <v>1007.0</v>
      </c>
      <c r="D7441" s="3">
        <f>IFERROR(__xludf.DUMMYFUNCTION("IFERROR(
IF(REGEXMATCH(LOWER(O7441),""k""),
VALUE(REGEXEXTRACT(O7441,""[0-9]+""))*1000,
VALUE(REGEXEXTRACT(O7441,""[0-9]+""))
),
0
)"),0.0)</f>
        <v>0</v>
      </c>
      <c r="E7441" s="1" t="s">
        <v>11</v>
      </c>
      <c r="F7441" s="1" t="s">
        <v>20</v>
      </c>
      <c r="G7441" s="4" t="b">
        <f t="shared" si="2"/>
        <v>1</v>
      </c>
      <c r="H7441" s="1" t="str">
        <f t="shared" si="3"/>
        <v>Currently Unavailable</v>
      </c>
      <c r="I7441" s="1" t="str">
        <f t="shared" si="4"/>
        <v>No Badges</v>
      </c>
      <c r="J7441" s="3">
        <f t="shared" si="5"/>
        <v>0</v>
      </c>
    </row>
    <row r="7442">
      <c r="A7442" s="1" t="s">
        <v>5700</v>
      </c>
      <c r="B7442" s="3" t="str">
        <f t="shared" si="1"/>
        <v>Unavailable</v>
      </c>
      <c r="C7442" s="3">
        <v>598.0</v>
      </c>
      <c r="D7442" s="3">
        <f>IFERROR(__xludf.DUMMYFUNCTION("IFERROR(
IF(REGEXMATCH(LOWER(O7442),""k""),
VALUE(REGEXEXTRACT(O7442,""[0-9]+""))*1000,
VALUE(REGEXEXTRACT(O7442,""[0-9]+""))
),
0
)"),0.0)</f>
        <v>0</v>
      </c>
      <c r="E7442" s="1" t="s">
        <v>11</v>
      </c>
      <c r="F7442" s="1" t="s">
        <v>20</v>
      </c>
      <c r="G7442" s="4" t="b">
        <f t="shared" si="2"/>
        <v>1</v>
      </c>
      <c r="H7442" s="1" t="str">
        <f t="shared" si="3"/>
        <v>Currently Unavailable</v>
      </c>
      <c r="I7442" s="1" t="str">
        <f t="shared" si="4"/>
        <v>No Badges</v>
      </c>
      <c r="J7442" s="3">
        <f t="shared" si="5"/>
        <v>0</v>
      </c>
    </row>
    <row r="7443">
      <c r="A7443" s="1" t="s">
        <v>5701</v>
      </c>
      <c r="B7443" s="3" t="str">
        <f t="shared" si="1"/>
        <v>Unavailable</v>
      </c>
      <c r="C7443" s="3">
        <v>14.0</v>
      </c>
      <c r="D7443" s="3">
        <f>IFERROR(__xludf.DUMMYFUNCTION("IFERROR(
IF(REGEXMATCH(LOWER(O7443),""k""),
VALUE(REGEXEXTRACT(O7443,""[0-9]+""))*1000,
VALUE(REGEXEXTRACT(O7443,""[0-9]+""))
),
0
)"),0.0)</f>
        <v>0</v>
      </c>
      <c r="E7443" s="1" t="s">
        <v>11</v>
      </c>
      <c r="F7443" s="1" t="s">
        <v>20</v>
      </c>
      <c r="G7443" s="4" t="b">
        <f t="shared" si="2"/>
        <v>1</v>
      </c>
      <c r="H7443" s="1" t="str">
        <f t="shared" si="3"/>
        <v>Currently Unavailable</v>
      </c>
      <c r="I7443" s="1" t="str">
        <f t="shared" si="4"/>
        <v>No Badges</v>
      </c>
      <c r="J7443" s="3">
        <f t="shared" si="5"/>
        <v>0</v>
      </c>
    </row>
    <row r="7444">
      <c r="A7444" s="1" t="s">
        <v>5702</v>
      </c>
      <c r="B7444" s="3" t="str">
        <f t="shared" si="1"/>
        <v>Unavailable</v>
      </c>
      <c r="C7444" s="3">
        <v>752.0</v>
      </c>
      <c r="D7444" s="3">
        <f>IFERROR(__xludf.DUMMYFUNCTION("IFERROR(
IF(REGEXMATCH(LOWER(O7444),""k""),
VALUE(REGEXEXTRACT(O7444,""[0-9]+""))*1000,
VALUE(REGEXEXTRACT(O7444,""[0-9]+""))
),
0
)"),0.0)</f>
        <v>0</v>
      </c>
      <c r="E7444" s="1" t="s">
        <v>11</v>
      </c>
      <c r="F7444" s="1" t="s">
        <v>20</v>
      </c>
      <c r="G7444" s="4" t="b">
        <f t="shared" si="2"/>
        <v>1</v>
      </c>
      <c r="H7444" s="1" t="str">
        <f t="shared" si="3"/>
        <v>Currently Unavailable</v>
      </c>
      <c r="I7444" s="1" t="str">
        <f t="shared" si="4"/>
        <v>No Badges</v>
      </c>
      <c r="J7444" s="3">
        <f t="shared" si="5"/>
        <v>0</v>
      </c>
    </row>
    <row r="7445">
      <c r="A7445" s="1" t="s">
        <v>5703</v>
      </c>
      <c r="B7445" s="3" t="str">
        <f t="shared" si="1"/>
        <v>Unavailable</v>
      </c>
      <c r="C7445" s="5">
        <v>1273.0</v>
      </c>
      <c r="D7445" s="3">
        <f>IFERROR(__xludf.DUMMYFUNCTION("IFERROR(
IF(REGEXMATCH(LOWER(O7445),""k""),
VALUE(REGEXEXTRACT(O7445,""[0-9]+""))*1000,
VALUE(REGEXEXTRACT(O7445,""[0-9]+""))
),
0
)"),0.0)</f>
        <v>0</v>
      </c>
      <c r="E7445" s="1" t="s">
        <v>11</v>
      </c>
      <c r="F7445" s="1" t="s">
        <v>20</v>
      </c>
      <c r="G7445" s="4" t="b">
        <f t="shared" si="2"/>
        <v>1</v>
      </c>
      <c r="H7445" s="1" t="str">
        <f t="shared" si="3"/>
        <v>Currently Unavailable</v>
      </c>
      <c r="I7445" s="1" t="str">
        <f t="shared" si="4"/>
        <v>No Badges</v>
      </c>
      <c r="J7445" s="3">
        <f t="shared" si="5"/>
        <v>0</v>
      </c>
    </row>
    <row r="7446">
      <c r="A7446" s="1" t="s">
        <v>3680</v>
      </c>
      <c r="B7446" s="3" t="str">
        <f t="shared" si="1"/>
        <v>Unavailable</v>
      </c>
      <c r="C7446" s="3">
        <v>5.0</v>
      </c>
      <c r="D7446" s="3">
        <f>IFERROR(__xludf.DUMMYFUNCTION("IFERROR(
IF(REGEXMATCH(LOWER(O7446),""k""),
VALUE(REGEXEXTRACT(O7446,""[0-9]+""))*1000,
VALUE(REGEXEXTRACT(O7446,""[0-9]+""))
),
0
)"),0.0)</f>
        <v>0</v>
      </c>
      <c r="E7446" s="1" t="s">
        <v>11</v>
      </c>
      <c r="F7446" s="1" t="s">
        <v>12</v>
      </c>
      <c r="G7446" s="4" t="b">
        <f t="shared" si="2"/>
        <v>1</v>
      </c>
      <c r="H7446" s="1" t="str">
        <f t="shared" si="3"/>
        <v>Currently Unavailable</v>
      </c>
      <c r="I7446" s="1" t="str">
        <f t="shared" si="4"/>
        <v>No Badges</v>
      </c>
      <c r="J7446" s="3">
        <f t="shared" si="5"/>
        <v>0</v>
      </c>
    </row>
    <row r="7447">
      <c r="A7447" s="1" t="s">
        <v>5704</v>
      </c>
      <c r="B7447" s="3" t="str">
        <f t="shared" si="1"/>
        <v>Unavailable</v>
      </c>
      <c r="C7447" s="3">
        <v>28.0</v>
      </c>
      <c r="D7447" s="3">
        <f>IFERROR(__xludf.DUMMYFUNCTION("IFERROR(
IF(REGEXMATCH(LOWER(O7447),""k""),
VALUE(REGEXEXTRACT(O7447,""[0-9]+""))*1000,
VALUE(REGEXEXTRACT(O7447,""[0-9]+""))
),
0
)"),0.0)</f>
        <v>0</v>
      </c>
      <c r="E7447" s="1" t="s">
        <v>11</v>
      </c>
      <c r="F7447" s="1" t="s">
        <v>20</v>
      </c>
      <c r="G7447" s="4" t="b">
        <f t="shared" si="2"/>
        <v>1</v>
      </c>
      <c r="H7447" s="1" t="str">
        <f t="shared" si="3"/>
        <v>Currently Unavailable</v>
      </c>
      <c r="I7447" s="1" t="str">
        <f t="shared" si="4"/>
        <v>No Badges</v>
      </c>
      <c r="J7447" s="3">
        <f t="shared" si="5"/>
        <v>0</v>
      </c>
    </row>
    <row r="7448">
      <c r="A7448" s="1" t="s">
        <v>69</v>
      </c>
      <c r="B7448" s="3" t="str">
        <f t="shared" si="1"/>
        <v>Unavailable</v>
      </c>
      <c r="C7448" s="3">
        <v>45.0</v>
      </c>
      <c r="D7448" s="3">
        <f>IFERROR(__xludf.DUMMYFUNCTION("IFERROR(
IF(REGEXMATCH(LOWER(O7448),""k""),
VALUE(REGEXEXTRACT(O7448,""[0-9]+""))*1000,
VALUE(REGEXEXTRACT(O7448,""[0-9]+""))
),
0
)"),0.0)</f>
        <v>0</v>
      </c>
      <c r="E7448" s="1" t="s">
        <v>11</v>
      </c>
      <c r="F7448" s="1" t="s">
        <v>12</v>
      </c>
      <c r="G7448" s="4" t="b">
        <f t="shared" si="2"/>
        <v>1</v>
      </c>
      <c r="H7448" s="1" t="str">
        <f t="shared" si="3"/>
        <v>Currently Unavailable</v>
      </c>
      <c r="I7448" s="1" t="str">
        <f t="shared" si="4"/>
        <v>No Badges</v>
      </c>
      <c r="J7448" s="3">
        <f t="shared" si="5"/>
        <v>0</v>
      </c>
    </row>
    <row r="7449">
      <c r="A7449" s="1" t="s">
        <v>67</v>
      </c>
      <c r="B7449" s="3" t="str">
        <f t="shared" si="1"/>
        <v>Unavailable</v>
      </c>
      <c r="C7449" s="3">
        <v>264.0</v>
      </c>
      <c r="D7449" s="3">
        <f>IFERROR(__xludf.DUMMYFUNCTION("IFERROR(
IF(REGEXMATCH(LOWER(O7449),""k""),
VALUE(REGEXEXTRACT(O7449,""[0-9]+""))*1000,
VALUE(REGEXEXTRACT(O7449,""[0-9]+""))
),
0
)"),0.0)</f>
        <v>0</v>
      </c>
      <c r="E7449" s="1" t="s">
        <v>11</v>
      </c>
      <c r="F7449" s="1" t="s">
        <v>12</v>
      </c>
      <c r="G7449" s="4" t="b">
        <f t="shared" si="2"/>
        <v>1</v>
      </c>
      <c r="H7449" s="1" t="str">
        <f t="shared" si="3"/>
        <v>Currently Unavailable</v>
      </c>
      <c r="I7449" s="1" t="str">
        <f t="shared" si="4"/>
        <v>No Badges</v>
      </c>
      <c r="J7449" s="3">
        <f t="shared" si="5"/>
        <v>0</v>
      </c>
    </row>
    <row r="7450">
      <c r="A7450" s="1" t="s">
        <v>5629</v>
      </c>
      <c r="B7450" s="3" t="str">
        <f t="shared" si="1"/>
        <v>Unavailable</v>
      </c>
      <c r="C7450" s="3">
        <v>66.0</v>
      </c>
      <c r="D7450" s="3">
        <f>IFERROR(__xludf.DUMMYFUNCTION("IFERROR(
IF(REGEXMATCH(LOWER(O7450),""k""),
VALUE(REGEXEXTRACT(O7450,""[0-9]+""))*1000,
VALUE(REGEXEXTRACT(O7450,""[0-9]+""))
),
0
)"),0.0)</f>
        <v>0</v>
      </c>
      <c r="E7450" s="1" t="s">
        <v>11</v>
      </c>
      <c r="F7450" s="1" t="s">
        <v>20</v>
      </c>
      <c r="G7450" s="4" t="b">
        <f t="shared" si="2"/>
        <v>1</v>
      </c>
      <c r="H7450" s="1" t="str">
        <f t="shared" si="3"/>
        <v>Currently Unavailable</v>
      </c>
      <c r="I7450" s="1" t="str">
        <f t="shared" si="4"/>
        <v>No Badges</v>
      </c>
      <c r="J7450" s="3">
        <f t="shared" si="5"/>
        <v>0</v>
      </c>
    </row>
    <row r="7451">
      <c r="A7451" s="1" t="s">
        <v>696</v>
      </c>
      <c r="B7451" s="3" t="str">
        <f t="shared" si="1"/>
        <v>Unavailable</v>
      </c>
      <c r="C7451" s="3">
        <v>86.0</v>
      </c>
      <c r="D7451" s="3">
        <f>IFERROR(__xludf.DUMMYFUNCTION("IFERROR(
IF(REGEXMATCH(LOWER(O7451),""k""),
VALUE(REGEXEXTRACT(O7451,""[0-9]+""))*1000,
VALUE(REGEXEXTRACT(O7451,""[0-9]+""))
),
0
)"),0.0)</f>
        <v>0</v>
      </c>
      <c r="E7451" s="1" t="s">
        <v>11</v>
      </c>
      <c r="F7451" s="1" t="s">
        <v>20</v>
      </c>
      <c r="G7451" s="4" t="b">
        <f t="shared" si="2"/>
        <v>1</v>
      </c>
      <c r="H7451" s="1" t="str">
        <f t="shared" si="3"/>
        <v>Currently Unavailable</v>
      </c>
      <c r="I7451" s="1" t="str">
        <f t="shared" si="4"/>
        <v>No Badges</v>
      </c>
      <c r="J7451" s="3">
        <f t="shared" si="5"/>
        <v>0</v>
      </c>
    </row>
    <row r="7452">
      <c r="A7452" s="1" t="s">
        <v>652</v>
      </c>
      <c r="B7452" s="3" t="str">
        <f t="shared" si="1"/>
        <v>Unavailable</v>
      </c>
      <c r="C7452" s="3">
        <v>320.0</v>
      </c>
      <c r="D7452" s="3">
        <f>IFERROR(__xludf.DUMMYFUNCTION("IFERROR(
IF(REGEXMATCH(LOWER(O7452),""k""),
VALUE(REGEXEXTRACT(O7452,""[0-9]+""))*1000,
VALUE(REGEXEXTRACT(O7452,""[0-9]+""))
),
0
)"),0.0)</f>
        <v>0</v>
      </c>
      <c r="E7452" s="1" t="s">
        <v>11</v>
      </c>
      <c r="F7452" s="1" t="s">
        <v>20</v>
      </c>
      <c r="G7452" s="4" t="b">
        <f t="shared" si="2"/>
        <v>1</v>
      </c>
      <c r="H7452" s="1" t="str">
        <f t="shared" si="3"/>
        <v>Currently Unavailable</v>
      </c>
      <c r="I7452" s="1" t="str">
        <f t="shared" si="4"/>
        <v>No Badges</v>
      </c>
      <c r="J7452" s="3">
        <f t="shared" si="5"/>
        <v>0</v>
      </c>
    </row>
    <row r="7453">
      <c r="A7453" s="1" t="s">
        <v>5631</v>
      </c>
      <c r="B7453" s="3" t="str">
        <f t="shared" si="1"/>
        <v>Unavailable</v>
      </c>
      <c r="C7453" s="3">
        <v>59.0</v>
      </c>
      <c r="D7453" s="3">
        <f>IFERROR(__xludf.DUMMYFUNCTION("IFERROR(
IF(REGEXMATCH(LOWER(O7453),""k""),
VALUE(REGEXEXTRACT(O7453,""[0-9]+""))*1000,
VALUE(REGEXEXTRACT(O7453,""[0-9]+""))
),
0
)"),0.0)</f>
        <v>0</v>
      </c>
      <c r="E7453" s="1" t="s">
        <v>11</v>
      </c>
      <c r="F7453" s="1" t="s">
        <v>20</v>
      </c>
      <c r="G7453" s="4" t="b">
        <f t="shared" si="2"/>
        <v>1</v>
      </c>
      <c r="H7453" s="1" t="str">
        <f t="shared" si="3"/>
        <v>Currently Unavailable</v>
      </c>
      <c r="I7453" s="1" t="str">
        <f t="shared" si="4"/>
        <v>No Badges</v>
      </c>
      <c r="J7453" s="3">
        <f t="shared" si="5"/>
        <v>0</v>
      </c>
    </row>
    <row r="7454">
      <c r="A7454" s="1" t="s">
        <v>5705</v>
      </c>
      <c r="B7454" s="3" t="str">
        <f t="shared" si="1"/>
        <v>Unavailable</v>
      </c>
      <c r="C7454" s="3">
        <v>47.0</v>
      </c>
      <c r="D7454" s="3">
        <f>IFERROR(__xludf.DUMMYFUNCTION("IFERROR(
IF(REGEXMATCH(LOWER(O7454),""k""),
VALUE(REGEXEXTRACT(O7454,""[0-9]+""))*1000,
VALUE(REGEXEXTRACT(O7454,""[0-9]+""))
),
0
)"),0.0)</f>
        <v>0</v>
      </c>
      <c r="E7454" s="1" t="s">
        <v>11</v>
      </c>
      <c r="F7454" s="1" t="s">
        <v>20</v>
      </c>
      <c r="G7454" s="4" t="b">
        <f t="shared" si="2"/>
        <v>1</v>
      </c>
      <c r="H7454" s="1" t="str">
        <f t="shared" si="3"/>
        <v>Currently Unavailable</v>
      </c>
      <c r="I7454" s="1" t="str">
        <f t="shared" si="4"/>
        <v>No Badges</v>
      </c>
      <c r="J7454" s="3">
        <f t="shared" si="5"/>
        <v>0</v>
      </c>
    </row>
    <row r="7455">
      <c r="A7455" s="1" t="s">
        <v>5706</v>
      </c>
      <c r="B7455" s="3" t="str">
        <f t="shared" si="1"/>
        <v>Unavailable</v>
      </c>
      <c r="C7455" s="3">
        <v>4.0</v>
      </c>
      <c r="D7455" s="3">
        <f>IFERROR(__xludf.DUMMYFUNCTION("IFERROR(
IF(REGEXMATCH(LOWER(O7455),""k""),
VALUE(REGEXEXTRACT(O7455,""[0-9]+""))*1000,
VALUE(REGEXEXTRACT(O7455,""[0-9]+""))
),
0
)"),0.0)</f>
        <v>0</v>
      </c>
      <c r="E7455" s="1" t="s">
        <v>11</v>
      </c>
      <c r="F7455" s="1" t="s">
        <v>20</v>
      </c>
      <c r="G7455" s="4" t="b">
        <f t="shared" si="2"/>
        <v>1</v>
      </c>
      <c r="H7455" s="1" t="str">
        <f t="shared" si="3"/>
        <v>Currently Unavailable</v>
      </c>
      <c r="I7455" s="1" t="str">
        <f t="shared" si="4"/>
        <v>No Badges</v>
      </c>
      <c r="J7455" s="3">
        <f t="shared" si="5"/>
        <v>0</v>
      </c>
    </row>
    <row r="7456">
      <c r="A7456" s="1" t="s">
        <v>5707</v>
      </c>
      <c r="B7456" s="3" t="str">
        <f t="shared" si="1"/>
        <v>Unavailable</v>
      </c>
      <c r="C7456" s="5">
        <v>1600.0</v>
      </c>
      <c r="D7456" s="3">
        <f>IFERROR(__xludf.DUMMYFUNCTION("IFERROR(
IF(REGEXMATCH(LOWER(O7456),""k""),
VALUE(REGEXEXTRACT(O7456,""[0-9]+""))*1000,
VALUE(REGEXEXTRACT(O7456,""[0-9]+""))
),
0
)"),0.0)</f>
        <v>0</v>
      </c>
      <c r="E7456" s="1" t="s">
        <v>11</v>
      </c>
      <c r="F7456" s="1" t="s">
        <v>20</v>
      </c>
      <c r="G7456" s="4" t="b">
        <f t="shared" si="2"/>
        <v>1</v>
      </c>
      <c r="H7456" s="1" t="str">
        <f t="shared" si="3"/>
        <v>Currently Unavailable</v>
      </c>
      <c r="I7456" s="1" t="str">
        <f t="shared" si="4"/>
        <v>No Badges</v>
      </c>
      <c r="J7456" s="3">
        <f t="shared" si="5"/>
        <v>0</v>
      </c>
    </row>
    <row r="7457">
      <c r="A7457" s="1" t="s">
        <v>5708</v>
      </c>
      <c r="B7457" s="3" t="str">
        <f t="shared" si="1"/>
        <v>Unavailable</v>
      </c>
      <c r="C7457" s="5">
        <v>1470.0</v>
      </c>
      <c r="D7457" s="3">
        <f>IFERROR(__xludf.DUMMYFUNCTION("IFERROR(
IF(REGEXMATCH(LOWER(O7457),""k""),
VALUE(REGEXEXTRACT(O7457,""[0-9]+""))*1000,
VALUE(REGEXEXTRACT(O7457,""[0-9]+""))
),
0
)"),0.0)</f>
        <v>0</v>
      </c>
      <c r="E7457" s="1" t="s">
        <v>11</v>
      </c>
      <c r="F7457" s="1" t="s">
        <v>20</v>
      </c>
      <c r="G7457" s="4" t="b">
        <f t="shared" si="2"/>
        <v>1</v>
      </c>
      <c r="H7457" s="1" t="str">
        <f t="shared" si="3"/>
        <v>Currently Unavailable</v>
      </c>
      <c r="I7457" s="1" t="str">
        <f t="shared" si="4"/>
        <v>No Badges</v>
      </c>
      <c r="J7457" s="3">
        <f t="shared" si="5"/>
        <v>0</v>
      </c>
    </row>
    <row r="7458">
      <c r="A7458" s="1" t="s">
        <v>5709</v>
      </c>
      <c r="B7458" s="3" t="str">
        <f t="shared" si="1"/>
        <v>Unavailable</v>
      </c>
      <c r="C7458" s="3">
        <v>199.0</v>
      </c>
      <c r="D7458" s="3">
        <f>IFERROR(__xludf.DUMMYFUNCTION("IFERROR(
IF(REGEXMATCH(LOWER(O7458),""k""),
VALUE(REGEXEXTRACT(O7458,""[0-9]+""))*1000,
VALUE(REGEXEXTRACT(O7458,""[0-9]+""))
),
0
)"),0.0)</f>
        <v>0</v>
      </c>
      <c r="E7458" s="1" t="s">
        <v>11</v>
      </c>
      <c r="F7458" s="1" t="s">
        <v>20</v>
      </c>
      <c r="G7458" s="4" t="b">
        <f t="shared" si="2"/>
        <v>1</v>
      </c>
      <c r="H7458" s="1" t="str">
        <f t="shared" si="3"/>
        <v>Currently Unavailable</v>
      </c>
      <c r="I7458" s="1" t="str">
        <f t="shared" si="4"/>
        <v>No Badges</v>
      </c>
      <c r="J7458" s="3">
        <f t="shared" si="5"/>
        <v>0</v>
      </c>
    </row>
    <row r="7459">
      <c r="A7459" s="1" t="s">
        <v>5543</v>
      </c>
      <c r="B7459" s="3" t="str">
        <f t="shared" si="1"/>
        <v>Unavailable</v>
      </c>
      <c r="C7459" s="3">
        <v>169.0</v>
      </c>
      <c r="D7459" s="3">
        <f>IFERROR(__xludf.DUMMYFUNCTION("IFERROR(
IF(REGEXMATCH(LOWER(O7459),""k""),
VALUE(REGEXEXTRACT(O7459,""[0-9]+""))*1000,
VALUE(REGEXEXTRACT(O7459,""[0-9]+""))
),
0
)"),0.0)</f>
        <v>0</v>
      </c>
      <c r="E7459" s="1" t="s">
        <v>11</v>
      </c>
      <c r="F7459" s="1" t="s">
        <v>20</v>
      </c>
      <c r="G7459" s="4" t="b">
        <f t="shared" si="2"/>
        <v>1</v>
      </c>
      <c r="H7459" s="1" t="str">
        <f t="shared" si="3"/>
        <v>Currently Unavailable</v>
      </c>
      <c r="I7459" s="1" t="str">
        <f t="shared" si="4"/>
        <v>No Badges</v>
      </c>
      <c r="J7459" s="6">
        <f t="shared" si="5"/>
        <v>0</v>
      </c>
    </row>
    <row r="7460">
      <c r="A7460" s="1" t="s">
        <v>5710</v>
      </c>
      <c r="B7460" s="3" t="str">
        <f t="shared" si="1"/>
        <v>Unavailable</v>
      </c>
      <c r="C7460" s="3">
        <v>813.0</v>
      </c>
      <c r="D7460" s="3">
        <f>IFERROR(__xludf.DUMMYFUNCTION("IFERROR(
IF(REGEXMATCH(LOWER(O7460),""k""),
VALUE(REGEXEXTRACT(O7460,""[0-9]+""))*1000,
VALUE(REGEXEXTRACT(O7460,""[0-9]+""))
),
0
)"),0.0)</f>
        <v>0</v>
      </c>
      <c r="E7460" s="1" t="s">
        <v>11</v>
      </c>
      <c r="F7460" s="1" t="s">
        <v>20</v>
      </c>
      <c r="G7460" s="4" t="b">
        <f t="shared" si="2"/>
        <v>1</v>
      </c>
      <c r="H7460" s="1" t="str">
        <f t="shared" si="3"/>
        <v>Currently Unavailable</v>
      </c>
      <c r="I7460" s="1" t="str">
        <f t="shared" si="4"/>
        <v>No Badges</v>
      </c>
      <c r="J7460" s="3">
        <f t="shared" si="5"/>
        <v>0</v>
      </c>
    </row>
    <row r="7461">
      <c r="A7461" s="1" t="s">
        <v>5711</v>
      </c>
      <c r="B7461" s="3" t="str">
        <f t="shared" si="1"/>
        <v>Unavailable</v>
      </c>
      <c r="C7461" s="5">
        <v>1482.0</v>
      </c>
      <c r="D7461" s="3">
        <f>IFERROR(__xludf.DUMMYFUNCTION("IFERROR(
IF(REGEXMATCH(LOWER(O7461),""k""),
VALUE(REGEXEXTRACT(O7461,""[0-9]+""))*1000,
VALUE(REGEXEXTRACT(O7461,""[0-9]+""))
),
0
)"),0.0)</f>
        <v>0</v>
      </c>
      <c r="E7461" s="1" t="s">
        <v>11</v>
      </c>
      <c r="F7461" s="1" t="s">
        <v>20</v>
      </c>
      <c r="G7461" s="4" t="b">
        <f t="shared" si="2"/>
        <v>1</v>
      </c>
      <c r="H7461" s="1" t="str">
        <f t="shared" si="3"/>
        <v>Currently Unavailable</v>
      </c>
      <c r="I7461" s="1" t="str">
        <f t="shared" si="4"/>
        <v>No Badges</v>
      </c>
      <c r="J7461" s="3">
        <f t="shared" si="5"/>
        <v>0</v>
      </c>
    </row>
    <row r="7462">
      <c r="A7462" s="1" t="s">
        <v>5712</v>
      </c>
      <c r="B7462" s="3" t="str">
        <f t="shared" si="1"/>
        <v>Unavailable</v>
      </c>
      <c r="C7462" s="3">
        <v>636.0</v>
      </c>
      <c r="D7462" s="3">
        <f>IFERROR(__xludf.DUMMYFUNCTION("IFERROR(
IF(REGEXMATCH(LOWER(O7462),""k""),
VALUE(REGEXEXTRACT(O7462,""[0-9]+""))*1000,
VALUE(REGEXEXTRACT(O7462,""[0-9]+""))
),
0
)"),0.0)</f>
        <v>0</v>
      </c>
      <c r="E7462" s="1" t="s">
        <v>11</v>
      </c>
      <c r="F7462" s="1" t="s">
        <v>20</v>
      </c>
      <c r="G7462" s="4" t="b">
        <f t="shared" si="2"/>
        <v>1</v>
      </c>
      <c r="H7462" s="1" t="str">
        <f t="shared" si="3"/>
        <v>Currently Unavailable</v>
      </c>
      <c r="I7462" s="1" t="str">
        <f t="shared" si="4"/>
        <v>No Badges</v>
      </c>
      <c r="J7462" s="3">
        <f t="shared" si="5"/>
        <v>0</v>
      </c>
    </row>
    <row r="7463">
      <c r="A7463" s="1" t="s">
        <v>701</v>
      </c>
      <c r="B7463" s="3" t="str">
        <f t="shared" si="1"/>
        <v>Unavailable</v>
      </c>
      <c r="C7463" s="3">
        <v>8.0</v>
      </c>
      <c r="D7463" s="3">
        <f>IFERROR(__xludf.DUMMYFUNCTION("IFERROR(
IF(REGEXMATCH(LOWER(O7463),""k""),
VALUE(REGEXEXTRACT(O7463,""[0-9]+""))*1000,
VALUE(REGEXEXTRACT(O7463,""[0-9]+""))
),
0
)"),0.0)</f>
        <v>0</v>
      </c>
      <c r="E7463" s="1" t="s">
        <v>11</v>
      </c>
      <c r="F7463" s="1" t="s">
        <v>12</v>
      </c>
      <c r="G7463" s="4" t="b">
        <f t="shared" si="2"/>
        <v>1</v>
      </c>
      <c r="H7463" s="1" t="str">
        <f t="shared" si="3"/>
        <v>Currently Unavailable</v>
      </c>
      <c r="I7463" s="1" t="str">
        <f t="shared" si="4"/>
        <v>No Badges</v>
      </c>
      <c r="J7463" s="3">
        <f t="shared" si="5"/>
        <v>0</v>
      </c>
    </row>
    <row r="7464">
      <c r="A7464" s="1" t="s">
        <v>5713</v>
      </c>
      <c r="B7464" s="3" t="str">
        <f t="shared" si="1"/>
        <v>Unavailable</v>
      </c>
      <c r="C7464" s="5">
        <v>6181.0</v>
      </c>
      <c r="D7464" s="3">
        <f>IFERROR(__xludf.DUMMYFUNCTION("IFERROR(
IF(REGEXMATCH(LOWER(O7464),""k""),
VALUE(REGEXEXTRACT(O7464,""[0-9]+""))*1000,
VALUE(REGEXEXTRACT(O7464,""[0-9]+""))
),
0
)"),0.0)</f>
        <v>0</v>
      </c>
      <c r="E7464" s="1" t="s">
        <v>11</v>
      </c>
      <c r="F7464" s="1" t="s">
        <v>20</v>
      </c>
      <c r="G7464" s="4" t="b">
        <f t="shared" si="2"/>
        <v>1</v>
      </c>
      <c r="H7464" s="1" t="str">
        <f t="shared" si="3"/>
        <v>Currently Unavailable</v>
      </c>
      <c r="I7464" s="1" t="str">
        <f t="shared" si="4"/>
        <v>No Badges</v>
      </c>
      <c r="J7464" s="3">
        <f t="shared" si="5"/>
        <v>0</v>
      </c>
    </row>
    <row r="7465">
      <c r="A7465" s="1" t="s">
        <v>88</v>
      </c>
      <c r="B7465" s="3" t="str">
        <f t="shared" si="1"/>
        <v>Unavailable</v>
      </c>
      <c r="C7465" s="3">
        <v>5.0</v>
      </c>
      <c r="D7465" s="3">
        <f>IFERROR(__xludf.DUMMYFUNCTION("IFERROR(
IF(REGEXMATCH(LOWER(O7465),""k""),
VALUE(REGEXEXTRACT(O7465,""[0-9]+""))*1000,
VALUE(REGEXEXTRACT(O7465,""[0-9]+""))
),
0
)"),0.0)</f>
        <v>0</v>
      </c>
      <c r="E7465" s="1" t="s">
        <v>11</v>
      </c>
      <c r="F7465" s="1" t="s">
        <v>12</v>
      </c>
      <c r="G7465" s="4" t="b">
        <f t="shared" si="2"/>
        <v>1</v>
      </c>
      <c r="H7465" s="1" t="str">
        <f t="shared" si="3"/>
        <v>Currently Unavailable</v>
      </c>
      <c r="I7465" s="1" t="str">
        <f t="shared" si="4"/>
        <v>No Badges</v>
      </c>
      <c r="J7465" s="3">
        <f t="shared" si="5"/>
        <v>0</v>
      </c>
    </row>
    <row r="7466">
      <c r="A7466" s="1" t="s">
        <v>5636</v>
      </c>
      <c r="B7466" s="3" t="str">
        <f t="shared" si="1"/>
        <v>Unavailable</v>
      </c>
      <c r="C7466" s="3">
        <v>122.0</v>
      </c>
      <c r="D7466" s="3">
        <f>IFERROR(__xludf.DUMMYFUNCTION("IFERROR(
IF(REGEXMATCH(LOWER(O7466),""k""),
VALUE(REGEXEXTRACT(O7466,""[0-9]+""))*1000,
VALUE(REGEXEXTRACT(O7466,""[0-9]+""))
),
0
)"),0.0)</f>
        <v>0</v>
      </c>
      <c r="E7466" s="1" t="s">
        <v>11</v>
      </c>
      <c r="F7466" s="1" t="s">
        <v>20</v>
      </c>
      <c r="G7466" s="4" t="b">
        <f t="shared" si="2"/>
        <v>1</v>
      </c>
      <c r="H7466" s="1" t="str">
        <f t="shared" si="3"/>
        <v>Currently Unavailable</v>
      </c>
      <c r="I7466" s="1" t="str">
        <f t="shared" si="4"/>
        <v>No Badges</v>
      </c>
      <c r="J7466" s="3">
        <f t="shared" si="5"/>
        <v>0</v>
      </c>
    </row>
    <row r="7467">
      <c r="A7467" s="1" t="s">
        <v>88</v>
      </c>
      <c r="B7467" s="3" t="str">
        <f t="shared" si="1"/>
        <v>Unavailable</v>
      </c>
      <c r="C7467" s="3">
        <v>5.0</v>
      </c>
      <c r="D7467" s="3">
        <f>IFERROR(__xludf.DUMMYFUNCTION("IFERROR(
IF(REGEXMATCH(LOWER(O7467),""k""),
VALUE(REGEXEXTRACT(O7467,""[0-9]+""))*1000,
VALUE(REGEXEXTRACT(O7467,""[0-9]+""))
),
0
)"),0.0)</f>
        <v>0</v>
      </c>
      <c r="E7467" s="1" t="s">
        <v>11</v>
      </c>
      <c r="F7467" s="1" t="s">
        <v>12</v>
      </c>
      <c r="G7467" s="4" t="b">
        <f t="shared" si="2"/>
        <v>1</v>
      </c>
      <c r="H7467" s="1" t="str">
        <f t="shared" si="3"/>
        <v>Currently Unavailable</v>
      </c>
      <c r="I7467" s="1" t="str">
        <f t="shared" si="4"/>
        <v>No Badges</v>
      </c>
      <c r="J7467" s="3">
        <f t="shared" si="5"/>
        <v>0</v>
      </c>
    </row>
    <row r="7468">
      <c r="A7468" s="1" t="s">
        <v>5637</v>
      </c>
      <c r="B7468" s="3" t="str">
        <f t="shared" si="1"/>
        <v>Unavailable</v>
      </c>
      <c r="C7468" s="3">
        <v>153.0</v>
      </c>
      <c r="D7468" s="3">
        <f>IFERROR(__xludf.DUMMYFUNCTION("IFERROR(
IF(REGEXMATCH(LOWER(O7468),""k""),
VALUE(REGEXEXTRACT(O7468,""[0-9]+""))*1000,
VALUE(REGEXEXTRACT(O7468,""[0-9]+""))
),
0
)"),0.0)</f>
        <v>0</v>
      </c>
      <c r="E7468" s="1" t="s">
        <v>11</v>
      </c>
      <c r="F7468" s="1" t="s">
        <v>20</v>
      </c>
      <c r="G7468" s="4" t="b">
        <f t="shared" si="2"/>
        <v>1</v>
      </c>
      <c r="H7468" s="1" t="str">
        <f t="shared" si="3"/>
        <v>Currently Unavailable</v>
      </c>
      <c r="I7468" s="1" t="str">
        <f t="shared" si="4"/>
        <v>No Badges</v>
      </c>
      <c r="J7468" s="3">
        <f t="shared" si="5"/>
        <v>0</v>
      </c>
    </row>
    <row r="7469">
      <c r="A7469" s="1" t="s">
        <v>5714</v>
      </c>
      <c r="B7469" s="3" t="str">
        <f t="shared" si="1"/>
        <v>Unavailable</v>
      </c>
      <c r="C7469" s="3">
        <v>815.0</v>
      </c>
      <c r="D7469" s="3">
        <f>IFERROR(__xludf.DUMMYFUNCTION("IFERROR(
IF(REGEXMATCH(LOWER(O7469),""k""),
VALUE(REGEXEXTRACT(O7469,""[0-9]+""))*1000,
VALUE(REGEXEXTRACT(O7469,""[0-9]+""))
),
0
)"),0.0)</f>
        <v>0</v>
      </c>
      <c r="E7469" s="1" t="s">
        <v>11</v>
      </c>
      <c r="F7469" s="1" t="s">
        <v>20</v>
      </c>
      <c r="G7469" s="4" t="b">
        <f t="shared" si="2"/>
        <v>1</v>
      </c>
      <c r="H7469" s="1" t="str">
        <f t="shared" si="3"/>
        <v>Currently Unavailable</v>
      </c>
      <c r="I7469" s="1" t="str">
        <f t="shared" si="4"/>
        <v>No Badges</v>
      </c>
      <c r="J7469" s="3">
        <f t="shared" si="5"/>
        <v>0</v>
      </c>
    </row>
    <row r="7470">
      <c r="A7470" s="1" t="s">
        <v>5715</v>
      </c>
      <c r="B7470" s="3" t="str">
        <f t="shared" si="1"/>
        <v>Unavailable</v>
      </c>
      <c r="C7470" s="3">
        <v>123.0</v>
      </c>
      <c r="D7470" s="3">
        <f>IFERROR(__xludf.DUMMYFUNCTION("IFERROR(
IF(REGEXMATCH(LOWER(O7470),""k""),
VALUE(REGEXEXTRACT(O7470,""[0-9]+""))*1000,
VALUE(REGEXEXTRACT(O7470,""[0-9]+""))
),
0
)"),0.0)</f>
        <v>0</v>
      </c>
      <c r="E7470" s="1" t="s">
        <v>11</v>
      </c>
      <c r="F7470" s="1" t="s">
        <v>20</v>
      </c>
      <c r="G7470" s="4" t="b">
        <f t="shared" si="2"/>
        <v>1</v>
      </c>
      <c r="H7470" s="1" t="str">
        <f t="shared" si="3"/>
        <v>Currently Unavailable</v>
      </c>
      <c r="I7470" s="1" t="str">
        <f t="shared" si="4"/>
        <v>No Badges</v>
      </c>
      <c r="J7470" s="3">
        <f t="shared" si="5"/>
        <v>0</v>
      </c>
    </row>
    <row r="7471">
      <c r="A7471" s="1" t="s">
        <v>5716</v>
      </c>
      <c r="B7471" s="3" t="str">
        <f t="shared" si="1"/>
        <v>Unavailable</v>
      </c>
      <c r="C7471" s="3">
        <v>345.0</v>
      </c>
      <c r="D7471" s="3">
        <f>IFERROR(__xludf.DUMMYFUNCTION("IFERROR(
IF(REGEXMATCH(LOWER(O7471),""k""),
VALUE(REGEXEXTRACT(O7471,""[0-9]+""))*1000,
VALUE(REGEXEXTRACT(O7471,""[0-9]+""))
),
0
)"),0.0)</f>
        <v>0</v>
      </c>
      <c r="E7471" s="1" t="s">
        <v>11</v>
      </c>
      <c r="F7471" s="1" t="s">
        <v>20</v>
      </c>
      <c r="G7471" s="4" t="b">
        <f t="shared" si="2"/>
        <v>1</v>
      </c>
      <c r="H7471" s="1" t="str">
        <f t="shared" si="3"/>
        <v>Currently Unavailable</v>
      </c>
      <c r="I7471" s="1" t="str">
        <f t="shared" si="4"/>
        <v>No Badges</v>
      </c>
      <c r="J7471" s="3">
        <f t="shared" si="5"/>
        <v>0</v>
      </c>
    </row>
    <row r="7472">
      <c r="A7472" s="1" t="s">
        <v>5717</v>
      </c>
      <c r="B7472" s="3" t="str">
        <f t="shared" si="1"/>
        <v>Unavailable</v>
      </c>
      <c r="C7472" s="3">
        <v>195.0</v>
      </c>
      <c r="D7472" s="3">
        <f>IFERROR(__xludf.DUMMYFUNCTION("IFERROR(
IF(REGEXMATCH(LOWER(O7472),""k""),
VALUE(REGEXEXTRACT(O7472,""[0-9]+""))*1000,
VALUE(REGEXEXTRACT(O7472,""[0-9]+""))
),
0
)"),0.0)</f>
        <v>0</v>
      </c>
      <c r="E7472" s="1" t="s">
        <v>11</v>
      </c>
      <c r="F7472" s="1" t="s">
        <v>20</v>
      </c>
      <c r="G7472" s="4" t="b">
        <f t="shared" si="2"/>
        <v>1</v>
      </c>
      <c r="H7472" s="1" t="str">
        <f t="shared" si="3"/>
        <v>Currently Unavailable</v>
      </c>
      <c r="I7472" s="1" t="str">
        <f t="shared" si="4"/>
        <v>No Badges</v>
      </c>
      <c r="J7472" s="3">
        <f t="shared" si="5"/>
        <v>0</v>
      </c>
    </row>
    <row r="7473">
      <c r="A7473" s="1" t="s">
        <v>5614</v>
      </c>
      <c r="B7473" s="3" t="str">
        <f t="shared" si="1"/>
        <v>Unavailable</v>
      </c>
      <c r="C7473" s="3">
        <v>439.0</v>
      </c>
      <c r="D7473" s="3">
        <f>IFERROR(__xludf.DUMMYFUNCTION("IFERROR(
IF(REGEXMATCH(LOWER(O7473),""k""),
VALUE(REGEXEXTRACT(O7473,""[0-9]+""))*1000,
VALUE(REGEXEXTRACT(O7473,""[0-9]+""))
),
0
)"),0.0)</f>
        <v>0</v>
      </c>
      <c r="E7473" s="1" t="s">
        <v>11</v>
      </c>
      <c r="F7473" s="1" t="s">
        <v>20</v>
      </c>
      <c r="G7473" s="4" t="b">
        <f t="shared" si="2"/>
        <v>1</v>
      </c>
      <c r="H7473" s="1" t="str">
        <f t="shared" si="3"/>
        <v>Currently Unavailable</v>
      </c>
      <c r="I7473" s="1" t="str">
        <f t="shared" si="4"/>
        <v>No Badges</v>
      </c>
      <c r="J7473" s="3">
        <f t="shared" si="5"/>
        <v>0</v>
      </c>
    </row>
    <row r="7474">
      <c r="A7474" s="1" t="s">
        <v>5718</v>
      </c>
      <c r="B7474" s="3" t="str">
        <f t="shared" si="1"/>
        <v>Unavailable</v>
      </c>
      <c r="C7474" s="3">
        <v>8.0</v>
      </c>
      <c r="D7474" s="3">
        <f>IFERROR(__xludf.DUMMYFUNCTION("IFERROR(
IF(REGEXMATCH(LOWER(O7474),""k""),
VALUE(REGEXEXTRACT(O7474,""[0-9]+""))*1000,
VALUE(REGEXEXTRACT(O7474,""[0-9]+""))
),
0
)"),0.0)</f>
        <v>0</v>
      </c>
      <c r="E7474" s="1" t="s">
        <v>11</v>
      </c>
      <c r="F7474" s="1" t="s">
        <v>20</v>
      </c>
      <c r="G7474" s="4" t="b">
        <f t="shared" si="2"/>
        <v>1</v>
      </c>
      <c r="H7474" s="1" t="str">
        <f t="shared" si="3"/>
        <v>Currently Unavailable</v>
      </c>
      <c r="I7474" s="1" t="str">
        <f t="shared" si="4"/>
        <v>No Badges</v>
      </c>
      <c r="J7474" s="3">
        <f t="shared" si="5"/>
        <v>0</v>
      </c>
    </row>
    <row r="7475">
      <c r="A7475" s="1" t="s">
        <v>5603</v>
      </c>
      <c r="B7475" s="3" t="str">
        <f t="shared" si="1"/>
        <v>Unavailable</v>
      </c>
      <c r="C7475" s="3">
        <v>102.0</v>
      </c>
      <c r="D7475" s="3">
        <f>IFERROR(__xludf.DUMMYFUNCTION("IFERROR(
IF(REGEXMATCH(LOWER(O7475),""k""),
VALUE(REGEXEXTRACT(O7475,""[0-9]+""))*1000,
VALUE(REGEXEXTRACT(O7475,""[0-9]+""))
),
0
)"),0.0)</f>
        <v>0</v>
      </c>
      <c r="E7475" s="1" t="s">
        <v>11</v>
      </c>
      <c r="F7475" s="1" t="s">
        <v>20</v>
      </c>
      <c r="G7475" s="4" t="b">
        <f t="shared" si="2"/>
        <v>1</v>
      </c>
      <c r="H7475" s="1" t="str">
        <f t="shared" si="3"/>
        <v>Currently Unavailable</v>
      </c>
      <c r="I7475" s="1" t="str">
        <f t="shared" si="4"/>
        <v>No Badges</v>
      </c>
      <c r="J7475" s="3">
        <f t="shared" si="5"/>
        <v>0</v>
      </c>
    </row>
    <row r="7476">
      <c r="A7476" s="1" t="s">
        <v>5719</v>
      </c>
      <c r="B7476" s="3" t="str">
        <f t="shared" si="1"/>
        <v>Unavailable</v>
      </c>
      <c r="C7476" s="3">
        <v>24.0</v>
      </c>
      <c r="D7476" s="3">
        <f>IFERROR(__xludf.DUMMYFUNCTION("IFERROR(
IF(REGEXMATCH(LOWER(O7476),""k""),
VALUE(REGEXEXTRACT(O7476,""[0-9]+""))*1000,
VALUE(REGEXEXTRACT(O7476,""[0-9]+""))
),
0
)"),0.0)</f>
        <v>0</v>
      </c>
      <c r="E7476" s="1" t="s">
        <v>11</v>
      </c>
      <c r="F7476" s="1" t="s">
        <v>20</v>
      </c>
      <c r="G7476" s="4" t="b">
        <f t="shared" si="2"/>
        <v>1</v>
      </c>
      <c r="H7476" s="1" t="str">
        <f t="shared" si="3"/>
        <v>Currently Unavailable</v>
      </c>
      <c r="I7476" s="1" t="str">
        <f t="shared" si="4"/>
        <v>No Badges</v>
      </c>
      <c r="J7476" s="3">
        <f t="shared" si="5"/>
        <v>0</v>
      </c>
    </row>
    <row r="7477">
      <c r="A7477" s="1" t="s">
        <v>5720</v>
      </c>
      <c r="B7477" s="3" t="str">
        <f t="shared" si="1"/>
        <v>Unavailable</v>
      </c>
      <c r="C7477" s="3">
        <v>109.0</v>
      </c>
      <c r="D7477" s="3">
        <f>IFERROR(__xludf.DUMMYFUNCTION("IFERROR(
IF(REGEXMATCH(LOWER(O7477),""k""),
VALUE(REGEXEXTRACT(O7477,""[0-9]+""))*1000,
VALUE(REGEXEXTRACT(O7477,""[0-9]+""))
),
0
)"),0.0)</f>
        <v>0</v>
      </c>
      <c r="E7477" s="1" t="s">
        <v>11</v>
      </c>
      <c r="F7477" s="1" t="s">
        <v>20</v>
      </c>
      <c r="G7477" s="4" t="b">
        <f t="shared" si="2"/>
        <v>1</v>
      </c>
      <c r="H7477" s="1" t="str">
        <f t="shared" si="3"/>
        <v>Currently Unavailable</v>
      </c>
      <c r="I7477" s="1" t="str">
        <f t="shared" si="4"/>
        <v>No Badges</v>
      </c>
      <c r="J7477" s="3">
        <f t="shared" si="5"/>
        <v>0</v>
      </c>
    </row>
    <row r="7478">
      <c r="A7478" s="1" t="s">
        <v>5721</v>
      </c>
      <c r="B7478" s="3" t="str">
        <f t="shared" si="1"/>
        <v>Unavailable</v>
      </c>
      <c r="C7478" s="5">
        <v>1946.0</v>
      </c>
      <c r="D7478" s="3">
        <f>IFERROR(__xludf.DUMMYFUNCTION("IFERROR(
IF(REGEXMATCH(LOWER(O7478),""k""),
VALUE(REGEXEXTRACT(O7478,""[0-9]+""))*1000,
VALUE(REGEXEXTRACT(O7478,""[0-9]+""))
),
0
)"),0.0)</f>
        <v>0</v>
      </c>
      <c r="E7478" s="1" t="s">
        <v>11</v>
      </c>
      <c r="F7478" s="1" t="s">
        <v>20</v>
      </c>
      <c r="G7478" s="4" t="b">
        <f t="shared" si="2"/>
        <v>1</v>
      </c>
      <c r="H7478" s="1" t="str">
        <f t="shared" si="3"/>
        <v>Currently Unavailable</v>
      </c>
      <c r="I7478" s="1" t="str">
        <f t="shared" si="4"/>
        <v>No Badges</v>
      </c>
      <c r="J7478" s="3">
        <f t="shared" si="5"/>
        <v>0</v>
      </c>
    </row>
    <row r="7479">
      <c r="A7479" s="1" t="s">
        <v>5722</v>
      </c>
      <c r="B7479" s="3" t="str">
        <f t="shared" si="1"/>
        <v>Unavailable</v>
      </c>
      <c r="C7479" s="3">
        <v>2.0</v>
      </c>
      <c r="D7479" s="3">
        <f>IFERROR(__xludf.DUMMYFUNCTION("IFERROR(
IF(REGEXMATCH(LOWER(O7479),""k""),
VALUE(REGEXEXTRACT(O7479,""[0-9]+""))*1000,
VALUE(REGEXEXTRACT(O7479,""[0-9]+""))
),
0
)"),0.0)</f>
        <v>0</v>
      </c>
      <c r="E7479" s="1" t="s">
        <v>11</v>
      </c>
      <c r="F7479" s="1" t="s">
        <v>20</v>
      </c>
      <c r="G7479" s="4" t="b">
        <f t="shared" si="2"/>
        <v>1</v>
      </c>
      <c r="H7479" s="1" t="str">
        <f t="shared" si="3"/>
        <v>Currently Unavailable</v>
      </c>
      <c r="I7479" s="1" t="str">
        <f t="shared" si="4"/>
        <v>No Badges</v>
      </c>
      <c r="J7479" s="3">
        <f t="shared" si="5"/>
        <v>0</v>
      </c>
    </row>
    <row r="7480">
      <c r="A7480" s="1" t="s">
        <v>5723</v>
      </c>
      <c r="B7480" s="3" t="str">
        <f t="shared" si="1"/>
        <v>Unavailable</v>
      </c>
      <c r="C7480" s="3">
        <v>21.0</v>
      </c>
      <c r="D7480" s="3">
        <f>IFERROR(__xludf.DUMMYFUNCTION("IFERROR(
IF(REGEXMATCH(LOWER(O7480),""k""),
VALUE(REGEXEXTRACT(O7480,""[0-9]+""))*1000,
VALUE(REGEXEXTRACT(O7480,""[0-9]+""))
),
0
)"),0.0)</f>
        <v>0</v>
      </c>
      <c r="E7480" s="1" t="s">
        <v>11</v>
      </c>
      <c r="F7480" s="1" t="s">
        <v>20</v>
      </c>
      <c r="G7480" s="4" t="b">
        <f t="shared" si="2"/>
        <v>1</v>
      </c>
      <c r="H7480" s="1" t="str">
        <f t="shared" si="3"/>
        <v>Currently Unavailable</v>
      </c>
      <c r="I7480" s="1" t="str">
        <f t="shared" si="4"/>
        <v>No Badges</v>
      </c>
      <c r="J7480" s="3">
        <f t="shared" si="5"/>
        <v>0</v>
      </c>
    </row>
    <row r="7481">
      <c r="A7481" s="1" t="s">
        <v>69</v>
      </c>
      <c r="B7481" s="3" t="str">
        <f t="shared" si="1"/>
        <v>Unavailable</v>
      </c>
      <c r="C7481" s="3">
        <v>45.0</v>
      </c>
      <c r="D7481" s="3">
        <f>IFERROR(__xludf.DUMMYFUNCTION("IFERROR(
IF(REGEXMATCH(LOWER(O7481),""k""),
VALUE(REGEXEXTRACT(O7481,""[0-9]+""))*1000,
VALUE(REGEXEXTRACT(O7481,""[0-9]+""))
),
0
)"),0.0)</f>
        <v>0</v>
      </c>
      <c r="E7481" s="1" t="s">
        <v>11</v>
      </c>
      <c r="F7481" s="1" t="s">
        <v>12</v>
      </c>
      <c r="G7481" s="4" t="b">
        <f t="shared" si="2"/>
        <v>1</v>
      </c>
      <c r="H7481" s="1" t="str">
        <f t="shared" si="3"/>
        <v>Currently Unavailable</v>
      </c>
      <c r="I7481" s="1" t="str">
        <f t="shared" si="4"/>
        <v>No Badges</v>
      </c>
      <c r="J7481" s="3">
        <f t="shared" si="5"/>
        <v>0</v>
      </c>
    </row>
    <row r="7482">
      <c r="A7482" s="1" t="s">
        <v>67</v>
      </c>
      <c r="B7482" s="3" t="str">
        <f t="shared" si="1"/>
        <v>Unavailable</v>
      </c>
      <c r="C7482" s="3">
        <v>264.0</v>
      </c>
      <c r="D7482" s="3">
        <f>IFERROR(__xludf.DUMMYFUNCTION("IFERROR(
IF(REGEXMATCH(LOWER(O7482),""k""),
VALUE(REGEXEXTRACT(O7482,""[0-9]+""))*1000,
VALUE(REGEXEXTRACT(O7482,""[0-9]+""))
),
0
)"),0.0)</f>
        <v>0</v>
      </c>
      <c r="E7482" s="1" t="s">
        <v>11</v>
      </c>
      <c r="F7482" s="1" t="s">
        <v>12</v>
      </c>
      <c r="G7482" s="4" t="b">
        <f t="shared" si="2"/>
        <v>1</v>
      </c>
      <c r="H7482" s="1" t="str">
        <f t="shared" si="3"/>
        <v>Currently Unavailable</v>
      </c>
      <c r="I7482" s="1" t="str">
        <f t="shared" si="4"/>
        <v>No Badges</v>
      </c>
      <c r="J7482" s="3">
        <f t="shared" si="5"/>
        <v>0</v>
      </c>
    </row>
    <row r="7483">
      <c r="A7483" s="1" t="s">
        <v>5724</v>
      </c>
      <c r="B7483" s="3" t="str">
        <f t="shared" si="1"/>
        <v>Unavailable</v>
      </c>
      <c r="C7483" s="3">
        <v>69.0</v>
      </c>
      <c r="D7483" s="3">
        <f>IFERROR(__xludf.DUMMYFUNCTION("IFERROR(
IF(REGEXMATCH(LOWER(O7483),""k""),
VALUE(REGEXEXTRACT(O7483,""[0-9]+""))*1000,
VALUE(REGEXEXTRACT(O7483,""[0-9]+""))
),
0
)"),0.0)</f>
        <v>0</v>
      </c>
      <c r="E7483" s="1" t="s">
        <v>11</v>
      </c>
      <c r="F7483" s="1" t="s">
        <v>20</v>
      </c>
      <c r="G7483" s="4" t="b">
        <f t="shared" si="2"/>
        <v>1</v>
      </c>
      <c r="H7483" s="1" t="str">
        <f t="shared" si="3"/>
        <v>Currently Unavailable</v>
      </c>
      <c r="I7483" s="1" t="str">
        <f t="shared" si="4"/>
        <v>No Badges</v>
      </c>
      <c r="J7483" s="3">
        <f t="shared" si="5"/>
        <v>0</v>
      </c>
    </row>
    <row r="7484">
      <c r="A7484" s="1" t="s">
        <v>5725</v>
      </c>
      <c r="B7484" s="3" t="str">
        <f t="shared" si="1"/>
        <v>Unavailable</v>
      </c>
      <c r="C7484" s="3">
        <v>93.0</v>
      </c>
      <c r="D7484" s="3">
        <f>IFERROR(__xludf.DUMMYFUNCTION("IFERROR(
IF(REGEXMATCH(LOWER(O7484),""k""),
VALUE(REGEXEXTRACT(O7484,""[0-9]+""))*1000,
VALUE(REGEXEXTRACT(O7484,""[0-9]+""))
),
0
)"),0.0)</f>
        <v>0</v>
      </c>
      <c r="E7484" s="1" t="s">
        <v>11</v>
      </c>
      <c r="F7484" s="1" t="s">
        <v>20</v>
      </c>
      <c r="G7484" s="4" t="b">
        <f t="shared" si="2"/>
        <v>1</v>
      </c>
      <c r="H7484" s="1" t="str">
        <f t="shared" si="3"/>
        <v>Currently Unavailable</v>
      </c>
      <c r="I7484" s="1" t="str">
        <f t="shared" si="4"/>
        <v>No Badges</v>
      </c>
      <c r="J7484" s="3">
        <f t="shared" si="5"/>
        <v>0</v>
      </c>
    </row>
    <row r="7485">
      <c r="A7485" s="1" t="s">
        <v>5726</v>
      </c>
      <c r="B7485" s="3" t="str">
        <f t="shared" si="1"/>
        <v>Unavailable</v>
      </c>
      <c r="C7485" s="3">
        <v>19.0</v>
      </c>
      <c r="D7485" s="3">
        <f>IFERROR(__xludf.DUMMYFUNCTION("IFERROR(
IF(REGEXMATCH(LOWER(O7485),""k""),
VALUE(REGEXEXTRACT(O7485,""[0-9]+""))*1000,
VALUE(REGEXEXTRACT(O7485,""[0-9]+""))
),
0
)"),0.0)</f>
        <v>0</v>
      </c>
      <c r="E7485" s="1" t="s">
        <v>11</v>
      </c>
      <c r="F7485" s="1" t="s">
        <v>20</v>
      </c>
      <c r="G7485" s="4" t="b">
        <f t="shared" si="2"/>
        <v>1</v>
      </c>
      <c r="H7485" s="1" t="str">
        <f t="shared" si="3"/>
        <v>Currently Unavailable</v>
      </c>
      <c r="I7485" s="1" t="str">
        <f t="shared" si="4"/>
        <v>No Badges</v>
      </c>
      <c r="J7485" s="3">
        <f t="shared" si="5"/>
        <v>0</v>
      </c>
    </row>
    <row r="7486">
      <c r="A7486" s="1" t="s">
        <v>5727</v>
      </c>
      <c r="B7486" s="3" t="str">
        <f t="shared" si="1"/>
        <v>Unavailable</v>
      </c>
      <c r="C7486" s="3">
        <v>236.0</v>
      </c>
      <c r="D7486" s="3">
        <f>IFERROR(__xludf.DUMMYFUNCTION("IFERROR(
IF(REGEXMATCH(LOWER(O7486),""k""),
VALUE(REGEXEXTRACT(O7486,""[0-9]+""))*1000,
VALUE(REGEXEXTRACT(O7486,""[0-9]+""))
),
0
)"),0.0)</f>
        <v>0</v>
      </c>
      <c r="E7486" s="1" t="s">
        <v>11</v>
      </c>
      <c r="F7486" s="1" t="s">
        <v>20</v>
      </c>
      <c r="G7486" s="4" t="b">
        <f t="shared" si="2"/>
        <v>1</v>
      </c>
      <c r="H7486" s="1" t="str">
        <f t="shared" si="3"/>
        <v>Currently Unavailable</v>
      </c>
      <c r="I7486" s="1" t="str">
        <f t="shared" si="4"/>
        <v>No Badges</v>
      </c>
      <c r="J7486" s="3">
        <f t="shared" si="5"/>
        <v>0</v>
      </c>
    </row>
    <row r="7487">
      <c r="A7487" s="1" t="s">
        <v>5728</v>
      </c>
      <c r="B7487" s="3" t="str">
        <f t="shared" si="1"/>
        <v>Unavailable</v>
      </c>
      <c r="C7487" s="3">
        <v>82.0</v>
      </c>
      <c r="D7487" s="3">
        <f>IFERROR(__xludf.DUMMYFUNCTION("IFERROR(
IF(REGEXMATCH(LOWER(O7487),""k""),
VALUE(REGEXEXTRACT(O7487,""[0-9]+""))*1000,
VALUE(REGEXEXTRACT(O7487,""[0-9]+""))
),
0
)"),0.0)</f>
        <v>0</v>
      </c>
      <c r="E7487" s="1" t="s">
        <v>11</v>
      </c>
      <c r="F7487" s="1" t="s">
        <v>20</v>
      </c>
      <c r="G7487" s="4" t="b">
        <f t="shared" si="2"/>
        <v>1</v>
      </c>
      <c r="H7487" s="1" t="str">
        <f t="shared" si="3"/>
        <v>Currently Unavailable</v>
      </c>
      <c r="I7487" s="1" t="str">
        <f t="shared" si="4"/>
        <v>No Badges</v>
      </c>
      <c r="J7487" s="3">
        <f t="shared" si="5"/>
        <v>0</v>
      </c>
    </row>
    <row r="7488">
      <c r="A7488" s="1" t="s">
        <v>5729</v>
      </c>
      <c r="B7488" s="3" t="str">
        <f t="shared" si="1"/>
        <v>Unavailable</v>
      </c>
      <c r="C7488" s="3">
        <v>3.0</v>
      </c>
      <c r="D7488" s="3">
        <f>IFERROR(__xludf.DUMMYFUNCTION("IFERROR(
IF(REGEXMATCH(LOWER(O7488),""k""),
VALUE(REGEXEXTRACT(O7488,""[0-9]+""))*1000,
VALUE(REGEXEXTRACT(O7488,""[0-9]+""))
),
0
)"),0.0)</f>
        <v>0</v>
      </c>
      <c r="E7488" s="1" t="s">
        <v>11</v>
      </c>
      <c r="F7488" s="1" t="s">
        <v>20</v>
      </c>
      <c r="G7488" s="4" t="b">
        <f t="shared" si="2"/>
        <v>1</v>
      </c>
      <c r="H7488" s="1" t="str">
        <f t="shared" si="3"/>
        <v>Currently Unavailable</v>
      </c>
      <c r="I7488" s="1" t="str">
        <f t="shared" si="4"/>
        <v>No Badges</v>
      </c>
      <c r="J7488" s="3">
        <f t="shared" si="5"/>
        <v>0</v>
      </c>
    </row>
    <row r="7489">
      <c r="A7489" s="1" t="s">
        <v>5730</v>
      </c>
      <c r="B7489" s="3" t="str">
        <f t="shared" si="1"/>
        <v>Unavailable</v>
      </c>
      <c r="C7489" s="3">
        <v>141.0</v>
      </c>
      <c r="D7489" s="3">
        <f>IFERROR(__xludf.DUMMYFUNCTION("IFERROR(
IF(REGEXMATCH(LOWER(O7489),""k""),
VALUE(REGEXEXTRACT(O7489,""[0-9]+""))*1000,
VALUE(REGEXEXTRACT(O7489,""[0-9]+""))
),
0
)"),0.0)</f>
        <v>0</v>
      </c>
      <c r="E7489" s="1" t="s">
        <v>11</v>
      </c>
      <c r="F7489" s="1" t="s">
        <v>20</v>
      </c>
      <c r="G7489" s="4" t="b">
        <f t="shared" si="2"/>
        <v>1</v>
      </c>
      <c r="H7489" s="1" t="str">
        <f t="shared" si="3"/>
        <v>Currently Unavailable</v>
      </c>
      <c r="I7489" s="1" t="str">
        <f t="shared" si="4"/>
        <v>No Badges</v>
      </c>
      <c r="J7489" s="3">
        <f t="shared" si="5"/>
        <v>0</v>
      </c>
    </row>
    <row r="7490">
      <c r="A7490" s="1" t="s">
        <v>5657</v>
      </c>
      <c r="B7490" s="3" t="str">
        <f t="shared" si="1"/>
        <v>Unavailable</v>
      </c>
      <c r="C7490" s="3">
        <v>357.0</v>
      </c>
      <c r="D7490" s="3">
        <f>IFERROR(__xludf.DUMMYFUNCTION("IFERROR(
IF(REGEXMATCH(LOWER(O7490),""k""),
VALUE(REGEXEXTRACT(O7490,""[0-9]+""))*1000,
VALUE(REGEXEXTRACT(O7490,""[0-9]+""))
),
0
)"),0.0)</f>
        <v>0</v>
      </c>
      <c r="E7490" s="1" t="s">
        <v>11</v>
      </c>
      <c r="F7490" s="1" t="s">
        <v>20</v>
      </c>
      <c r="G7490" s="4" t="b">
        <f t="shared" si="2"/>
        <v>1</v>
      </c>
      <c r="H7490" s="1" t="str">
        <f t="shared" si="3"/>
        <v>Currently Unavailable</v>
      </c>
      <c r="I7490" s="1" t="str">
        <f t="shared" si="4"/>
        <v>No Badges</v>
      </c>
      <c r="J7490" s="3">
        <f t="shared" si="5"/>
        <v>0</v>
      </c>
    </row>
    <row r="7491">
      <c r="A7491" s="1" t="s">
        <v>5731</v>
      </c>
      <c r="B7491" s="3" t="str">
        <f t="shared" si="1"/>
        <v>Unavailable</v>
      </c>
      <c r="C7491" s="3">
        <v>71.0</v>
      </c>
      <c r="D7491" s="3">
        <f>IFERROR(__xludf.DUMMYFUNCTION("IFERROR(
IF(REGEXMATCH(LOWER(O7491),""k""),
VALUE(REGEXEXTRACT(O7491,""[0-9]+""))*1000,
VALUE(REGEXEXTRACT(O7491,""[0-9]+""))
),
0
)"),0.0)</f>
        <v>0</v>
      </c>
      <c r="E7491" s="1" t="s">
        <v>11</v>
      </c>
      <c r="F7491" s="1" t="s">
        <v>20</v>
      </c>
      <c r="G7491" s="4" t="b">
        <f t="shared" si="2"/>
        <v>1</v>
      </c>
      <c r="H7491" s="1" t="str">
        <f t="shared" si="3"/>
        <v>Currently Unavailable</v>
      </c>
      <c r="I7491" s="1" t="str">
        <f t="shared" si="4"/>
        <v>No Badges</v>
      </c>
      <c r="J7491" s="3">
        <f t="shared" si="5"/>
        <v>0</v>
      </c>
    </row>
    <row r="7492">
      <c r="A7492" s="1" t="s">
        <v>5732</v>
      </c>
      <c r="B7492" s="3" t="str">
        <f t="shared" si="1"/>
        <v>Unavailable</v>
      </c>
      <c r="C7492" s="3">
        <v>14.0</v>
      </c>
      <c r="D7492" s="3">
        <f>IFERROR(__xludf.DUMMYFUNCTION("IFERROR(
IF(REGEXMATCH(LOWER(O7492),""k""),
VALUE(REGEXEXTRACT(O7492,""[0-9]+""))*1000,
VALUE(REGEXEXTRACT(O7492,""[0-9]+""))
),
0
)"),0.0)</f>
        <v>0</v>
      </c>
      <c r="E7492" s="1" t="s">
        <v>11</v>
      </c>
      <c r="F7492" s="1" t="s">
        <v>20</v>
      </c>
      <c r="G7492" s="4" t="b">
        <f t="shared" si="2"/>
        <v>1</v>
      </c>
      <c r="H7492" s="1" t="str">
        <f t="shared" si="3"/>
        <v>Currently Unavailable</v>
      </c>
      <c r="I7492" s="1" t="str">
        <f t="shared" si="4"/>
        <v>No Badges</v>
      </c>
      <c r="J7492" s="3">
        <f t="shared" si="5"/>
        <v>0</v>
      </c>
    </row>
    <row r="7493">
      <c r="A7493" s="1" t="s">
        <v>5644</v>
      </c>
      <c r="B7493" s="3" t="str">
        <f t="shared" si="1"/>
        <v>Unavailable</v>
      </c>
      <c r="C7493" s="3">
        <v>98.0</v>
      </c>
      <c r="D7493" s="3">
        <f>IFERROR(__xludf.DUMMYFUNCTION("IFERROR(
IF(REGEXMATCH(LOWER(O7493),""k""),
VALUE(REGEXEXTRACT(O7493,""[0-9]+""))*1000,
VALUE(REGEXEXTRACT(O7493,""[0-9]+""))
),
0
)"),0.0)</f>
        <v>0</v>
      </c>
      <c r="E7493" s="1" t="s">
        <v>11</v>
      </c>
      <c r="F7493" s="1" t="s">
        <v>20</v>
      </c>
      <c r="G7493" s="4" t="b">
        <f t="shared" si="2"/>
        <v>1</v>
      </c>
      <c r="H7493" s="1" t="str">
        <f t="shared" si="3"/>
        <v>Currently Unavailable</v>
      </c>
      <c r="I7493" s="1" t="str">
        <f t="shared" si="4"/>
        <v>No Badges</v>
      </c>
      <c r="J7493" s="3">
        <f t="shared" si="5"/>
        <v>0</v>
      </c>
    </row>
    <row r="7494">
      <c r="A7494" s="1" t="s">
        <v>5645</v>
      </c>
      <c r="B7494" s="3" t="str">
        <f t="shared" si="1"/>
        <v>Unavailable</v>
      </c>
      <c r="C7494" s="5">
        <v>1804.0</v>
      </c>
      <c r="D7494" s="3">
        <f>IFERROR(__xludf.DUMMYFUNCTION("IFERROR(
IF(REGEXMATCH(LOWER(O7494),""k""),
VALUE(REGEXEXTRACT(O7494,""[0-9]+""))*1000,
VALUE(REGEXEXTRACT(O7494,""[0-9]+""))
),
0
)"),0.0)</f>
        <v>0</v>
      </c>
      <c r="E7494" s="1" t="s">
        <v>11</v>
      </c>
      <c r="F7494" s="1" t="s">
        <v>20</v>
      </c>
      <c r="G7494" s="4" t="b">
        <f t="shared" si="2"/>
        <v>1</v>
      </c>
      <c r="H7494" s="1" t="str">
        <f t="shared" si="3"/>
        <v>Currently Unavailable</v>
      </c>
      <c r="I7494" s="1" t="str">
        <f t="shared" si="4"/>
        <v>No Badges</v>
      </c>
      <c r="J7494" s="3">
        <f t="shared" si="5"/>
        <v>0</v>
      </c>
    </row>
    <row r="7495">
      <c r="A7495" s="1" t="s">
        <v>5646</v>
      </c>
      <c r="B7495" s="3" t="str">
        <f t="shared" si="1"/>
        <v>Unavailable</v>
      </c>
      <c r="C7495" s="3">
        <v>243.0</v>
      </c>
      <c r="D7495" s="3">
        <f>IFERROR(__xludf.DUMMYFUNCTION("IFERROR(
IF(REGEXMATCH(LOWER(O7495),""k""),
VALUE(REGEXEXTRACT(O7495,""[0-9]+""))*1000,
VALUE(REGEXEXTRACT(O7495,""[0-9]+""))
),
0
)"),0.0)</f>
        <v>0</v>
      </c>
      <c r="E7495" s="1" t="s">
        <v>11</v>
      </c>
      <c r="F7495" s="1" t="s">
        <v>20</v>
      </c>
      <c r="G7495" s="4" t="b">
        <f t="shared" si="2"/>
        <v>1</v>
      </c>
      <c r="H7495" s="1" t="str">
        <f t="shared" si="3"/>
        <v>Currently Unavailable</v>
      </c>
      <c r="I7495" s="1" t="str">
        <f t="shared" si="4"/>
        <v>No Badges</v>
      </c>
      <c r="J7495" s="3">
        <f t="shared" si="5"/>
        <v>0</v>
      </c>
    </row>
    <row r="7496">
      <c r="A7496" s="1" t="s">
        <v>5733</v>
      </c>
      <c r="B7496" s="3" t="str">
        <f t="shared" si="1"/>
        <v>Unavailable</v>
      </c>
      <c r="C7496" s="3">
        <v>174.0</v>
      </c>
      <c r="D7496" s="3">
        <f>IFERROR(__xludf.DUMMYFUNCTION("IFERROR(
IF(REGEXMATCH(LOWER(O7496),""k""),
VALUE(REGEXEXTRACT(O7496,""[0-9]+""))*1000,
VALUE(REGEXEXTRACT(O7496,""[0-9]+""))
),
0
)"),0.0)</f>
        <v>0</v>
      </c>
      <c r="E7496" s="1" t="s">
        <v>11</v>
      </c>
      <c r="F7496" s="1" t="s">
        <v>20</v>
      </c>
      <c r="G7496" s="4" t="b">
        <f t="shared" si="2"/>
        <v>1</v>
      </c>
      <c r="H7496" s="1" t="str">
        <f t="shared" si="3"/>
        <v>Currently Unavailable</v>
      </c>
      <c r="I7496" s="1" t="str">
        <f t="shared" si="4"/>
        <v>No Badges</v>
      </c>
      <c r="J7496" s="3">
        <f t="shared" si="5"/>
        <v>0</v>
      </c>
    </row>
    <row r="7497">
      <c r="A7497" s="1" t="s">
        <v>701</v>
      </c>
      <c r="B7497" s="3" t="str">
        <f t="shared" si="1"/>
        <v>Unavailable</v>
      </c>
      <c r="C7497" s="3">
        <v>8.0</v>
      </c>
      <c r="D7497" s="3">
        <f>IFERROR(__xludf.DUMMYFUNCTION("IFERROR(
IF(REGEXMATCH(LOWER(O7497),""k""),
VALUE(REGEXEXTRACT(O7497,""[0-9]+""))*1000,
VALUE(REGEXEXTRACT(O7497,""[0-9]+""))
),
0
)"),0.0)</f>
        <v>0</v>
      </c>
      <c r="E7497" s="1" t="s">
        <v>11</v>
      </c>
      <c r="F7497" s="1" t="s">
        <v>12</v>
      </c>
      <c r="G7497" s="4" t="b">
        <f t="shared" si="2"/>
        <v>1</v>
      </c>
      <c r="H7497" s="1" t="str">
        <f t="shared" si="3"/>
        <v>Currently Unavailable</v>
      </c>
      <c r="I7497" s="1" t="str">
        <f t="shared" si="4"/>
        <v>No Badges</v>
      </c>
      <c r="J7497" s="3">
        <f t="shared" si="5"/>
        <v>0</v>
      </c>
    </row>
    <row r="7498">
      <c r="A7498" s="1" t="s">
        <v>40</v>
      </c>
      <c r="B7498" s="3" t="str">
        <f t="shared" si="1"/>
        <v>Unavailable</v>
      </c>
      <c r="C7498" s="3">
        <v>171.0</v>
      </c>
      <c r="D7498" s="3">
        <f>IFERROR(__xludf.DUMMYFUNCTION("IFERROR(
IF(REGEXMATCH(LOWER(O7498),""k""),
VALUE(REGEXEXTRACT(O7498,""[0-9]+""))*1000,
VALUE(REGEXEXTRACT(O7498,""[0-9]+""))
),
0
)"),0.0)</f>
        <v>0</v>
      </c>
      <c r="E7498" s="1" t="s">
        <v>11</v>
      </c>
      <c r="F7498" s="1" t="s">
        <v>12</v>
      </c>
      <c r="G7498" s="4" t="b">
        <f t="shared" si="2"/>
        <v>1</v>
      </c>
      <c r="H7498" s="1" t="str">
        <f t="shared" si="3"/>
        <v>Currently Unavailable</v>
      </c>
      <c r="I7498" s="1" t="str">
        <f t="shared" si="4"/>
        <v>No Badges</v>
      </c>
      <c r="J7498" s="3">
        <f t="shared" si="5"/>
        <v>0</v>
      </c>
    </row>
    <row r="7499">
      <c r="A7499" s="1" t="s">
        <v>5647</v>
      </c>
      <c r="B7499" s="3" t="str">
        <f t="shared" si="1"/>
        <v>Unavailable</v>
      </c>
      <c r="C7499" s="3">
        <v>88.0</v>
      </c>
      <c r="D7499" s="3">
        <f>IFERROR(__xludf.DUMMYFUNCTION("IFERROR(
IF(REGEXMATCH(LOWER(O7499),""k""),
VALUE(REGEXEXTRACT(O7499,""[0-9]+""))*1000,
VALUE(REGEXEXTRACT(O7499,""[0-9]+""))
),
0
)"),0.0)</f>
        <v>0</v>
      </c>
      <c r="E7499" s="1" t="s">
        <v>11</v>
      </c>
      <c r="F7499" s="1" t="s">
        <v>20</v>
      </c>
      <c r="G7499" s="4" t="b">
        <f t="shared" si="2"/>
        <v>1</v>
      </c>
      <c r="H7499" s="1" t="str">
        <f t="shared" si="3"/>
        <v>Currently Unavailable</v>
      </c>
      <c r="I7499" s="1" t="str">
        <f t="shared" si="4"/>
        <v>No Badges</v>
      </c>
      <c r="J7499" s="3">
        <f t="shared" si="5"/>
        <v>0</v>
      </c>
    </row>
    <row r="7500">
      <c r="A7500" s="1" t="s">
        <v>5648</v>
      </c>
      <c r="B7500" s="3" t="str">
        <f t="shared" si="1"/>
        <v>Unavailable</v>
      </c>
      <c r="C7500" s="3">
        <v>84.0</v>
      </c>
      <c r="D7500" s="3">
        <f>IFERROR(__xludf.DUMMYFUNCTION("IFERROR(
IF(REGEXMATCH(LOWER(O7500),""k""),
VALUE(REGEXEXTRACT(O7500,""[0-9]+""))*1000,
VALUE(REGEXEXTRACT(O7500,""[0-9]+""))
),
0
)"),0.0)</f>
        <v>0</v>
      </c>
      <c r="E7500" s="1" t="s">
        <v>11</v>
      </c>
      <c r="F7500" s="1" t="s">
        <v>20</v>
      </c>
      <c r="G7500" s="4" t="b">
        <f t="shared" si="2"/>
        <v>1</v>
      </c>
      <c r="H7500" s="1" t="str">
        <f t="shared" si="3"/>
        <v>Currently Unavailable</v>
      </c>
      <c r="I7500" s="1" t="str">
        <f t="shared" si="4"/>
        <v>No Badges</v>
      </c>
      <c r="J7500" s="3">
        <f t="shared" si="5"/>
        <v>0</v>
      </c>
    </row>
    <row r="7501">
      <c r="A7501" s="1" t="s">
        <v>5734</v>
      </c>
      <c r="B7501" s="3" t="str">
        <f t="shared" si="1"/>
        <v>Unavailable</v>
      </c>
      <c r="C7501" s="3">
        <v>174.0</v>
      </c>
      <c r="D7501" s="3">
        <f>IFERROR(__xludf.DUMMYFUNCTION("IFERROR(
IF(REGEXMATCH(LOWER(O7501),""k""),
VALUE(REGEXEXTRACT(O7501,""[0-9]+""))*1000,
VALUE(REGEXEXTRACT(O7501,""[0-9]+""))
),
0
)"),0.0)</f>
        <v>0</v>
      </c>
      <c r="E7501" s="1" t="s">
        <v>11</v>
      </c>
      <c r="F7501" s="1" t="s">
        <v>20</v>
      </c>
      <c r="G7501" s="4" t="b">
        <f t="shared" si="2"/>
        <v>1</v>
      </c>
      <c r="H7501" s="1" t="str">
        <f t="shared" si="3"/>
        <v>Currently Unavailable</v>
      </c>
      <c r="I7501" s="1" t="str">
        <f t="shared" si="4"/>
        <v>No Badges</v>
      </c>
      <c r="J7501" s="3">
        <f t="shared" si="5"/>
        <v>0</v>
      </c>
    </row>
    <row r="7502">
      <c r="A7502" s="1" t="s">
        <v>5735</v>
      </c>
      <c r="B7502" s="3" t="str">
        <f t="shared" si="1"/>
        <v>Unavailable</v>
      </c>
      <c r="C7502" s="3">
        <v>23.0</v>
      </c>
      <c r="D7502" s="3">
        <f>IFERROR(__xludf.DUMMYFUNCTION("IFERROR(
IF(REGEXMATCH(LOWER(O7502),""k""),
VALUE(REGEXEXTRACT(O7502,""[0-9]+""))*1000,
VALUE(REGEXEXTRACT(O7502,""[0-9]+""))
),
0
)"),0.0)</f>
        <v>0</v>
      </c>
      <c r="E7502" s="1" t="s">
        <v>11</v>
      </c>
      <c r="F7502" s="1" t="s">
        <v>20</v>
      </c>
      <c r="G7502" s="4" t="b">
        <f t="shared" si="2"/>
        <v>1</v>
      </c>
      <c r="H7502" s="1" t="str">
        <f t="shared" si="3"/>
        <v>Currently Unavailable</v>
      </c>
      <c r="I7502" s="1" t="str">
        <f t="shared" si="4"/>
        <v>No Badges</v>
      </c>
      <c r="J7502" s="3">
        <f t="shared" si="5"/>
        <v>0</v>
      </c>
    </row>
    <row r="7503">
      <c r="A7503" s="1" t="s">
        <v>5736</v>
      </c>
      <c r="B7503" s="3" t="str">
        <f t="shared" si="1"/>
        <v>Unavailable</v>
      </c>
      <c r="C7503" s="3">
        <v>819.0</v>
      </c>
      <c r="D7503" s="3">
        <f>IFERROR(__xludf.DUMMYFUNCTION("IFERROR(
IF(REGEXMATCH(LOWER(O7503),""k""),
VALUE(REGEXEXTRACT(O7503,""[0-9]+""))*1000,
VALUE(REGEXEXTRACT(O7503,""[0-9]+""))
),
0
)"),0.0)</f>
        <v>0</v>
      </c>
      <c r="E7503" s="1" t="s">
        <v>11</v>
      </c>
      <c r="F7503" s="1" t="s">
        <v>20</v>
      </c>
      <c r="G7503" s="4" t="b">
        <f t="shared" si="2"/>
        <v>1</v>
      </c>
      <c r="H7503" s="1" t="str">
        <f t="shared" si="3"/>
        <v>Currently Unavailable</v>
      </c>
      <c r="I7503" s="1" t="str">
        <f t="shared" si="4"/>
        <v>No Badges</v>
      </c>
      <c r="J7503" s="3">
        <f t="shared" si="5"/>
        <v>0</v>
      </c>
    </row>
    <row r="7504">
      <c r="A7504" s="1" t="s">
        <v>5737</v>
      </c>
      <c r="B7504" s="3" t="str">
        <f t="shared" si="1"/>
        <v>Unavailable</v>
      </c>
      <c r="C7504" s="3">
        <v>105.0</v>
      </c>
      <c r="D7504" s="3">
        <f>IFERROR(__xludf.DUMMYFUNCTION("IFERROR(
IF(REGEXMATCH(LOWER(O7504),""k""),
VALUE(REGEXEXTRACT(O7504,""[0-9]+""))*1000,
VALUE(REGEXEXTRACT(O7504,""[0-9]+""))
),
0
)"),0.0)</f>
        <v>0</v>
      </c>
      <c r="E7504" s="1" t="s">
        <v>11</v>
      </c>
      <c r="F7504" s="1" t="s">
        <v>20</v>
      </c>
      <c r="G7504" s="4" t="b">
        <f t="shared" si="2"/>
        <v>1</v>
      </c>
      <c r="H7504" s="1" t="str">
        <f t="shared" si="3"/>
        <v>Currently Unavailable</v>
      </c>
      <c r="I7504" s="1" t="str">
        <f t="shared" si="4"/>
        <v>No Badges</v>
      </c>
      <c r="J7504" s="3">
        <f t="shared" si="5"/>
        <v>0</v>
      </c>
    </row>
    <row r="7505">
      <c r="A7505" s="1" t="s">
        <v>5738</v>
      </c>
      <c r="B7505" s="3" t="str">
        <f t="shared" si="1"/>
        <v>Unavailable</v>
      </c>
      <c r="C7505" s="3">
        <v>135.0</v>
      </c>
      <c r="D7505" s="3">
        <f>IFERROR(__xludf.DUMMYFUNCTION("IFERROR(
IF(REGEXMATCH(LOWER(O7505),""k""),
VALUE(REGEXEXTRACT(O7505,""[0-9]+""))*1000,
VALUE(REGEXEXTRACT(O7505,""[0-9]+""))
),
0
)"),0.0)</f>
        <v>0</v>
      </c>
      <c r="E7505" s="1" t="s">
        <v>11</v>
      </c>
      <c r="F7505" s="1" t="s">
        <v>20</v>
      </c>
      <c r="G7505" s="4" t="b">
        <f t="shared" si="2"/>
        <v>1</v>
      </c>
      <c r="H7505" s="1" t="str">
        <f t="shared" si="3"/>
        <v>Currently Unavailable</v>
      </c>
      <c r="I7505" s="1" t="str">
        <f t="shared" si="4"/>
        <v>No Badges</v>
      </c>
      <c r="J7505" s="3">
        <f t="shared" si="5"/>
        <v>0</v>
      </c>
    </row>
    <row r="7506">
      <c r="A7506" s="1" t="s">
        <v>5739</v>
      </c>
      <c r="B7506" s="3" t="str">
        <f t="shared" si="1"/>
        <v>Unavailable</v>
      </c>
      <c r="C7506" s="3">
        <v>372.0</v>
      </c>
      <c r="D7506" s="3">
        <f>IFERROR(__xludf.DUMMYFUNCTION("IFERROR(
IF(REGEXMATCH(LOWER(O7506),""k""),
VALUE(REGEXEXTRACT(O7506,""[0-9]+""))*1000,
VALUE(REGEXEXTRACT(O7506,""[0-9]+""))
),
0
)"),0.0)</f>
        <v>0</v>
      </c>
      <c r="E7506" s="1" t="s">
        <v>11</v>
      </c>
      <c r="F7506" s="1" t="s">
        <v>20</v>
      </c>
      <c r="G7506" s="4" t="b">
        <f t="shared" si="2"/>
        <v>1</v>
      </c>
      <c r="H7506" s="1" t="str">
        <f t="shared" si="3"/>
        <v>Currently Unavailable</v>
      </c>
      <c r="I7506" s="1" t="str">
        <f t="shared" si="4"/>
        <v>No Badges</v>
      </c>
      <c r="J7506" s="3">
        <f t="shared" si="5"/>
        <v>0</v>
      </c>
    </row>
    <row r="7507">
      <c r="A7507" s="1" t="s">
        <v>5740</v>
      </c>
      <c r="B7507" s="3" t="str">
        <f t="shared" si="1"/>
        <v>Unavailable</v>
      </c>
      <c r="C7507" s="3">
        <v>4.0</v>
      </c>
      <c r="D7507" s="3">
        <f>IFERROR(__xludf.DUMMYFUNCTION("IFERROR(
IF(REGEXMATCH(LOWER(O7507),""k""),
VALUE(REGEXEXTRACT(O7507,""[0-9]+""))*1000,
VALUE(REGEXEXTRACT(O7507,""[0-9]+""))
),
0
)"),0.0)</f>
        <v>0</v>
      </c>
      <c r="E7507" s="1" t="s">
        <v>11</v>
      </c>
      <c r="F7507" s="1" t="s">
        <v>20</v>
      </c>
      <c r="G7507" s="4" t="b">
        <f t="shared" si="2"/>
        <v>1</v>
      </c>
      <c r="H7507" s="1" t="str">
        <f t="shared" si="3"/>
        <v>Currently Unavailable</v>
      </c>
      <c r="I7507" s="1" t="str">
        <f t="shared" si="4"/>
        <v>No Badges</v>
      </c>
      <c r="J7507" s="3">
        <f t="shared" si="5"/>
        <v>0</v>
      </c>
    </row>
    <row r="7508">
      <c r="A7508" s="1" t="s">
        <v>5741</v>
      </c>
      <c r="B7508" s="3" t="str">
        <f t="shared" si="1"/>
        <v>Unavailable</v>
      </c>
      <c r="C7508" s="5">
        <v>1932.0</v>
      </c>
      <c r="D7508" s="3">
        <f>IFERROR(__xludf.DUMMYFUNCTION("IFERROR(
IF(REGEXMATCH(LOWER(O7508),""k""),
VALUE(REGEXEXTRACT(O7508,""[0-9]+""))*1000,
VALUE(REGEXEXTRACT(O7508,""[0-9]+""))
),
0
)"),0.0)</f>
        <v>0</v>
      </c>
      <c r="E7508" s="1" t="s">
        <v>11</v>
      </c>
      <c r="F7508" s="1" t="s">
        <v>20</v>
      </c>
      <c r="G7508" s="4" t="b">
        <f t="shared" si="2"/>
        <v>1</v>
      </c>
      <c r="H7508" s="1" t="str">
        <f t="shared" si="3"/>
        <v>Currently Unavailable</v>
      </c>
      <c r="I7508" s="1" t="str">
        <f t="shared" si="4"/>
        <v>No Badges</v>
      </c>
      <c r="J7508" s="3">
        <f t="shared" si="5"/>
        <v>0</v>
      </c>
    </row>
    <row r="7509">
      <c r="A7509" s="1" t="s">
        <v>5742</v>
      </c>
      <c r="B7509" s="3" t="str">
        <f t="shared" si="1"/>
        <v>Unavailable</v>
      </c>
      <c r="C7509" s="3">
        <v>40.0</v>
      </c>
      <c r="D7509" s="3">
        <f>IFERROR(__xludf.DUMMYFUNCTION("IFERROR(
IF(REGEXMATCH(LOWER(O7509),""k""),
VALUE(REGEXEXTRACT(O7509,""[0-9]+""))*1000,
VALUE(REGEXEXTRACT(O7509,""[0-9]+""))
),
0
)"),0.0)</f>
        <v>0</v>
      </c>
      <c r="E7509" s="1" t="s">
        <v>11</v>
      </c>
      <c r="F7509" s="1" t="s">
        <v>20</v>
      </c>
      <c r="G7509" s="4" t="b">
        <f t="shared" si="2"/>
        <v>1</v>
      </c>
      <c r="H7509" s="1" t="str">
        <f t="shared" si="3"/>
        <v>Currently Unavailable</v>
      </c>
      <c r="I7509" s="1" t="str">
        <f t="shared" si="4"/>
        <v>No Badges</v>
      </c>
      <c r="J7509" s="3">
        <f t="shared" si="5"/>
        <v>0</v>
      </c>
    </row>
    <row r="7510">
      <c r="A7510" s="1" t="s">
        <v>5743</v>
      </c>
      <c r="B7510" s="3" t="str">
        <f t="shared" si="1"/>
        <v>Unavailable</v>
      </c>
      <c r="C7510" s="3">
        <v>435.0</v>
      </c>
      <c r="D7510" s="3">
        <f>IFERROR(__xludf.DUMMYFUNCTION("IFERROR(
IF(REGEXMATCH(LOWER(O7510),""k""),
VALUE(REGEXEXTRACT(O7510,""[0-9]+""))*1000,
VALUE(REGEXEXTRACT(O7510,""[0-9]+""))
),
0
)"),0.0)</f>
        <v>0</v>
      </c>
      <c r="E7510" s="1" t="s">
        <v>11</v>
      </c>
      <c r="F7510" s="1" t="s">
        <v>20</v>
      </c>
      <c r="G7510" s="4" t="b">
        <f t="shared" si="2"/>
        <v>1</v>
      </c>
      <c r="H7510" s="1" t="str">
        <f t="shared" si="3"/>
        <v>Currently Unavailable</v>
      </c>
      <c r="I7510" s="1" t="str">
        <f t="shared" si="4"/>
        <v>No Badges</v>
      </c>
      <c r="J7510" s="3">
        <f t="shared" si="5"/>
        <v>0</v>
      </c>
    </row>
    <row r="7511">
      <c r="A7511" s="1" t="s">
        <v>5744</v>
      </c>
      <c r="B7511" s="3" t="str">
        <f t="shared" si="1"/>
        <v>Unavailable</v>
      </c>
      <c r="C7511" s="3">
        <v>241.0</v>
      </c>
      <c r="D7511" s="3">
        <f>IFERROR(__xludf.DUMMYFUNCTION("IFERROR(
IF(REGEXMATCH(LOWER(O7511),""k""),
VALUE(REGEXEXTRACT(O7511,""[0-9]+""))*1000,
VALUE(REGEXEXTRACT(O7511,""[0-9]+""))
),
0
)"),0.0)</f>
        <v>0</v>
      </c>
      <c r="E7511" s="1" t="s">
        <v>11</v>
      </c>
      <c r="F7511" s="1" t="s">
        <v>20</v>
      </c>
      <c r="G7511" s="4" t="b">
        <f t="shared" si="2"/>
        <v>1</v>
      </c>
      <c r="H7511" s="1" t="str">
        <f t="shared" si="3"/>
        <v>Currently Unavailable</v>
      </c>
      <c r="I7511" s="1" t="str">
        <f t="shared" si="4"/>
        <v>No Badges</v>
      </c>
      <c r="J7511" s="3">
        <f t="shared" si="5"/>
        <v>0</v>
      </c>
    </row>
    <row r="7512">
      <c r="A7512" s="1" t="s">
        <v>5745</v>
      </c>
      <c r="B7512" s="3" t="str">
        <f t="shared" si="1"/>
        <v>Unavailable</v>
      </c>
      <c r="C7512" s="3">
        <v>104.0</v>
      </c>
      <c r="D7512" s="3">
        <f>IFERROR(__xludf.DUMMYFUNCTION("IFERROR(
IF(REGEXMATCH(LOWER(O7512),""k""),
VALUE(REGEXEXTRACT(O7512,""[0-9]+""))*1000,
VALUE(REGEXEXTRACT(O7512,""[0-9]+""))
),
0
)"),0.0)</f>
        <v>0</v>
      </c>
      <c r="E7512" s="1" t="s">
        <v>11</v>
      </c>
      <c r="F7512" s="1" t="s">
        <v>20</v>
      </c>
      <c r="G7512" s="4" t="b">
        <f t="shared" si="2"/>
        <v>1</v>
      </c>
      <c r="H7512" s="1" t="str">
        <f t="shared" si="3"/>
        <v>Currently Unavailable</v>
      </c>
      <c r="I7512" s="1" t="str">
        <f t="shared" si="4"/>
        <v>No Badges</v>
      </c>
      <c r="J7512" s="3">
        <f t="shared" si="5"/>
        <v>0</v>
      </c>
    </row>
    <row r="7513">
      <c r="A7513" s="1" t="s">
        <v>5746</v>
      </c>
      <c r="B7513" s="3" t="str">
        <f t="shared" si="1"/>
        <v>Unavailable</v>
      </c>
      <c r="C7513" s="3">
        <v>563.0</v>
      </c>
      <c r="D7513" s="3">
        <f>IFERROR(__xludf.DUMMYFUNCTION("IFERROR(
IF(REGEXMATCH(LOWER(O7513),""k""),
VALUE(REGEXEXTRACT(O7513,""[0-9]+""))*1000,
VALUE(REGEXEXTRACT(O7513,""[0-9]+""))
),
0
)"),0.0)</f>
        <v>0</v>
      </c>
      <c r="E7513" s="1" t="s">
        <v>11</v>
      </c>
      <c r="F7513" s="1" t="s">
        <v>20</v>
      </c>
      <c r="G7513" s="4" t="b">
        <f t="shared" si="2"/>
        <v>1</v>
      </c>
      <c r="H7513" s="1" t="str">
        <f t="shared" si="3"/>
        <v>Currently Unavailable</v>
      </c>
      <c r="I7513" s="1" t="str">
        <f t="shared" si="4"/>
        <v>No Badges</v>
      </c>
      <c r="J7513" s="3">
        <f t="shared" si="5"/>
        <v>0</v>
      </c>
    </row>
    <row r="7514">
      <c r="A7514" s="1" t="s">
        <v>690</v>
      </c>
      <c r="B7514" s="3" t="str">
        <f t="shared" si="1"/>
        <v>Unavailable</v>
      </c>
      <c r="C7514" s="3">
        <v>100.0</v>
      </c>
      <c r="D7514" s="3">
        <f>IFERROR(__xludf.DUMMYFUNCTION("IFERROR(
IF(REGEXMATCH(LOWER(O7514),""k""),
VALUE(REGEXEXTRACT(O7514,""[0-9]+""))*1000,
VALUE(REGEXEXTRACT(O7514,""[0-9]+""))
),
0
)"),0.0)</f>
        <v>0</v>
      </c>
      <c r="E7514" s="1" t="s">
        <v>11</v>
      </c>
      <c r="F7514" s="1" t="s">
        <v>20</v>
      </c>
      <c r="G7514" s="4" t="b">
        <f t="shared" si="2"/>
        <v>1</v>
      </c>
      <c r="H7514" s="1" t="str">
        <f t="shared" si="3"/>
        <v>Currently Unavailable</v>
      </c>
      <c r="I7514" s="1" t="str">
        <f t="shared" si="4"/>
        <v>No Badges</v>
      </c>
      <c r="J7514" s="3">
        <f t="shared" si="5"/>
        <v>0</v>
      </c>
    </row>
    <row r="7515">
      <c r="A7515" s="1" t="s">
        <v>751</v>
      </c>
      <c r="B7515" s="3" t="str">
        <f t="shared" si="1"/>
        <v>Unavailable</v>
      </c>
      <c r="C7515" s="3">
        <v>348.0</v>
      </c>
      <c r="D7515" s="3">
        <f>IFERROR(__xludf.DUMMYFUNCTION("IFERROR(
IF(REGEXMATCH(LOWER(O7515),""k""),
VALUE(REGEXEXTRACT(O7515,""[0-9]+""))*1000,
VALUE(REGEXEXTRACT(O7515,""[0-9]+""))
),
0
)"),0.0)</f>
        <v>0</v>
      </c>
      <c r="E7515" s="1" t="s">
        <v>11</v>
      </c>
      <c r="F7515" s="1" t="s">
        <v>20</v>
      </c>
      <c r="G7515" s="4" t="b">
        <f t="shared" si="2"/>
        <v>1</v>
      </c>
      <c r="H7515" s="1" t="str">
        <f t="shared" si="3"/>
        <v>Currently Unavailable</v>
      </c>
      <c r="I7515" s="1" t="str">
        <f t="shared" si="4"/>
        <v>No Badges</v>
      </c>
      <c r="J7515" s="3">
        <f t="shared" si="5"/>
        <v>0</v>
      </c>
    </row>
    <row r="7516">
      <c r="A7516" s="1" t="s">
        <v>5747</v>
      </c>
      <c r="B7516" s="3" t="str">
        <f t="shared" si="1"/>
        <v>Unavailable</v>
      </c>
      <c r="C7516" s="3">
        <v>94.0</v>
      </c>
      <c r="D7516" s="3">
        <f>IFERROR(__xludf.DUMMYFUNCTION("IFERROR(
IF(REGEXMATCH(LOWER(O7516),""k""),
VALUE(REGEXEXTRACT(O7516,""[0-9]+""))*1000,
VALUE(REGEXEXTRACT(O7516,""[0-9]+""))
),
0
)"),0.0)</f>
        <v>0</v>
      </c>
      <c r="E7516" s="1" t="s">
        <v>11</v>
      </c>
      <c r="F7516" s="1" t="s">
        <v>20</v>
      </c>
      <c r="G7516" s="4" t="b">
        <f t="shared" si="2"/>
        <v>1</v>
      </c>
      <c r="H7516" s="1" t="str">
        <f t="shared" si="3"/>
        <v>Currently Unavailable</v>
      </c>
      <c r="I7516" s="1" t="str">
        <f t="shared" si="4"/>
        <v>No Badges</v>
      </c>
      <c r="J7516" s="3">
        <f t="shared" si="5"/>
        <v>0</v>
      </c>
    </row>
    <row r="7517">
      <c r="A7517" s="1" t="s">
        <v>5748</v>
      </c>
      <c r="B7517" s="3" t="str">
        <f t="shared" si="1"/>
        <v>Unavailable</v>
      </c>
      <c r="C7517" s="3">
        <v>98.0</v>
      </c>
      <c r="D7517" s="3">
        <f>IFERROR(__xludf.DUMMYFUNCTION("IFERROR(
IF(REGEXMATCH(LOWER(O7517),""k""),
VALUE(REGEXEXTRACT(O7517,""[0-9]+""))*1000,
VALUE(REGEXEXTRACT(O7517,""[0-9]+""))
),
0
)"),0.0)</f>
        <v>0</v>
      </c>
      <c r="E7517" s="1" t="s">
        <v>11</v>
      </c>
      <c r="F7517" s="1" t="s">
        <v>20</v>
      </c>
      <c r="G7517" s="4" t="b">
        <f t="shared" si="2"/>
        <v>1</v>
      </c>
      <c r="H7517" s="1" t="str">
        <f t="shared" si="3"/>
        <v>Currently Unavailable</v>
      </c>
      <c r="I7517" s="1" t="str">
        <f t="shared" si="4"/>
        <v>No Badges</v>
      </c>
      <c r="J7517" s="3">
        <f t="shared" si="5"/>
        <v>0</v>
      </c>
    </row>
    <row r="7518">
      <c r="A7518" s="1" t="s">
        <v>5749</v>
      </c>
      <c r="B7518" s="3" t="str">
        <f t="shared" si="1"/>
        <v>Unavailable</v>
      </c>
      <c r="C7518" s="3">
        <v>29.0</v>
      </c>
      <c r="D7518" s="3">
        <f>IFERROR(__xludf.DUMMYFUNCTION("IFERROR(
IF(REGEXMATCH(LOWER(O7518),""k""),
VALUE(REGEXEXTRACT(O7518,""[0-9]+""))*1000,
VALUE(REGEXEXTRACT(O7518,""[0-9]+""))
),
0
)"),0.0)</f>
        <v>0</v>
      </c>
      <c r="E7518" s="1" t="s">
        <v>11</v>
      </c>
      <c r="F7518" s="1" t="s">
        <v>20</v>
      </c>
      <c r="G7518" s="4" t="b">
        <f t="shared" si="2"/>
        <v>1</v>
      </c>
      <c r="H7518" s="1" t="str">
        <f t="shared" si="3"/>
        <v>Currently Unavailable</v>
      </c>
      <c r="I7518" s="1" t="str">
        <f t="shared" si="4"/>
        <v>No Badges</v>
      </c>
      <c r="J7518" s="3">
        <f t="shared" si="5"/>
        <v>0</v>
      </c>
    </row>
    <row r="7519">
      <c r="A7519" s="1" t="s">
        <v>5750</v>
      </c>
      <c r="B7519" s="3" t="str">
        <f t="shared" si="1"/>
        <v>Unavailable</v>
      </c>
      <c r="C7519" s="3">
        <v>50.0</v>
      </c>
      <c r="D7519" s="3">
        <f>IFERROR(__xludf.DUMMYFUNCTION("IFERROR(
IF(REGEXMATCH(LOWER(O7519),""k""),
VALUE(REGEXEXTRACT(O7519,""[0-9]+""))*1000,
VALUE(REGEXEXTRACT(O7519,""[0-9]+""))
),
0
)"),0.0)</f>
        <v>0</v>
      </c>
      <c r="E7519" s="1" t="s">
        <v>11</v>
      </c>
      <c r="F7519" s="1" t="s">
        <v>20</v>
      </c>
      <c r="G7519" s="4" t="b">
        <f t="shared" si="2"/>
        <v>1</v>
      </c>
      <c r="H7519" s="1" t="str">
        <f t="shared" si="3"/>
        <v>Currently Unavailable</v>
      </c>
      <c r="I7519" s="1" t="str">
        <f t="shared" si="4"/>
        <v>No Badges</v>
      </c>
      <c r="J7519" s="3">
        <f t="shared" si="5"/>
        <v>0</v>
      </c>
    </row>
    <row r="7520">
      <c r="A7520" s="1" t="s">
        <v>5751</v>
      </c>
      <c r="B7520" s="3" t="str">
        <f t="shared" si="1"/>
        <v>Unavailable</v>
      </c>
      <c r="C7520" s="3">
        <v>127.0</v>
      </c>
      <c r="D7520" s="3">
        <f>IFERROR(__xludf.DUMMYFUNCTION("IFERROR(
IF(REGEXMATCH(LOWER(O7520),""k""),
VALUE(REGEXEXTRACT(O7520,""[0-9]+""))*1000,
VALUE(REGEXEXTRACT(O7520,""[0-9]+""))
),
0
)"),0.0)</f>
        <v>0</v>
      </c>
      <c r="E7520" s="1" t="s">
        <v>11</v>
      </c>
      <c r="F7520" s="1" t="s">
        <v>20</v>
      </c>
      <c r="G7520" s="4" t="b">
        <f t="shared" si="2"/>
        <v>1</v>
      </c>
      <c r="H7520" s="1" t="str">
        <f t="shared" si="3"/>
        <v>Currently Unavailable</v>
      </c>
      <c r="I7520" s="1" t="str">
        <f t="shared" si="4"/>
        <v>No Badges</v>
      </c>
      <c r="J7520" s="3">
        <f t="shared" si="5"/>
        <v>0</v>
      </c>
    </row>
    <row r="7521">
      <c r="A7521" s="1" t="s">
        <v>5752</v>
      </c>
      <c r="B7521" s="3" t="str">
        <f t="shared" si="1"/>
        <v>Unavailable</v>
      </c>
      <c r="C7521" s="3">
        <v>1.0</v>
      </c>
      <c r="D7521" s="3">
        <f>IFERROR(__xludf.DUMMYFUNCTION("IFERROR(
IF(REGEXMATCH(LOWER(O7521),""k""),
VALUE(REGEXEXTRACT(O7521,""[0-9]+""))*1000,
VALUE(REGEXEXTRACT(O7521,""[0-9]+""))
),
0
)"),0.0)</f>
        <v>0</v>
      </c>
      <c r="E7521" s="1" t="s">
        <v>11</v>
      </c>
      <c r="F7521" s="1" t="s">
        <v>20</v>
      </c>
      <c r="G7521" s="4" t="b">
        <f t="shared" si="2"/>
        <v>1</v>
      </c>
      <c r="H7521" s="1" t="str">
        <f t="shared" si="3"/>
        <v>Currently Unavailable</v>
      </c>
      <c r="I7521" s="1" t="str">
        <f t="shared" si="4"/>
        <v>No Badges</v>
      </c>
      <c r="J7521" s="3">
        <f t="shared" si="5"/>
        <v>0</v>
      </c>
    </row>
    <row r="7522">
      <c r="A7522" s="1" t="s">
        <v>5753</v>
      </c>
      <c r="B7522" s="3" t="str">
        <f t="shared" si="1"/>
        <v>Unavailable</v>
      </c>
      <c r="C7522" s="3">
        <v>82.0</v>
      </c>
      <c r="D7522" s="3">
        <f>IFERROR(__xludf.DUMMYFUNCTION("IFERROR(
IF(REGEXMATCH(LOWER(O7522),""k""),
VALUE(REGEXEXTRACT(O7522,""[0-9]+""))*1000,
VALUE(REGEXEXTRACT(O7522,""[0-9]+""))
),
0
)"),0.0)</f>
        <v>0</v>
      </c>
      <c r="E7522" s="1" t="s">
        <v>11</v>
      </c>
      <c r="F7522" s="1" t="s">
        <v>20</v>
      </c>
      <c r="G7522" s="4" t="b">
        <f t="shared" si="2"/>
        <v>1</v>
      </c>
      <c r="H7522" s="1" t="str">
        <f t="shared" si="3"/>
        <v>Currently Unavailable</v>
      </c>
      <c r="I7522" s="1" t="str">
        <f t="shared" si="4"/>
        <v>No Badges</v>
      </c>
      <c r="J7522" s="3">
        <f t="shared" si="5"/>
        <v>0</v>
      </c>
    </row>
    <row r="7523">
      <c r="A7523" s="1" t="s">
        <v>5754</v>
      </c>
      <c r="B7523" s="3" t="str">
        <f t="shared" si="1"/>
        <v>Unavailable</v>
      </c>
      <c r="C7523" s="3">
        <v>26.0</v>
      </c>
      <c r="D7523" s="3">
        <f>IFERROR(__xludf.DUMMYFUNCTION("IFERROR(
IF(REGEXMATCH(LOWER(O7523),""k""),
VALUE(REGEXEXTRACT(O7523,""[0-9]+""))*1000,
VALUE(REGEXEXTRACT(O7523,""[0-9]+""))
),
0
)"),0.0)</f>
        <v>0</v>
      </c>
      <c r="E7523" s="1" t="s">
        <v>11</v>
      </c>
      <c r="F7523" s="1" t="s">
        <v>20</v>
      </c>
      <c r="G7523" s="4" t="b">
        <f t="shared" si="2"/>
        <v>1</v>
      </c>
      <c r="H7523" s="1" t="str">
        <f t="shared" si="3"/>
        <v>Currently Unavailable</v>
      </c>
      <c r="I7523" s="1" t="str">
        <f t="shared" si="4"/>
        <v>No Badges</v>
      </c>
      <c r="J7523" s="3">
        <f t="shared" si="5"/>
        <v>0</v>
      </c>
    </row>
    <row r="7524">
      <c r="A7524" s="1" t="s">
        <v>5755</v>
      </c>
      <c r="B7524" s="3" t="str">
        <f t="shared" si="1"/>
        <v>Unavailable</v>
      </c>
      <c r="C7524" s="3">
        <v>179.0</v>
      </c>
      <c r="D7524" s="3">
        <f>IFERROR(__xludf.DUMMYFUNCTION("IFERROR(
IF(REGEXMATCH(LOWER(O7524),""k""),
VALUE(REGEXEXTRACT(O7524,""[0-9]+""))*1000,
VALUE(REGEXEXTRACT(O7524,""[0-9]+""))
),
0
)"),0.0)</f>
        <v>0</v>
      </c>
      <c r="E7524" s="1" t="s">
        <v>11</v>
      </c>
      <c r="F7524" s="1" t="s">
        <v>20</v>
      </c>
      <c r="G7524" s="4" t="b">
        <f t="shared" si="2"/>
        <v>1</v>
      </c>
      <c r="H7524" s="1" t="str">
        <f t="shared" si="3"/>
        <v>Currently Unavailable</v>
      </c>
      <c r="I7524" s="1" t="str">
        <f t="shared" si="4"/>
        <v>No Badges</v>
      </c>
      <c r="J7524" s="3">
        <f t="shared" si="5"/>
        <v>0</v>
      </c>
    </row>
    <row r="7525">
      <c r="A7525" s="1" t="s">
        <v>69</v>
      </c>
      <c r="B7525" s="3" t="str">
        <f t="shared" si="1"/>
        <v>Unavailable</v>
      </c>
      <c r="C7525" s="3">
        <v>45.0</v>
      </c>
      <c r="D7525" s="3">
        <f>IFERROR(__xludf.DUMMYFUNCTION("IFERROR(
IF(REGEXMATCH(LOWER(O7525),""k""),
VALUE(REGEXEXTRACT(O7525,""[0-9]+""))*1000,
VALUE(REGEXEXTRACT(O7525,""[0-9]+""))
),
0
)"),0.0)</f>
        <v>0</v>
      </c>
      <c r="E7525" s="1" t="s">
        <v>11</v>
      </c>
      <c r="F7525" s="1" t="s">
        <v>12</v>
      </c>
      <c r="G7525" s="4" t="b">
        <f t="shared" si="2"/>
        <v>1</v>
      </c>
      <c r="H7525" s="1" t="str">
        <f t="shared" si="3"/>
        <v>Currently Unavailable</v>
      </c>
      <c r="I7525" s="1" t="str">
        <f t="shared" si="4"/>
        <v>No Badges</v>
      </c>
      <c r="J7525" s="3">
        <f t="shared" si="5"/>
        <v>0</v>
      </c>
    </row>
    <row r="7526">
      <c r="A7526" s="1" t="s">
        <v>5756</v>
      </c>
      <c r="B7526" s="3" t="str">
        <f t="shared" si="1"/>
        <v>Unavailable</v>
      </c>
      <c r="C7526" s="3">
        <v>127.0</v>
      </c>
      <c r="D7526" s="3">
        <f>IFERROR(__xludf.DUMMYFUNCTION("IFERROR(
IF(REGEXMATCH(LOWER(O7526),""k""),
VALUE(REGEXEXTRACT(O7526,""[0-9]+""))*1000,
VALUE(REGEXEXTRACT(O7526,""[0-9]+""))
),
0
)"),0.0)</f>
        <v>0</v>
      </c>
      <c r="E7526" s="1" t="s">
        <v>11</v>
      </c>
      <c r="F7526" s="1" t="s">
        <v>20</v>
      </c>
      <c r="G7526" s="4" t="b">
        <f t="shared" si="2"/>
        <v>1</v>
      </c>
      <c r="H7526" s="1" t="str">
        <f t="shared" si="3"/>
        <v>Currently Unavailable</v>
      </c>
      <c r="I7526" s="1" t="str">
        <f t="shared" si="4"/>
        <v>No Badges</v>
      </c>
      <c r="J7526" s="3">
        <f t="shared" si="5"/>
        <v>0</v>
      </c>
    </row>
    <row r="7527">
      <c r="A7527" s="1" t="s">
        <v>5757</v>
      </c>
      <c r="B7527" s="3" t="str">
        <f t="shared" si="1"/>
        <v>Unavailable</v>
      </c>
      <c r="C7527" s="3">
        <v>86.0</v>
      </c>
      <c r="D7527" s="3">
        <f>IFERROR(__xludf.DUMMYFUNCTION("IFERROR(
IF(REGEXMATCH(LOWER(O7527),""k""),
VALUE(REGEXEXTRACT(O7527,""[0-9]+""))*1000,
VALUE(REGEXEXTRACT(O7527,""[0-9]+""))
),
0
)"),0.0)</f>
        <v>0</v>
      </c>
      <c r="E7527" s="1" t="s">
        <v>11</v>
      </c>
      <c r="F7527" s="1" t="s">
        <v>20</v>
      </c>
      <c r="G7527" s="4" t="b">
        <f t="shared" si="2"/>
        <v>1</v>
      </c>
      <c r="H7527" s="1" t="str">
        <f t="shared" si="3"/>
        <v>Currently Unavailable</v>
      </c>
      <c r="I7527" s="1" t="str">
        <f t="shared" si="4"/>
        <v>No Badges</v>
      </c>
      <c r="J7527" s="3">
        <f t="shared" si="5"/>
        <v>0</v>
      </c>
    </row>
    <row r="7528">
      <c r="A7528" s="1" t="s">
        <v>5758</v>
      </c>
      <c r="B7528" s="3" t="str">
        <f t="shared" si="1"/>
        <v>Unavailable</v>
      </c>
      <c r="C7528" s="3">
        <v>35.0</v>
      </c>
      <c r="D7528" s="3">
        <f>IFERROR(__xludf.DUMMYFUNCTION("IFERROR(
IF(REGEXMATCH(LOWER(O7528),""k""),
VALUE(REGEXEXTRACT(O7528,""[0-9]+""))*1000,
VALUE(REGEXEXTRACT(O7528,""[0-9]+""))
),
0
)"),0.0)</f>
        <v>0</v>
      </c>
      <c r="E7528" s="1" t="s">
        <v>11</v>
      </c>
      <c r="F7528" s="1" t="s">
        <v>20</v>
      </c>
      <c r="G7528" s="4" t="b">
        <f t="shared" si="2"/>
        <v>1</v>
      </c>
      <c r="H7528" s="1" t="str">
        <f t="shared" si="3"/>
        <v>Currently Unavailable</v>
      </c>
      <c r="I7528" s="1" t="str">
        <f t="shared" si="4"/>
        <v>No Badges</v>
      </c>
      <c r="J7528" s="3">
        <f t="shared" si="5"/>
        <v>0</v>
      </c>
    </row>
    <row r="7529">
      <c r="A7529" s="1" t="s">
        <v>5759</v>
      </c>
      <c r="B7529" s="3" t="str">
        <f t="shared" si="1"/>
        <v>Unavailable</v>
      </c>
      <c r="C7529" s="3">
        <v>15.0</v>
      </c>
      <c r="D7529" s="3">
        <f>IFERROR(__xludf.DUMMYFUNCTION("IFERROR(
IF(REGEXMATCH(LOWER(O7529),""k""),
VALUE(REGEXEXTRACT(O7529,""[0-9]+""))*1000,
VALUE(REGEXEXTRACT(O7529,""[0-9]+""))
),
0
)"),0.0)</f>
        <v>0</v>
      </c>
      <c r="E7529" s="1" t="s">
        <v>11</v>
      </c>
      <c r="F7529" s="1" t="s">
        <v>20</v>
      </c>
      <c r="G7529" s="4" t="b">
        <f t="shared" si="2"/>
        <v>1</v>
      </c>
      <c r="H7529" s="1" t="str">
        <f t="shared" si="3"/>
        <v>Currently Unavailable</v>
      </c>
      <c r="I7529" s="1" t="str">
        <f t="shared" si="4"/>
        <v>No Badges</v>
      </c>
      <c r="J7529" s="3">
        <f t="shared" si="5"/>
        <v>0</v>
      </c>
    </row>
    <row r="7530">
      <c r="A7530" s="1" t="s">
        <v>5760</v>
      </c>
      <c r="B7530" s="3" t="str">
        <f t="shared" si="1"/>
        <v>Unavailable</v>
      </c>
      <c r="C7530" s="3">
        <v>42.0</v>
      </c>
      <c r="D7530" s="3">
        <f>IFERROR(__xludf.DUMMYFUNCTION("IFERROR(
IF(REGEXMATCH(LOWER(O7530),""k""),
VALUE(REGEXEXTRACT(O7530,""[0-9]+""))*1000,
VALUE(REGEXEXTRACT(O7530,""[0-9]+""))
),
0
)"),0.0)</f>
        <v>0</v>
      </c>
      <c r="E7530" s="1" t="s">
        <v>11</v>
      </c>
      <c r="F7530" s="1" t="s">
        <v>20</v>
      </c>
      <c r="G7530" s="4" t="b">
        <f t="shared" si="2"/>
        <v>1</v>
      </c>
      <c r="H7530" s="1" t="str">
        <f t="shared" si="3"/>
        <v>Currently Unavailable</v>
      </c>
      <c r="I7530" s="1" t="str">
        <f t="shared" si="4"/>
        <v>No Badges</v>
      </c>
      <c r="J7530" s="3">
        <f t="shared" si="5"/>
        <v>0</v>
      </c>
    </row>
    <row r="7531">
      <c r="A7531" s="1" t="s">
        <v>5761</v>
      </c>
      <c r="B7531" s="3" t="str">
        <f t="shared" si="1"/>
        <v>Unavailable</v>
      </c>
      <c r="C7531" s="3">
        <v>93.0</v>
      </c>
      <c r="D7531" s="3">
        <f>IFERROR(__xludf.DUMMYFUNCTION("IFERROR(
IF(REGEXMATCH(LOWER(O7531),""k""),
VALUE(REGEXEXTRACT(O7531,""[0-9]+""))*1000,
VALUE(REGEXEXTRACT(O7531,""[0-9]+""))
),
0
)"),0.0)</f>
        <v>0</v>
      </c>
      <c r="E7531" s="1" t="s">
        <v>11</v>
      </c>
      <c r="F7531" s="1" t="s">
        <v>20</v>
      </c>
      <c r="G7531" s="4" t="b">
        <f t="shared" si="2"/>
        <v>1</v>
      </c>
      <c r="H7531" s="1" t="str">
        <f t="shared" si="3"/>
        <v>Currently Unavailable</v>
      </c>
      <c r="I7531" s="1" t="str">
        <f t="shared" si="4"/>
        <v>No Badges</v>
      </c>
      <c r="J7531" s="3">
        <f t="shared" si="5"/>
        <v>0</v>
      </c>
    </row>
    <row r="7532">
      <c r="A7532" s="1" t="s">
        <v>5762</v>
      </c>
      <c r="B7532" s="3" t="str">
        <f t="shared" si="1"/>
        <v>Unavailable</v>
      </c>
      <c r="C7532" s="3">
        <v>167.0</v>
      </c>
      <c r="D7532" s="3">
        <f>IFERROR(__xludf.DUMMYFUNCTION("IFERROR(
IF(REGEXMATCH(LOWER(O7532),""k""),
VALUE(REGEXEXTRACT(O7532,""[0-9]+""))*1000,
VALUE(REGEXEXTRACT(O7532,""[0-9]+""))
),
0
)"),0.0)</f>
        <v>0</v>
      </c>
      <c r="E7532" s="1" t="s">
        <v>11</v>
      </c>
      <c r="F7532" s="1" t="s">
        <v>20</v>
      </c>
      <c r="G7532" s="4" t="b">
        <f t="shared" si="2"/>
        <v>1</v>
      </c>
      <c r="H7532" s="1" t="str">
        <f t="shared" si="3"/>
        <v>Currently Unavailable</v>
      </c>
      <c r="I7532" s="1" t="str">
        <f t="shared" si="4"/>
        <v>No Badges</v>
      </c>
      <c r="J7532" s="3">
        <f t="shared" si="5"/>
        <v>0</v>
      </c>
    </row>
    <row r="7533">
      <c r="A7533" s="1" t="s">
        <v>5763</v>
      </c>
      <c r="B7533" s="3" t="str">
        <f t="shared" si="1"/>
        <v>Unavailable</v>
      </c>
      <c r="C7533" s="3">
        <v>409.0</v>
      </c>
      <c r="D7533" s="3">
        <f>IFERROR(__xludf.DUMMYFUNCTION("IFERROR(
IF(REGEXMATCH(LOWER(O7533),""k""),
VALUE(REGEXEXTRACT(O7533,""[0-9]+""))*1000,
VALUE(REGEXEXTRACT(O7533,""[0-9]+""))
),
0
)"),0.0)</f>
        <v>0</v>
      </c>
      <c r="E7533" s="1" t="s">
        <v>11</v>
      </c>
      <c r="F7533" s="1" t="s">
        <v>20</v>
      </c>
      <c r="G7533" s="4" t="b">
        <f t="shared" si="2"/>
        <v>1</v>
      </c>
      <c r="H7533" s="1" t="str">
        <f t="shared" si="3"/>
        <v>Currently Unavailable</v>
      </c>
      <c r="I7533" s="1" t="str">
        <f t="shared" si="4"/>
        <v>No Badges</v>
      </c>
      <c r="J7533" s="3">
        <f t="shared" si="5"/>
        <v>0</v>
      </c>
    </row>
    <row r="7534">
      <c r="A7534" s="1" t="s">
        <v>5764</v>
      </c>
      <c r="B7534" s="3" t="str">
        <f t="shared" si="1"/>
        <v>Unavailable</v>
      </c>
      <c r="C7534" s="3">
        <v>875.0</v>
      </c>
      <c r="D7534" s="3">
        <f>IFERROR(__xludf.DUMMYFUNCTION("IFERROR(
IF(REGEXMATCH(LOWER(O7534),""k""),
VALUE(REGEXEXTRACT(O7534,""[0-9]+""))*1000,
VALUE(REGEXEXTRACT(O7534,""[0-9]+""))
),
0
)"),0.0)</f>
        <v>0</v>
      </c>
      <c r="E7534" s="1" t="s">
        <v>11</v>
      </c>
      <c r="F7534" s="1" t="s">
        <v>20</v>
      </c>
      <c r="G7534" s="4" t="b">
        <f t="shared" si="2"/>
        <v>1</v>
      </c>
      <c r="H7534" s="1" t="str">
        <f t="shared" si="3"/>
        <v>Currently Unavailable</v>
      </c>
      <c r="I7534" s="1" t="str">
        <f t="shared" si="4"/>
        <v>No Badges</v>
      </c>
      <c r="J7534" s="6">
        <f t="shared" si="5"/>
        <v>0</v>
      </c>
    </row>
    <row r="7535">
      <c r="A7535" s="1" t="s">
        <v>5765</v>
      </c>
      <c r="B7535" s="3" t="str">
        <f t="shared" si="1"/>
        <v>Unavailable</v>
      </c>
      <c r="C7535" s="5">
        <v>13971.0</v>
      </c>
      <c r="D7535" s="3">
        <f>IFERROR(__xludf.DUMMYFUNCTION("IFERROR(
IF(REGEXMATCH(LOWER(O7535),""k""),
VALUE(REGEXEXTRACT(O7535,""[0-9]+""))*1000,
VALUE(REGEXEXTRACT(O7535,""[0-9]+""))
),
0
)"),0.0)</f>
        <v>0</v>
      </c>
      <c r="E7535" s="1" t="s">
        <v>11</v>
      </c>
      <c r="F7535" s="1" t="s">
        <v>20</v>
      </c>
      <c r="G7535" s="4" t="b">
        <f t="shared" si="2"/>
        <v>1</v>
      </c>
      <c r="H7535" s="1" t="str">
        <f t="shared" si="3"/>
        <v>Currently Unavailable</v>
      </c>
      <c r="I7535" s="1" t="str">
        <f t="shared" si="4"/>
        <v>No Badges</v>
      </c>
      <c r="J7535" s="3">
        <f t="shared" si="5"/>
        <v>0</v>
      </c>
    </row>
    <row r="7536">
      <c r="A7536" s="1" t="s">
        <v>5766</v>
      </c>
      <c r="B7536" s="3" t="str">
        <f t="shared" si="1"/>
        <v>Unavailable</v>
      </c>
      <c r="C7536" s="3">
        <v>93.0</v>
      </c>
      <c r="D7536" s="3">
        <f>IFERROR(__xludf.DUMMYFUNCTION("IFERROR(
IF(REGEXMATCH(LOWER(O7536),""k""),
VALUE(REGEXEXTRACT(O7536,""[0-9]+""))*1000,
VALUE(REGEXEXTRACT(O7536,""[0-9]+""))
),
0
)"),0.0)</f>
        <v>0</v>
      </c>
      <c r="E7536" s="1" t="s">
        <v>11</v>
      </c>
      <c r="F7536" s="1" t="s">
        <v>20</v>
      </c>
      <c r="G7536" s="4" t="b">
        <f t="shared" si="2"/>
        <v>1</v>
      </c>
      <c r="H7536" s="1" t="str">
        <f t="shared" si="3"/>
        <v>Currently Unavailable</v>
      </c>
      <c r="I7536" s="1" t="str">
        <f t="shared" si="4"/>
        <v>No Badges</v>
      </c>
      <c r="J7536" s="3">
        <f t="shared" si="5"/>
        <v>0</v>
      </c>
    </row>
    <row r="7537">
      <c r="A7537" s="1" t="s">
        <v>5767</v>
      </c>
      <c r="B7537" s="3" t="str">
        <f t="shared" si="1"/>
        <v>Unavailable</v>
      </c>
      <c r="C7537" s="3">
        <v>92.0</v>
      </c>
      <c r="D7537" s="3">
        <f>IFERROR(__xludf.DUMMYFUNCTION("IFERROR(
IF(REGEXMATCH(LOWER(O7537),""k""),
VALUE(REGEXEXTRACT(O7537,""[0-9]+""))*1000,
VALUE(REGEXEXTRACT(O7537,""[0-9]+""))
),
0
)"),0.0)</f>
        <v>0</v>
      </c>
      <c r="E7537" s="1" t="s">
        <v>11</v>
      </c>
      <c r="F7537" s="1" t="s">
        <v>20</v>
      </c>
      <c r="G7537" s="4" t="b">
        <f t="shared" si="2"/>
        <v>1</v>
      </c>
      <c r="H7537" s="1" t="str">
        <f t="shared" si="3"/>
        <v>Currently Unavailable</v>
      </c>
      <c r="I7537" s="1" t="str">
        <f t="shared" si="4"/>
        <v>No Badges</v>
      </c>
      <c r="J7537" s="3">
        <f t="shared" si="5"/>
        <v>0</v>
      </c>
    </row>
    <row r="7538">
      <c r="A7538" s="1" t="s">
        <v>67</v>
      </c>
      <c r="B7538" s="3" t="str">
        <f t="shared" si="1"/>
        <v>Unavailable</v>
      </c>
      <c r="C7538" s="3">
        <v>264.0</v>
      </c>
      <c r="D7538" s="3">
        <f>IFERROR(__xludf.DUMMYFUNCTION("IFERROR(
IF(REGEXMATCH(LOWER(O7538),""k""),
VALUE(REGEXEXTRACT(O7538,""[0-9]+""))*1000,
VALUE(REGEXEXTRACT(O7538,""[0-9]+""))
),
0
)"),0.0)</f>
        <v>0</v>
      </c>
      <c r="E7538" s="1" t="s">
        <v>11</v>
      </c>
      <c r="F7538" s="1" t="s">
        <v>12</v>
      </c>
      <c r="G7538" s="4" t="b">
        <f t="shared" si="2"/>
        <v>1</v>
      </c>
      <c r="H7538" s="1" t="str">
        <f t="shared" si="3"/>
        <v>Currently Unavailable</v>
      </c>
      <c r="I7538" s="1" t="str">
        <f t="shared" si="4"/>
        <v>No Badges</v>
      </c>
      <c r="J7538" s="3">
        <f t="shared" si="5"/>
        <v>0</v>
      </c>
    </row>
    <row r="7539">
      <c r="A7539" s="1" t="s">
        <v>5768</v>
      </c>
      <c r="B7539" s="3" t="str">
        <f t="shared" si="1"/>
        <v>Unavailable</v>
      </c>
      <c r="C7539" s="3">
        <v>14.0</v>
      </c>
      <c r="D7539" s="3">
        <f>IFERROR(__xludf.DUMMYFUNCTION("IFERROR(
IF(REGEXMATCH(LOWER(O7539),""k""),
VALUE(REGEXEXTRACT(O7539,""[0-9]+""))*1000,
VALUE(REGEXEXTRACT(O7539,""[0-9]+""))
),
0
)"),0.0)</f>
        <v>0</v>
      </c>
      <c r="E7539" s="1" t="s">
        <v>11</v>
      </c>
      <c r="F7539" s="1" t="s">
        <v>20</v>
      </c>
      <c r="G7539" s="4" t="b">
        <f t="shared" si="2"/>
        <v>1</v>
      </c>
      <c r="H7539" s="1" t="str">
        <f t="shared" si="3"/>
        <v>Currently Unavailable</v>
      </c>
      <c r="I7539" s="1" t="str">
        <f t="shared" si="4"/>
        <v>No Badges</v>
      </c>
      <c r="J7539" s="3">
        <f t="shared" si="5"/>
        <v>0</v>
      </c>
    </row>
    <row r="7540">
      <c r="A7540" s="1" t="s">
        <v>701</v>
      </c>
      <c r="B7540" s="3" t="str">
        <f t="shared" si="1"/>
        <v>Unavailable</v>
      </c>
      <c r="C7540" s="3">
        <v>8.0</v>
      </c>
      <c r="D7540" s="3">
        <f>IFERROR(__xludf.DUMMYFUNCTION("IFERROR(
IF(REGEXMATCH(LOWER(O7540),""k""),
VALUE(REGEXEXTRACT(O7540,""[0-9]+""))*1000,
VALUE(REGEXEXTRACT(O7540,""[0-9]+""))
),
0
)"),0.0)</f>
        <v>0</v>
      </c>
      <c r="E7540" s="1" t="s">
        <v>11</v>
      </c>
      <c r="F7540" s="1" t="s">
        <v>12</v>
      </c>
      <c r="G7540" s="4" t="b">
        <f t="shared" si="2"/>
        <v>1</v>
      </c>
      <c r="H7540" s="1" t="str">
        <f t="shared" si="3"/>
        <v>Currently Unavailable</v>
      </c>
      <c r="I7540" s="1" t="str">
        <f t="shared" si="4"/>
        <v>No Badges</v>
      </c>
      <c r="J7540" s="3">
        <f t="shared" si="5"/>
        <v>0</v>
      </c>
    </row>
    <row r="7541">
      <c r="A7541" s="1" t="s">
        <v>5769</v>
      </c>
      <c r="B7541" s="3" t="str">
        <f t="shared" si="1"/>
        <v>Unavailable</v>
      </c>
      <c r="C7541" s="3">
        <v>697.0</v>
      </c>
      <c r="D7541" s="3">
        <f>IFERROR(__xludf.DUMMYFUNCTION("IFERROR(
IF(REGEXMATCH(LOWER(O7541),""k""),
VALUE(REGEXEXTRACT(O7541,""[0-9]+""))*1000,
VALUE(REGEXEXTRACT(O7541,""[0-9]+""))
),
0
)"),0.0)</f>
        <v>0</v>
      </c>
      <c r="E7541" s="1" t="s">
        <v>11</v>
      </c>
      <c r="F7541" s="1" t="s">
        <v>20</v>
      </c>
      <c r="G7541" s="4" t="b">
        <f t="shared" si="2"/>
        <v>1</v>
      </c>
      <c r="H7541" s="1" t="str">
        <f t="shared" si="3"/>
        <v>Currently Unavailable</v>
      </c>
      <c r="I7541" s="1" t="str">
        <f t="shared" si="4"/>
        <v>No Badges</v>
      </c>
      <c r="J7541" s="3">
        <f t="shared" si="5"/>
        <v>0</v>
      </c>
    </row>
    <row r="7542">
      <c r="A7542" s="1" t="s">
        <v>5770</v>
      </c>
      <c r="B7542" s="3" t="str">
        <f t="shared" si="1"/>
        <v>Unavailable</v>
      </c>
      <c r="C7542" s="3">
        <v>67.0</v>
      </c>
      <c r="D7542" s="3">
        <f>IFERROR(__xludf.DUMMYFUNCTION("IFERROR(
IF(REGEXMATCH(LOWER(O7542),""k""),
VALUE(REGEXEXTRACT(O7542,""[0-9]+""))*1000,
VALUE(REGEXEXTRACT(O7542,""[0-9]+""))
),
0
)"),0.0)</f>
        <v>0</v>
      </c>
      <c r="E7542" s="1" t="s">
        <v>11</v>
      </c>
      <c r="F7542" s="1" t="s">
        <v>20</v>
      </c>
      <c r="G7542" s="4" t="b">
        <f t="shared" si="2"/>
        <v>1</v>
      </c>
      <c r="H7542" s="1" t="str">
        <f t="shared" si="3"/>
        <v>Currently Unavailable</v>
      </c>
      <c r="I7542" s="1" t="str">
        <f t="shared" si="4"/>
        <v>No Badges</v>
      </c>
      <c r="J7542" s="3">
        <f t="shared" si="5"/>
        <v>0</v>
      </c>
    </row>
    <row r="7543">
      <c r="A7543" s="1" t="s">
        <v>5771</v>
      </c>
      <c r="B7543" s="3" t="str">
        <f t="shared" si="1"/>
        <v>Unavailable</v>
      </c>
      <c r="C7543" s="3">
        <v>913.0</v>
      </c>
      <c r="D7543" s="3">
        <f>IFERROR(__xludf.DUMMYFUNCTION("IFERROR(
IF(REGEXMATCH(LOWER(O7543),""k""),
VALUE(REGEXEXTRACT(O7543,""[0-9]+""))*1000,
VALUE(REGEXEXTRACT(O7543,""[0-9]+""))
),
0
)"),0.0)</f>
        <v>0</v>
      </c>
      <c r="E7543" s="1" t="s">
        <v>11</v>
      </c>
      <c r="F7543" s="1" t="s">
        <v>20</v>
      </c>
      <c r="G7543" s="4" t="b">
        <f t="shared" si="2"/>
        <v>1</v>
      </c>
      <c r="H7543" s="1" t="str">
        <f t="shared" si="3"/>
        <v>Currently Unavailable</v>
      </c>
      <c r="I7543" s="1" t="str">
        <f t="shared" si="4"/>
        <v>No Badges</v>
      </c>
      <c r="J7543" s="3">
        <f t="shared" si="5"/>
        <v>0</v>
      </c>
    </row>
    <row r="7544">
      <c r="A7544" s="1" t="s">
        <v>5772</v>
      </c>
      <c r="B7544" s="3" t="str">
        <f t="shared" si="1"/>
        <v>Unavailable</v>
      </c>
      <c r="C7544" s="3">
        <v>182.0</v>
      </c>
      <c r="D7544" s="3">
        <f>IFERROR(__xludf.DUMMYFUNCTION("IFERROR(
IF(REGEXMATCH(LOWER(O7544),""k""),
VALUE(REGEXEXTRACT(O7544,""[0-9]+""))*1000,
VALUE(REGEXEXTRACT(O7544,""[0-9]+""))
),
0
)"),0.0)</f>
        <v>0</v>
      </c>
      <c r="E7544" s="1" t="s">
        <v>11</v>
      </c>
      <c r="F7544" s="1" t="s">
        <v>20</v>
      </c>
      <c r="G7544" s="4" t="b">
        <f t="shared" si="2"/>
        <v>1</v>
      </c>
      <c r="H7544" s="1" t="str">
        <f t="shared" si="3"/>
        <v>Currently Unavailable</v>
      </c>
      <c r="I7544" s="1" t="str">
        <f t="shared" si="4"/>
        <v>No Badges</v>
      </c>
      <c r="J7544" s="3">
        <f t="shared" si="5"/>
        <v>0</v>
      </c>
    </row>
    <row r="7545">
      <c r="A7545" s="1" t="s">
        <v>5773</v>
      </c>
      <c r="B7545" s="3" t="str">
        <f t="shared" si="1"/>
        <v>Unavailable</v>
      </c>
      <c r="C7545" s="3">
        <v>69.0</v>
      </c>
      <c r="D7545" s="3">
        <f>IFERROR(__xludf.DUMMYFUNCTION("IFERROR(
IF(REGEXMATCH(LOWER(O7545),""k""),
VALUE(REGEXEXTRACT(O7545,""[0-9]+""))*1000,
VALUE(REGEXEXTRACT(O7545,""[0-9]+""))
),
0
)"),0.0)</f>
        <v>0</v>
      </c>
      <c r="E7545" s="1" t="s">
        <v>11</v>
      </c>
      <c r="F7545" s="1" t="s">
        <v>20</v>
      </c>
      <c r="G7545" s="4" t="b">
        <f t="shared" si="2"/>
        <v>1</v>
      </c>
      <c r="H7545" s="1" t="str">
        <f t="shared" si="3"/>
        <v>Currently Unavailable</v>
      </c>
      <c r="I7545" s="1" t="str">
        <f t="shared" si="4"/>
        <v>No Badges</v>
      </c>
      <c r="J7545" s="3">
        <f t="shared" si="5"/>
        <v>0</v>
      </c>
    </row>
    <row r="7546">
      <c r="A7546" s="1" t="s">
        <v>5774</v>
      </c>
      <c r="B7546" s="3" t="str">
        <f t="shared" si="1"/>
        <v>Unavailable</v>
      </c>
      <c r="C7546" s="3">
        <v>66.0</v>
      </c>
      <c r="D7546" s="3">
        <f>IFERROR(__xludf.DUMMYFUNCTION("IFERROR(
IF(REGEXMATCH(LOWER(O7546),""k""),
VALUE(REGEXEXTRACT(O7546,""[0-9]+""))*1000,
VALUE(REGEXEXTRACT(O7546,""[0-9]+""))
),
0
)"),0.0)</f>
        <v>0</v>
      </c>
      <c r="E7546" s="1" t="s">
        <v>11</v>
      </c>
      <c r="F7546" s="1" t="s">
        <v>20</v>
      </c>
      <c r="G7546" s="4" t="b">
        <f t="shared" si="2"/>
        <v>1</v>
      </c>
      <c r="H7546" s="1" t="str">
        <f t="shared" si="3"/>
        <v>Currently Unavailable</v>
      </c>
      <c r="I7546" s="1" t="str">
        <f t="shared" si="4"/>
        <v>No Badges</v>
      </c>
      <c r="J7546" s="3">
        <f t="shared" si="5"/>
        <v>0</v>
      </c>
    </row>
    <row r="7547">
      <c r="A7547" s="1" t="s">
        <v>5775</v>
      </c>
      <c r="B7547" s="3" t="str">
        <f t="shared" si="1"/>
        <v>Unavailable</v>
      </c>
      <c r="C7547" s="5">
        <v>11318.0</v>
      </c>
      <c r="D7547" s="3">
        <f>IFERROR(__xludf.DUMMYFUNCTION("IFERROR(
IF(REGEXMATCH(LOWER(O7547),""k""),
VALUE(REGEXEXTRACT(O7547,""[0-9]+""))*1000,
VALUE(REGEXEXTRACT(O7547,""[0-9]+""))
),
0
)"),0.0)</f>
        <v>0</v>
      </c>
      <c r="E7547" s="1" t="s">
        <v>11</v>
      </c>
      <c r="F7547" s="1" t="s">
        <v>20</v>
      </c>
      <c r="G7547" s="4" t="b">
        <f t="shared" si="2"/>
        <v>1</v>
      </c>
      <c r="H7547" s="1" t="str">
        <f t="shared" si="3"/>
        <v>Currently Unavailable</v>
      </c>
      <c r="I7547" s="1" t="str">
        <f t="shared" si="4"/>
        <v>No Badges</v>
      </c>
      <c r="J7547" s="3">
        <f t="shared" si="5"/>
        <v>0</v>
      </c>
    </row>
    <row r="7548">
      <c r="A7548" s="1" t="s">
        <v>5776</v>
      </c>
      <c r="B7548" s="3" t="str">
        <f t="shared" si="1"/>
        <v>Unavailable</v>
      </c>
      <c r="C7548" s="3">
        <v>51.0</v>
      </c>
      <c r="D7548" s="3">
        <f>IFERROR(__xludf.DUMMYFUNCTION("IFERROR(
IF(REGEXMATCH(LOWER(O7548),""k""),
VALUE(REGEXEXTRACT(O7548,""[0-9]+""))*1000,
VALUE(REGEXEXTRACT(O7548,""[0-9]+""))
),
0
)"),0.0)</f>
        <v>0</v>
      </c>
      <c r="E7548" s="1" t="s">
        <v>11</v>
      </c>
      <c r="F7548" s="1" t="s">
        <v>20</v>
      </c>
      <c r="G7548" s="4" t="b">
        <f t="shared" si="2"/>
        <v>1</v>
      </c>
      <c r="H7548" s="1" t="str">
        <f t="shared" si="3"/>
        <v>Currently Unavailable</v>
      </c>
      <c r="I7548" s="1" t="str">
        <f t="shared" si="4"/>
        <v>No Badges</v>
      </c>
      <c r="J7548" s="3">
        <f t="shared" si="5"/>
        <v>0</v>
      </c>
    </row>
    <row r="7549">
      <c r="A7549" s="1" t="s">
        <v>5777</v>
      </c>
      <c r="B7549" s="3" t="str">
        <f t="shared" si="1"/>
        <v>Unavailable</v>
      </c>
      <c r="C7549" s="3">
        <v>83.0</v>
      </c>
      <c r="D7549" s="3">
        <f>IFERROR(__xludf.DUMMYFUNCTION("IFERROR(
IF(REGEXMATCH(LOWER(O7549),""k""),
VALUE(REGEXEXTRACT(O7549,""[0-9]+""))*1000,
VALUE(REGEXEXTRACT(O7549,""[0-9]+""))
),
0
)"),0.0)</f>
        <v>0</v>
      </c>
      <c r="E7549" s="1" t="s">
        <v>18</v>
      </c>
      <c r="F7549" s="1" t="s">
        <v>20</v>
      </c>
      <c r="G7549" s="4" t="b">
        <f t="shared" si="2"/>
        <v>1</v>
      </c>
      <c r="H7549" s="1" t="str">
        <f t="shared" si="3"/>
        <v>Currently Unavailable</v>
      </c>
      <c r="I7549" s="1" t="str">
        <f t="shared" si="4"/>
        <v>No Badges</v>
      </c>
      <c r="J7549" s="3">
        <f t="shared" si="5"/>
        <v>0</v>
      </c>
    </row>
    <row r="7550">
      <c r="A7550" s="1" t="s">
        <v>5778</v>
      </c>
      <c r="B7550" s="3" t="str">
        <f t="shared" si="1"/>
        <v>Unavailable</v>
      </c>
      <c r="C7550" s="5">
        <v>1262.0</v>
      </c>
      <c r="D7550" s="3">
        <f>IFERROR(__xludf.DUMMYFUNCTION("IFERROR(
IF(REGEXMATCH(LOWER(O7550),""k""),
VALUE(REGEXEXTRACT(O7550,""[0-9]+""))*1000,
VALUE(REGEXEXTRACT(O7550,""[0-9]+""))
),
0
)"),0.0)</f>
        <v>0</v>
      </c>
      <c r="E7550" s="1" t="s">
        <v>11</v>
      </c>
      <c r="F7550" s="1" t="s">
        <v>20</v>
      </c>
      <c r="G7550" s="4" t="b">
        <f t="shared" si="2"/>
        <v>1</v>
      </c>
      <c r="H7550" s="1" t="str">
        <f t="shared" si="3"/>
        <v>Currently Unavailable</v>
      </c>
      <c r="I7550" s="1" t="str">
        <f t="shared" si="4"/>
        <v>No Badges</v>
      </c>
      <c r="J7550" s="3">
        <f t="shared" si="5"/>
        <v>0</v>
      </c>
    </row>
    <row r="7551">
      <c r="A7551" s="1" t="s">
        <v>5779</v>
      </c>
      <c r="B7551" s="3" t="str">
        <f t="shared" si="1"/>
        <v>Unavailable</v>
      </c>
      <c r="C7551" s="5">
        <v>5258.0</v>
      </c>
      <c r="D7551" s="3">
        <f>IFERROR(__xludf.DUMMYFUNCTION("IFERROR(
IF(REGEXMATCH(LOWER(O7551),""k""),
VALUE(REGEXEXTRACT(O7551,""[0-9]+""))*1000,
VALUE(REGEXEXTRACT(O7551,""[0-9]+""))
),
0
)"),0.0)</f>
        <v>0</v>
      </c>
      <c r="E7551" s="1" t="s">
        <v>11</v>
      </c>
      <c r="F7551" s="1" t="s">
        <v>20</v>
      </c>
      <c r="G7551" s="4" t="b">
        <f t="shared" si="2"/>
        <v>1</v>
      </c>
      <c r="H7551" s="1" t="str">
        <f t="shared" si="3"/>
        <v>Currently Unavailable</v>
      </c>
      <c r="I7551" s="1" t="str">
        <f t="shared" si="4"/>
        <v>No Badges</v>
      </c>
      <c r="J7551" s="3">
        <f t="shared" si="5"/>
        <v>0</v>
      </c>
    </row>
    <row r="7552">
      <c r="A7552" s="1" t="s">
        <v>5780</v>
      </c>
      <c r="B7552" s="3" t="str">
        <f t="shared" si="1"/>
        <v>Unavailable</v>
      </c>
      <c r="C7552" s="3">
        <v>23.0</v>
      </c>
      <c r="D7552" s="3">
        <f>IFERROR(__xludf.DUMMYFUNCTION("IFERROR(
IF(REGEXMATCH(LOWER(O7552),""k""),
VALUE(REGEXEXTRACT(O7552,""[0-9]+""))*1000,
VALUE(REGEXEXTRACT(O7552,""[0-9]+""))
),
0
)"),0.0)</f>
        <v>0</v>
      </c>
      <c r="E7552" s="1" t="s">
        <v>11</v>
      </c>
      <c r="F7552" s="1" t="s">
        <v>20</v>
      </c>
      <c r="G7552" s="4" t="b">
        <f t="shared" si="2"/>
        <v>1</v>
      </c>
      <c r="H7552" s="1" t="str">
        <f t="shared" si="3"/>
        <v>Currently Unavailable</v>
      </c>
      <c r="I7552" s="1" t="str">
        <f t="shared" si="4"/>
        <v>No Badges</v>
      </c>
      <c r="J7552" s="3">
        <f t="shared" si="5"/>
        <v>0</v>
      </c>
    </row>
    <row r="7553">
      <c r="A7553" s="1" t="s">
        <v>5781</v>
      </c>
      <c r="B7553" s="3" t="str">
        <f t="shared" si="1"/>
        <v>Unavailable</v>
      </c>
      <c r="C7553" s="3">
        <v>50.0</v>
      </c>
      <c r="D7553" s="3">
        <f>IFERROR(__xludf.DUMMYFUNCTION("IFERROR(
IF(REGEXMATCH(LOWER(O7553),""k""),
VALUE(REGEXEXTRACT(O7553,""[0-9]+""))*1000,
VALUE(REGEXEXTRACT(O7553,""[0-9]+""))
),
0
)"),0.0)</f>
        <v>0</v>
      </c>
      <c r="E7553" s="1" t="s">
        <v>18</v>
      </c>
      <c r="F7553" s="1" t="s">
        <v>20</v>
      </c>
      <c r="G7553" s="4" t="b">
        <f t="shared" si="2"/>
        <v>1</v>
      </c>
      <c r="H7553" s="1" t="str">
        <f t="shared" si="3"/>
        <v>Currently Unavailable</v>
      </c>
      <c r="I7553" s="1" t="str">
        <f t="shared" si="4"/>
        <v>No Badges</v>
      </c>
      <c r="J7553" s="3">
        <f t="shared" si="5"/>
        <v>0</v>
      </c>
    </row>
    <row r="7554">
      <c r="A7554" s="1" t="s">
        <v>88</v>
      </c>
      <c r="B7554" s="3" t="str">
        <f t="shared" si="1"/>
        <v>Unavailable</v>
      </c>
      <c r="C7554" s="3">
        <v>5.0</v>
      </c>
      <c r="D7554" s="3">
        <f>IFERROR(__xludf.DUMMYFUNCTION("IFERROR(
IF(REGEXMATCH(LOWER(O7554),""k""),
VALUE(REGEXEXTRACT(O7554,""[0-9]+""))*1000,
VALUE(REGEXEXTRACT(O7554,""[0-9]+""))
),
0
)"),0.0)</f>
        <v>0</v>
      </c>
      <c r="E7554" s="1" t="s">
        <v>11</v>
      </c>
      <c r="F7554" s="1" t="s">
        <v>12</v>
      </c>
      <c r="G7554" s="4" t="b">
        <f t="shared" si="2"/>
        <v>1</v>
      </c>
      <c r="H7554" s="1" t="str">
        <f t="shared" si="3"/>
        <v>Currently Unavailable</v>
      </c>
      <c r="I7554" s="1" t="str">
        <f t="shared" si="4"/>
        <v>No Badges</v>
      </c>
      <c r="J7554" s="3">
        <f t="shared" si="5"/>
        <v>0</v>
      </c>
    </row>
    <row r="7555">
      <c r="A7555" s="1" t="s">
        <v>5782</v>
      </c>
      <c r="B7555" s="3" t="str">
        <f t="shared" si="1"/>
        <v>Unavailable</v>
      </c>
      <c r="C7555" s="3">
        <v>42.0</v>
      </c>
      <c r="D7555" s="3">
        <f>IFERROR(__xludf.DUMMYFUNCTION("IFERROR(
IF(REGEXMATCH(LOWER(O7555),""k""),
VALUE(REGEXEXTRACT(O7555,""[0-9]+""))*1000,
VALUE(REGEXEXTRACT(O7555,""[0-9]+""))
),
0
)"),0.0)</f>
        <v>0</v>
      </c>
      <c r="E7555" s="1" t="s">
        <v>11</v>
      </c>
      <c r="F7555" s="1" t="s">
        <v>20</v>
      </c>
      <c r="G7555" s="4" t="b">
        <f t="shared" si="2"/>
        <v>1</v>
      </c>
      <c r="H7555" s="1" t="str">
        <f t="shared" si="3"/>
        <v>Currently Unavailable</v>
      </c>
      <c r="I7555" s="1" t="str">
        <f t="shared" si="4"/>
        <v>No Badges</v>
      </c>
      <c r="J7555" s="3">
        <f t="shared" si="5"/>
        <v>0</v>
      </c>
    </row>
    <row r="7556">
      <c r="A7556" s="1" t="s">
        <v>5783</v>
      </c>
      <c r="B7556" s="3" t="str">
        <f t="shared" si="1"/>
        <v>Unavailable</v>
      </c>
      <c r="C7556" s="5">
        <v>1915.0</v>
      </c>
      <c r="D7556" s="3">
        <f>IFERROR(__xludf.DUMMYFUNCTION("IFERROR(
IF(REGEXMATCH(LOWER(O7556),""k""),
VALUE(REGEXEXTRACT(O7556,""[0-9]+""))*1000,
VALUE(REGEXEXTRACT(O7556,""[0-9]+""))
),
0
)"),0.0)</f>
        <v>0</v>
      </c>
      <c r="E7556" s="1" t="s">
        <v>11</v>
      </c>
      <c r="F7556" s="1" t="s">
        <v>20</v>
      </c>
      <c r="G7556" s="4" t="b">
        <f t="shared" si="2"/>
        <v>1</v>
      </c>
      <c r="H7556" s="1" t="str">
        <f t="shared" si="3"/>
        <v>Currently Unavailable</v>
      </c>
      <c r="I7556" s="1" t="str">
        <f t="shared" si="4"/>
        <v>No Badges</v>
      </c>
      <c r="J7556" s="3">
        <f t="shared" si="5"/>
        <v>0</v>
      </c>
    </row>
    <row r="7557">
      <c r="A7557" s="1" t="s">
        <v>88</v>
      </c>
      <c r="B7557" s="3" t="str">
        <f t="shared" si="1"/>
        <v>Unavailable</v>
      </c>
      <c r="C7557" s="3">
        <v>5.0</v>
      </c>
      <c r="D7557" s="3">
        <f>IFERROR(__xludf.DUMMYFUNCTION("IFERROR(
IF(REGEXMATCH(LOWER(O7557),""k""),
VALUE(REGEXEXTRACT(O7557,""[0-9]+""))*1000,
VALUE(REGEXEXTRACT(O7557,""[0-9]+""))
),
0
)"),0.0)</f>
        <v>0</v>
      </c>
      <c r="E7557" s="1" t="s">
        <v>11</v>
      </c>
      <c r="F7557" s="1" t="s">
        <v>12</v>
      </c>
      <c r="G7557" s="4" t="b">
        <f t="shared" si="2"/>
        <v>1</v>
      </c>
      <c r="H7557" s="1" t="str">
        <f t="shared" si="3"/>
        <v>Currently Unavailable</v>
      </c>
      <c r="I7557" s="1" t="str">
        <f t="shared" si="4"/>
        <v>No Badges</v>
      </c>
      <c r="J7557" s="3">
        <f t="shared" si="5"/>
        <v>0</v>
      </c>
    </row>
    <row r="7558">
      <c r="A7558" s="1" t="s">
        <v>5676</v>
      </c>
      <c r="B7558" s="3" t="str">
        <f t="shared" si="1"/>
        <v>Unavailable</v>
      </c>
      <c r="C7558" s="5">
        <v>2121.0</v>
      </c>
      <c r="D7558" s="3">
        <f>IFERROR(__xludf.DUMMYFUNCTION("IFERROR(
IF(REGEXMATCH(LOWER(O7558),""k""),
VALUE(REGEXEXTRACT(O7558,""[0-9]+""))*1000,
VALUE(REGEXEXTRACT(O7558,""[0-9]+""))
),
0
)"),0.0)</f>
        <v>0</v>
      </c>
      <c r="E7558" s="1" t="s">
        <v>11</v>
      </c>
      <c r="F7558" s="1" t="s">
        <v>20</v>
      </c>
      <c r="G7558" s="4" t="b">
        <f t="shared" si="2"/>
        <v>1</v>
      </c>
      <c r="H7558" s="1" t="str">
        <f t="shared" si="3"/>
        <v>Currently Unavailable</v>
      </c>
      <c r="I7558" s="1" t="str">
        <f t="shared" si="4"/>
        <v>No Badges</v>
      </c>
      <c r="J7558" s="3">
        <f t="shared" si="5"/>
        <v>0</v>
      </c>
    </row>
    <row r="7559">
      <c r="A7559" s="1" t="s">
        <v>5677</v>
      </c>
      <c r="B7559" s="3" t="str">
        <f t="shared" si="1"/>
        <v>Unavailable</v>
      </c>
      <c r="C7559" s="5">
        <v>1315.0</v>
      </c>
      <c r="D7559" s="3">
        <f>IFERROR(__xludf.DUMMYFUNCTION("IFERROR(
IF(REGEXMATCH(LOWER(O7559),""k""),
VALUE(REGEXEXTRACT(O7559,""[0-9]+""))*1000,
VALUE(REGEXEXTRACT(O7559,""[0-9]+""))
),
0
)"),0.0)</f>
        <v>0</v>
      </c>
      <c r="E7559" s="1" t="s">
        <v>11</v>
      </c>
      <c r="F7559" s="1" t="s">
        <v>20</v>
      </c>
      <c r="G7559" s="4" t="b">
        <f t="shared" si="2"/>
        <v>1</v>
      </c>
      <c r="H7559" s="1" t="str">
        <f t="shared" si="3"/>
        <v>Currently Unavailable</v>
      </c>
      <c r="I7559" s="1" t="str">
        <f t="shared" si="4"/>
        <v>No Badges</v>
      </c>
      <c r="J7559" s="3">
        <f t="shared" si="5"/>
        <v>0</v>
      </c>
    </row>
    <row r="7560">
      <c r="A7560" s="1" t="s">
        <v>5678</v>
      </c>
      <c r="B7560" s="3" t="str">
        <f t="shared" si="1"/>
        <v>Unavailable</v>
      </c>
      <c r="C7560" s="3">
        <v>12.0</v>
      </c>
      <c r="D7560" s="3">
        <f>IFERROR(__xludf.DUMMYFUNCTION("IFERROR(
IF(REGEXMATCH(LOWER(O7560),""k""),
VALUE(REGEXEXTRACT(O7560,""[0-9]+""))*1000,
VALUE(REGEXEXTRACT(O7560,""[0-9]+""))
),
0
)"),0.0)</f>
        <v>0</v>
      </c>
      <c r="E7560" s="1" t="s">
        <v>11</v>
      </c>
      <c r="F7560" s="1" t="s">
        <v>20</v>
      </c>
      <c r="G7560" s="4" t="b">
        <f t="shared" si="2"/>
        <v>1</v>
      </c>
      <c r="H7560" s="1" t="str">
        <f t="shared" si="3"/>
        <v>Currently Unavailable</v>
      </c>
      <c r="I7560" s="1" t="str">
        <f t="shared" si="4"/>
        <v>No Badges</v>
      </c>
      <c r="J7560" s="3">
        <f t="shared" si="5"/>
        <v>0</v>
      </c>
    </row>
    <row r="7561">
      <c r="A7561" s="1" t="s">
        <v>5681</v>
      </c>
      <c r="B7561" s="3" t="str">
        <f t="shared" si="1"/>
        <v>Unavailable</v>
      </c>
      <c r="C7561" s="3">
        <v>32.0</v>
      </c>
      <c r="D7561" s="3">
        <f>IFERROR(__xludf.DUMMYFUNCTION("IFERROR(
IF(REGEXMATCH(LOWER(O7561),""k""),
VALUE(REGEXEXTRACT(O7561,""[0-9]+""))*1000,
VALUE(REGEXEXTRACT(O7561,""[0-9]+""))
),
0
)"),0.0)</f>
        <v>0</v>
      </c>
      <c r="E7561" s="1" t="s">
        <v>11</v>
      </c>
      <c r="F7561" s="1" t="s">
        <v>20</v>
      </c>
      <c r="G7561" s="4" t="b">
        <f t="shared" si="2"/>
        <v>1</v>
      </c>
      <c r="H7561" s="1" t="str">
        <f t="shared" si="3"/>
        <v>Currently Unavailable</v>
      </c>
      <c r="I7561" s="1" t="str">
        <f t="shared" si="4"/>
        <v>No Badges</v>
      </c>
      <c r="J7561" s="3">
        <f t="shared" si="5"/>
        <v>0</v>
      </c>
    </row>
    <row r="7562">
      <c r="A7562" s="1" t="s">
        <v>5682</v>
      </c>
      <c r="B7562" s="3" t="str">
        <f t="shared" si="1"/>
        <v>Unavailable</v>
      </c>
      <c r="C7562" s="3">
        <v>513.0</v>
      </c>
      <c r="D7562" s="3">
        <f>IFERROR(__xludf.DUMMYFUNCTION("IFERROR(
IF(REGEXMATCH(LOWER(O7562),""k""),
VALUE(REGEXEXTRACT(O7562,""[0-9]+""))*1000,
VALUE(REGEXEXTRACT(O7562,""[0-9]+""))
),
0
)"),0.0)</f>
        <v>0</v>
      </c>
      <c r="E7562" s="1" t="s">
        <v>11</v>
      </c>
      <c r="F7562" s="1" t="s">
        <v>20</v>
      </c>
      <c r="G7562" s="4" t="b">
        <f t="shared" si="2"/>
        <v>1</v>
      </c>
      <c r="H7562" s="1" t="str">
        <f t="shared" si="3"/>
        <v>Currently Unavailable</v>
      </c>
      <c r="I7562" s="1" t="str">
        <f t="shared" si="4"/>
        <v>No Badges</v>
      </c>
      <c r="J7562" s="3">
        <f t="shared" si="5"/>
        <v>0</v>
      </c>
    </row>
    <row r="7563">
      <c r="A7563" s="1" t="s">
        <v>5784</v>
      </c>
      <c r="B7563" s="3" t="str">
        <f t="shared" si="1"/>
        <v>Unavailable</v>
      </c>
      <c r="C7563" s="3">
        <v>22.0</v>
      </c>
      <c r="D7563" s="3">
        <f>IFERROR(__xludf.DUMMYFUNCTION("IFERROR(
IF(REGEXMATCH(LOWER(O7563),""k""),
VALUE(REGEXEXTRACT(O7563,""[0-9]+""))*1000,
VALUE(REGEXEXTRACT(O7563,""[0-9]+""))
),
0
)"),0.0)</f>
        <v>0</v>
      </c>
      <c r="E7563" s="1" t="s">
        <v>11</v>
      </c>
      <c r="F7563" s="1" t="s">
        <v>20</v>
      </c>
      <c r="G7563" s="4" t="b">
        <f t="shared" si="2"/>
        <v>1</v>
      </c>
      <c r="H7563" s="1" t="str">
        <f t="shared" si="3"/>
        <v>Currently Unavailable</v>
      </c>
      <c r="I7563" s="1" t="str">
        <f t="shared" si="4"/>
        <v>No Badges</v>
      </c>
      <c r="J7563" s="3">
        <f t="shared" si="5"/>
        <v>0</v>
      </c>
    </row>
    <row r="7564">
      <c r="A7564" s="1" t="s">
        <v>5785</v>
      </c>
      <c r="B7564" s="3" t="str">
        <f t="shared" si="1"/>
        <v>Unavailable</v>
      </c>
      <c r="C7564" s="3">
        <v>218.0</v>
      </c>
      <c r="D7564" s="3">
        <f>IFERROR(__xludf.DUMMYFUNCTION("IFERROR(
IF(REGEXMATCH(LOWER(O7564),""k""),
VALUE(REGEXEXTRACT(O7564,""[0-9]+""))*1000,
VALUE(REGEXEXTRACT(O7564,""[0-9]+""))
),
0
)"),0.0)</f>
        <v>0</v>
      </c>
      <c r="E7564" s="1" t="s">
        <v>11</v>
      </c>
      <c r="F7564" s="1" t="s">
        <v>20</v>
      </c>
      <c r="G7564" s="4" t="b">
        <f t="shared" si="2"/>
        <v>1</v>
      </c>
      <c r="H7564" s="1" t="str">
        <f t="shared" si="3"/>
        <v>Currently Unavailable</v>
      </c>
      <c r="I7564" s="1" t="str">
        <f t="shared" si="4"/>
        <v>No Badges</v>
      </c>
      <c r="J7564" s="3">
        <f t="shared" si="5"/>
        <v>0</v>
      </c>
    </row>
    <row r="7565">
      <c r="A7565" s="1" t="s">
        <v>5786</v>
      </c>
      <c r="B7565" s="3" t="str">
        <f t="shared" si="1"/>
        <v>Unavailable</v>
      </c>
      <c r="C7565" s="3">
        <v>6.0</v>
      </c>
      <c r="D7565" s="3">
        <f>IFERROR(__xludf.DUMMYFUNCTION("IFERROR(
IF(REGEXMATCH(LOWER(O7565),""k""),
VALUE(REGEXEXTRACT(O7565,""[0-9]+""))*1000,
VALUE(REGEXEXTRACT(O7565,""[0-9]+""))
),
0
)"),0.0)</f>
        <v>0</v>
      </c>
      <c r="E7565" s="1" t="s">
        <v>11</v>
      </c>
      <c r="F7565" s="1" t="s">
        <v>20</v>
      </c>
      <c r="G7565" s="4" t="b">
        <f t="shared" si="2"/>
        <v>1</v>
      </c>
      <c r="H7565" s="1" t="str">
        <f t="shared" si="3"/>
        <v>Currently Unavailable</v>
      </c>
      <c r="I7565" s="1" t="str">
        <f t="shared" si="4"/>
        <v>No Badges</v>
      </c>
      <c r="J7565" s="3">
        <f t="shared" si="5"/>
        <v>0</v>
      </c>
    </row>
    <row r="7566">
      <c r="A7566" s="1" t="s">
        <v>5787</v>
      </c>
      <c r="B7566" s="3" t="str">
        <f t="shared" si="1"/>
        <v>Unavailable</v>
      </c>
      <c r="C7566" s="3">
        <v>45.0</v>
      </c>
      <c r="D7566" s="3">
        <f>IFERROR(__xludf.DUMMYFUNCTION("IFERROR(
IF(REGEXMATCH(LOWER(O7566),""k""),
VALUE(REGEXEXTRACT(O7566,""[0-9]+""))*1000,
VALUE(REGEXEXTRACT(O7566,""[0-9]+""))
),
0
)"),0.0)</f>
        <v>0</v>
      </c>
      <c r="E7566" s="1" t="s">
        <v>11</v>
      </c>
      <c r="F7566" s="1" t="s">
        <v>20</v>
      </c>
      <c r="G7566" s="4" t="b">
        <f t="shared" si="2"/>
        <v>1</v>
      </c>
      <c r="H7566" s="1" t="str">
        <f t="shared" si="3"/>
        <v>Currently Unavailable</v>
      </c>
      <c r="I7566" s="1" t="str">
        <f t="shared" si="4"/>
        <v>No Badges</v>
      </c>
      <c r="J7566" s="3">
        <f t="shared" si="5"/>
        <v>0</v>
      </c>
    </row>
    <row r="7567">
      <c r="A7567" s="1" t="s">
        <v>5788</v>
      </c>
      <c r="B7567" s="3" t="str">
        <f t="shared" si="1"/>
        <v>Unavailable</v>
      </c>
      <c r="C7567" s="3">
        <v>898.0</v>
      </c>
      <c r="D7567" s="3">
        <f>IFERROR(__xludf.DUMMYFUNCTION("IFERROR(
IF(REGEXMATCH(LOWER(O7567),""k""),
VALUE(REGEXEXTRACT(O7567,""[0-9]+""))*1000,
VALUE(REGEXEXTRACT(O7567,""[0-9]+""))
),
0
)"),0.0)</f>
        <v>0</v>
      </c>
      <c r="E7567" s="1" t="s">
        <v>11</v>
      </c>
      <c r="F7567" s="1" t="s">
        <v>20</v>
      </c>
      <c r="G7567" s="4" t="b">
        <f t="shared" si="2"/>
        <v>1</v>
      </c>
      <c r="H7567" s="1" t="str">
        <f t="shared" si="3"/>
        <v>Currently Unavailable</v>
      </c>
      <c r="I7567" s="1" t="str">
        <f t="shared" si="4"/>
        <v>No Badges</v>
      </c>
      <c r="J7567" s="3">
        <f t="shared" si="5"/>
        <v>0</v>
      </c>
    </row>
    <row r="7568">
      <c r="A7568" s="1" t="s">
        <v>5789</v>
      </c>
      <c r="B7568" s="3" t="str">
        <f t="shared" si="1"/>
        <v>Unavailable</v>
      </c>
      <c r="C7568" s="3">
        <v>7.0</v>
      </c>
      <c r="D7568" s="3">
        <f>IFERROR(__xludf.DUMMYFUNCTION("IFERROR(
IF(REGEXMATCH(LOWER(O7568),""k""),
VALUE(REGEXEXTRACT(O7568,""[0-9]+""))*1000,
VALUE(REGEXEXTRACT(O7568,""[0-9]+""))
),
0
)"),0.0)</f>
        <v>0</v>
      </c>
      <c r="E7568" s="1" t="s">
        <v>11</v>
      </c>
      <c r="F7568" s="1" t="s">
        <v>20</v>
      </c>
      <c r="G7568" s="4" t="b">
        <f t="shared" si="2"/>
        <v>1</v>
      </c>
      <c r="H7568" s="1" t="str">
        <f t="shared" si="3"/>
        <v>Currently Unavailable</v>
      </c>
      <c r="I7568" s="1" t="str">
        <f t="shared" si="4"/>
        <v>No Badges</v>
      </c>
      <c r="J7568" s="3">
        <f t="shared" si="5"/>
        <v>0</v>
      </c>
    </row>
    <row r="7569">
      <c r="A7569" s="1" t="s">
        <v>5790</v>
      </c>
      <c r="B7569" s="3" t="str">
        <f t="shared" si="1"/>
        <v>Unavailable</v>
      </c>
      <c r="C7569" s="3">
        <v>884.0</v>
      </c>
      <c r="D7569" s="3">
        <f>IFERROR(__xludf.DUMMYFUNCTION("IFERROR(
IF(REGEXMATCH(LOWER(O7569),""k""),
VALUE(REGEXEXTRACT(O7569,""[0-9]+""))*1000,
VALUE(REGEXEXTRACT(O7569,""[0-9]+""))
),
0
)"),0.0)</f>
        <v>0</v>
      </c>
      <c r="E7569" s="1" t="s">
        <v>11</v>
      </c>
      <c r="F7569" s="1" t="s">
        <v>20</v>
      </c>
      <c r="G7569" s="4" t="b">
        <f t="shared" si="2"/>
        <v>1</v>
      </c>
      <c r="H7569" s="1" t="str">
        <f t="shared" si="3"/>
        <v>Currently Unavailable</v>
      </c>
      <c r="I7569" s="1" t="str">
        <f t="shared" si="4"/>
        <v>No Badges</v>
      </c>
      <c r="J7569" s="3">
        <f t="shared" si="5"/>
        <v>0</v>
      </c>
    </row>
    <row r="7570">
      <c r="A7570" s="1" t="s">
        <v>5791</v>
      </c>
      <c r="B7570" s="3" t="str">
        <f t="shared" si="1"/>
        <v>Unavailable</v>
      </c>
      <c r="C7570" s="3">
        <v>38.0</v>
      </c>
      <c r="D7570" s="3">
        <f>IFERROR(__xludf.DUMMYFUNCTION("IFERROR(
IF(REGEXMATCH(LOWER(O7570),""k""),
VALUE(REGEXEXTRACT(O7570,""[0-9]+""))*1000,
VALUE(REGEXEXTRACT(O7570,""[0-9]+""))
),
0
)"),0.0)</f>
        <v>0</v>
      </c>
      <c r="E7570" s="1" t="s">
        <v>11</v>
      </c>
      <c r="F7570" s="1" t="s">
        <v>20</v>
      </c>
      <c r="G7570" s="4" t="b">
        <f t="shared" si="2"/>
        <v>1</v>
      </c>
      <c r="H7570" s="1" t="str">
        <f t="shared" si="3"/>
        <v>Currently Unavailable</v>
      </c>
      <c r="I7570" s="1" t="str">
        <f t="shared" si="4"/>
        <v>No Badges</v>
      </c>
      <c r="J7570" s="3">
        <f t="shared" si="5"/>
        <v>0</v>
      </c>
    </row>
    <row r="7571">
      <c r="A7571" s="1" t="s">
        <v>69</v>
      </c>
      <c r="B7571" s="3" t="str">
        <f t="shared" si="1"/>
        <v>Unavailable</v>
      </c>
      <c r="C7571" s="3">
        <v>45.0</v>
      </c>
      <c r="D7571" s="3">
        <f>IFERROR(__xludf.DUMMYFUNCTION("IFERROR(
IF(REGEXMATCH(LOWER(O7571),""k""),
VALUE(REGEXEXTRACT(O7571,""[0-9]+""))*1000,
VALUE(REGEXEXTRACT(O7571,""[0-9]+""))
),
0
)"),0.0)</f>
        <v>0</v>
      </c>
      <c r="E7571" s="1" t="s">
        <v>11</v>
      </c>
      <c r="F7571" s="1" t="s">
        <v>12</v>
      </c>
      <c r="G7571" s="4" t="b">
        <f t="shared" si="2"/>
        <v>1</v>
      </c>
      <c r="H7571" s="1" t="str">
        <f t="shared" si="3"/>
        <v>Currently Unavailable</v>
      </c>
      <c r="I7571" s="1" t="str">
        <f t="shared" si="4"/>
        <v>No Badges</v>
      </c>
      <c r="J7571" s="3">
        <f t="shared" si="5"/>
        <v>0</v>
      </c>
    </row>
    <row r="7572">
      <c r="A7572" s="1" t="s">
        <v>67</v>
      </c>
      <c r="B7572" s="3" t="str">
        <f t="shared" si="1"/>
        <v>Unavailable</v>
      </c>
      <c r="C7572" s="3">
        <v>264.0</v>
      </c>
      <c r="D7572" s="3">
        <f>IFERROR(__xludf.DUMMYFUNCTION("IFERROR(
IF(REGEXMATCH(LOWER(O7572),""k""),
VALUE(REGEXEXTRACT(O7572,""[0-9]+""))*1000,
VALUE(REGEXEXTRACT(O7572,""[0-9]+""))
),
0
)"),0.0)</f>
        <v>0</v>
      </c>
      <c r="E7572" s="1" t="s">
        <v>11</v>
      </c>
      <c r="F7572" s="1" t="s">
        <v>12</v>
      </c>
      <c r="G7572" s="4" t="b">
        <f t="shared" si="2"/>
        <v>1</v>
      </c>
      <c r="H7572" s="1" t="str">
        <f t="shared" si="3"/>
        <v>Currently Unavailable</v>
      </c>
      <c r="I7572" s="1" t="str">
        <f t="shared" si="4"/>
        <v>No Badges</v>
      </c>
      <c r="J7572" s="3">
        <f t="shared" si="5"/>
        <v>0</v>
      </c>
    </row>
    <row r="7573">
      <c r="A7573" s="1" t="s">
        <v>5686</v>
      </c>
      <c r="B7573" s="3" t="str">
        <f t="shared" si="1"/>
        <v>Unavailable</v>
      </c>
      <c r="C7573" s="5">
        <v>4027.0</v>
      </c>
      <c r="D7573" s="3">
        <f>IFERROR(__xludf.DUMMYFUNCTION("IFERROR(
IF(REGEXMATCH(LOWER(O7573),""k""),
VALUE(REGEXEXTRACT(O7573,""[0-9]+""))*1000,
VALUE(REGEXEXTRACT(O7573,""[0-9]+""))
),
0
)"),0.0)</f>
        <v>0</v>
      </c>
      <c r="E7573" s="1" t="s">
        <v>11</v>
      </c>
      <c r="F7573" s="1" t="s">
        <v>20</v>
      </c>
      <c r="G7573" s="4" t="b">
        <f t="shared" si="2"/>
        <v>1</v>
      </c>
      <c r="H7573" s="1" t="str">
        <f t="shared" si="3"/>
        <v>Currently Unavailable</v>
      </c>
      <c r="I7573" s="1" t="str">
        <f t="shared" si="4"/>
        <v>No Badges</v>
      </c>
      <c r="J7573" s="3">
        <f t="shared" si="5"/>
        <v>0</v>
      </c>
    </row>
    <row r="7574">
      <c r="A7574" s="1" t="s">
        <v>5792</v>
      </c>
      <c r="B7574" s="3" t="str">
        <f t="shared" si="1"/>
        <v>Unavailable</v>
      </c>
      <c r="C7574" s="3">
        <v>27.0</v>
      </c>
      <c r="D7574" s="3">
        <f>IFERROR(__xludf.DUMMYFUNCTION("IFERROR(
IF(REGEXMATCH(LOWER(O7574),""k""),
VALUE(REGEXEXTRACT(O7574,""[0-9]+""))*1000,
VALUE(REGEXEXTRACT(O7574,""[0-9]+""))
),
0
)"),0.0)</f>
        <v>0</v>
      </c>
      <c r="E7574" s="1" t="s">
        <v>11</v>
      </c>
      <c r="F7574" s="1" t="s">
        <v>20</v>
      </c>
      <c r="G7574" s="4" t="b">
        <f t="shared" si="2"/>
        <v>1</v>
      </c>
      <c r="H7574" s="1" t="str">
        <f t="shared" si="3"/>
        <v>Currently Unavailable</v>
      </c>
      <c r="I7574" s="1" t="str">
        <f t="shared" si="4"/>
        <v>No Badges</v>
      </c>
      <c r="J7574" s="3">
        <f t="shared" si="5"/>
        <v>0</v>
      </c>
    </row>
    <row r="7575">
      <c r="A7575" s="1" t="s">
        <v>5687</v>
      </c>
      <c r="B7575" s="3" t="str">
        <f t="shared" si="1"/>
        <v>Unavailable</v>
      </c>
      <c r="C7575" s="5">
        <v>1171.0</v>
      </c>
      <c r="D7575" s="3">
        <f>IFERROR(__xludf.DUMMYFUNCTION("IFERROR(
IF(REGEXMATCH(LOWER(O7575),""k""),
VALUE(REGEXEXTRACT(O7575,""[0-9]+""))*1000,
VALUE(REGEXEXTRACT(O7575,""[0-9]+""))
),
0
)"),0.0)</f>
        <v>0</v>
      </c>
      <c r="E7575" s="1" t="s">
        <v>11</v>
      </c>
      <c r="F7575" s="1" t="s">
        <v>20</v>
      </c>
      <c r="G7575" s="4" t="b">
        <f t="shared" si="2"/>
        <v>1</v>
      </c>
      <c r="H7575" s="1" t="str">
        <f t="shared" si="3"/>
        <v>Currently Unavailable</v>
      </c>
      <c r="I7575" s="1" t="str">
        <f t="shared" si="4"/>
        <v>No Badges</v>
      </c>
      <c r="J7575" s="3">
        <f t="shared" si="5"/>
        <v>0</v>
      </c>
    </row>
    <row r="7576">
      <c r="A7576" s="1" t="s">
        <v>5793</v>
      </c>
      <c r="B7576" s="3" t="str">
        <f t="shared" si="1"/>
        <v>Unavailable</v>
      </c>
      <c r="C7576" s="5">
        <v>2528.0</v>
      </c>
      <c r="D7576" s="3">
        <f>IFERROR(__xludf.DUMMYFUNCTION("IFERROR(
IF(REGEXMATCH(LOWER(O7576),""k""),
VALUE(REGEXEXTRACT(O7576,""[0-9]+""))*1000,
VALUE(REGEXEXTRACT(O7576,""[0-9]+""))
),
0
)"),0.0)</f>
        <v>0</v>
      </c>
      <c r="E7576" s="1" t="s">
        <v>11</v>
      </c>
      <c r="F7576" s="1" t="s">
        <v>20</v>
      </c>
      <c r="G7576" s="4" t="b">
        <f t="shared" si="2"/>
        <v>1</v>
      </c>
      <c r="H7576" s="1" t="str">
        <f t="shared" si="3"/>
        <v>Currently Unavailable</v>
      </c>
      <c r="I7576" s="1" t="str">
        <f t="shared" si="4"/>
        <v>No Badges</v>
      </c>
      <c r="J7576" s="3">
        <f t="shared" si="5"/>
        <v>0</v>
      </c>
    </row>
    <row r="7577">
      <c r="A7577" s="1" t="s">
        <v>5689</v>
      </c>
      <c r="B7577" s="3" t="str">
        <f t="shared" si="1"/>
        <v>Unavailable</v>
      </c>
      <c r="C7577" s="3">
        <v>245.0</v>
      </c>
      <c r="D7577" s="3">
        <f>IFERROR(__xludf.DUMMYFUNCTION("IFERROR(
IF(REGEXMATCH(LOWER(O7577),""k""),
VALUE(REGEXEXTRACT(O7577,""[0-9]+""))*1000,
VALUE(REGEXEXTRACT(O7577,""[0-9]+""))
),
0
)"),0.0)</f>
        <v>0</v>
      </c>
      <c r="E7577" s="1" t="s">
        <v>11</v>
      </c>
      <c r="F7577" s="1" t="s">
        <v>20</v>
      </c>
      <c r="G7577" s="4" t="b">
        <f t="shared" si="2"/>
        <v>1</v>
      </c>
      <c r="H7577" s="1" t="str">
        <f t="shared" si="3"/>
        <v>Currently Unavailable</v>
      </c>
      <c r="I7577" s="1" t="str">
        <f t="shared" si="4"/>
        <v>No Badges</v>
      </c>
      <c r="J7577" s="3">
        <f t="shared" si="5"/>
        <v>0</v>
      </c>
    </row>
    <row r="7578">
      <c r="A7578" s="1" t="s">
        <v>5690</v>
      </c>
      <c r="B7578" s="3" t="str">
        <f t="shared" si="1"/>
        <v>Unavailable</v>
      </c>
      <c r="C7578" s="3">
        <v>840.0</v>
      </c>
      <c r="D7578" s="3">
        <f>IFERROR(__xludf.DUMMYFUNCTION("IFERROR(
IF(REGEXMATCH(LOWER(O7578),""k""),
VALUE(REGEXEXTRACT(O7578,""[0-9]+""))*1000,
VALUE(REGEXEXTRACT(O7578,""[0-9]+""))
),
0
)"),0.0)</f>
        <v>0</v>
      </c>
      <c r="E7578" s="1" t="s">
        <v>11</v>
      </c>
      <c r="F7578" s="1" t="s">
        <v>20</v>
      </c>
      <c r="G7578" s="4" t="b">
        <f t="shared" si="2"/>
        <v>1</v>
      </c>
      <c r="H7578" s="1" t="str">
        <f t="shared" si="3"/>
        <v>Currently Unavailable</v>
      </c>
      <c r="I7578" s="1" t="str">
        <f t="shared" si="4"/>
        <v>No Badges</v>
      </c>
      <c r="J7578" s="3">
        <f t="shared" si="5"/>
        <v>0</v>
      </c>
    </row>
    <row r="7579">
      <c r="A7579" s="1" t="s">
        <v>5691</v>
      </c>
      <c r="B7579" s="3" t="str">
        <f t="shared" si="1"/>
        <v>Unavailable</v>
      </c>
      <c r="C7579" s="3">
        <v>275.0</v>
      </c>
      <c r="D7579" s="3">
        <f>IFERROR(__xludf.DUMMYFUNCTION("IFERROR(
IF(REGEXMATCH(LOWER(O7579),""k""),
VALUE(REGEXEXTRACT(O7579,""[0-9]+""))*1000,
VALUE(REGEXEXTRACT(O7579,""[0-9]+""))
),
0
)"),0.0)</f>
        <v>0</v>
      </c>
      <c r="E7579" s="1" t="s">
        <v>11</v>
      </c>
      <c r="F7579" s="1" t="s">
        <v>20</v>
      </c>
      <c r="G7579" s="4" t="b">
        <f t="shared" si="2"/>
        <v>1</v>
      </c>
      <c r="H7579" s="1" t="str">
        <f t="shared" si="3"/>
        <v>Currently Unavailable</v>
      </c>
      <c r="I7579" s="1" t="str">
        <f t="shared" si="4"/>
        <v>No Badges</v>
      </c>
      <c r="J7579" s="3">
        <f t="shared" si="5"/>
        <v>0</v>
      </c>
    </row>
    <row r="7580">
      <c r="A7580" s="1" t="s">
        <v>5692</v>
      </c>
      <c r="B7580" s="3" t="str">
        <f t="shared" si="1"/>
        <v>Unavailable</v>
      </c>
      <c r="C7580" s="3">
        <v>118.0</v>
      </c>
      <c r="D7580" s="3">
        <f>IFERROR(__xludf.DUMMYFUNCTION("IFERROR(
IF(REGEXMATCH(LOWER(O7580),""k""),
VALUE(REGEXEXTRACT(O7580,""[0-9]+""))*1000,
VALUE(REGEXEXTRACT(O7580,""[0-9]+""))
),
0
)"),0.0)</f>
        <v>0</v>
      </c>
      <c r="E7580" s="1" t="s">
        <v>11</v>
      </c>
      <c r="F7580" s="1" t="s">
        <v>20</v>
      </c>
      <c r="G7580" s="4" t="b">
        <f t="shared" si="2"/>
        <v>1</v>
      </c>
      <c r="H7580" s="1" t="str">
        <f t="shared" si="3"/>
        <v>Currently Unavailable</v>
      </c>
      <c r="I7580" s="1" t="str">
        <f t="shared" si="4"/>
        <v>No Badges</v>
      </c>
      <c r="J7580" s="3">
        <f t="shared" si="5"/>
        <v>0</v>
      </c>
    </row>
    <row r="7581">
      <c r="A7581" s="1" t="s">
        <v>5693</v>
      </c>
      <c r="B7581" s="3" t="str">
        <f t="shared" si="1"/>
        <v>Unavailable</v>
      </c>
      <c r="C7581" s="3">
        <v>157.0</v>
      </c>
      <c r="D7581" s="3">
        <f>IFERROR(__xludf.DUMMYFUNCTION("IFERROR(
IF(REGEXMATCH(LOWER(O7581),""k""),
VALUE(REGEXEXTRACT(O7581,""[0-9]+""))*1000,
VALUE(REGEXEXTRACT(O7581,""[0-9]+""))
),
0
)"),0.0)</f>
        <v>0</v>
      </c>
      <c r="E7581" s="1" t="s">
        <v>11</v>
      </c>
      <c r="F7581" s="1" t="s">
        <v>20</v>
      </c>
      <c r="G7581" s="4" t="b">
        <f t="shared" si="2"/>
        <v>1</v>
      </c>
      <c r="H7581" s="1" t="str">
        <f t="shared" si="3"/>
        <v>Currently Unavailable</v>
      </c>
      <c r="I7581" s="1" t="str">
        <f t="shared" si="4"/>
        <v>No Badges</v>
      </c>
      <c r="J7581" s="3">
        <f t="shared" si="5"/>
        <v>0</v>
      </c>
    </row>
    <row r="7582">
      <c r="A7582" s="1" t="s">
        <v>5694</v>
      </c>
      <c r="B7582" s="3" t="str">
        <f t="shared" si="1"/>
        <v>Unavailable</v>
      </c>
      <c r="C7582" s="3">
        <v>7.0</v>
      </c>
      <c r="D7582" s="3">
        <f>IFERROR(__xludf.DUMMYFUNCTION("IFERROR(
IF(REGEXMATCH(LOWER(O7582),""k""),
VALUE(REGEXEXTRACT(O7582,""[0-9]+""))*1000,
VALUE(REGEXEXTRACT(O7582,""[0-9]+""))
),
0
)"),0.0)</f>
        <v>0</v>
      </c>
      <c r="E7582" s="1" t="s">
        <v>11</v>
      </c>
      <c r="F7582" s="1" t="s">
        <v>20</v>
      </c>
      <c r="G7582" s="4" t="b">
        <f t="shared" si="2"/>
        <v>1</v>
      </c>
      <c r="H7582" s="1" t="str">
        <f t="shared" si="3"/>
        <v>Currently Unavailable</v>
      </c>
      <c r="I7582" s="1" t="str">
        <f t="shared" si="4"/>
        <v>No Badges</v>
      </c>
      <c r="J7582" s="3">
        <f t="shared" si="5"/>
        <v>0</v>
      </c>
    </row>
    <row r="7583">
      <c r="A7583" s="1" t="s">
        <v>5794</v>
      </c>
      <c r="B7583" s="3" t="str">
        <f t="shared" si="1"/>
        <v>Unavailable</v>
      </c>
      <c r="C7583" s="3">
        <v>4.0</v>
      </c>
      <c r="D7583" s="3">
        <f>IFERROR(__xludf.DUMMYFUNCTION("IFERROR(
IF(REGEXMATCH(LOWER(O7583),""k""),
VALUE(REGEXEXTRACT(O7583,""[0-9]+""))*1000,
VALUE(REGEXEXTRACT(O7583,""[0-9]+""))
),
0
)"),0.0)</f>
        <v>0</v>
      </c>
      <c r="E7583" s="1" t="s">
        <v>11</v>
      </c>
      <c r="F7583" s="1" t="s">
        <v>20</v>
      </c>
      <c r="G7583" s="4" t="b">
        <f t="shared" si="2"/>
        <v>1</v>
      </c>
      <c r="H7583" s="1" t="str">
        <f t="shared" si="3"/>
        <v>Currently Unavailable</v>
      </c>
      <c r="I7583" s="1" t="str">
        <f t="shared" si="4"/>
        <v>No Badges</v>
      </c>
      <c r="J7583" s="6">
        <f t="shared" si="5"/>
        <v>0</v>
      </c>
    </row>
    <row r="7584">
      <c r="A7584" s="1" t="s">
        <v>5795</v>
      </c>
      <c r="B7584" s="3" t="str">
        <f t="shared" si="1"/>
        <v>Unavailable</v>
      </c>
      <c r="C7584" s="3">
        <v>114.0</v>
      </c>
      <c r="D7584" s="3">
        <f>IFERROR(__xludf.DUMMYFUNCTION("IFERROR(
IF(REGEXMATCH(LOWER(O7584),""k""),
VALUE(REGEXEXTRACT(O7584,""[0-9]+""))*1000,
VALUE(REGEXEXTRACT(O7584,""[0-9]+""))
),
0
)"),0.0)</f>
        <v>0</v>
      </c>
      <c r="E7584" s="1" t="s">
        <v>11</v>
      </c>
      <c r="F7584" s="1" t="s">
        <v>20</v>
      </c>
      <c r="G7584" s="4" t="b">
        <f t="shared" si="2"/>
        <v>1</v>
      </c>
      <c r="H7584" s="1" t="str">
        <f t="shared" si="3"/>
        <v>Currently Unavailable</v>
      </c>
      <c r="I7584" s="1" t="str">
        <f t="shared" si="4"/>
        <v>No Badges</v>
      </c>
      <c r="J7584" s="3">
        <f t="shared" si="5"/>
        <v>0</v>
      </c>
    </row>
    <row r="7585">
      <c r="A7585" s="1" t="s">
        <v>5796</v>
      </c>
      <c r="B7585" s="3" t="str">
        <f t="shared" si="1"/>
        <v>Unavailable</v>
      </c>
      <c r="C7585" s="3">
        <v>471.0</v>
      </c>
      <c r="D7585" s="3">
        <f>IFERROR(__xludf.DUMMYFUNCTION("IFERROR(
IF(REGEXMATCH(LOWER(O7585),""k""),
VALUE(REGEXEXTRACT(O7585,""[0-9]+""))*1000,
VALUE(REGEXEXTRACT(O7585,""[0-9]+""))
),
0
)"),0.0)</f>
        <v>0</v>
      </c>
      <c r="E7585" s="1" t="s">
        <v>11</v>
      </c>
      <c r="F7585" s="1" t="s">
        <v>20</v>
      </c>
      <c r="G7585" s="4" t="b">
        <f t="shared" si="2"/>
        <v>1</v>
      </c>
      <c r="H7585" s="1" t="str">
        <f t="shared" si="3"/>
        <v>Currently Unavailable</v>
      </c>
      <c r="I7585" s="1" t="str">
        <f t="shared" si="4"/>
        <v>No Badges</v>
      </c>
      <c r="J7585" s="3">
        <f t="shared" si="5"/>
        <v>0</v>
      </c>
    </row>
    <row r="7586">
      <c r="A7586" s="1" t="s">
        <v>701</v>
      </c>
      <c r="B7586" s="3" t="str">
        <f t="shared" si="1"/>
        <v>Unavailable</v>
      </c>
      <c r="C7586" s="3">
        <v>8.0</v>
      </c>
      <c r="D7586" s="3">
        <f>IFERROR(__xludf.DUMMYFUNCTION("IFERROR(
IF(REGEXMATCH(LOWER(O7586),""k""),
VALUE(REGEXEXTRACT(O7586,""[0-9]+""))*1000,
VALUE(REGEXEXTRACT(O7586,""[0-9]+""))
),
0
)"),0.0)</f>
        <v>0</v>
      </c>
      <c r="E7586" s="1" t="s">
        <v>11</v>
      </c>
      <c r="F7586" s="1" t="s">
        <v>12</v>
      </c>
      <c r="G7586" s="4" t="b">
        <f t="shared" si="2"/>
        <v>1</v>
      </c>
      <c r="H7586" s="1" t="str">
        <f t="shared" si="3"/>
        <v>Currently Unavailable</v>
      </c>
      <c r="I7586" s="1" t="str">
        <f t="shared" si="4"/>
        <v>No Badges</v>
      </c>
      <c r="J7586" s="3">
        <f t="shared" si="5"/>
        <v>0</v>
      </c>
    </row>
    <row r="7587">
      <c r="A7587" s="1" t="s">
        <v>5797</v>
      </c>
      <c r="B7587" s="3" t="str">
        <f t="shared" si="1"/>
        <v>Unavailable</v>
      </c>
      <c r="C7587" s="3">
        <v>322.0</v>
      </c>
      <c r="D7587" s="3">
        <f>IFERROR(__xludf.DUMMYFUNCTION("IFERROR(
IF(REGEXMATCH(LOWER(O7587),""k""),
VALUE(REGEXEXTRACT(O7587,""[0-9]+""))*1000,
VALUE(REGEXEXTRACT(O7587,""[0-9]+""))
),
0
)"),0.0)</f>
        <v>0</v>
      </c>
      <c r="E7587" s="1" t="s">
        <v>11</v>
      </c>
      <c r="F7587" s="1" t="s">
        <v>20</v>
      </c>
      <c r="G7587" s="4" t="b">
        <f t="shared" si="2"/>
        <v>1</v>
      </c>
      <c r="H7587" s="1" t="str">
        <f t="shared" si="3"/>
        <v>Currently Unavailable</v>
      </c>
      <c r="I7587" s="1" t="str">
        <f t="shared" si="4"/>
        <v>No Badges</v>
      </c>
      <c r="J7587" s="3">
        <f t="shared" si="5"/>
        <v>0</v>
      </c>
    </row>
    <row r="7588">
      <c r="A7588" s="1" t="s">
        <v>5798</v>
      </c>
      <c r="B7588" s="3" t="str">
        <f t="shared" si="1"/>
        <v>Unavailable</v>
      </c>
      <c r="C7588" s="3">
        <v>5.0</v>
      </c>
      <c r="D7588" s="3">
        <f>IFERROR(__xludf.DUMMYFUNCTION("IFERROR(
IF(REGEXMATCH(LOWER(O7588),""k""),
VALUE(REGEXEXTRACT(O7588,""[0-9]+""))*1000,
VALUE(REGEXEXTRACT(O7588,""[0-9]+""))
),
0
)"),0.0)</f>
        <v>0</v>
      </c>
      <c r="E7588" s="1" t="s">
        <v>11</v>
      </c>
      <c r="F7588" s="1" t="s">
        <v>12</v>
      </c>
      <c r="G7588" s="4" t="b">
        <f t="shared" si="2"/>
        <v>1</v>
      </c>
      <c r="H7588" s="1" t="str">
        <f t="shared" si="3"/>
        <v>Currently Unavailable</v>
      </c>
      <c r="I7588" s="1" t="str">
        <f t="shared" si="4"/>
        <v>No Badges</v>
      </c>
      <c r="J7588" s="3">
        <f t="shared" si="5"/>
        <v>0</v>
      </c>
    </row>
    <row r="7589">
      <c r="A7589" s="1" t="s">
        <v>5799</v>
      </c>
      <c r="B7589" s="3" t="str">
        <f t="shared" si="1"/>
        <v>Unavailable</v>
      </c>
      <c r="C7589" s="5">
        <v>1207.0</v>
      </c>
      <c r="D7589" s="3">
        <f>IFERROR(__xludf.DUMMYFUNCTION("IFERROR(
IF(REGEXMATCH(LOWER(O7589),""k""),
VALUE(REGEXEXTRACT(O7589,""[0-9]+""))*1000,
VALUE(REGEXEXTRACT(O7589,""[0-9]+""))
),
0
)"),0.0)</f>
        <v>0</v>
      </c>
      <c r="E7589" s="1" t="s">
        <v>11</v>
      </c>
      <c r="F7589" s="1" t="s">
        <v>20</v>
      </c>
      <c r="G7589" s="4" t="b">
        <f t="shared" si="2"/>
        <v>1</v>
      </c>
      <c r="H7589" s="1" t="str">
        <f t="shared" si="3"/>
        <v>Currently Unavailable</v>
      </c>
      <c r="I7589" s="1" t="str">
        <f t="shared" si="4"/>
        <v>No Badges</v>
      </c>
      <c r="J7589" s="3">
        <f t="shared" si="5"/>
        <v>0</v>
      </c>
    </row>
    <row r="7590">
      <c r="A7590" s="1" t="s">
        <v>5800</v>
      </c>
      <c r="B7590" s="3" t="str">
        <f t="shared" si="1"/>
        <v>Unavailable</v>
      </c>
      <c r="C7590" s="5">
        <v>4736.0</v>
      </c>
      <c r="D7590" s="3">
        <f>IFERROR(__xludf.DUMMYFUNCTION("IFERROR(
IF(REGEXMATCH(LOWER(O7590),""k""),
VALUE(REGEXEXTRACT(O7590,""[0-9]+""))*1000,
VALUE(REGEXEXTRACT(O7590,""[0-9]+""))
),
0
)"),0.0)</f>
        <v>0</v>
      </c>
      <c r="E7590" s="1" t="s">
        <v>11</v>
      </c>
      <c r="F7590" s="1" t="s">
        <v>20</v>
      </c>
      <c r="G7590" s="4" t="b">
        <f t="shared" si="2"/>
        <v>1</v>
      </c>
      <c r="H7590" s="1" t="str">
        <f t="shared" si="3"/>
        <v>Currently Unavailable</v>
      </c>
      <c r="I7590" s="1" t="str">
        <f t="shared" si="4"/>
        <v>No Badges</v>
      </c>
      <c r="J7590" s="3">
        <f t="shared" si="5"/>
        <v>0</v>
      </c>
    </row>
    <row r="7591">
      <c r="A7591" s="1" t="s">
        <v>69</v>
      </c>
      <c r="B7591" s="3" t="str">
        <f t="shared" si="1"/>
        <v>Unavailable</v>
      </c>
      <c r="C7591" s="3">
        <v>45.0</v>
      </c>
      <c r="D7591" s="3">
        <f>IFERROR(__xludf.DUMMYFUNCTION("IFERROR(
IF(REGEXMATCH(LOWER(O7591),""k""),
VALUE(REGEXEXTRACT(O7591,""[0-9]+""))*1000,
VALUE(REGEXEXTRACT(O7591,""[0-9]+""))
),
0
)"),0.0)</f>
        <v>0</v>
      </c>
      <c r="E7591" s="1" t="s">
        <v>11</v>
      </c>
      <c r="F7591" s="1" t="s">
        <v>12</v>
      </c>
      <c r="G7591" s="4" t="b">
        <f t="shared" si="2"/>
        <v>1</v>
      </c>
      <c r="H7591" s="1" t="str">
        <f t="shared" si="3"/>
        <v>Currently Unavailable</v>
      </c>
      <c r="I7591" s="1" t="str">
        <f t="shared" si="4"/>
        <v>No Badges</v>
      </c>
      <c r="J7591" s="3">
        <f t="shared" si="5"/>
        <v>0</v>
      </c>
    </row>
    <row r="7592">
      <c r="A7592" s="1" t="s">
        <v>5801</v>
      </c>
      <c r="B7592" s="3" t="str">
        <f t="shared" si="1"/>
        <v>Unavailable</v>
      </c>
      <c r="C7592" s="5">
        <v>1017.0</v>
      </c>
      <c r="D7592" s="3">
        <f>IFERROR(__xludf.DUMMYFUNCTION("IFERROR(
IF(REGEXMATCH(LOWER(O7592),""k""),
VALUE(REGEXEXTRACT(O7592,""[0-9]+""))*1000,
VALUE(REGEXEXTRACT(O7592,""[0-9]+""))
),
0
)"),0.0)</f>
        <v>0</v>
      </c>
      <c r="E7592" s="1" t="s">
        <v>11</v>
      </c>
      <c r="F7592" s="1" t="s">
        <v>20</v>
      </c>
      <c r="G7592" s="4" t="b">
        <f t="shared" si="2"/>
        <v>1</v>
      </c>
      <c r="H7592" s="1" t="str">
        <f t="shared" si="3"/>
        <v>Currently Unavailable</v>
      </c>
      <c r="I7592" s="1" t="str">
        <f t="shared" si="4"/>
        <v>No Badges</v>
      </c>
      <c r="J7592" s="3">
        <f t="shared" si="5"/>
        <v>0</v>
      </c>
    </row>
    <row r="7593">
      <c r="A7593" s="1" t="s">
        <v>5802</v>
      </c>
      <c r="B7593" s="1" t="str">
        <f t="shared" si="1"/>
        <v>Unavailable</v>
      </c>
      <c r="C7593" s="1"/>
      <c r="D7593" s="3">
        <f>IFERROR(__xludf.DUMMYFUNCTION("IFERROR(
IF(REGEXMATCH(LOWER(O7593),""k""),
VALUE(REGEXEXTRACT(O7593,""[0-9]+""))*1000,
VALUE(REGEXEXTRACT(O7593,""[0-9]+""))
),
0
)"),0.0)</f>
        <v>0</v>
      </c>
      <c r="E7593" s="1" t="s">
        <v>11</v>
      </c>
      <c r="F7593" s="1" t="s">
        <v>20</v>
      </c>
      <c r="G7593" s="4" t="b">
        <f t="shared" si="2"/>
        <v>1</v>
      </c>
      <c r="H7593" s="1" t="str">
        <f t="shared" si="3"/>
        <v>Currently Unavailable</v>
      </c>
      <c r="I7593" s="1" t="str">
        <f t="shared" si="4"/>
        <v>No Badges</v>
      </c>
      <c r="J7593" s="3">
        <f t="shared" si="5"/>
        <v>0</v>
      </c>
    </row>
    <row r="7594">
      <c r="A7594" s="1" t="s">
        <v>5803</v>
      </c>
      <c r="B7594" s="3" t="str">
        <f t="shared" si="1"/>
        <v>Unavailable</v>
      </c>
      <c r="C7594" s="5">
        <v>3535.0</v>
      </c>
      <c r="D7594" s="3">
        <f>IFERROR(__xludf.DUMMYFUNCTION("IFERROR(
IF(REGEXMATCH(LOWER(O7594),""k""),
VALUE(REGEXEXTRACT(O7594,""[0-9]+""))*1000,
VALUE(REGEXEXTRACT(O7594,""[0-9]+""))
),
0
)"),0.0)</f>
        <v>0</v>
      </c>
      <c r="E7594" s="1" t="s">
        <v>11</v>
      </c>
      <c r="F7594" s="1" t="s">
        <v>20</v>
      </c>
      <c r="G7594" s="4" t="b">
        <f t="shared" si="2"/>
        <v>1</v>
      </c>
      <c r="H7594" s="1" t="str">
        <f t="shared" si="3"/>
        <v>Currently Unavailable</v>
      </c>
      <c r="I7594" s="1" t="str">
        <f t="shared" si="4"/>
        <v>No Badges</v>
      </c>
      <c r="J7594" s="3">
        <f t="shared" si="5"/>
        <v>0</v>
      </c>
    </row>
    <row r="7595">
      <c r="A7595" s="1" t="s">
        <v>5804</v>
      </c>
      <c r="B7595" s="1" t="str">
        <f t="shared" si="1"/>
        <v>Unavailable</v>
      </c>
      <c r="C7595" s="1"/>
      <c r="D7595" s="3">
        <f>IFERROR(__xludf.DUMMYFUNCTION("IFERROR(
IF(REGEXMATCH(LOWER(O7595),""k""),
VALUE(REGEXEXTRACT(O7595,""[0-9]+""))*1000,
VALUE(REGEXEXTRACT(O7595,""[0-9]+""))
),
0
)"),0.0)</f>
        <v>0</v>
      </c>
      <c r="E7595" s="1" t="s">
        <v>11</v>
      </c>
      <c r="F7595" s="1" t="s">
        <v>20</v>
      </c>
      <c r="G7595" s="4" t="b">
        <f t="shared" si="2"/>
        <v>1</v>
      </c>
      <c r="H7595" s="1" t="str">
        <f t="shared" si="3"/>
        <v>Currently Unavailable</v>
      </c>
      <c r="I7595" s="1" t="str">
        <f t="shared" si="4"/>
        <v>No Badges</v>
      </c>
      <c r="J7595" s="3">
        <f t="shared" si="5"/>
        <v>0</v>
      </c>
    </row>
    <row r="7596">
      <c r="A7596" s="1" t="s">
        <v>5805</v>
      </c>
      <c r="B7596" s="3" t="str">
        <f t="shared" si="1"/>
        <v>Unavailable</v>
      </c>
      <c r="C7596" s="3">
        <v>59.0</v>
      </c>
      <c r="D7596" s="3">
        <f>IFERROR(__xludf.DUMMYFUNCTION("IFERROR(
IF(REGEXMATCH(LOWER(O7596),""k""),
VALUE(REGEXEXTRACT(O7596,""[0-9]+""))*1000,
VALUE(REGEXEXTRACT(O7596,""[0-9]+""))
),
0
)"),0.0)</f>
        <v>0</v>
      </c>
      <c r="E7596" s="1" t="s">
        <v>11</v>
      </c>
      <c r="F7596" s="1" t="s">
        <v>20</v>
      </c>
      <c r="G7596" s="4" t="b">
        <f t="shared" si="2"/>
        <v>1</v>
      </c>
      <c r="H7596" s="1" t="str">
        <f t="shared" si="3"/>
        <v>Currently Unavailable</v>
      </c>
      <c r="I7596" s="1" t="str">
        <f t="shared" si="4"/>
        <v>No Badges</v>
      </c>
      <c r="J7596" s="3">
        <f t="shared" si="5"/>
        <v>0</v>
      </c>
    </row>
    <row r="7597">
      <c r="A7597" s="1" t="s">
        <v>5806</v>
      </c>
      <c r="B7597" s="3" t="str">
        <f t="shared" si="1"/>
        <v>Unavailable</v>
      </c>
      <c r="C7597" s="3">
        <v>805.0</v>
      </c>
      <c r="D7597" s="3">
        <f>IFERROR(__xludf.DUMMYFUNCTION("IFERROR(
IF(REGEXMATCH(LOWER(O7597),""k""),
VALUE(REGEXEXTRACT(O7597,""[0-9]+""))*1000,
VALUE(REGEXEXTRACT(O7597,""[0-9]+""))
),
0
)"),0.0)</f>
        <v>0</v>
      </c>
      <c r="E7597" s="1" t="s">
        <v>11</v>
      </c>
      <c r="F7597" s="1" t="s">
        <v>20</v>
      </c>
      <c r="G7597" s="4" t="b">
        <f t="shared" si="2"/>
        <v>1</v>
      </c>
      <c r="H7597" s="1" t="str">
        <f t="shared" si="3"/>
        <v>Currently Unavailable</v>
      </c>
      <c r="I7597" s="1" t="str">
        <f t="shared" si="4"/>
        <v>No Badges</v>
      </c>
      <c r="J7597" s="3">
        <f t="shared" si="5"/>
        <v>0</v>
      </c>
    </row>
    <row r="7598">
      <c r="A7598" s="1" t="s">
        <v>5807</v>
      </c>
      <c r="B7598" s="3" t="str">
        <f t="shared" si="1"/>
        <v>Unavailable</v>
      </c>
      <c r="C7598" s="3">
        <v>6.0</v>
      </c>
      <c r="D7598" s="3">
        <f>IFERROR(__xludf.DUMMYFUNCTION("IFERROR(
IF(REGEXMATCH(LOWER(O7598),""k""),
VALUE(REGEXEXTRACT(O7598,""[0-9]+""))*1000,
VALUE(REGEXEXTRACT(O7598,""[0-9]+""))
),
0
)"),0.0)</f>
        <v>0</v>
      </c>
      <c r="E7598" s="1" t="s">
        <v>11</v>
      </c>
      <c r="F7598" s="1" t="s">
        <v>20</v>
      </c>
      <c r="G7598" s="4" t="b">
        <f t="shared" si="2"/>
        <v>1</v>
      </c>
      <c r="H7598" s="1" t="str">
        <f t="shared" si="3"/>
        <v>Currently Unavailable</v>
      </c>
      <c r="I7598" s="1" t="str">
        <f t="shared" si="4"/>
        <v>No Badges</v>
      </c>
      <c r="J7598" s="3">
        <f t="shared" si="5"/>
        <v>0</v>
      </c>
    </row>
    <row r="7599">
      <c r="A7599" s="1" t="s">
        <v>5808</v>
      </c>
      <c r="B7599" s="3" t="str">
        <f t="shared" si="1"/>
        <v>Unavailable</v>
      </c>
      <c r="C7599" s="3">
        <v>312.0</v>
      </c>
      <c r="D7599" s="3">
        <f>IFERROR(__xludf.DUMMYFUNCTION("IFERROR(
IF(REGEXMATCH(LOWER(O7599),""k""),
VALUE(REGEXEXTRACT(O7599,""[0-9]+""))*1000,
VALUE(REGEXEXTRACT(O7599,""[0-9]+""))
),
0
)"),0.0)</f>
        <v>0</v>
      </c>
      <c r="E7599" s="1" t="s">
        <v>11</v>
      </c>
      <c r="F7599" s="1" t="s">
        <v>20</v>
      </c>
      <c r="G7599" s="4" t="b">
        <f t="shared" si="2"/>
        <v>1</v>
      </c>
      <c r="H7599" s="1" t="str">
        <f t="shared" si="3"/>
        <v>Currently Unavailable</v>
      </c>
      <c r="I7599" s="1" t="str">
        <f t="shared" si="4"/>
        <v>No Badges</v>
      </c>
      <c r="J7599" s="3">
        <f t="shared" si="5"/>
        <v>0</v>
      </c>
    </row>
    <row r="7600">
      <c r="A7600" s="1" t="s">
        <v>5809</v>
      </c>
      <c r="B7600" s="3" t="str">
        <f t="shared" si="1"/>
        <v>Unavailable</v>
      </c>
      <c r="C7600" s="5">
        <v>2819.0</v>
      </c>
      <c r="D7600" s="3">
        <f>IFERROR(__xludf.DUMMYFUNCTION("IFERROR(
IF(REGEXMATCH(LOWER(O7600),""k""),
VALUE(REGEXEXTRACT(O7600,""[0-9]+""))*1000,
VALUE(REGEXEXTRACT(O7600,""[0-9]+""))
),
0
)"),0.0)</f>
        <v>0</v>
      </c>
      <c r="E7600" s="1" t="s">
        <v>11</v>
      </c>
      <c r="F7600" s="1" t="s">
        <v>20</v>
      </c>
      <c r="G7600" s="4" t="b">
        <f t="shared" si="2"/>
        <v>1</v>
      </c>
      <c r="H7600" s="1" t="str">
        <f t="shared" si="3"/>
        <v>Currently Unavailable</v>
      </c>
      <c r="I7600" s="1" t="str">
        <f t="shared" si="4"/>
        <v>No Badges</v>
      </c>
      <c r="J7600" s="3">
        <f t="shared" si="5"/>
        <v>0</v>
      </c>
    </row>
    <row r="7601">
      <c r="A7601" s="1" t="s">
        <v>5810</v>
      </c>
      <c r="B7601" s="3" t="str">
        <f t="shared" si="1"/>
        <v>Unavailable</v>
      </c>
      <c r="C7601" s="5">
        <v>8695.0</v>
      </c>
      <c r="D7601" s="3">
        <f>IFERROR(__xludf.DUMMYFUNCTION("IFERROR(
IF(REGEXMATCH(LOWER(O7601),""k""),
VALUE(REGEXEXTRACT(O7601,""[0-9]+""))*1000,
VALUE(REGEXEXTRACT(O7601,""[0-9]+""))
),
0
)"),0.0)</f>
        <v>0</v>
      </c>
      <c r="E7601" s="1" t="s">
        <v>11</v>
      </c>
      <c r="F7601" s="1" t="s">
        <v>20</v>
      </c>
      <c r="G7601" s="4" t="b">
        <f t="shared" si="2"/>
        <v>1</v>
      </c>
      <c r="H7601" s="1" t="str">
        <f t="shared" si="3"/>
        <v>Currently Unavailable</v>
      </c>
      <c r="I7601" s="1" t="str">
        <f t="shared" si="4"/>
        <v>No Badges</v>
      </c>
      <c r="J7601" s="3">
        <f t="shared" si="5"/>
        <v>0</v>
      </c>
    </row>
    <row r="7602">
      <c r="A7602" s="1" t="s">
        <v>5811</v>
      </c>
      <c r="B7602" s="3" t="str">
        <f t="shared" si="1"/>
        <v>Unavailable</v>
      </c>
      <c r="C7602" s="3">
        <v>59.0</v>
      </c>
      <c r="D7602" s="3">
        <f>IFERROR(__xludf.DUMMYFUNCTION("IFERROR(
IF(REGEXMATCH(LOWER(O7602),""k""),
VALUE(REGEXEXTRACT(O7602,""[0-9]+""))*1000,
VALUE(REGEXEXTRACT(O7602,""[0-9]+""))
),
0
)"),0.0)</f>
        <v>0</v>
      </c>
      <c r="E7602" s="1" t="s">
        <v>11</v>
      </c>
      <c r="F7602" s="1" t="s">
        <v>20</v>
      </c>
      <c r="G7602" s="4" t="b">
        <f t="shared" si="2"/>
        <v>1</v>
      </c>
      <c r="H7602" s="1" t="str">
        <f t="shared" si="3"/>
        <v>Currently Unavailable</v>
      </c>
      <c r="I7602" s="1" t="str">
        <f t="shared" si="4"/>
        <v>No Badges</v>
      </c>
      <c r="J7602" s="3">
        <f t="shared" si="5"/>
        <v>0</v>
      </c>
    </row>
    <row r="7603">
      <c r="A7603" s="1" t="s">
        <v>5812</v>
      </c>
      <c r="B7603" s="3" t="str">
        <f t="shared" si="1"/>
        <v>Unavailable</v>
      </c>
      <c r="C7603" s="5">
        <v>9946.0</v>
      </c>
      <c r="D7603" s="3">
        <f>IFERROR(__xludf.DUMMYFUNCTION("IFERROR(
IF(REGEXMATCH(LOWER(O7603),""k""),
VALUE(REGEXEXTRACT(O7603,""[0-9]+""))*1000,
VALUE(REGEXEXTRACT(O7603,""[0-9]+""))
),
0
)"),0.0)</f>
        <v>0</v>
      </c>
      <c r="E7603" s="1" t="s">
        <v>11</v>
      </c>
      <c r="F7603" s="1" t="s">
        <v>20</v>
      </c>
      <c r="G7603" s="4" t="b">
        <f t="shared" si="2"/>
        <v>1</v>
      </c>
      <c r="H7603" s="1" t="str">
        <f t="shared" si="3"/>
        <v>Currently Unavailable</v>
      </c>
      <c r="I7603" s="1" t="str">
        <f t="shared" si="4"/>
        <v>No Badges</v>
      </c>
      <c r="J7603" s="3">
        <f t="shared" si="5"/>
        <v>0</v>
      </c>
    </row>
    <row r="7604">
      <c r="A7604" s="1" t="s">
        <v>67</v>
      </c>
      <c r="B7604" s="3" t="str">
        <f t="shared" si="1"/>
        <v>Unavailable</v>
      </c>
      <c r="C7604" s="3">
        <v>264.0</v>
      </c>
      <c r="D7604" s="3">
        <f>IFERROR(__xludf.DUMMYFUNCTION("IFERROR(
IF(REGEXMATCH(LOWER(O7604),""k""),
VALUE(REGEXEXTRACT(O7604,""[0-9]+""))*1000,
VALUE(REGEXEXTRACT(O7604,""[0-9]+""))
),
0
)"),0.0)</f>
        <v>0</v>
      </c>
      <c r="E7604" s="1" t="s">
        <v>11</v>
      </c>
      <c r="F7604" s="1" t="s">
        <v>12</v>
      </c>
      <c r="G7604" s="4" t="b">
        <f t="shared" si="2"/>
        <v>1</v>
      </c>
      <c r="H7604" s="1" t="str">
        <f t="shared" si="3"/>
        <v>Currently Unavailable</v>
      </c>
      <c r="I7604" s="1" t="str">
        <f t="shared" si="4"/>
        <v>No Badges</v>
      </c>
      <c r="J7604" s="3">
        <f t="shared" si="5"/>
        <v>0</v>
      </c>
    </row>
    <row r="7605">
      <c r="A7605" s="1" t="s">
        <v>5813</v>
      </c>
      <c r="B7605" s="3" t="str">
        <f t="shared" si="1"/>
        <v>Unavailable</v>
      </c>
      <c r="C7605" s="5">
        <v>1327.0</v>
      </c>
      <c r="D7605" s="3">
        <f>IFERROR(__xludf.DUMMYFUNCTION("IFERROR(
IF(REGEXMATCH(LOWER(O7605),""k""),
VALUE(REGEXEXTRACT(O7605,""[0-9]+""))*1000,
VALUE(REGEXEXTRACT(O7605,""[0-9]+""))
),
0
)"),0.0)</f>
        <v>0</v>
      </c>
      <c r="E7605" s="1" t="s">
        <v>11</v>
      </c>
      <c r="F7605" s="1" t="s">
        <v>20</v>
      </c>
      <c r="G7605" s="4" t="b">
        <f t="shared" si="2"/>
        <v>1</v>
      </c>
      <c r="H7605" s="1" t="str">
        <f t="shared" si="3"/>
        <v>Currently Unavailable</v>
      </c>
      <c r="I7605" s="1" t="str">
        <f t="shared" si="4"/>
        <v>No Badges</v>
      </c>
      <c r="J7605" s="3">
        <f t="shared" si="5"/>
        <v>0</v>
      </c>
    </row>
    <row r="7606">
      <c r="A7606" s="1" t="s">
        <v>701</v>
      </c>
      <c r="B7606" s="3" t="str">
        <f t="shared" si="1"/>
        <v>Unavailable</v>
      </c>
      <c r="C7606" s="3">
        <v>8.0</v>
      </c>
      <c r="D7606" s="3">
        <f>IFERROR(__xludf.DUMMYFUNCTION("IFERROR(
IF(REGEXMATCH(LOWER(O7606),""k""),
VALUE(REGEXEXTRACT(O7606,""[0-9]+""))*1000,
VALUE(REGEXEXTRACT(O7606,""[0-9]+""))
),
0
)"),0.0)</f>
        <v>0</v>
      </c>
      <c r="E7606" s="1" t="s">
        <v>11</v>
      </c>
      <c r="F7606" s="1" t="s">
        <v>12</v>
      </c>
      <c r="G7606" s="4" t="b">
        <f t="shared" si="2"/>
        <v>1</v>
      </c>
      <c r="H7606" s="1" t="str">
        <f t="shared" si="3"/>
        <v>Currently Unavailable</v>
      </c>
      <c r="I7606" s="1" t="str">
        <f t="shared" si="4"/>
        <v>No Badges</v>
      </c>
      <c r="J7606" s="3">
        <f t="shared" si="5"/>
        <v>0</v>
      </c>
    </row>
    <row r="7607">
      <c r="A7607" s="1" t="s">
        <v>5814</v>
      </c>
      <c r="B7607" s="3" t="str">
        <f t="shared" si="1"/>
        <v>Unavailable</v>
      </c>
      <c r="C7607" s="3">
        <v>74.0</v>
      </c>
      <c r="D7607" s="3">
        <f>IFERROR(__xludf.DUMMYFUNCTION("IFERROR(
IF(REGEXMATCH(LOWER(O7607),""k""),
VALUE(REGEXEXTRACT(O7607,""[0-9]+""))*1000,
VALUE(REGEXEXTRACT(O7607,""[0-9]+""))
),
0
)"),0.0)</f>
        <v>0</v>
      </c>
      <c r="E7607" s="1" t="s">
        <v>11</v>
      </c>
      <c r="F7607" s="1" t="s">
        <v>20</v>
      </c>
      <c r="G7607" s="4" t="b">
        <f t="shared" si="2"/>
        <v>1</v>
      </c>
      <c r="H7607" s="1" t="str">
        <f t="shared" si="3"/>
        <v>Currently Unavailable</v>
      </c>
      <c r="I7607" s="1" t="str">
        <f t="shared" si="4"/>
        <v>No Badges</v>
      </c>
      <c r="J7607" s="3">
        <f t="shared" si="5"/>
        <v>0</v>
      </c>
    </row>
    <row r="7608">
      <c r="A7608" s="1" t="s">
        <v>5815</v>
      </c>
      <c r="B7608" s="3" t="str">
        <f t="shared" si="1"/>
        <v>Unavailable</v>
      </c>
      <c r="C7608" s="3">
        <v>174.0</v>
      </c>
      <c r="D7608" s="3">
        <f>IFERROR(__xludf.DUMMYFUNCTION("IFERROR(
IF(REGEXMATCH(LOWER(O7608),""k""),
VALUE(REGEXEXTRACT(O7608,""[0-9]+""))*1000,
VALUE(REGEXEXTRACT(O7608,""[0-9]+""))
),
0
)"),0.0)</f>
        <v>0</v>
      </c>
      <c r="E7608" s="1" t="s">
        <v>11</v>
      </c>
      <c r="F7608" s="1" t="s">
        <v>20</v>
      </c>
      <c r="G7608" s="4" t="b">
        <f t="shared" si="2"/>
        <v>1</v>
      </c>
      <c r="H7608" s="1" t="str">
        <f t="shared" si="3"/>
        <v>Currently Unavailable</v>
      </c>
      <c r="I7608" s="1" t="str">
        <f t="shared" si="4"/>
        <v>No Badges</v>
      </c>
      <c r="J7608" s="3">
        <f t="shared" si="5"/>
        <v>0</v>
      </c>
    </row>
    <row r="7609">
      <c r="A7609" s="1" t="s">
        <v>5816</v>
      </c>
      <c r="B7609" s="3" t="str">
        <f t="shared" si="1"/>
        <v>Unavailable</v>
      </c>
      <c r="C7609" s="5">
        <v>1362.0</v>
      </c>
      <c r="D7609" s="3">
        <f>IFERROR(__xludf.DUMMYFUNCTION("IFERROR(
IF(REGEXMATCH(LOWER(O7609),""k""),
VALUE(REGEXEXTRACT(O7609,""[0-9]+""))*1000,
VALUE(REGEXEXTRACT(O7609,""[0-9]+""))
),
0
)"),0.0)</f>
        <v>0</v>
      </c>
      <c r="E7609" s="1" t="s">
        <v>11</v>
      </c>
      <c r="F7609" s="1" t="s">
        <v>20</v>
      </c>
      <c r="G7609" s="4" t="b">
        <f t="shared" si="2"/>
        <v>1</v>
      </c>
      <c r="H7609" s="1" t="str">
        <f t="shared" si="3"/>
        <v>Currently Unavailable</v>
      </c>
      <c r="I7609" s="1" t="str">
        <f t="shared" si="4"/>
        <v>No Badges</v>
      </c>
      <c r="J7609" s="3">
        <f t="shared" si="5"/>
        <v>0</v>
      </c>
    </row>
    <row r="7610">
      <c r="A7610" s="1" t="s">
        <v>5817</v>
      </c>
      <c r="B7610" s="3" t="str">
        <f t="shared" si="1"/>
        <v>Unavailable</v>
      </c>
      <c r="C7610" s="5">
        <v>7235.0</v>
      </c>
      <c r="D7610" s="3">
        <f>IFERROR(__xludf.DUMMYFUNCTION("IFERROR(
IF(REGEXMATCH(LOWER(O7610),""k""),
VALUE(REGEXEXTRACT(O7610,""[0-9]+""))*1000,
VALUE(REGEXEXTRACT(O7610,""[0-9]+""))
),
0
)"),0.0)</f>
        <v>0</v>
      </c>
      <c r="E7610" s="1" t="s">
        <v>11</v>
      </c>
      <c r="F7610" s="1" t="s">
        <v>12</v>
      </c>
      <c r="G7610" s="4" t="b">
        <f t="shared" si="2"/>
        <v>1</v>
      </c>
      <c r="H7610" s="1" t="str">
        <f t="shared" si="3"/>
        <v>Currently Unavailable</v>
      </c>
      <c r="I7610" s="1" t="str">
        <f t="shared" si="4"/>
        <v>No Badges</v>
      </c>
      <c r="J7610" s="3">
        <f t="shared" si="5"/>
        <v>0</v>
      </c>
    </row>
    <row r="7611">
      <c r="A7611" s="1" t="s">
        <v>5818</v>
      </c>
      <c r="B7611" s="3" t="str">
        <f t="shared" si="1"/>
        <v>Unavailable</v>
      </c>
      <c r="C7611" s="5">
        <v>6335.0</v>
      </c>
      <c r="D7611" s="3">
        <f>IFERROR(__xludf.DUMMYFUNCTION("IFERROR(
IF(REGEXMATCH(LOWER(O7611),""k""),
VALUE(REGEXEXTRACT(O7611,""[0-9]+""))*1000,
VALUE(REGEXEXTRACT(O7611,""[0-9]+""))
),
0
)"),0.0)</f>
        <v>0</v>
      </c>
      <c r="E7611" s="1" t="s">
        <v>11</v>
      </c>
      <c r="F7611" s="1" t="s">
        <v>12</v>
      </c>
      <c r="G7611" s="4" t="b">
        <f t="shared" si="2"/>
        <v>1</v>
      </c>
      <c r="H7611" s="1" t="str">
        <f t="shared" si="3"/>
        <v>Currently Unavailable</v>
      </c>
      <c r="I7611" s="1" t="str">
        <f t="shared" si="4"/>
        <v>No Badges</v>
      </c>
      <c r="J7611" s="3">
        <f t="shared" si="5"/>
        <v>0</v>
      </c>
    </row>
    <row r="7612">
      <c r="A7612" s="1" t="s">
        <v>5817</v>
      </c>
      <c r="B7612" s="3" t="str">
        <f t="shared" si="1"/>
        <v>Unavailable</v>
      </c>
      <c r="C7612" s="5">
        <v>7235.0</v>
      </c>
      <c r="D7612" s="3">
        <f>IFERROR(__xludf.DUMMYFUNCTION("IFERROR(
IF(REGEXMATCH(LOWER(O7612),""k""),
VALUE(REGEXEXTRACT(O7612,""[0-9]+""))*1000,
VALUE(REGEXEXTRACT(O7612,""[0-9]+""))
),
0
)"),0.0)</f>
        <v>0</v>
      </c>
      <c r="E7612" s="1" t="s">
        <v>11</v>
      </c>
      <c r="F7612" s="1" t="s">
        <v>12</v>
      </c>
      <c r="G7612" s="4" t="b">
        <f t="shared" si="2"/>
        <v>1</v>
      </c>
      <c r="H7612" s="1" t="str">
        <f t="shared" si="3"/>
        <v>Currently Unavailable</v>
      </c>
      <c r="I7612" s="1" t="str">
        <f t="shared" si="4"/>
        <v>No Badges</v>
      </c>
      <c r="J7612" s="3">
        <f t="shared" si="5"/>
        <v>0</v>
      </c>
    </row>
    <row r="7613">
      <c r="A7613" s="1" t="s">
        <v>5818</v>
      </c>
      <c r="B7613" s="3" t="str">
        <f t="shared" si="1"/>
        <v>Unavailable</v>
      </c>
      <c r="C7613" s="5">
        <v>6335.0</v>
      </c>
      <c r="D7613" s="3">
        <f>IFERROR(__xludf.DUMMYFUNCTION("IFERROR(
IF(REGEXMATCH(LOWER(O7613),""k""),
VALUE(REGEXEXTRACT(O7613,""[0-9]+""))*1000,
VALUE(REGEXEXTRACT(O7613,""[0-9]+""))
),
0
)"),0.0)</f>
        <v>0</v>
      </c>
      <c r="E7613" s="1" t="s">
        <v>11</v>
      </c>
      <c r="F7613" s="1" t="s">
        <v>12</v>
      </c>
      <c r="G7613" s="4" t="b">
        <f t="shared" si="2"/>
        <v>1</v>
      </c>
      <c r="H7613" s="1" t="str">
        <f t="shared" si="3"/>
        <v>Currently Unavailable</v>
      </c>
      <c r="I7613" s="1" t="str">
        <f t="shared" si="4"/>
        <v>No Badges</v>
      </c>
      <c r="J7613" s="3">
        <f t="shared" si="5"/>
        <v>0</v>
      </c>
    </row>
    <row r="7614">
      <c r="A7614" s="1" t="s">
        <v>5819</v>
      </c>
      <c r="B7614" s="3" t="str">
        <f t="shared" si="1"/>
        <v>Unavailable</v>
      </c>
      <c r="C7614" s="5">
        <v>1408.0</v>
      </c>
      <c r="D7614" s="3">
        <f>IFERROR(__xludf.DUMMYFUNCTION("IFERROR(
IF(REGEXMATCH(LOWER(O7614),""k""),
VALUE(REGEXEXTRACT(O7614,""[0-9]+""))*1000,
VALUE(REGEXEXTRACT(O7614,""[0-9]+""))
),
0
)"),0.0)</f>
        <v>0</v>
      </c>
      <c r="E7614" s="1" t="s">
        <v>11</v>
      </c>
      <c r="F7614" s="1" t="s">
        <v>12</v>
      </c>
      <c r="G7614" s="4" t="b">
        <f t="shared" si="2"/>
        <v>1</v>
      </c>
      <c r="H7614" s="1" t="str">
        <f t="shared" si="3"/>
        <v>Currently Unavailable</v>
      </c>
      <c r="I7614" s="1" t="str">
        <f t="shared" si="4"/>
        <v>No Badges</v>
      </c>
      <c r="J7614" s="3">
        <f t="shared" si="5"/>
        <v>0</v>
      </c>
    </row>
    <row r="7615">
      <c r="A7615" s="1" t="s">
        <v>5817</v>
      </c>
      <c r="B7615" s="3" t="str">
        <f t="shared" si="1"/>
        <v>Unavailable</v>
      </c>
      <c r="C7615" s="5">
        <v>7235.0</v>
      </c>
      <c r="D7615" s="3">
        <f>IFERROR(__xludf.DUMMYFUNCTION("IFERROR(
IF(REGEXMATCH(LOWER(O7615),""k""),
VALUE(REGEXEXTRACT(O7615,""[0-9]+""))*1000,
VALUE(REGEXEXTRACT(O7615,""[0-9]+""))
),
0
)"),0.0)</f>
        <v>0</v>
      </c>
      <c r="E7615" s="1" t="s">
        <v>11</v>
      </c>
      <c r="F7615" s="1" t="s">
        <v>12</v>
      </c>
      <c r="G7615" s="4" t="b">
        <f t="shared" si="2"/>
        <v>1</v>
      </c>
      <c r="H7615" s="1" t="str">
        <f t="shared" si="3"/>
        <v>Currently Unavailable</v>
      </c>
      <c r="I7615" s="1" t="str">
        <f t="shared" si="4"/>
        <v>No Badges</v>
      </c>
      <c r="J7615" s="3">
        <f t="shared" si="5"/>
        <v>0</v>
      </c>
    </row>
    <row r="7616">
      <c r="A7616" s="1" t="s">
        <v>5817</v>
      </c>
      <c r="B7616" s="3" t="str">
        <f t="shared" si="1"/>
        <v>Unavailable</v>
      </c>
      <c r="C7616" s="5">
        <v>7235.0</v>
      </c>
      <c r="D7616" s="3">
        <f>IFERROR(__xludf.DUMMYFUNCTION("IFERROR(
IF(REGEXMATCH(LOWER(O7616),""k""),
VALUE(REGEXEXTRACT(O7616,""[0-9]+""))*1000,
VALUE(REGEXEXTRACT(O7616,""[0-9]+""))
),
0
)"),0.0)</f>
        <v>0</v>
      </c>
      <c r="E7616" s="1" t="s">
        <v>11</v>
      </c>
      <c r="F7616" s="1" t="s">
        <v>12</v>
      </c>
      <c r="G7616" s="4" t="b">
        <f t="shared" si="2"/>
        <v>1</v>
      </c>
      <c r="H7616" s="1" t="str">
        <f t="shared" si="3"/>
        <v>Currently Unavailable</v>
      </c>
      <c r="I7616" s="1" t="str">
        <f t="shared" si="4"/>
        <v>No Badges</v>
      </c>
      <c r="J7616" s="3">
        <f t="shared" si="5"/>
        <v>0</v>
      </c>
    </row>
    <row r="7617">
      <c r="A7617" s="1" t="s">
        <v>5817</v>
      </c>
      <c r="B7617" s="3" t="str">
        <f t="shared" si="1"/>
        <v>Unavailable</v>
      </c>
      <c r="C7617" s="5">
        <v>7235.0</v>
      </c>
      <c r="D7617" s="3">
        <f>IFERROR(__xludf.DUMMYFUNCTION("IFERROR(
IF(REGEXMATCH(LOWER(O7617),""k""),
VALUE(REGEXEXTRACT(O7617,""[0-9]+""))*1000,
VALUE(REGEXEXTRACT(O7617,""[0-9]+""))
),
0
)"),0.0)</f>
        <v>0</v>
      </c>
      <c r="E7617" s="1" t="s">
        <v>11</v>
      </c>
      <c r="F7617" s="1" t="s">
        <v>12</v>
      </c>
      <c r="G7617" s="4" t="b">
        <f t="shared" si="2"/>
        <v>1</v>
      </c>
      <c r="H7617" s="1" t="str">
        <f t="shared" si="3"/>
        <v>Currently Unavailable</v>
      </c>
      <c r="I7617" s="1" t="str">
        <f t="shared" si="4"/>
        <v>No Badges</v>
      </c>
      <c r="J7617" s="3">
        <f t="shared" si="5"/>
        <v>0</v>
      </c>
    </row>
    <row r="7618">
      <c r="A7618" s="1" t="s">
        <v>5817</v>
      </c>
      <c r="B7618" s="3" t="str">
        <f t="shared" si="1"/>
        <v>Unavailable</v>
      </c>
      <c r="C7618" s="5">
        <v>7235.0</v>
      </c>
      <c r="D7618" s="3">
        <f>IFERROR(__xludf.DUMMYFUNCTION("IFERROR(
IF(REGEXMATCH(LOWER(O7618),""k""),
VALUE(REGEXEXTRACT(O7618,""[0-9]+""))*1000,
VALUE(REGEXEXTRACT(O7618,""[0-9]+""))
),
0
)"),0.0)</f>
        <v>0</v>
      </c>
      <c r="E7618" s="1" t="s">
        <v>11</v>
      </c>
      <c r="F7618" s="1" t="s">
        <v>12</v>
      </c>
      <c r="G7618" s="4" t="b">
        <f t="shared" si="2"/>
        <v>1</v>
      </c>
      <c r="H7618" s="1" t="str">
        <f t="shared" si="3"/>
        <v>Currently Unavailable</v>
      </c>
      <c r="I7618" s="1" t="str">
        <f t="shared" si="4"/>
        <v>No Badges</v>
      </c>
      <c r="J7618" s="3">
        <f t="shared" si="5"/>
        <v>0</v>
      </c>
    </row>
    <row r="7619">
      <c r="A7619" s="1" t="s">
        <v>5817</v>
      </c>
      <c r="B7619" s="3" t="str">
        <f t="shared" si="1"/>
        <v>Unavailable</v>
      </c>
      <c r="C7619" s="5">
        <v>7235.0</v>
      </c>
      <c r="D7619" s="3">
        <f>IFERROR(__xludf.DUMMYFUNCTION("IFERROR(
IF(REGEXMATCH(LOWER(O7619),""k""),
VALUE(REGEXEXTRACT(O7619,""[0-9]+""))*1000,
VALUE(REGEXEXTRACT(O7619,""[0-9]+""))
),
0
)"),0.0)</f>
        <v>0</v>
      </c>
      <c r="E7619" s="1" t="s">
        <v>11</v>
      </c>
      <c r="F7619" s="1" t="s">
        <v>12</v>
      </c>
      <c r="G7619" s="4" t="b">
        <f t="shared" si="2"/>
        <v>1</v>
      </c>
      <c r="H7619" s="1" t="str">
        <f t="shared" si="3"/>
        <v>Currently Unavailable</v>
      </c>
      <c r="I7619" s="1" t="str">
        <f t="shared" si="4"/>
        <v>No Badges</v>
      </c>
      <c r="J7619" s="3">
        <f t="shared" si="5"/>
        <v>0</v>
      </c>
    </row>
    <row r="7620">
      <c r="A7620" s="1" t="s">
        <v>5817</v>
      </c>
      <c r="B7620" s="3" t="str">
        <f t="shared" si="1"/>
        <v>Unavailable</v>
      </c>
      <c r="C7620" s="5">
        <v>7235.0</v>
      </c>
      <c r="D7620" s="3">
        <f>IFERROR(__xludf.DUMMYFUNCTION("IFERROR(
IF(REGEXMATCH(LOWER(O7620),""k""),
VALUE(REGEXEXTRACT(O7620,""[0-9]+""))*1000,
VALUE(REGEXEXTRACT(O7620,""[0-9]+""))
),
0
)"),0.0)</f>
        <v>0</v>
      </c>
      <c r="E7620" s="1" t="s">
        <v>11</v>
      </c>
      <c r="F7620" s="1" t="s">
        <v>12</v>
      </c>
      <c r="G7620" s="4" t="b">
        <f t="shared" si="2"/>
        <v>1</v>
      </c>
      <c r="H7620" s="1" t="str">
        <f t="shared" si="3"/>
        <v>Currently Unavailable</v>
      </c>
      <c r="I7620" s="1" t="str">
        <f t="shared" si="4"/>
        <v>No Badges</v>
      </c>
      <c r="J7620" s="3">
        <f t="shared" si="5"/>
        <v>0</v>
      </c>
    </row>
    <row r="7621">
      <c r="A7621" s="1" t="s">
        <v>88</v>
      </c>
      <c r="B7621" s="3" t="str">
        <f t="shared" si="1"/>
        <v>Unavailable</v>
      </c>
      <c r="C7621" s="3">
        <v>5.0</v>
      </c>
      <c r="D7621" s="3">
        <f>IFERROR(__xludf.DUMMYFUNCTION("IFERROR(
IF(REGEXMATCH(LOWER(O7621),""k""),
VALUE(REGEXEXTRACT(O7621,""[0-9]+""))*1000,
VALUE(REGEXEXTRACT(O7621,""[0-9]+""))
),
0
)"),0.0)</f>
        <v>0</v>
      </c>
      <c r="E7621" s="1" t="s">
        <v>11</v>
      </c>
      <c r="F7621" s="1" t="s">
        <v>12</v>
      </c>
      <c r="G7621" s="4" t="b">
        <f t="shared" si="2"/>
        <v>1</v>
      </c>
      <c r="H7621" s="1" t="str">
        <f t="shared" si="3"/>
        <v>Currently Unavailable</v>
      </c>
      <c r="I7621" s="1" t="str">
        <f t="shared" si="4"/>
        <v>No Badges</v>
      </c>
      <c r="J7621" s="3">
        <f t="shared" si="5"/>
        <v>0</v>
      </c>
    </row>
    <row r="7622">
      <c r="A7622" s="1" t="s">
        <v>5817</v>
      </c>
      <c r="B7622" s="3" t="str">
        <f t="shared" si="1"/>
        <v>Unavailable</v>
      </c>
      <c r="C7622" s="5">
        <v>7235.0</v>
      </c>
      <c r="D7622" s="3">
        <f>IFERROR(__xludf.DUMMYFUNCTION("IFERROR(
IF(REGEXMATCH(LOWER(O7622),""k""),
VALUE(REGEXEXTRACT(O7622,""[0-9]+""))*1000,
VALUE(REGEXEXTRACT(O7622,""[0-9]+""))
),
0
)"),0.0)</f>
        <v>0</v>
      </c>
      <c r="E7622" s="1" t="s">
        <v>11</v>
      </c>
      <c r="F7622" s="1" t="s">
        <v>12</v>
      </c>
      <c r="G7622" s="4" t="b">
        <f t="shared" si="2"/>
        <v>1</v>
      </c>
      <c r="H7622" s="1" t="str">
        <f t="shared" si="3"/>
        <v>Currently Unavailable</v>
      </c>
      <c r="I7622" s="1" t="str">
        <f t="shared" si="4"/>
        <v>No Badges</v>
      </c>
      <c r="J7622" s="3">
        <f t="shared" si="5"/>
        <v>0</v>
      </c>
    </row>
    <row r="7623">
      <c r="A7623" s="1" t="s">
        <v>5817</v>
      </c>
      <c r="B7623" s="3" t="str">
        <f t="shared" si="1"/>
        <v>Unavailable</v>
      </c>
      <c r="C7623" s="5">
        <v>7235.0</v>
      </c>
      <c r="D7623" s="3">
        <f>IFERROR(__xludf.DUMMYFUNCTION("IFERROR(
IF(REGEXMATCH(LOWER(O7623),""k""),
VALUE(REGEXEXTRACT(O7623,""[0-9]+""))*1000,
VALUE(REGEXEXTRACT(O7623,""[0-9]+""))
),
0
)"),0.0)</f>
        <v>0</v>
      </c>
      <c r="E7623" s="1" t="s">
        <v>11</v>
      </c>
      <c r="F7623" s="1" t="s">
        <v>12</v>
      </c>
      <c r="G7623" s="4" t="b">
        <f t="shared" si="2"/>
        <v>1</v>
      </c>
      <c r="H7623" s="1" t="str">
        <f t="shared" si="3"/>
        <v>Currently Unavailable</v>
      </c>
      <c r="I7623" s="1" t="str">
        <f t="shared" si="4"/>
        <v>No Badges</v>
      </c>
      <c r="J7623" s="3">
        <f t="shared" si="5"/>
        <v>0</v>
      </c>
    </row>
    <row r="7624">
      <c r="A7624" s="1" t="s">
        <v>69</v>
      </c>
      <c r="B7624" s="3" t="str">
        <f t="shared" si="1"/>
        <v>Unavailable</v>
      </c>
      <c r="C7624" s="3">
        <v>45.0</v>
      </c>
      <c r="D7624" s="3">
        <f>IFERROR(__xludf.DUMMYFUNCTION("IFERROR(
IF(REGEXMATCH(LOWER(O7624),""k""),
VALUE(REGEXEXTRACT(O7624,""[0-9]+""))*1000,
VALUE(REGEXEXTRACT(O7624,""[0-9]+""))
),
0
)"),0.0)</f>
        <v>0</v>
      </c>
      <c r="E7624" s="1" t="s">
        <v>11</v>
      </c>
      <c r="F7624" s="1" t="s">
        <v>12</v>
      </c>
      <c r="G7624" s="4" t="b">
        <f t="shared" si="2"/>
        <v>1</v>
      </c>
      <c r="H7624" s="1" t="str">
        <f t="shared" si="3"/>
        <v>Currently Unavailable</v>
      </c>
      <c r="I7624" s="1" t="str">
        <f t="shared" si="4"/>
        <v>No Badges</v>
      </c>
      <c r="J7624" s="3">
        <f t="shared" si="5"/>
        <v>0</v>
      </c>
    </row>
    <row r="7625">
      <c r="A7625" s="1" t="s">
        <v>5817</v>
      </c>
      <c r="B7625" s="3" t="str">
        <f t="shared" si="1"/>
        <v>Unavailable</v>
      </c>
      <c r="C7625" s="5">
        <v>7235.0</v>
      </c>
      <c r="D7625" s="3">
        <f>IFERROR(__xludf.DUMMYFUNCTION("IFERROR(
IF(REGEXMATCH(LOWER(O7625),""k""),
VALUE(REGEXEXTRACT(O7625,""[0-9]+""))*1000,
VALUE(REGEXEXTRACT(O7625,""[0-9]+""))
),
0
)"),0.0)</f>
        <v>0</v>
      </c>
      <c r="E7625" s="1" t="s">
        <v>11</v>
      </c>
      <c r="F7625" s="1" t="s">
        <v>12</v>
      </c>
      <c r="G7625" s="4" t="b">
        <f t="shared" si="2"/>
        <v>1</v>
      </c>
      <c r="H7625" s="1" t="str">
        <f t="shared" si="3"/>
        <v>Currently Unavailable</v>
      </c>
      <c r="I7625" s="1" t="str">
        <f t="shared" si="4"/>
        <v>No Badges</v>
      </c>
      <c r="J7625" s="3">
        <f t="shared" si="5"/>
        <v>0</v>
      </c>
    </row>
    <row r="7626">
      <c r="A7626" s="1" t="s">
        <v>5817</v>
      </c>
      <c r="B7626" s="3" t="str">
        <f t="shared" si="1"/>
        <v>Unavailable</v>
      </c>
      <c r="C7626" s="5">
        <v>7235.0</v>
      </c>
      <c r="D7626" s="3">
        <f>IFERROR(__xludf.DUMMYFUNCTION("IFERROR(
IF(REGEXMATCH(LOWER(O7626),""k""),
VALUE(REGEXEXTRACT(O7626,""[0-9]+""))*1000,
VALUE(REGEXEXTRACT(O7626,""[0-9]+""))
),
0
)"),0.0)</f>
        <v>0</v>
      </c>
      <c r="E7626" s="1" t="s">
        <v>11</v>
      </c>
      <c r="F7626" s="1" t="s">
        <v>12</v>
      </c>
      <c r="G7626" s="4" t="b">
        <f t="shared" si="2"/>
        <v>1</v>
      </c>
      <c r="H7626" s="1" t="str">
        <f t="shared" si="3"/>
        <v>Currently Unavailable</v>
      </c>
      <c r="I7626" s="1" t="str">
        <f t="shared" si="4"/>
        <v>No Badges</v>
      </c>
      <c r="J7626" s="3">
        <f t="shared" si="5"/>
        <v>0</v>
      </c>
    </row>
    <row r="7627">
      <c r="A7627" s="1" t="s">
        <v>5817</v>
      </c>
      <c r="B7627" s="3" t="str">
        <f t="shared" si="1"/>
        <v>Unavailable</v>
      </c>
      <c r="C7627" s="5">
        <v>7235.0</v>
      </c>
      <c r="D7627" s="3">
        <f>IFERROR(__xludf.DUMMYFUNCTION("IFERROR(
IF(REGEXMATCH(LOWER(O7627),""k""),
VALUE(REGEXEXTRACT(O7627,""[0-9]+""))*1000,
VALUE(REGEXEXTRACT(O7627,""[0-9]+""))
),
0
)"),0.0)</f>
        <v>0</v>
      </c>
      <c r="E7627" s="1" t="s">
        <v>11</v>
      </c>
      <c r="F7627" s="1" t="s">
        <v>12</v>
      </c>
      <c r="G7627" s="4" t="b">
        <f t="shared" si="2"/>
        <v>1</v>
      </c>
      <c r="H7627" s="1" t="str">
        <f t="shared" si="3"/>
        <v>Currently Unavailable</v>
      </c>
      <c r="I7627" s="1" t="str">
        <f t="shared" si="4"/>
        <v>No Badges</v>
      </c>
      <c r="J7627" s="3">
        <f t="shared" si="5"/>
        <v>0</v>
      </c>
    </row>
    <row r="7628">
      <c r="A7628" s="1" t="s">
        <v>5817</v>
      </c>
      <c r="B7628" s="3" t="str">
        <f t="shared" si="1"/>
        <v>Unavailable</v>
      </c>
      <c r="C7628" s="5">
        <v>7235.0</v>
      </c>
      <c r="D7628" s="3">
        <f>IFERROR(__xludf.DUMMYFUNCTION("IFERROR(
IF(REGEXMATCH(LOWER(O7628),""k""),
VALUE(REGEXEXTRACT(O7628,""[0-9]+""))*1000,
VALUE(REGEXEXTRACT(O7628,""[0-9]+""))
),
0
)"),0.0)</f>
        <v>0</v>
      </c>
      <c r="E7628" s="1" t="s">
        <v>11</v>
      </c>
      <c r="F7628" s="1" t="s">
        <v>12</v>
      </c>
      <c r="G7628" s="4" t="b">
        <f t="shared" si="2"/>
        <v>1</v>
      </c>
      <c r="H7628" s="1" t="str">
        <f t="shared" si="3"/>
        <v>Currently Unavailable</v>
      </c>
      <c r="I7628" s="1" t="str">
        <f t="shared" si="4"/>
        <v>No Badges</v>
      </c>
      <c r="J7628" s="3">
        <f t="shared" si="5"/>
        <v>0</v>
      </c>
    </row>
    <row r="7629">
      <c r="A7629" s="1" t="s">
        <v>5817</v>
      </c>
      <c r="B7629" s="3" t="str">
        <f t="shared" si="1"/>
        <v>Unavailable</v>
      </c>
      <c r="C7629" s="5">
        <v>7235.0</v>
      </c>
      <c r="D7629" s="3">
        <f>IFERROR(__xludf.DUMMYFUNCTION("IFERROR(
IF(REGEXMATCH(LOWER(O7629),""k""),
VALUE(REGEXEXTRACT(O7629,""[0-9]+""))*1000,
VALUE(REGEXEXTRACT(O7629,""[0-9]+""))
),
0
)"),0.0)</f>
        <v>0</v>
      </c>
      <c r="E7629" s="1" t="s">
        <v>11</v>
      </c>
      <c r="F7629" s="1" t="s">
        <v>12</v>
      </c>
      <c r="G7629" s="4" t="b">
        <f t="shared" si="2"/>
        <v>1</v>
      </c>
      <c r="H7629" s="1" t="str">
        <f t="shared" si="3"/>
        <v>Currently Unavailable</v>
      </c>
      <c r="I7629" s="1" t="str">
        <f t="shared" si="4"/>
        <v>No Badges</v>
      </c>
      <c r="J7629" s="3">
        <f t="shared" si="5"/>
        <v>0</v>
      </c>
    </row>
    <row r="7630">
      <c r="A7630" s="1" t="s">
        <v>5820</v>
      </c>
      <c r="B7630" s="3" t="str">
        <f t="shared" si="1"/>
        <v>Unavailable</v>
      </c>
      <c r="C7630" s="5">
        <v>5656.0</v>
      </c>
      <c r="D7630" s="3">
        <f>IFERROR(__xludf.DUMMYFUNCTION("IFERROR(
IF(REGEXMATCH(LOWER(O7630),""k""),
VALUE(REGEXEXTRACT(O7630,""[0-9]+""))*1000,
VALUE(REGEXEXTRACT(O7630,""[0-9]+""))
),
0
)"),0.0)</f>
        <v>0</v>
      </c>
      <c r="E7630" s="1" t="s">
        <v>11</v>
      </c>
      <c r="F7630" s="1" t="s">
        <v>20</v>
      </c>
      <c r="G7630" s="4" t="b">
        <f t="shared" si="2"/>
        <v>1</v>
      </c>
      <c r="H7630" s="1" t="str">
        <f t="shared" si="3"/>
        <v>Currently Unavailable</v>
      </c>
      <c r="I7630" s="1" t="str">
        <f t="shared" si="4"/>
        <v>No Badges</v>
      </c>
      <c r="J7630" s="3">
        <f t="shared" si="5"/>
        <v>0</v>
      </c>
    </row>
    <row r="7631">
      <c r="A7631" s="1" t="s">
        <v>5817</v>
      </c>
      <c r="B7631" s="3" t="str">
        <f t="shared" si="1"/>
        <v>Unavailable</v>
      </c>
      <c r="C7631" s="5">
        <v>7235.0</v>
      </c>
      <c r="D7631" s="3">
        <f>IFERROR(__xludf.DUMMYFUNCTION("IFERROR(
IF(REGEXMATCH(LOWER(O7631),""k""),
VALUE(REGEXEXTRACT(O7631,""[0-9]+""))*1000,
VALUE(REGEXEXTRACT(O7631,""[0-9]+""))
),
0
)"),0.0)</f>
        <v>0</v>
      </c>
      <c r="E7631" s="1" t="s">
        <v>11</v>
      </c>
      <c r="F7631" s="1" t="s">
        <v>12</v>
      </c>
      <c r="G7631" s="4" t="b">
        <f t="shared" si="2"/>
        <v>1</v>
      </c>
      <c r="H7631" s="1" t="str">
        <f t="shared" si="3"/>
        <v>Currently Unavailable</v>
      </c>
      <c r="I7631" s="1" t="str">
        <f t="shared" si="4"/>
        <v>No Badges</v>
      </c>
      <c r="J7631" s="3">
        <f t="shared" si="5"/>
        <v>0</v>
      </c>
    </row>
    <row r="7632">
      <c r="A7632" s="1" t="s">
        <v>5821</v>
      </c>
      <c r="B7632" s="3" t="str">
        <f t="shared" si="1"/>
        <v>Unavailable</v>
      </c>
      <c r="C7632" s="5">
        <v>1785.0</v>
      </c>
      <c r="D7632" s="3">
        <f>IFERROR(__xludf.DUMMYFUNCTION("IFERROR(
IF(REGEXMATCH(LOWER(O7632),""k""),
VALUE(REGEXEXTRACT(O7632,""[0-9]+""))*1000,
VALUE(REGEXEXTRACT(O7632,""[0-9]+""))
),
0
)"),0.0)</f>
        <v>0</v>
      </c>
      <c r="E7632" s="1" t="s">
        <v>18</v>
      </c>
      <c r="F7632" s="1" t="s">
        <v>12</v>
      </c>
      <c r="G7632" s="4" t="b">
        <f t="shared" si="2"/>
        <v>1</v>
      </c>
      <c r="H7632" s="1" t="str">
        <f t="shared" si="3"/>
        <v>Currently Unavailable</v>
      </c>
      <c r="I7632" s="1" t="str">
        <f t="shared" si="4"/>
        <v>No Badges</v>
      </c>
      <c r="J7632" s="3">
        <f t="shared" si="5"/>
        <v>0</v>
      </c>
    </row>
    <row r="7633">
      <c r="A7633" s="1" t="s">
        <v>5817</v>
      </c>
      <c r="B7633" s="3" t="str">
        <f t="shared" si="1"/>
        <v>Unavailable</v>
      </c>
      <c r="C7633" s="5">
        <v>7235.0</v>
      </c>
      <c r="D7633" s="3">
        <f>IFERROR(__xludf.DUMMYFUNCTION("IFERROR(
IF(REGEXMATCH(LOWER(O7633),""k""),
VALUE(REGEXEXTRACT(O7633,""[0-9]+""))*1000,
VALUE(REGEXEXTRACT(O7633,""[0-9]+""))
),
0
)"),0.0)</f>
        <v>0</v>
      </c>
      <c r="E7633" s="1" t="s">
        <v>11</v>
      </c>
      <c r="F7633" s="1" t="s">
        <v>12</v>
      </c>
      <c r="G7633" s="4" t="b">
        <f t="shared" si="2"/>
        <v>1</v>
      </c>
      <c r="H7633" s="1" t="str">
        <f t="shared" si="3"/>
        <v>Currently Unavailable</v>
      </c>
      <c r="I7633" s="1" t="str">
        <f t="shared" si="4"/>
        <v>No Badges</v>
      </c>
      <c r="J7633" s="3">
        <f t="shared" si="5"/>
        <v>0</v>
      </c>
    </row>
    <row r="7634">
      <c r="A7634" s="1" t="s">
        <v>5822</v>
      </c>
      <c r="B7634" s="3" t="str">
        <f t="shared" si="1"/>
        <v>Unavailable</v>
      </c>
      <c r="C7634" s="5">
        <v>3459.0</v>
      </c>
      <c r="D7634" s="3">
        <f>IFERROR(__xludf.DUMMYFUNCTION("IFERROR(
IF(REGEXMATCH(LOWER(O7634),""k""),
VALUE(REGEXEXTRACT(O7634,""[0-9]+""))*1000,
VALUE(REGEXEXTRACT(O7634,""[0-9]+""))
),
0
)"),0.0)</f>
        <v>0</v>
      </c>
      <c r="E7634" s="1" t="s">
        <v>11</v>
      </c>
      <c r="F7634" s="1" t="s">
        <v>20</v>
      </c>
      <c r="G7634" s="4" t="b">
        <f t="shared" si="2"/>
        <v>1</v>
      </c>
      <c r="H7634" s="1" t="str">
        <f t="shared" si="3"/>
        <v>Currently Unavailable</v>
      </c>
      <c r="I7634" s="1" t="str">
        <f t="shared" si="4"/>
        <v>No Badges</v>
      </c>
      <c r="J7634" s="3">
        <f t="shared" si="5"/>
        <v>0</v>
      </c>
    </row>
    <row r="7635">
      <c r="A7635" s="1" t="s">
        <v>5817</v>
      </c>
      <c r="B7635" s="3" t="str">
        <f t="shared" si="1"/>
        <v>Unavailable</v>
      </c>
      <c r="C7635" s="5">
        <v>7235.0</v>
      </c>
      <c r="D7635" s="3">
        <f>IFERROR(__xludf.DUMMYFUNCTION("IFERROR(
IF(REGEXMATCH(LOWER(O7635),""k""),
VALUE(REGEXEXTRACT(O7635,""[0-9]+""))*1000,
VALUE(REGEXEXTRACT(O7635,""[0-9]+""))
),
0
)"),0.0)</f>
        <v>0</v>
      </c>
      <c r="E7635" s="1" t="s">
        <v>11</v>
      </c>
      <c r="F7635" s="1" t="s">
        <v>12</v>
      </c>
      <c r="G7635" s="4" t="b">
        <f t="shared" si="2"/>
        <v>1</v>
      </c>
      <c r="H7635" s="1" t="str">
        <f t="shared" si="3"/>
        <v>Currently Unavailable</v>
      </c>
      <c r="I7635" s="1" t="str">
        <f t="shared" si="4"/>
        <v>No Badges</v>
      </c>
      <c r="J7635" s="3">
        <f t="shared" si="5"/>
        <v>0</v>
      </c>
    </row>
    <row r="7636">
      <c r="A7636" s="1" t="s">
        <v>5823</v>
      </c>
      <c r="B7636" s="3" t="str">
        <f t="shared" si="1"/>
        <v>Unavailable</v>
      </c>
      <c r="C7636" s="3">
        <v>115.0</v>
      </c>
      <c r="D7636" s="3">
        <f>IFERROR(__xludf.DUMMYFUNCTION("IFERROR(
IF(REGEXMATCH(LOWER(O7636),""k""),
VALUE(REGEXEXTRACT(O7636,""[0-9]+""))*1000,
VALUE(REGEXEXTRACT(O7636,""[0-9]+""))
),
0
)"),0.0)</f>
        <v>0</v>
      </c>
      <c r="E7636" s="1" t="s">
        <v>11</v>
      </c>
      <c r="F7636" s="1" t="s">
        <v>20</v>
      </c>
      <c r="G7636" s="4" t="b">
        <f t="shared" si="2"/>
        <v>1</v>
      </c>
      <c r="H7636" s="1" t="str">
        <f t="shared" si="3"/>
        <v>Currently Unavailable</v>
      </c>
      <c r="I7636" s="1" t="str">
        <f t="shared" si="4"/>
        <v>No Badges</v>
      </c>
      <c r="J7636" s="3">
        <f t="shared" si="5"/>
        <v>0</v>
      </c>
    </row>
    <row r="7637">
      <c r="A7637" s="1" t="s">
        <v>67</v>
      </c>
      <c r="B7637" s="3" t="str">
        <f t="shared" si="1"/>
        <v>Unavailable</v>
      </c>
      <c r="C7637" s="3">
        <v>264.0</v>
      </c>
      <c r="D7637" s="3">
        <f>IFERROR(__xludf.DUMMYFUNCTION("IFERROR(
IF(REGEXMATCH(LOWER(O7637),""k""),
VALUE(REGEXEXTRACT(O7637,""[0-9]+""))*1000,
VALUE(REGEXEXTRACT(O7637,""[0-9]+""))
),
0
)"),0.0)</f>
        <v>0</v>
      </c>
      <c r="E7637" s="1" t="s">
        <v>11</v>
      </c>
      <c r="F7637" s="1" t="s">
        <v>12</v>
      </c>
      <c r="G7637" s="4" t="b">
        <f t="shared" si="2"/>
        <v>1</v>
      </c>
      <c r="H7637" s="1" t="str">
        <f t="shared" si="3"/>
        <v>Currently Unavailable</v>
      </c>
      <c r="I7637" s="1" t="str">
        <f t="shared" si="4"/>
        <v>No Badges</v>
      </c>
      <c r="J7637" s="3">
        <f t="shared" si="5"/>
        <v>0</v>
      </c>
    </row>
    <row r="7638">
      <c r="A7638" s="1" t="s">
        <v>5817</v>
      </c>
      <c r="B7638" s="3" t="str">
        <f t="shared" si="1"/>
        <v>Unavailable</v>
      </c>
      <c r="C7638" s="5">
        <v>7235.0</v>
      </c>
      <c r="D7638" s="3">
        <f>IFERROR(__xludf.DUMMYFUNCTION("IFERROR(
IF(REGEXMATCH(LOWER(O7638),""k""),
VALUE(REGEXEXTRACT(O7638,""[0-9]+""))*1000,
VALUE(REGEXEXTRACT(O7638,""[0-9]+""))
),
0
)"),0.0)</f>
        <v>0</v>
      </c>
      <c r="E7638" s="1" t="s">
        <v>11</v>
      </c>
      <c r="F7638" s="1" t="s">
        <v>12</v>
      </c>
      <c r="G7638" s="4" t="b">
        <f t="shared" si="2"/>
        <v>1</v>
      </c>
      <c r="H7638" s="1" t="str">
        <f t="shared" si="3"/>
        <v>Currently Unavailable</v>
      </c>
      <c r="I7638" s="1" t="str">
        <f t="shared" si="4"/>
        <v>No Badges</v>
      </c>
      <c r="J7638" s="3">
        <f t="shared" si="5"/>
        <v>0</v>
      </c>
    </row>
    <row r="7639">
      <c r="A7639" s="1" t="s">
        <v>701</v>
      </c>
      <c r="B7639" s="3" t="str">
        <f t="shared" si="1"/>
        <v>Unavailable</v>
      </c>
      <c r="C7639" s="3">
        <v>8.0</v>
      </c>
      <c r="D7639" s="3">
        <f>IFERROR(__xludf.DUMMYFUNCTION("IFERROR(
IF(REGEXMATCH(LOWER(O7639),""k""),
VALUE(REGEXEXTRACT(O7639,""[0-9]+""))*1000,
VALUE(REGEXEXTRACT(O7639,""[0-9]+""))
),
0
)"),0.0)</f>
        <v>0</v>
      </c>
      <c r="E7639" s="1" t="s">
        <v>11</v>
      </c>
      <c r="F7639" s="1" t="s">
        <v>12</v>
      </c>
      <c r="G7639" s="4" t="b">
        <f t="shared" si="2"/>
        <v>1</v>
      </c>
      <c r="H7639" s="1" t="str">
        <f t="shared" si="3"/>
        <v>Currently Unavailable</v>
      </c>
      <c r="I7639" s="1" t="str">
        <f t="shared" si="4"/>
        <v>No Badges</v>
      </c>
      <c r="J7639" s="3">
        <f t="shared" si="5"/>
        <v>0</v>
      </c>
    </row>
    <row r="7640">
      <c r="A7640" s="1" t="s">
        <v>5818</v>
      </c>
      <c r="B7640" s="3" t="str">
        <f t="shared" si="1"/>
        <v>Unavailable</v>
      </c>
      <c r="C7640" s="5">
        <v>6335.0</v>
      </c>
      <c r="D7640" s="3">
        <f>IFERROR(__xludf.DUMMYFUNCTION("IFERROR(
IF(REGEXMATCH(LOWER(O7640),""k""),
VALUE(REGEXEXTRACT(O7640,""[0-9]+""))*1000,
VALUE(REGEXEXTRACT(O7640,""[0-9]+""))
),
0
)"),0.0)</f>
        <v>0</v>
      </c>
      <c r="E7640" s="1" t="s">
        <v>11</v>
      </c>
      <c r="F7640" s="1" t="s">
        <v>12</v>
      </c>
      <c r="G7640" s="4" t="b">
        <f t="shared" si="2"/>
        <v>1</v>
      </c>
      <c r="H7640" s="1" t="str">
        <f t="shared" si="3"/>
        <v>Currently Unavailable</v>
      </c>
      <c r="I7640" s="1" t="str">
        <f t="shared" si="4"/>
        <v>No Badges</v>
      </c>
      <c r="J7640" s="3">
        <f t="shared" si="5"/>
        <v>0</v>
      </c>
    </row>
    <row r="7641">
      <c r="A7641" s="1" t="s">
        <v>5824</v>
      </c>
      <c r="B7641" s="3" t="str">
        <f t="shared" si="1"/>
        <v>Unavailable</v>
      </c>
      <c r="C7641" s="3">
        <v>103.0</v>
      </c>
      <c r="D7641" s="3">
        <f>IFERROR(__xludf.DUMMYFUNCTION("IFERROR(
IF(REGEXMATCH(LOWER(O7641),""k""),
VALUE(REGEXEXTRACT(O7641,""[0-9]+""))*1000,
VALUE(REGEXEXTRACT(O7641,""[0-9]+""))
),
0
)"),0.0)</f>
        <v>0</v>
      </c>
      <c r="E7641" s="1" t="s">
        <v>11</v>
      </c>
      <c r="F7641" s="1" t="s">
        <v>20</v>
      </c>
      <c r="G7641" s="4" t="b">
        <f t="shared" si="2"/>
        <v>1</v>
      </c>
      <c r="H7641" s="1" t="str">
        <f t="shared" si="3"/>
        <v>Currently Unavailable</v>
      </c>
      <c r="I7641" s="1" t="str">
        <f t="shared" si="4"/>
        <v>No Badges</v>
      </c>
      <c r="J7641" s="3">
        <f t="shared" si="5"/>
        <v>0</v>
      </c>
    </row>
    <row r="7642">
      <c r="A7642" s="1" t="s">
        <v>5825</v>
      </c>
      <c r="B7642" s="3" t="str">
        <f t="shared" si="1"/>
        <v>Unavailable</v>
      </c>
      <c r="C7642" s="3">
        <v>67.0</v>
      </c>
      <c r="D7642" s="3">
        <f>IFERROR(__xludf.DUMMYFUNCTION("IFERROR(
IF(REGEXMATCH(LOWER(O7642),""k""),
VALUE(REGEXEXTRACT(O7642,""[0-9]+""))*1000,
VALUE(REGEXEXTRACT(O7642,""[0-9]+""))
),
0
)"),0.0)</f>
        <v>0</v>
      </c>
      <c r="E7642" s="1" t="s">
        <v>11</v>
      </c>
      <c r="F7642" s="1" t="s">
        <v>20</v>
      </c>
      <c r="G7642" s="4" t="b">
        <f t="shared" si="2"/>
        <v>1</v>
      </c>
      <c r="H7642" s="1" t="str">
        <f t="shared" si="3"/>
        <v>Currently Unavailable</v>
      </c>
      <c r="I7642" s="1" t="str">
        <f t="shared" si="4"/>
        <v>No Badges</v>
      </c>
      <c r="J7642" s="3">
        <f t="shared" si="5"/>
        <v>0</v>
      </c>
    </row>
    <row r="7643">
      <c r="A7643" s="1" t="s">
        <v>5817</v>
      </c>
      <c r="B7643" s="3" t="str">
        <f t="shared" si="1"/>
        <v>Unavailable</v>
      </c>
      <c r="C7643" s="5">
        <v>7235.0</v>
      </c>
      <c r="D7643" s="3">
        <f>IFERROR(__xludf.DUMMYFUNCTION("IFERROR(
IF(REGEXMATCH(LOWER(O7643),""k""),
VALUE(REGEXEXTRACT(O7643,""[0-9]+""))*1000,
VALUE(REGEXEXTRACT(O7643,""[0-9]+""))
),
0
)"),0.0)</f>
        <v>0</v>
      </c>
      <c r="E7643" s="1" t="s">
        <v>11</v>
      </c>
      <c r="F7643" s="1" t="s">
        <v>12</v>
      </c>
      <c r="G7643" s="4" t="b">
        <f t="shared" si="2"/>
        <v>1</v>
      </c>
      <c r="H7643" s="1" t="str">
        <f t="shared" si="3"/>
        <v>Currently Unavailable</v>
      </c>
      <c r="I7643" s="1" t="str">
        <f t="shared" si="4"/>
        <v>No Badges</v>
      </c>
      <c r="J7643" s="3">
        <f t="shared" si="5"/>
        <v>0</v>
      </c>
    </row>
    <row r="7644">
      <c r="A7644" s="1" t="s">
        <v>5826</v>
      </c>
      <c r="B7644" s="3" t="str">
        <f t="shared" si="1"/>
        <v>Unavailable</v>
      </c>
      <c r="C7644" s="3">
        <v>812.0</v>
      </c>
      <c r="D7644" s="3">
        <f>IFERROR(__xludf.DUMMYFUNCTION("IFERROR(
IF(REGEXMATCH(LOWER(O7644),""k""),
VALUE(REGEXEXTRACT(O7644,""[0-9]+""))*1000,
VALUE(REGEXEXTRACT(O7644,""[0-9]+""))
),
0
)"),0.0)</f>
        <v>0</v>
      </c>
      <c r="E7644" s="1" t="s">
        <v>11</v>
      </c>
      <c r="F7644" s="1" t="s">
        <v>20</v>
      </c>
      <c r="G7644" s="4" t="b">
        <f t="shared" si="2"/>
        <v>1</v>
      </c>
      <c r="H7644" s="1" t="str">
        <f t="shared" si="3"/>
        <v>Currently Unavailable</v>
      </c>
      <c r="I7644" s="1" t="str">
        <f t="shared" si="4"/>
        <v>No Badges</v>
      </c>
      <c r="J7644" s="3">
        <f t="shared" si="5"/>
        <v>0</v>
      </c>
    </row>
    <row r="7645">
      <c r="A7645" s="1" t="s">
        <v>5827</v>
      </c>
      <c r="B7645" s="3" t="str">
        <f t="shared" si="1"/>
        <v>Unavailable</v>
      </c>
      <c r="C7645" s="5">
        <v>1523.0</v>
      </c>
      <c r="D7645" s="3">
        <f>IFERROR(__xludf.DUMMYFUNCTION("IFERROR(
IF(REGEXMATCH(LOWER(O7645),""k""),
VALUE(REGEXEXTRACT(O7645,""[0-9]+""))*1000,
VALUE(REGEXEXTRACT(O7645,""[0-9]+""))
),
0
)"),0.0)</f>
        <v>0</v>
      </c>
      <c r="E7645" s="1" t="s">
        <v>11</v>
      </c>
      <c r="F7645" s="1" t="s">
        <v>20</v>
      </c>
      <c r="G7645" s="4" t="b">
        <f t="shared" si="2"/>
        <v>1</v>
      </c>
      <c r="H7645" s="1" t="str">
        <f t="shared" si="3"/>
        <v>Currently Unavailable</v>
      </c>
      <c r="I7645" s="1" t="str">
        <f t="shared" si="4"/>
        <v>No Badges</v>
      </c>
      <c r="J7645" s="3">
        <f t="shared" si="5"/>
        <v>0</v>
      </c>
    </row>
    <row r="7646">
      <c r="A7646" s="1" t="s">
        <v>5828</v>
      </c>
      <c r="B7646" s="3" t="str">
        <f t="shared" si="1"/>
        <v>Unavailable</v>
      </c>
      <c r="C7646" s="3">
        <v>573.0</v>
      </c>
      <c r="D7646" s="3">
        <f>IFERROR(__xludf.DUMMYFUNCTION("IFERROR(
IF(REGEXMATCH(LOWER(O7646),""k""),
VALUE(REGEXEXTRACT(O7646,""[0-9]+""))*1000,
VALUE(REGEXEXTRACT(O7646,""[0-9]+""))
),
0
)"),0.0)</f>
        <v>0</v>
      </c>
      <c r="E7646" s="1" t="s">
        <v>11</v>
      </c>
      <c r="F7646" s="1" t="s">
        <v>20</v>
      </c>
      <c r="G7646" s="4" t="b">
        <f t="shared" si="2"/>
        <v>1</v>
      </c>
      <c r="H7646" s="1" t="str">
        <f t="shared" si="3"/>
        <v>Currently Unavailable</v>
      </c>
      <c r="I7646" s="1" t="str">
        <f t="shared" si="4"/>
        <v>No Badges</v>
      </c>
      <c r="J7646" s="3">
        <f t="shared" si="5"/>
        <v>0</v>
      </c>
    </row>
    <row r="7647">
      <c r="A7647" s="1" t="s">
        <v>5829</v>
      </c>
      <c r="B7647" s="3" t="str">
        <f t="shared" si="1"/>
        <v>Unavailable</v>
      </c>
      <c r="C7647" s="3">
        <v>390.0</v>
      </c>
      <c r="D7647" s="3">
        <f>IFERROR(__xludf.DUMMYFUNCTION("IFERROR(
IF(REGEXMATCH(LOWER(O7647),""k""),
VALUE(REGEXEXTRACT(O7647,""[0-9]+""))*1000,
VALUE(REGEXEXTRACT(O7647,""[0-9]+""))
),
0
)"),0.0)</f>
        <v>0</v>
      </c>
      <c r="E7647" s="1" t="s">
        <v>11</v>
      </c>
      <c r="F7647" s="1" t="s">
        <v>20</v>
      </c>
      <c r="G7647" s="4" t="b">
        <f t="shared" si="2"/>
        <v>1</v>
      </c>
      <c r="H7647" s="1" t="str">
        <f t="shared" si="3"/>
        <v>Currently Unavailable</v>
      </c>
      <c r="I7647" s="1" t="str">
        <f t="shared" si="4"/>
        <v>No Badges</v>
      </c>
      <c r="J7647" s="3">
        <f t="shared" si="5"/>
        <v>0</v>
      </c>
    </row>
    <row r="7648">
      <c r="A7648" s="1" t="s">
        <v>5817</v>
      </c>
      <c r="B7648" s="3" t="str">
        <f t="shared" si="1"/>
        <v>Unavailable</v>
      </c>
      <c r="C7648" s="5">
        <v>7235.0</v>
      </c>
      <c r="D7648" s="3">
        <f>IFERROR(__xludf.DUMMYFUNCTION("IFERROR(
IF(REGEXMATCH(LOWER(O7648),""k""),
VALUE(REGEXEXTRACT(O7648,""[0-9]+""))*1000,
VALUE(REGEXEXTRACT(O7648,""[0-9]+""))
),
0
)"),0.0)</f>
        <v>0</v>
      </c>
      <c r="E7648" s="1" t="s">
        <v>11</v>
      </c>
      <c r="F7648" s="1" t="s">
        <v>12</v>
      </c>
      <c r="G7648" s="4" t="b">
        <f t="shared" si="2"/>
        <v>1</v>
      </c>
      <c r="H7648" s="1" t="str">
        <f t="shared" si="3"/>
        <v>Currently Unavailable</v>
      </c>
      <c r="I7648" s="1" t="str">
        <f t="shared" si="4"/>
        <v>No Badges</v>
      </c>
      <c r="J7648" s="3">
        <f t="shared" si="5"/>
        <v>0</v>
      </c>
    </row>
    <row r="7649">
      <c r="A7649" s="1" t="s">
        <v>5830</v>
      </c>
      <c r="B7649" s="3" t="str">
        <f t="shared" si="1"/>
        <v>Unavailable</v>
      </c>
      <c r="C7649" s="3">
        <v>570.0</v>
      </c>
      <c r="D7649" s="3">
        <f>IFERROR(__xludf.DUMMYFUNCTION("IFERROR(
IF(REGEXMATCH(LOWER(O7649),""k""),
VALUE(REGEXEXTRACT(O7649,""[0-9]+""))*1000,
VALUE(REGEXEXTRACT(O7649,""[0-9]+""))
),
0
)"),0.0)</f>
        <v>0</v>
      </c>
      <c r="E7649" s="1" t="s">
        <v>11</v>
      </c>
      <c r="F7649" s="1" t="s">
        <v>20</v>
      </c>
      <c r="G7649" s="4" t="b">
        <f t="shared" si="2"/>
        <v>1</v>
      </c>
      <c r="H7649" s="1" t="str">
        <f t="shared" si="3"/>
        <v>Currently Unavailable</v>
      </c>
      <c r="I7649" s="1" t="str">
        <f t="shared" si="4"/>
        <v>No Badges</v>
      </c>
      <c r="J7649" s="3">
        <f t="shared" si="5"/>
        <v>0</v>
      </c>
    </row>
    <row r="7650">
      <c r="A7650" s="1" t="s">
        <v>5831</v>
      </c>
      <c r="B7650" s="3" t="str">
        <f t="shared" si="1"/>
        <v>Unavailable</v>
      </c>
      <c r="C7650" s="5">
        <v>12868.0</v>
      </c>
      <c r="D7650" s="3">
        <f>IFERROR(__xludf.DUMMYFUNCTION("IFERROR(
IF(REGEXMATCH(LOWER(O7650),""k""),
VALUE(REGEXEXTRACT(O7650,""[0-9]+""))*1000,
VALUE(REGEXEXTRACT(O7650,""[0-9]+""))
),
0
)"),0.0)</f>
        <v>0</v>
      </c>
      <c r="E7650" s="1" t="s">
        <v>11</v>
      </c>
      <c r="F7650" s="1" t="s">
        <v>20</v>
      </c>
      <c r="G7650" s="4" t="b">
        <f t="shared" si="2"/>
        <v>1</v>
      </c>
      <c r="H7650" s="1" t="str">
        <f t="shared" si="3"/>
        <v>Currently Unavailable</v>
      </c>
      <c r="I7650" s="1" t="str">
        <f t="shared" si="4"/>
        <v>No Badges</v>
      </c>
      <c r="J7650" s="3">
        <f t="shared" si="5"/>
        <v>0</v>
      </c>
    </row>
    <row r="7651">
      <c r="A7651" s="1" t="s">
        <v>5817</v>
      </c>
      <c r="B7651" s="3" t="str">
        <f t="shared" si="1"/>
        <v>Unavailable</v>
      </c>
      <c r="C7651" s="5">
        <v>7235.0</v>
      </c>
      <c r="D7651" s="3">
        <f>IFERROR(__xludf.DUMMYFUNCTION("IFERROR(
IF(REGEXMATCH(LOWER(O7651),""k""),
VALUE(REGEXEXTRACT(O7651,""[0-9]+""))*1000,
VALUE(REGEXEXTRACT(O7651,""[0-9]+""))
),
0
)"),0.0)</f>
        <v>0</v>
      </c>
      <c r="E7651" s="1" t="s">
        <v>11</v>
      </c>
      <c r="F7651" s="1" t="s">
        <v>12</v>
      </c>
      <c r="G7651" s="4" t="b">
        <f t="shared" si="2"/>
        <v>1</v>
      </c>
      <c r="H7651" s="1" t="str">
        <f t="shared" si="3"/>
        <v>Currently Unavailable</v>
      </c>
      <c r="I7651" s="1" t="str">
        <f t="shared" si="4"/>
        <v>No Badges</v>
      </c>
      <c r="J7651" s="3">
        <f t="shared" si="5"/>
        <v>0</v>
      </c>
    </row>
    <row r="7652">
      <c r="A7652" s="1" t="s">
        <v>5832</v>
      </c>
      <c r="B7652" s="3" t="str">
        <f t="shared" si="1"/>
        <v>Unavailable</v>
      </c>
      <c r="C7652" s="5">
        <v>1409.0</v>
      </c>
      <c r="D7652" s="3">
        <f>IFERROR(__xludf.DUMMYFUNCTION("IFERROR(
IF(REGEXMATCH(LOWER(O7652),""k""),
VALUE(REGEXEXTRACT(O7652,""[0-9]+""))*1000,
VALUE(REGEXEXTRACT(O7652,""[0-9]+""))
),
0
)"),0.0)</f>
        <v>0</v>
      </c>
      <c r="E7652" s="1" t="s">
        <v>158</v>
      </c>
      <c r="F7652" s="1" t="s">
        <v>20</v>
      </c>
      <c r="G7652" s="4" t="b">
        <f t="shared" si="2"/>
        <v>1</v>
      </c>
      <c r="H7652" s="1" t="str">
        <f t="shared" si="3"/>
        <v>Currently Unavailable</v>
      </c>
      <c r="I7652" s="1" t="str">
        <f t="shared" si="4"/>
        <v>No Badges</v>
      </c>
      <c r="J7652" s="3">
        <f t="shared" si="5"/>
        <v>0</v>
      </c>
    </row>
    <row r="7653">
      <c r="A7653" s="1" t="s">
        <v>5833</v>
      </c>
      <c r="B7653" s="3" t="str">
        <f t="shared" si="1"/>
        <v>Unavailable</v>
      </c>
      <c r="C7653" s="3">
        <v>57.0</v>
      </c>
      <c r="D7653" s="3">
        <f>IFERROR(__xludf.DUMMYFUNCTION("IFERROR(
IF(REGEXMATCH(LOWER(O7653),""k""),
VALUE(REGEXEXTRACT(O7653,""[0-9]+""))*1000,
VALUE(REGEXEXTRACT(O7653,""[0-9]+""))
),
0
)"),0.0)</f>
        <v>0</v>
      </c>
      <c r="E7653" s="1" t="s">
        <v>11</v>
      </c>
      <c r="F7653" s="1" t="s">
        <v>12</v>
      </c>
      <c r="G7653" s="4" t="b">
        <f t="shared" si="2"/>
        <v>1</v>
      </c>
      <c r="H7653" s="1" t="str">
        <f t="shared" si="3"/>
        <v>Currently Unavailable</v>
      </c>
      <c r="I7653" s="1" t="str">
        <f t="shared" si="4"/>
        <v>No Badges</v>
      </c>
      <c r="J7653" s="3">
        <f t="shared" si="5"/>
        <v>0</v>
      </c>
    </row>
    <row r="7654">
      <c r="A7654" s="1" t="s">
        <v>5834</v>
      </c>
      <c r="B7654" s="3" t="str">
        <f t="shared" si="1"/>
        <v>Unavailable</v>
      </c>
      <c r="C7654" s="3">
        <v>872.0</v>
      </c>
      <c r="D7654" s="3">
        <f>IFERROR(__xludf.DUMMYFUNCTION("IFERROR(
IF(REGEXMATCH(LOWER(O7654),""k""),
VALUE(REGEXEXTRACT(O7654,""[0-9]+""))*1000,
VALUE(REGEXEXTRACT(O7654,""[0-9]+""))
),
0
)"),0.0)</f>
        <v>0</v>
      </c>
      <c r="E7654" s="1" t="s">
        <v>11</v>
      </c>
      <c r="F7654" s="1" t="s">
        <v>20</v>
      </c>
      <c r="G7654" s="4" t="b">
        <f t="shared" si="2"/>
        <v>1</v>
      </c>
      <c r="H7654" s="1" t="str">
        <f t="shared" si="3"/>
        <v>Currently Unavailable</v>
      </c>
      <c r="I7654" s="1" t="str">
        <f t="shared" si="4"/>
        <v>No Badges</v>
      </c>
      <c r="J7654" s="3">
        <f t="shared" si="5"/>
        <v>0</v>
      </c>
    </row>
    <row r="7655">
      <c r="A7655" s="1" t="s">
        <v>5835</v>
      </c>
      <c r="B7655" s="3" t="str">
        <f t="shared" si="1"/>
        <v>Unavailable</v>
      </c>
      <c r="C7655" s="5">
        <v>2174.0</v>
      </c>
      <c r="D7655" s="3">
        <f>IFERROR(__xludf.DUMMYFUNCTION("IFERROR(
IF(REGEXMATCH(LOWER(O7655),""k""),
VALUE(REGEXEXTRACT(O7655,""[0-9]+""))*1000,
VALUE(REGEXEXTRACT(O7655,""[0-9]+""))
),
0
)"),0.0)</f>
        <v>0</v>
      </c>
      <c r="E7655" s="1" t="s">
        <v>11</v>
      </c>
      <c r="F7655" s="1" t="s">
        <v>20</v>
      </c>
      <c r="G7655" s="4" t="b">
        <f t="shared" si="2"/>
        <v>1</v>
      </c>
      <c r="H7655" s="1" t="str">
        <f t="shared" si="3"/>
        <v>Currently Unavailable</v>
      </c>
      <c r="I7655" s="1" t="str">
        <f t="shared" si="4"/>
        <v>No Badges</v>
      </c>
      <c r="J7655" s="3">
        <f t="shared" si="5"/>
        <v>0</v>
      </c>
    </row>
    <row r="7656">
      <c r="A7656" s="1" t="s">
        <v>5836</v>
      </c>
      <c r="B7656" s="3" t="str">
        <f t="shared" si="1"/>
        <v>Unavailable</v>
      </c>
      <c r="C7656" s="5">
        <v>3843.0</v>
      </c>
      <c r="D7656" s="3">
        <f>IFERROR(__xludf.DUMMYFUNCTION("IFERROR(
IF(REGEXMATCH(LOWER(O7656),""k""),
VALUE(REGEXEXTRACT(O7656,""[0-9]+""))*1000,
VALUE(REGEXEXTRACT(O7656,""[0-9]+""))
),
0
)"),0.0)</f>
        <v>0</v>
      </c>
      <c r="E7656" s="1" t="s">
        <v>11</v>
      </c>
      <c r="F7656" s="1" t="s">
        <v>20</v>
      </c>
      <c r="G7656" s="4" t="b">
        <f t="shared" si="2"/>
        <v>1</v>
      </c>
      <c r="H7656" s="1" t="str">
        <f t="shared" si="3"/>
        <v>Currently Unavailable</v>
      </c>
      <c r="I7656" s="1" t="str">
        <f t="shared" si="4"/>
        <v>No Badges</v>
      </c>
      <c r="J7656" s="3">
        <f t="shared" si="5"/>
        <v>0</v>
      </c>
    </row>
    <row r="7657">
      <c r="A7657" s="1" t="s">
        <v>5837</v>
      </c>
      <c r="B7657" s="3" t="str">
        <f t="shared" si="1"/>
        <v>Unavailable</v>
      </c>
      <c r="C7657" s="3">
        <v>70.0</v>
      </c>
      <c r="D7657" s="3">
        <f>IFERROR(__xludf.DUMMYFUNCTION("IFERROR(
IF(REGEXMATCH(LOWER(O7657),""k""),
VALUE(REGEXEXTRACT(O7657,""[0-9]+""))*1000,
VALUE(REGEXEXTRACT(O7657,""[0-9]+""))
),
0
)"),0.0)</f>
        <v>0</v>
      </c>
      <c r="E7657" s="1" t="s">
        <v>11</v>
      </c>
      <c r="F7657" s="1" t="s">
        <v>20</v>
      </c>
      <c r="G7657" s="4" t="b">
        <f t="shared" si="2"/>
        <v>1</v>
      </c>
      <c r="H7657" s="1" t="str">
        <f t="shared" si="3"/>
        <v>Currently Unavailable</v>
      </c>
      <c r="I7657" s="1" t="str">
        <f t="shared" si="4"/>
        <v>No Badges</v>
      </c>
      <c r="J7657" s="3">
        <f t="shared" si="5"/>
        <v>0</v>
      </c>
    </row>
    <row r="7658">
      <c r="A7658" s="1" t="s">
        <v>5817</v>
      </c>
      <c r="B7658" s="3" t="str">
        <f t="shared" si="1"/>
        <v>Unavailable</v>
      </c>
      <c r="C7658" s="5">
        <v>7235.0</v>
      </c>
      <c r="D7658" s="3">
        <f>IFERROR(__xludf.DUMMYFUNCTION("IFERROR(
IF(REGEXMATCH(LOWER(O7658),""k""),
VALUE(REGEXEXTRACT(O7658,""[0-9]+""))*1000,
VALUE(REGEXEXTRACT(O7658,""[0-9]+""))
),
0
)"),0.0)</f>
        <v>0</v>
      </c>
      <c r="E7658" s="1" t="s">
        <v>11</v>
      </c>
      <c r="F7658" s="1" t="s">
        <v>12</v>
      </c>
      <c r="G7658" s="4" t="b">
        <f t="shared" si="2"/>
        <v>1</v>
      </c>
      <c r="H7658" s="1" t="str">
        <f t="shared" si="3"/>
        <v>Currently Unavailable</v>
      </c>
      <c r="I7658" s="1" t="str">
        <f t="shared" si="4"/>
        <v>No Badges</v>
      </c>
      <c r="J7658" s="3">
        <f t="shared" si="5"/>
        <v>0</v>
      </c>
    </row>
    <row r="7659">
      <c r="A7659" s="1" t="s">
        <v>5838</v>
      </c>
      <c r="B7659" s="3" t="str">
        <f t="shared" si="1"/>
        <v>Unavailable</v>
      </c>
      <c r="C7659" s="3">
        <v>929.0</v>
      </c>
      <c r="D7659" s="3">
        <f>IFERROR(__xludf.DUMMYFUNCTION("IFERROR(
IF(REGEXMATCH(LOWER(O7659),""k""),
VALUE(REGEXEXTRACT(O7659,""[0-9]+""))*1000,
VALUE(REGEXEXTRACT(O7659,""[0-9]+""))
),
0
)"),0.0)</f>
        <v>0</v>
      </c>
      <c r="E7659" s="1" t="s">
        <v>11</v>
      </c>
      <c r="F7659" s="1" t="s">
        <v>20</v>
      </c>
      <c r="G7659" s="4" t="b">
        <f t="shared" si="2"/>
        <v>1</v>
      </c>
      <c r="H7659" s="1" t="str">
        <f t="shared" si="3"/>
        <v>Currently Unavailable</v>
      </c>
      <c r="I7659" s="1" t="str">
        <f t="shared" si="4"/>
        <v>No Badges</v>
      </c>
      <c r="J7659" s="3">
        <f t="shared" si="5"/>
        <v>0</v>
      </c>
    </row>
    <row r="7660">
      <c r="A7660" s="1" t="s">
        <v>5839</v>
      </c>
      <c r="B7660" s="3" t="str">
        <f t="shared" si="1"/>
        <v>Unavailable</v>
      </c>
      <c r="C7660" s="3">
        <v>215.0</v>
      </c>
      <c r="D7660" s="3">
        <f>IFERROR(__xludf.DUMMYFUNCTION("IFERROR(
IF(REGEXMATCH(LOWER(O7660),""k""),
VALUE(REGEXEXTRACT(O7660,""[0-9]+""))*1000,
VALUE(REGEXEXTRACT(O7660,""[0-9]+""))
),
0
)"),0.0)</f>
        <v>0</v>
      </c>
      <c r="E7660" s="1" t="s">
        <v>11</v>
      </c>
      <c r="F7660" s="1" t="s">
        <v>20</v>
      </c>
      <c r="G7660" s="4" t="b">
        <f t="shared" si="2"/>
        <v>1</v>
      </c>
      <c r="H7660" s="1" t="str">
        <f t="shared" si="3"/>
        <v>Currently Unavailable</v>
      </c>
      <c r="I7660" s="1" t="str">
        <f t="shared" si="4"/>
        <v>No Badges</v>
      </c>
      <c r="J7660" s="3">
        <f t="shared" si="5"/>
        <v>0</v>
      </c>
    </row>
    <row r="7661">
      <c r="A7661" s="1" t="s">
        <v>5840</v>
      </c>
      <c r="B7661" s="3" t="str">
        <f t="shared" si="1"/>
        <v>Unavailable</v>
      </c>
      <c r="C7661" s="3">
        <v>21.0</v>
      </c>
      <c r="D7661" s="3">
        <f>IFERROR(__xludf.DUMMYFUNCTION("IFERROR(
IF(REGEXMATCH(LOWER(O7661),""k""),
VALUE(REGEXEXTRACT(O7661,""[0-9]+""))*1000,
VALUE(REGEXEXTRACT(O7661,""[0-9]+""))
),
0
)"),0.0)</f>
        <v>0</v>
      </c>
      <c r="E7661" s="1" t="s">
        <v>11</v>
      </c>
      <c r="F7661" s="1" t="s">
        <v>20</v>
      </c>
      <c r="G7661" s="4" t="b">
        <f t="shared" si="2"/>
        <v>1</v>
      </c>
      <c r="H7661" s="1" t="str">
        <f t="shared" si="3"/>
        <v>Currently Unavailable</v>
      </c>
      <c r="I7661" s="1" t="str">
        <f t="shared" si="4"/>
        <v>No Badges</v>
      </c>
      <c r="J7661" s="3">
        <f t="shared" si="5"/>
        <v>0</v>
      </c>
    </row>
    <row r="7662">
      <c r="A7662" s="1" t="s">
        <v>5817</v>
      </c>
      <c r="B7662" s="3" t="str">
        <f t="shared" si="1"/>
        <v>Unavailable</v>
      </c>
      <c r="C7662" s="5">
        <v>7235.0</v>
      </c>
      <c r="D7662" s="3">
        <f>IFERROR(__xludf.DUMMYFUNCTION("IFERROR(
IF(REGEXMATCH(LOWER(O7662),""k""),
VALUE(REGEXEXTRACT(O7662,""[0-9]+""))*1000,
VALUE(REGEXEXTRACT(O7662,""[0-9]+""))
),
0
)"),0.0)</f>
        <v>0</v>
      </c>
      <c r="E7662" s="1" t="s">
        <v>11</v>
      </c>
      <c r="F7662" s="1" t="s">
        <v>12</v>
      </c>
      <c r="G7662" s="4" t="b">
        <f t="shared" si="2"/>
        <v>1</v>
      </c>
      <c r="H7662" s="1" t="str">
        <f t="shared" si="3"/>
        <v>Currently Unavailable</v>
      </c>
      <c r="I7662" s="1" t="str">
        <f t="shared" si="4"/>
        <v>No Badges</v>
      </c>
      <c r="J7662" s="3">
        <f t="shared" si="5"/>
        <v>0</v>
      </c>
    </row>
    <row r="7663">
      <c r="A7663" s="1" t="s">
        <v>5841</v>
      </c>
      <c r="B7663" s="3" t="str">
        <f t="shared" si="1"/>
        <v>Unavailable</v>
      </c>
      <c r="C7663" s="3">
        <v>366.0</v>
      </c>
      <c r="D7663" s="3">
        <f>IFERROR(__xludf.DUMMYFUNCTION("IFERROR(
IF(REGEXMATCH(LOWER(O7663),""k""),
VALUE(REGEXEXTRACT(O7663,""[0-9]+""))*1000,
VALUE(REGEXEXTRACT(O7663,""[0-9]+""))
),
0
)"),0.0)</f>
        <v>0</v>
      </c>
      <c r="E7663" s="1" t="s">
        <v>11</v>
      </c>
      <c r="F7663" s="1" t="s">
        <v>20</v>
      </c>
      <c r="G7663" s="4" t="b">
        <f t="shared" si="2"/>
        <v>1</v>
      </c>
      <c r="H7663" s="1" t="str">
        <f t="shared" si="3"/>
        <v>Currently Unavailable</v>
      </c>
      <c r="I7663" s="1" t="str">
        <f t="shared" si="4"/>
        <v>No Badges</v>
      </c>
      <c r="J7663" s="3">
        <f t="shared" si="5"/>
        <v>0</v>
      </c>
    </row>
    <row r="7664">
      <c r="A7664" s="1" t="s">
        <v>5842</v>
      </c>
      <c r="B7664" s="3" t="str">
        <f t="shared" si="1"/>
        <v>Unavailable</v>
      </c>
      <c r="C7664" s="3">
        <v>826.0</v>
      </c>
      <c r="D7664" s="3">
        <f>IFERROR(__xludf.DUMMYFUNCTION("IFERROR(
IF(REGEXMATCH(LOWER(O7664),""k""),
VALUE(REGEXEXTRACT(O7664,""[0-9]+""))*1000,
VALUE(REGEXEXTRACT(O7664,""[0-9]+""))
),
0
)"),0.0)</f>
        <v>0</v>
      </c>
      <c r="E7664" s="1" t="s">
        <v>11</v>
      </c>
      <c r="F7664" s="1" t="s">
        <v>20</v>
      </c>
      <c r="G7664" s="4" t="b">
        <f t="shared" si="2"/>
        <v>1</v>
      </c>
      <c r="H7664" s="1" t="str">
        <f t="shared" si="3"/>
        <v>Currently Unavailable</v>
      </c>
      <c r="I7664" s="1" t="str">
        <f t="shared" si="4"/>
        <v>No Badges</v>
      </c>
      <c r="J7664" s="3">
        <f t="shared" si="5"/>
        <v>0</v>
      </c>
    </row>
    <row r="7665">
      <c r="A7665" s="1" t="s">
        <v>5843</v>
      </c>
      <c r="B7665" s="3" t="str">
        <f t="shared" si="1"/>
        <v>Unavailable</v>
      </c>
      <c r="C7665" s="5">
        <v>1100.0</v>
      </c>
      <c r="D7665" s="3">
        <f>IFERROR(__xludf.DUMMYFUNCTION("IFERROR(
IF(REGEXMATCH(LOWER(O7665),""k""),
VALUE(REGEXEXTRACT(O7665,""[0-9]+""))*1000,
VALUE(REGEXEXTRACT(O7665,""[0-9]+""))
),
0
)"),0.0)</f>
        <v>0</v>
      </c>
      <c r="E7665" s="1" t="s">
        <v>11</v>
      </c>
      <c r="F7665" s="1" t="s">
        <v>20</v>
      </c>
      <c r="G7665" s="4" t="b">
        <f t="shared" si="2"/>
        <v>1</v>
      </c>
      <c r="H7665" s="1" t="str">
        <f t="shared" si="3"/>
        <v>Currently Unavailable</v>
      </c>
      <c r="I7665" s="1" t="str">
        <f t="shared" si="4"/>
        <v>No Badges</v>
      </c>
      <c r="J7665" s="3">
        <f t="shared" si="5"/>
        <v>0</v>
      </c>
    </row>
    <row r="7666">
      <c r="A7666" s="1" t="s">
        <v>5844</v>
      </c>
      <c r="B7666" s="3" t="str">
        <f t="shared" si="1"/>
        <v>Unavailable</v>
      </c>
      <c r="C7666" s="5">
        <v>1341.0</v>
      </c>
      <c r="D7666" s="3">
        <f>IFERROR(__xludf.DUMMYFUNCTION("IFERROR(
IF(REGEXMATCH(LOWER(O7666),""k""),
VALUE(REGEXEXTRACT(O7666,""[0-9]+""))*1000,
VALUE(REGEXEXTRACT(O7666,""[0-9]+""))
),
0
)"),0.0)</f>
        <v>0</v>
      </c>
      <c r="E7666" s="1" t="s">
        <v>11</v>
      </c>
      <c r="F7666" s="1" t="s">
        <v>20</v>
      </c>
      <c r="G7666" s="4" t="b">
        <f t="shared" si="2"/>
        <v>1</v>
      </c>
      <c r="H7666" s="1" t="str">
        <f t="shared" si="3"/>
        <v>Currently Unavailable</v>
      </c>
      <c r="I7666" s="1" t="str">
        <f t="shared" si="4"/>
        <v>No Badges</v>
      </c>
      <c r="J7666" s="3">
        <f t="shared" si="5"/>
        <v>0</v>
      </c>
    </row>
    <row r="7667">
      <c r="A7667" s="1" t="s">
        <v>5817</v>
      </c>
      <c r="B7667" s="3" t="str">
        <f t="shared" si="1"/>
        <v>Unavailable</v>
      </c>
      <c r="C7667" s="5">
        <v>7235.0</v>
      </c>
      <c r="D7667" s="3">
        <f>IFERROR(__xludf.DUMMYFUNCTION("IFERROR(
IF(REGEXMATCH(LOWER(O7667),""k""),
VALUE(REGEXEXTRACT(O7667,""[0-9]+""))*1000,
VALUE(REGEXEXTRACT(O7667,""[0-9]+""))
),
0
)"),0.0)</f>
        <v>0</v>
      </c>
      <c r="E7667" s="1" t="s">
        <v>11</v>
      </c>
      <c r="F7667" s="1" t="s">
        <v>12</v>
      </c>
      <c r="G7667" s="4" t="b">
        <f t="shared" si="2"/>
        <v>1</v>
      </c>
      <c r="H7667" s="1" t="str">
        <f t="shared" si="3"/>
        <v>Currently Unavailable</v>
      </c>
      <c r="I7667" s="1" t="str">
        <f t="shared" si="4"/>
        <v>No Badges</v>
      </c>
      <c r="J7667" s="3">
        <f t="shared" si="5"/>
        <v>0</v>
      </c>
    </row>
    <row r="7668">
      <c r="A7668" s="1" t="s">
        <v>5845</v>
      </c>
      <c r="B7668" s="3" t="str">
        <f t="shared" si="1"/>
        <v>Unavailable</v>
      </c>
      <c r="C7668" s="3">
        <v>26.0</v>
      </c>
      <c r="D7668" s="3">
        <f>IFERROR(__xludf.DUMMYFUNCTION("IFERROR(
IF(REGEXMATCH(LOWER(O7668),""k""),
VALUE(REGEXEXTRACT(O7668,""[0-9]+""))*1000,
VALUE(REGEXEXTRACT(O7668,""[0-9]+""))
),
0
)"),0.0)</f>
        <v>0</v>
      </c>
      <c r="E7668" s="1" t="s">
        <v>11</v>
      </c>
      <c r="F7668" s="1" t="s">
        <v>20</v>
      </c>
      <c r="G7668" s="4" t="b">
        <f t="shared" si="2"/>
        <v>1</v>
      </c>
      <c r="H7668" s="1" t="str">
        <f t="shared" si="3"/>
        <v>Currently Unavailable</v>
      </c>
      <c r="I7668" s="1" t="str">
        <f t="shared" si="4"/>
        <v>No Badges</v>
      </c>
      <c r="J7668" s="3">
        <f t="shared" si="5"/>
        <v>0</v>
      </c>
    </row>
    <row r="7669">
      <c r="A7669" s="1" t="s">
        <v>5846</v>
      </c>
      <c r="B7669" s="3" t="str">
        <f t="shared" si="1"/>
        <v>Unavailable</v>
      </c>
      <c r="C7669" s="3">
        <v>908.0</v>
      </c>
      <c r="D7669" s="3">
        <f>IFERROR(__xludf.DUMMYFUNCTION("IFERROR(
IF(REGEXMATCH(LOWER(O7669),""k""),
VALUE(REGEXEXTRACT(O7669,""[0-9]+""))*1000,
VALUE(REGEXEXTRACT(O7669,""[0-9]+""))
),
0
)"),0.0)</f>
        <v>0</v>
      </c>
      <c r="E7669" s="1" t="s">
        <v>11</v>
      </c>
      <c r="F7669" s="1" t="s">
        <v>20</v>
      </c>
      <c r="G7669" s="4" t="b">
        <f t="shared" si="2"/>
        <v>1</v>
      </c>
      <c r="H7669" s="1" t="str">
        <f t="shared" si="3"/>
        <v>Currently Unavailable</v>
      </c>
      <c r="I7669" s="1" t="str">
        <f t="shared" si="4"/>
        <v>No Badges</v>
      </c>
      <c r="J7669" s="3">
        <f t="shared" si="5"/>
        <v>0</v>
      </c>
    </row>
    <row r="7670">
      <c r="A7670" s="1" t="s">
        <v>5847</v>
      </c>
      <c r="B7670" s="3" t="str">
        <f t="shared" si="1"/>
        <v>Unavailable</v>
      </c>
      <c r="C7670" s="5">
        <v>1063.0</v>
      </c>
      <c r="D7670" s="3">
        <f>IFERROR(__xludf.DUMMYFUNCTION("IFERROR(
IF(REGEXMATCH(LOWER(O7670),""k""),
VALUE(REGEXEXTRACT(O7670,""[0-9]+""))*1000,
VALUE(REGEXEXTRACT(O7670,""[0-9]+""))
),
0
)"),0.0)</f>
        <v>0</v>
      </c>
      <c r="E7670" s="1" t="s">
        <v>11</v>
      </c>
      <c r="F7670" s="1" t="s">
        <v>20</v>
      </c>
      <c r="G7670" s="4" t="b">
        <f t="shared" si="2"/>
        <v>1</v>
      </c>
      <c r="H7670" s="1" t="str">
        <f t="shared" si="3"/>
        <v>Currently Unavailable</v>
      </c>
      <c r="I7670" s="1" t="str">
        <f t="shared" si="4"/>
        <v>No Badges</v>
      </c>
      <c r="J7670" s="3">
        <f t="shared" si="5"/>
        <v>0</v>
      </c>
    </row>
    <row r="7671">
      <c r="A7671" s="1" t="s">
        <v>5817</v>
      </c>
      <c r="B7671" s="3" t="str">
        <f t="shared" si="1"/>
        <v>Unavailable</v>
      </c>
      <c r="C7671" s="5">
        <v>7235.0</v>
      </c>
      <c r="D7671" s="3">
        <f>IFERROR(__xludf.DUMMYFUNCTION("IFERROR(
IF(REGEXMATCH(LOWER(O7671),""k""),
VALUE(REGEXEXTRACT(O7671,""[0-9]+""))*1000,
VALUE(REGEXEXTRACT(O7671,""[0-9]+""))
),
0
)"),0.0)</f>
        <v>0</v>
      </c>
      <c r="E7671" s="1" t="s">
        <v>11</v>
      </c>
      <c r="F7671" s="1" t="s">
        <v>12</v>
      </c>
      <c r="G7671" s="4" t="b">
        <f t="shared" si="2"/>
        <v>1</v>
      </c>
      <c r="H7671" s="1" t="str">
        <f t="shared" si="3"/>
        <v>Currently Unavailable</v>
      </c>
      <c r="I7671" s="1" t="str">
        <f t="shared" si="4"/>
        <v>No Badges</v>
      </c>
      <c r="J7671" s="3">
        <f t="shared" si="5"/>
        <v>0</v>
      </c>
    </row>
    <row r="7672">
      <c r="A7672" s="1" t="s">
        <v>5848</v>
      </c>
      <c r="B7672" s="3" t="str">
        <f t="shared" si="1"/>
        <v>Unavailable</v>
      </c>
      <c r="C7672" s="3">
        <v>477.0</v>
      </c>
      <c r="D7672" s="3">
        <f>IFERROR(__xludf.DUMMYFUNCTION("IFERROR(
IF(REGEXMATCH(LOWER(O7672),""k""),
VALUE(REGEXEXTRACT(O7672,""[0-9]+""))*1000,
VALUE(REGEXEXTRACT(O7672,""[0-9]+""))
),
0
)"),0.0)</f>
        <v>0</v>
      </c>
      <c r="E7672" s="1" t="s">
        <v>11</v>
      </c>
      <c r="F7672" s="1" t="s">
        <v>20</v>
      </c>
      <c r="G7672" s="4" t="b">
        <f t="shared" si="2"/>
        <v>1</v>
      </c>
      <c r="H7672" s="1" t="str">
        <f t="shared" si="3"/>
        <v>Currently Unavailable</v>
      </c>
      <c r="I7672" s="1" t="str">
        <f t="shared" si="4"/>
        <v>No Badges</v>
      </c>
      <c r="J7672" s="3">
        <f t="shared" si="5"/>
        <v>0</v>
      </c>
    </row>
    <row r="7673">
      <c r="A7673" s="1" t="s">
        <v>5849</v>
      </c>
      <c r="B7673" s="3" t="str">
        <f t="shared" si="1"/>
        <v>Unavailable</v>
      </c>
      <c r="C7673" s="3">
        <v>967.0</v>
      </c>
      <c r="D7673" s="3">
        <f>IFERROR(__xludf.DUMMYFUNCTION("IFERROR(
IF(REGEXMATCH(LOWER(O7673),""k""),
VALUE(REGEXEXTRACT(O7673,""[0-9]+""))*1000,
VALUE(REGEXEXTRACT(O7673,""[0-9]+""))
),
0
)"),0.0)</f>
        <v>0</v>
      </c>
      <c r="E7673" s="1" t="s">
        <v>11</v>
      </c>
      <c r="F7673" s="1" t="s">
        <v>20</v>
      </c>
      <c r="G7673" s="4" t="b">
        <f t="shared" si="2"/>
        <v>1</v>
      </c>
      <c r="H7673" s="1" t="str">
        <f t="shared" si="3"/>
        <v>Currently Unavailable</v>
      </c>
      <c r="I7673" s="1" t="str">
        <f t="shared" si="4"/>
        <v>No Badges</v>
      </c>
      <c r="J7673" s="3">
        <f t="shared" si="5"/>
        <v>0</v>
      </c>
    </row>
    <row r="7674">
      <c r="A7674" s="1" t="s">
        <v>5817</v>
      </c>
      <c r="B7674" s="3" t="str">
        <f t="shared" si="1"/>
        <v>Unavailable</v>
      </c>
      <c r="C7674" s="5">
        <v>7235.0</v>
      </c>
      <c r="D7674" s="3">
        <f>IFERROR(__xludf.DUMMYFUNCTION("IFERROR(
IF(REGEXMATCH(LOWER(O7674),""k""),
VALUE(REGEXEXTRACT(O7674,""[0-9]+""))*1000,
VALUE(REGEXEXTRACT(O7674,""[0-9]+""))
),
0
)"),0.0)</f>
        <v>0</v>
      </c>
      <c r="E7674" s="1" t="s">
        <v>11</v>
      </c>
      <c r="F7674" s="1" t="s">
        <v>12</v>
      </c>
      <c r="G7674" s="4" t="b">
        <f t="shared" si="2"/>
        <v>1</v>
      </c>
      <c r="H7674" s="1" t="str">
        <f t="shared" si="3"/>
        <v>Currently Unavailable</v>
      </c>
      <c r="I7674" s="1" t="str">
        <f t="shared" si="4"/>
        <v>No Badges</v>
      </c>
      <c r="J7674" s="3">
        <f t="shared" si="5"/>
        <v>0</v>
      </c>
    </row>
    <row r="7675">
      <c r="A7675" s="1" t="s">
        <v>5850</v>
      </c>
      <c r="B7675" s="3" t="str">
        <f t="shared" si="1"/>
        <v>Unavailable</v>
      </c>
      <c r="C7675" s="3">
        <v>155.0</v>
      </c>
      <c r="D7675" s="3">
        <f>IFERROR(__xludf.DUMMYFUNCTION("IFERROR(
IF(REGEXMATCH(LOWER(O7675),""k""),
VALUE(REGEXEXTRACT(O7675,""[0-9]+""))*1000,
VALUE(REGEXEXTRACT(O7675,""[0-9]+""))
),
0
)"),0.0)</f>
        <v>0</v>
      </c>
      <c r="E7675" s="1" t="s">
        <v>11</v>
      </c>
      <c r="F7675" s="1" t="s">
        <v>20</v>
      </c>
      <c r="G7675" s="4" t="b">
        <f t="shared" si="2"/>
        <v>1</v>
      </c>
      <c r="H7675" s="1" t="str">
        <f t="shared" si="3"/>
        <v>Currently Unavailable</v>
      </c>
      <c r="I7675" s="1" t="str">
        <f t="shared" si="4"/>
        <v>No Badges</v>
      </c>
      <c r="J7675" s="3">
        <f t="shared" si="5"/>
        <v>0</v>
      </c>
    </row>
    <row r="7676">
      <c r="A7676" s="1" t="s">
        <v>5851</v>
      </c>
      <c r="B7676" s="3" t="str">
        <f t="shared" si="1"/>
        <v>Unavailable</v>
      </c>
      <c r="C7676" s="3">
        <v>796.0</v>
      </c>
      <c r="D7676" s="3">
        <f>IFERROR(__xludf.DUMMYFUNCTION("IFERROR(
IF(REGEXMATCH(LOWER(O7676),""k""),
VALUE(REGEXEXTRACT(O7676,""[0-9]+""))*1000,
VALUE(REGEXEXTRACT(O7676,""[0-9]+""))
),
0
)"),0.0)</f>
        <v>0</v>
      </c>
      <c r="E7676" s="1" t="s">
        <v>11</v>
      </c>
      <c r="F7676" s="1" t="s">
        <v>20</v>
      </c>
      <c r="G7676" s="4" t="b">
        <f t="shared" si="2"/>
        <v>1</v>
      </c>
      <c r="H7676" s="1" t="str">
        <f t="shared" si="3"/>
        <v>Currently Unavailable</v>
      </c>
      <c r="I7676" s="1" t="str">
        <f t="shared" si="4"/>
        <v>No Badges</v>
      </c>
      <c r="J7676" s="3">
        <f t="shared" si="5"/>
        <v>0</v>
      </c>
    </row>
    <row r="7677">
      <c r="A7677" s="1" t="s">
        <v>5852</v>
      </c>
      <c r="B7677" s="3" t="str">
        <f t="shared" si="1"/>
        <v>Unavailable</v>
      </c>
      <c r="C7677" s="5">
        <v>3768.0</v>
      </c>
      <c r="D7677" s="3">
        <f>IFERROR(__xludf.DUMMYFUNCTION("IFERROR(
IF(REGEXMATCH(LOWER(O7677),""k""),
VALUE(REGEXEXTRACT(O7677,""[0-9]+""))*1000,
VALUE(REGEXEXTRACT(O7677,""[0-9]+""))
),
0
)"),0.0)</f>
        <v>0</v>
      </c>
      <c r="E7677" s="1" t="s">
        <v>11</v>
      </c>
      <c r="F7677" s="1" t="s">
        <v>20</v>
      </c>
      <c r="G7677" s="4" t="b">
        <f t="shared" si="2"/>
        <v>1</v>
      </c>
      <c r="H7677" s="1" t="str">
        <f t="shared" si="3"/>
        <v>Currently Unavailable</v>
      </c>
      <c r="I7677" s="1" t="str">
        <f t="shared" si="4"/>
        <v>No Badges</v>
      </c>
      <c r="J7677" s="3">
        <f t="shared" si="5"/>
        <v>0</v>
      </c>
    </row>
    <row r="7678">
      <c r="A7678" s="1" t="s">
        <v>5853</v>
      </c>
      <c r="B7678" s="3" t="str">
        <f t="shared" si="1"/>
        <v>Unavailable</v>
      </c>
      <c r="C7678" s="5">
        <v>1522.0</v>
      </c>
      <c r="D7678" s="3">
        <f>IFERROR(__xludf.DUMMYFUNCTION("IFERROR(
IF(REGEXMATCH(LOWER(O7678),""k""),
VALUE(REGEXEXTRACT(O7678,""[0-9]+""))*1000,
VALUE(REGEXEXTRACT(O7678,""[0-9]+""))
),
0
)"),0.0)</f>
        <v>0</v>
      </c>
      <c r="E7678" s="1" t="s">
        <v>11</v>
      </c>
      <c r="F7678" s="1" t="s">
        <v>20</v>
      </c>
      <c r="G7678" s="4" t="b">
        <f t="shared" si="2"/>
        <v>1</v>
      </c>
      <c r="H7678" s="1" t="str">
        <f t="shared" si="3"/>
        <v>Currently Unavailable</v>
      </c>
      <c r="I7678" s="1" t="str">
        <f t="shared" si="4"/>
        <v>No Badges</v>
      </c>
      <c r="J7678" s="3">
        <f t="shared" si="5"/>
        <v>0</v>
      </c>
    </row>
    <row r="7679">
      <c r="A7679" s="1" t="s">
        <v>5854</v>
      </c>
      <c r="B7679" s="3" t="str">
        <f t="shared" si="1"/>
        <v>Unavailable</v>
      </c>
      <c r="C7679" s="3">
        <v>748.0</v>
      </c>
      <c r="D7679" s="3">
        <f>IFERROR(__xludf.DUMMYFUNCTION("IFERROR(
IF(REGEXMATCH(LOWER(O7679),""k""),
VALUE(REGEXEXTRACT(O7679,""[0-9]+""))*1000,
VALUE(REGEXEXTRACT(O7679,""[0-9]+""))
),
0
)"),0.0)</f>
        <v>0</v>
      </c>
      <c r="E7679" s="1" t="s">
        <v>11</v>
      </c>
      <c r="F7679" s="1" t="s">
        <v>20</v>
      </c>
      <c r="G7679" s="4" t="b">
        <f t="shared" si="2"/>
        <v>1</v>
      </c>
      <c r="H7679" s="1" t="str">
        <f t="shared" si="3"/>
        <v>Currently Unavailable</v>
      </c>
      <c r="I7679" s="1" t="str">
        <f t="shared" si="4"/>
        <v>No Badges</v>
      </c>
      <c r="J7679" s="3">
        <f t="shared" si="5"/>
        <v>0</v>
      </c>
    </row>
    <row r="7680">
      <c r="A7680" s="1" t="s">
        <v>5855</v>
      </c>
      <c r="B7680" s="3" t="str">
        <f t="shared" si="1"/>
        <v>Unavailable</v>
      </c>
      <c r="C7680" s="5">
        <v>12729.0</v>
      </c>
      <c r="D7680" s="3">
        <f>IFERROR(__xludf.DUMMYFUNCTION("IFERROR(
IF(REGEXMATCH(LOWER(O7680),""k""),
VALUE(REGEXEXTRACT(O7680,""[0-9]+""))*1000,
VALUE(REGEXEXTRACT(O7680,""[0-9]+""))
),
0
)"),0.0)</f>
        <v>0</v>
      </c>
      <c r="E7680" s="1" t="s">
        <v>11</v>
      </c>
      <c r="F7680" s="1" t="s">
        <v>20</v>
      </c>
      <c r="G7680" s="4" t="b">
        <f t="shared" si="2"/>
        <v>1</v>
      </c>
      <c r="H7680" s="1" t="str">
        <f t="shared" si="3"/>
        <v>Currently Unavailable</v>
      </c>
      <c r="I7680" s="1" t="str">
        <f t="shared" si="4"/>
        <v>No Badges</v>
      </c>
      <c r="J7680" s="3">
        <f t="shared" si="5"/>
        <v>0</v>
      </c>
    </row>
    <row r="7681">
      <c r="A7681" s="1" t="s">
        <v>69</v>
      </c>
      <c r="B7681" s="3" t="str">
        <f t="shared" si="1"/>
        <v>Unavailable</v>
      </c>
      <c r="C7681" s="3">
        <v>45.0</v>
      </c>
      <c r="D7681" s="3">
        <f>IFERROR(__xludf.DUMMYFUNCTION("IFERROR(
IF(REGEXMATCH(LOWER(O7681),""k""),
VALUE(REGEXEXTRACT(O7681,""[0-9]+""))*1000,
VALUE(REGEXEXTRACT(O7681,""[0-9]+""))
),
0
)"),0.0)</f>
        <v>0</v>
      </c>
      <c r="E7681" s="1" t="s">
        <v>11</v>
      </c>
      <c r="F7681" s="1" t="s">
        <v>12</v>
      </c>
      <c r="G7681" s="4" t="b">
        <f t="shared" si="2"/>
        <v>1</v>
      </c>
      <c r="H7681" s="1" t="str">
        <f t="shared" si="3"/>
        <v>Currently Unavailable</v>
      </c>
      <c r="I7681" s="1" t="str">
        <f t="shared" si="4"/>
        <v>No Badges</v>
      </c>
      <c r="J7681" s="3">
        <f t="shared" si="5"/>
        <v>0</v>
      </c>
    </row>
    <row r="7682">
      <c r="A7682" s="1" t="s">
        <v>5856</v>
      </c>
      <c r="B7682" s="3" t="str">
        <f t="shared" si="1"/>
        <v>Unavailable</v>
      </c>
      <c r="C7682" s="3">
        <v>576.0</v>
      </c>
      <c r="D7682" s="3">
        <f>IFERROR(__xludf.DUMMYFUNCTION("IFERROR(
IF(REGEXMATCH(LOWER(O7682),""k""),
VALUE(REGEXEXTRACT(O7682,""[0-9]+""))*1000,
VALUE(REGEXEXTRACT(O7682,""[0-9]+""))
),
0
)"),0.0)</f>
        <v>0</v>
      </c>
      <c r="E7682" s="1" t="s">
        <v>11</v>
      </c>
      <c r="F7682" s="1" t="s">
        <v>20</v>
      </c>
      <c r="G7682" s="4" t="b">
        <f t="shared" si="2"/>
        <v>1</v>
      </c>
      <c r="H7682" s="1" t="str">
        <f t="shared" si="3"/>
        <v>Currently Unavailable</v>
      </c>
      <c r="I7682" s="1" t="str">
        <f t="shared" si="4"/>
        <v>No Badges</v>
      </c>
      <c r="J7682" s="3">
        <f t="shared" si="5"/>
        <v>0</v>
      </c>
    </row>
    <row r="7683">
      <c r="A7683" s="1" t="s">
        <v>5857</v>
      </c>
      <c r="B7683" s="3" t="str">
        <f t="shared" si="1"/>
        <v>Unavailable</v>
      </c>
      <c r="C7683" s="5">
        <v>1349.0</v>
      </c>
      <c r="D7683" s="3">
        <f>IFERROR(__xludf.DUMMYFUNCTION("IFERROR(
IF(REGEXMATCH(LOWER(O7683),""k""),
VALUE(REGEXEXTRACT(O7683,""[0-9]+""))*1000,
VALUE(REGEXEXTRACT(O7683,""[0-9]+""))
),
0
)"),0.0)</f>
        <v>0</v>
      </c>
      <c r="E7683" s="1" t="s">
        <v>11</v>
      </c>
      <c r="F7683" s="1" t="s">
        <v>20</v>
      </c>
      <c r="G7683" s="4" t="b">
        <f t="shared" si="2"/>
        <v>1</v>
      </c>
      <c r="H7683" s="1" t="str">
        <f t="shared" si="3"/>
        <v>Currently Unavailable</v>
      </c>
      <c r="I7683" s="1" t="str">
        <f t="shared" si="4"/>
        <v>No Badges</v>
      </c>
      <c r="J7683" s="3">
        <f t="shared" si="5"/>
        <v>0</v>
      </c>
    </row>
    <row r="7684">
      <c r="A7684" s="1" t="s">
        <v>5817</v>
      </c>
      <c r="B7684" s="3" t="str">
        <f t="shared" si="1"/>
        <v>Unavailable</v>
      </c>
      <c r="C7684" s="5">
        <v>7235.0</v>
      </c>
      <c r="D7684" s="3">
        <f>IFERROR(__xludf.DUMMYFUNCTION("IFERROR(
IF(REGEXMATCH(LOWER(O7684),""k""),
VALUE(REGEXEXTRACT(O7684,""[0-9]+""))*1000,
VALUE(REGEXEXTRACT(O7684,""[0-9]+""))
),
0
)"),0.0)</f>
        <v>0</v>
      </c>
      <c r="E7684" s="1" t="s">
        <v>11</v>
      </c>
      <c r="F7684" s="1" t="s">
        <v>12</v>
      </c>
      <c r="G7684" s="4" t="b">
        <f t="shared" si="2"/>
        <v>1</v>
      </c>
      <c r="H7684" s="1" t="str">
        <f t="shared" si="3"/>
        <v>Currently Unavailable</v>
      </c>
      <c r="I7684" s="1" t="str">
        <f t="shared" si="4"/>
        <v>No Badges</v>
      </c>
      <c r="J7684" s="3">
        <f t="shared" si="5"/>
        <v>0</v>
      </c>
    </row>
    <row r="7685">
      <c r="A7685" s="1" t="s">
        <v>5858</v>
      </c>
      <c r="B7685" s="3" t="str">
        <f t="shared" si="1"/>
        <v>Unavailable</v>
      </c>
      <c r="C7685" s="3">
        <v>97.0</v>
      </c>
      <c r="D7685" s="3">
        <f>IFERROR(__xludf.DUMMYFUNCTION("IFERROR(
IF(REGEXMATCH(LOWER(O7685),""k""),
VALUE(REGEXEXTRACT(O7685,""[0-9]+""))*1000,
VALUE(REGEXEXTRACT(O7685,""[0-9]+""))
),
0
)"),0.0)</f>
        <v>0</v>
      </c>
      <c r="E7685" s="1" t="s">
        <v>11</v>
      </c>
      <c r="F7685" s="1" t="s">
        <v>20</v>
      </c>
      <c r="G7685" s="4" t="b">
        <f t="shared" si="2"/>
        <v>1</v>
      </c>
      <c r="H7685" s="1" t="str">
        <f t="shared" si="3"/>
        <v>Currently Unavailable</v>
      </c>
      <c r="I7685" s="1" t="str">
        <f t="shared" si="4"/>
        <v>No Badges</v>
      </c>
      <c r="J7685" s="3">
        <f t="shared" si="5"/>
        <v>0</v>
      </c>
    </row>
    <row r="7686">
      <c r="A7686" s="1" t="s">
        <v>5859</v>
      </c>
      <c r="B7686" s="3" t="str">
        <f t="shared" si="1"/>
        <v>Unavailable</v>
      </c>
      <c r="C7686" s="3">
        <v>827.0</v>
      </c>
      <c r="D7686" s="3">
        <f>IFERROR(__xludf.DUMMYFUNCTION("IFERROR(
IF(REGEXMATCH(LOWER(O7686),""k""),
VALUE(REGEXEXTRACT(O7686,""[0-9]+""))*1000,
VALUE(REGEXEXTRACT(O7686,""[0-9]+""))
),
0
)"),0.0)</f>
        <v>0</v>
      </c>
      <c r="E7686" s="1" t="s">
        <v>11</v>
      </c>
      <c r="F7686" s="1" t="s">
        <v>20</v>
      </c>
      <c r="G7686" s="4" t="b">
        <f t="shared" si="2"/>
        <v>1</v>
      </c>
      <c r="H7686" s="1" t="str">
        <f t="shared" si="3"/>
        <v>Currently Unavailable</v>
      </c>
      <c r="I7686" s="1" t="str">
        <f t="shared" si="4"/>
        <v>No Badges</v>
      </c>
      <c r="J7686" s="3">
        <f t="shared" si="5"/>
        <v>0</v>
      </c>
    </row>
    <row r="7687">
      <c r="A7687" s="1" t="s">
        <v>5817</v>
      </c>
      <c r="B7687" s="3" t="str">
        <f t="shared" si="1"/>
        <v>Unavailable</v>
      </c>
      <c r="C7687" s="5">
        <v>7235.0</v>
      </c>
      <c r="D7687" s="3">
        <f>IFERROR(__xludf.DUMMYFUNCTION("IFERROR(
IF(REGEXMATCH(LOWER(O7687),""k""),
VALUE(REGEXEXTRACT(O7687,""[0-9]+""))*1000,
VALUE(REGEXEXTRACT(O7687,""[0-9]+""))
),
0
)"),0.0)</f>
        <v>0</v>
      </c>
      <c r="E7687" s="1" t="s">
        <v>11</v>
      </c>
      <c r="F7687" s="1" t="s">
        <v>12</v>
      </c>
      <c r="G7687" s="4" t="b">
        <f t="shared" si="2"/>
        <v>1</v>
      </c>
      <c r="H7687" s="1" t="str">
        <f t="shared" si="3"/>
        <v>Currently Unavailable</v>
      </c>
      <c r="I7687" s="1" t="str">
        <f t="shared" si="4"/>
        <v>No Badges</v>
      </c>
      <c r="J7687" s="3">
        <f t="shared" si="5"/>
        <v>0</v>
      </c>
    </row>
    <row r="7688">
      <c r="A7688" s="1" t="s">
        <v>5860</v>
      </c>
      <c r="B7688" s="3" t="str">
        <f t="shared" si="1"/>
        <v>Unavailable</v>
      </c>
      <c r="C7688" s="3">
        <v>986.0</v>
      </c>
      <c r="D7688" s="3">
        <f>IFERROR(__xludf.DUMMYFUNCTION("IFERROR(
IF(REGEXMATCH(LOWER(O7688),""k""),
VALUE(REGEXEXTRACT(O7688,""[0-9]+""))*1000,
VALUE(REGEXEXTRACT(O7688,""[0-9]+""))
),
0
)"),0.0)</f>
        <v>0</v>
      </c>
      <c r="E7688" s="1" t="s">
        <v>11</v>
      </c>
      <c r="F7688" s="1" t="s">
        <v>20</v>
      </c>
      <c r="G7688" s="4" t="b">
        <f t="shared" si="2"/>
        <v>1</v>
      </c>
      <c r="H7688" s="1" t="str">
        <f t="shared" si="3"/>
        <v>Currently Unavailable</v>
      </c>
      <c r="I7688" s="1" t="str">
        <f t="shared" si="4"/>
        <v>No Badges</v>
      </c>
      <c r="J7688" s="3">
        <f t="shared" si="5"/>
        <v>0</v>
      </c>
    </row>
    <row r="7689">
      <c r="A7689" s="1" t="s">
        <v>5861</v>
      </c>
      <c r="B7689" s="3" t="str">
        <f t="shared" si="1"/>
        <v>Unavailable</v>
      </c>
      <c r="C7689" s="3">
        <v>97.0</v>
      </c>
      <c r="D7689" s="3">
        <f>IFERROR(__xludf.DUMMYFUNCTION("IFERROR(
IF(REGEXMATCH(LOWER(O7689),""k""),
VALUE(REGEXEXTRACT(O7689,""[0-9]+""))*1000,
VALUE(REGEXEXTRACT(O7689,""[0-9]+""))
),
0
)"),0.0)</f>
        <v>0</v>
      </c>
      <c r="E7689" s="1" t="s">
        <v>11</v>
      </c>
      <c r="F7689" s="1" t="s">
        <v>20</v>
      </c>
      <c r="G7689" s="4" t="b">
        <f t="shared" si="2"/>
        <v>1</v>
      </c>
      <c r="H7689" s="1" t="str">
        <f t="shared" si="3"/>
        <v>Currently Unavailable</v>
      </c>
      <c r="I7689" s="1" t="str">
        <f t="shared" si="4"/>
        <v>No Badges</v>
      </c>
      <c r="J7689" s="3">
        <f t="shared" si="5"/>
        <v>0</v>
      </c>
    </row>
    <row r="7690">
      <c r="A7690" s="1" t="s">
        <v>5862</v>
      </c>
      <c r="B7690" s="3" t="str">
        <f t="shared" si="1"/>
        <v>Unavailable</v>
      </c>
      <c r="C7690" s="5">
        <v>3410.0</v>
      </c>
      <c r="D7690" s="3">
        <f>IFERROR(__xludf.DUMMYFUNCTION("IFERROR(
IF(REGEXMATCH(LOWER(O7690),""k""),
VALUE(REGEXEXTRACT(O7690,""[0-9]+""))*1000,
VALUE(REGEXEXTRACT(O7690,""[0-9]+""))
),
0
)"),0.0)</f>
        <v>0</v>
      </c>
      <c r="E7690" s="1" t="s">
        <v>11</v>
      </c>
      <c r="F7690" s="1" t="s">
        <v>20</v>
      </c>
      <c r="G7690" s="4" t="b">
        <f t="shared" si="2"/>
        <v>1</v>
      </c>
      <c r="H7690" s="1" t="str">
        <f t="shared" si="3"/>
        <v>Currently Unavailable</v>
      </c>
      <c r="I7690" s="1" t="str">
        <f t="shared" si="4"/>
        <v>No Badges</v>
      </c>
      <c r="J7690" s="3">
        <f t="shared" si="5"/>
        <v>0</v>
      </c>
    </row>
    <row r="7691">
      <c r="A7691" s="1" t="s">
        <v>5863</v>
      </c>
      <c r="B7691" s="3" t="str">
        <f t="shared" si="1"/>
        <v>Unavailable</v>
      </c>
      <c r="C7691" s="3">
        <v>501.0</v>
      </c>
      <c r="D7691" s="3">
        <f>IFERROR(__xludf.DUMMYFUNCTION("IFERROR(
IF(REGEXMATCH(LOWER(O7691),""k""),
VALUE(REGEXEXTRACT(O7691,""[0-9]+""))*1000,
VALUE(REGEXEXTRACT(O7691,""[0-9]+""))
),
0
)"),0.0)</f>
        <v>0</v>
      </c>
      <c r="E7691" s="1" t="s">
        <v>11</v>
      </c>
      <c r="F7691" s="1" t="s">
        <v>20</v>
      </c>
      <c r="G7691" s="4" t="b">
        <f t="shared" si="2"/>
        <v>1</v>
      </c>
      <c r="H7691" s="1" t="str">
        <f t="shared" si="3"/>
        <v>Currently Unavailable</v>
      </c>
      <c r="I7691" s="1" t="str">
        <f t="shared" si="4"/>
        <v>No Badges</v>
      </c>
      <c r="J7691" s="3">
        <f t="shared" si="5"/>
        <v>0</v>
      </c>
    </row>
    <row r="7692">
      <c r="A7692" s="1" t="s">
        <v>5864</v>
      </c>
      <c r="B7692" s="3" t="str">
        <f t="shared" si="1"/>
        <v>Unavailable</v>
      </c>
      <c r="C7692" s="3">
        <v>183.0</v>
      </c>
      <c r="D7692" s="3">
        <f>IFERROR(__xludf.DUMMYFUNCTION("IFERROR(
IF(REGEXMATCH(LOWER(O7692),""k""),
VALUE(REGEXEXTRACT(O7692,""[0-9]+""))*1000,
VALUE(REGEXEXTRACT(O7692,""[0-9]+""))
),
0
)"),0.0)</f>
        <v>0</v>
      </c>
      <c r="E7692" s="1" t="s">
        <v>11</v>
      </c>
      <c r="F7692" s="1" t="s">
        <v>20</v>
      </c>
      <c r="G7692" s="4" t="b">
        <f t="shared" si="2"/>
        <v>1</v>
      </c>
      <c r="H7692" s="1" t="str">
        <f t="shared" si="3"/>
        <v>Currently Unavailable</v>
      </c>
      <c r="I7692" s="1" t="str">
        <f t="shared" si="4"/>
        <v>No Badges</v>
      </c>
      <c r="J7692" s="3">
        <f t="shared" si="5"/>
        <v>0</v>
      </c>
    </row>
    <row r="7693">
      <c r="A7693" s="1" t="s">
        <v>5865</v>
      </c>
      <c r="B7693" s="3" t="str">
        <f t="shared" si="1"/>
        <v>Unavailable</v>
      </c>
      <c r="C7693" s="5">
        <v>1350.0</v>
      </c>
      <c r="D7693" s="3">
        <f>IFERROR(__xludf.DUMMYFUNCTION("IFERROR(
IF(REGEXMATCH(LOWER(O7693),""k""),
VALUE(REGEXEXTRACT(O7693,""[0-9]+""))*1000,
VALUE(REGEXEXTRACT(O7693,""[0-9]+""))
),
0
)"),0.0)</f>
        <v>0</v>
      </c>
      <c r="E7693" s="1" t="s">
        <v>11</v>
      </c>
      <c r="F7693" s="1" t="s">
        <v>20</v>
      </c>
      <c r="G7693" s="4" t="b">
        <f t="shared" si="2"/>
        <v>1</v>
      </c>
      <c r="H7693" s="1" t="str">
        <f t="shared" si="3"/>
        <v>Currently Unavailable</v>
      </c>
      <c r="I7693" s="1" t="str">
        <f t="shared" si="4"/>
        <v>No Badges</v>
      </c>
      <c r="J7693" s="3">
        <f t="shared" si="5"/>
        <v>0</v>
      </c>
    </row>
    <row r="7694">
      <c r="A7694" s="1" t="s">
        <v>67</v>
      </c>
      <c r="B7694" s="3" t="str">
        <f t="shared" si="1"/>
        <v>Unavailable</v>
      </c>
      <c r="C7694" s="3">
        <v>264.0</v>
      </c>
      <c r="D7694" s="3">
        <f>IFERROR(__xludf.DUMMYFUNCTION("IFERROR(
IF(REGEXMATCH(LOWER(O7694),""k""),
VALUE(REGEXEXTRACT(O7694,""[0-9]+""))*1000,
VALUE(REGEXEXTRACT(O7694,""[0-9]+""))
),
0
)"),0.0)</f>
        <v>0</v>
      </c>
      <c r="E7694" s="1" t="s">
        <v>11</v>
      </c>
      <c r="F7694" s="1" t="s">
        <v>12</v>
      </c>
      <c r="G7694" s="4" t="b">
        <f t="shared" si="2"/>
        <v>1</v>
      </c>
      <c r="H7694" s="1" t="str">
        <f t="shared" si="3"/>
        <v>Currently Unavailable</v>
      </c>
      <c r="I7694" s="1" t="str">
        <f t="shared" si="4"/>
        <v>No Badges</v>
      </c>
      <c r="J7694" s="3">
        <f t="shared" si="5"/>
        <v>0</v>
      </c>
    </row>
    <row r="7695">
      <c r="A7695" s="1" t="s">
        <v>5866</v>
      </c>
      <c r="B7695" s="3" t="str">
        <f t="shared" si="1"/>
        <v>Unavailable</v>
      </c>
      <c r="C7695" s="3">
        <v>382.0</v>
      </c>
      <c r="D7695" s="3">
        <f>IFERROR(__xludf.DUMMYFUNCTION("IFERROR(
IF(REGEXMATCH(LOWER(O7695),""k""),
VALUE(REGEXEXTRACT(O7695,""[0-9]+""))*1000,
VALUE(REGEXEXTRACT(O7695,""[0-9]+""))
),
0
)"),0.0)</f>
        <v>0</v>
      </c>
      <c r="E7695" s="1" t="s">
        <v>11</v>
      </c>
      <c r="F7695" s="1" t="s">
        <v>20</v>
      </c>
      <c r="G7695" s="4" t="b">
        <f t="shared" si="2"/>
        <v>1</v>
      </c>
      <c r="H7695" s="1" t="str">
        <f t="shared" si="3"/>
        <v>Currently Unavailable</v>
      </c>
      <c r="I7695" s="1" t="str">
        <f t="shared" si="4"/>
        <v>No Badges</v>
      </c>
      <c r="J7695" s="3">
        <f t="shared" si="5"/>
        <v>0</v>
      </c>
    </row>
    <row r="7696">
      <c r="A7696" s="1" t="s">
        <v>5867</v>
      </c>
      <c r="B7696" s="3" t="str">
        <f t="shared" si="1"/>
        <v>Unavailable</v>
      </c>
      <c r="C7696" s="3">
        <v>134.0</v>
      </c>
      <c r="D7696" s="3">
        <f>IFERROR(__xludf.DUMMYFUNCTION("IFERROR(
IF(REGEXMATCH(LOWER(O7696),""k""),
VALUE(REGEXEXTRACT(O7696,""[0-9]+""))*1000,
VALUE(REGEXEXTRACT(O7696,""[0-9]+""))
),
0
)"),0.0)</f>
        <v>0</v>
      </c>
      <c r="E7696" s="1" t="s">
        <v>18</v>
      </c>
      <c r="F7696" s="1" t="s">
        <v>20</v>
      </c>
      <c r="G7696" s="4" t="b">
        <f t="shared" si="2"/>
        <v>1</v>
      </c>
      <c r="H7696" s="1" t="str">
        <f t="shared" si="3"/>
        <v>Currently Unavailable</v>
      </c>
      <c r="I7696" s="1" t="str">
        <f t="shared" si="4"/>
        <v>No Badges</v>
      </c>
      <c r="J7696" s="3">
        <f t="shared" si="5"/>
        <v>0</v>
      </c>
    </row>
    <row r="7697">
      <c r="A7697" s="1" t="s">
        <v>5817</v>
      </c>
      <c r="B7697" s="3" t="str">
        <f t="shared" si="1"/>
        <v>Unavailable</v>
      </c>
      <c r="C7697" s="5">
        <v>7235.0</v>
      </c>
      <c r="D7697" s="3">
        <f>IFERROR(__xludf.DUMMYFUNCTION("IFERROR(
IF(REGEXMATCH(LOWER(O7697),""k""),
VALUE(REGEXEXTRACT(O7697,""[0-9]+""))*1000,
VALUE(REGEXEXTRACT(O7697,""[0-9]+""))
),
0
)"),0.0)</f>
        <v>0</v>
      </c>
      <c r="E7697" s="1" t="s">
        <v>11</v>
      </c>
      <c r="F7697" s="1" t="s">
        <v>12</v>
      </c>
      <c r="G7697" s="4" t="b">
        <f t="shared" si="2"/>
        <v>1</v>
      </c>
      <c r="H7697" s="1" t="str">
        <f t="shared" si="3"/>
        <v>Currently Unavailable</v>
      </c>
      <c r="I7697" s="1" t="str">
        <f t="shared" si="4"/>
        <v>No Badges</v>
      </c>
      <c r="J7697" s="3">
        <f t="shared" si="5"/>
        <v>0</v>
      </c>
    </row>
    <row r="7698">
      <c r="A7698" s="1" t="s">
        <v>5868</v>
      </c>
      <c r="B7698" s="3" t="str">
        <f t="shared" si="1"/>
        <v>Unavailable</v>
      </c>
      <c r="C7698" s="3">
        <v>359.0</v>
      </c>
      <c r="D7698" s="3">
        <f>IFERROR(__xludf.DUMMYFUNCTION("IFERROR(
IF(REGEXMATCH(LOWER(O7698),""k""),
VALUE(REGEXEXTRACT(O7698,""[0-9]+""))*1000,
VALUE(REGEXEXTRACT(O7698,""[0-9]+""))
),
0
)"),0.0)</f>
        <v>0</v>
      </c>
      <c r="E7698" s="1" t="s">
        <v>11</v>
      </c>
      <c r="F7698" s="1" t="s">
        <v>20</v>
      </c>
      <c r="G7698" s="4" t="b">
        <f t="shared" si="2"/>
        <v>1</v>
      </c>
      <c r="H7698" s="1" t="str">
        <f t="shared" si="3"/>
        <v>Currently Unavailable</v>
      </c>
      <c r="I7698" s="1" t="str">
        <f t="shared" si="4"/>
        <v>No Badges</v>
      </c>
      <c r="J7698" s="3">
        <f t="shared" si="5"/>
        <v>0</v>
      </c>
    </row>
    <row r="7699">
      <c r="A7699" s="1" t="s">
        <v>5869</v>
      </c>
      <c r="B7699" s="3" t="str">
        <f t="shared" si="1"/>
        <v>Unavailable</v>
      </c>
      <c r="C7699" s="5">
        <v>1275.0</v>
      </c>
      <c r="D7699" s="3">
        <f>IFERROR(__xludf.DUMMYFUNCTION("IFERROR(
IF(REGEXMATCH(LOWER(O7699),""k""),
VALUE(REGEXEXTRACT(O7699,""[0-9]+""))*1000,
VALUE(REGEXEXTRACT(O7699,""[0-9]+""))
),
0
)"),0.0)</f>
        <v>0</v>
      </c>
      <c r="E7699" s="1" t="s">
        <v>11</v>
      </c>
      <c r="F7699" s="1" t="s">
        <v>20</v>
      </c>
      <c r="G7699" s="4" t="b">
        <f t="shared" si="2"/>
        <v>1</v>
      </c>
      <c r="H7699" s="1" t="str">
        <f t="shared" si="3"/>
        <v>Currently Unavailable</v>
      </c>
      <c r="I7699" s="1" t="str">
        <f t="shared" si="4"/>
        <v>No Badges</v>
      </c>
      <c r="J7699" s="3">
        <f t="shared" si="5"/>
        <v>0</v>
      </c>
    </row>
    <row r="7700">
      <c r="A7700" s="1" t="s">
        <v>5870</v>
      </c>
      <c r="B7700" s="3" t="str">
        <f t="shared" si="1"/>
        <v>Unavailable</v>
      </c>
      <c r="C7700" s="3">
        <v>136.0</v>
      </c>
      <c r="D7700" s="3">
        <f>IFERROR(__xludf.DUMMYFUNCTION("IFERROR(
IF(REGEXMATCH(LOWER(O7700),""k""),
VALUE(REGEXEXTRACT(O7700,""[0-9]+""))*1000,
VALUE(REGEXEXTRACT(O7700,""[0-9]+""))
),
0
)"),0.0)</f>
        <v>0</v>
      </c>
      <c r="E7700" s="1" t="s">
        <v>11</v>
      </c>
      <c r="F7700" s="1" t="s">
        <v>20</v>
      </c>
      <c r="G7700" s="4" t="b">
        <f t="shared" si="2"/>
        <v>1</v>
      </c>
      <c r="H7700" s="1" t="str">
        <f t="shared" si="3"/>
        <v>Currently Unavailable</v>
      </c>
      <c r="I7700" s="1" t="str">
        <f t="shared" si="4"/>
        <v>No Badges</v>
      </c>
      <c r="J7700" s="3">
        <f t="shared" si="5"/>
        <v>0</v>
      </c>
    </row>
    <row r="7701">
      <c r="A7701" s="1" t="s">
        <v>5871</v>
      </c>
      <c r="B7701" s="3" t="str">
        <f t="shared" si="1"/>
        <v>Unavailable</v>
      </c>
      <c r="C7701" s="3">
        <v>344.0</v>
      </c>
      <c r="D7701" s="3">
        <f>IFERROR(__xludf.DUMMYFUNCTION("IFERROR(
IF(REGEXMATCH(LOWER(O7701),""k""),
VALUE(REGEXEXTRACT(O7701,""[0-9]+""))*1000,
VALUE(REGEXEXTRACT(O7701,""[0-9]+""))
),
0
)"),0.0)</f>
        <v>0</v>
      </c>
      <c r="E7701" s="1" t="s">
        <v>11</v>
      </c>
      <c r="F7701" s="1" t="s">
        <v>20</v>
      </c>
      <c r="G7701" s="4" t="b">
        <f t="shared" si="2"/>
        <v>1</v>
      </c>
      <c r="H7701" s="1" t="str">
        <f t="shared" si="3"/>
        <v>Currently Unavailable</v>
      </c>
      <c r="I7701" s="1" t="str">
        <f t="shared" si="4"/>
        <v>No Badges</v>
      </c>
      <c r="J7701" s="3">
        <f t="shared" si="5"/>
        <v>0</v>
      </c>
    </row>
    <row r="7702">
      <c r="A7702" s="1" t="s">
        <v>5872</v>
      </c>
      <c r="B7702" s="3" t="str">
        <f t="shared" si="1"/>
        <v>Unavailable</v>
      </c>
      <c r="C7702" s="5">
        <v>5955.0</v>
      </c>
      <c r="D7702" s="3">
        <f>IFERROR(__xludf.DUMMYFUNCTION("IFERROR(
IF(REGEXMATCH(LOWER(O7702),""k""),
VALUE(REGEXEXTRACT(O7702,""[0-9]+""))*1000,
VALUE(REGEXEXTRACT(O7702,""[0-9]+""))
),
0
)"),0.0)</f>
        <v>0</v>
      </c>
      <c r="E7702" s="1" t="s">
        <v>11</v>
      </c>
      <c r="F7702" s="1" t="s">
        <v>20</v>
      </c>
      <c r="G7702" s="4" t="b">
        <f t="shared" si="2"/>
        <v>1</v>
      </c>
      <c r="H7702" s="1" t="str">
        <f t="shared" si="3"/>
        <v>Currently Unavailable</v>
      </c>
      <c r="I7702" s="1" t="str">
        <f t="shared" si="4"/>
        <v>No Badges</v>
      </c>
      <c r="J7702" s="3">
        <f t="shared" si="5"/>
        <v>0</v>
      </c>
    </row>
    <row r="7703">
      <c r="A7703" s="1" t="s">
        <v>5873</v>
      </c>
      <c r="B7703" s="3" t="str">
        <f t="shared" si="1"/>
        <v>Unavailable</v>
      </c>
      <c r="C7703" s="5">
        <v>3259.0</v>
      </c>
      <c r="D7703" s="3">
        <f>IFERROR(__xludf.DUMMYFUNCTION("IFERROR(
IF(REGEXMATCH(LOWER(O7703),""k""),
VALUE(REGEXEXTRACT(O7703,""[0-9]+""))*1000,
VALUE(REGEXEXTRACT(O7703,""[0-9]+""))
),
0
)"),0.0)</f>
        <v>0</v>
      </c>
      <c r="E7703" s="1" t="s">
        <v>11</v>
      </c>
      <c r="F7703" s="1" t="s">
        <v>20</v>
      </c>
      <c r="G7703" s="4" t="b">
        <f t="shared" si="2"/>
        <v>1</v>
      </c>
      <c r="H7703" s="1" t="str">
        <f t="shared" si="3"/>
        <v>Currently Unavailable</v>
      </c>
      <c r="I7703" s="1" t="str">
        <f t="shared" si="4"/>
        <v>No Badges</v>
      </c>
      <c r="J7703" s="3">
        <f t="shared" si="5"/>
        <v>0</v>
      </c>
    </row>
    <row r="7704">
      <c r="A7704" s="1" t="s">
        <v>5874</v>
      </c>
      <c r="B7704" s="3" t="str">
        <f t="shared" si="1"/>
        <v>Unavailable</v>
      </c>
      <c r="C7704" s="3">
        <v>213.0</v>
      </c>
      <c r="D7704" s="3">
        <f>IFERROR(__xludf.DUMMYFUNCTION("IFERROR(
IF(REGEXMATCH(LOWER(O7704),""k""),
VALUE(REGEXEXTRACT(O7704,""[0-9]+""))*1000,
VALUE(REGEXEXTRACT(O7704,""[0-9]+""))
),
0
)"),0.0)</f>
        <v>0</v>
      </c>
      <c r="E7704" s="1" t="s">
        <v>158</v>
      </c>
      <c r="F7704" s="1" t="s">
        <v>20</v>
      </c>
      <c r="G7704" s="4" t="b">
        <f t="shared" si="2"/>
        <v>1</v>
      </c>
      <c r="H7704" s="1" t="str">
        <f t="shared" si="3"/>
        <v>Currently Unavailable</v>
      </c>
      <c r="I7704" s="1" t="str">
        <f t="shared" si="4"/>
        <v>No Badges</v>
      </c>
      <c r="J7704" s="3">
        <f t="shared" si="5"/>
        <v>0</v>
      </c>
    </row>
    <row r="7705">
      <c r="A7705" s="1" t="s">
        <v>5817</v>
      </c>
      <c r="B7705" s="3" t="str">
        <f t="shared" si="1"/>
        <v>Unavailable</v>
      </c>
      <c r="C7705" s="5">
        <v>7235.0</v>
      </c>
      <c r="D7705" s="3">
        <f>IFERROR(__xludf.DUMMYFUNCTION("IFERROR(
IF(REGEXMATCH(LOWER(O7705),""k""),
VALUE(REGEXEXTRACT(O7705,""[0-9]+""))*1000,
VALUE(REGEXEXTRACT(O7705,""[0-9]+""))
),
0
)"),0.0)</f>
        <v>0</v>
      </c>
      <c r="E7705" s="1" t="s">
        <v>11</v>
      </c>
      <c r="F7705" s="1" t="s">
        <v>12</v>
      </c>
      <c r="G7705" s="4" t="b">
        <f t="shared" si="2"/>
        <v>1</v>
      </c>
      <c r="H7705" s="1" t="str">
        <f t="shared" si="3"/>
        <v>Currently Unavailable</v>
      </c>
      <c r="I7705" s="1" t="str">
        <f t="shared" si="4"/>
        <v>No Badges</v>
      </c>
      <c r="J7705" s="3">
        <f t="shared" si="5"/>
        <v>0</v>
      </c>
    </row>
    <row r="7706">
      <c r="A7706" s="1" t="s">
        <v>5875</v>
      </c>
      <c r="B7706" s="3" t="str">
        <f t="shared" si="1"/>
        <v>Unavailable</v>
      </c>
      <c r="C7706" s="3">
        <v>376.0</v>
      </c>
      <c r="D7706" s="3">
        <f>IFERROR(__xludf.DUMMYFUNCTION("IFERROR(
IF(REGEXMATCH(LOWER(O7706),""k""),
VALUE(REGEXEXTRACT(O7706,""[0-9]+""))*1000,
VALUE(REGEXEXTRACT(O7706,""[0-9]+""))
),
0
)"),0.0)</f>
        <v>0</v>
      </c>
      <c r="E7706" s="1" t="s">
        <v>11</v>
      </c>
      <c r="F7706" s="1" t="s">
        <v>20</v>
      </c>
      <c r="G7706" s="4" t="b">
        <f t="shared" si="2"/>
        <v>1</v>
      </c>
      <c r="H7706" s="1" t="str">
        <f t="shared" si="3"/>
        <v>Currently Unavailable</v>
      </c>
      <c r="I7706" s="1" t="str">
        <f t="shared" si="4"/>
        <v>No Badges</v>
      </c>
      <c r="J7706" s="3">
        <f t="shared" si="5"/>
        <v>0</v>
      </c>
    </row>
    <row r="7707">
      <c r="A7707" s="1" t="s">
        <v>5876</v>
      </c>
      <c r="B7707" s="3" t="str">
        <f t="shared" si="1"/>
        <v>Unavailable</v>
      </c>
      <c r="C7707" s="5">
        <v>2095.0</v>
      </c>
      <c r="D7707" s="3">
        <f>IFERROR(__xludf.DUMMYFUNCTION("IFERROR(
IF(REGEXMATCH(LOWER(O7707),""k""),
VALUE(REGEXEXTRACT(O7707,""[0-9]+""))*1000,
VALUE(REGEXEXTRACT(O7707,""[0-9]+""))
),
0
)"),0.0)</f>
        <v>0</v>
      </c>
      <c r="E7707" s="1" t="s">
        <v>11</v>
      </c>
      <c r="F7707" s="1" t="s">
        <v>20</v>
      </c>
      <c r="G7707" s="4" t="b">
        <f t="shared" si="2"/>
        <v>1</v>
      </c>
      <c r="H7707" s="1" t="str">
        <f t="shared" si="3"/>
        <v>Currently Unavailable</v>
      </c>
      <c r="I7707" s="1" t="str">
        <f t="shared" si="4"/>
        <v>No Badges</v>
      </c>
      <c r="J7707" s="3">
        <f t="shared" si="5"/>
        <v>0</v>
      </c>
    </row>
    <row r="7708">
      <c r="A7708" s="1" t="s">
        <v>5877</v>
      </c>
      <c r="B7708" s="3" t="str">
        <f t="shared" si="1"/>
        <v>Unavailable</v>
      </c>
      <c r="C7708" s="3">
        <v>15.0</v>
      </c>
      <c r="D7708" s="3">
        <f>IFERROR(__xludf.DUMMYFUNCTION("IFERROR(
IF(REGEXMATCH(LOWER(O7708),""k""),
VALUE(REGEXEXTRACT(O7708,""[0-9]+""))*1000,
VALUE(REGEXEXTRACT(O7708,""[0-9]+""))
),
0
)"),0.0)</f>
        <v>0</v>
      </c>
      <c r="E7708" s="1" t="s">
        <v>11</v>
      </c>
      <c r="F7708" s="1" t="s">
        <v>20</v>
      </c>
      <c r="G7708" s="4" t="b">
        <f t="shared" si="2"/>
        <v>1</v>
      </c>
      <c r="H7708" s="1" t="str">
        <f t="shared" si="3"/>
        <v>Currently Unavailable</v>
      </c>
      <c r="I7708" s="1" t="str">
        <f t="shared" si="4"/>
        <v>No Badges</v>
      </c>
      <c r="J7708" s="3">
        <f t="shared" si="5"/>
        <v>0</v>
      </c>
    </row>
    <row r="7709">
      <c r="A7709" s="1" t="s">
        <v>88</v>
      </c>
      <c r="B7709" s="3" t="str">
        <f t="shared" si="1"/>
        <v>Unavailable</v>
      </c>
      <c r="C7709" s="3">
        <v>5.0</v>
      </c>
      <c r="D7709" s="3">
        <f>IFERROR(__xludf.DUMMYFUNCTION("IFERROR(
IF(REGEXMATCH(LOWER(O7709),""k""),
VALUE(REGEXEXTRACT(O7709,""[0-9]+""))*1000,
VALUE(REGEXEXTRACT(O7709,""[0-9]+""))
),
0
)"),0.0)</f>
        <v>0</v>
      </c>
      <c r="E7709" s="1" t="s">
        <v>11</v>
      </c>
      <c r="F7709" s="1" t="s">
        <v>12</v>
      </c>
      <c r="G7709" s="4" t="b">
        <f t="shared" si="2"/>
        <v>1</v>
      </c>
      <c r="H7709" s="1" t="str">
        <f t="shared" si="3"/>
        <v>Currently Unavailable</v>
      </c>
      <c r="I7709" s="1" t="str">
        <f t="shared" si="4"/>
        <v>No Badges</v>
      </c>
      <c r="J7709" s="3">
        <f t="shared" si="5"/>
        <v>0</v>
      </c>
    </row>
    <row r="7710">
      <c r="A7710" s="1" t="s">
        <v>701</v>
      </c>
      <c r="B7710" s="3" t="str">
        <f t="shared" si="1"/>
        <v>Unavailable</v>
      </c>
      <c r="C7710" s="3">
        <v>8.0</v>
      </c>
      <c r="D7710" s="3">
        <f>IFERROR(__xludf.DUMMYFUNCTION("IFERROR(
IF(REGEXMATCH(LOWER(O7710),""k""),
VALUE(REGEXEXTRACT(O7710,""[0-9]+""))*1000,
VALUE(REGEXEXTRACT(O7710,""[0-9]+""))
),
0
)"),0.0)</f>
        <v>0</v>
      </c>
      <c r="E7710" s="1" t="s">
        <v>11</v>
      </c>
      <c r="F7710" s="1" t="s">
        <v>12</v>
      </c>
      <c r="G7710" s="4" t="b">
        <f t="shared" si="2"/>
        <v>1</v>
      </c>
      <c r="H7710" s="1" t="str">
        <f t="shared" si="3"/>
        <v>Currently Unavailable</v>
      </c>
      <c r="I7710" s="1" t="str">
        <f t="shared" si="4"/>
        <v>No Badges</v>
      </c>
      <c r="J7710" s="3">
        <f t="shared" si="5"/>
        <v>0</v>
      </c>
    </row>
    <row r="7711">
      <c r="A7711" s="1" t="s">
        <v>5817</v>
      </c>
      <c r="B7711" s="3" t="str">
        <f t="shared" si="1"/>
        <v>Unavailable</v>
      </c>
      <c r="C7711" s="5">
        <v>7235.0</v>
      </c>
      <c r="D7711" s="3">
        <f>IFERROR(__xludf.DUMMYFUNCTION("IFERROR(
IF(REGEXMATCH(LOWER(O7711),""k""),
VALUE(REGEXEXTRACT(O7711,""[0-9]+""))*1000,
VALUE(REGEXEXTRACT(O7711,""[0-9]+""))
),
0
)"),0.0)</f>
        <v>0</v>
      </c>
      <c r="E7711" s="1" t="s">
        <v>11</v>
      </c>
      <c r="F7711" s="1" t="s">
        <v>12</v>
      </c>
      <c r="G7711" s="4" t="b">
        <f t="shared" si="2"/>
        <v>1</v>
      </c>
      <c r="H7711" s="1" t="str">
        <f t="shared" si="3"/>
        <v>Currently Unavailable</v>
      </c>
      <c r="I7711" s="1" t="str">
        <f t="shared" si="4"/>
        <v>No Badges</v>
      </c>
      <c r="J7711" s="3">
        <f t="shared" si="5"/>
        <v>0</v>
      </c>
    </row>
    <row r="7712">
      <c r="A7712" s="1" t="s">
        <v>5878</v>
      </c>
      <c r="B7712" s="3" t="str">
        <f t="shared" si="1"/>
        <v>Unavailable</v>
      </c>
      <c r="C7712" s="5">
        <v>1840.0</v>
      </c>
      <c r="D7712" s="3">
        <f>IFERROR(__xludf.DUMMYFUNCTION("IFERROR(
IF(REGEXMATCH(LOWER(O7712),""k""),
VALUE(REGEXEXTRACT(O7712,""[0-9]+""))*1000,
VALUE(REGEXEXTRACT(O7712,""[0-9]+""))
),
0
)"),0.0)</f>
        <v>0</v>
      </c>
      <c r="E7712" s="1" t="s">
        <v>11</v>
      </c>
      <c r="F7712" s="1" t="s">
        <v>20</v>
      </c>
      <c r="G7712" s="4" t="b">
        <f t="shared" si="2"/>
        <v>1</v>
      </c>
      <c r="H7712" s="1" t="str">
        <f t="shared" si="3"/>
        <v>Currently Unavailable</v>
      </c>
      <c r="I7712" s="1" t="str">
        <f t="shared" si="4"/>
        <v>No Badges</v>
      </c>
      <c r="J7712" s="3">
        <f t="shared" si="5"/>
        <v>0</v>
      </c>
    </row>
    <row r="7713">
      <c r="A7713" s="1" t="s">
        <v>5879</v>
      </c>
      <c r="B7713" s="3" t="str">
        <f t="shared" si="1"/>
        <v>Unavailable</v>
      </c>
      <c r="C7713" s="3">
        <v>618.0</v>
      </c>
      <c r="D7713" s="3">
        <f>IFERROR(__xludf.DUMMYFUNCTION("IFERROR(
IF(REGEXMATCH(LOWER(O7713),""k""),
VALUE(REGEXEXTRACT(O7713,""[0-9]+""))*1000,
VALUE(REGEXEXTRACT(O7713,""[0-9]+""))
),
0
)"),0.0)</f>
        <v>0</v>
      </c>
      <c r="E7713" s="1" t="s">
        <v>11</v>
      </c>
      <c r="F7713" s="1" t="s">
        <v>20</v>
      </c>
      <c r="G7713" s="4" t="b">
        <f t="shared" si="2"/>
        <v>1</v>
      </c>
      <c r="H7713" s="1" t="str">
        <f t="shared" si="3"/>
        <v>Currently Unavailable</v>
      </c>
      <c r="I7713" s="1" t="str">
        <f t="shared" si="4"/>
        <v>No Badges</v>
      </c>
      <c r="J7713" s="3">
        <f t="shared" si="5"/>
        <v>0</v>
      </c>
    </row>
    <row r="7714">
      <c r="A7714" s="1" t="s">
        <v>69</v>
      </c>
      <c r="B7714" s="3" t="str">
        <f t="shared" si="1"/>
        <v>Unavailable</v>
      </c>
      <c r="C7714" s="3">
        <v>45.0</v>
      </c>
      <c r="D7714" s="3">
        <f>IFERROR(__xludf.DUMMYFUNCTION("IFERROR(
IF(REGEXMATCH(LOWER(O7714),""k""),
VALUE(REGEXEXTRACT(O7714,""[0-9]+""))*1000,
VALUE(REGEXEXTRACT(O7714,""[0-9]+""))
),
0
)"),0.0)</f>
        <v>0</v>
      </c>
      <c r="E7714" s="1" t="s">
        <v>11</v>
      </c>
      <c r="F7714" s="1" t="s">
        <v>12</v>
      </c>
      <c r="G7714" s="4" t="b">
        <f t="shared" si="2"/>
        <v>1</v>
      </c>
      <c r="H7714" s="1" t="str">
        <f t="shared" si="3"/>
        <v>Currently Unavailable</v>
      </c>
      <c r="I7714" s="1" t="str">
        <f t="shared" si="4"/>
        <v>No Badges</v>
      </c>
      <c r="J7714" s="3">
        <f t="shared" si="5"/>
        <v>0</v>
      </c>
    </row>
    <row r="7715">
      <c r="A7715" s="1" t="s">
        <v>5880</v>
      </c>
      <c r="B7715" s="3" t="str">
        <f t="shared" si="1"/>
        <v>Unavailable</v>
      </c>
      <c r="C7715" s="3">
        <v>747.0</v>
      </c>
      <c r="D7715" s="3">
        <f>IFERROR(__xludf.DUMMYFUNCTION("IFERROR(
IF(REGEXMATCH(LOWER(O7715),""k""),
VALUE(REGEXEXTRACT(O7715,""[0-9]+""))*1000,
VALUE(REGEXEXTRACT(O7715,""[0-9]+""))
),
0
)"),0.0)</f>
        <v>0</v>
      </c>
      <c r="E7715" s="1" t="s">
        <v>11</v>
      </c>
      <c r="F7715" s="1" t="s">
        <v>20</v>
      </c>
      <c r="G7715" s="4" t="b">
        <f t="shared" si="2"/>
        <v>1</v>
      </c>
      <c r="H7715" s="1" t="str">
        <f t="shared" si="3"/>
        <v>Currently Unavailable</v>
      </c>
      <c r="I7715" s="1" t="str">
        <f t="shared" si="4"/>
        <v>No Badges</v>
      </c>
      <c r="J7715" s="3">
        <f t="shared" si="5"/>
        <v>0</v>
      </c>
    </row>
    <row r="7716">
      <c r="A7716" s="1" t="s">
        <v>5881</v>
      </c>
      <c r="B7716" s="3" t="str">
        <f t="shared" si="1"/>
        <v>Unavailable</v>
      </c>
      <c r="C7716" s="5">
        <v>26348.0</v>
      </c>
      <c r="D7716" s="3">
        <f>IFERROR(__xludf.DUMMYFUNCTION("IFERROR(
IF(REGEXMATCH(LOWER(O7716),""k""),
VALUE(REGEXEXTRACT(O7716,""[0-9]+""))*1000,
VALUE(REGEXEXTRACT(O7716,""[0-9]+""))
),
0
)"),0.0)</f>
        <v>0</v>
      </c>
      <c r="E7716" s="1" t="s">
        <v>11</v>
      </c>
      <c r="F7716" s="1" t="s">
        <v>20</v>
      </c>
      <c r="G7716" s="4" t="b">
        <f t="shared" si="2"/>
        <v>1</v>
      </c>
      <c r="H7716" s="1" t="str">
        <f t="shared" si="3"/>
        <v>Currently Unavailable</v>
      </c>
      <c r="I7716" s="1" t="str">
        <f t="shared" si="4"/>
        <v>No Badges</v>
      </c>
      <c r="J7716" s="3">
        <f t="shared" si="5"/>
        <v>0</v>
      </c>
    </row>
    <row r="7717">
      <c r="A7717" s="1" t="s">
        <v>5882</v>
      </c>
      <c r="B7717" s="3" t="str">
        <f t="shared" si="1"/>
        <v>Unavailable</v>
      </c>
      <c r="C7717" s="3">
        <v>975.0</v>
      </c>
      <c r="D7717" s="3">
        <f>IFERROR(__xludf.DUMMYFUNCTION("IFERROR(
IF(REGEXMATCH(LOWER(O7717),""k""),
VALUE(REGEXEXTRACT(O7717,""[0-9]+""))*1000,
VALUE(REGEXEXTRACT(O7717,""[0-9]+""))
),
0
)"),0.0)</f>
        <v>0</v>
      </c>
      <c r="E7717" s="1" t="s">
        <v>11</v>
      </c>
      <c r="F7717" s="1" t="s">
        <v>20</v>
      </c>
      <c r="G7717" s="4" t="b">
        <f t="shared" si="2"/>
        <v>1</v>
      </c>
      <c r="H7717" s="1" t="str">
        <f t="shared" si="3"/>
        <v>Currently Unavailable</v>
      </c>
      <c r="I7717" s="1" t="str">
        <f t="shared" si="4"/>
        <v>No Badges</v>
      </c>
      <c r="J7717" s="3">
        <f t="shared" si="5"/>
        <v>0</v>
      </c>
    </row>
    <row r="7718">
      <c r="A7718" s="1" t="s">
        <v>5883</v>
      </c>
      <c r="B7718" s="3" t="str">
        <f t="shared" si="1"/>
        <v>Unavailable</v>
      </c>
      <c r="C7718" s="3">
        <v>22.0</v>
      </c>
      <c r="D7718" s="3">
        <f>IFERROR(__xludf.DUMMYFUNCTION("IFERROR(
IF(REGEXMATCH(LOWER(O7718),""k""),
VALUE(REGEXEXTRACT(O7718,""[0-9]+""))*1000,
VALUE(REGEXEXTRACT(O7718,""[0-9]+""))
),
0
)"),0.0)</f>
        <v>0</v>
      </c>
      <c r="E7718" s="1" t="s">
        <v>11</v>
      </c>
      <c r="F7718" s="1" t="s">
        <v>20</v>
      </c>
      <c r="G7718" s="4" t="b">
        <f t="shared" si="2"/>
        <v>1</v>
      </c>
      <c r="H7718" s="1" t="str">
        <f t="shared" si="3"/>
        <v>Currently Unavailable</v>
      </c>
      <c r="I7718" s="1" t="str">
        <f t="shared" si="4"/>
        <v>No Badges</v>
      </c>
      <c r="J7718" s="3">
        <f t="shared" si="5"/>
        <v>0</v>
      </c>
    </row>
    <row r="7719">
      <c r="A7719" s="1" t="s">
        <v>5884</v>
      </c>
      <c r="B7719" s="3" t="str">
        <f t="shared" si="1"/>
        <v>Unavailable</v>
      </c>
      <c r="C7719" s="3">
        <v>390.0</v>
      </c>
      <c r="D7719" s="3">
        <f>IFERROR(__xludf.DUMMYFUNCTION("IFERROR(
IF(REGEXMATCH(LOWER(O7719),""k""),
VALUE(REGEXEXTRACT(O7719,""[0-9]+""))*1000,
VALUE(REGEXEXTRACT(O7719,""[0-9]+""))
),
0
)"),0.0)</f>
        <v>0</v>
      </c>
      <c r="E7719" s="1" t="s">
        <v>11</v>
      </c>
      <c r="F7719" s="1" t="s">
        <v>20</v>
      </c>
      <c r="G7719" s="4" t="b">
        <f t="shared" si="2"/>
        <v>1</v>
      </c>
      <c r="H7719" s="1" t="str">
        <f t="shared" si="3"/>
        <v>Currently Unavailable</v>
      </c>
      <c r="I7719" s="1" t="str">
        <f t="shared" si="4"/>
        <v>No Badges</v>
      </c>
      <c r="J7719" s="3">
        <f t="shared" si="5"/>
        <v>0</v>
      </c>
    </row>
    <row r="7720">
      <c r="A7720" s="1" t="s">
        <v>5885</v>
      </c>
      <c r="B7720" s="3" t="str">
        <f t="shared" si="1"/>
        <v>Unavailable</v>
      </c>
      <c r="C7720" s="3">
        <v>521.0</v>
      </c>
      <c r="D7720" s="3">
        <f>IFERROR(__xludf.DUMMYFUNCTION("IFERROR(
IF(REGEXMATCH(LOWER(O7720),""k""),
VALUE(REGEXEXTRACT(O7720,""[0-9]+""))*1000,
VALUE(REGEXEXTRACT(O7720,""[0-9]+""))
),
0
)"),0.0)</f>
        <v>0</v>
      </c>
      <c r="E7720" s="1" t="s">
        <v>11</v>
      </c>
      <c r="F7720" s="1" t="s">
        <v>20</v>
      </c>
      <c r="G7720" s="4" t="b">
        <f t="shared" si="2"/>
        <v>1</v>
      </c>
      <c r="H7720" s="1" t="str">
        <f t="shared" si="3"/>
        <v>Currently Unavailable</v>
      </c>
      <c r="I7720" s="1" t="str">
        <f t="shared" si="4"/>
        <v>No Badges</v>
      </c>
      <c r="J7720" s="3">
        <f t="shared" si="5"/>
        <v>0</v>
      </c>
    </row>
    <row r="7721">
      <c r="A7721" s="1" t="s">
        <v>5886</v>
      </c>
      <c r="B7721" s="3" t="str">
        <f t="shared" si="1"/>
        <v>Unavailable</v>
      </c>
      <c r="C7721" s="3">
        <v>325.0</v>
      </c>
      <c r="D7721" s="3">
        <f>IFERROR(__xludf.DUMMYFUNCTION("IFERROR(
IF(REGEXMATCH(LOWER(O7721),""k""),
VALUE(REGEXEXTRACT(O7721,""[0-9]+""))*1000,
VALUE(REGEXEXTRACT(O7721,""[0-9]+""))
),
0
)"),0.0)</f>
        <v>0</v>
      </c>
      <c r="E7721" s="1" t="s">
        <v>11</v>
      </c>
      <c r="F7721" s="1" t="s">
        <v>20</v>
      </c>
      <c r="G7721" s="4" t="b">
        <f t="shared" si="2"/>
        <v>1</v>
      </c>
      <c r="H7721" s="1" t="str">
        <f t="shared" si="3"/>
        <v>Currently Unavailable</v>
      </c>
      <c r="I7721" s="1" t="str">
        <f t="shared" si="4"/>
        <v>No Badges</v>
      </c>
      <c r="J7721" s="3">
        <f t="shared" si="5"/>
        <v>0</v>
      </c>
    </row>
    <row r="7722">
      <c r="A7722" s="1" t="s">
        <v>5887</v>
      </c>
      <c r="B7722" s="3" t="str">
        <f t="shared" si="1"/>
        <v>Unavailable</v>
      </c>
      <c r="C7722" s="5">
        <v>1114.0</v>
      </c>
      <c r="D7722" s="3">
        <f>IFERROR(__xludf.DUMMYFUNCTION("IFERROR(
IF(REGEXMATCH(LOWER(O7722),""k""),
VALUE(REGEXEXTRACT(O7722,""[0-9]+""))*1000,
VALUE(REGEXEXTRACT(O7722,""[0-9]+""))
),
0
)"),0.0)</f>
        <v>0</v>
      </c>
      <c r="E7722" s="1" t="s">
        <v>11</v>
      </c>
      <c r="F7722" s="1" t="s">
        <v>20</v>
      </c>
      <c r="G7722" s="4" t="b">
        <f t="shared" si="2"/>
        <v>1</v>
      </c>
      <c r="H7722" s="1" t="str">
        <f t="shared" si="3"/>
        <v>Currently Unavailable</v>
      </c>
      <c r="I7722" s="1" t="str">
        <f t="shared" si="4"/>
        <v>No Badges</v>
      </c>
      <c r="J7722" s="3">
        <f t="shared" si="5"/>
        <v>0</v>
      </c>
    </row>
    <row r="7723">
      <c r="A7723" s="1" t="s">
        <v>5888</v>
      </c>
      <c r="B7723" s="3" t="str">
        <f t="shared" si="1"/>
        <v>Unavailable</v>
      </c>
      <c r="C7723" s="3">
        <v>453.0</v>
      </c>
      <c r="D7723" s="3">
        <f>IFERROR(__xludf.DUMMYFUNCTION("IFERROR(
IF(REGEXMATCH(LOWER(O7723),""k""),
VALUE(REGEXEXTRACT(O7723,""[0-9]+""))*1000,
VALUE(REGEXEXTRACT(O7723,""[0-9]+""))
),
0
)"),0.0)</f>
        <v>0</v>
      </c>
      <c r="E7723" s="1" t="s">
        <v>11</v>
      </c>
      <c r="F7723" s="1" t="s">
        <v>20</v>
      </c>
      <c r="G7723" s="4" t="b">
        <f t="shared" si="2"/>
        <v>1</v>
      </c>
      <c r="H7723" s="1" t="str">
        <f t="shared" si="3"/>
        <v>Currently Unavailable</v>
      </c>
      <c r="I7723" s="1" t="str">
        <f t="shared" si="4"/>
        <v>No Badges</v>
      </c>
      <c r="J7723" s="3">
        <f t="shared" si="5"/>
        <v>0</v>
      </c>
    </row>
    <row r="7724">
      <c r="A7724" s="1" t="s">
        <v>5817</v>
      </c>
      <c r="B7724" s="3" t="str">
        <f t="shared" si="1"/>
        <v>Unavailable</v>
      </c>
      <c r="C7724" s="5">
        <v>7235.0</v>
      </c>
      <c r="D7724" s="3">
        <f>IFERROR(__xludf.DUMMYFUNCTION("IFERROR(
IF(REGEXMATCH(LOWER(O7724),""k""),
VALUE(REGEXEXTRACT(O7724,""[0-9]+""))*1000,
VALUE(REGEXEXTRACT(O7724,""[0-9]+""))
),
0
)"),0.0)</f>
        <v>0</v>
      </c>
      <c r="E7724" s="1" t="s">
        <v>11</v>
      </c>
      <c r="F7724" s="1" t="s">
        <v>12</v>
      </c>
      <c r="G7724" s="4" t="b">
        <f t="shared" si="2"/>
        <v>1</v>
      </c>
      <c r="H7724" s="1" t="str">
        <f t="shared" si="3"/>
        <v>Currently Unavailable</v>
      </c>
      <c r="I7724" s="1" t="str">
        <f t="shared" si="4"/>
        <v>No Badges</v>
      </c>
      <c r="J7724" s="3">
        <f t="shared" si="5"/>
        <v>0</v>
      </c>
    </row>
    <row r="7725">
      <c r="A7725" s="1" t="s">
        <v>5818</v>
      </c>
      <c r="B7725" s="3" t="str">
        <f t="shared" si="1"/>
        <v>Unavailable</v>
      </c>
      <c r="C7725" s="5">
        <v>6335.0</v>
      </c>
      <c r="D7725" s="3">
        <f>IFERROR(__xludf.DUMMYFUNCTION("IFERROR(
IF(REGEXMATCH(LOWER(O7725),""k""),
VALUE(REGEXEXTRACT(O7725,""[0-9]+""))*1000,
VALUE(REGEXEXTRACT(O7725,""[0-9]+""))
),
0
)"),0.0)</f>
        <v>0</v>
      </c>
      <c r="E7725" s="1" t="s">
        <v>11</v>
      </c>
      <c r="F7725" s="1" t="s">
        <v>12</v>
      </c>
      <c r="G7725" s="4" t="b">
        <f t="shared" si="2"/>
        <v>1</v>
      </c>
      <c r="H7725" s="1" t="str">
        <f t="shared" si="3"/>
        <v>Currently Unavailable</v>
      </c>
      <c r="I7725" s="1" t="str">
        <f t="shared" si="4"/>
        <v>No Badges</v>
      </c>
      <c r="J7725" s="3">
        <f t="shared" si="5"/>
        <v>0</v>
      </c>
    </row>
    <row r="7726">
      <c r="A7726" s="1" t="s">
        <v>5889</v>
      </c>
      <c r="B7726" s="3" t="str">
        <f t="shared" si="1"/>
        <v>Unavailable</v>
      </c>
      <c r="C7726" s="5">
        <v>4800.0</v>
      </c>
      <c r="D7726" s="3">
        <f>IFERROR(__xludf.DUMMYFUNCTION("IFERROR(
IF(REGEXMATCH(LOWER(O7726),""k""),
VALUE(REGEXEXTRACT(O7726,""[0-9]+""))*1000,
VALUE(REGEXEXTRACT(O7726,""[0-9]+""))
),
0
)"),0.0)</f>
        <v>0</v>
      </c>
      <c r="E7726" s="1" t="s">
        <v>11</v>
      </c>
      <c r="F7726" s="1" t="s">
        <v>20</v>
      </c>
      <c r="G7726" s="4" t="b">
        <f t="shared" si="2"/>
        <v>1</v>
      </c>
      <c r="H7726" s="1" t="str">
        <f t="shared" si="3"/>
        <v>Currently Unavailable</v>
      </c>
      <c r="I7726" s="1" t="str">
        <f t="shared" si="4"/>
        <v>No Badges</v>
      </c>
      <c r="J7726" s="3">
        <f t="shared" si="5"/>
        <v>0</v>
      </c>
    </row>
    <row r="7727">
      <c r="A7727" s="1" t="s">
        <v>67</v>
      </c>
      <c r="B7727" s="3" t="str">
        <f t="shared" si="1"/>
        <v>Unavailable</v>
      </c>
      <c r="C7727" s="3">
        <v>264.0</v>
      </c>
      <c r="D7727" s="3">
        <f>IFERROR(__xludf.DUMMYFUNCTION("IFERROR(
IF(REGEXMATCH(LOWER(O7727),""k""),
VALUE(REGEXEXTRACT(O7727,""[0-9]+""))*1000,
VALUE(REGEXEXTRACT(O7727,""[0-9]+""))
),
0
)"),0.0)</f>
        <v>0</v>
      </c>
      <c r="E7727" s="1" t="s">
        <v>11</v>
      </c>
      <c r="F7727" s="1" t="s">
        <v>12</v>
      </c>
      <c r="G7727" s="4" t="b">
        <f t="shared" si="2"/>
        <v>1</v>
      </c>
      <c r="H7727" s="1" t="str">
        <f t="shared" si="3"/>
        <v>Currently Unavailable</v>
      </c>
      <c r="I7727" s="1" t="str">
        <f t="shared" si="4"/>
        <v>No Badges</v>
      </c>
      <c r="J7727" s="3">
        <f t="shared" si="5"/>
        <v>0</v>
      </c>
    </row>
    <row r="7728">
      <c r="A7728" s="1" t="s">
        <v>5890</v>
      </c>
      <c r="B7728" s="3" t="str">
        <f t="shared" si="1"/>
        <v>Unavailable</v>
      </c>
      <c r="C7728" s="3">
        <v>181.0</v>
      </c>
      <c r="D7728" s="3">
        <f>IFERROR(__xludf.DUMMYFUNCTION("IFERROR(
IF(REGEXMATCH(LOWER(O7728),""k""),
VALUE(REGEXEXTRACT(O7728,""[0-9]+""))*1000,
VALUE(REGEXEXTRACT(O7728,""[0-9]+""))
),
0
)"),0.0)</f>
        <v>0</v>
      </c>
      <c r="E7728" s="1" t="s">
        <v>11</v>
      </c>
      <c r="F7728" s="1" t="s">
        <v>20</v>
      </c>
      <c r="G7728" s="4" t="b">
        <f t="shared" si="2"/>
        <v>1</v>
      </c>
      <c r="H7728" s="1" t="str">
        <f t="shared" si="3"/>
        <v>Currently Unavailable</v>
      </c>
      <c r="I7728" s="1" t="str">
        <f t="shared" si="4"/>
        <v>No Badges</v>
      </c>
      <c r="J7728" s="3">
        <f t="shared" si="5"/>
        <v>0</v>
      </c>
    </row>
    <row r="7729">
      <c r="A7729" s="1" t="s">
        <v>701</v>
      </c>
      <c r="B7729" s="3" t="str">
        <f t="shared" si="1"/>
        <v>Unavailable</v>
      </c>
      <c r="C7729" s="3">
        <v>8.0</v>
      </c>
      <c r="D7729" s="3">
        <f>IFERROR(__xludf.DUMMYFUNCTION("IFERROR(
IF(REGEXMATCH(LOWER(O7729),""k""),
VALUE(REGEXEXTRACT(O7729,""[0-9]+""))*1000,
VALUE(REGEXEXTRACT(O7729,""[0-9]+""))
),
0
)"),0.0)</f>
        <v>0</v>
      </c>
      <c r="E7729" s="1" t="s">
        <v>11</v>
      </c>
      <c r="F7729" s="1" t="s">
        <v>12</v>
      </c>
      <c r="G7729" s="4" t="b">
        <f t="shared" si="2"/>
        <v>1</v>
      </c>
      <c r="H7729" s="1" t="str">
        <f t="shared" si="3"/>
        <v>Currently Unavailable</v>
      </c>
      <c r="I7729" s="1" t="str">
        <f t="shared" si="4"/>
        <v>No Badges</v>
      </c>
      <c r="J7729" s="3">
        <f t="shared" si="5"/>
        <v>0</v>
      </c>
    </row>
    <row r="7730">
      <c r="A7730" s="1" t="s">
        <v>5891</v>
      </c>
      <c r="B7730" s="3" t="str">
        <f t="shared" si="1"/>
        <v>Unavailable</v>
      </c>
      <c r="C7730" s="5">
        <v>3615.0</v>
      </c>
      <c r="D7730" s="3">
        <f>IFERROR(__xludf.DUMMYFUNCTION("IFERROR(
IF(REGEXMATCH(LOWER(O7730),""k""),
VALUE(REGEXEXTRACT(O7730,""[0-9]+""))*1000,
VALUE(REGEXEXTRACT(O7730,""[0-9]+""))
),
0
)"),0.0)</f>
        <v>0</v>
      </c>
      <c r="E7730" s="1" t="s">
        <v>11</v>
      </c>
      <c r="F7730" s="1" t="s">
        <v>20</v>
      </c>
      <c r="G7730" s="4" t="b">
        <f t="shared" si="2"/>
        <v>1</v>
      </c>
      <c r="H7730" s="1" t="str">
        <f t="shared" si="3"/>
        <v>Currently Unavailable</v>
      </c>
      <c r="I7730" s="1" t="str">
        <f t="shared" si="4"/>
        <v>No Badges</v>
      </c>
      <c r="J7730" s="3">
        <f t="shared" si="5"/>
        <v>0</v>
      </c>
    </row>
    <row r="7731">
      <c r="A7731" s="1" t="s">
        <v>5892</v>
      </c>
      <c r="B7731" s="3" t="str">
        <f t="shared" si="1"/>
        <v>Unavailable</v>
      </c>
      <c r="C7731" s="3">
        <v>341.0</v>
      </c>
      <c r="D7731" s="3">
        <f>IFERROR(__xludf.DUMMYFUNCTION("IFERROR(
IF(REGEXMATCH(LOWER(O7731),""k""),
VALUE(REGEXEXTRACT(O7731,""[0-9]+""))*1000,
VALUE(REGEXEXTRACT(O7731,""[0-9]+""))
),
0
)"),0.0)</f>
        <v>0</v>
      </c>
      <c r="E7731" s="1" t="s">
        <v>11</v>
      </c>
      <c r="F7731" s="1" t="s">
        <v>20</v>
      </c>
      <c r="G7731" s="4" t="b">
        <f t="shared" si="2"/>
        <v>1</v>
      </c>
      <c r="H7731" s="1" t="str">
        <f t="shared" si="3"/>
        <v>Currently Unavailable</v>
      </c>
      <c r="I7731" s="1" t="str">
        <f t="shared" si="4"/>
        <v>No Badges</v>
      </c>
      <c r="J7731" s="3">
        <f t="shared" si="5"/>
        <v>0</v>
      </c>
    </row>
    <row r="7732">
      <c r="A7732" s="1" t="s">
        <v>5817</v>
      </c>
      <c r="B7732" s="3" t="str">
        <f t="shared" si="1"/>
        <v>Unavailable</v>
      </c>
      <c r="C7732" s="5">
        <v>7235.0</v>
      </c>
      <c r="D7732" s="3">
        <f>IFERROR(__xludf.DUMMYFUNCTION("IFERROR(
IF(REGEXMATCH(LOWER(O7732),""k""),
VALUE(REGEXEXTRACT(O7732,""[0-9]+""))*1000,
VALUE(REGEXEXTRACT(O7732,""[0-9]+""))
),
0
)"),0.0)</f>
        <v>0</v>
      </c>
      <c r="E7732" s="1" t="s">
        <v>11</v>
      </c>
      <c r="F7732" s="1" t="s">
        <v>12</v>
      </c>
      <c r="G7732" s="4" t="b">
        <f t="shared" si="2"/>
        <v>1</v>
      </c>
      <c r="H7732" s="1" t="str">
        <f t="shared" si="3"/>
        <v>Currently Unavailable</v>
      </c>
      <c r="I7732" s="1" t="str">
        <f t="shared" si="4"/>
        <v>No Badges</v>
      </c>
      <c r="J7732" s="3">
        <f t="shared" si="5"/>
        <v>0</v>
      </c>
    </row>
    <row r="7733">
      <c r="A7733" s="1" t="s">
        <v>5893</v>
      </c>
      <c r="B7733" s="3" t="str">
        <f t="shared" si="1"/>
        <v>Unavailable</v>
      </c>
      <c r="C7733" s="5">
        <v>1901.0</v>
      </c>
      <c r="D7733" s="3">
        <f>IFERROR(__xludf.DUMMYFUNCTION("IFERROR(
IF(REGEXMATCH(LOWER(O7733),""k""),
VALUE(REGEXEXTRACT(O7733,""[0-9]+""))*1000,
VALUE(REGEXEXTRACT(O7733,""[0-9]+""))
),
0
)"),0.0)</f>
        <v>0</v>
      </c>
      <c r="E7733" s="1" t="s">
        <v>11</v>
      </c>
      <c r="F7733" s="1" t="s">
        <v>20</v>
      </c>
      <c r="G7733" s="4" t="b">
        <f t="shared" si="2"/>
        <v>1</v>
      </c>
      <c r="H7733" s="1" t="str">
        <f t="shared" si="3"/>
        <v>Currently Unavailable</v>
      </c>
      <c r="I7733" s="1" t="str">
        <f t="shared" si="4"/>
        <v>No Badges</v>
      </c>
      <c r="J7733" s="3">
        <f t="shared" si="5"/>
        <v>0</v>
      </c>
    </row>
    <row r="7734">
      <c r="A7734" s="1" t="s">
        <v>5817</v>
      </c>
      <c r="B7734" s="3" t="str">
        <f t="shared" si="1"/>
        <v>Unavailable</v>
      </c>
      <c r="C7734" s="5">
        <v>7235.0</v>
      </c>
      <c r="D7734" s="3">
        <f>IFERROR(__xludf.DUMMYFUNCTION("IFERROR(
IF(REGEXMATCH(LOWER(O7734),""k""),
VALUE(REGEXEXTRACT(O7734,""[0-9]+""))*1000,
VALUE(REGEXEXTRACT(O7734,""[0-9]+""))
),
0
)"),0.0)</f>
        <v>0</v>
      </c>
      <c r="E7734" s="1" t="s">
        <v>11</v>
      </c>
      <c r="F7734" s="1" t="s">
        <v>12</v>
      </c>
      <c r="G7734" s="4" t="b">
        <f t="shared" si="2"/>
        <v>1</v>
      </c>
      <c r="H7734" s="1" t="str">
        <f t="shared" si="3"/>
        <v>Currently Unavailable</v>
      </c>
      <c r="I7734" s="1" t="str">
        <f t="shared" si="4"/>
        <v>No Badges</v>
      </c>
      <c r="J7734" s="3">
        <f t="shared" si="5"/>
        <v>0</v>
      </c>
    </row>
    <row r="7735">
      <c r="A7735" s="1" t="s">
        <v>5894</v>
      </c>
      <c r="B7735" s="3" t="str">
        <f t="shared" si="1"/>
        <v>Unavailable</v>
      </c>
      <c r="C7735" s="5">
        <v>1109.0</v>
      </c>
      <c r="D7735" s="3">
        <f>IFERROR(__xludf.DUMMYFUNCTION("IFERROR(
IF(REGEXMATCH(LOWER(O7735),""k""),
VALUE(REGEXEXTRACT(O7735,""[0-9]+""))*1000,
VALUE(REGEXEXTRACT(O7735,""[0-9]+""))
),
0
)"),0.0)</f>
        <v>0</v>
      </c>
      <c r="E7735" s="1" t="s">
        <v>11</v>
      </c>
      <c r="F7735" s="1" t="s">
        <v>20</v>
      </c>
      <c r="G7735" s="4" t="b">
        <f t="shared" si="2"/>
        <v>1</v>
      </c>
      <c r="H7735" s="1" t="str">
        <f t="shared" si="3"/>
        <v>Currently Unavailable</v>
      </c>
      <c r="I7735" s="1" t="str">
        <f t="shared" si="4"/>
        <v>No Badges</v>
      </c>
      <c r="J7735" s="3">
        <f t="shared" si="5"/>
        <v>0</v>
      </c>
    </row>
    <row r="7736">
      <c r="A7736" s="1" t="s">
        <v>5895</v>
      </c>
      <c r="B7736" s="3" t="str">
        <f t="shared" si="1"/>
        <v>Unavailable</v>
      </c>
      <c r="C7736" s="3">
        <v>48.0</v>
      </c>
      <c r="D7736" s="3">
        <f>IFERROR(__xludf.DUMMYFUNCTION("IFERROR(
IF(REGEXMATCH(LOWER(O7736),""k""),
VALUE(REGEXEXTRACT(O7736,""[0-9]+""))*1000,
VALUE(REGEXEXTRACT(O7736,""[0-9]+""))
),
0
)"),0.0)</f>
        <v>0</v>
      </c>
      <c r="E7736" s="1" t="s">
        <v>11</v>
      </c>
      <c r="F7736" s="1" t="s">
        <v>20</v>
      </c>
      <c r="G7736" s="4" t="b">
        <f t="shared" si="2"/>
        <v>1</v>
      </c>
      <c r="H7736" s="1" t="str">
        <f t="shared" si="3"/>
        <v>Currently Unavailable</v>
      </c>
      <c r="I7736" s="1" t="str">
        <f t="shared" si="4"/>
        <v>No Badges</v>
      </c>
      <c r="J7736" s="3">
        <f t="shared" si="5"/>
        <v>0</v>
      </c>
    </row>
    <row r="7737">
      <c r="A7737" s="1" t="s">
        <v>5896</v>
      </c>
      <c r="B7737" s="3" t="str">
        <f t="shared" si="1"/>
        <v>Unavailable</v>
      </c>
      <c r="C7737" s="5">
        <v>1490.0</v>
      </c>
      <c r="D7737" s="3">
        <f>IFERROR(__xludf.DUMMYFUNCTION("IFERROR(
IF(REGEXMATCH(LOWER(O7737),""k""),
VALUE(REGEXEXTRACT(O7737,""[0-9]+""))*1000,
VALUE(REGEXEXTRACT(O7737,""[0-9]+""))
),
0
)"),0.0)</f>
        <v>0</v>
      </c>
      <c r="E7737" s="1" t="s">
        <v>11</v>
      </c>
      <c r="F7737" s="1" t="s">
        <v>20</v>
      </c>
      <c r="G7737" s="4" t="b">
        <f t="shared" si="2"/>
        <v>1</v>
      </c>
      <c r="H7737" s="1" t="str">
        <f t="shared" si="3"/>
        <v>Currently Unavailable</v>
      </c>
      <c r="I7737" s="1" t="str">
        <f t="shared" si="4"/>
        <v>No Badges</v>
      </c>
      <c r="J7737" s="3">
        <f t="shared" si="5"/>
        <v>0</v>
      </c>
    </row>
    <row r="7738">
      <c r="A7738" s="1" t="s">
        <v>5817</v>
      </c>
      <c r="B7738" s="3" t="str">
        <f t="shared" si="1"/>
        <v>Unavailable</v>
      </c>
      <c r="C7738" s="5">
        <v>7235.0</v>
      </c>
      <c r="D7738" s="3">
        <f>IFERROR(__xludf.DUMMYFUNCTION("IFERROR(
IF(REGEXMATCH(LOWER(O7738),""k""),
VALUE(REGEXEXTRACT(O7738,""[0-9]+""))*1000,
VALUE(REGEXEXTRACT(O7738,""[0-9]+""))
),
0
)"),0.0)</f>
        <v>0</v>
      </c>
      <c r="E7738" s="1" t="s">
        <v>11</v>
      </c>
      <c r="F7738" s="1" t="s">
        <v>12</v>
      </c>
      <c r="G7738" s="4" t="b">
        <f t="shared" si="2"/>
        <v>1</v>
      </c>
      <c r="H7738" s="1" t="str">
        <f t="shared" si="3"/>
        <v>Currently Unavailable</v>
      </c>
      <c r="I7738" s="1" t="str">
        <f t="shared" si="4"/>
        <v>No Badges</v>
      </c>
      <c r="J7738" s="3">
        <f t="shared" si="5"/>
        <v>0</v>
      </c>
    </row>
    <row r="7739">
      <c r="A7739" s="1" t="s">
        <v>5897</v>
      </c>
      <c r="B7739" s="3" t="str">
        <f t="shared" si="1"/>
        <v>Unavailable</v>
      </c>
      <c r="C7739" s="5">
        <v>3856.0</v>
      </c>
      <c r="D7739" s="3">
        <f>IFERROR(__xludf.DUMMYFUNCTION("IFERROR(
IF(REGEXMATCH(LOWER(O7739),""k""),
VALUE(REGEXEXTRACT(O7739,""[0-9]+""))*1000,
VALUE(REGEXEXTRACT(O7739,""[0-9]+""))
),
0
)"),0.0)</f>
        <v>0</v>
      </c>
      <c r="E7739" s="1" t="s">
        <v>11</v>
      </c>
      <c r="F7739" s="1" t="s">
        <v>20</v>
      </c>
      <c r="G7739" s="4" t="b">
        <f t="shared" si="2"/>
        <v>1</v>
      </c>
      <c r="H7739" s="1" t="str">
        <f t="shared" si="3"/>
        <v>Currently Unavailable</v>
      </c>
      <c r="I7739" s="1" t="str">
        <f t="shared" si="4"/>
        <v>No Badges</v>
      </c>
      <c r="J7739" s="3">
        <f t="shared" si="5"/>
        <v>0</v>
      </c>
    </row>
    <row r="7740">
      <c r="A7740" s="1" t="s">
        <v>5898</v>
      </c>
      <c r="B7740" s="3" t="str">
        <f t="shared" si="1"/>
        <v>Unavailable</v>
      </c>
      <c r="C7740" s="3">
        <v>251.0</v>
      </c>
      <c r="D7740" s="3">
        <f>IFERROR(__xludf.DUMMYFUNCTION("IFERROR(
IF(REGEXMATCH(LOWER(O7740),""k""),
VALUE(REGEXEXTRACT(O7740,""[0-9]+""))*1000,
VALUE(REGEXEXTRACT(O7740,""[0-9]+""))
),
0
)"),0.0)</f>
        <v>0</v>
      </c>
      <c r="E7740" s="1" t="s">
        <v>11</v>
      </c>
      <c r="F7740" s="1" t="s">
        <v>20</v>
      </c>
      <c r="G7740" s="4" t="b">
        <f t="shared" si="2"/>
        <v>1</v>
      </c>
      <c r="H7740" s="1" t="str">
        <f t="shared" si="3"/>
        <v>Currently Unavailable</v>
      </c>
      <c r="I7740" s="1" t="str">
        <f t="shared" si="4"/>
        <v>No Badges</v>
      </c>
      <c r="J7740" s="3">
        <f t="shared" si="5"/>
        <v>0</v>
      </c>
    </row>
    <row r="7741">
      <c r="A7741" s="1" t="s">
        <v>5899</v>
      </c>
      <c r="B7741" s="3" t="str">
        <f t="shared" si="1"/>
        <v>Unavailable</v>
      </c>
      <c r="C7741" s="5">
        <v>2245.0</v>
      </c>
      <c r="D7741" s="3">
        <f>IFERROR(__xludf.DUMMYFUNCTION("IFERROR(
IF(REGEXMATCH(LOWER(O7741),""k""),
VALUE(REGEXEXTRACT(O7741,""[0-9]+""))*1000,
VALUE(REGEXEXTRACT(O7741,""[0-9]+""))
),
0
)"),0.0)</f>
        <v>0</v>
      </c>
      <c r="E7741" s="1" t="s">
        <v>11</v>
      </c>
      <c r="F7741" s="1" t="s">
        <v>20</v>
      </c>
      <c r="G7741" s="4" t="b">
        <f t="shared" si="2"/>
        <v>1</v>
      </c>
      <c r="H7741" s="1" t="str">
        <f t="shared" si="3"/>
        <v>Currently Unavailable</v>
      </c>
      <c r="I7741" s="1" t="str">
        <f t="shared" si="4"/>
        <v>No Badges</v>
      </c>
      <c r="J7741" s="3">
        <f t="shared" si="5"/>
        <v>0</v>
      </c>
    </row>
    <row r="7742">
      <c r="A7742" s="1" t="s">
        <v>5900</v>
      </c>
      <c r="B7742" s="3" t="str">
        <f t="shared" si="1"/>
        <v>Unavailable</v>
      </c>
      <c r="C7742" s="3">
        <v>378.0</v>
      </c>
      <c r="D7742" s="3">
        <f>IFERROR(__xludf.DUMMYFUNCTION("IFERROR(
IF(REGEXMATCH(LOWER(O7742),""k""),
VALUE(REGEXEXTRACT(O7742,""[0-9]+""))*1000,
VALUE(REGEXEXTRACT(O7742,""[0-9]+""))
),
0
)"),0.0)</f>
        <v>0</v>
      </c>
      <c r="E7742" s="1" t="s">
        <v>11</v>
      </c>
      <c r="F7742" s="1" t="s">
        <v>20</v>
      </c>
      <c r="G7742" s="4" t="b">
        <f t="shared" si="2"/>
        <v>1</v>
      </c>
      <c r="H7742" s="1" t="str">
        <f t="shared" si="3"/>
        <v>Currently Unavailable</v>
      </c>
      <c r="I7742" s="1" t="str">
        <f t="shared" si="4"/>
        <v>No Badges</v>
      </c>
      <c r="J7742" s="3">
        <f t="shared" si="5"/>
        <v>0</v>
      </c>
    </row>
    <row r="7743">
      <c r="A7743" s="1" t="s">
        <v>88</v>
      </c>
      <c r="B7743" s="3" t="str">
        <f t="shared" si="1"/>
        <v>Unavailable</v>
      </c>
      <c r="C7743" s="3">
        <v>5.0</v>
      </c>
      <c r="D7743" s="3">
        <f>IFERROR(__xludf.DUMMYFUNCTION("IFERROR(
IF(REGEXMATCH(LOWER(O7743),""k""),
VALUE(REGEXEXTRACT(O7743,""[0-9]+""))*1000,
VALUE(REGEXEXTRACT(O7743,""[0-9]+""))
),
0
)"),0.0)</f>
        <v>0</v>
      </c>
      <c r="E7743" s="1" t="s">
        <v>11</v>
      </c>
      <c r="F7743" s="1" t="s">
        <v>12</v>
      </c>
      <c r="G7743" s="4" t="b">
        <f t="shared" si="2"/>
        <v>1</v>
      </c>
      <c r="H7743" s="1" t="str">
        <f t="shared" si="3"/>
        <v>Currently Unavailable</v>
      </c>
      <c r="I7743" s="1" t="str">
        <f t="shared" si="4"/>
        <v>No Badges</v>
      </c>
      <c r="J7743" s="3">
        <f t="shared" si="5"/>
        <v>0</v>
      </c>
    </row>
    <row r="7744">
      <c r="A7744" s="1" t="s">
        <v>40</v>
      </c>
      <c r="B7744" s="3" t="str">
        <f t="shared" si="1"/>
        <v>Unavailable</v>
      </c>
      <c r="C7744" s="3">
        <v>171.0</v>
      </c>
      <c r="D7744" s="3">
        <f>IFERROR(__xludf.DUMMYFUNCTION("IFERROR(
IF(REGEXMATCH(LOWER(O7744),""k""),
VALUE(REGEXEXTRACT(O7744,""[0-9]+""))*1000,
VALUE(REGEXEXTRACT(O7744,""[0-9]+""))
),
0
)"),0.0)</f>
        <v>0</v>
      </c>
      <c r="E7744" s="1" t="s">
        <v>11</v>
      </c>
      <c r="F7744" s="1" t="s">
        <v>12</v>
      </c>
      <c r="G7744" s="4" t="b">
        <f t="shared" si="2"/>
        <v>1</v>
      </c>
      <c r="H7744" s="1" t="str">
        <f t="shared" si="3"/>
        <v>Currently Unavailable</v>
      </c>
      <c r="I7744" s="1" t="str">
        <f t="shared" si="4"/>
        <v>No Badges</v>
      </c>
      <c r="J7744" s="3">
        <f t="shared" si="5"/>
        <v>0</v>
      </c>
    </row>
    <row r="7745">
      <c r="A7745" s="1" t="s">
        <v>5901</v>
      </c>
      <c r="B7745" s="3" t="str">
        <f t="shared" si="1"/>
        <v>Unavailable</v>
      </c>
      <c r="C7745" s="5">
        <v>7766.0</v>
      </c>
      <c r="D7745" s="3">
        <f>IFERROR(__xludf.DUMMYFUNCTION("IFERROR(
IF(REGEXMATCH(LOWER(O7745),""k""),
VALUE(REGEXEXTRACT(O7745,""[0-9]+""))*1000,
VALUE(REGEXEXTRACT(O7745,""[0-9]+""))
),
0
)"),0.0)</f>
        <v>0</v>
      </c>
      <c r="E7745" s="1" t="s">
        <v>11</v>
      </c>
      <c r="F7745" s="1" t="s">
        <v>20</v>
      </c>
      <c r="G7745" s="4" t="b">
        <f t="shared" si="2"/>
        <v>1</v>
      </c>
      <c r="H7745" s="1" t="str">
        <f t="shared" si="3"/>
        <v>Currently Unavailable</v>
      </c>
      <c r="I7745" s="1" t="str">
        <f t="shared" si="4"/>
        <v>No Badges</v>
      </c>
      <c r="J7745" s="3">
        <f t="shared" si="5"/>
        <v>0</v>
      </c>
    </row>
    <row r="7746">
      <c r="A7746" s="1" t="s">
        <v>5817</v>
      </c>
      <c r="B7746" s="3" t="str">
        <f t="shared" si="1"/>
        <v>Unavailable</v>
      </c>
      <c r="C7746" s="5">
        <v>7235.0</v>
      </c>
      <c r="D7746" s="3">
        <f>IFERROR(__xludf.DUMMYFUNCTION("IFERROR(
IF(REGEXMATCH(LOWER(O7746),""k""),
VALUE(REGEXEXTRACT(O7746,""[0-9]+""))*1000,
VALUE(REGEXEXTRACT(O7746,""[0-9]+""))
),
0
)"),0.0)</f>
        <v>0</v>
      </c>
      <c r="E7746" s="1" t="s">
        <v>11</v>
      </c>
      <c r="F7746" s="1" t="s">
        <v>12</v>
      </c>
      <c r="G7746" s="4" t="b">
        <f t="shared" si="2"/>
        <v>1</v>
      </c>
      <c r="H7746" s="1" t="str">
        <f t="shared" si="3"/>
        <v>Currently Unavailable</v>
      </c>
      <c r="I7746" s="1" t="str">
        <f t="shared" si="4"/>
        <v>No Badges</v>
      </c>
      <c r="J7746" s="3">
        <f t="shared" si="5"/>
        <v>0</v>
      </c>
    </row>
    <row r="7747">
      <c r="A7747" s="1" t="s">
        <v>69</v>
      </c>
      <c r="B7747" s="3" t="str">
        <f t="shared" si="1"/>
        <v>Unavailable</v>
      </c>
      <c r="C7747" s="3">
        <v>45.0</v>
      </c>
      <c r="D7747" s="3">
        <f>IFERROR(__xludf.DUMMYFUNCTION("IFERROR(
IF(REGEXMATCH(LOWER(O7747),""k""),
VALUE(REGEXEXTRACT(O7747,""[0-9]+""))*1000,
VALUE(REGEXEXTRACT(O7747,""[0-9]+""))
),
0
)"),0.0)</f>
        <v>0</v>
      </c>
      <c r="E7747" s="1" t="s">
        <v>11</v>
      </c>
      <c r="F7747" s="1" t="s">
        <v>12</v>
      </c>
      <c r="G7747" s="4" t="b">
        <f t="shared" si="2"/>
        <v>1</v>
      </c>
      <c r="H7747" s="1" t="str">
        <f t="shared" si="3"/>
        <v>Currently Unavailable</v>
      </c>
      <c r="I7747" s="1" t="str">
        <f t="shared" si="4"/>
        <v>No Badges</v>
      </c>
      <c r="J7747" s="3">
        <f t="shared" si="5"/>
        <v>0</v>
      </c>
    </row>
    <row r="7748">
      <c r="A7748" s="1" t="s">
        <v>5902</v>
      </c>
      <c r="B7748" s="3" t="str">
        <f t="shared" si="1"/>
        <v>Unavailable</v>
      </c>
      <c r="C7748" s="5">
        <v>10845.0</v>
      </c>
      <c r="D7748" s="3">
        <f>IFERROR(__xludf.DUMMYFUNCTION("IFERROR(
IF(REGEXMATCH(LOWER(O7748),""k""),
VALUE(REGEXEXTRACT(O7748,""[0-9]+""))*1000,
VALUE(REGEXEXTRACT(O7748,""[0-9]+""))
),
0
)"),0.0)</f>
        <v>0</v>
      </c>
      <c r="E7748" s="1" t="s">
        <v>11</v>
      </c>
      <c r="F7748" s="1" t="s">
        <v>20</v>
      </c>
      <c r="G7748" s="4" t="b">
        <f t="shared" si="2"/>
        <v>1</v>
      </c>
      <c r="H7748" s="1" t="str">
        <f t="shared" si="3"/>
        <v>Currently Unavailable</v>
      </c>
      <c r="I7748" s="1" t="str">
        <f t="shared" si="4"/>
        <v>No Badges</v>
      </c>
      <c r="J7748" s="3">
        <f t="shared" si="5"/>
        <v>0</v>
      </c>
    </row>
    <row r="7749">
      <c r="A7749" s="1" t="s">
        <v>5818</v>
      </c>
      <c r="B7749" s="3" t="str">
        <f t="shared" si="1"/>
        <v>Unavailable</v>
      </c>
      <c r="C7749" s="5">
        <v>6335.0</v>
      </c>
      <c r="D7749" s="3">
        <f>IFERROR(__xludf.DUMMYFUNCTION("IFERROR(
IF(REGEXMATCH(LOWER(O7749),""k""),
VALUE(REGEXEXTRACT(O7749,""[0-9]+""))*1000,
VALUE(REGEXEXTRACT(O7749,""[0-9]+""))
),
0
)"),0.0)</f>
        <v>0</v>
      </c>
      <c r="E7749" s="1" t="s">
        <v>11</v>
      </c>
      <c r="F7749" s="1" t="s">
        <v>12</v>
      </c>
      <c r="G7749" s="4" t="b">
        <f t="shared" si="2"/>
        <v>1</v>
      </c>
      <c r="H7749" s="1" t="str">
        <f t="shared" si="3"/>
        <v>Currently Unavailable</v>
      </c>
      <c r="I7749" s="1" t="str">
        <f t="shared" si="4"/>
        <v>No Badges</v>
      </c>
      <c r="J7749" s="3">
        <f t="shared" si="5"/>
        <v>0</v>
      </c>
    </row>
    <row r="7750">
      <c r="A7750" s="1" t="s">
        <v>5903</v>
      </c>
      <c r="B7750" s="3" t="str">
        <f t="shared" si="1"/>
        <v>Unavailable</v>
      </c>
      <c r="C7750" s="3">
        <v>30.0</v>
      </c>
      <c r="D7750" s="3">
        <f>IFERROR(__xludf.DUMMYFUNCTION("IFERROR(
IF(REGEXMATCH(LOWER(O7750),""k""),
VALUE(REGEXEXTRACT(O7750,""[0-9]+""))*1000,
VALUE(REGEXEXTRACT(O7750,""[0-9]+""))
),
0
)"),0.0)</f>
        <v>0</v>
      </c>
      <c r="E7750" s="1" t="s">
        <v>18</v>
      </c>
      <c r="F7750" s="1" t="s">
        <v>20</v>
      </c>
      <c r="G7750" s="4" t="b">
        <f t="shared" si="2"/>
        <v>1</v>
      </c>
      <c r="H7750" s="1" t="str">
        <f t="shared" si="3"/>
        <v>Currently Unavailable</v>
      </c>
      <c r="I7750" s="1" t="str">
        <f t="shared" si="4"/>
        <v>No Badges</v>
      </c>
      <c r="J7750" s="3">
        <f t="shared" si="5"/>
        <v>0</v>
      </c>
    </row>
    <row r="7751">
      <c r="A7751" s="1" t="s">
        <v>5904</v>
      </c>
      <c r="B7751" s="3" t="str">
        <f t="shared" si="1"/>
        <v>Unavailable</v>
      </c>
      <c r="C7751" s="3">
        <v>282.0</v>
      </c>
      <c r="D7751" s="3">
        <f>IFERROR(__xludf.DUMMYFUNCTION("IFERROR(
IF(REGEXMATCH(LOWER(O7751),""k""),
VALUE(REGEXEXTRACT(O7751,""[0-9]+""))*1000,
VALUE(REGEXEXTRACT(O7751,""[0-9]+""))
),
0
)"),0.0)</f>
        <v>0</v>
      </c>
      <c r="E7751" s="1" t="s">
        <v>11</v>
      </c>
      <c r="F7751" s="1" t="s">
        <v>20</v>
      </c>
      <c r="G7751" s="4" t="b">
        <f t="shared" si="2"/>
        <v>1</v>
      </c>
      <c r="H7751" s="1" t="str">
        <f t="shared" si="3"/>
        <v>Currently Unavailable</v>
      </c>
      <c r="I7751" s="1" t="str">
        <f t="shared" si="4"/>
        <v>No Badges</v>
      </c>
      <c r="J7751" s="3">
        <f t="shared" si="5"/>
        <v>0</v>
      </c>
    </row>
    <row r="7752">
      <c r="A7752" s="1" t="s">
        <v>5905</v>
      </c>
      <c r="B7752" s="3" t="str">
        <f t="shared" si="1"/>
        <v>Unavailable</v>
      </c>
      <c r="C7752" s="5">
        <v>1406.0</v>
      </c>
      <c r="D7752" s="3">
        <f>IFERROR(__xludf.DUMMYFUNCTION("IFERROR(
IF(REGEXMATCH(LOWER(O7752),""k""),
VALUE(REGEXEXTRACT(O7752,""[0-9]+""))*1000,
VALUE(REGEXEXTRACT(O7752,""[0-9]+""))
),
0
)"),0.0)</f>
        <v>0</v>
      </c>
      <c r="E7752" s="1" t="s">
        <v>11</v>
      </c>
      <c r="F7752" s="1" t="s">
        <v>20</v>
      </c>
      <c r="G7752" s="4" t="b">
        <f t="shared" si="2"/>
        <v>1</v>
      </c>
      <c r="H7752" s="1" t="str">
        <f t="shared" si="3"/>
        <v>Currently Unavailable</v>
      </c>
      <c r="I7752" s="1" t="str">
        <f t="shared" si="4"/>
        <v>No Badges</v>
      </c>
      <c r="J7752" s="3">
        <f t="shared" si="5"/>
        <v>0</v>
      </c>
    </row>
    <row r="7753">
      <c r="A7753" s="1" t="s">
        <v>5906</v>
      </c>
      <c r="B7753" s="3" t="str">
        <f t="shared" si="1"/>
        <v>Unavailable</v>
      </c>
      <c r="C7753" s="5">
        <v>1257.0</v>
      </c>
      <c r="D7753" s="3">
        <f>IFERROR(__xludf.DUMMYFUNCTION("IFERROR(
IF(REGEXMATCH(LOWER(O7753),""k""),
VALUE(REGEXEXTRACT(O7753,""[0-9]+""))*1000,
VALUE(REGEXEXTRACT(O7753,""[0-9]+""))
),
0
)"),0.0)</f>
        <v>0</v>
      </c>
      <c r="E7753" s="1" t="s">
        <v>11</v>
      </c>
      <c r="F7753" s="1" t="s">
        <v>20</v>
      </c>
      <c r="G7753" s="4" t="b">
        <f t="shared" si="2"/>
        <v>1</v>
      </c>
      <c r="H7753" s="1" t="str">
        <f t="shared" si="3"/>
        <v>Currently Unavailable</v>
      </c>
      <c r="I7753" s="1" t="str">
        <f t="shared" si="4"/>
        <v>No Badges</v>
      </c>
      <c r="J7753" s="3">
        <f t="shared" si="5"/>
        <v>0</v>
      </c>
    </row>
    <row r="7754">
      <c r="A7754" s="1" t="s">
        <v>5817</v>
      </c>
      <c r="B7754" s="3" t="str">
        <f t="shared" si="1"/>
        <v>Unavailable</v>
      </c>
      <c r="C7754" s="5">
        <v>7235.0</v>
      </c>
      <c r="D7754" s="3">
        <f>IFERROR(__xludf.DUMMYFUNCTION("IFERROR(
IF(REGEXMATCH(LOWER(O7754),""k""),
VALUE(REGEXEXTRACT(O7754,""[0-9]+""))*1000,
VALUE(REGEXEXTRACT(O7754,""[0-9]+""))
),
0
)"),0.0)</f>
        <v>0</v>
      </c>
      <c r="E7754" s="1" t="s">
        <v>11</v>
      </c>
      <c r="F7754" s="1" t="s">
        <v>12</v>
      </c>
      <c r="G7754" s="4" t="b">
        <f t="shared" si="2"/>
        <v>1</v>
      </c>
      <c r="H7754" s="1" t="str">
        <f t="shared" si="3"/>
        <v>Currently Unavailable</v>
      </c>
      <c r="I7754" s="1" t="str">
        <f t="shared" si="4"/>
        <v>No Badges</v>
      </c>
      <c r="J7754" s="3">
        <f t="shared" si="5"/>
        <v>0</v>
      </c>
    </row>
    <row r="7755">
      <c r="A7755" s="1" t="s">
        <v>5907</v>
      </c>
      <c r="B7755" s="3" t="str">
        <f t="shared" si="1"/>
        <v>Unavailable</v>
      </c>
      <c r="C7755" s="3">
        <v>844.0</v>
      </c>
      <c r="D7755" s="3">
        <f>IFERROR(__xludf.DUMMYFUNCTION("IFERROR(
IF(REGEXMATCH(LOWER(O7755),""k""),
VALUE(REGEXEXTRACT(O7755,""[0-9]+""))*1000,
VALUE(REGEXEXTRACT(O7755,""[0-9]+""))
),
0
)"),0.0)</f>
        <v>0</v>
      </c>
      <c r="E7755" s="1" t="s">
        <v>11</v>
      </c>
      <c r="F7755" s="1" t="s">
        <v>20</v>
      </c>
      <c r="G7755" s="4" t="b">
        <f t="shared" si="2"/>
        <v>1</v>
      </c>
      <c r="H7755" s="1" t="str">
        <f t="shared" si="3"/>
        <v>Currently Unavailable</v>
      </c>
      <c r="I7755" s="1" t="str">
        <f t="shared" si="4"/>
        <v>No Badges</v>
      </c>
      <c r="J7755" s="3">
        <f t="shared" si="5"/>
        <v>0</v>
      </c>
    </row>
    <row r="7756">
      <c r="A7756" s="1" t="s">
        <v>5908</v>
      </c>
      <c r="B7756" s="3" t="str">
        <f t="shared" si="1"/>
        <v>Unavailable</v>
      </c>
      <c r="C7756" s="5">
        <v>3588.0</v>
      </c>
      <c r="D7756" s="3">
        <f>IFERROR(__xludf.DUMMYFUNCTION("IFERROR(
IF(REGEXMATCH(LOWER(O7756),""k""),
VALUE(REGEXEXTRACT(O7756,""[0-9]+""))*1000,
VALUE(REGEXEXTRACT(O7756,""[0-9]+""))
),
0
)"),0.0)</f>
        <v>0</v>
      </c>
      <c r="E7756" s="1" t="s">
        <v>11</v>
      </c>
      <c r="F7756" s="1" t="s">
        <v>20</v>
      </c>
      <c r="G7756" s="4" t="b">
        <f t="shared" si="2"/>
        <v>1</v>
      </c>
      <c r="H7756" s="1" t="str">
        <f t="shared" si="3"/>
        <v>Currently Unavailable</v>
      </c>
      <c r="I7756" s="1" t="str">
        <f t="shared" si="4"/>
        <v>No Badges</v>
      </c>
      <c r="J7756" s="3">
        <f t="shared" si="5"/>
        <v>0</v>
      </c>
    </row>
    <row r="7757">
      <c r="A7757" s="1" t="s">
        <v>5909</v>
      </c>
      <c r="B7757" s="3" t="str">
        <f t="shared" si="1"/>
        <v>Unavailable</v>
      </c>
      <c r="C7757" s="5">
        <v>2228.0</v>
      </c>
      <c r="D7757" s="3">
        <f>IFERROR(__xludf.DUMMYFUNCTION("IFERROR(
IF(REGEXMATCH(LOWER(O7757),""k""),
VALUE(REGEXEXTRACT(O7757,""[0-9]+""))*1000,
VALUE(REGEXEXTRACT(O7757,""[0-9]+""))
),
0
)"),0.0)</f>
        <v>0</v>
      </c>
      <c r="E7757" s="1" t="s">
        <v>11</v>
      </c>
      <c r="F7757" s="1" t="s">
        <v>20</v>
      </c>
      <c r="G7757" s="4" t="b">
        <f t="shared" si="2"/>
        <v>1</v>
      </c>
      <c r="H7757" s="1" t="str">
        <f t="shared" si="3"/>
        <v>Currently Unavailable</v>
      </c>
      <c r="I7757" s="1" t="str">
        <f t="shared" si="4"/>
        <v>No Badges</v>
      </c>
      <c r="J7757" s="3">
        <f t="shared" si="5"/>
        <v>0</v>
      </c>
    </row>
    <row r="7758">
      <c r="A7758" s="1" t="s">
        <v>5817</v>
      </c>
      <c r="B7758" s="3" t="str">
        <f t="shared" si="1"/>
        <v>Unavailable</v>
      </c>
      <c r="C7758" s="5">
        <v>7235.0</v>
      </c>
      <c r="D7758" s="3">
        <f>IFERROR(__xludf.DUMMYFUNCTION("IFERROR(
IF(REGEXMATCH(LOWER(O7758),""k""),
VALUE(REGEXEXTRACT(O7758,""[0-9]+""))*1000,
VALUE(REGEXEXTRACT(O7758,""[0-9]+""))
),
0
)"),0.0)</f>
        <v>0</v>
      </c>
      <c r="E7758" s="1" t="s">
        <v>11</v>
      </c>
      <c r="F7758" s="1" t="s">
        <v>12</v>
      </c>
      <c r="G7758" s="4" t="b">
        <f t="shared" si="2"/>
        <v>1</v>
      </c>
      <c r="H7758" s="1" t="str">
        <f t="shared" si="3"/>
        <v>Currently Unavailable</v>
      </c>
      <c r="I7758" s="1" t="str">
        <f t="shared" si="4"/>
        <v>No Badges</v>
      </c>
      <c r="J7758" s="3">
        <f t="shared" si="5"/>
        <v>0</v>
      </c>
    </row>
    <row r="7759">
      <c r="A7759" s="1" t="s">
        <v>5910</v>
      </c>
      <c r="B7759" s="3" t="str">
        <f t="shared" si="1"/>
        <v>Unavailable</v>
      </c>
      <c r="C7759" s="3">
        <v>624.0</v>
      </c>
      <c r="D7759" s="3">
        <f>IFERROR(__xludf.DUMMYFUNCTION("IFERROR(
IF(REGEXMATCH(LOWER(O7759),""k""),
VALUE(REGEXEXTRACT(O7759,""[0-9]+""))*1000,
VALUE(REGEXEXTRACT(O7759,""[0-9]+""))
),
0
)"),0.0)</f>
        <v>0</v>
      </c>
      <c r="E7759" s="1" t="s">
        <v>11</v>
      </c>
      <c r="F7759" s="1" t="s">
        <v>20</v>
      </c>
      <c r="G7759" s="4" t="b">
        <f t="shared" si="2"/>
        <v>1</v>
      </c>
      <c r="H7759" s="1" t="str">
        <f t="shared" si="3"/>
        <v>Currently Unavailable</v>
      </c>
      <c r="I7759" s="1" t="str">
        <f t="shared" si="4"/>
        <v>No Badges</v>
      </c>
      <c r="J7759" s="3">
        <f t="shared" si="5"/>
        <v>0</v>
      </c>
    </row>
    <row r="7760">
      <c r="A7760" s="1" t="s">
        <v>67</v>
      </c>
      <c r="B7760" s="3" t="str">
        <f t="shared" si="1"/>
        <v>Unavailable</v>
      </c>
      <c r="C7760" s="3">
        <v>264.0</v>
      </c>
      <c r="D7760" s="3">
        <f>IFERROR(__xludf.DUMMYFUNCTION("IFERROR(
IF(REGEXMATCH(LOWER(O7760),""k""),
VALUE(REGEXEXTRACT(O7760,""[0-9]+""))*1000,
VALUE(REGEXEXTRACT(O7760,""[0-9]+""))
),
0
)"),0.0)</f>
        <v>0</v>
      </c>
      <c r="E7760" s="1" t="s">
        <v>11</v>
      </c>
      <c r="F7760" s="1" t="s">
        <v>12</v>
      </c>
      <c r="G7760" s="4" t="b">
        <f t="shared" si="2"/>
        <v>1</v>
      </c>
      <c r="H7760" s="1" t="str">
        <f t="shared" si="3"/>
        <v>Currently Unavailable</v>
      </c>
      <c r="I7760" s="1" t="str">
        <f t="shared" si="4"/>
        <v>No Badges</v>
      </c>
      <c r="J7760" s="3">
        <f t="shared" si="5"/>
        <v>0</v>
      </c>
    </row>
    <row r="7761">
      <c r="A7761" s="1" t="s">
        <v>5911</v>
      </c>
      <c r="B7761" s="3" t="str">
        <f t="shared" si="1"/>
        <v>Unavailable</v>
      </c>
      <c r="C7761" s="5">
        <v>19735.0</v>
      </c>
      <c r="D7761" s="3">
        <f>IFERROR(__xludf.DUMMYFUNCTION("IFERROR(
IF(REGEXMATCH(LOWER(O7761),""k""),
VALUE(REGEXEXTRACT(O7761,""[0-9]+""))*1000,
VALUE(REGEXEXTRACT(O7761,""[0-9]+""))
),
0
)"),0.0)</f>
        <v>0</v>
      </c>
      <c r="E7761" s="1" t="s">
        <v>11</v>
      </c>
      <c r="F7761" s="1" t="s">
        <v>20</v>
      </c>
      <c r="G7761" s="4" t="b">
        <f t="shared" si="2"/>
        <v>1</v>
      </c>
      <c r="H7761" s="1" t="str">
        <f t="shared" si="3"/>
        <v>Currently Unavailable</v>
      </c>
      <c r="I7761" s="1" t="str">
        <f t="shared" si="4"/>
        <v>No Badges</v>
      </c>
      <c r="J7761" s="3">
        <f t="shared" si="5"/>
        <v>0</v>
      </c>
    </row>
    <row r="7762">
      <c r="A7762" s="1" t="s">
        <v>701</v>
      </c>
      <c r="B7762" s="3" t="str">
        <f t="shared" si="1"/>
        <v>Unavailable</v>
      </c>
      <c r="C7762" s="3">
        <v>8.0</v>
      </c>
      <c r="D7762" s="3">
        <f>IFERROR(__xludf.DUMMYFUNCTION("IFERROR(
IF(REGEXMATCH(LOWER(O7762),""k""),
VALUE(REGEXEXTRACT(O7762,""[0-9]+""))*1000,
VALUE(REGEXEXTRACT(O7762,""[0-9]+""))
),
0
)"),0.0)</f>
        <v>0</v>
      </c>
      <c r="E7762" s="1" t="s">
        <v>11</v>
      </c>
      <c r="F7762" s="1" t="s">
        <v>12</v>
      </c>
      <c r="G7762" s="4" t="b">
        <f t="shared" si="2"/>
        <v>1</v>
      </c>
      <c r="H7762" s="1" t="str">
        <f t="shared" si="3"/>
        <v>Currently Unavailable</v>
      </c>
      <c r="I7762" s="1" t="str">
        <f t="shared" si="4"/>
        <v>No Badges</v>
      </c>
      <c r="J7762" s="3">
        <f t="shared" si="5"/>
        <v>0</v>
      </c>
    </row>
    <row r="7763">
      <c r="A7763" s="1" t="s">
        <v>5912</v>
      </c>
      <c r="B7763" s="3" t="str">
        <f t="shared" si="1"/>
        <v>Unavailable</v>
      </c>
      <c r="C7763" s="3">
        <v>343.0</v>
      </c>
      <c r="D7763" s="3">
        <f>IFERROR(__xludf.DUMMYFUNCTION("IFERROR(
IF(REGEXMATCH(LOWER(O7763),""k""),
VALUE(REGEXEXTRACT(O7763,""[0-9]+""))*1000,
VALUE(REGEXEXTRACT(O7763,""[0-9]+""))
),
0
)"),0.0)</f>
        <v>0</v>
      </c>
      <c r="E7763" s="1" t="s">
        <v>11</v>
      </c>
      <c r="F7763" s="1" t="s">
        <v>20</v>
      </c>
      <c r="G7763" s="4" t="b">
        <f t="shared" si="2"/>
        <v>1</v>
      </c>
      <c r="H7763" s="1" t="str">
        <f t="shared" si="3"/>
        <v>Currently Unavailable</v>
      </c>
      <c r="I7763" s="1" t="str">
        <f t="shared" si="4"/>
        <v>No Badges</v>
      </c>
      <c r="J7763" s="3">
        <f t="shared" si="5"/>
        <v>0</v>
      </c>
    </row>
    <row r="7764">
      <c r="A7764" s="1" t="s">
        <v>5913</v>
      </c>
      <c r="B7764" s="3" t="str">
        <f t="shared" si="1"/>
        <v>Unavailable</v>
      </c>
      <c r="C7764" s="5">
        <v>2833.0</v>
      </c>
      <c r="D7764" s="3">
        <f>IFERROR(__xludf.DUMMYFUNCTION("IFERROR(
IF(REGEXMATCH(LOWER(O7764),""k""),
VALUE(REGEXEXTRACT(O7764,""[0-9]+""))*1000,
VALUE(REGEXEXTRACT(O7764,""[0-9]+""))
),
0
)"),0.0)</f>
        <v>0</v>
      </c>
      <c r="E7764" s="1" t="s">
        <v>11</v>
      </c>
      <c r="F7764" s="1" t="s">
        <v>20</v>
      </c>
      <c r="G7764" s="4" t="b">
        <f t="shared" si="2"/>
        <v>1</v>
      </c>
      <c r="H7764" s="1" t="str">
        <f t="shared" si="3"/>
        <v>Currently Unavailable</v>
      </c>
      <c r="I7764" s="1" t="str">
        <f t="shared" si="4"/>
        <v>No Badges</v>
      </c>
      <c r="J7764" s="3">
        <f t="shared" si="5"/>
        <v>0</v>
      </c>
    </row>
    <row r="7765">
      <c r="A7765" s="1" t="s">
        <v>5914</v>
      </c>
      <c r="B7765" s="3" t="str">
        <f t="shared" si="1"/>
        <v>Unavailable</v>
      </c>
      <c r="C7765" s="3">
        <v>216.0</v>
      </c>
      <c r="D7765" s="3">
        <f>IFERROR(__xludf.DUMMYFUNCTION("IFERROR(
IF(REGEXMATCH(LOWER(O7765),""k""),
VALUE(REGEXEXTRACT(O7765,""[0-9]+""))*1000,
VALUE(REGEXEXTRACT(O7765,""[0-9]+""))
),
0
)"),0.0)</f>
        <v>0</v>
      </c>
      <c r="E7765" s="1" t="s">
        <v>11</v>
      </c>
      <c r="F7765" s="1" t="s">
        <v>20</v>
      </c>
      <c r="G7765" s="4" t="b">
        <f t="shared" si="2"/>
        <v>1</v>
      </c>
      <c r="H7765" s="1" t="str">
        <f t="shared" si="3"/>
        <v>Currently Unavailable</v>
      </c>
      <c r="I7765" s="1" t="str">
        <f t="shared" si="4"/>
        <v>No Badges</v>
      </c>
      <c r="J7765" s="3">
        <f t="shared" si="5"/>
        <v>0</v>
      </c>
    </row>
    <row r="7766">
      <c r="A7766" s="1" t="s">
        <v>5915</v>
      </c>
      <c r="B7766" s="3" t="str">
        <f t="shared" si="1"/>
        <v>Unavailable</v>
      </c>
      <c r="C7766" s="3">
        <v>992.0</v>
      </c>
      <c r="D7766" s="3">
        <f>IFERROR(__xludf.DUMMYFUNCTION("IFERROR(
IF(REGEXMATCH(LOWER(O7766),""k""),
VALUE(REGEXEXTRACT(O7766,""[0-9]+""))*1000,
VALUE(REGEXEXTRACT(O7766,""[0-9]+""))
),
0
)"),0.0)</f>
        <v>0</v>
      </c>
      <c r="E7766" s="1" t="s">
        <v>11</v>
      </c>
      <c r="F7766" s="1" t="s">
        <v>20</v>
      </c>
      <c r="G7766" s="4" t="b">
        <f t="shared" si="2"/>
        <v>1</v>
      </c>
      <c r="H7766" s="1" t="str">
        <f t="shared" si="3"/>
        <v>Currently Unavailable</v>
      </c>
      <c r="I7766" s="1" t="str">
        <f t="shared" si="4"/>
        <v>No Badges</v>
      </c>
      <c r="J7766" s="3">
        <f t="shared" si="5"/>
        <v>0</v>
      </c>
    </row>
    <row r="7767">
      <c r="A7767" s="1" t="s">
        <v>5916</v>
      </c>
      <c r="B7767" s="3" t="str">
        <f t="shared" si="1"/>
        <v>Unavailable</v>
      </c>
      <c r="C7767" s="3">
        <v>214.0</v>
      </c>
      <c r="D7767" s="3">
        <f>IFERROR(__xludf.DUMMYFUNCTION("IFERROR(
IF(REGEXMATCH(LOWER(O7767),""k""),
VALUE(REGEXEXTRACT(O7767,""[0-9]+""))*1000,
VALUE(REGEXEXTRACT(O7767,""[0-9]+""))
),
0
)"),0.0)</f>
        <v>0</v>
      </c>
      <c r="E7767" s="1" t="s">
        <v>1591</v>
      </c>
      <c r="F7767" s="1" t="s">
        <v>20</v>
      </c>
      <c r="G7767" s="4" t="b">
        <f t="shared" si="2"/>
        <v>1</v>
      </c>
      <c r="H7767" s="1" t="str">
        <f t="shared" si="3"/>
        <v>Currently Unavailable</v>
      </c>
      <c r="I7767" s="1" t="str">
        <f t="shared" si="4"/>
        <v>No Badges</v>
      </c>
      <c r="J7767" s="3">
        <f t="shared" si="5"/>
        <v>0</v>
      </c>
    </row>
    <row r="7768">
      <c r="A7768" s="1" t="s">
        <v>5917</v>
      </c>
      <c r="B7768" s="3" t="str">
        <f t="shared" si="1"/>
        <v>Unavailable</v>
      </c>
      <c r="C7768" s="3">
        <v>174.0</v>
      </c>
      <c r="D7768" s="3">
        <f>IFERROR(__xludf.DUMMYFUNCTION("IFERROR(
IF(REGEXMATCH(LOWER(O7768),""k""),
VALUE(REGEXEXTRACT(O7768,""[0-9]+""))*1000,
VALUE(REGEXEXTRACT(O7768,""[0-9]+""))
),
0
)"),0.0)</f>
        <v>0</v>
      </c>
      <c r="E7768" s="1" t="s">
        <v>11</v>
      </c>
      <c r="F7768" s="1" t="s">
        <v>20</v>
      </c>
      <c r="G7768" s="4" t="b">
        <f t="shared" si="2"/>
        <v>1</v>
      </c>
      <c r="H7768" s="1" t="str">
        <f t="shared" si="3"/>
        <v>Currently Unavailable</v>
      </c>
      <c r="I7768" s="1" t="str">
        <f t="shared" si="4"/>
        <v>No Badges</v>
      </c>
      <c r="J7768" s="3">
        <f t="shared" si="5"/>
        <v>0</v>
      </c>
    </row>
    <row r="7769">
      <c r="A7769" s="1" t="s">
        <v>5918</v>
      </c>
      <c r="B7769" s="3" t="str">
        <f t="shared" si="1"/>
        <v>Unavailable</v>
      </c>
      <c r="C7769" s="5">
        <v>1745.0</v>
      </c>
      <c r="D7769" s="3">
        <f>IFERROR(__xludf.DUMMYFUNCTION("IFERROR(
IF(REGEXMATCH(LOWER(O7769),""k""),
VALUE(REGEXEXTRACT(O7769,""[0-9]+""))*1000,
VALUE(REGEXEXTRACT(O7769,""[0-9]+""))
),
0
)"),0.0)</f>
        <v>0</v>
      </c>
      <c r="E7769" s="1" t="s">
        <v>11</v>
      </c>
      <c r="F7769" s="1" t="s">
        <v>20</v>
      </c>
      <c r="G7769" s="4" t="b">
        <f t="shared" si="2"/>
        <v>1</v>
      </c>
      <c r="H7769" s="1" t="str">
        <f t="shared" si="3"/>
        <v>Currently Unavailable</v>
      </c>
      <c r="I7769" s="1" t="str">
        <f t="shared" si="4"/>
        <v>No Badges</v>
      </c>
      <c r="J7769" s="3">
        <f t="shared" si="5"/>
        <v>0</v>
      </c>
    </row>
    <row r="7770">
      <c r="A7770" s="1" t="s">
        <v>5817</v>
      </c>
      <c r="B7770" s="3" t="str">
        <f t="shared" si="1"/>
        <v>Unavailable</v>
      </c>
      <c r="C7770" s="5">
        <v>7235.0</v>
      </c>
      <c r="D7770" s="3">
        <f>IFERROR(__xludf.DUMMYFUNCTION("IFERROR(
IF(REGEXMATCH(LOWER(O7770),""k""),
VALUE(REGEXEXTRACT(O7770,""[0-9]+""))*1000,
VALUE(REGEXEXTRACT(O7770,""[0-9]+""))
),
0
)"),0.0)</f>
        <v>0</v>
      </c>
      <c r="E7770" s="1" t="s">
        <v>11</v>
      </c>
      <c r="F7770" s="1" t="s">
        <v>12</v>
      </c>
      <c r="G7770" s="4" t="b">
        <f t="shared" si="2"/>
        <v>1</v>
      </c>
      <c r="H7770" s="1" t="str">
        <f t="shared" si="3"/>
        <v>Currently Unavailable</v>
      </c>
      <c r="I7770" s="1" t="str">
        <f t="shared" si="4"/>
        <v>No Badges</v>
      </c>
      <c r="J7770" s="3">
        <f t="shared" si="5"/>
        <v>0</v>
      </c>
    </row>
    <row r="7771">
      <c r="A7771" s="1" t="s">
        <v>5919</v>
      </c>
      <c r="B7771" s="3" t="str">
        <f t="shared" si="1"/>
        <v>Unavailable</v>
      </c>
      <c r="C7771" s="5">
        <v>2739.0</v>
      </c>
      <c r="D7771" s="3">
        <f>IFERROR(__xludf.DUMMYFUNCTION("IFERROR(
IF(REGEXMATCH(LOWER(O7771),""k""),
VALUE(REGEXEXTRACT(O7771,""[0-9]+""))*1000,
VALUE(REGEXEXTRACT(O7771,""[0-9]+""))
),
0
)"),0.0)</f>
        <v>0</v>
      </c>
      <c r="E7771" s="1" t="s">
        <v>18</v>
      </c>
      <c r="F7771" s="1" t="s">
        <v>20</v>
      </c>
      <c r="G7771" s="4" t="b">
        <f t="shared" si="2"/>
        <v>1</v>
      </c>
      <c r="H7771" s="1" t="str">
        <f t="shared" si="3"/>
        <v>Currently Unavailable</v>
      </c>
      <c r="I7771" s="1" t="str">
        <f t="shared" si="4"/>
        <v>No Badges</v>
      </c>
      <c r="J7771" s="3">
        <f t="shared" si="5"/>
        <v>0</v>
      </c>
    </row>
    <row r="7772">
      <c r="A7772" s="1" t="s">
        <v>5920</v>
      </c>
      <c r="B7772" s="3" t="str">
        <f t="shared" si="1"/>
        <v>Unavailable</v>
      </c>
      <c r="C7772" s="5">
        <v>1013.0</v>
      </c>
      <c r="D7772" s="3">
        <f>IFERROR(__xludf.DUMMYFUNCTION("IFERROR(
IF(REGEXMATCH(LOWER(O7772),""k""),
VALUE(REGEXEXTRACT(O7772,""[0-9]+""))*1000,
VALUE(REGEXEXTRACT(O7772,""[0-9]+""))
),
0
)"),0.0)</f>
        <v>0</v>
      </c>
      <c r="E7772" s="1" t="s">
        <v>11</v>
      </c>
      <c r="F7772" s="1" t="s">
        <v>20</v>
      </c>
      <c r="G7772" s="4" t="b">
        <f t="shared" si="2"/>
        <v>1</v>
      </c>
      <c r="H7772" s="1" t="str">
        <f t="shared" si="3"/>
        <v>Currently Unavailable</v>
      </c>
      <c r="I7772" s="1" t="str">
        <f t="shared" si="4"/>
        <v>No Badges</v>
      </c>
      <c r="J7772" s="3">
        <f t="shared" si="5"/>
        <v>0</v>
      </c>
    </row>
    <row r="7773">
      <c r="A7773" s="1" t="s">
        <v>5921</v>
      </c>
      <c r="B7773" s="3" t="str">
        <f t="shared" si="1"/>
        <v>Unavailable</v>
      </c>
      <c r="C7773" s="5">
        <v>8856.0</v>
      </c>
      <c r="D7773" s="3">
        <f>IFERROR(__xludf.DUMMYFUNCTION("IFERROR(
IF(REGEXMATCH(LOWER(O7773),""k""),
VALUE(REGEXEXTRACT(O7773,""[0-9]+""))*1000,
VALUE(REGEXEXTRACT(O7773,""[0-9]+""))
),
0
)"),0.0)</f>
        <v>0</v>
      </c>
      <c r="E7773" s="1" t="s">
        <v>11</v>
      </c>
      <c r="F7773" s="1" t="s">
        <v>20</v>
      </c>
      <c r="G7773" s="4" t="b">
        <f t="shared" si="2"/>
        <v>1</v>
      </c>
      <c r="H7773" s="1" t="str">
        <f t="shared" si="3"/>
        <v>Currently Unavailable</v>
      </c>
      <c r="I7773" s="1" t="str">
        <f t="shared" si="4"/>
        <v>No Badges</v>
      </c>
      <c r="J7773" s="3">
        <f t="shared" si="5"/>
        <v>0</v>
      </c>
    </row>
    <row r="7774">
      <c r="A7774" s="1" t="s">
        <v>5922</v>
      </c>
      <c r="B7774" s="3" t="str">
        <f t="shared" si="1"/>
        <v>Unavailable</v>
      </c>
      <c r="C7774" s="3">
        <v>66.0</v>
      </c>
      <c r="D7774" s="3">
        <f>IFERROR(__xludf.DUMMYFUNCTION("IFERROR(
IF(REGEXMATCH(LOWER(O7774),""k""),
VALUE(REGEXEXTRACT(O7774,""[0-9]+""))*1000,
VALUE(REGEXEXTRACT(O7774,""[0-9]+""))
),
0
)"),0.0)</f>
        <v>0</v>
      </c>
      <c r="E7774" s="1" t="s">
        <v>11</v>
      </c>
      <c r="F7774" s="1" t="s">
        <v>20</v>
      </c>
      <c r="G7774" s="4" t="b">
        <f t="shared" si="2"/>
        <v>1</v>
      </c>
      <c r="H7774" s="1" t="str">
        <f t="shared" si="3"/>
        <v>Currently Unavailable</v>
      </c>
      <c r="I7774" s="1" t="str">
        <f t="shared" si="4"/>
        <v>No Badges</v>
      </c>
      <c r="J7774" s="3">
        <f t="shared" si="5"/>
        <v>0</v>
      </c>
    </row>
    <row r="7775">
      <c r="A7775" s="1" t="s">
        <v>5923</v>
      </c>
      <c r="B7775" s="3" t="str">
        <f t="shared" si="1"/>
        <v>Unavailable</v>
      </c>
      <c r="C7775" s="5">
        <v>1634.0</v>
      </c>
      <c r="D7775" s="3">
        <f>IFERROR(__xludf.DUMMYFUNCTION("IFERROR(
IF(REGEXMATCH(LOWER(O7775),""k""),
VALUE(REGEXEXTRACT(O7775,""[0-9]+""))*1000,
VALUE(REGEXEXTRACT(O7775,""[0-9]+""))
),
0
)"),0.0)</f>
        <v>0</v>
      </c>
      <c r="E7775" s="1" t="s">
        <v>11</v>
      </c>
      <c r="F7775" s="1" t="s">
        <v>20</v>
      </c>
      <c r="G7775" s="4" t="b">
        <f t="shared" si="2"/>
        <v>1</v>
      </c>
      <c r="H7775" s="1" t="str">
        <f t="shared" si="3"/>
        <v>Currently Unavailable</v>
      </c>
      <c r="I7775" s="1" t="str">
        <f t="shared" si="4"/>
        <v>No Badges</v>
      </c>
      <c r="J7775" s="3">
        <f t="shared" si="5"/>
        <v>0</v>
      </c>
    </row>
    <row r="7776">
      <c r="A7776" s="1" t="s">
        <v>5924</v>
      </c>
      <c r="B7776" s="3" t="str">
        <f t="shared" si="1"/>
        <v>Unavailable</v>
      </c>
      <c r="C7776" s="5">
        <v>1295.0</v>
      </c>
      <c r="D7776" s="3">
        <f>IFERROR(__xludf.DUMMYFUNCTION("IFERROR(
IF(REGEXMATCH(LOWER(O7776),""k""),
VALUE(REGEXEXTRACT(O7776,""[0-9]+""))*1000,
VALUE(REGEXEXTRACT(O7776,""[0-9]+""))
),
0
)"),0.0)</f>
        <v>0</v>
      </c>
      <c r="E7776" s="1" t="s">
        <v>11</v>
      </c>
      <c r="F7776" s="1" t="s">
        <v>20</v>
      </c>
      <c r="G7776" s="4" t="b">
        <f t="shared" si="2"/>
        <v>1</v>
      </c>
      <c r="H7776" s="1" t="str">
        <f t="shared" si="3"/>
        <v>Currently Unavailable</v>
      </c>
      <c r="I7776" s="1" t="str">
        <f t="shared" si="4"/>
        <v>No Badges</v>
      </c>
      <c r="J7776" s="3">
        <f t="shared" si="5"/>
        <v>0</v>
      </c>
    </row>
    <row r="7777">
      <c r="A7777" s="1" t="s">
        <v>88</v>
      </c>
      <c r="B7777" s="3" t="str">
        <f t="shared" si="1"/>
        <v>Unavailable</v>
      </c>
      <c r="C7777" s="3">
        <v>5.0</v>
      </c>
      <c r="D7777" s="3">
        <f>IFERROR(__xludf.DUMMYFUNCTION("IFERROR(
IF(REGEXMATCH(LOWER(O7777),""k""),
VALUE(REGEXEXTRACT(O7777,""[0-9]+""))*1000,
VALUE(REGEXEXTRACT(O7777,""[0-9]+""))
),
0
)"),0.0)</f>
        <v>0</v>
      </c>
      <c r="E7777" s="1" t="s">
        <v>11</v>
      </c>
      <c r="F7777" s="1" t="s">
        <v>12</v>
      </c>
      <c r="G7777" s="4" t="b">
        <f t="shared" si="2"/>
        <v>1</v>
      </c>
      <c r="H7777" s="1" t="str">
        <f t="shared" si="3"/>
        <v>Currently Unavailable</v>
      </c>
      <c r="I7777" s="1" t="str">
        <f t="shared" si="4"/>
        <v>No Badges</v>
      </c>
      <c r="J7777" s="3">
        <f t="shared" si="5"/>
        <v>0</v>
      </c>
    </row>
    <row r="7778">
      <c r="A7778" s="1" t="s">
        <v>5925</v>
      </c>
      <c r="B7778" s="3" t="str">
        <f t="shared" si="1"/>
        <v>Unavailable</v>
      </c>
      <c r="C7778" s="3">
        <v>478.0</v>
      </c>
      <c r="D7778" s="3">
        <f>IFERROR(__xludf.DUMMYFUNCTION("IFERROR(
IF(REGEXMATCH(LOWER(O7778),""k""),
VALUE(REGEXEXTRACT(O7778,""[0-9]+""))*1000,
VALUE(REGEXEXTRACT(O7778,""[0-9]+""))
),
0
)"),0.0)</f>
        <v>0</v>
      </c>
      <c r="E7778" s="1" t="s">
        <v>11</v>
      </c>
      <c r="F7778" s="1" t="s">
        <v>20</v>
      </c>
      <c r="G7778" s="4" t="b">
        <f t="shared" si="2"/>
        <v>1</v>
      </c>
      <c r="H7778" s="1" t="str">
        <f t="shared" si="3"/>
        <v>Currently Unavailable</v>
      </c>
      <c r="I7778" s="1" t="str">
        <f t="shared" si="4"/>
        <v>No Badges</v>
      </c>
      <c r="J7778" s="3">
        <f t="shared" si="5"/>
        <v>0</v>
      </c>
    </row>
    <row r="7779">
      <c r="A7779" s="1" t="s">
        <v>5926</v>
      </c>
      <c r="B7779" s="3" t="str">
        <f t="shared" si="1"/>
        <v>Unavailable</v>
      </c>
      <c r="C7779" s="5">
        <v>6099.0</v>
      </c>
      <c r="D7779" s="3">
        <f>IFERROR(__xludf.DUMMYFUNCTION("IFERROR(
IF(REGEXMATCH(LOWER(O7779),""k""),
VALUE(REGEXEXTRACT(O7779,""[0-9]+""))*1000,
VALUE(REGEXEXTRACT(O7779,""[0-9]+""))
),
0
)"),0.0)</f>
        <v>0</v>
      </c>
      <c r="E7779" s="1" t="s">
        <v>11</v>
      </c>
      <c r="F7779" s="1" t="s">
        <v>20</v>
      </c>
      <c r="G7779" s="4" t="b">
        <f t="shared" si="2"/>
        <v>1</v>
      </c>
      <c r="H7779" s="1" t="str">
        <f t="shared" si="3"/>
        <v>Currently Unavailable</v>
      </c>
      <c r="I7779" s="1" t="str">
        <f t="shared" si="4"/>
        <v>No Badges</v>
      </c>
      <c r="J7779" s="3">
        <f t="shared" si="5"/>
        <v>0</v>
      </c>
    </row>
    <row r="7780">
      <c r="A7780" s="1" t="s">
        <v>69</v>
      </c>
      <c r="B7780" s="3" t="str">
        <f t="shared" si="1"/>
        <v>Unavailable</v>
      </c>
      <c r="C7780" s="3">
        <v>45.0</v>
      </c>
      <c r="D7780" s="3">
        <f>IFERROR(__xludf.DUMMYFUNCTION("IFERROR(
IF(REGEXMATCH(LOWER(O7780),""k""),
VALUE(REGEXEXTRACT(O7780,""[0-9]+""))*1000,
VALUE(REGEXEXTRACT(O7780,""[0-9]+""))
),
0
)"),0.0)</f>
        <v>0</v>
      </c>
      <c r="E7780" s="1" t="s">
        <v>11</v>
      </c>
      <c r="F7780" s="1" t="s">
        <v>12</v>
      </c>
      <c r="G7780" s="4" t="b">
        <f t="shared" si="2"/>
        <v>1</v>
      </c>
      <c r="H7780" s="1" t="str">
        <f t="shared" si="3"/>
        <v>Currently Unavailable</v>
      </c>
      <c r="I7780" s="1" t="str">
        <f t="shared" si="4"/>
        <v>No Badges</v>
      </c>
      <c r="J7780" s="3">
        <f t="shared" si="5"/>
        <v>0</v>
      </c>
    </row>
    <row r="7781">
      <c r="A7781" s="1" t="s">
        <v>5927</v>
      </c>
      <c r="B7781" s="3" t="str">
        <f t="shared" si="1"/>
        <v>Unavailable</v>
      </c>
      <c r="C7781" s="3">
        <v>186.0</v>
      </c>
      <c r="D7781" s="3">
        <f>IFERROR(__xludf.DUMMYFUNCTION("IFERROR(
IF(REGEXMATCH(LOWER(O7781),""k""),
VALUE(REGEXEXTRACT(O7781,""[0-9]+""))*1000,
VALUE(REGEXEXTRACT(O7781,""[0-9]+""))
),
0
)"),0.0)</f>
        <v>0</v>
      </c>
      <c r="E7781" s="1" t="s">
        <v>11</v>
      </c>
      <c r="F7781" s="1" t="s">
        <v>20</v>
      </c>
      <c r="G7781" s="4" t="b">
        <f t="shared" si="2"/>
        <v>1</v>
      </c>
      <c r="H7781" s="1" t="str">
        <f t="shared" si="3"/>
        <v>Currently Unavailable</v>
      </c>
      <c r="I7781" s="1" t="str">
        <f t="shared" si="4"/>
        <v>No Badges</v>
      </c>
      <c r="J7781" s="3">
        <f t="shared" si="5"/>
        <v>0</v>
      </c>
    </row>
    <row r="7782">
      <c r="A7782" s="1" t="s">
        <v>5928</v>
      </c>
      <c r="B7782" s="3" t="str">
        <f t="shared" si="1"/>
        <v>Unavailable</v>
      </c>
      <c r="C7782" s="3">
        <v>224.0</v>
      </c>
      <c r="D7782" s="3">
        <f>IFERROR(__xludf.DUMMYFUNCTION("IFERROR(
IF(REGEXMATCH(LOWER(O7782),""k""),
VALUE(REGEXEXTRACT(O7782,""[0-9]+""))*1000,
VALUE(REGEXEXTRACT(O7782,""[0-9]+""))
),
0
)"),0.0)</f>
        <v>0</v>
      </c>
      <c r="E7782" s="1" t="s">
        <v>11</v>
      </c>
      <c r="F7782" s="1" t="s">
        <v>20</v>
      </c>
      <c r="G7782" s="4" t="b">
        <f t="shared" si="2"/>
        <v>1</v>
      </c>
      <c r="H7782" s="1" t="str">
        <f t="shared" si="3"/>
        <v>Currently Unavailable</v>
      </c>
      <c r="I7782" s="1" t="str">
        <f t="shared" si="4"/>
        <v>No Badges</v>
      </c>
      <c r="J7782" s="3">
        <f t="shared" si="5"/>
        <v>0</v>
      </c>
    </row>
    <row r="7783">
      <c r="A7783" s="1" t="s">
        <v>5929</v>
      </c>
      <c r="B7783" s="3" t="str">
        <f t="shared" si="1"/>
        <v>Unavailable</v>
      </c>
      <c r="C7783" s="3">
        <v>51.0</v>
      </c>
      <c r="D7783" s="3">
        <f>IFERROR(__xludf.DUMMYFUNCTION("IFERROR(
IF(REGEXMATCH(LOWER(O7783),""k""),
VALUE(REGEXEXTRACT(O7783,""[0-9]+""))*1000,
VALUE(REGEXEXTRACT(O7783,""[0-9]+""))
),
0
)"),0.0)</f>
        <v>0</v>
      </c>
      <c r="E7783" s="1" t="s">
        <v>11</v>
      </c>
      <c r="F7783" s="1" t="s">
        <v>20</v>
      </c>
      <c r="G7783" s="4" t="b">
        <f t="shared" si="2"/>
        <v>1</v>
      </c>
      <c r="H7783" s="1" t="str">
        <f t="shared" si="3"/>
        <v>Currently Unavailable</v>
      </c>
      <c r="I7783" s="1" t="str">
        <f t="shared" si="4"/>
        <v>No Badges</v>
      </c>
      <c r="J7783" s="3">
        <f t="shared" si="5"/>
        <v>0</v>
      </c>
    </row>
    <row r="7784">
      <c r="A7784" s="1" t="s">
        <v>5930</v>
      </c>
      <c r="B7784" s="3" t="str">
        <f t="shared" si="1"/>
        <v>Unavailable</v>
      </c>
      <c r="C7784" s="3">
        <v>95.0</v>
      </c>
      <c r="D7784" s="3">
        <f>IFERROR(__xludf.DUMMYFUNCTION("IFERROR(
IF(REGEXMATCH(LOWER(O7784),""k""),
VALUE(REGEXEXTRACT(O7784,""[0-9]+""))*1000,
VALUE(REGEXEXTRACT(O7784,""[0-9]+""))
),
0
)"),0.0)</f>
        <v>0</v>
      </c>
      <c r="E7784" s="1" t="s">
        <v>11</v>
      </c>
      <c r="F7784" s="1" t="s">
        <v>20</v>
      </c>
      <c r="G7784" s="4" t="b">
        <f t="shared" si="2"/>
        <v>1</v>
      </c>
      <c r="H7784" s="1" t="str">
        <f t="shared" si="3"/>
        <v>Currently Unavailable</v>
      </c>
      <c r="I7784" s="1" t="str">
        <f t="shared" si="4"/>
        <v>No Badges</v>
      </c>
      <c r="J7784" s="3">
        <f t="shared" si="5"/>
        <v>0</v>
      </c>
    </row>
    <row r="7785">
      <c r="A7785" s="1" t="s">
        <v>5817</v>
      </c>
      <c r="B7785" s="3" t="str">
        <f t="shared" si="1"/>
        <v>Unavailable</v>
      </c>
      <c r="C7785" s="5">
        <v>7235.0</v>
      </c>
      <c r="D7785" s="3">
        <f>IFERROR(__xludf.DUMMYFUNCTION("IFERROR(
IF(REGEXMATCH(LOWER(O7785),""k""),
VALUE(REGEXEXTRACT(O7785,""[0-9]+""))*1000,
VALUE(REGEXEXTRACT(O7785,""[0-9]+""))
),
0
)"),0.0)</f>
        <v>0</v>
      </c>
      <c r="E7785" s="1" t="s">
        <v>11</v>
      </c>
      <c r="F7785" s="1" t="s">
        <v>12</v>
      </c>
      <c r="G7785" s="4" t="b">
        <f t="shared" si="2"/>
        <v>1</v>
      </c>
      <c r="H7785" s="1" t="str">
        <f t="shared" si="3"/>
        <v>Currently Unavailable</v>
      </c>
      <c r="I7785" s="1" t="str">
        <f t="shared" si="4"/>
        <v>No Badges</v>
      </c>
      <c r="J7785" s="3">
        <f t="shared" si="5"/>
        <v>0</v>
      </c>
    </row>
    <row r="7786">
      <c r="A7786" s="1" t="s">
        <v>5931</v>
      </c>
      <c r="B7786" s="3" t="str">
        <f t="shared" si="1"/>
        <v>Unavailable</v>
      </c>
      <c r="C7786" s="3">
        <v>923.0</v>
      </c>
      <c r="D7786" s="3">
        <f>IFERROR(__xludf.DUMMYFUNCTION("IFERROR(
IF(REGEXMATCH(LOWER(O7786),""k""),
VALUE(REGEXEXTRACT(O7786,""[0-9]+""))*1000,
VALUE(REGEXEXTRACT(O7786,""[0-9]+""))
),
0
)"),0.0)</f>
        <v>0</v>
      </c>
      <c r="E7786" s="1" t="s">
        <v>11</v>
      </c>
      <c r="F7786" s="1" t="s">
        <v>20</v>
      </c>
      <c r="G7786" s="4" t="b">
        <f t="shared" si="2"/>
        <v>1</v>
      </c>
      <c r="H7786" s="1" t="str">
        <f t="shared" si="3"/>
        <v>Currently Unavailable</v>
      </c>
      <c r="I7786" s="1" t="str">
        <f t="shared" si="4"/>
        <v>No Badges</v>
      </c>
      <c r="J7786" s="3">
        <f t="shared" si="5"/>
        <v>0</v>
      </c>
    </row>
    <row r="7787">
      <c r="A7787" s="1" t="s">
        <v>5817</v>
      </c>
      <c r="B7787" s="3" t="str">
        <f t="shared" si="1"/>
        <v>Unavailable</v>
      </c>
      <c r="C7787" s="5">
        <v>7235.0</v>
      </c>
      <c r="D7787" s="3">
        <f>IFERROR(__xludf.DUMMYFUNCTION("IFERROR(
IF(REGEXMATCH(LOWER(O7787),""k""),
VALUE(REGEXEXTRACT(O7787,""[0-9]+""))*1000,
VALUE(REGEXEXTRACT(O7787,""[0-9]+""))
),
0
)"),0.0)</f>
        <v>0</v>
      </c>
      <c r="E7787" s="1" t="s">
        <v>11</v>
      </c>
      <c r="F7787" s="1" t="s">
        <v>12</v>
      </c>
      <c r="G7787" s="4" t="b">
        <f t="shared" si="2"/>
        <v>1</v>
      </c>
      <c r="H7787" s="1" t="str">
        <f t="shared" si="3"/>
        <v>Currently Unavailable</v>
      </c>
      <c r="I7787" s="1" t="str">
        <f t="shared" si="4"/>
        <v>No Badges</v>
      </c>
      <c r="J7787" s="3">
        <f t="shared" si="5"/>
        <v>0</v>
      </c>
    </row>
    <row r="7788">
      <c r="A7788" s="1" t="s">
        <v>5932</v>
      </c>
      <c r="B7788" s="3" t="str">
        <f t="shared" si="1"/>
        <v>Unavailable</v>
      </c>
      <c r="C7788" s="3">
        <v>282.0</v>
      </c>
      <c r="D7788" s="3">
        <f>IFERROR(__xludf.DUMMYFUNCTION("IFERROR(
IF(REGEXMATCH(LOWER(O7788),""k""),
VALUE(REGEXEXTRACT(O7788,""[0-9]+""))*1000,
VALUE(REGEXEXTRACT(O7788,""[0-9]+""))
),
0
)"),0.0)</f>
        <v>0</v>
      </c>
      <c r="E7788" s="1" t="s">
        <v>11</v>
      </c>
      <c r="F7788" s="1" t="s">
        <v>20</v>
      </c>
      <c r="G7788" s="4" t="b">
        <f t="shared" si="2"/>
        <v>1</v>
      </c>
      <c r="H7788" s="1" t="str">
        <f t="shared" si="3"/>
        <v>Currently Unavailable</v>
      </c>
      <c r="I7788" s="1" t="str">
        <f t="shared" si="4"/>
        <v>No Badges</v>
      </c>
      <c r="J7788" s="3">
        <f t="shared" si="5"/>
        <v>0</v>
      </c>
    </row>
    <row r="7789">
      <c r="A7789" s="1" t="s">
        <v>5933</v>
      </c>
      <c r="B7789" s="3" t="str">
        <f t="shared" si="1"/>
        <v>Unavailable</v>
      </c>
      <c r="C7789" s="3">
        <v>239.0</v>
      </c>
      <c r="D7789" s="3">
        <f>IFERROR(__xludf.DUMMYFUNCTION("IFERROR(
IF(REGEXMATCH(LOWER(O7789),""k""),
VALUE(REGEXEXTRACT(O7789,""[0-9]+""))*1000,
VALUE(REGEXEXTRACT(O7789,""[0-9]+""))
),
0
)"),0.0)</f>
        <v>0</v>
      </c>
      <c r="E7789" s="1" t="s">
        <v>11</v>
      </c>
      <c r="F7789" s="1" t="s">
        <v>20</v>
      </c>
      <c r="G7789" s="4" t="b">
        <f t="shared" si="2"/>
        <v>1</v>
      </c>
      <c r="H7789" s="1" t="str">
        <f t="shared" si="3"/>
        <v>Currently Unavailable</v>
      </c>
      <c r="I7789" s="1" t="str">
        <f t="shared" si="4"/>
        <v>No Badges</v>
      </c>
      <c r="J7789" s="3">
        <f t="shared" si="5"/>
        <v>0</v>
      </c>
    </row>
    <row r="7790">
      <c r="A7790" s="1" t="s">
        <v>5934</v>
      </c>
      <c r="B7790" s="3" t="str">
        <f t="shared" si="1"/>
        <v>Unavailable</v>
      </c>
      <c r="C7790" s="3">
        <v>292.0</v>
      </c>
      <c r="D7790" s="3">
        <f>IFERROR(__xludf.DUMMYFUNCTION("IFERROR(
IF(REGEXMATCH(LOWER(O7790),""k""),
VALUE(REGEXEXTRACT(O7790,""[0-9]+""))*1000,
VALUE(REGEXEXTRACT(O7790,""[0-9]+""))
),
0
)"),0.0)</f>
        <v>0</v>
      </c>
      <c r="E7790" s="1" t="s">
        <v>11</v>
      </c>
      <c r="F7790" s="1" t="s">
        <v>20</v>
      </c>
      <c r="G7790" s="4" t="b">
        <f t="shared" si="2"/>
        <v>1</v>
      </c>
      <c r="H7790" s="1" t="str">
        <f t="shared" si="3"/>
        <v>Currently Unavailable</v>
      </c>
      <c r="I7790" s="1" t="str">
        <f t="shared" si="4"/>
        <v>No Badges</v>
      </c>
      <c r="J7790" s="3">
        <f t="shared" si="5"/>
        <v>0</v>
      </c>
    </row>
    <row r="7791">
      <c r="A7791" s="1" t="s">
        <v>5935</v>
      </c>
      <c r="B7791" s="3" t="str">
        <f t="shared" si="1"/>
        <v>Unavailable</v>
      </c>
      <c r="C7791" s="3">
        <v>284.0</v>
      </c>
      <c r="D7791" s="3">
        <f>IFERROR(__xludf.DUMMYFUNCTION("IFERROR(
IF(REGEXMATCH(LOWER(O7791),""k""),
VALUE(REGEXEXTRACT(O7791,""[0-9]+""))*1000,
VALUE(REGEXEXTRACT(O7791,""[0-9]+""))
),
0
)"),0.0)</f>
        <v>0</v>
      </c>
      <c r="E7791" s="1" t="s">
        <v>11</v>
      </c>
      <c r="F7791" s="1" t="s">
        <v>20</v>
      </c>
      <c r="G7791" s="4" t="b">
        <f t="shared" si="2"/>
        <v>1</v>
      </c>
      <c r="H7791" s="1" t="str">
        <f t="shared" si="3"/>
        <v>Currently Unavailable</v>
      </c>
      <c r="I7791" s="1" t="str">
        <f t="shared" si="4"/>
        <v>No Badges</v>
      </c>
      <c r="J7791" s="3">
        <f t="shared" si="5"/>
        <v>0</v>
      </c>
    </row>
    <row r="7792">
      <c r="A7792" s="1" t="s">
        <v>5936</v>
      </c>
      <c r="B7792" s="3" t="str">
        <f t="shared" si="1"/>
        <v>Unavailable</v>
      </c>
      <c r="C7792" s="3">
        <v>472.0</v>
      </c>
      <c r="D7792" s="3">
        <f>IFERROR(__xludf.DUMMYFUNCTION("IFERROR(
IF(REGEXMATCH(LOWER(O7792),""k""),
VALUE(REGEXEXTRACT(O7792,""[0-9]+""))*1000,
VALUE(REGEXEXTRACT(O7792,""[0-9]+""))
),
0
)"),0.0)</f>
        <v>0</v>
      </c>
      <c r="E7792" s="1" t="s">
        <v>11</v>
      </c>
      <c r="F7792" s="1" t="s">
        <v>20</v>
      </c>
      <c r="G7792" s="4" t="b">
        <f t="shared" si="2"/>
        <v>1</v>
      </c>
      <c r="H7792" s="1" t="str">
        <f t="shared" si="3"/>
        <v>Currently Unavailable</v>
      </c>
      <c r="I7792" s="1" t="str">
        <f t="shared" si="4"/>
        <v>No Badges</v>
      </c>
      <c r="J7792" s="3">
        <f t="shared" si="5"/>
        <v>0</v>
      </c>
    </row>
    <row r="7793">
      <c r="A7793" s="1" t="s">
        <v>67</v>
      </c>
      <c r="B7793" s="3" t="str">
        <f t="shared" si="1"/>
        <v>Unavailable</v>
      </c>
      <c r="C7793" s="3">
        <v>264.0</v>
      </c>
      <c r="D7793" s="3">
        <f>IFERROR(__xludf.DUMMYFUNCTION("IFERROR(
IF(REGEXMATCH(LOWER(O7793),""k""),
VALUE(REGEXEXTRACT(O7793,""[0-9]+""))*1000,
VALUE(REGEXEXTRACT(O7793,""[0-9]+""))
),
0
)"),0.0)</f>
        <v>0</v>
      </c>
      <c r="E7793" s="1" t="s">
        <v>11</v>
      </c>
      <c r="F7793" s="1" t="s">
        <v>12</v>
      </c>
      <c r="G7793" s="4" t="b">
        <f t="shared" si="2"/>
        <v>1</v>
      </c>
      <c r="H7793" s="1" t="str">
        <f t="shared" si="3"/>
        <v>Currently Unavailable</v>
      </c>
      <c r="I7793" s="1" t="str">
        <f t="shared" si="4"/>
        <v>No Badges</v>
      </c>
      <c r="J7793" s="3">
        <f t="shared" si="5"/>
        <v>0</v>
      </c>
    </row>
    <row r="7794">
      <c r="A7794" s="1" t="s">
        <v>5937</v>
      </c>
      <c r="B7794" s="3" t="str">
        <f t="shared" si="1"/>
        <v>Unavailable</v>
      </c>
      <c r="C7794" s="5">
        <v>1822.0</v>
      </c>
      <c r="D7794" s="3">
        <f>IFERROR(__xludf.DUMMYFUNCTION("IFERROR(
IF(REGEXMATCH(LOWER(O7794),""k""),
VALUE(REGEXEXTRACT(O7794,""[0-9]+""))*1000,
VALUE(REGEXEXTRACT(O7794,""[0-9]+""))
),
0
)"),0.0)</f>
        <v>0</v>
      </c>
      <c r="E7794" s="1" t="s">
        <v>11</v>
      </c>
      <c r="F7794" s="1" t="s">
        <v>20</v>
      </c>
      <c r="G7794" s="4" t="b">
        <f t="shared" si="2"/>
        <v>1</v>
      </c>
      <c r="H7794" s="1" t="str">
        <f t="shared" si="3"/>
        <v>Currently Unavailable</v>
      </c>
      <c r="I7794" s="1" t="str">
        <f t="shared" si="4"/>
        <v>No Badges</v>
      </c>
      <c r="J7794" s="3">
        <f t="shared" si="5"/>
        <v>0</v>
      </c>
    </row>
    <row r="7795">
      <c r="A7795" s="1" t="s">
        <v>5938</v>
      </c>
      <c r="B7795" s="3" t="str">
        <f t="shared" si="1"/>
        <v>Unavailable</v>
      </c>
      <c r="C7795" s="5">
        <v>1386.0</v>
      </c>
      <c r="D7795" s="3">
        <f>IFERROR(__xludf.DUMMYFUNCTION("IFERROR(
IF(REGEXMATCH(LOWER(O7795),""k""),
VALUE(REGEXEXTRACT(O7795,""[0-9]+""))*1000,
VALUE(REGEXEXTRACT(O7795,""[0-9]+""))
),
0
)"),0.0)</f>
        <v>0</v>
      </c>
      <c r="E7795" s="1" t="s">
        <v>11</v>
      </c>
      <c r="F7795" s="1" t="s">
        <v>20</v>
      </c>
      <c r="G7795" s="4" t="b">
        <f t="shared" si="2"/>
        <v>1</v>
      </c>
      <c r="H7795" s="1" t="str">
        <f t="shared" si="3"/>
        <v>Currently Unavailable</v>
      </c>
      <c r="I7795" s="1" t="str">
        <f t="shared" si="4"/>
        <v>No Badges</v>
      </c>
      <c r="J7795" s="3">
        <f t="shared" si="5"/>
        <v>0</v>
      </c>
    </row>
    <row r="7796">
      <c r="A7796" s="1" t="s">
        <v>5817</v>
      </c>
      <c r="B7796" s="3" t="str">
        <f t="shared" si="1"/>
        <v>Unavailable</v>
      </c>
      <c r="C7796" s="5">
        <v>7235.0</v>
      </c>
      <c r="D7796" s="3">
        <f>IFERROR(__xludf.DUMMYFUNCTION("IFERROR(
IF(REGEXMATCH(LOWER(O7796),""k""),
VALUE(REGEXEXTRACT(O7796,""[0-9]+""))*1000,
VALUE(REGEXEXTRACT(O7796,""[0-9]+""))
),
0
)"),0.0)</f>
        <v>0</v>
      </c>
      <c r="E7796" s="1" t="s">
        <v>11</v>
      </c>
      <c r="F7796" s="1" t="s">
        <v>12</v>
      </c>
      <c r="G7796" s="4" t="b">
        <f t="shared" si="2"/>
        <v>1</v>
      </c>
      <c r="H7796" s="1" t="str">
        <f t="shared" si="3"/>
        <v>Currently Unavailable</v>
      </c>
      <c r="I7796" s="1" t="str">
        <f t="shared" si="4"/>
        <v>No Badges</v>
      </c>
      <c r="J7796" s="3">
        <f t="shared" si="5"/>
        <v>0</v>
      </c>
    </row>
    <row r="7797">
      <c r="A7797" s="1" t="s">
        <v>5939</v>
      </c>
      <c r="B7797" s="3" t="str">
        <f t="shared" si="1"/>
        <v>Unavailable</v>
      </c>
      <c r="C7797" s="5">
        <v>3066.0</v>
      </c>
      <c r="D7797" s="3">
        <f>IFERROR(__xludf.DUMMYFUNCTION("IFERROR(
IF(REGEXMATCH(LOWER(O7797),""k""),
VALUE(REGEXEXTRACT(O7797,""[0-9]+""))*1000,
VALUE(REGEXEXTRACT(O7797,""[0-9]+""))
),
0
)"),0.0)</f>
        <v>0</v>
      </c>
      <c r="E7797" s="1" t="s">
        <v>158</v>
      </c>
      <c r="F7797" s="1" t="s">
        <v>20</v>
      </c>
      <c r="G7797" s="4" t="b">
        <f t="shared" si="2"/>
        <v>1</v>
      </c>
      <c r="H7797" s="1" t="str">
        <f t="shared" si="3"/>
        <v>Currently Unavailable</v>
      </c>
      <c r="I7797" s="1" t="str">
        <f t="shared" si="4"/>
        <v>No Badges</v>
      </c>
      <c r="J7797" s="3">
        <f t="shared" si="5"/>
        <v>0</v>
      </c>
    </row>
    <row r="7798">
      <c r="A7798" s="1" t="s">
        <v>5940</v>
      </c>
      <c r="B7798" s="3" t="str">
        <f t="shared" si="1"/>
        <v>Unavailable</v>
      </c>
      <c r="C7798" s="5">
        <v>1919.0</v>
      </c>
      <c r="D7798" s="3">
        <f>IFERROR(__xludf.DUMMYFUNCTION("IFERROR(
IF(REGEXMATCH(LOWER(O7798),""k""),
VALUE(REGEXEXTRACT(O7798,""[0-9]+""))*1000,
VALUE(REGEXEXTRACT(O7798,""[0-9]+""))
),
0
)"),0.0)</f>
        <v>0</v>
      </c>
      <c r="E7798" s="1" t="s">
        <v>11</v>
      </c>
      <c r="F7798" s="1" t="s">
        <v>20</v>
      </c>
      <c r="G7798" s="4" t="b">
        <f t="shared" si="2"/>
        <v>1</v>
      </c>
      <c r="H7798" s="1" t="str">
        <f t="shared" si="3"/>
        <v>Currently Unavailable</v>
      </c>
      <c r="I7798" s="1" t="str">
        <f t="shared" si="4"/>
        <v>No Badges</v>
      </c>
      <c r="J7798" s="3">
        <f t="shared" si="5"/>
        <v>0</v>
      </c>
    </row>
    <row r="7799">
      <c r="A7799" s="1" t="s">
        <v>5941</v>
      </c>
      <c r="B7799" s="3" t="str">
        <f t="shared" si="1"/>
        <v>Unavailable</v>
      </c>
      <c r="C7799" s="5">
        <v>3303.0</v>
      </c>
      <c r="D7799" s="3">
        <f>IFERROR(__xludf.DUMMYFUNCTION("IFERROR(
IF(REGEXMATCH(LOWER(O7799),""k""),
VALUE(REGEXEXTRACT(O7799,""[0-9]+""))*1000,
VALUE(REGEXEXTRACT(O7799,""[0-9]+""))
),
0
)"),0.0)</f>
        <v>0</v>
      </c>
      <c r="E7799" s="1" t="s">
        <v>11</v>
      </c>
      <c r="F7799" s="1" t="s">
        <v>20</v>
      </c>
      <c r="G7799" s="4" t="b">
        <f t="shared" si="2"/>
        <v>1</v>
      </c>
      <c r="H7799" s="1" t="str">
        <f t="shared" si="3"/>
        <v>Currently Unavailable</v>
      </c>
      <c r="I7799" s="1" t="str">
        <f t="shared" si="4"/>
        <v>No Badges</v>
      </c>
      <c r="J7799" s="3">
        <f t="shared" si="5"/>
        <v>0</v>
      </c>
    </row>
    <row r="7800">
      <c r="A7800" s="1" t="s">
        <v>5942</v>
      </c>
      <c r="B7800" s="3" t="str">
        <f t="shared" si="1"/>
        <v>Unavailable</v>
      </c>
      <c r="C7800" s="5">
        <v>1345.0</v>
      </c>
      <c r="D7800" s="3">
        <f>IFERROR(__xludf.DUMMYFUNCTION("IFERROR(
IF(REGEXMATCH(LOWER(O7800),""k""),
VALUE(REGEXEXTRACT(O7800,""[0-9]+""))*1000,
VALUE(REGEXEXTRACT(O7800,""[0-9]+""))
),
0
)"),0.0)</f>
        <v>0</v>
      </c>
      <c r="E7800" s="1" t="s">
        <v>11</v>
      </c>
      <c r="F7800" s="1" t="s">
        <v>20</v>
      </c>
      <c r="G7800" s="4" t="b">
        <f t="shared" si="2"/>
        <v>1</v>
      </c>
      <c r="H7800" s="1" t="str">
        <f t="shared" si="3"/>
        <v>Currently Unavailable</v>
      </c>
      <c r="I7800" s="1" t="str">
        <f t="shared" si="4"/>
        <v>No Badges</v>
      </c>
      <c r="J7800" s="3">
        <f t="shared" si="5"/>
        <v>0</v>
      </c>
    </row>
    <row r="7801">
      <c r="A7801" s="1" t="s">
        <v>5943</v>
      </c>
      <c r="B7801" s="3" t="str">
        <f t="shared" si="1"/>
        <v>Unavailable</v>
      </c>
      <c r="C7801" s="3">
        <v>796.0</v>
      </c>
      <c r="D7801" s="3">
        <f>IFERROR(__xludf.DUMMYFUNCTION("IFERROR(
IF(REGEXMATCH(LOWER(O7801),""k""),
VALUE(REGEXEXTRACT(O7801,""[0-9]+""))*1000,
VALUE(REGEXEXTRACT(O7801,""[0-9]+""))
),
0
)"),0.0)</f>
        <v>0</v>
      </c>
      <c r="E7801" s="1" t="s">
        <v>11</v>
      </c>
      <c r="F7801" s="1" t="s">
        <v>20</v>
      </c>
      <c r="G7801" s="4" t="b">
        <f t="shared" si="2"/>
        <v>1</v>
      </c>
      <c r="H7801" s="1" t="str">
        <f t="shared" si="3"/>
        <v>Currently Unavailable</v>
      </c>
      <c r="I7801" s="1" t="str">
        <f t="shared" si="4"/>
        <v>No Badges</v>
      </c>
      <c r="J7801" s="3">
        <f t="shared" si="5"/>
        <v>0</v>
      </c>
    </row>
    <row r="7802">
      <c r="A7802" s="1" t="s">
        <v>5944</v>
      </c>
      <c r="B7802" s="3" t="str">
        <f t="shared" si="1"/>
        <v>Unavailable</v>
      </c>
      <c r="C7802" s="3">
        <v>5.0</v>
      </c>
      <c r="D7802" s="3">
        <f>IFERROR(__xludf.DUMMYFUNCTION("IFERROR(
IF(REGEXMATCH(LOWER(O7802),""k""),
VALUE(REGEXEXTRACT(O7802,""[0-9]+""))*1000,
VALUE(REGEXEXTRACT(O7802,""[0-9]+""))
),
0
)"),0.0)</f>
        <v>0</v>
      </c>
      <c r="E7802" s="1" t="s">
        <v>11</v>
      </c>
      <c r="F7802" s="1" t="s">
        <v>20</v>
      </c>
      <c r="G7802" s="4" t="b">
        <f t="shared" si="2"/>
        <v>1</v>
      </c>
      <c r="H7802" s="1" t="str">
        <f t="shared" si="3"/>
        <v>Currently Unavailable</v>
      </c>
      <c r="I7802" s="1" t="str">
        <f t="shared" si="4"/>
        <v>No Badges</v>
      </c>
      <c r="J7802" s="3">
        <f t="shared" si="5"/>
        <v>0</v>
      </c>
    </row>
    <row r="7803">
      <c r="A7803" s="1" t="s">
        <v>5945</v>
      </c>
      <c r="B7803" s="3" t="str">
        <f t="shared" si="1"/>
        <v>Unavailable</v>
      </c>
      <c r="C7803" s="5">
        <v>1060.0</v>
      </c>
      <c r="D7803" s="3">
        <f>IFERROR(__xludf.DUMMYFUNCTION("IFERROR(
IF(REGEXMATCH(LOWER(O7803),""k""),
VALUE(REGEXEXTRACT(O7803,""[0-9]+""))*1000,
VALUE(REGEXEXTRACT(O7803,""[0-9]+""))
),
0
)"),0.0)</f>
        <v>0</v>
      </c>
      <c r="E7803" s="1" t="s">
        <v>11</v>
      </c>
      <c r="F7803" s="1" t="s">
        <v>20</v>
      </c>
      <c r="G7803" s="4" t="b">
        <f t="shared" si="2"/>
        <v>1</v>
      </c>
      <c r="H7803" s="1" t="str">
        <f t="shared" si="3"/>
        <v>Currently Unavailable</v>
      </c>
      <c r="I7803" s="1" t="str">
        <f t="shared" si="4"/>
        <v>No Badges</v>
      </c>
      <c r="J7803" s="3">
        <f t="shared" si="5"/>
        <v>0</v>
      </c>
    </row>
    <row r="7804">
      <c r="A7804" s="1" t="s">
        <v>5946</v>
      </c>
      <c r="B7804" s="3" t="str">
        <f t="shared" si="1"/>
        <v>Unavailable</v>
      </c>
      <c r="C7804" s="3">
        <v>527.0</v>
      </c>
      <c r="D7804" s="3">
        <f>IFERROR(__xludf.DUMMYFUNCTION("IFERROR(
IF(REGEXMATCH(LOWER(O7804),""k""),
VALUE(REGEXEXTRACT(O7804,""[0-9]+""))*1000,
VALUE(REGEXEXTRACT(O7804,""[0-9]+""))
),
0
)"),0.0)</f>
        <v>0</v>
      </c>
      <c r="E7804" s="1" t="s">
        <v>11</v>
      </c>
      <c r="F7804" s="1" t="s">
        <v>20</v>
      </c>
      <c r="G7804" s="4" t="b">
        <f t="shared" si="2"/>
        <v>1</v>
      </c>
      <c r="H7804" s="1" t="str">
        <f t="shared" si="3"/>
        <v>Currently Unavailable</v>
      </c>
      <c r="I7804" s="1" t="str">
        <f t="shared" si="4"/>
        <v>No Badges</v>
      </c>
      <c r="J7804" s="3">
        <f t="shared" si="5"/>
        <v>0</v>
      </c>
    </row>
    <row r="7805">
      <c r="A7805" s="1" t="s">
        <v>5947</v>
      </c>
      <c r="B7805" s="3" t="str">
        <f t="shared" si="1"/>
        <v>Unavailable</v>
      </c>
      <c r="C7805" s="3">
        <v>525.0</v>
      </c>
      <c r="D7805" s="3">
        <f>IFERROR(__xludf.DUMMYFUNCTION("IFERROR(
IF(REGEXMATCH(LOWER(O7805),""k""),
VALUE(REGEXEXTRACT(O7805,""[0-9]+""))*1000,
VALUE(REGEXEXTRACT(O7805,""[0-9]+""))
),
0
)"),0.0)</f>
        <v>0</v>
      </c>
      <c r="E7805" s="1" t="s">
        <v>11</v>
      </c>
      <c r="F7805" s="1" t="s">
        <v>20</v>
      </c>
      <c r="G7805" s="4" t="b">
        <f t="shared" si="2"/>
        <v>1</v>
      </c>
      <c r="H7805" s="1" t="str">
        <f t="shared" si="3"/>
        <v>Currently Unavailable</v>
      </c>
      <c r="I7805" s="1" t="str">
        <f t="shared" si="4"/>
        <v>No Badges</v>
      </c>
      <c r="J7805" s="3">
        <f t="shared" si="5"/>
        <v>0</v>
      </c>
    </row>
    <row r="7806">
      <c r="A7806" s="1" t="s">
        <v>5948</v>
      </c>
      <c r="B7806" s="3" t="str">
        <f t="shared" si="1"/>
        <v>Unavailable</v>
      </c>
      <c r="C7806" s="3">
        <v>73.0</v>
      </c>
      <c r="D7806" s="3">
        <f>IFERROR(__xludf.DUMMYFUNCTION("IFERROR(
IF(REGEXMATCH(LOWER(O7806),""k""),
VALUE(REGEXEXTRACT(O7806,""[0-9]+""))*1000,
VALUE(REGEXEXTRACT(O7806,""[0-9]+""))
),
0
)"),0.0)</f>
        <v>0</v>
      </c>
      <c r="E7806" s="1" t="s">
        <v>11</v>
      </c>
      <c r="F7806" s="1" t="s">
        <v>20</v>
      </c>
      <c r="G7806" s="4" t="b">
        <f t="shared" si="2"/>
        <v>1</v>
      </c>
      <c r="H7806" s="1" t="str">
        <f t="shared" si="3"/>
        <v>Currently Unavailable</v>
      </c>
      <c r="I7806" s="1" t="str">
        <f t="shared" si="4"/>
        <v>No Badges</v>
      </c>
      <c r="J7806" s="3">
        <f t="shared" si="5"/>
        <v>0</v>
      </c>
    </row>
    <row r="7807">
      <c r="A7807" s="1" t="s">
        <v>5949</v>
      </c>
      <c r="B7807" s="3" t="str">
        <f t="shared" si="1"/>
        <v>Unavailable</v>
      </c>
      <c r="C7807" s="5">
        <v>2501.0</v>
      </c>
      <c r="D7807" s="3">
        <f>IFERROR(__xludf.DUMMYFUNCTION("IFERROR(
IF(REGEXMATCH(LOWER(O7807),""k""),
VALUE(REGEXEXTRACT(O7807,""[0-9]+""))*1000,
VALUE(REGEXEXTRACT(O7807,""[0-9]+""))
),
0
)"),0.0)</f>
        <v>0</v>
      </c>
      <c r="E7807" s="1" t="s">
        <v>11</v>
      </c>
      <c r="F7807" s="1" t="s">
        <v>20</v>
      </c>
      <c r="G7807" s="4" t="b">
        <f t="shared" si="2"/>
        <v>1</v>
      </c>
      <c r="H7807" s="1" t="str">
        <f t="shared" si="3"/>
        <v>Currently Unavailable</v>
      </c>
      <c r="I7807" s="1" t="str">
        <f t="shared" si="4"/>
        <v>No Badges</v>
      </c>
      <c r="J7807" s="3">
        <f t="shared" si="5"/>
        <v>0</v>
      </c>
    </row>
    <row r="7808">
      <c r="A7808" s="1" t="s">
        <v>701</v>
      </c>
      <c r="B7808" s="3" t="str">
        <f t="shared" si="1"/>
        <v>Unavailable</v>
      </c>
      <c r="C7808" s="3">
        <v>8.0</v>
      </c>
      <c r="D7808" s="3">
        <f>IFERROR(__xludf.DUMMYFUNCTION("IFERROR(
IF(REGEXMATCH(LOWER(O7808),""k""),
VALUE(REGEXEXTRACT(O7808,""[0-9]+""))*1000,
VALUE(REGEXEXTRACT(O7808,""[0-9]+""))
),
0
)"),0.0)</f>
        <v>0</v>
      </c>
      <c r="E7808" s="1" t="s">
        <v>11</v>
      </c>
      <c r="F7808" s="1" t="s">
        <v>12</v>
      </c>
      <c r="G7808" s="4" t="b">
        <f t="shared" si="2"/>
        <v>1</v>
      </c>
      <c r="H7808" s="1" t="str">
        <f t="shared" si="3"/>
        <v>Currently Unavailable</v>
      </c>
      <c r="I7808" s="1" t="str">
        <f t="shared" si="4"/>
        <v>No Badges</v>
      </c>
      <c r="J7808" s="3">
        <f t="shared" si="5"/>
        <v>0</v>
      </c>
    </row>
    <row r="7809">
      <c r="A7809" s="1" t="s">
        <v>5950</v>
      </c>
      <c r="B7809" s="3" t="str">
        <f t="shared" si="1"/>
        <v>Unavailable</v>
      </c>
      <c r="C7809" s="3">
        <v>57.0</v>
      </c>
      <c r="D7809" s="3">
        <f>IFERROR(__xludf.DUMMYFUNCTION("IFERROR(
IF(REGEXMATCH(LOWER(O7809),""k""),
VALUE(REGEXEXTRACT(O7809,""[0-9]+""))*1000,
VALUE(REGEXEXTRACT(O7809,""[0-9]+""))
),
0
)"),0.0)</f>
        <v>0</v>
      </c>
      <c r="E7809" s="1" t="s">
        <v>11</v>
      </c>
      <c r="F7809" s="1" t="s">
        <v>20</v>
      </c>
      <c r="G7809" s="4" t="b">
        <f t="shared" si="2"/>
        <v>1</v>
      </c>
      <c r="H7809" s="1" t="str">
        <f t="shared" si="3"/>
        <v>Currently Unavailable</v>
      </c>
      <c r="I7809" s="1" t="str">
        <f t="shared" si="4"/>
        <v>No Badges</v>
      </c>
      <c r="J7809" s="3">
        <f t="shared" si="5"/>
        <v>0</v>
      </c>
    </row>
    <row r="7810">
      <c r="A7810" s="1" t="s">
        <v>88</v>
      </c>
      <c r="B7810" s="3" t="str">
        <f t="shared" si="1"/>
        <v>Unavailable</v>
      </c>
      <c r="C7810" s="3">
        <v>5.0</v>
      </c>
      <c r="D7810" s="3">
        <f>IFERROR(__xludf.DUMMYFUNCTION("IFERROR(
IF(REGEXMATCH(LOWER(O7810),""k""),
VALUE(REGEXEXTRACT(O7810,""[0-9]+""))*1000,
VALUE(REGEXEXTRACT(O7810,""[0-9]+""))
),
0
)"),0.0)</f>
        <v>0</v>
      </c>
      <c r="E7810" s="1" t="s">
        <v>11</v>
      </c>
      <c r="F7810" s="1" t="s">
        <v>12</v>
      </c>
      <c r="G7810" s="4" t="b">
        <f t="shared" si="2"/>
        <v>1</v>
      </c>
      <c r="H7810" s="1" t="str">
        <f t="shared" si="3"/>
        <v>Currently Unavailable</v>
      </c>
      <c r="I7810" s="1" t="str">
        <f t="shared" si="4"/>
        <v>No Badges</v>
      </c>
      <c r="J7810" s="3">
        <f t="shared" si="5"/>
        <v>0</v>
      </c>
    </row>
    <row r="7811">
      <c r="A7811" s="1" t="s">
        <v>5951</v>
      </c>
      <c r="B7811" s="3" t="str">
        <f t="shared" si="1"/>
        <v>Unavailable</v>
      </c>
      <c r="C7811" s="3">
        <v>46.0</v>
      </c>
      <c r="D7811" s="3">
        <f>IFERROR(__xludf.DUMMYFUNCTION("IFERROR(
IF(REGEXMATCH(LOWER(O7811),""k""),
VALUE(REGEXEXTRACT(O7811,""[0-9]+""))*1000,
VALUE(REGEXEXTRACT(O7811,""[0-9]+""))
),
0
)"),0.0)</f>
        <v>0</v>
      </c>
      <c r="E7811" s="1" t="s">
        <v>11</v>
      </c>
      <c r="F7811" s="1" t="s">
        <v>20</v>
      </c>
      <c r="G7811" s="4" t="b">
        <f t="shared" si="2"/>
        <v>1</v>
      </c>
      <c r="H7811" s="1" t="str">
        <f t="shared" si="3"/>
        <v>Currently Unavailable</v>
      </c>
      <c r="I7811" s="1" t="str">
        <f t="shared" si="4"/>
        <v>No Badges</v>
      </c>
      <c r="J7811" s="3">
        <f t="shared" si="5"/>
        <v>0</v>
      </c>
    </row>
    <row r="7812">
      <c r="A7812" s="1" t="s">
        <v>5952</v>
      </c>
      <c r="B7812" s="3" t="str">
        <f t="shared" si="1"/>
        <v>Unavailable</v>
      </c>
      <c r="C7812" s="3">
        <v>4.0</v>
      </c>
      <c r="D7812" s="3">
        <f>IFERROR(__xludf.DUMMYFUNCTION("IFERROR(
IF(REGEXMATCH(LOWER(O7812),""k""),
VALUE(REGEXEXTRACT(O7812,""[0-9]+""))*1000,
VALUE(REGEXEXTRACT(O7812,""[0-9]+""))
),
0
)"),0.0)</f>
        <v>0</v>
      </c>
      <c r="E7812" s="1" t="s">
        <v>11</v>
      </c>
      <c r="F7812" s="1" t="s">
        <v>20</v>
      </c>
      <c r="G7812" s="4" t="b">
        <f t="shared" si="2"/>
        <v>1</v>
      </c>
      <c r="H7812" s="1" t="str">
        <f t="shared" si="3"/>
        <v>Currently Unavailable</v>
      </c>
      <c r="I7812" s="1" t="str">
        <f t="shared" si="4"/>
        <v>No Badges</v>
      </c>
      <c r="J7812" s="3">
        <f t="shared" si="5"/>
        <v>0</v>
      </c>
    </row>
    <row r="7813">
      <c r="A7813" s="1" t="s">
        <v>69</v>
      </c>
      <c r="B7813" s="3" t="str">
        <f t="shared" si="1"/>
        <v>Unavailable</v>
      </c>
      <c r="C7813" s="3">
        <v>45.0</v>
      </c>
      <c r="D7813" s="3">
        <f>IFERROR(__xludf.DUMMYFUNCTION("IFERROR(
IF(REGEXMATCH(LOWER(O7813),""k""),
VALUE(REGEXEXTRACT(O7813,""[0-9]+""))*1000,
VALUE(REGEXEXTRACT(O7813,""[0-9]+""))
),
0
)"),0.0)</f>
        <v>0</v>
      </c>
      <c r="E7813" s="1" t="s">
        <v>11</v>
      </c>
      <c r="F7813" s="1" t="s">
        <v>12</v>
      </c>
      <c r="G7813" s="4" t="b">
        <f t="shared" si="2"/>
        <v>1</v>
      </c>
      <c r="H7813" s="1" t="str">
        <f t="shared" si="3"/>
        <v>Currently Unavailable</v>
      </c>
      <c r="I7813" s="1" t="str">
        <f t="shared" si="4"/>
        <v>No Badges</v>
      </c>
      <c r="J7813" s="3">
        <f t="shared" si="5"/>
        <v>0</v>
      </c>
    </row>
    <row r="7814">
      <c r="A7814" s="1" t="s">
        <v>5953</v>
      </c>
      <c r="B7814" s="3" t="str">
        <f t="shared" si="1"/>
        <v>Unavailable</v>
      </c>
      <c r="C7814" s="5">
        <v>3540.0</v>
      </c>
      <c r="D7814" s="3">
        <f>IFERROR(__xludf.DUMMYFUNCTION("IFERROR(
IF(REGEXMATCH(LOWER(O7814),""k""),
VALUE(REGEXEXTRACT(O7814,""[0-9]+""))*1000,
VALUE(REGEXEXTRACT(O7814,""[0-9]+""))
),
0
)"),0.0)</f>
        <v>0</v>
      </c>
      <c r="E7814" s="1" t="s">
        <v>11</v>
      </c>
      <c r="F7814" s="1" t="s">
        <v>20</v>
      </c>
      <c r="G7814" s="4" t="b">
        <f t="shared" si="2"/>
        <v>1</v>
      </c>
      <c r="H7814" s="1" t="str">
        <f t="shared" si="3"/>
        <v>Currently Unavailable</v>
      </c>
      <c r="I7814" s="1" t="str">
        <f t="shared" si="4"/>
        <v>No Badges</v>
      </c>
      <c r="J7814" s="3">
        <f t="shared" si="5"/>
        <v>0</v>
      </c>
    </row>
    <row r="7815">
      <c r="A7815" s="1" t="s">
        <v>5954</v>
      </c>
      <c r="B7815" s="3" t="str">
        <f t="shared" si="1"/>
        <v>Unavailable</v>
      </c>
      <c r="C7815" s="5">
        <v>2756.0</v>
      </c>
      <c r="D7815" s="3">
        <f>IFERROR(__xludf.DUMMYFUNCTION("IFERROR(
IF(REGEXMATCH(LOWER(O7815),""k""),
VALUE(REGEXEXTRACT(O7815,""[0-9]+""))*1000,
VALUE(REGEXEXTRACT(O7815,""[0-9]+""))
),
0
)"),0.0)</f>
        <v>0</v>
      </c>
      <c r="E7815" s="1" t="s">
        <v>11</v>
      </c>
      <c r="F7815" s="1" t="s">
        <v>20</v>
      </c>
      <c r="G7815" s="4" t="b">
        <f t="shared" si="2"/>
        <v>1</v>
      </c>
      <c r="H7815" s="1" t="str">
        <f t="shared" si="3"/>
        <v>Currently Unavailable</v>
      </c>
      <c r="I7815" s="1" t="str">
        <f t="shared" si="4"/>
        <v>No Badges</v>
      </c>
      <c r="J7815" s="3">
        <f t="shared" si="5"/>
        <v>0</v>
      </c>
    </row>
    <row r="7816">
      <c r="A7816" s="1" t="s">
        <v>5955</v>
      </c>
      <c r="B7816" s="3" t="str">
        <f t="shared" si="1"/>
        <v>Unavailable</v>
      </c>
      <c r="C7816" s="3">
        <v>303.0</v>
      </c>
      <c r="D7816" s="3">
        <f>IFERROR(__xludf.DUMMYFUNCTION("IFERROR(
IF(REGEXMATCH(LOWER(O7816),""k""),
VALUE(REGEXEXTRACT(O7816,""[0-9]+""))*1000,
VALUE(REGEXEXTRACT(O7816,""[0-9]+""))
),
0
)"),0.0)</f>
        <v>0</v>
      </c>
      <c r="E7816" s="1" t="s">
        <v>11</v>
      </c>
      <c r="F7816" s="1" t="s">
        <v>20</v>
      </c>
      <c r="G7816" s="4" t="b">
        <f t="shared" si="2"/>
        <v>1</v>
      </c>
      <c r="H7816" s="1" t="str">
        <f t="shared" si="3"/>
        <v>Currently Unavailable</v>
      </c>
      <c r="I7816" s="1" t="str">
        <f t="shared" si="4"/>
        <v>No Badges</v>
      </c>
      <c r="J7816" s="3">
        <f t="shared" si="5"/>
        <v>0</v>
      </c>
    </row>
    <row r="7817">
      <c r="A7817" s="1" t="s">
        <v>5817</v>
      </c>
      <c r="B7817" s="3" t="str">
        <f t="shared" si="1"/>
        <v>Unavailable</v>
      </c>
      <c r="C7817" s="5">
        <v>7235.0</v>
      </c>
      <c r="D7817" s="3">
        <f>IFERROR(__xludf.DUMMYFUNCTION("IFERROR(
IF(REGEXMATCH(LOWER(O7817),""k""),
VALUE(REGEXEXTRACT(O7817,""[0-9]+""))*1000,
VALUE(REGEXEXTRACT(O7817,""[0-9]+""))
),
0
)"),0.0)</f>
        <v>0</v>
      </c>
      <c r="E7817" s="1" t="s">
        <v>11</v>
      </c>
      <c r="F7817" s="1" t="s">
        <v>12</v>
      </c>
      <c r="G7817" s="4" t="b">
        <f t="shared" si="2"/>
        <v>1</v>
      </c>
      <c r="H7817" s="1" t="str">
        <f t="shared" si="3"/>
        <v>Currently Unavailable</v>
      </c>
      <c r="I7817" s="1" t="str">
        <f t="shared" si="4"/>
        <v>No Badges</v>
      </c>
      <c r="J7817" s="3">
        <f t="shared" si="5"/>
        <v>0</v>
      </c>
    </row>
    <row r="7818">
      <c r="A7818" s="1" t="s">
        <v>5956</v>
      </c>
      <c r="B7818" s="3" t="str">
        <f t="shared" si="1"/>
        <v>Unavailable</v>
      </c>
      <c r="C7818" s="3">
        <v>124.0</v>
      </c>
      <c r="D7818" s="3">
        <f>IFERROR(__xludf.DUMMYFUNCTION("IFERROR(
IF(REGEXMATCH(LOWER(O7818),""k""),
VALUE(REGEXEXTRACT(O7818,""[0-9]+""))*1000,
VALUE(REGEXEXTRACT(O7818,""[0-9]+""))
),
0
)"),0.0)</f>
        <v>0</v>
      </c>
      <c r="E7818" s="1" t="s">
        <v>11</v>
      </c>
      <c r="F7818" s="1" t="s">
        <v>20</v>
      </c>
      <c r="G7818" s="4" t="b">
        <f t="shared" si="2"/>
        <v>1</v>
      </c>
      <c r="H7818" s="1" t="str">
        <f t="shared" si="3"/>
        <v>Currently Unavailable</v>
      </c>
      <c r="I7818" s="1" t="str">
        <f t="shared" si="4"/>
        <v>No Badges</v>
      </c>
      <c r="J7818" s="3">
        <f t="shared" si="5"/>
        <v>0</v>
      </c>
    </row>
    <row r="7819">
      <c r="A7819" s="1" t="s">
        <v>5957</v>
      </c>
      <c r="B7819" s="3" t="str">
        <f t="shared" si="1"/>
        <v>Unavailable</v>
      </c>
      <c r="C7819" s="3">
        <v>165.0</v>
      </c>
      <c r="D7819" s="3">
        <f>IFERROR(__xludf.DUMMYFUNCTION("IFERROR(
IF(REGEXMATCH(LOWER(O7819),""k""),
VALUE(REGEXEXTRACT(O7819,""[0-9]+""))*1000,
VALUE(REGEXEXTRACT(O7819,""[0-9]+""))
),
0
)"),0.0)</f>
        <v>0</v>
      </c>
      <c r="E7819" s="1" t="s">
        <v>11</v>
      </c>
      <c r="F7819" s="1" t="s">
        <v>20</v>
      </c>
      <c r="G7819" s="4" t="b">
        <f t="shared" si="2"/>
        <v>1</v>
      </c>
      <c r="H7819" s="1" t="str">
        <f t="shared" si="3"/>
        <v>Currently Unavailable</v>
      </c>
      <c r="I7819" s="1" t="str">
        <f t="shared" si="4"/>
        <v>No Badges</v>
      </c>
      <c r="J7819" s="3">
        <f t="shared" si="5"/>
        <v>0</v>
      </c>
    </row>
    <row r="7820">
      <c r="A7820" s="1" t="s">
        <v>5958</v>
      </c>
      <c r="B7820" s="3" t="str">
        <f t="shared" si="1"/>
        <v>Unavailable</v>
      </c>
      <c r="C7820" s="5">
        <v>3879.0</v>
      </c>
      <c r="D7820" s="3">
        <f>IFERROR(__xludf.DUMMYFUNCTION("IFERROR(
IF(REGEXMATCH(LOWER(O7820),""k""),
VALUE(REGEXEXTRACT(O7820,""[0-9]+""))*1000,
VALUE(REGEXEXTRACT(O7820,""[0-9]+""))
),
0
)"),0.0)</f>
        <v>0</v>
      </c>
      <c r="E7820" s="1" t="s">
        <v>11</v>
      </c>
      <c r="F7820" s="1" t="s">
        <v>20</v>
      </c>
      <c r="G7820" s="4" t="b">
        <f t="shared" si="2"/>
        <v>1</v>
      </c>
      <c r="H7820" s="1" t="str">
        <f t="shared" si="3"/>
        <v>Currently Unavailable</v>
      </c>
      <c r="I7820" s="1" t="str">
        <f t="shared" si="4"/>
        <v>No Badges</v>
      </c>
      <c r="J7820" s="3">
        <f t="shared" si="5"/>
        <v>0</v>
      </c>
    </row>
    <row r="7821">
      <c r="A7821" s="1" t="s">
        <v>5959</v>
      </c>
      <c r="B7821" s="3" t="str">
        <f t="shared" si="1"/>
        <v>Unavailable</v>
      </c>
      <c r="C7821" s="5">
        <v>19795.0</v>
      </c>
      <c r="D7821" s="3">
        <f>IFERROR(__xludf.DUMMYFUNCTION("IFERROR(
IF(REGEXMATCH(LOWER(O7821),""k""),
VALUE(REGEXEXTRACT(O7821,""[0-9]+""))*1000,
VALUE(REGEXEXTRACT(O7821,""[0-9]+""))
),
0
)"),0.0)</f>
        <v>0</v>
      </c>
      <c r="E7821" s="1" t="s">
        <v>11</v>
      </c>
      <c r="F7821" s="1" t="s">
        <v>20</v>
      </c>
      <c r="G7821" s="4" t="b">
        <f t="shared" si="2"/>
        <v>1</v>
      </c>
      <c r="H7821" s="1" t="str">
        <f t="shared" si="3"/>
        <v>Currently Unavailable</v>
      </c>
      <c r="I7821" s="1" t="str">
        <f t="shared" si="4"/>
        <v>No Badges</v>
      </c>
      <c r="J7821" s="3">
        <f t="shared" si="5"/>
        <v>0</v>
      </c>
    </row>
    <row r="7822">
      <c r="A7822" s="1" t="s">
        <v>5817</v>
      </c>
      <c r="B7822" s="3" t="str">
        <f t="shared" si="1"/>
        <v>Unavailable</v>
      </c>
      <c r="C7822" s="5">
        <v>7235.0</v>
      </c>
      <c r="D7822" s="3">
        <f>IFERROR(__xludf.DUMMYFUNCTION("IFERROR(
IF(REGEXMATCH(LOWER(O7822),""k""),
VALUE(REGEXEXTRACT(O7822,""[0-9]+""))*1000,
VALUE(REGEXEXTRACT(O7822,""[0-9]+""))
),
0
)"),0.0)</f>
        <v>0</v>
      </c>
      <c r="E7822" s="1" t="s">
        <v>11</v>
      </c>
      <c r="F7822" s="1" t="s">
        <v>12</v>
      </c>
      <c r="G7822" s="4" t="b">
        <f t="shared" si="2"/>
        <v>1</v>
      </c>
      <c r="H7822" s="1" t="str">
        <f t="shared" si="3"/>
        <v>Currently Unavailable</v>
      </c>
      <c r="I7822" s="1" t="str">
        <f t="shared" si="4"/>
        <v>No Badges</v>
      </c>
      <c r="J7822" s="3">
        <f t="shared" si="5"/>
        <v>0</v>
      </c>
    </row>
    <row r="7823">
      <c r="A7823" s="1" t="s">
        <v>5960</v>
      </c>
      <c r="B7823" s="3" t="str">
        <f t="shared" si="1"/>
        <v>Unavailable</v>
      </c>
      <c r="C7823" s="5">
        <v>1066.0</v>
      </c>
      <c r="D7823" s="3">
        <f>IFERROR(__xludf.DUMMYFUNCTION("IFERROR(
IF(REGEXMATCH(LOWER(O7823),""k""),
VALUE(REGEXEXTRACT(O7823,""[0-9]+""))*1000,
VALUE(REGEXEXTRACT(O7823,""[0-9]+""))
),
0
)"),0.0)</f>
        <v>0</v>
      </c>
      <c r="E7823" s="1" t="s">
        <v>11</v>
      </c>
      <c r="F7823" s="1" t="s">
        <v>20</v>
      </c>
      <c r="G7823" s="4" t="b">
        <f t="shared" si="2"/>
        <v>1</v>
      </c>
      <c r="H7823" s="1" t="str">
        <f t="shared" si="3"/>
        <v>Currently Unavailable</v>
      </c>
      <c r="I7823" s="1" t="str">
        <f t="shared" si="4"/>
        <v>No Badges</v>
      </c>
      <c r="J7823" s="3">
        <f t="shared" si="5"/>
        <v>0</v>
      </c>
    </row>
    <row r="7824">
      <c r="A7824" s="1" t="s">
        <v>5961</v>
      </c>
      <c r="B7824" s="3" t="str">
        <f t="shared" si="1"/>
        <v>Unavailable</v>
      </c>
      <c r="C7824" s="5">
        <v>1712.0</v>
      </c>
      <c r="D7824" s="3">
        <f>IFERROR(__xludf.DUMMYFUNCTION("IFERROR(
IF(REGEXMATCH(LOWER(O7824),""k""),
VALUE(REGEXEXTRACT(O7824,""[0-9]+""))*1000,
VALUE(REGEXEXTRACT(O7824,""[0-9]+""))
),
0
)"),0.0)</f>
        <v>0</v>
      </c>
      <c r="E7824" s="1" t="s">
        <v>11</v>
      </c>
      <c r="F7824" s="1" t="s">
        <v>20</v>
      </c>
      <c r="G7824" s="4" t="b">
        <f t="shared" si="2"/>
        <v>1</v>
      </c>
      <c r="H7824" s="1" t="str">
        <f t="shared" si="3"/>
        <v>Currently Unavailable</v>
      </c>
      <c r="I7824" s="1" t="str">
        <f t="shared" si="4"/>
        <v>No Badges</v>
      </c>
      <c r="J7824" s="3">
        <f t="shared" si="5"/>
        <v>0</v>
      </c>
    </row>
    <row r="7825">
      <c r="A7825" s="1" t="s">
        <v>5962</v>
      </c>
      <c r="B7825" s="3" t="str">
        <f t="shared" si="1"/>
        <v>Unavailable</v>
      </c>
      <c r="C7825" s="5">
        <v>6589.0</v>
      </c>
      <c r="D7825" s="3">
        <f>IFERROR(__xludf.DUMMYFUNCTION("IFERROR(
IF(REGEXMATCH(LOWER(O7825),""k""),
VALUE(REGEXEXTRACT(O7825,""[0-9]+""))*1000,
VALUE(REGEXEXTRACT(O7825,""[0-9]+""))
),
0
)"),0.0)</f>
        <v>0</v>
      </c>
      <c r="E7825" s="1" t="s">
        <v>11</v>
      </c>
      <c r="F7825" s="1" t="s">
        <v>20</v>
      </c>
      <c r="G7825" s="4" t="b">
        <f t="shared" si="2"/>
        <v>1</v>
      </c>
      <c r="H7825" s="1" t="str">
        <f t="shared" si="3"/>
        <v>Currently Unavailable</v>
      </c>
      <c r="I7825" s="1" t="str">
        <f t="shared" si="4"/>
        <v>No Badges</v>
      </c>
      <c r="J7825" s="3">
        <f t="shared" si="5"/>
        <v>0</v>
      </c>
    </row>
    <row r="7826">
      <c r="A7826" s="1" t="s">
        <v>67</v>
      </c>
      <c r="B7826" s="3" t="str">
        <f t="shared" si="1"/>
        <v>Unavailable</v>
      </c>
      <c r="C7826" s="3">
        <v>264.0</v>
      </c>
      <c r="D7826" s="3">
        <f>IFERROR(__xludf.DUMMYFUNCTION("IFERROR(
IF(REGEXMATCH(LOWER(O7826),""k""),
VALUE(REGEXEXTRACT(O7826,""[0-9]+""))*1000,
VALUE(REGEXEXTRACT(O7826,""[0-9]+""))
),
0
)"),0.0)</f>
        <v>0</v>
      </c>
      <c r="E7826" s="1" t="s">
        <v>11</v>
      </c>
      <c r="F7826" s="1" t="s">
        <v>12</v>
      </c>
      <c r="G7826" s="4" t="b">
        <f t="shared" si="2"/>
        <v>1</v>
      </c>
      <c r="H7826" s="1" t="str">
        <f t="shared" si="3"/>
        <v>Currently Unavailable</v>
      </c>
      <c r="I7826" s="1" t="str">
        <f t="shared" si="4"/>
        <v>No Badges</v>
      </c>
      <c r="J7826" s="3">
        <f t="shared" si="5"/>
        <v>0</v>
      </c>
    </row>
    <row r="7827">
      <c r="A7827" s="1" t="s">
        <v>5963</v>
      </c>
      <c r="B7827" s="3" t="str">
        <f t="shared" si="1"/>
        <v>Unavailable</v>
      </c>
      <c r="C7827" s="3">
        <v>475.0</v>
      </c>
      <c r="D7827" s="3">
        <f>IFERROR(__xludf.DUMMYFUNCTION("IFERROR(
IF(REGEXMATCH(LOWER(O7827),""k""),
VALUE(REGEXEXTRACT(O7827,""[0-9]+""))*1000,
VALUE(REGEXEXTRACT(O7827,""[0-9]+""))
),
0
)"),0.0)</f>
        <v>0</v>
      </c>
      <c r="E7827" s="1" t="s">
        <v>11</v>
      </c>
      <c r="F7827" s="1" t="s">
        <v>20</v>
      </c>
      <c r="G7827" s="4" t="b">
        <f t="shared" si="2"/>
        <v>1</v>
      </c>
      <c r="H7827" s="1" t="str">
        <f t="shared" si="3"/>
        <v>Currently Unavailable</v>
      </c>
      <c r="I7827" s="1" t="str">
        <f t="shared" si="4"/>
        <v>No Badges</v>
      </c>
      <c r="J7827" s="3">
        <f t="shared" si="5"/>
        <v>0</v>
      </c>
    </row>
    <row r="7828">
      <c r="A7828" s="1" t="s">
        <v>701</v>
      </c>
      <c r="B7828" s="3" t="str">
        <f t="shared" si="1"/>
        <v>Unavailable</v>
      </c>
      <c r="C7828" s="3">
        <v>8.0</v>
      </c>
      <c r="D7828" s="3">
        <f>IFERROR(__xludf.DUMMYFUNCTION("IFERROR(
IF(REGEXMATCH(LOWER(O7828),""k""),
VALUE(REGEXEXTRACT(O7828,""[0-9]+""))*1000,
VALUE(REGEXEXTRACT(O7828,""[0-9]+""))
),
0
)"),0.0)</f>
        <v>0</v>
      </c>
      <c r="E7828" s="1" t="s">
        <v>11</v>
      </c>
      <c r="F7828" s="1" t="s">
        <v>12</v>
      </c>
      <c r="G7828" s="4" t="b">
        <f t="shared" si="2"/>
        <v>1</v>
      </c>
      <c r="H7828" s="1" t="str">
        <f t="shared" si="3"/>
        <v>Currently Unavailable</v>
      </c>
      <c r="I7828" s="1" t="str">
        <f t="shared" si="4"/>
        <v>No Badges</v>
      </c>
      <c r="J7828" s="3">
        <f t="shared" si="5"/>
        <v>0</v>
      </c>
    </row>
    <row r="7829">
      <c r="A7829" s="1" t="s">
        <v>5964</v>
      </c>
      <c r="B7829" s="3" t="str">
        <f t="shared" si="1"/>
        <v>Unavailable</v>
      </c>
      <c r="C7829" s="5">
        <v>10063.0</v>
      </c>
      <c r="D7829" s="3">
        <f>IFERROR(__xludf.DUMMYFUNCTION("IFERROR(
IF(REGEXMATCH(LOWER(O7829),""k""),
VALUE(REGEXEXTRACT(O7829,""[0-9]+""))*1000,
VALUE(REGEXEXTRACT(O7829,""[0-9]+""))
),
0
)"),0.0)</f>
        <v>0</v>
      </c>
      <c r="E7829" s="1" t="s">
        <v>11</v>
      </c>
      <c r="F7829" s="1" t="s">
        <v>20</v>
      </c>
      <c r="G7829" s="4" t="b">
        <f t="shared" si="2"/>
        <v>1</v>
      </c>
      <c r="H7829" s="1" t="str">
        <f t="shared" si="3"/>
        <v>Currently Unavailable</v>
      </c>
      <c r="I7829" s="1" t="str">
        <f t="shared" si="4"/>
        <v>No Badges</v>
      </c>
      <c r="J7829" s="3">
        <f t="shared" si="5"/>
        <v>0</v>
      </c>
    </row>
    <row r="7830">
      <c r="A7830" s="1" t="s">
        <v>5965</v>
      </c>
      <c r="B7830" s="3" t="str">
        <f t="shared" si="1"/>
        <v>Unavailable</v>
      </c>
      <c r="C7830" s="3">
        <v>38.0</v>
      </c>
      <c r="D7830" s="3">
        <f>IFERROR(__xludf.DUMMYFUNCTION("IFERROR(
IF(REGEXMATCH(LOWER(O7830),""k""),
VALUE(REGEXEXTRACT(O7830,""[0-9]+""))*1000,
VALUE(REGEXEXTRACT(O7830,""[0-9]+""))
),
0
)"),0.0)</f>
        <v>0</v>
      </c>
      <c r="E7830" s="1" t="s">
        <v>11</v>
      </c>
      <c r="F7830" s="1" t="s">
        <v>20</v>
      </c>
      <c r="G7830" s="4" t="b">
        <f t="shared" si="2"/>
        <v>1</v>
      </c>
      <c r="H7830" s="1" t="str">
        <f t="shared" si="3"/>
        <v>Currently Unavailable</v>
      </c>
      <c r="I7830" s="1" t="str">
        <f t="shared" si="4"/>
        <v>No Badges</v>
      </c>
      <c r="J7830" s="3">
        <f t="shared" si="5"/>
        <v>0</v>
      </c>
    </row>
    <row r="7831">
      <c r="A7831" s="1" t="s">
        <v>5966</v>
      </c>
      <c r="B7831" s="3" t="str">
        <f t="shared" si="1"/>
        <v>Unavailable</v>
      </c>
      <c r="C7831" s="5">
        <v>2937.0</v>
      </c>
      <c r="D7831" s="3">
        <f>IFERROR(__xludf.DUMMYFUNCTION("IFERROR(
IF(REGEXMATCH(LOWER(O7831),""k""),
VALUE(REGEXEXTRACT(O7831,""[0-9]+""))*1000,
VALUE(REGEXEXTRACT(O7831,""[0-9]+""))
),
0
)"),0.0)</f>
        <v>0</v>
      </c>
      <c r="E7831" s="1" t="s">
        <v>11</v>
      </c>
      <c r="F7831" s="1" t="s">
        <v>20</v>
      </c>
      <c r="G7831" s="4" t="b">
        <f t="shared" si="2"/>
        <v>1</v>
      </c>
      <c r="H7831" s="1" t="str">
        <f t="shared" si="3"/>
        <v>Currently Unavailable</v>
      </c>
      <c r="I7831" s="1" t="str">
        <f t="shared" si="4"/>
        <v>No Badges</v>
      </c>
      <c r="J7831" s="3">
        <f t="shared" si="5"/>
        <v>0</v>
      </c>
    </row>
    <row r="7832">
      <c r="A7832" s="1" t="s">
        <v>5967</v>
      </c>
      <c r="B7832" s="3" t="str">
        <f t="shared" si="1"/>
        <v>Unavailable</v>
      </c>
      <c r="C7832" s="3">
        <v>135.0</v>
      </c>
      <c r="D7832" s="3">
        <f>IFERROR(__xludf.DUMMYFUNCTION("IFERROR(
IF(REGEXMATCH(LOWER(O7832),""k""),
VALUE(REGEXEXTRACT(O7832,""[0-9]+""))*1000,
VALUE(REGEXEXTRACT(O7832,""[0-9]+""))
),
0
)"),0.0)</f>
        <v>0</v>
      </c>
      <c r="E7832" s="1" t="s">
        <v>11</v>
      </c>
      <c r="F7832" s="1" t="s">
        <v>20</v>
      </c>
      <c r="G7832" s="4" t="b">
        <f t="shared" si="2"/>
        <v>1</v>
      </c>
      <c r="H7832" s="1" t="str">
        <f t="shared" si="3"/>
        <v>Currently Unavailable</v>
      </c>
      <c r="I7832" s="1" t="str">
        <f t="shared" si="4"/>
        <v>No Badges</v>
      </c>
      <c r="J7832" s="3">
        <f t="shared" si="5"/>
        <v>0</v>
      </c>
    </row>
    <row r="7833">
      <c r="A7833" s="1" t="s">
        <v>5968</v>
      </c>
      <c r="B7833" s="3" t="str">
        <f t="shared" si="1"/>
        <v>Unavailable</v>
      </c>
      <c r="C7833" s="3">
        <v>632.0</v>
      </c>
      <c r="D7833" s="3">
        <f>IFERROR(__xludf.DUMMYFUNCTION("IFERROR(
IF(REGEXMATCH(LOWER(O7833),""k""),
VALUE(REGEXEXTRACT(O7833,""[0-9]+""))*1000,
VALUE(REGEXEXTRACT(O7833,""[0-9]+""))
),
0
)"),0.0)</f>
        <v>0</v>
      </c>
      <c r="E7833" s="1" t="s">
        <v>11</v>
      </c>
      <c r="F7833" s="1" t="s">
        <v>20</v>
      </c>
      <c r="G7833" s="4" t="b">
        <f t="shared" si="2"/>
        <v>1</v>
      </c>
      <c r="H7833" s="1" t="str">
        <f t="shared" si="3"/>
        <v>Currently Unavailable</v>
      </c>
      <c r="I7833" s="1" t="str">
        <f t="shared" si="4"/>
        <v>No Badges</v>
      </c>
      <c r="J7833" s="3">
        <f t="shared" si="5"/>
        <v>0</v>
      </c>
    </row>
    <row r="7834">
      <c r="A7834" s="1" t="s">
        <v>5969</v>
      </c>
      <c r="B7834" s="3" t="str">
        <f t="shared" si="1"/>
        <v>Unavailable</v>
      </c>
      <c r="C7834" s="5">
        <v>1242.0</v>
      </c>
      <c r="D7834" s="3">
        <f>IFERROR(__xludf.DUMMYFUNCTION("IFERROR(
IF(REGEXMATCH(LOWER(O7834),""k""),
VALUE(REGEXEXTRACT(O7834,""[0-9]+""))*1000,
VALUE(REGEXEXTRACT(O7834,""[0-9]+""))
),
0
)"),0.0)</f>
        <v>0</v>
      </c>
      <c r="E7834" s="1" t="s">
        <v>11</v>
      </c>
      <c r="F7834" s="1" t="s">
        <v>20</v>
      </c>
      <c r="G7834" s="4" t="b">
        <f t="shared" si="2"/>
        <v>1</v>
      </c>
      <c r="H7834" s="1" t="str">
        <f t="shared" si="3"/>
        <v>Currently Unavailable</v>
      </c>
      <c r="I7834" s="1" t="str">
        <f t="shared" si="4"/>
        <v>No Badges</v>
      </c>
      <c r="J7834" s="3">
        <f t="shared" si="5"/>
        <v>0</v>
      </c>
    </row>
    <row r="7835">
      <c r="A7835" s="1" t="s">
        <v>5970</v>
      </c>
      <c r="B7835" s="3" t="str">
        <f t="shared" si="1"/>
        <v>Unavailable</v>
      </c>
      <c r="C7835" s="3">
        <v>519.0</v>
      </c>
      <c r="D7835" s="3">
        <f>IFERROR(__xludf.DUMMYFUNCTION("IFERROR(
IF(REGEXMATCH(LOWER(O7835),""k""),
VALUE(REGEXEXTRACT(O7835,""[0-9]+""))*1000,
VALUE(REGEXEXTRACT(O7835,""[0-9]+""))
),
0
)"),0.0)</f>
        <v>0</v>
      </c>
      <c r="E7835" s="1" t="s">
        <v>11</v>
      </c>
      <c r="F7835" s="1" t="s">
        <v>20</v>
      </c>
      <c r="G7835" s="4" t="b">
        <f t="shared" si="2"/>
        <v>1</v>
      </c>
      <c r="H7835" s="1" t="str">
        <f t="shared" si="3"/>
        <v>Currently Unavailable</v>
      </c>
      <c r="I7835" s="1" t="str">
        <f t="shared" si="4"/>
        <v>No Badges</v>
      </c>
      <c r="J7835" s="3">
        <f t="shared" si="5"/>
        <v>0</v>
      </c>
    </row>
    <row r="7836">
      <c r="A7836" s="1" t="s">
        <v>5971</v>
      </c>
      <c r="B7836" s="3" t="str">
        <f t="shared" si="1"/>
        <v>Unavailable</v>
      </c>
      <c r="C7836" s="5">
        <v>1285.0</v>
      </c>
      <c r="D7836" s="3">
        <f>IFERROR(__xludf.DUMMYFUNCTION("IFERROR(
IF(REGEXMATCH(LOWER(O7836),""k""),
VALUE(REGEXEXTRACT(O7836,""[0-9]+""))*1000,
VALUE(REGEXEXTRACT(O7836,""[0-9]+""))
),
0
)"),0.0)</f>
        <v>0</v>
      </c>
      <c r="E7836" s="1" t="s">
        <v>11</v>
      </c>
      <c r="F7836" s="1" t="s">
        <v>20</v>
      </c>
      <c r="G7836" s="4" t="b">
        <f t="shared" si="2"/>
        <v>1</v>
      </c>
      <c r="H7836" s="1" t="str">
        <f t="shared" si="3"/>
        <v>Currently Unavailable</v>
      </c>
      <c r="I7836" s="1" t="str">
        <f t="shared" si="4"/>
        <v>No Badges</v>
      </c>
      <c r="J7836" s="3">
        <f t="shared" si="5"/>
        <v>0</v>
      </c>
    </row>
    <row r="7837">
      <c r="A7837" s="1" t="s">
        <v>5972</v>
      </c>
      <c r="B7837" s="3" t="str">
        <f t="shared" si="1"/>
        <v>Unavailable</v>
      </c>
      <c r="C7837" s="5">
        <v>9046.0</v>
      </c>
      <c r="D7837" s="3">
        <f>IFERROR(__xludf.DUMMYFUNCTION("IFERROR(
IF(REGEXMATCH(LOWER(O7837),""k""),
VALUE(REGEXEXTRACT(O7837,""[0-9]+""))*1000,
VALUE(REGEXEXTRACT(O7837,""[0-9]+""))
),
0
)"),0.0)</f>
        <v>0</v>
      </c>
      <c r="E7837" s="1" t="s">
        <v>11</v>
      </c>
      <c r="F7837" s="1" t="s">
        <v>20</v>
      </c>
      <c r="G7837" s="4" t="b">
        <f t="shared" si="2"/>
        <v>1</v>
      </c>
      <c r="H7837" s="1" t="str">
        <f t="shared" si="3"/>
        <v>Currently Unavailable</v>
      </c>
      <c r="I7837" s="1" t="str">
        <f t="shared" si="4"/>
        <v>No Badges</v>
      </c>
      <c r="J7837" s="3">
        <f t="shared" si="5"/>
        <v>0</v>
      </c>
    </row>
    <row r="7838">
      <c r="A7838" s="1" t="s">
        <v>5973</v>
      </c>
      <c r="B7838" s="3" t="str">
        <f t="shared" si="1"/>
        <v>Unavailable</v>
      </c>
      <c r="C7838" s="3">
        <v>169.0</v>
      </c>
      <c r="D7838" s="3">
        <f>IFERROR(__xludf.DUMMYFUNCTION("IFERROR(
IF(REGEXMATCH(LOWER(O7838),""k""),
VALUE(REGEXEXTRACT(O7838,""[0-9]+""))*1000,
VALUE(REGEXEXTRACT(O7838,""[0-9]+""))
),
0
)"),0.0)</f>
        <v>0</v>
      </c>
      <c r="E7838" s="1" t="s">
        <v>11</v>
      </c>
      <c r="F7838" s="1" t="s">
        <v>20</v>
      </c>
      <c r="G7838" s="4" t="b">
        <f t="shared" si="2"/>
        <v>1</v>
      </c>
      <c r="H7838" s="1" t="str">
        <f t="shared" si="3"/>
        <v>Currently Unavailable</v>
      </c>
      <c r="I7838" s="1" t="str">
        <f t="shared" si="4"/>
        <v>No Badges</v>
      </c>
      <c r="J7838" s="3">
        <f t="shared" si="5"/>
        <v>0</v>
      </c>
    </row>
    <row r="7839">
      <c r="A7839" s="1" t="s">
        <v>5974</v>
      </c>
      <c r="B7839" s="3" t="str">
        <f t="shared" si="1"/>
        <v>Unavailable</v>
      </c>
      <c r="C7839" s="5">
        <v>1394.0</v>
      </c>
      <c r="D7839" s="3">
        <f>IFERROR(__xludf.DUMMYFUNCTION("IFERROR(
IF(REGEXMATCH(LOWER(O7839),""k""),
VALUE(REGEXEXTRACT(O7839,""[0-9]+""))*1000,
VALUE(REGEXEXTRACT(O7839,""[0-9]+""))
),
0
)"),0.0)</f>
        <v>0</v>
      </c>
      <c r="E7839" s="1" t="s">
        <v>11</v>
      </c>
      <c r="F7839" s="1" t="s">
        <v>20</v>
      </c>
      <c r="G7839" s="4" t="b">
        <f t="shared" si="2"/>
        <v>1</v>
      </c>
      <c r="H7839" s="1" t="str">
        <f t="shared" si="3"/>
        <v>Currently Unavailable</v>
      </c>
      <c r="I7839" s="1" t="str">
        <f t="shared" si="4"/>
        <v>No Badges</v>
      </c>
      <c r="J7839" s="3">
        <f t="shared" si="5"/>
        <v>0</v>
      </c>
    </row>
    <row r="7840">
      <c r="A7840" s="1" t="s">
        <v>5817</v>
      </c>
      <c r="B7840" s="3" t="str">
        <f t="shared" si="1"/>
        <v>Unavailable</v>
      </c>
      <c r="C7840" s="5">
        <v>7235.0</v>
      </c>
      <c r="D7840" s="3">
        <f>IFERROR(__xludf.DUMMYFUNCTION("IFERROR(
IF(REGEXMATCH(LOWER(O7840),""k""),
VALUE(REGEXEXTRACT(O7840,""[0-9]+""))*1000,
VALUE(REGEXEXTRACT(O7840,""[0-9]+""))
),
0
)"),0.0)</f>
        <v>0</v>
      </c>
      <c r="E7840" s="1" t="s">
        <v>11</v>
      </c>
      <c r="F7840" s="1" t="s">
        <v>12</v>
      </c>
      <c r="G7840" s="4" t="b">
        <f t="shared" si="2"/>
        <v>1</v>
      </c>
      <c r="H7840" s="1" t="str">
        <f t="shared" si="3"/>
        <v>Currently Unavailable</v>
      </c>
      <c r="I7840" s="1" t="str">
        <f t="shared" si="4"/>
        <v>No Badges</v>
      </c>
      <c r="J7840" s="3">
        <f t="shared" si="5"/>
        <v>0</v>
      </c>
    </row>
    <row r="7841">
      <c r="A7841" s="1" t="s">
        <v>5975</v>
      </c>
      <c r="B7841" s="3" t="str">
        <f t="shared" si="1"/>
        <v>Unavailable</v>
      </c>
      <c r="C7841" s="5">
        <v>2650.0</v>
      </c>
      <c r="D7841" s="3">
        <f>IFERROR(__xludf.DUMMYFUNCTION("IFERROR(
IF(REGEXMATCH(LOWER(O7841),""k""),
VALUE(REGEXEXTRACT(O7841,""[0-9]+""))*1000,
VALUE(REGEXEXTRACT(O7841,""[0-9]+""))
),
0
)"),0.0)</f>
        <v>0</v>
      </c>
      <c r="E7841" s="1" t="s">
        <v>11</v>
      </c>
      <c r="F7841" s="1" t="s">
        <v>20</v>
      </c>
      <c r="G7841" s="4" t="b">
        <f t="shared" si="2"/>
        <v>1</v>
      </c>
      <c r="H7841" s="1" t="str">
        <f t="shared" si="3"/>
        <v>Currently Unavailable</v>
      </c>
      <c r="I7841" s="1" t="str">
        <f t="shared" si="4"/>
        <v>No Badges</v>
      </c>
      <c r="J7841" s="3">
        <f t="shared" si="5"/>
        <v>0</v>
      </c>
    </row>
    <row r="7842">
      <c r="A7842" s="1" t="s">
        <v>88</v>
      </c>
      <c r="B7842" s="3" t="str">
        <f t="shared" si="1"/>
        <v>Unavailable</v>
      </c>
      <c r="C7842" s="3">
        <v>5.0</v>
      </c>
      <c r="D7842" s="3">
        <f>IFERROR(__xludf.DUMMYFUNCTION("IFERROR(
IF(REGEXMATCH(LOWER(O7842),""k""),
VALUE(REGEXEXTRACT(O7842,""[0-9]+""))*1000,
VALUE(REGEXEXTRACT(O7842,""[0-9]+""))
),
0
)"),0.0)</f>
        <v>0</v>
      </c>
      <c r="E7842" s="1" t="s">
        <v>11</v>
      </c>
      <c r="F7842" s="1" t="s">
        <v>12</v>
      </c>
      <c r="G7842" s="4" t="b">
        <f t="shared" si="2"/>
        <v>1</v>
      </c>
      <c r="H7842" s="1" t="str">
        <f t="shared" si="3"/>
        <v>Currently Unavailable</v>
      </c>
      <c r="I7842" s="1" t="str">
        <f t="shared" si="4"/>
        <v>No Badges</v>
      </c>
      <c r="J7842" s="3">
        <f t="shared" si="5"/>
        <v>0</v>
      </c>
    </row>
    <row r="7843">
      <c r="A7843" s="1" t="s">
        <v>40</v>
      </c>
      <c r="B7843" s="3" t="str">
        <f t="shared" si="1"/>
        <v>Unavailable</v>
      </c>
      <c r="C7843" s="3">
        <v>171.0</v>
      </c>
      <c r="D7843" s="3">
        <f>IFERROR(__xludf.DUMMYFUNCTION("IFERROR(
IF(REGEXMATCH(LOWER(O7843),""k""),
VALUE(REGEXEXTRACT(O7843,""[0-9]+""))*1000,
VALUE(REGEXEXTRACT(O7843,""[0-9]+""))
),
0
)"),0.0)</f>
        <v>0</v>
      </c>
      <c r="E7843" s="1" t="s">
        <v>11</v>
      </c>
      <c r="F7843" s="1" t="s">
        <v>12</v>
      </c>
      <c r="G7843" s="4" t="b">
        <f t="shared" si="2"/>
        <v>1</v>
      </c>
      <c r="H7843" s="1" t="str">
        <f t="shared" si="3"/>
        <v>Currently Unavailable</v>
      </c>
      <c r="I7843" s="1" t="str">
        <f t="shared" si="4"/>
        <v>No Badges</v>
      </c>
      <c r="J7843" s="3">
        <f t="shared" si="5"/>
        <v>0</v>
      </c>
    </row>
    <row r="7844">
      <c r="A7844" s="1" t="s">
        <v>5976</v>
      </c>
      <c r="B7844" s="3" t="str">
        <f t="shared" si="1"/>
        <v>Unavailable</v>
      </c>
      <c r="C7844" s="3">
        <v>383.0</v>
      </c>
      <c r="D7844" s="3">
        <f>IFERROR(__xludf.DUMMYFUNCTION("IFERROR(
IF(REGEXMATCH(LOWER(O7844),""k""),
VALUE(REGEXEXTRACT(O7844,""[0-9]+""))*1000,
VALUE(REGEXEXTRACT(O7844,""[0-9]+""))
),
0
)"),0.0)</f>
        <v>0</v>
      </c>
      <c r="E7844" s="1" t="s">
        <v>11</v>
      </c>
      <c r="F7844" s="1" t="s">
        <v>20</v>
      </c>
      <c r="G7844" s="4" t="b">
        <f t="shared" si="2"/>
        <v>1</v>
      </c>
      <c r="H7844" s="1" t="str">
        <f t="shared" si="3"/>
        <v>Currently Unavailable</v>
      </c>
      <c r="I7844" s="1" t="str">
        <f t="shared" si="4"/>
        <v>No Badges</v>
      </c>
      <c r="J7844" s="3">
        <f t="shared" si="5"/>
        <v>0</v>
      </c>
    </row>
    <row r="7845">
      <c r="A7845" s="1" t="s">
        <v>604</v>
      </c>
      <c r="B7845" s="3" t="str">
        <f t="shared" si="1"/>
        <v>Unavailable</v>
      </c>
      <c r="C7845" s="3">
        <v>30.0</v>
      </c>
      <c r="D7845" s="3">
        <f>IFERROR(__xludf.DUMMYFUNCTION("IFERROR(
IF(REGEXMATCH(LOWER(O7845),""k""),
VALUE(REGEXEXTRACT(O7845,""[0-9]+""))*1000,
VALUE(REGEXEXTRACT(O7845,""[0-9]+""))
),
0
)"),0.0)</f>
        <v>0</v>
      </c>
      <c r="E7845" s="1" t="s">
        <v>11</v>
      </c>
      <c r="F7845" s="1" t="s">
        <v>12</v>
      </c>
      <c r="G7845" s="4" t="b">
        <f t="shared" si="2"/>
        <v>1</v>
      </c>
      <c r="H7845" s="1" t="str">
        <f t="shared" si="3"/>
        <v>Currently Unavailable</v>
      </c>
      <c r="I7845" s="1" t="str">
        <f t="shared" si="4"/>
        <v>No Badges</v>
      </c>
      <c r="J7845" s="3">
        <f t="shared" si="5"/>
        <v>0</v>
      </c>
    </row>
    <row r="7846">
      <c r="A7846" s="1" t="s">
        <v>5977</v>
      </c>
      <c r="B7846" s="3" t="str">
        <f t="shared" si="1"/>
        <v>Unavailable</v>
      </c>
      <c r="C7846" s="5">
        <v>2588.0</v>
      </c>
      <c r="D7846" s="3">
        <f>IFERROR(__xludf.DUMMYFUNCTION("IFERROR(
IF(REGEXMATCH(LOWER(O7846),""k""),
VALUE(REGEXEXTRACT(O7846,""[0-9]+""))*1000,
VALUE(REGEXEXTRACT(O7846,""[0-9]+""))
),
0
)"),0.0)</f>
        <v>0</v>
      </c>
      <c r="E7846" s="1" t="s">
        <v>11</v>
      </c>
      <c r="F7846" s="1" t="s">
        <v>20</v>
      </c>
      <c r="G7846" s="4" t="b">
        <f t="shared" si="2"/>
        <v>1</v>
      </c>
      <c r="H7846" s="1" t="str">
        <f t="shared" si="3"/>
        <v>Currently Unavailable</v>
      </c>
      <c r="I7846" s="1" t="str">
        <f t="shared" si="4"/>
        <v>No Badges</v>
      </c>
      <c r="J7846" s="3">
        <f t="shared" si="5"/>
        <v>0</v>
      </c>
    </row>
    <row r="7847">
      <c r="A7847" s="1" t="s">
        <v>5978</v>
      </c>
      <c r="B7847" s="3" t="str">
        <f t="shared" si="1"/>
        <v>Unavailable</v>
      </c>
      <c r="C7847" s="3">
        <v>235.0</v>
      </c>
      <c r="D7847" s="3">
        <f>IFERROR(__xludf.DUMMYFUNCTION("IFERROR(
IF(REGEXMATCH(LOWER(O7847),""k""),
VALUE(REGEXEXTRACT(O7847,""[0-9]+""))*1000,
VALUE(REGEXEXTRACT(O7847,""[0-9]+""))
),
0
)"),0.0)</f>
        <v>0</v>
      </c>
      <c r="E7847" s="1" t="s">
        <v>11</v>
      </c>
      <c r="F7847" s="1" t="s">
        <v>20</v>
      </c>
      <c r="G7847" s="4" t="b">
        <f t="shared" si="2"/>
        <v>1</v>
      </c>
      <c r="H7847" s="1" t="str">
        <f t="shared" si="3"/>
        <v>Currently Unavailable</v>
      </c>
      <c r="I7847" s="1" t="str">
        <f t="shared" si="4"/>
        <v>No Badges</v>
      </c>
      <c r="J7847" s="3">
        <f t="shared" si="5"/>
        <v>0</v>
      </c>
    </row>
    <row r="7848">
      <c r="A7848" s="1" t="s">
        <v>5817</v>
      </c>
      <c r="B7848" s="3" t="str">
        <f t="shared" si="1"/>
        <v>Unavailable</v>
      </c>
      <c r="C7848" s="5">
        <v>7235.0</v>
      </c>
      <c r="D7848" s="3">
        <f>IFERROR(__xludf.DUMMYFUNCTION("IFERROR(
IF(REGEXMATCH(LOWER(O7848),""k""),
VALUE(REGEXEXTRACT(O7848,""[0-9]+""))*1000,
VALUE(REGEXEXTRACT(O7848,""[0-9]+""))
),
0
)"),0.0)</f>
        <v>0</v>
      </c>
      <c r="E7848" s="1" t="s">
        <v>11</v>
      </c>
      <c r="F7848" s="1" t="s">
        <v>12</v>
      </c>
      <c r="G7848" s="4" t="b">
        <f t="shared" si="2"/>
        <v>1</v>
      </c>
      <c r="H7848" s="1" t="str">
        <f t="shared" si="3"/>
        <v>Currently Unavailable</v>
      </c>
      <c r="I7848" s="1" t="str">
        <f t="shared" si="4"/>
        <v>No Badges</v>
      </c>
      <c r="J7848" s="3">
        <f t="shared" si="5"/>
        <v>0</v>
      </c>
    </row>
    <row r="7849">
      <c r="A7849" s="1" t="s">
        <v>5979</v>
      </c>
      <c r="B7849" s="3" t="str">
        <f t="shared" si="1"/>
        <v>Unavailable</v>
      </c>
      <c r="C7849" s="3">
        <v>4.0</v>
      </c>
      <c r="D7849" s="3">
        <f>IFERROR(__xludf.DUMMYFUNCTION("IFERROR(
IF(REGEXMATCH(LOWER(O7849),""k""),
VALUE(REGEXEXTRACT(O7849,""[0-9]+""))*1000,
VALUE(REGEXEXTRACT(O7849,""[0-9]+""))
),
0
)"),0.0)</f>
        <v>0</v>
      </c>
      <c r="E7849" s="1" t="s">
        <v>11</v>
      </c>
      <c r="F7849" s="1" t="s">
        <v>20</v>
      </c>
      <c r="G7849" s="4" t="b">
        <f t="shared" si="2"/>
        <v>1</v>
      </c>
      <c r="H7849" s="1" t="str">
        <f t="shared" si="3"/>
        <v>Currently Unavailable</v>
      </c>
      <c r="I7849" s="1" t="str">
        <f t="shared" si="4"/>
        <v>No Badges</v>
      </c>
      <c r="J7849" s="3">
        <f t="shared" si="5"/>
        <v>0</v>
      </c>
    </row>
    <row r="7850">
      <c r="A7850" s="1" t="s">
        <v>5980</v>
      </c>
      <c r="B7850" s="3" t="str">
        <f t="shared" si="1"/>
        <v>Unavailable</v>
      </c>
      <c r="C7850" s="5">
        <v>2942.0</v>
      </c>
      <c r="D7850" s="3">
        <f>IFERROR(__xludf.DUMMYFUNCTION("IFERROR(
IF(REGEXMATCH(LOWER(O7850),""k""),
VALUE(REGEXEXTRACT(O7850,""[0-9]+""))*1000,
VALUE(REGEXEXTRACT(O7850,""[0-9]+""))
),
0
)"),0.0)</f>
        <v>0</v>
      </c>
      <c r="E7850" s="1" t="s">
        <v>11</v>
      </c>
      <c r="F7850" s="1" t="s">
        <v>20</v>
      </c>
      <c r="G7850" s="4" t="b">
        <f t="shared" si="2"/>
        <v>1</v>
      </c>
      <c r="H7850" s="1" t="str">
        <f t="shared" si="3"/>
        <v>Currently Unavailable</v>
      </c>
      <c r="I7850" s="1" t="str">
        <f t="shared" si="4"/>
        <v>No Badges</v>
      </c>
      <c r="J7850" s="3">
        <f t="shared" si="5"/>
        <v>0</v>
      </c>
    </row>
    <row r="7851">
      <c r="A7851" s="1" t="s">
        <v>5981</v>
      </c>
      <c r="B7851" s="3" t="str">
        <f t="shared" si="1"/>
        <v>Unavailable</v>
      </c>
      <c r="C7851" s="5">
        <v>3460.0</v>
      </c>
      <c r="D7851" s="3">
        <f>IFERROR(__xludf.DUMMYFUNCTION("IFERROR(
IF(REGEXMATCH(LOWER(O7851),""k""),
VALUE(REGEXEXTRACT(O7851,""[0-9]+""))*1000,
VALUE(REGEXEXTRACT(O7851,""[0-9]+""))
),
0
)"),0.0)</f>
        <v>0</v>
      </c>
      <c r="E7851" s="1" t="s">
        <v>11</v>
      </c>
      <c r="F7851" s="1" t="s">
        <v>20</v>
      </c>
      <c r="G7851" s="4" t="b">
        <f t="shared" si="2"/>
        <v>1</v>
      </c>
      <c r="H7851" s="1" t="str">
        <f t="shared" si="3"/>
        <v>Currently Unavailable</v>
      </c>
      <c r="I7851" s="1" t="str">
        <f t="shared" si="4"/>
        <v>No Badges</v>
      </c>
      <c r="J7851" s="3">
        <f t="shared" si="5"/>
        <v>0</v>
      </c>
    </row>
    <row r="7852">
      <c r="A7852" s="1" t="s">
        <v>5982</v>
      </c>
      <c r="B7852" s="3" t="str">
        <f t="shared" si="1"/>
        <v>Unavailable</v>
      </c>
      <c r="C7852" s="5">
        <v>2283.0</v>
      </c>
      <c r="D7852" s="3">
        <f>IFERROR(__xludf.DUMMYFUNCTION("IFERROR(
IF(REGEXMATCH(LOWER(O7852),""k""),
VALUE(REGEXEXTRACT(O7852,""[0-9]+""))*1000,
VALUE(REGEXEXTRACT(O7852,""[0-9]+""))
),
0
)"),0.0)</f>
        <v>0</v>
      </c>
      <c r="E7852" s="1" t="s">
        <v>11</v>
      </c>
      <c r="F7852" s="1" t="s">
        <v>20</v>
      </c>
      <c r="G7852" s="4" t="b">
        <f t="shared" si="2"/>
        <v>1</v>
      </c>
      <c r="H7852" s="1" t="str">
        <f t="shared" si="3"/>
        <v>Currently Unavailable</v>
      </c>
      <c r="I7852" s="1" t="str">
        <f t="shared" si="4"/>
        <v>No Badges</v>
      </c>
      <c r="J7852" s="3">
        <f t="shared" si="5"/>
        <v>0</v>
      </c>
    </row>
    <row r="7853">
      <c r="A7853" s="1" t="s">
        <v>5983</v>
      </c>
      <c r="B7853" s="3" t="str">
        <f t="shared" si="1"/>
        <v>Unavailable</v>
      </c>
      <c r="C7853" s="5">
        <v>1005.0</v>
      </c>
      <c r="D7853" s="3">
        <f>IFERROR(__xludf.DUMMYFUNCTION("IFERROR(
IF(REGEXMATCH(LOWER(O7853),""k""),
VALUE(REGEXEXTRACT(O7853,""[0-9]+""))*1000,
VALUE(REGEXEXTRACT(O7853,""[0-9]+""))
),
0
)"),0.0)</f>
        <v>0</v>
      </c>
      <c r="E7853" s="1" t="s">
        <v>11</v>
      </c>
      <c r="F7853" s="1" t="s">
        <v>20</v>
      </c>
      <c r="G7853" s="4" t="b">
        <f t="shared" si="2"/>
        <v>1</v>
      </c>
      <c r="H7853" s="1" t="str">
        <f t="shared" si="3"/>
        <v>Currently Unavailable</v>
      </c>
      <c r="I7853" s="1" t="str">
        <f t="shared" si="4"/>
        <v>No Badges</v>
      </c>
      <c r="J7853" s="3">
        <f t="shared" si="5"/>
        <v>0</v>
      </c>
    </row>
    <row r="7854">
      <c r="A7854" s="1" t="s">
        <v>5984</v>
      </c>
      <c r="B7854" s="3" t="str">
        <f t="shared" si="1"/>
        <v>Unavailable</v>
      </c>
      <c r="C7854" s="3">
        <v>694.0</v>
      </c>
      <c r="D7854" s="3">
        <f>IFERROR(__xludf.DUMMYFUNCTION("IFERROR(
IF(REGEXMATCH(LOWER(O7854),""k""),
VALUE(REGEXEXTRACT(O7854,""[0-9]+""))*1000,
VALUE(REGEXEXTRACT(O7854,""[0-9]+""))
),
0
)"),0.0)</f>
        <v>0</v>
      </c>
      <c r="E7854" s="1" t="s">
        <v>11</v>
      </c>
      <c r="F7854" s="1" t="s">
        <v>20</v>
      </c>
      <c r="G7854" s="4" t="b">
        <f t="shared" si="2"/>
        <v>1</v>
      </c>
      <c r="H7854" s="1" t="str">
        <f t="shared" si="3"/>
        <v>Currently Unavailable</v>
      </c>
      <c r="I7854" s="1" t="str">
        <f t="shared" si="4"/>
        <v>No Badges</v>
      </c>
      <c r="J7854" s="3">
        <f t="shared" si="5"/>
        <v>0</v>
      </c>
    </row>
    <row r="7855">
      <c r="A7855" s="1" t="s">
        <v>5985</v>
      </c>
      <c r="B7855" s="3" t="str">
        <f t="shared" si="1"/>
        <v>Unavailable</v>
      </c>
      <c r="C7855" s="5">
        <v>5862.0</v>
      </c>
      <c r="D7855" s="3">
        <f>IFERROR(__xludf.DUMMYFUNCTION("IFERROR(
IF(REGEXMATCH(LOWER(O7855),""k""),
VALUE(REGEXEXTRACT(O7855,""[0-9]+""))*1000,
VALUE(REGEXEXTRACT(O7855,""[0-9]+""))
),
0
)"),0.0)</f>
        <v>0</v>
      </c>
      <c r="E7855" s="1" t="s">
        <v>11</v>
      </c>
      <c r="F7855" s="1" t="s">
        <v>20</v>
      </c>
      <c r="G7855" s="4" t="b">
        <f t="shared" si="2"/>
        <v>1</v>
      </c>
      <c r="H7855" s="1" t="str">
        <f t="shared" si="3"/>
        <v>Currently Unavailable</v>
      </c>
      <c r="I7855" s="1" t="str">
        <f t="shared" si="4"/>
        <v>No Badges</v>
      </c>
      <c r="J7855" s="3">
        <f t="shared" si="5"/>
        <v>0</v>
      </c>
    </row>
    <row r="7856">
      <c r="A7856" s="1" t="s">
        <v>5986</v>
      </c>
      <c r="B7856" s="3" t="str">
        <f t="shared" si="1"/>
        <v>Unavailable</v>
      </c>
      <c r="C7856" s="3">
        <v>450.0</v>
      </c>
      <c r="D7856" s="3">
        <f>IFERROR(__xludf.DUMMYFUNCTION("IFERROR(
IF(REGEXMATCH(LOWER(O7856),""k""),
VALUE(REGEXEXTRACT(O7856,""[0-9]+""))*1000,
VALUE(REGEXEXTRACT(O7856,""[0-9]+""))
),
0
)"),0.0)</f>
        <v>0</v>
      </c>
      <c r="E7856" s="1" t="s">
        <v>11</v>
      </c>
      <c r="F7856" s="1" t="s">
        <v>20</v>
      </c>
      <c r="G7856" s="4" t="b">
        <f t="shared" si="2"/>
        <v>1</v>
      </c>
      <c r="H7856" s="1" t="str">
        <f t="shared" si="3"/>
        <v>Currently Unavailable</v>
      </c>
      <c r="I7856" s="1" t="str">
        <f t="shared" si="4"/>
        <v>No Badges</v>
      </c>
      <c r="J7856" s="3">
        <f t="shared" si="5"/>
        <v>0</v>
      </c>
    </row>
    <row r="7857">
      <c r="A7857" s="1" t="s">
        <v>5987</v>
      </c>
      <c r="B7857" s="3" t="str">
        <f t="shared" si="1"/>
        <v>Unavailable</v>
      </c>
      <c r="C7857" s="3">
        <v>955.0</v>
      </c>
      <c r="D7857" s="3">
        <f>IFERROR(__xludf.DUMMYFUNCTION("IFERROR(
IF(REGEXMATCH(LOWER(O7857),""k""),
VALUE(REGEXEXTRACT(O7857,""[0-9]+""))*1000,
VALUE(REGEXEXTRACT(O7857,""[0-9]+""))
),
0
)"),0.0)</f>
        <v>0</v>
      </c>
      <c r="E7857" s="1" t="s">
        <v>11</v>
      </c>
      <c r="F7857" s="1" t="s">
        <v>20</v>
      </c>
      <c r="G7857" s="4" t="b">
        <f t="shared" si="2"/>
        <v>1</v>
      </c>
      <c r="H7857" s="1" t="str">
        <f t="shared" si="3"/>
        <v>Currently Unavailable</v>
      </c>
      <c r="I7857" s="1" t="str">
        <f t="shared" si="4"/>
        <v>No Badges</v>
      </c>
      <c r="J7857" s="3">
        <f t="shared" si="5"/>
        <v>0</v>
      </c>
    </row>
    <row r="7858">
      <c r="A7858" s="1" t="s">
        <v>5988</v>
      </c>
      <c r="B7858" s="3" t="str">
        <f t="shared" si="1"/>
        <v>Unavailable</v>
      </c>
      <c r="C7858" s="3">
        <v>381.0</v>
      </c>
      <c r="D7858" s="3">
        <f>IFERROR(__xludf.DUMMYFUNCTION("IFERROR(
IF(REGEXMATCH(LOWER(O7858),""k""),
VALUE(REGEXEXTRACT(O7858,""[0-9]+""))*1000,
VALUE(REGEXEXTRACT(O7858,""[0-9]+""))
),
0
)"),0.0)</f>
        <v>0</v>
      </c>
      <c r="E7858" s="1" t="s">
        <v>11</v>
      </c>
      <c r="F7858" s="1" t="s">
        <v>20</v>
      </c>
      <c r="G7858" s="4" t="b">
        <f t="shared" si="2"/>
        <v>1</v>
      </c>
      <c r="H7858" s="1" t="str">
        <f t="shared" si="3"/>
        <v>Currently Unavailable</v>
      </c>
      <c r="I7858" s="1" t="str">
        <f t="shared" si="4"/>
        <v>No Badges</v>
      </c>
      <c r="J7858" s="3">
        <f t="shared" si="5"/>
        <v>0</v>
      </c>
    </row>
    <row r="7859">
      <c r="A7859" s="1" t="s">
        <v>88</v>
      </c>
      <c r="B7859" s="3" t="str">
        <f t="shared" si="1"/>
        <v>Unavailable</v>
      </c>
      <c r="C7859" s="3">
        <v>5.0</v>
      </c>
      <c r="D7859" s="3">
        <f>IFERROR(__xludf.DUMMYFUNCTION("IFERROR(
IF(REGEXMATCH(LOWER(O7859),""k""),
VALUE(REGEXEXTRACT(O7859,""[0-9]+""))*1000,
VALUE(REGEXEXTRACT(O7859,""[0-9]+""))
),
0
)"),0.0)</f>
        <v>0</v>
      </c>
      <c r="E7859" s="1" t="s">
        <v>11</v>
      </c>
      <c r="F7859" s="1" t="s">
        <v>12</v>
      </c>
      <c r="G7859" s="4" t="b">
        <f t="shared" si="2"/>
        <v>1</v>
      </c>
      <c r="H7859" s="1" t="str">
        <f t="shared" si="3"/>
        <v>Currently Unavailable</v>
      </c>
      <c r="I7859" s="1" t="str">
        <f t="shared" si="4"/>
        <v>No Badges</v>
      </c>
      <c r="J7859" s="3">
        <f t="shared" si="5"/>
        <v>0</v>
      </c>
    </row>
    <row r="7860">
      <c r="A7860" s="1" t="s">
        <v>69</v>
      </c>
      <c r="B7860" s="3" t="str">
        <f t="shared" si="1"/>
        <v>Unavailable</v>
      </c>
      <c r="C7860" s="3">
        <v>45.0</v>
      </c>
      <c r="D7860" s="3">
        <f>IFERROR(__xludf.DUMMYFUNCTION("IFERROR(
IF(REGEXMATCH(LOWER(O7860),""k""),
VALUE(REGEXEXTRACT(O7860,""[0-9]+""))*1000,
VALUE(REGEXEXTRACT(O7860,""[0-9]+""))
),
0
)"),0.0)</f>
        <v>0</v>
      </c>
      <c r="E7860" s="1" t="s">
        <v>11</v>
      </c>
      <c r="F7860" s="1" t="s">
        <v>12</v>
      </c>
      <c r="G7860" s="4" t="b">
        <f t="shared" si="2"/>
        <v>1</v>
      </c>
      <c r="H7860" s="1" t="str">
        <f t="shared" si="3"/>
        <v>Currently Unavailable</v>
      </c>
      <c r="I7860" s="1" t="str">
        <f t="shared" si="4"/>
        <v>No Badges</v>
      </c>
      <c r="J7860" s="3">
        <f t="shared" si="5"/>
        <v>0</v>
      </c>
    </row>
    <row r="7861">
      <c r="A7861" s="1" t="s">
        <v>67</v>
      </c>
      <c r="B7861" s="3" t="str">
        <f t="shared" si="1"/>
        <v>Unavailable</v>
      </c>
      <c r="C7861" s="3">
        <v>264.0</v>
      </c>
      <c r="D7861" s="3">
        <f>IFERROR(__xludf.DUMMYFUNCTION("IFERROR(
IF(REGEXMATCH(LOWER(O7861),""k""),
VALUE(REGEXEXTRACT(O7861,""[0-9]+""))*1000,
VALUE(REGEXEXTRACT(O7861,""[0-9]+""))
),
0
)"),0.0)</f>
        <v>0</v>
      </c>
      <c r="E7861" s="1" t="s">
        <v>11</v>
      </c>
      <c r="F7861" s="1" t="s">
        <v>12</v>
      </c>
      <c r="G7861" s="4" t="b">
        <f t="shared" si="2"/>
        <v>1</v>
      </c>
      <c r="H7861" s="1" t="str">
        <f t="shared" si="3"/>
        <v>Currently Unavailable</v>
      </c>
      <c r="I7861" s="1" t="str">
        <f t="shared" si="4"/>
        <v>No Badges</v>
      </c>
      <c r="J7861" s="3">
        <f t="shared" si="5"/>
        <v>0</v>
      </c>
    </row>
    <row r="7862">
      <c r="A7862" s="1" t="s">
        <v>5817</v>
      </c>
      <c r="B7862" s="3" t="str">
        <f t="shared" si="1"/>
        <v>Unavailable</v>
      </c>
      <c r="C7862" s="5">
        <v>7235.0</v>
      </c>
      <c r="D7862" s="3">
        <f>IFERROR(__xludf.DUMMYFUNCTION("IFERROR(
IF(REGEXMATCH(LOWER(O7862),""k""),
VALUE(REGEXEXTRACT(O7862,""[0-9]+""))*1000,
VALUE(REGEXEXTRACT(O7862,""[0-9]+""))
),
0
)"),0.0)</f>
        <v>0</v>
      </c>
      <c r="E7862" s="1" t="s">
        <v>11</v>
      </c>
      <c r="F7862" s="1" t="s">
        <v>12</v>
      </c>
      <c r="G7862" s="4" t="b">
        <f t="shared" si="2"/>
        <v>1</v>
      </c>
      <c r="H7862" s="1" t="str">
        <f t="shared" si="3"/>
        <v>Currently Unavailable</v>
      </c>
      <c r="I7862" s="1" t="str">
        <f t="shared" si="4"/>
        <v>No Badges</v>
      </c>
      <c r="J7862" s="3">
        <f t="shared" si="5"/>
        <v>0</v>
      </c>
    </row>
    <row r="7863">
      <c r="A7863" s="1" t="s">
        <v>5989</v>
      </c>
      <c r="B7863" s="3" t="str">
        <f t="shared" si="1"/>
        <v>Unavailable</v>
      </c>
      <c r="C7863" s="3">
        <v>41.0</v>
      </c>
      <c r="D7863" s="3">
        <f>IFERROR(__xludf.DUMMYFUNCTION("IFERROR(
IF(REGEXMATCH(LOWER(O7863),""k""),
VALUE(REGEXEXTRACT(O7863,""[0-9]+""))*1000,
VALUE(REGEXEXTRACT(O7863,""[0-9]+""))
),
0
)"),0.0)</f>
        <v>0</v>
      </c>
      <c r="E7863" s="1" t="s">
        <v>11</v>
      </c>
      <c r="F7863" s="1" t="s">
        <v>20</v>
      </c>
      <c r="G7863" s="4" t="b">
        <f t="shared" si="2"/>
        <v>1</v>
      </c>
      <c r="H7863" s="1" t="str">
        <f t="shared" si="3"/>
        <v>Currently Unavailable</v>
      </c>
      <c r="I7863" s="1" t="str">
        <f t="shared" si="4"/>
        <v>No Badges</v>
      </c>
      <c r="J7863" s="3">
        <f t="shared" si="5"/>
        <v>0</v>
      </c>
    </row>
    <row r="7864">
      <c r="A7864" s="1" t="s">
        <v>5990</v>
      </c>
      <c r="B7864" s="3" t="str">
        <f t="shared" si="1"/>
        <v>Unavailable</v>
      </c>
      <c r="C7864" s="3">
        <v>147.0</v>
      </c>
      <c r="D7864" s="3">
        <f>IFERROR(__xludf.DUMMYFUNCTION("IFERROR(
IF(REGEXMATCH(LOWER(O7864),""k""),
VALUE(REGEXEXTRACT(O7864,""[0-9]+""))*1000,
VALUE(REGEXEXTRACT(O7864,""[0-9]+""))
),
0
)"),0.0)</f>
        <v>0</v>
      </c>
      <c r="E7864" s="1" t="s">
        <v>11</v>
      </c>
      <c r="F7864" s="1" t="s">
        <v>12</v>
      </c>
      <c r="G7864" s="4" t="b">
        <f t="shared" si="2"/>
        <v>1</v>
      </c>
      <c r="H7864" s="1" t="str">
        <f t="shared" si="3"/>
        <v>Currently Unavailable</v>
      </c>
      <c r="I7864" s="1" t="str">
        <f t="shared" si="4"/>
        <v>No Badges</v>
      </c>
      <c r="J7864" s="3">
        <f t="shared" si="5"/>
        <v>0</v>
      </c>
    </row>
    <row r="7865">
      <c r="A7865" s="1" t="s">
        <v>5991</v>
      </c>
      <c r="B7865" s="3" t="str">
        <f t="shared" si="1"/>
        <v>Unavailable</v>
      </c>
      <c r="C7865" s="5">
        <v>12888.0</v>
      </c>
      <c r="D7865" s="3">
        <f>IFERROR(__xludf.DUMMYFUNCTION("IFERROR(
IF(REGEXMATCH(LOWER(O7865),""k""),
VALUE(REGEXEXTRACT(O7865,""[0-9]+""))*1000,
VALUE(REGEXEXTRACT(O7865,""[0-9]+""))
),
0
)"),0.0)</f>
        <v>0</v>
      </c>
      <c r="E7865" s="1" t="s">
        <v>11</v>
      </c>
      <c r="F7865" s="1" t="s">
        <v>20</v>
      </c>
      <c r="G7865" s="4" t="b">
        <f t="shared" si="2"/>
        <v>1</v>
      </c>
      <c r="H7865" s="1" t="str">
        <f t="shared" si="3"/>
        <v>Currently Unavailable</v>
      </c>
      <c r="I7865" s="1" t="str">
        <f t="shared" si="4"/>
        <v>No Badges</v>
      </c>
      <c r="J7865" s="3">
        <f t="shared" si="5"/>
        <v>0</v>
      </c>
    </row>
    <row r="7866">
      <c r="A7866" s="1" t="s">
        <v>5992</v>
      </c>
      <c r="B7866" s="3" t="str">
        <f t="shared" si="1"/>
        <v>Unavailable</v>
      </c>
      <c r="C7866" s="5">
        <v>2437.0</v>
      </c>
      <c r="D7866" s="3">
        <f>IFERROR(__xludf.DUMMYFUNCTION("IFERROR(
IF(REGEXMATCH(LOWER(O7866),""k""),
VALUE(REGEXEXTRACT(O7866,""[0-9]+""))*1000,
VALUE(REGEXEXTRACT(O7866,""[0-9]+""))
),
0
)"),0.0)</f>
        <v>0</v>
      </c>
      <c r="E7866" s="1" t="s">
        <v>11</v>
      </c>
      <c r="F7866" s="1" t="s">
        <v>20</v>
      </c>
      <c r="G7866" s="4" t="b">
        <f t="shared" si="2"/>
        <v>1</v>
      </c>
      <c r="H7866" s="1" t="str">
        <f t="shared" si="3"/>
        <v>Currently Unavailable</v>
      </c>
      <c r="I7866" s="1" t="str">
        <f t="shared" si="4"/>
        <v>No Badges</v>
      </c>
      <c r="J7866" s="3">
        <f t="shared" si="5"/>
        <v>0</v>
      </c>
    </row>
    <row r="7867">
      <c r="A7867" s="1" t="s">
        <v>5993</v>
      </c>
      <c r="B7867" s="3" t="str">
        <f t="shared" si="1"/>
        <v>Unavailable</v>
      </c>
      <c r="C7867" s="5">
        <v>29057.0</v>
      </c>
      <c r="D7867" s="3">
        <f>IFERROR(__xludf.DUMMYFUNCTION("IFERROR(
IF(REGEXMATCH(LOWER(O7867),""k""),
VALUE(REGEXEXTRACT(O7867,""[0-9]+""))*1000,
VALUE(REGEXEXTRACT(O7867,""[0-9]+""))
),
0
)"),0.0)</f>
        <v>0</v>
      </c>
      <c r="E7867" s="1" t="s">
        <v>11</v>
      </c>
      <c r="F7867" s="1" t="s">
        <v>20</v>
      </c>
      <c r="G7867" s="4" t="b">
        <f t="shared" si="2"/>
        <v>1</v>
      </c>
      <c r="H7867" s="1" t="str">
        <f t="shared" si="3"/>
        <v>Currently Unavailable</v>
      </c>
      <c r="I7867" s="1" t="str">
        <f t="shared" si="4"/>
        <v>No Badges</v>
      </c>
      <c r="J7867" s="3">
        <f t="shared" si="5"/>
        <v>0</v>
      </c>
    </row>
    <row r="7868">
      <c r="A7868" s="1" t="s">
        <v>5994</v>
      </c>
      <c r="B7868" s="3" t="str">
        <f t="shared" si="1"/>
        <v>Unavailable</v>
      </c>
      <c r="C7868" s="3">
        <v>63.0</v>
      </c>
      <c r="D7868" s="3">
        <f>IFERROR(__xludf.DUMMYFUNCTION("IFERROR(
IF(REGEXMATCH(LOWER(O7868),""k""),
VALUE(REGEXEXTRACT(O7868,""[0-9]+""))*1000,
VALUE(REGEXEXTRACT(O7868,""[0-9]+""))
),
0
)"),0.0)</f>
        <v>0</v>
      </c>
      <c r="E7868" s="1" t="s">
        <v>11</v>
      </c>
      <c r="F7868" s="1" t="s">
        <v>20</v>
      </c>
      <c r="G7868" s="4" t="b">
        <f t="shared" si="2"/>
        <v>1</v>
      </c>
      <c r="H7868" s="1" t="str">
        <f t="shared" si="3"/>
        <v>Currently Unavailable</v>
      </c>
      <c r="I7868" s="1" t="str">
        <f t="shared" si="4"/>
        <v>No Badges</v>
      </c>
      <c r="J7868" s="3">
        <f t="shared" si="5"/>
        <v>0</v>
      </c>
    </row>
    <row r="7869">
      <c r="A7869" s="1" t="s">
        <v>5817</v>
      </c>
      <c r="B7869" s="3" t="str">
        <f t="shared" si="1"/>
        <v>Unavailable</v>
      </c>
      <c r="C7869" s="5">
        <v>7235.0</v>
      </c>
      <c r="D7869" s="3">
        <f>IFERROR(__xludf.DUMMYFUNCTION("IFERROR(
IF(REGEXMATCH(LOWER(O7869),""k""),
VALUE(REGEXEXTRACT(O7869,""[0-9]+""))*1000,
VALUE(REGEXEXTRACT(O7869,""[0-9]+""))
),
0
)"),0.0)</f>
        <v>0</v>
      </c>
      <c r="E7869" s="1" t="s">
        <v>11</v>
      </c>
      <c r="F7869" s="1" t="s">
        <v>12</v>
      </c>
      <c r="G7869" s="4" t="b">
        <f t="shared" si="2"/>
        <v>1</v>
      </c>
      <c r="H7869" s="1" t="str">
        <f t="shared" si="3"/>
        <v>Currently Unavailable</v>
      </c>
      <c r="I7869" s="1" t="str">
        <f t="shared" si="4"/>
        <v>No Badges</v>
      </c>
      <c r="J7869" s="3">
        <f t="shared" si="5"/>
        <v>0</v>
      </c>
    </row>
    <row r="7870">
      <c r="A7870" s="1" t="s">
        <v>5995</v>
      </c>
      <c r="B7870" s="3" t="str">
        <f t="shared" si="1"/>
        <v>Unavailable</v>
      </c>
      <c r="C7870" s="3">
        <v>908.0</v>
      </c>
      <c r="D7870" s="3">
        <f>IFERROR(__xludf.DUMMYFUNCTION("IFERROR(
IF(REGEXMATCH(LOWER(O7870),""k""),
VALUE(REGEXEXTRACT(O7870,""[0-9]+""))*1000,
VALUE(REGEXEXTRACT(O7870,""[0-9]+""))
),
0
)"),0.0)</f>
        <v>0</v>
      </c>
      <c r="E7870" s="1" t="s">
        <v>11</v>
      </c>
      <c r="F7870" s="1" t="s">
        <v>20</v>
      </c>
      <c r="G7870" s="4" t="b">
        <f t="shared" si="2"/>
        <v>1</v>
      </c>
      <c r="H7870" s="1" t="str">
        <f t="shared" si="3"/>
        <v>Currently Unavailable</v>
      </c>
      <c r="I7870" s="1" t="str">
        <f t="shared" si="4"/>
        <v>No Badges</v>
      </c>
      <c r="J7870" s="3">
        <f t="shared" si="5"/>
        <v>0</v>
      </c>
    </row>
    <row r="7871">
      <c r="A7871" s="1" t="s">
        <v>5996</v>
      </c>
      <c r="B7871" s="3" t="str">
        <f t="shared" si="1"/>
        <v>Unavailable</v>
      </c>
      <c r="C7871" s="5">
        <v>3928.0</v>
      </c>
      <c r="D7871" s="3">
        <f>IFERROR(__xludf.DUMMYFUNCTION("IFERROR(
IF(REGEXMATCH(LOWER(O7871),""k""),
VALUE(REGEXEXTRACT(O7871,""[0-9]+""))*1000,
VALUE(REGEXEXTRACT(O7871,""[0-9]+""))
),
0
)"),0.0)</f>
        <v>0</v>
      </c>
      <c r="E7871" s="1" t="s">
        <v>11</v>
      </c>
      <c r="F7871" s="1" t="s">
        <v>20</v>
      </c>
      <c r="G7871" s="4" t="b">
        <f t="shared" si="2"/>
        <v>1</v>
      </c>
      <c r="H7871" s="1" t="str">
        <f t="shared" si="3"/>
        <v>Currently Unavailable</v>
      </c>
      <c r="I7871" s="1" t="str">
        <f t="shared" si="4"/>
        <v>No Badges</v>
      </c>
      <c r="J7871" s="3">
        <f t="shared" si="5"/>
        <v>0</v>
      </c>
    </row>
    <row r="7872">
      <c r="A7872" s="1" t="s">
        <v>5997</v>
      </c>
      <c r="B7872" s="3" t="str">
        <f t="shared" si="1"/>
        <v>Unavailable</v>
      </c>
      <c r="C7872" s="5">
        <v>1045.0</v>
      </c>
      <c r="D7872" s="3">
        <f>IFERROR(__xludf.DUMMYFUNCTION("IFERROR(
IF(REGEXMATCH(LOWER(O7872),""k""),
VALUE(REGEXEXTRACT(O7872,""[0-9]+""))*1000,
VALUE(REGEXEXTRACT(O7872,""[0-9]+""))
),
0
)"),0.0)</f>
        <v>0</v>
      </c>
      <c r="E7872" s="1" t="s">
        <v>11</v>
      </c>
      <c r="F7872" s="1" t="s">
        <v>20</v>
      </c>
      <c r="G7872" s="4" t="b">
        <f t="shared" si="2"/>
        <v>1</v>
      </c>
      <c r="H7872" s="1" t="str">
        <f t="shared" si="3"/>
        <v>Currently Unavailable</v>
      </c>
      <c r="I7872" s="1" t="str">
        <f t="shared" si="4"/>
        <v>No Badges</v>
      </c>
      <c r="J7872" s="3">
        <f t="shared" si="5"/>
        <v>0</v>
      </c>
    </row>
    <row r="7873">
      <c r="A7873" s="1" t="s">
        <v>5998</v>
      </c>
      <c r="B7873" s="3" t="str">
        <f t="shared" si="1"/>
        <v>Unavailable</v>
      </c>
      <c r="C7873" s="3">
        <v>672.0</v>
      </c>
      <c r="D7873" s="3">
        <f>IFERROR(__xludf.DUMMYFUNCTION("IFERROR(
IF(REGEXMATCH(LOWER(O7873),""k""),
VALUE(REGEXEXTRACT(O7873,""[0-9]+""))*1000,
VALUE(REGEXEXTRACT(O7873,""[0-9]+""))
),
0
)"),0.0)</f>
        <v>0</v>
      </c>
      <c r="E7873" s="1" t="s">
        <v>11</v>
      </c>
      <c r="F7873" s="1" t="s">
        <v>20</v>
      </c>
      <c r="G7873" s="4" t="b">
        <f t="shared" si="2"/>
        <v>1</v>
      </c>
      <c r="H7873" s="1" t="str">
        <f t="shared" si="3"/>
        <v>Currently Unavailable</v>
      </c>
      <c r="I7873" s="1" t="str">
        <f t="shared" si="4"/>
        <v>No Badges</v>
      </c>
      <c r="J7873" s="3">
        <f t="shared" si="5"/>
        <v>0</v>
      </c>
    </row>
    <row r="7874">
      <c r="A7874" s="1" t="s">
        <v>5817</v>
      </c>
      <c r="B7874" s="3" t="str">
        <f t="shared" si="1"/>
        <v>Unavailable</v>
      </c>
      <c r="C7874" s="5">
        <v>7235.0</v>
      </c>
      <c r="D7874" s="3">
        <f>IFERROR(__xludf.DUMMYFUNCTION("IFERROR(
IF(REGEXMATCH(LOWER(O7874),""k""),
VALUE(REGEXEXTRACT(O7874,""[0-9]+""))*1000,
VALUE(REGEXEXTRACT(O7874,""[0-9]+""))
),
0
)"),0.0)</f>
        <v>0</v>
      </c>
      <c r="E7874" s="1" t="s">
        <v>11</v>
      </c>
      <c r="F7874" s="1" t="s">
        <v>12</v>
      </c>
      <c r="G7874" s="4" t="b">
        <f t="shared" si="2"/>
        <v>1</v>
      </c>
      <c r="H7874" s="1" t="str">
        <f t="shared" si="3"/>
        <v>Currently Unavailable</v>
      </c>
      <c r="I7874" s="1" t="str">
        <f t="shared" si="4"/>
        <v>No Badges</v>
      </c>
      <c r="J7874" s="3">
        <f t="shared" si="5"/>
        <v>0</v>
      </c>
    </row>
    <row r="7875">
      <c r="A7875" s="1" t="s">
        <v>5999</v>
      </c>
      <c r="B7875" s="3" t="str">
        <f t="shared" si="1"/>
        <v>Unavailable</v>
      </c>
      <c r="C7875" s="5">
        <v>1830.0</v>
      </c>
      <c r="D7875" s="3">
        <f>IFERROR(__xludf.DUMMYFUNCTION("IFERROR(
IF(REGEXMATCH(LOWER(O7875),""k""),
VALUE(REGEXEXTRACT(O7875,""[0-9]+""))*1000,
VALUE(REGEXEXTRACT(O7875,""[0-9]+""))
),
0
)"),0.0)</f>
        <v>0</v>
      </c>
      <c r="E7875" s="1" t="s">
        <v>11</v>
      </c>
      <c r="F7875" s="1" t="s">
        <v>20</v>
      </c>
      <c r="G7875" s="4" t="b">
        <f t="shared" si="2"/>
        <v>1</v>
      </c>
      <c r="H7875" s="1" t="str">
        <f t="shared" si="3"/>
        <v>Currently Unavailable</v>
      </c>
      <c r="I7875" s="1" t="str">
        <f t="shared" si="4"/>
        <v>No Badges</v>
      </c>
      <c r="J7875" s="3">
        <f t="shared" si="5"/>
        <v>0</v>
      </c>
    </row>
    <row r="7876">
      <c r="A7876" s="1" t="s">
        <v>701</v>
      </c>
      <c r="B7876" s="3" t="str">
        <f t="shared" si="1"/>
        <v>Unavailable</v>
      </c>
      <c r="C7876" s="3">
        <v>8.0</v>
      </c>
      <c r="D7876" s="3">
        <f>IFERROR(__xludf.DUMMYFUNCTION("IFERROR(
IF(REGEXMATCH(LOWER(O7876),""k""),
VALUE(REGEXEXTRACT(O7876,""[0-9]+""))*1000,
VALUE(REGEXEXTRACT(O7876,""[0-9]+""))
),
0
)"),0.0)</f>
        <v>0</v>
      </c>
      <c r="E7876" s="1" t="s">
        <v>11</v>
      </c>
      <c r="F7876" s="1" t="s">
        <v>12</v>
      </c>
      <c r="G7876" s="4" t="b">
        <f t="shared" si="2"/>
        <v>1</v>
      </c>
      <c r="H7876" s="1" t="str">
        <f t="shared" si="3"/>
        <v>Currently Unavailable</v>
      </c>
      <c r="I7876" s="1" t="str">
        <f t="shared" si="4"/>
        <v>No Badges</v>
      </c>
      <c r="J7876" s="3">
        <f t="shared" si="5"/>
        <v>0</v>
      </c>
    </row>
    <row r="7877">
      <c r="A7877" s="1" t="s">
        <v>6000</v>
      </c>
      <c r="B7877" s="3" t="str">
        <f t="shared" si="1"/>
        <v>Unavailable</v>
      </c>
      <c r="C7877" s="5">
        <v>1620.0</v>
      </c>
      <c r="D7877" s="3">
        <f>IFERROR(__xludf.DUMMYFUNCTION("IFERROR(
IF(REGEXMATCH(LOWER(O7877),""k""),
VALUE(REGEXEXTRACT(O7877,""[0-9]+""))*1000,
VALUE(REGEXEXTRACT(O7877,""[0-9]+""))
),
0
)"),0.0)</f>
        <v>0</v>
      </c>
      <c r="E7877" s="1" t="s">
        <v>11</v>
      </c>
      <c r="F7877" s="1" t="s">
        <v>20</v>
      </c>
      <c r="G7877" s="4" t="b">
        <f t="shared" si="2"/>
        <v>1</v>
      </c>
      <c r="H7877" s="1" t="str">
        <f t="shared" si="3"/>
        <v>Currently Unavailable</v>
      </c>
      <c r="I7877" s="1" t="str">
        <f t="shared" si="4"/>
        <v>No Badges</v>
      </c>
      <c r="J7877" s="3">
        <f t="shared" si="5"/>
        <v>0</v>
      </c>
    </row>
    <row r="7878">
      <c r="A7878" s="1" t="s">
        <v>6001</v>
      </c>
      <c r="B7878" s="3" t="str">
        <f t="shared" si="1"/>
        <v>Unavailable</v>
      </c>
      <c r="C7878" s="3">
        <v>384.0</v>
      </c>
      <c r="D7878" s="3">
        <f>IFERROR(__xludf.DUMMYFUNCTION("IFERROR(
IF(REGEXMATCH(LOWER(O7878),""k""),
VALUE(REGEXEXTRACT(O7878,""[0-9]+""))*1000,
VALUE(REGEXEXTRACT(O7878,""[0-9]+""))
),
0
)"),0.0)</f>
        <v>0</v>
      </c>
      <c r="E7878" s="1" t="s">
        <v>11</v>
      </c>
      <c r="F7878" s="1" t="s">
        <v>20</v>
      </c>
      <c r="G7878" s="4" t="b">
        <f t="shared" si="2"/>
        <v>1</v>
      </c>
      <c r="H7878" s="1" t="str">
        <f t="shared" si="3"/>
        <v>Currently Unavailable</v>
      </c>
      <c r="I7878" s="1" t="str">
        <f t="shared" si="4"/>
        <v>No Badges</v>
      </c>
      <c r="J7878" s="3">
        <f t="shared" si="5"/>
        <v>0</v>
      </c>
    </row>
    <row r="7879">
      <c r="A7879" s="1" t="s">
        <v>69</v>
      </c>
      <c r="B7879" s="3" t="str">
        <f t="shared" si="1"/>
        <v>Unavailable</v>
      </c>
      <c r="C7879" s="3">
        <v>45.0</v>
      </c>
      <c r="D7879" s="3">
        <f>IFERROR(__xludf.DUMMYFUNCTION("IFERROR(
IF(REGEXMATCH(LOWER(O7879),""k""),
VALUE(REGEXEXTRACT(O7879,""[0-9]+""))*1000,
VALUE(REGEXEXTRACT(O7879,""[0-9]+""))
),
0
)"),0.0)</f>
        <v>0</v>
      </c>
      <c r="E7879" s="1" t="s">
        <v>11</v>
      </c>
      <c r="F7879" s="1" t="s">
        <v>12</v>
      </c>
      <c r="G7879" s="4" t="b">
        <f t="shared" si="2"/>
        <v>1</v>
      </c>
      <c r="H7879" s="1" t="str">
        <f t="shared" si="3"/>
        <v>Currently Unavailable</v>
      </c>
      <c r="I7879" s="1" t="str">
        <f t="shared" si="4"/>
        <v>No Badges</v>
      </c>
      <c r="J7879" s="3">
        <f t="shared" si="5"/>
        <v>0</v>
      </c>
    </row>
    <row r="7880">
      <c r="A7880" s="1" t="s">
        <v>6002</v>
      </c>
      <c r="B7880" s="3" t="str">
        <f t="shared" si="1"/>
        <v>Unavailable</v>
      </c>
      <c r="C7880" s="5">
        <v>3218.0</v>
      </c>
      <c r="D7880" s="3">
        <f>IFERROR(__xludf.DUMMYFUNCTION("IFERROR(
IF(REGEXMATCH(LOWER(O7880),""k""),
VALUE(REGEXEXTRACT(O7880,""[0-9]+""))*1000,
VALUE(REGEXEXTRACT(O7880,""[0-9]+""))
),
0
)"),0.0)</f>
        <v>0</v>
      </c>
      <c r="E7880" s="1" t="s">
        <v>11</v>
      </c>
      <c r="F7880" s="1" t="s">
        <v>20</v>
      </c>
      <c r="G7880" s="4" t="b">
        <f t="shared" si="2"/>
        <v>1</v>
      </c>
      <c r="H7880" s="1" t="str">
        <f t="shared" si="3"/>
        <v>Currently Unavailable</v>
      </c>
      <c r="I7880" s="1" t="str">
        <f t="shared" si="4"/>
        <v>No Badges</v>
      </c>
      <c r="J7880" s="3">
        <f t="shared" si="5"/>
        <v>0</v>
      </c>
    </row>
    <row r="7881">
      <c r="A7881" s="1" t="s">
        <v>6003</v>
      </c>
      <c r="B7881" s="3" t="str">
        <f t="shared" si="1"/>
        <v>Unavailable</v>
      </c>
      <c r="C7881" s="3">
        <v>215.0</v>
      </c>
      <c r="D7881" s="3">
        <f>IFERROR(__xludf.DUMMYFUNCTION("IFERROR(
IF(REGEXMATCH(LOWER(O7881),""k""),
VALUE(REGEXEXTRACT(O7881,""[0-9]+""))*1000,
VALUE(REGEXEXTRACT(O7881,""[0-9]+""))
),
0
)"),0.0)</f>
        <v>0</v>
      </c>
      <c r="E7881" s="1" t="s">
        <v>11</v>
      </c>
      <c r="F7881" s="1" t="s">
        <v>20</v>
      </c>
      <c r="G7881" s="4" t="b">
        <f t="shared" si="2"/>
        <v>1</v>
      </c>
      <c r="H7881" s="1" t="str">
        <f t="shared" si="3"/>
        <v>Currently Unavailable</v>
      </c>
      <c r="I7881" s="1" t="str">
        <f t="shared" si="4"/>
        <v>No Badges</v>
      </c>
      <c r="J7881" s="3">
        <f t="shared" si="5"/>
        <v>0</v>
      </c>
    </row>
    <row r="7882">
      <c r="A7882" s="1" t="s">
        <v>6004</v>
      </c>
      <c r="B7882" s="3" t="str">
        <f t="shared" si="1"/>
        <v>Unavailable</v>
      </c>
      <c r="C7882" s="3">
        <v>282.0</v>
      </c>
      <c r="D7882" s="3">
        <f>IFERROR(__xludf.DUMMYFUNCTION("IFERROR(
IF(REGEXMATCH(LOWER(O7882),""k""),
VALUE(REGEXEXTRACT(O7882,""[0-9]+""))*1000,
VALUE(REGEXEXTRACT(O7882,""[0-9]+""))
),
0
)"),0.0)</f>
        <v>0</v>
      </c>
      <c r="E7882" s="1" t="s">
        <v>11</v>
      </c>
      <c r="F7882" s="1" t="s">
        <v>20</v>
      </c>
      <c r="G7882" s="4" t="b">
        <f t="shared" si="2"/>
        <v>1</v>
      </c>
      <c r="H7882" s="1" t="str">
        <f t="shared" si="3"/>
        <v>Currently Unavailable</v>
      </c>
      <c r="I7882" s="1" t="str">
        <f t="shared" si="4"/>
        <v>No Badges</v>
      </c>
      <c r="J7882" s="3">
        <f t="shared" si="5"/>
        <v>0</v>
      </c>
    </row>
    <row r="7883">
      <c r="A7883" s="1" t="s">
        <v>6005</v>
      </c>
      <c r="B7883" s="3" t="str">
        <f t="shared" si="1"/>
        <v>Unavailable</v>
      </c>
      <c r="C7883" s="3">
        <v>764.0</v>
      </c>
      <c r="D7883" s="3">
        <f>IFERROR(__xludf.DUMMYFUNCTION("IFERROR(
IF(REGEXMATCH(LOWER(O7883),""k""),
VALUE(REGEXEXTRACT(O7883,""[0-9]+""))*1000,
VALUE(REGEXEXTRACT(O7883,""[0-9]+""))
),
0
)"),0.0)</f>
        <v>0</v>
      </c>
      <c r="E7883" s="1" t="s">
        <v>11</v>
      </c>
      <c r="F7883" s="1" t="s">
        <v>20</v>
      </c>
      <c r="G7883" s="4" t="b">
        <f t="shared" si="2"/>
        <v>1</v>
      </c>
      <c r="H7883" s="1" t="str">
        <f t="shared" si="3"/>
        <v>Currently Unavailable</v>
      </c>
      <c r="I7883" s="1" t="str">
        <f t="shared" si="4"/>
        <v>No Badges</v>
      </c>
      <c r="J7883" s="3">
        <f t="shared" si="5"/>
        <v>0</v>
      </c>
    </row>
    <row r="7884">
      <c r="A7884" s="1" t="s">
        <v>6006</v>
      </c>
      <c r="B7884" s="3" t="str">
        <f t="shared" si="1"/>
        <v>Unavailable</v>
      </c>
      <c r="C7884" s="3">
        <v>318.0</v>
      </c>
      <c r="D7884" s="3">
        <f>IFERROR(__xludf.DUMMYFUNCTION("IFERROR(
IF(REGEXMATCH(LOWER(O7884),""k""),
VALUE(REGEXEXTRACT(O7884,""[0-9]+""))*1000,
VALUE(REGEXEXTRACT(O7884,""[0-9]+""))
),
0
)"),0.0)</f>
        <v>0</v>
      </c>
      <c r="E7884" s="1" t="s">
        <v>11</v>
      </c>
      <c r="F7884" s="1" t="s">
        <v>20</v>
      </c>
      <c r="G7884" s="4" t="b">
        <f t="shared" si="2"/>
        <v>1</v>
      </c>
      <c r="H7884" s="1" t="str">
        <f t="shared" si="3"/>
        <v>Currently Unavailable</v>
      </c>
      <c r="I7884" s="1" t="str">
        <f t="shared" si="4"/>
        <v>No Badges</v>
      </c>
      <c r="J7884" s="3">
        <f t="shared" si="5"/>
        <v>0</v>
      </c>
    </row>
    <row r="7885">
      <c r="A7885" s="1" t="s">
        <v>6007</v>
      </c>
      <c r="B7885" s="3" t="str">
        <f t="shared" si="1"/>
        <v>Unavailable</v>
      </c>
      <c r="C7885" s="5">
        <v>8399.0</v>
      </c>
      <c r="D7885" s="3">
        <f>IFERROR(__xludf.DUMMYFUNCTION("IFERROR(
IF(REGEXMATCH(LOWER(O7885),""k""),
VALUE(REGEXEXTRACT(O7885,""[0-9]+""))*1000,
VALUE(REGEXEXTRACT(O7885,""[0-9]+""))
),
0
)"),0.0)</f>
        <v>0</v>
      </c>
      <c r="E7885" s="1" t="s">
        <v>11</v>
      </c>
      <c r="F7885" s="1" t="s">
        <v>20</v>
      </c>
      <c r="G7885" s="4" t="b">
        <f t="shared" si="2"/>
        <v>1</v>
      </c>
      <c r="H7885" s="1" t="str">
        <f t="shared" si="3"/>
        <v>Currently Unavailable</v>
      </c>
      <c r="I7885" s="1" t="str">
        <f t="shared" si="4"/>
        <v>No Badges</v>
      </c>
      <c r="J7885" s="3">
        <f t="shared" si="5"/>
        <v>0</v>
      </c>
    </row>
    <row r="7886">
      <c r="A7886" s="1" t="s">
        <v>6008</v>
      </c>
      <c r="B7886" s="3" t="str">
        <f t="shared" si="1"/>
        <v>Unavailable</v>
      </c>
      <c r="C7886" s="3">
        <v>6.0</v>
      </c>
      <c r="D7886" s="3">
        <f>IFERROR(__xludf.DUMMYFUNCTION("IFERROR(
IF(REGEXMATCH(LOWER(O7886),""k""),
VALUE(REGEXEXTRACT(O7886,""[0-9]+""))*1000,
VALUE(REGEXEXTRACT(O7886,""[0-9]+""))
),
0
)"),0.0)</f>
        <v>0</v>
      </c>
      <c r="E7886" s="1" t="s">
        <v>11</v>
      </c>
      <c r="F7886" s="1" t="s">
        <v>20</v>
      </c>
      <c r="G7886" s="4" t="b">
        <f t="shared" si="2"/>
        <v>1</v>
      </c>
      <c r="H7886" s="1" t="str">
        <f t="shared" si="3"/>
        <v>Currently Unavailable</v>
      </c>
      <c r="I7886" s="1" t="str">
        <f t="shared" si="4"/>
        <v>No Badges</v>
      </c>
      <c r="J7886" s="3">
        <f t="shared" si="5"/>
        <v>0</v>
      </c>
    </row>
    <row r="7887">
      <c r="A7887" s="1" t="s">
        <v>6009</v>
      </c>
      <c r="B7887" s="3" t="str">
        <f t="shared" si="1"/>
        <v>Unavailable</v>
      </c>
      <c r="C7887" s="3">
        <v>238.0</v>
      </c>
      <c r="D7887" s="3">
        <f>IFERROR(__xludf.DUMMYFUNCTION("IFERROR(
IF(REGEXMATCH(LOWER(O7887),""k""),
VALUE(REGEXEXTRACT(O7887,""[0-9]+""))*1000,
VALUE(REGEXEXTRACT(O7887,""[0-9]+""))
),
0
)"),0.0)</f>
        <v>0</v>
      </c>
      <c r="E7887" s="1" t="s">
        <v>11</v>
      </c>
      <c r="F7887" s="1" t="s">
        <v>20</v>
      </c>
      <c r="G7887" s="4" t="b">
        <f t="shared" si="2"/>
        <v>1</v>
      </c>
      <c r="H7887" s="1" t="str">
        <f t="shared" si="3"/>
        <v>Currently Unavailable</v>
      </c>
      <c r="I7887" s="1" t="str">
        <f t="shared" si="4"/>
        <v>No Badges</v>
      </c>
      <c r="J7887" s="3">
        <f t="shared" si="5"/>
        <v>0</v>
      </c>
    </row>
    <row r="7888">
      <c r="A7888" s="1" t="s">
        <v>6010</v>
      </c>
      <c r="B7888" s="3" t="str">
        <f t="shared" si="1"/>
        <v>Unavailable</v>
      </c>
      <c r="C7888" s="3">
        <v>331.0</v>
      </c>
      <c r="D7888" s="3">
        <f>IFERROR(__xludf.DUMMYFUNCTION("IFERROR(
IF(REGEXMATCH(LOWER(O7888),""k""),
VALUE(REGEXEXTRACT(O7888,""[0-9]+""))*1000,
VALUE(REGEXEXTRACT(O7888,""[0-9]+""))
),
0
)"),0.0)</f>
        <v>0</v>
      </c>
      <c r="E7888" s="1" t="s">
        <v>11</v>
      </c>
      <c r="F7888" s="1" t="s">
        <v>20</v>
      </c>
      <c r="G7888" s="4" t="b">
        <f t="shared" si="2"/>
        <v>1</v>
      </c>
      <c r="H7888" s="1" t="str">
        <f t="shared" si="3"/>
        <v>Currently Unavailable</v>
      </c>
      <c r="I7888" s="1" t="str">
        <f t="shared" si="4"/>
        <v>No Badges</v>
      </c>
      <c r="J7888" s="3">
        <f t="shared" si="5"/>
        <v>0</v>
      </c>
    </row>
    <row r="7889">
      <c r="A7889" s="1" t="s">
        <v>6011</v>
      </c>
      <c r="B7889" s="3" t="str">
        <f t="shared" si="1"/>
        <v>Unavailable</v>
      </c>
      <c r="C7889" s="5">
        <v>3182.0</v>
      </c>
      <c r="D7889" s="3">
        <f>IFERROR(__xludf.DUMMYFUNCTION("IFERROR(
IF(REGEXMATCH(LOWER(O7889),""k""),
VALUE(REGEXEXTRACT(O7889,""[0-9]+""))*1000,
VALUE(REGEXEXTRACT(O7889,""[0-9]+""))
),
0
)"),0.0)</f>
        <v>0</v>
      </c>
      <c r="E7889" s="1" t="s">
        <v>11</v>
      </c>
      <c r="F7889" s="1" t="s">
        <v>20</v>
      </c>
      <c r="G7889" s="4" t="b">
        <f t="shared" si="2"/>
        <v>1</v>
      </c>
      <c r="H7889" s="1" t="str">
        <f t="shared" si="3"/>
        <v>Currently Unavailable</v>
      </c>
      <c r="I7889" s="1" t="str">
        <f t="shared" si="4"/>
        <v>No Badges</v>
      </c>
      <c r="J7889" s="3">
        <f t="shared" si="5"/>
        <v>0</v>
      </c>
    </row>
    <row r="7890">
      <c r="A7890" s="1" t="s">
        <v>6012</v>
      </c>
      <c r="B7890" s="3" t="str">
        <f t="shared" si="1"/>
        <v>Unavailable</v>
      </c>
      <c r="C7890" s="3">
        <v>601.0</v>
      </c>
      <c r="D7890" s="3">
        <f>IFERROR(__xludf.DUMMYFUNCTION("IFERROR(
IF(REGEXMATCH(LOWER(O7890),""k""),
VALUE(REGEXEXTRACT(O7890,""[0-9]+""))*1000,
VALUE(REGEXEXTRACT(O7890,""[0-9]+""))
),
0
)"),0.0)</f>
        <v>0</v>
      </c>
      <c r="E7890" s="1" t="s">
        <v>11</v>
      </c>
      <c r="F7890" s="1" t="s">
        <v>20</v>
      </c>
      <c r="G7890" s="4" t="b">
        <f t="shared" si="2"/>
        <v>1</v>
      </c>
      <c r="H7890" s="1" t="str">
        <f t="shared" si="3"/>
        <v>Currently Unavailable</v>
      </c>
      <c r="I7890" s="1" t="str">
        <f t="shared" si="4"/>
        <v>No Badges</v>
      </c>
      <c r="J7890" s="3">
        <f t="shared" si="5"/>
        <v>0</v>
      </c>
    </row>
    <row r="7891">
      <c r="A7891" s="1" t="s">
        <v>6013</v>
      </c>
      <c r="B7891" s="3" t="str">
        <f t="shared" si="1"/>
        <v>Unavailable</v>
      </c>
      <c r="C7891" s="3">
        <v>72.0</v>
      </c>
      <c r="D7891" s="3">
        <f>IFERROR(__xludf.DUMMYFUNCTION("IFERROR(
IF(REGEXMATCH(LOWER(O7891),""k""),
VALUE(REGEXEXTRACT(O7891,""[0-9]+""))*1000,
VALUE(REGEXEXTRACT(O7891,""[0-9]+""))
),
0
)"),0.0)</f>
        <v>0</v>
      </c>
      <c r="E7891" s="1" t="s">
        <v>11</v>
      </c>
      <c r="F7891" s="1" t="s">
        <v>20</v>
      </c>
      <c r="G7891" s="4" t="b">
        <f t="shared" si="2"/>
        <v>1</v>
      </c>
      <c r="H7891" s="1" t="str">
        <f t="shared" si="3"/>
        <v>Currently Unavailable</v>
      </c>
      <c r="I7891" s="1" t="str">
        <f t="shared" si="4"/>
        <v>No Badges</v>
      </c>
      <c r="J7891" s="3">
        <f t="shared" si="5"/>
        <v>0</v>
      </c>
    </row>
    <row r="7892">
      <c r="A7892" s="1" t="s">
        <v>67</v>
      </c>
      <c r="B7892" s="3" t="str">
        <f t="shared" si="1"/>
        <v>Unavailable</v>
      </c>
      <c r="C7892" s="3">
        <v>264.0</v>
      </c>
      <c r="D7892" s="3">
        <f>IFERROR(__xludf.DUMMYFUNCTION("IFERROR(
IF(REGEXMATCH(LOWER(O7892),""k""),
VALUE(REGEXEXTRACT(O7892,""[0-9]+""))*1000,
VALUE(REGEXEXTRACT(O7892,""[0-9]+""))
),
0
)"),0.0)</f>
        <v>0</v>
      </c>
      <c r="E7892" s="1" t="s">
        <v>11</v>
      </c>
      <c r="F7892" s="1" t="s">
        <v>12</v>
      </c>
      <c r="G7892" s="4" t="b">
        <f t="shared" si="2"/>
        <v>1</v>
      </c>
      <c r="H7892" s="1" t="str">
        <f t="shared" si="3"/>
        <v>Currently Unavailable</v>
      </c>
      <c r="I7892" s="1" t="str">
        <f t="shared" si="4"/>
        <v>No Badges</v>
      </c>
      <c r="J7892" s="3">
        <f t="shared" si="5"/>
        <v>0</v>
      </c>
    </row>
    <row r="7893">
      <c r="A7893" s="1" t="s">
        <v>6014</v>
      </c>
      <c r="B7893" s="3" t="str">
        <f t="shared" si="1"/>
        <v>Unavailable</v>
      </c>
      <c r="C7893" s="3">
        <v>582.0</v>
      </c>
      <c r="D7893" s="3">
        <f>IFERROR(__xludf.DUMMYFUNCTION("IFERROR(
IF(REGEXMATCH(LOWER(O7893),""k""),
VALUE(REGEXEXTRACT(O7893,""[0-9]+""))*1000,
VALUE(REGEXEXTRACT(O7893,""[0-9]+""))
),
0
)"),0.0)</f>
        <v>0</v>
      </c>
      <c r="E7893" s="1" t="s">
        <v>11</v>
      </c>
      <c r="F7893" s="1" t="s">
        <v>20</v>
      </c>
      <c r="G7893" s="4" t="b">
        <f t="shared" si="2"/>
        <v>1</v>
      </c>
      <c r="H7893" s="1" t="str">
        <f t="shared" si="3"/>
        <v>Currently Unavailable</v>
      </c>
      <c r="I7893" s="1" t="str">
        <f t="shared" si="4"/>
        <v>No Badges</v>
      </c>
      <c r="J7893" s="3">
        <f t="shared" si="5"/>
        <v>0</v>
      </c>
    </row>
    <row r="7894">
      <c r="A7894" s="1" t="s">
        <v>701</v>
      </c>
      <c r="B7894" s="3" t="str">
        <f t="shared" si="1"/>
        <v>Unavailable</v>
      </c>
      <c r="C7894" s="3">
        <v>8.0</v>
      </c>
      <c r="D7894" s="3">
        <f>IFERROR(__xludf.DUMMYFUNCTION("IFERROR(
IF(REGEXMATCH(LOWER(O7894),""k""),
VALUE(REGEXEXTRACT(O7894,""[0-9]+""))*1000,
VALUE(REGEXEXTRACT(O7894,""[0-9]+""))
),
0
)"),0.0)</f>
        <v>0</v>
      </c>
      <c r="E7894" s="1" t="s">
        <v>11</v>
      </c>
      <c r="F7894" s="1" t="s">
        <v>12</v>
      </c>
      <c r="G7894" s="4" t="b">
        <f t="shared" si="2"/>
        <v>1</v>
      </c>
      <c r="H7894" s="1" t="str">
        <f t="shared" si="3"/>
        <v>Currently Unavailable</v>
      </c>
      <c r="I7894" s="1" t="str">
        <f t="shared" si="4"/>
        <v>No Badges</v>
      </c>
      <c r="J7894" s="3">
        <f t="shared" si="5"/>
        <v>0</v>
      </c>
    </row>
    <row r="7895">
      <c r="A7895" s="1" t="s">
        <v>6015</v>
      </c>
      <c r="B7895" s="3" t="str">
        <f t="shared" si="1"/>
        <v>Unavailable</v>
      </c>
      <c r="C7895" s="3">
        <v>105.0</v>
      </c>
      <c r="D7895" s="3">
        <f>IFERROR(__xludf.DUMMYFUNCTION("IFERROR(
IF(REGEXMATCH(LOWER(O7895),""k""),
VALUE(REGEXEXTRACT(O7895,""[0-9]+""))*1000,
VALUE(REGEXEXTRACT(O7895,""[0-9]+""))
),
0
)"),0.0)</f>
        <v>0</v>
      </c>
      <c r="E7895" s="1" t="s">
        <v>11</v>
      </c>
      <c r="F7895" s="1" t="s">
        <v>20</v>
      </c>
      <c r="G7895" s="4" t="b">
        <f t="shared" si="2"/>
        <v>1</v>
      </c>
      <c r="H7895" s="1" t="str">
        <f t="shared" si="3"/>
        <v>Currently Unavailable</v>
      </c>
      <c r="I7895" s="1" t="str">
        <f t="shared" si="4"/>
        <v>No Badges</v>
      </c>
      <c r="J7895" s="3">
        <f t="shared" si="5"/>
        <v>0</v>
      </c>
    </row>
    <row r="7896">
      <c r="A7896" s="1" t="s">
        <v>6016</v>
      </c>
      <c r="B7896" s="3" t="str">
        <f t="shared" si="1"/>
        <v>Unavailable</v>
      </c>
      <c r="C7896" s="3">
        <v>157.0</v>
      </c>
      <c r="D7896" s="3">
        <f>IFERROR(__xludf.DUMMYFUNCTION("IFERROR(
IF(REGEXMATCH(LOWER(O7896),""k""),
VALUE(REGEXEXTRACT(O7896,""[0-9]+""))*1000,
VALUE(REGEXEXTRACT(O7896,""[0-9]+""))
),
0
)"),0.0)</f>
        <v>0</v>
      </c>
      <c r="E7896" s="1" t="s">
        <v>11</v>
      </c>
      <c r="F7896" s="1" t="s">
        <v>20</v>
      </c>
      <c r="G7896" s="4" t="b">
        <f t="shared" si="2"/>
        <v>1</v>
      </c>
      <c r="H7896" s="1" t="str">
        <f t="shared" si="3"/>
        <v>Currently Unavailable</v>
      </c>
      <c r="I7896" s="1" t="str">
        <f t="shared" si="4"/>
        <v>No Badges</v>
      </c>
      <c r="J7896" s="3">
        <f t="shared" si="5"/>
        <v>0</v>
      </c>
    </row>
    <row r="7897">
      <c r="A7897" s="1" t="s">
        <v>6017</v>
      </c>
      <c r="B7897" s="3" t="str">
        <f t="shared" si="1"/>
        <v>Unavailable</v>
      </c>
      <c r="C7897" s="5">
        <v>2515.0</v>
      </c>
      <c r="D7897" s="3">
        <f>IFERROR(__xludf.DUMMYFUNCTION("IFERROR(
IF(REGEXMATCH(LOWER(O7897),""k""),
VALUE(REGEXEXTRACT(O7897,""[0-9]+""))*1000,
VALUE(REGEXEXTRACT(O7897,""[0-9]+""))
),
0
)"),0.0)</f>
        <v>0</v>
      </c>
      <c r="E7897" s="1" t="s">
        <v>11</v>
      </c>
      <c r="F7897" s="1" t="s">
        <v>20</v>
      </c>
      <c r="G7897" s="4" t="b">
        <f t="shared" si="2"/>
        <v>1</v>
      </c>
      <c r="H7897" s="1" t="str">
        <f t="shared" si="3"/>
        <v>Currently Unavailable</v>
      </c>
      <c r="I7897" s="1" t="str">
        <f t="shared" si="4"/>
        <v>No Badges</v>
      </c>
      <c r="J7897" s="3">
        <f t="shared" si="5"/>
        <v>0</v>
      </c>
    </row>
    <row r="7898">
      <c r="A7898" s="1" t="s">
        <v>6018</v>
      </c>
      <c r="B7898" s="3" t="str">
        <f t="shared" si="1"/>
        <v>Unavailable</v>
      </c>
      <c r="C7898" s="5">
        <v>7378.0</v>
      </c>
      <c r="D7898" s="3">
        <f>IFERROR(__xludf.DUMMYFUNCTION("IFERROR(
IF(REGEXMATCH(LOWER(O7898),""k""),
VALUE(REGEXEXTRACT(O7898,""[0-9]+""))*1000,
VALUE(REGEXEXTRACT(O7898,""[0-9]+""))
),
0
)"),0.0)</f>
        <v>0</v>
      </c>
      <c r="E7898" s="1" t="s">
        <v>11</v>
      </c>
      <c r="F7898" s="1" t="s">
        <v>20</v>
      </c>
      <c r="G7898" s="4" t="b">
        <f t="shared" si="2"/>
        <v>1</v>
      </c>
      <c r="H7898" s="1" t="str">
        <f t="shared" si="3"/>
        <v>Currently Unavailable</v>
      </c>
      <c r="I7898" s="1" t="str">
        <f t="shared" si="4"/>
        <v>No Badges</v>
      </c>
      <c r="J7898" s="3">
        <f t="shared" si="5"/>
        <v>0</v>
      </c>
    </row>
    <row r="7899">
      <c r="A7899" s="1" t="s">
        <v>5817</v>
      </c>
      <c r="B7899" s="3" t="str">
        <f t="shared" si="1"/>
        <v>Unavailable</v>
      </c>
      <c r="C7899" s="5">
        <v>7235.0</v>
      </c>
      <c r="D7899" s="3">
        <f>IFERROR(__xludf.DUMMYFUNCTION("IFERROR(
IF(REGEXMATCH(LOWER(O7899),""k""),
VALUE(REGEXEXTRACT(O7899,""[0-9]+""))*1000,
VALUE(REGEXEXTRACT(O7899,""[0-9]+""))
),
0
)"),0.0)</f>
        <v>0</v>
      </c>
      <c r="E7899" s="1" t="s">
        <v>11</v>
      </c>
      <c r="F7899" s="1" t="s">
        <v>12</v>
      </c>
      <c r="G7899" s="4" t="b">
        <f t="shared" si="2"/>
        <v>1</v>
      </c>
      <c r="H7899" s="1" t="str">
        <f t="shared" si="3"/>
        <v>Currently Unavailable</v>
      </c>
      <c r="I7899" s="1" t="str">
        <f t="shared" si="4"/>
        <v>No Badges</v>
      </c>
      <c r="J7899" s="3">
        <f t="shared" si="5"/>
        <v>0</v>
      </c>
    </row>
    <row r="7900">
      <c r="A7900" s="1" t="s">
        <v>6019</v>
      </c>
      <c r="B7900" s="3" t="str">
        <f t="shared" si="1"/>
        <v>Unavailable</v>
      </c>
      <c r="C7900" s="5">
        <v>4064.0</v>
      </c>
      <c r="D7900" s="3">
        <f>IFERROR(__xludf.DUMMYFUNCTION("IFERROR(
IF(REGEXMATCH(LOWER(O7900),""k""),
VALUE(REGEXEXTRACT(O7900,""[0-9]+""))*1000,
VALUE(REGEXEXTRACT(O7900,""[0-9]+""))
),
0
)"),0.0)</f>
        <v>0</v>
      </c>
      <c r="E7900" s="1" t="s">
        <v>11</v>
      </c>
      <c r="F7900" s="1" t="s">
        <v>20</v>
      </c>
      <c r="G7900" s="4" t="b">
        <f t="shared" si="2"/>
        <v>1</v>
      </c>
      <c r="H7900" s="1" t="str">
        <f t="shared" si="3"/>
        <v>Currently Unavailable</v>
      </c>
      <c r="I7900" s="1" t="str">
        <f t="shared" si="4"/>
        <v>No Badges</v>
      </c>
      <c r="J7900" s="3">
        <f t="shared" si="5"/>
        <v>0</v>
      </c>
    </row>
    <row r="7901">
      <c r="A7901" s="1" t="s">
        <v>6020</v>
      </c>
      <c r="B7901" s="3" t="str">
        <f t="shared" si="1"/>
        <v>Unavailable</v>
      </c>
      <c r="C7901" s="5">
        <v>5670.0</v>
      </c>
      <c r="D7901" s="3">
        <f>IFERROR(__xludf.DUMMYFUNCTION("IFERROR(
IF(REGEXMATCH(LOWER(O7901),""k""),
VALUE(REGEXEXTRACT(O7901,""[0-9]+""))*1000,
VALUE(REGEXEXTRACT(O7901,""[0-9]+""))
),
0
)"),0.0)</f>
        <v>0</v>
      </c>
      <c r="E7901" s="1" t="s">
        <v>11</v>
      </c>
      <c r="F7901" s="1" t="s">
        <v>20</v>
      </c>
      <c r="G7901" s="4" t="b">
        <f t="shared" si="2"/>
        <v>1</v>
      </c>
      <c r="H7901" s="1" t="str">
        <f t="shared" si="3"/>
        <v>Currently Unavailable</v>
      </c>
      <c r="I7901" s="1" t="str">
        <f t="shared" si="4"/>
        <v>No Badges</v>
      </c>
      <c r="J7901" s="3">
        <f t="shared" si="5"/>
        <v>0</v>
      </c>
    </row>
    <row r="7902">
      <c r="A7902" s="1" t="s">
        <v>6021</v>
      </c>
      <c r="B7902" s="3" t="str">
        <f t="shared" si="1"/>
        <v>Unavailable</v>
      </c>
      <c r="C7902" s="3">
        <v>873.0</v>
      </c>
      <c r="D7902" s="3">
        <f>IFERROR(__xludf.DUMMYFUNCTION("IFERROR(
IF(REGEXMATCH(LOWER(O7902),""k""),
VALUE(REGEXEXTRACT(O7902,""[0-9]+""))*1000,
VALUE(REGEXEXTRACT(O7902,""[0-9]+""))
),
0
)"),0.0)</f>
        <v>0</v>
      </c>
      <c r="E7902" s="1" t="s">
        <v>18</v>
      </c>
      <c r="F7902" s="1" t="s">
        <v>20</v>
      </c>
      <c r="G7902" s="4" t="b">
        <f t="shared" si="2"/>
        <v>1</v>
      </c>
      <c r="H7902" s="1" t="str">
        <f t="shared" si="3"/>
        <v>Currently Unavailable</v>
      </c>
      <c r="I7902" s="1" t="str">
        <f t="shared" si="4"/>
        <v>No Badges</v>
      </c>
      <c r="J7902" s="3">
        <f t="shared" si="5"/>
        <v>0</v>
      </c>
    </row>
    <row r="7903">
      <c r="A7903" s="1" t="s">
        <v>6022</v>
      </c>
      <c r="B7903" s="3" t="str">
        <f t="shared" si="1"/>
        <v>Unavailable</v>
      </c>
      <c r="C7903" s="3">
        <v>147.0</v>
      </c>
      <c r="D7903" s="3">
        <f>IFERROR(__xludf.DUMMYFUNCTION("IFERROR(
IF(REGEXMATCH(LOWER(O7903),""k""),
VALUE(REGEXEXTRACT(O7903,""[0-9]+""))*1000,
VALUE(REGEXEXTRACT(O7903,""[0-9]+""))
),
0
)"),0.0)</f>
        <v>0</v>
      </c>
      <c r="E7903" s="1" t="s">
        <v>11</v>
      </c>
      <c r="F7903" s="1" t="s">
        <v>20</v>
      </c>
      <c r="G7903" s="4" t="b">
        <f t="shared" si="2"/>
        <v>1</v>
      </c>
      <c r="H7903" s="1" t="str">
        <f t="shared" si="3"/>
        <v>Currently Unavailable</v>
      </c>
      <c r="I7903" s="1" t="str">
        <f t="shared" si="4"/>
        <v>No Badges</v>
      </c>
      <c r="J7903" s="3">
        <f t="shared" si="5"/>
        <v>0</v>
      </c>
    </row>
    <row r="7904">
      <c r="A7904" s="1" t="s">
        <v>6023</v>
      </c>
      <c r="B7904" s="3" t="str">
        <f t="shared" si="1"/>
        <v>Unavailable</v>
      </c>
      <c r="C7904" s="3">
        <v>291.0</v>
      </c>
      <c r="D7904" s="3">
        <f>IFERROR(__xludf.DUMMYFUNCTION("IFERROR(
IF(REGEXMATCH(LOWER(O7904),""k""),
VALUE(REGEXEXTRACT(O7904,""[0-9]+""))*1000,
VALUE(REGEXEXTRACT(O7904,""[0-9]+""))
),
0
)"),0.0)</f>
        <v>0</v>
      </c>
      <c r="E7904" s="1" t="s">
        <v>11</v>
      </c>
      <c r="F7904" s="1" t="s">
        <v>20</v>
      </c>
      <c r="G7904" s="4" t="b">
        <f t="shared" si="2"/>
        <v>1</v>
      </c>
      <c r="H7904" s="1" t="str">
        <f t="shared" si="3"/>
        <v>Currently Unavailable</v>
      </c>
      <c r="I7904" s="1" t="str">
        <f t="shared" si="4"/>
        <v>No Badges</v>
      </c>
      <c r="J7904" s="3">
        <f t="shared" si="5"/>
        <v>0</v>
      </c>
    </row>
    <row r="7905">
      <c r="A7905" s="1" t="s">
        <v>6024</v>
      </c>
      <c r="B7905" s="3" t="str">
        <f t="shared" si="1"/>
        <v>Unavailable</v>
      </c>
      <c r="C7905" s="3">
        <v>208.0</v>
      </c>
      <c r="D7905" s="3">
        <f>IFERROR(__xludf.DUMMYFUNCTION("IFERROR(
IF(REGEXMATCH(LOWER(O7905),""k""),
VALUE(REGEXEXTRACT(O7905,""[0-9]+""))*1000,
VALUE(REGEXEXTRACT(O7905,""[0-9]+""))
),
0
)"),0.0)</f>
        <v>0</v>
      </c>
      <c r="E7905" s="1" t="s">
        <v>11</v>
      </c>
      <c r="F7905" s="1" t="s">
        <v>20</v>
      </c>
      <c r="G7905" s="4" t="b">
        <f t="shared" si="2"/>
        <v>1</v>
      </c>
      <c r="H7905" s="1" t="str">
        <f t="shared" si="3"/>
        <v>Currently Unavailable</v>
      </c>
      <c r="I7905" s="1" t="str">
        <f t="shared" si="4"/>
        <v>No Badges</v>
      </c>
      <c r="J7905" s="3">
        <f t="shared" si="5"/>
        <v>0</v>
      </c>
    </row>
    <row r="7906">
      <c r="A7906" s="1" t="s">
        <v>6025</v>
      </c>
      <c r="B7906" s="3" t="str">
        <f t="shared" si="1"/>
        <v>Unavailable</v>
      </c>
      <c r="C7906" s="3">
        <v>590.0</v>
      </c>
      <c r="D7906" s="3">
        <f>IFERROR(__xludf.DUMMYFUNCTION("IFERROR(
IF(REGEXMATCH(LOWER(O7906),""k""),
VALUE(REGEXEXTRACT(O7906,""[0-9]+""))*1000,
VALUE(REGEXEXTRACT(O7906,""[0-9]+""))
),
0
)"),0.0)</f>
        <v>0</v>
      </c>
      <c r="E7906" s="1" t="s">
        <v>11</v>
      </c>
      <c r="F7906" s="1" t="s">
        <v>20</v>
      </c>
      <c r="G7906" s="4" t="b">
        <f t="shared" si="2"/>
        <v>1</v>
      </c>
      <c r="H7906" s="1" t="str">
        <f t="shared" si="3"/>
        <v>Currently Unavailable</v>
      </c>
      <c r="I7906" s="1" t="str">
        <f t="shared" si="4"/>
        <v>No Badges</v>
      </c>
      <c r="J7906" s="3">
        <f t="shared" si="5"/>
        <v>0</v>
      </c>
    </row>
    <row r="7907">
      <c r="A7907" s="1" t="s">
        <v>5817</v>
      </c>
      <c r="B7907" s="3" t="str">
        <f t="shared" si="1"/>
        <v>Unavailable</v>
      </c>
      <c r="C7907" s="5">
        <v>7235.0</v>
      </c>
      <c r="D7907" s="3">
        <f>IFERROR(__xludf.DUMMYFUNCTION("IFERROR(
IF(REGEXMATCH(LOWER(O7907),""k""),
VALUE(REGEXEXTRACT(O7907,""[0-9]+""))*1000,
VALUE(REGEXEXTRACT(O7907,""[0-9]+""))
),
0
)"),0.0)</f>
        <v>0</v>
      </c>
      <c r="E7907" s="1" t="s">
        <v>11</v>
      </c>
      <c r="F7907" s="1" t="s">
        <v>12</v>
      </c>
      <c r="G7907" s="4" t="b">
        <f t="shared" si="2"/>
        <v>1</v>
      </c>
      <c r="H7907" s="1" t="str">
        <f t="shared" si="3"/>
        <v>Currently Unavailable</v>
      </c>
      <c r="I7907" s="1" t="str">
        <f t="shared" si="4"/>
        <v>No Badges</v>
      </c>
      <c r="J7907" s="3">
        <f t="shared" si="5"/>
        <v>0</v>
      </c>
    </row>
    <row r="7908">
      <c r="A7908" s="1" t="s">
        <v>88</v>
      </c>
      <c r="B7908" s="3" t="str">
        <f t="shared" si="1"/>
        <v>Unavailable</v>
      </c>
      <c r="C7908" s="3">
        <v>5.0</v>
      </c>
      <c r="D7908" s="3">
        <f>IFERROR(__xludf.DUMMYFUNCTION("IFERROR(
IF(REGEXMATCH(LOWER(O7908),""k""),
VALUE(REGEXEXTRACT(O7908,""[0-9]+""))*1000,
VALUE(REGEXEXTRACT(O7908,""[0-9]+""))
),
0
)"),0.0)</f>
        <v>0</v>
      </c>
      <c r="E7908" s="1" t="s">
        <v>11</v>
      </c>
      <c r="F7908" s="1" t="s">
        <v>12</v>
      </c>
      <c r="G7908" s="4" t="b">
        <f t="shared" si="2"/>
        <v>1</v>
      </c>
      <c r="H7908" s="1" t="str">
        <f t="shared" si="3"/>
        <v>Currently Unavailable</v>
      </c>
      <c r="I7908" s="1" t="str">
        <f t="shared" si="4"/>
        <v>No Badges</v>
      </c>
      <c r="J7908" s="3">
        <f t="shared" si="5"/>
        <v>0</v>
      </c>
    </row>
    <row r="7909">
      <c r="A7909" s="1" t="s">
        <v>6026</v>
      </c>
      <c r="B7909" s="3" t="str">
        <f t="shared" si="1"/>
        <v>Unavailable</v>
      </c>
      <c r="C7909" s="3">
        <v>182.0</v>
      </c>
      <c r="D7909" s="3">
        <f>IFERROR(__xludf.DUMMYFUNCTION("IFERROR(
IF(REGEXMATCH(LOWER(O7909),""k""),
VALUE(REGEXEXTRACT(O7909,""[0-9]+""))*1000,
VALUE(REGEXEXTRACT(O7909,""[0-9]+""))
),
0
)"),0.0)</f>
        <v>0</v>
      </c>
      <c r="E7909" s="1" t="s">
        <v>11</v>
      </c>
      <c r="F7909" s="1" t="s">
        <v>12</v>
      </c>
      <c r="G7909" s="4" t="b">
        <f t="shared" si="2"/>
        <v>1</v>
      </c>
      <c r="H7909" s="1" t="str">
        <f t="shared" si="3"/>
        <v>Currently Unavailable</v>
      </c>
      <c r="I7909" s="1" t="str">
        <f t="shared" si="4"/>
        <v>No Badges</v>
      </c>
      <c r="J7909" s="3">
        <f t="shared" si="5"/>
        <v>0</v>
      </c>
    </row>
    <row r="7910">
      <c r="A7910" s="1" t="s">
        <v>6027</v>
      </c>
      <c r="B7910" s="3" t="str">
        <f t="shared" si="1"/>
        <v>Unavailable</v>
      </c>
      <c r="C7910" s="3">
        <v>26.0</v>
      </c>
      <c r="D7910" s="3">
        <f>IFERROR(__xludf.DUMMYFUNCTION("IFERROR(
IF(REGEXMATCH(LOWER(O7910),""k""),
VALUE(REGEXEXTRACT(O7910,""[0-9]+""))*1000,
VALUE(REGEXEXTRACT(O7910,""[0-9]+""))
),
0
)"),0.0)</f>
        <v>0</v>
      </c>
      <c r="E7910" s="1" t="s">
        <v>11</v>
      </c>
      <c r="F7910" s="1" t="s">
        <v>20</v>
      </c>
      <c r="G7910" s="4" t="b">
        <f t="shared" si="2"/>
        <v>1</v>
      </c>
      <c r="H7910" s="1" t="str">
        <f t="shared" si="3"/>
        <v>Currently Unavailable</v>
      </c>
      <c r="I7910" s="1" t="str">
        <f t="shared" si="4"/>
        <v>No Badges</v>
      </c>
      <c r="J7910" s="3">
        <f t="shared" si="5"/>
        <v>0</v>
      </c>
    </row>
    <row r="7911">
      <c r="A7911" s="1" t="s">
        <v>6028</v>
      </c>
      <c r="B7911" s="3" t="str">
        <f t="shared" si="1"/>
        <v>Unavailable</v>
      </c>
      <c r="C7911" s="5">
        <v>1216.0</v>
      </c>
      <c r="D7911" s="3">
        <f>IFERROR(__xludf.DUMMYFUNCTION("IFERROR(
IF(REGEXMATCH(LOWER(O7911),""k""),
VALUE(REGEXEXTRACT(O7911,""[0-9]+""))*1000,
VALUE(REGEXEXTRACT(O7911,""[0-9]+""))
),
0
)"),0.0)</f>
        <v>0</v>
      </c>
      <c r="E7911" s="1" t="s">
        <v>11</v>
      </c>
      <c r="F7911" s="1" t="s">
        <v>20</v>
      </c>
      <c r="G7911" s="4" t="b">
        <f t="shared" si="2"/>
        <v>1</v>
      </c>
      <c r="H7911" s="1" t="str">
        <f t="shared" si="3"/>
        <v>Currently Unavailable</v>
      </c>
      <c r="I7911" s="1" t="str">
        <f t="shared" si="4"/>
        <v>No Badges</v>
      </c>
      <c r="J7911" s="3">
        <f t="shared" si="5"/>
        <v>0</v>
      </c>
    </row>
    <row r="7912">
      <c r="A7912" s="1" t="s">
        <v>69</v>
      </c>
      <c r="B7912" s="3" t="str">
        <f t="shared" si="1"/>
        <v>Unavailable</v>
      </c>
      <c r="C7912" s="3">
        <v>45.0</v>
      </c>
      <c r="D7912" s="3">
        <f>IFERROR(__xludf.DUMMYFUNCTION("IFERROR(
IF(REGEXMATCH(LOWER(O7912),""k""),
VALUE(REGEXEXTRACT(O7912,""[0-9]+""))*1000,
VALUE(REGEXEXTRACT(O7912,""[0-9]+""))
),
0
)"),0.0)</f>
        <v>0</v>
      </c>
      <c r="E7912" s="1" t="s">
        <v>11</v>
      </c>
      <c r="F7912" s="1" t="s">
        <v>12</v>
      </c>
      <c r="G7912" s="4" t="b">
        <f t="shared" si="2"/>
        <v>1</v>
      </c>
      <c r="H7912" s="1" t="str">
        <f t="shared" si="3"/>
        <v>Currently Unavailable</v>
      </c>
      <c r="I7912" s="1" t="str">
        <f t="shared" si="4"/>
        <v>No Badges</v>
      </c>
      <c r="J7912" s="3">
        <f t="shared" si="5"/>
        <v>0</v>
      </c>
    </row>
    <row r="7913">
      <c r="A7913" s="1" t="s">
        <v>6029</v>
      </c>
      <c r="B7913" s="3" t="str">
        <f t="shared" si="1"/>
        <v>Unavailable</v>
      </c>
      <c r="C7913" s="3">
        <v>176.0</v>
      </c>
      <c r="D7913" s="3">
        <f>IFERROR(__xludf.DUMMYFUNCTION("IFERROR(
IF(REGEXMATCH(LOWER(O7913),""k""),
VALUE(REGEXEXTRACT(O7913,""[0-9]+""))*1000,
VALUE(REGEXEXTRACT(O7913,""[0-9]+""))
),
0
)"),0.0)</f>
        <v>0</v>
      </c>
      <c r="E7913" s="1" t="s">
        <v>11</v>
      </c>
      <c r="F7913" s="1" t="s">
        <v>20</v>
      </c>
      <c r="G7913" s="4" t="b">
        <f t="shared" si="2"/>
        <v>1</v>
      </c>
      <c r="H7913" s="1" t="str">
        <f t="shared" si="3"/>
        <v>Currently Unavailable</v>
      </c>
      <c r="I7913" s="1" t="str">
        <f t="shared" si="4"/>
        <v>No Badges</v>
      </c>
      <c r="J7913" s="3">
        <f t="shared" si="5"/>
        <v>0</v>
      </c>
    </row>
    <row r="7914">
      <c r="A7914" s="1" t="s">
        <v>6030</v>
      </c>
      <c r="B7914" s="3" t="str">
        <f t="shared" si="1"/>
        <v>Unavailable</v>
      </c>
      <c r="C7914" s="5">
        <v>6091.0</v>
      </c>
      <c r="D7914" s="3">
        <f>IFERROR(__xludf.DUMMYFUNCTION("IFERROR(
IF(REGEXMATCH(LOWER(O7914),""k""),
VALUE(REGEXEXTRACT(O7914,""[0-9]+""))*1000,
VALUE(REGEXEXTRACT(O7914,""[0-9]+""))
),
0
)"),0.0)</f>
        <v>0</v>
      </c>
      <c r="E7914" s="1" t="s">
        <v>11</v>
      </c>
      <c r="F7914" s="1" t="s">
        <v>20</v>
      </c>
      <c r="G7914" s="4" t="b">
        <f t="shared" si="2"/>
        <v>1</v>
      </c>
      <c r="H7914" s="1" t="str">
        <f t="shared" si="3"/>
        <v>Currently Unavailable</v>
      </c>
      <c r="I7914" s="1" t="str">
        <f t="shared" si="4"/>
        <v>No Badges</v>
      </c>
      <c r="J7914" s="3">
        <f t="shared" si="5"/>
        <v>0</v>
      </c>
    </row>
    <row r="7915">
      <c r="A7915" s="1" t="s">
        <v>6031</v>
      </c>
      <c r="B7915" s="3" t="str">
        <f t="shared" si="1"/>
        <v>Unavailable</v>
      </c>
      <c r="C7915" s="5">
        <v>1489.0</v>
      </c>
      <c r="D7915" s="3">
        <f>IFERROR(__xludf.DUMMYFUNCTION("IFERROR(
IF(REGEXMATCH(LOWER(O7915),""k""),
VALUE(REGEXEXTRACT(O7915,""[0-9]+""))*1000,
VALUE(REGEXEXTRACT(O7915,""[0-9]+""))
),
0
)"),0.0)</f>
        <v>0</v>
      </c>
      <c r="E7915" s="1" t="s">
        <v>11</v>
      </c>
      <c r="F7915" s="1" t="s">
        <v>20</v>
      </c>
      <c r="G7915" s="4" t="b">
        <f t="shared" si="2"/>
        <v>1</v>
      </c>
      <c r="H7915" s="1" t="str">
        <f t="shared" si="3"/>
        <v>Currently Unavailable</v>
      </c>
      <c r="I7915" s="1" t="str">
        <f t="shared" si="4"/>
        <v>No Badges</v>
      </c>
      <c r="J7915" s="3">
        <f t="shared" si="5"/>
        <v>0</v>
      </c>
    </row>
    <row r="7916">
      <c r="A7916" s="1" t="s">
        <v>6032</v>
      </c>
      <c r="B7916" s="3" t="str">
        <f t="shared" si="1"/>
        <v>Unavailable</v>
      </c>
      <c r="C7916" s="3">
        <v>621.0</v>
      </c>
      <c r="D7916" s="3">
        <f>IFERROR(__xludf.DUMMYFUNCTION("IFERROR(
IF(REGEXMATCH(LOWER(O7916),""k""),
VALUE(REGEXEXTRACT(O7916,""[0-9]+""))*1000,
VALUE(REGEXEXTRACT(O7916,""[0-9]+""))
),
0
)"),0.0)</f>
        <v>0</v>
      </c>
      <c r="E7916" s="1" t="s">
        <v>11</v>
      </c>
      <c r="F7916" s="1" t="s">
        <v>20</v>
      </c>
      <c r="G7916" s="4" t="b">
        <f t="shared" si="2"/>
        <v>1</v>
      </c>
      <c r="H7916" s="1" t="str">
        <f t="shared" si="3"/>
        <v>Currently Unavailable</v>
      </c>
      <c r="I7916" s="1" t="str">
        <f t="shared" si="4"/>
        <v>No Badges</v>
      </c>
      <c r="J7916" s="3">
        <f t="shared" si="5"/>
        <v>0</v>
      </c>
    </row>
    <row r="7917">
      <c r="A7917" s="1" t="s">
        <v>6033</v>
      </c>
      <c r="B7917" s="3" t="str">
        <f t="shared" si="1"/>
        <v>Unavailable</v>
      </c>
      <c r="C7917" s="3">
        <v>987.0</v>
      </c>
      <c r="D7917" s="3">
        <f>IFERROR(__xludf.DUMMYFUNCTION("IFERROR(
IF(REGEXMATCH(LOWER(O7917),""k""),
VALUE(REGEXEXTRACT(O7917,""[0-9]+""))*1000,
VALUE(REGEXEXTRACT(O7917,""[0-9]+""))
),
0
)"),0.0)</f>
        <v>0</v>
      </c>
      <c r="E7917" s="1" t="s">
        <v>11</v>
      </c>
      <c r="F7917" s="1" t="s">
        <v>20</v>
      </c>
      <c r="G7917" s="4" t="b">
        <f t="shared" si="2"/>
        <v>1</v>
      </c>
      <c r="H7917" s="1" t="str">
        <f t="shared" si="3"/>
        <v>Currently Unavailable</v>
      </c>
      <c r="I7917" s="1" t="str">
        <f t="shared" si="4"/>
        <v>No Badges</v>
      </c>
      <c r="J7917" s="3">
        <f t="shared" si="5"/>
        <v>0</v>
      </c>
    </row>
    <row r="7918">
      <c r="A7918" s="1" t="s">
        <v>6034</v>
      </c>
      <c r="B7918" s="3" t="str">
        <f t="shared" si="1"/>
        <v>Unavailable</v>
      </c>
      <c r="C7918" s="3">
        <v>187.0</v>
      </c>
      <c r="D7918" s="3">
        <f>IFERROR(__xludf.DUMMYFUNCTION("IFERROR(
IF(REGEXMATCH(LOWER(O7918),""k""),
VALUE(REGEXEXTRACT(O7918,""[0-9]+""))*1000,
VALUE(REGEXEXTRACT(O7918,""[0-9]+""))
),
0
)"),0.0)</f>
        <v>0</v>
      </c>
      <c r="E7918" s="1" t="s">
        <v>11</v>
      </c>
      <c r="F7918" s="1" t="s">
        <v>20</v>
      </c>
      <c r="G7918" s="4" t="b">
        <f t="shared" si="2"/>
        <v>1</v>
      </c>
      <c r="H7918" s="1" t="str">
        <f t="shared" si="3"/>
        <v>Currently Unavailable</v>
      </c>
      <c r="I7918" s="1" t="str">
        <f t="shared" si="4"/>
        <v>No Badges</v>
      </c>
      <c r="J7918" s="3">
        <f t="shared" si="5"/>
        <v>0</v>
      </c>
    </row>
    <row r="7919">
      <c r="A7919" s="1" t="s">
        <v>6035</v>
      </c>
      <c r="B7919" s="3" t="str">
        <f t="shared" si="1"/>
        <v>Unavailable</v>
      </c>
      <c r="C7919" s="3">
        <v>266.0</v>
      </c>
      <c r="D7919" s="3">
        <f>IFERROR(__xludf.DUMMYFUNCTION("IFERROR(
IF(REGEXMATCH(LOWER(O7919),""k""),
VALUE(REGEXEXTRACT(O7919,""[0-9]+""))*1000,
VALUE(REGEXEXTRACT(O7919,""[0-9]+""))
),
0
)"),0.0)</f>
        <v>0</v>
      </c>
      <c r="E7919" s="1" t="s">
        <v>11</v>
      </c>
      <c r="F7919" s="1" t="s">
        <v>20</v>
      </c>
      <c r="G7919" s="4" t="b">
        <f t="shared" si="2"/>
        <v>1</v>
      </c>
      <c r="H7919" s="1" t="str">
        <f t="shared" si="3"/>
        <v>Currently Unavailable</v>
      </c>
      <c r="I7919" s="1" t="str">
        <f t="shared" si="4"/>
        <v>No Badges</v>
      </c>
      <c r="J7919" s="3">
        <f t="shared" si="5"/>
        <v>0</v>
      </c>
    </row>
    <row r="7920">
      <c r="A7920" s="1" t="s">
        <v>6036</v>
      </c>
      <c r="B7920" s="3" t="str">
        <f t="shared" si="1"/>
        <v>Unavailable</v>
      </c>
      <c r="C7920" s="5">
        <v>2742.0</v>
      </c>
      <c r="D7920" s="3">
        <f>IFERROR(__xludf.DUMMYFUNCTION("IFERROR(
IF(REGEXMATCH(LOWER(O7920),""k""),
VALUE(REGEXEXTRACT(O7920,""[0-9]+""))*1000,
VALUE(REGEXEXTRACT(O7920,""[0-9]+""))
),
0
)"),0.0)</f>
        <v>0</v>
      </c>
      <c r="E7920" s="1" t="s">
        <v>11</v>
      </c>
      <c r="F7920" s="1" t="s">
        <v>20</v>
      </c>
      <c r="G7920" s="4" t="b">
        <f t="shared" si="2"/>
        <v>1</v>
      </c>
      <c r="H7920" s="1" t="str">
        <f t="shared" si="3"/>
        <v>Currently Unavailable</v>
      </c>
      <c r="I7920" s="1" t="str">
        <f t="shared" si="4"/>
        <v>No Badges</v>
      </c>
      <c r="J7920" s="3">
        <f t="shared" si="5"/>
        <v>0</v>
      </c>
    </row>
    <row r="7921">
      <c r="A7921" s="1" t="s">
        <v>6037</v>
      </c>
      <c r="B7921" s="3" t="str">
        <f t="shared" si="1"/>
        <v>Unavailable</v>
      </c>
      <c r="C7921" s="5">
        <v>8302.0</v>
      </c>
      <c r="D7921" s="3">
        <f>IFERROR(__xludf.DUMMYFUNCTION("IFERROR(
IF(REGEXMATCH(LOWER(O7921),""k""),
VALUE(REGEXEXTRACT(O7921,""[0-9]+""))*1000,
VALUE(REGEXEXTRACT(O7921,""[0-9]+""))
),
0
)"),0.0)</f>
        <v>0</v>
      </c>
      <c r="E7921" s="1" t="s">
        <v>11</v>
      </c>
      <c r="F7921" s="1" t="s">
        <v>20</v>
      </c>
      <c r="G7921" s="4" t="b">
        <f t="shared" si="2"/>
        <v>1</v>
      </c>
      <c r="H7921" s="1" t="str">
        <f t="shared" si="3"/>
        <v>Currently Unavailable</v>
      </c>
      <c r="I7921" s="1" t="str">
        <f t="shared" si="4"/>
        <v>No Badges</v>
      </c>
      <c r="J7921" s="3">
        <f t="shared" si="5"/>
        <v>0</v>
      </c>
    </row>
    <row r="7922">
      <c r="A7922" s="1" t="s">
        <v>5817</v>
      </c>
      <c r="B7922" s="3" t="str">
        <f t="shared" si="1"/>
        <v>Unavailable</v>
      </c>
      <c r="C7922" s="5">
        <v>7235.0</v>
      </c>
      <c r="D7922" s="3">
        <f>IFERROR(__xludf.DUMMYFUNCTION("IFERROR(
IF(REGEXMATCH(LOWER(O7922),""k""),
VALUE(REGEXEXTRACT(O7922,""[0-9]+""))*1000,
VALUE(REGEXEXTRACT(O7922,""[0-9]+""))
),
0
)"),0.0)</f>
        <v>0</v>
      </c>
      <c r="E7922" s="1" t="s">
        <v>11</v>
      </c>
      <c r="F7922" s="1" t="s">
        <v>12</v>
      </c>
      <c r="G7922" s="4" t="b">
        <f t="shared" si="2"/>
        <v>1</v>
      </c>
      <c r="H7922" s="1" t="str">
        <f t="shared" si="3"/>
        <v>Currently Unavailable</v>
      </c>
      <c r="I7922" s="1" t="str">
        <f t="shared" si="4"/>
        <v>No Badges</v>
      </c>
      <c r="J7922" s="3">
        <f t="shared" si="5"/>
        <v>0</v>
      </c>
    </row>
    <row r="7923">
      <c r="A7923" s="1" t="s">
        <v>6038</v>
      </c>
      <c r="B7923" s="3" t="str">
        <f t="shared" si="1"/>
        <v>Unavailable</v>
      </c>
      <c r="C7923" s="5">
        <v>5313.0</v>
      </c>
      <c r="D7923" s="3">
        <f>IFERROR(__xludf.DUMMYFUNCTION("IFERROR(
IF(REGEXMATCH(LOWER(O7923),""k""),
VALUE(REGEXEXTRACT(O7923,""[0-9]+""))*1000,
VALUE(REGEXEXTRACT(O7923,""[0-9]+""))
),
0
)"),0.0)</f>
        <v>0</v>
      </c>
      <c r="E7923" s="1" t="s">
        <v>11</v>
      </c>
      <c r="F7923" s="1" t="s">
        <v>20</v>
      </c>
      <c r="G7923" s="4" t="b">
        <f t="shared" si="2"/>
        <v>1</v>
      </c>
      <c r="H7923" s="1" t="str">
        <f t="shared" si="3"/>
        <v>Currently Unavailable</v>
      </c>
      <c r="I7923" s="1" t="str">
        <f t="shared" si="4"/>
        <v>No Badges</v>
      </c>
      <c r="J7923" s="3">
        <f t="shared" si="5"/>
        <v>0</v>
      </c>
    </row>
    <row r="7924">
      <c r="A7924" s="1" t="s">
        <v>6039</v>
      </c>
      <c r="B7924" s="3" t="str">
        <f t="shared" si="1"/>
        <v>Unavailable</v>
      </c>
      <c r="C7924" s="3">
        <v>357.0</v>
      </c>
      <c r="D7924" s="3">
        <f>IFERROR(__xludf.DUMMYFUNCTION("IFERROR(
IF(REGEXMATCH(LOWER(O7924),""k""),
VALUE(REGEXEXTRACT(O7924,""[0-9]+""))*1000,
VALUE(REGEXEXTRACT(O7924,""[0-9]+""))
),
0
)"),0.0)</f>
        <v>0</v>
      </c>
      <c r="E7924" s="1" t="s">
        <v>158</v>
      </c>
      <c r="F7924" s="1" t="s">
        <v>20</v>
      </c>
      <c r="G7924" s="4" t="b">
        <f t="shared" si="2"/>
        <v>1</v>
      </c>
      <c r="H7924" s="1" t="str">
        <f t="shared" si="3"/>
        <v>Currently Unavailable</v>
      </c>
      <c r="I7924" s="1" t="str">
        <f t="shared" si="4"/>
        <v>No Badges</v>
      </c>
      <c r="J7924" s="3">
        <f t="shared" si="5"/>
        <v>0</v>
      </c>
    </row>
    <row r="7925">
      <c r="A7925" s="1" t="s">
        <v>67</v>
      </c>
      <c r="B7925" s="3" t="str">
        <f t="shared" si="1"/>
        <v>Unavailable</v>
      </c>
      <c r="C7925" s="3">
        <v>264.0</v>
      </c>
      <c r="D7925" s="3">
        <f>IFERROR(__xludf.DUMMYFUNCTION("IFERROR(
IF(REGEXMATCH(LOWER(O7925),""k""),
VALUE(REGEXEXTRACT(O7925,""[0-9]+""))*1000,
VALUE(REGEXEXTRACT(O7925,""[0-9]+""))
),
0
)"),0.0)</f>
        <v>0</v>
      </c>
      <c r="E7925" s="1" t="s">
        <v>11</v>
      </c>
      <c r="F7925" s="1" t="s">
        <v>12</v>
      </c>
      <c r="G7925" s="4" t="b">
        <f t="shared" si="2"/>
        <v>1</v>
      </c>
      <c r="H7925" s="1" t="str">
        <f t="shared" si="3"/>
        <v>Currently Unavailable</v>
      </c>
      <c r="I7925" s="1" t="str">
        <f t="shared" si="4"/>
        <v>No Badges</v>
      </c>
      <c r="J7925" s="3">
        <f t="shared" si="5"/>
        <v>0</v>
      </c>
    </row>
    <row r="7926">
      <c r="A7926" s="1" t="s">
        <v>6040</v>
      </c>
      <c r="B7926" s="3" t="str">
        <f t="shared" si="1"/>
        <v>Unavailable</v>
      </c>
      <c r="C7926" s="3">
        <v>992.0</v>
      </c>
      <c r="D7926" s="3">
        <f>IFERROR(__xludf.DUMMYFUNCTION("IFERROR(
IF(REGEXMATCH(LOWER(O7926),""k""),
VALUE(REGEXEXTRACT(O7926,""[0-9]+""))*1000,
VALUE(REGEXEXTRACT(O7926,""[0-9]+""))
),
0
)"),0.0)</f>
        <v>0</v>
      </c>
      <c r="E7926" s="1" t="s">
        <v>11</v>
      </c>
      <c r="F7926" s="1" t="s">
        <v>20</v>
      </c>
      <c r="G7926" s="4" t="b">
        <f t="shared" si="2"/>
        <v>1</v>
      </c>
      <c r="H7926" s="1" t="str">
        <f t="shared" si="3"/>
        <v>Currently Unavailable</v>
      </c>
      <c r="I7926" s="1" t="str">
        <f t="shared" si="4"/>
        <v>No Badges</v>
      </c>
      <c r="J7926" s="3">
        <f t="shared" si="5"/>
        <v>0</v>
      </c>
    </row>
    <row r="7927">
      <c r="A7927" s="1" t="s">
        <v>6041</v>
      </c>
      <c r="B7927" s="3" t="str">
        <f t="shared" si="1"/>
        <v>Unavailable</v>
      </c>
      <c r="C7927" s="3">
        <v>30.0</v>
      </c>
      <c r="D7927" s="3">
        <f>IFERROR(__xludf.DUMMYFUNCTION("IFERROR(
IF(REGEXMATCH(LOWER(O7927),""k""),
VALUE(REGEXEXTRACT(O7927,""[0-9]+""))*1000,
VALUE(REGEXEXTRACT(O7927,""[0-9]+""))
),
0
)"),0.0)</f>
        <v>0</v>
      </c>
      <c r="E7927" s="1" t="s">
        <v>11</v>
      </c>
      <c r="F7927" s="1" t="s">
        <v>20</v>
      </c>
      <c r="G7927" s="4" t="b">
        <f t="shared" si="2"/>
        <v>1</v>
      </c>
      <c r="H7927" s="1" t="str">
        <f t="shared" si="3"/>
        <v>Currently Unavailable</v>
      </c>
      <c r="I7927" s="1" t="str">
        <f t="shared" si="4"/>
        <v>No Badges</v>
      </c>
      <c r="J7927" s="3">
        <f t="shared" si="5"/>
        <v>0</v>
      </c>
    </row>
    <row r="7928">
      <c r="A7928" s="1" t="s">
        <v>6042</v>
      </c>
      <c r="B7928" s="3" t="str">
        <f t="shared" si="1"/>
        <v>Unavailable</v>
      </c>
      <c r="C7928" s="5">
        <v>1137.0</v>
      </c>
      <c r="D7928" s="3">
        <f>IFERROR(__xludf.DUMMYFUNCTION("IFERROR(
IF(REGEXMATCH(LOWER(O7928),""k""),
VALUE(REGEXEXTRACT(O7928,""[0-9]+""))*1000,
VALUE(REGEXEXTRACT(O7928,""[0-9]+""))
),
0
)"),0.0)</f>
        <v>0</v>
      </c>
      <c r="E7928" s="1" t="s">
        <v>11</v>
      </c>
      <c r="F7928" s="1" t="s">
        <v>20</v>
      </c>
      <c r="G7928" s="4" t="b">
        <f t="shared" si="2"/>
        <v>1</v>
      </c>
      <c r="H7928" s="1" t="str">
        <f t="shared" si="3"/>
        <v>Currently Unavailable</v>
      </c>
      <c r="I7928" s="1" t="str">
        <f t="shared" si="4"/>
        <v>No Badges</v>
      </c>
      <c r="J7928" s="3">
        <f t="shared" si="5"/>
        <v>0</v>
      </c>
    </row>
    <row r="7929">
      <c r="A7929" s="1" t="s">
        <v>6043</v>
      </c>
      <c r="B7929" s="3" t="str">
        <f t="shared" si="1"/>
        <v>Unavailable</v>
      </c>
      <c r="C7929" s="3">
        <v>113.0</v>
      </c>
      <c r="D7929" s="3">
        <f>IFERROR(__xludf.DUMMYFUNCTION("IFERROR(
IF(REGEXMATCH(LOWER(O7929),""k""),
VALUE(REGEXEXTRACT(O7929,""[0-9]+""))*1000,
VALUE(REGEXEXTRACT(O7929,""[0-9]+""))
),
0
)"),0.0)</f>
        <v>0</v>
      </c>
      <c r="E7929" s="1" t="s">
        <v>11</v>
      </c>
      <c r="F7929" s="1" t="s">
        <v>20</v>
      </c>
      <c r="G7929" s="4" t="b">
        <f t="shared" si="2"/>
        <v>1</v>
      </c>
      <c r="H7929" s="1" t="str">
        <f t="shared" si="3"/>
        <v>Currently Unavailable</v>
      </c>
      <c r="I7929" s="1" t="str">
        <f t="shared" si="4"/>
        <v>No Badges</v>
      </c>
      <c r="J7929" s="3">
        <f t="shared" si="5"/>
        <v>0</v>
      </c>
    </row>
    <row r="7930">
      <c r="A7930" s="1" t="s">
        <v>6044</v>
      </c>
      <c r="B7930" s="3" t="str">
        <f t="shared" si="1"/>
        <v>Unavailable</v>
      </c>
      <c r="C7930" s="3">
        <v>246.0</v>
      </c>
      <c r="D7930" s="3">
        <f>IFERROR(__xludf.DUMMYFUNCTION("IFERROR(
IF(REGEXMATCH(LOWER(O7930),""k""),
VALUE(REGEXEXTRACT(O7930,""[0-9]+""))*1000,
VALUE(REGEXEXTRACT(O7930,""[0-9]+""))
),
0
)"),0.0)</f>
        <v>0</v>
      </c>
      <c r="E7930" s="1" t="s">
        <v>11</v>
      </c>
      <c r="F7930" s="1" t="s">
        <v>20</v>
      </c>
      <c r="G7930" s="4" t="b">
        <f t="shared" si="2"/>
        <v>1</v>
      </c>
      <c r="H7930" s="1" t="str">
        <f t="shared" si="3"/>
        <v>Currently Unavailable</v>
      </c>
      <c r="I7930" s="1" t="str">
        <f t="shared" si="4"/>
        <v>No Badges</v>
      </c>
      <c r="J7930" s="3">
        <f t="shared" si="5"/>
        <v>0</v>
      </c>
    </row>
    <row r="7931">
      <c r="A7931" s="1" t="s">
        <v>6045</v>
      </c>
      <c r="B7931" s="3" t="str">
        <f t="shared" si="1"/>
        <v>Unavailable</v>
      </c>
      <c r="C7931" s="5">
        <v>2659.0</v>
      </c>
      <c r="D7931" s="3">
        <f>IFERROR(__xludf.DUMMYFUNCTION("IFERROR(
IF(REGEXMATCH(LOWER(O7931),""k""),
VALUE(REGEXEXTRACT(O7931,""[0-9]+""))*1000,
VALUE(REGEXEXTRACT(O7931,""[0-9]+""))
),
0
)"),0.0)</f>
        <v>0</v>
      </c>
      <c r="E7931" s="1" t="s">
        <v>11</v>
      </c>
      <c r="F7931" s="1" t="s">
        <v>20</v>
      </c>
      <c r="G7931" s="4" t="b">
        <f t="shared" si="2"/>
        <v>1</v>
      </c>
      <c r="H7931" s="1" t="str">
        <f t="shared" si="3"/>
        <v>Currently Unavailable</v>
      </c>
      <c r="I7931" s="1" t="str">
        <f t="shared" si="4"/>
        <v>No Badges</v>
      </c>
      <c r="J7931" s="3">
        <f t="shared" si="5"/>
        <v>0</v>
      </c>
    </row>
    <row r="7932">
      <c r="A7932" s="1" t="s">
        <v>6046</v>
      </c>
      <c r="B7932" s="3" t="str">
        <f t="shared" si="1"/>
        <v>Unavailable</v>
      </c>
      <c r="C7932" s="5">
        <v>1415.0</v>
      </c>
      <c r="D7932" s="3">
        <f>IFERROR(__xludf.DUMMYFUNCTION("IFERROR(
IF(REGEXMATCH(LOWER(O7932),""k""),
VALUE(REGEXEXTRACT(O7932,""[0-9]+""))*1000,
VALUE(REGEXEXTRACT(O7932,""[0-9]+""))
),
0
)"),0.0)</f>
        <v>0</v>
      </c>
      <c r="E7932" s="1" t="s">
        <v>11</v>
      </c>
      <c r="F7932" s="1" t="s">
        <v>20</v>
      </c>
      <c r="G7932" s="4" t="b">
        <f t="shared" si="2"/>
        <v>1</v>
      </c>
      <c r="H7932" s="1" t="str">
        <f t="shared" si="3"/>
        <v>Currently Unavailable</v>
      </c>
      <c r="I7932" s="1" t="str">
        <f t="shared" si="4"/>
        <v>No Badges</v>
      </c>
      <c r="J7932" s="3">
        <f t="shared" si="5"/>
        <v>0</v>
      </c>
    </row>
    <row r="7933">
      <c r="A7933" s="1" t="s">
        <v>6047</v>
      </c>
      <c r="B7933" s="3" t="str">
        <f t="shared" si="1"/>
        <v>Unavailable</v>
      </c>
      <c r="C7933" s="3">
        <v>825.0</v>
      </c>
      <c r="D7933" s="3">
        <f>IFERROR(__xludf.DUMMYFUNCTION("IFERROR(
IF(REGEXMATCH(LOWER(O7933),""k""),
VALUE(REGEXEXTRACT(O7933,""[0-9]+""))*1000,
VALUE(REGEXEXTRACT(O7933,""[0-9]+""))
),
0
)"),0.0)</f>
        <v>0</v>
      </c>
      <c r="E7933" s="1" t="s">
        <v>11</v>
      </c>
      <c r="F7933" s="1" t="s">
        <v>20</v>
      </c>
      <c r="G7933" s="4" t="b">
        <f t="shared" si="2"/>
        <v>1</v>
      </c>
      <c r="H7933" s="1" t="str">
        <f t="shared" si="3"/>
        <v>Currently Unavailable</v>
      </c>
      <c r="I7933" s="1" t="str">
        <f t="shared" si="4"/>
        <v>No Badges</v>
      </c>
      <c r="J7933" s="3">
        <f t="shared" si="5"/>
        <v>0</v>
      </c>
    </row>
    <row r="7934">
      <c r="A7934" s="1" t="s">
        <v>6048</v>
      </c>
      <c r="B7934" s="3" t="str">
        <f t="shared" si="1"/>
        <v>Unavailable</v>
      </c>
      <c r="C7934" s="5">
        <v>1909.0</v>
      </c>
      <c r="D7934" s="3">
        <f>IFERROR(__xludf.DUMMYFUNCTION("IFERROR(
IF(REGEXMATCH(LOWER(O7934),""k""),
VALUE(REGEXEXTRACT(O7934,""[0-9]+""))*1000,
VALUE(REGEXEXTRACT(O7934,""[0-9]+""))
),
0
)"),0.0)</f>
        <v>0</v>
      </c>
      <c r="E7934" s="1" t="s">
        <v>11</v>
      </c>
      <c r="F7934" s="1" t="s">
        <v>20</v>
      </c>
      <c r="G7934" s="4" t="b">
        <f t="shared" si="2"/>
        <v>1</v>
      </c>
      <c r="H7934" s="1" t="str">
        <f t="shared" si="3"/>
        <v>Currently Unavailable</v>
      </c>
      <c r="I7934" s="1" t="str">
        <f t="shared" si="4"/>
        <v>No Badges</v>
      </c>
      <c r="J7934" s="3">
        <f t="shared" si="5"/>
        <v>0</v>
      </c>
    </row>
    <row r="7935">
      <c r="A7935" s="1" t="s">
        <v>6049</v>
      </c>
      <c r="B7935" s="3" t="str">
        <f t="shared" si="1"/>
        <v>Unavailable</v>
      </c>
      <c r="C7935" s="5">
        <v>2352.0</v>
      </c>
      <c r="D7935" s="3">
        <f>IFERROR(__xludf.DUMMYFUNCTION("IFERROR(
IF(REGEXMATCH(LOWER(O7935),""k""),
VALUE(REGEXEXTRACT(O7935,""[0-9]+""))*1000,
VALUE(REGEXEXTRACT(O7935,""[0-9]+""))
),
0
)"),0.0)</f>
        <v>0</v>
      </c>
      <c r="E7935" s="1" t="s">
        <v>11</v>
      </c>
      <c r="F7935" s="1" t="s">
        <v>20</v>
      </c>
      <c r="G7935" s="4" t="b">
        <f t="shared" si="2"/>
        <v>1</v>
      </c>
      <c r="H7935" s="1" t="str">
        <f t="shared" si="3"/>
        <v>Currently Unavailable</v>
      </c>
      <c r="I7935" s="1" t="str">
        <f t="shared" si="4"/>
        <v>No Badges</v>
      </c>
      <c r="J7935" s="3">
        <f t="shared" si="5"/>
        <v>0</v>
      </c>
    </row>
    <row r="7936">
      <c r="A7936" s="1" t="s">
        <v>6050</v>
      </c>
      <c r="B7936" s="3" t="str">
        <f t="shared" si="1"/>
        <v>Unavailable</v>
      </c>
      <c r="C7936" s="3">
        <v>736.0</v>
      </c>
      <c r="D7936" s="3">
        <f>IFERROR(__xludf.DUMMYFUNCTION("IFERROR(
IF(REGEXMATCH(LOWER(O7936),""k""),
VALUE(REGEXEXTRACT(O7936,""[0-9]+""))*1000,
VALUE(REGEXEXTRACT(O7936,""[0-9]+""))
),
0
)"),0.0)</f>
        <v>0</v>
      </c>
      <c r="E7936" s="1" t="s">
        <v>11</v>
      </c>
      <c r="F7936" s="1" t="s">
        <v>20</v>
      </c>
      <c r="G7936" s="4" t="b">
        <f t="shared" si="2"/>
        <v>1</v>
      </c>
      <c r="H7936" s="1" t="str">
        <f t="shared" si="3"/>
        <v>Currently Unavailable</v>
      </c>
      <c r="I7936" s="1" t="str">
        <f t="shared" si="4"/>
        <v>No Badges</v>
      </c>
      <c r="J7936" s="3">
        <f t="shared" si="5"/>
        <v>0</v>
      </c>
    </row>
    <row r="7937">
      <c r="A7937" s="1" t="s">
        <v>6051</v>
      </c>
      <c r="B7937" s="3" t="str">
        <f t="shared" si="1"/>
        <v>Unavailable</v>
      </c>
      <c r="C7937" s="5">
        <v>2698.0</v>
      </c>
      <c r="D7937" s="3">
        <f>IFERROR(__xludf.DUMMYFUNCTION("IFERROR(
IF(REGEXMATCH(LOWER(O7937),""k""),
VALUE(REGEXEXTRACT(O7937,""[0-9]+""))*1000,
VALUE(REGEXEXTRACT(O7937,""[0-9]+""))
),
0
)"),0.0)</f>
        <v>0</v>
      </c>
      <c r="E7937" s="1" t="s">
        <v>11</v>
      </c>
      <c r="F7937" s="1" t="s">
        <v>20</v>
      </c>
      <c r="G7937" s="4" t="b">
        <f t="shared" si="2"/>
        <v>1</v>
      </c>
      <c r="H7937" s="1" t="str">
        <f t="shared" si="3"/>
        <v>Currently Unavailable</v>
      </c>
      <c r="I7937" s="1" t="str">
        <f t="shared" si="4"/>
        <v>No Badges</v>
      </c>
      <c r="J7937" s="3">
        <f t="shared" si="5"/>
        <v>0</v>
      </c>
    </row>
    <row r="7938">
      <c r="A7938" s="1" t="s">
        <v>6052</v>
      </c>
      <c r="B7938" s="3" t="str">
        <f t="shared" si="1"/>
        <v>Unavailable</v>
      </c>
      <c r="C7938" s="5">
        <v>1275.0</v>
      </c>
      <c r="D7938" s="3">
        <f>IFERROR(__xludf.DUMMYFUNCTION("IFERROR(
IF(REGEXMATCH(LOWER(O7938),""k""),
VALUE(REGEXEXTRACT(O7938,""[0-9]+""))*1000,
VALUE(REGEXEXTRACT(O7938,""[0-9]+""))
),
0
)"),0.0)</f>
        <v>0</v>
      </c>
      <c r="E7938" s="1" t="s">
        <v>18</v>
      </c>
      <c r="F7938" s="1" t="s">
        <v>20</v>
      </c>
      <c r="G7938" s="4" t="b">
        <f t="shared" si="2"/>
        <v>1</v>
      </c>
      <c r="H7938" s="1" t="str">
        <f t="shared" si="3"/>
        <v>Currently Unavailable</v>
      </c>
      <c r="I7938" s="1" t="str">
        <f t="shared" si="4"/>
        <v>No Badges</v>
      </c>
      <c r="J7938" s="3">
        <f t="shared" si="5"/>
        <v>0</v>
      </c>
    </row>
    <row r="7939">
      <c r="A7939" s="1" t="s">
        <v>6053</v>
      </c>
      <c r="B7939" s="3" t="str">
        <f t="shared" si="1"/>
        <v>Unavailable</v>
      </c>
      <c r="C7939" s="5">
        <v>6003.0</v>
      </c>
      <c r="D7939" s="3">
        <f>IFERROR(__xludf.DUMMYFUNCTION("IFERROR(
IF(REGEXMATCH(LOWER(O7939),""k""),
VALUE(REGEXEXTRACT(O7939,""[0-9]+""))*1000,
VALUE(REGEXEXTRACT(O7939,""[0-9]+""))
),
0
)"),0.0)</f>
        <v>0</v>
      </c>
      <c r="E7939" s="1" t="s">
        <v>11</v>
      </c>
      <c r="F7939" s="1" t="s">
        <v>20</v>
      </c>
      <c r="G7939" s="4" t="b">
        <f t="shared" si="2"/>
        <v>1</v>
      </c>
      <c r="H7939" s="1" t="str">
        <f t="shared" si="3"/>
        <v>Currently Unavailable</v>
      </c>
      <c r="I7939" s="1" t="str">
        <f t="shared" si="4"/>
        <v>No Badges</v>
      </c>
      <c r="J7939" s="3">
        <f t="shared" si="5"/>
        <v>0</v>
      </c>
    </row>
    <row r="7940">
      <c r="A7940" s="1" t="s">
        <v>701</v>
      </c>
      <c r="B7940" s="3" t="str">
        <f t="shared" si="1"/>
        <v>Unavailable</v>
      </c>
      <c r="C7940" s="3">
        <v>8.0</v>
      </c>
      <c r="D7940" s="3">
        <f>IFERROR(__xludf.DUMMYFUNCTION("IFERROR(
IF(REGEXMATCH(LOWER(O7940),""k""),
VALUE(REGEXEXTRACT(O7940,""[0-9]+""))*1000,
VALUE(REGEXEXTRACT(O7940,""[0-9]+""))
),
0
)"),0.0)</f>
        <v>0</v>
      </c>
      <c r="E7940" s="1" t="s">
        <v>11</v>
      </c>
      <c r="F7940" s="1" t="s">
        <v>12</v>
      </c>
      <c r="G7940" s="4" t="b">
        <f t="shared" si="2"/>
        <v>1</v>
      </c>
      <c r="H7940" s="1" t="str">
        <f t="shared" si="3"/>
        <v>Currently Unavailable</v>
      </c>
      <c r="I7940" s="1" t="str">
        <f t="shared" si="4"/>
        <v>No Badges</v>
      </c>
      <c r="J7940" s="3">
        <f t="shared" si="5"/>
        <v>0</v>
      </c>
    </row>
    <row r="7941">
      <c r="A7941" s="1" t="s">
        <v>6054</v>
      </c>
      <c r="B7941" s="3" t="str">
        <f t="shared" si="1"/>
        <v>Unavailable</v>
      </c>
      <c r="C7941" s="5">
        <v>12599.0</v>
      </c>
      <c r="D7941" s="3">
        <f>IFERROR(__xludf.DUMMYFUNCTION("IFERROR(
IF(REGEXMATCH(LOWER(O7941),""k""),
VALUE(REGEXEXTRACT(O7941,""[0-9]+""))*1000,
VALUE(REGEXEXTRACT(O7941,""[0-9]+""))
),
0
)"),0.0)</f>
        <v>0</v>
      </c>
      <c r="E7941" s="1" t="s">
        <v>11</v>
      </c>
      <c r="F7941" s="1" t="s">
        <v>20</v>
      </c>
      <c r="G7941" s="4" t="b">
        <f t="shared" si="2"/>
        <v>1</v>
      </c>
      <c r="H7941" s="1" t="str">
        <f t="shared" si="3"/>
        <v>Currently Unavailable</v>
      </c>
      <c r="I7941" s="1" t="str">
        <f t="shared" si="4"/>
        <v>No Badges</v>
      </c>
      <c r="J7941" s="3">
        <f t="shared" si="5"/>
        <v>0</v>
      </c>
    </row>
    <row r="7942">
      <c r="A7942" s="1" t="s">
        <v>88</v>
      </c>
      <c r="B7942" s="3" t="str">
        <f t="shared" si="1"/>
        <v>Unavailable</v>
      </c>
      <c r="C7942" s="3">
        <v>5.0</v>
      </c>
      <c r="D7942" s="3">
        <f>IFERROR(__xludf.DUMMYFUNCTION("IFERROR(
IF(REGEXMATCH(LOWER(O7942),""k""),
VALUE(REGEXEXTRACT(O7942,""[0-9]+""))*1000,
VALUE(REGEXEXTRACT(O7942,""[0-9]+""))
),
0
)"),0.0)</f>
        <v>0</v>
      </c>
      <c r="E7942" s="1" t="s">
        <v>11</v>
      </c>
      <c r="F7942" s="1" t="s">
        <v>12</v>
      </c>
      <c r="G7942" s="4" t="b">
        <f t="shared" si="2"/>
        <v>1</v>
      </c>
      <c r="H7942" s="1" t="str">
        <f t="shared" si="3"/>
        <v>Currently Unavailable</v>
      </c>
      <c r="I7942" s="1" t="str">
        <f t="shared" si="4"/>
        <v>No Badges</v>
      </c>
      <c r="J7942" s="3">
        <f t="shared" si="5"/>
        <v>0</v>
      </c>
    </row>
    <row r="7943">
      <c r="A7943" s="1" t="s">
        <v>6055</v>
      </c>
      <c r="B7943" s="3" t="str">
        <f t="shared" si="1"/>
        <v>Unavailable</v>
      </c>
      <c r="C7943" s="5">
        <v>1427.0</v>
      </c>
      <c r="D7943" s="3">
        <f>IFERROR(__xludf.DUMMYFUNCTION("IFERROR(
IF(REGEXMATCH(LOWER(O7943),""k""),
VALUE(REGEXEXTRACT(O7943,""[0-9]+""))*1000,
VALUE(REGEXEXTRACT(O7943,""[0-9]+""))
),
0
)"),0.0)</f>
        <v>0</v>
      </c>
      <c r="E7943" s="1" t="s">
        <v>11</v>
      </c>
      <c r="F7943" s="1" t="s">
        <v>20</v>
      </c>
      <c r="G7943" s="4" t="b">
        <f t="shared" si="2"/>
        <v>1</v>
      </c>
      <c r="H7943" s="1" t="str">
        <f t="shared" si="3"/>
        <v>Currently Unavailable</v>
      </c>
      <c r="I7943" s="1" t="str">
        <f t="shared" si="4"/>
        <v>No Badges</v>
      </c>
      <c r="J7943" s="3">
        <f t="shared" si="5"/>
        <v>0</v>
      </c>
    </row>
    <row r="7944">
      <c r="A7944" s="1" t="s">
        <v>5817</v>
      </c>
      <c r="B7944" s="3" t="str">
        <f t="shared" si="1"/>
        <v>Unavailable</v>
      </c>
      <c r="C7944" s="5">
        <v>7235.0</v>
      </c>
      <c r="D7944" s="3">
        <f>IFERROR(__xludf.DUMMYFUNCTION("IFERROR(
IF(REGEXMATCH(LOWER(O7944),""k""),
VALUE(REGEXEXTRACT(O7944,""[0-9]+""))*1000,
VALUE(REGEXEXTRACT(O7944,""[0-9]+""))
),
0
)"),0.0)</f>
        <v>0</v>
      </c>
      <c r="E7944" s="1" t="s">
        <v>11</v>
      </c>
      <c r="F7944" s="1" t="s">
        <v>12</v>
      </c>
      <c r="G7944" s="4" t="b">
        <f t="shared" si="2"/>
        <v>1</v>
      </c>
      <c r="H7944" s="1" t="str">
        <f t="shared" si="3"/>
        <v>Currently Unavailable</v>
      </c>
      <c r="I7944" s="1" t="str">
        <f t="shared" si="4"/>
        <v>No Badges</v>
      </c>
      <c r="J7944" s="3">
        <f t="shared" si="5"/>
        <v>0</v>
      </c>
    </row>
    <row r="7945">
      <c r="A7945" s="1" t="s">
        <v>69</v>
      </c>
      <c r="B7945" s="3" t="str">
        <f t="shared" si="1"/>
        <v>Unavailable</v>
      </c>
      <c r="C7945" s="3">
        <v>45.0</v>
      </c>
      <c r="D7945" s="3">
        <f>IFERROR(__xludf.DUMMYFUNCTION("IFERROR(
IF(REGEXMATCH(LOWER(O7945),""k""),
VALUE(REGEXEXTRACT(O7945,""[0-9]+""))*1000,
VALUE(REGEXEXTRACT(O7945,""[0-9]+""))
),
0
)"),0.0)</f>
        <v>0</v>
      </c>
      <c r="E7945" s="1" t="s">
        <v>11</v>
      </c>
      <c r="F7945" s="1" t="s">
        <v>12</v>
      </c>
      <c r="G7945" s="4" t="b">
        <f t="shared" si="2"/>
        <v>1</v>
      </c>
      <c r="H7945" s="1" t="str">
        <f t="shared" si="3"/>
        <v>Currently Unavailable</v>
      </c>
      <c r="I7945" s="1" t="str">
        <f t="shared" si="4"/>
        <v>No Badges</v>
      </c>
      <c r="J7945" s="3">
        <f t="shared" si="5"/>
        <v>0</v>
      </c>
    </row>
    <row r="7946">
      <c r="A7946" s="1" t="s">
        <v>6056</v>
      </c>
      <c r="B7946" s="3" t="str">
        <f t="shared" si="1"/>
        <v>Unavailable</v>
      </c>
      <c r="C7946" s="5">
        <v>1511.0</v>
      </c>
      <c r="D7946" s="3">
        <f>IFERROR(__xludf.DUMMYFUNCTION("IFERROR(
IF(REGEXMATCH(LOWER(O7946),""k""),
VALUE(REGEXEXTRACT(O7946,""[0-9]+""))*1000,
VALUE(REGEXEXTRACT(O7946,""[0-9]+""))
),
0
)"),0.0)</f>
        <v>0</v>
      </c>
      <c r="E7946" s="1" t="s">
        <v>11</v>
      </c>
      <c r="F7946" s="1" t="s">
        <v>20</v>
      </c>
      <c r="G7946" s="4" t="b">
        <f t="shared" si="2"/>
        <v>1</v>
      </c>
      <c r="H7946" s="1" t="str">
        <f t="shared" si="3"/>
        <v>Currently Unavailable</v>
      </c>
      <c r="I7946" s="1" t="str">
        <f t="shared" si="4"/>
        <v>No Badges</v>
      </c>
      <c r="J7946" s="3">
        <f t="shared" si="5"/>
        <v>0</v>
      </c>
    </row>
    <row r="7947">
      <c r="A7947" s="1" t="s">
        <v>6057</v>
      </c>
      <c r="B7947" s="3" t="str">
        <f t="shared" si="1"/>
        <v>Unavailable</v>
      </c>
      <c r="C7947" s="3">
        <v>379.0</v>
      </c>
      <c r="D7947" s="3">
        <f>IFERROR(__xludf.DUMMYFUNCTION("IFERROR(
IF(REGEXMATCH(LOWER(O7947),""k""),
VALUE(REGEXEXTRACT(O7947,""[0-9]+""))*1000,
VALUE(REGEXEXTRACT(O7947,""[0-9]+""))
),
0
)"),0.0)</f>
        <v>0</v>
      </c>
      <c r="E7947" s="1" t="s">
        <v>11</v>
      </c>
      <c r="F7947" s="1" t="s">
        <v>20</v>
      </c>
      <c r="G7947" s="4" t="b">
        <f t="shared" si="2"/>
        <v>1</v>
      </c>
      <c r="H7947" s="1" t="str">
        <f t="shared" si="3"/>
        <v>Currently Unavailable</v>
      </c>
      <c r="I7947" s="1" t="str">
        <f t="shared" si="4"/>
        <v>No Badges</v>
      </c>
      <c r="J7947" s="3">
        <f t="shared" si="5"/>
        <v>0</v>
      </c>
    </row>
    <row r="7948">
      <c r="A7948" s="1" t="s">
        <v>6058</v>
      </c>
      <c r="B7948" s="3" t="str">
        <f t="shared" si="1"/>
        <v>Unavailable</v>
      </c>
      <c r="C7948" s="3">
        <v>549.0</v>
      </c>
      <c r="D7948" s="3">
        <f>IFERROR(__xludf.DUMMYFUNCTION("IFERROR(
IF(REGEXMATCH(LOWER(O7948),""k""),
VALUE(REGEXEXTRACT(O7948,""[0-9]+""))*1000,
VALUE(REGEXEXTRACT(O7948,""[0-9]+""))
),
0
)"),0.0)</f>
        <v>0</v>
      </c>
      <c r="E7948" s="1" t="s">
        <v>11</v>
      </c>
      <c r="F7948" s="1" t="s">
        <v>20</v>
      </c>
      <c r="G7948" s="4" t="b">
        <f t="shared" si="2"/>
        <v>1</v>
      </c>
      <c r="H7948" s="1" t="str">
        <f t="shared" si="3"/>
        <v>Currently Unavailable</v>
      </c>
      <c r="I7948" s="1" t="str">
        <f t="shared" si="4"/>
        <v>No Badges</v>
      </c>
      <c r="J7948" s="3">
        <f t="shared" si="5"/>
        <v>0</v>
      </c>
    </row>
    <row r="7949">
      <c r="A7949" s="1" t="s">
        <v>6059</v>
      </c>
      <c r="B7949" s="3" t="str">
        <f t="shared" si="1"/>
        <v>Unavailable</v>
      </c>
      <c r="C7949" s="5">
        <v>30680.0</v>
      </c>
      <c r="D7949" s="3">
        <f>IFERROR(__xludf.DUMMYFUNCTION("IFERROR(
IF(REGEXMATCH(LOWER(O7949),""k""),
VALUE(REGEXEXTRACT(O7949,""[0-9]+""))*1000,
VALUE(REGEXEXTRACT(O7949,""[0-9]+""))
),
0
)"),0.0)</f>
        <v>0</v>
      </c>
      <c r="E7949" s="1" t="s">
        <v>11</v>
      </c>
      <c r="F7949" s="1" t="s">
        <v>20</v>
      </c>
      <c r="G7949" s="4" t="b">
        <f t="shared" si="2"/>
        <v>1</v>
      </c>
      <c r="H7949" s="1" t="str">
        <f t="shared" si="3"/>
        <v>Currently Unavailable</v>
      </c>
      <c r="I7949" s="1" t="str">
        <f t="shared" si="4"/>
        <v>No Badges</v>
      </c>
      <c r="J7949" s="3">
        <f t="shared" si="5"/>
        <v>0</v>
      </c>
    </row>
    <row r="7950">
      <c r="A7950" s="1" t="s">
        <v>6060</v>
      </c>
      <c r="B7950" s="3" t="str">
        <f t="shared" si="1"/>
        <v>Unavailable</v>
      </c>
      <c r="C7950" s="3">
        <v>197.0</v>
      </c>
      <c r="D7950" s="3">
        <f>IFERROR(__xludf.DUMMYFUNCTION("IFERROR(
IF(REGEXMATCH(LOWER(O7950),""k""),
VALUE(REGEXEXTRACT(O7950,""[0-9]+""))*1000,
VALUE(REGEXEXTRACT(O7950,""[0-9]+""))
),
0
)"),0.0)</f>
        <v>0</v>
      </c>
      <c r="E7950" s="1" t="s">
        <v>11</v>
      </c>
      <c r="F7950" s="1" t="s">
        <v>20</v>
      </c>
      <c r="G7950" s="4" t="b">
        <f t="shared" si="2"/>
        <v>1</v>
      </c>
      <c r="H7950" s="1" t="str">
        <f t="shared" si="3"/>
        <v>Currently Unavailable</v>
      </c>
      <c r="I7950" s="1" t="str">
        <f t="shared" si="4"/>
        <v>No Badges</v>
      </c>
      <c r="J7950" s="3">
        <f t="shared" si="5"/>
        <v>0</v>
      </c>
    </row>
    <row r="7951">
      <c r="A7951" s="1" t="s">
        <v>6061</v>
      </c>
      <c r="B7951" s="3" t="str">
        <f t="shared" si="1"/>
        <v>Unavailable</v>
      </c>
      <c r="C7951" s="3">
        <v>788.0</v>
      </c>
      <c r="D7951" s="3">
        <f>IFERROR(__xludf.DUMMYFUNCTION("IFERROR(
IF(REGEXMATCH(LOWER(O7951),""k""),
VALUE(REGEXEXTRACT(O7951,""[0-9]+""))*1000,
VALUE(REGEXEXTRACT(O7951,""[0-9]+""))
),
0
)"),0.0)</f>
        <v>0</v>
      </c>
      <c r="E7951" s="1" t="s">
        <v>18</v>
      </c>
      <c r="F7951" s="1" t="s">
        <v>20</v>
      </c>
      <c r="G7951" s="4" t="b">
        <f t="shared" si="2"/>
        <v>1</v>
      </c>
      <c r="H7951" s="1" t="str">
        <f t="shared" si="3"/>
        <v>Currently Unavailable</v>
      </c>
      <c r="I7951" s="1" t="str">
        <f t="shared" si="4"/>
        <v>No Badges</v>
      </c>
      <c r="J7951" s="3">
        <f t="shared" si="5"/>
        <v>0</v>
      </c>
    </row>
    <row r="7952">
      <c r="A7952" s="1" t="s">
        <v>6062</v>
      </c>
      <c r="B7952" s="3" t="str">
        <f t="shared" si="1"/>
        <v>Unavailable</v>
      </c>
      <c r="C7952" s="5">
        <v>28861.0</v>
      </c>
      <c r="D7952" s="3">
        <f>IFERROR(__xludf.DUMMYFUNCTION("IFERROR(
IF(REGEXMATCH(LOWER(O7952),""k""),
VALUE(REGEXEXTRACT(O7952,""[0-9]+""))*1000,
VALUE(REGEXEXTRACT(O7952,""[0-9]+""))
),
0
)"),0.0)</f>
        <v>0</v>
      </c>
      <c r="E7952" s="1" t="s">
        <v>11</v>
      </c>
      <c r="F7952" s="1" t="s">
        <v>20</v>
      </c>
      <c r="G7952" s="4" t="b">
        <f t="shared" si="2"/>
        <v>1</v>
      </c>
      <c r="H7952" s="1" t="str">
        <f t="shared" si="3"/>
        <v>Currently Unavailable</v>
      </c>
      <c r="I7952" s="1" t="str">
        <f t="shared" si="4"/>
        <v>No Badges</v>
      </c>
      <c r="J7952" s="3">
        <f t="shared" si="5"/>
        <v>0</v>
      </c>
    </row>
    <row r="7953">
      <c r="A7953" s="1" t="s">
        <v>5817</v>
      </c>
      <c r="B7953" s="3" t="str">
        <f t="shared" si="1"/>
        <v>Unavailable</v>
      </c>
      <c r="C7953" s="5">
        <v>7235.0</v>
      </c>
      <c r="D7953" s="3">
        <f>IFERROR(__xludf.DUMMYFUNCTION("IFERROR(
IF(REGEXMATCH(LOWER(O7953),""k""),
VALUE(REGEXEXTRACT(O7953,""[0-9]+""))*1000,
VALUE(REGEXEXTRACT(O7953,""[0-9]+""))
),
0
)"),0.0)</f>
        <v>0</v>
      </c>
      <c r="E7953" s="1" t="s">
        <v>11</v>
      </c>
      <c r="F7953" s="1" t="s">
        <v>12</v>
      </c>
      <c r="G7953" s="4" t="b">
        <f t="shared" si="2"/>
        <v>1</v>
      </c>
      <c r="H7953" s="1" t="str">
        <f t="shared" si="3"/>
        <v>Currently Unavailable</v>
      </c>
      <c r="I7953" s="1" t="str">
        <f t="shared" si="4"/>
        <v>No Badges</v>
      </c>
      <c r="J7953" s="3">
        <f t="shared" si="5"/>
        <v>0</v>
      </c>
    </row>
    <row r="7954">
      <c r="A7954" s="1" t="s">
        <v>6063</v>
      </c>
      <c r="B7954" s="3" t="str">
        <f t="shared" si="1"/>
        <v>Unavailable</v>
      </c>
      <c r="C7954" s="5">
        <v>8657.0</v>
      </c>
      <c r="D7954" s="3">
        <f>IFERROR(__xludf.DUMMYFUNCTION("IFERROR(
IF(REGEXMATCH(LOWER(O7954),""k""),
VALUE(REGEXEXTRACT(O7954,""[0-9]+""))*1000,
VALUE(REGEXEXTRACT(O7954,""[0-9]+""))
),
0
)"),0.0)</f>
        <v>0</v>
      </c>
      <c r="E7954" s="1" t="s">
        <v>11</v>
      </c>
      <c r="F7954" s="1" t="s">
        <v>20</v>
      </c>
      <c r="G7954" s="4" t="b">
        <f t="shared" si="2"/>
        <v>1</v>
      </c>
      <c r="H7954" s="1" t="str">
        <f t="shared" si="3"/>
        <v>Currently Unavailable</v>
      </c>
      <c r="I7954" s="1" t="str">
        <f t="shared" si="4"/>
        <v>No Badges</v>
      </c>
      <c r="J7954" s="3">
        <f t="shared" si="5"/>
        <v>0</v>
      </c>
    </row>
    <row r="7955">
      <c r="A7955" s="1" t="s">
        <v>6064</v>
      </c>
      <c r="B7955" s="3" t="str">
        <f t="shared" si="1"/>
        <v>Unavailable</v>
      </c>
      <c r="C7955" s="3">
        <v>143.0</v>
      </c>
      <c r="D7955" s="3">
        <f>IFERROR(__xludf.DUMMYFUNCTION("IFERROR(
IF(REGEXMATCH(LOWER(O7955),""k""),
VALUE(REGEXEXTRACT(O7955,""[0-9]+""))*1000,
VALUE(REGEXEXTRACT(O7955,""[0-9]+""))
),
0
)"),0.0)</f>
        <v>0</v>
      </c>
      <c r="E7955" s="1" t="s">
        <v>11</v>
      </c>
      <c r="F7955" s="1" t="s">
        <v>20</v>
      </c>
      <c r="G7955" s="4" t="b">
        <f t="shared" si="2"/>
        <v>1</v>
      </c>
      <c r="H7955" s="1" t="str">
        <f t="shared" si="3"/>
        <v>Currently Unavailable</v>
      </c>
      <c r="I7955" s="1" t="str">
        <f t="shared" si="4"/>
        <v>No Badges</v>
      </c>
      <c r="J7955" s="3">
        <f t="shared" si="5"/>
        <v>0</v>
      </c>
    </row>
    <row r="7956">
      <c r="A7956" s="1" t="s">
        <v>6065</v>
      </c>
      <c r="B7956" s="3" t="str">
        <f t="shared" si="1"/>
        <v>Unavailable</v>
      </c>
      <c r="C7956" s="3">
        <v>247.0</v>
      </c>
      <c r="D7956" s="3">
        <f>IFERROR(__xludf.DUMMYFUNCTION("IFERROR(
IF(REGEXMATCH(LOWER(O7956),""k""),
VALUE(REGEXEXTRACT(O7956,""[0-9]+""))*1000,
VALUE(REGEXEXTRACT(O7956,""[0-9]+""))
),
0
)"),0.0)</f>
        <v>0</v>
      </c>
      <c r="E7956" s="1" t="s">
        <v>11</v>
      </c>
      <c r="F7956" s="1" t="s">
        <v>20</v>
      </c>
      <c r="G7956" s="4" t="b">
        <f t="shared" si="2"/>
        <v>1</v>
      </c>
      <c r="H7956" s="1" t="str">
        <f t="shared" si="3"/>
        <v>Currently Unavailable</v>
      </c>
      <c r="I7956" s="1" t="str">
        <f t="shared" si="4"/>
        <v>No Badges</v>
      </c>
      <c r="J7956" s="3">
        <f t="shared" si="5"/>
        <v>0</v>
      </c>
    </row>
    <row r="7957">
      <c r="A7957" s="1" t="s">
        <v>6066</v>
      </c>
      <c r="B7957" s="3" t="str">
        <f t="shared" si="1"/>
        <v>Unavailable</v>
      </c>
      <c r="C7957" s="5">
        <v>1059.0</v>
      </c>
      <c r="D7957" s="3">
        <f>IFERROR(__xludf.DUMMYFUNCTION("IFERROR(
IF(REGEXMATCH(LOWER(O7957),""k""),
VALUE(REGEXEXTRACT(O7957,""[0-9]+""))*1000,
VALUE(REGEXEXTRACT(O7957,""[0-9]+""))
),
0
)"),0.0)</f>
        <v>0</v>
      </c>
      <c r="E7957" s="1" t="s">
        <v>11</v>
      </c>
      <c r="F7957" s="1" t="s">
        <v>20</v>
      </c>
      <c r="G7957" s="4" t="b">
        <f t="shared" si="2"/>
        <v>1</v>
      </c>
      <c r="H7957" s="1" t="str">
        <f t="shared" si="3"/>
        <v>Currently Unavailable</v>
      </c>
      <c r="I7957" s="1" t="str">
        <f t="shared" si="4"/>
        <v>No Badges</v>
      </c>
      <c r="J7957" s="3">
        <f t="shared" si="5"/>
        <v>0</v>
      </c>
    </row>
    <row r="7958">
      <c r="A7958" s="1" t="s">
        <v>67</v>
      </c>
      <c r="B7958" s="3" t="str">
        <f t="shared" si="1"/>
        <v>Unavailable</v>
      </c>
      <c r="C7958" s="3">
        <v>264.0</v>
      </c>
      <c r="D7958" s="3">
        <f>IFERROR(__xludf.DUMMYFUNCTION("IFERROR(
IF(REGEXMATCH(LOWER(O7958),""k""),
VALUE(REGEXEXTRACT(O7958,""[0-9]+""))*1000,
VALUE(REGEXEXTRACT(O7958,""[0-9]+""))
),
0
)"),0.0)</f>
        <v>0</v>
      </c>
      <c r="E7958" s="1" t="s">
        <v>11</v>
      </c>
      <c r="F7958" s="1" t="s">
        <v>12</v>
      </c>
      <c r="G7958" s="4" t="b">
        <f t="shared" si="2"/>
        <v>1</v>
      </c>
      <c r="H7958" s="1" t="str">
        <f t="shared" si="3"/>
        <v>Currently Unavailable</v>
      </c>
      <c r="I7958" s="1" t="str">
        <f t="shared" si="4"/>
        <v>No Badges</v>
      </c>
      <c r="J7958" s="3">
        <f t="shared" si="5"/>
        <v>0</v>
      </c>
    </row>
    <row r="7959">
      <c r="A7959" s="1" t="s">
        <v>6067</v>
      </c>
      <c r="B7959" s="3" t="str">
        <f t="shared" si="1"/>
        <v>Unavailable</v>
      </c>
      <c r="C7959" s="5">
        <v>5553.0</v>
      </c>
      <c r="D7959" s="3">
        <f>IFERROR(__xludf.DUMMYFUNCTION("IFERROR(
IF(REGEXMATCH(LOWER(O7959),""k""),
VALUE(REGEXEXTRACT(O7959,""[0-9]+""))*1000,
VALUE(REGEXEXTRACT(O7959,""[0-9]+""))
),
0
)"),0.0)</f>
        <v>0</v>
      </c>
      <c r="E7959" s="1" t="s">
        <v>11</v>
      </c>
      <c r="F7959" s="1" t="s">
        <v>20</v>
      </c>
      <c r="G7959" s="4" t="b">
        <f t="shared" si="2"/>
        <v>1</v>
      </c>
      <c r="H7959" s="1" t="str">
        <f t="shared" si="3"/>
        <v>Currently Unavailable</v>
      </c>
      <c r="I7959" s="1" t="str">
        <f t="shared" si="4"/>
        <v>No Badges</v>
      </c>
      <c r="J7959" s="3">
        <f t="shared" si="5"/>
        <v>0</v>
      </c>
    </row>
    <row r="7960">
      <c r="A7960" s="1" t="s">
        <v>701</v>
      </c>
      <c r="B7960" s="3" t="str">
        <f t="shared" si="1"/>
        <v>Unavailable</v>
      </c>
      <c r="C7960" s="3">
        <v>8.0</v>
      </c>
      <c r="D7960" s="3">
        <f>IFERROR(__xludf.DUMMYFUNCTION("IFERROR(
IF(REGEXMATCH(LOWER(O7960),""k""),
VALUE(REGEXEXTRACT(O7960,""[0-9]+""))*1000,
VALUE(REGEXEXTRACT(O7960,""[0-9]+""))
),
0
)"),0.0)</f>
        <v>0</v>
      </c>
      <c r="E7960" s="1" t="s">
        <v>11</v>
      </c>
      <c r="F7960" s="1" t="s">
        <v>12</v>
      </c>
      <c r="G7960" s="4" t="b">
        <f t="shared" si="2"/>
        <v>1</v>
      </c>
      <c r="H7960" s="1" t="str">
        <f t="shared" si="3"/>
        <v>Currently Unavailable</v>
      </c>
      <c r="I7960" s="1" t="str">
        <f t="shared" si="4"/>
        <v>No Badges</v>
      </c>
      <c r="J7960" s="3">
        <f t="shared" si="5"/>
        <v>0</v>
      </c>
    </row>
    <row r="7961">
      <c r="A7961" s="1" t="s">
        <v>6068</v>
      </c>
      <c r="B7961" s="3" t="str">
        <f t="shared" si="1"/>
        <v>Unavailable</v>
      </c>
      <c r="C7961" s="3">
        <v>101.0</v>
      </c>
      <c r="D7961" s="3">
        <f>IFERROR(__xludf.DUMMYFUNCTION("IFERROR(
IF(REGEXMATCH(LOWER(O7961),""k""),
VALUE(REGEXEXTRACT(O7961,""[0-9]+""))*1000,
VALUE(REGEXEXTRACT(O7961,""[0-9]+""))
),
0
)"),0.0)</f>
        <v>0</v>
      </c>
      <c r="E7961" s="1" t="s">
        <v>11</v>
      </c>
      <c r="F7961" s="1" t="s">
        <v>20</v>
      </c>
      <c r="G7961" s="4" t="b">
        <f t="shared" si="2"/>
        <v>1</v>
      </c>
      <c r="H7961" s="1" t="str">
        <f t="shared" si="3"/>
        <v>Currently Unavailable</v>
      </c>
      <c r="I7961" s="1" t="str">
        <f t="shared" si="4"/>
        <v>No Badges</v>
      </c>
      <c r="J7961" s="3">
        <f t="shared" si="5"/>
        <v>0</v>
      </c>
    </row>
    <row r="7962">
      <c r="A7962" s="1" t="s">
        <v>6069</v>
      </c>
      <c r="B7962" s="3" t="str">
        <f t="shared" si="1"/>
        <v>Unavailable</v>
      </c>
      <c r="C7962" s="3">
        <v>77.0</v>
      </c>
      <c r="D7962" s="3">
        <f>IFERROR(__xludf.DUMMYFUNCTION("IFERROR(
IF(REGEXMATCH(LOWER(O7962),""k""),
VALUE(REGEXEXTRACT(O7962,""[0-9]+""))*1000,
VALUE(REGEXEXTRACT(O7962,""[0-9]+""))
),
0
)"),0.0)</f>
        <v>0</v>
      </c>
      <c r="E7962" s="1" t="s">
        <v>11</v>
      </c>
      <c r="F7962" s="1" t="s">
        <v>20</v>
      </c>
      <c r="G7962" s="4" t="b">
        <f t="shared" si="2"/>
        <v>1</v>
      </c>
      <c r="H7962" s="1" t="str">
        <f t="shared" si="3"/>
        <v>Currently Unavailable</v>
      </c>
      <c r="I7962" s="1" t="str">
        <f t="shared" si="4"/>
        <v>No Badges</v>
      </c>
      <c r="J7962" s="3">
        <f t="shared" si="5"/>
        <v>0</v>
      </c>
    </row>
    <row r="7963">
      <c r="A7963" s="1" t="s">
        <v>5817</v>
      </c>
      <c r="B7963" s="3" t="str">
        <f t="shared" si="1"/>
        <v>Unavailable</v>
      </c>
      <c r="C7963" s="5">
        <v>7235.0</v>
      </c>
      <c r="D7963" s="3">
        <f>IFERROR(__xludf.DUMMYFUNCTION("IFERROR(
IF(REGEXMATCH(LOWER(O7963),""k""),
VALUE(REGEXEXTRACT(O7963,""[0-9]+""))*1000,
VALUE(REGEXEXTRACT(O7963,""[0-9]+""))
),
0
)"),0.0)</f>
        <v>0</v>
      </c>
      <c r="E7963" s="1" t="s">
        <v>11</v>
      </c>
      <c r="F7963" s="1" t="s">
        <v>12</v>
      </c>
      <c r="G7963" s="4" t="b">
        <f t="shared" si="2"/>
        <v>1</v>
      </c>
      <c r="H7963" s="1" t="str">
        <f t="shared" si="3"/>
        <v>Currently Unavailable</v>
      </c>
      <c r="I7963" s="1" t="str">
        <f t="shared" si="4"/>
        <v>No Badges</v>
      </c>
      <c r="J7963" s="3">
        <f t="shared" si="5"/>
        <v>0</v>
      </c>
    </row>
    <row r="7964">
      <c r="A7964" s="1" t="s">
        <v>6070</v>
      </c>
      <c r="B7964" s="3" t="str">
        <f t="shared" si="1"/>
        <v>Unavailable</v>
      </c>
      <c r="C7964" s="3">
        <v>357.0</v>
      </c>
      <c r="D7964" s="3">
        <f>IFERROR(__xludf.DUMMYFUNCTION("IFERROR(
IF(REGEXMATCH(LOWER(O7964),""k""),
VALUE(REGEXEXTRACT(O7964,""[0-9]+""))*1000,
VALUE(REGEXEXTRACT(O7964,""[0-9]+""))
),
0
)"),0.0)</f>
        <v>0</v>
      </c>
      <c r="E7964" s="1" t="s">
        <v>11</v>
      </c>
      <c r="F7964" s="1" t="s">
        <v>20</v>
      </c>
      <c r="G7964" s="4" t="b">
        <f t="shared" si="2"/>
        <v>1</v>
      </c>
      <c r="H7964" s="1" t="str">
        <f t="shared" si="3"/>
        <v>Currently Unavailable</v>
      </c>
      <c r="I7964" s="1" t="str">
        <f t="shared" si="4"/>
        <v>No Badges</v>
      </c>
      <c r="J7964" s="3">
        <f t="shared" si="5"/>
        <v>0</v>
      </c>
    </row>
    <row r="7965">
      <c r="A7965" s="1" t="s">
        <v>6071</v>
      </c>
      <c r="B7965" s="3" t="str">
        <f t="shared" si="1"/>
        <v>Unavailable</v>
      </c>
      <c r="C7965" s="5">
        <v>1643.0</v>
      </c>
      <c r="D7965" s="3">
        <f>IFERROR(__xludf.DUMMYFUNCTION("IFERROR(
IF(REGEXMATCH(LOWER(O7965),""k""),
VALUE(REGEXEXTRACT(O7965,""[0-9]+""))*1000,
VALUE(REGEXEXTRACT(O7965,""[0-9]+""))
),
0
)"),0.0)</f>
        <v>0</v>
      </c>
      <c r="E7965" s="1" t="s">
        <v>11</v>
      </c>
      <c r="F7965" s="1" t="s">
        <v>20</v>
      </c>
      <c r="G7965" s="4" t="b">
        <f t="shared" si="2"/>
        <v>1</v>
      </c>
      <c r="H7965" s="1" t="str">
        <f t="shared" si="3"/>
        <v>Currently Unavailable</v>
      </c>
      <c r="I7965" s="1" t="str">
        <f t="shared" si="4"/>
        <v>No Badges</v>
      </c>
      <c r="J7965" s="3">
        <f t="shared" si="5"/>
        <v>0</v>
      </c>
    </row>
    <row r="7966">
      <c r="A7966" s="1" t="s">
        <v>6072</v>
      </c>
      <c r="B7966" s="3" t="str">
        <f t="shared" si="1"/>
        <v>Unavailable</v>
      </c>
      <c r="C7966" s="3">
        <v>531.0</v>
      </c>
      <c r="D7966" s="3">
        <f>IFERROR(__xludf.DUMMYFUNCTION("IFERROR(
IF(REGEXMATCH(LOWER(O7966),""k""),
VALUE(REGEXEXTRACT(O7966,""[0-9]+""))*1000,
VALUE(REGEXEXTRACT(O7966,""[0-9]+""))
),
0
)"),0.0)</f>
        <v>0</v>
      </c>
      <c r="E7966" s="1" t="s">
        <v>11</v>
      </c>
      <c r="F7966" s="1" t="s">
        <v>20</v>
      </c>
      <c r="G7966" s="4" t="b">
        <f t="shared" si="2"/>
        <v>1</v>
      </c>
      <c r="H7966" s="1" t="str">
        <f t="shared" si="3"/>
        <v>Currently Unavailable</v>
      </c>
      <c r="I7966" s="1" t="str">
        <f t="shared" si="4"/>
        <v>No Badges</v>
      </c>
      <c r="J7966" s="3">
        <f t="shared" si="5"/>
        <v>0</v>
      </c>
    </row>
    <row r="7967">
      <c r="A7967" s="1" t="s">
        <v>6073</v>
      </c>
      <c r="B7967" s="3" t="str">
        <f t="shared" si="1"/>
        <v>Unavailable</v>
      </c>
      <c r="C7967" s="5">
        <v>63669.0</v>
      </c>
      <c r="D7967" s="3">
        <f>IFERROR(__xludf.DUMMYFUNCTION("IFERROR(
IF(REGEXMATCH(LOWER(O7967),""k""),
VALUE(REGEXEXTRACT(O7967,""[0-9]+""))*1000,
VALUE(REGEXEXTRACT(O7967,""[0-9]+""))
),
0
)"),0.0)</f>
        <v>0</v>
      </c>
      <c r="E7967" s="1" t="s">
        <v>11</v>
      </c>
      <c r="F7967" s="1" t="s">
        <v>20</v>
      </c>
      <c r="G7967" s="4" t="b">
        <f t="shared" si="2"/>
        <v>1</v>
      </c>
      <c r="H7967" s="1" t="str">
        <f t="shared" si="3"/>
        <v>Currently Unavailable</v>
      </c>
      <c r="I7967" s="1" t="str">
        <f t="shared" si="4"/>
        <v>No Badges</v>
      </c>
      <c r="J7967" s="3">
        <f t="shared" si="5"/>
        <v>0</v>
      </c>
    </row>
    <row r="7968">
      <c r="A7968" s="1" t="s">
        <v>6074</v>
      </c>
      <c r="B7968" s="3" t="str">
        <f t="shared" si="1"/>
        <v>Unavailable</v>
      </c>
      <c r="C7968" s="3">
        <v>234.0</v>
      </c>
      <c r="D7968" s="3">
        <f>IFERROR(__xludf.DUMMYFUNCTION("IFERROR(
IF(REGEXMATCH(LOWER(O7968),""k""),
VALUE(REGEXEXTRACT(O7968,""[0-9]+""))*1000,
VALUE(REGEXEXTRACT(O7968,""[0-9]+""))
),
0
)"),0.0)</f>
        <v>0</v>
      </c>
      <c r="E7968" s="1" t="s">
        <v>11</v>
      </c>
      <c r="F7968" s="1" t="s">
        <v>20</v>
      </c>
      <c r="G7968" s="4" t="b">
        <f t="shared" si="2"/>
        <v>1</v>
      </c>
      <c r="H7968" s="1" t="str">
        <f t="shared" si="3"/>
        <v>Currently Unavailable</v>
      </c>
      <c r="I7968" s="1" t="str">
        <f t="shared" si="4"/>
        <v>No Badges</v>
      </c>
      <c r="J7968" s="3">
        <f t="shared" si="5"/>
        <v>0</v>
      </c>
    </row>
    <row r="7969">
      <c r="A7969" s="1" t="s">
        <v>5817</v>
      </c>
      <c r="B7969" s="3" t="str">
        <f t="shared" si="1"/>
        <v>Unavailable</v>
      </c>
      <c r="C7969" s="5">
        <v>7235.0</v>
      </c>
      <c r="D7969" s="3">
        <f>IFERROR(__xludf.DUMMYFUNCTION("IFERROR(
IF(REGEXMATCH(LOWER(O7969),""k""),
VALUE(REGEXEXTRACT(O7969,""[0-9]+""))*1000,
VALUE(REGEXEXTRACT(O7969,""[0-9]+""))
),
0
)"),0.0)</f>
        <v>0</v>
      </c>
      <c r="E7969" s="1" t="s">
        <v>11</v>
      </c>
      <c r="F7969" s="1" t="s">
        <v>12</v>
      </c>
      <c r="G7969" s="4" t="b">
        <f t="shared" si="2"/>
        <v>1</v>
      </c>
      <c r="H7969" s="1" t="str">
        <f t="shared" si="3"/>
        <v>Currently Unavailable</v>
      </c>
      <c r="I7969" s="1" t="str">
        <f t="shared" si="4"/>
        <v>No Badges</v>
      </c>
      <c r="J7969" s="3">
        <f t="shared" si="5"/>
        <v>0</v>
      </c>
    </row>
    <row r="7970">
      <c r="A7970" s="1" t="s">
        <v>6075</v>
      </c>
      <c r="B7970" s="3" t="str">
        <f t="shared" si="1"/>
        <v>Unavailable</v>
      </c>
      <c r="C7970" s="5">
        <v>2926.0</v>
      </c>
      <c r="D7970" s="3">
        <f>IFERROR(__xludf.DUMMYFUNCTION("IFERROR(
IF(REGEXMATCH(LOWER(O7970),""k""),
VALUE(REGEXEXTRACT(O7970,""[0-9]+""))*1000,
VALUE(REGEXEXTRACT(O7970,""[0-9]+""))
),
0
)"),0.0)</f>
        <v>0</v>
      </c>
      <c r="E7970" s="1" t="s">
        <v>11</v>
      </c>
      <c r="F7970" s="1" t="s">
        <v>20</v>
      </c>
      <c r="G7970" s="4" t="b">
        <f t="shared" si="2"/>
        <v>1</v>
      </c>
      <c r="H7970" s="1" t="str">
        <f t="shared" si="3"/>
        <v>Currently Unavailable</v>
      </c>
      <c r="I7970" s="1" t="str">
        <f t="shared" si="4"/>
        <v>No Badges</v>
      </c>
      <c r="J7970" s="3">
        <f t="shared" si="5"/>
        <v>0</v>
      </c>
    </row>
    <row r="7971">
      <c r="A7971" s="1" t="s">
        <v>6076</v>
      </c>
      <c r="B7971" s="3" t="str">
        <f t="shared" si="1"/>
        <v>Unavailable</v>
      </c>
      <c r="C7971" s="5">
        <v>2208.0</v>
      </c>
      <c r="D7971" s="3">
        <f>IFERROR(__xludf.DUMMYFUNCTION("IFERROR(
IF(REGEXMATCH(LOWER(O7971),""k""),
VALUE(REGEXEXTRACT(O7971,""[0-9]+""))*1000,
VALUE(REGEXEXTRACT(O7971,""[0-9]+""))
),
0
)"),0.0)</f>
        <v>0</v>
      </c>
      <c r="E7971" s="1" t="s">
        <v>11</v>
      </c>
      <c r="F7971" s="1" t="s">
        <v>20</v>
      </c>
      <c r="G7971" s="4" t="b">
        <f t="shared" si="2"/>
        <v>1</v>
      </c>
      <c r="H7971" s="1" t="str">
        <f t="shared" si="3"/>
        <v>Currently Unavailable</v>
      </c>
      <c r="I7971" s="1" t="str">
        <f t="shared" si="4"/>
        <v>No Badges</v>
      </c>
      <c r="J7971" s="3">
        <f t="shared" si="5"/>
        <v>0</v>
      </c>
    </row>
    <row r="7972">
      <c r="A7972" s="1" t="s">
        <v>6077</v>
      </c>
      <c r="B7972" s="3" t="str">
        <f t="shared" si="1"/>
        <v>Unavailable</v>
      </c>
      <c r="C7972" s="3">
        <v>732.0</v>
      </c>
      <c r="D7972" s="3">
        <f>IFERROR(__xludf.DUMMYFUNCTION("IFERROR(
IF(REGEXMATCH(LOWER(O7972),""k""),
VALUE(REGEXEXTRACT(O7972,""[0-9]+""))*1000,
VALUE(REGEXEXTRACT(O7972,""[0-9]+""))
),
0
)"),0.0)</f>
        <v>0</v>
      </c>
      <c r="E7972" s="1" t="s">
        <v>11</v>
      </c>
      <c r="F7972" s="1" t="s">
        <v>20</v>
      </c>
      <c r="G7972" s="4" t="b">
        <f t="shared" si="2"/>
        <v>1</v>
      </c>
      <c r="H7972" s="1" t="str">
        <f t="shared" si="3"/>
        <v>Currently Unavailable</v>
      </c>
      <c r="I7972" s="1" t="str">
        <f t="shared" si="4"/>
        <v>No Badges</v>
      </c>
      <c r="J7972" s="3">
        <f t="shared" si="5"/>
        <v>0</v>
      </c>
    </row>
    <row r="7973">
      <c r="A7973" s="1" t="s">
        <v>6078</v>
      </c>
      <c r="B7973" s="3" t="str">
        <f t="shared" si="1"/>
        <v>Unavailable</v>
      </c>
      <c r="C7973" s="5">
        <v>2981.0</v>
      </c>
      <c r="D7973" s="3">
        <f>IFERROR(__xludf.DUMMYFUNCTION("IFERROR(
IF(REGEXMATCH(LOWER(O7973),""k""),
VALUE(REGEXEXTRACT(O7973,""[0-9]+""))*1000,
VALUE(REGEXEXTRACT(O7973,""[0-9]+""))
),
0
)"),0.0)</f>
        <v>0</v>
      </c>
      <c r="E7973" s="1" t="s">
        <v>11</v>
      </c>
      <c r="F7973" s="1" t="s">
        <v>20</v>
      </c>
      <c r="G7973" s="4" t="b">
        <f t="shared" si="2"/>
        <v>1</v>
      </c>
      <c r="H7973" s="1" t="str">
        <f t="shared" si="3"/>
        <v>Currently Unavailable</v>
      </c>
      <c r="I7973" s="1" t="str">
        <f t="shared" si="4"/>
        <v>No Badges</v>
      </c>
      <c r="J7973" s="3">
        <f t="shared" si="5"/>
        <v>0</v>
      </c>
    </row>
    <row r="7974">
      <c r="A7974" s="1" t="s">
        <v>88</v>
      </c>
      <c r="B7974" s="3" t="str">
        <f t="shared" si="1"/>
        <v>Unavailable</v>
      </c>
      <c r="C7974" s="3">
        <v>5.0</v>
      </c>
      <c r="D7974" s="3">
        <f>IFERROR(__xludf.DUMMYFUNCTION("IFERROR(
IF(REGEXMATCH(LOWER(O7974),""k""),
VALUE(REGEXEXTRACT(O7974,""[0-9]+""))*1000,
VALUE(REGEXEXTRACT(O7974,""[0-9]+""))
),
0
)"),0.0)</f>
        <v>0</v>
      </c>
      <c r="E7974" s="1" t="s">
        <v>11</v>
      </c>
      <c r="F7974" s="1" t="s">
        <v>12</v>
      </c>
      <c r="G7974" s="4" t="b">
        <f t="shared" si="2"/>
        <v>1</v>
      </c>
      <c r="H7974" s="1" t="str">
        <f t="shared" si="3"/>
        <v>Currently Unavailable</v>
      </c>
      <c r="I7974" s="1" t="str">
        <f t="shared" si="4"/>
        <v>No Badges</v>
      </c>
      <c r="J7974" s="3">
        <f t="shared" si="5"/>
        <v>0</v>
      </c>
    </row>
    <row r="7975">
      <c r="A7975" s="1" t="s">
        <v>6079</v>
      </c>
      <c r="B7975" s="3" t="str">
        <f t="shared" si="1"/>
        <v>Unavailable</v>
      </c>
      <c r="C7975" s="3">
        <v>660.0</v>
      </c>
      <c r="D7975" s="3">
        <f>IFERROR(__xludf.DUMMYFUNCTION("IFERROR(
IF(REGEXMATCH(LOWER(O7975),""k""),
VALUE(REGEXEXTRACT(O7975,""[0-9]+""))*1000,
VALUE(REGEXEXTRACT(O7975,""[0-9]+""))
),
0
)"),0.0)</f>
        <v>0</v>
      </c>
      <c r="E7975" s="1" t="s">
        <v>11</v>
      </c>
      <c r="F7975" s="1" t="s">
        <v>20</v>
      </c>
      <c r="G7975" s="4" t="b">
        <f t="shared" si="2"/>
        <v>1</v>
      </c>
      <c r="H7975" s="1" t="str">
        <f t="shared" si="3"/>
        <v>Currently Unavailable</v>
      </c>
      <c r="I7975" s="1" t="str">
        <f t="shared" si="4"/>
        <v>No Badges</v>
      </c>
      <c r="J7975" s="3">
        <f t="shared" si="5"/>
        <v>0</v>
      </c>
    </row>
    <row r="7976">
      <c r="A7976" s="1" t="s">
        <v>6080</v>
      </c>
      <c r="B7976" s="3" t="str">
        <f t="shared" si="1"/>
        <v>Unavailable</v>
      </c>
      <c r="C7976" s="5">
        <v>5396.0</v>
      </c>
      <c r="D7976" s="3">
        <f>IFERROR(__xludf.DUMMYFUNCTION("IFERROR(
IF(REGEXMATCH(LOWER(O7976),""k""),
VALUE(REGEXEXTRACT(O7976,""[0-9]+""))*1000,
VALUE(REGEXEXTRACT(O7976,""[0-9]+""))
),
0
)"),0.0)</f>
        <v>0</v>
      </c>
      <c r="E7976" s="1" t="s">
        <v>11</v>
      </c>
      <c r="F7976" s="1" t="s">
        <v>20</v>
      </c>
      <c r="G7976" s="4" t="b">
        <f t="shared" si="2"/>
        <v>1</v>
      </c>
      <c r="H7976" s="1" t="str">
        <f t="shared" si="3"/>
        <v>Currently Unavailable</v>
      </c>
      <c r="I7976" s="1" t="str">
        <f t="shared" si="4"/>
        <v>No Badges</v>
      </c>
      <c r="J7976" s="3">
        <f t="shared" si="5"/>
        <v>0</v>
      </c>
    </row>
    <row r="7977">
      <c r="A7977" s="1" t="s">
        <v>5817</v>
      </c>
      <c r="B7977" s="3" t="str">
        <f t="shared" si="1"/>
        <v>Unavailable</v>
      </c>
      <c r="C7977" s="5">
        <v>7235.0</v>
      </c>
      <c r="D7977" s="3">
        <f>IFERROR(__xludf.DUMMYFUNCTION("IFERROR(
IF(REGEXMATCH(LOWER(O7977),""k""),
VALUE(REGEXEXTRACT(O7977,""[0-9]+""))*1000,
VALUE(REGEXEXTRACT(O7977,""[0-9]+""))
),
0
)"),0.0)</f>
        <v>0</v>
      </c>
      <c r="E7977" s="1" t="s">
        <v>11</v>
      </c>
      <c r="F7977" s="1" t="s">
        <v>12</v>
      </c>
      <c r="G7977" s="4" t="b">
        <f t="shared" si="2"/>
        <v>1</v>
      </c>
      <c r="H7977" s="1" t="str">
        <f t="shared" si="3"/>
        <v>Currently Unavailable</v>
      </c>
      <c r="I7977" s="1" t="str">
        <f t="shared" si="4"/>
        <v>No Badges</v>
      </c>
      <c r="J7977" s="3">
        <f t="shared" si="5"/>
        <v>0</v>
      </c>
    </row>
    <row r="7978">
      <c r="A7978" s="1" t="s">
        <v>69</v>
      </c>
      <c r="B7978" s="3" t="str">
        <f t="shared" si="1"/>
        <v>Unavailable</v>
      </c>
      <c r="C7978" s="3">
        <v>45.0</v>
      </c>
      <c r="D7978" s="3">
        <f>IFERROR(__xludf.DUMMYFUNCTION("IFERROR(
IF(REGEXMATCH(LOWER(O7978),""k""),
VALUE(REGEXEXTRACT(O7978,""[0-9]+""))*1000,
VALUE(REGEXEXTRACT(O7978,""[0-9]+""))
),
0
)"),0.0)</f>
        <v>0</v>
      </c>
      <c r="E7978" s="1" t="s">
        <v>11</v>
      </c>
      <c r="F7978" s="1" t="s">
        <v>12</v>
      </c>
      <c r="G7978" s="4" t="b">
        <f t="shared" si="2"/>
        <v>1</v>
      </c>
      <c r="H7978" s="1" t="str">
        <f t="shared" si="3"/>
        <v>Currently Unavailable</v>
      </c>
      <c r="I7978" s="1" t="str">
        <f t="shared" si="4"/>
        <v>No Badges</v>
      </c>
      <c r="J7978" s="3">
        <f t="shared" si="5"/>
        <v>0</v>
      </c>
    </row>
    <row r="7979">
      <c r="A7979" s="1" t="s">
        <v>6081</v>
      </c>
      <c r="B7979" s="3" t="str">
        <f t="shared" si="1"/>
        <v>Unavailable</v>
      </c>
      <c r="C7979" s="5">
        <v>4115.0</v>
      </c>
      <c r="D7979" s="3">
        <f>IFERROR(__xludf.DUMMYFUNCTION("IFERROR(
IF(REGEXMATCH(LOWER(O7979),""k""),
VALUE(REGEXEXTRACT(O7979,""[0-9]+""))*1000,
VALUE(REGEXEXTRACT(O7979,""[0-9]+""))
),
0
)"),0.0)</f>
        <v>0</v>
      </c>
      <c r="E7979" s="1" t="s">
        <v>11</v>
      </c>
      <c r="F7979" s="1" t="s">
        <v>20</v>
      </c>
      <c r="G7979" s="4" t="b">
        <f t="shared" si="2"/>
        <v>1</v>
      </c>
      <c r="H7979" s="1" t="str">
        <f t="shared" si="3"/>
        <v>Currently Unavailable</v>
      </c>
      <c r="I7979" s="1" t="str">
        <f t="shared" si="4"/>
        <v>No Badges</v>
      </c>
      <c r="J7979" s="3">
        <f t="shared" si="5"/>
        <v>0</v>
      </c>
    </row>
    <row r="7980">
      <c r="A7980" s="1" t="s">
        <v>6082</v>
      </c>
      <c r="B7980" s="3" t="str">
        <f t="shared" si="1"/>
        <v>Unavailable</v>
      </c>
      <c r="C7980" s="3">
        <v>64.0</v>
      </c>
      <c r="D7980" s="3">
        <f>IFERROR(__xludf.DUMMYFUNCTION("IFERROR(
IF(REGEXMATCH(LOWER(O7980),""k""),
VALUE(REGEXEXTRACT(O7980,""[0-9]+""))*1000,
VALUE(REGEXEXTRACT(O7980,""[0-9]+""))
),
0
)"),0.0)</f>
        <v>0</v>
      </c>
      <c r="E7980" s="1" t="s">
        <v>11</v>
      </c>
      <c r="F7980" s="1" t="s">
        <v>20</v>
      </c>
      <c r="G7980" s="4" t="b">
        <f t="shared" si="2"/>
        <v>1</v>
      </c>
      <c r="H7980" s="1" t="str">
        <f t="shared" si="3"/>
        <v>Currently Unavailable</v>
      </c>
      <c r="I7980" s="1" t="str">
        <f t="shared" si="4"/>
        <v>No Badges</v>
      </c>
      <c r="J7980" s="3">
        <f t="shared" si="5"/>
        <v>0</v>
      </c>
    </row>
    <row r="7981">
      <c r="A7981" s="1" t="s">
        <v>6083</v>
      </c>
      <c r="B7981" s="3" t="str">
        <f t="shared" si="1"/>
        <v>Unavailable</v>
      </c>
      <c r="C7981" s="3">
        <v>866.0</v>
      </c>
      <c r="D7981" s="3">
        <f>IFERROR(__xludf.DUMMYFUNCTION("IFERROR(
IF(REGEXMATCH(LOWER(O7981),""k""),
VALUE(REGEXEXTRACT(O7981,""[0-9]+""))*1000,
VALUE(REGEXEXTRACT(O7981,""[0-9]+""))
),
0
)"),0.0)</f>
        <v>0</v>
      </c>
      <c r="E7981" s="1" t="s">
        <v>11</v>
      </c>
      <c r="F7981" s="1" t="s">
        <v>20</v>
      </c>
      <c r="G7981" s="4" t="b">
        <f t="shared" si="2"/>
        <v>1</v>
      </c>
      <c r="H7981" s="1" t="str">
        <f t="shared" si="3"/>
        <v>Currently Unavailable</v>
      </c>
      <c r="I7981" s="1" t="str">
        <f t="shared" si="4"/>
        <v>No Badges</v>
      </c>
      <c r="J7981" s="3">
        <f t="shared" si="5"/>
        <v>0</v>
      </c>
    </row>
    <row r="7982">
      <c r="A7982" s="1" t="s">
        <v>6084</v>
      </c>
      <c r="B7982" s="3" t="str">
        <f t="shared" si="1"/>
        <v>Unavailable</v>
      </c>
      <c r="C7982" s="5">
        <v>18996.0</v>
      </c>
      <c r="D7982" s="3">
        <f>IFERROR(__xludf.DUMMYFUNCTION("IFERROR(
IF(REGEXMATCH(LOWER(O7982),""k""),
VALUE(REGEXEXTRACT(O7982,""[0-9]+""))*1000,
VALUE(REGEXEXTRACT(O7982,""[0-9]+""))
),
0
)"),0.0)</f>
        <v>0</v>
      </c>
      <c r="E7982" s="1" t="s">
        <v>11</v>
      </c>
      <c r="F7982" s="1" t="s">
        <v>20</v>
      </c>
      <c r="G7982" s="4" t="b">
        <f t="shared" si="2"/>
        <v>1</v>
      </c>
      <c r="H7982" s="1" t="str">
        <f t="shared" si="3"/>
        <v>Currently Unavailable</v>
      </c>
      <c r="I7982" s="1" t="str">
        <f t="shared" si="4"/>
        <v>No Badges</v>
      </c>
      <c r="J7982" s="3">
        <f t="shared" si="5"/>
        <v>0</v>
      </c>
    </row>
    <row r="7983">
      <c r="A7983" s="1" t="s">
        <v>6085</v>
      </c>
      <c r="B7983" s="3" t="str">
        <f t="shared" si="1"/>
        <v>Unavailable</v>
      </c>
      <c r="C7983" s="3">
        <v>310.0</v>
      </c>
      <c r="D7983" s="3">
        <f>IFERROR(__xludf.DUMMYFUNCTION("IFERROR(
IF(REGEXMATCH(LOWER(O7983),""k""),
VALUE(REGEXEXTRACT(O7983,""[0-9]+""))*1000,
VALUE(REGEXEXTRACT(O7983,""[0-9]+""))
),
0
)"),0.0)</f>
        <v>0</v>
      </c>
      <c r="E7983" s="1" t="s">
        <v>11</v>
      </c>
      <c r="F7983" s="1" t="s">
        <v>20</v>
      </c>
      <c r="G7983" s="4" t="b">
        <f t="shared" si="2"/>
        <v>1</v>
      </c>
      <c r="H7983" s="1" t="str">
        <f t="shared" si="3"/>
        <v>Currently Unavailable</v>
      </c>
      <c r="I7983" s="1" t="str">
        <f t="shared" si="4"/>
        <v>No Badges</v>
      </c>
      <c r="J7983" s="3">
        <f t="shared" si="5"/>
        <v>0</v>
      </c>
    </row>
    <row r="7984">
      <c r="A7984" s="1" t="s">
        <v>6086</v>
      </c>
      <c r="B7984" s="3" t="str">
        <f t="shared" si="1"/>
        <v>Unavailable</v>
      </c>
      <c r="C7984" s="5">
        <v>9698.0</v>
      </c>
      <c r="D7984" s="3">
        <f>IFERROR(__xludf.DUMMYFUNCTION("IFERROR(
IF(REGEXMATCH(LOWER(O7984),""k""),
VALUE(REGEXEXTRACT(O7984,""[0-9]+""))*1000,
VALUE(REGEXEXTRACT(O7984,""[0-9]+""))
),
0
)"),0.0)</f>
        <v>0</v>
      </c>
      <c r="E7984" s="1" t="s">
        <v>11</v>
      </c>
      <c r="F7984" s="1" t="s">
        <v>20</v>
      </c>
      <c r="G7984" s="4" t="b">
        <f t="shared" si="2"/>
        <v>1</v>
      </c>
      <c r="H7984" s="1" t="str">
        <f t="shared" si="3"/>
        <v>Currently Unavailable</v>
      </c>
      <c r="I7984" s="1" t="str">
        <f t="shared" si="4"/>
        <v>No Badges</v>
      </c>
      <c r="J7984" s="3">
        <f t="shared" si="5"/>
        <v>0</v>
      </c>
    </row>
    <row r="7985">
      <c r="A7985" s="1" t="s">
        <v>5817</v>
      </c>
      <c r="B7985" s="3" t="str">
        <f t="shared" si="1"/>
        <v>Unavailable</v>
      </c>
      <c r="C7985" s="5">
        <v>7235.0</v>
      </c>
      <c r="D7985" s="3">
        <f>IFERROR(__xludf.DUMMYFUNCTION("IFERROR(
IF(REGEXMATCH(LOWER(O7985),""k""),
VALUE(REGEXEXTRACT(O7985,""[0-9]+""))*1000,
VALUE(REGEXEXTRACT(O7985,""[0-9]+""))
),
0
)"),0.0)</f>
        <v>0</v>
      </c>
      <c r="E7985" s="1" t="s">
        <v>11</v>
      </c>
      <c r="F7985" s="1" t="s">
        <v>12</v>
      </c>
      <c r="G7985" s="4" t="b">
        <f t="shared" si="2"/>
        <v>1</v>
      </c>
      <c r="H7985" s="1" t="str">
        <f t="shared" si="3"/>
        <v>Currently Unavailable</v>
      </c>
      <c r="I7985" s="1" t="str">
        <f t="shared" si="4"/>
        <v>No Badges</v>
      </c>
      <c r="J7985" s="3">
        <f t="shared" si="5"/>
        <v>0</v>
      </c>
    </row>
    <row r="7986">
      <c r="A7986" s="1" t="s">
        <v>6087</v>
      </c>
      <c r="B7986" s="3" t="str">
        <f t="shared" si="1"/>
        <v>Unavailable</v>
      </c>
      <c r="C7986" s="5">
        <v>4720.0</v>
      </c>
      <c r="D7986" s="3">
        <f>IFERROR(__xludf.DUMMYFUNCTION("IFERROR(
IF(REGEXMATCH(LOWER(O7986),""k""),
VALUE(REGEXEXTRACT(O7986,""[0-9]+""))*1000,
VALUE(REGEXEXTRACT(O7986,""[0-9]+""))
),
0
)"),0.0)</f>
        <v>0</v>
      </c>
      <c r="E7986" s="1" t="s">
        <v>158</v>
      </c>
      <c r="F7986" s="1" t="s">
        <v>20</v>
      </c>
      <c r="G7986" s="4" t="b">
        <f t="shared" si="2"/>
        <v>1</v>
      </c>
      <c r="H7986" s="1" t="str">
        <f t="shared" si="3"/>
        <v>Currently Unavailable</v>
      </c>
      <c r="I7986" s="1" t="str">
        <f t="shared" si="4"/>
        <v>No Badges</v>
      </c>
      <c r="J7986" s="3">
        <f t="shared" si="5"/>
        <v>0</v>
      </c>
    </row>
    <row r="7987">
      <c r="A7987" s="1" t="s">
        <v>6088</v>
      </c>
      <c r="B7987" s="3" t="str">
        <f t="shared" si="1"/>
        <v>Unavailable</v>
      </c>
      <c r="C7987" s="3">
        <v>793.0</v>
      </c>
      <c r="D7987" s="3">
        <f>IFERROR(__xludf.DUMMYFUNCTION("IFERROR(
IF(REGEXMATCH(LOWER(O7987),""k""),
VALUE(REGEXEXTRACT(O7987,""[0-9]+""))*1000,
VALUE(REGEXEXTRACT(O7987,""[0-9]+""))
),
0
)"),0.0)</f>
        <v>0</v>
      </c>
      <c r="E7987" s="1" t="s">
        <v>11</v>
      </c>
      <c r="F7987" s="1" t="s">
        <v>20</v>
      </c>
      <c r="G7987" s="4" t="b">
        <f t="shared" si="2"/>
        <v>1</v>
      </c>
      <c r="H7987" s="1" t="str">
        <f t="shared" si="3"/>
        <v>Currently Unavailable</v>
      </c>
      <c r="I7987" s="1" t="str">
        <f t="shared" si="4"/>
        <v>No Badges</v>
      </c>
      <c r="J7987" s="3">
        <f t="shared" si="5"/>
        <v>0</v>
      </c>
    </row>
    <row r="7988">
      <c r="A7988" s="1" t="s">
        <v>6089</v>
      </c>
      <c r="B7988" s="3" t="str">
        <f t="shared" si="1"/>
        <v>Unavailable</v>
      </c>
      <c r="C7988" s="5">
        <v>6768.0</v>
      </c>
      <c r="D7988" s="3">
        <f>IFERROR(__xludf.DUMMYFUNCTION("IFERROR(
IF(REGEXMATCH(LOWER(O7988),""k""),
VALUE(REGEXEXTRACT(O7988,""[0-9]+""))*1000,
VALUE(REGEXEXTRACT(O7988,""[0-9]+""))
),
0
)"),0.0)</f>
        <v>0</v>
      </c>
      <c r="E7988" s="1" t="s">
        <v>11</v>
      </c>
      <c r="F7988" s="1" t="s">
        <v>20</v>
      </c>
      <c r="G7988" s="4" t="b">
        <f t="shared" si="2"/>
        <v>1</v>
      </c>
      <c r="H7988" s="1" t="str">
        <f t="shared" si="3"/>
        <v>Currently Unavailable</v>
      </c>
      <c r="I7988" s="1" t="str">
        <f t="shared" si="4"/>
        <v>No Badges</v>
      </c>
      <c r="J7988" s="3">
        <f t="shared" si="5"/>
        <v>0</v>
      </c>
    </row>
    <row r="7989">
      <c r="A7989" s="1" t="s">
        <v>6090</v>
      </c>
      <c r="B7989" s="3" t="str">
        <f t="shared" si="1"/>
        <v>Unavailable</v>
      </c>
      <c r="C7989" s="3">
        <v>441.0</v>
      </c>
      <c r="D7989" s="3">
        <f>IFERROR(__xludf.DUMMYFUNCTION("IFERROR(
IF(REGEXMATCH(LOWER(O7989),""k""),
VALUE(REGEXEXTRACT(O7989,""[0-9]+""))*1000,
VALUE(REGEXEXTRACT(O7989,""[0-9]+""))
),
0
)"),0.0)</f>
        <v>0</v>
      </c>
      <c r="E7989" s="1" t="s">
        <v>11</v>
      </c>
      <c r="F7989" s="1" t="s">
        <v>20</v>
      </c>
      <c r="G7989" s="4" t="b">
        <f t="shared" si="2"/>
        <v>1</v>
      </c>
      <c r="H7989" s="1" t="str">
        <f t="shared" si="3"/>
        <v>Currently Unavailable</v>
      </c>
      <c r="I7989" s="1" t="str">
        <f t="shared" si="4"/>
        <v>No Badges</v>
      </c>
      <c r="J7989" s="3">
        <f t="shared" si="5"/>
        <v>0</v>
      </c>
    </row>
    <row r="7990">
      <c r="A7990" s="1" t="s">
        <v>5817</v>
      </c>
      <c r="B7990" s="3" t="str">
        <f t="shared" si="1"/>
        <v>Unavailable</v>
      </c>
      <c r="C7990" s="5">
        <v>7235.0</v>
      </c>
      <c r="D7990" s="3">
        <f>IFERROR(__xludf.DUMMYFUNCTION("IFERROR(
IF(REGEXMATCH(LOWER(O7990),""k""),
VALUE(REGEXEXTRACT(O7990,""[0-9]+""))*1000,
VALUE(REGEXEXTRACT(O7990,""[0-9]+""))
),
0
)"),0.0)</f>
        <v>0</v>
      </c>
      <c r="E7990" s="1" t="s">
        <v>11</v>
      </c>
      <c r="F7990" s="1" t="s">
        <v>12</v>
      </c>
      <c r="G7990" s="4" t="b">
        <f t="shared" si="2"/>
        <v>1</v>
      </c>
      <c r="H7990" s="1" t="str">
        <f t="shared" si="3"/>
        <v>Currently Unavailable</v>
      </c>
      <c r="I7990" s="1" t="str">
        <f t="shared" si="4"/>
        <v>No Badges</v>
      </c>
      <c r="J7990" s="3">
        <f t="shared" si="5"/>
        <v>0</v>
      </c>
    </row>
    <row r="7991">
      <c r="A7991" s="1" t="s">
        <v>67</v>
      </c>
      <c r="B7991" s="3" t="str">
        <f t="shared" si="1"/>
        <v>Unavailable</v>
      </c>
      <c r="C7991" s="3">
        <v>264.0</v>
      </c>
      <c r="D7991" s="3">
        <f>IFERROR(__xludf.DUMMYFUNCTION("IFERROR(
IF(REGEXMATCH(LOWER(O7991),""k""),
VALUE(REGEXEXTRACT(O7991,""[0-9]+""))*1000,
VALUE(REGEXEXTRACT(O7991,""[0-9]+""))
),
0
)"),0.0)</f>
        <v>0</v>
      </c>
      <c r="E7991" s="1" t="s">
        <v>11</v>
      </c>
      <c r="F7991" s="1" t="s">
        <v>12</v>
      </c>
      <c r="G7991" s="4" t="b">
        <f t="shared" si="2"/>
        <v>1</v>
      </c>
      <c r="H7991" s="1" t="str">
        <f t="shared" si="3"/>
        <v>Currently Unavailable</v>
      </c>
      <c r="I7991" s="1" t="str">
        <f t="shared" si="4"/>
        <v>No Badges</v>
      </c>
      <c r="J7991" s="3">
        <f t="shared" si="5"/>
        <v>0</v>
      </c>
    </row>
    <row r="7992">
      <c r="A7992" s="1" t="s">
        <v>6091</v>
      </c>
      <c r="B7992" s="3" t="str">
        <f t="shared" si="1"/>
        <v>Unavailable</v>
      </c>
      <c r="C7992" s="5">
        <v>8788.0</v>
      </c>
      <c r="D7992" s="3">
        <f>IFERROR(__xludf.DUMMYFUNCTION("IFERROR(
IF(REGEXMATCH(LOWER(O7992),""k""),
VALUE(REGEXEXTRACT(O7992,""[0-9]+""))*1000,
VALUE(REGEXEXTRACT(O7992,""[0-9]+""))
),
0
)"),0.0)</f>
        <v>0</v>
      </c>
      <c r="E7992" s="1" t="s">
        <v>11</v>
      </c>
      <c r="F7992" s="1" t="s">
        <v>20</v>
      </c>
      <c r="G7992" s="4" t="b">
        <f t="shared" si="2"/>
        <v>1</v>
      </c>
      <c r="H7992" s="1" t="str">
        <f t="shared" si="3"/>
        <v>Currently Unavailable</v>
      </c>
      <c r="I7992" s="1" t="str">
        <f t="shared" si="4"/>
        <v>No Badges</v>
      </c>
      <c r="J7992" s="3">
        <f t="shared" si="5"/>
        <v>0</v>
      </c>
    </row>
    <row r="7993">
      <c r="A7993" s="1" t="s">
        <v>701</v>
      </c>
      <c r="B7993" s="3" t="str">
        <f t="shared" si="1"/>
        <v>Unavailable</v>
      </c>
      <c r="C7993" s="3">
        <v>8.0</v>
      </c>
      <c r="D7993" s="3">
        <f>IFERROR(__xludf.DUMMYFUNCTION("IFERROR(
IF(REGEXMATCH(LOWER(O7993),""k""),
VALUE(REGEXEXTRACT(O7993,""[0-9]+""))*1000,
VALUE(REGEXEXTRACT(O7993,""[0-9]+""))
),
0
)"),0.0)</f>
        <v>0</v>
      </c>
      <c r="E7993" s="1" t="s">
        <v>11</v>
      </c>
      <c r="F7993" s="1" t="s">
        <v>12</v>
      </c>
      <c r="G7993" s="4" t="b">
        <f t="shared" si="2"/>
        <v>1</v>
      </c>
      <c r="H7993" s="1" t="str">
        <f t="shared" si="3"/>
        <v>Currently Unavailable</v>
      </c>
      <c r="I7993" s="1" t="str">
        <f t="shared" si="4"/>
        <v>No Badges</v>
      </c>
      <c r="J7993" s="3">
        <f t="shared" si="5"/>
        <v>0</v>
      </c>
    </row>
    <row r="7994">
      <c r="A7994" s="1" t="s">
        <v>6092</v>
      </c>
      <c r="B7994" s="3" t="str">
        <f t="shared" si="1"/>
        <v>Unavailable</v>
      </c>
      <c r="C7994" s="5">
        <v>3305.0</v>
      </c>
      <c r="D7994" s="3">
        <f>IFERROR(__xludf.DUMMYFUNCTION("IFERROR(
IF(REGEXMATCH(LOWER(O7994),""k""),
VALUE(REGEXEXTRACT(O7994,""[0-9]+""))*1000,
VALUE(REGEXEXTRACT(O7994,""[0-9]+""))
),
0
)"),0.0)</f>
        <v>0</v>
      </c>
      <c r="E7994" s="1" t="s">
        <v>11</v>
      </c>
      <c r="F7994" s="1" t="s">
        <v>20</v>
      </c>
      <c r="G7994" s="4" t="b">
        <f t="shared" si="2"/>
        <v>1</v>
      </c>
      <c r="H7994" s="1" t="str">
        <f t="shared" si="3"/>
        <v>Currently Unavailable</v>
      </c>
      <c r="I7994" s="1" t="str">
        <f t="shared" si="4"/>
        <v>No Badges</v>
      </c>
      <c r="J7994" s="3">
        <f t="shared" si="5"/>
        <v>0</v>
      </c>
    </row>
    <row r="7995">
      <c r="A7995" s="1" t="s">
        <v>6093</v>
      </c>
      <c r="B7995" s="3" t="str">
        <f t="shared" si="1"/>
        <v>Unavailable</v>
      </c>
      <c r="C7995" s="5">
        <v>4909.0</v>
      </c>
      <c r="D7995" s="3">
        <f>IFERROR(__xludf.DUMMYFUNCTION("IFERROR(
IF(REGEXMATCH(LOWER(O7995),""k""),
VALUE(REGEXEXTRACT(O7995,""[0-9]+""))*1000,
VALUE(REGEXEXTRACT(O7995,""[0-9]+""))
),
0
)"),0.0)</f>
        <v>0</v>
      </c>
      <c r="E7995" s="1" t="s">
        <v>11</v>
      </c>
      <c r="F7995" s="1" t="s">
        <v>20</v>
      </c>
      <c r="G7995" s="4" t="b">
        <f t="shared" si="2"/>
        <v>1</v>
      </c>
      <c r="H7995" s="1" t="str">
        <f t="shared" si="3"/>
        <v>Currently Unavailable</v>
      </c>
      <c r="I7995" s="1" t="str">
        <f t="shared" si="4"/>
        <v>No Badges</v>
      </c>
      <c r="J7995" s="3">
        <f t="shared" si="5"/>
        <v>0</v>
      </c>
    </row>
    <row r="7996">
      <c r="A7996" s="1" t="s">
        <v>6094</v>
      </c>
      <c r="B7996" s="3" t="str">
        <f t="shared" si="1"/>
        <v>Unavailable</v>
      </c>
      <c r="C7996" s="3">
        <v>229.0</v>
      </c>
      <c r="D7996" s="3">
        <f>IFERROR(__xludf.DUMMYFUNCTION("IFERROR(
IF(REGEXMATCH(LOWER(O7996),""k""),
VALUE(REGEXEXTRACT(O7996,""[0-9]+""))*1000,
VALUE(REGEXEXTRACT(O7996,""[0-9]+""))
),
0
)"),0.0)</f>
        <v>0</v>
      </c>
      <c r="E7996" s="1" t="s">
        <v>11</v>
      </c>
      <c r="F7996" s="1" t="s">
        <v>20</v>
      </c>
      <c r="G7996" s="4" t="b">
        <f t="shared" si="2"/>
        <v>1</v>
      </c>
      <c r="H7996" s="1" t="str">
        <f t="shared" si="3"/>
        <v>Currently Unavailable</v>
      </c>
      <c r="I7996" s="1" t="str">
        <f t="shared" si="4"/>
        <v>No Badges</v>
      </c>
      <c r="J7996" s="3">
        <f t="shared" si="5"/>
        <v>0</v>
      </c>
    </row>
    <row r="7997">
      <c r="A7997" s="1" t="s">
        <v>6095</v>
      </c>
      <c r="B7997" s="3" t="str">
        <f t="shared" si="1"/>
        <v>Unavailable</v>
      </c>
      <c r="C7997" s="5">
        <v>2176.0</v>
      </c>
      <c r="D7997" s="3">
        <f>IFERROR(__xludf.DUMMYFUNCTION("IFERROR(
IF(REGEXMATCH(LOWER(O7997),""k""),
VALUE(REGEXEXTRACT(O7997,""[0-9]+""))*1000,
VALUE(REGEXEXTRACT(O7997,""[0-9]+""))
),
0
)"),0.0)</f>
        <v>0</v>
      </c>
      <c r="E7997" s="1" t="s">
        <v>11</v>
      </c>
      <c r="F7997" s="1" t="s">
        <v>20</v>
      </c>
      <c r="G7997" s="4" t="b">
        <f t="shared" si="2"/>
        <v>1</v>
      </c>
      <c r="H7997" s="1" t="str">
        <f t="shared" si="3"/>
        <v>Currently Unavailable</v>
      </c>
      <c r="I7997" s="1" t="str">
        <f t="shared" si="4"/>
        <v>No Badges</v>
      </c>
      <c r="J7997" s="3">
        <f t="shared" si="5"/>
        <v>0</v>
      </c>
    </row>
    <row r="7998">
      <c r="A7998" s="1" t="s">
        <v>6096</v>
      </c>
      <c r="B7998" s="3" t="str">
        <f t="shared" si="1"/>
        <v>Unavailable</v>
      </c>
      <c r="C7998" s="3">
        <v>321.0</v>
      </c>
      <c r="D7998" s="3">
        <f>IFERROR(__xludf.DUMMYFUNCTION("IFERROR(
IF(REGEXMATCH(LOWER(O7998),""k""),
VALUE(REGEXEXTRACT(O7998,""[0-9]+""))*1000,
VALUE(REGEXEXTRACT(O7998,""[0-9]+""))
),
0
)"),0.0)</f>
        <v>0</v>
      </c>
      <c r="E7998" s="1" t="s">
        <v>11</v>
      </c>
      <c r="F7998" s="1" t="s">
        <v>20</v>
      </c>
      <c r="G7998" s="4" t="b">
        <f t="shared" si="2"/>
        <v>1</v>
      </c>
      <c r="H7998" s="1" t="str">
        <f t="shared" si="3"/>
        <v>Currently Unavailable</v>
      </c>
      <c r="I7998" s="1" t="str">
        <f t="shared" si="4"/>
        <v>No Badges</v>
      </c>
      <c r="J7998" s="3">
        <f t="shared" si="5"/>
        <v>0</v>
      </c>
    </row>
    <row r="7999">
      <c r="A7999" s="1" t="s">
        <v>5817</v>
      </c>
      <c r="B7999" s="3" t="str">
        <f t="shared" si="1"/>
        <v>Unavailable</v>
      </c>
      <c r="C7999" s="5">
        <v>7235.0</v>
      </c>
      <c r="D7999" s="3">
        <f>IFERROR(__xludf.DUMMYFUNCTION("IFERROR(
IF(REGEXMATCH(LOWER(O7999),""k""),
VALUE(REGEXEXTRACT(O7999,""[0-9]+""))*1000,
VALUE(REGEXEXTRACT(O7999,""[0-9]+""))
),
0
)"),0.0)</f>
        <v>0</v>
      </c>
      <c r="E7999" s="1" t="s">
        <v>11</v>
      </c>
      <c r="F7999" s="1" t="s">
        <v>12</v>
      </c>
      <c r="G7999" s="4" t="b">
        <f t="shared" si="2"/>
        <v>1</v>
      </c>
      <c r="H7999" s="1" t="str">
        <f t="shared" si="3"/>
        <v>Currently Unavailable</v>
      </c>
      <c r="I7999" s="1" t="str">
        <f t="shared" si="4"/>
        <v>No Badges</v>
      </c>
      <c r="J7999" s="3">
        <f t="shared" si="5"/>
        <v>0</v>
      </c>
    </row>
    <row r="8000">
      <c r="A8000" s="1" t="s">
        <v>5818</v>
      </c>
      <c r="B8000" s="3" t="str">
        <f t="shared" si="1"/>
        <v>Unavailable</v>
      </c>
      <c r="C8000" s="5">
        <v>6335.0</v>
      </c>
      <c r="D8000" s="3">
        <f>IFERROR(__xludf.DUMMYFUNCTION("IFERROR(
IF(REGEXMATCH(LOWER(O8000),""k""),
VALUE(REGEXEXTRACT(O8000,""[0-9]+""))*1000,
VALUE(REGEXEXTRACT(O8000,""[0-9]+""))
),
0
)"),0.0)</f>
        <v>0</v>
      </c>
      <c r="E8000" s="1" t="s">
        <v>11</v>
      </c>
      <c r="F8000" s="1" t="s">
        <v>12</v>
      </c>
      <c r="G8000" s="4" t="b">
        <f t="shared" si="2"/>
        <v>1</v>
      </c>
      <c r="H8000" s="1" t="str">
        <f t="shared" si="3"/>
        <v>Currently Unavailable</v>
      </c>
      <c r="I8000" s="1" t="str">
        <f t="shared" si="4"/>
        <v>No Badges</v>
      </c>
      <c r="J8000" s="3">
        <f t="shared" si="5"/>
        <v>0</v>
      </c>
    </row>
    <row r="8001">
      <c r="A8001" s="1" t="s">
        <v>6097</v>
      </c>
      <c r="B8001" s="3" t="str">
        <f t="shared" si="1"/>
        <v>Unavailable</v>
      </c>
      <c r="C8001" s="5">
        <v>5095.0</v>
      </c>
      <c r="D8001" s="3">
        <f>IFERROR(__xludf.DUMMYFUNCTION("IFERROR(
IF(REGEXMATCH(LOWER(O8001),""k""),
VALUE(REGEXEXTRACT(O8001,""[0-9]+""))*1000,
VALUE(REGEXEXTRACT(O8001,""[0-9]+""))
),
0
)"),0.0)</f>
        <v>0</v>
      </c>
      <c r="E8001" s="1" t="s">
        <v>11</v>
      </c>
      <c r="F8001" s="1" t="s">
        <v>20</v>
      </c>
      <c r="G8001" s="4" t="b">
        <f t="shared" si="2"/>
        <v>1</v>
      </c>
      <c r="H8001" s="1" t="str">
        <f t="shared" si="3"/>
        <v>Currently Unavailable</v>
      </c>
      <c r="I8001" s="1" t="str">
        <f t="shared" si="4"/>
        <v>No Badges</v>
      </c>
      <c r="J8001" s="3">
        <f t="shared" si="5"/>
        <v>0</v>
      </c>
    </row>
    <row r="8002">
      <c r="A8002" s="1" t="s">
        <v>6098</v>
      </c>
      <c r="B8002" s="3" t="str">
        <f t="shared" si="1"/>
        <v>Unavailable</v>
      </c>
      <c r="C8002" s="3">
        <v>303.0</v>
      </c>
      <c r="D8002" s="3">
        <f>IFERROR(__xludf.DUMMYFUNCTION("IFERROR(
IF(REGEXMATCH(LOWER(O8002),""k""),
VALUE(REGEXEXTRACT(O8002,""[0-9]+""))*1000,
VALUE(REGEXEXTRACT(O8002,""[0-9]+""))
),
0
)"),0.0)</f>
        <v>0</v>
      </c>
      <c r="E8002" s="1" t="s">
        <v>11</v>
      </c>
      <c r="F8002" s="1" t="s">
        <v>20</v>
      </c>
      <c r="G8002" s="4" t="b">
        <f t="shared" si="2"/>
        <v>1</v>
      </c>
      <c r="H8002" s="1" t="str">
        <f t="shared" si="3"/>
        <v>Currently Unavailable</v>
      </c>
      <c r="I8002" s="1" t="str">
        <f t="shared" si="4"/>
        <v>No Badges</v>
      </c>
      <c r="J8002" s="3">
        <f t="shared" si="5"/>
        <v>0</v>
      </c>
    </row>
    <row r="8003">
      <c r="A8003" s="1" t="s">
        <v>6099</v>
      </c>
      <c r="B8003" s="3" t="str">
        <f t="shared" si="1"/>
        <v>Unavailable</v>
      </c>
      <c r="C8003" s="3">
        <v>425.0</v>
      </c>
      <c r="D8003" s="3">
        <f>IFERROR(__xludf.DUMMYFUNCTION("IFERROR(
IF(REGEXMATCH(LOWER(O8003),""k""),
VALUE(REGEXEXTRACT(O8003,""[0-9]+""))*1000,
VALUE(REGEXEXTRACT(O8003,""[0-9]+""))
),
0
)"),0.0)</f>
        <v>0</v>
      </c>
      <c r="E8003" s="1" t="s">
        <v>11</v>
      </c>
      <c r="F8003" s="1" t="s">
        <v>20</v>
      </c>
      <c r="G8003" s="4" t="b">
        <f t="shared" si="2"/>
        <v>1</v>
      </c>
      <c r="H8003" s="1" t="str">
        <f t="shared" si="3"/>
        <v>Currently Unavailable</v>
      </c>
      <c r="I8003" s="1" t="str">
        <f t="shared" si="4"/>
        <v>No Badges</v>
      </c>
      <c r="J8003" s="3">
        <f t="shared" si="5"/>
        <v>0</v>
      </c>
    </row>
    <row r="8004">
      <c r="A8004" s="1" t="s">
        <v>6100</v>
      </c>
      <c r="B8004" s="3" t="str">
        <f t="shared" si="1"/>
        <v>Unavailable</v>
      </c>
      <c r="C8004" s="5">
        <v>2685.0</v>
      </c>
      <c r="D8004" s="3">
        <f>IFERROR(__xludf.DUMMYFUNCTION("IFERROR(
IF(REGEXMATCH(LOWER(O8004),""k""),
VALUE(REGEXEXTRACT(O8004,""[0-9]+""))*1000,
VALUE(REGEXEXTRACT(O8004,""[0-9]+""))
),
0
)"),0.0)</f>
        <v>0</v>
      </c>
      <c r="E8004" s="1" t="s">
        <v>11</v>
      </c>
      <c r="F8004" s="1" t="s">
        <v>20</v>
      </c>
      <c r="G8004" s="4" t="b">
        <f t="shared" si="2"/>
        <v>1</v>
      </c>
      <c r="H8004" s="1" t="str">
        <f t="shared" si="3"/>
        <v>Currently Unavailable</v>
      </c>
      <c r="I8004" s="1" t="str">
        <f t="shared" si="4"/>
        <v>No Badges</v>
      </c>
      <c r="J8004" s="3">
        <f t="shared" si="5"/>
        <v>0</v>
      </c>
    </row>
    <row r="8005">
      <c r="A8005" s="1" t="s">
        <v>6101</v>
      </c>
      <c r="B8005" s="3" t="str">
        <f t="shared" si="1"/>
        <v>Unavailable</v>
      </c>
      <c r="C8005" s="5">
        <v>4939.0</v>
      </c>
      <c r="D8005" s="3">
        <f>IFERROR(__xludf.DUMMYFUNCTION("IFERROR(
IF(REGEXMATCH(LOWER(O8005),""k""),
VALUE(REGEXEXTRACT(O8005,""[0-9]+""))*1000,
VALUE(REGEXEXTRACT(O8005,""[0-9]+""))
),
0
)"),0.0)</f>
        <v>0</v>
      </c>
      <c r="E8005" s="1" t="s">
        <v>11</v>
      </c>
      <c r="F8005" s="1" t="s">
        <v>20</v>
      </c>
      <c r="G8005" s="4" t="b">
        <f t="shared" si="2"/>
        <v>1</v>
      </c>
      <c r="H8005" s="1" t="str">
        <f t="shared" si="3"/>
        <v>Currently Unavailable</v>
      </c>
      <c r="I8005" s="1" t="str">
        <f t="shared" si="4"/>
        <v>No Badges</v>
      </c>
      <c r="J8005" s="3">
        <f t="shared" si="5"/>
        <v>0</v>
      </c>
    </row>
    <row r="8006">
      <c r="A8006" s="1" t="s">
        <v>5817</v>
      </c>
      <c r="B8006" s="3" t="str">
        <f t="shared" si="1"/>
        <v>Unavailable</v>
      </c>
      <c r="C8006" s="5">
        <v>7235.0</v>
      </c>
      <c r="D8006" s="3">
        <f>IFERROR(__xludf.DUMMYFUNCTION("IFERROR(
IF(REGEXMATCH(LOWER(O8006),""k""),
VALUE(REGEXEXTRACT(O8006,""[0-9]+""))*1000,
VALUE(REGEXEXTRACT(O8006,""[0-9]+""))
),
0
)"),0.0)</f>
        <v>0</v>
      </c>
      <c r="E8006" s="1" t="s">
        <v>11</v>
      </c>
      <c r="F8006" s="1" t="s">
        <v>12</v>
      </c>
      <c r="G8006" s="4" t="b">
        <f t="shared" si="2"/>
        <v>1</v>
      </c>
      <c r="H8006" s="1" t="str">
        <f t="shared" si="3"/>
        <v>Currently Unavailable</v>
      </c>
      <c r="I8006" s="1" t="str">
        <f t="shared" si="4"/>
        <v>No Badges</v>
      </c>
      <c r="J8006" s="3">
        <f t="shared" si="5"/>
        <v>0</v>
      </c>
    </row>
    <row r="8007">
      <c r="A8007" s="1" t="s">
        <v>88</v>
      </c>
      <c r="B8007" s="3" t="str">
        <f t="shared" si="1"/>
        <v>Unavailable</v>
      </c>
      <c r="C8007" s="3">
        <v>5.0</v>
      </c>
      <c r="D8007" s="3">
        <f>IFERROR(__xludf.DUMMYFUNCTION("IFERROR(
IF(REGEXMATCH(LOWER(O8007),""k""),
VALUE(REGEXEXTRACT(O8007,""[0-9]+""))*1000,
VALUE(REGEXEXTRACT(O8007,""[0-9]+""))
),
0
)"),0.0)</f>
        <v>0</v>
      </c>
      <c r="E8007" s="1" t="s">
        <v>11</v>
      </c>
      <c r="F8007" s="1" t="s">
        <v>12</v>
      </c>
      <c r="G8007" s="4" t="b">
        <f t="shared" si="2"/>
        <v>1</v>
      </c>
      <c r="H8007" s="1" t="str">
        <f t="shared" si="3"/>
        <v>Currently Unavailable</v>
      </c>
      <c r="I8007" s="1" t="str">
        <f t="shared" si="4"/>
        <v>No Badges</v>
      </c>
      <c r="J8007" s="3">
        <f t="shared" si="5"/>
        <v>0</v>
      </c>
    </row>
    <row r="8008">
      <c r="A8008" s="1" t="s">
        <v>40</v>
      </c>
      <c r="B8008" s="3" t="str">
        <f t="shared" si="1"/>
        <v>Unavailable</v>
      </c>
      <c r="C8008" s="3">
        <v>171.0</v>
      </c>
      <c r="D8008" s="3">
        <f>IFERROR(__xludf.DUMMYFUNCTION("IFERROR(
IF(REGEXMATCH(LOWER(O8008),""k""),
VALUE(REGEXEXTRACT(O8008,""[0-9]+""))*1000,
VALUE(REGEXEXTRACT(O8008,""[0-9]+""))
),
0
)"),0.0)</f>
        <v>0</v>
      </c>
      <c r="E8008" s="1" t="s">
        <v>11</v>
      </c>
      <c r="F8008" s="1" t="s">
        <v>12</v>
      </c>
      <c r="G8008" s="4" t="b">
        <f t="shared" si="2"/>
        <v>1</v>
      </c>
      <c r="H8008" s="1" t="str">
        <f t="shared" si="3"/>
        <v>Currently Unavailable</v>
      </c>
      <c r="I8008" s="1" t="str">
        <f t="shared" si="4"/>
        <v>No Badges</v>
      </c>
      <c r="J8008" s="3">
        <f t="shared" si="5"/>
        <v>0</v>
      </c>
    </row>
    <row r="8009">
      <c r="A8009" s="1" t="s">
        <v>6102</v>
      </c>
      <c r="B8009" s="3" t="str">
        <f t="shared" si="1"/>
        <v>Unavailable</v>
      </c>
      <c r="C8009" s="5">
        <v>1074.0</v>
      </c>
      <c r="D8009" s="3">
        <f>IFERROR(__xludf.DUMMYFUNCTION("IFERROR(
IF(REGEXMATCH(LOWER(O8009),""k""),
VALUE(REGEXEXTRACT(O8009,""[0-9]+""))*1000,
VALUE(REGEXEXTRACT(O8009,""[0-9]+""))
),
0
)"),0.0)</f>
        <v>0</v>
      </c>
      <c r="E8009" s="1" t="s">
        <v>11</v>
      </c>
      <c r="F8009" s="1" t="s">
        <v>20</v>
      </c>
      <c r="G8009" s="4" t="b">
        <f t="shared" si="2"/>
        <v>1</v>
      </c>
      <c r="H8009" s="1" t="str">
        <f t="shared" si="3"/>
        <v>Currently Unavailable</v>
      </c>
      <c r="I8009" s="1" t="str">
        <f t="shared" si="4"/>
        <v>No Badges</v>
      </c>
      <c r="J8009" s="3">
        <f t="shared" si="5"/>
        <v>0</v>
      </c>
    </row>
    <row r="8010">
      <c r="A8010" s="1" t="s">
        <v>6103</v>
      </c>
      <c r="B8010" s="3" t="str">
        <f t="shared" si="1"/>
        <v>Unavailable</v>
      </c>
      <c r="C8010" s="3">
        <v>39.0</v>
      </c>
      <c r="D8010" s="3">
        <f>IFERROR(__xludf.DUMMYFUNCTION("IFERROR(
IF(REGEXMATCH(LOWER(O8010),""k""),
VALUE(REGEXEXTRACT(O8010,""[0-9]+""))*1000,
VALUE(REGEXEXTRACT(O8010,""[0-9]+""))
),
0
)"),0.0)</f>
        <v>0</v>
      </c>
      <c r="E8010" s="1" t="s">
        <v>11</v>
      </c>
      <c r="F8010" s="1" t="s">
        <v>20</v>
      </c>
      <c r="G8010" s="4" t="b">
        <f t="shared" si="2"/>
        <v>1</v>
      </c>
      <c r="H8010" s="1" t="str">
        <f t="shared" si="3"/>
        <v>Currently Unavailable</v>
      </c>
      <c r="I8010" s="1" t="str">
        <f t="shared" si="4"/>
        <v>No Badges</v>
      </c>
      <c r="J8010" s="3">
        <f t="shared" si="5"/>
        <v>0</v>
      </c>
    </row>
    <row r="8011">
      <c r="A8011" s="1" t="s">
        <v>69</v>
      </c>
      <c r="B8011" s="3" t="str">
        <f t="shared" si="1"/>
        <v>Unavailable</v>
      </c>
      <c r="C8011" s="3">
        <v>45.0</v>
      </c>
      <c r="D8011" s="3">
        <f>IFERROR(__xludf.DUMMYFUNCTION("IFERROR(
IF(REGEXMATCH(LOWER(O8011),""k""),
VALUE(REGEXEXTRACT(O8011,""[0-9]+""))*1000,
VALUE(REGEXEXTRACT(O8011,""[0-9]+""))
),
0
)"),0.0)</f>
        <v>0</v>
      </c>
      <c r="E8011" s="1" t="s">
        <v>11</v>
      </c>
      <c r="F8011" s="1" t="s">
        <v>12</v>
      </c>
      <c r="G8011" s="4" t="b">
        <f t="shared" si="2"/>
        <v>1</v>
      </c>
      <c r="H8011" s="1" t="str">
        <f t="shared" si="3"/>
        <v>Currently Unavailable</v>
      </c>
      <c r="I8011" s="1" t="str">
        <f t="shared" si="4"/>
        <v>No Badges</v>
      </c>
      <c r="J8011" s="3">
        <f t="shared" si="5"/>
        <v>0</v>
      </c>
    </row>
    <row r="8012">
      <c r="A8012" s="1" t="s">
        <v>6104</v>
      </c>
      <c r="B8012" s="3" t="str">
        <f t="shared" si="1"/>
        <v>Unavailable</v>
      </c>
      <c r="C8012" s="3">
        <v>307.0</v>
      </c>
      <c r="D8012" s="3">
        <f>IFERROR(__xludf.DUMMYFUNCTION("IFERROR(
IF(REGEXMATCH(LOWER(O8012),""k""),
VALUE(REGEXEXTRACT(O8012,""[0-9]+""))*1000,
VALUE(REGEXEXTRACT(O8012,""[0-9]+""))
),
0
)"),0.0)</f>
        <v>0</v>
      </c>
      <c r="E8012" s="1" t="s">
        <v>11</v>
      </c>
      <c r="F8012" s="1" t="s">
        <v>20</v>
      </c>
      <c r="G8012" s="4" t="b">
        <f t="shared" si="2"/>
        <v>1</v>
      </c>
      <c r="H8012" s="1" t="str">
        <f t="shared" si="3"/>
        <v>Currently Unavailable</v>
      </c>
      <c r="I8012" s="1" t="str">
        <f t="shared" si="4"/>
        <v>No Badges</v>
      </c>
      <c r="J8012" s="3">
        <f t="shared" si="5"/>
        <v>0</v>
      </c>
    </row>
    <row r="8013">
      <c r="A8013" s="1" t="s">
        <v>6105</v>
      </c>
      <c r="B8013" s="3" t="str">
        <f t="shared" si="1"/>
        <v>Unavailable</v>
      </c>
      <c r="C8013" s="5">
        <v>5184.0</v>
      </c>
      <c r="D8013" s="3">
        <f>IFERROR(__xludf.DUMMYFUNCTION("IFERROR(
IF(REGEXMATCH(LOWER(O8013),""k""),
VALUE(REGEXEXTRACT(O8013,""[0-9]+""))*1000,
VALUE(REGEXEXTRACT(O8013,""[0-9]+""))
),
0
)"),0.0)</f>
        <v>0</v>
      </c>
      <c r="E8013" s="1" t="s">
        <v>11</v>
      </c>
      <c r="F8013" s="1" t="s">
        <v>20</v>
      </c>
      <c r="G8013" s="4" t="b">
        <f t="shared" si="2"/>
        <v>1</v>
      </c>
      <c r="H8013" s="1" t="str">
        <f t="shared" si="3"/>
        <v>Currently Unavailable</v>
      </c>
      <c r="I8013" s="1" t="str">
        <f t="shared" si="4"/>
        <v>No Badges</v>
      </c>
      <c r="J8013" s="3">
        <f t="shared" si="5"/>
        <v>0</v>
      </c>
    </row>
    <row r="8014">
      <c r="A8014" s="1" t="s">
        <v>6106</v>
      </c>
      <c r="B8014" s="3" t="str">
        <f t="shared" si="1"/>
        <v>Unavailable</v>
      </c>
      <c r="C8014" s="5">
        <v>5484.0</v>
      </c>
      <c r="D8014" s="3">
        <f>IFERROR(__xludf.DUMMYFUNCTION("IFERROR(
IF(REGEXMATCH(LOWER(O8014),""k""),
VALUE(REGEXEXTRACT(O8014,""[0-9]+""))*1000,
VALUE(REGEXEXTRACT(O8014,""[0-9]+""))
),
0
)"),0.0)</f>
        <v>0</v>
      </c>
      <c r="E8014" s="1" t="s">
        <v>11</v>
      </c>
      <c r="F8014" s="1" t="s">
        <v>20</v>
      </c>
      <c r="G8014" s="4" t="b">
        <f t="shared" si="2"/>
        <v>1</v>
      </c>
      <c r="H8014" s="1" t="str">
        <f t="shared" si="3"/>
        <v>Currently Unavailable</v>
      </c>
      <c r="I8014" s="1" t="str">
        <f t="shared" si="4"/>
        <v>No Badges</v>
      </c>
      <c r="J8014" s="3">
        <f t="shared" si="5"/>
        <v>0</v>
      </c>
    </row>
    <row r="8015">
      <c r="A8015" s="1" t="s">
        <v>6107</v>
      </c>
      <c r="B8015" s="3" t="str">
        <f t="shared" si="1"/>
        <v>Unavailable</v>
      </c>
      <c r="C8015" s="3">
        <v>54.0</v>
      </c>
      <c r="D8015" s="3">
        <f>IFERROR(__xludf.DUMMYFUNCTION("IFERROR(
IF(REGEXMATCH(LOWER(O8015),""k""),
VALUE(REGEXEXTRACT(O8015,""[0-9]+""))*1000,
VALUE(REGEXEXTRACT(O8015,""[0-9]+""))
),
0
)"),0.0)</f>
        <v>0</v>
      </c>
      <c r="E8015" s="1" t="s">
        <v>11</v>
      </c>
      <c r="F8015" s="1" t="s">
        <v>20</v>
      </c>
      <c r="G8015" s="4" t="b">
        <f t="shared" si="2"/>
        <v>1</v>
      </c>
      <c r="H8015" s="1" t="str">
        <f t="shared" si="3"/>
        <v>Currently Unavailable</v>
      </c>
      <c r="I8015" s="1" t="str">
        <f t="shared" si="4"/>
        <v>No Badges</v>
      </c>
      <c r="J8015" s="3">
        <f t="shared" si="5"/>
        <v>0</v>
      </c>
    </row>
    <row r="8016">
      <c r="A8016" s="1" t="s">
        <v>6108</v>
      </c>
      <c r="B8016" s="3" t="str">
        <f t="shared" si="1"/>
        <v>Unavailable</v>
      </c>
      <c r="C8016" s="5">
        <v>2727.0</v>
      </c>
      <c r="D8016" s="3">
        <f>IFERROR(__xludf.DUMMYFUNCTION("IFERROR(
IF(REGEXMATCH(LOWER(O8016),""k""),
VALUE(REGEXEXTRACT(O8016,""[0-9]+""))*1000,
VALUE(REGEXEXTRACT(O8016,""[0-9]+""))
),
0
)"),0.0)</f>
        <v>0</v>
      </c>
      <c r="E8016" s="1" t="s">
        <v>11</v>
      </c>
      <c r="F8016" s="1" t="s">
        <v>20</v>
      </c>
      <c r="G8016" s="4" t="b">
        <f t="shared" si="2"/>
        <v>1</v>
      </c>
      <c r="H8016" s="1" t="str">
        <f t="shared" si="3"/>
        <v>Currently Unavailable</v>
      </c>
      <c r="I8016" s="1" t="str">
        <f t="shared" si="4"/>
        <v>No Badges</v>
      </c>
      <c r="J8016" s="3">
        <f t="shared" si="5"/>
        <v>0</v>
      </c>
    </row>
    <row r="8017">
      <c r="A8017" s="1" t="s">
        <v>6109</v>
      </c>
      <c r="B8017" s="3" t="str">
        <f t="shared" si="1"/>
        <v>Unavailable</v>
      </c>
      <c r="C8017" s="3">
        <v>56.0</v>
      </c>
      <c r="D8017" s="3">
        <f>IFERROR(__xludf.DUMMYFUNCTION("IFERROR(
IF(REGEXMATCH(LOWER(O8017),""k""),
VALUE(REGEXEXTRACT(O8017,""[0-9]+""))*1000,
VALUE(REGEXEXTRACT(O8017,""[0-9]+""))
),
0
)"),0.0)</f>
        <v>0</v>
      </c>
      <c r="E8017" s="1" t="s">
        <v>11</v>
      </c>
      <c r="F8017" s="1" t="s">
        <v>20</v>
      </c>
      <c r="G8017" s="4" t="b">
        <f t="shared" si="2"/>
        <v>1</v>
      </c>
      <c r="H8017" s="1" t="str">
        <f t="shared" si="3"/>
        <v>Currently Unavailable</v>
      </c>
      <c r="I8017" s="1" t="str">
        <f t="shared" si="4"/>
        <v>No Badges</v>
      </c>
      <c r="J8017" s="3">
        <f t="shared" si="5"/>
        <v>0</v>
      </c>
    </row>
    <row r="8018">
      <c r="A8018" s="1" t="s">
        <v>5817</v>
      </c>
      <c r="B8018" s="3" t="str">
        <f t="shared" si="1"/>
        <v>Unavailable</v>
      </c>
      <c r="C8018" s="5">
        <v>7235.0</v>
      </c>
      <c r="D8018" s="3">
        <f>IFERROR(__xludf.DUMMYFUNCTION("IFERROR(
IF(REGEXMATCH(LOWER(O8018),""k""),
VALUE(REGEXEXTRACT(O8018,""[0-9]+""))*1000,
VALUE(REGEXEXTRACT(O8018,""[0-9]+""))
),
0
)"),0.0)</f>
        <v>0</v>
      </c>
      <c r="E8018" s="1" t="s">
        <v>11</v>
      </c>
      <c r="F8018" s="1" t="s">
        <v>12</v>
      </c>
      <c r="G8018" s="4" t="b">
        <f t="shared" si="2"/>
        <v>1</v>
      </c>
      <c r="H8018" s="1" t="str">
        <f t="shared" si="3"/>
        <v>Currently Unavailable</v>
      </c>
      <c r="I8018" s="1" t="str">
        <f t="shared" si="4"/>
        <v>No Badges</v>
      </c>
      <c r="J8018" s="3">
        <f t="shared" si="5"/>
        <v>0</v>
      </c>
    </row>
    <row r="8019">
      <c r="A8019" s="1" t="s">
        <v>6110</v>
      </c>
      <c r="B8019" s="3" t="str">
        <f t="shared" si="1"/>
        <v>Unavailable</v>
      </c>
      <c r="C8019" s="3">
        <v>7.0</v>
      </c>
      <c r="D8019" s="3">
        <f>IFERROR(__xludf.DUMMYFUNCTION("IFERROR(
IF(REGEXMATCH(LOWER(O8019),""k""),
VALUE(REGEXEXTRACT(O8019,""[0-9]+""))*1000,
VALUE(REGEXEXTRACT(O8019,""[0-9]+""))
),
0
)"),0.0)</f>
        <v>0</v>
      </c>
      <c r="E8019" s="1" t="s">
        <v>11</v>
      </c>
      <c r="F8019" s="1" t="s">
        <v>20</v>
      </c>
      <c r="G8019" s="4" t="b">
        <f t="shared" si="2"/>
        <v>1</v>
      </c>
      <c r="H8019" s="1" t="str">
        <f t="shared" si="3"/>
        <v>Currently Unavailable</v>
      </c>
      <c r="I8019" s="1" t="str">
        <f t="shared" si="4"/>
        <v>No Badges</v>
      </c>
      <c r="J8019" s="3">
        <f t="shared" si="5"/>
        <v>0</v>
      </c>
    </row>
    <row r="8020">
      <c r="A8020" s="1" t="s">
        <v>6111</v>
      </c>
      <c r="B8020" s="3" t="str">
        <f t="shared" si="1"/>
        <v>Unavailable</v>
      </c>
      <c r="C8020" s="3">
        <v>559.0</v>
      </c>
      <c r="D8020" s="3">
        <f>IFERROR(__xludf.DUMMYFUNCTION("IFERROR(
IF(REGEXMATCH(LOWER(O8020),""k""),
VALUE(REGEXEXTRACT(O8020,""[0-9]+""))*1000,
VALUE(REGEXEXTRACT(O8020,""[0-9]+""))
),
0
)"),0.0)</f>
        <v>0</v>
      </c>
      <c r="E8020" s="1" t="s">
        <v>11</v>
      </c>
      <c r="F8020" s="1" t="s">
        <v>20</v>
      </c>
      <c r="G8020" s="4" t="b">
        <f t="shared" si="2"/>
        <v>1</v>
      </c>
      <c r="H8020" s="1" t="str">
        <f t="shared" si="3"/>
        <v>Currently Unavailable</v>
      </c>
      <c r="I8020" s="1" t="str">
        <f t="shared" si="4"/>
        <v>No Badges</v>
      </c>
      <c r="J8020" s="3">
        <f t="shared" si="5"/>
        <v>0</v>
      </c>
    </row>
    <row r="8021">
      <c r="A8021" s="1" t="s">
        <v>6112</v>
      </c>
      <c r="B8021" s="3" t="str">
        <f t="shared" si="1"/>
        <v>Unavailable</v>
      </c>
      <c r="C8021" s="3">
        <v>169.0</v>
      </c>
      <c r="D8021" s="3">
        <f>IFERROR(__xludf.DUMMYFUNCTION("IFERROR(
IF(REGEXMATCH(LOWER(O8021),""k""),
VALUE(REGEXEXTRACT(O8021,""[0-9]+""))*1000,
VALUE(REGEXEXTRACT(O8021,""[0-9]+""))
),
0
)"),0.0)</f>
        <v>0</v>
      </c>
      <c r="E8021" s="1" t="s">
        <v>11</v>
      </c>
      <c r="F8021" s="1" t="s">
        <v>20</v>
      </c>
      <c r="G8021" s="4" t="b">
        <f t="shared" si="2"/>
        <v>1</v>
      </c>
      <c r="H8021" s="1" t="str">
        <f t="shared" si="3"/>
        <v>Currently Unavailable</v>
      </c>
      <c r="I8021" s="1" t="str">
        <f t="shared" si="4"/>
        <v>No Badges</v>
      </c>
      <c r="J8021" s="3">
        <f t="shared" si="5"/>
        <v>0</v>
      </c>
    </row>
    <row r="8022">
      <c r="A8022" s="1" t="s">
        <v>6113</v>
      </c>
      <c r="B8022" s="3" t="str">
        <f t="shared" si="1"/>
        <v>Unavailable</v>
      </c>
      <c r="C8022" s="5">
        <v>10736.0</v>
      </c>
      <c r="D8022" s="3">
        <f>IFERROR(__xludf.DUMMYFUNCTION("IFERROR(
IF(REGEXMATCH(LOWER(O8022),""k""),
VALUE(REGEXEXTRACT(O8022,""[0-9]+""))*1000,
VALUE(REGEXEXTRACT(O8022,""[0-9]+""))
),
0
)"),0.0)</f>
        <v>0</v>
      </c>
      <c r="E8022" s="1" t="s">
        <v>11</v>
      </c>
      <c r="F8022" s="1" t="s">
        <v>20</v>
      </c>
      <c r="G8022" s="4" t="b">
        <f t="shared" si="2"/>
        <v>1</v>
      </c>
      <c r="H8022" s="1" t="str">
        <f t="shared" si="3"/>
        <v>Currently Unavailable</v>
      </c>
      <c r="I8022" s="1" t="str">
        <f t="shared" si="4"/>
        <v>No Badges</v>
      </c>
      <c r="J8022" s="3">
        <f t="shared" si="5"/>
        <v>0</v>
      </c>
    </row>
    <row r="8023">
      <c r="A8023" s="1" t="s">
        <v>6114</v>
      </c>
      <c r="B8023" s="3" t="str">
        <f t="shared" si="1"/>
        <v>Unavailable</v>
      </c>
      <c r="C8023" s="5">
        <v>1594.0</v>
      </c>
      <c r="D8023" s="3">
        <f>IFERROR(__xludf.DUMMYFUNCTION("IFERROR(
IF(REGEXMATCH(LOWER(O8023),""k""),
VALUE(REGEXEXTRACT(O8023,""[0-9]+""))*1000,
VALUE(REGEXEXTRACT(O8023,""[0-9]+""))
),
0
)"),0.0)</f>
        <v>0</v>
      </c>
      <c r="E8023" s="1" t="s">
        <v>11</v>
      </c>
      <c r="F8023" s="1" t="s">
        <v>20</v>
      </c>
      <c r="G8023" s="4" t="b">
        <f t="shared" si="2"/>
        <v>1</v>
      </c>
      <c r="H8023" s="1" t="str">
        <f t="shared" si="3"/>
        <v>Currently Unavailable</v>
      </c>
      <c r="I8023" s="1" t="str">
        <f t="shared" si="4"/>
        <v>No Badges</v>
      </c>
      <c r="J8023" s="3">
        <f t="shared" si="5"/>
        <v>0</v>
      </c>
    </row>
    <row r="8024">
      <c r="A8024" s="1" t="s">
        <v>67</v>
      </c>
      <c r="B8024" s="3" t="str">
        <f t="shared" si="1"/>
        <v>Unavailable</v>
      </c>
      <c r="C8024" s="3">
        <v>264.0</v>
      </c>
      <c r="D8024" s="3">
        <f>IFERROR(__xludf.DUMMYFUNCTION("IFERROR(
IF(REGEXMATCH(LOWER(O8024),""k""),
VALUE(REGEXEXTRACT(O8024,""[0-9]+""))*1000,
VALUE(REGEXEXTRACT(O8024,""[0-9]+""))
),
0
)"),0.0)</f>
        <v>0</v>
      </c>
      <c r="E8024" s="1" t="s">
        <v>11</v>
      </c>
      <c r="F8024" s="1" t="s">
        <v>12</v>
      </c>
      <c r="G8024" s="4" t="b">
        <f t="shared" si="2"/>
        <v>1</v>
      </c>
      <c r="H8024" s="1" t="str">
        <f t="shared" si="3"/>
        <v>Currently Unavailable</v>
      </c>
      <c r="I8024" s="1" t="str">
        <f t="shared" si="4"/>
        <v>No Badges</v>
      </c>
      <c r="J8024" s="3">
        <f t="shared" si="5"/>
        <v>0</v>
      </c>
    </row>
    <row r="8025">
      <c r="A8025" s="1" t="s">
        <v>6115</v>
      </c>
      <c r="B8025" s="3" t="str">
        <f t="shared" si="1"/>
        <v>Unavailable</v>
      </c>
      <c r="C8025" s="5">
        <v>1033.0</v>
      </c>
      <c r="D8025" s="3">
        <f>IFERROR(__xludf.DUMMYFUNCTION("IFERROR(
IF(REGEXMATCH(LOWER(O8025),""k""),
VALUE(REGEXEXTRACT(O8025,""[0-9]+""))*1000,
VALUE(REGEXEXTRACT(O8025,""[0-9]+""))
),
0
)"),0.0)</f>
        <v>0</v>
      </c>
      <c r="E8025" s="1" t="s">
        <v>11</v>
      </c>
      <c r="F8025" s="1" t="s">
        <v>20</v>
      </c>
      <c r="G8025" s="4" t="b">
        <f t="shared" si="2"/>
        <v>1</v>
      </c>
      <c r="H8025" s="1" t="str">
        <f t="shared" si="3"/>
        <v>Currently Unavailable</v>
      </c>
      <c r="I8025" s="1" t="str">
        <f t="shared" si="4"/>
        <v>No Badges</v>
      </c>
      <c r="J8025" s="3">
        <f t="shared" si="5"/>
        <v>0</v>
      </c>
    </row>
    <row r="8026">
      <c r="A8026" s="1" t="s">
        <v>701</v>
      </c>
      <c r="B8026" s="3" t="str">
        <f t="shared" si="1"/>
        <v>Unavailable</v>
      </c>
      <c r="C8026" s="3">
        <v>8.0</v>
      </c>
      <c r="D8026" s="3">
        <f>IFERROR(__xludf.DUMMYFUNCTION("IFERROR(
IF(REGEXMATCH(LOWER(O8026),""k""),
VALUE(REGEXEXTRACT(O8026,""[0-9]+""))*1000,
VALUE(REGEXEXTRACT(O8026,""[0-9]+""))
),
0
)"),0.0)</f>
        <v>0</v>
      </c>
      <c r="E8026" s="1" t="s">
        <v>11</v>
      </c>
      <c r="F8026" s="1" t="s">
        <v>12</v>
      </c>
      <c r="G8026" s="4" t="b">
        <f t="shared" si="2"/>
        <v>1</v>
      </c>
      <c r="H8026" s="1" t="str">
        <f t="shared" si="3"/>
        <v>Currently Unavailable</v>
      </c>
      <c r="I8026" s="1" t="str">
        <f t="shared" si="4"/>
        <v>No Badges</v>
      </c>
      <c r="J8026" s="3">
        <f t="shared" si="5"/>
        <v>0</v>
      </c>
    </row>
    <row r="8027">
      <c r="A8027" s="1" t="s">
        <v>6116</v>
      </c>
      <c r="B8027" s="3" t="str">
        <f t="shared" si="1"/>
        <v>Unavailable</v>
      </c>
      <c r="C8027" s="3">
        <v>975.0</v>
      </c>
      <c r="D8027" s="3">
        <f>IFERROR(__xludf.DUMMYFUNCTION("IFERROR(
IF(REGEXMATCH(LOWER(O8027),""k""),
VALUE(REGEXEXTRACT(O8027,""[0-9]+""))*1000,
VALUE(REGEXEXTRACT(O8027,""[0-9]+""))
),
0
)"),0.0)</f>
        <v>0</v>
      </c>
      <c r="E8027" s="1" t="s">
        <v>11</v>
      </c>
      <c r="F8027" s="1" t="s">
        <v>20</v>
      </c>
      <c r="G8027" s="4" t="b">
        <f t="shared" si="2"/>
        <v>1</v>
      </c>
      <c r="H8027" s="1" t="str">
        <f t="shared" si="3"/>
        <v>Currently Unavailable</v>
      </c>
      <c r="I8027" s="1" t="str">
        <f t="shared" si="4"/>
        <v>No Badges</v>
      </c>
      <c r="J8027" s="3">
        <f t="shared" si="5"/>
        <v>0</v>
      </c>
    </row>
    <row r="8028">
      <c r="A8028" s="1" t="s">
        <v>6117</v>
      </c>
      <c r="B8028" s="3" t="str">
        <f t="shared" si="1"/>
        <v>Unavailable</v>
      </c>
      <c r="C8028" s="3">
        <v>12.0</v>
      </c>
      <c r="D8028" s="3">
        <f>IFERROR(__xludf.DUMMYFUNCTION("IFERROR(
IF(REGEXMATCH(LOWER(O8028),""k""),
VALUE(REGEXEXTRACT(O8028,""[0-9]+""))*1000,
VALUE(REGEXEXTRACT(O8028,""[0-9]+""))
),
0
)"),0.0)</f>
        <v>0</v>
      </c>
      <c r="E8028" s="1" t="s">
        <v>11</v>
      </c>
      <c r="F8028" s="1" t="s">
        <v>20</v>
      </c>
      <c r="G8028" s="4" t="b">
        <f t="shared" si="2"/>
        <v>1</v>
      </c>
      <c r="H8028" s="1" t="str">
        <f t="shared" si="3"/>
        <v>Currently Unavailable</v>
      </c>
      <c r="I8028" s="1" t="str">
        <f t="shared" si="4"/>
        <v>No Badges</v>
      </c>
      <c r="J8028" s="6">
        <f t="shared" si="5"/>
        <v>0</v>
      </c>
    </row>
    <row r="8029">
      <c r="A8029" s="1" t="s">
        <v>6118</v>
      </c>
      <c r="B8029" s="3" t="str">
        <f t="shared" si="1"/>
        <v>Unavailable</v>
      </c>
      <c r="C8029" s="3">
        <v>262.0</v>
      </c>
      <c r="D8029" s="3">
        <f>IFERROR(__xludf.DUMMYFUNCTION("IFERROR(
IF(REGEXMATCH(LOWER(O8029),""k""),
VALUE(REGEXEXTRACT(O8029,""[0-9]+""))*1000,
VALUE(REGEXEXTRACT(O8029,""[0-9]+""))
),
0
)"),0.0)</f>
        <v>0</v>
      </c>
      <c r="E8029" s="1" t="s">
        <v>11</v>
      </c>
      <c r="F8029" s="1" t="s">
        <v>20</v>
      </c>
      <c r="G8029" s="4" t="b">
        <f t="shared" si="2"/>
        <v>1</v>
      </c>
      <c r="H8029" s="1" t="str">
        <f t="shared" si="3"/>
        <v>Currently Unavailable</v>
      </c>
      <c r="I8029" s="1" t="str">
        <f t="shared" si="4"/>
        <v>No Badges</v>
      </c>
      <c r="J8029" s="3">
        <f t="shared" si="5"/>
        <v>0</v>
      </c>
    </row>
    <row r="8030">
      <c r="A8030" s="1" t="s">
        <v>6119</v>
      </c>
      <c r="B8030" s="3" t="str">
        <f t="shared" si="1"/>
        <v>Unavailable</v>
      </c>
      <c r="C8030" s="3">
        <v>381.0</v>
      </c>
      <c r="D8030" s="3">
        <f>IFERROR(__xludf.DUMMYFUNCTION("IFERROR(
IF(REGEXMATCH(LOWER(O8030),""k""),
VALUE(REGEXEXTRACT(O8030,""[0-9]+""))*1000,
VALUE(REGEXEXTRACT(O8030,""[0-9]+""))
),
0
)"),0.0)</f>
        <v>0</v>
      </c>
      <c r="E8030" s="1" t="s">
        <v>11</v>
      </c>
      <c r="F8030" s="1" t="s">
        <v>20</v>
      </c>
      <c r="G8030" s="4" t="b">
        <f t="shared" si="2"/>
        <v>1</v>
      </c>
      <c r="H8030" s="1" t="str">
        <f t="shared" si="3"/>
        <v>Currently Unavailable</v>
      </c>
      <c r="I8030" s="1" t="str">
        <f t="shared" si="4"/>
        <v>No Badges</v>
      </c>
      <c r="J8030" s="3">
        <f t="shared" si="5"/>
        <v>0</v>
      </c>
    </row>
    <row r="8031">
      <c r="A8031" s="1" t="s">
        <v>6120</v>
      </c>
      <c r="B8031" s="3" t="str">
        <f t="shared" si="1"/>
        <v>Unavailable</v>
      </c>
      <c r="C8031" s="5">
        <v>2184.0</v>
      </c>
      <c r="D8031" s="3">
        <f>IFERROR(__xludf.DUMMYFUNCTION("IFERROR(
IF(REGEXMATCH(LOWER(O8031),""k""),
VALUE(REGEXEXTRACT(O8031,""[0-9]+""))*1000,
VALUE(REGEXEXTRACT(O8031,""[0-9]+""))
),
0
)"),0.0)</f>
        <v>0</v>
      </c>
      <c r="E8031" s="1" t="s">
        <v>11</v>
      </c>
      <c r="F8031" s="1" t="s">
        <v>20</v>
      </c>
      <c r="G8031" s="4" t="b">
        <f t="shared" si="2"/>
        <v>1</v>
      </c>
      <c r="H8031" s="1" t="str">
        <f t="shared" si="3"/>
        <v>Currently Unavailable</v>
      </c>
      <c r="I8031" s="1" t="str">
        <f t="shared" si="4"/>
        <v>No Badges</v>
      </c>
      <c r="J8031" s="3">
        <f t="shared" si="5"/>
        <v>0</v>
      </c>
    </row>
    <row r="8032">
      <c r="A8032" s="1" t="s">
        <v>6121</v>
      </c>
      <c r="B8032" s="3" t="str">
        <f t="shared" si="1"/>
        <v>Unavailable</v>
      </c>
      <c r="C8032" s="5">
        <v>69864.0</v>
      </c>
      <c r="D8032" s="3">
        <f>IFERROR(__xludf.DUMMYFUNCTION("IFERROR(
IF(REGEXMATCH(LOWER(O8032),""k""),
VALUE(REGEXEXTRACT(O8032,""[0-9]+""))*1000,
VALUE(REGEXEXTRACT(O8032,""[0-9]+""))
),
0
)"),0.0)</f>
        <v>0</v>
      </c>
      <c r="E8032" s="1" t="s">
        <v>11</v>
      </c>
      <c r="F8032" s="1" t="s">
        <v>20</v>
      </c>
      <c r="G8032" s="4" t="b">
        <f t="shared" si="2"/>
        <v>1</v>
      </c>
      <c r="H8032" s="1" t="str">
        <f t="shared" si="3"/>
        <v>Currently Unavailable</v>
      </c>
      <c r="I8032" s="1" t="str">
        <f t="shared" si="4"/>
        <v>No Badges</v>
      </c>
      <c r="J8032" s="3">
        <f t="shared" si="5"/>
        <v>0</v>
      </c>
    </row>
    <row r="8033">
      <c r="A8033" s="1" t="s">
        <v>6122</v>
      </c>
      <c r="B8033" s="3" t="str">
        <f t="shared" si="1"/>
        <v>Unavailable</v>
      </c>
      <c r="C8033" s="3">
        <v>216.0</v>
      </c>
      <c r="D8033" s="3">
        <f>IFERROR(__xludf.DUMMYFUNCTION("IFERROR(
IF(REGEXMATCH(LOWER(O8033),""k""),
VALUE(REGEXEXTRACT(O8033,""[0-9]+""))*1000,
VALUE(REGEXEXTRACT(O8033,""[0-9]+""))
),
0
)"),0.0)</f>
        <v>0</v>
      </c>
      <c r="E8033" s="1" t="s">
        <v>11</v>
      </c>
      <c r="F8033" s="1" t="s">
        <v>20</v>
      </c>
      <c r="G8033" s="4" t="b">
        <f t="shared" si="2"/>
        <v>1</v>
      </c>
      <c r="H8033" s="1" t="str">
        <f t="shared" si="3"/>
        <v>Currently Unavailable</v>
      </c>
      <c r="I8033" s="1" t="str">
        <f t="shared" si="4"/>
        <v>No Badges</v>
      </c>
      <c r="J8033" s="3">
        <f t="shared" si="5"/>
        <v>0</v>
      </c>
    </row>
    <row r="8034">
      <c r="A8034" s="1" t="s">
        <v>6123</v>
      </c>
      <c r="B8034" s="3" t="str">
        <f t="shared" si="1"/>
        <v>Unavailable</v>
      </c>
      <c r="C8034" s="3">
        <v>200.0</v>
      </c>
      <c r="D8034" s="3">
        <f>IFERROR(__xludf.DUMMYFUNCTION("IFERROR(
IF(REGEXMATCH(LOWER(O8034),""k""),
VALUE(REGEXEXTRACT(O8034,""[0-9]+""))*1000,
VALUE(REGEXEXTRACT(O8034,""[0-9]+""))
),
0
)"),0.0)</f>
        <v>0</v>
      </c>
      <c r="E8034" s="1" t="s">
        <v>11</v>
      </c>
      <c r="F8034" s="1" t="s">
        <v>20</v>
      </c>
      <c r="G8034" s="4" t="b">
        <f t="shared" si="2"/>
        <v>1</v>
      </c>
      <c r="H8034" s="1" t="str">
        <f t="shared" si="3"/>
        <v>Currently Unavailable</v>
      </c>
      <c r="I8034" s="1" t="str">
        <f t="shared" si="4"/>
        <v>No Badges</v>
      </c>
      <c r="J8034" s="3">
        <f t="shared" si="5"/>
        <v>0</v>
      </c>
    </row>
    <row r="8035">
      <c r="A8035" s="1" t="s">
        <v>6124</v>
      </c>
      <c r="B8035" s="3" t="str">
        <f t="shared" si="1"/>
        <v>Unavailable</v>
      </c>
      <c r="C8035" s="5">
        <v>16221.0</v>
      </c>
      <c r="D8035" s="3">
        <f>IFERROR(__xludf.DUMMYFUNCTION("IFERROR(
IF(REGEXMATCH(LOWER(O8035),""k""),
VALUE(REGEXEXTRACT(O8035,""[0-9]+""))*1000,
VALUE(REGEXEXTRACT(O8035,""[0-9]+""))
),
0
)"),0.0)</f>
        <v>0</v>
      </c>
      <c r="E8035" s="1" t="s">
        <v>11</v>
      </c>
      <c r="F8035" s="1" t="s">
        <v>20</v>
      </c>
      <c r="G8035" s="4" t="b">
        <f t="shared" si="2"/>
        <v>1</v>
      </c>
      <c r="H8035" s="1" t="str">
        <f t="shared" si="3"/>
        <v>Currently Unavailable</v>
      </c>
      <c r="I8035" s="1" t="str">
        <f t="shared" si="4"/>
        <v>No Badges</v>
      </c>
      <c r="J8035" s="3">
        <f t="shared" si="5"/>
        <v>0</v>
      </c>
    </row>
    <row r="8036">
      <c r="A8036" s="1" t="s">
        <v>6125</v>
      </c>
      <c r="B8036" s="3" t="str">
        <f t="shared" si="1"/>
        <v>Unavailable</v>
      </c>
      <c r="C8036" s="5">
        <v>2790.0</v>
      </c>
      <c r="D8036" s="3">
        <f>IFERROR(__xludf.DUMMYFUNCTION("IFERROR(
IF(REGEXMATCH(LOWER(O8036),""k""),
VALUE(REGEXEXTRACT(O8036,""[0-9]+""))*1000,
VALUE(REGEXEXTRACT(O8036,""[0-9]+""))
),
0
)"),0.0)</f>
        <v>0</v>
      </c>
      <c r="E8036" s="1" t="s">
        <v>11</v>
      </c>
      <c r="F8036" s="1" t="s">
        <v>20</v>
      </c>
      <c r="G8036" s="4" t="b">
        <f t="shared" si="2"/>
        <v>1</v>
      </c>
      <c r="H8036" s="1" t="str">
        <f t="shared" si="3"/>
        <v>Currently Unavailable</v>
      </c>
      <c r="I8036" s="1" t="str">
        <f t="shared" si="4"/>
        <v>No Badges</v>
      </c>
      <c r="J8036" s="3">
        <f t="shared" si="5"/>
        <v>0</v>
      </c>
    </row>
    <row r="8037">
      <c r="A8037" s="1" t="s">
        <v>5817</v>
      </c>
      <c r="B8037" s="3" t="str">
        <f t="shared" si="1"/>
        <v>Unavailable</v>
      </c>
      <c r="C8037" s="5">
        <v>7235.0</v>
      </c>
      <c r="D8037" s="3">
        <f>IFERROR(__xludf.DUMMYFUNCTION("IFERROR(
IF(REGEXMATCH(LOWER(O8037),""k""),
VALUE(REGEXEXTRACT(O8037,""[0-9]+""))*1000,
VALUE(REGEXEXTRACT(O8037,""[0-9]+""))
),
0
)"),0.0)</f>
        <v>0</v>
      </c>
      <c r="E8037" s="1" t="s">
        <v>11</v>
      </c>
      <c r="F8037" s="1" t="s">
        <v>12</v>
      </c>
      <c r="G8037" s="4" t="b">
        <f t="shared" si="2"/>
        <v>1</v>
      </c>
      <c r="H8037" s="1" t="str">
        <f t="shared" si="3"/>
        <v>Currently Unavailable</v>
      </c>
      <c r="I8037" s="1" t="str">
        <f t="shared" si="4"/>
        <v>No Badges</v>
      </c>
      <c r="J8037" s="3">
        <f t="shared" si="5"/>
        <v>0</v>
      </c>
    </row>
    <row r="8038">
      <c r="A8038" s="1" t="s">
        <v>6126</v>
      </c>
      <c r="B8038" s="3" t="str">
        <f t="shared" si="1"/>
        <v>Unavailable</v>
      </c>
      <c r="C8038" s="3">
        <v>674.0</v>
      </c>
      <c r="D8038" s="3">
        <f>IFERROR(__xludf.DUMMYFUNCTION("IFERROR(
IF(REGEXMATCH(LOWER(O8038),""k""),
VALUE(REGEXEXTRACT(O8038,""[0-9]+""))*1000,
VALUE(REGEXEXTRACT(O8038,""[0-9]+""))
),
0
)"),0.0)</f>
        <v>0</v>
      </c>
      <c r="E8038" s="1" t="s">
        <v>11</v>
      </c>
      <c r="F8038" s="1" t="s">
        <v>20</v>
      </c>
      <c r="G8038" s="4" t="b">
        <f t="shared" si="2"/>
        <v>1</v>
      </c>
      <c r="H8038" s="1" t="str">
        <f t="shared" si="3"/>
        <v>Currently Unavailable</v>
      </c>
      <c r="I8038" s="1" t="str">
        <f t="shared" si="4"/>
        <v>No Badges</v>
      </c>
      <c r="J8038" s="3">
        <f t="shared" si="5"/>
        <v>0</v>
      </c>
    </row>
    <row r="8039">
      <c r="A8039" s="1" t="s">
        <v>6127</v>
      </c>
      <c r="B8039" s="3" t="str">
        <f t="shared" si="1"/>
        <v>Unavailable</v>
      </c>
      <c r="C8039" s="5">
        <v>1822.0</v>
      </c>
      <c r="D8039" s="3">
        <f>IFERROR(__xludf.DUMMYFUNCTION("IFERROR(
IF(REGEXMATCH(LOWER(O8039),""k""),
VALUE(REGEXEXTRACT(O8039,""[0-9]+""))*1000,
VALUE(REGEXEXTRACT(O8039,""[0-9]+""))
),
0
)"),0.0)</f>
        <v>0</v>
      </c>
      <c r="E8039" s="1" t="s">
        <v>11</v>
      </c>
      <c r="F8039" s="1" t="s">
        <v>20</v>
      </c>
      <c r="G8039" s="4" t="b">
        <f t="shared" si="2"/>
        <v>1</v>
      </c>
      <c r="H8039" s="1" t="str">
        <f t="shared" si="3"/>
        <v>Currently Unavailable</v>
      </c>
      <c r="I8039" s="1" t="str">
        <f t="shared" si="4"/>
        <v>No Badges</v>
      </c>
      <c r="J8039" s="3">
        <f t="shared" si="5"/>
        <v>0</v>
      </c>
    </row>
    <row r="8040">
      <c r="A8040" s="1" t="s">
        <v>88</v>
      </c>
      <c r="B8040" s="3" t="str">
        <f t="shared" si="1"/>
        <v>Unavailable</v>
      </c>
      <c r="C8040" s="3">
        <v>5.0</v>
      </c>
      <c r="D8040" s="3">
        <f>IFERROR(__xludf.DUMMYFUNCTION("IFERROR(
IF(REGEXMATCH(LOWER(O8040),""k""),
VALUE(REGEXEXTRACT(O8040,""[0-9]+""))*1000,
VALUE(REGEXEXTRACT(O8040,""[0-9]+""))
),
0
)"),0.0)</f>
        <v>0</v>
      </c>
      <c r="E8040" s="1" t="s">
        <v>11</v>
      </c>
      <c r="F8040" s="1" t="s">
        <v>12</v>
      </c>
      <c r="G8040" s="4" t="b">
        <f t="shared" si="2"/>
        <v>1</v>
      </c>
      <c r="H8040" s="1" t="str">
        <f t="shared" si="3"/>
        <v>Currently Unavailable</v>
      </c>
      <c r="I8040" s="1" t="str">
        <f t="shared" si="4"/>
        <v>No Badges</v>
      </c>
      <c r="J8040" s="3">
        <f t="shared" si="5"/>
        <v>0</v>
      </c>
    </row>
    <row r="8041">
      <c r="A8041" s="1" t="s">
        <v>40</v>
      </c>
      <c r="B8041" s="3" t="str">
        <f t="shared" si="1"/>
        <v>Unavailable</v>
      </c>
      <c r="C8041" s="3">
        <v>171.0</v>
      </c>
      <c r="D8041" s="3">
        <f>IFERROR(__xludf.DUMMYFUNCTION("IFERROR(
IF(REGEXMATCH(LOWER(O8041),""k""),
VALUE(REGEXEXTRACT(O8041,""[0-9]+""))*1000,
VALUE(REGEXEXTRACT(O8041,""[0-9]+""))
),
0
)"),0.0)</f>
        <v>0</v>
      </c>
      <c r="E8041" s="1" t="s">
        <v>11</v>
      </c>
      <c r="F8041" s="1" t="s">
        <v>12</v>
      </c>
      <c r="G8041" s="4" t="b">
        <f t="shared" si="2"/>
        <v>1</v>
      </c>
      <c r="H8041" s="1" t="str">
        <f t="shared" si="3"/>
        <v>Currently Unavailable</v>
      </c>
      <c r="I8041" s="1" t="str">
        <f t="shared" si="4"/>
        <v>No Badges</v>
      </c>
      <c r="J8041" s="3">
        <f t="shared" si="5"/>
        <v>0</v>
      </c>
    </row>
    <row r="8042">
      <c r="A8042" s="1" t="s">
        <v>6128</v>
      </c>
      <c r="B8042" s="3" t="str">
        <f t="shared" si="1"/>
        <v>Unavailable</v>
      </c>
      <c r="C8042" s="5">
        <v>6091.0</v>
      </c>
      <c r="D8042" s="3">
        <f>IFERROR(__xludf.DUMMYFUNCTION("IFERROR(
IF(REGEXMATCH(LOWER(O8042),""k""),
VALUE(REGEXEXTRACT(O8042,""[0-9]+""))*1000,
VALUE(REGEXEXTRACT(O8042,""[0-9]+""))
),
0
)"),0.0)</f>
        <v>0</v>
      </c>
      <c r="E8042" s="1" t="s">
        <v>11</v>
      </c>
      <c r="F8042" s="1" t="s">
        <v>20</v>
      </c>
      <c r="G8042" s="4" t="b">
        <f t="shared" si="2"/>
        <v>1</v>
      </c>
      <c r="H8042" s="1" t="str">
        <f t="shared" si="3"/>
        <v>Currently Unavailable</v>
      </c>
      <c r="I8042" s="1" t="str">
        <f t="shared" si="4"/>
        <v>No Badges</v>
      </c>
      <c r="J8042" s="3">
        <f t="shared" si="5"/>
        <v>0</v>
      </c>
    </row>
    <row r="8043">
      <c r="A8043" s="1" t="s">
        <v>6129</v>
      </c>
      <c r="B8043" s="3" t="str">
        <f t="shared" si="1"/>
        <v>Unavailable</v>
      </c>
      <c r="C8043" s="3">
        <v>527.0</v>
      </c>
      <c r="D8043" s="3">
        <f>IFERROR(__xludf.DUMMYFUNCTION("IFERROR(
IF(REGEXMATCH(LOWER(O8043),""k""),
VALUE(REGEXEXTRACT(O8043,""[0-9]+""))*1000,
VALUE(REGEXEXTRACT(O8043,""[0-9]+""))
),
0
)"),0.0)</f>
        <v>0</v>
      </c>
      <c r="E8043" s="1" t="s">
        <v>11</v>
      </c>
      <c r="F8043" s="1" t="s">
        <v>20</v>
      </c>
      <c r="G8043" s="4" t="b">
        <f t="shared" si="2"/>
        <v>1</v>
      </c>
      <c r="H8043" s="1" t="str">
        <f t="shared" si="3"/>
        <v>Currently Unavailable</v>
      </c>
      <c r="I8043" s="1" t="str">
        <f t="shared" si="4"/>
        <v>No Badges</v>
      </c>
      <c r="J8043" s="3">
        <f t="shared" si="5"/>
        <v>0</v>
      </c>
    </row>
    <row r="8044">
      <c r="A8044" s="1" t="s">
        <v>5818</v>
      </c>
      <c r="B8044" s="3" t="str">
        <f t="shared" si="1"/>
        <v>Unavailable</v>
      </c>
      <c r="C8044" s="5">
        <v>6335.0</v>
      </c>
      <c r="D8044" s="3">
        <f>IFERROR(__xludf.DUMMYFUNCTION("IFERROR(
IF(REGEXMATCH(LOWER(O8044),""k""),
VALUE(REGEXEXTRACT(O8044,""[0-9]+""))*1000,
VALUE(REGEXEXTRACT(O8044,""[0-9]+""))
),
0
)"),0.0)</f>
        <v>0</v>
      </c>
      <c r="E8044" s="1" t="s">
        <v>11</v>
      </c>
      <c r="F8044" s="1" t="s">
        <v>12</v>
      </c>
      <c r="G8044" s="4" t="b">
        <f t="shared" si="2"/>
        <v>1</v>
      </c>
      <c r="H8044" s="1" t="str">
        <f t="shared" si="3"/>
        <v>Currently Unavailable</v>
      </c>
      <c r="I8044" s="1" t="str">
        <f t="shared" si="4"/>
        <v>No Badges</v>
      </c>
      <c r="J8044" s="3">
        <f t="shared" si="5"/>
        <v>0</v>
      </c>
    </row>
    <row r="8045">
      <c r="A8045" s="1" t="s">
        <v>6130</v>
      </c>
      <c r="B8045" s="3" t="str">
        <f t="shared" si="1"/>
        <v>Unavailable</v>
      </c>
      <c r="C8045" s="5">
        <v>1546.0</v>
      </c>
      <c r="D8045" s="3">
        <f>IFERROR(__xludf.DUMMYFUNCTION("IFERROR(
IF(REGEXMATCH(LOWER(O8045),""k""),
VALUE(REGEXEXTRACT(O8045,""[0-9]+""))*1000,
VALUE(REGEXEXTRACT(O8045,""[0-9]+""))
),
0
)"),0.0)</f>
        <v>0</v>
      </c>
      <c r="E8045" s="1" t="s">
        <v>11</v>
      </c>
      <c r="F8045" s="1" t="s">
        <v>20</v>
      </c>
      <c r="G8045" s="4" t="b">
        <f t="shared" si="2"/>
        <v>1</v>
      </c>
      <c r="H8045" s="1" t="str">
        <f t="shared" si="3"/>
        <v>Currently Unavailable</v>
      </c>
      <c r="I8045" s="1" t="str">
        <f t="shared" si="4"/>
        <v>No Badges</v>
      </c>
      <c r="J8045" s="3">
        <f t="shared" si="5"/>
        <v>0</v>
      </c>
    </row>
    <row r="8046">
      <c r="A8046" s="1" t="s">
        <v>6131</v>
      </c>
      <c r="B8046" s="3" t="str">
        <f t="shared" si="1"/>
        <v>Unavailable</v>
      </c>
      <c r="C8046" s="5">
        <v>1699.0</v>
      </c>
      <c r="D8046" s="3">
        <f>IFERROR(__xludf.DUMMYFUNCTION("IFERROR(
IF(REGEXMATCH(LOWER(O8046),""k""),
VALUE(REGEXEXTRACT(O8046,""[0-9]+""))*1000,
VALUE(REGEXEXTRACT(O8046,""[0-9]+""))
),
0
)"),0.0)</f>
        <v>0</v>
      </c>
      <c r="E8046" s="1" t="s">
        <v>11</v>
      </c>
      <c r="F8046" s="1" t="s">
        <v>20</v>
      </c>
      <c r="G8046" s="4" t="b">
        <f t="shared" si="2"/>
        <v>1</v>
      </c>
      <c r="H8046" s="1" t="str">
        <f t="shared" si="3"/>
        <v>Currently Unavailable</v>
      </c>
      <c r="I8046" s="1" t="str">
        <f t="shared" si="4"/>
        <v>No Badges</v>
      </c>
      <c r="J8046" s="3">
        <f t="shared" si="5"/>
        <v>0</v>
      </c>
    </row>
    <row r="8047">
      <c r="A8047" s="1" t="s">
        <v>6132</v>
      </c>
      <c r="B8047" s="3" t="str">
        <f t="shared" si="1"/>
        <v>Unavailable</v>
      </c>
      <c r="C8047" s="3">
        <v>875.0</v>
      </c>
      <c r="D8047" s="3">
        <f>IFERROR(__xludf.DUMMYFUNCTION("IFERROR(
IF(REGEXMATCH(LOWER(O8047),""k""),
VALUE(REGEXEXTRACT(O8047,""[0-9]+""))*1000,
VALUE(REGEXEXTRACT(O8047,""[0-9]+""))
),
0
)"),0.0)</f>
        <v>0</v>
      </c>
      <c r="E8047" s="1" t="s">
        <v>11</v>
      </c>
      <c r="F8047" s="1" t="s">
        <v>20</v>
      </c>
      <c r="G8047" s="4" t="b">
        <f t="shared" si="2"/>
        <v>1</v>
      </c>
      <c r="H8047" s="1" t="str">
        <f t="shared" si="3"/>
        <v>Currently Unavailable</v>
      </c>
      <c r="I8047" s="1" t="str">
        <f t="shared" si="4"/>
        <v>No Badges</v>
      </c>
      <c r="J8047" s="3">
        <f t="shared" si="5"/>
        <v>0</v>
      </c>
    </row>
    <row r="8048">
      <c r="A8048" s="1" t="s">
        <v>6133</v>
      </c>
      <c r="B8048" s="3" t="str">
        <f t="shared" si="1"/>
        <v>Unavailable</v>
      </c>
      <c r="C8048" s="3">
        <v>834.0</v>
      </c>
      <c r="D8048" s="3">
        <f>IFERROR(__xludf.DUMMYFUNCTION("IFERROR(
IF(REGEXMATCH(LOWER(O8048),""k""),
VALUE(REGEXEXTRACT(O8048,""[0-9]+""))*1000,
VALUE(REGEXEXTRACT(O8048,""[0-9]+""))
),
0
)"),0.0)</f>
        <v>0</v>
      </c>
      <c r="E8048" s="1" t="s">
        <v>11</v>
      </c>
      <c r="F8048" s="1" t="s">
        <v>20</v>
      </c>
      <c r="G8048" s="4" t="b">
        <f t="shared" si="2"/>
        <v>1</v>
      </c>
      <c r="H8048" s="1" t="str">
        <f t="shared" si="3"/>
        <v>Currently Unavailable</v>
      </c>
      <c r="I8048" s="1" t="str">
        <f t="shared" si="4"/>
        <v>No Badges</v>
      </c>
      <c r="J8048" s="3">
        <f t="shared" si="5"/>
        <v>0</v>
      </c>
    </row>
    <row r="8049">
      <c r="A8049" s="1" t="s">
        <v>6134</v>
      </c>
      <c r="B8049" s="3" t="str">
        <f t="shared" si="1"/>
        <v>Unavailable</v>
      </c>
      <c r="C8049" s="5">
        <v>3816.0</v>
      </c>
      <c r="D8049" s="3">
        <f>IFERROR(__xludf.DUMMYFUNCTION("IFERROR(
IF(REGEXMATCH(LOWER(O8049),""k""),
VALUE(REGEXEXTRACT(O8049,""[0-9]+""))*1000,
VALUE(REGEXEXTRACT(O8049,""[0-9]+""))
),
0
)"),0.0)</f>
        <v>0</v>
      </c>
      <c r="E8049" s="1" t="s">
        <v>11</v>
      </c>
      <c r="F8049" s="1" t="s">
        <v>20</v>
      </c>
      <c r="G8049" s="4" t="b">
        <f t="shared" si="2"/>
        <v>1</v>
      </c>
      <c r="H8049" s="1" t="str">
        <f t="shared" si="3"/>
        <v>Currently Unavailable</v>
      </c>
      <c r="I8049" s="1" t="str">
        <f t="shared" si="4"/>
        <v>No Badges</v>
      </c>
      <c r="J8049" s="3">
        <f t="shared" si="5"/>
        <v>0</v>
      </c>
    </row>
    <row r="8050">
      <c r="A8050" s="1" t="s">
        <v>6135</v>
      </c>
      <c r="B8050" s="3" t="str">
        <f t="shared" si="1"/>
        <v>Unavailable</v>
      </c>
      <c r="C8050" s="3">
        <v>932.0</v>
      </c>
      <c r="D8050" s="3">
        <f>IFERROR(__xludf.DUMMYFUNCTION("IFERROR(
IF(REGEXMATCH(LOWER(O8050),""k""),
VALUE(REGEXEXTRACT(O8050,""[0-9]+""))*1000,
VALUE(REGEXEXTRACT(O8050,""[0-9]+""))
),
0
)"),0.0)</f>
        <v>0</v>
      </c>
      <c r="E8050" s="1" t="s">
        <v>11</v>
      </c>
      <c r="F8050" s="1" t="s">
        <v>20</v>
      </c>
      <c r="G8050" s="4" t="b">
        <f t="shared" si="2"/>
        <v>1</v>
      </c>
      <c r="H8050" s="1" t="str">
        <f t="shared" si="3"/>
        <v>Currently Unavailable</v>
      </c>
      <c r="I8050" s="1" t="str">
        <f t="shared" si="4"/>
        <v>No Badges</v>
      </c>
      <c r="J8050" s="3">
        <f t="shared" si="5"/>
        <v>0</v>
      </c>
    </row>
    <row r="8051">
      <c r="A8051" s="1" t="s">
        <v>6136</v>
      </c>
      <c r="B8051" s="3" t="str">
        <f t="shared" si="1"/>
        <v>Unavailable</v>
      </c>
      <c r="C8051" s="3">
        <v>230.0</v>
      </c>
      <c r="D8051" s="3">
        <f>IFERROR(__xludf.DUMMYFUNCTION("IFERROR(
IF(REGEXMATCH(LOWER(O8051),""k""),
VALUE(REGEXEXTRACT(O8051,""[0-9]+""))*1000,
VALUE(REGEXEXTRACT(O8051,""[0-9]+""))
),
0
)"),0.0)</f>
        <v>0</v>
      </c>
      <c r="E8051" s="1" t="s">
        <v>11</v>
      </c>
      <c r="F8051" s="1" t="s">
        <v>20</v>
      </c>
      <c r="G8051" s="4" t="b">
        <f t="shared" si="2"/>
        <v>1</v>
      </c>
      <c r="H8051" s="1" t="str">
        <f t="shared" si="3"/>
        <v>Currently Unavailable</v>
      </c>
      <c r="I8051" s="1" t="str">
        <f t="shared" si="4"/>
        <v>No Badges</v>
      </c>
      <c r="J8051" s="3">
        <f t="shared" si="5"/>
        <v>0</v>
      </c>
    </row>
    <row r="8052">
      <c r="A8052" s="1" t="s">
        <v>6137</v>
      </c>
      <c r="B8052" s="3" t="str">
        <f t="shared" si="1"/>
        <v>Unavailable</v>
      </c>
      <c r="C8052" s="5">
        <v>17864.0</v>
      </c>
      <c r="D8052" s="3">
        <f>IFERROR(__xludf.DUMMYFUNCTION("IFERROR(
IF(REGEXMATCH(LOWER(O8052),""k""),
VALUE(REGEXEXTRACT(O8052,""[0-9]+""))*1000,
VALUE(REGEXEXTRACT(O8052,""[0-9]+""))
),
0
)"),0.0)</f>
        <v>0</v>
      </c>
      <c r="E8052" s="1" t="s">
        <v>11</v>
      </c>
      <c r="F8052" s="1" t="s">
        <v>20</v>
      </c>
      <c r="G8052" s="4" t="b">
        <f t="shared" si="2"/>
        <v>1</v>
      </c>
      <c r="H8052" s="1" t="str">
        <f t="shared" si="3"/>
        <v>Currently Unavailable</v>
      </c>
      <c r="I8052" s="1" t="str">
        <f t="shared" si="4"/>
        <v>No Badges</v>
      </c>
      <c r="J8052" s="3">
        <f t="shared" si="5"/>
        <v>0</v>
      </c>
    </row>
    <row r="8053">
      <c r="A8053" s="1" t="s">
        <v>6138</v>
      </c>
      <c r="B8053" s="3" t="str">
        <f t="shared" si="1"/>
        <v>Unavailable</v>
      </c>
      <c r="C8053" s="3">
        <v>166.0</v>
      </c>
      <c r="D8053" s="3">
        <f>IFERROR(__xludf.DUMMYFUNCTION("IFERROR(
IF(REGEXMATCH(LOWER(O8053),""k""),
VALUE(REGEXEXTRACT(O8053,""[0-9]+""))*1000,
VALUE(REGEXEXTRACT(O8053,""[0-9]+""))
),
0
)"),0.0)</f>
        <v>0</v>
      </c>
      <c r="E8053" s="1" t="s">
        <v>11</v>
      </c>
      <c r="F8053" s="1" t="s">
        <v>20</v>
      </c>
      <c r="G8053" s="4" t="b">
        <f t="shared" si="2"/>
        <v>1</v>
      </c>
      <c r="H8053" s="1" t="str">
        <f t="shared" si="3"/>
        <v>Currently Unavailable</v>
      </c>
      <c r="I8053" s="1" t="str">
        <f t="shared" si="4"/>
        <v>No Badges</v>
      </c>
      <c r="J8053" s="3">
        <f t="shared" si="5"/>
        <v>0</v>
      </c>
    </row>
    <row r="8054">
      <c r="A8054" s="1" t="s">
        <v>6139</v>
      </c>
      <c r="B8054" s="3" t="str">
        <f t="shared" si="1"/>
        <v>Unavailable</v>
      </c>
      <c r="C8054" s="5">
        <v>5413.0</v>
      </c>
      <c r="D8054" s="3">
        <f>IFERROR(__xludf.DUMMYFUNCTION("IFERROR(
IF(REGEXMATCH(LOWER(O8054),""k""),
VALUE(REGEXEXTRACT(O8054,""[0-9]+""))*1000,
VALUE(REGEXEXTRACT(O8054,""[0-9]+""))
),
0
)"),0.0)</f>
        <v>0</v>
      </c>
      <c r="E8054" s="1" t="s">
        <v>11</v>
      </c>
      <c r="F8054" s="1" t="s">
        <v>20</v>
      </c>
      <c r="G8054" s="4" t="b">
        <f t="shared" si="2"/>
        <v>1</v>
      </c>
      <c r="H8054" s="1" t="str">
        <f t="shared" si="3"/>
        <v>Currently Unavailable</v>
      </c>
      <c r="I8054" s="1" t="str">
        <f t="shared" si="4"/>
        <v>No Badges</v>
      </c>
      <c r="J8054" s="3">
        <f t="shared" si="5"/>
        <v>0</v>
      </c>
    </row>
    <row r="8055">
      <c r="A8055" s="1" t="s">
        <v>6140</v>
      </c>
      <c r="B8055" s="3" t="str">
        <f t="shared" si="1"/>
        <v>Unavailable</v>
      </c>
      <c r="C8055" s="3">
        <v>584.0</v>
      </c>
      <c r="D8055" s="3">
        <f>IFERROR(__xludf.DUMMYFUNCTION("IFERROR(
IF(REGEXMATCH(LOWER(O8055),""k""),
VALUE(REGEXEXTRACT(O8055,""[0-9]+""))*1000,
VALUE(REGEXEXTRACT(O8055,""[0-9]+""))
),
0
)"),0.0)</f>
        <v>0</v>
      </c>
      <c r="E8055" s="1" t="s">
        <v>11</v>
      </c>
      <c r="F8055" s="1" t="s">
        <v>20</v>
      </c>
      <c r="G8055" s="4" t="b">
        <f t="shared" si="2"/>
        <v>1</v>
      </c>
      <c r="H8055" s="1" t="str">
        <f t="shared" si="3"/>
        <v>Currently Unavailable</v>
      </c>
      <c r="I8055" s="1" t="str">
        <f t="shared" si="4"/>
        <v>No Badges</v>
      </c>
      <c r="J8055" s="3">
        <f t="shared" si="5"/>
        <v>0</v>
      </c>
    </row>
    <row r="8056">
      <c r="A8056" s="1" t="s">
        <v>6141</v>
      </c>
      <c r="B8056" s="3" t="str">
        <f t="shared" si="1"/>
        <v>Unavailable</v>
      </c>
      <c r="C8056" s="5">
        <v>5469.0</v>
      </c>
      <c r="D8056" s="3">
        <f>IFERROR(__xludf.DUMMYFUNCTION("IFERROR(
IF(REGEXMATCH(LOWER(O8056),""k""),
VALUE(REGEXEXTRACT(O8056,""[0-9]+""))*1000,
VALUE(REGEXEXTRACT(O8056,""[0-9]+""))
),
0
)"),0.0)</f>
        <v>0</v>
      </c>
      <c r="E8056" s="1" t="s">
        <v>11</v>
      </c>
      <c r="F8056" s="1" t="s">
        <v>20</v>
      </c>
      <c r="G8056" s="4" t="b">
        <f t="shared" si="2"/>
        <v>1</v>
      </c>
      <c r="H8056" s="1" t="str">
        <f t="shared" si="3"/>
        <v>Currently Unavailable</v>
      </c>
      <c r="I8056" s="1" t="str">
        <f t="shared" si="4"/>
        <v>No Badges</v>
      </c>
      <c r="J8056" s="3">
        <f t="shared" si="5"/>
        <v>0</v>
      </c>
    </row>
    <row r="8057">
      <c r="A8057" s="1" t="s">
        <v>6142</v>
      </c>
      <c r="B8057" s="3" t="str">
        <f t="shared" si="1"/>
        <v>Unavailable</v>
      </c>
      <c r="C8057" s="5">
        <v>1510.0</v>
      </c>
      <c r="D8057" s="3">
        <f>IFERROR(__xludf.DUMMYFUNCTION("IFERROR(
IF(REGEXMATCH(LOWER(O8057),""k""),
VALUE(REGEXEXTRACT(O8057,""[0-9]+""))*1000,
VALUE(REGEXEXTRACT(O8057,""[0-9]+""))
),
0
)"),0.0)</f>
        <v>0</v>
      </c>
      <c r="E8057" s="1" t="s">
        <v>11</v>
      </c>
      <c r="F8057" s="1" t="s">
        <v>20</v>
      </c>
      <c r="G8057" s="4" t="b">
        <f t="shared" si="2"/>
        <v>1</v>
      </c>
      <c r="H8057" s="1" t="str">
        <f t="shared" si="3"/>
        <v>Currently Unavailable</v>
      </c>
      <c r="I8057" s="1" t="str">
        <f t="shared" si="4"/>
        <v>No Badges</v>
      </c>
      <c r="J8057" s="3">
        <f t="shared" si="5"/>
        <v>0</v>
      </c>
    </row>
    <row r="8058">
      <c r="A8058" s="1" t="s">
        <v>6143</v>
      </c>
      <c r="B8058" s="3" t="str">
        <f t="shared" si="1"/>
        <v>Unavailable</v>
      </c>
      <c r="C8058" s="5">
        <v>3490.0</v>
      </c>
      <c r="D8058" s="3">
        <f>IFERROR(__xludf.DUMMYFUNCTION("IFERROR(
IF(REGEXMATCH(LOWER(O8058),""k""),
VALUE(REGEXEXTRACT(O8058,""[0-9]+""))*1000,
VALUE(REGEXEXTRACT(O8058,""[0-9]+""))
),
0
)"),0.0)</f>
        <v>0</v>
      </c>
      <c r="E8058" s="1" t="s">
        <v>11</v>
      </c>
      <c r="F8058" s="1" t="s">
        <v>20</v>
      </c>
      <c r="G8058" s="4" t="b">
        <f t="shared" si="2"/>
        <v>1</v>
      </c>
      <c r="H8058" s="1" t="str">
        <f t="shared" si="3"/>
        <v>Currently Unavailable</v>
      </c>
      <c r="I8058" s="1" t="str">
        <f t="shared" si="4"/>
        <v>No Badges</v>
      </c>
      <c r="J8058" s="3">
        <f t="shared" si="5"/>
        <v>0</v>
      </c>
    </row>
    <row r="8059">
      <c r="A8059" s="1" t="s">
        <v>6144</v>
      </c>
      <c r="B8059" s="3" t="str">
        <f t="shared" si="1"/>
        <v>Unavailable</v>
      </c>
      <c r="C8059" s="3">
        <v>88.0</v>
      </c>
      <c r="D8059" s="3">
        <f>IFERROR(__xludf.DUMMYFUNCTION("IFERROR(
IF(REGEXMATCH(LOWER(O8059),""k""),
VALUE(REGEXEXTRACT(O8059,""[0-9]+""))*1000,
VALUE(REGEXEXTRACT(O8059,""[0-9]+""))
),
0
)"),0.0)</f>
        <v>0</v>
      </c>
      <c r="E8059" s="1" t="s">
        <v>11</v>
      </c>
      <c r="F8059" s="1" t="s">
        <v>20</v>
      </c>
      <c r="G8059" s="4" t="b">
        <f t="shared" si="2"/>
        <v>1</v>
      </c>
      <c r="H8059" s="1" t="str">
        <f t="shared" si="3"/>
        <v>Currently Unavailable</v>
      </c>
      <c r="I8059" s="1" t="str">
        <f t="shared" si="4"/>
        <v>No Badges</v>
      </c>
      <c r="J8059" s="3">
        <f t="shared" si="5"/>
        <v>0</v>
      </c>
    </row>
    <row r="8060">
      <c r="A8060" s="1" t="s">
        <v>6145</v>
      </c>
      <c r="B8060" s="3" t="str">
        <f t="shared" si="1"/>
        <v>Unavailable</v>
      </c>
      <c r="C8060" s="5">
        <v>5392.0</v>
      </c>
      <c r="D8060" s="3">
        <f>IFERROR(__xludf.DUMMYFUNCTION("IFERROR(
IF(REGEXMATCH(LOWER(O8060),""k""),
VALUE(REGEXEXTRACT(O8060,""[0-9]+""))*1000,
VALUE(REGEXEXTRACT(O8060,""[0-9]+""))
),
0
)"),0.0)</f>
        <v>0</v>
      </c>
      <c r="E8060" s="1" t="s">
        <v>11</v>
      </c>
      <c r="F8060" s="1" t="s">
        <v>20</v>
      </c>
      <c r="G8060" s="4" t="b">
        <f t="shared" si="2"/>
        <v>1</v>
      </c>
      <c r="H8060" s="1" t="str">
        <f t="shared" si="3"/>
        <v>Currently Unavailable</v>
      </c>
      <c r="I8060" s="1" t="str">
        <f t="shared" si="4"/>
        <v>No Badges</v>
      </c>
      <c r="J8060" s="3">
        <f t="shared" si="5"/>
        <v>0</v>
      </c>
    </row>
    <row r="8061">
      <c r="A8061" s="1" t="s">
        <v>5817</v>
      </c>
      <c r="B8061" s="3" t="str">
        <f t="shared" si="1"/>
        <v>Unavailable</v>
      </c>
      <c r="C8061" s="5">
        <v>7235.0</v>
      </c>
      <c r="D8061" s="3">
        <f>IFERROR(__xludf.DUMMYFUNCTION("IFERROR(
IF(REGEXMATCH(LOWER(O8061),""k""),
VALUE(REGEXEXTRACT(O8061,""[0-9]+""))*1000,
VALUE(REGEXEXTRACT(O8061,""[0-9]+""))
),
0
)"),0.0)</f>
        <v>0</v>
      </c>
      <c r="E8061" s="1" t="s">
        <v>11</v>
      </c>
      <c r="F8061" s="1" t="s">
        <v>12</v>
      </c>
      <c r="G8061" s="4" t="b">
        <f t="shared" si="2"/>
        <v>1</v>
      </c>
      <c r="H8061" s="1" t="str">
        <f t="shared" si="3"/>
        <v>Currently Unavailable</v>
      </c>
      <c r="I8061" s="1" t="str">
        <f t="shared" si="4"/>
        <v>No Badges</v>
      </c>
      <c r="J8061" s="3">
        <f t="shared" si="5"/>
        <v>0</v>
      </c>
    </row>
    <row r="8062">
      <c r="A8062" s="1" t="s">
        <v>6146</v>
      </c>
      <c r="B8062" s="3" t="str">
        <f t="shared" si="1"/>
        <v>Unavailable</v>
      </c>
      <c r="C8062" s="3">
        <v>5.0</v>
      </c>
      <c r="D8062" s="3">
        <f>IFERROR(__xludf.DUMMYFUNCTION("IFERROR(
IF(REGEXMATCH(LOWER(O8062),""k""),
VALUE(REGEXEXTRACT(O8062,""[0-9]+""))*1000,
VALUE(REGEXEXTRACT(O8062,""[0-9]+""))
),
0
)"),0.0)</f>
        <v>0</v>
      </c>
      <c r="E8062" s="1" t="s">
        <v>11</v>
      </c>
      <c r="F8062" s="1" t="s">
        <v>20</v>
      </c>
      <c r="G8062" s="4" t="b">
        <f t="shared" si="2"/>
        <v>1</v>
      </c>
      <c r="H8062" s="1" t="str">
        <f t="shared" si="3"/>
        <v>Currently Unavailable</v>
      </c>
      <c r="I8062" s="1" t="str">
        <f t="shared" si="4"/>
        <v>No Badges</v>
      </c>
      <c r="J8062" s="3">
        <f t="shared" si="5"/>
        <v>0</v>
      </c>
    </row>
    <row r="8063">
      <c r="A8063" s="1" t="s">
        <v>6147</v>
      </c>
      <c r="B8063" s="3" t="str">
        <f t="shared" si="1"/>
        <v>Unavailable</v>
      </c>
      <c r="C8063" s="5">
        <v>11193.0</v>
      </c>
      <c r="D8063" s="3">
        <f>IFERROR(__xludf.DUMMYFUNCTION("IFERROR(
IF(REGEXMATCH(LOWER(O8063),""k""),
VALUE(REGEXEXTRACT(O8063,""[0-9]+""))*1000,
VALUE(REGEXEXTRACT(O8063,""[0-9]+""))
),
0
)"),0.0)</f>
        <v>0</v>
      </c>
      <c r="E8063" s="1" t="s">
        <v>11</v>
      </c>
      <c r="F8063" s="1" t="s">
        <v>20</v>
      </c>
      <c r="G8063" s="4" t="b">
        <f t="shared" si="2"/>
        <v>1</v>
      </c>
      <c r="H8063" s="1" t="str">
        <f t="shared" si="3"/>
        <v>Currently Unavailable</v>
      </c>
      <c r="I8063" s="1" t="str">
        <f t="shared" si="4"/>
        <v>No Badges</v>
      </c>
      <c r="J8063" s="3">
        <f t="shared" si="5"/>
        <v>0</v>
      </c>
    </row>
    <row r="8064">
      <c r="A8064" s="1" t="s">
        <v>6148</v>
      </c>
      <c r="B8064" s="3" t="str">
        <f t="shared" si="1"/>
        <v>Unavailable</v>
      </c>
      <c r="C8064" s="5">
        <v>2164.0</v>
      </c>
      <c r="D8064" s="3">
        <f>IFERROR(__xludf.DUMMYFUNCTION("IFERROR(
IF(REGEXMATCH(LOWER(O8064),""k""),
VALUE(REGEXEXTRACT(O8064,""[0-9]+""))*1000,
VALUE(REGEXEXTRACT(O8064,""[0-9]+""))
),
0
)"),0.0)</f>
        <v>0</v>
      </c>
      <c r="E8064" s="1" t="s">
        <v>11</v>
      </c>
      <c r="F8064" s="1" t="s">
        <v>20</v>
      </c>
      <c r="G8064" s="4" t="b">
        <f t="shared" si="2"/>
        <v>1</v>
      </c>
      <c r="H8064" s="1" t="str">
        <f t="shared" si="3"/>
        <v>Currently Unavailable</v>
      </c>
      <c r="I8064" s="1" t="str">
        <f t="shared" si="4"/>
        <v>No Badges</v>
      </c>
      <c r="J8064" s="3">
        <f t="shared" si="5"/>
        <v>0</v>
      </c>
    </row>
    <row r="8065">
      <c r="A8065" s="1" t="s">
        <v>6149</v>
      </c>
      <c r="B8065" s="3" t="str">
        <f t="shared" si="1"/>
        <v>Unavailable</v>
      </c>
      <c r="C8065" s="5">
        <v>23940.0</v>
      </c>
      <c r="D8065" s="3">
        <f>IFERROR(__xludf.DUMMYFUNCTION("IFERROR(
IF(REGEXMATCH(LOWER(O8065),""k""),
VALUE(REGEXEXTRACT(O8065,""[0-9]+""))*1000,
VALUE(REGEXEXTRACT(O8065,""[0-9]+""))
),
0
)"),0.0)</f>
        <v>0</v>
      </c>
      <c r="E8065" s="1" t="s">
        <v>11</v>
      </c>
      <c r="F8065" s="1" t="s">
        <v>20</v>
      </c>
      <c r="G8065" s="4" t="b">
        <f t="shared" si="2"/>
        <v>1</v>
      </c>
      <c r="H8065" s="1" t="str">
        <f t="shared" si="3"/>
        <v>Currently Unavailable</v>
      </c>
      <c r="I8065" s="1" t="str">
        <f t="shared" si="4"/>
        <v>No Badges</v>
      </c>
      <c r="J8065" s="3">
        <f t="shared" si="5"/>
        <v>0</v>
      </c>
    </row>
    <row r="8066">
      <c r="A8066" s="1" t="s">
        <v>6150</v>
      </c>
      <c r="B8066" s="3" t="str">
        <f t="shared" si="1"/>
        <v>Unavailable</v>
      </c>
      <c r="C8066" s="3">
        <v>732.0</v>
      </c>
      <c r="D8066" s="3">
        <f>IFERROR(__xludf.DUMMYFUNCTION("IFERROR(
IF(REGEXMATCH(LOWER(O8066),""k""),
VALUE(REGEXEXTRACT(O8066,""[0-9]+""))*1000,
VALUE(REGEXEXTRACT(O8066,""[0-9]+""))
),
0
)"),0.0)</f>
        <v>0</v>
      </c>
      <c r="E8066" s="1" t="s">
        <v>11</v>
      </c>
      <c r="F8066" s="1" t="s">
        <v>20</v>
      </c>
      <c r="G8066" s="4" t="b">
        <f t="shared" si="2"/>
        <v>1</v>
      </c>
      <c r="H8066" s="1" t="str">
        <f t="shared" si="3"/>
        <v>Currently Unavailable</v>
      </c>
      <c r="I8066" s="1" t="str">
        <f t="shared" si="4"/>
        <v>No Badges</v>
      </c>
      <c r="J8066" s="3">
        <f t="shared" si="5"/>
        <v>0</v>
      </c>
    </row>
    <row r="8067">
      <c r="A8067" s="1" t="s">
        <v>5817</v>
      </c>
      <c r="B8067" s="3" t="str">
        <f t="shared" si="1"/>
        <v>Unavailable</v>
      </c>
      <c r="C8067" s="5">
        <v>7235.0</v>
      </c>
      <c r="D8067" s="3">
        <f>IFERROR(__xludf.DUMMYFUNCTION("IFERROR(
IF(REGEXMATCH(LOWER(O8067),""k""),
VALUE(REGEXEXTRACT(O8067,""[0-9]+""))*1000,
VALUE(REGEXEXTRACT(O8067,""[0-9]+""))
),
0
)"),0.0)</f>
        <v>0</v>
      </c>
      <c r="E8067" s="1" t="s">
        <v>11</v>
      </c>
      <c r="F8067" s="1" t="s">
        <v>12</v>
      </c>
      <c r="G8067" s="4" t="b">
        <f t="shared" si="2"/>
        <v>1</v>
      </c>
      <c r="H8067" s="1" t="str">
        <f t="shared" si="3"/>
        <v>Currently Unavailable</v>
      </c>
      <c r="I8067" s="1" t="str">
        <f t="shared" si="4"/>
        <v>No Badges</v>
      </c>
      <c r="J8067" s="3">
        <f t="shared" si="5"/>
        <v>0</v>
      </c>
    </row>
    <row r="8068">
      <c r="A8068" s="1" t="s">
        <v>6151</v>
      </c>
      <c r="B8068" s="3" t="str">
        <f t="shared" si="1"/>
        <v>Unavailable</v>
      </c>
      <c r="C8068" s="3">
        <v>210.0</v>
      </c>
      <c r="D8068" s="3">
        <f>IFERROR(__xludf.DUMMYFUNCTION("IFERROR(
IF(REGEXMATCH(LOWER(O8068),""k""),
VALUE(REGEXEXTRACT(O8068,""[0-9]+""))*1000,
VALUE(REGEXEXTRACT(O8068,""[0-9]+""))
),
0
)"),0.0)</f>
        <v>0</v>
      </c>
      <c r="E8068" s="1" t="s">
        <v>11</v>
      </c>
      <c r="F8068" s="1" t="s">
        <v>20</v>
      </c>
      <c r="G8068" s="4" t="b">
        <f t="shared" si="2"/>
        <v>1</v>
      </c>
      <c r="H8068" s="1" t="str">
        <f t="shared" si="3"/>
        <v>Currently Unavailable</v>
      </c>
      <c r="I8068" s="1" t="str">
        <f t="shared" si="4"/>
        <v>No Badges</v>
      </c>
      <c r="J8068" s="3">
        <f t="shared" si="5"/>
        <v>0</v>
      </c>
    </row>
    <row r="8069">
      <c r="A8069" s="1" t="s">
        <v>6152</v>
      </c>
      <c r="B8069" s="3" t="str">
        <f t="shared" si="1"/>
        <v>Unavailable</v>
      </c>
      <c r="C8069" s="3">
        <v>88.0</v>
      </c>
      <c r="D8069" s="3">
        <f>IFERROR(__xludf.DUMMYFUNCTION("IFERROR(
IF(REGEXMATCH(LOWER(O8069),""k""),
VALUE(REGEXEXTRACT(O8069,""[0-9]+""))*1000,
VALUE(REGEXEXTRACT(O8069,""[0-9]+""))
),
0
)"),0.0)</f>
        <v>0</v>
      </c>
      <c r="E8069" s="1" t="s">
        <v>11</v>
      </c>
      <c r="F8069" s="1" t="s">
        <v>20</v>
      </c>
      <c r="G8069" s="4" t="b">
        <f t="shared" si="2"/>
        <v>1</v>
      </c>
      <c r="H8069" s="1" t="str">
        <f t="shared" si="3"/>
        <v>Currently Unavailable</v>
      </c>
      <c r="I8069" s="1" t="str">
        <f t="shared" si="4"/>
        <v>No Badges</v>
      </c>
      <c r="J8069" s="3">
        <f t="shared" si="5"/>
        <v>0</v>
      </c>
    </row>
    <row r="8070">
      <c r="A8070" s="1" t="s">
        <v>6153</v>
      </c>
      <c r="B8070" s="3" t="str">
        <f t="shared" si="1"/>
        <v>Unavailable</v>
      </c>
      <c r="C8070" s="3">
        <v>244.0</v>
      </c>
      <c r="D8070" s="3">
        <f>IFERROR(__xludf.DUMMYFUNCTION("IFERROR(
IF(REGEXMATCH(LOWER(O8070),""k""),
VALUE(REGEXEXTRACT(O8070,""[0-9]+""))*1000,
VALUE(REGEXEXTRACT(O8070,""[0-9]+""))
),
0
)"),0.0)</f>
        <v>0</v>
      </c>
      <c r="E8070" s="1" t="s">
        <v>11</v>
      </c>
      <c r="F8070" s="1" t="s">
        <v>20</v>
      </c>
      <c r="G8070" s="4" t="b">
        <f t="shared" si="2"/>
        <v>1</v>
      </c>
      <c r="H8070" s="1" t="str">
        <f t="shared" si="3"/>
        <v>Currently Unavailable</v>
      </c>
      <c r="I8070" s="1" t="str">
        <f t="shared" si="4"/>
        <v>No Badges</v>
      </c>
      <c r="J8070" s="3">
        <f t="shared" si="5"/>
        <v>0</v>
      </c>
    </row>
    <row r="8071">
      <c r="A8071" s="1" t="s">
        <v>6154</v>
      </c>
      <c r="B8071" s="3" t="str">
        <f t="shared" si="1"/>
        <v>Unavailable</v>
      </c>
      <c r="C8071" s="5">
        <v>1559.0</v>
      </c>
      <c r="D8071" s="3">
        <f>IFERROR(__xludf.DUMMYFUNCTION("IFERROR(
IF(REGEXMATCH(LOWER(O8071),""k""),
VALUE(REGEXEXTRACT(O8071,""[0-9]+""))*1000,
VALUE(REGEXEXTRACT(O8071,""[0-9]+""))
),
0
)"),0.0)</f>
        <v>0</v>
      </c>
      <c r="E8071" s="1" t="s">
        <v>11</v>
      </c>
      <c r="F8071" s="1" t="s">
        <v>20</v>
      </c>
      <c r="G8071" s="4" t="b">
        <f t="shared" si="2"/>
        <v>1</v>
      </c>
      <c r="H8071" s="1" t="str">
        <f t="shared" si="3"/>
        <v>Currently Unavailable</v>
      </c>
      <c r="I8071" s="1" t="str">
        <f t="shared" si="4"/>
        <v>No Badges</v>
      </c>
      <c r="J8071" s="3">
        <f t="shared" si="5"/>
        <v>0</v>
      </c>
    </row>
    <row r="8072">
      <c r="A8072" s="1" t="s">
        <v>6155</v>
      </c>
      <c r="B8072" s="3" t="str">
        <f t="shared" si="1"/>
        <v>Unavailable</v>
      </c>
      <c r="C8072" s="3">
        <v>196.0</v>
      </c>
      <c r="D8072" s="3">
        <f>IFERROR(__xludf.DUMMYFUNCTION("IFERROR(
IF(REGEXMATCH(LOWER(O8072),""k""),
VALUE(REGEXEXTRACT(O8072,""[0-9]+""))*1000,
VALUE(REGEXEXTRACT(O8072,""[0-9]+""))
),
0
)"),0.0)</f>
        <v>0</v>
      </c>
      <c r="E8072" s="1" t="s">
        <v>11</v>
      </c>
      <c r="F8072" s="1" t="s">
        <v>20</v>
      </c>
      <c r="G8072" s="4" t="b">
        <f t="shared" si="2"/>
        <v>1</v>
      </c>
      <c r="H8072" s="1" t="str">
        <f t="shared" si="3"/>
        <v>Currently Unavailable</v>
      </c>
      <c r="I8072" s="1" t="str">
        <f t="shared" si="4"/>
        <v>No Badges</v>
      </c>
      <c r="J8072" s="3">
        <f t="shared" si="5"/>
        <v>0</v>
      </c>
    </row>
    <row r="8073">
      <c r="A8073" s="1" t="s">
        <v>6156</v>
      </c>
      <c r="B8073" s="3" t="str">
        <f t="shared" si="1"/>
        <v>Unavailable</v>
      </c>
      <c r="C8073" s="5">
        <v>1135.0</v>
      </c>
      <c r="D8073" s="3">
        <f>IFERROR(__xludf.DUMMYFUNCTION("IFERROR(
IF(REGEXMATCH(LOWER(O8073),""k""),
VALUE(REGEXEXTRACT(O8073,""[0-9]+""))*1000,
VALUE(REGEXEXTRACT(O8073,""[0-9]+""))
),
0
)"),0.0)</f>
        <v>0</v>
      </c>
      <c r="E8073" s="1" t="s">
        <v>11</v>
      </c>
      <c r="F8073" s="1" t="s">
        <v>20</v>
      </c>
      <c r="G8073" s="4" t="b">
        <f t="shared" si="2"/>
        <v>1</v>
      </c>
      <c r="H8073" s="1" t="str">
        <f t="shared" si="3"/>
        <v>Currently Unavailable</v>
      </c>
      <c r="I8073" s="1" t="str">
        <f t="shared" si="4"/>
        <v>No Badges</v>
      </c>
      <c r="J8073" s="3">
        <f t="shared" si="5"/>
        <v>0</v>
      </c>
    </row>
    <row r="8074">
      <c r="A8074" s="1" t="s">
        <v>6157</v>
      </c>
      <c r="B8074" s="3" t="str">
        <f t="shared" si="1"/>
        <v>Unavailable</v>
      </c>
      <c r="C8074" s="5">
        <v>3348.0</v>
      </c>
      <c r="D8074" s="3">
        <f>IFERROR(__xludf.DUMMYFUNCTION("IFERROR(
IF(REGEXMATCH(LOWER(O8074),""k""),
VALUE(REGEXEXTRACT(O8074,""[0-9]+""))*1000,
VALUE(REGEXEXTRACT(O8074,""[0-9]+""))
),
0
)"),0.0)</f>
        <v>0</v>
      </c>
      <c r="E8074" s="1" t="s">
        <v>11</v>
      </c>
      <c r="F8074" s="1" t="s">
        <v>20</v>
      </c>
      <c r="G8074" s="4" t="b">
        <f t="shared" si="2"/>
        <v>1</v>
      </c>
      <c r="H8074" s="1" t="str">
        <f t="shared" si="3"/>
        <v>Currently Unavailable</v>
      </c>
      <c r="I8074" s="1" t="str">
        <f t="shared" si="4"/>
        <v>No Badges</v>
      </c>
      <c r="J8074" s="3">
        <f t="shared" si="5"/>
        <v>0</v>
      </c>
    </row>
    <row r="8075">
      <c r="A8075" s="1" t="s">
        <v>6158</v>
      </c>
      <c r="B8075" s="3" t="str">
        <f t="shared" si="1"/>
        <v>Unavailable</v>
      </c>
      <c r="C8075" s="5">
        <v>2499.0</v>
      </c>
      <c r="D8075" s="3">
        <f>IFERROR(__xludf.DUMMYFUNCTION("IFERROR(
IF(REGEXMATCH(LOWER(O8075),""k""),
VALUE(REGEXEXTRACT(O8075,""[0-9]+""))*1000,
VALUE(REGEXEXTRACT(O8075,""[0-9]+""))
),
0
)"),0.0)</f>
        <v>0</v>
      </c>
      <c r="E8075" s="1" t="s">
        <v>11</v>
      </c>
      <c r="F8075" s="1" t="s">
        <v>20</v>
      </c>
      <c r="G8075" s="4" t="b">
        <f t="shared" si="2"/>
        <v>1</v>
      </c>
      <c r="H8075" s="1" t="str">
        <f t="shared" si="3"/>
        <v>Currently Unavailable</v>
      </c>
      <c r="I8075" s="1" t="str">
        <f t="shared" si="4"/>
        <v>No Badges</v>
      </c>
      <c r="J8075" s="3">
        <f t="shared" si="5"/>
        <v>0</v>
      </c>
    </row>
    <row r="8076">
      <c r="A8076" s="1" t="s">
        <v>6159</v>
      </c>
      <c r="B8076" s="3" t="str">
        <f t="shared" si="1"/>
        <v>Unavailable</v>
      </c>
      <c r="C8076" s="3">
        <v>100.0</v>
      </c>
      <c r="D8076" s="3">
        <f>IFERROR(__xludf.DUMMYFUNCTION("IFERROR(
IF(REGEXMATCH(LOWER(O8076),""k""),
VALUE(REGEXEXTRACT(O8076,""[0-9]+""))*1000,
VALUE(REGEXEXTRACT(O8076,""[0-9]+""))
),
0
)"),0.0)</f>
        <v>0</v>
      </c>
      <c r="E8076" s="1" t="s">
        <v>11</v>
      </c>
      <c r="F8076" s="1" t="s">
        <v>20</v>
      </c>
      <c r="G8076" s="4" t="b">
        <f t="shared" si="2"/>
        <v>1</v>
      </c>
      <c r="H8076" s="1" t="str">
        <f t="shared" si="3"/>
        <v>Currently Unavailable</v>
      </c>
      <c r="I8076" s="1" t="str">
        <f t="shared" si="4"/>
        <v>No Badges</v>
      </c>
      <c r="J8076" s="3">
        <f t="shared" si="5"/>
        <v>0</v>
      </c>
    </row>
    <row r="8077">
      <c r="A8077" s="1" t="s">
        <v>6160</v>
      </c>
      <c r="B8077" s="3" t="str">
        <f t="shared" si="1"/>
        <v>Unavailable</v>
      </c>
      <c r="C8077" s="3">
        <v>723.0</v>
      </c>
      <c r="D8077" s="3">
        <f>IFERROR(__xludf.DUMMYFUNCTION("IFERROR(
IF(REGEXMATCH(LOWER(O8077),""k""),
VALUE(REGEXEXTRACT(O8077,""[0-9]+""))*1000,
VALUE(REGEXEXTRACT(O8077,""[0-9]+""))
),
0
)"),0.0)</f>
        <v>0</v>
      </c>
      <c r="E8077" s="1" t="s">
        <v>11</v>
      </c>
      <c r="F8077" s="1" t="s">
        <v>20</v>
      </c>
      <c r="G8077" s="4" t="b">
        <f t="shared" si="2"/>
        <v>1</v>
      </c>
      <c r="H8077" s="1" t="str">
        <f t="shared" si="3"/>
        <v>Currently Unavailable</v>
      </c>
      <c r="I8077" s="1" t="str">
        <f t="shared" si="4"/>
        <v>No Badges</v>
      </c>
      <c r="J8077" s="3">
        <f t="shared" si="5"/>
        <v>0</v>
      </c>
    </row>
    <row r="8078">
      <c r="A8078" s="1" t="s">
        <v>6161</v>
      </c>
      <c r="B8078" s="3" t="str">
        <f t="shared" si="1"/>
        <v>Unavailable</v>
      </c>
      <c r="C8078" s="5">
        <v>353306.0</v>
      </c>
      <c r="D8078" s="3">
        <f>IFERROR(__xludf.DUMMYFUNCTION("IFERROR(
IF(REGEXMATCH(LOWER(O8078),""k""),
VALUE(REGEXEXTRACT(O8078,""[0-9]+""))*1000,
VALUE(REGEXEXTRACT(O8078,""[0-9]+""))
),
0
)"),0.0)</f>
        <v>0</v>
      </c>
      <c r="E8078" s="1" t="s">
        <v>11</v>
      </c>
      <c r="F8078" s="1" t="s">
        <v>20</v>
      </c>
      <c r="G8078" s="4" t="b">
        <f t="shared" si="2"/>
        <v>1</v>
      </c>
      <c r="H8078" s="1" t="str">
        <f t="shared" si="3"/>
        <v>Currently Unavailable</v>
      </c>
      <c r="I8078" s="1" t="str">
        <f t="shared" si="4"/>
        <v>No Badges</v>
      </c>
      <c r="J8078" s="3">
        <f t="shared" si="5"/>
        <v>0</v>
      </c>
    </row>
    <row r="8079">
      <c r="A8079" s="1" t="s">
        <v>6162</v>
      </c>
      <c r="B8079" s="3" t="str">
        <f t="shared" si="1"/>
        <v>Unavailable</v>
      </c>
      <c r="C8079" s="3">
        <v>239.0</v>
      </c>
      <c r="D8079" s="3">
        <f>IFERROR(__xludf.DUMMYFUNCTION("IFERROR(
IF(REGEXMATCH(LOWER(O8079),""k""),
VALUE(REGEXEXTRACT(O8079,""[0-9]+""))*1000,
VALUE(REGEXEXTRACT(O8079,""[0-9]+""))
),
0
)"),0.0)</f>
        <v>0</v>
      </c>
      <c r="E8079" s="1" t="s">
        <v>11</v>
      </c>
      <c r="F8079" s="1" t="s">
        <v>20</v>
      </c>
      <c r="G8079" s="4" t="b">
        <f t="shared" si="2"/>
        <v>1</v>
      </c>
      <c r="H8079" s="1" t="str">
        <f t="shared" si="3"/>
        <v>Currently Unavailable</v>
      </c>
      <c r="I8079" s="1" t="str">
        <f t="shared" si="4"/>
        <v>No Badges</v>
      </c>
      <c r="J8079" s="3">
        <f t="shared" si="5"/>
        <v>0</v>
      </c>
    </row>
    <row r="8080">
      <c r="A8080" s="1" t="s">
        <v>6163</v>
      </c>
      <c r="B8080" s="3" t="str">
        <f t="shared" si="1"/>
        <v>Unavailable</v>
      </c>
      <c r="C8080" s="3">
        <v>33.0</v>
      </c>
      <c r="D8080" s="3">
        <f>IFERROR(__xludf.DUMMYFUNCTION("IFERROR(
IF(REGEXMATCH(LOWER(O8080),""k""),
VALUE(REGEXEXTRACT(O8080,""[0-9]+""))*1000,
VALUE(REGEXEXTRACT(O8080,""[0-9]+""))
),
0
)"),0.0)</f>
        <v>0</v>
      </c>
      <c r="E8080" s="1" t="s">
        <v>11</v>
      </c>
      <c r="F8080" s="1" t="s">
        <v>20</v>
      </c>
      <c r="G8080" s="4" t="b">
        <f t="shared" si="2"/>
        <v>1</v>
      </c>
      <c r="H8080" s="1" t="str">
        <f t="shared" si="3"/>
        <v>Currently Unavailable</v>
      </c>
      <c r="I8080" s="1" t="str">
        <f t="shared" si="4"/>
        <v>No Badges</v>
      </c>
      <c r="J8080" s="3">
        <f t="shared" si="5"/>
        <v>0</v>
      </c>
    </row>
    <row r="8081">
      <c r="A8081" s="1" t="s">
        <v>6164</v>
      </c>
      <c r="B8081" s="3" t="str">
        <f t="shared" si="1"/>
        <v>Unavailable</v>
      </c>
      <c r="C8081" s="3">
        <v>5.0</v>
      </c>
      <c r="D8081" s="3">
        <f>IFERROR(__xludf.DUMMYFUNCTION("IFERROR(
IF(REGEXMATCH(LOWER(O8081),""k""),
VALUE(REGEXEXTRACT(O8081,""[0-9]+""))*1000,
VALUE(REGEXEXTRACT(O8081,""[0-9]+""))
),
0
)"),0.0)</f>
        <v>0</v>
      </c>
      <c r="E8081" s="1" t="s">
        <v>11</v>
      </c>
      <c r="F8081" s="1" t="s">
        <v>20</v>
      </c>
      <c r="G8081" s="4" t="b">
        <f t="shared" si="2"/>
        <v>1</v>
      </c>
      <c r="H8081" s="1" t="str">
        <f t="shared" si="3"/>
        <v>Currently Unavailable</v>
      </c>
      <c r="I8081" s="1" t="str">
        <f t="shared" si="4"/>
        <v>No Badges</v>
      </c>
      <c r="J8081" s="3">
        <f t="shared" si="5"/>
        <v>0</v>
      </c>
    </row>
    <row r="8082">
      <c r="A8082" s="1" t="s">
        <v>6165</v>
      </c>
      <c r="B8082" s="3" t="str">
        <f t="shared" si="1"/>
        <v>Unavailable</v>
      </c>
      <c r="C8082" s="5">
        <v>2901.0</v>
      </c>
      <c r="D8082" s="3">
        <f>IFERROR(__xludf.DUMMYFUNCTION("IFERROR(
IF(REGEXMATCH(LOWER(O8082),""k""),
VALUE(REGEXEXTRACT(O8082,""[0-9]+""))*1000,
VALUE(REGEXEXTRACT(O8082,""[0-9]+""))
),
0
)"),0.0)</f>
        <v>0</v>
      </c>
      <c r="E8082" s="1" t="s">
        <v>11</v>
      </c>
      <c r="F8082" s="1" t="s">
        <v>20</v>
      </c>
      <c r="G8082" s="4" t="b">
        <f t="shared" si="2"/>
        <v>1</v>
      </c>
      <c r="H8082" s="1" t="str">
        <f t="shared" si="3"/>
        <v>Currently Unavailable</v>
      </c>
      <c r="I8082" s="1" t="str">
        <f t="shared" si="4"/>
        <v>No Badges</v>
      </c>
      <c r="J8082" s="3">
        <f t="shared" si="5"/>
        <v>0</v>
      </c>
    </row>
    <row r="8083">
      <c r="A8083" s="1" t="s">
        <v>6166</v>
      </c>
      <c r="B8083" s="3" t="str">
        <f t="shared" si="1"/>
        <v>Unavailable</v>
      </c>
      <c r="C8083" s="5">
        <v>3739.0</v>
      </c>
      <c r="D8083" s="3">
        <f>IFERROR(__xludf.DUMMYFUNCTION("IFERROR(
IF(REGEXMATCH(LOWER(O8083),""k""),
VALUE(REGEXEXTRACT(O8083,""[0-9]+""))*1000,
VALUE(REGEXEXTRACT(O8083,""[0-9]+""))
),
0
)"),0.0)</f>
        <v>0</v>
      </c>
      <c r="E8083" s="1" t="s">
        <v>11</v>
      </c>
      <c r="F8083" s="1" t="s">
        <v>20</v>
      </c>
      <c r="G8083" s="4" t="b">
        <f t="shared" si="2"/>
        <v>1</v>
      </c>
      <c r="H8083" s="1" t="str">
        <f t="shared" si="3"/>
        <v>Currently Unavailable</v>
      </c>
      <c r="I8083" s="1" t="str">
        <f t="shared" si="4"/>
        <v>No Badges</v>
      </c>
      <c r="J8083" s="3">
        <f t="shared" si="5"/>
        <v>0</v>
      </c>
    </row>
    <row r="8084">
      <c r="A8084" s="1" t="s">
        <v>6167</v>
      </c>
      <c r="B8084" s="3" t="str">
        <f t="shared" si="1"/>
        <v>Unavailable</v>
      </c>
      <c r="C8084" s="5">
        <v>1072.0</v>
      </c>
      <c r="D8084" s="3">
        <f>IFERROR(__xludf.DUMMYFUNCTION("IFERROR(
IF(REGEXMATCH(LOWER(O8084),""k""),
VALUE(REGEXEXTRACT(O8084,""[0-9]+""))*1000,
VALUE(REGEXEXTRACT(O8084,""[0-9]+""))
),
0
)"),0.0)</f>
        <v>0</v>
      </c>
      <c r="E8084" s="1" t="s">
        <v>11</v>
      </c>
      <c r="F8084" s="1" t="s">
        <v>20</v>
      </c>
      <c r="G8084" s="4" t="b">
        <f t="shared" si="2"/>
        <v>1</v>
      </c>
      <c r="H8084" s="1" t="str">
        <f t="shared" si="3"/>
        <v>Currently Unavailable</v>
      </c>
      <c r="I8084" s="1" t="str">
        <f t="shared" si="4"/>
        <v>No Badges</v>
      </c>
      <c r="J8084" s="3">
        <f t="shared" si="5"/>
        <v>0</v>
      </c>
    </row>
    <row r="8085">
      <c r="A8085" s="1" t="s">
        <v>5817</v>
      </c>
      <c r="B8085" s="3" t="str">
        <f t="shared" si="1"/>
        <v>Unavailable</v>
      </c>
      <c r="C8085" s="5">
        <v>7235.0</v>
      </c>
      <c r="D8085" s="3">
        <f>IFERROR(__xludf.DUMMYFUNCTION("IFERROR(
IF(REGEXMATCH(LOWER(O8085),""k""),
VALUE(REGEXEXTRACT(O8085,""[0-9]+""))*1000,
VALUE(REGEXEXTRACT(O8085,""[0-9]+""))
),
0
)"),0.0)</f>
        <v>0</v>
      </c>
      <c r="E8085" s="1" t="s">
        <v>11</v>
      </c>
      <c r="F8085" s="1" t="s">
        <v>12</v>
      </c>
      <c r="G8085" s="4" t="b">
        <f t="shared" si="2"/>
        <v>1</v>
      </c>
      <c r="H8085" s="1" t="str">
        <f t="shared" si="3"/>
        <v>Currently Unavailable</v>
      </c>
      <c r="I8085" s="1" t="str">
        <f t="shared" si="4"/>
        <v>No Badges</v>
      </c>
      <c r="J8085" s="3">
        <f t="shared" si="5"/>
        <v>0</v>
      </c>
    </row>
    <row r="8086">
      <c r="A8086" s="1" t="s">
        <v>6168</v>
      </c>
      <c r="B8086" s="3" t="str">
        <f t="shared" si="1"/>
        <v>Unavailable</v>
      </c>
      <c r="C8086" s="3">
        <v>416.0</v>
      </c>
      <c r="D8086" s="3">
        <f>IFERROR(__xludf.DUMMYFUNCTION("IFERROR(
IF(REGEXMATCH(LOWER(O8086),""k""),
VALUE(REGEXEXTRACT(O8086,""[0-9]+""))*1000,
VALUE(REGEXEXTRACT(O8086,""[0-9]+""))
),
0
)"),0.0)</f>
        <v>0</v>
      </c>
      <c r="E8086" s="1" t="s">
        <v>11</v>
      </c>
      <c r="F8086" s="1" t="s">
        <v>20</v>
      </c>
      <c r="G8086" s="4" t="b">
        <f t="shared" si="2"/>
        <v>1</v>
      </c>
      <c r="H8086" s="1" t="str">
        <f t="shared" si="3"/>
        <v>Currently Unavailable</v>
      </c>
      <c r="I8086" s="1" t="str">
        <f t="shared" si="4"/>
        <v>No Badges</v>
      </c>
      <c r="J8086" s="3">
        <f t="shared" si="5"/>
        <v>0</v>
      </c>
    </row>
    <row r="8087">
      <c r="A8087" s="1" t="s">
        <v>6169</v>
      </c>
      <c r="B8087" s="3" t="str">
        <f t="shared" si="1"/>
        <v>Unavailable</v>
      </c>
      <c r="C8087" s="5">
        <v>3858.0</v>
      </c>
      <c r="D8087" s="3">
        <f>IFERROR(__xludf.DUMMYFUNCTION("IFERROR(
IF(REGEXMATCH(LOWER(O8087),""k""),
VALUE(REGEXEXTRACT(O8087,""[0-9]+""))*1000,
VALUE(REGEXEXTRACT(O8087,""[0-9]+""))
),
0
)"),0.0)</f>
        <v>0</v>
      </c>
      <c r="E8087" s="1" t="s">
        <v>11</v>
      </c>
      <c r="F8087" s="1" t="s">
        <v>20</v>
      </c>
      <c r="G8087" s="4" t="b">
        <f t="shared" si="2"/>
        <v>1</v>
      </c>
      <c r="H8087" s="1" t="str">
        <f t="shared" si="3"/>
        <v>Currently Unavailable</v>
      </c>
      <c r="I8087" s="1" t="str">
        <f t="shared" si="4"/>
        <v>No Badges</v>
      </c>
      <c r="J8087" s="3">
        <f t="shared" si="5"/>
        <v>0</v>
      </c>
    </row>
    <row r="8088">
      <c r="A8088" s="1" t="s">
        <v>6170</v>
      </c>
      <c r="B8088" s="3" t="str">
        <f t="shared" si="1"/>
        <v>Unavailable</v>
      </c>
      <c r="C8088" s="5">
        <v>5228.0</v>
      </c>
      <c r="D8088" s="3">
        <f>IFERROR(__xludf.DUMMYFUNCTION("IFERROR(
IF(REGEXMATCH(LOWER(O8088),""k""),
VALUE(REGEXEXTRACT(O8088,""[0-9]+""))*1000,
VALUE(REGEXEXTRACT(O8088,""[0-9]+""))
),
0
)"),0.0)</f>
        <v>0</v>
      </c>
      <c r="E8088" s="1" t="s">
        <v>11</v>
      </c>
      <c r="F8088" s="1" t="s">
        <v>20</v>
      </c>
      <c r="G8088" s="4" t="b">
        <f t="shared" si="2"/>
        <v>1</v>
      </c>
      <c r="H8088" s="1" t="str">
        <f t="shared" si="3"/>
        <v>Currently Unavailable</v>
      </c>
      <c r="I8088" s="1" t="str">
        <f t="shared" si="4"/>
        <v>No Badges</v>
      </c>
      <c r="J8088" s="3">
        <f t="shared" si="5"/>
        <v>0</v>
      </c>
    </row>
    <row r="8089">
      <c r="A8089" s="1" t="s">
        <v>6171</v>
      </c>
      <c r="B8089" s="3" t="str">
        <f t="shared" si="1"/>
        <v>Unavailable</v>
      </c>
      <c r="C8089" s="3">
        <v>263.0</v>
      </c>
      <c r="D8089" s="3">
        <f>IFERROR(__xludf.DUMMYFUNCTION("IFERROR(
IF(REGEXMATCH(LOWER(O8089),""k""),
VALUE(REGEXEXTRACT(O8089,""[0-9]+""))*1000,
VALUE(REGEXEXTRACT(O8089,""[0-9]+""))
),
0
)"),0.0)</f>
        <v>0</v>
      </c>
      <c r="E8089" s="1" t="s">
        <v>11</v>
      </c>
      <c r="F8089" s="1" t="s">
        <v>20</v>
      </c>
      <c r="G8089" s="4" t="b">
        <f t="shared" si="2"/>
        <v>1</v>
      </c>
      <c r="H8089" s="1" t="str">
        <f t="shared" si="3"/>
        <v>Currently Unavailable</v>
      </c>
      <c r="I8089" s="1" t="str">
        <f t="shared" si="4"/>
        <v>No Badges</v>
      </c>
      <c r="J8089" s="3">
        <f t="shared" si="5"/>
        <v>0</v>
      </c>
    </row>
    <row r="8090">
      <c r="A8090" s="1" t="s">
        <v>6172</v>
      </c>
      <c r="B8090" s="3" t="str">
        <f t="shared" si="1"/>
        <v>Unavailable</v>
      </c>
      <c r="C8090" s="5">
        <v>4596.0</v>
      </c>
      <c r="D8090" s="3">
        <f>IFERROR(__xludf.DUMMYFUNCTION("IFERROR(
IF(REGEXMATCH(LOWER(O8090),""k""),
VALUE(REGEXEXTRACT(O8090,""[0-9]+""))*1000,
VALUE(REGEXEXTRACT(O8090,""[0-9]+""))
),
0
)"),0.0)</f>
        <v>0</v>
      </c>
      <c r="E8090" s="1" t="s">
        <v>11</v>
      </c>
      <c r="F8090" s="1" t="s">
        <v>20</v>
      </c>
      <c r="G8090" s="4" t="b">
        <f t="shared" si="2"/>
        <v>1</v>
      </c>
      <c r="H8090" s="1" t="str">
        <f t="shared" si="3"/>
        <v>Currently Unavailable</v>
      </c>
      <c r="I8090" s="1" t="str">
        <f t="shared" si="4"/>
        <v>No Badges</v>
      </c>
      <c r="J8090" s="3">
        <f t="shared" si="5"/>
        <v>0</v>
      </c>
    </row>
    <row r="8091">
      <c r="A8091" s="1" t="s">
        <v>6173</v>
      </c>
      <c r="B8091" s="3" t="str">
        <f t="shared" si="1"/>
        <v>Unavailable</v>
      </c>
      <c r="C8091" s="5">
        <v>1268.0</v>
      </c>
      <c r="D8091" s="3">
        <f>IFERROR(__xludf.DUMMYFUNCTION("IFERROR(
IF(REGEXMATCH(LOWER(O8091),""k""),
VALUE(REGEXEXTRACT(O8091,""[0-9]+""))*1000,
VALUE(REGEXEXTRACT(O8091,""[0-9]+""))
),
0
)"),0.0)</f>
        <v>0</v>
      </c>
      <c r="E8091" s="1" t="s">
        <v>11</v>
      </c>
      <c r="F8091" s="1" t="s">
        <v>20</v>
      </c>
      <c r="G8091" s="4" t="b">
        <f t="shared" si="2"/>
        <v>1</v>
      </c>
      <c r="H8091" s="1" t="str">
        <f t="shared" si="3"/>
        <v>Currently Unavailable</v>
      </c>
      <c r="I8091" s="1" t="str">
        <f t="shared" si="4"/>
        <v>No Badges</v>
      </c>
      <c r="J8091" s="3">
        <f t="shared" si="5"/>
        <v>0</v>
      </c>
    </row>
    <row r="8092">
      <c r="A8092" s="1" t="s">
        <v>69</v>
      </c>
      <c r="B8092" s="3" t="str">
        <f t="shared" si="1"/>
        <v>Unavailable</v>
      </c>
      <c r="C8092" s="3">
        <v>45.0</v>
      </c>
      <c r="D8092" s="3">
        <f>IFERROR(__xludf.DUMMYFUNCTION("IFERROR(
IF(REGEXMATCH(LOWER(O8092),""k""),
VALUE(REGEXEXTRACT(O8092,""[0-9]+""))*1000,
VALUE(REGEXEXTRACT(O8092,""[0-9]+""))
),
0
)"),0.0)</f>
        <v>0</v>
      </c>
      <c r="E8092" s="1" t="s">
        <v>11</v>
      </c>
      <c r="F8092" s="1" t="s">
        <v>12</v>
      </c>
      <c r="G8092" s="4" t="b">
        <f t="shared" si="2"/>
        <v>1</v>
      </c>
      <c r="H8092" s="1" t="str">
        <f t="shared" si="3"/>
        <v>Currently Unavailable</v>
      </c>
      <c r="I8092" s="1" t="str">
        <f t="shared" si="4"/>
        <v>No Badges</v>
      </c>
      <c r="J8092" s="3">
        <f t="shared" si="5"/>
        <v>0</v>
      </c>
    </row>
    <row r="8093">
      <c r="A8093" s="1" t="s">
        <v>6174</v>
      </c>
      <c r="B8093" s="3" t="str">
        <f t="shared" si="1"/>
        <v>Unavailable</v>
      </c>
      <c r="C8093" s="3">
        <v>732.0</v>
      </c>
      <c r="D8093" s="3">
        <f>IFERROR(__xludf.DUMMYFUNCTION("IFERROR(
IF(REGEXMATCH(LOWER(O8093),""k""),
VALUE(REGEXEXTRACT(O8093,""[0-9]+""))*1000,
VALUE(REGEXEXTRACT(O8093,""[0-9]+""))
),
0
)"),0.0)</f>
        <v>0</v>
      </c>
      <c r="E8093" s="1" t="s">
        <v>11</v>
      </c>
      <c r="F8093" s="1" t="s">
        <v>12</v>
      </c>
      <c r="G8093" s="4" t="b">
        <f t="shared" si="2"/>
        <v>1</v>
      </c>
      <c r="H8093" s="1" t="str">
        <f t="shared" si="3"/>
        <v>Currently Unavailable</v>
      </c>
      <c r="I8093" s="1" t="str">
        <f t="shared" si="4"/>
        <v>No Badges</v>
      </c>
      <c r="J8093" s="3">
        <f t="shared" si="5"/>
        <v>0</v>
      </c>
    </row>
    <row r="8094">
      <c r="A8094" s="1" t="s">
        <v>6175</v>
      </c>
      <c r="B8094" s="3" t="str">
        <f t="shared" si="1"/>
        <v>Unavailable</v>
      </c>
      <c r="C8094" s="5">
        <v>2216.0</v>
      </c>
      <c r="D8094" s="3">
        <f>IFERROR(__xludf.DUMMYFUNCTION("IFERROR(
IF(REGEXMATCH(LOWER(O8094),""k""),
VALUE(REGEXEXTRACT(O8094,""[0-9]+""))*1000,
VALUE(REGEXEXTRACT(O8094,""[0-9]+""))
),
0
)"),0.0)</f>
        <v>0</v>
      </c>
      <c r="E8094" s="1" t="s">
        <v>11</v>
      </c>
      <c r="F8094" s="1" t="s">
        <v>20</v>
      </c>
      <c r="G8094" s="4" t="b">
        <f t="shared" si="2"/>
        <v>1</v>
      </c>
      <c r="H8094" s="1" t="str">
        <f t="shared" si="3"/>
        <v>Currently Unavailable</v>
      </c>
      <c r="I8094" s="1" t="str">
        <f t="shared" si="4"/>
        <v>No Badges</v>
      </c>
      <c r="J8094" s="3">
        <f t="shared" si="5"/>
        <v>0</v>
      </c>
    </row>
    <row r="8095">
      <c r="A8095" s="1" t="s">
        <v>6176</v>
      </c>
      <c r="B8095" s="3" t="str">
        <f t="shared" si="1"/>
        <v>Unavailable</v>
      </c>
      <c r="C8095" s="5">
        <v>6579.0</v>
      </c>
      <c r="D8095" s="3">
        <f>IFERROR(__xludf.DUMMYFUNCTION("IFERROR(
IF(REGEXMATCH(LOWER(O8095),""k""),
VALUE(REGEXEXTRACT(O8095,""[0-9]+""))*1000,
VALUE(REGEXEXTRACT(O8095,""[0-9]+""))
),
0
)"),0.0)</f>
        <v>0</v>
      </c>
      <c r="E8095" s="1" t="s">
        <v>11</v>
      </c>
      <c r="F8095" s="1" t="s">
        <v>20</v>
      </c>
      <c r="G8095" s="4" t="b">
        <f t="shared" si="2"/>
        <v>1</v>
      </c>
      <c r="H8095" s="1" t="str">
        <f t="shared" si="3"/>
        <v>Currently Unavailable</v>
      </c>
      <c r="I8095" s="1" t="str">
        <f t="shared" si="4"/>
        <v>No Badges</v>
      </c>
      <c r="J8095" s="3">
        <f t="shared" si="5"/>
        <v>0</v>
      </c>
    </row>
    <row r="8096">
      <c r="A8096" s="1" t="s">
        <v>6177</v>
      </c>
      <c r="B8096" s="3" t="str">
        <f t="shared" si="1"/>
        <v>Unavailable</v>
      </c>
      <c r="C8096" s="5">
        <v>5535.0</v>
      </c>
      <c r="D8096" s="3">
        <f>IFERROR(__xludf.DUMMYFUNCTION("IFERROR(
IF(REGEXMATCH(LOWER(O8096),""k""),
VALUE(REGEXEXTRACT(O8096,""[0-9]+""))*1000,
VALUE(REGEXEXTRACT(O8096,""[0-9]+""))
),
0
)"),0.0)</f>
        <v>0</v>
      </c>
      <c r="E8096" s="1" t="s">
        <v>11</v>
      </c>
      <c r="F8096" s="1" t="s">
        <v>20</v>
      </c>
      <c r="G8096" s="4" t="b">
        <f t="shared" si="2"/>
        <v>1</v>
      </c>
      <c r="H8096" s="1" t="str">
        <f t="shared" si="3"/>
        <v>Currently Unavailable</v>
      </c>
      <c r="I8096" s="1" t="str">
        <f t="shared" si="4"/>
        <v>No Badges</v>
      </c>
      <c r="J8096" s="3">
        <f t="shared" si="5"/>
        <v>0</v>
      </c>
    </row>
    <row r="8097">
      <c r="A8097" s="1" t="s">
        <v>6178</v>
      </c>
      <c r="B8097" s="3" t="str">
        <f t="shared" si="1"/>
        <v>Unavailable</v>
      </c>
      <c r="C8097" s="5">
        <v>1936.0</v>
      </c>
      <c r="D8097" s="3">
        <f>IFERROR(__xludf.DUMMYFUNCTION("IFERROR(
IF(REGEXMATCH(LOWER(O8097),""k""),
VALUE(REGEXEXTRACT(O8097,""[0-9]+""))*1000,
VALUE(REGEXEXTRACT(O8097,""[0-9]+""))
),
0
)"),0.0)</f>
        <v>0</v>
      </c>
      <c r="E8097" s="1" t="s">
        <v>11</v>
      </c>
      <c r="F8097" s="1" t="s">
        <v>20</v>
      </c>
      <c r="G8097" s="4" t="b">
        <f t="shared" si="2"/>
        <v>1</v>
      </c>
      <c r="H8097" s="1" t="str">
        <f t="shared" si="3"/>
        <v>Currently Unavailable</v>
      </c>
      <c r="I8097" s="1" t="str">
        <f t="shared" si="4"/>
        <v>No Badges</v>
      </c>
      <c r="J8097" s="3">
        <f t="shared" si="5"/>
        <v>0</v>
      </c>
    </row>
    <row r="8098">
      <c r="A8098" s="1" t="s">
        <v>6179</v>
      </c>
      <c r="B8098" s="3" t="str">
        <f t="shared" si="1"/>
        <v>Unavailable</v>
      </c>
      <c r="C8098" s="3">
        <v>43.0</v>
      </c>
      <c r="D8098" s="3">
        <f>IFERROR(__xludf.DUMMYFUNCTION("IFERROR(
IF(REGEXMATCH(LOWER(O8098),""k""),
VALUE(REGEXEXTRACT(O8098,""[0-9]+""))*1000,
VALUE(REGEXEXTRACT(O8098,""[0-9]+""))
),
0
)"),0.0)</f>
        <v>0</v>
      </c>
      <c r="E8098" s="1" t="s">
        <v>11</v>
      </c>
      <c r="F8098" s="1" t="s">
        <v>20</v>
      </c>
      <c r="G8098" s="4" t="b">
        <f t="shared" si="2"/>
        <v>1</v>
      </c>
      <c r="H8098" s="1" t="str">
        <f t="shared" si="3"/>
        <v>Currently Unavailable</v>
      </c>
      <c r="I8098" s="1" t="str">
        <f t="shared" si="4"/>
        <v>No Badges</v>
      </c>
      <c r="J8098" s="3">
        <f t="shared" si="5"/>
        <v>0</v>
      </c>
    </row>
    <row r="8099">
      <c r="A8099" s="1" t="s">
        <v>6180</v>
      </c>
      <c r="B8099" s="3" t="str">
        <f t="shared" si="1"/>
        <v>Unavailable</v>
      </c>
      <c r="C8099" s="3">
        <v>355.0</v>
      </c>
      <c r="D8099" s="3">
        <f>IFERROR(__xludf.DUMMYFUNCTION("IFERROR(
IF(REGEXMATCH(LOWER(O8099),""k""),
VALUE(REGEXEXTRACT(O8099,""[0-9]+""))*1000,
VALUE(REGEXEXTRACT(O8099,""[0-9]+""))
),
0
)"),0.0)</f>
        <v>0</v>
      </c>
      <c r="E8099" s="1" t="s">
        <v>11</v>
      </c>
      <c r="F8099" s="1" t="s">
        <v>20</v>
      </c>
      <c r="G8099" s="4" t="b">
        <f t="shared" si="2"/>
        <v>1</v>
      </c>
      <c r="H8099" s="1" t="str">
        <f t="shared" si="3"/>
        <v>Currently Unavailable</v>
      </c>
      <c r="I8099" s="1" t="str">
        <f t="shared" si="4"/>
        <v>No Badges</v>
      </c>
      <c r="J8099" s="3">
        <f t="shared" si="5"/>
        <v>0</v>
      </c>
    </row>
    <row r="8100">
      <c r="A8100" s="1" t="s">
        <v>6181</v>
      </c>
      <c r="B8100" s="3" t="str">
        <f t="shared" si="1"/>
        <v>Unavailable</v>
      </c>
      <c r="C8100" s="3">
        <v>917.0</v>
      </c>
      <c r="D8100" s="3">
        <f>IFERROR(__xludf.DUMMYFUNCTION("IFERROR(
IF(REGEXMATCH(LOWER(O8100),""k""),
VALUE(REGEXEXTRACT(O8100,""[0-9]+""))*1000,
VALUE(REGEXEXTRACT(O8100,""[0-9]+""))
),
0
)"),0.0)</f>
        <v>0</v>
      </c>
      <c r="E8100" s="1" t="s">
        <v>11</v>
      </c>
      <c r="F8100" s="1" t="s">
        <v>20</v>
      </c>
      <c r="G8100" s="4" t="b">
        <f t="shared" si="2"/>
        <v>1</v>
      </c>
      <c r="H8100" s="1" t="str">
        <f t="shared" si="3"/>
        <v>Currently Unavailable</v>
      </c>
      <c r="I8100" s="1" t="str">
        <f t="shared" si="4"/>
        <v>No Badges</v>
      </c>
      <c r="J8100" s="3">
        <f t="shared" si="5"/>
        <v>0</v>
      </c>
    </row>
    <row r="8101">
      <c r="A8101" s="1" t="s">
        <v>6182</v>
      </c>
      <c r="B8101" s="3" t="str">
        <f t="shared" si="1"/>
        <v>Unavailable</v>
      </c>
      <c r="C8101" s="5">
        <v>1306.0</v>
      </c>
      <c r="D8101" s="3">
        <f>IFERROR(__xludf.DUMMYFUNCTION("IFERROR(
IF(REGEXMATCH(LOWER(O8101),""k""),
VALUE(REGEXEXTRACT(O8101,""[0-9]+""))*1000,
VALUE(REGEXEXTRACT(O8101,""[0-9]+""))
),
0
)"),0.0)</f>
        <v>0</v>
      </c>
      <c r="E8101" s="1" t="s">
        <v>11</v>
      </c>
      <c r="F8101" s="1" t="s">
        <v>20</v>
      </c>
      <c r="G8101" s="4" t="b">
        <f t="shared" si="2"/>
        <v>1</v>
      </c>
      <c r="H8101" s="1" t="str">
        <f t="shared" si="3"/>
        <v>Currently Unavailable</v>
      </c>
      <c r="I8101" s="1" t="str">
        <f t="shared" si="4"/>
        <v>No Badges</v>
      </c>
      <c r="J8101" s="3">
        <f t="shared" si="5"/>
        <v>0</v>
      </c>
    </row>
    <row r="8102">
      <c r="A8102" s="1" t="s">
        <v>6183</v>
      </c>
      <c r="B8102" s="3" t="str">
        <f t="shared" si="1"/>
        <v>Unavailable</v>
      </c>
      <c r="C8102" s="5">
        <v>5124.0</v>
      </c>
      <c r="D8102" s="3">
        <f>IFERROR(__xludf.DUMMYFUNCTION("IFERROR(
IF(REGEXMATCH(LOWER(O8102),""k""),
VALUE(REGEXEXTRACT(O8102,""[0-9]+""))*1000,
VALUE(REGEXEXTRACT(O8102,""[0-9]+""))
),
0
)"),0.0)</f>
        <v>0</v>
      </c>
      <c r="E8102" s="1" t="s">
        <v>11</v>
      </c>
      <c r="F8102" s="1" t="s">
        <v>20</v>
      </c>
      <c r="G8102" s="4" t="b">
        <f t="shared" si="2"/>
        <v>1</v>
      </c>
      <c r="H8102" s="1" t="str">
        <f t="shared" si="3"/>
        <v>Currently Unavailable</v>
      </c>
      <c r="I8102" s="1" t="str">
        <f t="shared" si="4"/>
        <v>No Badges</v>
      </c>
      <c r="J8102" s="3">
        <f t="shared" si="5"/>
        <v>0</v>
      </c>
    </row>
    <row r="8103">
      <c r="A8103" s="1" t="s">
        <v>6184</v>
      </c>
      <c r="B8103" s="3" t="str">
        <f t="shared" si="1"/>
        <v>Unavailable</v>
      </c>
      <c r="C8103" s="5">
        <v>29376.0</v>
      </c>
      <c r="D8103" s="3">
        <f>IFERROR(__xludf.DUMMYFUNCTION("IFERROR(
IF(REGEXMATCH(LOWER(O8103),""k""),
VALUE(REGEXEXTRACT(O8103,""[0-9]+""))*1000,
VALUE(REGEXEXTRACT(O8103,""[0-9]+""))
),
0
)"),0.0)</f>
        <v>0</v>
      </c>
      <c r="E8103" s="1" t="s">
        <v>11</v>
      </c>
      <c r="F8103" s="1" t="s">
        <v>20</v>
      </c>
      <c r="G8103" s="4" t="b">
        <f t="shared" si="2"/>
        <v>1</v>
      </c>
      <c r="H8103" s="1" t="str">
        <f t="shared" si="3"/>
        <v>Currently Unavailable</v>
      </c>
      <c r="I8103" s="1" t="str">
        <f t="shared" si="4"/>
        <v>No Badges</v>
      </c>
      <c r="J8103" s="3">
        <f t="shared" si="5"/>
        <v>0</v>
      </c>
    </row>
    <row r="8104">
      <c r="A8104" s="1" t="s">
        <v>6185</v>
      </c>
      <c r="B8104" s="3" t="str">
        <f t="shared" si="1"/>
        <v>Unavailable</v>
      </c>
      <c r="C8104" s="3">
        <v>214.0</v>
      </c>
      <c r="D8104" s="3">
        <f>IFERROR(__xludf.DUMMYFUNCTION("IFERROR(
IF(REGEXMATCH(LOWER(O8104),""k""),
VALUE(REGEXEXTRACT(O8104,""[0-9]+""))*1000,
VALUE(REGEXEXTRACT(O8104,""[0-9]+""))
),
0
)"),0.0)</f>
        <v>0</v>
      </c>
      <c r="E8104" s="1" t="s">
        <v>11</v>
      </c>
      <c r="F8104" s="1" t="s">
        <v>20</v>
      </c>
      <c r="G8104" s="4" t="b">
        <f t="shared" si="2"/>
        <v>1</v>
      </c>
      <c r="H8104" s="1" t="str">
        <f t="shared" si="3"/>
        <v>Currently Unavailable</v>
      </c>
      <c r="I8104" s="1" t="str">
        <f t="shared" si="4"/>
        <v>No Badges</v>
      </c>
      <c r="J8104" s="3">
        <f t="shared" si="5"/>
        <v>0</v>
      </c>
    </row>
    <row r="8105">
      <c r="A8105" s="1" t="s">
        <v>67</v>
      </c>
      <c r="B8105" s="3" t="str">
        <f t="shared" si="1"/>
        <v>Unavailable</v>
      </c>
      <c r="C8105" s="3">
        <v>264.0</v>
      </c>
      <c r="D8105" s="3">
        <f>IFERROR(__xludf.DUMMYFUNCTION("IFERROR(
IF(REGEXMATCH(LOWER(O8105),""k""),
VALUE(REGEXEXTRACT(O8105,""[0-9]+""))*1000,
VALUE(REGEXEXTRACT(O8105,""[0-9]+""))
),
0
)"),0.0)</f>
        <v>0</v>
      </c>
      <c r="E8105" s="1" t="s">
        <v>11</v>
      </c>
      <c r="F8105" s="1" t="s">
        <v>12</v>
      </c>
      <c r="G8105" s="4" t="b">
        <f t="shared" si="2"/>
        <v>1</v>
      </c>
      <c r="H8105" s="1" t="str">
        <f t="shared" si="3"/>
        <v>Currently Unavailable</v>
      </c>
      <c r="I8105" s="1" t="str">
        <f t="shared" si="4"/>
        <v>No Badges</v>
      </c>
      <c r="J8105" s="3">
        <f t="shared" si="5"/>
        <v>0</v>
      </c>
    </row>
    <row r="8106">
      <c r="A8106" s="1" t="s">
        <v>6186</v>
      </c>
      <c r="B8106" s="3" t="str">
        <f t="shared" si="1"/>
        <v>Unavailable</v>
      </c>
      <c r="C8106" s="3">
        <v>823.0</v>
      </c>
      <c r="D8106" s="3">
        <f>IFERROR(__xludf.DUMMYFUNCTION("IFERROR(
IF(REGEXMATCH(LOWER(O8106),""k""),
VALUE(REGEXEXTRACT(O8106,""[0-9]+""))*1000,
VALUE(REGEXEXTRACT(O8106,""[0-9]+""))
),
0
)"),0.0)</f>
        <v>0</v>
      </c>
      <c r="E8106" s="1" t="s">
        <v>11</v>
      </c>
      <c r="F8106" s="1" t="s">
        <v>20</v>
      </c>
      <c r="G8106" s="4" t="b">
        <f t="shared" si="2"/>
        <v>1</v>
      </c>
      <c r="H8106" s="1" t="str">
        <f t="shared" si="3"/>
        <v>Currently Unavailable</v>
      </c>
      <c r="I8106" s="1" t="str">
        <f t="shared" si="4"/>
        <v>No Badges</v>
      </c>
      <c r="J8106" s="3">
        <f t="shared" si="5"/>
        <v>0</v>
      </c>
    </row>
    <row r="8107">
      <c r="A8107" s="1" t="s">
        <v>6187</v>
      </c>
      <c r="B8107" s="3" t="str">
        <f t="shared" si="1"/>
        <v>Unavailable</v>
      </c>
      <c r="C8107" s="3">
        <v>12.0</v>
      </c>
      <c r="D8107" s="3">
        <f>IFERROR(__xludf.DUMMYFUNCTION("IFERROR(
IF(REGEXMATCH(LOWER(O8107),""k""),
VALUE(REGEXEXTRACT(O8107,""[0-9]+""))*1000,
VALUE(REGEXEXTRACT(O8107,""[0-9]+""))
),
0
)"),0.0)</f>
        <v>0</v>
      </c>
      <c r="E8107" s="1" t="s">
        <v>11</v>
      </c>
      <c r="F8107" s="1" t="s">
        <v>12</v>
      </c>
      <c r="G8107" s="4" t="b">
        <f t="shared" si="2"/>
        <v>1</v>
      </c>
      <c r="H8107" s="1" t="str">
        <f t="shared" si="3"/>
        <v>Currently Unavailable</v>
      </c>
      <c r="I8107" s="1" t="str">
        <f t="shared" si="4"/>
        <v>No Badges</v>
      </c>
      <c r="J8107" s="3">
        <f t="shared" si="5"/>
        <v>0</v>
      </c>
    </row>
    <row r="8108">
      <c r="A8108" s="1" t="s">
        <v>5817</v>
      </c>
      <c r="B8108" s="3" t="str">
        <f t="shared" si="1"/>
        <v>Unavailable</v>
      </c>
      <c r="C8108" s="5">
        <v>7235.0</v>
      </c>
      <c r="D8108" s="3">
        <f>IFERROR(__xludf.DUMMYFUNCTION("IFERROR(
IF(REGEXMATCH(LOWER(O8108),""k""),
VALUE(REGEXEXTRACT(O8108,""[0-9]+""))*1000,
VALUE(REGEXEXTRACT(O8108,""[0-9]+""))
),
0
)"),0.0)</f>
        <v>0</v>
      </c>
      <c r="E8108" s="1" t="s">
        <v>11</v>
      </c>
      <c r="F8108" s="1" t="s">
        <v>12</v>
      </c>
      <c r="G8108" s="4" t="b">
        <f t="shared" si="2"/>
        <v>1</v>
      </c>
      <c r="H8108" s="1" t="str">
        <f t="shared" si="3"/>
        <v>Currently Unavailable</v>
      </c>
      <c r="I8108" s="1" t="str">
        <f t="shared" si="4"/>
        <v>No Badges</v>
      </c>
      <c r="J8108" s="3">
        <f t="shared" si="5"/>
        <v>0</v>
      </c>
    </row>
    <row r="8109">
      <c r="A8109" s="1" t="s">
        <v>6188</v>
      </c>
      <c r="B8109" s="3" t="str">
        <f t="shared" si="1"/>
        <v>Unavailable</v>
      </c>
      <c r="C8109" s="5">
        <v>3361.0</v>
      </c>
      <c r="D8109" s="3">
        <f>IFERROR(__xludf.DUMMYFUNCTION("IFERROR(
IF(REGEXMATCH(LOWER(O8109),""k""),
VALUE(REGEXEXTRACT(O8109,""[0-9]+""))*1000,
VALUE(REGEXEXTRACT(O8109,""[0-9]+""))
),
0
)"),0.0)</f>
        <v>0</v>
      </c>
      <c r="E8109" s="1" t="s">
        <v>11</v>
      </c>
      <c r="F8109" s="1" t="s">
        <v>20</v>
      </c>
      <c r="G8109" s="4" t="b">
        <f t="shared" si="2"/>
        <v>1</v>
      </c>
      <c r="H8109" s="1" t="str">
        <f t="shared" si="3"/>
        <v>Currently Unavailable</v>
      </c>
      <c r="I8109" s="1" t="str">
        <f t="shared" si="4"/>
        <v>No Badges</v>
      </c>
      <c r="J8109" s="3">
        <f t="shared" si="5"/>
        <v>0</v>
      </c>
    </row>
    <row r="8110">
      <c r="A8110" s="1" t="s">
        <v>6189</v>
      </c>
      <c r="B8110" s="3" t="str">
        <f t="shared" si="1"/>
        <v>Unavailable</v>
      </c>
      <c r="C8110" s="3">
        <v>100.0</v>
      </c>
      <c r="D8110" s="3">
        <f>IFERROR(__xludf.DUMMYFUNCTION("IFERROR(
IF(REGEXMATCH(LOWER(O8110),""k""),
VALUE(REGEXEXTRACT(O8110,""[0-9]+""))*1000,
VALUE(REGEXEXTRACT(O8110,""[0-9]+""))
),
0
)"),0.0)</f>
        <v>0</v>
      </c>
      <c r="E8110" s="1" t="s">
        <v>11</v>
      </c>
      <c r="F8110" s="1" t="s">
        <v>20</v>
      </c>
      <c r="G8110" s="4" t="b">
        <f t="shared" si="2"/>
        <v>1</v>
      </c>
      <c r="H8110" s="1" t="str">
        <f t="shared" si="3"/>
        <v>Currently Unavailable</v>
      </c>
      <c r="I8110" s="1" t="str">
        <f t="shared" si="4"/>
        <v>No Badges</v>
      </c>
      <c r="J8110" s="3">
        <f t="shared" si="5"/>
        <v>0</v>
      </c>
    </row>
    <row r="8111">
      <c r="A8111" s="1" t="s">
        <v>6190</v>
      </c>
      <c r="B8111" s="3" t="str">
        <f t="shared" si="1"/>
        <v>Unavailable</v>
      </c>
      <c r="C8111" s="3">
        <v>203.0</v>
      </c>
      <c r="D8111" s="3">
        <f>IFERROR(__xludf.DUMMYFUNCTION("IFERROR(
IF(REGEXMATCH(LOWER(O8111),""k""),
VALUE(REGEXEXTRACT(O8111,""[0-9]+""))*1000,
VALUE(REGEXEXTRACT(O8111,""[0-9]+""))
),
0
)"),0.0)</f>
        <v>0</v>
      </c>
      <c r="E8111" s="1" t="s">
        <v>11</v>
      </c>
      <c r="F8111" s="1" t="s">
        <v>20</v>
      </c>
      <c r="G8111" s="4" t="b">
        <f t="shared" si="2"/>
        <v>1</v>
      </c>
      <c r="H8111" s="1" t="str">
        <f t="shared" si="3"/>
        <v>Currently Unavailable</v>
      </c>
      <c r="I8111" s="1" t="str">
        <f t="shared" si="4"/>
        <v>No Badges</v>
      </c>
      <c r="J8111" s="3">
        <f t="shared" si="5"/>
        <v>0</v>
      </c>
    </row>
    <row r="8112">
      <c r="A8112" s="1" t="s">
        <v>6191</v>
      </c>
      <c r="B8112" s="3" t="str">
        <f t="shared" si="1"/>
        <v>Unavailable</v>
      </c>
      <c r="C8112" s="5">
        <v>1940.0</v>
      </c>
      <c r="D8112" s="3">
        <f>IFERROR(__xludf.DUMMYFUNCTION("IFERROR(
IF(REGEXMATCH(LOWER(O8112),""k""),
VALUE(REGEXEXTRACT(O8112,""[0-9]+""))*1000,
VALUE(REGEXEXTRACT(O8112,""[0-9]+""))
),
0
)"),0.0)</f>
        <v>0</v>
      </c>
      <c r="E8112" s="1" t="s">
        <v>11</v>
      </c>
      <c r="F8112" s="1" t="s">
        <v>20</v>
      </c>
      <c r="G8112" s="4" t="b">
        <f t="shared" si="2"/>
        <v>1</v>
      </c>
      <c r="H8112" s="1" t="str">
        <f t="shared" si="3"/>
        <v>Currently Unavailable</v>
      </c>
      <c r="I8112" s="1" t="str">
        <f t="shared" si="4"/>
        <v>No Badges</v>
      </c>
      <c r="J8112" s="3">
        <f t="shared" si="5"/>
        <v>0</v>
      </c>
    </row>
    <row r="8113">
      <c r="A8113" s="1" t="s">
        <v>6192</v>
      </c>
      <c r="B8113" s="3" t="str">
        <f t="shared" si="1"/>
        <v>Unavailable</v>
      </c>
      <c r="C8113" s="3">
        <v>118.0</v>
      </c>
      <c r="D8113" s="3">
        <f>IFERROR(__xludf.DUMMYFUNCTION("IFERROR(
IF(REGEXMATCH(LOWER(O8113),""k""),
VALUE(REGEXEXTRACT(O8113,""[0-9]+""))*1000,
VALUE(REGEXEXTRACT(O8113,""[0-9]+""))
),
0
)"),0.0)</f>
        <v>0</v>
      </c>
      <c r="E8113" s="1" t="s">
        <v>11</v>
      </c>
      <c r="F8113" s="1" t="s">
        <v>20</v>
      </c>
      <c r="G8113" s="4" t="b">
        <f t="shared" si="2"/>
        <v>1</v>
      </c>
      <c r="H8113" s="1" t="str">
        <f t="shared" si="3"/>
        <v>Currently Unavailable</v>
      </c>
      <c r="I8113" s="1" t="str">
        <f t="shared" si="4"/>
        <v>No Badges</v>
      </c>
      <c r="J8113" s="3">
        <f t="shared" si="5"/>
        <v>0</v>
      </c>
    </row>
    <row r="8114">
      <c r="A8114" s="1" t="s">
        <v>5817</v>
      </c>
      <c r="B8114" s="3" t="str">
        <f t="shared" si="1"/>
        <v>Unavailable</v>
      </c>
      <c r="C8114" s="5">
        <v>7235.0</v>
      </c>
      <c r="D8114" s="3">
        <f>IFERROR(__xludf.DUMMYFUNCTION("IFERROR(
IF(REGEXMATCH(LOWER(O8114),""k""),
VALUE(REGEXEXTRACT(O8114,""[0-9]+""))*1000,
VALUE(REGEXEXTRACT(O8114,""[0-9]+""))
),
0
)"),0.0)</f>
        <v>0</v>
      </c>
      <c r="E8114" s="1" t="s">
        <v>11</v>
      </c>
      <c r="F8114" s="1" t="s">
        <v>12</v>
      </c>
      <c r="G8114" s="4" t="b">
        <f t="shared" si="2"/>
        <v>1</v>
      </c>
      <c r="H8114" s="1" t="str">
        <f t="shared" si="3"/>
        <v>Currently Unavailable</v>
      </c>
      <c r="I8114" s="1" t="str">
        <f t="shared" si="4"/>
        <v>No Badges</v>
      </c>
      <c r="J8114" s="3">
        <f t="shared" si="5"/>
        <v>0</v>
      </c>
    </row>
    <row r="8115">
      <c r="A8115" s="1" t="s">
        <v>6193</v>
      </c>
      <c r="B8115" s="3" t="str">
        <f t="shared" si="1"/>
        <v>Unavailable</v>
      </c>
      <c r="C8115" s="5">
        <v>1526.0</v>
      </c>
      <c r="D8115" s="3">
        <f>IFERROR(__xludf.DUMMYFUNCTION("IFERROR(
IF(REGEXMATCH(LOWER(O8115),""k""),
VALUE(REGEXEXTRACT(O8115,""[0-9]+""))*1000,
VALUE(REGEXEXTRACT(O8115,""[0-9]+""))
),
0
)"),0.0)</f>
        <v>0</v>
      </c>
      <c r="E8115" s="1" t="s">
        <v>11</v>
      </c>
      <c r="F8115" s="1" t="s">
        <v>20</v>
      </c>
      <c r="G8115" s="4" t="b">
        <f t="shared" si="2"/>
        <v>1</v>
      </c>
      <c r="H8115" s="1" t="str">
        <f t="shared" si="3"/>
        <v>Currently Unavailable</v>
      </c>
      <c r="I8115" s="1" t="str">
        <f t="shared" si="4"/>
        <v>No Badges</v>
      </c>
      <c r="J8115" s="3">
        <f t="shared" si="5"/>
        <v>0</v>
      </c>
    </row>
    <row r="8116">
      <c r="A8116" s="1" t="s">
        <v>6194</v>
      </c>
      <c r="B8116" s="3" t="str">
        <f t="shared" si="1"/>
        <v>Unavailable</v>
      </c>
      <c r="C8116" s="5">
        <v>1442.0</v>
      </c>
      <c r="D8116" s="3">
        <f>IFERROR(__xludf.DUMMYFUNCTION("IFERROR(
IF(REGEXMATCH(LOWER(O8116),""k""),
VALUE(REGEXEXTRACT(O8116,""[0-9]+""))*1000,
VALUE(REGEXEXTRACT(O8116,""[0-9]+""))
),
0
)"),0.0)</f>
        <v>0</v>
      </c>
      <c r="E8116" s="1" t="s">
        <v>11</v>
      </c>
      <c r="F8116" s="1" t="s">
        <v>20</v>
      </c>
      <c r="G8116" s="4" t="b">
        <f t="shared" si="2"/>
        <v>1</v>
      </c>
      <c r="H8116" s="1" t="str">
        <f t="shared" si="3"/>
        <v>Currently Unavailable</v>
      </c>
      <c r="I8116" s="1" t="str">
        <f t="shared" si="4"/>
        <v>No Badges</v>
      </c>
      <c r="J8116" s="3">
        <f t="shared" si="5"/>
        <v>0</v>
      </c>
    </row>
    <row r="8117">
      <c r="A8117" s="1" t="s">
        <v>6195</v>
      </c>
      <c r="B8117" s="3" t="str">
        <f t="shared" si="1"/>
        <v>Unavailable</v>
      </c>
      <c r="C8117" s="5">
        <v>11032.0</v>
      </c>
      <c r="D8117" s="3">
        <f>IFERROR(__xludf.DUMMYFUNCTION("IFERROR(
IF(REGEXMATCH(LOWER(O8117),""k""),
VALUE(REGEXEXTRACT(O8117,""[0-9]+""))*1000,
VALUE(REGEXEXTRACT(O8117,""[0-9]+""))
),
0
)"),0.0)</f>
        <v>0</v>
      </c>
      <c r="E8117" s="1" t="s">
        <v>11</v>
      </c>
      <c r="F8117" s="1" t="s">
        <v>20</v>
      </c>
      <c r="G8117" s="4" t="b">
        <f t="shared" si="2"/>
        <v>1</v>
      </c>
      <c r="H8117" s="1" t="str">
        <f t="shared" si="3"/>
        <v>Currently Unavailable</v>
      </c>
      <c r="I8117" s="1" t="str">
        <f t="shared" si="4"/>
        <v>No Badges</v>
      </c>
      <c r="J8117" s="3">
        <f t="shared" si="5"/>
        <v>0</v>
      </c>
    </row>
    <row r="8118">
      <c r="A8118" s="1" t="s">
        <v>6196</v>
      </c>
      <c r="B8118" s="3" t="str">
        <f t="shared" si="1"/>
        <v>Unavailable</v>
      </c>
      <c r="C8118" s="5">
        <v>4797.0</v>
      </c>
      <c r="D8118" s="3">
        <f>IFERROR(__xludf.DUMMYFUNCTION("IFERROR(
IF(REGEXMATCH(LOWER(O8118),""k""),
VALUE(REGEXEXTRACT(O8118,""[0-9]+""))*1000,
VALUE(REGEXEXTRACT(O8118,""[0-9]+""))
),
0
)"),0.0)</f>
        <v>0</v>
      </c>
      <c r="E8118" s="1" t="s">
        <v>11</v>
      </c>
      <c r="F8118" s="1" t="s">
        <v>20</v>
      </c>
      <c r="G8118" s="4" t="b">
        <f t="shared" si="2"/>
        <v>1</v>
      </c>
      <c r="H8118" s="1" t="str">
        <f t="shared" si="3"/>
        <v>Currently Unavailable</v>
      </c>
      <c r="I8118" s="1" t="str">
        <f t="shared" si="4"/>
        <v>No Badges</v>
      </c>
      <c r="J8118" s="3">
        <f t="shared" si="5"/>
        <v>0</v>
      </c>
    </row>
    <row r="8119">
      <c r="A8119" s="1" t="s">
        <v>5817</v>
      </c>
      <c r="B8119" s="3" t="str">
        <f t="shared" si="1"/>
        <v>Unavailable</v>
      </c>
      <c r="C8119" s="5">
        <v>7235.0</v>
      </c>
      <c r="D8119" s="3">
        <f>IFERROR(__xludf.DUMMYFUNCTION("IFERROR(
IF(REGEXMATCH(LOWER(O8119),""k""),
VALUE(REGEXEXTRACT(O8119,""[0-9]+""))*1000,
VALUE(REGEXEXTRACT(O8119,""[0-9]+""))
),
0
)"),0.0)</f>
        <v>0</v>
      </c>
      <c r="E8119" s="1" t="s">
        <v>11</v>
      </c>
      <c r="F8119" s="1" t="s">
        <v>12</v>
      </c>
      <c r="G8119" s="4" t="b">
        <f t="shared" si="2"/>
        <v>1</v>
      </c>
      <c r="H8119" s="1" t="str">
        <f t="shared" si="3"/>
        <v>Currently Unavailable</v>
      </c>
      <c r="I8119" s="1" t="str">
        <f t="shared" si="4"/>
        <v>No Badges</v>
      </c>
      <c r="J8119" s="3">
        <f t="shared" si="5"/>
        <v>0</v>
      </c>
    </row>
    <row r="8120">
      <c r="A8120" s="1" t="s">
        <v>701</v>
      </c>
      <c r="B8120" s="3" t="str">
        <f t="shared" si="1"/>
        <v>Unavailable</v>
      </c>
      <c r="C8120" s="3">
        <v>8.0</v>
      </c>
      <c r="D8120" s="3">
        <f>IFERROR(__xludf.DUMMYFUNCTION("IFERROR(
IF(REGEXMATCH(LOWER(O8120),""k""),
VALUE(REGEXEXTRACT(O8120,""[0-9]+""))*1000,
VALUE(REGEXEXTRACT(O8120,""[0-9]+""))
),
0
)"),0.0)</f>
        <v>0</v>
      </c>
      <c r="E8120" s="1" t="s">
        <v>11</v>
      </c>
      <c r="F8120" s="1" t="s">
        <v>12</v>
      </c>
      <c r="G8120" s="4" t="b">
        <f t="shared" si="2"/>
        <v>1</v>
      </c>
      <c r="H8120" s="1" t="str">
        <f t="shared" si="3"/>
        <v>Currently Unavailable</v>
      </c>
      <c r="I8120" s="1" t="str">
        <f t="shared" si="4"/>
        <v>No Badges</v>
      </c>
      <c r="J8120" s="3">
        <f t="shared" si="5"/>
        <v>0</v>
      </c>
    </row>
    <row r="8121">
      <c r="A8121" s="1" t="s">
        <v>6197</v>
      </c>
      <c r="B8121" s="3" t="str">
        <f t="shared" si="1"/>
        <v>Unavailable</v>
      </c>
      <c r="C8121" s="5">
        <v>3893.0</v>
      </c>
      <c r="D8121" s="3">
        <f>IFERROR(__xludf.DUMMYFUNCTION("IFERROR(
IF(REGEXMATCH(LOWER(O8121),""k""),
VALUE(REGEXEXTRACT(O8121,""[0-9]+""))*1000,
VALUE(REGEXEXTRACT(O8121,""[0-9]+""))
),
0
)"),0.0)</f>
        <v>0</v>
      </c>
      <c r="E8121" s="1" t="s">
        <v>11</v>
      </c>
      <c r="F8121" s="1" t="s">
        <v>20</v>
      </c>
      <c r="G8121" s="4" t="b">
        <f t="shared" si="2"/>
        <v>1</v>
      </c>
      <c r="H8121" s="1" t="str">
        <f t="shared" si="3"/>
        <v>Currently Unavailable</v>
      </c>
      <c r="I8121" s="1" t="str">
        <f t="shared" si="4"/>
        <v>No Badges</v>
      </c>
      <c r="J8121" s="3">
        <f t="shared" si="5"/>
        <v>0</v>
      </c>
    </row>
    <row r="8122">
      <c r="A8122" s="1" t="s">
        <v>5817</v>
      </c>
      <c r="B8122" s="3" t="str">
        <f t="shared" si="1"/>
        <v>Unavailable</v>
      </c>
      <c r="C8122" s="5">
        <v>7235.0</v>
      </c>
      <c r="D8122" s="3">
        <f>IFERROR(__xludf.DUMMYFUNCTION("IFERROR(
IF(REGEXMATCH(LOWER(O8122),""k""),
VALUE(REGEXEXTRACT(O8122,""[0-9]+""))*1000,
VALUE(REGEXEXTRACT(O8122,""[0-9]+""))
),
0
)"),0.0)</f>
        <v>0</v>
      </c>
      <c r="E8122" s="1" t="s">
        <v>11</v>
      </c>
      <c r="F8122" s="1" t="s">
        <v>12</v>
      </c>
      <c r="G8122" s="4" t="b">
        <f t="shared" si="2"/>
        <v>1</v>
      </c>
      <c r="H8122" s="1" t="str">
        <f t="shared" si="3"/>
        <v>Currently Unavailable</v>
      </c>
      <c r="I8122" s="1" t="str">
        <f t="shared" si="4"/>
        <v>No Badges</v>
      </c>
      <c r="J8122" s="3">
        <f t="shared" si="5"/>
        <v>0</v>
      </c>
    </row>
    <row r="8123">
      <c r="A8123" s="1" t="s">
        <v>6198</v>
      </c>
      <c r="B8123" s="3" t="str">
        <f t="shared" si="1"/>
        <v>Unavailable</v>
      </c>
      <c r="C8123" s="3">
        <v>306.0</v>
      </c>
      <c r="D8123" s="3">
        <f>IFERROR(__xludf.DUMMYFUNCTION("IFERROR(
IF(REGEXMATCH(LOWER(O8123),""k""),
VALUE(REGEXEXTRACT(O8123,""[0-9]+""))*1000,
VALUE(REGEXEXTRACT(O8123,""[0-9]+""))
),
0
)"),0.0)</f>
        <v>0</v>
      </c>
      <c r="E8123" s="1" t="s">
        <v>11</v>
      </c>
      <c r="F8123" s="1" t="s">
        <v>20</v>
      </c>
      <c r="G8123" s="4" t="b">
        <f t="shared" si="2"/>
        <v>1</v>
      </c>
      <c r="H8123" s="1" t="str">
        <f t="shared" si="3"/>
        <v>Currently Unavailable</v>
      </c>
      <c r="I8123" s="1" t="str">
        <f t="shared" si="4"/>
        <v>No Badges</v>
      </c>
      <c r="J8123" s="3">
        <f t="shared" si="5"/>
        <v>0</v>
      </c>
    </row>
    <row r="8124">
      <c r="A8124" s="1" t="s">
        <v>6199</v>
      </c>
      <c r="B8124" s="3" t="str">
        <f t="shared" si="1"/>
        <v>Unavailable</v>
      </c>
      <c r="C8124" s="3">
        <v>29.0</v>
      </c>
      <c r="D8124" s="3">
        <f>IFERROR(__xludf.DUMMYFUNCTION("IFERROR(
IF(REGEXMATCH(LOWER(O8124),""k""),
VALUE(REGEXEXTRACT(O8124,""[0-9]+""))*1000,
VALUE(REGEXEXTRACT(O8124,""[0-9]+""))
),
0
)"),0.0)</f>
        <v>0</v>
      </c>
      <c r="E8124" s="1" t="s">
        <v>11</v>
      </c>
      <c r="F8124" s="1" t="s">
        <v>20</v>
      </c>
      <c r="G8124" s="4" t="b">
        <f t="shared" si="2"/>
        <v>1</v>
      </c>
      <c r="H8124" s="1" t="str">
        <f t="shared" si="3"/>
        <v>Currently Unavailable</v>
      </c>
      <c r="I8124" s="1" t="str">
        <f t="shared" si="4"/>
        <v>No Badges</v>
      </c>
      <c r="J8124" s="3">
        <f t="shared" si="5"/>
        <v>0</v>
      </c>
    </row>
    <row r="8125">
      <c r="A8125" s="1" t="s">
        <v>6200</v>
      </c>
      <c r="B8125" s="3" t="str">
        <f t="shared" si="1"/>
        <v>Unavailable</v>
      </c>
      <c r="C8125" s="5">
        <v>27254.0</v>
      </c>
      <c r="D8125" s="3">
        <f>IFERROR(__xludf.DUMMYFUNCTION("IFERROR(
IF(REGEXMATCH(LOWER(O8125),""k""),
VALUE(REGEXEXTRACT(O8125,""[0-9]+""))*1000,
VALUE(REGEXEXTRACT(O8125,""[0-9]+""))
),
0
)"),0.0)</f>
        <v>0</v>
      </c>
      <c r="E8125" s="1" t="s">
        <v>11</v>
      </c>
      <c r="F8125" s="1" t="s">
        <v>20</v>
      </c>
      <c r="G8125" s="4" t="b">
        <f t="shared" si="2"/>
        <v>1</v>
      </c>
      <c r="H8125" s="1" t="str">
        <f t="shared" si="3"/>
        <v>Currently Unavailable</v>
      </c>
      <c r="I8125" s="1" t="str">
        <f t="shared" si="4"/>
        <v>No Badges</v>
      </c>
      <c r="J8125" s="3">
        <f t="shared" si="5"/>
        <v>0</v>
      </c>
    </row>
    <row r="8126">
      <c r="A8126" s="1" t="s">
        <v>6201</v>
      </c>
      <c r="B8126" s="3" t="str">
        <f t="shared" si="1"/>
        <v>Unavailable</v>
      </c>
      <c r="C8126" s="3">
        <v>257.0</v>
      </c>
      <c r="D8126" s="3">
        <f>IFERROR(__xludf.DUMMYFUNCTION("IFERROR(
IF(REGEXMATCH(LOWER(O8126),""k""),
VALUE(REGEXEXTRACT(O8126,""[0-9]+""))*1000,
VALUE(REGEXEXTRACT(O8126,""[0-9]+""))
),
0
)"),0.0)</f>
        <v>0</v>
      </c>
      <c r="E8126" s="1" t="s">
        <v>11</v>
      </c>
      <c r="F8126" s="1" t="s">
        <v>20</v>
      </c>
      <c r="G8126" s="4" t="b">
        <f t="shared" si="2"/>
        <v>1</v>
      </c>
      <c r="H8126" s="1" t="str">
        <f t="shared" si="3"/>
        <v>Currently Unavailable</v>
      </c>
      <c r="I8126" s="1" t="str">
        <f t="shared" si="4"/>
        <v>No Badges</v>
      </c>
      <c r="J8126" s="3">
        <f t="shared" si="5"/>
        <v>0</v>
      </c>
    </row>
    <row r="8127">
      <c r="A8127" s="1" t="s">
        <v>6202</v>
      </c>
      <c r="B8127" s="3" t="str">
        <f t="shared" si="1"/>
        <v>Unavailable</v>
      </c>
      <c r="C8127" s="3">
        <v>34.0</v>
      </c>
      <c r="D8127" s="3">
        <f>IFERROR(__xludf.DUMMYFUNCTION("IFERROR(
IF(REGEXMATCH(LOWER(O8127),""k""),
VALUE(REGEXEXTRACT(O8127,""[0-9]+""))*1000,
VALUE(REGEXEXTRACT(O8127,""[0-9]+""))
),
0
)"),0.0)</f>
        <v>0</v>
      </c>
      <c r="E8127" s="1" t="s">
        <v>11</v>
      </c>
      <c r="F8127" s="1" t="s">
        <v>20</v>
      </c>
      <c r="G8127" s="4" t="b">
        <f t="shared" si="2"/>
        <v>1</v>
      </c>
      <c r="H8127" s="1" t="str">
        <f t="shared" si="3"/>
        <v>Currently Unavailable</v>
      </c>
      <c r="I8127" s="1" t="str">
        <f t="shared" si="4"/>
        <v>No Badges</v>
      </c>
      <c r="J8127" s="3">
        <f t="shared" si="5"/>
        <v>0</v>
      </c>
    </row>
    <row r="8128">
      <c r="A8128" s="1" t="s">
        <v>6203</v>
      </c>
      <c r="B8128" s="3" t="str">
        <f t="shared" si="1"/>
        <v>Unavailable</v>
      </c>
      <c r="C8128" s="5">
        <v>1668.0</v>
      </c>
      <c r="D8128" s="3">
        <f>IFERROR(__xludf.DUMMYFUNCTION("IFERROR(
IF(REGEXMATCH(LOWER(O8128),""k""),
VALUE(REGEXEXTRACT(O8128,""[0-9]+""))*1000,
VALUE(REGEXEXTRACT(O8128,""[0-9]+""))
),
0
)"),0.0)</f>
        <v>0</v>
      </c>
      <c r="E8128" s="1" t="s">
        <v>11</v>
      </c>
      <c r="F8128" s="1" t="s">
        <v>20</v>
      </c>
      <c r="G8128" s="4" t="b">
        <f t="shared" si="2"/>
        <v>1</v>
      </c>
      <c r="H8128" s="1" t="str">
        <f t="shared" si="3"/>
        <v>Currently Unavailable</v>
      </c>
      <c r="I8128" s="1" t="str">
        <f t="shared" si="4"/>
        <v>No Badges</v>
      </c>
      <c r="J8128" s="3">
        <f t="shared" si="5"/>
        <v>0</v>
      </c>
    </row>
    <row r="8129">
      <c r="A8129" s="1" t="s">
        <v>6204</v>
      </c>
      <c r="B8129" s="3" t="str">
        <f t="shared" si="1"/>
        <v>Unavailable</v>
      </c>
      <c r="C8129" s="5">
        <v>2949.0</v>
      </c>
      <c r="D8129" s="3">
        <f>IFERROR(__xludf.DUMMYFUNCTION("IFERROR(
IF(REGEXMATCH(LOWER(O8129),""k""),
VALUE(REGEXEXTRACT(O8129,""[0-9]+""))*1000,
VALUE(REGEXEXTRACT(O8129,""[0-9]+""))
),
0
)"),0.0)</f>
        <v>0</v>
      </c>
      <c r="E8129" s="1" t="s">
        <v>11</v>
      </c>
      <c r="F8129" s="1" t="s">
        <v>20</v>
      </c>
      <c r="G8129" s="4" t="b">
        <f t="shared" si="2"/>
        <v>1</v>
      </c>
      <c r="H8129" s="1" t="str">
        <f t="shared" si="3"/>
        <v>Currently Unavailable</v>
      </c>
      <c r="I8129" s="1" t="str">
        <f t="shared" si="4"/>
        <v>No Badges</v>
      </c>
      <c r="J8129" s="3">
        <f t="shared" si="5"/>
        <v>0</v>
      </c>
    </row>
    <row r="8130">
      <c r="A8130" s="1" t="s">
        <v>6205</v>
      </c>
      <c r="B8130" s="3" t="str">
        <f t="shared" si="1"/>
        <v>Unavailable</v>
      </c>
      <c r="C8130" s="5">
        <v>5910.0</v>
      </c>
      <c r="D8130" s="3">
        <f>IFERROR(__xludf.DUMMYFUNCTION("IFERROR(
IF(REGEXMATCH(LOWER(O8130),""k""),
VALUE(REGEXEXTRACT(O8130,""[0-9]+""))*1000,
VALUE(REGEXEXTRACT(O8130,""[0-9]+""))
),
0
)"),0.0)</f>
        <v>0</v>
      </c>
      <c r="E8130" s="1" t="s">
        <v>11</v>
      </c>
      <c r="F8130" s="1" t="s">
        <v>20</v>
      </c>
      <c r="G8130" s="4" t="b">
        <f t="shared" si="2"/>
        <v>1</v>
      </c>
      <c r="H8130" s="1" t="str">
        <f t="shared" si="3"/>
        <v>Currently Unavailable</v>
      </c>
      <c r="I8130" s="1" t="str">
        <f t="shared" si="4"/>
        <v>No Badges</v>
      </c>
      <c r="J8130" s="3">
        <f t="shared" si="5"/>
        <v>0</v>
      </c>
    </row>
    <row r="8131">
      <c r="A8131" s="1" t="s">
        <v>5817</v>
      </c>
      <c r="B8131" s="3" t="str">
        <f t="shared" si="1"/>
        <v>Unavailable</v>
      </c>
      <c r="C8131" s="5">
        <v>7235.0</v>
      </c>
      <c r="D8131" s="3">
        <f>IFERROR(__xludf.DUMMYFUNCTION("IFERROR(
IF(REGEXMATCH(LOWER(O8131),""k""),
VALUE(REGEXEXTRACT(O8131,""[0-9]+""))*1000,
VALUE(REGEXEXTRACT(O8131,""[0-9]+""))
),
0
)"),0.0)</f>
        <v>0</v>
      </c>
      <c r="E8131" s="1" t="s">
        <v>11</v>
      </c>
      <c r="F8131" s="1" t="s">
        <v>12</v>
      </c>
      <c r="G8131" s="4" t="b">
        <f t="shared" si="2"/>
        <v>1</v>
      </c>
      <c r="H8131" s="1" t="str">
        <f t="shared" si="3"/>
        <v>Currently Unavailable</v>
      </c>
      <c r="I8131" s="1" t="str">
        <f t="shared" si="4"/>
        <v>No Badges</v>
      </c>
      <c r="J8131" s="3">
        <f t="shared" si="5"/>
        <v>0</v>
      </c>
    </row>
    <row r="8132">
      <c r="A8132" s="1" t="s">
        <v>6206</v>
      </c>
      <c r="B8132" s="3" t="str">
        <f t="shared" si="1"/>
        <v>Unavailable</v>
      </c>
      <c r="C8132" s="5">
        <v>4609.0</v>
      </c>
      <c r="D8132" s="3">
        <f>IFERROR(__xludf.DUMMYFUNCTION("IFERROR(
IF(REGEXMATCH(LOWER(O8132),""k""),
VALUE(REGEXEXTRACT(O8132,""[0-9]+""))*1000,
VALUE(REGEXEXTRACT(O8132,""[0-9]+""))
),
0
)"),0.0)</f>
        <v>0</v>
      </c>
      <c r="E8132" s="1" t="s">
        <v>11</v>
      </c>
      <c r="F8132" s="1" t="s">
        <v>20</v>
      </c>
      <c r="G8132" s="4" t="b">
        <f t="shared" si="2"/>
        <v>1</v>
      </c>
      <c r="H8132" s="1" t="str">
        <f t="shared" si="3"/>
        <v>Currently Unavailable</v>
      </c>
      <c r="I8132" s="1" t="str">
        <f t="shared" si="4"/>
        <v>No Badges</v>
      </c>
      <c r="J8132" s="3">
        <f t="shared" si="5"/>
        <v>0</v>
      </c>
    </row>
    <row r="8133">
      <c r="A8133" s="1" t="s">
        <v>6207</v>
      </c>
      <c r="B8133" s="3" t="str">
        <f t="shared" si="1"/>
        <v>Unavailable</v>
      </c>
      <c r="C8133" s="3">
        <v>802.0</v>
      </c>
      <c r="D8133" s="3">
        <f>IFERROR(__xludf.DUMMYFUNCTION("IFERROR(
IF(REGEXMATCH(LOWER(O8133),""k""),
VALUE(REGEXEXTRACT(O8133,""[0-9]+""))*1000,
VALUE(REGEXEXTRACT(O8133,""[0-9]+""))
),
0
)"),0.0)</f>
        <v>0</v>
      </c>
      <c r="E8133" s="1" t="s">
        <v>11</v>
      </c>
      <c r="F8133" s="1" t="s">
        <v>20</v>
      </c>
      <c r="G8133" s="4" t="b">
        <f t="shared" si="2"/>
        <v>1</v>
      </c>
      <c r="H8133" s="1" t="str">
        <f t="shared" si="3"/>
        <v>Currently Unavailable</v>
      </c>
      <c r="I8133" s="1" t="str">
        <f t="shared" si="4"/>
        <v>No Badges</v>
      </c>
      <c r="J8133" s="3">
        <f t="shared" si="5"/>
        <v>0</v>
      </c>
    </row>
    <row r="8134">
      <c r="A8134" s="1" t="s">
        <v>6208</v>
      </c>
      <c r="B8134" s="3" t="str">
        <f t="shared" si="1"/>
        <v>Unavailable</v>
      </c>
      <c r="C8134" s="3">
        <v>469.0</v>
      </c>
      <c r="D8134" s="3">
        <f>IFERROR(__xludf.DUMMYFUNCTION("IFERROR(
IF(REGEXMATCH(LOWER(O8134),""k""),
VALUE(REGEXEXTRACT(O8134,""[0-9]+""))*1000,
VALUE(REGEXEXTRACT(O8134,""[0-9]+""))
),
0
)"),0.0)</f>
        <v>0</v>
      </c>
      <c r="E8134" s="1" t="s">
        <v>11</v>
      </c>
      <c r="F8134" s="1" t="s">
        <v>20</v>
      </c>
      <c r="G8134" s="4" t="b">
        <f t="shared" si="2"/>
        <v>1</v>
      </c>
      <c r="H8134" s="1" t="str">
        <f t="shared" si="3"/>
        <v>Currently Unavailable</v>
      </c>
      <c r="I8134" s="1" t="str">
        <f t="shared" si="4"/>
        <v>No Badges</v>
      </c>
      <c r="J8134" s="3">
        <f t="shared" si="5"/>
        <v>0</v>
      </c>
    </row>
    <row r="8135">
      <c r="A8135" s="1" t="s">
        <v>6209</v>
      </c>
      <c r="B8135" s="3" t="str">
        <f t="shared" si="1"/>
        <v>Unavailable</v>
      </c>
      <c r="C8135" s="3">
        <v>6.0</v>
      </c>
      <c r="D8135" s="3">
        <f>IFERROR(__xludf.DUMMYFUNCTION("IFERROR(
IF(REGEXMATCH(LOWER(O8135),""k""),
VALUE(REGEXEXTRACT(O8135,""[0-9]+""))*1000,
VALUE(REGEXEXTRACT(O8135,""[0-9]+""))
),
0
)"),0.0)</f>
        <v>0</v>
      </c>
      <c r="E8135" s="1" t="s">
        <v>11</v>
      </c>
      <c r="F8135" s="1" t="s">
        <v>20</v>
      </c>
      <c r="G8135" s="4" t="b">
        <f t="shared" si="2"/>
        <v>1</v>
      </c>
      <c r="H8135" s="1" t="str">
        <f t="shared" si="3"/>
        <v>Currently Unavailable</v>
      </c>
      <c r="I8135" s="1" t="str">
        <f t="shared" si="4"/>
        <v>No Badges</v>
      </c>
      <c r="J8135" s="3">
        <f t="shared" si="5"/>
        <v>0</v>
      </c>
    </row>
    <row r="8136">
      <c r="A8136" s="1" t="s">
        <v>6210</v>
      </c>
      <c r="B8136" s="3" t="str">
        <f t="shared" si="1"/>
        <v>Unavailable</v>
      </c>
      <c r="C8136" s="5">
        <v>1549.0</v>
      </c>
      <c r="D8136" s="3">
        <f>IFERROR(__xludf.DUMMYFUNCTION("IFERROR(
IF(REGEXMATCH(LOWER(O8136),""k""),
VALUE(REGEXEXTRACT(O8136,""[0-9]+""))*1000,
VALUE(REGEXEXTRACT(O8136,""[0-9]+""))
),
0
)"),0.0)</f>
        <v>0</v>
      </c>
      <c r="E8136" s="1" t="s">
        <v>11</v>
      </c>
      <c r="F8136" s="1" t="s">
        <v>20</v>
      </c>
      <c r="G8136" s="4" t="b">
        <f t="shared" si="2"/>
        <v>1</v>
      </c>
      <c r="H8136" s="1" t="str">
        <f t="shared" si="3"/>
        <v>Currently Unavailable</v>
      </c>
      <c r="I8136" s="1" t="str">
        <f t="shared" si="4"/>
        <v>No Badges</v>
      </c>
      <c r="J8136" s="3">
        <f t="shared" si="5"/>
        <v>0</v>
      </c>
    </row>
    <row r="8137">
      <c r="A8137" s="1" t="s">
        <v>6211</v>
      </c>
      <c r="B8137" s="3" t="str">
        <f t="shared" si="1"/>
        <v>Unavailable</v>
      </c>
      <c r="C8137" s="3">
        <v>133.0</v>
      </c>
      <c r="D8137" s="3">
        <f>IFERROR(__xludf.DUMMYFUNCTION("IFERROR(
IF(REGEXMATCH(LOWER(O8137),""k""),
VALUE(REGEXEXTRACT(O8137,""[0-9]+""))*1000,
VALUE(REGEXEXTRACT(O8137,""[0-9]+""))
),
0
)"),0.0)</f>
        <v>0</v>
      </c>
      <c r="E8137" s="1" t="s">
        <v>11</v>
      </c>
      <c r="F8137" s="1" t="s">
        <v>20</v>
      </c>
      <c r="G8137" s="4" t="b">
        <f t="shared" si="2"/>
        <v>1</v>
      </c>
      <c r="H8137" s="1" t="str">
        <f t="shared" si="3"/>
        <v>Currently Unavailable</v>
      </c>
      <c r="I8137" s="1" t="str">
        <f t="shared" si="4"/>
        <v>No Badges</v>
      </c>
      <c r="J8137" s="3">
        <f t="shared" si="5"/>
        <v>0</v>
      </c>
    </row>
    <row r="8138">
      <c r="A8138" s="1" t="s">
        <v>6212</v>
      </c>
      <c r="B8138" s="3" t="str">
        <f t="shared" si="1"/>
        <v>Unavailable</v>
      </c>
      <c r="C8138" s="5">
        <v>1492.0</v>
      </c>
      <c r="D8138" s="3">
        <f>IFERROR(__xludf.DUMMYFUNCTION("IFERROR(
IF(REGEXMATCH(LOWER(O8138),""k""),
VALUE(REGEXEXTRACT(O8138,""[0-9]+""))*1000,
VALUE(REGEXEXTRACT(O8138,""[0-9]+""))
),
0
)"),0.0)</f>
        <v>0</v>
      </c>
      <c r="E8138" s="1" t="s">
        <v>11</v>
      </c>
      <c r="F8138" s="1" t="s">
        <v>20</v>
      </c>
      <c r="G8138" s="4" t="b">
        <f t="shared" si="2"/>
        <v>1</v>
      </c>
      <c r="H8138" s="1" t="str">
        <f t="shared" si="3"/>
        <v>Currently Unavailable</v>
      </c>
      <c r="I8138" s="1" t="str">
        <f t="shared" si="4"/>
        <v>No Badges</v>
      </c>
      <c r="J8138" s="3">
        <f t="shared" si="5"/>
        <v>0</v>
      </c>
    </row>
    <row r="8139">
      <c r="A8139" s="1" t="s">
        <v>6213</v>
      </c>
      <c r="B8139" s="3" t="str">
        <f t="shared" si="1"/>
        <v>Unavailable</v>
      </c>
      <c r="C8139" s="5">
        <v>4438.0</v>
      </c>
      <c r="D8139" s="3">
        <f>IFERROR(__xludf.DUMMYFUNCTION("IFERROR(
IF(REGEXMATCH(LOWER(O8139),""k""),
VALUE(REGEXEXTRACT(O8139,""[0-9]+""))*1000,
VALUE(REGEXEXTRACT(O8139,""[0-9]+""))
),
0
)"),0.0)</f>
        <v>0</v>
      </c>
      <c r="E8139" s="1" t="s">
        <v>11</v>
      </c>
      <c r="F8139" s="1" t="s">
        <v>20</v>
      </c>
      <c r="G8139" s="4" t="b">
        <f t="shared" si="2"/>
        <v>1</v>
      </c>
      <c r="H8139" s="1" t="str">
        <f t="shared" si="3"/>
        <v>Currently Unavailable</v>
      </c>
      <c r="I8139" s="1" t="str">
        <f t="shared" si="4"/>
        <v>No Badges</v>
      </c>
      <c r="J8139" s="3">
        <f t="shared" si="5"/>
        <v>0</v>
      </c>
    </row>
    <row r="8140">
      <c r="A8140" s="1" t="s">
        <v>6214</v>
      </c>
      <c r="B8140" s="3" t="str">
        <f t="shared" si="1"/>
        <v>Unavailable</v>
      </c>
      <c r="C8140" s="3">
        <v>351.0</v>
      </c>
      <c r="D8140" s="3">
        <f>IFERROR(__xludf.DUMMYFUNCTION("IFERROR(
IF(REGEXMATCH(LOWER(O8140),""k""),
VALUE(REGEXEXTRACT(O8140,""[0-9]+""))*1000,
VALUE(REGEXEXTRACT(O8140,""[0-9]+""))
),
0
)"),0.0)</f>
        <v>0</v>
      </c>
      <c r="E8140" s="1" t="s">
        <v>11</v>
      </c>
      <c r="F8140" s="1" t="s">
        <v>20</v>
      </c>
      <c r="G8140" s="4" t="b">
        <f t="shared" si="2"/>
        <v>1</v>
      </c>
      <c r="H8140" s="1" t="str">
        <f t="shared" si="3"/>
        <v>Currently Unavailable</v>
      </c>
      <c r="I8140" s="1" t="str">
        <f t="shared" si="4"/>
        <v>No Badges</v>
      </c>
      <c r="J8140" s="3">
        <f t="shared" si="5"/>
        <v>0</v>
      </c>
    </row>
    <row r="8141">
      <c r="A8141" s="1" t="s">
        <v>6215</v>
      </c>
      <c r="B8141" s="3" t="str">
        <f t="shared" si="1"/>
        <v>Unavailable</v>
      </c>
      <c r="C8141" s="3">
        <v>68.0</v>
      </c>
      <c r="D8141" s="3">
        <f>IFERROR(__xludf.DUMMYFUNCTION("IFERROR(
IF(REGEXMATCH(LOWER(O8141),""k""),
VALUE(REGEXEXTRACT(O8141,""[0-9]+""))*1000,
VALUE(REGEXEXTRACT(O8141,""[0-9]+""))
),
0
)"),0.0)</f>
        <v>0</v>
      </c>
      <c r="E8141" s="1" t="s">
        <v>11</v>
      </c>
      <c r="F8141" s="1" t="s">
        <v>20</v>
      </c>
      <c r="G8141" s="4" t="b">
        <f t="shared" si="2"/>
        <v>1</v>
      </c>
      <c r="H8141" s="1" t="str">
        <f t="shared" si="3"/>
        <v>Currently Unavailable</v>
      </c>
      <c r="I8141" s="1" t="str">
        <f t="shared" si="4"/>
        <v>No Badges</v>
      </c>
      <c r="J8141" s="3">
        <f t="shared" si="5"/>
        <v>0</v>
      </c>
    </row>
    <row r="8142">
      <c r="A8142" s="1" t="s">
        <v>6216</v>
      </c>
      <c r="B8142" s="3" t="str">
        <f t="shared" si="1"/>
        <v>Unavailable</v>
      </c>
      <c r="C8142" s="5">
        <v>2540.0</v>
      </c>
      <c r="D8142" s="3">
        <f>IFERROR(__xludf.DUMMYFUNCTION("IFERROR(
IF(REGEXMATCH(LOWER(O8142),""k""),
VALUE(REGEXEXTRACT(O8142,""[0-9]+""))*1000,
VALUE(REGEXEXTRACT(O8142,""[0-9]+""))
),
0
)"),0.0)</f>
        <v>0</v>
      </c>
      <c r="E8142" s="1" t="s">
        <v>11</v>
      </c>
      <c r="F8142" s="1" t="s">
        <v>20</v>
      </c>
      <c r="G8142" s="4" t="b">
        <f t="shared" si="2"/>
        <v>1</v>
      </c>
      <c r="H8142" s="1" t="str">
        <f t="shared" si="3"/>
        <v>Currently Unavailable</v>
      </c>
      <c r="I8142" s="1" t="str">
        <f t="shared" si="4"/>
        <v>No Badges</v>
      </c>
      <c r="J8142" s="3">
        <f t="shared" si="5"/>
        <v>0</v>
      </c>
    </row>
    <row r="8143">
      <c r="A8143" s="1" t="s">
        <v>6217</v>
      </c>
      <c r="B8143" s="3" t="str">
        <f t="shared" si="1"/>
        <v>Unavailable</v>
      </c>
      <c r="C8143" s="3">
        <v>57.0</v>
      </c>
      <c r="D8143" s="3">
        <f>IFERROR(__xludf.DUMMYFUNCTION("IFERROR(
IF(REGEXMATCH(LOWER(O8143),""k""),
VALUE(REGEXEXTRACT(O8143,""[0-9]+""))*1000,
VALUE(REGEXEXTRACT(O8143,""[0-9]+""))
),
0
)"),0.0)</f>
        <v>0</v>
      </c>
      <c r="E8143" s="1" t="s">
        <v>11</v>
      </c>
      <c r="F8143" s="1" t="s">
        <v>20</v>
      </c>
      <c r="G8143" s="4" t="b">
        <f t="shared" si="2"/>
        <v>1</v>
      </c>
      <c r="H8143" s="1" t="str">
        <f t="shared" si="3"/>
        <v>Currently Unavailable</v>
      </c>
      <c r="I8143" s="1" t="str">
        <f t="shared" si="4"/>
        <v>No Badges</v>
      </c>
      <c r="J8143" s="3">
        <f t="shared" si="5"/>
        <v>0</v>
      </c>
    </row>
    <row r="8144">
      <c r="A8144" s="1" t="s">
        <v>6218</v>
      </c>
      <c r="B8144" s="3" t="str">
        <f t="shared" si="1"/>
        <v>Unavailable</v>
      </c>
      <c r="C8144" s="3">
        <v>759.0</v>
      </c>
      <c r="D8144" s="3">
        <f>IFERROR(__xludf.DUMMYFUNCTION("IFERROR(
IF(REGEXMATCH(LOWER(O8144),""k""),
VALUE(REGEXEXTRACT(O8144,""[0-9]+""))*1000,
VALUE(REGEXEXTRACT(O8144,""[0-9]+""))
),
0
)"),0.0)</f>
        <v>0</v>
      </c>
      <c r="E8144" s="1" t="s">
        <v>11</v>
      </c>
      <c r="F8144" s="1" t="s">
        <v>20</v>
      </c>
      <c r="G8144" s="4" t="b">
        <f t="shared" si="2"/>
        <v>1</v>
      </c>
      <c r="H8144" s="1" t="str">
        <f t="shared" si="3"/>
        <v>Currently Unavailable</v>
      </c>
      <c r="I8144" s="1" t="str">
        <f t="shared" si="4"/>
        <v>No Badges</v>
      </c>
      <c r="J8144" s="3">
        <f t="shared" si="5"/>
        <v>0</v>
      </c>
    </row>
    <row r="8145">
      <c r="A8145" s="1" t="s">
        <v>6219</v>
      </c>
      <c r="B8145" s="3" t="str">
        <f t="shared" si="1"/>
        <v>Unavailable</v>
      </c>
      <c r="C8145" s="5">
        <v>6319.0</v>
      </c>
      <c r="D8145" s="3">
        <f>IFERROR(__xludf.DUMMYFUNCTION("IFERROR(
IF(REGEXMATCH(LOWER(O8145),""k""),
VALUE(REGEXEXTRACT(O8145,""[0-9]+""))*1000,
VALUE(REGEXEXTRACT(O8145,""[0-9]+""))
),
0
)"),0.0)</f>
        <v>0</v>
      </c>
      <c r="E8145" s="1" t="s">
        <v>11</v>
      </c>
      <c r="F8145" s="1" t="s">
        <v>20</v>
      </c>
      <c r="G8145" s="4" t="b">
        <f t="shared" si="2"/>
        <v>1</v>
      </c>
      <c r="H8145" s="1" t="str">
        <f t="shared" si="3"/>
        <v>Currently Unavailable</v>
      </c>
      <c r="I8145" s="1" t="str">
        <f t="shared" si="4"/>
        <v>No Badges</v>
      </c>
      <c r="J8145" s="3">
        <f t="shared" si="5"/>
        <v>0</v>
      </c>
    </row>
    <row r="8146">
      <c r="A8146" s="1" t="s">
        <v>5817</v>
      </c>
      <c r="B8146" s="3" t="str">
        <f t="shared" si="1"/>
        <v>Unavailable</v>
      </c>
      <c r="C8146" s="5">
        <v>7235.0</v>
      </c>
      <c r="D8146" s="3">
        <f>IFERROR(__xludf.DUMMYFUNCTION("IFERROR(
IF(REGEXMATCH(LOWER(O8146),""k""),
VALUE(REGEXEXTRACT(O8146,""[0-9]+""))*1000,
VALUE(REGEXEXTRACT(O8146,""[0-9]+""))
),
0
)"),0.0)</f>
        <v>0</v>
      </c>
      <c r="E8146" s="1" t="s">
        <v>11</v>
      </c>
      <c r="F8146" s="1" t="s">
        <v>12</v>
      </c>
      <c r="G8146" s="4" t="b">
        <f t="shared" si="2"/>
        <v>1</v>
      </c>
      <c r="H8146" s="1" t="str">
        <f t="shared" si="3"/>
        <v>Currently Unavailable</v>
      </c>
      <c r="I8146" s="1" t="str">
        <f t="shared" si="4"/>
        <v>No Badges</v>
      </c>
      <c r="J8146" s="3">
        <f t="shared" si="5"/>
        <v>0</v>
      </c>
    </row>
    <row r="8147">
      <c r="A8147" s="1" t="s">
        <v>6220</v>
      </c>
      <c r="B8147" s="3" t="str">
        <f t="shared" si="1"/>
        <v>Unavailable</v>
      </c>
      <c r="C8147" s="5">
        <v>1716.0</v>
      </c>
      <c r="D8147" s="3">
        <f>IFERROR(__xludf.DUMMYFUNCTION("IFERROR(
IF(REGEXMATCH(LOWER(O8147),""k""),
VALUE(REGEXEXTRACT(O8147,""[0-9]+""))*1000,
VALUE(REGEXEXTRACT(O8147,""[0-9]+""))
),
0
)"),0.0)</f>
        <v>0</v>
      </c>
      <c r="E8147" s="1" t="s">
        <v>11</v>
      </c>
      <c r="F8147" s="1" t="s">
        <v>20</v>
      </c>
      <c r="G8147" s="4" t="b">
        <f t="shared" si="2"/>
        <v>1</v>
      </c>
      <c r="H8147" s="1" t="str">
        <f t="shared" si="3"/>
        <v>Currently Unavailable</v>
      </c>
      <c r="I8147" s="1" t="str">
        <f t="shared" si="4"/>
        <v>No Badges</v>
      </c>
      <c r="J8147" s="3">
        <f t="shared" si="5"/>
        <v>0</v>
      </c>
    </row>
    <row r="8148">
      <c r="A8148" s="1" t="s">
        <v>5817</v>
      </c>
      <c r="B8148" s="3" t="str">
        <f t="shared" si="1"/>
        <v>Unavailable</v>
      </c>
      <c r="C8148" s="5">
        <v>7235.0</v>
      </c>
      <c r="D8148" s="3">
        <f>IFERROR(__xludf.DUMMYFUNCTION("IFERROR(
IF(REGEXMATCH(LOWER(O8148),""k""),
VALUE(REGEXEXTRACT(O8148,""[0-9]+""))*1000,
VALUE(REGEXEXTRACT(O8148,""[0-9]+""))
),
0
)"),0.0)</f>
        <v>0</v>
      </c>
      <c r="E8148" s="1" t="s">
        <v>11</v>
      </c>
      <c r="F8148" s="1" t="s">
        <v>12</v>
      </c>
      <c r="G8148" s="4" t="b">
        <f t="shared" si="2"/>
        <v>1</v>
      </c>
      <c r="H8148" s="1" t="str">
        <f t="shared" si="3"/>
        <v>Currently Unavailable</v>
      </c>
      <c r="I8148" s="1" t="str">
        <f t="shared" si="4"/>
        <v>No Badges</v>
      </c>
      <c r="J8148" s="3">
        <f t="shared" si="5"/>
        <v>0</v>
      </c>
    </row>
    <row r="8149">
      <c r="A8149" s="1" t="s">
        <v>69</v>
      </c>
      <c r="B8149" s="3" t="str">
        <f t="shared" si="1"/>
        <v>Unavailable</v>
      </c>
      <c r="C8149" s="3">
        <v>45.0</v>
      </c>
      <c r="D8149" s="3">
        <f>IFERROR(__xludf.DUMMYFUNCTION("IFERROR(
IF(REGEXMATCH(LOWER(O8149),""k""),
VALUE(REGEXEXTRACT(O8149,""[0-9]+""))*1000,
VALUE(REGEXEXTRACT(O8149,""[0-9]+""))
),
0
)"),0.0)</f>
        <v>0</v>
      </c>
      <c r="E8149" s="1" t="s">
        <v>11</v>
      </c>
      <c r="F8149" s="1" t="s">
        <v>12</v>
      </c>
      <c r="G8149" s="4" t="b">
        <f t="shared" si="2"/>
        <v>1</v>
      </c>
      <c r="H8149" s="1" t="str">
        <f t="shared" si="3"/>
        <v>Currently Unavailable</v>
      </c>
      <c r="I8149" s="1" t="str">
        <f t="shared" si="4"/>
        <v>No Badges</v>
      </c>
      <c r="J8149" s="3">
        <f t="shared" si="5"/>
        <v>0</v>
      </c>
    </row>
    <row r="8150">
      <c r="A8150" s="1" t="s">
        <v>6221</v>
      </c>
      <c r="B8150" s="3" t="str">
        <f t="shared" si="1"/>
        <v>Unavailable</v>
      </c>
      <c r="C8150" s="3">
        <v>52.0</v>
      </c>
      <c r="D8150" s="3">
        <f>IFERROR(__xludf.DUMMYFUNCTION("IFERROR(
IF(REGEXMATCH(LOWER(O8150),""k""),
VALUE(REGEXEXTRACT(O8150,""[0-9]+""))*1000,
VALUE(REGEXEXTRACT(O8150,""[0-9]+""))
),
0
)"),0.0)</f>
        <v>0</v>
      </c>
      <c r="E8150" s="1" t="s">
        <v>11</v>
      </c>
      <c r="F8150" s="1" t="s">
        <v>20</v>
      </c>
      <c r="G8150" s="4" t="b">
        <f t="shared" si="2"/>
        <v>1</v>
      </c>
      <c r="H8150" s="1" t="str">
        <f t="shared" si="3"/>
        <v>Currently Unavailable</v>
      </c>
      <c r="I8150" s="1" t="str">
        <f t="shared" si="4"/>
        <v>No Badges</v>
      </c>
      <c r="J8150" s="3">
        <f t="shared" si="5"/>
        <v>0</v>
      </c>
    </row>
    <row r="8151">
      <c r="A8151" s="1" t="s">
        <v>6222</v>
      </c>
      <c r="B8151" s="3" t="str">
        <f t="shared" si="1"/>
        <v>Unavailable</v>
      </c>
      <c r="C8151" s="3">
        <v>273.0</v>
      </c>
      <c r="D8151" s="3">
        <f>IFERROR(__xludf.DUMMYFUNCTION("IFERROR(
IF(REGEXMATCH(LOWER(O8151),""k""),
VALUE(REGEXEXTRACT(O8151,""[0-9]+""))*1000,
VALUE(REGEXEXTRACT(O8151,""[0-9]+""))
),
0
)"),0.0)</f>
        <v>0</v>
      </c>
      <c r="E8151" s="1" t="s">
        <v>11</v>
      </c>
      <c r="F8151" s="1" t="s">
        <v>20</v>
      </c>
      <c r="G8151" s="4" t="b">
        <f t="shared" si="2"/>
        <v>1</v>
      </c>
      <c r="H8151" s="1" t="str">
        <f t="shared" si="3"/>
        <v>Currently Unavailable</v>
      </c>
      <c r="I8151" s="1" t="str">
        <f t="shared" si="4"/>
        <v>No Badges</v>
      </c>
      <c r="J8151" s="3">
        <f t="shared" si="5"/>
        <v>0</v>
      </c>
    </row>
    <row r="8152">
      <c r="A8152" s="1" t="s">
        <v>6223</v>
      </c>
      <c r="B8152" s="3" t="str">
        <f t="shared" si="1"/>
        <v>Unavailable</v>
      </c>
      <c r="C8152" s="5">
        <v>7806.0</v>
      </c>
      <c r="D8152" s="3">
        <f>IFERROR(__xludf.DUMMYFUNCTION("IFERROR(
IF(REGEXMATCH(LOWER(O8152),""k""),
VALUE(REGEXEXTRACT(O8152,""[0-9]+""))*1000,
VALUE(REGEXEXTRACT(O8152,""[0-9]+""))
),
0
)"),0.0)</f>
        <v>0</v>
      </c>
      <c r="E8152" s="1" t="s">
        <v>11</v>
      </c>
      <c r="F8152" s="1" t="s">
        <v>20</v>
      </c>
      <c r="G8152" s="4" t="b">
        <f t="shared" si="2"/>
        <v>1</v>
      </c>
      <c r="H8152" s="1" t="str">
        <f t="shared" si="3"/>
        <v>Currently Unavailable</v>
      </c>
      <c r="I8152" s="1" t="str">
        <f t="shared" si="4"/>
        <v>No Badges</v>
      </c>
      <c r="J8152" s="3">
        <f t="shared" si="5"/>
        <v>0</v>
      </c>
    </row>
    <row r="8153">
      <c r="A8153" s="1" t="s">
        <v>6224</v>
      </c>
      <c r="B8153" s="3" t="str">
        <f t="shared" si="1"/>
        <v>Unavailable</v>
      </c>
      <c r="C8153" s="3">
        <v>839.0</v>
      </c>
      <c r="D8153" s="3">
        <f>IFERROR(__xludf.DUMMYFUNCTION("IFERROR(
IF(REGEXMATCH(LOWER(O8153),""k""),
VALUE(REGEXEXTRACT(O8153,""[0-9]+""))*1000,
VALUE(REGEXEXTRACT(O8153,""[0-9]+""))
),
0
)"),0.0)</f>
        <v>0</v>
      </c>
      <c r="E8153" s="1" t="s">
        <v>11</v>
      </c>
      <c r="F8153" s="1" t="s">
        <v>20</v>
      </c>
      <c r="G8153" s="4" t="b">
        <f t="shared" si="2"/>
        <v>1</v>
      </c>
      <c r="H8153" s="1" t="str">
        <f t="shared" si="3"/>
        <v>Currently Unavailable</v>
      </c>
      <c r="I8153" s="1" t="str">
        <f t="shared" si="4"/>
        <v>No Badges</v>
      </c>
      <c r="J8153" s="3">
        <f t="shared" si="5"/>
        <v>0</v>
      </c>
    </row>
    <row r="8154">
      <c r="A8154" s="1" t="s">
        <v>5817</v>
      </c>
      <c r="B8154" s="3" t="str">
        <f t="shared" si="1"/>
        <v>Unavailable</v>
      </c>
      <c r="C8154" s="5">
        <v>7235.0</v>
      </c>
      <c r="D8154" s="3">
        <f>IFERROR(__xludf.DUMMYFUNCTION("IFERROR(
IF(REGEXMATCH(LOWER(O8154),""k""),
VALUE(REGEXEXTRACT(O8154,""[0-9]+""))*1000,
VALUE(REGEXEXTRACT(O8154,""[0-9]+""))
),
0
)"),0.0)</f>
        <v>0</v>
      </c>
      <c r="E8154" s="1" t="s">
        <v>11</v>
      </c>
      <c r="F8154" s="1" t="s">
        <v>12</v>
      </c>
      <c r="G8154" s="4" t="b">
        <f t="shared" si="2"/>
        <v>1</v>
      </c>
      <c r="H8154" s="1" t="str">
        <f t="shared" si="3"/>
        <v>Currently Unavailable</v>
      </c>
      <c r="I8154" s="1" t="str">
        <f t="shared" si="4"/>
        <v>No Badges</v>
      </c>
      <c r="J8154" s="3">
        <f t="shared" si="5"/>
        <v>0</v>
      </c>
    </row>
    <row r="8155">
      <c r="A8155" s="1" t="s">
        <v>6225</v>
      </c>
      <c r="B8155" s="3" t="str">
        <f t="shared" si="1"/>
        <v>Unavailable</v>
      </c>
      <c r="C8155" s="3">
        <v>303.0</v>
      </c>
      <c r="D8155" s="3">
        <f>IFERROR(__xludf.DUMMYFUNCTION("IFERROR(
IF(REGEXMATCH(LOWER(O8155),""k""),
VALUE(REGEXEXTRACT(O8155,""[0-9]+""))*1000,
VALUE(REGEXEXTRACT(O8155,""[0-9]+""))
),
0
)"),0.0)</f>
        <v>0</v>
      </c>
      <c r="E8155" s="1" t="s">
        <v>11</v>
      </c>
      <c r="F8155" s="1" t="s">
        <v>20</v>
      </c>
      <c r="G8155" s="4" t="b">
        <f t="shared" si="2"/>
        <v>1</v>
      </c>
      <c r="H8155" s="1" t="str">
        <f t="shared" si="3"/>
        <v>Currently Unavailable</v>
      </c>
      <c r="I8155" s="1" t="str">
        <f t="shared" si="4"/>
        <v>No Badges</v>
      </c>
      <c r="J8155" s="3">
        <f t="shared" si="5"/>
        <v>0</v>
      </c>
    </row>
    <row r="8156">
      <c r="A8156" s="1" t="s">
        <v>6226</v>
      </c>
      <c r="B8156" s="3" t="str">
        <f t="shared" si="1"/>
        <v>Unavailable</v>
      </c>
      <c r="C8156" s="3">
        <v>782.0</v>
      </c>
      <c r="D8156" s="3">
        <f>IFERROR(__xludf.DUMMYFUNCTION("IFERROR(
IF(REGEXMATCH(LOWER(O8156),""k""),
VALUE(REGEXEXTRACT(O8156,""[0-9]+""))*1000,
VALUE(REGEXEXTRACT(O8156,""[0-9]+""))
),
0
)"),0.0)</f>
        <v>0</v>
      </c>
      <c r="E8156" s="1" t="s">
        <v>11</v>
      </c>
      <c r="F8156" s="1" t="s">
        <v>20</v>
      </c>
      <c r="G8156" s="4" t="b">
        <f t="shared" si="2"/>
        <v>1</v>
      </c>
      <c r="H8156" s="1" t="str">
        <f t="shared" si="3"/>
        <v>Currently Unavailable</v>
      </c>
      <c r="I8156" s="1" t="str">
        <f t="shared" si="4"/>
        <v>No Badges</v>
      </c>
      <c r="J8156" s="3">
        <f t="shared" si="5"/>
        <v>0</v>
      </c>
    </row>
    <row r="8157">
      <c r="A8157" s="1" t="s">
        <v>6227</v>
      </c>
      <c r="B8157" s="3" t="str">
        <f t="shared" si="1"/>
        <v>Unavailable</v>
      </c>
      <c r="C8157" s="3">
        <v>980.0</v>
      </c>
      <c r="D8157" s="3">
        <f>IFERROR(__xludf.DUMMYFUNCTION("IFERROR(
IF(REGEXMATCH(LOWER(O8157),""k""),
VALUE(REGEXEXTRACT(O8157,""[0-9]+""))*1000,
VALUE(REGEXEXTRACT(O8157,""[0-9]+""))
),
0
)"),0.0)</f>
        <v>0</v>
      </c>
      <c r="E8157" s="1" t="s">
        <v>11</v>
      </c>
      <c r="F8157" s="1" t="s">
        <v>20</v>
      </c>
      <c r="G8157" s="4" t="b">
        <f t="shared" si="2"/>
        <v>1</v>
      </c>
      <c r="H8157" s="1" t="str">
        <f t="shared" si="3"/>
        <v>Currently Unavailable</v>
      </c>
      <c r="I8157" s="1" t="str">
        <f t="shared" si="4"/>
        <v>No Badges</v>
      </c>
      <c r="J8157" s="3">
        <f t="shared" si="5"/>
        <v>0</v>
      </c>
    </row>
    <row r="8158">
      <c r="A8158" s="1" t="s">
        <v>6228</v>
      </c>
      <c r="B8158" s="3" t="str">
        <f t="shared" si="1"/>
        <v>Unavailable</v>
      </c>
      <c r="C8158" s="3">
        <v>125.0</v>
      </c>
      <c r="D8158" s="3">
        <f>IFERROR(__xludf.DUMMYFUNCTION("IFERROR(
IF(REGEXMATCH(LOWER(O8158),""k""),
VALUE(REGEXEXTRACT(O8158,""[0-9]+""))*1000,
VALUE(REGEXEXTRACT(O8158,""[0-9]+""))
),
0
)"),0.0)</f>
        <v>0</v>
      </c>
      <c r="E8158" s="1" t="s">
        <v>11</v>
      </c>
      <c r="F8158" s="1" t="s">
        <v>20</v>
      </c>
      <c r="G8158" s="4" t="b">
        <f t="shared" si="2"/>
        <v>1</v>
      </c>
      <c r="H8158" s="1" t="str">
        <f t="shared" si="3"/>
        <v>Currently Unavailable</v>
      </c>
      <c r="I8158" s="1" t="str">
        <f t="shared" si="4"/>
        <v>No Badges</v>
      </c>
      <c r="J8158" s="3">
        <f t="shared" si="5"/>
        <v>0</v>
      </c>
    </row>
    <row r="8159">
      <c r="A8159" s="1" t="s">
        <v>6229</v>
      </c>
      <c r="B8159" s="3" t="str">
        <f t="shared" si="1"/>
        <v>Unavailable</v>
      </c>
      <c r="C8159" s="5">
        <v>6961.0</v>
      </c>
      <c r="D8159" s="3">
        <f>IFERROR(__xludf.DUMMYFUNCTION("IFERROR(
IF(REGEXMATCH(LOWER(O8159),""k""),
VALUE(REGEXEXTRACT(O8159,""[0-9]+""))*1000,
VALUE(REGEXEXTRACT(O8159,""[0-9]+""))
),
0
)"),0.0)</f>
        <v>0</v>
      </c>
      <c r="E8159" s="1" t="s">
        <v>11</v>
      </c>
      <c r="F8159" s="1" t="s">
        <v>20</v>
      </c>
      <c r="G8159" s="4" t="b">
        <f t="shared" si="2"/>
        <v>1</v>
      </c>
      <c r="H8159" s="1" t="str">
        <f t="shared" si="3"/>
        <v>Currently Unavailable</v>
      </c>
      <c r="I8159" s="1" t="str">
        <f t="shared" si="4"/>
        <v>No Badges</v>
      </c>
      <c r="J8159" s="3">
        <f t="shared" si="5"/>
        <v>0</v>
      </c>
    </row>
    <row r="8160">
      <c r="A8160" s="1" t="s">
        <v>6230</v>
      </c>
      <c r="B8160" s="3" t="str">
        <f t="shared" si="1"/>
        <v>Unavailable</v>
      </c>
      <c r="C8160" s="3">
        <v>210.0</v>
      </c>
      <c r="D8160" s="3">
        <f>IFERROR(__xludf.DUMMYFUNCTION("IFERROR(
IF(REGEXMATCH(LOWER(O8160),""k""),
VALUE(REGEXEXTRACT(O8160,""[0-9]+""))*1000,
VALUE(REGEXEXTRACT(O8160,""[0-9]+""))
),
0
)"),0.0)</f>
        <v>0</v>
      </c>
      <c r="E8160" s="1" t="s">
        <v>11</v>
      </c>
      <c r="F8160" s="1" t="s">
        <v>20</v>
      </c>
      <c r="G8160" s="4" t="b">
        <f t="shared" si="2"/>
        <v>1</v>
      </c>
      <c r="H8160" s="1" t="str">
        <f t="shared" si="3"/>
        <v>Currently Unavailable</v>
      </c>
      <c r="I8160" s="1" t="str">
        <f t="shared" si="4"/>
        <v>No Badges</v>
      </c>
      <c r="J8160" s="3">
        <f t="shared" si="5"/>
        <v>0</v>
      </c>
    </row>
    <row r="8161">
      <c r="A8161" s="1" t="s">
        <v>5817</v>
      </c>
      <c r="B8161" s="3" t="str">
        <f t="shared" si="1"/>
        <v>Unavailable</v>
      </c>
      <c r="C8161" s="5">
        <v>7235.0</v>
      </c>
      <c r="D8161" s="3">
        <f>IFERROR(__xludf.DUMMYFUNCTION("IFERROR(
IF(REGEXMATCH(LOWER(O8161),""k""),
VALUE(REGEXEXTRACT(O8161,""[0-9]+""))*1000,
VALUE(REGEXEXTRACT(O8161,""[0-9]+""))
),
0
)"),0.0)</f>
        <v>0</v>
      </c>
      <c r="E8161" s="1" t="s">
        <v>11</v>
      </c>
      <c r="F8161" s="1" t="s">
        <v>12</v>
      </c>
      <c r="G8161" s="4" t="b">
        <f t="shared" si="2"/>
        <v>1</v>
      </c>
      <c r="H8161" s="1" t="str">
        <f t="shared" si="3"/>
        <v>Currently Unavailable</v>
      </c>
      <c r="I8161" s="1" t="str">
        <f t="shared" si="4"/>
        <v>No Badges</v>
      </c>
      <c r="J8161" s="3">
        <f t="shared" si="5"/>
        <v>0</v>
      </c>
    </row>
    <row r="8162">
      <c r="A8162" s="1" t="s">
        <v>67</v>
      </c>
      <c r="B8162" s="3" t="str">
        <f t="shared" si="1"/>
        <v>Unavailable</v>
      </c>
      <c r="C8162" s="3">
        <v>264.0</v>
      </c>
      <c r="D8162" s="3">
        <f>IFERROR(__xludf.DUMMYFUNCTION("IFERROR(
IF(REGEXMATCH(LOWER(O8162),""k""),
VALUE(REGEXEXTRACT(O8162,""[0-9]+""))*1000,
VALUE(REGEXEXTRACT(O8162,""[0-9]+""))
),
0
)"),0.0)</f>
        <v>0</v>
      </c>
      <c r="E8162" s="1" t="s">
        <v>11</v>
      </c>
      <c r="F8162" s="1" t="s">
        <v>12</v>
      </c>
      <c r="G8162" s="4" t="b">
        <f t="shared" si="2"/>
        <v>1</v>
      </c>
      <c r="H8162" s="1" t="str">
        <f t="shared" si="3"/>
        <v>Currently Unavailable</v>
      </c>
      <c r="I8162" s="1" t="str">
        <f t="shared" si="4"/>
        <v>No Badges</v>
      </c>
      <c r="J8162" s="3">
        <f t="shared" si="5"/>
        <v>0</v>
      </c>
    </row>
    <row r="8163">
      <c r="A8163" s="1" t="s">
        <v>6231</v>
      </c>
      <c r="B8163" s="3" t="str">
        <f t="shared" si="1"/>
        <v>Unavailable</v>
      </c>
      <c r="C8163" s="3">
        <v>213.0</v>
      </c>
      <c r="D8163" s="3">
        <f>IFERROR(__xludf.DUMMYFUNCTION("IFERROR(
IF(REGEXMATCH(LOWER(O8163),""k""),
VALUE(REGEXEXTRACT(O8163,""[0-9]+""))*1000,
VALUE(REGEXEXTRACT(O8163,""[0-9]+""))
),
0
)"),0.0)</f>
        <v>0</v>
      </c>
      <c r="E8163" s="1" t="s">
        <v>11</v>
      </c>
      <c r="F8163" s="1" t="s">
        <v>20</v>
      </c>
      <c r="G8163" s="4" t="b">
        <f t="shared" si="2"/>
        <v>1</v>
      </c>
      <c r="H8163" s="1" t="str">
        <f t="shared" si="3"/>
        <v>Currently Unavailable</v>
      </c>
      <c r="I8163" s="1" t="str">
        <f t="shared" si="4"/>
        <v>No Badges</v>
      </c>
      <c r="J8163" s="3">
        <f t="shared" si="5"/>
        <v>0</v>
      </c>
    </row>
    <row r="8164">
      <c r="A8164" s="1" t="s">
        <v>701</v>
      </c>
      <c r="B8164" s="3" t="str">
        <f t="shared" si="1"/>
        <v>Unavailable</v>
      </c>
      <c r="C8164" s="3">
        <v>8.0</v>
      </c>
      <c r="D8164" s="3">
        <f>IFERROR(__xludf.DUMMYFUNCTION("IFERROR(
IF(REGEXMATCH(LOWER(O8164),""k""),
VALUE(REGEXEXTRACT(O8164,""[0-9]+""))*1000,
VALUE(REGEXEXTRACT(O8164,""[0-9]+""))
),
0
)"),0.0)</f>
        <v>0</v>
      </c>
      <c r="E8164" s="1" t="s">
        <v>11</v>
      </c>
      <c r="F8164" s="1" t="s">
        <v>12</v>
      </c>
      <c r="G8164" s="4" t="b">
        <f t="shared" si="2"/>
        <v>1</v>
      </c>
      <c r="H8164" s="1" t="str">
        <f t="shared" si="3"/>
        <v>Currently Unavailable</v>
      </c>
      <c r="I8164" s="1" t="str">
        <f t="shared" si="4"/>
        <v>No Badges</v>
      </c>
      <c r="J8164" s="3">
        <f t="shared" si="5"/>
        <v>0</v>
      </c>
    </row>
    <row r="8165">
      <c r="A8165" s="1" t="s">
        <v>6232</v>
      </c>
      <c r="B8165" s="3" t="str">
        <f t="shared" si="1"/>
        <v>Unavailable</v>
      </c>
      <c r="C8165" s="5">
        <v>2770.0</v>
      </c>
      <c r="D8165" s="3">
        <f>IFERROR(__xludf.DUMMYFUNCTION("IFERROR(
IF(REGEXMATCH(LOWER(O8165),""k""),
VALUE(REGEXEXTRACT(O8165,""[0-9]+""))*1000,
VALUE(REGEXEXTRACT(O8165,""[0-9]+""))
),
0
)"),0.0)</f>
        <v>0</v>
      </c>
      <c r="E8165" s="1" t="s">
        <v>11</v>
      </c>
      <c r="F8165" s="1" t="s">
        <v>20</v>
      </c>
      <c r="G8165" s="4" t="b">
        <f t="shared" si="2"/>
        <v>1</v>
      </c>
      <c r="H8165" s="1" t="str">
        <f t="shared" si="3"/>
        <v>Currently Unavailable</v>
      </c>
      <c r="I8165" s="1" t="str">
        <f t="shared" si="4"/>
        <v>No Badges</v>
      </c>
      <c r="J8165" s="3">
        <f t="shared" si="5"/>
        <v>0</v>
      </c>
    </row>
    <row r="8166">
      <c r="A8166" s="1" t="s">
        <v>6233</v>
      </c>
      <c r="B8166" s="3" t="str">
        <f t="shared" si="1"/>
        <v>Unavailable</v>
      </c>
      <c r="C8166" s="5">
        <v>11237.0</v>
      </c>
      <c r="D8166" s="3">
        <f>IFERROR(__xludf.DUMMYFUNCTION("IFERROR(
IF(REGEXMATCH(LOWER(O8166),""k""),
VALUE(REGEXEXTRACT(O8166,""[0-9]+""))*1000,
VALUE(REGEXEXTRACT(O8166,""[0-9]+""))
),
0
)"),0.0)</f>
        <v>0</v>
      </c>
      <c r="E8166" s="1" t="s">
        <v>11</v>
      </c>
      <c r="F8166" s="1" t="s">
        <v>20</v>
      </c>
      <c r="G8166" s="4" t="b">
        <f t="shared" si="2"/>
        <v>1</v>
      </c>
      <c r="H8166" s="1" t="str">
        <f t="shared" si="3"/>
        <v>Currently Unavailable</v>
      </c>
      <c r="I8166" s="1" t="str">
        <f t="shared" si="4"/>
        <v>No Badges</v>
      </c>
      <c r="J8166" s="3">
        <f t="shared" si="5"/>
        <v>0</v>
      </c>
    </row>
    <row r="8167">
      <c r="A8167" s="1" t="s">
        <v>6234</v>
      </c>
      <c r="B8167" s="3" t="str">
        <f t="shared" si="1"/>
        <v>Unavailable</v>
      </c>
      <c r="C8167" s="5">
        <v>9214.0</v>
      </c>
      <c r="D8167" s="3">
        <f>IFERROR(__xludf.DUMMYFUNCTION("IFERROR(
IF(REGEXMATCH(LOWER(O8167),""k""),
VALUE(REGEXEXTRACT(O8167,""[0-9]+""))*1000,
VALUE(REGEXEXTRACT(O8167,""[0-9]+""))
),
0
)"),0.0)</f>
        <v>0</v>
      </c>
      <c r="E8167" s="1" t="s">
        <v>11</v>
      </c>
      <c r="F8167" s="1" t="s">
        <v>20</v>
      </c>
      <c r="G8167" s="4" t="b">
        <f t="shared" si="2"/>
        <v>1</v>
      </c>
      <c r="H8167" s="1" t="str">
        <f t="shared" si="3"/>
        <v>Currently Unavailable</v>
      </c>
      <c r="I8167" s="1" t="str">
        <f t="shared" si="4"/>
        <v>No Badges</v>
      </c>
      <c r="J8167" s="3">
        <f t="shared" si="5"/>
        <v>0</v>
      </c>
    </row>
    <row r="8168">
      <c r="A8168" s="1" t="s">
        <v>6235</v>
      </c>
      <c r="B8168" s="3" t="str">
        <f t="shared" si="1"/>
        <v>Unavailable</v>
      </c>
      <c r="C8168" s="3">
        <v>9.0</v>
      </c>
      <c r="D8168" s="3">
        <f>IFERROR(__xludf.DUMMYFUNCTION("IFERROR(
IF(REGEXMATCH(LOWER(O8168),""k""),
VALUE(REGEXEXTRACT(O8168,""[0-9]+""))*1000,
VALUE(REGEXEXTRACT(O8168,""[0-9]+""))
),
0
)"),0.0)</f>
        <v>0</v>
      </c>
      <c r="E8168" s="1" t="s">
        <v>11</v>
      </c>
      <c r="F8168" s="1" t="s">
        <v>20</v>
      </c>
      <c r="G8168" s="4" t="b">
        <f t="shared" si="2"/>
        <v>1</v>
      </c>
      <c r="H8168" s="1" t="str">
        <f t="shared" si="3"/>
        <v>Currently Unavailable</v>
      </c>
      <c r="I8168" s="1" t="str">
        <f t="shared" si="4"/>
        <v>No Badges</v>
      </c>
      <c r="J8168" s="6">
        <f t="shared" si="5"/>
        <v>0</v>
      </c>
    </row>
    <row r="8169">
      <c r="A8169" s="1" t="s">
        <v>6236</v>
      </c>
      <c r="B8169" s="3" t="str">
        <f t="shared" si="1"/>
        <v>Unavailable</v>
      </c>
      <c r="C8169" s="3">
        <v>98.0</v>
      </c>
      <c r="D8169" s="3">
        <f>IFERROR(__xludf.DUMMYFUNCTION("IFERROR(
IF(REGEXMATCH(LOWER(O8169),""k""),
VALUE(REGEXEXTRACT(O8169,""[0-9]+""))*1000,
VALUE(REGEXEXTRACT(O8169,""[0-9]+""))
),
0
)"),0.0)</f>
        <v>0</v>
      </c>
      <c r="E8169" s="1" t="s">
        <v>11</v>
      </c>
      <c r="F8169" s="1" t="s">
        <v>20</v>
      </c>
      <c r="G8169" s="4" t="b">
        <f t="shared" si="2"/>
        <v>1</v>
      </c>
      <c r="H8169" s="1" t="str">
        <f t="shared" si="3"/>
        <v>Currently Unavailable</v>
      </c>
      <c r="I8169" s="1" t="str">
        <f t="shared" si="4"/>
        <v>No Badges</v>
      </c>
      <c r="J8169" s="3">
        <f t="shared" si="5"/>
        <v>0</v>
      </c>
    </row>
    <row r="8170">
      <c r="A8170" s="1" t="s">
        <v>5817</v>
      </c>
      <c r="B8170" s="3" t="str">
        <f t="shared" si="1"/>
        <v>Unavailable</v>
      </c>
      <c r="C8170" s="5">
        <v>7235.0</v>
      </c>
      <c r="D8170" s="3">
        <f>IFERROR(__xludf.DUMMYFUNCTION("IFERROR(
IF(REGEXMATCH(LOWER(O8170),""k""),
VALUE(REGEXEXTRACT(O8170,""[0-9]+""))*1000,
VALUE(REGEXEXTRACT(O8170,""[0-9]+""))
),
0
)"),0.0)</f>
        <v>0</v>
      </c>
      <c r="E8170" s="1" t="s">
        <v>11</v>
      </c>
      <c r="F8170" s="1" t="s">
        <v>12</v>
      </c>
      <c r="G8170" s="4" t="b">
        <f t="shared" si="2"/>
        <v>1</v>
      </c>
      <c r="H8170" s="1" t="str">
        <f t="shared" si="3"/>
        <v>Currently Unavailable</v>
      </c>
      <c r="I8170" s="1" t="str">
        <f t="shared" si="4"/>
        <v>No Badges</v>
      </c>
      <c r="J8170" s="3">
        <f t="shared" si="5"/>
        <v>0</v>
      </c>
    </row>
    <row r="8171">
      <c r="A8171" s="1" t="s">
        <v>6237</v>
      </c>
      <c r="B8171" s="3" t="str">
        <f t="shared" si="1"/>
        <v>Unavailable</v>
      </c>
      <c r="C8171" s="3">
        <v>468.0</v>
      </c>
      <c r="D8171" s="3">
        <f>IFERROR(__xludf.DUMMYFUNCTION("IFERROR(
IF(REGEXMATCH(LOWER(O8171),""k""),
VALUE(REGEXEXTRACT(O8171,""[0-9]+""))*1000,
VALUE(REGEXEXTRACT(O8171,""[0-9]+""))
),
0
)"),0.0)</f>
        <v>0</v>
      </c>
      <c r="E8171" s="1" t="s">
        <v>11</v>
      </c>
      <c r="F8171" s="1" t="s">
        <v>20</v>
      </c>
      <c r="G8171" s="4" t="b">
        <f t="shared" si="2"/>
        <v>1</v>
      </c>
      <c r="H8171" s="1" t="str">
        <f t="shared" si="3"/>
        <v>Currently Unavailable</v>
      </c>
      <c r="I8171" s="1" t="str">
        <f t="shared" si="4"/>
        <v>No Badges</v>
      </c>
      <c r="J8171" s="3">
        <f t="shared" si="5"/>
        <v>0</v>
      </c>
    </row>
    <row r="8172">
      <c r="A8172" s="1" t="s">
        <v>5817</v>
      </c>
      <c r="B8172" s="3" t="str">
        <f t="shared" si="1"/>
        <v>Unavailable</v>
      </c>
      <c r="C8172" s="5">
        <v>7235.0</v>
      </c>
      <c r="D8172" s="3">
        <f>IFERROR(__xludf.DUMMYFUNCTION("IFERROR(
IF(REGEXMATCH(LOWER(O8172),""k""),
VALUE(REGEXEXTRACT(O8172,""[0-9]+""))*1000,
VALUE(REGEXEXTRACT(O8172,""[0-9]+""))
),
0
)"),0.0)</f>
        <v>0</v>
      </c>
      <c r="E8172" s="1" t="s">
        <v>11</v>
      </c>
      <c r="F8172" s="1" t="s">
        <v>12</v>
      </c>
      <c r="G8172" s="4" t="b">
        <f t="shared" si="2"/>
        <v>1</v>
      </c>
      <c r="H8172" s="1" t="str">
        <f t="shared" si="3"/>
        <v>Currently Unavailable</v>
      </c>
      <c r="I8172" s="1" t="str">
        <f t="shared" si="4"/>
        <v>No Badges</v>
      </c>
      <c r="J8172" s="3">
        <f t="shared" si="5"/>
        <v>0</v>
      </c>
    </row>
    <row r="8173">
      <c r="A8173" s="1" t="s">
        <v>6238</v>
      </c>
      <c r="B8173" s="3" t="str">
        <f t="shared" si="1"/>
        <v>Unavailable</v>
      </c>
      <c r="C8173" s="3">
        <v>271.0</v>
      </c>
      <c r="D8173" s="3">
        <f>IFERROR(__xludf.DUMMYFUNCTION("IFERROR(
IF(REGEXMATCH(LOWER(O8173),""k""),
VALUE(REGEXEXTRACT(O8173,""[0-9]+""))*1000,
VALUE(REGEXEXTRACT(O8173,""[0-9]+""))
),
0
)"),0.0)</f>
        <v>0</v>
      </c>
      <c r="E8173" s="1" t="s">
        <v>11</v>
      </c>
      <c r="F8173" s="1" t="s">
        <v>20</v>
      </c>
      <c r="G8173" s="4" t="b">
        <f t="shared" si="2"/>
        <v>1</v>
      </c>
      <c r="H8173" s="1" t="str">
        <f t="shared" si="3"/>
        <v>Currently Unavailable</v>
      </c>
      <c r="I8173" s="1" t="str">
        <f t="shared" si="4"/>
        <v>No Badges</v>
      </c>
      <c r="J8173" s="3">
        <f t="shared" si="5"/>
        <v>0</v>
      </c>
    </row>
    <row r="8174">
      <c r="A8174" s="1" t="s">
        <v>6239</v>
      </c>
      <c r="B8174" s="3" t="str">
        <f t="shared" si="1"/>
        <v>Unavailable</v>
      </c>
      <c r="C8174" s="5">
        <v>3296.0</v>
      </c>
      <c r="D8174" s="3">
        <f>IFERROR(__xludf.DUMMYFUNCTION("IFERROR(
IF(REGEXMATCH(LOWER(O8174),""k""),
VALUE(REGEXEXTRACT(O8174,""[0-9]+""))*1000,
VALUE(REGEXEXTRACT(O8174,""[0-9]+""))
),
0
)"),0.0)</f>
        <v>0</v>
      </c>
      <c r="E8174" s="1" t="s">
        <v>11</v>
      </c>
      <c r="F8174" s="1" t="s">
        <v>20</v>
      </c>
      <c r="G8174" s="4" t="b">
        <f t="shared" si="2"/>
        <v>1</v>
      </c>
      <c r="H8174" s="1" t="str">
        <f t="shared" si="3"/>
        <v>Currently Unavailable</v>
      </c>
      <c r="I8174" s="1" t="str">
        <f t="shared" si="4"/>
        <v>No Badges</v>
      </c>
      <c r="J8174" s="3">
        <f t="shared" si="5"/>
        <v>0</v>
      </c>
    </row>
    <row r="8175">
      <c r="A8175" s="1" t="s">
        <v>6240</v>
      </c>
      <c r="B8175" s="3" t="str">
        <f t="shared" si="1"/>
        <v>Unavailable</v>
      </c>
      <c r="C8175" s="5">
        <v>1304.0</v>
      </c>
      <c r="D8175" s="3">
        <f>IFERROR(__xludf.DUMMYFUNCTION("IFERROR(
IF(REGEXMATCH(LOWER(O8175),""k""),
VALUE(REGEXEXTRACT(O8175,""[0-9]+""))*1000,
VALUE(REGEXEXTRACT(O8175,""[0-9]+""))
),
0
)"),0.0)</f>
        <v>0</v>
      </c>
      <c r="E8175" s="1" t="s">
        <v>11</v>
      </c>
      <c r="F8175" s="1" t="s">
        <v>20</v>
      </c>
      <c r="G8175" s="4" t="b">
        <f t="shared" si="2"/>
        <v>1</v>
      </c>
      <c r="H8175" s="1" t="str">
        <f t="shared" si="3"/>
        <v>Currently Unavailable</v>
      </c>
      <c r="I8175" s="1" t="str">
        <f t="shared" si="4"/>
        <v>No Badges</v>
      </c>
      <c r="J8175" s="3">
        <f t="shared" si="5"/>
        <v>0</v>
      </c>
    </row>
    <row r="8176">
      <c r="A8176" s="1" t="s">
        <v>6241</v>
      </c>
      <c r="B8176" s="3" t="str">
        <f t="shared" si="1"/>
        <v>Unavailable</v>
      </c>
      <c r="C8176" s="5">
        <v>8418.0</v>
      </c>
      <c r="D8176" s="3">
        <f>IFERROR(__xludf.DUMMYFUNCTION("IFERROR(
IF(REGEXMATCH(LOWER(O8176),""k""),
VALUE(REGEXEXTRACT(O8176,""[0-9]+""))*1000,
VALUE(REGEXEXTRACT(O8176,""[0-9]+""))
),
0
)"),0.0)</f>
        <v>0</v>
      </c>
      <c r="E8176" s="1" t="s">
        <v>11</v>
      </c>
      <c r="F8176" s="1" t="s">
        <v>20</v>
      </c>
      <c r="G8176" s="4" t="b">
        <f t="shared" si="2"/>
        <v>1</v>
      </c>
      <c r="H8176" s="1" t="str">
        <f t="shared" si="3"/>
        <v>Currently Unavailable</v>
      </c>
      <c r="I8176" s="1" t="str">
        <f t="shared" si="4"/>
        <v>No Badges</v>
      </c>
      <c r="J8176" s="3">
        <f t="shared" si="5"/>
        <v>0</v>
      </c>
    </row>
    <row r="8177">
      <c r="A8177" s="1" t="s">
        <v>6242</v>
      </c>
      <c r="B8177" s="3" t="str">
        <f t="shared" si="1"/>
        <v>Unavailable</v>
      </c>
      <c r="C8177" s="5">
        <v>3089.0</v>
      </c>
      <c r="D8177" s="3">
        <f>IFERROR(__xludf.DUMMYFUNCTION("IFERROR(
IF(REGEXMATCH(LOWER(O8177),""k""),
VALUE(REGEXEXTRACT(O8177,""[0-9]+""))*1000,
VALUE(REGEXEXTRACT(O8177,""[0-9]+""))
),
0
)"),0.0)</f>
        <v>0</v>
      </c>
      <c r="E8177" s="1" t="s">
        <v>11</v>
      </c>
      <c r="F8177" s="1" t="s">
        <v>20</v>
      </c>
      <c r="G8177" s="4" t="b">
        <f t="shared" si="2"/>
        <v>1</v>
      </c>
      <c r="H8177" s="1" t="str">
        <f t="shared" si="3"/>
        <v>Currently Unavailable</v>
      </c>
      <c r="I8177" s="1" t="str">
        <f t="shared" si="4"/>
        <v>No Badges</v>
      </c>
      <c r="J8177" s="3">
        <f t="shared" si="5"/>
        <v>0</v>
      </c>
    </row>
    <row r="8178">
      <c r="A8178" s="1" t="s">
        <v>6243</v>
      </c>
      <c r="B8178" s="3" t="str">
        <f t="shared" si="1"/>
        <v>Unavailable</v>
      </c>
      <c r="C8178" s="3">
        <v>442.0</v>
      </c>
      <c r="D8178" s="3">
        <f>IFERROR(__xludf.DUMMYFUNCTION("IFERROR(
IF(REGEXMATCH(LOWER(O8178),""k""),
VALUE(REGEXEXTRACT(O8178,""[0-9]+""))*1000,
VALUE(REGEXEXTRACT(O8178,""[0-9]+""))
),
0
)"),0.0)</f>
        <v>0</v>
      </c>
      <c r="E8178" s="1" t="s">
        <v>11</v>
      </c>
      <c r="F8178" s="1" t="s">
        <v>20</v>
      </c>
      <c r="G8178" s="4" t="b">
        <f t="shared" si="2"/>
        <v>1</v>
      </c>
      <c r="H8178" s="1" t="str">
        <f t="shared" si="3"/>
        <v>Currently Unavailable</v>
      </c>
      <c r="I8178" s="1" t="str">
        <f t="shared" si="4"/>
        <v>No Badges</v>
      </c>
      <c r="J8178" s="3">
        <f t="shared" si="5"/>
        <v>0</v>
      </c>
    </row>
    <row r="8179">
      <c r="A8179" s="1" t="s">
        <v>88</v>
      </c>
      <c r="B8179" s="3" t="str">
        <f t="shared" si="1"/>
        <v>Unavailable</v>
      </c>
      <c r="C8179" s="3">
        <v>5.0</v>
      </c>
      <c r="D8179" s="3">
        <f>IFERROR(__xludf.DUMMYFUNCTION("IFERROR(
IF(REGEXMATCH(LOWER(O8179),""k""),
VALUE(REGEXEXTRACT(O8179,""[0-9]+""))*1000,
VALUE(REGEXEXTRACT(O8179,""[0-9]+""))
),
0
)"),0.0)</f>
        <v>0</v>
      </c>
      <c r="E8179" s="1" t="s">
        <v>11</v>
      </c>
      <c r="F8179" s="1" t="s">
        <v>12</v>
      </c>
      <c r="G8179" s="4" t="b">
        <f t="shared" si="2"/>
        <v>1</v>
      </c>
      <c r="H8179" s="1" t="str">
        <f t="shared" si="3"/>
        <v>Currently Unavailable</v>
      </c>
      <c r="I8179" s="1" t="str">
        <f t="shared" si="4"/>
        <v>No Badges</v>
      </c>
      <c r="J8179" s="3">
        <f t="shared" si="5"/>
        <v>0</v>
      </c>
    </row>
    <row r="8180">
      <c r="A8180" s="1" t="s">
        <v>5817</v>
      </c>
      <c r="B8180" s="3" t="str">
        <f t="shared" si="1"/>
        <v>Unavailable</v>
      </c>
      <c r="C8180" s="5">
        <v>7235.0</v>
      </c>
      <c r="D8180" s="3">
        <f>IFERROR(__xludf.DUMMYFUNCTION("IFERROR(
IF(REGEXMATCH(LOWER(O8180),""k""),
VALUE(REGEXEXTRACT(O8180,""[0-9]+""))*1000,
VALUE(REGEXEXTRACT(O8180,""[0-9]+""))
),
0
)"),0.0)</f>
        <v>0</v>
      </c>
      <c r="E8180" s="1" t="s">
        <v>11</v>
      </c>
      <c r="F8180" s="1" t="s">
        <v>12</v>
      </c>
      <c r="G8180" s="4" t="b">
        <f t="shared" si="2"/>
        <v>1</v>
      </c>
      <c r="H8180" s="1" t="str">
        <f t="shared" si="3"/>
        <v>Currently Unavailable</v>
      </c>
      <c r="I8180" s="1" t="str">
        <f t="shared" si="4"/>
        <v>No Badges</v>
      </c>
      <c r="J8180" s="3">
        <f t="shared" si="5"/>
        <v>0</v>
      </c>
    </row>
    <row r="8181">
      <c r="A8181" s="1" t="s">
        <v>6244</v>
      </c>
      <c r="B8181" s="3" t="str">
        <f t="shared" si="1"/>
        <v>Unavailable</v>
      </c>
      <c r="C8181" s="3">
        <v>707.0</v>
      </c>
      <c r="D8181" s="3">
        <f>IFERROR(__xludf.DUMMYFUNCTION("IFERROR(
IF(REGEXMATCH(LOWER(O8181),""k""),
VALUE(REGEXEXTRACT(O8181,""[0-9]+""))*1000,
VALUE(REGEXEXTRACT(O8181,""[0-9]+""))
),
0
)"),0.0)</f>
        <v>0</v>
      </c>
      <c r="E8181" s="1" t="s">
        <v>11</v>
      </c>
      <c r="F8181" s="1" t="s">
        <v>20</v>
      </c>
      <c r="G8181" s="4" t="b">
        <f t="shared" si="2"/>
        <v>1</v>
      </c>
      <c r="H8181" s="1" t="str">
        <f t="shared" si="3"/>
        <v>Currently Unavailable</v>
      </c>
      <c r="I8181" s="1" t="str">
        <f t="shared" si="4"/>
        <v>No Badges</v>
      </c>
      <c r="J8181" s="3">
        <f t="shared" si="5"/>
        <v>0</v>
      </c>
    </row>
    <row r="8182">
      <c r="A8182" s="1" t="s">
        <v>69</v>
      </c>
      <c r="B8182" s="3" t="str">
        <f t="shared" si="1"/>
        <v>Unavailable</v>
      </c>
      <c r="C8182" s="3">
        <v>45.0</v>
      </c>
      <c r="D8182" s="3">
        <f>IFERROR(__xludf.DUMMYFUNCTION("IFERROR(
IF(REGEXMATCH(LOWER(O8182),""k""),
VALUE(REGEXEXTRACT(O8182,""[0-9]+""))*1000,
VALUE(REGEXEXTRACT(O8182,""[0-9]+""))
),
0
)"),0.0)</f>
        <v>0</v>
      </c>
      <c r="E8182" s="1" t="s">
        <v>11</v>
      </c>
      <c r="F8182" s="1" t="s">
        <v>12</v>
      </c>
      <c r="G8182" s="4" t="b">
        <f t="shared" si="2"/>
        <v>1</v>
      </c>
      <c r="H8182" s="1" t="str">
        <f t="shared" si="3"/>
        <v>Currently Unavailable</v>
      </c>
      <c r="I8182" s="1" t="str">
        <f t="shared" si="4"/>
        <v>No Badges</v>
      </c>
      <c r="J8182" s="3">
        <f t="shared" si="5"/>
        <v>0</v>
      </c>
    </row>
    <row r="8183">
      <c r="A8183" s="1" t="s">
        <v>5112</v>
      </c>
      <c r="B8183" s="3" t="str">
        <f t="shared" si="1"/>
        <v>Unavailable</v>
      </c>
      <c r="C8183" s="3">
        <v>412.0</v>
      </c>
      <c r="D8183" s="3">
        <f>IFERROR(__xludf.DUMMYFUNCTION("IFERROR(
IF(REGEXMATCH(LOWER(O8183),""k""),
VALUE(REGEXEXTRACT(O8183,""[0-9]+""))*1000,
VALUE(REGEXEXTRACT(O8183,""[0-9]+""))
),
0
)"),0.0)</f>
        <v>0</v>
      </c>
      <c r="E8183" s="1" t="s">
        <v>11</v>
      </c>
      <c r="F8183" s="1" t="s">
        <v>20</v>
      </c>
      <c r="G8183" s="4" t="b">
        <f t="shared" si="2"/>
        <v>1</v>
      </c>
      <c r="H8183" s="1" t="str">
        <f t="shared" si="3"/>
        <v>Currently Unavailable</v>
      </c>
      <c r="I8183" s="1" t="str">
        <f t="shared" si="4"/>
        <v>No Badges</v>
      </c>
      <c r="J8183" s="3">
        <f t="shared" si="5"/>
        <v>0</v>
      </c>
    </row>
    <row r="8184">
      <c r="A8184" s="1" t="s">
        <v>6245</v>
      </c>
      <c r="B8184" s="3" t="str">
        <f t="shared" si="1"/>
        <v>Unavailable</v>
      </c>
      <c r="C8184" s="5">
        <v>5051.0</v>
      </c>
      <c r="D8184" s="3">
        <f>IFERROR(__xludf.DUMMYFUNCTION("IFERROR(
IF(REGEXMATCH(LOWER(O8184),""k""),
VALUE(REGEXEXTRACT(O8184,""[0-9]+""))*1000,
VALUE(REGEXEXTRACT(O8184,""[0-9]+""))
),
0
)"),0.0)</f>
        <v>0</v>
      </c>
      <c r="E8184" s="1" t="s">
        <v>11</v>
      </c>
      <c r="F8184" s="1" t="s">
        <v>20</v>
      </c>
      <c r="G8184" s="4" t="b">
        <f t="shared" si="2"/>
        <v>1</v>
      </c>
      <c r="H8184" s="1" t="str">
        <f t="shared" si="3"/>
        <v>Currently Unavailable</v>
      </c>
      <c r="I8184" s="1" t="str">
        <f t="shared" si="4"/>
        <v>No Badges</v>
      </c>
      <c r="J8184" s="3">
        <f t="shared" si="5"/>
        <v>0</v>
      </c>
    </row>
    <row r="8185">
      <c r="A8185" s="1" t="s">
        <v>6246</v>
      </c>
      <c r="B8185" s="3" t="str">
        <f t="shared" si="1"/>
        <v>Unavailable</v>
      </c>
      <c r="C8185" s="3">
        <v>202.0</v>
      </c>
      <c r="D8185" s="3">
        <f>IFERROR(__xludf.DUMMYFUNCTION("IFERROR(
IF(REGEXMATCH(LOWER(O8185),""k""),
VALUE(REGEXEXTRACT(O8185,""[0-9]+""))*1000,
VALUE(REGEXEXTRACT(O8185,""[0-9]+""))
),
0
)"),0.0)</f>
        <v>0</v>
      </c>
      <c r="E8185" s="1" t="s">
        <v>11</v>
      </c>
      <c r="F8185" s="1" t="s">
        <v>20</v>
      </c>
      <c r="G8185" s="4" t="b">
        <f t="shared" si="2"/>
        <v>1</v>
      </c>
      <c r="H8185" s="1" t="str">
        <f t="shared" si="3"/>
        <v>Currently Unavailable</v>
      </c>
      <c r="I8185" s="1" t="str">
        <f t="shared" si="4"/>
        <v>No Badges</v>
      </c>
      <c r="J8185" s="3">
        <f t="shared" si="5"/>
        <v>0</v>
      </c>
    </row>
    <row r="8186">
      <c r="A8186" s="1" t="s">
        <v>6247</v>
      </c>
      <c r="B8186" s="3" t="str">
        <f t="shared" si="1"/>
        <v>Unavailable</v>
      </c>
      <c r="C8186" s="5">
        <v>5274.0</v>
      </c>
      <c r="D8186" s="3">
        <f>IFERROR(__xludf.DUMMYFUNCTION("IFERROR(
IF(REGEXMATCH(LOWER(O8186),""k""),
VALUE(REGEXEXTRACT(O8186,""[0-9]+""))*1000,
VALUE(REGEXEXTRACT(O8186,""[0-9]+""))
),
0
)"),0.0)</f>
        <v>0</v>
      </c>
      <c r="E8186" s="1" t="s">
        <v>11</v>
      </c>
      <c r="F8186" s="1" t="s">
        <v>20</v>
      </c>
      <c r="G8186" s="4" t="b">
        <f t="shared" si="2"/>
        <v>1</v>
      </c>
      <c r="H8186" s="1" t="str">
        <f t="shared" si="3"/>
        <v>Currently Unavailable</v>
      </c>
      <c r="I8186" s="1" t="str">
        <f t="shared" si="4"/>
        <v>No Badges</v>
      </c>
      <c r="J8186" s="3">
        <f t="shared" si="5"/>
        <v>0</v>
      </c>
    </row>
    <row r="8187">
      <c r="A8187" s="1" t="s">
        <v>6248</v>
      </c>
      <c r="B8187" s="3" t="str">
        <f t="shared" si="1"/>
        <v>Unavailable</v>
      </c>
      <c r="C8187" s="5">
        <v>6281.0</v>
      </c>
      <c r="D8187" s="3">
        <f>IFERROR(__xludf.DUMMYFUNCTION("IFERROR(
IF(REGEXMATCH(LOWER(O8187),""k""),
VALUE(REGEXEXTRACT(O8187,""[0-9]+""))*1000,
VALUE(REGEXEXTRACT(O8187,""[0-9]+""))
),
0
)"),0.0)</f>
        <v>0</v>
      </c>
      <c r="E8187" s="1" t="s">
        <v>11</v>
      </c>
      <c r="F8187" s="1" t="s">
        <v>20</v>
      </c>
      <c r="G8187" s="4" t="b">
        <f t="shared" si="2"/>
        <v>1</v>
      </c>
      <c r="H8187" s="1" t="str">
        <f t="shared" si="3"/>
        <v>Currently Unavailable</v>
      </c>
      <c r="I8187" s="1" t="str">
        <f t="shared" si="4"/>
        <v>No Badges</v>
      </c>
      <c r="J8187" s="3">
        <f t="shared" si="5"/>
        <v>0</v>
      </c>
    </row>
    <row r="8188">
      <c r="A8188" s="1" t="s">
        <v>6249</v>
      </c>
      <c r="B8188" s="3" t="str">
        <f t="shared" si="1"/>
        <v>Unavailable</v>
      </c>
      <c r="C8188" s="3">
        <v>859.0</v>
      </c>
      <c r="D8188" s="3">
        <f>IFERROR(__xludf.DUMMYFUNCTION("IFERROR(
IF(REGEXMATCH(LOWER(O8188),""k""),
VALUE(REGEXEXTRACT(O8188,""[0-9]+""))*1000,
VALUE(REGEXEXTRACT(O8188,""[0-9]+""))
),
0
)"),0.0)</f>
        <v>0</v>
      </c>
      <c r="E8188" s="1" t="s">
        <v>11</v>
      </c>
      <c r="F8188" s="1" t="s">
        <v>20</v>
      </c>
      <c r="G8188" s="4" t="b">
        <f t="shared" si="2"/>
        <v>1</v>
      </c>
      <c r="H8188" s="1" t="str">
        <f t="shared" si="3"/>
        <v>Currently Unavailable</v>
      </c>
      <c r="I8188" s="1" t="str">
        <f t="shared" si="4"/>
        <v>No Badges</v>
      </c>
      <c r="J8188" s="3">
        <f t="shared" si="5"/>
        <v>0</v>
      </c>
    </row>
    <row r="8189">
      <c r="A8189" s="1" t="s">
        <v>6250</v>
      </c>
      <c r="B8189" s="3" t="str">
        <f t="shared" si="1"/>
        <v>Unavailable</v>
      </c>
      <c r="C8189" s="5">
        <v>2141.0</v>
      </c>
      <c r="D8189" s="3">
        <f>IFERROR(__xludf.DUMMYFUNCTION("IFERROR(
IF(REGEXMATCH(LOWER(O8189),""k""),
VALUE(REGEXEXTRACT(O8189,""[0-9]+""))*1000,
VALUE(REGEXEXTRACT(O8189,""[0-9]+""))
),
0
)"),0.0)</f>
        <v>0</v>
      </c>
      <c r="E8189" s="1" t="s">
        <v>11</v>
      </c>
      <c r="F8189" s="1" t="s">
        <v>20</v>
      </c>
      <c r="G8189" s="4" t="b">
        <f t="shared" si="2"/>
        <v>1</v>
      </c>
      <c r="H8189" s="1" t="str">
        <f t="shared" si="3"/>
        <v>Currently Unavailable</v>
      </c>
      <c r="I8189" s="1" t="str">
        <f t="shared" si="4"/>
        <v>No Badges</v>
      </c>
      <c r="J8189" s="3">
        <f t="shared" si="5"/>
        <v>0</v>
      </c>
    </row>
    <row r="8190">
      <c r="A8190" s="1" t="s">
        <v>6251</v>
      </c>
      <c r="B8190" s="3" t="str">
        <f t="shared" si="1"/>
        <v>Unavailable</v>
      </c>
      <c r="C8190" s="5">
        <v>1396.0</v>
      </c>
      <c r="D8190" s="3">
        <f>IFERROR(__xludf.DUMMYFUNCTION("IFERROR(
IF(REGEXMATCH(LOWER(O8190),""k""),
VALUE(REGEXEXTRACT(O8190,""[0-9]+""))*1000,
VALUE(REGEXEXTRACT(O8190,""[0-9]+""))
),
0
)"),0.0)</f>
        <v>0</v>
      </c>
      <c r="E8190" s="1" t="s">
        <v>11</v>
      </c>
      <c r="F8190" s="1" t="s">
        <v>20</v>
      </c>
      <c r="G8190" s="4" t="b">
        <f t="shared" si="2"/>
        <v>1</v>
      </c>
      <c r="H8190" s="1" t="str">
        <f t="shared" si="3"/>
        <v>Currently Unavailable</v>
      </c>
      <c r="I8190" s="1" t="str">
        <f t="shared" si="4"/>
        <v>No Badges</v>
      </c>
      <c r="J8190" s="3">
        <f t="shared" si="5"/>
        <v>0</v>
      </c>
    </row>
    <row r="8191">
      <c r="A8191" s="1" t="s">
        <v>6252</v>
      </c>
      <c r="B8191" s="3" t="str">
        <f t="shared" si="1"/>
        <v>Unavailable</v>
      </c>
      <c r="C8191" s="5">
        <v>1070.0</v>
      </c>
      <c r="D8191" s="3">
        <f>IFERROR(__xludf.DUMMYFUNCTION("IFERROR(
IF(REGEXMATCH(LOWER(O8191),""k""),
VALUE(REGEXEXTRACT(O8191,""[0-9]+""))*1000,
VALUE(REGEXEXTRACT(O8191,""[0-9]+""))
),
0
)"),0.0)</f>
        <v>0</v>
      </c>
      <c r="E8191" s="1" t="s">
        <v>11</v>
      </c>
      <c r="F8191" s="1" t="s">
        <v>20</v>
      </c>
      <c r="G8191" s="4" t="b">
        <f t="shared" si="2"/>
        <v>1</v>
      </c>
      <c r="H8191" s="1" t="str">
        <f t="shared" si="3"/>
        <v>Currently Unavailable</v>
      </c>
      <c r="I8191" s="1" t="str">
        <f t="shared" si="4"/>
        <v>No Badges</v>
      </c>
      <c r="J8191" s="3">
        <f t="shared" si="5"/>
        <v>0</v>
      </c>
    </row>
    <row r="8192">
      <c r="A8192" s="1" t="s">
        <v>5817</v>
      </c>
      <c r="B8192" s="3" t="str">
        <f t="shared" si="1"/>
        <v>Unavailable</v>
      </c>
      <c r="C8192" s="5">
        <v>7235.0</v>
      </c>
      <c r="D8192" s="3">
        <f>IFERROR(__xludf.DUMMYFUNCTION("IFERROR(
IF(REGEXMATCH(LOWER(O8192),""k""),
VALUE(REGEXEXTRACT(O8192,""[0-9]+""))*1000,
VALUE(REGEXEXTRACT(O8192,""[0-9]+""))
),
0
)"),0.0)</f>
        <v>0</v>
      </c>
      <c r="E8192" s="1" t="s">
        <v>11</v>
      </c>
      <c r="F8192" s="1" t="s">
        <v>12</v>
      </c>
      <c r="G8192" s="4" t="b">
        <f t="shared" si="2"/>
        <v>1</v>
      </c>
      <c r="H8192" s="1" t="str">
        <f t="shared" si="3"/>
        <v>Currently Unavailable</v>
      </c>
      <c r="I8192" s="1" t="str">
        <f t="shared" si="4"/>
        <v>No Badges</v>
      </c>
      <c r="J8192" s="3">
        <f t="shared" si="5"/>
        <v>0</v>
      </c>
    </row>
    <row r="8193">
      <c r="A8193" s="1" t="s">
        <v>6253</v>
      </c>
      <c r="B8193" s="3" t="str">
        <f t="shared" si="1"/>
        <v>Unavailable</v>
      </c>
      <c r="C8193" s="3">
        <v>2.0</v>
      </c>
      <c r="D8193" s="3">
        <f>IFERROR(__xludf.DUMMYFUNCTION("IFERROR(
IF(REGEXMATCH(LOWER(O8193),""k""),
VALUE(REGEXEXTRACT(O8193,""[0-9]+""))*1000,
VALUE(REGEXEXTRACT(O8193,""[0-9]+""))
),
0
)"),0.0)</f>
        <v>0</v>
      </c>
      <c r="E8193" s="1" t="s">
        <v>11</v>
      </c>
      <c r="F8193" s="1" t="s">
        <v>20</v>
      </c>
      <c r="G8193" s="4" t="b">
        <f t="shared" si="2"/>
        <v>1</v>
      </c>
      <c r="H8193" s="1" t="str">
        <f t="shared" si="3"/>
        <v>Currently Unavailable</v>
      </c>
      <c r="I8193" s="1" t="str">
        <f t="shared" si="4"/>
        <v>No Badges</v>
      </c>
      <c r="J8193" s="3">
        <f t="shared" si="5"/>
        <v>0</v>
      </c>
    </row>
    <row r="8194">
      <c r="A8194" s="1" t="s">
        <v>6254</v>
      </c>
      <c r="B8194" s="3" t="str">
        <f t="shared" si="1"/>
        <v>Unavailable</v>
      </c>
      <c r="C8194" s="5">
        <v>1964.0</v>
      </c>
      <c r="D8194" s="3">
        <f>IFERROR(__xludf.DUMMYFUNCTION("IFERROR(
IF(REGEXMATCH(LOWER(O8194),""k""),
VALUE(REGEXEXTRACT(O8194,""[0-9]+""))*1000,
VALUE(REGEXEXTRACT(O8194,""[0-9]+""))
),
0
)"),0.0)</f>
        <v>0</v>
      </c>
      <c r="E8194" s="1" t="s">
        <v>11</v>
      </c>
      <c r="F8194" s="1" t="s">
        <v>20</v>
      </c>
      <c r="G8194" s="4" t="b">
        <f t="shared" si="2"/>
        <v>1</v>
      </c>
      <c r="H8194" s="1" t="str">
        <f t="shared" si="3"/>
        <v>Currently Unavailable</v>
      </c>
      <c r="I8194" s="1" t="str">
        <f t="shared" si="4"/>
        <v>No Badges</v>
      </c>
      <c r="J8194" s="3">
        <f t="shared" si="5"/>
        <v>0</v>
      </c>
    </row>
    <row r="8195">
      <c r="A8195" s="1" t="s">
        <v>6255</v>
      </c>
      <c r="B8195" s="3" t="str">
        <f t="shared" si="1"/>
        <v>Unavailable</v>
      </c>
      <c r="C8195" s="5">
        <v>2739.0</v>
      </c>
      <c r="D8195" s="3">
        <f>IFERROR(__xludf.DUMMYFUNCTION("IFERROR(
IF(REGEXMATCH(LOWER(O8195),""k""),
VALUE(REGEXEXTRACT(O8195,""[0-9]+""))*1000,
VALUE(REGEXEXTRACT(O8195,""[0-9]+""))
),
0
)"),0.0)</f>
        <v>0</v>
      </c>
      <c r="E8195" s="1" t="s">
        <v>11</v>
      </c>
      <c r="F8195" s="1" t="s">
        <v>20</v>
      </c>
      <c r="G8195" s="4" t="b">
        <f t="shared" si="2"/>
        <v>1</v>
      </c>
      <c r="H8195" s="1" t="str">
        <f t="shared" si="3"/>
        <v>Currently Unavailable</v>
      </c>
      <c r="I8195" s="1" t="str">
        <f t="shared" si="4"/>
        <v>No Badges</v>
      </c>
      <c r="J8195" s="3">
        <f t="shared" si="5"/>
        <v>0</v>
      </c>
    </row>
    <row r="8196">
      <c r="A8196" s="1" t="s">
        <v>701</v>
      </c>
      <c r="B8196" s="3" t="str">
        <f t="shared" si="1"/>
        <v>Unavailable</v>
      </c>
      <c r="C8196" s="3">
        <v>8.0</v>
      </c>
      <c r="D8196" s="3">
        <f>IFERROR(__xludf.DUMMYFUNCTION("IFERROR(
IF(REGEXMATCH(LOWER(O8196),""k""),
VALUE(REGEXEXTRACT(O8196,""[0-9]+""))*1000,
VALUE(REGEXEXTRACT(O8196,""[0-9]+""))
),
0
)"),0.0)</f>
        <v>0</v>
      </c>
      <c r="E8196" s="1" t="s">
        <v>11</v>
      </c>
      <c r="F8196" s="1" t="s">
        <v>12</v>
      </c>
      <c r="G8196" s="4" t="b">
        <f t="shared" si="2"/>
        <v>1</v>
      </c>
      <c r="H8196" s="1" t="str">
        <f t="shared" si="3"/>
        <v>Currently Unavailable</v>
      </c>
      <c r="I8196" s="1" t="str">
        <f t="shared" si="4"/>
        <v>No Badges</v>
      </c>
      <c r="J8196" s="3">
        <f t="shared" si="5"/>
        <v>0</v>
      </c>
    </row>
    <row r="8197">
      <c r="A8197" s="1" t="s">
        <v>67</v>
      </c>
      <c r="B8197" s="3" t="str">
        <f t="shared" si="1"/>
        <v>Unavailable</v>
      </c>
      <c r="C8197" s="3">
        <v>264.0</v>
      </c>
      <c r="D8197" s="3">
        <f>IFERROR(__xludf.DUMMYFUNCTION("IFERROR(
IF(REGEXMATCH(LOWER(O8197),""k""),
VALUE(REGEXEXTRACT(O8197,""[0-9]+""))*1000,
VALUE(REGEXEXTRACT(O8197,""[0-9]+""))
),
0
)"),0.0)</f>
        <v>0</v>
      </c>
      <c r="E8197" s="1" t="s">
        <v>11</v>
      </c>
      <c r="F8197" s="1" t="s">
        <v>12</v>
      </c>
      <c r="G8197" s="4" t="b">
        <f t="shared" si="2"/>
        <v>1</v>
      </c>
      <c r="H8197" s="1" t="str">
        <f t="shared" si="3"/>
        <v>Currently Unavailable</v>
      </c>
      <c r="I8197" s="1" t="str">
        <f t="shared" si="4"/>
        <v>No Badges</v>
      </c>
      <c r="J8197" s="3">
        <f t="shared" si="5"/>
        <v>0</v>
      </c>
    </row>
    <row r="8198">
      <c r="A8198" s="1" t="s">
        <v>6256</v>
      </c>
      <c r="B8198" s="3" t="str">
        <f t="shared" si="1"/>
        <v>Unavailable</v>
      </c>
      <c r="C8198" s="3">
        <v>3.0</v>
      </c>
      <c r="D8198" s="3">
        <f>IFERROR(__xludf.DUMMYFUNCTION("IFERROR(
IF(REGEXMATCH(LOWER(O8198),""k""),
VALUE(REGEXEXTRACT(O8198,""[0-9]+""))*1000,
VALUE(REGEXEXTRACT(O8198,""[0-9]+""))
),
0
)"),0.0)</f>
        <v>0</v>
      </c>
      <c r="E8198" s="1" t="s">
        <v>11</v>
      </c>
      <c r="F8198" s="1" t="s">
        <v>20</v>
      </c>
      <c r="G8198" s="4" t="b">
        <f t="shared" si="2"/>
        <v>1</v>
      </c>
      <c r="H8198" s="1" t="str">
        <f t="shared" si="3"/>
        <v>Currently Unavailable</v>
      </c>
      <c r="I8198" s="1" t="str">
        <f t="shared" si="4"/>
        <v>No Badges</v>
      </c>
      <c r="J8198" s="3">
        <f t="shared" si="5"/>
        <v>0</v>
      </c>
    </row>
    <row r="8199">
      <c r="A8199" s="1" t="s">
        <v>6257</v>
      </c>
      <c r="B8199" s="3" t="str">
        <f t="shared" si="1"/>
        <v>Unavailable</v>
      </c>
      <c r="C8199" s="3">
        <v>289.0</v>
      </c>
      <c r="D8199" s="3">
        <f>IFERROR(__xludf.DUMMYFUNCTION("IFERROR(
IF(REGEXMATCH(LOWER(O8199),""k""),
VALUE(REGEXEXTRACT(O8199,""[0-9]+""))*1000,
VALUE(REGEXEXTRACT(O8199,""[0-9]+""))
),
0
)"),0.0)</f>
        <v>0</v>
      </c>
      <c r="E8199" s="1" t="s">
        <v>11</v>
      </c>
      <c r="F8199" s="1" t="s">
        <v>20</v>
      </c>
      <c r="G8199" s="4" t="b">
        <f t="shared" si="2"/>
        <v>1</v>
      </c>
      <c r="H8199" s="1" t="str">
        <f t="shared" si="3"/>
        <v>Currently Unavailable</v>
      </c>
      <c r="I8199" s="1" t="str">
        <f t="shared" si="4"/>
        <v>No Badges</v>
      </c>
      <c r="J8199" s="3">
        <f t="shared" si="5"/>
        <v>0</v>
      </c>
    </row>
    <row r="8200">
      <c r="A8200" s="1" t="s">
        <v>6258</v>
      </c>
      <c r="B8200" s="3" t="str">
        <f t="shared" si="1"/>
        <v>Unavailable</v>
      </c>
      <c r="C8200" s="3">
        <v>520.0</v>
      </c>
      <c r="D8200" s="3">
        <f>IFERROR(__xludf.DUMMYFUNCTION("IFERROR(
IF(REGEXMATCH(LOWER(O8200),""k""),
VALUE(REGEXEXTRACT(O8200,""[0-9]+""))*1000,
VALUE(REGEXEXTRACT(O8200,""[0-9]+""))
),
0
)"),0.0)</f>
        <v>0</v>
      </c>
      <c r="E8200" s="1" t="s">
        <v>11</v>
      </c>
      <c r="F8200" s="1" t="s">
        <v>20</v>
      </c>
      <c r="G8200" s="4" t="b">
        <f t="shared" si="2"/>
        <v>1</v>
      </c>
      <c r="H8200" s="1" t="str">
        <f t="shared" si="3"/>
        <v>Currently Unavailable</v>
      </c>
      <c r="I8200" s="1" t="str">
        <f t="shared" si="4"/>
        <v>No Badges</v>
      </c>
      <c r="J8200" s="3">
        <f t="shared" si="5"/>
        <v>0</v>
      </c>
    </row>
    <row r="8201">
      <c r="A8201" s="1" t="s">
        <v>6259</v>
      </c>
      <c r="B8201" s="3" t="str">
        <f t="shared" si="1"/>
        <v>Unavailable</v>
      </c>
      <c r="C8201" s="3">
        <v>884.0</v>
      </c>
      <c r="D8201" s="3">
        <f>IFERROR(__xludf.DUMMYFUNCTION("IFERROR(
IF(REGEXMATCH(LOWER(O8201),""k""),
VALUE(REGEXEXTRACT(O8201,""[0-9]+""))*1000,
VALUE(REGEXEXTRACT(O8201,""[0-9]+""))
),
0
)"),0.0)</f>
        <v>0</v>
      </c>
      <c r="E8201" s="1" t="s">
        <v>11</v>
      </c>
      <c r="F8201" s="1" t="s">
        <v>20</v>
      </c>
      <c r="G8201" s="4" t="b">
        <f t="shared" si="2"/>
        <v>1</v>
      </c>
      <c r="H8201" s="1" t="str">
        <f t="shared" si="3"/>
        <v>Currently Unavailable</v>
      </c>
      <c r="I8201" s="1" t="str">
        <f t="shared" si="4"/>
        <v>No Badges</v>
      </c>
      <c r="J8201" s="3">
        <f t="shared" si="5"/>
        <v>0</v>
      </c>
    </row>
    <row r="8202">
      <c r="A8202" s="1" t="s">
        <v>6260</v>
      </c>
      <c r="B8202" s="3" t="str">
        <f t="shared" si="1"/>
        <v>Unavailable</v>
      </c>
      <c r="C8202" s="3">
        <v>196.0</v>
      </c>
      <c r="D8202" s="3">
        <f>IFERROR(__xludf.DUMMYFUNCTION("IFERROR(
IF(REGEXMATCH(LOWER(O8202),""k""),
VALUE(REGEXEXTRACT(O8202,""[0-9]+""))*1000,
VALUE(REGEXEXTRACT(O8202,""[0-9]+""))
),
0
)"),0.0)</f>
        <v>0</v>
      </c>
      <c r="E8202" s="1" t="s">
        <v>11</v>
      </c>
      <c r="F8202" s="1" t="s">
        <v>20</v>
      </c>
      <c r="G8202" s="4" t="b">
        <f t="shared" si="2"/>
        <v>1</v>
      </c>
      <c r="H8202" s="1" t="str">
        <f t="shared" si="3"/>
        <v>Currently Unavailable</v>
      </c>
      <c r="I8202" s="1" t="str">
        <f t="shared" si="4"/>
        <v>No Badges</v>
      </c>
      <c r="J8202" s="3">
        <f t="shared" si="5"/>
        <v>0</v>
      </c>
    </row>
    <row r="8203">
      <c r="A8203" s="1" t="s">
        <v>6261</v>
      </c>
      <c r="B8203" s="3" t="str">
        <f t="shared" si="1"/>
        <v>Unavailable</v>
      </c>
      <c r="C8203" s="5">
        <v>11803.0</v>
      </c>
      <c r="D8203" s="3">
        <f>IFERROR(__xludf.DUMMYFUNCTION("IFERROR(
IF(REGEXMATCH(LOWER(O8203),""k""),
VALUE(REGEXEXTRACT(O8203,""[0-9]+""))*1000,
VALUE(REGEXEXTRACT(O8203,""[0-9]+""))
),
0
)"),0.0)</f>
        <v>0</v>
      </c>
      <c r="E8203" s="1" t="s">
        <v>11</v>
      </c>
      <c r="F8203" s="1" t="s">
        <v>20</v>
      </c>
      <c r="G8203" s="4" t="b">
        <f t="shared" si="2"/>
        <v>1</v>
      </c>
      <c r="H8203" s="1" t="str">
        <f t="shared" si="3"/>
        <v>Currently Unavailable</v>
      </c>
      <c r="I8203" s="1" t="str">
        <f t="shared" si="4"/>
        <v>No Badges</v>
      </c>
      <c r="J8203" s="3">
        <f t="shared" si="5"/>
        <v>0</v>
      </c>
    </row>
    <row r="8204">
      <c r="A8204" s="1" t="s">
        <v>6262</v>
      </c>
      <c r="B8204" s="3" t="str">
        <f t="shared" si="1"/>
        <v>Unavailable</v>
      </c>
      <c r="C8204" s="3">
        <v>167.0</v>
      </c>
      <c r="D8204" s="3">
        <f>IFERROR(__xludf.DUMMYFUNCTION("IFERROR(
IF(REGEXMATCH(LOWER(O8204),""k""),
VALUE(REGEXEXTRACT(O8204,""[0-9]+""))*1000,
VALUE(REGEXEXTRACT(O8204,""[0-9]+""))
),
0
)"),0.0)</f>
        <v>0</v>
      </c>
      <c r="E8204" s="1" t="s">
        <v>11</v>
      </c>
      <c r="F8204" s="1" t="s">
        <v>20</v>
      </c>
      <c r="G8204" s="4" t="b">
        <f t="shared" si="2"/>
        <v>1</v>
      </c>
      <c r="H8204" s="1" t="str">
        <f t="shared" si="3"/>
        <v>Currently Unavailable</v>
      </c>
      <c r="I8204" s="1" t="str">
        <f t="shared" si="4"/>
        <v>No Badges</v>
      </c>
      <c r="J8204" s="3">
        <f t="shared" si="5"/>
        <v>0</v>
      </c>
    </row>
    <row r="8205">
      <c r="A8205" s="1" t="s">
        <v>6263</v>
      </c>
      <c r="B8205" s="3" t="str">
        <f t="shared" si="1"/>
        <v>Unavailable</v>
      </c>
      <c r="C8205" s="3">
        <v>91.0</v>
      </c>
      <c r="D8205" s="3">
        <f>IFERROR(__xludf.DUMMYFUNCTION("IFERROR(
IF(REGEXMATCH(LOWER(O8205),""k""),
VALUE(REGEXEXTRACT(O8205,""[0-9]+""))*1000,
VALUE(REGEXEXTRACT(O8205,""[0-9]+""))
),
0
)"),0.0)</f>
        <v>0</v>
      </c>
      <c r="E8205" s="1" t="s">
        <v>11</v>
      </c>
      <c r="F8205" s="1" t="s">
        <v>20</v>
      </c>
      <c r="G8205" s="4" t="b">
        <f t="shared" si="2"/>
        <v>1</v>
      </c>
      <c r="H8205" s="1" t="str">
        <f t="shared" si="3"/>
        <v>Currently Unavailable</v>
      </c>
      <c r="I8205" s="1" t="str">
        <f t="shared" si="4"/>
        <v>No Badges</v>
      </c>
      <c r="J8205" s="3">
        <f t="shared" si="5"/>
        <v>0</v>
      </c>
    </row>
    <row r="8206">
      <c r="A8206" s="1" t="s">
        <v>6264</v>
      </c>
      <c r="B8206" s="3" t="str">
        <f t="shared" si="1"/>
        <v>Unavailable</v>
      </c>
      <c r="C8206" s="5">
        <v>6094.0</v>
      </c>
      <c r="D8206" s="3">
        <f>IFERROR(__xludf.DUMMYFUNCTION("IFERROR(
IF(REGEXMATCH(LOWER(O8206),""k""),
VALUE(REGEXEXTRACT(O8206,""[0-9]+""))*1000,
VALUE(REGEXEXTRACT(O8206,""[0-9]+""))
),
0
)"),0.0)</f>
        <v>0</v>
      </c>
      <c r="E8206" s="1" t="s">
        <v>11</v>
      </c>
      <c r="F8206" s="1" t="s">
        <v>20</v>
      </c>
      <c r="G8206" s="4" t="b">
        <f t="shared" si="2"/>
        <v>1</v>
      </c>
      <c r="H8206" s="1" t="str">
        <f t="shared" si="3"/>
        <v>Currently Unavailable</v>
      </c>
      <c r="I8206" s="1" t="str">
        <f t="shared" si="4"/>
        <v>No Badges</v>
      </c>
      <c r="J8206" s="3">
        <f t="shared" si="5"/>
        <v>0</v>
      </c>
    </row>
    <row r="8207">
      <c r="A8207" s="1" t="s">
        <v>6265</v>
      </c>
      <c r="B8207" s="3" t="str">
        <f t="shared" si="1"/>
        <v>Unavailable</v>
      </c>
      <c r="C8207" s="5">
        <v>14506.0</v>
      </c>
      <c r="D8207" s="3">
        <f>IFERROR(__xludf.DUMMYFUNCTION("IFERROR(
IF(REGEXMATCH(LOWER(O8207),""k""),
VALUE(REGEXEXTRACT(O8207,""[0-9]+""))*1000,
VALUE(REGEXEXTRACT(O8207,""[0-9]+""))
),
0
)"),0.0)</f>
        <v>0</v>
      </c>
      <c r="E8207" s="1" t="s">
        <v>11</v>
      </c>
      <c r="F8207" s="1" t="s">
        <v>20</v>
      </c>
      <c r="G8207" s="4" t="b">
        <f t="shared" si="2"/>
        <v>1</v>
      </c>
      <c r="H8207" s="1" t="str">
        <f t="shared" si="3"/>
        <v>Currently Unavailable</v>
      </c>
      <c r="I8207" s="1" t="str">
        <f t="shared" si="4"/>
        <v>No Badges</v>
      </c>
      <c r="J8207" s="3">
        <f t="shared" si="5"/>
        <v>0</v>
      </c>
    </row>
    <row r="8208">
      <c r="A8208" s="1" t="s">
        <v>6266</v>
      </c>
      <c r="B8208" s="3" t="str">
        <f t="shared" si="1"/>
        <v>Unavailable</v>
      </c>
      <c r="C8208" s="5">
        <v>10576.0</v>
      </c>
      <c r="D8208" s="3">
        <f>IFERROR(__xludf.DUMMYFUNCTION("IFERROR(
IF(REGEXMATCH(LOWER(O8208),""k""),
VALUE(REGEXEXTRACT(O8208,""[0-9]+""))*1000,
VALUE(REGEXEXTRACT(O8208,""[0-9]+""))
),
0
)"),0.0)</f>
        <v>0</v>
      </c>
      <c r="E8208" s="1" t="s">
        <v>11</v>
      </c>
      <c r="F8208" s="1" t="s">
        <v>20</v>
      </c>
      <c r="G8208" s="4" t="b">
        <f t="shared" si="2"/>
        <v>1</v>
      </c>
      <c r="H8208" s="1" t="str">
        <f t="shared" si="3"/>
        <v>Currently Unavailable</v>
      </c>
      <c r="I8208" s="1" t="str">
        <f t="shared" si="4"/>
        <v>No Badges</v>
      </c>
      <c r="J8208" s="3">
        <f t="shared" si="5"/>
        <v>0</v>
      </c>
    </row>
    <row r="8209">
      <c r="A8209" s="1" t="s">
        <v>6267</v>
      </c>
      <c r="B8209" s="3" t="str">
        <f t="shared" si="1"/>
        <v>Unavailable</v>
      </c>
      <c r="C8209" s="3">
        <v>179.0</v>
      </c>
      <c r="D8209" s="3">
        <f>IFERROR(__xludf.DUMMYFUNCTION("IFERROR(
IF(REGEXMATCH(LOWER(O8209),""k""),
VALUE(REGEXEXTRACT(O8209,""[0-9]+""))*1000,
VALUE(REGEXEXTRACT(O8209,""[0-9]+""))
),
0
)"),0.0)</f>
        <v>0</v>
      </c>
      <c r="E8209" s="1" t="s">
        <v>18</v>
      </c>
      <c r="F8209" s="1" t="s">
        <v>20</v>
      </c>
      <c r="G8209" s="4" t="b">
        <f t="shared" si="2"/>
        <v>1</v>
      </c>
      <c r="H8209" s="1" t="str">
        <f t="shared" si="3"/>
        <v>Currently Unavailable</v>
      </c>
      <c r="I8209" s="1" t="str">
        <f t="shared" si="4"/>
        <v>No Badges</v>
      </c>
      <c r="J8209" s="3">
        <f t="shared" si="5"/>
        <v>0</v>
      </c>
    </row>
    <row r="8210">
      <c r="A8210" s="1" t="s">
        <v>6268</v>
      </c>
      <c r="B8210" s="3" t="str">
        <f t="shared" si="1"/>
        <v>Unavailable</v>
      </c>
      <c r="C8210" s="5">
        <v>4423.0</v>
      </c>
      <c r="D8210" s="3">
        <f>IFERROR(__xludf.DUMMYFUNCTION("IFERROR(
IF(REGEXMATCH(LOWER(O8210),""k""),
VALUE(REGEXEXTRACT(O8210,""[0-9]+""))*1000,
VALUE(REGEXEXTRACT(O8210,""[0-9]+""))
),
0
)"),0.0)</f>
        <v>0</v>
      </c>
      <c r="E8210" s="1" t="s">
        <v>11</v>
      </c>
      <c r="F8210" s="1" t="s">
        <v>20</v>
      </c>
      <c r="G8210" s="4" t="b">
        <f t="shared" si="2"/>
        <v>1</v>
      </c>
      <c r="H8210" s="1" t="str">
        <f t="shared" si="3"/>
        <v>Currently Unavailable</v>
      </c>
      <c r="I8210" s="1" t="str">
        <f t="shared" si="4"/>
        <v>No Badges</v>
      </c>
      <c r="J8210" s="3">
        <f t="shared" si="5"/>
        <v>0</v>
      </c>
    </row>
    <row r="8211">
      <c r="A8211" s="1" t="s">
        <v>3680</v>
      </c>
      <c r="B8211" s="3" t="str">
        <f t="shared" si="1"/>
        <v>Unavailable</v>
      </c>
      <c r="C8211" s="3">
        <v>2.0</v>
      </c>
      <c r="D8211" s="3">
        <f>IFERROR(__xludf.DUMMYFUNCTION("IFERROR(
IF(REGEXMATCH(LOWER(O8211),""k""),
VALUE(REGEXEXTRACT(O8211,""[0-9]+""))*1000,
VALUE(REGEXEXTRACT(O8211,""[0-9]+""))
),
0
)"),0.0)</f>
        <v>0</v>
      </c>
      <c r="E8211" s="1" t="s">
        <v>11</v>
      </c>
      <c r="F8211" s="1" t="s">
        <v>12</v>
      </c>
      <c r="G8211" s="4" t="b">
        <f t="shared" si="2"/>
        <v>1</v>
      </c>
      <c r="H8211" s="1" t="str">
        <f t="shared" si="3"/>
        <v>Currently Unavailable</v>
      </c>
      <c r="I8211" s="1" t="str">
        <f t="shared" si="4"/>
        <v>No Badges</v>
      </c>
      <c r="J8211" s="3">
        <f t="shared" si="5"/>
        <v>0</v>
      </c>
    </row>
    <row r="8212">
      <c r="A8212" s="1" t="s">
        <v>88</v>
      </c>
      <c r="B8212" s="3" t="str">
        <f t="shared" si="1"/>
        <v>Unavailable</v>
      </c>
      <c r="C8212" s="3">
        <v>5.0</v>
      </c>
      <c r="D8212" s="3">
        <f>IFERROR(__xludf.DUMMYFUNCTION("IFERROR(
IF(REGEXMATCH(LOWER(O8212),""k""),
VALUE(REGEXEXTRACT(O8212,""[0-9]+""))*1000,
VALUE(REGEXEXTRACT(O8212,""[0-9]+""))
),
0
)"),0.0)</f>
        <v>0</v>
      </c>
      <c r="E8212" s="1" t="s">
        <v>11</v>
      </c>
      <c r="F8212" s="1" t="s">
        <v>12</v>
      </c>
      <c r="G8212" s="4" t="b">
        <f t="shared" si="2"/>
        <v>1</v>
      </c>
      <c r="H8212" s="1" t="str">
        <f t="shared" si="3"/>
        <v>Currently Unavailable</v>
      </c>
      <c r="I8212" s="1" t="str">
        <f t="shared" si="4"/>
        <v>No Badges</v>
      </c>
      <c r="J8212" s="3">
        <f t="shared" si="5"/>
        <v>0</v>
      </c>
    </row>
    <row r="8213">
      <c r="A8213" s="1" t="s">
        <v>6269</v>
      </c>
      <c r="B8213" s="3" t="str">
        <f t="shared" si="1"/>
        <v>Unavailable</v>
      </c>
      <c r="C8213" s="3">
        <v>128.0</v>
      </c>
      <c r="D8213" s="3">
        <f>IFERROR(__xludf.DUMMYFUNCTION("IFERROR(
IF(REGEXMATCH(LOWER(O8213),""k""),
VALUE(REGEXEXTRACT(O8213,""[0-9]+""))*1000,
VALUE(REGEXEXTRACT(O8213,""[0-9]+""))
),
0
)"),0.0)</f>
        <v>0</v>
      </c>
      <c r="E8213" s="1" t="s">
        <v>11</v>
      </c>
      <c r="F8213" s="1" t="s">
        <v>20</v>
      </c>
      <c r="G8213" s="4" t="b">
        <f t="shared" si="2"/>
        <v>1</v>
      </c>
      <c r="H8213" s="1" t="str">
        <f t="shared" si="3"/>
        <v>Currently Unavailable</v>
      </c>
      <c r="I8213" s="1" t="str">
        <f t="shared" si="4"/>
        <v>No Badges</v>
      </c>
      <c r="J8213" s="3">
        <f t="shared" si="5"/>
        <v>0</v>
      </c>
    </row>
    <row r="8214">
      <c r="A8214" s="1" t="s">
        <v>5817</v>
      </c>
      <c r="B8214" s="3" t="str">
        <f t="shared" si="1"/>
        <v>Unavailable</v>
      </c>
      <c r="C8214" s="5">
        <v>7235.0</v>
      </c>
      <c r="D8214" s="3">
        <f>IFERROR(__xludf.DUMMYFUNCTION("IFERROR(
IF(REGEXMATCH(LOWER(O8214),""k""),
VALUE(REGEXEXTRACT(O8214,""[0-9]+""))*1000,
VALUE(REGEXEXTRACT(O8214,""[0-9]+""))
),
0
)"),0.0)</f>
        <v>0</v>
      </c>
      <c r="E8214" s="1" t="s">
        <v>11</v>
      </c>
      <c r="F8214" s="1" t="s">
        <v>12</v>
      </c>
      <c r="G8214" s="4" t="b">
        <f t="shared" si="2"/>
        <v>1</v>
      </c>
      <c r="H8214" s="1" t="str">
        <f t="shared" si="3"/>
        <v>Currently Unavailable</v>
      </c>
      <c r="I8214" s="1" t="str">
        <f t="shared" si="4"/>
        <v>No Badges</v>
      </c>
      <c r="J8214" s="3">
        <f t="shared" si="5"/>
        <v>0</v>
      </c>
    </row>
    <row r="8215">
      <c r="A8215" s="1" t="s">
        <v>69</v>
      </c>
      <c r="B8215" s="3" t="str">
        <f t="shared" si="1"/>
        <v>Unavailable</v>
      </c>
      <c r="C8215" s="3">
        <v>45.0</v>
      </c>
      <c r="D8215" s="3">
        <f>IFERROR(__xludf.DUMMYFUNCTION("IFERROR(
IF(REGEXMATCH(LOWER(O8215),""k""),
VALUE(REGEXEXTRACT(O8215,""[0-9]+""))*1000,
VALUE(REGEXEXTRACT(O8215,""[0-9]+""))
),
0
)"),0.0)</f>
        <v>0</v>
      </c>
      <c r="E8215" s="1" t="s">
        <v>11</v>
      </c>
      <c r="F8215" s="1" t="s">
        <v>12</v>
      </c>
      <c r="G8215" s="4" t="b">
        <f t="shared" si="2"/>
        <v>1</v>
      </c>
      <c r="H8215" s="1" t="str">
        <f t="shared" si="3"/>
        <v>Currently Unavailable</v>
      </c>
      <c r="I8215" s="1" t="str">
        <f t="shared" si="4"/>
        <v>No Badges</v>
      </c>
      <c r="J8215" s="3">
        <f t="shared" si="5"/>
        <v>0</v>
      </c>
    </row>
    <row r="8216">
      <c r="A8216" s="1" t="s">
        <v>6270</v>
      </c>
      <c r="B8216" s="3" t="str">
        <f t="shared" si="1"/>
        <v>Unavailable</v>
      </c>
      <c r="C8216" s="3">
        <v>269.0</v>
      </c>
      <c r="D8216" s="3">
        <f>IFERROR(__xludf.DUMMYFUNCTION("IFERROR(
IF(REGEXMATCH(LOWER(O8216),""k""),
VALUE(REGEXEXTRACT(O8216,""[0-9]+""))*1000,
VALUE(REGEXEXTRACT(O8216,""[0-9]+""))
),
0
)"),0.0)</f>
        <v>0</v>
      </c>
      <c r="E8216" s="1" t="s">
        <v>11</v>
      </c>
      <c r="F8216" s="1" t="s">
        <v>20</v>
      </c>
      <c r="G8216" s="4" t="b">
        <f t="shared" si="2"/>
        <v>1</v>
      </c>
      <c r="H8216" s="1" t="str">
        <f t="shared" si="3"/>
        <v>Currently Unavailable</v>
      </c>
      <c r="I8216" s="1" t="str">
        <f t="shared" si="4"/>
        <v>No Badges</v>
      </c>
      <c r="J8216" s="3">
        <f t="shared" si="5"/>
        <v>0</v>
      </c>
    </row>
    <row r="8217">
      <c r="A8217" s="1" t="s">
        <v>6271</v>
      </c>
      <c r="B8217" s="3" t="str">
        <f t="shared" si="1"/>
        <v>Unavailable</v>
      </c>
      <c r="C8217" s="5">
        <v>2603.0</v>
      </c>
      <c r="D8217" s="3">
        <f>IFERROR(__xludf.DUMMYFUNCTION("IFERROR(
IF(REGEXMATCH(LOWER(O8217),""k""),
VALUE(REGEXEXTRACT(O8217,""[0-9]+""))*1000,
VALUE(REGEXEXTRACT(O8217,""[0-9]+""))
),
0
)"),0.0)</f>
        <v>0</v>
      </c>
      <c r="E8217" s="1" t="s">
        <v>11</v>
      </c>
      <c r="F8217" s="1" t="s">
        <v>20</v>
      </c>
      <c r="G8217" s="4" t="b">
        <f t="shared" si="2"/>
        <v>1</v>
      </c>
      <c r="H8217" s="1" t="str">
        <f t="shared" si="3"/>
        <v>Currently Unavailable</v>
      </c>
      <c r="I8217" s="1" t="str">
        <f t="shared" si="4"/>
        <v>No Badges</v>
      </c>
      <c r="J8217" s="3">
        <f t="shared" si="5"/>
        <v>0</v>
      </c>
    </row>
    <row r="8218">
      <c r="A8218" s="1" t="s">
        <v>6272</v>
      </c>
      <c r="B8218" s="3" t="str">
        <f t="shared" si="1"/>
        <v>Unavailable</v>
      </c>
      <c r="C8218" s="5">
        <v>1632.0</v>
      </c>
      <c r="D8218" s="3">
        <f>IFERROR(__xludf.DUMMYFUNCTION("IFERROR(
IF(REGEXMATCH(LOWER(O8218),""k""),
VALUE(REGEXEXTRACT(O8218,""[0-9]+""))*1000,
VALUE(REGEXEXTRACT(O8218,""[0-9]+""))
),
0
)"),0.0)</f>
        <v>0</v>
      </c>
      <c r="E8218" s="1" t="s">
        <v>11</v>
      </c>
      <c r="F8218" s="1" t="s">
        <v>20</v>
      </c>
      <c r="G8218" s="4" t="b">
        <f t="shared" si="2"/>
        <v>1</v>
      </c>
      <c r="H8218" s="1" t="str">
        <f t="shared" si="3"/>
        <v>Currently Unavailable</v>
      </c>
      <c r="I8218" s="1" t="str">
        <f t="shared" si="4"/>
        <v>No Badges</v>
      </c>
      <c r="J8218" s="3">
        <f t="shared" si="5"/>
        <v>0</v>
      </c>
    </row>
    <row r="8219">
      <c r="A8219" s="1" t="s">
        <v>6273</v>
      </c>
      <c r="B8219" s="3" t="str">
        <f t="shared" si="1"/>
        <v>Unavailable</v>
      </c>
      <c r="C8219" s="5">
        <v>51068.0</v>
      </c>
      <c r="D8219" s="3">
        <f>IFERROR(__xludf.DUMMYFUNCTION("IFERROR(
IF(REGEXMATCH(LOWER(O8219),""k""),
VALUE(REGEXEXTRACT(O8219,""[0-9]+""))*1000,
VALUE(REGEXEXTRACT(O8219,""[0-9]+""))
),
0
)"),0.0)</f>
        <v>0</v>
      </c>
      <c r="E8219" s="1" t="s">
        <v>11</v>
      </c>
      <c r="F8219" s="1" t="s">
        <v>20</v>
      </c>
      <c r="G8219" s="4" t="b">
        <f t="shared" si="2"/>
        <v>1</v>
      </c>
      <c r="H8219" s="1" t="str">
        <f t="shared" si="3"/>
        <v>Currently Unavailable</v>
      </c>
      <c r="I8219" s="1" t="str">
        <f t="shared" si="4"/>
        <v>No Badges</v>
      </c>
      <c r="J8219" s="3">
        <f t="shared" si="5"/>
        <v>0</v>
      </c>
    </row>
    <row r="8220">
      <c r="A8220" s="1" t="s">
        <v>6274</v>
      </c>
      <c r="B8220" s="3" t="str">
        <f t="shared" si="1"/>
        <v>Unavailable</v>
      </c>
      <c r="C8220" s="3">
        <v>761.0</v>
      </c>
      <c r="D8220" s="3">
        <f>IFERROR(__xludf.DUMMYFUNCTION("IFERROR(
IF(REGEXMATCH(LOWER(O8220),""k""),
VALUE(REGEXEXTRACT(O8220,""[0-9]+""))*1000,
VALUE(REGEXEXTRACT(O8220,""[0-9]+""))
),
0
)"),0.0)</f>
        <v>0</v>
      </c>
      <c r="E8220" s="1" t="s">
        <v>11</v>
      </c>
      <c r="F8220" s="1" t="s">
        <v>20</v>
      </c>
      <c r="G8220" s="4" t="b">
        <f t="shared" si="2"/>
        <v>1</v>
      </c>
      <c r="H8220" s="1" t="str">
        <f t="shared" si="3"/>
        <v>Currently Unavailable</v>
      </c>
      <c r="I8220" s="1" t="str">
        <f t="shared" si="4"/>
        <v>No Badges</v>
      </c>
      <c r="J8220" s="3">
        <f t="shared" si="5"/>
        <v>0</v>
      </c>
    </row>
    <row r="8221">
      <c r="A8221" s="1" t="s">
        <v>6275</v>
      </c>
      <c r="B8221" s="3" t="str">
        <f t="shared" si="1"/>
        <v>Unavailable</v>
      </c>
      <c r="C8221" s="5">
        <v>1031.0</v>
      </c>
      <c r="D8221" s="3">
        <f>IFERROR(__xludf.DUMMYFUNCTION("IFERROR(
IF(REGEXMATCH(LOWER(O8221),""k""),
VALUE(REGEXEXTRACT(O8221,""[0-9]+""))*1000,
VALUE(REGEXEXTRACT(O8221,""[0-9]+""))
),
0
)"),0.0)</f>
        <v>0</v>
      </c>
      <c r="E8221" s="1" t="s">
        <v>11</v>
      </c>
      <c r="F8221" s="1" t="s">
        <v>20</v>
      </c>
      <c r="G8221" s="4" t="b">
        <f t="shared" si="2"/>
        <v>1</v>
      </c>
      <c r="H8221" s="1" t="str">
        <f t="shared" si="3"/>
        <v>Currently Unavailable</v>
      </c>
      <c r="I8221" s="1" t="str">
        <f t="shared" si="4"/>
        <v>No Badges</v>
      </c>
      <c r="J8221" s="3">
        <f t="shared" si="5"/>
        <v>0</v>
      </c>
    </row>
    <row r="8222">
      <c r="A8222" s="1" t="s">
        <v>6276</v>
      </c>
      <c r="B8222" s="3" t="str">
        <f t="shared" si="1"/>
        <v>Unavailable</v>
      </c>
      <c r="C8222" s="3">
        <v>4.0</v>
      </c>
      <c r="D8222" s="3">
        <f>IFERROR(__xludf.DUMMYFUNCTION("IFERROR(
IF(REGEXMATCH(LOWER(O8222),""k""),
VALUE(REGEXEXTRACT(O8222,""[0-9]+""))*1000,
VALUE(REGEXEXTRACT(O8222,""[0-9]+""))
),
0
)"),0.0)</f>
        <v>0</v>
      </c>
      <c r="E8222" s="1" t="s">
        <v>11</v>
      </c>
      <c r="F8222" s="1" t="s">
        <v>20</v>
      </c>
      <c r="G8222" s="4" t="b">
        <f t="shared" si="2"/>
        <v>1</v>
      </c>
      <c r="H8222" s="1" t="str">
        <f t="shared" si="3"/>
        <v>Currently Unavailable</v>
      </c>
      <c r="I8222" s="1" t="str">
        <f t="shared" si="4"/>
        <v>No Badges</v>
      </c>
      <c r="J8222" s="6">
        <f t="shared" si="5"/>
        <v>0</v>
      </c>
    </row>
    <row r="8223">
      <c r="A8223" s="1" t="s">
        <v>6277</v>
      </c>
      <c r="B8223" s="3" t="str">
        <f t="shared" si="1"/>
        <v>Unavailable</v>
      </c>
      <c r="C8223" s="5">
        <v>1196.0</v>
      </c>
      <c r="D8223" s="3">
        <f>IFERROR(__xludf.DUMMYFUNCTION("IFERROR(
IF(REGEXMATCH(LOWER(O8223),""k""),
VALUE(REGEXEXTRACT(O8223,""[0-9]+""))*1000,
VALUE(REGEXEXTRACT(O8223,""[0-9]+""))
),
0
)"),0.0)</f>
        <v>0</v>
      </c>
      <c r="E8223" s="1" t="s">
        <v>11</v>
      </c>
      <c r="F8223" s="1" t="s">
        <v>20</v>
      </c>
      <c r="G8223" s="4" t="b">
        <f t="shared" si="2"/>
        <v>1</v>
      </c>
      <c r="H8223" s="1" t="str">
        <f t="shared" si="3"/>
        <v>Currently Unavailable</v>
      </c>
      <c r="I8223" s="1" t="str">
        <f t="shared" si="4"/>
        <v>No Badges</v>
      </c>
      <c r="J8223" s="3">
        <f t="shared" si="5"/>
        <v>0</v>
      </c>
    </row>
    <row r="8224">
      <c r="A8224" s="1" t="s">
        <v>5817</v>
      </c>
      <c r="B8224" s="3" t="str">
        <f t="shared" si="1"/>
        <v>Unavailable</v>
      </c>
      <c r="C8224" s="5">
        <v>7235.0</v>
      </c>
      <c r="D8224" s="3">
        <f>IFERROR(__xludf.DUMMYFUNCTION("IFERROR(
IF(REGEXMATCH(LOWER(O8224),""k""),
VALUE(REGEXEXTRACT(O8224,""[0-9]+""))*1000,
VALUE(REGEXEXTRACT(O8224,""[0-9]+""))
),
0
)"),0.0)</f>
        <v>0</v>
      </c>
      <c r="E8224" s="1" t="s">
        <v>11</v>
      </c>
      <c r="F8224" s="1" t="s">
        <v>12</v>
      </c>
      <c r="G8224" s="4" t="b">
        <f t="shared" si="2"/>
        <v>1</v>
      </c>
      <c r="H8224" s="1" t="str">
        <f t="shared" si="3"/>
        <v>Currently Unavailable</v>
      </c>
      <c r="I8224" s="1" t="str">
        <f t="shared" si="4"/>
        <v>No Badges</v>
      </c>
      <c r="J8224" s="3">
        <f t="shared" si="5"/>
        <v>0</v>
      </c>
    </row>
    <row r="8225">
      <c r="A8225" s="1" t="s">
        <v>6278</v>
      </c>
      <c r="B8225" s="3" t="str">
        <f t="shared" si="1"/>
        <v>Unavailable</v>
      </c>
      <c r="C8225" s="3">
        <v>714.0</v>
      </c>
      <c r="D8225" s="3">
        <f>IFERROR(__xludf.DUMMYFUNCTION("IFERROR(
IF(REGEXMATCH(LOWER(O8225),""k""),
VALUE(REGEXEXTRACT(O8225,""[0-9]+""))*1000,
VALUE(REGEXEXTRACT(O8225,""[0-9]+""))
),
0
)"),0.0)</f>
        <v>0</v>
      </c>
      <c r="E8225" s="1" t="s">
        <v>11</v>
      </c>
      <c r="F8225" s="1" t="s">
        <v>20</v>
      </c>
      <c r="G8225" s="4" t="b">
        <f t="shared" si="2"/>
        <v>1</v>
      </c>
      <c r="H8225" s="1" t="str">
        <f t="shared" si="3"/>
        <v>Currently Unavailable</v>
      </c>
      <c r="I8225" s="1" t="str">
        <f t="shared" si="4"/>
        <v>No Badges</v>
      </c>
      <c r="J8225" s="3">
        <f t="shared" si="5"/>
        <v>0</v>
      </c>
    </row>
    <row r="8226">
      <c r="A8226" s="1" t="s">
        <v>6279</v>
      </c>
      <c r="B8226" s="3" t="str">
        <f t="shared" si="1"/>
        <v>Unavailable</v>
      </c>
      <c r="C8226" s="5">
        <v>2802.0</v>
      </c>
      <c r="D8226" s="3">
        <f>IFERROR(__xludf.DUMMYFUNCTION("IFERROR(
IF(REGEXMATCH(LOWER(O8226),""k""),
VALUE(REGEXEXTRACT(O8226,""[0-9]+""))*1000,
VALUE(REGEXEXTRACT(O8226,""[0-9]+""))
),
0
)"),0.0)</f>
        <v>0</v>
      </c>
      <c r="E8226" s="1" t="s">
        <v>11</v>
      </c>
      <c r="F8226" s="1" t="s">
        <v>20</v>
      </c>
      <c r="G8226" s="4" t="b">
        <f t="shared" si="2"/>
        <v>1</v>
      </c>
      <c r="H8226" s="1" t="str">
        <f t="shared" si="3"/>
        <v>Currently Unavailable</v>
      </c>
      <c r="I8226" s="1" t="str">
        <f t="shared" si="4"/>
        <v>No Badges</v>
      </c>
      <c r="J8226" s="3">
        <f t="shared" si="5"/>
        <v>0</v>
      </c>
    </row>
    <row r="8227">
      <c r="A8227" s="1" t="s">
        <v>6280</v>
      </c>
      <c r="B8227" s="3" t="str">
        <f t="shared" si="1"/>
        <v>Unavailable</v>
      </c>
      <c r="C8227" s="5">
        <v>82826.0</v>
      </c>
      <c r="D8227" s="3">
        <f>IFERROR(__xludf.DUMMYFUNCTION("IFERROR(
IF(REGEXMATCH(LOWER(O8227),""k""),
VALUE(REGEXEXTRACT(O8227,""[0-9]+""))*1000,
VALUE(REGEXEXTRACT(O8227,""[0-9]+""))
),
0
)"),0.0)</f>
        <v>0</v>
      </c>
      <c r="E8227" s="1" t="s">
        <v>11</v>
      </c>
      <c r="F8227" s="1" t="s">
        <v>20</v>
      </c>
      <c r="G8227" s="4" t="b">
        <f t="shared" si="2"/>
        <v>1</v>
      </c>
      <c r="H8227" s="1" t="str">
        <f t="shared" si="3"/>
        <v>Currently Unavailable</v>
      </c>
      <c r="I8227" s="1" t="str">
        <f t="shared" si="4"/>
        <v>No Badges</v>
      </c>
      <c r="J8227" s="3">
        <f t="shared" si="5"/>
        <v>0</v>
      </c>
    </row>
    <row r="8228">
      <c r="A8228" s="1" t="s">
        <v>6281</v>
      </c>
      <c r="B8228" s="3" t="str">
        <f t="shared" si="1"/>
        <v>Unavailable</v>
      </c>
      <c r="C8228" s="3">
        <v>731.0</v>
      </c>
      <c r="D8228" s="3">
        <f>IFERROR(__xludf.DUMMYFUNCTION("IFERROR(
IF(REGEXMATCH(LOWER(O8228),""k""),
VALUE(REGEXEXTRACT(O8228,""[0-9]+""))*1000,
VALUE(REGEXEXTRACT(O8228,""[0-9]+""))
),
0
)"),0.0)</f>
        <v>0</v>
      </c>
      <c r="E8228" s="1" t="s">
        <v>11</v>
      </c>
      <c r="F8228" s="1" t="s">
        <v>20</v>
      </c>
      <c r="G8228" s="4" t="b">
        <f t="shared" si="2"/>
        <v>1</v>
      </c>
      <c r="H8228" s="1" t="str">
        <f t="shared" si="3"/>
        <v>Currently Unavailable</v>
      </c>
      <c r="I8228" s="1" t="str">
        <f t="shared" si="4"/>
        <v>No Badges</v>
      </c>
      <c r="J8228" s="3">
        <f t="shared" si="5"/>
        <v>0</v>
      </c>
    </row>
    <row r="8229">
      <c r="A8229" s="1" t="s">
        <v>67</v>
      </c>
      <c r="B8229" s="3" t="str">
        <f t="shared" si="1"/>
        <v>Unavailable</v>
      </c>
      <c r="C8229" s="3">
        <v>264.0</v>
      </c>
      <c r="D8229" s="3">
        <f>IFERROR(__xludf.DUMMYFUNCTION("IFERROR(
IF(REGEXMATCH(LOWER(O8229),""k""),
VALUE(REGEXEXTRACT(O8229,""[0-9]+""))*1000,
VALUE(REGEXEXTRACT(O8229,""[0-9]+""))
),
0
)"),0.0)</f>
        <v>0</v>
      </c>
      <c r="E8229" s="1" t="s">
        <v>11</v>
      </c>
      <c r="F8229" s="1" t="s">
        <v>12</v>
      </c>
      <c r="G8229" s="4" t="b">
        <f t="shared" si="2"/>
        <v>1</v>
      </c>
      <c r="H8229" s="1" t="str">
        <f t="shared" si="3"/>
        <v>Currently Unavailable</v>
      </c>
      <c r="I8229" s="1" t="str">
        <f t="shared" si="4"/>
        <v>No Badges</v>
      </c>
      <c r="J8229" s="3">
        <f t="shared" si="5"/>
        <v>0</v>
      </c>
    </row>
    <row r="8230">
      <c r="A8230" s="1" t="s">
        <v>701</v>
      </c>
      <c r="B8230" s="3" t="str">
        <f t="shared" si="1"/>
        <v>Unavailable</v>
      </c>
      <c r="C8230" s="3">
        <v>8.0</v>
      </c>
      <c r="D8230" s="3">
        <f>IFERROR(__xludf.DUMMYFUNCTION("IFERROR(
IF(REGEXMATCH(LOWER(O8230),""k""),
VALUE(REGEXEXTRACT(O8230,""[0-9]+""))*1000,
VALUE(REGEXEXTRACT(O8230,""[0-9]+""))
),
0
)"),0.0)</f>
        <v>0</v>
      </c>
      <c r="E8230" s="1" t="s">
        <v>11</v>
      </c>
      <c r="F8230" s="1" t="s">
        <v>12</v>
      </c>
      <c r="G8230" s="4" t="b">
        <f t="shared" si="2"/>
        <v>1</v>
      </c>
      <c r="H8230" s="1" t="str">
        <f t="shared" si="3"/>
        <v>Currently Unavailable</v>
      </c>
      <c r="I8230" s="1" t="str">
        <f t="shared" si="4"/>
        <v>No Badges</v>
      </c>
      <c r="J8230" s="3">
        <f t="shared" si="5"/>
        <v>0</v>
      </c>
    </row>
    <row r="8231">
      <c r="A8231" s="1" t="s">
        <v>6282</v>
      </c>
      <c r="B8231" s="3" t="str">
        <f t="shared" si="1"/>
        <v>Unavailable</v>
      </c>
      <c r="C8231" s="5">
        <v>3898.0</v>
      </c>
      <c r="D8231" s="3">
        <f>IFERROR(__xludf.DUMMYFUNCTION("IFERROR(
IF(REGEXMATCH(LOWER(O8231),""k""),
VALUE(REGEXEXTRACT(O8231,""[0-9]+""))*1000,
VALUE(REGEXEXTRACT(O8231,""[0-9]+""))
),
0
)"),0.0)</f>
        <v>0</v>
      </c>
      <c r="E8231" s="1" t="s">
        <v>11</v>
      </c>
      <c r="F8231" s="1" t="s">
        <v>20</v>
      </c>
      <c r="G8231" s="4" t="b">
        <f t="shared" si="2"/>
        <v>1</v>
      </c>
      <c r="H8231" s="1" t="str">
        <f t="shared" si="3"/>
        <v>Currently Unavailable</v>
      </c>
      <c r="I8231" s="1" t="str">
        <f t="shared" si="4"/>
        <v>No Badges</v>
      </c>
      <c r="J8231" s="3">
        <f t="shared" si="5"/>
        <v>0</v>
      </c>
    </row>
    <row r="8232">
      <c r="A8232" s="1" t="s">
        <v>6283</v>
      </c>
      <c r="B8232" s="3" t="str">
        <f t="shared" si="1"/>
        <v>Unavailable</v>
      </c>
      <c r="C8232" s="5">
        <v>1599.0</v>
      </c>
      <c r="D8232" s="3">
        <f>IFERROR(__xludf.DUMMYFUNCTION("IFERROR(
IF(REGEXMATCH(LOWER(O8232),""k""),
VALUE(REGEXEXTRACT(O8232,""[0-9]+""))*1000,
VALUE(REGEXEXTRACT(O8232,""[0-9]+""))
),
0
)"),0.0)</f>
        <v>0</v>
      </c>
      <c r="E8232" s="1" t="s">
        <v>11</v>
      </c>
      <c r="F8232" s="1" t="s">
        <v>20</v>
      </c>
      <c r="G8232" s="4" t="b">
        <f t="shared" si="2"/>
        <v>1</v>
      </c>
      <c r="H8232" s="1" t="str">
        <f t="shared" si="3"/>
        <v>Currently Unavailable</v>
      </c>
      <c r="I8232" s="1" t="str">
        <f t="shared" si="4"/>
        <v>No Badges</v>
      </c>
      <c r="J8232" s="3">
        <f t="shared" si="5"/>
        <v>0</v>
      </c>
    </row>
    <row r="8233">
      <c r="A8233" s="1" t="s">
        <v>6284</v>
      </c>
      <c r="B8233" s="3" t="str">
        <f t="shared" si="1"/>
        <v>Unavailable</v>
      </c>
      <c r="C8233" s="5">
        <v>2452.0</v>
      </c>
      <c r="D8233" s="3">
        <f>IFERROR(__xludf.DUMMYFUNCTION("IFERROR(
IF(REGEXMATCH(LOWER(O8233),""k""),
VALUE(REGEXEXTRACT(O8233,""[0-9]+""))*1000,
VALUE(REGEXEXTRACT(O8233,""[0-9]+""))
),
0
)"),0.0)</f>
        <v>0</v>
      </c>
      <c r="E8233" s="1" t="s">
        <v>11</v>
      </c>
      <c r="F8233" s="1" t="s">
        <v>20</v>
      </c>
      <c r="G8233" s="4" t="b">
        <f t="shared" si="2"/>
        <v>1</v>
      </c>
      <c r="H8233" s="1" t="str">
        <f t="shared" si="3"/>
        <v>Currently Unavailable</v>
      </c>
      <c r="I8233" s="1" t="str">
        <f t="shared" si="4"/>
        <v>No Badges</v>
      </c>
      <c r="J8233" s="3">
        <f t="shared" si="5"/>
        <v>0</v>
      </c>
    </row>
    <row r="8234">
      <c r="A8234" s="1" t="s">
        <v>5817</v>
      </c>
      <c r="B8234" s="3" t="str">
        <f t="shared" si="1"/>
        <v>Unavailable</v>
      </c>
      <c r="C8234" s="5">
        <v>7235.0</v>
      </c>
      <c r="D8234" s="3">
        <f>IFERROR(__xludf.DUMMYFUNCTION("IFERROR(
IF(REGEXMATCH(LOWER(O8234),""k""),
VALUE(REGEXEXTRACT(O8234,""[0-9]+""))*1000,
VALUE(REGEXEXTRACT(O8234,""[0-9]+""))
),
0
)"),0.0)</f>
        <v>0</v>
      </c>
      <c r="E8234" s="1" t="s">
        <v>11</v>
      </c>
      <c r="F8234" s="1" t="s">
        <v>12</v>
      </c>
      <c r="G8234" s="4" t="b">
        <f t="shared" si="2"/>
        <v>1</v>
      </c>
      <c r="H8234" s="1" t="str">
        <f t="shared" si="3"/>
        <v>Currently Unavailable</v>
      </c>
      <c r="I8234" s="1" t="str">
        <f t="shared" si="4"/>
        <v>No Badges</v>
      </c>
      <c r="J8234" s="3">
        <f t="shared" si="5"/>
        <v>0</v>
      </c>
    </row>
    <row r="8235">
      <c r="A8235" s="1" t="s">
        <v>6285</v>
      </c>
      <c r="B8235" s="3" t="str">
        <f t="shared" si="1"/>
        <v>Unavailable</v>
      </c>
      <c r="C8235" s="5">
        <v>1669.0</v>
      </c>
      <c r="D8235" s="3">
        <f>IFERROR(__xludf.DUMMYFUNCTION("IFERROR(
IF(REGEXMATCH(LOWER(O8235),""k""),
VALUE(REGEXEXTRACT(O8235,""[0-9]+""))*1000,
VALUE(REGEXEXTRACT(O8235,""[0-9]+""))
),
0
)"),0.0)</f>
        <v>0</v>
      </c>
      <c r="E8235" s="1" t="s">
        <v>11</v>
      </c>
      <c r="F8235" s="1" t="s">
        <v>20</v>
      </c>
      <c r="G8235" s="4" t="b">
        <f t="shared" si="2"/>
        <v>1</v>
      </c>
      <c r="H8235" s="1" t="str">
        <f t="shared" si="3"/>
        <v>Currently Unavailable</v>
      </c>
      <c r="I8235" s="1" t="str">
        <f t="shared" si="4"/>
        <v>No Badges</v>
      </c>
      <c r="J8235" s="3">
        <f t="shared" si="5"/>
        <v>0</v>
      </c>
    </row>
    <row r="8236">
      <c r="A8236" s="1" t="s">
        <v>6286</v>
      </c>
      <c r="B8236" s="3" t="str">
        <f t="shared" si="1"/>
        <v>Unavailable</v>
      </c>
      <c r="C8236" s="3">
        <v>468.0</v>
      </c>
      <c r="D8236" s="3">
        <f>IFERROR(__xludf.DUMMYFUNCTION("IFERROR(
IF(REGEXMATCH(LOWER(O8236),""k""),
VALUE(REGEXEXTRACT(O8236,""[0-9]+""))*1000,
VALUE(REGEXEXTRACT(O8236,""[0-9]+""))
),
0
)"),0.0)</f>
        <v>0</v>
      </c>
      <c r="E8236" s="1" t="s">
        <v>11</v>
      </c>
      <c r="F8236" s="1" t="s">
        <v>20</v>
      </c>
      <c r="G8236" s="4" t="b">
        <f t="shared" si="2"/>
        <v>1</v>
      </c>
      <c r="H8236" s="1" t="str">
        <f t="shared" si="3"/>
        <v>Currently Unavailable</v>
      </c>
      <c r="I8236" s="1" t="str">
        <f t="shared" si="4"/>
        <v>No Badges</v>
      </c>
      <c r="J8236" s="3">
        <f t="shared" si="5"/>
        <v>0</v>
      </c>
    </row>
    <row r="8237">
      <c r="A8237" s="1" t="s">
        <v>5817</v>
      </c>
      <c r="B8237" s="3" t="str">
        <f t="shared" si="1"/>
        <v>Unavailable</v>
      </c>
      <c r="C8237" s="5">
        <v>7235.0</v>
      </c>
      <c r="D8237" s="3">
        <f>IFERROR(__xludf.DUMMYFUNCTION("IFERROR(
IF(REGEXMATCH(LOWER(O8237),""k""),
VALUE(REGEXEXTRACT(O8237,""[0-9]+""))*1000,
VALUE(REGEXEXTRACT(O8237,""[0-9]+""))
),
0
)"),0.0)</f>
        <v>0</v>
      </c>
      <c r="E8237" s="1" t="s">
        <v>11</v>
      </c>
      <c r="F8237" s="1" t="s">
        <v>12</v>
      </c>
      <c r="G8237" s="4" t="b">
        <f t="shared" si="2"/>
        <v>1</v>
      </c>
      <c r="H8237" s="1" t="str">
        <f t="shared" si="3"/>
        <v>Currently Unavailable</v>
      </c>
      <c r="I8237" s="1" t="str">
        <f t="shared" si="4"/>
        <v>No Badges</v>
      </c>
      <c r="J8237" s="3">
        <f t="shared" si="5"/>
        <v>0</v>
      </c>
    </row>
    <row r="8238">
      <c r="A8238" s="1" t="s">
        <v>6287</v>
      </c>
      <c r="B8238" s="3" t="str">
        <f t="shared" si="1"/>
        <v>Unavailable</v>
      </c>
      <c r="C8238" s="5">
        <v>1551.0</v>
      </c>
      <c r="D8238" s="3">
        <f>IFERROR(__xludf.DUMMYFUNCTION("IFERROR(
IF(REGEXMATCH(LOWER(O8238),""k""),
VALUE(REGEXEXTRACT(O8238,""[0-9]+""))*1000,
VALUE(REGEXEXTRACT(O8238,""[0-9]+""))
),
0
)"),0.0)</f>
        <v>0</v>
      </c>
      <c r="E8238" s="1" t="s">
        <v>11</v>
      </c>
      <c r="F8238" s="1" t="s">
        <v>20</v>
      </c>
      <c r="G8238" s="4" t="b">
        <f t="shared" si="2"/>
        <v>1</v>
      </c>
      <c r="H8238" s="1" t="str">
        <f t="shared" si="3"/>
        <v>Currently Unavailable</v>
      </c>
      <c r="I8238" s="1" t="str">
        <f t="shared" si="4"/>
        <v>No Badges</v>
      </c>
      <c r="J8238" s="3">
        <f t="shared" si="5"/>
        <v>0</v>
      </c>
    </row>
    <row r="8239">
      <c r="A8239" s="1" t="s">
        <v>6288</v>
      </c>
      <c r="B8239" s="3" t="str">
        <f t="shared" si="1"/>
        <v>Unavailable</v>
      </c>
      <c r="C8239" s="3">
        <v>93.0</v>
      </c>
      <c r="D8239" s="3">
        <f>IFERROR(__xludf.DUMMYFUNCTION("IFERROR(
IF(REGEXMATCH(LOWER(O8239),""k""),
VALUE(REGEXEXTRACT(O8239,""[0-9]+""))*1000,
VALUE(REGEXEXTRACT(O8239,""[0-9]+""))
),
0
)"),0.0)</f>
        <v>0</v>
      </c>
      <c r="E8239" s="1" t="s">
        <v>11</v>
      </c>
      <c r="F8239" s="1" t="s">
        <v>20</v>
      </c>
      <c r="G8239" s="4" t="b">
        <f t="shared" si="2"/>
        <v>1</v>
      </c>
      <c r="H8239" s="1" t="str">
        <f t="shared" si="3"/>
        <v>Currently Unavailable</v>
      </c>
      <c r="I8239" s="1" t="str">
        <f t="shared" si="4"/>
        <v>No Badges</v>
      </c>
      <c r="J8239" s="3">
        <f t="shared" si="5"/>
        <v>0</v>
      </c>
    </row>
    <row r="8240">
      <c r="A8240" s="1" t="s">
        <v>6289</v>
      </c>
      <c r="B8240" s="3" t="str">
        <f t="shared" si="1"/>
        <v>Unavailable</v>
      </c>
      <c r="C8240" s="3">
        <v>790.0</v>
      </c>
      <c r="D8240" s="3">
        <f>IFERROR(__xludf.DUMMYFUNCTION("IFERROR(
IF(REGEXMATCH(LOWER(O8240),""k""),
VALUE(REGEXEXTRACT(O8240,""[0-9]+""))*1000,
VALUE(REGEXEXTRACT(O8240,""[0-9]+""))
),
0
)"),0.0)</f>
        <v>0</v>
      </c>
      <c r="E8240" s="1" t="s">
        <v>11</v>
      </c>
      <c r="F8240" s="1" t="s">
        <v>20</v>
      </c>
      <c r="G8240" s="4" t="b">
        <f t="shared" si="2"/>
        <v>1</v>
      </c>
      <c r="H8240" s="1" t="str">
        <f t="shared" si="3"/>
        <v>Currently Unavailable</v>
      </c>
      <c r="I8240" s="1" t="str">
        <f t="shared" si="4"/>
        <v>No Badges</v>
      </c>
      <c r="J8240" s="3">
        <f t="shared" si="5"/>
        <v>0</v>
      </c>
    </row>
    <row r="8241">
      <c r="A8241" s="1" t="s">
        <v>5817</v>
      </c>
      <c r="B8241" s="3" t="str">
        <f t="shared" si="1"/>
        <v>Unavailable</v>
      </c>
      <c r="C8241" s="5">
        <v>7235.0</v>
      </c>
      <c r="D8241" s="3">
        <f>IFERROR(__xludf.DUMMYFUNCTION("IFERROR(
IF(REGEXMATCH(LOWER(O8241),""k""),
VALUE(REGEXEXTRACT(O8241,""[0-9]+""))*1000,
VALUE(REGEXEXTRACT(O8241,""[0-9]+""))
),
0
)"),0.0)</f>
        <v>0</v>
      </c>
      <c r="E8241" s="1" t="s">
        <v>11</v>
      </c>
      <c r="F8241" s="1" t="s">
        <v>12</v>
      </c>
      <c r="G8241" s="4" t="b">
        <f t="shared" si="2"/>
        <v>1</v>
      </c>
      <c r="H8241" s="1" t="str">
        <f t="shared" si="3"/>
        <v>Currently Unavailable</v>
      </c>
      <c r="I8241" s="1" t="str">
        <f t="shared" si="4"/>
        <v>No Badges</v>
      </c>
      <c r="J8241" s="3">
        <f t="shared" si="5"/>
        <v>0</v>
      </c>
    </row>
    <row r="8242">
      <c r="A8242" s="1" t="s">
        <v>6290</v>
      </c>
      <c r="B8242" s="3" t="str">
        <f t="shared" si="1"/>
        <v>Unavailable</v>
      </c>
      <c r="C8242" s="5">
        <v>3439.0</v>
      </c>
      <c r="D8242" s="3">
        <f>IFERROR(__xludf.DUMMYFUNCTION("IFERROR(
IF(REGEXMATCH(LOWER(O8242),""k""),
VALUE(REGEXEXTRACT(O8242,""[0-9]+""))*1000,
VALUE(REGEXEXTRACT(O8242,""[0-9]+""))
),
0
)"),0.0)</f>
        <v>0</v>
      </c>
      <c r="E8242" s="1" t="s">
        <v>11</v>
      </c>
      <c r="F8242" s="1" t="s">
        <v>20</v>
      </c>
      <c r="G8242" s="4" t="b">
        <f t="shared" si="2"/>
        <v>1</v>
      </c>
      <c r="H8242" s="1" t="str">
        <f t="shared" si="3"/>
        <v>Currently Unavailable</v>
      </c>
      <c r="I8242" s="1" t="str">
        <f t="shared" si="4"/>
        <v>No Badges</v>
      </c>
      <c r="J8242" s="3">
        <f t="shared" si="5"/>
        <v>0</v>
      </c>
    </row>
    <row r="8243">
      <c r="A8243" s="1" t="s">
        <v>6291</v>
      </c>
      <c r="B8243" s="3" t="str">
        <f t="shared" si="1"/>
        <v>Unavailable</v>
      </c>
      <c r="C8243" s="5">
        <v>4172.0</v>
      </c>
      <c r="D8243" s="3">
        <f>IFERROR(__xludf.DUMMYFUNCTION("IFERROR(
IF(REGEXMATCH(LOWER(O8243),""k""),
VALUE(REGEXEXTRACT(O8243,""[0-9]+""))*1000,
VALUE(REGEXEXTRACT(O8243,""[0-9]+""))
),
0
)"),0.0)</f>
        <v>0</v>
      </c>
      <c r="E8243" s="1" t="s">
        <v>11</v>
      </c>
      <c r="F8243" s="1" t="s">
        <v>20</v>
      </c>
      <c r="G8243" s="4" t="b">
        <f t="shared" si="2"/>
        <v>1</v>
      </c>
      <c r="H8243" s="1" t="str">
        <f t="shared" si="3"/>
        <v>Currently Unavailable</v>
      </c>
      <c r="I8243" s="1" t="str">
        <f t="shared" si="4"/>
        <v>No Badges</v>
      </c>
      <c r="J8243" s="3">
        <f t="shared" si="5"/>
        <v>0</v>
      </c>
    </row>
    <row r="8244">
      <c r="A8244" s="1" t="s">
        <v>6292</v>
      </c>
      <c r="B8244" s="3" t="str">
        <f t="shared" si="1"/>
        <v>Unavailable</v>
      </c>
      <c r="C8244" s="3">
        <v>809.0</v>
      </c>
      <c r="D8244" s="3">
        <f>IFERROR(__xludf.DUMMYFUNCTION("IFERROR(
IF(REGEXMATCH(LOWER(O8244),""k""),
VALUE(REGEXEXTRACT(O8244,""[0-9]+""))*1000,
VALUE(REGEXEXTRACT(O8244,""[0-9]+""))
),
0
)"),0.0)</f>
        <v>0</v>
      </c>
      <c r="E8244" s="1" t="s">
        <v>11</v>
      </c>
      <c r="F8244" s="1" t="s">
        <v>20</v>
      </c>
      <c r="G8244" s="4" t="b">
        <f t="shared" si="2"/>
        <v>1</v>
      </c>
      <c r="H8244" s="1" t="str">
        <f t="shared" si="3"/>
        <v>Currently Unavailable</v>
      </c>
      <c r="I8244" s="1" t="str">
        <f t="shared" si="4"/>
        <v>No Badges</v>
      </c>
      <c r="J8244" s="3">
        <f t="shared" si="5"/>
        <v>0</v>
      </c>
    </row>
    <row r="8245">
      <c r="A8245" s="1" t="s">
        <v>40</v>
      </c>
      <c r="B8245" s="3" t="str">
        <f t="shared" si="1"/>
        <v>Unavailable</v>
      </c>
      <c r="C8245" s="3">
        <v>171.0</v>
      </c>
      <c r="D8245" s="3">
        <f>IFERROR(__xludf.DUMMYFUNCTION("IFERROR(
IF(REGEXMATCH(LOWER(O8245),""k""),
VALUE(REGEXEXTRACT(O8245,""[0-9]+""))*1000,
VALUE(REGEXEXTRACT(O8245,""[0-9]+""))
),
0
)"),0.0)</f>
        <v>0</v>
      </c>
      <c r="E8245" s="1" t="s">
        <v>11</v>
      </c>
      <c r="F8245" s="1" t="s">
        <v>12</v>
      </c>
      <c r="G8245" s="4" t="b">
        <f t="shared" si="2"/>
        <v>1</v>
      </c>
      <c r="H8245" s="1" t="str">
        <f t="shared" si="3"/>
        <v>Currently Unavailable</v>
      </c>
      <c r="I8245" s="1" t="str">
        <f t="shared" si="4"/>
        <v>No Badges</v>
      </c>
      <c r="J8245" s="3">
        <f t="shared" si="5"/>
        <v>0</v>
      </c>
    </row>
    <row r="8246">
      <c r="A8246" s="1" t="s">
        <v>6293</v>
      </c>
      <c r="B8246" s="3" t="str">
        <f t="shared" si="1"/>
        <v>Unavailable</v>
      </c>
      <c r="C8246" s="3">
        <v>153.0</v>
      </c>
      <c r="D8246" s="3">
        <f>IFERROR(__xludf.DUMMYFUNCTION("IFERROR(
IF(REGEXMATCH(LOWER(O8246),""k""),
VALUE(REGEXEXTRACT(O8246,""[0-9]+""))*1000,
VALUE(REGEXEXTRACT(O8246,""[0-9]+""))
),
0
)"),0.0)</f>
        <v>0</v>
      </c>
      <c r="E8246" s="1" t="s">
        <v>11</v>
      </c>
      <c r="F8246" s="1" t="s">
        <v>20</v>
      </c>
      <c r="G8246" s="4" t="b">
        <f t="shared" si="2"/>
        <v>1</v>
      </c>
      <c r="H8246" s="1" t="str">
        <f t="shared" si="3"/>
        <v>Currently Unavailable</v>
      </c>
      <c r="I8246" s="1" t="str">
        <f t="shared" si="4"/>
        <v>No Badges</v>
      </c>
      <c r="J8246" s="3">
        <f t="shared" si="5"/>
        <v>0</v>
      </c>
    </row>
    <row r="8247">
      <c r="A8247" s="1" t="s">
        <v>6294</v>
      </c>
      <c r="B8247" s="3" t="str">
        <f t="shared" si="1"/>
        <v>Unavailable</v>
      </c>
      <c r="C8247" s="3">
        <v>599.0</v>
      </c>
      <c r="D8247" s="3">
        <f>IFERROR(__xludf.DUMMYFUNCTION("IFERROR(
IF(REGEXMATCH(LOWER(O8247),""k""),
VALUE(REGEXEXTRACT(O8247,""[0-9]+""))*1000,
VALUE(REGEXEXTRACT(O8247,""[0-9]+""))
),
0
)"),0.0)</f>
        <v>0</v>
      </c>
      <c r="E8247" s="1" t="s">
        <v>11</v>
      </c>
      <c r="F8247" s="1" t="s">
        <v>20</v>
      </c>
      <c r="G8247" s="4" t="b">
        <f t="shared" si="2"/>
        <v>1</v>
      </c>
      <c r="H8247" s="1" t="str">
        <f t="shared" si="3"/>
        <v>Currently Unavailable</v>
      </c>
      <c r="I8247" s="1" t="str">
        <f t="shared" si="4"/>
        <v>No Badges</v>
      </c>
      <c r="J8247" s="3">
        <f t="shared" si="5"/>
        <v>0</v>
      </c>
    </row>
    <row r="8248">
      <c r="A8248" s="1" t="s">
        <v>69</v>
      </c>
      <c r="B8248" s="3" t="str">
        <f t="shared" si="1"/>
        <v>Unavailable</v>
      </c>
      <c r="C8248" s="3">
        <v>45.0</v>
      </c>
      <c r="D8248" s="3">
        <f>IFERROR(__xludf.DUMMYFUNCTION("IFERROR(
IF(REGEXMATCH(LOWER(O8248),""k""),
VALUE(REGEXEXTRACT(O8248,""[0-9]+""))*1000,
VALUE(REGEXEXTRACT(O8248,""[0-9]+""))
),
0
)"),0.0)</f>
        <v>0</v>
      </c>
      <c r="E8248" s="1" t="s">
        <v>11</v>
      </c>
      <c r="F8248" s="1" t="s">
        <v>12</v>
      </c>
      <c r="G8248" s="4" t="b">
        <f t="shared" si="2"/>
        <v>1</v>
      </c>
      <c r="H8248" s="1" t="str">
        <f t="shared" si="3"/>
        <v>Currently Unavailable</v>
      </c>
      <c r="I8248" s="1" t="str">
        <f t="shared" si="4"/>
        <v>No Badges</v>
      </c>
      <c r="J8248" s="3">
        <f t="shared" si="5"/>
        <v>0</v>
      </c>
    </row>
    <row r="8249">
      <c r="A8249" s="1" t="s">
        <v>6295</v>
      </c>
      <c r="B8249" s="3" t="str">
        <f t="shared" si="1"/>
        <v>Unavailable</v>
      </c>
      <c r="C8249" s="5">
        <v>2673.0</v>
      </c>
      <c r="D8249" s="3">
        <f>IFERROR(__xludf.DUMMYFUNCTION("IFERROR(
IF(REGEXMATCH(LOWER(O8249),""k""),
VALUE(REGEXEXTRACT(O8249,""[0-9]+""))*1000,
VALUE(REGEXEXTRACT(O8249,""[0-9]+""))
),
0
)"),0.0)</f>
        <v>0</v>
      </c>
      <c r="E8249" s="1" t="s">
        <v>11</v>
      </c>
      <c r="F8249" s="1" t="s">
        <v>20</v>
      </c>
      <c r="G8249" s="4" t="b">
        <f t="shared" si="2"/>
        <v>1</v>
      </c>
      <c r="H8249" s="1" t="str">
        <f t="shared" si="3"/>
        <v>Currently Unavailable</v>
      </c>
      <c r="I8249" s="1" t="str">
        <f t="shared" si="4"/>
        <v>No Badges</v>
      </c>
      <c r="J8249" s="3">
        <f t="shared" si="5"/>
        <v>0</v>
      </c>
    </row>
    <row r="8250">
      <c r="A8250" s="1" t="s">
        <v>6296</v>
      </c>
      <c r="B8250" s="3" t="str">
        <f t="shared" si="1"/>
        <v>Unavailable</v>
      </c>
      <c r="C8250" s="3">
        <v>598.0</v>
      </c>
      <c r="D8250" s="3">
        <f>IFERROR(__xludf.DUMMYFUNCTION("IFERROR(
IF(REGEXMATCH(LOWER(O8250),""k""),
VALUE(REGEXEXTRACT(O8250,""[0-9]+""))*1000,
VALUE(REGEXEXTRACT(O8250,""[0-9]+""))
),
0
)"),0.0)</f>
        <v>0</v>
      </c>
      <c r="E8250" s="1" t="s">
        <v>11</v>
      </c>
      <c r="F8250" s="1" t="s">
        <v>20</v>
      </c>
      <c r="G8250" s="4" t="b">
        <f t="shared" si="2"/>
        <v>1</v>
      </c>
      <c r="H8250" s="1" t="str">
        <f t="shared" si="3"/>
        <v>Currently Unavailable</v>
      </c>
      <c r="I8250" s="1" t="str">
        <f t="shared" si="4"/>
        <v>No Badges</v>
      </c>
      <c r="J8250" s="3">
        <f t="shared" si="5"/>
        <v>0</v>
      </c>
    </row>
    <row r="8251">
      <c r="A8251" s="1" t="s">
        <v>6297</v>
      </c>
      <c r="B8251" s="3" t="str">
        <f t="shared" si="1"/>
        <v>Unavailable</v>
      </c>
      <c r="C8251" s="3">
        <v>771.0</v>
      </c>
      <c r="D8251" s="3">
        <f>IFERROR(__xludf.DUMMYFUNCTION("IFERROR(
IF(REGEXMATCH(LOWER(O8251),""k""),
VALUE(REGEXEXTRACT(O8251,""[0-9]+""))*1000,
VALUE(REGEXEXTRACT(O8251,""[0-9]+""))
),
0
)"),0.0)</f>
        <v>0</v>
      </c>
      <c r="E8251" s="1" t="s">
        <v>11</v>
      </c>
      <c r="F8251" s="1" t="s">
        <v>20</v>
      </c>
      <c r="G8251" s="4" t="b">
        <f t="shared" si="2"/>
        <v>1</v>
      </c>
      <c r="H8251" s="1" t="str">
        <f t="shared" si="3"/>
        <v>Currently Unavailable</v>
      </c>
      <c r="I8251" s="1" t="str">
        <f t="shared" si="4"/>
        <v>No Badges</v>
      </c>
      <c r="J8251" s="3">
        <f t="shared" si="5"/>
        <v>0</v>
      </c>
    </row>
    <row r="8252">
      <c r="A8252" s="1" t="s">
        <v>5817</v>
      </c>
      <c r="B8252" s="3" t="str">
        <f t="shared" si="1"/>
        <v>Unavailable</v>
      </c>
      <c r="C8252" s="5">
        <v>7235.0</v>
      </c>
      <c r="D8252" s="3">
        <f>IFERROR(__xludf.DUMMYFUNCTION("IFERROR(
IF(REGEXMATCH(LOWER(O8252),""k""),
VALUE(REGEXEXTRACT(O8252,""[0-9]+""))*1000,
VALUE(REGEXEXTRACT(O8252,""[0-9]+""))
),
0
)"),0.0)</f>
        <v>0</v>
      </c>
      <c r="E8252" s="1" t="s">
        <v>11</v>
      </c>
      <c r="F8252" s="1" t="s">
        <v>12</v>
      </c>
      <c r="G8252" s="4" t="b">
        <f t="shared" si="2"/>
        <v>1</v>
      </c>
      <c r="H8252" s="1" t="str">
        <f t="shared" si="3"/>
        <v>Currently Unavailable</v>
      </c>
      <c r="I8252" s="1" t="str">
        <f t="shared" si="4"/>
        <v>No Badges</v>
      </c>
      <c r="J8252" s="3">
        <f t="shared" si="5"/>
        <v>0</v>
      </c>
    </row>
    <row r="8253">
      <c r="A8253" s="1" t="s">
        <v>6298</v>
      </c>
      <c r="B8253" s="3" t="str">
        <f t="shared" si="1"/>
        <v>Unavailable</v>
      </c>
      <c r="C8253" s="3">
        <v>388.0</v>
      </c>
      <c r="D8253" s="3">
        <f>IFERROR(__xludf.DUMMYFUNCTION("IFERROR(
IF(REGEXMATCH(LOWER(O8253),""k""),
VALUE(REGEXEXTRACT(O8253,""[0-9]+""))*1000,
VALUE(REGEXEXTRACT(O8253,""[0-9]+""))
),
0
)"),0.0)</f>
        <v>0</v>
      </c>
      <c r="E8253" s="1" t="s">
        <v>11</v>
      </c>
      <c r="F8253" s="1" t="s">
        <v>20</v>
      </c>
      <c r="G8253" s="4" t="b">
        <f t="shared" si="2"/>
        <v>1</v>
      </c>
      <c r="H8253" s="1" t="str">
        <f t="shared" si="3"/>
        <v>Currently Unavailable</v>
      </c>
      <c r="I8253" s="1" t="str">
        <f t="shared" si="4"/>
        <v>No Badges</v>
      </c>
      <c r="J8253" s="3">
        <f t="shared" si="5"/>
        <v>0</v>
      </c>
    </row>
    <row r="8254">
      <c r="A8254" s="1" t="s">
        <v>6299</v>
      </c>
      <c r="B8254" s="3" t="str">
        <f t="shared" si="1"/>
        <v>Unavailable</v>
      </c>
      <c r="C8254" s="5">
        <v>6732.0</v>
      </c>
      <c r="D8254" s="3">
        <f>IFERROR(__xludf.DUMMYFUNCTION("IFERROR(
IF(REGEXMATCH(LOWER(O8254),""k""),
VALUE(REGEXEXTRACT(O8254,""[0-9]+""))*1000,
VALUE(REGEXEXTRACT(O8254,""[0-9]+""))
),
0
)"),0.0)</f>
        <v>0</v>
      </c>
      <c r="E8254" s="1" t="s">
        <v>11</v>
      </c>
      <c r="F8254" s="1" t="s">
        <v>20</v>
      </c>
      <c r="G8254" s="4" t="b">
        <f t="shared" si="2"/>
        <v>1</v>
      </c>
      <c r="H8254" s="1" t="str">
        <f t="shared" si="3"/>
        <v>Currently Unavailable</v>
      </c>
      <c r="I8254" s="1" t="str">
        <f t="shared" si="4"/>
        <v>No Badges</v>
      </c>
      <c r="J8254" s="3">
        <f t="shared" si="5"/>
        <v>0</v>
      </c>
    </row>
    <row r="8255">
      <c r="A8255" s="1" t="s">
        <v>6300</v>
      </c>
      <c r="B8255" s="3" t="str">
        <f t="shared" si="1"/>
        <v>Unavailable</v>
      </c>
      <c r="C8255" s="5">
        <v>12416.0</v>
      </c>
      <c r="D8255" s="3">
        <f>IFERROR(__xludf.DUMMYFUNCTION("IFERROR(
IF(REGEXMATCH(LOWER(O8255),""k""),
VALUE(REGEXEXTRACT(O8255,""[0-9]+""))*1000,
VALUE(REGEXEXTRACT(O8255,""[0-9]+""))
),
0
)"),0.0)</f>
        <v>0</v>
      </c>
      <c r="E8255" s="1" t="s">
        <v>11</v>
      </c>
      <c r="F8255" s="1" t="s">
        <v>20</v>
      </c>
      <c r="G8255" s="4" t="b">
        <f t="shared" si="2"/>
        <v>1</v>
      </c>
      <c r="H8255" s="1" t="str">
        <f t="shared" si="3"/>
        <v>Currently Unavailable</v>
      </c>
      <c r="I8255" s="1" t="str">
        <f t="shared" si="4"/>
        <v>No Badges</v>
      </c>
      <c r="J8255" s="3">
        <f t="shared" si="5"/>
        <v>0</v>
      </c>
    </row>
    <row r="8256">
      <c r="A8256" s="1" t="s">
        <v>6301</v>
      </c>
      <c r="B8256" s="3" t="str">
        <f t="shared" si="1"/>
        <v>Unavailable</v>
      </c>
      <c r="C8256" s="5">
        <v>9452.0</v>
      </c>
      <c r="D8256" s="3">
        <f>IFERROR(__xludf.DUMMYFUNCTION("IFERROR(
IF(REGEXMATCH(LOWER(O8256),""k""),
VALUE(REGEXEXTRACT(O8256,""[0-9]+""))*1000,
VALUE(REGEXEXTRACT(O8256,""[0-9]+""))
),
0
)"),0.0)</f>
        <v>0</v>
      </c>
      <c r="E8256" s="1" t="s">
        <v>11</v>
      </c>
      <c r="F8256" s="1" t="s">
        <v>20</v>
      </c>
      <c r="G8256" s="4" t="b">
        <f t="shared" si="2"/>
        <v>1</v>
      </c>
      <c r="H8256" s="1" t="str">
        <f t="shared" si="3"/>
        <v>Currently Unavailable</v>
      </c>
      <c r="I8256" s="1" t="str">
        <f t="shared" si="4"/>
        <v>No Badges</v>
      </c>
      <c r="J8256" s="3">
        <f t="shared" si="5"/>
        <v>0</v>
      </c>
    </row>
    <row r="8257">
      <c r="A8257" s="1" t="s">
        <v>5817</v>
      </c>
      <c r="B8257" s="3" t="str">
        <f t="shared" si="1"/>
        <v>Unavailable</v>
      </c>
      <c r="C8257" s="5">
        <v>7235.0</v>
      </c>
      <c r="D8257" s="3">
        <f>IFERROR(__xludf.DUMMYFUNCTION("IFERROR(
IF(REGEXMATCH(LOWER(O8257),""k""),
VALUE(REGEXEXTRACT(O8257,""[0-9]+""))*1000,
VALUE(REGEXEXTRACT(O8257,""[0-9]+""))
),
0
)"),0.0)</f>
        <v>0</v>
      </c>
      <c r="E8257" s="1" t="s">
        <v>11</v>
      </c>
      <c r="F8257" s="1" t="s">
        <v>12</v>
      </c>
      <c r="G8257" s="4" t="b">
        <f t="shared" si="2"/>
        <v>1</v>
      </c>
      <c r="H8257" s="1" t="str">
        <f t="shared" si="3"/>
        <v>Currently Unavailable</v>
      </c>
      <c r="I8257" s="1" t="str">
        <f t="shared" si="4"/>
        <v>No Badges</v>
      </c>
      <c r="J8257" s="3">
        <f t="shared" si="5"/>
        <v>0</v>
      </c>
    </row>
    <row r="8258">
      <c r="A8258" s="1" t="s">
        <v>6302</v>
      </c>
      <c r="B8258" s="3" t="str">
        <f t="shared" si="1"/>
        <v>Unavailable</v>
      </c>
      <c r="C8258" s="5">
        <v>3969.0</v>
      </c>
      <c r="D8258" s="3">
        <f>IFERROR(__xludf.DUMMYFUNCTION("IFERROR(
IF(REGEXMATCH(LOWER(O8258),""k""),
VALUE(REGEXEXTRACT(O8258,""[0-9]+""))*1000,
VALUE(REGEXEXTRACT(O8258,""[0-9]+""))
),
0
)"),0.0)</f>
        <v>0</v>
      </c>
      <c r="E8258" s="1" t="s">
        <v>11</v>
      </c>
      <c r="F8258" s="1" t="s">
        <v>20</v>
      </c>
      <c r="G8258" s="4" t="b">
        <f t="shared" si="2"/>
        <v>1</v>
      </c>
      <c r="H8258" s="1" t="str">
        <f t="shared" si="3"/>
        <v>Currently Unavailable</v>
      </c>
      <c r="I8258" s="1" t="str">
        <f t="shared" si="4"/>
        <v>No Badges</v>
      </c>
      <c r="J8258" s="3">
        <f t="shared" si="5"/>
        <v>0</v>
      </c>
    </row>
    <row r="8259">
      <c r="A8259" s="1" t="s">
        <v>6303</v>
      </c>
      <c r="B8259" s="3" t="str">
        <f t="shared" si="1"/>
        <v>Unavailable</v>
      </c>
      <c r="C8259" s="5">
        <v>11406.0</v>
      </c>
      <c r="D8259" s="3">
        <f>IFERROR(__xludf.DUMMYFUNCTION("IFERROR(
IF(REGEXMATCH(LOWER(O8259),""k""),
VALUE(REGEXEXTRACT(O8259,""[0-9]+""))*1000,
VALUE(REGEXEXTRACT(O8259,""[0-9]+""))
),
0
)"),0.0)</f>
        <v>0</v>
      </c>
      <c r="E8259" s="1" t="s">
        <v>11</v>
      </c>
      <c r="F8259" s="1" t="s">
        <v>20</v>
      </c>
      <c r="G8259" s="4" t="b">
        <f t="shared" si="2"/>
        <v>1</v>
      </c>
      <c r="H8259" s="1" t="str">
        <f t="shared" si="3"/>
        <v>Currently Unavailable</v>
      </c>
      <c r="I8259" s="1" t="str">
        <f t="shared" si="4"/>
        <v>No Badges</v>
      </c>
      <c r="J8259" s="3">
        <f t="shared" si="5"/>
        <v>0</v>
      </c>
    </row>
    <row r="8260">
      <c r="A8260" s="1" t="s">
        <v>6304</v>
      </c>
      <c r="B8260" s="3" t="str">
        <f t="shared" si="1"/>
        <v>Unavailable</v>
      </c>
      <c r="C8260" s="3">
        <v>625.0</v>
      </c>
      <c r="D8260" s="3">
        <f>IFERROR(__xludf.DUMMYFUNCTION("IFERROR(
IF(REGEXMATCH(LOWER(O8260),""k""),
VALUE(REGEXEXTRACT(O8260,""[0-9]+""))*1000,
VALUE(REGEXEXTRACT(O8260,""[0-9]+""))
),
0
)"),0.0)</f>
        <v>0</v>
      </c>
      <c r="E8260" s="1" t="s">
        <v>11</v>
      </c>
      <c r="F8260" s="1" t="s">
        <v>20</v>
      </c>
      <c r="G8260" s="4" t="b">
        <f t="shared" si="2"/>
        <v>1</v>
      </c>
      <c r="H8260" s="1" t="str">
        <f t="shared" si="3"/>
        <v>Currently Unavailable</v>
      </c>
      <c r="I8260" s="1" t="str">
        <f t="shared" si="4"/>
        <v>No Badges</v>
      </c>
      <c r="J8260" s="3">
        <f t="shared" si="5"/>
        <v>0</v>
      </c>
    </row>
    <row r="8261">
      <c r="A8261" s="1" t="s">
        <v>67</v>
      </c>
      <c r="B8261" s="3" t="str">
        <f t="shared" si="1"/>
        <v>Unavailable</v>
      </c>
      <c r="C8261" s="3">
        <v>264.0</v>
      </c>
      <c r="D8261" s="3">
        <f>IFERROR(__xludf.DUMMYFUNCTION("IFERROR(
IF(REGEXMATCH(LOWER(O8261),""k""),
VALUE(REGEXEXTRACT(O8261,""[0-9]+""))*1000,
VALUE(REGEXEXTRACT(O8261,""[0-9]+""))
),
0
)"),0.0)</f>
        <v>0</v>
      </c>
      <c r="E8261" s="1" t="s">
        <v>11</v>
      </c>
      <c r="F8261" s="1" t="s">
        <v>12</v>
      </c>
      <c r="G8261" s="4" t="b">
        <f t="shared" si="2"/>
        <v>1</v>
      </c>
      <c r="H8261" s="1" t="str">
        <f t="shared" si="3"/>
        <v>Currently Unavailable</v>
      </c>
      <c r="I8261" s="1" t="str">
        <f t="shared" si="4"/>
        <v>No Badges</v>
      </c>
      <c r="J8261" s="3">
        <f t="shared" si="5"/>
        <v>0</v>
      </c>
    </row>
    <row r="8262">
      <c r="A8262" s="1" t="s">
        <v>6305</v>
      </c>
      <c r="B8262" s="3" t="str">
        <f t="shared" si="1"/>
        <v>Unavailable</v>
      </c>
      <c r="C8262" s="3">
        <v>22.0</v>
      </c>
      <c r="D8262" s="3">
        <f>IFERROR(__xludf.DUMMYFUNCTION("IFERROR(
IF(REGEXMATCH(LOWER(O8262),""k""),
VALUE(REGEXEXTRACT(O8262,""[0-9]+""))*1000,
VALUE(REGEXEXTRACT(O8262,""[0-9]+""))
),
0
)"),0.0)</f>
        <v>0</v>
      </c>
      <c r="E8262" s="1" t="s">
        <v>11</v>
      </c>
      <c r="F8262" s="1" t="s">
        <v>20</v>
      </c>
      <c r="G8262" s="4" t="b">
        <f t="shared" si="2"/>
        <v>1</v>
      </c>
      <c r="H8262" s="1" t="str">
        <f t="shared" si="3"/>
        <v>Currently Unavailable</v>
      </c>
      <c r="I8262" s="1" t="str">
        <f t="shared" si="4"/>
        <v>No Badges</v>
      </c>
      <c r="J8262" s="3">
        <f t="shared" si="5"/>
        <v>0</v>
      </c>
    </row>
    <row r="8263">
      <c r="A8263" s="1" t="s">
        <v>1624</v>
      </c>
      <c r="B8263" s="3" t="str">
        <f t="shared" si="1"/>
        <v>Unavailable</v>
      </c>
      <c r="C8263" s="3">
        <v>14.0</v>
      </c>
      <c r="D8263" s="3">
        <f>IFERROR(__xludf.DUMMYFUNCTION("IFERROR(
IF(REGEXMATCH(LOWER(O8263),""k""),
VALUE(REGEXEXTRACT(O8263,""[0-9]+""))*1000,
VALUE(REGEXEXTRACT(O8263,""[0-9]+""))
),
0
)"),0.0)</f>
        <v>0</v>
      </c>
      <c r="E8263" s="1" t="s">
        <v>11</v>
      </c>
      <c r="F8263" s="1" t="s">
        <v>12</v>
      </c>
      <c r="G8263" s="4" t="b">
        <f t="shared" si="2"/>
        <v>1</v>
      </c>
      <c r="H8263" s="1" t="str">
        <f t="shared" si="3"/>
        <v>Currently Unavailable</v>
      </c>
      <c r="I8263" s="1" t="str">
        <f t="shared" si="4"/>
        <v>No Badges</v>
      </c>
      <c r="J8263" s="3">
        <f t="shared" si="5"/>
        <v>0</v>
      </c>
    </row>
    <row r="8264">
      <c r="A8264" s="1" t="s">
        <v>6306</v>
      </c>
      <c r="B8264" s="3" t="str">
        <f t="shared" si="1"/>
        <v>Unavailable</v>
      </c>
      <c r="C8264" s="5">
        <v>3333.0</v>
      </c>
      <c r="D8264" s="3">
        <f>IFERROR(__xludf.DUMMYFUNCTION("IFERROR(
IF(REGEXMATCH(LOWER(O8264),""k""),
VALUE(REGEXEXTRACT(O8264,""[0-9]+""))*1000,
VALUE(REGEXEXTRACT(O8264,""[0-9]+""))
),
0
)"),0.0)</f>
        <v>0</v>
      </c>
      <c r="E8264" s="1" t="s">
        <v>11</v>
      </c>
      <c r="F8264" s="1" t="s">
        <v>20</v>
      </c>
      <c r="G8264" s="4" t="b">
        <f t="shared" si="2"/>
        <v>1</v>
      </c>
      <c r="H8264" s="1" t="str">
        <f t="shared" si="3"/>
        <v>Currently Unavailable</v>
      </c>
      <c r="I8264" s="1" t="str">
        <f t="shared" si="4"/>
        <v>No Badges</v>
      </c>
      <c r="J8264" s="3">
        <f t="shared" si="5"/>
        <v>0</v>
      </c>
    </row>
    <row r="8265">
      <c r="A8265" s="1" t="s">
        <v>6307</v>
      </c>
      <c r="B8265" s="3" t="str">
        <f t="shared" si="1"/>
        <v>Unavailable</v>
      </c>
      <c r="C8265" s="5">
        <v>11787.0</v>
      </c>
      <c r="D8265" s="3">
        <f>IFERROR(__xludf.DUMMYFUNCTION("IFERROR(
IF(REGEXMATCH(LOWER(O8265),""k""),
VALUE(REGEXEXTRACT(O8265,""[0-9]+""))*1000,
VALUE(REGEXEXTRACT(O8265,""[0-9]+""))
),
0
)"),0.0)</f>
        <v>0</v>
      </c>
      <c r="E8265" s="1" t="s">
        <v>11</v>
      </c>
      <c r="F8265" s="1" t="s">
        <v>20</v>
      </c>
      <c r="G8265" s="4" t="b">
        <f t="shared" si="2"/>
        <v>1</v>
      </c>
      <c r="H8265" s="1" t="str">
        <f t="shared" si="3"/>
        <v>Currently Unavailable</v>
      </c>
      <c r="I8265" s="1" t="str">
        <f t="shared" si="4"/>
        <v>No Badges</v>
      </c>
      <c r="J8265" s="3">
        <f t="shared" si="5"/>
        <v>0</v>
      </c>
    </row>
    <row r="8266">
      <c r="A8266" s="1" t="s">
        <v>6308</v>
      </c>
      <c r="B8266" s="3" t="str">
        <f t="shared" si="1"/>
        <v>Unavailable</v>
      </c>
      <c r="C8266" s="5">
        <v>3795.0</v>
      </c>
      <c r="D8266" s="3">
        <f>IFERROR(__xludf.DUMMYFUNCTION("IFERROR(
IF(REGEXMATCH(LOWER(O8266),""k""),
VALUE(REGEXEXTRACT(O8266,""[0-9]+""))*1000,
VALUE(REGEXEXTRACT(O8266,""[0-9]+""))
),
0
)"),0.0)</f>
        <v>0</v>
      </c>
      <c r="E8266" s="1" t="s">
        <v>11</v>
      </c>
      <c r="F8266" s="1" t="s">
        <v>20</v>
      </c>
      <c r="G8266" s="4" t="b">
        <f t="shared" si="2"/>
        <v>1</v>
      </c>
      <c r="H8266" s="1" t="str">
        <f t="shared" si="3"/>
        <v>Currently Unavailable</v>
      </c>
      <c r="I8266" s="1" t="str">
        <f t="shared" si="4"/>
        <v>No Badges</v>
      </c>
      <c r="J8266" s="3">
        <f t="shared" si="5"/>
        <v>0</v>
      </c>
    </row>
    <row r="8267">
      <c r="A8267" s="1" t="s">
        <v>6309</v>
      </c>
      <c r="B8267" s="3" t="str">
        <f t="shared" si="1"/>
        <v>Unavailable</v>
      </c>
      <c r="C8267" s="5">
        <v>3841.0</v>
      </c>
      <c r="D8267" s="3">
        <f>IFERROR(__xludf.DUMMYFUNCTION("IFERROR(
IF(REGEXMATCH(LOWER(O8267),""k""),
VALUE(REGEXEXTRACT(O8267,""[0-9]+""))*1000,
VALUE(REGEXEXTRACT(O8267,""[0-9]+""))
),
0
)"),0.0)</f>
        <v>0</v>
      </c>
      <c r="E8267" s="1" t="s">
        <v>11</v>
      </c>
      <c r="F8267" s="1" t="s">
        <v>20</v>
      </c>
      <c r="G8267" s="4" t="b">
        <f t="shared" si="2"/>
        <v>1</v>
      </c>
      <c r="H8267" s="1" t="str">
        <f t="shared" si="3"/>
        <v>Currently Unavailable</v>
      </c>
      <c r="I8267" s="1" t="str">
        <f t="shared" si="4"/>
        <v>No Badges</v>
      </c>
      <c r="J8267" s="3">
        <f t="shared" si="5"/>
        <v>0</v>
      </c>
    </row>
    <row r="8268">
      <c r="A8268" s="1" t="s">
        <v>6310</v>
      </c>
      <c r="B8268" s="3" t="str">
        <f t="shared" si="1"/>
        <v>Unavailable</v>
      </c>
      <c r="C8268" s="3">
        <v>15.0</v>
      </c>
      <c r="D8268" s="3">
        <f>IFERROR(__xludf.DUMMYFUNCTION("IFERROR(
IF(REGEXMATCH(LOWER(O8268),""k""),
VALUE(REGEXEXTRACT(O8268,""[0-9]+""))*1000,
VALUE(REGEXEXTRACT(O8268,""[0-9]+""))
),
0
)"),0.0)</f>
        <v>0</v>
      </c>
      <c r="E8268" s="1" t="s">
        <v>11</v>
      </c>
      <c r="F8268" s="1" t="s">
        <v>20</v>
      </c>
      <c r="G8268" s="4" t="b">
        <f t="shared" si="2"/>
        <v>1</v>
      </c>
      <c r="H8268" s="1" t="str">
        <f t="shared" si="3"/>
        <v>Currently Unavailable</v>
      </c>
      <c r="I8268" s="1" t="str">
        <f t="shared" si="4"/>
        <v>No Badges</v>
      </c>
      <c r="J8268" s="3">
        <f t="shared" si="5"/>
        <v>0</v>
      </c>
    </row>
    <row r="8269">
      <c r="A8269" s="1" t="s">
        <v>6311</v>
      </c>
      <c r="B8269" s="3" t="str">
        <f t="shared" si="1"/>
        <v>Unavailable</v>
      </c>
      <c r="C8269" s="5">
        <v>2449.0</v>
      </c>
      <c r="D8269" s="3">
        <f>IFERROR(__xludf.DUMMYFUNCTION("IFERROR(
IF(REGEXMATCH(LOWER(O8269),""k""),
VALUE(REGEXEXTRACT(O8269,""[0-9]+""))*1000,
VALUE(REGEXEXTRACT(O8269,""[0-9]+""))
),
0
)"),0.0)</f>
        <v>0</v>
      </c>
      <c r="E8269" s="1" t="s">
        <v>11</v>
      </c>
      <c r="F8269" s="1" t="s">
        <v>20</v>
      </c>
      <c r="G8269" s="4" t="b">
        <f t="shared" si="2"/>
        <v>1</v>
      </c>
      <c r="H8269" s="1" t="str">
        <f t="shared" si="3"/>
        <v>Currently Unavailable</v>
      </c>
      <c r="I8269" s="1" t="str">
        <f t="shared" si="4"/>
        <v>No Badges</v>
      </c>
      <c r="J8269" s="3">
        <f t="shared" si="5"/>
        <v>0</v>
      </c>
    </row>
    <row r="8270">
      <c r="A8270" s="1" t="s">
        <v>6312</v>
      </c>
      <c r="B8270" s="3" t="str">
        <f t="shared" si="1"/>
        <v>Unavailable</v>
      </c>
      <c r="C8270" s="5">
        <v>2736.0</v>
      </c>
      <c r="D8270" s="3">
        <f>IFERROR(__xludf.DUMMYFUNCTION("IFERROR(
IF(REGEXMATCH(LOWER(O8270),""k""),
VALUE(REGEXEXTRACT(O8270,""[0-9]+""))*1000,
VALUE(REGEXEXTRACT(O8270,""[0-9]+""))
),
0
)"),0.0)</f>
        <v>0</v>
      </c>
      <c r="E8270" s="1" t="s">
        <v>11</v>
      </c>
      <c r="F8270" s="1" t="s">
        <v>20</v>
      </c>
      <c r="G8270" s="4" t="b">
        <f t="shared" si="2"/>
        <v>1</v>
      </c>
      <c r="H8270" s="1" t="str">
        <f t="shared" si="3"/>
        <v>Currently Unavailable</v>
      </c>
      <c r="I8270" s="1" t="str">
        <f t="shared" si="4"/>
        <v>No Badges</v>
      </c>
      <c r="J8270" s="3">
        <f t="shared" si="5"/>
        <v>0</v>
      </c>
    </row>
    <row r="8271">
      <c r="A8271" s="1" t="s">
        <v>6313</v>
      </c>
      <c r="B8271" s="3" t="str">
        <f t="shared" si="1"/>
        <v>Unavailable</v>
      </c>
      <c r="C8271" s="3">
        <v>663.0</v>
      </c>
      <c r="D8271" s="3">
        <f>IFERROR(__xludf.DUMMYFUNCTION("IFERROR(
IF(REGEXMATCH(LOWER(O8271),""k""),
VALUE(REGEXEXTRACT(O8271,""[0-9]+""))*1000,
VALUE(REGEXEXTRACT(O8271,""[0-9]+""))
),
0
)"),0.0)</f>
        <v>0</v>
      </c>
      <c r="E8271" s="1" t="s">
        <v>11</v>
      </c>
      <c r="F8271" s="1" t="s">
        <v>20</v>
      </c>
      <c r="G8271" s="4" t="b">
        <f t="shared" si="2"/>
        <v>1</v>
      </c>
      <c r="H8271" s="1" t="str">
        <f t="shared" si="3"/>
        <v>Currently Unavailable</v>
      </c>
      <c r="I8271" s="1" t="str">
        <f t="shared" si="4"/>
        <v>No Badges</v>
      </c>
      <c r="J8271" s="3">
        <f t="shared" si="5"/>
        <v>0</v>
      </c>
    </row>
    <row r="8272">
      <c r="A8272" s="1" t="s">
        <v>6314</v>
      </c>
      <c r="B8272" s="3" t="str">
        <f t="shared" si="1"/>
        <v>Unavailable</v>
      </c>
      <c r="C8272" s="3">
        <v>201.0</v>
      </c>
      <c r="D8272" s="3">
        <f>IFERROR(__xludf.DUMMYFUNCTION("IFERROR(
IF(REGEXMATCH(LOWER(O8272),""k""),
VALUE(REGEXEXTRACT(O8272,""[0-9]+""))*1000,
VALUE(REGEXEXTRACT(O8272,""[0-9]+""))
),
0
)"),0.0)</f>
        <v>0</v>
      </c>
      <c r="E8272" s="1" t="s">
        <v>11</v>
      </c>
      <c r="F8272" s="1" t="s">
        <v>20</v>
      </c>
      <c r="G8272" s="4" t="b">
        <f t="shared" si="2"/>
        <v>1</v>
      </c>
      <c r="H8272" s="1" t="str">
        <f t="shared" si="3"/>
        <v>Currently Unavailable</v>
      </c>
      <c r="I8272" s="1" t="str">
        <f t="shared" si="4"/>
        <v>No Badges</v>
      </c>
      <c r="J8272" s="3">
        <f t="shared" si="5"/>
        <v>0</v>
      </c>
    </row>
    <row r="8273">
      <c r="A8273" s="1" t="s">
        <v>5817</v>
      </c>
      <c r="B8273" s="3" t="str">
        <f t="shared" si="1"/>
        <v>Unavailable</v>
      </c>
      <c r="C8273" s="5">
        <v>7235.0</v>
      </c>
      <c r="D8273" s="3">
        <f>IFERROR(__xludf.DUMMYFUNCTION("IFERROR(
IF(REGEXMATCH(LOWER(O8273),""k""),
VALUE(REGEXEXTRACT(O8273,""[0-9]+""))*1000,
VALUE(REGEXEXTRACT(O8273,""[0-9]+""))
),
0
)"),0.0)</f>
        <v>0</v>
      </c>
      <c r="E8273" s="1" t="s">
        <v>11</v>
      </c>
      <c r="F8273" s="1" t="s">
        <v>12</v>
      </c>
      <c r="G8273" s="4" t="b">
        <f t="shared" si="2"/>
        <v>1</v>
      </c>
      <c r="H8273" s="1" t="str">
        <f t="shared" si="3"/>
        <v>Currently Unavailable</v>
      </c>
      <c r="I8273" s="1" t="str">
        <f t="shared" si="4"/>
        <v>No Badges</v>
      </c>
      <c r="J8273" s="3">
        <f t="shared" si="5"/>
        <v>0</v>
      </c>
    </row>
    <row r="8274">
      <c r="A8274" s="1" t="s">
        <v>6315</v>
      </c>
      <c r="B8274" s="3" t="str">
        <f t="shared" si="1"/>
        <v>Unavailable</v>
      </c>
      <c r="C8274" s="5">
        <v>1274.0</v>
      </c>
      <c r="D8274" s="3">
        <f>IFERROR(__xludf.DUMMYFUNCTION("IFERROR(
IF(REGEXMATCH(LOWER(O8274),""k""),
VALUE(REGEXEXTRACT(O8274,""[0-9]+""))*1000,
VALUE(REGEXEXTRACT(O8274,""[0-9]+""))
),
0
)"),0.0)</f>
        <v>0</v>
      </c>
      <c r="E8274" s="1" t="s">
        <v>11</v>
      </c>
      <c r="F8274" s="1" t="s">
        <v>20</v>
      </c>
      <c r="G8274" s="4" t="b">
        <f t="shared" si="2"/>
        <v>1</v>
      </c>
      <c r="H8274" s="1" t="str">
        <f t="shared" si="3"/>
        <v>Currently Unavailable</v>
      </c>
      <c r="I8274" s="1" t="str">
        <f t="shared" si="4"/>
        <v>No Badges</v>
      </c>
      <c r="J8274" s="3">
        <f t="shared" si="5"/>
        <v>0</v>
      </c>
    </row>
    <row r="8275">
      <c r="A8275" s="1" t="s">
        <v>6316</v>
      </c>
      <c r="B8275" s="3" t="str">
        <f t="shared" si="1"/>
        <v>Unavailable</v>
      </c>
      <c r="C8275" s="5">
        <v>1776.0</v>
      </c>
      <c r="D8275" s="3">
        <f>IFERROR(__xludf.DUMMYFUNCTION("IFERROR(
IF(REGEXMATCH(LOWER(O8275),""k""),
VALUE(REGEXEXTRACT(O8275,""[0-9]+""))*1000,
VALUE(REGEXEXTRACT(O8275,""[0-9]+""))
),
0
)"),0.0)</f>
        <v>0</v>
      </c>
      <c r="E8275" s="1" t="s">
        <v>11</v>
      </c>
      <c r="F8275" s="1" t="s">
        <v>20</v>
      </c>
      <c r="G8275" s="4" t="b">
        <f t="shared" si="2"/>
        <v>1</v>
      </c>
      <c r="H8275" s="1" t="str">
        <f t="shared" si="3"/>
        <v>Currently Unavailable</v>
      </c>
      <c r="I8275" s="1" t="str">
        <f t="shared" si="4"/>
        <v>No Badges</v>
      </c>
      <c r="J8275" s="3">
        <f t="shared" si="5"/>
        <v>0</v>
      </c>
    </row>
    <row r="8276">
      <c r="A8276" s="1" t="s">
        <v>701</v>
      </c>
      <c r="B8276" s="3" t="str">
        <f t="shared" si="1"/>
        <v>Unavailable</v>
      </c>
      <c r="C8276" s="3">
        <v>8.0</v>
      </c>
      <c r="D8276" s="3">
        <f>IFERROR(__xludf.DUMMYFUNCTION("IFERROR(
IF(REGEXMATCH(LOWER(O8276),""k""),
VALUE(REGEXEXTRACT(O8276,""[0-9]+""))*1000,
VALUE(REGEXEXTRACT(O8276,""[0-9]+""))
),
0
)"),0.0)</f>
        <v>0</v>
      </c>
      <c r="E8276" s="1" t="s">
        <v>11</v>
      </c>
      <c r="F8276" s="1" t="s">
        <v>12</v>
      </c>
      <c r="G8276" s="4" t="b">
        <f t="shared" si="2"/>
        <v>1</v>
      </c>
      <c r="H8276" s="1" t="str">
        <f t="shared" si="3"/>
        <v>Currently Unavailable</v>
      </c>
      <c r="I8276" s="1" t="str">
        <f t="shared" si="4"/>
        <v>No Badges</v>
      </c>
      <c r="J8276" s="3">
        <f t="shared" si="5"/>
        <v>0</v>
      </c>
    </row>
    <row r="8277">
      <c r="A8277" s="1" t="s">
        <v>6317</v>
      </c>
      <c r="B8277" s="3" t="str">
        <f t="shared" si="1"/>
        <v>Unavailable</v>
      </c>
      <c r="C8277" s="5">
        <v>2112.0</v>
      </c>
      <c r="D8277" s="3">
        <f>IFERROR(__xludf.DUMMYFUNCTION("IFERROR(
IF(REGEXMATCH(LOWER(O8277),""k""),
VALUE(REGEXEXTRACT(O8277,""[0-9]+""))*1000,
VALUE(REGEXEXTRACT(O8277,""[0-9]+""))
),
0
)"),0.0)</f>
        <v>0</v>
      </c>
      <c r="E8277" s="1" t="s">
        <v>11</v>
      </c>
      <c r="F8277" s="1" t="s">
        <v>20</v>
      </c>
      <c r="G8277" s="4" t="b">
        <f t="shared" si="2"/>
        <v>1</v>
      </c>
      <c r="H8277" s="1" t="str">
        <f t="shared" si="3"/>
        <v>Currently Unavailable</v>
      </c>
      <c r="I8277" s="1" t="str">
        <f t="shared" si="4"/>
        <v>No Badges</v>
      </c>
      <c r="J8277" s="3">
        <f t="shared" si="5"/>
        <v>0</v>
      </c>
    </row>
    <row r="8278">
      <c r="A8278" s="1" t="s">
        <v>88</v>
      </c>
      <c r="B8278" s="3" t="str">
        <f t="shared" si="1"/>
        <v>Unavailable</v>
      </c>
      <c r="C8278" s="3">
        <v>5.0</v>
      </c>
      <c r="D8278" s="3">
        <f>IFERROR(__xludf.DUMMYFUNCTION("IFERROR(
IF(REGEXMATCH(LOWER(O8278),""k""),
VALUE(REGEXEXTRACT(O8278,""[0-9]+""))*1000,
VALUE(REGEXEXTRACT(O8278,""[0-9]+""))
),
0
)"),0.0)</f>
        <v>0</v>
      </c>
      <c r="E8278" s="1" t="s">
        <v>11</v>
      </c>
      <c r="F8278" s="1" t="s">
        <v>12</v>
      </c>
      <c r="G8278" s="4" t="b">
        <f t="shared" si="2"/>
        <v>1</v>
      </c>
      <c r="H8278" s="1" t="str">
        <f t="shared" si="3"/>
        <v>Currently Unavailable</v>
      </c>
      <c r="I8278" s="1" t="str">
        <f t="shared" si="4"/>
        <v>No Badges</v>
      </c>
      <c r="J8278" s="3">
        <f t="shared" si="5"/>
        <v>0</v>
      </c>
    </row>
    <row r="8279">
      <c r="A8279" s="1" t="s">
        <v>6318</v>
      </c>
      <c r="B8279" s="3" t="str">
        <f t="shared" si="1"/>
        <v>Unavailable</v>
      </c>
      <c r="C8279" s="5">
        <v>10581.0</v>
      </c>
      <c r="D8279" s="3">
        <f>IFERROR(__xludf.DUMMYFUNCTION("IFERROR(
IF(REGEXMATCH(LOWER(O8279),""k""),
VALUE(REGEXEXTRACT(O8279,""[0-9]+""))*1000,
VALUE(REGEXEXTRACT(O8279,""[0-9]+""))
),
0
)"),0.0)</f>
        <v>0</v>
      </c>
      <c r="E8279" s="1" t="s">
        <v>11</v>
      </c>
      <c r="F8279" s="1" t="s">
        <v>20</v>
      </c>
      <c r="G8279" s="4" t="b">
        <f t="shared" si="2"/>
        <v>1</v>
      </c>
      <c r="H8279" s="1" t="str">
        <f t="shared" si="3"/>
        <v>Currently Unavailable</v>
      </c>
      <c r="I8279" s="1" t="str">
        <f t="shared" si="4"/>
        <v>No Badges</v>
      </c>
      <c r="J8279" s="3">
        <f t="shared" si="5"/>
        <v>0</v>
      </c>
    </row>
    <row r="8280">
      <c r="A8280" s="1" t="s">
        <v>5817</v>
      </c>
      <c r="B8280" s="3" t="str">
        <f t="shared" si="1"/>
        <v>Unavailable</v>
      </c>
      <c r="C8280" s="5">
        <v>7235.0</v>
      </c>
      <c r="D8280" s="3">
        <f>IFERROR(__xludf.DUMMYFUNCTION("IFERROR(
IF(REGEXMATCH(LOWER(O8280),""k""),
VALUE(REGEXEXTRACT(O8280,""[0-9]+""))*1000,
VALUE(REGEXEXTRACT(O8280,""[0-9]+""))
),
0
)"),0.0)</f>
        <v>0</v>
      </c>
      <c r="E8280" s="1" t="s">
        <v>11</v>
      </c>
      <c r="F8280" s="1" t="s">
        <v>12</v>
      </c>
      <c r="G8280" s="4" t="b">
        <f t="shared" si="2"/>
        <v>1</v>
      </c>
      <c r="H8280" s="1" t="str">
        <f t="shared" si="3"/>
        <v>Currently Unavailable</v>
      </c>
      <c r="I8280" s="1" t="str">
        <f t="shared" si="4"/>
        <v>No Badges</v>
      </c>
      <c r="J8280" s="3">
        <f t="shared" si="5"/>
        <v>0</v>
      </c>
    </row>
    <row r="8281">
      <c r="A8281" s="1" t="s">
        <v>6319</v>
      </c>
      <c r="B8281" s="3" t="str">
        <f t="shared" si="1"/>
        <v>Unavailable</v>
      </c>
      <c r="C8281" s="5">
        <v>199598.0</v>
      </c>
      <c r="D8281" s="3">
        <f>IFERROR(__xludf.DUMMYFUNCTION("IFERROR(
IF(REGEXMATCH(LOWER(O8281),""k""),
VALUE(REGEXEXTRACT(O8281,""[0-9]+""))*1000,
VALUE(REGEXEXTRACT(O8281,""[0-9]+""))
),
0
)"),0.0)</f>
        <v>0</v>
      </c>
      <c r="E8281" s="1" t="s">
        <v>11</v>
      </c>
      <c r="F8281" s="1" t="s">
        <v>20</v>
      </c>
      <c r="G8281" s="4" t="b">
        <f t="shared" si="2"/>
        <v>1</v>
      </c>
      <c r="H8281" s="1" t="str">
        <f t="shared" si="3"/>
        <v>Currently Unavailable</v>
      </c>
      <c r="I8281" s="1" t="str">
        <f t="shared" si="4"/>
        <v>No Badges</v>
      </c>
      <c r="J8281" s="3">
        <f t="shared" si="5"/>
        <v>0</v>
      </c>
    </row>
    <row r="8282">
      <c r="A8282" s="1" t="s">
        <v>6320</v>
      </c>
      <c r="B8282" s="3" t="str">
        <f t="shared" si="1"/>
        <v>Unavailable</v>
      </c>
      <c r="C8282" s="5">
        <v>7927.0</v>
      </c>
      <c r="D8282" s="3">
        <f>IFERROR(__xludf.DUMMYFUNCTION("IFERROR(
IF(REGEXMATCH(LOWER(O8282),""k""),
VALUE(REGEXEXTRACT(O8282,""[0-9]+""))*1000,
VALUE(REGEXEXTRACT(O8282,""[0-9]+""))
),
0
)"),0.0)</f>
        <v>0</v>
      </c>
      <c r="E8282" s="1" t="s">
        <v>11</v>
      </c>
      <c r="F8282" s="1" t="s">
        <v>20</v>
      </c>
      <c r="G8282" s="4" t="b">
        <f t="shared" si="2"/>
        <v>1</v>
      </c>
      <c r="H8282" s="1" t="str">
        <f t="shared" si="3"/>
        <v>Currently Unavailable</v>
      </c>
      <c r="I8282" s="1" t="str">
        <f t="shared" si="4"/>
        <v>No Badges</v>
      </c>
      <c r="J8282" s="3">
        <f t="shared" si="5"/>
        <v>0</v>
      </c>
    </row>
    <row r="8283">
      <c r="A8283" s="1" t="s">
        <v>6321</v>
      </c>
      <c r="B8283" s="3" t="str">
        <f t="shared" si="1"/>
        <v>Unavailable</v>
      </c>
      <c r="C8283" s="5">
        <v>1163.0</v>
      </c>
      <c r="D8283" s="3">
        <f>IFERROR(__xludf.DUMMYFUNCTION("IFERROR(
IF(REGEXMATCH(LOWER(O8283),""k""),
VALUE(REGEXEXTRACT(O8283,""[0-9]+""))*1000,
VALUE(REGEXEXTRACT(O8283,""[0-9]+""))
),
0
)"),0.0)</f>
        <v>0</v>
      </c>
      <c r="E8283" s="1" t="s">
        <v>11</v>
      </c>
      <c r="F8283" s="1" t="s">
        <v>20</v>
      </c>
      <c r="G8283" s="4" t="b">
        <f t="shared" si="2"/>
        <v>1</v>
      </c>
      <c r="H8283" s="1" t="str">
        <f t="shared" si="3"/>
        <v>Currently Unavailable</v>
      </c>
      <c r="I8283" s="1" t="str">
        <f t="shared" si="4"/>
        <v>No Badges</v>
      </c>
      <c r="J8283" s="3">
        <f t="shared" si="5"/>
        <v>0</v>
      </c>
    </row>
    <row r="8284">
      <c r="A8284" s="1" t="s">
        <v>6322</v>
      </c>
      <c r="B8284" s="3" t="str">
        <f t="shared" si="1"/>
        <v>Unavailable</v>
      </c>
      <c r="C8284" s="3">
        <v>94.0</v>
      </c>
      <c r="D8284" s="3">
        <f>IFERROR(__xludf.DUMMYFUNCTION("IFERROR(
IF(REGEXMATCH(LOWER(O8284),""k""),
VALUE(REGEXEXTRACT(O8284,""[0-9]+""))*1000,
VALUE(REGEXEXTRACT(O8284,""[0-9]+""))
),
0
)"),0.0)</f>
        <v>0</v>
      </c>
      <c r="E8284" s="1" t="s">
        <v>11</v>
      </c>
      <c r="F8284" s="1" t="s">
        <v>20</v>
      </c>
      <c r="G8284" s="4" t="b">
        <f t="shared" si="2"/>
        <v>1</v>
      </c>
      <c r="H8284" s="1" t="str">
        <f t="shared" si="3"/>
        <v>Currently Unavailable</v>
      </c>
      <c r="I8284" s="1" t="str">
        <f t="shared" si="4"/>
        <v>No Badges</v>
      </c>
      <c r="J8284" s="3">
        <f t="shared" si="5"/>
        <v>0</v>
      </c>
    </row>
    <row r="8285">
      <c r="A8285" s="1" t="s">
        <v>6323</v>
      </c>
      <c r="B8285" s="3" t="str">
        <f t="shared" si="1"/>
        <v>Unavailable</v>
      </c>
      <c r="C8285" s="3">
        <v>844.0</v>
      </c>
      <c r="D8285" s="3">
        <f>IFERROR(__xludf.DUMMYFUNCTION("IFERROR(
IF(REGEXMATCH(LOWER(O8285),""k""),
VALUE(REGEXEXTRACT(O8285,""[0-9]+""))*1000,
VALUE(REGEXEXTRACT(O8285,""[0-9]+""))
),
0
)"),0.0)</f>
        <v>0</v>
      </c>
      <c r="E8285" s="1" t="s">
        <v>11</v>
      </c>
      <c r="F8285" s="1" t="s">
        <v>20</v>
      </c>
      <c r="G8285" s="4" t="b">
        <f t="shared" si="2"/>
        <v>1</v>
      </c>
      <c r="H8285" s="1" t="str">
        <f t="shared" si="3"/>
        <v>Currently Unavailable</v>
      </c>
      <c r="I8285" s="1" t="str">
        <f t="shared" si="4"/>
        <v>No Badges</v>
      </c>
      <c r="J8285" s="3">
        <f t="shared" si="5"/>
        <v>0</v>
      </c>
    </row>
    <row r="8286">
      <c r="A8286" s="1" t="s">
        <v>6324</v>
      </c>
      <c r="B8286" s="3" t="str">
        <f t="shared" si="1"/>
        <v>Unavailable</v>
      </c>
      <c r="C8286" s="5">
        <v>2694.0</v>
      </c>
      <c r="D8286" s="3">
        <f>IFERROR(__xludf.DUMMYFUNCTION("IFERROR(
IF(REGEXMATCH(LOWER(O8286),""k""),
VALUE(REGEXEXTRACT(O8286,""[0-9]+""))*1000,
VALUE(REGEXEXTRACT(O8286,""[0-9]+""))
),
0
)"),0.0)</f>
        <v>0</v>
      </c>
      <c r="E8286" s="1" t="s">
        <v>11</v>
      </c>
      <c r="F8286" s="1" t="s">
        <v>20</v>
      </c>
      <c r="G8286" s="4" t="b">
        <f t="shared" si="2"/>
        <v>1</v>
      </c>
      <c r="H8286" s="1" t="str">
        <f t="shared" si="3"/>
        <v>Currently Unavailable</v>
      </c>
      <c r="I8286" s="1" t="str">
        <f t="shared" si="4"/>
        <v>No Badges</v>
      </c>
      <c r="J8286" s="3">
        <f t="shared" si="5"/>
        <v>0</v>
      </c>
    </row>
    <row r="8287">
      <c r="A8287" s="1" t="s">
        <v>6325</v>
      </c>
      <c r="B8287" s="3" t="str">
        <f t="shared" si="1"/>
        <v>Unavailable</v>
      </c>
      <c r="C8287" s="5">
        <v>2039.0</v>
      </c>
      <c r="D8287" s="3">
        <f>IFERROR(__xludf.DUMMYFUNCTION("IFERROR(
IF(REGEXMATCH(LOWER(O8287),""k""),
VALUE(REGEXEXTRACT(O8287,""[0-9]+""))*1000,
VALUE(REGEXEXTRACT(O8287,""[0-9]+""))
),
0
)"),0.0)</f>
        <v>0</v>
      </c>
      <c r="E8287" s="1" t="s">
        <v>11</v>
      </c>
      <c r="F8287" s="1" t="s">
        <v>20</v>
      </c>
      <c r="G8287" s="4" t="b">
        <f t="shared" si="2"/>
        <v>1</v>
      </c>
      <c r="H8287" s="1" t="str">
        <f t="shared" si="3"/>
        <v>Currently Unavailable</v>
      </c>
      <c r="I8287" s="1" t="str">
        <f t="shared" si="4"/>
        <v>No Badges</v>
      </c>
      <c r="J8287" s="3">
        <f t="shared" si="5"/>
        <v>0</v>
      </c>
    </row>
    <row r="8288">
      <c r="A8288" s="1" t="s">
        <v>6326</v>
      </c>
      <c r="B8288" s="3" t="str">
        <f t="shared" si="1"/>
        <v>Unavailable</v>
      </c>
      <c r="C8288" s="5">
        <v>4106.0</v>
      </c>
      <c r="D8288" s="3">
        <f>IFERROR(__xludf.DUMMYFUNCTION("IFERROR(
IF(REGEXMATCH(LOWER(O8288),""k""),
VALUE(REGEXEXTRACT(O8288,""[0-9]+""))*1000,
VALUE(REGEXEXTRACT(O8288,""[0-9]+""))
),
0
)"),0.0)</f>
        <v>0</v>
      </c>
      <c r="E8288" s="1" t="s">
        <v>11</v>
      </c>
      <c r="F8288" s="1" t="s">
        <v>20</v>
      </c>
      <c r="G8288" s="4" t="b">
        <f t="shared" si="2"/>
        <v>1</v>
      </c>
      <c r="H8288" s="1" t="str">
        <f t="shared" si="3"/>
        <v>Currently Unavailable</v>
      </c>
      <c r="I8288" s="1" t="str">
        <f t="shared" si="4"/>
        <v>No Badges</v>
      </c>
      <c r="J8288" s="3">
        <f t="shared" si="5"/>
        <v>0</v>
      </c>
    </row>
    <row r="8289">
      <c r="A8289" s="1" t="s">
        <v>6327</v>
      </c>
      <c r="B8289" s="3" t="str">
        <f t="shared" si="1"/>
        <v>Unavailable</v>
      </c>
      <c r="C8289" s="5">
        <v>1384.0</v>
      </c>
      <c r="D8289" s="3">
        <f>IFERROR(__xludf.DUMMYFUNCTION("IFERROR(
IF(REGEXMATCH(LOWER(O8289),""k""),
VALUE(REGEXEXTRACT(O8289,""[0-9]+""))*1000,
VALUE(REGEXEXTRACT(O8289,""[0-9]+""))
),
0
)"),0.0)</f>
        <v>0</v>
      </c>
      <c r="E8289" s="1" t="s">
        <v>11</v>
      </c>
      <c r="F8289" s="1" t="s">
        <v>20</v>
      </c>
      <c r="G8289" s="4" t="b">
        <f t="shared" si="2"/>
        <v>1</v>
      </c>
      <c r="H8289" s="1" t="str">
        <f t="shared" si="3"/>
        <v>Currently Unavailable</v>
      </c>
      <c r="I8289" s="1" t="str">
        <f t="shared" si="4"/>
        <v>No Badges</v>
      </c>
      <c r="J8289" s="3">
        <f t="shared" si="5"/>
        <v>0</v>
      </c>
    </row>
    <row r="8290">
      <c r="A8290" s="1" t="s">
        <v>6328</v>
      </c>
      <c r="B8290" s="3" t="str">
        <f t="shared" si="1"/>
        <v>Unavailable</v>
      </c>
      <c r="C8290" s="5">
        <v>15540.0</v>
      </c>
      <c r="D8290" s="3">
        <f>IFERROR(__xludf.DUMMYFUNCTION("IFERROR(
IF(REGEXMATCH(LOWER(O8290),""k""),
VALUE(REGEXEXTRACT(O8290,""[0-9]+""))*1000,
VALUE(REGEXEXTRACT(O8290,""[0-9]+""))
),
0
)"),0.0)</f>
        <v>0</v>
      </c>
      <c r="E8290" s="1" t="s">
        <v>11</v>
      </c>
      <c r="F8290" s="1" t="s">
        <v>20</v>
      </c>
      <c r="G8290" s="4" t="b">
        <f t="shared" si="2"/>
        <v>1</v>
      </c>
      <c r="H8290" s="1" t="str">
        <f t="shared" si="3"/>
        <v>Currently Unavailable</v>
      </c>
      <c r="I8290" s="1" t="str">
        <f t="shared" si="4"/>
        <v>No Badges</v>
      </c>
      <c r="J8290" s="3">
        <f t="shared" si="5"/>
        <v>0</v>
      </c>
    </row>
    <row r="8291">
      <c r="A8291" s="1" t="s">
        <v>6329</v>
      </c>
      <c r="B8291" s="3" t="str">
        <f t="shared" si="1"/>
        <v>Unavailable</v>
      </c>
      <c r="C8291" s="5">
        <v>1417.0</v>
      </c>
      <c r="D8291" s="3">
        <f>IFERROR(__xludf.DUMMYFUNCTION("IFERROR(
IF(REGEXMATCH(LOWER(O8291),""k""),
VALUE(REGEXEXTRACT(O8291,""[0-9]+""))*1000,
VALUE(REGEXEXTRACT(O8291,""[0-9]+""))
),
0
)"),0.0)</f>
        <v>0</v>
      </c>
      <c r="E8291" s="1" t="s">
        <v>11</v>
      </c>
      <c r="F8291" s="1" t="s">
        <v>20</v>
      </c>
      <c r="G8291" s="4" t="b">
        <f t="shared" si="2"/>
        <v>1</v>
      </c>
      <c r="H8291" s="1" t="str">
        <f t="shared" si="3"/>
        <v>Currently Unavailable</v>
      </c>
      <c r="I8291" s="1" t="str">
        <f t="shared" si="4"/>
        <v>No Badges</v>
      </c>
      <c r="J8291" s="3">
        <f t="shared" si="5"/>
        <v>0</v>
      </c>
    </row>
    <row r="8292">
      <c r="A8292" s="1" t="s">
        <v>6330</v>
      </c>
      <c r="B8292" s="3" t="str">
        <f t="shared" si="1"/>
        <v>Unavailable</v>
      </c>
      <c r="C8292" s="5">
        <v>2071.0</v>
      </c>
      <c r="D8292" s="3">
        <f>IFERROR(__xludf.DUMMYFUNCTION("IFERROR(
IF(REGEXMATCH(LOWER(O8292),""k""),
VALUE(REGEXEXTRACT(O8292,""[0-9]+""))*1000,
VALUE(REGEXEXTRACT(O8292,""[0-9]+""))
),
0
)"),0.0)</f>
        <v>0</v>
      </c>
      <c r="E8292" s="1" t="s">
        <v>11</v>
      </c>
      <c r="F8292" s="1" t="s">
        <v>20</v>
      </c>
      <c r="G8292" s="4" t="b">
        <f t="shared" si="2"/>
        <v>1</v>
      </c>
      <c r="H8292" s="1" t="str">
        <f t="shared" si="3"/>
        <v>Currently Unavailable</v>
      </c>
      <c r="I8292" s="1" t="str">
        <f t="shared" si="4"/>
        <v>No Badges</v>
      </c>
      <c r="J8292" s="3">
        <f t="shared" si="5"/>
        <v>0</v>
      </c>
    </row>
    <row r="8293">
      <c r="A8293" s="1" t="s">
        <v>6331</v>
      </c>
      <c r="B8293" s="3" t="str">
        <f t="shared" si="1"/>
        <v>Unavailable</v>
      </c>
      <c r="C8293" s="3">
        <v>18.0</v>
      </c>
      <c r="D8293" s="3">
        <f>IFERROR(__xludf.DUMMYFUNCTION("IFERROR(
IF(REGEXMATCH(LOWER(O8293),""k""),
VALUE(REGEXEXTRACT(O8293,""[0-9]+""))*1000,
VALUE(REGEXEXTRACT(O8293,""[0-9]+""))
),
0
)"),0.0)</f>
        <v>0</v>
      </c>
      <c r="E8293" s="1" t="s">
        <v>11</v>
      </c>
      <c r="F8293" s="1" t="s">
        <v>20</v>
      </c>
      <c r="G8293" s="4" t="b">
        <f t="shared" si="2"/>
        <v>1</v>
      </c>
      <c r="H8293" s="1" t="str">
        <f t="shared" si="3"/>
        <v>Currently Unavailable</v>
      </c>
      <c r="I8293" s="1" t="str">
        <f t="shared" si="4"/>
        <v>No Badges</v>
      </c>
      <c r="J8293" s="3">
        <f t="shared" si="5"/>
        <v>0</v>
      </c>
    </row>
    <row r="8294">
      <c r="A8294" s="1" t="s">
        <v>6332</v>
      </c>
      <c r="B8294" s="3" t="str">
        <f t="shared" si="1"/>
        <v>Unavailable</v>
      </c>
      <c r="C8294" s="3">
        <v>177.0</v>
      </c>
      <c r="D8294" s="3">
        <f>IFERROR(__xludf.DUMMYFUNCTION("IFERROR(
IF(REGEXMATCH(LOWER(O8294),""k""),
VALUE(REGEXEXTRACT(O8294,""[0-9]+""))*1000,
VALUE(REGEXEXTRACT(O8294,""[0-9]+""))
),
0
)"),0.0)</f>
        <v>0</v>
      </c>
      <c r="E8294" s="1" t="s">
        <v>11</v>
      </c>
      <c r="F8294" s="1" t="s">
        <v>20</v>
      </c>
      <c r="G8294" s="4" t="b">
        <f t="shared" si="2"/>
        <v>1</v>
      </c>
      <c r="H8294" s="1" t="str">
        <f t="shared" si="3"/>
        <v>Currently Unavailable</v>
      </c>
      <c r="I8294" s="1" t="str">
        <f t="shared" si="4"/>
        <v>No Badges</v>
      </c>
      <c r="J8294" s="3">
        <f t="shared" si="5"/>
        <v>0</v>
      </c>
    </row>
    <row r="8295">
      <c r="A8295" s="1" t="s">
        <v>6333</v>
      </c>
      <c r="B8295" s="3" t="str">
        <f t="shared" si="1"/>
        <v>Unavailable</v>
      </c>
      <c r="C8295" s="5">
        <v>1090.0</v>
      </c>
      <c r="D8295" s="3">
        <f>IFERROR(__xludf.DUMMYFUNCTION("IFERROR(
IF(REGEXMATCH(LOWER(O8295),""k""),
VALUE(REGEXEXTRACT(O8295,""[0-9]+""))*1000,
VALUE(REGEXEXTRACT(O8295,""[0-9]+""))
),
0
)"),0.0)</f>
        <v>0</v>
      </c>
      <c r="E8295" s="1" t="s">
        <v>11</v>
      </c>
      <c r="F8295" s="1" t="s">
        <v>20</v>
      </c>
      <c r="G8295" s="4" t="b">
        <f t="shared" si="2"/>
        <v>1</v>
      </c>
      <c r="H8295" s="1" t="str">
        <f t="shared" si="3"/>
        <v>Currently Unavailable</v>
      </c>
      <c r="I8295" s="1" t="str">
        <f t="shared" si="4"/>
        <v>No Badges</v>
      </c>
      <c r="J8295" s="3">
        <f t="shared" si="5"/>
        <v>0</v>
      </c>
    </row>
    <row r="8296">
      <c r="A8296" s="1" t="s">
        <v>6334</v>
      </c>
      <c r="B8296" s="3" t="str">
        <f t="shared" si="1"/>
        <v>Unavailable</v>
      </c>
      <c r="C8296" s="5">
        <v>1211.0</v>
      </c>
      <c r="D8296" s="3">
        <f>IFERROR(__xludf.DUMMYFUNCTION("IFERROR(
IF(REGEXMATCH(LOWER(O8296),""k""),
VALUE(REGEXEXTRACT(O8296,""[0-9]+""))*1000,
VALUE(REGEXEXTRACT(O8296,""[0-9]+""))
),
0
)"),0.0)</f>
        <v>0</v>
      </c>
      <c r="E8296" s="1" t="s">
        <v>11</v>
      </c>
      <c r="F8296" s="1" t="s">
        <v>20</v>
      </c>
      <c r="G8296" s="4" t="b">
        <f t="shared" si="2"/>
        <v>1</v>
      </c>
      <c r="H8296" s="1" t="str">
        <f t="shared" si="3"/>
        <v>Currently Unavailable</v>
      </c>
      <c r="I8296" s="1" t="str">
        <f t="shared" si="4"/>
        <v>No Badges</v>
      </c>
      <c r="J8296" s="3">
        <f t="shared" si="5"/>
        <v>0</v>
      </c>
    </row>
    <row r="8297">
      <c r="A8297" s="1" t="s">
        <v>6335</v>
      </c>
      <c r="B8297" s="3" t="str">
        <f t="shared" si="1"/>
        <v>Unavailable</v>
      </c>
      <c r="C8297" s="3">
        <v>225.0</v>
      </c>
      <c r="D8297" s="3">
        <f>IFERROR(__xludf.DUMMYFUNCTION("IFERROR(
IF(REGEXMATCH(LOWER(O8297),""k""),
VALUE(REGEXEXTRACT(O8297,""[0-9]+""))*1000,
VALUE(REGEXEXTRACT(O8297,""[0-9]+""))
),
0
)"),0.0)</f>
        <v>0</v>
      </c>
      <c r="E8297" s="1" t="s">
        <v>11</v>
      </c>
      <c r="F8297" s="1" t="s">
        <v>20</v>
      </c>
      <c r="G8297" s="4" t="b">
        <f t="shared" si="2"/>
        <v>1</v>
      </c>
      <c r="H8297" s="1" t="str">
        <f t="shared" si="3"/>
        <v>Currently Unavailable</v>
      </c>
      <c r="I8297" s="1" t="str">
        <f t="shared" si="4"/>
        <v>No Badges</v>
      </c>
      <c r="J8297" s="3">
        <f t="shared" si="5"/>
        <v>0</v>
      </c>
    </row>
    <row r="8298">
      <c r="A8298" s="1" t="s">
        <v>6336</v>
      </c>
      <c r="B8298" s="3" t="str">
        <f t="shared" si="1"/>
        <v>Unavailable</v>
      </c>
      <c r="C8298" s="5">
        <v>6006.0</v>
      </c>
      <c r="D8298" s="3">
        <f>IFERROR(__xludf.DUMMYFUNCTION("IFERROR(
IF(REGEXMATCH(LOWER(O8298),""k""),
VALUE(REGEXEXTRACT(O8298,""[0-9]+""))*1000,
VALUE(REGEXEXTRACT(O8298,""[0-9]+""))
),
0
)"),0.0)</f>
        <v>0</v>
      </c>
      <c r="E8298" s="1" t="s">
        <v>11</v>
      </c>
      <c r="F8298" s="1" t="s">
        <v>20</v>
      </c>
      <c r="G8298" s="4" t="b">
        <f t="shared" si="2"/>
        <v>1</v>
      </c>
      <c r="H8298" s="1" t="str">
        <f t="shared" si="3"/>
        <v>Currently Unavailable</v>
      </c>
      <c r="I8298" s="1" t="str">
        <f t="shared" si="4"/>
        <v>No Badges</v>
      </c>
      <c r="J8298" s="3">
        <f t="shared" si="5"/>
        <v>0</v>
      </c>
    </row>
    <row r="8299">
      <c r="A8299" s="1" t="s">
        <v>6337</v>
      </c>
      <c r="B8299" s="3" t="str">
        <f t="shared" si="1"/>
        <v>Unavailable</v>
      </c>
      <c r="C8299" s="3">
        <v>25.0</v>
      </c>
      <c r="D8299" s="3">
        <f>IFERROR(__xludf.DUMMYFUNCTION("IFERROR(
IF(REGEXMATCH(LOWER(O8299),""k""),
VALUE(REGEXEXTRACT(O8299,""[0-9]+""))*1000,
VALUE(REGEXEXTRACT(O8299,""[0-9]+""))
),
0
)"),0.0)</f>
        <v>0</v>
      </c>
      <c r="E8299" s="1" t="s">
        <v>11</v>
      </c>
      <c r="F8299" s="1" t="s">
        <v>20</v>
      </c>
      <c r="G8299" s="4" t="b">
        <f t="shared" si="2"/>
        <v>1</v>
      </c>
      <c r="H8299" s="1" t="str">
        <f t="shared" si="3"/>
        <v>Currently Unavailable</v>
      </c>
      <c r="I8299" s="1" t="str">
        <f t="shared" si="4"/>
        <v>No Badges</v>
      </c>
      <c r="J8299" s="3">
        <f t="shared" si="5"/>
        <v>0</v>
      </c>
    </row>
    <row r="8300">
      <c r="A8300" s="1" t="s">
        <v>6338</v>
      </c>
      <c r="B8300" s="3" t="str">
        <f t="shared" si="1"/>
        <v>Unavailable</v>
      </c>
      <c r="C8300" s="3">
        <v>277.0</v>
      </c>
      <c r="D8300" s="3">
        <f>IFERROR(__xludf.DUMMYFUNCTION("IFERROR(
IF(REGEXMATCH(LOWER(O8300),""k""),
VALUE(REGEXEXTRACT(O8300,""[0-9]+""))*1000,
VALUE(REGEXEXTRACT(O8300,""[0-9]+""))
),
0
)"),0.0)</f>
        <v>0</v>
      </c>
      <c r="E8300" s="1" t="s">
        <v>11</v>
      </c>
      <c r="F8300" s="1" t="s">
        <v>20</v>
      </c>
      <c r="G8300" s="4" t="b">
        <f t="shared" si="2"/>
        <v>1</v>
      </c>
      <c r="H8300" s="1" t="str">
        <f t="shared" si="3"/>
        <v>Currently Unavailable</v>
      </c>
      <c r="I8300" s="1" t="str">
        <f t="shared" si="4"/>
        <v>No Badges</v>
      </c>
      <c r="J8300" s="3">
        <f t="shared" si="5"/>
        <v>0</v>
      </c>
    </row>
    <row r="8301">
      <c r="A8301" s="1" t="s">
        <v>6339</v>
      </c>
      <c r="B8301" s="3" t="str">
        <f t="shared" si="1"/>
        <v>Unavailable</v>
      </c>
      <c r="C8301" s="5">
        <v>2669.0</v>
      </c>
      <c r="D8301" s="3">
        <f>IFERROR(__xludf.DUMMYFUNCTION("IFERROR(
IF(REGEXMATCH(LOWER(O8301),""k""),
VALUE(REGEXEXTRACT(O8301,""[0-9]+""))*1000,
VALUE(REGEXEXTRACT(O8301,""[0-9]+""))
),
0
)"),0.0)</f>
        <v>0</v>
      </c>
      <c r="E8301" s="1" t="s">
        <v>11</v>
      </c>
      <c r="F8301" s="1" t="s">
        <v>20</v>
      </c>
      <c r="G8301" s="4" t="b">
        <f t="shared" si="2"/>
        <v>1</v>
      </c>
      <c r="H8301" s="1" t="str">
        <f t="shared" si="3"/>
        <v>Currently Unavailable</v>
      </c>
      <c r="I8301" s="1" t="str">
        <f t="shared" si="4"/>
        <v>No Badges</v>
      </c>
      <c r="J8301" s="3">
        <f t="shared" si="5"/>
        <v>0</v>
      </c>
    </row>
    <row r="8302">
      <c r="A8302" s="1" t="s">
        <v>6340</v>
      </c>
      <c r="B8302" s="3" t="str">
        <f t="shared" si="1"/>
        <v>Unavailable</v>
      </c>
      <c r="C8302" s="3">
        <v>201.0</v>
      </c>
      <c r="D8302" s="3">
        <f>IFERROR(__xludf.DUMMYFUNCTION("IFERROR(
IF(REGEXMATCH(LOWER(O8302),""k""),
VALUE(REGEXEXTRACT(O8302,""[0-9]+""))*1000,
VALUE(REGEXEXTRACT(O8302,""[0-9]+""))
),
0
)"),0.0)</f>
        <v>0</v>
      </c>
      <c r="E8302" s="1" t="s">
        <v>11</v>
      </c>
      <c r="F8302" s="1" t="s">
        <v>20</v>
      </c>
      <c r="G8302" s="4" t="b">
        <f t="shared" si="2"/>
        <v>1</v>
      </c>
      <c r="H8302" s="1" t="str">
        <f t="shared" si="3"/>
        <v>Currently Unavailable</v>
      </c>
      <c r="I8302" s="1" t="str">
        <f t="shared" si="4"/>
        <v>No Badges</v>
      </c>
      <c r="J8302" s="3">
        <f t="shared" si="5"/>
        <v>0</v>
      </c>
    </row>
    <row r="8303">
      <c r="A8303" s="1" t="s">
        <v>6341</v>
      </c>
      <c r="B8303" s="3" t="str">
        <f t="shared" si="1"/>
        <v>Unavailable</v>
      </c>
      <c r="C8303" s="3">
        <v>118.0</v>
      </c>
      <c r="D8303" s="3">
        <f>IFERROR(__xludf.DUMMYFUNCTION("IFERROR(
IF(REGEXMATCH(LOWER(O8303),""k""),
VALUE(REGEXEXTRACT(O8303,""[0-9]+""))*1000,
VALUE(REGEXEXTRACT(O8303,""[0-9]+""))
),
0
)"),0.0)</f>
        <v>0</v>
      </c>
      <c r="E8303" s="1" t="s">
        <v>11</v>
      </c>
      <c r="F8303" s="1" t="s">
        <v>20</v>
      </c>
      <c r="G8303" s="4" t="b">
        <f t="shared" si="2"/>
        <v>1</v>
      </c>
      <c r="H8303" s="1" t="str">
        <f t="shared" si="3"/>
        <v>Currently Unavailable</v>
      </c>
      <c r="I8303" s="1" t="str">
        <f t="shared" si="4"/>
        <v>No Badges</v>
      </c>
      <c r="J8303" s="3">
        <f t="shared" si="5"/>
        <v>0</v>
      </c>
    </row>
    <row r="8304">
      <c r="A8304" s="1" t="s">
        <v>6342</v>
      </c>
      <c r="B8304" s="3" t="str">
        <f t="shared" si="1"/>
        <v>Unavailable</v>
      </c>
      <c r="C8304" s="5">
        <v>10355.0</v>
      </c>
      <c r="D8304" s="3">
        <f>IFERROR(__xludf.DUMMYFUNCTION("IFERROR(
IF(REGEXMATCH(LOWER(O8304),""k""),
VALUE(REGEXEXTRACT(O8304,""[0-9]+""))*1000,
VALUE(REGEXEXTRACT(O8304,""[0-9]+""))
),
0
)"),0.0)</f>
        <v>0</v>
      </c>
      <c r="E8304" s="1" t="s">
        <v>11</v>
      </c>
      <c r="F8304" s="1" t="s">
        <v>20</v>
      </c>
      <c r="G8304" s="4" t="b">
        <f t="shared" si="2"/>
        <v>1</v>
      </c>
      <c r="H8304" s="1" t="str">
        <f t="shared" si="3"/>
        <v>Currently Unavailable</v>
      </c>
      <c r="I8304" s="1" t="str">
        <f t="shared" si="4"/>
        <v>No Badges</v>
      </c>
      <c r="J8304" s="3">
        <f t="shared" si="5"/>
        <v>0</v>
      </c>
    </row>
    <row r="8305">
      <c r="A8305" s="1" t="s">
        <v>69</v>
      </c>
      <c r="B8305" s="3" t="str">
        <f t="shared" si="1"/>
        <v>Unavailable</v>
      </c>
      <c r="C8305" s="3">
        <v>45.0</v>
      </c>
      <c r="D8305" s="3">
        <f>IFERROR(__xludf.DUMMYFUNCTION("IFERROR(
IF(REGEXMATCH(LOWER(O8305),""k""),
VALUE(REGEXEXTRACT(O8305,""[0-9]+""))*1000,
VALUE(REGEXEXTRACT(O8305,""[0-9]+""))
),
0
)"),0.0)</f>
        <v>0</v>
      </c>
      <c r="E8305" s="1" t="s">
        <v>11</v>
      </c>
      <c r="F8305" s="1" t="s">
        <v>12</v>
      </c>
      <c r="G8305" s="4" t="b">
        <f t="shared" si="2"/>
        <v>1</v>
      </c>
      <c r="H8305" s="1" t="str">
        <f t="shared" si="3"/>
        <v>Currently Unavailable</v>
      </c>
      <c r="I8305" s="1" t="str">
        <f t="shared" si="4"/>
        <v>No Badges</v>
      </c>
      <c r="J8305" s="3">
        <f t="shared" si="5"/>
        <v>0</v>
      </c>
    </row>
    <row r="8306">
      <c r="A8306" s="1" t="s">
        <v>5817</v>
      </c>
      <c r="B8306" s="3" t="str">
        <f t="shared" si="1"/>
        <v>Unavailable</v>
      </c>
      <c r="C8306" s="5">
        <v>7235.0</v>
      </c>
      <c r="D8306" s="3">
        <f>IFERROR(__xludf.DUMMYFUNCTION("IFERROR(
IF(REGEXMATCH(LOWER(O8306),""k""),
VALUE(REGEXEXTRACT(O8306,""[0-9]+""))*1000,
VALUE(REGEXEXTRACT(O8306,""[0-9]+""))
),
0
)"),0.0)</f>
        <v>0</v>
      </c>
      <c r="E8306" s="1" t="s">
        <v>11</v>
      </c>
      <c r="F8306" s="1" t="s">
        <v>12</v>
      </c>
      <c r="G8306" s="4" t="b">
        <f t="shared" si="2"/>
        <v>1</v>
      </c>
      <c r="H8306" s="1" t="str">
        <f t="shared" si="3"/>
        <v>Currently Unavailable</v>
      </c>
      <c r="I8306" s="1" t="str">
        <f t="shared" si="4"/>
        <v>No Badges</v>
      </c>
      <c r="J8306" s="3">
        <f t="shared" si="5"/>
        <v>0</v>
      </c>
    </row>
    <row r="8307">
      <c r="A8307" s="1" t="s">
        <v>6343</v>
      </c>
      <c r="B8307" s="3" t="str">
        <f t="shared" si="1"/>
        <v>Unavailable</v>
      </c>
      <c r="C8307" s="5">
        <v>9165.0</v>
      </c>
      <c r="D8307" s="3">
        <f>IFERROR(__xludf.DUMMYFUNCTION("IFERROR(
IF(REGEXMATCH(LOWER(O8307),""k""),
VALUE(REGEXEXTRACT(O8307,""[0-9]+""))*1000,
VALUE(REGEXEXTRACT(O8307,""[0-9]+""))
),
0
)"),0.0)</f>
        <v>0</v>
      </c>
      <c r="E8307" s="1" t="s">
        <v>11</v>
      </c>
      <c r="F8307" s="1" t="s">
        <v>20</v>
      </c>
      <c r="G8307" s="4" t="b">
        <f t="shared" si="2"/>
        <v>1</v>
      </c>
      <c r="H8307" s="1" t="str">
        <f t="shared" si="3"/>
        <v>Currently Unavailable</v>
      </c>
      <c r="I8307" s="1" t="str">
        <f t="shared" si="4"/>
        <v>No Badges</v>
      </c>
      <c r="J8307" s="3">
        <f t="shared" si="5"/>
        <v>0</v>
      </c>
    </row>
    <row r="8308">
      <c r="A8308" s="1" t="s">
        <v>6344</v>
      </c>
      <c r="B8308" s="3" t="str">
        <f t="shared" si="1"/>
        <v>Unavailable</v>
      </c>
      <c r="C8308" s="5">
        <v>140716.0</v>
      </c>
      <c r="D8308" s="3">
        <f>IFERROR(__xludf.DUMMYFUNCTION("IFERROR(
IF(REGEXMATCH(LOWER(O8308),""k""),
VALUE(REGEXEXTRACT(O8308,""[0-9]+""))*1000,
VALUE(REGEXEXTRACT(O8308,""[0-9]+""))
),
0
)"),0.0)</f>
        <v>0</v>
      </c>
      <c r="E8308" s="1" t="s">
        <v>11</v>
      </c>
      <c r="F8308" s="1" t="s">
        <v>20</v>
      </c>
      <c r="G8308" s="4" t="b">
        <f t="shared" si="2"/>
        <v>1</v>
      </c>
      <c r="H8308" s="1" t="str">
        <f t="shared" si="3"/>
        <v>Currently Unavailable</v>
      </c>
      <c r="I8308" s="1" t="str">
        <f t="shared" si="4"/>
        <v>No Badges</v>
      </c>
      <c r="J8308" s="3">
        <f t="shared" si="5"/>
        <v>0</v>
      </c>
    </row>
    <row r="8309">
      <c r="A8309" s="1" t="s">
        <v>6345</v>
      </c>
      <c r="B8309" s="3" t="str">
        <f t="shared" si="1"/>
        <v>Unavailable</v>
      </c>
      <c r="C8309" s="3">
        <v>534.0</v>
      </c>
      <c r="D8309" s="3">
        <f>IFERROR(__xludf.DUMMYFUNCTION("IFERROR(
IF(REGEXMATCH(LOWER(O8309),""k""),
VALUE(REGEXEXTRACT(O8309,""[0-9]+""))*1000,
VALUE(REGEXEXTRACT(O8309,""[0-9]+""))
),
0
)"),0.0)</f>
        <v>0</v>
      </c>
      <c r="E8309" s="1" t="s">
        <v>11</v>
      </c>
      <c r="F8309" s="1" t="s">
        <v>20</v>
      </c>
      <c r="G8309" s="4" t="b">
        <f t="shared" si="2"/>
        <v>1</v>
      </c>
      <c r="H8309" s="1" t="str">
        <f t="shared" si="3"/>
        <v>Currently Unavailable</v>
      </c>
      <c r="I8309" s="1" t="str">
        <f t="shared" si="4"/>
        <v>No Badges</v>
      </c>
      <c r="J8309" s="3">
        <f t="shared" si="5"/>
        <v>0</v>
      </c>
    </row>
    <row r="8310">
      <c r="A8310" s="1" t="s">
        <v>6346</v>
      </c>
      <c r="B8310" s="3" t="str">
        <f t="shared" si="1"/>
        <v>Unavailable</v>
      </c>
      <c r="C8310" s="5">
        <v>15910.0</v>
      </c>
      <c r="D8310" s="3">
        <f>IFERROR(__xludf.DUMMYFUNCTION("IFERROR(
IF(REGEXMATCH(LOWER(O8310),""k""),
VALUE(REGEXEXTRACT(O8310,""[0-9]+""))*1000,
VALUE(REGEXEXTRACT(O8310,""[0-9]+""))
),
0
)"),0.0)</f>
        <v>0</v>
      </c>
      <c r="E8310" s="1" t="s">
        <v>11</v>
      </c>
      <c r="F8310" s="1" t="s">
        <v>20</v>
      </c>
      <c r="G8310" s="4" t="b">
        <f t="shared" si="2"/>
        <v>1</v>
      </c>
      <c r="H8310" s="1" t="str">
        <f t="shared" si="3"/>
        <v>Currently Unavailable</v>
      </c>
      <c r="I8310" s="1" t="str">
        <f t="shared" si="4"/>
        <v>No Badges</v>
      </c>
      <c r="J8310" s="3">
        <f t="shared" si="5"/>
        <v>0</v>
      </c>
    </row>
    <row r="8311">
      <c r="A8311" s="1" t="s">
        <v>6347</v>
      </c>
      <c r="B8311" s="3" t="str">
        <f t="shared" si="1"/>
        <v>Unavailable</v>
      </c>
      <c r="C8311" s="5">
        <v>2946.0</v>
      </c>
      <c r="D8311" s="3">
        <f>IFERROR(__xludf.DUMMYFUNCTION("IFERROR(
IF(REGEXMATCH(LOWER(O8311),""k""),
VALUE(REGEXEXTRACT(O8311,""[0-9]+""))*1000,
VALUE(REGEXEXTRACT(O8311,""[0-9]+""))
),
0
)"),0.0)</f>
        <v>0</v>
      </c>
      <c r="E8311" s="1" t="s">
        <v>158</v>
      </c>
      <c r="F8311" s="1" t="s">
        <v>20</v>
      </c>
      <c r="G8311" s="4" t="b">
        <f t="shared" si="2"/>
        <v>1</v>
      </c>
      <c r="H8311" s="1" t="str">
        <f t="shared" si="3"/>
        <v>Currently Unavailable</v>
      </c>
      <c r="I8311" s="1" t="str">
        <f t="shared" si="4"/>
        <v>No Badges</v>
      </c>
      <c r="J8311" s="3">
        <f t="shared" si="5"/>
        <v>0</v>
      </c>
    </row>
    <row r="8312">
      <c r="A8312" s="1" t="s">
        <v>6348</v>
      </c>
      <c r="B8312" s="3" t="str">
        <f t="shared" si="1"/>
        <v>Unavailable</v>
      </c>
      <c r="C8312" s="5">
        <v>8650.0</v>
      </c>
      <c r="D8312" s="3">
        <f>IFERROR(__xludf.DUMMYFUNCTION("IFERROR(
IF(REGEXMATCH(LOWER(O8312),""k""),
VALUE(REGEXEXTRACT(O8312,""[0-9]+""))*1000,
VALUE(REGEXEXTRACT(O8312,""[0-9]+""))
),
0
)"),0.0)</f>
        <v>0</v>
      </c>
      <c r="E8312" s="1" t="s">
        <v>11</v>
      </c>
      <c r="F8312" s="1" t="s">
        <v>20</v>
      </c>
      <c r="G8312" s="4" t="b">
        <f t="shared" si="2"/>
        <v>1</v>
      </c>
      <c r="H8312" s="1" t="str">
        <f t="shared" si="3"/>
        <v>Currently Unavailable</v>
      </c>
      <c r="I8312" s="1" t="str">
        <f t="shared" si="4"/>
        <v>No Badges</v>
      </c>
      <c r="J8312" s="3">
        <f t="shared" si="5"/>
        <v>0</v>
      </c>
    </row>
    <row r="8313">
      <c r="A8313" s="1" t="s">
        <v>5817</v>
      </c>
      <c r="B8313" s="3" t="str">
        <f t="shared" si="1"/>
        <v>Unavailable</v>
      </c>
      <c r="C8313" s="5">
        <v>7235.0</v>
      </c>
      <c r="D8313" s="3">
        <f>IFERROR(__xludf.DUMMYFUNCTION("IFERROR(
IF(REGEXMATCH(LOWER(O8313),""k""),
VALUE(REGEXEXTRACT(O8313,""[0-9]+""))*1000,
VALUE(REGEXEXTRACT(O8313,""[0-9]+""))
),
0
)"),0.0)</f>
        <v>0</v>
      </c>
      <c r="E8313" s="1" t="s">
        <v>11</v>
      </c>
      <c r="F8313" s="1" t="s">
        <v>12</v>
      </c>
      <c r="G8313" s="4" t="b">
        <f t="shared" si="2"/>
        <v>1</v>
      </c>
      <c r="H8313" s="1" t="str">
        <f t="shared" si="3"/>
        <v>Currently Unavailable</v>
      </c>
      <c r="I8313" s="1" t="str">
        <f t="shared" si="4"/>
        <v>No Badges</v>
      </c>
      <c r="J8313" s="3">
        <f t="shared" si="5"/>
        <v>0</v>
      </c>
    </row>
    <row r="8314">
      <c r="A8314" s="1" t="s">
        <v>6349</v>
      </c>
      <c r="B8314" s="3" t="str">
        <f t="shared" si="1"/>
        <v>Unavailable</v>
      </c>
      <c r="C8314" s="5">
        <v>2438.0</v>
      </c>
      <c r="D8314" s="3">
        <f>IFERROR(__xludf.DUMMYFUNCTION("IFERROR(
IF(REGEXMATCH(LOWER(O8314),""k""),
VALUE(REGEXEXTRACT(O8314,""[0-9]+""))*1000,
VALUE(REGEXEXTRACT(O8314,""[0-9]+""))
),
0
)"),0.0)</f>
        <v>0</v>
      </c>
      <c r="E8314" s="1" t="s">
        <v>11</v>
      </c>
      <c r="F8314" s="1" t="s">
        <v>20</v>
      </c>
      <c r="G8314" s="4" t="b">
        <f t="shared" si="2"/>
        <v>1</v>
      </c>
      <c r="H8314" s="1" t="str">
        <f t="shared" si="3"/>
        <v>Currently Unavailable</v>
      </c>
      <c r="I8314" s="1" t="str">
        <f t="shared" si="4"/>
        <v>No Badges</v>
      </c>
      <c r="J8314" s="3">
        <f t="shared" si="5"/>
        <v>0</v>
      </c>
    </row>
    <row r="8315">
      <c r="A8315" s="1" t="s">
        <v>6350</v>
      </c>
      <c r="B8315" s="3" t="str">
        <f t="shared" si="1"/>
        <v>Unavailable</v>
      </c>
      <c r="C8315" s="3">
        <v>332.0</v>
      </c>
      <c r="D8315" s="3">
        <f>IFERROR(__xludf.DUMMYFUNCTION("IFERROR(
IF(REGEXMATCH(LOWER(O8315),""k""),
VALUE(REGEXEXTRACT(O8315,""[0-9]+""))*1000,
VALUE(REGEXEXTRACT(O8315,""[0-9]+""))
),
0
)"),0.0)</f>
        <v>0</v>
      </c>
      <c r="E8315" s="1" t="s">
        <v>11</v>
      </c>
      <c r="F8315" s="1" t="s">
        <v>20</v>
      </c>
      <c r="G8315" s="4" t="b">
        <f t="shared" si="2"/>
        <v>1</v>
      </c>
      <c r="H8315" s="1" t="str">
        <f t="shared" si="3"/>
        <v>Currently Unavailable</v>
      </c>
      <c r="I8315" s="1" t="str">
        <f t="shared" si="4"/>
        <v>No Badges</v>
      </c>
      <c r="J8315" s="3">
        <f t="shared" si="5"/>
        <v>0</v>
      </c>
    </row>
    <row r="8316">
      <c r="A8316" s="1" t="s">
        <v>6351</v>
      </c>
      <c r="B8316" s="3" t="str">
        <f t="shared" si="1"/>
        <v>Unavailable</v>
      </c>
      <c r="C8316" s="3">
        <v>570.0</v>
      </c>
      <c r="D8316" s="3">
        <f>IFERROR(__xludf.DUMMYFUNCTION("IFERROR(
IF(REGEXMATCH(LOWER(O8316),""k""),
VALUE(REGEXEXTRACT(O8316,""[0-9]+""))*1000,
VALUE(REGEXEXTRACT(O8316,""[0-9]+""))
),
0
)"),0.0)</f>
        <v>0</v>
      </c>
      <c r="E8316" s="1" t="s">
        <v>11</v>
      </c>
      <c r="F8316" s="1" t="s">
        <v>20</v>
      </c>
      <c r="G8316" s="4" t="b">
        <f t="shared" si="2"/>
        <v>1</v>
      </c>
      <c r="H8316" s="1" t="str">
        <f t="shared" si="3"/>
        <v>Currently Unavailable</v>
      </c>
      <c r="I8316" s="1" t="str">
        <f t="shared" si="4"/>
        <v>No Badges</v>
      </c>
      <c r="J8316" s="3">
        <f t="shared" si="5"/>
        <v>0</v>
      </c>
    </row>
    <row r="8317">
      <c r="A8317" s="1" t="s">
        <v>6352</v>
      </c>
      <c r="B8317" s="3" t="str">
        <f t="shared" si="1"/>
        <v>Unavailable</v>
      </c>
      <c r="C8317" s="5">
        <v>1850.0</v>
      </c>
      <c r="D8317" s="3">
        <f>IFERROR(__xludf.DUMMYFUNCTION("IFERROR(
IF(REGEXMATCH(LOWER(O8317),""k""),
VALUE(REGEXEXTRACT(O8317,""[0-9]+""))*1000,
VALUE(REGEXEXTRACT(O8317,""[0-9]+""))
),
0
)"),0.0)</f>
        <v>0</v>
      </c>
      <c r="E8317" s="1" t="s">
        <v>11</v>
      </c>
      <c r="F8317" s="1" t="s">
        <v>20</v>
      </c>
      <c r="G8317" s="4" t="b">
        <f t="shared" si="2"/>
        <v>1</v>
      </c>
      <c r="H8317" s="1" t="str">
        <f t="shared" si="3"/>
        <v>Currently Unavailable</v>
      </c>
      <c r="I8317" s="1" t="str">
        <f t="shared" si="4"/>
        <v>No Badges</v>
      </c>
      <c r="J8317" s="3">
        <f t="shared" si="5"/>
        <v>0</v>
      </c>
    </row>
    <row r="8318">
      <c r="A8318" s="1" t="s">
        <v>67</v>
      </c>
      <c r="B8318" s="3" t="str">
        <f t="shared" si="1"/>
        <v>Unavailable</v>
      </c>
      <c r="C8318" s="3">
        <v>264.0</v>
      </c>
      <c r="D8318" s="3">
        <f>IFERROR(__xludf.DUMMYFUNCTION("IFERROR(
IF(REGEXMATCH(LOWER(O8318),""k""),
VALUE(REGEXEXTRACT(O8318,""[0-9]+""))*1000,
VALUE(REGEXEXTRACT(O8318,""[0-9]+""))
),
0
)"),0.0)</f>
        <v>0</v>
      </c>
      <c r="E8318" s="1" t="s">
        <v>11</v>
      </c>
      <c r="F8318" s="1" t="s">
        <v>12</v>
      </c>
      <c r="G8318" s="4" t="b">
        <f t="shared" si="2"/>
        <v>1</v>
      </c>
      <c r="H8318" s="1" t="str">
        <f t="shared" si="3"/>
        <v>Currently Unavailable</v>
      </c>
      <c r="I8318" s="1" t="str">
        <f t="shared" si="4"/>
        <v>No Badges</v>
      </c>
      <c r="J8318" s="3">
        <f t="shared" si="5"/>
        <v>0</v>
      </c>
    </row>
    <row r="8319">
      <c r="A8319" s="1" t="s">
        <v>6353</v>
      </c>
      <c r="B8319" s="3" t="str">
        <f t="shared" si="1"/>
        <v>Unavailable</v>
      </c>
      <c r="C8319" s="5">
        <v>7326.0</v>
      </c>
      <c r="D8319" s="3">
        <f>IFERROR(__xludf.DUMMYFUNCTION("IFERROR(
IF(REGEXMATCH(LOWER(O8319),""k""),
VALUE(REGEXEXTRACT(O8319,""[0-9]+""))*1000,
VALUE(REGEXEXTRACT(O8319,""[0-9]+""))
),
0
)"),0.0)</f>
        <v>0</v>
      </c>
      <c r="E8319" s="1" t="s">
        <v>11</v>
      </c>
      <c r="F8319" s="1" t="s">
        <v>20</v>
      </c>
      <c r="G8319" s="4" t="b">
        <f t="shared" si="2"/>
        <v>1</v>
      </c>
      <c r="H8319" s="1" t="str">
        <f t="shared" si="3"/>
        <v>Currently Unavailable</v>
      </c>
      <c r="I8319" s="1" t="str">
        <f t="shared" si="4"/>
        <v>No Badges</v>
      </c>
      <c r="J8319" s="3">
        <f t="shared" si="5"/>
        <v>0</v>
      </c>
    </row>
    <row r="8320">
      <c r="A8320" s="1" t="s">
        <v>701</v>
      </c>
      <c r="B8320" s="3" t="str">
        <f t="shared" si="1"/>
        <v>Unavailable</v>
      </c>
      <c r="C8320" s="3">
        <v>8.0</v>
      </c>
      <c r="D8320" s="3">
        <f>IFERROR(__xludf.DUMMYFUNCTION("IFERROR(
IF(REGEXMATCH(LOWER(O8320),""k""),
VALUE(REGEXEXTRACT(O8320,""[0-9]+""))*1000,
VALUE(REGEXEXTRACT(O8320,""[0-9]+""))
),
0
)"),0.0)</f>
        <v>0</v>
      </c>
      <c r="E8320" s="1" t="s">
        <v>11</v>
      </c>
      <c r="F8320" s="1" t="s">
        <v>12</v>
      </c>
      <c r="G8320" s="4" t="b">
        <f t="shared" si="2"/>
        <v>1</v>
      </c>
      <c r="H8320" s="1" t="str">
        <f t="shared" si="3"/>
        <v>Currently Unavailable</v>
      </c>
      <c r="I8320" s="1" t="str">
        <f t="shared" si="4"/>
        <v>No Badges</v>
      </c>
      <c r="J8320" s="3">
        <f t="shared" si="5"/>
        <v>0</v>
      </c>
    </row>
    <row r="8321">
      <c r="A8321" s="1" t="s">
        <v>5817</v>
      </c>
      <c r="B8321" s="3" t="str">
        <f t="shared" si="1"/>
        <v>Unavailable</v>
      </c>
      <c r="C8321" s="5">
        <v>7235.0</v>
      </c>
      <c r="D8321" s="3">
        <f>IFERROR(__xludf.DUMMYFUNCTION("IFERROR(
IF(REGEXMATCH(LOWER(O8321),""k""),
VALUE(REGEXEXTRACT(O8321,""[0-9]+""))*1000,
VALUE(REGEXEXTRACT(O8321,""[0-9]+""))
),
0
)"),0.0)</f>
        <v>0</v>
      </c>
      <c r="E8321" s="1" t="s">
        <v>11</v>
      </c>
      <c r="F8321" s="1" t="s">
        <v>12</v>
      </c>
      <c r="G8321" s="4" t="b">
        <f t="shared" si="2"/>
        <v>1</v>
      </c>
      <c r="H8321" s="1" t="str">
        <f t="shared" si="3"/>
        <v>Currently Unavailable</v>
      </c>
      <c r="I8321" s="1" t="str">
        <f t="shared" si="4"/>
        <v>No Badges</v>
      </c>
      <c r="J8321" s="3">
        <f t="shared" si="5"/>
        <v>0</v>
      </c>
    </row>
    <row r="8322">
      <c r="A8322" s="1" t="s">
        <v>6354</v>
      </c>
      <c r="B8322" s="3" t="str">
        <f t="shared" si="1"/>
        <v>Unavailable</v>
      </c>
      <c r="C8322" s="5">
        <v>4304.0</v>
      </c>
      <c r="D8322" s="3">
        <f>IFERROR(__xludf.DUMMYFUNCTION("IFERROR(
IF(REGEXMATCH(LOWER(O8322),""k""),
VALUE(REGEXEXTRACT(O8322,""[0-9]+""))*1000,
VALUE(REGEXEXTRACT(O8322,""[0-9]+""))
),
0
)"),0.0)</f>
        <v>0</v>
      </c>
      <c r="E8322" s="1" t="s">
        <v>11</v>
      </c>
      <c r="F8322" s="1" t="s">
        <v>20</v>
      </c>
      <c r="G8322" s="4" t="b">
        <f t="shared" si="2"/>
        <v>1</v>
      </c>
      <c r="H8322" s="1" t="str">
        <f t="shared" si="3"/>
        <v>Currently Unavailable</v>
      </c>
      <c r="I8322" s="1" t="str">
        <f t="shared" si="4"/>
        <v>No Badges</v>
      </c>
      <c r="J8322" s="3">
        <f t="shared" si="5"/>
        <v>0</v>
      </c>
    </row>
    <row r="8323">
      <c r="A8323" s="1" t="s">
        <v>6355</v>
      </c>
      <c r="B8323" s="3" t="str">
        <f t="shared" si="1"/>
        <v>Unavailable</v>
      </c>
      <c r="C8323" s="5">
        <v>1015.0</v>
      </c>
      <c r="D8323" s="3">
        <f>IFERROR(__xludf.DUMMYFUNCTION("IFERROR(
IF(REGEXMATCH(LOWER(O8323),""k""),
VALUE(REGEXEXTRACT(O8323,""[0-9]+""))*1000,
VALUE(REGEXEXTRACT(O8323,""[0-9]+""))
),
0
)"),0.0)</f>
        <v>0</v>
      </c>
      <c r="E8323" s="1" t="s">
        <v>11</v>
      </c>
      <c r="F8323" s="1" t="s">
        <v>20</v>
      </c>
      <c r="G8323" s="4" t="b">
        <f t="shared" si="2"/>
        <v>1</v>
      </c>
      <c r="H8323" s="1" t="str">
        <f t="shared" si="3"/>
        <v>Currently Unavailable</v>
      </c>
      <c r="I8323" s="1" t="str">
        <f t="shared" si="4"/>
        <v>No Badges</v>
      </c>
      <c r="J8323" s="3">
        <f t="shared" si="5"/>
        <v>0</v>
      </c>
    </row>
    <row r="8324">
      <c r="A8324" s="1" t="s">
        <v>6356</v>
      </c>
      <c r="B8324" s="3" t="str">
        <f t="shared" si="1"/>
        <v>Unavailable</v>
      </c>
      <c r="C8324" s="3">
        <v>10.0</v>
      </c>
      <c r="D8324" s="3">
        <f>IFERROR(__xludf.DUMMYFUNCTION("IFERROR(
IF(REGEXMATCH(LOWER(O8324),""k""),
VALUE(REGEXEXTRACT(O8324,""[0-9]+""))*1000,
VALUE(REGEXEXTRACT(O8324,""[0-9]+""))
),
0
)"),0.0)</f>
        <v>0</v>
      </c>
      <c r="E8324" s="1" t="s">
        <v>11</v>
      </c>
      <c r="F8324" s="1" t="s">
        <v>20</v>
      </c>
      <c r="G8324" s="4" t="b">
        <f t="shared" si="2"/>
        <v>1</v>
      </c>
      <c r="H8324" s="1" t="str">
        <f t="shared" si="3"/>
        <v>Currently Unavailable</v>
      </c>
      <c r="I8324" s="1" t="str">
        <f t="shared" si="4"/>
        <v>No Badges</v>
      </c>
      <c r="J8324" s="3">
        <f t="shared" si="5"/>
        <v>0</v>
      </c>
    </row>
    <row r="8325">
      <c r="A8325" s="1" t="s">
        <v>6357</v>
      </c>
      <c r="B8325" s="3" t="str">
        <f t="shared" si="1"/>
        <v>Unavailable</v>
      </c>
      <c r="C8325" s="5">
        <v>2750.0</v>
      </c>
      <c r="D8325" s="3">
        <f>IFERROR(__xludf.DUMMYFUNCTION("IFERROR(
IF(REGEXMATCH(LOWER(O8325),""k""),
VALUE(REGEXEXTRACT(O8325,""[0-9]+""))*1000,
VALUE(REGEXEXTRACT(O8325,""[0-9]+""))
),
0
)"),0.0)</f>
        <v>0</v>
      </c>
      <c r="E8325" s="1" t="s">
        <v>11</v>
      </c>
      <c r="F8325" s="1" t="s">
        <v>20</v>
      </c>
      <c r="G8325" s="4" t="b">
        <f t="shared" si="2"/>
        <v>1</v>
      </c>
      <c r="H8325" s="1" t="str">
        <f t="shared" si="3"/>
        <v>Currently Unavailable</v>
      </c>
      <c r="I8325" s="1" t="str">
        <f t="shared" si="4"/>
        <v>No Badges</v>
      </c>
      <c r="J8325" s="3">
        <f t="shared" si="5"/>
        <v>0</v>
      </c>
    </row>
    <row r="8326">
      <c r="A8326" s="1" t="s">
        <v>5817</v>
      </c>
      <c r="B8326" s="3" t="str">
        <f t="shared" si="1"/>
        <v>Unavailable</v>
      </c>
      <c r="C8326" s="5">
        <v>7235.0</v>
      </c>
      <c r="D8326" s="3">
        <f>IFERROR(__xludf.DUMMYFUNCTION("IFERROR(
IF(REGEXMATCH(LOWER(O8326),""k""),
VALUE(REGEXEXTRACT(O8326,""[0-9]+""))*1000,
VALUE(REGEXEXTRACT(O8326,""[0-9]+""))
),
0
)"),0.0)</f>
        <v>0</v>
      </c>
      <c r="E8326" s="1" t="s">
        <v>11</v>
      </c>
      <c r="F8326" s="1" t="s">
        <v>12</v>
      </c>
      <c r="G8326" s="4" t="b">
        <f t="shared" si="2"/>
        <v>1</v>
      </c>
      <c r="H8326" s="1" t="str">
        <f t="shared" si="3"/>
        <v>Currently Unavailable</v>
      </c>
      <c r="I8326" s="1" t="str">
        <f t="shared" si="4"/>
        <v>No Badges</v>
      </c>
      <c r="J8326" s="3">
        <f t="shared" si="5"/>
        <v>0</v>
      </c>
    </row>
    <row r="8327">
      <c r="A8327" s="1" t="s">
        <v>6358</v>
      </c>
      <c r="B8327" s="3" t="str">
        <f t="shared" si="1"/>
        <v>Unavailable</v>
      </c>
      <c r="C8327" s="5">
        <v>1338.0</v>
      </c>
      <c r="D8327" s="3">
        <f>IFERROR(__xludf.DUMMYFUNCTION("IFERROR(
IF(REGEXMATCH(LOWER(O8327),""k""),
VALUE(REGEXEXTRACT(O8327,""[0-9]+""))*1000,
VALUE(REGEXEXTRACT(O8327,""[0-9]+""))
),
0
)"),0.0)</f>
        <v>0</v>
      </c>
      <c r="E8327" s="1" t="s">
        <v>11</v>
      </c>
      <c r="F8327" s="1" t="s">
        <v>20</v>
      </c>
      <c r="G8327" s="4" t="b">
        <f t="shared" si="2"/>
        <v>1</v>
      </c>
      <c r="H8327" s="1" t="str">
        <f t="shared" si="3"/>
        <v>Currently Unavailable</v>
      </c>
      <c r="I8327" s="1" t="str">
        <f t="shared" si="4"/>
        <v>No Badges</v>
      </c>
      <c r="J8327" s="3">
        <f t="shared" si="5"/>
        <v>0</v>
      </c>
    </row>
    <row r="8328">
      <c r="A8328" s="1" t="s">
        <v>6359</v>
      </c>
      <c r="B8328" s="3" t="str">
        <f t="shared" si="1"/>
        <v>Unavailable</v>
      </c>
      <c r="C8328" s="5">
        <v>5293.0</v>
      </c>
      <c r="D8328" s="3">
        <f>IFERROR(__xludf.DUMMYFUNCTION("IFERROR(
IF(REGEXMATCH(LOWER(O8328),""k""),
VALUE(REGEXEXTRACT(O8328,""[0-9]+""))*1000,
VALUE(REGEXEXTRACT(O8328,""[0-9]+""))
),
0
)"),0.0)</f>
        <v>0</v>
      </c>
      <c r="E8328" s="1" t="s">
        <v>11</v>
      </c>
      <c r="F8328" s="1" t="s">
        <v>20</v>
      </c>
      <c r="G8328" s="4" t="b">
        <f t="shared" si="2"/>
        <v>1</v>
      </c>
      <c r="H8328" s="1" t="str">
        <f t="shared" si="3"/>
        <v>Currently Unavailable</v>
      </c>
      <c r="I8328" s="1" t="str">
        <f t="shared" si="4"/>
        <v>No Badges</v>
      </c>
      <c r="J8328" s="3">
        <f t="shared" si="5"/>
        <v>0</v>
      </c>
    </row>
    <row r="8329">
      <c r="A8329" s="1" t="s">
        <v>6360</v>
      </c>
      <c r="B8329" s="3" t="str">
        <f t="shared" si="1"/>
        <v>Unavailable</v>
      </c>
      <c r="C8329" s="5">
        <v>2015.0</v>
      </c>
      <c r="D8329" s="3">
        <f>IFERROR(__xludf.DUMMYFUNCTION("IFERROR(
IF(REGEXMATCH(LOWER(O8329),""k""),
VALUE(REGEXEXTRACT(O8329,""[0-9]+""))*1000,
VALUE(REGEXEXTRACT(O8329,""[0-9]+""))
),
0
)"),0.0)</f>
        <v>0</v>
      </c>
      <c r="E8329" s="1" t="s">
        <v>11</v>
      </c>
      <c r="F8329" s="1" t="s">
        <v>20</v>
      </c>
      <c r="G8329" s="4" t="b">
        <f t="shared" si="2"/>
        <v>1</v>
      </c>
      <c r="H8329" s="1" t="str">
        <f t="shared" si="3"/>
        <v>Currently Unavailable</v>
      </c>
      <c r="I8329" s="1" t="str">
        <f t="shared" si="4"/>
        <v>No Badges</v>
      </c>
      <c r="J8329" s="3">
        <f t="shared" si="5"/>
        <v>0</v>
      </c>
    </row>
    <row r="8330">
      <c r="A8330" s="1" t="s">
        <v>5817</v>
      </c>
      <c r="B8330" s="3" t="str">
        <f t="shared" si="1"/>
        <v>Unavailable</v>
      </c>
      <c r="C8330" s="5">
        <v>7235.0</v>
      </c>
      <c r="D8330" s="3">
        <f>IFERROR(__xludf.DUMMYFUNCTION("IFERROR(
IF(REGEXMATCH(LOWER(O8330),""k""),
VALUE(REGEXEXTRACT(O8330,""[0-9]+""))*1000,
VALUE(REGEXEXTRACT(O8330,""[0-9]+""))
),
0
)"),0.0)</f>
        <v>0</v>
      </c>
      <c r="E8330" s="1" t="s">
        <v>11</v>
      </c>
      <c r="F8330" s="1" t="s">
        <v>12</v>
      </c>
      <c r="G8330" s="4" t="b">
        <f t="shared" si="2"/>
        <v>1</v>
      </c>
      <c r="H8330" s="1" t="str">
        <f t="shared" si="3"/>
        <v>Currently Unavailable</v>
      </c>
      <c r="I8330" s="1" t="str">
        <f t="shared" si="4"/>
        <v>No Badges</v>
      </c>
      <c r="J8330" s="3">
        <f t="shared" si="5"/>
        <v>0</v>
      </c>
    </row>
    <row r="8331">
      <c r="A8331" s="1" t="s">
        <v>6361</v>
      </c>
      <c r="B8331" s="3" t="str">
        <f t="shared" si="1"/>
        <v>Unavailable</v>
      </c>
      <c r="C8331" s="5">
        <v>5178.0</v>
      </c>
      <c r="D8331" s="3">
        <f>IFERROR(__xludf.DUMMYFUNCTION("IFERROR(
IF(REGEXMATCH(LOWER(O8331),""k""),
VALUE(REGEXEXTRACT(O8331,""[0-9]+""))*1000,
VALUE(REGEXEXTRACT(O8331,""[0-9]+""))
),
0
)"),0.0)</f>
        <v>0</v>
      </c>
      <c r="E8331" s="1" t="s">
        <v>11</v>
      </c>
      <c r="F8331" s="1" t="s">
        <v>20</v>
      </c>
      <c r="G8331" s="4" t="b">
        <f t="shared" si="2"/>
        <v>1</v>
      </c>
      <c r="H8331" s="1" t="str">
        <f t="shared" si="3"/>
        <v>Currently Unavailable</v>
      </c>
      <c r="I8331" s="1" t="str">
        <f t="shared" si="4"/>
        <v>No Badges</v>
      </c>
      <c r="J8331" s="3">
        <f t="shared" si="5"/>
        <v>0</v>
      </c>
    </row>
    <row r="8332">
      <c r="A8332" s="1" t="s">
        <v>6362</v>
      </c>
      <c r="B8332" s="3" t="str">
        <f t="shared" si="1"/>
        <v>Unavailable</v>
      </c>
      <c r="C8332" s="5">
        <v>2395.0</v>
      </c>
      <c r="D8332" s="3">
        <f>IFERROR(__xludf.DUMMYFUNCTION("IFERROR(
IF(REGEXMATCH(LOWER(O8332),""k""),
VALUE(REGEXEXTRACT(O8332,""[0-9]+""))*1000,
VALUE(REGEXEXTRACT(O8332,""[0-9]+""))
),
0
)"),0.0)</f>
        <v>0</v>
      </c>
      <c r="E8332" s="1" t="s">
        <v>11</v>
      </c>
      <c r="F8332" s="1" t="s">
        <v>20</v>
      </c>
      <c r="G8332" s="4" t="b">
        <f t="shared" si="2"/>
        <v>1</v>
      </c>
      <c r="H8332" s="1" t="str">
        <f t="shared" si="3"/>
        <v>Currently Unavailable</v>
      </c>
      <c r="I8332" s="1" t="str">
        <f t="shared" si="4"/>
        <v>No Badges</v>
      </c>
      <c r="J8332" s="3">
        <f t="shared" si="5"/>
        <v>0</v>
      </c>
    </row>
    <row r="8333">
      <c r="A8333" s="1" t="s">
        <v>6363</v>
      </c>
      <c r="B8333" s="3" t="str">
        <f t="shared" si="1"/>
        <v>Unavailable</v>
      </c>
      <c r="C8333" s="5">
        <v>3017.0</v>
      </c>
      <c r="D8333" s="3">
        <f>IFERROR(__xludf.DUMMYFUNCTION("IFERROR(
IF(REGEXMATCH(LOWER(O8333),""k""),
VALUE(REGEXEXTRACT(O8333,""[0-9]+""))*1000,
VALUE(REGEXEXTRACT(O8333,""[0-9]+""))
),
0
)"),0.0)</f>
        <v>0</v>
      </c>
      <c r="E8333" s="1" t="s">
        <v>11</v>
      </c>
      <c r="F8333" s="1" t="s">
        <v>20</v>
      </c>
      <c r="G8333" s="4" t="b">
        <f t="shared" si="2"/>
        <v>1</v>
      </c>
      <c r="H8333" s="1" t="str">
        <f t="shared" si="3"/>
        <v>Currently Unavailable</v>
      </c>
      <c r="I8333" s="1" t="str">
        <f t="shared" si="4"/>
        <v>No Badges</v>
      </c>
      <c r="J8333" s="3">
        <f t="shared" si="5"/>
        <v>0</v>
      </c>
    </row>
    <row r="8334">
      <c r="A8334" s="1" t="s">
        <v>88</v>
      </c>
      <c r="B8334" s="3" t="str">
        <f t="shared" si="1"/>
        <v>Unavailable</v>
      </c>
      <c r="C8334" s="3">
        <v>5.0</v>
      </c>
      <c r="D8334" s="3">
        <f>IFERROR(__xludf.DUMMYFUNCTION("IFERROR(
IF(REGEXMATCH(LOWER(O8334),""k""),
VALUE(REGEXEXTRACT(O8334,""[0-9]+""))*1000,
VALUE(REGEXEXTRACT(O8334,""[0-9]+""))
),
0
)"),0.0)</f>
        <v>0</v>
      </c>
      <c r="E8334" s="1" t="s">
        <v>11</v>
      </c>
      <c r="F8334" s="1" t="s">
        <v>12</v>
      </c>
      <c r="G8334" s="4" t="b">
        <f t="shared" si="2"/>
        <v>1</v>
      </c>
      <c r="H8334" s="1" t="str">
        <f t="shared" si="3"/>
        <v>Currently Unavailable</v>
      </c>
      <c r="I8334" s="1" t="str">
        <f t="shared" si="4"/>
        <v>No Badges</v>
      </c>
      <c r="J8334" s="3">
        <f t="shared" si="5"/>
        <v>0</v>
      </c>
    </row>
    <row r="8335">
      <c r="A8335" s="1" t="s">
        <v>40</v>
      </c>
      <c r="B8335" s="3" t="str">
        <f t="shared" si="1"/>
        <v>Unavailable</v>
      </c>
      <c r="C8335" s="3">
        <v>171.0</v>
      </c>
      <c r="D8335" s="3">
        <f>IFERROR(__xludf.DUMMYFUNCTION("IFERROR(
IF(REGEXMATCH(LOWER(O8335),""k""),
VALUE(REGEXEXTRACT(O8335,""[0-9]+""))*1000,
VALUE(REGEXEXTRACT(O8335,""[0-9]+""))
),
0
)"),0.0)</f>
        <v>0</v>
      </c>
      <c r="E8335" s="1" t="s">
        <v>11</v>
      </c>
      <c r="F8335" s="1" t="s">
        <v>12</v>
      </c>
      <c r="G8335" s="4" t="b">
        <f t="shared" si="2"/>
        <v>1</v>
      </c>
      <c r="H8335" s="1" t="str">
        <f t="shared" si="3"/>
        <v>Currently Unavailable</v>
      </c>
      <c r="I8335" s="1" t="str">
        <f t="shared" si="4"/>
        <v>No Badges</v>
      </c>
      <c r="J8335" s="3">
        <f t="shared" si="5"/>
        <v>0</v>
      </c>
    </row>
    <row r="8336">
      <c r="A8336" s="1" t="s">
        <v>5817</v>
      </c>
      <c r="B8336" s="3" t="str">
        <f t="shared" si="1"/>
        <v>Unavailable</v>
      </c>
      <c r="C8336" s="5">
        <v>7235.0</v>
      </c>
      <c r="D8336" s="3">
        <f>IFERROR(__xludf.DUMMYFUNCTION("IFERROR(
IF(REGEXMATCH(LOWER(O8336),""k""),
VALUE(REGEXEXTRACT(O8336,""[0-9]+""))*1000,
VALUE(REGEXEXTRACT(O8336,""[0-9]+""))
),
0
)"),0.0)</f>
        <v>0</v>
      </c>
      <c r="E8336" s="1" t="s">
        <v>11</v>
      </c>
      <c r="F8336" s="1" t="s">
        <v>12</v>
      </c>
      <c r="G8336" s="4" t="b">
        <f t="shared" si="2"/>
        <v>1</v>
      </c>
      <c r="H8336" s="1" t="str">
        <f t="shared" si="3"/>
        <v>Currently Unavailable</v>
      </c>
      <c r="I8336" s="1" t="str">
        <f t="shared" si="4"/>
        <v>No Badges</v>
      </c>
      <c r="J8336" s="3">
        <f t="shared" si="5"/>
        <v>0</v>
      </c>
    </row>
    <row r="8337">
      <c r="A8337" s="1" t="s">
        <v>6364</v>
      </c>
      <c r="B8337" s="3" t="str">
        <f t="shared" si="1"/>
        <v>Unavailable</v>
      </c>
      <c r="C8337" s="5">
        <v>1311.0</v>
      </c>
      <c r="D8337" s="3">
        <f>IFERROR(__xludf.DUMMYFUNCTION("IFERROR(
IF(REGEXMATCH(LOWER(O8337),""k""),
VALUE(REGEXEXTRACT(O8337,""[0-9]+""))*1000,
VALUE(REGEXEXTRACT(O8337,""[0-9]+""))
),
0
)"),0.0)</f>
        <v>0</v>
      </c>
      <c r="E8337" s="1" t="s">
        <v>18</v>
      </c>
      <c r="F8337" s="1" t="s">
        <v>20</v>
      </c>
      <c r="G8337" s="4" t="b">
        <f t="shared" si="2"/>
        <v>1</v>
      </c>
      <c r="H8337" s="1" t="str">
        <f t="shared" si="3"/>
        <v>Currently Unavailable</v>
      </c>
      <c r="I8337" s="1" t="str">
        <f t="shared" si="4"/>
        <v>No Badges</v>
      </c>
      <c r="J8337" s="3">
        <f t="shared" si="5"/>
        <v>0</v>
      </c>
    </row>
    <row r="8338">
      <c r="A8338" s="1" t="s">
        <v>6365</v>
      </c>
      <c r="B8338" s="3" t="str">
        <f t="shared" si="1"/>
        <v>Unavailable</v>
      </c>
      <c r="C8338" s="5">
        <v>1515.0</v>
      </c>
      <c r="D8338" s="3">
        <f>IFERROR(__xludf.DUMMYFUNCTION("IFERROR(
IF(REGEXMATCH(LOWER(O8338),""k""),
VALUE(REGEXEXTRACT(O8338,""[0-9]+""))*1000,
VALUE(REGEXEXTRACT(O8338,""[0-9]+""))
),
0
)"),0.0)</f>
        <v>0</v>
      </c>
      <c r="E8338" s="1" t="s">
        <v>11</v>
      </c>
      <c r="F8338" s="1" t="s">
        <v>20</v>
      </c>
      <c r="G8338" s="4" t="b">
        <f t="shared" si="2"/>
        <v>1</v>
      </c>
      <c r="H8338" s="1" t="str">
        <f t="shared" si="3"/>
        <v>Currently Unavailable</v>
      </c>
      <c r="I8338" s="1" t="str">
        <f t="shared" si="4"/>
        <v>No Badges</v>
      </c>
      <c r="J8338" s="3">
        <f t="shared" si="5"/>
        <v>0</v>
      </c>
    </row>
    <row r="8339">
      <c r="A8339" s="1" t="s">
        <v>6366</v>
      </c>
      <c r="B8339" s="3" t="str">
        <f t="shared" si="1"/>
        <v>Unavailable</v>
      </c>
      <c r="C8339" s="3">
        <v>482.0</v>
      </c>
      <c r="D8339" s="3">
        <f>IFERROR(__xludf.DUMMYFUNCTION("IFERROR(
IF(REGEXMATCH(LOWER(O8339),""k""),
VALUE(REGEXEXTRACT(O8339,""[0-9]+""))*1000,
VALUE(REGEXEXTRACT(O8339,""[0-9]+""))
),
0
)"),0.0)</f>
        <v>0</v>
      </c>
      <c r="E8339" s="1" t="s">
        <v>11</v>
      </c>
      <c r="F8339" s="1" t="s">
        <v>20</v>
      </c>
      <c r="G8339" s="4" t="b">
        <f t="shared" si="2"/>
        <v>1</v>
      </c>
      <c r="H8339" s="1" t="str">
        <f t="shared" si="3"/>
        <v>Currently Unavailable</v>
      </c>
      <c r="I8339" s="1" t="str">
        <f t="shared" si="4"/>
        <v>No Badges</v>
      </c>
      <c r="J8339" s="3">
        <f t="shared" si="5"/>
        <v>0</v>
      </c>
    </row>
    <row r="8340">
      <c r="A8340" s="1" t="s">
        <v>5661</v>
      </c>
      <c r="B8340" s="3" t="str">
        <f t="shared" si="1"/>
        <v>Unavailable</v>
      </c>
      <c r="C8340" s="3">
        <v>96.0</v>
      </c>
      <c r="D8340" s="3">
        <f>IFERROR(__xludf.DUMMYFUNCTION("IFERROR(
IF(REGEXMATCH(LOWER(O8340),""k""),
VALUE(REGEXEXTRACT(O8340,""[0-9]+""))*1000,
VALUE(REGEXEXTRACT(O8340,""[0-9]+""))
),
0
)"),0.0)</f>
        <v>0</v>
      </c>
      <c r="E8340" s="1" t="s">
        <v>11</v>
      </c>
      <c r="F8340" s="1" t="s">
        <v>20</v>
      </c>
      <c r="G8340" s="4" t="b">
        <f t="shared" si="2"/>
        <v>1</v>
      </c>
      <c r="H8340" s="1" t="str">
        <f t="shared" si="3"/>
        <v>Currently Unavailable</v>
      </c>
      <c r="I8340" s="1" t="str">
        <f t="shared" si="4"/>
        <v>No Badges</v>
      </c>
      <c r="J8340" s="3">
        <f t="shared" si="5"/>
        <v>0</v>
      </c>
    </row>
    <row r="8341">
      <c r="A8341" s="1" t="s">
        <v>6367</v>
      </c>
      <c r="B8341" s="3" t="str">
        <f t="shared" si="1"/>
        <v>Unavailable</v>
      </c>
      <c r="C8341" s="5">
        <v>9197.0</v>
      </c>
      <c r="D8341" s="3">
        <f>IFERROR(__xludf.DUMMYFUNCTION("IFERROR(
IF(REGEXMATCH(LOWER(O8341),""k""),
VALUE(REGEXEXTRACT(O8341,""[0-9]+""))*1000,
VALUE(REGEXEXTRACT(O8341,""[0-9]+""))
),
0
)"),0.0)</f>
        <v>0</v>
      </c>
      <c r="E8341" s="1" t="s">
        <v>11</v>
      </c>
      <c r="F8341" s="1" t="s">
        <v>20</v>
      </c>
      <c r="G8341" s="4" t="b">
        <f t="shared" si="2"/>
        <v>1</v>
      </c>
      <c r="H8341" s="1" t="str">
        <f t="shared" si="3"/>
        <v>Currently Unavailable</v>
      </c>
      <c r="I8341" s="1" t="str">
        <f t="shared" si="4"/>
        <v>No Badges</v>
      </c>
      <c r="J8341" s="3">
        <f t="shared" si="5"/>
        <v>0</v>
      </c>
    </row>
    <row r="8342">
      <c r="A8342" s="1" t="s">
        <v>6367</v>
      </c>
      <c r="B8342" s="3" t="str">
        <f t="shared" si="1"/>
        <v>Unavailable</v>
      </c>
      <c r="C8342" s="5">
        <v>9197.0</v>
      </c>
      <c r="D8342" s="3">
        <f>IFERROR(__xludf.DUMMYFUNCTION("IFERROR(
IF(REGEXMATCH(LOWER(O8342),""k""),
VALUE(REGEXEXTRACT(O8342,""[0-9]+""))*1000,
VALUE(REGEXEXTRACT(O8342,""[0-9]+""))
),
0
)"),0.0)</f>
        <v>0</v>
      </c>
      <c r="E8342" s="1" t="s">
        <v>11</v>
      </c>
      <c r="F8342" s="1" t="s">
        <v>20</v>
      </c>
      <c r="G8342" s="4" t="b">
        <f t="shared" si="2"/>
        <v>1</v>
      </c>
      <c r="H8342" s="1" t="str">
        <f t="shared" si="3"/>
        <v>Currently Unavailable</v>
      </c>
      <c r="I8342" s="1" t="str">
        <f t="shared" si="4"/>
        <v>No Badges</v>
      </c>
      <c r="J8342" s="3">
        <f t="shared" si="5"/>
        <v>0</v>
      </c>
    </row>
    <row r="8343">
      <c r="A8343" s="1" t="s">
        <v>6368</v>
      </c>
      <c r="B8343" s="3" t="str">
        <f t="shared" si="1"/>
        <v>Unavailable</v>
      </c>
      <c r="C8343" s="5">
        <v>1059.0</v>
      </c>
      <c r="D8343" s="3">
        <f>IFERROR(__xludf.DUMMYFUNCTION("IFERROR(
IF(REGEXMATCH(LOWER(O8343),""k""),
VALUE(REGEXEXTRACT(O8343,""[0-9]+""))*1000,
VALUE(REGEXEXTRACT(O8343,""[0-9]+""))
),
0
)"),0.0)</f>
        <v>0</v>
      </c>
      <c r="E8343" s="1" t="s">
        <v>11</v>
      </c>
      <c r="F8343" s="1" t="s">
        <v>20</v>
      </c>
      <c r="G8343" s="4" t="b">
        <f t="shared" si="2"/>
        <v>1</v>
      </c>
      <c r="H8343" s="1" t="str">
        <f t="shared" si="3"/>
        <v>Currently Unavailable</v>
      </c>
      <c r="I8343" s="1" t="str">
        <f t="shared" si="4"/>
        <v>No Badges</v>
      </c>
      <c r="J8343" s="3">
        <f t="shared" si="5"/>
        <v>0</v>
      </c>
    </row>
    <row r="8344">
      <c r="A8344" s="1" t="s">
        <v>6369</v>
      </c>
      <c r="B8344" s="3" t="str">
        <f t="shared" si="1"/>
        <v>Unavailable</v>
      </c>
      <c r="C8344" s="3">
        <v>283.0</v>
      </c>
      <c r="D8344" s="3">
        <f>IFERROR(__xludf.DUMMYFUNCTION("IFERROR(
IF(REGEXMATCH(LOWER(O8344),""k""),
VALUE(REGEXEXTRACT(O8344,""[0-9]+""))*1000,
VALUE(REGEXEXTRACT(O8344,""[0-9]+""))
),
0
)"),0.0)</f>
        <v>0</v>
      </c>
      <c r="E8344" s="1" t="s">
        <v>11</v>
      </c>
      <c r="F8344" s="1" t="s">
        <v>20</v>
      </c>
      <c r="G8344" s="4" t="b">
        <f t="shared" si="2"/>
        <v>1</v>
      </c>
      <c r="H8344" s="1" t="str">
        <f t="shared" si="3"/>
        <v>Currently Unavailable</v>
      </c>
      <c r="I8344" s="1" t="str">
        <f t="shared" si="4"/>
        <v>No Badges</v>
      </c>
      <c r="J8344" s="3">
        <f t="shared" si="5"/>
        <v>0</v>
      </c>
    </row>
    <row r="8345">
      <c r="A8345" s="1" t="s">
        <v>5817</v>
      </c>
      <c r="B8345" s="3" t="str">
        <f t="shared" si="1"/>
        <v>Unavailable</v>
      </c>
      <c r="C8345" s="5">
        <v>7235.0</v>
      </c>
      <c r="D8345" s="3">
        <f>IFERROR(__xludf.DUMMYFUNCTION("IFERROR(
IF(REGEXMATCH(LOWER(O8345),""k""),
VALUE(REGEXEXTRACT(O8345,""[0-9]+""))*1000,
VALUE(REGEXEXTRACT(O8345,""[0-9]+""))
),
0
)"),0.0)</f>
        <v>0</v>
      </c>
      <c r="E8345" s="1" t="s">
        <v>11</v>
      </c>
      <c r="F8345" s="1" t="s">
        <v>12</v>
      </c>
      <c r="G8345" s="4" t="b">
        <f t="shared" si="2"/>
        <v>1</v>
      </c>
      <c r="H8345" s="1" t="str">
        <f t="shared" si="3"/>
        <v>Currently Unavailable</v>
      </c>
      <c r="I8345" s="1" t="str">
        <f t="shared" si="4"/>
        <v>No Badges</v>
      </c>
      <c r="J8345" s="3">
        <f t="shared" si="5"/>
        <v>0</v>
      </c>
    </row>
    <row r="8346">
      <c r="A8346" s="1" t="s">
        <v>6370</v>
      </c>
      <c r="B8346" s="3" t="str">
        <f t="shared" si="1"/>
        <v>Unavailable</v>
      </c>
      <c r="C8346" s="5">
        <v>1237.0</v>
      </c>
      <c r="D8346" s="3">
        <f>IFERROR(__xludf.DUMMYFUNCTION("IFERROR(
IF(REGEXMATCH(LOWER(O8346),""k""),
VALUE(REGEXEXTRACT(O8346,""[0-9]+""))*1000,
VALUE(REGEXEXTRACT(O8346,""[0-9]+""))
),
0
)"),0.0)</f>
        <v>0</v>
      </c>
      <c r="E8346" s="1" t="s">
        <v>11</v>
      </c>
      <c r="F8346" s="1" t="s">
        <v>20</v>
      </c>
      <c r="G8346" s="4" t="b">
        <f t="shared" si="2"/>
        <v>1</v>
      </c>
      <c r="H8346" s="1" t="str">
        <f t="shared" si="3"/>
        <v>Currently Unavailable</v>
      </c>
      <c r="I8346" s="1" t="str">
        <f t="shared" si="4"/>
        <v>No Badges</v>
      </c>
      <c r="J8346" s="3">
        <f t="shared" si="5"/>
        <v>0</v>
      </c>
    </row>
    <row r="8347">
      <c r="A8347" s="1" t="s">
        <v>6371</v>
      </c>
      <c r="B8347" s="3" t="str">
        <f t="shared" si="1"/>
        <v>Unavailable</v>
      </c>
      <c r="C8347" s="5">
        <v>1729.0</v>
      </c>
      <c r="D8347" s="3">
        <f>IFERROR(__xludf.DUMMYFUNCTION("IFERROR(
IF(REGEXMATCH(LOWER(O8347),""k""),
VALUE(REGEXEXTRACT(O8347,""[0-9]+""))*1000,
VALUE(REGEXEXTRACT(O8347,""[0-9]+""))
),
0
)"),0.0)</f>
        <v>0</v>
      </c>
      <c r="E8347" s="1" t="s">
        <v>11</v>
      </c>
      <c r="F8347" s="1" t="s">
        <v>20</v>
      </c>
      <c r="G8347" s="4" t="b">
        <f t="shared" si="2"/>
        <v>1</v>
      </c>
      <c r="H8347" s="1" t="str">
        <f t="shared" si="3"/>
        <v>Currently Unavailable</v>
      </c>
      <c r="I8347" s="1" t="str">
        <f t="shared" si="4"/>
        <v>No Badges</v>
      </c>
      <c r="J8347" s="3">
        <f t="shared" si="5"/>
        <v>0</v>
      </c>
    </row>
    <row r="8348">
      <c r="A8348" s="1" t="s">
        <v>6372</v>
      </c>
      <c r="B8348" s="3" t="str">
        <f t="shared" si="1"/>
        <v>Unavailable</v>
      </c>
      <c r="C8348" s="3">
        <v>259.0</v>
      </c>
      <c r="D8348" s="3">
        <f>IFERROR(__xludf.DUMMYFUNCTION("IFERROR(
IF(REGEXMATCH(LOWER(O8348),""k""),
VALUE(REGEXEXTRACT(O8348,""[0-9]+""))*1000,
VALUE(REGEXEXTRACT(O8348,""[0-9]+""))
),
0
)"),0.0)</f>
        <v>0</v>
      </c>
      <c r="E8348" s="1" t="s">
        <v>11</v>
      </c>
      <c r="F8348" s="1" t="s">
        <v>20</v>
      </c>
      <c r="G8348" s="4" t="b">
        <f t="shared" si="2"/>
        <v>1</v>
      </c>
      <c r="H8348" s="1" t="str">
        <f t="shared" si="3"/>
        <v>Currently Unavailable</v>
      </c>
      <c r="I8348" s="1" t="str">
        <f t="shared" si="4"/>
        <v>No Badges</v>
      </c>
      <c r="J8348" s="3">
        <f t="shared" si="5"/>
        <v>0</v>
      </c>
    </row>
    <row r="8349">
      <c r="A8349" s="1" t="s">
        <v>6373</v>
      </c>
      <c r="B8349" s="3" t="str">
        <f t="shared" si="1"/>
        <v>Unavailable</v>
      </c>
      <c r="C8349" s="5">
        <v>1108.0</v>
      </c>
      <c r="D8349" s="3">
        <f>IFERROR(__xludf.DUMMYFUNCTION("IFERROR(
IF(REGEXMATCH(LOWER(O8349),""k""),
VALUE(REGEXEXTRACT(O8349,""[0-9]+""))*1000,
VALUE(REGEXEXTRACT(O8349,""[0-9]+""))
),
0
)"),0.0)</f>
        <v>0</v>
      </c>
      <c r="E8349" s="1" t="s">
        <v>11</v>
      </c>
      <c r="F8349" s="1" t="s">
        <v>20</v>
      </c>
      <c r="G8349" s="4" t="b">
        <f t="shared" si="2"/>
        <v>1</v>
      </c>
      <c r="H8349" s="1" t="str">
        <f t="shared" si="3"/>
        <v>Currently Unavailable</v>
      </c>
      <c r="I8349" s="1" t="str">
        <f t="shared" si="4"/>
        <v>No Badges</v>
      </c>
      <c r="J8349" s="3">
        <f t="shared" si="5"/>
        <v>0</v>
      </c>
    </row>
    <row r="8350">
      <c r="A8350" s="1" t="s">
        <v>6374</v>
      </c>
      <c r="B8350" s="3" t="str">
        <f t="shared" si="1"/>
        <v>Unavailable</v>
      </c>
      <c r="C8350" s="5">
        <v>8946.0</v>
      </c>
      <c r="D8350" s="3">
        <f>IFERROR(__xludf.DUMMYFUNCTION("IFERROR(
IF(REGEXMATCH(LOWER(O8350),""k""),
VALUE(REGEXEXTRACT(O8350,""[0-9]+""))*1000,
VALUE(REGEXEXTRACT(O8350,""[0-9]+""))
),
0
)"),0.0)</f>
        <v>0</v>
      </c>
      <c r="E8350" s="1" t="s">
        <v>11</v>
      </c>
      <c r="F8350" s="1" t="s">
        <v>20</v>
      </c>
      <c r="G8350" s="4" t="b">
        <f t="shared" si="2"/>
        <v>1</v>
      </c>
      <c r="H8350" s="1" t="str">
        <f t="shared" si="3"/>
        <v>Currently Unavailable</v>
      </c>
      <c r="I8350" s="1" t="str">
        <f t="shared" si="4"/>
        <v>No Badges</v>
      </c>
      <c r="J8350" s="3">
        <f t="shared" si="5"/>
        <v>0</v>
      </c>
    </row>
    <row r="8351">
      <c r="A8351" s="1" t="s">
        <v>5817</v>
      </c>
      <c r="B8351" s="3" t="str">
        <f t="shared" si="1"/>
        <v>Unavailable</v>
      </c>
      <c r="C8351" s="5">
        <v>7235.0</v>
      </c>
      <c r="D8351" s="3">
        <f>IFERROR(__xludf.DUMMYFUNCTION("IFERROR(
IF(REGEXMATCH(LOWER(O8351),""k""),
VALUE(REGEXEXTRACT(O8351,""[0-9]+""))*1000,
VALUE(REGEXEXTRACT(O8351,""[0-9]+""))
),
0
)"),0.0)</f>
        <v>0</v>
      </c>
      <c r="E8351" s="1" t="s">
        <v>11</v>
      </c>
      <c r="F8351" s="1" t="s">
        <v>12</v>
      </c>
      <c r="G8351" s="4" t="b">
        <f t="shared" si="2"/>
        <v>1</v>
      </c>
      <c r="H8351" s="1" t="str">
        <f t="shared" si="3"/>
        <v>Currently Unavailable</v>
      </c>
      <c r="I8351" s="1" t="str">
        <f t="shared" si="4"/>
        <v>No Badges</v>
      </c>
      <c r="J8351" s="3">
        <f t="shared" si="5"/>
        <v>0</v>
      </c>
    </row>
    <row r="8352">
      <c r="A8352" s="1" t="s">
        <v>6375</v>
      </c>
      <c r="B8352" s="3" t="str">
        <f t="shared" si="1"/>
        <v>Unavailable</v>
      </c>
      <c r="C8352" s="3">
        <v>427.0</v>
      </c>
      <c r="D8352" s="3">
        <f>IFERROR(__xludf.DUMMYFUNCTION("IFERROR(
IF(REGEXMATCH(LOWER(O8352),""k""),
VALUE(REGEXEXTRACT(O8352,""[0-9]+""))*1000,
VALUE(REGEXEXTRACT(O8352,""[0-9]+""))
),
0
)"),0.0)</f>
        <v>0</v>
      </c>
      <c r="E8352" s="1" t="s">
        <v>18</v>
      </c>
      <c r="F8352" s="1" t="s">
        <v>20</v>
      </c>
      <c r="G8352" s="4" t="b">
        <f t="shared" si="2"/>
        <v>1</v>
      </c>
      <c r="H8352" s="1" t="str">
        <f t="shared" si="3"/>
        <v>Currently Unavailable</v>
      </c>
      <c r="I8352" s="1" t="str">
        <f t="shared" si="4"/>
        <v>No Badges</v>
      </c>
      <c r="J8352" s="3">
        <f t="shared" si="5"/>
        <v>0</v>
      </c>
    </row>
    <row r="8353">
      <c r="A8353" s="1" t="s">
        <v>6376</v>
      </c>
      <c r="B8353" s="3" t="str">
        <f t="shared" si="1"/>
        <v>Unavailable</v>
      </c>
      <c r="C8353" s="5">
        <v>2440.0</v>
      </c>
      <c r="D8353" s="3">
        <f>IFERROR(__xludf.DUMMYFUNCTION("IFERROR(
IF(REGEXMATCH(LOWER(O8353),""k""),
VALUE(REGEXEXTRACT(O8353,""[0-9]+""))*1000,
VALUE(REGEXEXTRACT(O8353,""[0-9]+""))
),
0
)"),0.0)</f>
        <v>0</v>
      </c>
      <c r="E8353" s="1" t="s">
        <v>11</v>
      </c>
      <c r="F8353" s="1" t="s">
        <v>20</v>
      </c>
      <c r="G8353" s="4" t="b">
        <f t="shared" si="2"/>
        <v>1</v>
      </c>
      <c r="H8353" s="1" t="str">
        <f t="shared" si="3"/>
        <v>Currently Unavailable</v>
      </c>
      <c r="I8353" s="1" t="str">
        <f t="shared" si="4"/>
        <v>No Badges</v>
      </c>
      <c r="J8353" s="3">
        <f t="shared" si="5"/>
        <v>0</v>
      </c>
    </row>
    <row r="8354">
      <c r="A8354" s="1" t="s">
        <v>6377</v>
      </c>
      <c r="B8354" s="3" t="str">
        <f t="shared" si="1"/>
        <v>Unavailable</v>
      </c>
      <c r="C8354" s="5">
        <v>1166.0</v>
      </c>
      <c r="D8354" s="3">
        <f>IFERROR(__xludf.DUMMYFUNCTION("IFERROR(
IF(REGEXMATCH(LOWER(O8354),""k""),
VALUE(REGEXEXTRACT(O8354,""[0-9]+""))*1000,
VALUE(REGEXEXTRACT(O8354,""[0-9]+""))
),
0
)"),0.0)</f>
        <v>0</v>
      </c>
      <c r="E8354" s="1" t="s">
        <v>11</v>
      </c>
      <c r="F8354" s="1" t="s">
        <v>20</v>
      </c>
      <c r="G8354" s="4" t="b">
        <f t="shared" si="2"/>
        <v>1</v>
      </c>
      <c r="H8354" s="1" t="str">
        <f t="shared" si="3"/>
        <v>Currently Unavailable</v>
      </c>
      <c r="I8354" s="1" t="str">
        <f t="shared" si="4"/>
        <v>No Badges</v>
      </c>
      <c r="J8354" s="3">
        <f t="shared" si="5"/>
        <v>0</v>
      </c>
    </row>
    <row r="8355">
      <c r="A8355" s="1" t="s">
        <v>6378</v>
      </c>
      <c r="B8355" s="3" t="str">
        <f t="shared" si="1"/>
        <v>Unavailable</v>
      </c>
      <c r="C8355" s="5">
        <v>1262.0</v>
      </c>
      <c r="D8355" s="3">
        <f>IFERROR(__xludf.DUMMYFUNCTION("IFERROR(
IF(REGEXMATCH(LOWER(O8355),""k""),
VALUE(REGEXEXTRACT(O8355,""[0-9]+""))*1000,
VALUE(REGEXEXTRACT(O8355,""[0-9]+""))
),
0
)"),0.0)</f>
        <v>0</v>
      </c>
      <c r="E8355" s="1" t="s">
        <v>11</v>
      </c>
      <c r="F8355" s="1" t="s">
        <v>20</v>
      </c>
      <c r="G8355" s="4" t="b">
        <f t="shared" si="2"/>
        <v>1</v>
      </c>
      <c r="H8355" s="1" t="str">
        <f t="shared" si="3"/>
        <v>Currently Unavailable</v>
      </c>
      <c r="I8355" s="1" t="str">
        <f t="shared" si="4"/>
        <v>No Badges</v>
      </c>
      <c r="J8355" s="3">
        <f t="shared" si="5"/>
        <v>0</v>
      </c>
    </row>
    <row r="8356">
      <c r="A8356" s="1" t="s">
        <v>6379</v>
      </c>
      <c r="B8356" s="3" t="str">
        <f t="shared" si="1"/>
        <v>Unavailable</v>
      </c>
      <c r="C8356" s="5">
        <v>2094.0</v>
      </c>
      <c r="D8356" s="3">
        <f>IFERROR(__xludf.DUMMYFUNCTION("IFERROR(
IF(REGEXMATCH(LOWER(O8356),""k""),
VALUE(REGEXEXTRACT(O8356,""[0-9]+""))*1000,
VALUE(REGEXEXTRACT(O8356,""[0-9]+""))
),
0
)"),0.0)</f>
        <v>0</v>
      </c>
      <c r="E8356" s="1" t="s">
        <v>158</v>
      </c>
      <c r="F8356" s="1" t="s">
        <v>20</v>
      </c>
      <c r="G8356" s="4" t="b">
        <f t="shared" si="2"/>
        <v>1</v>
      </c>
      <c r="H8356" s="1" t="str">
        <f t="shared" si="3"/>
        <v>Currently Unavailable</v>
      </c>
      <c r="I8356" s="1" t="str">
        <f t="shared" si="4"/>
        <v>No Badges</v>
      </c>
      <c r="J8356" s="3">
        <f t="shared" si="5"/>
        <v>0</v>
      </c>
    </row>
    <row r="8357">
      <c r="A8357" s="1" t="s">
        <v>6380</v>
      </c>
      <c r="B8357" s="3" t="str">
        <f t="shared" si="1"/>
        <v>Unavailable</v>
      </c>
      <c r="C8357" s="5">
        <v>4419.0</v>
      </c>
      <c r="D8357" s="3">
        <f>IFERROR(__xludf.DUMMYFUNCTION("IFERROR(
IF(REGEXMATCH(LOWER(O8357),""k""),
VALUE(REGEXEXTRACT(O8357,""[0-9]+""))*1000,
VALUE(REGEXEXTRACT(O8357,""[0-9]+""))
),
0
)"),0.0)</f>
        <v>0</v>
      </c>
      <c r="E8357" s="1" t="s">
        <v>11</v>
      </c>
      <c r="F8357" s="1" t="s">
        <v>20</v>
      </c>
      <c r="G8357" s="4" t="b">
        <f t="shared" si="2"/>
        <v>1</v>
      </c>
      <c r="H8357" s="1" t="str">
        <f t="shared" si="3"/>
        <v>Currently Unavailable</v>
      </c>
      <c r="I8357" s="1" t="str">
        <f t="shared" si="4"/>
        <v>No Badges</v>
      </c>
      <c r="J8357" s="3">
        <f t="shared" si="5"/>
        <v>0</v>
      </c>
    </row>
    <row r="8358">
      <c r="A8358" s="1" t="s">
        <v>2835</v>
      </c>
      <c r="B8358" s="3" t="str">
        <f t="shared" si="1"/>
        <v>Unavailable</v>
      </c>
      <c r="C8358" s="5">
        <v>6617.0</v>
      </c>
      <c r="D8358" s="3">
        <f>IFERROR(__xludf.DUMMYFUNCTION("IFERROR(
IF(REGEXMATCH(LOWER(O8358),""k""),
VALUE(REGEXEXTRACT(O8358,""[0-9]+""))*1000,
VALUE(REGEXEXTRACT(O8358,""[0-9]+""))
),
0
)"),0.0)</f>
        <v>0</v>
      </c>
      <c r="E8358" s="1" t="s">
        <v>11</v>
      </c>
      <c r="F8358" s="1" t="s">
        <v>20</v>
      </c>
      <c r="G8358" s="4" t="b">
        <f t="shared" si="2"/>
        <v>1</v>
      </c>
      <c r="H8358" s="1" t="str">
        <f t="shared" si="3"/>
        <v>Currently Unavailable</v>
      </c>
      <c r="I8358" s="1" t="str">
        <f t="shared" si="4"/>
        <v>No Badges</v>
      </c>
      <c r="J8358" s="3">
        <f t="shared" si="5"/>
        <v>0</v>
      </c>
    </row>
    <row r="8359">
      <c r="A8359" s="1" t="s">
        <v>6381</v>
      </c>
      <c r="B8359" s="3" t="str">
        <f t="shared" si="1"/>
        <v>Unavailable</v>
      </c>
      <c r="C8359" s="3">
        <v>84.0</v>
      </c>
      <c r="D8359" s="3">
        <f>IFERROR(__xludf.DUMMYFUNCTION("IFERROR(
IF(REGEXMATCH(LOWER(O8359),""k""),
VALUE(REGEXEXTRACT(O8359,""[0-9]+""))*1000,
VALUE(REGEXEXTRACT(O8359,""[0-9]+""))
),
0
)"),0.0)</f>
        <v>0</v>
      </c>
      <c r="E8359" s="1" t="s">
        <v>11</v>
      </c>
      <c r="F8359" s="1" t="s">
        <v>20</v>
      </c>
      <c r="G8359" s="4" t="b">
        <f t="shared" si="2"/>
        <v>1</v>
      </c>
      <c r="H8359" s="1" t="str">
        <f t="shared" si="3"/>
        <v>Currently Unavailable</v>
      </c>
      <c r="I8359" s="1" t="str">
        <f t="shared" si="4"/>
        <v>No Badges</v>
      </c>
      <c r="J8359" s="3">
        <f t="shared" si="5"/>
        <v>0</v>
      </c>
    </row>
    <row r="8360">
      <c r="A8360" s="1" t="s">
        <v>5817</v>
      </c>
      <c r="B8360" s="3" t="str">
        <f t="shared" si="1"/>
        <v>Unavailable</v>
      </c>
      <c r="C8360" s="5">
        <v>7235.0</v>
      </c>
      <c r="D8360" s="3">
        <f>IFERROR(__xludf.DUMMYFUNCTION("IFERROR(
IF(REGEXMATCH(LOWER(O8360),""k""),
VALUE(REGEXEXTRACT(O8360,""[0-9]+""))*1000,
VALUE(REGEXEXTRACT(O8360,""[0-9]+""))
),
0
)"),0.0)</f>
        <v>0</v>
      </c>
      <c r="E8360" s="1" t="s">
        <v>11</v>
      </c>
      <c r="F8360" s="1" t="s">
        <v>12</v>
      </c>
      <c r="G8360" s="4" t="b">
        <f t="shared" si="2"/>
        <v>1</v>
      </c>
      <c r="H8360" s="1" t="str">
        <f t="shared" si="3"/>
        <v>Currently Unavailable</v>
      </c>
      <c r="I8360" s="1" t="str">
        <f t="shared" si="4"/>
        <v>No Badges</v>
      </c>
      <c r="J8360" s="3">
        <f t="shared" si="5"/>
        <v>0</v>
      </c>
    </row>
    <row r="8361">
      <c r="A8361" s="1" t="s">
        <v>6382</v>
      </c>
      <c r="B8361" s="3" t="str">
        <f t="shared" si="1"/>
        <v>Unavailable</v>
      </c>
      <c r="C8361" s="5">
        <v>7389.0</v>
      </c>
      <c r="D8361" s="3">
        <f>IFERROR(__xludf.DUMMYFUNCTION("IFERROR(
IF(REGEXMATCH(LOWER(O8361),""k""),
VALUE(REGEXEXTRACT(O8361,""[0-9]+""))*1000,
VALUE(REGEXEXTRACT(O8361,""[0-9]+""))
),
0
)"),0.0)</f>
        <v>0</v>
      </c>
      <c r="E8361" s="1" t="s">
        <v>11</v>
      </c>
      <c r="F8361" s="1" t="s">
        <v>20</v>
      </c>
      <c r="G8361" s="4" t="b">
        <f t="shared" si="2"/>
        <v>1</v>
      </c>
      <c r="H8361" s="1" t="str">
        <f t="shared" si="3"/>
        <v>Currently Unavailable</v>
      </c>
      <c r="I8361" s="1" t="str">
        <f t="shared" si="4"/>
        <v>No Badges</v>
      </c>
      <c r="J8361" s="3">
        <f t="shared" si="5"/>
        <v>0</v>
      </c>
    </row>
    <row r="8362">
      <c r="A8362" s="1" t="s">
        <v>69</v>
      </c>
      <c r="B8362" s="3" t="str">
        <f t="shared" si="1"/>
        <v>Unavailable</v>
      </c>
      <c r="C8362" s="3">
        <v>45.0</v>
      </c>
      <c r="D8362" s="3">
        <f>IFERROR(__xludf.DUMMYFUNCTION("IFERROR(
IF(REGEXMATCH(LOWER(O8362),""k""),
VALUE(REGEXEXTRACT(O8362,""[0-9]+""))*1000,
VALUE(REGEXEXTRACT(O8362,""[0-9]+""))
),
0
)"),0.0)</f>
        <v>0</v>
      </c>
      <c r="E8362" s="1" t="s">
        <v>11</v>
      </c>
      <c r="F8362" s="1" t="s">
        <v>12</v>
      </c>
      <c r="G8362" s="4" t="b">
        <f t="shared" si="2"/>
        <v>1</v>
      </c>
      <c r="H8362" s="1" t="str">
        <f t="shared" si="3"/>
        <v>Currently Unavailable</v>
      </c>
      <c r="I8362" s="1" t="str">
        <f t="shared" si="4"/>
        <v>No Badges</v>
      </c>
      <c r="J8362" s="3">
        <f t="shared" si="5"/>
        <v>0</v>
      </c>
    </row>
    <row r="8363">
      <c r="A8363" s="1" t="s">
        <v>6383</v>
      </c>
      <c r="B8363" s="3" t="str">
        <f t="shared" si="1"/>
        <v>Unavailable</v>
      </c>
      <c r="C8363" s="3">
        <v>167.0</v>
      </c>
      <c r="D8363" s="3">
        <f>IFERROR(__xludf.DUMMYFUNCTION("IFERROR(
IF(REGEXMATCH(LOWER(O8363),""k""),
VALUE(REGEXEXTRACT(O8363,""[0-9]+""))*1000,
VALUE(REGEXEXTRACT(O8363,""[0-9]+""))
),
0
)"),0.0)</f>
        <v>0</v>
      </c>
      <c r="E8363" s="1" t="s">
        <v>11</v>
      </c>
      <c r="F8363" s="1" t="s">
        <v>20</v>
      </c>
      <c r="G8363" s="4" t="b">
        <f t="shared" si="2"/>
        <v>1</v>
      </c>
      <c r="H8363" s="1" t="str">
        <f t="shared" si="3"/>
        <v>Currently Unavailable</v>
      </c>
      <c r="I8363" s="1" t="str">
        <f t="shared" si="4"/>
        <v>No Badges</v>
      </c>
      <c r="J8363" s="3">
        <f t="shared" si="5"/>
        <v>0</v>
      </c>
    </row>
    <row r="8364">
      <c r="A8364" s="1" t="s">
        <v>6384</v>
      </c>
      <c r="B8364" s="3" t="str">
        <f t="shared" si="1"/>
        <v>Unavailable</v>
      </c>
      <c r="C8364" s="5">
        <v>44591.0</v>
      </c>
      <c r="D8364" s="3">
        <f>IFERROR(__xludf.DUMMYFUNCTION("IFERROR(
IF(REGEXMATCH(LOWER(O8364),""k""),
VALUE(REGEXEXTRACT(O8364,""[0-9]+""))*1000,
VALUE(REGEXEXTRACT(O8364,""[0-9]+""))
),
0
)"),0.0)</f>
        <v>0</v>
      </c>
      <c r="E8364" s="1" t="s">
        <v>11</v>
      </c>
      <c r="F8364" s="1" t="s">
        <v>20</v>
      </c>
      <c r="G8364" s="4" t="b">
        <f t="shared" si="2"/>
        <v>1</v>
      </c>
      <c r="H8364" s="1" t="str">
        <f t="shared" si="3"/>
        <v>Currently Unavailable</v>
      </c>
      <c r="I8364" s="1" t="str">
        <f t="shared" si="4"/>
        <v>No Badges</v>
      </c>
      <c r="J8364" s="3">
        <f t="shared" si="5"/>
        <v>0</v>
      </c>
    </row>
    <row r="8365">
      <c r="A8365" s="1" t="s">
        <v>6385</v>
      </c>
      <c r="B8365" s="3" t="str">
        <f t="shared" si="1"/>
        <v>Unavailable</v>
      </c>
      <c r="C8365" s="3">
        <v>789.0</v>
      </c>
      <c r="D8365" s="3">
        <f>IFERROR(__xludf.DUMMYFUNCTION("IFERROR(
IF(REGEXMATCH(LOWER(O8365),""k""),
VALUE(REGEXEXTRACT(O8365,""[0-9]+""))*1000,
VALUE(REGEXEXTRACT(O8365,""[0-9]+""))
),
0
)"),0.0)</f>
        <v>0</v>
      </c>
      <c r="E8365" s="1" t="s">
        <v>11</v>
      </c>
      <c r="F8365" s="1" t="s">
        <v>20</v>
      </c>
      <c r="G8365" s="4" t="b">
        <f t="shared" si="2"/>
        <v>1</v>
      </c>
      <c r="H8365" s="1" t="str">
        <f t="shared" si="3"/>
        <v>Currently Unavailable</v>
      </c>
      <c r="I8365" s="1" t="str">
        <f t="shared" si="4"/>
        <v>No Badges</v>
      </c>
      <c r="J8365" s="3">
        <f t="shared" si="5"/>
        <v>0</v>
      </c>
    </row>
    <row r="8366">
      <c r="A8366" s="1" t="s">
        <v>6386</v>
      </c>
      <c r="B8366" s="3" t="str">
        <f t="shared" si="1"/>
        <v>Unavailable</v>
      </c>
      <c r="C8366" s="5">
        <v>2468.0</v>
      </c>
      <c r="D8366" s="3">
        <f>IFERROR(__xludf.DUMMYFUNCTION("IFERROR(
IF(REGEXMATCH(LOWER(O8366),""k""),
VALUE(REGEXEXTRACT(O8366,""[0-9]+""))*1000,
VALUE(REGEXEXTRACT(O8366,""[0-9]+""))
),
0
)"),0.0)</f>
        <v>0</v>
      </c>
      <c r="E8366" s="1" t="s">
        <v>11</v>
      </c>
      <c r="F8366" s="1" t="s">
        <v>20</v>
      </c>
      <c r="G8366" s="4" t="b">
        <f t="shared" si="2"/>
        <v>1</v>
      </c>
      <c r="H8366" s="1" t="str">
        <f t="shared" si="3"/>
        <v>Currently Unavailable</v>
      </c>
      <c r="I8366" s="1" t="str">
        <f t="shared" si="4"/>
        <v>No Badges</v>
      </c>
      <c r="J8366" s="3">
        <f t="shared" si="5"/>
        <v>0</v>
      </c>
    </row>
    <row r="8367">
      <c r="A8367" s="1" t="s">
        <v>6387</v>
      </c>
      <c r="B8367" s="3" t="str">
        <f t="shared" si="1"/>
        <v>Unavailable</v>
      </c>
      <c r="C8367" s="5">
        <v>1151.0</v>
      </c>
      <c r="D8367" s="3">
        <f>IFERROR(__xludf.DUMMYFUNCTION("IFERROR(
IF(REGEXMATCH(LOWER(O8367),""k""),
VALUE(REGEXEXTRACT(O8367,""[0-9]+""))*1000,
VALUE(REGEXEXTRACT(O8367,""[0-9]+""))
),
0
)"),0.0)</f>
        <v>0</v>
      </c>
      <c r="E8367" s="1" t="s">
        <v>158</v>
      </c>
      <c r="F8367" s="1" t="s">
        <v>20</v>
      </c>
      <c r="G8367" s="4" t="b">
        <f t="shared" si="2"/>
        <v>1</v>
      </c>
      <c r="H8367" s="1" t="str">
        <f t="shared" si="3"/>
        <v>Currently Unavailable</v>
      </c>
      <c r="I8367" s="1" t="str">
        <f t="shared" si="4"/>
        <v>No Badges</v>
      </c>
      <c r="J8367" s="3">
        <f t="shared" si="5"/>
        <v>0</v>
      </c>
    </row>
    <row r="8368">
      <c r="A8368" s="1" t="s">
        <v>6388</v>
      </c>
      <c r="B8368" s="3" t="str">
        <f t="shared" si="1"/>
        <v>Unavailable</v>
      </c>
      <c r="C8368" s="5">
        <v>1873.0</v>
      </c>
      <c r="D8368" s="3">
        <f>IFERROR(__xludf.DUMMYFUNCTION("IFERROR(
IF(REGEXMATCH(LOWER(O8368),""k""),
VALUE(REGEXEXTRACT(O8368,""[0-9]+""))*1000,
VALUE(REGEXEXTRACT(O8368,""[0-9]+""))
),
0
)"),0.0)</f>
        <v>0</v>
      </c>
      <c r="E8368" s="1" t="s">
        <v>11</v>
      </c>
      <c r="F8368" s="1" t="s">
        <v>20</v>
      </c>
      <c r="G8368" s="4" t="b">
        <f t="shared" si="2"/>
        <v>1</v>
      </c>
      <c r="H8368" s="1" t="str">
        <f t="shared" si="3"/>
        <v>Currently Unavailable</v>
      </c>
      <c r="I8368" s="1" t="str">
        <f t="shared" si="4"/>
        <v>No Badges</v>
      </c>
      <c r="J8368" s="3">
        <f t="shared" si="5"/>
        <v>0</v>
      </c>
    </row>
    <row r="8369">
      <c r="A8369" s="1" t="s">
        <v>6389</v>
      </c>
      <c r="B8369" s="3" t="str">
        <f t="shared" si="1"/>
        <v>Unavailable</v>
      </c>
      <c r="C8369" s="5">
        <v>2481.0</v>
      </c>
      <c r="D8369" s="3">
        <f>IFERROR(__xludf.DUMMYFUNCTION("IFERROR(
IF(REGEXMATCH(LOWER(O8369),""k""),
VALUE(REGEXEXTRACT(O8369,""[0-9]+""))*1000,
VALUE(REGEXEXTRACT(O8369,""[0-9]+""))
),
0
)"),0.0)</f>
        <v>0</v>
      </c>
      <c r="E8369" s="1" t="s">
        <v>11</v>
      </c>
      <c r="F8369" s="1" t="s">
        <v>20</v>
      </c>
      <c r="G8369" s="4" t="b">
        <f t="shared" si="2"/>
        <v>1</v>
      </c>
      <c r="H8369" s="1" t="str">
        <f t="shared" si="3"/>
        <v>Currently Unavailable</v>
      </c>
      <c r="I8369" s="1" t="str">
        <f t="shared" si="4"/>
        <v>No Badges</v>
      </c>
      <c r="J8369" s="3">
        <f t="shared" si="5"/>
        <v>0</v>
      </c>
    </row>
    <row r="8370">
      <c r="A8370" s="1" t="s">
        <v>6390</v>
      </c>
      <c r="B8370" s="3" t="str">
        <f t="shared" si="1"/>
        <v>Unavailable</v>
      </c>
      <c r="C8370" s="5">
        <v>2012.0</v>
      </c>
      <c r="D8370" s="3">
        <f>IFERROR(__xludf.DUMMYFUNCTION("IFERROR(
IF(REGEXMATCH(LOWER(O8370),""k""),
VALUE(REGEXEXTRACT(O8370,""[0-9]+""))*1000,
VALUE(REGEXEXTRACT(O8370,""[0-9]+""))
),
0
)"),0.0)</f>
        <v>0</v>
      </c>
      <c r="E8370" s="1" t="s">
        <v>11</v>
      </c>
      <c r="F8370" s="1" t="s">
        <v>20</v>
      </c>
      <c r="G8370" s="4" t="b">
        <f t="shared" si="2"/>
        <v>1</v>
      </c>
      <c r="H8370" s="1" t="str">
        <f t="shared" si="3"/>
        <v>Currently Unavailable</v>
      </c>
      <c r="I8370" s="1" t="str">
        <f t="shared" si="4"/>
        <v>No Badges</v>
      </c>
      <c r="J8370" s="3">
        <f t="shared" si="5"/>
        <v>0</v>
      </c>
    </row>
    <row r="8371">
      <c r="A8371" s="1" t="s">
        <v>6391</v>
      </c>
      <c r="B8371" s="3" t="str">
        <f t="shared" si="1"/>
        <v>Unavailable</v>
      </c>
      <c r="C8371" s="5">
        <v>1398.0</v>
      </c>
      <c r="D8371" s="3">
        <f>IFERROR(__xludf.DUMMYFUNCTION("IFERROR(
IF(REGEXMATCH(LOWER(O8371),""k""),
VALUE(REGEXEXTRACT(O8371,""[0-9]+""))*1000,
VALUE(REGEXEXTRACT(O8371,""[0-9]+""))
),
0
)"),0.0)</f>
        <v>0</v>
      </c>
      <c r="E8371" s="1" t="s">
        <v>11</v>
      </c>
      <c r="F8371" s="1" t="s">
        <v>20</v>
      </c>
      <c r="G8371" s="4" t="b">
        <f t="shared" si="2"/>
        <v>1</v>
      </c>
      <c r="H8371" s="1" t="str">
        <f t="shared" si="3"/>
        <v>Currently Unavailable</v>
      </c>
      <c r="I8371" s="1" t="str">
        <f t="shared" si="4"/>
        <v>No Badges</v>
      </c>
      <c r="J8371" s="3">
        <f t="shared" si="5"/>
        <v>0</v>
      </c>
    </row>
    <row r="8372">
      <c r="A8372" s="1" t="s">
        <v>6392</v>
      </c>
      <c r="B8372" s="3" t="str">
        <f t="shared" si="1"/>
        <v>Unavailable</v>
      </c>
      <c r="C8372" s="5">
        <v>3676.0</v>
      </c>
      <c r="D8372" s="3">
        <f>IFERROR(__xludf.DUMMYFUNCTION("IFERROR(
IF(REGEXMATCH(LOWER(O8372),""k""),
VALUE(REGEXEXTRACT(O8372,""[0-9]+""))*1000,
VALUE(REGEXEXTRACT(O8372,""[0-9]+""))
),
0
)"),0.0)</f>
        <v>0</v>
      </c>
      <c r="E8372" s="1" t="s">
        <v>11</v>
      </c>
      <c r="F8372" s="1" t="s">
        <v>20</v>
      </c>
      <c r="G8372" s="4" t="b">
        <f t="shared" si="2"/>
        <v>1</v>
      </c>
      <c r="H8372" s="1" t="str">
        <f t="shared" si="3"/>
        <v>Currently Unavailable</v>
      </c>
      <c r="I8372" s="1" t="str">
        <f t="shared" si="4"/>
        <v>No Badges</v>
      </c>
      <c r="J8372" s="3">
        <f t="shared" si="5"/>
        <v>0</v>
      </c>
    </row>
    <row r="8373">
      <c r="A8373" s="1" t="s">
        <v>6393</v>
      </c>
      <c r="B8373" s="3" t="str">
        <f t="shared" si="1"/>
        <v>Unavailable</v>
      </c>
      <c r="C8373" s="5">
        <v>11589.0</v>
      </c>
      <c r="D8373" s="3">
        <f>IFERROR(__xludf.DUMMYFUNCTION("IFERROR(
IF(REGEXMATCH(LOWER(O8373),""k""),
VALUE(REGEXEXTRACT(O8373,""[0-9]+""))*1000,
VALUE(REGEXEXTRACT(O8373,""[0-9]+""))
),
0
)"),0.0)</f>
        <v>0</v>
      </c>
      <c r="E8373" s="1" t="s">
        <v>11</v>
      </c>
      <c r="F8373" s="1" t="s">
        <v>20</v>
      </c>
      <c r="G8373" s="4" t="b">
        <f t="shared" si="2"/>
        <v>1</v>
      </c>
      <c r="H8373" s="1" t="str">
        <f t="shared" si="3"/>
        <v>Currently Unavailable</v>
      </c>
      <c r="I8373" s="1" t="str">
        <f t="shared" si="4"/>
        <v>No Badges</v>
      </c>
      <c r="J8373" s="3">
        <f t="shared" si="5"/>
        <v>0</v>
      </c>
    </row>
    <row r="8374">
      <c r="A8374" s="1" t="s">
        <v>6394</v>
      </c>
      <c r="B8374" s="3" t="str">
        <f t="shared" si="1"/>
        <v>Unavailable</v>
      </c>
      <c r="C8374" s="3">
        <v>207.0</v>
      </c>
      <c r="D8374" s="3">
        <f>IFERROR(__xludf.DUMMYFUNCTION("IFERROR(
IF(REGEXMATCH(LOWER(O8374),""k""),
VALUE(REGEXEXTRACT(O8374,""[0-9]+""))*1000,
VALUE(REGEXEXTRACT(O8374,""[0-9]+""))
),
0
)"),0.0)</f>
        <v>0</v>
      </c>
      <c r="E8374" s="1" t="s">
        <v>11</v>
      </c>
      <c r="F8374" s="1" t="s">
        <v>20</v>
      </c>
      <c r="G8374" s="4" t="b">
        <f t="shared" si="2"/>
        <v>1</v>
      </c>
      <c r="H8374" s="1" t="str">
        <f t="shared" si="3"/>
        <v>Currently Unavailable</v>
      </c>
      <c r="I8374" s="1" t="str">
        <f t="shared" si="4"/>
        <v>No Badges</v>
      </c>
      <c r="J8374" s="3">
        <f t="shared" si="5"/>
        <v>0</v>
      </c>
    </row>
    <row r="8375">
      <c r="A8375" s="1" t="s">
        <v>67</v>
      </c>
      <c r="B8375" s="3" t="str">
        <f t="shared" si="1"/>
        <v>Unavailable</v>
      </c>
      <c r="C8375" s="3">
        <v>264.0</v>
      </c>
      <c r="D8375" s="3">
        <f>IFERROR(__xludf.DUMMYFUNCTION("IFERROR(
IF(REGEXMATCH(LOWER(O8375),""k""),
VALUE(REGEXEXTRACT(O8375,""[0-9]+""))*1000,
VALUE(REGEXEXTRACT(O8375,""[0-9]+""))
),
0
)"),0.0)</f>
        <v>0</v>
      </c>
      <c r="E8375" s="1" t="s">
        <v>11</v>
      </c>
      <c r="F8375" s="1" t="s">
        <v>12</v>
      </c>
      <c r="G8375" s="4" t="b">
        <f t="shared" si="2"/>
        <v>1</v>
      </c>
      <c r="H8375" s="1" t="str">
        <f t="shared" si="3"/>
        <v>Currently Unavailable</v>
      </c>
      <c r="I8375" s="1" t="str">
        <f t="shared" si="4"/>
        <v>No Badges</v>
      </c>
      <c r="J8375" s="3">
        <f t="shared" si="5"/>
        <v>0</v>
      </c>
    </row>
    <row r="8376">
      <c r="A8376" s="1" t="s">
        <v>6395</v>
      </c>
      <c r="B8376" s="3" t="str">
        <f t="shared" si="1"/>
        <v>Unavailable</v>
      </c>
      <c r="C8376" s="5">
        <v>6036.0</v>
      </c>
      <c r="D8376" s="3">
        <f>IFERROR(__xludf.DUMMYFUNCTION("IFERROR(
IF(REGEXMATCH(LOWER(O8376),""k""),
VALUE(REGEXEXTRACT(O8376,""[0-9]+""))*1000,
VALUE(REGEXEXTRACT(O8376,""[0-9]+""))
),
0
)"),0.0)</f>
        <v>0</v>
      </c>
      <c r="E8376" s="1" t="s">
        <v>11</v>
      </c>
      <c r="F8376" s="1" t="s">
        <v>20</v>
      </c>
      <c r="G8376" s="4" t="b">
        <f t="shared" si="2"/>
        <v>1</v>
      </c>
      <c r="H8376" s="1" t="str">
        <f t="shared" si="3"/>
        <v>Currently Unavailable</v>
      </c>
      <c r="I8376" s="1" t="str">
        <f t="shared" si="4"/>
        <v>No Badges</v>
      </c>
      <c r="J8376" s="3">
        <f t="shared" si="5"/>
        <v>0</v>
      </c>
    </row>
    <row r="8377">
      <c r="A8377" s="1" t="s">
        <v>701</v>
      </c>
      <c r="B8377" s="3" t="str">
        <f t="shared" si="1"/>
        <v>Unavailable</v>
      </c>
      <c r="C8377" s="3">
        <v>8.0</v>
      </c>
      <c r="D8377" s="3">
        <f>IFERROR(__xludf.DUMMYFUNCTION("IFERROR(
IF(REGEXMATCH(LOWER(O8377),""k""),
VALUE(REGEXEXTRACT(O8377,""[0-9]+""))*1000,
VALUE(REGEXEXTRACT(O8377,""[0-9]+""))
),
0
)"),0.0)</f>
        <v>0</v>
      </c>
      <c r="E8377" s="1" t="s">
        <v>11</v>
      </c>
      <c r="F8377" s="1" t="s">
        <v>12</v>
      </c>
      <c r="G8377" s="4" t="b">
        <f t="shared" si="2"/>
        <v>1</v>
      </c>
      <c r="H8377" s="1" t="str">
        <f t="shared" si="3"/>
        <v>Currently Unavailable</v>
      </c>
      <c r="I8377" s="1" t="str">
        <f t="shared" si="4"/>
        <v>No Badges</v>
      </c>
      <c r="J8377" s="3">
        <f t="shared" si="5"/>
        <v>0</v>
      </c>
    </row>
    <row r="8378">
      <c r="A8378" s="1" t="s">
        <v>6396</v>
      </c>
      <c r="B8378" s="3" t="str">
        <f t="shared" si="1"/>
        <v>Unavailable</v>
      </c>
      <c r="C8378" s="3">
        <v>663.0</v>
      </c>
      <c r="D8378" s="3">
        <f>IFERROR(__xludf.DUMMYFUNCTION("IFERROR(
IF(REGEXMATCH(LOWER(O8378),""k""),
VALUE(REGEXEXTRACT(O8378,""[0-9]+""))*1000,
VALUE(REGEXEXTRACT(O8378,""[0-9]+""))
),
0
)"),0.0)</f>
        <v>0</v>
      </c>
      <c r="E8378" s="1" t="s">
        <v>11</v>
      </c>
      <c r="F8378" s="1" t="s">
        <v>20</v>
      </c>
      <c r="G8378" s="4" t="b">
        <f t="shared" si="2"/>
        <v>1</v>
      </c>
      <c r="H8378" s="1" t="str">
        <f t="shared" si="3"/>
        <v>Currently Unavailable</v>
      </c>
      <c r="I8378" s="1" t="str">
        <f t="shared" si="4"/>
        <v>No Badges</v>
      </c>
      <c r="J8378" s="3">
        <f t="shared" si="5"/>
        <v>0</v>
      </c>
    </row>
    <row r="8379">
      <c r="A8379" s="1" t="s">
        <v>6397</v>
      </c>
      <c r="B8379" s="3" t="str">
        <f t="shared" si="1"/>
        <v>Unavailable</v>
      </c>
      <c r="C8379" s="5">
        <v>2037.0</v>
      </c>
      <c r="D8379" s="3">
        <f>IFERROR(__xludf.DUMMYFUNCTION("IFERROR(
IF(REGEXMATCH(LOWER(O8379),""k""),
VALUE(REGEXEXTRACT(O8379,""[0-9]+""))*1000,
VALUE(REGEXEXTRACT(O8379,""[0-9]+""))
),
0
)"),0.0)</f>
        <v>0</v>
      </c>
      <c r="E8379" s="1" t="s">
        <v>11</v>
      </c>
      <c r="F8379" s="1" t="s">
        <v>20</v>
      </c>
      <c r="G8379" s="4" t="b">
        <f t="shared" si="2"/>
        <v>1</v>
      </c>
      <c r="H8379" s="1" t="str">
        <f t="shared" si="3"/>
        <v>Currently Unavailable</v>
      </c>
      <c r="I8379" s="1" t="str">
        <f t="shared" si="4"/>
        <v>No Badges</v>
      </c>
      <c r="J8379" s="3">
        <f t="shared" si="5"/>
        <v>0</v>
      </c>
    </row>
    <row r="8380">
      <c r="A8380" s="1" t="s">
        <v>6398</v>
      </c>
      <c r="B8380" s="3" t="str">
        <f t="shared" si="1"/>
        <v>Unavailable</v>
      </c>
      <c r="C8380" s="5">
        <v>8126.0</v>
      </c>
      <c r="D8380" s="3">
        <f>IFERROR(__xludf.DUMMYFUNCTION("IFERROR(
IF(REGEXMATCH(LOWER(O8380),""k""),
VALUE(REGEXEXTRACT(O8380,""[0-9]+""))*1000,
VALUE(REGEXEXTRACT(O8380,""[0-9]+""))
),
0
)"),0.0)</f>
        <v>0</v>
      </c>
      <c r="E8380" s="1" t="s">
        <v>11</v>
      </c>
      <c r="F8380" s="1" t="s">
        <v>20</v>
      </c>
      <c r="G8380" s="4" t="b">
        <f t="shared" si="2"/>
        <v>1</v>
      </c>
      <c r="H8380" s="1" t="str">
        <f t="shared" si="3"/>
        <v>Currently Unavailable</v>
      </c>
      <c r="I8380" s="1" t="str">
        <f t="shared" si="4"/>
        <v>No Badges</v>
      </c>
      <c r="J8380" s="3">
        <f t="shared" si="5"/>
        <v>0</v>
      </c>
    </row>
    <row r="8381">
      <c r="A8381" s="1" t="s">
        <v>6399</v>
      </c>
      <c r="B8381" s="3" t="str">
        <f t="shared" si="1"/>
        <v>Unavailable</v>
      </c>
      <c r="C8381" s="5">
        <v>3545.0</v>
      </c>
      <c r="D8381" s="3">
        <f>IFERROR(__xludf.DUMMYFUNCTION("IFERROR(
IF(REGEXMATCH(LOWER(O8381),""k""),
VALUE(REGEXEXTRACT(O8381,""[0-9]+""))*1000,
VALUE(REGEXEXTRACT(O8381,""[0-9]+""))
),
0
)"),0.0)</f>
        <v>0</v>
      </c>
      <c r="E8381" s="1" t="s">
        <v>11</v>
      </c>
      <c r="F8381" s="1" t="s">
        <v>20</v>
      </c>
      <c r="G8381" s="4" t="b">
        <f t="shared" si="2"/>
        <v>1</v>
      </c>
      <c r="H8381" s="1" t="str">
        <f t="shared" si="3"/>
        <v>Currently Unavailable</v>
      </c>
      <c r="I8381" s="1" t="str">
        <f t="shared" si="4"/>
        <v>No Badges</v>
      </c>
      <c r="J8381" s="3">
        <f t="shared" si="5"/>
        <v>0</v>
      </c>
    </row>
    <row r="8382">
      <c r="A8382" s="1" t="s">
        <v>5817</v>
      </c>
      <c r="B8382" s="3" t="str">
        <f t="shared" si="1"/>
        <v>Unavailable</v>
      </c>
      <c r="C8382" s="5">
        <v>7235.0</v>
      </c>
      <c r="D8382" s="3">
        <f>IFERROR(__xludf.DUMMYFUNCTION("IFERROR(
IF(REGEXMATCH(LOWER(O8382),""k""),
VALUE(REGEXEXTRACT(O8382,""[0-9]+""))*1000,
VALUE(REGEXEXTRACT(O8382,""[0-9]+""))
),
0
)"),0.0)</f>
        <v>0</v>
      </c>
      <c r="E8382" s="1" t="s">
        <v>11</v>
      </c>
      <c r="F8382" s="1" t="s">
        <v>12</v>
      </c>
      <c r="G8382" s="4" t="b">
        <f t="shared" si="2"/>
        <v>1</v>
      </c>
      <c r="H8382" s="1" t="str">
        <f t="shared" si="3"/>
        <v>Currently Unavailable</v>
      </c>
      <c r="I8382" s="1" t="str">
        <f t="shared" si="4"/>
        <v>No Badges</v>
      </c>
      <c r="J8382" s="3">
        <f t="shared" si="5"/>
        <v>0</v>
      </c>
    </row>
    <row r="8383">
      <c r="A8383" s="1" t="s">
        <v>6400</v>
      </c>
      <c r="B8383" s="3" t="str">
        <f t="shared" si="1"/>
        <v>Unavailable</v>
      </c>
      <c r="C8383" s="3">
        <v>629.0</v>
      </c>
      <c r="D8383" s="3">
        <f>IFERROR(__xludf.DUMMYFUNCTION("IFERROR(
IF(REGEXMATCH(LOWER(O8383),""k""),
VALUE(REGEXEXTRACT(O8383,""[0-9]+""))*1000,
VALUE(REGEXEXTRACT(O8383,""[0-9]+""))
),
0
)"),0.0)</f>
        <v>0</v>
      </c>
      <c r="E8383" s="1" t="s">
        <v>11</v>
      </c>
      <c r="F8383" s="1" t="s">
        <v>20</v>
      </c>
      <c r="G8383" s="4" t="b">
        <f t="shared" si="2"/>
        <v>1</v>
      </c>
      <c r="H8383" s="1" t="str">
        <f t="shared" si="3"/>
        <v>Currently Unavailable</v>
      </c>
      <c r="I8383" s="1" t="str">
        <f t="shared" si="4"/>
        <v>No Badges</v>
      </c>
      <c r="J8383" s="3">
        <f t="shared" si="5"/>
        <v>0</v>
      </c>
    </row>
    <row r="8384">
      <c r="A8384" s="1" t="s">
        <v>6401</v>
      </c>
      <c r="B8384" s="3" t="str">
        <f t="shared" si="1"/>
        <v>Unavailable</v>
      </c>
      <c r="C8384" s="5">
        <v>1213.0</v>
      </c>
      <c r="D8384" s="3">
        <f>IFERROR(__xludf.DUMMYFUNCTION("IFERROR(
IF(REGEXMATCH(LOWER(O8384),""k""),
VALUE(REGEXEXTRACT(O8384,""[0-9]+""))*1000,
VALUE(REGEXEXTRACT(O8384,""[0-9]+""))
),
0
)"),0.0)</f>
        <v>0</v>
      </c>
      <c r="E8384" s="1" t="s">
        <v>11</v>
      </c>
      <c r="F8384" s="1" t="s">
        <v>20</v>
      </c>
      <c r="G8384" s="4" t="b">
        <f t="shared" si="2"/>
        <v>1</v>
      </c>
      <c r="H8384" s="1" t="str">
        <f t="shared" si="3"/>
        <v>Currently Unavailable</v>
      </c>
      <c r="I8384" s="1" t="str">
        <f t="shared" si="4"/>
        <v>No Badges</v>
      </c>
      <c r="J8384" s="3">
        <f t="shared" si="5"/>
        <v>0</v>
      </c>
    </row>
    <row r="8385">
      <c r="A8385" s="1" t="s">
        <v>6402</v>
      </c>
      <c r="B8385" s="3" t="str">
        <f t="shared" si="1"/>
        <v>Unavailable</v>
      </c>
      <c r="C8385" s="5">
        <v>2868.0</v>
      </c>
      <c r="D8385" s="3">
        <f>IFERROR(__xludf.DUMMYFUNCTION("IFERROR(
IF(REGEXMATCH(LOWER(O8385),""k""),
VALUE(REGEXEXTRACT(O8385,""[0-9]+""))*1000,
VALUE(REGEXEXTRACT(O8385,""[0-9]+""))
),
0
)"),0.0)</f>
        <v>0</v>
      </c>
      <c r="E8385" s="1" t="s">
        <v>11</v>
      </c>
      <c r="F8385" s="1" t="s">
        <v>20</v>
      </c>
      <c r="G8385" s="4" t="b">
        <f t="shared" si="2"/>
        <v>1</v>
      </c>
      <c r="H8385" s="1" t="str">
        <f t="shared" si="3"/>
        <v>Currently Unavailable</v>
      </c>
      <c r="I8385" s="1" t="str">
        <f t="shared" si="4"/>
        <v>No Badges</v>
      </c>
      <c r="J8385" s="3">
        <f t="shared" si="5"/>
        <v>0</v>
      </c>
    </row>
    <row r="8386">
      <c r="A8386" s="1" t="s">
        <v>6403</v>
      </c>
      <c r="B8386" s="3" t="str">
        <f t="shared" si="1"/>
        <v>Unavailable</v>
      </c>
      <c r="C8386" s="3">
        <v>202.0</v>
      </c>
      <c r="D8386" s="3">
        <f>IFERROR(__xludf.DUMMYFUNCTION("IFERROR(
IF(REGEXMATCH(LOWER(O8386),""k""),
VALUE(REGEXEXTRACT(O8386,""[0-9]+""))*1000,
VALUE(REGEXEXTRACT(O8386,""[0-9]+""))
),
0
)"),0.0)</f>
        <v>0</v>
      </c>
      <c r="E8386" s="1" t="s">
        <v>11</v>
      </c>
      <c r="F8386" s="1" t="s">
        <v>20</v>
      </c>
      <c r="G8386" s="4" t="b">
        <f t="shared" si="2"/>
        <v>1</v>
      </c>
      <c r="H8386" s="1" t="str">
        <f t="shared" si="3"/>
        <v>Currently Unavailable</v>
      </c>
      <c r="I8386" s="1" t="str">
        <f t="shared" si="4"/>
        <v>No Badges</v>
      </c>
      <c r="J8386" s="3">
        <f t="shared" si="5"/>
        <v>0</v>
      </c>
    </row>
    <row r="8387">
      <c r="A8387" s="1" t="s">
        <v>6404</v>
      </c>
      <c r="B8387" s="3" t="str">
        <f t="shared" si="1"/>
        <v>Unavailable</v>
      </c>
      <c r="C8387" s="5">
        <v>1106.0</v>
      </c>
      <c r="D8387" s="3">
        <f>IFERROR(__xludf.DUMMYFUNCTION("IFERROR(
IF(REGEXMATCH(LOWER(O8387),""k""),
VALUE(REGEXEXTRACT(O8387,""[0-9]+""))*1000,
VALUE(REGEXEXTRACT(O8387,""[0-9]+""))
),
0
)"),0.0)</f>
        <v>0</v>
      </c>
      <c r="E8387" s="1" t="s">
        <v>11</v>
      </c>
      <c r="F8387" s="1" t="s">
        <v>20</v>
      </c>
      <c r="G8387" s="4" t="b">
        <f t="shared" si="2"/>
        <v>1</v>
      </c>
      <c r="H8387" s="1" t="str">
        <f t="shared" si="3"/>
        <v>Currently Unavailable</v>
      </c>
      <c r="I8387" s="1" t="str">
        <f t="shared" si="4"/>
        <v>No Badges</v>
      </c>
      <c r="J8387" s="3">
        <f t="shared" si="5"/>
        <v>0</v>
      </c>
    </row>
    <row r="8388">
      <c r="A8388" s="1" t="s">
        <v>6405</v>
      </c>
      <c r="B8388" s="3" t="str">
        <f t="shared" si="1"/>
        <v>Unavailable</v>
      </c>
      <c r="C8388" s="3">
        <v>572.0</v>
      </c>
      <c r="D8388" s="3">
        <f>IFERROR(__xludf.DUMMYFUNCTION("IFERROR(
IF(REGEXMATCH(LOWER(O8388),""k""),
VALUE(REGEXEXTRACT(O8388,""[0-9]+""))*1000,
VALUE(REGEXEXTRACT(O8388,""[0-9]+""))
),
0
)"),0.0)</f>
        <v>0</v>
      </c>
      <c r="E8388" s="1" t="s">
        <v>11</v>
      </c>
      <c r="F8388" s="1" t="s">
        <v>20</v>
      </c>
      <c r="G8388" s="4" t="b">
        <f t="shared" si="2"/>
        <v>1</v>
      </c>
      <c r="H8388" s="1" t="str">
        <f t="shared" si="3"/>
        <v>Currently Unavailable</v>
      </c>
      <c r="I8388" s="1" t="str">
        <f t="shared" si="4"/>
        <v>No Badges</v>
      </c>
      <c r="J8388" s="3">
        <f t="shared" si="5"/>
        <v>0</v>
      </c>
    </row>
    <row r="8389">
      <c r="A8389" s="1" t="s">
        <v>6406</v>
      </c>
      <c r="B8389" s="3" t="str">
        <f t="shared" si="1"/>
        <v>Unavailable</v>
      </c>
      <c r="C8389" s="5">
        <v>34755.0</v>
      </c>
      <c r="D8389" s="3">
        <f>IFERROR(__xludf.DUMMYFUNCTION("IFERROR(
IF(REGEXMATCH(LOWER(O8389),""k""),
VALUE(REGEXEXTRACT(O8389,""[0-9]+""))*1000,
VALUE(REGEXEXTRACT(O8389,""[0-9]+""))
),
0
)"),0.0)</f>
        <v>0</v>
      </c>
      <c r="E8389" s="1" t="s">
        <v>11</v>
      </c>
      <c r="F8389" s="1" t="s">
        <v>20</v>
      </c>
      <c r="G8389" s="4" t="b">
        <f t="shared" si="2"/>
        <v>1</v>
      </c>
      <c r="H8389" s="1" t="str">
        <f t="shared" si="3"/>
        <v>Currently Unavailable</v>
      </c>
      <c r="I8389" s="1" t="str">
        <f t="shared" si="4"/>
        <v>No Badges</v>
      </c>
      <c r="J8389" s="3">
        <f t="shared" si="5"/>
        <v>0</v>
      </c>
    </row>
    <row r="8390">
      <c r="A8390" s="1" t="s">
        <v>6407</v>
      </c>
      <c r="B8390" s="3" t="str">
        <f t="shared" si="1"/>
        <v>Unavailable</v>
      </c>
      <c r="C8390" s="5">
        <v>10963.0</v>
      </c>
      <c r="D8390" s="3">
        <f>IFERROR(__xludf.DUMMYFUNCTION("IFERROR(
IF(REGEXMATCH(LOWER(O8390),""k""),
VALUE(REGEXEXTRACT(O8390,""[0-9]+""))*1000,
VALUE(REGEXEXTRACT(O8390,""[0-9]+""))
),
0
)"),0.0)</f>
        <v>0</v>
      </c>
      <c r="E8390" s="1" t="s">
        <v>11</v>
      </c>
      <c r="F8390" s="1" t="s">
        <v>20</v>
      </c>
      <c r="G8390" s="4" t="b">
        <f t="shared" si="2"/>
        <v>1</v>
      </c>
      <c r="H8390" s="1" t="str">
        <f t="shared" si="3"/>
        <v>Currently Unavailable</v>
      </c>
      <c r="I8390" s="1" t="str">
        <f t="shared" si="4"/>
        <v>No Badges</v>
      </c>
      <c r="J8390" s="3">
        <f t="shared" si="5"/>
        <v>0</v>
      </c>
    </row>
    <row r="8391">
      <c r="A8391" s="1" t="s">
        <v>5817</v>
      </c>
      <c r="B8391" s="3" t="str">
        <f t="shared" si="1"/>
        <v>Unavailable</v>
      </c>
      <c r="C8391" s="5">
        <v>7235.0</v>
      </c>
      <c r="D8391" s="3">
        <f>IFERROR(__xludf.DUMMYFUNCTION("IFERROR(
IF(REGEXMATCH(LOWER(O8391),""k""),
VALUE(REGEXEXTRACT(O8391,""[0-9]+""))*1000,
VALUE(REGEXEXTRACT(O8391,""[0-9]+""))
),
0
)"),0.0)</f>
        <v>0</v>
      </c>
      <c r="E8391" s="1" t="s">
        <v>11</v>
      </c>
      <c r="F8391" s="1" t="s">
        <v>12</v>
      </c>
      <c r="G8391" s="4" t="b">
        <f t="shared" si="2"/>
        <v>1</v>
      </c>
      <c r="H8391" s="1" t="str">
        <f t="shared" si="3"/>
        <v>Currently Unavailable</v>
      </c>
      <c r="I8391" s="1" t="str">
        <f t="shared" si="4"/>
        <v>No Badges</v>
      </c>
      <c r="J8391" s="3">
        <f t="shared" si="5"/>
        <v>0</v>
      </c>
    </row>
    <row r="8392">
      <c r="A8392" s="1" t="s">
        <v>6408</v>
      </c>
      <c r="B8392" s="3" t="str">
        <f t="shared" si="1"/>
        <v>Unavailable</v>
      </c>
      <c r="C8392" s="3">
        <v>475.0</v>
      </c>
      <c r="D8392" s="3">
        <f>IFERROR(__xludf.DUMMYFUNCTION("IFERROR(
IF(REGEXMATCH(LOWER(O8392),""k""),
VALUE(REGEXEXTRACT(O8392,""[0-9]+""))*1000,
VALUE(REGEXEXTRACT(O8392,""[0-9]+""))
),
0
)"),0.0)</f>
        <v>0</v>
      </c>
      <c r="E8392" s="1" t="s">
        <v>11</v>
      </c>
      <c r="F8392" s="1" t="s">
        <v>20</v>
      </c>
      <c r="G8392" s="4" t="b">
        <f t="shared" si="2"/>
        <v>1</v>
      </c>
      <c r="H8392" s="1" t="str">
        <f t="shared" si="3"/>
        <v>Currently Unavailable</v>
      </c>
      <c r="I8392" s="1" t="str">
        <f t="shared" si="4"/>
        <v>No Badges</v>
      </c>
      <c r="J8392" s="3">
        <f t="shared" si="5"/>
        <v>0</v>
      </c>
    </row>
    <row r="8393">
      <c r="A8393" s="1" t="s">
        <v>6409</v>
      </c>
      <c r="B8393" s="3" t="str">
        <f t="shared" si="1"/>
        <v>Unavailable</v>
      </c>
      <c r="C8393" s="5">
        <v>1492.0</v>
      </c>
      <c r="D8393" s="3">
        <f>IFERROR(__xludf.DUMMYFUNCTION("IFERROR(
IF(REGEXMATCH(LOWER(O8393),""k""),
VALUE(REGEXEXTRACT(O8393,""[0-9]+""))*1000,
VALUE(REGEXEXTRACT(O8393,""[0-9]+""))
),
0
)"),0.0)</f>
        <v>0</v>
      </c>
      <c r="E8393" s="1" t="s">
        <v>11</v>
      </c>
      <c r="F8393" s="1" t="s">
        <v>20</v>
      </c>
      <c r="G8393" s="4" t="b">
        <f t="shared" si="2"/>
        <v>1</v>
      </c>
      <c r="H8393" s="1" t="str">
        <f t="shared" si="3"/>
        <v>Currently Unavailable</v>
      </c>
      <c r="I8393" s="1" t="str">
        <f t="shared" si="4"/>
        <v>No Badges</v>
      </c>
      <c r="J8393" s="3">
        <f t="shared" si="5"/>
        <v>0</v>
      </c>
    </row>
    <row r="8394">
      <c r="A8394" s="1" t="s">
        <v>5817</v>
      </c>
      <c r="B8394" s="3" t="str">
        <f t="shared" si="1"/>
        <v>Unavailable</v>
      </c>
      <c r="C8394" s="5">
        <v>7235.0</v>
      </c>
      <c r="D8394" s="3">
        <f>IFERROR(__xludf.DUMMYFUNCTION("IFERROR(
IF(REGEXMATCH(LOWER(O8394),""k""),
VALUE(REGEXEXTRACT(O8394,""[0-9]+""))*1000,
VALUE(REGEXEXTRACT(O8394,""[0-9]+""))
),
0
)"),0.0)</f>
        <v>0</v>
      </c>
      <c r="E8394" s="1" t="s">
        <v>11</v>
      </c>
      <c r="F8394" s="1" t="s">
        <v>12</v>
      </c>
      <c r="G8394" s="4" t="b">
        <f t="shared" si="2"/>
        <v>1</v>
      </c>
      <c r="H8394" s="1" t="str">
        <f t="shared" si="3"/>
        <v>Currently Unavailable</v>
      </c>
      <c r="I8394" s="1" t="str">
        <f t="shared" si="4"/>
        <v>No Badges</v>
      </c>
      <c r="J8394" s="3">
        <f t="shared" si="5"/>
        <v>0</v>
      </c>
    </row>
    <row r="8395">
      <c r="A8395" s="1" t="s">
        <v>6410</v>
      </c>
      <c r="B8395" s="3" t="str">
        <f t="shared" si="1"/>
        <v>Unavailable</v>
      </c>
      <c r="C8395" s="5">
        <v>1393.0</v>
      </c>
      <c r="D8395" s="3">
        <f>IFERROR(__xludf.DUMMYFUNCTION("IFERROR(
IF(REGEXMATCH(LOWER(O8395),""k""),
VALUE(REGEXEXTRACT(O8395,""[0-9]+""))*1000,
VALUE(REGEXEXTRACT(O8395,""[0-9]+""))
),
0
)"),0.0)</f>
        <v>0</v>
      </c>
      <c r="E8395" s="1" t="s">
        <v>11</v>
      </c>
      <c r="F8395" s="1" t="s">
        <v>20</v>
      </c>
      <c r="G8395" s="4" t="b">
        <f t="shared" si="2"/>
        <v>1</v>
      </c>
      <c r="H8395" s="1" t="str">
        <f t="shared" si="3"/>
        <v>Currently Unavailable</v>
      </c>
      <c r="I8395" s="1" t="str">
        <f t="shared" si="4"/>
        <v>No Badges</v>
      </c>
      <c r="J8395" s="3">
        <f t="shared" si="5"/>
        <v>0</v>
      </c>
    </row>
    <row r="8396">
      <c r="A8396" s="1" t="s">
        <v>6411</v>
      </c>
      <c r="B8396" s="3" t="str">
        <f t="shared" si="1"/>
        <v>Unavailable</v>
      </c>
      <c r="C8396" s="3">
        <v>491.0</v>
      </c>
      <c r="D8396" s="3">
        <f>IFERROR(__xludf.DUMMYFUNCTION("IFERROR(
IF(REGEXMATCH(LOWER(O8396),""k""),
VALUE(REGEXEXTRACT(O8396,""[0-9]+""))*1000,
VALUE(REGEXEXTRACT(O8396,""[0-9]+""))
),
0
)"),0.0)</f>
        <v>0</v>
      </c>
      <c r="E8396" s="1" t="s">
        <v>11</v>
      </c>
      <c r="F8396" s="1" t="s">
        <v>20</v>
      </c>
      <c r="G8396" s="4" t="b">
        <f t="shared" si="2"/>
        <v>1</v>
      </c>
      <c r="H8396" s="1" t="str">
        <f t="shared" si="3"/>
        <v>Currently Unavailable</v>
      </c>
      <c r="I8396" s="1" t="str">
        <f t="shared" si="4"/>
        <v>No Badges</v>
      </c>
      <c r="J8396" s="3">
        <f t="shared" si="5"/>
        <v>0</v>
      </c>
    </row>
    <row r="8397">
      <c r="A8397" s="1" t="s">
        <v>6412</v>
      </c>
      <c r="B8397" s="3" t="str">
        <f t="shared" si="1"/>
        <v>Unavailable</v>
      </c>
      <c r="C8397" s="3">
        <v>325.0</v>
      </c>
      <c r="D8397" s="3">
        <f>IFERROR(__xludf.DUMMYFUNCTION("IFERROR(
IF(REGEXMATCH(LOWER(O8397),""k""),
VALUE(REGEXEXTRACT(O8397,""[0-9]+""))*1000,
VALUE(REGEXEXTRACT(O8397,""[0-9]+""))
),
0
)"),0.0)</f>
        <v>0</v>
      </c>
      <c r="E8397" s="1" t="s">
        <v>11</v>
      </c>
      <c r="F8397" s="1" t="s">
        <v>20</v>
      </c>
      <c r="G8397" s="4" t="b">
        <f t="shared" si="2"/>
        <v>1</v>
      </c>
      <c r="H8397" s="1" t="str">
        <f t="shared" si="3"/>
        <v>Currently Unavailable</v>
      </c>
      <c r="I8397" s="1" t="str">
        <f t="shared" si="4"/>
        <v>No Badges</v>
      </c>
      <c r="J8397" s="3">
        <f t="shared" si="5"/>
        <v>0</v>
      </c>
    </row>
    <row r="8398">
      <c r="A8398" s="1" t="s">
        <v>6413</v>
      </c>
      <c r="B8398" s="3" t="str">
        <f t="shared" si="1"/>
        <v>Unavailable</v>
      </c>
      <c r="C8398" s="5">
        <v>39146.0</v>
      </c>
      <c r="D8398" s="3">
        <f>IFERROR(__xludf.DUMMYFUNCTION("IFERROR(
IF(REGEXMATCH(LOWER(O8398),""k""),
VALUE(REGEXEXTRACT(O8398,""[0-9]+""))*1000,
VALUE(REGEXEXTRACT(O8398,""[0-9]+""))
),
0
)"),0.0)</f>
        <v>0</v>
      </c>
      <c r="E8398" s="1" t="s">
        <v>11</v>
      </c>
      <c r="F8398" s="1" t="s">
        <v>20</v>
      </c>
      <c r="G8398" s="4" t="b">
        <f t="shared" si="2"/>
        <v>1</v>
      </c>
      <c r="H8398" s="1" t="str">
        <f t="shared" si="3"/>
        <v>Currently Unavailable</v>
      </c>
      <c r="I8398" s="1" t="str">
        <f t="shared" si="4"/>
        <v>No Badges</v>
      </c>
      <c r="J8398" s="3">
        <f t="shared" si="5"/>
        <v>0</v>
      </c>
    </row>
    <row r="8399">
      <c r="A8399" s="1" t="s">
        <v>6414</v>
      </c>
      <c r="B8399" s="3" t="str">
        <f t="shared" si="1"/>
        <v>Unavailable</v>
      </c>
      <c r="C8399" s="3">
        <v>560.0</v>
      </c>
      <c r="D8399" s="3">
        <f>IFERROR(__xludf.DUMMYFUNCTION("IFERROR(
IF(REGEXMATCH(LOWER(O8399),""k""),
VALUE(REGEXEXTRACT(O8399,""[0-9]+""))*1000,
VALUE(REGEXEXTRACT(O8399,""[0-9]+""))
),
0
)"),0.0)</f>
        <v>0</v>
      </c>
      <c r="E8399" s="1" t="s">
        <v>11</v>
      </c>
      <c r="F8399" s="1" t="s">
        <v>20</v>
      </c>
      <c r="G8399" s="4" t="b">
        <f t="shared" si="2"/>
        <v>1</v>
      </c>
      <c r="H8399" s="1" t="str">
        <f t="shared" si="3"/>
        <v>Currently Unavailable</v>
      </c>
      <c r="I8399" s="1" t="str">
        <f t="shared" si="4"/>
        <v>No Badges</v>
      </c>
      <c r="J8399" s="3">
        <f t="shared" si="5"/>
        <v>0</v>
      </c>
    </row>
    <row r="8400">
      <c r="A8400" s="1" t="s">
        <v>6415</v>
      </c>
      <c r="B8400" s="3" t="str">
        <f t="shared" si="1"/>
        <v>Unavailable</v>
      </c>
      <c r="C8400" s="3">
        <v>158.0</v>
      </c>
      <c r="D8400" s="3">
        <f>IFERROR(__xludf.DUMMYFUNCTION("IFERROR(
IF(REGEXMATCH(LOWER(O8400),""k""),
VALUE(REGEXEXTRACT(O8400,""[0-9]+""))*1000,
VALUE(REGEXEXTRACT(O8400,""[0-9]+""))
),
0
)"),0.0)</f>
        <v>0</v>
      </c>
      <c r="E8400" s="1" t="s">
        <v>11</v>
      </c>
      <c r="F8400" s="1" t="s">
        <v>20</v>
      </c>
      <c r="G8400" s="4" t="b">
        <f t="shared" si="2"/>
        <v>1</v>
      </c>
      <c r="H8400" s="1" t="str">
        <f t="shared" si="3"/>
        <v>Currently Unavailable</v>
      </c>
      <c r="I8400" s="1" t="str">
        <f t="shared" si="4"/>
        <v>No Badges</v>
      </c>
      <c r="J8400" s="3">
        <f t="shared" si="5"/>
        <v>0</v>
      </c>
    </row>
    <row r="8401">
      <c r="A8401" s="1" t="s">
        <v>6416</v>
      </c>
      <c r="B8401" s="3" t="str">
        <f t="shared" si="1"/>
        <v>Unavailable</v>
      </c>
      <c r="C8401" s="3">
        <v>927.0</v>
      </c>
      <c r="D8401" s="3">
        <f>IFERROR(__xludf.DUMMYFUNCTION("IFERROR(
IF(REGEXMATCH(LOWER(O8401),""k""),
VALUE(REGEXEXTRACT(O8401,""[0-9]+""))*1000,
VALUE(REGEXEXTRACT(O8401,""[0-9]+""))
),
0
)"),0.0)</f>
        <v>0</v>
      </c>
      <c r="E8401" s="1" t="s">
        <v>11</v>
      </c>
      <c r="F8401" s="1" t="s">
        <v>20</v>
      </c>
      <c r="G8401" s="4" t="b">
        <f t="shared" si="2"/>
        <v>1</v>
      </c>
      <c r="H8401" s="1" t="str">
        <f t="shared" si="3"/>
        <v>Currently Unavailable</v>
      </c>
      <c r="I8401" s="1" t="str">
        <f t="shared" si="4"/>
        <v>No Badges</v>
      </c>
      <c r="J8401" s="3">
        <f t="shared" si="5"/>
        <v>0</v>
      </c>
    </row>
    <row r="8402">
      <c r="A8402" s="1" t="s">
        <v>5817</v>
      </c>
      <c r="B8402" s="3" t="str">
        <f t="shared" si="1"/>
        <v>Unavailable</v>
      </c>
      <c r="C8402" s="5">
        <v>7235.0</v>
      </c>
      <c r="D8402" s="3">
        <f>IFERROR(__xludf.DUMMYFUNCTION("IFERROR(
IF(REGEXMATCH(LOWER(O8402),""k""),
VALUE(REGEXEXTRACT(O8402,""[0-9]+""))*1000,
VALUE(REGEXEXTRACT(O8402,""[0-9]+""))
),
0
)"),0.0)</f>
        <v>0</v>
      </c>
      <c r="E8402" s="1" t="s">
        <v>11</v>
      </c>
      <c r="F8402" s="1" t="s">
        <v>12</v>
      </c>
      <c r="G8402" s="4" t="b">
        <f t="shared" si="2"/>
        <v>1</v>
      </c>
      <c r="H8402" s="1" t="str">
        <f t="shared" si="3"/>
        <v>Currently Unavailable</v>
      </c>
      <c r="I8402" s="1" t="str">
        <f t="shared" si="4"/>
        <v>No Badges</v>
      </c>
      <c r="J8402" s="3">
        <f t="shared" si="5"/>
        <v>0</v>
      </c>
    </row>
    <row r="8403">
      <c r="A8403" s="1" t="s">
        <v>6417</v>
      </c>
      <c r="B8403" s="3" t="str">
        <f t="shared" si="1"/>
        <v>Unavailable</v>
      </c>
      <c r="C8403" s="3">
        <v>117.0</v>
      </c>
      <c r="D8403" s="3">
        <f>IFERROR(__xludf.DUMMYFUNCTION("IFERROR(
IF(REGEXMATCH(LOWER(O8403),""k""),
VALUE(REGEXEXTRACT(O8403,""[0-9]+""))*1000,
VALUE(REGEXEXTRACT(O8403,""[0-9]+""))
),
0
)"),0.0)</f>
        <v>0</v>
      </c>
      <c r="E8403" s="1" t="s">
        <v>11</v>
      </c>
      <c r="F8403" s="1" t="s">
        <v>20</v>
      </c>
      <c r="G8403" s="4" t="b">
        <f t="shared" si="2"/>
        <v>1</v>
      </c>
      <c r="H8403" s="1" t="str">
        <f t="shared" si="3"/>
        <v>Currently Unavailable</v>
      </c>
      <c r="I8403" s="1" t="str">
        <f t="shared" si="4"/>
        <v>No Badges</v>
      </c>
      <c r="J8403" s="3">
        <f t="shared" si="5"/>
        <v>0</v>
      </c>
    </row>
    <row r="8404">
      <c r="A8404" s="1" t="s">
        <v>6418</v>
      </c>
      <c r="B8404" s="3" t="str">
        <f t="shared" si="1"/>
        <v>Unavailable</v>
      </c>
      <c r="C8404" s="5">
        <v>2257.0</v>
      </c>
      <c r="D8404" s="3">
        <f>IFERROR(__xludf.DUMMYFUNCTION("IFERROR(
IF(REGEXMATCH(LOWER(O8404),""k""),
VALUE(REGEXEXTRACT(O8404,""[0-9]+""))*1000,
VALUE(REGEXEXTRACT(O8404,""[0-9]+""))
),
0
)"),0.0)</f>
        <v>0</v>
      </c>
      <c r="E8404" s="1" t="s">
        <v>11</v>
      </c>
      <c r="F8404" s="1" t="s">
        <v>20</v>
      </c>
      <c r="G8404" s="4" t="b">
        <f t="shared" si="2"/>
        <v>1</v>
      </c>
      <c r="H8404" s="1" t="str">
        <f t="shared" si="3"/>
        <v>Currently Unavailable</v>
      </c>
      <c r="I8404" s="1" t="str">
        <f t="shared" si="4"/>
        <v>No Badges</v>
      </c>
      <c r="J8404" s="3">
        <f t="shared" si="5"/>
        <v>0</v>
      </c>
    </row>
    <row r="8405">
      <c r="A8405" s="1" t="s">
        <v>6150</v>
      </c>
      <c r="B8405" s="3" t="str">
        <f t="shared" si="1"/>
        <v>Unavailable</v>
      </c>
      <c r="C8405" s="3">
        <v>732.0</v>
      </c>
      <c r="D8405" s="3">
        <f>IFERROR(__xludf.DUMMYFUNCTION("IFERROR(
IF(REGEXMATCH(LOWER(O8405),""k""),
VALUE(REGEXEXTRACT(O8405,""[0-9]+""))*1000,
VALUE(REGEXEXTRACT(O8405,""[0-9]+""))
),
0
)"),0.0)</f>
        <v>0</v>
      </c>
      <c r="E8405" s="1" t="s">
        <v>11</v>
      </c>
      <c r="F8405" s="1" t="s">
        <v>12</v>
      </c>
      <c r="G8405" s="4" t="b">
        <f t="shared" si="2"/>
        <v>1</v>
      </c>
      <c r="H8405" s="1" t="str">
        <f t="shared" si="3"/>
        <v>Currently Unavailable</v>
      </c>
      <c r="I8405" s="1" t="str">
        <f t="shared" si="4"/>
        <v>No Badges</v>
      </c>
      <c r="J8405" s="3">
        <f t="shared" si="5"/>
        <v>0</v>
      </c>
    </row>
    <row r="8406">
      <c r="A8406" s="1" t="s">
        <v>5817</v>
      </c>
      <c r="B8406" s="3" t="str">
        <f t="shared" si="1"/>
        <v>Unavailable</v>
      </c>
      <c r="C8406" s="5">
        <v>7235.0</v>
      </c>
      <c r="D8406" s="3">
        <f>IFERROR(__xludf.DUMMYFUNCTION("IFERROR(
IF(REGEXMATCH(LOWER(O8406),""k""),
VALUE(REGEXEXTRACT(O8406,""[0-9]+""))*1000,
VALUE(REGEXEXTRACT(O8406,""[0-9]+""))
),
0
)"),0.0)</f>
        <v>0</v>
      </c>
      <c r="E8406" s="1" t="s">
        <v>11</v>
      </c>
      <c r="F8406" s="1" t="s">
        <v>12</v>
      </c>
      <c r="G8406" s="4" t="b">
        <f t="shared" si="2"/>
        <v>1</v>
      </c>
      <c r="H8406" s="1" t="str">
        <f t="shared" si="3"/>
        <v>Currently Unavailable</v>
      </c>
      <c r="I8406" s="1" t="str">
        <f t="shared" si="4"/>
        <v>No Badges</v>
      </c>
      <c r="J8406" s="3">
        <f t="shared" si="5"/>
        <v>0</v>
      </c>
    </row>
    <row r="8407">
      <c r="A8407" s="1" t="s">
        <v>6419</v>
      </c>
      <c r="B8407" s="3" t="str">
        <f t="shared" si="1"/>
        <v>Unavailable</v>
      </c>
      <c r="C8407" s="5">
        <v>1566.0</v>
      </c>
      <c r="D8407" s="3">
        <f>IFERROR(__xludf.DUMMYFUNCTION("IFERROR(
IF(REGEXMATCH(LOWER(O8407),""k""),
VALUE(REGEXEXTRACT(O8407,""[0-9]+""))*1000,
VALUE(REGEXEXTRACT(O8407,""[0-9]+""))
),
0
)"),0.0)</f>
        <v>0</v>
      </c>
      <c r="E8407" s="1" t="s">
        <v>11</v>
      </c>
      <c r="F8407" s="1" t="s">
        <v>20</v>
      </c>
      <c r="G8407" s="4" t="b">
        <f t="shared" si="2"/>
        <v>1</v>
      </c>
      <c r="H8407" s="1" t="str">
        <f t="shared" si="3"/>
        <v>Currently Unavailable</v>
      </c>
      <c r="I8407" s="1" t="str">
        <f t="shared" si="4"/>
        <v>No Badges</v>
      </c>
      <c r="J8407" s="3">
        <f t="shared" si="5"/>
        <v>0</v>
      </c>
    </row>
    <row r="8408">
      <c r="A8408" s="1" t="s">
        <v>604</v>
      </c>
      <c r="B8408" s="3" t="str">
        <f t="shared" si="1"/>
        <v>Unavailable</v>
      </c>
      <c r="C8408" s="3">
        <v>30.0</v>
      </c>
      <c r="D8408" s="3">
        <f>IFERROR(__xludf.DUMMYFUNCTION("IFERROR(
IF(REGEXMATCH(LOWER(O8408),""k""),
VALUE(REGEXEXTRACT(O8408,""[0-9]+""))*1000,
VALUE(REGEXEXTRACT(O8408,""[0-9]+""))
),
0
)"),0.0)</f>
        <v>0</v>
      </c>
      <c r="E8408" s="1" t="s">
        <v>11</v>
      </c>
      <c r="F8408" s="1" t="s">
        <v>12</v>
      </c>
      <c r="G8408" s="4" t="b">
        <f t="shared" si="2"/>
        <v>1</v>
      </c>
      <c r="H8408" s="1" t="str">
        <f t="shared" si="3"/>
        <v>Currently Unavailable</v>
      </c>
      <c r="I8408" s="1" t="str">
        <f t="shared" si="4"/>
        <v>No Badges</v>
      </c>
      <c r="J8408" s="3">
        <f t="shared" si="5"/>
        <v>0</v>
      </c>
    </row>
    <row r="8409">
      <c r="A8409" s="1" t="s">
        <v>69</v>
      </c>
      <c r="B8409" s="3" t="str">
        <f t="shared" si="1"/>
        <v>Unavailable</v>
      </c>
      <c r="C8409" s="3">
        <v>45.0</v>
      </c>
      <c r="D8409" s="3">
        <f>IFERROR(__xludf.DUMMYFUNCTION("IFERROR(
IF(REGEXMATCH(LOWER(O8409),""k""),
VALUE(REGEXEXTRACT(O8409,""[0-9]+""))*1000,
VALUE(REGEXEXTRACT(O8409,""[0-9]+""))
),
0
)"),0.0)</f>
        <v>0</v>
      </c>
      <c r="E8409" s="1" t="s">
        <v>11</v>
      </c>
      <c r="F8409" s="1" t="s">
        <v>12</v>
      </c>
      <c r="G8409" s="4" t="b">
        <f t="shared" si="2"/>
        <v>1</v>
      </c>
      <c r="H8409" s="1" t="str">
        <f t="shared" si="3"/>
        <v>Currently Unavailable</v>
      </c>
      <c r="I8409" s="1" t="str">
        <f t="shared" si="4"/>
        <v>No Badges</v>
      </c>
      <c r="J8409" s="3">
        <f t="shared" si="5"/>
        <v>0</v>
      </c>
    </row>
    <row r="8410">
      <c r="A8410" s="1" t="s">
        <v>67</v>
      </c>
      <c r="B8410" s="3" t="str">
        <f t="shared" si="1"/>
        <v>Unavailable</v>
      </c>
      <c r="C8410" s="3">
        <v>264.0</v>
      </c>
      <c r="D8410" s="3">
        <f>IFERROR(__xludf.DUMMYFUNCTION("IFERROR(
IF(REGEXMATCH(LOWER(O8410),""k""),
VALUE(REGEXEXTRACT(O8410,""[0-9]+""))*1000,
VALUE(REGEXEXTRACT(O8410,""[0-9]+""))
),
0
)"),0.0)</f>
        <v>0</v>
      </c>
      <c r="E8410" s="1" t="s">
        <v>11</v>
      </c>
      <c r="F8410" s="1" t="s">
        <v>12</v>
      </c>
      <c r="G8410" s="4" t="b">
        <f t="shared" si="2"/>
        <v>1</v>
      </c>
      <c r="H8410" s="1" t="str">
        <f t="shared" si="3"/>
        <v>Currently Unavailable</v>
      </c>
      <c r="I8410" s="1" t="str">
        <f t="shared" si="4"/>
        <v>No Badges</v>
      </c>
      <c r="J8410" s="3">
        <f t="shared" si="5"/>
        <v>0</v>
      </c>
    </row>
    <row r="8411">
      <c r="A8411" s="1" t="s">
        <v>6420</v>
      </c>
      <c r="B8411" s="3" t="str">
        <f t="shared" si="1"/>
        <v>Unavailable</v>
      </c>
      <c r="C8411" s="3">
        <v>440.0</v>
      </c>
      <c r="D8411" s="3">
        <f>IFERROR(__xludf.DUMMYFUNCTION("IFERROR(
IF(REGEXMATCH(LOWER(O8411),""k""),
VALUE(REGEXEXTRACT(O8411,""[0-9]+""))*1000,
VALUE(REGEXEXTRACT(O8411,""[0-9]+""))
),
0
)"),0.0)</f>
        <v>0</v>
      </c>
      <c r="E8411" s="1" t="s">
        <v>11</v>
      </c>
      <c r="F8411" s="1" t="s">
        <v>20</v>
      </c>
      <c r="G8411" s="4" t="b">
        <f t="shared" si="2"/>
        <v>1</v>
      </c>
      <c r="H8411" s="1" t="str">
        <f t="shared" si="3"/>
        <v>Currently Unavailable</v>
      </c>
      <c r="I8411" s="1" t="str">
        <f t="shared" si="4"/>
        <v>No Badges</v>
      </c>
      <c r="J8411" s="3">
        <f t="shared" si="5"/>
        <v>0</v>
      </c>
    </row>
    <row r="8412">
      <c r="A8412" s="1" t="s">
        <v>6421</v>
      </c>
      <c r="B8412" s="3" t="str">
        <f t="shared" si="1"/>
        <v>Unavailable</v>
      </c>
      <c r="C8412" s="5">
        <v>517617.0</v>
      </c>
      <c r="D8412" s="3">
        <f>IFERROR(__xludf.DUMMYFUNCTION("IFERROR(
IF(REGEXMATCH(LOWER(O8412),""k""),
VALUE(REGEXEXTRACT(O8412,""[0-9]+""))*1000,
VALUE(REGEXEXTRACT(O8412,""[0-9]+""))
),
0
)"),0.0)</f>
        <v>0</v>
      </c>
      <c r="E8412" s="1" t="s">
        <v>11</v>
      </c>
      <c r="F8412" s="1" t="s">
        <v>20</v>
      </c>
      <c r="G8412" s="4" t="b">
        <f t="shared" si="2"/>
        <v>1</v>
      </c>
      <c r="H8412" s="1" t="str">
        <f t="shared" si="3"/>
        <v>Currently Unavailable</v>
      </c>
      <c r="I8412" s="1" t="str">
        <f t="shared" si="4"/>
        <v>No Badges</v>
      </c>
      <c r="J8412" s="3">
        <f t="shared" si="5"/>
        <v>0</v>
      </c>
    </row>
    <row r="8413">
      <c r="A8413" s="1" t="s">
        <v>6422</v>
      </c>
      <c r="B8413" s="3" t="str">
        <f t="shared" si="1"/>
        <v>Unavailable</v>
      </c>
      <c r="C8413" s="3">
        <v>2.0</v>
      </c>
      <c r="D8413" s="3">
        <f>IFERROR(__xludf.DUMMYFUNCTION("IFERROR(
IF(REGEXMATCH(LOWER(O8413),""k""),
VALUE(REGEXEXTRACT(O8413,""[0-9]+""))*1000,
VALUE(REGEXEXTRACT(O8413,""[0-9]+""))
),
0
)"),0.0)</f>
        <v>0</v>
      </c>
      <c r="E8413" s="1" t="s">
        <v>11</v>
      </c>
      <c r="F8413" s="1" t="s">
        <v>20</v>
      </c>
      <c r="G8413" s="4" t="b">
        <f t="shared" si="2"/>
        <v>1</v>
      </c>
      <c r="H8413" s="1" t="str">
        <f t="shared" si="3"/>
        <v>Currently Unavailable</v>
      </c>
      <c r="I8413" s="1" t="str">
        <f t="shared" si="4"/>
        <v>No Badges</v>
      </c>
      <c r="J8413" s="3">
        <f t="shared" si="5"/>
        <v>0</v>
      </c>
    </row>
    <row r="8414">
      <c r="A8414" s="1" t="s">
        <v>6423</v>
      </c>
      <c r="B8414" s="3" t="str">
        <f t="shared" si="1"/>
        <v>Unavailable</v>
      </c>
      <c r="C8414" s="5">
        <v>3183.0</v>
      </c>
      <c r="D8414" s="3">
        <f>IFERROR(__xludf.DUMMYFUNCTION("IFERROR(
IF(REGEXMATCH(LOWER(O8414),""k""),
VALUE(REGEXEXTRACT(O8414,""[0-9]+""))*1000,
VALUE(REGEXEXTRACT(O8414,""[0-9]+""))
),
0
)"),0.0)</f>
        <v>0</v>
      </c>
      <c r="E8414" s="1" t="s">
        <v>11</v>
      </c>
      <c r="F8414" s="1" t="s">
        <v>20</v>
      </c>
      <c r="G8414" s="4" t="b">
        <f t="shared" si="2"/>
        <v>1</v>
      </c>
      <c r="H8414" s="1" t="str">
        <f t="shared" si="3"/>
        <v>Currently Unavailable</v>
      </c>
      <c r="I8414" s="1" t="str">
        <f t="shared" si="4"/>
        <v>No Badges</v>
      </c>
      <c r="J8414" s="3">
        <f t="shared" si="5"/>
        <v>0</v>
      </c>
    </row>
    <row r="8415">
      <c r="A8415" s="1" t="s">
        <v>6424</v>
      </c>
      <c r="B8415" s="3" t="str">
        <f t="shared" si="1"/>
        <v>Unavailable</v>
      </c>
      <c r="C8415" s="3">
        <v>265.0</v>
      </c>
      <c r="D8415" s="3">
        <f>IFERROR(__xludf.DUMMYFUNCTION("IFERROR(
IF(REGEXMATCH(LOWER(O8415),""k""),
VALUE(REGEXEXTRACT(O8415,""[0-9]+""))*1000,
VALUE(REGEXEXTRACT(O8415,""[0-9]+""))
),
0
)"),0.0)</f>
        <v>0</v>
      </c>
      <c r="E8415" s="1" t="s">
        <v>11</v>
      </c>
      <c r="F8415" s="1" t="s">
        <v>20</v>
      </c>
      <c r="G8415" s="4" t="b">
        <f t="shared" si="2"/>
        <v>1</v>
      </c>
      <c r="H8415" s="1" t="str">
        <f t="shared" si="3"/>
        <v>Currently Unavailable</v>
      </c>
      <c r="I8415" s="1" t="str">
        <f t="shared" si="4"/>
        <v>No Badges</v>
      </c>
      <c r="J8415" s="3">
        <f t="shared" si="5"/>
        <v>0</v>
      </c>
    </row>
    <row r="8416">
      <c r="A8416" s="1" t="s">
        <v>6425</v>
      </c>
      <c r="B8416" s="3" t="str">
        <f t="shared" si="1"/>
        <v>Unavailable</v>
      </c>
      <c r="C8416" s="5">
        <v>6466.0</v>
      </c>
      <c r="D8416" s="3">
        <f>IFERROR(__xludf.DUMMYFUNCTION("IFERROR(
IF(REGEXMATCH(LOWER(O8416),""k""),
VALUE(REGEXEXTRACT(O8416,""[0-9]+""))*1000,
VALUE(REGEXEXTRACT(O8416,""[0-9]+""))
),
0
)"),0.0)</f>
        <v>0</v>
      </c>
      <c r="E8416" s="1" t="s">
        <v>11</v>
      </c>
      <c r="F8416" s="1" t="s">
        <v>20</v>
      </c>
      <c r="G8416" s="4" t="b">
        <f t="shared" si="2"/>
        <v>1</v>
      </c>
      <c r="H8416" s="1" t="str">
        <f t="shared" si="3"/>
        <v>Currently Unavailable</v>
      </c>
      <c r="I8416" s="1" t="str">
        <f t="shared" si="4"/>
        <v>No Badges</v>
      </c>
      <c r="J8416" s="3">
        <f t="shared" si="5"/>
        <v>0</v>
      </c>
    </row>
    <row r="8417">
      <c r="A8417" s="1" t="s">
        <v>6426</v>
      </c>
      <c r="B8417" s="3" t="str">
        <f t="shared" si="1"/>
        <v>Unavailable</v>
      </c>
      <c r="C8417" s="3">
        <v>147.0</v>
      </c>
      <c r="D8417" s="3">
        <f>IFERROR(__xludf.DUMMYFUNCTION("IFERROR(
IF(REGEXMATCH(LOWER(O8417),""k""),
VALUE(REGEXEXTRACT(O8417,""[0-9]+""))*1000,
VALUE(REGEXEXTRACT(O8417,""[0-9]+""))
),
0
)"),0.0)</f>
        <v>0</v>
      </c>
      <c r="E8417" s="1" t="s">
        <v>11</v>
      </c>
      <c r="F8417" s="1" t="s">
        <v>20</v>
      </c>
      <c r="G8417" s="4" t="b">
        <f t="shared" si="2"/>
        <v>1</v>
      </c>
      <c r="H8417" s="1" t="str">
        <f t="shared" si="3"/>
        <v>Currently Unavailable</v>
      </c>
      <c r="I8417" s="1" t="str">
        <f t="shared" si="4"/>
        <v>No Badges</v>
      </c>
      <c r="J8417" s="3">
        <f t="shared" si="5"/>
        <v>0</v>
      </c>
    </row>
    <row r="8418">
      <c r="A8418" s="1" t="s">
        <v>6427</v>
      </c>
      <c r="B8418" s="3" t="str">
        <f t="shared" si="1"/>
        <v>Unavailable</v>
      </c>
      <c r="C8418" s="5">
        <v>1442.0</v>
      </c>
      <c r="D8418" s="3">
        <f>IFERROR(__xludf.DUMMYFUNCTION("IFERROR(
IF(REGEXMATCH(LOWER(O8418),""k""),
VALUE(REGEXEXTRACT(O8418,""[0-9]+""))*1000,
VALUE(REGEXEXTRACT(O8418,""[0-9]+""))
),
0
)"),0.0)</f>
        <v>0</v>
      </c>
      <c r="E8418" s="1" t="s">
        <v>11</v>
      </c>
      <c r="F8418" s="1" t="s">
        <v>20</v>
      </c>
      <c r="G8418" s="4" t="b">
        <f t="shared" si="2"/>
        <v>1</v>
      </c>
      <c r="H8418" s="1" t="str">
        <f t="shared" si="3"/>
        <v>Currently Unavailable</v>
      </c>
      <c r="I8418" s="1" t="str">
        <f t="shared" si="4"/>
        <v>No Badges</v>
      </c>
      <c r="J8418" s="3">
        <f t="shared" si="5"/>
        <v>0</v>
      </c>
    </row>
    <row r="8419">
      <c r="A8419" s="1" t="s">
        <v>5817</v>
      </c>
      <c r="B8419" s="3" t="str">
        <f t="shared" si="1"/>
        <v>Unavailable</v>
      </c>
      <c r="C8419" s="5">
        <v>7235.0</v>
      </c>
      <c r="D8419" s="3">
        <f>IFERROR(__xludf.DUMMYFUNCTION("IFERROR(
IF(REGEXMATCH(LOWER(O8419),""k""),
VALUE(REGEXEXTRACT(O8419,""[0-9]+""))*1000,
VALUE(REGEXEXTRACT(O8419,""[0-9]+""))
),
0
)"),0.0)</f>
        <v>0</v>
      </c>
      <c r="E8419" s="1" t="s">
        <v>11</v>
      </c>
      <c r="F8419" s="1" t="s">
        <v>12</v>
      </c>
      <c r="G8419" s="4" t="b">
        <f t="shared" si="2"/>
        <v>1</v>
      </c>
      <c r="H8419" s="1" t="str">
        <f t="shared" si="3"/>
        <v>Currently Unavailable</v>
      </c>
      <c r="I8419" s="1" t="str">
        <f t="shared" si="4"/>
        <v>No Badges</v>
      </c>
      <c r="J8419" s="3">
        <f t="shared" si="5"/>
        <v>0</v>
      </c>
    </row>
    <row r="8420">
      <c r="A8420" s="1" t="s">
        <v>6428</v>
      </c>
      <c r="B8420" s="3" t="str">
        <f t="shared" si="1"/>
        <v>Unavailable</v>
      </c>
      <c r="C8420" s="5">
        <v>2206.0</v>
      </c>
      <c r="D8420" s="3">
        <f>IFERROR(__xludf.DUMMYFUNCTION("IFERROR(
IF(REGEXMATCH(LOWER(O8420),""k""),
VALUE(REGEXEXTRACT(O8420,""[0-9]+""))*1000,
VALUE(REGEXEXTRACT(O8420,""[0-9]+""))
),
0
)"),0.0)</f>
        <v>0</v>
      </c>
      <c r="E8420" s="1" t="s">
        <v>11</v>
      </c>
      <c r="F8420" s="1" t="s">
        <v>20</v>
      </c>
      <c r="G8420" s="4" t="b">
        <f t="shared" si="2"/>
        <v>1</v>
      </c>
      <c r="H8420" s="1" t="str">
        <f t="shared" si="3"/>
        <v>Currently Unavailable</v>
      </c>
      <c r="I8420" s="1" t="str">
        <f t="shared" si="4"/>
        <v>No Badges</v>
      </c>
      <c r="J8420" s="3">
        <f t="shared" si="5"/>
        <v>0</v>
      </c>
    </row>
    <row r="8421">
      <c r="A8421" s="1" t="s">
        <v>6429</v>
      </c>
      <c r="B8421" s="3" t="str">
        <f t="shared" si="1"/>
        <v>Unavailable</v>
      </c>
      <c r="C8421" s="3">
        <v>285.0</v>
      </c>
      <c r="D8421" s="3">
        <f>IFERROR(__xludf.DUMMYFUNCTION("IFERROR(
IF(REGEXMATCH(LOWER(O8421),""k""),
VALUE(REGEXEXTRACT(O8421,""[0-9]+""))*1000,
VALUE(REGEXEXTRACT(O8421,""[0-9]+""))
),
0
)"),0.0)</f>
        <v>0</v>
      </c>
      <c r="E8421" s="1" t="s">
        <v>11</v>
      </c>
      <c r="F8421" s="1" t="s">
        <v>20</v>
      </c>
      <c r="G8421" s="4" t="b">
        <f t="shared" si="2"/>
        <v>1</v>
      </c>
      <c r="H8421" s="1" t="str">
        <f t="shared" si="3"/>
        <v>Currently Unavailable</v>
      </c>
      <c r="I8421" s="1" t="str">
        <f t="shared" si="4"/>
        <v>No Badges</v>
      </c>
      <c r="J8421" s="3">
        <f t="shared" si="5"/>
        <v>0</v>
      </c>
    </row>
    <row r="8422">
      <c r="A8422" s="1" t="s">
        <v>5990</v>
      </c>
      <c r="B8422" s="3" t="str">
        <f t="shared" si="1"/>
        <v>Unavailable</v>
      </c>
      <c r="C8422" s="3">
        <v>147.0</v>
      </c>
      <c r="D8422" s="3">
        <f>IFERROR(__xludf.DUMMYFUNCTION("IFERROR(
IF(REGEXMATCH(LOWER(O8422),""k""),
VALUE(REGEXEXTRACT(O8422,""[0-9]+""))*1000,
VALUE(REGEXEXTRACT(O8422,""[0-9]+""))
),
0
)"),0.0)</f>
        <v>0</v>
      </c>
      <c r="E8422" s="1" t="s">
        <v>1591</v>
      </c>
      <c r="F8422" s="1" t="s">
        <v>20</v>
      </c>
      <c r="G8422" s="4" t="b">
        <f t="shared" si="2"/>
        <v>1</v>
      </c>
      <c r="H8422" s="1" t="str">
        <f t="shared" si="3"/>
        <v>Currently Unavailable</v>
      </c>
      <c r="I8422" s="1" t="str">
        <f t="shared" si="4"/>
        <v>No Badges</v>
      </c>
      <c r="J8422" s="3">
        <f t="shared" si="5"/>
        <v>0</v>
      </c>
    </row>
    <row r="8423">
      <c r="A8423" s="1" t="s">
        <v>6430</v>
      </c>
      <c r="B8423" s="3" t="str">
        <f t="shared" si="1"/>
        <v>Unavailable</v>
      </c>
      <c r="C8423" s="5">
        <v>20146.0</v>
      </c>
      <c r="D8423" s="3">
        <f>IFERROR(__xludf.DUMMYFUNCTION("IFERROR(
IF(REGEXMATCH(LOWER(O8423),""k""),
VALUE(REGEXEXTRACT(O8423,""[0-9]+""))*1000,
VALUE(REGEXEXTRACT(O8423,""[0-9]+""))
),
0
)"),0.0)</f>
        <v>0</v>
      </c>
      <c r="E8423" s="1" t="s">
        <v>11</v>
      </c>
      <c r="F8423" s="1" t="s">
        <v>20</v>
      </c>
      <c r="G8423" s="4" t="b">
        <f t="shared" si="2"/>
        <v>1</v>
      </c>
      <c r="H8423" s="1" t="str">
        <f t="shared" si="3"/>
        <v>Currently Unavailable</v>
      </c>
      <c r="I8423" s="1" t="str">
        <f t="shared" si="4"/>
        <v>No Badges</v>
      </c>
      <c r="J8423" s="3">
        <f t="shared" si="5"/>
        <v>0</v>
      </c>
    </row>
    <row r="8424">
      <c r="A8424" s="1" t="s">
        <v>6431</v>
      </c>
      <c r="B8424" s="3" t="str">
        <f t="shared" si="1"/>
        <v>Unavailable</v>
      </c>
      <c r="C8424" s="5">
        <v>4315.0</v>
      </c>
      <c r="D8424" s="3">
        <f>IFERROR(__xludf.DUMMYFUNCTION("IFERROR(
IF(REGEXMATCH(LOWER(O8424),""k""),
VALUE(REGEXEXTRACT(O8424,""[0-9]+""))*1000,
VALUE(REGEXEXTRACT(O8424,""[0-9]+""))
),
0
)"),0.0)</f>
        <v>0</v>
      </c>
      <c r="E8424" s="1" t="s">
        <v>158</v>
      </c>
      <c r="F8424" s="1" t="s">
        <v>20</v>
      </c>
      <c r="G8424" s="4" t="b">
        <f t="shared" si="2"/>
        <v>1</v>
      </c>
      <c r="H8424" s="1" t="str">
        <f t="shared" si="3"/>
        <v>Currently Unavailable</v>
      </c>
      <c r="I8424" s="1" t="str">
        <f t="shared" si="4"/>
        <v>No Badges</v>
      </c>
      <c r="J8424" s="3">
        <f t="shared" si="5"/>
        <v>0</v>
      </c>
    </row>
    <row r="8425">
      <c r="A8425" s="1" t="s">
        <v>701</v>
      </c>
      <c r="B8425" s="3" t="str">
        <f t="shared" si="1"/>
        <v>Unavailable</v>
      </c>
      <c r="C8425" s="3">
        <v>8.0</v>
      </c>
      <c r="D8425" s="3">
        <f>IFERROR(__xludf.DUMMYFUNCTION("IFERROR(
IF(REGEXMATCH(LOWER(O8425),""k""),
VALUE(REGEXEXTRACT(O8425,""[0-9]+""))*1000,
VALUE(REGEXEXTRACT(O8425,""[0-9]+""))
),
0
)"),0.0)</f>
        <v>0</v>
      </c>
      <c r="E8425" s="1" t="s">
        <v>11</v>
      </c>
      <c r="F8425" s="1" t="s">
        <v>12</v>
      </c>
      <c r="G8425" s="4" t="b">
        <f t="shared" si="2"/>
        <v>1</v>
      </c>
      <c r="H8425" s="1" t="str">
        <f t="shared" si="3"/>
        <v>Currently Unavailable</v>
      </c>
      <c r="I8425" s="1" t="str">
        <f t="shared" si="4"/>
        <v>No Badges</v>
      </c>
      <c r="J8425" s="3">
        <f t="shared" si="5"/>
        <v>0</v>
      </c>
    </row>
    <row r="8426">
      <c r="A8426" s="1" t="s">
        <v>6432</v>
      </c>
      <c r="B8426" s="3" t="str">
        <f t="shared" si="1"/>
        <v>Unavailable</v>
      </c>
      <c r="C8426" s="5">
        <v>1588.0</v>
      </c>
      <c r="D8426" s="3">
        <f>IFERROR(__xludf.DUMMYFUNCTION("IFERROR(
IF(REGEXMATCH(LOWER(O8426),""k""),
VALUE(REGEXEXTRACT(O8426,""[0-9]+""))*1000,
VALUE(REGEXEXTRACT(O8426,""[0-9]+""))
),
0
)"),0.0)</f>
        <v>0</v>
      </c>
      <c r="E8426" s="1" t="s">
        <v>11</v>
      </c>
      <c r="F8426" s="1" t="s">
        <v>20</v>
      </c>
      <c r="G8426" s="4" t="b">
        <f t="shared" si="2"/>
        <v>1</v>
      </c>
      <c r="H8426" s="1" t="str">
        <f t="shared" si="3"/>
        <v>Currently Unavailable</v>
      </c>
      <c r="I8426" s="1" t="str">
        <f t="shared" si="4"/>
        <v>No Badges</v>
      </c>
      <c r="J8426" s="3">
        <f t="shared" si="5"/>
        <v>0</v>
      </c>
    </row>
    <row r="8427">
      <c r="A8427" s="1" t="s">
        <v>6433</v>
      </c>
      <c r="B8427" s="3" t="str">
        <f t="shared" si="1"/>
        <v>Unavailable</v>
      </c>
      <c r="C8427" s="5">
        <v>48333.0</v>
      </c>
      <c r="D8427" s="3">
        <f>IFERROR(__xludf.DUMMYFUNCTION("IFERROR(
IF(REGEXMATCH(LOWER(O8427),""k""),
VALUE(REGEXEXTRACT(O8427,""[0-9]+""))*1000,
VALUE(REGEXEXTRACT(O8427,""[0-9]+""))
),
0
)"),0.0)</f>
        <v>0</v>
      </c>
      <c r="E8427" s="1" t="s">
        <v>11</v>
      </c>
      <c r="F8427" s="1" t="s">
        <v>20</v>
      </c>
      <c r="G8427" s="4" t="b">
        <f t="shared" si="2"/>
        <v>1</v>
      </c>
      <c r="H8427" s="1" t="str">
        <f t="shared" si="3"/>
        <v>Currently Unavailable</v>
      </c>
      <c r="I8427" s="1" t="str">
        <f t="shared" si="4"/>
        <v>No Badges</v>
      </c>
      <c r="J8427" s="3">
        <f t="shared" si="5"/>
        <v>0</v>
      </c>
    </row>
    <row r="8428">
      <c r="A8428" s="1" t="s">
        <v>6434</v>
      </c>
      <c r="B8428" s="3" t="str">
        <f t="shared" si="1"/>
        <v>Unavailable</v>
      </c>
      <c r="C8428" s="3">
        <v>189.0</v>
      </c>
      <c r="D8428" s="3">
        <f>IFERROR(__xludf.DUMMYFUNCTION("IFERROR(
IF(REGEXMATCH(LOWER(O8428),""k""),
VALUE(REGEXEXTRACT(O8428,""[0-9]+""))*1000,
VALUE(REGEXEXTRACT(O8428,""[0-9]+""))
),
0
)"),0.0)</f>
        <v>0</v>
      </c>
      <c r="E8428" s="1" t="s">
        <v>11</v>
      </c>
      <c r="F8428" s="1" t="s">
        <v>20</v>
      </c>
      <c r="G8428" s="4" t="b">
        <f t="shared" si="2"/>
        <v>1</v>
      </c>
      <c r="H8428" s="1" t="str">
        <f t="shared" si="3"/>
        <v>Currently Unavailable</v>
      </c>
      <c r="I8428" s="1" t="str">
        <f t="shared" si="4"/>
        <v>No Badges</v>
      </c>
      <c r="J8428" s="3">
        <f t="shared" si="5"/>
        <v>0</v>
      </c>
    </row>
    <row r="8429">
      <c r="A8429" s="1" t="s">
        <v>5817</v>
      </c>
      <c r="B8429" s="3" t="str">
        <f t="shared" si="1"/>
        <v>Unavailable</v>
      </c>
      <c r="C8429" s="5">
        <v>7235.0</v>
      </c>
      <c r="D8429" s="3">
        <f>IFERROR(__xludf.DUMMYFUNCTION("IFERROR(
IF(REGEXMATCH(LOWER(O8429),""k""),
VALUE(REGEXEXTRACT(O8429,""[0-9]+""))*1000,
VALUE(REGEXEXTRACT(O8429,""[0-9]+""))
),
0
)"),0.0)</f>
        <v>0</v>
      </c>
      <c r="E8429" s="1" t="s">
        <v>11</v>
      </c>
      <c r="F8429" s="1" t="s">
        <v>12</v>
      </c>
      <c r="G8429" s="4" t="b">
        <f t="shared" si="2"/>
        <v>1</v>
      </c>
      <c r="H8429" s="1" t="str">
        <f t="shared" si="3"/>
        <v>Currently Unavailable</v>
      </c>
      <c r="I8429" s="1" t="str">
        <f t="shared" si="4"/>
        <v>No Badges</v>
      </c>
      <c r="J8429" s="3">
        <f t="shared" si="5"/>
        <v>0</v>
      </c>
    </row>
    <row r="8430">
      <c r="A8430" s="1" t="s">
        <v>6435</v>
      </c>
      <c r="B8430" s="3" t="str">
        <f t="shared" si="1"/>
        <v>Unavailable</v>
      </c>
      <c r="C8430" s="5">
        <v>9435.0</v>
      </c>
      <c r="D8430" s="3">
        <f>IFERROR(__xludf.DUMMYFUNCTION("IFERROR(
IF(REGEXMATCH(LOWER(O8430),""k""),
VALUE(REGEXEXTRACT(O8430,""[0-9]+""))*1000,
VALUE(REGEXEXTRACT(O8430,""[0-9]+""))
),
0
)"),0.0)</f>
        <v>0</v>
      </c>
      <c r="E8430" s="1" t="s">
        <v>11</v>
      </c>
      <c r="F8430" s="1" t="s">
        <v>20</v>
      </c>
      <c r="G8430" s="4" t="b">
        <f t="shared" si="2"/>
        <v>1</v>
      </c>
      <c r="H8430" s="1" t="str">
        <f t="shared" si="3"/>
        <v>Currently Unavailable</v>
      </c>
      <c r="I8430" s="1" t="str">
        <f t="shared" si="4"/>
        <v>No Badges</v>
      </c>
      <c r="J8430" s="3">
        <f t="shared" si="5"/>
        <v>0</v>
      </c>
    </row>
    <row r="8431">
      <c r="A8431" s="1" t="s">
        <v>6436</v>
      </c>
      <c r="B8431" s="3" t="str">
        <f t="shared" si="1"/>
        <v>Unavailable</v>
      </c>
      <c r="C8431" s="5">
        <v>1816.0</v>
      </c>
      <c r="D8431" s="3">
        <f>IFERROR(__xludf.DUMMYFUNCTION("IFERROR(
IF(REGEXMATCH(LOWER(O8431),""k""),
VALUE(REGEXEXTRACT(O8431,""[0-9]+""))*1000,
VALUE(REGEXEXTRACT(O8431,""[0-9]+""))
),
0
)"),0.0)</f>
        <v>0</v>
      </c>
      <c r="E8431" s="1" t="s">
        <v>11</v>
      </c>
      <c r="F8431" s="1" t="s">
        <v>20</v>
      </c>
      <c r="G8431" s="4" t="b">
        <f t="shared" si="2"/>
        <v>1</v>
      </c>
      <c r="H8431" s="1" t="str">
        <f t="shared" si="3"/>
        <v>Currently Unavailable</v>
      </c>
      <c r="I8431" s="1" t="str">
        <f t="shared" si="4"/>
        <v>No Badges</v>
      </c>
      <c r="J8431" s="3">
        <f t="shared" si="5"/>
        <v>0</v>
      </c>
    </row>
    <row r="8432">
      <c r="A8432" s="1" t="s">
        <v>6437</v>
      </c>
      <c r="B8432" s="3" t="str">
        <f t="shared" si="1"/>
        <v>Unavailable</v>
      </c>
      <c r="C8432" s="5">
        <v>2581.0</v>
      </c>
      <c r="D8432" s="3">
        <f>IFERROR(__xludf.DUMMYFUNCTION("IFERROR(
IF(REGEXMATCH(LOWER(O8432),""k""),
VALUE(REGEXEXTRACT(O8432,""[0-9]+""))*1000,
VALUE(REGEXEXTRACT(O8432,""[0-9]+""))
),
0
)"),0.0)</f>
        <v>0</v>
      </c>
      <c r="E8432" s="1" t="s">
        <v>11</v>
      </c>
      <c r="F8432" s="1" t="s">
        <v>20</v>
      </c>
      <c r="G8432" s="4" t="b">
        <f t="shared" si="2"/>
        <v>1</v>
      </c>
      <c r="H8432" s="1" t="str">
        <f t="shared" si="3"/>
        <v>Currently Unavailable</v>
      </c>
      <c r="I8432" s="1" t="str">
        <f t="shared" si="4"/>
        <v>No Badges</v>
      </c>
      <c r="J8432" s="3">
        <f t="shared" si="5"/>
        <v>0</v>
      </c>
    </row>
    <row r="8433">
      <c r="A8433" s="1" t="s">
        <v>6438</v>
      </c>
      <c r="B8433" s="3" t="str">
        <f t="shared" si="1"/>
        <v>Unavailable</v>
      </c>
      <c r="C8433" s="5">
        <v>2592.0</v>
      </c>
      <c r="D8433" s="3">
        <f>IFERROR(__xludf.DUMMYFUNCTION("IFERROR(
IF(REGEXMATCH(LOWER(O8433),""k""),
VALUE(REGEXEXTRACT(O8433,""[0-9]+""))*1000,
VALUE(REGEXEXTRACT(O8433,""[0-9]+""))
),
0
)"),0.0)</f>
        <v>0</v>
      </c>
      <c r="E8433" s="1" t="s">
        <v>11</v>
      </c>
      <c r="F8433" s="1" t="s">
        <v>20</v>
      </c>
      <c r="G8433" s="4" t="b">
        <f t="shared" si="2"/>
        <v>1</v>
      </c>
      <c r="H8433" s="1" t="str">
        <f t="shared" si="3"/>
        <v>Currently Unavailable</v>
      </c>
      <c r="I8433" s="1" t="str">
        <f t="shared" si="4"/>
        <v>No Badges</v>
      </c>
      <c r="J8433" s="3">
        <f t="shared" si="5"/>
        <v>0</v>
      </c>
    </row>
    <row r="8434">
      <c r="A8434" s="1" t="s">
        <v>6439</v>
      </c>
      <c r="B8434" s="3" t="str">
        <f t="shared" si="1"/>
        <v>Unavailable</v>
      </c>
      <c r="C8434" s="3">
        <v>403.0</v>
      </c>
      <c r="D8434" s="3">
        <f>IFERROR(__xludf.DUMMYFUNCTION("IFERROR(
IF(REGEXMATCH(LOWER(O8434),""k""),
VALUE(REGEXEXTRACT(O8434,""[0-9]+""))*1000,
VALUE(REGEXEXTRACT(O8434,""[0-9]+""))
),
0
)"),0.0)</f>
        <v>0</v>
      </c>
      <c r="E8434" s="1" t="s">
        <v>11</v>
      </c>
      <c r="F8434" s="1" t="s">
        <v>20</v>
      </c>
      <c r="G8434" s="4" t="b">
        <f t="shared" si="2"/>
        <v>1</v>
      </c>
      <c r="H8434" s="1" t="str">
        <f t="shared" si="3"/>
        <v>Currently Unavailable</v>
      </c>
      <c r="I8434" s="1" t="str">
        <f t="shared" si="4"/>
        <v>No Badges</v>
      </c>
      <c r="J8434" s="3">
        <f t="shared" si="5"/>
        <v>0</v>
      </c>
    </row>
    <row r="8435">
      <c r="A8435" s="1" t="s">
        <v>6440</v>
      </c>
      <c r="B8435" s="3" t="str">
        <f t="shared" si="1"/>
        <v>Unavailable</v>
      </c>
      <c r="C8435" s="5">
        <v>1772.0</v>
      </c>
      <c r="D8435" s="3">
        <f>IFERROR(__xludf.DUMMYFUNCTION("IFERROR(
IF(REGEXMATCH(LOWER(O8435),""k""),
VALUE(REGEXEXTRACT(O8435,""[0-9]+""))*1000,
VALUE(REGEXEXTRACT(O8435,""[0-9]+""))
),
0
)"),0.0)</f>
        <v>0</v>
      </c>
      <c r="E8435" s="1" t="s">
        <v>11</v>
      </c>
      <c r="F8435" s="1" t="s">
        <v>20</v>
      </c>
      <c r="G8435" s="4" t="b">
        <f t="shared" si="2"/>
        <v>1</v>
      </c>
      <c r="H8435" s="1" t="str">
        <f t="shared" si="3"/>
        <v>Currently Unavailable</v>
      </c>
      <c r="I8435" s="1" t="str">
        <f t="shared" si="4"/>
        <v>No Badges</v>
      </c>
      <c r="J8435" s="3">
        <f t="shared" si="5"/>
        <v>0</v>
      </c>
    </row>
    <row r="8436">
      <c r="A8436" s="1" t="s">
        <v>5817</v>
      </c>
      <c r="B8436" s="3" t="str">
        <f t="shared" si="1"/>
        <v>Unavailable</v>
      </c>
      <c r="C8436" s="5">
        <v>7235.0</v>
      </c>
      <c r="D8436" s="3">
        <f>IFERROR(__xludf.DUMMYFUNCTION("IFERROR(
IF(REGEXMATCH(LOWER(O8436),""k""),
VALUE(REGEXEXTRACT(O8436,""[0-9]+""))*1000,
VALUE(REGEXEXTRACT(O8436,""[0-9]+""))
),
0
)"),0.0)</f>
        <v>0</v>
      </c>
      <c r="E8436" s="1" t="s">
        <v>11</v>
      </c>
      <c r="F8436" s="1" t="s">
        <v>12</v>
      </c>
      <c r="G8436" s="4" t="b">
        <f t="shared" si="2"/>
        <v>1</v>
      </c>
      <c r="H8436" s="1" t="str">
        <f t="shared" si="3"/>
        <v>Currently Unavailable</v>
      </c>
      <c r="I8436" s="1" t="str">
        <f t="shared" si="4"/>
        <v>No Badges</v>
      </c>
      <c r="J8436" s="3">
        <f t="shared" si="5"/>
        <v>0</v>
      </c>
    </row>
    <row r="8437">
      <c r="A8437" s="1" t="s">
        <v>6441</v>
      </c>
      <c r="B8437" s="3" t="str">
        <f t="shared" si="1"/>
        <v>Unavailable</v>
      </c>
      <c r="C8437" s="3">
        <v>25.0</v>
      </c>
      <c r="D8437" s="3">
        <f>IFERROR(__xludf.DUMMYFUNCTION("IFERROR(
IF(REGEXMATCH(LOWER(O8437),""k""),
VALUE(REGEXEXTRACT(O8437,""[0-9]+""))*1000,
VALUE(REGEXEXTRACT(O8437,""[0-9]+""))
),
0
)"),0.0)</f>
        <v>0</v>
      </c>
      <c r="E8437" s="1" t="s">
        <v>11</v>
      </c>
      <c r="F8437" s="1" t="s">
        <v>20</v>
      </c>
      <c r="G8437" s="4" t="b">
        <f t="shared" si="2"/>
        <v>1</v>
      </c>
      <c r="H8437" s="1" t="str">
        <f t="shared" si="3"/>
        <v>Currently Unavailable</v>
      </c>
      <c r="I8437" s="1" t="str">
        <f t="shared" si="4"/>
        <v>No Badges</v>
      </c>
      <c r="J8437" s="6">
        <f t="shared" si="5"/>
        <v>0</v>
      </c>
    </row>
    <row r="8438">
      <c r="A8438" s="1" t="s">
        <v>6442</v>
      </c>
      <c r="B8438" s="3" t="str">
        <f t="shared" si="1"/>
        <v>Unavailable</v>
      </c>
      <c r="C8438" s="3">
        <v>287.0</v>
      </c>
      <c r="D8438" s="3">
        <f>IFERROR(__xludf.DUMMYFUNCTION("IFERROR(
IF(REGEXMATCH(LOWER(O8438),""k""),
VALUE(REGEXEXTRACT(O8438,""[0-9]+""))*1000,
VALUE(REGEXEXTRACT(O8438,""[0-9]+""))
),
0
)"),0.0)</f>
        <v>0</v>
      </c>
      <c r="E8438" s="1" t="s">
        <v>11</v>
      </c>
      <c r="F8438" s="1" t="s">
        <v>20</v>
      </c>
      <c r="G8438" s="4" t="b">
        <f t="shared" si="2"/>
        <v>1</v>
      </c>
      <c r="H8438" s="1" t="str">
        <f t="shared" si="3"/>
        <v>Currently Unavailable</v>
      </c>
      <c r="I8438" s="1" t="str">
        <f t="shared" si="4"/>
        <v>No Badges</v>
      </c>
      <c r="J8438" s="3">
        <f t="shared" si="5"/>
        <v>0</v>
      </c>
    </row>
    <row r="8439">
      <c r="A8439" s="1" t="s">
        <v>5817</v>
      </c>
      <c r="B8439" s="3" t="str">
        <f t="shared" si="1"/>
        <v>Unavailable</v>
      </c>
      <c r="C8439" s="5">
        <v>7235.0</v>
      </c>
      <c r="D8439" s="3">
        <f>IFERROR(__xludf.DUMMYFUNCTION("IFERROR(
IF(REGEXMATCH(LOWER(O8439),""k""),
VALUE(REGEXEXTRACT(O8439,""[0-9]+""))*1000,
VALUE(REGEXEXTRACT(O8439,""[0-9]+""))
),
0
)"),0.0)</f>
        <v>0</v>
      </c>
      <c r="E8439" s="1" t="s">
        <v>11</v>
      </c>
      <c r="F8439" s="1" t="s">
        <v>12</v>
      </c>
      <c r="G8439" s="4" t="b">
        <f t="shared" si="2"/>
        <v>1</v>
      </c>
      <c r="H8439" s="1" t="str">
        <f t="shared" si="3"/>
        <v>Currently Unavailable</v>
      </c>
      <c r="I8439" s="1" t="str">
        <f t="shared" si="4"/>
        <v>No Badges</v>
      </c>
      <c r="J8439" s="3">
        <f t="shared" si="5"/>
        <v>0</v>
      </c>
    </row>
    <row r="8440">
      <c r="A8440" s="1" t="s">
        <v>6443</v>
      </c>
      <c r="B8440" s="3" t="str">
        <f t="shared" si="1"/>
        <v>Unavailable</v>
      </c>
      <c r="C8440" s="5">
        <v>1322.0</v>
      </c>
      <c r="D8440" s="3">
        <f>IFERROR(__xludf.DUMMYFUNCTION("IFERROR(
IF(REGEXMATCH(LOWER(O8440),""k""),
VALUE(REGEXEXTRACT(O8440,""[0-9]+""))*1000,
VALUE(REGEXEXTRACT(O8440,""[0-9]+""))
),
0
)"),0.0)</f>
        <v>0</v>
      </c>
      <c r="E8440" s="1" t="s">
        <v>11</v>
      </c>
      <c r="F8440" s="1" t="s">
        <v>20</v>
      </c>
      <c r="G8440" s="4" t="b">
        <f t="shared" si="2"/>
        <v>1</v>
      </c>
      <c r="H8440" s="1" t="str">
        <f t="shared" si="3"/>
        <v>Currently Unavailable</v>
      </c>
      <c r="I8440" s="1" t="str">
        <f t="shared" si="4"/>
        <v>No Badges</v>
      </c>
      <c r="J8440" s="3">
        <f t="shared" si="5"/>
        <v>0</v>
      </c>
    </row>
    <row r="8441">
      <c r="A8441" s="1" t="s">
        <v>701</v>
      </c>
      <c r="B8441" s="3" t="str">
        <f t="shared" si="1"/>
        <v>Unavailable</v>
      </c>
      <c r="C8441" s="3">
        <v>8.0</v>
      </c>
      <c r="D8441" s="3">
        <f>IFERROR(__xludf.DUMMYFUNCTION("IFERROR(
IF(REGEXMATCH(LOWER(O8441),""k""),
VALUE(REGEXEXTRACT(O8441,""[0-9]+""))*1000,
VALUE(REGEXEXTRACT(O8441,""[0-9]+""))
),
0
)"),0.0)</f>
        <v>0</v>
      </c>
      <c r="E8441" s="1" t="s">
        <v>11</v>
      </c>
      <c r="F8441" s="1" t="s">
        <v>12</v>
      </c>
      <c r="G8441" s="4" t="b">
        <f t="shared" si="2"/>
        <v>1</v>
      </c>
      <c r="H8441" s="1" t="str">
        <f t="shared" si="3"/>
        <v>Currently Unavailable</v>
      </c>
      <c r="I8441" s="1" t="str">
        <f t="shared" si="4"/>
        <v>No Badges</v>
      </c>
      <c r="J8441" s="3">
        <f t="shared" si="5"/>
        <v>0</v>
      </c>
    </row>
    <row r="8442">
      <c r="A8442" s="1" t="s">
        <v>69</v>
      </c>
      <c r="B8442" s="3" t="str">
        <f t="shared" si="1"/>
        <v>Unavailable</v>
      </c>
      <c r="C8442" s="3">
        <v>45.0</v>
      </c>
      <c r="D8442" s="3">
        <f>IFERROR(__xludf.DUMMYFUNCTION("IFERROR(
IF(REGEXMATCH(LOWER(O8442),""k""),
VALUE(REGEXEXTRACT(O8442,""[0-9]+""))*1000,
VALUE(REGEXEXTRACT(O8442,""[0-9]+""))
),
0
)"),0.0)</f>
        <v>0</v>
      </c>
      <c r="E8442" s="1" t="s">
        <v>11</v>
      </c>
      <c r="F8442" s="1" t="s">
        <v>12</v>
      </c>
      <c r="G8442" s="4" t="b">
        <f t="shared" si="2"/>
        <v>1</v>
      </c>
      <c r="H8442" s="1" t="str">
        <f t="shared" si="3"/>
        <v>Currently Unavailable</v>
      </c>
      <c r="I8442" s="1" t="str">
        <f t="shared" si="4"/>
        <v>No Badges</v>
      </c>
      <c r="J8442" s="3">
        <f t="shared" si="5"/>
        <v>0</v>
      </c>
    </row>
    <row r="8443">
      <c r="A8443" s="1" t="s">
        <v>67</v>
      </c>
      <c r="B8443" s="3" t="str">
        <f t="shared" si="1"/>
        <v>Unavailable</v>
      </c>
      <c r="C8443" s="3">
        <v>264.0</v>
      </c>
      <c r="D8443" s="3">
        <f>IFERROR(__xludf.DUMMYFUNCTION("IFERROR(
IF(REGEXMATCH(LOWER(O8443),""k""),
VALUE(REGEXEXTRACT(O8443,""[0-9]+""))*1000,
VALUE(REGEXEXTRACT(O8443,""[0-9]+""))
),
0
)"),0.0)</f>
        <v>0</v>
      </c>
      <c r="E8443" s="1" t="s">
        <v>11</v>
      </c>
      <c r="F8443" s="1" t="s">
        <v>12</v>
      </c>
      <c r="G8443" s="4" t="b">
        <f t="shared" si="2"/>
        <v>1</v>
      </c>
      <c r="H8443" s="1" t="str">
        <f t="shared" si="3"/>
        <v>Currently Unavailable</v>
      </c>
      <c r="I8443" s="1" t="str">
        <f t="shared" si="4"/>
        <v>No Badges</v>
      </c>
      <c r="J8443" s="3">
        <f t="shared" si="5"/>
        <v>0</v>
      </c>
    </row>
    <row r="8444">
      <c r="A8444" s="1" t="s">
        <v>6444</v>
      </c>
      <c r="B8444" s="3" t="str">
        <f t="shared" si="1"/>
        <v>Unavailable</v>
      </c>
      <c r="C8444" s="3">
        <v>719.0</v>
      </c>
      <c r="D8444" s="3">
        <f>IFERROR(__xludf.DUMMYFUNCTION("IFERROR(
IF(REGEXMATCH(LOWER(O8444),""k""),
VALUE(REGEXEXTRACT(O8444,""[0-9]+""))*1000,
VALUE(REGEXEXTRACT(O8444,""[0-9]+""))
),
0
)"),0.0)</f>
        <v>0</v>
      </c>
      <c r="E8444" s="1" t="s">
        <v>158</v>
      </c>
      <c r="F8444" s="1" t="s">
        <v>20</v>
      </c>
      <c r="G8444" s="4" t="b">
        <f t="shared" si="2"/>
        <v>1</v>
      </c>
      <c r="H8444" s="1" t="str">
        <f t="shared" si="3"/>
        <v>Currently Unavailable</v>
      </c>
      <c r="I8444" s="1" t="str">
        <f t="shared" si="4"/>
        <v>No Badges</v>
      </c>
      <c r="J8444" s="3">
        <f t="shared" si="5"/>
        <v>0</v>
      </c>
    </row>
    <row r="8445">
      <c r="A8445" s="1" t="s">
        <v>6445</v>
      </c>
      <c r="B8445" s="3" t="str">
        <f t="shared" si="1"/>
        <v>Unavailable</v>
      </c>
      <c r="C8445" s="3">
        <v>10.0</v>
      </c>
      <c r="D8445" s="3">
        <f>IFERROR(__xludf.DUMMYFUNCTION("IFERROR(
IF(REGEXMATCH(LOWER(O8445),""k""),
VALUE(REGEXEXTRACT(O8445,""[0-9]+""))*1000,
VALUE(REGEXEXTRACT(O8445,""[0-9]+""))
),
0
)"),0.0)</f>
        <v>0</v>
      </c>
      <c r="E8445" s="1" t="s">
        <v>11</v>
      </c>
      <c r="F8445" s="1" t="s">
        <v>20</v>
      </c>
      <c r="G8445" s="4" t="b">
        <f t="shared" si="2"/>
        <v>1</v>
      </c>
      <c r="H8445" s="1" t="str">
        <f t="shared" si="3"/>
        <v>Currently Unavailable</v>
      </c>
      <c r="I8445" s="1" t="str">
        <f t="shared" si="4"/>
        <v>No Badges</v>
      </c>
      <c r="J8445" s="3">
        <f t="shared" si="5"/>
        <v>0</v>
      </c>
    </row>
    <row r="8446">
      <c r="A8446" s="1" t="s">
        <v>6446</v>
      </c>
      <c r="B8446" s="3" t="str">
        <f t="shared" si="1"/>
        <v>Unavailable</v>
      </c>
      <c r="C8446" s="5">
        <v>12266.0</v>
      </c>
      <c r="D8446" s="3">
        <f>IFERROR(__xludf.DUMMYFUNCTION("IFERROR(
IF(REGEXMATCH(LOWER(O8446),""k""),
VALUE(REGEXEXTRACT(O8446,""[0-9]+""))*1000,
VALUE(REGEXEXTRACT(O8446,""[0-9]+""))
),
0
)"),0.0)</f>
        <v>0</v>
      </c>
      <c r="E8446" s="1" t="s">
        <v>11</v>
      </c>
      <c r="F8446" s="1" t="s">
        <v>20</v>
      </c>
      <c r="G8446" s="4" t="b">
        <f t="shared" si="2"/>
        <v>1</v>
      </c>
      <c r="H8446" s="1" t="str">
        <f t="shared" si="3"/>
        <v>Currently Unavailable</v>
      </c>
      <c r="I8446" s="1" t="str">
        <f t="shared" si="4"/>
        <v>No Badges</v>
      </c>
      <c r="J8446" s="3">
        <f t="shared" si="5"/>
        <v>0</v>
      </c>
    </row>
    <row r="8447">
      <c r="A8447" s="1" t="s">
        <v>6447</v>
      </c>
      <c r="B8447" s="3" t="str">
        <f t="shared" si="1"/>
        <v>Unavailable</v>
      </c>
      <c r="C8447" s="5">
        <v>2043.0</v>
      </c>
      <c r="D8447" s="3">
        <f>IFERROR(__xludf.DUMMYFUNCTION("IFERROR(
IF(REGEXMATCH(LOWER(O8447),""k""),
VALUE(REGEXEXTRACT(O8447,""[0-9]+""))*1000,
VALUE(REGEXEXTRACT(O8447,""[0-9]+""))
),
0
)"),0.0)</f>
        <v>0</v>
      </c>
      <c r="E8447" s="1" t="s">
        <v>11</v>
      </c>
      <c r="F8447" s="1" t="s">
        <v>20</v>
      </c>
      <c r="G8447" s="4" t="b">
        <f t="shared" si="2"/>
        <v>1</v>
      </c>
      <c r="H8447" s="1" t="str">
        <f t="shared" si="3"/>
        <v>Currently Unavailable</v>
      </c>
      <c r="I8447" s="1" t="str">
        <f t="shared" si="4"/>
        <v>No Badges</v>
      </c>
      <c r="J8447" s="3">
        <f t="shared" si="5"/>
        <v>0</v>
      </c>
    </row>
    <row r="8448">
      <c r="A8448" s="1" t="s">
        <v>6448</v>
      </c>
      <c r="B8448" s="3" t="str">
        <f t="shared" si="1"/>
        <v>Unavailable</v>
      </c>
      <c r="C8448" s="3">
        <v>195.0</v>
      </c>
      <c r="D8448" s="3">
        <f>IFERROR(__xludf.DUMMYFUNCTION("IFERROR(
IF(REGEXMATCH(LOWER(O8448),""k""),
VALUE(REGEXEXTRACT(O8448,""[0-9]+""))*1000,
VALUE(REGEXEXTRACT(O8448,""[0-9]+""))
),
0
)"),0.0)</f>
        <v>0</v>
      </c>
      <c r="E8448" s="1" t="s">
        <v>11</v>
      </c>
      <c r="F8448" s="1" t="s">
        <v>20</v>
      </c>
      <c r="G8448" s="4" t="b">
        <f t="shared" si="2"/>
        <v>1</v>
      </c>
      <c r="H8448" s="1" t="str">
        <f t="shared" si="3"/>
        <v>Currently Unavailable</v>
      </c>
      <c r="I8448" s="1" t="str">
        <f t="shared" si="4"/>
        <v>No Badges</v>
      </c>
      <c r="J8448" s="3">
        <f t="shared" si="5"/>
        <v>0</v>
      </c>
    </row>
    <row r="8449">
      <c r="A8449" s="1" t="s">
        <v>6449</v>
      </c>
      <c r="B8449" s="3" t="str">
        <f t="shared" si="1"/>
        <v>Unavailable</v>
      </c>
      <c r="C8449" s="5">
        <v>1684.0</v>
      </c>
      <c r="D8449" s="3">
        <f>IFERROR(__xludf.DUMMYFUNCTION("IFERROR(
IF(REGEXMATCH(LOWER(O8449),""k""),
VALUE(REGEXEXTRACT(O8449,""[0-9]+""))*1000,
VALUE(REGEXEXTRACT(O8449,""[0-9]+""))
),
0
)"),0.0)</f>
        <v>0</v>
      </c>
      <c r="E8449" s="1" t="s">
        <v>11</v>
      </c>
      <c r="F8449" s="1" t="s">
        <v>20</v>
      </c>
      <c r="G8449" s="4" t="b">
        <f t="shared" si="2"/>
        <v>1</v>
      </c>
      <c r="H8449" s="1" t="str">
        <f t="shared" si="3"/>
        <v>Currently Unavailable</v>
      </c>
      <c r="I8449" s="1" t="str">
        <f t="shared" si="4"/>
        <v>No Badges</v>
      </c>
      <c r="J8449" s="3">
        <f t="shared" si="5"/>
        <v>0</v>
      </c>
    </row>
    <row r="8450">
      <c r="A8450" s="1" t="s">
        <v>6450</v>
      </c>
      <c r="B8450" s="3" t="str">
        <f t="shared" si="1"/>
        <v>Unavailable</v>
      </c>
      <c r="C8450" s="5">
        <v>1499.0</v>
      </c>
      <c r="D8450" s="3">
        <f>IFERROR(__xludf.DUMMYFUNCTION("IFERROR(
IF(REGEXMATCH(LOWER(O8450),""k""),
VALUE(REGEXEXTRACT(O8450,""[0-9]+""))*1000,
VALUE(REGEXEXTRACT(O8450,""[0-9]+""))
),
0
)"),0.0)</f>
        <v>0</v>
      </c>
      <c r="E8450" s="1" t="s">
        <v>11</v>
      </c>
      <c r="F8450" s="1" t="s">
        <v>20</v>
      </c>
      <c r="G8450" s="4" t="b">
        <f t="shared" si="2"/>
        <v>1</v>
      </c>
      <c r="H8450" s="1" t="str">
        <f t="shared" si="3"/>
        <v>Currently Unavailable</v>
      </c>
      <c r="I8450" s="1" t="str">
        <f t="shared" si="4"/>
        <v>No Badges</v>
      </c>
      <c r="J8450" s="3">
        <f t="shared" si="5"/>
        <v>0</v>
      </c>
    </row>
    <row r="8451">
      <c r="A8451" s="1" t="s">
        <v>6451</v>
      </c>
      <c r="B8451" s="3" t="str">
        <f t="shared" si="1"/>
        <v>Unavailable</v>
      </c>
      <c r="C8451" s="3">
        <v>101.0</v>
      </c>
      <c r="D8451" s="3">
        <f>IFERROR(__xludf.DUMMYFUNCTION("IFERROR(
IF(REGEXMATCH(LOWER(O8451),""k""),
VALUE(REGEXEXTRACT(O8451,""[0-9]+""))*1000,
VALUE(REGEXEXTRACT(O8451,""[0-9]+""))
),
0
)"),0.0)</f>
        <v>0</v>
      </c>
      <c r="E8451" s="1" t="s">
        <v>11</v>
      </c>
      <c r="F8451" s="1" t="s">
        <v>20</v>
      </c>
      <c r="G8451" s="4" t="b">
        <f t="shared" si="2"/>
        <v>1</v>
      </c>
      <c r="H8451" s="1" t="str">
        <f t="shared" si="3"/>
        <v>Currently Unavailable</v>
      </c>
      <c r="I8451" s="1" t="str">
        <f t="shared" si="4"/>
        <v>No Badges</v>
      </c>
      <c r="J8451" s="3">
        <f t="shared" si="5"/>
        <v>0</v>
      </c>
    </row>
    <row r="8452">
      <c r="A8452" s="1" t="s">
        <v>6452</v>
      </c>
      <c r="B8452" s="3" t="str">
        <f t="shared" si="1"/>
        <v>Unavailable</v>
      </c>
      <c r="C8452" s="5">
        <v>1007.0</v>
      </c>
      <c r="D8452" s="3">
        <f>IFERROR(__xludf.DUMMYFUNCTION("IFERROR(
IF(REGEXMATCH(LOWER(O8452),""k""),
VALUE(REGEXEXTRACT(O8452,""[0-9]+""))*1000,
VALUE(REGEXEXTRACT(O8452,""[0-9]+""))
),
0
)"),0.0)</f>
        <v>0</v>
      </c>
      <c r="E8452" s="1" t="s">
        <v>11</v>
      </c>
      <c r="F8452" s="1" t="s">
        <v>20</v>
      </c>
      <c r="G8452" s="4" t="b">
        <f t="shared" si="2"/>
        <v>1</v>
      </c>
      <c r="H8452" s="1" t="str">
        <f t="shared" si="3"/>
        <v>Currently Unavailable</v>
      </c>
      <c r="I8452" s="1" t="str">
        <f t="shared" si="4"/>
        <v>No Badges</v>
      </c>
      <c r="J8452" s="3">
        <f t="shared" si="5"/>
        <v>0</v>
      </c>
    </row>
    <row r="8453">
      <c r="A8453" s="1" t="s">
        <v>6453</v>
      </c>
      <c r="B8453" s="3" t="str">
        <f t="shared" si="1"/>
        <v>Unavailable</v>
      </c>
      <c r="C8453" s="3">
        <v>246.0</v>
      </c>
      <c r="D8453" s="3">
        <f>IFERROR(__xludf.DUMMYFUNCTION("IFERROR(
IF(REGEXMATCH(LOWER(O8453),""k""),
VALUE(REGEXEXTRACT(O8453,""[0-9]+""))*1000,
VALUE(REGEXEXTRACT(O8453,""[0-9]+""))
),
0
)"),0.0)</f>
        <v>0</v>
      </c>
      <c r="E8453" s="1" t="s">
        <v>11</v>
      </c>
      <c r="F8453" s="1" t="s">
        <v>20</v>
      </c>
      <c r="G8453" s="4" t="b">
        <f t="shared" si="2"/>
        <v>1</v>
      </c>
      <c r="H8453" s="1" t="str">
        <f t="shared" si="3"/>
        <v>Currently Unavailable</v>
      </c>
      <c r="I8453" s="1" t="str">
        <f t="shared" si="4"/>
        <v>No Badges</v>
      </c>
      <c r="J8453" s="3">
        <f t="shared" si="5"/>
        <v>0</v>
      </c>
    </row>
    <row r="8454">
      <c r="A8454" s="1" t="s">
        <v>5817</v>
      </c>
      <c r="B8454" s="3" t="str">
        <f t="shared" si="1"/>
        <v>Unavailable</v>
      </c>
      <c r="C8454" s="5">
        <v>7235.0</v>
      </c>
      <c r="D8454" s="3">
        <f>IFERROR(__xludf.DUMMYFUNCTION("IFERROR(
IF(REGEXMATCH(LOWER(O8454),""k""),
VALUE(REGEXEXTRACT(O8454,""[0-9]+""))*1000,
VALUE(REGEXEXTRACT(O8454,""[0-9]+""))
),
0
)"),0.0)</f>
        <v>0</v>
      </c>
      <c r="E8454" s="1" t="s">
        <v>11</v>
      </c>
      <c r="F8454" s="1" t="s">
        <v>12</v>
      </c>
      <c r="G8454" s="4" t="b">
        <f t="shared" si="2"/>
        <v>1</v>
      </c>
      <c r="H8454" s="1" t="str">
        <f t="shared" si="3"/>
        <v>Currently Unavailable</v>
      </c>
      <c r="I8454" s="1" t="str">
        <f t="shared" si="4"/>
        <v>No Badges</v>
      </c>
      <c r="J8454" s="3">
        <f t="shared" si="5"/>
        <v>0</v>
      </c>
    </row>
    <row r="8455">
      <c r="A8455" s="1" t="s">
        <v>6454</v>
      </c>
      <c r="B8455" s="3" t="str">
        <f t="shared" si="1"/>
        <v>Unavailable</v>
      </c>
      <c r="C8455" s="3">
        <v>874.0</v>
      </c>
      <c r="D8455" s="3">
        <f>IFERROR(__xludf.DUMMYFUNCTION("IFERROR(
IF(REGEXMATCH(LOWER(O8455),""k""),
VALUE(REGEXEXTRACT(O8455,""[0-9]+""))*1000,
VALUE(REGEXEXTRACT(O8455,""[0-9]+""))
),
0
)"),0.0)</f>
        <v>0</v>
      </c>
      <c r="E8455" s="1" t="s">
        <v>11</v>
      </c>
      <c r="F8455" s="1" t="s">
        <v>20</v>
      </c>
      <c r="G8455" s="4" t="b">
        <f t="shared" si="2"/>
        <v>1</v>
      </c>
      <c r="H8455" s="1" t="str">
        <f t="shared" si="3"/>
        <v>Currently Unavailable</v>
      </c>
      <c r="I8455" s="1" t="str">
        <f t="shared" si="4"/>
        <v>No Badges</v>
      </c>
      <c r="J8455" s="3">
        <f t="shared" si="5"/>
        <v>0</v>
      </c>
    </row>
    <row r="8456">
      <c r="A8456" s="1" t="s">
        <v>6455</v>
      </c>
      <c r="B8456" s="3" t="str">
        <f t="shared" si="1"/>
        <v>Unavailable</v>
      </c>
      <c r="C8456" s="5">
        <v>3818.0</v>
      </c>
      <c r="D8456" s="3">
        <f>IFERROR(__xludf.DUMMYFUNCTION("IFERROR(
IF(REGEXMATCH(LOWER(O8456),""k""),
VALUE(REGEXEXTRACT(O8456,""[0-9]+""))*1000,
VALUE(REGEXEXTRACT(O8456,""[0-9]+""))
),
0
)"),0.0)</f>
        <v>0</v>
      </c>
      <c r="E8456" s="1" t="s">
        <v>11</v>
      </c>
      <c r="F8456" s="1" t="s">
        <v>20</v>
      </c>
      <c r="G8456" s="4" t="b">
        <f t="shared" si="2"/>
        <v>1</v>
      </c>
      <c r="H8456" s="1" t="str">
        <f t="shared" si="3"/>
        <v>Currently Unavailable</v>
      </c>
      <c r="I8456" s="1" t="str">
        <f t="shared" si="4"/>
        <v>No Badges</v>
      </c>
      <c r="J8456" s="3">
        <f t="shared" si="5"/>
        <v>0</v>
      </c>
    </row>
    <row r="8457">
      <c r="A8457" s="1" t="s">
        <v>88</v>
      </c>
      <c r="B8457" s="3" t="str">
        <f t="shared" si="1"/>
        <v>Unavailable</v>
      </c>
      <c r="C8457" s="3">
        <v>5.0</v>
      </c>
      <c r="D8457" s="3">
        <f>IFERROR(__xludf.DUMMYFUNCTION("IFERROR(
IF(REGEXMATCH(LOWER(O8457),""k""),
VALUE(REGEXEXTRACT(O8457,""[0-9]+""))*1000,
VALUE(REGEXEXTRACT(O8457,""[0-9]+""))
),
0
)"),0.0)</f>
        <v>0</v>
      </c>
      <c r="E8457" s="1" t="s">
        <v>11</v>
      </c>
      <c r="F8457" s="1" t="s">
        <v>12</v>
      </c>
      <c r="G8457" s="4" t="b">
        <f t="shared" si="2"/>
        <v>1</v>
      </c>
      <c r="H8457" s="1" t="str">
        <f t="shared" si="3"/>
        <v>Currently Unavailable</v>
      </c>
      <c r="I8457" s="1" t="str">
        <f t="shared" si="4"/>
        <v>No Badges</v>
      </c>
      <c r="J8457" s="3">
        <f t="shared" si="5"/>
        <v>0</v>
      </c>
    </row>
    <row r="8458">
      <c r="A8458" s="1" t="s">
        <v>40</v>
      </c>
      <c r="B8458" s="3" t="str">
        <f t="shared" si="1"/>
        <v>Unavailable</v>
      </c>
      <c r="C8458" s="3">
        <v>171.0</v>
      </c>
      <c r="D8458" s="3">
        <f>IFERROR(__xludf.DUMMYFUNCTION("IFERROR(
IF(REGEXMATCH(LOWER(O8458),""k""),
VALUE(REGEXEXTRACT(O8458,""[0-9]+""))*1000,
VALUE(REGEXEXTRACT(O8458,""[0-9]+""))
),
0
)"),0.0)</f>
        <v>0</v>
      </c>
      <c r="E8458" s="1" t="s">
        <v>11</v>
      </c>
      <c r="F8458" s="1" t="s">
        <v>12</v>
      </c>
      <c r="G8458" s="4" t="b">
        <f t="shared" si="2"/>
        <v>1</v>
      </c>
      <c r="H8458" s="1" t="str">
        <f t="shared" si="3"/>
        <v>Currently Unavailable</v>
      </c>
      <c r="I8458" s="1" t="str">
        <f t="shared" si="4"/>
        <v>No Badges</v>
      </c>
      <c r="J8458" s="3">
        <f t="shared" si="5"/>
        <v>0</v>
      </c>
    </row>
    <row r="8459">
      <c r="A8459" s="1" t="s">
        <v>6456</v>
      </c>
      <c r="B8459" s="3" t="str">
        <f t="shared" si="1"/>
        <v>Unavailable</v>
      </c>
      <c r="C8459" s="5">
        <v>4321.0</v>
      </c>
      <c r="D8459" s="3">
        <f>IFERROR(__xludf.DUMMYFUNCTION("IFERROR(
IF(REGEXMATCH(LOWER(O8459),""k""),
VALUE(REGEXEXTRACT(O8459,""[0-9]+""))*1000,
VALUE(REGEXEXTRACT(O8459,""[0-9]+""))
),
0
)"),0.0)</f>
        <v>0</v>
      </c>
      <c r="E8459" s="1" t="s">
        <v>11</v>
      </c>
      <c r="F8459" s="1" t="s">
        <v>20</v>
      </c>
      <c r="G8459" s="4" t="b">
        <f t="shared" si="2"/>
        <v>1</v>
      </c>
      <c r="H8459" s="1" t="str">
        <f t="shared" si="3"/>
        <v>Currently Unavailable</v>
      </c>
      <c r="I8459" s="1" t="str">
        <f t="shared" si="4"/>
        <v>No Badges</v>
      </c>
      <c r="J8459" s="3">
        <f t="shared" si="5"/>
        <v>0</v>
      </c>
    </row>
    <row r="8460">
      <c r="A8460" s="1" t="s">
        <v>6457</v>
      </c>
      <c r="B8460" s="3" t="str">
        <f t="shared" si="1"/>
        <v>Unavailable</v>
      </c>
      <c r="C8460" s="5">
        <v>2471.0</v>
      </c>
      <c r="D8460" s="3">
        <f>IFERROR(__xludf.DUMMYFUNCTION("IFERROR(
IF(REGEXMATCH(LOWER(O8460),""k""),
VALUE(REGEXEXTRACT(O8460,""[0-9]+""))*1000,
VALUE(REGEXEXTRACT(O8460,""[0-9]+""))
),
0
)"),0.0)</f>
        <v>0</v>
      </c>
      <c r="E8460" s="1" t="s">
        <v>11</v>
      </c>
      <c r="F8460" s="1" t="s">
        <v>20</v>
      </c>
      <c r="G8460" s="4" t="b">
        <f t="shared" si="2"/>
        <v>1</v>
      </c>
      <c r="H8460" s="1" t="str">
        <f t="shared" si="3"/>
        <v>Currently Unavailable</v>
      </c>
      <c r="I8460" s="1" t="str">
        <f t="shared" si="4"/>
        <v>No Badges</v>
      </c>
      <c r="J8460" s="3">
        <f t="shared" si="5"/>
        <v>0</v>
      </c>
    </row>
    <row r="8461">
      <c r="A8461" s="1" t="s">
        <v>701</v>
      </c>
      <c r="B8461" s="3" t="str">
        <f t="shared" si="1"/>
        <v>Unavailable</v>
      </c>
      <c r="C8461" s="3">
        <v>8.0</v>
      </c>
      <c r="D8461" s="3">
        <f>IFERROR(__xludf.DUMMYFUNCTION("IFERROR(
IF(REGEXMATCH(LOWER(O8461),""k""),
VALUE(REGEXEXTRACT(O8461,""[0-9]+""))*1000,
VALUE(REGEXEXTRACT(O8461,""[0-9]+""))
),
0
)"),0.0)</f>
        <v>0</v>
      </c>
      <c r="E8461" s="1" t="s">
        <v>11</v>
      </c>
      <c r="F8461" s="1" t="s">
        <v>12</v>
      </c>
      <c r="G8461" s="4" t="b">
        <f t="shared" si="2"/>
        <v>1</v>
      </c>
      <c r="H8461" s="1" t="str">
        <f t="shared" si="3"/>
        <v>Currently Unavailable</v>
      </c>
      <c r="I8461" s="1" t="str">
        <f t="shared" si="4"/>
        <v>No Badges</v>
      </c>
      <c r="J8461" s="3">
        <f t="shared" si="5"/>
        <v>0</v>
      </c>
    </row>
    <row r="8462">
      <c r="A8462" s="1" t="s">
        <v>6458</v>
      </c>
      <c r="B8462" s="3" t="str">
        <f t="shared" si="1"/>
        <v>Unavailable</v>
      </c>
      <c r="C8462" s="5">
        <v>1458.0</v>
      </c>
      <c r="D8462" s="3">
        <f>IFERROR(__xludf.DUMMYFUNCTION("IFERROR(
IF(REGEXMATCH(LOWER(O8462),""k""),
VALUE(REGEXEXTRACT(O8462,""[0-9]+""))*1000,
VALUE(REGEXEXTRACT(O8462,""[0-9]+""))
),
0
)"),0.0)</f>
        <v>0</v>
      </c>
      <c r="E8462" s="1" t="s">
        <v>11</v>
      </c>
      <c r="F8462" s="1" t="s">
        <v>20</v>
      </c>
      <c r="G8462" s="4" t="b">
        <f t="shared" si="2"/>
        <v>1</v>
      </c>
      <c r="H8462" s="1" t="str">
        <f t="shared" si="3"/>
        <v>Currently Unavailable</v>
      </c>
      <c r="I8462" s="1" t="str">
        <f t="shared" si="4"/>
        <v>No Badges</v>
      </c>
      <c r="J8462" s="3">
        <f t="shared" si="5"/>
        <v>0</v>
      </c>
    </row>
    <row r="8463">
      <c r="A8463" s="1" t="s">
        <v>6459</v>
      </c>
      <c r="B8463" s="3" t="str">
        <f t="shared" si="1"/>
        <v>Unavailable</v>
      </c>
      <c r="C8463" s="5">
        <v>2620.0</v>
      </c>
      <c r="D8463" s="3">
        <f>IFERROR(__xludf.DUMMYFUNCTION("IFERROR(
IF(REGEXMATCH(LOWER(O8463),""k""),
VALUE(REGEXEXTRACT(O8463,""[0-9]+""))*1000,
VALUE(REGEXEXTRACT(O8463,""[0-9]+""))
),
0
)"),0.0)</f>
        <v>0</v>
      </c>
      <c r="E8463" s="1" t="s">
        <v>11</v>
      </c>
      <c r="F8463" s="1" t="s">
        <v>20</v>
      </c>
      <c r="G8463" s="4" t="b">
        <f t="shared" si="2"/>
        <v>1</v>
      </c>
      <c r="H8463" s="1" t="str">
        <f t="shared" si="3"/>
        <v>Currently Unavailable</v>
      </c>
      <c r="I8463" s="1" t="str">
        <f t="shared" si="4"/>
        <v>No Badges</v>
      </c>
      <c r="J8463" s="3">
        <f t="shared" si="5"/>
        <v>0</v>
      </c>
    </row>
    <row r="8464">
      <c r="A8464" s="1" t="s">
        <v>6460</v>
      </c>
      <c r="B8464" s="3" t="str">
        <f t="shared" si="1"/>
        <v>Unavailable</v>
      </c>
      <c r="C8464" s="3">
        <v>429.0</v>
      </c>
      <c r="D8464" s="3">
        <f>IFERROR(__xludf.DUMMYFUNCTION("IFERROR(
IF(REGEXMATCH(LOWER(O8464),""k""),
VALUE(REGEXEXTRACT(O8464,""[0-9]+""))*1000,
VALUE(REGEXEXTRACT(O8464,""[0-9]+""))
),
0
)"),0.0)</f>
        <v>0</v>
      </c>
      <c r="E8464" s="1" t="s">
        <v>11</v>
      </c>
      <c r="F8464" s="1" t="s">
        <v>20</v>
      </c>
      <c r="G8464" s="4" t="b">
        <f t="shared" si="2"/>
        <v>1</v>
      </c>
      <c r="H8464" s="1" t="str">
        <f t="shared" si="3"/>
        <v>Currently Unavailable</v>
      </c>
      <c r="I8464" s="1" t="str">
        <f t="shared" si="4"/>
        <v>No Badges</v>
      </c>
      <c r="J8464" s="3">
        <f t="shared" si="5"/>
        <v>0</v>
      </c>
    </row>
    <row r="8465">
      <c r="A8465" s="1" t="s">
        <v>6461</v>
      </c>
      <c r="B8465" s="3" t="str">
        <f t="shared" si="1"/>
        <v>Unavailable</v>
      </c>
      <c r="C8465" s="5">
        <v>1081.0</v>
      </c>
      <c r="D8465" s="3">
        <f>IFERROR(__xludf.DUMMYFUNCTION("IFERROR(
IF(REGEXMATCH(LOWER(O8465),""k""),
VALUE(REGEXEXTRACT(O8465,""[0-9]+""))*1000,
VALUE(REGEXEXTRACT(O8465,""[0-9]+""))
),
0
)"),0.0)</f>
        <v>0</v>
      </c>
      <c r="E8465" s="1" t="s">
        <v>11</v>
      </c>
      <c r="F8465" s="1" t="s">
        <v>20</v>
      </c>
      <c r="G8465" s="4" t="b">
        <f t="shared" si="2"/>
        <v>1</v>
      </c>
      <c r="H8465" s="1" t="str">
        <f t="shared" si="3"/>
        <v>Currently Unavailable</v>
      </c>
      <c r="I8465" s="1" t="str">
        <f t="shared" si="4"/>
        <v>No Badges</v>
      </c>
      <c r="J8465" s="3">
        <f t="shared" si="5"/>
        <v>0</v>
      </c>
    </row>
    <row r="8466">
      <c r="A8466" s="1" t="s">
        <v>6462</v>
      </c>
      <c r="B8466" s="3" t="str">
        <f t="shared" si="1"/>
        <v>Unavailable</v>
      </c>
      <c r="C8466" s="3">
        <v>290.0</v>
      </c>
      <c r="D8466" s="3">
        <f>IFERROR(__xludf.DUMMYFUNCTION("IFERROR(
IF(REGEXMATCH(LOWER(O8466),""k""),
VALUE(REGEXEXTRACT(O8466,""[0-9]+""))*1000,
VALUE(REGEXEXTRACT(O8466,""[0-9]+""))
),
0
)"),0.0)</f>
        <v>0</v>
      </c>
      <c r="E8466" s="1" t="s">
        <v>11</v>
      </c>
      <c r="F8466" s="1" t="s">
        <v>20</v>
      </c>
      <c r="G8466" s="4" t="b">
        <f t="shared" si="2"/>
        <v>1</v>
      </c>
      <c r="H8466" s="1" t="str">
        <f t="shared" si="3"/>
        <v>Currently Unavailable</v>
      </c>
      <c r="I8466" s="1" t="str">
        <f t="shared" si="4"/>
        <v>No Badges</v>
      </c>
      <c r="J8466" s="3">
        <f t="shared" si="5"/>
        <v>0</v>
      </c>
    </row>
    <row r="8467">
      <c r="A8467" s="1" t="s">
        <v>6463</v>
      </c>
      <c r="B8467" s="3" t="str">
        <f t="shared" si="1"/>
        <v>Unavailable</v>
      </c>
      <c r="C8467" s="5">
        <v>3405.0</v>
      </c>
      <c r="D8467" s="3">
        <f>IFERROR(__xludf.DUMMYFUNCTION("IFERROR(
IF(REGEXMATCH(LOWER(O8467),""k""),
VALUE(REGEXEXTRACT(O8467,""[0-9]+""))*1000,
VALUE(REGEXEXTRACT(O8467,""[0-9]+""))
),
0
)"),0.0)</f>
        <v>0</v>
      </c>
      <c r="E8467" s="1" t="s">
        <v>11</v>
      </c>
      <c r="F8467" s="1" t="s">
        <v>20</v>
      </c>
      <c r="G8467" s="4" t="b">
        <f t="shared" si="2"/>
        <v>1</v>
      </c>
      <c r="H8467" s="1" t="str">
        <f t="shared" si="3"/>
        <v>Currently Unavailable</v>
      </c>
      <c r="I8467" s="1" t="str">
        <f t="shared" si="4"/>
        <v>No Badges</v>
      </c>
      <c r="J8467" s="3">
        <f t="shared" si="5"/>
        <v>0</v>
      </c>
    </row>
    <row r="8468">
      <c r="A8468" s="1" t="s">
        <v>6464</v>
      </c>
      <c r="B8468" s="3" t="str">
        <f t="shared" si="1"/>
        <v>Unavailable</v>
      </c>
      <c r="C8468" s="3">
        <v>133.0</v>
      </c>
      <c r="D8468" s="3">
        <f>IFERROR(__xludf.DUMMYFUNCTION("IFERROR(
IF(REGEXMATCH(LOWER(O8468),""k""),
VALUE(REGEXEXTRACT(O8468,""[0-9]+""))*1000,
VALUE(REGEXEXTRACT(O8468,""[0-9]+""))
),
0
)"),0.0)</f>
        <v>0</v>
      </c>
      <c r="E8468" s="1" t="s">
        <v>11</v>
      </c>
      <c r="F8468" s="1" t="s">
        <v>20</v>
      </c>
      <c r="G8468" s="4" t="b">
        <f t="shared" si="2"/>
        <v>1</v>
      </c>
      <c r="H8468" s="1" t="str">
        <f t="shared" si="3"/>
        <v>Currently Unavailable</v>
      </c>
      <c r="I8468" s="1" t="str">
        <f t="shared" si="4"/>
        <v>No Badges</v>
      </c>
      <c r="J8468" s="3">
        <f t="shared" si="5"/>
        <v>0</v>
      </c>
    </row>
    <row r="8469">
      <c r="A8469" s="1" t="s">
        <v>6465</v>
      </c>
      <c r="B8469" s="3" t="str">
        <f t="shared" si="1"/>
        <v>Unavailable</v>
      </c>
      <c r="C8469" s="3">
        <v>656.0</v>
      </c>
      <c r="D8469" s="3">
        <f>IFERROR(__xludf.DUMMYFUNCTION("IFERROR(
IF(REGEXMATCH(LOWER(O8469),""k""),
VALUE(REGEXEXTRACT(O8469,""[0-9]+""))*1000,
VALUE(REGEXEXTRACT(O8469,""[0-9]+""))
),
0
)"),0.0)</f>
        <v>0</v>
      </c>
      <c r="E8469" s="1" t="s">
        <v>11</v>
      </c>
      <c r="F8469" s="1" t="s">
        <v>20</v>
      </c>
      <c r="G8469" s="4" t="b">
        <f t="shared" si="2"/>
        <v>1</v>
      </c>
      <c r="H8469" s="1" t="str">
        <f t="shared" si="3"/>
        <v>Currently Unavailable</v>
      </c>
      <c r="I8469" s="1" t="str">
        <f t="shared" si="4"/>
        <v>No Badges</v>
      </c>
      <c r="J8469" s="3">
        <f t="shared" si="5"/>
        <v>0</v>
      </c>
    </row>
    <row r="8470">
      <c r="A8470" s="1" t="s">
        <v>6466</v>
      </c>
      <c r="B8470" s="3" t="str">
        <f t="shared" si="1"/>
        <v>Unavailable</v>
      </c>
      <c r="C8470" s="3">
        <v>581.0</v>
      </c>
      <c r="D8470" s="3">
        <f>IFERROR(__xludf.DUMMYFUNCTION("IFERROR(
IF(REGEXMATCH(LOWER(O8470),""k""),
VALUE(REGEXEXTRACT(O8470,""[0-9]+""))*1000,
VALUE(REGEXEXTRACT(O8470,""[0-9]+""))
),
0
)"),0.0)</f>
        <v>0</v>
      </c>
      <c r="E8470" s="1" t="s">
        <v>11</v>
      </c>
      <c r="F8470" s="1" t="s">
        <v>20</v>
      </c>
      <c r="G8470" s="4" t="b">
        <f t="shared" si="2"/>
        <v>1</v>
      </c>
      <c r="H8470" s="1" t="str">
        <f t="shared" si="3"/>
        <v>Currently Unavailable</v>
      </c>
      <c r="I8470" s="1" t="str">
        <f t="shared" si="4"/>
        <v>No Badges</v>
      </c>
      <c r="J8470" s="3">
        <f t="shared" si="5"/>
        <v>0</v>
      </c>
    </row>
    <row r="8471">
      <c r="A8471" s="1" t="s">
        <v>5817</v>
      </c>
      <c r="B8471" s="3" t="str">
        <f t="shared" si="1"/>
        <v>Unavailable</v>
      </c>
      <c r="C8471" s="5">
        <v>7235.0</v>
      </c>
      <c r="D8471" s="3">
        <f>IFERROR(__xludf.DUMMYFUNCTION("IFERROR(
IF(REGEXMATCH(LOWER(O8471),""k""),
VALUE(REGEXEXTRACT(O8471,""[0-9]+""))*1000,
VALUE(REGEXEXTRACT(O8471,""[0-9]+""))
),
0
)"),0.0)</f>
        <v>0</v>
      </c>
      <c r="E8471" s="1" t="s">
        <v>11</v>
      </c>
      <c r="F8471" s="1" t="s">
        <v>12</v>
      </c>
      <c r="G8471" s="4" t="b">
        <f t="shared" si="2"/>
        <v>1</v>
      </c>
      <c r="H8471" s="1" t="str">
        <f t="shared" si="3"/>
        <v>Currently Unavailable</v>
      </c>
      <c r="I8471" s="1" t="str">
        <f t="shared" si="4"/>
        <v>No Badges</v>
      </c>
      <c r="J8471" s="3">
        <f t="shared" si="5"/>
        <v>0</v>
      </c>
    </row>
    <row r="8472">
      <c r="A8472" s="1" t="s">
        <v>6467</v>
      </c>
      <c r="B8472" s="3" t="str">
        <f t="shared" si="1"/>
        <v>Unavailable</v>
      </c>
      <c r="C8472" s="5">
        <v>2633.0</v>
      </c>
      <c r="D8472" s="3">
        <f>IFERROR(__xludf.DUMMYFUNCTION("IFERROR(
IF(REGEXMATCH(LOWER(O8472),""k""),
VALUE(REGEXEXTRACT(O8472,""[0-9]+""))*1000,
VALUE(REGEXEXTRACT(O8472,""[0-9]+""))
),
0
)"),0.0)</f>
        <v>0</v>
      </c>
      <c r="E8472" s="1" t="s">
        <v>11</v>
      </c>
      <c r="F8472" s="1" t="s">
        <v>20</v>
      </c>
      <c r="G8472" s="4" t="b">
        <f t="shared" si="2"/>
        <v>1</v>
      </c>
      <c r="H8472" s="1" t="str">
        <f t="shared" si="3"/>
        <v>Currently Unavailable</v>
      </c>
      <c r="I8472" s="1" t="str">
        <f t="shared" si="4"/>
        <v>No Badges</v>
      </c>
      <c r="J8472" s="3">
        <f t="shared" si="5"/>
        <v>0</v>
      </c>
    </row>
    <row r="8473">
      <c r="A8473" s="1" t="s">
        <v>6468</v>
      </c>
      <c r="B8473" s="3" t="str">
        <f t="shared" si="1"/>
        <v>Unavailable</v>
      </c>
      <c r="C8473" s="5">
        <v>1740.0</v>
      </c>
      <c r="D8473" s="3">
        <f>IFERROR(__xludf.DUMMYFUNCTION("IFERROR(
IF(REGEXMATCH(LOWER(O8473),""k""),
VALUE(REGEXEXTRACT(O8473,""[0-9]+""))*1000,
VALUE(REGEXEXTRACT(O8473,""[0-9]+""))
),
0
)"),0.0)</f>
        <v>0</v>
      </c>
      <c r="E8473" s="1" t="s">
        <v>11</v>
      </c>
      <c r="F8473" s="1" t="s">
        <v>20</v>
      </c>
      <c r="G8473" s="4" t="b">
        <f t="shared" si="2"/>
        <v>1</v>
      </c>
      <c r="H8473" s="1" t="str">
        <f t="shared" si="3"/>
        <v>Currently Unavailable</v>
      </c>
      <c r="I8473" s="1" t="str">
        <f t="shared" si="4"/>
        <v>No Badges</v>
      </c>
      <c r="J8473" s="3">
        <f t="shared" si="5"/>
        <v>0</v>
      </c>
    </row>
    <row r="8474">
      <c r="A8474" s="1" t="s">
        <v>69</v>
      </c>
      <c r="B8474" s="3" t="str">
        <f t="shared" si="1"/>
        <v>Unavailable</v>
      </c>
      <c r="C8474" s="3">
        <v>45.0</v>
      </c>
      <c r="D8474" s="3">
        <f>IFERROR(__xludf.DUMMYFUNCTION("IFERROR(
IF(REGEXMATCH(LOWER(O8474),""k""),
VALUE(REGEXEXTRACT(O8474,""[0-9]+""))*1000,
VALUE(REGEXEXTRACT(O8474,""[0-9]+""))
),
0
)"),0.0)</f>
        <v>0</v>
      </c>
      <c r="E8474" s="1" t="s">
        <v>11</v>
      </c>
      <c r="F8474" s="1" t="s">
        <v>12</v>
      </c>
      <c r="G8474" s="4" t="b">
        <f t="shared" si="2"/>
        <v>1</v>
      </c>
      <c r="H8474" s="1" t="str">
        <f t="shared" si="3"/>
        <v>Currently Unavailable</v>
      </c>
      <c r="I8474" s="1" t="str">
        <f t="shared" si="4"/>
        <v>No Badges</v>
      </c>
      <c r="J8474" s="3">
        <f t="shared" si="5"/>
        <v>0</v>
      </c>
    </row>
    <row r="8475">
      <c r="A8475" s="1" t="s">
        <v>67</v>
      </c>
      <c r="B8475" s="3" t="str">
        <f t="shared" si="1"/>
        <v>Unavailable</v>
      </c>
      <c r="C8475" s="3">
        <v>264.0</v>
      </c>
      <c r="D8475" s="3">
        <f>IFERROR(__xludf.DUMMYFUNCTION("IFERROR(
IF(REGEXMATCH(LOWER(O8475),""k""),
VALUE(REGEXEXTRACT(O8475,""[0-9]+""))*1000,
VALUE(REGEXEXTRACT(O8475,""[0-9]+""))
),
0
)"),0.0)</f>
        <v>0</v>
      </c>
      <c r="E8475" s="1" t="s">
        <v>11</v>
      </c>
      <c r="F8475" s="1" t="s">
        <v>12</v>
      </c>
      <c r="G8475" s="4" t="b">
        <f t="shared" si="2"/>
        <v>1</v>
      </c>
      <c r="H8475" s="1" t="str">
        <f t="shared" si="3"/>
        <v>Currently Unavailable</v>
      </c>
      <c r="I8475" s="1" t="str">
        <f t="shared" si="4"/>
        <v>No Badges</v>
      </c>
      <c r="J8475" s="3">
        <f t="shared" si="5"/>
        <v>0</v>
      </c>
    </row>
    <row r="8476">
      <c r="A8476" s="1" t="s">
        <v>6469</v>
      </c>
      <c r="B8476" s="3" t="str">
        <f t="shared" si="1"/>
        <v>Unavailable</v>
      </c>
      <c r="C8476" s="3">
        <v>83.0</v>
      </c>
      <c r="D8476" s="3">
        <f>IFERROR(__xludf.DUMMYFUNCTION("IFERROR(
IF(REGEXMATCH(LOWER(O8476),""k""),
VALUE(REGEXEXTRACT(O8476,""[0-9]+""))*1000,
VALUE(REGEXEXTRACT(O8476,""[0-9]+""))
),
0
)"),0.0)</f>
        <v>0</v>
      </c>
      <c r="E8476" s="1" t="s">
        <v>11</v>
      </c>
      <c r="F8476" s="1" t="s">
        <v>20</v>
      </c>
      <c r="G8476" s="4" t="b">
        <f t="shared" si="2"/>
        <v>1</v>
      </c>
      <c r="H8476" s="1" t="str">
        <f t="shared" si="3"/>
        <v>Currently Unavailable</v>
      </c>
      <c r="I8476" s="1" t="str">
        <f t="shared" si="4"/>
        <v>No Badges</v>
      </c>
      <c r="J8476" s="3">
        <f t="shared" si="5"/>
        <v>0</v>
      </c>
    </row>
    <row r="8477">
      <c r="A8477" s="1" t="s">
        <v>5817</v>
      </c>
      <c r="B8477" s="3" t="str">
        <f t="shared" si="1"/>
        <v>Unavailable</v>
      </c>
      <c r="C8477" s="5">
        <v>7235.0</v>
      </c>
      <c r="D8477" s="3">
        <f>IFERROR(__xludf.DUMMYFUNCTION("IFERROR(
IF(REGEXMATCH(LOWER(O8477),""k""),
VALUE(REGEXEXTRACT(O8477,""[0-9]+""))*1000,
VALUE(REGEXEXTRACT(O8477,""[0-9]+""))
),
0
)"),0.0)</f>
        <v>0</v>
      </c>
      <c r="E8477" s="1" t="s">
        <v>11</v>
      </c>
      <c r="F8477" s="1" t="s">
        <v>12</v>
      </c>
      <c r="G8477" s="4" t="b">
        <f t="shared" si="2"/>
        <v>1</v>
      </c>
      <c r="H8477" s="1" t="str">
        <f t="shared" si="3"/>
        <v>Currently Unavailable</v>
      </c>
      <c r="I8477" s="1" t="str">
        <f t="shared" si="4"/>
        <v>No Badges</v>
      </c>
      <c r="J8477" s="3">
        <f t="shared" si="5"/>
        <v>0</v>
      </c>
    </row>
    <row r="8478">
      <c r="A8478" s="1" t="s">
        <v>6470</v>
      </c>
      <c r="B8478" s="3" t="str">
        <f t="shared" si="1"/>
        <v>Unavailable</v>
      </c>
      <c r="C8478" s="5">
        <v>4446.0</v>
      </c>
      <c r="D8478" s="3">
        <f>IFERROR(__xludf.DUMMYFUNCTION("IFERROR(
IF(REGEXMATCH(LOWER(O8478),""k""),
VALUE(REGEXEXTRACT(O8478,""[0-9]+""))*1000,
VALUE(REGEXEXTRACT(O8478,""[0-9]+""))
),
0
)"),0.0)</f>
        <v>0</v>
      </c>
      <c r="E8478" s="1" t="s">
        <v>11</v>
      </c>
      <c r="F8478" s="1" t="s">
        <v>20</v>
      </c>
      <c r="G8478" s="4" t="b">
        <f t="shared" si="2"/>
        <v>1</v>
      </c>
      <c r="H8478" s="1" t="str">
        <f t="shared" si="3"/>
        <v>Currently Unavailable</v>
      </c>
      <c r="I8478" s="1" t="str">
        <f t="shared" si="4"/>
        <v>No Badges</v>
      </c>
      <c r="J8478" s="3">
        <f t="shared" si="5"/>
        <v>0</v>
      </c>
    </row>
    <row r="8479">
      <c r="A8479" s="1" t="s">
        <v>6471</v>
      </c>
      <c r="B8479" s="3" t="str">
        <f t="shared" si="1"/>
        <v>Unavailable</v>
      </c>
      <c r="C8479" s="5">
        <v>3686.0</v>
      </c>
      <c r="D8479" s="3">
        <f>IFERROR(__xludf.DUMMYFUNCTION("IFERROR(
IF(REGEXMATCH(LOWER(O8479),""k""),
VALUE(REGEXEXTRACT(O8479,""[0-9]+""))*1000,
VALUE(REGEXEXTRACT(O8479,""[0-9]+""))
),
0
)"),0.0)</f>
        <v>0</v>
      </c>
      <c r="E8479" s="1" t="s">
        <v>11</v>
      </c>
      <c r="F8479" s="1" t="s">
        <v>20</v>
      </c>
      <c r="G8479" s="4" t="b">
        <f t="shared" si="2"/>
        <v>1</v>
      </c>
      <c r="H8479" s="1" t="str">
        <f t="shared" si="3"/>
        <v>Currently Unavailable</v>
      </c>
      <c r="I8479" s="1" t="str">
        <f t="shared" si="4"/>
        <v>No Badges</v>
      </c>
      <c r="J8479" s="3">
        <f t="shared" si="5"/>
        <v>0</v>
      </c>
    </row>
    <row r="8480">
      <c r="A8480" s="1" t="s">
        <v>6472</v>
      </c>
      <c r="B8480" s="3" t="str">
        <f t="shared" si="1"/>
        <v>Unavailable</v>
      </c>
      <c r="C8480" s="5">
        <v>3654.0</v>
      </c>
      <c r="D8480" s="3">
        <f>IFERROR(__xludf.DUMMYFUNCTION("IFERROR(
IF(REGEXMATCH(LOWER(O8480),""k""),
VALUE(REGEXEXTRACT(O8480,""[0-9]+""))*1000,
VALUE(REGEXEXTRACT(O8480,""[0-9]+""))
),
0
)"),0.0)</f>
        <v>0</v>
      </c>
      <c r="E8480" s="1" t="s">
        <v>11</v>
      </c>
      <c r="F8480" s="1" t="s">
        <v>20</v>
      </c>
      <c r="G8480" s="4" t="b">
        <f t="shared" si="2"/>
        <v>1</v>
      </c>
      <c r="H8480" s="1" t="str">
        <f t="shared" si="3"/>
        <v>Currently Unavailable</v>
      </c>
      <c r="I8480" s="1" t="str">
        <f t="shared" si="4"/>
        <v>No Badges</v>
      </c>
      <c r="J8480" s="3">
        <f t="shared" si="5"/>
        <v>0</v>
      </c>
    </row>
    <row r="8481">
      <c r="A8481" s="1" t="s">
        <v>5817</v>
      </c>
      <c r="B8481" s="3" t="str">
        <f t="shared" si="1"/>
        <v>Unavailable</v>
      </c>
      <c r="C8481" s="5">
        <v>7235.0</v>
      </c>
      <c r="D8481" s="3">
        <f>IFERROR(__xludf.DUMMYFUNCTION("IFERROR(
IF(REGEXMATCH(LOWER(O8481),""k""),
VALUE(REGEXEXTRACT(O8481,""[0-9]+""))*1000,
VALUE(REGEXEXTRACT(O8481,""[0-9]+""))
),
0
)"),0.0)</f>
        <v>0</v>
      </c>
      <c r="E8481" s="1" t="s">
        <v>11</v>
      </c>
      <c r="F8481" s="1" t="s">
        <v>12</v>
      </c>
      <c r="G8481" s="4" t="b">
        <f t="shared" si="2"/>
        <v>1</v>
      </c>
      <c r="H8481" s="1" t="str">
        <f t="shared" si="3"/>
        <v>Currently Unavailable</v>
      </c>
      <c r="I8481" s="1" t="str">
        <f t="shared" si="4"/>
        <v>No Badges</v>
      </c>
      <c r="J8481" s="3">
        <f t="shared" si="5"/>
        <v>0</v>
      </c>
    </row>
    <row r="8482">
      <c r="A8482" s="1" t="s">
        <v>6473</v>
      </c>
      <c r="B8482" s="3" t="str">
        <f t="shared" si="1"/>
        <v>Unavailable</v>
      </c>
      <c r="C8482" s="5">
        <v>3041.0</v>
      </c>
      <c r="D8482" s="3">
        <f>IFERROR(__xludf.DUMMYFUNCTION("IFERROR(
IF(REGEXMATCH(LOWER(O8482),""k""),
VALUE(REGEXEXTRACT(O8482,""[0-9]+""))*1000,
VALUE(REGEXEXTRACT(O8482,""[0-9]+""))
),
0
)"),0.0)</f>
        <v>0</v>
      </c>
      <c r="E8482" s="1" t="s">
        <v>11</v>
      </c>
      <c r="F8482" s="1" t="s">
        <v>20</v>
      </c>
      <c r="G8482" s="4" t="b">
        <f t="shared" si="2"/>
        <v>1</v>
      </c>
      <c r="H8482" s="1" t="str">
        <f t="shared" si="3"/>
        <v>Currently Unavailable</v>
      </c>
      <c r="I8482" s="1" t="str">
        <f t="shared" si="4"/>
        <v>No Badges</v>
      </c>
      <c r="J8482" s="3">
        <f t="shared" si="5"/>
        <v>0</v>
      </c>
    </row>
    <row r="8483">
      <c r="A8483" s="1" t="s">
        <v>6474</v>
      </c>
      <c r="B8483" s="3" t="str">
        <f t="shared" si="1"/>
        <v>Unavailable</v>
      </c>
      <c r="C8483" s="3">
        <v>585.0</v>
      </c>
      <c r="D8483" s="3">
        <f>IFERROR(__xludf.DUMMYFUNCTION("IFERROR(
IF(REGEXMATCH(LOWER(O8483),""k""),
VALUE(REGEXEXTRACT(O8483,""[0-9]+""))*1000,
VALUE(REGEXEXTRACT(O8483,""[0-9]+""))
),
0
)"),0.0)</f>
        <v>0</v>
      </c>
      <c r="E8483" s="1" t="s">
        <v>11</v>
      </c>
      <c r="F8483" s="1" t="s">
        <v>20</v>
      </c>
      <c r="G8483" s="4" t="b">
        <f t="shared" si="2"/>
        <v>1</v>
      </c>
      <c r="H8483" s="1" t="str">
        <f t="shared" si="3"/>
        <v>Currently Unavailable</v>
      </c>
      <c r="I8483" s="1" t="str">
        <f t="shared" si="4"/>
        <v>No Badges</v>
      </c>
      <c r="J8483" s="3">
        <f t="shared" si="5"/>
        <v>0</v>
      </c>
    </row>
    <row r="8484">
      <c r="A8484" s="1" t="s">
        <v>6475</v>
      </c>
      <c r="B8484" s="3" t="str">
        <f t="shared" si="1"/>
        <v>Unavailable</v>
      </c>
      <c r="C8484" s="3">
        <v>991.0</v>
      </c>
      <c r="D8484" s="3">
        <f>IFERROR(__xludf.DUMMYFUNCTION("IFERROR(
IF(REGEXMATCH(LOWER(O8484),""k""),
VALUE(REGEXEXTRACT(O8484,""[0-9]+""))*1000,
VALUE(REGEXEXTRACT(O8484,""[0-9]+""))
),
0
)"),0.0)</f>
        <v>0</v>
      </c>
      <c r="E8484" s="1" t="s">
        <v>11</v>
      </c>
      <c r="F8484" s="1" t="s">
        <v>20</v>
      </c>
      <c r="G8484" s="4" t="b">
        <f t="shared" si="2"/>
        <v>1</v>
      </c>
      <c r="H8484" s="1" t="str">
        <f t="shared" si="3"/>
        <v>Currently Unavailable</v>
      </c>
      <c r="I8484" s="1" t="str">
        <f t="shared" si="4"/>
        <v>No Badges</v>
      </c>
      <c r="J8484" s="3">
        <f t="shared" si="5"/>
        <v>0</v>
      </c>
    </row>
    <row r="8485">
      <c r="A8485" s="1" t="s">
        <v>6476</v>
      </c>
      <c r="B8485" s="3" t="str">
        <f t="shared" si="1"/>
        <v>Unavailable</v>
      </c>
      <c r="C8485" s="3">
        <v>162.0</v>
      </c>
      <c r="D8485" s="3">
        <f>IFERROR(__xludf.DUMMYFUNCTION("IFERROR(
IF(REGEXMATCH(LOWER(O8485),""k""),
VALUE(REGEXEXTRACT(O8485,""[0-9]+""))*1000,
VALUE(REGEXEXTRACT(O8485,""[0-9]+""))
),
0
)"),0.0)</f>
        <v>0</v>
      </c>
      <c r="E8485" s="1" t="s">
        <v>11</v>
      </c>
      <c r="F8485" s="1" t="s">
        <v>20</v>
      </c>
      <c r="G8485" s="4" t="b">
        <f t="shared" si="2"/>
        <v>1</v>
      </c>
      <c r="H8485" s="1" t="str">
        <f t="shared" si="3"/>
        <v>Currently Unavailable</v>
      </c>
      <c r="I8485" s="1" t="str">
        <f t="shared" si="4"/>
        <v>No Badges</v>
      </c>
      <c r="J8485" s="3">
        <f t="shared" si="5"/>
        <v>0</v>
      </c>
    </row>
    <row r="8486">
      <c r="A8486" s="1" t="s">
        <v>6477</v>
      </c>
      <c r="B8486" s="3" t="str">
        <f t="shared" si="1"/>
        <v>Unavailable</v>
      </c>
      <c r="C8486" s="5">
        <v>3521.0</v>
      </c>
      <c r="D8486" s="3">
        <f>IFERROR(__xludf.DUMMYFUNCTION("IFERROR(
IF(REGEXMATCH(LOWER(O8486),""k""),
VALUE(REGEXEXTRACT(O8486,""[0-9]+""))*1000,
VALUE(REGEXEXTRACT(O8486,""[0-9]+""))
),
0
)"),0.0)</f>
        <v>0</v>
      </c>
      <c r="E8486" s="1" t="s">
        <v>11</v>
      </c>
      <c r="F8486" s="1" t="s">
        <v>20</v>
      </c>
      <c r="G8486" s="4" t="b">
        <f t="shared" si="2"/>
        <v>1</v>
      </c>
      <c r="H8486" s="1" t="str">
        <f t="shared" si="3"/>
        <v>Currently Unavailable</v>
      </c>
      <c r="I8486" s="1" t="str">
        <f t="shared" si="4"/>
        <v>No Badges</v>
      </c>
      <c r="J8486" s="3">
        <f t="shared" si="5"/>
        <v>0</v>
      </c>
    </row>
    <row r="8487">
      <c r="A8487" s="1" t="s">
        <v>6478</v>
      </c>
      <c r="B8487" s="3" t="str">
        <f t="shared" si="1"/>
        <v>Unavailable</v>
      </c>
      <c r="C8487" s="5">
        <v>4436.0</v>
      </c>
      <c r="D8487" s="3">
        <f>IFERROR(__xludf.DUMMYFUNCTION("IFERROR(
IF(REGEXMATCH(LOWER(O8487),""k""),
VALUE(REGEXEXTRACT(O8487,""[0-9]+""))*1000,
VALUE(REGEXEXTRACT(O8487,""[0-9]+""))
),
0
)"),0.0)</f>
        <v>0</v>
      </c>
      <c r="E8487" s="1" t="s">
        <v>11</v>
      </c>
      <c r="F8487" s="1" t="s">
        <v>20</v>
      </c>
      <c r="G8487" s="4" t="b">
        <f t="shared" si="2"/>
        <v>1</v>
      </c>
      <c r="H8487" s="1" t="str">
        <f t="shared" si="3"/>
        <v>Currently Unavailable</v>
      </c>
      <c r="I8487" s="1" t="str">
        <f t="shared" si="4"/>
        <v>No Badges</v>
      </c>
      <c r="J8487" s="3">
        <f t="shared" si="5"/>
        <v>0</v>
      </c>
    </row>
    <row r="8488">
      <c r="A8488" s="1" t="s">
        <v>6479</v>
      </c>
      <c r="B8488" s="3" t="str">
        <f t="shared" si="1"/>
        <v>Unavailable</v>
      </c>
      <c r="C8488" s="5">
        <v>2022.0</v>
      </c>
      <c r="D8488" s="3">
        <f>IFERROR(__xludf.DUMMYFUNCTION("IFERROR(
IF(REGEXMATCH(LOWER(O8488),""k""),
VALUE(REGEXEXTRACT(O8488,""[0-9]+""))*1000,
VALUE(REGEXEXTRACT(O8488,""[0-9]+""))
),
0
)"),0.0)</f>
        <v>0</v>
      </c>
      <c r="E8488" s="1" t="s">
        <v>11</v>
      </c>
      <c r="F8488" s="1" t="s">
        <v>20</v>
      </c>
      <c r="G8488" s="4" t="b">
        <f t="shared" si="2"/>
        <v>1</v>
      </c>
      <c r="H8488" s="1" t="str">
        <f t="shared" si="3"/>
        <v>Currently Unavailable</v>
      </c>
      <c r="I8488" s="1" t="str">
        <f t="shared" si="4"/>
        <v>No Badges</v>
      </c>
      <c r="J8488" s="3">
        <f t="shared" si="5"/>
        <v>0</v>
      </c>
    </row>
    <row r="8489">
      <c r="A8489" s="1" t="s">
        <v>6480</v>
      </c>
      <c r="B8489" s="3" t="str">
        <f t="shared" si="1"/>
        <v>Unavailable</v>
      </c>
      <c r="C8489" s="3">
        <v>361.0</v>
      </c>
      <c r="D8489" s="3">
        <f>IFERROR(__xludf.DUMMYFUNCTION("IFERROR(
IF(REGEXMATCH(LOWER(O8489),""k""),
VALUE(REGEXEXTRACT(O8489,""[0-9]+""))*1000,
VALUE(REGEXEXTRACT(O8489,""[0-9]+""))
),
0
)"),0.0)</f>
        <v>0</v>
      </c>
      <c r="E8489" s="1" t="s">
        <v>11</v>
      </c>
      <c r="F8489" s="1" t="s">
        <v>20</v>
      </c>
      <c r="G8489" s="4" t="b">
        <f t="shared" si="2"/>
        <v>1</v>
      </c>
      <c r="H8489" s="1" t="str">
        <f t="shared" si="3"/>
        <v>Currently Unavailable</v>
      </c>
      <c r="I8489" s="1" t="str">
        <f t="shared" si="4"/>
        <v>No Badges</v>
      </c>
      <c r="J8489" s="3">
        <f t="shared" si="5"/>
        <v>0</v>
      </c>
    </row>
    <row r="8490">
      <c r="A8490" s="1" t="s">
        <v>88</v>
      </c>
      <c r="B8490" s="3" t="str">
        <f t="shared" si="1"/>
        <v>Unavailable</v>
      </c>
      <c r="C8490" s="3">
        <v>5.0</v>
      </c>
      <c r="D8490" s="3">
        <f>IFERROR(__xludf.DUMMYFUNCTION("IFERROR(
IF(REGEXMATCH(LOWER(O8490),""k""),
VALUE(REGEXEXTRACT(O8490,""[0-9]+""))*1000,
VALUE(REGEXEXTRACT(O8490,""[0-9]+""))
),
0
)"),0.0)</f>
        <v>0</v>
      </c>
      <c r="E8490" s="1" t="s">
        <v>11</v>
      </c>
      <c r="F8490" s="1" t="s">
        <v>12</v>
      </c>
      <c r="G8490" s="4" t="b">
        <f t="shared" si="2"/>
        <v>1</v>
      </c>
      <c r="H8490" s="1" t="str">
        <f t="shared" si="3"/>
        <v>Currently Unavailable</v>
      </c>
      <c r="I8490" s="1" t="str">
        <f t="shared" si="4"/>
        <v>No Badges</v>
      </c>
      <c r="J8490" s="3">
        <f t="shared" si="5"/>
        <v>0</v>
      </c>
    </row>
    <row r="8491">
      <c r="A8491" s="1" t="s">
        <v>40</v>
      </c>
      <c r="B8491" s="3" t="str">
        <f t="shared" si="1"/>
        <v>Unavailable</v>
      </c>
      <c r="C8491" s="3">
        <v>171.0</v>
      </c>
      <c r="D8491" s="3">
        <f>IFERROR(__xludf.DUMMYFUNCTION("IFERROR(
IF(REGEXMATCH(LOWER(O8491),""k""),
VALUE(REGEXEXTRACT(O8491,""[0-9]+""))*1000,
VALUE(REGEXEXTRACT(O8491,""[0-9]+""))
),
0
)"),0.0)</f>
        <v>0</v>
      </c>
      <c r="E8491" s="1" t="s">
        <v>11</v>
      </c>
      <c r="F8491" s="1" t="s">
        <v>12</v>
      </c>
      <c r="G8491" s="4" t="b">
        <f t="shared" si="2"/>
        <v>1</v>
      </c>
      <c r="H8491" s="1" t="str">
        <f t="shared" si="3"/>
        <v>Currently Unavailable</v>
      </c>
      <c r="I8491" s="1" t="str">
        <f t="shared" si="4"/>
        <v>No Badges</v>
      </c>
      <c r="J8491" s="3">
        <f t="shared" si="5"/>
        <v>0</v>
      </c>
    </row>
    <row r="8492">
      <c r="A8492" s="1" t="s">
        <v>6481</v>
      </c>
      <c r="B8492" s="3" t="str">
        <f t="shared" si="1"/>
        <v>Unavailable</v>
      </c>
      <c r="C8492" s="3">
        <v>824.0</v>
      </c>
      <c r="D8492" s="3">
        <f>IFERROR(__xludf.DUMMYFUNCTION("IFERROR(
IF(REGEXMATCH(LOWER(O8492),""k""),
VALUE(REGEXEXTRACT(O8492,""[0-9]+""))*1000,
VALUE(REGEXEXTRACT(O8492,""[0-9]+""))
),
0
)"),0.0)</f>
        <v>0</v>
      </c>
      <c r="E8492" s="1" t="s">
        <v>11</v>
      </c>
      <c r="F8492" s="1" t="s">
        <v>20</v>
      </c>
      <c r="G8492" s="4" t="b">
        <f t="shared" si="2"/>
        <v>1</v>
      </c>
      <c r="H8492" s="1" t="str">
        <f t="shared" si="3"/>
        <v>Currently Unavailable</v>
      </c>
      <c r="I8492" s="1" t="str">
        <f t="shared" si="4"/>
        <v>No Badges</v>
      </c>
      <c r="J8492" s="3">
        <f t="shared" si="5"/>
        <v>0</v>
      </c>
    </row>
    <row r="8493">
      <c r="A8493" s="1" t="s">
        <v>5817</v>
      </c>
      <c r="B8493" s="3" t="str">
        <f t="shared" si="1"/>
        <v>Unavailable</v>
      </c>
      <c r="C8493" s="5">
        <v>7235.0</v>
      </c>
      <c r="D8493" s="3">
        <f>IFERROR(__xludf.DUMMYFUNCTION("IFERROR(
IF(REGEXMATCH(LOWER(O8493),""k""),
VALUE(REGEXEXTRACT(O8493,""[0-9]+""))*1000,
VALUE(REGEXEXTRACT(O8493,""[0-9]+""))
),
0
)"),0.0)</f>
        <v>0</v>
      </c>
      <c r="E8493" s="1" t="s">
        <v>11</v>
      </c>
      <c r="F8493" s="1" t="s">
        <v>12</v>
      </c>
      <c r="G8493" s="4" t="b">
        <f t="shared" si="2"/>
        <v>1</v>
      </c>
      <c r="H8493" s="1" t="str">
        <f t="shared" si="3"/>
        <v>Currently Unavailable</v>
      </c>
      <c r="I8493" s="1" t="str">
        <f t="shared" si="4"/>
        <v>No Badges</v>
      </c>
      <c r="J8493" s="3">
        <f t="shared" si="5"/>
        <v>0</v>
      </c>
    </row>
    <row r="8494">
      <c r="A8494" s="1" t="s">
        <v>6482</v>
      </c>
      <c r="B8494" s="3" t="str">
        <f t="shared" si="1"/>
        <v>Unavailable</v>
      </c>
      <c r="C8494" s="5">
        <v>6114.0</v>
      </c>
      <c r="D8494" s="3">
        <f>IFERROR(__xludf.DUMMYFUNCTION("IFERROR(
IF(REGEXMATCH(LOWER(O8494),""k""),
VALUE(REGEXEXTRACT(O8494,""[0-9]+""))*1000,
VALUE(REGEXEXTRACT(O8494,""[0-9]+""))
),
0
)"),0.0)</f>
        <v>0</v>
      </c>
      <c r="E8494" s="1" t="s">
        <v>11</v>
      </c>
      <c r="F8494" s="1" t="s">
        <v>20</v>
      </c>
      <c r="G8494" s="4" t="b">
        <f t="shared" si="2"/>
        <v>1</v>
      </c>
      <c r="H8494" s="1" t="str">
        <f t="shared" si="3"/>
        <v>Currently Unavailable</v>
      </c>
      <c r="I8494" s="1" t="str">
        <f t="shared" si="4"/>
        <v>No Badges</v>
      </c>
      <c r="J8494" s="3">
        <f t="shared" si="5"/>
        <v>0</v>
      </c>
    </row>
    <row r="8495">
      <c r="A8495" s="1" t="s">
        <v>6483</v>
      </c>
      <c r="B8495" s="3" t="str">
        <f t="shared" si="1"/>
        <v>Unavailable</v>
      </c>
      <c r="C8495" s="5">
        <v>24027.0</v>
      </c>
      <c r="D8495" s="3">
        <f>IFERROR(__xludf.DUMMYFUNCTION("IFERROR(
IF(REGEXMATCH(LOWER(O8495),""k""),
VALUE(REGEXEXTRACT(O8495,""[0-9]+""))*1000,
VALUE(REGEXEXTRACT(O8495,""[0-9]+""))
),
0
)"),0.0)</f>
        <v>0</v>
      </c>
      <c r="E8495" s="1" t="s">
        <v>11</v>
      </c>
      <c r="F8495" s="1" t="s">
        <v>20</v>
      </c>
      <c r="G8495" s="4" t="b">
        <f t="shared" si="2"/>
        <v>1</v>
      </c>
      <c r="H8495" s="1" t="str">
        <f t="shared" si="3"/>
        <v>Currently Unavailable</v>
      </c>
      <c r="I8495" s="1" t="str">
        <f t="shared" si="4"/>
        <v>No Badges</v>
      </c>
      <c r="J8495" s="3">
        <f t="shared" si="5"/>
        <v>0</v>
      </c>
    </row>
    <row r="8496">
      <c r="A8496" s="1" t="s">
        <v>6484</v>
      </c>
      <c r="B8496" s="3" t="str">
        <f t="shared" si="1"/>
        <v>Unavailable</v>
      </c>
      <c r="C8496" s="5">
        <v>6638.0</v>
      </c>
      <c r="D8496" s="3">
        <f>IFERROR(__xludf.DUMMYFUNCTION("IFERROR(
IF(REGEXMATCH(LOWER(O8496),""k""),
VALUE(REGEXEXTRACT(O8496,""[0-9]+""))*1000,
VALUE(REGEXEXTRACT(O8496,""[0-9]+""))
),
0
)"),0.0)</f>
        <v>0</v>
      </c>
      <c r="E8496" s="1" t="s">
        <v>11</v>
      </c>
      <c r="F8496" s="1" t="s">
        <v>20</v>
      </c>
      <c r="G8496" s="4" t="b">
        <f t="shared" si="2"/>
        <v>1</v>
      </c>
      <c r="H8496" s="1" t="str">
        <f t="shared" si="3"/>
        <v>Currently Unavailable</v>
      </c>
      <c r="I8496" s="1" t="str">
        <f t="shared" si="4"/>
        <v>No Badges</v>
      </c>
      <c r="J8496" s="3">
        <f t="shared" si="5"/>
        <v>0</v>
      </c>
    </row>
    <row r="8497">
      <c r="A8497" s="1" t="s">
        <v>6485</v>
      </c>
      <c r="B8497" s="3" t="str">
        <f t="shared" si="1"/>
        <v>Unavailable</v>
      </c>
      <c r="C8497" s="3">
        <v>78.0</v>
      </c>
      <c r="D8497" s="3">
        <f>IFERROR(__xludf.DUMMYFUNCTION("IFERROR(
IF(REGEXMATCH(LOWER(O8497),""k""),
VALUE(REGEXEXTRACT(O8497,""[0-9]+""))*1000,
VALUE(REGEXEXTRACT(O8497,""[0-9]+""))
),
0
)"),0.0)</f>
        <v>0</v>
      </c>
      <c r="E8497" s="1" t="s">
        <v>11</v>
      </c>
      <c r="F8497" s="1" t="s">
        <v>20</v>
      </c>
      <c r="G8497" s="4" t="b">
        <f t="shared" si="2"/>
        <v>1</v>
      </c>
      <c r="H8497" s="1" t="str">
        <f t="shared" si="3"/>
        <v>Currently Unavailable</v>
      </c>
      <c r="I8497" s="1" t="str">
        <f t="shared" si="4"/>
        <v>No Badges</v>
      </c>
      <c r="J8497" s="3">
        <f t="shared" si="5"/>
        <v>0</v>
      </c>
    </row>
    <row r="8498">
      <c r="A8498" s="1" t="s">
        <v>6486</v>
      </c>
      <c r="B8498" s="3" t="str">
        <f t="shared" si="1"/>
        <v>Unavailable</v>
      </c>
      <c r="C8498" s="3">
        <v>98.0</v>
      </c>
      <c r="D8498" s="3">
        <f>IFERROR(__xludf.DUMMYFUNCTION("IFERROR(
IF(REGEXMATCH(LOWER(O8498),""k""),
VALUE(REGEXEXTRACT(O8498,""[0-9]+""))*1000,
VALUE(REGEXEXTRACT(O8498,""[0-9]+""))
),
0
)"),0.0)</f>
        <v>0</v>
      </c>
      <c r="E8498" s="1" t="s">
        <v>11</v>
      </c>
      <c r="F8498" s="1" t="s">
        <v>20</v>
      </c>
      <c r="G8498" s="4" t="b">
        <f t="shared" si="2"/>
        <v>1</v>
      </c>
      <c r="H8498" s="1" t="str">
        <f t="shared" si="3"/>
        <v>Currently Unavailable</v>
      </c>
      <c r="I8498" s="1" t="str">
        <f t="shared" si="4"/>
        <v>No Badges</v>
      </c>
      <c r="J8498" s="3">
        <f t="shared" si="5"/>
        <v>0</v>
      </c>
    </row>
    <row r="8499">
      <c r="A8499" s="1" t="s">
        <v>6487</v>
      </c>
      <c r="B8499" s="3" t="str">
        <f t="shared" si="1"/>
        <v>Unavailable</v>
      </c>
      <c r="C8499" s="5">
        <v>2903.0</v>
      </c>
      <c r="D8499" s="3">
        <f>IFERROR(__xludf.DUMMYFUNCTION("IFERROR(
IF(REGEXMATCH(LOWER(O8499),""k""),
VALUE(REGEXEXTRACT(O8499,""[0-9]+""))*1000,
VALUE(REGEXEXTRACT(O8499,""[0-9]+""))
),
0
)"),0.0)</f>
        <v>0</v>
      </c>
      <c r="E8499" s="1" t="s">
        <v>11</v>
      </c>
      <c r="F8499" s="1" t="s">
        <v>20</v>
      </c>
      <c r="G8499" s="4" t="b">
        <f t="shared" si="2"/>
        <v>1</v>
      </c>
      <c r="H8499" s="1" t="str">
        <f t="shared" si="3"/>
        <v>Currently Unavailable</v>
      </c>
      <c r="I8499" s="1" t="str">
        <f t="shared" si="4"/>
        <v>No Badges</v>
      </c>
      <c r="J8499" s="3">
        <f t="shared" si="5"/>
        <v>0</v>
      </c>
    </row>
    <row r="8500">
      <c r="A8500" s="1" t="s">
        <v>6488</v>
      </c>
      <c r="B8500" s="3" t="str">
        <f t="shared" si="1"/>
        <v>Unavailable</v>
      </c>
      <c r="C8500" s="5">
        <v>2685.0</v>
      </c>
      <c r="D8500" s="3">
        <f>IFERROR(__xludf.DUMMYFUNCTION("IFERROR(
IF(REGEXMATCH(LOWER(O8500),""k""),
VALUE(REGEXEXTRACT(O8500,""[0-9]+""))*1000,
VALUE(REGEXEXTRACT(O8500,""[0-9]+""))
),
0
)"),0.0)</f>
        <v>0</v>
      </c>
      <c r="E8500" s="1" t="s">
        <v>11</v>
      </c>
      <c r="F8500" s="1" t="s">
        <v>20</v>
      </c>
      <c r="G8500" s="4" t="b">
        <f t="shared" si="2"/>
        <v>1</v>
      </c>
      <c r="H8500" s="1" t="str">
        <f t="shared" si="3"/>
        <v>Currently Unavailable</v>
      </c>
      <c r="I8500" s="1" t="str">
        <f t="shared" si="4"/>
        <v>No Badges</v>
      </c>
      <c r="J8500" s="3">
        <f t="shared" si="5"/>
        <v>0</v>
      </c>
    </row>
    <row r="8501">
      <c r="A8501" s="1" t="s">
        <v>6489</v>
      </c>
      <c r="B8501" s="3" t="str">
        <f t="shared" si="1"/>
        <v>Unavailable</v>
      </c>
      <c r="C8501" s="5">
        <v>6955.0</v>
      </c>
      <c r="D8501" s="3">
        <f>IFERROR(__xludf.DUMMYFUNCTION("IFERROR(
IF(REGEXMATCH(LOWER(O8501),""k""),
VALUE(REGEXEXTRACT(O8501,""[0-9]+""))*1000,
VALUE(REGEXEXTRACT(O8501,""[0-9]+""))
),
0
)"),0.0)</f>
        <v>0</v>
      </c>
      <c r="E8501" s="1" t="s">
        <v>11</v>
      </c>
      <c r="F8501" s="1" t="s">
        <v>20</v>
      </c>
      <c r="G8501" s="4" t="b">
        <f t="shared" si="2"/>
        <v>1</v>
      </c>
      <c r="H8501" s="1" t="str">
        <f t="shared" si="3"/>
        <v>Currently Unavailable</v>
      </c>
      <c r="I8501" s="1" t="str">
        <f t="shared" si="4"/>
        <v>No Badges</v>
      </c>
      <c r="J8501" s="3">
        <f t="shared" si="5"/>
        <v>0</v>
      </c>
    </row>
    <row r="8502">
      <c r="A8502" s="1" t="s">
        <v>6490</v>
      </c>
      <c r="B8502" s="3" t="str">
        <f t="shared" si="1"/>
        <v>Unavailable</v>
      </c>
      <c r="C8502" s="5">
        <v>9715.0</v>
      </c>
      <c r="D8502" s="3">
        <f>IFERROR(__xludf.DUMMYFUNCTION("IFERROR(
IF(REGEXMATCH(LOWER(O8502),""k""),
VALUE(REGEXEXTRACT(O8502,""[0-9]+""))*1000,
VALUE(REGEXEXTRACT(O8502,""[0-9]+""))
),
0
)"),0.0)</f>
        <v>0</v>
      </c>
      <c r="E8502" s="1" t="s">
        <v>11</v>
      </c>
      <c r="F8502" s="1" t="s">
        <v>20</v>
      </c>
      <c r="G8502" s="4" t="b">
        <f t="shared" si="2"/>
        <v>1</v>
      </c>
      <c r="H8502" s="1" t="str">
        <f t="shared" si="3"/>
        <v>Currently Unavailable</v>
      </c>
      <c r="I8502" s="1" t="str">
        <f t="shared" si="4"/>
        <v>No Badges</v>
      </c>
      <c r="J8502" s="3">
        <f t="shared" si="5"/>
        <v>0</v>
      </c>
    </row>
    <row r="8503">
      <c r="A8503" s="1" t="s">
        <v>5817</v>
      </c>
      <c r="B8503" s="3" t="str">
        <f t="shared" si="1"/>
        <v>Unavailable</v>
      </c>
      <c r="C8503" s="5">
        <v>7235.0</v>
      </c>
      <c r="D8503" s="3">
        <f>IFERROR(__xludf.DUMMYFUNCTION("IFERROR(
IF(REGEXMATCH(LOWER(O8503),""k""),
VALUE(REGEXEXTRACT(O8503,""[0-9]+""))*1000,
VALUE(REGEXEXTRACT(O8503,""[0-9]+""))
),
0
)"),0.0)</f>
        <v>0</v>
      </c>
      <c r="E8503" s="1" t="s">
        <v>11</v>
      </c>
      <c r="F8503" s="1" t="s">
        <v>12</v>
      </c>
      <c r="G8503" s="4" t="b">
        <f t="shared" si="2"/>
        <v>1</v>
      </c>
      <c r="H8503" s="1" t="str">
        <f t="shared" si="3"/>
        <v>Currently Unavailable</v>
      </c>
      <c r="I8503" s="1" t="str">
        <f t="shared" si="4"/>
        <v>No Badges</v>
      </c>
      <c r="J8503" s="3">
        <f t="shared" si="5"/>
        <v>0</v>
      </c>
    </row>
    <row r="8504">
      <c r="A8504" s="1" t="s">
        <v>6491</v>
      </c>
      <c r="B8504" s="3" t="str">
        <f t="shared" si="1"/>
        <v>Unavailable</v>
      </c>
      <c r="C8504" s="5">
        <v>74797.0</v>
      </c>
      <c r="D8504" s="3">
        <f>IFERROR(__xludf.DUMMYFUNCTION("IFERROR(
IF(REGEXMATCH(LOWER(O8504),""k""),
VALUE(REGEXEXTRACT(O8504,""[0-9]+""))*1000,
VALUE(REGEXEXTRACT(O8504,""[0-9]+""))
),
0
)"),0.0)</f>
        <v>0</v>
      </c>
      <c r="E8504" s="1" t="s">
        <v>11</v>
      </c>
      <c r="F8504" s="1" t="s">
        <v>20</v>
      </c>
      <c r="G8504" s="4" t="b">
        <f t="shared" si="2"/>
        <v>1</v>
      </c>
      <c r="H8504" s="1" t="str">
        <f t="shared" si="3"/>
        <v>Currently Unavailable</v>
      </c>
      <c r="I8504" s="1" t="str">
        <f t="shared" si="4"/>
        <v>No Badges</v>
      </c>
      <c r="J8504" s="3">
        <f t="shared" si="5"/>
        <v>0</v>
      </c>
    </row>
    <row r="8505">
      <c r="A8505" s="1" t="s">
        <v>6492</v>
      </c>
      <c r="B8505" s="3" t="str">
        <f t="shared" si="1"/>
        <v>Unavailable</v>
      </c>
      <c r="C8505" s="3">
        <v>142.0</v>
      </c>
      <c r="D8505" s="3">
        <f>IFERROR(__xludf.DUMMYFUNCTION("IFERROR(
IF(REGEXMATCH(LOWER(O8505),""k""),
VALUE(REGEXEXTRACT(O8505,""[0-9]+""))*1000,
VALUE(REGEXEXTRACT(O8505,""[0-9]+""))
),
0
)"),0.0)</f>
        <v>0</v>
      </c>
      <c r="E8505" s="1" t="s">
        <v>11</v>
      </c>
      <c r="F8505" s="1" t="s">
        <v>20</v>
      </c>
      <c r="G8505" s="4" t="b">
        <f t="shared" si="2"/>
        <v>1</v>
      </c>
      <c r="H8505" s="1" t="str">
        <f t="shared" si="3"/>
        <v>Currently Unavailable</v>
      </c>
      <c r="I8505" s="1" t="str">
        <f t="shared" si="4"/>
        <v>No Badges</v>
      </c>
      <c r="J8505" s="3">
        <f t="shared" si="5"/>
        <v>0</v>
      </c>
    </row>
    <row r="8506">
      <c r="A8506" s="1" t="s">
        <v>6493</v>
      </c>
      <c r="B8506" s="3" t="str">
        <f t="shared" si="1"/>
        <v>Unavailable</v>
      </c>
      <c r="C8506" s="5">
        <v>4006.0</v>
      </c>
      <c r="D8506" s="3">
        <f>IFERROR(__xludf.DUMMYFUNCTION("IFERROR(
IF(REGEXMATCH(LOWER(O8506),""k""),
VALUE(REGEXEXTRACT(O8506,""[0-9]+""))*1000,
VALUE(REGEXEXTRACT(O8506,""[0-9]+""))
),
0
)"),0.0)</f>
        <v>0</v>
      </c>
      <c r="E8506" s="1" t="s">
        <v>11</v>
      </c>
      <c r="F8506" s="1" t="s">
        <v>20</v>
      </c>
      <c r="G8506" s="4" t="b">
        <f t="shared" si="2"/>
        <v>1</v>
      </c>
      <c r="H8506" s="1" t="str">
        <f t="shared" si="3"/>
        <v>Currently Unavailable</v>
      </c>
      <c r="I8506" s="1" t="str">
        <f t="shared" si="4"/>
        <v>No Badges</v>
      </c>
      <c r="J8506" s="3">
        <f t="shared" si="5"/>
        <v>0</v>
      </c>
    </row>
    <row r="8507">
      <c r="A8507" s="1" t="s">
        <v>6494</v>
      </c>
      <c r="B8507" s="3" t="str">
        <f t="shared" si="1"/>
        <v>Unavailable</v>
      </c>
      <c r="C8507" s="5">
        <v>2107.0</v>
      </c>
      <c r="D8507" s="3">
        <f>IFERROR(__xludf.DUMMYFUNCTION("IFERROR(
IF(REGEXMATCH(LOWER(O8507),""k""),
VALUE(REGEXEXTRACT(O8507,""[0-9]+""))*1000,
VALUE(REGEXEXTRACT(O8507,""[0-9]+""))
),
0
)"),0.0)</f>
        <v>0</v>
      </c>
      <c r="E8507" s="1" t="s">
        <v>11</v>
      </c>
      <c r="F8507" s="1" t="s">
        <v>20</v>
      </c>
      <c r="G8507" s="4" t="b">
        <f t="shared" si="2"/>
        <v>1</v>
      </c>
      <c r="H8507" s="1" t="str">
        <f t="shared" si="3"/>
        <v>Currently Unavailable</v>
      </c>
      <c r="I8507" s="1" t="str">
        <f t="shared" si="4"/>
        <v>No Badges</v>
      </c>
      <c r="J8507" s="3">
        <f t="shared" si="5"/>
        <v>0</v>
      </c>
    </row>
    <row r="8508">
      <c r="A8508" s="1" t="s">
        <v>6495</v>
      </c>
      <c r="B8508" s="3" t="str">
        <f t="shared" si="1"/>
        <v>Unavailable</v>
      </c>
      <c r="C8508" s="5">
        <v>5206.0</v>
      </c>
      <c r="D8508" s="3">
        <f>IFERROR(__xludf.DUMMYFUNCTION("IFERROR(
IF(REGEXMATCH(LOWER(O8508),""k""),
VALUE(REGEXEXTRACT(O8508,""[0-9]+""))*1000,
VALUE(REGEXEXTRACT(O8508,""[0-9]+""))
),
0
)"),0.0)</f>
        <v>0</v>
      </c>
      <c r="E8508" s="1" t="s">
        <v>11</v>
      </c>
      <c r="F8508" s="1" t="s">
        <v>20</v>
      </c>
      <c r="G8508" s="4" t="b">
        <f t="shared" si="2"/>
        <v>1</v>
      </c>
      <c r="H8508" s="1" t="str">
        <f t="shared" si="3"/>
        <v>Currently Unavailable</v>
      </c>
      <c r="I8508" s="1" t="str">
        <f t="shared" si="4"/>
        <v>No Badges</v>
      </c>
      <c r="J8508" s="3">
        <f t="shared" si="5"/>
        <v>0</v>
      </c>
    </row>
    <row r="8509">
      <c r="A8509" s="1" t="s">
        <v>5817</v>
      </c>
      <c r="B8509" s="3" t="str">
        <f t="shared" si="1"/>
        <v>Unavailable</v>
      </c>
      <c r="C8509" s="5">
        <v>7235.0</v>
      </c>
      <c r="D8509" s="3">
        <f>IFERROR(__xludf.DUMMYFUNCTION("IFERROR(
IF(REGEXMATCH(LOWER(O8509),""k""),
VALUE(REGEXEXTRACT(O8509,""[0-9]+""))*1000,
VALUE(REGEXEXTRACT(O8509,""[0-9]+""))
),
0
)"),0.0)</f>
        <v>0</v>
      </c>
      <c r="E8509" s="1" t="s">
        <v>11</v>
      </c>
      <c r="F8509" s="1" t="s">
        <v>12</v>
      </c>
      <c r="G8509" s="4" t="b">
        <f t="shared" si="2"/>
        <v>1</v>
      </c>
      <c r="H8509" s="1" t="str">
        <f t="shared" si="3"/>
        <v>Currently Unavailable</v>
      </c>
      <c r="I8509" s="1" t="str">
        <f t="shared" si="4"/>
        <v>No Badges</v>
      </c>
      <c r="J8509" s="3">
        <f t="shared" si="5"/>
        <v>0</v>
      </c>
    </row>
    <row r="8510">
      <c r="A8510" s="1" t="s">
        <v>6496</v>
      </c>
      <c r="B8510" s="3" t="str">
        <f t="shared" si="1"/>
        <v>Unavailable</v>
      </c>
      <c r="C8510" s="3">
        <v>572.0</v>
      </c>
      <c r="D8510" s="3">
        <f>IFERROR(__xludf.DUMMYFUNCTION("IFERROR(
IF(REGEXMATCH(LOWER(O8510),""k""),
VALUE(REGEXEXTRACT(O8510,""[0-9]+""))*1000,
VALUE(REGEXEXTRACT(O8510,""[0-9]+""))
),
0
)"),0.0)</f>
        <v>0</v>
      </c>
      <c r="E8510" s="1" t="s">
        <v>11</v>
      </c>
      <c r="F8510" s="1" t="s">
        <v>20</v>
      </c>
      <c r="G8510" s="4" t="b">
        <f t="shared" si="2"/>
        <v>1</v>
      </c>
      <c r="H8510" s="1" t="str">
        <f t="shared" si="3"/>
        <v>Currently Unavailable</v>
      </c>
      <c r="I8510" s="1" t="str">
        <f t="shared" si="4"/>
        <v>No Badges</v>
      </c>
      <c r="J8510" s="3">
        <f t="shared" si="5"/>
        <v>0</v>
      </c>
    </row>
    <row r="8511">
      <c r="A8511" s="1" t="s">
        <v>6497</v>
      </c>
      <c r="B8511" s="3" t="str">
        <f t="shared" si="1"/>
        <v>Unavailable</v>
      </c>
      <c r="C8511" s="3">
        <v>971.0</v>
      </c>
      <c r="D8511" s="3">
        <f>IFERROR(__xludf.DUMMYFUNCTION("IFERROR(
IF(REGEXMATCH(LOWER(O8511),""k""),
VALUE(REGEXEXTRACT(O8511,""[0-9]+""))*1000,
VALUE(REGEXEXTRACT(O8511,""[0-9]+""))
),
0
)"),0.0)</f>
        <v>0</v>
      </c>
      <c r="E8511" s="1" t="s">
        <v>11</v>
      </c>
      <c r="F8511" s="1" t="s">
        <v>20</v>
      </c>
      <c r="G8511" s="4" t="b">
        <f t="shared" si="2"/>
        <v>1</v>
      </c>
      <c r="H8511" s="1" t="str">
        <f t="shared" si="3"/>
        <v>Currently Unavailable</v>
      </c>
      <c r="I8511" s="1" t="str">
        <f t="shared" si="4"/>
        <v>No Badges</v>
      </c>
      <c r="J8511" s="3">
        <f t="shared" si="5"/>
        <v>0</v>
      </c>
    </row>
    <row r="8512">
      <c r="A8512" s="1" t="s">
        <v>6498</v>
      </c>
      <c r="B8512" s="3" t="str">
        <f t="shared" si="1"/>
        <v>Unavailable</v>
      </c>
      <c r="C8512" s="5">
        <v>9438.0</v>
      </c>
      <c r="D8512" s="3">
        <f>IFERROR(__xludf.DUMMYFUNCTION("IFERROR(
IF(REGEXMATCH(LOWER(O8512),""k""),
VALUE(REGEXEXTRACT(O8512,""[0-9]+""))*1000,
VALUE(REGEXEXTRACT(O8512,""[0-9]+""))
),
0
)"),0.0)</f>
        <v>0</v>
      </c>
      <c r="E8512" s="1" t="s">
        <v>11</v>
      </c>
      <c r="F8512" s="1" t="s">
        <v>20</v>
      </c>
      <c r="G8512" s="4" t="b">
        <f t="shared" si="2"/>
        <v>1</v>
      </c>
      <c r="H8512" s="1" t="str">
        <f t="shared" si="3"/>
        <v>Currently Unavailable</v>
      </c>
      <c r="I8512" s="1" t="str">
        <f t="shared" si="4"/>
        <v>No Badges</v>
      </c>
      <c r="J8512" s="3">
        <f t="shared" si="5"/>
        <v>0</v>
      </c>
    </row>
    <row r="8513">
      <c r="A8513" s="1" t="s">
        <v>6499</v>
      </c>
      <c r="B8513" s="3" t="str">
        <f t="shared" si="1"/>
        <v>Unavailable</v>
      </c>
      <c r="C8513" s="3">
        <v>923.0</v>
      </c>
      <c r="D8513" s="3">
        <f>IFERROR(__xludf.DUMMYFUNCTION("IFERROR(
IF(REGEXMATCH(LOWER(O8513),""k""),
VALUE(REGEXEXTRACT(O8513,""[0-9]+""))*1000,
VALUE(REGEXEXTRACT(O8513,""[0-9]+""))
),
0
)"),0.0)</f>
        <v>0</v>
      </c>
      <c r="E8513" s="1" t="s">
        <v>11</v>
      </c>
      <c r="F8513" s="1" t="s">
        <v>20</v>
      </c>
      <c r="G8513" s="4" t="b">
        <f t="shared" si="2"/>
        <v>1</v>
      </c>
      <c r="H8513" s="1" t="str">
        <f t="shared" si="3"/>
        <v>Currently Unavailable</v>
      </c>
      <c r="I8513" s="1" t="str">
        <f t="shared" si="4"/>
        <v>No Badges</v>
      </c>
      <c r="J8513" s="3">
        <f t="shared" si="5"/>
        <v>0</v>
      </c>
    </row>
    <row r="8514">
      <c r="A8514" s="1" t="s">
        <v>3559</v>
      </c>
      <c r="B8514" s="3" t="str">
        <f t="shared" si="1"/>
        <v>Unavailable</v>
      </c>
      <c r="C8514" s="5">
        <v>1215.0</v>
      </c>
      <c r="D8514" s="3">
        <f>IFERROR(__xludf.DUMMYFUNCTION("IFERROR(
IF(REGEXMATCH(LOWER(O8514),""k""),
VALUE(REGEXEXTRACT(O8514,""[0-9]+""))*1000,
VALUE(REGEXEXTRACT(O8514,""[0-9]+""))
),
0
)"),0.0)</f>
        <v>0</v>
      </c>
      <c r="E8514" s="1" t="s">
        <v>11</v>
      </c>
      <c r="F8514" s="1" t="s">
        <v>20</v>
      </c>
      <c r="G8514" s="4" t="b">
        <f t="shared" si="2"/>
        <v>1</v>
      </c>
      <c r="H8514" s="1" t="str">
        <f t="shared" si="3"/>
        <v>Currently Unavailable</v>
      </c>
      <c r="I8514" s="1" t="str">
        <f t="shared" si="4"/>
        <v>No Badges</v>
      </c>
      <c r="J8514" s="3">
        <f t="shared" si="5"/>
        <v>0</v>
      </c>
    </row>
    <row r="8515">
      <c r="A8515" s="1" t="s">
        <v>6500</v>
      </c>
      <c r="B8515" s="3" t="str">
        <f t="shared" si="1"/>
        <v>Unavailable</v>
      </c>
      <c r="C8515" s="3">
        <v>206.0</v>
      </c>
      <c r="D8515" s="3">
        <f>IFERROR(__xludf.DUMMYFUNCTION("IFERROR(
IF(REGEXMATCH(LOWER(O8515),""k""),
VALUE(REGEXEXTRACT(O8515,""[0-9]+""))*1000,
VALUE(REGEXEXTRACT(O8515,""[0-9]+""))
),
0
)"),0.0)</f>
        <v>0</v>
      </c>
      <c r="E8515" s="1" t="s">
        <v>11</v>
      </c>
      <c r="F8515" s="1" t="s">
        <v>20</v>
      </c>
      <c r="G8515" s="4" t="b">
        <f t="shared" si="2"/>
        <v>1</v>
      </c>
      <c r="H8515" s="1" t="str">
        <f t="shared" si="3"/>
        <v>Currently Unavailable</v>
      </c>
      <c r="I8515" s="1" t="str">
        <f t="shared" si="4"/>
        <v>No Badges</v>
      </c>
      <c r="J8515" s="3">
        <f t="shared" si="5"/>
        <v>0</v>
      </c>
    </row>
    <row r="8516">
      <c r="A8516" s="1" t="s">
        <v>6501</v>
      </c>
      <c r="B8516" s="3" t="str">
        <f t="shared" si="1"/>
        <v>Unavailable</v>
      </c>
      <c r="C8516" s="3">
        <v>873.0</v>
      </c>
      <c r="D8516" s="3">
        <f>IFERROR(__xludf.DUMMYFUNCTION("IFERROR(
IF(REGEXMATCH(LOWER(O8516),""k""),
VALUE(REGEXEXTRACT(O8516,""[0-9]+""))*1000,
VALUE(REGEXEXTRACT(O8516,""[0-9]+""))
),
0
)"),0.0)</f>
        <v>0</v>
      </c>
      <c r="E8516" s="1" t="s">
        <v>11</v>
      </c>
      <c r="F8516" s="1" t="s">
        <v>20</v>
      </c>
      <c r="G8516" s="4" t="b">
        <f t="shared" si="2"/>
        <v>1</v>
      </c>
      <c r="H8516" s="1" t="str">
        <f t="shared" si="3"/>
        <v>Currently Unavailable</v>
      </c>
      <c r="I8516" s="1" t="str">
        <f t="shared" si="4"/>
        <v>No Badges</v>
      </c>
      <c r="J8516" s="3">
        <f t="shared" si="5"/>
        <v>0</v>
      </c>
    </row>
    <row r="8517">
      <c r="A8517" s="1" t="s">
        <v>5817</v>
      </c>
      <c r="B8517" s="3" t="str">
        <f t="shared" si="1"/>
        <v>Unavailable</v>
      </c>
      <c r="C8517" s="5">
        <v>7235.0</v>
      </c>
      <c r="D8517" s="3">
        <f>IFERROR(__xludf.DUMMYFUNCTION("IFERROR(
IF(REGEXMATCH(LOWER(O8517),""k""),
VALUE(REGEXEXTRACT(O8517,""[0-9]+""))*1000,
VALUE(REGEXEXTRACT(O8517,""[0-9]+""))
),
0
)"),0.0)</f>
        <v>0</v>
      </c>
      <c r="E8517" s="1" t="s">
        <v>11</v>
      </c>
      <c r="F8517" s="1" t="s">
        <v>12</v>
      </c>
      <c r="G8517" s="4" t="b">
        <f t="shared" si="2"/>
        <v>1</v>
      </c>
      <c r="H8517" s="1" t="str">
        <f t="shared" si="3"/>
        <v>Currently Unavailable</v>
      </c>
      <c r="I8517" s="1" t="str">
        <f t="shared" si="4"/>
        <v>No Badges</v>
      </c>
      <c r="J8517" s="3">
        <f t="shared" si="5"/>
        <v>0</v>
      </c>
    </row>
    <row r="8518">
      <c r="A8518" s="1" t="s">
        <v>701</v>
      </c>
      <c r="B8518" s="3" t="str">
        <f t="shared" si="1"/>
        <v>Unavailable</v>
      </c>
      <c r="C8518" s="3">
        <v>8.0</v>
      </c>
      <c r="D8518" s="3">
        <f>IFERROR(__xludf.DUMMYFUNCTION("IFERROR(
IF(REGEXMATCH(LOWER(O8518),""k""),
VALUE(REGEXEXTRACT(O8518,""[0-9]+""))*1000,
VALUE(REGEXEXTRACT(O8518,""[0-9]+""))
),
0
)"),0.0)</f>
        <v>0</v>
      </c>
      <c r="E8518" s="1" t="s">
        <v>11</v>
      </c>
      <c r="F8518" s="1" t="s">
        <v>12</v>
      </c>
      <c r="G8518" s="4" t="b">
        <f t="shared" si="2"/>
        <v>1</v>
      </c>
      <c r="H8518" s="1" t="str">
        <f t="shared" si="3"/>
        <v>Currently Unavailable</v>
      </c>
      <c r="I8518" s="1" t="str">
        <f t="shared" si="4"/>
        <v>No Badges</v>
      </c>
      <c r="J8518" s="3">
        <f t="shared" si="5"/>
        <v>0</v>
      </c>
    </row>
    <row r="8519">
      <c r="A8519" s="1" t="s">
        <v>6502</v>
      </c>
      <c r="B8519" s="3" t="str">
        <f t="shared" si="1"/>
        <v>Unavailable</v>
      </c>
      <c r="C8519" s="5">
        <v>3296.0</v>
      </c>
      <c r="D8519" s="3">
        <f>IFERROR(__xludf.DUMMYFUNCTION("IFERROR(
IF(REGEXMATCH(LOWER(O8519),""k""),
VALUE(REGEXEXTRACT(O8519,""[0-9]+""))*1000,
VALUE(REGEXEXTRACT(O8519,""[0-9]+""))
),
0
)"),0.0)</f>
        <v>0</v>
      </c>
      <c r="E8519" s="1" t="s">
        <v>11</v>
      </c>
      <c r="F8519" s="1" t="s">
        <v>20</v>
      </c>
      <c r="G8519" s="4" t="b">
        <f t="shared" si="2"/>
        <v>1</v>
      </c>
      <c r="H8519" s="1" t="str">
        <f t="shared" si="3"/>
        <v>Currently Unavailable</v>
      </c>
      <c r="I8519" s="1" t="str">
        <f t="shared" si="4"/>
        <v>No Badges</v>
      </c>
      <c r="J8519" s="3">
        <f t="shared" si="5"/>
        <v>0</v>
      </c>
    </row>
    <row r="8520">
      <c r="A8520" s="1" t="s">
        <v>6503</v>
      </c>
      <c r="B8520" s="3" t="str">
        <f t="shared" si="1"/>
        <v>Unavailable</v>
      </c>
      <c r="C8520" s="5">
        <v>1043.0</v>
      </c>
      <c r="D8520" s="3">
        <f>IFERROR(__xludf.DUMMYFUNCTION("IFERROR(
IF(REGEXMATCH(LOWER(O8520),""k""),
VALUE(REGEXEXTRACT(O8520,""[0-9]+""))*1000,
VALUE(REGEXEXTRACT(O8520,""[0-9]+""))
),
0
)"),0.0)</f>
        <v>0</v>
      </c>
      <c r="E8520" s="1" t="s">
        <v>11</v>
      </c>
      <c r="F8520" s="1" t="s">
        <v>20</v>
      </c>
      <c r="G8520" s="4" t="b">
        <f t="shared" si="2"/>
        <v>1</v>
      </c>
      <c r="H8520" s="1" t="str">
        <f t="shared" si="3"/>
        <v>Currently Unavailable</v>
      </c>
      <c r="I8520" s="1" t="str">
        <f t="shared" si="4"/>
        <v>No Badges</v>
      </c>
      <c r="J8520" s="3">
        <f t="shared" si="5"/>
        <v>0</v>
      </c>
    </row>
    <row r="8521">
      <c r="A8521" s="1" t="s">
        <v>6504</v>
      </c>
      <c r="B8521" s="3" t="str">
        <f t="shared" si="1"/>
        <v>Unavailable</v>
      </c>
      <c r="C8521" s="3">
        <v>28.0</v>
      </c>
      <c r="D8521" s="3">
        <f>IFERROR(__xludf.DUMMYFUNCTION("IFERROR(
IF(REGEXMATCH(LOWER(O8521),""k""),
VALUE(REGEXEXTRACT(O8521,""[0-9]+""))*1000,
VALUE(REGEXEXTRACT(O8521,""[0-9]+""))
),
0
)"),0.0)</f>
        <v>0</v>
      </c>
      <c r="E8521" s="1" t="s">
        <v>11</v>
      </c>
      <c r="F8521" s="1" t="s">
        <v>20</v>
      </c>
      <c r="G8521" s="4" t="b">
        <f t="shared" si="2"/>
        <v>1</v>
      </c>
      <c r="H8521" s="1" t="str">
        <f t="shared" si="3"/>
        <v>Currently Unavailable</v>
      </c>
      <c r="I8521" s="1" t="str">
        <f t="shared" si="4"/>
        <v>No Badges</v>
      </c>
      <c r="J8521" s="3">
        <f t="shared" si="5"/>
        <v>0</v>
      </c>
    </row>
    <row r="8522">
      <c r="A8522" s="1" t="s">
        <v>6505</v>
      </c>
      <c r="B8522" s="3" t="str">
        <f t="shared" si="1"/>
        <v>Unavailable</v>
      </c>
      <c r="C8522" s="5">
        <v>5032.0</v>
      </c>
      <c r="D8522" s="3">
        <f>IFERROR(__xludf.DUMMYFUNCTION("IFERROR(
IF(REGEXMATCH(LOWER(O8522),""k""),
VALUE(REGEXEXTRACT(O8522,""[0-9]+""))*1000,
VALUE(REGEXEXTRACT(O8522,""[0-9]+""))
),
0
)"),0.0)</f>
        <v>0</v>
      </c>
      <c r="E8522" s="1" t="s">
        <v>11</v>
      </c>
      <c r="F8522" s="1" t="s">
        <v>20</v>
      </c>
      <c r="G8522" s="4" t="b">
        <f t="shared" si="2"/>
        <v>1</v>
      </c>
      <c r="H8522" s="1" t="str">
        <f t="shared" si="3"/>
        <v>Currently Unavailable</v>
      </c>
      <c r="I8522" s="1" t="str">
        <f t="shared" si="4"/>
        <v>No Badges</v>
      </c>
      <c r="J8522" s="3">
        <f t="shared" si="5"/>
        <v>0</v>
      </c>
    </row>
    <row r="8523">
      <c r="A8523" s="1" t="s">
        <v>6506</v>
      </c>
      <c r="B8523" s="3" t="str">
        <f t="shared" si="1"/>
        <v>Unavailable</v>
      </c>
      <c r="C8523" s="5">
        <v>1431.0</v>
      </c>
      <c r="D8523" s="3">
        <f>IFERROR(__xludf.DUMMYFUNCTION("IFERROR(
IF(REGEXMATCH(LOWER(O8523),""k""),
VALUE(REGEXEXTRACT(O8523,""[0-9]+""))*1000,
VALUE(REGEXEXTRACT(O8523,""[0-9]+""))
),
0
)"),0.0)</f>
        <v>0</v>
      </c>
      <c r="E8523" s="1" t="s">
        <v>11</v>
      </c>
      <c r="F8523" s="1" t="s">
        <v>20</v>
      </c>
      <c r="G8523" s="4" t="b">
        <f t="shared" si="2"/>
        <v>1</v>
      </c>
      <c r="H8523" s="1" t="str">
        <f t="shared" si="3"/>
        <v>Currently Unavailable</v>
      </c>
      <c r="I8523" s="1" t="str">
        <f t="shared" si="4"/>
        <v>No Badges</v>
      </c>
      <c r="J8523" s="3">
        <f t="shared" si="5"/>
        <v>0</v>
      </c>
    </row>
    <row r="8524">
      <c r="A8524" s="1" t="s">
        <v>6507</v>
      </c>
      <c r="B8524" s="3" t="str">
        <f t="shared" si="1"/>
        <v>Unavailable</v>
      </c>
      <c r="C8524" s="5">
        <v>7621.0</v>
      </c>
      <c r="D8524" s="3">
        <f>IFERROR(__xludf.DUMMYFUNCTION("IFERROR(
IF(REGEXMATCH(LOWER(O8524),""k""),
VALUE(REGEXEXTRACT(O8524,""[0-9]+""))*1000,
VALUE(REGEXEXTRACT(O8524,""[0-9]+""))
),
0
)"),0.0)</f>
        <v>0</v>
      </c>
      <c r="E8524" s="1" t="s">
        <v>11</v>
      </c>
      <c r="F8524" s="1" t="s">
        <v>20</v>
      </c>
      <c r="G8524" s="4" t="b">
        <f t="shared" si="2"/>
        <v>1</v>
      </c>
      <c r="H8524" s="1" t="str">
        <f t="shared" si="3"/>
        <v>Currently Unavailable</v>
      </c>
      <c r="I8524" s="1" t="str">
        <f t="shared" si="4"/>
        <v>No Badges</v>
      </c>
      <c r="J8524" s="3">
        <f t="shared" si="5"/>
        <v>0</v>
      </c>
    </row>
    <row r="8525">
      <c r="A8525" s="1" t="s">
        <v>6508</v>
      </c>
      <c r="B8525" s="3" t="str">
        <f t="shared" si="1"/>
        <v>Unavailable</v>
      </c>
      <c r="C8525" s="3">
        <v>39.0</v>
      </c>
      <c r="D8525" s="3">
        <f>IFERROR(__xludf.DUMMYFUNCTION("IFERROR(
IF(REGEXMATCH(LOWER(O8525),""k""),
VALUE(REGEXEXTRACT(O8525,""[0-9]+""))*1000,
VALUE(REGEXEXTRACT(O8525,""[0-9]+""))
),
0
)"),0.0)</f>
        <v>0</v>
      </c>
      <c r="E8525" s="1" t="s">
        <v>11</v>
      </c>
      <c r="F8525" s="1" t="s">
        <v>20</v>
      </c>
      <c r="G8525" s="4" t="b">
        <f t="shared" si="2"/>
        <v>1</v>
      </c>
      <c r="H8525" s="1" t="str">
        <f t="shared" si="3"/>
        <v>Currently Unavailable</v>
      </c>
      <c r="I8525" s="1" t="str">
        <f t="shared" si="4"/>
        <v>No Badges</v>
      </c>
      <c r="J8525" s="3">
        <f t="shared" si="5"/>
        <v>0</v>
      </c>
    </row>
    <row r="8526">
      <c r="A8526" s="1" t="s">
        <v>5817</v>
      </c>
      <c r="B8526" s="3" t="str">
        <f t="shared" si="1"/>
        <v>Unavailable</v>
      </c>
      <c r="C8526" s="5">
        <v>7235.0</v>
      </c>
      <c r="D8526" s="3">
        <f>IFERROR(__xludf.DUMMYFUNCTION("IFERROR(
IF(REGEXMATCH(LOWER(O8526),""k""),
VALUE(REGEXEXTRACT(O8526,""[0-9]+""))*1000,
VALUE(REGEXEXTRACT(O8526,""[0-9]+""))
),
0
)"),0.0)</f>
        <v>0</v>
      </c>
      <c r="E8526" s="1" t="s">
        <v>11</v>
      </c>
      <c r="F8526" s="1" t="s">
        <v>12</v>
      </c>
      <c r="G8526" s="4" t="b">
        <f t="shared" si="2"/>
        <v>1</v>
      </c>
      <c r="H8526" s="1" t="str">
        <f t="shared" si="3"/>
        <v>Currently Unavailable</v>
      </c>
      <c r="I8526" s="1" t="str">
        <f t="shared" si="4"/>
        <v>No Badges</v>
      </c>
      <c r="J8526" s="3">
        <f t="shared" si="5"/>
        <v>0</v>
      </c>
    </row>
    <row r="8527">
      <c r="A8527" s="1" t="s">
        <v>6509</v>
      </c>
      <c r="B8527" s="3" t="str">
        <f t="shared" si="1"/>
        <v>Unavailable</v>
      </c>
      <c r="C8527" s="3">
        <v>41.0</v>
      </c>
      <c r="D8527" s="3">
        <f>IFERROR(__xludf.DUMMYFUNCTION("IFERROR(
IF(REGEXMATCH(LOWER(O8527),""k""),
VALUE(REGEXEXTRACT(O8527,""[0-9]+""))*1000,
VALUE(REGEXEXTRACT(O8527,""[0-9]+""))
),
0
)"),0.0)</f>
        <v>0</v>
      </c>
      <c r="E8527" s="1" t="s">
        <v>11</v>
      </c>
      <c r="F8527" s="1" t="s">
        <v>20</v>
      </c>
      <c r="G8527" s="4" t="b">
        <f t="shared" si="2"/>
        <v>1</v>
      </c>
      <c r="H8527" s="1" t="str">
        <f t="shared" si="3"/>
        <v>Currently Unavailable</v>
      </c>
      <c r="I8527" s="1" t="str">
        <f t="shared" si="4"/>
        <v>No Badges</v>
      </c>
      <c r="J8527" s="3">
        <f t="shared" si="5"/>
        <v>0</v>
      </c>
    </row>
    <row r="8528">
      <c r="A8528" s="1" t="s">
        <v>6510</v>
      </c>
      <c r="B8528" s="3" t="str">
        <f t="shared" si="1"/>
        <v>Unavailable</v>
      </c>
      <c r="C8528" s="5">
        <v>10114.0</v>
      </c>
      <c r="D8528" s="3">
        <f>IFERROR(__xludf.DUMMYFUNCTION("IFERROR(
IF(REGEXMATCH(LOWER(O8528),""k""),
VALUE(REGEXEXTRACT(O8528,""[0-9]+""))*1000,
VALUE(REGEXEXTRACT(O8528,""[0-9]+""))
),
0
)"),0.0)</f>
        <v>0</v>
      </c>
      <c r="E8528" s="1" t="s">
        <v>11</v>
      </c>
      <c r="F8528" s="1" t="s">
        <v>20</v>
      </c>
      <c r="G8528" s="4" t="b">
        <f t="shared" si="2"/>
        <v>1</v>
      </c>
      <c r="H8528" s="1" t="str">
        <f t="shared" si="3"/>
        <v>Currently Unavailable</v>
      </c>
      <c r="I8528" s="1" t="str">
        <f t="shared" si="4"/>
        <v>No Badges</v>
      </c>
      <c r="J8528" s="3">
        <f t="shared" si="5"/>
        <v>0</v>
      </c>
    </row>
    <row r="8529">
      <c r="A8529" s="1" t="s">
        <v>6511</v>
      </c>
      <c r="B8529" s="3" t="str">
        <f t="shared" si="1"/>
        <v>Unavailable</v>
      </c>
      <c r="C8529" s="5">
        <v>1137.0</v>
      </c>
      <c r="D8529" s="3">
        <f>IFERROR(__xludf.DUMMYFUNCTION("IFERROR(
IF(REGEXMATCH(LOWER(O8529),""k""),
VALUE(REGEXEXTRACT(O8529,""[0-9]+""))*1000,
VALUE(REGEXEXTRACT(O8529,""[0-9]+""))
),
0
)"),0.0)</f>
        <v>0</v>
      </c>
      <c r="E8529" s="1" t="s">
        <v>11</v>
      </c>
      <c r="F8529" s="1" t="s">
        <v>20</v>
      </c>
      <c r="G8529" s="4" t="b">
        <f t="shared" si="2"/>
        <v>1</v>
      </c>
      <c r="H8529" s="1" t="str">
        <f t="shared" si="3"/>
        <v>Currently Unavailable</v>
      </c>
      <c r="I8529" s="1" t="str">
        <f t="shared" si="4"/>
        <v>No Badges</v>
      </c>
      <c r="J8529" s="3">
        <f t="shared" si="5"/>
        <v>0</v>
      </c>
    </row>
    <row r="8530">
      <c r="A8530" s="1" t="s">
        <v>6512</v>
      </c>
      <c r="B8530" s="3" t="str">
        <f t="shared" si="1"/>
        <v>Unavailable</v>
      </c>
      <c r="C8530" s="5">
        <v>1529.0</v>
      </c>
      <c r="D8530" s="3">
        <f>IFERROR(__xludf.DUMMYFUNCTION("IFERROR(
IF(REGEXMATCH(LOWER(O8530),""k""),
VALUE(REGEXEXTRACT(O8530,""[0-9]+""))*1000,
VALUE(REGEXEXTRACT(O8530,""[0-9]+""))
),
0
)"),0.0)</f>
        <v>0</v>
      </c>
      <c r="E8530" s="1" t="s">
        <v>11</v>
      </c>
      <c r="F8530" s="1" t="s">
        <v>20</v>
      </c>
      <c r="G8530" s="4" t="b">
        <f t="shared" si="2"/>
        <v>1</v>
      </c>
      <c r="H8530" s="1" t="str">
        <f t="shared" si="3"/>
        <v>Currently Unavailable</v>
      </c>
      <c r="I8530" s="1" t="str">
        <f t="shared" si="4"/>
        <v>No Badges</v>
      </c>
      <c r="J8530" s="3">
        <f t="shared" si="5"/>
        <v>0</v>
      </c>
    </row>
    <row r="8531">
      <c r="A8531" s="1" t="s">
        <v>67</v>
      </c>
      <c r="B8531" s="3" t="str">
        <f t="shared" si="1"/>
        <v>Unavailable</v>
      </c>
      <c r="C8531" s="3">
        <v>264.0</v>
      </c>
      <c r="D8531" s="3">
        <f>IFERROR(__xludf.DUMMYFUNCTION("IFERROR(
IF(REGEXMATCH(LOWER(O8531),""k""),
VALUE(REGEXEXTRACT(O8531,""[0-9]+""))*1000,
VALUE(REGEXEXTRACT(O8531,""[0-9]+""))
),
0
)"),0.0)</f>
        <v>0</v>
      </c>
      <c r="E8531" s="1" t="s">
        <v>11</v>
      </c>
      <c r="F8531" s="1" t="s">
        <v>12</v>
      </c>
      <c r="G8531" s="4" t="b">
        <f t="shared" si="2"/>
        <v>1</v>
      </c>
      <c r="H8531" s="1" t="str">
        <f t="shared" si="3"/>
        <v>Currently Unavailable</v>
      </c>
      <c r="I8531" s="1" t="str">
        <f t="shared" si="4"/>
        <v>No Badges</v>
      </c>
      <c r="J8531" s="3">
        <f t="shared" si="5"/>
        <v>0</v>
      </c>
    </row>
    <row r="8532">
      <c r="A8532" s="1" t="s">
        <v>69</v>
      </c>
      <c r="B8532" s="3" t="str">
        <f t="shared" si="1"/>
        <v>Unavailable</v>
      </c>
      <c r="C8532" s="3">
        <v>45.0</v>
      </c>
      <c r="D8532" s="3">
        <f>IFERROR(__xludf.DUMMYFUNCTION("IFERROR(
IF(REGEXMATCH(LOWER(O8532),""k""),
VALUE(REGEXEXTRACT(O8532,""[0-9]+""))*1000,
VALUE(REGEXEXTRACT(O8532,""[0-9]+""))
),
0
)"),0.0)</f>
        <v>0</v>
      </c>
      <c r="E8532" s="1" t="s">
        <v>11</v>
      </c>
      <c r="F8532" s="1" t="s">
        <v>12</v>
      </c>
      <c r="G8532" s="4" t="b">
        <f t="shared" si="2"/>
        <v>1</v>
      </c>
      <c r="H8532" s="1" t="str">
        <f t="shared" si="3"/>
        <v>Currently Unavailable</v>
      </c>
      <c r="I8532" s="1" t="str">
        <f t="shared" si="4"/>
        <v>No Badges</v>
      </c>
      <c r="J8532" s="3">
        <f t="shared" si="5"/>
        <v>0</v>
      </c>
    </row>
    <row r="8533">
      <c r="A8533" s="1" t="s">
        <v>6513</v>
      </c>
      <c r="B8533" s="3" t="str">
        <f t="shared" si="1"/>
        <v>Unavailable</v>
      </c>
      <c r="C8533" s="5">
        <v>1211.0</v>
      </c>
      <c r="D8533" s="3">
        <f>IFERROR(__xludf.DUMMYFUNCTION("IFERROR(
IF(REGEXMATCH(LOWER(O8533),""k""),
VALUE(REGEXEXTRACT(O8533,""[0-9]+""))*1000,
VALUE(REGEXEXTRACT(O8533,""[0-9]+""))
),
0
)"),0.0)</f>
        <v>0</v>
      </c>
      <c r="E8533" s="1" t="s">
        <v>11</v>
      </c>
      <c r="F8533" s="1" t="s">
        <v>20</v>
      </c>
      <c r="G8533" s="4" t="b">
        <f t="shared" si="2"/>
        <v>1</v>
      </c>
      <c r="H8533" s="1" t="str">
        <f t="shared" si="3"/>
        <v>Currently Unavailable</v>
      </c>
      <c r="I8533" s="1" t="str">
        <f t="shared" si="4"/>
        <v>No Badges</v>
      </c>
      <c r="J8533" s="3">
        <f t="shared" si="5"/>
        <v>0</v>
      </c>
    </row>
    <row r="8534">
      <c r="A8534" s="1" t="s">
        <v>6514</v>
      </c>
      <c r="B8534" s="3" t="str">
        <f t="shared" si="1"/>
        <v>Unavailable</v>
      </c>
      <c r="C8534" s="5">
        <v>1717.0</v>
      </c>
      <c r="D8534" s="3">
        <f>IFERROR(__xludf.DUMMYFUNCTION("IFERROR(
IF(REGEXMATCH(LOWER(O8534),""k""),
VALUE(REGEXEXTRACT(O8534,""[0-9]+""))*1000,
VALUE(REGEXEXTRACT(O8534,""[0-9]+""))
),
0
)"),0.0)</f>
        <v>0</v>
      </c>
      <c r="E8534" s="1" t="s">
        <v>11</v>
      </c>
      <c r="F8534" s="1" t="s">
        <v>20</v>
      </c>
      <c r="G8534" s="4" t="b">
        <f t="shared" si="2"/>
        <v>1</v>
      </c>
      <c r="H8534" s="1" t="str">
        <f t="shared" si="3"/>
        <v>Currently Unavailable</v>
      </c>
      <c r="I8534" s="1" t="str">
        <f t="shared" si="4"/>
        <v>No Badges</v>
      </c>
      <c r="J8534" s="3">
        <f t="shared" si="5"/>
        <v>0</v>
      </c>
    </row>
    <row r="8535">
      <c r="A8535" s="1" t="s">
        <v>6515</v>
      </c>
      <c r="B8535" s="3" t="str">
        <f t="shared" si="1"/>
        <v>Unavailable</v>
      </c>
      <c r="C8535" s="5">
        <v>1130.0</v>
      </c>
      <c r="D8535" s="3">
        <f>IFERROR(__xludf.DUMMYFUNCTION("IFERROR(
IF(REGEXMATCH(LOWER(O8535),""k""),
VALUE(REGEXEXTRACT(O8535,""[0-9]+""))*1000,
VALUE(REGEXEXTRACT(O8535,""[0-9]+""))
),
0
)"),0.0)</f>
        <v>0</v>
      </c>
      <c r="E8535" s="1" t="s">
        <v>11</v>
      </c>
      <c r="F8535" s="1" t="s">
        <v>20</v>
      </c>
      <c r="G8535" s="4" t="b">
        <f t="shared" si="2"/>
        <v>1</v>
      </c>
      <c r="H8535" s="1" t="str">
        <f t="shared" si="3"/>
        <v>Currently Unavailable</v>
      </c>
      <c r="I8535" s="1" t="str">
        <f t="shared" si="4"/>
        <v>No Badges</v>
      </c>
      <c r="J8535" s="3">
        <f t="shared" si="5"/>
        <v>0</v>
      </c>
    </row>
    <row r="8536">
      <c r="A8536" s="1" t="s">
        <v>6516</v>
      </c>
      <c r="B8536" s="3" t="str">
        <f t="shared" si="1"/>
        <v>Unavailable</v>
      </c>
      <c r="C8536" s="3">
        <v>856.0</v>
      </c>
      <c r="D8536" s="3">
        <f>IFERROR(__xludf.DUMMYFUNCTION("IFERROR(
IF(REGEXMATCH(LOWER(O8536),""k""),
VALUE(REGEXEXTRACT(O8536,""[0-9]+""))*1000,
VALUE(REGEXEXTRACT(O8536,""[0-9]+""))
),
0
)"),0.0)</f>
        <v>0</v>
      </c>
      <c r="E8536" s="1" t="s">
        <v>11</v>
      </c>
      <c r="F8536" s="1" t="s">
        <v>20</v>
      </c>
      <c r="G8536" s="4" t="b">
        <f t="shared" si="2"/>
        <v>1</v>
      </c>
      <c r="H8536" s="1" t="str">
        <f t="shared" si="3"/>
        <v>Currently Unavailable</v>
      </c>
      <c r="I8536" s="1" t="str">
        <f t="shared" si="4"/>
        <v>No Badges</v>
      </c>
      <c r="J8536" s="3">
        <f t="shared" si="5"/>
        <v>0</v>
      </c>
    </row>
    <row r="8537">
      <c r="A8537" s="1" t="s">
        <v>6517</v>
      </c>
      <c r="B8537" s="3" t="str">
        <f t="shared" si="1"/>
        <v>Unavailable</v>
      </c>
      <c r="C8537" s="5">
        <v>9307.0</v>
      </c>
      <c r="D8537" s="3">
        <f>IFERROR(__xludf.DUMMYFUNCTION("IFERROR(
IF(REGEXMATCH(LOWER(O8537),""k""),
VALUE(REGEXEXTRACT(O8537,""[0-9]+""))*1000,
VALUE(REGEXEXTRACT(O8537,""[0-9]+""))
),
0
)"),0.0)</f>
        <v>0</v>
      </c>
      <c r="E8537" s="1" t="s">
        <v>11</v>
      </c>
      <c r="F8537" s="1" t="s">
        <v>20</v>
      </c>
      <c r="G8537" s="4" t="b">
        <f t="shared" si="2"/>
        <v>1</v>
      </c>
      <c r="H8537" s="1" t="str">
        <f t="shared" si="3"/>
        <v>Currently Unavailable</v>
      </c>
      <c r="I8537" s="1" t="str">
        <f t="shared" si="4"/>
        <v>No Badges</v>
      </c>
      <c r="J8537" s="3">
        <f t="shared" si="5"/>
        <v>0</v>
      </c>
    </row>
    <row r="8538">
      <c r="A8538" s="1" t="s">
        <v>5817</v>
      </c>
      <c r="B8538" s="3" t="str">
        <f t="shared" si="1"/>
        <v>Unavailable</v>
      </c>
      <c r="C8538" s="5">
        <v>7235.0</v>
      </c>
      <c r="D8538" s="3">
        <f>IFERROR(__xludf.DUMMYFUNCTION("IFERROR(
IF(REGEXMATCH(LOWER(O8538),""k""),
VALUE(REGEXEXTRACT(O8538,""[0-9]+""))*1000,
VALUE(REGEXEXTRACT(O8538,""[0-9]+""))
),
0
)"),0.0)</f>
        <v>0</v>
      </c>
      <c r="E8538" s="1" t="s">
        <v>11</v>
      </c>
      <c r="F8538" s="1" t="s">
        <v>12</v>
      </c>
      <c r="G8538" s="4" t="b">
        <f t="shared" si="2"/>
        <v>1</v>
      </c>
      <c r="H8538" s="1" t="str">
        <f t="shared" si="3"/>
        <v>Currently Unavailable</v>
      </c>
      <c r="I8538" s="1" t="str">
        <f t="shared" si="4"/>
        <v>No Badges</v>
      </c>
      <c r="J8538" s="3">
        <f t="shared" si="5"/>
        <v>0</v>
      </c>
    </row>
    <row r="8539">
      <c r="A8539" s="1" t="s">
        <v>6518</v>
      </c>
      <c r="B8539" s="3" t="str">
        <f t="shared" si="1"/>
        <v>Unavailable</v>
      </c>
      <c r="C8539" s="3">
        <v>390.0</v>
      </c>
      <c r="D8539" s="3">
        <f>IFERROR(__xludf.DUMMYFUNCTION("IFERROR(
IF(REGEXMATCH(LOWER(O8539),""k""),
VALUE(REGEXEXTRACT(O8539,""[0-9]+""))*1000,
VALUE(REGEXEXTRACT(O8539,""[0-9]+""))
),
0
)"),0.0)</f>
        <v>0</v>
      </c>
      <c r="E8539" s="1" t="s">
        <v>11</v>
      </c>
      <c r="F8539" s="1" t="s">
        <v>20</v>
      </c>
      <c r="G8539" s="4" t="b">
        <f t="shared" si="2"/>
        <v>1</v>
      </c>
      <c r="H8539" s="1" t="str">
        <f t="shared" si="3"/>
        <v>Currently Unavailable</v>
      </c>
      <c r="I8539" s="1" t="str">
        <f t="shared" si="4"/>
        <v>No Badges</v>
      </c>
      <c r="J8539" s="3">
        <f t="shared" si="5"/>
        <v>0</v>
      </c>
    </row>
    <row r="8540">
      <c r="A8540" s="1" t="s">
        <v>6519</v>
      </c>
      <c r="B8540" s="3" t="str">
        <f t="shared" si="1"/>
        <v>Unavailable</v>
      </c>
      <c r="C8540" s="5">
        <v>34005.0</v>
      </c>
      <c r="D8540" s="3">
        <f>IFERROR(__xludf.DUMMYFUNCTION("IFERROR(
IF(REGEXMATCH(LOWER(O8540),""k""),
VALUE(REGEXEXTRACT(O8540,""[0-9]+""))*1000,
VALUE(REGEXEXTRACT(O8540,""[0-9]+""))
),
0
)"),0.0)</f>
        <v>0</v>
      </c>
      <c r="E8540" s="1" t="s">
        <v>11</v>
      </c>
      <c r="F8540" s="1" t="s">
        <v>20</v>
      </c>
      <c r="G8540" s="4" t="b">
        <f t="shared" si="2"/>
        <v>1</v>
      </c>
      <c r="H8540" s="1" t="str">
        <f t="shared" si="3"/>
        <v>Currently Unavailable</v>
      </c>
      <c r="I8540" s="1" t="str">
        <f t="shared" si="4"/>
        <v>No Badges</v>
      </c>
      <c r="J8540" s="3">
        <f t="shared" si="5"/>
        <v>0</v>
      </c>
    </row>
    <row r="8541">
      <c r="A8541" s="1" t="s">
        <v>6520</v>
      </c>
      <c r="B8541" s="3" t="str">
        <f t="shared" si="1"/>
        <v>Unavailable</v>
      </c>
      <c r="C8541" s="3">
        <v>798.0</v>
      </c>
      <c r="D8541" s="3">
        <f>IFERROR(__xludf.DUMMYFUNCTION("IFERROR(
IF(REGEXMATCH(LOWER(O8541),""k""),
VALUE(REGEXEXTRACT(O8541,""[0-9]+""))*1000,
VALUE(REGEXEXTRACT(O8541,""[0-9]+""))
),
0
)"),0.0)</f>
        <v>0</v>
      </c>
      <c r="E8541" s="1" t="s">
        <v>11</v>
      </c>
      <c r="F8541" s="1" t="s">
        <v>20</v>
      </c>
      <c r="G8541" s="4" t="b">
        <f t="shared" si="2"/>
        <v>1</v>
      </c>
      <c r="H8541" s="1" t="str">
        <f t="shared" si="3"/>
        <v>Currently Unavailable</v>
      </c>
      <c r="I8541" s="1" t="str">
        <f t="shared" si="4"/>
        <v>No Badges</v>
      </c>
      <c r="J8541" s="3">
        <f t="shared" si="5"/>
        <v>0</v>
      </c>
    </row>
    <row r="8542">
      <c r="A8542" s="1" t="s">
        <v>6521</v>
      </c>
      <c r="B8542" s="3" t="str">
        <f t="shared" si="1"/>
        <v>Unavailable</v>
      </c>
      <c r="C8542" s="5">
        <v>6615.0</v>
      </c>
      <c r="D8542" s="3">
        <f>IFERROR(__xludf.DUMMYFUNCTION("IFERROR(
IF(REGEXMATCH(LOWER(O8542),""k""),
VALUE(REGEXEXTRACT(O8542,""[0-9]+""))*1000,
VALUE(REGEXEXTRACT(O8542,""[0-9]+""))
),
0
)"),0.0)</f>
        <v>0</v>
      </c>
      <c r="E8542" s="1" t="s">
        <v>11</v>
      </c>
      <c r="F8542" s="1" t="s">
        <v>20</v>
      </c>
      <c r="G8542" s="4" t="b">
        <f t="shared" si="2"/>
        <v>1</v>
      </c>
      <c r="H8542" s="1" t="str">
        <f t="shared" si="3"/>
        <v>Currently Unavailable</v>
      </c>
      <c r="I8542" s="1" t="str">
        <f t="shared" si="4"/>
        <v>No Badges</v>
      </c>
      <c r="J8542" s="3">
        <f t="shared" si="5"/>
        <v>0</v>
      </c>
    </row>
    <row r="8543">
      <c r="A8543" s="1" t="s">
        <v>6522</v>
      </c>
      <c r="B8543" s="3" t="str">
        <f t="shared" si="1"/>
        <v>Unavailable</v>
      </c>
      <c r="C8543" s="5">
        <v>6859.0</v>
      </c>
      <c r="D8543" s="3">
        <f>IFERROR(__xludf.DUMMYFUNCTION("IFERROR(
IF(REGEXMATCH(LOWER(O8543),""k""),
VALUE(REGEXEXTRACT(O8543,""[0-9]+""))*1000,
VALUE(REGEXEXTRACT(O8543,""[0-9]+""))
),
0
)"),0.0)</f>
        <v>0</v>
      </c>
      <c r="E8543" s="1" t="s">
        <v>11</v>
      </c>
      <c r="F8543" s="1" t="s">
        <v>20</v>
      </c>
      <c r="G8543" s="4" t="b">
        <f t="shared" si="2"/>
        <v>1</v>
      </c>
      <c r="H8543" s="1" t="str">
        <f t="shared" si="3"/>
        <v>Currently Unavailable</v>
      </c>
      <c r="I8543" s="1" t="str">
        <f t="shared" si="4"/>
        <v>No Badges</v>
      </c>
      <c r="J8543" s="3">
        <f t="shared" si="5"/>
        <v>0</v>
      </c>
    </row>
    <row r="8544">
      <c r="A8544" s="1" t="s">
        <v>6523</v>
      </c>
      <c r="B8544" s="3" t="str">
        <f t="shared" si="1"/>
        <v>Unavailable</v>
      </c>
      <c r="C8544" s="5">
        <v>1242.0</v>
      </c>
      <c r="D8544" s="3">
        <f>IFERROR(__xludf.DUMMYFUNCTION("IFERROR(
IF(REGEXMATCH(LOWER(O8544),""k""),
VALUE(REGEXEXTRACT(O8544,""[0-9]+""))*1000,
VALUE(REGEXEXTRACT(O8544,""[0-9]+""))
),
0
)"),0.0)</f>
        <v>0</v>
      </c>
      <c r="E8544" s="1" t="s">
        <v>11</v>
      </c>
      <c r="F8544" s="1" t="s">
        <v>20</v>
      </c>
      <c r="G8544" s="4" t="b">
        <f t="shared" si="2"/>
        <v>1</v>
      </c>
      <c r="H8544" s="1" t="str">
        <f t="shared" si="3"/>
        <v>Currently Unavailable</v>
      </c>
      <c r="I8544" s="1" t="str">
        <f t="shared" si="4"/>
        <v>No Badges</v>
      </c>
      <c r="J8544" s="3">
        <f t="shared" si="5"/>
        <v>0</v>
      </c>
    </row>
    <row r="8545">
      <c r="A8545" s="1" t="s">
        <v>6524</v>
      </c>
      <c r="B8545" s="3" t="str">
        <f t="shared" si="1"/>
        <v>Unavailable</v>
      </c>
      <c r="C8545" s="5">
        <v>1164.0</v>
      </c>
      <c r="D8545" s="3">
        <f>IFERROR(__xludf.DUMMYFUNCTION("IFERROR(
IF(REGEXMATCH(LOWER(O8545),""k""),
VALUE(REGEXEXTRACT(O8545,""[0-9]+""))*1000,
VALUE(REGEXEXTRACT(O8545,""[0-9]+""))
),
0
)"),0.0)</f>
        <v>0</v>
      </c>
      <c r="E8545" s="1" t="s">
        <v>11</v>
      </c>
      <c r="F8545" s="1" t="s">
        <v>20</v>
      </c>
      <c r="G8545" s="4" t="b">
        <f t="shared" si="2"/>
        <v>1</v>
      </c>
      <c r="H8545" s="1" t="str">
        <f t="shared" si="3"/>
        <v>Currently Unavailable</v>
      </c>
      <c r="I8545" s="1" t="str">
        <f t="shared" si="4"/>
        <v>No Badges</v>
      </c>
      <c r="J8545" s="3">
        <f t="shared" si="5"/>
        <v>0</v>
      </c>
    </row>
    <row r="8546">
      <c r="A8546" s="1" t="s">
        <v>6525</v>
      </c>
      <c r="B8546" s="3" t="str">
        <f t="shared" si="1"/>
        <v>Unavailable</v>
      </c>
      <c r="C8546" s="5">
        <v>8073.0</v>
      </c>
      <c r="D8546" s="3">
        <f>IFERROR(__xludf.DUMMYFUNCTION("IFERROR(
IF(REGEXMATCH(LOWER(O8546),""k""),
VALUE(REGEXEXTRACT(O8546,""[0-9]+""))*1000,
VALUE(REGEXEXTRACT(O8546,""[0-9]+""))
),
0
)"),0.0)</f>
        <v>0</v>
      </c>
      <c r="E8546" s="1" t="s">
        <v>11</v>
      </c>
      <c r="F8546" s="1" t="s">
        <v>20</v>
      </c>
      <c r="G8546" s="4" t="b">
        <f t="shared" si="2"/>
        <v>1</v>
      </c>
      <c r="H8546" s="1" t="str">
        <f t="shared" si="3"/>
        <v>Currently Unavailable</v>
      </c>
      <c r="I8546" s="1" t="str">
        <f t="shared" si="4"/>
        <v>No Badges</v>
      </c>
      <c r="J8546" s="3">
        <f t="shared" si="5"/>
        <v>0</v>
      </c>
    </row>
    <row r="8547">
      <c r="A8547" s="1" t="s">
        <v>1947</v>
      </c>
      <c r="B8547" s="3" t="str">
        <f t="shared" si="1"/>
        <v>Unavailable</v>
      </c>
      <c r="C8547" s="5">
        <v>5966.0</v>
      </c>
      <c r="D8547" s="3">
        <f>IFERROR(__xludf.DUMMYFUNCTION("IFERROR(
IF(REGEXMATCH(LOWER(O8547),""k""),
VALUE(REGEXEXTRACT(O8547,""[0-9]+""))*1000,
VALUE(REGEXEXTRACT(O8547,""[0-9]+""))
),
0
)"),0.0)</f>
        <v>0</v>
      </c>
      <c r="E8547" s="1" t="s">
        <v>11</v>
      </c>
      <c r="F8547" s="1" t="s">
        <v>20</v>
      </c>
      <c r="G8547" s="4" t="b">
        <f t="shared" si="2"/>
        <v>1</v>
      </c>
      <c r="H8547" s="1" t="str">
        <f t="shared" si="3"/>
        <v>Currently Unavailable</v>
      </c>
      <c r="I8547" s="1" t="str">
        <f t="shared" si="4"/>
        <v>No Badges</v>
      </c>
      <c r="J8547" s="3">
        <f t="shared" si="5"/>
        <v>0</v>
      </c>
    </row>
    <row r="8548">
      <c r="A8548" s="1" t="s">
        <v>88</v>
      </c>
      <c r="B8548" s="3" t="str">
        <f t="shared" si="1"/>
        <v>Unavailable</v>
      </c>
      <c r="C8548" s="3">
        <v>5.0</v>
      </c>
      <c r="D8548" s="3">
        <f>IFERROR(__xludf.DUMMYFUNCTION("IFERROR(
IF(REGEXMATCH(LOWER(O8548),""k""),
VALUE(REGEXEXTRACT(O8548,""[0-9]+""))*1000,
VALUE(REGEXEXTRACT(O8548,""[0-9]+""))
),
0
)"),0.0)</f>
        <v>0</v>
      </c>
      <c r="E8548" s="1" t="s">
        <v>11</v>
      </c>
      <c r="F8548" s="1" t="s">
        <v>12</v>
      </c>
      <c r="G8548" s="4" t="b">
        <f t="shared" si="2"/>
        <v>1</v>
      </c>
      <c r="H8548" s="1" t="str">
        <f t="shared" si="3"/>
        <v>Currently Unavailable</v>
      </c>
      <c r="I8548" s="1" t="str">
        <f t="shared" si="4"/>
        <v>No Badges</v>
      </c>
      <c r="J8548" s="3">
        <f t="shared" si="5"/>
        <v>0</v>
      </c>
    </row>
    <row r="8549">
      <c r="A8549" s="1" t="s">
        <v>6526</v>
      </c>
      <c r="B8549" s="3" t="str">
        <f t="shared" si="1"/>
        <v>Unavailable</v>
      </c>
      <c r="C8549" s="5">
        <v>3544.0</v>
      </c>
      <c r="D8549" s="3">
        <f>IFERROR(__xludf.DUMMYFUNCTION("IFERROR(
IF(REGEXMATCH(LOWER(O8549),""k""),
VALUE(REGEXEXTRACT(O8549,""[0-9]+""))*1000,
VALUE(REGEXEXTRACT(O8549,""[0-9]+""))
),
0
)"),0.0)</f>
        <v>0</v>
      </c>
      <c r="E8549" s="1" t="s">
        <v>11</v>
      </c>
      <c r="F8549" s="1" t="s">
        <v>20</v>
      </c>
      <c r="G8549" s="4" t="b">
        <f t="shared" si="2"/>
        <v>1</v>
      </c>
      <c r="H8549" s="1" t="str">
        <f t="shared" si="3"/>
        <v>Currently Unavailable</v>
      </c>
      <c r="I8549" s="1" t="str">
        <f t="shared" si="4"/>
        <v>No Badges</v>
      </c>
      <c r="J8549" s="3">
        <f t="shared" si="5"/>
        <v>0</v>
      </c>
    </row>
    <row r="8550">
      <c r="A8550" s="1" t="s">
        <v>6527</v>
      </c>
      <c r="B8550" s="3" t="str">
        <f t="shared" si="1"/>
        <v>Unavailable</v>
      </c>
      <c r="C8550" s="5">
        <v>8508.0</v>
      </c>
      <c r="D8550" s="3">
        <f>IFERROR(__xludf.DUMMYFUNCTION("IFERROR(
IF(REGEXMATCH(LOWER(O8550),""k""),
VALUE(REGEXEXTRACT(O8550,""[0-9]+""))*1000,
VALUE(REGEXEXTRACT(O8550,""[0-9]+""))
),
0
)"),0.0)</f>
        <v>0</v>
      </c>
      <c r="E8550" s="1" t="s">
        <v>11</v>
      </c>
      <c r="F8550" s="1" t="s">
        <v>20</v>
      </c>
      <c r="G8550" s="4" t="b">
        <f t="shared" si="2"/>
        <v>1</v>
      </c>
      <c r="H8550" s="1" t="str">
        <f t="shared" si="3"/>
        <v>Currently Unavailable</v>
      </c>
      <c r="I8550" s="1" t="str">
        <f t="shared" si="4"/>
        <v>No Badges</v>
      </c>
      <c r="J8550" s="3">
        <f t="shared" si="5"/>
        <v>0</v>
      </c>
    </row>
    <row r="8551">
      <c r="A8551" s="1" t="s">
        <v>6528</v>
      </c>
      <c r="B8551" s="3" t="str">
        <f t="shared" si="1"/>
        <v>Unavailable</v>
      </c>
      <c r="C8551" s="3">
        <v>2.0</v>
      </c>
      <c r="D8551" s="3">
        <f>IFERROR(__xludf.DUMMYFUNCTION("IFERROR(
IF(REGEXMATCH(LOWER(O8551),""k""),
VALUE(REGEXEXTRACT(O8551,""[0-9]+""))*1000,
VALUE(REGEXEXTRACT(O8551,""[0-9]+""))
),
0
)"),0.0)</f>
        <v>0</v>
      </c>
      <c r="E8551" s="1" t="s">
        <v>11</v>
      </c>
      <c r="F8551" s="1" t="s">
        <v>20</v>
      </c>
      <c r="G8551" s="4" t="b">
        <f t="shared" si="2"/>
        <v>1</v>
      </c>
      <c r="H8551" s="1" t="str">
        <f t="shared" si="3"/>
        <v>Currently Unavailable</v>
      </c>
      <c r="I8551" s="1" t="str">
        <f t="shared" si="4"/>
        <v>No Badges</v>
      </c>
      <c r="J8551" s="6">
        <f t="shared" si="5"/>
        <v>0</v>
      </c>
    </row>
    <row r="8552">
      <c r="A8552" s="1" t="s">
        <v>6529</v>
      </c>
      <c r="B8552" s="3" t="str">
        <f t="shared" si="1"/>
        <v>Unavailable</v>
      </c>
      <c r="C8552" s="3">
        <v>9.0</v>
      </c>
      <c r="D8552" s="3">
        <f>IFERROR(__xludf.DUMMYFUNCTION("IFERROR(
IF(REGEXMATCH(LOWER(O8552),""k""),
VALUE(REGEXEXTRACT(O8552,""[0-9]+""))*1000,
VALUE(REGEXEXTRACT(O8552,""[0-9]+""))
),
0
)"),0.0)</f>
        <v>0</v>
      </c>
      <c r="E8552" s="1" t="s">
        <v>11</v>
      </c>
      <c r="F8552" s="1" t="s">
        <v>20</v>
      </c>
      <c r="G8552" s="4" t="b">
        <f t="shared" si="2"/>
        <v>1</v>
      </c>
      <c r="H8552" s="1" t="str">
        <f t="shared" si="3"/>
        <v>Currently Unavailable</v>
      </c>
      <c r="I8552" s="1" t="str">
        <f t="shared" si="4"/>
        <v>No Badges</v>
      </c>
      <c r="J8552" s="3">
        <f t="shared" si="5"/>
        <v>0</v>
      </c>
    </row>
    <row r="8553">
      <c r="A8553" s="1" t="s">
        <v>6530</v>
      </c>
      <c r="B8553" s="3" t="str">
        <f t="shared" si="1"/>
        <v>Unavailable</v>
      </c>
      <c r="C8553" s="5">
        <v>1685.0</v>
      </c>
      <c r="D8553" s="3">
        <f>IFERROR(__xludf.DUMMYFUNCTION("IFERROR(
IF(REGEXMATCH(LOWER(O8553),""k""),
VALUE(REGEXEXTRACT(O8553,""[0-9]+""))*1000,
VALUE(REGEXEXTRACT(O8553,""[0-9]+""))
),
0
)"),0.0)</f>
        <v>0</v>
      </c>
      <c r="E8553" s="1" t="s">
        <v>11</v>
      </c>
      <c r="F8553" s="1" t="s">
        <v>20</v>
      </c>
      <c r="G8553" s="4" t="b">
        <f t="shared" si="2"/>
        <v>1</v>
      </c>
      <c r="H8553" s="1" t="str">
        <f t="shared" si="3"/>
        <v>Currently Unavailable</v>
      </c>
      <c r="I8553" s="1" t="str">
        <f t="shared" si="4"/>
        <v>No Badges</v>
      </c>
      <c r="J8553" s="3">
        <f t="shared" si="5"/>
        <v>0</v>
      </c>
    </row>
    <row r="8554">
      <c r="A8554" s="1" t="s">
        <v>6531</v>
      </c>
      <c r="B8554" s="3" t="str">
        <f t="shared" si="1"/>
        <v>Unavailable</v>
      </c>
      <c r="C8554" s="3">
        <v>38.0</v>
      </c>
      <c r="D8554" s="3">
        <f>IFERROR(__xludf.DUMMYFUNCTION("IFERROR(
IF(REGEXMATCH(LOWER(O8554),""k""),
VALUE(REGEXEXTRACT(O8554,""[0-9]+""))*1000,
VALUE(REGEXEXTRACT(O8554,""[0-9]+""))
),
0
)"),0.0)</f>
        <v>0</v>
      </c>
      <c r="E8554" s="1" t="s">
        <v>11</v>
      </c>
      <c r="F8554" s="1" t="s">
        <v>20</v>
      </c>
      <c r="G8554" s="4" t="b">
        <f t="shared" si="2"/>
        <v>1</v>
      </c>
      <c r="H8554" s="1" t="str">
        <f t="shared" si="3"/>
        <v>Currently Unavailable</v>
      </c>
      <c r="I8554" s="1" t="str">
        <f t="shared" si="4"/>
        <v>No Badges</v>
      </c>
      <c r="J8554" s="3">
        <f t="shared" si="5"/>
        <v>0</v>
      </c>
    </row>
    <row r="8555">
      <c r="A8555" s="1" t="s">
        <v>6532</v>
      </c>
      <c r="B8555" s="3" t="str">
        <f t="shared" si="1"/>
        <v>Unavailable</v>
      </c>
      <c r="C8555" s="5">
        <v>13543.0</v>
      </c>
      <c r="D8555" s="3">
        <f>IFERROR(__xludf.DUMMYFUNCTION("IFERROR(
IF(REGEXMATCH(LOWER(O8555),""k""),
VALUE(REGEXEXTRACT(O8555,""[0-9]+""))*1000,
VALUE(REGEXEXTRACT(O8555,""[0-9]+""))
),
0
)"),0.0)</f>
        <v>0</v>
      </c>
      <c r="E8555" s="1" t="s">
        <v>11</v>
      </c>
      <c r="F8555" s="1" t="s">
        <v>20</v>
      </c>
      <c r="G8555" s="4" t="b">
        <f t="shared" si="2"/>
        <v>1</v>
      </c>
      <c r="H8555" s="1" t="str">
        <f t="shared" si="3"/>
        <v>Currently Unavailable</v>
      </c>
      <c r="I8555" s="1" t="str">
        <f t="shared" si="4"/>
        <v>No Badges</v>
      </c>
      <c r="J8555" s="3">
        <f t="shared" si="5"/>
        <v>0</v>
      </c>
    </row>
    <row r="8556">
      <c r="A8556" s="1" t="s">
        <v>6533</v>
      </c>
      <c r="B8556" s="3" t="str">
        <f t="shared" si="1"/>
        <v>Unavailable</v>
      </c>
      <c r="C8556" s="5">
        <v>1716.0</v>
      </c>
      <c r="D8556" s="3">
        <f>IFERROR(__xludf.DUMMYFUNCTION("IFERROR(
IF(REGEXMATCH(LOWER(O8556),""k""),
VALUE(REGEXEXTRACT(O8556,""[0-9]+""))*1000,
VALUE(REGEXEXTRACT(O8556,""[0-9]+""))
),
0
)"),0.0)</f>
        <v>0</v>
      </c>
      <c r="E8556" s="1" t="s">
        <v>11</v>
      </c>
      <c r="F8556" s="1" t="s">
        <v>20</v>
      </c>
      <c r="G8556" s="4" t="b">
        <f t="shared" si="2"/>
        <v>1</v>
      </c>
      <c r="H8556" s="1" t="str">
        <f t="shared" si="3"/>
        <v>Currently Unavailable</v>
      </c>
      <c r="I8556" s="1" t="str">
        <f t="shared" si="4"/>
        <v>No Badges</v>
      </c>
      <c r="J8556" s="3">
        <f t="shared" si="5"/>
        <v>0</v>
      </c>
    </row>
    <row r="8557">
      <c r="A8557" s="1" t="s">
        <v>6534</v>
      </c>
      <c r="B8557" s="3" t="str">
        <f t="shared" si="1"/>
        <v>Unavailable</v>
      </c>
      <c r="C8557" s="3">
        <v>344.0</v>
      </c>
      <c r="D8557" s="3">
        <f>IFERROR(__xludf.DUMMYFUNCTION("IFERROR(
IF(REGEXMATCH(LOWER(O8557),""k""),
VALUE(REGEXEXTRACT(O8557,""[0-9]+""))*1000,
VALUE(REGEXEXTRACT(O8557,""[0-9]+""))
),
0
)"),0.0)</f>
        <v>0</v>
      </c>
      <c r="E8557" s="1" t="s">
        <v>18</v>
      </c>
      <c r="F8557" s="1" t="s">
        <v>20</v>
      </c>
      <c r="G8557" s="4" t="b">
        <f t="shared" si="2"/>
        <v>1</v>
      </c>
      <c r="H8557" s="1" t="str">
        <f t="shared" si="3"/>
        <v>Currently Unavailable</v>
      </c>
      <c r="I8557" s="1" t="str">
        <f t="shared" si="4"/>
        <v>No Badges</v>
      </c>
      <c r="J8557" s="3">
        <f t="shared" si="5"/>
        <v>0</v>
      </c>
    </row>
    <row r="8558">
      <c r="A8558" s="1" t="s">
        <v>5817</v>
      </c>
      <c r="B8558" s="3" t="str">
        <f t="shared" si="1"/>
        <v>Unavailable</v>
      </c>
      <c r="C8558" s="5">
        <v>7235.0</v>
      </c>
      <c r="D8558" s="3">
        <f>IFERROR(__xludf.DUMMYFUNCTION("IFERROR(
IF(REGEXMATCH(LOWER(O8558),""k""),
VALUE(REGEXEXTRACT(O8558,""[0-9]+""))*1000,
VALUE(REGEXEXTRACT(O8558,""[0-9]+""))
),
0
)"),0.0)</f>
        <v>0</v>
      </c>
      <c r="E8558" s="1" t="s">
        <v>11</v>
      </c>
      <c r="F8558" s="1" t="s">
        <v>12</v>
      </c>
      <c r="G8558" s="4" t="b">
        <f t="shared" si="2"/>
        <v>1</v>
      </c>
      <c r="H8558" s="1" t="str">
        <f t="shared" si="3"/>
        <v>Currently Unavailable</v>
      </c>
      <c r="I8558" s="1" t="str">
        <f t="shared" si="4"/>
        <v>No Badges</v>
      </c>
      <c r="J8558" s="3">
        <f t="shared" si="5"/>
        <v>0</v>
      </c>
    </row>
    <row r="8559">
      <c r="A8559" s="1" t="s">
        <v>6535</v>
      </c>
      <c r="B8559" s="3" t="str">
        <f t="shared" si="1"/>
        <v>Unavailable</v>
      </c>
      <c r="C8559" s="5">
        <v>9447.0</v>
      </c>
      <c r="D8559" s="3">
        <f>IFERROR(__xludf.DUMMYFUNCTION("IFERROR(
IF(REGEXMATCH(LOWER(O8559),""k""),
VALUE(REGEXEXTRACT(O8559,""[0-9]+""))*1000,
VALUE(REGEXEXTRACT(O8559,""[0-9]+""))
),
0
)"),0.0)</f>
        <v>0</v>
      </c>
      <c r="E8559" s="1" t="s">
        <v>11</v>
      </c>
      <c r="F8559" s="1" t="s">
        <v>20</v>
      </c>
      <c r="G8559" s="4" t="b">
        <f t="shared" si="2"/>
        <v>1</v>
      </c>
      <c r="H8559" s="1" t="str">
        <f t="shared" si="3"/>
        <v>Currently Unavailable</v>
      </c>
      <c r="I8559" s="1" t="str">
        <f t="shared" si="4"/>
        <v>No Badges</v>
      </c>
      <c r="J8559" s="3">
        <f t="shared" si="5"/>
        <v>0</v>
      </c>
    </row>
    <row r="8560">
      <c r="A8560" s="1" t="s">
        <v>6536</v>
      </c>
      <c r="B8560" s="3" t="str">
        <f t="shared" si="1"/>
        <v>Unavailable</v>
      </c>
      <c r="C8560" s="3">
        <v>16.0</v>
      </c>
      <c r="D8560" s="3">
        <f>IFERROR(__xludf.DUMMYFUNCTION("IFERROR(
IF(REGEXMATCH(LOWER(O8560),""k""),
VALUE(REGEXEXTRACT(O8560,""[0-9]+""))*1000,
VALUE(REGEXEXTRACT(O8560,""[0-9]+""))
),
0
)"),0.0)</f>
        <v>0</v>
      </c>
      <c r="E8560" s="1" t="s">
        <v>11</v>
      </c>
      <c r="F8560" s="1" t="s">
        <v>20</v>
      </c>
      <c r="G8560" s="4" t="b">
        <f t="shared" si="2"/>
        <v>1</v>
      </c>
      <c r="H8560" s="1" t="str">
        <f t="shared" si="3"/>
        <v>Currently Unavailable</v>
      </c>
      <c r="I8560" s="1" t="str">
        <f t="shared" si="4"/>
        <v>No Badges</v>
      </c>
      <c r="J8560" s="3">
        <f t="shared" si="5"/>
        <v>0</v>
      </c>
    </row>
    <row r="8561">
      <c r="A8561" s="1" t="s">
        <v>6537</v>
      </c>
      <c r="B8561" s="3" t="str">
        <f t="shared" si="1"/>
        <v>Unavailable</v>
      </c>
      <c r="C8561" s="5">
        <v>4721.0</v>
      </c>
      <c r="D8561" s="3">
        <f>IFERROR(__xludf.DUMMYFUNCTION("IFERROR(
IF(REGEXMATCH(LOWER(O8561),""k""),
VALUE(REGEXEXTRACT(O8561,""[0-9]+""))*1000,
VALUE(REGEXEXTRACT(O8561,""[0-9]+""))
),
0
)"),0.0)</f>
        <v>0</v>
      </c>
      <c r="E8561" s="1" t="s">
        <v>11</v>
      </c>
      <c r="F8561" s="1" t="s">
        <v>20</v>
      </c>
      <c r="G8561" s="4" t="b">
        <f t="shared" si="2"/>
        <v>1</v>
      </c>
      <c r="H8561" s="1" t="str">
        <f t="shared" si="3"/>
        <v>Currently Unavailable</v>
      </c>
      <c r="I8561" s="1" t="str">
        <f t="shared" si="4"/>
        <v>No Badges</v>
      </c>
      <c r="J8561" s="3">
        <f t="shared" si="5"/>
        <v>0</v>
      </c>
    </row>
    <row r="8562">
      <c r="A8562" s="1" t="s">
        <v>5817</v>
      </c>
      <c r="B8562" s="3" t="str">
        <f t="shared" si="1"/>
        <v>Unavailable</v>
      </c>
      <c r="C8562" s="5">
        <v>7235.0</v>
      </c>
      <c r="D8562" s="3">
        <f>IFERROR(__xludf.DUMMYFUNCTION("IFERROR(
IF(REGEXMATCH(LOWER(O8562),""k""),
VALUE(REGEXEXTRACT(O8562,""[0-9]+""))*1000,
VALUE(REGEXEXTRACT(O8562,""[0-9]+""))
),
0
)"),0.0)</f>
        <v>0</v>
      </c>
      <c r="E8562" s="1" t="s">
        <v>11</v>
      </c>
      <c r="F8562" s="1" t="s">
        <v>12</v>
      </c>
      <c r="G8562" s="4" t="b">
        <f t="shared" si="2"/>
        <v>1</v>
      </c>
      <c r="H8562" s="1" t="str">
        <f t="shared" si="3"/>
        <v>Currently Unavailable</v>
      </c>
      <c r="I8562" s="1" t="str">
        <f t="shared" si="4"/>
        <v>No Badges</v>
      </c>
      <c r="J8562" s="3">
        <f t="shared" si="5"/>
        <v>0</v>
      </c>
    </row>
    <row r="8563">
      <c r="A8563" s="1" t="s">
        <v>6538</v>
      </c>
      <c r="B8563" s="3" t="str">
        <f t="shared" si="1"/>
        <v>Unavailable</v>
      </c>
      <c r="C8563" s="5">
        <v>1990.0</v>
      </c>
      <c r="D8563" s="3">
        <f>IFERROR(__xludf.DUMMYFUNCTION("IFERROR(
IF(REGEXMATCH(LOWER(O8563),""k""),
VALUE(REGEXEXTRACT(O8563,""[0-9]+""))*1000,
VALUE(REGEXEXTRACT(O8563,""[0-9]+""))
),
0
)"),0.0)</f>
        <v>0</v>
      </c>
      <c r="E8563" s="1" t="s">
        <v>11</v>
      </c>
      <c r="F8563" s="1" t="s">
        <v>20</v>
      </c>
      <c r="G8563" s="4" t="b">
        <f t="shared" si="2"/>
        <v>1</v>
      </c>
      <c r="H8563" s="1" t="str">
        <f t="shared" si="3"/>
        <v>Currently Unavailable</v>
      </c>
      <c r="I8563" s="1" t="str">
        <f t="shared" si="4"/>
        <v>No Badges</v>
      </c>
      <c r="J8563" s="3">
        <f t="shared" si="5"/>
        <v>0</v>
      </c>
    </row>
    <row r="8564">
      <c r="A8564" s="1" t="s">
        <v>6539</v>
      </c>
      <c r="B8564" s="3" t="str">
        <f t="shared" si="1"/>
        <v>Unavailable</v>
      </c>
      <c r="C8564" s="3">
        <v>423.0</v>
      </c>
      <c r="D8564" s="3">
        <f>IFERROR(__xludf.DUMMYFUNCTION("IFERROR(
IF(REGEXMATCH(LOWER(O8564),""k""),
VALUE(REGEXEXTRACT(O8564,""[0-9]+""))*1000,
VALUE(REGEXEXTRACT(O8564,""[0-9]+""))
),
0
)"),0.0)</f>
        <v>0</v>
      </c>
      <c r="E8564" s="1" t="s">
        <v>11</v>
      </c>
      <c r="F8564" s="1" t="s">
        <v>20</v>
      </c>
      <c r="G8564" s="4" t="b">
        <f t="shared" si="2"/>
        <v>1</v>
      </c>
      <c r="H8564" s="1" t="str">
        <f t="shared" si="3"/>
        <v>Currently Unavailable</v>
      </c>
      <c r="I8564" s="1" t="str">
        <f t="shared" si="4"/>
        <v>No Badges</v>
      </c>
      <c r="J8564" s="3">
        <f t="shared" si="5"/>
        <v>0</v>
      </c>
    </row>
    <row r="8565">
      <c r="A8565" s="1" t="s">
        <v>6540</v>
      </c>
      <c r="B8565" s="3" t="str">
        <f t="shared" si="1"/>
        <v>Unavailable</v>
      </c>
      <c r="C8565" s="5">
        <v>1627.0</v>
      </c>
      <c r="D8565" s="3">
        <f>IFERROR(__xludf.DUMMYFUNCTION("IFERROR(
IF(REGEXMATCH(LOWER(O8565),""k""),
VALUE(REGEXEXTRACT(O8565,""[0-9]+""))*1000,
VALUE(REGEXEXTRACT(O8565,""[0-9]+""))
),
0
)"),0.0)</f>
        <v>0</v>
      </c>
      <c r="E8565" s="1" t="s">
        <v>11</v>
      </c>
      <c r="F8565" s="1" t="s">
        <v>20</v>
      </c>
      <c r="G8565" s="4" t="b">
        <f t="shared" si="2"/>
        <v>1</v>
      </c>
      <c r="H8565" s="1" t="str">
        <f t="shared" si="3"/>
        <v>Currently Unavailable</v>
      </c>
      <c r="I8565" s="1" t="str">
        <f t="shared" si="4"/>
        <v>No Badges</v>
      </c>
      <c r="J8565" s="3">
        <f t="shared" si="5"/>
        <v>0</v>
      </c>
    </row>
    <row r="8566">
      <c r="A8566" s="1" t="s">
        <v>6541</v>
      </c>
      <c r="B8566" s="3" t="str">
        <f t="shared" si="1"/>
        <v>Unavailable</v>
      </c>
      <c r="C8566" s="3">
        <v>164.0</v>
      </c>
      <c r="D8566" s="3">
        <f>IFERROR(__xludf.DUMMYFUNCTION("IFERROR(
IF(REGEXMATCH(LOWER(O8566),""k""),
VALUE(REGEXEXTRACT(O8566,""[0-9]+""))*1000,
VALUE(REGEXEXTRACT(O8566,""[0-9]+""))
),
0
)"),0.0)</f>
        <v>0</v>
      </c>
      <c r="E8566" s="1" t="s">
        <v>11</v>
      </c>
      <c r="F8566" s="1" t="s">
        <v>20</v>
      </c>
      <c r="G8566" s="4" t="b">
        <f t="shared" si="2"/>
        <v>1</v>
      </c>
      <c r="H8566" s="1" t="str">
        <f t="shared" si="3"/>
        <v>Currently Unavailable</v>
      </c>
      <c r="I8566" s="1" t="str">
        <f t="shared" si="4"/>
        <v>No Badges</v>
      </c>
      <c r="J8566" s="3">
        <f t="shared" si="5"/>
        <v>0</v>
      </c>
    </row>
    <row r="8567">
      <c r="A8567" s="1" t="s">
        <v>6542</v>
      </c>
      <c r="B8567" s="3" t="str">
        <f t="shared" si="1"/>
        <v>Unavailable</v>
      </c>
      <c r="C8567" s="3">
        <v>82.0</v>
      </c>
      <c r="D8567" s="3">
        <f>IFERROR(__xludf.DUMMYFUNCTION("IFERROR(
IF(REGEXMATCH(LOWER(O8567),""k""),
VALUE(REGEXEXTRACT(O8567,""[0-9]+""))*1000,
VALUE(REGEXEXTRACT(O8567,""[0-9]+""))
),
0
)"),0.0)</f>
        <v>0</v>
      </c>
      <c r="E8567" s="1" t="s">
        <v>11</v>
      </c>
      <c r="F8567" s="1" t="s">
        <v>20</v>
      </c>
      <c r="G8567" s="4" t="b">
        <f t="shared" si="2"/>
        <v>1</v>
      </c>
      <c r="H8567" s="1" t="str">
        <f t="shared" si="3"/>
        <v>Currently Unavailable</v>
      </c>
      <c r="I8567" s="1" t="str">
        <f t="shared" si="4"/>
        <v>No Badges</v>
      </c>
      <c r="J8567" s="3">
        <f t="shared" si="5"/>
        <v>0</v>
      </c>
    </row>
    <row r="8568">
      <c r="A8568" s="1" t="s">
        <v>6543</v>
      </c>
      <c r="B8568" s="3" t="str">
        <f t="shared" si="1"/>
        <v>Unavailable</v>
      </c>
      <c r="C8568" s="3">
        <v>115.0</v>
      </c>
      <c r="D8568" s="3">
        <f>IFERROR(__xludf.DUMMYFUNCTION("IFERROR(
IF(REGEXMATCH(LOWER(O8568),""k""),
VALUE(REGEXEXTRACT(O8568,""[0-9]+""))*1000,
VALUE(REGEXEXTRACT(O8568,""[0-9]+""))
),
0
)"),0.0)</f>
        <v>0</v>
      </c>
      <c r="E8568" s="1" t="s">
        <v>11</v>
      </c>
      <c r="F8568" s="1" t="s">
        <v>20</v>
      </c>
      <c r="G8568" s="4" t="b">
        <f t="shared" si="2"/>
        <v>1</v>
      </c>
      <c r="H8568" s="1" t="str">
        <f t="shared" si="3"/>
        <v>Currently Unavailable</v>
      </c>
      <c r="I8568" s="1" t="str">
        <f t="shared" si="4"/>
        <v>No Badges</v>
      </c>
      <c r="J8568" s="3">
        <f t="shared" si="5"/>
        <v>0</v>
      </c>
    </row>
    <row r="8569">
      <c r="A8569" s="1" t="s">
        <v>5817</v>
      </c>
      <c r="B8569" s="3" t="str">
        <f t="shared" si="1"/>
        <v>Unavailable</v>
      </c>
      <c r="C8569" s="5">
        <v>7235.0</v>
      </c>
      <c r="D8569" s="3">
        <f>IFERROR(__xludf.DUMMYFUNCTION("IFERROR(
IF(REGEXMATCH(LOWER(O8569),""k""),
VALUE(REGEXEXTRACT(O8569,""[0-9]+""))*1000,
VALUE(REGEXEXTRACT(O8569,""[0-9]+""))
),
0
)"),0.0)</f>
        <v>0</v>
      </c>
      <c r="E8569" s="1" t="s">
        <v>11</v>
      </c>
      <c r="F8569" s="1" t="s">
        <v>12</v>
      </c>
      <c r="G8569" s="4" t="b">
        <f t="shared" si="2"/>
        <v>1</v>
      </c>
      <c r="H8569" s="1" t="str">
        <f t="shared" si="3"/>
        <v>Currently Unavailable</v>
      </c>
      <c r="I8569" s="1" t="str">
        <f t="shared" si="4"/>
        <v>No Badges</v>
      </c>
      <c r="J8569" s="3">
        <f t="shared" si="5"/>
        <v>0</v>
      </c>
    </row>
    <row r="8570">
      <c r="A8570" s="1" t="s">
        <v>6544</v>
      </c>
      <c r="B8570" s="3" t="str">
        <f t="shared" si="1"/>
        <v>Unavailable</v>
      </c>
      <c r="C8570" s="5">
        <v>15206.0</v>
      </c>
      <c r="D8570" s="3">
        <f>IFERROR(__xludf.DUMMYFUNCTION("IFERROR(
IF(REGEXMATCH(LOWER(O8570),""k""),
VALUE(REGEXEXTRACT(O8570,""[0-9]+""))*1000,
VALUE(REGEXEXTRACT(O8570,""[0-9]+""))
),
0
)"),0.0)</f>
        <v>0</v>
      </c>
      <c r="E8570" s="1" t="s">
        <v>11</v>
      </c>
      <c r="F8570" s="1" t="s">
        <v>20</v>
      </c>
      <c r="G8570" s="4" t="b">
        <f t="shared" si="2"/>
        <v>1</v>
      </c>
      <c r="H8570" s="1" t="str">
        <f t="shared" si="3"/>
        <v>Currently Unavailable</v>
      </c>
      <c r="I8570" s="1" t="str">
        <f t="shared" si="4"/>
        <v>No Badges</v>
      </c>
      <c r="J8570" s="3">
        <f t="shared" si="5"/>
        <v>0</v>
      </c>
    </row>
    <row r="8571">
      <c r="A8571" s="1" t="s">
        <v>6545</v>
      </c>
      <c r="B8571" s="3" t="str">
        <f t="shared" si="1"/>
        <v>Unavailable</v>
      </c>
      <c r="C8571" s="5">
        <v>9168.0</v>
      </c>
      <c r="D8571" s="3">
        <f>IFERROR(__xludf.DUMMYFUNCTION("IFERROR(
IF(REGEXMATCH(LOWER(O8571),""k""),
VALUE(REGEXEXTRACT(O8571,""[0-9]+""))*1000,
VALUE(REGEXEXTRACT(O8571,""[0-9]+""))
),
0
)"),0.0)</f>
        <v>0</v>
      </c>
      <c r="E8571" s="1" t="s">
        <v>11</v>
      </c>
      <c r="F8571" s="1" t="s">
        <v>20</v>
      </c>
      <c r="G8571" s="4" t="b">
        <f t="shared" si="2"/>
        <v>1</v>
      </c>
      <c r="H8571" s="1" t="str">
        <f t="shared" si="3"/>
        <v>Currently Unavailable</v>
      </c>
      <c r="I8571" s="1" t="str">
        <f t="shared" si="4"/>
        <v>No Badges</v>
      </c>
      <c r="J8571" s="3">
        <f t="shared" si="5"/>
        <v>0</v>
      </c>
    </row>
    <row r="8572">
      <c r="A8572" s="1" t="s">
        <v>6546</v>
      </c>
      <c r="B8572" s="3" t="str">
        <f t="shared" si="1"/>
        <v>Unavailable</v>
      </c>
      <c r="C8572" s="3">
        <v>2.0</v>
      </c>
      <c r="D8572" s="3">
        <f>IFERROR(__xludf.DUMMYFUNCTION("IFERROR(
IF(REGEXMATCH(LOWER(O8572),""k""),
VALUE(REGEXEXTRACT(O8572,""[0-9]+""))*1000,
VALUE(REGEXEXTRACT(O8572,""[0-9]+""))
),
0
)"),0.0)</f>
        <v>0</v>
      </c>
      <c r="E8572" s="1" t="s">
        <v>11</v>
      </c>
      <c r="F8572" s="1" t="s">
        <v>20</v>
      </c>
      <c r="G8572" s="4" t="b">
        <f t="shared" si="2"/>
        <v>1</v>
      </c>
      <c r="H8572" s="1" t="str">
        <f t="shared" si="3"/>
        <v>Currently Unavailable</v>
      </c>
      <c r="I8572" s="1" t="str">
        <f t="shared" si="4"/>
        <v>No Badges</v>
      </c>
      <c r="J8572" s="3">
        <f t="shared" si="5"/>
        <v>0</v>
      </c>
    </row>
    <row r="8573">
      <c r="A8573" s="1" t="s">
        <v>6547</v>
      </c>
      <c r="B8573" s="3" t="str">
        <f t="shared" si="1"/>
        <v>Unavailable</v>
      </c>
      <c r="C8573" s="5">
        <v>15153.0</v>
      </c>
      <c r="D8573" s="3">
        <f>IFERROR(__xludf.DUMMYFUNCTION("IFERROR(
IF(REGEXMATCH(LOWER(O8573),""k""),
VALUE(REGEXEXTRACT(O8573,""[0-9]+""))*1000,
VALUE(REGEXEXTRACT(O8573,""[0-9]+""))
),
0
)"),0.0)</f>
        <v>0</v>
      </c>
      <c r="E8573" s="1" t="s">
        <v>11</v>
      </c>
      <c r="F8573" s="1" t="s">
        <v>20</v>
      </c>
      <c r="G8573" s="4" t="b">
        <f t="shared" si="2"/>
        <v>1</v>
      </c>
      <c r="H8573" s="1" t="str">
        <f t="shared" si="3"/>
        <v>Currently Unavailable</v>
      </c>
      <c r="I8573" s="1" t="str">
        <f t="shared" si="4"/>
        <v>No Badges</v>
      </c>
      <c r="J8573" s="3">
        <f t="shared" si="5"/>
        <v>0</v>
      </c>
    </row>
    <row r="8574">
      <c r="A8574" s="1" t="s">
        <v>6548</v>
      </c>
      <c r="B8574" s="3" t="str">
        <f t="shared" si="1"/>
        <v>Unavailable</v>
      </c>
      <c r="C8574" s="5">
        <v>1883.0</v>
      </c>
      <c r="D8574" s="3">
        <f>IFERROR(__xludf.DUMMYFUNCTION("IFERROR(
IF(REGEXMATCH(LOWER(O8574),""k""),
VALUE(REGEXEXTRACT(O8574,""[0-9]+""))*1000,
VALUE(REGEXEXTRACT(O8574,""[0-9]+""))
),
0
)"),0.0)</f>
        <v>0</v>
      </c>
      <c r="E8574" s="1" t="s">
        <v>11</v>
      </c>
      <c r="F8574" s="1" t="s">
        <v>20</v>
      </c>
      <c r="G8574" s="4" t="b">
        <f t="shared" si="2"/>
        <v>1</v>
      </c>
      <c r="H8574" s="1" t="str">
        <f t="shared" si="3"/>
        <v>Currently Unavailable</v>
      </c>
      <c r="I8574" s="1" t="str">
        <f t="shared" si="4"/>
        <v>No Badges</v>
      </c>
      <c r="J8574" s="3">
        <f t="shared" si="5"/>
        <v>0</v>
      </c>
    </row>
    <row r="8575">
      <c r="A8575" s="1" t="s">
        <v>5817</v>
      </c>
      <c r="B8575" s="3" t="str">
        <f t="shared" si="1"/>
        <v>Unavailable</v>
      </c>
      <c r="C8575" s="5">
        <v>7235.0</v>
      </c>
      <c r="D8575" s="3">
        <f>IFERROR(__xludf.DUMMYFUNCTION("IFERROR(
IF(REGEXMATCH(LOWER(O8575),""k""),
VALUE(REGEXEXTRACT(O8575,""[0-9]+""))*1000,
VALUE(REGEXEXTRACT(O8575,""[0-9]+""))
),
0
)"),0.0)</f>
        <v>0</v>
      </c>
      <c r="E8575" s="1" t="s">
        <v>11</v>
      </c>
      <c r="F8575" s="1" t="s">
        <v>12</v>
      </c>
      <c r="G8575" s="4" t="b">
        <f t="shared" si="2"/>
        <v>1</v>
      </c>
      <c r="H8575" s="1" t="str">
        <f t="shared" si="3"/>
        <v>Currently Unavailable</v>
      </c>
      <c r="I8575" s="1" t="str">
        <f t="shared" si="4"/>
        <v>No Badges</v>
      </c>
      <c r="J8575" s="3">
        <f t="shared" si="5"/>
        <v>0</v>
      </c>
    </row>
    <row r="8576">
      <c r="A8576" s="1" t="s">
        <v>6549</v>
      </c>
      <c r="B8576" s="3" t="str">
        <f t="shared" si="1"/>
        <v>Unavailable</v>
      </c>
      <c r="C8576" s="5">
        <v>7007.0</v>
      </c>
      <c r="D8576" s="3">
        <f>IFERROR(__xludf.DUMMYFUNCTION("IFERROR(
IF(REGEXMATCH(LOWER(O8576),""k""),
VALUE(REGEXEXTRACT(O8576,""[0-9]+""))*1000,
VALUE(REGEXEXTRACT(O8576,""[0-9]+""))
),
0
)"),0.0)</f>
        <v>0</v>
      </c>
      <c r="E8576" s="1" t="s">
        <v>11</v>
      </c>
      <c r="F8576" s="1" t="s">
        <v>20</v>
      </c>
      <c r="G8576" s="4" t="b">
        <f t="shared" si="2"/>
        <v>1</v>
      </c>
      <c r="H8576" s="1" t="str">
        <f t="shared" si="3"/>
        <v>Currently Unavailable</v>
      </c>
      <c r="I8576" s="1" t="str">
        <f t="shared" si="4"/>
        <v>No Badges</v>
      </c>
      <c r="J8576" s="3">
        <f t="shared" si="5"/>
        <v>0</v>
      </c>
    </row>
    <row r="8577">
      <c r="A8577" s="1" t="s">
        <v>6550</v>
      </c>
      <c r="B8577" s="3" t="str">
        <f t="shared" si="1"/>
        <v>Unavailable</v>
      </c>
      <c r="C8577" s="5">
        <v>2907.0</v>
      </c>
      <c r="D8577" s="3">
        <f>IFERROR(__xludf.DUMMYFUNCTION("IFERROR(
IF(REGEXMATCH(LOWER(O8577),""k""),
VALUE(REGEXEXTRACT(O8577,""[0-9]+""))*1000,
VALUE(REGEXEXTRACT(O8577,""[0-9]+""))
),
0
)"),0.0)</f>
        <v>0</v>
      </c>
      <c r="E8577" s="1" t="s">
        <v>11</v>
      </c>
      <c r="F8577" s="1" t="s">
        <v>20</v>
      </c>
      <c r="G8577" s="4" t="b">
        <f t="shared" si="2"/>
        <v>1</v>
      </c>
      <c r="H8577" s="1" t="str">
        <f t="shared" si="3"/>
        <v>Currently Unavailable</v>
      </c>
      <c r="I8577" s="1" t="str">
        <f t="shared" si="4"/>
        <v>No Badges</v>
      </c>
      <c r="J8577" s="3">
        <f t="shared" si="5"/>
        <v>0</v>
      </c>
    </row>
    <row r="8578">
      <c r="A8578" s="1" t="s">
        <v>6551</v>
      </c>
      <c r="B8578" s="3" t="str">
        <f t="shared" si="1"/>
        <v>Unavailable</v>
      </c>
      <c r="C8578" s="3">
        <v>458.0</v>
      </c>
      <c r="D8578" s="3">
        <f>IFERROR(__xludf.DUMMYFUNCTION("IFERROR(
IF(REGEXMATCH(LOWER(O8578),""k""),
VALUE(REGEXEXTRACT(O8578,""[0-9]+""))*1000,
VALUE(REGEXEXTRACT(O8578,""[0-9]+""))
),
0
)"),0.0)</f>
        <v>0</v>
      </c>
      <c r="E8578" s="1" t="s">
        <v>11</v>
      </c>
      <c r="F8578" s="1" t="s">
        <v>20</v>
      </c>
      <c r="G8578" s="4" t="b">
        <f t="shared" si="2"/>
        <v>1</v>
      </c>
      <c r="H8578" s="1" t="str">
        <f t="shared" si="3"/>
        <v>Currently Unavailable</v>
      </c>
      <c r="I8578" s="1" t="str">
        <f t="shared" si="4"/>
        <v>No Badges</v>
      </c>
      <c r="J8578" s="3">
        <f t="shared" si="5"/>
        <v>0</v>
      </c>
    </row>
    <row r="8579">
      <c r="A8579" s="1" t="s">
        <v>6552</v>
      </c>
      <c r="B8579" s="3" t="str">
        <f t="shared" si="1"/>
        <v>Unavailable</v>
      </c>
      <c r="C8579" s="3">
        <v>40.0</v>
      </c>
      <c r="D8579" s="3">
        <f>IFERROR(__xludf.DUMMYFUNCTION("IFERROR(
IF(REGEXMATCH(LOWER(O8579),""k""),
VALUE(REGEXEXTRACT(O8579,""[0-9]+""))*1000,
VALUE(REGEXEXTRACT(O8579,""[0-9]+""))
),
0
)"),0.0)</f>
        <v>0</v>
      </c>
      <c r="E8579" s="1" t="s">
        <v>11</v>
      </c>
      <c r="F8579" s="1" t="s">
        <v>20</v>
      </c>
      <c r="G8579" s="4" t="b">
        <f t="shared" si="2"/>
        <v>1</v>
      </c>
      <c r="H8579" s="1" t="str">
        <f t="shared" si="3"/>
        <v>Currently Unavailable</v>
      </c>
      <c r="I8579" s="1" t="str">
        <f t="shared" si="4"/>
        <v>No Badges</v>
      </c>
      <c r="J8579" s="3">
        <f t="shared" si="5"/>
        <v>0</v>
      </c>
    </row>
    <row r="8580">
      <c r="A8580" s="1" t="s">
        <v>6553</v>
      </c>
      <c r="B8580" s="3" t="str">
        <f t="shared" si="1"/>
        <v>Unavailable</v>
      </c>
      <c r="C8580" s="5">
        <v>1844.0</v>
      </c>
      <c r="D8580" s="3">
        <f>IFERROR(__xludf.DUMMYFUNCTION("IFERROR(
IF(REGEXMATCH(LOWER(O8580),""k""),
VALUE(REGEXEXTRACT(O8580,""[0-9]+""))*1000,
VALUE(REGEXEXTRACT(O8580,""[0-9]+""))
),
0
)"),0.0)</f>
        <v>0</v>
      </c>
      <c r="E8580" s="1" t="s">
        <v>11</v>
      </c>
      <c r="F8580" s="1" t="s">
        <v>20</v>
      </c>
      <c r="G8580" s="4" t="b">
        <f t="shared" si="2"/>
        <v>1</v>
      </c>
      <c r="H8580" s="1" t="str">
        <f t="shared" si="3"/>
        <v>Currently Unavailable</v>
      </c>
      <c r="I8580" s="1" t="str">
        <f t="shared" si="4"/>
        <v>No Badges</v>
      </c>
      <c r="J8580" s="3">
        <f t="shared" si="5"/>
        <v>0</v>
      </c>
    </row>
    <row r="8581">
      <c r="A8581" s="1" t="s">
        <v>6554</v>
      </c>
      <c r="B8581" s="3" t="str">
        <f t="shared" si="1"/>
        <v>Unavailable</v>
      </c>
      <c r="C8581" s="5">
        <v>5119.0</v>
      </c>
      <c r="D8581" s="3">
        <f>IFERROR(__xludf.DUMMYFUNCTION("IFERROR(
IF(REGEXMATCH(LOWER(O8581),""k""),
VALUE(REGEXEXTRACT(O8581,""[0-9]+""))*1000,
VALUE(REGEXEXTRACT(O8581,""[0-9]+""))
),
0
)"),0.0)</f>
        <v>0</v>
      </c>
      <c r="E8581" s="1" t="s">
        <v>11</v>
      </c>
      <c r="F8581" s="1" t="s">
        <v>20</v>
      </c>
      <c r="G8581" s="4" t="b">
        <f t="shared" si="2"/>
        <v>1</v>
      </c>
      <c r="H8581" s="1" t="str">
        <f t="shared" si="3"/>
        <v>Currently Unavailable</v>
      </c>
      <c r="I8581" s="1" t="str">
        <f t="shared" si="4"/>
        <v>No Badges</v>
      </c>
      <c r="J8581" s="3">
        <f t="shared" si="5"/>
        <v>0</v>
      </c>
    </row>
    <row r="8582">
      <c r="A8582" s="1" t="s">
        <v>6555</v>
      </c>
      <c r="B8582" s="3" t="str">
        <f t="shared" si="1"/>
        <v>Unavailable</v>
      </c>
      <c r="C8582" s="5">
        <v>8099.0</v>
      </c>
      <c r="D8582" s="3">
        <f>IFERROR(__xludf.DUMMYFUNCTION("IFERROR(
IF(REGEXMATCH(LOWER(O8582),""k""),
VALUE(REGEXEXTRACT(O8582,""[0-9]+""))*1000,
VALUE(REGEXEXTRACT(O8582,""[0-9]+""))
),
0
)"),0.0)</f>
        <v>0</v>
      </c>
      <c r="E8582" s="1" t="s">
        <v>11</v>
      </c>
      <c r="F8582" s="1" t="s">
        <v>20</v>
      </c>
      <c r="G8582" s="4" t="b">
        <f t="shared" si="2"/>
        <v>1</v>
      </c>
      <c r="H8582" s="1" t="str">
        <f t="shared" si="3"/>
        <v>Currently Unavailable</v>
      </c>
      <c r="I8582" s="1" t="str">
        <f t="shared" si="4"/>
        <v>No Badges</v>
      </c>
      <c r="J8582" s="3">
        <f t="shared" si="5"/>
        <v>0</v>
      </c>
    </row>
    <row r="8583">
      <c r="A8583" s="1" t="s">
        <v>5817</v>
      </c>
      <c r="B8583" s="3" t="str">
        <f t="shared" si="1"/>
        <v>Unavailable</v>
      </c>
      <c r="C8583" s="5">
        <v>7235.0</v>
      </c>
      <c r="D8583" s="3">
        <f>IFERROR(__xludf.DUMMYFUNCTION("IFERROR(
IF(REGEXMATCH(LOWER(O8583),""k""),
VALUE(REGEXEXTRACT(O8583,""[0-9]+""))*1000,
VALUE(REGEXEXTRACT(O8583,""[0-9]+""))
),
0
)"),0.0)</f>
        <v>0</v>
      </c>
      <c r="E8583" s="1" t="s">
        <v>11</v>
      </c>
      <c r="F8583" s="1" t="s">
        <v>12</v>
      </c>
      <c r="G8583" s="4" t="b">
        <f t="shared" si="2"/>
        <v>1</v>
      </c>
      <c r="H8583" s="1" t="str">
        <f t="shared" si="3"/>
        <v>Currently Unavailable</v>
      </c>
      <c r="I8583" s="1" t="str">
        <f t="shared" si="4"/>
        <v>No Badges</v>
      </c>
      <c r="J8583" s="3">
        <f t="shared" si="5"/>
        <v>0</v>
      </c>
    </row>
    <row r="8584">
      <c r="A8584" s="1" t="s">
        <v>6556</v>
      </c>
      <c r="B8584" s="3" t="str">
        <f t="shared" si="1"/>
        <v>Unavailable</v>
      </c>
      <c r="C8584" s="5">
        <v>2243.0</v>
      </c>
      <c r="D8584" s="3">
        <f>IFERROR(__xludf.DUMMYFUNCTION("IFERROR(
IF(REGEXMATCH(LOWER(O8584),""k""),
VALUE(REGEXEXTRACT(O8584,""[0-9]+""))*1000,
VALUE(REGEXEXTRACT(O8584,""[0-9]+""))
),
0
)"),0.0)</f>
        <v>0</v>
      </c>
      <c r="E8584" s="1" t="s">
        <v>11</v>
      </c>
      <c r="F8584" s="1" t="s">
        <v>20</v>
      </c>
      <c r="G8584" s="4" t="b">
        <f t="shared" si="2"/>
        <v>1</v>
      </c>
      <c r="H8584" s="1" t="str">
        <f t="shared" si="3"/>
        <v>Currently Unavailable</v>
      </c>
      <c r="I8584" s="1" t="str">
        <f t="shared" si="4"/>
        <v>No Badges</v>
      </c>
      <c r="J8584" s="3">
        <f t="shared" si="5"/>
        <v>0</v>
      </c>
    </row>
    <row r="8585">
      <c r="A8585" s="1" t="s">
        <v>6557</v>
      </c>
      <c r="B8585" s="3" t="str">
        <f t="shared" si="1"/>
        <v>Unavailable</v>
      </c>
      <c r="C8585" s="5">
        <v>6336.0</v>
      </c>
      <c r="D8585" s="3">
        <f>IFERROR(__xludf.DUMMYFUNCTION("IFERROR(
IF(REGEXMATCH(LOWER(O8585),""k""),
VALUE(REGEXEXTRACT(O8585,""[0-9]+""))*1000,
VALUE(REGEXEXTRACT(O8585,""[0-9]+""))
),
0
)"),0.0)</f>
        <v>0</v>
      </c>
      <c r="E8585" s="1" t="s">
        <v>11</v>
      </c>
      <c r="F8585" s="1" t="s">
        <v>20</v>
      </c>
      <c r="G8585" s="4" t="b">
        <f t="shared" si="2"/>
        <v>1</v>
      </c>
      <c r="H8585" s="1" t="str">
        <f t="shared" si="3"/>
        <v>Currently Unavailable</v>
      </c>
      <c r="I8585" s="1" t="str">
        <f t="shared" si="4"/>
        <v>No Badges</v>
      </c>
      <c r="J8585" s="3">
        <f t="shared" si="5"/>
        <v>0</v>
      </c>
    </row>
    <row r="8586">
      <c r="A8586" s="1" t="s">
        <v>6558</v>
      </c>
      <c r="B8586" s="3" t="str">
        <f t="shared" si="1"/>
        <v>Unavailable</v>
      </c>
      <c r="C8586" s="3">
        <v>453.0</v>
      </c>
      <c r="D8586" s="3">
        <f>IFERROR(__xludf.DUMMYFUNCTION("IFERROR(
IF(REGEXMATCH(LOWER(O8586),""k""),
VALUE(REGEXEXTRACT(O8586,""[0-9]+""))*1000,
VALUE(REGEXEXTRACT(O8586,""[0-9]+""))
),
0
)"),0.0)</f>
        <v>0</v>
      </c>
      <c r="E8586" s="1" t="s">
        <v>11</v>
      </c>
      <c r="F8586" s="1" t="s">
        <v>20</v>
      </c>
      <c r="G8586" s="4" t="b">
        <f t="shared" si="2"/>
        <v>1</v>
      </c>
      <c r="H8586" s="1" t="str">
        <f t="shared" si="3"/>
        <v>Currently Unavailable</v>
      </c>
      <c r="I8586" s="1" t="str">
        <f t="shared" si="4"/>
        <v>No Badges</v>
      </c>
      <c r="J8586" s="3">
        <f t="shared" si="5"/>
        <v>0</v>
      </c>
    </row>
    <row r="8587">
      <c r="A8587" s="1" t="s">
        <v>6559</v>
      </c>
      <c r="B8587" s="3" t="str">
        <f t="shared" si="1"/>
        <v>Unavailable</v>
      </c>
      <c r="C8587" s="5">
        <v>1567.0</v>
      </c>
      <c r="D8587" s="3">
        <f>IFERROR(__xludf.DUMMYFUNCTION("IFERROR(
IF(REGEXMATCH(LOWER(O8587),""k""),
VALUE(REGEXEXTRACT(O8587,""[0-9]+""))*1000,
VALUE(REGEXEXTRACT(O8587,""[0-9]+""))
),
0
)"),0.0)</f>
        <v>0</v>
      </c>
      <c r="E8587" s="1" t="s">
        <v>11</v>
      </c>
      <c r="F8587" s="1" t="s">
        <v>20</v>
      </c>
      <c r="G8587" s="4" t="b">
        <f t="shared" si="2"/>
        <v>1</v>
      </c>
      <c r="H8587" s="1" t="str">
        <f t="shared" si="3"/>
        <v>Currently Unavailable</v>
      </c>
      <c r="I8587" s="1" t="str">
        <f t="shared" si="4"/>
        <v>No Badges</v>
      </c>
      <c r="J8587" s="3">
        <f t="shared" si="5"/>
        <v>0</v>
      </c>
    </row>
    <row r="8588">
      <c r="A8588" s="1" t="s">
        <v>6560</v>
      </c>
      <c r="B8588" s="3" t="str">
        <f t="shared" si="1"/>
        <v>Unavailable</v>
      </c>
      <c r="C8588" s="3">
        <v>897.0</v>
      </c>
      <c r="D8588" s="3">
        <f>IFERROR(__xludf.DUMMYFUNCTION("IFERROR(
IF(REGEXMATCH(LOWER(O8588),""k""),
VALUE(REGEXEXTRACT(O8588,""[0-9]+""))*1000,
VALUE(REGEXEXTRACT(O8588,""[0-9]+""))
),
0
)"),0.0)</f>
        <v>0</v>
      </c>
      <c r="E8588" s="1" t="s">
        <v>11</v>
      </c>
      <c r="F8588" s="1" t="s">
        <v>20</v>
      </c>
      <c r="G8588" s="4" t="b">
        <f t="shared" si="2"/>
        <v>1</v>
      </c>
      <c r="H8588" s="1" t="str">
        <f t="shared" si="3"/>
        <v>Currently Unavailable</v>
      </c>
      <c r="I8588" s="1" t="str">
        <f t="shared" si="4"/>
        <v>No Badges</v>
      </c>
      <c r="J8588" s="3">
        <f t="shared" si="5"/>
        <v>0</v>
      </c>
    </row>
    <row r="8589">
      <c r="A8589" s="1" t="s">
        <v>6561</v>
      </c>
      <c r="B8589" s="3" t="str">
        <f t="shared" si="1"/>
        <v>Unavailable</v>
      </c>
      <c r="C8589" s="3">
        <v>732.0</v>
      </c>
      <c r="D8589" s="3">
        <f>IFERROR(__xludf.DUMMYFUNCTION("IFERROR(
IF(REGEXMATCH(LOWER(O8589),""k""),
VALUE(REGEXEXTRACT(O8589,""[0-9]+""))*1000,
VALUE(REGEXEXTRACT(O8589,""[0-9]+""))
),
0
)"),0.0)</f>
        <v>0</v>
      </c>
      <c r="E8589" s="1" t="s">
        <v>11</v>
      </c>
      <c r="F8589" s="1" t="s">
        <v>20</v>
      </c>
      <c r="G8589" s="4" t="b">
        <f t="shared" si="2"/>
        <v>1</v>
      </c>
      <c r="H8589" s="1" t="str">
        <f t="shared" si="3"/>
        <v>Currently Unavailable</v>
      </c>
      <c r="I8589" s="1" t="str">
        <f t="shared" si="4"/>
        <v>No Badges</v>
      </c>
      <c r="J8589" s="3">
        <f t="shared" si="5"/>
        <v>0</v>
      </c>
    </row>
    <row r="8590">
      <c r="A8590" s="1" t="s">
        <v>6562</v>
      </c>
      <c r="B8590" s="3" t="str">
        <f t="shared" si="1"/>
        <v>Unavailable</v>
      </c>
      <c r="C8590" s="3">
        <v>1.0</v>
      </c>
      <c r="D8590" s="3">
        <f>IFERROR(__xludf.DUMMYFUNCTION("IFERROR(
IF(REGEXMATCH(LOWER(O8590),""k""),
VALUE(REGEXEXTRACT(O8590,""[0-9]+""))*1000,
VALUE(REGEXEXTRACT(O8590,""[0-9]+""))
),
0
)"),0.0)</f>
        <v>0</v>
      </c>
      <c r="E8590" s="1" t="s">
        <v>11</v>
      </c>
      <c r="F8590" s="1" t="s">
        <v>20</v>
      </c>
      <c r="G8590" s="4" t="b">
        <f t="shared" si="2"/>
        <v>1</v>
      </c>
      <c r="H8590" s="1" t="str">
        <f t="shared" si="3"/>
        <v>Currently Unavailable</v>
      </c>
      <c r="I8590" s="1" t="str">
        <f t="shared" si="4"/>
        <v>No Badges</v>
      </c>
      <c r="J8590" s="3">
        <f t="shared" si="5"/>
        <v>0</v>
      </c>
    </row>
    <row r="8591">
      <c r="A8591" s="1" t="s">
        <v>6563</v>
      </c>
      <c r="B8591" s="3" t="str">
        <f t="shared" si="1"/>
        <v>Unavailable</v>
      </c>
      <c r="C8591" s="5">
        <v>1204.0</v>
      </c>
      <c r="D8591" s="3">
        <f>IFERROR(__xludf.DUMMYFUNCTION("IFERROR(
IF(REGEXMATCH(LOWER(O8591),""k""),
VALUE(REGEXEXTRACT(O8591,""[0-9]+""))*1000,
VALUE(REGEXEXTRACT(O8591,""[0-9]+""))
),
0
)"),0.0)</f>
        <v>0</v>
      </c>
      <c r="E8591" s="1" t="s">
        <v>11</v>
      </c>
      <c r="F8591" s="1" t="s">
        <v>20</v>
      </c>
      <c r="G8591" s="4" t="b">
        <f t="shared" si="2"/>
        <v>1</v>
      </c>
      <c r="H8591" s="1" t="str">
        <f t="shared" si="3"/>
        <v>Currently Unavailable</v>
      </c>
      <c r="I8591" s="1" t="str">
        <f t="shared" si="4"/>
        <v>No Badges</v>
      </c>
      <c r="J8591" s="3">
        <f t="shared" si="5"/>
        <v>0</v>
      </c>
    </row>
    <row r="8592">
      <c r="A8592" s="1" t="s">
        <v>6564</v>
      </c>
      <c r="B8592" s="3" t="str">
        <f t="shared" si="1"/>
        <v>Unavailable</v>
      </c>
      <c r="C8592" s="3">
        <v>197.0</v>
      </c>
      <c r="D8592" s="3">
        <f>IFERROR(__xludf.DUMMYFUNCTION("IFERROR(
IF(REGEXMATCH(LOWER(O8592),""k""),
VALUE(REGEXEXTRACT(O8592,""[0-9]+""))*1000,
VALUE(REGEXEXTRACT(O8592,""[0-9]+""))
),
0
)"),0.0)</f>
        <v>0</v>
      </c>
      <c r="E8592" s="1" t="s">
        <v>11</v>
      </c>
      <c r="F8592" s="1" t="s">
        <v>20</v>
      </c>
      <c r="G8592" s="4" t="b">
        <f t="shared" si="2"/>
        <v>1</v>
      </c>
      <c r="H8592" s="1" t="str">
        <f t="shared" si="3"/>
        <v>Currently Unavailable</v>
      </c>
      <c r="I8592" s="1" t="str">
        <f t="shared" si="4"/>
        <v>No Badges</v>
      </c>
      <c r="J8592" s="3">
        <f t="shared" si="5"/>
        <v>0</v>
      </c>
    </row>
    <row r="8593">
      <c r="A8593" s="1" t="s">
        <v>6565</v>
      </c>
      <c r="B8593" s="3" t="str">
        <f t="shared" si="1"/>
        <v>Unavailable</v>
      </c>
      <c r="C8593" s="5">
        <v>5447.0</v>
      </c>
      <c r="D8593" s="3">
        <f>IFERROR(__xludf.DUMMYFUNCTION("IFERROR(
IF(REGEXMATCH(LOWER(O8593),""k""),
VALUE(REGEXEXTRACT(O8593,""[0-9]+""))*1000,
VALUE(REGEXEXTRACT(O8593,""[0-9]+""))
),
0
)"),0.0)</f>
        <v>0</v>
      </c>
      <c r="E8593" s="1" t="s">
        <v>11</v>
      </c>
      <c r="F8593" s="1" t="s">
        <v>20</v>
      </c>
      <c r="G8593" s="4" t="b">
        <f t="shared" si="2"/>
        <v>1</v>
      </c>
      <c r="H8593" s="1" t="str">
        <f t="shared" si="3"/>
        <v>Currently Unavailable</v>
      </c>
      <c r="I8593" s="1" t="str">
        <f t="shared" si="4"/>
        <v>No Badges</v>
      </c>
      <c r="J8593" s="3">
        <f t="shared" si="5"/>
        <v>0</v>
      </c>
    </row>
    <row r="8594">
      <c r="A8594" s="1" t="s">
        <v>5817</v>
      </c>
      <c r="B8594" s="3" t="str">
        <f t="shared" si="1"/>
        <v>Unavailable</v>
      </c>
      <c r="C8594" s="5">
        <v>7235.0</v>
      </c>
      <c r="D8594" s="3">
        <f>IFERROR(__xludf.DUMMYFUNCTION("IFERROR(
IF(REGEXMATCH(LOWER(O8594),""k""),
VALUE(REGEXEXTRACT(O8594,""[0-9]+""))*1000,
VALUE(REGEXEXTRACT(O8594,""[0-9]+""))
),
0
)"),0.0)</f>
        <v>0</v>
      </c>
      <c r="E8594" s="1" t="s">
        <v>11</v>
      </c>
      <c r="F8594" s="1" t="s">
        <v>12</v>
      </c>
      <c r="G8594" s="4" t="b">
        <f t="shared" si="2"/>
        <v>1</v>
      </c>
      <c r="H8594" s="1" t="str">
        <f t="shared" si="3"/>
        <v>Currently Unavailable</v>
      </c>
      <c r="I8594" s="1" t="str">
        <f t="shared" si="4"/>
        <v>No Badges</v>
      </c>
      <c r="J8594" s="3">
        <f t="shared" si="5"/>
        <v>0</v>
      </c>
    </row>
    <row r="8595">
      <c r="A8595" s="1" t="s">
        <v>6566</v>
      </c>
      <c r="B8595" s="3" t="str">
        <f t="shared" si="1"/>
        <v>Unavailable</v>
      </c>
      <c r="C8595" s="5">
        <v>95192.0</v>
      </c>
      <c r="D8595" s="3">
        <f>IFERROR(__xludf.DUMMYFUNCTION("IFERROR(
IF(REGEXMATCH(LOWER(O8595),""k""),
VALUE(REGEXEXTRACT(O8595,""[0-9]+""))*1000,
VALUE(REGEXEXTRACT(O8595,""[0-9]+""))
),
0
)"),0.0)</f>
        <v>0</v>
      </c>
      <c r="E8595" s="1" t="s">
        <v>11</v>
      </c>
      <c r="F8595" s="1" t="s">
        <v>20</v>
      </c>
      <c r="G8595" s="4" t="b">
        <f t="shared" si="2"/>
        <v>1</v>
      </c>
      <c r="H8595" s="1" t="str">
        <f t="shared" si="3"/>
        <v>Currently Unavailable</v>
      </c>
      <c r="I8595" s="1" t="str">
        <f t="shared" si="4"/>
        <v>No Badges</v>
      </c>
      <c r="J8595" s="3">
        <f t="shared" si="5"/>
        <v>0</v>
      </c>
    </row>
    <row r="8596">
      <c r="A8596" s="1" t="s">
        <v>6567</v>
      </c>
      <c r="B8596" s="3" t="str">
        <f t="shared" si="1"/>
        <v>Unavailable</v>
      </c>
      <c r="C8596" s="3">
        <v>674.0</v>
      </c>
      <c r="D8596" s="3">
        <f>IFERROR(__xludf.DUMMYFUNCTION("IFERROR(
IF(REGEXMATCH(LOWER(O8596),""k""),
VALUE(REGEXEXTRACT(O8596,""[0-9]+""))*1000,
VALUE(REGEXEXTRACT(O8596,""[0-9]+""))
),
0
)"),0.0)</f>
        <v>0</v>
      </c>
      <c r="E8596" s="1" t="s">
        <v>11</v>
      </c>
      <c r="F8596" s="1" t="s">
        <v>20</v>
      </c>
      <c r="G8596" s="4" t="b">
        <f t="shared" si="2"/>
        <v>1</v>
      </c>
      <c r="H8596" s="1" t="str">
        <f t="shared" si="3"/>
        <v>Currently Unavailable</v>
      </c>
      <c r="I8596" s="1" t="str">
        <f t="shared" si="4"/>
        <v>No Badges</v>
      </c>
      <c r="J8596" s="3">
        <f t="shared" si="5"/>
        <v>0</v>
      </c>
    </row>
    <row r="8597">
      <c r="A8597" s="1" t="s">
        <v>5817</v>
      </c>
      <c r="B8597" s="3" t="str">
        <f t="shared" si="1"/>
        <v>Unavailable</v>
      </c>
      <c r="C8597" s="5">
        <v>7235.0</v>
      </c>
      <c r="D8597" s="3">
        <f>IFERROR(__xludf.DUMMYFUNCTION("IFERROR(
IF(REGEXMATCH(LOWER(O8597),""k""),
VALUE(REGEXEXTRACT(O8597,""[0-9]+""))*1000,
VALUE(REGEXEXTRACT(O8597,""[0-9]+""))
),
0
)"),0.0)</f>
        <v>0</v>
      </c>
      <c r="E8597" s="1" t="s">
        <v>11</v>
      </c>
      <c r="F8597" s="1" t="s">
        <v>12</v>
      </c>
      <c r="G8597" s="4" t="b">
        <f t="shared" si="2"/>
        <v>1</v>
      </c>
      <c r="H8597" s="1" t="str">
        <f t="shared" si="3"/>
        <v>Currently Unavailable</v>
      </c>
      <c r="I8597" s="1" t="str">
        <f t="shared" si="4"/>
        <v>No Badges</v>
      </c>
      <c r="J8597" s="3">
        <f t="shared" si="5"/>
        <v>0</v>
      </c>
    </row>
    <row r="8598">
      <c r="A8598" s="1" t="s">
        <v>6568</v>
      </c>
      <c r="B8598" s="3" t="str">
        <f t="shared" si="1"/>
        <v>Unavailable</v>
      </c>
      <c r="C8598" s="3">
        <v>667.0</v>
      </c>
      <c r="D8598" s="3">
        <f>IFERROR(__xludf.DUMMYFUNCTION("IFERROR(
IF(REGEXMATCH(LOWER(O8598),""k""),
VALUE(REGEXEXTRACT(O8598,""[0-9]+""))*1000,
VALUE(REGEXEXTRACT(O8598,""[0-9]+""))
),
0
)"),0.0)</f>
        <v>0</v>
      </c>
      <c r="E8598" s="1" t="s">
        <v>11</v>
      </c>
      <c r="F8598" s="1" t="s">
        <v>20</v>
      </c>
      <c r="G8598" s="4" t="b">
        <f t="shared" si="2"/>
        <v>1</v>
      </c>
      <c r="H8598" s="1" t="str">
        <f t="shared" si="3"/>
        <v>Currently Unavailable</v>
      </c>
      <c r="I8598" s="1" t="str">
        <f t="shared" si="4"/>
        <v>No Badges</v>
      </c>
      <c r="J8598" s="3">
        <f t="shared" si="5"/>
        <v>0</v>
      </c>
    </row>
    <row r="8599">
      <c r="A8599" s="1" t="s">
        <v>6569</v>
      </c>
      <c r="B8599" s="3" t="str">
        <f t="shared" si="1"/>
        <v>Unavailable</v>
      </c>
      <c r="C8599" s="5">
        <v>1339.0</v>
      </c>
      <c r="D8599" s="3">
        <f>IFERROR(__xludf.DUMMYFUNCTION("IFERROR(
IF(REGEXMATCH(LOWER(O8599),""k""),
VALUE(REGEXEXTRACT(O8599,""[0-9]+""))*1000,
VALUE(REGEXEXTRACT(O8599,""[0-9]+""))
),
0
)"),0.0)</f>
        <v>0</v>
      </c>
      <c r="E8599" s="1" t="s">
        <v>11</v>
      </c>
      <c r="F8599" s="1" t="s">
        <v>20</v>
      </c>
      <c r="G8599" s="4" t="b">
        <f t="shared" si="2"/>
        <v>1</v>
      </c>
      <c r="H8599" s="1" t="str">
        <f t="shared" si="3"/>
        <v>Currently Unavailable</v>
      </c>
      <c r="I8599" s="1" t="str">
        <f t="shared" si="4"/>
        <v>No Badges</v>
      </c>
      <c r="J8599" s="3">
        <f t="shared" si="5"/>
        <v>0</v>
      </c>
    </row>
    <row r="8600">
      <c r="A8600" s="1" t="s">
        <v>6570</v>
      </c>
      <c r="B8600" s="3" t="str">
        <f t="shared" si="1"/>
        <v>Unavailable</v>
      </c>
      <c r="C8600" s="3">
        <v>241.0</v>
      </c>
      <c r="D8600" s="3">
        <f>IFERROR(__xludf.DUMMYFUNCTION("IFERROR(
IF(REGEXMATCH(LOWER(O8600),""k""),
VALUE(REGEXEXTRACT(O8600,""[0-9]+""))*1000,
VALUE(REGEXEXTRACT(O8600,""[0-9]+""))
),
0
)"),0.0)</f>
        <v>0</v>
      </c>
      <c r="E8600" s="1" t="s">
        <v>11</v>
      </c>
      <c r="F8600" s="1" t="s">
        <v>20</v>
      </c>
      <c r="G8600" s="4" t="b">
        <f t="shared" si="2"/>
        <v>1</v>
      </c>
      <c r="H8600" s="1" t="str">
        <f t="shared" si="3"/>
        <v>Currently Unavailable</v>
      </c>
      <c r="I8600" s="1" t="str">
        <f t="shared" si="4"/>
        <v>No Badges</v>
      </c>
      <c r="J8600" s="3">
        <f t="shared" si="5"/>
        <v>0</v>
      </c>
    </row>
    <row r="8601">
      <c r="A8601" s="1" t="s">
        <v>6571</v>
      </c>
      <c r="B8601" s="3" t="str">
        <f t="shared" si="1"/>
        <v>Unavailable</v>
      </c>
      <c r="C8601" s="3">
        <v>113.0</v>
      </c>
      <c r="D8601" s="3">
        <f>IFERROR(__xludf.DUMMYFUNCTION("IFERROR(
IF(REGEXMATCH(LOWER(O8601),""k""),
VALUE(REGEXEXTRACT(O8601,""[0-9]+""))*1000,
VALUE(REGEXEXTRACT(O8601,""[0-9]+""))
),
0
)"),0.0)</f>
        <v>0</v>
      </c>
      <c r="E8601" s="1" t="s">
        <v>11</v>
      </c>
      <c r="F8601" s="1" t="s">
        <v>20</v>
      </c>
      <c r="G8601" s="4" t="b">
        <f t="shared" si="2"/>
        <v>1</v>
      </c>
      <c r="H8601" s="1" t="str">
        <f t="shared" si="3"/>
        <v>Currently Unavailable</v>
      </c>
      <c r="I8601" s="1" t="str">
        <f t="shared" si="4"/>
        <v>No Badges</v>
      </c>
      <c r="J8601" s="3">
        <f t="shared" si="5"/>
        <v>0</v>
      </c>
    </row>
    <row r="8602">
      <c r="A8602" s="1" t="s">
        <v>6572</v>
      </c>
      <c r="B8602" s="3" t="str">
        <f t="shared" si="1"/>
        <v>Unavailable</v>
      </c>
      <c r="C8602" s="5">
        <v>2168.0</v>
      </c>
      <c r="D8602" s="3">
        <f>IFERROR(__xludf.DUMMYFUNCTION("IFERROR(
IF(REGEXMATCH(LOWER(O8602),""k""),
VALUE(REGEXEXTRACT(O8602,""[0-9]+""))*1000,
VALUE(REGEXEXTRACT(O8602,""[0-9]+""))
),
0
)"),0.0)</f>
        <v>0</v>
      </c>
      <c r="E8602" s="1" t="s">
        <v>11</v>
      </c>
      <c r="F8602" s="1" t="s">
        <v>20</v>
      </c>
      <c r="G8602" s="4" t="b">
        <f t="shared" si="2"/>
        <v>1</v>
      </c>
      <c r="H8602" s="1" t="str">
        <f t="shared" si="3"/>
        <v>Currently Unavailable</v>
      </c>
      <c r="I8602" s="1" t="str">
        <f t="shared" si="4"/>
        <v>No Badges</v>
      </c>
      <c r="J8602" s="3">
        <f t="shared" si="5"/>
        <v>0</v>
      </c>
    </row>
    <row r="8603">
      <c r="A8603" s="1" t="s">
        <v>5817</v>
      </c>
      <c r="B8603" s="3" t="str">
        <f t="shared" si="1"/>
        <v>Unavailable</v>
      </c>
      <c r="C8603" s="5">
        <v>7235.0</v>
      </c>
      <c r="D8603" s="3">
        <f>IFERROR(__xludf.DUMMYFUNCTION("IFERROR(
IF(REGEXMATCH(LOWER(O8603),""k""),
VALUE(REGEXEXTRACT(O8603,""[0-9]+""))*1000,
VALUE(REGEXEXTRACT(O8603,""[0-9]+""))
),
0
)"),0.0)</f>
        <v>0</v>
      </c>
      <c r="E8603" s="1" t="s">
        <v>11</v>
      </c>
      <c r="F8603" s="1" t="s">
        <v>12</v>
      </c>
      <c r="G8603" s="4" t="b">
        <f t="shared" si="2"/>
        <v>1</v>
      </c>
      <c r="H8603" s="1" t="str">
        <f t="shared" si="3"/>
        <v>Currently Unavailable</v>
      </c>
      <c r="I8603" s="1" t="str">
        <f t="shared" si="4"/>
        <v>No Badges</v>
      </c>
      <c r="J8603" s="3">
        <f t="shared" si="5"/>
        <v>0</v>
      </c>
    </row>
    <row r="8604">
      <c r="A8604" s="1" t="s">
        <v>6573</v>
      </c>
      <c r="B8604" s="3" t="str">
        <f t="shared" si="1"/>
        <v>Unavailable</v>
      </c>
      <c r="C8604" s="5">
        <v>13922.0</v>
      </c>
      <c r="D8604" s="3">
        <f>IFERROR(__xludf.DUMMYFUNCTION("IFERROR(
IF(REGEXMATCH(LOWER(O8604),""k""),
VALUE(REGEXEXTRACT(O8604,""[0-9]+""))*1000,
VALUE(REGEXEXTRACT(O8604,""[0-9]+""))
),
0
)"),0.0)</f>
        <v>0</v>
      </c>
      <c r="E8604" s="1" t="s">
        <v>11</v>
      </c>
      <c r="F8604" s="1" t="s">
        <v>20</v>
      </c>
      <c r="G8604" s="4" t="b">
        <f t="shared" si="2"/>
        <v>1</v>
      </c>
      <c r="H8604" s="1" t="str">
        <f t="shared" si="3"/>
        <v>Currently Unavailable</v>
      </c>
      <c r="I8604" s="1" t="str">
        <f t="shared" si="4"/>
        <v>No Badges</v>
      </c>
      <c r="J8604" s="3">
        <f t="shared" si="5"/>
        <v>0</v>
      </c>
    </row>
    <row r="8605">
      <c r="A8605" s="1" t="s">
        <v>6574</v>
      </c>
      <c r="B8605" s="3" t="str">
        <f t="shared" si="1"/>
        <v>Unavailable</v>
      </c>
      <c r="C8605" s="5">
        <v>4770.0</v>
      </c>
      <c r="D8605" s="3">
        <f>IFERROR(__xludf.DUMMYFUNCTION("IFERROR(
IF(REGEXMATCH(LOWER(O8605),""k""),
VALUE(REGEXEXTRACT(O8605,""[0-9]+""))*1000,
VALUE(REGEXEXTRACT(O8605,""[0-9]+""))
),
0
)"),0.0)</f>
        <v>0</v>
      </c>
      <c r="E8605" s="1" t="s">
        <v>11</v>
      </c>
      <c r="F8605" s="1" t="s">
        <v>20</v>
      </c>
      <c r="G8605" s="4" t="b">
        <f t="shared" si="2"/>
        <v>1</v>
      </c>
      <c r="H8605" s="1" t="str">
        <f t="shared" si="3"/>
        <v>Currently Unavailable</v>
      </c>
      <c r="I8605" s="1" t="str">
        <f t="shared" si="4"/>
        <v>No Badges</v>
      </c>
      <c r="J8605" s="3">
        <f t="shared" si="5"/>
        <v>0</v>
      </c>
    </row>
    <row r="8606">
      <c r="A8606" s="1" t="s">
        <v>6575</v>
      </c>
      <c r="B8606" s="3" t="str">
        <f t="shared" si="1"/>
        <v>Unavailable</v>
      </c>
      <c r="C8606" s="3">
        <v>577.0</v>
      </c>
      <c r="D8606" s="3">
        <f>IFERROR(__xludf.DUMMYFUNCTION("IFERROR(
IF(REGEXMATCH(LOWER(O8606),""k""),
VALUE(REGEXEXTRACT(O8606,""[0-9]+""))*1000,
VALUE(REGEXEXTRACT(O8606,""[0-9]+""))
),
0
)"),0.0)</f>
        <v>0</v>
      </c>
      <c r="E8606" s="1" t="s">
        <v>11</v>
      </c>
      <c r="F8606" s="1" t="s">
        <v>20</v>
      </c>
      <c r="G8606" s="4" t="b">
        <f t="shared" si="2"/>
        <v>1</v>
      </c>
      <c r="H8606" s="1" t="str">
        <f t="shared" si="3"/>
        <v>Currently Unavailable</v>
      </c>
      <c r="I8606" s="1" t="str">
        <f t="shared" si="4"/>
        <v>No Badges</v>
      </c>
      <c r="J8606" s="3">
        <f t="shared" si="5"/>
        <v>0</v>
      </c>
    </row>
    <row r="8607">
      <c r="A8607" s="1" t="s">
        <v>5817</v>
      </c>
      <c r="B8607" s="3" t="str">
        <f t="shared" si="1"/>
        <v>Unavailable</v>
      </c>
      <c r="C8607" s="5">
        <v>7235.0</v>
      </c>
      <c r="D8607" s="3">
        <f>IFERROR(__xludf.DUMMYFUNCTION("IFERROR(
IF(REGEXMATCH(LOWER(O8607),""k""),
VALUE(REGEXEXTRACT(O8607,""[0-9]+""))*1000,
VALUE(REGEXEXTRACT(O8607,""[0-9]+""))
),
0
)"),0.0)</f>
        <v>0</v>
      </c>
      <c r="E8607" s="1" t="s">
        <v>11</v>
      </c>
      <c r="F8607" s="1" t="s">
        <v>12</v>
      </c>
      <c r="G8607" s="4" t="b">
        <f t="shared" si="2"/>
        <v>1</v>
      </c>
      <c r="H8607" s="1" t="str">
        <f t="shared" si="3"/>
        <v>Currently Unavailable</v>
      </c>
      <c r="I8607" s="1" t="str">
        <f t="shared" si="4"/>
        <v>No Badges</v>
      </c>
      <c r="J8607" s="3">
        <f t="shared" si="5"/>
        <v>0</v>
      </c>
    </row>
    <row r="8608">
      <c r="A8608" s="1" t="s">
        <v>6576</v>
      </c>
      <c r="B8608" s="3" t="str">
        <f t="shared" si="1"/>
        <v>Unavailable</v>
      </c>
      <c r="C8608" s="3">
        <v>819.0</v>
      </c>
      <c r="D8608" s="3">
        <f>IFERROR(__xludf.DUMMYFUNCTION("IFERROR(
IF(REGEXMATCH(LOWER(O8608),""k""),
VALUE(REGEXEXTRACT(O8608,""[0-9]+""))*1000,
VALUE(REGEXEXTRACT(O8608,""[0-9]+""))
),
0
)"),0.0)</f>
        <v>0</v>
      </c>
      <c r="E8608" s="1" t="s">
        <v>11</v>
      </c>
      <c r="F8608" s="1" t="s">
        <v>20</v>
      </c>
      <c r="G8608" s="4" t="b">
        <f t="shared" si="2"/>
        <v>1</v>
      </c>
      <c r="H8608" s="1" t="str">
        <f t="shared" si="3"/>
        <v>Currently Unavailable</v>
      </c>
      <c r="I8608" s="1" t="str">
        <f t="shared" si="4"/>
        <v>No Badges</v>
      </c>
      <c r="J8608" s="3">
        <f t="shared" si="5"/>
        <v>0</v>
      </c>
    </row>
    <row r="8609">
      <c r="A8609" s="1" t="s">
        <v>6577</v>
      </c>
      <c r="B8609" s="3" t="str">
        <f t="shared" si="1"/>
        <v>Unavailable</v>
      </c>
      <c r="C8609" s="3">
        <v>83.0</v>
      </c>
      <c r="D8609" s="3">
        <f>IFERROR(__xludf.DUMMYFUNCTION("IFERROR(
IF(REGEXMATCH(LOWER(O8609),""k""),
VALUE(REGEXEXTRACT(O8609,""[0-9]+""))*1000,
VALUE(REGEXEXTRACT(O8609,""[0-9]+""))
),
0
)"),0.0)</f>
        <v>0</v>
      </c>
      <c r="E8609" s="1" t="s">
        <v>11</v>
      </c>
      <c r="F8609" s="1" t="s">
        <v>20</v>
      </c>
      <c r="G8609" s="4" t="b">
        <f t="shared" si="2"/>
        <v>1</v>
      </c>
      <c r="H8609" s="1" t="str">
        <f t="shared" si="3"/>
        <v>Currently Unavailable</v>
      </c>
      <c r="I8609" s="1" t="str">
        <f t="shared" si="4"/>
        <v>No Badges</v>
      </c>
      <c r="J8609" s="3">
        <f t="shared" si="5"/>
        <v>0</v>
      </c>
    </row>
    <row r="8610">
      <c r="A8610" s="1" t="s">
        <v>6578</v>
      </c>
      <c r="B8610" s="3" t="str">
        <f t="shared" si="1"/>
        <v>Unavailable</v>
      </c>
      <c r="C8610" s="3">
        <v>855.0</v>
      </c>
      <c r="D8610" s="3">
        <f>IFERROR(__xludf.DUMMYFUNCTION("IFERROR(
IF(REGEXMATCH(LOWER(O8610),""k""),
VALUE(REGEXEXTRACT(O8610,""[0-9]+""))*1000,
VALUE(REGEXEXTRACT(O8610,""[0-9]+""))
),
0
)"),0.0)</f>
        <v>0</v>
      </c>
      <c r="E8610" s="1" t="s">
        <v>11</v>
      </c>
      <c r="F8610" s="1" t="s">
        <v>20</v>
      </c>
      <c r="G8610" s="4" t="b">
        <f t="shared" si="2"/>
        <v>1</v>
      </c>
      <c r="H8610" s="1" t="str">
        <f t="shared" si="3"/>
        <v>Currently Unavailable</v>
      </c>
      <c r="I8610" s="1" t="str">
        <f t="shared" si="4"/>
        <v>No Badges</v>
      </c>
      <c r="J8610" s="3">
        <f t="shared" si="5"/>
        <v>0</v>
      </c>
    </row>
    <row r="8611">
      <c r="A8611" s="1" t="s">
        <v>6579</v>
      </c>
      <c r="B8611" s="3" t="str">
        <f t="shared" si="1"/>
        <v>Unavailable</v>
      </c>
      <c r="C8611" s="5">
        <v>1446.0</v>
      </c>
      <c r="D8611" s="3">
        <f>IFERROR(__xludf.DUMMYFUNCTION("IFERROR(
IF(REGEXMATCH(LOWER(O8611),""k""),
VALUE(REGEXEXTRACT(O8611,""[0-9]+""))*1000,
VALUE(REGEXEXTRACT(O8611,""[0-9]+""))
),
0
)"),0.0)</f>
        <v>0</v>
      </c>
      <c r="E8611" s="1" t="s">
        <v>11</v>
      </c>
      <c r="F8611" s="1" t="s">
        <v>20</v>
      </c>
      <c r="G8611" s="4" t="b">
        <f t="shared" si="2"/>
        <v>1</v>
      </c>
      <c r="H8611" s="1" t="str">
        <f t="shared" si="3"/>
        <v>Currently Unavailable</v>
      </c>
      <c r="I8611" s="1" t="str">
        <f t="shared" si="4"/>
        <v>No Badges</v>
      </c>
      <c r="J8611" s="3">
        <f t="shared" si="5"/>
        <v>0</v>
      </c>
    </row>
    <row r="8612">
      <c r="A8612" s="1" t="s">
        <v>6580</v>
      </c>
      <c r="B8612" s="3" t="str">
        <f t="shared" si="1"/>
        <v>Unavailable</v>
      </c>
      <c r="C8612" s="5">
        <v>6908.0</v>
      </c>
      <c r="D8612" s="3">
        <f>IFERROR(__xludf.DUMMYFUNCTION("IFERROR(
IF(REGEXMATCH(LOWER(O8612),""k""),
VALUE(REGEXEXTRACT(O8612,""[0-9]+""))*1000,
VALUE(REGEXEXTRACT(O8612,""[0-9]+""))
),
0
)"),0.0)</f>
        <v>0</v>
      </c>
      <c r="E8612" s="1" t="s">
        <v>11</v>
      </c>
      <c r="F8612" s="1" t="s">
        <v>20</v>
      </c>
      <c r="G8612" s="4" t="b">
        <f t="shared" si="2"/>
        <v>1</v>
      </c>
      <c r="H8612" s="1" t="str">
        <f t="shared" si="3"/>
        <v>Currently Unavailable</v>
      </c>
      <c r="I8612" s="1" t="str">
        <f t="shared" si="4"/>
        <v>No Badges</v>
      </c>
      <c r="J8612" s="3">
        <f t="shared" si="5"/>
        <v>0</v>
      </c>
    </row>
    <row r="8613">
      <c r="A8613" s="1" t="s">
        <v>6581</v>
      </c>
      <c r="B8613" s="3" t="str">
        <f t="shared" si="1"/>
        <v>Unavailable</v>
      </c>
      <c r="C8613" s="5">
        <v>12533.0</v>
      </c>
      <c r="D8613" s="3">
        <f>IFERROR(__xludf.DUMMYFUNCTION("IFERROR(
IF(REGEXMATCH(LOWER(O8613),""k""),
VALUE(REGEXEXTRACT(O8613,""[0-9]+""))*1000,
VALUE(REGEXEXTRACT(O8613,""[0-9]+""))
),
0
)"),0.0)</f>
        <v>0</v>
      </c>
      <c r="E8613" s="1" t="s">
        <v>11</v>
      </c>
      <c r="F8613" s="1" t="s">
        <v>20</v>
      </c>
      <c r="G8613" s="4" t="b">
        <f t="shared" si="2"/>
        <v>1</v>
      </c>
      <c r="H8613" s="1" t="str">
        <f t="shared" si="3"/>
        <v>Currently Unavailable</v>
      </c>
      <c r="I8613" s="1" t="str">
        <f t="shared" si="4"/>
        <v>No Badges</v>
      </c>
      <c r="J8613" s="3">
        <f t="shared" si="5"/>
        <v>0</v>
      </c>
    </row>
    <row r="8614">
      <c r="A8614" s="1" t="s">
        <v>6582</v>
      </c>
      <c r="B8614" s="3" t="str">
        <f t="shared" si="1"/>
        <v>Unavailable</v>
      </c>
      <c r="C8614" s="3">
        <v>203.0</v>
      </c>
      <c r="D8614" s="3">
        <f>IFERROR(__xludf.DUMMYFUNCTION("IFERROR(
IF(REGEXMATCH(LOWER(O8614),""k""),
VALUE(REGEXEXTRACT(O8614,""[0-9]+""))*1000,
VALUE(REGEXEXTRACT(O8614,""[0-9]+""))
),
0
)"),0.0)</f>
        <v>0</v>
      </c>
      <c r="E8614" s="1" t="s">
        <v>11</v>
      </c>
      <c r="F8614" s="1" t="s">
        <v>20</v>
      </c>
      <c r="G8614" s="4" t="b">
        <f t="shared" si="2"/>
        <v>1</v>
      </c>
      <c r="H8614" s="1" t="str">
        <f t="shared" si="3"/>
        <v>Currently Unavailable</v>
      </c>
      <c r="I8614" s="1" t="str">
        <f t="shared" si="4"/>
        <v>No Badges</v>
      </c>
      <c r="J8614" s="3">
        <f t="shared" si="5"/>
        <v>0</v>
      </c>
    </row>
    <row r="8615">
      <c r="A8615" s="1" t="s">
        <v>5817</v>
      </c>
      <c r="B8615" s="3" t="str">
        <f t="shared" si="1"/>
        <v>Unavailable</v>
      </c>
      <c r="C8615" s="5">
        <v>7235.0</v>
      </c>
      <c r="D8615" s="3">
        <f>IFERROR(__xludf.DUMMYFUNCTION("IFERROR(
IF(REGEXMATCH(LOWER(O8615),""k""),
VALUE(REGEXEXTRACT(O8615,""[0-9]+""))*1000,
VALUE(REGEXEXTRACT(O8615,""[0-9]+""))
),
0
)"),0.0)</f>
        <v>0</v>
      </c>
      <c r="E8615" s="1" t="s">
        <v>11</v>
      </c>
      <c r="F8615" s="1" t="s">
        <v>12</v>
      </c>
      <c r="G8615" s="4" t="b">
        <f t="shared" si="2"/>
        <v>1</v>
      </c>
      <c r="H8615" s="1" t="str">
        <f t="shared" si="3"/>
        <v>Currently Unavailable</v>
      </c>
      <c r="I8615" s="1" t="str">
        <f t="shared" si="4"/>
        <v>No Badges</v>
      </c>
      <c r="J8615" s="3">
        <f t="shared" si="5"/>
        <v>0</v>
      </c>
    </row>
    <row r="8616">
      <c r="A8616" s="1" t="s">
        <v>6583</v>
      </c>
      <c r="B8616" s="3" t="str">
        <f t="shared" si="1"/>
        <v>Unavailable</v>
      </c>
      <c r="C8616" s="3">
        <v>489.0</v>
      </c>
      <c r="D8616" s="3">
        <f>IFERROR(__xludf.DUMMYFUNCTION("IFERROR(
IF(REGEXMATCH(LOWER(O8616),""k""),
VALUE(REGEXEXTRACT(O8616,""[0-9]+""))*1000,
VALUE(REGEXEXTRACT(O8616,""[0-9]+""))
),
0
)"),0.0)</f>
        <v>0</v>
      </c>
      <c r="E8616" s="1" t="s">
        <v>11</v>
      </c>
      <c r="F8616" s="1" t="s">
        <v>20</v>
      </c>
      <c r="G8616" s="4" t="b">
        <f t="shared" si="2"/>
        <v>1</v>
      </c>
      <c r="H8616" s="1" t="str">
        <f t="shared" si="3"/>
        <v>Currently Unavailable</v>
      </c>
      <c r="I8616" s="1" t="str">
        <f t="shared" si="4"/>
        <v>No Badges</v>
      </c>
      <c r="J8616" s="3">
        <f t="shared" si="5"/>
        <v>0</v>
      </c>
    </row>
    <row r="8617">
      <c r="A8617" s="1" t="s">
        <v>6584</v>
      </c>
      <c r="B8617" s="3" t="str">
        <f t="shared" si="1"/>
        <v>Unavailable</v>
      </c>
      <c r="C8617" s="5">
        <v>1801.0</v>
      </c>
      <c r="D8617" s="3">
        <f>IFERROR(__xludf.DUMMYFUNCTION("IFERROR(
IF(REGEXMATCH(LOWER(O8617),""k""),
VALUE(REGEXEXTRACT(O8617,""[0-9]+""))*1000,
VALUE(REGEXEXTRACT(O8617,""[0-9]+""))
),
0
)"),0.0)</f>
        <v>0</v>
      </c>
      <c r="E8617" s="1" t="s">
        <v>11</v>
      </c>
      <c r="F8617" s="1" t="s">
        <v>20</v>
      </c>
      <c r="G8617" s="4" t="b">
        <f t="shared" si="2"/>
        <v>1</v>
      </c>
      <c r="H8617" s="1" t="str">
        <f t="shared" si="3"/>
        <v>Currently Unavailable</v>
      </c>
      <c r="I8617" s="1" t="str">
        <f t="shared" si="4"/>
        <v>No Badges</v>
      </c>
      <c r="J8617" s="3">
        <f t="shared" si="5"/>
        <v>0</v>
      </c>
    </row>
    <row r="8618">
      <c r="A8618" s="1" t="s">
        <v>6585</v>
      </c>
      <c r="B8618" s="3" t="str">
        <f t="shared" si="1"/>
        <v>Unavailable</v>
      </c>
      <c r="C8618" s="3">
        <v>839.0</v>
      </c>
      <c r="D8618" s="3">
        <f>IFERROR(__xludf.DUMMYFUNCTION("IFERROR(
IF(REGEXMATCH(LOWER(O8618),""k""),
VALUE(REGEXEXTRACT(O8618,""[0-9]+""))*1000,
VALUE(REGEXEXTRACT(O8618,""[0-9]+""))
),
0
)"),0.0)</f>
        <v>0</v>
      </c>
      <c r="E8618" s="1" t="s">
        <v>11</v>
      </c>
      <c r="F8618" s="1" t="s">
        <v>20</v>
      </c>
      <c r="G8618" s="4" t="b">
        <f t="shared" si="2"/>
        <v>1</v>
      </c>
      <c r="H8618" s="1" t="str">
        <f t="shared" si="3"/>
        <v>Currently Unavailable</v>
      </c>
      <c r="I8618" s="1" t="str">
        <f t="shared" si="4"/>
        <v>No Badges</v>
      </c>
      <c r="J8618" s="3">
        <f t="shared" si="5"/>
        <v>0</v>
      </c>
    </row>
    <row r="8619">
      <c r="A8619" s="1" t="s">
        <v>6586</v>
      </c>
      <c r="B8619" s="3" t="str">
        <f t="shared" si="1"/>
        <v>Unavailable</v>
      </c>
      <c r="C8619" s="3">
        <v>536.0</v>
      </c>
      <c r="D8619" s="3">
        <f>IFERROR(__xludf.DUMMYFUNCTION("IFERROR(
IF(REGEXMATCH(LOWER(O8619),""k""),
VALUE(REGEXEXTRACT(O8619,""[0-9]+""))*1000,
VALUE(REGEXEXTRACT(O8619,""[0-9]+""))
),
0
)"),0.0)</f>
        <v>0</v>
      </c>
      <c r="E8619" s="1" t="s">
        <v>11</v>
      </c>
      <c r="F8619" s="1" t="s">
        <v>20</v>
      </c>
      <c r="G8619" s="4" t="b">
        <f t="shared" si="2"/>
        <v>1</v>
      </c>
      <c r="H8619" s="1" t="str">
        <f t="shared" si="3"/>
        <v>Currently Unavailable</v>
      </c>
      <c r="I8619" s="1" t="str">
        <f t="shared" si="4"/>
        <v>No Badges</v>
      </c>
      <c r="J8619" s="3">
        <f t="shared" si="5"/>
        <v>0</v>
      </c>
    </row>
    <row r="8620">
      <c r="A8620" s="1" t="s">
        <v>6587</v>
      </c>
      <c r="B8620" s="3" t="str">
        <f t="shared" si="1"/>
        <v>Unavailable</v>
      </c>
      <c r="C8620" s="3">
        <v>240.0</v>
      </c>
      <c r="D8620" s="3">
        <f>IFERROR(__xludf.DUMMYFUNCTION("IFERROR(
IF(REGEXMATCH(LOWER(O8620),""k""),
VALUE(REGEXEXTRACT(O8620,""[0-9]+""))*1000,
VALUE(REGEXEXTRACT(O8620,""[0-9]+""))
),
0
)"),0.0)</f>
        <v>0</v>
      </c>
      <c r="E8620" s="1" t="s">
        <v>11</v>
      </c>
      <c r="F8620" s="1" t="s">
        <v>20</v>
      </c>
      <c r="G8620" s="4" t="b">
        <f t="shared" si="2"/>
        <v>1</v>
      </c>
      <c r="H8620" s="1" t="str">
        <f t="shared" si="3"/>
        <v>Currently Unavailable</v>
      </c>
      <c r="I8620" s="1" t="str">
        <f t="shared" si="4"/>
        <v>No Badges</v>
      </c>
      <c r="J8620" s="3">
        <f t="shared" si="5"/>
        <v>0</v>
      </c>
    </row>
    <row r="8621">
      <c r="A8621" s="1" t="s">
        <v>6588</v>
      </c>
      <c r="B8621" s="3" t="str">
        <f t="shared" si="1"/>
        <v>Unavailable</v>
      </c>
      <c r="C8621" s="5">
        <v>3034.0</v>
      </c>
      <c r="D8621" s="3">
        <f>IFERROR(__xludf.DUMMYFUNCTION("IFERROR(
IF(REGEXMATCH(LOWER(O8621),""k""),
VALUE(REGEXEXTRACT(O8621,""[0-9]+""))*1000,
VALUE(REGEXEXTRACT(O8621,""[0-9]+""))
),
0
)"),0.0)</f>
        <v>0</v>
      </c>
      <c r="E8621" s="1" t="s">
        <v>11</v>
      </c>
      <c r="F8621" s="1" t="s">
        <v>20</v>
      </c>
      <c r="G8621" s="4" t="b">
        <f t="shared" si="2"/>
        <v>1</v>
      </c>
      <c r="H8621" s="1" t="str">
        <f t="shared" si="3"/>
        <v>Currently Unavailable</v>
      </c>
      <c r="I8621" s="1" t="str">
        <f t="shared" si="4"/>
        <v>No Badges</v>
      </c>
      <c r="J8621" s="3">
        <f t="shared" si="5"/>
        <v>0</v>
      </c>
    </row>
    <row r="8622">
      <c r="A8622" s="1" t="s">
        <v>6589</v>
      </c>
      <c r="B8622" s="3" t="str">
        <f t="shared" si="1"/>
        <v>Unavailable</v>
      </c>
      <c r="C8622" s="5">
        <v>1027.0</v>
      </c>
      <c r="D8622" s="3">
        <f>IFERROR(__xludf.DUMMYFUNCTION("IFERROR(
IF(REGEXMATCH(LOWER(O8622),""k""),
VALUE(REGEXEXTRACT(O8622,""[0-9]+""))*1000,
VALUE(REGEXEXTRACT(O8622,""[0-9]+""))
),
0
)"),0.0)</f>
        <v>0</v>
      </c>
      <c r="E8622" s="1" t="s">
        <v>11</v>
      </c>
      <c r="F8622" s="1" t="s">
        <v>20</v>
      </c>
      <c r="G8622" s="4" t="b">
        <f t="shared" si="2"/>
        <v>1</v>
      </c>
      <c r="H8622" s="1" t="str">
        <f t="shared" si="3"/>
        <v>Currently Unavailable</v>
      </c>
      <c r="I8622" s="1" t="str">
        <f t="shared" si="4"/>
        <v>No Badges</v>
      </c>
      <c r="J8622" s="3">
        <f t="shared" si="5"/>
        <v>0</v>
      </c>
    </row>
    <row r="8623">
      <c r="A8623" s="1" t="s">
        <v>6590</v>
      </c>
      <c r="B8623" s="3" t="str">
        <f t="shared" si="1"/>
        <v>Unavailable</v>
      </c>
      <c r="C8623" s="3">
        <v>421.0</v>
      </c>
      <c r="D8623" s="3">
        <f>IFERROR(__xludf.DUMMYFUNCTION("IFERROR(
IF(REGEXMATCH(LOWER(O8623),""k""),
VALUE(REGEXEXTRACT(O8623,""[0-9]+""))*1000,
VALUE(REGEXEXTRACT(O8623,""[0-9]+""))
),
0
)"),0.0)</f>
        <v>0</v>
      </c>
      <c r="E8623" s="1" t="s">
        <v>11</v>
      </c>
      <c r="F8623" s="1" t="s">
        <v>20</v>
      </c>
      <c r="G8623" s="4" t="b">
        <f t="shared" si="2"/>
        <v>1</v>
      </c>
      <c r="H8623" s="1" t="str">
        <f t="shared" si="3"/>
        <v>Currently Unavailable</v>
      </c>
      <c r="I8623" s="1" t="str">
        <f t="shared" si="4"/>
        <v>No Badges</v>
      </c>
      <c r="J8623" s="3">
        <f t="shared" si="5"/>
        <v>0</v>
      </c>
    </row>
    <row r="8624">
      <c r="A8624" s="1" t="s">
        <v>6591</v>
      </c>
      <c r="B8624" s="3" t="str">
        <f t="shared" si="1"/>
        <v>Unavailable</v>
      </c>
      <c r="C8624" s="5">
        <v>16475.0</v>
      </c>
      <c r="D8624" s="3">
        <f>IFERROR(__xludf.DUMMYFUNCTION("IFERROR(
IF(REGEXMATCH(LOWER(O8624),""k""),
VALUE(REGEXEXTRACT(O8624,""[0-9]+""))*1000,
VALUE(REGEXEXTRACT(O8624,""[0-9]+""))
),
0
)"),0.0)</f>
        <v>0</v>
      </c>
      <c r="E8624" s="1" t="s">
        <v>11</v>
      </c>
      <c r="F8624" s="1" t="s">
        <v>20</v>
      </c>
      <c r="G8624" s="4" t="b">
        <f t="shared" si="2"/>
        <v>1</v>
      </c>
      <c r="H8624" s="1" t="str">
        <f t="shared" si="3"/>
        <v>Currently Unavailable</v>
      </c>
      <c r="I8624" s="1" t="str">
        <f t="shared" si="4"/>
        <v>No Badges</v>
      </c>
      <c r="J8624" s="3">
        <f t="shared" si="5"/>
        <v>0</v>
      </c>
    </row>
    <row r="8625">
      <c r="A8625" s="1" t="s">
        <v>6592</v>
      </c>
      <c r="B8625" s="3" t="str">
        <f t="shared" si="1"/>
        <v>Unavailable</v>
      </c>
      <c r="C8625" s="5">
        <v>17988.0</v>
      </c>
      <c r="D8625" s="3">
        <f>IFERROR(__xludf.DUMMYFUNCTION("IFERROR(
IF(REGEXMATCH(LOWER(O8625),""k""),
VALUE(REGEXEXTRACT(O8625,""[0-9]+""))*1000,
VALUE(REGEXEXTRACT(O8625,""[0-9]+""))
),
0
)"),0.0)</f>
        <v>0</v>
      </c>
      <c r="E8625" s="1" t="s">
        <v>11</v>
      </c>
      <c r="F8625" s="1" t="s">
        <v>20</v>
      </c>
      <c r="G8625" s="4" t="b">
        <f t="shared" si="2"/>
        <v>1</v>
      </c>
      <c r="H8625" s="1" t="str">
        <f t="shared" si="3"/>
        <v>Currently Unavailable</v>
      </c>
      <c r="I8625" s="1" t="str">
        <f t="shared" si="4"/>
        <v>No Badges</v>
      </c>
      <c r="J8625" s="3">
        <f t="shared" si="5"/>
        <v>0</v>
      </c>
    </row>
    <row r="8626">
      <c r="A8626" s="1" t="s">
        <v>6593</v>
      </c>
      <c r="B8626" s="3" t="str">
        <f t="shared" si="1"/>
        <v>Unavailable</v>
      </c>
      <c r="C8626" s="3">
        <v>253.0</v>
      </c>
      <c r="D8626" s="3">
        <f>IFERROR(__xludf.DUMMYFUNCTION("IFERROR(
IF(REGEXMATCH(LOWER(O8626),""k""),
VALUE(REGEXEXTRACT(O8626,""[0-9]+""))*1000,
VALUE(REGEXEXTRACT(O8626,""[0-9]+""))
),
0
)"),0.0)</f>
        <v>0</v>
      </c>
      <c r="E8626" s="1" t="s">
        <v>11</v>
      </c>
      <c r="F8626" s="1" t="s">
        <v>20</v>
      </c>
      <c r="G8626" s="4" t="b">
        <f t="shared" si="2"/>
        <v>1</v>
      </c>
      <c r="H8626" s="1" t="str">
        <f t="shared" si="3"/>
        <v>Currently Unavailable</v>
      </c>
      <c r="I8626" s="1" t="str">
        <f t="shared" si="4"/>
        <v>No Badges</v>
      </c>
      <c r="J8626" s="3">
        <f t="shared" si="5"/>
        <v>0</v>
      </c>
    </row>
    <row r="8627">
      <c r="A8627" s="1" t="s">
        <v>5817</v>
      </c>
      <c r="B8627" s="3" t="str">
        <f t="shared" si="1"/>
        <v>Unavailable</v>
      </c>
      <c r="C8627" s="5">
        <v>7235.0</v>
      </c>
      <c r="D8627" s="3">
        <f>IFERROR(__xludf.DUMMYFUNCTION("IFERROR(
IF(REGEXMATCH(LOWER(O8627),""k""),
VALUE(REGEXEXTRACT(O8627,""[0-9]+""))*1000,
VALUE(REGEXEXTRACT(O8627,""[0-9]+""))
),
0
)"),0.0)</f>
        <v>0</v>
      </c>
      <c r="E8627" s="1" t="s">
        <v>11</v>
      </c>
      <c r="F8627" s="1" t="s">
        <v>12</v>
      </c>
      <c r="G8627" s="4" t="b">
        <f t="shared" si="2"/>
        <v>1</v>
      </c>
      <c r="H8627" s="1" t="str">
        <f t="shared" si="3"/>
        <v>Currently Unavailable</v>
      </c>
      <c r="I8627" s="1" t="str">
        <f t="shared" si="4"/>
        <v>No Badges</v>
      </c>
      <c r="J8627" s="3">
        <f t="shared" si="5"/>
        <v>0</v>
      </c>
    </row>
    <row r="8628">
      <c r="A8628" s="1" t="s">
        <v>6594</v>
      </c>
      <c r="B8628" s="3" t="str">
        <f t="shared" si="1"/>
        <v>Unavailable</v>
      </c>
      <c r="C8628" s="5">
        <v>1124.0</v>
      </c>
      <c r="D8628" s="3">
        <f>IFERROR(__xludf.DUMMYFUNCTION("IFERROR(
IF(REGEXMATCH(LOWER(O8628),""k""),
VALUE(REGEXEXTRACT(O8628,""[0-9]+""))*1000,
VALUE(REGEXEXTRACT(O8628,""[0-9]+""))
),
0
)"),0.0)</f>
        <v>0</v>
      </c>
      <c r="E8628" s="1" t="s">
        <v>11</v>
      </c>
      <c r="F8628" s="1" t="s">
        <v>20</v>
      </c>
      <c r="G8628" s="4" t="b">
        <f t="shared" si="2"/>
        <v>1</v>
      </c>
      <c r="H8628" s="1" t="str">
        <f t="shared" si="3"/>
        <v>Currently Unavailable</v>
      </c>
      <c r="I8628" s="1" t="str">
        <f t="shared" si="4"/>
        <v>No Badges</v>
      </c>
      <c r="J8628" s="3">
        <f t="shared" si="5"/>
        <v>0</v>
      </c>
    </row>
    <row r="8629">
      <c r="A8629" s="1" t="s">
        <v>6595</v>
      </c>
      <c r="B8629" s="3" t="str">
        <f t="shared" si="1"/>
        <v>Unavailable</v>
      </c>
      <c r="C8629" s="3">
        <v>989.0</v>
      </c>
      <c r="D8629" s="3">
        <f>IFERROR(__xludf.DUMMYFUNCTION("IFERROR(
IF(REGEXMATCH(LOWER(O8629),""k""),
VALUE(REGEXEXTRACT(O8629,""[0-9]+""))*1000,
VALUE(REGEXEXTRACT(O8629,""[0-9]+""))
),
0
)"),0.0)</f>
        <v>0</v>
      </c>
      <c r="E8629" s="1" t="s">
        <v>11</v>
      </c>
      <c r="F8629" s="1" t="s">
        <v>20</v>
      </c>
      <c r="G8629" s="4" t="b">
        <f t="shared" si="2"/>
        <v>1</v>
      </c>
      <c r="H8629" s="1" t="str">
        <f t="shared" si="3"/>
        <v>Currently Unavailable</v>
      </c>
      <c r="I8629" s="1" t="str">
        <f t="shared" si="4"/>
        <v>No Badges</v>
      </c>
      <c r="J8629" s="3">
        <f t="shared" si="5"/>
        <v>0</v>
      </c>
    </row>
    <row r="8630">
      <c r="A8630" s="1" t="s">
        <v>6596</v>
      </c>
      <c r="B8630" s="3" t="str">
        <f t="shared" si="1"/>
        <v>Unavailable</v>
      </c>
      <c r="C8630" s="3">
        <v>230.0</v>
      </c>
      <c r="D8630" s="3">
        <f>IFERROR(__xludf.DUMMYFUNCTION("IFERROR(
IF(REGEXMATCH(LOWER(O8630),""k""),
VALUE(REGEXEXTRACT(O8630,""[0-9]+""))*1000,
VALUE(REGEXEXTRACT(O8630,""[0-9]+""))
),
0
)"),0.0)</f>
        <v>0</v>
      </c>
      <c r="E8630" s="1" t="s">
        <v>11</v>
      </c>
      <c r="F8630" s="1" t="s">
        <v>20</v>
      </c>
      <c r="G8630" s="4" t="b">
        <f t="shared" si="2"/>
        <v>1</v>
      </c>
      <c r="H8630" s="1" t="str">
        <f t="shared" si="3"/>
        <v>Currently Unavailable</v>
      </c>
      <c r="I8630" s="1" t="str">
        <f t="shared" si="4"/>
        <v>No Badges</v>
      </c>
      <c r="J8630" s="3">
        <f t="shared" si="5"/>
        <v>0</v>
      </c>
    </row>
    <row r="8631">
      <c r="A8631" s="1" t="s">
        <v>6597</v>
      </c>
      <c r="B8631" s="3" t="str">
        <f t="shared" si="1"/>
        <v>Unavailable</v>
      </c>
      <c r="C8631" s="5">
        <v>1457.0</v>
      </c>
      <c r="D8631" s="3">
        <f>IFERROR(__xludf.DUMMYFUNCTION("IFERROR(
IF(REGEXMATCH(LOWER(O8631),""k""),
VALUE(REGEXEXTRACT(O8631,""[0-9]+""))*1000,
VALUE(REGEXEXTRACT(O8631,""[0-9]+""))
),
0
)"),0.0)</f>
        <v>0</v>
      </c>
      <c r="E8631" s="1" t="s">
        <v>11</v>
      </c>
      <c r="F8631" s="1" t="s">
        <v>20</v>
      </c>
      <c r="G8631" s="4" t="b">
        <f t="shared" si="2"/>
        <v>1</v>
      </c>
      <c r="H8631" s="1" t="str">
        <f t="shared" si="3"/>
        <v>Currently Unavailable</v>
      </c>
      <c r="I8631" s="1" t="str">
        <f t="shared" si="4"/>
        <v>No Badges</v>
      </c>
      <c r="J8631" s="3">
        <f t="shared" si="5"/>
        <v>0</v>
      </c>
    </row>
    <row r="8632">
      <c r="A8632" s="1" t="s">
        <v>6598</v>
      </c>
      <c r="B8632" s="3" t="str">
        <f t="shared" si="1"/>
        <v>Unavailable</v>
      </c>
      <c r="C8632" s="3">
        <v>673.0</v>
      </c>
      <c r="D8632" s="3">
        <f>IFERROR(__xludf.DUMMYFUNCTION("IFERROR(
IF(REGEXMATCH(LOWER(O8632),""k""),
VALUE(REGEXEXTRACT(O8632,""[0-9]+""))*1000,
VALUE(REGEXEXTRACT(O8632,""[0-9]+""))
),
0
)"),0.0)</f>
        <v>0</v>
      </c>
      <c r="E8632" s="1" t="s">
        <v>11</v>
      </c>
      <c r="F8632" s="1" t="s">
        <v>20</v>
      </c>
      <c r="G8632" s="4" t="b">
        <f t="shared" si="2"/>
        <v>1</v>
      </c>
      <c r="H8632" s="1" t="str">
        <f t="shared" si="3"/>
        <v>Currently Unavailable</v>
      </c>
      <c r="I8632" s="1" t="str">
        <f t="shared" si="4"/>
        <v>No Badges</v>
      </c>
      <c r="J8632" s="3">
        <f t="shared" si="5"/>
        <v>0</v>
      </c>
    </row>
    <row r="8633">
      <c r="A8633" s="1" t="s">
        <v>6599</v>
      </c>
      <c r="B8633" s="3" t="str">
        <f t="shared" si="1"/>
        <v>Unavailable</v>
      </c>
      <c r="C8633" s="5">
        <v>7530.0</v>
      </c>
      <c r="D8633" s="3">
        <f>IFERROR(__xludf.DUMMYFUNCTION("IFERROR(
IF(REGEXMATCH(LOWER(O8633),""k""),
VALUE(REGEXEXTRACT(O8633,""[0-9]+""))*1000,
VALUE(REGEXEXTRACT(O8633,""[0-9]+""))
),
0
)"),0.0)</f>
        <v>0</v>
      </c>
      <c r="E8633" s="1" t="s">
        <v>11</v>
      </c>
      <c r="F8633" s="1" t="s">
        <v>20</v>
      </c>
      <c r="G8633" s="4" t="b">
        <f t="shared" si="2"/>
        <v>1</v>
      </c>
      <c r="H8633" s="1" t="str">
        <f t="shared" si="3"/>
        <v>Currently Unavailable</v>
      </c>
      <c r="I8633" s="1" t="str">
        <f t="shared" si="4"/>
        <v>No Badges</v>
      </c>
      <c r="J8633" s="3">
        <f t="shared" si="5"/>
        <v>0</v>
      </c>
    </row>
    <row r="8634">
      <c r="A8634" s="1" t="s">
        <v>6600</v>
      </c>
      <c r="B8634" s="3" t="str">
        <f t="shared" si="1"/>
        <v>Unavailable</v>
      </c>
      <c r="C8634" s="3">
        <v>96.0</v>
      </c>
      <c r="D8634" s="3">
        <f>IFERROR(__xludf.DUMMYFUNCTION("IFERROR(
IF(REGEXMATCH(LOWER(O8634),""k""),
VALUE(REGEXEXTRACT(O8634,""[0-9]+""))*1000,
VALUE(REGEXEXTRACT(O8634,""[0-9]+""))
),
0
)"),0.0)</f>
        <v>0</v>
      </c>
      <c r="E8634" s="1" t="s">
        <v>11</v>
      </c>
      <c r="F8634" s="1" t="s">
        <v>20</v>
      </c>
      <c r="G8634" s="4" t="b">
        <f t="shared" si="2"/>
        <v>1</v>
      </c>
      <c r="H8634" s="1" t="str">
        <f t="shared" si="3"/>
        <v>Currently Unavailable</v>
      </c>
      <c r="I8634" s="1" t="str">
        <f t="shared" si="4"/>
        <v>No Badges</v>
      </c>
      <c r="J8634" s="3">
        <f t="shared" si="5"/>
        <v>0</v>
      </c>
    </row>
    <row r="8635">
      <c r="A8635" s="1" t="s">
        <v>6601</v>
      </c>
      <c r="B8635" s="3" t="str">
        <f t="shared" si="1"/>
        <v>Unavailable</v>
      </c>
      <c r="C8635" s="3">
        <v>32.0</v>
      </c>
      <c r="D8635" s="3">
        <f>IFERROR(__xludf.DUMMYFUNCTION("IFERROR(
IF(REGEXMATCH(LOWER(O8635),""k""),
VALUE(REGEXEXTRACT(O8635,""[0-9]+""))*1000,
VALUE(REGEXEXTRACT(O8635,""[0-9]+""))
),
0
)"),0.0)</f>
        <v>0</v>
      </c>
      <c r="E8635" s="1" t="s">
        <v>11</v>
      </c>
      <c r="F8635" s="1" t="s">
        <v>20</v>
      </c>
      <c r="G8635" s="4" t="b">
        <f t="shared" si="2"/>
        <v>1</v>
      </c>
      <c r="H8635" s="1" t="str">
        <f t="shared" si="3"/>
        <v>Currently Unavailable</v>
      </c>
      <c r="I8635" s="1" t="str">
        <f t="shared" si="4"/>
        <v>No Badges</v>
      </c>
      <c r="J8635" s="3">
        <f t="shared" si="5"/>
        <v>0</v>
      </c>
    </row>
    <row r="8636">
      <c r="A8636" s="1" t="s">
        <v>6602</v>
      </c>
      <c r="B8636" s="3" t="str">
        <f t="shared" si="1"/>
        <v>Unavailable</v>
      </c>
      <c r="C8636" s="5">
        <v>1095.0</v>
      </c>
      <c r="D8636" s="3">
        <f>IFERROR(__xludf.DUMMYFUNCTION("IFERROR(
IF(REGEXMATCH(LOWER(O8636),""k""),
VALUE(REGEXEXTRACT(O8636,""[0-9]+""))*1000,
VALUE(REGEXEXTRACT(O8636,""[0-9]+""))
),
0
)"),0.0)</f>
        <v>0</v>
      </c>
      <c r="E8636" s="1" t="s">
        <v>11</v>
      </c>
      <c r="F8636" s="1" t="s">
        <v>20</v>
      </c>
      <c r="G8636" s="4" t="b">
        <f t="shared" si="2"/>
        <v>1</v>
      </c>
      <c r="H8636" s="1" t="str">
        <f t="shared" si="3"/>
        <v>Currently Unavailable</v>
      </c>
      <c r="I8636" s="1" t="str">
        <f t="shared" si="4"/>
        <v>No Badges</v>
      </c>
      <c r="J8636" s="3">
        <f t="shared" si="5"/>
        <v>0</v>
      </c>
    </row>
    <row r="8637">
      <c r="A8637" s="1" t="s">
        <v>6603</v>
      </c>
      <c r="B8637" s="3" t="str">
        <f t="shared" si="1"/>
        <v>Unavailable</v>
      </c>
      <c r="C8637" s="5">
        <v>4544.0</v>
      </c>
      <c r="D8637" s="3">
        <f>IFERROR(__xludf.DUMMYFUNCTION("IFERROR(
IF(REGEXMATCH(LOWER(O8637),""k""),
VALUE(REGEXEXTRACT(O8637,""[0-9]+""))*1000,
VALUE(REGEXEXTRACT(O8637,""[0-9]+""))
),
0
)"),0.0)</f>
        <v>0</v>
      </c>
      <c r="E8637" s="1" t="s">
        <v>11</v>
      </c>
      <c r="F8637" s="1" t="s">
        <v>20</v>
      </c>
      <c r="G8637" s="4" t="b">
        <f t="shared" si="2"/>
        <v>1</v>
      </c>
      <c r="H8637" s="1" t="str">
        <f t="shared" si="3"/>
        <v>Currently Unavailable</v>
      </c>
      <c r="I8637" s="1" t="str">
        <f t="shared" si="4"/>
        <v>No Badges</v>
      </c>
      <c r="J8637" s="3">
        <f t="shared" si="5"/>
        <v>0</v>
      </c>
    </row>
    <row r="8638">
      <c r="A8638" s="1" t="s">
        <v>6536</v>
      </c>
      <c r="B8638" s="3" t="str">
        <f t="shared" si="1"/>
        <v>Unavailable</v>
      </c>
      <c r="C8638" s="3">
        <v>17.0</v>
      </c>
      <c r="D8638" s="3">
        <f>IFERROR(__xludf.DUMMYFUNCTION("IFERROR(
IF(REGEXMATCH(LOWER(O8638),""k""),
VALUE(REGEXEXTRACT(O8638,""[0-9]+""))*1000,
VALUE(REGEXEXTRACT(O8638,""[0-9]+""))
),
0
)"),0.0)</f>
        <v>0</v>
      </c>
      <c r="E8638" s="1" t="s">
        <v>11</v>
      </c>
      <c r="F8638" s="1" t="s">
        <v>20</v>
      </c>
      <c r="G8638" s="4" t="b">
        <f t="shared" si="2"/>
        <v>1</v>
      </c>
      <c r="H8638" s="1" t="str">
        <f t="shared" si="3"/>
        <v>Currently Unavailable</v>
      </c>
      <c r="I8638" s="1" t="str">
        <f t="shared" si="4"/>
        <v>No Badges</v>
      </c>
      <c r="J8638" s="3">
        <f t="shared" si="5"/>
        <v>0</v>
      </c>
    </row>
    <row r="8639">
      <c r="A8639" s="1" t="s">
        <v>6604</v>
      </c>
      <c r="B8639" s="3" t="str">
        <f t="shared" si="1"/>
        <v>Unavailable</v>
      </c>
      <c r="C8639" s="5">
        <v>6536.0</v>
      </c>
      <c r="D8639" s="3">
        <f>IFERROR(__xludf.DUMMYFUNCTION("IFERROR(
IF(REGEXMATCH(LOWER(O8639),""k""),
VALUE(REGEXEXTRACT(O8639,""[0-9]+""))*1000,
VALUE(REGEXEXTRACT(O8639,""[0-9]+""))
),
0
)"),0.0)</f>
        <v>0</v>
      </c>
      <c r="E8639" s="1" t="s">
        <v>11</v>
      </c>
      <c r="F8639" s="1" t="s">
        <v>20</v>
      </c>
      <c r="G8639" s="4" t="b">
        <f t="shared" si="2"/>
        <v>1</v>
      </c>
      <c r="H8639" s="1" t="str">
        <f t="shared" si="3"/>
        <v>Currently Unavailable</v>
      </c>
      <c r="I8639" s="1" t="str">
        <f t="shared" si="4"/>
        <v>No Badges</v>
      </c>
      <c r="J8639" s="3">
        <f t="shared" si="5"/>
        <v>0</v>
      </c>
    </row>
    <row r="8640">
      <c r="A8640" s="1" t="s">
        <v>6605</v>
      </c>
      <c r="B8640" s="3" t="str">
        <f t="shared" si="1"/>
        <v>Unavailable</v>
      </c>
      <c r="C8640" s="3">
        <v>164.0</v>
      </c>
      <c r="D8640" s="3">
        <f>IFERROR(__xludf.DUMMYFUNCTION("IFERROR(
IF(REGEXMATCH(LOWER(O8640),""k""),
VALUE(REGEXEXTRACT(O8640,""[0-9]+""))*1000,
VALUE(REGEXEXTRACT(O8640,""[0-9]+""))
),
0
)"),0.0)</f>
        <v>0</v>
      </c>
      <c r="E8640" s="1" t="s">
        <v>11</v>
      </c>
      <c r="F8640" s="1" t="s">
        <v>20</v>
      </c>
      <c r="G8640" s="4" t="b">
        <f t="shared" si="2"/>
        <v>1</v>
      </c>
      <c r="H8640" s="1" t="str">
        <f t="shared" si="3"/>
        <v>Currently Unavailable</v>
      </c>
      <c r="I8640" s="1" t="str">
        <f t="shared" si="4"/>
        <v>No Badges</v>
      </c>
      <c r="J8640" s="3">
        <f t="shared" si="5"/>
        <v>0</v>
      </c>
    </row>
    <row r="8641">
      <c r="A8641" s="1" t="s">
        <v>6263</v>
      </c>
      <c r="B8641" s="3" t="str">
        <f t="shared" si="1"/>
        <v>Unavailable</v>
      </c>
      <c r="C8641" s="3">
        <v>91.0</v>
      </c>
      <c r="D8641" s="3">
        <f>IFERROR(__xludf.DUMMYFUNCTION("IFERROR(
IF(REGEXMATCH(LOWER(O8641),""k""),
VALUE(REGEXEXTRACT(O8641,""[0-9]+""))*1000,
VALUE(REGEXEXTRACT(O8641,""[0-9]+""))
),
0
)"),0.0)</f>
        <v>0</v>
      </c>
      <c r="E8641" s="1" t="s">
        <v>11</v>
      </c>
      <c r="F8641" s="1" t="s">
        <v>20</v>
      </c>
      <c r="G8641" s="4" t="b">
        <f t="shared" si="2"/>
        <v>1</v>
      </c>
      <c r="H8641" s="1" t="str">
        <f t="shared" si="3"/>
        <v>Currently Unavailable</v>
      </c>
      <c r="I8641" s="1" t="str">
        <f t="shared" si="4"/>
        <v>No Badges</v>
      </c>
      <c r="J8641" s="3">
        <f t="shared" si="5"/>
        <v>0</v>
      </c>
    </row>
    <row r="8642">
      <c r="A8642" s="1" t="s">
        <v>6110</v>
      </c>
      <c r="B8642" s="3" t="str">
        <f t="shared" si="1"/>
        <v>Unavailable</v>
      </c>
      <c r="C8642" s="3">
        <v>7.0</v>
      </c>
      <c r="D8642" s="3">
        <f>IFERROR(__xludf.DUMMYFUNCTION("IFERROR(
IF(REGEXMATCH(LOWER(O8642),""k""),
VALUE(REGEXEXTRACT(O8642,""[0-9]+""))*1000,
VALUE(REGEXEXTRACT(O8642,""[0-9]+""))
),
0
)"),0.0)</f>
        <v>0</v>
      </c>
      <c r="E8642" s="1" t="s">
        <v>11</v>
      </c>
      <c r="F8642" s="1" t="s">
        <v>20</v>
      </c>
      <c r="G8642" s="4" t="b">
        <f t="shared" si="2"/>
        <v>1</v>
      </c>
      <c r="H8642" s="1" t="str">
        <f t="shared" si="3"/>
        <v>Currently Unavailable</v>
      </c>
      <c r="I8642" s="1" t="str">
        <f t="shared" si="4"/>
        <v>No Badges</v>
      </c>
      <c r="J8642" s="3">
        <f t="shared" si="5"/>
        <v>0</v>
      </c>
    </row>
    <row r="8643">
      <c r="A8643" s="1" t="s">
        <v>6496</v>
      </c>
      <c r="B8643" s="3" t="str">
        <f t="shared" si="1"/>
        <v>Unavailable</v>
      </c>
      <c r="C8643" s="3">
        <v>572.0</v>
      </c>
      <c r="D8643" s="3">
        <f>IFERROR(__xludf.DUMMYFUNCTION("IFERROR(
IF(REGEXMATCH(LOWER(O8643),""k""),
VALUE(REGEXEXTRACT(O8643,""[0-9]+""))*1000,
VALUE(REGEXEXTRACT(O8643,""[0-9]+""))
),
0
)"),0.0)</f>
        <v>0</v>
      </c>
      <c r="E8643" s="1" t="s">
        <v>11</v>
      </c>
      <c r="F8643" s="1" t="s">
        <v>20</v>
      </c>
      <c r="G8643" s="4" t="b">
        <f t="shared" si="2"/>
        <v>1</v>
      </c>
      <c r="H8643" s="1" t="str">
        <f t="shared" si="3"/>
        <v>Currently Unavailable</v>
      </c>
      <c r="I8643" s="1" t="str">
        <f t="shared" si="4"/>
        <v>No Badges</v>
      </c>
      <c r="J8643" s="3">
        <f t="shared" si="5"/>
        <v>0</v>
      </c>
    </row>
    <row r="8644">
      <c r="A8644" s="1" t="s">
        <v>6606</v>
      </c>
      <c r="B8644" s="3" t="str">
        <f t="shared" si="1"/>
        <v>Unavailable</v>
      </c>
      <c r="C8644" s="5">
        <v>9934.0</v>
      </c>
      <c r="D8644" s="3">
        <f>IFERROR(__xludf.DUMMYFUNCTION("IFERROR(
IF(REGEXMATCH(LOWER(O8644),""k""),
VALUE(REGEXEXTRACT(O8644,""[0-9]+""))*1000,
VALUE(REGEXEXTRACT(O8644,""[0-9]+""))
),
0
)"),0.0)</f>
        <v>0</v>
      </c>
      <c r="E8644" s="1" t="s">
        <v>11</v>
      </c>
      <c r="F8644" s="1" t="s">
        <v>20</v>
      </c>
      <c r="G8644" s="4" t="b">
        <f t="shared" si="2"/>
        <v>1</v>
      </c>
      <c r="H8644" s="1" t="str">
        <f t="shared" si="3"/>
        <v>Currently Unavailable</v>
      </c>
      <c r="I8644" s="1" t="str">
        <f t="shared" si="4"/>
        <v>No Badges</v>
      </c>
      <c r="J8644" s="3">
        <f t="shared" si="5"/>
        <v>0</v>
      </c>
    </row>
    <row r="8645">
      <c r="A8645" s="1" t="s">
        <v>6607</v>
      </c>
      <c r="B8645" s="3" t="str">
        <f t="shared" si="1"/>
        <v>Unavailable</v>
      </c>
      <c r="C8645" s="5">
        <v>6837.0</v>
      </c>
      <c r="D8645" s="3">
        <f>IFERROR(__xludf.DUMMYFUNCTION("IFERROR(
IF(REGEXMATCH(LOWER(O8645),""k""),
VALUE(REGEXEXTRACT(O8645,""[0-9]+""))*1000,
VALUE(REGEXEXTRACT(O8645,""[0-9]+""))
),
0
)"),0.0)</f>
        <v>0</v>
      </c>
      <c r="E8645" s="1" t="s">
        <v>11</v>
      </c>
      <c r="F8645" s="1" t="s">
        <v>20</v>
      </c>
      <c r="G8645" s="4" t="b">
        <f t="shared" si="2"/>
        <v>1</v>
      </c>
      <c r="H8645" s="1" t="str">
        <f t="shared" si="3"/>
        <v>Currently Unavailable</v>
      </c>
      <c r="I8645" s="1" t="str">
        <f t="shared" si="4"/>
        <v>No Badges</v>
      </c>
      <c r="J8645" s="3">
        <f t="shared" si="5"/>
        <v>0</v>
      </c>
    </row>
    <row r="8646">
      <c r="A8646" s="1" t="s">
        <v>6608</v>
      </c>
      <c r="B8646" s="3" t="str">
        <f t="shared" si="1"/>
        <v>Unavailable</v>
      </c>
      <c r="C8646" s="5">
        <v>15587.0</v>
      </c>
      <c r="D8646" s="3">
        <f>IFERROR(__xludf.DUMMYFUNCTION("IFERROR(
IF(REGEXMATCH(LOWER(O8646),""k""),
VALUE(REGEXEXTRACT(O8646,""[0-9]+""))*1000,
VALUE(REGEXEXTRACT(O8646,""[0-9]+""))
),
0
)"),0.0)</f>
        <v>0</v>
      </c>
      <c r="E8646" s="1" t="s">
        <v>11</v>
      </c>
      <c r="F8646" s="1" t="s">
        <v>20</v>
      </c>
      <c r="G8646" s="4" t="b">
        <f t="shared" si="2"/>
        <v>1</v>
      </c>
      <c r="H8646" s="1" t="str">
        <f t="shared" si="3"/>
        <v>Currently Unavailable</v>
      </c>
      <c r="I8646" s="1" t="str">
        <f t="shared" si="4"/>
        <v>No Badges</v>
      </c>
      <c r="J8646" s="3">
        <f t="shared" si="5"/>
        <v>0</v>
      </c>
    </row>
    <row r="8647">
      <c r="A8647" s="1" t="s">
        <v>6609</v>
      </c>
      <c r="B8647" s="3" t="str">
        <f t="shared" si="1"/>
        <v>Unavailable</v>
      </c>
      <c r="C8647" s="5">
        <v>1845.0</v>
      </c>
      <c r="D8647" s="3">
        <f>IFERROR(__xludf.DUMMYFUNCTION("IFERROR(
IF(REGEXMATCH(LOWER(O8647),""k""),
VALUE(REGEXEXTRACT(O8647,""[0-9]+""))*1000,
VALUE(REGEXEXTRACT(O8647,""[0-9]+""))
),
0
)"),0.0)</f>
        <v>0</v>
      </c>
      <c r="E8647" s="1" t="s">
        <v>11</v>
      </c>
      <c r="F8647" s="1" t="s">
        <v>20</v>
      </c>
      <c r="G8647" s="4" t="b">
        <f t="shared" si="2"/>
        <v>1</v>
      </c>
      <c r="H8647" s="1" t="str">
        <f t="shared" si="3"/>
        <v>Currently Unavailable</v>
      </c>
      <c r="I8647" s="1" t="str">
        <f t="shared" si="4"/>
        <v>No Badges</v>
      </c>
      <c r="J8647" s="3">
        <f t="shared" si="5"/>
        <v>0</v>
      </c>
    </row>
    <row r="8648">
      <c r="A8648" s="1" t="s">
        <v>6610</v>
      </c>
      <c r="B8648" s="3" t="str">
        <f t="shared" si="1"/>
        <v>Unavailable</v>
      </c>
      <c r="C8648" s="5">
        <v>8700.0</v>
      </c>
      <c r="D8648" s="3">
        <f>IFERROR(__xludf.DUMMYFUNCTION("IFERROR(
IF(REGEXMATCH(LOWER(O8648),""k""),
VALUE(REGEXEXTRACT(O8648,""[0-9]+""))*1000,
VALUE(REGEXEXTRACT(O8648,""[0-9]+""))
),
0
)"),0.0)</f>
        <v>0</v>
      </c>
      <c r="E8648" s="1" t="s">
        <v>11</v>
      </c>
      <c r="F8648" s="1" t="s">
        <v>20</v>
      </c>
      <c r="G8648" s="4" t="b">
        <f t="shared" si="2"/>
        <v>1</v>
      </c>
      <c r="H8648" s="1" t="str">
        <f t="shared" si="3"/>
        <v>Currently Unavailable</v>
      </c>
      <c r="I8648" s="1" t="str">
        <f t="shared" si="4"/>
        <v>No Badges</v>
      </c>
      <c r="J8648" s="3">
        <f t="shared" si="5"/>
        <v>0</v>
      </c>
    </row>
    <row r="8649">
      <c r="A8649" s="1" t="s">
        <v>5817</v>
      </c>
      <c r="B8649" s="3" t="str">
        <f t="shared" si="1"/>
        <v>Unavailable</v>
      </c>
      <c r="C8649" s="5">
        <v>7235.0</v>
      </c>
      <c r="D8649" s="3">
        <f>IFERROR(__xludf.DUMMYFUNCTION("IFERROR(
IF(REGEXMATCH(LOWER(O8649),""k""),
VALUE(REGEXEXTRACT(O8649,""[0-9]+""))*1000,
VALUE(REGEXEXTRACT(O8649,""[0-9]+""))
),
0
)"),0.0)</f>
        <v>0</v>
      </c>
      <c r="E8649" s="1" t="s">
        <v>11</v>
      </c>
      <c r="F8649" s="1" t="s">
        <v>12</v>
      </c>
      <c r="G8649" s="4" t="b">
        <f t="shared" si="2"/>
        <v>1</v>
      </c>
      <c r="H8649" s="1" t="str">
        <f t="shared" si="3"/>
        <v>Currently Unavailable</v>
      </c>
      <c r="I8649" s="1" t="str">
        <f t="shared" si="4"/>
        <v>No Badges</v>
      </c>
      <c r="J8649" s="3">
        <f t="shared" si="5"/>
        <v>0</v>
      </c>
    </row>
    <row r="8650">
      <c r="A8650" s="1" t="s">
        <v>6611</v>
      </c>
      <c r="B8650" s="3" t="str">
        <f t="shared" si="1"/>
        <v>Unavailable</v>
      </c>
      <c r="C8650" s="5">
        <v>16803.0</v>
      </c>
      <c r="D8650" s="3">
        <f>IFERROR(__xludf.DUMMYFUNCTION("IFERROR(
IF(REGEXMATCH(LOWER(O8650),""k""),
VALUE(REGEXEXTRACT(O8650,""[0-9]+""))*1000,
VALUE(REGEXEXTRACT(O8650,""[0-9]+""))
),
0
)"),0.0)</f>
        <v>0</v>
      </c>
      <c r="E8650" s="1" t="s">
        <v>11</v>
      </c>
      <c r="F8650" s="1" t="s">
        <v>20</v>
      </c>
      <c r="G8650" s="4" t="b">
        <f t="shared" si="2"/>
        <v>1</v>
      </c>
      <c r="H8650" s="1" t="str">
        <f t="shared" si="3"/>
        <v>Currently Unavailable</v>
      </c>
      <c r="I8650" s="1" t="str">
        <f t="shared" si="4"/>
        <v>No Badges</v>
      </c>
      <c r="J8650" s="3">
        <f t="shared" si="5"/>
        <v>0</v>
      </c>
    </row>
    <row r="8651">
      <c r="A8651" s="1" t="s">
        <v>5817</v>
      </c>
      <c r="B8651" s="3" t="str">
        <f t="shared" si="1"/>
        <v>Unavailable</v>
      </c>
      <c r="C8651" s="5">
        <v>7235.0</v>
      </c>
      <c r="D8651" s="3">
        <f>IFERROR(__xludf.DUMMYFUNCTION("IFERROR(
IF(REGEXMATCH(LOWER(O8651),""k""),
VALUE(REGEXEXTRACT(O8651,""[0-9]+""))*1000,
VALUE(REGEXEXTRACT(O8651,""[0-9]+""))
),
0
)"),0.0)</f>
        <v>0</v>
      </c>
      <c r="E8651" s="1" t="s">
        <v>11</v>
      </c>
      <c r="F8651" s="1" t="s">
        <v>12</v>
      </c>
      <c r="G8651" s="4" t="b">
        <f t="shared" si="2"/>
        <v>1</v>
      </c>
      <c r="H8651" s="1" t="str">
        <f t="shared" si="3"/>
        <v>Currently Unavailable</v>
      </c>
      <c r="I8651" s="1" t="str">
        <f t="shared" si="4"/>
        <v>No Badges</v>
      </c>
      <c r="J8651" s="3">
        <f t="shared" si="5"/>
        <v>0</v>
      </c>
    </row>
    <row r="8652">
      <c r="A8652" s="1" t="s">
        <v>6612</v>
      </c>
      <c r="B8652" s="3" t="str">
        <f t="shared" si="1"/>
        <v>Unavailable</v>
      </c>
      <c r="C8652" s="3">
        <v>630.0</v>
      </c>
      <c r="D8652" s="3">
        <f>IFERROR(__xludf.DUMMYFUNCTION("IFERROR(
IF(REGEXMATCH(LOWER(O8652),""k""),
VALUE(REGEXEXTRACT(O8652,""[0-9]+""))*1000,
VALUE(REGEXEXTRACT(O8652,""[0-9]+""))
),
0
)"),0.0)</f>
        <v>0</v>
      </c>
      <c r="E8652" s="1" t="s">
        <v>11</v>
      </c>
      <c r="F8652" s="1" t="s">
        <v>20</v>
      </c>
      <c r="G8652" s="4" t="b">
        <f t="shared" si="2"/>
        <v>1</v>
      </c>
      <c r="H8652" s="1" t="str">
        <f t="shared" si="3"/>
        <v>Currently Unavailable</v>
      </c>
      <c r="I8652" s="1" t="str">
        <f t="shared" si="4"/>
        <v>No Badges</v>
      </c>
      <c r="J8652" s="3">
        <f t="shared" si="5"/>
        <v>0</v>
      </c>
    </row>
    <row r="8653">
      <c r="A8653" s="1" t="s">
        <v>6613</v>
      </c>
      <c r="B8653" s="3" t="str">
        <f t="shared" si="1"/>
        <v>Unavailable</v>
      </c>
      <c r="C8653" s="5">
        <v>6062.0</v>
      </c>
      <c r="D8653" s="3">
        <f>IFERROR(__xludf.DUMMYFUNCTION("IFERROR(
IF(REGEXMATCH(LOWER(O8653),""k""),
VALUE(REGEXEXTRACT(O8653,""[0-9]+""))*1000,
VALUE(REGEXEXTRACT(O8653,""[0-9]+""))
),
0
)"),0.0)</f>
        <v>0</v>
      </c>
      <c r="E8653" s="1" t="s">
        <v>11</v>
      </c>
      <c r="F8653" s="1" t="s">
        <v>20</v>
      </c>
      <c r="G8653" s="4" t="b">
        <f t="shared" si="2"/>
        <v>1</v>
      </c>
      <c r="H8653" s="1" t="str">
        <f t="shared" si="3"/>
        <v>Currently Unavailable</v>
      </c>
      <c r="I8653" s="1" t="str">
        <f t="shared" si="4"/>
        <v>No Badges</v>
      </c>
      <c r="J8653" s="3">
        <f t="shared" si="5"/>
        <v>0</v>
      </c>
    </row>
    <row r="8654">
      <c r="A8654" s="1" t="s">
        <v>6614</v>
      </c>
      <c r="B8654" s="3" t="str">
        <f t="shared" si="1"/>
        <v>Unavailable</v>
      </c>
      <c r="C8654" s="5">
        <v>2853.0</v>
      </c>
      <c r="D8654" s="3">
        <f>IFERROR(__xludf.DUMMYFUNCTION("IFERROR(
IF(REGEXMATCH(LOWER(O8654),""k""),
VALUE(REGEXEXTRACT(O8654,""[0-9]+""))*1000,
VALUE(REGEXEXTRACT(O8654,""[0-9]+""))
),
0
)"),0.0)</f>
        <v>0</v>
      </c>
      <c r="E8654" s="1" t="s">
        <v>11</v>
      </c>
      <c r="F8654" s="1" t="s">
        <v>20</v>
      </c>
      <c r="G8654" s="4" t="b">
        <f t="shared" si="2"/>
        <v>1</v>
      </c>
      <c r="H8654" s="1" t="str">
        <f t="shared" si="3"/>
        <v>Currently Unavailable</v>
      </c>
      <c r="I8654" s="1" t="str">
        <f t="shared" si="4"/>
        <v>No Badges</v>
      </c>
      <c r="J8654" s="3">
        <f t="shared" si="5"/>
        <v>0</v>
      </c>
    </row>
    <row r="8655">
      <c r="A8655" s="1" t="s">
        <v>6615</v>
      </c>
      <c r="B8655" s="3" t="str">
        <f t="shared" si="1"/>
        <v>Unavailable</v>
      </c>
      <c r="C8655" s="3">
        <v>777.0</v>
      </c>
      <c r="D8655" s="3">
        <f>IFERROR(__xludf.DUMMYFUNCTION("IFERROR(
IF(REGEXMATCH(LOWER(O8655),""k""),
VALUE(REGEXEXTRACT(O8655,""[0-9]+""))*1000,
VALUE(REGEXEXTRACT(O8655,""[0-9]+""))
),
0
)"),0.0)</f>
        <v>0</v>
      </c>
      <c r="E8655" s="1" t="s">
        <v>11</v>
      </c>
      <c r="F8655" s="1" t="s">
        <v>12</v>
      </c>
      <c r="G8655" s="4" t="b">
        <f t="shared" si="2"/>
        <v>1</v>
      </c>
      <c r="H8655" s="1" t="str">
        <f t="shared" si="3"/>
        <v>Currently Unavailable</v>
      </c>
      <c r="I8655" s="1" t="str">
        <f t="shared" si="4"/>
        <v>No Badges</v>
      </c>
      <c r="J8655" s="3">
        <f t="shared" si="5"/>
        <v>0</v>
      </c>
    </row>
    <row r="8656">
      <c r="A8656" s="1" t="s">
        <v>6616</v>
      </c>
      <c r="B8656" s="3" t="str">
        <f t="shared" si="1"/>
        <v>Unavailable</v>
      </c>
      <c r="C8656" s="5">
        <v>4851.0</v>
      </c>
      <c r="D8656" s="3">
        <f>IFERROR(__xludf.DUMMYFUNCTION("IFERROR(
IF(REGEXMATCH(LOWER(O8656),""k""),
VALUE(REGEXEXTRACT(O8656,""[0-9]+""))*1000,
VALUE(REGEXEXTRACT(O8656,""[0-9]+""))
),
0
)"),0.0)</f>
        <v>0</v>
      </c>
      <c r="E8656" s="1" t="s">
        <v>11</v>
      </c>
      <c r="F8656" s="1" t="s">
        <v>20</v>
      </c>
      <c r="G8656" s="4" t="b">
        <f t="shared" si="2"/>
        <v>1</v>
      </c>
      <c r="H8656" s="1" t="str">
        <f t="shared" si="3"/>
        <v>Currently Unavailable</v>
      </c>
      <c r="I8656" s="1" t="str">
        <f t="shared" si="4"/>
        <v>No Badges</v>
      </c>
      <c r="J8656" s="3">
        <f t="shared" si="5"/>
        <v>0</v>
      </c>
    </row>
    <row r="8657">
      <c r="A8657" s="1" t="s">
        <v>6617</v>
      </c>
      <c r="B8657" s="3" t="str">
        <f t="shared" si="1"/>
        <v>Unavailable</v>
      </c>
      <c r="C8657" s="3">
        <v>166.0</v>
      </c>
      <c r="D8657" s="3">
        <f>IFERROR(__xludf.DUMMYFUNCTION("IFERROR(
IF(REGEXMATCH(LOWER(O8657),""k""),
VALUE(REGEXEXTRACT(O8657,""[0-9]+""))*1000,
VALUE(REGEXEXTRACT(O8657,""[0-9]+""))
),
0
)"),0.0)</f>
        <v>0</v>
      </c>
      <c r="E8657" s="1" t="s">
        <v>11</v>
      </c>
      <c r="F8657" s="1" t="s">
        <v>20</v>
      </c>
      <c r="G8657" s="4" t="b">
        <f t="shared" si="2"/>
        <v>1</v>
      </c>
      <c r="H8657" s="1" t="str">
        <f t="shared" si="3"/>
        <v>Currently Unavailable</v>
      </c>
      <c r="I8657" s="1" t="str">
        <f t="shared" si="4"/>
        <v>No Badges</v>
      </c>
      <c r="J8657" s="3">
        <f t="shared" si="5"/>
        <v>0</v>
      </c>
    </row>
    <row r="8658">
      <c r="A8658" s="1" t="s">
        <v>5817</v>
      </c>
      <c r="B8658" s="3" t="str">
        <f t="shared" si="1"/>
        <v>Unavailable</v>
      </c>
      <c r="C8658" s="5">
        <v>7235.0</v>
      </c>
      <c r="D8658" s="3">
        <f>IFERROR(__xludf.DUMMYFUNCTION("IFERROR(
IF(REGEXMATCH(LOWER(O8658),""k""),
VALUE(REGEXEXTRACT(O8658,""[0-9]+""))*1000,
VALUE(REGEXEXTRACT(O8658,""[0-9]+""))
),
0
)"),0.0)</f>
        <v>0</v>
      </c>
      <c r="E8658" s="1" t="s">
        <v>11</v>
      </c>
      <c r="F8658" s="1" t="s">
        <v>12</v>
      </c>
      <c r="G8658" s="4" t="b">
        <f t="shared" si="2"/>
        <v>1</v>
      </c>
      <c r="H8658" s="1" t="str">
        <f t="shared" si="3"/>
        <v>Currently Unavailable</v>
      </c>
      <c r="I8658" s="1" t="str">
        <f t="shared" si="4"/>
        <v>No Badges</v>
      </c>
      <c r="J8658" s="3">
        <f t="shared" si="5"/>
        <v>0</v>
      </c>
    </row>
    <row r="8659">
      <c r="A8659" s="1" t="s">
        <v>6618</v>
      </c>
      <c r="B8659" s="3" t="str">
        <f t="shared" si="1"/>
        <v>Unavailable</v>
      </c>
      <c r="C8659" s="5">
        <v>1347.0</v>
      </c>
      <c r="D8659" s="3">
        <f>IFERROR(__xludf.DUMMYFUNCTION("IFERROR(
IF(REGEXMATCH(LOWER(O8659),""k""),
VALUE(REGEXEXTRACT(O8659,""[0-9]+""))*1000,
VALUE(REGEXEXTRACT(O8659,""[0-9]+""))
),
0
)"),0.0)</f>
        <v>0</v>
      </c>
      <c r="E8659" s="1" t="s">
        <v>11</v>
      </c>
      <c r="F8659" s="1" t="s">
        <v>20</v>
      </c>
      <c r="G8659" s="4" t="b">
        <f t="shared" si="2"/>
        <v>1</v>
      </c>
      <c r="H8659" s="1" t="str">
        <f t="shared" si="3"/>
        <v>Currently Unavailable</v>
      </c>
      <c r="I8659" s="1" t="str">
        <f t="shared" si="4"/>
        <v>No Badges</v>
      </c>
      <c r="J8659" s="3">
        <f t="shared" si="5"/>
        <v>0</v>
      </c>
    </row>
    <row r="8660">
      <c r="A8660" s="1" t="s">
        <v>6619</v>
      </c>
      <c r="B8660" s="3" t="str">
        <f t="shared" si="1"/>
        <v>Unavailable</v>
      </c>
      <c r="C8660" s="3">
        <v>44.0</v>
      </c>
      <c r="D8660" s="3">
        <f>IFERROR(__xludf.DUMMYFUNCTION("IFERROR(
IF(REGEXMATCH(LOWER(O8660),""k""),
VALUE(REGEXEXTRACT(O8660,""[0-9]+""))*1000,
VALUE(REGEXEXTRACT(O8660,""[0-9]+""))
),
0
)"),0.0)</f>
        <v>0</v>
      </c>
      <c r="E8660" s="1" t="s">
        <v>11</v>
      </c>
      <c r="F8660" s="1" t="s">
        <v>20</v>
      </c>
      <c r="G8660" s="4" t="b">
        <f t="shared" si="2"/>
        <v>1</v>
      </c>
      <c r="H8660" s="1" t="str">
        <f t="shared" si="3"/>
        <v>Currently Unavailable</v>
      </c>
      <c r="I8660" s="1" t="str">
        <f t="shared" si="4"/>
        <v>No Badges</v>
      </c>
      <c r="J8660" s="3">
        <f t="shared" si="5"/>
        <v>0</v>
      </c>
    </row>
    <row r="8661">
      <c r="A8661" s="1" t="s">
        <v>6620</v>
      </c>
      <c r="B8661" s="3" t="str">
        <f t="shared" si="1"/>
        <v>Unavailable</v>
      </c>
      <c r="C8661" s="5">
        <v>5280.0</v>
      </c>
      <c r="D8661" s="3">
        <f>IFERROR(__xludf.DUMMYFUNCTION("IFERROR(
IF(REGEXMATCH(LOWER(O8661),""k""),
VALUE(REGEXEXTRACT(O8661,""[0-9]+""))*1000,
VALUE(REGEXEXTRACT(O8661,""[0-9]+""))
),
0
)"),0.0)</f>
        <v>0</v>
      </c>
      <c r="E8661" s="1" t="s">
        <v>11</v>
      </c>
      <c r="F8661" s="1" t="s">
        <v>20</v>
      </c>
      <c r="G8661" s="4" t="b">
        <f t="shared" si="2"/>
        <v>1</v>
      </c>
      <c r="H8661" s="1" t="str">
        <f t="shared" si="3"/>
        <v>Currently Unavailable</v>
      </c>
      <c r="I8661" s="1" t="str">
        <f t="shared" si="4"/>
        <v>No Badges</v>
      </c>
      <c r="J8661" s="3">
        <f t="shared" si="5"/>
        <v>0</v>
      </c>
    </row>
    <row r="8662">
      <c r="A8662" s="1" t="s">
        <v>6621</v>
      </c>
      <c r="B8662" s="3" t="str">
        <f t="shared" si="1"/>
        <v>Unavailable</v>
      </c>
      <c r="C8662" s="3">
        <v>111.0</v>
      </c>
      <c r="D8662" s="3">
        <f>IFERROR(__xludf.DUMMYFUNCTION("IFERROR(
IF(REGEXMATCH(LOWER(O8662),""k""),
VALUE(REGEXEXTRACT(O8662,""[0-9]+""))*1000,
VALUE(REGEXEXTRACT(O8662,""[0-9]+""))
),
0
)"),0.0)</f>
        <v>0</v>
      </c>
      <c r="E8662" s="1" t="s">
        <v>11</v>
      </c>
      <c r="F8662" s="1" t="s">
        <v>20</v>
      </c>
      <c r="G8662" s="4" t="b">
        <f t="shared" si="2"/>
        <v>1</v>
      </c>
      <c r="H8662" s="1" t="str">
        <f t="shared" si="3"/>
        <v>Currently Unavailable</v>
      </c>
      <c r="I8662" s="1" t="str">
        <f t="shared" si="4"/>
        <v>No Badges</v>
      </c>
      <c r="J8662" s="3">
        <f t="shared" si="5"/>
        <v>0</v>
      </c>
    </row>
    <row r="8663">
      <c r="A8663" s="1" t="s">
        <v>6622</v>
      </c>
      <c r="B8663" s="3" t="str">
        <f t="shared" si="1"/>
        <v>Unavailable</v>
      </c>
      <c r="C8663" s="5">
        <v>21253.0</v>
      </c>
      <c r="D8663" s="3">
        <f>IFERROR(__xludf.DUMMYFUNCTION("IFERROR(
IF(REGEXMATCH(LOWER(O8663),""k""),
VALUE(REGEXEXTRACT(O8663,""[0-9]+""))*1000,
VALUE(REGEXEXTRACT(O8663,""[0-9]+""))
),
0
)"),0.0)</f>
        <v>0</v>
      </c>
      <c r="E8663" s="1" t="s">
        <v>11</v>
      </c>
      <c r="F8663" s="1" t="s">
        <v>20</v>
      </c>
      <c r="G8663" s="4" t="b">
        <f t="shared" si="2"/>
        <v>1</v>
      </c>
      <c r="H8663" s="1" t="str">
        <f t="shared" si="3"/>
        <v>Currently Unavailable</v>
      </c>
      <c r="I8663" s="1" t="str">
        <f t="shared" si="4"/>
        <v>No Badges</v>
      </c>
      <c r="J8663" s="3">
        <f t="shared" si="5"/>
        <v>0</v>
      </c>
    </row>
    <row r="8664">
      <c r="A8664" s="1" t="s">
        <v>6623</v>
      </c>
      <c r="B8664" s="3" t="str">
        <f t="shared" si="1"/>
        <v>Unavailable</v>
      </c>
      <c r="C8664" s="5">
        <v>8503.0</v>
      </c>
      <c r="D8664" s="3">
        <f>IFERROR(__xludf.DUMMYFUNCTION("IFERROR(
IF(REGEXMATCH(LOWER(O8664),""k""),
VALUE(REGEXEXTRACT(O8664,""[0-9]+""))*1000,
VALUE(REGEXEXTRACT(O8664,""[0-9]+""))
),
0
)"),0.0)</f>
        <v>0</v>
      </c>
      <c r="E8664" s="1" t="s">
        <v>11</v>
      </c>
      <c r="F8664" s="1" t="s">
        <v>20</v>
      </c>
      <c r="G8664" s="4" t="b">
        <f t="shared" si="2"/>
        <v>1</v>
      </c>
      <c r="H8664" s="1" t="str">
        <f t="shared" si="3"/>
        <v>Currently Unavailable</v>
      </c>
      <c r="I8664" s="1" t="str">
        <f t="shared" si="4"/>
        <v>No Badges</v>
      </c>
      <c r="J8664" s="3">
        <f t="shared" si="5"/>
        <v>0</v>
      </c>
    </row>
    <row r="8665">
      <c r="A8665" s="1" t="s">
        <v>6624</v>
      </c>
      <c r="B8665" s="3" t="str">
        <f t="shared" si="1"/>
        <v>Unavailable</v>
      </c>
      <c r="C8665" s="3">
        <v>477.0</v>
      </c>
      <c r="D8665" s="3">
        <f>IFERROR(__xludf.DUMMYFUNCTION("IFERROR(
IF(REGEXMATCH(LOWER(O8665),""k""),
VALUE(REGEXEXTRACT(O8665,""[0-9]+""))*1000,
VALUE(REGEXEXTRACT(O8665,""[0-9]+""))
),
0
)"),0.0)</f>
        <v>0</v>
      </c>
      <c r="E8665" s="1" t="s">
        <v>11</v>
      </c>
      <c r="F8665" s="1" t="s">
        <v>20</v>
      </c>
      <c r="G8665" s="4" t="b">
        <f t="shared" si="2"/>
        <v>1</v>
      </c>
      <c r="H8665" s="1" t="str">
        <f t="shared" si="3"/>
        <v>Currently Unavailable</v>
      </c>
      <c r="I8665" s="1" t="str">
        <f t="shared" si="4"/>
        <v>No Badges</v>
      </c>
      <c r="J8665" s="3">
        <f t="shared" si="5"/>
        <v>0</v>
      </c>
    </row>
    <row r="8666">
      <c r="A8666" s="1" t="s">
        <v>6625</v>
      </c>
      <c r="B8666" s="3" t="str">
        <f t="shared" si="1"/>
        <v>Unavailable</v>
      </c>
      <c r="C8666" s="3">
        <v>286.0</v>
      </c>
      <c r="D8666" s="3">
        <f>IFERROR(__xludf.DUMMYFUNCTION("IFERROR(
IF(REGEXMATCH(LOWER(O8666),""k""),
VALUE(REGEXEXTRACT(O8666,""[0-9]+""))*1000,
VALUE(REGEXEXTRACT(O8666,""[0-9]+""))
),
0
)"),0.0)</f>
        <v>0</v>
      </c>
      <c r="E8666" s="1" t="s">
        <v>11</v>
      </c>
      <c r="F8666" s="1" t="s">
        <v>20</v>
      </c>
      <c r="G8666" s="4" t="b">
        <f t="shared" si="2"/>
        <v>1</v>
      </c>
      <c r="H8666" s="1" t="str">
        <f t="shared" si="3"/>
        <v>Currently Unavailable</v>
      </c>
      <c r="I8666" s="1" t="str">
        <f t="shared" si="4"/>
        <v>No Badges</v>
      </c>
      <c r="J8666" s="3">
        <f t="shared" si="5"/>
        <v>0</v>
      </c>
    </row>
    <row r="8667">
      <c r="A8667" s="1" t="s">
        <v>6626</v>
      </c>
      <c r="B8667" s="3" t="str">
        <f t="shared" si="1"/>
        <v>Unavailable</v>
      </c>
      <c r="C8667" s="3">
        <v>792.0</v>
      </c>
      <c r="D8667" s="3">
        <f>IFERROR(__xludf.DUMMYFUNCTION("IFERROR(
IF(REGEXMATCH(LOWER(O8667),""k""),
VALUE(REGEXEXTRACT(O8667,""[0-9]+""))*1000,
VALUE(REGEXEXTRACT(O8667,""[0-9]+""))
),
0
)"),0.0)</f>
        <v>0</v>
      </c>
      <c r="E8667" s="1" t="s">
        <v>11</v>
      </c>
      <c r="F8667" s="1" t="s">
        <v>20</v>
      </c>
      <c r="G8667" s="4" t="b">
        <f t="shared" si="2"/>
        <v>1</v>
      </c>
      <c r="H8667" s="1" t="str">
        <f t="shared" si="3"/>
        <v>Currently Unavailable</v>
      </c>
      <c r="I8667" s="1" t="str">
        <f t="shared" si="4"/>
        <v>No Badges</v>
      </c>
      <c r="J8667" s="3">
        <f t="shared" si="5"/>
        <v>0</v>
      </c>
    </row>
    <row r="8668">
      <c r="A8668" s="1" t="s">
        <v>6627</v>
      </c>
      <c r="B8668" s="3" t="str">
        <f t="shared" si="1"/>
        <v>Unavailable</v>
      </c>
      <c r="C8668" s="5">
        <v>1279.0</v>
      </c>
      <c r="D8668" s="3">
        <f>IFERROR(__xludf.DUMMYFUNCTION("IFERROR(
IF(REGEXMATCH(LOWER(O8668),""k""),
VALUE(REGEXEXTRACT(O8668,""[0-9]+""))*1000,
VALUE(REGEXEXTRACT(O8668,""[0-9]+""))
),
0
)"),0.0)</f>
        <v>0</v>
      </c>
      <c r="E8668" s="1" t="s">
        <v>11</v>
      </c>
      <c r="F8668" s="1" t="s">
        <v>20</v>
      </c>
      <c r="G8668" s="4" t="b">
        <f t="shared" si="2"/>
        <v>1</v>
      </c>
      <c r="H8668" s="1" t="str">
        <f t="shared" si="3"/>
        <v>Currently Unavailable</v>
      </c>
      <c r="I8668" s="1" t="str">
        <f t="shared" si="4"/>
        <v>No Badges</v>
      </c>
      <c r="J8668" s="3">
        <f t="shared" si="5"/>
        <v>0</v>
      </c>
    </row>
    <row r="8669">
      <c r="A8669" s="1" t="s">
        <v>5817</v>
      </c>
      <c r="B8669" s="3" t="str">
        <f t="shared" si="1"/>
        <v>Unavailable</v>
      </c>
      <c r="C8669" s="5">
        <v>7235.0</v>
      </c>
      <c r="D8669" s="3">
        <f>IFERROR(__xludf.DUMMYFUNCTION("IFERROR(
IF(REGEXMATCH(LOWER(O8669),""k""),
VALUE(REGEXEXTRACT(O8669,""[0-9]+""))*1000,
VALUE(REGEXEXTRACT(O8669,""[0-9]+""))
),
0
)"),0.0)</f>
        <v>0</v>
      </c>
      <c r="E8669" s="1" t="s">
        <v>11</v>
      </c>
      <c r="F8669" s="1" t="s">
        <v>12</v>
      </c>
      <c r="G8669" s="4" t="b">
        <f t="shared" si="2"/>
        <v>1</v>
      </c>
      <c r="H8669" s="1" t="str">
        <f t="shared" si="3"/>
        <v>Currently Unavailable</v>
      </c>
      <c r="I8669" s="1" t="str">
        <f t="shared" si="4"/>
        <v>No Badges</v>
      </c>
      <c r="J8669" s="3">
        <f t="shared" si="5"/>
        <v>0</v>
      </c>
    </row>
    <row r="8670">
      <c r="A8670" s="1" t="s">
        <v>6628</v>
      </c>
      <c r="B8670" s="3" t="str">
        <f t="shared" si="1"/>
        <v>Unavailable</v>
      </c>
      <c r="C8670" s="3">
        <v>959.0</v>
      </c>
      <c r="D8670" s="3">
        <f>IFERROR(__xludf.DUMMYFUNCTION("IFERROR(
IF(REGEXMATCH(LOWER(O8670),""k""),
VALUE(REGEXEXTRACT(O8670,""[0-9]+""))*1000,
VALUE(REGEXEXTRACT(O8670,""[0-9]+""))
),
0
)"),0.0)</f>
        <v>0</v>
      </c>
      <c r="E8670" s="1" t="s">
        <v>11</v>
      </c>
      <c r="F8670" s="1" t="s">
        <v>20</v>
      </c>
      <c r="G8670" s="4" t="b">
        <f t="shared" si="2"/>
        <v>1</v>
      </c>
      <c r="H8670" s="1" t="str">
        <f t="shared" si="3"/>
        <v>Currently Unavailable</v>
      </c>
      <c r="I8670" s="1" t="str">
        <f t="shared" si="4"/>
        <v>No Badges</v>
      </c>
      <c r="J8670" s="3">
        <f t="shared" si="5"/>
        <v>0</v>
      </c>
    </row>
    <row r="8671">
      <c r="A8671" s="1" t="s">
        <v>6629</v>
      </c>
      <c r="B8671" s="3" t="str">
        <f t="shared" si="1"/>
        <v>Unavailable</v>
      </c>
      <c r="C8671" s="3">
        <v>877.0</v>
      </c>
      <c r="D8671" s="3">
        <f>IFERROR(__xludf.DUMMYFUNCTION("IFERROR(
IF(REGEXMATCH(LOWER(O8671),""k""),
VALUE(REGEXEXTRACT(O8671,""[0-9]+""))*1000,
VALUE(REGEXEXTRACT(O8671,""[0-9]+""))
),
0
)"),0.0)</f>
        <v>0</v>
      </c>
      <c r="E8671" s="1" t="s">
        <v>11</v>
      </c>
      <c r="F8671" s="1" t="s">
        <v>20</v>
      </c>
      <c r="G8671" s="4" t="b">
        <f t="shared" si="2"/>
        <v>1</v>
      </c>
      <c r="H8671" s="1" t="str">
        <f t="shared" si="3"/>
        <v>Currently Unavailable</v>
      </c>
      <c r="I8671" s="1" t="str">
        <f t="shared" si="4"/>
        <v>No Badges</v>
      </c>
      <c r="J8671" s="3">
        <f t="shared" si="5"/>
        <v>0</v>
      </c>
    </row>
    <row r="8672">
      <c r="A8672" s="1" t="s">
        <v>6630</v>
      </c>
      <c r="B8672" s="3" t="str">
        <f t="shared" si="1"/>
        <v>Unavailable</v>
      </c>
      <c r="C8672" s="5">
        <v>10507.0</v>
      </c>
      <c r="D8672" s="3">
        <f>IFERROR(__xludf.DUMMYFUNCTION("IFERROR(
IF(REGEXMATCH(LOWER(O8672),""k""),
VALUE(REGEXEXTRACT(O8672,""[0-9]+""))*1000,
VALUE(REGEXEXTRACT(O8672,""[0-9]+""))
),
0
)"),0.0)</f>
        <v>0</v>
      </c>
      <c r="E8672" s="1" t="s">
        <v>11</v>
      </c>
      <c r="F8672" s="1" t="s">
        <v>20</v>
      </c>
      <c r="G8672" s="4" t="b">
        <f t="shared" si="2"/>
        <v>1</v>
      </c>
      <c r="H8672" s="1" t="str">
        <f t="shared" si="3"/>
        <v>Currently Unavailable</v>
      </c>
      <c r="I8672" s="1" t="str">
        <f t="shared" si="4"/>
        <v>No Badges</v>
      </c>
      <c r="J8672" s="3">
        <f t="shared" si="5"/>
        <v>0</v>
      </c>
    </row>
    <row r="8673">
      <c r="A8673" s="1" t="s">
        <v>6631</v>
      </c>
      <c r="B8673" s="3" t="str">
        <f t="shared" si="1"/>
        <v>Unavailable</v>
      </c>
      <c r="C8673" s="5">
        <v>8423.0</v>
      </c>
      <c r="D8673" s="3">
        <f>IFERROR(__xludf.DUMMYFUNCTION("IFERROR(
IF(REGEXMATCH(LOWER(O8673),""k""),
VALUE(REGEXEXTRACT(O8673,""[0-9]+""))*1000,
VALUE(REGEXEXTRACT(O8673,""[0-9]+""))
),
0
)"),0.0)</f>
        <v>0</v>
      </c>
      <c r="E8673" s="1" t="s">
        <v>11</v>
      </c>
      <c r="F8673" s="1" t="s">
        <v>20</v>
      </c>
      <c r="G8673" s="4" t="b">
        <f t="shared" si="2"/>
        <v>1</v>
      </c>
      <c r="H8673" s="1" t="str">
        <f t="shared" si="3"/>
        <v>Currently Unavailable</v>
      </c>
      <c r="I8673" s="1" t="str">
        <f t="shared" si="4"/>
        <v>No Badges</v>
      </c>
      <c r="J8673" s="3">
        <f t="shared" si="5"/>
        <v>0</v>
      </c>
    </row>
    <row r="8674">
      <c r="A8674" s="1" t="s">
        <v>6632</v>
      </c>
      <c r="B8674" s="3" t="str">
        <f t="shared" si="1"/>
        <v>Unavailable</v>
      </c>
      <c r="C8674" s="5">
        <v>2924.0</v>
      </c>
      <c r="D8674" s="3">
        <f>IFERROR(__xludf.DUMMYFUNCTION("IFERROR(
IF(REGEXMATCH(LOWER(O8674),""k""),
VALUE(REGEXEXTRACT(O8674,""[0-9]+""))*1000,
VALUE(REGEXEXTRACT(O8674,""[0-9]+""))
),
0
)"),0.0)</f>
        <v>0</v>
      </c>
      <c r="E8674" s="1" t="s">
        <v>11</v>
      </c>
      <c r="F8674" s="1" t="s">
        <v>20</v>
      </c>
      <c r="G8674" s="4" t="b">
        <f t="shared" si="2"/>
        <v>1</v>
      </c>
      <c r="H8674" s="1" t="str">
        <f t="shared" si="3"/>
        <v>Currently Unavailable</v>
      </c>
      <c r="I8674" s="1" t="str">
        <f t="shared" si="4"/>
        <v>No Badges</v>
      </c>
      <c r="J8674" s="3">
        <f t="shared" si="5"/>
        <v>0</v>
      </c>
    </row>
    <row r="8675">
      <c r="A8675" s="1" t="s">
        <v>6633</v>
      </c>
      <c r="B8675" s="3" t="str">
        <f t="shared" si="1"/>
        <v>Unavailable</v>
      </c>
      <c r="C8675" s="5">
        <v>17215.0</v>
      </c>
      <c r="D8675" s="3">
        <f>IFERROR(__xludf.DUMMYFUNCTION("IFERROR(
IF(REGEXMATCH(LOWER(O8675),""k""),
VALUE(REGEXEXTRACT(O8675,""[0-9]+""))*1000,
VALUE(REGEXEXTRACT(O8675,""[0-9]+""))
),
0
)"),0.0)</f>
        <v>0</v>
      </c>
      <c r="E8675" s="1" t="s">
        <v>11</v>
      </c>
      <c r="F8675" s="1" t="s">
        <v>20</v>
      </c>
      <c r="G8675" s="4" t="b">
        <f t="shared" si="2"/>
        <v>1</v>
      </c>
      <c r="H8675" s="1" t="str">
        <f t="shared" si="3"/>
        <v>Currently Unavailable</v>
      </c>
      <c r="I8675" s="1" t="str">
        <f t="shared" si="4"/>
        <v>No Badges</v>
      </c>
      <c r="J8675" s="3">
        <f t="shared" si="5"/>
        <v>0</v>
      </c>
    </row>
    <row r="8676">
      <c r="A8676" s="1" t="s">
        <v>6634</v>
      </c>
      <c r="B8676" s="3" t="str">
        <f t="shared" si="1"/>
        <v>Unavailable</v>
      </c>
      <c r="C8676" s="3">
        <v>502.0</v>
      </c>
      <c r="D8676" s="3">
        <f>IFERROR(__xludf.DUMMYFUNCTION("IFERROR(
IF(REGEXMATCH(LOWER(O8676),""k""),
VALUE(REGEXEXTRACT(O8676,""[0-9]+""))*1000,
VALUE(REGEXEXTRACT(O8676,""[0-9]+""))
),
0
)"),0.0)</f>
        <v>0</v>
      </c>
      <c r="E8676" s="1" t="s">
        <v>11</v>
      </c>
      <c r="F8676" s="1" t="s">
        <v>20</v>
      </c>
      <c r="G8676" s="4" t="b">
        <f t="shared" si="2"/>
        <v>1</v>
      </c>
      <c r="H8676" s="1" t="str">
        <f t="shared" si="3"/>
        <v>Currently Unavailable</v>
      </c>
      <c r="I8676" s="1" t="str">
        <f t="shared" si="4"/>
        <v>No Badges</v>
      </c>
      <c r="J8676" s="3">
        <f t="shared" si="5"/>
        <v>0</v>
      </c>
    </row>
    <row r="8677">
      <c r="A8677" s="1" t="s">
        <v>5817</v>
      </c>
      <c r="B8677" s="3" t="str">
        <f t="shared" si="1"/>
        <v>Unavailable</v>
      </c>
      <c r="C8677" s="5">
        <v>7235.0</v>
      </c>
      <c r="D8677" s="3">
        <f>IFERROR(__xludf.DUMMYFUNCTION("IFERROR(
IF(REGEXMATCH(LOWER(O8677),""k""),
VALUE(REGEXEXTRACT(O8677,""[0-9]+""))*1000,
VALUE(REGEXEXTRACT(O8677,""[0-9]+""))
),
0
)"),0.0)</f>
        <v>0</v>
      </c>
      <c r="E8677" s="1" t="s">
        <v>11</v>
      </c>
      <c r="F8677" s="1" t="s">
        <v>12</v>
      </c>
      <c r="G8677" s="4" t="b">
        <f t="shared" si="2"/>
        <v>1</v>
      </c>
      <c r="H8677" s="1" t="str">
        <f t="shared" si="3"/>
        <v>Currently Unavailable</v>
      </c>
      <c r="I8677" s="1" t="str">
        <f t="shared" si="4"/>
        <v>No Badges</v>
      </c>
      <c r="J8677" s="3">
        <f t="shared" si="5"/>
        <v>0</v>
      </c>
    </row>
    <row r="8678">
      <c r="A8678" s="1" t="s">
        <v>6635</v>
      </c>
      <c r="B8678" s="3" t="str">
        <f t="shared" si="1"/>
        <v>Unavailable</v>
      </c>
      <c r="C8678" s="3">
        <v>222.0</v>
      </c>
      <c r="D8678" s="3">
        <f>IFERROR(__xludf.DUMMYFUNCTION("IFERROR(
IF(REGEXMATCH(LOWER(O8678),""k""),
VALUE(REGEXEXTRACT(O8678,""[0-9]+""))*1000,
VALUE(REGEXEXTRACT(O8678,""[0-9]+""))
),
0
)"),0.0)</f>
        <v>0</v>
      </c>
      <c r="E8678" s="1" t="s">
        <v>11</v>
      </c>
      <c r="F8678" s="1" t="s">
        <v>20</v>
      </c>
      <c r="G8678" s="4" t="b">
        <f t="shared" si="2"/>
        <v>1</v>
      </c>
      <c r="H8678" s="1" t="str">
        <f t="shared" si="3"/>
        <v>Currently Unavailable</v>
      </c>
      <c r="I8678" s="1" t="str">
        <f t="shared" si="4"/>
        <v>No Badges</v>
      </c>
      <c r="J8678" s="3">
        <f t="shared" si="5"/>
        <v>0</v>
      </c>
    </row>
    <row r="8679">
      <c r="A8679" s="1" t="s">
        <v>6636</v>
      </c>
      <c r="B8679" s="3" t="str">
        <f t="shared" si="1"/>
        <v>Unavailable</v>
      </c>
      <c r="C8679" s="3">
        <v>636.0</v>
      </c>
      <c r="D8679" s="3">
        <f>IFERROR(__xludf.DUMMYFUNCTION("IFERROR(
IF(REGEXMATCH(LOWER(O8679),""k""),
VALUE(REGEXEXTRACT(O8679,""[0-9]+""))*1000,
VALUE(REGEXEXTRACT(O8679,""[0-9]+""))
),
0
)"),0.0)</f>
        <v>0</v>
      </c>
      <c r="E8679" s="1" t="s">
        <v>11</v>
      </c>
      <c r="F8679" s="1" t="s">
        <v>20</v>
      </c>
      <c r="G8679" s="4" t="b">
        <f t="shared" si="2"/>
        <v>1</v>
      </c>
      <c r="H8679" s="1" t="str">
        <f t="shared" si="3"/>
        <v>Currently Unavailable</v>
      </c>
      <c r="I8679" s="1" t="str">
        <f t="shared" si="4"/>
        <v>No Badges</v>
      </c>
      <c r="J8679" s="3">
        <f t="shared" si="5"/>
        <v>0</v>
      </c>
    </row>
    <row r="8680">
      <c r="A8680" s="1" t="s">
        <v>6637</v>
      </c>
      <c r="B8680" s="3" t="str">
        <f t="shared" si="1"/>
        <v>Unavailable</v>
      </c>
      <c r="C8680" s="3">
        <v>97.0</v>
      </c>
      <c r="D8680" s="3">
        <f>IFERROR(__xludf.DUMMYFUNCTION("IFERROR(
IF(REGEXMATCH(LOWER(O8680),""k""),
VALUE(REGEXEXTRACT(O8680,""[0-9]+""))*1000,
VALUE(REGEXEXTRACT(O8680,""[0-9]+""))
),
0
)"),0.0)</f>
        <v>0</v>
      </c>
      <c r="E8680" s="1" t="s">
        <v>11</v>
      </c>
      <c r="F8680" s="1" t="s">
        <v>20</v>
      </c>
      <c r="G8680" s="4" t="b">
        <f t="shared" si="2"/>
        <v>1</v>
      </c>
      <c r="H8680" s="1" t="str">
        <f t="shared" si="3"/>
        <v>Currently Unavailable</v>
      </c>
      <c r="I8680" s="1" t="str">
        <f t="shared" si="4"/>
        <v>No Badges</v>
      </c>
      <c r="J8680" s="3">
        <f t="shared" si="5"/>
        <v>0</v>
      </c>
    </row>
    <row r="8681">
      <c r="A8681" s="1" t="s">
        <v>6638</v>
      </c>
      <c r="B8681" s="3" t="str">
        <f t="shared" si="1"/>
        <v>Unavailable</v>
      </c>
      <c r="C8681" s="3">
        <v>609.0</v>
      </c>
      <c r="D8681" s="3">
        <f>IFERROR(__xludf.DUMMYFUNCTION("IFERROR(
IF(REGEXMATCH(LOWER(O8681),""k""),
VALUE(REGEXEXTRACT(O8681,""[0-9]+""))*1000,
VALUE(REGEXEXTRACT(O8681,""[0-9]+""))
),
0
)"),0.0)</f>
        <v>0</v>
      </c>
      <c r="E8681" s="1" t="s">
        <v>11</v>
      </c>
      <c r="F8681" s="1" t="s">
        <v>20</v>
      </c>
      <c r="G8681" s="4" t="b">
        <f t="shared" si="2"/>
        <v>1</v>
      </c>
      <c r="H8681" s="1" t="str">
        <f t="shared" si="3"/>
        <v>Currently Unavailable</v>
      </c>
      <c r="I8681" s="1" t="str">
        <f t="shared" si="4"/>
        <v>No Badges</v>
      </c>
      <c r="J8681" s="3">
        <f t="shared" si="5"/>
        <v>0</v>
      </c>
    </row>
    <row r="8682">
      <c r="A8682" s="1" t="s">
        <v>6639</v>
      </c>
      <c r="B8682" s="3" t="str">
        <f t="shared" si="1"/>
        <v>Unavailable</v>
      </c>
      <c r="C8682" s="3">
        <v>115.0</v>
      </c>
      <c r="D8682" s="3">
        <f>IFERROR(__xludf.DUMMYFUNCTION("IFERROR(
IF(REGEXMATCH(LOWER(O8682),""k""),
VALUE(REGEXEXTRACT(O8682,""[0-9]+""))*1000,
VALUE(REGEXEXTRACT(O8682,""[0-9]+""))
),
0
)"),0.0)</f>
        <v>0</v>
      </c>
      <c r="E8682" s="1" t="s">
        <v>11</v>
      </c>
      <c r="F8682" s="1" t="s">
        <v>20</v>
      </c>
      <c r="G8682" s="4" t="b">
        <f t="shared" si="2"/>
        <v>1</v>
      </c>
      <c r="H8682" s="1" t="str">
        <f t="shared" si="3"/>
        <v>Currently Unavailable</v>
      </c>
      <c r="I8682" s="1" t="str">
        <f t="shared" si="4"/>
        <v>No Badges</v>
      </c>
      <c r="J8682" s="3">
        <f t="shared" si="5"/>
        <v>0</v>
      </c>
    </row>
    <row r="8683">
      <c r="A8683" s="1" t="s">
        <v>6640</v>
      </c>
      <c r="B8683" s="3" t="str">
        <f t="shared" si="1"/>
        <v>Unavailable</v>
      </c>
      <c r="C8683" s="5">
        <v>1462.0</v>
      </c>
      <c r="D8683" s="3">
        <f>IFERROR(__xludf.DUMMYFUNCTION("IFERROR(
IF(REGEXMATCH(LOWER(O8683),""k""),
VALUE(REGEXEXTRACT(O8683,""[0-9]+""))*1000,
VALUE(REGEXEXTRACT(O8683,""[0-9]+""))
),
0
)"),0.0)</f>
        <v>0</v>
      </c>
      <c r="E8683" s="1" t="s">
        <v>11</v>
      </c>
      <c r="F8683" s="1" t="s">
        <v>20</v>
      </c>
      <c r="G8683" s="4" t="b">
        <f t="shared" si="2"/>
        <v>1</v>
      </c>
      <c r="H8683" s="1" t="str">
        <f t="shared" si="3"/>
        <v>Currently Unavailable</v>
      </c>
      <c r="I8683" s="1" t="str">
        <f t="shared" si="4"/>
        <v>No Badges</v>
      </c>
      <c r="J8683" s="3">
        <f t="shared" si="5"/>
        <v>0</v>
      </c>
    </row>
    <row r="8684">
      <c r="A8684" s="1" t="s">
        <v>6641</v>
      </c>
      <c r="B8684" s="3" t="str">
        <f t="shared" si="1"/>
        <v>Unavailable</v>
      </c>
      <c r="C8684" s="5">
        <v>9918.0</v>
      </c>
      <c r="D8684" s="3">
        <f>IFERROR(__xludf.DUMMYFUNCTION("IFERROR(
IF(REGEXMATCH(LOWER(O8684),""k""),
VALUE(REGEXEXTRACT(O8684,""[0-9]+""))*1000,
VALUE(REGEXEXTRACT(O8684,""[0-9]+""))
),
0
)"),0.0)</f>
        <v>0</v>
      </c>
      <c r="E8684" s="1" t="s">
        <v>11</v>
      </c>
      <c r="F8684" s="1" t="s">
        <v>20</v>
      </c>
      <c r="G8684" s="4" t="b">
        <f t="shared" si="2"/>
        <v>1</v>
      </c>
      <c r="H8684" s="1" t="str">
        <f t="shared" si="3"/>
        <v>Currently Unavailable</v>
      </c>
      <c r="I8684" s="1" t="str">
        <f t="shared" si="4"/>
        <v>No Badges</v>
      </c>
      <c r="J8684" s="3">
        <f t="shared" si="5"/>
        <v>0</v>
      </c>
    </row>
    <row r="8685">
      <c r="A8685" s="1" t="s">
        <v>6642</v>
      </c>
      <c r="B8685" s="3" t="str">
        <f t="shared" si="1"/>
        <v>Unavailable</v>
      </c>
      <c r="C8685" s="5">
        <v>7770.0</v>
      </c>
      <c r="D8685" s="3">
        <f>IFERROR(__xludf.DUMMYFUNCTION("IFERROR(
IF(REGEXMATCH(LOWER(O8685),""k""),
VALUE(REGEXEXTRACT(O8685,""[0-9]+""))*1000,
VALUE(REGEXEXTRACT(O8685,""[0-9]+""))
),
0
)"),0.0)</f>
        <v>0</v>
      </c>
      <c r="E8685" s="1" t="s">
        <v>11</v>
      </c>
      <c r="F8685" s="1" t="s">
        <v>20</v>
      </c>
      <c r="G8685" s="4" t="b">
        <f t="shared" si="2"/>
        <v>1</v>
      </c>
      <c r="H8685" s="1" t="str">
        <f t="shared" si="3"/>
        <v>Currently Unavailable</v>
      </c>
      <c r="I8685" s="1" t="str">
        <f t="shared" si="4"/>
        <v>No Badges</v>
      </c>
      <c r="J8685" s="3">
        <f t="shared" si="5"/>
        <v>0</v>
      </c>
    </row>
    <row r="8686">
      <c r="A8686" s="1" t="s">
        <v>6643</v>
      </c>
      <c r="B8686" s="3" t="str">
        <f t="shared" si="1"/>
        <v>Unavailable</v>
      </c>
      <c r="C8686" s="3">
        <v>16.0</v>
      </c>
      <c r="D8686" s="3">
        <f>IFERROR(__xludf.DUMMYFUNCTION("IFERROR(
IF(REGEXMATCH(LOWER(O8686),""k""),
VALUE(REGEXEXTRACT(O8686,""[0-9]+""))*1000,
VALUE(REGEXEXTRACT(O8686,""[0-9]+""))
),
0
)"),0.0)</f>
        <v>0</v>
      </c>
      <c r="E8686" s="1" t="s">
        <v>11</v>
      </c>
      <c r="F8686" s="1" t="s">
        <v>20</v>
      </c>
      <c r="G8686" s="4" t="b">
        <f t="shared" si="2"/>
        <v>1</v>
      </c>
      <c r="H8686" s="1" t="str">
        <f t="shared" si="3"/>
        <v>Currently Unavailable</v>
      </c>
      <c r="I8686" s="1" t="str">
        <f t="shared" si="4"/>
        <v>No Badges</v>
      </c>
      <c r="J8686" s="3">
        <f t="shared" si="5"/>
        <v>0</v>
      </c>
    </row>
    <row r="8687">
      <c r="A8687" s="1" t="s">
        <v>5817</v>
      </c>
      <c r="B8687" s="3" t="str">
        <f t="shared" si="1"/>
        <v>Unavailable</v>
      </c>
      <c r="C8687" s="5">
        <v>7235.0</v>
      </c>
      <c r="D8687" s="3">
        <f>IFERROR(__xludf.DUMMYFUNCTION("IFERROR(
IF(REGEXMATCH(LOWER(O8687),""k""),
VALUE(REGEXEXTRACT(O8687,""[0-9]+""))*1000,
VALUE(REGEXEXTRACT(O8687,""[0-9]+""))
),
0
)"),0.0)</f>
        <v>0</v>
      </c>
      <c r="E8687" s="1" t="s">
        <v>11</v>
      </c>
      <c r="F8687" s="1" t="s">
        <v>12</v>
      </c>
      <c r="G8687" s="4" t="b">
        <f t="shared" si="2"/>
        <v>1</v>
      </c>
      <c r="H8687" s="1" t="str">
        <f t="shared" si="3"/>
        <v>Currently Unavailable</v>
      </c>
      <c r="I8687" s="1" t="str">
        <f t="shared" si="4"/>
        <v>No Badges</v>
      </c>
      <c r="J8687" s="3">
        <f t="shared" si="5"/>
        <v>0</v>
      </c>
    </row>
    <row r="8688">
      <c r="A8688" s="1" t="s">
        <v>6644</v>
      </c>
      <c r="B8688" s="3" t="str">
        <f t="shared" si="1"/>
        <v>Unavailable</v>
      </c>
      <c r="C8688" s="5">
        <v>1452.0</v>
      </c>
      <c r="D8688" s="3">
        <f>IFERROR(__xludf.DUMMYFUNCTION("IFERROR(
IF(REGEXMATCH(LOWER(O8688),""k""),
VALUE(REGEXEXTRACT(O8688,""[0-9]+""))*1000,
VALUE(REGEXEXTRACT(O8688,""[0-9]+""))
),
0
)"),0.0)</f>
        <v>0</v>
      </c>
      <c r="E8688" s="1" t="s">
        <v>11</v>
      </c>
      <c r="F8688" s="1" t="s">
        <v>20</v>
      </c>
      <c r="G8688" s="4" t="b">
        <f t="shared" si="2"/>
        <v>1</v>
      </c>
      <c r="H8688" s="1" t="str">
        <f t="shared" si="3"/>
        <v>Currently Unavailable</v>
      </c>
      <c r="I8688" s="1" t="str">
        <f t="shared" si="4"/>
        <v>No Badges</v>
      </c>
      <c r="J8688" s="3">
        <f t="shared" si="5"/>
        <v>0</v>
      </c>
    </row>
    <row r="8689">
      <c r="A8689" s="1" t="s">
        <v>6645</v>
      </c>
      <c r="B8689" s="3" t="str">
        <f t="shared" si="1"/>
        <v>Unavailable</v>
      </c>
      <c r="C8689" s="5">
        <v>10025.0</v>
      </c>
      <c r="D8689" s="3">
        <f>IFERROR(__xludf.DUMMYFUNCTION("IFERROR(
IF(REGEXMATCH(LOWER(O8689),""k""),
VALUE(REGEXEXTRACT(O8689,""[0-9]+""))*1000,
VALUE(REGEXEXTRACT(O8689,""[0-9]+""))
),
0
)"),0.0)</f>
        <v>0</v>
      </c>
      <c r="E8689" s="1" t="s">
        <v>11</v>
      </c>
      <c r="F8689" s="1" t="s">
        <v>20</v>
      </c>
      <c r="G8689" s="4" t="b">
        <f t="shared" si="2"/>
        <v>1</v>
      </c>
      <c r="H8689" s="1" t="str">
        <f t="shared" si="3"/>
        <v>Currently Unavailable</v>
      </c>
      <c r="I8689" s="1" t="str">
        <f t="shared" si="4"/>
        <v>No Badges</v>
      </c>
      <c r="J8689" s="3">
        <f t="shared" si="5"/>
        <v>0</v>
      </c>
    </row>
    <row r="8690">
      <c r="A8690" s="1" t="s">
        <v>6646</v>
      </c>
      <c r="B8690" s="3" t="str">
        <f t="shared" si="1"/>
        <v>Unavailable</v>
      </c>
      <c r="C8690" s="5">
        <v>3996.0</v>
      </c>
      <c r="D8690" s="3">
        <f>IFERROR(__xludf.DUMMYFUNCTION("IFERROR(
IF(REGEXMATCH(LOWER(O8690),""k""),
VALUE(REGEXEXTRACT(O8690,""[0-9]+""))*1000,
VALUE(REGEXEXTRACT(O8690,""[0-9]+""))
),
0
)"),0.0)</f>
        <v>0</v>
      </c>
      <c r="E8690" s="1" t="s">
        <v>11</v>
      </c>
      <c r="F8690" s="1" t="s">
        <v>20</v>
      </c>
      <c r="G8690" s="4" t="b">
        <f t="shared" si="2"/>
        <v>1</v>
      </c>
      <c r="H8690" s="1" t="str">
        <f t="shared" si="3"/>
        <v>Currently Unavailable</v>
      </c>
      <c r="I8690" s="1" t="str">
        <f t="shared" si="4"/>
        <v>No Badges</v>
      </c>
      <c r="J8690" s="3">
        <f t="shared" si="5"/>
        <v>0</v>
      </c>
    </row>
    <row r="8691">
      <c r="A8691" s="1" t="s">
        <v>6647</v>
      </c>
      <c r="B8691" s="3" t="str">
        <f t="shared" si="1"/>
        <v>Unavailable</v>
      </c>
      <c r="C8691" s="5">
        <v>11595.0</v>
      </c>
      <c r="D8691" s="3">
        <f>IFERROR(__xludf.DUMMYFUNCTION("IFERROR(
IF(REGEXMATCH(LOWER(O8691),""k""),
VALUE(REGEXEXTRACT(O8691,""[0-9]+""))*1000,
VALUE(REGEXEXTRACT(O8691,""[0-9]+""))
),
0
)"),0.0)</f>
        <v>0</v>
      </c>
      <c r="E8691" s="1" t="s">
        <v>11</v>
      </c>
      <c r="F8691" s="1" t="s">
        <v>20</v>
      </c>
      <c r="G8691" s="4" t="b">
        <f t="shared" si="2"/>
        <v>1</v>
      </c>
      <c r="H8691" s="1" t="str">
        <f t="shared" si="3"/>
        <v>Currently Unavailable</v>
      </c>
      <c r="I8691" s="1" t="str">
        <f t="shared" si="4"/>
        <v>No Badges</v>
      </c>
      <c r="J8691" s="3">
        <f t="shared" si="5"/>
        <v>0</v>
      </c>
    </row>
    <row r="8692">
      <c r="A8692" s="1" t="s">
        <v>6648</v>
      </c>
      <c r="B8692" s="3" t="str">
        <f t="shared" si="1"/>
        <v>Unavailable</v>
      </c>
      <c r="C8692" s="3">
        <v>182.0</v>
      </c>
      <c r="D8692" s="3">
        <f>IFERROR(__xludf.DUMMYFUNCTION("IFERROR(
IF(REGEXMATCH(LOWER(O8692),""k""),
VALUE(REGEXEXTRACT(O8692,""[0-9]+""))*1000,
VALUE(REGEXEXTRACT(O8692,""[0-9]+""))
),
0
)"),0.0)</f>
        <v>0</v>
      </c>
      <c r="E8692" s="1" t="s">
        <v>11</v>
      </c>
      <c r="F8692" s="1" t="s">
        <v>20</v>
      </c>
      <c r="G8692" s="4" t="b">
        <f t="shared" si="2"/>
        <v>1</v>
      </c>
      <c r="H8692" s="1" t="str">
        <f t="shared" si="3"/>
        <v>Currently Unavailable</v>
      </c>
      <c r="I8692" s="1" t="str">
        <f t="shared" si="4"/>
        <v>No Badges</v>
      </c>
      <c r="J8692" s="3">
        <f t="shared" si="5"/>
        <v>0</v>
      </c>
    </row>
    <row r="8693">
      <c r="A8693" s="1" t="s">
        <v>6649</v>
      </c>
      <c r="B8693" s="3" t="str">
        <f t="shared" si="1"/>
        <v>Unavailable</v>
      </c>
      <c r="C8693" s="3">
        <v>90.0</v>
      </c>
      <c r="D8693" s="3">
        <f>IFERROR(__xludf.DUMMYFUNCTION("IFERROR(
IF(REGEXMATCH(LOWER(O8693),""k""),
VALUE(REGEXEXTRACT(O8693,""[0-9]+""))*1000,
VALUE(REGEXEXTRACT(O8693,""[0-9]+""))
),
0
)"),0.0)</f>
        <v>0</v>
      </c>
      <c r="E8693" s="1" t="s">
        <v>11</v>
      </c>
      <c r="F8693" s="1" t="s">
        <v>20</v>
      </c>
      <c r="G8693" s="4" t="b">
        <f t="shared" si="2"/>
        <v>1</v>
      </c>
      <c r="H8693" s="1" t="str">
        <f t="shared" si="3"/>
        <v>Currently Unavailable</v>
      </c>
      <c r="I8693" s="1" t="str">
        <f t="shared" si="4"/>
        <v>No Badges</v>
      </c>
      <c r="J8693" s="3">
        <f t="shared" si="5"/>
        <v>0</v>
      </c>
    </row>
    <row r="8694">
      <c r="A8694" s="1" t="s">
        <v>6650</v>
      </c>
      <c r="B8694" s="3" t="str">
        <f t="shared" si="1"/>
        <v>Unavailable</v>
      </c>
      <c r="C8694" s="3">
        <v>3.0</v>
      </c>
      <c r="D8694" s="3">
        <f>IFERROR(__xludf.DUMMYFUNCTION("IFERROR(
IF(REGEXMATCH(LOWER(O8694),""k""),
VALUE(REGEXEXTRACT(O8694,""[0-9]+""))*1000,
VALUE(REGEXEXTRACT(O8694,""[0-9]+""))
),
0
)"),0.0)</f>
        <v>0</v>
      </c>
      <c r="E8694" s="1" t="s">
        <v>11</v>
      </c>
      <c r="F8694" s="1" t="s">
        <v>12</v>
      </c>
      <c r="G8694" s="4" t="b">
        <f t="shared" si="2"/>
        <v>1</v>
      </c>
      <c r="H8694" s="1" t="str">
        <f t="shared" si="3"/>
        <v>Currently Unavailable</v>
      </c>
      <c r="I8694" s="1" t="str">
        <f t="shared" si="4"/>
        <v>No Badges</v>
      </c>
      <c r="J8694" s="3">
        <f t="shared" si="5"/>
        <v>0</v>
      </c>
    </row>
    <row r="8695">
      <c r="A8695" s="1" t="s">
        <v>88</v>
      </c>
      <c r="B8695" s="3" t="str">
        <f t="shared" si="1"/>
        <v>Unavailable</v>
      </c>
      <c r="C8695" s="3">
        <v>6.0</v>
      </c>
      <c r="D8695" s="3">
        <f>IFERROR(__xludf.DUMMYFUNCTION("IFERROR(
IF(REGEXMATCH(LOWER(O8695),""k""),
VALUE(REGEXEXTRACT(O8695,""[0-9]+""))*1000,
VALUE(REGEXEXTRACT(O8695,""[0-9]+""))
),
0
)"),0.0)</f>
        <v>0</v>
      </c>
      <c r="E8695" s="1" t="s">
        <v>11</v>
      </c>
      <c r="F8695" s="1" t="s">
        <v>12</v>
      </c>
      <c r="G8695" s="4" t="b">
        <f t="shared" si="2"/>
        <v>1</v>
      </c>
      <c r="H8695" s="1" t="str">
        <f t="shared" si="3"/>
        <v>Currently Unavailable</v>
      </c>
      <c r="I8695" s="1" t="str">
        <f t="shared" si="4"/>
        <v>No Badges</v>
      </c>
      <c r="J8695" s="3">
        <f t="shared" si="5"/>
        <v>0</v>
      </c>
    </row>
    <row r="8696">
      <c r="A8696" s="1" t="s">
        <v>6651</v>
      </c>
      <c r="B8696" s="3" t="str">
        <f t="shared" si="1"/>
        <v>Unavailable</v>
      </c>
      <c r="C8696" s="3">
        <v>776.0</v>
      </c>
      <c r="D8696" s="3">
        <f>IFERROR(__xludf.DUMMYFUNCTION("IFERROR(
IF(REGEXMATCH(LOWER(O8696),""k""),
VALUE(REGEXEXTRACT(O8696,""[0-9]+""))*1000,
VALUE(REGEXEXTRACT(O8696,""[0-9]+""))
),
0
)"),0.0)</f>
        <v>0</v>
      </c>
      <c r="E8696" s="1" t="s">
        <v>11</v>
      </c>
      <c r="F8696" s="1" t="s">
        <v>20</v>
      </c>
      <c r="G8696" s="4" t="b">
        <f t="shared" si="2"/>
        <v>1</v>
      </c>
      <c r="H8696" s="1" t="str">
        <f t="shared" si="3"/>
        <v>Currently Unavailable</v>
      </c>
      <c r="I8696" s="1" t="str">
        <f t="shared" si="4"/>
        <v>No Badges</v>
      </c>
      <c r="J8696" s="3">
        <f t="shared" si="5"/>
        <v>0</v>
      </c>
    </row>
    <row r="8697">
      <c r="A8697" s="1" t="s">
        <v>6652</v>
      </c>
      <c r="B8697" s="3" t="str">
        <f t="shared" si="1"/>
        <v>Unavailable</v>
      </c>
      <c r="C8697" s="5">
        <v>3143.0</v>
      </c>
      <c r="D8697" s="3">
        <f>IFERROR(__xludf.DUMMYFUNCTION("IFERROR(
IF(REGEXMATCH(LOWER(O8697),""k""),
VALUE(REGEXEXTRACT(O8697,""[0-9]+""))*1000,
VALUE(REGEXEXTRACT(O8697,""[0-9]+""))
),
0
)"),0.0)</f>
        <v>0</v>
      </c>
      <c r="E8697" s="1" t="s">
        <v>11</v>
      </c>
      <c r="F8697" s="1" t="s">
        <v>20</v>
      </c>
      <c r="G8697" s="4" t="b">
        <f t="shared" si="2"/>
        <v>1</v>
      </c>
      <c r="H8697" s="1" t="str">
        <f t="shared" si="3"/>
        <v>Currently Unavailable</v>
      </c>
      <c r="I8697" s="1" t="str">
        <f t="shared" si="4"/>
        <v>No Badges</v>
      </c>
      <c r="J8697" s="3">
        <f t="shared" si="5"/>
        <v>0</v>
      </c>
    </row>
    <row r="8698">
      <c r="A8698" s="1" t="s">
        <v>6652</v>
      </c>
      <c r="B8698" s="3" t="str">
        <f t="shared" si="1"/>
        <v>Unavailable</v>
      </c>
      <c r="C8698" s="5">
        <v>3143.0</v>
      </c>
      <c r="D8698" s="3">
        <f>IFERROR(__xludf.DUMMYFUNCTION("IFERROR(
IF(REGEXMATCH(LOWER(O8698),""k""),
VALUE(REGEXEXTRACT(O8698,""[0-9]+""))*1000,
VALUE(REGEXEXTRACT(O8698,""[0-9]+""))
),
0
)"),0.0)</f>
        <v>0</v>
      </c>
      <c r="E8698" s="1" t="s">
        <v>11</v>
      </c>
      <c r="F8698" s="1" t="s">
        <v>20</v>
      </c>
      <c r="G8698" s="4" t="b">
        <f t="shared" si="2"/>
        <v>1</v>
      </c>
      <c r="H8698" s="1" t="str">
        <f t="shared" si="3"/>
        <v>Currently Unavailable</v>
      </c>
      <c r="I8698" s="1" t="str">
        <f t="shared" si="4"/>
        <v>No Badges</v>
      </c>
      <c r="J8698" s="3">
        <f t="shared" si="5"/>
        <v>0</v>
      </c>
    </row>
    <row r="8699">
      <c r="A8699" s="1" t="s">
        <v>6653</v>
      </c>
      <c r="B8699" s="3" t="str">
        <f t="shared" si="1"/>
        <v>Unavailable</v>
      </c>
      <c r="C8699" s="5">
        <v>3086.0</v>
      </c>
      <c r="D8699" s="3">
        <f>IFERROR(__xludf.DUMMYFUNCTION("IFERROR(
IF(REGEXMATCH(LOWER(O8699),""k""),
VALUE(REGEXEXTRACT(O8699,""[0-9]+""))*1000,
VALUE(REGEXEXTRACT(O8699,""[0-9]+""))
),
0
)"),0.0)</f>
        <v>0</v>
      </c>
      <c r="E8699" s="1" t="s">
        <v>11</v>
      </c>
      <c r="F8699" s="1" t="s">
        <v>20</v>
      </c>
      <c r="G8699" s="4" t="b">
        <f t="shared" si="2"/>
        <v>1</v>
      </c>
      <c r="H8699" s="1" t="str">
        <f t="shared" si="3"/>
        <v>Currently Unavailable</v>
      </c>
      <c r="I8699" s="1" t="str">
        <f t="shared" si="4"/>
        <v>No Badges</v>
      </c>
      <c r="J8699" s="3">
        <f t="shared" si="5"/>
        <v>0</v>
      </c>
    </row>
    <row r="8700">
      <c r="A8700" s="1" t="s">
        <v>6654</v>
      </c>
      <c r="B8700" s="3" t="str">
        <f t="shared" si="1"/>
        <v>Unavailable</v>
      </c>
      <c r="C8700" s="5">
        <v>5034.0</v>
      </c>
      <c r="D8700" s="3">
        <f>IFERROR(__xludf.DUMMYFUNCTION("IFERROR(
IF(REGEXMATCH(LOWER(O8700),""k""),
VALUE(REGEXEXTRACT(O8700,""[0-9]+""))*1000,
VALUE(REGEXEXTRACT(O8700,""[0-9]+""))
),
0
)"),0.0)</f>
        <v>0</v>
      </c>
      <c r="E8700" s="1" t="s">
        <v>11</v>
      </c>
      <c r="F8700" s="1" t="s">
        <v>20</v>
      </c>
      <c r="G8700" s="4" t="b">
        <f t="shared" si="2"/>
        <v>1</v>
      </c>
      <c r="H8700" s="1" t="str">
        <f t="shared" si="3"/>
        <v>Currently Unavailable</v>
      </c>
      <c r="I8700" s="1" t="str">
        <f t="shared" si="4"/>
        <v>No Badges</v>
      </c>
      <c r="J8700" s="3">
        <f t="shared" si="5"/>
        <v>0</v>
      </c>
    </row>
    <row r="8701">
      <c r="A8701" s="1" t="s">
        <v>6655</v>
      </c>
      <c r="B8701" s="3" t="str">
        <f t="shared" si="1"/>
        <v>Unavailable</v>
      </c>
      <c r="C8701" s="3">
        <v>182.0</v>
      </c>
      <c r="D8701" s="3">
        <f>IFERROR(__xludf.DUMMYFUNCTION("IFERROR(
IF(REGEXMATCH(LOWER(O8701),""k""),
VALUE(REGEXEXTRACT(O8701,""[0-9]+""))*1000,
VALUE(REGEXEXTRACT(O8701,""[0-9]+""))
),
0
)"),0.0)</f>
        <v>0</v>
      </c>
      <c r="E8701" s="1" t="s">
        <v>11</v>
      </c>
      <c r="F8701" s="1" t="s">
        <v>20</v>
      </c>
      <c r="G8701" s="4" t="b">
        <f t="shared" si="2"/>
        <v>1</v>
      </c>
      <c r="H8701" s="1" t="str">
        <f t="shared" si="3"/>
        <v>Currently Unavailable</v>
      </c>
      <c r="I8701" s="1" t="str">
        <f t="shared" si="4"/>
        <v>No Badges</v>
      </c>
      <c r="J8701" s="3">
        <f t="shared" si="5"/>
        <v>0</v>
      </c>
    </row>
    <row r="8702">
      <c r="A8702" s="1" t="s">
        <v>6656</v>
      </c>
      <c r="B8702" s="3" t="str">
        <f t="shared" si="1"/>
        <v>Unavailable</v>
      </c>
      <c r="C8702" s="5">
        <v>3116.0</v>
      </c>
      <c r="D8702" s="3">
        <f>IFERROR(__xludf.DUMMYFUNCTION("IFERROR(
IF(REGEXMATCH(LOWER(O8702),""k""),
VALUE(REGEXEXTRACT(O8702,""[0-9]+""))*1000,
VALUE(REGEXEXTRACT(O8702,""[0-9]+""))
),
0
)"),0.0)</f>
        <v>0</v>
      </c>
      <c r="E8702" s="1" t="s">
        <v>18</v>
      </c>
      <c r="F8702" s="1" t="s">
        <v>20</v>
      </c>
      <c r="G8702" s="4" t="b">
        <f t="shared" si="2"/>
        <v>1</v>
      </c>
      <c r="H8702" s="1" t="str">
        <f t="shared" si="3"/>
        <v>Currently Unavailable</v>
      </c>
      <c r="I8702" s="1" t="str">
        <f t="shared" si="4"/>
        <v>No Badges</v>
      </c>
      <c r="J8702" s="3">
        <f t="shared" si="5"/>
        <v>0</v>
      </c>
    </row>
    <row r="8703">
      <c r="A8703" s="1" t="s">
        <v>6657</v>
      </c>
      <c r="B8703" s="3" t="str">
        <f t="shared" si="1"/>
        <v>Unavailable</v>
      </c>
      <c r="C8703" s="5">
        <v>9802.0</v>
      </c>
      <c r="D8703" s="3">
        <f>IFERROR(__xludf.DUMMYFUNCTION("IFERROR(
IF(REGEXMATCH(LOWER(O8703),""k""),
VALUE(REGEXEXTRACT(O8703,""[0-9]+""))*1000,
VALUE(REGEXEXTRACT(O8703,""[0-9]+""))
),
0
)"),0.0)</f>
        <v>0</v>
      </c>
      <c r="E8703" s="1" t="s">
        <v>11</v>
      </c>
      <c r="F8703" s="1" t="s">
        <v>20</v>
      </c>
      <c r="G8703" s="4" t="b">
        <f t="shared" si="2"/>
        <v>1</v>
      </c>
      <c r="H8703" s="1" t="str">
        <f t="shared" si="3"/>
        <v>Currently Unavailable</v>
      </c>
      <c r="I8703" s="1" t="str">
        <f t="shared" si="4"/>
        <v>No Badges</v>
      </c>
      <c r="J8703" s="3">
        <f t="shared" si="5"/>
        <v>0</v>
      </c>
    </row>
    <row r="8704">
      <c r="A8704" s="1" t="s">
        <v>6658</v>
      </c>
      <c r="B8704" s="3" t="str">
        <f t="shared" si="1"/>
        <v>Unavailable</v>
      </c>
      <c r="C8704" s="5">
        <v>6132.0</v>
      </c>
      <c r="D8704" s="3">
        <f>IFERROR(__xludf.DUMMYFUNCTION("IFERROR(
IF(REGEXMATCH(LOWER(O8704),""k""),
VALUE(REGEXEXTRACT(O8704,""[0-9]+""))*1000,
VALUE(REGEXEXTRACT(O8704,""[0-9]+""))
),
0
)"),0.0)</f>
        <v>0</v>
      </c>
      <c r="E8704" s="1" t="s">
        <v>11</v>
      </c>
      <c r="F8704" s="1" t="s">
        <v>20</v>
      </c>
      <c r="G8704" s="4" t="b">
        <f t="shared" si="2"/>
        <v>1</v>
      </c>
      <c r="H8704" s="1" t="str">
        <f t="shared" si="3"/>
        <v>Currently Unavailable</v>
      </c>
      <c r="I8704" s="1" t="str">
        <f t="shared" si="4"/>
        <v>No Badges</v>
      </c>
      <c r="J8704" s="3">
        <f t="shared" si="5"/>
        <v>0</v>
      </c>
    </row>
    <row r="8705">
      <c r="A8705" s="1" t="s">
        <v>6659</v>
      </c>
      <c r="B8705" s="3" t="str">
        <f t="shared" si="1"/>
        <v>Unavailable</v>
      </c>
      <c r="C8705" s="5">
        <v>1371.0</v>
      </c>
      <c r="D8705" s="3">
        <f>IFERROR(__xludf.DUMMYFUNCTION("IFERROR(
IF(REGEXMATCH(LOWER(O8705),""k""),
VALUE(REGEXEXTRACT(O8705,""[0-9]+""))*1000,
VALUE(REGEXEXTRACT(O8705,""[0-9]+""))
),
0
)"),0.0)</f>
        <v>0</v>
      </c>
      <c r="E8705" s="1" t="s">
        <v>11</v>
      </c>
      <c r="F8705" s="1" t="s">
        <v>20</v>
      </c>
      <c r="G8705" s="4" t="b">
        <f t="shared" si="2"/>
        <v>1</v>
      </c>
      <c r="H8705" s="1" t="str">
        <f t="shared" si="3"/>
        <v>Currently Unavailable</v>
      </c>
      <c r="I8705" s="1" t="str">
        <f t="shared" si="4"/>
        <v>No Badges</v>
      </c>
      <c r="J8705" s="3">
        <f t="shared" si="5"/>
        <v>0</v>
      </c>
    </row>
    <row r="8706">
      <c r="A8706" s="1" t="s">
        <v>5817</v>
      </c>
      <c r="B8706" s="3" t="str">
        <f t="shared" si="1"/>
        <v>Unavailable</v>
      </c>
      <c r="C8706" s="5">
        <v>7235.0</v>
      </c>
      <c r="D8706" s="3">
        <f>IFERROR(__xludf.DUMMYFUNCTION("IFERROR(
IF(REGEXMATCH(LOWER(O8706),""k""),
VALUE(REGEXEXTRACT(O8706,""[0-9]+""))*1000,
VALUE(REGEXEXTRACT(O8706,""[0-9]+""))
),
0
)"),0.0)</f>
        <v>0</v>
      </c>
      <c r="E8706" s="1" t="s">
        <v>11</v>
      </c>
      <c r="F8706" s="1" t="s">
        <v>12</v>
      </c>
      <c r="G8706" s="4" t="b">
        <f t="shared" si="2"/>
        <v>1</v>
      </c>
      <c r="H8706" s="1" t="str">
        <f t="shared" si="3"/>
        <v>Currently Unavailable</v>
      </c>
      <c r="I8706" s="1" t="str">
        <f t="shared" si="4"/>
        <v>No Badges</v>
      </c>
      <c r="J8706" s="3">
        <f t="shared" si="5"/>
        <v>0</v>
      </c>
    </row>
    <row r="8707">
      <c r="A8707" s="1" t="s">
        <v>6660</v>
      </c>
      <c r="B8707" s="3" t="str">
        <f t="shared" si="1"/>
        <v>Unavailable</v>
      </c>
      <c r="C8707" s="5">
        <v>4737.0</v>
      </c>
      <c r="D8707" s="3">
        <f>IFERROR(__xludf.DUMMYFUNCTION("IFERROR(
IF(REGEXMATCH(LOWER(O8707),""k""),
VALUE(REGEXEXTRACT(O8707,""[0-9]+""))*1000,
VALUE(REGEXEXTRACT(O8707,""[0-9]+""))
),
0
)"),0.0)</f>
        <v>0</v>
      </c>
      <c r="E8707" s="1" t="s">
        <v>11</v>
      </c>
      <c r="F8707" s="1" t="s">
        <v>20</v>
      </c>
      <c r="G8707" s="4" t="b">
        <f t="shared" si="2"/>
        <v>1</v>
      </c>
      <c r="H8707" s="1" t="str">
        <f t="shared" si="3"/>
        <v>Currently Unavailable</v>
      </c>
      <c r="I8707" s="1" t="str">
        <f t="shared" si="4"/>
        <v>No Badges</v>
      </c>
      <c r="J8707" s="3">
        <f t="shared" si="5"/>
        <v>0</v>
      </c>
    </row>
    <row r="8708">
      <c r="A8708" s="1" t="s">
        <v>701</v>
      </c>
      <c r="B8708" s="3" t="str">
        <f t="shared" si="1"/>
        <v>Unavailable</v>
      </c>
      <c r="C8708" s="3">
        <v>8.0</v>
      </c>
      <c r="D8708" s="3">
        <f>IFERROR(__xludf.DUMMYFUNCTION("IFERROR(
IF(REGEXMATCH(LOWER(O8708),""k""),
VALUE(REGEXEXTRACT(O8708,""[0-9]+""))*1000,
VALUE(REGEXEXTRACT(O8708,""[0-9]+""))
),
0
)"),0.0)</f>
        <v>0</v>
      </c>
      <c r="E8708" s="1" t="s">
        <v>11</v>
      </c>
      <c r="F8708" s="1" t="s">
        <v>12</v>
      </c>
      <c r="G8708" s="4" t="b">
        <f t="shared" si="2"/>
        <v>1</v>
      </c>
      <c r="H8708" s="1" t="str">
        <f t="shared" si="3"/>
        <v>Currently Unavailable</v>
      </c>
      <c r="I8708" s="1" t="str">
        <f t="shared" si="4"/>
        <v>No Badges</v>
      </c>
      <c r="J8708" s="3">
        <f t="shared" si="5"/>
        <v>0</v>
      </c>
    </row>
    <row r="8709">
      <c r="A8709" s="1" t="s">
        <v>6661</v>
      </c>
      <c r="B8709" s="3" t="str">
        <f t="shared" si="1"/>
        <v>Unavailable</v>
      </c>
      <c r="C8709" s="3">
        <v>24.0</v>
      </c>
      <c r="D8709" s="3">
        <f>IFERROR(__xludf.DUMMYFUNCTION("IFERROR(
IF(REGEXMATCH(LOWER(O8709),""k""),
VALUE(REGEXEXTRACT(O8709,""[0-9]+""))*1000,
VALUE(REGEXEXTRACT(O8709,""[0-9]+""))
),
0
)"),0.0)</f>
        <v>0</v>
      </c>
      <c r="E8709" s="1" t="s">
        <v>11</v>
      </c>
      <c r="F8709" s="1" t="s">
        <v>12</v>
      </c>
      <c r="G8709" s="4" t="b">
        <f t="shared" si="2"/>
        <v>1</v>
      </c>
      <c r="H8709" s="1" t="str">
        <f t="shared" si="3"/>
        <v>Currently Unavailable</v>
      </c>
      <c r="I8709" s="1" t="str">
        <f t="shared" si="4"/>
        <v>No Badges</v>
      </c>
      <c r="J8709" s="3">
        <f t="shared" si="5"/>
        <v>0</v>
      </c>
    </row>
    <row r="8710">
      <c r="A8710" s="1" t="s">
        <v>6662</v>
      </c>
      <c r="B8710" s="3" t="str">
        <f t="shared" si="1"/>
        <v>Unavailable</v>
      </c>
      <c r="C8710" s="5">
        <v>1886.0</v>
      </c>
      <c r="D8710" s="3">
        <f>IFERROR(__xludf.DUMMYFUNCTION("IFERROR(
IF(REGEXMATCH(LOWER(O8710),""k""),
VALUE(REGEXEXTRACT(O8710,""[0-9]+""))*1000,
VALUE(REGEXEXTRACT(O8710,""[0-9]+""))
),
0
)"),0.0)</f>
        <v>0</v>
      </c>
      <c r="E8710" s="1" t="s">
        <v>11</v>
      </c>
      <c r="F8710" s="1" t="s">
        <v>12</v>
      </c>
      <c r="G8710" s="4" t="b">
        <f t="shared" si="2"/>
        <v>1</v>
      </c>
      <c r="H8710" s="1" t="str">
        <f t="shared" si="3"/>
        <v>Currently Unavailable</v>
      </c>
      <c r="I8710" s="1" t="str">
        <f t="shared" si="4"/>
        <v>No Badges</v>
      </c>
      <c r="J8710" s="3">
        <f t="shared" si="5"/>
        <v>0</v>
      </c>
    </row>
    <row r="8711">
      <c r="A8711" s="1" t="s">
        <v>6663</v>
      </c>
      <c r="B8711" s="3" t="str">
        <f t="shared" si="1"/>
        <v>Unavailable</v>
      </c>
      <c r="C8711" s="5">
        <v>4358.0</v>
      </c>
      <c r="D8711" s="3">
        <f>IFERROR(__xludf.DUMMYFUNCTION("IFERROR(
IF(REGEXMATCH(LOWER(O8711),""k""),
VALUE(REGEXEXTRACT(O8711,""[0-9]+""))*1000,
VALUE(REGEXEXTRACT(O8711,""[0-9]+""))
),
0
)"),0.0)</f>
        <v>0</v>
      </c>
      <c r="E8711" s="1" t="s">
        <v>11</v>
      </c>
      <c r="F8711" s="1" t="s">
        <v>20</v>
      </c>
      <c r="G8711" s="4" t="b">
        <f t="shared" si="2"/>
        <v>1</v>
      </c>
      <c r="H8711" s="1" t="str">
        <f t="shared" si="3"/>
        <v>Currently Unavailable</v>
      </c>
      <c r="I8711" s="1" t="str">
        <f t="shared" si="4"/>
        <v>No Badges</v>
      </c>
      <c r="J8711" s="3">
        <f t="shared" si="5"/>
        <v>0</v>
      </c>
    </row>
    <row r="8712">
      <c r="A8712" s="1" t="s">
        <v>6664</v>
      </c>
      <c r="B8712" s="3" t="str">
        <f t="shared" si="1"/>
        <v>Unavailable</v>
      </c>
      <c r="C8712" s="3">
        <v>350.0</v>
      </c>
      <c r="D8712" s="3">
        <f>IFERROR(__xludf.DUMMYFUNCTION("IFERROR(
IF(REGEXMATCH(LOWER(O8712),""k""),
VALUE(REGEXEXTRACT(O8712,""[0-9]+""))*1000,
VALUE(REGEXEXTRACT(O8712,""[0-9]+""))
),
0
)"),0.0)</f>
        <v>0</v>
      </c>
      <c r="E8712" s="1" t="s">
        <v>11</v>
      </c>
      <c r="F8712" s="1" t="s">
        <v>20</v>
      </c>
      <c r="G8712" s="4" t="b">
        <f t="shared" si="2"/>
        <v>1</v>
      </c>
      <c r="H8712" s="1" t="str">
        <f t="shared" si="3"/>
        <v>Currently Unavailable</v>
      </c>
      <c r="I8712" s="1" t="str">
        <f t="shared" si="4"/>
        <v>No Badges</v>
      </c>
      <c r="J8712" s="3">
        <f t="shared" si="5"/>
        <v>0</v>
      </c>
    </row>
    <row r="8713">
      <c r="A8713" s="1" t="s">
        <v>6665</v>
      </c>
      <c r="B8713" s="3" t="str">
        <f t="shared" si="1"/>
        <v>Unavailable</v>
      </c>
      <c r="C8713" s="5">
        <v>2787.0</v>
      </c>
      <c r="D8713" s="3">
        <f>IFERROR(__xludf.DUMMYFUNCTION("IFERROR(
IF(REGEXMATCH(LOWER(O8713),""k""),
VALUE(REGEXEXTRACT(O8713,""[0-9]+""))*1000,
VALUE(REGEXEXTRACT(O8713,""[0-9]+""))
),
0
)"),0.0)</f>
        <v>0</v>
      </c>
      <c r="E8713" s="1" t="s">
        <v>11</v>
      </c>
      <c r="F8713" s="1" t="s">
        <v>20</v>
      </c>
      <c r="G8713" s="4" t="b">
        <f t="shared" si="2"/>
        <v>1</v>
      </c>
      <c r="H8713" s="1" t="str">
        <f t="shared" si="3"/>
        <v>Currently Unavailable</v>
      </c>
      <c r="I8713" s="1" t="str">
        <f t="shared" si="4"/>
        <v>No Badges</v>
      </c>
      <c r="J8713" s="3">
        <f t="shared" si="5"/>
        <v>0</v>
      </c>
    </row>
    <row r="8714">
      <c r="A8714" s="1" t="s">
        <v>5817</v>
      </c>
      <c r="B8714" s="3" t="str">
        <f t="shared" si="1"/>
        <v>Unavailable</v>
      </c>
      <c r="C8714" s="5">
        <v>7235.0</v>
      </c>
      <c r="D8714" s="3">
        <f>IFERROR(__xludf.DUMMYFUNCTION("IFERROR(
IF(REGEXMATCH(LOWER(O8714),""k""),
VALUE(REGEXEXTRACT(O8714,""[0-9]+""))*1000,
VALUE(REGEXEXTRACT(O8714,""[0-9]+""))
),
0
)"),0.0)</f>
        <v>0</v>
      </c>
      <c r="E8714" s="1" t="s">
        <v>11</v>
      </c>
      <c r="F8714" s="1" t="s">
        <v>12</v>
      </c>
      <c r="G8714" s="4" t="b">
        <f t="shared" si="2"/>
        <v>1</v>
      </c>
      <c r="H8714" s="1" t="str">
        <f t="shared" si="3"/>
        <v>Currently Unavailable</v>
      </c>
      <c r="I8714" s="1" t="str">
        <f t="shared" si="4"/>
        <v>No Badges</v>
      </c>
      <c r="J8714" s="3">
        <f t="shared" si="5"/>
        <v>0</v>
      </c>
    </row>
    <row r="8715">
      <c r="A8715" s="1" t="s">
        <v>6666</v>
      </c>
      <c r="B8715" s="3" t="str">
        <f t="shared" si="1"/>
        <v>Unavailable</v>
      </c>
      <c r="C8715" s="5">
        <v>1991.0</v>
      </c>
      <c r="D8715" s="3">
        <f>IFERROR(__xludf.DUMMYFUNCTION("IFERROR(
IF(REGEXMATCH(LOWER(O8715),""k""),
VALUE(REGEXEXTRACT(O8715,""[0-9]+""))*1000,
VALUE(REGEXEXTRACT(O8715,""[0-9]+""))
),
0
)"),0.0)</f>
        <v>0</v>
      </c>
      <c r="E8715" s="1" t="s">
        <v>11</v>
      </c>
      <c r="F8715" s="1" t="s">
        <v>20</v>
      </c>
      <c r="G8715" s="4" t="b">
        <f t="shared" si="2"/>
        <v>1</v>
      </c>
      <c r="H8715" s="1" t="str">
        <f t="shared" si="3"/>
        <v>Currently Unavailable</v>
      </c>
      <c r="I8715" s="1" t="str">
        <f t="shared" si="4"/>
        <v>No Badges</v>
      </c>
      <c r="J8715" s="3">
        <f t="shared" si="5"/>
        <v>0</v>
      </c>
    </row>
    <row r="8716">
      <c r="A8716" s="1" t="s">
        <v>6667</v>
      </c>
      <c r="B8716" s="3" t="str">
        <f t="shared" si="1"/>
        <v>Unavailable</v>
      </c>
      <c r="C8716" s="5">
        <v>2554.0</v>
      </c>
      <c r="D8716" s="3">
        <f>IFERROR(__xludf.DUMMYFUNCTION("IFERROR(
IF(REGEXMATCH(LOWER(O8716),""k""),
VALUE(REGEXEXTRACT(O8716,""[0-9]+""))*1000,
VALUE(REGEXEXTRACT(O8716,""[0-9]+""))
),
0
)"),0.0)</f>
        <v>0</v>
      </c>
      <c r="E8716" s="1" t="s">
        <v>11</v>
      </c>
      <c r="F8716" s="1" t="s">
        <v>20</v>
      </c>
      <c r="G8716" s="4" t="b">
        <f t="shared" si="2"/>
        <v>1</v>
      </c>
      <c r="H8716" s="1" t="str">
        <f t="shared" si="3"/>
        <v>Currently Unavailable</v>
      </c>
      <c r="I8716" s="1" t="str">
        <f t="shared" si="4"/>
        <v>No Badges</v>
      </c>
      <c r="J8716" s="3">
        <f t="shared" si="5"/>
        <v>0</v>
      </c>
    </row>
    <row r="8717">
      <c r="A8717" s="1" t="s">
        <v>6668</v>
      </c>
      <c r="B8717" s="3" t="str">
        <f t="shared" si="1"/>
        <v>Unavailable</v>
      </c>
      <c r="C8717" s="3">
        <v>396.0</v>
      </c>
      <c r="D8717" s="3">
        <f>IFERROR(__xludf.DUMMYFUNCTION("IFERROR(
IF(REGEXMATCH(LOWER(O8717),""k""),
VALUE(REGEXEXTRACT(O8717,""[0-9]+""))*1000,
VALUE(REGEXEXTRACT(O8717,""[0-9]+""))
),
0
)"),0.0)</f>
        <v>0</v>
      </c>
      <c r="E8717" s="1" t="s">
        <v>11</v>
      </c>
      <c r="F8717" s="1" t="s">
        <v>20</v>
      </c>
      <c r="G8717" s="4" t="b">
        <f t="shared" si="2"/>
        <v>1</v>
      </c>
      <c r="H8717" s="1" t="str">
        <f t="shared" si="3"/>
        <v>Currently Unavailable</v>
      </c>
      <c r="I8717" s="1" t="str">
        <f t="shared" si="4"/>
        <v>No Badges</v>
      </c>
      <c r="J8717" s="3">
        <f t="shared" si="5"/>
        <v>0</v>
      </c>
    </row>
    <row r="8718">
      <c r="A8718" s="1" t="s">
        <v>6669</v>
      </c>
      <c r="B8718" s="3" t="str">
        <f t="shared" si="1"/>
        <v>Unavailable</v>
      </c>
      <c r="C8718" s="5">
        <v>1953.0</v>
      </c>
      <c r="D8718" s="3">
        <f>IFERROR(__xludf.DUMMYFUNCTION("IFERROR(
IF(REGEXMATCH(LOWER(O8718),""k""),
VALUE(REGEXEXTRACT(O8718,""[0-9]+""))*1000,
VALUE(REGEXEXTRACT(O8718,""[0-9]+""))
),
0
)"),0.0)</f>
        <v>0</v>
      </c>
      <c r="E8718" s="1" t="s">
        <v>11</v>
      </c>
      <c r="F8718" s="1" t="s">
        <v>20</v>
      </c>
      <c r="G8718" s="4" t="b">
        <f t="shared" si="2"/>
        <v>1</v>
      </c>
      <c r="H8718" s="1" t="str">
        <f t="shared" si="3"/>
        <v>Currently Unavailable</v>
      </c>
      <c r="I8718" s="1" t="str">
        <f t="shared" si="4"/>
        <v>No Badges</v>
      </c>
      <c r="J8718" s="3">
        <f t="shared" si="5"/>
        <v>0</v>
      </c>
    </row>
    <row r="8719">
      <c r="A8719" s="1" t="s">
        <v>5817</v>
      </c>
      <c r="B8719" s="3" t="str">
        <f t="shared" si="1"/>
        <v>Unavailable</v>
      </c>
      <c r="C8719" s="5">
        <v>7235.0</v>
      </c>
      <c r="D8719" s="3">
        <f>IFERROR(__xludf.DUMMYFUNCTION("IFERROR(
IF(REGEXMATCH(LOWER(O8719),""k""),
VALUE(REGEXEXTRACT(O8719,""[0-9]+""))*1000,
VALUE(REGEXEXTRACT(O8719,""[0-9]+""))
),
0
)"),0.0)</f>
        <v>0</v>
      </c>
      <c r="E8719" s="1" t="s">
        <v>11</v>
      </c>
      <c r="F8719" s="1" t="s">
        <v>12</v>
      </c>
      <c r="G8719" s="4" t="b">
        <f t="shared" si="2"/>
        <v>1</v>
      </c>
      <c r="H8719" s="1" t="str">
        <f t="shared" si="3"/>
        <v>Currently Unavailable</v>
      </c>
      <c r="I8719" s="1" t="str">
        <f t="shared" si="4"/>
        <v>No Badges</v>
      </c>
      <c r="J8719" s="3">
        <f t="shared" si="5"/>
        <v>0</v>
      </c>
    </row>
    <row r="8720">
      <c r="A8720" s="1" t="s">
        <v>6670</v>
      </c>
      <c r="B8720" s="3" t="str">
        <f t="shared" si="1"/>
        <v>Unavailable</v>
      </c>
      <c r="C8720" s="3">
        <v>180.0</v>
      </c>
      <c r="D8720" s="3">
        <f>IFERROR(__xludf.DUMMYFUNCTION("IFERROR(
IF(REGEXMATCH(LOWER(O8720),""k""),
VALUE(REGEXEXTRACT(O8720,""[0-9]+""))*1000,
VALUE(REGEXEXTRACT(O8720,""[0-9]+""))
),
0
)"),0.0)</f>
        <v>0</v>
      </c>
      <c r="E8720" s="1" t="s">
        <v>11</v>
      </c>
      <c r="F8720" s="1" t="s">
        <v>20</v>
      </c>
      <c r="G8720" s="4" t="b">
        <f t="shared" si="2"/>
        <v>1</v>
      </c>
      <c r="H8720" s="1" t="str">
        <f t="shared" si="3"/>
        <v>Currently Unavailable</v>
      </c>
      <c r="I8720" s="1" t="str">
        <f t="shared" si="4"/>
        <v>No Badges</v>
      </c>
      <c r="J8720" s="3">
        <f t="shared" si="5"/>
        <v>0</v>
      </c>
    </row>
    <row r="8721">
      <c r="A8721" s="1" t="s">
        <v>6671</v>
      </c>
      <c r="B8721" s="3" t="str">
        <f t="shared" si="1"/>
        <v>Unavailable</v>
      </c>
      <c r="C8721" s="3">
        <v>274.0</v>
      </c>
      <c r="D8721" s="3">
        <f>IFERROR(__xludf.DUMMYFUNCTION("IFERROR(
IF(REGEXMATCH(LOWER(O8721),""k""),
VALUE(REGEXEXTRACT(O8721,""[0-9]+""))*1000,
VALUE(REGEXEXTRACT(O8721,""[0-9]+""))
),
0
)"),0.0)</f>
        <v>0</v>
      </c>
      <c r="E8721" s="1" t="s">
        <v>11</v>
      </c>
      <c r="F8721" s="1" t="s">
        <v>20</v>
      </c>
      <c r="G8721" s="4" t="b">
        <f t="shared" si="2"/>
        <v>1</v>
      </c>
      <c r="H8721" s="1" t="str">
        <f t="shared" si="3"/>
        <v>Currently Unavailable</v>
      </c>
      <c r="I8721" s="1" t="str">
        <f t="shared" si="4"/>
        <v>No Badges</v>
      </c>
      <c r="J8721" s="3">
        <f t="shared" si="5"/>
        <v>0</v>
      </c>
    </row>
    <row r="8722">
      <c r="A8722" s="1" t="s">
        <v>6672</v>
      </c>
      <c r="B8722" s="3" t="str">
        <f t="shared" si="1"/>
        <v>Unavailable</v>
      </c>
      <c r="C8722" s="5">
        <v>1939.0</v>
      </c>
      <c r="D8722" s="3">
        <f>IFERROR(__xludf.DUMMYFUNCTION("IFERROR(
IF(REGEXMATCH(LOWER(O8722),""k""),
VALUE(REGEXEXTRACT(O8722,""[0-9]+""))*1000,
VALUE(REGEXEXTRACT(O8722,""[0-9]+""))
),
0
)"),0.0)</f>
        <v>0</v>
      </c>
      <c r="E8722" s="1" t="s">
        <v>11</v>
      </c>
      <c r="F8722" s="1" t="s">
        <v>20</v>
      </c>
      <c r="G8722" s="4" t="b">
        <f t="shared" si="2"/>
        <v>1</v>
      </c>
      <c r="H8722" s="1" t="str">
        <f t="shared" si="3"/>
        <v>Currently Unavailable</v>
      </c>
      <c r="I8722" s="1" t="str">
        <f t="shared" si="4"/>
        <v>No Badges</v>
      </c>
      <c r="J8722" s="3">
        <f t="shared" si="5"/>
        <v>0</v>
      </c>
    </row>
    <row r="8723">
      <c r="A8723" s="1" t="s">
        <v>6673</v>
      </c>
      <c r="B8723" s="3" t="str">
        <f t="shared" si="1"/>
        <v>Unavailable</v>
      </c>
      <c r="C8723" s="3">
        <v>71.0</v>
      </c>
      <c r="D8723" s="3">
        <f>IFERROR(__xludf.DUMMYFUNCTION("IFERROR(
IF(REGEXMATCH(LOWER(O8723),""k""),
VALUE(REGEXEXTRACT(O8723,""[0-9]+""))*1000,
VALUE(REGEXEXTRACT(O8723,""[0-9]+""))
),
0
)"),0.0)</f>
        <v>0</v>
      </c>
      <c r="E8723" s="1" t="s">
        <v>11</v>
      </c>
      <c r="F8723" s="1" t="s">
        <v>20</v>
      </c>
      <c r="G8723" s="4" t="b">
        <f t="shared" si="2"/>
        <v>1</v>
      </c>
      <c r="H8723" s="1" t="str">
        <f t="shared" si="3"/>
        <v>Currently Unavailable</v>
      </c>
      <c r="I8723" s="1" t="str">
        <f t="shared" si="4"/>
        <v>No Badges</v>
      </c>
      <c r="J8723" s="3">
        <f t="shared" si="5"/>
        <v>0</v>
      </c>
    </row>
    <row r="8724">
      <c r="A8724" s="1" t="s">
        <v>6674</v>
      </c>
      <c r="B8724" s="3" t="str">
        <f t="shared" si="1"/>
        <v>Unavailable</v>
      </c>
      <c r="C8724" s="5">
        <v>43742.0</v>
      </c>
      <c r="D8724" s="3">
        <f>IFERROR(__xludf.DUMMYFUNCTION("IFERROR(
IF(REGEXMATCH(LOWER(O8724),""k""),
VALUE(REGEXEXTRACT(O8724,""[0-9]+""))*1000,
VALUE(REGEXEXTRACT(O8724,""[0-9]+""))
),
0
)"),0.0)</f>
        <v>0</v>
      </c>
      <c r="E8724" s="1" t="s">
        <v>11</v>
      </c>
      <c r="F8724" s="1" t="s">
        <v>20</v>
      </c>
      <c r="G8724" s="4" t="b">
        <f t="shared" si="2"/>
        <v>1</v>
      </c>
      <c r="H8724" s="1" t="str">
        <f t="shared" si="3"/>
        <v>Currently Unavailable</v>
      </c>
      <c r="I8724" s="1" t="str">
        <f t="shared" si="4"/>
        <v>No Badges</v>
      </c>
      <c r="J8724" s="3">
        <f t="shared" si="5"/>
        <v>0</v>
      </c>
    </row>
    <row r="8725">
      <c r="A8725" s="1" t="s">
        <v>143</v>
      </c>
      <c r="B8725" s="3" t="str">
        <f t="shared" si="1"/>
        <v>Unavailable</v>
      </c>
      <c r="C8725" s="3">
        <v>61.0</v>
      </c>
      <c r="D8725" s="3">
        <f>IFERROR(__xludf.DUMMYFUNCTION("IFERROR(
IF(REGEXMATCH(LOWER(O8725),""k""),
VALUE(REGEXEXTRACT(O8725,""[0-9]+""))*1000,
VALUE(REGEXEXTRACT(O8725,""[0-9]+""))
),
0
)"),0.0)</f>
        <v>0</v>
      </c>
      <c r="E8725" s="1" t="s">
        <v>11</v>
      </c>
      <c r="F8725" s="1" t="s">
        <v>12</v>
      </c>
      <c r="G8725" s="4" t="b">
        <f t="shared" si="2"/>
        <v>1</v>
      </c>
      <c r="H8725" s="1" t="str">
        <f t="shared" si="3"/>
        <v>Currently Unavailable</v>
      </c>
      <c r="I8725" s="1" t="str">
        <f t="shared" si="4"/>
        <v>No Badges</v>
      </c>
      <c r="J8725" s="3">
        <f t="shared" si="5"/>
        <v>0</v>
      </c>
    </row>
    <row r="8726">
      <c r="A8726" s="1" t="s">
        <v>5817</v>
      </c>
      <c r="B8726" s="3" t="str">
        <f t="shared" si="1"/>
        <v>Unavailable</v>
      </c>
      <c r="C8726" s="5">
        <v>7235.0</v>
      </c>
      <c r="D8726" s="3">
        <f>IFERROR(__xludf.DUMMYFUNCTION("IFERROR(
IF(REGEXMATCH(LOWER(O8726),""k""),
VALUE(REGEXEXTRACT(O8726,""[0-9]+""))*1000,
VALUE(REGEXEXTRACT(O8726,""[0-9]+""))
),
0
)"),0.0)</f>
        <v>0</v>
      </c>
      <c r="E8726" s="1" t="s">
        <v>11</v>
      </c>
      <c r="F8726" s="1" t="s">
        <v>12</v>
      </c>
      <c r="G8726" s="4" t="b">
        <f t="shared" si="2"/>
        <v>1</v>
      </c>
      <c r="H8726" s="1" t="str">
        <f t="shared" si="3"/>
        <v>Currently Unavailable</v>
      </c>
      <c r="I8726" s="1" t="str">
        <f t="shared" si="4"/>
        <v>No Badges</v>
      </c>
      <c r="J8726" s="3">
        <f t="shared" si="5"/>
        <v>0</v>
      </c>
    </row>
    <row r="8727">
      <c r="A8727" s="1" t="s">
        <v>6650</v>
      </c>
      <c r="B8727" s="3" t="str">
        <f t="shared" si="1"/>
        <v>Unavailable</v>
      </c>
      <c r="C8727" s="3">
        <v>3.0</v>
      </c>
      <c r="D8727" s="3">
        <f>IFERROR(__xludf.DUMMYFUNCTION("IFERROR(
IF(REGEXMATCH(LOWER(O8727),""k""),
VALUE(REGEXEXTRACT(O8727,""[0-9]+""))*1000,
VALUE(REGEXEXTRACT(O8727,""[0-9]+""))
),
0
)"),0.0)</f>
        <v>0</v>
      </c>
      <c r="E8727" s="1" t="s">
        <v>11</v>
      </c>
      <c r="F8727" s="1" t="s">
        <v>12</v>
      </c>
      <c r="G8727" s="4" t="b">
        <f t="shared" si="2"/>
        <v>1</v>
      </c>
      <c r="H8727" s="1" t="str">
        <f t="shared" si="3"/>
        <v>Currently Unavailable</v>
      </c>
      <c r="I8727" s="1" t="str">
        <f t="shared" si="4"/>
        <v>No Badges</v>
      </c>
      <c r="J8727" s="3">
        <f t="shared" si="5"/>
        <v>0</v>
      </c>
    </row>
    <row r="8728">
      <c r="A8728" s="1" t="s">
        <v>88</v>
      </c>
      <c r="B8728" s="3" t="str">
        <f t="shared" si="1"/>
        <v>Unavailable</v>
      </c>
      <c r="C8728" s="3">
        <v>6.0</v>
      </c>
      <c r="D8728" s="3">
        <f>IFERROR(__xludf.DUMMYFUNCTION("IFERROR(
IF(REGEXMATCH(LOWER(O8728),""k""),
VALUE(REGEXEXTRACT(O8728,""[0-9]+""))*1000,
VALUE(REGEXEXTRACT(O8728,""[0-9]+""))
),
0
)"),0.0)</f>
        <v>0</v>
      </c>
      <c r="E8728" s="1" t="s">
        <v>11</v>
      </c>
      <c r="F8728" s="1" t="s">
        <v>12</v>
      </c>
      <c r="G8728" s="4" t="b">
        <f t="shared" si="2"/>
        <v>1</v>
      </c>
      <c r="H8728" s="1" t="str">
        <f t="shared" si="3"/>
        <v>Currently Unavailable</v>
      </c>
      <c r="I8728" s="1" t="str">
        <f t="shared" si="4"/>
        <v>No Badges</v>
      </c>
      <c r="J8728" s="3">
        <f t="shared" si="5"/>
        <v>0</v>
      </c>
    </row>
    <row r="8729">
      <c r="A8729" s="1" t="s">
        <v>6675</v>
      </c>
      <c r="B8729" s="3" t="str">
        <f t="shared" si="1"/>
        <v>Unavailable</v>
      </c>
      <c r="C8729" s="3">
        <v>812.0</v>
      </c>
      <c r="D8729" s="3">
        <f>IFERROR(__xludf.DUMMYFUNCTION("IFERROR(
IF(REGEXMATCH(LOWER(O8729),""k""),
VALUE(REGEXEXTRACT(O8729,""[0-9]+""))*1000,
VALUE(REGEXEXTRACT(O8729,""[0-9]+""))
),
0
)"),0.0)</f>
        <v>0</v>
      </c>
      <c r="E8729" s="1" t="s">
        <v>11</v>
      </c>
      <c r="F8729" s="1" t="s">
        <v>20</v>
      </c>
      <c r="G8729" s="4" t="b">
        <f t="shared" si="2"/>
        <v>1</v>
      </c>
      <c r="H8729" s="1" t="str">
        <f t="shared" si="3"/>
        <v>Currently Unavailable</v>
      </c>
      <c r="I8729" s="1" t="str">
        <f t="shared" si="4"/>
        <v>No Badges</v>
      </c>
      <c r="J8729" s="3">
        <f t="shared" si="5"/>
        <v>0</v>
      </c>
    </row>
    <row r="8730">
      <c r="A8730" s="1" t="s">
        <v>6676</v>
      </c>
      <c r="B8730" s="3" t="str">
        <f t="shared" si="1"/>
        <v>Unavailable</v>
      </c>
      <c r="C8730" s="5">
        <v>6172.0</v>
      </c>
      <c r="D8730" s="3">
        <f>IFERROR(__xludf.DUMMYFUNCTION("IFERROR(
IF(REGEXMATCH(LOWER(O8730),""k""),
VALUE(REGEXEXTRACT(O8730,""[0-9]+""))*1000,
VALUE(REGEXEXTRACT(O8730,""[0-9]+""))
),
0
)"),0.0)</f>
        <v>0</v>
      </c>
      <c r="E8730" s="1" t="s">
        <v>11</v>
      </c>
      <c r="F8730" s="1" t="s">
        <v>20</v>
      </c>
      <c r="G8730" s="4" t="b">
        <f t="shared" si="2"/>
        <v>1</v>
      </c>
      <c r="H8730" s="1" t="str">
        <f t="shared" si="3"/>
        <v>Currently Unavailable</v>
      </c>
      <c r="I8730" s="1" t="str">
        <f t="shared" si="4"/>
        <v>No Badges</v>
      </c>
      <c r="J8730" s="3">
        <f t="shared" si="5"/>
        <v>0</v>
      </c>
    </row>
    <row r="8731">
      <c r="A8731" s="1" t="s">
        <v>6677</v>
      </c>
      <c r="B8731" s="3" t="str">
        <f t="shared" si="1"/>
        <v>Unavailable</v>
      </c>
      <c r="C8731" s="3">
        <v>180.0</v>
      </c>
      <c r="D8731" s="3">
        <f>IFERROR(__xludf.DUMMYFUNCTION("IFERROR(
IF(REGEXMATCH(LOWER(O8731),""k""),
VALUE(REGEXEXTRACT(O8731,""[0-9]+""))*1000,
VALUE(REGEXEXTRACT(O8731,""[0-9]+""))
),
0
)"),0.0)</f>
        <v>0</v>
      </c>
      <c r="E8731" s="1" t="s">
        <v>11</v>
      </c>
      <c r="F8731" s="1" t="s">
        <v>20</v>
      </c>
      <c r="G8731" s="4" t="b">
        <f t="shared" si="2"/>
        <v>1</v>
      </c>
      <c r="H8731" s="1" t="str">
        <f t="shared" si="3"/>
        <v>Currently Unavailable</v>
      </c>
      <c r="I8731" s="1" t="str">
        <f t="shared" si="4"/>
        <v>No Badges</v>
      </c>
      <c r="J8731" s="3">
        <f t="shared" si="5"/>
        <v>0</v>
      </c>
    </row>
    <row r="8732">
      <c r="A8732" s="1" t="s">
        <v>6678</v>
      </c>
      <c r="B8732" s="3" t="str">
        <f t="shared" si="1"/>
        <v>Unavailable</v>
      </c>
      <c r="C8732" s="3">
        <v>119.0</v>
      </c>
      <c r="D8732" s="3">
        <f>IFERROR(__xludf.DUMMYFUNCTION("IFERROR(
IF(REGEXMATCH(LOWER(O8732),""k""),
VALUE(REGEXEXTRACT(O8732,""[0-9]+""))*1000,
VALUE(REGEXEXTRACT(O8732,""[0-9]+""))
),
0
)"),0.0)</f>
        <v>0</v>
      </c>
      <c r="E8732" s="1" t="s">
        <v>11</v>
      </c>
      <c r="F8732" s="1" t="s">
        <v>20</v>
      </c>
      <c r="G8732" s="4" t="b">
        <f t="shared" si="2"/>
        <v>1</v>
      </c>
      <c r="H8732" s="1" t="str">
        <f t="shared" si="3"/>
        <v>Currently Unavailable</v>
      </c>
      <c r="I8732" s="1" t="str">
        <f t="shared" si="4"/>
        <v>No Badges</v>
      </c>
      <c r="J8732" s="3">
        <f t="shared" si="5"/>
        <v>0</v>
      </c>
    </row>
    <row r="8733">
      <c r="A8733" s="1" t="s">
        <v>5817</v>
      </c>
      <c r="B8733" s="3" t="str">
        <f t="shared" si="1"/>
        <v>Unavailable</v>
      </c>
      <c r="C8733" s="5">
        <v>7235.0</v>
      </c>
      <c r="D8733" s="3">
        <f>IFERROR(__xludf.DUMMYFUNCTION("IFERROR(
IF(REGEXMATCH(LOWER(O8733),""k""),
VALUE(REGEXEXTRACT(O8733,""[0-9]+""))*1000,
VALUE(REGEXEXTRACT(O8733,""[0-9]+""))
),
0
)"),0.0)</f>
        <v>0</v>
      </c>
      <c r="E8733" s="1" t="s">
        <v>11</v>
      </c>
      <c r="F8733" s="1" t="s">
        <v>12</v>
      </c>
      <c r="G8733" s="4" t="b">
        <f t="shared" si="2"/>
        <v>1</v>
      </c>
      <c r="H8733" s="1" t="str">
        <f t="shared" si="3"/>
        <v>Currently Unavailable</v>
      </c>
      <c r="I8733" s="1" t="str">
        <f t="shared" si="4"/>
        <v>No Badges</v>
      </c>
      <c r="J8733" s="3">
        <f t="shared" si="5"/>
        <v>0</v>
      </c>
    </row>
    <row r="8734">
      <c r="A8734" s="1" t="s">
        <v>6679</v>
      </c>
      <c r="B8734" s="3" t="str">
        <f t="shared" si="1"/>
        <v>Unavailable</v>
      </c>
      <c r="C8734" s="3">
        <v>187.0</v>
      </c>
      <c r="D8734" s="3">
        <f>IFERROR(__xludf.DUMMYFUNCTION("IFERROR(
IF(REGEXMATCH(LOWER(O8734),""k""),
VALUE(REGEXEXTRACT(O8734,""[0-9]+""))*1000,
VALUE(REGEXEXTRACT(O8734,""[0-9]+""))
),
0
)"),0.0)</f>
        <v>0</v>
      </c>
      <c r="E8734" s="1" t="s">
        <v>11</v>
      </c>
      <c r="F8734" s="1" t="s">
        <v>20</v>
      </c>
      <c r="G8734" s="4" t="b">
        <f t="shared" si="2"/>
        <v>1</v>
      </c>
      <c r="H8734" s="1" t="str">
        <f t="shared" si="3"/>
        <v>Currently Unavailable</v>
      </c>
      <c r="I8734" s="1" t="str">
        <f t="shared" si="4"/>
        <v>No Badges</v>
      </c>
      <c r="J8734" s="3">
        <f t="shared" si="5"/>
        <v>0</v>
      </c>
    </row>
    <row r="8735">
      <c r="A8735" s="1" t="s">
        <v>6680</v>
      </c>
      <c r="B8735" s="3" t="str">
        <f t="shared" si="1"/>
        <v>Unavailable</v>
      </c>
      <c r="C8735" s="5">
        <v>1426.0</v>
      </c>
      <c r="D8735" s="3">
        <f>IFERROR(__xludf.DUMMYFUNCTION("IFERROR(
IF(REGEXMATCH(LOWER(O8735),""k""),
VALUE(REGEXEXTRACT(O8735,""[0-9]+""))*1000,
VALUE(REGEXEXTRACT(O8735,""[0-9]+""))
),
0
)"),0.0)</f>
        <v>0</v>
      </c>
      <c r="E8735" s="1" t="s">
        <v>11</v>
      </c>
      <c r="F8735" s="1" t="s">
        <v>20</v>
      </c>
      <c r="G8735" s="4" t="b">
        <f t="shared" si="2"/>
        <v>1</v>
      </c>
      <c r="H8735" s="1" t="str">
        <f t="shared" si="3"/>
        <v>Currently Unavailable</v>
      </c>
      <c r="I8735" s="1" t="str">
        <f t="shared" si="4"/>
        <v>No Badges</v>
      </c>
      <c r="J8735" s="3">
        <f t="shared" si="5"/>
        <v>0</v>
      </c>
    </row>
    <row r="8736">
      <c r="A8736" s="1" t="s">
        <v>6681</v>
      </c>
      <c r="B8736" s="3" t="str">
        <f t="shared" si="1"/>
        <v>Unavailable</v>
      </c>
      <c r="C8736" s="5">
        <v>1212.0</v>
      </c>
      <c r="D8736" s="3">
        <f>IFERROR(__xludf.DUMMYFUNCTION("IFERROR(
IF(REGEXMATCH(LOWER(O8736),""k""),
VALUE(REGEXEXTRACT(O8736,""[0-9]+""))*1000,
VALUE(REGEXEXTRACT(O8736,""[0-9]+""))
),
0
)"),0.0)</f>
        <v>0</v>
      </c>
      <c r="E8736" s="1" t="s">
        <v>11</v>
      </c>
      <c r="F8736" s="1" t="s">
        <v>20</v>
      </c>
      <c r="G8736" s="4" t="b">
        <f t="shared" si="2"/>
        <v>1</v>
      </c>
      <c r="H8736" s="1" t="str">
        <f t="shared" si="3"/>
        <v>Currently Unavailable</v>
      </c>
      <c r="I8736" s="1" t="str">
        <f t="shared" si="4"/>
        <v>No Badges</v>
      </c>
      <c r="J8736" s="3">
        <f t="shared" si="5"/>
        <v>0</v>
      </c>
    </row>
    <row r="8737">
      <c r="A8737" s="1" t="s">
        <v>6682</v>
      </c>
      <c r="B8737" s="3" t="str">
        <f t="shared" si="1"/>
        <v>Unavailable</v>
      </c>
      <c r="C8737" s="5">
        <v>2376.0</v>
      </c>
      <c r="D8737" s="3">
        <f>IFERROR(__xludf.DUMMYFUNCTION("IFERROR(
IF(REGEXMATCH(LOWER(O8737),""k""),
VALUE(REGEXEXTRACT(O8737,""[0-9]+""))*1000,
VALUE(REGEXEXTRACT(O8737,""[0-9]+""))
),
0
)"),0.0)</f>
        <v>0</v>
      </c>
      <c r="E8737" s="1" t="s">
        <v>11</v>
      </c>
      <c r="F8737" s="1" t="s">
        <v>20</v>
      </c>
      <c r="G8737" s="4" t="b">
        <f t="shared" si="2"/>
        <v>1</v>
      </c>
      <c r="H8737" s="1" t="str">
        <f t="shared" si="3"/>
        <v>Currently Unavailable</v>
      </c>
      <c r="I8737" s="1" t="str">
        <f t="shared" si="4"/>
        <v>No Badges</v>
      </c>
      <c r="J8737" s="3">
        <f t="shared" si="5"/>
        <v>0</v>
      </c>
    </row>
    <row r="8738">
      <c r="A8738" s="1" t="s">
        <v>5817</v>
      </c>
      <c r="B8738" s="3" t="str">
        <f t="shared" si="1"/>
        <v>Unavailable</v>
      </c>
      <c r="C8738" s="5">
        <v>7235.0</v>
      </c>
      <c r="D8738" s="3">
        <f>IFERROR(__xludf.DUMMYFUNCTION("IFERROR(
IF(REGEXMATCH(LOWER(O8738),""k""),
VALUE(REGEXEXTRACT(O8738,""[0-9]+""))*1000,
VALUE(REGEXEXTRACT(O8738,""[0-9]+""))
),
0
)"),0.0)</f>
        <v>0</v>
      </c>
      <c r="E8738" s="1" t="s">
        <v>11</v>
      </c>
      <c r="F8738" s="1" t="s">
        <v>12</v>
      </c>
      <c r="G8738" s="4" t="b">
        <f t="shared" si="2"/>
        <v>1</v>
      </c>
      <c r="H8738" s="1" t="str">
        <f t="shared" si="3"/>
        <v>Currently Unavailable</v>
      </c>
      <c r="I8738" s="1" t="str">
        <f t="shared" si="4"/>
        <v>No Badges</v>
      </c>
      <c r="J8738" s="3">
        <f t="shared" si="5"/>
        <v>0</v>
      </c>
    </row>
    <row r="8739">
      <c r="A8739" s="1" t="s">
        <v>6683</v>
      </c>
      <c r="B8739" s="3" t="str">
        <f t="shared" si="1"/>
        <v>Unavailable</v>
      </c>
      <c r="C8739" s="3">
        <v>420.0</v>
      </c>
      <c r="D8739" s="3">
        <f>IFERROR(__xludf.DUMMYFUNCTION("IFERROR(
IF(REGEXMATCH(LOWER(O8739),""k""),
VALUE(REGEXEXTRACT(O8739,""[0-9]+""))*1000,
VALUE(REGEXEXTRACT(O8739,""[0-9]+""))
),
0
)"),0.0)</f>
        <v>0</v>
      </c>
      <c r="E8739" s="1" t="s">
        <v>11</v>
      </c>
      <c r="F8739" s="1" t="s">
        <v>20</v>
      </c>
      <c r="G8739" s="4" t="b">
        <f t="shared" si="2"/>
        <v>1</v>
      </c>
      <c r="H8739" s="1" t="str">
        <f t="shared" si="3"/>
        <v>Currently Unavailable</v>
      </c>
      <c r="I8739" s="1" t="str">
        <f t="shared" si="4"/>
        <v>No Badges</v>
      </c>
      <c r="J8739" s="3">
        <f t="shared" si="5"/>
        <v>0</v>
      </c>
    </row>
    <row r="8740">
      <c r="A8740" s="1" t="s">
        <v>6684</v>
      </c>
      <c r="B8740" s="3" t="str">
        <f t="shared" si="1"/>
        <v>Unavailable</v>
      </c>
      <c r="C8740" s="3">
        <v>664.0</v>
      </c>
      <c r="D8740" s="3">
        <f>IFERROR(__xludf.DUMMYFUNCTION("IFERROR(
IF(REGEXMATCH(LOWER(O8740),""k""),
VALUE(REGEXEXTRACT(O8740,""[0-9]+""))*1000,
VALUE(REGEXEXTRACT(O8740,""[0-9]+""))
),
0
)"),0.0)</f>
        <v>0</v>
      </c>
      <c r="E8740" s="1" t="s">
        <v>11</v>
      </c>
      <c r="F8740" s="1" t="s">
        <v>20</v>
      </c>
      <c r="G8740" s="4" t="b">
        <f t="shared" si="2"/>
        <v>1</v>
      </c>
      <c r="H8740" s="1" t="str">
        <f t="shared" si="3"/>
        <v>Currently Unavailable</v>
      </c>
      <c r="I8740" s="1" t="str">
        <f t="shared" si="4"/>
        <v>No Badges</v>
      </c>
      <c r="J8740" s="3">
        <f t="shared" si="5"/>
        <v>0</v>
      </c>
    </row>
    <row r="8741">
      <c r="A8741" s="1" t="s">
        <v>701</v>
      </c>
      <c r="B8741" s="3" t="str">
        <f t="shared" si="1"/>
        <v>Unavailable</v>
      </c>
      <c r="C8741" s="3">
        <v>8.0</v>
      </c>
      <c r="D8741" s="3">
        <f>IFERROR(__xludf.DUMMYFUNCTION("IFERROR(
IF(REGEXMATCH(LOWER(O8741),""k""),
VALUE(REGEXEXTRACT(O8741,""[0-9]+""))*1000,
VALUE(REGEXEXTRACT(O8741,""[0-9]+""))
),
0
)"),0.0)</f>
        <v>0</v>
      </c>
      <c r="E8741" s="1" t="s">
        <v>11</v>
      </c>
      <c r="F8741" s="1" t="s">
        <v>12</v>
      </c>
      <c r="G8741" s="4" t="b">
        <f t="shared" si="2"/>
        <v>1</v>
      </c>
      <c r="H8741" s="1" t="str">
        <f t="shared" si="3"/>
        <v>Currently Unavailable</v>
      </c>
      <c r="I8741" s="1" t="str">
        <f t="shared" si="4"/>
        <v>No Badges</v>
      </c>
      <c r="J8741" s="3">
        <f t="shared" si="5"/>
        <v>0</v>
      </c>
    </row>
    <row r="8742">
      <c r="A8742" s="1" t="s">
        <v>6661</v>
      </c>
      <c r="B8742" s="3" t="str">
        <f t="shared" si="1"/>
        <v>Unavailable</v>
      </c>
      <c r="C8742" s="3">
        <v>24.0</v>
      </c>
      <c r="D8742" s="3">
        <f>IFERROR(__xludf.DUMMYFUNCTION("IFERROR(
IF(REGEXMATCH(LOWER(O8742),""k""),
VALUE(REGEXEXTRACT(O8742,""[0-9]+""))*1000,
VALUE(REGEXEXTRACT(O8742,""[0-9]+""))
),
0
)"),0.0)</f>
        <v>0</v>
      </c>
      <c r="E8742" s="1" t="s">
        <v>11</v>
      </c>
      <c r="F8742" s="1" t="s">
        <v>12</v>
      </c>
      <c r="G8742" s="4" t="b">
        <f t="shared" si="2"/>
        <v>1</v>
      </c>
      <c r="H8742" s="1" t="str">
        <f t="shared" si="3"/>
        <v>Currently Unavailable</v>
      </c>
      <c r="I8742" s="1" t="str">
        <f t="shared" si="4"/>
        <v>No Badges</v>
      </c>
      <c r="J8742" s="3">
        <f t="shared" si="5"/>
        <v>0</v>
      </c>
    </row>
    <row r="8743">
      <c r="A8743" s="1" t="s">
        <v>6662</v>
      </c>
      <c r="B8743" s="3" t="str">
        <f t="shared" si="1"/>
        <v>Unavailable</v>
      </c>
      <c r="C8743" s="5">
        <v>1886.0</v>
      </c>
      <c r="D8743" s="3">
        <f>IFERROR(__xludf.DUMMYFUNCTION("IFERROR(
IF(REGEXMATCH(LOWER(O8743),""k""),
VALUE(REGEXEXTRACT(O8743,""[0-9]+""))*1000,
VALUE(REGEXEXTRACT(O8743,""[0-9]+""))
),
0
)"),0.0)</f>
        <v>0</v>
      </c>
      <c r="E8743" s="1" t="s">
        <v>11</v>
      </c>
      <c r="F8743" s="1" t="s">
        <v>12</v>
      </c>
      <c r="G8743" s="4" t="b">
        <f t="shared" si="2"/>
        <v>1</v>
      </c>
      <c r="H8743" s="1" t="str">
        <f t="shared" si="3"/>
        <v>Currently Unavailable</v>
      </c>
      <c r="I8743" s="1" t="str">
        <f t="shared" si="4"/>
        <v>No Badges</v>
      </c>
      <c r="J8743" s="3">
        <f t="shared" si="5"/>
        <v>0</v>
      </c>
    </row>
    <row r="8744">
      <c r="A8744" s="1" t="s">
        <v>6685</v>
      </c>
      <c r="B8744" s="3" t="str">
        <f t="shared" si="1"/>
        <v>Unavailable</v>
      </c>
      <c r="C8744" s="3">
        <v>155.0</v>
      </c>
      <c r="D8744" s="3">
        <f>IFERROR(__xludf.DUMMYFUNCTION("IFERROR(
IF(REGEXMATCH(LOWER(O8744),""k""),
VALUE(REGEXEXTRACT(O8744,""[0-9]+""))*1000,
VALUE(REGEXEXTRACT(O8744,""[0-9]+""))
),
0
)"),0.0)</f>
        <v>0</v>
      </c>
      <c r="E8744" s="1" t="s">
        <v>11</v>
      </c>
      <c r="F8744" s="1" t="s">
        <v>20</v>
      </c>
      <c r="G8744" s="4" t="b">
        <f t="shared" si="2"/>
        <v>1</v>
      </c>
      <c r="H8744" s="1" t="str">
        <f t="shared" si="3"/>
        <v>Currently Unavailable</v>
      </c>
      <c r="I8744" s="1" t="str">
        <f t="shared" si="4"/>
        <v>No Badges</v>
      </c>
      <c r="J8744" s="3">
        <f t="shared" si="5"/>
        <v>0</v>
      </c>
    </row>
    <row r="8745">
      <c r="A8745" s="1" t="s">
        <v>6686</v>
      </c>
      <c r="B8745" s="3" t="str">
        <f t="shared" si="1"/>
        <v>Unavailable</v>
      </c>
      <c r="C8745" s="5">
        <v>7551.0</v>
      </c>
      <c r="D8745" s="3">
        <f>IFERROR(__xludf.DUMMYFUNCTION("IFERROR(
IF(REGEXMATCH(LOWER(O8745),""k""),
VALUE(REGEXEXTRACT(O8745,""[0-9]+""))*1000,
VALUE(REGEXEXTRACT(O8745,""[0-9]+""))
),
0
)"),0.0)</f>
        <v>0</v>
      </c>
      <c r="E8745" s="1" t="s">
        <v>11</v>
      </c>
      <c r="F8745" s="1" t="s">
        <v>20</v>
      </c>
      <c r="G8745" s="4" t="b">
        <f t="shared" si="2"/>
        <v>1</v>
      </c>
      <c r="H8745" s="1" t="str">
        <f t="shared" si="3"/>
        <v>Currently Unavailable</v>
      </c>
      <c r="I8745" s="1" t="str">
        <f t="shared" si="4"/>
        <v>No Badges</v>
      </c>
      <c r="J8745" s="3">
        <f t="shared" si="5"/>
        <v>0</v>
      </c>
    </row>
    <row r="8746">
      <c r="A8746" s="1" t="s">
        <v>5979</v>
      </c>
      <c r="B8746" s="3" t="str">
        <f t="shared" si="1"/>
        <v>Unavailable</v>
      </c>
      <c r="C8746" s="3">
        <v>4.0</v>
      </c>
      <c r="D8746" s="3">
        <f>IFERROR(__xludf.DUMMYFUNCTION("IFERROR(
IF(REGEXMATCH(LOWER(O8746),""k""),
VALUE(REGEXEXTRACT(O8746,""[0-9]+""))*1000,
VALUE(REGEXEXTRACT(O8746,""[0-9]+""))
),
0
)"),0.0)</f>
        <v>0</v>
      </c>
      <c r="E8746" s="1" t="s">
        <v>11</v>
      </c>
      <c r="F8746" s="1" t="s">
        <v>20</v>
      </c>
      <c r="G8746" s="4" t="b">
        <f t="shared" si="2"/>
        <v>1</v>
      </c>
      <c r="H8746" s="1" t="str">
        <f t="shared" si="3"/>
        <v>Currently Unavailable</v>
      </c>
      <c r="I8746" s="1" t="str">
        <f t="shared" si="4"/>
        <v>No Badges</v>
      </c>
      <c r="J8746" s="3">
        <f t="shared" si="5"/>
        <v>0</v>
      </c>
    </row>
    <row r="8747">
      <c r="A8747" s="1" t="s">
        <v>6687</v>
      </c>
      <c r="B8747" s="3" t="str">
        <f t="shared" si="1"/>
        <v>Unavailable</v>
      </c>
      <c r="C8747" s="5">
        <v>1053.0</v>
      </c>
      <c r="D8747" s="3">
        <f>IFERROR(__xludf.DUMMYFUNCTION("IFERROR(
IF(REGEXMATCH(LOWER(O8747),""k""),
VALUE(REGEXEXTRACT(O8747,""[0-9]+""))*1000,
VALUE(REGEXEXTRACT(O8747,""[0-9]+""))
),
0
)"),0.0)</f>
        <v>0</v>
      </c>
      <c r="E8747" s="1" t="s">
        <v>11</v>
      </c>
      <c r="F8747" s="1" t="s">
        <v>20</v>
      </c>
      <c r="G8747" s="4" t="b">
        <f t="shared" si="2"/>
        <v>1</v>
      </c>
      <c r="H8747" s="1" t="str">
        <f t="shared" si="3"/>
        <v>Currently Unavailable</v>
      </c>
      <c r="I8747" s="1" t="str">
        <f t="shared" si="4"/>
        <v>No Badges</v>
      </c>
      <c r="J8747" s="3">
        <f t="shared" si="5"/>
        <v>0</v>
      </c>
    </row>
    <row r="8748">
      <c r="A8748" s="1" t="s">
        <v>6688</v>
      </c>
      <c r="B8748" s="3" t="str">
        <f t="shared" si="1"/>
        <v>Unavailable</v>
      </c>
      <c r="C8748" s="3">
        <v>12.0</v>
      </c>
      <c r="D8748" s="3">
        <f>IFERROR(__xludf.DUMMYFUNCTION("IFERROR(
IF(REGEXMATCH(LOWER(O8748),""k""),
VALUE(REGEXEXTRACT(O8748,""[0-9]+""))*1000,
VALUE(REGEXEXTRACT(O8748,""[0-9]+""))
),
0
)"),0.0)</f>
        <v>0</v>
      </c>
      <c r="E8748" s="1" t="s">
        <v>11</v>
      </c>
      <c r="F8748" s="1" t="s">
        <v>20</v>
      </c>
      <c r="G8748" s="4" t="b">
        <f t="shared" si="2"/>
        <v>1</v>
      </c>
      <c r="H8748" s="1" t="str">
        <f t="shared" si="3"/>
        <v>Currently Unavailable</v>
      </c>
      <c r="I8748" s="1" t="str">
        <f t="shared" si="4"/>
        <v>No Badges</v>
      </c>
      <c r="J8748" s="3">
        <f t="shared" si="5"/>
        <v>0</v>
      </c>
    </row>
    <row r="8749">
      <c r="A8749" s="1" t="s">
        <v>6689</v>
      </c>
      <c r="B8749" s="3" t="str">
        <f t="shared" si="1"/>
        <v>Unavailable</v>
      </c>
      <c r="C8749" s="5">
        <v>22337.0</v>
      </c>
      <c r="D8749" s="3">
        <f>IFERROR(__xludf.DUMMYFUNCTION("IFERROR(
IF(REGEXMATCH(LOWER(O8749),""k""),
VALUE(REGEXEXTRACT(O8749,""[0-9]+""))*1000,
VALUE(REGEXEXTRACT(O8749,""[0-9]+""))
),
0
)"),0.0)</f>
        <v>0</v>
      </c>
      <c r="E8749" s="1" t="s">
        <v>11</v>
      </c>
      <c r="F8749" s="1" t="s">
        <v>20</v>
      </c>
      <c r="G8749" s="4" t="b">
        <f t="shared" si="2"/>
        <v>1</v>
      </c>
      <c r="H8749" s="1" t="str">
        <f t="shared" si="3"/>
        <v>Currently Unavailable</v>
      </c>
      <c r="I8749" s="1" t="str">
        <f t="shared" si="4"/>
        <v>No Badges</v>
      </c>
      <c r="J8749" s="3">
        <f t="shared" si="5"/>
        <v>0</v>
      </c>
    </row>
    <row r="8750">
      <c r="A8750" s="1" t="s">
        <v>5817</v>
      </c>
      <c r="B8750" s="3" t="str">
        <f t="shared" si="1"/>
        <v>Unavailable</v>
      </c>
      <c r="C8750" s="5">
        <v>7235.0</v>
      </c>
      <c r="D8750" s="3">
        <f>IFERROR(__xludf.DUMMYFUNCTION("IFERROR(
IF(REGEXMATCH(LOWER(O8750),""k""),
VALUE(REGEXEXTRACT(O8750,""[0-9]+""))*1000,
VALUE(REGEXEXTRACT(O8750,""[0-9]+""))
),
0
)"),0.0)</f>
        <v>0</v>
      </c>
      <c r="E8750" s="1" t="s">
        <v>11</v>
      </c>
      <c r="F8750" s="1" t="s">
        <v>12</v>
      </c>
      <c r="G8750" s="4" t="b">
        <f t="shared" si="2"/>
        <v>1</v>
      </c>
      <c r="H8750" s="1" t="str">
        <f t="shared" si="3"/>
        <v>Currently Unavailable</v>
      </c>
      <c r="I8750" s="1" t="str">
        <f t="shared" si="4"/>
        <v>No Badges</v>
      </c>
      <c r="J8750" s="3">
        <f t="shared" si="5"/>
        <v>0</v>
      </c>
    </row>
    <row r="8751">
      <c r="A8751" s="1" t="s">
        <v>6690</v>
      </c>
      <c r="B8751" s="3" t="str">
        <f t="shared" si="1"/>
        <v>Unavailable</v>
      </c>
      <c r="C8751" s="5">
        <v>1018.0</v>
      </c>
      <c r="D8751" s="3">
        <f>IFERROR(__xludf.DUMMYFUNCTION("IFERROR(
IF(REGEXMATCH(LOWER(O8751),""k""),
VALUE(REGEXEXTRACT(O8751,""[0-9]+""))*1000,
VALUE(REGEXEXTRACT(O8751,""[0-9]+""))
),
0
)"),0.0)</f>
        <v>0</v>
      </c>
      <c r="E8751" s="1" t="s">
        <v>11</v>
      </c>
      <c r="F8751" s="1" t="s">
        <v>20</v>
      </c>
      <c r="G8751" s="4" t="b">
        <f t="shared" si="2"/>
        <v>1</v>
      </c>
      <c r="H8751" s="1" t="str">
        <f t="shared" si="3"/>
        <v>Currently Unavailable</v>
      </c>
      <c r="I8751" s="1" t="str">
        <f t="shared" si="4"/>
        <v>No Badges</v>
      </c>
      <c r="J8751" s="3">
        <f t="shared" si="5"/>
        <v>0</v>
      </c>
    </row>
    <row r="8752">
      <c r="A8752" s="1" t="s">
        <v>6691</v>
      </c>
      <c r="B8752" s="3" t="str">
        <f t="shared" si="1"/>
        <v>Unavailable</v>
      </c>
      <c r="C8752" s="3">
        <v>168.0</v>
      </c>
      <c r="D8752" s="3">
        <f>IFERROR(__xludf.DUMMYFUNCTION("IFERROR(
IF(REGEXMATCH(LOWER(O8752),""k""),
VALUE(REGEXEXTRACT(O8752,""[0-9]+""))*1000,
VALUE(REGEXEXTRACT(O8752,""[0-9]+""))
),
0
)"),0.0)</f>
        <v>0</v>
      </c>
      <c r="E8752" s="1" t="s">
        <v>11</v>
      </c>
      <c r="F8752" s="1" t="s">
        <v>20</v>
      </c>
      <c r="G8752" s="4" t="b">
        <f t="shared" si="2"/>
        <v>1</v>
      </c>
      <c r="H8752" s="1" t="str">
        <f t="shared" si="3"/>
        <v>Currently Unavailable</v>
      </c>
      <c r="I8752" s="1" t="str">
        <f t="shared" si="4"/>
        <v>No Badges</v>
      </c>
      <c r="J8752" s="3">
        <f t="shared" si="5"/>
        <v>0</v>
      </c>
    </row>
    <row r="8753">
      <c r="A8753" s="1" t="s">
        <v>6692</v>
      </c>
      <c r="B8753" s="3" t="str">
        <f t="shared" si="1"/>
        <v>Unavailable</v>
      </c>
      <c r="C8753" s="5">
        <v>9532.0</v>
      </c>
      <c r="D8753" s="3">
        <f>IFERROR(__xludf.DUMMYFUNCTION("IFERROR(
IF(REGEXMATCH(LOWER(O8753),""k""),
VALUE(REGEXEXTRACT(O8753,""[0-9]+""))*1000,
VALUE(REGEXEXTRACT(O8753,""[0-9]+""))
),
0
)"),0.0)</f>
        <v>0</v>
      </c>
      <c r="E8753" s="1" t="s">
        <v>11</v>
      </c>
      <c r="F8753" s="1" t="s">
        <v>20</v>
      </c>
      <c r="G8753" s="4" t="b">
        <f t="shared" si="2"/>
        <v>1</v>
      </c>
      <c r="H8753" s="1" t="str">
        <f t="shared" si="3"/>
        <v>Currently Unavailable</v>
      </c>
      <c r="I8753" s="1" t="str">
        <f t="shared" si="4"/>
        <v>No Badges</v>
      </c>
      <c r="J8753" s="3">
        <f t="shared" si="5"/>
        <v>0</v>
      </c>
    </row>
    <row r="8754">
      <c r="A8754" s="1" t="s">
        <v>6693</v>
      </c>
      <c r="B8754" s="3" t="str">
        <f t="shared" si="1"/>
        <v>Unavailable</v>
      </c>
      <c r="C8754" s="3">
        <v>239.0</v>
      </c>
      <c r="D8754" s="3">
        <f>IFERROR(__xludf.DUMMYFUNCTION("IFERROR(
IF(REGEXMATCH(LOWER(O8754),""k""),
VALUE(REGEXEXTRACT(O8754,""[0-9]+""))*1000,
VALUE(REGEXEXTRACT(O8754,""[0-9]+""))
),
0
)"),0.0)</f>
        <v>0</v>
      </c>
      <c r="E8754" s="1" t="s">
        <v>11</v>
      </c>
      <c r="F8754" s="1" t="s">
        <v>20</v>
      </c>
      <c r="G8754" s="4" t="b">
        <f t="shared" si="2"/>
        <v>1</v>
      </c>
      <c r="H8754" s="1" t="str">
        <f t="shared" si="3"/>
        <v>Currently Unavailable</v>
      </c>
      <c r="I8754" s="1" t="str">
        <f t="shared" si="4"/>
        <v>No Badges</v>
      </c>
      <c r="J8754" s="3">
        <f t="shared" si="5"/>
        <v>0</v>
      </c>
    </row>
    <row r="8755">
      <c r="A8755" s="1" t="s">
        <v>6694</v>
      </c>
      <c r="B8755" s="3" t="str">
        <f t="shared" si="1"/>
        <v>Unavailable</v>
      </c>
      <c r="C8755" s="5">
        <v>5140.0</v>
      </c>
      <c r="D8755" s="3">
        <f>IFERROR(__xludf.DUMMYFUNCTION("IFERROR(
IF(REGEXMATCH(LOWER(O8755),""k""),
VALUE(REGEXEXTRACT(O8755,""[0-9]+""))*1000,
VALUE(REGEXEXTRACT(O8755,""[0-9]+""))
),
0
)"),0.0)</f>
        <v>0</v>
      </c>
      <c r="E8755" s="1" t="s">
        <v>11</v>
      </c>
      <c r="F8755" s="1" t="s">
        <v>20</v>
      </c>
      <c r="G8755" s="4" t="b">
        <f t="shared" si="2"/>
        <v>1</v>
      </c>
      <c r="H8755" s="1" t="str">
        <f t="shared" si="3"/>
        <v>Currently Unavailable</v>
      </c>
      <c r="I8755" s="1" t="str">
        <f t="shared" si="4"/>
        <v>No Badges</v>
      </c>
      <c r="J8755" s="3">
        <f t="shared" si="5"/>
        <v>0</v>
      </c>
    </row>
    <row r="8756">
      <c r="A8756" s="1" t="s">
        <v>6695</v>
      </c>
      <c r="B8756" s="3" t="str">
        <f t="shared" si="1"/>
        <v>Unavailable</v>
      </c>
      <c r="C8756" s="5">
        <v>13565.0</v>
      </c>
      <c r="D8756" s="3">
        <f>IFERROR(__xludf.DUMMYFUNCTION("IFERROR(
IF(REGEXMATCH(LOWER(O8756),""k""),
VALUE(REGEXEXTRACT(O8756,""[0-9]+""))*1000,
VALUE(REGEXEXTRACT(O8756,""[0-9]+""))
),
0
)"),0.0)</f>
        <v>0</v>
      </c>
      <c r="E8756" s="1" t="s">
        <v>11</v>
      </c>
      <c r="F8756" s="1" t="s">
        <v>20</v>
      </c>
      <c r="G8756" s="4" t="b">
        <f t="shared" si="2"/>
        <v>1</v>
      </c>
      <c r="H8756" s="1" t="str">
        <f t="shared" si="3"/>
        <v>Currently Unavailable</v>
      </c>
      <c r="I8756" s="1" t="str">
        <f t="shared" si="4"/>
        <v>No Badges</v>
      </c>
      <c r="J8756" s="3">
        <f t="shared" si="5"/>
        <v>0</v>
      </c>
    </row>
    <row r="8757">
      <c r="A8757" s="1" t="s">
        <v>6696</v>
      </c>
      <c r="B8757" s="3" t="str">
        <f t="shared" si="1"/>
        <v>Unavailable</v>
      </c>
      <c r="C8757" s="5">
        <v>23350.0</v>
      </c>
      <c r="D8757" s="3">
        <f>IFERROR(__xludf.DUMMYFUNCTION("IFERROR(
IF(REGEXMATCH(LOWER(O8757),""k""),
VALUE(REGEXEXTRACT(O8757,""[0-9]+""))*1000,
VALUE(REGEXEXTRACT(O8757,""[0-9]+""))
),
0
)"),0.0)</f>
        <v>0</v>
      </c>
      <c r="E8757" s="1" t="s">
        <v>11</v>
      </c>
      <c r="F8757" s="1" t="s">
        <v>20</v>
      </c>
      <c r="G8757" s="4" t="b">
        <f t="shared" si="2"/>
        <v>1</v>
      </c>
      <c r="H8757" s="1" t="str">
        <f t="shared" si="3"/>
        <v>Currently Unavailable</v>
      </c>
      <c r="I8757" s="1" t="str">
        <f t="shared" si="4"/>
        <v>No Badges</v>
      </c>
      <c r="J8757" s="3">
        <f t="shared" si="5"/>
        <v>0</v>
      </c>
    </row>
    <row r="8758">
      <c r="A8758" s="1" t="s">
        <v>5817</v>
      </c>
      <c r="B8758" s="3" t="str">
        <f t="shared" si="1"/>
        <v>Unavailable</v>
      </c>
      <c r="C8758" s="5">
        <v>7235.0</v>
      </c>
      <c r="D8758" s="3">
        <f>IFERROR(__xludf.DUMMYFUNCTION("IFERROR(
IF(REGEXMATCH(LOWER(O8758),""k""),
VALUE(REGEXEXTRACT(O8758,""[0-9]+""))*1000,
VALUE(REGEXEXTRACT(O8758,""[0-9]+""))
),
0
)"),0.0)</f>
        <v>0</v>
      </c>
      <c r="E8758" s="1" t="s">
        <v>11</v>
      </c>
      <c r="F8758" s="1" t="s">
        <v>12</v>
      </c>
      <c r="G8758" s="4" t="b">
        <f t="shared" si="2"/>
        <v>1</v>
      </c>
      <c r="H8758" s="1" t="str">
        <f t="shared" si="3"/>
        <v>Currently Unavailable</v>
      </c>
      <c r="I8758" s="1" t="str">
        <f t="shared" si="4"/>
        <v>No Badges</v>
      </c>
      <c r="J8758" s="3">
        <f t="shared" si="5"/>
        <v>0</v>
      </c>
    </row>
    <row r="8759">
      <c r="A8759" s="1" t="s">
        <v>6697</v>
      </c>
      <c r="B8759" s="3" t="str">
        <f t="shared" si="1"/>
        <v>Unavailable</v>
      </c>
      <c r="C8759" s="5">
        <v>1021.0</v>
      </c>
      <c r="D8759" s="3">
        <f>IFERROR(__xludf.DUMMYFUNCTION("IFERROR(
IF(REGEXMATCH(LOWER(O8759),""k""),
VALUE(REGEXEXTRACT(O8759,""[0-9]+""))*1000,
VALUE(REGEXEXTRACT(O8759,""[0-9]+""))
),
0
)"),0.0)</f>
        <v>0</v>
      </c>
      <c r="E8759" s="1" t="s">
        <v>11</v>
      </c>
      <c r="F8759" s="1" t="s">
        <v>20</v>
      </c>
      <c r="G8759" s="4" t="b">
        <f t="shared" si="2"/>
        <v>1</v>
      </c>
      <c r="H8759" s="1" t="str">
        <f t="shared" si="3"/>
        <v>Currently Unavailable</v>
      </c>
      <c r="I8759" s="1" t="str">
        <f t="shared" si="4"/>
        <v>No Badges</v>
      </c>
      <c r="J8759" s="3">
        <f t="shared" si="5"/>
        <v>0</v>
      </c>
    </row>
    <row r="8760">
      <c r="A8760" s="1" t="s">
        <v>6698</v>
      </c>
      <c r="B8760" s="3" t="str">
        <f t="shared" si="1"/>
        <v>Unavailable</v>
      </c>
      <c r="C8760" s="3">
        <v>6.0</v>
      </c>
      <c r="D8760" s="3">
        <f>IFERROR(__xludf.DUMMYFUNCTION("IFERROR(
IF(REGEXMATCH(LOWER(O8760),""k""),
VALUE(REGEXEXTRACT(O8760,""[0-9]+""))*1000,
VALUE(REGEXEXTRACT(O8760,""[0-9]+""))
),
0
)"),0.0)</f>
        <v>0</v>
      </c>
      <c r="E8760" s="1" t="s">
        <v>11</v>
      </c>
      <c r="F8760" s="1" t="s">
        <v>12</v>
      </c>
      <c r="G8760" s="4" t="b">
        <f t="shared" si="2"/>
        <v>1</v>
      </c>
      <c r="H8760" s="1" t="str">
        <f t="shared" si="3"/>
        <v>Currently Unavailable</v>
      </c>
      <c r="I8760" s="1" t="str">
        <f t="shared" si="4"/>
        <v>No Badges</v>
      </c>
      <c r="J8760" s="3">
        <f t="shared" si="5"/>
        <v>0</v>
      </c>
    </row>
    <row r="8761">
      <c r="A8761" s="1" t="s">
        <v>6699</v>
      </c>
      <c r="B8761" s="3" t="str">
        <f t="shared" si="1"/>
        <v>Unavailable</v>
      </c>
      <c r="C8761" s="3">
        <v>1.0</v>
      </c>
      <c r="D8761" s="3">
        <f>IFERROR(__xludf.DUMMYFUNCTION("IFERROR(
IF(REGEXMATCH(LOWER(O8761),""k""),
VALUE(REGEXEXTRACT(O8761,""[0-9]+""))*1000,
VALUE(REGEXEXTRACT(O8761,""[0-9]+""))
),
0
)"),0.0)</f>
        <v>0</v>
      </c>
      <c r="E8761" s="1" t="s">
        <v>11</v>
      </c>
      <c r="F8761" s="1" t="s">
        <v>12</v>
      </c>
      <c r="G8761" s="4" t="b">
        <f t="shared" si="2"/>
        <v>1</v>
      </c>
      <c r="H8761" s="1" t="str">
        <f t="shared" si="3"/>
        <v>Currently Unavailable</v>
      </c>
      <c r="I8761" s="1" t="str">
        <f t="shared" si="4"/>
        <v>No Badges</v>
      </c>
      <c r="J8761" s="3">
        <f t="shared" si="5"/>
        <v>0</v>
      </c>
    </row>
    <row r="8762">
      <c r="A8762" s="1" t="s">
        <v>6700</v>
      </c>
      <c r="B8762" s="3" t="str">
        <f t="shared" si="1"/>
        <v>Unavailable</v>
      </c>
      <c r="C8762" s="5">
        <v>4064.0</v>
      </c>
      <c r="D8762" s="3">
        <f>IFERROR(__xludf.DUMMYFUNCTION("IFERROR(
IF(REGEXMATCH(LOWER(O8762),""k""),
VALUE(REGEXEXTRACT(O8762,""[0-9]+""))*1000,
VALUE(REGEXEXTRACT(O8762,""[0-9]+""))
),
0
)"),0.0)</f>
        <v>0</v>
      </c>
      <c r="E8762" s="1" t="s">
        <v>11</v>
      </c>
      <c r="F8762" s="1" t="s">
        <v>20</v>
      </c>
      <c r="G8762" s="4" t="b">
        <f t="shared" si="2"/>
        <v>1</v>
      </c>
      <c r="H8762" s="1" t="str">
        <f t="shared" si="3"/>
        <v>Currently Unavailable</v>
      </c>
      <c r="I8762" s="1" t="str">
        <f t="shared" si="4"/>
        <v>No Badges</v>
      </c>
      <c r="J8762" s="3">
        <f t="shared" si="5"/>
        <v>0</v>
      </c>
    </row>
    <row r="8763">
      <c r="A8763" s="1" t="s">
        <v>6701</v>
      </c>
      <c r="B8763" s="3" t="str">
        <f t="shared" si="1"/>
        <v>Unavailable</v>
      </c>
      <c r="C8763" s="3">
        <v>550.0</v>
      </c>
      <c r="D8763" s="3">
        <f>IFERROR(__xludf.DUMMYFUNCTION("IFERROR(
IF(REGEXMATCH(LOWER(O8763),""k""),
VALUE(REGEXEXTRACT(O8763,""[0-9]+""))*1000,
VALUE(REGEXEXTRACT(O8763,""[0-9]+""))
),
0
)"),0.0)</f>
        <v>0</v>
      </c>
      <c r="E8763" s="1" t="s">
        <v>11</v>
      </c>
      <c r="F8763" s="1" t="s">
        <v>20</v>
      </c>
      <c r="G8763" s="4" t="b">
        <f t="shared" si="2"/>
        <v>1</v>
      </c>
      <c r="H8763" s="1" t="str">
        <f t="shared" si="3"/>
        <v>Currently Unavailable</v>
      </c>
      <c r="I8763" s="1" t="str">
        <f t="shared" si="4"/>
        <v>No Badges</v>
      </c>
      <c r="J8763" s="3">
        <f t="shared" si="5"/>
        <v>0</v>
      </c>
    </row>
    <row r="8764">
      <c r="A8764" s="1" t="s">
        <v>6702</v>
      </c>
      <c r="B8764" s="3" t="str">
        <f t="shared" si="1"/>
        <v>Unavailable</v>
      </c>
      <c r="C8764" s="5">
        <v>7227.0</v>
      </c>
      <c r="D8764" s="3">
        <f>IFERROR(__xludf.DUMMYFUNCTION("IFERROR(
IF(REGEXMATCH(LOWER(O8764),""k""),
VALUE(REGEXEXTRACT(O8764,""[0-9]+""))*1000,
VALUE(REGEXEXTRACT(O8764,""[0-9]+""))
),
0
)"),0.0)</f>
        <v>0</v>
      </c>
      <c r="E8764" s="1" t="s">
        <v>11</v>
      </c>
      <c r="F8764" s="1" t="s">
        <v>20</v>
      </c>
      <c r="G8764" s="4" t="b">
        <f t="shared" si="2"/>
        <v>1</v>
      </c>
      <c r="H8764" s="1" t="str">
        <f t="shared" si="3"/>
        <v>Currently Unavailable</v>
      </c>
      <c r="I8764" s="1" t="str">
        <f t="shared" si="4"/>
        <v>No Badges</v>
      </c>
      <c r="J8764" s="3">
        <f t="shared" si="5"/>
        <v>0</v>
      </c>
    </row>
    <row r="8765">
      <c r="A8765" s="1" t="s">
        <v>6703</v>
      </c>
      <c r="B8765" s="3" t="str">
        <f t="shared" si="1"/>
        <v>Unavailable</v>
      </c>
      <c r="C8765" s="3">
        <v>18.0</v>
      </c>
      <c r="D8765" s="3">
        <f>IFERROR(__xludf.DUMMYFUNCTION("IFERROR(
IF(REGEXMATCH(LOWER(O8765),""k""),
VALUE(REGEXEXTRACT(O8765,""[0-9]+""))*1000,
VALUE(REGEXEXTRACT(O8765,""[0-9]+""))
),
0
)"),0.0)</f>
        <v>0</v>
      </c>
      <c r="E8765" s="1" t="s">
        <v>11</v>
      </c>
      <c r="F8765" s="1" t="s">
        <v>20</v>
      </c>
      <c r="G8765" s="4" t="b">
        <f t="shared" si="2"/>
        <v>1</v>
      </c>
      <c r="H8765" s="1" t="str">
        <f t="shared" si="3"/>
        <v>Currently Unavailable</v>
      </c>
      <c r="I8765" s="1" t="str">
        <f t="shared" si="4"/>
        <v>No Badges</v>
      </c>
      <c r="J8765" s="3">
        <f t="shared" si="5"/>
        <v>0</v>
      </c>
    </row>
    <row r="8766">
      <c r="A8766" s="1" t="s">
        <v>6704</v>
      </c>
      <c r="B8766" s="3" t="str">
        <f t="shared" si="1"/>
        <v>Unavailable</v>
      </c>
      <c r="C8766" s="5">
        <v>23310.0</v>
      </c>
      <c r="D8766" s="3">
        <f>IFERROR(__xludf.DUMMYFUNCTION("IFERROR(
IF(REGEXMATCH(LOWER(O8766),""k""),
VALUE(REGEXEXTRACT(O8766,""[0-9]+""))*1000,
VALUE(REGEXEXTRACT(O8766,""[0-9]+""))
),
0
)"),0.0)</f>
        <v>0</v>
      </c>
      <c r="E8766" s="1" t="s">
        <v>11</v>
      </c>
      <c r="F8766" s="1" t="s">
        <v>20</v>
      </c>
      <c r="G8766" s="4" t="b">
        <f t="shared" si="2"/>
        <v>1</v>
      </c>
      <c r="H8766" s="1" t="str">
        <f t="shared" si="3"/>
        <v>Currently Unavailable</v>
      </c>
      <c r="I8766" s="1" t="str">
        <f t="shared" si="4"/>
        <v>No Badges</v>
      </c>
      <c r="J8766" s="3">
        <f t="shared" si="5"/>
        <v>0</v>
      </c>
    </row>
    <row r="8767">
      <c r="A8767" s="1" t="s">
        <v>6705</v>
      </c>
      <c r="B8767" s="3" t="str">
        <f t="shared" si="1"/>
        <v>Unavailable</v>
      </c>
      <c r="C8767" s="3">
        <v>886.0</v>
      </c>
      <c r="D8767" s="3">
        <f>IFERROR(__xludf.DUMMYFUNCTION("IFERROR(
IF(REGEXMATCH(LOWER(O8767),""k""),
VALUE(REGEXEXTRACT(O8767,""[0-9]+""))*1000,
VALUE(REGEXEXTRACT(O8767,""[0-9]+""))
),
0
)"),0.0)</f>
        <v>0</v>
      </c>
      <c r="E8767" s="1" t="s">
        <v>11</v>
      </c>
      <c r="F8767" s="1" t="s">
        <v>20</v>
      </c>
      <c r="G8767" s="4" t="b">
        <f t="shared" si="2"/>
        <v>1</v>
      </c>
      <c r="H8767" s="1" t="str">
        <f t="shared" si="3"/>
        <v>Currently Unavailable</v>
      </c>
      <c r="I8767" s="1" t="str">
        <f t="shared" si="4"/>
        <v>No Badges</v>
      </c>
      <c r="J8767" s="3">
        <f t="shared" si="5"/>
        <v>0</v>
      </c>
    </row>
    <row r="8768">
      <c r="A8768" s="1" t="s">
        <v>6706</v>
      </c>
      <c r="B8768" s="3" t="str">
        <f t="shared" si="1"/>
        <v>Unavailable</v>
      </c>
      <c r="C8768" s="3">
        <v>329.0</v>
      </c>
      <c r="D8768" s="3">
        <f>IFERROR(__xludf.DUMMYFUNCTION("IFERROR(
IF(REGEXMATCH(LOWER(O8768),""k""),
VALUE(REGEXEXTRACT(O8768,""[0-9]+""))*1000,
VALUE(REGEXEXTRACT(O8768,""[0-9]+""))
),
0
)"),0.0)</f>
        <v>0</v>
      </c>
      <c r="E8768" s="1" t="s">
        <v>11</v>
      </c>
      <c r="F8768" s="1" t="s">
        <v>20</v>
      </c>
      <c r="G8768" s="4" t="b">
        <f t="shared" si="2"/>
        <v>1</v>
      </c>
      <c r="H8768" s="1" t="str">
        <f t="shared" si="3"/>
        <v>Currently Unavailable</v>
      </c>
      <c r="I8768" s="1" t="str">
        <f t="shared" si="4"/>
        <v>No Badges</v>
      </c>
      <c r="J8768" s="3">
        <f t="shared" si="5"/>
        <v>0</v>
      </c>
    </row>
    <row r="8769">
      <c r="A8769" s="1" t="s">
        <v>6707</v>
      </c>
      <c r="B8769" s="3" t="str">
        <f t="shared" si="1"/>
        <v>Unavailable</v>
      </c>
      <c r="C8769" s="3">
        <v>50.0</v>
      </c>
      <c r="D8769" s="3">
        <f>IFERROR(__xludf.DUMMYFUNCTION("IFERROR(
IF(REGEXMATCH(LOWER(O8769),""k""),
VALUE(REGEXEXTRACT(O8769,""[0-9]+""))*1000,
VALUE(REGEXEXTRACT(O8769,""[0-9]+""))
),
0
)"),0.0)</f>
        <v>0</v>
      </c>
      <c r="E8769" s="1" t="s">
        <v>11</v>
      </c>
      <c r="F8769" s="1" t="s">
        <v>20</v>
      </c>
      <c r="G8769" s="4" t="b">
        <f t="shared" si="2"/>
        <v>1</v>
      </c>
      <c r="H8769" s="1" t="str">
        <f t="shared" si="3"/>
        <v>Currently Unavailable</v>
      </c>
      <c r="I8769" s="1" t="str">
        <f t="shared" si="4"/>
        <v>No Badges</v>
      </c>
      <c r="J8769" s="3">
        <f t="shared" si="5"/>
        <v>0</v>
      </c>
    </row>
    <row r="8770">
      <c r="A8770" s="1" t="s">
        <v>5817</v>
      </c>
      <c r="B8770" s="3" t="str">
        <f t="shared" si="1"/>
        <v>Unavailable</v>
      </c>
      <c r="C8770" s="5">
        <v>7235.0</v>
      </c>
      <c r="D8770" s="3">
        <f>IFERROR(__xludf.DUMMYFUNCTION("IFERROR(
IF(REGEXMATCH(LOWER(O8770),""k""),
VALUE(REGEXEXTRACT(O8770,""[0-9]+""))*1000,
VALUE(REGEXEXTRACT(O8770,""[0-9]+""))
),
0
)"),0.0)</f>
        <v>0</v>
      </c>
      <c r="E8770" s="1" t="s">
        <v>11</v>
      </c>
      <c r="F8770" s="1" t="s">
        <v>12</v>
      </c>
      <c r="G8770" s="4" t="b">
        <f t="shared" si="2"/>
        <v>1</v>
      </c>
      <c r="H8770" s="1" t="str">
        <f t="shared" si="3"/>
        <v>Currently Unavailable</v>
      </c>
      <c r="I8770" s="1" t="str">
        <f t="shared" si="4"/>
        <v>No Badges</v>
      </c>
      <c r="J8770" s="3">
        <f t="shared" si="5"/>
        <v>0</v>
      </c>
    </row>
    <row r="8771">
      <c r="A8771" s="1" t="s">
        <v>6708</v>
      </c>
      <c r="B8771" s="3" t="str">
        <f t="shared" si="1"/>
        <v>Unavailable</v>
      </c>
      <c r="C8771" s="3">
        <v>38.0</v>
      </c>
      <c r="D8771" s="3">
        <f>IFERROR(__xludf.DUMMYFUNCTION("IFERROR(
IF(REGEXMATCH(LOWER(O8771),""k""),
VALUE(REGEXEXTRACT(O8771,""[0-9]+""))*1000,
VALUE(REGEXEXTRACT(O8771,""[0-9]+""))
),
0
)"),0.0)</f>
        <v>0</v>
      </c>
      <c r="E8771" s="1" t="s">
        <v>11</v>
      </c>
      <c r="F8771" s="1" t="s">
        <v>20</v>
      </c>
      <c r="G8771" s="4" t="b">
        <f t="shared" si="2"/>
        <v>1</v>
      </c>
      <c r="H8771" s="1" t="str">
        <f t="shared" si="3"/>
        <v>Currently Unavailable</v>
      </c>
      <c r="I8771" s="1" t="str">
        <f t="shared" si="4"/>
        <v>No Badges</v>
      </c>
      <c r="J8771" s="3">
        <f t="shared" si="5"/>
        <v>0</v>
      </c>
    </row>
    <row r="8772">
      <c r="A8772" s="1" t="s">
        <v>6709</v>
      </c>
      <c r="B8772" s="3" t="str">
        <f t="shared" si="1"/>
        <v>Unavailable</v>
      </c>
      <c r="C8772" s="3">
        <v>82.0</v>
      </c>
      <c r="D8772" s="3">
        <f>IFERROR(__xludf.DUMMYFUNCTION("IFERROR(
IF(REGEXMATCH(LOWER(O8772),""k""),
VALUE(REGEXEXTRACT(O8772,""[0-9]+""))*1000,
VALUE(REGEXEXTRACT(O8772,""[0-9]+""))
),
0
)"),0.0)</f>
        <v>0</v>
      </c>
      <c r="E8772" s="1" t="s">
        <v>11</v>
      </c>
      <c r="F8772" s="1" t="s">
        <v>20</v>
      </c>
      <c r="G8772" s="4" t="b">
        <f t="shared" si="2"/>
        <v>1</v>
      </c>
      <c r="H8772" s="1" t="str">
        <f t="shared" si="3"/>
        <v>Currently Unavailable</v>
      </c>
      <c r="I8772" s="1" t="str">
        <f t="shared" si="4"/>
        <v>No Badges</v>
      </c>
      <c r="J8772" s="3">
        <f t="shared" si="5"/>
        <v>0</v>
      </c>
    </row>
    <row r="8773">
      <c r="A8773" s="1" t="s">
        <v>6710</v>
      </c>
      <c r="B8773" s="3" t="str">
        <f t="shared" si="1"/>
        <v>Unavailable</v>
      </c>
      <c r="C8773" s="3">
        <v>707.0</v>
      </c>
      <c r="D8773" s="3">
        <f>IFERROR(__xludf.DUMMYFUNCTION("IFERROR(
IF(REGEXMATCH(LOWER(O8773),""k""),
VALUE(REGEXEXTRACT(O8773,""[0-9]+""))*1000,
VALUE(REGEXEXTRACT(O8773,""[0-9]+""))
),
0
)"),0.0)</f>
        <v>0</v>
      </c>
      <c r="E8773" s="1" t="s">
        <v>11</v>
      </c>
      <c r="F8773" s="1" t="s">
        <v>20</v>
      </c>
      <c r="G8773" s="4" t="b">
        <f t="shared" si="2"/>
        <v>1</v>
      </c>
      <c r="H8773" s="1" t="str">
        <f t="shared" si="3"/>
        <v>Currently Unavailable</v>
      </c>
      <c r="I8773" s="1" t="str">
        <f t="shared" si="4"/>
        <v>No Badges</v>
      </c>
      <c r="J8773" s="3">
        <f t="shared" si="5"/>
        <v>0</v>
      </c>
    </row>
    <row r="8774">
      <c r="A8774" s="1" t="s">
        <v>6711</v>
      </c>
      <c r="B8774" s="3" t="str">
        <f t="shared" si="1"/>
        <v>Unavailable</v>
      </c>
      <c r="C8774" s="3">
        <v>259.0</v>
      </c>
      <c r="D8774" s="3">
        <f>IFERROR(__xludf.DUMMYFUNCTION("IFERROR(
IF(REGEXMATCH(LOWER(O8774),""k""),
VALUE(REGEXEXTRACT(O8774,""[0-9]+""))*1000,
VALUE(REGEXEXTRACT(O8774,""[0-9]+""))
),
0
)"),0.0)</f>
        <v>0</v>
      </c>
      <c r="E8774" s="1" t="s">
        <v>11</v>
      </c>
      <c r="F8774" s="1" t="s">
        <v>12</v>
      </c>
      <c r="G8774" s="4" t="b">
        <f t="shared" si="2"/>
        <v>1</v>
      </c>
      <c r="H8774" s="1" t="str">
        <f t="shared" si="3"/>
        <v>Currently Unavailable</v>
      </c>
      <c r="I8774" s="1" t="str">
        <f t="shared" si="4"/>
        <v>No Badges</v>
      </c>
      <c r="J8774" s="3">
        <f t="shared" si="5"/>
        <v>0</v>
      </c>
    </row>
    <row r="8775">
      <c r="A8775" s="1" t="s">
        <v>88</v>
      </c>
      <c r="B8775" s="3" t="str">
        <f t="shared" si="1"/>
        <v>Unavailable</v>
      </c>
      <c r="C8775" s="3">
        <v>6.0</v>
      </c>
      <c r="D8775" s="3">
        <f>IFERROR(__xludf.DUMMYFUNCTION("IFERROR(
IF(REGEXMATCH(LOWER(O8775),""k""),
VALUE(REGEXEXTRACT(O8775,""[0-9]+""))*1000,
VALUE(REGEXEXTRACT(O8775,""[0-9]+""))
),
0
)"),0.0)</f>
        <v>0</v>
      </c>
      <c r="E8775" s="1" t="s">
        <v>11</v>
      </c>
      <c r="F8775" s="1" t="s">
        <v>12</v>
      </c>
      <c r="G8775" s="4" t="b">
        <f t="shared" si="2"/>
        <v>1</v>
      </c>
      <c r="H8775" s="1" t="str">
        <f t="shared" si="3"/>
        <v>Currently Unavailable</v>
      </c>
      <c r="I8775" s="1" t="str">
        <f t="shared" si="4"/>
        <v>No Badges</v>
      </c>
      <c r="J8775" s="3">
        <f t="shared" si="5"/>
        <v>0</v>
      </c>
    </row>
    <row r="8776">
      <c r="A8776" s="1" t="s">
        <v>6661</v>
      </c>
      <c r="B8776" s="3" t="str">
        <f t="shared" si="1"/>
        <v>Unavailable</v>
      </c>
      <c r="C8776" s="3">
        <v>24.0</v>
      </c>
      <c r="D8776" s="3">
        <f>IFERROR(__xludf.DUMMYFUNCTION("IFERROR(
IF(REGEXMATCH(LOWER(O8776),""k""),
VALUE(REGEXEXTRACT(O8776,""[0-9]+""))*1000,
VALUE(REGEXEXTRACT(O8776,""[0-9]+""))
),
0
)"),0.0)</f>
        <v>0</v>
      </c>
      <c r="E8776" s="1" t="s">
        <v>11</v>
      </c>
      <c r="F8776" s="1" t="s">
        <v>12</v>
      </c>
      <c r="G8776" s="4" t="b">
        <f t="shared" si="2"/>
        <v>1</v>
      </c>
      <c r="H8776" s="1" t="str">
        <f t="shared" si="3"/>
        <v>Currently Unavailable</v>
      </c>
      <c r="I8776" s="1" t="str">
        <f t="shared" si="4"/>
        <v>No Badges</v>
      </c>
      <c r="J8776" s="3">
        <f t="shared" si="5"/>
        <v>0</v>
      </c>
    </row>
    <row r="8777">
      <c r="A8777" s="1" t="s">
        <v>6712</v>
      </c>
      <c r="B8777" s="3" t="str">
        <f t="shared" si="1"/>
        <v>Unavailable</v>
      </c>
      <c r="C8777" s="3">
        <v>34.0</v>
      </c>
      <c r="D8777" s="3">
        <f>IFERROR(__xludf.DUMMYFUNCTION("IFERROR(
IF(REGEXMATCH(LOWER(O8777),""k""),
VALUE(REGEXEXTRACT(O8777,""[0-9]+""))*1000,
VALUE(REGEXEXTRACT(O8777,""[0-9]+""))
),
0
)"),0.0)</f>
        <v>0</v>
      </c>
      <c r="E8777" s="1" t="s">
        <v>11</v>
      </c>
      <c r="F8777" s="1" t="s">
        <v>20</v>
      </c>
      <c r="G8777" s="4" t="b">
        <f t="shared" si="2"/>
        <v>1</v>
      </c>
      <c r="H8777" s="1" t="str">
        <f t="shared" si="3"/>
        <v>Currently Unavailable</v>
      </c>
      <c r="I8777" s="1" t="str">
        <f t="shared" si="4"/>
        <v>No Badges</v>
      </c>
      <c r="J8777" s="3">
        <f t="shared" si="5"/>
        <v>0</v>
      </c>
    </row>
    <row r="8778">
      <c r="A8778" s="1" t="s">
        <v>5817</v>
      </c>
      <c r="B8778" s="3" t="str">
        <f t="shared" si="1"/>
        <v>Unavailable</v>
      </c>
      <c r="C8778" s="5">
        <v>7235.0</v>
      </c>
      <c r="D8778" s="3">
        <f>IFERROR(__xludf.DUMMYFUNCTION("IFERROR(
IF(REGEXMATCH(LOWER(O8778),""k""),
VALUE(REGEXEXTRACT(O8778,""[0-9]+""))*1000,
VALUE(REGEXEXTRACT(O8778,""[0-9]+""))
),
0
)"),0.0)</f>
        <v>0</v>
      </c>
      <c r="E8778" s="1" t="s">
        <v>11</v>
      </c>
      <c r="F8778" s="1" t="s">
        <v>12</v>
      </c>
      <c r="G8778" s="4" t="b">
        <f t="shared" si="2"/>
        <v>1</v>
      </c>
      <c r="H8778" s="1" t="str">
        <f t="shared" si="3"/>
        <v>Currently Unavailable</v>
      </c>
      <c r="I8778" s="1" t="str">
        <f t="shared" si="4"/>
        <v>No Badges</v>
      </c>
      <c r="J8778" s="3">
        <f t="shared" si="5"/>
        <v>0</v>
      </c>
    </row>
    <row r="8779">
      <c r="A8779" s="1" t="s">
        <v>6713</v>
      </c>
      <c r="B8779" s="3" t="str">
        <f t="shared" si="1"/>
        <v>Unavailable</v>
      </c>
      <c r="C8779" s="5">
        <v>5684.0</v>
      </c>
      <c r="D8779" s="3">
        <f>IFERROR(__xludf.DUMMYFUNCTION("IFERROR(
IF(REGEXMATCH(LOWER(O8779),""k""),
VALUE(REGEXEXTRACT(O8779,""[0-9]+""))*1000,
VALUE(REGEXEXTRACT(O8779,""[0-9]+""))
),
0
)"),0.0)</f>
        <v>0</v>
      </c>
      <c r="E8779" s="1" t="s">
        <v>11</v>
      </c>
      <c r="F8779" s="1" t="s">
        <v>20</v>
      </c>
      <c r="G8779" s="4" t="b">
        <f t="shared" si="2"/>
        <v>1</v>
      </c>
      <c r="H8779" s="1" t="str">
        <f t="shared" si="3"/>
        <v>Currently Unavailable</v>
      </c>
      <c r="I8779" s="1" t="str">
        <f t="shared" si="4"/>
        <v>No Badges</v>
      </c>
      <c r="J8779" s="3">
        <f t="shared" si="5"/>
        <v>0</v>
      </c>
    </row>
    <row r="8780">
      <c r="A8780" s="1" t="s">
        <v>6714</v>
      </c>
      <c r="B8780" s="3" t="str">
        <f t="shared" si="1"/>
        <v>Unavailable</v>
      </c>
      <c r="C8780" s="5">
        <v>2014.0</v>
      </c>
      <c r="D8780" s="3">
        <f>IFERROR(__xludf.DUMMYFUNCTION("IFERROR(
IF(REGEXMATCH(LOWER(O8780),""k""),
VALUE(REGEXEXTRACT(O8780,""[0-9]+""))*1000,
VALUE(REGEXEXTRACT(O8780,""[0-9]+""))
),
0
)"),0.0)</f>
        <v>0</v>
      </c>
      <c r="E8780" s="1" t="s">
        <v>11</v>
      </c>
      <c r="F8780" s="1" t="s">
        <v>20</v>
      </c>
      <c r="G8780" s="4" t="b">
        <f t="shared" si="2"/>
        <v>1</v>
      </c>
      <c r="H8780" s="1" t="str">
        <f t="shared" si="3"/>
        <v>Currently Unavailable</v>
      </c>
      <c r="I8780" s="1" t="str">
        <f t="shared" si="4"/>
        <v>No Badges</v>
      </c>
      <c r="J8780" s="3">
        <f t="shared" si="5"/>
        <v>0</v>
      </c>
    </row>
    <row r="8781">
      <c r="A8781" s="1" t="s">
        <v>6715</v>
      </c>
      <c r="B8781" s="3" t="str">
        <f t="shared" si="1"/>
        <v>Unavailable</v>
      </c>
      <c r="C8781" s="5">
        <v>1710.0</v>
      </c>
      <c r="D8781" s="3">
        <f>IFERROR(__xludf.DUMMYFUNCTION("IFERROR(
IF(REGEXMATCH(LOWER(O8781),""k""),
VALUE(REGEXEXTRACT(O8781,""[0-9]+""))*1000,
VALUE(REGEXEXTRACT(O8781,""[0-9]+""))
),
0
)"),0.0)</f>
        <v>0</v>
      </c>
      <c r="E8781" s="1" t="s">
        <v>11</v>
      </c>
      <c r="F8781" s="1" t="s">
        <v>20</v>
      </c>
      <c r="G8781" s="4" t="b">
        <f t="shared" si="2"/>
        <v>1</v>
      </c>
      <c r="H8781" s="1" t="str">
        <f t="shared" si="3"/>
        <v>Currently Unavailable</v>
      </c>
      <c r="I8781" s="1" t="str">
        <f t="shared" si="4"/>
        <v>No Badges</v>
      </c>
      <c r="J8781" s="3">
        <f t="shared" si="5"/>
        <v>0</v>
      </c>
    </row>
    <row r="8782">
      <c r="A8782" s="1" t="s">
        <v>5817</v>
      </c>
      <c r="B8782" s="3" t="str">
        <f t="shared" si="1"/>
        <v>Unavailable</v>
      </c>
      <c r="C8782" s="5">
        <v>7235.0</v>
      </c>
      <c r="D8782" s="3">
        <f>IFERROR(__xludf.DUMMYFUNCTION("IFERROR(
IF(REGEXMATCH(LOWER(O8782),""k""),
VALUE(REGEXEXTRACT(O8782,""[0-9]+""))*1000,
VALUE(REGEXEXTRACT(O8782,""[0-9]+""))
),
0
)"),0.0)</f>
        <v>0</v>
      </c>
      <c r="E8782" s="1" t="s">
        <v>11</v>
      </c>
      <c r="F8782" s="1" t="s">
        <v>12</v>
      </c>
      <c r="G8782" s="4" t="b">
        <f t="shared" si="2"/>
        <v>1</v>
      </c>
      <c r="H8782" s="1" t="str">
        <f t="shared" si="3"/>
        <v>Currently Unavailable</v>
      </c>
      <c r="I8782" s="1" t="str">
        <f t="shared" si="4"/>
        <v>No Badges</v>
      </c>
      <c r="J8782" s="3">
        <f t="shared" si="5"/>
        <v>0</v>
      </c>
    </row>
    <row r="8783">
      <c r="A8783" s="1" t="s">
        <v>6716</v>
      </c>
      <c r="B8783" s="3" t="str">
        <f t="shared" si="1"/>
        <v>Unavailable</v>
      </c>
      <c r="C8783" s="3">
        <v>18.0</v>
      </c>
      <c r="D8783" s="3">
        <f>IFERROR(__xludf.DUMMYFUNCTION("IFERROR(
IF(REGEXMATCH(LOWER(O8783),""k""),
VALUE(REGEXEXTRACT(O8783,""[0-9]+""))*1000,
VALUE(REGEXEXTRACT(O8783,""[0-9]+""))
),
0
)"),0.0)</f>
        <v>0</v>
      </c>
      <c r="E8783" s="1" t="s">
        <v>11</v>
      </c>
      <c r="F8783" s="1" t="s">
        <v>20</v>
      </c>
      <c r="G8783" s="4" t="b">
        <f t="shared" si="2"/>
        <v>1</v>
      </c>
      <c r="H8783" s="1" t="str">
        <f t="shared" si="3"/>
        <v>Currently Unavailable</v>
      </c>
      <c r="I8783" s="1" t="str">
        <f t="shared" si="4"/>
        <v>No Badges</v>
      </c>
      <c r="J8783" s="3">
        <f t="shared" si="5"/>
        <v>0</v>
      </c>
    </row>
    <row r="8784">
      <c r="A8784" s="1" t="s">
        <v>6717</v>
      </c>
      <c r="B8784" s="3" t="str">
        <f t="shared" si="1"/>
        <v>Unavailable</v>
      </c>
      <c r="C8784" s="5">
        <v>5445.0</v>
      </c>
      <c r="D8784" s="3">
        <f>IFERROR(__xludf.DUMMYFUNCTION("IFERROR(
IF(REGEXMATCH(LOWER(O8784),""k""),
VALUE(REGEXEXTRACT(O8784,""[0-9]+""))*1000,
VALUE(REGEXEXTRACT(O8784,""[0-9]+""))
),
0
)"),0.0)</f>
        <v>0</v>
      </c>
      <c r="E8784" s="1" t="s">
        <v>11</v>
      </c>
      <c r="F8784" s="1" t="s">
        <v>20</v>
      </c>
      <c r="G8784" s="4" t="b">
        <f t="shared" si="2"/>
        <v>1</v>
      </c>
      <c r="H8784" s="1" t="str">
        <f t="shared" si="3"/>
        <v>Currently Unavailable</v>
      </c>
      <c r="I8784" s="1" t="str">
        <f t="shared" si="4"/>
        <v>No Badges</v>
      </c>
      <c r="J8784" s="3">
        <f t="shared" si="5"/>
        <v>0</v>
      </c>
    </row>
    <row r="8785">
      <c r="A8785" s="1" t="s">
        <v>6718</v>
      </c>
      <c r="B8785" s="3" t="str">
        <f t="shared" si="1"/>
        <v>Unavailable</v>
      </c>
      <c r="C8785" s="5">
        <v>4246.0</v>
      </c>
      <c r="D8785" s="3">
        <f>IFERROR(__xludf.DUMMYFUNCTION("IFERROR(
IF(REGEXMATCH(LOWER(O8785),""k""),
VALUE(REGEXEXTRACT(O8785,""[0-9]+""))*1000,
VALUE(REGEXEXTRACT(O8785,""[0-9]+""))
),
0
)"),0.0)</f>
        <v>0</v>
      </c>
      <c r="E8785" s="1" t="s">
        <v>11</v>
      </c>
      <c r="F8785" s="1" t="s">
        <v>20</v>
      </c>
      <c r="G8785" s="4" t="b">
        <f t="shared" si="2"/>
        <v>1</v>
      </c>
      <c r="H8785" s="1" t="str">
        <f t="shared" si="3"/>
        <v>Currently Unavailable</v>
      </c>
      <c r="I8785" s="1" t="str">
        <f t="shared" si="4"/>
        <v>No Badges</v>
      </c>
      <c r="J8785" s="3">
        <f t="shared" si="5"/>
        <v>0</v>
      </c>
    </row>
    <row r="8786">
      <c r="A8786" s="1" t="s">
        <v>6719</v>
      </c>
      <c r="B8786" s="3" t="str">
        <f t="shared" si="1"/>
        <v>Unavailable</v>
      </c>
      <c r="C8786" s="3">
        <v>113.0</v>
      </c>
      <c r="D8786" s="3">
        <f>IFERROR(__xludf.DUMMYFUNCTION("IFERROR(
IF(REGEXMATCH(LOWER(O8786),""k""),
VALUE(REGEXEXTRACT(O8786,""[0-9]+""))*1000,
VALUE(REGEXEXTRACT(O8786,""[0-9]+""))
),
0
)"),0.0)</f>
        <v>0</v>
      </c>
      <c r="E8786" s="1" t="s">
        <v>11</v>
      </c>
      <c r="F8786" s="1" t="s">
        <v>20</v>
      </c>
      <c r="G8786" s="4" t="b">
        <f t="shared" si="2"/>
        <v>1</v>
      </c>
      <c r="H8786" s="1" t="str">
        <f t="shared" si="3"/>
        <v>Currently Unavailable</v>
      </c>
      <c r="I8786" s="1" t="str">
        <f t="shared" si="4"/>
        <v>No Badges</v>
      </c>
      <c r="J8786" s="3">
        <f t="shared" si="5"/>
        <v>0</v>
      </c>
    </row>
    <row r="8787">
      <c r="A8787" s="1" t="s">
        <v>6720</v>
      </c>
      <c r="B8787" s="3" t="str">
        <f t="shared" si="1"/>
        <v>Unavailable</v>
      </c>
      <c r="C8787" s="5">
        <v>3020.0</v>
      </c>
      <c r="D8787" s="3">
        <f>IFERROR(__xludf.DUMMYFUNCTION("IFERROR(
IF(REGEXMATCH(LOWER(O8787),""k""),
VALUE(REGEXEXTRACT(O8787,""[0-9]+""))*1000,
VALUE(REGEXEXTRACT(O8787,""[0-9]+""))
),
0
)"),0.0)</f>
        <v>0</v>
      </c>
      <c r="E8787" s="1" t="s">
        <v>11</v>
      </c>
      <c r="F8787" s="1" t="s">
        <v>20</v>
      </c>
      <c r="G8787" s="4" t="b">
        <f t="shared" si="2"/>
        <v>1</v>
      </c>
      <c r="H8787" s="1" t="str">
        <f t="shared" si="3"/>
        <v>Currently Unavailable</v>
      </c>
      <c r="I8787" s="1" t="str">
        <f t="shared" si="4"/>
        <v>No Badges</v>
      </c>
      <c r="J8787" s="3">
        <f t="shared" si="5"/>
        <v>0</v>
      </c>
    </row>
    <row r="8788">
      <c r="A8788" s="1" t="s">
        <v>6721</v>
      </c>
      <c r="B8788" s="3" t="str">
        <f t="shared" si="1"/>
        <v>Unavailable</v>
      </c>
      <c r="C8788" s="3">
        <v>50.0</v>
      </c>
      <c r="D8788" s="3">
        <f>IFERROR(__xludf.DUMMYFUNCTION("IFERROR(
IF(REGEXMATCH(LOWER(O8788),""k""),
VALUE(REGEXEXTRACT(O8788,""[0-9]+""))*1000,
VALUE(REGEXEXTRACT(O8788,""[0-9]+""))
),
0
)"),0.0)</f>
        <v>0</v>
      </c>
      <c r="E8788" s="1" t="s">
        <v>11</v>
      </c>
      <c r="F8788" s="1" t="s">
        <v>20</v>
      </c>
      <c r="G8788" s="4" t="b">
        <f t="shared" si="2"/>
        <v>1</v>
      </c>
      <c r="H8788" s="1" t="str">
        <f t="shared" si="3"/>
        <v>Currently Unavailable</v>
      </c>
      <c r="I8788" s="1" t="str">
        <f t="shared" si="4"/>
        <v>No Badges</v>
      </c>
      <c r="J8788" s="3">
        <f t="shared" si="5"/>
        <v>0</v>
      </c>
    </row>
    <row r="8789">
      <c r="A8789" s="1" t="s">
        <v>6722</v>
      </c>
      <c r="B8789" s="3" t="str">
        <f t="shared" si="1"/>
        <v>Unavailable</v>
      </c>
      <c r="C8789" s="3">
        <v>882.0</v>
      </c>
      <c r="D8789" s="3">
        <f>IFERROR(__xludf.DUMMYFUNCTION("IFERROR(
IF(REGEXMATCH(LOWER(O8789),""k""),
VALUE(REGEXEXTRACT(O8789,""[0-9]+""))*1000,
VALUE(REGEXEXTRACT(O8789,""[0-9]+""))
),
0
)"),0.0)</f>
        <v>0</v>
      </c>
      <c r="E8789" s="1" t="s">
        <v>158</v>
      </c>
      <c r="F8789" s="1" t="s">
        <v>20</v>
      </c>
      <c r="G8789" s="4" t="b">
        <f t="shared" si="2"/>
        <v>1</v>
      </c>
      <c r="H8789" s="1" t="str">
        <f t="shared" si="3"/>
        <v>Currently Unavailable</v>
      </c>
      <c r="I8789" s="1" t="str">
        <f t="shared" si="4"/>
        <v>No Badges</v>
      </c>
      <c r="J8789" s="3">
        <f t="shared" si="5"/>
        <v>0</v>
      </c>
    </row>
    <row r="8790">
      <c r="A8790" s="1" t="s">
        <v>5817</v>
      </c>
      <c r="B8790" s="3" t="str">
        <f t="shared" si="1"/>
        <v>Unavailable</v>
      </c>
      <c r="C8790" s="5">
        <v>7235.0</v>
      </c>
      <c r="D8790" s="3">
        <f>IFERROR(__xludf.DUMMYFUNCTION("IFERROR(
IF(REGEXMATCH(LOWER(O8790),""k""),
VALUE(REGEXEXTRACT(O8790,""[0-9]+""))*1000,
VALUE(REGEXEXTRACT(O8790,""[0-9]+""))
),
0
)"),0.0)</f>
        <v>0</v>
      </c>
      <c r="E8790" s="1" t="s">
        <v>11</v>
      </c>
      <c r="F8790" s="1" t="s">
        <v>12</v>
      </c>
      <c r="G8790" s="4" t="b">
        <f t="shared" si="2"/>
        <v>1</v>
      </c>
      <c r="H8790" s="1" t="str">
        <f t="shared" si="3"/>
        <v>Currently Unavailable</v>
      </c>
      <c r="I8790" s="1" t="str">
        <f t="shared" si="4"/>
        <v>No Badges</v>
      </c>
      <c r="J8790" s="3">
        <f t="shared" si="5"/>
        <v>0</v>
      </c>
    </row>
    <row r="8791">
      <c r="A8791" s="1" t="s">
        <v>6723</v>
      </c>
      <c r="B8791" s="3" t="str">
        <f t="shared" si="1"/>
        <v>Unavailable</v>
      </c>
      <c r="C8791" s="5">
        <v>2484.0</v>
      </c>
      <c r="D8791" s="3">
        <f>IFERROR(__xludf.DUMMYFUNCTION("IFERROR(
IF(REGEXMATCH(LOWER(O8791),""k""),
VALUE(REGEXEXTRACT(O8791,""[0-9]+""))*1000,
VALUE(REGEXEXTRACT(O8791,""[0-9]+""))
),
0
)"),0.0)</f>
        <v>0</v>
      </c>
      <c r="E8791" s="1" t="s">
        <v>11</v>
      </c>
      <c r="F8791" s="1" t="s">
        <v>20</v>
      </c>
      <c r="G8791" s="4" t="b">
        <f t="shared" si="2"/>
        <v>1</v>
      </c>
      <c r="H8791" s="1" t="str">
        <f t="shared" si="3"/>
        <v>Currently Unavailable</v>
      </c>
      <c r="I8791" s="1" t="str">
        <f t="shared" si="4"/>
        <v>No Badges</v>
      </c>
      <c r="J8791" s="3">
        <f t="shared" si="5"/>
        <v>0</v>
      </c>
    </row>
    <row r="8792">
      <c r="A8792" s="1" t="s">
        <v>6724</v>
      </c>
      <c r="B8792" s="3" t="str">
        <f t="shared" si="1"/>
        <v>Unavailable</v>
      </c>
      <c r="C8792" s="3">
        <v>386.0</v>
      </c>
      <c r="D8792" s="3">
        <f>IFERROR(__xludf.DUMMYFUNCTION("IFERROR(
IF(REGEXMATCH(LOWER(O8792),""k""),
VALUE(REGEXEXTRACT(O8792,""[0-9]+""))*1000,
VALUE(REGEXEXTRACT(O8792,""[0-9]+""))
),
0
)"),0.0)</f>
        <v>0</v>
      </c>
      <c r="E8792" s="1" t="s">
        <v>11</v>
      </c>
      <c r="F8792" s="1" t="s">
        <v>20</v>
      </c>
      <c r="G8792" s="4" t="b">
        <f t="shared" si="2"/>
        <v>1</v>
      </c>
      <c r="H8792" s="1" t="str">
        <f t="shared" si="3"/>
        <v>Currently Unavailable</v>
      </c>
      <c r="I8792" s="1" t="str">
        <f t="shared" si="4"/>
        <v>No Badges</v>
      </c>
      <c r="J8792" s="3">
        <f t="shared" si="5"/>
        <v>0</v>
      </c>
    </row>
    <row r="8793">
      <c r="A8793" s="1" t="s">
        <v>6650</v>
      </c>
      <c r="B8793" s="3" t="str">
        <f t="shared" si="1"/>
        <v>Unavailable</v>
      </c>
      <c r="C8793" s="3">
        <v>3.0</v>
      </c>
      <c r="D8793" s="3">
        <f>IFERROR(__xludf.DUMMYFUNCTION("IFERROR(
IF(REGEXMATCH(LOWER(O8793),""k""),
VALUE(REGEXEXTRACT(O8793,""[0-9]+""))*1000,
VALUE(REGEXEXTRACT(O8793,""[0-9]+""))
),
0
)"),0.0)</f>
        <v>0</v>
      </c>
      <c r="E8793" s="1" t="s">
        <v>11</v>
      </c>
      <c r="F8793" s="1" t="s">
        <v>12</v>
      </c>
      <c r="G8793" s="4" t="b">
        <f t="shared" si="2"/>
        <v>1</v>
      </c>
      <c r="H8793" s="1" t="str">
        <f t="shared" si="3"/>
        <v>Currently Unavailable</v>
      </c>
      <c r="I8793" s="1" t="str">
        <f t="shared" si="4"/>
        <v>No Badges</v>
      </c>
      <c r="J8793" s="3">
        <f t="shared" si="5"/>
        <v>0</v>
      </c>
    </row>
    <row r="8794">
      <c r="A8794" s="1" t="s">
        <v>701</v>
      </c>
      <c r="B8794" s="3" t="str">
        <f t="shared" si="1"/>
        <v>Unavailable</v>
      </c>
      <c r="C8794" s="3">
        <v>8.0</v>
      </c>
      <c r="D8794" s="3">
        <f>IFERROR(__xludf.DUMMYFUNCTION("IFERROR(
IF(REGEXMATCH(LOWER(O8794),""k""),
VALUE(REGEXEXTRACT(O8794,""[0-9]+""))*1000,
VALUE(REGEXEXTRACT(O8794,""[0-9]+""))
),
0
)"),0.0)</f>
        <v>0</v>
      </c>
      <c r="E8794" s="1" t="s">
        <v>11</v>
      </c>
      <c r="F8794" s="1" t="s">
        <v>12</v>
      </c>
      <c r="G8794" s="4" t="b">
        <f t="shared" si="2"/>
        <v>1</v>
      </c>
      <c r="H8794" s="1" t="str">
        <f t="shared" si="3"/>
        <v>Currently Unavailable</v>
      </c>
      <c r="I8794" s="1" t="str">
        <f t="shared" si="4"/>
        <v>No Badges</v>
      </c>
      <c r="J8794" s="3">
        <f t="shared" si="5"/>
        <v>0</v>
      </c>
    </row>
    <row r="8795">
      <c r="A8795" s="1" t="s">
        <v>6475</v>
      </c>
      <c r="B8795" s="3" t="str">
        <f t="shared" si="1"/>
        <v>Unavailable</v>
      </c>
      <c r="C8795" s="3">
        <v>991.0</v>
      </c>
      <c r="D8795" s="3">
        <f>IFERROR(__xludf.DUMMYFUNCTION("IFERROR(
IF(REGEXMATCH(LOWER(O8795),""k""),
VALUE(REGEXEXTRACT(O8795,""[0-9]+""))*1000,
VALUE(REGEXEXTRACT(O8795,""[0-9]+""))
),
0
)"),0.0)</f>
        <v>0</v>
      </c>
      <c r="E8795" s="1" t="s">
        <v>11</v>
      </c>
      <c r="F8795" s="1" t="s">
        <v>20</v>
      </c>
      <c r="G8795" s="4" t="b">
        <f t="shared" si="2"/>
        <v>1</v>
      </c>
      <c r="H8795" s="1" t="str">
        <f t="shared" si="3"/>
        <v>Currently Unavailable</v>
      </c>
      <c r="I8795" s="1" t="str">
        <f t="shared" si="4"/>
        <v>No Badges</v>
      </c>
      <c r="J8795" s="3">
        <f t="shared" si="5"/>
        <v>0</v>
      </c>
    </row>
    <row r="8796">
      <c r="A8796" s="1" t="s">
        <v>6725</v>
      </c>
      <c r="B8796" s="3" t="str">
        <f t="shared" si="1"/>
        <v>Unavailable</v>
      </c>
      <c r="C8796" s="3">
        <v>120.0</v>
      </c>
      <c r="D8796" s="3">
        <f>IFERROR(__xludf.DUMMYFUNCTION("IFERROR(
IF(REGEXMATCH(LOWER(O8796),""k""),
VALUE(REGEXEXTRACT(O8796,""[0-9]+""))*1000,
VALUE(REGEXEXTRACT(O8796,""[0-9]+""))
),
0
)"),0.0)</f>
        <v>0</v>
      </c>
      <c r="E8796" s="1" t="s">
        <v>11</v>
      </c>
      <c r="F8796" s="1" t="s">
        <v>20</v>
      </c>
      <c r="G8796" s="4" t="b">
        <f t="shared" si="2"/>
        <v>1</v>
      </c>
      <c r="H8796" s="1" t="str">
        <f t="shared" si="3"/>
        <v>Currently Unavailable</v>
      </c>
      <c r="I8796" s="1" t="str">
        <f t="shared" si="4"/>
        <v>No Badges</v>
      </c>
      <c r="J8796" s="3">
        <f t="shared" si="5"/>
        <v>0</v>
      </c>
    </row>
    <row r="8797">
      <c r="A8797" s="1" t="s">
        <v>6726</v>
      </c>
      <c r="B8797" s="3" t="str">
        <f t="shared" si="1"/>
        <v>Unavailable</v>
      </c>
      <c r="C8797" s="3">
        <v>652.0</v>
      </c>
      <c r="D8797" s="3">
        <f>IFERROR(__xludf.DUMMYFUNCTION("IFERROR(
IF(REGEXMATCH(LOWER(O8797),""k""),
VALUE(REGEXEXTRACT(O8797,""[0-9]+""))*1000,
VALUE(REGEXEXTRACT(O8797,""[0-9]+""))
),
0
)"),0.0)</f>
        <v>0</v>
      </c>
      <c r="E8797" s="1" t="s">
        <v>11</v>
      </c>
      <c r="F8797" s="1" t="s">
        <v>20</v>
      </c>
      <c r="G8797" s="4" t="b">
        <f t="shared" si="2"/>
        <v>1</v>
      </c>
      <c r="H8797" s="1" t="str">
        <f t="shared" si="3"/>
        <v>Currently Unavailable</v>
      </c>
      <c r="I8797" s="1" t="str">
        <f t="shared" si="4"/>
        <v>No Badges</v>
      </c>
      <c r="J8797" s="3">
        <f t="shared" si="5"/>
        <v>0</v>
      </c>
    </row>
    <row r="8798">
      <c r="A8798" s="1" t="s">
        <v>6727</v>
      </c>
      <c r="B8798" s="3" t="str">
        <f t="shared" si="1"/>
        <v>Unavailable</v>
      </c>
      <c r="C8798" s="5">
        <v>3286.0</v>
      </c>
      <c r="D8798" s="3">
        <f>IFERROR(__xludf.DUMMYFUNCTION("IFERROR(
IF(REGEXMATCH(LOWER(O8798),""k""),
VALUE(REGEXEXTRACT(O8798,""[0-9]+""))*1000,
VALUE(REGEXEXTRACT(O8798,""[0-9]+""))
),
0
)"),0.0)</f>
        <v>0</v>
      </c>
      <c r="E8798" s="1" t="s">
        <v>11</v>
      </c>
      <c r="F8798" s="1" t="s">
        <v>20</v>
      </c>
      <c r="G8798" s="4" t="b">
        <f t="shared" si="2"/>
        <v>1</v>
      </c>
      <c r="H8798" s="1" t="str">
        <f t="shared" si="3"/>
        <v>Currently Unavailable</v>
      </c>
      <c r="I8798" s="1" t="str">
        <f t="shared" si="4"/>
        <v>No Badges</v>
      </c>
      <c r="J8798" s="3">
        <f t="shared" si="5"/>
        <v>0</v>
      </c>
    </row>
    <row r="8799">
      <c r="A8799" s="1" t="s">
        <v>6728</v>
      </c>
      <c r="B8799" s="3" t="str">
        <f t="shared" si="1"/>
        <v>Unavailable</v>
      </c>
      <c r="C8799" s="3">
        <v>440.0</v>
      </c>
      <c r="D8799" s="3">
        <f>IFERROR(__xludf.DUMMYFUNCTION("IFERROR(
IF(REGEXMATCH(LOWER(O8799),""k""),
VALUE(REGEXEXTRACT(O8799,""[0-9]+""))*1000,
VALUE(REGEXEXTRACT(O8799,""[0-9]+""))
),
0
)"),0.0)</f>
        <v>0</v>
      </c>
      <c r="E8799" s="1" t="s">
        <v>11</v>
      </c>
      <c r="F8799" s="1" t="s">
        <v>20</v>
      </c>
      <c r="G8799" s="4" t="b">
        <f t="shared" si="2"/>
        <v>1</v>
      </c>
      <c r="H8799" s="1" t="str">
        <f t="shared" si="3"/>
        <v>Currently Unavailable</v>
      </c>
      <c r="I8799" s="1" t="str">
        <f t="shared" si="4"/>
        <v>No Badges</v>
      </c>
      <c r="J8799" s="3">
        <f t="shared" si="5"/>
        <v>0</v>
      </c>
    </row>
    <row r="8800">
      <c r="A8800" s="1" t="s">
        <v>6729</v>
      </c>
      <c r="B8800" s="3" t="str">
        <f t="shared" si="1"/>
        <v>Unavailable</v>
      </c>
      <c r="C8800" s="5">
        <v>4000.0</v>
      </c>
      <c r="D8800" s="3">
        <f>IFERROR(__xludf.DUMMYFUNCTION("IFERROR(
IF(REGEXMATCH(LOWER(O8800),""k""),
VALUE(REGEXEXTRACT(O8800,""[0-9]+""))*1000,
VALUE(REGEXEXTRACT(O8800,""[0-9]+""))
),
0
)"),0.0)</f>
        <v>0</v>
      </c>
      <c r="E8800" s="1" t="s">
        <v>11</v>
      </c>
      <c r="F8800" s="1" t="s">
        <v>20</v>
      </c>
      <c r="G8800" s="4" t="b">
        <f t="shared" si="2"/>
        <v>1</v>
      </c>
      <c r="H8800" s="1" t="str">
        <f t="shared" si="3"/>
        <v>Currently Unavailable</v>
      </c>
      <c r="I8800" s="1" t="str">
        <f t="shared" si="4"/>
        <v>No Badges</v>
      </c>
      <c r="J8800" s="3">
        <f t="shared" si="5"/>
        <v>0</v>
      </c>
    </row>
    <row r="8801">
      <c r="A8801" s="1" t="s">
        <v>6730</v>
      </c>
      <c r="B8801" s="3" t="str">
        <f t="shared" si="1"/>
        <v>Unavailable</v>
      </c>
      <c r="C8801" s="3">
        <v>156.0</v>
      </c>
      <c r="D8801" s="3">
        <f>IFERROR(__xludf.DUMMYFUNCTION("IFERROR(
IF(REGEXMATCH(LOWER(O8801),""k""),
VALUE(REGEXEXTRACT(O8801,""[0-9]+""))*1000,
VALUE(REGEXEXTRACT(O8801,""[0-9]+""))
),
0
)"),0.0)</f>
        <v>0</v>
      </c>
      <c r="E8801" s="1" t="s">
        <v>11</v>
      </c>
      <c r="F8801" s="1" t="s">
        <v>20</v>
      </c>
      <c r="G8801" s="4" t="b">
        <f t="shared" si="2"/>
        <v>1</v>
      </c>
      <c r="H8801" s="1" t="str">
        <f t="shared" si="3"/>
        <v>Currently Unavailable</v>
      </c>
      <c r="I8801" s="1" t="str">
        <f t="shared" si="4"/>
        <v>No Badges</v>
      </c>
      <c r="J8801" s="3">
        <f t="shared" si="5"/>
        <v>0</v>
      </c>
    </row>
    <row r="8802">
      <c r="A8802" s="1" t="s">
        <v>5817</v>
      </c>
      <c r="B8802" s="3" t="str">
        <f t="shared" si="1"/>
        <v>Unavailable</v>
      </c>
      <c r="C8802" s="5">
        <v>7235.0</v>
      </c>
      <c r="D8802" s="3">
        <f>IFERROR(__xludf.DUMMYFUNCTION("IFERROR(
IF(REGEXMATCH(LOWER(O8802),""k""),
VALUE(REGEXEXTRACT(O8802,""[0-9]+""))*1000,
VALUE(REGEXEXTRACT(O8802,""[0-9]+""))
),
0
)"),0.0)</f>
        <v>0</v>
      </c>
      <c r="E8802" s="1" t="s">
        <v>11</v>
      </c>
      <c r="F8802" s="1" t="s">
        <v>12</v>
      </c>
      <c r="G8802" s="4" t="b">
        <f t="shared" si="2"/>
        <v>1</v>
      </c>
      <c r="H8802" s="1" t="str">
        <f t="shared" si="3"/>
        <v>Currently Unavailable</v>
      </c>
      <c r="I8802" s="1" t="str">
        <f t="shared" si="4"/>
        <v>No Badges</v>
      </c>
      <c r="J8802" s="3">
        <f t="shared" si="5"/>
        <v>0</v>
      </c>
    </row>
    <row r="8803">
      <c r="A8803" s="1" t="s">
        <v>6731</v>
      </c>
      <c r="B8803" s="3" t="str">
        <f t="shared" si="1"/>
        <v>Unavailable</v>
      </c>
      <c r="C8803" s="5">
        <v>1275.0</v>
      </c>
      <c r="D8803" s="3">
        <f>IFERROR(__xludf.DUMMYFUNCTION("IFERROR(
IF(REGEXMATCH(LOWER(O8803),""k""),
VALUE(REGEXEXTRACT(O8803,""[0-9]+""))*1000,
VALUE(REGEXEXTRACT(O8803,""[0-9]+""))
),
0
)"),0.0)</f>
        <v>0</v>
      </c>
      <c r="E8803" s="1" t="s">
        <v>11</v>
      </c>
      <c r="F8803" s="1" t="s">
        <v>20</v>
      </c>
      <c r="G8803" s="4" t="b">
        <f t="shared" si="2"/>
        <v>1</v>
      </c>
      <c r="H8803" s="1" t="str">
        <f t="shared" si="3"/>
        <v>Currently Unavailable</v>
      </c>
      <c r="I8803" s="1" t="str">
        <f t="shared" si="4"/>
        <v>No Badges</v>
      </c>
      <c r="J8803" s="3">
        <f t="shared" si="5"/>
        <v>0</v>
      </c>
    </row>
    <row r="8804">
      <c r="A8804" s="1" t="s">
        <v>6732</v>
      </c>
      <c r="B8804" s="3" t="str">
        <f t="shared" si="1"/>
        <v>Unavailable</v>
      </c>
      <c r="C8804" s="3">
        <v>430.0</v>
      </c>
      <c r="D8804" s="3">
        <f>IFERROR(__xludf.DUMMYFUNCTION("IFERROR(
IF(REGEXMATCH(LOWER(O8804),""k""),
VALUE(REGEXEXTRACT(O8804,""[0-9]+""))*1000,
VALUE(REGEXEXTRACT(O8804,""[0-9]+""))
),
0
)"),0.0)</f>
        <v>0</v>
      </c>
      <c r="E8804" s="1" t="s">
        <v>11</v>
      </c>
      <c r="F8804" s="1" t="s">
        <v>20</v>
      </c>
      <c r="G8804" s="4" t="b">
        <f t="shared" si="2"/>
        <v>1</v>
      </c>
      <c r="H8804" s="1" t="str">
        <f t="shared" si="3"/>
        <v>Currently Unavailable</v>
      </c>
      <c r="I8804" s="1" t="str">
        <f t="shared" si="4"/>
        <v>No Badges</v>
      </c>
      <c r="J8804" s="3">
        <f t="shared" si="5"/>
        <v>0</v>
      </c>
    </row>
    <row r="8805">
      <c r="A8805" s="1" t="s">
        <v>6733</v>
      </c>
      <c r="B8805" s="3" t="str">
        <f t="shared" si="1"/>
        <v>Unavailable</v>
      </c>
      <c r="C8805" s="3">
        <v>447.0</v>
      </c>
      <c r="D8805" s="3">
        <f>IFERROR(__xludf.DUMMYFUNCTION("IFERROR(
IF(REGEXMATCH(LOWER(O8805),""k""),
VALUE(REGEXEXTRACT(O8805,""[0-9]+""))*1000,
VALUE(REGEXEXTRACT(O8805,""[0-9]+""))
),
0
)"),0.0)</f>
        <v>0</v>
      </c>
      <c r="E8805" s="1" t="s">
        <v>11</v>
      </c>
      <c r="F8805" s="1" t="s">
        <v>20</v>
      </c>
      <c r="G8805" s="4" t="b">
        <f t="shared" si="2"/>
        <v>1</v>
      </c>
      <c r="H8805" s="1" t="str">
        <f t="shared" si="3"/>
        <v>Currently Unavailable</v>
      </c>
      <c r="I8805" s="1" t="str">
        <f t="shared" si="4"/>
        <v>No Badges</v>
      </c>
      <c r="J8805" s="3">
        <f t="shared" si="5"/>
        <v>0</v>
      </c>
    </row>
    <row r="8806">
      <c r="A8806" s="1" t="s">
        <v>6734</v>
      </c>
      <c r="B8806" s="3" t="str">
        <f t="shared" si="1"/>
        <v>Unavailable</v>
      </c>
      <c r="C8806" s="3">
        <v>201.0</v>
      </c>
      <c r="D8806" s="3">
        <f>IFERROR(__xludf.DUMMYFUNCTION("IFERROR(
IF(REGEXMATCH(LOWER(O8806),""k""),
VALUE(REGEXEXTRACT(O8806,""[0-9]+""))*1000,
VALUE(REGEXEXTRACT(O8806,""[0-9]+""))
),
0
)"),0.0)</f>
        <v>0</v>
      </c>
      <c r="E8806" s="1" t="s">
        <v>11</v>
      </c>
      <c r="F8806" s="1" t="s">
        <v>20</v>
      </c>
      <c r="G8806" s="4" t="b">
        <f t="shared" si="2"/>
        <v>1</v>
      </c>
      <c r="H8806" s="1" t="str">
        <f t="shared" si="3"/>
        <v>Currently Unavailable</v>
      </c>
      <c r="I8806" s="1" t="str">
        <f t="shared" si="4"/>
        <v>No Badges</v>
      </c>
      <c r="J8806" s="3">
        <f t="shared" si="5"/>
        <v>0</v>
      </c>
    </row>
    <row r="8807">
      <c r="A8807" s="1" t="s">
        <v>6661</v>
      </c>
      <c r="B8807" s="3" t="str">
        <f t="shared" si="1"/>
        <v>Unavailable</v>
      </c>
      <c r="C8807" s="3">
        <v>24.0</v>
      </c>
      <c r="D8807" s="3">
        <f>IFERROR(__xludf.DUMMYFUNCTION("IFERROR(
IF(REGEXMATCH(LOWER(O8807),""k""),
VALUE(REGEXEXTRACT(O8807,""[0-9]+""))*1000,
VALUE(REGEXEXTRACT(O8807,""[0-9]+""))
),
0
)"),0.0)</f>
        <v>0</v>
      </c>
      <c r="E8807" s="1" t="s">
        <v>11</v>
      </c>
      <c r="F8807" s="1" t="s">
        <v>12</v>
      </c>
      <c r="G8807" s="4" t="b">
        <f t="shared" si="2"/>
        <v>1</v>
      </c>
      <c r="H8807" s="1" t="str">
        <f t="shared" si="3"/>
        <v>Currently Unavailable</v>
      </c>
      <c r="I8807" s="1" t="str">
        <f t="shared" si="4"/>
        <v>No Badges</v>
      </c>
      <c r="J8807" s="3">
        <f t="shared" si="5"/>
        <v>0</v>
      </c>
    </row>
    <row r="8808">
      <c r="A8808" s="1" t="s">
        <v>6662</v>
      </c>
      <c r="B8808" s="3" t="str">
        <f t="shared" si="1"/>
        <v>Unavailable</v>
      </c>
      <c r="C8808" s="5">
        <v>1886.0</v>
      </c>
      <c r="D8808" s="3">
        <f>IFERROR(__xludf.DUMMYFUNCTION("IFERROR(
IF(REGEXMATCH(LOWER(O8808),""k""),
VALUE(REGEXEXTRACT(O8808,""[0-9]+""))*1000,
VALUE(REGEXEXTRACT(O8808,""[0-9]+""))
),
0
)"),0.0)</f>
        <v>0</v>
      </c>
      <c r="E8808" s="1" t="s">
        <v>11</v>
      </c>
      <c r="F8808" s="1" t="s">
        <v>12</v>
      </c>
      <c r="G8808" s="4" t="b">
        <f t="shared" si="2"/>
        <v>1</v>
      </c>
      <c r="H8808" s="1" t="str">
        <f t="shared" si="3"/>
        <v>Currently Unavailable</v>
      </c>
      <c r="I8808" s="1" t="str">
        <f t="shared" si="4"/>
        <v>No Badges</v>
      </c>
      <c r="J8808" s="3">
        <f t="shared" si="5"/>
        <v>0</v>
      </c>
    </row>
    <row r="8809">
      <c r="A8809" s="1" t="s">
        <v>5817</v>
      </c>
      <c r="B8809" s="3" t="str">
        <f t="shared" si="1"/>
        <v>Unavailable</v>
      </c>
      <c r="C8809" s="5">
        <v>7235.0</v>
      </c>
      <c r="D8809" s="3">
        <f>IFERROR(__xludf.DUMMYFUNCTION("IFERROR(
IF(REGEXMATCH(LOWER(O8809),""k""),
VALUE(REGEXEXTRACT(O8809,""[0-9]+""))*1000,
VALUE(REGEXEXTRACT(O8809,""[0-9]+""))
),
0
)"),0.0)</f>
        <v>0</v>
      </c>
      <c r="E8809" s="1" t="s">
        <v>11</v>
      </c>
      <c r="F8809" s="1" t="s">
        <v>12</v>
      </c>
      <c r="G8809" s="4" t="b">
        <f t="shared" si="2"/>
        <v>1</v>
      </c>
      <c r="H8809" s="1" t="str">
        <f t="shared" si="3"/>
        <v>Currently Unavailable</v>
      </c>
      <c r="I8809" s="1" t="str">
        <f t="shared" si="4"/>
        <v>No Badges</v>
      </c>
      <c r="J8809" s="3">
        <f t="shared" si="5"/>
        <v>0</v>
      </c>
    </row>
    <row r="8810">
      <c r="A8810" s="1" t="s">
        <v>6735</v>
      </c>
      <c r="B8810" s="3" t="str">
        <f t="shared" si="1"/>
        <v>Unavailable</v>
      </c>
      <c r="C8810" s="5">
        <v>4096.0</v>
      </c>
      <c r="D8810" s="3">
        <f>IFERROR(__xludf.DUMMYFUNCTION("IFERROR(
IF(REGEXMATCH(LOWER(O8810),""k""),
VALUE(REGEXEXTRACT(O8810,""[0-9]+""))*1000,
VALUE(REGEXEXTRACT(O8810,""[0-9]+""))
),
0
)"),0.0)</f>
        <v>0</v>
      </c>
      <c r="E8810" s="1" t="s">
        <v>11</v>
      </c>
      <c r="F8810" s="1" t="s">
        <v>20</v>
      </c>
      <c r="G8810" s="4" t="b">
        <f t="shared" si="2"/>
        <v>1</v>
      </c>
      <c r="H8810" s="1" t="str">
        <f t="shared" si="3"/>
        <v>Currently Unavailable</v>
      </c>
      <c r="I8810" s="1" t="str">
        <f t="shared" si="4"/>
        <v>No Badges</v>
      </c>
      <c r="J8810" s="3">
        <f t="shared" si="5"/>
        <v>0</v>
      </c>
    </row>
    <row r="8811">
      <c r="A8811" s="1" t="s">
        <v>6736</v>
      </c>
      <c r="B8811" s="3" t="str">
        <f t="shared" si="1"/>
        <v>Unavailable</v>
      </c>
      <c r="C8811" s="5">
        <v>2337.0</v>
      </c>
      <c r="D8811" s="3">
        <f>IFERROR(__xludf.DUMMYFUNCTION("IFERROR(
IF(REGEXMATCH(LOWER(O8811),""k""),
VALUE(REGEXEXTRACT(O8811,""[0-9]+""))*1000,
VALUE(REGEXEXTRACT(O8811,""[0-9]+""))
),
0
)"),0.0)</f>
        <v>0</v>
      </c>
      <c r="E8811" s="1" t="s">
        <v>11</v>
      </c>
      <c r="F8811" s="1" t="s">
        <v>20</v>
      </c>
      <c r="G8811" s="4" t="b">
        <f t="shared" si="2"/>
        <v>1</v>
      </c>
      <c r="H8811" s="1" t="str">
        <f t="shared" si="3"/>
        <v>Currently Unavailable</v>
      </c>
      <c r="I8811" s="1" t="str">
        <f t="shared" si="4"/>
        <v>No Badges</v>
      </c>
      <c r="J8811" s="3">
        <f t="shared" si="5"/>
        <v>0</v>
      </c>
    </row>
    <row r="8812">
      <c r="A8812" s="1" t="s">
        <v>5817</v>
      </c>
      <c r="B8812" s="3" t="str">
        <f t="shared" si="1"/>
        <v>Unavailable</v>
      </c>
      <c r="C8812" s="5">
        <v>7235.0</v>
      </c>
      <c r="D8812" s="3">
        <f>IFERROR(__xludf.DUMMYFUNCTION("IFERROR(
IF(REGEXMATCH(LOWER(O8812),""k""),
VALUE(REGEXEXTRACT(O8812,""[0-9]+""))*1000,
VALUE(REGEXEXTRACT(O8812,""[0-9]+""))
),
0
)"),0.0)</f>
        <v>0</v>
      </c>
      <c r="E8812" s="1" t="s">
        <v>11</v>
      </c>
      <c r="F8812" s="1" t="s">
        <v>12</v>
      </c>
      <c r="G8812" s="4" t="b">
        <f t="shared" si="2"/>
        <v>1</v>
      </c>
      <c r="H8812" s="1" t="str">
        <f t="shared" si="3"/>
        <v>Currently Unavailable</v>
      </c>
      <c r="I8812" s="1" t="str">
        <f t="shared" si="4"/>
        <v>No Badges</v>
      </c>
      <c r="J8812" s="3">
        <f t="shared" si="5"/>
        <v>0</v>
      </c>
    </row>
    <row r="8813">
      <c r="A8813" s="1" t="s">
        <v>6737</v>
      </c>
      <c r="B8813" s="3" t="str">
        <f t="shared" si="1"/>
        <v>Unavailable</v>
      </c>
      <c r="C8813" s="5">
        <v>63646.0</v>
      </c>
      <c r="D8813" s="3">
        <f>IFERROR(__xludf.DUMMYFUNCTION("IFERROR(
IF(REGEXMATCH(LOWER(O8813),""k""),
VALUE(REGEXEXTRACT(O8813,""[0-9]+""))*1000,
VALUE(REGEXEXTRACT(O8813,""[0-9]+""))
),
0
)"),0.0)</f>
        <v>0</v>
      </c>
      <c r="E8813" s="1" t="s">
        <v>11</v>
      </c>
      <c r="F8813" s="1" t="s">
        <v>20</v>
      </c>
      <c r="G8813" s="4" t="b">
        <f t="shared" si="2"/>
        <v>1</v>
      </c>
      <c r="H8813" s="1" t="str">
        <f t="shared" si="3"/>
        <v>Currently Unavailable</v>
      </c>
      <c r="I8813" s="1" t="str">
        <f t="shared" si="4"/>
        <v>No Badges</v>
      </c>
      <c r="J8813" s="3">
        <f t="shared" si="5"/>
        <v>0</v>
      </c>
    </row>
    <row r="8814">
      <c r="A8814" s="1" t="s">
        <v>6738</v>
      </c>
      <c r="B8814" s="3" t="str">
        <f t="shared" si="1"/>
        <v>Unavailable</v>
      </c>
      <c r="C8814" s="5">
        <v>1088.0</v>
      </c>
      <c r="D8814" s="3">
        <f>IFERROR(__xludf.DUMMYFUNCTION("IFERROR(
IF(REGEXMATCH(LOWER(O8814),""k""),
VALUE(REGEXEXTRACT(O8814,""[0-9]+""))*1000,
VALUE(REGEXEXTRACT(O8814,""[0-9]+""))
),
0
)"),0.0)</f>
        <v>0</v>
      </c>
      <c r="E8814" s="1" t="s">
        <v>11</v>
      </c>
      <c r="F8814" s="1" t="s">
        <v>20</v>
      </c>
      <c r="G8814" s="4" t="b">
        <f t="shared" si="2"/>
        <v>1</v>
      </c>
      <c r="H8814" s="1" t="str">
        <f t="shared" si="3"/>
        <v>Currently Unavailable</v>
      </c>
      <c r="I8814" s="1" t="str">
        <f t="shared" si="4"/>
        <v>No Badges</v>
      </c>
      <c r="J8814" s="3">
        <f t="shared" si="5"/>
        <v>0</v>
      </c>
    </row>
    <row r="8815">
      <c r="A8815" s="1" t="s">
        <v>6739</v>
      </c>
      <c r="B8815" s="3" t="str">
        <f t="shared" si="1"/>
        <v>Unavailable</v>
      </c>
      <c r="C8815" s="5">
        <v>13598.0</v>
      </c>
      <c r="D8815" s="3">
        <f>IFERROR(__xludf.DUMMYFUNCTION("IFERROR(
IF(REGEXMATCH(LOWER(O8815),""k""),
VALUE(REGEXEXTRACT(O8815,""[0-9]+""))*1000,
VALUE(REGEXEXTRACT(O8815,""[0-9]+""))
),
0
)"),0.0)</f>
        <v>0</v>
      </c>
      <c r="E8815" s="1" t="s">
        <v>158</v>
      </c>
      <c r="F8815" s="1" t="s">
        <v>20</v>
      </c>
      <c r="G8815" s="4" t="b">
        <f t="shared" si="2"/>
        <v>1</v>
      </c>
      <c r="H8815" s="1" t="str">
        <f t="shared" si="3"/>
        <v>Currently Unavailable</v>
      </c>
      <c r="I8815" s="1" t="str">
        <f t="shared" si="4"/>
        <v>No Badges</v>
      </c>
      <c r="J8815" s="3">
        <f t="shared" si="5"/>
        <v>0</v>
      </c>
    </row>
    <row r="8816">
      <c r="A8816" s="1" t="s">
        <v>6740</v>
      </c>
      <c r="B8816" s="3" t="str">
        <f t="shared" si="1"/>
        <v>Unavailable</v>
      </c>
      <c r="C8816" s="5">
        <v>2603.0</v>
      </c>
      <c r="D8816" s="3">
        <f>IFERROR(__xludf.DUMMYFUNCTION("IFERROR(
IF(REGEXMATCH(LOWER(O8816),""k""),
VALUE(REGEXEXTRACT(O8816,""[0-9]+""))*1000,
VALUE(REGEXEXTRACT(O8816,""[0-9]+""))
),
0
)"),0.0)</f>
        <v>0</v>
      </c>
      <c r="E8816" s="1" t="s">
        <v>11</v>
      </c>
      <c r="F8816" s="1" t="s">
        <v>20</v>
      </c>
      <c r="G8816" s="4" t="b">
        <f t="shared" si="2"/>
        <v>1</v>
      </c>
      <c r="H8816" s="1" t="str">
        <f t="shared" si="3"/>
        <v>Currently Unavailable</v>
      </c>
      <c r="I8816" s="1" t="str">
        <f t="shared" si="4"/>
        <v>No Badges</v>
      </c>
      <c r="J8816" s="3">
        <f t="shared" si="5"/>
        <v>0</v>
      </c>
    </row>
    <row r="8817">
      <c r="A8817" s="1" t="s">
        <v>6741</v>
      </c>
      <c r="B8817" s="3" t="str">
        <f t="shared" si="1"/>
        <v>Unavailable</v>
      </c>
      <c r="C8817" s="5">
        <v>31459.0</v>
      </c>
      <c r="D8817" s="3">
        <f>IFERROR(__xludf.DUMMYFUNCTION("IFERROR(
IF(REGEXMATCH(LOWER(O8817),""k""),
VALUE(REGEXEXTRACT(O8817,""[0-9]+""))*1000,
VALUE(REGEXEXTRACT(O8817,""[0-9]+""))
),
0
)"),0.0)</f>
        <v>0</v>
      </c>
      <c r="E8817" s="1" t="s">
        <v>11</v>
      </c>
      <c r="F8817" s="1" t="s">
        <v>20</v>
      </c>
      <c r="G8817" s="4" t="b">
        <f t="shared" si="2"/>
        <v>1</v>
      </c>
      <c r="H8817" s="1" t="str">
        <f t="shared" si="3"/>
        <v>Currently Unavailable</v>
      </c>
      <c r="I8817" s="1" t="str">
        <f t="shared" si="4"/>
        <v>No Badges</v>
      </c>
      <c r="J8817" s="3">
        <f t="shared" si="5"/>
        <v>0</v>
      </c>
    </row>
    <row r="8818">
      <c r="A8818" s="1" t="s">
        <v>6742</v>
      </c>
      <c r="B8818" s="3" t="str">
        <f t="shared" si="1"/>
        <v>Unavailable</v>
      </c>
      <c r="C8818" s="5">
        <v>1896.0</v>
      </c>
      <c r="D8818" s="3">
        <f>IFERROR(__xludf.DUMMYFUNCTION("IFERROR(
IF(REGEXMATCH(LOWER(O8818),""k""),
VALUE(REGEXEXTRACT(O8818,""[0-9]+""))*1000,
VALUE(REGEXEXTRACT(O8818,""[0-9]+""))
),
0
)"),0.0)</f>
        <v>0</v>
      </c>
      <c r="E8818" s="1" t="s">
        <v>18</v>
      </c>
      <c r="F8818" s="1" t="s">
        <v>20</v>
      </c>
      <c r="G8818" s="4" t="b">
        <f t="shared" si="2"/>
        <v>1</v>
      </c>
      <c r="H8818" s="1" t="str">
        <f t="shared" si="3"/>
        <v>Currently Unavailable</v>
      </c>
      <c r="I8818" s="1" t="str">
        <f t="shared" si="4"/>
        <v>No Badges</v>
      </c>
      <c r="J8818" s="3">
        <f t="shared" si="5"/>
        <v>0</v>
      </c>
    </row>
    <row r="8819">
      <c r="A8819" s="1" t="s">
        <v>6743</v>
      </c>
      <c r="B8819" s="3" t="str">
        <f t="shared" si="1"/>
        <v>Unavailable</v>
      </c>
      <c r="C8819" s="5">
        <v>13392.0</v>
      </c>
      <c r="D8819" s="3">
        <f>IFERROR(__xludf.DUMMYFUNCTION("IFERROR(
IF(REGEXMATCH(LOWER(O8819),""k""),
VALUE(REGEXEXTRACT(O8819,""[0-9]+""))*1000,
VALUE(REGEXEXTRACT(O8819,""[0-9]+""))
),
0
)"),0.0)</f>
        <v>0</v>
      </c>
      <c r="E8819" s="1" t="s">
        <v>11</v>
      </c>
      <c r="F8819" s="1" t="s">
        <v>20</v>
      </c>
      <c r="G8819" s="4" t="b">
        <f t="shared" si="2"/>
        <v>1</v>
      </c>
      <c r="H8819" s="1" t="str">
        <f t="shared" si="3"/>
        <v>Currently Unavailable</v>
      </c>
      <c r="I8819" s="1" t="str">
        <f t="shared" si="4"/>
        <v>No Badges</v>
      </c>
      <c r="J8819" s="3">
        <f t="shared" si="5"/>
        <v>0</v>
      </c>
    </row>
    <row r="8820">
      <c r="A8820" s="1" t="s">
        <v>6744</v>
      </c>
      <c r="B8820" s="3" t="str">
        <f t="shared" si="1"/>
        <v>Unavailable</v>
      </c>
      <c r="C8820" s="5">
        <v>15594.0</v>
      </c>
      <c r="D8820" s="3">
        <f>IFERROR(__xludf.DUMMYFUNCTION("IFERROR(
IF(REGEXMATCH(LOWER(O8820),""k""),
VALUE(REGEXEXTRACT(O8820,""[0-9]+""))*1000,
VALUE(REGEXEXTRACT(O8820,""[0-9]+""))
),
0
)"),0.0)</f>
        <v>0</v>
      </c>
      <c r="E8820" s="1" t="s">
        <v>11</v>
      </c>
      <c r="F8820" s="1" t="s">
        <v>20</v>
      </c>
      <c r="G8820" s="4" t="b">
        <f t="shared" si="2"/>
        <v>1</v>
      </c>
      <c r="H8820" s="1" t="str">
        <f t="shared" si="3"/>
        <v>Currently Unavailable</v>
      </c>
      <c r="I8820" s="1" t="str">
        <f t="shared" si="4"/>
        <v>No Badges</v>
      </c>
      <c r="J8820" s="3">
        <f t="shared" si="5"/>
        <v>0</v>
      </c>
    </row>
    <row r="8821">
      <c r="A8821" s="1" t="s">
        <v>6745</v>
      </c>
      <c r="B8821" s="3" t="str">
        <f t="shared" si="1"/>
        <v>Unavailable</v>
      </c>
      <c r="C8821" s="3">
        <v>7.0</v>
      </c>
      <c r="D8821" s="3">
        <f>IFERROR(__xludf.DUMMYFUNCTION("IFERROR(
IF(REGEXMATCH(LOWER(O8821),""k""),
VALUE(REGEXEXTRACT(O8821,""[0-9]+""))*1000,
VALUE(REGEXEXTRACT(O8821,""[0-9]+""))
),
0
)"),0.0)</f>
        <v>0</v>
      </c>
      <c r="E8821" s="1" t="s">
        <v>11</v>
      </c>
      <c r="F8821" s="1" t="s">
        <v>20</v>
      </c>
      <c r="G8821" s="4" t="b">
        <f t="shared" si="2"/>
        <v>1</v>
      </c>
      <c r="H8821" s="1" t="str">
        <f t="shared" si="3"/>
        <v>Currently Unavailable</v>
      </c>
      <c r="I8821" s="1" t="str">
        <f t="shared" si="4"/>
        <v>No Badges</v>
      </c>
      <c r="J8821" s="3">
        <f t="shared" si="5"/>
        <v>0</v>
      </c>
    </row>
    <row r="8822">
      <c r="A8822" s="1" t="s">
        <v>6746</v>
      </c>
      <c r="B8822" s="3" t="str">
        <f t="shared" si="1"/>
        <v>Unavailable</v>
      </c>
      <c r="C8822" s="3">
        <v>44.0</v>
      </c>
      <c r="D8822" s="3">
        <f>IFERROR(__xludf.DUMMYFUNCTION("IFERROR(
IF(REGEXMATCH(LOWER(O8822),""k""),
VALUE(REGEXEXTRACT(O8822,""[0-9]+""))*1000,
VALUE(REGEXEXTRACT(O8822,""[0-9]+""))
),
0
)"),0.0)</f>
        <v>0</v>
      </c>
      <c r="E8822" s="1" t="s">
        <v>11</v>
      </c>
      <c r="F8822" s="1" t="s">
        <v>20</v>
      </c>
      <c r="G8822" s="4" t="b">
        <f t="shared" si="2"/>
        <v>1</v>
      </c>
      <c r="H8822" s="1" t="str">
        <f t="shared" si="3"/>
        <v>Currently Unavailable</v>
      </c>
      <c r="I8822" s="1" t="str">
        <f t="shared" si="4"/>
        <v>No Badges</v>
      </c>
      <c r="J8822" s="3">
        <f t="shared" si="5"/>
        <v>0</v>
      </c>
    </row>
    <row r="8823">
      <c r="A8823" s="1" t="s">
        <v>88</v>
      </c>
      <c r="B8823" s="3" t="str">
        <f t="shared" si="1"/>
        <v>Unavailable</v>
      </c>
      <c r="C8823" s="3">
        <v>6.0</v>
      </c>
      <c r="D8823" s="3">
        <f>IFERROR(__xludf.DUMMYFUNCTION("IFERROR(
IF(REGEXMATCH(LOWER(O8823),""k""),
VALUE(REGEXEXTRACT(O8823,""[0-9]+""))*1000,
VALUE(REGEXEXTRACT(O8823,""[0-9]+""))
),
0
)"),0.0)</f>
        <v>0</v>
      </c>
      <c r="E8823" s="1" t="s">
        <v>11</v>
      </c>
      <c r="F8823" s="1" t="s">
        <v>12</v>
      </c>
      <c r="G8823" s="4" t="b">
        <f t="shared" si="2"/>
        <v>1</v>
      </c>
      <c r="H8823" s="1" t="str">
        <f t="shared" si="3"/>
        <v>Currently Unavailable</v>
      </c>
      <c r="I8823" s="1" t="str">
        <f t="shared" si="4"/>
        <v>No Badges</v>
      </c>
      <c r="J8823" s="3">
        <f t="shared" si="5"/>
        <v>0</v>
      </c>
    </row>
    <row r="8824">
      <c r="A8824" s="1" t="s">
        <v>6747</v>
      </c>
      <c r="B8824" s="3" t="str">
        <f t="shared" si="1"/>
        <v>Unavailable</v>
      </c>
      <c r="C8824" s="5">
        <v>1310.0</v>
      </c>
      <c r="D8824" s="3">
        <f>IFERROR(__xludf.DUMMYFUNCTION("IFERROR(
IF(REGEXMATCH(LOWER(O8824),""k""),
VALUE(REGEXEXTRACT(O8824,""[0-9]+""))*1000,
VALUE(REGEXEXTRACT(O8824,""[0-9]+""))
),
0
)"),0.0)</f>
        <v>0</v>
      </c>
      <c r="E8824" s="1" t="s">
        <v>11</v>
      </c>
      <c r="F8824" s="1" t="s">
        <v>20</v>
      </c>
      <c r="G8824" s="4" t="b">
        <f t="shared" si="2"/>
        <v>1</v>
      </c>
      <c r="H8824" s="1" t="str">
        <f t="shared" si="3"/>
        <v>Currently Unavailable</v>
      </c>
      <c r="I8824" s="1" t="str">
        <f t="shared" si="4"/>
        <v>No Badges</v>
      </c>
      <c r="J8824" s="3">
        <f t="shared" si="5"/>
        <v>0</v>
      </c>
    </row>
    <row r="8825">
      <c r="A8825" s="1" t="s">
        <v>6748</v>
      </c>
      <c r="B8825" s="3" t="str">
        <f t="shared" si="1"/>
        <v>Unavailable</v>
      </c>
      <c r="C8825" s="5">
        <v>2295.0</v>
      </c>
      <c r="D8825" s="3">
        <f>IFERROR(__xludf.DUMMYFUNCTION("IFERROR(
IF(REGEXMATCH(LOWER(O8825),""k""),
VALUE(REGEXEXTRACT(O8825,""[0-9]+""))*1000,
VALUE(REGEXEXTRACT(O8825,""[0-9]+""))
),
0
)"),0.0)</f>
        <v>0</v>
      </c>
      <c r="E8825" s="1" t="s">
        <v>11</v>
      </c>
      <c r="F8825" s="1" t="s">
        <v>20</v>
      </c>
      <c r="G8825" s="4" t="b">
        <f t="shared" si="2"/>
        <v>1</v>
      </c>
      <c r="H8825" s="1" t="str">
        <f t="shared" si="3"/>
        <v>Currently Unavailable</v>
      </c>
      <c r="I8825" s="1" t="str">
        <f t="shared" si="4"/>
        <v>No Badges</v>
      </c>
      <c r="J8825" s="3">
        <f t="shared" si="5"/>
        <v>0</v>
      </c>
    </row>
    <row r="8826">
      <c r="A8826" s="1" t="s">
        <v>6749</v>
      </c>
      <c r="B8826" s="3" t="str">
        <f t="shared" si="1"/>
        <v>Unavailable</v>
      </c>
      <c r="C8826" s="5">
        <v>15102.0</v>
      </c>
      <c r="D8826" s="3">
        <f>IFERROR(__xludf.DUMMYFUNCTION("IFERROR(
IF(REGEXMATCH(LOWER(O8826),""k""),
VALUE(REGEXEXTRACT(O8826,""[0-9]+""))*1000,
VALUE(REGEXEXTRACT(O8826,""[0-9]+""))
),
0
)"),0.0)</f>
        <v>0</v>
      </c>
      <c r="E8826" s="1" t="s">
        <v>11</v>
      </c>
      <c r="F8826" s="1" t="s">
        <v>20</v>
      </c>
      <c r="G8826" s="4" t="b">
        <f t="shared" si="2"/>
        <v>1</v>
      </c>
      <c r="H8826" s="1" t="str">
        <f t="shared" si="3"/>
        <v>Currently Unavailable</v>
      </c>
      <c r="I8826" s="1" t="str">
        <f t="shared" si="4"/>
        <v>No Badges</v>
      </c>
      <c r="J8826" s="3">
        <f t="shared" si="5"/>
        <v>0</v>
      </c>
    </row>
    <row r="8827">
      <c r="A8827" s="1" t="s">
        <v>6750</v>
      </c>
      <c r="B8827" s="3" t="str">
        <f t="shared" si="1"/>
        <v>Unavailable</v>
      </c>
      <c r="C8827" s="5">
        <v>4877.0</v>
      </c>
      <c r="D8827" s="3">
        <f>IFERROR(__xludf.DUMMYFUNCTION("IFERROR(
IF(REGEXMATCH(LOWER(O8827),""k""),
VALUE(REGEXEXTRACT(O8827,""[0-9]+""))*1000,
VALUE(REGEXEXTRACT(O8827,""[0-9]+""))
),
0
)"),0.0)</f>
        <v>0</v>
      </c>
      <c r="E8827" s="1" t="s">
        <v>11</v>
      </c>
      <c r="F8827" s="1" t="s">
        <v>20</v>
      </c>
      <c r="G8827" s="4" t="b">
        <f t="shared" si="2"/>
        <v>1</v>
      </c>
      <c r="H8827" s="1" t="str">
        <f t="shared" si="3"/>
        <v>Currently Unavailable</v>
      </c>
      <c r="I8827" s="1" t="str">
        <f t="shared" si="4"/>
        <v>No Badges</v>
      </c>
      <c r="J8827" s="3">
        <f t="shared" si="5"/>
        <v>0</v>
      </c>
    </row>
    <row r="8828">
      <c r="A8828" s="1" t="s">
        <v>5817</v>
      </c>
      <c r="B8828" s="3" t="str">
        <f t="shared" si="1"/>
        <v>Unavailable</v>
      </c>
      <c r="C8828" s="5">
        <v>7235.0</v>
      </c>
      <c r="D8828" s="3">
        <f>IFERROR(__xludf.DUMMYFUNCTION("IFERROR(
IF(REGEXMATCH(LOWER(O8828),""k""),
VALUE(REGEXEXTRACT(O8828,""[0-9]+""))*1000,
VALUE(REGEXEXTRACT(O8828,""[0-9]+""))
),
0
)"),0.0)</f>
        <v>0</v>
      </c>
      <c r="E8828" s="1" t="s">
        <v>11</v>
      </c>
      <c r="F8828" s="1" t="s">
        <v>12</v>
      </c>
      <c r="G8828" s="4" t="b">
        <f t="shared" si="2"/>
        <v>1</v>
      </c>
      <c r="H8828" s="1" t="str">
        <f t="shared" si="3"/>
        <v>Currently Unavailable</v>
      </c>
      <c r="I8828" s="1" t="str">
        <f t="shared" si="4"/>
        <v>No Badges</v>
      </c>
      <c r="J8828" s="3">
        <f t="shared" si="5"/>
        <v>0</v>
      </c>
    </row>
    <row r="8829">
      <c r="A8829" s="1" t="s">
        <v>6751</v>
      </c>
      <c r="B8829" s="3" t="str">
        <f t="shared" si="1"/>
        <v>Unavailable</v>
      </c>
      <c r="C8829" s="5">
        <v>4291.0</v>
      </c>
      <c r="D8829" s="3">
        <f>IFERROR(__xludf.DUMMYFUNCTION("IFERROR(
IF(REGEXMATCH(LOWER(O8829),""k""),
VALUE(REGEXEXTRACT(O8829,""[0-9]+""))*1000,
VALUE(REGEXEXTRACT(O8829,""[0-9]+""))
),
0
)"),0.0)</f>
        <v>0</v>
      </c>
      <c r="E8829" s="1" t="s">
        <v>11</v>
      </c>
      <c r="F8829" s="1" t="s">
        <v>20</v>
      </c>
      <c r="G8829" s="4" t="b">
        <f t="shared" si="2"/>
        <v>1</v>
      </c>
      <c r="H8829" s="1" t="str">
        <f t="shared" si="3"/>
        <v>Currently Unavailable</v>
      </c>
      <c r="I8829" s="1" t="str">
        <f t="shared" si="4"/>
        <v>No Badges</v>
      </c>
      <c r="J8829" s="3">
        <f t="shared" si="5"/>
        <v>0</v>
      </c>
    </row>
    <row r="8830">
      <c r="A8830" s="1" t="s">
        <v>6752</v>
      </c>
      <c r="B8830" s="3" t="str">
        <f t="shared" si="1"/>
        <v>Unavailable</v>
      </c>
      <c r="C8830" s="3">
        <v>25.0</v>
      </c>
      <c r="D8830" s="3">
        <f>IFERROR(__xludf.DUMMYFUNCTION("IFERROR(
IF(REGEXMATCH(LOWER(O8830),""k""),
VALUE(REGEXEXTRACT(O8830,""[0-9]+""))*1000,
VALUE(REGEXEXTRACT(O8830,""[0-9]+""))
),
0
)"),0.0)</f>
        <v>0</v>
      </c>
      <c r="E8830" s="1" t="s">
        <v>11</v>
      </c>
      <c r="F8830" s="1" t="s">
        <v>20</v>
      </c>
      <c r="G8830" s="4" t="b">
        <f t="shared" si="2"/>
        <v>1</v>
      </c>
      <c r="H8830" s="1" t="str">
        <f t="shared" si="3"/>
        <v>Currently Unavailable</v>
      </c>
      <c r="I8830" s="1" t="str">
        <f t="shared" si="4"/>
        <v>No Badges</v>
      </c>
      <c r="J8830" s="3">
        <f t="shared" si="5"/>
        <v>0</v>
      </c>
    </row>
    <row r="8831">
      <c r="A8831" s="1" t="s">
        <v>6753</v>
      </c>
      <c r="B8831" s="3" t="str">
        <f t="shared" si="1"/>
        <v>Unavailable</v>
      </c>
      <c r="C8831" s="3">
        <v>944.0</v>
      </c>
      <c r="D8831" s="3">
        <f>IFERROR(__xludf.DUMMYFUNCTION("IFERROR(
IF(REGEXMATCH(LOWER(O8831),""k""),
VALUE(REGEXEXTRACT(O8831,""[0-9]+""))*1000,
VALUE(REGEXEXTRACT(O8831,""[0-9]+""))
),
0
)"),0.0)</f>
        <v>0</v>
      </c>
      <c r="E8831" s="1" t="s">
        <v>11</v>
      </c>
      <c r="F8831" s="1" t="s">
        <v>20</v>
      </c>
      <c r="G8831" s="4" t="b">
        <f t="shared" si="2"/>
        <v>1</v>
      </c>
      <c r="H8831" s="1" t="str">
        <f t="shared" si="3"/>
        <v>Currently Unavailable</v>
      </c>
      <c r="I8831" s="1" t="str">
        <f t="shared" si="4"/>
        <v>No Badges</v>
      </c>
      <c r="J8831" s="3">
        <f t="shared" si="5"/>
        <v>0</v>
      </c>
    </row>
    <row r="8832">
      <c r="A8832" s="1" t="s">
        <v>5817</v>
      </c>
      <c r="B8832" s="3" t="str">
        <f t="shared" si="1"/>
        <v>Unavailable</v>
      </c>
      <c r="C8832" s="5">
        <v>7235.0</v>
      </c>
      <c r="D8832" s="3">
        <f>IFERROR(__xludf.DUMMYFUNCTION("IFERROR(
IF(REGEXMATCH(LOWER(O8832),""k""),
VALUE(REGEXEXTRACT(O8832,""[0-9]+""))*1000,
VALUE(REGEXEXTRACT(O8832,""[0-9]+""))
),
0
)"),0.0)</f>
        <v>0</v>
      </c>
      <c r="E8832" s="1" t="s">
        <v>11</v>
      </c>
      <c r="F8832" s="1" t="s">
        <v>12</v>
      </c>
      <c r="G8832" s="4" t="b">
        <f t="shared" si="2"/>
        <v>1</v>
      </c>
      <c r="H8832" s="1" t="str">
        <f t="shared" si="3"/>
        <v>Currently Unavailable</v>
      </c>
      <c r="I8832" s="1" t="str">
        <f t="shared" si="4"/>
        <v>No Badges</v>
      </c>
      <c r="J8832" s="3">
        <f t="shared" si="5"/>
        <v>0</v>
      </c>
    </row>
    <row r="8833">
      <c r="A8833" s="1" t="s">
        <v>6754</v>
      </c>
      <c r="B8833" s="3" t="str">
        <f t="shared" si="1"/>
        <v>Unavailable</v>
      </c>
      <c r="C8833" s="5">
        <v>4631.0</v>
      </c>
      <c r="D8833" s="3">
        <f>IFERROR(__xludf.DUMMYFUNCTION("IFERROR(
IF(REGEXMATCH(LOWER(O8833),""k""),
VALUE(REGEXEXTRACT(O8833,""[0-9]+""))*1000,
VALUE(REGEXEXTRACT(O8833,""[0-9]+""))
),
0
)"),0.0)</f>
        <v>0</v>
      </c>
      <c r="E8833" s="1" t="s">
        <v>18</v>
      </c>
      <c r="F8833" s="1" t="s">
        <v>20</v>
      </c>
      <c r="G8833" s="4" t="b">
        <f t="shared" si="2"/>
        <v>1</v>
      </c>
      <c r="H8833" s="1" t="str">
        <f t="shared" si="3"/>
        <v>Currently Unavailable</v>
      </c>
      <c r="I8833" s="1" t="str">
        <f t="shared" si="4"/>
        <v>No Badges</v>
      </c>
      <c r="J8833" s="3">
        <f t="shared" si="5"/>
        <v>0</v>
      </c>
    </row>
    <row r="8834">
      <c r="A8834" s="1" t="s">
        <v>6755</v>
      </c>
      <c r="B8834" s="3" t="str">
        <f t="shared" si="1"/>
        <v>Unavailable</v>
      </c>
      <c r="C8834" s="3">
        <v>206.0</v>
      </c>
      <c r="D8834" s="3">
        <f>IFERROR(__xludf.DUMMYFUNCTION("IFERROR(
IF(REGEXMATCH(LOWER(O8834),""k""),
VALUE(REGEXEXTRACT(O8834,""[0-9]+""))*1000,
VALUE(REGEXEXTRACT(O8834,""[0-9]+""))
),
0
)"),0.0)</f>
        <v>0</v>
      </c>
      <c r="E8834" s="1" t="s">
        <v>11</v>
      </c>
      <c r="F8834" s="1" t="s">
        <v>20</v>
      </c>
      <c r="G8834" s="4" t="b">
        <f t="shared" si="2"/>
        <v>1</v>
      </c>
      <c r="H8834" s="1" t="str">
        <f t="shared" si="3"/>
        <v>Currently Unavailable</v>
      </c>
      <c r="I8834" s="1" t="str">
        <f t="shared" si="4"/>
        <v>No Badges</v>
      </c>
      <c r="J8834" s="3">
        <f t="shared" si="5"/>
        <v>0</v>
      </c>
    </row>
    <row r="8835">
      <c r="A8835" s="1" t="s">
        <v>6756</v>
      </c>
      <c r="B8835" s="3" t="str">
        <f t="shared" si="1"/>
        <v>Unavailable</v>
      </c>
      <c r="C8835" s="5">
        <v>8318.0</v>
      </c>
      <c r="D8835" s="3">
        <f>IFERROR(__xludf.DUMMYFUNCTION("IFERROR(
IF(REGEXMATCH(LOWER(O8835),""k""),
VALUE(REGEXEXTRACT(O8835,""[0-9]+""))*1000,
VALUE(REGEXEXTRACT(O8835,""[0-9]+""))
),
0
)"),0.0)</f>
        <v>0</v>
      </c>
      <c r="E8835" s="1" t="s">
        <v>11</v>
      </c>
      <c r="F8835" s="1" t="s">
        <v>20</v>
      </c>
      <c r="G8835" s="4" t="b">
        <f t="shared" si="2"/>
        <v>1</v>
      </c>
      <c r="H8835" s="1" t="str">
        <f t="shared" si="3"/>
        <v>Currently Unavailable</v>
      </c>
      <c r="I8835" s="1" t="str">
        <f t="shared" si="4"/>
        <v>No Badges</v>
      </c>
      <c r="J8835" s="3">
        <f t="shared" si="5"/>
        <v>0</v>
      </c>
    </row>
    <row r="8836">
      <c r="A8836" s="1" t="s">
        <v>6757</v>
      </c>
      <c r="B8836" s="3" t="str">
        <f t="shared" si="1"/>
        <v>Unavailable</v>
      </c>
      <c r="C8836" s="3">
        <v>163.0</v>
      </c>
      <c r="D8836" s="3">
        <f>IFERROR(__xludf.DUMMYFUNCTION("IFERROR(
IF(REGEXMATCH(LOWER(O8836),""k""),
VALUE(REGEXEXTRACT(O8836,""[0-9]+""))*1000,
VALUE(REGEXEXTRACT(O8836,""[0-9]+""))
),
0
)"),0.0)</f>
        <v>0</v>
      </c>
      <c r="E8836" s="1" t="s">
        <v>18</v>
      </c>
      <c r="F8836" s="1" t="s">
        <v>20</v>
      </c>
      <c r="G8836" s="4" t="b">
        <f t="shared" si="2"/>
        <v>1</v>
      </c>
      <c r="H8836" s="1" t="str">
        <f t="shared" si="3"/>
        <v>Currently Unavailable</v>
      </c>
      <c r="I8836" s="1" t="str">
        <f t="shared" si="4"/>
        <v>No Badges</v>
      </c>
      <c r="J8836" s="3">
        <f t="shared" si="5"/>
        <v>0</v>
      </c>
    </row>
    <row r="8837">
      <c r="A8837" s="1" t="s">
        <v>6758</v>
      </c>
      <c r="B8837" s="3" t="str">
        <f t="shared" si="1"/>
        <v>Unavailable</v>
      </c>
      <c r="C8837" s="5">
        <v>2814.0</v>
      </c>
      <c r="D8837" s="3">
        <f>IFERROR(__xludf.DUMMYFUNCTION("IFERROR(
IF(REGEXMATCH(LOWER(O8837),""k""),
VALUE(REGEXEXTRACT(O8837,""[0-9]+""))*1000,
VALUE(REGEXEXTRACT(O8837,""[0-9]+""))
),
0
)"),0.0)</f>
        <v>0</v>
      </c>
      <c r="E8837" s="1" t="s">
        <v>11</v>
      </c>
      <c r="F8837" s="1" t="s">
        <v>20</v>
      </c>
      <c r="G8837" s="4" t="b">
        <f t="shared" si="2"/>
        <v>1</v>
      </c>
      <c r="H8837" s="1" t="str">
        <f t="shared" si="3"/>
        <v>Currently Unavailable</v>
      </c>
      <c r="I8837" s="1" t="str">
        <f t="shared" si="4"/>
        <v>No Badges</v>
      </c>
      <c r="J8837" s="3">
        <f t="shared" si="5"/>
        <v>0</v>
      </c>
    </row>
    <row r="8838">
      <c r="A8838" s="1" t="s">
        <v>6759</v>
      </c>
      <c r="B8838" s="3" t="str">
        <f t="shared" si="1"/>
        <v>Unavailable</v>
      </c>
      <c r="C8838" s="3">
        <v>957.0</v>
      </c>
      <c r="D8838" s="3">
        <f>IFERROR(__xludf.DUMMYFUNCTION("IFERROR(
IF(REGEXMATCH(LOWER(O8838),""k""),
VALUE(REGEXEXTRACT(O8838,""[0-9]+""))*1000,
VALUE(REGEXEXTRACT(O8838,""[0-9]+""))
),
0
)"),0.0)</f>
        <v>0</v>
      </c>
      <c r="E8838" s="1" t="s">
        <v>11</v>
      </c>
      <c r="F8838" s="1" t="s">
        <v>20</v>
      </c>
      <c r="G8838" s="4" t="b">
        <f t="shared" si="2"/>
        <v>1</v>
      </c>
      <c r="H8838" s="1" t="str">
        <f t="shared" si="3"/>
        <v>Currently Unavailable</v>
      </c>
      <c r="I8838" s="1" t="str">
        <f t="shared" si="4"/>
        <v>No Badges</v>
      </c>
      <c r="J8838" s="3">
        <f t="shared" si="5"/>
        <v>0</v>
      </c>
    </row>
    <row r="8839">
      <c r="A8839" s="1" t="s">
        <v>5817</v>
      </c>
      <c r="B8839" s="3" t="str">
        <f t="shared" si="1"/>
        <v>Unavailable</v>
      </c>
      <c r="C8839" s="5">
        <v>7235.0</v>
      </c>
      <c r="D8839" s="3">
        <f>IFERROR(__xludf.DUMMYFUNCTION("IFERROR(
IF(REGEXMATCH(LOWER(O8839),""k""),
VALUE(REGEXEXTRACT(O8839,""[0-9]+""))*1000,
VALUE(REGEXEXTRACT(O8839,""[0-9]+""))
),
0
)"),0.0)</f>
        <v>0</v>
      </c>
      <c r="E8839" s="1" t="s">
        <v>11</v>
      </c>
      <c r="F8839" s="1" t="s">
        <v>12</v>
      </c>
      <c r="G8839" s="4" t="b">
        <f t="shared" si="2"/>
        <v>1</v>
      </c>
      <c r="H8839" s="1" t="str">
        <f t="shared" si="3"/>
        <v>Currently Unavailable</v>
      </c>
      <c r="I8839" s="1" t="str">
        <f t="shared" si="4"/>
        <v>No Badges</v>
      </c>
      <c r="J8839" s="3">
        <f t="shared" si="5"/>
        <v>0</v>
      </c>
    </row>
    <row r="8840">
      <c r="A8840" s="1" t="s">
        <v>6760</v>
      </c>
      <c r="B8840" s="3" t="str">
        <f t="shared" si="1"/>
        <v>Unavailable</v>
      </c>
      <c r="C8840" s="5">
        <v>2042.0</v>
      </c>
      <c r="D8840" s="3">
        <f>IFERROR(__xludf.DUMMYFUNCTION("IFERROR(
IF(REGEXMATCH(LOWER(O8840),""k""),
VALUE(REGEXEXTRACT(O8840,""[0-9]+""))*1000,
VALUE(REGEXEXTRACT(O8840,""[0-9]+""))
),
0
)"),0.0)</f>
        <v>0</v>
      </c>
      <c r="E8840" s="1" t="s">
        <v>11</v>
      </c>
      <c r="F8840" s="1" t="s">
        <v>20</v>
      </c>
      <c r="G8840" s="4" t="b">
        <f t="shared" si="2"/>
        <v>1</v>
      </c>
      <c r="H8840" s="1" t="str">
        <f t="shared" si="3"/>
        <v>Currently Unavailable</v>
      </c>
      <c r="I8840" s="1" t="str">
        <f t="shared" si="4"/>
        <v>No Badges</v>
      </c>
      <c r="J8840" s="3">
        <f t="shared" si="5"/>
        <v>0</v>
      </c>
    </row>
    <row r="8841">
      <c r="A8841" s="1" t="s">
        <v>6761</v>
      </c>
      <c r="B8841" s="3" t="str">
        <f t="shared" si="1"/>
        <v>Unavailable</v>
      </c>
      <c r="C8841" s="5">
        <v>10492.0</v>
      </c>
      <c r="D8841" s="3">
        <f>IFERROR(__xludf.DUMMYFUNCTION("IFERROR(
IF(REGEXMATCH(LOWER(O8841),""k""),
VALUE(REGEXEXTRACT(O8841,""[0-9]+""))*1000,
VALUE(REGEXEXTRACT(O8841,""[0-9]+""))
),
0
)"),0.0)</f>
        <v>0</v>
      </c>
      <c r="E8841" s="1" t="s">
        <v>11</v>
      </c>
      <c r="F8841" s="1" t="s">
        <v>20</v>
      </c>
      <c r="G8841" s="4" t="b">
        <f t="shared" si="2"/>
        <v>1</v>
      </c>
      <c r="H8841" s="1" t="str">
        <f t="shared" si="3"/>
        <v>Currently Unavailable</v>
      </c>
      <c r="I8841" s="1" t="str">
        <f t="shared" si="4"/>
        <v>No Badges</v>
      </c>
      <c r="J8841" s="3">
        <f t="shared" si="5"/>
        <v>0</v>
      </c>
    </row>
    <row r="8842">
      <c r="A8842" s="1" t="s">
        <v>6762</v>
      </c>
      <c r="B8842" s="3" t="str">
        <f t="shared" si="1"/>
        <v>Unavailable</v>
      </c>
      <c r="C8842" s="3">
        <v>326.0</v>
      </c>
      <c r="D8842" s="3">
        <f>IFERROR(__xludf.DUMMYFUNCTION("IFERROR(
IF(REGEXMATCH(LOWER(O8842),""k""),
VALUE(REGEXEXTRACT(O8842,""[0-9]+""))*1000,
VALUE(REGEXEXTRACT(O8842,""[0-9]+""))
),
0
)"),0.0)</f>
        <v>0</v>
      </c>
      <c r="E8842" s="1" t="s">
        <v>11</v>
      </c>
      <c r="F8842" s="1" t="s">
        <v>20</v>
      </c>
      <c r="G8842" s="4" t="b">
        <f t="shared" si="2"/>
        <v>1</v>
      </c>
      <c r="H8842" s="1" t="str">
        <f t="shared" si="3"/>
        <v>Currently Unavailable</v>
      </c>
      <c r="I8842" s="1" t="str">
        <f t="shared" si="4"/>
        <v>No Badges</v>
      </c>
      <c r="J8842" s="3">
        <f t="shared" si="5"/>
        <v>0</v>
      </c>
    </row>
    <row r="8843">
      <c r="A8843" s="1" t="s">
        <v>6763</v>
      </c>
      <c r="B8843" s="3" t="str">
        <f t="shared" si="1"/>
        <v>Unavailable</v>
      </c>
      <c r="C8843" s="3">
        <v>237.0</v>
      </c>
      <c r="D8843" s="3">
        <f>IFERROR(__xludf.DUMMYFUNCTION("IFERROR(
IF(REGEXMATCH(LOWER(O8843),""k""),
VALUE(REGEXEXTRACT(O8843,""[0-9]+""))*1000,
VALUE(REGEXEXTRACT(O8843,""[0-9]+""))
),
0
)"),0.0)</f>
        <v>0</v>
      </c>
      <c r="E8843" s="1" t="s">
        <v>11</v>
      </c>
      <c r="F8843" s="1" t="s">
        <v>20</v>
      </c>
      <c r="G8843" s="4" t="b">
        <f t="shared" si="2"/>
        <v>1</v>
      </c>
      <c r="H8843" s="1" t="str">
        <f t="shared" si="3"/>
        <v>Currently Unavailable</v>
      </c>
      <c r="I8843" s="1" t="str">
        <f t="shared" si="4"/>
        <v>No Badges</v>
      </c>
      <c r="J8843" s="3">
        <f t="shared" si="5"/>
        <v>0</v>
      </c>
    </row>
    <row r="8844">
      <c r="A8844" s="1" t="s">
        <v>6764</v>
      </c>
      <c r="B8844" s="3" t="str">
        <f t="shared" si="1"/>
        <v>Unavailable</v>
      </c>
      <c r="C8844" s="5">
        <v>1132.0</v>
      </c>
      <c r="D8844" s="3">
        <f>IFERROR(__xludf.DUMMYFUNCTION("IFERROR(
IF(REGEXMATCH(LOWER(O8844),""k""),
VALUE(REGEXEXTRACT(O8844,""[0-9]+""))*1000,
VALUE(REGEXEXTRACT(O8844,""[0-9]+""))
),
0
)"),0.0)</f>
        <v>0</v>
      </c>
      <c r="E8844" s="1" t="s">
        <v>11</v>
      </c>
      <c r="F8844" s="1" t="s">
        <v>20</v>
      </c>
      <c r="G8844" s="4" t="b">
        <f t="shared" si="2"/>
        <v>1</v>
      </c>
      <c r="H8844" s="1" t="str">
        <f t="shared" si="3"/>
        <v>Currently Unavailable</v>
      </c>
      <c r="I8844" s="1" t="str">
        <f t="shared" si="4"/>
        <v>No Badges</v>
      </c>
      <c r="J8844" s="3">
        <f t="shared" si="5"/>
        <v>0</v>
      </c>
    </row>
    <row r="8845">
      <c r="A8845" s="1" t="s">
        <v>6765</v>
      </c>
      <c r="B8845" s="3" t="str">
        <f t="shared" si="1"/>
        <v>Unavailable</v>
      </c>
      <c r="C8845" s="5">
        <v>2448.0</v>
      </c>
      <c r="D8845" s="3">
        <f>IFERROR(__xludf.DUMMYFUNCTION("IFERROR(
IF(REGEXMATCH(LOWER(O8845),""k""),
VALUE(REGEXEXTRACT(O8845,""[0-9]+""))*1000,
VALUE(REGEXEXTRACT(O8845,""[0-9]+""))
),
0
)"),0.0)</f>
        <v>0</v>
      </c>
      <c r="E8845" s="1" t="s">
        <v>11</v>
      </c>
      <c r="F8845" s="1" t="s">
        <v>20</v>
      </c>
      <c r="G8845" s="4" t="b">
        <f t="shared" si="2"/>
        <v>1</v>
      </c>
      <c r="H8845" s="1" t="str">
        <f t="shared" si="3"/>
        <v>Currently Unavailable</v>
      </c>
      <c r="I8845" s="1" t="str">
        <f t="shared" si="4"/>
        <v>No Badges</v>
      </c>
      <c r="J8845" s="3">
        <f t="shared" si="5"/>
        <v>0</v>
      </c>
    </row>
    <row r="8846">
      <c r="A8846" s="1" t="s">
        <v>6766</v>
      </c>
      <c r="B8846" s="3" t="str">
        <f t="shared" si="1"/>
        <v>Unavailable</v>
      </c>
      <c r="C8846" s="5">
        <v>1870.0</v>
      </c>
      <c r="D8846" s="3">
        <f>IFERROR(__xludf.DUMMYFUNCTION("IFERROR(
IF(REGEXMATCH(LOWER(O8846),""k""),
VALUE(REGEXEXTRACT(O8846,""[0-9]+""))*1000,
VALUE(REGEXEXTRACT(O8846,""[0-9]+""))
),
0
)"),0.0)</f>
        <v>0</v>
      </c>
      <c r="E8846" s="1" t="s">
        <v>11</v>
      </c>
      <c r="F8846" s="1" t="s">
        <v>20</v>
      </c>
      <c r="G8846" s="4" t="b">
        <f t="shared" si="2"/>
        <v>1</v>
      </c>
      <c r="H8846" s="1" t="str">
        <f t="shared" si="3"/>
        <v>Currently Unavailable</v>
      </c>
      <c r="I8846" s="1" t="str">
        <f t="shared" si="4"/>
        <v>No Badges</v>
      </c>
      <c r="J8846" s="3">
        <f t="shared" si="5"/>
        <v>0</v>
      </c>
    </row>
    <row r="8847">
      <c r="A8847" s="1" t="s">
        <v>6767</v>
      </c>
      <c r="B8847" s="3" t="str">
        <f t="shared" si="1"/>
        <v>Unavailable</v>
      </c>
      <c r="C8847" s="3">
        <v>253.0</v>
      </c>
      <c r="D8847" s="3">
        <f>IFERROR(__xludf.DUMMYFUNCTION("IFERROR(
IF(REGEXMATCH(LOWER(O8847),""k""),
VALUE(REGEXEXTRACT(O8847,""[0-9]+""))*1000,
VALUE(REGEXEXTRACT(O8847,""[0-9]+""))
),
0
)"),0.0)</f>
        <v>0</v>
      </c>
      <c r="E8847" s="1" t="s">
        <v>11</v>
      </c>
      <c r="F8847" s="1" t="s">
        <v>20</v>
      </c>
      <c r="G8847" s="4" t="b">
        <f t="shared" si="2"/>
        <v>1</v>
      </c>
      <c r="H8847" s="1" t="str">
        <f t="shared" si="3"/>
        <v>Currently Unavailable</v>
      </c>
      <c r="I8847" s="1" t="str">
        <f t="shared" si="4"/>
        <v>No Badges</v>
      </c>
      <c r="J8847" s="3">
        <f t="shared" si="5"/>
        <v>0</v>
      </c>
    </row>
    <row r="8848">
      <c r="A8848" s="1" t="s">
        <v>6768</v>
      </c>
      <c r="B8848" s="3" t="str">
        <f t="shared" si="1"/>
        <v>Unavailable</v>
      </c>
      <c r="C8848" s="3">
        <v>515.0</v>
      </c>
      <c r="D8848" s="3">
        <f>IFERROR(__xludf.DUMMYFUNCTION("IFERROR(
IF(REGEXMATCH(LOWER(O8848),""k""),
VALUE(REGEXEXTRACT(O8848,""[0-9]+""))*1000,
VALUE(REGEXEXTRACT(O8848,""[0-9]+""))
),
0
)"),0.0)</f>
        <v>0</v>
      </c>
      <c r="E8848" s="1" t="s">
        <v>11</v>
      </c>
      <c r="F8848" s="1" t="s">
        <v>20</v>
      </c>
      <c r="G8848" s="4" t="b">
        <f t="shared" si="2"/>
        <v>1</v>
      </c>
      <c r="H8848" s="1" t="str">
        <f t="shared" si="3"/>
        <v>Currently Unavailable</v>
      </c>
      <c r="I8848" s="1" t="str">
        <f t="shared" si="4"/>
        <v>No Badges</v>
      </c>
      <c r="J8848" s="3">
        <f t="shared" si="5"/>
        <v>0</v>
      </c>
    </row>
    <row r="8849">
      <c r="A8849" s="1" t="s">
        <v>6769</v>
      </c>
      <c r="B8849" s="3" t="str">
        <f t="shared" si="1"/>
        <v>Unavailable</v>
      </c>
      <c r="C8849" s="5">
        <v>3537.0</v>
      </c>
      <c r="D8849" s="3">
        <f>IFERROR(__xludf.DUMMYFUNCTION("IFERROR(
IF(REGEXMATCH(LOWER(O8849),""k""),
VALUE(REGEXEXTRACT(O8849,""[0-9]+""))*1000,
VALUE(REGEXEXTRACT(O8849,""[0-9]+""))
),
0
)"),0.0)</f>
        <v>0</v>
      </c>
      <c r="E8849" s="1" t="s">
        <v>11</v>
      </c>
      <c r="F8849" s="1" t="s">
        <v>20</v>
      </c>
      <c r="G8849" s="4" t="b">
        <f t="shared" si="2"/>
        <v>1</v>
      </c>
      <c r="H8849" s="1" t="str">
        <f t="shared" si="3"/>
        <v>Currently Unavailable</v>
      </c>
      <c r="I8849" s="1" t="str">
        <f t="shared" si="4"/>
        <v>No Badges</v>
      </c>
      <c r="J8849" s="3">
        <f t="shared" si="5"/>
        <v>0</v>
      </c>
    </row>
    <row r="8850">
      <c r="A8850" s="1" t="s">
        <v>6770</v>
      </c>
      <c r="B8850" s="3" t="str">
        <f t="shared" si="1"/>
        <v>Unavailable</v>
      </c>
      <c r="C8850" s="3">
        <v>696.0</v>
      </c>
      <c r="D8850" s="3">
        <f>IFERROR(__xludf.DUMMYFUNCTION("IFERROR(
IF(REGEXMATCH(LOWER(O8850),""k""),
VALUE(REGEXEXTRACT(O8850,""[0-9]+""))*1000,
VALUE(REGEXEXTRACT(O8850,""[0-9]+""))
),
0
)"),0.0)</f>
        <v>0</v>
      </c>
      <c r="E8850" s="1" t="s">
        <v>11</v>
      </c>
      <c r="F8850" s="1" t="s">
        <v>20</v>
      </c>
      <c r="G8850" s="4" t="b">
        <f t="shared" si="2"/>
        <v>1</v>
      </c>
      <c r="H8850" s="1" t="str">
        <f t="shared" si="3"/>
        <v>Currently Unavailable</v>
      </c>
      <c r="I8850" s="1" t="str">
        <f t="shared" si="4"/>
        <v>No Badges</v>
      </c>
      <c r="J8850" s="3">
        <f t="shared" si="5"/>
        <v>0</v>
      </c>
    </row>
    <row r="8851">
      <c r="A8851" s="1" t="s">
        <v>5817</v>
      </c>
      <c r="B8851" s="3" t="str">
        <f t="shared" si="1"/>
        <v>Unavailable</v>
      </c>
      <c r="C8851" s="5">
        <v>7235.0</v>
      </c>
      <c r="D8851" s="3">
        <f>IFERROR(__xludf.DUMMYFUNCTION("IFERROR(
IF(REGEXMATCH(LOWER(O8851),""k""),
VALUE(REGEXEXTRACT(O8851,""[0-9]+""))*1000,
VALUE(REGEXEXTRACT(O8851,""[0-9]+""))
),
0
)"),0.0)</f>
        <v>0</v>
      </c>
      <c r="E8851" s="1" t="s">
        <v>11</v>
      </c>
      <c r="F8851" s="1" t="s">
        <v>12</v>
      </c>
      <c r="G8851" s="4" t="b">
        <f t="shared" si="2"/>
        <v>1</v>
      </c>
      <c r="H8851" s="1" t="str">
        <f t="shared" si="3"/>
        <v>Currently Unavailable</v>
      </c>
      <c r="I8851" s="1" t="str">
        <f t="shared" si="4"/>
        <v>No Badges</v>
      </c>
      <c r="J8851" s="3">
        <f t="shared" si="5"/>
        <v>0</v>
      </c>
    </row>
    <row r="8852">
      <c r="A8852" s="1" t="s">
        <v>6771</v>
      </c>
      <c r="B8852" s="3" t="str">
        <f t="shared" si="1"/>
        <v>Unavailable</v>
      </c>
      <c r="C8852" s="3">
        <v>297.0</v>
      </c>
      <c r="D8852" s="3">
        <f>IFERROR(__xludf.DUMMYFUNCTION("IFERROR(
IF(REGEXMATCH(LOWER(O8852),""k""),
VALUE(REGEXEXTRACT(O8852,""[0-9]+""))*1000,
VALUE(REGEXEXTRACT(O8852,""[0-9]+""))
),
0
)"),0.0)</f>
        <v>0</v>
      </c>
      <c r="E8852" s="1" t="s">
        <v>11</v>
      </c>
      <c r="F8852" s="1" t="s">
        <v>20</v>
      </c>
      <c r="G8852" s="4" t="b">
        <f t="shared" si="2"/>
        <v>1</v>
      </c>
      <c r="H8852" s="1" t="str">
        <f t="shared" si="3"/>
        <v>Currently Unavailable</v>
      </c>
      <c r="I8852" s="1" t="str">
        <f t="shared" si="4"/>
        <v>No Badges</v>
      </c>
      <c r="J8852" s="3">
        <f t="shared" si="5"/>
        <v>0</v>
      </c>
    </row>
    <row r="8853">
      <c r="A8853" s="1" t="s">
        <v>5817</v>
      </c>
      <c r="B8853" s="3" t="str">
        <f t="shared" si="1"/>
        <v>Unavailable</v>
      </c>
      <c r="C8853" s="5">
        <v>7235.0</v>
      </c>
      <c r="D8853" s="3">
        <f>IFERROR(__xludf.DUMMYFUNCTION("IFERROR(
IF(REGEXMATCH(LOWER(O8853),""k""),
VALUE(REGEXEXTRACT(O8853,""[0-9]+""))*1000,
VALUE(REGEXEXTRACT(O8853,""[0-9]+""))
),
0
)"),0.0)</f>
        <v>0</v>
      </c>
      <c r="E8853" s="1" t="s">
        <v>11</v>
      </c>
      <c r="F8853" s="1" t="s">
        <v>12</v>
      </c>
      <c r="G8853" s="4" t="b">
        <f t="shared" si="2"/>
        <v>1</v>
      </c>
      <c r="H8853" s="1" t="str">
        <f t="shared" si="3"/>
        <v>Currently Unavailable</v>
      </c>
      <c r="I8853" s="1" t="str">
        <f t="shared" si="4"/>
        <v>No Badges</v>
      </c>
      <c r="J8853" s="3">
        <f t="shared" si="5"/>
        <v>0</v>
      </c>
    </row>
    <row r="8854">
      <c r="A8854" s="1" t="s">
        <v>6772</v>
      </c>
      <c r="B8854" s="3" t="str">
        <f t="shared" si="1"/>
        <v>Unavailable</v>
      </c>
      <c r="C8854" s="3">
        <v>383.0</v>
      </c>
      <c r="D8854" s="3">
        <f>IFERROR(__xludf.DUMMYFUNCTION("IFERROR(
IF(REGEXMATCH(LOWER(O8854),""k""),
VALUE(REGEXEXTRACT(O8854,""[0-9]+""))*1000,
VALUE(REGEXEXTRACT(O8854,""[0-9]+""))
),
0
)"),0.0)</f>
        <v>0</v>
      </c>
      <c r="E8854" s="1" t="s">
        <v>11</v>
      </c>
      <c r="F8854" s="1" t="s">
        <v>20</v>
      </c>
      <c r="G8854" s="4" t="b">
        <f t="shared" si="2"/>
        <v>1</v>
      </c>
      <c r="H8854" s="1" t="str">
        <f t="shared" si="3"/>
        <v>Currently Unavailable</v>
      </c>
      <c r="I8854" s="1" t="str">
        <f t="shared" si="4"/>
        <v>No Badges</v>
      </c>
      <c r="J8854" s="3">
        <f t="shared" si="5"/>
        <v>0</v>
      </c>
    </row>
    <row r="8855">
      <c r="A8855" s="1" t="s">
        <v>6773</v>
      </c>
      <c r="B8855" s="3" t="str">
        <f t="shared" si="1"/>
        <v>Unavailable</v>
      </c>
      <c r="C8855" s="3">
        <v>261.0</v>
      </c>
      <c r="D8855" s="3">
        <f>IFERROR(__xludf.DUMMYFUNCTION("IFERROR(
IF(REGEXMATCH(LOWER(O8855),""k""),
VALUE(REGEXEXTRACT(O8855,""[0-9]+""))*1000,
VALUE(REGEXEXTRACT(O8855,""[0-9]+""))
),
0
)"),0.0)</f>
        <v>0</v>
      </c>
      <c r="E8855" s="1" t="s">
        <v>11</v>
      </c>
      <c r="F8855" s="1" t="s">
        <v>20</v>
      </c>
      <c r="G8855" s="4" t="b">
        <f t="shared" si="2"/>
        <v>1</v>
      </c>
      <c r="H8855" s="1" t="str">
        <f t="shared" si="3"/>
        <v>Currently Unavailable</v>
      </c>
      <c r="I8855" s="1" t="str">
        <f t="shared" si="4"/>
        <v>No Badges</v>
      </c>
      <c r="J8855" s="3">
        <f t="shared" si="5"/>
        <v>0</v>
      </c>
    </row>
    <row r="8856">
      <c r="A8856" s="1" t="s">
        <v>6774</v>
      </c>
      <c r="B8856" s="3" t="str">
        <f t="shared" si="1"/>
        <v>Unavailable</v>
      </c>
      <c r="C8856" s="3">
        <v>498.0</v>
      </c>
      <c r="D8856" s="3">
        <f>IFERROR(__xludf.DUMMYFUNCTION("IFERROR(
IF(REGEXMATCH(LOWER(O8856),""k""),
VALUE(REGEXEXTRACT(O8856,""[0-9]+""))*1000,
VALUE(REGEXEXTRACT(O8856,""[0-9]+""))
),
0
)"),0.0)</f>
        <v>0</v>
      </c>
      <c r="E8856" s="1" t="s">
        <v>11</v>
      </c>
      <c r="F8856" s="1" t="s">
        <v>20</v>
      </c>
      <c r="G8856" s="4" t="b">
        <f t="shared" si="2"/>
        <v>1</v>
      </c>
      <c r="H8856" s="1" t="str">
        <f t="shared" si="3"/>
        <v>Currently Unavailable</v>
      </c>
      <c r="I8856" s="1" t="str">
        <f t="shared" si="4"/>
        <v>No Badges</v>
      </c>
      <c r="J8856" s="3">
        <f t="shared" si="5"/>
        <v>0</v>
      </c>
    </row>
    <row r="8857">
      <c r="A8857" s="1" t="s">
        <v>6775</v>
      </c>
      <c r="B8857" s="3" t="str">
        <f t="shared" si="1"/>
        <v>Unavailable</v>
      </c>
      <c r="C8857" s="3">
        <v>527.0</v>
      </c>
      <c r="D8857" s="3">
        <f>IFERROR(__xludf.DUMMYFUNCTION("IFERROR(
IF(REGEXMATCH(LOWER(O8857),""k""),
VALUE(REGEXEXTRACT(O8857,""[0-9]+""))*1000,
VALUE(REGEXEXTRACT(O8857,""[0-9]+""))
),
0
)"),0.0)</f>
        <v>0</v>
      </c>
      <c r="E8857" s="1" t="s">
        <v>11</v>
      </c>
      <c r="F8857" s="1" t="s">
        <v>20</v>
      </c>
      <c r="G8857" s="4" t="b">
        <f t="shared" si="2"/>
        <v>1</v>
      </c>
      <c r="H8857" s="1" t="str">
        <f t="shared" si="3"/>
        <v>Currently Unavailable</v>
      </c>
      <c r="I8857" s="1" t="str">
        <f t="shared" si="4"/>
        <v>No Badges</v>
      </c>
      <c r="J8857" s="3">
        <f t="shared" si="5"/>
        <v>0</v>
      </c>
    </row>
    <row r="8858">
      <c r="A8858" s="1" t="s">
        <v>6776</v>
      </c>
      <c r="B8858" s="3" t="str">
        <f t="shared" si="1"/>
        <v>Unavailable</v>
      </c>
      <c r="C8858" s="3">
        <v>160.0</v>
      </c>
      <c r="D8858" s="3">
        <f>IFERROR(__xludf.DUMMYFUNCTION("IFERROR(
IF(REGEXMATCH(LOWER(O8858),""k""),
VALUE(REGEXEXTRACT(O8858,""[0-9]+""))*1000,
VALUE(REGEXEXTRACT(O8858,""[0-9]+""))
),
0
)"),0.0)</f>
        <v>0</v>
      </c>
      <c r="E8858" s="1" t="s">
        <v>11</v>
      </c>
      <c r="F8858" s="1" t="s">
        <v>20</v>
      </c>
      <c r="G8858" s="4" t="b">
        <f t="shared" si="2"/>
        <v>1</v>
      </c>
      <c r="H8858" s="1" t="str">
        <f t="shared" si="3"/>
        <v>Currently Unavailable</v>
      </c>
      <c r="I8858" s="1" t="str">
        <f t="shared" si="4"/>
        <v>No Badges</v>
      </c>
      <c r="J8858" s="3">
        <f t="shared" si="5"/>
        <v>0</v>
      </c>
    </row>
    <row r="8859">
      <c r="A8859" s="1" t="s">
        <v>6777</v>
      </c>
      <c r="B8859" s="3" t="str">
        <f t="shared" si="1"/>
        <v>Unavailable</v>
      </c>
      <c r="C8859" s="3">
        <v>337.0</v>
      </c>
      <c r="D8859" s="3">
        <f>IFERROR(__xludf.DUMMYFUNCTION("IFERROR(
IF(REGEXMATCH(LOWER(O8859),""k""),
VALUE(REGEXEXTRACT(O8859,""[0-9]+""))*1000,
VALUE(REGEXEXTRACT(O8859,""[0-9]+""))
),
0
)"),0.0)</f>
        <v>0</v>
      </c>
      <c r="E8859" s="1" t="s">
        <v>11</v>
      </c>
      <c r="F8859" s="1" t="s">
        <v>20</v>
      </c>
      <c r="G8859" s="4" t="b">
        <f t="shared" si="2"/>
        <v>1</v>
      </c>
      <c r="H8859" s="1" t="str">
        <f t="shared" si="3"/>
        <v>Currently Unavailable</v>
      </c>
      <c r="I8859" s="1" t="str">
        <f t="shared" si="4"/>
        <v>No Badges</v>
      </c>
      <c r="J8859" s="3">
        <f t="shared" si="5"/>
        <v>0</v>
      </c>
    </row>
    <row r="8860">
      <c r="A8860" s="1" t="s">
        <v>6778</v>
      </c>
      <c r="B8860" s="3" t="str">
        <f t="shared" si="1"/>
        <v>Unavailable</v>
      </c>
      <c r="C8860" s="3">
        <v>467.0</v>
      </c>
      <c r="D8860" s="3">
        <f>IFERROR(__xludf.DUMMYFUNCTION("IFERROR(
IF(REGEXMATCH(LOWER(O8860),""k""),
VALUE(REGEXEXTRACT(O8860,""[0-9]+""))*1000,
VALUE(REGEXEXTRACT(O8860,""[0-9]+""))
),
0
)"),0.0)</f>
        <v>0</v>
      </c>
      <c r="E8860" s="1" t="s">
        <v>11</v>
      </c>
      <c r="F8860" s="1" t="s">
        <v>20</v>
      </c>
      <c r="G8860" s="4" t="b">
        <f t="shared" si="2"/>
        <v>1</v>
      </c>
      <c r="H8860" s="1" t="str">
        <f t="shared" si="3"/>
        <v>Currently Unavailable</v>
      </c>
      <c r="I8860" s="1" t="str">
        <f t="shared" si="4"/>
        <v>No Badges</v>
      </c>
      <c r="J8860" s="3">
        <f t="shared" si="5"/>
        <v>0</v>
      </c>
    </row>
    <row r="8861">
      <c r="A8861" s="1" t="s">
        <v>5817</v>
      </c>
      <c r="B8861" s="3" t="str">
        <f t="shared" si="1"/>
        <v>Unavailable</v>
      </c>
      <c r="C8861" s="5">
        <v>7235.0</v>
      </c>
      <c r="D8861" s="3">
        <f>IFERROR(__xludf.DUMMYFUNCTION("IFERROR(
IF(REGEXMATCH(LOWER(O8861),""k""),
VALUE(REGEXEXTRACT(O8861,""[0-9]+""))*1000,
VALUE(REGEXEXTRACT(O8861,""[0-9]+""))
),
0
)"),0.0)</f>
        <v>0</v>
      </c>
      <c r="E8861" s="1" t="s">
        <v>11</v>
      </c>
      <c r="F8861" s="1" t="s">
        <v>12</v>
      </c>
      <c r="G8861" s="4" t="b">
        <f t="shared" si="2"/>
        <v>1</v>
      </c>
      <c r="H8861" s="1" t="str">
        <f t="shared" si="3"/>
        <v>Currently Unavailable</v>
      </c>
      <c r="I8861" s="1" t="str">
        <f t="shared" si="4"/>
        <v>No Badges</v>
      </c>
      <c r="J8861" s="3">
        <f t="shared" si="5"/>
        <v>0</v>
      </c>
    </row>
    <row r="8862">
      <c r="A8862" s="1" t="s">
        <v>6779</v>
      </c>
      <c r="B8862" s="3" t="str">
        <f t="shared" si="1"/>
        <v>Unavailable</v>
      </c>
      <c r="C8862" s="5">
        <v>2459.0</v>
      </c>
      <c r="D8862" s="3">
        <f>IFERROR(__xludf.DUMMYFUNCTION("IFERROR(
IF(REGEXMATCH(LOWER(O8862),""k""),
VALUE(REGEXEXTRACT(O8862,""[0-9]+""))*1000,
VALUE(REGEXEXTRACT(O8862,""[0-9]+""))
),
0
)"),0.0)</f>
        <v>0</v>
      </c>
      <c r="E8862" s="1" t="s">
        <v>11</v>
      </c>
      <c r="F8862" s="1" t="s">
        <v>20</v>
      </c>
      <c r="G8862" s="4" t="b">
        <f t="shared" si="2"/>
        <v>1</v>
      </c>
      <c r="H8862" s="1" t="str">
        <f t="shared" si="3"/>
        <v>Currently Unavailable</v>
      </c>
      <c r="I8862" s="1" t="str">
        <f t="shared" si="4"/>
        <v>No Badges</v>
      </c>
      <c r="J8862" s="3">
        <f t="shared" si="5"/>
        <v>0</v>
      </c>
    </row>
    <row r="8863">
      <c r="A8863" s="1" t="s">
        <v>6780</v>
      </c>
      <c r="B8863" s="3" t="str">
        <f t="shared" si="1"/>
        <v>Unavailable</v>
      </c>
      <c r="C8863" s="5">
        <v>2872.0</v>
      </c>
      <c r="D8863" s="3">
        <f>IFERROR(__xludf.DUMMYFUNCTION("IFERROR(
IF(REGEXMATCH(LOWER(O8863),""k""),
VALUE(REGEXEXTRACT(O8863,""[0-9]+""))*1000,
VALUE(REGEXEXTRACT(O8863,""[0-9]+""))
),
0
)"),0.0)</f>
        <v>0</v>
      </c>
      <c r="E8863" s="1" t="s">
        <v>11</v>
      </c>
      <c r="F8863" s="1" t="s">
        <v>20</v>
      </c>
      <c r="G8863" s="4" t="b">
        <f t="shared" si="2"/>
        <v>1</v>
      </c>
      <c r="H8863" s="1" t="str">
        <f t="shared" si="3"/>
        <v>Currently Unavailable</v>
      </c>
      <c r="I8863" s="1" t="str">
        <f t="shared" si="4"/>
        <v>No Badges</v>
      </c>
      <c r="J8863" s="3">
        <f t="shared" si="5"/>
        <v>0</v>
      </c>
    </row>
    <row r="8864">
      <c r="A8864" s="1" t="s">
        <v>6781</v>
      </c>
      <c r="B8864" s="1" t="str">
        <f t="shared" si="1"/>
        <v>Unavailable</v>
      </c>
      <c r="C8864" s="1"/>
      <c r="D8864" s="3">
        <f>IFERROR(__xludf.DUMMYFUNCTION("IFERROR(
IF(REGEXMATCH(LOWER(O8864),""k""),
VALUE(REGEXEXTRACT(O8864,""[0-9]+""))*1000,
VALUE(REGEXEXTRACT(O8864,""[0-9]+""))
),
0
)"),0.0)</f>
        <v>0</v>
      </c>
      <c r="E8864" s="1" t="s">
        <v>11</v>
      </c>
      <c r="F8864" s="1" t="s">
        <v>20</v>
      </c>
      <c r="G8864" s="4" t="b">
        <f t="shared" si="2"/>
        <v>1</v>
      </c>
      <c r="H8864" s="1" t="str">
        <f t="shared" si="3"/>
        <v>Currently Unavailable</v>
      </c>
      <c r="I8864" s="1" t="str">
        <f t="shared" si="4"/>
        <v>No Badges</v>
      </c>
      <c r="J8864" s="3">
        <f t="shared" si="5"/>
        <v>0</v>
      </c>
    </row>
    <row r="8865">
      <c r="A8865" s="1" t="s">
        <v>6782</v>
      </c>
      <c r="B8865" s="3" t="str">
        <f t="shared" si="1"/>
        <v>Unavailable</v>
      </c>
      <c r="C8865" s="5">
        <v>3480.0</v>
      </c>
      <c r="D8865" s="3">
        <f>IFERROR(__xludf.DUMMYFUNCTION("IFERROR(
IF(REGEXMATCH(LOWER(O8865),""k""),
VALUE(REGEXEXTRACT(O8865,""[0-9]+""))*1000,
VALUE(REGEXEXTRACT(O8865,""[0-9]+""))
),
0
)"),0.0)</f>
        <v>0</v>
      </c>
      <c r="E8865" s="1" t="s">
        <v>11</v>
      </c>
      <c r="F8865" s="1" t="s">
        <v>20</v>
      </c>
      <c r="G8865" s="4" t="b">
        <f t="shared" si="2"/>
        <v>1</v>
      </c>
      <c r="H8865" s="1" t="str">
        <f t="shared" si="3"/>
        <v>Currently Unavailable</v>
      </c>
      <c r="I8865" s="1" t="str">
        <f t="shared" si="4"/>
        <v>No Badges</v>
      </c>
      <c r="J8865" s="3">
        <f t="shared" si="5"/>
        <v>0</v>
      </c>
    </row>
    <row r="8866">
      <c r="A8866" s="1" t="s">
        <v>5817</v>
      </c>
      <c r="B8866" s="3" t="str">
        <f t="shared" si="1"/>
        <v>Unavailable</v>
      </c>
      <c r="C8866" s="5">
        <v>7235.0</v>
      </c>
      <c r="D8866" s="3">
        <f>IFERROR(__xludf.DUMMYFUNCTION("IFERROR(
IF(REGEXMATCH(LOWER(O8866),""k""),
VALUE(REGEXEXTRACT(O8866,""[0-9]+""))*1000,
VALUE(REGEXEXTRACT(O8866,""[0-9]+""))
),
0
)"),0.0)</f>
        <v>0</v>
      </c>
      <c r="E8866" s="1" t="s">
        <v>11</v>
      </c>
      <c r="F8866" s="1" t="s">
        <v>12</v>
      </c>
      <c r="G8866" s="4" t="b">
        <f t="shared" si="2"/>
        <v>1</v>
      </c>
      <c r="H8866" s="1" t="str">
        <f t="shared" si="3"/>
        <v>Currently Unavailable</v>
      </c>
      <c r="I8866" s="1" t="str">
        <f t="shared" si="4"/>
        <v>No Badges</v>
      </c>
      <c r="J8866" s="3">
        <f t="shared" si="5"/>
        <v>0</v>
      </c>
    </row>
    <row r="8867">
      <c r="A8867" s="1" t="s">
        <v>6783</v>
      </c>
      <c r="B8867" s="3" t="str">
        <f t="shared" si="1"/>
        <v>Unavailable</v>
      </c>
      <c r="C8867" s="3">
        <v>171.0</v>
      </c>
      <c r="D8867" s="3">
        <f>IFERROR(__xludf.DUMMYFUNCTION("IFERROR(
IF(REGEXMATCH(LOWER(O8867),""k""),
VALUE(REGEXEXTRACT(O8867,""[0-9]+""))*1000,
VALUE(REGEXEXTRACT(O8867,""[0-9]+""))
),
0
)"),0.0)</f>
        <v>0</v>
      </c>
      <c r="E8867" s="1" t="s">
        <v>11</v>
      </c>
      <c r="F8867" s="1" t="s">
        <v>20</v>
      </c>
      <c r="G8867" s="4" t="b">
        <f t="shared" si="2"/>
        <v>1</v>
      </c>
      <c r="H8867" s="1" t="str">
        <f t="shared" si="3"/>
        <v>Currently Unavailable</v>
      </c>
      <c r="I8867" s="1" t="str">
        <f t="shared" si="4"/>
        <v>No Badges</v>
      </c>
      <c r="J8867" s="3">
        <f t="shared" si="5"/>
        <v>0</v>
      </c>
    </row>
    <row r="8868">
      <c r="A8868" s="1" t="s">
        <v>6784</v>
      </c>
      <c r="B8868" s="3" t="str">
        <f t="shared" si="1"/>
        <v>Unavailable</v>
      </c>
      <c r="C8868" s="5">
        <v>4644.0</v>
      </c>
      <c r="D8868" s="3">
        <f>IFERROR(__xludf.DUMMYFUNCTION("IFERROR(
IF(REGEXMATCH(LOWER(O8868),""k""),
VALUE(REGEXEXTRACT(O8868,""[0-9]+""))*1000,
VALUE(REGEXEXTRACT(O8868,""[0-9]+""))
),
0
)"),0.0)</f>
        <v>0</v>
      </c>
      <c r="E8868" s="1" t="s">
        <v>11</v>
      </c>
      <c r="F8868" s="1" t="s">
        <v>20</v>
      </c>
      <c r="G8868" s="4" t="b">
        <f t="shared" si="2"/>
        <v>1</v>
      </c>
      <c r="H8868" s="1" t="str">
        <f t="shared" si="3"/>
        <v>Currently Unavailable</v>
      </c>
      <c r="I8868" s="1" t="str">
        <f t="shared" si="4"/>
        <v>No Badges</v>
      </c>
      <c r="J8868" s="3">
        <f t="shared" si="5"/>
        <v>0</v>
      </c>
    </row>
    <row r="8869">
      <c r="A8869" s="1" t="s">
        <v>6785</v>
      </c>
      <c r="B8869" s="3" t="str">
        <f t="shared" si="1"/>
        <v>Unavailable</v>
      </c>
      <c r="C8869" s="3">
        <v>184.0</v>
      </c>
      <c r="D8869" s="3">
        <f>IFERROR(__xludf.DUMMYFUNCTION("IFERROR(
IF(REGEXMATCH(LOWER(O8869),""k""),
VALUE(REGEXEXTRACT(O8869,""[0-9]+""))*1000,
VALUE(REGEXEXTRACT(O8869,""[0-9]+""))
),
0
)"),0.0)</f>
        <v>0</v>
      </c>
      <c r="E8869" s="1" t="s">
        <v>11</v>
      </c>
      <c r="F8869" s="1" t="s">
        <v>20</v>
      </c>
      <c r="G8869" s="4" t="b">
        <f t="shared" si="2"/>
        <v>1</v>
      </c>
      <c r="H8869" s="1" t="str">
        <f t="shared" si="3"/>
        <v>Currently Unavailable</v>
      </c>
      <c r="I8869" s="1" t="str">
        <f t="shared" si="4"/>
        <v>No Badges</v>
      </c>
      <c r="J8869" s="3">
        <f t="shared" si="5"/>
        <v>0</v>
      </c>
    </row>
    <row r="8870">
      <c r="A8870" s="1" t="s">
        <v>6786</v>
      </c>
      <c r="B8870" s="3" t="str">
        <f t="shared" si="1"/>
        <v>Unavailable</v>
      </c>
      <c r="C8870" s="5">
        <v>7229.0</v>
      </c>
      <c r="D8870" s="3">
        <f>IFERROR(__xludf.DUMMYFUNCTION("IFERROR(
IF(REGEXMATCH(LOWER(O8870),""k""),
VALUE(REGEXEXTRACT(O8870,""[0-9]+""))*1000,
VALUE(REGEXEXTRACT(O8870,""[0-9]+""))
),
0
)"),0.0)</f>
        <v>0</v>
      </c>
      <c r="E8870" s="1" t="s">
        <v>11</v>
      </c>
      <c r="F8870" s="1" t="s">
        <v>20</v>
      </c>
      <c r="G8870" s="4" t="b">
        <f t="shared" si="2"/>
        <v>1</v>
      </c>
      <c r="H8870" s="1" t="str">
        <f t="shared" si="3"/>
        <v>Currently Unavailable</v>
      </c>
      <c r="I8870" s="1" t="str">
        <f t="shared" si="4"/>
        <v>No Badges</v>
      </c>
      <c r="J8870" s="3">
        <f t="shared" si="5"/>
        <v>0</v>
      </c>
    </row>
    <row r="8871">
      <c r="A8871" s="1" t="s">
        <v>6787</v>
      </c>
      <c r="B8871" s="3" t="str">
        <f t="shared" si="1"/>
        <v>Unavailable</v>
      </c>
      <c r="C8871" s="3">
        <v>322.0</v>
      </c>
      <c r="D8871" s="3">
        <f>IFERROR(__xludf.DUMMYFUNCTION("IFERROR(
IF(REGEXMATCH(LOWER(O8871),""k""),
VALUE(REGEXEXTRACT(O8871,""[0-9]+""))*1000,
VALUE(REGEXEXTRACT(O8871,""[0-9]+""))
),
0
)"),0.0)</f>
        <v>0</v>
      </c>
      <c r="E8871" s="1" t="s">
        <v>11</v>
      </c>
      <c r="F8871" s="1" t="s">
        <v>20</v>
      </c>
      <c r="G8871" s="4" t="b">
        <f t="shared" si="2"/>
        <v>1</v>
      </c>
      <c r="H8871" s="1" t="str">
        <f t="shared" si="3"/>
        <v>Currently Unavailable</v>
      </c>
      <c r="I8871" s="1" t="str">
        <f t="shared" si="4"/>
        <v>No Badges</v>
      </c>
      <c r="J8871" s="3">
        <f t="shared" si="5"/>
        <v>0</v>
      </c>
    </row>
    <row r="8872">
      <c r="A8872" s="1" t="s">
        <v>6788</v>
      </c>
      <c r="B8872" s="3" t="str">
        <f t="shared" si="1"/>
        <v>Unavailable</v>
      </c>
      <c r="C8872" s="5">
        <v>2382.0</v>
      </c>
      <c r="D8872" s="3">
        <f>IFERROR(__xludf.DUMMYFUNCTION("IFERROR(
IF(REGEXMATCH(LOWER(O8872),""k""),
VALUE(REGEXEXTRACT(O8872,""[0-9]+""))*1000,
VALUE(REGEXEXTRACT(O8872,""[0-9]+""))
),
0
)"),0.0)</f>
        <v>0</v>
      </c>
      <c r="E8872" s="1" t="s">
        <v>11</v>
      </c>
      <c r="F8872" s="1" t="s">
        <v>20</v>
      </c>
      <c r="G8872" s="4" t="b">
        <f t="shared" si="2"/>
        <v>1</v>
      </c>
      <c r="H8872" s="1" t="str">
        <f t="shared" si="3"/>
        <v>Currently Unavailable</v>
      </c>
      <c r="I8872" s="1" t="str">
        <f t="shared" si="4"/>
        <v>No Badges</v>
      </c>
      <c r="J8872" s="3">
        <f t="shared" si="5"/>
        <v>0</v>
      </c>
    </row>
    <row r="8873">
      <c r="A8873" s="1" t="s">
        <v>6789</v>
      </c>
      <c r="B8873" s="3" t="str">
        <f t="shared" si="1"/>
        <v>Unavailable</v>
      </c>
      <c r="C8873" s="5">
        <v>6854.0</v>
      </c>
      <c r="D8873" s="3">
        <f>IFERROR(__xludf.DUMMYFUNCTION("IFERROR(
IF(REGEXMATCH(LOWER(O8873),""k""),
VALUE(REGEXEXTRACT(O8873,""[0-9]+""))*1000,
VALUE(REGEXEXTRACT(O8873,""[0-9]+""))
),
0
)"),0.0)</f>
        <v>0</v>
      </c>
      <c r="E8873" s="1" t="s">
        <v>11</v>
      </c>
      <c r="F8873" s="1" t="s">
        <v>20</v>
      </c>
      <c r="G8873" s="4" t="b">
        <f t="shared" si="2"/>
        <v>1</v>
      </c>
      <c r="H8873" s="1" t="str">
        <f t="shared" si="3"/>
        <v>Currently Unavailable</v>
      </c>
      <c r="I8873" s="1" t="str">
        <f t="shared" si="4"/>
        <v>No Badges</v>
      </c>
      <c r="J8873" s="3">
        <f t="shared" si="5"/>
        <v>0</v>
      </c>
    </row>
    <row r="8874">
      <c r="A8874" s="1" t="s">
        <v>6698</v>
      </c>
      <c r="B8874" s="3" t="str">
        <f t="shared" si="1"/>
        <v>Unavailable</v>
      </c>
      <c r="C8874" s="3">
        <v>6.0</v>
      </c>
      <c r="D8874" s="3">
        <f>IFERROR(__xludf.DUMMYFUNCTION("IFERROR(
IF(REGEXMATCH(LOWER(O8874),""k""),
VALUE(REGEXEXTRACT(O8874,""[0-9]+""))*1000,
VALUE(REGEXEXTRACT(O8874,""[0-9]+""))
),
0
)"),0.0)</f>
        <v>0</v>
      </c>
      <c r="E8874" s="1" t="s">
        <v>11</v>
      </c>
      <c r="F8874" s="1" t="s">
        <v>12</v>
      </c>
      <c r="G8874" s="4" t="b">
        <f t="shared" si="2"/>
        <v>1</v>
      </c>
      <c r="H8874" s="1" t="str">
        <f t="shared" si="3"/>
        <v>Currently Unavailable</v>
      </c>
      <c r="I8874" s="1" t="str">
        <f t="shared" si="4"/>
        <v>No Badges</v>
      </c>
      <c r="J8874" s="3">
        <f t="shared" si="5"/>
        <v>0</v>
      </c>
    </row>
    <row r="8875">
      <c r="A8875" s="1" t="s">
        <v>6699</v>
      </c>
      <c r="B8875" s="3" t="str">
        <f t="shared" si="1"/>
        <v>Unavailable</v>
      </c>
      <c r="C8875" s="3">
        <v>1.0</v>
      </c>
      <c r="D8875" s="3">
        <f>IFERROR(__xludf.DUMMYFUNCTION("IFERROR(
IF(REGEXMATCH(LOWER(O8875),""k""),
VALUE(REGEXEXTRACT(O8875,""[0-9]+""))*1000,
VALUE(REGEXEXTRACT(O8875,""[0-9]+""))
),
0
)"),0.0)</f>
        <v>0</v>
      </c>
      <c r="E8875" s="1" t="s">
        <v>11</v>
      </c>
      <c r="F8875" s="1" t="s">
        <v>12</v>
      </c>
      <c r="G8875" s="4" t="b">
        <f t="shared" si="2"/>
        <v>1</v>
      </c>
      <c r="H8875" s="1" t="str">
        <f t="shared" si="3"/>
        <v>Currently Unavailable</v>
      </c>
      <c r="I8875" s="1" t="str">
        <f t="shared" si="4"/>
        <v>No Badges</v>
      </c>
      <c r="J8875" s="3">
        <f t="shared" si="5"/>
        <v>0</v>
      </c>
    </row>
    <row r="8876">
      <c r="A8876" s="1" t="s">
        <v>6790</v>
      </c>
      <c r="B8876" s="3" t="str">
        <f t="shared" si="1"/>
        <v>Unavailable</v>
      </c>
      <c r="C8876" s="3">
        <v>437.0</v>
      </c>
      <c r="D8876" s="3">
        <f>IFERROR(__xludf.DUMMYFUNCTION("IFERROR(
IF(REGEXMATCH(LOWER(O8876),""k""),
VALUE(REGEXEXTRACT(O8876,""[0-9]+""))*1000,
VALUE(REGEXEXTRACT(O8876,""[0-9]+""))
),
0
)"),0.0)</f>
        <v>0</v>
      </c>
      <c r="E8876" s="1" t="s">
        <v>11</v>
      </c>
      <c r="F8876" s="1" t="s">
        <v>20</v>
      </c>
      <c r="G8876" s="4" t="b">
        <f t="shared" si="2"/>
        <v>1</v>
      </c>
      <c r="H8876" s="1" t="str">
        <f t="shared" si="3"/>
        <v>Currently Unavailable</v>
      </c>
      <c r="I8876" s="1" t="str">
        <f t="shared" si="4"/>
        <v>No Badges</v>
      </c>
      <c r="J8876" s="3">
        <f t="shared" si="5"/>
        <v>0</v>
      </c>
    </row>
    <row r="8877">
      <c r="A8877" s="1" t="s">
        <v>6791</v>
      </c>
      <c r="B8877" s="3" t="str">
        <f t="shared" si="1"/>
        <v>Unavailable</v>
      </c>
      <c r="C8877" s="5">
        <v>1419.0</v>
      </c>
      <c r="D8877" s="3">
        <f>IFERROR(__xludf.DUMMYFUNCTION("IFERROR(
IF(REGEXMATCH(LOWER(O8877),""k""),
VALUE(REGEXEXTRACT(O8877,""[0-9]+""))*1000,
VALUE(REGEXEXTRACT(O8877,""[0-9]+""))
),
0
)"),0.0)</f>
        <v>0</v>
      </c>
      <c r="E8877" s="1" t="s">
        <v>11</v>
      </c>
      <c r="F8877" s="1" t="s">
        <v>20</v>
      </c>
      <c r="G8877" s="4" t="b">
        <f t="shared" si="2"/>
        <v>1</v>
      </c>
      <c r="H8877" s="1" t="str">
        <f t="shared" si="3"/>
        <v>Currently Unavailable</v>
      </c>
      <c r="I8877" s="1" t="str">
        <f t="shared" si="4"/>
        <v>No Badges</v>
      </c>
      <c r="J8877" s="3">
        <f t="shared" si="5"/>
        <v>0</v>
      </c>
    </row>
    <row r="8878">
      <c r="A8878" s="1" t="s">
        <v>6792</v>
      </c>
      <c r="B8878" s="3" t="str">
        <f t="shared" si="1"/>
        <v>Unavailable</v>
      </c>
      <c r="C8878" s="3">
        <v>3.0</v>
      </c>
      <c r="D8878" s="3">
        <f>IFERROR(__xludf.DUMMYFUNCTION("IFERROR(
IF(REGEXMATCH(LOWER(O8878),""k""),
VALUE(REGEXEXTRACT(O8878,""[0-9]+""))*1000,
VALUE(REGEXEXTRACT(O8878,""[0-9]+""))
),
0
)"),0.0)</f>
        <v>0</v>
      </c>
      <c r="E8878" s="1" t="s">
        <v>11</v>
      </c>
      <c r="F8878" s="1" t="s">
        <v>20</v>
      </c>
      <c r="G8878" s="4" t="b">
        <f t="shared" si="2"/>
        <v>1</v>
      </c>
      <c r="H8878" s="1" t="str">
        <f t="shared" si="3"/>
        <v>Currently Unavailable</v>
      </c>
      <c r="I8878" s="1" t="str">
        <f t="shared" si="4"/>
        <v>No Badges</v>
      </c>
      <c r="J8878" s="3">
        <f t="shared" si="5"/>
        <v>0</v>
      </c>
    </row>
    <row r="8879">
      <c r="A8879" s="1" t="s">
        <v>6793</v>
      </c>
      <c r="B8879" s="3" t="str">
        <f t="shared" si="1"/>
        <v>Unavailable</v>
      </c>
      <c r="C8879" s="3">
        <v>43.0</v>
      </c>
      <c r="D8879" s="3">
        <f>IFERROR(__xludf.DUMMYFUNCTION("IFERROR(
IF(REGEXMATCH(LOWER(O8879),""k""),
VALUE(REGEXEXTRACT(O8879,""[0-9]+""))*1000,
VALUE(REGEXEXTRACT(O8879,""[0-9]+""))
),
0
)"),0.0)</f>
        <v>0</v>
      </c>
      <c r="E8879" s="1" t="s">
        <v>11</v>
      </c>
      <c r="F8879" s="1" t="s">
        <v>20</v>
      </c>
      <c r="G8879" s="4" t="b">
        <f t="shared" si="2"/>
        <v>1</v>
      </c>
      <c r="H8879" s="1" t="str">
        <f t="shared" si="3"/>
        <v>Currently Unavailable</v>
      </c>
      <c r="I8879" s="1" t="str">
        <f t="shared" si="4"/>
        <v>No Badges</v>
      </c>
      <c r="J8879" s="3">
        <f t="shared" si="5"/>
        <v>0</v>
      </c>
    </row>
    <row r="8880">
      <c r="A8880" s="1" t="s">
        <v>6794</v>
      </c>
      <c r="B8880" s="3" t="str">
        <f t="shared" si="1"/>
        <v>Unavailable</v>
      </c>
      <c r="C8880" s="5">
        <v>1196.0</v>
      </c>
      <c r="D8880" s="3">
        <f>IFERROR(__xludf.DUMMYFUNCTION("IFERROR(
IF(REGEXMATCH(LOWER(O8880),""k""),
VALUE(REGEXEXTRACT(O8880,""[0-9]+""))*1000,
VALUE(REGEXEXTRACT(O8880,""[0-9]+""))
),
0
)"),0.0)</f>
        <v>0</v>
      </c>
      <c r="E8880" s="1" t="s">
        <v>11</v>
      </c>
      <c r="F8880" s="1" t="s">
        <v>20</v>
      </c>
      <c r="G8880" s="4" t="b">
        <f t="shared" si="2"/>
        <v>1</v>
      </c>
      <c r="H8880" s="1" t="str">
        <f t="shared" si="3"/>
        <v>Currently Unavailable</v>
      </c>
      <c r="I8880" s="1" t="str">
        <f t="shared" si="4"/>
        <v>No Badges</v>
      </c>
      <c r="J8880" s="3">
        <f t="shared" si="5"/>
        <v>0</v>
      </c>
    </row>
    <row r="8881">
      <c r="A8881" s="1" t="s">
        <v>5817</v>
      </c>
      <c r="B8881" s="3" t="str">
        <f t="shared" si="1"/>
        <v>Unavailable</v>
      </c>
      <c r="C8881" s="5">
        <v>7235.0</v>
      </c>
      <c r="D8881" s="3">
        <f>IFERROR(__xludf.DUMMYFUNCTION("IFERROR(
IF(REGEXMATCH(LOWER(O8881),""k""),
VALUE(REGEXEXTRACT(O8881,""[0-9]+""))*1000,
VALUE(REGEXEXTRACT(O8881,""[0-9]+""))
),
0
)"),0.0)</f>
        <v>0</v>
      </c>
      <c r="E8881" s="1" t="s">
        <v>11</v>
      </c>
      <c r="F8881" s="1" t="s">
        <v>12</v>
      </c>
      <c r="G8881" s="4" t="b">
        <f t="shared" si="2"/>
        <v>1</v>
      </c>
      <c r="H8881" s="1" t="str">
        <f t="shared" si="3"/>
        <v>Currently Unavailable</v>
      </c>
      <c r="I8881" s="1" t="str">
        <f t="shared" si="4"/>
        <v>No Badges</v>
      </c>
      <c r="J8881" s="3">
        <f t="shared" si="5"/>
        <v>0</v>
      </c>
    </row>
    <row r="8882">
      <c r="A8882" s="1" t="s">
        <v>6795</v>
      </c>
      <c r="B8882" s="3" t="str">
        <f t="shared" si="1"/>
        <v>Unavailable</v>
      </c>
      <c r="C8882" s="5">
        <v>4636.0</v>
      </c>
      <c r="D8882" s="3">
        <f>IFERROR(__xludf.DUMMYFUNCTION("IFERROR(
IF(REGEXMATCH(LOWER(O8882),""k""),
VALUE(REGEXEXTRACT(O8882,""[0-9]+""))*1000,
VALUE(REGEXEXTRACT(O8882,""[0-9]+""))
),
0
)"),0.0)</f>
        <v>0</v>
      </c>
      <c r="E8882" s="1" t="s">
        <v>11</v>
      </c>
      <c r="F8882" s="1" t="s">
        <v>20</v>
      </c>
      <c r="G8882" s="4" t="b">
        <f t="shared" si="2"/>
        <v>1</v>
      </c>
      <c r="H8882" s="1" t="str">
        <f t="shared" si="3"/>
        <v>Currently Unavailable</v>
      </c>
      <c r="I8882" s="1" t="str">
        <f t="shared" si="4"/>
        <v>No Badges</v>
      </c>
      <c r="J8882" s="3">
        <f t="shared" si="5"/>
        <v>0</v>
      </c>
    </row>
    <row r="8883">
      <c r="A8883" s="1" t="s">
        <v>6796</v>
      </c>
      <c r="B8883" s="3" t="str">
        <f t="shared" si="1"/>
        <v>Unavailable</v>
      </c>
      <c r="C8883" s="5">
        <v>9296.0</v>
      </c>
      <c r="D8883" s="3">
        <f>IFERROR(__xludf.DUMMYFUNCTION("IFERROR(
IF(REGEXMATCH(LOWER(O8883),""k""),
VALUE(REGEXEXTRACT(O8883,""[0-9]+""))*1000,
VALUE(REGEXEXTRACT(O8883,""[0-9]+""))
),
0
)"),0.0)</f>
        <v>0</v>
      </c>
      <c r="E8883" s="1" t="s">
        <v>11</v>
      </c>
      <c r="F8883" s="1" t="s">
        <v>20</v>
      </c>
      <c r="G8883" s="4" t="b">
        <f t="shared" si="2"/>
        <v>1</v>
      </c>
      <c r="H8883" s="1" t="str">
        <f t="shared" si="3"/>
        <v>Currently Unavailable</v>
      </c>
      <c r="I8883" s="1" t="str">
        <f t="shared" si="4"/>
        <v>No Badges</v>
      </c>
      <c r="J8883" s="3">
        <f t="shared" si="5"/>
        <v>0</v>
      </c>
    </row>
    <row r="8884">
      <c r="A8884" s="1" t="s">
        <v>6797</v>
      </c>
      <c r="B8884" s="3" t="str">
        <f t="shared" si="1"/>
        <v>Unavailable</v>
      </c>
      <c r="C8884" s="5">
        <v>5088.0</v>
      </c>
      <c r="D8884" s="3">
        <f>IFERROR(__xludf.DUMMYFUNCTION("IFERROR(
IF(REGEXMATCH(LOWER(O8884),""k""),
VALUE(REGEXEXTRACT(O8884,""[0-9]+""))*1000,
VALUE(REGEXEXTRACT(O8884,""[0-9]+""))
),
0
)"),0.0)</f>
        <v>0</v>
      </c>
      <c r="E8884" s="1" t="s">
        <v>11</v>
      </c>
      <c r="F8884" s="1" t="s">
        <v>20</v>
      </c>
      <c r="G8884" s="4" t="b">
        <f t="shared" si="2"/>
        <v>1</v>
      </c>
      <c r="H8884" s="1" t="str">
        <f t="shared" si="3"/>
        <v>Currently Unavailable</v>
      </c>
      <c r="I8884" s="1" t="str">
        <f t="shared" si="4"/>
        <v>No Badges</v>
      </c>
      <c r="J8884" s="3">
        <f t="shared" si="5"/>
        <v>0</v>
      </c>
    </row>
    <row r="8885">
      <c r="A8885" s="1" t="s">
        <v>5817</v>
      </c>
      <c r="B8885" s="3" t="str">
        <f t="shared" si="1"/>
        <v>Unavailable</v>
      </c>
      <c r="C8885" s="5">
        <v>7235.0</v>
      </c>
      <c r="D8885" s="3">
        <f>IFERROR(__xludf.DUMMYFUNCTION("IFERROR(
IF(REGEXMATCH(LOWER(O8885),""k""),
VALUE(REGEXEXTRACT(O8885,""[0-9]+""))*1000,
VALUE(REGEXEXTRACT(O8885,""[0-9]+""))
),
0
)"),0.0)</f>
        <v>0</v>
      </c>
      <c r="E8885" s="1" t="s">
        <v>11</v>
      </c>
      <c r="F8885" s="1" t="s">
        <v>12</v>
      </c>
      <c r="G8885" s="4" t="b">
        <f t="shared" si="2"/>
        <v>1</v>
      </c>
      <c r="H8885" s="1" t="str">
        <f t="shared" si="3"/>
        <v>Currently Unavailable</v>
      </c>
      <c r="I8885" s="1" t="str">
        <f t="shared" si="4"/>
        <v>No Badges</v>
      </c>
      <c r="J8885" s="3">
        <f t="shared" si="5"/>
        <v>0</v>
      </c>
    </row>
    <row r="8886">
      <c r="A8886" s="1" t="s">
        <v>6798</v>
      </c>
      <c r="B8886" s="3" t="str">
        <f t="shared" si="1"/>
        <v>Unavailable</v>
      </c>
      <c r="C8886" s="3">
        <v>264.0</v>
      </c>
      <c r="D8886" s="3">
        <f>IFERROR(__xludf.DUMMYFUNCTION("IFERROR(
IF(REGEXMATCH(LOWER(O8886),""k""),
VALUE(REGEXEXTRACT(O8886,""[0-9]+""))*1000,
VALUE(REGEXEXTRACT(O8886,""[0-9]+""))
),
0
)"),0.0)</f>
        <v>0</v>
      </c>
      <c r="E8886" s="1" t="s">
        <v>11</v>
      </c>
      <c r="F8886" s="1" t="s">
        <v>20</v>
      </c>
      <c r="G8886" s="4" t="b">
        <f t="shared" si="2"/>
        <v>1</v>
      </c>
      <c r="H8886" s="1" t="str">
        <f t="shared" si="3"/>
        <v>Currently Unavailable</v>
      </c>
      <c r="I8886" s="1" t="str">
        <f t="shared" si="4"/>
        <v>No Badges</v>
      </c>
      <c r="J8886" s="3">
        <f t="shared" si="5"/>
        <v>0</v>
      </c>
    </row>
    <row r="8887">
      <c r="A8887" s="1" t="s">
        <v>6799</v>
      </c>
      <c r="B8887" s="3" t="str">
        <f t="shared" si="1"/>
        <v>Unavailable</v>
      </c>
      <c r="C8887" s="5">
        <v>5664.0</v>
      </c>
      <c r="D8887" s="3">
        <f>IFERROR(__xludf.DUMMYFUNCTION("IFERROR(
IF(REGEXMATCH(LOWER(O8887),""k""),
VALUE(REGEXEXTRACT(O8887,""[0-9]+""))*1000,
VALUE(REGEXEXTRACT(O8887,""[0-9]+""))
),
0
)"),0.0)</f>
        <v>0</v>
      </c>
      <c r="E8887" s="1" t="s">
        <v>11</v>
      </c>
      <c r="F8887" s="1" t="s">
        <v>20</v>
      </c>
      <c r="G8887" s="4" t="b">
        <f t="shared" si="2"/>
        <v>1</v>
      </c>
      <c r="H8887" s="1" t="str">
        <f t="shared" si="3"/>
        <v>Currently Unavailable</v>
      </c>
      <c r="I8887" s="1" t="str">
        <f t="shared" si="4"/>
        <v>No Badges</v>
      </c>
      <c r="J8887" s="3">
        <f t="shared" si="5"/>
        <v>0</v>
      </c>
    </row>
    <row r="8888">
      <c r="A8888" s="1" t="s">
        <v>6711</v>
      </c>
      <c r="B8888" s="3" t="str">
        <f t="shared" si="1"/>
        <v>Unavailable</v>
      </c>
      <c r="C8888" s="3">
        <v>259.0</v>
      </c>
      <c r="D8888" s="3">
        <f>IFERROR(__xludf.DUMMYFUNCTION("IFERROR(
IF(REGEXMATCH(LOWER(O8888),""k""),
VALUE(REGEXEXTRACT(O8888,""[0-9]+""))*1000,
VALUE(REGEXEXTRACT(O8888,""[0-9]+""))
),
0
)"),0.0)</f>
        <v>0</v>
      </c>
      <c r="E8888" s="1" t="s">
        <v>11</v>
      </c>
      <c r="F8888" s="1" t="s">
        <v>12</v>
      </c>
      <c r="G8888" s="4" t="b">
        <f t="shared" si="2"/>
        <v>1</v>
      </c>
      <c r="H8888" s="1" t="str">
        <f t="shared" si="3"/>
        <v>Currently Unavailable</v>
      </c>
      <c r="I8888" s="1" t="str">
        <f t="shared" si="4"/>
        <v>No Badges</v>
      </c>
      <c r="J8888" s="3">
        <f t="shared" si="5"/>
        <v>0</v>
      </c>
    </row>
    <row r="8889">
      <c r="A8889" s="1" t="s">
        <v>6661</v>
      </c>
      <c r="B8889" s="3" t="str">
        <f t="shared" si="1"/>
        <v>Unavailable</v>
      </c>
      <c r="C8889" s="3">
        <v>24.0</v>
      </c>
      <c r="D8889" s="3">
        <f>IFERROR(__xludf.DUMMYFUNCTION("IFERROR(
IF(REGEXMATCH(LOWER(O8889),""k""),
VALUE(REGEXEXTRACT(O8889,""[0-9]+""))*1000,
VALUE(REGEXEXTRACT(O8889,""[0-9]+""))
),
0
)"),0.0)</f>
        <v>0</v>
      </c>
      <c r="E8889" s="1" t="s">
        <v>11</v>
      </c>
      <c r="F8889" s="1" t="s">
        <v>12</v>
      </c>
      <c r="G8889" s="4" t="b">
        <f t="shared" si="2"/>
        <v>1</v>
      </c>
      <c r="H8889" s="1" t="str">
        <f t="shared" si="3"/>
        <v>Currently Unavailable</v>
      </c>
      <c r="I8889" s="1" t="str">
        <f t="shared" si="4"/>
        <v>No Badges</v>
      </c>
      <c r="J8889" s="3">
        <f t="shared" si="5"/>
        <v>0</v>
      </c>
    </row>
    <row r="8890">
      <c r="A8890" s="1" t="s">
        <v>6800</v>
      </c>
      <c r="B8890" s="3" t="str">
        <f t="shared" si="1"/>
        <v>Unavailable</v>
      </c>
      <c r="C8890" s="5">
        <v>21626.0</v>
      </c>
      <c r="D8890" s="3">
        <f>IFERROR(__xludf.DUMMYFUNCTION("IFERROR(
IF(REGEXMATCH(LOWER(O8890),""k""),
VALUE(REGEXEXTRACT(O8890,""[0-9]+""))*1000,
VALUE(REGEXEXTRACT(O8890,""[0-9]+""))
),
0
)"),0.0)</f>
        <v>0</v>
      </c>
      <c r="E8890" s="1" t="s">
        <v>11</v>
      </c>
      <c r="F8890" s="1" t="s">
        <v>20</v>
      </c>
      <c r="G8890" s="4" t="b">
        <f t="shared" si="2"/>
        <v>1</v>
      </c>
      <c r="H8890" s="1" t="str">
        <f t="shared" si="3"/>
        <v>Currently Unavailable</v>
      </c>
      <c r="I8890" s="1" t="str">
        <f t="shared" si="4"/>
        <v>No Badges</v>
      </c>
      <c r="J8890" s="3">
        <f t="shared" si="5"/>
        <v>0</v>
      </c>
    </row>
    <row r="8891">
      <c r="A8891" s="1" t="s">
        <v>6801</v>
      </c>
      <c r="B8891" s="3" t="str">
        <f t="shared" si="1"/>
        <v>Unavailable</v>
      </c>
      <c r="C8891" s="5">
        <v>3788.0</v>
      </c>
      <c r="D8891" s="3">
        <f>IFERROR(__xludf.DUMMYFUNCTION("IFERROR(
IF(REGEXMATCH(LOWER(O8891),""k""),
VALUE(REGEXEXTRACT(O8891,""[0-9]+""))*1000,
VALUE(REGEXEXTRACT(O8891,""[0-9]+""))
),
0
)"),0.0)</f>
        <v>0</v>
      </c>
      <c r="E8891" s="1" t="s">
        <v>11</v>
      </c>
      <c r="F8891" s="1" t="s">
        <v>20</v>
      </c>
      <c r="G8891" s="4" t="b">
        <f t="shared" si="2"/>
        <v>1</v>
      </c>
      <c r="H8891" s="1" t="str">
        <f t="shared" si="3"/>
        <v>Currently Unavailable</v>
      </c>
      <c r="I8891" s="1" t="str">
        <f t="shared" si="4"/>
        <v>No Badges</v>
      </c>
      <c r="J8891" s="3">
        <f t="shared" si="5"/>
        <v>0</v>
      </c>
    </row>
    <row r="8892">
      <c r="A8892" s="1" t="s">
        <v>5817</v>
      </c>
      <c r="B8892" s="3" t="str">
        <f t="shared" si="1"/>
        <v>Unavailable</v>
      </c>
      <c r="C8892" s="5">
        <v>7235.0</v>
      </c>
      <c r="D8892" s="3">
        <f>IFERROR(__xludf.DUMMYFUNCTION("IFERROR(
IF(REGEXMATCH(LOWER(O8892),""k""),
VALUE(REGEXEXTRACT(O8892,""[0-9]+""))*1000,
VALUE(REGEXEXTRACT(O8892,""[0-9]+""))
),
0
)"),0.0)</f>
        <v>0</v>
      </c>
      <c r="E8892" s="1" t="s">
        <v>11</v>
      </c>
      <c r="F8892" s="1" t="s">
        <v>12</v>
      </c>
      <c r="G8892" s="4" t="b">
        <f t="shared" si="2"/>
        <v>1</v>
      </c>
      <c r="H8892" s="1" t="str">
        <f t="shared" si="3"/>
        <v>Currently Unavailable</v>
      </c>
      <c r="I8892" s="1" t="str">
        <f t="shared" si="4"/>
        <v>No Badges</v>
      </c>
      <c r="J8892" s="3">
        <f t="shared" si="5"/>
        <v>0</v>
      </c>
    </row>
    <row r="8893">
      <c r="A8893" s="1" t="s">
        <v>6802</v>
      </c>
      <c r="B8893" s="3" t="str">
        <f t="shared" si="1"/>
        <v>Unavailable</v>
      </c>
      <c r="C8893" s="3">
        <v>211.0</v>
      </c>
      <c r="D8893" s="3">
        <f>IFERROR(__xludf.DUMMYFUNCTION("IFERROR(
IF(REGEXMATCH(LOWER(O8893),""k""),
VALUE(REGEXEXTRACT(O8893,""[0-9]+""))*1000,
VALUE(REGEXEXTRACT(O8893,""[0-9]+""))
),
0
)"),0.0)</f>
        <v>0</v>
      </c>
      <c r="E8893" s="1" t="s">
        <v>11</v>
      </c>
      <c r="F8893" s="1" t="s">
        <v>20</v>
      </c>
      <c r="G8893" s="4" t="b">
        <f t="shared" si="2"/>
        <v>1</v>
      </c>
      <c r="H8893" s="1" t="str">
        <f t="shared" si="3"/>
        <v>Currently Unavailable</v>
      </c>
      <c r="I8893" s="1" t="str">
        <f t="shared" si="4"/>
        <v>No Badges</v>
      </c>
      <c r="J8893" s="3">
        <f t="shared" si="5"/>
        <v>0</v>
      </c>
    </row>
    <row r="8894">
      <c r="A8894" s="1" t="s">
        <v>6803</v>
      </c>
      <c r="B8894" s="3" t="str">
        <f t="shared" si="1"/>
        <v>Unavailable</v>
      </c>
      <c r="C8894" s="3">
        <v>25.0</v>
      </c>
      <c r="D8894" s="3">
        <f>IFERROR(__xludf.DUMMYFUNCTION("IFERROR(
IF(REGEXMATCH(LOWER(O8894),""k""),
VALUE(REGEXEXTRACT(O8894,""[0-9]+""))*1000,
VALUE(REGEXEXTRACT(O8894,""[0-9]+""))
),
0
)"),0.0)</f>
        <v>0</v>
      </c>
      <c r="E8894" s="1" t="s">
        <v>11</v>
      </c>
      <c r="F8894" s="1" t="s">
        <v>20</v>
      </c>
      <c r="G8894" s="4" t="b">
        <f t="shared" si="2"/>
        <v>1</v>
      </c>
      <c r="H8894" s="1" t="str">
        <f t="shared" si="3"/>
        <v>Currently Unavailable</v>
      </c>
      <c r="I8894" s="1" t="str">
        <f t="shared" si="4"/>
        <v>No Badges</v>
      </c>
      <c r="J8894" s="3">
        <f t="shared" si="5"/>
        <v>0</v>
      </c>
    </row>
    <row r="8895">
      <c r="A8895" s="1" t="s">
        <v>6804</v>
      </c>
      <c r="B8895" s="3" t="str">
        <f t="shared" si="1"/>
        <v>Unavailable</v>
      </c>
      <c r="C8895" s="3">
        <v>526.0</v>
      </c>
      <c r="D8895" s="3">
        <f>IFERROR(__xludf.DUMMYFUNCTION("IFERROR(
IF(REGEXMATCH(LOWER(O8895),""k""),
VALUE(REGEXEXTRACT(O8895,""[0-9]+""))*1000,
VALUE(REGEXEXTRACT(O8895,""[0-9]+""))
),
0
)"),0.0)</f>
        <v>0</v>
      </c>
      <c r="E8895" s="1" t="s">
        <v>158</v>
      </c>
      <c r="F8895" s="1" t="s">
        <v>20</v>
      </c>
      <c r="G8895" s="4" t="b">
        <f t="shared" si="2"/>
        <v>1</v>
      </c>
      <c r="H8895" s="1" t="str">
        <f t="shared" si="3"/>
        <v>Currently Unavailable</v>
      </c>
      <c r="I8895" s="1" t="str">
        <f t="shared" si="4"/>
        <v>No Badges</v>
      </c>
      <c r="J8895" s="3">
        <f t="shared" si="5"/>
        <v>0</v>
      </c>
    </row>
    <row r="8896">
      <c r="A8896" s="1" t="s">
        <v>6805</v>
      </c>
      <c r="B8896" s="3" t="str">
        <f t="shared" si="1"/>
        <v>Unavailable</v>
      </c>
      <c r="C8896" s="5">
        <v>1364.0</v>
      </c>
      <c r="D8896" s="3">
        <f>IFERROR(__xludf.DUMMYFUNCTION("IFERROR(
IF(REGEXMATCH(LOWER(O8896),""k""),
VALUE(REGEXEXTRACT(O8896,""[0-9]+""))*1000,
VALUE(REGEXEXTRACT(O8896,""[0-9]+""))
),
0
)"),0.0)</f>
        <v>0</v>
      </c>
      <c r="E8896" s="1" t="s">
        <v>11</v>
      </c>
      <c r="F8896" s="1" t="s">
        <v>20</v>
      </c>
      <c r="G8896" s="4" t="b">
        <f t="shared" si="2"/>
        <v>1</v>
      </c>
      <c r="H8896" s="1" t="str">
        <f t="shared" si="3"/>
        <v>Currently Unavailable</v>
      </c>
      <c r="I8896" s="1" t="str">
        <f t="shared" si="4"/>
        <v>No Badges</v>
      </c>
      <c r="J8896" s="3">
        <f t="shared" si="5"/>
        <v>0</v>
      </c>
    </row>
    <row r="8897">
      <c r="A8897" s="1" t="s">
        <v>6806</v>
      </c>
      <c r="B8897" s="3" t="str">
        <f t="shared" si="1"/>
        <v>Unavailable</v>
      </c>
      <c r="C8897" s="5">
        <v>3669.0</v>
      </c>
      <c r="D8897" s="3">
        <f>IFERROR(__xludf.DUMMYFUNCTION("IFERROR(
IF(REGEXMATCH(LOWER(O8897),""k""),
VALUE(REGEXEXTRACT(O8897,""[0-9]+""))*1000,
VALUE(REGEXEXTRACT(O8897,""[0-9]+""))
),
0
)"),0.0)</f>
        <v>0</v>
      </c>
      <c r="E8897" s="1" t="s">
        <v>11</v>
      </c>
      <c r="F8897" s="1" t="s">
        <v>20</v>
      </c>
      <c r="G8897" s="4" t="b">
        <f t="shared" si="2"/>
        <v>1</v>
      </c>
      <c r="H8897" s="1" t="str">
        <f t="shared" si="3"/>
        <v>Currently Unavailable</v>
      </c>
      <c r="I8897" s="1" t="str">
        <f t="shared" si="4"/>
        <v>No Badges</v>
      </c>
      <c r="J8897" s="3">
        <f t="shared" si="5"/>
        <v>0</v>
      </c>
    </row>
    <row r="8898">
      <c r="A8898" s="1" t="s">
        <v>5817</v>
      </c>
      <c r="B8898" s="3" t="str">
        <f t="shared" si="1"/>
        <v>Unavailable</v>
      </c>
      <c r="C8898" s="5">
        <v>7235.0</v>
      </c>
      <c r="D8898" s="3">
        <f>IFERROR(__xludf.DUMMYFUNCTION("IFERROR(
IF(REGEXMATCH(LOWER(O8898),""k""),
VALUE(REGEXEXTRACT(O8898,""[0-9]+""))*1000,
VALUE(REGEXEXTRACT(O8898,""[0-9]+""))
),
0
)"),0.0)</f>
        <v>0</v>
      </c>
      <c r="E8898" s="1" t="s">
        <v>11</v>
      </c>
      <c r="F8898" s="1" t="s">
        <v>12</v>
      </c>
      <c r="G8898" s="4" t="b">
        <f t="shared" si="2"/>
        <v>1</v>
      </c>
      <c r="H8898" s="1" t="str">
        <f t="shared" si="3"/>
        <v>Currently Unavailable</v>
      </c>
      <c r="I8898" s="1" t="str">
        <f t="shared" si="4"/>
        <v>No Badges</v>
      </c>
      <c r="J8898" s="3">
        <f t="shared" si="5"/>
        <v>0</v>
      </c>
    </row>
    <row r="8899">
      <c r="A8899" s="1" t="s">
        <v>6807</v>
      </c>
      <c r="B8899" s="3" t="str">
        <f t="shared" si="1"/>
        <v>Unavailable</v>
      </c>
      <c r="C8899" s="3">
        <v>667.0</v>
      </c>
      <c r="D8899" s="3">
        <f>IFERROR(__xludf.DUMMYFUNCTION("IFERROR(
IF(REGEXMATCH(LOWER(O8899),""k""),
VALUE(REGEXEXTRACT(O8899,""[0-9]+""))*1000,
VALUE(REGEXEXTRACT(O8899,""[0-9]+""))
),
0
)"),0.0)</f>
        <v>0</v>
      </c>
      <c r="E8899" s="1" t="s">
        <v>11</v>
      </c>
      <c r="F8899" s="1" t="s">
        <v>20</v>
      </c>
      <c r="G8899" s="4" t="b">
        <f t="shared" si="2"/>
        <v>1</v>
      </c>
      <c r="H8899" s="1" t="str">
        <f t="shared" si="3"/>
        <v>Currently Unavailable</v>
      </c>
      <c r="I8899" s="1" t="str">
        <f t="shared" si="4"/>
        <v>No Badges</v>
      </c>
      <c r="J8899" s="3">
        <f t="shared" si="5"/>
        <v>0</v>
      </c>
    </row>
    <row r="8900">
      <c r="A8900" s="1" t="s">
        <v>6808</v>
      </c>
      <c r="B8900" s="3" t="str">
        <f t="shared" si="1"/>
        <v>Unavailable</v>
      </c>
      <c r="C8900" s="3">
        <v>214.0</v>
      </c>
      <c r="D8900" s="3">
        <f>IFERROR(__xludf.DUMMYFUNCTION("IFERROR(
IF(REGEXMATCH(LOWER(O8900),""k""),
VALUE(REGEXEXTRACT(O8900,""[0-9]+""))*1000,
VALUE(REGEXEXTRACT(O8900,""[0-9]+""))
),
0
)"),0.0)</f>
        <v>0</v>
      </c>
      <c r="E8900" s="1" t="s">
        <v>11</v>
      </c>
      <c r="F8900" s="1" t="s">
        <v>20</v>
      </c>
      <c r="G8900" s="4" t="b">
        <f t="shared" si="2"/>
        <v>1</v>
      </c>
      <c r="H8900" s="1" t="str">
        <f t="shared" si="3"/>
        <v>Currently Unavailable</v>
      </c>
      <c r="I8900" s="1" t="str">
        <f t="shared" si="4"/>
        <v>No Badges</v>
      </c>
      <c r="J8900" s="3">
        <f t="shared" si="5"/>
        <v>0</v>
      </c>
    </row>
    <row r="8901">
      <c r="A8901" s="1" t="s">
        <v>6809</v>
      </c>
      <c r="B8901" s="3" t="str">
        <f t="shared" si="1"/>
        <v>Unavailable</v>
      </c>
      <c r="C8901" s="3">
        <v>714.0</v>
      </c>
      <c r="D8901" s="3">
        <f>IFERROR(__xludf.DUMMYFUNCTION("IFERROR(
IF(REGEXMATCH(LOWER(O8901),""k""),
VALUE(REGEXEXTRACT(O8901,""[0-9]+""))*1000,
VALUE(REGEXEXTRACT(O8901,""[0-9]+""))
),
0
)"),0.0)</f>
        <v>0</v>
      </c>
      <c r="E8901" s="1" t="s">
        <v>11</v>
      </c>
      <c r="F8901" s="1" t="s">
        <v>20</v>
      </c>
      <c r="G8901" s="4" t="b">
        <f t="shared" si="2"/>
        <v>1</v>
      </c>
      <c r="H8901" s="1" t="str">
        <f t="shared" si="3"/>
        <v>Currently Unavailable</v>
      </c>
      <c r="I8901" s="1" t="str">
        <f t="shared" si="4"/>
        <v>No Badges</v>
      </c>
      <c r="J8901" s="3">
        <f t="shared" si="5"/>
        <v>0</v>
      </c>
    </row>
    <row r="8902">
      <c r="A8902" s="1" t="s">
        <v>6810</v>
      </c>
      <c r="B8902" s="3" t="str">
        <f t="shared" si="1"/>
        <v>Unavailable</v>
      </c>
      <c r="C8902" s="5">
        <v>8240.0</v>
      </c>
      <c r="D8902" s="3">
        <f>IFERROR(__xludf.DUMMYFUNCTION("IFERROR(
IF(REGEXMATCH(LOWER(O8902),""k""),
VALUE(REGEXEXTRACT(O8902,""[0-9]+""))*1000,
VALUE(REGEXEXTRACT(O8902,""[0-9]+""))
),
0
)"),0.0)</f>
        <v>0</v>
      </c>
      <c r="E8902" s="1" t="s">
        <v>11</v>
      </c>
      <c r="F8902" s="1" t="s">
        <v>20</v>
      </c>
      <c r="G8902" s="4" t="b">
        <f t="shared" si="2"/>
        <v>1</v>
      </c>
      <c r="H8902" s="1" t="str">
        <f t="shared" si="3"/>
        <v>Currently Unavailable</v>
      </c>
      <c r="I8902" s="1" t="str">
        <f t="shared" si="4"/>
        <v>No Badges</v>
      </c>
      <c r="J8902" s="3">
        <f t="shared" si="5"/>
        <v>0</v>
      </c>
    </row>
    <row r="8903">
      <c r="A8903" s="1" t="s">
        <v>6811</v>
      </c>
      <c r="B8903" s="3" t="str">
        <f t="shared" si="1"/>
        <v>Unavailable</v>
      </c>
      <c r="C8903" s="3">
        <v>250.0</v>
      </c>
      <c r="D8903" s="3">
        <f>IFERROR(__xludf.DUMMYFUNCTION("IFERROR(
IF(REGEXMATCH(LOWER(O8903),""k""),
VALUE(REGEXEXTRACT(O8903,""[0-9]+""))*1000,
VALUE(REGEXEXTRACT(O8903,""[0-9]+""))
),
0
)"),0.0)</f>
        <v>0</v>
      </c>
      <c r="E8903" s="1" t="s">
        <v>11</v>
      </c>
      <c r="F8903" s="1" t="s">
        <v>20</v>
      </c>
      <c r="G8903" s="4" t="b">
        <f t="shared" si="2"/>
        <v>1</v>
      </c>
      <c r="H8903" s="1" t="str">
        <f t="shared" si="3"/>
        <v>Currently Unavailable</v>
      </c>
      <c r="I8903" s="1" t="str">
        <f t="shared" si="4"/>
        <v>No Badges</v>
      </c>
      <c r="J8903" s="3">
        <f t="shared" si="5"/>
        <v>0</v>
      </c>
    </row>
    <row r="8904">
      <c r="A8904" s="1" t="s">
        <v>88</v>
      </c>
      <c r="B8904" s="3" t="str">
        <f t="shared" si="1"/>
        <v>Unavailable</v>
      </c>
      <c r="C8904" s="3">
        <v>6.0</v>
      </c>
      <c r="D8904" s="3">
        <f>IFERROR(__xludf.DUMMYFUNCTION("IFERROR(
IF(REGEXMATCH(LOWER(O8904),""k""),
VALUE(REGEXEXTRACT(O8904,""[0-9]+""))*1000,
VALUE(REGEXEXTRACT(O8904,""[0-9]+""))
),
0
)"),0.0)</f>
        <v>0</v>
      </c>
      <c r="E8904" s="1" t="s">
        <v>11</v>
      </c>
      <c r="F8904" s="1" t="s">
        <v>12</v>
      </c>
      <c r="G8904" s="4" t="b">
        <f t="shared" si="2"/>
        <v>1</v>
      </c>
      <c r="H8904" s="1" t="str">
        <f t="shared" si="3"/>
        <v>Currently Unavailable</v>
      </c>
      <c r="I8904" s="1" t="str">
        <f t="shared" si="4"/>
        <v>No Badges</v>
      </c>
      <c r="J8904" s="3">
        <f t="shared" si="5"/>
        <v>0</v>
      </c>
    </row>
    <row r="8905">
      <c r="A8905" s="1" t="s">
        <v>6812</v>
      </c>
      <c r="B8905" s="3" t="str">
        <f t="shared" si="1"/>
        <v>Unavailable</v>
      </c>
      <c r="C8905" s="5">
        <v>1828.0</v>
      </c>
      <c r="D8905" s="3">
        <f>IFERROR(__xludf.DUMMYFUNCTION("IFERROR(
IF(REGEXMATCH(LOWER(O8905),""k""),
VALUE(REGEXEXTRACT(O8905,""[0-9]+""))*1000,
VALUE(REGEXEXTRACT(O8905,""[0-9]+""))
),
0
)"),0.0)</f>
        <v>0</v>
      </c>
      <c r="E8905" s="1" t="s">
        <v>11</v>
      </c>
      <c r="F8905" s="1" t="s">
        <v>20</v>
      </c>
      <c r="G8905" s="4" t="b">
        <f t="shared" si="2"/>
        <v>1</v>
      </c>
      <c r="H8905" s="1" t="str">
        <f t="shared" si="3"/>
        <v>Currently Unavailable</v>
      </c>
      <c r="I8905" s="1" t="str">
        <f t="shared" si="4"/>
        <v>No Badges</v>
      </c>
      <c r="J8905" s="3">
        <f t="shared" si="5"/>
        <v>0</v>
      </c>
    </row>
    <row r="8906">
      <c r="A8906" s="1" t="s">
        <v>6813</v>
      </c>
      <c r="B8906" s="3" t="str">
        <f t="shared" si="1"/>
        <v>Unavailable</v>
      </c>
      <c r="C8906" s="3">
        <v>486.0</v>
      </c>
      <c r="D8906" s="3">
        <f>IFERROR(__xludf.DUMMYFUNCTION("IFERROR(
IF(REGEXMATCH(LOWER(O8906),""k""),
VALUE(REGEXEXTRACT(O8906,""[0-9]+""))*1000,
VALUE(REGEXEXTRACT(O8906,""[0-9]+""))
),
0
)"),0.0)</f>
        <v>0</v>
      </c>
      <c r="E8906" s="1" t="s">
        <v>11</v>
      </c>
      <c r="F8906" s="1" t="s">
        <v>20</v>
      </c>
      <c r="G8906" s="4" t="b">
        <f t="shared" si="2"/>
        <v>1</v>
      </c>
      <c r="H8906" s="1" t="str">
        <f t="shared" si="3"/>
        <v>Currently Unavailable</v>
      </c>
      <c r="I8906" s="1" t="str">
        <f t="shared" si="4"/>
        <v>No Badges</v>
      </c>
      <c r="J8906" s="3">
        <f t="shared" si="5"/>
        <v>0</v>
      </c>
    </row>
    <row r="8907">
      <c r="A8907" s="1" t="s">
        <v>6650</v>
      </c>
      <c r="B8907" s="3" t="str">
        <f t="shared" si="1"/>
        <v>Unavailable</v>
      </c>
      <c r="C8907" s="3">
        <v>3.0</v>
      </c>
      <c r="D8907" s="3">
        <f>IFERROR(__xludf.DUMMYFUNCTION("IFERROR(
IF(REGEXMATCH(LOWER(O8907),""k""),
VALUE(REGEXEXTRACT(O8907,""[0-9]+""))*1000,
VALUE(REGEXEXTRACT(O8907,""[0-9]+""))
),
0
)"),0.0)</f>
        <v>0</v>
      </c>
      <c r="E8907" s="1" t="s">
        <v>11</v>
      </c>
      <c r="F8907" s="1" t="s">
        <v>12</v>
      </c>
      <c r="G8907" s="4" t="b">
        <f t="shared" si="2"/>
        <v>1</v>
      </c>
      <c r="H8907" s="1" t="str">
        <f t="shared" si="3"/>
        <v>Currently Unavailable</v>
      </c>
      <c r="I8907" s="1" t="str">
        <f t="shared" si="4"/>
        <v>No Badges</v>
      </c>
      <c r="J8907" s="3">
        <f t="shared" si="5"/>
        <v>0</v>
      </c>
    </row>
    <row r="8908">
      <c r="A8908" s="1" t="s">
        <v>88</v>
      </c>
      <c r="B8908" s="3" t="str">
        <f t="shared" si="1"/>
        <v>Unavailable</v>
      </c>
      <c r="C8908" s="3">
        <v>6.0</v>
      </c>
      <c r="D8908" s="3">
        <f>IFERROR(__xludf.DUMMYFUNCTION("IFERROR(
IF(REGEXMATCH(LOWER(O8908),""k""),
VALUE(REGEXEXTRACT(O8908,""[0-9]+""))*1000,
VALUE(REGEXEXTRACT(O8908,""[0-9]+""))
),
0
)"),0.0)</f>
        <v>0</v>
      </c>
      <c r="E8908" s="1" t="s">
        <v>11</v>
      </c>
      <c r="F8908" s="1" t="s">
        <v>12</v>
      </c>
      <c r="G8908" s="4" t="b">
        <f t="shared" si="2"/>
        <v>1</v>
      </c>
      <c r="H8908" s="1" t="str">
        <f t="shared" si="3"/>
        <v>Currently Unavailable</v>
      </c>
      <c r="I8908" s="1" t="str">
        <f t="shared" si="4"/>
        <v>No Badges</v>
      </c>
      <c r="J8908" s="3">
        <f t="shared" si="5"/>
        <v>0</v>
      </c>
    </row>
    <row r="8909">
      <c r="A8909" s="1" t="s">
        <v>5817</v>
      </c>
      <c r="B8909" s="3" t="str">
        <f t="shared" si="1"/>
        <v>Unavailable</v>
      </c>
      <c r="C8909" s="5">
        <v>7235.0</v>
      </c>
      <c r="D8909" s="3">
        <f>IFERROR(__xludf.DUMMYFUNCTION("IFERROR(
IF(REGEXMATCH(LOWER(O8909),""k""),
VALUE(REGEXEXTRACT(O8909,""[0-9]+""))*1000,
VALUE(REGEXEXTRACT(O8909,""[0-9]+""))
),
0
)"),0.0)</f>
        <v>0</v>
      </c>
      <c r="E8909" s="1" t="s">
        <v>11</v>
      </c>
      <c r="F8909" s="1" t="s">
        <v>12</v>
      </c>
      <c r="G8909" s="4" t="b">
        <f t="shared" si="2"/>
        <v>1</v>
      </c>
      <c r="H8909" s="1" t="str">
        <f t="shared" si="3"/>
        <v>Currently Unavailable</v>
      </c>
      <c r="I8909" s="1" t="str">
        <f t="shared" si="4"/>
        <v>No Badges</v>
      </c>
      <c r="J8909" s="3">
        <f t="shared" si="5"/>
        <v>0</v>
      </c>
    </row>
    <row r="8910">
      <c r="A8910" s="1" t="s">
        <v>6814</v>
      </c>
      <c r="B8910" s="3" t="str">
        <f t="shared" si="1"/>
        <v>Unavailable</v>
      </c>
      <c r="C8910" s="3">
        <v>509.0</v>
      </c>
      <c r="D8910" s="3">
        <f>IFERROR(__xludf.DUMMYFUNCTION("IFERROR(
IF(REGEXMATCH(LOWER(O8910),""k""),
VALUE(REGEXEXTRACT(O8910,""[0-9]+""))*1000,
VALUE(REGEXEXTRACT(O8910,""[0-9]+""))
),
0
)"),0.0)</f>
        <v>0</v>
      </c>
      <c r="E8910" s="1" t="s">
        <v>11</v>
      </c>
      <c r="F8910" s="1" t="s">
        <v>20</v>
      </c>
      <c r="G8910" s="4" t="b">
        <f t="shared" si="2"/>
        <v>1</v>
      </c>
      <c r="H8910" s="1" t="str">
        <f t="shared" si="3"/>
        <v>Currently Unavailable</v>
      </c>
      <c r="I8910" s="1" t="str">
        <f t="shared" si="4"/>
        <v>No Badges</v>
      </c>
      <c r="J8910" s="3">
        <f t="shared" si="5"/>
        <v>0</v>
      </c>
    </row>
    <row r="8911">
      <c r="A8911" s="1" t="s">
        <v>6815</v>
      </c>
      <c r="B8911" s="3" t="str">
        <f t="shared" si="1"/>
        <v>Unavailable</v>
      </c>
      <c r="C8911" s="5">
        <v>8837.0</v>
      </c>
      <c r="D8911" s="3">
        <f>IFERROR(__xludf.DUMMYFUNCTION("IFERROR(
IF(REGEXMATCH(LOWER(O8911),""k""),
VALUE(REGEXEXTRACT(O8911,""[0-9]+""))*1000,
VALUE(REGEXEXTRACT(O8911,""[0-9]+""))
),
0
)"),0.0)</f>
        <v>0</v>
      </c>
      <c r="E8911" s="1" t="s">
        <v>11</v>
      </c>
      <c r="F8911" s="1" t="s">
        <v>20</v>
      </c>
      <c r="G8911" s="4" t="b">
        <f t="shared" si="2"/>
        <v>1</v>
      </c>
      <c r="H8911" s="1" t="str">
        <f t="shared" si="3"/>
        <v>Currently Unavailable</v>
      </c>
      <c r="I8911" s="1" t="str">
        <f t="shared" si="4"/>
        <v>No Badges</v>
      </c>
      <c r="J8911" s="3">
        <f t="shared" si="5"/>
        <v>0</v>
      </c>
    </row>
    <row r="8912">
      <c r="A8912" s="1" t="s">
        <v>6816</v>
      </c>
      <c r="B8912" s="3" t="str">
        <f t="shared" si="1"/>
        <v>Unavailable</v>
      </c>
      <c r="C8912" s="3">
        <v>478.0</v>
      </c>
      <c r="D8912" s="3">
        <f>IFERROR(__xludf.DUMMYFUNCTION("IFERROR(
IF(REGEXMATCH(LOWER(O8912),""k""),
VALUE(REGEXEXTRACT(O8912,""[0-9]+""))*1000,
VALUE(REGEXEXTRACT(O8912,""[0-9]+""))
),
0
)"),0.0)</f>
        <v>0</v>
      </c>
      <c r="E8912" s="1" t="s">
        <v>11</v>
      </c>
      <c r="F8912" s="1" t="s">
        <v>20</v>
      </c>
      <c r="G8912" s="4" t="b">
        <f t="shared" si="2"/>
        <v>1</v>
      </c>
      <c r="H8912" s="1" t="str">
        <f t="shared" si="3"/>
        <v>Currently Unavailable</v>
      </c>
      <c r="I8912" s="1" t="str">
        <f t="shared" si="4"/>
        <v>No Badges</v>
      </c>
      <c r="J8912" s="3">
        <f t="shared" si="5"/>
        <v>0</v>
      </c>
    </row>
    <row r="8913">
      <c r="A8913" s="1" t="s">
        <v>6817</v>
      </c>
      <c r="B8913" s="3" t="str">
        <f t="shared" si="1"/>
        <v>Unavailable</v>
      </c>
      <c r="C8913" s="5">
        <v>1627.0</v>
      </c>
      <c r="D8913" s="3">
        <f>IFERROR(__xludf.DUMMYFUNCTION("IFERROR(
IF(REGEXMATCH(LOWER(O8913),""k""),
VALUE(REGEXEXTRACT(O8913,""[0-9]+""))*1000,
VALUE(REGEXEXTRACT(O8913,""[0-9]+""))
),
0
)"),0.0)</f>
        <v>0</v>
      </c>
      <c r="E8913" s="1" t="s">
        <v>11</v>
      </c>
      <c r="F8913" s="1" t="s">
        <v>20</v>
      </c>
      <c r="G8913" s="4" t="b">
        <f t="shared" si="2"/>
        <v>1</v>
      </c>
      <c r="H8913" s="1" t="str">
        <f t="shared" si="3"/>
        <v>Currently Unavailable</v>
      </c>
      <c r="I8913" s="1" t="str">
        <f t="shared" si="4"/>
        <v>No Badges</v>
      </c>
      <c r="J8913" s="3">
        <f t="shared" si="5"/>
        <v>0</v>
      </c>
    </row>
    <row r="8914">
      <c r="A8914" s="1" t="s">
        <v>6818</v>
      </c>
      <c r="B8914" s="3" t="str">
        <f t="shared" si="1"/>
        <v>Unavailable</v>
      </c>
      <c r="C8914" s="5">
        <v>1929.0</v>
      </c>
      <c r="D8914" s="3">
        <f>IFERROR(__xludf.DUMMYFUNCTION("IFERROR(
IF(REGEXMATCH(LOWER(O8914),""k""),
VALUE(REGEXEXTRACT(O8914,""[0-9]+""))*1000,
VALUE(REGEXEXTRACT(O8914,""[0-9]+""))
),
0
)"),0.0)</f>
        <v>0</v>
      </c>
      <c r="E8914" s="1" t="s">
        <v>11</v>
      </c>
      <c r="F8914" s="1" t="s">
        <v>20</v>
      </c>
      <c r="G8914" s="4" t="b">
        <f t="shared" si="2"/>
        <v>1</v>
      </c>
      <c r="H8914" s="1" t="str">
        <f t="shared" si="3"/>
        <v>Currently Unavailable</v>
      </c>
      <c r="I8914" s="1" t="str">
        <f t="shared" si="4"/>
        <v>No Badges</v>
      </c>
      <c r="J8914" s="3">
        <f t="shared" si="5"/>
        <v>0</v>
      </c>
    </row>
    <row r="8915">
      <c r="A8915" s="1" t="s">
        <v>6819</v>
      </c>
      <c r="B8915" s="3" t="str">
        <f t="shared" si="1"/>
        <v>Unavailable</v>
      </c>
      <c r="C8915" s="5">
        <v>4472.0</v>
      </c>
      <c r="D8915" s="3">
        <f>IFERROR(__xludf.DUMMYFUNCTION("IFERROR(
IF(REGEXMATCH(LOWER(O8915),""k""),
VALUE(REGEXEXTRACT(O8915,""[0-9]+""))*1000,
VALUE(REGEXEXTRACT(O8915,""[0-9]+""))
),
0
)"),0.0)</f>
        <v>0</v>
      </c>
      <c r="E8915" s="1" t="s">
        <v>11</v>
      </c>
      <c r="F8915" s="1" t="s">
        <v>20</v>
      </c>
      <c r="G8915" s="4" t="b">
        <f t="shared" si="2"/>
        <v>1</v>
      </c>
      <c r="H8915" s="1" t="str">
        <f t="shared" si="3"/>
        <v>Currently Unavailable</v>
      </c>
      <c r="I8915" s="1" t="str">
        <f t="shared" si="4"/>
        <v>No Badges</v>
      </c>
      <c r="J8915" s="3">
        <f t="shared" si="5"/>
        <v>0</v>
      </c>
    </row>
    <row r="8916">
      <c r="A8916" s="1" t="s">
        <v>6820</v>
      </c>
      <c r="B8916" s="3" t="str">
        <f t="shared" si="1"/>
        <v>Unavailable</v>
      </c>
      <c r="C8916" s="5">
        <v>2002.0</v>
      </c>
      <c r="D8916" s="3">
        <f>IFERROR(__xludf.DUMMYFUNCTION("IFERROR(
IF(REGEXMATCH(LOWER(O8916),""k""),
VALUE(REGEXEXTRACT(O8916,""[0-9]+""))*1000,
VALUE(REGEXEXTRACT(O8916,""[0-9]+""))
),
0
)"),0.0)</f>
        <v>0</v>
      </c>
      <c r="E8916" s="1" t="s">
        <v>11</v>
      </c>
      <c r="F8916" s="1" t="s">
        <v>20</v>
      </c>
      <c r="G8916" s="4" t="b">
        <f t="shared" si="2"/>
        <v>1</v>
      </c>
      <c r="H8916" s="1" t="str">
        <f t="shared" si="3"/>
        <v>Currently Unavailable</v>
      </c>
      <c r="I8916" s="1" t="str">
        <f t="shared" si="4"/>
        <v>No Badges</v>
      </c>
      <c r="J8916" s="3">
        <f t="shared" si="5"/>
        <v>0</v>
      </c>
    </row>
    <row r="8917">
      <c r="A8917" s="1" t="s">
        <v>6821</v>
      </c>
      <c r="B8917" s="3" t="str">
        <f t="shared" si="1"/>
        <v>Unavailable</v>
      </c>
      <c r="C8917" s="5">
        <v>4449.0</v>
      </c>
      <c r="D8917" s="3">
        <f>IFERROR(__xludf.DUMMYFUNCTION("IFERROR(
IF(REGEXMATCH(LOWER(O8917),""k""),
VALUE(REGEXEXTRACT(O8917,""[0-9]+""))*1000,
VALUE(REGEXEXTRACT(O8917,""[0-9]+""))
),
0
)"),0.0)</f>
        <v>0</v>
      </c>
      <c r="E8917" s="1" t="s">
        <v>11</v>
      </c>
      <c r="F8917" s="1" t="s">
        <v>20</v>
      </c>
      <c r="G8917" s="4" t="b">
        <f t="shared" si="2"/>
        <v>1</v>
      </c>
      <c r="H8917" s="1" t="str">
        <f t="shared" si="3"/>
        <v>Currently Unavailable</v>
      </c>
      <c r="I8917" s="1" t="str">
        <f t="shared" si="4"/>
        <v>No Badges</v>
      </c>
      <c r="J8917" s="3">
        <f t="shared" si="5"/>
        <v>0</v>
      </c>
    </row>
    <row r="8918">
      <c r="A8918" s="1" t="s">
        <v>6822</v>
      </c>
      <c r="B8918" s="3" t="str">
        <f t="shared" si="1"/>
        <v>Unavailable</v>
      </c>
      <c r="C8918" s="3">
        <v>941.0</v>
      </c>
      <c r="D8918" s="3">
        <f>IFERROR(__xludf.DUMMYFUNCTION("IFERROR(
IF(REGEXMATCH(LOWER(O8918),""k""),
VALUE(REGEXEXTRACT(O8918,""[0-9]+""))*1000,
VALUE(REGEXEXTRACT(O8918,""[0-9]+""))
),
0
)"),0.0)</f>
        <v>0</v>
      </c>
      <c r="E8918" s="1" t="s">
        <v>11</v>
      </c>
      <c r="F8918" s="1" t="s">
        <v>20</v>
      </c>
      <c r="G8918" s="4" t="b">
        <f t="shared" si="2"/>
        <v>1</v>
      </c>
      <c r="H8918" s="1" t="str">
        <f t="shared" si="3"/>
        <v>Currently Unavailable</v>
      </c>
      <c r="I8918" s="1" t="str">
        <f t="shared" si="4"/>
        <v>No Badges</v>
      </c>
      <c r="J8918" s="3">
        <f t="shared" si="5"/>
        <v>0</v>
      </c>
    </row>
    <row r="8919">
      <c r="A8919" s="1" t="s">
        <v>5817</v>
      </c>
      <c r="B8919" s="3" t="str">
        <f t="shared" si="1"/>
        <v>Unavailable</v>
      </c>
      <c r="C8919" s="5">
        <v>7235.0</v>
      </c>
      <c r="D8919" s="3">
        <f>IFERROR(__xludf.DUMMYFUNCTION("IFERROR(
IF(REGEXMATCH(LOWER(O8919),""k""),
VALUE(REGEXEXTRACT(O8919,""[0-9]+""))*1000,
VALUE(REGEXEXTRACT(O8919,""[0-9]+""))
),
0
)"),0.0)</f>
        <v>0</v>
      </c>
      <c r="E8919" s="1" t="s">
        <v>11</v>
      </c>
      <c r="F8919" s="1" t="s">
        <v>12</v>
      </c>
      <c r="G8919" s="4" t="b">
        <f t="shared" si="2"/>
        <v>1</v>
      </c>
      <c r="H8919" s="1" t="str">
        <f t="shared" si="3"/>
        <v>Currently Unavailable</v>
      </c>
      <c r="I8919" s="1" t="str">
        <f t="shared" si="4"/>
        <v>No Badges</v>
      </c>
      <c r="J8919" s="3">
        <f t="shared" si="5"/>
        <v>0</v>
      </c>
    </row>
    <row r="8920">
      <c r="A8920" s="1" t="s">
        <v>6823</v>
      </c>
      <c r="B8920" s="3" t="str">
        <f t="shared" si="1"/>
        <v>Unavailable</v>
      </c>
      <c r="C8920" s="3">
        <v>226.0</v>
      </c>
      <c r="D8920" s="3">
        <f>IFERROR(__xludf.DUMMYFUNCTION("IFERROR(
IF(REGEXMATCH(LOWER(O8920),""k""),
VALUE(REGEXEXTRACT(O8920,""[0-9]+""))*1000,
VALUE(REGEXEXTRACT(O8920,""[0-9]+""))
),
0
)"),0.0)</f>
        <v>0</v>
      </c>
      <c r="E8920" s="1" t="s">
        <v>11</v>
      </c>
      <c r="F8920" s="1" t="s">
        <v>20</v>
      </c>
      <c r="G8920" s="4" t="b">
        <f t="shared" si="2"/>
        <v>1</v>
      </c>
      <c r="H8920" s="1" t="str">
        <f t="shared" si="3"/>
        <v>Currently Unavailable</v>
      </c>
      <c r="I8920" s="1" t="str">
        <f t="shared" si="4"/>
        <v>No Badges</v>
      </c>
      <c r="J8920" s="3">
        <f t="shared" si="5"/>
        <v>0</v>
      </c>
    </row>
    <row r="8921">
      <c r="A8921" s="1" t="s">
        <v>701</v>
      </c>
      <c r="B8921" s="3" t="str">
        <f t="shared" si="1"/>
        <v>Unavailable</v>
      </c>
      <c r="C8921" s="3">
        <v>8.0</v>
      </c>
      <c r="D8921" s="3">
        <f>IFERROR(__xludf.DUMMYFUNCTION("IFERROR(
IF(REGEXMATCH(LOWER(O8921),""k""),
VALUE(REGEXEXTRACT(O8921,""[0-9]+""))*1000,
VALUE(REGEXEXTRACT(O8921,""[0-9]+""))
),
0
)"),0.0)</f>
        <v>0</v>
      </c>
      <c r="E8921" s="1" t="s">
        <v>11</v>
      </c>
      <c r="F8921" s="1" t="s">
        <v>12</v>
      </c>
      <c r="G8921" s="4" t="b">
        <f t="shared" si="2"/>
        <v>1</v>
      </c>
      <c r="H8921" s="1" t="str">
        <f t="shared" si="3"/>
        <v>Currently Unavailable</v>
      </c>
      <c r="I8921" s="1" t="str">
        <f t="shared" si="4"/>
        <v>No Badges</v>
      </c>
      <c r="J8921" s="3">
        <f t="shared" si="5"/>
        <v>0</v>
      </c>
    </row>
    <row r="8922">
      <c r="A8922" s="1" t="s">
        <v>6661</v>
      </c>
      <c r="B8922" s="3" t="str">
        <f t="shared" si="1"/>
        <v>Unavailable</v>
      </c>
      <c r="C8922" s="3">
        <v>24.0</v>
      </c>
      <c r="D8922" s="3">
        <f>IFERROR(__xludf.DUMMYFUNCTION("IFERROR(
IF(REGEXMATCH(LOWER(O8922),""k""),
VALUE(REGEXEXTRACT(O8922,""[0-9]+""))*1000,
VALUE(REGEXEXTRACT(O8922,""[0-9]+""))
),
0
)"),0.0)</f>
        <v>0</v>
      </c>
      <c r="E8922" s="1" t="s">
        <v>11</v>
      </c>
      <c r="F8922" s="1" t="s">
        <v>12</v>
      </c>
      <c r="G8922" s="4" t="b">
        <f t="shared" si="2"/>
        <v>1</v>
      </c>
      <c r="H8922" s="1" t="str">
        <f t="shared" si="3"/>
        <v>Currently Unavailable</v>
      </c>
      <c r="I8922" s="1" t="str">
        <f t="shared" si="4"/>
        <v>No Badges</v>
      </c>
      <c r="J8922" s="3">
        <f t="shared" si="5"/>
        <v>0</v>
      </c>
    </row>
    <row r="8923">
      <c r="A8923" s="1" t="s">
        <v>6662</v>
      </c>
      <c r="B8923" s="3" t="str">
        <f t="shared" si="1"/>
        <v>Unavailable</v>
      </c>
      <c r="C8923" s="5">
        <v>1886.0</v>
      </c>
      <c r="D8923" s="3">
        <f>IFERROR(__xludf.DUMMYFUNCTION("IFERROR(
IF(REGEXMATCH(LOWER(O8923),""k""),
VALUE(REGEXEXTRACT(O8923,""[0-9]+""))*1000,
VALUE(REGEXEXTRACT(O8923,""[0-9]+""))
),
0
)"),0.0)</f>
        <v>0</v>
      </c>
      <c r="E8923" s="1" t="s">
        <v>11</v>
      </c>
      <c r="F8923" s="1" t="s">
        <v>12</v>
      </c>
      <c r="G8923" s="4" t="b">
        <f t="shared" si="2"/>
        <v>1</v>
      </c>
      <c r="H8923" s="1" t="str">
        <f t="shared" si="3"/>
        <v>Currently Unavailable</v>
      </c>
      <c r="I8923" s="1" t="str">
        <f t="shared" si="4"/>
        <v>No Badges</v>
      </c>
      <c r="J8923" s="3">
        <f t="shared" si="5"/>
        <v>0</v>
      </c>
    </row>
    <row r="8924">
      <c r="A8924" s="1" t="s">
        <v>6824</v>
      </c>
      <c r="B8924" s="3" t="str">
        <f t="shared" si="1"/>
        <v>Unavailable</v>
      </c>
      <c r="C8924" s="3">
        <v>904.0</v>
      </c>
      <c r="D8924" s="3">
        <f>IFERROR(__xludf.DUMMYFUNCTION("IFERROR(
IF(REGEXMATCH(LOWER(O8924),""k""),
VALUE(REGEXEXTRACT(O8924,""[0-9]+""))*1000,
VALUE(REGEXEXTRACT(O8924,""[0-9]+""))
),
0
)"),0.0)</f>
        <v>0</v>
      </c>
      <c r="E8924" s="1" t="s">
        <v>11</v>
      </c>
      <c r="F8924" s="1" t="s">
        <v>20</v>
      </c>
      <c r="G8924" s="4" t="b">
        <f t="shared" si="2"/>
        <v>1</v>
      </c>
      <c r="H8924" s="1" t="str">
        <f t="shared" si="3"/>
        <v>Currently Unavailable</v>
      </c>
      <c r="I8924" s="1" t="str">
        <f t="shared" si="4"/>
        <v>No Badges</v>
      </c>
      <c r="J8924" s="3">
        <f t="shared" si="5"/>
        <v>0</v>
      </c>
    </row>
    <row r="8925">
      <c r="A8925" s="1" t="s">
        <v>6825</v>
      </c>
      <c r="B8925" s="3" t="str">
        <f t="shared" si="1"/>
        <v>Unavailable</v>
      </c>
      <c r="C8925" s="3">
        <v>1.0</v>
      </c>
      <c r="D8925" s="3">
        <f>IFERROR(__xludf.DUMMYFUNCTION("IFERROR(
IF(REGEXMATCH(LOWER(O8925),""k""),
VALUE(REGEXEXTRACT(O8925,""[0-9]+""))*1000,
VALUE(REGEXEXTRACT(O8925,""[0-9]+""))
),
0
)"),0.0)</f>
        <v>0</v>
      </c>
      <c r="E8925" s="1" t="s">
        <v>11</v>
      </c>
      <c r="F8925" s="1" t="s">
        <v>20</v>
      </c>
      <c r="G8925" s="4" t="b">
        <f t="shared" si="2"/>
        <v>1</v>
      </c>
      <c r="H8925" s="1" t="str">
        <f t="shared" si="3"/>
        <v>Currently Unavailable</v>
      </c>
      <c r="I8925" s="1" t="str">
        <f t="shared" si="4"/>
        <v>No Badges</v>
      </c>
      <c r="J8925" s="6">
        <f t="shared" si="5"/>
        <v>0</v>
      </c>
    </row>
    <row r="8926">
      <c r="A8926" s="1" t="s">
        <v>6826</v>
      </c>
      <c r="B8926" s="3" t="str">
        <f t="shared" si="1"/>
        <v>Unavailable</v>
      </c>
      <c r="C8926" s="3">
        <v>900.0</v>
      </c>
      <c r="D8926" s="3">
        <f>IFERROR(__xludf.DUMMYFUNCTION("IFERROR(
IF(REGEXMATCH(LOWER(O8926),""k""),
VALUE(REGEXEXTRACT(O8926,""[0-9]+""))*1000,
VALUE(REGEXEXTRACT(O8926,""[0-9]+""))
),
0
)"),0.0)</f>
        <v>0</v>
      </c>
      <c r="E8926" s="1" t="s">
        <v>11</v>
      </c>
      <c r="F8926" s="1" t="s">
        <v>20</v>
      </c>
      <c r="G8926" s="4" t="b">
        <f t="shared" si="2"/>
        <v>1</v>
      </c>
      <c r="H8926" s="1" t="str">
        <f t="shared" si="3"/>
        <v>Currently Unavailable</v>
      </c>
      <c r="I8926" s="1" t="str">
        <f t="shared" si="4"/>
        <v>No Badges</v>
      </c>
      <c r="J8926" s="3">
        <f t="shared" si="5"/>
        <v>0</v>
      </c>
    </row>
    <row r="8927">
      <c r="A8927" s="1" t="s">
        <v>6827</v>
      </c>
      <c r="B8927" s="3" t="str">
        <f t="shared" si="1"/>
        <v>Unavailable</v>
      </c>
      <c r="C8927" s="5">
        <v>32165.0</v>
      </c>
      <c r="D8927" s="3">
        <f>IFERROR(__xludf.DUMMYFUNCTION("IFERROR(
IF(REGEXMATCH(LOWER(O8927),""k""),
VALUE(REGEXEXTRACT(O8927,""[0-9]+""))*1000,
VALUE(REGEXEXTRACT(O8927,""[0-9]+""))
),
0
)"),0.0)</f>
        <v>0</v>
      </c>
      <c r="E8927" s="1" t="s">
        <v>11</v>
      </c>
      <c r="F8927" s="1" t="s">
        <v>20</v>
      </c>
      <c r="G8927" s="4" t="b">
        <f t="shared" si="2"/>
        <v>1</v>
      </c>
      <c r="H8927" s="1" t="str">
        <f t="shared" si="3"/>
        <v>Currently Unavailable</v>
      </c>
      <c r="I8927" s="1" t="str">
        <f t="shared" si="4"/>
        <v>No Badges</v>
      </c>
      <c r="J8927" s="3">
        <f t="shared" si="5"/>
        <v>0</v>
      </c>
    </row>
    <row r="8928">
      <c r="A8928" s="1" t="s">
        <v>6828</v>
      </c>
      <c r="B8928" s="3" t="str">
        <f t="shared" si="1"/>
        <v>Unavailable</v>
      </c>
      <c r="C8928" s="5">
        <v>3067.0</v>
      </c>
      <c r="D8928" s="3">
        <f>IFERROR(__xludf.DUMMYFUNCTION("IFERROR(
IF(REGEXMATCH(LOWER(O8928),""k""),
VALUE(REGEXEXTRACT(O8928,""[0-9]+""))*1000,
VALUE(REGEXEXTRACT(O8928,""[0-9]+""))
),
0
)"),0.0)</f>
        <v>0</v>
      </c>
      <c r="E8928" s="1" t="s">
        <v>11</v>
      </c>
      <c r="F8928" s="1" t="s">
        <v>20</v>
      </c>
      <c r="G8928" s="4" t="b">
        <f t="shared" si="2"/>
        <v>1</v>
      </c>
      <c r="H8928" s="1" t="str">
        <f t="shared" si="3"/>
        <v>Currently Unavailable</v>
      </c>
      <c r="I8928" s="1" t="str">
        <f t="shared" si="4"/>
        <v>No Badges</v>
      </c>
      <c r="J8928" s="3">
        <f t="shared" si="5"/>
        <v>0</v>
      </c>
    </row>
    <row r="8929">
      <c r="A8929" s="1" t="s">
        <v>6829</v>
      </c>
      <c r="B8929" s="3" t="str">
        <f t="shared" si="1"/>
        <v>Unavailable</v>
      </c>
      <c r="C8929" s="5">
        <v>21832.0</v>
      </c>
      <c r="D8929" s="3">
        <f>IFERROR(__xludf.DUMMYFUNCTION("IFERROR(
IF(REGEXMATCH(LOWER(O8929),""k""),
VALUE(REGEXEXTRACT(O8929,""[0-9]+""))*1000,
VALUE(REGEXEXTRACT(O8929,""[0-9]+""))
),
0
)"),0.0)</f>
        <v>0</v>
      </c>
      <c r="E8929" s="1" t="s">
        <v>11</v>
      </c>
      <c r="F8929" s="1" t="s">
        <v>20</v>
      </c>
      <c r="G8929" s="4" t="b">
        <f t="shared" si="2"/>
        <v>1</v>
      </c>
      <c r="H8929" s="1" t="str">
        <f t="shared" si="3"/>
        <v>Currently Unavailable</v>
      </c>
      <c r="I8929" s="1" t="str">
        <f t="shared" si="4"/>
        <v>No Badges</v>
      </c>
      <c r="J8929" s="3">
        <f t="shared" si="5"/>
        <v>0</v>
      </c>
    </row>
    <row r="8930">
      <c r="A8930" s="1" t="s">
        <v>5817</v>
      </c>
      <c r="B8930" s="3" t="str">
        <f t="shared" si="1"/>
        <v>Unavailable</v>
      </c>
      <c r="C8930" s="5">
        <v>7235.0</v>
      </c>
      <c r="D8930" s="3">
        <f>IFERROR(__xludf.DUMMYFUNCTION("IFERROR(
IF(REGEXMATCH(LOWER(O8930),""k""),
VALUE(REGEXEXTRACT(O8930,""[0-9]+""))*1000,
VALUE(REGEXEXTRACT(O8930,""[0-9]+""))
),
0
)"),0.0)</f>
        <v>0</v>
      </c>
      <c r="E8930" s="1" t="s">
        <v>11</v>
      </c>
      <c r="F8930" s="1" t="s">
        <v>12</v>
      </c>
      <c r="G8930" s="4" t="b">
        <f t="shared" si="2"/>
        <v>1</v>
      </c>
      <c r="H8930" s="1" t="str">
        <f t="shared" si="3"/>
        <v>Currently Unavailable</v>
      </c>
      <c r="I8930" s="1" t="str">
        <f t="shared" si="4"/>
        <v>No Badges</v>
      </c>
      <c r="J8930" s="3">
        <f t="shared" si="5"/>
        <v>0</v>
      </c>
    </row>
    <row r="8931">
      <c r="A8931" s="1" t="s">
        <v>6830</v>
      </c>
      <c r="B8931" s="3" t="str">
        <f t="shared" si="1"/>
        <v>Unavailable</v>
      </c>
      <c r="C8931" s="3">
        <v>580.0</v>
      </c>
      <c r="D8931" s="3">
        <f>IFERROR(__xludf.DUMMYFUNCTION("IFERROR(
IF(REGEXMATCH(LOWER(O8931),""k""),
VALUE(REGEXEXTRACT(O8931,""[0-9]+""))*1000,
VALUE(REGEXEXTRACT(O8931,""[0-9]+""))
),
0
)"),0.0)</f>
        <v>0</v>
      </c>
      <c r="E8931" s="1" t="s">
        <v>11</v>
      </c>
      <c r="F8931" s="1" t="s">
        <v>20</v>
      </c>
      <c r="G8931" s="4" t="b">
        <f t="shared" si="2"/>
        <v>1</v>
      </c>
      <c r="H8931" s="1" t="str">
        <f t="shared" si="3"/>
        <v>Currently Unavailable</v>
      </c>
      <c r="I8931" s="1" t="str">
        <f t="shared" si="4"/>
        <v>No Badges</v>
      </c>
      <c r="J8931" s="3">
        <f t="shared" si="5"/>
        <v>0</v>
      </c>
    </row>
    <row r="8932">
      <c r="A8932" s="1" t="s">
        <v>6831</v>
      </c>
      <c r="B8932" s="3" t="str">
        <f t="shared" si="1"/>
        <v>Unavailable</v>
      </c>
      <c r="C8932" s="5">
        <v>1240.0</v>
      </c>
      <c r="D8932" s="3">
        <f>IFERROR(__xludf.DUMMYFUNCTION("IFERROR(
IF(REGEXMATCH(LOWER(O8932),""k""),
VALUE(REGEXEXTRACT(O8932,""[0-9]+""))*1000,
VALUE(REGEXEXTRACT(O8932,""[0-9]+""))
),
0
)"),0.0)</f>
        <v>0</v>
      </c>
      <c r="E8932" s="1" t="s">
        <v>11</v>
      </c>
      <c r="F8932" s="1" t="s">
        <v>20</v>
      </c>
      <c r="G8932" s="4" t="b">
        <f t="shared" si="2"/>
        <v>1</v>
      </c>
      <c r="H8932" s="1" t="str">
        <f t="shared" si="3"/>
        <v>Currently Unavailable</v>
      </c>
      <c r="I8932" s="1" t="str">
        <f t="shared" si="4"/>
        <v>No Badges</v>
      </c>
      <c r="J8932" s="3">
        <f t="shared" si="5"/>
        <v>0</v>
      </c>
    </row>
    <row r="8933">
      <c r="A8933" s="1" t="s">
        <v>6832</v>
      </c>
      <c r="B8933" s="3" t="str">
        <f t="shared" si="1"/>
        <v>Unavailable</v>
      </c>
      <c r="C8933" s="5">
        <v>71951.0</v>
      </c>
      <c r="D8933" s="3">
        <f>IFERROR(__xludf.DUMMYFUNCTION("IFERROR(
IF(REGEXMATCH(LOWER(O8933),""k""),
VALUE(REGEXEXTRACT(O8933,""[0-9]+""))*1000,
VALUE(REGEXEXTRACT(O8933,""[0-9]+""))
),
0
)"),0.0)</f>
        <v>0</v>
      </c>
      <c r="E8933" s="1" t="s">
        <v>11</v>
      </c>
      <c r="F8933" s="1" t="s">
        <v>20</v>
      </c>
      <c r="G8933" s="4" t="b">
        <f t="shared" si="2"/>
        <v>1</v>
      </c>
      <c r="H8933" s="1" t="str">
        <f t="shared" si="3"/>
        <v>Currently Unavailable</v>
      </c>
      <c r="I8933" s="1" t="str">
        <f t="shared" si="4"/>
        <v>No Badges</v>
      </c>
      <c r="J8933" s="3">
        <f t="shared" si="5"/>
        <v>0</v>
      </c>
    </row>
    <row r="8934">
      <c r="A8934" s="1" t="s">
        <v>6833</v>
      </c>
      <c r="B8934" s="3" t="str">
        <f t="shared" si="1"/>
        <v>Unavailable</v>
      </c>
      <c r="C8934" s="5">
        <v>5066.0</v>
      </c>
      <c r="D8934" s="3">
        <f>IFERROR(__xludf.DUMMYFUNCTION("IFERROR(
IF(REGEXMATCH(LOWER(O8934),""k""),
VALUE(REGEXEXTRACT(O8934,""[0-9]+""))*1000,
VALUE(REGEXEXTRACT(O8934,""[0-9]+""))
),
0
)"),0.0)</f>
        <v>0</v>
      </c>
      <c r="E8934" s="1" t="s">
        <v>11</v>
      </c>
      <c r="F8934" s="1" t="s">
        <v>20</v>
      </c>
      <c r="G8934" s="4" t="b">
        <f t="shared" si="2"/>
        <v>1</v>
      </c>
      <c r="H8934" s="1" t="str">
        <f t="shared" si="3"/>
        <v>Currently Unavailable</v>
      </c>
      <c r="I8934" s="1" t="str">
        <f t="shared" si="4"/>
        <v>No Badges</v>
      </c>
      <c r="J8934" s="3">
        <f t="shared" si="5"/>
        <v>0</v>
      </c>
    </row>
    <row r="8935">
      <c r="A8935" s="1" t="s">
        <v>6834</v>
      </c>
      <c r="B8935" s="3" t="str">
        <f t="shared" si="1"/>
        <v>Unavailable</v>
      </c>
      <c r="C8935" s="5">
        <v>8636.0</v>
      </c>
      <c r="D8935" s="3">
        <f>IFERROR(__xludf.DUMMYFUNCTION("IFERROR(
IF(REGEXMATCH(LOWER(O8935),""k""),
VALUE(REGEXEXTRACT(O8935,""[0-9]+""))*1000,
VALUE(REGEXEXTRACT(O8935,""[0-9]+""))
),
0
)"),0.0)</f>
        <v>0</v>
      </c>
      <c r="E8935" s="1" t="s">
        <v>11</v>
      </c>
      <c r="F8935" s="1" t="s">
        <v>20</v>
      </c>
      <c r="G8935" s="4" t="b">
        <f t="shared" si="2"/>
        <v>1</v>
      </c>
      <c r="H8935" s="1" t="str">
        <f t="shared" si="3"/>
        <v>Currently Unavailable</v>
      </c>
      <c r="I8935" s="1" t="str">
        <f t="shared" si="4"/>
        <v>No Badges</v>
      </c>
      <c r="J8935" s="3">
        <f t="shared" si="5"/>
        <v>0</v>
      </c>
    </row>
    <row r="8936">
      <c r="A8936" s="1" t="s">
        <v>6835</v>
      </c>
      <c r="B8936" s="3" t="str">
        <f t="shared" si="1"/>
        <v>Unavailable</v>
      </c>
      <c r="C8936" s="3">
        <v>36.0</v>
      </c>
      <c r="D8936" s="3">
        <f>IFERROR(__xludf.DUMMYFUNCTION("IFERROR(
IF(REGEXMATCH(LOWER(O8936),""k""),
VALUE(REGEXEXTRACT(O8936,""[0-9]+""))*1000,
VALUE(REGEXEXTRACT(O8936,""[0-9]+""))
),
0
)"),0.0)</f>
        <v>0</v>
      </c>
      <c r="E8936" s="1" t="s">
        <v>11</v>
      </c>
      <c r="F8936" s="1" t="s">
        <v>20</v>
      </c>
      <c r="G8936" s="4" t="b">
        <f t="shared" si="2"/>
        <v>1</v>
      </c>
      <c r="H8936" s="1" t="str">
        <f t="shared" si="3"/>
        <v>Currently Unavailable</v>
      </c>
      <c r="I8936" s="1" t="str">
        <f t="shared" si="4"/>
        <v>No Badges</v>
      </c>
      <c r="J8936" s="3">
        <f t="shared" si="5"/>
        <v>0</v>
      </c>
    </row>
    <row r="8937">
      <c r="A8937" s="1" t="s">
        <v>6836</v>
      </c>
      <c r="B8937" s="3" t="str">
        <f t="shared" si="1"/>
        <v>Unavailable</v>
      </c>
      <c r="C8937" s="5">
        <v>16603.0</v>
      </c>
      <c r="D8937" s="3">
        <f>IFERROR(__xludf.DUMMYFUNCTION("IFERROR(
IF(REGEXMATCH(LOWER(O8937),""k""),
VALUE(REGEXEXTRACT(O8937,""[0-9]+""))*1000,
VALUE(REGEXEXTRACT(O8937,""[0-9]+""))
),
0
)"),0.0)</f>
        <v>0</v>
      </c>
      <c r="E8937" s="1" t="s">
        <v>18</v>
      </c>
      <c r="F8937" s="1" t="s">
        <v>20</v>
      </c>
      <c r="G8937" s="4" t="b">
        <f t="shared" si="2"/>
        <v>1</v>
      </c>
      <c r="H8937" s="1" t="str">
        <f t="shared" si="3"/>
        <v>Currently Unavailable</v>
      </c>
      <c r="I8937" s="1" t="str">
        <f t="shared" si="4"/>
        <v>No Badges</v>
      </c>
      <c r="J8937" s="3">
        <f t="shared" si="5"/>
        <v>0</v>
      </c>
    </row>
    <row r="8938">
      <c r="A8938" s="1" t="s">
        <v>143</v>
      </c>
      <c r="B8938" s="3" t="str">
        <f t="shared" si="1"/>
        <v>Unavailable</v>
      </c>
      <c r="C8938" s="3">
        <v>61.0</v>
      </c>
      <c r="D8938" s="3">
        <f>IFERROR(__xludf.DUMMYFUNCTION("IFERROR(
IF(REGEXMATCH(LOWER(O8938),""k""),
VALUE(REGEXEXTRACT(O8938,""[0-9]+""))*1000,
VALUE(REGEXEXTRACT(O8938,""[0-9]+""))
),
0
)"),0.0)</f>
        <v>0</v>
      </c>
      <c r="E8938" s="1" t="s">
        <v>11</v>
      </c>
      <c r="F8938" s="1" t="s">
        <v>12</v>
      </c>
      <c r="G8938" s="4" t="b">
        <f t="shared" si="2"/>
        <v>1</v>
      </c>
      <c r="H8938" s="1" t="str">
        <f t="shared" si="3"/>
        <v>Currently Unavailable</v>
      </c>
      <c r="I8938" s="1" t="str">
        <f t="shared" si="4"/>
        <v>No Badges</v>
      </c>
      <c r="J8938" s="3">
        <f t="shared" si="5"/>
        <v>0</v>
      </c>
    </row>
    <row r="8939">
      <c r="A8939" s="1" t="s">
        <v>6837</v>
      </c>
      <c r="B8939" s="3" t="str">
        <f t="shared" si="1"/>
        <v>Unavailable</v>
      </c>
      <c r="C8939" s="5">
        <v>4103.0</v>
      </c>
      <c r="D8939" s="3">
        <f>IFERROR(__xludf.DUMMYFUNCTION("IFERROR(
IF(REGEXMATCH(LOWER(O8939),""k""),
VALUE(REGEXEXTRACT(O8939,""[0-9]+""))*1000,
VALUE(REGEXEXTRACT(O8939,""[0-9]+""))
),
0
)"),0.0)</f>
        <v>0</v>
      </c>
      <c r="E8939" s="1" t="s">
        <v>11</v>
      </c>
      <c r="F8939" s="1" t="s">
        <v>20</v>
      </c>
      <c r="G8939" s="4" t="b">
        <f t="shared" si="2"/>
        <v>1</v>
      </c>
      <c r="H8939" s="1" t="str">
        <f t="shared" si="3"/>
        <v>Currently Unavailable</v>
      </c>
      <c r="I8939" s="1" t="str">
        <f t="shared" si="4"/>
        <v>No Badges</v>
      </c>
      <c r="J8939" s="3">
        <f t="shared" si="5"/>
        <v>0</v>
      </c>
    </row>
    <row r="8940">
      <c r="A8940" s="1" t="s">
        <v>5817</v>
      </c>
      <c r="B8940" s="3" t="str">
        <f t="shared" si="1"/>
        <v>Unavailable</v>
      </c>
      <c r="C8940" s="5">
        <v>7235.0</v>
      </c>
      <c r="D8940" s="3">
        <f>IFERROR(__xludf.DUMMYFUNCTION("IFERROR(
IF(REGEXMATCH(LOWER(O8940),""k""),
VALUE(REGEXEXTRACT(O8940,""[0-9]+""))*1000,
VALUE(REGEXEXTRACT(O8940,""[0-9]+""))
),
0
)"),0.0)</f>
        <v>0</v>
      </c>
      <c r="E8940" s="1" t="s">
        <v>11</v>
      </c>
      <c r="F8940" s="1" t="s">
        <v>12</v>
      </c>
      <c r="G8940" s="4" t="b">
        <f t="shared" si="2"/>
        <v>1</v>
      </c>
      <c r="H8940" s="1" t="str">
        <f t="shared" si="3"/>
        <v>Currently Unavailable</v>
      </c>
      <c r="I8940" s="1" t="str">
        <f t="shared" si="4"/>
        <v>No Badges</v>
      </c>
      <c r="J8940" s="3">
        <f t="shared" si="5"/>
        <v>0</v>
      </c>
    </row>
    <row r="8941">
      <c r="A8941" s="1" t="s">
        <v>6838</v>
      </c>
      <c r="B8941" s="3" t="str">
        <f t="shared" si="1"/>
        <v>Unavailable</v>
      </c>
      <c r="C8941" s="5">
        <v>8258.0</v>
      </c>
      <c r="D8941" s="3">
        <f>IFERROR(__xludf.DUMMYFUNCTION("IFERROR(
IF(REGEXMATCH(LOWER(O8941),""k""),
VALUE(REGEXEXTRACT(O8941,""[0-9]+""))*1000,
VALUE(REGEXEXTRACT(O8941,""[0-9]+""))
),
0
)"),0.0)</f>
        <v>0</v>
      </c>
      <c r="E8941" s="1" t="s">
        <v>11</v>
      </c>
      <c r="F8941" s="1" t="s">
        <v>20</v>
      </c>
      <c r="G8941" s="4" t="b">
        <f t="shared" si="2"/>
        <v>1</v>
      </c>
      <c r="H8941" s="1" t="str">
        <f t="shared" si="3"/>
        <v>Currently Unavailable</v>
      </c>
      <c r="I8941" s="1" t="str">
        <f t="shared" si="4"/>
        <v>No Badges</v>
      </c>
      <c r="J8941" s="3">
        <f t="shared" si="5"/>
        <v>0</v>
      </c>
    </row>
    <row r="8942">
      <c r="A8942" s="1" t="s">
        <v>6839</v>
      </c>
      <c r="B8942" s="3" t="str">
        <f t="shared" si="1"/>
        <v>Unavailable</v>
      </c>
      <c r="C8942" s="3">
        <v>44.0</v>
      </c>
      <c r="D8942" s="3">
        <f>IFERROR(__xludf.DUMMYFUNCTION("IFERROR(
IF(REGEXMATCH(LOWER(O8942),""k""),
VALUE(REGEXEXTRACT(O8942,""[0-9]+""))*1000,
VALUE(REGEXEXTRACT(O8942,""[0-9]+""))
),
0
)"),0.0)</f>
        <v>0</v>
      </c>
      <c r="E8942" s="1" t="s">
        <v>11</v>
      </c>
      <c r="F8942" s="1" t="s">
        <v>20</v>
      </c>
      <c r="G8942" s="4" t="b">
        <f t="shared" si="2"/>
        <v>1</v>
      </c>
      <c r="H8942" s="1" t="str">
        <f t="shared" si="3"/>
        <v>Currently Unavailable</v>
      </c>
      <c r="I8942" s="1" t="str">
        <f t="shared" si="4"/>
        <v>No Badges</v>
      </c>
      <c r="J8942" s="3">
        <f t="shared" si="5"/>
        <v>0</v>
      </c>
    </row>
    <row r="8943">
      <c r="A8943" s="1" t="s">
        <v>6840</v>
      </c>
      <c r="B8943" s="3" t="str">
        <f t="shared" si="1"/>
        <v>Unavailable</v>
      </c>
      <c r="C8943" s="3">
        <v>628.0</v>
      </c>
      <c r="D8943" s="3">
        <f>IFERROR(__xludf.DUMMYFUNCTION("IFERROR(
IF(REGEXMATCH(LOWER(O8943),""k""),
VALUE(REGEXEXTRACT(O8943,""[0-9]+""))*1000,
VALUE(REGEXEXTRACT(O8943,""[0-9]+""))
),
0
)"),0.0)</f>
        <v>0</v>
      </c>
      <c r="E8943" s="1" t="s">
        <v>11</v>
      </c>
      <c r="F8943" s="1" t="s">
        <v>20</v>
      </c>
      <c r="G8943" s="4" t="b">
        <f t="shared" si="2"/>
        <v>1</v>
      </c>
      <c r="H8943" s="1" t="str">
        <f t="shared" si="3"/>
        <v>Currently Unavailable</v>
      </c>
      <c r="I8943" s="1" t="str">
        <f t="shared" si="4"/>
        <v>No Badges</v>
      </c>
      <c r="J8943" s="3">
        <f t="shared" si="5"/>
        <v>0</v>
      </c>
    </row>
    <row r="8944">
      <c r="A8944" s="1" t="s">
        <v>5817</v>
      </c>
      <c r="B8944" s="3" t="str">
        <f t="shared" si="1"/>
        <v>Unavailable</v>
      </c>
      <c r="C8944" s="5">
        <v>7235.0</v>
      </c>
      <c r="D8944" s="3">
        <f>IFERROR(__xludf.DUMMYFUNCTION("IFERROR(
IF(REGEXMATCH(LOWER(O8944),""k""),
VALUE(REGEXEXTRACT(O8944,""[0-9]+""))*1000,
VALUE(REGEXEXTRACT(O8944,""[0-9]+""))
),
0
)"),0.0)</f>
        <v>0</v>
      </c>
      <c r="E8944" s="1" t="s">
        <v>11</v>
      </c>
      <c r="F8944" s="1" t="s">
        <v>12</v>
      </c>
      <c r="G8944" s="4" t="b">
        <f t="shared" si="2"/>
        <v>1</v>
      </c>
      <c r="H8944" s="1" t="str">
        <f t="shared" si="3"/>
        <v>Currently Unavailable</v>
      </c>
      <c r="I8944" s="1" t="str">
        <f t="shared" si="4"/>
        <v>No Badges</v>
      </c>
      <c r="J8944" s="3">
        <f t="shared" si="5"/>
        <v>0</v>
      </c>
    </row>
    <row r="8945">
      <c r="A8945" s="1" t="s">
        <v>6841</v>
      </c>
      <c r="B8945" s="3" t="str">
        <f t="shared" si="1"/>
        <v>Unavailable</v>
      </c>
      <c r="C8945" s="5">
        <v>1809.0</v>
      </c>
      <c r="D8945" s="3">
        <f>IFERROR(__xludf.DUMMYFUNCTION("IFERROR(
IF(REGEXMATCH(LOWER(O8945),""k""),
VALUE(REGEXEXTRACT(O8945,""[0-9]+""))*1000,
VALUE(REGEXEXTRACT(O8945,""[0-9]+""))
),
0
)"),0.0)</f>
        <v>0</v>
      </c>
      <c r="E8945" s="1" t="s">
        <v>11</v>
      </c>
      <c r="F8945" s="1" t="s">
        <v>20</v>
      </c>
      <c r="G8945" s="4" t="b">
        <f t="shared" si="2"/>
        <v>1</v>
      </c>
      <c r="H8945" s="1" t="str">
        <f t="shared" si="3"/>
        <v>Currently Unavailable</v>
      </c>
      <c r="I8945" s="1" t="str">
        <f t="shared" si="4"/>
        <v>No Badges</v>
      </c>
      <c r="J8945" s="3">
        <f t="shared" si="5"/>
        <v>0</v>
      </c>
    </row>
    <row r="8946">
      <c r="A8946" s="1" t="s">
        <v>6842</v>
      </c>
      <c r="B8946" s="1" t="str">
        <f t="shared" si="1"/>
        <v>Unavailable</v>
      </c>
      <c r="C8946" s="1"/>
      <c r="D8946" s="3">
        <f>IFERROR(__xludf.DUMMYFUNCTION("IFERROR(
IF(REGEXMATCH(LOWER(O8946),""k""),
VALUE(REGEXEXTRACT(O8946,""[0-9]+""))*1000,
VALUE(REGEXEXTRACT(O8946,""[0-9]+""))
),
0
)"),0.0)</f>
        <v>0</v>
      </c>
      <c r="E8946" s="1" t="s">
        <v>11</v>
      </c>
      <c r="F8946" s="1" t="s">
        <v>20</v>
      </c>
      <c r="G8946" s="4" t="b">
        <f t="shared" si="2"/>
        <v>1</v>
      </c>
      <c r="H8946" s="1" t="str">
        <f t="shared" si="3"/>
        <v>Currently Unavailable</v>
      </c>
      <c r="I8946" s="1" t="str">
        <f t="shared" si="4"/>
        <v>No Badges</v>
      </c>
      <c r="J8946" s="3">
        <f t="shared" si="5"/>
        <v>0</v>
      </c>
    </row>
    <row r="8947">
      <c r="A8947" s="1" t="s">
        <v>6843</v>
      </c>
      <c r="B8947" s="3" t="str">
        <f t="shared" si="1"/>
        <v>Unavailable</v>
      </c>
      <c r="C8947" s="5">
        <v>2177.0</v>
      </c>
      <c r="D8947" s="3">
        <f>IFERROR(__xludf.DUMMYFUNCTION("IFERROR(
IF(REGEXMATCH(LOWER(O8947),""k""),
VALUE(REGEXEXTRACT(O8947,""[0-9]+""))*1000,
VALUE(REGEXEXTRACT(O8947,""[0-9]+""))
),
0
)"),0.0)</f>
        <v>0</v>
      </c>
      <c r="E8947" s="1" t="s">
        <v>11</v>
      </c>
      <c r="F8947" s="1" t="s">
        <v>20</v>
      </c>
      <c r="G8947" s="4" t="b">
        <f t="shared" si="2"/>
        <v>1</v>
      </c>
      <c r="H8947" s="1" t="str">
        <f t="shared" si="3"/>
        <v>Currently Unavailable</v>
      </c>
      <c r="I8947" s="1" t="str">
        <f t="shared" si="4"/>
        <v>No Badges</v>
      </c>
      <c r="J8947" s="3">
        <f t="shared" si="5"/>
        <v>0</v>
      </c>
    </row>
    <row r="8948">
      <c r="A8948" s="1" t="s">
        <v>5817</v>
      </c>
      <c r="B8948" s="3" t="str">
        <f t="shared" si="1"/>
        <v>Unavailable</v>
      </c>
      <c r="C8948" s="5">
        <v>7235.0</v>
      </c>
      <c r="D8948" s="3">
        <f>IFERROR(__xludf.DUMMYFUNCTION("IFERROR(
IF(REGEXMATCH(LOWER(O8948),""k""),
VALUE(REGEXEXTRACT(O8948,""[0-9]+""))*1000,
VALUE(REGEXEXTRACT(O8948,""[0-9]+""))
),
0
)"),0.0)</f>
        <v>0</v>
      </c>
      <c r="E8948" s="1" t="s">
        <v>11</v>
      </c>
      <c r="F8948" s="1" t="s">
        <v>12</v>
      </c>
      <c r="G8948" s="4" t="b">
        <f t="shared" si="2"/>
        <v>1</v>
      </c>
      <c r="H8948" s="1" t="str">
        <f t="shared" si="3"/>
        <v>Currently Unavailable</v>
      </c>
      <c r="I8948" s="1" t="str">
        <f t="shared" si="4"/>
        <v>No Badges</v>
      </c>
      <c r="J8948" s="3">
        <f t="shared" si="5"/>
        <v>0</v>
      </c>
    </row>
    <row r="8949">
      <c r="A8949" s="1" t="s">
        <v>6844</v>
      </c>
      <c r="B8949" s="3" t="str">
        <f t="shared" si="1"/>
        <v>Unavailable</v>
      </c>
      <c r="C8949" s="5">
        <v>4103.0</v>
      </c>
      <c r="D8949" s="3">
        <f>IFERROR(__xludf.DUMMYFUNCTION("IFERROR(
IF(REGEXMATCH(LOWER(O8949),""k""),
VALUE(REGEXEXTRACT(O8949,""[0-9]+""))*1000,
VALUE(REGEXEXTRACT(O8949,""[0-9]+""))
),
0
)"),0.0)</f>
        <v>0</v>
      </c>
      <c r="E8949" s="1" t="s">
        <v>11</v>
      </c>
      <c r="F8949" s="1" t="s">
        <v>20</v>
      </c>
      <c r="G8949" s="4" t="b">
        <f t="shared" si="2"/>
        <v>1</v>
      </c>
      <c r="H8949" s="1" t="str">
        <f t="shared" si="3"/>
        <v>Currently Unavailable</v>
      </c>
      <c r="I8949" s="1" t="str">
        <f t="shared" si="4"/>
        <v>No Badges</v>
      </c>
      <c r="J8949" s="3">
        <f t="shared" si="5"/>
        <v>0</v>
      </c>
    </row>
    <row r="8950">
      <c r="A8950" s="1" t="s">
        <v>6845</v>
      </c>
      <c r="B8950" s="3" t="str">
        <f t="shared" si="1"/>
        <v>Unavailable</v>
      </c>
      <c r="C8950" s="5">
        <v>26443.0</v>
      </c>
      <c r="D8950" s="3">
        <f>IFERROR(__xludf.DUMMYFUNCTION("IFERROR(
IF(REGEXMATCH(LOWER(O8950),""k""),
VALUE(REGEXEXTRACT(O8950,""[0-9]+""))*1000,
VALUE(REGEXEXTRACT(O8950,""[0-9]+""))
),
0
)"),0.0)</f>
        <v>0</v>
      </c>
      <c r="E8950" s="1" t="s">
        <v>11</v>
      </c>
      <c r="F8950" s="1" t="s">
        <v>20</v>
      </c>
      <c r="G8950" s="4" t="b">
        <f t="shared" si="2"/>
        <v>1</v>
      </c>
      <c r="H8950" s="1" t="str">
        <f t="shared" si="3"/>
        <v>Currently Unavailable</v>
      </c>
      <c r="I8950" s="1" t="str">
        <f t="shared" si="4"/>
        <v>No Badges</v>
      </c>
      <c r="J8950" s="3">
        <f t="shared" si="5"/>
        <v>0</v>
      </c>
    </row>
    <row r="8951">
      <c r="A8951" s="1" t="s">
        <v>6846</v>
      </c>
      <c r="B8951" s="3" t="str">
        <f t="shared" si="1"/>
        <v>Unavailable</v>
      </c>
      <c r="C8951" s="5">
        <v>22532.0</v>
      </c>
      <c r="D8951" s="3">
        <f>IFERROR(__xludf.DUMMYFUNCTION("IFERROR(
IF(REGEXMATCH(LOWER(O8951),""k""),
VALUE(REGEXEXTRACT(O8951,""[0-9]+""))*1000,
VALUE(REGEXEXTRACT(O8951,""[0-9]+""))
),
0
)"),0.0)</f>
        <v>0</v>
      </c>
      <c r="E8951" s="1" t="s">
        <v>11</v>
      </c>
      <c r="F8951" s="1" t="s">
        <v>20</v>
      </c>
      <c r="G8951" s="4" t="b">
        <f t="shared" si="2"/>
        <v>1</v>
      </c>
      <c r="H8951" s="1" t="str">
        <f t="shared" si="3"/>
        <v>Currently Unavailable</v>
      </c>
      <c r="I8951" s="1" t="str">
        <f t="shared" si="4"/>
        <v>No Badges</v>
      </c>
      <c r="J8951" s="3">
        <f t="shared" si="5"/>
        <v>0</v>
      </c>
    </row>
    <row r="8952">
      <c r="A8952" s="1" t="s">
        <v>6847</v>
      </c>
      <c r="B8952" s="3" t="str">
        <f t="shared" si="1"/>
        <v>Unavailable</v>
      </c>
      <c r="C8952" s="5">
        <v>6277.0</v>
      </c>
      <c r="D8952" s="3">
        <f>IFERROR(__xludf.DUMMYFUNCTION("IFERROR(
IF(REGEXMATCH(LOWER(O8952),""k""),
VALUE(REGEXEXTRACT(O8952,""[0-9]+""))*1000,
VALUE(REGEXEXTRACT(O8952,""[0-9]+""))
),
0
)"),0.0)</f>
        <v>0</v>
      </c>
      <c r="E8952" s="1" t="s">
        <v>11</v>
      </c>
      <c r="F8952" s="1" t="s">
        <v>20</v>
      </c>
      <c r="G8952" s="4" t="b">
        <f t="shared" si="2"/>
        <v>1</v>
      </c>
      <c r="H8952" s="1" t="str">
        <f t="shared" si="3"/>
        <v>Currently Unavailable</v>
      </c>
      <c r="I8952" s="1" t="str">
        <f t="shared" si="4"/>
        <v>No Badges</v>
      </c>
      <c r="J8952" s="3">
        <f t="shared" si="5"/>
        <v>0</v>
      </c>
    </row>
    <row r="8953">
      <c r="A8953" s="1" t="s">
        <v>6848</v>
      </c>
      <c r="B8953" s="3" t="str">
        <f t="shared" si="1"/>
        <v>Unavailable</v>
      </c>
      <c r="C8953" s="3">
        <v>338.0</v>
      </c>
      <c r="D8953" s="3">
        <f>IFERROR(__xludf.DUMMYFUNCTION("IFERROR(
IF(REGEXMATCH(LOWER(O8953),""k""),
VALUE(REGEXEXTRACT(O8953,""[0-9]+""))*1000,
VALUE(REGEXEXTRACT(O8953,""[0-9]+""))
),
0
)"),0.0)</f>
        <v>0</v>
      </c>
      <c r="E8953" s="1" t="s">
        <v>11</v>
      </c>
      <c r="F8953" s="1" t="s">
        <v>20</v>
      </c>
      <c r="G8953" s="4" t="b">
        <f t="shared" si="2"/>
        <v>1</v>
      </c>
      <c r="H8953" s="1" t="str">
        <f t="shared" si="3"/>
        <v>Currently Unavailable</v>
      </c>
      <c r="I8953" s="1" t="str">
        <f t="shared" si="4"/>
        <v>No Badges</v>
      </c>
      <c r="J8953" s="3">
        <f t="shared" si="5"/>
        <v>0</v>
      </c>
    </row>
    <row r="8954">
      <c r="A8954" s="1" t="s">
        <v>6849</v>
      </c>
      <c r="B8954" s="3" t="str">
        <f t="shared" si="1"/>
        <v>Unavailable</v>
      </c>
      <c r="C8954" s="3">
        <v>53.0</v>
      </c>
      <c r="D8954" s="3">
        <f>IFERROR(__xludf.DUMMYFUNCTION("IFERROR(
IF(REGEXMATCH(LOWER(O8954),""k""),
VALUE(REGEXEXTRACT(O8954,""[0-9]+""))*1000,
VALUE(REGEXEXTRACT(O8954,""[0-9]+""))
),
0
)"),0.0)</f>
        <v>0</v>
      </c>
      <c r="E8954" s="1" t="s">
        <v>11</v>
      </c>
      <c r="F8954" s="1" t="s">
        <v>20</v>
      </c>
      <c r="G8954" s="4" t="b">
        <f t="shared" si="2"/>
        <v>1</v>
      </c>
      <c r="H8954" s="1" t="str">
        <f t="shared" si="3"/>
        <v>Currently Unavailable</v>
      </c>
      <c r="I8954" s="1" t="str">
        <f t="shared" si="4"/>
        <v>No Badges</v>
      </c>
      <c r="J8954" s="3">
        <f t="shared" si="5"/>
        <v>0</v>
      </c>
    </row>
    <row r="8955">
      <c r="A8955" s="1" t="s">
        <v>5817</v>
      </c>
      <c r="B8955" s="3" t="str">
        <f t="shared" si="1"/>
        <v>Unavailable</v>
      </c>
      <c r="C8955" s="5">
        <v>7235.0</v>
      </c>
      <c r="D8955" s="3">
        <f>IFERROR(__xludf.DUMMYFUNCTION("IFERROR(
IF(REGEXMATCH(LOWER(O8955),""k""),
VALUE(REGEXEXTRACT(O8955,""[0-9]+""))*1000,
VALUE(REGEXEXTRACT(O8955,""[0-9]+""))
),
0
)"),0.0)</f>
        <v>0</v>
      </c>
      <c r="E8955" s="1" t="s">
        <v>11</v>
      </c>
      <c r="F8955" s="1" t="s">
        <v>12</v>
      </c>
      <c r="G8955" s="4" t="b">
        <f t="shared" si="2"/>
        <v>1</v>
      </c>
      <c r="H8955" s="1" t="str">
        <f t="shared" si="3"/>
        <v>Currently Unavailable</v>
      </c>
      <c r="I8955" s="1" t="str">
        <f t="shared" si="4"/>
        <v>No Badges</v>
      </c>
      <c r="J8955" s="3">
        <f t="shared" si="5"/>
        <v>0</v>
      </c>
    </row>
    <row r="8956">
      <c r="A8956" s="1" t="s">
        <v>6850</v>
      </c>
      <c r="B8956" s="3" t="str">
        <f t="shared" si="1"/>
        <v>Unavailable</v>
      </c>
      <c r="C8956" s="5">
        <v>1110.0</v>
      </c>
      <c r="D8956" s="3">
        <f>IFERROR(__xludf.DUMMYFUNCTION("IFERROR(
IF(REGEXMATCH(LOWER(O8956),""k""),
VALUE(REGEXEXTRACT(O8956,""[0-9]+""))*1000,
VALUE(REGEXEXTRACT(O8956,""[0-9]+""))
),
0
)"),0.0)</f>
        <v>0</v>
      </c>
      <c r="E8956" s="1" t="s">
        <v>11</v>
      </c>
      <c r="F8956" s="1" t="s">
        <v>20</v>
      </c>
      <c r="G8956" s="4" t="b">
        <f t="shared" si="2"/>
        <v>1</v>
      </c>
      <c r="H8956" s="1" t="str">
        <f t="shared" si="3"/>
        <v>Currently Unavailable</v>
      </c>
      <c r="I8956" s="1" t="str">
        <f t="shared" si="4"/>
        <v>No Badges</v>
      </c>
      <c r="J8956" s="3">
        <f t="shared" si="5"/>
        <v>0</v>
      </c>
    </row>
    <row r="8957">
      <c r="A8957" s="1" t="s">
        <v>5817</v>
      </c>
      <c r="B8957" s="3" t="str">
        <f t="shared" si="1"/>
        <v>Unavailable</v>
      </c>
      <c r="C8957" s="5">
        <v>7235.0</v>
      </c>
      <c r="D8957" s="3">
        <f>IFERROR(__xludf.DUMMYFUNCTION("IFERROR(
IF(REGEXMATCH(LOWER(O8957),""k""),
VALUE(REGEXEXTRACT(O8957,""[0-9]+""))*1000,
VALUE(REGEXEXTRACT(O8957,""[0-9]+""))
),
0
)"),0.0)</f>
        <v>0</v>
      </c>
      <c r="E8957" s="1" t="s">
        <v>11</v>
      </c>
      <c r="F8957" s="1" t="s">
        <v>12</v>
      </c>
      <c r="G8957" s="4" t="b">
        <f t="shared" si="2"/>
        <v>1</v>
      </c>
      <c r="H8957" s="1" t="str">
        <f t="shared" si="3"/>
        <v>Currently Unavailable</v>
      </c>
      <c r="I8957" s="1" t="str">
        <f t="shared" si="4"/>
        <v>No Badges</v>
      </c>
      <c r="J8957" s="3">
        <f t="shared" si="5"/>
        <v>0</v>
      </c>
    </row>
    <row r="8958">
      <c r="A8958" s="1" t="s">
        <v>6851</v>
      </c>
      <c r="B8958" s="3" t="str">
        <f t="shared" si="1"/>
        <v>Unavailable</v>
      </c>
      <c r="C8958" s="5">
        <v>1497.0</v>
      </c>
      <c r="D8958" s="3">
        <f>IFERROR(__xludf.DUMMYFUNCTION("IFERROR(
IF(REGEXMATCH(LOWER(O8958),""k""),
VALUE(REGEXEXTRACT(O8958,""[0-9]+""))*1000,
VALUE(REGEXEXTRACT(O8958,""[0-9]+""))
),
0
)"),0.0)</f>
        <v>0</v>
      </c>
      <c r="E8958" s="1" t="s">
        <v>11</v>
      </c>
      <c r="F8958" s="1" t="s">
        <v>20</v>
      </c>
      <c r="G8958" s="4" t="b">
        <f t="shared" si="2"/>
        <v>1</v>
      </c>
      <c r="H8958" s="1" t="str">
        <f t="shared" si="3"/>
        <v>Currently Unavailable</v>
      </c>
      <c r="I8958" s="1" t="str">
        <f t="shared" si="4"/>
        <v>No Badges</v>
      </c>
      <c r="J8958" s="3">
        <f t="shared" si="5"/>
        <v>0</v>
      </c>
    </row>
    <row r="8959">
      <c r="A8959" s="1" t="s">
        <v>6852</v>
      </c>
      <c r="B8959" s="3" t="str">
        <f t="shared" si="1"/>
        <v>Unavailable</v>
      </c>
      <c r="C8959" s="5">
        <v>2054.0</v>
      </c>
      <c r="D8959" s="3">
        <f>IFERROR(__xludf.DUMMYFUNCTION("IFERROR(
IF(REGEXMATCH(LOWER(O8959),""k""),
VALUE(REGEXEXTRACT(O8959,""[0-9]+""))*1000,
VALUE(REGEXEXTRACT(O8959,""[0-9]+""))
),
0
)"),0.0)</f>
        <v>0</v>
      </c>
      <c r="E8959" s="1" t="s">
        <v>11</v>
      </c>
      <c r="F8959" s="1" t="s">
        <v>20</v>
      </c>
      <c r="G8959" s="4" t="b">
        <f t="shared" si="2"/>
        <v>1</v>
      </c>
      <c r="H8959" s="1" t="str">
        <f t="shared" si="3"/>
        <v>Currently Unavailable</v>
      </c>
      <c r="I8959" s="1" t="str">
        <f t="shared" si="4"/>
        <v>No Badges</v>
      </c>
      <c r="J8959" s="3">
        <f t="shared" si="5"/>
        <v>0</v>
      </c>
    </row>
    <row r="8960">
      <c r="A8960" s="1" t="s">
        <v>5817</v>
      </c>
      <c r="B8960" s="3" t="str">
        <f t="shared" si="1"/>
        <v>Unavailable</v>
      </c>
      <c r="C8960" s="5">
        <v>7235.0</v>
      </c>
      <c r="D8960" s="3">
        <f>IFERROR(__xludf.DUMMYFUNCTION("IFERROR(
IF(REGEXMATCH(LOWER(O8960),""k""),
VALUE(REGEXEXTRACT(O8960,""[0-9]+""))*1000,
VALUE(REGEXEXTRACT(O8960,""[0-9]+""))
),
0
)"),0.0)</f>
        <v>0</v>
      </c>
      <c r="E8960" s="1" t="s">
        <v>11</v>
      </c>
      <c r="F8960" s="1" t="s">
        <v>12</v>
      </c>
      <c r="G8960" s="4" t="b">
        <f t="shared" si="2"/>
        <v>1</v>
      </c>
      <c r="H8960" s="1" t="str">
        <f t="shared" si="3"/>
        <v>Currently Unavailable</v>
      </c>
      <c r="I8960" s="1" t="str">
        <f t="shared" si="4"/>
        <v>No Badges</v>
      </c>
      <c r="J8960" s="3">
        <f t="shared" si="5"/>
        <v>0</v>
      </c>
    </row>
    <row r="8961">
      <c r="A8961" s="1" t="s">
        <v>6853</v>
      </c>
      <c r="B8961" s="3" t="str">
        <f t="shared" si="1"/>
        <v>Unavailable</v>
      </c>
      <c r="C8961" s="5">
        <v>3611.0</v>
      </c>
      <c r="D8961" s="3">
        <f>IFERROR(__xludf.DUMMYFUNCTION("IFERROR(
IF(REGEXMATCH(LOWER(O8961),""k""),
VALUE(REGEXEXTRACT(O8961,""[0-9]+""))*1000,
VALUE(REGEXEXTRACT(O8961,""[0-9]+""))
),
0
)"),0.0)</f>
        <v>0</v>
      </c>
      <c r="E8961" s="1" t="s">
        <v>11</v>
      </c>
      <c r="F8961" s="1" t="s">
        <v>20</v>
      </c>
      <c r="G8961" s="4" t="b">
        <f t="shared" si="2"/>
        <v>1</v>
      </c>
      <c r="H8961" s="1" t="str">
        <f t="shared" si="3"/>
        <v>Currently Unavailable</v>
      </c>
      <c r="I8961" s="1" t="str">
        <f t="shared" si="4"/>
        <v>No Badges</v>
      </c>
      <c r="J8961" s="3">
        <f t="shared" si="5"/>
        <v>0</v>
      </c>
    </row>
    <row r="8962">
      <c r="A8962" s="1" t="s">
        <v>6854</v>
      </c>
      <c r="B8962" s="3" t="str">
        <f t="shared" si="1"/>
        <v>Unavailable</v>
      </c>
      <c r="C8962" s="3">
        <v>406.0</v>
      </c>
      <c r="D8962" s="3">
        <f>IFERROR(__xludf.DUMMYFUNCTION("IFERROR(
IF(REGEXMATCH(LOWER(O8962),""k""),
VALUE(REGEXEXTRACT(O8962,""[0-9]+""))*1000,
VALUE(REGEXEXTRACT(O8962,""[0-9]+""))
),
0
)"),0.0)</f>
        <v>0</v>
      </c>
      <c r="E8962" s="1" t="s">
        <v>11</v>
      </c>
      <c r="F8962" s="1" t="s">
        <v>20</v>
      </c>
      <c r="G8962" s="4" t="b">
        <f t="shared" si="2"/>
        <v>1</v>
      </c>
      <c r="H8962" s="1" t="str">
        <f t="shared" si="3"/>
        <v>Currently Unavailable</v>
      </c>
      <c r="I8962" s="1" t="str">
        <f t="shared" si="4"/>
        <v>No Badges</v>
      </c>
      <c r="J8962" s="3">
        <f t="shared" si="5"/>
        <v>0</v>
      </c>
    </row>
    <row r="8963">
      <c r="A8963" s="1" t="s">
        <v>6855</v>
      </c>
      <c r="B8963" s="3" t="str">
        <f t="shared" si="1"/>
        <v>Unavailable</v>
      </c>
      <c r="C8963" s="5">
        <v>17946.0</v>
      </c>
      <c r="D8963" s="3">
        <f>IFERROR(__xludf.DUMMYFUNCTION("IFERROR(
IF(REGEXMATCH(LOWER(O8963),""k""),
VALUE(REGEXEXTRACT(O8963,""[0-9]+""))*1000,
VALUE(REGEXEXTRACT(O8963,""[0-9]+""))
),
0
)"),0.0)</f>
        <v>0</v>
      </c>
      <c r="E8963" s="1" t="s">
        <v>11</v>
      </c>
      <c r="F8963" s="1" t="s">
        <v>20</v>
      </c>
      <c r="G8963" s="4" t="b">
        <f t="shared" si="2"/>
        <v>1</v>
      </c>
      <c r="H8963" s="1" t="str">
        <f t="shared" si="3"/>
        <v>Currently Unavailable</v>
      </c>
      <c r="I8963" s="1" t="str">
        <f t="shared" si="4"/>
        <v>No Badges</v>
      </c>
      <c r="J8963" s="3">
        <f t="shared" si="5"/>
        <v>0</v>
      </c>
    </row>
    <row r="8964">
      <c r="A8964" s="1" t="s">
        <v>6856</v>
      </c>
      <c r="B8964" s="3" t="str">
        <f t="shared" si="1"/>
        <v>Unavailable</v>
      </c>
      <c r="C8964" s="3">
        <v>584.0</v>
      </c>
      <c r="D8964" s="3">
        <f>IFERROR(__xludf.DUMMYFUNCTION("IFERROR(
IF(REGEXMATCH(LOWER(O8964),""k""),
VALUE(REGEXEXTRACT(O8964,""[0-9]+""))*1000,
VALUE(REGEXEXTRACT(O8964,""[0-9]+""))
),
0
)"),0.0)</f>
        <v>0</v>
      </c>
      <c r="E8964" s="1" t="s">
        <v>11</v>
      </c>
      <c r="F8964" s="1" t="s">
        <v>20</v>
      </c>
      <c r="G8964" s="4" t="b">
        <f t="shared" si="2"/>
        <v>1</v>
      </c>
      <c r="H8964" s="1" t="str">
        <f t="shared" si="3"/>
        <v>Currently Unavailable</v>
      </c>
      <c r="I8964" s="1" t="str">
        <f t="shared" si="4"/>
        <v>No Badges</v>
      </c>
      <c r="J8964" s="3">
        <f t="shared" si="5"/>
        <v>0</v>
      </c>
    </row>
    <row r="8965">
      <c r="A8965" s="1" t="s">
        <v>5817</v>
      </c>
      <c r="B8965" s="3" t="str">
        <f t="shared" si="1"/>
        <v>Unavailable</v>
      </c>
      <c r="C8965" s="5">
        <v>7235.0</v>
      </c>
      <c r="D8965" s="3">
        <f>IFERROR(__xludf.DUMMYFUNCTION("IFERROR(
IF(REGEXMATCH(LOWER(O8965),""k""),
VALUE(REGEXEXTRACT(O8965,""[0-9]+""))*1000,
VALUE(REGEXEXTRACT(O8965,""[0-9]+""))
),
0
)"),0.0)</f>
        <v>0</v>
      </c>
      <c r="E8965" s="1" t="s">
        <v>11</v>
      </c>
      <c r="F8965" s="1" t="s">
        <v>12</v>
      </c>
      <c r="G8965" s="4" t="b">
        <f t="shared" si="2"/>
        <v>1</v>
      </c>
      <c r="H8965" s="1" t="str">
        <f t="shared" si="3"/>
        <v>Currently Unavailable</v>
      </c>
      <c r="I8965" s="1" t="str">
        <f t="shared" si="4"/>
        <v>No Badges</v>
      </c>
      <c r="J8965" s="3">
        <f t="shared" si="5"/>
        <v>0</v>
      </c>
    </row>
    <row r="8966">
      <c r="A8966" s="1" t="s">
        <v>6857</v>
      </c>
      <c r="B8966" s="3" t="str">
        <f t="shared" si="1"/>
        <v>Unavailable</v>
      </c>
      <c r="C8966" s="3">
        <v>842.0</v>
      </c>
      <c r="D8966" s="3">
        <f>IFERROR(__xludf.DUMMYFUNCTION("IFERROR(
IF(REGEXMATCH(LOWER(O8966),""k""),
VALUE(REGEXEXTRACT(O8966,""[0-9]+""))*1000,
VALUE(REGEXEXTRACT(O8966,""[0-9]+""))
),
0
)"),0.0)</f>
        <v>0</v>
      </c>
      <c r="E8966" s="1" t="s">
        <v>11</v>
      </c>
      <c r="F8966" s="1" t="s">
        <v>20</v>
      </c>
      <c r="G8966" s="4" t="b">
        <f t="shared" si="2"/>
        <v>1</v>
      </c>
      <c r="H8966" s="1" t="str">
        <f t="shared" si="3"/>
        <v>Currently Unavailable</v>
      </c>
      <c r="I8966" s="1" t="str">
        <f t="shared" si="4"/>
        <v>No Badges</v>
      </c>
      <c r="J8966" s="3">
        <f t="shared" si="5"/>
        <v>0</v>
      </c>
    </row>
    <row r="8967">
      <c r="A8967" s="1" t="s">
        <v>6858</v>
      </c>
      <c r="B8967" s="3" t="str">
        <f t="shared" si="1"/>
        <v>Unavailable</v>
      </c>
      <c r="C8967" s="5">
        <v>3473.0</v>
      </c>
      <c r="D8967" s="3">
        <f>IFERROR(__xludf.DUMMYFUNCTION("IFERROR(
IF(REGEXMATCH(LOWER(O8967),""k""),
VALUE(REGEXEXTRACT(O8967,""[0-9]+""))*1000,
VALUE(REGEXEXTRACT(O8967,""[0-9]+""))
),
0
)"),0.0)</f>
        <v>0</v>
      </c>
      <c r="E8967" s="1" t="s">
        <v>11</v>
      </c>
      <c r="F8967" s="1" t="s">
        <v>20</v>
      </c>
      <c r="G8967" s="4" t="b">
        <f t="shared" si="2"/>
        <v>1</v>
      </c>
      <c r="H8967" s="1" t="str">
        <f t="shared" si="3"/>
        <v>Currently Unavailable</v>
      </c>
      <c r="I8967" s="1" t="str">
        <f t="shared" si="4"/>
        <v>No Badges</v>
      </c>
      <c r="J8967" s="3">
        <f t="shared" si="5"/>
        <v>0</v>
      </c>
    </row>
    <row r="8968">
      <c r="A8968" s="1" t="s">
        <v>5817</v>
      </c>
      <c r="B8968" s="3" t="str">
        <f t="shared" si="1"/>
        <v>Unavailable</v>
      </c>
      <c r="C8968" s="5">
        <v>7235.0</v>
      </c>
      <c r="D8968" s="3">
        <f>IFERROR(__xludf.DUMMYFUNCTION("IFERROR(
IF(REGEXMATCH(LOWER(O8968),""k""),
VALUE(REGEXEXTRACT(O8968,""[0-9]+""))*1000,
VALUE(REGEXEXTRACT(O8968,""[0-9]+""))
),
0
)"),0.0)</f>
        <v>0</v>
      </c>
      <c r="E8968" s="1" t="s">
        <v>11</v>
      </c>
      <c r="F8968" s="1" t="s">
        <v>12</v>
      </c>
      <c r="G8968" s="4" t="b">
        <f t="shared" si="2"/>
        <v>1</v>
      </c>
      <c r="H8968" s="1" t="str">
        <f t="shared" si="3"/>
        <v>Currently Unavailable</v>
      </c>
      <c r="I8968" s="1" t="str">
        <f t="shared" si="4"/>
        <v>No Badges</v>
      </c>
      <c r="J8968" s="3">
        <f t="shared" si="5"/>
        <v>0</v>
      </c>
    </row>
    <row r="8969">
      <c r="A8969" s="1" t="s">
        <v>6859</v>
      </c>
      <c r="B8969" s="3" t="str">
        <f t="shared" si="1"/>
        <v>Unavailable</v>
      </c>
      <c r="C8969" s="3">
        <v>799.0</v>
      </c>
      <c r="D8969" s="3">
        <f>IFERROR(__xludf.DUMMYFUNCTION("IFERROR(
IF(REGEXMATCH(LOWER(O8969),""k""),
VALUE(REGEXEXTRACT(O8969,""[0-9]+""))*1000,
VALUE(REGEXEXTRACT(O8969,""[0-9]+""))
),
0
)"),0.0)</f>
        <v>0</v>
      </c>
      <c r="E8969" s="1" t="s">
        <v>11</v>
      </c>
      <c r="F8969" s="1" t="s">
        <v>20</v>
      </c>
      <c r="G8969" s="4" t="b">
        <f t="shared" si="2"/>
        <v>1</v>
      </c>
      <c r="H8969" s="1" t="str">
        <f t="shared" si="3"/>
        <v>Currently Unavailable</v>
      </c>
      <c r="I8969" s="1" t="str">
        <f t="shared" si="4"/>
        <v>No Badges</v>
      </c>
      <c r="J8969" s="3">
        <f t="shared" si="5"/>
        <v>0</v>
      </c>
    </row>
    <row r="8970">
      <c r="A8970" s="1" t="s">
        <v>6860</v>
      </c>
      <c r="B8970" s="3" t="str">
        <f t="shared" si="1"/>
        <v>Unavailable</v>
      </c>
      <c r="C8970" s="5">
        <v>3188.0</v>
      </c>
      <c r="D8970" s="3">
        <f>IFERROR(__xludf.DUMMYFUNCTION("IFERROR(
IF(REGEXMATCH(LOWER(O8970),""k""),
VALUE(REGEXEXTRACT(O8970,""[0-9]+""))*1000,
VALUE(REGEXEXTRACT(O8970,""[0-9]+""))
),
0
)"),0.0)</f>
        <v>0</v>
      </c>
      <c r="E8970" s="1" t="s">
        <v>11</v>
      </c>
      <c r="F8970" s="1" t="s">
        <v>20</v>
      </c>
      <c r="G8970" s="4" t="b">
        <f t="shared" si="2"/>
        <v>1</v>
      </c>
      <c r="H8970" s="1" t="str">
        <f t="shared" si="3"/>
        <v>Currently Unavailable</v>
      </c>
      <c r="I8970" s="1" t="str">
        <f t="shared" si="4"/>
        <v>No Badges</v>
      </c>
      <c r="J8970" s="3">
        <f t="shared" si="5"/>
        <v>0</v>
      </c>
    </row>
    <row r="8971">
      <c r="A8971" s="1" t="s">
        <v>6861</v>
      </c>
      <c r="B8971" s="3" t="str">
        <f t="shared" si="1"/>
        <v>Unavailable</v>
      </c>
      <c r="C8971" s="5">
        <v>1073.0</v>
      </c>
      <c r="D8971" s="3">
        <f>IFERROR(__xludf.DUMMYFUNCTION("IFERROR(
IF(REGEXMATCH(LOWER(O8971),""k""),
VALUE(REGEXEXTRACT(O8971,""[0-9]+""))*1000,
VALUE(REGEXEXTRACT(O8971,""[0-9]+""))
),
0
)"),0.0)</f>
        <v>0</v>
      </c>
      <c r="E8971" s="1" t="s">
        <v>11</v>
      </c>
      <c r="F8971" s="1" t="s">
        <v>20</v>
      </c>
      <c r="G8971" s="4" t="b">
        <f t="shared" si="2"/>
        <v>1</v>
      </c>
      <c r="H8971" s="1" t="str">
        <f t="shared" si="3"/>
        <v>Currently Unavailable</v>
      </c>
      <c r="I8971" s="1" t="str">
        <f t="shared" si="4"/>
        <v>No Badges</v>
      </c>
      <c r="J8971" s="3">
        <f t="shared" si="5"/>
        <v>0</v>
      </c>
    </row>
    <row r="8972">
      <c r="A8972" s="1" t="s">
        <v>6862</v>
      </c>
      <c r="B8972" s="3" t="str">
        <f t="shared" si="1"/>
        <v>Unavailable</v>
      </c>
      <c r="C8972" s="3">
        <v>699.0</v>
      </c>
      <c r="D8972" s="3">
        <f>IFERROR(__xludf.DUMMYFUNCTION("IFERROR(
IF(REGEXMATCH(LOWER(O8972),""k""),
VALUE(REGEXEXTRACT(O8972,""[0-9]+""))*1000,
VALUE(REGEXEXTRACT(O8972,""[0-9]+""))
),
0
)"),0.0)</f>
        <v>0</v>
      </c>
      <c r="E8972" s="1" t="s">
        <v>11</v>
      </c>
      <c r="F8972" s="1" t="s">
        <v>20</v>
      </c>
      <c r="G8972" s="4" t="b">
        <f t="shared" si="2"/>
        <v>1</v>
      </c>
      <c r="H8972" s="1" t="str">
        <f t="shared" si="3"/>
        <v>Currently Unavailable</v>
      </c>
      <c r="I8972" s="1" t="str">
        <f t="shared" si="4"/>
        <v>No Badges</v>
      </c>
      <c r="J8972" s="3">
        <f t="shared" si="5"/>
        <v>0</v>
      </c>
    </row>
    <row r="8973">
      <c r="A8973" s="1" t="s">
        <v>6863</v>
      </c>
      <c r="B8973" s="3" t="str">
        <f t="shared" si="1"/>
        <v>Unavailable</v>
      </c>
      <c r="C8973" s="5">
        <v>7576.0</v>
      </c>
      <c r="D8973" s="3">
        <f>IFERROR(__xludf.DUMMYFUNCTION("IFERROR(
IF(REGEXMATCH(LOWER(O8973),""k""),
VALUE(REGEXEXTRACT(O8973,""[0-9]+""))*1000,
VALUE(REGEXEXTRACT(O8973,""[0-9]+""))
),
0
)"),0.0)</f>
        <v>0</v>
      </c>
      <c r="E8973" s="1" t="s">
        <v>11</v>
      </c>
      <c r="F8973" s="1" t="s">
        <v>20</v>
      </c>
      <c r="G8973" s="4" t="b">
        <f t="shared" si="2"/>
        <v>1</v>
      </c>
      <c r="H8973" s="1" t="str">
        <f t="shared" si="3"/>
        <v>Currently Unavailable</v>
      </c>
      <c r="I8973" s="1" t="str">
        <f t="shared" si="4"/>
        <v>No Badges</v>
      </c>
      <c r="J8973" s="3">
        <f t="shared" si="5"/>
        <v>0</v>
      </c>
    </row>
    <row r="8974">
      <c r="A8974" s="1" t="s">
        <v>6210</v>
      </c>
      <c r="B8974" s="3" t="str">
        <f t="shared" si="1"/>
        <v>Unavailable</v>
      </c>
      <c r="C8974" s="5">
        <v>1549.0</v>
      </c>
      <c r="D8974" s="3">
        <f>IFERROR(__xludf.DUMMYFUNCTION("IFERROR(
IF(REGEXMATCH(LOWER(O8974),""k""),
VALUE(REGEXEXTRACT(O8974,""[0-9]+""))*1000,
VALUE(REGEXEXTRACT(O8974,""[0-9]+""))
),
0
)"),0.0)</f>
        <v>0</v>
      </c>
      <c r="E8974" s="1" t="s">
        <v>11</v>
      </c>
      <c r="F8974" s="1" t="s">
        <v>20</v>
      </c>
      <c r="G8974" s="4" t="b">
        <f t="shared" si="2"/>
        <v>1</v>
      </c>
      <c r="H8974" s="1" t="str">
        <f t="shared" si="3"/>
        <v>Currently Unavailable</v>
      </c>
      <c r="I8974" s="1" t="str">
        <f t="shared" si="4"/>
        <v>No Badges</v>
      </c>
      <c r="J8974" s="3">
        <f t="shared" si="5"/>
        <v>0</v>
      </c>
    </row>
    <row r="8975">
      <c r="A8975" s="1" t="s">
        <v>6864</v>
      </c>
      <c r="B8975" s="1" t="str">
        <f t="shared" si="1"/>
        <v>Unavailable</v>
      </c>
      <c r="C8975" s="1"/>
      <c r="D8975" s="3">
        <f>IFERROR(__xludf.DUMMYFUNCTION("IFERROR(
IF(REGEXMATCH(LOWER(O8975),""k""),
VALUE(REGEXEXTRACT(O8975,""[0-9]+""))*1000,
VALUE(REGEXEXTRACT(O8975,""[0-9]+""))
),
0
)"),0.0)</f>
        <v>0</v>
      </c>
      <c r="E8975" s="1" t="s">
        <v>11</v>
      </c>
      <c r="F8975" s="1" t="s">
        <v>20</v>
      </c>
      <c r="G8975" s="4" t="b">
        <f t="shared" si="2"/>
        <v>1</v>
      </c>
      <c r="H8975" s="1" t="str">
        <f t="shared" si="3"/>
        <v>Currently Unavailable</v>
      </c>
      <c r="I8975" s="1" t="str">
        <f t="shared" si="4"/>
        <v>No Badges</v>
      </c>
      <c r="J8975" s="3">
        <f t="shared" si="5"/>
        <v>0</v>
      </c>
    </row>
    <row r="8976">
      <c r="A8976" s="1" t="s">
        <v>6865</v>
      </c>
      <c r="B8976" s="3" t="str">
        <f t="shared" si="1"/>
        <v>Unavailable</v>
      </c>
      <c r="C8976" s="3">
        <v>483.0</v>
      </c>
      <c r="D8976" s="3">
        <f>IFERROR(__xludf.DUMMYFUNCTION("IFERROR(
IF(REGEXMATCH(LOWER(O8976),""k""),
VALUE(REGEXEXTRACT(O8976,""[0-9]+""))*1000,
VALUE(REGEXEXTRACT(O8976,""[0-9]+""))
),
0
)"),0.0)</f>
        <v>0</v>
      </c>
      <c r="E8976" s="1" t="s">
        <v>11</v>
      </c>
      <c r="F8976" s="1" t="s">
        <v>20</v>
      </c>
      <c r="G8976" s="4" t="b">
        <f t="shared" si="2"/>
        <v>1</v>
      </c>
      <c r="H8976" s="1" t="str">
        <f t="shared" si="3"/>
        <v>Currently Unavailable</v>
      </c>
      <c r="I8976" s="1" t="str">
        <f t="shared" si="4"/>
        <v>No Badges</v>
      </c>
      <c r="J8976" s="3">
        <f t="shared" si="5"/>
        <v>0</v>
      </c>
    </row>
    <row r="8977">
      <c r="A8977" s="1" t="s">
        <v>6866</v>
      </c>
      <c r="B8977" s="3" t="str">
        <f t="shared" si="1"/>
        <v>Unavailable</v>
      </c>
      <c r="C8977" s="5">
        <v>7123.0</v>
      </c>
      <c r="D8977" s="3">
        <f>IFERROR(__xludf.DUMMYFUNCTION("IFERROR(
IF(REGEXMATCH(LOWER(O8977),""k""),
VALUE(REGEXEXTRACT(O8977,""[0-9]+""))*1000,
VALUE(REGEXEXTRACT(O8977,""[0-9]+""))
),
0
)"),0.0)</f>
        <v>0</v>
      </c>
      <c r="E8977" s="1" t="s">
        <v>11</v>
      </c>
      <c r="F8977" s="1" t="s">
        <v>20</v>
      </c>
      <c r="G8977" s="4" t="b">
        <f t="shared" si="2"/>
        <v>1</v>
      </c>
      <c r="H8977" s="1" t="str">
        <f t="shared" si="3"/>
        <v>Currently Unavailable</v>
      </c>
      <c r="I8977" s="1" t="str">
        <f t="shared" si="4"/>
        <v>No Badges</v>
      </c>
      <c r="J8977" s="3">
        <f t="shared" si="5"/>
        <v>0</v>
      </c>
    </row>
    <row r="8978">
      <c r="A8978" s="1" t="s">
        <v>5817</v>
      </c>
      <c r="B8978" s="3" t="str">
        <f t="shared" si="1"/>
        <v>Unavailable</v>
      </c>
      <c r="C8978" s="5">
        <v>7235.0</v>
      </c>
      <c r="D8978" s="3">
        <f>IFERROR(__xludf.DUMMYFUNCTION("IFERROR(
IF(REGEXMATCH(LOWER(O8978),""k""),
VALUE(REGEXEXTRACT(O8978,""[0-9]+""))*1000,
VALUE(REGEXEXTRACT(O8978,""[0-9]+""))
),
0
)"),0.0)</f>
        <v>0</v>
      </c>
      <c r="E8978" s="1" t="s">
        <v>11</v>
      </c>
      <c r="F8978" s="1" t="s">
        <v>12</v>
      </c>
      <c r="G8978" s="4" t="b">
        <f t="shared" si="2"/>
        <v>1</v>
      </c>
      <c r="H8978" s="1" t="str">
        <f t="shared" si="3"/>
        <v>Currently Unavailable</v>
      </c>
      <c r="I8978" s="1" t="str">
        <f t="shared" si="4"/>
        <v>No Badges</v>
      </c>
      <c r="J8978" s="3">
        <f t="shared" si="5"/>
        <v>0</v>
      </c>
    </row>
    <row r="8979">
      <c r="A8979" s="1" t="s">
        <v>6867</v>
      </c>
      <c r="B8979" s="3" t="str">
        <f t="shared" si="1"/>
        <v>Unavailable</v>
      </c>
      <c r="C8979" s="3">
        <v>37.0</v>
      </c>
      <c r="D8979" s="3">
        <f>IFERROR(__xludf.DUMMYFUNCTION("IFERROR(
IF(REGEXMATCH(LOWER(O8979),""k""),
VALUE(REGEXEXTRACT(O8979,""[0-9]+""))*1000,
VALUE(REGEXEXTRACT(O8979,""[0-9]+""))
),
0
)"),0.0)</f>
        <v>0</v>
      </c>
      <c r="E8979" s="1" t="s">
        <v>11</v>
      </c>
      <c r="F8979" s="1" t="s">
        <v>20</v>
      </c>
      <c r="G8979" s="4" t="b">
        <f t="shared" si="2"/>
        <v>1</v>
      </c>
      <c r="H8979" s="1" t="str">
        <f t="shared" si="3"/>
        <v>Currently Unavailable</v>
      </c>
      <c r="I8979" s="1" t="str">
        <f t="shared" si="4"/>
        <v>No Badges</v>
      </c>
      <c r="J8979" s="3">
        <f t="shared" si="5"/>
        <v>0</v>
      </c>
    </row>
    <row r="8980">
      <c r="A8980" s="1" t="s">
        <v>6868</v>
      </c>
      <c r="B8980" s="3" t="str">
        <f t="shared" si="1"/>
        <v>Unavailable</v>
      </c>
      <c r="C8980" s="3">
        <v>463.0</v>
      </c>
      <c r="D8980" s="3">
        <f>IFERROR(__xludf.DUMMYFUNCTION("IFERROR(
IF(REGEXMATCH(LOWER(O8980),""k""),
VALUE(REGEXEXTRACT(O8980,""[0-9]+""))*1000,
VALUE(REGEXEXTRACT(O8980,""[0-9]+""))
),
0
)"),0.0)</f>
        <v>0</v>
      </c>
      <c r="E8980" s="1" t="s">
        <v>11</v>
      </c>
      <c r="F8980" s="1" t="s">
        <v>20</v>
      </c>
      <c r="G8980" s="4" t="b">
        <f t="shared" si="2"/>
        <v>1</v>
      </c>
      <c r="H8980" s="1" t="str">
        <f t="shared" si="3"/>
        <v>Currently Unavailable</v>
      </c>
      <c r="I8980" s="1" t="str">
        <f t="shared" si="4"/>
        <v>No Badges</v>
      </c>
      <c r="J8980" s="3">
        <f t="shared" si="5"/>
        <v>0</v>
      </c>
    </row>
    <row r="8981">
      <c r="A8981" s="1" t="s">
        <v>6869</v>
      </c>
      <c r="B8981" s="3" t="str">
        <f t="shared" si="1"/>
        <v>Unavailable</v>
      </c>
      <c r="C8981" s="5">
        <v>5966.0</v>
      </c>
      <c r="D8981" s="3">
        <f>IFERROR(__xludf.DUMMYFUNCTION("IFERROR(
IF(REGEXMATCH(LOWER(O8981),""k""),
VALUE(REGEXEXTRACT(O8981,""[0-9]+""))*1000,
VALUE(REGEXEXTRACT(O8981,""[0-9]+""))
),
0
)"),0.0)</f>
        <v>0</v>
      </c>
      <c r="E8981" s="1" t="s">
        <v>11</v>
      </c>
      <c r="F8981" s="1" t="s">
        <v>20</v>
      </c>
      <c r="G8981" s="4" t="b">
        <f t="shared" si="2"/>
        <v>1</v>
      </c>
      <c r="H8981" s="1" t="str">
        <f t="shared" si="3"/>
        <v>Currently Unavailable</v>
      </c>
      <c r="I8981" s="1" t="str">
        <f t="shared" si="4"/>
        <v>No Badges</v>
      </c>
      <c r="J8981" s="3">
        <f t="shared" si="5"/>
        <v>0</v>
      </c>
    </row>
    <row r="8982">
      <c r="A8982" s="1" t="s">
        <v>5817</v>
      </c>
      <c r="B8982" s="3" t="str">
        <f t="shared" si="1"/>
        <v>Unavailable</v>
      </c>
      <c r="C8982" s="5">
        <v>7235.0</v>
      </c>
      <c r="D8982" s="3">
        <f>IFERROR(__xludf.DUMMYFUNCTION("IFERROR(
IF(REGEXMATCH(LOWER(O8982),""k""),
VALUE(REGEXEXTRACT(O8982,""[0-9]+""))*1000,
VALUE(REGEXEXTRACT(O8982,""[0-9]+""))
),
0
)"),0.0)</f>
        <v>0</v>
      </c>
      <c r="E8982" s="1" t="s">
        <v>11</v>
      </c>
      <c r="F8982" s="1" t="s">
        <v>12</v>
      </c>
      <c r="G8982" s="4" t="b">
        <f t="shared" si="2"/>
        <v>1</v>
      </c>
      <c r="H8982" s="1" t="str">
        <f t="shared" si="3"/>
        <v>Currently Unavailable</v>
      </c>
      <c r="I8982" s="1" t="str">
        <f t="shared" si="4"/>
        <v>No Badges</v>
      </c>
      <c r="J8982" s="3">
        <f t="shared" si="5"/>
        <v>0</v>
      </c>
    </row>
    <row r="8983">
      <c r="A8983" s="1" t="s">
        <v>6870</v>
      </c>
      <c r="B8983" s="3" t="str">
        <f t="shared" si="1"/>
        <v>Unavailable</v>
      </c>
      <c r="C8983" s="5">
        <v>2544.0</v>
      </c>
      <c r="D8983" s="3">
        <f>IFERROR(__xludf.DUMMYFUNCTION("IFERROR(
IF(REGEXMATCH(LOWER(O8983),""k""),
VALUE(REGEXEXTRACT(O8983,""[0-9]+""))*1000,
VALUE(REGEXEXTRACT(O8983,""[0-9]+""))
),
0
)"),0.0)</f>
        <v>0</v>
      </c>
      <c r="E8983" s="1" t="s">
        <v>11</v>
      </c>
      <c r="F8983" s="1" t="s">
        <v>20</v>
      </c>
      <c r="G8983" s="4" t="b">
        <f t="shared" si="2"/>
        <v>1</v>
      </c>
      <c r="H8983" s="1" t="str">
        <f t="shared" si="3"/>
        <v>Currently Unavailable</v>
      </c>
      <c r="I8983" s="1" t="str">
        <f t="shared" si="4"/>
        <v>No Badges</v>
      </c>
      <c r="J8983" s="3">
        <f t="shared" si="5"/>
        <v>0</v>
      </c>
    </row>
    <row r="8984">
      <c r="A8984" s="1" t="s">
        <v>5817</v>
      </c>
      <c r="B8984" s="3" t="str">
        <f t="shared" si="1"/>
        <v>Unavailable</v>
      </c>
      <c r="C8984" s="5">
        <v>7235.0</v>
      </c>
      <c r="D8984" s="3">
        <f>IFERROR(__xludf.DUMMYFUNCTION("IFERROR(
IF(REGEXMATCH(LOWER(O8984),""k""),
VALUE(REGEXEXTRACT(O8984,""[0-9]+""))*1000,
VALUE(REGEXEXTRACT(O8984,""[0-9]+""))
),
0
)"),0.0)</f>
        <v>0</v>
      </c>
      <c r="E8984" s="1" t="s">
        <v>11</v>
      </c>
      <c r="F8984" s="1" t="s">
        <v>12</v>
      </c>
      <c r="G8984" s="4" t="b">
        <f t="shared" si="2"/>
        <v>1</v>
      </c>
      <c r="H8984" s="1" t="str">
        <f t="shared" si="3"/>
        <v>Currently Unavailable</v>
      </c>
      <c r="I8984" s="1" t="str">
        <f t="shared" si="4"/>
        <v>No Badges</v>
      </c>
      <c r="J8984" s="3">
        <f t="shared" si="5"/>
        <v>0</v>
      </c>
    </row>
    <row r="8985">
      <c r="A8985" s="1" t="s">
        <v>6468</v>
      </c>
      <c r="B8985" s="3" t="str">
        <f t="shared" si="1"/>
        <v>Unavailable</v>
      </c>
      <c r="C8985" s="5">
        <v>3032.0</v>
      </c>
      <c r="D8985" s="3">
        <f>IFERROR(__xludf.DUMMYFUNCTION("IFERROR(
IF(REGEXMATCH(LOWER(O8985),""k""),
VALUE(REGEXEXTRACT(O8985,""[0-9]+""))*1000,
VALUE(REGEXEXTRACT(O8985,""[0-9]+""))
),
0
)"),0.0)</f>
        <v>0</v>
      </c>
      <c r="E8985" s="1" t="s">
        <v>11</v>
      </c>
      <c r="F8985" s="1" t="s">
        <v>20</v>
      </c>
      <c r="G8985" s="4" t="b">
        <f t="shared" si="2"/>
        <v>1</v>
      </c>
      <c r="H8985" s="1" t="str">
        <f t="shared" si="3"/>
        <v>Currently Unavailable</v>
      </c>
      <c r="I8985" s="1" t="str">
        <f t="shared" si="4"/>
        <v>No Badges</v>
      </c>
      <c r="J8985" s="3">
        <f t="shared" si="5"/>
        <v>0</v>
      </c>
    </row>
    <row r="8986">
      <c r="A8986" s="1" t="s">
        <v>6871</v>
      </c>
      <c r="B8986" s="3" t="str">
        <f t="shared" si="1"/>
        <v>Unavailable</v>
      </c>
      <c r="C8986" s="3">
        <v>70.0</v>
      </c>
      <c r="D8986" s="3">
        <f>IFERROR(__xludf.DUMMYFUNCTION("IFERROR(
IF(REGEXMATCH(LOWER(O8986),""k""),
VALUE(REGEXEXTRACT(O8986,""[0-9]+""))*1000,
VALUE(REGEXEXTRACT(O8986,""[0-9]+""))
),
0
)"),0.0)</f>
        <v>0</v>
      </c>
      <c r="E8986" s="1" t="s">
        <v>11</v>
      </c>
      <c r="F8986" s="1" t="s">
        <v>20</v>
      </c>
      <c r="G8986" s="4" t="b">
        <f t="shared" si="2"/>
        <v>1</v>
      </c>
      <c r="H8986" s="1" t="str">
        <f t="shared" si="3"/>
        <v>Currently Unavailable</v>
      </c>
      <c r="I8986" s="1" t="str">
        <f t="shared" si="4"/>
        <v>No Badges</v>
      </c>
      <c r="J8986" s="3">
        <f t="shared" si="5"/>
        <v>0</v>
      </c>
    </row>
    <row r="8987">
      <c r="A8987" s="1" t="s">
        <v>6872</v>
      </c>
      <c r="B8987" s="3" t="str">
        <f t="shared" si="1"/>
        <v>Unavailable</v>
      </c>
      <c r="C8987" s="5">
        <v>4241.0</v>
      </c>
      <c r="D8987" s="3">
        <f>IFERROR(__xludf.DUMMYFUNCTION("IFERROR(
IF(REGEXMATCH(LOWER(O8987),""k""),
VALUE(REGEXEXTRACT(O8987,""[0-9]+""))*1000,
VALUE(REGEXEXTRACT(O8987,""[0-9]+""))
),
0
)"),0.0)</f>
        <v>0</v>
      </c>
      <c r="E8987" s="1" t="s">
        <v>11</v>
      </c>
      <c r="F8987" s="1" t="s">
        <v>20</v>
      </c>
      <c r="G8987" s="4" t="b">
        <f t="shared" si="2"/>
        <v>1</v>
      </c>
      <c r="H8987" s="1" t="str">
        <f t="shared" si="3"/>
        <v>Currently Unavailable</v>
      </c>
      <c r="I8987" s="1" t="str">
        <f t="shared" si="4"/>
        <v>No Badges</v>
      </c>
      <c r="J8987" s="3">
        <f t="shared" si="5"/>
        <v>0</v>
      </c>
    </row>
    <row r="8988">
      <c r="A8988" s="1" t="s">
        <v>6873</v>
      </c>
      <c r="B8988" s="3" t="str">
        <f t="shared" si="1"/>
        <v>Unavailable</v>
      </c>
      <c r="C8988" s="3">
        <v>918.0</v>
      </c>
      <c r="D8988" s="3">
        <f>IFERROR(__xludf.DUMMYFUNCTION("IFERROR(
IF(REGEXMATCH(LOWER(O8988),""k""),
VALUE(REGEXEXTRACT(O8988,""[0-9]+""))*1000,
VALUE(REGEXEXTRACT(O8988,""[0-9]+""))
),
0
)"),0.0)</f>
        <v>0</v>
      </c>
      <c r="E8988" s="1" t="s">
        <v>11</v>
      </c>
      <c r="F8988" s="1" t="s">
        <v>20</v>
      </c>
      <c r="G8988" s="4" t="b">
        <f t="shared" si="2"/>
        <v>1</v>
      </c>
      <c r="H8988" s="1" t="str">
        <f t="shared" si="3"/>
        <v>Currently Unavailable</v>
      </c>
      <c r="I8988" s="1" t="str">
        <f t="shared" si="4"/>
        <v>No Badges</v>
      </c>
      <c r="J8988" s="3">
        <f t="shared" si="5"/>
        <v>0</v>
      </c>
    </row>
    <row r="8989">
      <c r="A8989" s="1" t="s">
        <v>6874</v>
      </c>
      <c r="B8989" s="3" t="str">
        <f t="shared" si="1"/>
        <v>Unavailable</v>
      </c>
      <c r="C8989" s="3">
        <v>614.0</v>
      </c>
      <c r="D8989" s="3">
        <f>IFERROR(__xludf.DUMMYFUNCTION("IFERROR(
IF(REGEXMATCH(LOWER(O8989),""k""),
VALUE(REGEXEXTRACT(O8989,""[0-9]+""))*1000,
VALUE(REGEXEXTRACT(O8989,""[0-9]+""))
),
0
)"),0.0)</f>
        <v>0</v>
      </c>
      <c r="E8989" s="1" t="s">
        <v>11</v>
      </c>
      <c r="F8989" s="1" t="s">
        <v>20</v>
      </c>
      <c r="G8989" s="4" t="b">
        <f t="shared" si="2"/>
        <v>1</v>
      </c>
      <c r="H8989" s="1" t="str">
        <f t="shared" si="3"/>
        <v>Currently Unavailable</v>
      </c>
      <c r="I8989" s="1" t="str">
        <f t="shared" si="4"/>
        <v>No Badges</v>
      </c>
      <c r="J8989" s="3">
        <f t="shared" si="5"/>
        <v>0</v>
      </c>
    </row>
    <row r="8990">
      <c r="A8990" s="1" t="s">
        <v>6875</v>
      </c>
      <c r="B8990" s="3" t="str">
        <f t="shared" si="1"/>
        <v>Unavailable</v>
      </c>
      <c r="C8990" s="3">
        <v>123.0</v>
      </c>
      <c r="D8990" s="3">
        <f>IFERROR(__xludf.DUMMYFUNCTION("IFERROR(
IF(REGEXMATCH(LOWER(O8990),""k""),
VALUE(REGEXEXTRACT(O8990,""[0-9]+""))*1000,
VALUE(REGEXEXTRACT(O8990,""[0-9]+""))
),
0
)"),0.0)</f>
        <v>0</v>
      </c>
      <c r="E8990" s="1" t="s">
        <v>11</v>
      </c>
      <c r="F8990" s="1" t="s">
        <v>20</v>
      </c>
      <c r="G8990" s="4" t="b">
        <f t="shared" si="2"/>
        <v>1</v>
      </c>
      <c r="H8990" s="1" t="str">
        <f t="shared" si="3"/>
        <v>Currently Unavailable</v>
      </c>
      <c r="I8990" s="1" t="str">
        <f t="shared" si="4"/>
        <v>No Badges</v>
      </c>
      <c r="J8990" s="3">
        <f t="shared" si="5"/>
        <v>0</v>
      </c>
    </row>
    <row r="8991">
      <c r="A8991" s="1" t="s">
        <v>6876</v>
      </c>
      <c r="B8991" s="3" t="str">
        <f t="shared" si="1"/>
        <v>Unavailable</v>
      </c>
      <c r="C8991" s="5">
        <v>6746.0</v>
      </c>
      <c r="D8991" s="3">
        <f>IFERROR(__xludf.DUMMYFUNCTION("IFERROR(
IF(REGEXMATCH(LOWER(O8991),""k""),
VALUE(REGEXEXTRACT(O8991,""[0-9]+""))*1000,
VALUE(REGEXEXTRACT(O8991,""[0-9]+""))
),
0
)"),0.0)</f>
        <v>0</v>
      </c>
      <c r="E8991" s="1" t="s">
        <v>11</v>
      </c>
      <c r="F8991" s="1" t="s">
        <v>20</v>
      </c>
      <c r="G8991" s="4" t="b">
        <f t="shared" si="2"/>
        <v>1</v>
      </c>
      <c r="H8991" s="1" t="str">
        <f t="shared" si="3"/>
        <v>Currently Unavailable</v>
      </c>
      <c r="I8991" s="1" t="str">
        <f t="shared" si="4"/>
        <v>No Badges</v>
      </c>
      <c r="J8991" s="3">
        <f t="shared" si="5"/>
        <v>0</v>
      </c>
    </row>
    <row r="8992">
      <c r="A8992" s="1" t="s">
        <v>6877</v>
      </c>
      <c r="B8992" s="3" t="str">
        <f t="shared" si="1"/>
        <v>Unavailable</v>
      </c>
      <c r="C8992" s="3">
        <v>370.0</v>
      </c>
      <c r="D8992" s="3">
        <f>IFERROR(__xludf.DUMMYFUNCTION("IFERROR(
IF(REGEXMATCH(LOWER(O8992),""k""),
VALUE(REGEXEXTRACT(O8992,""[0-9]+""))*1000,
VALUE(REGEXEXTRACT(O8992,""[0-9]+""))
),
0
)"),0.0)</f>
        <v>0</v>
      </c>
      <c r="E8992" s="1" t="s">
        <v>11</v>
      </c>
      <c r="F8992" s="1" t="s">
        <v>20</v>
      </c>
      <c r="G8992" s="4" t="b">
        <f t="shared" si="2"/>
        <v>1</v>
      </c>
      <c r="H8992" s="1" t="str">
        <f t="shared" si="3"/>
        <v>Currently Unavailable</v>
      </c>
      <c r="I8992" s="1" t="str">
        <f t="shared" si="4"/>
        <v>No Badges</v>
      </c>
      <c r="J8992" s="3">
        <f t="shared" si="5"/>
        <v>0</v>
      </c>
    </row>
    <row r="8993">
      <c r="A8993" s="1" t="s">
        <v>6878</v>
      </c>
      <c r="B8993" s="3" t="str">
        <f t="shared" si="1"/>
        <v>Unavailable</v>
      </c>
      <c r="C8993" s="3">
        <v>655.0</v>
      </c>
      <c r="D8993" s="3">
        <f>IFERROR(__xludf.DUMMYFUNCTION("IFERROR(
IF(REGEXMATCH(LOWER(O8993),""k""),
VALUE(REGEXEXTRACT(O8993,""[0-9]+""))*1000,
VALUE(REGEXEXTRACT(O8993,""[0-9]+""))
),
0
)"),0.0)</f>
        <v>0</v>
      </c>
      <c r="E8993" s="1" t="s">
        <v>11</v>
      </c>
      <c r="F8993" s="1" t="s">
        <v>20</v>
      </c>
      <c r="G8993" s="4" t="b">
        <f t="shared" si="2"/>
        <v>1</v>
      </c>
      <c r="H8993" s="1" t="str">
        <f t="shared" si="3"/>
        <v>Currently Unavailable</v>
      </c>
      <c r="I8993" s="1" t="str">
        <f t="shared" si="4"/>
        <v>No Badges</v>
      </c>
      <c r="J8993" s="3">
        <f t="shared" si="5"/>
        <v>0</v>
      </c>
    </row>
    <row r="8994">
      <c r="A8994" s="1" t="s">
        <v>6879</v>
      </c>
      <c r="B8994" s="3" t="str">
        <f t="shared" si="1"/>
        <v>Unavailable</v>
      </c>
      <c r="C8994" s="5">
        <v>1108.0</v>
      </c>
      <c r="D8994" s="3">
        <f>IFERROR(__xludf.DUMMYFUNCTION("IFERROR(
IF(REGEXMATCH(LOWER(O8994),""k""),
VALUE(REGEXEXTRACT(O8994,""[0-9]+""))*1000,
VALUE(REGEXEXTRACT(O8994,""[0-9]+""))
),
0
)"),0.0)</f>
        <v>0</v>
      </c>
      <c r="E8994" s="1" t="s">
        <v>11</v>
      </c>
      <c r="F8994" s="1" t="s">
        <v>20</v>
      </c>
      <c r="G8994" s="4" t="b">
        <f t="shared" si="2"/>
        <v>1</v>
      </c>
      <c r="H8994" s="1" t="str">
        <f t="shared" si="3"/>
        <v>Currently Unavailable</v>
      </c>
      <c r="I8994" s="1" t="str">
        <f t="shared" si="4"/>
        <v>No Badges</v>
      </c>
      <c r="J8994" s="3">
        <f t="shared" si="5"/>
        <v>0</v>
      </c>
    </row>
    <row r="8995">
      <c r="A8995" s="1" t="s">
        <v>5817</v>
      </c>
      <c r="B8995" s="3" t="str">
        <f t="shared" si="1"/>
        <v>Unavailable</v>
      </c>
      <c r="C8995" s="5">
        <v>7235.0</v>
      </c>
      <c r="D8995" s="3">
        <f>IFERROR(__xludf.DUMMYFUNCTION("IFERROR(
IF(REGEXMATCH(LOWER(O8995),""k""),
VALUE(REGEXEXTRACT(O8995,""[0-9]+""))*1000,
VALUE(REGEXEXTRACT(O8995,""[0-9]+""))
),
0
)"),0.0)</f>
        <v>0</v>
      </c>
      <c r="E8995" s="1" t="s">
        <v>11</v>
      </c>
      <c r="F8995" s="1" t="s">
        <v>12</v>
      </c>
      <c r="G8995" s="4" t="b">
        <f t="shared" si="2"/>
        <v>1</v>
      </c>
      <c r="H8995" s="1" t="str">
        <f t="shared" si="3"/>
        <v>Currently Unavailable</v>
      </c>
      <c r="I8995" s="1" t="str">
        <f t="shared" si="4"/>
        <v>No Badges</v>
      </c>
      <c r="J8995" s="3">
        <f t="shared" si="5"/>
        <v>0</v>
      </c>
    </row>
    <row r="8996">
      <c r="A8996" s="1" t="s">
        <v>6880</v>
      </c>
      <c r="B8996" s="3" t="str">
        <f t="shared" si="1"/>
        <v>Unavailable</v>
      </c>
      <c r="C8996" s="5">
        <v>17835.0</v>
      </c>
      <c r="D8996" s="3">
        <f>IFERROR(__xludf.DUMMYFUNCTION("IFERROR(
IF(REGEXMATCH(LOWER(O8996),""k""),
VALUE(REGEXEXTRACT(O8996,""[0-9]+""))*1000,
VALUE(REGEXEXTRACT(O8996,""[0-9]+""))
),
0
)"),0.0)</f>
        <v>0</v>
      </c>
      <c r="E8996" s="1" t="s">
        <v>11</v>
      </c>
      <c r="F8996" s="1" t="s">
        <v>20</v>
      </c>
      <c r="G8996" s="4" t="b">
        <f t="shared" si="2"/>
        <v>1</v>
      </c>
      <c r="H8996" s="1" t="str">
        <f t="shared" si="3"/>
        <v>Currently Unavailable</v>
      </c>
      <c r="I8996" s="1" t="str">
        <f t="shared" si="4"/>
        <v>No Badges</v>
      </c>
      <c r="J8996" s="3">
        <f t="shared" si="5"/>
        <v>0</v>
      </c>
    </row>
    <row r="8997">
      <c r="A8997" s="1" t="s">
        <v>6881</v>
      </c>
      <c r="B8997" s="3" t="str">
        <f t="shared" si="1"/>
        <v>Unavailable</v>
      </c>
      <c r="C8997" s="5">
        <v>5919.0</v>
      </c>
      <c r="D8997" s="3">
        <f>IFERROR(__xludf.DUMMYFUNCTION("IFERROR(
IF(REGEXMATCH(LOWER(O8997),""k""),
VALUE(REGEXEXTRACT(O8997,""[0-9]+""))*1000,
VALUE(REGEXEXTRACT(O8997,""[0-9]+""))
),
0
)"),0.0)</f>
        <v>0</v>
      </c>
      <c r="E8997" s="1" t="s">
        <v>11</v>
      </c>
      <c r="F8997" s="1" t="s">
        <v>20</v>
      </c>
      <c r="G8997" s="4" t="b">
        <f t="shared" si="2"/>
        <v>1</v>
      </c>
      <c r="H8997" s="1" t="str">
        <f t="shared" si="3"/>
        <v>Currently Unavailable</v>
      </c>
      <c r="I8997" s="1" t="str">
        <f t="shared" si="4"/>
        <v>No Badges</v>
      </c>
      <c r="J8997" s="3">
        <f t="shared" si="5"/>
        <v>0</v>
      </c>
    </row>
    <row r="8998">
      <c r="A8998" s="1" t="s">
        <v>5817</v>
      </c>
      <c r="B8998" s="3" t="str">
        <f t="shared" si="1"/>
        <v>Unavailable</v>
      </c>
      <c r="C8998" s="5">
        <v>7235.0</v>
      </c>
      <c r="D8998" s="3">
        <f>IFERROR(__xludf.DUMMYFUNCTION("IFERROR(
IF(REGEXMATCH(LOWER(O8998),""k""),
VALUE(REGEXEXTRACT(O8998,""[0-9]+""))*1000,
VALUE(REGEXEXTRACT(O8998,""[0-9]+""))
),
0
)"),0.0)</f>
        <v>0</v>
      </c>
      <c r="E8998" s="1" t="s">
        <v>11</v>
      </c>
      <c r="F8998" s="1" t="s">
        <v>12</v>
      </c>
      <c r="G8998" s="4" t="b">
        <f t="shared" si="2"/>
        <v>1</v>
      </c>
      <c r="H8998" s="1" t="str">
        <f t="shared" si="3"/>
        <v>Currently Unavailable</v>
      </c>
      <c r="I8998" s="1" t="str">
        <f t="shared" si="4"/>
        <v>No Badges</v>
      </c>
      <c r="J8998" s="3">
        <f t="shared" si="5"/>
        <v>0</v>
      </c>
    </row>
    <row r="8999">
      <c r="A8999" s="1" t="s">
        <v>6882</v>
      </c>
      <c r="B8999" s="3" t="str">
        <f t="shared" si="1"/>
        <v>Unavailable</v>
      </c>
      <c r="C8999" s="5">
        <v>10610.0</v>
      </c>
      <c r="D8999" s="3">
        <f>IFERROR(__xludf.DUMMYFUNCTION("IFERROR(
IF(REGEXMATCH(LOWER(O8999),""k""),
VALUE(REGEXEXTRACT(O8999,""[0-9]+""))*1000,
VALUE(REGEXEXTRACT(O8999,""[0-9]+""))
),
0
)"),0.0)</f>
        <v>0</v>
      </c>
      <c r="E8999" s="1" t="s">
        <v>11</v>
      </c>
      <c r="F8999" s="1" t="s">
        <v>20</v>
      </c>
      <c r="G8999" s="4" t="b">
        <f t="shared" si="2"/>
        <v>1</v>
      </c>
      <c r="H8999" s="1" t="str">
        <f t="shared" si="3"/>
        <v>Currently Unavailable</v>
      </c>
      <c r="I8999" s="1" t="str">
        <f t="shared" si="4"/>
        <v>No Badges</v>
      </c>
      <c r="J8999" s="3">
        <f t="shared" si="5"/>
        <v>0</v>
      </c>
    </row>
    <row r="9000">
      <c r="A9000" s="1" t="s">
        <v>5817</v>
      </c>
      <c r="B9000" s="3" t="str">
        <f t="shared" si="1"/>
        <v>Unavailable</v>
      </c>
      <c r="C9000" s="5">
        <v>7235.0</v>
      </c>
      <c r="D9000" s="3">
        <f>IFERROR(__xludf.DUMMYFUNCTION("IFERROR(
IF(REGEXMATCH(LOWER(O9000),""k""),
VALUE(REGEXEXTRACT(O9000,""[0-9]+""))*1000,
VALUE(REGEXEXTRACT(O9000,""[0-9]+""))
),
0
)"),0.0)</f>
        <v>0</v>
      </c>
      <c r="E9000" s="1" t="s">
        <v>11</v>
      </c>
      <c r="F9000" s="1" t="s">
        <v>12</v>
      </c>
      <c r="G9000" s="4" t="b">
        <f t="shared" si="2"/>
        <v>1</v>
      </c>
      <c r="H9000" s="1" t="str">
        <f t="shared" si="3"/>
        <v>Currently Unavailable</v>
      </c>
      <c r="I9000" s="1" t="str">
        <f t="shared" si="4"/>
        <v>No Badges</v>
      </c>
      <c r="J9000" s="3">
        <f t="shared" si="5"/>
        <v>0</v>
      </c>
    </row>
    <row r="9001">
      <c r="A9001" s="1" t="s">
        <v>6883</v>
      </c>
      <c r="B9001" s="3" t="str">
        <f t="shared" si="1"/>
        <v>Unavailable</v>
      </c>
      <c r="C9001" s="5">
        <v>17310.0</v>
      </c>
      <c r="D9001" s="3">
        <f>IFERROR(__xludf.DUMMYFUNCTION("IFERROR(
IF(REGEXMATCH(LOWER(O9001),""k""),
VALUE(REGEXEXTRACT(O9001,""[0-9]+""))*1000,
VALUE(REGEXEXTRACT(O9001,""[0-9]+""))
),
0
)"),0.0)</f>
        <v>0</v>
      </c>
      <c r="E9001" s="1" t="s">
        <v>11</v>
      </c>
      <c r="F9001" s="1" t="s">
        <v>20</v>
      </c>
      <c r="G9001" s="4" t="b">
        <f t="shared" si="2"/>
        <v>1</v>
      </c>
      <c r="H9001" s="1" t="str">
        <f t="shared" si="3"/>
        <v>Currently Unavailable</v>
      </c>
      <c r="I9001" s="1" t="str">
        <f t="shared" si="4"/>
        <v>No Badges</v>
      </c>
      <c r="J9001" s="3">
        <f t="shared" si="5"/>
        <v>0</v>
      </c>
    </row>
    <row r="9002">
      <c r="A9002" s="1" t="s">
        <v>6884</v>
      </c>
      <c r="B9002" s="3" t="str">
        <f t="shared" si="1"/>
        <v>Unavailable</v>
      </c>
      <c r="C9002" s="3">
        <v>255.0</v>
      </c>
      <c r="D9002" s="3">
        <f>IFERROR(__xludf.DUMMYFUNCTION("IFERROR(
IF(REGEXMATCH(LOWER(O9002),""k""),
VALUE(REGEXEXTRACT(O9002,""[0-9]+""))*1000,
VALUE(REGEXEXTRACT(O9002,""[0-9]+""))
),
0
)"),0.0)</f>
        <v>0</v>
      </c>
      <c r="E9002" s="1" t="s">
        <v>11</v>
      </c>
      <c r="F9002" s="1" t="s">
        <v>20</v>
      </c>
      <c r="G9002" s="4" t="b">
        <f t="shared" si="2"/>
        <v>1</v>
      </c>
      <c r="H9002" s="1" t="str">
        <f t="shared" si="3"/>
        <v>Currently Unavailable</v>
      </c>
      <c r="I9002" s="1" t="str">
        <f t="shared" si="4"/>
        <v>No Badges</v>
      </c>
      <c r="J9002" s="3">
        <f t="shared" si="5"/>
        <v>0</v>
      </c>
    </row>
    <row r="9003">
      <c r="A9003" s="1" t="s">
        <v>6885</v>
      </c>
      <c r="B9003" s="3" t="str">
        <f t="shared" si="1"/>
        <v>Unavailable</v>
      </c>
      <c r="C9003" s="5">
        <v>16641.0</v>
      </c>
      <c r="D9003" s="3">
        <f>IFERROR(__xludf.DUMMYFUNCTION("IFERROR(
IF(REGEXMATCH(LOWER(O9003),""k""),
VALUE(REGEXEXTRACT(O9003,""[0-9]+""))*1000,
VALUE(REGEXEXTRACT(O9003,""[0-9]+""))
),
0
)"),0.0)</f>
        <v>0</v>
      </c>
      <c r="E9003" s="1" t="s">
        <v>11</v>
      </c>
      <c r="F9003" s="1" t="s">
        <v>20</v>
      </c>
      <c r="G9003" s="4" t="b">
        <f t="shared" si="2"/>
        <v>1</v>
      </c>
      <c r="H9003" s="1" t="str">
        <f t="shared" si="3"/>
        <v>Currently Unavailable</v>
      </c>
      <c r="I9003" s="1" t="str">
        <f t="shared" si="4"/>
        <v>No Badges</v>
      </c>
      <c r="J9003" s="3">
        <f t="shared" si="5"/>
        <v>0</v>
      </c>
    </row>
    <row r="9004">
      <c r="A9004" s="1" t="s">
        <v>6886</v>
      </c>
      <c r="B9004" s="3" t="str">
        <f t="shared" si="1"/>
        <v>Unavailable</v>
      </c>
      <c r="C9004" s="5">
        <v>5373.0</v>
      </c>
      <c r="D9004" s="3">
        <f>IFERROR(__xludf.DUMMYFUNCTION("IFERROR(
IF(REGEXMATCH(LOWER(O9004),""k""),
VALUE(REGEXEXTRACT(O9004,""[0-9]+""))*1000,
VALUE(REGEXEXTRACT(O9004,""[0-9]+""))
),
0
)"),0.0)</f>
        <v>0</v>
      </c>
      <c r="E9004" s="1" t="s">
        <v>11</v>
      </c>
      <c r="F9004" s="1" t="s">
        <v>20</v>
      </c>
      <c r="G9004" s="4" t="b">
        <f t="shared" si="2"/>
        <v>1</v>
      </c>
      <c r="H9004" s="1" t="str">
        <f t="shared" si="3"/>
        <v>Currently Unavailable</v>
      </c>
      <c r="I9004" s="1" t="str">
        <f t="shared" si="4"/>
        <v>No Badges</v>
      </c>
      <c r="J9004" s="3">
        <f t="shared" si="5"/>
        <v>0</v>
      </c>
    </row>
    <row r="9005">
      <c r="A9005" s="1" t="s">
        <v>5818</v>
      </c>
      <c r="B9005" s="3" t="str">
        <f t="shared" si="1"/>
        <v>Unavailable</v>
      </c>
      <c r="C9005" s="5">
        <v>6335.0</v>
      </c>
      <c r="D9005" s="3">
        <f>IFERROR(__xludf.DUMMYFUNCTION("IFERROR(
IF(REGEXMATCH(LOWER(O9005),""k""),
VALUE(REGEXEXTRACT(O9005,""[0-9]+""))*1000,
VALUE(REGEXEXTRACT(O9005,""[0-9]+""))
),
0
)"),0.0)</f>
        <v>0</v>
      </c>
      <c r="E9005" s="1" t="s">
        <v>11</v>
      </c>
      <c r="F9005" s="1" t="s">
        <v>12</v>
      </c>
      <c r="G9005" s="4" t="b">
        <f t="shared" si="2"/>
        <v>1</v>
      </c>
      <c r="H9005" s="1" t="str">
        <f t="shared" si="3"/>
        <v>Currently Unavailable</v>
      </c>
      <c r="I9005" s="1" t="str">
        <f t="shared" si="4"/>
        <v>No Badges</v>
      </c>
      <c r="J9005" s="3">
        <f t="shared" si="5"/>
        <v>0</v>
      </c>
    </row>
    <row r="9006">
      <c r="A9006" s="1" t="s">
        <v>6887</v>
      </c>
      <c r="B9006" s="3" t="str">
        <f t="shared" si="1"/>
        <v>Unavailable</v>
      </c>
      <c r="C9006" s="3">
        <v>91.0</v>
      </c>
      <c r="D9006" s="3">
        <f>IFERROR(__xludf.DUMMYFUNCTION("IFERROR(
IF(REGEXMATCH(LOWER(O9006),""k""),
VALUE(REGEXEXTRACT(O9006,""[0-9]+""))*1000,
VALUE(REGEXEXTRACT(O9006,""[0-9]+""))
),
0
)"),0.0)</f>
        <v>0</v>
      </c>
      <c r="E9006" s="1" t="s">
        <v>11</v>
      </c>
      <c r="F9006" s="1" t="s">
        <v>20</v>
      </c>
      <c r="G9006" s="4" t="b">
        <f t="shared" si="2"/>
        <v>1</v>
      </c>
      <c r="H9006" s="1" t="str">
        <f t="shared" si="3"/>
        <v>Currently Unavailable</v>
      </c>
      <c r="I9006" s="1" t="str">
        <f t="shared" si="4"/>
        <v>No Badges</v>
      </c>
      <c r="J9006" s="3">
        <f t="shared" si="5"/>
        <v>0</v>
      </c>
    </row>
    <row r="9007">
      <c r="A9007" s="1" t="s">
        <v>6888</v>
      </c>
      <c r="B9007" s="3" t="str">
        <f t="shared" si="1"/>
        <v>Unavailable</v>
      </c>
      <c r="C9007" s="5">
        <v>5150.0</v>
      </c>
      <c r="D9007" s="3">
        <f>IFERROR(__xludf.DUMMYFUNCTION("IFERROR(
IF(REGEXMATCH(LOWER(O9007),""k""),
VALUE(REGEXEXTRACT(O9007,""[0-9]+""))*1000,
VALUE(REGEXEXTRACT(O9007,""[0-9]+""))
),
0
)"),0.0)</f>
        <v>0</v>
      </c>
      <c r="E9007" s="1" t="s">
        <v>11</v>
      </c>
      <c r="F9007" s="1" t="s">
        <v>20</v>
      </c>
      <c r="G9007" s="4" t="b">
        <f t="shared" si="2"/>
        <v>1</v>
      </c>
      <c r="H9007" s="1" t="str">
        <f t="shared" si="3"/>
        <v>Currently Unavailable</v>
      </c>
      <c r="I9007" s="1" t="str">
        <f t="shared" si="4"/>
        <v>No Badges</v>
      </c>
      <c r="J9007" s="3">
        <f t="shared" si="5"/>
        <v>0</v>
      </c>
    </row>
    <row r="9008">
      <c r="A9008" s="1" t="s">
        <v>6889</v>
      </c>
      <c r="B9008" s="3" t="str">
        <f t="shared" si="1"/>
        <v>Unavailable</v>
      </c>
      <c r="C9008" s="5">
        <v>3814.0</v>
      </c>
      <c r="D9008" s="3">
        <f>IFERROR(__xludf.DUMMYFUNCTION("IFERROR(
IF(REGEXMATCH(LOWER(O9008),""k""),
VALUE(REGEXEXTRACT(O9008,""[0-9]+""))*1000,
VALUE(REGEXEXTRACT(O9008,""[0-9]+""))
),
0
)"),0.0)</f>
        <v>0</v>
      </c>
      <c r="E9008" s="1" t="s">
        <v>11</v>
      </c>
      <c r="F9008" s="1" t="s">
        <v>20</v>
      </c>
      <c r="G9008" s="4" t="b">
        <f t="shared" si="2"/>
        <v>1</v>
      </c>
      <c r="H9008" s="1" t="str">
        <f t="shared" si="3"/>
        <v>Currently Unavailable</v>
      </c>
      <c r="I9008" s="1" t="str">
        <f t="shared" si="4"/>
        <v>No Badges</v>
      </c>
      <c r="J9008" s="3">
        <f t="shared" si="5"/>
        <v>0</v>
      </c>
    </row>
    <row r="9009">
      <c r="A9009" s="1" t="s">
        <v>5817</v>
      </c>
      <c r="B9009" s="3" t="str">
        <f t="shared" si="1"/>
        <v>Unavailable</v>
      </c>
      <c r="C9009" s="5">
        <v>7235.0</v>
      </c>
      <c r="D9009" s="3">
        <f>IFERROR(__xludf.DUMMYFUNCTION("IFERROR(
IF(REGEXMATCH(LOWER(O9009),""k""),
VALUE(REGEXEXTRACT(O9009,""[0-9]+""))*1000,
VALUE(REGEXEXTRACT(O9009,""[0-9]+""))
),
0
)"),0.0)</f>
        <v>0</v>
      </c>
      <c r="E9009" s="1" t="s">
        <v>11</v>
      </c>
      <c r="F9009" s="1" t="s">
        <v>12</v>
      </c>
      <c r="G9009" s="4" t="b">
        <f t="shared" si="2"/>
        <v>1</v>
      </c>
      <c r="H9009" s="1" t="str">
        <f t="shared" si="3"/>
        <v>Currently Unavailable</v>
      </c>
      <c r="I9009" s="1" t="str">
        <f t="shared" si="4"/>
        <v>No Badges</v>
      </c>
      <c r="J9009" s="3">
        <f t="shared" si="5"/>
        <v>0</v>
      </c>
    </row>
    <row r="9010">
      <c r="A9010" s="1" t="s">
        <v>6890</v>
      </c>
      <c r="B9010" s="3" t="str">
        <f t="shared" si="1"/>
        <v>Unavailable</v>
      </c>
      <c r="C9010" s="3">
        <v>85.0</v>
      </c>
      <c r="D9010" s="3">
        <f>IFERROR(__xludf.DUMMYFUNCTION("IFERROR(
IF(REGEXMATCH(LOWER(O9010),""k""),
VALUE(REGEXEXTRACT(O9010,""[0-9]+""))*1000,
VALUE(REGEXEXTRACT(O9010,""[0-9]+""))
),
0
)"),0.0)</f>
        <v>0</v>
      </c>
      <c r="E9010" s="1" t="s">
        <v>11</v>
      </c>
      <c r="F9010" s="1" t="s">
        <v>20</v>
      </c>
      <c r="G9010" s="4" t="b">
        <f t="shared" si="2"/>
        <v>1</v>
      </c>
      <c r="H9010" s="1" t="str">
        <f t="shared" si="3"/>
        <v>Currently Unavailable</v>
      </c>
      <c r="I9010" s="1" t="str">
        <f t="shared" si="4"/>
        <v>No Badges</v>
      </c>
      <c r="J9010" s="3">
        <f t="shared" si="5"/>
        <v>0</v>
      </c>
    </row>
    <row r="9011">
      <c r="A9011" s="1" t="s">
        <v>6891</v>
      </c>
      <c r="B9011" s="3" t="str">
        <f t="shared" si="1"/>
        <v>Unavailable</v>
      </c>
      <c r="C9011" s="5">
        <v>5729.0</v>
      </c>
      <c r="D9011" s="3">
        <f>IFERROR(__xludf.DUMMYFUNCTION("IFERROR(
IF(REGEXMATCH(LOWER(O9011),""k""),
VALUE(REGEXEXTRACT(O9011,""[0-9]+""))*1000,
VALUE(REGEXEXTRACT(O9011,""[0-9]+""))
),
0
)"),0.0)</f>
        <v>0</v>
      </c>
      <c r="E9011" s="1" t="s">
        <v>11</v>
      </c>
      <c r="F9011" s="1" t="s">
        <v>20</v>
      </c>
      <c r="G9011" s="4" t="b">
        <f t="shared" si="2"/>
        <v>1</v>
      </c>
      <c r="H9011" s="1" t="str">
        <f t="shared" si="3"/>
        <v>Currently Unavailable</v>
      </c>
      <c r="I9011" s="1" t="str">
        <f t="shared" si="4"/>
        <v>No Badges</v>
      </c>
      <c r="J9011" s="3">
        <f t="shared" si="5"/>
        <v>0</v>
      </c>
    </row>
    <row r="9012">
      <c r="A9012" s="1" t="s">
        <v>6892</v>
      </c>
      <c r="B9012" s="3" t="str">
        <f t="shared" si="1"/>
        <v>Unavailable</v>
      </c>
      <c r="C9012" s="3">
        <v>532.0</v>
      </c>
      <c r="D9012" s="3">
        <f>IFERROR(__xludf.DUMMYFUNCTION("IFERROR(
IF(REGEXMATCH(LOWER(O9012),""k""),
VALUE(REGEXEXTRACT(O9012,""[0-9]+""))*1000,
VALUE(REGEXEXTRACT(O9012,""[0-9]+""))
),
0
)"),0.0)</f>
        <v>0</v>
      </c>
      <c r="E9012" s="1" t="s">
        <v>11</v>
      </c>
      <c r="F9012" s="1" t="s">
        <v>20</v>
      </c>
      <c r="G9012" s="4" t="b">
        <f t="shared" si="2"/>
        <v>1</v>
      </c>
      <c r="H9012" s="1" t="str">
        <f t="shared" si="3"/>
        <v>Currently Unavailable</v>
      </c>
      <c r="I9012" s="1" t="str">
        <f t="shared" si="4"/>
        <v>No Badges</v>
      </c>
      <c r="J9012" s="3">
        <f t="shared" si="5"/>
        <v>0</v>
      </c>
    </row>
    <row r="9013">
      <c r="A9013" s="1" t="s">
        <v>6893</v>
      </c>
      <c r="B9013" s="3" t="str">
        <f t="shared" si="1"/>
        <v>Unavailable</v>
      </c>
      <c r="C9013" s="3">
        <v>200.0</v>
      </c>
      <c r="D9013" s="3">
        <f>IFERROR(__xludf.DUMMYFUNCTION("IFERROR(
IF(REGEXMATCH(LOWER(O9013),""k""),
VALUE(REGEXEXTRACT(O9013,""[0-9]+""))*1000,
VALUE(REGEXEXTRACT(O9013,""[0-9]+""))
),
0
)"),0.0)</f>
        <v>0</v>
      </c>
      <c r="E9013" s="1" t="s">
        <v>11</v>
      </c>
      <c r="F9013" s="1" t="s">
        <v>20</v>
      </c>
      <c r="G9013" s="4" t="b">
        <f t="shared" si="2"/>
        <v>1</v>
      </c>
      <c r="H9013" s="1" t="str">
        <f t="shared" si="3"/>
        <v>Currently Unavailable</v>
      </c>
      <c r="I9013" s="1" t="str">
        <f t="shared" si="4"/>
        <v>No Badges</v>
      </c>
      <c r="J9013" s="3">
        <f t="shared" si="5"/>
        <v>0</v>
      </c>
    </row>
    <row r="9014">
      <c r="A9014" s="1" t="s">
        <v>5817</v>
      </c>
      <c r="B9014" s="3" t="str">
        <f t="shared" si="1"/>
        <v>Unavailable</v>
      </c>
      <c r="C9014" s="5">
        <v>7235.0</v>
      </c>
      <c r="D9014" s="3">
        <f>IFERROR(__xludf.DUMMYFUNCTION("IFERROR(
IF(REGEXMATCH(LOWER(O9014),""k""),
VALUE(REGEXEXTRACT(O9014,""[0-9]+""))*1000,
VALUE(REGEXEXTRACT(O9014,""[0-9]+""))
),
0
)"),0.0)</f>
        <v>0</v>
      </c>
      <c r="E9014" s="1" t="s">
        <v>11</v>
      </c>
      <c r="F9014" s="1" t="s">
        <v>12</v>
      </c>
      <c r="G9014" s="4" t="b">
        <f t="shared" si="2"/>
        <v>1</v>
      </c>
      <c r="H9014" s="1" t="str">
        <f t="shared" si="3"/>
        <v>Currently Unavailable</v>
      </c>
      <c r="I9014" s="1" t="str">
        <f t="shared" si="4"/>
        <v>No Badges</v>
      </c>
      <c r="J9014" s="3">
        <f t="shared" si="5"/>
        <v>0</v>
      </c>
    </row>
    <row r="9015">
      <c r="A9015" s="1" t="s">
        <v>6894</v>
      </c>
      <c r="B9015" s="3" t="str">
        <f t="shared" si="1"/>
        <v>Unavailable</v>
      </c>
      <c r="C9015" s="3">
        <v>162.0</v>
      </c>
      <c r="D9015" s="3">
        <f>IFERROR(__xludf.DUMMYFUNCTION("IFERROR(
IF(REGEXMATCH(LOWER(O9015),""k""),
VALUE(REGEXEXTRACT(O9015,""[0-9]+""))*1000,
VALUE(REGEXEXTRACT(O9015,""[0-9]+""))
),
0
)"),0.0)</f>
        <v>0</v>
      </c>
      <c r="E9015" s="1" t="s">
        <v>11</v>
      </c>
      <c r="F9015" s="1" t="s">
        <v>20</v>
      </c>
      <c r="G9015" s="4" t="b">
        <f t="shared" si="2"/>
        <v>1</v>
      </c>
      <c r="H9015" s="1" t="str">
        <f t="shared" si="3"/>
        <v>Currently Unavailable</v>
      </c>
      <c r="I9015" s="1" t="str">
        <f t="shared" si="4"/>
        <v>No Badges</v>
      </c>
      <c r="J9015" s="3">
        <f t="shared" si="5"/>
        <v>0</v>
      </c>
    </row>
    <row r="9016">
      <c r="A9016" s="1" t="s">
        <v>6895</v>
      </c>
      <c r="B9016" s="3" t="str">
        <f t="shared" si="1"/>
        <v>Unavailable</v>
      </c>
      <c r="C9016" s="5">
        <v>1034.0</v>
      </c>
      <c r="D9016" s="3">
        <f>IFERROR(__xludf.DUMMYFUNCTION("IFERROR(
IF(REGEXMATCH(LOWER(O9016),""k""),
VALUE(REGEXEXTRACT(O9016,""[0-9]+""))*1000,
VALUE(REGEXEXTRACT(O9016,""[0-9]+""))
),
0
)"),0.0)</f>
        <v>0</v>
      </c>
      <c r="E9016" s="1" t="s">
        <v>11</v>
      </c>
      <c r="F9016" s="1" t="s">
        <v>20</v>
      </c>
      <c r="G9016" s="4" t="b">
        <f t="shared" si="2"/>
        <v>1</v>
      </c>
      <c r="H9016" s="1" t="str">
        <f t="shared" si="3"/>
        <v>Currently Unavailable</v>
      </c>
      <c r="I9016" s="1" t="str">
        <f t="shared" si="4"/>
        <v>No Badges</v>
      </c>
      <c r="J9016" s="3">
        <f t="shared" si="5"/>
        <v>0</v>
      </c>
    </row>
    <row r="9017">
      <c r="A9017" s="1" t="s">
        <v>6896</v>
      </c>
      <c r="B9017" s="3" t="str">
        <f t="shared" si="1"/>
        <v>Unavailable</v>
      </c>
      <c r="C9017" s="5">
        <v>27464.0</v>
      </c>
      <c r="D9017" s="3">
        <f>IFERROR(__xludf.DUMMYFUNCTION("IFERROR(
IF(REGEXMATCH(LOWER(O9017),""k""),
VALUE(REGEXEXTRACT(O9017,""[0-9]+""))*1000,
VALUE(REGEXEXTRACT(O9017,""[0-9]+""))
),
0
)"),0.0)</f>
        <v>0</v>
      </c>
      <c r="E9017" s="1" t="s">
        <v>11</v>
      </c>
      <c r="F9017" s="1" t="s">
        <v>20</v>
      </c>
      <c r="G9017" s="4" t="b">
        <f t="shared" si="2"/>
        <v>1</v>
      </c>
      <c r="H9017" s="1" t="str">
        <f t="shared" si="3"/>
        <v>Currently Unavailable</v>
      </c>
      <c r="I9017" s="1" t="str">
        <f t="shared" si="4"/>
        <v>No Badges</v>
      </c>
      <c r="J9017" s="3">
        <f t="shared" si="5"/>
        <v>0</v>
      </c>
    </row>
    <row r="9018">
      <c r="A9018" s="1" t="s">
        <v>5938</v>
      </c>
      <c r="B9018" s="3" t="str">
        <f t="shared" si="1"/>
        <v>Unavailable</v>
      </c>
      <c r="C9018" s="5">
        <v>1386.0</v>
      </c>
      <c r="D9018" s="3">
        <f>IFERROR(__xludf.DUMMYFUNCTION("IFERROR(
IF(REGEXMATCH(LOWER(O9018),""k""),
VALUE(REGEXEXTRACT(O9018,""[0-9]+""))*1000,
VALUE(REGEXEXTRACT(O9018,""[0-9]+""))
),
0
)"),0.0)</f>
        <v>0</v>
      </c>
      <c r="E9018" s="1" t="s">
        <v>11</v>
      </c>
      <c r="F9018" s="1" t="s">
        <v>12</v>
      </c>
      <c r="G9018" s="4" t="b">
        <f t="shared" si="2"/>
        <v>1</v>
      </c>
      <c r="H9018" s="1" t="str">
        <f t="shared" si="3"/>
        <v>Currently Unavailable</v>
      </c>
      <c r="I9018" s="1" t="str">
        <f t="shared" si="4"/>
        <v>No Badges</v>
      </c>
      <c r="J9018" s="3">
        <f t="shared" si="5"/>
        <v>0</v>
      </c>
    </row>
    <row r="9019">
      <c r="A9019" s="1" t="s">
        <v>6471</v>
      </c>
      <c r="B9019" s="3" t="str">
        <f t="shared" si="1"/>
        <v>Unavailable</v>
      </c>
      <c r="C9019" s="5">
        <v>3685.0</v>
      </c>
      <c r="D9019" s="3">
        <f>IFERROR(__xludf.DUMMYFUNCTION("IFERROR(
IF(REGEXMATCH(LOWER(O9019),""k""),
VALUE(REGEXEXTRACT(O9019,""[0-9]+""))*1000,
VALUE(REGEXEXTRACT(O9019,""[0-9]+""))
),
0
)"),0.0)</f>
        <v>0</v>
      </c>
      <c r="E9019" s="1" t="s">
        <v>11</v>
      </c>
      <c r="F9019" s="1" t="s">
        <v>20</v>
      </c>
      <c r="G9019" s="4" t="b">
        <f t="shared" si="2"/>
        <v>1</v>
      </c>
      <c r="H9019" s="1" t="str">
        <f t="shared" si="3"/>
        <v>Currently Unavailable</v>
      </c>
      <c r="I9019" s="1" t="str">
        <f t="shared" si="4"/>
        <v>No Badges</v>
      </c>
      <c r="J9019" s="3">
        <f t="shared" si="5"/>
        <v>0</v>
      </c>
    </row>
    <row r="9020">
      <c r="A9020" s="1" t="s">
        <v>6897</v>
      </c>
      <c r="B9020" s="3" t="str">
        <f t="shared" si="1"/>
        <v>Unavailable</v>
      </c>
      <c r="C9020" s="5">
        <v>2740.0</v>
      </c>
      <c r="D9020" s="3">
        <f>IFERROR(__xludf.DUMMYFUNCTION("IFERROR(
IF(REGEXMATCH(LOWER(O9020),""k""),
VALUE(REGEXEXTRACT(O9020,""[0-9]+""))*1000,
VALUE(REGEXEXTRACT(O9020,""[0-9]+""))
),
0
)"),0.0)</f>
        <v>0</v>
      </c>
      <c r="E9020" s="1" t="s">
        <v>11</v>
      </c>
      <c r="F9020" s="1" t="s">
        <v>20</v>
      </c>
      <c r="G9020" s="4" t="b">
        <f t="shared" si="2"/>
        <v>1</v>
      </c>
      <c r="H9020" s="1" t="str">
        <f t="shared" si="3"/>
        <v>Currently Unavailable</v>
      </c>
      <c r="I9020" s="1" t="str">
        <f t="shared" si="4"/>
        <v>No Badges</v>
      </c>
      <c r="J9020" s="3">
        <f t="shared" si="5"/>
        <v>0</v>
      </c>
    </row>
    <row r="9021">
      <c r="A9021" s="1" t="s">
        <v>6898</v>
      </c>
      <c r="B9021" s="3" t="str">
        <f t="shared" si="1"/>
        <v>Unavailable</v>
      </c>
      <c r="C9021" s="5">
        <v>5759.0</v>
      </c>
      <c r="D9021" s="3">
        <f>IFERROR(__xludf.DUMMYFUNCTION("IFERROR(
IF(REGEXMATCH(LOWER(O9021),""k""),
VALUE(REGEXEXTRACT(O9021,""[0-9]+""))*1000,
VALUE(REGEXEXTRACT(O9021,""[0-9]+""))
),
0
)"),0.0)</f>
        <v>0</v>
      </c>
      <c r="E9021" s="1" t="s">
        <v>11</v>
      </c>
      <c r="F9021" s="1" t="s">
        <v>20</v>
      </c>
      <c r="G9021" s="4" t="b">
        <f t="shared" si="2"/>
        <v>1</v>
      </c>
      <c r="H9021" s="1" t="str">
        <f t="shared" si="3"/>
        <v>Currently Unavailable</v>
      </c>
      <c r="I9021" s="1" t="str">
        <f t="shared" si="4"/>
        <v>No Badges</v>
      </c>
      <c r="J9021" s="3">
        <f t="shared" si="5"/>
        <v>0</v>
      </c>
    </row>
    <row r="9022">
      <c r="A9022" s="1" t="s">
        <v>5817</v>
      </c>
      <c r="B9022" s="3" t="str">
        <f t="shared" si="1"/>
        <v>Unavailable</v>
      </c>
      <c r="C9022" s="5">
        <v>7235.0</v>
      </c>
      <c r="D9022" s="3">
        <f>IFERROR(__xludf.DUMMYFUNCTION("IFERROR(
IF(REGEXMATCH(LOWER(O9022),""k""),
VALUE(REGEXEXTRACT(O9022,""[0-9]+""))*1000,
VALUE(REGEXEXTRACT(O9022,""[0-9]+""))
),
0
)"),0.0)</f>
        <v>0</v>
      </c>
      <c r="E9022" s="1" t="s">
        <v>11</v>
      </c>
      <c r="F9022" s="1" t="s">
        <v>12</v>
      </c>
      <c r="G9022" s="4" t="b">
        <f t="shared" si="2"/>
        <v>1</v>
      </c>
      <c r="H9022" s="1" t="str">
        <f t="shared" si="3"/>
        <v>Currently Unavailable</v>
      </c>
      <c r="I9022" s="1" t="str">
        <f t="shared" si="4"/>
        <v>No Badges</v>
      </c>
      <c r="J9022" s="3">
        <f t="shared" si="5"/>
        <v>0</v>
      </c>
    </row>
    <row r="9023">
      <c r="A9023" s="1" t="s">
        <v>6899</v>
      </c>
      <c r="B9023" s="3" t="str">
        <f t="shared" si="1"/>
        <v>Unavailable</v>
      </c>
      <c r="C9023" s="5">
        <v>18955.0</v>
      </c>
      <c r="D9023" s="3">
        <f>IFERROR(__xludf.DUMMYFUNCTION("IFERROR(
IF(REGEXMATCH(LOWER(O9023),""k""),
VALUE(REGEXEXTRACT(O9023,""[0-9]+""))*1000,
VALUE(REGEXEXTRACT(O9023,""[0-9]+""))
),
0
)"),0.0)</f>
        <v>0</v>
      </c>
      <c r="E9023" s="1" t="s">
        <v>11</v>
      </c>
      <c r="F9023" s="1" t="s">
        <v>20</v>
      </c>
      <c r="G9023" s="4" t="b">
        <f t="shared" si="2"/>
        <v>1</v>
      </c>
      <c r="H9023" s="1" t="str">
        <f t="shared" si="3"/>
        <v>Currently Unavailable</v>
      </c>
      <c r="I9023" s="1" t="str">
        <f t="shared" si="4"/>
        <v>No Badges</v>
      </c>
      <c r="J9023" s="3">
        <f t="shared" si="5"/>
        <v>0</v>
      </c>
    </row>
    <row r="9024">
      <c r="A9024" s="1" t="s">
        <v>6900</v>
      </c>
      <c r="B9024" s="3" t="str">
        <f t="shared" si="1"/>
        <v>Unavailable</v>
      </c>
      <c r="C9024" s="5">
        <v>3387.0</v>
      </c>
      <c r="D9024" s="3">
        <f>IFERROR(__xludf.DUMMYFUNCTION("IFERROR(
IF(REGEXMATCH(LOWER(O9024),""k""),
VALUE(REGEXEXTRACT(O9024,""[0-9]+""))*1000,
VALUE(REGEXEXTRACT(O9024,""[0-9]+""))
),
0
)"),0.0)</f>
        <v>0</v>
      </c>
      <c r="E9024" s="1" t="s">
        <v>11</v>
      </c>
      <c r="F9024" s="1" t="s">
        <v>20</v>
      </c>
      <c r="G9024" s="4" t="b">
        <f t="shared" si="2"/>
        <v>1</v>
      </c>
      <c r="H9024" s="1" t="str">
        <f t="shared" si="3"/>
        <v>Currently Unavailable</v>
      </c>
      <c r="I9024" s="1" t="str">
        <f t="shared" si="4"/>
        <v>No Badges</v>
      </c>
      <c r="J9024" s="3">
        <f t="shared" si="5"/>
        <v>0</v>
      </c>
    </row>
    <row r="9025">
      <c r="A9025" s="1" t="s">
        <v>6901</v>
      </c>
      <c r="B9025" s="3" t="str">
        <f t="shared" si="1"/>
        <v>Unavailable</v>
      </c>
      <c r="C9025" s="3">
        <v>262.0</v>
      </c>
      <c r="D9025" s="3">
        <f>IFERROR(__xludf.DUMMYFUNCTION("IFERROR(
IF(REGEXMATCH(LOWER(O9025),""k""),
VALUE(REGEXEXTRACT(O9025,""[0-9]+""))*1000,
VALUE(REGEXEXTRACT(O9025,""[0-9]+""))
),
0
)"),0.0)</f>
        <v>0</v>
      </c>
      <c r="E9025" s="1" t="s">
        <v>11</v>
      </c>
      <c r="F9025" s="1" t="s">
        <v>20</v>
      </c>
      <c r="G9025" s="4" t="b">
        <f t="shared" si="2"/>
        <v>1</v>
      </c>
      <c r="H9025" s="1" t="str">
        <f t="shared" si="3"/>
        <v>Currently Unavailable</v>
      </c>
      <c r="I9025" s="1" t="str">
        <f t="shared" si="4"/>
        <v>No Badges</v>
      </c>
      <c r="J9025" s="3">
        <f t="shared" si="5"/>
        <v>0</v>
      </c>
    </row>
    <row r="9026">
      <c r="A9026" s="1" t="s">
        <v>5817</v>
      </c>
      <c r="B9026" s="3" t="str">
        <f t="shared" si="1"/>
        <v>Unavailable</v>
      </c>
      <c r="C9026" s="5">
        <v>7235.0</v>
      </c>
      <c r="D9026" s="3">
        <f>IFERROR(__xludf.DUMMYFUNCTION("IFERROR(
IF(REGEXMATCH(LOWER(O9026),""k""),
VALUE(REGEXEXTRACT(O9026,""[0-9]+""))*1000,
VALUE(REGEXEXTRACT(O9026,""[0-9]+""))
),
0
)"),0.0)</f>
        <v>0</v>
      </c>
      <c r="E9026" s="1" t="s">
        <v>11</v>
      </c>
      <c r="F9026" s="1" t="s">
        <v>12</v>
      </c>
      <c r="G9026" s="4" t="b">
        <f t="shared" si="2"/>
        <v>1</v>
      </c>
      <c r="H9026" s="1" t="str">
        <f t="shared" si="3"/>
        <v>Currently Unavailable</v>
      </c>
      <c r="I9026" s="1" t="str">
        <f t="shared" si="4"/>
        <v>No Badges</v>
      </c>
      <c r="J9026" s="3">
        <f t="shared" si="5"/>
        <v>0</v>
      </c>
    </row>
    <row r="9027">
      <c r="A9027" s="1" t="s">
        <v>6902</v>
      </c>
      <c r="B9027" s="3" t="str">
        <f t="shared" si="1"/>
        <v>Unavailable</v>
      </c>
      <c r="C9027" s="3">
        <v>87.0</v>
      </c>
      <c r="D9027" s="3">
        <f>IFERROR(__xludf.DUMMYFUNCTION("IFERROR(
IF(REGEXMATCH(LOWER(O9027),""k""),
VALUE(REGEXEXTRACT(O9027,""[0-9]+""))*1000,
VALUE(REGEXEXTRACT(O9027,""[0-9]+""))
),
0
)"),0.0)</f>
        <v>0</v>
      </c>
      <c r="E9027" s="1" t="s">
        <v>11</v>
      </c>
      <c r="F9027" s="1" t="s">
        <v>20</v>
      </c>
      <c r="G9027" s="4" t="b">
        <f t="shared" si="2"/>
        <v>1</v>
      </c>
      <c r="H9027" s="1" t="str">
        <f t="shared" si="3"/>
        <v>Currently Unavailable</v>
      </c>
      <c r="I9027" s="1" t="str">
        <f t="shared" si="4"/>
        <v>No Badges</v>
      </c>
      <c r="J9027" s="3">
        <f t="shared" si="5"/>
        <v>0</v>
      </c>
    </row>
    <row r="9028">
      <c r="A9028" s="1" t="s">
        <v>6903</v>
      </c>
      <c r="B9028" s="3" t="str">
        <f t="shared" si="1"/>
        <v>Unavailable</v>
      </c>
      <c r="C9028" s="5">
        <v>22407.0</v>
      </c>
      <c r="D9028" s="3">
        <f>IFERROR(__xludf.DUMMYFUNCTION("IFERROR(
IF(REGEXMATCH(LOWER(O9028),""k""),
VALUE(REGEXEXTRACT(O9028,""[0-9]+""))*1000,
VALUE(REGEXEXTRACT(O9028,""[0-9]+""))
),
0
)"),0.0)</f>
        <v>0</v>
      </c>
      <c r="E9028" s="1" t="s">
        <v>11</v>
      </c>
      <c r="F9028" s="1" t="s">
        <v>20</v>
      </c>
      <c r="G9028" s="4" t="b">
        <f t="shared" si="2"/>
        <v>1</v>
      </c>
      <c r="H9028" s="1" t="str">
        <f t="shared" si="3"/>
        <v>Currently Unavailable</v>
      </c>
      <c r="I9028" s="1" t="str">
        <f t="shared" si="4"/>
        <v>No Badges</v>
      </c>
      <c r="J9028" s="3">
        <f t="shared" si="5"/>
        <v>0</v>
      </c>
    </row>
    <row r="9029">
      <c r="A9029" s="1" t="s">
        <v>6904</v>
      </c>
      <c r="B9029" s="3" t="str">
        <f t="shared" si="1"/>
        <v>Unavailable</v>
      </c>
      <c r="C9029" s="3">
        <v>453.0</v>
      </c>
      <c r="D9029" s="3">
        <f>IFERROR(__xludf.DUMMYFUNCTION("IFERROR(
IF(REGEXMATCH(LOWER(O9029),""k""),
VALUE(REGEXEXTRACT(O9029,""[0-9]+""))*1000,
VALUE(REGEXEXTRACT(O9029,""[0-9]+""))
),
0
)"),0.0)</f>
        <v>0</v>
      </c>
      <c r="E9029" s="1" t="s">
        <v>11</v>
      </c>
      <c r="F9029" s="1" t="s">
        <v>20</v>
      </c>
      <c r="G9029" s="4" t="b">
        <f t="shared" si="2"/>
        <v>1</v>
      </c>
      <c r="H9029" s="1" t="str">
        <f t="shared" si="3"/>
        <v>Currently Unavailable</v>
      </c>
      <c r="I9029" s="1" t="str">
        <f t="shared" si="4"/>
        <v>No Badges</v>
      </c>
      <c r="J9029" s="3">
        <f t="shared" si="5"/>
        <v>0</v>
      </c>
    </row>
    <row r="9030">
      <c r="A9030" s="1" t="s">
        <v>6905</v>
      </c>
      <c r="B9030" s="3" t="str">
        <f t="shared" si="1"/>
        <v>Unavailable</v>
      </c>
      <c r="C9030" s="3">
        <v>396.0</v>
      </c>
      <c r="D9030" s="3">
        <f>IFERROR(__xludf.DUMMYFUNCTION("IFERROR(
IF(REGEXMATCH(LOWER(O9030),""k""),
VALUE(REGEXEXTRACT(O9030,""[0-9]+""))*1000,
VALUE(REGEXEXTRACT(O9030,""[0-9]+""))
),
0
)"),0.0)</f>
        <v>0</v>
      </c>
      <c r="E9030" s="1" t="s">
        <v>11</v>
      </c>
      <c r="F9030" s="1" t="s">
        <v>20</v>
      </c>
      <c r="G9030" s="4" t="b">
        <f t="shared" si="2"/>
        <v>1</v>
      </c>
      <c r="H9030" s="1" t="str">
        <f t="shared" si="3"/>
        <v>Currently Unavailable</v>
      </c>
      <c r="I9030" s="1" t="str">
        <f t="shared" si="4"/>
        <v>No Badges</v>
      </c>
      <c r="J9030" s="3">
        <f t="shared" si="5"/>
        <v>0</v>
      </c>
    </row>
    <row r="9031">
      <c r="A9031" s="1" t="s">
        <v>6906</v>
      </c>
      <c r="B9031" s="3" t="str">
        <f t="shared" si="1"/>
        <v>Unavailable</v>
      </c>
      <c r="C9031" s="5">
        <v>1480.0</v>
      </c>
      <c r="D9031" s="3">
        <f>IFERROR(__xludf.DUMMYFUNCTION("IFERROR(
IF(REGEXMATCH(LOWER(O9031),""k""),
VALUE(REGEXEXTRACT(O9031,""[0-9]+""))*1000,
VALUE(REGEXEXTRACT(O9031,""[0-9]+""))
),
0
)"),0.0)</f>
        <v>0</v>
      </c>
      <c r="E9031" s="1" t="s">
        <v>11</v>
      </c>
      <c r="F9031" s="1" t="s">
        <v>20</v>
      </c>
      <c r="G9031" s="4" t="b">
        <f t="shared" si="2"/>
        <v>1</v>
      </c>
      <c r="H9031" s="1" t="str">
        <f t="shared" si="3"/>
        <v>Currently Unavailable</v>
      </c>
      <c r="I9031" s="1" t="str">
        <f t="shared" si="4"/>
        <v>No Badges</v>
      </c>
      <c r="J9031" s="3">
        <f t="shared" si="5"/>
        <v>0</v>
      </c>
    </row>
    <row r="9032">
      <c r="A9032" s="1" t="s">
        <v>5817</v>
      </c>
      <c r="B9032" s="3" t="str">
        <f t="shared" si="1"/>
        <v>Unavailable</v>
      </c>
      <c r="C9032" s="5">
        <v>7235.0</v>
      </c>
      <c r="D9032" s="3">
        <f>IFERROR(__xludf.DUMMYFUNCTION("IFERROR(
IF(REGEXMATCH(LOWER(O9032),""k""),
VALUE(REGEXEXTRACT(O9032,""[0-9]+""))*1000,
VALUE(REGEXEXTRACT(O9032,""[0-9]+""))
),
0
)"),0.0)</f>
        <v>0</v>
      </c>
      <c r="E9032" s="1" t="s">
        <v>11</v>
      </c>
      <c r="F9032" s="1" t="s">
        <v>12</v>
      </c>
      <c r="G9032" s="4" t="b">
        <f t="shared" si="2"/>
        <v>1</v>
      </c>
      <c r="H9032" s="1" t="str">
        <f t="shared" si="3"/>
        <v>Currently Unavailable</v>
      </c>
      <c r="I9032" s="1" t="str">
        <f t="shared" si="4"/>
        <v>No Badges</v>
      </c>
      <c r="J9032" s="3">
        <f t="shared" si="5"/>
        <v>0</v>
      </c>
    </row>
    <row r="9033">
      <c r="A9033" s="1" t="s">
        <v>6907</v>
      </c>
      <c r="B9033" s="3" t="str">
        <f t="shared" si="1"/>
        <v>Unavailable</v>
      </c>
      <c r="C9033" s="5">
        <v>2072.0</v>
      </c>
      <c r="D9033" s="3">
        <f>IFERROR(__xludf.DUMMYFUNCTION("IFERROR(
IF(REGEXMATCH(LOWER(O9033),""k""),
VALUE(REGEXEXTRACT(O9033,""[0-9]+""))*1000,
VALUE(REGEXEXTRACT(O9033,""[0-9]+""))
),
0
)"),0.0)</f>
        <v>0</v>
      </c>
      <c r="E9033" s="1" t="s">
        <v>11</v>
      </c>
      <c r="F9033" s="1" t="s">
        <v>20</v>
      </c>
      <c r="G9033" s="4" t="b">
        <f t="shared" si="2"/>
        <v>1</v>
      </c>
      <c r="H9033" s="1" t="str">
        <f t="shared" si="3"/>
        <v>Currently Unavailable</v>
      </c>
      <c r="I9033" s="1" t="str">
        <f t="shared" si="4"/>
        <v>No Badges</v>
      </c>
      <c r="J9033" s="3">
        <f t="shared" si="5"/>
        <v>0</v>
      </c>
    </row>
    <row r="9034">
      <c r="A9034" s="1" t="s">
        <v>6908</v>
      </c>
      <c r="B9034" s="3" t="str">
        <f t="shared" si="1"/>
        <v>Unavailable</v>
      </c>
      <c r="C9034" s="3">
        <v>570.0</v>
      </c>
      <c r="D9034" s="3">
        <f>IFERROR(__xludf.DUMMYFUNCTION("IFERROR(
IF(REGEXMATCH(LOWER(O9034),""k""),
VALUE(REGEXEXTRACT(O9034,""[0-9]+""))*1000,
VALUE(REGEXEXTRACT(O9034,""[0-9]+""))
),
0
)"),0.0)</f>
        <v>0</v>
      </c>
      <c r="E9034" s="1" t="s">
        <v>11</v>
      </c>
      <c r="F9034" s="1" t="s">
        <v>20</v>
      </c>
      <c r="G9034" s="4" t="b">
        <f t="shared" si="2"/>
        <v>1</v>
      </c>
      <c r="H9034" s="1" t="str">
        <f t="shared" si="3"/>
        <v>Currently Unavailable</v>
      </c>
      <c r="I9034" s="1" t="str">
        <f t="shared" si="4"/>
        <v>No Badges</v>
      </c>
      <c r="J9034" s="3">
        <f t="shared" si="5"/>
        <v>0</v>
      </c>
    </row>
    <row r="9035">
      <c r="A9035" s="1" t="s">
        <v>6909</v>
      </c>
      <c r="B9035" s="3" t="str">
        <f t="shared" si="1"/>
        <v>Unavailable</v>
      </c>
      <c r="C9035" s="3">
        <v>23.0</v>
      </c>
      <c r="D9035" s="3">
        <f>IFERROR(__xludf.DUMMYFUNCTION("IFERROR(
IF(REGEXMATCH(LOWER(O9035),""k""),
VALUE(REGEXEXTRACT(O9035,""[0-9]+""))*1000,
VALUE(REGEXEXTRACT(O9035,""[0-9]+""))
),
0
)"),0.0)</f>
        <v>0</v>
      </c>
      <c r="E9035" s="1" t="s">
        <v>11</v>
      </c>
      <c r="F9035" s="1" t="s">
        <v>20</v>
      </c>
      <c r="G9035" s="4" t="b">
        <f t="shared" si="2"/>
        <v>1</v>
      </c>
      <c r="H9035" s="1" t="str">
        <f t="shared" si="3"/>
        <v>Currently Unavailable</v>
      </c>
      <c r="I9035" s="1" t="str">
        <f t="shared" si="4"/>
        <v>No Badges</v>
      </c>
      <c r="J9035" s="3">
        <f t="shared" si="5"/>
        <v>0</v>
      </c>
    </row>
    <row r="9036">
      <c r="A9036" s="1" t="s">
        <v>6529</v>
      </c>
      <c r="B9036" s="3" t="str">
        <f t="shared" si="1"/>
        <v>Unavailable</v>
      </c>
      <c r="C9036" s="3">
        <v>9.0</v>
      </c>
      <c r="D9036" s="3">
        <f>IFERROR(__xludf.DUMMYFUNCTION("IFERROR(
IF(REGEXMATCH(LOWER(O9036),""k""),
VALUE(REGEXEXTRACT(O9036,""[0-9]+""))*1000,
VALUE(REGEXEXTRACT(O9036,""[0-9]+""))
),
0
)"),0.0)</f>
        <v>0</v>
      </c>
      <c r="E9036" s="1" t="s">
        <v>11</v>
      </c>
      <c r="F9036" s="1" t="s">
        <v>20</v>
      </c>
      <c r="G9036" s="4" t="b">
        <f t="shared" si="2"/>
        <v>1</v>
      </c>
      <c r="H9036" s="1" t="str">
        <f t="shared" si="3"/>
        <v>Currently Unavailable</v>
      </c>
      <c r="I9036" s="1" t="str">
        <f t="shared" si="4"/>
        <v>No Badges</v>
      </c>
      <c r="J9036" s="3">
        <f t="shared" si="5"/>
        <v>0</v>
      </c>
    </row>
    <row r="9037">
      <c r="A9037" s="1" t="s">
        <v>6910</v>
      </c>
      <c r="B9037" s="3" t="str">
        <f t="shared" si="1"/>
        <v>Unavailable</v>
      </c>
      <c r="C9037" s="3">
        <v>53.0</v>
      </c>
      <c r="D9037" s="3">
        <f>IFERROR(__xludf.DUMMYFUNCTION("IFERROR(
IF(REGEXMATCH(LOWER(O9037),""k""),
VALUE(REGEXEXTRACT(O9037,""[0-9]+""))*1000,
VALUE(REGEXEXTRACT(O9037,""[0-9]+""))
),
0
)"),0.0)</f>
        <v>0</v>
      </c>
      <c r="E9037" s="1" t="s">
        <v>11</v>
      </c>
      <c r="F9037" s="1" t="s">
        <v>20</v>
      </c>
      <c r="G9037" s="4" t="b">
        <f t="shared" si="2"/>
        <v>1</v>
      </c>
      <c r="H9037" s="1" t="str">
        <f t="shared" si="3"/>
        <v>Currently Unavailable</v>
      </c>
      <c r="I9037" s="1" t="str">
        <f t="shared" si="4"/>
        <v>No Badges</v>
      </c>
      <c r="J9037" s="3">
        <f t="shared" si="5"/>
        <v>0</v>
      </c>
    </row>
    <row r="9038">
      <c r="A9038" s="1" t="s">
        <v>6911</v>
      </c>
      <c r="B9038" s="3" t="str">
        <f t="shared" si="1"/>
        <v>Unavailable</v>
      </c>
      <c r="C9038" s="5">
        <v>1656.0</v>
      </c>
      <c r="D9038" s="3">
        <f>IFERROR(__xludf.DUMMYFUNCTION("IFERROR(
IF(REGEXMATCH(LOWER(O9038),""k""),
VALUE(REGEXEXTRACT(O9038,""[0-9]+""))*1000,
VALUE(REGEXEXTRACT(O9038,""[0-9]+""))
),
0
)"),0.0)</f>
        <v>0</v>
      </c>
      <c r="E9038" s="1" t="s">
        <v>11</v>
      </c>
      <c r="F9038" s="1" t="s">
        <v>20</v>
      </c>
      <c r="G9038" s="4" t="b">
        <f t="shared" si="2"/>
        <v>1</v>
      </c>
      <c r="H9038" s="1" t="str">
        <f t="shared" si="3"/>
        <v>Currently Unavailable</v>
      </c>
      <c r="I9038" s="1" t="str">
        <f t="shared" si="4"/>
        <v>No Badges</v>
      </c>
      <c r="J9038" s="3">
        <f t="shared" si="5"/>
        <v>0</v>
      </c>
    </row>
    <row r="9039">
      <c r="A9039" s="1" t="s">
        <v>5817</v>
      </c>
      <c r="B9039" s="3" t="str">
        <f t="shared" si="1"/>
        <v>Unavailable</v>
      </c>
      <c r="C9039" s="5">
        <v>7235.0</v>
      </c>
      <c r="D9039" s="3">
        <f>IFERROR(__xludf.DUMMYFUNCTION("IFERROR(
IF(REGEXMATCH(LOWER(O9039),""k""),
VALUE(REGEXEXTRACT(O9039,""[0-9]+""))*1000,
VALUE(REGEXEXTRACT(O9039,""[0-9]+""))
),
0
)"),0.0)</f>
        <v>0</v>
      </c>
      <c r="E9039" s="1" t="s">
        <v>11</v>
      </c>
      <c r="F9039" s="1" t="s">
        <v>12</v>
      </c>
      <c r="G9039" s="4" t="b">
        <f t="shared" si="2"/>
        <v>1</v>
      </c>
      <c r="H9039" s="1" t="str">
        <f t="shared" si="3"/>
        <v>Currently Unavailable</v>
      </c>
      <c r="I9039" s="1" t="str">
        <f t="shared" si="4"/>
        <v>No Badges</v>
      </c>
      <c r="J9039" s="3">
        <f t="shared" si="5"/>
        <v>0</v>
      </c>
    </row>
    <row r="9040">
      <c r="A9040" s="1" t="s">
        <v>6912</v>
      </c>
      <c r="B9040" s="3" t="str">
        <f t="shared" si="1"/>
        <v>Unavailable</v>
      </c>
      <c r="C9040" s="5">
        <v>15814.0</v>
      </c>
      <c r="D9040" s="3">
        <f>IFERROR(__xludf.DUMMYFUNCTION("IFERROR(
IF(REGEXMATCH(LOWER(O9040),""k""),
VALUE(REGEXEXTRACT(O9040,""[0-9]+""))*1000,
VALUE(REGEXEXTRACT(O9040,""[0-9]+""))
),
0
)"),0.0)</f>
        <v>0</v>
      </c>
      <c r="E9040" s="1" t="s">
        <v>11</v>
      </c>
      <c r="F9040" s="1" t="s">
        <v>20</v>
      </c>
      <c r="G9040" s="4" t="b">
        <f t="shared" si="2"/>
        <v>1</v>
      </c>
      <c r="H9040" s="1" t="str">
        <f t="shared" si="3"/>
        <v>Currently Unavailable</v>
      </c>
      <c r="I9040" s="1" t="str">
        <f t="shared" si="4"/>
        <v>No Badges</v>
      </c>
      <c r="J9040" s="3">
        <f t="shared" si="5"/>
        <v>0</v>
      </c>
    </row>
    <row r="9041">
      <c r="A9041" s="1" t="s">
        <v>6913</v>
      </c>
      <c r="B9041" s="3" t="str">
        <f t="shared" si="1"/>
        <v>Unavailable</v>
      </c>
      <c r="C9041" s="5">
        <v>2507.0</v>
      </c>
      <c r="D9041" s="3">
        <f>IFERROR(__xludf.DUMMYFUNCTION("IFERROR(
IF(REGEXMATCH(LOWER(O9041),""k""),
VALUE(REGEXEXTRACT(O9041,""[0-9]+""))*1000,
VALUE(REGEXEXTRACT(O9041,""[0-9]+""))
),
0
)"),0.0)</f>
        <v>0</v>
      </c>
      <c r="E9041" s="1" t="s">
        <v>11</v>
      </c>
      <c r="F9041" s="1" t="s">
        <v>20</v>
      </c>
      <c r="G9041" s="4" t="b">
        <f t="shared" si="2"/>
        <v>1</v>
      </c>
      <c r="H9041" s="1" t="str">
        <f t="shared" si="3"/>
        <v>Currently Unavailable</v>
      </c>
      <c r="I9041" s="1" t="str">
        <f t="shared" si="4"/>
        <v>No Badges</v>
      </c>
      <c r="J9041" s="3">
        <f t="shared" si="5"/>
        <v>0</v>
      </c>
    </row>
    <row r="9042">
      <c r="A9042" s="1" t="s">
        <v>6914</v>
      </c>
      <c r="B9042" s="3" t="str">
        <f t="shared" si="1"/>
        <v>Unavailable</v>
      </c>
      <c r="C9042" s="5">
        <v>29810.0</v>
      </c>
      <c r="D9042" s="3">
        <f>IFERROR(__xludf.DUMMYFUNCTION("IFERROR(
IF(REGEXMATCH(LOWER(O9042),""k""),
VALUE(REGEXEXTRACT(O9042,""[0-9]+""))*1000,
VALUE(REGEXEXTRACT(O9042,""[0-9]+""))
),
0
)"),0.0)</f>
        <v>0</v>
      </c>
      <c r="E9042" s="1" t="s">
        <v>11</v>
      </c>
      <c r="F9042" s="1" t="s">
        <v>20</v>
      </c>
      <c r="G9042" s="4" t="b">
        <f t="shared" si="2"/>
        <v>1</v>
      </c>
      <c r="H9042" s="1" t="str">
        <f t="shared" si="3"/>
        <v>Currently Unavailable</v>
      </c>
      <c r="I9042" s="1" t="str">
        <f t="shared" si="4"/>
        <v>No Badges</v>
      </c>
      <c r="J9042" s="3">
        <f t="shared" si="5"/>
        <v>0</v>
      </c>
    </row>
    <row r="9043">
      <c r="A9043" s="1" t="s">
        <v>6915</v>
      </c>
      <c r="B9043" s="3" t="str">
        <f t="shared" si="1"/>
        <v>Unavailable</v>
      </c>
      <c r="C9043" s="5">
        <v>2210.0</v>
      </c>
      <c r="D9043" s="3">
        <f>IFERROR(__xludf.DUMMYFUNCTION("IFERROR(
IF(REGEXMATCH(LOWER(O9043),""k""),
VALUE(REGEXEXTRACT(O9043,""[0-9]+""))*1000,
VALUE(REGEXEXTRACT(O9043,""[0-9]+""))
),
0
)"),0.0)</f>
        <v>0</v>
      </c>
      <c r="E9043" s="1" t="s">
        <v>11</v>
      </c>
      <c r="F9043" s="1" t="s">
        <v>20</v>
      </c>
      <c r="G9043" s="4" t="b">
        <f t="shared" si="2"/>
        <v>1</v>
      </c>
      <c r="H9043" s="1" t="str">
        <f t="shared" si="3"/>
        <v>Currently Unavailable</v>
      </c>
      <c r="I9043" s="1" t="str">
        <f t="shared" si="4"/>
        <v>No Badges</v>
      </c>
      <c r="J9043" s="3">
        <f t="shared" si="5"/>
        <v>0</v>
      </c>
    </row>
    <row r="9044">
      <c r="A9044" s="1" t="s">
        <v>6916</v>
      </c>
      <c r="B9044" s="3" t="str">
        <f t="shared" si="1"/>
        <v>Unavailable</v>
      </c>
      <c r="C9044" s="5">
        <v>3750.0</v>
      </c>
      <c r="D9044" s="3">
        <f>IFERROR(__xludf.DUMMYFUNCTION("IFERROR(
IF(REGEXMATCH(LOWER(O9044),""k""),
VALUE(REGEXEXTRACT(O9044,""[0-9]+""))*1000,
VALUE(REGEXEXTRACT(O9044,""[0-9]+""))
),
0
)"),0.0)</f>
        <v>0</v>
      </c>
      <c r="E9044" s="1" t="s">
        <v>11</v>
      </c>
      <c r="F9044" s="1" t="s">
        <v>20</v>
      </c>
      <c r="G9044" s="4" t="b">
        <f t="shared" si="2"/>
        <v>1</v>
      </c>
      <c r="H9044" s="1" t="str">
        <f t="shared" si="3"/>
        <v>Currently Unavailable</v>
      </c>
      <c r="I9044" s="1" t="str">
        <f t="shared" si="4"/>
        <v>No Badges</v>
      </c>
      <c r="J9044" s="3">
        <f t="shared" si="5"/>
        <v>0</v>
      </c>
    </row>
    <row r="9045">
      <c r="A9045" s="1" t="s">
        <v>5817</v>
      </c>
      <c r="B9045" s="3" t="str">
        <f t="shared" si="1"/>
        <v>Unavailable</v>
      </c>
      <c r="C9045" s="5">
        <v>7235.0</v>
      </c>
      <c r="D9045" s="3">
        <f>IFERROR(__xludf.DUMMYFUNCTION("IFERROR(
IF(REGEXMATCH(LOWER(O9045),""k""),
VALUE(REGEXEXTRACT(O9045,""[0-9]+""))*1000,
VALUE(REGEXEXTRACT(O9045,""[0-9]+""))
),
0
)"),0.0)</f>
        <v>0</v>
      </c>
      <c r="E9045" s="1" t="s">
        <v>11</v>
      </c>
      <c r="F9045" s="1" t="s">
        <v>12</v>
      </c>
      <c r="G9045" s="4" t="b">
        <f t="shared" si="2"/>
        <v>1</v>
      </c>
      <c r="H9045" s="1" t="str">
        <f t="shared" si="3"/>
        <v>Currently Unavailable</v>
      </c>
      <c r="I9045" s="1" t="str">
        <f t="shared" si="4"/>
        <v>No Badges</v>
      </c>
      <c r="J9045" s="3">
        <f t="shared" si="5"/>
        <v>0</v>
      </c>
    </row>
    <row r="9046">
      <c r="A9046" s="1" t="s">
        <v>6917</v>
      </c>
      <c r="B9046" s="3" t="str">
        <f t="shared" si="1"/>
        <v>Unavailable</v>
      </c>
      <c r="C9046" s="5">
        <v>6013.0</v>
      </c>
      <c r="D9046" s="3">
        <f>IFERROR(__xludf.DUMMYFUNCTION("IFERROR(
IF(REGEXMATCH(LOWER(O9046),""k""),
VALUE(REGEXEXTRACT(O9046,""[0-9]+""))*1000,
VALUE(REGEXEXTRACT(O9046,""[0-9]+""))
),
0
)"),0.0)</f>
        <v>0</v>
      </c>
      <c r="E9046" s="1" t="s">
        <v>18</v>
      </c>
      <c r="F9046" s="1" t="s">
        <v>20</v>
      </c>
      <c r="G9046" s="4" t="b">
        <f t="shared" si="2"/>
        <v>1</v>
      </c>
      <c r="H9046" s="1" t="str">
        <f t="shared" si="3"/>
        <v>Currently Unavailable</v>
      </c>
      <c r="I9046" s="1" t="str">
        <f t="shared" si="4"/>
        <v>No Badges</v>
      </c>
      <c r="J9046" s="3">
        <f t="shared" si="5"/>
        <v>0</v>
      </c>
    </row>
    <row r="9047">
      <c r="A9047" s="1" t="s">
        <v>6918</v>
      </c>
      <c r="B9047" s="3" t="str">
        <f t="shared" si="1"/>
        <v>Unavailable</v>
      </c>
      <c r="C9047" s="5">
        <v>7646.0</v>
      </c>
      <c r="D9047" s="3">
        <f>IFERROR(__xludf.DUMMYFUNCTION("IFERROR(
IF(REGEXMATCH(LOWER(O9047),""k""),
VALUE(REGEXEXTRACT(O9047,""[0-9]+""))*1000,
VALUE(REGEXEXTRACT(O9047,""[0-9]+""))
),
0
)"),0.0)</f>
        <v>0</v>
      </c>
      <c r="E9047" s="1" t="s">
        <v>11</v>
      </c>
      <c r="F9047" s="1" t="s">
        <v>20</v>
      </c>
      <c r="G9047" s="4" t="b">
        <f t="shared" si="2"/>
        <v>1</v>
      </c>
      <c r="H9047" s="1" t="str">
        <f t="shared" si="3"/>
        <v>Currently Unavailable</v>
      </c>
      <c r="I9047" s="1" t="str">
        <f t="shared" si="4"/>
        <v>No Badges</v>
      </c>
      <c r="J9047" s="3">
        <f t="shared" si="5"/>
        <v>0</v>
      </c>
    </row>
    <row r="9048">
      <c r="A9048" s="1" t="s">
        <v>6919</v>
      </c>
      <c r="B9048" s="1" t="str">
        <f t="shared" si="1"/>
        <v>Unavailable</v>
      </c>
      <c r="C9048" s="1"/>
      <c r="D9048" s="3">
        <f>IFERROR(__xludf.DUMMYFUNCTION("IFERROR(
IF(REGEXMATCH(LOWER(O9048),""k""),
VALUE(REGEXEXTRACT(O9048,""[0-9]+""))*1000,
VALUE(REGEXEXTRACT(O9048,""[0-9]+""))
),
0
)"),0.0)</f>
        <v>0</v>
      </c>
      <c r="E9048" s="1" t="s">
        <v>11</v>
      </c>
      <c r="F9048" s="1" t="s">
        <v>20</v>
      </c>
      <c r="G9048" s="4" t="b">
        <f t="shared" si="2"/>
        <v>1</v>
      </c>
      <c r="H9048" s="1" t="str">
        <f t="shared" si="3"/>
        <v>Currently Unavailable</v>
      </c>
      <c r="I9048" s="1" t="str">
        <f t="shared" si="4"/>
        <v>No Badges</v>
      </c>
      <c r="J9048" s="6">
        <f t="shared" si="5"/>
        <v>0</v>
      </c>
    </row>
    <row r="9049">
      <c r="A9049" s="1" t="s">
        <v>6920</v>
      </c>
      <c r="B9049" s="3" t="str">
        <f t="shared" si="1"/>
        <v>Unavailable</v>
      </c>
      <c r="C9049" s="5">
        <v>2475.0</v>
      </c>
      <c r="D9049" s="3">
        <f>IFERROR(__xludf.DUMMYFUNCTION("IFERROR(
IF(REGEXMATCH(LOWER(O9049),""k""),
VALUE(REGEXEXTRACT(O9049,""[0-9]+""))*1000,
VALUE(REGEXEXTRACT(O9049,""[0-9]+""))
),
0
)"),0.0)</f>
        <v>0</v>
      </c>
      <c r="E9049" s="1" t="s">
        <v>11</v>
      </c>
      <c r="F9049" s="1" t="s">
        <v>20</v>
      </c>
      <c r="G9049" s="4" t="b">
        <f t="shared" si="2"/>
        <v>1</v>
      </c>
      <c r="H9049" s="1" t="str">
        <f t="shared" si="3"/>
        <v>Currently Unavailable</v>
      </c>
      <c r="I9049" s="1" t="str">
        <f t="shared" si="4"/>
        <v>No Badges</v>
      </c>
      <c r="J9049" s="3">
        <f t="shared" si="5"/>
        <v>0</v>
      </c>
    </row>
    <row r="9050">
      <c r="A9050" s="1" t="s">
        <v>6921</v>
      </c>
      <c r="B9050" s="3" t="str">
        <f t="shared" si="1"/>
        <v>Unavailable</v>
      </c>
      <c r="C9050" s="5">
        <v>1576.0</v>
      </c>
      <c r="D9050" s="3">
        <f>IFERROR(__xludf.DUMMYFUNCTION("IFERROR(
IF(REGEXMATCH(LOWER(O9050),""k""),
VALUE(REGEXEXTRACT(O9050,""[0-9]+""))*1000,
VALUE(REGEXEXTRACT(O9050,""[0-9]+""))
),
0
)"),0.0)</f>
        <v>0</v>
      </c>
      <c r="E9050" s="1" t="s">
        <v>11</v>
      </c>
      <c r="F9050" s="1" t="s">
        <v>20</v>
      </c>
      <c r="G9050" s="4" t="b">
        <f t="shared" si="2"/>
        <v>1</v>
      </c>
      <c r="H9050" s="1" t="str">
        <f t="shared" si="3"/>
        <v>Currently Unavailable</v>
      </c>
      <c r="I9050" s="1" t="str">
        <f t="shared" si="4"/>
        <v>No Badges</v>
      </c>
      <c r="J9050" s="3">
        <f t="shared" si="5"/>
        <v>0</v>
      </c>
    </row>
    <row r="9051">
      <c r="A9051" s="1" t="s">
        <v>6922</v>
      </c>
      <c r="B9051" s="3" t="str">
        <f t="shared" si="1"/>
        <v>Unavailable</v>
      </c>
      <c r="C9051" s="5">
        <v>9411.0</v>
      </c>
      <c r="D9051" s="3">
        <f>IFERROR(__xludf.DUMMYFUNCTION("IFERROR(
IF(REGEXMATCH(LOWER(O9051),""k""),
VALUE(REGEXEXTRACT(O9051,""[0-9]+""))*1000,
VALUE(REGEXEXTRACT(O9051,""[0-9]+""))
),
0
)"),0.0)</f>
        <v>0</v>
      </c>
      <c r="E9051" s="1" t="s">
        <v>11</v>
      </c>
      <c r="F9051" s="1" t="s">
        <v>20</v>
      </c>
      <c r="G9051" s="4" t="b">
        <f t="shared" si="2"/>
        <v>1</v>
      </c>
      <c r="H9051" s="1" t="str">
        <f t="shared" si="3"/>
        <v>Currently Unavailable</v>
      </c>
      <c r="I9051" s="1" t="str">
        <f t="shared" si="4"/>
        <v>No Badges</v>
      </c>
      <c r="J9051" s="3">
        <f t="shared" si="5"/>
        <v>0</v>
      </c>
    </row>
    <row r="9052">
      <c r="A9052" s="1" t="s">
        <v>6923</v>
      </c>
      <c r="B9052" s="3" t="str">
        <f t="shared" si="1"/>
        <v>Unavailable</v>
      </c>
      <c r="C9052" s="3">
        <v>24.0</v>
      </c>
      <c r="D9052" s="3">
        <f>IFERROR(__xludf.DUMMYFUNCTION("IFERROR(
IF(REGEXMATCH(LOWER(O9052),""k""),
VALUE(REGEXEXTRACT(O9052,""[0-9]+""))*1000,
VALUE(REGEXEXTRACT(O9052,""[0-9]+""))
),
0
)"),0.0)</f>
        <v>0</v>
      </c>
      <c r="E9052" s="1" t="s">
        <v>11</v>
      </c>
      <c r="F9052" s="1" t="s">
        <v>20</v>
      </c>
      <c r="G9052" s="4" t="b">
        <f t="shared" si="2"/>
        <v>1</v>
      </c>
      <c r="H9052" s="1" t="str">
        <f t="shared" si="3"/>
        <v>Currently Unavailable</v>
      </c>
      <c r="I9052" s="1" t="str">
        <f t="shared" si="4"/>
        <v>No Badges</v>
      </c>
      <c r="J9052" s="3">
        <f t="shared" si="5"/>
        <v>0</v>
      </c>
    </row>
    <row r="9053">
      <c r="A9053" s="1" t="s">
        <v>5817</v>
      </c>
      <c r="B9053" s="3" t="str">
        <f t="shared" si="1"/>
        <v>Unavailable</v>
      </c>
      <c r="C9053" s="5">
        <v>7235.0</v>
      </c>
      <c r="D9053" s="3">
        <f>IFERROR(__xludf.DUMMYFUNCTION("IFERROR(
IF(REGEXMATCH(LOWER(O9053),""k""),
VALUE(REGEXEXTRACT(O9053,""[0-9]+""))*1000,
VALUE(REGEXEXTRACT(O9053,""[0-9]+""))
),
0
)"),0.0)</f>
        <v>0</v>
      </c>
      <c r="E9053" s="1" t="s">
        <v>11</v>
      </c>
      <c r="F9053" s="1" t="s">
        <v>12</v>
      </c>
      <c r="G9053" s="4" t="b">
        <f t="shared" si="2"/>
        <v>1</v>
      </c>
      <c r="H9053" s="1" t="str">
        <f t="shared" si="3"/>
        <v>Currently Unavailable</v>
      </c>
      <c r="I9053" s="1" t="str">
        <f t="shared" si="4"/>
        <v>No Badges</v>
      </c>
      <c r="J9053" s="3">
        <f t="shared" si="5"/>
        <v>0</v>
      </c>
    </row>
    <row r="9054">
      <c r="A9054" s="1" t="s">
        <v>6924</v>
      </c>
      <c r="B9054" s="3" t="str">
        <f t="shared" si="1"/>
        <v>Unavailable</v>
      </c>
      <c r="C9054" s="3">
        <v>3.0</v>
      </c>
      <c r="D9054" s="3">
        <f>IFERROR(__xludf.DUMMYFUNCTION("IFERROR(
IF(REGEXMATCH(LOWER(O9054),""k""),
VALUE(REGEXEXTRACT(O9054,""[0-9]+""))*1000,
VALUE(REGEXEXTRACT(O9054,""[0-9]+""))
),
0
)"),0.0)</f>
        <v>0</v>
      </c>
      <c r="E9054" s="1" t="s">
        <v>11</v>
      </c>
      <c r="F9054" s="1" t="s">
        <v>20</v>
      </c>
      <c r="G9054" s="4" t="b">
        <f t="shared" si="2"/>
        <v>1</v>
      </c>
      <c r="H9054" s="1" t="str">
        <f t="shared" si="3"/>
        <v>Currently Unavailable</v>
      </c>
      <c r="I9054" s="1" t="str">
        <f t="shared" si="4"/>
        <v>No Badges</v>
      </c>
      <c r="J9054" s="3">
        <f t="shared" si="5"/>
        <v>0</v>
      </c>
    </row>
    <row r="9055">
      <c r="A9055" s="1" t="s">
        <v>6925</v>
      </c>
      <c r="B9055" s="3" t="str">
        <f t="shared" si="1"/>
        <v>Unavailable</v>
      </c>
      <c r="C9055" s="3">
        <v>494.0</v>
      </c>
      <c r="D9055" s="3">
        <f>IFERROR(__xludf.DUMMYFUNCTION("IFERROR(
IF(REGEXMATCH(LOWER(O9055),""k""),
VALUE(REGEXEXTRACT(O9055,""[0-9]+""))*1000,
VALUE(REGEXEXTRACT(O9055,""[0-9]+""))
),
0
)"),0.0)</f>
        <v>0</v>
      </c>
      <c r="E9055" s="1" t="s">
        <v>11</v>
      </c>
      <c r="F9055" s="1" t="s">
        <v>20</v>
      </c>
      <c r="G9055" s="4" t="b">
        <f t="shared" si="2"/>
        <v>1</v>
      </c>
      <c r="H9055" s="1" t="str">
        <f t="shared" si="3"/>
        <v>Currently Unavailable</v>
      </c>
      <c r="I9055" s="1" t="str">
        <f t="shared" si="4"/>
        <v>No Badges</v>
      </c>
      <c r="J9055" s="3">
        <f t="shared" si="5"/>
        <v>0</v>
      </c>
    </row>
    <row r="9056">
      <c r="A9056" s="1" t="s">
        <v>6926</v>
      </c>
      <c r="B9056" s="3" t="str">
        <f t="shared" si="1"/>
        <v>Unavailable</v>
      </c>
      <c r="C9056" s="3">
        <v>231.0</v>
      </c>
      <c r="D9056" s="3">
        <f>IFERROR(__xludf.DUMMYFUNCTION("IFERROR(
IF(REGEXMATCH(LOWER(O9056),""k""),
VALUE(REGEXEXTRACT(O9056,""[0-9]+""))*1000,
VALUE(REGEXEXTRACT(O9056,""[0-9]+""))
),
0
)"),0.0)</f>
        <v>0</v>
      </c>
      <c r="E9056" s="1" t="s">
        <v>11</v>
      </c>
      <c r="F9056" s="1" t="s">
        <v>20</v>
      </c>
      <c r="G9056" s="4" t="b">
        <f t="shared" si="2"/>
        <v>1</v>
      </c>
      <c r="H9056" s="1" t="str">
        <f t="shared" si="3"/>
        <v>Currently Unavailable</v>
      </c>
      <c r="I9056" s="1" t="str">
        <f t="shared" si="4"/>
        <v>No Badges</v>
      </c>
      <c r="J9056" s="3">
        <f t="shared" si="5"/>
        <v>0</v>
      </c>
    </row>
    <row r="9057">
      <c r="A9057" s="1" t="s">
        <v>6927</v>
      </c>
      <c r="B9057" s="3" t="str">
        <f t="shared" si="1"/>
        <v>Unavailable</v>
      </c>
      <c r="C9057" s="5">
        <v>7235.0</v>
      </c>
      <c r="D9057" s="3">
        <f>IFERROR(__xludf.DUMMYFUNCTION("IFERROR(
IF(REGEXMATCH(LOWER(O9057),""k""),
VALUE(REGEXEXTRACT(O9057,""[0-9]+""))*1000,
VALUE(REGEXEXTRACT(O9057,""[0-9]+""))
),
0
)"),0.0)</f>
        <v>0</v>
      </c>
      <c r="E9057" s="1" t="s">
        <v>11</v>
      </c>
      <c r="F9057" s="1" t="s">
        <v>20</v>
      </c>
      <c r="G9057" s="4" t="b">
        <f t="shared" si="2"/>
        <v>1</v>
      </c>
      <c r="H9057" s="1" t="str">
        <f t="shared" si="3"/>
        <v>Currently Unavailable</v>
      </c>
      <c r="I9057" s="1" t="str">
        <f t="shared" si="4"/>
        <v>No Badges</v>
      </c>
      <c r="J9057" s="3">
        <f t="shared" si="5"/>
        <v>0</v>
      </c>
    </row>
    <row r="9058">
      <c r="A9058" s="1" t="s">
        <v>6928</v>
      </c>
      <c r="B9058" s="3" t="str">
        <f t="shared" si="1"/>
        <v>Unavailable</v>
      </c>
      <c r="C9058" s="5">
        <v>17953.0</v>
      </c>
      <c r="D9058" s="3">
        <f>IFERROR(__xludf.DUMMYFUNCTION("IFERROR(
IF(REGEXMATCH(LOWER(O9058),""k""),
VALUE(REGEXEXTRACT(O9058,""[0-9]+""))*1000,
VALUE(REGEXEXTRACT(O9058,""[0-9]+""))
),
0
)"),0.0)</f>
        <v>0</v>
      </c>
      <c r="E9058" s="1" t="s">
        <v>11</v>
      </c>
      <c r="F9058" s="1" t="s">
        <v>20</v>
      </c>
      <c r="G9058" s="4" t="b">
        <f t="shared" si="2"/>
        <v>1</v>
      </c>
      <c r="H9058" s="1" t="str">
        <f t="shared" si="3"/>
        <v>Currently Unavailable</v>
      </c>
      <c r="I9058" s="1" t="str">
        <f t="shared" si="4"/>
        <v>No Badges</v>
      </c>
      <c r="J9058" s="3">
        <f t="shared" si="5"/>
        <v>0</v>
      </c>
    </row>
    <row r="9059">
      <c r="A9059" s="1" t="s">
        <v>6929</v>
      </c>
      <c r="B9059" s="3" t="str">
        <f t="shared" si="1"/>
        <v>Unavailable</v>
      </c>
      <c r="C9059" s="5">
        <v>1900.0</v>
      </c>
      <c r="D9059" s="3">
        <f>IFERROR(__xludf.DUMMYFUNCTION("IFERROR(
IF(REGEXMATCH(LOWER(O9059),""k""),
VALUE(REGEXEXTRACT(O9059,""[0-9]+""))*1000,
VALUE(REGEXEXTRACT(O9059,""[0-9]+""))
),
0
)"),0.0)</f>
        <v>0</v>
      </c>
      <c r="E9059" s="1" t="s">
        <v>11</v>
      </c>
      <c r="F9059" s="1" t="s">
        <v>20</v>
      </c>
      <c r="G9059" s="4" t="b">
        <f t="shared" si="2"/>
        <v>1</v>
      </c>
      <c r="H9059" s="1" t="str">
        <f t="shared" si="3"/>
        <v>Currently Unavailable</v>
      </c>
      <c r="I9059" s="1" t="str">
        <f t="shared" si="4"/>
        <v>No Badges</v>
      </c>
      <c r="J9059" s="3">
        <f t="shared" si="5"/>
        <v>0</v>
      </c>
    </row>
    <row r="9060">
      <c r="A9060" s="1" t="s">
        <v>2033</v>
      </c>
      <c r="B9060" s="3" t="str">
        <f t="shared" si="1"/>
        <v>Unavailable</v>
      </c>
      <c r="C9060" s="5">
        <v>3230.0</v>
      </c>
      <c r="D9060" s="3">
        <f>IFERROR(__xludf.DUMMYFUNCTION("IFERROR(
IF(REGEXMATCH(LOWER(O9060),""k""),
VALUE(REGEXEXTRACT(O9060,""[0-9]+""))*1000,
VALUE(REGEXEXTRACT(O9060,""[0-9]+""))
),
0
)"),0.0)</f>
        <v>0</v>
      </c>
      <c r="E9060" s="1" t="s">
        <v>11</v>
      </c>
      <c r="F9060" s="1" t="s">
        <v>20</v>
      </c>
      <c r="G9060" s="4" t="b">
        <f t="shared" si="2"/>
        <v>1</v>
      </c>
      <c r="H9060" s="1" t="str">
        <f t="shared" si="3"/>
        <v>Currently Unavailable</v>
      </c>
      <c r="I9060" s="1" t="str">
        <f t="shared" si="4"/>
        <v>No Badges</v>
      </c>
      <c r="J9060" s="3">
        <f t="shared" si="5"/>
        <v>0</v>
      </c>
    </row>
    <row r="9061">
      <c r="A9061" s="1" t="s">
        <v>6930</v>
      </c>
      <c r="B9061" s="3" t="str">
        <f t="shared" si="1"/>
        <v>Unavailable</v>
      </c>
      <c r="C9061" s="5">
        <v>6301.0</v>
      </c>
      <c r="D9061" s="3">
        <f>IFERROR(__xludf.DUMMYFUNCTION("IFERROR(
IF(REGEXMATCH(LOWER(O9061),""k""),
VALUE(REGEXEXTRACT(O9061,""[0-9]+""))*1000,
VALUE(REGEXEXTRACT(O9061,""[0-9]+""))
),
0
)"),0.0)</f>
        <v>0</v>
      </c>
      <c r="E9061" s="1" t="s">
        <v>11</v>
      </c>
      <c r="F9061" s="1" t="s">
        <v>20</v>
      </c>
      <c r="G9061" s="4" t="b">
        <f t="shared" si="2"/>
        <v>1</v>
      </c>
      <c r="H9061" s="1" t="str">
        <f t="shared" si="3"/>
        <v>Currently Unavailable</v>
      </c>
      <c r="I9061" s="1" t="str">
        <f t="shared" si="4"/>
        <v>No Badges</v>
      </c>
      <c r="J9061" s="3">
        <f t="shared" si="5"/>
        <v>0</v>
      </c>
    </row>
    <row r="9062">
      <c r="A9062" s="1" t="s">
        <v>6931</v>
      </c>
      <c r="B9062" s="3" t="str">
        <f t="shared" si="1"/>
        <v>Unavailable</v>
      </c>
      <c r="C9062" s="3">
        <v>324.0</v>
      </c>
      <c r="D9062" s="3">
        <f>IFERROR(__xludf.DUMMYFUNCTION("IFERROR(
IF(REGEXMATCH(LOWER(O9062),""k""),
VALUE(REGEXEXTRACT(O9062,""[0-9]+""))*1000,
VALUE(REGEXEXTRACT(O9062,""[0-9]+""))
),
0
)"),0.0)</f>
        <v>0</v>
      </c>
      <c r="E9062" s="1" t="s">
        <v>11</v>
      </c>
      <c r="F9062" s="1" t="s">
        <v>20</v>
      </c>
      <c r="G9062" s="4" t="b">
        <f t="shared" si="2"/>
        <v>1</v>
      </c>
      <c r="H9062" s="1" t="str">
        <f t="shared" si="3"/>
        <v>Currently Unavailable</v>
      </c>
      <c r="I9062" s="1" t="str">
        <f t="shared" si="4"/>
        <v>No Badges</v>
      </c>
      <c r="J9062" s="3">
        <f t="shared" si="5"/>
        <v>0</v>
      </c>
    </row>
    <row r="9063">
      <c r="A9063" s="1" t="s">
        <v>5817</v>
      </c>
      <c r="B9063" s="3" t="str">
        <f t="shared" si="1"/>
        <v>Unavailable</v>
      </c>
      <c r="C9063" s="5">
        <v>7235.0</v>
      </c>
      <c r="D9063" s="3">
        <f>IFERROR(__xludf.DUMMYFUNCTION("IFERROR(
IF(REGEXMATCH(LOWER(O9063),""k""),
VALUE(REGEXEXTRACT(O9063,""[0-9]+""))*1000,
VALUE(REGEXEXTRACT(O9063,""[0-9]+""))
),
0
)"),0.0)</f>
        <v>0</v>
      </c>
      <c r="E9063" s="1" t="s">
        <v>11</v>
      </c>
      <c r="F9063" s="1" t="s">
        <v>12</v>
      </c>
      <c r="G9063" s="4" t="b">
        <f t="shared" si="2"/>
        <v>1</v>
      </c>
      <c r="H9063" s="1" t="str">
        <f t="shared" si="3"/>
        <v>Currently Unavailable</v>
      </c>
      <c r="I9063" s="1" t="str">
        <f t="shared" si="4"/>
        <v>No Badges</v>
      </c>
      <c r="J9063" s="3">
        <f t="shared" si="5"/>
        <v>0</v>
      </c>
    </row>
    <row r="9064">
      <c r="A9064" s="1" t="s">
        <v>6932</v>
      </c>
      <c r="B9064" s="3" t="str">
        <f t="shared" si="1"/>
        <v>Unavailable</v>
      </c>
      <c r="C9064" s="3">
        <v>201.0</v>
      </c>
      <c r="D9064" s="3">
        <f>IFERROR(__xludf.DUMMYFUNCTION("IFERROR(
IF(REGEXMATCH(LOWER(O9064),""k""),
VALUE(REGEXEXTRACT(O9064,""[0-9]+""))*1000,
VALUE(REGEXEXTRACT(O9064,""[0-9]+""))
),
0
)"),0.0)</f>
        <v>0</v>
      </c>
      <c r="E9064" s="1" t="s">
        <v>11</v>
      </c>
      <c r="F9064" s="1" t="s">
        <v>20</v>
      </c>
      <c r="G9064" s="4" t="b">
        <f t="shared" si="2"/>
        <v>1</v>
      </c>
      <c r="H9064" s="1" t="str">
        <f t="shared" si="3"/>
        <v>Currently Unavailable</v>
      </c>
      <c r="I9064" s="1" t="str">
        <f t="shared" si="4"/>
        <v>No Badges</v>
      </c>
      <c r="J9064" s="3">
        <f t="shared" si="5"/>
        <v>0</v>
      </c>
    </row>
    <row r="9065">
      <c r="A9065" s="1" t="s">
        <v>6933</v>
      </c>
      <c r="B9065" s="3" t="str">
        <f t="shared" si="1"/>
        <v>Unavailable</v>
      </c>
      <c r="C9065" s="3">
        <v>74.0</v>
      </c>
      <c r="D9065" s="3">
        <f>IFERROR(__xludf.DUMMYFUNCTION("IFERROR(
IF(REGEXMATCH(LOWER(O9065),""k""),
VALUE(REGEXEXTRACT(O9065,""[0-9]+""))*1000,
VALUE(REGEXEXTRACT(O9065,""[0-9]+""))
),
0
)"),0.0)</f>
        <v>0</v>
      </c>
      <c r="E9065" s="1" t="s">
        <v>11</v>
      </c>
      <c r="F9065" s="1" t="s">
        <v>20</v>
      </c>
      <c r="G9065" s="4" t="b">
        <f t="shared" si="2"/>
        <v>1</v>
      </c>
      <c r="H9065" s="1" t="str">
        <f t="shared" si="3"/>
        <v>Currently Unavailable</v>
      </c>
      <c r="I9065" s="1" t="str">
        <f t="shared" si="4"/>
        <v>No Badges</v>
      </c>
      <c r="J9065" s="3">
        <f t="shared" si="5"/>
        <v>0</v>
      </c>
    </row>
    <row r="9066">
      <c r="A9066" s="1" t="s">
        <v>6934</v>
      </c>
      <c r="B9066" s="3" t="str">
        <f t="shared" si="1"/>
        <v>Unavailable</v>
      </c>
      <c r="C9066" s="3">
        <v>982.0</v>
      </c>
      <c r="D9066" s="3">
        <f>IFERROR(__xludf.DUMMYFUNCTION("IFERROR(
IF(REGEXMATCH(LOWER(O9066),""k""),
VALUE(REGEXEXTRACT(O9066,""[0-9]+""))*1000,
VALUE(REGEXEXTRACT(O9066,""[0-9]+""))
),
0
)"),0.0)</f>
        <v>0</v>
      </c>
      <c r="E9066" s="1" t="s">
        <v>11</v>
      </c>
      <c r="F9066" s="1" t="s">
        <v>20</v>
      </c>
      <c r="G9066" s="4" t="b">
        <f t="shared" si="2"/>
        <v>1</v>
      </c>
      <c r="H9066" s="1" t="str">
        <f t="shared" si="3"/>
        <v>Currently Unavailable</v>
      </c>
      <c r="I9066" s="1" t="str">
        <f t="shared" si="4"/>
        <v>No Badges</v>
      </c>
      <c r="J9066" s="3">
        <f t="shared" si="5"/>
        <v>0</v>
      </c>
    </row>
    <row r="9067">
      <c r="A9067" s="1" t="s">
        <v>6935</v>
      </c>
      <c r="B9067" s="3" t="str">
        <f t="shared" si="1"/>
        <v>Unavailable</v>
      </c>
      <c r="C9067" s="3">
        <v>332.0</v>
      </c>
      <c r="D9067" s="3">
        <f>IFERROR(__xludf.DUMMYFUNCTION("IFERROR(
IF(REGEXMATCH(LOWER(O9067),""k""),
VALUE(REGEXEXTRACT(O9067,""[0-9]+""))*1000,
VALUE(REGEXEXTRACT(O9067,""[0-9]+""))
),
0
)"),0.0)</f>
        <v>0</v>
      </c>
      <c r="E9067" s="1" t="s">
        <v>11</v>
      </c>
      <c r="F9067" s="1" t="s">
        <v>20</v>
      </c>
      <c r="G9067" s="4" t="b">
        <f t="shared" si="2"/>
        <v>1</v>
      </c>
      <c r="H9067" s="1" t="str">
        <f t="shared" si="3"/>
        <v>Currently Unavailable</v>
      </c>
      <c r="I9067" s="1" t="str">
        <f t="shared" si="4"/>
        <v>No Badges</v>
      </c>
      <c r="J9067" s="3">
        <f t="shared" si="5"/>
        <v>0</v>
      </c>
    </row>
    <row r="9068">
      <c r="A9068" s="1" t="s">
        <v>5817</v>
      </c>
      <c r="B9068" s="3" t="str">
        <f t="shared" si="1"/>
        <v>Unavailable</v>
      </c>
      <c r="C9068" s="5">
        <v>7235.0</v>
      </c>
      <c r="D9068" s="3">
        <f>IFERROR(__xludf.DUMMYFUNCTION("IFERROR(
IF(REGEXMATCH(LOWER(O9068),""k""),
VALUE(REGEXEXTRACT(O9068,""[0-9]+""))*1000,
VALUE(REGEXEXTRACT(O9068,""[0-9]+""))
),
0
)"),0.0)</f>
        <v>0</v>
      </c>
      <c r="E9068" s="1" t="s">
        <v>11</v>
      </c>
      <c r="F9068" s="1" t="s">
        <v>12</v>
      </c>
      <c r="G9068" s="4" t="b">
        <f t="shared" si="2"/>
        <v>1</v>
      </c>
      <c r="H9068" s="1" t="str">
        <f t="shared" si="3"/>
        <v>Currently Unavailable</v>
      </c>
      <c r="I9068" s="1" t="str">
        <f t="shared" si="4"/>
        <v>No Badges</v>
      </c>
      <c r="J9068" s="3">
        <f t="shared" si="5"/>
        <v>0</v>
      </c>
    </row>
    <row r="9069">
      <c r="A9069" s="1" t="s">
        <v>6936</v>
      </c>
      <c r="B9069" s="3" t="str">
        <f t="shared" si="1"/>
        <v>Unavailable</v>
      </c>
      <c r="C9069" s="5">
        <v>9772.0</v>
      </c>
      <c r="D9069" s="3">
        <f>IFERROR(__xludf.DUMMYFUNCTION("IFERROR(
IF(REGEXMATCH(LOWER(O9069),""k""),
VALUE(REGEXEXTRACT(O9069,""[0-9]+""))*1000,
VALUE(REGEXEXTRACT(O9069,""[0-9]+""))
),
0
)"),0.0)</f>
        <v>0</v>
      </c>
      <c r="E9069" s="1" t="s">
        <v>11</v>
      </c>
      <c r="F9069" s="1" t="s">
        <v>20</v>
      </c>
      <c r="G9069" s="4" t="b">
        <f t="shared" si="2"/>
        <v>1</v>
      </c>
      <c r="H9069" s="1" t="str">
        <f t="shared" si="3"/>
        <v>Currently Unavailable</v>
      </c>
      <c r="I9069" s="1" t="str">
        <f t="shared" si="4"/>
        <v>No Badges</v>
      </c>
      <c r="J9069" s="3">
        <f t="shared" si="5"/>
        <v>0</v>
      </c>
    </row>
    <row r="9070">
      <c r="A9070" s="1" t="s">
        <v>6937</v>
      </c>
      <c r="B9070" s="3" t="str">
        <f t="shared" si="1"/>
        <v>Unavailable</v>
      </c>
      <c r="C9070" s="5">
        <v>1733.0</v>
      </c>
      <c r="D9070" s="3">
        <f>IFERROR(__xludf.DUMMYFUNCTION("IFERROR(
IF(REGEXMATCH(LOWER(O9070),""k""),
VALUE(REGEXEXTRACT(O9070,""[0-9]+""))*1000,
VALUE(REGEXEXTRACT(O9070,""[0-9]+""))
),
0
)"),0.0)</f>
        <v>0</v>
      </c>
      <c r="E9070" s="1" t="s">
        <v>11</v>
      </c>
      <c r="F9070" s="1" t="s">
        <v>20</v>
      </c>
      <c r="G9070" s="4" t="b">
        <f t="shared" si="2"/>
        <v>1</v>
      </c>
      <c r="H9070" s="1" t="str">
        <f t="shared" si="3"/>
        <v>Currently Unavailable</v>
      </c>
      <c r="I9070" s="1" t="str">
        <f t="shared" si="4"/>
        <v>No Badges</v>
      </c>
      <c r="J9070" s="3">
        <f t="shared" si="5"/>
        <v>0</v>
      </c>
    </row>
    <row r="9071">
      <c r="A9071" s="1" t="s">
        <v>5817</v>
      </c>
      <c r="B9071" s="3" t="str">
        <f t="shared" si="1"/>
        <v>Unavailable</v>
      </c>
      <c r="C9071" s="5">
        <v>7235.0</v>
      </c>
      <c r="D9071" s="3">
        <f>IFERROR(__xludf.DUMMYFUNCTION("IFERROR(
IF(REGEXMATCH(LOWER(O9071),""k""),
VALUE(REGEXEXTRACT(O9071,""[0-9]+""))*1000,
VALUE(REGEXEXTRACT(O9071,""[0-9]+""))
),
0
)"),0.0)</f>
        <v>0</v>
      </c>
      <c r="E9071" s="1" t="s">
        <v>11</v>
      </c>
      <c r="F9071" s="1" t="s">
        <v>12</v>
      </c>
      <c r="G9071" s="4" t="b">
        <f t="shared" si="2"/>
        <v>1</v>
      </c>
      <c r="H9071" s="1" t="str">
        <f t="shared" si="3"/>
        <v>Currently Unavailable</v>
      </c>
      <c r="I9071" s="1" t="str">
        <f t="shared" si="4"/>
        <v>No Badges</v>
      </c>
      <c r="J9071" s="3">
        <f t="shared" si="5"/>
        <v>0</v>
      </c>
    </row>
    <row r="9072">
      <c r="A9072" s="1" t="s">
        <v>6938</v>
      </c>
      <c r="B9072" s="3" t="str">
        <f t="shared" si="1"/>
        <v>Unavailable</v>
      </c>
      <c r="C9072" s="3">
        <v>464.0</v>
      </c>
      <c r="D9072" s="3">
        <f>IFERROR(__xludf.DUMMYFUNCTION("IFERROR(
IF(REGEXMATCH(LOWER(O9072),""k""),
VALUE(REGEXEXTRACT(O9072,""[0-9]+""))*1000,
VALUE(REGEXEXTRACT(O9072,""[0-9]+""))
),
0
)"),0.0)</f>
        <v>0</v>
      </c>
      <c r="E9072" s="1" t="s">
        <v>11</v>
      </c>
      <c r="F9072" s="1" t="s">
        <v>20</v>
      </c>
      <c r="G9072" s="4" t="b">
        <f t="shared" si="2"/>
        <v>1</v>
      </c>
      <c r="H9072" s="1" t="str">
        <f t="shared" si="3"/>
        <v>Currently Unavailable</v>
      </c>
      <c r="I9072" s="1" t="str">
        <f t="shared" si="4"/>
        <v>No Badges</v>
      </c>
      <c r="J9072" s="3">
        <f t="shared" si="5"/>
        <v>0</v>
      </c>
    </row>
    <row r="9073">
      <c r="A9073" s="1" t="s">
        <v>6939</v>
      </c>
      <c r="B9073" s="3" t="str">
        <f t="shared" si="1"/>
        <v>Unavailable</v>
      </c>
      <c r="C9073" s="5">
        <v>2202.0</v>
      </c>
      <c r="D9073" s="3">
        <f>IFERROR(__xludf.DUMMYFUNCTION("IFERROR(
IF(REGEXMATCH(LOWER(O9073),""k""),
VALUE(REGEXEXTRACT(O9073,""[0-9]+""))*1000,
VALUE(REGEXEXTRACT(O9073,""[0-9]+""))
),
0
)"),0.0)</f>
        <v>0</v>
      </c>
      <c r="E9073" s="1" t="s">
        <v>11</v>
      </c>
      <c r="F9073" s="1" t="s">
        <v>20</v>
      </c>
      <c r="G9073" s="4" t="b">
        <f t="shared" si="2"/>
        <v>1</v>
      </c>
      <c r="H9073" s="1" t="str">
        <f t="shared" si="3"/>
        <v>Currently Unavailable</v>
      </c>
      <c r="I9073" s="1" t="str">
        <f t="shared" si="4"/>
        <v>No Badges</v>
      </c>
      <c r="J9073" s="3">
        <f t="shared" si="5"/>
        <v>0</v>
      </c>
    </row>
    <row r="9074">
      <c r="A9074" s="1" t="s">
        <v>6940</v>
      </c>
      <c r="B9074" s="3" t="str">
        <f t="shared" si="1"/>
        <v>Unavailable</v>
      </c>
      <c r="C9074" s="3">
        <v>301.0</v>
      </c>
      <c r="D9074" s="3">
        <f>IFERROR(__xludf.DUMMYFUNCTION("IFERROR(
IF(REGEXMATCH(LOWER(O9074),""k""),
VALUE(REGEXEXTRACT(O9074,""[0-9]+""))*1000,
VALUE(REGEXEXTRACT(O9074,""[0-9]+""))
),
0
)"),0.0)</f>
        <v>0</v>
      </c>
      <c r="E9074" s="1" t="s">
        <v>11</v>
      </c>
      <c r="F9074" s="1" t="s">
        <v>20</v>
      </c>
      <c r="G9074" s="4" t="b">
        <f t="shared" si="2"/>
        <v>1</v>
      </c>
      <c r="H9074" s="1" t="str">
        <f t="shared" si="3"/>
        <v>Currently Unavailable</v>
      </c>
      <c r="I9074" s="1" t="str">
        <f t="shared" si="4"/>
        <v>No Badges</v>
      </c>
      <c r="J9074" s="3">
        <f t="shared" si="5"/>
        <v>0</v>
      </c>
    </row>
    <row r="9075">
      <c r="A9075" s="1" t="s">
        <v>6941</v>
      </c>
      <c r="B9075" s="3" t="str">
        <f t="shared" si="1"/>
        <v>Unavailable</v>
      </c>
      <c r="C9075" s="5">
        <v>3551.0</v>
      </c>
      <c r="D9075" s="3">
        <f>IFERROR(__xludf.DUMMYFUNCTION("IFERROR(
IF(REGEXMATCH(LOWER(O9075),""k""),
VALUE(REGEXEXTRACT(O9075,""[0-9]+""))*1000,
VALUE(REGEXEXTRACT(O9075,""[0-9]+""))
),
0
)"),0.0)</f>
        <v>0</v>
      </c>
      <c r="E9075" s="1" t="s">
        <v>11</v>
      </c>
      <c r="F9075" s="1" t="s">
        <v>20</v>
      </c>
      <c r="G9075" s="4" t="b">
        <f t="shared" si="2"/>
        <v>1</v>
      </c>
      <c r="H9075" s="1" t="str">
        <f t="shared" si="3"/>
        <v>Currently Unavailable</v>
      </c>
      <c r="I9075" s="1" t="str">
        <f t="shared" si="4"/>
        <v>No Badges</v>
      </c>
      <c r="J9075" s="3">
        <f t="shared" si="5"/>
        <v>0</v>
      </c>
    </row>
    <row r="9076">
      <c r="A9076" s="1" t="s">
        <v>5817</v>
      </c>
      <c r="B9076" s="3" t="str">
        <f t="shared" si="1"/>
        <v>Unavailable</v>
      </c>
      <c r="C9076" s="5">
        <v>7235.0</v>
      </c>
      <c r="D9076" s="3">
        <f>IFERROR(__xludf.DUMMYFUNCTION("IFERROR(
IF(REGEXMATCH(LOWER(O9076),""k""),
VALUE(REGEXEXTRACT(O9076,""[0-9]+""))*1000,
VALUE(REGEXEXTRACT(O9076,""[0-9]+""))
),
0
)"),0.0)</f>
        <v>0</v>
      </c>
      <c r="E9076" s="1" t="s">
        <v>11</v>
      </c>
      <c r="F9076" s="1" t="s">
        <v>12</v>
      </c>
      <c r="G9076" s="4" t="b">
        <f t="shared" si="2"/>
        <v>1</v>
      </c>
      <c r="H9076" s="1" t="str">
        <f t="shared" si="3"/>
        <v>Currently Unavailable</v>
      </c>
      <c r="I9076" s="1" t="str">
        <f t="shared" si="4"/>
        <v>No Badges</v>
      </c>
      <c r="J9076" s="3">
        <f t="shared" si="5"/>
        <v>0</v>
      </c>
    </row>
    <row r="9077">
      <c r="A9077" s="1" t="s">
        <v>5944</v>
      </c>
      <c r="B9077" s="3" t="str">
        <f t="shared" si="1"/>
        <v>Unavailable</v>
      </c>
      <c r="C9077" s="3">
        <v>6.0</v>
      </c>
      <c r="D9077" s="3">
        <f>IFERROR(__xludf.DUMMYFUNCTION("IFERROR(
IF(REGEXMATCH(LOWER(O9077),""k""),
VALUE(REGEXEXTRACT(O9077,""[0-9]+""))*1000,
VALUE(REGEXEXTRACT(O9077,""[0-9]+""))
),
0
)"),0.0)</f>
        <v>0</v>
      </c>
      <c r="E9077" s="1" t="s">
        <v>11</v>
      </c>
      <c r="F9077" s="1" t="s">
        <v>20</v>
      </c>
      <c r="G9077" s="4" t="b">
        <f t="shared" si="2"/>
        <v>1</v>
      </c>
      <c r="H9077" s="1" t="str">
        <f t="shared" si="3"/>
        <v>Currently Unavailable</v>
      </c>
      <c r="I9077" s="1" t="str">
        <f t="shared" si="4"/>
        <v>No Badges</v>
      </c>
      <c r="J9077" s="3">
        <f t="shared" si="5"/>
        <v>0</v>
      </c>
    </row>
    <row r="9078">
      <c r="A9078" s="1" t="s">
        <v>6942</v>
      </c>
      <c r="B9078" s="3" t="str">
        <f t="shared" si="1"/>
        <v>Unavailable</v>
      </c>
      <c r="C9078" s="3">
        <v>107.0</v>
      </c>
      <c r="D9078" s="3">
        <f>IFERROR(__xludf.DUMMYFUNCTION("IFERROR(
IF(REGEXMATCH(LOWER(O9078),""k""),
VALUE(REGEXEXTRACT(O9078,""[0-9]+""))*1000,
VALUE(REGEXEXTRACT(O9078,""[0-9]+""))
),
0
)"),0.0)</f>
        <v>0</v>
      </c>
      <c r="E9078" s="1" t="s">
        <v>11</v>
      </c>
      <c r="F9078" s="1" t="s">
        <v>20</v>
      </c>
      <c r="G9078" s="4" t="b">
        <f t="shared" si="2"/>
        <v>1</v>
      </c>
      <c r="H9078" s="1" t="str">
        <f t="shared" si="3"/>
        <v>Currently Unavailable</v>
      </c>
      <c r="I9078" s="1" t="str">
        <f t="shared" si="4"/>
        <v>No Badges</v>
      </c>
      <c r="J9078" s="3">
        <f t="shared" si="5"/>
        <v>0</v>
      </c>
    </row>
    <row r="9079">
      <c r="A9079" s="1" t="s">
        <v>6943</v>
      </c>
      <c r="B9079" s="3" t="str">
        <f t="shared" si="1"/>
        <v>Unavailable</v>
      </c>
      <c r="C9079" s="3">
        <v>14.0</v>
      </c>
      <c r="D9079" s="3">
        <f>IFERROR(__xludf.DUMMYFUNCTION("IFERROR(
IF(REGEXMATCH(LOWER(O9079),""k""),
VALUE(REGEXEXTRACT(O9079,""[0-9]+""))*1000,
VALUE(REGEXEXTRACT(O9079,""[0-9]+""))
),
0
)"),0.0)</f>
        <v>0</v>
      </c>
      <c r="E9079" s="1" t="s">
        <v>11</v>
      </c>
      <c r="F9079" s="1" t="s">
        <v>20</v>
      </c>
      <c r="G9079" s="4" t="b">
        <f t="shared" si="2"/>
        <v>1</v>
      </c>
      <c r="H9079" s="1" t="str">
        <f t="shared" si="3"/>
        <v>Currently Unavailable</v>
      </c>
      <c r="I9079" s="1" t="str">
        <f t="shared" si="4"/>
        <v>No Badges</v>
      </c>
      <c r="J9079" s="3">
        <f t="shared" si="5"/>
        <v>0</v>
      </c>
    </row>
    <row r="9080">
      <c r="A9080" s="1" t="s">
        <v>6944</v>
      </c>
      <c r="B9080" s="3" t="str">
        <f t="shared" si="1"/>
        <v>Unavailable</v>
      </c>
      <c r="C9080" s="5">
        <v>1382.0</v>
      </c>
      <c r="D9080" s="3">
        <f>IFERROR(__xludf.DUMMYFUNCTION("IFERROR(
IF(REGEXMATCH(LOWER(O9080),""k""),
VALUE(REGEXEXTRACT(O9080,""[0-9]+""))*1000,
VALUE(REGEXEXTRACT(O9080,""[0-9]+""))
),
0
)"),0.0)</f>
        <v>0</v>
      </c>
      <c r="E9080" s="1" t="s">
        <v>11</v>
      </c>
      <c r="F9080" s="1" t="s">
        <v>20</v>
      </c>
      <c r="G9080" s="4" t="b">
        <f t="shared" si="2"/>
        <v>1</v>
      </c>
      <c r="H9080" s="1" t="str">
        <f t="shared" si="3"/>
        <v>Currently Unavailable</v>
      </c>
      <c r="I9080" s="1" t="str">
        <f t="shared" si="4"/>
        <v>No Badges</v>
      </c>
      <c r="J9080" s="3">
        <f t="shared" si="5"/>
        <v>0</v>
      </c>
    </row>
    <row r="9081">
      <c r="A9081" s="1" t="s">
        <v>6945</v>
      </c>
      <c r="B9081" s="3" t="str">
        <f t="shared" si="1"/>
        <v>Unavailable</v>
      </c>
      <c r="C9081" s="5">
        <v>11168.0</v>
      </c>
      <c r="D9081" s="3">
        <f>IFERROR(__xludf.DUMMYFUNCTION("IFERROR(
IF(REGEXMATCH(LOWER(O9081),""k""),
VALUE(REGEXEXTRACT(O9081,""[0-9]+""))*1000,
VALUE(REGEXEXTRACT(O9081,""[0-9]+""))
),
0
)"),0.0)</f>
        <v>0</v>
      </c>
      <c r="E9081" s="1" t="s">
        <v>11</v>
      </c>
      <c r="F9081" s="1" t="s">
        <v>20</v>
      </c>
      <c r="G9081" s="4" t="b">
        <f t="shared" si="2"/>
        <v>1</v>
      </c>
      <c r="H9081" s="1" t="str">
        <f t="shared" si="3"/>
        <v>Currently Unavailable</v>
      </c>
      <c r="I9081" s="1" t="str">
        <f t="shared" si="4"/>
        <v>No Badges</v>
      </c>
      <c r="J9081" s="3">
        <f t="shared" si="5"/>
        <v>0</v>
      </c>
    </row>
    <row r="9082">
      <c r="A9082" s="1" t="s">
        <v>5817</v>
      </c>
      <c r="B9082" s="3" t="str">
        <f t="shared" si="1"/>
        <v>Unavailable</v>
      </c>
      <c r="C9082" s="5">
        <v>7235.0</v>
      </c>
      <c r="D9082" s="3">
        <f>IFERROR(__xludf.DUMMYFUNCTION("IFERROR(
IF(REGEXMATCH(LOWER(O9082),""k""),
VALUE(REGEXEXTRACT(O9082,""[0-9]+""))*1000,
VALUE(REGEXEXTRACT(O9082,""[0-9]+""))
),
0
)"),0.0)</f>
        <v>0</v>
      </c>
      <c r="E9082" s="1" t="s">
        <v>11</v>
      </c>
      <c r="F9082" s="1" t="s">
        <v>12</v>
      </c>
      <c r="G9082" s="4" t="b">
        <f t="shared" si="2"/>
        <v>1</v>
      </c>
      <c r="H9082" s="1" t="str">
        <f t="shared" si="3"/>
        <v>Currently Unavailable</v>
      </c>
      <c r="I9082" s="1" t="str">
        <f t="shared" si="4"/>
        <v>No Badges</v>
      </c>
      <c r="J9082" s="3">
        <f t="shared" si="5"/>
        <v>0</v>
      </c>
    </row>
    <row r="9083">
      <c r="A9083" s="1" t="s">
        <v>6946</v>
      </c>
      <c r="B9083" s="3" t="str">
        <f t="shared" si="1"/>
        <v>Unavailable</v>
      </c>
      <c r="C9083" s="5">
        <v>3132.0</v>
      </c>
      <c r="D9083" s="3">
        <f>IFERROR(__xludf.DUMMYFUNCTION("IFERROR(
IF(REGEXMATCH(LOWER(O9083),""k""),
VALUE(REGEXEXTRACT(O9083,""[0-9]+""))*1000,
VALUE(REGEXEXTRACT(O9083,""[0-9]+""))
),
0
)"),0.0)</f>
        <v>0</v>
      </c>
      <c r="E9083" s="1" t="s">
        <v>11</v>
      </c>
      <c r="F9083" s="1" t="s">
        <v>20</v>
      </c>
      <c r="G9083" s="4" t="b">
        <f t="shared" si="2"/>
        <v>1</v>
      </c>
      <c r="H9083" s="1" t="str">
        <f t="shared" si="3"/>
        <v>Currently Unavailable</v>
      </c>
      <c r="I9083" s="1" t="str">
        <f t="shared" si="4"/>
        <v>No Badges</v>
      </c>
      <c r="J9083" s="3">
        <f t="shared" si="5"/>
        <v>0</v>
      </c>
    </row>
    <row r="9084">
      <c r="A9084" s="1" t="s">
        <v>6650</v>
      </c>
      <c r="B9084" s="3" t="str">
        <f t="shared" si="1"/>
        <v>Unavailable</v>
      </c>
      <c r="C9084" s="3">
        <v>3.0</v>
      </c>
      <c r="D9084" s="3">
        <f>IFERROR(__xludf.DUMMYFUNCTION("IFERROR(
IF(REGEXMATCH(LOWER(O9084),""k""),
VALUE(REGEXEXTRACT(O9084,""[0-9]+""))*1000,
VALUE(REGEXEXTRACT(O9084,""[0-9]+""))
),
0
)"),0.0)</f>
        <v>0</v>
      </c>
      <c r="E9084" s="1" t="s">
        <v>11</v>
      </c>
      <c r="F9084" s="1" t="s">
        <v>12</v>
      </c>
      <c r="G9084" s="4" t="b">
        <f t="shared" si="2"/>
        <v>1</v>
      </c>
      <c r="H9084" s="1" t="str">
        <f t="shared" si="3"/>
        <v>Currently Unavailable</v>
      </c>
      <c r="I9084" s="1" t="str">
        <f t="shared" si="4"/>
        <v>No Badges</v>
      </c>
      <c r="J9084" s="3">
        <f t="shared" si="5"/>
        <v>0</v>
      </c>
    </row>
    <row r="9085">
      <c r="A9085" s="1" t="s">
        <v>88</v>
      </c>
      <c r="B9085" s="3" t="str">
        <f t="shared" si="1"/>
        <v>Unavailable</v>
      </c>
      <c r="C9085" s="3">
        <v>6.0</v>
      </c>
      <c r="D9085" s="3">
        <f>IFERROR(__xludf.DUMMYFUNCTION("IFERROR(
IF(REGEXMATCH(LOWER(O9085),""k""),
VALUE(REGEXEXTRACT(O9085,""[0-9]+""))*1000,
VALUE(REGEXEXTRACT(O9085,""[0-9]+""))
),
0
)"),0.0)</f>
        <v>0</v>
      </c>
      <c r="E9085" s="1" t="s">
        <v>11</v>
      </c>
      <c r="F9085" s="1" t="s">
        <v>12</v>
      </c>
      <c r="G9085" s="4" t="b">
        <f t="shared" si="2"/>
        <v>1</v>
      </c>
      <c r="H9085" s="1" t="str">
        <f t="shared" si="3"/>
        <v>Currently Unavailable</v>
      </c>
      <c r="I9085" s="1" t="str">
        <f t="shared" si="4"/>
        <v>No Badges</v>
      </c>
      <c r="J9085" s="3">
        <f t="shared" si="5"/>
        <v>0</v>
      </c>
    </row>
    <row r="9086">
      <c r="A9086" s="1" t="s">
        <v>6947</v>
      </c>
      <c r="B9086" s="3" t="str">
        <f t="shared" si="1"/>
        <v>Unavailable</v>
      </c>
      <c r="C9086" s="5">
        <v>2560.0</v>
      </c>
      <c r="D9086" s="3">
        <f>IFERROR(__xludf.DUMMYFUNCTION("IFERROR(
IF(REGEXMATCH(LOWER(O9086),""k""),
VALUE(REGEXEXTRACT(O9086,""[0-9]+""))*1000,
VALUE(REGEXEXTRACT(O9086,""[0-9]+""))
),
0
)"),0.0)</f>
        <v>0</v>
      </c>
      <c r="E9086" s="1" t="s">
        <v>11</v>
      </c>
      <c r="F9086" s="1" t="s">
        <v>20</v>
      </c>
      <c r="G9086" s="4" t="b">
        <f t="shared" si="2"/>
        <v>1</v>
      </c>
      <c r="H9086" s="1" t="str">
        <f t="shared" si="3"/>
        <v>Currently Unavailable</v>
      </c>
      <c r="I9086" s="1" t="str">
        <f t="shared" si="4"/>
        <v>No Badges</v>
      </c>
      <c r="J9086" s="3">
        <f t="shared" si="5"/>
        <v>0</v>
      </c>
    </row>
    <row r="9087">
      <c r="A9087" s="1" t="s">
        <v>6948</v>
      </c>
      <c r="B9087" s="3" t="str">
        <f t="shared" si="1"/>
        <v>Unavailable</v>
      </c>
      <c r="C9087" s="5">
        <v>2112.0</v>
      </c>
      <c r="D9087" s="3">
        <f>IFERROR(__xludf.DUMMYFUNCTION("IFERROR(
IF(REGEXMATCH(LOWER(O9087),""k""),
VALUE(REGEXEXTRACT(O9087,""[0-9]+""))*1000,
VALUE(REGEXEXTRACT(O9087,""[0-9]+""))
),
0
)"),0.0)</f>
        <v>0</v>
      </c>
      <c r="E9087" s="1" t="s">
        <v>11</v>
      </c>
      <c r="F9087" s="1" t="s">
        <v>20</v>
      </c>
      <c r="G9087" s="4" t="b">
        <f t="shared" si="2"/>
        <v>1</v>
      </c>
      <c r="H9087" s="1" t="str">
        <f t="shared" si="3"/>
        <v>Currently Unavailable</v>
      </c>
      <c r="I9087" s="1" t="str">
        <f t="shared" si="4"/>
        <v>No Badges</v>
      </c>
      <c r="J9087" s="3">
        <f t="shared" si="5"/>
        <v>0</v>
      </c>
    </row>
    <row r="9088">
      <c r="A9088" s="1" t="s">
        <v>6949</v>
      </c>
      <c r="B9088" s="3" t="str">
        <f t="shared" si="1"/>
        <v>Unavailable</v>
      </c>
      <c r="C9088" s="5">
        <v>9812.0</v>
      </c>
      <c r="D9088" s="3">
        <f>IFERROR(__xludf.DUMMYFUNCTION("IFERROR(
IF(REGEXMATCH(LOWER(O9088),""k""),
VALUE(REGEXEXTRACT(O9088,""[0-9]+""))*1000,
VALUE(REGEXEXTRACT(O9088,""[0-9]+""))
),
0
)"),0.0)</f>
        <v>0</v>
      </c>
      <c r="E9088" s="1" t="s">
        <v>18</v>
      </c>
      <c r="F9088" s="1" t="s">
        <v>20</v>
      </c>
      <c r="G9088" s="4" t="b">
        <f t="shared" si="2"/>
        <v>1</v>
      </c>
      <c r="H9088" s="1" t="str">
        <f t="shared" si="3"/>
        <v>Currently Unavailable</v>
      </c>
      <c r="I9088" s="1" t="str">
        <f t="shared" si="4"/>
        <v>No Badges</v>
      </c>
      <c r="J9088" s="3">
        <f t="shared" si="5"/>
        <v>0</v>
      </c>
    </row>
    <row r="9089">
      <c r="A9089" s="1" t="s">
        <v>6950</v>
      </c>
      <c r="B9089" s="3" t="str">
        <f t="shared" si="1"/>
        <v>Unavailable</v>
      </c>
      <c r="C9089" s="5">
        <v>298061.0</v>
      </c>
      <c r="D9089" s="3">
        <f>IFERROR(__xludf.DUMMYFUNCTION("IFERROR(
IF(REGEXMATCH(LOWER(O9089),""k""),
VALUE(REGEXEXTRACT(O9089,""[0-9]+""))*1000,
VALUE(REGEXEXTRACT(O9089,""[0-9]+""))
),
0
)"),0.0)</f>
        <v>0</v>
      </c>
      <c r="E9089" s="1" t="s">
        <v>11</v>
      </c>
      <c r="F9089" s="1" t="s">
        <v>20</v>
      </c>
      <c r="G9089" s="4" t="b">
        <f t="shared" si="2"/>
        <v>1</v>
      </c>
      <c r="H9089" s="1" t="str">
        <f t="shared" si="3"/>
        <v>Currently Unavailable</v>
      </c>
      <c r="I9089" s="1" t="str">
        <f t="shared" si="4"/>
        <v>No Badges</v>
      </c>
      <c r="J9089" s="3">
        <f t="shared" si="5"/>
        <v>0</v>
      </c>
    </row>
    <row r="9090">
      <c r="A9090" s="1" t="s">
        <v>5613</v>
      </c>
      <c r="B9090" s="3" t="str">
        <f t="shared" si="1"/>
        <v>Unavailable</v>
      </c>
      <c r="C9090" s="3">
        <v>157.0</v>
      </c>
      <c r="D9090" s="3">
        <f>IFERROR(__xludf.DUMMYFUNCTION("IFERROR(
IF(REGEXMATCH(LOWER(O9090),""k""),
VALUE(REGEXEXTRACT(O9090,""[0-9]+""))*1000,
VALUE(REGEXEXTRACT(O9090,""[0-9]+""))
),
0
)"),0.0)</f>
        <v>0</v>
      </c>
      <c r="E9090" s="1" t="s">
        <v>11</v>
      </c>
      <c r="F9090" s="1" t="s">
        <v>20</v>
      </c>
      <c r="G9090" s="4" t="b">
        <f t="shared" si="2"/>
        <v>1</v>
      </c>
      <c r="H9090" s="1" t="str">
        <f t="shared" si="3"/>
        <v>Currently Unavailable</v>
      </c>
      <c r="I9090" s="1" t="str">
        <f t="shared" si="4"/>
        <v>No Badges</v>
      </c>
      <c r="J9090" s="3">
        <f t="shared" si="5"/>
        <v>0</v>
      </c>
    </row>
    <row r="9091">
      <c r="A9091" s="1" t="s">
        <v>5817</v>
      </c>
      <c r="B9091" s="3" t="str">
        <f t="shared" si="1"/>
        <v>Unavailable</v>
      </c>
      <c r="C9091" s="5">
        <v>7235.0</v>
      </c>
      <c r="D9091" s="3">
        <f>IFERROR(__xludf.DUMMYFUNCTION("IFERROR(
IF(REGEXMATCH(LOWER(O9091),""k""),
VALUE(REGEXEXTRACT(O9091,""[0-9]+""))*1000,
VALUE(REGEXEXTRACT(O9091,""[0-9]+""))
),
0
)"),0.0)</f>
        <v>0</v>
      </c>
      <c r="E9091" s="1" t="s">
        <v>11</v>
      </c>
      <c r="F9091" s="1" t="s">
        <v>12</v>
      </c>
      <c r="G9091" s="4" t="b">
        <f t="shared" si="2"/>
        <v>1</v>
      </c>
      <c r="H9091" s="1" t="str">
        <f t="shared" si="3"/>
        <v>Currently Unavailable</v>
      </c>
      <c r="I9091" s="1" t="str">
        <f t="shared" si="4"/>
        <v>No Badges</v>
      </c>
      <c r="J9091" s="3">
        <f t="shared" si="5"/>
        <v>0</v>
      </c>
    </row>
    <row r="9092">
      <c r="A9092" s="1" t="s">
        <v>6951</v>
      </c>
      <c r="B9092" s="3" t="str">
        <f t="shared" si="1"/>
        <v>Unavailable</v>
      </c>
      <c r="C9092" s="5">
        <v>15938.0</v>
      </c>
      <c r="D9092" s="3">
        <f>IFERROR(__xludf.DUMMYFUNCTION("IFERROR(
IF(REGEXMATCH(LOWER(O9092),""k""),
VALUE(REGEXEXTRACT(O9092,""[0-9]+""))*1000,
VALUE(REGEXEXTRACT(O9092,""[0-9]+""))
),
0
)"),0.0)</f>
        <v>0</v>
      </c>
      <c r="E9092" s="1" t="s">
        <v>11</v>
      </c>
      <c r="F9092" s="1" t="s">
        <v>20</v>
      </c>
      <c r="G9092" s="4" t="b">
        <f t="shared" si="2"/>
        <v>1</v>
      </c>
      <c r="H9092" s="1" t="str">
        <f t="shared" si="3"/>
        <v>Currently Unavailable</v>
      </c>
      <c r="I9092" s="1" t="str">
        <f t="shared" si="4"/>
        <v>No Badges</v>
      </c>
      <c r="J9092" s="3">
        <f t="shared" si="5"/>
        <v>0</v>
      </c>
    </row>
    <row r="9093">
      <c r="A9093" s="1" t="s">
        <v>5178</v>
      </c>
      <c r="B9093" s="3" t="str">
        <f t="shared" si="1"/>
        <v>Unavailable</v>
      </c>
      <c r="C9093" s="3">
        <v>47.0</v>
      </c>
      <c r="D9093" s="3">
        <f>IFERROR(__xludf.DUMMYFUNCTION("IFERROR(
IF(REGEXMATCH(LOWER(O9093),""k""),
VALUE(REGEXEXTRACT(O9093,""[0-9]+""))*1000,
VALUE(REGEXEXTRACT(O9093,""[0-9]+""))
),
0
)"),0.0)</f>
        <v>0</v>
      </c>
      <c r="E9093" s="1" t="s">
        <v>11</v>
      </c>
      <c r="F9093" s="1" t="s">
        <v>20</v>
      </c>
      <c r="G9093" s="4" t="b">
        <f t="shared" si="2"/>
        <v>1</v>
      </c>
      <c r="H9093" s="1" t="str">
        <f t="shared" si="3"/>
        <v>Currently Unavailable</v>
      </c>
      <c r="I9093" s="1" t="str">
        <f t="shared" si="4"/>
        <v>No Badges</v>
      </c>
      <c r="J9093" s="3">
        <f t="shared" si="5"/>
        <v>0</v>
      </c>
    </row>
    <row r="9094">
      <c r="A9094" s="1" t="s">
        <v>5817</v>
      </c>
      <c r="B9094" s="3" t="str">
        <f t="shared" si="1"/>
        <v>Unavailable</v>
      </c>
      <c r="C9094" s="5">
        <v>7235.0</v>
      </c>
      <c r="D9094" s="3">
        <f>IFERROR(__xludf.DUMMYFUNCTION("IFERROR(
IF(REGEXMATCH(LOWER(O9094),""k""),
VALUE(REGEXEXTRACT(O9094,""[0-9]+""))*1000,
VALUE(REGEXEXTRACT(O9094,""[0-9]+""))
),
0
)"),0.0)</f>
        <v>0</v>
      </c>
      <c r="E9094" s="1" t="s">
        <v>11</v>
      </c>
      <c r="F9094" s="1" t="s">
        <v>12</v>
      </c>
      <c r="G9094" s="4" t="b">
        <f t="shared" si="2"/>
        <v>1</v>
      </c>
      <c r="H9094" s="1" t="str">
        <f t="shared" si="3"/>
        <v>Currently Unavailable</v>
      </c>
      <c r="I9094" s="1" t="str">
        <f t="shared" si="4"/>
        <v>No Badges</v>
      </c>
      <c r="J9094" s="3">
        <f t="shared" si="5"/>
        <v>0</v>
      </c>
    </row>
    <row r="9095">
      <c r="A9095" s="1" t="s">
        <v>6952</v>
      </c>
      <c r="B9095" s="3" t="str">
        <f t="shared" si="1"/>
        <v>Unavailable</v>
      </c>
      <c r="C9095" s="3">
        <v>798.0</v>
      </c>
      <c r="D9095" s="3">
        <f>IFERROR(__xludf.DUMMYFUNCTION("IFERROR(
IF(REGEXMATCH(LOWER(O9095),""k""),
VALUE(REGEXEXTRACT(O9095,""[0-9]+""))*1000,
VALUE(REGEXEXTRACT(O9095,""[0-9]+""))
),
0
)"),0.0)</f>
        <v>0</v>
      </c>
      <c r="E9095" s="1" t="s">
        <v>11</v>
      </c>
      <c r="F9095" s="1" t="s">
        <v>20</v>
      </c>
      <c r="G9095" s="4" t="b">
        <f t="shared" si="2"/>
        <v>1</v>
      </c>
      <c r="H9095" s="1" t="str">
        <f t="shared" si="3"/>
        <v>Currently Unavailable</v>
      </c>
      <c r="I9095" s="1" t="str">
        <f t="shared" si="4"/>
        <v>No Badges</v>
      </c>
      <c r="J9095" s="3">
        <f t="shared" si="5"/>
        <v>0</v>
      </c>
    </row>
    <row r="9096">
      <c r="A9096" s="1" t="s">
        <v>6953</v>
      </c>
      <c r="B9096" s="3" t="str">
        <f t="shared" si="1"/>
        <v>Unavailable</v>
      </c>
      <c r="C9096" s="5">
        <v>7080.0</v>
      </c>
      <c r="D9096" s="3">
        <f>IFERROR(__xludf.DUMMYFUNCTION("IFERROR(
IF(REGEXMATCH(LOWER(O9096),""k""),
VALUE(REGEXEXTRACT(O9096,""[0-9]+""))*1000,
VALUE(REGEXEXTRACT(O9096,""[0-9]+""))
),
0
)"),0.0)</f>
        <v>0</v>
      </c>
      <c r="E9096" s="1" t="s">
        <v>11</v>
      </c>
      <c r="F9096" s="1" t="s">
        <v>20</v>
      </c>
      <c r="G9096" s="4" t="b">
        <f t="shared" si="2"/>
        <v>1</v>
      </c>
      <c r="H9096" s="1" t="str">
        <f t="shared" si="3"/>
        <v>Currently Unavailable</v>
      </c>
      <c r="I9096" s="1" t="str">
        <f t="shared" si="4"/>
        <v>No Badges</v>
      </c>
      <c r="J9096" s="3">
        <f t="shared" si="5"/>
        <v>0</v>
      </c>
    </row>
    <row r="9097">
      <c r="A9097" s="1" t="s">
        <v>6954</v>
      </c>
      <c r="B9097" s="3" t="str">
        <f t="shared" si="1"/>
        <v>Unavailable</v>
      </c>
      <c r="C9097" s="3">
        <v>274.0</v>
      </c>
      <c r="D9097" s="3">
        <f>IFERROR(__xludf.DUMMYFUNCTION("IFERROR(
IF(REGEXMATCH(LOWER(O9097),""k""),
VALUE(REGEXEXTRACT(O9097,""[0-9]+""))*1000,
VALUE(REGEXEXTRACT(O9097,""[0-9]+""))
),
0
)"),0.0)</f>
        <v>0</v>
      </c>
      <c r="E9097" s="1" t="s">
        <v>11</v>
      </c>
      <c r="F9097" s="1" t="s">
        <v>20</v>
      </c>
      <c r="G9097" s="4" t="b">
        <f t="shared" si="2"/>
        <v>1</v>
      </c>
      <c r="H9097" s="1" t="str">
        <f t="shared" si="3"/>
        <v>Currently Unavailable</v>
      </c>
      <c r="I9097" s="1" t="str">
        <f t="shared" si="4"/>
        <v>No Badges</v>
      </c>
      <c r="J9097" s="3">
        <f t="shared" si="5"/>
        <v>0</v>
      </c>
    </row>
    <row r="9098">
      <c r="A9098" s="1" t="s">
        <v>701</v>
      </c>
      <c r="B9098" s="3" t="str">
        <f t="shared" si="1"/>
        <v>Unavailable</v>
      </c>
      <c r="C9098" s="3">
        <v>8.0</v>
      </c>
      <c r="D9098" s="3">
        <f>IFERROR(__xludf.DUMMYFUNCTION("IFERROR(
IF(REGEXMATCH(LOWER(O9098),""k""),
VALUE(REGEXEXTRACT(O9098,""[0-9]+""))*1000,
VALUE(REGEXEXTRACT(O9098,""[0-9]+""))
),
0
)"),0.0)</f>
        <v>0</v>
      </c>
      <c r="E9098" s="1" t="s">
        <v>11</v>
      </c>
      <c r="F9098" s="1" t="s">
        <v>12</v>
      </c>
      <c r="G9098" s="4" t="b">
        <f t="shared" si="2"/>
        <v>1</v>
      </c>
      <c r="H9098" s="1" t="str">
        <f t="shared" si="3"/>
        <v>Currently Unavailable</v>
      </c>
      <c r="I9098" s="1" t="str">
        <f t="shared" si="4"/>
        <v>No Badges</v>
      </c>
      <c r="J9098" s="3">
        <f t="shared" si="5"/>
        <v>0</v>
      </c>
    </row>
    <row r="9099">
      <c r="A9099" s="1" t="s">
        <v>6661</v>
      </c>
      <c r="B9099" s="3" t="str">
        <f t="shared" si="1"/>
        <v>Unavailable</v>
      </c>
      <c r="C9099" s="3">
        <v>24.0</v>
      </c>
      <c r="D9099" s="3">
        <f>IFERROR(__xludf.DUMMYFUNCTION("IFERROR(
IF(REGEXMATCH(LOWER(O9099),""k""),
VALUE(REGEXEXTRACT(O9099,""[0-9]+""))*1000,
VALUE(REGEXEXTRACT(O9099,""[0-9]+""))
),
0
)"),0.0)</f>
        <v>0</v>
      </c>
      <c r="E9099" s="1" t="s">
        <v>11</v>
      </c>
      <c r="F9099" s="1" t="s">
        <v>12</v>
      </c>
      <c r="G9099" s="4" t="b">
        <f t="shared" si="2"/>
        <v>1</v>
      </c>
      <c r="H9099" s="1" t="str">
        <f t="shared" si="3"/>
        <v>Currently Unavailable</v>
      </c>
      <c r="I9099" s="1" t="str">
        <f t="shared" si="4"/>
        <v>No Badges</v>
      </c>
      <c r="J9099" s="3">
        <f t="shared" si="5"/>
        <v>0</v>
      </c>
    </row>
    <row r="9100">
      <c r="A9100" s="1" t="s">
        <v>6662</v>
      </c>
      <c r="B9100" s="3" t="str">
        <f t="shared" si="1"/>
        <v>Unavailable</v>
      </c>
      <c r="C9100" s="5">
        <v>1886.0</v>
      </c>
      <c r="D9100" s="3">
        <f>IFERROR(__xludf.DUMMYFUNCTION("IFERROR(
IF(REGEXMATCH(LOWER(O9100),""k""),
VALUE(REGEXEXTRACT(O9100,""[0-9]+""))*1000,
VALUE(REGEXEXTRACT(O9100,""[0-9]+""))
),
0
)"),0.0)</f>
        <v>0</v>
      </c>
      <c r="E9100" s="1" t="s">
        <v>11</v>
      </c>
      <c r="F9100" s="1" t="s">
        <v>12</v>
      </c>
      <c r="G9100" s="4" t="b">
        <f t="shared" si="2"/>
        <v>1</v>
      </c>
      <c r="H9100" s="1" t="str">
        <f t="shared" si="3"/>
        <v>Currently Unavailable</v>
      </c>
      <c r="I9100" s="1" t="str">
        <f t="shared" si="4"/>
        <v>No Badges</v>
      </c>
      <c r="J9100" s="3">
        <f t="shared" si="5"/>
        <v>0</v>
      </c>
    </row>
    <row r="9101">
      <c r="A9101" s="1" t="s">
        <v>6955</v>
      </c>
      <c r="B9101" s="3" t="str">
        <f t="shared" si="1"/>
        <v>Unavailable</v>
      </c>
      <c r="C9101" s="5">
        <v>1324.0</v>
      </c>
      <c r="D9101" s="3">
        <f>IFERROR(__xludf.DUMMYFUNCTION("IFERROR(
IF(REGEXMATCH(LOWER(O9101),""k""),
VALUE(REGEXEXTRACT(O9101,""[0-9]+""))*1000,
VALUE(REGEXEXTRACT(O9101,""[0-9]+""))
),
0
)"),0.0)</f>
        <v>0</v>
      </c>
      <c r="E9101" s="1" t="s">
        <v>11</v>
      </c>
      <c r="F9101" s="1" t="s">
        <v>20</v>
      </c>
      <c r="G9101" s="4" t="b">
        <f t="shared" si="2"/>
        <v>1</v>
      </c>
      <c r="H9101" s="1" t="str">
        <f t="shared" si="3"/>
        <v>Currently Unavailable</v>
      </c>
      <c r="I9101" s="1" t="str">
        <f t="shared" si="4"/>
        <v>No Badges</v>
      </c>
      <c r="J9101" s="3">
        <f t="shared" si="5"/>
        <v>0</v>
      </c>
    </row>
    <row r="9102">
      <c r="A9102" s="1" t="s">
        <v>6956</v>
      </c>
      <c r="B9102" s="3" t="str">
        <f t="shared" si="1"/>
        <v>Unavailable</v>
      </c>
      <c r="C9102" s="5">
        <v>4630.0</v>
      </c>
      <c r="D9102" s="3">
        <f>IFERROR(__xludf.DUMMYFUNCTION("IFERROR(
IF(REGEXMATCH(LOWER(O9102),""k""),
VALUE(REGEXEXTRACT(O9102,""[0-9]+""))*1000,
VALUE(REGEXEXTRACT(O9102,""[0-9]+""))
),
0
)"),0.0)</f>
        <v>0</v>
      </c>
      <c r="E9102" s="1" t="s">
        <v>11</v>
      </c>
      <c r="F9102" s="1" t="s">
        <v>20</v>
      </c>
      <c r="G9102" s="4" t="b">
        <f t="shared" si="2"/>
        <v>1</v>
      </c>
      <c r="H9102" s="1" t="str">
        <f t="shared" si="3"/>
        <v>Currently Unavailable</v>
      </c>
      <c r="I9102" s="1" t="str">
        <f t="shared" si="4"/>
        <v>No Badges</v>
      </c>
      <c r="J9102" s="3">
        <f t="shared" si="5"/>
        <v>0</v>
      </c>
    </row>
    <row r="9103">
      <c r="A9103" s="1" t="s">
        <v>5817</v>
      </c>
      <c r="B9103" s="3" t="str">
        <f t="shared" si="1"/>
        <v>Unavailable</v>
      </c>
      <c r="C9103" s="5">
        <v>7235.0</v>
      </c>
      <c r="D9103" s="3">
        <f>IFERROR(__xludf.DUMMYFUNCTION("IFERROR(
IF(REGEXMATCH(LOWER(O9103),""k""),
VALUE(REGEXEXTRACT(O9103,""[0-9]+""))*1000,
VALUE(REGEXEXTRACT(O9103,""[0-9]+""))
),
0
)"),0.0)</f>
        <v>0</v>
      </c>
      <c r="E9103" s="1" t="s">
        <v>11</v>
      </c>
      <c r="F9103" s="1" t="s">
        <v>12</v>
      </c>
      <c r="G9103" s="4" t="b">
        <f t="shared" si="2"/>
        <v>1</v>
      </c>
      <c r="H9103" s="1" t="str">
        <f t="shared" si="3"/>
        <v>Currently Unavailable</v>
      </c>
      <c r="I9103" s="1" t="str">
        <f t="shared" si="4"/>
        <v>No Badges</v>
      </c>
      <c r="J9103" s="3">
        <f t="shared" si="5"/>
        <v>0</v>
      </c>
    </row>
    <row r="9104">
      <c r="A9104" s="1" t="s">
        <v>5818</v>
      </c>
      <c r="B9104" s="3" t="str">
        <f t="shared" si="1"/>
        <v>Unavailable</v>
      </c>
      <c r="C9104" s="5">
        <v>6335.0</v>
      </c>
      <c r="D9104" s="3">
        <f>IFERROR(__xludf.DUMMYFUNCTION("IFERROR(
IF(REGEXMATCH(LOWER(O9104),""k""),
VALUE(REGEXEXTRACT(O9104,""[0-9]+""))*1000,
VALUE(REGEXEXTRACT(O9104,""[0-9]+""))
),
0
)"),0.0)</f>
        <v>0</v>
      </c>
      <c r="E9104" s="1" t="s">
        <v>11</v>
      </c>
      <c r="F9104" s="1" t="s">
        <v>12</v>
      </c>
      <c r="G9104" s="4" t="b">
        <f t="shared" si="2"/>
        <v>1</v>
      </c>
      <c r="H9104" s="1" t="str">
        <f t="shared" si="3"/>
        <v>Currently Unavailable</v>
      </c>
      <c r="I9104" s="1" t="str">
        <f t="shared" si="4"/>
        <v>No Badges</v>
      </c>
      <c r="J9104" s="3">
        <f t="shared" si="5"/>
        <v>0</v>
      </c>
    </row>
    <row r="9105">
      <c r="A9105" s="1" t="s">
        <v>6957</v>
      </c>
      <c r="B9105" s="3" t="str">
        <f t="shared" si="1"/>
        <v>Unavailable</v>
      </c>
      <c r="C9105" s="5">
        <v>2403.0</v>
      </c>
      <c r="D9105" s="3">
        <f>IFERROR(__xludf.DUMMYFUNCTION("IFERROR(
IF(REGEXMATCH(LOWER(O9105),""k""),
VALUE(REGEXEXTRACT(O9105,""[0-9]+""))*1000,
VALUE(REGEXEXTRACT(O9105,""[0-9]+""))
),
0
)"),0.0)</f>
        <v>0</v>
      </c>
      <c r="E9105" s="1" t="s">
        <v>11</v>
      </c>
      <c r="F9105" s="1" t="s">
        <v>20</v>
      </c>
      <c r="G9105" s="4" t="b">
        <f t="shared" si="2"/>
        <v>1</v>
      </c>
      <c r="H9105" s="1" t="str">
        <f t="shared" si="3"/>
        <v>Currently Unavailable</v>
      </c>
      <c r="I9105" s="1" t="str">
        <f t="shared" si="4"/>
        <v>No Badges</v>
      </c>
      <c r="J9105" s="3">
        <f t="shared" si="5"/>
        <v>0</v>
      </c>
    </row>
    <row r="9106">
      <c r="A9106" s="1" t="s">
        <v>6958</v>
      </c>
      <c r="B9106" s="3" t="str">
        <f t="shared" si="1"/>
        <v>Unavailable</v>
      </c>
      <c r="C9106" s="5">
        <v>4223.0</v>
      </c>
      <c r="D9106" s="3">
        <f>IFERROR(__xludf.DUMMYFUNCTION("IFERROR(
IF(REGEXMATCH(LOWER(O9106),""k""),
VALUE(REGEXEXTRACT(O9106,""[0-9]+""))*1000,
VALUE(REGEXEXTRACT(O9106,""[0-9]+""))
),
0
)"),0.0)</f>
        <v>0</v>
      </c>
      <c r="E9106" s="1" t="s">
        <v>11</v>
      </c>
      <c r="F9106" s="1" t="s">
        <v>20</v>
      </c>
      <c r="G9106" s="4" t="b">
        <f t="shared" si="2"/>
        <v>1</v>
      </c>
      <c r="H9106" s="1" t="str">
        <f t="shared" si="3"/>
        <v>Currently Unavailable</v>
      </c>
      <c r="I9106" s="1" t="str">
        <f t="shared" si="4"/>
        <v>No Badges</v>
      </c>
      <c r="J9106" s="3">
        <f t="shared" si="5"/>
        <v>0</v>
      </c>
    </row>
    <row r="9107">
      <c r="A9107" s="1" t="s">
        <v>6959</v>
      </c>
      <c r="B9107" s="3" t="str">
        <f t="shared" si="1"/>
        <v>Unavailable</v>
      </c>
      <c r="C9107" s="5">
        <v>4293.0</v>
      </c>
      <c r="D9107" s="3">
        <f>IFERROR(__xludf.DUMMYFUNCTION("IFERROR(
IF(REGEXMATCH(LOWER(O9107),""k""),
VALUE(REGEXEXTRACT(O9107,""[0-9]+""))*1000,
VALUE(REGEXEXTRACT(O9107,""[0-9]+""))
),
0
)"),0.0)</f>
        <v>0</v>
      </c>
      <c r="E9107" s="1" t="s">
        <v>11</v>
      </c>
      <c r="F9107" s="1" t="s">
        <v>20</v>
      </c>
      <c r="G9107" s="4" t="b">
        <f t="shared" si="2"/>
        <v>1</v>
      </c>
      <c r="H9107" s="1" t="str">
        <f t="shared" si="3"/>
        <v>Currently Unavailable</v>
      </c>
      <c r="I9107" s="1" t="str">
        <f t="shared" si="4"/>
        <v>No Badges</v>
      </c>
      <c r="J9107" s="3">
        <f t="shared" si="5"/>
        <v>0</v>
      </c>
    </row>
    <row r="9108">
      <c r="A9108" s="1" t="s">
        <v>6960</v>
      </c>
      <c r="B9108" s="3" t="str">
        <f t="shared" si="1"/>
        <v>Unavailable</v>
      </c>
      <c r="C9108" s="5">
        <v>20192.0</v>
      </c>
      <c r="D9108" s="3">
        <f>IFERROR(__xludf.DUMMYFUNCTION("IFERROR(
IF(REGEXMATCH(LOWER(O9108),""k""),
VALUE(REGEXEXTRACT(O9108,""[0-9]+""))*1000,
VALUE(REGEXEXTRACT(O9108,""[0-9]+""))
),
0
)"),0.0)</f>
        <v>0</v>
      </c>
      <c r="E9108" s="1" t="s">
        <v>11</v>
      </c>
      <c r="F9108" s="1" t="s">
        <v>20</v>
      </c>
      <c r="G9108" s="4" t="b">
        <f t="shared" si="2"/>
        <v>1</v>
      </c>
      <c r="H9108" s="1" t="str">
        <f t="shared" si="3"/>
        <v>Currently Unavailable</v>
      </c>
      <c r="I9108" s="1" t="str">
        <f t="shared" si="4"/>
        <v>No Badges</v>
      </c>
      <c r="J9108" s="3">
        <f t="shared" si="5"/>
        <v>0</v>
      </c>
    </row>
    <row r="9109">
      <c r="A9109" s="1" t="s">
        <v>5817</v>
      </c>
      <c r="B9109" s="3" t="str">
        <f t="shared" si="1"/>
        <v>Unavailable</v>
      </c>
      <c r="C9109" s="5">
        <v>7235.0</v>
      </c>
      <c r="D9109" s="3">
        <f>IFERROR(__xludf.DUMMYFUNCTION("IFERROR(
IF(REGEXMATCH(LOWER(O9109),""k""),
VALUE(REGEXEXTRACT(O9109,""[0-9]+""))*1000,
VALUE(REGEXEXTRACT(O9109,""[0-9]+""))
),
0
)"),0.0)</f>
        <v>0</v>
      </c>
      <c r="E9109" s="1" t="s">
        <v>11</v>
      </c>
      <c r="F9109" s="1" t="s">
        <v>12</v>
      </c>
      <c r="G9109" s="4" t="b">
        <f t="shared" si="2"/>
        <v>1</v>
      </c>
      <c r="H9109" s="1" t="str">
        <f t="shared" si="3"/>
        <v>Currently Unavailable</v>
      </c>
      <c r="I9109" s="1" t="str">
        <f t="shared" si="4"/>
        <v>No Badges</v>
      </c>
      <c r="J9109" s="3">
        <f t="shared" si="5"/>
        <v>0</v>
      </c>
    </row>
    <row r="9110">
      <c r="A9110" s="1" t="s">
        <v>6961</v>
      </c>
      <c r="B9110" s="3" t="str">
        <f t="shared" si="1"/>
        <v>Unavailable</v>
      </c>
      <c r="C9110" s="3">
        <v>22.0</v>
      </c>
      <c r="D9110" s="3">
        <f>IFERROR(__xludf.DUMMYFUNCTION("IFERROR(
IF(REGEXMATCH(LOWER(O9110),""k""),
VALUE(REGEXEXTRACT(O9110,""[0-9]+""))*1000,
VALUE(REGEXEXTRACT(O9110,""[0-9]+""))
),
0
)"),0.0)</f>
        <v>0</v>
      </c>
      <c r="E9110" s="1" t="s">
        <v>11</v>
      </c>
      <c r="F9110" s="1" t="s">
        <v>20</v>
      </c>
      <c r="G9110" s="4" t="b">
        <f t="shared" si="2"/>
        <v>1</v>
      </c>
      <c r="H9110" s="1" t="str">
        <f t="shared" si="3"/>
        <v>Currently Unavailable</v>
      </c>
      <c r="I9110" s="1" t="str">
        <f t="shared" si="4"/>
        <v>No Badges</v>
      </c>
      <c r="J9110" s="3">
        <f t="shared" si="5"/>
        <v>0</v>
      </c>
    </row>
    <row r="9111">
      <c r="A9111" s="1" t="s">
        <v>6962</v>
      </c>
      <c r="B9111" s="3" t="str">
        <f t="shared" si="1"/>
        <v>Unavailable</v>
      </c>
      <c r="C9111" s="3">
        <v>2.0</v>
      </c>
      <c r="D9111" s="3">
        <f>IFERROR(__xludf.DUMMYFUNCTION("IFERROR(
IF(REGEXMATCH(LOWER(O9111),""k""),
VALUE(REGEXEXTRACT(O9111,""[0-9]+""))*1000,
VALUE(REGEXEXTRACT(O9111,""[0-9]+""))
),
0
)"),0.0)</f>
        <v>0</v>
      </c>
      <c r="E9111" s="1" t="s">
        <v>11</v>
      </c>
      <c r="F9111" s="1" t="s">
        <v>20</v>
      </c>
      <c r="G9111" s="4" t="b">
        <f t="shared" si="2"/>
        <v>1</v>
      </c>
      <c r="H9111" s="1" t="str">
        <f t="shared" si="3"/>
        <v>Currently Unavailable</v>
      </c>
      <c r="I9111" s="1" t="str">
        <f t="shared" si="4"/>
        <v>No Badges</v>
      </c>
      <c r="J9111" s="3">
        <f t="shared" si="5"/>
        <v>0</v>
      </c>
    </row>
    <row r="9112">
      <c r="A9112" s="1" t="s">
        <v>5817</v>
      </c>
      <c r="B9112" s="3" t="str">
        <f t="shared" si="1"/>
        <v>Unavailable</v>
      </c>
      <c r="C9112" s="5">
        <v>7235.0</v>
      </c>
      <c r="D9112" s="3">
        <f>IFERROR(__xludf.DUMMYFUNCTION("IFERROR(
IF(REGEXMATCH(LOWER(O9112),""k""),
VALUE(REGEXEXTRACT(O9112,""[0-9]+""))*1000,
VALUE(REGEXEXTRACT(O9112,""[0-9]+""))
),
0
)"),0.0)</f>
        <v>0</v>
      </c>
      <c r="E9112" s="1" t="s">
        <v>11</v>
      </c>
      <c r="F9112" s="1" t="s">
        <v>12</v>
      </c>
      <c r="G9112" s="4" t="b">
        <f t="shared" si="2"/>
        <v>1</v>
      </c>
      <c r="H9112" s="1" t="str">
        <f t="shared" si="3"/>
        <v>Currently Unavailable</v>
      </c>
      <c r="I9112" s="1" t="str">
        <f t="shared" si="4"/>
        <v>No Badges</v>
      </c>
      <c r="J9112" s="3">
        <f t="shared" si="5"/>
        <v>0</v>
      </c>
    </row>
    <row r="9113">
      <c r="A9113" s="1" t="s">
        <v>6963</v>
      </c>
      <c r="B9113" s="3" t="str">
        <f t="shared" si="1"/>
        <v>Unavailable</v>
      </c>
      <c r="C9113" s="3">
        <v>568.0</v>
      </c>
      <c r="D9113" s="3">
        <f>IFERROR(__xludf.DUMMYFUNCTION("IFERROR(
IF(REGEXMATCH(LOWER(O9113),""k""),
VALUE(REGEXEXTRACT(O9113,""[0-9]+""))*1000,
VALUE(REGEXEXTRACT(O9113,""[0-9]+""))
),
0
)"),0.0)</f>
        <v>0</v>
      </c>
      <c r="E9113" s="1" t="s">
        <v>11</v>
      </c>
      <c r="F9113" s="1" t="s">
        <v>20</v>
      </c>
      <c r="G9113" s="4" t="b">
        <f t="shared" si="2"/>
        <v>1</v>
      </c>
      <c r="H9113" s="1" t="str">
        <f t="shared" si="3"/>
        <v>Currently Unavailable</v>
      </c>
      <c r="I9113" s="1" t="str">
        <f t="shared" si="4"/>
        <v>No Badges</v>
      </c>
      <c r="J9113" s="3">
        <f t="shared" si="5"/>
        <v>0</v>
      </c>
    </row>
    <row r="9114">
      <c r="A9114" s="1" t="s">
        <v>6964</v>
      </c>
      <c r="B9114" s="3" t="str">
        <f t="shared" si="1"/>
        <v>Unavailable</v>
      </c>
      <c r="C9114" s="5">
        <v>1298.0</v>
      </c>
      <c r="D9114" s="3">
        <f>IFERROR(__xludf.DUMMYFUNCTION("IFERROR(
IF(REGEXMATCH(LOWER(O9114),""k""),
VALUE(REGEXEXTRACT(O9114,""[0-9]+""))*1000,
VALUE(REGEXEXTRACT(O9114,""[0-9]+""))
),
0
)"),0.0)</f>
        <v>0</v>
      </c>
      <c r="E9114" s="1" t="s">
        <v>11</v>
      </c>
      <c r="F9114" s="1" t="s">
        <v>20</v>
      </c>
      <c r="G9114" s="4" t="b">
        <f t="shared" si="2"/>
        <v>1</v>
      </c>
      <c r="H9114" s="1" t="str">
        <f t="shared" si="3"/>
        <v>Currently Unavailable</v>
      </c>
      <c r="I9114" s="1" t="str">
        <f t="shared" si="4"/>
        <v>No Badges</v>
      </c>
      <c r="J9114" s="3">
        <f t="shared" si="5"/>
        <v>0</v>
      </c>
    </row>
    <row r="9115">
      <c r="A9115" s="1" t="s">
        <v>6965</v>
      </c>
      <c r="B9115" s="3" t="str">
        <f t="shared" si="1"/>
        <v>Unavailable</v>
      </c>
      <c r="C9115" s="5">
        <v>3530.0</v>
      </c>
      <c r="D9115" s="3">
        <f>IFERROR(__xludf.DUMMYFUNCTION("IFERROR(
IF(REGEXMATCH(LOWER(O9115),""k""),
VALUE(REGEXEXTRACT(O9115,""[0-9]+""))*1000,
VALUE(REGEXEXTRACT(O9115,""[0-9]+""))
),
0
)"),0.0)</f>
        <v>0</v>
      </c>
      <c r="E9115" s="1" t="s">
        <v>11</v>
      </c>
      <c r="F9115" s="1" t="s">
        <v>20</v>
      </c>
      <c r="G9115" s="4" t="b">
        <f t="shared" si="2"/>
        <v>1</v>
      </c>
      <c r="H9115" s="1" t="str">
        <f t="shared" si="3"/>
        <v>Currently Unavailable</v>
      </c>
      <c r="I9115" s="1" t="str">
        <f t="shared" si="4"/>
        <v>No Badges</v>
      </c>
      <c r="J9115" s="3">
        <f t="shared" si="5"/>
        <v>0</v>
      </c>
    </row>
    <row r="9116">
      <c r="A9116" s="1" t="s">
        <v>5817</v>
      </c>
      <c r="B9116" s="3" t="str">
        <f t="shared" si="1"/>
        <v>Unavailable</v>
      </c>
      <c r="C9116" s="5">
        <v>7235.0</v>
      </c>
      <c r="D9116" s="3">
        <f>IFERROR(__xludf.DUMMYFUNCTION("IFERROR(
IF(REGEXMATCH(LOWER(O9116),""k""),
VALUE(REGEXEXTRACT(O9116,""[0-9]+""))*1000,
VALUE(REGEXEXTRACT(O9116,""[0-9]+""))
),
0
)"),0.0)</f>
        <v>0</v>
      </c>
      <c r="E9116" s="1" t="s">
        <v>11</v>
      </c>
      <c r="F9116" s="1" t="s">
        <v>12</v>
      </c>
      <c r="G9116" s="4" t="b">
        <f t="shared" si="2"/>
        <v>1</v>
      </c>
      <c r="H9116" s="1" t="str">
        <f t="shared" si="3"/>
        <v>Currently Unavailable</v>
      </c>
      <c r="I9116" s="1" t="str">
        <f t="shared" si="4"/>
        <v>No Badges</v>
      </c>
      <c r="J9116" s="3">
        <f t="shared" si="5"/>
        <v>0</v>
      </c>
    </row>
    <row r="9117">
      <c r="A9117" s="1" t="s">
        <v>5177</v>
      </c>
      <c r="B9117" s="3" t="str">
        <f t="shared" si="1"/>
        <v>Unavailable</v>
      </c>
      <c r="C9117" s="5">
        <v>17783.0</v>
      </c>
      <c r="D9117" s="3">
        <f>IFERROR(__xludf.DUMMYFUNCTION("IFERROR(
IF(REGEXMATCH(LOWER(O9117),""k""),
VALUE(REGEXEXTRACT(O9117,""[0-9]+""))*1000,
VALUE(REGEXEXTRACT(O9117,""[0-9]+""))
),
0
)"),0.0)</f>
        <v>0</v>
      </c>
      <c r="E9117" s="1" t="s">
        <v>11</v>
      </c>
      <c r="F9117" s="1" t="s">
        <v>20</v>
      </c>
      <c r="G9117" s="4" t="b">
        <f t="shared" si="2"/>
        <v>1</v>
      </c>
      <c r="H9117" s="1" t="str">
        <f t="shared" si="3"/>
        <v>Currently Unavailable</v>
      </c>
      <c r="I9117" s="1" t="str">
        <f t="shared" si="4"/>
        <v>No Badges</v>
      </c>
      <c r="J9117" s="3">
        <f t="shared" si="5"/>
        <v>0</v>
      </c>
    </row>
    <row r="9118">
      <c r="A9118" s="1" t="s">
        <v>6966</v>
      </c>
      <c r="B9118" s="3" t="str">
        <f t="shared" si="1"/>
        <v>Unavailable</v>
      </c>
      <c r="C9118" s="5">
        <v>8829.0</v>
      </c>
      <c r="D9118" s="3">
        <f>IFERROR(__xludf.DUMMYFUNCTION("IFERROR(
IF(REGEXMATCH(LOWER(O9118),""k""),
VALUE(REGEXEXTRACT(O9118,""[0-9]+""))*1000,
VALUE(REGEXEXTRACT(O9118,""[0-9]+""))
),
0
)"),0.0)</f>
        <v>0</v>
      </c>
      <c r="E9118" s="1" t="s">
        <v>11</v>
      </c>
      <c r="F9118" s="1" t="s">
        <v>20</v>
      </c>
      <c r="G9118" s="4" t="b">
        <f t="shared" si="2"/>
        <v>1</v>
      </c>
      <c r="H9118" s="1" t="str">
        <f t="shared" si="3"/>
        <v>Currently Unavailable</v>
      </c>
      <c r="I9118" s="1" t="str">
        <f t="shared" si="4"/>
        <v>No Badges</v>
      </c>
      <c r="J9118" s="3">
        <f t="shared" si="5"/>
        <v>0</v>
      </c>
    </row>
    <row r="9119">
      <c r="A9119" s="1" t="s">
        <v>6967</v>
      </c>
      <c r="B9119" s="3" t="str">
        <f t="shared" si="1"/>
        <v>Unavailable</v>
      </c>
      <c r="C9119" s="5">
        <v>33406.0</v>
      </c>
      <c r="D9119" s="3">
        <f>IFERROR(__xludf.DUMMYFUNCTION("IFERROR(
IF(REGEXMATCH(LOWER(O9119),""k""),
VALUE(REGEXEXTRACT(O9119,""[0-9]+""))*1000,
VALUE(REGEXEXTRACT(O9119,""[0-9]+""))
),
0
)"),0.0)</f>
        <v>0</v>
      </c>
      <c r="E9119" s="1" t="s">
        <v>11</v>
      </c>
      <c r="F9119" s="1" t="s">
        <v>20</v>
      </c>
      <c r="G9119" s="4" t="b">
        <f t="shared" si="2"/>
        <v>1</v>
      </c>
      <c r="H9119" s="1" t="str">
        <f t="shared" si="3"/>
        <v>Currently Unavailable</v>
      </c>
      <c r="I9119" s="1" t="str">
        <f t="shared" si="4"/>
        <v>No Badges</v>
      </c>
      <c r="J9119" s="3">
        <f t="shared" si="5"/>
        <v>0</v>
      </c>
    </row>
    <row r="9120">
      <c r="A9120" s="1" t="s">
        <v>5817</v>
      </c>
      <c r="B9120" s="3" t="str">
        <f t="shared" si="1"/>
        <v>Unavailable</v>
      </c>
      <c r="C9120" s="5">
        <v>7235.0</v>
      </c>
      <c r="D9120" s="3">
        <f>IFERROR(__xludf.DUMMYFUNCTION("IFERROR(
IF(REGEXMATCH(LOWER(O9120),""k""),
VALUE(REGEXEXTRACT(O9120,""[0-9]+""))*1000,
VALUE(REGEXEXTRACT(O9120,""[0-9]+""))
),
0
)"),0.0)</f>
        <v>0</v>
      </c>
      <c r="E9120" s="1" t="s">
        <v>11</v>
      </c>
      <c r="F9120" s="1" t="s">
        <v>12</v>
      </c>
      <c r="G9120" s="4" t="b">
        <f t="shared" si="2"/>
        <v>1</v>
      </c>
      <c r="H9120" s="1" t="str">
        <f t="shared" si="3"/>
        <v>Currently Unavailable</v>
      </c>
      <c r="I9120" s="1" t="str">
        <f t="shared" si="4"/>
        <v>No Badges</v>
      </c>
      <c r="J9120" s="3">
        <f t="shared" si="5"/>
        <v>0</v>
      </c>
    </row>
    <row r="9121">
      <c r="A9121" s="1" t="s">
        <v>6968</v>
      </c>
      <c r="B9121" s="3" t="str">
        <f t="shared" si="1"/>
        <v>Unavailable</v>
      </c>
      <c r="C9121" s="5">
        <v>2269.0</v>
      </c>
      <c r="D9121" s="3">
        <f>IFERROR(__xludf.DUMMYFUNCTION("IFERROR(
IF(REGEXMATCH(LOWER(O9121),""k""),
VALUE(REGEXEXTRACT(O9121,""[0-9]+""))*1000,
VALUE(REGEXEXTRACT(O9121,""[0-9]+""))
),
0
)"),0.0)</f>
        <v>0</v>
      </c>
      <c r="E9121" s="1" t="s">
        <v>11</v>
      </c>
      <c r="F9121" s="1" t="s">
        <v>20</v>
      </c>
      <c r="G9121" s="4" t="b">
        <f t="shared" si="2"/>
        <v>1</v>
      </c>
      <c r="H9121" s="1" t="str">
        <f t="shared" si="3"/>
        <v>Currently Unavailable</v>
      </c>
      <c r="I9121" s="1" t="str">
        <f t="shared" si="4"/>
        <v>No Badges</v>
      </c>
      <c r="J9121" s="3">
        <f t="shared" si="5"/>
        <v>0</v>
      </c>
    </row>
    <row r="9122">
      <c r="A9122" s="1" t="s">
        <v>6969</v>
      </c>
      <c r="B9122" s="3" t="str">
        <f t="shared" si="1"/>
        <v>Unavailable</v>
      </c>
      <c r="C9122" s="3">
        <v>17.0</v>
      </c>
      <c r="D9122" s="3">
        <f>IFERROR(__xludf.DUMMYFUNCTION("IFERROR(
IF(REGEXMATCH(LOWER(O9122),""k""),
VALUE(REGEXEXTRACT(O9122,""[0-9]+""))*1000,
VALUE(REGEXEXTRACT(O9122,""[0-9]+""))
),
0
)"),0.0)</f>
        <v>0</v>
      </c>
      <c r="E9122" s="1" t="s">
        <v>11</v>
      </c>
      <c r="F9122" s="1" t="s">
        <v>20</v>
      </c>
      <c r="G9122" s="4" t="b">
        <f t="shared" si="2"/>
        <v>1</v>
      </c>
      <c r="H9122" s="1" t="str">
        <f t="shared" si="3"/>
        <v>Currently Unavailable</v>
      </c>
      <c r="I9122" s="1" t="str">
        <f t="shared" si="4"/>
        <v>No Badges</v>
      </c>
      <c r="J9122" s="6">
        <f t="shared" si="5"/>
        <v>0</v>
      </c>
    </row>
    <row r="9123">
      <c r="A9123" s="1" t="s">
        <v>6970</v>
      </c>
      <c r="B9123" s="3" t="str">
        <f t="shared" si="1"/>
        <v>Unavailable</v>
      </c>
      <c r="C9123" s="3">
        <v>798.0</v>
      </c>
      <c r="D9123" s="3">
        <f>IFERROR(__xludf.DUMMYFUNCTION("IFERROR(
IF(REGEXMATCH(LOWER(O9123),""k""),
VALUE(REGEXEXTRACT(O9123,""[0-9]+""))*1000,
VALUE(REGEXEXTRACT(O9123,""[0-9]+""))
),
0
)"),0.0)</f>
        <v>0</v>
      </c>
      <c r="E9123" s="1" t="s">
        <v>11</v>
      </c>
      <c r="F9123" s="1" t="s">
        <v>20</v>
      </c>
      <c r="G9123" s="4" t="b">
        <f t="shared" si="2"/>
        <v>1</v>
      </c>
      <c r="H9123" s="1" t="str">
        <f t="shared" si="3"/>
        <v>Currently Unavailable</v>
      </c>
      <c r="I9123" s="1" t="str">
        <f t="shared" si="4"/>
        <v>No Badges</v>
      </c>
      <c r="J9123" s="3">
        <f t="shared" si="5"/>
        <v>0</v>
      </c>
    </row>
    <row r="9124">
      <c r="A9124" s="1" t="s">
        <v>5817</v>
      </c>
      <c r="B9124" s="3" t="str">
        <f t="shared" si="1"/>
        <v>Unavailable</v>
      </c>
      <c r="C9124" s="5">
        <v>7235.0</v>
      </c>
      <c r="D9124" s="3">
        <f>IFERROR(__xludf.DUMMYFUNCTION("IFERROR(
IF(REGEXMATCH(LOWER(O9124),""k""),
VALUE(REGEXEXTRACT(O9124,""[0-9]+""))*1000,
VALUE(REGEXEXTRACT(O9124,""[0-9]+""))
),
0
)"),0.0)</f>
        <v>0</v>
      </c>
      <c r="E9124" s="1" t="s">
        <v>11</v>
      </c>
      <c r="F9124" s="1" t="s">
        <v>12</v>
      </c>
      <c r="G9124" s="4" t="b">
        <f t="shared" si="2"/>
        <v>1</v>
      </c>
      <c r="H9124" s="1" t="str">
        <f t="shared" si="3"/>
        <v>Currently Unavailable</v>
      </c>
      <c r="I9124" s="1" t="str">
        <f t="shared" si="4"/>
        <v>No Badges</v>
      </c>
      <c r="J9124" s="3">
        <f t="shared" si="5"/>
        <v>0</v>
      </c>
    </row>
    <row r="9125">
      <c r="A9125" s="1" t="s">
        <v>6971</v>
      </c>
      <c r="B9125" s="3" t="str">
        <f t="shared" si="1"/>
        <v>Unavailable</v>
      </c>
      <c r="C9125" s="5">
        <v>1163.0</v>
      </c>
      <c r="D9125" s="3">
        <f>IFERROR(__xludf.DUMMYFUNCTION("IFERROR(
IF(REGEXMATCH(LOWER(O9125),""k""),
VALUE(REGEXEXTRACT(O9125,""[0-9]+""))*1000,
VALUE(REGEXEXTRACT(O9125,""[0-9]+""))
),
0
)"),0.0)</f>
        <v>0</v>
      </c>
      <c r="E9125" s="1" t="s">
        <v>11</v>
      </c>
      <c r="F9125" s="1" t="s">
        <v>20</v>
      </c>
      <c r="G9125" s="4" t="b">
        <f t="shared" si="2"/>
        <v>1</v>
      </c>
      <c r="H9125" s="1" t="str">
        <f t="shared" si="3"/>
        <v>Currently Unavailable</v>
      </c>
      <c r="I9125" s="1" t="str">
        <f t="shared" si="4"/>
        <v>No Badges</v>
      </c>
      <c r="J9125" s="3">
        <f t="shared" si="5"/>
        <v>0</v>
      </c>
    </row>
    <row r="9126">
      <c r="A9126" s="1" t="s">
        <v>6972</v>
      </c>
      <c r="B9126" s="3" t="str">
        <f t="shared" si="1"/>
        <v>Unavailable</v>
      </c>
      <c r="C9126" s="5">
        <v>4867.0</v>
      </c>
      <c r="D9126" s="3">
        <f>IFERROR(__xludf.DUMMYFUNCTION("IFERROR(
IF(REGEXMATCH(LOWER(O9126),""k""),
VALUE(REGEXEXTRACT(O9126,""[0-9]+""))*1000,
VALUE(REGEXEXTRACT(O9126,""[0-9]+""))
),
0
)"),0.0)</f>
        <v>0</v>
      </c>
      <c r="E9126" s="1" t="s">
        <v>11</v>
      </c>
      <c r="F9126" s="1" t="s">
        <v>20</v>
      </c>
      <c r="G9126" s="4" t="b">
        <f t="shared" si="2"/>
        <v>1</v>
      </c>
      <c r="H9126" s="1" t="str">
        <f t="shared" si="3"/>
        <v>Currently Unavailable</v>
      </c>
      <c r="I9126" s="1" t="str">
        <f t="shared" si="4"/>
        <v>No Badges</v>
      </c>
      <c r="J9126" s="3">
        <f t="shared" si="5"/>
        <v>0</v>
      </c>
    </row>
    <row r="9127">
      <c r="A9127" s="1" t="s">
        <v>6973</v>
      </c>
      <c r="B9127" s="3" t="str">
        <f t="shared" si="1"/>
        <v>Unavailable</v>
      </c>
      <c r="C9127" s="5">
        <v>1729.0</v>
      </c>
      <c r="D9127" s="3">
        <f>IFERROR(__xludf.DUMMYFUNCTION("IFERROR(
IF(REGEXMATCH(LOWER(O9127),""k""),
VALUE(REGEXEXTRACT(O9127,""[0-9]+""))*1000,
VALUE(REGEXEXTRACT(O9127,""[0-9]+""))
),
0
)"),0.0)</f>
        <v>0</v>
      </c>
      <c r="E9127" s="1" t="s">
        <v>11</v>
      </c>
      <c r="F9127" s="1" t="s">
        <v>20</v>
      </c>
      <c r="G9127" s="4" t="b">
        <f t="shared" si="2"/>
        <v>1</v>
      </c>
      <c r="H9127" s="1" t="str">
        <f t="shared" si="3"/>
        <v>Currently Unavailable</v>
      </c>
      <c r="I9127" s="1" t="str">
        <f t="shared" si="4"/>
        <v>No Badges</v>
      </c>
      <c r="J9127" s="3">
        <f t="shared" si="5"/>
        <v>0</v>
      </c>
    </row>
    <row r="9128">
      <c r="A9128" s="1" t="s">
        <v>6974</v>
      </c>
      <c r="B9128" s="3" t="str">
        <f t="shared" si="1"/>
        <v>Unavailable</v>
      </c>
      <c r="C9128" s="5">
        <v>6958.0</v>
      </c>
      <c r="D9128" s="3">
        <f>IFERROR(__xludf.DUMMYFUNCTION("IFERROR(
IF(REGEXMATCH(LOWER(O9128),""k""),
VALUE(REGEXEXTRACT(O9128,""[0-9]+""))*1000,
VALUE(REGEXEXTRACT(O9128,""[0-9]+""))
),
0
)"),0.0)</f>
        <v>0</v>
      </c>
      <c r="E9128" s="1" t="s">
        <v>11</v>
      </c>
      <c r="F9128" s="1" t="s">
        <v>20</v>
      </c>
      <c r="G9128" s="4" t="b">
        <f t="shared" si="2"/>
        <v>1</v>
      </c>
      <c r="H9128" s="1" t="str">
        <f t="shared" si="3"/>
        <v>Currently Unavailable</v>
      </c>
      <c r="I9128" s="1" t="str">
        <f t="shared" si="4"/>
        <v>No Badges</v>
      </c>
      <c r="J9128" s="3">
        <f t="shared" si="5"/>
        <v>0</v>
      </c>
    </row>
    <row r="9129">
      <c r="A9129" s="1" t="s">
        <v>6604</v>
      </c>
      <c r="B9129" s="3" t="str">
        <f t="shared" si="1"/>
        <v>Unavailable</v>
      </c>
      <c r="C9129" s="5">
        <v>6536.0</v>
      </c>
      <c r="D9129" s="3">
        <f>IFERROR(__xludf.DUMMYFUNCTION("IFERROR(
IF(REGEXMATCH(LOWER(O9129),""k""),
VALUE(REGEXEXTRACT(O9129,""[0-9]+""))*1000,
VALUE(REGEXEXTRACT(O9129,""[0-9]+""))
),
0
)"),0.0)</f>
        <v>0</v>
      </c>
      <c r="E9129" s="1" t="s">
        <v>11</v>
      </c>
      <c r="F9129" s="1" t="s">
        <v>12</v>
      </c>
      <c r="G9129" s="4" t="b">
        <f t="shared" si="2"/>
        <v>1</v>
      </c>
      <c r="H9129" s="1" t="str">
        <f t="shared" si="3"/>
        <v>Currently Unavailable</v>
      </c>
      <c r="I9129" s="1" t="str">
        <f t="shared" si="4"/>
        <v>No Badges</v>
      </c>
      <c r="J9129" s="3">
        <f t="shared" si="5"/>
        <v>0</v>
      </c>
    </row>
    <row r="9130">
      <c r="A9130" s="1" t="s">
        <v>6975</v>
      </c>
      <c r="B9130" s="3" t="str">
        <f t="shared" si="1"/>
        <v>Unavailable</v>
      </c>
      <c r="C9130" s="3">
        <v>176.0</v>
      </c>
      <c r="D9130" s="3">
        <f>IFERROR(__xludf.DUMMYFUNCTION("IFERROR(
IF(REGEXMATCH(LOWER(O9130),""k""),
VALUE(REGEXEXTRACT(O9130,""[0-9]+""))*1000,
VALUE(REGEXEXTRACT(O9130,""[0-9]+""))
),
0
)"),0.0)</f>
        <v>0</v>
      </c>
      <c r="E9130" s="1" t="s">
        <v>11</v>
      </c>
      <c r="F9130" s="1" t="s">
        <v>20</v>
      </c>
      <c r="G9130" s="4" t="b">
        <f t="shared" si="2"/>
        <v>1</v>
      </c>
      <c r="H9130" s="1" t="str">
        <f t="shared" si="3"/>
        <v>Currently Unavailable</v>
      </c>
      <c r="I9130" s="1" t="str">
        <f t="shared" si="4"/>
        <v>No Badges</v>
      </c>
      <c r="J9130" s="3">
        <f t="shared" si="5"/>
        <v>0</v>
      </c>
    </row>
    <row r="9131">
      <c r="A9131" s="1" t="s">
        <v>6976</v>
      </c>
      <c r="B9131" s="3" t="str">
        <f t="shared" si="1"/>
        <v>Unavailable</v>
      </c>
      <c r="C9131" s="3">
        <v>66.0</v>
      </c>
      <c r="D9131" s="3">
        <f>IFERROR(__xludf.DUMMYFUNCTION("IFERROR(
IF(REGEXMATCH(LOWER(O9131),""k""),
VALUE(REGEXEXTRACT(O9131,""[0-9]+""))*1000,
VALUE(REGEXEXTRACT(O9131,""[0-9]+""))
),
0
)"),0.0)</f>
        <v>0</v>
      </c>
      <c r="E9131" s="1" t="s">
        <v>11</v>
      </c>
      <c r="F9131" s="1" t="s">
        <v>20</v>
      </c>
      <c r="G9131" s="4" t="b">
        <f t="shared" si="2"/>
        <v>1</v>
      </c>
      <c r="H9131" s="1" t="str">
        <f t="shared" si="3"/>
        <v>Currently Unavailable</v>
      </c>
      <c r="I9131" s="1" t="str">
        <f t="shared" si="4"/>
        <v>No Badges</v>
      </c>
      <c r="J9131" s="3">
        <f t="shared" si="5"/>
        <v>0</v>
      </c>
    </row>
    <row r="9132">
      <c r="A9132" s="1" t="s">
        <v>5817</v>
      </c>
      <c r="B9132" s="3" t="str">
        <f t="shared" si="1"/>
        <v>Unavailable</v>
      </c>
      <c r="C9132" s="5">
        <v>7235.0</v>
      </c>
      <c r="D9132" s="3">
        <f>IFERROR(__xludf.DUMMYFUNCTION("IFERROR(
IF(REGEXMATCH(LOWER(O9132),""k""),
VALUE(REGEXEXTRACT(O9132,""[0-9]+""))*1000,
VALUE(REGEXEXTRACT(O9132,""[0-9]+""))
),
0
)"),0.0)</f>
        <v>0</v>
      </c>
      <c r="E9132" s="1" t="s">
        <v>11</v>
      </c>
      <c r="F9132" s="1" t="s">
        <v>12</v>
      </c>
      <c r="G9132" s="4" t="b">
        <f t="shared" si="2"/>
        <v>1</v>
      </c>
      <c r="H9132" s="1" t="str">
        <f t="shared" si="3"/>
        <v>Currently Unavailable</v>
      </c>
      <c r="I9132" s="1" t="str">
        <f t="shared" si="4"/>
        <v>No Badges</v>
      </c>
      <c r="J9132" s="3">
        <f t="shared" si="5"/>
        <v>0</v>
      </c>
    </row>
    <row r="9133">
      <c r="A9133" s="1" t="s">
        <v>6977</v>
      </c>
      <c r="B9133" s="3" t="str">
        <f t="shared" si="1"/>
        <v>Unavailable</v>
      </c>
      <c r="C9133" s="5">
        <v>6790.0</v>
      </c>
      <c r="D9133" s="3">
        <f>IFERROR(__xludf.DUMMYFUNCTION("IFERROR(
IF(REGEXMATCH(LOWER(O9133),""k""),
VALUE(REGEXEXTRACT(O9133,""[0-9]+""))*1000,
VALUE(REGEXEXTRACT(O9133,""[0-9]+""))
),
0
)"),0.0)</f>
        <v>0</v>
      </c>
      <c r="E9133" s="1" t="s">
        <v>11</v>
      </c>
      <c r="F9133" s="1" t="s">
        <v>20</v>
      </c>
      <c r="G9133" s="4" t="b">
        <f t="shared" si="2"/>
        <v>1</v>
      </c>
      <c r="H9133" s="1" t="str">
        <f t="shared" si="3"/>
        <v>Currently Unavailable</v>
      </c>
      <c r="I9133" s="1" t="str">
        <f t="shared" si="4"/>
        <v>No Badges</v>
      </c>
      <c r="J9133" s="3">
        <f t="shared" si="5"/>
        <v>0</v>
      </c>
    </row>
    <row r="9134">
      <c r="A9134" s="1" t="s">
        <v>5817</v>
      </c>
      <c r="B9134" s="3" t="str">
        <f t="shared" si="1"/>
        <v>Unavailable</v>
      </c>
      <c r="C9134" s="5">
        <v>7235.0</v>
      </c>
      <c r="D9134" s="3">
        <f>IFERROR(__xludf.DUMMYFUNCTION("IFERROR(
IF(REGEXMATCH(LOWER(O9134),""k""),
VALUE(REGEXEXTRACT(O9134,""[0-9]+""))*1000,
VALUE(REGEXEXTRACT(O9134,""[0-9]+""))
),
0
)"),0.0)</f>
        <v>0</v>
      </c>
      <c r="E9134" s="1" t="s">
        <v>11</v>
      </c>
      <c r="F9134" s="1" t="s">
        <v>12</v>
      </c>
      <c r="G9134" s="4" t="b">
        <f t="shared" si="2"/>
        <v>1</v>
      </c>
      <c r="H9134" s="1" t="str">
        <f t="shared" si="3"/>
        <v>Currently Unavailable</v>
      </c>
      <c r="I9134" s="1" t="str">
        <f t="shared" si="4"/>
        <v>No Badges</v>
      </c>
      <c r="J9134" s="3">
        <f t="shared" si="5"/>
        <v>0</v>
      </c>
    </row>
    <row r="9135">
      <c r="A9135" s="1" t="s">
        <v>6978</v>
      </c>
      <c r="B9135" s="3" t="str">
        <f t="shared" si="1"/>
        <v>Unavailable</v>
      </c>
      <c r="C9135" s="5">
        <v>32221.0</v>
      </c>
      <c r="D9135" s="3">
        <f>IFERROR(__xludf.DUMMYFUNCTION("IFERROR(
IF(REGEXMATCH(LOWER(O9135),""k""),
VALUE(REGEXEXTRACT(O9135,""[0-9]+""))*1000,
VALUE(REGEXEXTRACT(O9135,""[0-9]+""))
),
0
)"),0.0)</f>
        <v>0</v>
      </c>
      <c r="E9135" s="1" t="s">
        <v>11</v>
      </c>
      <c r="F9135" s="1" t="s">
        <v>20</v>
      </c>
      <c r="G9135" s="4" t="b">
        <f t="shared" si="2"/>
        <v>1</v>
      </c>
      <c r="H9135" s="1" t="str">
        <f t="shared" si="3"/>
        <v>Currently Unavailable</v>
      </c>
      <c r="I9135" s="1" t="str">
        <f t="shared" si="4"/>
        <v>No Badges</v>
      </c>
      <c r="J9135" s="3">
        <f t="shared" si="5"/>
        <v>0</v>
      </c>
    </row>
    <row r="9136">
      <c r="A9136" s="1" t="s">
        <v>6979</v>
      </c>
      <c r="B9136" s="3" t="str">
        <f t="shared" si="1"/>
        <v>Unavailable</v>
      </c>
      <c r="C9136" s="5">
        <v>6777.0</v>
      </c>
      <c r="D9136" s="3">
        <f>IFERROR(__xludf.DUMMYFUNCTION("IFERROR(
IF(REGEXMATCH(LOWER(O9136),""k""),
VALUE(REGEXEXTRACT(O9136,""[0-9]+""))*1000,
VALUE(REGEXEXTRACT(O9136,""[0-9]+""))
),
0
)"),0.0)</f>
        <v>0</v>
      </c>
      <c r="E9136" s="1" t="s">
        <v>11</v>
      </c>
      <c r="F9136" s="1" t="s">
        <v>20</v>
      </c>
      <c r="G9136" s="4" t="b">
        <f t="shared" si="2"/>
        <v>1</v>
      </c>
      <c r="H9136" s="1" t="str">
        <f t="shared" si="3"/>
        <v>Currently Unavailable</v>
      </c>
      <c r="I9136" s="1" t="str">
        <f t="shared" si="4"/>
        <v>No Badges</v>
      </c>
      <c r="J9136" s="3">
        <f t="shared" si="5"/>
        <v>0</v>
      </c>
    </row>
    <row r="9137">
      <c r="A9137" s="1" t="s">
        <v>6980</v>
      </c>
      <c r="B9137" s="3" t="str">
        <f t="shared" si="1"/>
        <v>Unavailable</v>
      </c>
      <c r="C9137" s="5">
        <v>2704.0</v>
      </c>
      <c r="D9137" s="3">
        <f>IFERROR(__xludf.DUMMYFUNCTION("IFERROR(
IF(REGEXMATCH(LOWER(O9137),""k""),
VALUE(REGEXEXTRACT(O9137,""[0-9]+""))*1000,
VALUE(REGEXEXTRACT(O9137,""[0-9]+""))
),
0
)"),0.0)</f>
        <v>0</v>
      </c>
      <c r="E9137" s="1" t="s">
        <v>11</v>
      </c>
      <c r="F9137" s="1" t="s">
        <v>20</v>
      </c>
      <c r="G9137" s="4" t="b">
        <f t="shared" si="2"/>
        <v>1</v>
      </c>
      <c r="H9137" s="1" t="str">
        <f t="shared" si="3"/>
        <v>Currently Unavailable</v>
      </c>
      <c r="I9137" s="1" t="str">
        <f t="shared" si="4"/>
        <v>No Badges</v>
      </c>
      <c r="J9137" s="3">
        <f t="shared" si="5"/>
        <v>0</v>
      </c>
    </row>
    <row r="9138">
      <c r="A9138" s="1" t="s">
        <v>5817</v>
      </c>
      <c r="B9138" s="3" t="str">
        <f t="shared" si="1"/>
        <v>Unavailable</v>
      </c>
      <c r="C9138" s="5">
        <v>7235.0</v>
      </c>
      <c r="D9138" s="3">
        <f>IFERROR(__xludf.DUMMYFUNCTION("IFERROR(
IF(REGEXMATCH(LOWER(O9138),""k""),
VALUE(REGEXEXTRACT(O9138,""[0-9]+""))*1000,
VALUE(REGEXEXTRACT(O9138,""[0-9]+""))
),
0
)"),0.0)</f>
        <v>0</v>
      </c>
      <c r="E9138" s="1" t="s">
        <v>11</v>
      </c>
      <c r="F9138" s="1" t="s">
        <v>12</v>
      </c>
      <c r="G9138" s="4" t="b">
        <f t="shared" si="2"/>
        <v>1</v>
      </c>
      <c r="H9138" s="1" t="str">
        <f t="shared" si="3"/>
        <v>Currently Unavailable</v>
      </c>
      <c r="I9138" s="1" t="str">
        <f t="shared" si="4"/>
        <v>No Badges</v>
      </c>
      <c r="J9138" s="3">
        <f t="shared" si="5"/>
        <v>0</v>
      </c>
    </row>
    <row r="9139">
      <c r="A9139" s="1" t="s">
        <v>6981</v>
      </c>
      <c r="B9139" s="3" t="str">
        <f t="shared" si="1"/>
        <v>Unavailable</v>
      </c>
      <c r="C9139" s="5">
        <v>2313.0</v>
      </c>
      <c r="D9139" s="3">
        <f>IFERROR(__xludf.DUMMYFUNCTION("IFERROR(
IF(REGEXMATCH(LOWER(O9139),""k""),
VALUE(REGEXEXTRACT(O9139,""[0-9]+""))*1000,
VALUE(REGEXEXTRACT(O9139,""[0-9]+""))
),
0
)"),0.0)</f>
        <v>0</v>
      </c>
      <c r="E9139" s="1" t="s">
        <v>11</v>
      </c>
      <c r="F9139" s="1" t="s">
        <v>20</v>
      </c>
      <c r="G9139" s="4" t="b">
        <f t="shared" si="2"/>
        <v>1</v>
      </c>
      <c r="H9139" s="1" t="str">
        <f t="shared" si="3"/>
        <v>Currently Unavailable</v>
      </c>
      <c r="I9139" s="1" t="str">
        <f t="shared" si="4"/>
        <v>No Badges</v>
      </c>
      <c r="J9139" s="3">
        <f t="shared" si="5"/>
        <v>0</v>
      </c>
    </row>
    <row r="9140">
      <c r="A9140" s="1" t="s">
        <v>6982</v>
      </c>
      <c r="B9140" s="3" t="str">
        <f t="shared" si="1"/>
        <v>Unavailable</v>
      </c>
      <c r="C9140" s="5">
        <v>2606.0</v>
      </c>
      <c r="D9140" s="3">
        <f>IFERROR(__xludf.DUMMYFUNCTION("IFERROR(
IF(REGEXMATCH(LOWER(O9140),""k""),
VALUE(REGEXEXTRACT(O9140,""[0-9]+""))*1000,
VALUE(REGEXEXTRACT(O9140,""[0-9]+""))
),
0
)"),0.0)</f>
        <v>0</v>
      </c>
      <c r="E9140" s="1" t="s">
        <v>11</v>
      </c>
      <c r="F9140" s="1" t="s">
        <v>20</v>
      </c>
      <c r="G9140" s="4" t="b">
        <f t="shared" si="2"/>
        <v>1</v>
      </c>
      <c r="H9140" s="1" t="str">
        <f t="shared" si="3"/>
        <v>Currently Unavailable</v>
      </c>
      <c r="I9140" s="1" t="str">
        <f t="shared" si="4"/>
        <v>No Badges</v>
      </c>
      <c r="J9140" s="3">
        <f t="shared" si="5"/>
        <v>0</v>
      </c>
    </row>
    <row r="9141">
      <c r="A9141" s="1" t="s">
        <v>6983</v>
      </c>
      <c r="B9141" s="3" t="str">
        <f t="shared" si="1"/>
        <v>Unavailable</v>
      </c>
      <c r="C9141" s="3">
        <v>3.0</v>
      </c>
      <c r="D9141" s="3">
        <f>IFERROR(__xludf.DUMMYFUNCTION("IFERROR(
IF(REGEXMATCH(LOWER(O9141),""k""),
VALUE(REGEXEXTRACT(O9141,""[0-9]+""))*1000,
VALUE(REGEXEXTRACT(O9141,""[0-9]+""))
),
0
)"),0.0)</f>
        <v>0</v>
      </c>
      <c r="E9141" s="1" t="s">
        <v>11</v>
      </c>
      <c r="F9141" s="1" t="s">
        <v>20</v>
      </c>
      <c r="G9141" s="4" t="b">
        <f t="shared" si="2"/>
        <v>1</v>
      </c>
      <c r="H9141" s="1" t="str">
        <f t="shared" si="3"/>
        <v>Currently Unavailable</v>
      </c>
      <c r="I9141" s="1" t="str">
        <f t="shared" si="4"/>
        <v>No Badges</v>
      </c>
      <c r="J9141" s="3">
        <f t="shared" si="5"/>
        <v>0</v>
      </c>
    </row>
    <row r="9142">
      <c r="A9142" s="1" t="s">
        <v>6984</v>
      </c>
      <c r="B9142" s="3" t="str">
        <f t="shared" si="1"/>
        <v>Unavailable</v>
      </c>
      <c r="C9142" s="5">
        <v>4755.0</v>
      </c>
      <c r="D9142" s="3">
        <f>IFERROR(__xludf.DUMMYFUNCTION("IFERROR(
IF(REGEXMATCH(LOWER(O9142),""k""),
VALUE(REGEXEXTRACT(O9142,""[0-9]+""))*1000,
VALUE(REGEXEXTRACT(O9142,""[0-9]+""))
),
0
)"),0.0)</f>
        <v>0</v>
      </c>
      <c r="E9142" s="1" t="s">
        <v>11</v>
      </c>
      <c r="F9142" s="1" t="s">
        <v>20</v>
      </c>
      <c r="G9142" s="4" t="b">
        <f t="shared" si="2"/>
        <v>1</v>
      </c>
      <c r="H9142" s="1" t="str">
        <f t="shared" si="3"/>
        <v>Currently Unavailable</v>
      </c>
      <c r="I9142" s="1" t="str">
        <f t="shared" si="4"/>
        <v>No Badges</v>
      </c>
      <c r="J9142" s="3">
        <f t="shared" si="5"/>
        <v>0</v>
      </c>
    </row>
    <row r="9143">
      <c r="A9143" s="1" t="s">
        <v>6985</v>
      </c>
      <c r="B9143" s="3" t="str">
        <f t="shared" si="1"/>
        <v>Unavailable</v>
      </c>
      <c r="C9143" s="5">
        <v>5444.0</v>
      </c>
      <c r="D9143" s="3">
        <f>IFERROR(__xludf.DUMMYFUNCTION("IFERROR(
IF(REGEXMATCH(LOWER(O9143),""k""),
VALUE(REGEXEXTRACT(O9143,""[0-9]+""))*1000,
VALUE(REGEXEXTRACT(O9143,""[0-9]+""))
),
0
)"),0.0)</f>
        <v>0</v>
      </c>
      <c r="E9143" s="1" t="s">
        <v>11</v>
      </c>
      <c r="F9143" s="1" t="s">
        <v>20</v>
      </c>
      <c r="G9143" s="4" t="b">
        <f t="shared" si="2"/>
        <v>1</v>
      </c>
      <c r="H9143" s="1" t="str">
        <f t="shared" si="3"/>
        <v>Currently Unavailable</v>
      </c>
      <c r="I9143" s="1" t="str">
        <f t="shared" si="4"/>
        <v>No Badges</v>
      </c>
      <c r="J9143" s="3">
        <f t="shared" si="5"/>
        <v>0</v>
      </c>
    </row>
    <row r="9144">
      <c r="A9144" s="1" t="s">
        <v>6986</v>
      </c>
      <c r="B9144" s="3" t="str">
        <f t="shared" si="1"/>
        <v>Unavailable</v>
      </c>
      <c r="C9144" s="5">
        <v>4178.0</v>
      </c>
      <c r="D9144" s="3">
        <f>IFERROR(__xludf.DUMMYFUNCTION("IFERROR(
IF(REGEXMATCH(LOWER(O9144),""k""),
VALUE(REGEXEXTRACT(O9144,""[0-9]+""))*1000,
VALUE(REGEXEXTRACT(O9144,""[0-9]+""))
),
0
)"),0.0)</f>
        <v>0</v>
      </c>
      <c r="E9144" s="1" t="s">
        <v>11</v>
      </c>
      <c r="F9144" s="1" t="s">
        <v>20</v>
      </c>
      <c r="G9144" s="4" t="b">
        <f t="shared" si="2"/>
        <v>1</v>
      </c>
      <c r="H9144" s="1" t="str">
        <f t="shared" si="3"/>
        <v>Currently Unavailable</v>
      </c>
      <c r="I9144" s="1" t="str">
        <f t="shared" si="4"/>
        <v>No Badges</v>
      </c>
      <c r="J9144" s="3">
        <f t="shared" si="5"/>
        <v>0</v>
      </c>
    </row>
    <row r="9145">
      <c r="A9145" s="1" t="s">
        <v>5817</v>
      </c>
      <c r="B9145" s="3" t="str">
        <f t="shared" si="1"/>
        <v>Unavailable</v>
      </c>
      <c r="C9145" s="5">
        <v>7235.0</v>
      </c>
      <c r="D9145" s="3">
        <f>IFERROR(__xludf.DUMMYFUNCTION("IFERROR(
IF(REGEXMATCH(LOWER(O9145),""k""),
VALUE(REGEXEXTRACT(O9145,""[0-9]+""))*1000,
VALUE(REGEXEXTRACT(O9145,""[0-9]+""))
),
0
)"),0.0)</f>
        <v>0</v>
      </c>
      <c r="E9145" s="1" t="s">
        <v>11</v>
      </c>
      <c r="F9145" s="1" t="s">
        <v>12</v>
      </c>
      <c r="G9145" s="4" t="b">
        <f t="shared" si="2"/>
        <v>1</v>
      </c>
      <c r="H9145" s="1" t="str">
        <f t="shared" si="3"/>
        <v>Currently Unavailable</v>
      </c>
      <c r="I9145" s="1" t="str">
        <f t="shared" si="4"/>
        <v>No Badges</v>
      </c>
      <c r="J9145" s="3">
        <f t="shared" si="5"/>
        <v>0</v>
      </c>
    </row>
    <row r="9146">
      <c r="A9146" s="1" t="s">
        <v>6987</v>
      </c>
      <c r="B9146" s="3" t="str">
        <f t="shared" si="1"/>
        <v>Unavailable</v>
      </c>
      <c r="C9146" s="3">
        <v>897.0</v>
      </c>
      <c r="D9146" s="3">
        <f>IFERROR(__xludf.DUMMYFUNCTION("IFERROR(
IF(REGEXMATCH(LOWER(O9146),""k""),
VALUE(REGEXEXTRACT(O9146,""[0-9]+""))*1000,
VALUE(REGEXEXTRACT(O9146,""[0-9]+""))
),
0
)"),0.0)</f>
        <v>0</v>
      </c>
      <c r="E9146" s="1" t="s">
        <v>11</v>
      </c>
      <c r="F9146" s="1" t="s">
        <v>20</v>
      </c>
      <c r="G9146" s="4" t="b">
        <f t="shared" si="2"/>
        <v>1</v>
      </c>
      <c r="H9146" s="1" t="str">
        <f t="shared" si="3"/>
        <v>Currently Unavailable</v>
      </c>
      <c r="I9146" s="1" t="str">
        <f t="shared" si="4"/>
        <v>No Badges</v>
      </c>
      <c r="J9146" s="3">
        <f t="shared" si="5"/>
        <v>0</v>
      </c>
    </row>
    <row r="9147">
      <c r="A9147" s="1" t="s">
        <v>6988</v>
      </c>
      <c r="B9147" s="3" t="str">
        <f t="shared" si="1"/>
        <v>Unavailable</v>
      </c>
      <c r="C9147" s="5">
        <v>7977.0</v>
      </c>
      <c r="D9147" s="3">
        <f>IFERROR(__xludf.DUMMYFUNCTION("IFERROR(
IF(REGEXMATCH(LOWER(O9147),""k""),
VALUE(REGEXEXTRACT(O9147,""[0-9]+""))*1000,
VALUE(REGEXEXTRACT(O9147,""[0-9]+""))
),
0
)"),0.0)</f>
        <v>0</v>
      </c>
      <c r="E9147" s="1" t="s">
        <v>18</v>
      </c>
      <c r="F9147" s="1" t="s">
        <v>20</v>
      </c>
      <c r="G9147" s="4" t="b">
        <f t="shared" si="2"/>
        <v>1</v>
      </c>
      <c r="H9147" s="1" t="str">
        <f t="shared" si="3"/>
        <v>Currently Unavailable</v>
      </c>
      <c r="I9147" s="1" t="str">
        <f t="shared" si="4"/>
        <v>No Badges</v>
      </c>
      <c r="J9147" s="3">
        <f t="shared" si="5"/>
        <v>0</v>
      </c>
    </row>
    <row r="9148">
      <c r="A9148" s="1" t="s">
        <v>6989</v>
      </c>
      <c r="B9148" s="3" t="str">
        <f t="shared" si="1"/>
        <v>Unavailable</v>
      </c>
      <c r="C9148" s="3">
        <v>411.0</v>
      </c>
      <c r="D9148" s="3">
        <f>IFERROR(__xludf.DUMMYFUNCTION("IFERROR(
IF(REGEXMATCH(LOWER(O9148),""k""),
VALUE(REGEXEXTRACT(O9148,""[0-9]+""))*1000,
VALUE(REGEXEXTRACT(O9148,""[0-9]+""))
),
0
)"),0.0)</f>
        <v>0</v>
      </c>
      <c r="E9148" s="1" t="s">
        <v>11</v>
      </c>
      <c r="F9148" s="1" t="s">
        <v>20</v>
      </c>
      <c r="G9148" s="4" t="b">
        <f t="shared" si="2"/>
        <v>1</v>
      </c>
      <c r="H9148" s="1" t="str">
        <f t="shared" si="3"/>
        <v>Currently Unavailable</v>
      </c>
      <c r="I9148" s="1" t="str">
        <f t="shared" si="4"/>
        <v>No Badges</v>
      </c>
      <c r="J9148" s="3">
        <f t="shared" si="5"/>
        <v>0</v>
      </c>
    </row>
    <row r="9149">
      <c r="A9149" s="1" t="s">
        <v>6990</v>
      </c>
      <c r="B9149" s="3" t="str">
        <f t="shared" si="1"/>
        <v>Unavailable</v>
      </c>
      <c r="C9149" s="3">
        <v>44.0</v>
      </c>
      <c r="D9149" s="3">
        <f>IFERROR(__xludf.DUMMYFUNCTION("IFERROR(
IF(REGEXMATCH(LOWER(O9149),""k""),
VALUE(REGEXEXTRACT(O9149,""[0-9]+""))*1000,
VALUE(REGEXEXTRACT(O9149,""[0-9]+""))
),
0
)"),0.0)</f>
        <v>0</v>
      </c>
      <c r="E9149" s="1" t="s">
        <v>11</v>
      </c>
      <c r="F9149" s="1" t="s">
        <v>20</v>
      </c>
      <c r="G9149" s="4" t="b">
        <f t="shared" si="2"/>
        <v>1</v>
      </c>
      <c r="H9149" s="1" t="str">
        <f t="shared" si="3"/>
        <v>Currently Unavailable</v>
      </c>
      <c r="I9149" s="1" t="str">
        <f t="shared" si="4"/>
        <v>No Badges</v>
      </c>
      <c r="J9149" s="3">
        <f t="shared" si="5"/>
        <v>0</v>
      </c>
    </row>
    <row r="9150">
      <c r="A9150" s="1" t="s">
        <v>6991</v>
      </c>
      <c r="B9150" s="3" t="str">
        <f t="shared" si="1"/>
        <v>Unavailable</v>
      </c>
      <c r="C9150" s="3">
        <v>260.0</v>
      </c>
      <c r="D9150" s="3">
        <f>IFERROR(__xludf.DUMMYFUNCTION("IFERROR(
IF(REGEXMATCH(LOWER(O9150),""k""),
VALUE(REGEXEXTRACT(O9150,""[0-9]+""))*1000,
VALUE(REGEXEXTRACT(O9150,""[0-9]+""))
),
0
)"),0.0)</f>
        <v>0</v>
      </c>
      <c r="E9150" s="1" t="s">
        <v>11</v>
      </c>
      <c r="F9150" s="1" t="s">
        <v>20</v>
      </c>
      <c r="G9150" s="4" t="b">
        <f t="shared" si="2"/>
        <v>1</v>
      </c>
      <c r="H9150" s="1" t="str">
        <f t="shared" si="3"/>
        <v>Currently Unavailable</v>
      </c>
      <c r="I9150" s="1" t="str">
        <f t="shared" si="4"/>
        <v>No Badges</v>
      </c>
      <c r="J9150" s="3">
        <f t="shared" si="5"/>
        <v>0</v>
      </c>
    </row>
    <row r="9151">
      <c r="A9151" s="1" t="s">
        <v>6992</v>
      </c>
      <c r="B9151" s="3" t="str">
        <f t="shared" si="1"/>
        <v>Unavailable</v>
      </c>
      <c r="C9151" s="5">
        <v>1946.0</v>
      </c>
      <c r="D9151" s="3">
        <f>IFERROR(__xludf.DUMMYFUNCTION("IFERROR(
IF(REGEXMATCH(LOWER(O9151),""k""),
VALUE(REGEXEXTRACT(O9151,""[0-9]+""))*1000,
VALUE(REGEXEXTRACT(O9151,""[0-9]+""))
),
0
)"),0.0)</f>
        <v>0</v>
      </c>
      <c r="E9151" s="1" t="s">
        <v>11</v>
      </c>
      <c r="F9151" s="1" t="s">
        <v>20</v>
      </c>
      <c r="G9151" s="4" t="b">
        <f t="shared" si="2"/>
        <v>1</v>
      </c>
      <c r="H9151" s="1" t="str">
        <f t="shared" si="3"/>
        <v>Currently Unavailable</v>
      </c>
      <c r="I9151" s="1" t="str">
        <f t="shared" si="4"/>
        <v>No Badges</v>
      </c>
      <c r="J9151" s="3">
        <f t="shared" si="5"/>
        <v>0</v>
      </c>
    </row>
    <row r="9152">
      <c r="A9152" s="1" t="s">
        <v>6993</v>
      </c>
      <c r="B9152" s="3" t="str">
        <f t="shared" si="1"/>
        <v>Unavailable</v>
      </c>
      <c r="C9152" s="3">
        <v>541.0</v>
      </c>
      <c r="D9152" s="3">
        <f>IFERROR(__xludf.DUMMYFUNCTION("IFERROR(
IF(REGEXMATCH(LOWER(O9152),""k""),
VALUE(REGEXEXTRACT(O9152,""[0-9]+""))*1000,
VALUE(REGEXEXTRACT(O9152,""[0-9]+""))
),
0
)"),0.0)</f>
        <v>0</v>
      </c>
      <c r="E9152" s="1" t="s">
        <v>11</v>
      </c>
      <c r="F9152" s="1" t="s">
        <v>20</v>
      </c>
      <c r="G9152" s="4" t="b">
        <f t="shared" si="2"/>
        <v>1</v>
      </c>
      <c r="H9152" s="1" t="str">
        <f t="shared" si="3"/>
        <v>Currently Unavailable</v>
      </c>
      <c r="I9152" s="1" t="str">
        <f t="shared" si="4"/>
        <v>No Badges</v>
      </c>
      <c r="J9152" s="3">
        <f t="shared" si="5"/>
        <v>0</v>
      </c>
    </row>
    <row r="9153">
      <c r="A9153" s="1" t="s">
        <v>6994</v>
      </c>
      <c r="B9153" s="3" t="str">
        <f t="shared" si="1"/>
        <v>Unavailable</v>
      </c>
      <c r="C9153" s="3">
        <v>12.0</v>
      </c>
      <c r="D9153" s="3">
        <f>IFERROR(__xludf.DUMMYFUNCTION("IFERROR(
IF(REGEXMATCH(LOWER(O9153),""k""),
VALUE(REGEXEXTRACT(O9153,""[0-9]+""))*1000,
VALUE(REGEXEXTRACT(O9153,""[0-9]+""))
),
0
)"),0.0)</f>
        <v>0</v>
      </c>
      <c r="E9153" s="1" t="s">
        <v>11</v>
      </c>
      <c r="F9153" s="1" t="s">
        <v>20</v>
      </c>
      <c r="G9153" s="4" t="b">
        <f t="shared" si="2"/>
        <v>1</v>
      </c>
      <c r="H9153" s="1" t="str">
        <f t="shared" si="3"/>
        <v>Currently Unavailable</v>
      </c>
      <c r="I9153" s="1" t="str">
        <f t="shared" si="4"/>
        <v>No Badges</v>
      </c>
      <c r="J9153" s="3">
        <f t="shared" si="5"/>
        <v>0</v>
      </c>
    </row>
    <row r="9154">
      <c r="A9154" s="1" t="s">
        <v>6995</v>
      </c>
      <c r="B9154" s="3" t="str">
        <f t="shared" si="1"/>
        <v>Unavailable</v>
      </c>
      <c r="C9154" s="3">
        <v>235.0</v>
      </c>
      <c r="D9154" s="3">
        <f>IFERROR(__xludf.DUMMYFUNCTION("IFERROR(
IF(REGEXMATCH(LOWER(O9154),""k""),
VALUE(REGEXEXTRACT(O9154,""[0-9]+""))*1000,
VALUE(REGEXEXTRACT(O9154,""[0-9]+""))
),
0
)"),0.0)</f>
        <v>0</v>
      </c>
      <c r="E9154" s="1" t="s">
        <v>11</v>
      </c>
      <c r="F9154" s="1" t="s">
        <v>20</v>
      </c>
      <c r="G9154" s="4" t="b">
        <f t="shared" si="2"/>
        <v>1</v>
      </c>
      <c r="H9154" s="1" t="str">
        <f t="shared" si="3"/>
        <v>Currently Unavailable</v>
      </c>
      <c r="I9154" s="1" t="str">
        <f t="shared" si="4"/>
        <v>No Badges</v>
      </c>
      <c r="J9154" s="3">
        <f t="shared" si="5"/>
        <v>0</v>
      </c>
    </row>
    <row r="9155">
      <c r="A9155" s="1" t="s">
        <v>4951</v>
      </c>
      <c r="B9155" s="3" t="str">
        <f t="shared" si="1"/>
        <v>Unavailable</v>
      </c>
      <c r="C9155" s="3">
        <v>19.0</v>
      </c>
      <c r="D9155" s="3">
        <f>IFERROR(__xludf.DUMMYFUNCTION("IFERROR(
IF(REGEXMATCH(LOWER(O9155),""k""),
VALUE(REGEXEXTRACT(O9155,""[0-9]+""))*1000,
VALUE(REGEXEXTRACT(O9155,""[0-9]+""))
),
0
)"),0.0)</f>
        <v>0</v>
      </c>
      <c r="E9155" s="1" t="s">
        <v>11</v>
      </c>
      <c r="F9155" s="1" t="s">
        <v>20</v>
      </c>
      <c r="G9155" s="4" t="b">
        <f t="shared" si="2"/>
        <v>1</v>
      </c>
      <c r="H9155" s="1" t="str">
        <f t="shared" si="3"/>
        <v>Currently Unavailable</v>
      </c>
      <c r="I9155" s="1" t="str">
        <f t="shared" si="4"/>
        <v>No Badges</v>
      </c>
      <c r="J9155" s="3">
        <f t="shared" si="5"/>
        <v>0</v>
      </c>
    </row>
    <row r="9156">
      <c r="A9156" s="1" t="s">
        <v>5817</v>
      </c>
      <c r="B9156" s="3" t="str">
        <f t="shared" si="1"/>
        <v>Unavailable</v>
      </c>
      <c r="C9156" s="5">
        <v>7235.0</v>
      </c>
      <c r="D9156" s="3">
        <f>IFERROR(__xludf.DUMMYFUNCTION("IFERROR(
IF(REGEXMATCH(LOWER(O9156),""k""),
VALUE(REGEXEXTRACT(O9156,""[0-9]+""))*1000,
VALUE(REGEXEXTRACT(O9156,""[0-9]+""))
),
0
)"),0.0)</f>
        <v>0</v>
      </c>
      <c r="E9156" s="1" t="s">
        <v>11</v>
      </c>
      <c r="F9156" s="1" t="s">
        <v>12</v>
      </c>
      <c r="G9156" s="4" t="b">
        <f t="shared" si="2"/>
        <v>1</v>
      </c>
      <c r="H9156" s="1" t="str">
        <f t="shared" si="3"/>
        <v>Currently Unavailable</v>
      </c>
      <c r="I9156" s="1" t="str">
        <f t="shared" si="4"/>
        <v>No Badges</v>
      </c>
      <c r="J9156" s="3">
        <f t="shared" si="5"/>
        <v>0</v>
      </c>
    </row>
    <row r="9157">
      <c r="A9157" s="1" t="s">
        <v>6996</v>
      </c>
      <c r="B9157" s="3" t="str">
        <f t="shared" si="1"/>
        <v>Unavailable</v>
      </c>
      <c r="C9157" s="3">
        <v>167.0</v>
      </c>
      <c r="D9157" s="3">
        <f>IFERROR(__xludf.DUMMYFUNCTION("IFERROR(
IF(REGEXMATCH(LOWER(O9157),""k""),
VALUE(REGEXEXTRACT(O9157,""[0-9]+""))*1000,
VALUE(REGEXEXTRACT(O9157,""[0-9]+""))
),
0
)"),0.0)</f>
        <v>0</v>
      </c>
      <c r="E9157" s="1" t="s">
        <v>11</v>
      </c>
      <c r="F9157" s="1" t="s">
        <v>20</v>
      </c>
      <c r="G9157" s="4" t="b">
        <f t="shared" si="2"/>
        <v>1</v>
      </c>
      <c r="H9157" s="1" t="str">
        <f t="shared" si="3"/>
        <v>Currently Unavailable</v>
      </c>
      <c r="I9157" s="1" t="str">
        <f t="shared" si="4"/>
        <v>No Badges</v>
      </c>
      <c r="J9157" s="3">
        <f t="shared" si="5"/>
        <v>0</v>
      </c>
    </row>
    <row r="9158">
      <c r="A9158" s="1" t="s">
        <v>6997</v>
      </c>
      <c r="B9158" s="3" t="str">
        <f t="shared" si="1"/>
        <v>Unavailable</v>
      </c>
      <c r="C9158" s="5">
        <v>7265.0</v>
      </c>
      <c r="D9158" s="3">
        <f>IFERROR(__xludf.DUMMYFUNCTION("IFERROR(
IF(REGEXMATCH(LOWER(O9158),""k""),
VALUE(REGEXEXTRACT(O9158,""[0-9]+""))*1000,
VALUE(REGEXEXTRACT(O9158,""[0-9]+""))
),
0
)"),0.0)</f>
        <v>0</v>
      </c>
      <c r="E9158" s="1" t="s">
        <v>11</v>
      </c>
      <c r="F9158" s="1" t="s">
        <v>20</v>
      </c>
      <c r="G9158" s="4" t="b">
        <f t="shared" si="2"/>
        <v>1</v>
      </c>
      <c r="H9158" s="1" t="str">
        <f t="shared" si="3"/>
        <v>Currently Unavailable</v>
      </c>
      <c r="I9158" s="1" t="str">
        <f t="shared" si="4"/>
        <v>No Badges</v>
      </c>
      <c r="J9158" s="3">
        <f t="shared" si="5"/>
        <v>0</v>
      </c>
    </row>
    <row r="9159">
      <c r="A9159" s="1" t="s">
        <v>6998</v>
      </c>
      <c r="B9159" s="3" t="str">
        <f t="shared" si="1"/>
        <v>Unavailable</v>
      </c>
      <c r="C9159" s="5">
        <v>13410.0</v>
      </c>
      <c r="D9159" s="3">
        <f>IFERROR(__xludf.DUMMYFUNCTION("IFERROR(
IF(REGEXMATCH(LOWER(O9159),""k""),
VALUE(REGEXEXTRACT(O9159,""[0-9]+""))*1000,
VALUE(REGEXEXTRACT(O9159,""[0-9]+""))
),
0
)"),0.0)</f>
        <v>0</v>
      </c>
      <c r="E9159" s="1" t="s">
        <v>11</v>
      </c>
      <c r="F9159" s="1" t="s">
        <v>20</v>
      </c>
      <c r="G9159" s="4" t="b">
        <f t="shared" si="2"/>
        <v>1</v>
      </c>
      <c r="H9159" s="1" t="str">
        <f t="shared" si="3"/>
        <v>Currently Unavailable</v>
      </c>
      <c r="I9159" s="1" t="str">
        <f t="shared" si="4"/>
        <v>No Badges</v>
      </c>
      <c r="J9159" s="3">
        <f t="shared" si="5"/>
        <v>0</v>
      </c>
    </row>
    <row r="9160">
      <c r="A9160" s="1" t="s">
        <v>6999</v>
      </c>
      <c r="B9160" s="3" t="str">
        <f t="shared" si="1"/>
        <v>Unavailable</v>
      </c>
      <c r="C9160" s="3">
        <v>394.0</v>
      </c>
      <c r="D9160" s="3">
        <f>IFERROR(__xludf.DUMMYFUNCTION("IFERROR(
IF(REGEXMATCH(LOWER(O9160),""k""),
VALUE(REGEXEXTRACT(O9160,""[0-9]+""))*1000,
VALUE(REGEXEXTRACT(O9160,""[0-9]+""))
),
0
)"),0.0)</f>
        <v>0</v>
      </c>
      <c r="E9160" s="1" t="s">
        <v>11</v>
      </c>
      <c r="F9160" s="1" t="s">
        <v>20</v>
      </c>
      <c r="G9160" s="4" t="b">
        <f t="shared" si="2"/>
        <v>1</v>
      </c>
      <c r="H9160" s="1" t="str">
        <f t="shared" si="3"/>
        <v>Currently Unavailable</v>
      </c>
      <c r="I9160" s="1" t="str">
        <f t="shared" si="4"/>
        <v>No Badges</v>
      </c>
      <c r="J9160" s="3">
        <f t="shared" si="5"/>
        <v>0</v>
      </c>
    </row>
    <row r="9161">
      <c r="A9161" s="1" t="s">
        <v>7000</v>
      </c>
      <c r="B9161" s="3" t="str">
        <f t="shared" si="1"/>
        <v>Unavailable</v>
      </c>
      <c r="C9161" s="5">
        <v>2034.0</v>
      </c>
      <c r="D9161" s="3">
        <f>IFERROR(__xludf.DUMMYFUNCTION("IFERROR(
IF(REGEXMATCH(LOWER(O9161),""k""),
VALUE(REGEXEXTRACT(O9161,""[0-9]+""))*1000,
VALUE(REGEXEXTRACT(O9161,""[0-9]+""))
),
0
)"),0.0)</f>
        <v>0</v>
      </c>
      <c r="E9161" s="1" t="s">
        <v>11</v>
      </c>
      <c r="F9161" s="1" t="s">
        <v>20</v>
      </c>
      <c r="G9161" s="4" t="b">
        <f t="shared" si="2"/>
        <v>1</v>
      </c>
      <c r="H9161" s="1" t="str">
        <f t="shared" si="3"/>
        <v>Currently Unavailable</v>
      </c>
      <c r="I9161" s="1" t="str">
        <f t="shared" si="4"/>
        <v>No Badges</v>
      </c>
      <c r="J9161" s="3">
        <f t="shared" si="5"/>
        <v>0</v>
      </c>
    </row>
    <row r="9162">
      <c r="A9162" s="1" t="s">
        <v>7001</v>
      </c>
      <c r="B9162" s="3" t="str">
        <f t="shared" si="1"/>
        <v>Unavailable</v>
      </c>
      <c r="C9162" s="3">
        <v>415.0</v>
      </c>
      <c r="D9162" s="3">
        <f>IFERROR(__xludf.DUMMYFUNCTION("IFERROR(
IF(REGEXMATCH(LOWER(O9162),""k""),
VALUE(REGEXEXTRACT(O9162,""[0-9]+""))*1000,
VALUE(REGEXEXTRACT(O9162,""[0-9]+""))
),
0
)"),0.0)</f>
        <v>0</v>
      </c>
      <c r="E9162" s="1" t="s">
        <v>18</v>
      </c>
      <c r="F9162" s="1" t="s">
        <v>20</v>
      </c>
      <c r="G9162" s="4" t="b">
        <f t="shared" si="2"/>
        <v>1</v>
      </c>
      <c r="H9162" s="1" t="str">
        <f t="shared" si="3"/>
        <v>Currently Unavailable</v>
      </c>
      <c r="I9162" s="1" t="str">
        <f t="shared" si="4"/>
        <v>No Badges</v>
      </c>
      <c r="J9162" s="3">
        <f t="shared" si="5"/>
        <v>0</v>
      </c>
    </row>
    <row r="9163">
      <c r="A9163" s="1" t="s">
        <v>5817</v>
      </c>
      <c r="B9163" s="3" t="str">
        <f t="shared" si="1"/>
        <v>Unavailable</v>
      </c>
      <c r="C9163" s="5">
        <v>7235.0</v>
      </c>
      <c r="D9163" s="3">
        <f>IFERROR(__xludf.DUMMYFUNCTION("IFERROR(
IF(REGEXMATCH(LOWER(O9163),""k""),
VALUE(REGEXEXTRACT(O9163,""[0-9]+""))*1000,
VALUE(REGEXEXTRACT(O9163,""[0-9]+""))
),
0
)"),0.0)</f>
        <v>0</v>
      </c>
      <c r="E9163" s="1" t="s">
        <v>11</v>
      </c>
      <c r="F9163" s="1" t="s">
        <v>12</v>
      </c>
      <c r="G9163" s="4" t="b">
        <f t="shared" si="2"/>
        <v>1</v>
      </c>
      <c r="H9163" s="1" t="str">
        <f t="shared" si="3"/>
        <v>Currently Unavailable</v>
      </c>
      <c r="I9163" s="1" t="str">
        <f t="shared" si="4"/>
        <v>No Badges</v>
      </c>
      <c r="J9163" s="3">
        <f t="shared" si="5"/>
        <v>0</v>
      </c>
    </row>
    <row r="9164">
      <c r="A9164" s="1" t="s">
        <v>7002</v>
      </c>
      <c r="B9164" s="3" t="str">
        <f t="shared" si="1"/>
        <v>Unavailable</v>
      </c>
      <c r="C9164" s="5">
        <v>1510.0</v>
      </c>
      <c r="D9164" s="3">
        <f>IFERROR(__xludf.DUMMYFUNCTION("IFERROR(
IF(REGEXMATCH(LOWER(O9164),""k""),
VALUE(REGEXEXTRACT(O9164,""[0-9]+""))*1000,
VALUE(REGEXEXTRACT(O9164,""[0-9]+""))
),
0
)"),0.0)</f>
        <v>0</v>
      </c>
      <c r="E9164" s="1" t="s">
        <v>11</v>
      </c>
      <c r="F9164" s="1" t="s">
        <v>20</v>
      </c>
      <c r="G9164" s="4" t="b">
        <f t="shared" si="2"/>
        <v>1</v>
      </c>
      <c r="H9164" s="1" t="str">
        <f t="shared" si="3"/>
        <v>Currently Unavailable</v>
      </c>
      <c r="I9164" s="1" t="str">
        <f t="shared" si="4"/>
        <v>No Badges</v>
      </c>
      <c r="J9164" s="3">
        <f t="shared" si="5"/>
        <v>0</v>
      </c>
    </row>
    <row r="9165">
      <c r="A9165" s="1" t="s">
        <v>88</v>
      </c>
      <c r="B9165" s="3" t="str">
        <f t="shared" si="1"/>
        <v>Unavailable</v>
      </c>
      <c r="C9165" s="3">
        <v>6.0</v>
      </c>
      <c r="D9165" s="3">
        <f>IFERROR(__xludf.DUMMYFUNCTION("IFERROR(
IF(REGEXMATCH(LOWER(O9165),""k""),
VALUE(REGEXEXTRACT(O9165,""[0-9]+""))*1000,
VALUE(REGEXEXTRACT(O9165,""[0-9]+""))
),
0
)"),0.0)</f>
        <v>0</v>
      </c>
      <c r="E9165" s="1" t="s">
        <v>11</v>
      </c>
      <c r="F9165" s="1" t="s">
        <v>12</v>
      </c>
      <c r="G9165" s="4" t="b">
        <f t="shared" si="2"/>
        <v>1</v>
      </c>
      <c r="H9165" s="1" t="str">
        <f t="shared" si="3"/>
        <v>Currently Unavailable</v>
      </c>
      <c r="I9165" s="1" t="str">
        <f t="shared" si="4"/>
        <v>No Badges</v>
      </c>
      <c r="J9165" s="3">
        <f t="shared" si="5"/>
        <v>0</v>
      </c>
    </row>
    <row r="9166">
      <c r="A9166" s="1" t="s">
        <v>701</v>
      </c>
      <c r="B9166" s="3" t="str">
        <f t="shared" si="1"/>
        <v>Unavailable</v>
      </c>
      <c r="C9166" s="3">
        <v>8.0</v>
      </c>
      <c r="D9166" s="3">
        <f>IFERROR(__xludf.DUMMYFUNCTION("IFERROR(
IF(REGEXMATCH(LOWER(O9166),""k""),
VALUE(REGEXEXTRACT(O9166,""[0-9]+""))*1000,
VALUE(REGEXEXTRACT(O9166,""[0-9]+""))
),
0
)"),0.0)</f>
        <v>0</v>
      </c>
      <c r="E9166" s="1" t="s">
        <v>11</v>
      </c>
      <c r="F9166" s="1" t="s">
        <v>12</v>
      </c>
      <c r="G9166" s="4" t="b">
        <f t="shared" si="2"/>
        <v>1</v>
      </c>
      <c r="H9166" s="1" t="str">
        <f t="shared" si="3"/>
        <v>Currently Unavailable</v>
      </c>
      <c r="I9166" s="1" t="str">
        <f t="shared" si="4"/>
        <v>No Badges</v>
      </c>
      <c r="J9166" s="3">
        <f t="shared" si="5"/>
        <v>0</v>
      </c>
    </row>
    <row r="9167">
      <c r="A9167" s="1" t="s">
        <v>5817</v>
      </c>
      <c r="B9167" s="3" t="str">
        <f t="shared" si="1"/>
        <v>Unavailable</v>
      </c>
      <c r="C9167" s="5">
        <v>7235.0</v>
      </c>
      <c r="D9167" s="3">
        <f>IFERROR(__xludf.DUMMYFUNCTION("IFERROR(
IF(REGEXMATCH(LOWER(O9167),""k""),
VALUE(REGEXEXTRACT(O9167,""[0-9]+""))*1000,
VALUE(REGEXEXTRACT(O9167,""[0-9]+""))
),
0
)"),0.0)</f>
        <v>0</v>
      </c>
      <c r="E9167" s="1" t="s">
        <v>11</v>
      </c>
      <c r="F9167" s="1" t="s">
        <v>12</v>
      </c>
      <c r="G9167" s="4" t="b">
        <f t="shared" si="2"/>
        <v>1</v>
      </c>
      <c r="H9167" s="1" t="str">
        <f t="shared" si="3"/>
        <v>Currently Unavailable</v>
      </c>
      <c r="I9167" s="1" t="str">
        <f t="shared" si="4"/>
        <v>No Badges</v>
      </c>
      <c r="J9167" s="3">
        <f t="shared" si="5"/>
        <v>0</v>
      </c>
    </row>
    <row r="9168">
      <c r="A9168" s="1" t="s">
        <v>7003</v>
      </c>
      <c r="B9168" s="3" t="str">
        <f t="shared" si="1"/>
        <v>Unavailable</v>
      </c>
      <c r="C9168" s="5">
        <v>1248.0</v>
      </c>
      <c r="D9168" s="3">
        <f>IFERROR(__xludf.DUMMYFUNCTION("IFERROR(
IF(REGEXMATCH(LOWER(O9168),""k""),
VALUE(REGEXEXTRACT(O9168,""[0-9]+""))*1000,
VALUE(REGEXEXTRACT(O9168,""[0-9]+""))
),
0
)"),0.0)</f>
        <v>0</v>
      </c>
      <c r="E9168" s="1" t="s">
        <v>11</v>
      </c>
      <c r="F9168" s="1" t="s">
        <v>20</v>
      </c>
      <c r="G9168" s="4" t="b">
        <f t="shared" si="2"/>
        <v>1</v>
      </c>
      <c r="H9168" s="1" t="str">
        <f t="shared" si="3"/>
        <v>Currently Unavailable</v>
      </c>
      <c r="I9168" s="1" t="str">
        <f t="shared" si="4"/>
        <v>No Badges</v>
      </c>
      <c r="J9168" s="3">
        <f t="shared" si="5"/>
        <v>0</v>
      </c>
    </row>
    <row r="9169">
      <c r="A9169" s="1" t="s">
        <v>7004</v>
      </c>
      <c r="B9169" s="3" t="str">
        <f t="shared" si="1"/>
        <v>Unavailable</v>
      </c>
      <c r="C9169" s="5">
        <v>9575.0</v>
      </c>
      <c r="D9169" s="3">
        <f>IFERROR(__xludf.DUMMYFUNCTION("IFERROR(
IF(REGEXMATCH(LOWER(O9169),""k""),
VALUE(REGEXEXTRACT(O9169,""[0-9]+""))*1000,
VALUE(REGEXEXTRACT(O9169,""[0-9]+""))
),
0
)"),0.0)</f>
        <v>0</v>
      </c>
      <c r="E9169" s="1" t="s">
        <v>11</v>
      </c>
      <c r="F9169" s="1" t="s">
        <v>20</v>
      </c>
      <c r="G9169" s="4" t="b">
        <f t="shared" si="2"/>
        <v>1</v>
      </c>
      <c r="H9169" s="1" t="str">
        <f t="shared" si="3"/>
        <v>Currently Unavailable</v>
      </c>
      <c r="I9169" s="1" t="str">
        <f t="shared" si="4"/>
        <v>No Badges</v>
      </c>
      <c r="J9169" s="3">
        <f t="shared" si="5"/>
        <v>0</v>
      </c>
    </row>
    <row r="9170">
      <c r="A9170" s="1" t="s">
        <v>7005</v>
      </c>
      <c r="B9170" s="3" t="str">
        <f t="shared" si="1"/>
        <v>Unavailable</v>
      </c>
      <c r="C9170" s="3">
        <v>270.0</v>
      </c>
      <c r="D9170" s="3">
        <f>IFERROR(__xludf.DUMMYFUNCTION("IFERROR(
IF(REGEXMATCH(LOWER(O9170),""k""),
VALUE(REGEXEXTRACT(O9170,""[0-9]+""))*1000,
VALUE(REGEXEXTRACT(O9170,""[0-9]+""))
),
0
)"),0.0)</f>
        <v>0</v>
      </c>
      <c r="E9170" s="1" t="s">
        <v>11</v>
      </c>
      <c r="F9170" s="1" t="s">
        <v>20</v>
      </c>
      <c r="G9170" s="4" t="b">
        <f t="shared" si="2"/>
        <v>1</v>
      </c>
      <c r="H9170" s="1" t="str">
        <f t="shared" si="3"/>
        <v>Currently Unavailable</v>
      </c>
      <c r="I9170" s="1" t="str">
        <f t="shared" si="4"/>
        <v>No Badges</v>
      </c>
      <c r="J9170" s="3">
        <f t="shared" si="5"/>
        <v>0</v>
      </c>
    </row>
    <row r="9171">
      <c r="A9171" s="1" t="s">
        <v>7006</v>
      </c>
      <c r="B9171" s="3" t="str">
        <f t="shared" si="1"/>
        <v>Unavailable</v>
      </c>
      <c r="C9171" s="3">
        <v>318.0</v>
      </c>
      <c r="D9171" s="3">
        <f>IFERROR(__xludf.DUMMYFUNCTION("IFERROR(
IF(REGEXMATCH(LOWER(O9171),""k""),
VALUE(REGEXEXTRACT(O9171,""[0-9]+""))*1000,
VALUE(REGEXEXTRACT(O9171,""[0-9]+""))
),
0
)"),0.0)</f>
        <v>0</v>
      </c>
      <c r="E9171" s="1" t="s">
        <v>11</v>
      </c>
      <c r="F9171" s="1" t="s">
        <v>20</v>
      </c>
      <c r="G9171" s="4" t="b">
        <f t="shared" si="2"/>
        <v>1</v>
      </c>
      <c r="H9171" s="1" t="str">
        <f t="shared" si="3"/>
        <v>Currently Unavailable</v>
      </c>
      <c r="I9171" s="1" t="str">
        <f t="shared" si="4"/>
        <v>No Badges</v>
      </c>
      <c r="J9171" s="3">
        <f t="shared" si="5"/>
        <v>0</v>
      </c>
    </row>
    <row r="9172">
      <c r="A9172" s="1" t="s">
        <v>5817</v>
      </c>
      <c r="B9172" s="3" t="str">
        <f t="shared" si="1"/>
        <v>Unavailable</v>
      </c>
      <c r="C9172" s="5">
        <v>7235.0</v>
      </c>
      <c r="D9172" s="3">
        <f>IFERROR(__xludf.DUMMYFUNCTION("IFERROR(
IF(REGEXMATCH(LOWER(O9172),""k""),
VALUE(REGEXEXTRACT(O9172,""[0-9]+""))*1000,
VALUE(REGEXEXTRACT(O9172,""[0-9]+""))
),
0
)"),0.0)</f>
        <v>0</v>
      </c>
      <c r="E9172" s="1" t="s">
        <v>11</v>
      </c>
      <c r="F9172" s="1" t="s">
        <v>12</v>
      </c>
      <c r="G9172" s="4" t="b">
        <f t="shared" si="2"/>
        <v>1</v>
      </c>
      <c r="H9172" s="1" t="str">
        <f t="shared" si="3"/>
        <v>Currently Unavailable</v>
      </c>
      <c r="I9172" s="1" t="str">
        <f t="shared" si="4"/>
        <v>No Badges</v>
      </c>
      <c r="J9172" s="3">
        <f t="shared" si="5"/>
        <v>0</v>
      </c>
    </row>
    <row r="9173">
      <c r="A9173" s="1" t="s">
        <v>7007</v>
      </c>
      <c r="B9173" s="3" t="str">
        <f t="shared" si="1"/>
        <v>Unavailable</v>
      </c>
      <c r="C9173" s="5">
        <v>13262.0</v>
      </c>
      <c r="D9173" s="3">
        <f>IFERROR(__xludf.DUMMYFUNCTION("IFERROR(
IF(REGEXMATCH(LOWER(O9173),""k""),
VALUE(REGEXEXTRACT(O9173,""[0-9]+""))*1000,
VALUE(REGEXEXTRACT(O9173,""[0-9]+""))
),
0
)"),0.0)</f>
        <v>0</v>
      </c>
      <c r="E9173" s="1" t="s">
        <v>11</v>
      </c>
      <c r="F9173" s="1" t="s">
        <v>20</v>
      </c>
      <c r="G9173" s="4" t="b">
        <f t="shared" si="2"/>
        <v>1</v>
      </c>
      <c r="H9173" s="1" t="str">
        <f t="shared" si="3"/>
        <v>Currently Unavailable</v>
      </c>
      <c r="I9173" s="1" t="str">
        <f t="shared" si="4"/>
        <v>No Badges</v>
      </c>
      <c r="J9173" s="3">
        <f t="shared" si="5"/>
        <v>0</v>
      </c>
    </row>
    <row r="9174">
      <c r="A9174" s="1" t="s">
        <v>7008</v>
      </c>
      <c r="B9174" s="3" t="str">
        <f t="shared" si="1"/>
        <v>Unavailable</v>
      </c>
      <c r="C9174" s="5">
        <v>3067.0</v>
      </c>
      <c r="D9174" s="3">
        <f>IFERROR(__xludf.DUMMYFUNCTION("IFERROR(
IF(REGEXMATCH(LOWER(O9174),""k""),
VALUE(REGEXEXTRACT(O9174,""[0-9]+""))*1000,
VALUE(REGEXEXTRACT(O9174,""[0-9]+""))
),
0
)"),0.0)</f>
        <v>0</v>
      </c>
      <c r="E9174" s="1" t="s">
        <v>11</v>
      </c>
      <c r="F9174" s="1" t="s">
        <v>20</v>
      </c>
      <c r="G9174" s="4" t="b">
        <f t="shared" si="2"/>
        <v>1</v>
      </c>
      <c r="H9174" s="1" t="str">
        <f t="shared" si="3"/>
        <v>Currently Unavailable</v>
      </c>
      <c r="I9174" s="1" t="str">
        <f t="shared" si="4"/>
        <v>No Badges</v>
      </c>
      <c r="J9174" s="3">
        <f t="shared" si="5"/>
        <v>0</v>
      </c>
    </row>
    <row r="9175">
      <c r="A9175" s="1" t="s">
        <v>7009</v>
      </c>
      <c r="B9175" s="3" t="str">
        <f t="shared" si="1"/>
        <v>Unavailable</v>
      </c>
      <c r="C9175" s="5">
        <v>1350.0</v>
      </c>
      <c r="D9175" s="3">
        <f>IFERROR(__xludf.DUMMYFUNCTION("IFERROR(
IF(REGEXMATCH(LOWER(O9175),""k""),
VALUE(REGEXEXTRACT(O9175,""[0-9]+""))*1000,
VALUE(REGEXEXTRACT(O9175,""[0-9]+""))
),
0
)"),0.0)</f>
        <v>0</v>
      </c>
      <c r="E9175" s="1" t="s">
        <v>11</v>
      </c>
      <c r="F9175" s="1" t="s">
        <v>20</v>
      </c>
      <c r="G9175" s="4" t="b">
        <f t="shared" si="2"/>
        <v>1</v>
      </c>
      <c r="H9175" s="1" t="str">
        <f t="shared" si="3"/>
        <v>Currently Unavailable</v>
      </c>
      <c r="I9175" s="1" t="str">
        <f t="shared" si="4"/>
        <v>No Badges</v>
      </c>
      <c r="J9175" s="3">
        <f t="shared" si="5"/>
        <v>0</v>
      </c>
    </row>
    <row r="9176">
      <c r="A9176" s="1" t="s">
        <v>7010</v>
      </c>
      <c r="B9176" s="3" t="str">
        <f t="shared" si="1"/>
        <v>Unavailable</v>
      </c>
      <c r="C9176" s="5">
        <v>21431.0</v>
      </c>
      <c r="D9176" s="3">
        <f>IFERROR(__xludf.DUMMYFUNCTION("IFERROR(
IF(REGEXMATCH(LOWER(O9176),""k""),
VALUE(REGEXEXTRACT(O9176,""[0-9]+""))*1000,
VALUE(REGEXEXTRACT(O9176,""[0-9]+""))
),
0
)"),0.0)</f>
        <v>0</v>
      </c>
      <c r="E9176" s="1" t="s">
        <v>11</v>
      </c>
      <c r="F9176" s="1" t="s">
        <v>20</v>
      </c>
      <c r="G9176" s="4" t="b">
        <f t="shared" si="2"/>
        <v>1</v>
      </c>
      <c r="H9176" s="1" t="str">
        <f t="shared" si="3"/>
        <v>Currently Unavailable</v>
      </c>
      <c r="I9176" s="1" t="str">
        <f t="shared" si="4"/>
        <v>No Badges</v>
      </c>
      <c r="J9176" s="3">
        <f t="shared" si="5"/>
        <v>0</v>
      </c>
    </row>
    <row r="9177">
      <c r="A9177" s="1" t="s">
        <v>7011</v>
      </c>
      <c r="B9177" s="3" t="str">
        <f t="shared" si="1"/>
        <v>Unavailable</v>
      </c>
      <c r="C9177" s="3">
        <v>693.0</v>
      </c>
      <c r="D9177" s="3">
        <f>IFERROR(__xludf.DUMMYFUNCTION("IFERROR(
IF(REGEXMATCH(LOWER(O9177),""k""),
VALUE(REGEXEXTRACT(O9177,""[0-9]+""))*1000,
VALUE(REGEXEXTRACT(O9177,""[0-9]+""))
),
0
)"),0.0)</f>
        <v>0</v>
      </c>
      <c r="E9177" s="1" t="s">
        <v>11</v>
      </c>
      <c r="F9177" s="1" t="s">
        <v>20</v>
      </c>
      <c r="G9177" s="4" t="b">
        <f t="shared" si="2"/>
        <v>1</v>
      </c>
      <c r="H9177" s="1" t="str">
        <f t="shared" si="3"/>
        <v>Currently Unavailable</v>
      </c>
      <c r="I9177" s="1" t="str">
        <f t="shared" si="4"/>
        <v>No Badges</v>
      </c>
      <c r="J9177" s="3">
        <f t="shared" si="5"/>
        <v>0</v>
      </c>
    </row>
    <row r="9178">
      <c r="A9178" s="1" t="s">
        <v>6560</v>
      </c>
      <c r="B9178" s="3" t="str">
        <f t="shared" si="1"/>
        <v>Unavailable</v>
      </c>
      <c r="C9178" s="3">
        <v>897.0</v>
      </c>
      <c r="D9178" s="3">
        <f>IFERROR(__xludf.DUMMYFUNCTION("IFERROR(
IF(REGEXMATCH(LOWER(O9178),""k""),
VALUE(REGEXEXTRACT(O9178,""[0-9]+""))*1000,
VALUE(REGEXEXTRACT(O9178,""[0-9]+""))
),
0
)"),0.0)</f>
        <v>0</v>
      </c>
      <c r="E9178" s="1" t="s">
        <v>11</v>
      </c>
      <c r="F9178" s="1" t="s">
        <v>20</v>
      </c>
      <c r="G9178" s="4" t="b">
        <f t="shared" si="2"/>
        <v>1</v>
      </c>
      <c r="H9178" s="1" t="str">
        <f t="shared" si="3"/>
        <v>Currently Unavailable</v>
      </c>
      <c r="I9178" s="1" t="str">
        <f t="shared" si="4"/>
        <v>No Badges</v>
      </c>
      <c r="J9178" s="6">
        <f t="shared" si="5"/>
        <v>0</v>
      </c>
    </row>
    <row r="9179">
      <c r="A9179" s="1" t="s">
        <v>6661</v>
      </c>
      <c r="B9179" s="3" t="str">
        <f t="shared" si="1"/>
        <v>Unavailable</v>
      </c>
      <c r="C9179" s="3">
        <v>24.0</v>
      </c>
      <c r="D9179" s="3">
        <f>IFERROR(__xludf.DUMMYFUNCTION("IFERROR(
IF(REGEXMATCH(LOWER(O9179),""k""),
VALUE(REGEXEXTRACT(O9179,""[0-9]+""))*1000,
VALUE(REGEXEXTRACT(O9179,""[0-9]+""))
),
0
)"),0.0)</f>
        <v>0</v>
      </c>
      <c r="E9179" s="1" t="s">
        <v>11</v>
      </c>
      <c r="F9179" s="1" t="s">
        <v>12</v>
      </c>
      <c r="G9179" s="4" t="b">
        <f t="shared" si="2"/>
        <v>1</v>
      </c>
      <c r="H9179" s="1" t="str">
        <f t="shared" si="3"/>
        <v>Currently Unavailable</v>
      </c>
      <c r="I9179" s="1" t="str">
        <f t="shared" si="4"/>
        <v>No Badges</v>
      </c>
      <c r="J9179" s="3">
        <f t="shared" si="5"/>
        <v>0</v>
      </c>
    </row>
    <row r="9180">
      <c r="A9180" s="1" t="s">
        <v>6662</v>
      </c>
      <c r="B9180" s="3" t="str">
        <f t="shared" si="1"/>
        <v>Unavailable</v>
      </c>
      <c r="C9180" s="5">
        <v>1886.0</v>
      </c>
      <c r="D9180" s="3">
        <f>IFERROR(__xludf.DUMMYFUNCTION("IFERROR(
IF(REGEXMATCH(LOWER(O9180),""k""),
VALUE(REGEXEXTRACT(O9180,""[0-9]+""))*1000,
VALUE(REGEXEXTRACT(O9180,""[0-9]+""))
),
0
)"),0.0)</f>
        <v>0</v>
      </c>
      <c r="E9180" s="1" t="s">
        <v>11</v>
      </c>
      <c r="F9180" s="1" t="s">
        <v>12</v>
      </c>
      <c r="G9180" s="4" t="b">
        <f t="shared" si="2"/>
        <v>1</v>
      </c>
      <c r="H9180" s="1" t="str">
        <f t="shared" si="3"/>
        <v>Currently Unavailable</v>
      </c>
      <c r="I9180" s="1" t="str">
        <f t="shared" si="4"/>
        <v>No Badges</v>
      </c>
      <c r="J9180" s="3">
        <f t="shared" si="5"/>
        <v>0</v>
      </c>
    </row>
    <row r="9181">
      <c r="A9181" s="1" t="s">
        <v>5817</v>
      </c>
      <c r="B9181" s="3" t="str">
        <f t="shared" si="1"/>
        <v>Unavailable</v>
      </c>
      <c r="C9181" s="5">
        <v>7235.0</v>
      </c>
      <c r="D9181" s="3">
        <f>IFERROR(__xludf.DUMMYFUNCTION("IFERROR(
IF(REGEXMATCH(LOWER(O9181),""k""),
VALUE(REGEXEXTRACT(O9181,""[0-9]+""))*1000,
VALUE(REGEXEXTRACT(O9181,""[0-9]+""))
),
0
)"),0.0)</f>
        <v>0</v>
      </c>
      <c r="E9181" s="1" t="s">
        <v>11</v>
      </c>
      <c r="F9181" s="1" t="s">
        <v>12</v>
      </c>
      <c r="G9181" s="4" t="b">
        <f t="shared" si="2"/>
        <v>1</v>
      </c>
      <c r="H9181" s="1" t="str">
        <f t="shared" si="3"/>
        <v>Currently Unavailable</v>
      </c>
      <c r="I9181" s="1" t="str">
        <f t="shared" si="4"/>
        <v>No Badges</v>
      </c>
      <c r="J9181" s="3">
        <f t="shared" si="5"/>
        <v>0</v>
      </c>
    </row>
    <row r="9182">
      <c r="A9182" s="1" t="s">
        <v>6561</v>
      </c>
      <c r="B9182" s="3" t="str">
        <f t="shared" si="1"/>
        <v>Unavailable</v>
      </c>
      <c r="C9182" s="3">
        <v>732.0</v>
      </c>
      <c r="D9182" s="3">
        <f>IFERROR(__xludf.DUMMYFUNCTION("IFERROR(
IF(REGEXMATCH(LOWER(O9182),""k""),
VALUE(REGEXEXTRACT(O9182,""[0-9]+""))*1000,
VALUE(REGEXEXTRACT(O9182,""[0-9]+""))
),
0
)"),0.0)</f>
        <v>0</v>
      </c>
      <c r="E9182" s="1" t="s">
        <v>11</v>
      </c>
      <c r="F9182" s="1" t="s">
        <v>20</v>
      </c>
      <c r="G9182" s="4" t="b">
        <f t="shared" si="2"/>
        <v>1</v>
      </c>
      <c r="H9182" s="1" t="str">
        <f t="shared" si="3"/>
        <v>Currently Unavailable</v>
      </c>
      <c r="I9182" s="1" t="str">
        <f t="shared" si="4"/>
        <v>No Badges</v>
      </c>
      <c r="J9182" s="3">
        <f t="shared" si="5"/>
        <v>0</v>
      </c>
    </row>
    <row r="9183">
      <c r="A9183" s="1" t="s">
        <v>6562</v>
      </c>
      <c r="B9183" s="3" t="str">
        <f t="shared" si="1"/>
        <v>Unavailable</v>
      </c>
      <c r="C9183" s="3">
        <v>1.0</v>
      </c>
      <c r="D9183" s="3">
        <f>IFERROR(__xludf.DUMMYFUNCTION("IFERROR(
IF(REGEXMATCH(LOWER(O9183),""k""),
VALUE(REGEXEXTRACT(O9183,""[0-9]+""))*1000,
VALUE(REGEXEXTRACT(O9183,""[0-9]+""))
),
0
)"),0.0)</f>
        <v>0</v>
      </c>
      <c r="E9183" s="1" t="s">
        <v>11</v>
      </c>
      <c r="F9183" s="1" t="s">
        <v>20</v>
      </c>
      <c r="G9183" s="4" t="b">
        <f t="shared" si="2"/>
        <v>1</v>
      </c>
      <c r="H9183" s="1" t="str">
        <f t="shared" si="3"/>
        <v>Currently Unavailable</v>
      </c>
      <c r="I9183" s="1" t="str">
        <f t="shared" si="4"/>
        <v>No Badges</v>
      </c>
      <c r="J9183" s="3">
        <f t="shared" si="5"/>
        <v>0</v>
      </c>
    </row>
    <row r="9184">
      <c r="A9184" s="1" t="s">
        <v>5183</v>
      </c>
      <c r="B9184" s="3" t="str">
        <f t="shared" si="1"/>
        <v>Unavailable</v>
      </c>
      <c r="C9184" s="5">
        <v>2859.0</v>
      </c>
      <c r="D9184" s="3">
        <f>IFERROR(__xludf.DUMMYFUNCTION("IFERROR(
IF(REGEXMATCH(LOWER(O9184),""k""),
VALUE(REGEXEXTRACT(O9184,""[0-9]+""))*1000,
VALUE(REGEXEXTRACT(O9184,""[0-9]+""))
),
0
)"),0.0)</f>
        <v>0</v>
      </c>
      <c r="E9184" s="1" t="s">
        <v>11</v>
      </c>
      <c r="F9184" s="1" t="s">
        <v>20</v>
      </c>
      <c r="G9184" s="4" t="b">
        <f t="shared" si="2"/>
        <v>1</v>
      </c>
      <c r="H9184" s="1" t="str">
        <f t="shared" si="3"/>
        <v>Currently Unavailable</v>
      </c>
      <c r="I9184" s="1" t="str">
        <f t="shared" si="4"/>
        <v>No Badges</v>
      </c>
      <c r="J9184" s="3">
        <f t="shared" si="5"/>
        <v>0</v>
      </c>
    </row>
    <row r="9185">
      <c r="A9185" s="1" t="s">
        <v>7012</v>
      </c>
      <c r="B9185" s="3" t="str">
        <f t="shared" si="1"/>
        <v>Unavailable</v>
      </c>
      <c r="C9185" s="5">
        <v>1536.0</v>
      </c>
      <c r="D9185" s="3">
        <f>IFERROR(__xludf.DUMMYFUNCTION("IFERROR(
IF(REGEXMATCH(LOWER(O9185),""k""),
VALUE(REGEXEXTRACT(O9185,""[0-9]+""))*1000,
VALUE(REGEXEXTRACT(O9185,""[0-9]+""))
),
0
)"),0.0)</f>
        <v>0</v>
      </c>
      <c r="E9185" s="1" t="s">
        <v>11</v>
      </c>
      <c r="F9185" s="1" t="s">
        <v>20</v>
      </c>
      <c r="G9185" s="4" t="b">
        <f t="shared" si="2"/>
        <v>1</v>
      </c>
      <c r="H9185" s="1" t="str">
        <f t="shared" si="3"/>
        <v>Currently Unavailable</v>
      </c>
      <c r="I9185" s="1" t="str">
        <f t="shared" si="4"/>
        <v>No Badges</v>
      </c>
      <c r="J9185" s="3">
        <f t="shared" si="5"/>
        <v>0</v>
      </c>
    </row>
    <row r="9186">
      <c r="A9186" s="1" t="s">
        <v>3549</v>
      </c>
      <c r="B9186" s="3" t="str">
        <f t="shared" si="1"/>
        <v>Unavailable</v>
      </c>
      <c r="C9186" s="3">
        <v>124.0</v>
      </c>
      <c r="D9186" s="3">
        <f>IFERROR(__xludf.DUMMYFUNCTION("IFERROR(
IF(REGEXMATCH(LOWER(O9186),""k""),
VALUE(REGEXEXTRACT(O9186,""[0-9]+""))*1000,
VALUE(REGEXEXTRACT(O9186,""[0-9]+""))
),
0
)"),0.0)</f>
        <v>0</v>
      </c>
      <c r="E9186" s="1" t="s">
        <v>11</v>
      </c>
      <c r="F9186" s="1" t="s">
        <v>20</v>
      </c>
      <c r="G9186" s="4" t="b">
        <f t="shared" si="2"/>
        <v>1</v>
      </c>
      <c r="H9186" s="1" t="str">
        <f t="shared" si="3"/>
        <v>Currently Unavailable</v>
      </c>
      <c r="I9186" s="1" t="str">
        <f t="shared" si="4"/>
        <v>No Badges</v>
      </c>
      <c r="J9186" s="3">
        <f t="shared" si="5"/>
        <v>0</v>
      </c>
    </row>
    <row r="9187">
      <c r="A9187" s="1" t="s">
        <v>7013</v>
      </c>
      <c r="B9187" s="3" t="str">
        <f t="shared" si="1"/>
        <v>Unavailable</v>
      </c>
      <c r="C9187" s="5">
        <v>1516.0</v>
      </c>
      <c r="D9187" s="3">
        <f>IFERROR(__xludf.DUMMYFUNCTION("IFERROR(
IF(REGEXMATCH(LOWER(O9187),""k""),
VALUE(REGEXEXTRACT(O9187,""[0-9]+""))*1000,
VALUE(REGEXEXTRACT(O9187,""[0-9]+""))
),
0
)"),0.0)</f>
        <v>0</v>
      </c>
      <c r="E9187" s="1" t="s">
        <v>18</v>
      </c>
      <c r="F9187" s="1" t="s">
        <v>20</v>
      </c>
      <c r="G9187" s="4" t="b">
        <f t="shared" si="2"/>
        <v>1</v>
      </c>
      <c r="H9187" s="1" t="str">
        <f t="shared" si="3"/>
        <v>Currently Unavailable</v>
      </c>
      <c r="I9187" s="1" t="str">
        <f t="shared" si="4"/>
        <v>No Badges</v>
      </c>
      <c r="J9187" s="3">
        <f t="shared" si="5"/>
        <v>0</v>
      </c>
    </row>
    <row r="9188">
      <c r="A9188" s="1" t="s">
        <v>7005</v>
      </c>
      <c r="B9188" s="3" t="str">
        <f t="shared" si="1"/>
        <v>Unavailable</v>
      </c>
      <c r="C9188" s="3">
        <v>276.0</v>
      </c>
      <c r="D9188" s="3">
        <f>IFERROR(__xludf.DUMMYFUNCTION("IFERROR(
IF(REGEXMATCH(LOWER(O9188),""k""),
VALUE(REGEXEXTRACT(O9188,""[0-9]+""))*1000,
VALUE(REGEXEXTRACT(O9188,""[0-9]+""))
),
0
)"),0.0)</f>
        <v>0</v>
      </c>
      <c r="E9188" s="1" t="s">
        <v>11</v>
      </c>
      <c r="F9188" s="1" t="s">
        <v>20</v>
      </c>
      <c r="G9188" s="4" t="b">
        <f t="shared" si="2"/>
        <v>1</v>
      </c>
      <c r="H9188" s="1" t="str">
        <f t="shared" si="3"/>
        <v>Currently Unavailable</v>
      </c>
      <c r="I9188" s="1" t="str">
        <f t="shared" si="4"/>
        <v>No Badges</v>
      </c>
      <c r="J9188" s="3">
        <f t="shared" si="5"/>
        <v>0</v>
      </c>
    </row>
    <row r="9189">
      <c r="A9189" s="1" t="s">
        <v>7014</v>
      </c>
      <c r="B9189" s="3" t="str">
        <f t="shared" si="1"/>
        <v>Unavailable</v>
      </c>
      <c r="C9189" s="5">
        <v>8443.0</v>
      </c>
      <c r="D9189" s="3">
        <f>IFERROR(__xludf.DUMMYFUNCTION("IFERROR(
IF(REGEXMATCH(LOWER(O9189),""k""),
VALUE(REGEXEXTRACT(O9189,""[0-9]+""))*1000,
VALUE(REGEXEXTRACT(O9189,""[0-9]+""))
),
0
)"),0.0)</f>
        <v>0</v>
      </c>
      <c r="E9189" s="1" t="s">
        <v>11</v>
      </c>
      <c r="F9189" s="1" t="s">
        <v>20</v>
      </c>
      <c r="G9189" s="4" t="b">
        <f t="shared" si="2"/>
        <v>1</v>
      </c>
      <c r="H9189" s="1" t="str">
        <f t="shared" si="3"/>
        <v>Currently Unavailable</v>
      </c>
      <c r="I9189" s="1" t="str">
        <f t="shared" si="4"/>
        <v>No Badges</v>
      </c>
      <c r="J9189" s="3">
        <f t="shared" si="5"/>
        <v>0</v>
      </c>
    </row>
    <row r="9190">
      <c r="A9190" s="1" t="s">
        <v>6929</v>
      </c>
      <c r="B9190" s="3" t="str">
        <f t="shared" si="1"/>
        <v>Unavailable</v>
      </c>
      <c r="C9190" s="5">
        <v>1913.0</v>
      </c>
      <c r="D9190" s="3">
        <f>IFERROR(__xludf.DUMMYFUNCTION("IFERROR(
IF(REGEXMATCH(LOWER(O9190),""k""),
VALUE(REGEXEXTRACT(O9190,""[0-9]+""))*1000,
VALUE(REGEXEXTRACT(O9190,""[0-9]+""))
),
0
)"),0.0)</f>
        <v>0</v>
      </c>
      <c r="E9190" s="1" t="s">
        <v>11</v>
      </c>
      <c r="F9190" s="1" t="s">
        <v>20</v>
      </c>
      <c r="G9190" s="4" t="b">
        <f t="shared" si="2"/>
        <v>1</v>
      </c>
      <c r="H9190" s="1" t="str">
        <f t="shared" si="3"/>
        <v>Currently Unavailable</v>
      </c>
      <c r="I9190" s="1" t="str">
        <f t="shared" si="4"/>
        <v>No Badges</v>
      </c>
      <c r="J9190" s="3">
        <f t="shared" si="5"/>
        <v>0</v>
      </c>
    </row>
    <row r="9191">
      <c r="A9191" s="1" t="s">
        <v>7015</v>
      </c>
      <c r="B9191" s="3" t="str">
        <f t="shared" si="1"/>
        <v>Unavailable</v>
      </c>
      <c r="C9191" s="5">
        <v>1352.0</v>
      </c>
      <c r="D9191" s="3">
        <f>IFERROR(__xludf.DUMMYFUNCTION("IFERROR(
IF(REGEXMATCH(LOWER(O9191),""k""),
VALUE(REGEXEXTRACT(O9191,""[0-9]+""))*1000,
VALUE(REGEXEXTRACT(O9191,""[0-9]+""))
),
0
)"),0.0)</f>
        <v>0</v>
      </c>
      <c r="E9191" s="1" t="s">
        <v>11</v>
      </c>
      <c r="F9191" s="1" t="s">
        <v>20</v>
      </c>
      <c r="G9191" s="4" t="b">
        <f t="shared" si="2"/>
        <v>1</v>
      </c>
      <c r="H9191" s="1" t="str">
        <f t="shared" si="3"/>
        <v>Currently Unavailable</v>
      </c>
      <c r="I9191" s="1" t="str">
        <f t="shared" si="4"/>
        <v>No Badges</v>
      </c>
      <c r="J9191" s="3">
        <f t="shared" si="5"/>
        <v>0</v>
      </c>
    </row>
    <row r="9192">
      <c r="A9192" s="1" t="s">
        <v>7016</v>
      </c>
      <c r="B9192" s="3" t="str">
        <f t="shared" si="1"/>
        <v>Unavailable</v>
      </c>
      <c r="C9192" s="3">
        <v>6.0</v>
      </c>
      <c r="D9192" s="3">
        <f>IFERROR(__xludf.DUMMYFUNCTION("IFERROR(
IF(REGEXMATCH(LOWER(O9192),""k""),
VALUE(REGEXEXTRACT(O9192,""[0-9]+""))*1000,
VALUE(REGEXEXTRACT(O9192,""[0-9]+""))
),
0
)"),0.0)</f>
        <v>0</v>
      </c>
      <c r="E9192" s="1" t="s">
        <v>11</v>
      </c>
      <c r="F9192" s="1" t="s">
        <v>20</v>
      </c>
      <c r="G9192" s="4" t="b">
        <f t="shared" si="2"/>
        <v>1</v>
      </c>
      <c r="H9192" s="1" t="str">
        <f t="shared" si="3"/>
        <v>Currently Unavailable</v>
      </c>
      <c r="I9192" s="1" t="str">
        <f t="shared" si="4"/>
        <v>No Badges</v>
      </c>
      <c r="J9192" s="3">
        <f t="shared" si="5"/>
        <v>0</v>
      </c>
    </row>
    <row r="9193">
      <c r="A9193" s="1" t="s">
        <v>6992</v>
      </c>
      <c r="B9193" s="3" t="str">
        <f t="shared" si="1"/>
        <v>Unavailable</v>
      </c>
      <c r="C9193" s="5">
        <v>1946.0</v>
      </c>
      <c r="D9193" s="3">
        <f>IFERROR(__xludf.DUMMYFUNCTION("IFERROR(
IF(REGEXMATCH(LOWER(O9193),""k""),
VALUE(REGEXEXTRACT(O9193,""[0-9]+""))*1000,
VALUE(REGEXEXTRACT(O9193,""[0-9]+""))
),
0
)"),0.0)</f>
        <v>0</v>
      </c>
      <c r="E9193" s="1" t="s">
        <v>11</v>
      </c>
      <c r="F9193" s="1" t="s">
        <v>20</v>
      </c>
      <c r="G9193" s="4" t="b">
        <f t="shared" si="2"/>
        <v>1</v>
      </c>
      <c r="H9193" s="1" t="str">
        <f t="shared" si="3"/>
        <v>Currently Unavailable</v>
      </c>
      <c r="I9193" s="1" t="str">
        <f t="shared" si="4"/>
        <v>No Badges</v>
      </c>
      <c r="J9193" s="3">
        <f t="shared" si="5"/>
        <v>0</v>
      </c>
    </row>
    <row r="9194">
      <c r="A9194" s="1" t="s">
        <v>7017</v>
      </c>
      <c r="B9194" s="3" t="str">
        <f t="shared" si="1"/>
        <v>Unavailable</v>
      </c>
      <c r="C9194" s="3">
        <v>950.0</v>
      </c>
      <c r="D9194" s="3">
        <f>IFERROR(__xludf.DUMMYFUNCTION("IFERROR(
IF(REGEXMATCH(LOWER(O9194),""k""),
VALUE(REGEXEXTRACT(O9194,""[0-9]+""))*1000,
VALUE(REGEXEXTRACT(O9194,""[0-9]+""))
),
0
)"),0.0)</f>
        <v>0</v>
      </c>
      <c r="E9194" s="1" t="s">
        <v>11</v>
      </c>
      <c r="F9194" s="1" t="s">
        <v>20</v>
      </c>
      <c r="G9194" s="4" t="b">
        <f t="shared" si="2"/>
        <v>1</v>
      </c>
      <c r="H9194" s="1" t="str">
        <f t="shared" si="3"/>
        <v>Currently Unavailable</v>
      </c>
      <c r="I9194" s="1" t="str">
        <f t="shared" si="4"/>
        <v>No Badges</v>
      </c>
      <c r="J9194" s="3">
        <f t="shared" si="5"/>
        <v>0</v>
      </c>
    </row>
    <row r="9195">
      <c r="A9195" s="1" t="s">
        <v>6650</v>
      </c>
      <c r="B9195" s="3" t="str">
        <f t="shared" si="1"/>
        <v>Unavailable</v>
      </c>
      <c r="C9195" s="3">
        <v>3.0</v>
      </c>
      <c r="D9195" s="3">
        <f>IFERROR(__xludf.DUMMYFUNCTION("IFERROR(
IF(REGEXMATCH(LOWER(O9195),""k""),
VALUE(REGEXEXTRACT(O9195,""[0-9]+""))*1000,
VALUE(REGEXEXTRACT(O9195,""[0-9]+""))
),
0
)"),0.0)</f>
        <v>0</v>
      </c>
      <c r="E9195" s="1" t="s">
        <v>11</v>
      </c>
      <c r="F9195" s="1" t="s">
        <v>12</v>
      </c>
      <c r="G9195" s="4" t="b">
        <f t="shared" si="2"/>
        <v>1</v>
      </c>
      <c r="H9195" s="1" t="str">
        <f t="shared" si="3"/>
        <v>Currently Unavailable</v>
      </c>
      <c r="I9195" s="1" t="str">
        <f t="shared" si="4"/>
        <v>No Badges</v>
      </c>
      <c r="J9195" s="3">
        <f t="shared" si="5"/>
        <v>0</v>
      </c>
    </row>
    <row r="9196">
      <c r="A9196" s="1" t="s">
        <v>7018</v>
      </c>
      <c r="B9196" s="3" t="str">
        <f t="shared" si="1"/>
        <v>Unavailable</v>
      </c>
      <c r="C9196" s="3">
        <v>671.0</v>
      </c>
      <c r="D9196" s="3">
        <f>IFERROR(__xludf.DUMMYFUNCTION("IFERROR(
IF(REGEXMATCH(LOWER(O9196),""k""),
VALUE(REGEXEXTRACT(O9196,""[0-9]+""))*1000,
VALUE(REGEXEXTRACT(O9196,""[0-9]+""))
),
0
)"),0.0)</f>
        <v>0</v>
      </c>
      <c r="E9196" s="1" t="s">
        <v>11</v>
      </c>
      <c r="F9196" s="1" t="s">
        <v>20</v>
      </c>
      <c r="G9196" s="4" t="b">
        <f t="shared" si="2"/>
        <v>1</v>
      </c>
      <c r="H9196" s="1" t="str">
        <f t="shared" si="3"/>
        <v>Currently Unavailable</v>
      </c>
      <c r="I9196" s="1" t="str">
        <f t="shared" si="4"/>
        <v>No Badges</v>
      </c>
      <c r="J9196" s="3">
        <f t="shared" si="5"/>
        <v>0</v>
      </c>
    </row>
    <row r="9197">
      <c r="A9197" s="1" t="s">
        <v>6604</v>
      </c>
      <c r="B9197" s="3" t="str">
        <f t="shared" si="1"/>
        <v>Unavailable</v>
      </c>
      <c r="C9197" s="5">
        <v>6538.0</v>
      </c>
      <c r="D9197" s="3">
        <f>IFERROR(__xludf.DUMMYFUNCTION("IFERROR(
IF(REGEXMATCH(LOWER(O9197),""k""),
VALUE(REGEXEXTRACT(O9197,""[0-9]+""))*1000,
VALUE(REGEXEXTRACT(O9197,""[0-9]+""))
),
0
)"),0.0)</f>
        <v>0</v>
      </c>
      <c r="E9197" s="1" t="s">
        <v>11</v>
      </c>
      <c r="F9197" s="1" t="s">
        <v>12</v>
      </c>
      <c r="G9197" s="4" t="b">
        <f t="shared" si="2"/>
        <v>1</v>
      </c>
      <c r="H9197" s="1" t="str">
        <f t="shared" si="3"/>
        <v>Currently Unavailable</v>
      </c>
      <c r="I9197" s="1" t="str">
        <f t="shared" si="4"/>
        <v>No Badges</v>
      </c>
      <c r="J9197" s="3">
        <f t="shared" si="5"/>
        <v>0</v>
      </c>
    </row>
    <row r="9198">
      <c r="A9198" s="1" t="s">
        <v>7019</v>
      </c>
      <c r="B9198" s="3" t="str">
        <f t="shared" si="1"/>
        <v>Unavailable</v>
      </c>
      <c r="C9198" s="3">
        <v>304.0</v>
      </c>
      <c r="D9198" s="3">
        <f>IFERROR(__xludf.DUMMYFUNCTION("IFERROR(
IF(REGEXMATCH(LOWER(O9198),""k""),
VALUE(REGEXEXTRACT(O9198,""[0-9]+""))*1000,
VALUE(REGEXEXTRACT(O9198,""[0-9]+""))
),
0
)"),0.0)</f>
        <v>0</v>
      </c>
      <c r="E9198" s="1" t="s">
        <v>11</v>
      </c>
      <c r="F9198" s="1" t="s">
        <v>20</v>
      </c>
      <c r="G9198" s="4" t="b">
        <f t="shared" si="2"/>
        <v>1</v>
      </c>
      <c r="H9198" s="1" t="str">
        <f t="shared" si="3"/>
        <v>Currently Unavailable</v>
      </c>
      <c r="I9198" s="1" t="str">
        <f t="shared" si="4"/>
        <v>No Badges</v>
      </c>
      <c r="J9198" s="3">
        <f t="shared" si="5"/>
        <v>0</v>
      </c>
    </row>
    <row r="9199">
      <c r="A9199" s="1" t="s">
        <v>6604</v>
      </c>
      <c r="B9199" s="3" t="str">
        <f t="shared" si="1"/>
        <v>Unavailable</v>
      </c>
      <c r="C9199" s="5">
        <v>6538.0</v>
      </c>
      <c r="D9199" s="3">
        <f>IFERROR(__xludf.DUMMYFUNCTION("IFERROR(
IF(REGEXMATCH(LOWER(O9199),""k""),
VALUE(REGEXEXTRACT(O9199,""[0-9]+""))*1000,
VALUE(REGEXEXTRACT(O9199,""[0-9]+""))
),
0
)"),0.0)</f>
        <v>0</v>
      </c>
      <c r="E9199" s="1" t="s">
        <v>11</v>
      </c>
      <c r="F9199" s="1" t="s">
        <v>12</v>
      </c>
      <c r="G9199" s="4" t="b">
        <f t="shared" si="2"/>
        <v>1</v>
      </c>
      <c r="H9199" s="1" t="str">
        <f t="shared" si="3"/>
        <v>Currently Unavailable</v>
      </c>
      <c r="I9199" s="1" t="str">
        <f t="shared" si="4"/>
        <v>No Badges</v>
      </c>
      <c r="J9199" s="3">
        <f t="shared" si="5"/>
        <v>0</v>
      </c>
    </row>
    <row r="9200">
      <c r="A9200" s="1" t="s">
        <v>7020</v>
      </c>
      <c r="B9200" s="3" t="str">
        <f t="shared" si="1"/>
        <v>Unavailable</v>
      </c>
      <c r="C9200" s="3">
        <v>233.0</v>
      </c>
      <c r="D9200" s="3">
        <f>IFERROR(__xludf.DUMMYFUNCTION("IFERROR(
IF(REGEXMATCH(LOWER(O9200),""k""),
VALUE(REGEXEXTRACT(O9200,""[0-9]+""))*1000,
VALUE(REGEXEXTRACT(O9200,""[0-9]+""))
),
0
)"),0.0)</f>
        <v>0</v>
      </c>
      <c r="E9200" s="1" t="s">
        <v>11</v>
      </c>
      <c r="F9200" s="1" t="s">
        <v>20</v>
      </c>
      <c r="G9200" s="4" t="b">
        <f t="shared" si="2"/>
        <v>1</v>
      </c>
      <c r="H9200" s="1" t="str">
        <f t="shared" si="3"/>
        <v>Currently Unavailable</v>
      </c>
      <c r="I9200" s="1" t="str">
        <f t="shared" si="4"/>
        <v>No Badges</v>
      </c>
      <c r="J9200" s="3">
        <f t="shared" si="5"/>
        <v>0</v>
      </c>
    </row>
    <row r="9201">
      <c r="A9201" s="1" t="s">
        <v>7021</v>
      </c>
      <c r="B9201" s="3" t="str">
        <f t="shared" si="1"/>
        <v>Unavailable</v>
      </c>
      <c r="C9201" s="5">
        <v>5144.0</v>
      </c>
      <c r="D9201" s="3">
        <f>IFERROR(__xludf.DUMMYFUNCTION("IFERROR(
IF(REGEXMATCH(LOWER(O9201),""k""),
VALUE(REGEXEXTRACT(O9201,""[0-9]+""))*1000,
VALUE(REGEXEXTRACT(O9201,""[0-9]+""))
),
0
)"),0.0)</f>
        <v>0</v>
      </c>
      <c r="E9201" s="1" t="s">
        <v>11</v>
      </c>
      <c r="F9201" s="1" t="s">
        <v>20</v>
      </c>
      <c r="G9201" s="4" t="b">
        <f t="shared" si="2"/>
        <v>1</v>
      </c>
      <c r="H9201" s="1" t="str">
        <f t="shared" si="3"/>
        <v>Currently Unavailable</v>
      </c>
      <c r="I9201" s="1" t="str">
        <f t="shared" si="4"/>
        <v>No Badges</v>
      </c>
      <c r="J9201" s="3">
        <f t="shared" si="5"/>
        <v>0</v>
      </c>
    </row>
    <row r="9202">
      <c r="A9202" s="1" t="s">
        <v>6604</v>
      </c>
      <c r="B9202" s="3" t="str">
        <f t="shared" si="1"/>
        <v>Unavailable</v>
      </c>
      <c r="C9202" s="5">
        <v>6538.0</v>
      </c>
      <c r="D9202" s="3">
        <f>IFERROR(__xludf.DUMMYFUNCTION("IFERROR(
IF(REGEXMATCH(LOWER(O9202),""k""),
VALUE(REGEXEXTRACT(O9202,""[0-9]+""))*1000,
VALUE(REGEXEXTRACT(O9202,""[0-9]+""))
),
0
)"),0.0)</f>
        <v>0</v>
      </c>
      <c r="E9202" s="1" t="s">
        <v>11</v>
      </c>
      <c r="F9202" s="1" t="s">
        <v>12</v>
      </c>
      <c r="G9202" s="4" t="b">
        <f t="shared" si="2"/>
        <v>1</v>
      </c>
      <c r="H9202" s="1" t="str">
        <f t="shared" si="3"/>
        <v>Currently Unavailable</v>
      </c>
      <c r="I9202" s="1" t="str">
        <f t="shared" si="4"/>
        <v>No Badges</v>
      </c>
      <c r="J9202" s="3">
        <f t="shared" si="5"/>
        <v>0</v>
      </c>
    </row>
    <row r="9203">
      <c r="A9203" s="1" t="s">
        <v>6604</v>
      </c>
      <c r="B9203" s="3" t="str">
        <f t="shared" si="1"/>
        <v>Unavailable</v>
      </c>
      <c r="C9203" s="5">
        <v>6538.0</v>
      </c>
      <c r="D9203" s="3">
        <f>IFERROR(__xludf.DUMMYFUNCTION("IFERROR(
IF(REGEXMATCH(LOWER(O9203),""k""),
VALUE(REGEXEXTRACT(O9203,""[0-9]+""))*1000,
VALUE(REGEXEXTRACT(O9203,""[0-9]+""))
),
0
)"),0.0)</f>
        <v>0</v>
      </c>
      <c r="E9203" s="1" t="s">
        <v>11</v>
      </c>
      <c r="F9203" s="1" t="s">
        <v>12</v>
      </c>
      <c r="G9203" s="4" t="b">
        <f t="shared" si="2"/>
        <v>1</v>
      </c>
      <c r="H9203" s="1" t="str">
        <f t="shared" si="3"/>
        <v>Currently Unavailable</v>
      </c>
      <c r="I9203" s="1" t="str">
        <f t="shared" si="4"/>
        <v>No Badges</v>
      </c>
      <c r="J9203" s="3">
        <f t="shared" si="5"/>
        <v>0</v>
      </c>
    </row>
    <row r="9204">
      <c r="A9204" s="1" t="s">
        <v>6981</v>
      </c>
      <c r="B9204" s="3" t="str">
        <f t="shared" si="1"/>
        <v>Unavailable</v>
      </c>
      <c r="C9204" s="5">
        <v>2315.0</v>
      </c>
      <c r="D9204" s="3">
        <f>IFERROR(__xludf.DUMMYFUNCTION("IFERROR(
IF(REGEXMATCH(LOWER(O9204),""k""),
VALUE(REGEXEXTRACT(O9204,""[0-9]+""))*1000,
VALUE(REGEXEXTRACT(O9204,""[0-9]+""))
),
0
)"),0.0)</f>
        <v>0</v>
      </c>
      <c r="E9204" s="1" t="s">
        <v>11</v>
      </c>
      <c r="F9204" s="1" t="s">
        <v>20</v>
      </c>
      <c r="G9204" s="4" t="b">
        <f t="shared" si="2"/>
        <v>1</v>
      </c>
      <c r="H9204" s="1" t="str">
        <f t="shared" si="3"/>
        <v>Currently Unavailable</v>
      </c>
      <c r="I9204" s="1" t="str">
        <f t="shared" si="4"/>
        <v>No Badges</v>
      </c>
      <c r="J9204" s="3">
        <f t="shared" si="5"/>
        <v>0</v>
      </c>
    </row>
    <row r="9205">
      <c r="A9205" s="1" t="s">
        <v>6998</v>
      </c>
      <c r="B9205" s="3" t="str">
        <f t="shared" si="1"/>
        <v>Unavailable</v>
      </c>
      <c r="C9205" s="5">
        <v>13411.0</v>
      </c>
      <c r="D9205" s="3">
        <f>IFERROR(__xludf.DUMMYFUNCTION("IFERROR(
IF(REGEXMATCH(LOWER(O9205),""k""),
VALUE(REGEXEXTRACT(O9205,""[0-9]+""))*1000,
VALUE(REGEXEXTRACT(O9205,""[0-9]+""))
),
0
)"),0.0)</f>
        <v>0</v>
      </c>
      <c r="E9205" s="1" t="s">
        <v>11</v>
      </c>
      <c r="F9205" s="1" t="s">
        <v>20</v>
      </c>
      <c r="G9205" s="4" t="b">
        <f t="shared" si="2"/>
        <v>1</v>
      </c>
      <c r="H9205" s="1" t="str">
        <f t="shared" si="3"/>
        <v>Currently Unavailable</v>
      </c>
      <c r="I9205" s="1" t="str">
        <f t="shared" si="4"/>
        <v>No Badges</v>
      </c>
      <c r="J9205" s="3">
        <f t="shared" si="5"/>
        <v>0</v>
      </c>
    </row>
    <row r="9206">
      <c r="A9206" s="1" t="s">
        <v>7022</v>
      </c>
      <c r="B9206" s="3" t="str">
        <f t="shared" si="1"/>
        <v>Unavailable</v>
      </c>
      <c r="C9206" s="5">
        <v>8778.0</v>
      </c>
      <c r="D9206" s="3">
        <f>IFERROR(__xludf.DUMMYFUNCTION("IFERROR(
IF(REGEXMATCH(LOWER(O9206),""k""),
VALUE(REGEXEXTRACT(O9206,""[0-9]+""))*1000,
VALUE(REGEXEXTRACT(O9206,""[0-9]+""))
),
0
)"),0.0)</f>
        <v>0</v>
      </c>
      <c r="E9206" s="1" t="s">
        <v>11</v>
      </c>
      <c r="F9206" s="1" t="s">
        <v>20</v>
      </c>
      <c r="G9206" s="4" t="b">
        <f t="shared" si="2"/>
        <v>1</v>
      </c>
      <c r="H9206" s="1" t="str">
        <f t="shared" si="3"/>
        <v>Currently Unavailable</v>
      </c>
      <c r="I9206" s="1" t="str">
        <f t="shared" si="4"/>
        <v>No Badges</v>
      </c>
      <c r="J9206" s="3">
        <f t="shared" si="5"/>
        <v>0</v>
      </c>
    </row>
    <row r="9207">
      <c r="A9207" s="1" t="s">
        <v>7023</v>
      </c>
      <c r="B9207" s="3" t="str">
        <f t="shared" si="1"/>
        <v>Unavailable</v>
      </c>
      <c r="C9207" s="3">
        <v>368.0</v>
      </c>
      <c r="D9207" s="3">
        <f>IFERROR(__xludf.DUMMYFUNCTION("IFERROR(
IF(REGEXMATCH(LOWER(O9207),""k""),
VALUE(REGEXEXTRACT(O9207,""[0-9]+""))*1000,
VALUE(REGEXEXTRACT(O9207,""[0-9]+""))
),
0
)"),0.0)</f>
        <v>0</v>
      </c>
      <c r="E9207" s="1" t="s">
        <v>11</v>
      </c>
      <c r="F9207" s="1" t="s">
        <v>20</v>
      </c>
      <c r="G9207" s="4" t="b">
        <f t="shared" si="2"/>
        <v>1</v>
      </c>
      <c r="H9207" s="1" t="str">
        <f t="shared" si="3"/>
        <v>Currently Unavailable</v>
      </c>
      <c r="I9207" s="1" t="str">
        <f t="shared" si="4"/>
        <v>No Badges</v>
      </c>
      <c r="J9207" s="3">
        <f t="shared" si="5"/>
        <v>0</v>
      </c>
    </row>
    <row r="9208">
      <c r="A9208" s="1" t="s">
        <v>7024</v>
      </c>
      <c r="B9208" s="3" t="str">
        <f t="shared" si="1"/>
        <v>Unavailable</v>
      </c>
      <c r="C9208" s="5">
        <v>5735.0</v>
      </c>
      <c r="D9208" s="3">
        <f>IFERROR(__xludf.DUMMYFUNCTION("IFERROR(
IF(REGEXMATCH(LOWER(O9208),""k""),
VALUE(REGEXEXTRACT(O9208,""[0-9]+""))*1000,
VALUE(REGEXEXTRACT(O9208,""[0-9]+""))
),
0
)"),0.0)</f>
        <v>0</v>
      </c>
      <c r="E9208" s="1" t="s">
        <v>11</v>
      </c>
      <c r="F9208" s="1" t="s">
        <v>20</v>
      </c>
      <c r="G9208" s="4" t="b">
        <f t="shared" si="2"/>
        <v>1</v>
      </c>
      <c r="H9208" s="1" t="str">
        <f t="shared" si="3"/>
        <v>Currently Unavailable</v>
      </c>
      <c r="I9208" s="1" t="str">
        <f t="shared" si="4"/>
        <v>No Badges</v>
      </c>
      <c r="J9208" s="3">
        <f t="shared" si="5"/>
        <v>0</v>
      </c>
    </row>
    <row r="9209">
      <c r="A9209" s="1" t="s">
        <v>6604</v>
      </c>
      <c r="B9209" s="3" t="str">
        <f t="shared" si="1"/>
        <v>Unavailable</v>
      </c>
      <c r="C9209" s="5">
        <v>6538.0</v>
      </c>
      <c r="D9209" s="3">
        <f>IFERROR(__xludf.DUMMYFUNCTION("IFERROR(
IF(REGEXMATCH(LOWER(O9209),""k""),
VALUE(REGEXEXTRACT(O9209,""[0-9]+""))*1000,
VALUE(REGEXEXTRACT(O9209,""[0-9]+""))
),
0
)"),0.0)</f>
        <v>0</v>
      </c>
      <c r="E9209" s="1" t="s">
        <v>11</v>
      </c>
      <c r="F9209" s="1" t="s">
        <v>12</v>
      </c>
      <c r="G9209" s="4" t="b">
        <f t="shared" si="2"/>
        <v>1</v>
      </c>
      <c r="H9209" s="1" t="str">
        <f t="shared" si="3"/>
        <v>Currently Unavailable</v>
      </c>
      <c r="I9209" s="1" t="str">
        <f t="shared" si="4"/>
        <v>No Badges</v>
      </c>
      <c r="J9209" s="3">
        <f t="shared" si="5"/>
        <v>0</v>
      </c>
    </row>
    <row r="9210">
      <c r="A9210" s="1" t="s">
        <v>7025</v>
      </c>
      <c r="B9210" s="3" t="str">
        <f t="shared" si="1"/>
        <v>Unavailable</v>
      </c>
      <c r="C9210" s="3">
        <v>389.0</v>
      </c>
      <c r="D9210" s="3">
        <f>IFERROR(__xludf.DUMMYFUNCTION("IFERROR(
IF(REGEXMATCH(LOWER(O9210),""k""),
VALUE(REGEXEXTRACT(O9210,""[0-9]+""))*1000,
VALUE(REGEXEXTRACT(O9210,""[0-9]+""))
),
0
)"),0.0)</f>
        <v>0</v>
      </c>
      <c r="E9210" s="1" t="s">
        <v>11</v>
      </c>
      <c r="F9210" s="1" t="s">
        <v>20</v>
      </c>
      <c r="G9210" s="4" t="b">
        <f t="shared" si="2"/>
        <v>1</v>
      </c>
      <c r="H9210" s="1" t="str">
        <f t="shared" si="3"/>
        <v>Currently Unavailable</v>
      </c>
      <c r="I9210" s="1" t="str">
        <f t="shared" si="4"/>
        <v>No Badges</v>
      </c>
      <c r="J9210" s="3">
        <f t="shared" si="5"/>
        <v>0</v>
      </c>
    </row>
    <row r="9211">
      <c r="A9211" s="1" t="s">
        <v>7026</v>
      </c>
      <c r="B9211" s="3" t="str">
        <f t="shared" si="1"/>
        <v>Unavailable</v>
      </c>
      <c r="C9211" s="5">
        <v>1269.0</v>
      </c>
      <c r="D9211" s="3">
        <f>IFERROR(__xludf.DUMMYFUNCTION("IFERROR(
IF(REGEXMATCH(LOWER(O9211),""k""),
VALUE(REGEXEXTRACT(O9211,""[0-9]+""))*1000,
VALUE(REGEXEXTRACT(O9211,""[0-9]+""))
),
0
)"),0.0)</f>
        <v>0</v>
      </c>
      <c r="E9211" s="1" t="s">
        <v>11</v>
      </c>
      <c r="F9211" s="1" t="s">
        <v>20</v>
      </c>
      <c r="G9211" s="4" t="b">
        <f t="shared" si="2"/>
        <v>1</v>
      </c>
      <c r="H9211" s="1" t="str">
        <f t="shared" si="3"/>
        <v>Currently Unavailable</v>
      </c>
      <c r="I9211" s="1" t="str">
        <f t="shared" si="4"/>
        <v>No Badges</v>
      </c>
      <c r="J9211" s="3">
        <f t="shared" si="5"/>
        <v>0</v>
      </c>
    </row>
    <row r="9212">
      <c r="A9212" s="1" t="s">
        <v>7010</v>
      </c>
      <c r="B9212" s="3" t="str">
        <f t="shared" si="1"/>
        <v>Unavailable</v>
      </c>
      <c r="C9212" s="5">
        <v>21433.0</v>
      </c>
      <c r="D9212" s="3">
        <f>IFERROR(__xludf.DUMMYFUNCTION("IFERROR(
IF(REGEXMATCH(LOWER(O9212),""k""),
VALUE(REGEXEXTRACT(O9212,""[0-9]+""))*1000,
VALUE(REGEXEXTRACT(O9212,""[0-9]+""))
),
0
)"),0.0)</f>
        <v>0</v>
      </c>
      <c r="E9212" s="1" t="s">
        <v>11</v>
      </c>
      <c r="F9212" s="1" t="s">
        <v>20</v>
      </c>
      <c r="G9212" s="4" t="b">
        <f t="shared" si="2"/>
        <v>1</v>
      </c>
      <c r="H9212" s="1" t="str">
        <f t="shared" si="3"/>
        <v>Currently Unavailable</v>
      </c>
      <c r="I9212" s="1" t="str">
        <f t="shared" si="4"/>
        <v>No Badges</v>
      </c>
      <c r="J9212" s="3">
        <f t="shared" si="5"/>
        <v>0</v>
      </c>
    </row>
    <row r="9213">
      <c r="A9213" s="1" t="s">
        <v>6604</v>
      </c>
      <c r="B9213" s="3" t="str">
        <f t="shared" si="1"/>
        <v>Unavailable</v>
      </c>
      <c r="C9213" s="5">
        <v>6538.0</v>
      </c>
      <c r="D9213" s="3">
        <f>IFERROR(__xludf.DUMMYFUNCTION("IFERROR(
IF(REGEXMATCH(LOWER(O9213),""k""),
VALUE(REGEXEXTRACT(O9213,""[0-9]+""))*1000,
VALUE(REGEXEXTRACT(O9213,""[0-9]+""))
),
0
)"),0.0)</f>
        <v>0</v>
      </c>
      <c r="E9213" s="1" t="s">
        <v>11</v>
      </c>
      <c r="F9213" s="1" t="s">
        <v>12</v>
      </c>
      <c r="G9213" s="4" t="b">
        <f t="shared" si="2"/>
        <v>1</v>
      </c>
      <c r="H9213" s="1" t="str">
        <f t="shared" si="3"/>
        <v>Currently Unavailable</v>
      </c>
      <c r="I9213" s="1" t="str">
        <f t="shared" si="4"/>
        <v>No Badges</v>
      </c>
      <c r="J9213" s="3">
        <f t="shared" si="5"/>
        <v>0</v>
      </c>
    </row>
    <row r="9214">
      <c r="A9214" s="1" t="s">
        <v>7027</v>
      </c>
      <c r="B9214" s="3" t="str">
        <f t="shared" si="1"/>
        <v>Unavailable</v>
      </c>
      <c r="C9214" s="5">
        <v>15176.0</v>
      </c>
      <c r="D9214" s="3">
        <f>IFERROR(__xludf.DUMMYFUNCTION("IFERROR(
IF(REGEXMATCH(LOWER(O9214),""k""),
VALUE(REGEXEXTRACT(O9214,""[0-9]+""))*1000,
VALUE(REGEXEXTRACT(O9214,""[0-9]+""))
),
0
)"),0.0)</f>
        <v>0</v>
      </c>
      <c r="E9214" s="1" t="s">
        <v>11</v>
      </c>
      <c r="F9214" s="1" t="s">
        <v>20</v>
      </c>
      <c r="G9214" s="4" t="b">
        <f t="shared" si="2"/>
        <v>1</v>
      </c>
      <c r="H9214" s="1" t="str">
        <f t="shared" si="3"/>
        <v>Currently Unavailable</v>
      </c>
      <c r="I9214" s="1" t="str">
        <f t="shared" si="4"/>
        <v>No Badges</v>
      </c>
      <c r="J9214" s="3">
        <f t="shared" si="5"/>
        <v>0</v>
      </c>
    </row>
    <row r="9215">
      <c r="A9215" s="1" t="s">
        <v>7028</v>
      </c>
      <c r="B9215" s="3" t="str">
        <f t="shared" si="1"/>
        <v>Unavailable</v>
      </c>
      <c r="C9215" s="5">
        <v>1088.0</v>
      </c>
      <c r="D9215" s="3">
        <f>IFERROR(__xludf.DUMMYFUNCTION("IFERROR(
IF(REGEXMATCH(LOWER(O9215),""k""),
VALUE(REGEXEXTRACT(O9215,""[0-9]+""))*1000,
VALUE(REGEXEXTRACT(O9215,""[0-9]+""))
),
0
)"),0.0)</f>
        <v>0</v>
      </c>
      <c r="E9215" s="1" t="s">
        <v>11</v>
      </c>
      <c r="F9215" s="1" t="s">
        <v>20</v>
      </c>
      <c r="G9215" s="4" t="b">
        <f t="shared" si="2"/>
        <v>1</v>
      </c>
      <c r="H9215" s="1" t="str">
        <f t="shared" si="3"/>
        <v>Currently Unavailable</v>
      </c>
      <c r="I9215" s="1" t="str">
        <f t="shared" si="4"/>
        <v>No Badges</v>
      </c>
      <c r="J9215" s="3">
        <f t="shared" si="5"/>
        <v>0</v>
      </c>
    </row>
    <row r="9216">
      <c r="A9216" s="1" t="s">
        <v>7029</v>
      </c>
      <c r="B9216" s="3" t="str">
        <f t="shared" si="1"/>
        <v>Unavailable</v>
      </c>
      <c r="C9216" s="5">
        <v>3055.0</v>
      </c>
      <c r="D9216" s="3">
        <f>IFERROR(__xludf.DUMMYFUNCTION("IFERROR(
IF(REGEXMATCH(LOWER(O9216),""k""),
VALUE(REGEXEXTRACT(O9216,""[0-9]+""))*1000,
VALUE(REGEXEXTRACT(O9216,""[0-9]+""))
),
0
)"),0.0)</f>
        <v>0</v>
      </c>
      <c r="E9216" s="1" t="s">
        <v>11</v>
      </c>
      <c r="F9216" s="1" t="s">
        <v>20</v>
      </c>
      <c r="G9216" s="4" t="b">
        <f t="shared" si="2"/>
        <v>1</v>
      </c>
      <c r="H9216" s="1" t="str">
        <f t="shared" si="3"/>
        <v>Currently Unavailable</v>
      </c>
      <c r="I9216" s="1" t="str">
        <f t="shared" si="4"/>
        <v>No Badges</v>
      </c>
      <c r="J9216" s="3">
        <f t="shared" si="5"/>
        <v>0</v>
      </c>
    </row>
    <row r="9217">
      <c r="A9217" s="1" t="s">
        <v>7030</v>
      </c>
      <c r="B9217" s="3" t="str">
        <f t="shared" si="1"/>
        <v>Unavailable</v>
      </c>
      <c r="C9217" s="5">
        <v>21425.0</v>
      </c>
      <c r="D9217" s="3">
        <f>IFERROR(__xludf.DUMMYFUNCTION("IFERROR(
IF(REGEXMATCH(LOWER(O9217),""k""),
VALUE(REGEXEXTRACT(O9217,""[0-9]+""))*1000,
VALUE(REGEXEXTRACT(O9217,""[0-9]+""))
),
0
)"),0.0)</f>
        <v>0</v>
      </c>
      <c r="E9217" s="1" t="s">
        <v>11</v>
      </c>
      <c r="F9217" s="1" t="s">
        <v>20</v>
      </c>
      <c r="G9217" s="4" t="b">
        <f t="shared" si="2"/>
        <v>1</v>
      </c>
      <c r="H9217" s="1" t="str">
        <f t="shared" si="3"/>
        <v>Currently Unavailable</v>
      </c>
      <c r="I9217" s="1" t="str">
        <f t="shared" si="4"/>
        <v>No Badges</v>
      </c>
      <c r="J9217" s="3">
        <f t="shared" si="5"/>
        <v>0</v>
      </c>
    </row>
    <row r="9218">
      <c r="A9218" s="1" t="s">
        <v>7031</v>
      </c>
      <c r="B9218" s="3" t="str">
        <f t="shared" si="1"/>
        <v>Unavailable</v>
      </c>
      <c r="C9218" s="5">
        <v>2265.0</v>
      </c>
      <c r="D9218" s="3">
        <f>IFERROR(__xludf.DUMMYFUNCTION("IFERROR(
IF(REGEXMATCH(LOWER(O9218),""k""),
VALUE(REGEXEXTRACT(O9218,""[0-9]+""))*1000,
VALUE(REGEXEXTRACT(O9218,""[0-9]+""))
),
0
)"),0.0)</f>
        <v>0</v>
      </c>
      <c r="E9218" s="1" t="s">
        <v>11</v>
      </c>
      <c r="F9218" s="1" t="s">
        <v>20</v>
      </c>
      <c r="G9218" s="4" t="b">
        <f t="shared" si="2"/>
        <v>1</v>
      </c>
      <c r="H9218" s="1" t="str">
        <f t="shared" si="3"/>
        <v>Currently Unavailable</v>
      </c>
      <c r="I9218" s="1" t="str">
        <f t="shared" si="4"/>
        <v>No Badges</v>
      </c>
      <c r="J9218" s="3">
        <f t="shared" si="5"/>
        <v>0</v>
      </c>
    </row>
    <row r="9219">
      <c r="A9219" s="1" t="s">
        <v>7032</v>
      </c>
      <c r="B9219" s="3" t="str">
        <f t="shared" si="1"/>
        <v>Unavailable</v>
      </c>
      <c r="C9219" s="3">
        <v>681.0</v>
      </c>
      <c r="D9219" s="3">
        <f>IFERROR(__xludf.DUMMYFUNCTION("IFERROR(
IF(REGEXMATCH(LOWER(O9219),""k""),
VALUE(REGEXEXTRACT(O9219,""[0-9]+""))*1000,
VALUE(REGEXEXTRACT(O9219,""[0-9]+""))
),
0
)"),0.0)</f>
        <v>0</v>
      </c>
      <c r="E9219" s="1" t="s">
        <v>11</v>
      </c>
      <c r="F9219" s="1" t="s">
        <v>20</v>
      </c>
      <c r="G9219" s="4" t="b">
        <f t="shared" si="2"/>
        <v>1</v>
      </c>
      <c r="H9219" s="1" t="str">
        <f t="shared" si="3"/>
        <v>Currently Unavailable</v>
      </c>
      <c r="I9219" s="1" t="str">
        <f t="shared" si="4"/>
        <v>No Badges</v>
      </c>
      <c r="J9219" s="3">
        <f t="shared" si="5"/>
        <v>0</v>
      </c>
    </row>
    <row r="9220">
      <c r="A9220" s="1" t="s">
        <v>7033</v>
      </c>
      <c r="B9220" s="3" t="str">
        <f t="shared" si="1"/>
        <v>Unavailable</v>
      </c>
      <c r="C9220" s="3">
        <v>368.0</v>
      </c>
      <c r="D9220" s="3">
        <f>IFERROR(__xludf.DUMMYFUNCTION("IFERROR(
IF(REGEXMATCH(LOWER(O9220),""k""),
VALUE(REGEXEXTRACT(O9220,""[0-9]+""))*1000,
VALUE(REGEXEXTRACT(O9220,""[0-9]+""))
),
0
)"),0.0)</f>
        <v>0</v>
      </c>
      <c r="E9220" s="1" t="s">
        <v>11</v>
      </c>
      <c r="F9220" s="1" t="s">
        <v>20</v>
      </c>
      <c r="G9220" s="4" t="b">
        <f t="shared" si="2"/>
        <v>1</v>
      </c>
      <c r="H9220" s="1" t="str">
        <f t="shared" si="3"/>
        <v>Currently Unavailable</v>
      </c>
      <c r="I9220" s="1" t="str">
        <f t="shared" si="4"/>
        <v>No Badges</v>
      </c>
      <c r="J9220" s="3">
        <f t="shared" si="5"/>
        <v>0</v>
      </c>
    </row>
    <row r="9221">
      <c r="A9221" s="1" t="s">
        <v>7034</v>
      </c>
      <c r="B9221" s="3" t="str">
        <f t="shared" si="1"/>
        <v>Unavailable</v>
      </c>
      <c r="C9221" s="5">
        <v>1952.0</v>
      </c>
      <c r="D9221" s="3">
        <f>IFERROR(__xludf.DUMMYFUNCTION("IFERROR(
IF(REGEXMATCH(LOWER(O9221),""k""),
VALUE(REGEXEXTRACT(O9221,""[0-9]+""))*1000,
VALUE(REGEXEXTRACT(O9221,""[0-9]+""))
),
0
)"),0.0)</f>
        <v>0</v>
      </c>
      <c r="E9221" s="1" t="s">
        <v>11</v>
      </c>
      <c r="F9221" s="1" t="s">
        <v>20</v>
      </c>
      <c r="G9221" s="4" t="b">
        <f t="shared" si="2"/>
        <v>1</v>
      </c>
      <c r="H9221" s="1" t="str">
        <f t="shared" si="3"/>
        <v>Currently Unavailable</v>
      </c>
      <c r="I9221" s="1" t="str">
        <f t="shared" si="4"/>
        <v>No Badges</v>
      </c>
      <c r="J9221" s="3">
        <f t="shared" si="5"/>
        <v>0</v>
      </c>
    </row>
    <row r="9222">
      <c r="A9222" s="1" t="s">
        <v>6698</v>
      </c>
      <c r="B9222" s="3" t="str">
        <f t="shared" si="1"/>
        <v>Unavailable</v>
      </c>
      <c r="C9222" s="3">
        <v>6.0</v>
      </c>
      <c r="D9222" s="3">
        <f>IFERROR(__xludf.DUMMYFUNCTION("IFERROR(
IF(REGEXMATCH(LOWER(O9222),""k""),
VALUE(REGEXEXTRACT(O9222,""[0-9]+""))*1000,
VALUE(REGEXEXTRACT(O9222,""[0-9]+""))
),
0
)"),0.0)</f>
        <v>0</v>
      </c>
      <c r="E9222" s="1" t="s">
        <v>11</v>
      </c>
      <c r="F9222" s="1" t="s">
        <v>12</v>
      </c>
      <c r="G9222" s="4" t="b">
        <f t="shared" si="2"/>
        <v>1</v>
      </c>
      <c r="H9222" s="1" t="str">
        <f t="shared" si="3"/>
        <v>Currently Unavailable</v>
      </c>
      <c r="I9222" s="1" t="str">
        <f t="shared" si="4"/>
        <v>No Badges</v>
      </c>
      <c r="J9222" s="3">
        <f t="shared" si="5"/>
        <v>0</v>
      </c>
    </row>
    <row r="9223">
      <c r="A9223" s="1" t="s">
        <v>6699</v>
      </c>
      <c r="B9223" s="3" t="str">
        <f t="shared" si="1"/>
        <v>Unavailable</v>
      </c>
      <c r="C9223" s="3">
        <v>1.0</v>
      </c>
      <c r="D9223" s="3">
        <f>IFERROR(__xludf.DUMMYFUNCTION("IFERROR(
IF(REGEXMATCH(LOWER(O9223),""k""),
VALUE(REGEXEXTRACT(O9223,""[0-9]+""))*1000,
VALUE(REGEXEXTRACT(O9223,""[0-9]+""))
),
0
)"),0.0)</f>
        <v>0</v>
      </c>
      <c r="E9223" s="1" t="s">
        <v>11</v>
      </c>
      <c r="F9223" s="1" t="s">
        <v>12</v>
      </c>
      <c r="G9223" s="4" t="b">
        <f t="shared" si="2"/>
        <v>1</v>
      </c>
      <c r="H9223" s="1" t="str">
        <f t="shared" si="3"/>
        <v>Currently Unavailable</v>
      </c>
      <c r="I9223" s="1" t="str">
        <f t="shared" si="4"/>
        <v>No Badges</v>
      </c>
      <c r="J9223" s="3">
        <f t="shared" si="5"/>
        <v>0</v>
      </c>
    </row>
    <row r="9224">
      <c r="A9224" s="1" t="s">
        <v>6604</v>
      </c>
      <c r="B9224" s="3" t="str">
        <f t="shared" si="1"/>
        <v>Unavailable</v>
      </c>
      <c r="C9224" s="5">
        <v>6538.0</v>
      </c>
      <c r="D9224" s="3">
        <f>IFERROR(__xludf.DUMMYFUNCTION("IFERROR(
IF(REGEXMATCH(LOWER(O9224),""k""),
VALUE(REGEXEXTRACT(O9224,""[0-9]+""))*1000,
VALUE(REGEXEXTRACT(O9224,""[0-9]+""))
),
0
)"),0.0)</f>
        <v>0</v>
      </c>
      <c r="E9224" s="1" t="s">
        <v>11</v>
      </c>
      <c r="F9224" s="1" t="s">
        <v>12</v>
      </c>
      <c r="G9224" s="4" t="b">
        <f t="shared" si="2"/>
        <v>1</v>
      </c>
      <c r="H9224" s="1" t="str">
        <f t="shared" si="3"/>
        <v>Currently Unavailable</v>
      </c>
      <c r="I9224" s="1" t="str">
        <f t="shared" si="4"/>
        <v>No Badges</v>
      </c>
      <c r="J9224" s="3">
        <f t="shared" si="5"/>
        <v>0</v>
      </c>
    </row>
    <row r="9225">
      <c r="A9225" s="1" t="s">
        <v>7035</v>
      </c>
      <c r="B9225" s="3" t="str">
        <f t="shared" si="1"/>
        <v>Unavailable</v>
      </c>
      <c r="C9225" s="5">
        <v>1425.0</v>
      </c>
      <c r="D9225" s="3">
        <f>IFERROR(__xludf.DUMMYFUNCTION("IFERROR(
IF(REGEXMATCH(LOWER(O9225),""k""),
VALUE(REGEXEXTRACT(O9225,""[0-9]+""))*1000,
VALUE(REGEXEXTRACT(O9225,""[0-9]+""))
),
0
)"),0.0)</f>
        <v>0</v>
      </c>
      <c r="E9225" s="1" t="s">
        <v>11</v>
      </c>
      <c r="F9225" s="1" t="s">
        <v>20</v>
      </c>
      <c r="G9225" s="4" t="b">
        <f t="shared" si="2"/>
        <v>1</v>
      </c>
      <c r="H9225" s="1" t="str">
        <f t="shared" si="3"/>
        <v>Currently Unavailable</v>
      </c>
      <c r="I9225" s="1" t="str">
        <f t="shared" si="4"/>
        <v>No Badges</v>
      </c>
      <c r="J9225" s="3">
        <f t="shared" si="5"/>
        <v>0</v>
      </c>
    </row>
    <row r="9226">
      <c r="A9226" s="1" t="s">
        <v>7036</v>
      </c>
      <c r="B9226" s="3" t="str">
        <f t="shared" si="1"/>
        <v>Unavailable</v>
      </c>
      <c r="C9226" s="3">
        <v>49.0</v>
      </c>
      <c r="D9226" s="3">
        <f>IFERROR(__xludf.DUMMYFUNCTION("IFERROR(
IF(REGEXMATCH(LOWER(O9226),""k""),
VALUE(REGEXEXTRACT(O9226,""[0-9]+""))*1000,
VALUE(REGEXEXTRACT(O9226,""[0-9]+""))
),
0
)"),0.0)</f>
        <v>0</v>
      </c>
      <c r="E9226" s="1" t="s">
        <v>11</v>
      </c>
      <c r="F9226" s="1" t="s">
        <v>20</v>
      </c>
      <c r="G9226" s="4" t="b">
        <f t="shared" si="2"/>
        <v>1</v>
      </c>
      <c r="H9226" s="1" t="str">
        <f t="shared" si="3"/>
        <v>Currently Unavailable</v>
      </c>
      <c r="I9226" s="1" t="str">
        <f t="shared" si="4"/>
        <v>No Badges</v>
      </c>
      <c r="J9226" s="3">
        <f t="shared" si="5"/>
        <v>0</v>
      </c>
    </row>
    <row r="9227">
      <c r="A9227" s="1" t="s">
        <v>7037</v>
      </c>
      <c r="B9227" s="3" t="str">
        <f t="shared" si="1"/>
        <v>Unavailable</v>
      </c>
      <c r="C9227" s="3">
        <v>132.0</v>
      </c>
      <c r="D9227" s="3">
        <f>IFERROR(__xludf.DUMMYFUNCTION("IFERROR(
IF(REGEXMATCH(LOWER(O9227),""k""),
VALUE(REGEXEXTRACT(O9227,""[0-9]+""))*1000,
VALUE(REGEXEXTRACT(O9227,""[0-9]+""))
),
0
)"),0.0)</f>
        <v>0</v>
      </c>
      <c r="E9227" s="1" t="s">
        <v>11</v>
      </c>
      <c r="F9227" s="1" t="s">
        <v>20</v>
      </c>
      <c r="G9227" s="4" t="b">
        <f t="shared" si="2"/>
        <v>1</v>
      </c>
      <c r="H9227" s="1" t="str">
        <f t="shared" si="3"/>
        <v>Currently Unavailable</v>
      </c>
      <c r="I9227" s="1" t="str">
        <f t="shared" si="4"/>
        <v>No Badges</v>
      </c>
      <c r="J9227" s="3">
        <f t="shared" si="5"/>
        <v>0</v>
      </c>
    </row>
    <row r="9228">
      <c r="A9228" s="1" t="s">
        <v>6604</v>
      </c>
      <c r="B9228" s="3" t="str">
        <f t="shared" si="1"/>
        <v>Unavailable</v>
      </c>
      <c r="C9228" s="5">
        <v>6538.0</v>
      </c>
      <c r="D9228" s="3">
        <f>IFERROR(__xludf.DUMMYFUNCTION("IFERROR(
IF(REGEXMATCH(LOWER(O9228),""k""),
VALUE(REGEXEXTRACT(O9228,""[0-9]+""))*1000,
VALUE(REGEXEXTRACT(O9228,""[0-9]+""))
),
0
)"),0.0)</f>
        <v>0</v>
      </c>
      <c r="E9228" s="1" t="s">
        <v>11</v>
      </c>
      <c r="F9228" s="1" t="s">
        <v>12</v>
      </c>
      <c r="G9228" s="4" t="b">
        <f t="shared" si="2"/>
        <v>1</v>
      </c>
      <c r="H9228" s="1" t="str">
        <f t="shared" si="3"/>
        <v>Currently Unavailable</v>
      </c>
      <c r="I9228" s="1" t="str">
        <f t="shared" si="4"/>
        <v>No Badges</v>
      </c>
      <c r="J9228" s="3">
        <f t="shared" si="5"/>
        <v>0</v>
      </c>
    </row>
    <row r="9229">
      <c r="A9229" s="1" t="s">
        <v>7038</v>
      </c>
      <c r="B9229" s="3" t="str">
        <f t="shared" si="1"/>
        <v>Unavailable</v>
      </c>
      <c r="C9229" s="5">
        <v>3142.0</v>
      </c>
      <c r="D9229" s="3">
        <f>IFERROR(__xludf.DUMMYFUNCTION("IFERROR(
IF(REGEXMATCH(LOWER(O9229),""k""),
VALUE(REGEXEXTRACT(O9229,""[0-9]+""))*1000,
VALUE(REGEXEXTRACT(O9229,""[0-9]+""))
),
0
)"),0.0)</f>
        <v>0</v>
      </c>
      <c r="E9229" s="1" t="s">
        <v>11</v>
      </c>
      <c r="F9229" s="1" t="s">
        <v>20</v>
      </c>
      <c r="G9229" s="4" t="b">
        <f t="shared" si="2"/>
        <v>1</v>
      </c>
      <c r="H9229" s="1" t="str">
        <f t="shared" si="3"/>
        <v>Currently Unavailable</v>
      </c>
      <c r="I9229" s="1" t="str">
        <f t="shared" si="4"/>
        <v>No Badges</v>
      </c>
      <c r="J9229" s="3">
        <f t="shared" si="5"/>
        <v>0</v>
      </c>
    </row>
    <row r="9230">
      <c r="A9230" s="1" t="s">
        <v>7039</v>
      </c>
      <c r="B9230" s="3" t="str">
        <f t="shared" si="1"/>
        <v>Unavailable</v>
      </c>
      <c r="C9230" s="5">
        <v>9543.0</v>
      </c>
      <c r="D9230" s="3">
        <f>IFERROR(__xludf.DUMMYFUNCTION("IFERROR(
IF(REGEXMATCH(LOWER(O9230),""k""),
VALUE(REGEXEXTRACT(O9230,""[0-9]+""))*1000,
VALUE(REGEXEXTRACT(O9230,""[0-9]+""))
),
0
)"),0.0)</f>
        <v>0</v>
      </c>
      <c r="E9230" s="1" t="s">
        <v>11</v>
      </c>
      <c r="F9230" s="1" t="s">
        <v>20</v>
      </c>
      <c r="G9230" s="4" t="b">
        <f t="shared" si="2"/>
        <v>1</v>
      </c>
      <c r="H9230" s="1" t="str">
        <f t="shared" si="3"/>
        <v>Currently Unavailable</v>
      </c>
      <c r="I9230" s="1" t="str">
        <f t="shared" si="4"/>
        <v>No Badges</v>
      </c>
      <c r="J9230" s="3">
        <f t="shared" si="5"/>
        <v>0</v>
      </c>
    </row>
    <row r="9231">
      <c r="A9231" s="1" t="s">
        <v>6604</v>
      </c>
      <c r="B9231" s="3" t="str">
        <f t="shared" si="1"/>
        <v>Unavailable</v>
      </c>
      <c r="C9231" s="5">
        <v>6538.0</v>
      </c>
      <c r="D9231" s="3">
        <f>IFERROR(__xludf.DUMMYFUNCTION("IFERROR(
IF(REGEXMATCH(LOWER(O9231),""k""),
VALUE(REGEXEXTRACT(O9231,""[0-9]+""))*1000,
VALUE(REGEXEXTRACT(O9231,""[0-9]+""))
),
0
)"),0.0)</f>
        <v>0</v>
      </c>
      <c r="E9231" s="1" t="s">
        <v>11</v>
      </c>
      <c r="F9231" s="1" t="s">
        <v>12</v>
      </c>
      <c r="G9231" s="4" t="b">
        <f t="shared" si="2"/>
        <v>1</v>
      </c>
      <c r="H9231" s="1" t="str">
        <f t="shared" si="3"/>
        <v>Currently Unavailable</v>
      </c>
      <c r="I9231" s="1" t="str">
        <f t="shared" si="4"/>
        <v>No Badges</v>
      </c>
      <c r="J9231" s="3">
        <f t="shared" si="5"/>
        <v>0</v>
      </c>
    </row>
    <row r="9232">
      <c r="A9232" s="1" t="s">
        <v>6604</v>
      </c>
      <c r="B9232" s="3" t="str">
        <f t="shared" si="1"/>
        <v>Unavailable</v>
      </c>
      <c r="C9232" s="5">
        <v>6538.0</v>
      </c>
      <c r="D9232" s="3">
        <f>IFERROR(__xludf.DUMMYFUNCTION("IFERROR(
IF(REGEXMATCH(LOWER(O9232),""k""),
VALUE(REGEXEXTRACT(O9232,""[0-9]+""))*1000,
VALUE(REGEXEXTRACT(O9232,""[0-9]+""))
),
0
)"),0.0)</f>
        <v>0</v>
      </c>
      <c r="E9232" s="1" t="s">
        <v>11</v>
      </c>
      <c r="F9232" s="1" t="s">
        <v>12</v>
      </c>
      <c r="G9232" s="4" t="b">
        <f t="shared" si="2"/>
        <v>1</v>
      </c>
      <c r="H9232" s="1" t="str">
        <f t="shared" si="3"/>
        <v>Currently Unavailable</v>
      </c>
      <c r="I9232" s="1" t="str">
        <f t="shared" si="4"/>
        <v>No Badges</v>
      </c>
      <c r="J9232" s="3">
        <f t="shared" si="5"/>
        <v>0</v>
      </c>
    </row>
    <row r="9233">
      <c r="A9233" s="1" t="s">
        <v>7040</v>
      </c>
      <c r="B9233" s="3" t="str">
        <f t="shared" si="1"/>
        <v>Unavailable</v>
      </c>
      <c r="C9233" s="3">
        <v>9.0</v>
      </c>
      <c r="D9233" s="3">
        <f>IFERROR(__xludf.DUMMYFUNCTION("IFERROR(
IF(REGEXMATCH(LOWER(O9233),""k""),
VALUE(REGEXEXTRACT(O9233,""[0-9]+""))*1000,
VALUE(REGEXEXTRACT(O9233,""[0-9]+""))
),
0
)"),0.0)</f>
        <v>0</v>
      </c>
      <c r="E9233" s="1" t="s">
        <v>11</v>
      </c>
      <c r="F9233" s="1" t="s">
        <v>20</v>
      </c>
      <c r="G9233" s="4" t="b">
        <f t="shared" si="2"/>
        <v>1</v>
      </c>
      <c r="H9233" s="1" t="str">
        <f t="shared" si="3"/>
        <v>Currently Unavailable</v>
      </c>
      <c r="I9233" s="1" t="str">
        <f t="shared" si="4"/>
        <v>No Badges</v>
      </c>
      <c r="J9233" s="6">
        <f t="shared" si="5"/>
        <v>0</v>
      </c>
    </row>
    <row r="9234">
      <c r="A9234" s="1" t="s">
        <v>7011</v>
      </c>
      <c r="B9234" s="3" t="str">
        <f t="shared" si="1"/>
        <v>Unavailable</v>
      </c>
      <c r="C9234" s="3">
        <v>693.0</v>
      </c>
      <c r="D9234" s="3">
        <f>IFERROR(__xludf.DUMMYFUNCTION("IFERROR(
IF(REGEXMATCH(LOWER(O9234),""k""),
VALUE(REGEXEXTRACT(O9234,""[0-9]+""))*1000,
VALUE(REGEXEXTRACT(O9234,""[0-9]+""))
),
0
)"),0.0)</f>
        <v>0</v>
      </c>
      <c r="E9234" s="1" t="s">
        <v>11</v>
      </c>
      <c r="F9234" s="1" t="s">
        <v>20</v>
      </c>
      <c r="G9234" s="4" t="b">
        <f t="shared" si="2"/>
        <v>1</v>
      </c>
      <c r="H9234" s="1" t="str">
        <f t="shared" si="3"/>
        <v>Currently Unavailable</v>
      </c>
      <c r="I9234" s="1" t="str">
        <f t="shared" si="4"/>
        <v>No Badges</v>
      </c>
      <c r="J9234" s="3">
        <f t="shared" si="5"/>
        <v>0</v>
      </c>
    </row>
    <row r="9235">
      <c r="A9235" s="1" t="s">
        <v>7012</v>
      </c>
      <c r="B9235" s="3" t="str">
        <f t="shared" si="1"/>
        <v>Unavailable</v>
      </c>
      <c r="C9235" s="5">
        <v>1527.0</v>
      </c>
      <c r="D9235" s="3">
        <f>IFERROR(__xludf.DUMMYFUNCTION("IFERROR(
IF(REGEXMATCH(LOWER(O9235),""k""),
VALUE(REGEXEXTRACT(O9235,""[0-9]+""))*1000,
VALUE(REGEXEXTRACT(O9235,""[0-9]+""))
),
0
)"),0.0)</f>
        <v>0</v>
      </c>
      <c r="E9235" s="1" t="s">
        <v>11</v>
      </c>
      <c r="F9235" s="1" t="s">
        <v>20</v>
      </c>
      <c r="G9235" s="4" t="b">
        <f t="shared" si="2"/>
        <v>1</v>
      </c>
      <c r="H9235" s="1" t="str">
        <f t="shared" si="3"/>
        <v>Currently Unavailable</v>
      </c>
      <c r="I9235" s="1" t="str">
        <f t="shared" si="4"/>
        <v>No Badges</v>
      </c>
      <c r="J9235" s="3">
        <f t="shared" si="5"/>
        <v>0</v>
      </c>
    </row>
    <row r="9236">
      <c r="A9236" s="1" t="s">
        <v>6711</v>
      </c>
      <c r="B9236" s="3" t="str">
        <f t="shared" si="1"/>
        <v>Unavailable</v>
      </c>
      <c r="C9236" s="3">
        <v>259.0</v>
      </c>
      <c r="D9236" s="3">
        <f>IFERROR(__xludf.DUMMYFUNCTION("IFERROR(
IF(REGEXMATCH(LOWER(O9236),""k""),
VALUE(REGEXEXTRACT(O9236,""[0-9]+""))*1000,
VALUE(REGEXEXTRACT(O9236,""[0-9]+""))
),
0
)"),0.0)</f>
        <v>0</v>
      </c>
      <c r="E9236" s="1" t="s">
        <v>11</v>
      </c>
      <c r="F9236" s="1" t="s">
        <v>12</v>
      </c>
      <c r="G9236" s="4" t="b">
        <f t="shared" si="2"/>
        <v>1</v>
      </c>
      <c r="H9236" s="1" t="str">
        <f t="shared" si="3"/>
        <v>Currently Unavailable</v>
      </c>
      <c r="I9236" s="1" t="str">
        <f t="shared" si="4"/>
        <v>No Badges</v>
      </c>
      <c r="J9236" s="3">
        <f t="shared" si="5"/>
        <v>0</v>
      </c>
    </row>
    <row r="9237">
      <c r="A9237" s="1" t="s">
        <v>88</v>
      </c>
      <c r="B9237" s="3" t="str">
        <f t="shared" si="1"/>
        <v>Unavailable</v>
      </c>
      <c r="C9237" s="3">
        <v>6.0</v>
      </c>
      <c r="D9237" s="3">
        <f>IFERROR(__xludf.DUMMYFUNCTION("IFERROR(
IF(REGEXMATCH(LOWER(O9237),""k""),
VALUE(REGEXEXTRACT(O9237,""[0-9]+""))*1000,
VALUE(REGEXEXTRACT(O9237,""[0-9]+""))
),
0
)"),0.0)</f>
        <v>0</v>
      </c>
      <c r="E9237" s="1" t="s">
        <v>11</v>
      </c>
      <c r="F9237" s="1" t="s">
        <v>12</v>
      </c>
      <c r="G9237" s="4" t="b">
        <f t="shared" si="2"/>
        <v>1</v>
      </c>
      <c r="H9237" s="1" t="str">
        <f t="shared" si="3"/>
        <v>Currently Unavailable</v>
      </c>
      <c r="I9237" s="1" t="str">
        <f t="shared" si="4"/>
        <v>No Badges</v>
      </c>
      <c r="J9237" s="3">
        <f t="shared" si="5"/>
        <v>0</v>
      </c>
    </row>
    <row r="9238">
      <c r="A9238" s="1" t="s">
        <v>6661</v>
      </c>
      <c r="B9238" s="3" t="str">
        <f t="shared" si="1"/>
        <v>Unavailable</v>
      </c>
      <c r="C9238" s="3">
        <v>24.0</v>
      </c>
      <c r="D9238" s="3">
        <f>IFERROR(__xludf.DUMMYFUNCTION("IFERROR(
IF(REGEXMATCH(LOWER(O9238),""k""),
VALUE(REGEXEXTRACT(O9238,""[0-9]+""))*1000,
VALUE(REGEXEXTRACT(O9238,""[0-9]+""))
),
0
)"),0.0)</f>
        <v>0</v>
      </c>
      <c r="E9238" s="1" t="s">
        <v>11</v>
      </c>
      <c r="F9238" s="1" t="s">
        <v>12</v>
      </c>
      <c r="G9238" s="4" t="b">
        <f t="shared" si="2"/>
        <v>1</v>
      </c>
      <c r="H9238" s="1" t="str">
        <f t="shared" si="3"/>
        <v>Currently Unavailable</v>
      </c>
      <c r="I9238" s="1" t="str">
        <f t="shared" si="4"/>
        <v>No Badges</v>
      </c>
      <c r="J9238" s="3">
        <f t="shared" si="5"/>
        <v>0</v>
      </c>
    </row>
    <row r="9239">
      <c r="A9239" s="1" t="s">
        <v>7041</v>
      </c>
      <c r="B9239" s="3" t="str">
        <f t="shared" si="1"/>
        <v>Unavailable</v>
      </c>
      <c r="C9239" s="3">
        <v>19.0</v>
      </c>
      <c r="D9239" s="3">
        <f>IFERROR(__xludf.DUMMYFUNCTION("IFERROR(
IF(REGEXMATCH(LOWER(O9239),""k""),
VALUE(REGEXEXTRACT(O9239,""[0-9]+""))*1000,
VALUE(REGEXEXTRACT(O9239,""[0-9]+""))
),
0
)"),0.0)</f>
        <v>0</v>
      </c>
      <c r="E9239" s="1" t="s">
        <v>11</v>
      </c>
      <c r="F9239" s="1" t="s">
        <v>20</v>
      </c>
      <c r="G9239" s="4" t="b">
        <f t="shared" si="2"/>
        <v>1</v>
      </c>
      <c r="H9239" s="1" t="str">
        <f t="shared" si="3"/>
        <v>Currently Unavailable</v>
      </c>
      <c r="I9239" s="1" t="str">
        <f t="shared" si="4"/>
        <v>No Badges</v>
      </c>
      <c r="J9239" s="3">
        <f t="shared" si="5"/>
        <v>0</v>
      </c>
    </row>
    <row r="9240">
      <c r="A9240" s="1" t="s">
        <v>7042</v>
      </c>
      <c r="B9240" s="3" t="str">
        <f t="shared" si="1"/>
        <v>Unavailable</v>
      </c>
      <c r="C9240" s="5">
        <v>4346.0</v>
      </c>
      <c r="D9240" s="3">
        <f>IFERROR(__xludf.DUMMYFUNCTION("IFERROR(
IF(REGEXMATCH(LOWER(O9240),""k""),
VALUE(REGEXEXTRACT(O9240,""[0-9]+""))*1000,
VALUE(REGEXEXTRACT(O9240,""[0-9]+""))
),
0
)"),0.0)</f>
        <v>0</v>
      </c>
      <c r="E9240" s="1" t="s">
        <v>11</v>
      </c>
      <c r="F9240" s="1" t="s">
        <v>20</v>
      </c>
      <c r="G9240" s="4" t="b">
        <f t="shared" si="2"/>
        <v>1</v>
      </c>
      <c r="H9240" s="1" t="str">
        <f t="shared" si="3"/>
        <v>Currently Unavailable</v>
      </c>
      <c r="I9240" s="1" t="str">
        <f t="shared" si="4"/>
        <v>No Badges</v>
      </c>
      <c r="J9240" s="3">
        <f t="shared" si="5"/>
        <v>0</v>
      </c>
    </row>
    <row r="9241">
      <c r="A9241" s="1" t="s">
        <v>7043</v>
      </c>
      <c r="B9241" s="3" t="str">
        <f t="shared" si="1"/>
        <v>Unavailable</v>
      </c>
      <c r="C9241" s="5">
        <v>2983.0</v>
      </c>
      <c r="D9241" s="3">
        <f>IFERROR(__xludf.DUMMYFUNCTION("IFERROR(
IF(REGEXMATCH(LOWER(O9241),""k""),
VALUE(REGEXEXTRACT(O9241,""[0-9]+""))*1000,
VALUE(REGEXEXTRACT(O9241,""[0-9]+""))
),
0
)"),0.0)</f>
        <v>0</v>
      </c>
      <c r="E9241" s="1" t="s">
        <v>11</v>
      </c>
      <c r="F9241" s="1" t="s">
        <v>20</v>
      </c>
      <c r="G9241" s="4" t="b">
        <f t="shared" si="2"/>
        <v>1</v>
      </c>
      <c r="H9241" s="1" t="str">
        <f t="shared" si="3"/>
        <v>Currently Unavailable</v>
      </c>
      <c r="I9241" s="1" t="str">
        <f t="shared" si="4"/>
        <v>No Badges</v>
      </c>
      <c r="J9241" s="3">
        <f t="shared" si="5"/>
        <v>0</v>
      </c>
    </row>
    <row r="9242">
      <c r="A9242" s="1" t="s">
        <v>6980</v>
      </c>
      <c r="B9242" s="3" t="str">
        <f t="shared" si="1"/>
        <v>Unavailable</v>
      </c>
      <c r="C9242" s="5">
        <v>2708.0</v>
      </c>
      <c r="D9242" s="3">
        <f>IFERROR(__xludf.DUMMYFUNCTION("IFERROR(
IF(REGEXMATCH(LOWER(O9242),""k""),
VALUE(REGEXEXTRACT(O9242,""[0-9]+""))*1000,
VALUE(REGEXEXTRACT(O9242,""[0-9]+""))
),
0
)"),0.0)</f>
        <v>0</v>
      </c>
      <c r="E9242" s="1" t="s">
        <v>11</v>
      </c>
      <c r="F9242" s="1" t="s">
        <v>20</v>
      </c>
      <c r="G9242" s="4" t="b">
        <f t="shared" si="2"/>
        <v>1</v>
      </c>
      <c r="H9242" s="1" t="str">
        <f t="shared" si="3"/>
        <v>Currently Unavailable</v>
      </c>
      <c r="I9242" s="1" t="str">
        <f t="shared" si="4"/>
        <v>No Badges</v>
      </c>
      <c r="J9242" s="3">
        <f t="shared" si="5"/>
        <v>0</v>
      </c>
    </row>
    <row r="9243">
      <c r="A9243" s="1" t="s">
        <v>7020</v>
      </c>
      <c r="B9243" s="3" t="str">
        <f t="shared" si="1"/>
        <v>Unavailable</v>
      </c>
      <c r="C9243" s="3">
        <v>233.0</v>
      </c>
      <c r="D9243" s="3">
        <f>IFERROR(__xludf.DUMMYFUNCTION("IFERROR(
IF(REGEXMATCH(LOWER(O9243),""k""),
VALUE(REGEXEXTRACT(O9243,""[0-9]+""))*1000,
VALUE(REGEXEXTRACT(O9243,""[0-9]+""))
),
0
)"),0.0)</f>
        <v>0</v>
      </c>
      <c r="E9243" s="1" t="s">
        <v>11</v>
      </c>
      <c r="F9243" s="1" t="s">
        <v>20</v>
      </c>
      <c r="G9243" s="4" t="b">
        <f t="shared" si="2"/>
        <v>1</v>
      </c>
      <c r="H9243" s="1" t="str">
        <f t="shared" si="3"/>
        <v>Currently Unavailable</v>
      </c>
      <c r="I9243" s="1" t="str">
        <f t="shared" si="4"/>
        <v>No Badges</v>
      </c>
      <c r="J9243" s="3">
        <f t="shared" si="5"/>
        <v>0</v>
      </c>
    </row>
    <row r="9244">
      <c r="A9244" s="1" t="s">
        <v>7044</v>
      </c>
      <c r="B9244" s="3" t="str">
        <f t="shared" si="1"/>
        <v>Unavailable</v>
      </c>
      <c r="C9244" s="3">
        <v>767.0</v>
      </c>
      <c r="D9244" s="3">
        <f>IFERROR(__xludf.DUMMYFUNCTION("IFERROR(
IF(REGEXMATCH(LOWER(O9244),""k""),
VALUE(REGEXEXTRACT(O9244,""[0-9]+""))*1000,
VALUE(REGEXEXTRACT(O9244,""[0-9]+""))
),
0
)"),0.0)</f>
        <v>0</v>
      </c>
      <c r="E9244" s="1" t="s">
        <v>11</v>
      </c>
      <c r="F9244" s="1" t="s">
        <v>20</v>
      </c>
      <c r="G9244" s="4" t="b">
        <f t="shared" si="2"/>
        <v>1</v>
      </c>
      <c r="H9244" s="1" t="str">
        <f t="shared" si="3"/>
        <v>Currently Unavailable</v>
      </c>
      <c r="I9244" s="1" t="str">
        <f t="shared" si="4"/>
        <v>No Badges</v>
      </c>
      <c r="J9244" s="6">
        <f t="shared" si="5"/>
        <v>0</v>
      </c>
    </row>
    <row r="9245">
      <c r="A9245" s="1" t="s">
        <v>7021</v>
      </c>
      <c r="B9245" s="3" t="str">
        <f t="shared" si="1"/>
        <v>Unavailable</v>
      </c>
      <c r="C9245" s="5">
        <v>5144.0</v>
      </c>
      <c r="D9245" s="3">
        <f>IFERROR(__xludf.DUMMYFUNCTION("IFERROR(
IF(REGEXMATCH(LOWER(O9245),""k""),
VALUE(REGEXEXTRACT(O9245,""[0-9]+""))*1000,
VALUE(REGEXEXTRACT(O9245,""[0-9]+""))
),
0
)"),0.0)</f>
        <v>0</v>
      </c>
      <c r="E9245" s="1" t="s">
        <v>11</v>
      </c>
      <c r="F9245" s="1" t="s">
        <v>20</v>
      </c>
      <c r="G9245" s="4" t="b">
        <f t="shared" si="2"/>
        <v>1</v>
      </c>
      <c r="H9245" s="1" t="str">
        <f t="shared" si="3"/>
        <v>Currently Unavailable</v>
      </c>
      <c r="I9245" s="1" t="str">
        <f t="shared" si="4"/>
        <v>No Badges</v>
      </c>
      <c r="J9245" s="3">
        <f t="shared" si="5"/>
        <v>0</v>
      </c>
    </row>
    <row r="9246">
      <c r="A9246" s="1" t="s">
        <v>6604</v>
      </c>
      <c r="B9246" s="3" t="str">
        <f t="shared" si="1"/>
        <v>Unavailable</v>
      </c>
      <c r="C9246" s="5">
        <v>6538.0</v>
      </c>
      <c r="D9246" s="3">
        <f>IFERROR(__xludf.DUMMYFUNCTION("IFERROR(
IF(REGEXMATCH(LOWER(O9246),""k""),
VALUE(REGEXEXTRACT(O9246,""[0-9]+""))*1000,
VALUE(REGEXEXTRACT(O9246,""[0-9]+""))
),
0
)"),0.0)</f>
        <v>0</v>
      </c>
      <c r="E9246" s="1" t="s">
        <v>11</v>
      </c>
      <c r="F9246" s="1" t="s">
        <v>12</v>
      </c>
      <c r="G9246" s="4" t="b">
        <f t="shared" si="2"/>
        <v>1</v>
      </c>
      <c r="H9246" s="1" t="str">
        <f t="shared" si="3"/>
        <v>Currently Unavailable</v>
      </c>
      <c r="I9246" s="1" t="str">
        <f t="shared" si="4"/>
        <v>No Badges</v>
      </c>
      <c r="J9246" s="3">
        <f t="shared" si="5"/>
        <v>0</v>
      </c>
    </row>
    <row r="9247">
      <c r="A9247" s="1" t="s">
        <v>7045</v>
      </c>
      <c r="B9247" s="3" t="str">
        <f t="shared" si="1"/>
        <v>Unavailable</v>
      </c>
      <c r="C9247" s="3">
        <v>70.0</v>
      </c>
      <c r="D9247" s="3">
        <f>IFERROR(__xludf.DUMMYFUNCTION("IFERROR(
IF(REGEXMATCH(LOWER(O9247),""k""),
VALUE(REGEXEXTRACT(O9247,""[0-9]+""))*1000,
VALUE(REGEXEXTRACT(O9247,""[0-9]+""))
),
0
)"),0.0)</f>
        <v>0</v>
      </c>
      <c r="E9247" s="1" t="s">
        <v>11</v>
      </c>
      <c r="F9247" s="1" t="s">
        <v>20</v>
      </c>
      <c r="G9247" s="4" t="b">
        <f t="shared" si="2"/>
        <v>1</v>
      </c>
      <c r="H9247" s="1" t="str">
        <f t="shared" si="3"/>
        <v>Currently Unavailable</v>
      </c>
      <c r="I9247" s="1" t="str">
        <f t="shared" si="4"/>
        <v>No Badges</v>
      </c>
      <c r="J9247" s="3">
        <f t="shared" si="5"/>
        <v>0</v>
      </c>
    </row>
    <row r="9248">
      <c r="A9248" s="1" t="s">
        <v>7046</v>
      </c>
      <c r="B9248" s="3" t="str">
        <f t="shared" si="1"/>
        <v>Unavailable</v>
      </c>
      <c r="C9248" s="5">
        <v>1294.0</v>
      </c>
      <c r="D9248" s="3">
        <f>IFERROR(__xludf.DUMMYFUNCTION("IFERROR(
IF(REGEXMATCH(LOWER(O9248),""k""),
VALUE(REGEXEXTRACT(O9248,""[0-9]+""))*1000,
VALUE(REGEXEXTRACT(O9248,""[0-9]+""))
),
0
)"),0.0)</f>
        <v>0</v>
      </c>
      <c r="E9248" s="1" t="s">
        <v>11</v>
      </c>
      <c r="F9248" s="1" t="s">
        <v>20</v>
      </c>
      <c r="G9248" s="4" t="b">
        <f t="shared" si="2"/>
        <v>1</v>
      </c>
      <c r="H9248" s="1" t="str">
        <f t="shared" si="3"/>
        <v>Currently Unavailable</v>
      </c>
      <c r="I9248" s="1" t="str">
        <f t="shared" si="4"/>
        <v>No Badges</v>
      </c>
      <c r="J9248" s="3">
        <f t="shared" si="5"/>
        <v>0</v>
      </c>
    </row>
    <row r="9249">
      <c r="A9249" s="1" t="s">
        <v>7047</v>
      </c>
      <c r="B9249" s="3" t="str">
        <f t="shared" si="1"/>
        <v>Unavailable</v>
      </c>
      <c r="C9249" s="5">
        <v>1889.0</v>
      </c>
      <c r="D9249" s="3">
        <f>IFERROR(__xludf.DUMMYFUNCTION("IFERROR(
IF(REGEXMATCH(LOWER(O9249),""k""),
VALUE(REGEXEXTRACT(O9249,""[0-9]+""))*1000,
VALUE(REGEXEXTRACT(O9249,""[0-9]+""))
),
0
)"),0.0)</f>
        <v>0</v>
      </c>
      <c r="E9249" s="1" t="s">
        <v>11</v>
      </c>
      <c r="F9249" s="1" t="s">
        <v>20</v>
      </c>
      <c r="G9249" s="4" t="b">
        <f t="shared" si="2"/>
        <v>1</v>
      </c>
      <c r="H9249" s="1" t="str">
        <f t="shared" si="3"/>
        <v>Currently Unavailable</v>
      </c>
      <c r="I9249" s="1" t="str">
        <f t="shared" si="4"/>
        <v>No Badges</v>
      </c>
      <c r="J9249" s="3">
        <f t="shared" si="5"/>
        <v>0</v>
      </c>
    </row>
    <row r="9250">
      <c r="A9250" s="1" t="s">
        <v>7048</v>
      </c>
      <c r="B9250" s="3" t="str">
        <f t="shared" si="1"/>
        <v>Unavailable</v>
      </c>
      <c r="C9250" s="5">
        <v>4909.0</v>
      </c>
      <c r="D9250" s="3">
        <f>IFERROR(__xludf.DUMMYFUNCTION("IFERROR(
IF(REGEXMATCH(LOWER(O9250),""k""),
VALUE(REGEXEXTRACT(O9250,""[0-9]+""))*1000,
VALUE(REGEXEXTRACT(O9250,""[0-9]+""))
),
0
)"),0.0)</f>
        <v>0</v>
      </c>
      <c r="E9250" s="1" t="s">
        <v>11</v>
      </c>
      <c r="F9250" s="1" t="s">
        <v>20</v>
      </c>
      <c r="G9250" s="4" t="b">
        <f t="shared" si="2"/>
        <v>1</v>
      </c>
      <c r="H9250" s="1" t="str">
        <f t="shared" si="3"/>
        <v>Currently Unavailable</v>
      </c>
      <c r="I9250" s="1" t="str">
        <f t="shared" si="4"/>
        <v>No Badges</v>
      </c>
      <c r="J9250" s="3">
        <f t="shared" si="5"/>
        <v>0</v>
      </c>
    </row>
    <row r="9251">
      <c r="A9251" s="1" t="s">
        <v>6604</v>
      </c>
      <c r="B9251" s="3" t="str">
        <f t="shared" si="1"/>
        <v>Unavailable</v>
      </c>
      <c r="C9251" s="5">
        <v>6538.0</v>
      </c>
      <c r="D9251" s="3">
        <f>IFERROR(__xludf.DUMMYFUNCTION("IFERROR(
IF(REGEXMATCH(LOWER(O9251),""k""),
VALUE(REGEXEXTRACT(O9251,""[0-9]+""))*1000,
VALUE(REGEXEXTRACT(O9251,""[0-9]+""))
),
0
)"),0.0)</f>
        <v>0</v>
      </c>
      <c r="E9251" s="1" t="s">
        <v>11</v>
      </c>
      <c r="F9251" s="1" t="s">
        <v>12</v>
      </c>
      <c r="G9251" s="4" t="b">
        <f t="shared" si="2"/>
        <v>1</v>
      </c>
      <c r="H9251" s="1" t="str">
        <f t="shared" si="3"/>
        <v>Currently Unavailable</v>
      </c>
      <c r="I9251" s="1" t="str">
        <f t="shared" si="4"/>
        <v>No Badges</v>
      </c>
      <c r="J9251" s="3">
        <f t="shared" si="5"/>
        <v>0</v>
      </c>
    </row>
    <row r="9252">
      <c r="A9252" s="1" t="s">
        <v>7049</v>
      </c>
      <c r="B9252" s="3" t="str">
        <f t="shared" si="1"/>
        <v>Unavailable</v>
      </c>
      <c r="C9252" s="3">
        <v>671.0</v>
      </c>
      <c r="D9252" s="3">
        <f>IFERROR(__xludf.DUMMYFUNCTION("IFERROR(
IF(REGEXMATCH(LOWER(O9252),""k""),
VALUE(REGEXEXTRACT(O9252,""[0-9]+""))*1000,
VALUE(REGEXEXTRACT(O9252,""[0-9]+""))
),
0
)"),0.0)</f>
        <v>0</v>
      </c>
      <c r="E9252" s="1" t="s">
        <v>11</v>
      </c>
      <c r="F9252" s="1" t="s">
        <v>20</v>
      </c>
      <c r="G9252" s="4" t="b">
        <f t="shared" si="2"/>
        <v>1</v>
      </c>
      <c r="H9252" s="1" t="str">
        <f t="shared" si="3"/>
        <v>Currently Unavailable</v>
      </c>
      <c r="I9252" s="1" t="str">
        <f t="shared" si="4"/>
        <v>No Badges</v>
      </c>
      <c r="J9252" s="3">
        <f t="shared" si="5"/>
        <v>0</v>
      </c>
    </row>
    <row r="9253">
      <c r="A9253" s="1" t="s">
        <v>6604</v>
      </c>
      <c r="B9253" s="3" t="str">
        <f t="shared" si="1"/>
        <v>Unavailable</v>
      </c>
      <c r="C9253" s="5">
        <v>6538.0</v>
      </c>
      <c r="D9253" s="3">
        <f>IFERROR(__xludf.DUMMYFUNCTION("IFERROR(
IF(REGEXMATCH(LOWER(O9253),""k""),
VALUE(REGEXEXTRACT(O9253,""[0-9]+""))*1000,
VALUE(REGEXEXTRACT(O9253,""[0-9]+""))
),
0
)"),0.0)</f>
        <v>0</v>
      </c>
      <c r="E9253" s="1" t="s">
        <v>11</v>
      </c>
      <c r="F9253" s="1" t="s">
        <v>12</v>
      </c>
      <c r="G9253" s="4" t="b">
        <f t="shared" si="2"/>
        <v>1</v>
      </c>
      <c r="H9253" s="1" t="str">
        <f t="shared" si="3"/>
        <v>Currently Unavailable</v>
      </c>
      <c r="I9253" s="1" t="str">
        <f t="shared" si="4"/>
        <v>No Badges</v>
      </c>
      <c r="J9253" s="3">
        <f t="shared" si="5"/>
        <v>0</v>
      </c>
    </row>
    <row r="9254">
      <c r="A9254" s="1" t="s">
        <v>6604</v>
      </c>
      <c r="B9254" s="3" t="str">
        <f t="shared" si="1"/>
        <v>Unavailable</v>
      </c>
      <c r="C9254" s="5">
        <v>6538.0</v>
      </c>
      <c r="D9254" s="3">
        <f>IFERROR(__xludf.DUMMYFUNCTION("IFERROR(
IF(REGEXMATCH(LOWER(O9254),""k""),
VALUE(REGEXEXTRACT(O9254,""[0-9]+""))*1000,
VALUE(REGEXEXTRACT(O9254,""[0-9]+""))
),
0
)"),0.0)</f>
        <v>0</v>
      </c>
      <c r="E9254" s="1" t="s">
        <v>11</v>
      </c>
      <c r="F9254" s="1" t="s">
        <v>12</v>
      </c>
      <c r="G9254" s="4" t="b">
        <f t="shared" si="2"/>
        <v>1</v>
      </c>
      <c r="H9254" s="1" t="str">
        <f t="shared" si="3"/>
        <v>Currently Unavailable</v>
      </c>
      <c r="I9254" s="1" t="str">
        <f t="shared" si="4"/>
        <v>No Badges</v>
      </c>
      <c r="J9254" s="3">
        <f t="shared" si="5"/>
        <v>0</v>
      </c>
    </row>
    <row r="9255">
      <c r="A9255" s="1" t="s">
        <v>6698</v>
      </c>
      <c r="B9255" s="3" t="str">
        <f t="shared" si="1"/>
        <v>Unavailable</v>
      </c>
      <c r="C9255" s="3">
        <v>6.0</v>
      </c>
      <c r="D9255" s="3">
        <f>IFERROR(__xludf.DUMMYFUNCTION("IFERROR(
IF(REGEXMATCH(LOWER(O9255),""k""),
VALUE(REGEXEXTRACT(O9255,""[0-9]+""))*1000,
VALUE(REGEXEXTRACT(O9255,""[0-9]+""))
),
0
)"),0.0)</f>
        <v>0</v>
      </c>
      <c r="E9255" s="1" t="s">
        <v>11</v>
      </c>
      <c r="F9255" s="1" t="s">
        <v>12</v>
      </c>
      <c r="G9255" s="4" t="b">
        <f t="shared" si="2"/>
        <v>1</v>
      </c>
      <c r="H9255" s="1" t="str">
        <f t="shared" si="3"/>
        <v>Currently Unavailable</v>
      </c>
      <c r="I9255" s="1" t="str">
        <f t="shared" si="4"/>
        <v>No Badges</v>
      </c>
      <c r="J9255" s="3">
        <f t="shared" si="5"/>
        <v>0</v>
      </c>
    </row>
    <row r="9256">
      <c r="A9256" s="1" t="s">
        <v>6699</v>
      </c>
      <c r="B9256" s="3" t="str">
        <f t="shared" si="1"/>
        <v>Unavailable</v>
      </c>
      <c r="C9256" s="3">
        <v>1.0</v>
      </c>
      <c r="D9256" s="3">
        <f>IFERROR(__xludf.DUMMYFUNCTION("IFERROR(
IF(REGEXMATCH(LOWER(O9256),""k""),
VALUE(REGEXEXTRACT(O9256,""[0-9]+""))*1000,
VALUE(REGEXEXTRACT(O9256,""[0-9]+""))
),
0
)"),0.0)</f>
        <v>0</v>
      </c>
      <c r="E9256" s="1" t="s">
        <v>11</v>
      </c>
      <c r="F9256" s="1" t="s">
        <v>12</v>
      </c>
      <c r="G9256" s="4" t="b">
        <f t="shared" si="2"/>
        <v>1</v>
      </c>
      <c r="H9256" s="1" t="str">
        <f t="shared" si="3"/>
        <v>Currently Unavailable</v>
      </c>
      <c r="I9256" s="1" t="str">
        <f t="shared" si="4"/>
        <v>No Badges</v>
      </c>
      <c r="J9256" s="3">
        <f t="shared" si="5"/>
        <v>0</v>
      </c>
    </row>
    <row r="9257">
      <c r="A9257" s="1" t="s">
        <v>7050</v>
      </c>
      <c r="B9257" s="3" t="str">
        <f t="shared" si="1"/>
        <v>Unavailable</v>
      </c>
      <c r="C9257" s="5">
        <v>2475.0</v>
      </c>
      <c r="D9257" s="3">
        <f>IFERROR(__xludf.DUMMYFUNCTION("IFERROR(
IF(REGEXMATCH(LOWER(O9257),""k""),
VALUE(REGEXEXTRACT(O9257,""[0-9]+""))*1000,
VALUE(REGEXEXTRACT(O9257,""[0-9]+""))
),
0
)"),0.0)</f>
        <v>0</v>
      </c>
      <c r="E9257" s="1" t="s">
        <v>11</v>
      </c>
      <c r="F9257" s="1" t="s">
        <v>20</v>
      </c>
      <c r="G9257" s="4" t="b">
        <f t="shared" si="2"/>
        <v>1</v>
      </c>
      <c r="H9257" s="1" t="str">
        <f t="shared" si="3"/>
        <v>Currently Unavailable</v>
      </c>
      <c r="I9257" s="1" t="str">
        <f t="shared" si="4"/>
        <v>No Badges</v>
      </c>
      <c r="J9257" s="3">
        <f t="shared" si="5"/>
        <v>0</v>
      </c>
    </row>
    <row r="9258">
      <c r="A9258" s="1" t="s">
        <v>7051</v>
      </c>
      <c r="B9258" s="3" t="str">
        <f t="shared" si="1"/>
        <v>Unavailable</v>
      </c>
      <c r="C9258" s="5">
        <v>2960.0</v>
      </c>
      <c r="D9258" s="3">
        <f>IFERROR(__xludf.DUMMYFUNCTION("IFERROR(
IF(REGEXMATCH(LOWER(O9258),""k""),
VALUE(REGEXEXTRACT(O9258,""[0-9]+""))*1000,
VALUE(REGEXEXTRACT(O9258,""[0-9]+""))
),
0
)"),0.0)</f>
        <v>0</v>
      </c>
      <c r="E9258" s="1" t="s">
        <v>11</v>
      </c>
      <c r="F9258" s="1" t="s">
        <v>20</v>
      </c>
      <c r="G9258" s="4" t="b">
        <f t="shared" si="2"/>
        <v>1</v>
      </c>
      <c r="H9258" s="1" t="str">
        <f t="shared" si="3"/>
        <v>Currently Unavailable</v>
      </c>
      <c r="I9258" s="1" t="str">
        <f t="shared" si="4"/>
        <v>No Badges</v>
      </c>
      <c r="J9258" s="3">
        <f t="shared" si="5"/>
        <v>0</v>
      </c>
    </row>
    <row r="9259">
      <c r="A9259" s="1" t="s">
        <v>7052</v>
      </c>
      <c r="B9259" s="3" t="str">
        <f t="shared" si="1"/>
        <v>Unavailable</v>
      </c>
      <c r="C9259" s="5">
        <v>1655.0</v>
      </c>
      <c r="D9259" s="3">
        <f>IFERROR(__xludf.DUMMYFUNCTION("IFERROR(
IF(REGEXMATCH(LOWER(O9259),""k""),
VALUE(REGEXEXTRACT(O9259,""[0-9]+""))*1000,
VALUE(REGEXEXTRACT(O9259,""[0-9]+""))
),
0
)"),0.0)</f>
        <v>0</v>
      </c>
      <c r="E9259" s="1" t="s">
        <v>11</v>
      </c>
      <c r="F9259" s="1" t="s">
        <v>20</v>
      </c>
      <c r="G9259" s="4" t="b">
        <f t="shared" si="2"/>
        <v>1</v>
      </c>
      <c r="H9259" s="1" t="str">
        <f t="shared" si="3"/>
        <v>Currently Unavailable</v>
      </c>
      <c r="I9259" s="1" t="str">
        <f t="shared" si="4"/>
        <v>No Badges</v>
      </c>
      <c r="J9259" s="3">
        <f t="shared" si="5"/>
        <v>0</v>
      </c>
    </row>
    <row r="9260">
      <c r="A9260" s="1" t="s">
        <v>6604</v>
      </c>
      <c r="B9260" s="3" t="str">
        <f t="shared" si="1"/>
        <v>Unavailable</v>
      </c>
      <c r="C9260" s="5">
        <v>6538.0</v>
      </c>
      <c r="D9260" s="3">
        <f>IFERROR(__xludf.DUMMYFUNCTION("IFERROR(
IF(REGEXMATCH(LOWER(O9260),""k""),
VALUE(REGEXEXTRACT(O9260,""[0-9]+""))*1000,
VALUE(REGEXEXTRACT(O9260,""[0-9]+""))
),
0
)"),0.0)</f>
        <v>0</v>
      </c>
      <c r="E9260" s="1" t="s">
        <v>11</v>
      </c>
      <c r="F9260" s="1" t="s">
        <v>12</v>
      </c>
      <c r="G9260" s="4" t="b">
        <f t="shared" si="2"/>
        <v>1</v>
      </c>
      <c r="H9260" s="1" t="str">
        <f t="shared" si="3"/>
        <v>Currently Unavailable</v>
      </c>
      <c r="I9260" s="1" t="str">
        <f t="shared" si="4"/>
        <v>No Badges</v>
      </c>
      <c r="J9260" s="3">
        <f t="shared" si="5"/>
        <v>0</v>
      </c>
    </row>
    <row r="9261">
      <c r="A9261" s="1" t="s">
        <v>7053</v>
      </c>
      <c r="B9261" s="3" t="str">
        <f t="shared" si="1"/>
        <v>Unavailable</v>
      </c>
      <c r="C9261" s="5">
        <v>1950.0</v>
      </c>
      <c r="D9261" s="3">
        <f>IFERROR(__xludf.DUMMYFUNCTION("IFERROR(
IF(REGEXMATCH(LOWER(O9261),""k""),
VALUE(REGEXEXTRACT(O9261,""[0-9]+""))*1000,
VALUE(REGEXEXTRACT(O9261,""[0-9]+""))
),
0
)"),0.0)</f>
        <v>0</v>
      </c>
      <c r="E9261" s="1" t="s">
        <v>11</v>
      </c>
      <c r="F9261" s="1" t="s">
        <v>20</v>
      </c>
      <c r="G9261" s="4" t="b">
        <f t="shared" si="2"/>
        <v>1</v>
      </c>
      <c r="H9261" s="1" t="str">
        <f t="shared" si="3"/>
        <v>Currently Unavailable</v>
      </c>
      <c r="I9261" s="1" t="str">
        <f t="shared" si="4"/>
        <v>No Badges</v>
      </c>
      <c r="J9261" s="3">
        <f t="shared" si="5"/>
        <v>0</v>
      </c>
    </row>
    <row r="9262">
      <c r="A9262" s="1" t="s">
        <v>7054</v>
      </c>
      <c r="B9262" s="3" t="str">
        <f t="shared" si="1"/>
        <v>Unavailable</v>
      </c>
      <c r="C9262" s="5">
        <v>15383.0</v>
      </c>
      <c r="D9262" s="3">
        <f>IFERROR(__xludf.DUMMYFUNCTION("IFERROR(
IF(REGEXMATCH(LOWER(O9262),""k""),
VALUE(REGEXEXTRACT(O9262,""[0-9]+""))*1000,
VALUE(REGEXEXTRACT(O9262,""[0-9]+""))
),
0
)"),0.0)</f>
        <v>0</v>
      </c>
      <c r="E9262" s="1" t="s">
        <v>11</v>
      </c>
      <c r="F9262" s="1" t="s">
        <v>20</v>
      </c>
      <c r="G9262" s="4" t="b">
        <f t="shared" si="2"/>
        <v>1</v>
      </c>
      <c r="H9262" s="1" t="str">
        <f t="shared" si="3"/>
        <v>Currently Unavailable</v>
      </c>
      <c r="I9262" s="1" t="str">
        <f t="shared" si="4"/>
        <v>No Badges</v>
      </c>
      <c r="J9262" s="3">
        <f t="shared" si="5"/>
        <v>0</v>
      </c>
    </row>
    <row r="9263">
      <c r="A9263" s="1" t="s">
        <v>6604</v>
      </c>
      <c r="B9263" s="3" t="str">
        <f t="shared" si="1"/>
        <v>Unavailable</v>
      </c>
      <c r="C9263" s="5">
        <v>6538.0</v>
      </c>
      <c r="D9263" s="3">
        <f>IFERROR(__xludf.DUMMYFUNCTION("IFERROR(
IF(REGEXMATCH(LOWER(O9263),""k""),
VALUE(REGEXEXTRACT(O9263,""[0-9]+""))*1000,
VALUE(REGEXEXTRACT(O9263,""[0-9]+""))
),
0
)"),0.0)</f>
        <v>0</v>
      </c>
      <c r="E9263" s="1" t="s">
        <v>11</v>
      </c>
      <c r="F9263" s="1" t="s">
        <v>12</v>
      </c>
      <c r="G9263" s="4" t="b">
        <f t="shared" si="2"/>
        <v>1</v>
      </c>
      <c r="H9263" s="1" t="str">
        <f t="shared" si="3"/>
        <v>Currently Unavailable</v>
      </c>
      <c r="I9263" s="1" t="str">
        <f t="shared" si="4"/>
        <v>No Badges</v>
      </c>
      <c r="J9263" s="3">
        <f t="shared" si="5"/>
        <v>0</v>
      </c>
    </row>
    <row r="9264">
      <c r="A9264" s="1" t="s">
        <v>7035</v>
      </c>
      <c r="B9264" s="3" t="str">
        <f t="shared" si="1"/>
        <v>Unavailable</v>
      </c>
      <c r="C9264" s="5">
        <v>1425.0</v>
      </c>
      <c r="D9264" s="3">
        <f>IFERROR(__xludf.DUMMYFUNCTION("IFERROR(
IF(REGEXMATCH(LOWER(O9264),""k""),
VALUE(REGEXEXTRACT(O9264,""[0-9]+""))*1000,
VALUE(REGEXEXTRACT(O9264,""[0-9]+""))
),
0
)"),0.0)</f>
        <v>0</v>
      </c>
      <c r="E9264" s="1" t="s">
        <v>11</v>
      </c>
      <c r="F9264" s="1" t="s">
        <v>20</v>
      </c>
      <c r="G9264" s="4" t="b">
        <f t="shared" si="2"/>
        <v>1</v>
      </c>
      <c r="H9264" s="1" t="str">
        <f t="shared" si="3"/>
        <v>Currently Unavailable</v>
      </c>
      <c r="I9264" s="1" t="str">
        <f t="shared" si="4"/>
        <v>No Badges</v>
      </c>
      <c r="J9264" s="3">
        <f t="shared" si="5"/>
        <v>0</v>
      </c>
    </row>
    <row r="9265">
      <c r="A9265" s="1" t="s">
        <v>7055</v>
      </c>
      <c r="B9265" s="3" t="str">
        <f t="shared" si="1"/>
        <v>Unavailable</v>
      </c>
      <c r="C9265" s="3">
        <v>27.0</v>
      </c>
      <c r="D9265" s="3">
        <f>IFERROR(__xludf.DUMMYFUNCTION("IFERROR(
IF(REGEXMATCH(LOWER(O9265),""k""),
VALUE(REGEXEXTRACT(O9265,""[0-9]+""))*1000,
VALUE(REGEXEXTRACT(O9265,""[0-9]+""))
),
0
)"),0.0)</f>
        <v>0</v>
      </c>
      <c r="E9265" s="1" t="s">
        <v>11</v>
      </c>
      <c r="F9265" s="1" t="s">
        <v>20</v>
      </c>
      <c r="G9265" s="4" t="b">
        <f t="shared" si="2"/>
        <v>1</v>
      </c>
      <c r="H9265" s="1" t="str">
        <f t="shared" si="3"/>
        <v>Currently Unavailable</v>
      </c>
      <c r="I9265" s="1" t="str">
        <f t="shared" si="4"/>
        <v>No Badges</v>
      </c>
      <c r="J9265" s="3">
        <f t="shared" si="5"/>
        <v>0</v>
      </c>
    </row>
    <row r="9266">
      <c r="A9266" s="1" t="s">
        <v>7056</v>
      </c>
      <c r="B9266" s="3" t="str">
        <f t="shared" si="1"/>
        <v>Unavailable</v>
      </c>
      <c r="C9266" s="5">
        <v>2350.0</v>
      </c>
      <c r="D9266" s="3">
        <f>IFERROR(__xludf.DUMMYFUNCTION("IFERROR(
IF(REGEXMATCH(LOWER(O9266),""k""),
VALUE(REGEXEXTRACT(O9266,""[0-9]+""))*1000,
VALUE(REGEXEXTRACT(O9266,""[0-9]+""))
),
0
)"),0.0)</f>
        <v>0</v>
      </c>
      <c r="E9266" s="1" t="s">
        <v>11</v>
      </c>
      <c r="F9266" s="1" t="s">
        <v>20</v>
      </c>
      <c r="G9266" s="4" t="b">
        <f t="shared" si="2"/>
        <v>1</v>
      </c>
      <c r="H9266" s="1" t="str">
        <f t="shared" si="3"/>
        <v>Currently Unavailable</v>
      </c>
      <c r="I9266" s="1" t="str">
        <f t="shared" si="4"/>
        <v>No Badges</v>
      </c>
      <c r="J9266" s="3">
        <f t="shared" si="5"/>
        <v>0</v>
      </c>
    </row>
    <row r="9267">
      <c r="A9267" s="1" t="s">
        <v>7057</v>
      </c>
      <c r="B9267" s="3" t="str">
        <f t="shared" si="1"/>
        <v>Unavailable</v>
      </c>
      <c r="C9267" s="5">
        <v>3450.0</v>
      </c>
      <c r="D9267" s="3">
        <f>IFERROR(__xludf.DUMMYFUNCTION("IFERROR(
IF(REGEXMATCH(LOWER(O9267),""k""),
VALUE(REGEXEXTRACT(O9267,""[0-9]+""))*1000,
VALUE(REGEXEXTRACT(O9267,""[0-9]+""))
),
0
)"),0.0)</f>
        <v>0</v>
      </c>
      <c r="E9267" s="1" t="s">
        <v>11</v>
      </c>
      <c r="F9267" s="1" t="s">
        <v>20</v>
      </c>
      <c r="G9267" s="4" t="b">
        <f t="shared" si="2"/>
        <v>1</v>
      </c>
      <c r="H9267" s="1" t="str">
        <f t="shared" si="3"/>
        <v>Currently Unavailable</v>
      </c>
      <c r="I9267" s="1" t="str">
        <f t="shared" si="4"/>
        <v>No Badges</v>
      </c>
      <c r="J9267" s="3">
        <f t="shared" si="5"/>
        <v>0</v>
      </c>
    </row>
    <row r="9268">
      <c r="A9268" s="1" t="s">
        <v>7038</v>
      </c>
      <c r="B9268" s="3" t="str">
        <f t="shared" si="1"/>
        <v>Unavailable</v>
      </c>
      <c r="C9268" s="5">
        <v>3142.0</v>
      </c>
      <c r="D9268" s="3">
        <f>IFERROR(__xludf.DUMMYFUNCTION("IFERROR(
IF(REGEXMATCH(LOWER(O9268),""k""),
VALUE(REGEXEXTRACT(O9268,""[0-9]+""))*1000,
VALUE(REGEXEXTRACT(O9268,""[0-9]+""))
),
0
)"),0.0)</f>
        <v>0</v>
      </c>
      <c r="E9268" s="1" t="s">
        <v>11</v>
      </c>
      <c r="F9268" s="1" t="s">
        <v>20</v>
      </c>
      <c r="G9268" s="4" t="b">
        <f t="shared" si="2"/>
        <v>1</v>
      </c>
      <c r="H9268" s="1" t="str">
        <f t="shared" si="3"/>
        <v>Currently Unavailable</v>
      </c>
      <c r="I9268" s="1" t="str">
        <f t="shared" si="4"/>
        <v>No Badges</v>
      </c>
      <c r="J9268" s="3">
        <f t="shared" si="5"/>
        <v>0</v>
      </c>
    </row>
    <row r="9269">
      <c r="A9269" s="1" t="s">
        <v>88</v>
      </c>
      <c r="B9269" s="3" t="str">
        <f t="shared" si="1"/>
        <v>Unavailable</v>
      </c>
      <c r="C9269" s="3">
        <v>6.0</v>
      </c>
      <c r="D9269" s="3">
        <f>IFERROR(__xludf.DUMMYFUNCTION("IFERROR(
IF(REGEXMATCH(LOWER(O9269),""k""),
VALUE(REGEXEXTRACT(O9269,""[0-9]+""))*1000,
VALUE(REGEXEXTRACT(O9269,""[0-9]+""))
),
0
)"),0.0)</f>
        <v>0</v>
      </c>
      <c r="E9269" s="1" t="s">
        <v>11</v>
      </c>
      <c r="F9269" s="1" t="s">
        <v>12</v>
      </c>
      <c r="G9269" s="4" t="b">
        <f t="shared" si="2"/>
        <v>1</v>
      </c>
      <c r="H9269" s="1" t="str">
        <f t="shared" si="3"/>
        <v>Currently Unavailable</v>
      </c>
      <c r="I9269" s="1" t="str">
        <f t="shared" si="4"/>
        <v>No Badges</v>
      </c>
      <c r="J9269" s="3">
        <f t="shared" si="5"/>
        <v>0</v>
      </c>
    </row>
    <row r="9270">
      <c r="A9270" s="1" t="s">
        <v>6711</v>
      </c>
      <c r="B9270" s="3" t="str">
        <f t="shared" si="1"/>
        <v>Unavailable</v>
      </c>
      <c r="C9270" s="3">
        <v>259.0</v>
      </c>
      <c r="D9270" s="3">
        <f>IFERROR(__xludf.DUMMYFUNCTION("IFERROR(
IF(REGEXMATCH(LOWER(O9270),""k""),
VALUE(REGEXEXTRACT(O9270,""[0-9]+""))*1000,
VALUE(REGEXEXTRACT(O9270,""[0-9]+""))
),
0
)"),0.0)</f>
        <v>0</v>
      </c>
      <c r="E9270" s="1" t="s">
        <v>11</v>
      </c>
      <c r="F9270" s="1" t="s">
        <v>12</v>
      </c>
      <c r="G9270" s="4" t="b">
        <f t="shared" si="2"/>
        <v>1</v>
      </c>
      <c r="H9270" s="1" t="str">
        <f t="shared" si="3"/>
        <v>Currently Unavailable</v>
      </c>
      <c r="I9270" s="1" t="str">
        <f t="shared" si="4"/>
        <v>No Badges</v>
      </c>
      <c r="J9270" s="3">
        <f t="shared" si="5"/>
        <v>0</v>
      </c>
    </row>
    <row r="9271">
      <c r="A9271" s="1" t="s">
        <v>6604</v>
      </c>
      <c r="B9271" s="3" t="str">
        <f t="shared" si="1"/>
        <v>Unavailable</v>
      </c>
      <c r="C9271" s="5">
        <v>6538.0</v>
      </c>
      <c r="D9271" s="3">
        <f>IFERROR(__xludf.DUMMYFUNCTION("IFERROR(
IF(REGEXMATCH(LOWER(O9271),""k""),
VALUE(REGEXEXTRACT(O9271,""[0-9]+""))*1000,
VALUE(REGEXEXTRACT(O9271,""[0-9]+""))
),
0
)"),0.0)</f>
        <v>0</v>
      </c>
      <c r="E9271" s="1" t="s">
        <v>11</v>
      </c>
      <c r="F9271" s="1" t="s">
        <v>12</v>
      </c>
      <c r="G9271" s="4" t="b">
        <f t="shared" si="2"/>
        <v>1</v>
      </c>
      <c r="H9271" s="1" t="str">
        <f t="shared" si="3"/>
        <v>Currently Unavailable</v>
      </c>
      <c r="I9271" s="1" t="str">
        <f t="shared" si="4"/>
        <v>No Badges</v>
      </c>
      <c r="J9271" s="3">
        <f t="shared" si="5"/>
        <v>0</v>
      </c>
    </row>
    <row r="9272">
      <c r="A9272" s="1" t="s">
        <v>7058</v>
      </c>
      <c r="B9272" s="3" t="str">
        <f t="shared" si="1"/>
        <v>Unavailable</v>
      </c>
      <c r="C9272" s="3">
        <v>255.0</v>
      </c>
      <c r="D9272" s="3">
        <f>IFERROR(__xludf.DUMMYFUNCTION("IFERROR(
IF(REGEXMATCH(LOWER(O9272),""k""),
VALUE(REGEXEXTRACT(O9272,""[0-9]+""))*1000,
VALUE(REGEXEXTRACT(O9272,""[0-9]+""))
),
0
)"),0.0)</f>
        <v>0</v>
      </c>
      <c r="E9272" s="1" t="s">
        <v>11</v>
      </c>
      <c r="F9272" s="1" t="s">
        <v>20</v>
      </c>
      <c r="G9272" s="4" t="b">
        <f t="shared" si="2"/>
        <v>1</v>
      </c>
      <c r="H9272" s="1" t="str">
        <f t="shared" si="3"/>
        <v>Currently Unavailable</v>
      </c>
      <c r="I9272" s="1" t="str">
        <f t="shared" si="4"/>
        <v>No Badges</v>
      </c>
      <c r="J9272" s="3">
        <f t="shared" si="5"/>
        <v>0</v>
      </c>
    </row>
    <row r="9273">
      <c r="A9273" s="1" t="s">
        <v>7059</v>
      </c>
      <c r="B9273" s="3" t="str">
        <f t="shared" si="1"/>
        <v>Unavailable</v>
      </c>
      <c r="C9273" s="5">
        <v>59092.0</v>
      </c>
      <c r="D9273" s="3">
        <f>IFERROR(__xludf.DUMMYFUNCTION("IFERROR(
IF(REGEXMATCH(LOWER(O9273),""k""),
VALUE(REGEXEXTRACT(O9273,""[0-9]+""))*1000,
VALUE(REGEXEXTRACT(O9273,""[0-9]+""))
),
0
)"),0.0)</f>
        <v>0</v>
      </c>
      <c r="E9273" s="1" t="s">
        <v>11</v>
      </c>
      <c r="F9273" s="1" t="s">
        <v>20</v>
      </c>
      <c r="G9273" s="4" t="b">
        <f t="shared" si="2"/>
        <v>1</v>
      </c>
      <c r="H9273" s="1" t="str">
        <f t="shared" si="3"/>
        <v>Currently Unavailable</v>
      </c>
      <c r="I9273" s="1" t="str">
        <f t="shared" si="4"/>
        <v>No Badges</v>
      </c>
      <c r="J9273" s="3">
        <f t="shared" si="5"/>
        <v>0</v>
      </c>
    </row>
    <row r="9274">
      <c r="A9274" s="1" t="s">
        <v>7060</v>
      </c>
      <c r="B9274" s="3" t="str">
        <f t="shared" si="1"/>
        <v>Unavailable</v>
      </c>
      <c r="C9274" s="5">
        <v>101072.0</v>
      </c>
      <c r="D9274" s="3">
        <f>IFERROR(__xludf.DUMMYFUNCTION("IFERROR(
IF(REGEXMATCH(LOWER(O9274),""k""),
VALUE(REGEXEXTRACT(O9274,""[0-9]+""))*1000,
VALUE(REGEXEXTRACT(O9274,""[0-9]+""))
),
0
)"),0.0)</f>
        <v>0</v>
      </c>
      <c r="E9274" s="1" t="s">
        <v>158</v>
      </c>
      <c r="F9274" s="1" t="s">
        <v>20</v>
      </c>
      <c r="G9274" s="4" t="b">
        <f t="shared" si="2"/>
        <v>1</v>
      </c>
      <c r="H9274" s="1" t="str">
        <f t="shared" si="3"/>
        <v>Currently Unavailable</v>
      </c>
      <c r="I9274" s="1" t="str">
        <f t="shared" si="4"/>
        <v>No Badges</v>
      </c>
      <c r="J9274" s="3">
        <f t="shared" si="5"/>
        <v>0</v>
      </c>
    </row>
    <row r="9275">
      <c r="A9275" s="1" t="s">
        <v>7061</v>
      </c>
      <c r="B9275" s="3" t="str">
        <f t="shared" si="1"/>
        <v>Unavailable</v>
      </c>
      <c r="C9275" s="5">
        <v>10981.0</v>
      </c>
      <c r="D9275" s="3">
        <f>IFERROR(__xludf.DUMMYFUNCTION("IFERROR(
IF(REGEXMATCH(LOWER(O9275),""k""),
VALUE(REGEXEXTRACT(O9275,""[0-9]+""))*1000,
VALUE(REGEXEXTRACT(O9275,""[0-9]+""))
),
0
)"),0.0)</f>
        <v>0</v>
      </c>
      <c r="E9275" s="1" t="s">
        <v>11</v>
      </c>
      <c r="F9275" s="1" t="s">
        <v>20</v>
      </c>
      <c r="G9275" s="4" t="b">
        <f t="shared" si="2"/>
        <v>1</v>
      </c>
      <c r="H9275" s="1" t="str">
        <f t="shared" si="3"/>
        <v>Currently Unavailable</v>
      </c>
      <c r="I9275" s="1" t="str">
        <f t="shared" si="4"/>
        <v>No Badges</v>
      </c>
      <c r="J9275" s="3">
        <f t="shared" si="5"/>
        <v>0</v>
      </c>
    </row>
    <row r="9276">
      <c r="A9276" s="1" t="s">
        <v>7062</v>
      </c>
      <c r="B9276" s="3" t="str">
        <f t="shared" si="1"/>
        <v>Unavailable</v>
      </c>
      <c r="C9276" s="3">
        <v>353.0</v>
      </c>
      <c r="D9276" s="3">
        <f>IFERROR(__xludf.DUMMYFUNCTION("IFERROR(
IF(REGEXMATCH(LOWER(O9276),""k""),
VALUE(REGEXEXTRACT(O9276,""[0-9]+""))*1000,
VALUE(REGEXEXTRACT(O9276,""[0-9]+""))
),
0
)"),0.0)</f>
        <v>0</v>
      </c>
      <c r="E9276" s="1" t="s">
        <v>11</v>
      </c>
      <c r="F9276" s="1" t="s">
        <v>20</v>
      </c>
      <c r="G9276" s="4" t="b">
        <f t="shared" si="2"/>
        <v>1</v>
      </c>
      <c r="H9276" s="1" t="str">
        <f t="shared" si="3"/>
        <v>Currently Unavailable</v>
      </c>
      <c r="I9276" s="1" t="str">
        <f t="shared" si="4"/>
        <v>No Badges</v>
      </c>
      <c r="J9276" s="3">
        <f t="shared" si="5"/>
        <v>0</v>
      </c>
    </row>
    <row r="9277">
      <c r="A9277" s="1" t="s">
        <v>7063</v>
      </c>
      <c r="B9277" s="3" t="str">
        <f t="shared" si="1"/>
        <v>Unavailable</v>
      </c>
      <c r="C9277" s="5">
        <v>16952.0</v>
      </c>
      <c r="D9277" s="3">
        <f>IFERROR(__xludf.DUMMYFUNCTION("IFERROR(
IF(REGEXMATCH(LOWER(O9277),""k""),
VALUE(REGEXEXTRACT(O9277,""[0-9]+""))*1000,
VALUE(REGEXEXTRACT(O9277,""[0-9]+""))
),
0
)"),0.0)</f>
        <v>0</v>
      </c>
      <c r="E9277" s="1" t="s">
        <v>11</v>
      </c>
      <c r="F9277" s="1" t="s">
        <v>20</v>
      </c>
      <c r="G9277" s="4" t="b">
        <f t="shared" si="2"/>
        <v>1</v>
      </c>
      <c r="H9277" s="1" t="str">
        <f t="shared" si="3"/>
        <v>Currently Unavailable</v>
      </c>
      <c r="I9277" s="1" t="str">
        <f t="shared" si="4"/>
        <v>No Badges</v>
      </c>
      <c r="J9277" s="3">
        <f t="shared" si="5"/>
        <v>0</v>
      </c>
    </row>
    <row r="9278">
      <c r="A9278" s="1" t="s">
        <v>7064</v>
      </c>
      <c r="B9278" s="3" t="str">
        <f t="shared" si="1"/>
        <v>Unavailable</v>
      </c>
      <c r="C9278" s="5">
        <v>33312.0</v>
      </c>
      <c r="D9278" s="3">
        <f>IFERROR(__xludf.DUMMYFUNCTION("IFERROR(
IF(REGEXMATCH(LOWER(O9278),""k""),
VALUE(REGEXEXTRACT(O9278,""[0-9]+""))*1000,
VALUE(REGEXEXTRACT(O9278,""[0-9]+""))
),
0
)"),0.0)</f>
        <v>0</v>
      </c>
      <c r="E9278" s="1" t="s">
        <v>11</v>
      </c>
      <c r="F9278" s="1" t="s">
        <v>20</v>
      </c>
      <c r="G9278" s="4" t="b">
        <f t="shared" si="2"/>
        <v>1</v>
      </c>
      <c r="H9278" s="1" t="str">
        <f t="shared" si="3"/>
        <v>Currently Unavailable</v>
      </c>
      <c r="I9278" s="1" t="str">
        <f t="shared" si="4"/>
        <v>No Badges</v>
      </c>
      <c r="J9278" s="3">
        <f t="shared" si="5"/>
        <v>0</v>
      </c>
    </row>
    <row r="9279">
      <c r="A9279" s="1" t="s">
        <v>7065</v>
      </c>
      <c r="B9279" s="3" t="str">
        <f t="shared" si="1"/>
        <v>Unavailable</v>
      </c>
      <c r="C9279" s="5">
        <v>52607.0</v>
      </c>
      <c r="D9279" s="3">
        <f>IFERROR(__xludf.DUMMYFUNCTION("IFERROR(
IF(REGEXMATCH(LOWER(O9279),""k""),
VALUE(REGEXEXTRACT(O9279,""[0-9]+""))*1000,
VALUE(REGEXEXTRACT(O9279,""[0-9]+""))
),
0
)"),0.0)</f>
        <v>0</v>
      </c>
      <c r="E9279" s="1" t="s">
        <v>158</v>
      </c>
      <c r="F9279" s="1" t="s">
        <v>20</v>
      </c>
      <c r="G9279" s="4" t="b">
        <f t="shared" si="2"/>
        <v>1</v>
      </c>
      <c r="H9279" s="1" t="str">
        <f t="shared" si="3"/>
        <v>Currently Unavailable</v>
      </c>
      <c r="I9279" s="1" t="str">
        <f t="shared" si="4"/>
        <v>No Badges</v>
      </c>
      <c r="J9279" s="3">
        <f t="shared" si="5"/>
        <v>0</v>
      </c>
    </row>
    <row r="9280">
      <c r="A9280" s="1" t="s">
        <v>7066</v>
      </c>
      <c r="B9280" s="3" t="str">
        <f t="shared" si="1"/>
        <v>Unavailable</v>
      </c>
      <c r="C9280" s="5">
        <v>1356.0</v>
      </c>
      <c r="D9280" s="3">
        <f>IFERROR(__xludf.DUMMYFUNCTION("IFERROR(
IF(REGEXMATCH(LOWER(O9280),""k""),
VALUE(REGEXEXTRACT(O9280,""[0-9]+""))*1000,
VALUE(REGEXEXTRACT(O9280,""[0-9]+""))
),
0
)"),0.0)</f>
        <v>0</v>
      </c>
      <c r="E9280" s="1" t="s">
        <v>158</v>
      </c>
      <c r="F9280" s="1" t="s">
        <v>20</v>
      </c>
      <c r="G9280" s="4" t="b">
        <f t="shared" si="2"/>
        <v>1</v>
      </c>
      <c r="H9280" s="1" t="str">
        <f t="shared" si="3"/>
        <v>Currently Unavailable</v>
      </c>
      <c r="I9280" s="1" t="str">
        <f t="shared" si="4"/>
        <v>No Badges</v>
      </c>
      <c r="J9280" s="3">
        <f t="shared" si="5"/>
        <v>0</v>
      </c>
    </row>
    <row r="9281">
      <c r="A9281" s="1" t="s">
        <v>7067</v>
      </c>
      <c r="B9281" s="3" t="str">
        <f t="shared" si="1"/>
        <v>Unavailable</v>
      </c>
      <c r="C9281" s="5">
        <v>5729.0</v>
      </c>
      <c r="D9281" s="3">
        <f>IFERROR(__xludf.DUMMYFUNCTION("IFERROR(
IF(REGEXMATCH(LOWER(O9281),""k""),
VALUE(REGEXEXTRACT(O9281,""[0-9]+""))*1000,
VALUE(REGEXEXTRACT(O9281,""[0-9]+""))
),
0
)"),0.0)</f>
        <v>0</v>
      </c>
      <c r="E9281" s="1" t="s">
        <v>11</v>
      </c>
      <c r="F9281" s="1" t="s">
        <v>20</v>
      </c>
      <c r="G9281" s="4" t="b">
        <f t="shared" si="2"/>
        <v>1</v>
      </c>
      <c r="H9281" s="1" t="str">
        <f t="shared" si="3"/>
        <v>Currently Unavailable</v>
      </c>
      <c r="I9281" s="1" t="str">
        <f t="shared" si="4"/>
        <v>No Badges</v>
      </c>
      <c r="J9281" s="3">
        <f t="shared" si="5"/>
        <v>0</v>
      </c>
    </row>
    <row r="9282">
      <c r="A9282" s="1" t="s">
        <v>7068</v>
      </c>
      <c r="B9282" s="3" t="str">
        <f t="shared" si="1"/>
        <v>Unavailable</v>
      </c>
      <c r="C9282" s="3">
        <v>598.0</v>
      </c>
      <c r="D9282" s="3">
        <f>IFERROR(__xludf.DUMMYFUNCTION("IFERROR(
IF(REGEXMATCH(LOWER(O9282),""k""),
VALUE(REGEXEXTRACT(O9282,""[0-9]+""))*1000,
VALUE(REGEXEXTRACT(O9282,""[0-9]+""))
),
0
)"),0.0)</f>
        <v>0</v>
      </c>
      <c r="E9282" s="1" t="s">
        <v>11</v>
      </c>
      <c r="F9282" s="1" t="s">
        <v>12</v>
      </c>
      <c r="G9282" s="4" t="b">
        <f t="shared" si="2"/>
        <v>1</v>
      </c>
      <c r="H9282" s="1" t="str">
        <f t="shared" si="3"/>
        <v>Currently Unavailable</v>
      </c>
      <c r="I9282" s="1" t="str">
        <f t="shared" si="4"/>
        <v>No Badges</v>
      </c>
      <c r="J9282" s="3">
        <f t="shared" si="5"/>
        <v>0</v>
      </c>
    </row>
    <row r="9283">
      <c r="A9283" s="1" t="s">
        <v>7069</v>
      </c>
      <c r="B9283" s="3" t="str">
        <f t="shared" si="1"/>
        <v>Unavailable</v>
      </c>
      <c r="C9283" s="5">
        <v>6157.0</v>
      </c>
      <c r="D9283" s="3">
        <f>IFERROR(__xludf.DUMMYFUNCTION("IFERROR(
IF(REGEXMATCH(LOWER(O9283),""k""),
VALUE(REGEXEXTRACT(O9283,""[0-9]+""))*1000,
VALUE(REGEXEXTRACT(O9283,""[0-9]+""))
),
0
)"),0.0)</f>
        <v>0</v>
      </c>
      <c r="E9283" s="1" t="s">
        <v>11</v>
      </c>
      <c r="F9283" s="1" t="s">
        <v>20</v>
      </c>
      <c r="G9283" s="4" t="b">
        <f t="shared" si="2"/>
        <v>1</v>
      </c>
      <c r="H9283" s="1" t="str">
        <f t="shared" si="3"/>
        <v>Currently Unavailable</v>
      </c>
      <c r="I9283" s="1" t="str">
        <f t="shared" si="4"/>
        <v>No Badges</v>
      </c>
      <c r="J9283" s="3">
        <f t="shared" si="5"/>
        <v>0</v>
      </c>
    </row>
    <row r="9284">
      <c r="A9284" s="1" t="s">
        <v>6661</v>
      </c>
      <c r="B9284" s="3" t="str">
        <f t="shared" si="1"/>
        <v>Unavailable</v>
      </c>
      <c r="C9284" s="3">
        <v>24.0</v>
      </c>
      <c r="D9284" s="3">
        <f>IFERROR(__xludf.DUMMYFUNCTION("IFERROR(
IF(REGEXMATCH(LOWER(O9284),""k""),
VALUE(REGEXEXTRACT(O9284,""[0-9]+""))*1000,
VALUE(REGEXEXTRACT(O9284,""[0-9]+""))
),
0
)"),0.0)</f>
        <v>0</v>
      </c>
      <c r="E9284" s="1" t="s">
        <v>11</v>
      </c>
      <c r="F9284" s="1" t="s">
        <v>12</v>
      </c>
      <c r="G9284" s="4" t="b">
        <f t="shared" si="2"/>
        <v>1</v>
      </c>
      <c r="H9284" s="1" t="str">
        <f t="shared" si="3"/>
        <v>Currently Unavailable</v>
      </c>
      <c r="I9284" s="1" t="str">
        <f t="shared" si="4"/>
        <v>No Badges</v>
      </c>
      <c r="J9284" s="3">
        <f t="shared" si="5"/>
        <v>0</v>
      </c>
    </row>
    <row r="9285">
      <c r="A9285" s="1" t="s">
        <v>7070</v>
      </c>
      <c r="B9285" s="3" t="str">
        <f t="shared" si="1"/>
        <v>Unavailable</v>
      </c>
      <c r="C9285" s="5">
        <v>12875.0</v>
      </c>
      <c r="D9285" s="3">
        <f>IFERROR(__xludf.DUMMYFUNCTION("IFERROR(
IF(REGEXMATCH(LOWER(O9285),""k""),
VALUE(REGEXEXTRACT(O9285,""[0-9]+""))*1000,
VALUE(REGEXEXTRACT(O9285,""[0-9]+""))
),
0
)"),0.0)</f>
        <v>0</v>
      </c>
      <c r="E9285" s="1" t="s">
        <v>11</v>
      </c>
      <c r="F9285" s="1" t="s">
        <v>20</v>
      </c>
      <c r="G9285" s="4" t="b">
        <f t="shared" si="2"/>
        <v>1</v>
      </c>
      <c r="H9285" s="1" t="str">
        <f t="shared" si="3"/>
        <v>Currently Unavailable</v>
      </c>
      <c r="I9285" s="1" t="str">
        <f t="shared" si="4"/>
        <v>No Badges</v>
      </c>
      <c r="J9285" s="3">
        <f t="shared" si="5"/>
        <v>0</v>
      </c>
    </row>
    <row r="9286">
      <c r="A9286" s="1" t="s">
        <v>7071</v>
      </c>
      <c r="B9286" s="3" t="str">
        <f t="shared" si="1"/>
        <v>Unavailable</v>
      </c>
      <c r="C9286" s="5">
        <v>4527.0</v>
      </c>
      <c r="D9286" s="3">
        <f>IFERROR(__xludf.DUMMYFUNCTION("IFERROR(
IF(REGEXMATCH(LOWER(O9286),""k""),
VALUE(REGEXEXTRACT(O9286,""[0-9]+""))*1000,
VALUE(REGEXEXTRACT(O9286,""[0-9]+""))
),
0
)"),0.0)</f>
        <v>0</v>
      </c>
      <c r="E9286" s="1" t="s">
        <v>11</v>
      </c>
      <c r="F9286" s="1" t="s">
        <v>20</v>
      </c>
      <c r="G9286" s="4" t="b">
        <f t="shared" si="2"/>
        <v>1</v>
      </c>
      <c r="H9286" s="1" t="str">
        <f t="shared" si="3"/>
        <v>Currently Unavailable</v>
      </c>
      <c r="I9286" s="1" t="str">
        <f t="shared" si="4"/>
        <v>No Badges</v>
      </c>
      <c r="J9286" s="3">
        <f t="shared" si="5"/>
        <v>0</v>
      </c>
    </row>
    <row r="9287">
      <c r="A9287" s="1" t="s">
        <v>7072</v>
      </c>
      <c r="B9287" s="3" t="str">
        <f t="shared" si="1"/>
        <v>Unavailable</v>
      </c>
      <c r="C9287" s="5">
        <v>2197.0</v>
      </c>
      <c r="D9287" s="3">
        <f>IFERROR(__xludf.DUMMYFUNCTION("IFERROR(
IF(REGEXMATCH(LOWER(O9287),""k""),
VALUE(REGEXEXTRACT(O9287,""[0-9]+""))*1000,
VALUE(REGEXEXTRACT(O9287,""[0-9]+""))
),
0
)"),0.0)</f>
        <v>0</v>
      </c>
      <c r="E9287" s="1" t="s">
        <v>11</v>
      </c>
      <c r="F9287" s="1" t="s">
        <v>20</v>
      </c>
      <c r="G9287" s="4" t="b">
        <f t="shared" si="2"/>
        <v>1</v>
      </c>
      <c r="H9287" s="1" t="str">
        <f t="shared" si="3"/>
        <v>Currently Unavailable</v>
      </c>
      <c r="I9287" s="1" t="str">
        <f t="shared" si="4"/>
        <v>No Badges</v>
      </c>
      <c r="J9287" s="3">
        <f t="shared" si="5"/>
        <v>0</v>
      </c>
    </row>
    <row r="9288">
      <c r="A9288" s="1" t="s">
        <v>7073</v>
      </c>
      <c r="B9288" s="3" t="str">
        <f t="shared" si="1"/>
        <v>Unavailable</v>
      </c>
      <c r="C9288" s="3">
        <v>297.0</v>
      </c>
      <c r="D9288" s="3">
        <f>IFERROR(__xludf.DUMMYFUNCTION("IFERROR(
IF(REGEXMATCH(LOWER(O9288),""k""),
VALUE(REGEXEXTRACT(O9288,""[0-9]+""))*1000,
VALUE(REGEXEXTRACT(O9288,""[0-9]+""))
),
0
)"),0.0)</f>
        <v>0</v>
      </c>
      <c r="E9288" s="1" t="s">
        <v>11</v>
      </c>
      <c r="F9288" s="1" t="s">
        <v>20</v>
      </c>
      <c r="G9288" s="4" t="b">
        <f t="shared" si="2"/>
        <v>1</v>
      </c>
      <c r="H9288" s="1" t="str">
        <f t="shared" si="3"/>
        <v>Currently Unavailable</v>
      </c>
      <c r="I9288" s="1" t="str">
        <f t="shared" si="4"/>
        <v>No Badges</v>
      </c>
      <c r="J9288" s="3">
        <f t="shared" si="5"/>
        <v>0</v>
      </c>
    </row>
    <row r="9289">
      <c r="A9289" s="1" t="s">
        <v>7074</v>
      </c>
      <c r="B9289" s="1" t="str">
        <f t="shared" si="1"/>
        <v>Unavailable</v>
      </c>
      <c r="C9289" s="1"/>
      <c r="D9289" s="3">
        <f>IFERROR(__xludf.DUMMYFUNCTION("IFERROR(
IF(REGEXMATCH(LOWER(O9289),""k""),
VALUE(REGEXEXTRACT(O9289,""[0-9]+""))*1000,
VALUE(REGEXEXTRACT(O9289,""[0-9]+""))
),
0
)"),0.0)</f>
        <v>0</v>
      </c>
      <c r="E9289" s="1" t="s">
        <v>11</v>
      </c>
      <c r="F9289" s="1" t="s">
        <v>20</v>
      </c>
      <c r="G9289" s="4" t="b">
        <f t="shared" si="2"/>
        <v>1</v>
      </c>
      <c r="H9289" s="1" t="str">
        <f t="shared" si="3"/>
        <v>Currently Unavailable</v>
      </c>
      <c r="I9289" s="1" t="str">
        <f t="shared" si="4"/>
        <v>No Badges</v>
      </c>
      <c r="J9289" s="6">
        <f t="shared" si="5"/>
        <v>0</v>
      </c>
    </row>
    <row r="9290">
      <c r="A9290" s="1" t="s">
        <v>7075</v>
      </c>
      <c r="B9290" s="3" t="str">
        <f t="shared" si="1"/>
        <v>Unavailable</v>
      </c>
      <c r="C9290" s="5">
        <v>56528.0</v>
      </c>
      <c r="D9290" s="3">
        <f>IFERROR(__xludf.DUMMYFUNCTION("IFERROR(
IF(REGEXMATCH(LOWER(O9290),""k""),
VALUE(REGEXEXTRACT(O9290,""[0-9]+""))*1000,
VALUE(REGEXEXTRACT(O9290,""[0-9]+""))
),
0
)"),0.0)</f>
        <v>0</v>
      </c>
      <c r="E9290" s="1" t="s">
        <v>11</v>
      </c>
      <c r="F9290" s="1" t="s">
        <v>20</v>
      </c>
      <c r="G9290" s="4" t="b">
        <f t="shared" si="2"/>
        <v>1</v>
      </c>
      <c r="H9290" s="1" t="str">
        <f t="shared" si="3"/>
        <v>Currently Unavailable</v>
      </c>
      <c r="I9290" s="1" t="str">
        <f t="shared" si="4"/>
        <v>No Badges</v>
      </c>
      <c r="J9290" s="3">
        <f t="shared" si="5"/>
        <v>0</v>
      </c>
    </row>
    <row r="9291">
      <c r="A9291" s="1" t="s">
        <v>7076</v>
      </c>
      <c r="B9291" s="3" t="str">
        <f t="shared" si="1"/>
        <v>Unavailable</v>
      </c>
      <c r="C9291" s="5">
        <v>4292.0</v>
      </c>
      <c r="D9291" s="3">
        <f>IFERROR(__xludf.DUMMYFUNCTION("IFERROR(
IF(REGEXMATCH(LOWER(O9291),""k""),
VALUE(REGEXEXTRACT(O9291,""[0-9]+""))*1000,
VALUE(REGEXEXTRACT(O9291,""[0-9]+""))
),
0
)"),0.0)</f>
        <v>0</v>
      </c>
      <c r="E9291" s="1" t="s">
        <v>11</v>
      </c>
      <c r="F9291" s="1" t="s">
        <v>20</v>
      </c>
      <c r="G9291" s="4" t="b">
        <f t="shared" si="2"/>
        <v>1</v>
      </c>
      <c r="H9291" s="1" t="str">
        <f t="shared" si="3"/>
        <v>Currently Unavailable</v>
      </c>
      <c r="I9291" s="1" t="str">
        <f t="shared" si="4"/>
        <v>No Badges</v>
      </c>
      <c r="J9291" s="3">
        <f t="shared" si="5"/>
        <v>0</v>
      </c>
    </row>
    <row r="9292">
      <c r="A9292" s="1" t="s">
        <v>7077</v>
      </c>
      <c r="B9292" s="3" t="str">
        <f t="shared" si="1"/>
        <v>Unavailable</v>
      </c>
      <c r="C9292" s="3">
        <v>378.0</v>
      </c>
      <c r="D9292" s="3">
        <f>IFERROR(__xludf.DUMMYFUNCTION("IFERROR(
IF(REGEXMATCH(LOWER(O9292),""k""),
VALUE(REGEXEXTRACT(O9292,""[0-9]+""))*1000,
VALUE(REGEXEXTRACT(O9292,""[0-9]+""))
),
0
)"),0.0)</f>
        <v>0</v>
      </c>
      <c r="E9292" s="1" t="s">
        <v>11</v>
      </c>
      <c r="F9292" s="1" t="s">
        <v>20</v>
      </c>
      <c r="G9292" s="4" t="b">
        <f t="shared" si="2"/>
        <v>1</v>
      </c>
      <c r="H9292" s="1" t="str">
        <f t="shared" si="3"/>
        <v>Currently Unavailable</v>
      </c>
      <c r="I9292" s="1" t="str">
        <f t="shared" si="4"/>
        <v>No Badges</v>
      </c>
      <c r="J9292" s="3">
        <f t="shared" si="5"/>
        <v>0</v>
      </c>
    </row>
    <row r="9293">
      <c r="A9293" s="1" t="s">
        <v>7078</v>
      </c>
      <c r="B9293" s="3" t="str">
        <f t="shared" si="1"/>
        <v>Unavailable</v>
      </c>
      <c r="C9293" s="5">
        <v>17904.0</v>
      </c>
      <c r="D9293" s="3">
        <f>IFERROR(__xludf.DUMMYFUNCTION("IFERROR(
IF(REGEXMATCH(LOWER(O9293),""k""),
VALUE(REGEXEXTRACT(O9293,""[0-9]+""))*1000,
VALUE(REGEXEXTRACT(O9293,""[0-9]+""))
),
0
)"),0.0)</f>
        <v>0</v>
      </c>
      <c r="E9293" s="1" t="s">
        <v>11</v>
      </c>
      <c r="F9293" s="1" t="s">
        <v>20</v>
      </c>
      <c r="G9293" s="4" t="b">
        <f t="shared" si="2"/>
        <v>1</v>
      </c>
      <c r="H9293" s="1" t="str">
        <f t="shared" si="3"/>
        <v>Currently Unavailable</v>
      </c>
      <c r="I9293" s="1" t="str">
        <f t="shared" si="4"/>
        <v>No Badges</v>
      </c>
      <c r="J9293" s="3">
        <f t="shared" si="5"/>
        <v>0</v>
      </c>
    </row>
    <row r="9294">
      <c r="A9294" s="1" t="s">
        <v>7079</v>
      </c>
      <c r="B9294" s="3" t="str">
        <f t="shared" si="1"/>
        <v>Unavailable</v>
      </c>
      <c r="C9294" s="5">
        <v>6199.0</v>
      </c>
      <c r="D9294" s="3">
        <f>IFERROR(__xludf.DUMMYFUNCTION("IFERROR(
IF(REGEXMATCH(LOWER(O9294),""k""),
VALUE(REGEXEXTRACT(O9294,""[0-9]+""))*1000,
VALUE(REGEXEXTRACT(O9294,""[0-9]+""))
),
0
)"),0.0)</f>
        <v>0</v>
      </c>
      <c r="E9294" s="1" t="s">
        <v>11</v>
      </c>
      <c r="F9294" s="1" t="s">
        <v>20</v>
      </c>
      <c r="G9294" s="4" t="b">
        <f t="shared" si="2"/>
        <v>1</v>
      </c>
      <c r="H9294" s="1" t="str">
        <f t="shared" si="3"/>
        <v>Currently Unavailable</v>
      </c>
      <c r="I9294" s="1" t="str">
        <f t="shared" si="4"/>
        <v>No Badges</v>
      </c>
      <c r="J9294" s="3">
        <f t="shared" si="5"/>
        <v>0</v>
      </c>
    </row>
    <row r="9295">
      <c r="A9295" s="1" t="s">
        <v>7080</v>
      </c>
      <c r="B9295" s="3" t="str">
        <f t="shared" si="1"/>
        <v>Unavailable</v>
      </c>
      <c r="C9295" s="3">
        <v>380.0</v>
      </c>
      <c r="D9295" s="3">
        <f>IFERROR(__xludf.DUMMYFUNCTION("IFERROR(
IF(REGEXMATCH(LOWER(O9295),""k""),
VALUE(REGEXEXTRACT(O9295,""[0-9]+""))*1000,
VALUE(REGEXEXTRACT(O9295,""[0-9]+""))
),
0
)"),0.0)</f>
        <v>0</v>
      </c>
      <c r="E9295" s="1" t="s">
        <v>18</v>
      </c>
      <c r="F9295" s="1" t="s">
        <v>20</v>
      </c>
      <c r="G9295" s="4" t="b">
        <f t="shared" si="2"/>
        <v>1</v>
      </c>
      <c r="H9295" s="1" t="str">
        <f t="shared" si="3"/>
        <v>Currently Unavailable</v>
      </c>
      <c r="I9295" s="1" t="str">
        <f t="shared" si="4"/>
        <v>No Badges</v>
      </c>
      <c r="J9295" s="3">
        <f t="shared" si="5"/>
        <v>0</v>
      </c>
    </row>
    <row r="9296">
      <c r="A9296" s="1" t="s">
        <v>7081</v>
      </c>
      <c r="B9296" s="3" t="str">
        <f t="shared" si="1"/>
        <v>Unavailable</v>
      </c>
      <c r="C9296" s="5">
        <v>13544.0</v>
      </c>
      <c r="D9296" s="3">
        <f>IFERROR(__xludf.DUMMYFUNCTION("IFERROR(
IF(REGEXMATCH(LOWER(O9296),""k""),
VALUE(REGEXEXTRACT(O9296,""[0-9]+""))*1000,
VALUE(REGEXEXTRACT(O9296,""[0-9]+""))
),
0
)"),0.0)</f>
        <v>0</v>
      </c>
      <c r="E9296" s="1" t="s">
        <v>11</v>
      </c>
      <c r="F9296" s="1" t="s">
        <v>20</v>
      </c>
      <c r="G9296" s="4" t="b">
        <f t="shared" si="2"/>
        <v>1</v>
      </c>
      <c r="H9296" s="1" t="str">
        <f t="shared" si="3"/>
        <v>Currently Unavailable</v>
      </c>
      <c r="I9296" s="1" t="str">
        <f t="shared" si="4"/>
        <v>No Badges</v>
      </c>
      <c r="J9296" s="3">
        <f t="shared" si="5"/>
        <v>0</v>
      </c>
    </row>
    <row r="9297">
      <c r="A9297" s="1" t="s">
        <v>7082</v>
      </c>
      <c r="B9297" s="3" t="str">
        <f t="shared" si="1"/>
        <v>Unavailable</v>
      </c>
      <c r="C9297" s="3">
        <v>130.0</v>
      </c>
      <c r="D9297" s="3">
        <f>IFERROR(__xludf.DUMMYFUNCTION("IFERROR(
IF(REGEXMATCH(LOWER(O9297),""k""),
VALUE(REGEXEXTRACT(O9297,""[0-9]+""))*1000,
VALUE(REGEXEXTRACT(O9297,""[0-9]+""))
),
0
)"),0.0)</f>
        <v>0</v>
      </c>
      <c r="E9297" s="1" t="s">
        <v>158</v>
      </c>
      <c r="F9297" s="1" t="s">
        <v>20</v>
      </c>
      <c r="G9297" s="4" t="b">
        <f t="shared" si="2"/>
        <v>1</v>
      </c>
      <c r="H9297" s="1" t="str">
        <f t="shared" si="3"/>
        <v>Currently Unavailable</v>
      </c>
      <c r="I9297" s="1" t="str">
        <f t="shared" si="4"/>
        <v>No Badges</v>
      </c>
      <c r="J9297" s="3">
        <f t="shared" si="5"/>
        <v>0</v>
      </c>
    </row>
    <row r="9298">
      <c r="A9298" s="1" t="s">
        <v>7083</v>
      </c>
      <c r="B9298" s="3" t="str">
        <f t="shared" si="1"/>
        <v>Unavailable</v>
      </c>
      <c r="C9298" s="5">
        <v>1111.0</v>
      </c>
      <c r="D9298" s="3">
        <f>IFERROR(__xludf.DUMMYFUNCTION("IFERROR(
IF(REGEXMATCH(LOWER(O9298),""k""),
VALUE(REGEXEXTRACT(O9298,""[0-9]+""))*1000,
VALUE(REGEXEXTRACT(O9298,""[0-9]+""))
),
0
)"),0.0)</f>
        <v>0</v>
      </c>
      <c r="E9298" s="1" t="s">
        <v>11</v>
      </c>
      <c r="F9298" s="1" t="s">
        <v>20</v>
      </c>
      <c r="G9298" s="4" t="b">
        <f t="shared" si="2"/>
        <v>1</v>
      </c>
      <c r="H9298" s="1" t="str">
        <f t="shared" si="3"/>
        <v>Currently Unavailable</v>
      </c>
      <c r="I9298" s="1" t="str">
        <f t="shared" si="4"/>
        <v>No Badges</v>
      </c>
      <c r="J9298" s="3">
        <f t="shared" si="5"/>
        <v>0</v>
      </c>
    </row>
    <row r="9299">
      <c r="A9299" s="1" t="s">
        <v>7084</v>
      </c>
      <c r="B9299" s="3" t="str">
        <f t="shared" si="1"/>
        <v>Unavailable</v>
      </c>
      <c r="C9299" s="5">
        <v>6718.0</v>
      </c>
      <c r="D9299" s="3">
        <f>IFERROR(__xludf.DUMMYFUNCTION("IFERROR(
IF(REGEXMATCH(LOWER(O9299),""k""),
VALUE(REGEXEXTRACT(O9299,""[0-9]+""))*1000,
VALUE(REGEXEXTRACT(O9299,""[0-9]+""))
),
0
)"),0.0)</f>
        <v>0</v>
      </c>
      <c r="E9299" s="1" t="s">
        <v>11</v>
      </c>
      <c r="F9299" s="1" t="s">
        <v>20</v>
      </c>
      <c r="G9299" s="4" t="b">
        <f t="shared" si="2"/>
        <v>1</v>
      </c>
      <c r="H9299" s="1" t="str">
        <f t="shared" si="3"/>
        <v>Currently Unavailable</v>
      </c>
      <c r="I9299" s="1" t="str">
        <f t="shared" si="4"/>
        <v>No Badges</v>
      </c>
      <c r="J9299" s="3">
        <f t="shared" si="5"/>
        <v>0</v>
      </c>
    </row>
    <row r="9300">
      <c r="A9300" s="1" t="s">
        <v>7085</v>
      </c>
      <c r="B9300" s="3" t="str">
        <f t="shared" si="1"/>
        <v>Unavailable</v>
      </c>
      <c r="C9300" s="5">
        <v>23678.0</v>
      </c>
      <c r="D9300" s="3">
        <f>IFERROR(__xludf.DUMMYFUNCTION("IFERROR(
IF(REGEXMATCH(LOWER(O9300),""k""),
VALUE(REGEXEXTRACT(O9300,""[0-9]+""))*1000,
VALUE(REGEXEXTRACT(O9300,""[0-9]+""))
),
0
)"),0.0)</f>
        <v>0</v>
      </c>
      <c r="E9300" s="1" t="s">
        <v>11</v>
      </c>
      <c r="F9300" s="1" t="s">
        <v>20</v>
      </c>
      <c r="G9300" s="4" t="b">
        <f t="shared" si="2"/>
        <v>1</v>
      </c>
      <c r="H9300" s="1" t="str">
        <f t="shared" si="3"/>
        <v>Currently Unavailable</v>
      </c>
      <c r="I9300" s="1" t="str">
        <f t="shared" si="4"/>
        <v>No Badges</v>
      </c>
      <c r="J9300" s="3">
        <f t="shared" si="5"/>
        <v>0</v>
      </c>
    </row>
    <row r="9301">
      <c r="A9301" s="1" t="s">
        <v>7086</v>
      </c>
      <c r="B9301" s="3" t="str">
        <f t="shared" si="1"/>
        <v>Unavailable</v>
      </c>
      <c r="C9301" s="5">
        <v>11809.0</v>
      </c>
      <c r="D9301" s="3">
        <f>IFERROR(__xludf.DUMMYFUNCTION("IFERROR(
IF(REGEXMATCH(LOWER(O9301),""k""),
VALUE(REGEXEXTRACT(O9301,""[0-9]+""))*1000,
VALUE(REGEXEXTRACT(O9301,""[0-9]+""))
),
0
)"),0.0)</f>
        <v>0</v>
      </c>
      <c r="E9301" s="1" t="s">
        <v>11</v>
      </c>
      <c r="F9301" s="1" t="s">
        <v>20</v>
      </c>
      <c r="G9301" s="4" t="b">
        <f t="shared" si="2"/>
        <v>1</v>
      </c>
      <c r="H9301" s="1" t="str">
        <f t="shared" si="3"/>
        <v>Currently Unavailable</v>
      </c>
      <c r="I9301" s="1" t="str">
        <f t="shared" si="4"/>
        <v>No Badges</v>
      </c>
      <c r="J9301" s="3">
        <f t="shared" si="5"/>
        <v>0</v>
      </c>
    </row>
    <row r="9302">
      <c r="A9302" s="1" t="s">
        <v>7087</v>
      </c>
      <c r="B9302" s="3" t="str">
        <f t="shared" si="1"/>
        <v>Unavailable</v>
      </c>
      <c r="C9302" s="5">
        <v>1961.0</v>
      </c>
      <c r="D9302" s="3">
        <f>IFERROR(__xludf.DUMMYFUNCTION("IFERROR(
IF(REGEXMATCH(LOWER(O9302),""k""),
VALUE(REGEXEXTRACT(O9302,""[0-9]+""))*1000,
VALUE(REGEXEXTRACT(O9302,""[0-9]+""))
),
0
)"),0.0)</f>
        <v>0</v>
      </c>
      <c r="E9302" s="1" t="s">
        <v>11</v>
      </c>
      <c r="F9302" s="1" t="s">
        <v>20</v>
      </c>
      <c r="G9302" s="4" t="b">
        <f t="shared" si="2"/>
        <v>1</v>
      </c>
      <c r="H9302" s="1" t="str">
        <f t="shared" si="3"/>
        <v>Currently Unavailable</v>
      </c>
      <c r="I9302" s="1" t="str">
        <f t="shared" si="4"/>
        <v>No Badges</v>
      </c>
      <c r="J9302" s="3">
        <f t="shared" si="5"/>
        <v>0</v>
      </c>
    </row>
    <row r="9303">
      <c r="A9303" s="1" t="s">
        <v>6635</v>
      </c>
      <c r="B9303" s="3" t="str">
        <f t="shared" si="1"/>
        <v>Unavailable</v>
      </c>
      <c r="C9303" s="3">
        <v>222.0</v>
      </c>
      <c r="D9303" s="3">
        <f>IFERROR(__xludf.DUMMYFUNCTION("IFERROR(
IF(REGEXMATCH(LOWER(O9303),""k""),
VALUE(REGEXEXTRACT(O9303,""[0-9]+""))*1000,
VALUE(REGEXEXTRACT(O9303,""[0-9]+""))
),
0
)"),0.0)</f>
        <v>0</v>
      </c>
      <c r="E9303" s="1" t="s">
        <v>11</v>
      </c>
      <c r="F9303" s="1" t="s">
        <v>20</v>
      </c>
      <c r="G9303" s="4" t="b">
        <f t="shared" si="2"/>
        <v>1</v>
      </c>
      <c r="H9303" s="1" t="str">
        <f t="shared" si="3"/>
        <v>Currently Unavailable</v>
      </c>
      <c r="I9303" s="1" t="str">
        <f t="shared" si="4"/>
        <v>No Badges</v>
      </c>
      <c r="J9303" s="3">
        <f t="shared" si="5"/>
        <v>0</v>
      </c>
    </row>
    <row r="9304">
      <c r="A9304" s="1" t="s">
        <v>7088</v>
      </c>
      <c r="B9304" s="3" t="str">
        <f t="shared" si="1"/>
        <v>Unavailable</v>
      </c>
      <c r="C9304" s="5">
        <v>98483.0</v>
      </c>
      <c r="D9304" s="3">
        <f>IFERROR(__xludf.DUMMYFUNCTION("IFERROR(
IF(REGEXMATCH(LOWER(O9304),""k""),
VALUE(REGEXEXTRACT(O9304,""[0-9]+""))*1000,
VALUE(REGEXEXTRACT(O9304,""[0-9]+""))
),
0
)"),0.0)</f>
        <v>0</v>
      </c>
      <c r="E9304" s="1" t="s">
        <v>11</v>
      </c>
      <c r="F9304" s="1" t="s">
        <v>20</v>
      </c>
      <c r="G9304" s="4" t="b">
        <f t="shared" si="2"/>
        <v>1</v>
      </c>
      <c r="H9304" s="1" t="str">
        <f t="shared" si="3"/>
        <v>Currently Unavailable</v>
      </c>
      <c r="I9304" s="1" t="str">
        <f t="shared" si="4"/>
        <v>No Badges</v>
      </c>
      <c r="J9304" s="3">
        <f t="shared" si="5"/>
        <v>0</v>
      </c>
    </row>
    <row r="9305">
      <c r="A9305" s="1" t="s">
        <v>6637</v>
      </c>
      <c r="B9305" s="3" t="str">
        <f t="shared" si="1"/>
        <v>Unavailable</v>
      </c>
      <c r="C9305" s="3">
        <v>97.0</v>
      </c>
      <c r="D9305" s="3">
        <f>IFERROR(__xludf.DUMMYFUNCTION("IFERROR(
IF(REGEXMATCH(LOWER(O9305),""k""),
VALUE(REGEXEXTRACT(O9305,""[0-9]+""))*1000,
VALUE(REGEXEXTRACT(O9305,""[0-9]+""))
),
0
)"),0.0)</f>
        <v>0</v>
      </c>
      <c r="E9305" s="1" t="s">
        <v>11</v>
      </c>
      <c r="F9305" s="1" t="s">
        <v>20</v>
      </c>
      <c r="G9305" s="4" t="b">
        <f t="shared" si="2"/>
        <v>1</v>
      </c>
      <c r="H9305" s="1" t="str">
        <f t="shared" si="3"/>
        <v>Currently Unavailable</v>
      </c>
      <c r="I9305" s="1" t="str">
        <f t="shared" si="4"/>
        <v>No Badges</v>
      </c>
      <c r="J9305" s="3">
        <f t="shared" si="5"/>
        <v>0</v>
      </c>
    </row>
    <row r="9306">
      <c r="A9306" s="1" t="s">
        <v>7089</v>
      </c>
      <c r="B9306" s="3" t="str">
        <f t="shared" si="1"/>
        <v>Unavailable</v>
      </c>
      <c r="C9306" s="5">
        <v>5682.0</v>
      </c>
      <c r="D9306" s="3">
        <f>IFERROR(__xludf.DUMMYFUNCTION("IFERROR(
IF(REGEXMATCH(LOWER(O9306),""k""),
VALUE(REGEXEXTRACT(O9306,""[0-9]+""))*1000,
VALUE(REGEXEXTRACT(O9306,""[0-9]+""))
),
0
)"),0.0)</f>
        <v>0</v>
      </c>
      <c r="E9306" s="1" t="s">
        <v>11</v>
      </c>
      <c r="F9306" s="1" t="s">
        <v>20</v>
      </c>
      <c r="G9306" s="4" t="b">
        <f t="shared" si="2"/>
        <v>1</v>
      </c>
      <c r="H9306" s="1" t="str">
        <f t="shared" si="3"/>
        <v>Currently Unavailable</v>
      </c>
      <c r="I9306" s="1" t="str">
        <f t="shared" si="4"/>
        <v>No Badges</v>
      </c>
      <c r="J9306" s="3">
        <f t="shared" si="5"/>
        <v>0</v>
      </c>
    </row>
    <row r="9307">
      <c r="A9307" s="1" t="s">
        <v>7090</v>
      </c>
      <c r="B9307" s="3" t="str">
        <f t="shared" si="1"/>
        <v>Unavailable</v>
      </c>
      <c r="C9307" s="5">
        <v>25754.0</v>
      </c>
      <c r="D9307" s="3">
        <f>IFERROR(__xludf.DUMMYFUNCTION("IFERROR(
IF(REGEXMATCH(LOWER(O9307),""k""),
VALUE(REGEXEXTRACT(O9307,""[0-9]+""))*1000,
VALUE(REGEXEXTRACT(O9307,""[0-9]+""))
),
0
)"),0.0)</f>
        <v>0</v>
      </c>
      <c r="E9307" s="1" t="s">
        <v>11</v>
      </c>
      <c r="F9307" s="1" t="s">
        <v>20</v>
      </c>
      <c r="G9307" s="4" t="b">
        <f t="shared" si="2"/>
        <v>1</v>
      </c>
      <c r="H9307" s="1" t="str">
        <f t="shared" si="3"/>
        <v>Currently Unavailable</v>
      </c>
      <c r="I9307" s="1" t="str">
        <f t="shared" si="4"/>
        <v>No Badges</v>
      </c>
      <c r="J9307" s="3">
        <f t="shared" si="5"/>
        <v>0</v>
      </c>
    </row>
    <row r="9308">
      <c r="A9308" s="1" t="s">
        <v>7091</v>
      </c>
      <c r="B9308" s="3" t="str">
        <f t="shared" si="1"/>
        <v>Unavailable</v>
      </c>
      <c r="C9308" s="5">
        <v>15744.0</v>
      </c>
      <c r="D9308" s="3">
        <f>IFERROR(__xludf.DUMMYFUNCTION("IFERROR(
IF(REGEXMATCH(LOWER(O9308),""k""),
VALUE(REGEXEXTRACT(O9308,""[0-9]+""))*1000,
VALUE(REGEXEXTRACT(O9308,""[0-9]+""))
),
0
)"),0.0)</f>
        <v>0</v>
      </c>
      <c r="E9308" s="1" t="s">
        <v>11</v>
      </c>
      <c r="F9308" s="1" t="s">
        <v>20</v>
      </c>
      <c r="G9308" s="4" t="b">
        <f t="shared" si="2"/>
        <v>1</v>
      </c>
      <c r="H9308" s="1" t="str">
        <f t="shared" si="3"/>
        <v>Currently Unavailable</v>
      </c>
      <c r="I9308" s="1" t="str">
        <f t="shared" si="4"/>
        <v>No Badges</v>
      </c>
      <c r="J9308" s="3">
        <f t="shared" si="5"/>
        <v>0</v>
      </c>
    </row>
    <row r="9309">
      <c r="A9309" s="1" t="s">
        <v>7092</v>
      </c>
      <c r="B9309" s="3" t="str">
        <f t="shared" si="1"/>
        <v>Unavailable</v>
      </c>
      <c r="C9309" s="5">
        <v>6547.0</v>
      </c>
      <c r="D9309" s="3">
        <f>IFERROR(__xludf.DUMMYFUNCTION("IFERROR(
IF(REGEXMATCH(LOWER(O9309),""k""),
VALUE(REGEXEXTRACT(O9309,""[0-9]+""))*1000,
VALUE(REGEXEXTRACT(O9309,""[0-9]+""))
),
0
)"),0.0)</f>
        <v>0</v>
      </c>
      <c r="E9309" s="1" t="s">
        <v>11</v>
      </c>
      <c r="F9309" s="1" t="s">
        <v>20</v>
      </c>
      <c r="G9309" s="4" t="b">
        <f t="shared" si="2"/>
        <v>1</v>
      </c>
      <c r="H9309" s="1" t="str">
        <f t="shared" si="3"/>
        <v>Currently Unavailable</v>
      </c>
      <c r="I9309" s="1" t="str">
        <f t="shared" si="4"/>
        <v>No Badges</v>
      </c>
      <c r="J9309" s="3">
        <f t="shared" si="5"/>
        <v>0</v>
      </c>
    </row>
    <row r="9310">
      <c r="A9310" s="1" t="s">
        <v>7068</v>
      </c>
      <c r="B9310" s="3" t="str">
        <f t="shared" si="1"/>
        <v>Unavailable</v>
      </c>
      <c r="C9310" s="3">
        <v>598.0</v>
      </c>
      <c r="D9310" s="3">
        <f>IFERROR(__xludf.DUMMYFUNCTION("IFERROR(
IF(REGEXMATCH(LOWER(O9310),""k""),
VALUE(REGEXEXTRACT(O9310,""[0-9]+""))*1000,
VALUE(REGEXEXTRACT(O9310,""[0-9]+""))
),
0
)"),0.0)</f>
        <v>0</v>
      </c>
      <c r="E9310" s="1" t="s">
        <v>11</v>
      </c>
      <c r="F9310" s="1" t="s">
        <v>20</v>
      </c>
      <c r="G9310" s="4" t="b">
        <f t="shared" si="2"/>
        <v>1</v>
      </c>
      <c r="H9310" s="1" t="str">
        <f t="shared" si="3"/>
        <v>Currently Unavailable</v>
      </c>
      <c r="I9310" s="1" t="str">
        <f t="shared" si="4"/>
        <v>No Badges</v>
      </c>
      <c r="J9310" s="3">
        <f t="shared" si="5"/>
        <v>0</v>
      </c>
    </row>
    <row r="9311">
      <c r="A9311" s="1" t="s">
        <v>7093</v>
      </c>
      <c r="B9311" s="3" t="str">
        <f t="shared" si="1"/>
        <v>Unavailable</v>
      </c>
      <c r="C9311" s="5">
        <v>11297.0</v>
      </c>
      <c r="D9311" s="3">
        <f>IFERROR(__xludf.DUMMYFUNCTION("IFERROR(
IF(REGEXMATCH(LOWER(O9311),""k""),
VALUE(REGEXEXTRACT(O9311,""[0-9]+""))*1000,
VALUE(REGEXEXTRACT(O9311,""[0-9]+""))
),
0
)"),0.0)</f>
        <v>0</v>
      </c>
      <c r="E9311" s="1" t="s">
        <v>11</v>
      </c>
      <c r="F9311" s="1" t="s">
        <v>20</v>
      </c>
      <c r="G9311" s="4" t="b">
        <f t="shared" si="2"/>
        <v>1</v>
      </c>
      <c r="H9311" s="1" t="str">
        <f t="shared" si="3"/>
        <v>Currently Unavailable</v>
      </c>
      <c r="I9311" s="1" t="str">
        <f t="shared" si="4"/>
        <v>No Badges</v>
      </c>
      <c r="J9311" s="3">
        <f t="shared" si="5"/>
        <v>0</v>
      </c>
    </row>
    <row r="9312">
      <c r="A9312" s="1" t="s">
        <v>6643</v>
      </c>
      <c r="B9312" s="3" t="str">
        <f t="shared" si="1"/>
        <v>Unavailable</v>
      </c>
      <c r="C9312" s="3">
        <v>16.0</v>
      </c>
      <c r="D9312" s="3">
        <f>IFERROR(__xludf.DUMMYFUNCTION("IFERROR(
IF(REGEXMATCH(LOWER(O9312),""k""),
VALUE(REGEXEXTRACT(O9312,""[0-9]+""))*1000,
VALUE(REGEXEXTRACT(O9312,""[0-9]+""))
),
0
)"),0.0)</f>
        <v>0</v>
      </c>
      <c r="E9312" s="1" t="s">
        <v>11</v>
      </c>
      <c r="F9312" s="1" t="s">
        <v>20</v>
      </c>
      <c r="G9312" s="4" t="b">
        <f t="shared" si="2"/>
        <v>1</v>
      </c>
      <c r="H9312" s="1" t="str">
        <f t="shared" si="3"/>
        <v>Currently Unavailable</v>
      </c>
      <c r="I9312" s="1" t="str">
        <f t="shared" si="4"/>
        <v>No Badges</v>
      </c>
      <c r="J9312" s="3">
        <f t="shared" si="5"/>
        <v>0</v>
      </c>
    </row>
    <row r="9313">
      <c r="A9313" s="1" t="s">
        <v>7094</v>
      </c>
      <c r="B9313" s="3" t="str">
        <f t="shared" si="1"/>
        <v>Unavailable</v>
      </c>
      <c r="C9313" s="5">
        <v>2019.0</v>
      </c>
      <c r="D9313" s="3">
        <f>IFERROR(__xludf.DUMMYFUNCTION("IFERROR(
IF(REGEXMATCH(LOWER(O9313),""k""),
VALUE(REGEXEXTRACT(O9313,""[0-9]+""))*1000,
VALUE(REGEXEXTRACT(O9313,""[0-9]+""))
),
0
)"),0.0)</f>
        <v>0</v>
      </c>
      <c r="E9313" s="1" t="s">
        <v>11</v>
      </c>
      <c r="F9313" s="1" t="s">
        <v>20</v>
      </c>
      <c r="G9313" s="4" t="b">
        <f t="shared" si="2"/>
        <v>1</v>
      </c>
      <c r="H9313" s="1" t="str">
        <f t="shared" si="3"/>
        <v>Currently Unavailable</v>
      </c>
      <c r="I9313" s="1" t="str">
        <f t="shared" si="4"/>
        <v>No Badges</v>
      </c>
      <c r="J9313" s="3">
        <f t="shared" si="5"/>
        <v>0</v>
      </c>
    </row>
    <row r="9314">
      <c r="A9314" s="1" t="s">
        <v>6644</v>
      </c>
      <c r="B9314" s="3" t="str">
        <f t="shared" si="1"/>
        <v>Unavailable</v>
      </c>
      <c r="C9314" s="5">
        <v>1452.0</v>
      </c>
      <c r="D9314" s="3">
        <f>IFERROR(__xludf.DUMMYFUNCTION("IFERROR(
IF(REGEXMATCH(LOWER(O9314),""k""),
VALUE(REGEXEXTRACT(O9314,""[0-9]+""))*1000,
VALUE(REGEXEXTRACT(O9314,""[0-9]+""))
),
0
)"),0.0)</f>
        <v>0</v>
      </c>
      <c r="E9314" s="1" t="s">
        <v>11</v>
      </c>
      <c r="F9314" s="1" t="s">
        <v>20</v>
      </c>
      <c r="G9314" s="4" t="b">
        <f t="shared" si="2"/>
        <v>1</v>
      </c>
      <c r="H9314" s="1" t="str">
        <f t="shared" si="3"/>
        <v>Currently Unavailable</v>
      </c>
      <c r="I9314" s="1" t="str">
        <f t="shared" si="4"/>
        <v>No Badges</v>
      </c>
      <c r="J9314" s="3">
        <f t="shared" si="5"/>
        <v>0</v>
      </c>
    </row>
    <row r="9315">
      <c r="A9315" s="1" t="s">
        <v>7095</v>
      </c>
      <c r="B9315" s="3" t="str">
        <f t="shared" si="1"/>
        <v>Unavailable</v>
      </c>
      <c r="C9315" s="5">
        <v>24969.0</v>
      </c>
      <c r="D9315" s="3">
        <f>IFERROR(__xludf.DUMMYFUNCTION("IFERROR(
IF(REGEXMATCH(LOWER(O9315),""k""),
VALUE(REGEXEXTRACT(O9315,""[0-9]+""))*1000,
VALUE(REGEXEXTRACT(O9315,""[0-9]+""))
),
0
)"),0.0)</f>
        <v>0</v>
      </c>
      <c r="E9315" s="1" t="s">
        <v>11</v>
      </c>
      <c r="F9315" s="1" t="s">
        <v>20</v>
      </c>
      <c r="G9315" s="4" t="b">
        <f t="shared" si="2"/>
        <v>1</v>
      </c>
      <c r="H9315" s="1" t="str">
        <f t="shared" si="3"/>
        <v>Currently Unavailable</v>
      </c>
      <c r="I9315" s="1" t="str">
        <f t="shared" si="4"/>
        <v>No Badges</v>
      </c>
      <c r="J9315" s="3">
        <f t="shared" si="5"/>
        <v>0</v>
      </c>
    </row>
    <row r="9316">
      <c r="A9316" s="1" t="s">
        <v>7096</v>
      </c>
      <c r="B9316" s="3" t="str">
        <f t="shared" si="1"/>
        <v>Unavailable</v>
      </c>
      <c r="C9316" s="5">
        <v>2452.0</v>
      </c>
      <c r="D9316" s="3">
        <f>IFERROR(__xludf.DUMMYFUNCTION("IFERROR(
IF(REGEXMATCH(LOWER(O9316),""k""),
VALUE(REGEXEXTRACT(O9316,""[0-9]+""))*1000,
VALUE(REGEXEXTRACT(O9316,""[0-9]+""))
),
0
)"),0.0)</f>
        <v>0</v>
      </c>
      <c r="E9316" s="1" t="s">
        <v>11</v>
      </c>
      <c r="F9316" s="1" t="s">
        <v>20</v>
      </c>
      <c r="G9316" s="4" t="b">
        <f t="shared" si="2"/>
        <v>1</v>
      </c>
      <c r="H9316" s="1" t="str">
        <f t="shared" si="3"/>
        <v>Currently Unavailable</v>
      </c>
      <c r="I9316" s="1" t="str">
        <f t="shared" si="4"/>
        <v>No Badges</v>
      </c>
      <c r="J9316" s="3">
        <f t="shared" si="5"/>
        <v>0</v>
      </c>
    </row>
    <row r="9317">
      <c r="A9317" s="1" t="s">
        <v>7097</v>
      </c>
      <c r="B9317" s="3" t="str">
        <f t="shared" si="1"/>
        <v>Unavailable</v>
      </c>
      <c r="C9317" s="5">
        <v>80028.0</v>
      </c>
      <c r="D9317" s="3">
        <f>IFERROR(__xludf.DUMMYFUNCTION("IFERROR(
IF(REGEXMATCH(LOWER(O9317),""k""),
VALUE(REGEXEXTRACT(O9317,""[0-9]+""))*1000,
VALUE(REGEXEXTRACT(O9317,""[0-9]+""))
),
0
)"),0.0)</f>
        <v>0</v>
      </c>
      <c r="E9317" s="1" t="s">
        <v>11</v>
      </c>
      <c r="F9317" s="1" t="s">
        <v>20</v>
      </c>
      <c r="G9317" s="4" t="b">
        <f t="shared" si="2"/>
        <v>1</v>
      </c>
      <c r="H9317" s="1" t="str">
        <f t="shared" si="3"/>
        <v>Currently Unavailable</v>
      </c>
      <c r="I9317" s="1" t="str">
        <f t="shared" si="4"/>
        <v>No Badges</v>
      </c>
      <c r="J9317" s="3">
        <f t="shared" si="5"/>
        <v>0</v>
      </c>
    </row>
    <row r="9318">
      <c r="A9318" s="1" t="s">
        <v>7098</v>
      </c>
      <c r="B9318" s="3" t="str">
        <f t="shared" si="1"/>
        <v>Unavailable</v>
      </c>
      <c r="C9318" s="5">
        <v>10031.0</v>
      </c>
      <c r="D9318" s="3">
        <f>IFERROR(__xludf.DUMMYFUNCTION("IFERROR(
IF(REGEXMATCH(LOWER(O9318),""k""),
VALUE(REGEXEXTRACT(O9318,""[0-9]+""))*1000,
VALUE(REGEXEXTRACT(O9318,""[0-9]+""))
),
0
)"),0.0)</f>
        <v>0</v>
      </c>
      <c r="E9318" s="1" t="s">
        <v>11</v>
      </c>
      <c r="F9318" s="1" t="s">
        <v>20</v>
      </c>
      <c r="G9318" s="4" t="b">
        <f t="shared" si="2"/>
        <v>1</v>
      </c>
      <c r="H9318" s="1" t="str">
        <f t="shared" si="3"/>
        <v>Currently Unavailable</v>
      </c>
      <c r="I9318" s="1" t="str">
        <f t="shared" si="4"/>
        <v>No Badges</v>
      </c>
      <c r="J9318" s="3">
        <f t="shared" si="5"/>
        <v>0</v>
      </c>
    </row>
    <row r="9319">
      <c r="A9319" s="1" t="s">
        <v>7099</v>
      </c>
      <c r="B9319" s="3" t="str">
        <f t="shared" si="1"/>
        <v>Unavailable</v>
      </c>
      <c r="C9319" s="5">
        <v>35238.0</v>
      </c>
      <c r="D9319" s="3">
        <f>IFERROR(__xludf.DUMMYFUNCTION("IFERROR(
IF(REGEXMATCH(LOWER(O9319),""k""),
VALUE(REGEXEXTRACT(O9319,""[0-9]+""))*1000,
VALUE(REGEXEXTRACT(O9319,""[0-9]+""))
),
0
)"),0.0)</f>
        <v>0</v>
      </c>
      <c r="E9319" s="1" t="s">
        <v>11</v>
      </c>
      <c r="F9319" s="1" t="s">
        <v>20</v>
      </c>
      <c r="G9319" s="4" t="b">
        <f t="shared" si="2"/>
        <v>1</v>
      </c>
      <c r="H9319" s="1" t="str">
        <f t="shared" si="3"/>
        <v>Currently Unavailable</v>
      </c>
      <c r="I9319" s="1" t="str">
        <f t="shared" si="4"/>
        <v>No Badges</v>
      </c>
      <c r="J9319" s="3">
        <f t="shared" si="5"/>
        <v>0</v>
      </c>
    </row>
    <row r="9320">
      <c r="A9320" s="1" t="s">
        <v>7100</v>
      </c>
      <c r="B9320" s="3" t="str">
        <f t="shared" si="1"/>
        <v>Unavailable</v>
      </c>
      <c r="C9320" s="5">
        <v>1511.0</v>
      </c>
      <c r="D9320" s="3">
        <f>IFERROR(__xludf.DUMMYFUNCTION("IFERROR(
IF(REGEXMATCH(LOWER(O9320),""k""),
VALUE(REGEXEXTRACT(O9320,""[0-9]+""))*1000,
VALUE(REGEXEXTRACT(O9320,""[0-9]+""))
),
0
)"),0.0)</f>
        <v>0</v>
      </c>
      <c r="E9320" s="1" t="s">
        <v>11</v>
      </c>
      <c r="F9320" s="1" t="s">
        <v>20</v>
      </c>
      <c r="G9320" s="4" t="b">
        <f t="shared" si="2"/>
        <v>1</v>
      </c>
      <c r="H9320" s="1" t="str">
        <f t="shared" si="3"/>
        <v>Currently Unavailable</v>
      </c>
      <c r="I9320" s="1" t="str">
        <f t="shared" si="4"/>
        <v>No Badges</v>
      </c>
      <c r="J9320" s="3">
        <f t="shared" si="5"/>
        <v>0</v>
      </c>
    </row>
    <row r="9321">
      <c r="A9321" s="1" t="s">
        <v>7101</v>
      </c>
      <c r="B9321" s="3" t="str">
        <f t="shared" si="1"/>
        <v>Unavailable</v>
      </c>
      <c r="C9321" s="3">
        <v>413.0</v>
      </c>
      <c r="D9321" s="3">
        <f>IFERROR(__xludf.DUMMYFUNCTION("IFERROR(
IF(REGEXMATCH(LOWER(O9321),""k""),
VALUE(REGEXEXTRACT(O9321,""[0-9]+""))*1000,
VALUE(REGEXEXTRACT(O9321,""[0-9]+""))
),
0
)"),0.0)</f>
        <v>0</v>
      </c>
      <c r="E9321" s="1" t="s">
        <v>11</v>
      </c>
      <c r="F9321" s="1" t="s">
        <v>20</v>
      </c>
      <c r="G9321" s="4" t="b">
        <f t="shared" si="2"/>
        <v>1</v>
      </c>
      <c r="H9321" s="1" t="str">
        <f t="shared" si="3"/>
        <v>Currently Unavailable</v>
      </c>
      <c r="I9321" s="1" t="str">
        <f t="shared" si="4"/>
        <v>No Badges</v>
      </c>
      <c r="J9321" s="3">
        <f t="shared" si="5"/>
        <v>0</v>
      </c>
    </row>
    <row r="9322">
      <c r="A9322" s="1" t="s">
        <v>7102</v>
      </c>
      <c r="B9322" s="3" t="str">
        <f t="shared" si="1"/>
        <v>Unavailable</v>
      </c>
      <c r="C9322" s="5">
        <v>27683.0</v>
      </c>
      <c r="D9322" s="3">
        <f>IFERROR(__xludf.DUMMYFUNCTION("IFERROR(
IF(REGEXMATCH(LOWER(O9322),""k""),
VALUE(REGEXEXTRACT(O9322,""[0-9]+""))*1000,
VALUE(REGEXEXTRACT(O9322,""[0-9]+""))
),
0
)"),0.0)</f>
        <v>0</v>
      </c>
      <c r="E9322" s="1" t="s">
        <v>11</v>
      </c>
      <c r="F9322" s="1" t="s">
        <v>20</v>
      </c>
      <c r="G9322" s="4" t="b">
        <f t="shared" si="2"/>
        <v>1</v>
      </c>
      <c r="H9322" s="1" t="str">
        <f t="shared" si="3"/>
        <v>Currently Unavailable</v>
      </c>
      <c r="I9322" s="1" t="str">
        <f t="shared" si="4"/>
        <v>No Badges</v>
      </c>
      <c r="J9322" s="3">
        <f t="shared" si="5"/>
        <v>0</v>
      </c>
    </row>
    <row r="9323">
      <c r="A9323" s="1" t="s">
        <v>7103</v>
      </c>
      <c r="B9323" s="3" t="str">
        <f t="shared" si="1"/>
        <v>Unavailable</v>
      </c>
      <c r="C9323" s="5">
        <v>43940.0</v>
      </c>
      <c r="D9323" s="3">
        <f>IFERROR(__xludf.DUMMYFUNCTION("IFERROR(
IF(REGEXMATCH(LOWER(O9323),""k""),
VALUE(REGEXEXTRACT(O9323,""[0-9]+""))*1000,
VALUE(REGEXEXTRACT(O9323,""[0-9]+""))
),
0
)"),0.0)</f>
        <v>0</v>
      </c>
      <c r="E9323" s="1" t="s">
        <v>11</v>
      </c>
      <c r="F9323" s="1" t="s">
        <v>20</v>
      </c>
      <c r="G9323" s="4" t="b">
        <f t="shared" si="2"/>
        <v>1</v>
      </c>
      <c r="H9323" s="1" t="str">
        <f t="shared" si="3"/>
        <v>Currently Unavailable</v>
      </c>
      <c r="I9323" s="1" t="str">
        <f t="shared" si="4"/>
        <v>No Badges</v>
      </c>
      <c r="J9323" s="3">
        <f t="shared" si="5"/>
        <v>0</v>
      </c>
    </row>
    <row r="9324">
      <c r="A9324" s="1" t="s">
        <v>7104</v>
      </c>
      <c r="B9324" s="3" t="str">
        <f t="shared" si="1"/>
        <v>Unavailable</v>
      </c>
      <c r="C9324" s="5">
        <v>17418.0</v>
      </c>
      <c r="D9324" s="3">
        <f>IFERROR(__xludf.DUMMYFUNCTION("IFERROR(
IF(REGEXMATCH(LOWER(O9324),""k""),
VALUE(REGEXEXTRACT(O9324,""[0-9]+""))*1000,
VALUE(REGEXEXTRACT(O9324,""[0-9]+""))
),
0
)"),0.0)</f>
        <v>0</v>
      </c>
      <c r="E9324" s="1" t="s">
        <v>11</v>
      </c>
      <c r="F9324" s="1" t="s">
        <v>20</v>
      </c>
      <c r="G9324" s="4" t="b">
        <f t="shared" si="2"/>
        <v>1</v>
      </c>
      <c r="H9324" s="1" t="str">
        <f t="shared" si="3"/>
        <v>Currently Unavailable</v>
      </c>
      <c r="I9324" s="1" t="str">
        <f t="shared" si="4"/>
        <v>No Badges</v>
      </c>
      <c r="J9324" s="3">
        <f t="shared" si="5"/>
        <v>0</v>
      </c>
    </row>
    <row r="9325">
      <c r="A9325" s="1" t="s">
        <v>7105</v>
      </c>
      <c r="B9325" s="3" t="str">
        <f t="shared" si="1"/>
        <v>Unavailable</v>
      </c>
      <c r="C9325" s="5">
        <v>12815.0</v>
      </c>
      <c r="D9325" s="3">
        <f>IFERROR(__xludf.DUMMYFUNCTION("IFERROR(
IF(REGEXMATCH(LOWER(O9325),""k""),
VALUE(REGEXEXTRACT(O9325,""[0-9]+""))*1000,
VALUE(REGEXEXTRACT(O9325,""[0-9]+""))
),
0
)"),0.0)</f>
        <v>0</v>
      </c>
      <c r="E9325" s="1" t="s">
        <v>11</v>
      </c>
      <c r="F9325" s="1" t="s">
        <v>20</v>
      </c>
      <c r="G9325" s="4" t="b">
        <f t="shared" si="2"/>
        <v>1</v>
      </c>
      <c r="H9325" s="1" t="str">
        <f t="shared" si="3"/>
        <v>Currently Unavailable</v>
      </c>
      <c r="I9325" s="1" t="str">
        <f t="shared" si="4"/>
        <v>No Badges</v>
      </c>
      <c r="J9325" s="3">
        <f t="shared" si="5"/>
        <v>0</v>
      </c>
    </row>
    <row r="9326">
      <c r="A9326" s="1" t="s">
        <v>7106</v>
      </c>
      <c r="B9326" s="3" t="str">
        <f t="shared" si="1"/>
        <v>Unavailable</v>
      </c>
      <c r="C9326" s="5">
        <v>22814.0</v>
      </c>
      <c r="D9326" s="3">
        <f>IFERROR(__xludf.DUMMYFUNCTION("IFERROR(
IF(REGEXMATCH(LOWER(O9326),""k""),
VALUE(REGEXEXTRACT(O9326,""[0-9]+""))*1000,
VALUE(REGEXEXTRACT(O9326,""[0-9]+""))
),
0
)"),0.0)</f>
        <v>0</v>
      </c>
      <c r="E9326" s="1" t="s">
        <v>11</v>
      </c>
      <c r="F9326" s="1" t="s">
        <v>20</v>
      </c>
      <c r="G9326" s="4" t="b">
        <f t="shared" si="2"/>
        <v>1</v>
      </c>
      <c r="H9326" s="1" t="str">
        <f t="shared" si="3"/>
        <v>Currently Unavailable</v>
      </c>
      <c r="I9326" s="1" t="str">
        <f t="shared" si="4"/>
        <v>No Badges</v>
      </c>
      <c r="J9326" s="3">
        <f t="shared" si="5"/>
        <v>0</v>
      </c>
    </row>
    <row r="9327">
      <c r="A9327" s="1" t="s">
        <v>7107</v>
      </c>
      <c r="B9327" s="3" t="str">
        <f t="shared" si="1"/>
        <v>Unavailable</v>
      </c>
      <c r="C9327" s="5">
        <v>111681.0</v>
      </c>
      <c r="D9327" s="3">
        <f>IFERROR(__xludf.DUMMYFUNCTION("IFERROR(
IF(REGEXMATCH(LOWER(O9327),""k""),
VALUE(REGEXEXTRACT(O9327,""[0-9]+""))*1000,
VALUE(REGEXEXTRACT(O9327,""[0-9]+""))
),
0
)"),0.0)</f>
        <v>0</v>
      </c>
      <c r="E9327" s="1" t="s">
        <v>11</v>
      </c>
      <c r="F9327" s="1" t="s">
        <v>20</v>
      </c>
      <c r="G9327" s="4" t="b">
        <f t="shared" si="2"/>
        <v>1</v>
      </c>
      <c r="H9327" s="1" t="str">
        <f t="shared" si="3"/>
        <v>Currently Unavailable</v>
      </c>
      <c r="I9327" s="1" t="str">
        <f t="shared" si="4"/>
        <v>No Badges</v>
      </c>
      <c r="J9327" s="3">
        <f t="shared" si="5"/>
        <v>0</v>
      </c>
    </row>
    <row r="9328">
      <c r="A9328" s="1" t="s">
        <v>7108</v>
      </c>
      <c r="B9328" s="3" t="str">
        <f t="shared" si="1"/>
        <v>Unavailable</v>
      </c>
      <c r="C9328" s="5">
        <v>13680.0</v>
      </c>
      <c r="D9328" s="3">
        <f>IFERROR(__xludf.DUMMYFUNCTION("IFERROR(
IF(REGEXMATCH(LOWER(O9328),""k""),
VALUE(REGEXEXTRACT(O9328,""[0-9]+""))*1000,
VALUE(REGEXEXTRACT(O9328,""[0-9]+""))
),
0
)"),0.0)</f>
        <v>0</v>
      </c>
      <c r="E9328" s="1" t="s">
        <v>11</v>
      </c>
      <c r="F9328" s="1" t="s">
        <v>20</v>
      </c>
      <c r="G9328" s="4" t="b">
        <f t="shared" si="2"/>
        <v>1</v>
      </c>
      <c r="H9328" s="1" t="str">
        <f t="shared" si="3"/>
        <v>Currently Unavailable</v>
      </c>
      <c r="I9328" s="1" t="str">
        <f t="shared" si="4"/>
        <v>No Badges</v>
      </c>
      <c r="J9328" s="3">
        <f t="shared" si="5"/>
        <v>0</v>
      </c>
    </row>
    <row r="9329">
      <c r="A9329" s="1" t="s">
        <v>7109</v>
      </c>
      <c r="B9329" s="3" t="str">
        <f t="shared" si="1"/>
        <v>Unavailable</v>
      </c>
      <c r="C9329" s="5">
        <v>18066.0</v>
      </c>
      <c r="D9329" s="3">
        <f>IFERROR(__xludf.DUMMYFUNCTION("IFERROR(
IF(REGEXMATCH(LOWER(O9329),""k""),
VALUE(REGEXEXTRACT(O9329,""[0-9]+""))*1000,
VALUE(REGEXEXTRACT(O9329,""[0-9]+""))
),
0
)"),0.0)</f>
        <v>0</v>
      </c>
      <c r="E9329" s="1" t="s">
        <v>11</v>
      </c>
      <c r="F9329" s="1" t="s">
        <v>20</v>
      </c>
      <c r="G9329" s="4" t="b">
        <f t="shared" si="2"/>
        <v>1</v>
      </c>
      <c r="H9329" s="1" t="str">
        <f t="shared" si="3"/>
        <v>Currently Unavailable</v>
      </c>
      <c r="I9329" s="1" t="str">
        <f t="shared" si="4"/>
        <v>No Badges</v>
      </c>
      <c r="J9329" s="3">
        <f t="shared" si="5"/>
        <v>0</v>
      </c>
    </row>
    <row r="9330">
      <c r="A9330" s="1" t="s">
        <v>7110</v>
      </c>
      <c r="B9330" s="3" t="str">
        <f t="shared" si="1"/>
        <v>Unavailable</v>
      </c>
      <c r="C9330" s="5">
        <v>19417.0</v>
      </c>
      <c r="D9330" s="3">
        <f>IFERROR(__xludf.DUMMYFUNCTION("IFERROR(
IF(REGEXMATCH(LOWER(O9330),""k""),
VALUE(REGEXEXTRACT(O9330,""[0-9]+""))*1000,
VALUE(REGEXEXTRACT(O9330,""[0-9]+""))
),
0
)"),0.0)</f>
        <v>0</v>
      </c>
      <c r="E9330" s="1" t="s">
        <v>11</v>
      </c>
      <c r="F9330" s="1" t="s">
        <v>20</v>
      </c>
      <c r="G9330" s="4" t="b">
        <f t="shared" si="2"/>
        <v>1</v>
      </c>
      <c r="H9330" s="1" t="str">
        <f t="shared" si="3"/>
        <v>Currently Unavailable</v>
      </c>
      <c r="I9330" s="1" t="str">
        <f t="shared" si="4"/>
        <v>No Badges</v>
      </c>
      <c r="J9330" s="3">
        <f t="shared" si="5"/>
        <v>0</v>
      </c>
    </row>
    <row r="9331">
      <c r="A9331" s="1" t="s">
        <v>7111</v>
      </c>
      <c r="B9331" s="3" t="str">
        <f t="shared" si="1"/>
        <v>Unavailable</v>
      </c>
      <c r="C9331" s="5">
        <v>2409.0</v>
      </c>
      <c r="D9331" s="3">
        <f>IFERROR(__xludf.DUMMYFUNCTION("IFERROR(
IF(REGEXMATCH(LOWER(O9331),""k""),
VALUE(REGEXEXTRACT(O9331,""[0-9]+""))*1000,
VALUE(REGEXEXTRACT(O9331,""[0-9]+""))
),
0
)"),0.0)</f>
        <v>0</v>
      </c>
      <c r="E9331" s="1" t="s">
        <v>11</v>
      </c>
      <c r="F9331" s="1" t="s">
        <v>20</v>
      </c>
      <c r="G9331" s="4" t="b">
        <f t="shared" si="2"/>
        <v>1</v>
      </c>
      <c r="H9331" s="1" t="str">
        <f t="shared" si="3"/>
        <v>Currently Unavailable</v>
      </c>
      <c r="I9331" s="1" t="str">
        <f t="shared" si="4"/>
        <v>No Badges</v>
      </c>
      <c r="J9331" s="3">
        <f t="shared" si="5"/>
        <v>0</v>
      </c>
    </row>
    <row r="9332">
      <c r="A9332" s="1" t="s">
        <v>7112</v>
      </c>
      <c r="B9332" s="3" t="str">
        <f t="shared" si="1"/>
        <v>Unavailable</v>
      </c>
      <c r="C9332" s="5">
        <v>4376.0</v>
      </c>
      <c r="D9332" s="3">
        <f>IFERROR(__xludf.DUMMYFUNCTION("IFERROR(
IF(REGEXMATCH(LOWER(O9332),""k""),
VALUE(REGEXEXTRACT(O9332,""[0-9]+""))*1000,
VALUE(REGEXEXTRACT(O9332,""[0-9]+""))
),
0
)"),0.0)</f>
        <v>0</v>
      </c>
      <c r="E9332" s="1" t="s">
        <v>11</v>
      </c>
      <c r="F9332" s="1" t="s">
        <v>20</v>
      </c>
      <c r="G9332" s="4" t="b">
        <f t="shared" si="2"/>
        <v>1</v>
      </c>
      <c r="H9332" s="1" t="str">
        <f t="shared" si="3"/>
        <v>Currently Unavailable</v>
      </c>
      <c r="I9332" s="1" t="str">
        <f t="shared" si="4"/>
        <v>No Badges</v>
      </c>
      <c r="J9332" s="3">
        <f t="shared" si="5"/>
        <v>0</v>
      </c>
    </row>
    <row r="9333">
      <c r="A9333" s="1" t="s">
        <v>7113</v>
      </c>
      <c r="B9333" s="3" t="str">
        <f t="shared" si="1"/>
        <v>Unavailable</v>
      </c>
      <c r="C9333" s="5">
        <v>133818.0</v>
      </c>
      <c r="D9333" s="3">
        <f>IFERROR(__xludf.DUMMYFUNCTION("IFERROR(
IF(REGEXMATCH(LOWER(O9333),""k""),
VALUE(REGEXEXTRACT(O9333,""[0-9]+""))*1000,
VALUE(REGEXEXTRACT(O9333,""[0-9]+""))
),
0
)"),0.0)</f>
        <v>0</v>
      </c>
      <c r="E9333" s="1" t="s">
        <v>11</v>
      </c>
      <c r="F9333" s="1" t="s">
        <v>20</v>
      </c>
      <c r="G9333" s="4" t="b">
        <f t="shared" si="2"/>
        <v>1</v>
      </c>
      <c r="H9333" s="1" t="str">
        <f t="shared" si="3"/>
        <v>Currently Unavailable</v>
      </c>
      <c r="I9333" s="1" t="str">
        <f t="shared" si="4"/>
        <v>No Badges</v>
      </c>
      <c r="J9333" s="3">
        <f t="shared" si="5"/>
        <v>0</v>
      </c>
    </row>
    <row r="9334">
      <c r="A9334" s="1" t="s">
        <v>7114</v>
      </c>
      <c r="B9334" s="3" t="str">
        <f t="shared" si="1"/>
        <v>Unavailable</v>
      </c>
      <c r="C9334" s="5">
        <v>2570.0</v>
      </c>
      <c r="D9334" s="3">
        <f>IFERROR(__xludf.DUMMYFUNCTION("IFERROR(
IF(REGEXMATCH(LOWER(O9334),""k""),
VALUE(REGEXEXTRACT(O9334,""[0-9]+""))*1000,
VALUE(REGEXEXTRACT(O9334,""[0-9]+""))
),
0
)"),0.0)</f>
        <v>0</v>
      </c>
      <c r="E9334" s="1" t="s">
        <v>11</v>
      </c>
      <c r="F9334" s="1" t="s">
        <v>20</v>
      </c>
      <c r="G9334" s="4" t="b">
        <f t="shared" si="2"/>
        <v>1</v>
      </c>
      <c r="H9334" s="1" t="str">
        <f t="shared" si="3"/>
        <v>Currently Unavailable</v>
      </c>
      <c r="I9334" s="1" t="str">
        <f t="shared" si="4"/>
        <v>No Badges</v>
      </c>
      <c r="J9334" s="3">
        <f t="shared" si="5"/>
        <v>0</v>
      </c>
    </row>
    <row r="9335">
      <c r="A9335" s="1" t="s">
        <v>7115</v>
      </c>
      <c r="B9335" s="3" t="str">
        <f t="shared" si="1"/>
        <v>Unavailable</v>
      </c>
      <c r="C9335" s="3">
        <v>119.0</v>
      </c>
      <c r="D9335" s="3">
        <f>IFERROR(__xludf.DUMMYFUNCTION("IFERROR(
IF(REGEXMATCH(LOWER(O9335),""k""),
VALUE(REGEXEXTRACT(O9335,""[0-9]+""))*1000,
VALUE(REGEXEXTRACT(O9335,""[0-9]+""))
),
0
)"),0.0)</f>
        <v>0</v>
      </c>
      <c r="E9335" s="1" t="s">
        <v>11</v>
      </c>
      <c r="F9335" s="1" t="s">
        <v>20</v>
      </c>
      <c r="G9335" s="4" t="b">
        <f t="shared" si="2"/>
        <v>1</v>
      </c>
      <c r="H9335" s="1" t="str">
        <f t="shared" si="3"/>
        <v>Currently Unavailable</v>
      </c>
      <c r="I9335" s="1" t="str">
        <f t="shared" si="4"/>
        <v>No Badges</v>
      </c>
      <c r="J9335" s="3">
        <f t="shared" si="5"/>
        <v>0</v>
      </c>
    </row>
    <row r="9336">
      <c r="A9336" s="1" t="s">
        <v>7116</v>
      </c>
      <c r="B9336" s="3" t="str">
        <f t="shared" si="1"/>
        <v>Unavailable</v>
      </c>
      <c r="C9336" s="5">
        <v>37622.0</v>
      </c>
      <c r="D9336" s="3">
        <f>IFERROR(__xludf.DUMMYFUNCTION("IFERROR(
IF(REGEXMATCH(LOWER(O9336),""k""),
VALUE(REGEXEXTRACT(O9336,""[0-9]+""))*1000,
VALUE(REGEXEXTRACT(O9336,""[0-9]+""))
),
0
)"),0.0)</f>
        <v>0</v>
      </c>
      <c r="E9336" s="1" t="s">
        <v>11</v>
      </c>
      <c r="F9336" s="1" t="s">
        <v>20</v>
      </c>
      <c r="G9336" s="4" t="b">
        <f t="shared" si="2"/>
        <v>1</v>
      </c>
      <c r="H9336" s="1" t="str">
        <f t="shared" si="3"/>
        <v>Currently Unavailable</v>
      </c>
      <c r="I9336" s="1" t="str">
        <f t="shared" si="4"/>
        <v>No Badges</v>
      </c>
      <c r="J9336" s="3">
        <f t="shared" si="5"/>
        <v>0</v>
      </c>
    </row>
    <row r="9337">
      <c r="A9337" s="1" t="s">
        <v>7117</v>
      </c>
      <c r="B9337" s="3" t="str">
        <f t="shared" si="1"/>
        <v>Unavailable</v>
      </c>
      <c r="C9337" s="5">
        <v>48774.0</v>
      </c>
      <c r="D9337" s="3">
        <f>IFERROR(__xludf.DUMMYFUNCTION("IFERROR(
IF(REGEXMATCH(LOWER(O9337),""k""),
VALUE(REGEXEXTRACT(O9337,""[0-9]+""))*1000,
VALUE(REGEXEXTRACT(O9337,""[0-9]+""))
),
0
)"),0.0)</f>
        <v>0</v>
      </c>
      <c r="E9337" s="1" t="s">
        <v>11</v>
      </c>
      <c r="F9337" s="1" t="s">
        <v>20</v>
      </c>
      <c r="G9337" s="4" t="b">
        <f t="shared" si="2"/>
        <v>1</v>
      </c>
      <c r="H9337" s="1" t="str">
        <f t="shared" si="3"/>
        <v>Currently Unavailable</v>
      </c>
      <c r="I9337" s="1" t="str">
        <f t="shared" si="4"/>
        <v>No Badges</v>
      </c>
      <c r="J9337" s="3">
        <f t="shared" si="5"/>
        <v>0</v>
      </c>
    </row>
    <row r="9338">
      <c r="A9338" s="1" t="s">
        <v>7118</v>
      </c>
      <c r="B9338" s="3" t="str">
        <f t="shared" si="1"/>
        <v>Unavailable</v>
      </c>
      <c r="C9338" s="5">
        <v>4847.0</v>
      </c>
      <c r="D9338" s="3">
        <f>IFERROR(__xludf.DUMMYFUNCTION("IFERROR(
IF(REGEXMATCH(LOWER(O9338),""k""),
VALUE(REGEXEXTRACT(O9338,""[0-9]+""))*1000,
VALUE(REGEXEXTRACT(O9338,""[0-9]+""))
),
0
)"),0.0)</f>
        <v>0</v>
      </c>
      <c r="E9338" s="1" t="s">
        <v>11</v>
      </c>
      <c r="F9338" s="1" t="s">
        <v>20</v>
      </c>
      <c r="G9338" s="4" t="b">
        <f t="shared" si="2"/>
        <v>1</v>
      </c>
      <c r="H9338" s="1" t="str">
        <f t="shared" si="3"/>
        <v>Currently Unavailable</v>
      </c>
      <c r="I9338" s="1" t="str">
        <f t="shared" si="4"/>
        <v>No Badges</v>
      </c>
      <c r="J9338" s="3">
        <f t="shared" si="5"/>
        <v>0</v>
      </c>
    </row>
    <row r="9339">
      <c r="A9339" s="1" t="s">
        <v>7119</v>
      </c>
      <c r="B9339" s="3" t="str">
        <f t="shared" si="1"/>
        <v>Unavailable</v>
      </c>
      <c r="C9339" s="5">
        <v>14722.0</v>
      </c>
      <c r="D9339" s="3">
        <f>IFERROR(__xludf.DUMMYFUNCTION("IFERROR(
IF(REGEXMATCH(LOWER(O9339),""k""),
VALUE(REGEXEXTRACT(O9339,""[0-9]+""))*1000,
VALUE(REGEXEXTRACT(O9339,""[0-9]+""))
),
0
)"),0.0)</f>
        <v>0</v>
      </c>
      <c r="E9339" s="1" t="s">
        <v>11</v>
      </c>
      <c r="F9339" s="1" t="s">
        <v>20</v>
      </c>
      <c r="G9339" s="4" t="b">
        <f t="shared" si="2"/>
        <v>1</v>
      </c>
      <c r="H9339" s="1" t="str">
        <f t="shared" si="3"/>
        <v>Currently Unavailable</v>
      </c>
      <c r="I9339" s="1" t="str">
        <f t="shared" si="4"/>
        <v>No Badges</v>
      </c>
      <c r="J9339" s="3">
        <f t="shared" si="5"/>
        <v>0</v>
      </c>
    </row>
    <row r="9340">
      <c r="A9340" s="1" t="s">
        <v>7120</v>
      </c>
      <c r="B9340" s="3" t="str">
        <f t="shared" si="1"/>
        <v>Unavailable</v>
      </c>
      <c r="C9340" s="5">
        <v>22802.0</v>
      </c>
      <c r="D9340" s="3">
        <f>IFERROR(__xludf.DUMMYFUNCTION("IFERROR(
IF(REGEXMATCH(LOWER(O9340),""k""),
VALUE(REGEXEXTRACT(O9340,""[0-9]+""))*1000,
VALUE(REGEXEXTRACT(O9340,""[0-9]+""))
),
0
)"),0.0)</f>
        <v>0</v>
      </c>
      <c r="E9340" s="1" t="s">
        <v>11</v>
      </c>
      <c r="F9340" s="1" t="s">
        <v>20</v>
      </c>
      <c r="G9340" s="4" t="b">
        <f t="shared" si="2"/>
        <v>1</v>
      </c>
      <c r="H9340" s="1" t="str">
        <f t="shared" si="3"/>
        <v>Currently Unavailable</v>
      </c>
      <c r="I9340" s="1" t="str">
        <f t="shared" si="4"/>
        <v>No Badges</v>
      </c>
      <c r="J9340" s="3">
        <f t="shared" si="5"/>
        <v>0</v>
      </c>
    </row>
    <row r="9341">
      <c r="A9341" s="1" t="s">
        <v>7121</v>
      </c>
      <c r="B9341" s="3" t="str">
        <f t="shared" si="1"/>
        <v>Unavailable</v>
      </c>
      <c r="C9341" s="5">
        <v>5300.0</v>
      </c>
      <c r="D9341" s="3">
        <f>IFERROR(__xludf.DUMMYFUNCTION("IFERROR(
IF(REGEXMATCH(LOWER(O9341),""k""),
VALUE(REGEXEXTRACT(O9341,""[0-9]+""))*1000,
VALUE(REGEXEXTRACT(O9341,""[0-9]+""))
),
0
)"),0.0)</f>
        <v>0</v>
      </c>
      <c r="E9341" s="1" t="s">
        <v>11</v>
      </c>
      <c r="F9341" s="1" t="s">
        <v>20</v>
      </c>
      <c r="G9341" s="4" t="b">
        <f t="shared" si="2"/>
        <v>1</v>
      </c>
      <c r="H9341" s="1" t="str">
        <f t="shared" si="3"/>
        <v>Currently Unavailable</v>
      </c>
      <c r="I9341" s="1" t="str">
        <f t="shared" si="4"/>
        <v>No Badges</v>
      </c>
      <c r="J9341" s="3">
        <f t="shared" si="5"/>
        <v>0</v>
      </c>
    </row>
    <row r="9342">
      <c r="A9342" s="1" t="s">
        <v>7122</v>
      </c>
      <c r="B9342" s="3" t="str">
        <f t="shared" si="1"/>
        <v>Unavailable</v>
      </c>
      <c r="C9342" s="5">
        <v>23316.0</v>
      </c>
      <c r="D9342" s="3">
        <f>IFERROR(__xludf.DUMMYFUNCTION("IFERROR(
IF(REGEXMATCH(LOWER(O9342),""k""),
VALUE(REGEXEXTRACT(O9342,""[0-9]+""))*1000,
VALUE(REGEXEXTRACT(O9342,""[0-9]+""))
),
0
)"),0.0)</f>
        <v>0</v>
      </c>
      <c r="E9342" s="1" t="s">
        <v>11</v>
      </c>
      <c r="F9342" s="1" t="s">
        <v>20</v>
      </c>
      <c r="G9342" s="4" t="b">
        <f t="shared" si="2"/>
        <v>1</v>
      </c>
      <c r="H9342" s="1" t="str">
        <f t="shared" si="3"/>
        <v>Currently Unavailable</v>
      </c>
      <c r="I9342" s="1" t="str">
        <f t="shared" si="4"/>
        <v>No Badges</v>
      </c>
      <c r="J9342" s="3">
        <f t="shared" si="5"/>
        <v>0</v>
      </c>
    </row>
    <row r="9343">
      <c r="A9343" s="1" t="s">
        <v>7123</v>
      </c>
      <c r="B9343" s="3" t="str">
        <f t="shared" si="1"/>
        <v>Unavailable</v>
      </c>
      <c r="C9343" s="5">
        <v>17541.0</v>
      </c>
      <c r="D9343" s="3">
        <f>IFERROR(__xludf.DUMMYFUNCTION("IFERROR(
IF(REGEXMATCH(LOWER(O9343),""k""),
VALUE(REGEXEXTRACT(O9343,""[0-9]+""))*1000,
VALUE(REGEXEXTRACT(O9343,""[0-9]+""))
),
0
)"),0.0)</f>
        <v>0</v>
      </c>
      <c r="E9343" s="1" t="s">
        <v>158</v>
      </c>
      <c r="F9343" s="1" t="s">
        <v>20</v>
      </c>
      <c r="G9343" s="4" t="b">
        <f t="shared" si="2"/>
        <v>1</v>
      </c>
      <c r="H9343" s="1" t="str">
        <f t="shared" si="3"/>
        <v>Currently Unavailable</v>
      </c>
      <c r="I9343" s="1" t="str">
        <f t="shared" si="4"/>
        <v>No Badges</v>
      </c>
      <c r="J9343" s="3">
        <f t="shared" si="5"/>
        <v>0</v>
      </c>
    </row>
    <row r="9344">
      <c r="A9344" s="1" t="s">
        <v>7124</v>
      </c>
      <c r="B9344" s="3" t="str">
        <f t="shared" si="1"/>
        <v>Unavailable</v>
      </c>
      <c r="C9344" s="5">
        <v>14962.0</v>
      </c>
      <c r="D9344" s="3">
        <f>IFERROR(__xludf.DUMMYFUNCTION("IFERROR(
IF(REGEXMATCH(LOWER(O9344),""k""),
VALUE(REGEXEXTRACT(O9344,""[0-9]+""))*1000,
VALUE(REGEXEXTRACT(O9344,""[0-9]+""))
),
0
)"),0.0)</f>
        <v>0</v>
      </c>
      <c r="E9344" s="1" t="s">
        <v>11</v>
      </c>
      <c r="F9344" s="1" t="s">
        <v>20</v>
      </c>
      <c r="G9344" s="4" t="b">
        <f t="shared" si="2"/>
        <v>1</v>
      </c>
      <c r="H9344" s="1" t="str">
        <f t="shared" si="3"/>
        <v>Currently Unavailable</v>
      </c>
      <c r="I9344" s="1" t="str">
        <f t="shared" si="4"/>
        <v>No Badges</v>
      </c>
      <c r="J9344" s="3">
        <f t="shared" si="5"/>
        <v>0</v>
      </c>
    </row>
    <row r="9345">
      <c r="A9345" s="1" t="s">
        <v>7125</v>
      </c>
      <c r="B9345" s="3" t="str">
        <f t="shared" si="1"/>
        <v>Unavailable</v>
      </c>
      <c r="C9345" s="5">
        <v>20376.0</v>
      </c>
      <c r="D9345" s="3">
        <f>IFERROR(__xludf.DUMMYFUNCTION("IFERROR(
IF(REGEXMATCH(LOWER(O9345),""k""),
VALUE(REGEXEXTRACT(O9345,""[0-9]+""))*1000,
VALUE(REGEXEXTRACT(O9345,""[0-9]+""))
),
0
)"),0.0)</f>
        <v>0</v>
      </c>
      <c r="E9345" s="1" t="s">
        <v>11</v>
      </c>
      <c r="F9345" s="1" t="s">
        <v>20</v>
      </c>
      <c r="G9345" s="4" t="b">
        <f t="shared" si="2"/>
        <v>1</v>
      </c>
      <c r="H9345" s="1" t="str">
        <f t="shared" si="3"/>
        <v>Currently Unavailable</v>
      </c>
      <c r="I9345" s="1" t="str">
        <f t="shared" si="4"/>
        <v>No Badges</v>
      </c>
      <c r="J9345" s="3">
        <f t="shared" si="5"/>
        <v>0</v>
      </c>
    </row>
    <row r="9346">
      <c r="A9346" s="1" t="s">
        <v>7126</v>
      </c>
      <c r="B9346" s="3" t="str">
        <f t="shared" si="1"/>
        <v>Unavailable</v>
      </c>
      <c r="C9346" s="3">
        <v>15.0</v>
      </c>
      <c r="D9346" s="3">
        <f>IFERROR(__xludf.DUMMYFUNCTION("IFERROR(
IF(REGEXMATCH(LOWER(O9346),""k""),
VALUE(REGEXEXTRACT(O9346,""[0-9]+""))*1000,
VALUE(REGEXEXTRACT(O9346,""[0-9]+""))
),
0
)"),0.0)</f>
        <v>0</v>
      </c>
      <c r="E9346" s="1" t="s">
        <v>11</v>
      </c>
      <c r="F9346" s="1" t="s">
        <v>20</v>
      </c>
      <c r="G9346" s="4" t="b">
        <f t="shared" si="2"/>
        <v>1</v>
      </c>
      <c r="H9346" s="1" t="str">
        <f t="shared" si="3"/>
        <v>Currently Unavailable</v>
      </c>
      <c r="I9346" s="1" t="str">
        <f t="shared" si="4"/>
        <v>No Badges</v>
      </c>
      <c r="J9346" s="3">
        <f t="shared" si="5"/>
        <v>0</v>
      </c>
    </row>
    <row r="9347">
      <c r="A9347" s="1" t="s">
        <v>7127</v>
      </c>
      <c r="B9347" s="3" t="str">
        <f t="shared" si="1"/>
        <v>Unavailable</v>
      </c>
      <c r="C9347" s="5">
        <v>11658.0</v>
      </c>
      <c r="D9347" s="3">
        <f>IFERROR(__xludf.DUMMYFUNCTION("IFERROR(
IF(REGEXMATCH(LOWER(O9347),""k""),
VALUE(REGEXEXTRACT(O9347,""[0-9]+""))*1000,
VALUE(REGEXEXTRACT(O9347,""[0-9]+""))
),
0
)"),0.0)</f>
        <v>0</v>
      </c>
      <c r="E9347" s="1" t="s">
        <v>158</v>
      </c>
      <c r="F9347" s="1" t="s">
        <v>20</v>
      </c>
      <c r="G9347" s="4" t="b">
        <f t="shared" si="2"/>
        <v>1</v>
      </c>
      <c r="H9347" s="1" t="str">
        <f t="shared" si="3"/>
        <v>Currently Unavailable</v>
      </c>
      <c r="I9347" s="1" t="str">
        <f t="shared" si="4"/>
        <v>No Badges</v>
      </c>
      <c r="J9347" s="3">
        <f t="shared" si="5"/>
        <v>0</v>
      </c>
    </row>
    <row r="9348">
      <c r="A9348" s="1" t="s">
        <v>7128</v>
      </c>
      <c r="B9348" s="3" t="str">
        <f t="shared" si="1"/>
        <v>Unavailable</v>
      </c>
      <c r="C9348" s="5">
        <v>5442.0</v>
      </c>
      <c r="D9348" s="3">
        <f>IFERROR(__xludf.DUMMYFUNCTION("IFERROR(
IF(REGEXMATCH(LOWER(O9348),""k""),
VALUE(REGEXEXTRACT(O9348,""[0-9]+""))*1000,
VALUE(REGEXEXTRACT(O9348,""[0-9]+""))
),
0
)"),0.0)</f>
        <v>0</v>
      </c>
      <c r="E9348" s="1" t="s">
        <v>11</v>
      </c>
      <c r="F9348" s="1" t="s">
        <v>20</v>
      </c>
      <c r="G9348" s="4" t="b">
        <f t="shared" si="2"/>
        <v>1</v>
      </c>
      <c r="H9348" s="1" t="str">
        <f t="shared" si="3"/>
        <v>Currently Unavailable</v>
      </c>
      <c r="I9348" s="1" t="str">
        <f t="shared" si="4"/>
        <v>No Badges</v>
      </c>
      <c r="J9348" s="3">
        <f t="shared" si="5"/>
        <v>0</v>
      </c>
    </row>
    <row r="9349">
      <c r="A9349" s="1" t="s">
        <v>7129</v>
      </c>
      <c r="B9349" s="3" t="str">
        <f t="shared" si="1"/>
        <v>Unavailable</v>
      </c>
      <c r="C9349" s="5">
        <v>95683.0</v>
      </c>
      <c r="D9349" s="3">
        <f>IFERROR(__xludf.DUMMYFUNCTION("IFERROR(
IF(REGEXMATCH(LOWER(O9349),""k""),
VALUE(REGEXEXTRACT(O9349,""[0-9]+""))*1000,
VALUE(REGEXEXTRACT(O9349,""[0-9]+""))
),
0
)"),0.0)</f>
        <v>0</v>
      </c>
      <c r="E9349" s="1" t="s">
        <v>11</v>
      </c>
      <c r="F9349" s="1" t="s">
        <v>20</v>
      </c>
      <c r="G9349" s="4" t="b">
        <f t="shared" si="2"/>
        <v>1</v>
      </c>
      <c r="H9349" s="1" t="str">
        <f t="shared" si="3"/>
        <v>Currently Unavailable</v>
      </c>
      <c r="I9349" s="1" t="str">
        <f t="shared" si="4"/>
        <v>No Badges</v>
      </c>
      <c r="J9349" s="3">
        <f t="shared" si="5"/>
        <v>0</v>
      </c>
    </row>
    <row r="9350">
      <c r="A9350" s="1" t="s">
        <v>7130</v>
      </c>
      <c r="B9350" s="3" t="str">
        <f t="shared" si="1"/>
        <v>Unavailable</v>
      </c>
      <c r="C9350" s="5">
        <v>93391.0</v>
      </c>
      <c r="D9350" s="3">
        <f>IFERROR(__xludf.DUMMYFUNCTION("IFERROR(
IF(REGEXMATCH(LOWER(O9350),""k""),
VALUE(REGEXEXTRACT(O9350,""[0-9]+""))*1000,
VALUE(REGEXEXTRACT(O9350,""[0-9]+""))
),
0
)"),0.0)</f>
        <v>0</v>
      </c>
      <c r="E9350" s="1" t="s">
        <v>11</v>
      </c>
      <c r="F9350" s="1" t="s">
        <v>20</v>
      </c>
      <c r="G9350" s="4" t="b">
        <f t="shared" si="2"/>
        <v>1</v>
      </c>
      <c r="H9350" s="1" t="str">
        <f t="shared" si="3"/>
        <v>Currently Unavailable</v>
      </c>
      <c r="I9350" s="1" t="str">
        <f t="shared" si="4"/>
        <v>No Badges</v>
      </c>
      <c r="J9350" s="3">
        <f t="shared" si="5"/>
        <v>0</v>
      </c>
    </row>
    <row r="9351">
      <c r="A9351" s="1" t="s">
        <v>7131</v>
      </c>
      <c r="B9351" s="3" t="str">
        <f t="shared" si="1"/>
        <v>Unavailable</v>
      </c>
      <c r="C9351" s="5">
        <v>13373.0</v>
      </c>
      <c r="D9351" s="3">
        <f>IFERROR(__xludf.DUMMYFUNCTION("IFERROR(
IF(REGEXMATCH(LOWER(O9351),""k""),
VALUE(REGEXEXTRACT(O9351,""[0-9]+""))*1000,
VALUE(REGEXEXTRACT(O9351,""[0-9]+""))
),
0
)"),0.0)</f>
        <v>0</v>
      </c>
      <c r="E9351" s="1" t="s">
        <v>11</v>
      </c>
      <c r="F9351" s="1" t="s">
        <v>20</v>
      </c>
      <c r="G9351" s="4" t="b">
        <f t="shared" si="2"/>
        <v>1</v>
      </c>
      <c r="H9351" s="1" t="str">
        <f t="shared" si="3"/>
        <v>Currently Unavailable</v>
      </c>
      <c r="I9351" s="1" t="str">
        <f t="shared" si="4"/>
        <v>No Badges</v>
      </c>
      <c r="J9351" s="3">
        <f t="shared" si="5"/>
        <v>0</v>
      </c>
    </row>
    <row r="9352">
      <c r="A9352" s="1" t="s">
        <v>7132</v>
      </c>
      <c r="B9352" s="3" t="str">
        <f t="shared" si="1"/>
        <v>Unavailable</v>
      </c>
      <c r="C9352" s="5">
        <v>14140.0</v>
      </c>
      <c r="D9352" s="3">
        <f>IFERROR(__xludf.DUMMYFUNCTION("IFERROR(
IF(REGEXMATCH(LOWER(O9352),""k""),
VALUE(REGEXEXTRACT(O9352,""[0-9]+""))*1000,
VALUE(REGEXEXTRACT(O9352,""[0-9]+""))
),
0
)"),0.0)</f>
        <v>0</v>
      </c>
      <c r="E9352" s="1" t="s">
        <v>11</v>
      </c>
      <c r="F9352" s="1" t="s">
        <v>20</v>
      </c>
      <c r="G9352" s="4" t="b">
        <f t="shared" si="2"/>
        <v>1</v>
      </c>
      <c r="H9352" s="1" t="str">
        <f t="shared" si="3"/>
        <v>Currently Unavailable</v>
      </c>
      <c r="I9352" s="1" t="str">
        <f t="shared" si="4"/>
        <v>No Badges</v>
      </c>
      <c r="J9352" s="3">
        <f t="shared" si="5"/>
        <v>0</v>
      </c>
    </row>
    <row r="9353">
      <c r="A9353" s="1" t="s">
        <v>7133</v>
      </c>
      <c r="B9353" s="3" t="str">
        <f t="shared" si="1"/>
        <v>Unavailable</v>
      </c>
      <c r="C9353" s="5">
        <v>14386.0</v>
      </c>
      <c r="D9353" s="3">
        <f>IFERROR(__xludf.DUMMYFUNCTION("IFERROR(
IF(REGEXMATCH(LOWER(O9353),""k""),
VALUE(REGEXEXTRACT(O9353,""[0-9]+""))*1000,
VALUE(REGEXEXTRACT(O9353,""[0-9]+""))
),
0
)"),0.0)</f>
        <v>0</v>
      </c>
      <c r="E9353" s="1" t="s">
        <v>11</v>
      </c>
      <c r="F9353" s="1" t="s">
        <v>20</v>
      </c>
      <c r="G9353" s="4" t="b">
        <f t="shared" si="2"/>
        <v>1</v>
      </c>
      <c r="H9353" s="1" t="str">
        <f t="shared" si="3"/>
        <v>Currently Unavailable</v>
      </c>
      <c r="I9353" s="1" t="str">
        <f t="shared" si="4"/>
        <v>No Badges</v>
      </c>
      <c r="J9353" s="3">
        <f t="shared" si="5"/>
        <v>0</v>
      </c>
    </row>
    <row r="9354">
      <c r="A9354" s="1" t="s">
        <v>7134</v>
      </c>
      <c r="B9354" s="3" t="str">
        <f t="shared" si="1"/>
        <v>Unavailable</v>
      </c>
      <c r="C9354" s="5">
        <v>31774.0</v>
      </c>
      <c r="D9354" s="3">
        <f>IFERROR(__xludf.DUMMYFUNCTION("IFERROR(
IF(REGEXMATCH(LOWER(O9354),""k""),
VALUE(REGEXEXTRACT(O9354,""[0-9]+""))*1000,
VALUE(REGEXEXTRACT(O9354,""[0-9]+""))
),
0
)"),0.0)</f>
        <v>0</v>
      </c>
      <c r="E9354" s="1" t="s">
        <v>11</v>
      </c>
      <c r="F9354" s="1" t="s">
        <v>20</v>
      </c>
      <c r="G9354" s="4" t="b">
        <f t="shared" si="2"/>
        <v>1</v>
      </c>
      <c r="H9354" s="1" t="str">
        <f t="shared" si="3"/>
        <v>Currently Unavailable</v>
      </c>
      <c r="I9354" s="1" t="str">
        <f t="shared" si="4"/>
        <v>No Badges</v>
      </c>
      <c r="J9354" s="3">
        <f t="shared" si="5"/>
        <v>0</v>
      </c>
    </row>
    <row r="9355">
      <c r="A9355" s="1" t="s">
        <v>7135</v>
      </c>
      <c r="B9355" s="3" t="str">
        <f t="shared" si="1"/>
        <v>Unavailable</v>
      </c>
      <c r="C9355" s="5">
        <v>6903.0</v>
      </c>
      <c r="D9355" s="3">
        <f>IFERROR(__xludf.DUMMYFUNCTION("IFERROR(
IF(REGEXMATCH(LOWER(O9355),""k""),
VALUE(REGEXEXTRACT(O9355,""[0-9]+""))*1000,
VALUE(REGEXEXTRACT(O9355,""[0-9]+""))
),
0
)"),0.0)</f>
        <v>0</v>
      </c>
      <c r="E9355" s="1" t="s">
        <v>11</v>
      </c>
      <c r="F9355" s="1" t="s">
        <v>20</v>
      </c>
      <c r="G9355" s="4" t="b">
        <f t="shared" si="2"/>
        <v>1</v>
      </c>
      <c r="H9355" s="1" t="str">
        <f t="shared" si="3"/>
        <v>Currently Unavailable</v>
      </c>
      <c r="I9355" s="1" t="str">
        <f t="shared" si="4"/>
        <v>No Badges</v>
      </c>
      <c r="J9355" s="3">
        <f t="shared" si="5"/>
        <v>0</v>
      </c>
    </row>
    <row r="9356">
      <c r="A9356" s="1" t="s">
        <v>7136</v>
      </c>
      <c r="B9356" s="3" t="str">
        <f t="shared" si="1"/>
        <v>Unavailable</v>
      </c>
      <c r="C9356" s="5">
        <v>2915.0</v>
      </c>
      <c r="D9356" s="3">
        <f>IFERROR(__xludf.DUMMYFUNCTION("IFERROR(
IF(REGEXMATCH(LOWER(O9356),""k""),
VALUE(REGEXEXTRACT(O9356,""[0-9]+""))*1000,
VALUE(REGEXEXTRACT(O9356,""[0-9]+""))
),
0
)"),0.0)</f>
        <v>0</v>
      </c>
      <c r="E9356" s="1" t="s">
        <v>11</v>
      </c>
      <c r="F9356" s="1" t="s">
        <v>20</v>
      </c>
      <c r="G9356" s="4" t="b">
        <f t="shared" si="2"/>
        <v>1</v>
      </c>
      <c r="H9356" s="1" t="str">
        <f t="shared" si="3"/>
        <v>Currently Unavailable</v>
      </c>
      <c r="I9356" s="1" t="str">
        <f t="shared" si="4"/>
        <v>No Badges</v>
      </c>
      <c r="J9356" s="3">
        <f t="shared" si="5"/>
        <v>0</v>
      </c>
    </row>
    <row r="9357">
      <c r="A9357" s="1" t="s">
        <v>7137</v>
      </c>
      <c r="B9357" s="3" t="str">
        <f t="shared" si="1"/>
        <v>Unavailable</v>
      </c>
      <c r="C9357" s="5">
        <v>28631.0</v>
      </c>
      <c r="D9357" s="3">
        <f>IFERROR(__xludf.DUMMYFUNCTION("IFERROR(
IF(REGEXMATCH(LOWER(O9357),""k""),
VALUE(REGEXEXTRACT(O9357,""[0-9]+""))*1000,
VALUE(REGEXEXTRACT(O9357,""[0-9]+""))
),
0
)"),0.0)</f>
        <v>0</v>
      </c>
      <c r="E9357" s="1" t="s">
        <v>158</v>
      </c>
      <c r="F9357" s="1" t="s">
        <v>20</v>
      </c>
      <c r="G9357" s="4" t="b">
        <f t="shared" si="2"/>
        <v>1</v>
      </c>
      <c r="H9357" s="1" t="str">
        <f t="shared" si="3"/>
        <v>Currently Unavailable</v>
      </c>
      <c r="I9357" s="1" t="str">
        <f t="shared" si="4"/>
        <v>No Badges</v>
      </c>
      <c r="J9357" s="3">
        <f t="shared" si="5"/>
        <v>0</v>
      </c>
    </row>
    <row r="9358">
      <c r="A9358" s="1" t="s">
        <v>7138</v>
      </c>
      <c r="B9358" s="3" t="str">
        <f t="shared" si="1"/>
        <v>Unavailable</v>
      </c>
      <c r="C9358" s="5">
        <v>13290.0</v>
      </c>
      <c r="D9358" s="3">
        <f>IFERROR(__xludf.DUMMYFUNCTION("IFERROR(
IF(REGEXMATCH(LOWER(O9358),""k""),
VALUE(REGEXEXTRACT(O9358,""[0-9]+""))*1000,
VALUE(REGEXEXTRACT(O9358,""[0-9]+""))
),
0
)"),0.0)</f>
        <v>0</v>
      </c>
      <c r="E9358" s="1" t="s">
        <v>11</v>
      </c>
      <c r="F9358" s="1" t="s">
        <v>20</v>
      </c>
      <c r="G9358" s="4" t="b">
        <f t="shared" si="2"/>
        <v>1</v>
      </c>
      <c r="H9358" s="1" t="str">
        <f t="shared" si="3"/>
        <v>Currently Unavailable</v>
      </c>
      <c r="I9358" s="1" t="str">
        <f t="shared" si="4"/>
        <v>No Badges</v>
      </c>
      <c r="J9358" s="3">
        <f t="shared" si="5"/>
        <v>0</v>
      </c>
    </row>
    <row r="9359">
      <c r="A9359" s="1" t="s">
        <v>7139</v>
      </c>
      <c r="B9359" s="3" t="str">
        <f t="shared" si="1"/>
        <v>Unavailable</v>
      </c>
      <c r="C9359" s="5">
        <v>23025.0</v>
      </c>
      <c r="D9359" s="3">
        <f>IFERROR(__xludf.DUMMYFUNCTION("IFERROR(
IF(REGEXMATCH(LOWER(O9359),""k""),
VALUE(REGEXEXTRACT(O9359,""[0-9]+""))*1000,
VALUE(REGEXEXTRACT(O9359,""[0-9]+""))
),
0
)"),0.0)</f>
        <v>0</v>
      </c>
      <c r="E9359" s="1" t="s">
        <v>11</v>
      </c>
      <c r="F9359" s="1" t="s">
        <v>20</v>
      </c>
      <c r="G9359" s="4" t="b">
        <f t="shared" si="2"/>
        <v>1</v>
      </c>
      <c r="H9359" s="1" t="str">
        <f t="shared" si="3"/>
        <v>Currently Unavailable</v>
      </c>
      <c r="I9359" s="1" t="str">
        <f t="shared" si="4"/>
        <v>No Badges</v>
      </c>
      <c r="J9359" s="3">
        <f t="shared" si="5"/>
        <v>0</v>
      </c>
    </row>
    <row r="9360">
      <c r="A9360" s="1" t="s">
        <v>7140</v>
      </c>
      <c r="B9360" s="3" t="str">
        <f t="shared" si="1"/>
        <v>Unavailable</v>
      </c>
      <c r="C9360" s="3">
        <v>15.0</v>
      </c>
      <c r="D9360" s="3">
        <f>IFERROR(__xludf.DUMMYFUNCTION("IFERROR(
IF(REGEXMATCH(LOWER(O9360),""k""),
VALUE(REGEXEXTRACT(O9360,""[0-9]+""))*1000,
VALUE(REGEXEXTRACT(O9360,""[0-9]+""))
),
0
)"),0.0)</f>
        <v>0</v>
      </c>
      <c r="E9360" s="1" t="s">
        <v>11</v>
      </c>
      <c r="F9360" s="1" t="s">
        <v>20</v>
      </c>
      <c r="G9360" s="4" t="b">
        <f t="shared" si="2"/>
        <v>1</v>
      </c>
      <c r="H9360" s="1" t="str">
        <f t="shared" si="3"/>
        <v>Currently Unavailable</v>
      </c>
      <c r="I9360" s="1" t="str">
        <f t="shared" si="4"/>
        <v>No Badges</v>
      </c>
      <c r="J9360" s="6">
        <f t="shared" si="5"/>
        <v>0</v>
      </c>
    </row>
    <row r="9361">
      <c r="A9361" s="1" t="s">
        <v>7141</v>
      </c>
      <c r="B9361" s="3" t="str">
        <f t="shared" si="1"/>
        <v>Unavailable</v>
      </c>
      <c r="C9361" s="5">
        <v>1383.0</v>
      </c>
      <c r="D9361" s="3">
        <f>IFERROR(__xludf.DUMMYFUNCTION("IFERROR(
IF(REGEXMATCH(LOWER(O9361),""k""),
VALUE(REGEXEXTRACT(O9361,""[0-9]+""))*1000,
VALUE(REGEXEXTRACT(O9361,""[0-9]+""))
),
0
)"),0.0)</f>
        <v>0</v>
      </c>
      <c r="E9361" s="1" t="s">
        <v>11</v>
      </c>
      <c r="F9361" s="1" t="s">
        <v>20</v>
      </c>
      <c r="G9361" s="4" t="b">
        <f t="shared" si="2"/>
        <v>1</v>
      </c>
      <c r="H9361" s="1" t="str">
        <f t="shared" si="3"/>
        <v>Currently Unavailable</v>
      </c>
      <c r="I9361" s="1" t="str">
        <f t="shared" si="4"/>
        <v>No Badges</v>
      </c>
      <c r="J9361" s="3">
        <f t="shared" si="5"/>
        <v>0</v>
      </c>
    </row>
    <row r="9362">
      <c r="A9362" s="1" t="s">
        <v>7142</v>
      </c>
      <c r="B9362" s="3" t="str">
        <f t="shared" si="1"/>
        <v>Unavailable</v>
      </c>
      <c r="C9362" s="5">
        <v>34440.0</v>
      </c>
      <c r="D9362" s="3">
        <f>IFERROR(__xludf.DUMMYFUNCTION("IFERROR(
IF(REGEXMATCH(LOWER(O9362),""k""),
VALUE(REGEXEXTRACT(O9362,""[0-9]+""))*1000,
VALUE(REGEXEXTRACT(O9362,""[0-9]+""))
),
0
)"),0.0)</f>
        <v>0</v>
      </c>
      <c r="E9362" s="1" t="s">
        <v>158</v>
      </c>
      <c r="F9362" s="1" t="s">
        <v>20</v>
      </c>
      <c r="G9362" s="4" t="b">
        <f t="shared" si="2"/>
        <v>1</v>
      </c>
      <c r="H9362" s="1" t="str">
        <f t="shared" si="3"/>
        <v>Currently Unavailable</v>
      </c>
      <c r="I9362" s="1" t="str">
        <f t="shared" si="4"/>
        <v>No Badges</v>
      </c>
      <c r="J9362" s="3">
        <f t="shared" si="5"/>
        <v>0</v>
      </c>
    </row>
    <row r="9363">
      <c r="A9363" s="1" t="s">
        <v>7143</v>
      </c>
      <c r="B9363" s="3" t="str">
        <f t="shared" si="1"/>
        <v>Unavailable</v>
      </c>
      <c r="C9363" s="5">
        <v>26429.0</v>
      </c>
      <c r="D9363" s="3">
        <f>IFERROR(__xludf.DUMMYFUNCTION("IFERROR(
IF(REGEXMATCH(LOWER(O9363),""k""),
VALUE(REGEXEXTRACT(O9363,""[0-9]+""))*1000,
VALUE(REGEXEXTRACT(O9363,""[0-9]+""))
),
0
)"),0.0)</f>
        <v>0</v>
      </c>
      <c r="E9363" s="1" t="s">
        <v>11</v>
      </c>
      <c r="F9363" s="1" t="s">
        <v>20</v>
      </c>
      <c r="G9363" s="4" t="b">
        <f t="shared" si="2"/>
        <v>1</v>
      </c>
      <c r="H9363" s="1" t="str">
        <f t="shared" si="3"/>
        <v>Currently Unavailable</v>
      </c>
      <c r="I9363" s="1" t="str">
        <f t="shared" si="4"/>
        <v>No Badges</v>
      </c>
      <c r="J9363" s="3">
        <f t="shared" si="5"/>
        <v>0</v>
      </c>
    </row>
    <row r="9364">
      <c r="A9364" s="1" t="s">
        <v>7144</v>
      </c>
      <c r="B9364" s="3" t="str">
        <f t="shared" si="1"/>
        <v>Unavailable</v>
      </c>
      <c r="C9364" s="5">
        <v>1842.0</v>
      </c>
      <c r="D9364" s="3">
        <f>IFERROR(__xludf.DUMMYFUNCTION("IFERROR(
IF(REGEXMATCH(LOWER(O9364),""k""),
VALUE(REGEXEXTRACT(O9364,""[0-9]+""))*1000,
VALUE(REGEXEXTRACT(O9364,""[0-9]+""))
),
0
)"),0.0)</f>
        <v>0</v>
      </c>
      <c r="E9364" s="1" t="s">
        <v>11</v>
      </c>
      <c r="F9364" s="1" t="s">
        <v>20</v>
      </c>
      <c r="G9364" s="4" t="b">
        <f t="shared" si="2"/>
        <v>1</v>
      </c>
      <c r="H9364" s="1" t="str">
        <f t="shared" si="3"/>
        <v>Currently Unavailable</v>
      </c>
      <c r="I9364" s="1" t="str">
        <f t="shared" si="4"/>
        <v>No Badges</v>
      </c>
      <c r="J9364" s="3">
        <f t="shared" si="5"/>
        <v>0</v>
      </c>
    </row>
    <row r="9365">
      <c r="A9365" s="1" t="s">
        <v>7145</v>
      </c>
      <c r="B9365" s="3" t="str">
        <f t="shared" si="1"/>
        <v>Unavailable</v>
      </c>
      <c r="C9365" s="5">
        <v>1080.0</v>
      </c>
      <c r="D9365" s="3">
        <f>IFERROR(__xludf.DUMMYFUNCTION("IFERROR(
IF(REGEXMATCH(LOWER(O9365),""k""),
VALUE(REGEXEXTRACT(O9365,""[0-9]+""))*1000,
VALUE(REGEXEXTRACT(O9365,""[0-9]+""))
),
0
)"),0.0)</f>
        <v>0</v>
      </c>
      <c r="E9365" s="1" t="s">
        <v>11</v>
      </c>
      <c r="F9365" s="1" t="s">
        <v>20</v>
      </c>
      <c r="G9365" s="4" t="b">
        <f t="shared" si="2"/>
        <v>1</v>
      </c>
      <c r="H9365" s="1" t="str">
        <f t="shared" si="3"/>
        <v>Currently Unavailable</v>
      </c>
      <c r="I9365" s="1" t="str">
        <f t="shared" si="4"/>
        <v>No Badges</v>
      </c>
      <c r="J9365" s="3">
        <f t="shared" si="5"/>
        <v>0</v>
      </c>
    </row>
    <row r="9366">
      <c r="A9366" s="1" t="s">
        <v>7146</v>
      </c>
      <c r="B9366" s="3" t="str">
        <f t="shared" si="1"/>
        <v>Unavailable</v>
      </c>
      <c r="C9366" s="5">
        <v>51709.0</v>
      </c>
      <c r="D9366" s="3">
        <f>IFERROR(__xludf.DUMMYFUNCTION("IFERROR(
IF(REGEXMATCH(LOWER(O9366),""k""),
VALUE(REGEXEXTRACT(O9366,""[0-9]+""))*1000,
VALUE(REGEXEXTRACT(O9366,""[0-9]+""))
),
0
)"),0.0)</f>
        <v>0</v>
      </c>
      <c r="E9366" s="1" t="s">
        <v>158</v>
      </c>
      <c r="F9366" s="1" t="s">
        <v>20</v>
      </c>
      <c r="G9366" s="4" t="b">
        <f t="shared" si="2"/>
        <v>1</v>
      </c>
      <c r="H9366" s="1" t="str">
        <f t="shared" si="3"/>
        <v>Currently Unavailable</v>
      </c>
      <c r="I9366" s="1" t="str">
        <f t="shared" si="4"/>
        <v>No Badges</v>
      </c>
      <c r="J9366" s="3">
        <f t="shared" si="5"/>
        <v>0</v>
      </c>
    </row>
    <row r="9367">
      <c r="A9367" s="1" t="s">
        <v>7147</v>
      </c>
      <c r="B9367" s="3" t="str">
        <f t="shared" si="1"/>
        <v>Unavailable</v>
      </c>
      <c r="C9367" s="5">
        <v>11605.0</v>
      </c>
      <c r="D9367" s="3">
        <f>IFERROR(__xludf.DUMMYFUNCTION("IFERROR(
IF(REGEXMATCH(LOWER(O9367),""k""),
VALUE(REGEXEXTRACT(O9367,""[0-9]+""))*1000,
VALUE(REGEXEXTRACT(O9367,""[0-9]+""))
),
0
)"),0.0)</f>
        <v>0</v>
      </c>
      <c r="E9367" s="1" t="s">
        <v>11</v>
      </c>
      <c r="F9367" s="1" t="s">
        <v>20</v>
      </c>
      <c r="G9367" s="4" t="b">
        <f t="shared" si="2"/>
        <v>1</v>
      </c>
      <c r="H9367" s="1" t="str">
        <f t="shared" si="3"/>
        <v>Currently Unavailable</v>
      </c>
      <c r="I9367" s="1" t="str">
        <f t="shared" si="4"/>
        <v>No Badges</v>
      </c>
      <c r="J9367" s="3">
        <f t="shared" si="5"/>
        <v>0</v>
      </c>
    </row>
    <row r="9368">
      <c r="A9368" s="1" t="s">
        <v>7148</v>
      </c>
      <c r="B9368" s="3" t="str">
        <f t="shared" si="1"/>
        <v>Unavailable</v>
      </c>
      <c r="C9368" s="5">
        <v>16604.0</v>
      </c>
      <c r="D9368" s="3">
        <f>IFERROR(__xludf.DUMMYFUNCTION("IFERROR(
IF(REGEXMATCH(LOWER(O9368),""k""),
VALUE(REGEXEXTRACT(O9368,""[0-9]+""))*1000,
VALUE(REGEXEXTRACT(O9368,""[0-9]+""))
),
0
)"),0.0)</f>
        <v>0</v>
      </c>
      <c r="E9368" s="1" t="s">
        <v>11</v>
      </c>
      <c r="F9368" s="1" t="s">
        <v>20</v>
      </c>
      <c r="G9368" s="4" t="b">
        <f t="shared" si="2"/>
        <v>1</v>
      </c>
      <c r="H9368" s="1" t="str">
        <f t="shared" si="3"/>
        <v>Currently Unavailable</v>
      </c>
      <c r="I9368" s="1" t="str">
        <f t="shared" si="4"/>
        <v>No Badges</v>
      </c>
      <c r="J9368" s="3">
        <f t="shared" si="5"/>
        <v>0</v>
      </c>
    </row>
    <row r="9369">
      <c r="A9369" s="1" t="s">
        <v>7149</v>
      </c>
      <c r="B9369" s="3" t="str">
        <f t="shared" si="1"/>
        <v>Unavailable</v>
      </c>
      <c r="C9369" s="5">
        <v>4069.0</v>
      </c>
      <c r="D9369" s="3">
        <f>IFERROR(__xludf.DUMMYFUNCTION("IFERROR(
IF(REGEXMATCH(LOWER(O9369),""k""),
VALUE(REGEXEXTRACT(O9369,""[0-9]+""))*1000,
VALUE(REGEXEXTRACT(O9369,""[0-9]+""))
),
0
)"),0.0)</f>
        <v>0</v>
      </c>
      <c r="E9369" s="1" t="s">
        <v>11</v>
      </c>
      <c r="F9369" s="1" t="s">
        <v>20</v>
      </c>
      <c r="G9369" s="4" t="b">
        <f t="shared" si="2"/>
        <v>1</v>
      </c>
      <c r="H9369" s="1" t="str">
        <f t="shared" si="3"/>
        <v>Currently Unavailable</v>
      </c>
      <c r="I9369" s="1" t="str">
        <f t="shared" si="4"/>
        <v>No Badges</v>
      </c>
      <c r="J9369" s="3">
        <f t="shared" si="5"/>
        <v>0</v>
      </c>
    </row>
    <row r="9370">
      <c r="A9370" s="1" t="s">
        <v>7150</v>
      </c>
      <c r="B9370" s="3" t="str">
        <f t="shared" si="1"/>
        <v>Unavailable</v>
      </c>
      <c r="C9370" s="5">
        <v>1774.0</v>
      </c>
      <c r="D9370" s="3">
        <f>IFERROR(__xludf.DUMMYFUNCTION("IFERROR(
IF(REGEXMATCH(LOWER(O9370),""k""),
VALUE(REGEXEXTRACT(O9370,""[0-9]+""))*1000,
VALUE(REGEXEXTRACT(O9370,""[0-9]+""))
),
0
)"),0.0)</f>
        <v>0</v>
      </c>
      <c r="E9370" s="1" t="s">
        <v>11</v>
      </c>
      <c r="F9370" s="1" t="s">
        <v>20</v>
      </c>
      <c r="G9370" s="4" t="b">
        <f t="shared" si="2"/>
        <v>1</v>
      </c>
      <c r="H9370" s="1" t="str">
        <f t="shared" si="3"/>
        <v>Currently Unavailable</v>
      </c>
      <c r="I9370" s="1" t="str">
        <f t="shared" si="4"/>
        <v>No Badges</v>
      </c>
      <c r="J9370" s="3">
        <f t="shared" si="5"/>
        <v>0</v>
      </c>
    </row>
    <row r="9371">
      <c r="A9371" s="1" t="s">
        <v>7151</v>
      </c>
      <c r="B9371" s="3" t="str">
        <f t="shared" si="1"/>
        <v>Unavailable</v>
      </c>
      <c r="C9371" s="5">
        <v>10359.0</v>
      </c>
      <c r="D9371" s="3">
        <f>IFERROR(__xludf.DUMMYFUNCTION("IFERROR(
IF(REGEXMATCH(LOWER(O9371),""k""),
VALUE(REGEXEXTRACT(O9371,""[0-9]+""))*1000,
VALUE(REGEXEXTRACT(O9371,""[0-9]+""))
),
0
)"),0.0)</f>
        <v>0</v>
      </c>
      <c r="E9371" s="1" t="s">
        <v>11</v>
      </c>
      <c r="F9371" s="1" t="s">
        <v>20</v>
      </c>
      <c r="G9371" s="4" t="b">
        <f t="shared" si="2"/>
        <v>1</v>
      </c>
      <c r="H9371" s="1" t="str">
        <f t="shared" si="3"/>
        <v>Currently Unavailable</v>
      </c>
      <c r="I9371" s="1" t="str">
        <f t="shared" si="4"/>
        <v>No Badges</v>
      </c>
      <c r="J9371" s="3">
        <f t="shared" si="5"/>
        <v>0</v>
      </c>
    </row>
    <row r="9372">
      <c r="A9372" s="1" t="s">
        <v>7152</v>
      </c>
      <c r="B9372" s="3" t="str">
        <f t="shared" si="1"/>
        <v>Unavailable</v>
      </c>
      <c r="C9372" s="5">
        <v>14810.0</v>
      </c>
      <c r="D9372" s="3">
        <f>IFERROR(__xludf.DUMMYFUNCTION("IFERROR(
IF(REGEXMATCH(LOWER(O9372),""k""),
VALUE(REGEXEXTRACT(O9372,""[0-9]+""))*1000,
VALUE(REGEXEXTRACT(O9372,""[0-9]+""))
),
0
)"),0.0)</f>
        <v>0</v>
      </c>
      <c r="E9372" s="1" t="s">
        <v>11</v>
      </c>
      <c r="F9372" s="1" t="s">
        <v>20</v>
      </c>
      <c r="G9372" s="4" t="b">
        <f t="shared" si="2"/>
        <v>1</v>
      </c>
      <c r="H9372" s="1" t="str">
        <f t="shared" si="3"/>
        <v>Currently Unavailable</v>
      </c>
      <c r="I9372" s="1" t="str">
        <f t="shared" si="4"/>
        <v>No Badges</v>
      </c>
      <c r="J9372" s="3">
        <f t="shared" si="5"/>
        <v>0</v>
      </c>
    </row>
    <row r="9373">
      <c r="A9373" s="1" t="s">
        <v>7068</v>
      </c>
      <c r="B9373" s="3" t="str">
        <f t="shared" si="1"/>
        <v>Unavailable</v>
      </c>
      <c r="C9373" s="3">
        <v>598.0</v>
      </c>
      <c r="D9373" s="3">
        <f>IFERROR(__xludf.DUMMYFUNCTION("IFERROR(
IF(REGEXMATCH(LOWER(O9373),""k""),
VALUE(REGEXEXTRACT(O9373,""[0-9]+""))*1000,
VALUE(REGEXEXTRACT(O9373,""[0-9]+""))
),
0
)"),0.0)</f>
        <v>0</v>
      </c>
      <c r="E9373" s="1" t="s">
        <v>11</v>
      </c>
      <c r="F9373" s="1" t="s">
        <v>12</v>
      </c>
      <c r="G9373" s="4" t="b">
        <f t="shared" si="2"/>
        <v>1</v>
      </c>
      <c r="H9373" s="1" t="str">
        <f t="shared" si="3"/>
        <v>Currently Unavailable</v>
      </c>
      <c r="I9373" s="1" t="str">
        <f t="shared" si="4"/>
        <v>No Badges</v>
      </c>
      <c r="J9373" s="3">
        <f t="shared" si="5"/>
        <v>0</v>
      </c>
    </row>
    <row r="9374">
      <c r="A9374" s="1" t="s">
        <v>7153</v>
      </c>
      <c r="B9374" s="3" t="str">
        <f t="shared" si="1"/>
        <v>Unavailable</v>
      </c>
      <c r="C9374" s="3">
        <v>23.0</v>
      </c>
      <c r="D9374" s="3">
        <f>IFERROR(__xludf.DUMMYFUNCTION("IFERROR(
IF(REGEXMATCH(LOWER(O9374),""k""),
VALUE(REGEXEXTRACT(O9374,""[0-9]+""))*1000,
VALUE(REGEXEXTRACT(O9374,""[0-9]+""))
),
0
)"),0.0)</f>
        <v>0</v>
      </c>
      <c r="E9374" s="1" t="s">
        <v>11</v>
      </c>
      <c r="F9374" s="1" t="s">
        <v>20</v>
      </c>
      <c r="G9374" s="4" t="b">
        <f t="shared" si="2"/>
        <v>1</v>
      </c>
      <c r="H9374" s="1" t="str">
        <f t="shared" si="3"/>
        <v>Currently Unavailable</v>
      </c>
      <c r="I9374" s="1" t="str">
        <f t="shared" si="4"/>
        <v>No Badges</v>
      </c>
      <c r="J9374" s="3">
        <f t="shared" si="5"/>
        <v>0</v>
      </c>
    </row>
    <row r="9375">
      <c r="A9375" s="1" t="s">
        <v>7154</v>
      </c>
      <c r="B9375" s="3" t="str">
        <f t="shared" si="1"/>
        <v>Unavailable</v>
      </c>
      <c r="C9375" s="5">
        <v>23075.0</v>
      </c>
      <c r="D9375" s="3">
        <f>IFERROR(__xludf.DUMMYFUNCTION("IFERROR(
IF(REGEXMATCH(LOWER(O9375),""k""),
VALUE(REGEXEXTRACT(O9375,""[0-9]+""))*1000,
VALUE(REGEXEXTRACT(O9375,""[0-9]+""))
),
0
)"),0.0)</f>
        <v>0</v>
      </c>
      <c r="E9375" s="1" t="s">
        <v>11</v>
      </c>
      <c r="F9375" s="1" t="s">
        <v>20</v>
      </c>
      <c r="G9375" s="4" t="b">
        <f t="shared" si="2"/>
        <v>1</v>
      </c>
      <c r="H9375" s="1" t="str">
        <f t="shared" si="3"/>
        <v>Currently Unavailable</v>
      </c>
      <c r="I9375" s="1" t="str">
        <f t="shared" si="4"/>
        <v>No Badges</v>
      </c>
      <c r="J9375" s="3">
        <f t="shared" si="5"/>
        <v>0</v>
      </c>
    </row>
    <row r="9376">
      <c r="A9376" s="1" t="s">
        <v>7155</v>
      </c>
      <c r="B9376" s="3" t="str">
        <f t="shared" si="1"/>
        <v>Unavailable</v>
      </c>
      <c r="C9376" s="5">
        <v>9294.0</v>
      </c>
      <c r="D9376" s="3">
        <f>IFERROR(__xludf.DUMMYFUNCTION("IFERROR(
IF(REGEXMATCH(LOWER(O9376),""k""),
VALUE(REGEXEXTRACT(O9376,""[0-9]+""))*1000,
VALUE(REGEXEXTRACT(O9376,""[0-9]+""))
),
0
)"),0.0)</f>
        <v>0</v>
      </c>
      <c r="E9376" s="1" t="s">
        <v>11</v>
      </c>
      <c r="F9376" s="1" t="s">
        <v>20</v>
      </c>
      <c r="G9376" s="4" t="b">
        <f t="shared" si="2"/>
        <v>1</v>
      </c>
      <c r="H9376" s="1" t="str">
        <f t="shared" si="3"/>
        <v>Currently Unavailable</v>
      </c>
      <c r="I9376" s="1" t="str">
        <f t="shared" si="4"/>
        <v>No Badges</v>
      </c>
      <c r="J9376" s="3">
        <f t="shared" si="5"/>
        <v>0</v>
      </c>
    </row>
    <row r="9377">
      <c r="A9377" s="1" t="s">
        <v>7068</v>
      </c>
      <c r="B9377" s="3" t="str">
        <f t="shared" si="1"/>
        <v>Unavailable</v>
      </c>
      <c r="C9377" s="3">
        <v>598.0</v>
      </c>
      <c r="D9377" s="3">
        <f>IFERROR(__xludf.DUMMYFUNCTION("IFERROR(
IF(REGEXMATCH(LOWER(O9377),""k""),
VALUE(REGEXEXTRACT(O9377,""[0-9]+""))*1000,
VALUE(REGEXEXTRACT(O9377,""[0-9]+""))
),
0
)"),0.0)</f>
        <v>0</v>
      </c>
      <c r="E9377" s="1" t="s">
        <v>11</v>
      </c>
      <c r="F9377" s="1" t="s">
        <v>12</v>
      </c>
      <c r="G9377" s="4" t="b">
        <f t="shared" si="2"/>
        <v>1</v>
      </c>
      <c r="H9377" s="1" t="str">
        <f t="shared" si="3"/>
        <v>Currently Unavailable</v>
      </c>
      <c r="I9377" s="1" t="str">
        <f t="shared" si="4"/>
        <v>No Badges</v>
      </c>
      <c r="J9377" s="3">
        <f t="shared" si="5"/>
        <v>0</v>
      </c>
    </row>
    <row r="9378">
      <c r="A9378" s="1" t="s">
        <v>7068</v>
      </c>
      <c r="B9378" s="3" t="str">
        <f t="shared" si="1"/>
        <v>Unavailable</v>
      </c>
      <c r="C9378" s="3">
        <v>598.0</v>
      </c>
      <c r="D9378" s="3">
        <f>IFERROR(__xludf.DUMMYFUNCTION("IFERROR(
IF(REGEXMATCH(LOWER(O9378),""k""),
VALUE(REGEXEXTRACT(O9378,""[0-9]+""))*1000,
VALUE(REGEXEXTRACT(O9378,""[0-9]+""))
),
0
)"),0.0)</f>
        <v>0</v>
      </c>
      <c r="E9378" s="1" t="s">
        <v>11</v>
      </c>
      <c r="F9378" s="1" t="s">
        <v>12</v>
      </c>
      <c r="G9378" s="4" t="b">
        <f t="shared" si="2"/>
        <v>1</v>
      </c>
      <c r="H9378" s="1" t="str">
        <f t="shared" si="3"/>
        <v>Currently Unavailable</v>
      </c>
      <c r="I9378" s="1" t="str">
        <f t="shared" si="4"/>
        <v>No Badges</v>
      </c>
      <c r="J9378" s="3">
        <f t="shared" si="5"/>
        <v>0</v>
      </c>
    </row>
    <row r="9379">
      <c r="A9379" s="1" t="s">
        <v>6703</v>
      </c>
      <c r="B9379" s="3" t="str">
        <f t="shared" si="1"/>
        <v>Unavailable</v>
      </c>
      <c r="C9379" s="3">
        <v>18.0</v>
      </c>
      <c r="D9379" s="3">
        <f>IFERROR(__xludf.DUMMYFUNCTION("IFERROR(
IF(REGEXMATCH(LOWER(O9379),""k""),
VALUE(REGEXEXTRACT(O9379,""[0-9]+""))*1000,
VALUE(REGEXEXTRACT(O9379,""[0-9]+""))
),
0
)"),0.0)</f>
        <v>0</v>
      </c>
      <c r="E9379" s="1" t="s">
        <v>11</v>
      </c>
      <c r="F9379" s="1" t="s">
        <v>20</v>
      </c>
      <c r="G9379" s="4" t="b">
        <f t="shared" si="2"/>
        <v>1</v>
      </c>
      <c r="H9379" s="1" t="str">
        <f t="shared" si="3"/>
        <v>Currently Unavailable</v>
      </c>
      <c r="I9379" s="1" t="str">
        <f t="shared" si="4"/>
        <v>No Badges</v>
      </c>
      <c r="J9379" s="3">
        <f t="shared" si="5"/>
        <v>0</v>
      </c>
    </row>
    <row r="9380">
      <c r="A9380" s="1" t="s">
        <v>7068</v>
      </c>
      <c r="B9380" s="3" t="str">
        <f t="shared" si="1"/>
        <v>Unavailable</v>
      </c>
      <c r="C9380" s="3">
        <v>598.0</v>
      </c>
      <c r="D9380" s="3">
        <f>IFERROR(__xludf.DUMMYFUNCTION("IFERROR(
IF(REGEXMATCH(LOWER(O9380),""k""),
VALUE(REGEXEXTRACT(O9380,""[0-9]+""))*1000,
VALUE(REGEXEXTRACT(O9380,""[0-9]+""))
),
0
)"),0.0)</f>
        <v>0</v>
      </c>
      <c r="E9380" s="1" t="s">
        <v>11</v>
      </c>
      <c r="F9380" s="1" t="s">
        <v>12</v>
      </c>
      <c r="G9380" s="4" t="b">
        <f t="shared" si="2"/>
        <v>1</v>
      </c>
      <c r="H9380" s="1" t="str">
        <f t="shared" si="3"/>
        <v>Currently Unavailable</v>
      </c>
      <c r="I9380" s="1" t="str">
        <f t="shared" si="4"/>
        <v>No Badges</v>
      </c>
      <c r="J9380" s="3">
        <f t="shared" si="5"/>
        <v>0</v>
      </c>
    </row>
    <row r="9381">
      <c r="A9381" s="1" t="s">
        <v>7156</v>
      </c>
      <c r="B9381" s="3" t="str">
        <f t="shared" si="1"/>
        <v>Unavailable</v>
      </c>
      <c r="C9381" s="5">
        <v>139943.0</v>
      </c>
      <c r="D9381" s="3">
        <f>IFERROR(__xludf.DUMMYFUNCTION("IFERROR(
IF(REGEXMATCH(LOWER(O9381),""k""),
VALUE(REGEXEXTRACT(O9381,""[0-9]+""))*1000,
VALUE(REGEXEXTRACT(O9381,""[0-9]+""))
),
0
)"),0.0)</f>
        <v>0</v>
      </c>
      <c r="E9381" s="1" t="s">
        <v>11</v>
      </c>
      <c r="F9381" s="1" t="s">
        <v>12</v>
      </c>
      <c r="G9381" s="4" t="b">
        <f t="shared" si="2"/>
        <v>1</v>
      </c>
      <c r="H9381" s="1" t="str">
        <f t="shared" si="3"/>
        <v>Currently Unavailable</v>
      </c>
      <c r="I9381" s="1" t="str">
        <f t="shared" si="4"/>
        <v>No Badges</v>
      </c>
      <c r="J9381" s="3">
        <f t="shared" si="5"/>
        <v>0</v>
      </c>
    </row>
    <row r="9382">
      <c r="A9382" s="1" t="s">
        <v>6706</v>
      </c>
      <c r="B9382" s="3" t="str">
        <f t="shared" si="1"/>
        <v>Unavailable</v>
      </c>
      <c r="C9382" s="3">
        <v>329.0</v>
      </c>
      <c r="D9382" s="3">
        <f>IFERROR(__xludf.DUMMYFUNCTION("IFERROR(
IF(REGEXMATCH(LOWER(O9382),""k""),
VALUE(REGEXEXTRACT(O9382,""[0-9]+""))*1000,
VALUE(REGEXEXTRACT(O9382,""[0-9]+""))
),
0
)"),0.0)</f>
        <v>0</v>
      </c>
      <c r="E9382" s="1" t="s">
        <v>11</v>
      </c>
      <c r="F9382" s="1" t="s">
        <v>20</v>
      </c>
      <c r="G9382" s="4" t="b">
        <f t="shared" si="2"/>
        <v>1</v>
      </c>
      <c r="H9382" s="1" t="str">
        <f t="shared" si="3"/>
        <v>Currently Unavailable</v>
      </c>
      <c r="I9382" s="1" t="str">
        <f t="shared" si="4"/>
        <v>No Badges</v>
      </c>
      <c r="J9382" s="3">
        <f t="shared" si="5"/>
        <v>0</v>
      </c>
    </row>
    <row r="9383">
      <c r="A9383" s="1" t="s">
        <v>7156</v>
      </c>
      <c r="B9383" s="3" t="str">
        <f t="shared" si="1"/>
        <v>Unavailable</v>
      </c>
      <c r="C9383" s="5">
        <v>139943.0</v>
      </c>
      <c r="D9383" s="3">
        <f>IFERROR(__xludf.DUMMYFUNCTION("IFERROR(
IF(REGEXMATCH(LOWER(O9383),""k""),
VALUE(REGEXEXTRACT(O9383,""[0-9]+""))*1000,
VALUE(REGEXEXTRACT(O9383,""[0-9]+""))
),
0
)"),0.0)</f>
        <v>0</v>
      </c>
      <c r="E9383" s="1" t="s">
        <v>11</v>
      </c>
      <c r="F9383" s="1" t="s">
        <v>12</v>
      </c>
      <c r="G9383" s="4" t="b">
        <f t="shared" si="2"/>
        <v>1</v>
      </c>
      <c r="H9383" s="1" t="str">
        <f t="shared" si="3"/>
        <v>Currently Unavailable</v>
      </c>
      <c r="I9383" s="1" t="str">
        <f t="shared" si="4"/>
        <v>No Badges</v>
      </c>
      <c r="J9383" s="3">
        <f t="shared" si="5"/>
        <v>0</v>
      </c>
    </row>
    <row r="9384">
      <c r="A9384" s="1" t="s">
        <v>6650</v>
      </c>
      <c r="B9384" s="3" t="str">
        <f t="shared" si="1"/>
        <v>Unavailable</v>
      </c>
      <c r="C9384" s="3">
        <v>3.0</v>
      </c>
      <c r="D9384" s="3">
        <f>IFERROR(__xludf.DUMMYFUNCTION("IFERROR(
IF(REGEXMATCH(LOWER(O9384),""k""),
VALUE(REGEXEXTRACT(O9384,""[0-9]+""))*1000,
VALUE(REGEXEXTRACT(O9384,""[0-9]+""))
),
0
)"),0.0)</f>
        <v>0</v>
      </c>
      <c r="E9384" s="1" t="s">
        <v>11</v>
      </c>
      <c r="F9384" s="1" t="s">
        <v>12</v>
      </c>
      <c r="G9384" s="4" t="b">
        <f t="shared" si="2"/>
        <v>1</v>
      </c>
      <c r="H9384" s="1" t="str">
        <f t="shared" si="3"/>
        <v>Currently Unavailable</v>
      </c>
      <c r="I9384" s="1" t="str">
        <f t="shared" si="4"/>
        <v>No Badges</v>
      </c>
      <c r="J9384" s="3">
        <f t="shared" si="5"/>
        <v>0</v>
      </c>
    </row>
    <row r="9385">
      <c r="A9385" s="1" t="s">
        <v>701</v>
      </c>
      <c r="B9385" s="3" t="str">
        <f t="shared" si="1"/>
        <v>Unavailable</v>
      </c>
      <c r="C9385" s="3">
        <v>8.0</v>
      </c>
      <c r="D9385" s="3">
        <f>IFERROR(__xludf.DUMMYFUNCTION("IFERROR(
IF(REGEXMATCH(LOWER(O9385),""k""),
VALUE(REGEXEXTRACT(O9385,""[0-9]+""))*1000,
VALUE(REGEXEXTRACT(O9385,""[0-9]+""))
),
0
)"),0.0)</f>
        <v>0</v>
      </c>
      <c r="E9385" s="1" t="s">
        <v>11</v>
      </c>
      <c r="F9385" s="1" t="s">
        <v>12</v>
      </c>
      <c r="G9385" s="4" t="b">
        <f t="shared" si="2"/>
        <v>1</v>
      </c>
      <c r="H9385" s="1" t="str">
        <f t="shared" si="3"/>
        <v>Currently Unavailable</v>
      </c>
      <c r="I9385" s="1" t="str">
        <f t="shared" si="4"/>
        <v>No Badges</v>
      </c>
      <c r="J9385" s="3">
        <f t="shared" si="5"/>
        <v>0</v>
      </c>
    </row>
    <row r="9386">
      <c r="A9386" s="1" t="s">
        <v>6707</v>
      </c>
      <c r="B9386" s="3" t="str">
        <f t="shared" si="1"/>
        <v>Unavailable</v>
      </c>
      <c r="C9386" s="3">
        <v>50.0</v>
      </c>
      <c r="D9386" s="3">
        <f>IFERROR(__xludf.DUMMYFUNCTION("IFERROR(
IF(REGEXMATCH(LOWER(O9386),""k""),
VALUE(REGEXEXTRACT(O9386,""[0-9]+""))*1000,
VALUE(REGEXEXTRACT(O9386,""[0-9]+""))
),
0
)"),0.0)</f>
        <v>0</v>
      </c>
      <c r="E9386" s="1" t="s">
        <v>11</v>
      </c>
      <c r="F9386" s="1" t="s">
        <v>20</v>
      </c>
      <c r="G9386" s="4" t="b">
        <f t="shared" si="2"/>
        <v>1</v>
      </c>
      <c r="H9386" s="1" t="str">
        <f t="shared" si="3"/>
        <v>Currently Unavailable</v>
      </c>
      <c r="I9386" s="1" t="str">
        <f t="shared" si="4"/>
        <v>No Badges</v>
      </c>
      <c r="J9386" s="3">
        <f t="shared" si="5"/>
        <v>0</v>
      </c>
    </row>
    <row r="9387">
      <c r="A9387" s="1" t="s">
        <v>7156</v>
      </c>
      <c r="B9387" s="3" t="str">
        <f t="shared" si="1"/>
        <v>Unavailable</v>
      </c>
      <c r="C9387" s="5">
        <v>139943.0</v>
      </c>
      <c r="D9387" s="3">
        <f>IFERROR(__xludf.DUMMYFUNCTION("IFERROR(
IF(REGEXMATCH(LOWER(O9387),""k""),
VALUE(REGEXEXTRACT(O9387,""[0-9]+""))*1000,
VALUE(REGEXEXTRACT(O9387,""[0-9]+""))
),
0
)"),0.0)</f>
        <v>0</v>
      </c>
      <c r="E9387" s="1" t="s">
        <v>11</v>
      </c>
      <c r="F9387" s="1" t="s">
        <v>12</v>
      </c>
      <c r="G9387" s="4" t="b">
        <f t="shared" si="2"/>
        <v>1</v>
      </c>
      <c r="H9387" s="1" t="str">
        <f t="shared" si="3"/>
        <v>Currently Unavailable</v>
      </c>
      <c r="I9387" s="1" t="str">
        <f t="shared" si="4"/>
        <v>No Badges</v>
      </c>
      <c r="J9387" s="3">
        <f t="shared" si="5"/>
        <v>0</v>
      </c>
    </row>
    <row r="9388">
      <c r="A9388" s="1" t="s">
        <v>7156</v>
      </c>
      <c r="B9388" s="3" t="str">
        <f t="shared" si="1"/>
        <v>Unavailable</v>
      </c>
      <c r="C9388" s="5">
        <v>139943.0</v>
      </c>
      <c r="D9388" s="3">
        <f>IFERROR(__xludf.DUMMYFUNCTION("IFERROR(
IF(REGEXMATCH(LOWER(O9388),""k""),
VALUE(REGEXEXTRACT(O9388,""[0-9]+""))*1000,
VALUE(REGEXEXTRACT(O9388,""[0-9]+""))
),
0
)"),0.0)</f>
        <v>0</v>
      </c>
      <c r="E9388" s="1" t="s">
        <v>11</v>
      </c>
      <c r="F9388" s="1" t="s">
        <v>12</v>
      </c>
      <c r="G9388" s="4" t="b">
        <f t="shared" si="2"/>
        <v>1</v>
      </c>
      <c r="H9388" s="1" t="str">
        <f t="shared" si="3"/>
        <v>Currently Unavailable</v>
      </c>
      <c r="I9388" s="1" t="str">
        <f t="shared" si="4"/>
        <v>No Badges</v>
      </c>
      <c r="J9388" s="3">
        <f t="shared" si="5"/>
        <v>0</v>
      </c>
    </row>
    <row r="9389">
      <c r="A9389" s="1" t="s">
        <v>6708</v>
      </c>
      <c r="B9389" s="3" t="str">
        <f t="shared" si="1"/>
        <v>Unavailable</v>
      </c>
      <c r="C9389" s="3">
        <v>38.0</v>
      </c>
      <c r="D9389" s="3">
        <f>IFERROR(__xludf.DUMMYFUNCTION("IFERROR(
IF(REGEXMATCH(LOWER(O9389),""k""),
VALUE(REGEXEXTRACT(O9389,""[0-9]+""))*1000,
VALUE(REGEXEXTRACT(O9389,""[0-9]+""))
),
0
)"),0.0)</f>
        <v>0</v>
      </c>
      <c r="E9389" s="1" t="s">
        <v>11</v>
      </c>
      <c r="F9389" s="1" t="s">
        <v>20</v>
      </c>
      <c r="G9389" s="4" t="b">
        <f t="shared" si="2"/>
        <v>1</v>
      </c>
      <c r="H9389" s="1" t="str">
        <f t="shared" si="3"/>
        <v>Currently Unavailable</v>
      </c>
      <c r="I9389" s="1" t="str">
        <f t="shared" si="4"/>
        <v>No Badges</v>
      </c>
      <c r="J9389" s="3">
        <f t="shared" si="5"/>
        <v>0</v>
      </c>
    </row>
    <row r="9390">
      <c r="A9390" s="1" t="s">
        <v>7156</v>
      </c>
      <c r="B9390" s="3" t="str">
        <f t="shared" si="1"/>
        <v>Unavailable</v>
      </c>
      <c r="C9390" s="5">
        <v>139943.0</v>
      </c>
      <c r="D9390" s="3">
        <f>IFERROR(__xludf.DUMMYFUNCTION("IFERROR(
IF(REGEXMATCH(LOWER(O9390),""k""),
VALUE(REGEXEXTRACT(O9390,""[0-9]+""))*1000,
VALUE(REGEXEXTRACT(O9390,""[0-9]+""))
),
0
)"),0.0)</f>
        <v>0</v>
      </c>
      <c r="E9390" s="1" t="s">
        <v>11</v>
      </c>
      <c r="F9390" s="1" t="s">
        <v>12</v>
      </c>
      <c r="G9390" s="4" t="b">
        <f t="shared" si="2"/>
        <v>1</v>
      </c>
      <c r="H9390" s="1" t="str">
        <f t="shared" si="3"/>
        <v>Currently Unavailable</v>
      </c>
      <c r="I9390" s="1" t="str">
        <f t="shared" si="4"/>
        <v>No Badges</v>
      </c>
      <c r="J9390" s="3">
        <f t="shared" si="5"/>
        <v>0</v>
      </c>
    </row>
    <row r="9391">
      <c r="A9391" s="1" t="s">
        <v>7156</v>
      </c>
      <c r="B9391" s="3" t="str">
        <f t="shared" si="1"/>
        <v>Unavailable</v>
      </c>
      <c r="C9391" s="5">
        <v>139943.0</v>
      </c>
      <c r="D9391" s="3">
        <f>IFERROR(__xludf.DUMMYFUNCTION("IFERROR(
IF(REGEXMATCH(LOWER(O9391),""k""),
VALUE(REGEXEXTRACT(O9391,""[0-9]+""))*1000,
VALUE(REGEXEXTRACT(O9391,""[0-9]+""))
),
0
)"),0.0)</f>
        <v>0</v>
      </c>
      <c r="E9391" s="1" t="s">
        <v>11</v>
      </c>
      <c r="F9391" s="1" t="s">
        <v>12</v>
      </c>
      <c r="G9391" s="4" t="b">
        <f t="shared" si="2"/>
        <v>1</v>
      </c>
      <c r="H9391" s="1" t="str">
        <f t="shared" si="3"/>
        <v>Currently Unavailable</v>
      </c>
      <c r="I9391" s="1" t="str">
        <f t="shared" si="4"/>
        <v>No Badges</v>
      </c>
      <c r="J9391" s="3">
        <f t="shared" si="5"/>
        <v>0</v>
      </c>
    </row>
    <row r="9392">
      <c r="A9392" s="1" t="s">
        <v>7156</v>
      </c>
      <c r="B9392" s="3" t="str">
        <f t="shared" si="1"/>
        <v>Unavailable</v>
      </c>
      <c r="C9392" s="5">
        <v>139943.0</v>
      </c>
      <c r="D9392" s="3">
        <f>IFERROR(__xludf.DUMMYFUNCTION("IFERROR(
IF(REGEXMATCH(LOWER(O9392),""k""),
VALUE(REGEXEXTRACT(O9392,""[0-9]+""))*1000,
VALUE(REGEXEXTRACT(O9392,""[0-9]+""))
),
0
)"),0.0)</f>
        <v>0</v>
      </c>
      <c r="E9392" s="1" t="s">
        <v>11</v>
      </c>
      <c r="F9392" s="1" t="s">
        <v>12</v>
      </c>
      <c r="G9392" s="4" t="b">
        <f t="shared" si="2"/>
        <v>1</v>
      </c>
      <c r="H9392" s="1" t="str">
        <f t="shared" si="3"/>
        <v>Currently Unavailable</v>
      </c>
      <c r="I9392" s="1" t="str">
        <f t="shared" si="4"/>
        <v>No Badges</v>
      </c>
      <c r="J9392" s="3">
        <f t="shared" si="5"/>
        <v>0</v>
      </c>
    </row>
    <row r="9393">
      <c r="A9393" s="1" t="s">
        <v>7156</v>
      </c>
      <c r="B9393" s="3" t="str">
        <f t="shared" si="1"/>
        <v>Unavailable</v>
      </c>
      <c r="C9393" s="5">
        <v>139943.0</v>
      </c>
      <c r="D9393" s="3">
        <f>IFERROR(__xludf.DUMMYFUNCTION("IFERROR(
IF(REGEXMATCH(LOWER(O9393),""k""),
VALUE(REGEXEXTRACT(O9393,""[0-9]+""))*1000,
VALUE(REGEXEXTRACT(O9393,""[0-9]+""))
),
0
)"),0.0)</f>
        <v>0</v>
      </c>
      <c r="E9393" s="1" t="s">
        <v>11</v>
      </c>
      <c r="F9393" s="1" t="s">
        <v>12</v>
      </c>
      <c r="G9393" s="4" t="b">
        <f t="shared" si="2"/>
        <v>1</v>
      </c>
      <c r="H9393" s="1" t="str">
        <f t="shared" si="3"/>
        <v>Currently Unavailable</v>
      </c>
      <c r="I9393" s="1" t="str">
        <f t="shared" si="4"/>
        <v>No Badges</v>
      </c>
      <c r="J9393" s="3">
        <f t="shared" si="5"/>
        <v>0</v>
      </c>
    </row>
    <row r="9394">
      <c r="A9394" s="1" t="s">
        <v>7156</v>
      </c>
      <c r="B9394" s="3" t="str">
        <f t="shared" si="1"/>
        <v>Unavailable</v>
      </c>
      <c r="C9394" s="5">
        <v>139943.0</v>
      </c>
      <c r="D9394" s="3">
        <f>IFERROR(__xludf.DUMMYFUNCTION("IFERROR(
IF(REGEXMATCH(LOWER(O9394),""k""),
VALUE(REGEXEXTRACT(O9394,""[0-9]+""))*1000,
VALUE(REGEXEXTRACT(O9394,""[0-9]+""))
),
0
)"),0.0)</f>
        <v>0</v>
      </c>
      <c r="E9394" s="1" t="s">
        <v>11</v>
      </c>
      <c r="F9394" s="1" t="s">
        <v>12</v>
      </c>
      <c r="G9394" s="4" t="b">
        <f t="shared" si="2"/>
        <v>1</v>
      </c>
      <c r="H9394" s="1" t="str">
        <f t="shared" si="3"/>
        <v>Currently Unavailable</v>
      </c>
      <c r="I9394" s="1" t="str">
        <f t="shared" si="4"/>
        <v>No Badges</v>
      </c>
      <c r="J9394" s="3">
        <f t="shared" si="5"/>
        <v>0</v>
      </c>
    </row>
    <row r="9395">
      <c r="A9395" s="1" t="s">
        <v>7156</v>
      </c>
      <c r="B9395" s="3" t="str">
        <f t="shared" si="1"/>
        <v>Unavailable</v>
      </c>
      <c r="C9395" s="5">
        <v>139943.0</v>
      </c>
      <c r="D9395" s="3">
        <f>IFERROR(__xludf.DUMMYFUNCTION("IFERROR(
IF(REGEXMATCH(LOWER(O9395),""k""),
VALUE(REGEXEXTRACT(O9395,""[0-9]+""))*1000,
VALUE(REGEXEXTRACT(O9395,""[0-9]+""))
),
0
)"),0.0)</f>
        <v>0</v>
      </c>
      <c r="E9395" s="1" t="s">
        <v>11</v>
      </c>
      <c r="F9395" s="1" t="s">
        <v>12</v>
      </c>
      <c r="G9395" s="4" t="b">
        <f t="shared" si="2"/>
        <v>1</v>
      </c>
      <c r="H9395" s="1" t="str">
        <f t="shared" si="3"/>
        <v>Currently Unavailable</v>
      </c>
      <c r="I9395" s="1" t="str">
        <f t="shared" si="4"/>
        <v>No Badges</v>
      </c>
      <c r="J9395" s="3">
        <f t="shared" si="5"/>
        <v>0</v>
      </c>
    </row>
    <row r="9396">
      <c r="A9396" s="1" t="s">
        <v>7156</v>
      </c>
      <c r="B9396" s="3" t="str">
        <f t="shared" si="1"/>
        <v>Unavailable</v>
      </c>
      <c r="C9396" s="5">
        <v>139943.0</v>
      </c>
      <c r="D9396" s="3">
        <f>IFERROR(__xludf.DUMMYFUNCTION("IFERROR(
IF(REGEXMATCH(LOWER(O9396),""k""),
VALUE(REGEXEXTRACT(O9396,""[0-9]+""))*1000,
VALUE(REGEXEXTRACT(O9396,""[0-9]+""))
),
0
)"),0.0)</f>
        <v>0</v>
      </c>
      <c r="E9396" s="1" t="s">
        <v>11</v>
      </c>
      <c r="F9396" s="1" t="s">
        <v>12</v>
      </c>
      <c r="G9396" s="4" t="b">
        <f t="shared" si="2"/>
        <v>1</v>
      </c>
      <c r="H9396" s="1" t="str">
        <f t="shared" si="3"/>
        <v>Currently Unavailable</v>
      </c>
      <c r="I9396" s="1" t="str">
        <f t="shared" si="4"/>
        <v>No Badges</v>
      </c>
      <c r="J9396" s="3">
        <f t="shared" si="5"/>
        <v>0</v>
      </c>
    </row>
    <row r="9397">
      <c r="A9397" s="1" t="s">
        <v>7156</v>
      </c>
      <c r="B9397" s="3" t="str">
        <f t="shared" si="1"/>
        <v>Unavailable</v>
      </c>
      <c r="C9397" s="5">
        <v>139943.0</v>
      </c>
      <c r="D9397" s="3">
        <f>IFERROR(__xludf.DUMMYFUNCTION("IFERROR(
IF(REGEXMATCH(LOWER(O9397),""k""),
VALUE(REGEXEXTRACT(O9397,""[0-9]+""))*1000,
VALUE(REGEXEXTRACT(O9397,""[0-9]+""))
),
0
)"),0.0)</f>
        <v>0</v>
      </c>
      <c r="E9397" s="1" t="s">
        <v>11</v>
      </c>
      <c r="F9397" s="1" t="s">
        <v>12</v>
      </c>
      <c r="G9397" s="4" t="b">
        <f t="shared" si="2"/>
        <v>1</v>
      </c>
      <c r="H9397" s="1" t="str">
        <f t="shared" si="3"/>
        <v>Currently Unavailable</v>
      </c>
      <c r="I9397" s="1" t="str">
        <f t="shared" si="4"/>
        <v>No Badges</v>
      </c>
      <c r="J9397" s="3">
        <f t="shared" si="5"/>
        <v>0</v>
      </c>
    </row>
    <row r="9398">
      <c r="A9398" s="1" t="s">
        <v>6661</v>
      </c>
      <c r="B9398" s="3" t="str">
        <f t="shared" si="1"/>
        <v>Unavailable</v>
      </c>
      <c r="C9398" s="3">
        <v>24.0</v>
      </c>
      <c r="D9398" s="3">
        <f>IFERROR(__xludf.DUMMYFUNCTION("IFERROR(
IF(REGEXMATCH(LOWER(O9398),""k""),
VALUE(REGEXEXTRACT(O9398,""[0-9]+""))*1000,
VALUE(REGEXEXTRACT(O9398,""[0-9]+""))
),
0
)"),0.0)</f>
        <v>0</v>
      </c>
      <c r="E9398" s="1" t="s">
        <v>11</v>
      </c>
      <c r="F9398" s="1" t="s">
        <v>12</v>
      </c>
      <c r="G9398" s="4" t="b">
        <f t="shared" si="2"/>
        <v>1</v>
      </c>
      <c r="H9398" s="1" t="str">
        <f t="shared" si="3"/>
        <v>Currently Unavailable</v>
      </c>
      <c r="I9398" s="1" t="str">
        <f t="shared" si="4"/>
        <v>No Badges</v>
      </c>
      <c r="J9398" s="3">
        <f t="shared" si="5"/>
        <v>0</v>
      </c>
    </row>
    <row r="9399">
      <c r="A9399" s="1" t="s">
        <v>6662</v>
      </c>
      <c r="B9399" s="3" t="str">
        <f t="shared" si="1"/>
        <v>Unavailable</v>
      </c>
      <c r="C9399" s="5">
        <v>1886.0</v>
      </c>
      <c r="D9399" s="3">
        <f>IFERROR(__xludf.DUMMYFUNCTION("IFERROR(
IF(REGEXMATCH(LOWER(O9399),""k""),
VALUE(REGEXEXTRACT(O9399,""[0-9]+""))*1000,
VALUE(REGEXEXTRACT(O9399,""[0-9]+""))
),
0
)"),0.0)</f>
        <v>0</v>
      </c>
      <c r="E9399" s="1" t="s">
        <v>11</v>
      </c>
      <c r="F9399" s="1" t="s">
        <v>12</v>
      </c>
      <c r="G9399" s="4" t="b">
        <f t="shared" si="2"/>
        <v>1</v>
      </c>
      <c r="H9399" s="1" t="str">
        <f t="shared" si="3"/>
        <v>Currently Unavailable</v>
      </c>
      <c r="I9399" s="1" t="str">
        <f t="shared" si="4"/>
        <v>No Badges</v>
      </c>
      <c r="J9399" s="3">
        <f t="shared" si="5"/>
        <v>0</v>
      </c>
    </row>
    <row r="9400">
      <c r="A9400" s="1" t="s">
        <v>7157</v>
      </c>
      <c r="B9400" s="3" t="str">
        <f t="shared" si="1"/>
        <v>Unavailable</v>
      </c>
      <c r="C9400" s="3">
        <v>949.0</v>
      </c>
      <c r="D9400" s="3">
        <f>IFERROR(__xludf.DUMMYFUNCTION("IFERROR(
IF(REGEXMATCH(LOWER(O9400),""k""),
VALUE(REGEXEXTRACT(O9400,""[0-9]+""))*1000,
VALUE(REGEXEXTRACT(O9400,""[0-9]+""))
),
0
)"),0.0)</f>
        <v>0</v>
      </c>
      <c r="E9400" s="1" t="s">
        <v>11</v>
      </c>
      <c r="F9400" s="1" t="s">
        <v>20</v>
      </c>
      <c r="G9400" s="4" t="b">
        <f t="shared" si="2"/>
        <v>1</v>
      </c>
      <c r="H9400" s="1" t="str">
        <f t="shared" si="3"/>
        <v>Currently Unavailable</v>
      </c>
      <c r="I9400" s="1" t="str">
        <f t="shared" si="4"/>
        <v>No Badges</v>
      </c>
      <c r="J9400" s="3">
        <f t="shared" si="5"/>
        <v>0</v>
      </c>
    </row>
    <row r="9401">
      <c r="A9401" s="1" t="s">
        <v>7158</v>
      </c>
      <c r="B9401" s="3" t="str">
        <f t="shared" si="1"/>
        <v>Unavailable</v>
      </c>
      <c r="C9401" s="5">
        <v>1188.0</v>
      </c>
      <c r="D9401" s="3">
        <f>IFERROR(__xludf.DUMMYFUNCTION("IFERROR(
IF(REGEXMATCH(LOWER(O9401),""k""),
VALUE(REGEXEXTRACT(O9401,""[0-9]+""))*1000,
VALUE(REGEXEXTRACT(O9401,""[0-9]+""))
),
0
)"),0.0)</f>
        <v>0</v>
      </c>
      <c r="E9401" s="1" t="s">
        <v>11</v>
      </c>
      <c r="F9401" s="1" t="s">
        <v>20</v>
      </c>
      <c r="G9401" s="4" t="b">
        <f t="shared" si="2"/>
        <v>1</v>
      </c>
      <c r="H9401" s="1" t="str">
        <f t="shared" si="3"/>
        <v>Currently Unavailable</v>
      </c>
      <c r="I9401" s="1" t="str">
        <f t="shared" si="4"/>
        <v>No Badges</v>
      </c>
      <c r="J9401" s="3">
        <f t="shared" si="5"/>
        <v>0</v>
      </c>
    </row>
    <row r="9402">
      <c r="A9402" s="1" t="s">
        <v>6716</v>
      </c>
      <c r="B9402" s="3" t="str">
        <f t="shared" si="1"/>
        <v>Unavailable</v>
      </c>
      <c r="C9402" s="3">
        <v>18.0</v>
      </c>
      <c r="D9402" s="3">
        <f>IFERROR(__xludf.DUMMYFUNCTION("IFERROR(
IF(REGEXMATCH(LOWER(O9402),""k""),
VALUE(REGEXEXTRACT(O9402,""[0-9]+""))*1000,
VALUE(REGEXEXTRACT(O9402,""[0-9]+""))
),
0
)"),0.0)</f>
        <v>0</v>
      </c>
      <c r="E9402" s="1" t="s">
        <v>11</v>
      </c>
      <c r="F9402" s="1" t="s">
        <v>20</v>
      </c>
      <c r="G9402" s="4" t="b">
        <f t="shared" si="2"/>
        <v>1</v>
      </c>
      <c r="H9402" s="1" t="str">
        <f t="shared" si="3"/>
        <v>Currently Unavailable</v>
      </c>
      <c r="I9402" s="1" t="str">
        <f t="shared" si="4"/>
        <v>No Badges</v>
      </c>
      <c r="J9402" s="3">
        <f t="shared" si="5"/>
        <v>0</v>
      </c>
    </row>
    <row r="9403">
      <c r="A9403" s="1" t="s">
        <v>7159</v>
      </c>
      <c r="B9403" s="3" t="str">
        <f t="shared" si="1"/>
        <v>Unavailable</v>
      </c>
      <c r="C9403" s="3">
        <v>291.0</v>
      </c>
      <c r="D9403" s="3">
        <f>IFERROR(__xludf.DUMMYFUNCTION("IFERROR(
IF(REGEXMATCH(LOWER(O9403),""k""),
VALUE(REGEXEXTRACT(O9403,""[0-9]+""))*1000,
VALUE(REGEXEXTRACT(O9403,""[0-9]+""))
),
0
)"),0.0)</f>
        <v>0</v>
      </c>
      <c r="E9403" s="1" t="s">
        <v>11</v>
      </c>
      <c r="F9403" s="1" t="s">
        <v>20</v>
      </c>
      <c r="G9403" s="4" t="b">
        <f t="shared" si="2"/>
        <v>1</v>
      </c>
      <c r="H9403" s="1" t="str">
        <f t="shared" si="3"/>
        <v>Currently Unavailable</v>
      </c>
      <c r="I9403" s="1" t="str">
        <f t="shared" si="4"/>
        <v>No Badges</v>
      </c>
      <c r="J9403" s="3">
        <f t="shared" si="5"/>
        <v>0</v>
      </c>
    </row>
    <row r="9404">
      <c r="A9404" s="1" t="s">
        <v>7160</v>
      </c>
      <c r="B9404" s="3" t="str">
        <f t="shared" si="1"/>
        <v>Unavailable</v>
      </c>
      <c r="C9404" s="3">
        <v>182.0</v>
      </c>
      <c r="D9404" s="3">
        <f>IFERROR(__xludf.DUMMYFUNCTION("IFERROR(
IF(REGEXMATCH(LOWER(O9404),""k""),
VALUE(REGEXEXTRACT(O9404,""[0-9]+""))*1000,
VALUE(REGEXEXTRACT(O9404,""[0-9]+""))
),
0
)"),0.0)</f>
        <v>0</v>
      </c>
      <c r="E9404" s="1" t="s">
        <v>11</v>
      </c>
      <c r="F9404" s="1" t="s">
        <v>20</v>
      </c>
      <c r="G9404" s="4" t="b">
        <f t="shared" si="2"/>
        <v>1</v>
      </c>
      <c r="H9404" s="1" t="str">
        <f t="shared" si="3"/>
        <v>Currently Unavailable</v>
      </c>
      <c r="I9404" s="1" t="str">
        <f t="shared" si="4"/>
        <v>No Badges</v>
      </c>
      <c r="J9404" s="3">
        <f t="shared" si="5"/>
        <v>0</v>
      </c>
    </row>
    <row r="9405">
      <c r="A9405" s="1" t="s">
        <v>6719</v>
      </c>
      <c r="B9405" s="3" t="str">
        <f t="shared" si="1"/>
        <v>Unavailable</v>
      </c>
      <c r="C9405" s="3">
        <v>113.0</v>
      </c>
      <c r="D9405" s="3">
        <f>IFERROR(__xludf.DUMMYFUNCTION("IFERROR(
IF(REGEXMATCH(LOWER(O9405),""k""),
VALUE(REGEXEXTRACT(O9405,""[0-9]+""))*1000,
VALUE(REGEXEXTRACT(O9405,""[0-9]+""))
),
0
)"),0.0)</f>
        <v>0</v>
      </c>
      <c r="E9405" s="1" t="s">
        <v>11</v>
      </c>
      <c r="F9405" s="1" t="s">
        <v>20</v>
      </c>
      <c r="G9405" s="4" t="b">
        <f t="shared" si="2"/>
        <v>1</v>
      </c>
      <c r="H9405" s="1" t="str">
        <f t="shared" si="3"/>
        <v>Currently Unavailable</v>
      </c>
      <c r="I9405" s="1" t="str">
        <f t="shared" si="4"/>
        <v>No Badges</v>
      </c>
      <c r="J9405" s="3">
        <f t="shared" si="5"/>
        <v>0</v>
      </c>
    </row>
    <row r="9406">
      <c r="A9406" s="1" t="s">
        <v>7161</v>
      </c>
      <c r="B9406" s="3" t="str">
        <f t="shared" si="1"/>
        <v>Unavailable</v>
      </c>
      <c r="C9406" s="5">
        <v>2039.0</v>
      </c>
      <c r="D9406" s="3">
        <f>IFERROR(__xludf.DUMMYFUNCTION("IFERROR(
IF(REGEXMATCH(LOWER(O9406),""k""),
VALUE(REGEXEXTRACT(O9406,""[0-9]+""))*1000,
VALUE(REGEXEXTRACT(O9406,""[0-9]+""))
),
0
)"),0.0)</f>
        <v>0</v>
      </c>
      <c r="E9406" s="1" t="s">
        <v>11</v>
      </c>
      <c r="F9406" s="1" t="s">
        <v>20</v>
      </c>
      <c r="G9406" s="4" t="b">
        <f t="shared" si="2"/>
        <v>1</v>
      </c>
      <c r="H9406" s="1" t="str">
        <f t="shared" si="3"/>
        <v>Currently Unavailable</v>
      </c>
      <c r="I9406" s="1" t="str">
        <f t="shared" si="4"/>
        <v>No Badges</v>
      </c>
      <c r="J9406" s="3">
        <f t="shared" si="5"/>
        <v>0</v>
      </c>
    </row>
    <row r="9407">
      <c r="A9407" s="1" t="s">
        <v>6721</v>
      </c>
      <c r="B9407" s="3" t="str">
        <f t="shared" si="1"/>
        <v>Unavailable</v>
      </c>
      <c r="C9407" s="3">
        <v>50.0</v>
      </c>
      <c r="D9407" s="3">
        <f>IFERROR(__xludf.DUMMYFUNCTION("IFERROR(
IF(REGEXMATCH(LOWER(O9407),""k""),
VALUE(REGEXEXTRACT(O9407,""[0-9]+""))*1000,
VALUE(REGEXEXTRACT(O9407,""[0-9]+""))
),
0
)"),0.0)</f>
        <v>0</v>
      </c>
      <c r="E9407" s="1" t="s">
        <v>11</v>
      </c>
      <c r="F9407" s="1" t="s">
        <v>20</v>
      </c>
      <c r="G9407" s="4" t="b">
        <f t="shared" si="2"/>
        <v>1</v>
      </c>
      <c r="H9407" s="1" t="str">
        <f t="shared" si="3"/>
        <v>Currently Unavailable</v>
      </c>
      <c r="I9407" s="1" t="str">
        <f t="shared" si="4"/>
        <v>No Badges</v>
      </c>
      <c r="J9407" s="3">
        <f t="shared" si="5"/>
        <v>0</v>
      </c>
    </row>
    <row r="9408">
      <c r="A9408" s="1" t="s">
        <v>7162</v>
      </c>
      <c r="B9408" s="3" t="str">
        <f t="shared" si="1"/>
        <v>Unavailable</v>
      </c>
      <c r="C9408" s="3">
        <v>592.0</v>
      </c>
      <c r="D9408" s="3">
        <f>IFERROR(__xludf.DUMMYFUNCTION("IFERROR(
IF(REGEXMATCH(LOWER(O9408),""k""),
VALUE(REGEXEXTRACT(O9408,""[0-9]+""))*1000,
VALUE(REGEXEXTRACT(O9408,""[0-9]+""))
),
0
)"),0.0)</f>
        <v>0</v>
      </c>
      <c r="E9408" s="1" t="s">
        <v>11</v>
      </c>
      <c r="F9408" s="1" t="s">
        <v>12</v>
      </c>
      <c r="G9408" s="4" t="b">
        <f t="shared" si="2"/>
        <v>1</v>
      </c>
      <c r="H9408" s="1" t="str">
        <f t="shared" si="3"/>
        <v>Currently Unavailable</v>
      </c>
      <c r="I9408" s="1" t="str">
        <f t="shared" si="4"/>
        <v>No Badges</v>
      </c>
      <c r="J9408" s="3">
        <f t="shared" si="5"/>
        <v>0</v>
      </c>
    </row>
    <row r="9409">
      <c r="A9409" s="1" t="s">
        <v>7163</v>
      </c>
      <c r="B9409" s="3" t="str">
        <f t="shared" si="1"/>
        <v>Unavailable</v>
      </c>
      <c r="C9409" s="3">
        <v>198.0</v>
      </c>
      <c r="D9409" s="3">
        <f>IFERROR(__xludf.DUMMYFUNCTION("IFERROR(
IF(REGEXMATCH(LOWER(O9409),""k""),
VALUE(REGEXEXTRACT(O9409,""[0-9]+""))*1000,
VALUE(REGEXEXTRACT(O9409,""[0-9]+""))
),
0
)"),0.0)</f>
        <v>0</v>
      </c>
      <c r="E9409" s="1" t="s">
        <v>11</v>
      </c>
      <c r="F9409" s="1" t="s">
        <v>20</v>
      </c>
      <c r="G9409" s="4" t="b">
        <f t="shared" si="2"/>
        <v>1</v>
      </c>
      <c r="H9409" s="1" t="str">
        <f t="shared" si="3"/>
        <v>Currently Unavailable</v>
      </c>
      <c r="I9409" s="1" t="str">
        <f t="shared" si="4"/>
        <v>No Badges</v>
      </c>
      <c r="J9409" s="3">
        <f t="shared" si="5"/>
        <v>0</v>
      </c>
    </row>
    <row r="9410">
      <c r="A9410" s="1" t="s">
        <v>7164</v>
      </c>
      <c r="B9410" s="3" t="str">
        <f t="shared" si="1"/>
        <v>Unavailable</v>
      </c>
      <c r="C9410" s="3">
        <v>377.0</v>
      </c>
      <c r="D9410" s="3">
        <f>IFERROR(__xludf.DUMMYFUNCTION("IFERROR(
IF(REGEXMATCH(LOWER(O9410),""k""),
VALUE(REGEXEXTRACT(O9410,""[0-9]+""))*1000,
VALUE(REGEXEXTRACT(O9410,""[0-9]+""))
),
0
)"),0.0)</f>
        <v>0</v>
      </c>
      <c r="E9410" s="1" t="s">
        <v>158</v>
      </c>
      <c r="F9410" s="1" t="s">
        <v>20</v>
      </c>
      <c r="G9410" s="4" t="b">
        <f t="shared" si="2"/>
        <v>1</v>
      </c>
      <c r="H9410" s="1" t="str">
        <f t="shared" si="3"/>
        <v>Currently Unavailable</v>
      </c>
      <c r="I9410" s="1" t="str">
        <f t="shared" si="4"/>
        <v>No Badges</v>
      </c>
      <c r="J9410" s="3">
        <f t="shared" si="5"/>
        <v>0</v>
      </c>
    </row>
    <row r="9411">
      <c r="A9411" s="1" t="s">
        <v>7165</v>
      </c>
      <c r="B9411" s="3" t="str">
        <f t="shared" si="1"/>
        <v>Unavailable</v>
      </c>
      <c r="C9411" s="5">
        <v>1829.0</v>
      </c>
      <c r="D9411" s="3">
        <f>IFERROR(__xludf.DUMMYFUNCTION("IFERROR(
IF(REGEXMATCH(LOWER(O9411),""k""),
VALUE(REGEXEXTRACT(O9411,""[0-9]+""))*1000,
VALUE(REGEXEXTRACT(O9411,""[0-9]+""))
),
0
)"),0.0)</f>
        <v>0</v>
      </c>
      <c r="E9411" s="1" t="s">
        <v>11</v>
      </c>
      <c r="F9411" s="1" t="s">
        <v>20</v>
      </c>
      <c r="G9411" s="4" t="b">
        <f t="shared" si="2"/>
        <v>1</v>
      </c>
      <c r="H9411" s="1" t="str">
        <f t="shared" si="3"/>
        <v>Currently Unavailable</v>
      </c>
      <c r="I9411" s="1" t="str">
        <f t="shared" si="4"/>
        <v>No Badges</v>
      </c>
      <c r="J9411" s="3">
        <f t="shared" si="5"/>
        <v>0</v>
      </c>
    </row>
    <row r="9412">
      <c r="A9412" s="1" t="s">
        <v>7166</v>
      </c>
      <c r="B9412" s="3" t="str">
        <f t="shared" si="1"/>
        <v>Unavailable</v>
      </c>
      <c r="C9412" s="3">
        <v>918.0</v>
      </c>
      <c r="D9412" s="3">
        <f>IFERROR(__xludf.DUMMYFUNCTION("IFERROR(
IF(REGEXMATCH(LOWER(O9412),""k""),
VALUE(REGEXEXTRACT(O9412,""[0-9]+""))*1000,
VALUE(REGEXEXTRACT(O9412,""[0-9]+""))
),
0
)"),0.0)</f>
        <v>0</v>
      </c>
      <c r="E9412" s="1" t="s">
        <v>11</v>
      </c>
      <c r="F9412" s="1" t="s">
        <v>20</v>
      </c>
      <c r="G9412" s="4" t="b">
        <f t="shared" si="2"/>
        <v>1</v>
      </c>
      <c r="H9412" s="1" t="str">
        <f t="shared" si="3"/>
        <v>Currently Unavailable</v>
      </c>
      <c r="I9412" s="1" t="str">
        <f t="shared" si="4"/>
        <v>No Badges</v>
      </c>
      <c r="J9412" s="3">
        <f t="shared" si="5"/>
        <v>0</v>
      </c>
    </row>
    <row r="9413">
      <c r="A9413" s="1" t="s">
        <v>7167</v>
      </c>
      <c r="B9413" s="3" t="str">
        <f t="shared" si="1"/>
        <v>Unavailable</v>
      </c>
      <c r="C9413" s="3">
        <v>995.0</v>
      </c>
      <c r="D9413" s="3">
        <f>IFERROR(__xludf.DUMMYFUNCTION("IFERROR(
IF(REGEXMATCH(LOWER(O9413),""k""),
VALUE(REGEXEXTRACT(O9413,""[0-9]+""))*1000,
VALUE(REGEXEXTRACT(O9413,""[0-9]+""))
),
0
)"),0.0)</f>
        <v>0</v>
      </c>
      <c r="E9413" s="1" t="s">
        <v>11</v>
      </c>
      <c r="F9413" s="1" t="s">
        <v>20</v>
      </c>
      <c r="G9413" s="4" t="b">
        <f t="shared" si="2"/>
        <v>1</v>
      </c>
      <c r="H9413" s="1" t="str">
        <f t="shared" si="3"/>
        <v>Currently Unavailable</v>
      </c>
      <c r="I9413" s="1" t="str">
        <f t="shared" si="4"/>
        <v>No Badges</v>
      </c>
      <c r="J9413" s="3">
        <f t="shared" si="5"/>
        <v>0</v>
      </c>
    </row>
    <row r="9414">
      <c r="A9414" s="1" t="s">
        <v>88</v>
      </c>
      <c r="B9414" s="3" t="str">
        <f t="shared" si="1"/>
        <v>Unavailable</v>
      </c>
      <c r="C9414" s="3">
        <v>6.0</v>
      </c>
      <c r="D9414" s="3">
        <f>IFERROR(__xludf.DUMMYFUNCTION("IFERROR(
IF(REGEXMATCH(LOWER(O9414),""k""),
VALUE(REGEXEXTRACT(O9414,""[0-9]+""))*1000,
VALUE(REGEXEXTRACT(O9414,""[0-9]+""))
),
0
)"),0.0)</f>
        <v>0</v>
      </c>
      <c r="E9414" s="1" t="s">
        <v>11</v>
      </c>
      <c r="F9414" s="1" t="s">
        <v>12</v>
      </c>
      <c r="G9414" s="4" t="b">
        <f t="shared" si="2"/>
        <v>1</v>
      </c>
      <c r="H9414" s="1" t="str">
        <f t="shared" si="3"/>
        <v>Currently Unavailable</v>
      </c>
      <c r="I9414" s="1" t="str">
        <f t="shared" si="4"/>
        <v>No Badges</v>
      </c>
      <c r="J9414" s="3">
        <f t="shared" si="5"/>
        <v>0</v>
      </c>
    </row>
    <row r="9415">
      <c r="A9415" s="1" t="s">
        <v>7168</v>
      </c>
      <c r="B9415" s="3" t="str">
        <f t="shared" si="1"/>
        <v>Unavailable</v>
      </c>
      <c r="C9415" s="3">
        <v>491.0</v>
      </c>
      <c r="D9415" s="3">
        <f>IFERROR(__xludf.DUMMYFUNCTION("IFERROR(
IF(REGEXMATCH(LOWER(O9415),""k""),
VALUE(REGEXEXTRACT(O9415,""[0-9]+""))*1000,
VALUE(REGEXEXTRACT(O9415,""[0-9]+""))
),
0
)"),0.0)</f>
        <v>0</v>
      </c>
      <c r="E9415" s="1" t="s">
        <v>11</v>
      </c>
      <c r="F9415" s="1" t="s">
        <v>20</v>
      </c>
      <c r="G9415" s="4" t="b">
        <f t="shared" si="2"/>
        <v>1</v>
      </c>
      <c r="H9415" s="1" t="str">
        <f t="shared" si="3"/>
        <v>Currently Unavailable</v>
      </c>
      <c r="I9415" s="1" t="str">
        <f t="shared" si="4"/>
        <v>No Badges</v>
      </c>
      <c r="J9415" s="3">
        <f t="shared" si="5"/>
        <v>0</v>
      </c>
    </row>
    <row r="9416">
      <c r="A9416" s="1" t="s">
        <v>7169</v>
      </c>
      <c r="B9416" s="3" t="str">
        <f t="shared" si="1"/>
        <v>Unavailable</v>
      </c>
      <c r="C9416" s="3">
        <v>498.0</v>
      </c>
      <c r="D9416" s="3">
        <f>IFERROR(__xludf.DUMMYFUNCTION("IFERROR(
IF(REGEXMATCH(LOWER(O9416),""k""),
VALUE(REGEXEXTRACT(O9416,""[0-9]+""))*1000,
VALUE(REGEXEXTRACT(O9416,""[0-9]+""))
),
0
)"),0.0)</f>
        <v>0</v>
      </c>
      <c r="E9416" s="1" t="s">
        <v>11</v>
      </c>
      <c r="F9416" s="1" t="s">
        <v>20</v>
      </c>
      <c r="G9416" s="4" t="b">
        <f t="shared" si="2"/>
        <v>1</v>
      </c>
      <c r="H9416" s="1" t="str">
        <f t="shared" si="3"/>
        <v>Currently Unavailable</v>
      </c>
      <c r="I9416" s="1" t="str">
        <f t="shared" si="4"/>
        <v>No Badges</v>
      </c>
      <c r="J9416" s="3">
        <f t="shared" si="5"/>
        <v>0</v>
      </c>
    </row>
    <row r="9417">
      <c r="A9417" s="1" t="s">
        <v>7170</v>
      </c>
      <c r="B9417" s="3" t="str">
        <f t="shared" si="1"/>
        <v>Unavailable</v>
      </c>
      <c r="C9417" s="3">
        <v>81.0</v>
      </c>
      <c r="D9417" s="3">
        <f>IFERROR(__xludf.DUMMYFUNCTION("IFERROR(
IF(REGEXMATCH(LOWER(O9417),""k""),
VALUE(REGEXEXTRACT(O9417,""[0-9]+""))*1000,
VALUE(REGEXEXTRACT(O9417,""[0-9]+""))
),
0
)"),0.0)</f>
        <v>0</v>
      </c>
      <c r="E9417" s="1" t="s">
        <v>11</v>
      </c>
      <c r="F9417" s="1" t="s">
        <v>20</v>
      </c>
      <c r="G9417" s="4" t="b">
        <f t="shared" si="2"/>
        <v>1</v>
      </c>
      <c r="H9417" s="1" t="str">
        <f t="shared" si="3"/>
        <v>Currently Unavailable</v>
      </c>
      <c r="I9417" s="1" t="str">
        <f t="shared" si="4"/>
        <v>No Badges</v>
      </c>
      <c r="J9417" s="3">
        <f t="shared" si="5"/>
        <v>0</v>
      </c>
    </row>
    <row r="9418">
      <c r="A9418" s="1" t="s">
        <v>7171</v>
      </c>
      <c r="B9418" s="3" t="str">
        <f t="shared" si="1"/>
        <v>Unavailable</v>
      </c>
      <c r="C9418" s="5">
        <v>18510.0</v>
      </c>
      <c r="D9418" s="3">
        <f>IFERROR(__xludf.DUMMYFUNCTION("IFERROR(
IF(REGEXMATCH(LOWER(O9418),""k""),
VALUE(REGEXEXTRACT(O9418,""[0-9]+""))*1000,
VALUE(REGEXEXTRACT(O9418,""[0-9]+""))
),
0
)"),0.0)</f>
        <v>0</v>
      </c>
      <c r="E9418" s="1" t="s">
        <v>11</v>
      </c>
      <c r="F9418" s="1" t="s">
        <v>20</v>
      </c>
      <c r="G9418" s="4" t="b">
        <f t="shared" si="2"/>
        <v>1</v>
      </c>
      <c r="H9418" s="1" t="str">
        <f t="shared" si="3"/>
        <v>Currently Unavailable</v>
      </c>
      <c r="I9418" s="1" t="str">
        <f t="shared" si="4"/>
        <v>No Badges</v>
      </c>
      <c r="J9418" s="3">
        <f t="shared" si="5"/>
        <v>0</v>
      </c>
    </row>
    <row r="9419">
      <c r="A9419" s="1" t="s">
        <v>3058</v>
      </c>
      <c r="B9419" s="3" t="str">
        <f t="shared" si="1"/>
        <v>Unavailable</v>
      </c>
      <c r="C9419" s="3">
        <v>856.0</v>
      </c>
      <c r="D9419" s="3">
        <f>IFERROR(__xludf.DUMMYFUNCTION("IFERROR(
IF(REGEXMATCH(LOWER(O9419),""k""),
VALUE(REGEXEXTRACT(O9419,""[0-9]+""))*1000,
VALUE(REGEXEXTRACT(O9419,""[0-9]+""))
),
0
)"),0.0)</f>
        <v>0</v>
      </c>
      <c r="E9419" s="1" t="s">
        <v>11</v>
      </c>
      <c r="F9419" s="1" t="s">
        <v>20</v>
      </c>
      <c r="G9419" s="4" t="b">
        <f t="shared" si="2"/>
        <v>1</v>
      </c>
      <c r="H9419" s="1" t="str">
        <f t="shared" si="3"/>
        <v>Currently Unavailable</v>
      </c>
      <c r="I9419" s="1" t="str">
        <f t="shared" si="4"/>
        <v>No Badges</v>
      </c>
      <c r="J9419" s="3">
        <f t="shared" si="5"/>
        <v>0</v>
      </c>
    </row>
    <row r="9420">
      <c r="A9420" s="1" t="s">
        <v>7172</v>
      </c>
      <c r="B9420" s="3" t="str">
        <f t="shared" si="1"/>
        <v>Unavailable</v>
      </c>
      <c r="C9420" s="3">
        <v>543.0</v>
      </c>
      <c r="D9420" s="3">
        <f>IFERROR(__xludf.DUMMYFUNCTION("IFERROR(
IF(REGEXMATCH(LOWER(O9420),""k""),
VALUE(REGEXEXTRACT(O9420,""[0-9]+""))*1000,
VALUE(REGEXEXTRACT(O9420,""[0-9]+""))
),
0
)"),0.0)</f>
        <v>0</v>
      </c>
      <c r="E9420" s="1" t="s">
        <v>11</v>
      </c>
      <c r="F9420" s="1" t="s">
        <v>20</v>
      </c>
      <c r="G9420" s="4" t="b">
        <f t="shared" si="2"/>
        <v>1</v>
      </c>
      <c r="H9420" s="1" t="str">
        <f t="shared" si="3"/>
        <v>Currently Unavailable</v>
      </c>
      <c r="I9420" s="1" t="str">
        <f t="shared" si="4"/>
        <v>No Badges</v>
      </c>
      <c r="J9420" s="3">
        <f t="shared" si="5"/>
        <v>0</v>
      </c>
    </row>
    <row r="9421">
      <c r="A9421" s="1" t="s">
        <v>7173</v>
      </c>
      <c r="B9421" s="3" t="str">
        <f t="shared" si="1"/>
        <v>Unavailable</v>
      </c>
      <c r="C9421" s="3">
        <v>171.0</v>
      </c>
      <c r="D9421" s="3">
        <f>IFERROR(__xludf.DUMMYFUNCTION("IFERROR(
IF(REGEXMATCH(LOWER(O9421),""k""),
VALUE(REGEXEXTRACT(O9421,""[0-9]+""))*1000,
VALUE(REGEXEXTRACT(O9421,""[0-9]+""))
),
0
)"),0.0)</f>
        <v>0</v>
      </c>
      <c r="E9421" s="1" t="s">
        <v>11</v>
      </c>
      <c r="F9421" s="1" t="s">
        <v>20</v>
      </c>
      <c r="G9421" s="4" t="b">
        <f t="shared" si="2"/>
        <v>1</v>
      </c>
      <c r="H9421" s="1" t="str">
        <f t="shared" si="3"/>
        <v>Currently Unavailable</v>
      </c>
      <c r="I9421" s="1" t="str">
        <f t="shared" si="4"/>
        <v>No Badges</v>
      </c>
      <c r="J9421" s="3">
        <f t="shared" si="5"/>
        <v>0</v>
      </c>
    </row>
    <row r="9422">
      <c r="A9422" s="1" t="s">
        <v>7174</v>
      </c>
      <c r="B9422" s="3" t="str">
        <f t="shared" si="1"/>
        <v>Unavailable</v>
      </c>
      <c r="C9422" s="5">
        <v>6179.0</v>
      </c>
      <c r="D9422" s="3">
        <f>IFERROR(__xludf.DUMMYFUNCTION("IFERROR(
IF(REGEXMATCH(LOWER(O9422),""k""),
VALUE(REGEXEXTRACT(O9422,""[0-9]+""))*1000,
VALUE(REGEXEXTRACT(O9422,""[0-9]+""))
),
0
)"),0.0)</f>
        <v>0</v>
      </c>
      <c r="E9422" s="1" t="s">
        <v>11</v>
      </c>
      <c r="F9422" s="1" t="s">
        <v>20</v>
      </c>
      <c r="G9422" s="4" t="b">
        <f t="shared" si="2"/>
        <v>1</v>
      </c>
      <c r="H9422" s="1" t="str">
        <f t="shared" si="3"/>
        <v>Currently Unavailable</v>
      </c>
      <c r="I9422" s="1" t="str">
        <f t="shared" si="4"/>
        <v>No Badges</v>
      </c>
      <c r="J9422" s="3">
        <f t="shared" si="5"/>
        <v>0</v>
      </c>
    </row>
    <row r="9423">
      <c r="A9423" s="1" t="s">
        <v>7175</v>
      </c>
      <c r="B9423" s="3" t="str">
        <f t="shared" si="1"/>
        <v>Unavailable</v>
      </c>
      <c r="C9423" s="5">
        <v>3029.0</v>
      </c>
      <c r="D9423" s="3">
        <f>IFERROR(__xludf.DUMMYFUNCTION("IFERROR(
IF(REGEXMATCH(LOWER(O9423),""k""),
VALUE(REGEXEXTRACT(O9423,""[0-9]+""))*1000,
VALUE(REGEXEXTRACT(O9423,""[0-9]+""))
),
0
)"),0.0)</f>
        <v>0</v>
      </c>
      <c r="E9423" s="1" t="s">
        <v>11</v>
      </c>
      <c r="F9423" s="1" t="s">
        <v>20</v>
      </c>
      <c r="G9423" s="4" t="b">
        <f t="shared" si="2"/>
        <v>1</v>
      </c>
      <c r="H9423" s="1" t="str">
        <f t="shared" si="3"/>
        <v>Currently Unavailable</v>
      </c>
      <c r="I9423" s="1" t="str">
        <f t="shared" si="4"/>
        <v>No Badges</v>
      </c>
      <c r="J9423" s="3">
        <f t="shared" si="5"/>
        <v>0</v>
      </c>
    </row>
    <row r="9424">
      <c r="A9424" s="1" t="s">
        <v>7176</v>
      </c>
      <c r="B9424" s="3" t="str">
        <f t="shared" si="1"/>
        <v>Unavailable</v>
      </c>
      <c r="C9424" s="5">
        <v>4701.0</v>
      </c>
      <c r="D9424" s="3">
        <f>IFERROR(__xludf.DUMMYFUNCTION("IFERROR(
IF(REGEXMATCH(LOWER(O9424),""k""),
VALUE(REGEXEXTRACT(O9424,""[0-9]+""))*1000,
VALUE(REGEXEXTRACT(O9424,""[0-9]+""))
),
0
)"),0.0)</f>
        <v>0</v>
      </c>
      <c r="E9424" s="1" t="s">
        <v>11</v>
      </c>
      <c r="F9424" s="1" t="s">
        <v>20</v>
      </c>
      <c r="G9424" s="4" t="b">
        <f t="shared" si="2"/>
        <v>1</v>
      </c>
      <c r="H9424" s="1" t="str">
        <f t="shared" si="3"/>
        <v>Currently Unavailable</v>
      </c>
      <c r="I9424" s="1" t="str">
        <f t="shared" si="4"/>
        <v>No Badges</v>
      </c>
      <c r="J9424" s="3">
        <f t="shared" si="5"/>
        <v>0</v>
      </c>
    </row>
    <row r="9425">
      <c r="A9425" s="1" t="s">
        <v>7177</v>
      </c>
      <c r="B9425" s="3" t="str">
        <f t="shared" si="1"/>
        <v>Unavailable</v>
      </c>
      <c r="C9425" s="3">
        <v>869.0</v>
      </c>
      <c r="D9425" s="3">
        <f>IFERROR(__xludf.DUMMYFUNCTION("IFERROR(
IF(REGEXMATCH(LOWER(O9425),""k""),
VALUE(REGEXEXTRACT(O9425,""[0-9]+""))*1000,
VALUE(REGEXEXTRACT(O9425,""[0-9]+""))
),
0
)"),0.0)</f>
        <v>0</v>
      </c>
      <c r="E9425" s="1" t="s">
        <v>11</v>
      </c>
      <c r="F9425" s="1" t="s">
        <v>20</v>
      </c>
      <c r="G9425" s="4" t="b">
        <f t="shared" si="2"/>
        <v>1</v>
      </c>
      <c r="H9425" s="1" t="str">
        <f t="shared" si="3"/>
        <v>Currently Unavailable</v>
      </c>
      <c r="I9425" s="1" t="str">
        <f t="shared" si="4"/>
        <v>No Badges</v>
      </c>
      <c r="J9425" s="3">
        <f t="shared" si="5"/>
        <v>0</v>
      </c>
    </row>
    <row r="9426">
      <c r="A9426" s="1" t="s">
        <v>7178</v>
      </c>
      <c r="B9426" s="3" t="str">
        <f t="shared" si="1"/>
        <v>Unavailable</v>
      </c>
      <c r="C9426" s="5">
        <v>21386.0</v>
      </c>
      <c r="D9426" s="3">
        <f>IFERROR(__xludf.DUMMYFUNCTION("IFERROR(
IF(REGEXMATCH(LOWER(O9426),""k""),
VALUE(REGEXEXTRACT(O9426,""[0-9]+""))*1000,
VALUE(REGEXEXTRACT(O9426,""[0-9]+""))
),
0
)"),0.0)</f>
        <v>0</v>
      </c>
      <c r="E9426" s="1" t="s">
        <v>11</v>
      </c>
      <c r="F9426" s="1" t="s">
        <v>20</v>
      </c>
      <c r="G9426" s="4" t="b">
        <f t="shared" si="2"/>
        <v>1</v>
      </c>
      <c r="H9426" s="1" t="str">
        <f t="shared" si="3"/>
        <v>Currently Unavailable</v>
      </c>
      <c r="I9426" s="1" t="str">
        <f t="shared" si="4"/>
        <v>No Badges</v>
      </c>
      <c r="J9426" s="3">
        <f t="shared" si="5"/>
        <v>0</v>
      </c>
    </row>
    <row r="9427">
      <c r="A9427" s="1" t="s">
        <v>7179</v>
      </c>
      <c r="B9427" s="3" t="str">
        <f t="shared" si="1"/>
        <v>Unavailable</v>
      </c>
      <c r="C9427" s="5">
        <v>4042.0</v>
      </c>
      <c r="D9427" s="3">
        <f>IFERROR(__xludf.DUMMYFUNCTION("IFERROR(
IF(REGEXMATCH(LOWER(O9427),""k""),
VALUE(REGEXEXTRACT(O9427,""[0-9]+""))*1000,
VALUE(REGEXEXTRACT(O9427,""[0-9]+""))
),
0
)"),0.0)</f>
        <v>0</v>
      </c>
      <c r="E9427" s="1" t="s">
        <v>11</v>
      </c>
      <c r="F9427" s="1" t="s">
        <v>20</v>
      </c>
      <c r="G9427" s="4" t="b">
        <f t="shared" si="2"/>
        <v>1</v>
      </c>
      <c r="H9427" s="1" t="str">
        <f t="shared" si="3"/>
        <v>Currently Unavailable</v>
      </c>
      <c r="I9427" s="1" t="str">
        <f t="shared" si="4"/>
        <v>No Badges</v>
      </c>
      <c r="J9427" s="3">
        <f t="shared" si="5"/>
        <v>0</v>
      </c>
    </row>
    <row r="9428">
      <c r="A9428" s="1" t="s">
        <v>7180</v>
      </c>
      <c r="B9428" s="3" t="str">
        <f t="shared" si="1"/>
        <v>Unavailable</v>
      </c>
      <c r="C9428" s="5">
        <v>1873.0</v>
      </c>
      <c r="D9428" s="3">
        <f>IFERROR(__xludf.DUMMYFUNCTION("IFERROR(
IF(REGEXMATCH(LOWER(O9428),""k""),
VALUE(REGEXEXTRACT(O9428,""[0-9]+""))*1000,
VALUE(REGEXEXTRACT(O9428,""[0-9]+""))
),
0
)"),0.0)</f>
        <v>0</v>
      </c>
      <c r="E9428" s="1" t="s">
        <v>11</v>
      </c>
      <c r="F9428" s="1" t="s">
        <v>20</v>
      </c>
      <c r="G9428" s="4" t="b">
        <f t="shared" si="2"/>
        <v>1</v>
      </c>
      <c r="H9428" s="1" t="str">
        <f t="shared" si="3"/>
        <v>Currently Unavailable</v>
      </c>
      <c r="I9428" s="1" t="str">
        <f t="shared" si="4"/>
        <v>No Badges</v>
      </c>
      <c r="J9428" s="3">
        <f t="shared" si="5"/>
        <v>0</v>
      </c>
    </row>
    <row r="9429">
      <c r="A9429" s="1" t="s">
        <v>7181</v>
      </c>
      <c r="B9429" s="3" t="str">
        <f t="shared" si="1"/>
        <v>Unavailable</v>
      </c>
      <c r="C9429" s="5">
        <v>1986.0</v>
      </c>
      <c r="D9429" s="3">
        <f>IFERROR(__xludf.DUMMYFUNCTION("IFERROR(
IF(REGEXMATCH(LOWER(O9429),""k""),
VALUE(REGEXEXTRACT(O9429,""[0-9]+""))*1000,
VALUE(REGEXEXTRACT(O9429,""[0-9]+""))
),
0
)"),0.0)</f>
        <v>0</v>
      </c>
      <c r="E9429" s="1" t="s">
        <v>11</v>
      </c>
      <c r="F9429" s="1" t="s">
        <v>20</v>
      </c>
      <c r="G9429" s="4" t="b">
        <f t="shared" si="2"/>
        <v>1</v>
      </c>
      <c r="H9429" s="1" t="str">
        <f t="shared" si="3"/>
        <v>Currently Unavailable</v>
      </c>
      <c r="I9429" s="1" t="str">
        <f t="shared" si="4"/>
        <v>No Badges</v>
      </c>
      <c r="J9429" s="3">
        <f t="shared" si="5"/>
        <v>0</v>
      </c>
    </row>
    <row r="9430">
      <c r="A9430" s="1" t="s">
        <v>7182</v>
      </c>
      <c r="B9430" s="3" t="str">
        <f t="shared" si="1"/>
        <v>Unavailable</v>
      </c>
      <c r="C9430" s="3">
        <v>740.0</v>
      </c>
      <c r="D9430" s="3">
        <f>IFERROR(__xludf.DUMMYFUNCTION("IFERROR(
IF(REGEXMATCH(LOWER(O9430),""k""),
VALUE(REGEXEXTRACT(O9430,""[0-9]+""))*1000,
VALUE(REGEXEXTRACT(O9430,""[0-9]+""))
),
0
)"),0.0)</f>
        <v>0</v>
      </c>
      <c r="E9430" s="1" t="s">
        <v>158</v>
      </c>
      <c r="F9430" s="1" t="s">
        <v>20</v>
      </c>
      <c r="G9430" s="4" t="b">
        <f t="shared" si="2"/>
        <v>1</v>
      </c>
      <c r="H9430" s="1" t="str">
        <f t="shared" si="3"/>
        <v>Currently Unavailable</v>
      </c>
      <c r="I9430" s="1" t="str">
        <f t="shared" si="4"/>
        <v>No Badges</v>
      </c>
      <c r="J9430" s="3">
        <f t="shared" si="5"/>
        <v>0</v>
      </c>
    </row>
    <row r="9431">
      <c r="A9431" s="1" t="s">
        <v>7183</v>
      </c>
      <c r="B9431" s="3" t="str">
        <f t="shared" si="1"/>
        <v>Unavailable</v>
      </c>
      <c r="C9431" s="3">
        <v>7.0</v>
      </c>
      <c r="D9431" s="3">
        <f>IFERROR(__xludf.DUMMYFUNCTION("IFERROR(
IF(REGEXMATCH(LOWER(O9431),""k""),
VALUE(REGEXEXTRACT(O9431,""[0-9]+""))*1000,
VALUE(REGEXEXTRACT(O9431,""[0-9]+""))
),
0
)"),0.0)</f>
        <v>0</v>
      </c>
      <c r="E9431" s="1" t="s">
        <v>11</v>
      </c>
      <c r="F9431" s="1" t="s">
        <v>20</v>
      </c>
      <c r="G9431" s="4" t="b">
        <f t="shared" si="2"/>
        <v>1</v>
      </c>
      <c r="H9431" s="1" t="str">
        <f t="shared" si="3"/>
        <v>Currently Unavailable</v>
      </c>
      <c r="I9431" s="1" t="str">
        <f t="shared" si="4"/>
        <v>No Badges</v>
      </c>
      <c r="J9431" s="3">
        <f t="shared" si="5"/>
        <v>0</v>
      </c>
    </row>
    <row r="9432">
      <c r="A9432" s="1" t="s">
        <v>7184</v>
      </c>
      <c r="B9432" s="3" t="str">
        <f t="shared" si="1"/>
        <v>Unavailable</v>
      </c>
      <c r="C9432" s="3">
        <v>301.0</v>
      </c>
      <c r="D9432" s="3">
        <f>IFERROR(__xludf.DUMMYFUNCTION("IFERROR(
IF(REGEXMATCH(LOWER(O9432),""k""),
VALUE(REGEXEXTRACT(O9432,""[0-9]+""))*1000,
VALUE(REGEXEXTRACT(O9432,""[0-9]+""))
),
0
)"),0.0)</f>
        <v>0</v>
      </c>
      <c r="E9432" s="1" t="s">
        <v>11</v>
      </c>
      <c r="F9432" s="1" t="s">
        <v>20</v>
      </c>
      <c r="G9432" s="4" t="b">
        <f t="shared" si="2"/>
        <v>1</v>
      </c>
      <c r="H9432" s="1" t="str">
        <f t="shared" si="3"/>
        <v>Currently Unavailable</v>
      </c>
      <c r="I9432" s="1" t="str">
        <f t="shared" si="4"/>
        <v>No Badges</v>
      </c>
      <c r="J9432" s="3">
        <f t="shared" si="5"/>
        <v>0</v>
      </c>
    </row>
    <row r="9433">
      <c r="A9433" s="1" t="s">
        <v>7185</v>
      </c>
      <c r="B9433" s="3" t="str">
        <f t="shared" si="1"/>
        <v>Unavailable</v>
      </c>
      <c r="C9433" s="3">
        <v>73.0</v>
      </c>
      <c r="D9433" s="3">
        <f>IFERROR(__xludf.DUMMYFUNCTION("IFERROR(
IF(REGEXMATCH(LOWER(O9433),""k""),
VALUE(REGEXEXTRACT(O9433,""[0-9]+""))*1000,
VALUE(REGEXEXTRACT(O9433,""[0-9]+""))
),
0
)"),0.0)</f>
        <v>0</v>
      </c>
      <c r="E9433" s="1" t="s">
        <v>11</v>
      </c>
      <c r="F9433" s="1" t="s">
        <v>20</v>
      </c>
      <c r="G9433" s="4" t="b">
        <f t="shared" si="2"/>
        <v>1</v>
      </c>
      <c r="H9433" s="1" t="str">
        <f t="shared" si="3"/>
        <v>Currently Unavailable</v>
      </c>
      <c r="I9433" s="1" t="str">
        <f t="shared" si="4"/>
        <v>No Badges</v>
      </c>
      <c r="J9433" s="3">
        <f t="shared" si="5"/>
        <v>0</v>
      </c>
    </row>
    <row r="9434">
      <c r="A9434" s="1" t="s">
        <v>7186</v>
      </c>
      <c r="B9434" s="3" t="str">
        <f t="shared" si="1"/>
        <v>Unavailable</v>
      </c>
      <c r="C9434" s="5">
        <v>8088.0</v>
      </c>
      <c r="D9434" s="3">
        <f>IFERROR(__xludf.DUMMYFUNCTION("IFERROR(
IF(REGEXMATCH(LOWER(O9434),""k""),
VALUE(REGEXEXTRACT(O9434,""[0-9]+""))*1000,
VALUE(REGEXEXTRACT(O9434,""[0-9]+""))
),
0
)"),0.0)</f>
        <v>0</v>
      </c>
      <c r="E9434" s="1" t="s">
        <v>11</v>
      </c>
      <c r="F9434" s="1" t="s">
        <v>20</v>
      </c>
      <c r="G9434" s="4" t="b">
        <f t="shared" si="2"/>
        <v>1</v>
      </c>
      <c r="H9434" s="1" t="str">
        <f t="shared" si="3"/>
        <v>Currently Unavailable</v>
      </c>
      <c r="I9434" s="1" t="str">
        <f t="shared" si="4"/>
        <v>No Badges</v>
      </c>
      <c r="J9434" s="3">
        <f t="shared" si="5"/>
        <v>0</v>
      </c>
    </row>
    <row r="9435">
      <c r="A9435" s="1" t="s">
        <v>7187</v>
      </c>
      <c r="B9435" s="3" t="str">
        <f t="shared" si="1"/>
        <v>Unavailable</v>
      </c>
      <c r="C9435" s="3">
        <v>750.0</v>
      </c>
      <c r="D9435" s="3">
        <f>IFERROR(__xludf.DUMMYFUNCTION("IFERROR(
IF(REGEXMATCH(LOWER(O9435),""k""),
VALUE(REGEXEXTRACT(O9435,""[0-9]+""))*1000,
VALUE(REGEXEXTRACT(O9435,""[0-9]+""))
),
0
)"),0.0)</f>
        <v>0</v>
      </c>
      <c r="E9435" s="1" t="s">
        <v>11</v>
      </c>
      <c r="F9435" s="1" t="s">
        <v>20</v>
      </c>
      <c r="G9435" s="4" t="b">
        <f t="shared" si="2"/>
        <v>1</v>
      </c>
      <c r="H9435" s="1" t="str">
        <f t="shared" si="3"/>
        <v>Currently Unavailable</v>
      </c>
      <c r="I9435" s="1" t="str">
        <f t="shared" si="4"/>
        <v>No Badges</v>
      </c>
      <c r="J9435" s="3">
        <f t="shared" si="5"/>
        <v>0</v>
      </c>
    </row>
    <row r="9436">
      <c r="A9436" s="1" t="s">
        <v>7188</v>
      </c>
      <c r="B9436" s="3" t="str">
        <f t="shared" si="1"/>
        <v>Unavailable</v>
      </c>
      <c r="C9436" s="5">
        <v>2232.0</v>
      </c>
      <c r="D9436" s="3">
        <f>IFERROR(__xludf.DUMMYFUNCTION("IFERROR(
IF(REGEXMATCH(LOWER(O9436),""k""),
VALUE(REGEXEXTRACT(O9436,""[0-9]+""))*1000,
VALUE(REGEXEXTRACT(O9436,""[0-9]+""))
),
0
)"),0.0)</f>
        <v>0</v>
      </c>
      <c r="E9436" s="1" t="s">
        <v>11</v>
      </c>
      <c r="F9436" s="1" t="s">
        <v>20</v>
      </c>
      <c r="G9436" s="4" t="b">
        <f t="shared" si="2"/>
        <v>1</v>
      </c>
      <c r="H9436" s="1" t="str">
        <f t="shared" si="3"/>
        <v>Currently Unavailable</v>
      </c>
      <c r="I9436" s="1" t="str">
        <f t="shared" si="4"/>
        <v>No Badges</v>
      </c>
      <c r="J9436" s="3">
        <f t="shared" si="5"/>
        <v>0</v>
      </c>
    </row>
    <row r="9437">
      <c r="A9437" s="1" t="s">
        <v>6146</v>
      </c>
      <c r="B9437" s="3" t="str">
        <f t="shared" si="1"/>
        <v>Unavailable</v>
      </c>
      <c r="C9437" s="3">
        <v>5.0</v>
      </c>
      <c r="D9437" s="3">
        <f>IFERROR(__xludf.DUMMYFUNCTION("IFERROR(
IF(REGEXMATCH(LOWER(O9437),""k""),
VALUE(REGEXEXTRACT(O9437,""[0-9]+""))*1000,
VALUE(REGEXEXTRACT(O9437,""[0-9]+""))
),
0
)"),0.0)</f>
        <v>0</v>
      </c>
      <c r="E9437" s="1" t="s">
        <v>11</v>
      </c>
      <c r="F9437" s="1" t="s">
        <v>20</v>
      </c>
      <c r="G9437" s="4" t="b">
        <f t="shared" si="2"/>
        <v>1</v>
      </c>
      <c r="H9437" s="1" t="str">
        <f t="shared" si="3"/>
        <v>Currently Unavailable</v>
      </c>
      <c r="I9437" s="1" t="str">
        <f t="shared" si="4"/>
        <v>No Badges</v>
      </c>
      <c r="J9437" s="3">
        <f t="shared" si="5"/>
        <v>0</v>
      </c>
    </row>
    <row r="9438">
      <c r="A9438" s="1" t="s">
        <v>7189</v>
      </c>
      <c r="B9438" s="3" t="str">
        <f t="shared" si="1"/>
        <v>Unavailable</v>
      </c>
      <c r="C9438" s="3">
        <v>648.0</v>
      </c>
      <c r="D9438" s="3">
        <f>IFERROR(__xludf.DUMMYFUNCTION("IFERROR(
IF(REGEXMATCH(LOWER(O9438),""k""),
VALUE(REGEXEXTRACT(O9438,""[0-9]+""))*1000,
VALUE(REGEXEXTRACT(O9438,""[0-9]+""))
),
0
)"),0.0)</f>
        <v>0</v>
      </c>
      <c r="E9438" s="1" t="s">
        <v>11</v>
      </c>
      <c r="F9438" s="1" t="s">
        <v>20</v>
      </c>
      <c r="G9438" s="4" t="b">
        <f t="shared" si="2"/>
        <v>1</v>
      </c>
      <c r="H9438" s="1" t="str">
        <f t="shared" si="3"/>
        <v>Currently Unavailable</v>
      </c>
      <c r="I9438" s="1" t="str">
        <f t="shared" si="4"/>
        <v>No Badges</v>
      </c>
      <c r="J9438" s="3">
        <f t="shared" si="5"/>
        <v>0</v>
      </c>
    </row>
    <row r="9439">
      <c r="A9439" s="1" t="s">
        <v>7190</v>
      </c>
      <c r="B9439" s="3" t="str">
        <f t="shared" si="1"/>
        <v>Unavailable</v>
      </c>
      <c r="C9439" s="5">
        <v>3259.0</v>
      </c>
      <c r="D9439" s="3">
        <f>IFERROR(__xludf.DUMMYFUNCTION("IFERROR(
IF(REGEXMATCH(LOWER(O9439),""k""),
VALUE(REGEXEXTRACT(O9439,""[0-9]+""))*1000,
VALUE(REGEXEXTRACT(O9439,""[0-9]+""))
),
0
)"),0.0)</f>
        <v>0</v>
      </c>
      <c r="E9439" s="1" t="s">
        <v>11</v>
      </c>
      <c r="F9439" s="1" t="s">
        <v>20</v>
      </c>
      <c r="G9439" s="4" t="b">
        <f t="shared" si="2"/>
        <v>1</v>
      </c>
      <c r="H9439" s="1" t="str">
        <f t="shared" si="3"/>
        <v>Currently Unavailable</v>
      </c>
      <c r="I9439" s="1" t="str">
        <f t="shared" si="4"/>
        <v>No Badges</v>
      </c>
      <c r="J9439" s="3">
        <f t="shared" si="5"/>
        <v>0</v>
      </c>
    </row>
    <row r="9440">
      <c r="A9440" s="1" t="s">
        <v>7191</v>
      </c>
      <c r="B9440" s="3" t="str">
        <f t="shared" si="1"/>
        <v>Unavailable</v>
      </c>
      <c r="C9440" s="5">
        <v>2800.0</v>
      </c>
      <c r="D9440" s="3">
        <f>IFERROR(__xludf.DUMMYFUNCTION("IFERROR(
IF(REGEXMATCH(LOWER(O9440),""k""),
VALUE(REGEXEXTRACT(O9440,""[0-9]+""))*1000,
VALUE(REGEXEXTRACT(O9440,""[0-9]+""))
),
0
)"),0.0)</f>
        <v>0</v>
      </c>
      <c r="E9440" s="1" t="s">
        <v>11</v>
      </c>
      <c r="F9440" s="1" t="s">
        <v>20</v>
      </c>
      <c r="G9440" s="4" t="b">
        <f t="shared" si="2"/>
        <v>1</v>
      </c>
      <c r="H9440" s="1" t="str">
        <f t="shared" si="3"/>
        <v>Currently Unavailable</v>
      </c>
      <c r="I9440" s="1" t="str">
        <f t="shared" si="4"/>
        <v>No Badges</v>
      </c>
      <c r="J9440" s="3">
        <f t="shared" si="5"/>
        <v>0</v>
      </c>
    </row>
    <row r="9441">
      <c r="A9441" s="1" t="s">
        <v>6698</v>
      </c>
      <c r="B9441" s="3" t="str">
        <f t="shared" si="1"/>
        <v>Unavailable</v>
      </c>
      <c r="C9441" s="3">
        <v>6.0</v>
      </c>
      <c r="D9441" s="3">
        <f>IFERROR(__xludf.DUMMYFUNCTION("IFERROR(
IF(REGEXMATCH(LOWER(O9441),""k""),
VALUE(REGEXEXTRACT(O9441,""[0-9]+""))*1000,
VALUE(REGEXEXTRACT(O9441,""[0-9]+""))
),
0
)"),0.0)</f>
        <v>0</v>
      </c>
      <c r="E9441" s="1" t="s">
        <v>11</v>
      </c>
      <c r="F9441" s="1" t="s">
        <v>12</v>
      </c>
      <c r="G9441" s="4" t="b">
        <f t="shared" si="2"/>
        <v>1</v>
      </c>
      <c r="H9441" s="1" t="str">
        <f t="shared" si="3"/>
        <v>Currently Unavailable</v>
      </c>
      <c r="I9441" s="1" t="str">
        <f t="shared" si="4"/>
        <v>No Badges</v>
      </c>
      <c r="J9441" s="3">
        <f t="shared" si="5"/>
        <v>0</v>
      </c>
    </row>
    <row r="9442">
      <c r="A9442" s="1" t="s">
        <v>6711</v>
      </c>
      <c r="B9442" s="3" t="str">
        <f t="shared" si="1"/>
        <v>Unavailable</v>
      </c>
      <c r="C9442" s="3">
        <v>259.0</v>
      </c>
      <c r="D9442" s="3">
        <f>IFERROR(__xludf.DUMMYFUNCTION("IFERROR(
IF(REGEXMATCH(LOWER(O9442),""k""),
VALUE(REGEXEXTRACT(O9442,""[0-9]+""))*1000,
VALUE(REGEXEXTRACT(O9442,""[0-9]+""))
),
0
)"),0.0)</f>
        <v>0</v>
      </c>
      <c r="E9442" s="1" t="s">
        <v>11</v>
      </c>
      <c r="F9442" s="1" t="s">
        <v>12</v>
      </c>
      <c r="G9442" s="4" t="b">
        <f t="shared" si="2"/>
        <v>1</v>
      </c>
      <c r="H9442" s="1" t="str">
        <f t="shared" si="3"/>
        <v>Currently Unavailable</v>
      </c>
      <c r="I9442" s="1" t="str">
        <f t="shared" si="4"/>
        <v>No Badges</v>
      </c>
      <c r="J9442" s="3">
        <f t="shared" si="5"/>
        <v>0</v>
      </c>
    </row>
    <row r="9443">
      <c r="A9443" s="1" t="s">
        <v>7192</v>
      </c>
      <c r="B9443" s="3" t="str">
        <f t="shared" si="1"/>
        <v>Unavailable</v>
      </c>
      <c r="C9443" s="5">
        <v>12689.0</v>
      </c>
      <c r="D9443" s="3">
        <f>IFERROR(__xludf.DUMMYFUNCTION("IFERROR(
IF(REGEXMATCH(LOWER(O9443),""k""),
VALUE(REGEXEXTRACT(O9443,""[0-9]+""))*1000,
VALUE(REGEXEXTRACT(O9443,""[0-9]+""))
),
0
)"),0.0)</f>
        <v>0</v>
      </c>
      <c r="E9443" s="1" t="s">
        <v>11</v>
      </c>
      <c r="F9443" s="1" t="s">
        <v>20</v>
      </c>
      <c r="G9443" s="4" t="b">
        <f t="shared" si="2"/>
        <v>1</v>
      </c>
      <c r="H9443" s="1" t="str">
        <f t="shared" si="3"/>
        <v>Currently Unavailable</v>
      </c>
      <c r="I9443" s="1" t="str">
        <f t="shared" si="4"/>
        <v>No Badges</v>
      </c>
      <c r="J9443" s="3">
        <f t="shared" si="5"/>
        <v>0</v>
      </c>
    </row>
    <row r="9444">
      <c r="A9444" s="1" t="s">
        <v>7193</v>
      </c>
      <c r="B9444" s="3" t="str">
        <f t="shared" si="1"/>
        <v>Unavailable</v>
      </c>
      <c r="C9444" s="5">
        <v>2152.0</v>
      </c>
      <c r="D9444" s="3">
        <f>IFERROR(__xludf.DUMMYFUNCTION("IFERROR(
IF(REGEXMATCH(LOWER(O9444),""k""),
VALUE(REGEXEXTRACT(O9444,""[0-9]+""))*1000,
VALUE(REGEXEXTRACT(O9444,""[0-9]+""))
),
0
)"),0.0)</f>
        <v>0</v>
      </c>
      <c r="E9444" s="1" t="s">
        <v>11</v>
      </c>
      <c r="F9444" s="1" t="s">
        <v>20</v>
      </c>
      <c r="G9444" s="4" t="b">
        <f t="shared" si="2"/>
        <v>1</v>
      </c>
      <c r="H9444" s="1" t="str">
        <f t="shared" si="3"/>
        <v>Currently Unavailable</v>
      </c>
      <c r="I9444" s="1" t="str">
        <f t="shared" si="4"/>
        <v>No Badges</v>
      </c>
      <c r="J9444" s="3">
        <f t="shared" si="5"/>
        <v>0</v>
      </c>
    </row>
    <row r="9445">
      <c r="A9445" s="1" t="s">
        <v>7194</v>
      </c>
      <c r="B9445" s="3" t="str">
        <f t="shared" si="1"/>
        <v>Unavailable</v>
      </c>
      <c r="C9445" s="5">
        <v>5091.0</v>
      </c>
      <c r="D9445" s="3">
        <f>IFERROR(__xludf.DUMMYFUNCTION("IFERROR(
IF(REGEXMATCH(LOWER(O9445),""k""),
VALUE(REGEXEXTRACT(O9445,""[0-9]+""))*1000,
VALUE(REGEXEXTRACT(O9445,""[0-9]+""))
),
0
)"),0.0)</f>
        <v>0</v>
      </c>
      <c r="E9445" s="1" t="s">
        <v>11</v>
      </c>
      <c r="F9445" s="1" t="s">
        <v>20</v>
      </c>
      <c r="G9445" s="4" t="b">
        <f t="shared" si="2"/>
        <v>1</v>
      </c>
      <c r="H9445" s="1" t="str">
        <f t="shared" si="3"/>
        <v>Currently Unavailable</v>
      </c>
      <c r="I9445" s="1" t="str">
        <f t="shared" si="4"/>
        <v>No Badges</v>
      </c>
      <c r="J9445" s="3">
        <f t="shared" si="5"/>
        <v>0</v>
      </c>
    </row>
    <row r="9446">
      <c r="A9446" s="1" t="s">
        <v>7195</v>
      </c>
      <c r="B9446" s="3" t="str">
        <f t="shared" si="1"/>
        <v>Unavailable</v>
      </c>
      <c r="C9446" s="5">
        <v>3069.0</v>
      </c>
      <c r="D9446" s="3">
        <f>IFERROR(__xludf.DUMMYFUNCTION("IFERROR(
IF(REGEXMATCH(LOWER(O9446),""k""),
VALUE(REGEXEXTRACT(O9446,""[0-9]+""))*1000,
VALUE(REGEXEXTRACT(O9446,""[0-9]+""))
),
0
)"),0.0)</f>
        <v>0</v>
      </c>
      <c r="E9446" s="1" t="s">
        <v>11</v>
      </c>
      <c r="F9446" s="1" t="s">
        <v>20</v>
      </c>
      <c r="G9446" s="4" t="b">
        <f t="shared" si="2"/>
        <v>1</v>
      </c>
      <c r="H9446" s="1" t="str">
        <f t="shared" si="3"/>
        <v>Currently Unavailable</v>
      </c>
      <c r="I9446" s="1" t="str">
        <f t="shared" si="4"/>
        <v>No Badges</v>
      </c>
      <c r="J9446" s="3">
        <f t="shared" si="5"/>
        <v>0</v>
      </c>
    </row>
    <row r="9447">
      <c r="A9447" s="1" t="s">
        <v>7196</v>
      </c>
      <c r="B9447" s="3" t="str">
        <f t="shared" si="1"/>
        <v>Unavailable</v>
      </c>
      <c r="C9447" s="3">
        <v>416.0</v>
      </c>
      <c r="D9447" s="3">
        <f>IFERROR(__xludf.DUMMYFUNCTION("IFERROR(
IF(REGEXMATCH(LOWER(O9447),""k""),
VALUE(REGEXEXTRACT(O9447,""[0-9]+""))*1000,
VALUE(REGEXEXTRACT(O9447,""[0-9]+""))
),
0
)"),0.0)</f>
        <v>0</v>
      </c>
      <c r="E9447" s="1" t="s">
        <v>18</v>
      </c>
      <c r="F9447" s="1" t="s">
        <v>20</v>
      </c>
      <c r="G9447" s="4" t="b">
        <f t="shared" si="2"/>
        <v>1</v>
      </c>
      <c r="H9447" s="1" t="str">
        <f t="shared" si="3"/>
        <v>Currently Unavailable</v>
      </c>
      <c r="I9447" s="1" t="str">
        <f t="shared" si="4"/>
        <v>No Badges</v>
      </c>
      <c r="J9447" s="3">
        <f t="shared" si="5"/>
        <v>0</v>
      </c>
    </row>
    <row r="9448">
      <c r="A9448" s="1" t="s">
        <v>7197</v>
      </c>
      <c r="B9448" s="3" t="str">
        <f t="shared" si="1"/>
        <v>Unavailable</v>
      </c>
      <c r="C9448" s="5">
        <v>20366.0</v>
      </c>
      <c r="D9448" s="3">
        <f>IFERROR(__xludf.DUMMYFUNCTION("IFERROR(
IF(REGEXMATCH(LOWER(O9448),""k""),
VALUE(REGEXEXTRACT(O9448,""[0-9]+""))*1000,
VALUE(REGEXEXTRACT(O9448,""[0-9]+""))
),
0
)"),0.0)</f>
        <v>0</v>
      </c>
      <c r="E9448" s="1" t="s">
        <v>11</v>
      </c>
      <c r="F9448" s="1" t="s">
        <v>20</v>
      </c>
      <c r="G9448" s="4" t="b">
        <f t="shared" si="2"/>
        <v>1</v>
      </c>
      <c r="H9448" s="1" t="str">
        <f t="shared" si="3"/>
        <v>Currently Unavailable</v>
      </c>
      <c r="I9448" s="1" t="str">
        <f t="shared" si="4"/>
        <v>No Badges</v>
      </c>
      <c r="J9448" s="3">
        <f t="shared" si="5"/>
        <v>0</v>
      </c>
    </row>
    <row r="9449">
      <c r="A9449" s="1" t="s">
        <v>7198</v>
      </c>
      <c r="B9449" s="3" t="str">
        <f t="shared" si="1"/>
        <v>Unavailable</v>
      </c>
      <c r="C9449" s="3">
        <v>443.0</v>
      </c>
      <c r="D9449" s="3">
        <f>IFERROR(__xludf.DUMMYFUNCTION("IFERROR(
IF(REGEXMATCH(LOWER(O9449),""k""),
VALUE(REGEXEXTRACT(O9449,""[0-9]+""))*1000,
VALUE(REGEXEXTRACT(O9449,""[0-9]+""))
),
0
)"),0.0)</f>
        <v>0</v>
      </c>
      <c r="E9449" s="1" t="s">
        <v>11</v>
      </c>
      <c r="F9449" s="1" t="s">
        <v>20</v>
      </c>
      <c r="G9449" s="4" t="b">
        <f t="shared" si="2"/>
        <v>1</v>
      </c>
      <c r="H9449" s="1" t="str">
        <f t="shared" si="3"/>
        <v>Currently Unavailable</v>
      </c>
      <c r="I9449" s="1" t="str">
        <f t="shared" si="4"/>
        <v>No Badges</v>
      </c>
      <c r="J9449" s="3">
        <f t="shared" si="5"/>
        <v>0</v>
      </c>
    </row>
    <row r="9450">
      <c r="A9450" s="1" t="s">
        <v>7199</v>
      </c>
      <c r="B9450" s="3" t="str">
        <f t="shared" si="1"/>
        <v>Unavailable</v>
      </c>
      <c r="C9450" s="5">
        <v>1957.0</v>
      </c>
      <c r="D9450" s="3">
        <f>IFERROR(__xludf.DUMMYFUNCTION("IFERROR(
IF(REGEXMATCH(LOWER(O9450),""k""),
VALUE(REGEXEXTRACT(O9450,""[0-9]+""))*1000,
VALUE(REGEXEXTRACT(O9450,""[0-9]+""))
),
0
)"),0.0)</f>
        <v>0</v>
      </c>
      <c r="E9450" s="1" t="s">
        <v>11</v>
      </c>
      <c r="F9450" s="1" t="s">
        <v>20</v>
      </c>
      <c r="G9450" s="4" t="b">
        <f t="shared" si="2"/>
        <v>1</v>
      </c>
      <c r="H9450" s="1" t="str">
        <f t="shared" si="3"/>
        <v>Currently Unavailable</v>
      </c>
      <c r="I9450" s="1" t="str">
        <f t="shared" si="4"/>
        <v>No Badges</v>
      </c>
      <c r="J9450" s="3">
        <f t="shared" si="5"/>
        <v>0</v>
      </c>
    </row>
    <row r="9451">
      <c r="A9451" s="1" t="s">
        <v>7200</v>
      </c>
      <c r="B9451" s="3" t="str">
        <f t="shared" si="1"/>
        <v>Unavailable</v>
      </c>
      <c r="C9451" s="5">
        <v>3094.0</v>
      </c>
      <c r="D9451" s="3">
        <f>IFERROR(__xludf.DUMMYFUNCTION("IFERROR(
IF(REGEXMATCH(LOWER(O9451),""k""),
VALUE(REGEXEXTRACT(O9451,""[0-9]+""))*1000,
VALUE(REGEXEXTRACT(O9451,""[0-9]+""))
),
0
)"),0.0)</f>
        <v>0</v>
      </c>
      <c r="E9451" s="1" t="s">
        <v>11</v>
      </c>
      <c r="F9451" s="1" t="s">
        <v>20</v>
      </c>
      <c r="G9451" s="4" t="b">
        <f t="shared" si="2"/>
        <v>1</v>
      </c>
      <c r="H9451" s="1" t="str">
        <f t="shared" si="3"/>
        <v>Currently Unavailable</v>
      </c>
      <c r="I9451" s="1" t="str">
        <f t="shared" si="4"/>
        <v>No Badges</v>
      </c>
      <c r="J9451" s="3">
        <f t="shared" si="5"/>
        <v>0</v>
      </c>
    </row>
    <row r="9452">
      <c r="A9452" s="1" t="s">
        <v>7201</v>
      </c>
      <c r="B9452" s="3" t="str">
        <f t="shared" si="1"/>
        <v>Unavailable</v>
      </c>
      <c r="C9452" s="3">
        <v>57.0</v>
      </c>
      <c r="D9452" s="3">
        <f>IFERROR(__xludf.DUMMYFUNCTION("IFERROR(
IF(REGEXMATCH(LOWER(O9452),""k""),
VALUE(REGEXEXTRACT(O9452,""[0-9]+""))*1000,
VALUE(REGEXEXTRACT(O9452,""[0-9]+""))
),
0
)"),0.0)</f>
        <v>0</v>
      </c>
      <c r="E9452" s="1" t="s">
        <v>11</v>
      </c>
      <c r="F9452" s="1" t="s">
        <v>20</v>
      </c>
      <c r="G9452" s="4" t="b">
        <f t="shared" si="2"/>
        <v>1</v>
      </c>
      <c r="H9452" s="1" t="str">
        <f t="shared" si="3"/>
        <v>Currently Unavailable</v>
      </c>
      <c r="I9452" s="1" t="str">
        <f t="shared" si="4"/>
        <v>No Badges</v>
      </c>
      <c r="J9452" s="3">
        <f t="shared" si="5"/>
        <v>0</v>
      </c>
    </row>
    <row r="9453">
      <c r="A9453" s="1" t="s">
        <v>7202</v>
      </c>
      <c r="B9453" s="3" t="str">
        <f t="shared" si="1"/>
        <v>Unavailable</v>
      </c>
      <c r="C9453" s="5">
        <v>2757.0</v>
      </c>
      <c r="D9453" s="3">
        <f>IFERROR(__xludf.DUMMYFUNCTION("IFERROR(
IF(REGEXMATCH(LOWER(O9453),""k""),
VALUE(REGEXEXTRACT(O9453,""[0-9]+""))*1000,
VALUE(REGEXEXTRACT(O9453,""[0-9]+""))
),
0
)"),0.0)</f>
        <v>0</v>
      </c>
      <c r="E9453" s="1" t="s">
        <v>11</v>
      </c>
      <c r="F9453" s="1" t="s">
        <v>20</v>
      </c>
      <c r="G9453" s="4" t="b">
        <f t="shared" si="2"/>
        <v>1</v>
      </c>
      <c r="H9453" s="1" t="str">
        <f t="shared" si="3"/>
        <v>Currently Unavailable</v>
      </c>
      <c r="I9453" s="1" t="str">
        <f t="shared" si="4"/>
        <v>No Badges</v>
      </c>
      <c r="J9453" s="3">
        <f t="shared" si="5"/>
        <v>0</v>
      </c>
    </row>
    <row r="9454">
      <c r="A9454" s="1" t="s">
        <v>7203</v>
      </c>
      <c r="B9454" s="3" t="str">
        <f t="shared" si="1"/>
        <v>Unavailable</v>
      </c>
      <c r="C9454" s="5">
        <v>1481.0</v>
      </c>
      <c r="D9454" s="3">
        <f>IFERROR(__xludf.DUMMYFUNCTION("IFERROR(
IF(REGEXMATCH(LOWER(O9454),""k""),
VALUE(REGEXEXTRACT(O9454,""[0-9]+""))*1000,
VALUE(REGEXEXTRACT(O9454,""[0-9]+""))
),
0
)"),0.0)</f>
        <v>0</v>
      </c>
      <c r="E9454" s="1" t="s">
        <v>11</v>
      </c>
      <c r="F9454" s="1" t="s">
        <v>20</v>
      </c>
      <c r="G9454" s="4" t="b">
        <f t="shared" si="2"/>
        <v>1</v>
      </c>
      <c r="H9454" s="1" t="str">
        <f t="shared" si="3"/>
        <v>Currently Unavailable</v>
      </c>
      <c r="I9454" s="1" t="str">
        <f t="shared" si="4"/>
        <v>No Badges</v>
      </c>
      <c r="J9454" s="3">
        <f t="shared" si="5"/>
        <v>0</v>
      </c>
    </row>
    <row r="9455">
      <c r="A9455" s="1" t="s">
        <v>6699</v>
      </c>
      <c r="B9455" s="3" t="str">
        <f t="shared" si="1"/>
        <v>Unavailable</v>
      </c>
      <c r="C9455" s="3">
        <v>1.0</v>
      </c>
      <c r="D9455" s="3">
        <f>IFERROR(__xludf.DUMMYFUNCTION("IFERROR(
IF(REGEXMATCH(LOWER(O9455),""k""),
VALUE(REGEXEXTRACT(O9455,""[0-9]+""))*1000,
VALUE(REGEXEXTRACT(O9455,""[0-9]+""))
),
0
)"),0.0)</f>
        <v>0</v>
      </c>
      <c r="E9455" s="1" t="s">
        <v>11</v>
      </c>
      <c r="F9455" s="1" t="s">
        <v>12</v>
      </c>
      <c r="G9455" s="4" t="b">
        <f t="shared" si="2"/>
        <v>1</v>
      </c>
      <c r="H9455" s="1" t="str">
        <f t="shared" si="3"/>
        <v>Currently Unavailable</v>
      </c>
      <c r="I9455" s="1" t="str">
        <f t="shared" si="4"/>
        <v>No Badges</v>
      </c>
      <c r="J9455" s="3">
        <f t="shared" si="5"/>
        <v>0</v>
      </c>
    </row>
    <row r="9456">
      <c r="A9456" s="1" t="s">
        <v>88</v>
      </c>
      <c r="B9456" s="3" t="str">
        <f t="shared" si="1"/>
        <v>Unavailable</v>
      </c>
      <c r="C9456" s="3">
        <v>6.0</v>
      </c>
      <c r="D9456" s="3">
        <f>IFERROR(__xludf.DUMMYFUNCTION("IFERROR(
IF(REGEXMATCH(LOWER(O9456),""k""),
VALUE(REGEXEXTRACT(O9456,""[0-9]+""))*1000,
VALUE(REGEXEXTRACT(O9456,""[0-9]+""))
),
0
)"),0.0)</f>
        <v>0</v>
      </c>
      <c r="E9456" s="1" t="s">
        <v>11</v>
      </c>
      <c r="F9456" s="1" t="s">
        <v>12</v>
      </c>
      <c r="G9456" s="4" t="b">
        <f t="shared" si="2"/>
        <v>1</v>
      </c>
      <c r="H9456" s="1" t="str">
        <f t="shared" si="3"/>
        <v>Currently Unavailable</v>
      </c>
      <c r="I9456" s="1" t="str">
        <f t="shared" si="4"/>
        <v>No Badges</v>
      </c>
      <c r="J9456" s="3">
        <f t="shared" si="5"/>
        <v>0</v>
      </c>
    </row>
    <row r="9457">
      <c r="A9457" s="1" t="s">
        <v>6661</v>
      </c>
      <c r="B9457" s="3" t="str">
        <f t="shared" si="1"/>
        <v>Unavailable</v>
      </c>
      <c r="C9457" s="3">
        <v>24.0</v>
      </c>
      <c r="D9457" s="3">
        <f>IFERROR(__xludf.DUMMYFUNCTION("IFERROR(
IF(REGEXMATCH(LOWER(O9457),""k""),
VALUE(REGEXEXTRACT(O9457,""[0-9]+""))*1000,
VALUE(REGEXEXTRACT(O9457,""[0-9]+""))
),
0
)"),0.0)</f>
        <v>0</v>
      </c>
      <c r="E9457" s="1" t="s">
        <v>11</v>
      </c>
      <c r="F9457" s="1" t="s">
        <v>12</v>
      </c>
      <c r="G9457" s="4" t="b">
        <f t="shared" si="2"/>
        <v>1</v>
      </c>
      <c r="H9457" s="1" t="str">
        <f t="shared" si="3"/>
        <v>Currently Unavailable</v>
      </c>
      <c r="I9457" s="1" t="str">
        <f t="shared" si="4"/>
        <v>No Badges</v>
      </c>
      <c r="J9457" s="3">
        <f t="shared" si="5"/>
        <v>0</v>
      </c>
    </row>
    <row r="9458">
      <c r="A9458" s="1" t="s">
        <v>7204</v>
      </c>
      <c r="B9458" s="3" t="str">
        <f t="shared" si="1"/>
        <v>Unavailable</v>
      </c>
      <c r="C9458" s="3">
        <v>162.0</v>
      </c>
      <c r="D9458" s="3">
        <f>IFERROR(__xludf.DUMMYFUNCTION("IFERROR(
IF(REGEXMATCH(LOWER(O9458),""k""),
VALUE(REGEXEXTRACT(O9458,""[0-9]+""))*1000,
VALUE(REGEXEXTRACT(O9458,""[0-9]+""))
),
0
)"),0.0)</f>
        <v>0</v>
      </c>
      <c r="E9458" s="1" t="s">
        <v>11</v>
      </c>
      <c r="F9458" s="1" t="s">
        <v>20</v>
      </c>
      <c r="G9458" s="4" t="b">
        <f t="shared" si="2"/>
        <v>1</v>
      </c>
      <c r="H9458" s="1" t="str">
        <f t="shared" si="3"/>
        <v>Currently Unavailable</v>
      </c>
      <c r="I9458" s="1" t="str">
        <f t="shared" si="4"/>
        <v>No Badges</v>
      </c>
      <c r="J9458" s="3">
        <f t="shared" si="5"/>
        <v>0</v>
      </c>
    </row>
    <row r="9459">
      <c r="A9459" s="1" t="s">
        <v>7205</v>
      </c>
      <c r="B9459" s="3" t="str">
        <f t="shared" si="1"/>
        <v>Unavailable</v>
      </c>
      <c r="C9459" s="5">
        <v>2457.0</v>
      </c>
      <c r="D9459" s="3">
        <f>IFERROR(__xludf.DUMMYFUNCTION("IFERROR(
IF(REGEXMATCH(LOWER(O9459),""k""),
VALUE(REGEXEXTRACT(O9459,""[0-9]+""))*1000,
VALUE(REGEXEXTRACT(O9459,""[0-9]+""))
),
0
)"),0.0)</f>
        <v>0</v>
      </c>
      <c r="E9459" s="1" t="s">
        <v>11</v>
      </c>
      <c r="F9459" s="1" t="s">
        <v>20</v>
      </c>
      <c r="G9459" s="4" t="b">
        <f t="shared" si="2"/>
        <v>1</v>
      </c>
      <c r="H9459" s="1" t="str">
        <f t="shared" si="3"/>
        <v>Currently Unavailable</v>
      </c>
      <c r="I9459" s="1" t="str">
        <f t="shared" si="4"/>
        <v>No Badges</v>
      </c>
      <c r="J9459" s="3">
        <f t="shared" si="5"/>
        <v>0</v>
      </c>
    </row>
    <row r="9460">
      <c r="A9460" s="1" t="s">
        <v>7206</v>
      </c>
      <c r="B9460" s="3" t="str">
        <f t="shared" si="1"/>
        <v>Unavailable</v>
      </c>
      <c r="C9460" s="5">
        <v>1216.0</v>
      </c>
      <c r="D9460" s="3">
        <f>IFERROR(__xludf.DUMMYFUNCTION("IFERROR(
IF(REGEXMATCH(LOWER(O9460),""k""),
VALUE(REGEXEXTRACT(O9460,""[0-9]+""))*1000,
VALUE(REGEXEXTRACT(O9460,""[0-9]+""))
),
0
)"),0.0)</f>
        <v>0</v>
      </c>
      <c r="E9460" s="1" t="s">
        <v>11</v>
      </c>
      <c r="F9460" s="1" t="s">
        <v>20</v>
      </c>
      <c r="G9460" s="4" t="b">
        <f t="shared" si="2"/>
        <v>1</v>
      </c>
      <c r="H9460" s="1" t="str">
        <f t="shared" si="3"/>
        <v>Currently Unavailable</v>
      </c>
      <c r="I9460" s="1" t="str">
        <f t="shared" si="4"/>
        <v>No Badges</v>
      </c>
      <c r="J9460" s="3">
        <f t="shared" si="5"/>
        <v>0</v>
      </c>
    </row>
    <row r="9461">
      <c r="A9461" s="1" t="s">
        <v>7207</v>
      </c>
      <c r="B9461" s="3" t="str">
        <f t="shared" si="1"/>
        <v>Unavailable</v>
      </c>
      <c r="C9461" s="5">
        <v>2610.0</v>
      </c>
      <c r="D9461" s="3">
        <f>IFERROR(__xludf.DUMMYFUNCTION("IFERROR(
IF(REGEXMATCH(LOWER(O9461),""k""),
VALUE(REGEXEXTRACT(O9461,""[0-9]+""))*1000,
VALUE(REGEXEXTRACT(O9461,""[0-9]+""))
),
0
)"),0.0)</f>
        <v>0</v>
      </c>
      <c r="E9461" s="1" t="s">
        <v>11</v>
      </c>
      <c r="F9461" s="1" t="s">
        <v>20</v>
      </c>
      <c r="G9461" s="4" t="b">
        <f t="shared" si="2"/>
        <v>1</v>
      </c>
      <c r="H9461" s="1" t="str">
        <f t="shared" si="3"/>
        <v>Currently Unavailable</v>
      </c>
      <c r="I9461" s="1" t="str">
        <f t="shared" si="4"/>
        <v>No Badges</v>
      </c>
      <c r="J9461" s="3">
        <f t="shared" si="5"/>
        <v>0</v>
      </c>
    </row>
    <row r="9462">
      <c r="A9462" s="1" t="s">
        <v>7208</v>
      </c>
      <c r="B9462" s="3" t="str">
        <f t="shared" si="1"/>
        <v>Unavailable</v>
      </c>
      <c r="C9462" s="5">
        <v>1454.0</v>
      </c>
      <c r="D9462" s="3">
        <f>IFERROR(__xludf.DUMMYFUNCTION("IFERROR(
IF(REGEXMATCH(LOWER(O9462),""k""),
VALUE(REGEXEXTRACT(O9462,""[0-9]+""))*1000,
VALUE(REGEXEXTRACT(O9462,""[0-9]+""))
),
0
)"),0.0)</f>
        <v>0</v>
      </c>
      <c r="E9462" s="1" t="s">
        <v>11</v>
      </c>
      <c r="F9462" s="1" t="s">
        <v>20</v>
      </c>
      <c r="G9462" s="4" t="b">
        <f t="shared" si="2"/>
        <v>1</v>
      </c>
      <c r="H9462" s="1" t="str">
        <f t="shared" si="3"/>
        <v>Currently Unavailable</v>
      </c>
      <c r="I9462" s="1" t="str">
        <f t="shared" si="4"/>
        <v>No Badges</v>
      </c>
      <c r="J9462" s="3">
        <f t="shared" si="5"/>
        <v>0</v>
      </c>
    </row>
    <row r="9463">
      <c r="A9463" s="1" t="s">
        <v>7209</v>
      </c>
      <c r="B9463" s="3" t="str">
        <f t="shared" si="1"/>
        <v>Unavailable</v>
      </c>
      <c r="C9463" s="3">
        <v>316.0</v>
      </c>
      <c r="D9463" s="3">
        <f>IFERROR(__xludf.DUMMYFUNCTION("IFERROR(
IF(REGEXMATCH(LOWER(O9463),""k""),
VALUE(REGEXEXTRACT(O9463,""[0-9]+""))*1000,
VALUE(REGEXEXTRACT(O9463,""[0-9]+""))
),
0
)"),0.0)</f>
        <v>0</v>
      </c>
      <c r="E9463" s="1" t="s">
        <v>158</v>
      </c>
      <c r="F9463" s="1" t="s">
        <v>20</v>
      </c>
      <c r="G9463" s="4" t="b">
        <f t="shared" si="2"/>
        <v>1</v>
      </c>
      <c r="H9463" s="1" t="str">
        <f t="shared" si="3"/>
        <v>Currently Unavailable</v>
      </c>
      <c r="I9463" s="1" t="str">
        <f t="shared" si="4"/>
        <v>No Badges</v>
      </c>
      <c r="J9463" s="3">
        <f t="shared" si="5"/>
        <v>0</v>
      </c>
    </row>
    <row r="9464">
      <c r="A9464" s="1" t="s">
        <v>7210</v>
      </c>
      <c r="B9464" s="3" t="str">
        <f t="shared" si="1"/>
        <v>Unavailable</v>
      </c>
      <c r="C9464" s="3">
        <v>5.0</v>
      </c>
      <c r="D9464" s="3">
        <f>IFERROR(__xludf.DUMMYFUNCTION("IFERROR(
IF(REGEXMATCH(LOWER(O9464),""k""),
VALUE(REGEXEXTRACT(O9464,""[0-9]+""))*1000,
VALUE(REGEXEXTRACT(O9464,""[0-9]+""))
),
0
)"),0.0)</f>
        <v>0</v>
      </c>
      <c r="E9464" s="1" t="s">
        <v>11</v>
      </c>
      <c r="F9464" s="1" t="s">
        <v>20</v>
      </c>
      <c r="G9464" s="4" t="b">
        <f t="shared" si="2"/>
        <v>1</v>
      </c>
      <c r="H9464" s="1" t="str">
        <f t="shared" si="3"/>
        <v>Currently Unavailable</v>
      </c>
      <c r="I9464" s="1" t="str">
        <f t="shared" si="4"/>
        <v>No Badges</v>
      </c>
      <c r="J9464" s="3">
        <f t="shared" si="5"/>
        <v>0</v>
      </c>
    </row>
    <row r="9465">
      <c r="A9465" s="1" t="s">
        <v>7211</v>
      </c>
      <c r="B9465" s="3" t="str">
        <f t="shared" si="1"/>
        <v>Unavailable</v>
      </c>
      <c r="C9465" s="5">
        <v>1195.0</v>
      </c>
      <c r="D9465" s="3">
        <f>IFERROR(__xludf.DUMMYFUNCTION("IFERROR(
IF(REGEXMATCH(LOWER(O9465),""k""),
VALUE(REGEXEXTRACT(O9465,""[0-9]+""))*1000,
VALUE(REGEXEXTRACT(O9465,""[0-9]+""))
),
0
)"),0.0)</f>
        <v>0</v>
      </c>
      <c r="E9465" s="1" t="s">
        <v>11</v>
      </c>
      <c r="F9465" s="1" t="s">
        <v>20</v>
      </c>
      <c r="G9465" s="4" t="b">
        <f t="shared" si="2"/>
        <v>1</v>
      </c>
      <c r="H9465" s="1" t="str">
        <f t="shared" si="3"/>
        <v>Currently Unavailable</v>
      </c>
      <c r="I9465" s="1" t="str">
        <f t="shared" si="4"/>
        <v>No Badges</v>
      </c>
      <c r="J9465" s="3">
        <f t="shared" si="5"/>
        <v>0</v>
      </c>
    </row>
    <row r="9466">
      <c r="A9466" s="1" t="s">
        <v>7212</v>
      </c>
      <c r="B9466" s="3" t="str">
        <f t="shared" si="1"/>
        <v>Unavailable</v>
      </c>
      <c r="C9466" s="5">
        <v>1538.0</v>
      </c>
      <c r="D9466" s="3">
        <f>IFERROR(__xludf.DUMMYFUNCTION("IFERROR(
IF(REGEXMATCH(LOWER(O9466),""k""),
VALUE(REGEXEXTRACT(O9466,""[0-9]+""))*1000,
VALUE(REGEXEXTRACT(O9466,""[0-9]+""))
),
0
)"),0.0)</f>
        <v>0</v>
      </c>
      <c r="E9466" s="1" t="s">
        <v>11</v>
      </c>
      <c r="F9466" s="1" t="s">
        <v>20</v>
      </c>
      <c r="G9466" s="4" t="b">
        <f t="shared" si="2"/>
        <v>1</v>
      </c>
      <c r="H9466" s="1" t="str">
        <f t="shared" si="3"/>
        <v>Currently Unavailable</v>
      </c>
      <c r="I9466" s="1" t="str">
        <f t="shared" si="4"/>
        <v>No Badges</v>
      </c>
      <c r="J9466" s="3">
        <f t="shared" si="5"/>
        <v>0</v>
      </c>
    </row>
    <row r="9467">
      <c r="A9467" s="1" t="s">
        <v>7213</v>
      </c>
      <c r="B9467" s="3" t="str">
        <f t="shared" si="1"/>
        <v>Unavailable</v>
      </c>
      <c r="C9467" s="5">
        <v>1569.0</v>
      </c>
      <c r="D9467" s="3">
        <f>IFERROR(__xludf.DUMMYFUNCTION("IFERROR(
IF(REGEXMATCH(LOWER(O9467),""k""),
VALUE(REGEXEXTRACT(O9467,""[0-9]+""))*1000,
VALUE(REGEXEXTRACT(O9467,""[0-9]+""))
),
0
)"),0.0)</f>
        <v>0</v>
      </c>
      <c r="E9467" s="1" t="s">
        <v>11</v>
      </c>
      <c r="F9467" s="1" t="s">
        <v>20</v>
      </c>
      <c r="G9467" s="4" t="b">
        <f t="shared" si="2"/>
        <v>1</v>
      </c>
      <c r="H9467" s="1" t="str">
        <f t="shared" si="3"/>
        <v>Currently Unavailable</v>
      </c>
      <c r="I9467" s="1" t="str">
        <f t="shared" si="4"/>
        <v>No Badges</v>
      </c>
      <c r="J9467" s="3">
        <f t="shared" si="5"/>
        <v>0</v>
      </c>
    </row>
    <row r="9468">
      <c r="A9468" s="1" t="s">
        <v>7214</v>
      </c>
      <c r="B9468" s="3" t="str">
        <f t="shared" si="1"/>
        <v>Unavailable</v>
      </c>
      <c r="C9468" s="5">
        <v>3231.0</v>
      </c>
      <c r="D9468" s="3">
        <f>IFERROR(__xludf.DUMMYFUNCTION("IFERROR(
IF(REGEXMATCH(LOWER(O9468),""k""),
VALUE(REGEXEXTRACT(O9468,""[0-9]+""))*1000,
VALUE(REGEXEXTRACT(O9468,""[0-9]+""))
),
0
)"),0.0)</f>
        <v>0</v>
      </c>
      <c r="E9468" s="1" t="s">
        <v>11</v>
      </c>
      <c r="F9468" s="1" t="s">
        <v>20</v>
      </c>
      <c r="G9468" s="4" t="b">
        <f t="shared" si="2"/>
        <v>1</v>
      </c>
      <c r="H9468" s="1" t="str">
        <f t="shared" si="3"/>
        <v>Currently Unavailable</v>
      </c>
      <c r="I9468" s="1" t="str">
        <f t="shared" si="4"/>
        <v>No Badges</v>
      </c>
      <c r="J9468" s="3">
        <f t="shared" si="5"/>
        <v>0</v>
      </c>
    </row>
    <row r="9469">
      <c r="A9469" s="1" t="s">
        <v>7215</v>
      </c>
      <c r="B9469" s="1" t="str">
        <f t="shared" si="1"/>
        <v>Unavailable</v>
      </c>
      <c r="C9469" s="1"/>
      <c r="D9469" s="3">
        <f>IFERROR(__xludf.DUMMYFUNCTION("IFERROR(
IF(REGEXMATCH(LOWER(O9469),""k""),
VALUE(REGEXEXTRACT(O9469,""[0-9]+""))*1000,
VALUE(REGEXEXTRACT(O9469,""[0-9]+""))
),
0
)"),0.0)</f>
        <v>0</v>
      </c>
      <c r="E9469" s="1" t="s">
        <v>11</v>
      </c>
      <c r="F9469" s="1" t="s">
        <v>20</v>
      </c>
      <c r="G9469" s="4" t="b">
        <f t="shared" si="2"/>
        <v>1</v>
      </c>
      <c r="H9469" s="1" t="str">
        <f t="shared" si="3"/>
        <v>Currently Unavailable</v>
      </c>
      <c r="I9469" s="1" t="str">
        <f t="shared" si="4"/>
        <v>No Badges</v>
      </c>
      <c r="J9469" s="3">
        <f t="shared" si="5"/>
        <v>0</v>
      </c>
    </row>
    <row r="9470">
      <c r="A9470" s="1" t="s">
        <v>7216</v>
      </c>
      <c r="B9470" s="3" t="str">
        <f t="shared" si="1"/>
        <v>Unavailable</v>
      </c>
      <c r="C9470" s="5">
        <v>3823.0</v>
      </c>
      <c r="D9470" s="3">
        <f>IFERROR(__xludf.DUMMYFUNCTION("IFERROR(
IF(REGEXMATCH(LOWER(O9470),""k""),
VALUE(REGEXEXTRACT(O9470,""[0-9]+""))*1000,
VALUE(REGEXEXTRACT(O9470,""[0-9]+""))
),
0
)"),0.0)</f>
        <v>0</v>
      </c>
      <c r="E9470" s="1" t="s">
        <v>11</v>
      </c>
      <c r="F9470" s="1" t="s">
        <v>20</v>
      </c>
      <c r="G9470" s="4" t="b">
        <f t="shared" si="2"/>
        <v>1</v>
      </c>
      <c r="H9470" s="1" t="str">
        <f t="shared" si="3"/>
        <v>Currently Unavailable</v>
      </c>
      <c r="I9470" s="1" t="str">
        <f t="shared" si="4"/>
        <v>No Badges</v>
      </c>
      <c r="J9470" s="3">
        <f t="shared" si="5"/>
        <v>0</v>
      </c>
    </row>
    <row r="9471">
      <c r="A9471" s="1" t="s">
        <v>7217</v>
      </c>
      <c r="B9471" s="3" t="str">
        <f t="shared" si="1"/>
        <v>Unavailable</v>
      </c>
      <c r="C9471" s="3">
        <v>960.0</v>
      </c>
      <c r="D9471" s="3">
        <f>IFERROR(__xludf.DUMMYFUNCTION("IFERROR(
IF(REGEXMATCH(LOWER(O9471),""k""),
VALUE(REGEXEXTRACT(O9471,""[0-9]+""))*1000,
VALUE(REGEXEXTRACT(O9471,""[0-9]+""))
),
0
)"),0.0)</f>
        <v>0</v>
      </c>
      <c r="E9471" s="1" t="s">
        <v>11</v>
      </c>
      <c r="F9471" s="1" t="s">
        <v>20</v>
      </c>
      <c r="G9471" s="4" t="b">
        <f t="shared" si="2"/>
        <v>1</v>
      </c>
      <c r="H9471" s="1" t="str">
        <f t="shared" si="3"/>
        <v>Currently Unavailable</v>
      </c>
      <c r="I9471" s="1" t="str">
        <f t="shared" si="4"/>
        <v>No Badges</v>
      </c>
      <c r="J9471" s="3">
        <f t="shared" si="5"/>
        <v>0</v>
      </c>
    </row>
    <row r="9472">
      <c r="A9472" s="1" t="s">
        <v>7162</v>
      </c>
      <c r="B9472" s="3" t="str">
        <f t="shared" si="1"/>
        <v>Unavailable</v>
      </c>
      <c r="C9472" s="3">
        <v>592.0</v>
      </c>
      <c r="D9472" s="3">
        <f>IFERROR(__xludf.DUMMYFUNCTION("IFERROR(
IF(REGEXMATCH(LOWER(O9472),""k""),
VALUE(REGEXEXTRACT(O9472,""[0-9]+""))*1000,
VALUE(REGEXEXTRACT(O9472,""[0-9]+""))
),
0
)"),0.0)</f>
        <v>0</v>
      </c>
      <c r="E9472" s="1" t="s">
        <v>11</v>
      </c>
      <c r="F9472" s="1" t="s">
        <v>20</v>
      </c>
      <c r="G9472" s="4" t="b">
        <f t="shared" si="2"/>
        <v>1</v>
      </c>
      <c r="H9472" s="1" t="str">
        <f t="shared" si="3"/>
        <v>Currently Unavailable</v>
      </c>
      <c r="I9472" s="1" t="str">
        <f t="shared" si="4"/>
        <v>No Badges</v>
      </c>
      <c r="J9472" s="3">
        <f t="shared" si="5"/>
        <v>0</v>
      </c>
    </row>
    <row r="9473">
      <c r="A9473" s="1" t="s">
        <v>7218</v>
      </c>
      <c r="B9473" s="3" t="str">
        <f t="shared" si="1"/>
        <v>Unavailable</v>
      </c>
      <c r="C9473" s="5">
        <v>7471.0</v>
      </c>
      <c r="D9473" s="3">
        <f>IFERROR(__xludf.DUMMYFUNCTION("IFERROR(
IF(REGEXMATCH(LOWER(O9473),""k""),
VALUE(REGEXEXTRACT(O9473,""[0-9]+""))*1000,
VALUE(REGEXEXTRACT(O9473,""[0-9]+""))
),
0
)"),0.0)</f>
        <v>0</v>
      </c>
      <c r="E9473" s="1" t="s">
        <v>11</v>
      </c>
      <c r="F9473" s="1" t="s">
        <v>20</v>
      </c>
      <c r="G9473" s="4" t="b">
        <f t="shared" si="2"/>
        <v>1</v>
      </c>
      <c r="H9473" s="1" t="str">
        <f t="shared" si="3"/>
        <v>Currently Unavailable</v>
      </c>
      <c r="I9473" s="1" t="str">
        <f t="shared" si="4"/>
        <v>No Badges</v>
      </c>
      <c r="J9473" s="3">
        <f t="shared" si="5"/>
        <v>0</v>
      </c>
    </row>
    <row r="9474">
      <c r="A9474" s="1" t="s">
        <v>7219</v>
      </c>
      <c r="B9474" s="3" t="str">
        <f t="shared" si="1"/>
        <v>Unavailable</v>
      </c>
      <c r="C9474" s="5">
        <v>3206.0</v>
      </c>
      <c r="D9474" s="3">
        <f>IFERROR(__xludf.DUMMYFUNCTION("IFERROR(
IF(REGEXMATCH(LOWER(O9474),""k""),
VALUE(REGEXEXTRACT(O9474,""[0-9]+""))*1000,
VALUE(REGEXEXTRACT(O9474,""[0-9]+""))
),
0
)"),0.0)</f>
        <v>0</v>
      </c>
      <c r="E9474" s="1" t="s">
        <v>11</v>
      </c>
      <c r="F9474" s="1" t="s">
        <v>20</v>
      </c>
      <c r="G9474" s="4" t="b">
        <f t="shared" si="2"/>
        <v>1</v>
      </c>
      <c r="H9474" s="1" t="str">
        <f t="shared" si="3"/>
        <v>Currently Unavailable</v>
      </c>
      <c r="I9474" s="1" t="str">
        <f t="shared" si="4"/>
        <v>No Badges</v>
      </c>
      <c r="J9474" s="3">
        <f t="shared" si="5"/>
        <v>0</v>
      </c>
    </row>
    <row r="9475">
      <c r="A9475" s="1" t="s">
        <v>7220</v>
      </c>
      <c r="B9475" s="3" t="str">
        <f t="shared" si="1"/>
        <v>Unavailable</v>
      </c>
      <c r="C9475" s="5">
        <v>13023.0</v>
      </c>
      <c r="D9475" s="3">
        <f>IFERROR(__xludf.DUMMYFUNCTION("IFERROR(
IF(REGEXMATCH(LOWER(O9475),""k""),
VALUE(REGEXEXTRACT(O9475,""[0-9]+""))*1000,
VALUE(REGEXEXTRACT(O9475,""[0-9]+""))
),
0
)"),0.0)</f>
        <v>0</v>
      </c>
      <c r="E9475" s="1" t="s">
        <v>11</v>
      </c>
      <c r="F9475" s="1" t="s">
        <v>20</v>
      </c>
      <c r="G9475" s="4" t="b">
        <f t="shared" si="2"/>
        <v>1</v>
      </c>
      <c r="H9475" s="1" t="str">
        <f t="shared" si="3"/>
        <v>Currently Unavailable</v>
      </c>
      <c r="I9475" s="1" t="str">
        <f t="shared" si="4"/>
        <v>No Badges</v>
      </c>
      <c r="J9475" s="3">
        <f t="shared" si="5"/>
        <v>0</v>
      </c>
    </row>
    <row r="9476">
      <c r="A9476" s="1" t="s">
        <v>7221</v>
      </c>
      <c r="B9476" s="3" t="str">
        <f t="shared" si="1"/>
        <v>Unavailable</v>
      </c>
      <c r="C9476" s="5">
        <v>1497.0</v>
      </c>
      <c r="D9476" s="3">
        <f>IFERROR(__xludf.DUMMYFUNCTION("IFERROR(
IF(REGEXMATCH(LOWER(O9476),""k""),
VALUE(REGEXEXTRACT(O9476,""[0-9]+""))*1000,
VALUE(REGEXEXTRACT(O9476,""[0-9]+""))
),
0
)"),0.0)</f>
        <v>0</v>
      </c>
      <c r="E9476" s="1" t="s">
        <v>11</v>
      </c>
      <c r="F9476" s="1" t="s">
        <v>20</v>
      </c>
      <c r="G9476" s="4" t="b">
        <f t="shared" si="2"/>
        <v>1</v>
      </c>
      <c r="H9476" s="1" t="str">
        <f t="shared" si="3"/>
        <v>Currently Unavailable</v>
      </c>
      <c r="I9476" s="1" t="str">
        <f t="shared" si="4"/>
        <v>No Badges</v>
      </c>
      <c r="J9476" s="3">
        <f t="shared" si="5"/>
        <v>0</v>
      </c>
    </row>
    <row r="9477">
      <c r="A9477" s="1" t="s">
        <v>7222</v>
      </c>
      <c r="B9477" s="3" t="str">
        <f t="shared" si="1"/>
        <v>Unavailable</v>
      </c>
      <c r="C9477" s="5">
        <v>9283.0</v>
      </c>
      <c r="D9477" s="3">
        <f>IFERROR(__xludf.DUMMYFUNCTION("IFERROR(
IF(REGEXMATCH(LOWER(O9477),""k""),
VALUE(REGEXEXTRACT(O9477,""[0-9]+""))*1000,
VALUE(REGEXEXTRACT(O9477,""[0-9]+""))
),
0
)"),0.0)</f>
        <v>0</v>
      </c>
      <c r="E9477" s="1" t="s">
        <v>11</v>
      </c>
      <c r="F9477" s="1" t="s">
        <v>20</v>
      </c>
      <c r="G9477" s="4" t="b">
        <f t="shared" si="2"/>
        <v>1</v>
      </c>
      <c r="H9477" s="1" t="str">
        <f t="shared" si="3"/>
        <v>Currently Unavailable</v>
      </c>
      <c r="I9477" s="1" t="str">
        <f t="shared" si="4"/>
        <v>No Badges</v>
      </c>
      <c r="J9477" s="3">
        <f t="shared" si="5"/>
        <v>0</v>
      </c>
    </row>
    <row r="9478">
      <c r="A9478" s="1" t="s">
        <v>7223</v>
      </c>
      <c r="B9478" s="3" t="str">
        <f t="shared" si="1"/>
        <v>Unavailable</v>
      </c>
      <c r="C9478" s="5">
        <v>3909.0</v>
      </c>
      <c r="D9478" s="3">
        <f>IFERROR(__xludf.DUMMYFUNCTION("IFERROR(
IF(REGEXMATCH(LOWER(O9478),""k""),
VALUE(REGEXEXTRACT(O9478,""[0-9]+""))*1000,
VALUE(REGEXEXTRACT(O9478,""[0-9]+""))
),
0
)"),0.0)</f>
        <v>0</v>
      </c>
      <c r="E9478" s="1" t="s">
        <v>11</v>
      </c>
      <c r="F9478" s="1" t="s">
        <v>20</v>
      </c>
      <c r="G9478" s="4" t="b">
        <f t="shared" si="2"/>
        <v>1</v>
      </c>
      <c r="H9478" s="1" t="str">
        <f t="shared" si="3"/>
        <v>Currently Unavailable</v>
      </c>
      <c r="I9478" s="1" t="str">
        <f t="shared" si="4"/>
        <v>No Badges</v>
      </c>
      <c r="J9478" s="3">
        <f t="shared" si="5"/>
        <v>0</v>
      </c>
    </row>
    <row r="9479">
      <c r="A9479" s="1" t="s">
        <v>7224</v>
      </c>
      <c r="B9479" s="3" t="str">
        <f t="shared" si="1"/>
        <v>Unavailable</v>
      </c>
      <c r="C9479" s="3">
        <v>262.0</v>
      </c>
      <c r="D9479" s="3">
        <f>IFERROR(__xludf.DUMMYFUNCTION("IFERROR(
IF(REGEXMATCH(LOWER(O9479),""k""),
VALUE(REGEXEXTRACT(O9479,""[0-9]+""))*1000,
VALUE(REGEXEXTRACT(O9479,""[0-9]+""))
),
0
)"),0.0)</f>
        <v>0</v>
      </c>
      <c r="E9479" s="1" t="s">
        <v>11</v>
      </c>
      <c r="F9479" s="1" t="s">
        <v>20</v>
      </c>
      <c r="G9479" s="4" t="b">
        <f t="shared" si="2"/>
        <v>1</v>
      </c>
      <c r="H9479" s="1" t="str">
        <f t="shared" si="3"/>
        <v>Currently Unavailable</v>
      </c>
      <c r="I9479" s="1" t="str">
        <f t="shared" si="4"/>
        <v>No Badges</v>
      </c>
      <c r="J9479" s="3">
        <f t="shared" si="5"/>
        <v>0</v>
      </c>
    </row>
    <row r="9480">
      <c r="A9480" s="1" t="s">
        <v>7225</v>
      </c>
      <c r="B9480" s="3" t="str">
        <f t="shared" si="1"/>
        <v>Unavailable</v>
      </c>
      <c r="C9480" s="3">
        <v>681.0</v>
      </c>
      <c r="D9480" s="3">
        <f>IFERROR(__xludf.DUMMYFUNCTION("IFERROR(
IF(REGEXMATCH(LOWER(O9480),""k""),
VALUE(REGEXEXTRACT(O9480,""[0-9]+""))*1000,
VALUE(REGEXEXTRACT(O9480,""[0-9]+""))
),
0
)"),0.0)</f>
        <v>0</v>
      </c>
      <c r="E9480" s="1" t="s">
        <v>11</v>
      </c>
      <c r="F9480" s="1" t="s">
        <v>20</v>
      </c>
      <c r="G9480" s="4" t="b">
        <f t="shared" si="2"/>
        <v>1</v>
      </c>
      <c r="H9480" s="1" t="str">
        <f t="shared" si="3"/>
        <v>Currently Unavailable</v>
      </c>
      <c r="I9480" s="1" t="str">
        <f t="shared" si="4"/>
        <v>No Badges</v>
      </c>
      <c r="J9480" s="3">
        <f t="shared" si="5"/>
        <v>0</v>
      </c>
    </row>
    <row r="9481">
      <c r="A9481" s="1" t="s">
        <v>7226</v>
      </c>
      <c r="B9481" s="3" t="str">
        <f t="shared" si="1"/>
        <v>Unavailable</v>
      </c>
      <c r="C9481" s="5">
        <v>117666.0</v>
      </c>
      <c r="D9481" s="3">
        <f>IFERROR(__xludf.DUMMYFUNCTION("IFERROR(
IF(REGEXMATCH(LOWER(O9481),""k""),
VALUE(REGEXEXTRACT(O9481,""[0-9]+""))*1000,
VALUE(REGEXEXTRACT(O9481,""[0-9]+""))
),
0
)"),0.0)</f>
        <v>0</v>
      </c>
      <c r="E9481" s="1" t="s">
        <v>11</v>
      </c>
      <c r="F9481" s="1" t="s">
        <v>20</v>
      </c>
      <c r="G9481" s="4" t="b">
        <f t="shared" si="2"/>
        <v>1</v>
      </c>
      <c r="H9481" s="1" t="str">
        <f t="shared" si="3"/>
        <v>Currently Unavailable</v>
      </c>
      <c r="I9481" s="1" t="str">
        <f t="shared" si="4"/>
        <v>No Badges</v>
      </c>
      <c r="J9481" s="3">
        <f t="shared" si="5"/>
        <v>0</v>
      </c>
    </row>
    <row r="9482">
      <c r="A9482" s="1" t="s">
        <v>7227</v>
      </c>
      <c r="B9482" s="3" t="str">
        <f t="shared" si="1"/>
        <v>Unavailable</v>
      </c>
      <c r="C9482" s="5">
        <v>4554.0</v>
      </c>
      <c r="D9482" s="3">
        <f>IFERROR(__xludf.DUMMYFUNCTION("IFERROR(
IF(REGEXMATCH(LOWER(O9482),""k""),
VALUE(REGEXEXTRACT(O9482,""[0-9]+""))*1000,
VALUE(REGEXEXTRACT(O9482,""[0-9]+""))
),
0
)"),0.0)</f>
        <v>0</v>
      </c>
      <c r="E9482" s="1" t="s">
        <v>11</v>
      </c>
      <c r="F9482" s="1" t="s">
        <v>20</v>
      </c>
      <c r="G9482" s="4" t="b">
        <f t="shared" si="2"/>
        <v>1</v>
      </c>
      <c r="H9482" s="1" t="str">
        <f t="shared" si="3"/>
        <v>Currently Unavailable</v>
      </c>
      <c r="I9482" s="1" t="str">
        <f t="shared" si="4"/>
        <v>No Badges</v>
      </c>
      <c r="J9482" s="3">
        <f t="shared" si="5"/>
        <v>0</v>
      </c>
    </row>
    <row r="9483">
      <c r="A9483" s="1" t="s">
        <v>7228</v>
      </c>
      <c r="B9483" s="3" t="str">
        <f t="shared" si="1"/>
        <v>Unavailable</v>
      </c>
      <c r="C9483" s="3">
        <v>662.0</v>
      </c>
      <c r="D9483" s="3">
        <f>IFERROR(__xludf.DUMMYFUNCTION("IFERROR(
IF(REGEXMATCH(LOWER(O9483),""k""),
VALUE(REGEXEXTRACT(O9483,""[0-9]+""))*1000,
VALUE(REGEXEXTRACT(O9483,""[0-9]+""))
),
0
)"),0.0)</f>
        <v>0</v>
      </c>
      <c r="E9483" s="1" t="s">
        <v>11</v>
      </c>
      <c r="F9483" s="1" t="s">
        <v>20</v>
      </c>
      <c r="G9483" s="4" t="b">
        <f t="shared" si="2"/>
        <v>1</v>
      </c>
      <c r="H9483" s="1" t="str">
        <f t="shared" si="3"/>
        <v>Currently Unavailable</v>
      </c>
      <c r="I9483" s="1" t="str">
        <f t="shared" si="4"/>
        <v>No Badges</v>
      </c>
      <c r="J9483" s="3">
        <f t="shared" si="5"/>
        <v>0</v>
      </c>
    </row>
    <row r="9484">
      <c r="A9484" s="1" t="s">
        <v>7229</v>
      </c>
      <c r="B9484" s="3" t="str">
        <f t="shared" si="1"/>
        <v>Unavailable</v>
      </c>
      <c r="C9484" s="3">
        <v>638.0</v>
      </c>
      <c r="D9484" s="3">
        <f>IFERROR(__xludf.DUMMYFUNCTION("IFERROR(
IF(REGEXMATCH(LOWER(O9484),""k""),
VALUE(REGEXEXTRACT(O9484,""[0-9]+""))*1000,
VALUE(REGEXEXTRACT(O9484,""[0-9]+""))
),
0
)"),0.0)</f>
        <v>0</v>
      </c>
      <c r="E9484" s="1" t="s">
        <v>11</v>
      </c>
      <c r="F9484" s="1" t="s">
        <v>20</v>
      </c>
      <c r="G9484" s="4" t="b">
        <f t="shared" si="2"/>
        <v>1</v>
      </c>
      <c r="H9484" s="1" t="str">
        <f t="shared" si="3"/>
        <v>Currently Unavailable</v>
      </c>
      <c r="I9484" s="1" t="str">
        <f t="shared" si="4"/>
        <v>No Badges</v>
      </c>
      <c r="J9484" s="3">
        <f t="shared" si="5"/>
        <v>0</v>
      </c>
    </row>
    <row r="9485">
      <c r="A9485" s="1" t="s">
        <v>7230</v>
      </c>
      <c r="B9485" s="3" t="str">
        <f t="shared" si="1"/>
        <v>Unavailable</v>
      </c>
      <c r="C9485" s="3">
        <v>566.0</v>
      </c>
      <c r="D9485" s="3">
        <f>IFERROR(__xludf.DUMMYFUNCTION("IFERROR(
IF(REGEXMATCH(LOWER(O9485),""k""),
VALUE(REGEXEXTRACT(O9485,""[0-9]+""))*1000,
VALUE(REGEXEXTRACT(O9485,""[0-9]+""))
),
0
)"),0.0)</f>
        <v>0</v>
      </c>
      <c r="E9485" s="1" t="s">
        <v>11</v>
      </c>
      <c r="F9485" s="1" t="s">
        <v>20</v>
      </c>
      <c r="G9485" s="4" t="b">
        <f t="shared" si="2"/>
        <v>1</v>
      </c>
      <c r="H9485" s="1" t="str">
        <f t="shared" si="3"/>
        <v>Currently Unavailable</v>
      </c>
      <c r="I9485" s="1" t="str">
        <f t="shared" si="4"/>
        <v>No Badges</v>
      </c>
      <c r="J9485" s="3">
        <f t="shared" si="5"/>
        <v>0</v>
      </c>
    </row>
    <row r="9486">
      <c r="A9486" s="1" t="s">
        <v>7013</v>
      </c>
      <c r="B9486" s="3" t="str">
        <f t="shared" si="1"/>
        <v>Unavailable</v>
      </c>
      <c r="C9486" s="5">
        <v>1515.0</v>
      </c>
      <c r="D9486" s="3">
        <f>IFERROR(__xludf.DUMMYFUNCTION("IFERROR(
IF(REGEXMATCH(LOWER(O9486),""k""),
VALUE(REGEXEXTRACT(O9486,""[0-9]+""))*1000,
VALUE(REGEXEXTRACT(O9486,""[0-9]+""))
),
0
)"),0.0)</f>
        <v>0</v>
      </c>
      <c r="E9486" s="1" t="s">
        <v>11</v>
      </c>
      <c r="F9486" s="1" t="s">
        <v>20</v>
      </c>
      <c r="G9486" s="4" t="b">
        <f t="shared" si="2"/>
        <v>1</v>
      </c>
      <c r="H9486" s="1" t="str">
        <f t="shared" si="3"/>
        <v>Currently Unavailable</v>
      </c>
      <c r="I9486" s="1" t="str">
        <f t="shared" si="4"/>
        <v>No Badges</v>
      </c>
      <c r="J9486" s="3">
        <f t="shared" si="5"/>
        <v>0</v>
      </c>
    </row>
    <row r="9487">
      <c r="A9487" s="1" t="s">
        <v>7231</v>
      </c>
      <c r="B9487" s="3" t="str">
        <f t="shared" si="1"/>
        <v>Unavailable</v>
      </c>
      <c r="C9487" s="5">
        <v>3165.0</v>
      </c>
      <c r="D9487" s="3">
        <f>IFERROR(__xludf.DUMMYFUNCTION("IFERROR(
IF(REGEXMATCH(LOWER(O9487),""k""),
VALUE(REGEXEXTRACT(O9487,""[0-9]+""))*1000,
VALUE(REGEXEXTRACT(O9487,""[0-9]+""))
),
0
)"),0.0)</f>
        <v>0</v>
      </c>
      <c r="E9487" s="1" t="s">
        <v>11</v>
      </c>
      <c r="F9487" s="1" t="s">
        <v>20</v>
      </c>
      <c r="G9487" s="4" t="b">
        <f t="shared" si="2"/>
        <v>1</v>
      </c>
      <c r="H9487" s="1" t="str">
        <f t="shared" si="3"/>
        <v>Currently Unavailable</v>
      </c>
      <c r="I9487" s="1" t="str">
        <f t="shared" si="4"/>
        <v>No Badges</v>
      </c>
      <c r="J9487" s="3">
        <f t="shared" si="5"/>
        <v>0</v>
      </c>
    </row>
    <row r="9488">
      <c r="A9488" s="1" t="s">
        <v>7232</v>
      </c>
      <c r="B9488" s="3" t="str">
        <f t="shared" si="1"/>
        <v>Unavailable</v>
      </c>
      <c r="C9488" s="3">
        <v>74.0</v>
      </c>
      <c r="D9488" s="3">
        <f>IFERROR(__xludf.DUMMYFUNCTION("IFERROR(
IF(REGEXMATCH(LOWER(O9488),""k""),
VALUE(REGEXEXTRACT(O9488,""[0-9]+""))*1000,
VALUE(REGEXEXTRACT(O9488,""[0-9]+""))
),
0
)"),0.0)</f>
        <v>0</v>
      </c>
      <c r="E9488" s="1" t="s">
        <v>11</v>
      </c>
      <c r="F9488" s="1" t="s">
        <v>20</v>
      </c>
      <c r="G9488" s="4" t="b">
        <f t="shared" si="2"/>
        <v>1</v>
      </c>
      <c r="H9488" s="1" t="str">
        <f t="shared" si="3"/>
        <v>Currently Unavailable</v>
      </c>
      <c r="I9488" s="1" t="str">
        <f t="shared" si="4"/>
        <v>No Badges</v>
      </c>
      <c r="J9488" s="3">
        <f t="shared" si="5"/>
        <v>0</v>
      </c>
    </row>
    <row r="9489">
      <c r="A9489" s="1" t="s">
        <v>7233</v>
      </c>
      <c r="B9489" s="3" t="str">
        <f t="shared" si="1"/>
        <v>Unavailable</v>
      </c>
      <c r="C9489" s="3">
        <v>724.0</v>
      </c>
      <c r="D9489" s="3">
        <f>IFERROR(__xludf.DUMMYFUNCTION("IFERROR(
IF(REGEXMATCH(LOWER(O9489),""k""),
VALUE(REGEXEXTRACT(O9489,""[0-9]+""))*1000,
VALUE(REGEXEXTRACT(O9489,""[0-9]+""))
),
0
)"),0.0)</f>
        <v>0</v>
      </c>
      <c r="E9489" s="1" t="s">
        <v>11</v>
      </c>
      <c r="F9489" s="1" t="s">
        <v>20</v>
      </c>
      <c r="G9489" s="4" t="b">
        <f t="shared" si="2"/>
        <v>1</v>
      </c>
      <c r="H9489" s="1" t="str">
        <f t="shared" si="3"/>
        <v>Currently Unavailable</v>
      </c>
      <c r="I9489" s="1" t="str">
        <f t="shared" si="4"/>
        <v>No Badges</v>
      </c>
      <c r="J9489" s="3">
        <f t="shared" si="5"/>
        <v>0</v>
      </c>
    </row>
    <row r="9490">
      <c r="A9490" s="1" t="s">
        <v>7234</v>
      </c>
      <c r="B9490" s="3" t="str">
        <f t="shared" si="1"/>
        <v>Unavailable</v>
      </c>
      <c r="C9490" s="5">
        <v>1188.0</v>
      </c>
      <c r="D9490" s="3">
        <f>IFERROR(__xludf.DUMMYFUNCTION("IFERROR(
IF(REGEXMATCH(LOWER(O9490),""k""),
VALUE(REGEXEXTRACT(O9490,""[0-9]+""))*1000,
VALUE(REGEXEXTRACT(O9490,""[0-9]+""))
),
0
)"),0.0)</f>
        <v>0</v>
      </c>
      <c r="E9490" s="1" t="s">
        <v>11</v>
      </c>
      <c r="F9490" s="1" t="s">
        <v>20</v>
      </c>
      <c r="G9490" s="4" t="b">
        <f t="shared" si="2"/>
        <v>1</v>
      </c>
      <c r="H9490" s="1" t="str">
        <f t="shared" si="3"/>
        <v>Currently Unavailable</v>
      </c>
      <c r="I9490" s="1" t="str">
        <f t="shared" si="4"/>
        <v>No Badges</v>
      </c>
      <c r="J9490" s="3">
        <f t="shared" si="5"/>
        <v>0</v>
      </c>
    </row>
    <row r="9491">
      <c r="A9491" s="1" t="s">
        <v>7235</v>
      </c>
      <c r="B9491" s="3" t="str">
        <f t="shared" si="1"/>
        <v>Unavailable</v>
      </c>
      <c r="C9491" s="3">
        <v>668.0</v>
      </c>
      <c r="D9491" s="3">
        <f>IFERROR(__xludf.DUMMYFUNCTION("IFERROR(
IF(REGEXMATCH(LOWER(O9491),""k""),
VALUE(REGEXEXTRACT(O9491,""[0-9]+""))*1000,
VALUE(REGEXEXTRACT(O9491,""[0-9]+""))
),
0
)"),0.0)</f>
        <v>0</v>
      </c>
      <c r="E9491" s="1" t="s">
        <v>11</v>
      </c>
      <c r="F9491" s="1" t="s">
        <v>20</v>
      </c>
      <c r="G9491" s="4" t="b">
        <f t="shared" si="2"/>
        <v>1</v>
      </c>
      <c r="H9491" s="1" t="str">
        <f t="shared" si="3"/>
        <v>Currently Unavailable</v>
      </c>
      <c r="I9491" s="1" t="str">
        <f t="shared" si="4"/>
        <v>No Badges</v>
      </c>
      <c r="J9491" s="3">
        <f t="shared" si="5"/>
        <v>0</v>
      </c>
    </row>
    <row r="9492">
      <c r="A9492" s="1" t="s">
        <v>7236</v>
      </c>
      <c r="B9492" s="3" t="str">
        <f t="shared" si="1"/>
        <v>Unavailable</v>
      </c>
      <c r="C9492" s="5">
        <v>1383.0</v>
      </c>
      <c r="D9492" s="3">
        <f>IFERROR(__xludf.DUMMYFUNCTION("IFERROR(
IF(REGEXMATCH(LOWER(O9492),""k""),
VALUE(REGEXEXTRACT(O9492,""[0-9]+""))*1000,
VALUE(REGEXEXTRACT(O9492,""[0-9]+""))
),
0
)"),0.0)</f>
        <v>0</v>
      </c>
      <c r="E9492" s="1" t="s">
        <v>11</v>
      </c>
      <c r="F9492" s="1" t="s">
        <v>20</v>
      </c>
      <c r="G9492" s="4" t="b">
        <f t="shared" si="2"/>
        <v>1</v>
      </c>
      <c r="H9492" s="1" t="str">
        <f t="shared" si="3"/>
        <v>Currently Unavailable</v>
      </c>
      <c r="I9492" s="1" t="str">
        <f t="shared" si="4"/>
        <v>No Badges</v>
      </c>
      <c r="J9492" s="3">
        <f t="shared" si="5"/>
        <v>0</v>
      </c>
    </row>
    <row r="9493">
      <c r="A9493" s="1" t="s">
        <v>7237</v>
      </c>
      <c r="B9493" s="3" t="str">
        <f t="shared" si="1"/>
        <v>Unavailable</v>
      </c>
      <c r="C9493" s="3">
        <v>31.0</v>
      </c>
      <c r="D9493" s="3">
        <f>IFERROR(__xludf.DUMMYFUNCTION("IFERROR(
IF(REGEXMATCH(LOWER(O9493),""k""),
VALUE(REGEXEXTRACT(O9493,""[0-9]+""))*1000,
VALUE(REGEXEXTRACT(O9493,""[0-9]+""))
),
0
)"),0.0)</f>
        <v>0</v>
      </c>
      <c r="E9493" s="1" t="s">
        <v>11</v>
      </c>
      <c r="F9493" s="1" t="s">
        <v>20</v>
      </c>
      <c r="G9493" s="4" t="b">
        <f t="shared" si="2"/>
        <v>1</v>
      </c>
      <c r="H9493" s="1" t="str">
        <f t="shared" si="3"/>
        <v>Currently Unavailable</v>
      </c>
      <c r="I9493" s="1" t="str">
        <f t="shared" si="4"/>
        <v>No Badges</v>
      </c>
      <c r="J9493" s="3">
        <f t="shared" si="5"/>
        <v>0</v>
      </c>
    </row>
    <row r="9494">
      <c r="A9494" s="1" t="s">
        <v>7238</v>
      </c>
      <c r="B9494" s="3" t="str">
        <f t="shared" si="1"/>
        <v>Unavailable</v>
      </c>
      <c r="C9494" s="3">
        <v>903.0</v>
      </c>
      <c r="D9494" s="3">
        <f>IFERROR(__xludf.DUMMYFUNCTION("IFERROR(
IF(REGEXMATCH(LOWER(O9494),""k""),
VALUE(REGEXEXTRACT(O9494,""[0-9]+""))*1000,
VALUE(REGEXEXTRACT(O9494,""[0-9]+""))
),
0
)"),0.0)</f>
        <v>0</v>
      </c>
      <c r="E9494" s="1" t="s">
        <v>11</v>
      </c>
      <c r="F9494" s="1" t="s">
        <v>20</v>
      </c>
      <c r="G9494" s="4" t="b">
        <f t="shared" si="2"/>
        <v>1</v>
      </c>
      <c r="H9494" s="1" t="str">
        <f t="shared" si="3"/>
        <v>Currently Unavailable</v>
      </c>
      <c r="I9494" s="1" t="str">
        <f t="shared" si="4"/>
        <v>No Badges</v>
      </c>
      <c r="J9494" s="3">
        <f t="shared" si="5"/>
        <v>0</v>
      </c>
    </row>
    <row r="9495">
      <c r="A9495" s="1" t="s">
        <v>7239</v>
      </c>
      <c r="B9495" s="3" t="str">
        <f t="shared" si="1"/>
        <v>Unavailable</v>
      </c>
      <c r="C9495" s="5">
        <v>3674.0</v>
      </c>
      <c r="D9495" s="3">
        <f>IFERROR(__xludf.DUMMYFUNCTION("IFERROR(
IF(REGEXMATCH(LOWER(O9495),""k""),
VALUE(REGEXEXTRACT(O9495,""[0-9]+""))*1000,
VALUE(REGEXEXTRACT(O9495,""[0-9]+""))
),
0
)"),0.0)</f>
        <v>0</v>
      </c>
      <c r="E9495" s="1" t="s">
        <v>11</v>
      </c>
      <c r="F9495" s="1" t="s">
        <v>20</v>
      </c>
      <c r="G9495" s="4" t="b">
        <f t="shared" si="2"/>
        <v>1</v>
      </c>
      <c r="H9495" s="1" t="str">
        <f t="shared" si="3"/>
        <v>Currently Unavailable</v>
      </c>
      <c r="I9495" s="1" t="str">
        <f t="shared" si="4"/>
        <v>No Badges</v>
      </c>
      <c r="J9495" s="3">
        <f t="shared" si="5"/>
        <v>0</v>
      </c>
    </row>
    <row r="9496">
      <c r="A9496" s="1" t="s">
        <v>7240</v>
      </c>
      <c r="B9496" s="3" t="str">
        <f t="shared" si="1"/>
        <v>Unavailable</v>
      </c>
      <c r="C9496" s="3">
        <v>917.0</v>
      </c>
      <c r="D9496" s="3">
        <f>IFERROR(__xludf.DUMMYFUNCTION("IFERROR(
IF(REGEXMATCH(LOWER(O9496),""k""),
VALUE(REGEXEXTRACT(O9496,""[0-9]+""))*1000,
VALUE(REGEXEXTRACT(O9496,""[0-9]+""))
),
0
)"),0.0)</f>
        <v>0</v>
      </c>
      <c r="E9496" s="1" t="s">
        <v>11</v>
      </c>
      <c r="F9496" s="1" t="s">
        <v>20</v>
      </c>
      <c r="G9496" s="4" t="b">
        <f t="shared" si="2"/>
        <v>1</v>
      </c>
      <c r="H9496" s="1" t="str">
        <f t="shared" si="3"/>
        <v>Currently Unavailable</v>
      </c>
      <c r="I9496" s="1" t="str">
        <f t="shared" si="4"/>
        <v>No Badges</v>
      </c>
      <c r="J9496" s="3">
        <f t="shared" si="5"/>
        <v>0</v>
      </c>
    </row>
    <row r="9497">
      <c r="A9497" s="1" t="s">
        <v>7241</v>
      </c>
      <c r="B9497" s="3" t="str">
        <f t="shared" si="1"/>
        <v>Unavailable</v>
      </c>
      <c r="C9497" s="3">
        <v>234.0</v>
      </c>
      <c r="D9497" s="3">
        <f>IFERROR(__xludf.DUMMYFUNCTION("IFERROR(
IF(REGEXMATCH(LOWER(O9497),""k""),
VALUE(REGEXEXTRACT(O9497,""[0-9]+""))*1000,
VALUE(REGEXEXTRACT(O9497,""[0-9]+""))
),
0
)"),0.0)</f>
        <v>0</v>
      </c>
      <c r="E9497" s="1" t="s">
        <v>11</v>
      </c>
      <c r="F9497" s="1" t="s">
        <v>20</v>
      </c>
      <c r="G9497" s="4" t="b">
        <f t="shared" si="2"/>
        <v>1</v>
      </c>
      <c r="H9497" s="1" t="str">
        <f t="shared" si="3"/>
        <v>Currently Unavailable</v>
      </c>
      <c r="I9497" s="1" t="str">
        <f t="shared" si="4"/>
        <v>No Badges</v>
      </c>
      <c r="J9497" s="3">
        <f t="shared" si="5"/>
        <v>0</v>
      </c>
    </row>
    <row r="9498">
      <c r="A9498" s="1" t="s">
        <v>6650</v>
      </c>
      <c r="B9498" s="3" t="str">
        <f t="shared" si="1"/>
        <v>Unavailable</v>
      </c>
      <c r="C9498" s="3">
        <v>3.0</v>
      </c>
      <c r="D9498" s="3">
        <f>IFERROR(__xludf.DUMMYFUNCTION("IFERROR(
IF(REGEXMATCH(LOWER(O9498),""k""),
VALUE(REGEXEXTRACT(O9498,""[0-9]+""))*1000,
VALUE(REGEXEXTRACT(O9498,""[0-9]+""))
),
0
)"),0.0)</f>
        <v>0</v>
      </c>
      <c r="E9498" s="1" t="s">
        <v>11</v>
      </c>
      <c r="F9498" s="1" t="s">
        <v>12</v>
      </c>
      <c r="G9498" s="4" t="b">
        <f t="shared" si="2"/>
        <v>1</v>
      </c>
      <c r="H9498" s="1" t="str">
        <f t="shared" si="3"/>
        <v>Currently Unavailable</v>
      </c>
      <c r="I9498" s="1" t="str">
        <f t="shared" si="4"/>
        <v>No Badges</v>
      </c>
      <c r="J9498" s="3">
        <f t="shared" si="5"/>
        <v>0</v>
      </c>
    </row>
    <row r="9499">
      <c r="A9499" s="1" t="s">
        <v>88</v>
      </c>
      <c r="B9499" s="3" t="str">
        <f t="shared" si="1"/>
        <v>Unavailable</v>
      </c>
      <c r="C9499" s="3">
        <v>6.0</v>
      </c>
      <c r="D9499" s="3">
        <f>IFERROR(__xludf.DUMMYFUNCTION("IFERROR(
IF(REGEXMATCH(LOWER(O9499),""k""),
VALUE(REGEXEXTRACT(O9499,""[0-9]+""))*1000,
VALUE(REGEXEXTRACT(O9499,""[0-9]+""))
),
0
)"),0.0)</f>
        <v>0</v>
      </c>
      <c r="E9499" s="1" t="s">
        <v>11</v>
      </c>
      <c r="F9499" s="1" t="s">
        <v>12</v>
      </c>
      <c r="G9499" s="4" t="b">
        <f t="shared" si="2"/>
        <v>1</v>
      </c>
      <c r="H9499" s="1" t="str">
        <f t="shared" si="3"/>
        <v>Currently Unavailable</v>
      </c>
      <c r="I9499" s="1" t="str">
        <f t="shared" si="4"/>
        <v>No Badges</v>
      </c>
      <c r="J9499" s="3">
        <f t="shared" si="5"/>
        <v>0</v>
      </c>
    </row>
    <row r="9500">
      <c r="A9500" s="1" t="s">
        <v>7242</v>
      </c>
      <c r="B9500" s="3" t="str">
        <f t="shared" si="1"/>
        <v>Unavailable</v>
      </c>
      <c r="C9500" s="5">
        <v>5119.0</v>
      </c>
      <c r="D9500" s="3">
        <f>IFERROR(__xludf.DUMMYFUNCTION("IFERROR(
IF(REGEXMATCH(LOWER(O9500),""k""),
VALUE(REGEXEXTRACT(O9500,""[0-9]+""))*1000,
VALUE(REGEXEXTRACT(O9500,""[0-9]+""))
),
0
)"),0.0)</f>
        <v>0</v>
      </c>
      <c r="E9500" s="1" t="s">
        <v>11</v>
      </c>
      <c r="F9500" s="1" t="s">
        <v>20</v>
      </c>
      <c r="G9500" s="4" t="b">
        <f t="shared" si="2"/>
        <v>1</v>
      </c>
      <c r="H9500" s="1" t="str">
        <f t="shared" si="3"/>
        <v>Currently Unavailable</v>
      </c>
      <c r="I9500" s="1" t="str">
        <f t="shared" si="4"/>
        <v>No Badges</v>
      </c>
      <c r="J9500" s="3">
        <f t="shared" si="5"/>
        <v>0</v>
      </c>
    </row>
    <row r="9501">
      <c r="A9501" s="1" t="s">
        <v>7240</v>
      </c>
      <c r="B9501" s="3" t="str">
        <f t="shared" si="1"/>
        <v>Unavailable</v>
      </c>
      <c r="C9501" s="3">
        <v>917.0</v>
      </c>
      <c r="D9501" s="3">
        <f>IFERROR(__xludf.DUMMYFUNCTION("IFERROR(
IF(REGEXMATCH(LOWER(O9501),""k""),
VALUE(REGEXEXTRACT(O9501,""[0-9]+""))*1000,
VALUE(REGEXEXTRACT(O9501,""[0-9]+""))
),
0
)"),0.0)</f>
        <v>0</v>
      </c>
      <c r="E9501" s="1" t="s">
        <v>11</v>
      </c>
      <c r="F9501" s="1" t="s">
        <v>20</v>
      </c>
      <c r="G9501" s="4" t="b">
        <f t="shared" si="2"/>
        <v>1</v>
      </c>
      <c r="H9501" s="1" t="str">
        <f t="shared" si="3"/>
        <v>Currently Unavailable</v>
      </c>
      <c r="I9501" s="1" t="str">
        <f t="shared" si="4"/>
        <v>No Badges</v>
      </c>
      <c r="J9501" s="3">
        <f t="shared" si="5"/>
        <v>0</v>
      </c>
    </row>
    <row r="9502">
      <c r="A9502" s="1" t="s">
        <v>7243</v>
      </c>
      <c r="B9502" s="3" t="str">
        <f t="shared" si="1"/>
        <v>Unavailable</v>
      </c>
      <c r="C9502" s="5">
        <v>67965.0</v>
      </c>
      <c r="D9502" s="3">
        <f>IFERROR(__xludf.DUMMYFUNCTION("IFERROR(
IF(REGEXMATCH(LOWER(O9502),""k""),
VALUE(REGEXEXTRACT(O9502,""[0-9]+""))*1000,
VALUE(REGEXEXTRACT(O9502,""[0-9]+""))
),
0
)"),0.0)</f>
        <v>0</v>
      </c>
      <c r="E9502" s="1" t="s">
        <v>11</v>
      </c>
      <c r="F9502" s="1" t="s">
        <v>20</v>
      </c>
      <c r="G9502" s="4" t="b">
        <f t="shared" si="2"/>
        <v>1</v>
      </c>
      <c r="H9502" s="1" t="str">
        <f t="shared" si="3"/>
        <v>Currently Unavailable</v>
      </c>
      <c r="I9502" s="1" t="str">
        <f t="shared" si="4"/>
        <v>No Badges</v>
      </c>
      <c r="J9502" s="3">
        <f t="shared" si="5"/>
        <v>0</v>
      </c>
    </row>
    <row r="9503">
      <c r="A9503" s="1" t="s">
        <v>7244</v>
      </c>
      <c r="B9503" s="3" t="str">
        <f t="shared" si="1"/>
        <v>Unavailable</v>
      </c>
      <c r="C9503" s="5">
        <v>17495.0</v>
      </c>
      <c r="D9503" s="3">
        <f>IFERROR(__xludf.DUMMYFUNCTION("IFERROR(
IF(REGEXMATCH(LOWER(O9503),""k""),
VALUE(REGEXEXTRACT(O9503,""[0-9]+""))*1000,
VALUE(REGEXEXTRACT(O9503,""[0-9]+""))
),
0
)"),0.0)</f>
        <v>0</v>
      </c>
      <c r="E9503" s="1" t="s">
        <v>11</v>
      </c>
      <c r="F9503" s="1" t="s">
        <v>20</v>
      </c>
      <c r="G9503" s="4" t="b">
        <f t="shared" si="2"/>
        <v>1</v>
      </c>
      <c r="H9503" s="1" t="str">
        <f t="shared" si="3"/>
        <v>Currently Unavailable</v>
      </c>
      <c r="I9503" s="1" t="str">
        <f t="shared" si="4"/>
        <v>No Badges</v>
      </c>
      <c r="J9503" s="3">
        <f t="shared" si="5"/>
        <v>0</v>
      </c>
    </row>
    <row r="9504">
      <c r="A9504" s="1" t="s">
        <v>7245</v>
      </c>
      <c r="B9504" s="3" t="str">
        <f t="shared" si="1"/>
        <v>Unavailable</v>
      </c>
      <c r="C9504" s="5">
        <v>231583.0</v>
      </c>
      <c r="D9504" s="3">
        <f>IFERROR(__xludf.DUMMYFUNCTION("IFERROR(
IF(REGEXMATCH(LOWER(O9504),""k""),
VALUE(REGEXEXTRACT(O9504,""[0-9]+""))*1000,
VALUE(REGEXEXTRACT(O9504,""[0-9]+""))
),
0
)"),0.0)</f>
        <v>0</v>
      </c>
      <c r="E9504" s="1" t="s">
        <v>158</v>
      </c>
      <c r="F9504" s="1" t="s">
        <v>20</v>
      </c>
      <c r="G9504" s="4" t="b">
        <f t="shared" si="2"/>
        <v>1</v>
      </c>
      <c r="H9504" s="1" t="str">
        <f t="shared" si="3"/>
        <v>Currently Unavailable</v>
      </c>
      <c r="I9504" s="1" t="str">
        <f t="shared" si="4"/>
        <v>No Badges</v>
      </c>
      <c r="J9504" s="3">
        <f t="shared" si="5"/>
        <v>0</v>
      </c>
    </row>
    <row r="9505">
      <c r="A9505" s="1" t="s">
        <v>7246</v>
      </c>
      <c r="B9505" s="3" t="str">
        <f t="shared" si="1"/>
        <v>Unavailable</v>
      </c>
      <c r="C9505" s="5">
        <v>2457.0</v>
      </c>
      <c r="D9505" s="3">
        <f>IFERROR(__xludf.DUMMYFUNCTION("IFERROR(
IF(REGEXMATCH(LOWER(O9505),""k""),
VALUE(REGEXEXTRACT(O9505,""[0-9]+""))*1000,
VALUE(REGEXEXTRACT(O9505,""[0-9]+""))
),
0
)"),0.0)</f>
        <v>0</v>
      </c>
      <c r="E9505" s="1" t="s">
        <v>11</v>
      </c>
      <c r="F9505" s="1" t="s">
        <v>12</v>
      </c>
      <c r="G9505" s="4" t="b">
        <f t="shared" si="2"/>
        <v>1</v>
      </c>
      <c r="H9505" s="1" t="str">
        <f t="shared" si="3"/>
        <v>Currently Unavailable</v>
      </c>
      <c r="I9505" s="1" t="str">
        <f t="shared" si="4"/>
        <v>No Badges</v>
      </c>
      <c r="J9505" s="3">
        <f t="shared" si="5"/>
        <v>0</v>
      </c>
    </row>
    <row r="9506">
      <c r="A9506" s="1" t="s">
        <v>7247</v>
      </c>
      <c r="B9506" s="3" t="str">
        <f t="shared" si="1"/>
        <v>Unavailable</v>
      </c>
      <c r="C9506" s="5">
        <v>1553.0</v>
      </c>
      <c r="D9506" s="3">
        <f>IFERROR(__xludf.DUMMYFUNCTION("IFERROR(
IF(REGEXMATCH(LOWER(O9506),""k""),
VALUE(REGEXEXTRACT(O9506,""[0-9]+""))*1000,
VALUE(REGEXEXTRACT(O9506,""[0-9]+""))
),
0
)"),0.0)</f>
        <v>0</v>
      </c>
      <c r="E9506" s="1" t="s">
        <v>11</v>
      </c>
      <c r="F9506" s="1" t="s">
        <v>20</v>
      </c>
      <c r="G9506" s="4" t="b">
        <f t="shared" si="2"/>
        <v>1</v>
      </c>
      <c r="H9506" s="1" t="str">
        <f t="shared" si="3"/>
        <v>Currently Unavailable</v>
      </c>
      <c r="I9506" s="1" t="str">
        <f t="shared" si="4"/>
        <v>No Badges</v>
      </c>
      <c r="J9506" s="3">
        <f t="shared" si="5"/>
        <v>0</v>
      </c>
    </row>
    <row r="9507">
      <c r="A9507" s="1" t="s">
        <v>7248</v>
      </c>
      <c r="B9507" s="3" t="str">
        <f t="shared" si="1"/>
        <v>Unavailable</v>
      </c>
      <c r="C9507" s="5">
        <v>2039.0</v>
      </c>
      <c r="D9507" s="3">
        <f>IFERROR(__xludf.DUMMYFUNCTION("IFERROR(
IF(REGEXMATCH(LOWER(O9507),""k""),
VALUE(REGEXEXTRACT(O9507,""[0-9]+""))*1000,
VALUE(REGEXEXTRACT(O9507,""[0-9]+""))
),
0
)"),0.0)</f>
        <v>0</v>
      </c>
      <c r="E9507" s="1" t="s">
        <v>11</v>
      </c>
      <c r="F9507" s="1" t="s">
        <v>20</v>
      </c>
      <c r="G9507" s="4" t="b">
        <f t="shared" si="2"/>
        <v>1</v>
      </c>
      <c r="H9507" s="1" t="str">
        <f t="shared" si="3"/>
        <v>Currently Unavailable</v>
      </c>
      <c r="I9507" s="1" t="str">
        <f t="shared" si="4"/>
        <v>No Badges</v>
      </c>
      <c r="J9507" s="3">
        <f t="shared" si="5"/>
        <v>0</v>
      </c>
    </row>
    <row r="9508">
      <c r="A9508" s="1" t="s">
        <v>6791</v>
      </c>
      <c r="B9508" s="3" t="str">
        <f t="shared" si="1"/>
        <v>Unavailable</v>
      </c>
      <c r="C9508" s="5">
        <v>1419.0</v>
      </c>
      <c r="D9508" s="3">
        <f>IFERROR(__xludf.DUMMYFUNCTION("IFERROR(
IF(REGEXMATCH(LOWER(O9508),""k""),
VALUE(REGEXEXTRACT(O9508,""[0-9]+""))*1000,
VALUE(REGEXEXTRACT(O9508,""[0-9]+""))
),
0
)"),0.0)</f>
        <v>0</v>
      </c>
      <c r="E9508" s="1" t="s">
        <v>11</v>
      </c>
      <c r="F9508" s="1" t="s">
        <v>20</v>
      </c>
      <c r="G9508" s="4" t="b">
        <f t="shared" si="2"/>
        <v>1</v>
      </c>
      <c r="H9508" s="1" t="str">
        <f t="shared" si="3"/>
        <v>Currently Unavailable</v>
      </c>
      <c r="I9508" s="1" t="str">
        <f t="shared" si="4"/>
        <v>No Badges</v>
      </c>
      <c r="J9508" s="3">
        <f t="shared" si="5"/>
        <v>0</v>
      </c>
    </row>
    <row r="9509">
      <c r="A9509" s="1" t="s">
        <v>6792</v>
      </c>
      <c r="B9509" s="3" t="str">
        <f t="shared" si="1"/>
        <v>Unavailable</v>
      </c>
      <c r="C9509" s="3">
        <v>3.0</v>
      </c>
      <c r="D9509" s="3">
        <f>IFERROR(__xludf.DUMMYFUNCTION("IFERROR(
IF(REGEXMATCH(LOWER(O9509),""k""),
VALUE(REGEXEXTRACT(O9509,""[0-9]+""))*1000,
VALUE(REGEXEXTRACT(O9509,""[0-9]+""))
),
0
)"),0.0)</f>
        <v>0</v>
      </c>
      <c r="E9509" s="1" t="s">
        <v>11</v>
      </c>
      <c r="F9509" s="1" t="s">
        <v>20</v>
      </c>
      <c r="G9509" s="4" t="b">
        <f t="shared" si="2"/>
        <v>1</v>
      </c>
      <c r="H9509" s="1" t="str">
        <f t="shared" si="3"/>
        <v>Currently Unavailable</v>
      </c>
      <c r="I9509" s="1" t="str">
        <f t="shared" si="4"/>
        <v>No Badges</v>
      </c>
      <c r="J9509" s="3">
        <f t="shared" si="5"/>
        <v>0</v>
      </c>
    </row>
    <row r="9510">
      <c r="A9510" s="1" t="s">
        <v>7249</v>
      </c>
      <c r="B9510" s="3" t="str">
        <f t="shared" si="1"/>
        <v>Unavailable</v>
      </c>
      <c r="C9510" s="5">
        <v>14563.0</v>
      </c>
      <c r="D9510" s="3">
        <f>IFERROR(__xludf.DUMMYFUNCTION("IFERROR(
IF(REGEXMATCH(LOWER(O9510),""k""),
VALUE(REGEXEXTRACT(O9510,""[0-9]+""))*1000,
VALUE(REGEXEXTRACT(O9510,""[0-9]+""))
),
0
)"),0.0)</f>
        <v>0</v>
      </c>
      <c r="E9510" s="1" t="s">
        <v>11</v>
      </c>
      <c r="F9510" s="1" t="s">
        <v>20</v>
      </c>
      <c r="G9510" s="4" t="b">
        <f t="shared" si="2"/>
        <v>1</v>
      </c>
      <c r="H9510" s="1" t="str">
        <f t="shared" si="3"/>
        <v>Currently Unavailable</v>
      </c>
      <c r="I9510" s="1" t="str">
        <f t="shared" si="4"/>
        <v>No Badges</v>
      </c>
      <c r="J9510" s="3">
        <f t="shared" si="5"/>
        <v>0</v>
      </c>
    </row>
    <row r="9511">
      <c r="A9511" s="1" t="s">
        <v>7250</v>
      </c>
      <c r="B9511" s="3" t="str">
        <f t="shared" si="1"/>
        <v>Unavailable</v>
      </c>
      <c r="C9511" s="5">
        <v>2411.0</v>
      </c>
      <c r="D9511" s="3">
        <f>IFERROR(__xludf.DUMMYFUNCTION("IFERROR(
IF(REGEXMATCH(LOWER(O9511),""k""),
VALUE(REGEXEXTRACT(O9511,""[0-9]+""))*1000,
VALUE(REGEXEXTRACT(O9511,""[0-9]+""))
),
0
)"),0.0)</f>
        <v>0</v>
      </c>
      <c r="E9511" s="1" t="s">
        <v>11</v>
      </c>
      <c r="F9511" s="1" t="s">
        <v>20</v>
      </c>
      <c r="G9511" s="4" t="b">
        <f t="shared" si="2"/>
        <v>1</v>
      </c>
      <c r="H9511" s="1" t="str">
        <f t="shared" si="3"/>
        <v>Currently Unavailable</v>
      </c>
      <c r="I9511" s="1" t="str">
        <f t="shared" si="4"/>
        <v>No Badges</v>
      </c>
      <c r="J9511" s="3">
        <f t="shared" si="5"/>
        <v>0</v>
      </c>
    </row>
    <row r="9512">
      <c r="A9512" s="1" t="s">
        <v>701</v>
      </c>
      <c r="B9512" s="3" t="str">
        <f t="shared" si="1"/>
        <v>Unavailable</v>
      </c>
      <c r="C9512" s="3">
        <v>8.0</v>
      </c>
      <c r="D9512" s="3">
        <f>IFERROR(__xludf.DUMMYFUNCTION("IFERROR(
IF(REGEXMATCH(LOWER(O9512),""k""),
VALUE(REGEXEXTRACT(O9512,""[0-9]+""))*1000,
VALUE(REGEXEXTRACT(O9512,""[0-9]+""))
),
0
)"),0.0)</f>
        <v>0</v>
      </c>
      <c r="E9512" s="1" t="s">
        <v>11</v>
      </c>
      <c r="F9512" s="1" t="s">
        <v>12</v>
      </c>
      <c r="G9512" s="4" t="b">
        <f t="shared" si="2"/>
        <v>1</v>
      </c>
      <c r="H9512" s="1" t="str">
        <f t="shared" si="3"/>
        <v>Currently Unavailable</v>
      </c>
      <c r="I9512" s="1" t="str">
        <f t="shared" si="4"/>
        <v>No Badges</v>
      </c>
      <c r="J9512" s="3">
        <f t="shared" si="5"/>
        <v>0</v>
      </c>
    </row>
    <row r="9513">
      <c r="A9513" s="1" t="s">
        <v>6661</v>
      </c>
      <c r="B9513" s="3" t="str">
        <f t="shared" si="1"/>
        <v>Unavailable</v>
      </c>
      <c r="C9513" s="3">
        <v>24.0</v>
      </c>
      <c r="D9513" s="3">
        <f>IFERROR(__xludf.DUMMYFUNCTION("IFERROR(
IF(REGEXMATCH(LOWER(O9513),""k""),
VALUE(REGEXEXTRACT(O9513,""[0-9]+""))*1000,
VALUE(REGEXEXTRACT(O9513,""[0-9]+""))
),
0
)"),0.0)</f>
        <v>0</v>
      </c>
      <c r="E9513" s="1" t="s">
        <v>11</v>
      </c>
      <c r="F9513" s="1" t="s">
        <v>12</v>
      </c>
      <c r="G9513" s="4" t="b">
        <f t="shared" si="2"/>
        <v>1</v>
      </c>
      <c r="H9513" s="1" t="str">
        <f t="shared" si="3"/>
        <v>Currently Unavailable</v>
      </c>
      <c r="I9513" s="1" t="str">
        <f t="shared" si="4"/>
        <v>No Badges</v>
      </c>
      <c r="J9513" s="3">
        <f t="shared" si="5"/>
        <v>0</v>
      </c>
    </row>
    <row r="9514">
      <c r="A9514" s="1" t="s">
        <v>6662</v>
      </c>
      <c r="B9514" s="3" t="str">
        <f t="shared" si="1"/>
        <v>Unavailable</v>
      </c>
      <c r="C9514" s="5">
        <v>1886.0</v>
      </c>
      <c r="D9514" s="3">
        <f>IFERROR(__xludf.DUMMYFUNCTION("IFERROR(
IF(REGEXMATCH(LOWER(O9514),""k""),
VALUE(REGEXEXTRACT(O9514,""[0-9]+""))*1000,
VALUE(REGEXEXTRACT(O9514,""[0-9]+""))
),
0
)"),0.0)</f>
        <v>0</v>
      </c>
      <c r="E9514" s="1" t="s">
        <v>11</v>
      </c>
      <c r="F9514" s="1" t="s">
        <v>12</v>
      </c>
      <c r="G9514" s="4" t="b">
        <f t="shared" si="2"/>
        <v>1</v>
      </c>
      <c r="H9514" s="1" t="str">
        <f t="shared" si="3"/>
        <v>Currently Unavailable</v>
      </c>
      <c r="I9514" s="1" t="str">
        <f t="shared" si="4"/>
        <v>No Badges</v>
      </c>
      <c r="J9514" s="3">
        <f t="shared" si="5"/>
        <v>0</v>
      </c>
    </row>
    <row r="9515">
      <c r="A9515" s="1" t="s">
        <v>7251</v>
      </c>
      <c r="B9515" s="3" t="str">
        <f t="shared" si="1"/>
        <v>Unavailable</v>
      </c>
      <c r="C9515" s="5">
        <v>8952.0</v>
      </c>
      <c r="D9515" s="3">
        <f>IFERROR(__xludf.DUMMYFUNCTION("IFERROR(
IF(REGEXMATCH(LOWER(O9515),""k""),
VALUE(REGEXEXTRACT(O9515,""[0-9]+""))*1000,
VALUE(REGEXEXTRACT(O9515,""[0-9]+""))
),
0
)"),0.0)</f>
        <v>0</v>
      </c>
      <c r="E9515" s="1" t="s">
        <v>11</v>
      </c>
      <c r="F9515" s="1" t="s">
        <v>20</v>
      </c>
      <c r="G9515" s="4" t="b">
        <f t="shared" si="2"/>
        <v>1</v>
      </c>
      <c r="H9515" s="1" t="str">
        <f t="shared" si="3"/>
        <v>Currently Unavailable</v>
      </c>
      <c r="I9515" s="1" t="str">
        <f t="shared" si="4"/>
        <v>No Badges</v>
      </c>
      <c r="J9515" s="3">
        <f t="shared" si="5"/>
        <v>0</v>
      </c>
    </row>
    <row r="9516">
      <c r="A9516" s="1" t="s">
        <v>7252</v>
      </c>
      <c r="B9516" s="3" t="str">
        <f t="shared" si="1"/>
        <v>Unavailable</v>
      </c>
      <c r="C9516" s="5">
        <v>15877.0</v>
      </c>
      <c r="D9516" s="3">
        <f>IFERROR(__xludf.DUMMYFUNCTION("IFERROR(
IF(REGEXMATCH(LOWER(O9516),""k""),
VALUE(REGEXEXTRACT(O9516,""[0-9]+""))*1000,
VALUE(REGEXEXTRACT(O9516,""[0-9]+""))
),
0
)"),0.0)</f>
        <v>0</v>
      </c>
      <c r="E9516" s="1" t="s">
        <v>11</v>
      </c>
      <c r="F9516" s="1" t="s">
        <v>20</v>
      </c>
      <c r="G9516" s="4" t="b">
        <f t="shared" si="2"/>
        <v>1</v>
      </c>
      <c r="H9516" s="1" t="str">
        <f t="shared" si="3"/>
        <v>Currently Unavailable</v>
      </c>
      <c r="I9516" s="1" t="str">
        <f t="shared" si="4"/>
        <v>No Badges</v>
      </c>
      <c r="J9516" s="3">
        <f t="shared" si="5"/>
        <v>0</v>
      </c>
    </row>
    <row r="9517">
      <c r="A9517" s="1" t="s">
        <v>7253</v>
      </c>
      <c r="B9517" s="3" t="str">
        <f t="shared" si="1"/>
        <v>Unavailable</v>
      </c>
      <c r="C9517" s="5">
        <v>6705.0</v>
      </c>
      <c r="D9517" s="3">
        <f>IFERROR(__xludf.DUMMYFUNCTION("IFERROR(
IF(REGEXMATCH(LOWER(O9517),""k""),
VALUE(REGEXEXTRACT(O9517,""[0-9]+""))*1000,
VALUE(REGEXEXTRACT(O9517,""[0-9]+""))
),
0
)"),0.0)</f>
        <v>0</v>
      </c>
      <c r="E9517" s="1" t="s">
        <v>11</v>
      </c>
      <c r="F9517" s="1" t="s">
        <v>20</v>
      </c>
      <c r="G9517" s="4" t="b">
        <f t="shared" si="2"/>
        <v>1</v>
      </c>
      <c r="H9517" s="1" t="str">
        <f t="shared" si="3"/>
        <v>Currently Unavailable</v>
      </c>
      <c r="I9517" s="1" t="str">
        <f t="shared" si="4"/>
        <v>No Badges</v>
      </c>
      <c r="J9517" s="3">
        <f t="shared" si="5"/>
        <v>0</v>
      </c>
    </row>
    <row r="9518">
      <c r="A9518" s="1" t="s">
        <v>7254</v>
      </c>
      <c r="B9518" s="3" t="str">
        <f t="shared" si="1"/>
        <v>Unavailable</v>
      </c>
      <c r="C9518" s="5">
        <v>4388.0</v>
      </c>
      <c r="D9518" s="3">
        <f>IFERROR(__xludf.DUMMYFUNCTION("IFERROR(
IF(REGEXMATCH(LOWER(O9518),""k""),
VALUE(REGEXEXTRACT(O9518,""[0-9]+""))*1000,
VALUE(REGEXEXTRACT(O9518,""[0-9]+""))
),
0
)"),0.0)</f>
        <v>0</v>
      </c>
      <c r="E9518" s="1" t="s">
        <v>11</v>
      </c>
      <c r="F9518" s="1" t="s">
        <v>20</v>
      </c>
      <c r="G9518" s="4" t="b">
        <f t="shared" si="2"/>
        <v>1</v>
      </c>
      <c r="H9518" s="1" t="str">
        <f t="shared" si="3"/>
        <v>Currently Unavailable</v>
      </c>
      <c r="I9518" s="1" t="str">
        <f t="shared" si="4"/>
        <v>No Badges</v>
      </c>
      <c r="J9518" s="3">
        <f t="shared" si="5"/>
        <v>0</v>
      </c>
    </row>
    <row r="9519">
      <c r="A9519" s="1" t="s">
        <v>7255</v>
      </c>
      <c r="B9519" s="3" t="str">
        <f t="shared" si="1"/>
        <v>Unavailable</v>
      </c>
      <c r="C9519" s="5">
        <v>3651.0</v>
      </c>
      <c r="D9519" s="3">
        <f>IFERROR(__xludf.DUMMYFUNCTION("IFERROR(
IF(REGEXMATCH(LOWER(O9519),""k""),
VALUE(REGEXEXTRACT(O9519,""[0-9]+""))*1000,
VALUE(REGEXEXTRACT(O9519,""[0-9]+""))
),
0
)"),0.0)</f>
        <v>0</v>
      </c>
      <c r="E9519" s="1" t="s">
        <v>11</v>
      </c>
      <c r="F9519" s="1" t="s">
        <v>20</v>
      </c>
      <c r="G9519" s="4" t="b">
        <f t="shared" si="2"/>
        <v>1</v>
      </c>
      <c r="H9519" s="1" t="str">
        <f t="shared" si="3"/>
        <v>Currently Unavailable</v>
      </c>
      <c r="I9519" s="1" t="str">
        <f t="shared" si="4"/>
        <v>No Badges</v>
      </c>
      <c r="J9519" s="3">
        <f t="shared" si="5"/>
        <v>0</v>
      </c>
    </row>
    <row r="9520">
      <c r="A9520" s="1" t="s">
        <v>7256</v>
      </c>
      <c r="B9520" s="3" t="str">
        <f t="shared" si="1"/>
        <v>Unavailable</v>
      </c>
      <c r="C9520" s="5">
        <v>3340.0</v>
      </c>
      <c r="D9520" s="3">
        <f>IFERROR(__xludf.DUMMYFUNCTION("IFERROR(
IF(REGEXMATCH(LOWER(O9520),""k""),
VALUE(REGEXEXTRACT(O9520,""[0-9]+""))*1000,
VALUE(REGEXEXTRACT(O9520,""[0-9]+""))
),
0
)"),0.0)</f>
        <v>0</v>
      </c>
      <c r="E9520" s="1" t="s">
        <v>11</v>
      </c>
      <c r="F9520" s="1" t="s">
        <v>20</v>
      </c>
      <c r="G9520" s="4" t="b">
        <f t="shared" si="2"/>
        <v>1</v>
      </c>
      <c r="H9520" s="1" t="str">
        <f t="shared" si="3"/>
        <v>Currently Unavailable</v>
      </c>
      <c r="I9520" s="1" t="str">
        <f t="shared" si="4"/>
        <v>No Badges</v>
      </c>
      <c r="J9520" s="3">
        <f t="shared" si="5"/>
        <v>0</v>
      </c>
    </row>
    <row r="9521">
      <c r="A9521" s="1" t="s">
        <v>7257</v>
      </c>
      <c r="B9521" s="3" t="str">
        <f t="shared" si="1"/>
        <v>Unavailable</v>
      </c>
      <c r="C9521" s="5">
        <v>10969.0</v>
      </c>
      <c r="D9521" s="3">
        <f>IFERROR(__xludf.DUMMYFUNCTION("IFERROR(
IF(REGEXMATCH(LOWER(O9521),""k""),
VALUE(REGEXEXTRACT(O9521,""[0-9]+""))*1000,
VALUE(REGEXEXTRACT(O9521,""[0-9]+""))
),
0
)"),0.0)</f>
        <v>0</v>
      </c>
      <c r="E9521" s="1" t="s">
        <v>11</v>
      </c>
      <c r="F9521" s="1" t="s">
        <v>20</v>
      </c>
      <c r="G9521" s="4" t="b">
        <f t="shared" si="2"/>
        <v>1</v>
      </c>
      <c r="H9521" s="1" t="str">
        <f t="shared" si="3"/>
        <v>Currently Unavailable</v>
      </c>
      <c r="I9521" s="1" t="str">
        <f t="shared" si="4"/>
        <v>No Badges</v>
      </c>
      <c r="J9521" s="3">
        <f t="shared" si="5"/>
        <v>0</v>
      </c>
    </row>
    <row r="9522">
      <c r="A9522" s="1" t="s">
        <v>7258</v>
      </c>
      <c r="B9522" s="3" t="str">
        <f t="shared" si="1"/>
        <v>Unavailable</v>
      </c>
      <c r="C9522" s="5">
        <v>4456.0</v>
      </c>
      <c r="D9522" s="3">
        <f>IFERROR(__xludf.DUMMYFUNCTION("IFERROR(
IF(REGEXMATCH(LOWER(O9522),""k""),
VALUE(REGEXEXTRACT(O9522,""[0-9]+""))*1000,
VALUE(REGEXEXTRACT(O9522,""[0-9]+""))
),
0
)"),0.0)</f>
        <v>0</v>
      </c>
      <c r="E9522" s="1" t="s">
        <v>11</v>
      </c>
      <c r="F9522" s="1" t="s">
        <v>20</v>
      </c>
      <c r="G9522" s="4" t="b">
        <f t="shared" si="2"/>
        <v>1</v>
      </c>
      <c r="H9522" s="1" t="str">
        <f t="shared" si="3"/>
        <v>Currently Unavailable</v>
      </c>
      <c r="I9522" s="1" t="str">
        <f t="shared" si="4"/>
        <v>No Badges</v>
      </c>
      <c r="J9522" s="3">
        <f t="shared" si="5"/>
        <v>0</v>
      </c>
    </row>
    <row r="9523">
      <c r="A9523" s="1" t="s">
        <v>7259</v>
      </c>
      <c r="B9523" s="3" t="str">
        <f t="shared" si="1"/>
        <v>Unavailable</v>
      </c>
      <c r="C9523" s="5">
        <v>10633.0</v>
      </c>
      <c r="D9523" s="3">
        <f>IFERROR(__xludf.DUMMYFUNCTION("IFERROR(
IF(REGEXMATCH(LOWER(O9523),""k""),
VALUE(REGEXEXTRACT(O9523,""[0-9]+""))*1000,
VALUE(REGEXEXTRACT(O9523,""[0-9]+""))
),
0
)"),0.0)</f>
        <v>0</v>
      </c>
      <c r="E9523" s="1" t="s">
        <v>11</v>
      </c>
      <c r="F9523" s="1" t="s">
        <v>20</v>
      </c>
      <c r="G9523" s="4" t="b">
        <f t="shared" si="2"/>
        <v>1</v>
      </c>
      <c r="H9523" s="1" t="str">
        <f t="shared" si="3"/>
        <v>Currently Unavailable</v>
      </c>
      <c r="I9523" s="1" t="str">
        <f t="shared" si="4"/>
        <v>No Badges</v>
      </c>
      <c r="J9523" s="3">
        <f t="shared" si="5"/>
        <v>0</v>
      </c>
    </row>
    <row r="9524">
      <c r="A9524" s="1" t="s">
        <v>7260</v>
      </c>
      <c r="B9524" s="3" t="str">
        <f t="shared" si="1"/>
        <v>Unavailable</v>
      </c>
      <c r="C9524" s="5">
        <v>2697.0</v>
      </c>
      <c r="D9524" s="3">
        <f>IFERROR(__xludf.DUMMYFUNCTION("IFERROR(
IF(REGEXMATCH(LOWER(O9524),""k""),
VALUE(REGEXEXTRACT(O9524,""[0-9]+""))*1000,
VALUE(REGEXEXTRACT(O9524,""[0-9]+""))
),
0
)"),0.0)</f>
        <v>0</v>
      </c>
      <c r="E9524" s="1" t="s">
        <v>11</v>
      </c>
      <c r="F9524" s="1" t="s">
        <v>20</v>
      </c>
      <c r="G9524" s="4" t="b">
        <f t="shared" si="2"/>
        <v>1</v>
      </c>
      <c r="H9524" s="1" t="str">
        <f t="shared" si="3"/>
        <v>Currently Unavailable</v>
      </c>
      <c r="I9524" s="1" t="str">
        <f t="shared" si="4"/>
        <v>No Badges</v>
      </c>
      <c r="J9524" s="3">
        <f t="shared" si="5"/>
        <v>0</v>
      </c>
    </row>
    <row r="9525">
      <c r="A9525" s="1" t="s">
        <v>7261</v>
      </c>
      <c r="B9525" s="3" t="str">
        <f t="shared" si="1"/>
        <v>Unavailable</v>
      </c>
      <c r="C9525" s="3">
        <v>391.0</v>
      </c>
      <c r="D9525" s="3">
        <f>IFERROR(__xludf.DUMMYFUNCTION("IFERROR(
IF(REGEXMATCH(LOWER(O9525),""k""),
VALUE(REGEXEXTRACT(O9525,""[0-9]+""))*1000,
VALUE(REGEXEXTRACT(O9525,""[0-9]+""))
),
0
)"),0.0)</f>
        <v>0</v>
      </c>
      <c r="E9525" s="1" t="s">
        <v>11</v>
      </c>
      <c r="F9525" s="1" t="s">
        <v>20</v>
      </c>
      <c r="G9525" s="4" t="b">
        <f t="shared" si="2"/>
        <v>1</v>
      </c>
      <c r="H9525" s="1" t="str">
        <f t="shared" si="3"/>
        <v>Currently Unavailable</v>
      </c>
      <c r="I9525" s="1" t="str">
        <f t="shared" si="4"/>
        <v>No Badges</v>
      </c>
      <c r="J9525" s="3">
        <f t="shared" si="5"/>
        <v>0</v>
      </c>
    </row>
    <row r="9526">
      <c r="A9526" s="1" t="s">
        <v>7262</v>
      </c>
      <c r="B9526" s="3" t="str">
        <f t="shared" si="1"/>
        <v>Unavailable</v>
      </c>
      <c r="C9526" s="5">
        <v>24472.0</v>
      </c>
      <c r="D9526" s="3">
        <f>IFERROR(__xludf.DUMMYFUNCTION("IFERROR(
IF(REGEXMATCH(LOWER(O9526),""k""),
VALUE(REGEXEXTRACT(O9526,""[0-9]+""))*1000,
VALUE(REGEXEXTRACT(O9526,""[0-9]+""))
),
0
)"),0.0)</f>
        <v>0</v>
      </c>
      <c r="E9526" s="1" t="s">
        <v>11</v>
      </c>
      <c r="F9526" s="1" t="s">
        <v>20</v>
      </c>
      <c r="G9526" s="4" t="b">
        <f t="shared" si="2"/>
        <v>1</v>
      </c>
      <c r="H9526" s="1" t="str">
        <f t="shared" si="3"/>
        <v>Currently Unavailable</v>
      </c>
      <c r="I9526" s="1" t="str">
        <f t="shared" si="4"/>
        <v>No Badges</v>
      </c>
      <c r="J9526" s="3">
        <f t="shared" si="5"/>
        <v>0</v>
      </c>
    </row>
    <row r="9527">
      <c r="A9527" s="1" t="s">
        <v>7263</v>
      </c>
      <c r="B9527" s="3" t="str">
        <f t="shared" si="1"/>
        <v>Unavailable</v>
      </c>
      <c r="C9527" s="5">
        <v>8405.0</v>
      </c>
      <c r="D9527" s="3">
        <f>IFERROR(__xludf.DUMMYFUNCTION("IFERROR(
IF(REGEXMATCH(LOWER(O9527),""k""),
VALUE(REGEXEXTRACT(O9527,""[0-9]+""))*1000,
VALUE(REGEXEXTRACT(O9527,""[0-9]+""))
),
0
)"),0.0)</f>
        <v>0</v>
      </c>
      <c r="E9527" s="1" t="s">
        <v>11</v>
      </c>
      <c r="F9527" s="1" t="s">
        <v>20</v>
      </c>
      <c r="G9527" s="4" t="b">
        <f t="shared" si="2"/>
        <v>1</v>
      </c>
      <c r="H9527" s="1" t="str">
        <f t="shared" si="3"/>
        <v>Currently Unavailable</v>
      </c>
      <c r="I9527" s="1" t="str">
        <f t="shared" si="4"/>
        <v>No Badges</v>
      </c>
      <c r="J9527" s="3">
        <f t="shared" si="5"/>
        <v>0</v>
      </c>
    </row>
    <row r="9528">
      <c r="A9528" s="1" t="s">
        <v>7264</v>
      </c>
      <c r="B9528" s="3" t="str">
        <f t="shared" si="1"/>
        <v>Unavailable</v>
      </c>
      <c r="C9528" s="5">
        <v>22052.0</v>
      </c>
      <c r="D9528" s="3">
        <f>IFERROR(__xludf.DUMMYFUNCTION("IFERROR(
IF(REGEXMATCH(LOWER(O9528),""k""),
VALUE(REGEXEXTRACT(O9528,""[0-9]+""))*1000,
VALUE(REGEXEXTRACT(O9528,""[0-9]+""))
),
0
)"),0.0)</f>
        <v>0</v>
      </c>
      <c r="E9528" s="1" t="s">
        <v>11</v>
      </c>
      <c r="F9528" s="1" t="s">
        <v>20</v>
      </c>
      <c r="G9528" s="4" t="b">
        <f t="shared" si="2"/>
        <v>1</v>
      </c>
      <c r="H9528" s="1" t="str">
        <f t="shared" si="3"/>
        <v>Currently Unavailable</v>
      </c>
      <c r="I9528" s="1" t="str">
        <f t="shared" si="4"/>
        <v>No Badges</v>
      </c>
      <c r="J9528" s="3">
        <f t="shared" si="5"/>
        <v>0</v>
      </c>
    </row>
    <row r="9529">
      <c r="A9529" s="1" t="s">
        <v>7265</v>
      </c>
      <c r="B9529" s="3" t="str">
        <f t="shared" si="1"/>
        <v>Unavailable</v>
      </c>
      <c r="C9529" s="5">
        <v>20779.0</v>
      </c>
      <c r="D9529" s="3">
        <f>IFERROR(__xludf.DUMMYFUNCTION("IFERROR(
IF(REGEXMATCH(LOWER(O9529),""k""),
VALUE(REGEXEXTRACT(O9529,""[0-9]+""))*1000,
VALUE(REGEXEXTRACT(O9529,""[0-9]+""))
),
0
)"),0.0)</f>
        <v>0</v>
      </c>
      <c r="E9529" s="1" t="s">
        <v>11</v>
      </c>
      <c r="F9529" s="1" t="s">
        <v>20</v>
      </c>
      <c r="G9529" s="4" t="b">
        <f t="shared" si="2"/>
        <v>1</v>
      </c>
      <c r="H9529" s="1" t="str">
        <f t="shared" si="3"/>
        <v>Currently Unavailable</v>
      </c>
      <c r="I9529" s="1" t="str">
        <f t="shared" si="4"/>
        <v>No Badges</v>
      </c>
      <c r="J9529" s="3">
        <f t="shared" si="5"/>
        <v>0</v>
      </c>
    </row>
    <row r="9530">
      <c r="A9530" s="1" t="s">
        <v>7266</v>
      </c>
      <c r="B9530" s="3" t="str">
        <f t="shared" si="1"/>
        <v>Unavailable</v>
      </c>
      <c r="C9530" s="5">
        <v>17965.0</v>
      </c>
      <c r="D9530" s="3">
        <f>IFERROR(__xludf.DUMMYFUNCTION("IFERROR(
IF(REGEXMATCH(LOWER(O9530),""k""),
VALUE(REGEXEXTRACT(O9530,""[0-9]+""))*1000,
VALUE(REGEXEXTRACT(O9530,""[0-9]+""))
),
0
)"),0.0)</f>
        <v>0</v>
      </c>
      <c r="E9530" s="1" t="s">
        <v>11</v>
      </c>
      <c r="F9530" s="1" t="s">
        <v>20</v>
      </c>
      <c r="G9530" s="4" t="b">
        <f t="shared" si="2"/>
        <v>1</v>
      </c>
      <c r="H9530" s="1" t="str">
        <f t="shared" si="3"/>
        <v>Currently Unavailable</v>
      </c>
      <c r="I9530" s="1" t="str">
        <f t="shared" si="4"/>
        <v>No Badges</v>
      </c>
      <c r="J9530" s="3">
        <f t="shared" si="5"/>
        <v>0</v>
      </c>
    </row>
    <row r="9531">
      <c r="A9531" s="1" t="s">
        <v>6650</v>
      </c>
      <c r="B9531" s="3" t="str">
        <f t="shared" si="1"/>
        <v>Unavailable</v>
      </c>
      <c r="C9531" s="3">
        <v>3.0</v>
      </c>
      <c r="D9531" s="3">
        <f>IFERROR(__xludf.DUMMYFUNCTION("IFERROR(
IF(REGEXMATCH(LOWER(O9531),""k""),
VALUE(REGEXEXTRACT(O9531,""[0-9]+""))*1000,
VALUE(REGEXEXTRACT(O9531,""[0-9]+""))
),
0
)"),0.0)</f>
        <v>0</v>
      </c>
      <c r="E9531" s="1" t="s">
        <v>11</v>
      </c>
      <c r="F9531" s="1" t="s">
        <v>12</v>
      </c>
      <c r="G9531" s="4" t="b">
        <f t="shared" si="2"/>
        <v>1</v>
      </c>
      <c r="H9531" s="1" t="str">
        <f t="shared" si="3"/>
        <v>Currently Unavailable</v>
      </c>
      <c r="I9531" s="1" t="str">
        <f t="shared" si="4"/>
        <v>No Badges</v>
      </c>
      <c r="J9531" s="3">
        <f t="shared" si="5"/>
        <v>0</v>
      </c>
    </row>
    <row r="9532">
      <c r="A9532" s="1" t="s">
        <v>701</v>
      </c>
      <c r="B9532" s="3" t="str">
        <f t="shared" si="1"/>
        <v>Unavailable</v>
      </c>
      <c r="C9532" s="3">
        <v>8.0</v>
      </c>
      <c r="D9532" s="3">
        <f>IFERROR(__xludf.DUMMYFUNCTION("IFERROR(
IF(REGEXMATCH(LOWER(O9532),""k""),
VALUE(REGEXEXTRACT(O9532,""[0-9]+""))*1000,
VALUE(REGEXEXTRACT(O9532,""[0-9]+""))
),
0
)"),0.0)</f>
        <v>0</v>
      </c>
      <c r="E9532" s="1" t="s">
        <v>11</v>
      </c>
      <c r="F9532" s="1" t="s">
        <v>12</v>
      </c>
      <c r="G9532" s="4" t="b">
        <f t="shared" si="2"/>
        <v>1</v>
      </c>
      <c r="H9532" s="1" t="str">
        <f t="shared" si="3"/>
        <v>Currently Unavailable</v>
      </c>
      <c r="I9532" s="1" t="str">
        <f t="shared" si="4"/>
        <v>No Badges</v>
      </c>
      <c r="J9532" s="3">
        <f t="shared" si="5"/>
        <v>0</v>
      </c>
    </row>
    <row r="9533">
      <c r="A9533" s="1" t="s">
        <v>7267</v>
      </c>
      <c r="B9533" s="3" t="str">
        <f t="shared" si="1"/>
        <v>Unavailable</v>
      </c>
      <c r="C9533" s="5">
        <v>49620.0</v>
      </c>
      <c r="D9533" s="3">
        <f>IFERROR(__xludf.DUMMYFUNCTION("IFERROR(
IF(REGEXMATCH(LOWER(O9533),""k""),
VALUE(REGEXEXTRACT(O9533,""[0-9]+""))*1000,
VALUE(REGEXEXTRACT(O9533,""[0-9]+""))
),
0
)"),0.0)</f>
        <v>0</v>
      </c>
      <c r="E9533" s="1" t="s">
        <v>11</v>
      </c>
      <c r="F9533" s="1" t="s">
        <v>20</v>
      </c>
      <c r="G9533" s="4" t="b">
        <f t="shared" si="2"/>
        <v>1</v>
      </c>
      <c r="H9533" s="1" t="str">
        <f t="shared" si="3"/>
        <v>Currently Unavailable</v>
      </c>
      <c r="I9533" s="1" t="str">
        <f t="shared" si="4"/>
        <v>No Badges</v>
      </c>
      <c r="J9533" s="3">
        <f t="shared" si="5"/>
        <v>0</v>
      </c>
    </row>
    <row r="9534">
      <c r="A9534" s="1" t="s">
        <v>7268</v>
      </c>
      <c r="B9534" s="3" t="str">
        <f t="shared" si="1"/>
        <v>Unavailable</v>
      </c>
      <c r="C9534" s="5">
        <v>1244.0</v>
      </c>
      <c r="D9534" s="3">
        <f>IFERROR(__xludf.DUMMYFUNCTION("IFERROR(
IF(REGEXMATCH(LOWER(O9534),""k""),
VALUE(REGEXEXTRACT(O9534,""[0-9]+""))*1000,
VALUE(REGEXEXTRACT(O9534,""[0-9]+""))
),
0
)"),0.0)</f>
        <v>0</v>
      </c>
      <c r="E9534" s="1" t="s">
        <v>11</v>
      </c>
      <c r="F9534" s="1" t="s">
        <v>20</v>
      </c>
      <c r="G9534" s="4" t="b">
        <f t="shared" si="2"/>
        <v>1</v>
      </c>
      <c r="H9534" s="1" t="str">
        <f t="shared" si="3"/>
        <v>Currently Unavailable</v>
      </c>
      <c r="I9534" s="1" t="str">
        <f t="shared" si="4"/>
        <v>No Badges</v>
      </c>
      <c r="J9534" s="3">
        <f t="shared" si="5"/>
        <v>0</v>
      </c>
    </row>
    <row r="9535">
      <c r="A9535" s="1" t="s">
        <v>7269</v>
      </c>
      <c r="B9535" s="3" t="str">
        <f t="shared" si="1"/>
        <v>Unavailable</v>
      </c>
      <c r="C9535" s="5">
        <v>3794.0</v>
      </c>
      <c r="D9535" s="3">
        <f>IFERROR(__xludf.DUMMYFUNCTION("IFERROR(
IF(REGEXMATCH(LOWER(O9535),""k""),
VALUE(REGEXEXTRACT(O9535,""[0-9]+""))*1000,
VALUE(REGEXEXTRACT(O9535,""[0-9]+""))
),
0
)"),0.0)</f>
        <v>0</v>
      </c>
      <c r="E9535" s="1" t="s">
        <v>11</v>
      </c>
      <c r="F9535" s="1" t="s">
        <v>20</v>
      </c>
      <c r="G9535" s="4" t="b">
        <f t="shared" si="2"/>
        <v>1</v>
      </c>
      <c r="H9535" s="1" t="str">
        <f t="shared" si="3"/>
        <v>Currently Unavailable</v>
      </c>
      <c r="I9535" s="1" t="str">
        <f t="shared" si="4"/>
        <v>No Badges</v>
      </c>
      <c r="J9535" s="3">
        <f t="shared" si="5"/>
        <v>0</v>
      </c>
    </row>
    <row r="9536">
      <c r="A9536" s="1" t="s">
        <v>6807</v>
      </c>
      <c r="B9536" s="3" t="str">
        <f t="shared" si="1"/>
        <v>Unavailable</v>
      </c>
      <c r="C9536" s="3">
        <v>667.0</v>
      </c>
      <c r="D9536" s="3">
        <f>IFERROR(__xludf.DUMMYFUNCTION("IFERROR(
IF(REGEXMATCH(LOWER(O9536),""k""),
VALUE(REGEXEXTRACT(O9536,""[0-9]+""))*1000,
VALUE(REGEXEXTRACT(O9536,""[0-9]+""))
),
0
)"),0.0)</f>
        <v>0</v>
      </c>
      <c r="E9536" s="1" t="s">
        <v>11</v>
      </c>
      <c r="F9536" s="1" t="s">
        <v>20</v>
      </c>
      <c r="G9536" s="4" t="b">
        <f t="shared" si="2"/>
        <v>1</v>
      </c>
      <c r="H9536" s="1" t="str">
        <f t="shared" si="3"/>
        <v>Currently Unavailable</v>
      </c>
      <c r="I9536" s="1" t="str">
        <f t="shared" si="4"/>
        <v>No Badges</v>
      </c>
      <c r="J9536" s="3">
        <f t="shared" si="5"/>
        <v>0</v>
      </c>
    </row>
    <row r="9537">
      <c r="A9537" s="1" t="s">
        <v>7270</v>
      </c>
      <c r="B9537" s="3" t="str">
        <f t="shared" si="1"/>
        <v>Unavailable</v>
      </c>
      <c r="C9537" s="5">
        <v>3735.0</v>
      </c>
      <c r="D9537" s="3">
        <f>IFERROR(__xludf.DUMMYFUNCTION("IFERROR(
IF(REGEXMATCH(LOWER(O9537),""k""),
VALUE(REGEXEXTRACT(O9537,""[0-9]+""))*1000,
VALUE(REGEXEXTRACT(O9537,""[0-9]+""))
),
0
)"),0.0)</f>
        <v>0</v>
      </c>
      <c r="E9537" s="1" t="s">
        <v>11</v>
      </c>
      <c r="F9537" s="1" t="s">
        <v>20</v>
      </c>
      <c r="G9537" s="4" t="b">
        <f t="shared" si="2"/>
        <v>1</v>
      </c>
      <c r="H9537" s="1" t="str">
        <f t="shared" si="3"/>
        <v>Currently Unavailable</v>
      </c>
      <c r="I9537" s="1" t="str">
        <f t="shared" si="4"/>
        <v>No Badges</v>
      </c>
      <c r="J9537" s="3">
        <f t="shared" si="5"/>
        <v>0</v>
      </c>
    </row>
    <row r="9538">
      <c r="A9538" s="1" t="s">
        <v>7271</v>
      </c>
      <c r="B9538" s="3" t="str">
        <f t="shared" si="1"/>
        <v>Unavailable</v>
      </c>
      <c r="C9538" s="5">
        <v>7308.0</v>
      </c>
      <c r="D9538" s="3">
        <f>IFERROR(__xludf.DUMMYFUNCTION("IFERROR(
IF(REGEXMATCH(LOWER(O9538),""k""),
VALUE(REGEXEXTRACT(O9538,""[0-9]+""))*1000,
VALUE(REGEXEXTRACT(O9538,""[0-9]+""))
),
0
)"),0.0)</f>
        <v>0</v>
      </c>
      <c r="E9538" s="1" t="s">
        <v>11</v>
      </c>
      <c r="F9538" s="1" t="s">
        <v>20</v>
      </c>
      <c r="G9538" s="4" t="b">
        <f t="shared" si="2"/>
        <v>1</v>
      </c>
      <c r="H9538" s="1" t="str">
        <f t="shared" si="3"/>
        <v>Currently Unavailable</v>
      </c>
      <c r="I9538" s="1" t="str">
        <f t="shared" si="4"/>
        <v>No Badges</v>
      </c>
      <c r="J9538" s="3">
        <f t="shared" si="5"/>
        <v>0</v>
      </c>
    </row>
    <row r="9539">
      <c r="A9539" s="1" t="s">
        <v>7272</v>
      </c>
      <c r="B9539" s="3" t="str">
        <f t="shared" si="1"/>
        <v>Unavailable</v>
      </c>
      <c r="C9539" s="5">
        <v>16969.0</v>
      </c>
      <c r="D9539" s="3">
        <f>IFERROR(__xludf.DUMMYFUNCTION("IFERROR(
IF(REGEXMATCH(LOWER(O9539),""k""),
VALUE(REGEXEXTRACT(O9539,""[0-9]+""))*1000,
VALUE(REGEXEXTRACT(O9539,""[0-9]+""))
),
0
)"),0.0)</f>
        <v>0</v>
      </c>
      <c r="E9539" s="1" t="s">
        <v>11</v>
      </c>
      <c r="F9539" s="1" t="s">
        <v>20</v>
      </c>
      <c r="G9539" s="4" t="b">
        <f t="shared" si="2"/>
        <v>1</v>
      </c>
      <c r="H9539" s="1" t="str">
        <f t="shared" si="3"/>
        <v>Currently Unavailable</v>
      </c>
      <c r="I9539" s="1" t="str">
        <f t="shared" si="4"/>
        <v>No Badges</v>
      </c>
      <c r="J9539" s="3">
        <f t="shared" si="5"/>
        <v>0</v>
      </c>
    </row>
    <row r="9540">
      <c r="A9540" s="1" t="s">
        <v>7273</v>
      </c>
      <c r="B9540" s="3" t="str">
        <f t="shared" si="1"/>
        <v>Unavailable</v>
      </c>
      <c r="C9540" s="5">
        <v>25899.0</v>
      </c>
      <c r="D9540" s="3">
        <f>IFERROR(__xludf.DUMMYFUNCTION("IFERROR(
IF(REGEXMATCH(LOWER(O9540),""k""),
VALUE(REGEXEXTRACT(O9540,""[0-9]+""))*1000,
VALUE(REGEXEXTRACT(O9540,""[0-9]+""))
),
0
)"),0.0)</f>
        <v>0</v>
      </c>
      <c r="E9540" s="1" t="s">
        <v>158</v>
      </c>
      <c r="F9540" s="1" t="s">
        <v>20</v>
      </c>
      <c r="G9540" s="4" t="b">
        <f t="shared" si="2"/>
        <v>1</v>
      </c>
      <c r="H9540" s="1" t="str">
        <f t="shared" si="3"/>
        <v>Currently Unavailable</v>
      </c>
      <c r="I9540" s="1" t="str">
        <f t="shared" si="4"/>
        <v>No Badges</v>
      </c>
      <c r="J9540" s="3">
        <f t="shared" si="5"/>
        <v>0</v>
      </c>
    </row>
    <row r="9541">
      <c r="A9541" s="1" t="s">
        <v>7274</v>
      </c>
      <c r="B9541" s="3" t="str">
        <f t="shared" si="1"/>
        <v>Unavailable</v>
      </c>
      <c r="C9541" s="3">
        <v>787.0</v>
      </c>
      <c r="D9541" s="3">
        <f>IFERROR(__xludf.DUMMYFUNCTION("IFERROR(
IF(REGEXMATCH(LOWER(O9541),""k""),
VALUE(REGEXEXTRACT(O9541,""[0-9]+""))*1000,
VALUE(REGEXEXTRACT(O9541,""[0-9]+""))
),
0
)"),0.0)</f>
        <v>0</v>
      </c>
      <c r="E9541" s="1" t="s">
        <v>11</v>
      </c>
      <c r="F9541" s="1" t="s">
        <v>20</v>
      </c>
      <c r="G9541" s="4" t="b">
        <f t="shared" si="2"/>
        <v>1</v>
      </c>
      <c r="H9541" s="1" t="str">
        <f t="shared" si="3"/>
        <v>Currently Unavailable</v>
      </c>
      <c r="I9541" s="1" t="str">
        <f t="shared" si="4"/>
        <v>No Badges</v>
      </c>
      <c r="J9541" s="3">
        <f t="shared" si="5"/>
        <v>0</v>
      </c>
    </row>
    <row r="9542">
      <c r="A9542" s="1" t="s">
        <v>7275</v>
      </c>
      <c r="B9542" s="3" t="str">
        <f t="shared" si="1"/>
        <v>Unavailable</v>
      </c>
      <c r="C9542" s="5">
        <v>11968.0</v>
      </c>
      <c r="D9542" s="3">
        <f>IFERROR(__xludf.DUMMYFUNCTION("IFERROR(
IF(REGEXMATCH(LOWER(O9542),""k""),
VALUE(REGEXEXTRACT(O9542,""[0-9]+""))*1000,
VALUE(REGEXEXTRACT(O9542,""[0-9]+""))
),
0
)"),0.0)</f>
        <v>0</v>
      </c>
      <c r="E9542" s="1" t="s">
        <v>11</v>
      </c>
      <c r="F9542" s="1" t="s">
        <v>20</v>
      </c>
      <c r="G9542" s="4" t="b">
        <f t="shared" si="2"/>
        <v>1</v>
      </c>
      <c r="H9542" s="1" t="str">
        <f t="shared" si="3"/>
        <v>Currently Unavailable</v>
      </c>
      <c r="I9542" s="1" t="str">
        <f t="shared" si="4"/>
        <v>No Badges</v>
      </c>
      <c r="J9542" s="3">
        <f t="shared" si="5"/>
        <v>0</v>
      </c>
    </row>
    <row r="9543">
      <c r="A9543" s="1" t="s">
        <v>7276</v>
      </c>
      <c r="B9543" s="3" t="str">
        <f t="shared" si="1"/>
        <v>Unavailable</v>
      </c>
      <c r="C9543" s="5">
        <v>2580.0</v>
      </c>
      <c r="D9543" s="3">
        <f>IFERROR(__xludf.DUMMYFUNCTION("IFERROR(
IF(REGEXMATCH(LOWER(O9543),""k""),
VALUE(REGEXEXTRACT(O9543,""[0-9]+""))*1000,
VALUE(REGEXEXTRACT(O9543,""[0-9]+""))
),
0
)"),0.0)</f>
        <v>0</v>
      </c>
      <c r="E9543" s="1" t="s">
        <v>11</v>
      </c>
      <c r="F9543" s="1" t="s">
        <v>20</v>
      </c>
      <c r="G9543" s="4" t="b">
        <f t="shared" si="2"/>
        <v>1</v>
      </c>
      <c r="H9543" s="1" t="str">
        <f t="shared" si="3"/>
        <v>Currently Unavailable</v>
      </c>
      <c r="I9543" s="1" t="str">
        <f t="shared" si="4"/>
        <v>No Badges</v>
      </c>
      <c r="J9543" s="3">
        <f t="shared" si="5"/>
        <v>0</v>
      </c>
    </row>
    <row r="9544">
      <c r="A9544" s="1" t="s">
        <v>7277</v>
      </c>
      <c r="B9544" s="3" t="str">
        <f t="shared" si="1"/>
        <v>Unavailable</v>
      </c>
      <c r="C9544" s="5">
        <v>302790.0</v>
      </c>
      <c r="D9544" s="3">
        <f>IFERROR(__xludf.DUMMYFUNCTION("IFERROR(
IF(REGEXMATCH(LOWER(O9544),""k""),
VALUE(REGEXEXTRACT(O9544,""[0-9]+""))*1000,
VALUE(REGEXEXTRACT(O9544,""[0-9]+""))
),
0
)"),0.0)</f>
        <v>0</v>
      </c>
      <c r="E9544" s="1" t="s">
        <v>11</v>
      </c>
      <c r="F9544" s="1" t="s">
        <v>20</v>
      </c>
      <c r="G9544" s="4" t="b">
        <f t="shared" si="2"/>
        <v>1</v>
      </c>
      <c r="H9544" s="1" t="str">
        <f t="shared" si="3"/>
        <v>Currently Unavailable</v>
      </c>
      <c r="I9544" s="1" t="str">
        <f t="shared" si="4"/>
        <v>No Badges</v>
      </c>
      <c r="J9544" s="3">
        <f t="shared" si="5"/>
        <v>0</v>
      </c>
    </row>
    <row r="9545">
      <c r="A9545" s="1" t="s">
        <v>6661</v>
      </c>
      <c r="B9545" s="3" t="str">
        <f t="shared" si="1"/>
        <v>Unavailable</v>
      </c>
      <c r="C9545" s="3">
        <v>24.0</v>
      </c>
      <c r="D9545" s="3">
        <f>IFERROR(__xludf.DUMMYFUNCTION("IFERROR(
IF(REGEXMATCH(LOWER(O9545),""k""),
VALUE(REGEXEXTRACT(O9545,""[0-9]+""))*1000,
VALUE(REGEXEXTRACT(O9545,""[0-9]+""))
),
0
)"),0.0)</f>
        <v>0</v>
      </c>
      <c r="E9545" s="1" t="s">
        <v>11</v>
      </c>
      <c r="F9545" s="1" t="s">
        <v>12</v>
      </c>
      <c r="G9545" s="4" t="b">
        <f t="shared" si="2"/>
        <v>1</v>
      </c>
      <c r="H9545" s="1" t="str">
        <f t="shared" si="3"/>
        <v>Currently Unavailable</v>
      </c>
      <c r="I9545" s="1" t="str">
        <f t="shared" si="4"/>
        <v>No Badges</v>
      </c>
      <c r="J9545" s="3">
        <f t="shared" si="5"/>
        <v>0</v>
      </c>
    </row>
    <row r="9546">
      <c r="A9546" s="1" t="s">
        <v>6662</v>
      </c>
      <c r="B9546" s="3" t="str">
        <f t="shared" si="1"/>
        <v>Unavailable</v>
      </c>
      <c r="C9546" s="5">
        <v>1886.0</v>
      </c>
      <c r="D9546" s="3">
        <f>IFERROR(__xludf.DUMMYFUNCTION("IFERROR(
IF(REGEXMATCH(LOWER(O9546),""k""),
VALUE(REGEXEXTRACT(O9546,""[0-9]+""))*1000,
VALUE(REGEXEXTRACT(O9546,""[0-9]+""))
),
0
)"),0.0)</f>
        <v>0</v>
      </c>
      <c r="E9546" s="1" t="s">
        <v>11</v>
      </c>
      <c r="F9546" s="1" t="s">
        <v>12</v>
      </c>
      <c r="G9546" s="4" t="b">
        <f t="shared" si="2"/>
        <v>1</v>
      </c>
      <c r="H9546" s="1" t="str">
        <f t="shared" si="3"/>
        <v>Currently Unavailable</v>
      </c>
      <c r="I9546" s="1" t="str">
        <f t="shared" si="4"/>
        <v>No Badges</v>
      </c>
      <c r="J9546" s="3">
        <f t="shared" si="5"/>
        <v>0</v>
      </c>
    </row>
    <row r="9547">
      <c r="A9547" s="1" t="s">
        <v>7278</v>
      </c>
      <c r="B9547" s="3" t="str">
        <f t="shared" si="1"/>
        <v>Unavailable</v>
      </c>
      <c r="C9547" s="5">
        <v>4311.0</v>
      </c>
      <c r="D9547" s="3">
        <f>IFERROR(__xludf.DUMMYFUNCTION("IFERROR(
IF(REGEXMATCH(LOWER(O9547),""k""),
VALUE(REGEXEXTRACT(O9547,""[0-9]+""))*1000,
VALUE(REGEXEXTRACT(O9547,""[0-9]+""))
),
0
)"),0.0)</f>
        <v>0</v>
      </c>
      <c r="E9547" s="1" t="s">
        <v>11</v>
      </c>
      <c r="F9547" s="1" t="s">
        <v>20</v>
      </c>
      <c r="G9547" s="4" t="b">
        <f t="shared" si="2"/>
        <v>1</v>
      </c>
      <c r="H9547" s="1" t="str">
        <f t="shared" si="3"/>
        <v>Currently Unavailable</v>
      </c>
      <c r="I9547" s="1" t="str">
        <f t="shared" si="4"/>
        <v>No Badges</v>
      </c>
      <c r="J9547" s="3">
        <f t="shared" si="5"/>
        <v>0</v>
      </c>
    </row>
    <row r="9548">
      <c r="A9548" s="1" t="s">
        <v>7279</v>
      </c>
      <c r="B9548" s="3" t="str">
        <f t="shared" si="1"/>
        <v>Unavailable</v>
      </c>
      <c r="C9548" s="5">
        <v>4778.0</v>
      </c>
      <c r="D9548" s="3">
        <f>IFERROR(__xludf.DUMMYFUNCTION("IFERROR(
IF(REGEXMATCH(LOWER(O9548),""k""),
VALUE(REGEXEXTRACT(O9548,""[0-9]+""))*1000,
VALUE(REGEXEXTRACT(O9548,""[0-9]+""))
),
0
)"),0.0)</f>
        <v>0</v>
      </c>
      <c r="E9548" s="1" t="s">
        <v>11</v>
      </c>
      <c r="F9548" s="1" t="s">
        <v>20</v>
      </c>
      <c r="G9548" s="4" t="b">
        <f t="shared" si="2"/>
        <v>1</v>
      </c>
      <c r="H9548" s="1" t="str">
        <f t="shared" si="3"/>
        <v>Currently Unavailable</v>
      </c>
      <c r="I9548" s="1" t="str">
        <f t="shared" si="4"/>
        <v>No Badges</v>
      </c>
      <c r="J9548" s="3">
        <f t="shared" si="5"/>
        <v>0</v>
      </c>
    </row>
    <row r="9549">
      <c r="A9549" s="1" t="s">
        <v>7280</v>
      </c>
      <c r="B9549" s="3" t="str">
        <f t="shared" si="1"/>
        <v>Unavailable</v>
      </c>
      <c r="C9549" s="5">
        <v>2118.0</v>
      </c>
      <c r="D9549" s="3">
        <f>IFERROR(__xludf.DUMMYFUNCTION("IFERROR(
IF(REGEXMATCH(LOWER(O9549),""k""),
VALUE(REGEXEXTRACT(O9549,""[0-9]+""))*1000,
VALUE(REGEXEXTRACT(O9549,""[0-9]+""))
),
0
)"),0.0)</f>
        <v>0</v>
      </c>
      <c r="E9549" s="1" t="s">
        <v>11</v>
      </c>
      <c r="F9549" s="1" t="s">
        <v>20</v>
      </c>
      <c r="G9549" s="4" t="b">
        <f t="shared" si="2"/>
        <v>1</v>
      </c>
      <c r="H9549" s="1" t="str">
        <f t="shared" si="3"/>
        <v>Currently Unavailable</v>
      </c>
      <c r="I9549" s="1" t="str">
        <f t="shared" si="4"/>
        <v>No Badges</v>
      </c>
      <c r="J9549" s="3">
        <f t="shared" si="5"/>
        <v>0</v>
      </c>
    </row>
    <row r="9550">
      <c r="A9550" s="1" t="s">
        <v>7281</v>
      </c>
      <c r="B9550" s="3" t="str">
        <f t="shared" si="1"/>
        <v>Unavailable</v>
      </c>
      <c r="C9550" s="5">
        <v>20312.0</v>
      </c>
      <c r="D9550" s="3">
        <f>IFERROR(__xludf.DUMMYFUNCTION("IFERROR(
IF(REGEXMATCH(LOWER(O9550),""k""),
VALUE(REGEXEXTRACT(O9550,""[0-9]+""))*1000,
VALUE(REGEXEXTRACT(O9550,""[0-9]+""))
),
0
)"),0.0)</f>
        <v>0</v>
      </c>
      <c r="E9550" s="1" t="s">
        <v>11</v>
      </c>
      <c r="F9550" s="1" t="s">
        <v>20</v>
      </c>
      <c r="G9550" s="4" t="b">
        <f t="shared" si="2"/>
        <v>1</v>
      </c>
      <c r="H9550" s="1" t="str">
        <f t="shared" si="3"/>
        <v>Currently Unavailable</v>
      </c>
      <c r="I9550" s="1" t="str">
        <f t="shared" si="4"/>
        <v>No Badges</v>
      </c>
      <c r="J9550" s="3">
        <f t="shared" si="5"/>
        <v>0</v>
      </c>
    </row>
    <row r="9551">
      <c r="A9551" s="1" t="s">
        <v>7282</v>
      </c>
      <c r="B9551" s="3" t="str">
        <f t="shared" si="1"/>
        <v>Unavailable</v>
      </c>
      <c r="C9551" s="3">
        <v>15.0</v>
      </c>
      <c r="D9551" s="3">
        <f>IFERROR(__xludf.DUMMYFUNCTION("IFERROR(
IF(REGEXMATCH(LOWER(O9551),""k""),
VALUE(REGEXEXTRACT(O9551,""[0-9]+""))*1000,
VALUE(REGEXEXTRACT(O9551,""[0-9]+""))
),
0
)"),0.0)</f>
        <v>0</v>
      </c>
      <c r="E9551" s="1" t="s">
        <v>11</v>
      </c>
      <c r="F9551" s="1" t="s">
        <v>20</v>
      </c>
      <c r="G9551" s="4" t="b">
        <f t="shared" si="2"/>
        <v>1</v>
      </c>
      <c r="H9551" s="1" t="str">
        <f t="shared" si="3"/>
        <v>Currently Unavailable</v>
      </c>
      <c r="I9551" s="1" t="str">
        <f t="shared" si="4"/>
        <v>No Badges</v>
      </c>
      <c r="J9551" s="3">
        <f t="shared" si="5"/>
        <v>0</v>
      </c>
    </row>
    <row r="9552">
      <c r="A9552" s="1" t="s">
        <v>7283</v>
      </c>
      <c r="B9552" s="3" t="str">
        <f t="shared" si="1"/>
        <v>Unavailable</v>
      </c>
      <c r="C9552" s="5">
        <v>39047.0</v>
      </c>
      <c r="D9552" s="3">
        <f>IFERROR(__xludf.DUMMYFUNCTION("IFERROR(
IF(REGEXMATCH(LOWER(O9552),""k""),
VALUE(REGEXEXTRACT(O9552,""[0-9]+""))*1000,
VALUE(REGEXEXTRACT(O9552,""[0-9]+""))
),
0
)"),0.0)</f>
        <v>0</v>
      </c>
      <c r="E9552" s="1" t="s">
        <v>18</v>
      </c>
      <c r="F9552" s="1" t="s">
        <v>20</v>
      </c>
      <c r="G9552" s="4" t="b">
        <f t="shared" si="2"/>
        <v>1</v>
      </c>
      <c r="H9552" s="1" t="str">
        <f t="shared" si="3"/>
        <v>Currently Unavailable</v>
      </c>
      <c r="I9552" s="1" t="str">
        <f t="shared" si="4"/>
        <v>No Badges</v>
      </c>
      <c r="J9552" s="3">
        <f t="shared" si="5"/>
        <v>0</v>
      </c>
    </row>
    <row r="9553">
      <c r="A9553" s="1" t="s">
        <v>7284</v>
      </c>
      <c r="B9553" s="3" t="str">
        <f t="shared" si="1"/>
        <v>Unavailable</v>
      </c>
      <c r="C9553" s="5">
        <v>9189.0</v>
      </c>
      <c r="D9553" s="3">
        <f>IFERROR(__xludf.DUMMYFUNCTION("IFERROR(
IF(REGEXMATCH(LOWER(O9553),""k""),
VALUE(REGEXEXTRACT(O9553,""[0-9]+""))*1000,
VALUE(REGEXEXTRACT(O9553,""[0-9]+""))
),
0
)"),0.0)</f>
        <v>0</v>
      </c>
      <c r="E9553" s="1" t="s">
        <v>11</v>
      </c>
      <c r="F9553" s="1" t="s">
        <v>20</v>
      </c>
      <c r="G9553" s="4" t="b">
        <f t="shared" si="2"/>
        <v>1</v>
      </c>
      <c r="H9553" s="1" t="str">
        <f t="shared" si="3"/>
        <v>Currently Unavailable</v>
      </c>
      <c r="I9553" s="1" t="str">
        <f t="shared" si="4"/>
        <v>No Badges</v>
      </c>
      <c r="J9553" s="3">
        <f t="shared" si="5"/>
        <v>0</v>
      </c>
    </row>
    <row r="9554">
      <c r="A9554" s="1" t="s">
        <v>7285</v>
      </c>
      <c r="B9554" s="3" t="str">
        <f t="shared" si="1"/>
        <v>Unavailable</v>
      </c>
      <c r="C9554" s="5">
        <v>113148.0</v>
      </c>
      <c r="D9554" s="3">
        <f>IFERROR(__xludf.DUMMYFUNCTION("IFERROR(
IF(REGEXMATCH(LOWER(O9554),""k""),
VALUE(REGEXEXTRACT(O9554,""[0-9]+""))*1000,
VALUE(REGEXEXTRACT(O9554,""[0-9]+""))
),
0
)"),0.0)</f>
        <v>0</v>
      </c>
      <c r="E9554" s="1" t="s">
        <v>11</v>
      </c>
      <c r="F9554" s="1" t="s">
        <v>20</v>
      </c>
      <c r="G9554" s="4" t="b">
        <f t="shared" si="2"/>
        <v>1</v>
      </c>
      <c r="H9554" s="1" t="str">
        <f t="shared" si="3"/>
        <v>Currently Unavailable</v>
      </c>
      <c r="I9554" s="1" t="str">
        <f t="shared" si="4"/>
        <v>No Badges</v>
      </c>
      <c r="J9554" s="3">
        <f t="shared" si="5"/>
        <v>0</v>
      </c>
    </row>
    <row r="9555">
      <c r="A9555" s="1" t="s">
        <v>7286</v>
      </c>
      <c r="B9555" s="3" t="str">
        <f t="shared" si="1"/>
        <v>Unavailable</v>
      </c>
      <c r="C9555" s="5">
        <v>3750.0</v>
      </c>
      <c r="D9555" s="3">
        <f>IFERROR(__xludf.DUMMYFUNCTION("IFERROR(
IF(REGEXMATCH(LOWER(O9555),""k""),
VALUE(REGEXEXTRACT(O9555,""[0-9]+""))*1000,
VALUE(REGEXEXTRACT(O9555,""[0-9]+""))
),
0
)"),0.0)</f>
        <v>0</v>
      </c>
      <c r="E9555" s="1" t="s">
        <v>11</v>
      </c>
      <c r="F9555" s="1" t="s">
        <v>20</v>
      </c>
      <c r="G9555" s="4" t="b">
        <f t="shared" si="2"/>
        <v>1</v>
      </c>
      <c r="H9555" s="1" t="str">
        <f t="shared" si="3"/>
        <v>Currently Unavailable</v>
      </c>
      <c r="I9555" s="1" t="str">
        <f t="shared" si="4"/>
        <v>No Badges</v>
      </c>
      <c r="J9555" s="3">
        <f t="shared" si="5"/>
        <v>0</v>
      </c>
    </row>
    <row r="9556">
      <c r="A9556" s="1" t="s">
        <v>7287</v>
      </c>
      <c r="B9556" s="3" t="str">
        <f t="shared" si="1"/>
        <v>Unavailable</v>
      </c>
      <c r="C9556" s="5">
        <v>14871.0</v>
      </c>
      <c r="D9556" s="3">
        <f>IFERROR(__xludf.DUMMYFUNCTION("IFERROR(
IF(REGEXMATCH(LOWER(O9556),""k""),
VALUE(REGEXEXTRACT(O9556,""[0-9]+""))*1000,
VALUE(REGEXEXTRACT(O9556,""[0-9]+""))
),
0
)"),0.0)</f>
        <v>0</v>
      </c>
      <c r="E9556" s="1" t="s">
        <v>11</v>
      </c>
      <c r="F9556" s="1" t="s">
        <v>20</v>
      </c>
      <c r="G9556" s="4" t="b">
        <f t="shared" si="2"/>
        <v>1</v>
      </c>
      <c r="H9556" s="1" t="str">
        <f t="shared" si="3"/>
        <v>Currently Unavailable</v>
      </c>
      <c r="I9556" s="1" t="str">
        <f t="shared" si="4"/>
        <v>No Badges</v>
      </c>
      <c r="J9556" s="3">
        <f t="shared" si="5"/>
        <v>0</v>
      </c>
    </row>
    <row r="9557">
      <c r="A9557" s="1" t="s">
        <v>7288</v>
      </c>
      <c r="B9557" s="3" t="str">
        <f t="shared" si="1"/>
        <v>Unavailable</v>
      </c>
      <c r="C9557" s="5">
        <v>5818.0</v>
      </c>
      <c r="D9557" s="3">
        <f>IFERROR(__xludf.DUMMYFUNCTION("IFERROR(
IF(REGEXMATCH(LOWER(O9557),""k""),
VALUE(REGEXEXTRACT(O9557,""[0-9]+""))*1000,
VALUE(REGEXEXTRACT(O9557,""[0-9]+""))
),
0
)"),0.0)</f>
        <v>0</v>
      </c>
      <c r="E9557" s="1" t="s">
        <v>158</v>
      </c>
      <c r="F9557" s="1" t="s">
        <v>20</v>
      </c>
      <c r="G9557" s="4" t="b">
        <f t="shared" si="2"/>
        <v>1</v>
      </c>
      <c r="H9557" s="1" t="str">
        <f t="shared" si="3"/>
        <v>Currently Unavailable</v>
      </c>
      <c r="I9557" s="1" t="str">
        <f t="shared" si="4"/>
        <v>No Badges</v>
      </c>
      <c r="J9557" s="3">
        <f t="shared" si="5"/>
        <v>0</v>
      </c>
    </row>
    <row r="9558">
      <c r="A9558" s="1" t="s">
        <v>7289</v>
      </c>
      <c r="B9558" s="3" t="str">
        <f t="shared" si="1"/>
        <v>Unavailable</v>
      </c>
      <c r="C9558" s="5">
        <v>1292.0</v>
      </c>
      <c r="D9558" s="3">
        <f>IFERROR(__xludf.DUMMYFUNCTION("IFERROR(
IF(REGEXMATCH(LOWER(O9558),""k""),
VALUE(REGEXEXTRACT(O9558,""[0-9]+""))*1000,
VALUE(REGEXEXTRACT(O9558,""[0-9]+""))
),
0
)"),0.0)</f>
        <v>0</v>
      </c>
      <c r="E9558" s="1" t="s">
        <v>11</v>
      </c>
      <c r="F9558" s="1" t="s">
        <v>20</v>
      </c>
      <c r="G9558" s="4" t="b">
        <f t="shared" si="2"/>
        <v>1</v>
      </c>
      <c r="H9558" s="1" t="str">
        <f t="shared" si="3"/>
        <v>Currently Unavailable</v>
      </c>
      <c r="I9558" s="1" t="str">
        <f t="shared" si="4"/>
        <v>No Badges</v>
      </c>
      <c r="J9558" s="3">
        <f t="shared" si="5"/>
        <v>0</v>
      </c>
    </row>
    <row r="9559">
      <c r="A9559" s="1" t="s">
        <v>7290</v>
      </c>
      <c r="B9559" s="3" t="str">
        <f t="shared" si="1"/>
        <v>Unavailable</v>
      </c>
      <c r="C9559" s="5">
        <v>75644.0</v>
      </c>
      <c r="D9559" s="3">
        <f>IFERROR(__xludf.DUMMYFUNCTION("IFERROR(
IF(REGEXMATCH(LOWER(O9559),""k""),
VALUE(REGEXEXTRACT(O9559,""[0-9]+""))*1000,
VALUE(REGEXEXTRACT(O9559,""[0-9]+""))
),
0
)"),0.0)</f>
        <v>0</v>
      </c>
      <c r="E9559" s="1" t="s">
        <v>158</v>
      </c>
      <c r="F9559" s="1" t="s">
        <v>20</v>
      </c>
      <c r="G9559" s="4" t="b">
        <f t="shared" si="2"/>
        <v>1</v>
      </c>
      <c r="H9559" s="1" t="str">
        <f t="shared" si="3"/>
        <v>Currently Unavailable</v>
      </c>
      <c r="I9559" s="1" t="str">
        <f t="shared" si="4"/>
        <v>No Badges</v>
      </c>
      <c r="J9559" s="3">
        <f t="shared" si="5"/>
        <v>0</v>
      </c>
    </row>
    <row r="9560">
      <c r="A9560" s="1" t="s">
        <v>7291</v>
      </c>
      <c r="B9560" s="3" t="str">
        <f t="shared" si="1"/>
        <v>Unavailable</v>
      </c>
      <c r="C9560" s="5">
        <v>35080.0</v>
      </c>
      <c r="D9560" s="3">
        <f>IFERROR(__xludf.DUMMYFUNCTION("IFERROR(
IF(REGEXMATCH(LOWER(O9560),""k""),
VALUE(REGEXEXTRACT(O9560,""[0-9]+""))*1000,
VALUE(REGEXEXTRACT(O9560,""[0-9]+""))
),
0
)"),0.0)</f>
        <v>0</v>
      </c>
      <c r="E9560" s="1" t="s">
        <v>11</v>
      </c>
      <c r="F9560" s="1" t="s">
        <v>20</v>
      </c>
      <c r="G9560" s="4" t="b">
        <f t="shared" si="2"/>
        <v>1</v>
      </c>
      <c r="H9560" s="1" t="str">
        <f t="shared" si="3"/>
        <v>Currently Unavailable</v>
      </c>
      <c r="I9560" s="1" t="str">
        <f t="shared" si="4"/>
        <v>No Badges</v>
      </c>
      <c r="J9560" s="3">
        <f t="shared" si="5"/>
        <v>0</v>
      </c>
    </row>
    <row r="9561">
      <c r="A9561" s="1" t="s">
        <v>88</v>
      </c>
      <c r="B9561" s="3" t="str">
        <f t="shared" si="1"/>
        <v>Unavailable</v>
      </c>
      <c r="C9561" s="3">
        <v>6.0</v>
      </c>
      <c r="D9561" s="3">
        <f>IFERROR(__xludf.DUMMYFUNCTION("IFERROR(
IF(REGEXMATCH(LOWER(O9561),""k""),
VALUE(REGEXEXTRACT(O9561,""[0-9]+""))*1000,
VALUE(REGEXEXTRACT(O9561,""[0-9]+""))
),
0
)"),0.0)</f>
        <v>0</v>
      </c>
      <c r="E9561" s="1" t="s">
        <v>11</v>
      </c>
      <c r="F9561" s="1" t="s">
        <v>12</v>
      </c>
      <c r="G9561" s="4" t="b">
        <f t="shared" si="2"/>
        <v>1</v>
      </c>
      <c r="H9561" s="1" t="str">
        <f t="shared" si="3"/>
        <v>Currently Unavailable</v>
      </c>
      <c r="I9561" s="1" t="str">
        <f t="shared" si="4"/>
        <v>No Badges</v>
      </c>
      <c r="J9561" s="3">
        <f t="shared" si="5"/>
        <v>0</v>
      </c>
    </row>
    <row r="9562">
      <c r="A9562" s="1" t="s">
        <v>7246</v>
      </c>
      <c r="B9562" s="3" t="str">
        <f t="shared" si="1"/>
        <v>Unavailable</v>
      </c>
      <c r="C9562" s="5">
        <v>2457.0</v>
      </c>
      <c r="D9562" s="3">
        <f>IFERROR(__xludf.DUMMYFUNCTION("IFERROR(
IF(REGEXMATCH(LOWER(O9562),""k""),
VALUE(REGEXEXTRACT(O9562,""[0-9]+""))*1000,
VALUE(REGEXEXTRACT(O9562,""[0-9]+""))
),
0
)"),0.0)</f>
        <v>0</v>
      </c>
      <c r="E9562" s="1" t="s">
        <v>11</v>
      </c>
      <c r="F9562" s="1" t="s">
        <v>20</v>
      </c>
      <c r="G9562" s="4" t="b">
        <f t="shared" si="2"/>
        <v>1</v>
      </c>
      <c r="H9562" s="1" t="str">
        <f t="shared" si="3"/>
        <v>Currently Unavailable</v>
      </c>
      <c r="I9562" s="1" t="str">
        <f t="shared" si="4"/>
        <v>No Badges</v>
      </c>
      <c r="J9562" s="3">
        <f t="shared" si="5"/>
        <v>0</v>
      </c>
    </row>
    <row r="9563">
      <c r="A9563" s="1" t="s">
        <v>7292</v>
      </c>
      <c r="B9563" s="3" t="str">
        <f t="shared" si="1"/>
        <v>Unavailable</v>
      </c>
      <c r="C9563" s="5">
        <v>2206.0</v>
      </c>
      <c r="D9563" s="3">
        <f>IFERROR(__xludf.DUMMYFUNCTION("IFERROR(
IF(REGEXMATCH(LOWER(O9563),""k""),
VALUE(REGEXEXTRACT(O9563,""[0-9]+""))*1000,
VALUE(REGEXEXTRACT(O9563,""[0-9]+""))
),
0
)"),0.0)</f>
        <v>0</v>
      </c>
      <c r="E9563" s="1" t="s">
        <v>11</v>
      </c>
      <c r="F9563" s="1" t="s">
        <v>20</v>
      </c>
      <c r="G9563" s="4" t="b">
        <f t="shared" si="2"/>
        <v>1</v>
      </c>
      <c r="H9563" s="1" t="str">
        <f t="shared" si="3"/>
        <v>Currently Unavailable</v>
      </c>
      <c r="I9563" s="1" t="str">
        <f t="shared" si="4"/>
        <v>No Badges</v>
      </c>
      <c r="J9563" s="3">
        <f t="shared" si="5"/>
        <v>0</v>
      </c>
    </row>
    <row r="9564">
      <c r="A9564" s="1" t="s">
        <v>7293</v>
      </c>
      <c r="B9564" s="3" t="str">
        <f t="shared" si="1"/>
        <v>Unavailable</v>
      </c>
      <c r="C9564" s="3">
        <v>16.0</v>
      </c>
      <c r="D9564" s="3">
        <f>IFERROR(__xludf.DUMMYFUNCTION("IFERROR(
IF(REGEXMATCH(LOWER(O9564),""k""),
VALUE(REGEXEXTRACT(O9564,""[0-9]+""))*1000,
VALUE(REGEXEXTRACT(O9564,""[0-9]+""))
),
0
)"),0.0)</f>
        <v>0</v>
      </c>
      <c r="E9564" s="1" t="s">
        <v>11</v>
      </c>
      <c r="F9564" s="1" t="s">
        <v>20</v>
      </c>
      <c r="G9564" s="4" t="b">
        <f t="shared" si="2"/>
        <v>1</v>
      </c>
      <c r="H9564" s="1" t="str">
        <f t="shared" si="3"/>
        <v>Currently Unavailable</v>
      </c>
      <c r="I9564" s="1" t="str">
        <f t="shared" si="4"/>
        <v>No Badges</v>
      </c>
      <c r="J9564" s="3">
        <f t="shared" si="5"/>
        <v>0</v>
      </c>
    </row>
    <row r="9565">
      <c r="A9565" s="1" t="s">
        <v>7294</v>
      </c>
      <c r="B9565" s="3" t="str">
        <f t="shared" si="1"/>
        <v>Unavailable</v>
      </c>
      <c r="C9565" s="5">
        <v>70658.0</v>
      </c>
      <c r="D9565" s="3">
        <f>IFERROR(__xludf.DUMMYFUNCTION("IFERROR(
IF(REGEXMATCH(LOWER(O9565),""k""),
VALUE(REGEXEXTRACT(O9565,""[0-9]+""))*1000,
VALUE(REGEXEXTRACT(O9565,""[0-9]+""))
),
0
)"),0.0)</f>
        <v>0</v>
      </c>
      <c r="E9565" s="1" t="s">
        <v>158</v>
      </c>
      <c r="F9565" s="1" t="s">
        <v>20</v>
      </c>
      <c r="G9565" s="4" t="b">
        <f t="shared" si="2"/>
        <v>1</v>
      </c>
      <c r="H9565" s="1" t="str">
        <f t="shared" si="3"/>
        <v>Currently Unavailable</v>
      </c>
      <c r="I9565" s="1" t="str">
        <f t="shared" si="4"/>
        <v>No Badges</v>
      </c>
      <c r="J9565" s="3">
        <f t="shared" si="5"/>
        <v>0</v>
      </c>
    </row>
    <row r="9566">
      <c r="A9566" s="1" t="s">
        <v>7295</v>
      </c>
      <c r="B9566" s="3" t="str">
        <f t="shared" si="1"/>
        <v>Unavailable</v>
      </c>
      <c r="C9566" s="5">
        <v>19439.0</v>
      </c>
      <c r="D9566" s="3">
        <f>IFERROR(__xludf.DUMMYFUNCTION("IFERROR(
IF(REGEXMATCH(LOWER(O9566),""k""),
VALUE(REGEXEXTRACT(O9566,""[0-9]+""))*1000,
VALUE(REGEXEXTRACT(O9566,""[0-9]+""))
),
0
)"),0.0)</f>
        <v>0</v>
      </c>
      <c r="E9566" s="1" t="s">
        <v>11</v>
      </c>
      <c r="F9566" s="1" t="s">
        <v>20</v>
      </c>
      <c r="G9566" s="4" t="b">
        <f t="shared" si="2"/>
        <v>1</v>
      </c>
      <c r="H9566" s="1" t="str">
        <f t="shared" si="3"/>
        <v>Currently Unavailable</v>
      </c>
      <c r="I9566" s="1" t="str">
        <f t="shared" si="4"/>
        <v>No Badges</v>
      </c>
      <c r="J9566" s="3">
        <f t="shared" si="5"/>
        <v>0</v>
      </c>
    </row>
    <row r="9567">
      <c r="A9567" s="1" t="s">
        <v>7296</v>
      </c>
      <c r="B9567" s="3" t="str">
        <f t="shared" si="1"/>
        <v>Unavailable</v>
      </c>
      <c r="C9567" s="5">
        <v>10328.0</v>
      </c>
      <c r="D9567" s="3">
        <f>IFERROR(__xludf.DUMMYFUNCTION("IFERROR(
IF(REGEXMATCH(LOWER(O9567),""k""),
VALUE(REGEXEXTRACT(O9567,""[0-9]+""))*1000,
VALUE(REGEXEXTRACT(O9567,""[0-9]+""))
),
0
)"),0.0)</f>
        <v>0</v>
      </c>
      <c r="E9567" s="1" t="s">
        <v>11</v>
      </c>
      <c r="F9567" s="1" t="s">
        <v>20</v>
      </c>
      <c r="G9567" s="4" t="b">
        <f t="shared" si="2"/>
        <v>1</v>
      </c>
      <c r="H9567" s="1" t="str">
        <f t="shared" si="3"/>
        <v>Currently Unavailable</v>
      </c>
      <c r="I9567" s="1" t="str">
        <f t="shared" si="4"/>
        <v>No Badges</v>
      </c>
      <c r="J9567" s="3">
        <f t="shared" si="5"/>
        <v>0</v>
      </c>
    </row>
    <row r="9568">
      <c r="A9568" s="1" t="s">
        <v>7297</v>
      </c>
      <c r="B9568" s="3" t="str">
        <f t="shared" si="1"/>
        <v>Unavailable</v>
      </c>
      <c r="C9568" s="5">
        <v>1942.0</v>
      </c>
      <c r="D9568" s="3">
        <f>IFERROR(__xludf.DUMMYFUNCTION("IFERROR(
IF(REGEXMATCH(LOWER(O9568),""k""),
VALUE(REGEXEXTRACT(O9568,""[0-9]+""))*1000,
VALUE(REGEXEXTRACT(O9568,""[0-9]+""))
),
0
)"),0.0)</f>
        <v>0</v>
      </c>
      <c r="E9568" s="1" t="s">
        <v>158</v>
      </c>
      <c r="F9568" s="1" t="s">
        <v>20</v>
      </c>
      <c r="G9568" s="4" t="b">
        <f t="shared" si="2"/>
        <v>1</v>
      </c>
      <c r="H9568" s="1" t="str">
        <f t="shared" si="3"/>
        <v>Currently Unavailable</v>
      </c>
      <c r="I9568" s="1" t="str">
        <f t="shared" si="4"/>
        <v>No Badges</v>
      </c>
      <c r="J9568" s="3">
        <f t="shared" si="5"/>
        <v>0</v>
      </c>
    </row>
    <row r="9569">
      <c r="A9569" s="1" t="s">
        <v>7298</v>
      </c>
      <c r="B9569" s="3" t="str">
        <f t="shared" si="1"/>
        <v>Unavailable</v>
      </c>
      <c r="C9569" s="5">
        <v>13953.0</v>
      </c>
      <c r="D9569" s="3">
        <f>IFERROR(__xludf.DUMMYFUNCTION("IFERROR(
IF(REGEXMATCH(LOWER(O9569),""k""),
VALUE(REGEXEXTRACT(O9569,""[0-9]+""))*1000,
VALUE(REGEXEXTRACT(O9569,""[0-9]+""))
),
0
)"),0.0)</f>
        <v>0</v>
      </c>
      <c r="E9569" s="1" t="s">
        <v>11</v>
      </c>
      <c r="F9569" s="1" t="s">
        <v>20</v>
      </c>
      <c r="G9569" s="4" t="b">
        <f t="shared" si="2"/>
        <v>1</v>
      </c>
      <c r="H9569" s="1" t="str">
        <f t="shared" si="3"/>
        <v>Currently Unavailable</v>
      </c>
      <c r="I9569" s="1" t="str">
        <f t="shared" si="4"/>
        <v>No Badges</v>
      </c>
      <c r="J9569" s="3">
        <f t="shared" si="5"/>
        <v>0</v>
      </c>
    </row>
    <row r="9570">
      <c r="A9570" s="1" t="s">
        <v>7299</v>
      </c>
      <c r="B9570" s="3" t="str">
        <f t="shared" si="1"/>
        <v>Unavailable</v>
      </c>
      <c r="C9570" s="3">
        <v>621.0</v>
      </c>
      <c r="D9570" s="3">
        <f>IFERROR(__xludf.DUMMYFUNCTION("IFERROR(
IF(REGEXMATCH(LOWER(O9570),""k""),
VALUE(REGEXEXTRACT(O9570,""[0-9]+""))*1000,
VALUE(REGEXEXTRACT(O9570,""[0-9]+""))
),
0
)"),0.0)</f>
        <v>0</v>
      </c>
      <c r="E9570" s="1" t="s">
        <v>158</v>
      </c>
      <c r="F9570" s="1" t="s">
        <v>20</v>
      </c>
      <c r="G9570" s="4" t="b">
        <f t="shared" si="2"/>
        <v>1</v>
      </c>
      <c r="H9570" s="1" t="str">
        <f t="shared" si="3"/>
        <v>Currently Unavailable</v>
      </c>
      <c r="I9570" s="1" t="str">
        <f t="shared" si="4"/>
        <v>No Badges</v>
      </c>
      <c r="J9570" s="3">
        <f t="shared" si="5"/>
        <v>0</v>
      </c>
    </row>
    <row r="9571">
      <c r="A9571" s="1" t="s">
        <v>7300</v>
      </c>
      <c r="B9571" s="3" t="str">
        <f t="shared" si="1"/>
        <v>Unavailable</v>
      </c>
      <c r="C9571" s="5">
        <v>91375.0</v>
      </c>
      <c r="D9571" s="3">
        <f>IFERROR(__xludf.DUMMYFUNCTION("IFERROR(
IF(REGEXMATCH(LOWER(O9571),""k""),
VALUE(REGEXEXTRACT(O9571,""[0-9]+""))*1000,
VALUE(REGEXEXTRACT(O9571,""[0-9]+""))
),
0
)"),0.0)</f>
        <v>0</v>
      </c>
      <c r="E9571" s="1" t="s">
        <v>158</v>
      </c>
      <c r="F9571" s="1" t="s">
        <v>20</v>
      </c>
      <c r="G9571" s="4" t="b">
        <f t="shared" si="2"/>
        <v>1</v>
      </c>
      <c r="H9571" s="1" t="str">
        <f t="shared" si="3"/>
        <v>Currently Unavailable</v>
      </c>
      <c r="I9571" s="1" t="str">
        <f t="shared" si="4"/>
        <v>No Badges</v>
      </c>
      <c r="J9571" s="3">
        <f t="shared" si="5"/>
        <v>0</v>
      </c>
    </row>
    <row r="9572">
      <c r="A9572" s="1" t="s">
        <v>7301</v>
      </c>
      <c r="B9572" s="3" t="str">
        <f t="shared" si="1"/>
        <v>Unavailable</v>
      </c>
      <c r="C9572" s="5">
        <v>20963.0</v>
      </c>
      <c r="D9572" s="3">
        <f>IFERROR(__xludf.DUMMYFUNCTION("IFERROR(
IF(REGEXMATCH(LOWER(O9572),""k""),
VALUE(REGEXEXTRACT(O9572,""[0-9]+""))*1000,
VALUE(REGEXEXTRACT(O9572,""[0-9]+""))
),
0
)"),0.0)</f>
        <v>0</v>
      </c>
      <c r="E9572" s="1" t="s">
        <v>11</v>
      </c>
      <c r="F9572" s="1" t="s">
        <v>20</v>
      </c>
      <c r="G9572" s="4" t="b">
        <f t="shared" si="2"/>
        <v>1</v>
      </c>
      <c r="H9572" s="1" t="str">
        <f t="shared" si="3"/>
        <v>Currently Unavailable</v>
      </c>
      <c r="I9572" s="1" t="str">
        <f t="shared" si="4"/>
        <v>No Badges</v>
      </c>
      <c r="J9572" s="3">
        <f t="shared" si="5"/>
        <v>0</v>
      </c>
    </row>
    <row r="9573">
      <c r="A9573" s="1" t="s">
        <v>7302</v>
      </c>
      <c r="B9573" s="3" t="str">
        <f t="shared" si="1"/>
        <v>Unavailable</v>
      </c>
      <c r="C9573" s="5">
        <v>2366.0</v>
      </c>
      <c r="D9573" s="3">
        <f>IFERROR(__xludf.DUMMYFUNCTION("IFERROR(
IF(REGEXMATCH(LOWER(O9573),""k""),
VALUE(REGEXEXTRACT(O9573,""[0-9]+""))*1000,
VALUE(REGEXEXTRACT(O9573,""[0-9]+""))
),
0
)"),0.0)</f>
        <v>0</v>
      </c>
      <c r="E9573" s="1" t="s">
        <v>11</v>
      </c>
      <c r="F9573" s="1" t="s">
        <v>20</v>
      </c>
      <c r="G9573" s="4" t="b">
        <f t="shared" si="2"/>
        <v>1</v>
      </c>
      <c r="H9573" s="1" t="str">
        <f t="shared" si="3"/>
        <v>Currently Unavailable</v>
      </c>
      <c r="I9573" s="1" t="str">
        <f t="shared" si="4"/>
        <v>No Badges</v>
      </c>
      <c r="J9573" s="3">
        <f t="shared" si="5"/>
        <v>0</v>
      </c>
    </row>
    <row r="9574">
      <c r="A9574" s="1" t="s">
        <v>7303</v>
      </c>
      <c r="B9574" s="3" t="str">
        <f t="shared" si="1"/>
        <v>Unavailable</v>
      </c>
      <c r="C9574" s="5">
        <v>18217.0</v>
      </c>
      <c r="D9574" s="3">
        <f>IFERROR(__xludf.DUMMYFUNCTION("IFERROR(
IF(REGEXMATCH(LOWER(O9574),""k""),
VALUE(REGEXEXTRACT(O9574,""[0-9]+""))*1000,
VALUE(REGEXEXTRACT(O9574,""[0-9]+""))
),
0
)"),0.0)</f>
        <v>0</v>
      </c>
      <c r="E9574" s="1" t="s">
        <v>11</v>
      </c>
      <c r="F9574" s="1" t="s">
        <v>20</v>
      </c>
      <c r="G9574" s="4" t="b">
        <f t="shared" si="2"/>
        <v>1</v>
      </c>
      <c r="H9574" s="1" t="str">
        <f t="shared" si="3"/>
        <v>Currently Unavailable</v>
      </c>
      <c r="I9574" s="1" t="str">
        <f t="shared" si="4"/>
        <v>No Badges</v>
      </c>
      <c r="J9574" s="3">
        <f t="shared" si="5"/>
        <v>0</v>
      </c>
    </row>
    <row r="9575">
      <c r="A9575" s="1" t="s">
        <v>7304</v>
      </c>
      <c r="B9575" s="3" t="str">
        <f t="shared" si="1"/>
        <v>Unavailable</v>
      </c>
      <c r="C9575" s="3">
        <v>60.0</v>
      </c>
      <c r="D9575" s="3">
        <f>IFERROR(__xludf.DUMMYFUNCTION("IFERROR(
IF(REGEXMATCH(LOWER(O9575),""k""),
VALUE(REGEXEXTRACT(O9575,""[0-9]+""))*1000,
VALUE(REGEXEXTRACT(O9575,""[0-9]+""))
),
0
)"),0.0)</f>
        <v>0</v>
      </c>
      <c r="E9575" s="1" t="s">
        <v>11</v>
      </c>
      <c r="F9575" s="1" t="s">
        <v>20</v>
      </c>
      <c r="G9575" s="4" t="b">
        <f t="shared" si="2"/>
        <v>1</v>
      </c>
      <c r="H9575" s="1" t="str">
        <f t="shared" si="3"/>
        <v>Currently Unavailable</v>
      </c>
      <c r="I9575" s="1" t="str">
        <f t="shared" si="4"/>
        <v>No Badges</v>
      </c>
      <c r="J9575" s="3">
        <f t="shared" si="5"/>
        <v>0</v>
      </c>
    </row>
    <row r="9576">
      <c r="A9576" s="1" t="s">
        <v>7305</v>
      </c>
      <c r="B9576" s="3" t="str">
        <f t="shared" si="1"/>
        <v>Unavailable</v>
      </c>
      <c r="C9576" s="5">
        <v>8901.0</v>
      </c>
      <c r="D9576" s="3">
        <f>IFERROR(__xludf.DUMMYFUNCTION("IFERROR(
IF(REGEXMATCH(LOWER(O9576),""k""),
VALUE(REGEXEXTRACT(O9576,""[0-9]+""))*1000,
VALUE(REGEXEXTRACT(O9576,""[0-9]+""))
),
0
)"),0.0)</f>
        <v>0</v>
      </c>
      <c r="E9576" s="1" t="s">
        <v>11</v>
      </c>
      <c r="F9576" s="1" t="s">
        <v>20</v>
      </c>
      <c r="G9576" s="4" t="b">
        <f t="shared" si="2"/>
        <v>1</v>
      </c>
      <c r="H9576" s="1" t="str">
        <f t="shared" si="3"/>
        <v>Currently Unavailable</v>
      </c>
      <c r="I9576" s="1" t="str">
        <f t="shared" si="4"/>
        <v>No Badges</v>
      </c>
      <c r="J9576" s="3">
        <f t="shared" si="5"/>
        <v>0</v>
      </c>
    </row>
    <row r="9577">
      <c r="A9577" s="1" t="s">
        <v>7306</v>
      </c>
      <c r="B9577" s="3" t="str">
        <f t="shared" si="1"/>
        <v>Unavailable</v>
      </c>
      <c r="C9577" s="5">
        <v>167707.0</v>
      </c>
      <c r="D9577" s="3">
        <f>IFERROR(__xludf.DUMMYFUNCTION("IFERROR(
IF(REGEXMATCH(LOWER(O9577),""k""),
VALUE(REGEXEXTRACT(O9577,""[0-9]+""))*1000,
VALUE(REGEXEXTRACT(O9577,""[0-9]+""))
),
0
)"),0.0)</f>
        <v>0</v>
      </c>
      <c r="E9577" s="1" t="s">
        <v>11</v>
      </c>
      <c r="F9577" s="1" t="s">
        <v>20</v>
      </c>
      <c r="G9577" s="4" t="b">
        <f t="shared" si="2"/>
        <v>1</v>
      </c>
      <c r="H9577" s="1" t="str">
        <f t="shared" si="3"/>
        <v>Currently Unavailable</v>
      </c>
      <c r="I9577" s="1" t="str">
        <f t="shared" si="4"/>
        <v>No Badges</v>
      </c>
      <c r="J9577" s="3">
        <f t="shared" si="5"/>
        <v>0</v>
      </c>
    </row>
    <row r="9578">
      <c r="A9578" s="1" t="s">
        <v>7307</v>
      </c>
      <c r="B9578" s="3" t="str">
        <f t="shared" si="1"/>
        <v>Unavailable</v>
      </c>
      <c r="C9578" s="5">
        <v>59800.0</v>
      </c>
      <c r="D9578" s="3">
        <f>IFERROR(__xludf.DUMMYFUNCTION("IFERROR(
IF(REGEXMATCH(LOWER(O9578),""k""),
VALUE(REGEXEXTRACT(O9578,""[0-9]+""))*1000,
VALUE(REGEXEXTRACT(O9578,""[0-9]+""))
),
0
)"),0.0)</f>
        <v>0</v>
      </c>
      <c r="E9578" s="1" t="s">
        <v>11</v>
      </c>
      <c r="F9578" s="1" t="s">
        <v>20</v>
      </c>
      <c r="G9578" s="4" t="b">
        <f t="shared" si="2"/>
        <v>1</v>
      </c>
      <c r="H9578" s="1" t="str">
        <f t="shared" si="3"/>
        <v>Currently Unavailable</v>
      </c>
      <c r="I9578" s="1" t="str">
        <f t="shared" si="4"/>
        <v>No Badges</v>
      </c>
      <c r="J9578" s="3">
        <f t="shared" si="5"/>
        <v>0</v>
      </c>
    </row>
    <row r="9579">
      <c r="A9579" s="1" t="s">
        <v>7308</v>
      </c>
      <c r="B9579" s="3" t="str">
        <f t="shared" si="1"/>
        <v>Unavailable</v>
      </c>
      <c r="C9579" s="5">
        <v>5108.0</v>
      </c>
      <c r="D9579" s="3">
        <f>IFERROR(__xludf.DUMMYFUNCTION("IFERROR(
IF(REGEXMATCH(LOWER(O9579),""k""),
VALUE(REGEXEXTRACT(O9579,""[0-9]+""))*1000,
VALUE(REGEXEXTRACT(O9579,""[0-9]+""))
),
0
)"),0.0)</f>
        <v>0</v>
      </c>
      <c r="E9579" s="1" t="s">
        <v>11</v>
      </c>
      <c r="F9579" s="1" t="s">
        <v>20</v>
      </c>
      <c r="G9579" s="4" t="b">
        <f t="shared" si="2"/>
        <v>1</v>
      </c>
      <c r="H9579" s="1" t="str">
        <f t="shared" si="3"/>
        <v>Currently Unavailable</v>
      </c>
      <c r="I9579" s="1" t="str">
        <f t="shared" si="4"/>
        <v>No Badges</v>
      </c>
      <c r="J9579" s="3">
        <f t="shared" si="5"/>
        <v>0</v>
      </c>
    </row>
    <row r="9580">
      <c r="A9580" s="1" t="s">
        <v>7309</v>
      </c>
      <c r="B9580" s="3" t="str">
        <f t="shared" si="1"/>
        <v>Unavailable</v>
      </c>
      <c r="C9580" s="5">
        <v>52567.0</v>
      </c>
      <c r="D9580" s="3">
        <f>IFERROR(__xludf.DUMMYFUNCTION("IFERROR(
IF(REGEXMATCH(LOWER(O9580),""k""),
VALUE(REGEXEXTRACT(O9580,""[0-9]+""))*1000,
VALUE(REGEXEXTRACT(O9580,""[0-9]+""))
),
0
)"),0.0)</f>
        <v>0</v>
      </c>
      <c r="E9580" s="1" t="s">
        <v>11</v>
      </c>
      <c r="F9580" s="1" t="s">
        <v>20</v>
      </c>
      <c r="G9580" s="4" t="b">
        <f t="shared" si="2"/>
        <v>1</v>
      </c>
      <c r="H9580" s="1" t="str">
        <f t="shared" si="3"/>
        <v>Currently Unavailable</v>
      </c>
      <c r="I9580" s="1" t="str">
        <f t="shared" si="4"/>
        <v>No Badges</v>
      </c>
      <c r="J9580" s="3">
        <f t="shared" si="5"/>
        <v>0</v>
      </c>
    </row>
    <row r="9581">
      <c r="A9581" s="1" t="s">
        <v>7310</v>
      </c>
      <c r="B9581" s="3" t="str">
        <f t="shared" si="1"/>
        <v>Unavailable</v>
      </c>
      <c r="C9581" s="5">
        <v>7179.0</v>
      </c>
      <c r="D9581" s="3">
        <f>IFERROR(__xludf.DUMMYFUNCTION("IFERROR(
IF(REGEXMATCH(LOWER(O9581),""k""),
VALUE(REGEXEXTRACT(O9581,""[0-9]+""))*1000,
VALUE(REGEXEXTRACT(O9581,""[0-9]+""))
),
0
)"),0.0)</f>
        <v>0</v>
      </c>
      <c r="E9581" s="1" t="s">
        <v>11</v>
      </c>
      <c r="F9581" s="1" t="s">
        <v>20</v>
      </c>
      <c r="G9581" s="4" t="b">
        <f t="shared" si="2"/>
        <v>1</v>
      </c>
      <c r="H9581" s="1" t="str">
        <f t="shared" si="3"/>
        <v>Currently Unavailable</v>
      </c>
      <c r="I9581" s="1" t="str">
        <f t="shared" si="4"/>
        <v>No Badges</v>
      </c>
      <c r="J9581" s="3">
        <f t="shared" si="5"/>
        <v>0</v>
      </c>
    </row>
    <row r="9582">
      <c r="A9582" s="1" t="s">
        <v>7311</v>
      </c>
      <c r="B9582" s="3" t="str">
        <f t="shared" si="1"/>
        <v>Unavailable</v>
      </c>
      <c r="C9582" s="5">
        <v>7830.0</v>
      </c>
      <c r="D9582" s="3">
        <f>IFERROR(__xludf.DUMMYFUNCTION("IFERROR(
IF(REGEXMATCH(LOWER(O9582),""k""),
VALUE(REGEXEXTRACT(O9582,""[0-9]+""))*1000,
VALUE(REGEXEXTRACT(O9582,""[0-9]+""))
),
0
)"),0.0)</f>
        <v>0</v>
      </c>
      <c r="E9582" s="1" t="s">
        <v>11</v>
      </c>
      <c r="F9582" s="1" t="s">
        <v>12</v>
      </c>
      <c r="G9582" s="4" t="b">
        <f t="shared" si="2"/>
        <v>1</v>
      </c>
      <c r="H9582" s="1" t="str">
        <f t="shared" si="3"/>
        <v>Currently Unavailable</v>
      </c>
      <c r="I9582" s="1" t="str">
        <f t="shared" si="4"/>
        <v>No Badges</v>
      </c>
      <c r="J9582" s="3">
        <f t="shared" si="5"/>
        <v>0</v>
      </c>
    </row>
    <row r="9583">
      <c r="A9583" s="1" t="s">
        <v>7312</v>
      </c>
      <c r="B9583" s="3" t="str">
        <f t="shared" si="1"/>
        <v>Unavailable</v>
      </c>
      <c r="C9583" s="5">
        <v>2048.0</v>
      </c>
      <c r="D9583" s="3">
        <f>IFERROR(__xludf.DUMMYFUNCTION("IFERROR(
IF(REGEXMATCH(LOWER(O9583),""k""),
VALUE(REGEXEXTRACT(O9583,""[0-9]+""))*1000,
VALUE(REGEXEXTRACT(O9583,""[0-9]+""))
),
0
)"),0.0)</f>
        <v>0</v>
      </c>
      <c r="E9583" s="1" t="s">
        <v>11</v>
      </c>
      <c r="F9583" s="1" t="s">
        <v>20</v>
      </c>
      <c r="G9583" s="4" t="b">
        <f t="shared" si="2"/>
        <v>1</v>
      </c>
      <c r="H9583" s="1" t="str">
        <f t="shared" si="3"/>
        <v>Currently Unavailable</v>
      </c>
      <c r="I9583" s="1" t="str">
        <f t="shared" si="4"/>
        <v>No Badges</v>
      </c>
      <c r="J9583" s="3">
        <f t="shared" si="5"/>
        <v>0</v>
      </c>
    </row>
    <row r="9584">
      <c r="A9584" s="1" t="s">
        <v>7313</v>
      </c>
      <c r="B9584" s="3" t="str">
        <f t="shared" si="1"/>
        <v>Unavailable</v>
      </c>
      <c r="C9584" s="3">
        <v>768.0</v>
      </c>
      <c r="D9584" s="3">
        <f>IFERROR(__xludf.DUMMYFUNCTION("IFERROR(
IF(REGEXMATCH(LOWER(O9584),""k""),
VALUE(REGEXEXTRACT(O9584,""[0-9]+""))*1000,
VALUE(REGEXEXTRACT(O9584,""[0-9]+""))
),
0
)"),0.0)</f>
        <v>0</v>
      </c>
      <c r="E9584" s="1" t="s">
        <v>11</v>
      </c>
      <c r="F9584" s="1" t="s">
        <v>20</v>
      </c>
      <c r="G9584" s="4" t="b">
        <f t="shared" si="2"/>
        <v>1</v>
      </c>
      <c r="H9584" s="1" t="str">
        <f t="shared" si="3"/>
        <v>Currently Unavailable</v>
      </c>
      <c r="I9584" s="1" t="str">
        <f t="shared" si="4"/>
        <v>No Badges</v>
      </c>
      <c r="J9584" s="3">
        <f t="shared" si="5"/>
        <v>0</v>
      </c>
    </row>
    <row r="9585">
      <c r="A9585" s="1" t="s">
        <v>7314</v>
      </c>
      <c r="B9585" s="3" t="str">
        <f t="shared" si="1"/>
        <v>Unavailable</v>
      </c>
      <c r="C9585" s="3">
        <v>227.0</v>
      </c>
      <c r="D9585" s="3">
        <f>IFERROR(__xludf.DUMMYFUNCTION("IFERROR(
IF(REGEXMATCH(LOWER(O9585),""k""),
VALUE(REGEXEXTRACT(O9585,""[0-9]+""))*1000,
VALUE(REGEXEXTRACT(O9585,""[0-9]+""))
),
0
)"),0.0)</f>
        <v>0</v>
      </c>
      <c r="E9585" s="1" t="s">
        <v>11</v>
      </c>
      <c r="F9585" s="1" t="s">
        <v>20</v>
      </c>
      <c r="G9585" s="4" t="b">
        <f t="shared" si="2"/>
        <v>1</v>
      </c>
      <c r="H9585" s="1" t="str">
        <f t="shared" si="3"/>
        <v>Currently Unavailable</v>
      </c>
      <c r="I9585" s="1" t="str">
        <f t="shared" si="4"/>
        <v>No Badges</v>
      </c>
      <c r="J9585" s="3">
        <f t="shared" si="5"/>
        <v>0</v>
      </c>
    </row>
    <row r="9586">
      <c r="A9586" s="1" t="s">
        <v>7315</v>
      </c>
      <c r="B9586" s="3" t="str">
        <f t="shared" si="1"/>
        <v>Unavailable</v>
      </c>
      <c r="C9586" s="3">
        <v>154.0</v>
      </c>
      <c r="D9586" s="3">
        <f>IFERROR(__xludf.DUMMYFUNCTION("IFERROR(
IF(REGEXMATCH(LOWER(O9586),""k""),
VALUE(REGEXEXTRACT(O9586,""[0-9]+""))*1000,
VALUE(REGEXEXTRACT(O9586,""[0-9]+""))
),
0
)"),0.0)</f>
        <v>0</v>
      </c>
      <c r="E9586" s="1" t="s">
        <v>11</v>
      </c>
      <c r="F9586" s="1" t="s">
        <v>20</v>
      </c>
      <c r="G9586" s="4" t="b">
        <f t="shared" si="2"/>
        <v>1</v>
      </c>
      <c r="H9586" s="1" t="str">
        <f t="shared" si="3"/>
        <v>Currently Unavailable</v>
      </c>
      <c r="I9586" s="1" t="str">
        <f t="shared" si="4"/>
        <v>No Badges</v>
      </c>
      <c r="J9586" s="6">
        <f t="shared" si="5"/>
        <v>0</v>
      </c>
    </row>
    <row r="9587">
      <c r="A9587" s="1" t="s">
        <v>7316</v>
      </c>
      <c r="B9587" s="3" t="str">
        <f t="shared" si="1"/>
        <v>Unavailable</v>
      </c>
      <c r="C9587" s="3">
        <v>383.0</v>
      </c>
      <c r="D9587" s="3">
        <f>IFERROR(__xludf.DUMMYFUNCTION("IFERROR(
IF(REGEXMATCH(LOWER(O9587),""k""),
VALUE(REGEXEXTRACT(O9587,""[0-9]+""))*1000,
VALUE(REGEXEXTRACT(O9587,""[0-9]+""))
),
0
)"),0.0)</f>
        <v>0</v>
      </c>
      <c r="E9587" s="1" t="s">
        <v>11</v>
      </c>
      <c r="F9587" s="1" t="s">
        <v>20</v>
      </c>
      <c r="G9587" s="4" t="b">
        <f t="shared" si="2"/>
        <v>1</v>
      </c>
      <c r="H9587" s="1" t="str">
        <f t="shared" si="3"/>
        <v>Currently Unavailable</v>
      </c>
      <c r="I9587" s="1" t="str">
        <f t="shared" si="4"/>
        <v>No Badges</v>
      </c>
      <c r="J9587" s="3">
        <f t="shared" si="5"/>
        <v>0</v>
      </c>
    </row>
    <row r="9588">
      <c r="A9588" s="1" t="s">
        <v>7317</v>
      </c>
      <c r="B9588" s="3" t="str">
        <f t="shared" si="1"/>
        <v>Unavailable</v>
      </c>
      <c r="C9588" s="3">
        <v>481.0</v>
      </c>
      <c r="D9588" s="3">
        <f>IFERROR(__xludf.DUMMYFUNCTION("IFERROR(
IF(REGEXMATCH(LOWER(O9588),""k""),
VALUE(REGEXEXTRACT(O9588,""[0-9]+""))*1000,
VALUE(REGEXEXTRACT(O9588,""[0-9]+""))
),
0
)"),0.0)</f>
        <v>0</v>
      </c>
      <c r="E9588" s="1" t="s">
        <v>11</v>
      </c>
      <c r="F9588" s="1" t="s">
        <v>20</v>
      </c>
      <c r="G9588" s="4" t="b">
        <f t="shared" si="2"/>
        <v>1</v>
      </c>
      <c r="H9588" s="1" t="str">
        <f t="shared" si="3"/>
        <v>Currently Unavailable</v>
      </c>
      <c r="I9588" s="1" t="str">
        <f t="shared" si="4"/>
        <v>No Badges</v>
      </c>
      <c r="J9588" s="3">
        <f t="shared" si="5"/>
        <v>0</v>
      </c>
    </row>
    <row r="9589">
      <c r="A9589" s="1" t="s">
        <v>7318</v>
      </c>
      <c r="B9589" s="3" t="str">
        <f t="shared" si="1"/>
        <v>Unavailable</v>
      </c>
      <c r="C9589" s="5">
        <v>1054.0</v>
      </c>
      <c r="D9589" s="3">
        <f>IFERROR(__xludf.DUMMYFUNCTION("IFERROR(
IF(REGEXMATCH(LOWER(O9589),""k""),
VALUE(REGEXEXTRACT(O9589,""[0-9]+""))*1000,
VALUE(REGEXEXTRACT(O9589,""[0-9]+""))
),
0
)"),0.0)</f>
        <v>0</v>
      </c>
      <c r="E9589" s="1" t="s">
        <v>11</v>
      </c>
      <c r="F9589" s="1" t="s">
        <v>20</v>
      </c>
      <c r="G9589" s="4" t="b">
        <f t="shared" si="2"/>
        <v>1</v>
      </c>
      <c r="H9589" s="1" t="str">
        <f t="shared" si="3"/>
        <v>Currently Unavailable</v>
      </c>
      <c r="I9589" s="1" t="str">
        <f t="shared" si="4"/>
        <v>No Badges</v>
      </c>
      <c r="J9589" s="3">
        <f t="shared" si="5"/>
        <v>0</v>
      </c>
    </row>
    <row r="9590">
      <c r="A9590" s="1" t="s">
        <v>7319</v>
      </c>
      <c r="B9590" s="3" t="str">
        <f t="shared" si="1"/>
        <v>Unavailable</v>
      </c>
      <c r="C9590" s="5">
        <v>1091.0</v>
      </c>
      <c r="D9590" s="3">
        <f>IFERROR(__xludf.DUMMYFUNCTION("IFERROR(
IF(REGEXMATCH(LOWER(O9590),""k""),
VALUE(REGEXEXTRACT(O9590,""[0-9]+""))*1000,
VALUE(REGEXEXTRACT(O9590,""[0-9]+""))
),
0
)"),0.0)</f>
        <v>0</v>
      </c>
      <c r="E9590" s="1" t="s">
        <v>11</v>
      </c>
      <c r="F9590" s="1" t="s">
        <v>20</v>
      </c>
      <c r="G9590" s="4" t="b">
        <f t="shared" si="2"/>
        <v>1</v>
      </c>
      <c r="H9590" s="1" t="str">
        <f t="shared" si="3"/>
        <v>Currently Unavailable</v>
      </c>
      <c r="I9590" s="1" t="str">
        <f t="shared" si="4"/>
        <v>No Badges</v>
      </c>
      <c r="J9590" s="3">
        <f t="shared" si="5"/>
        <v>0</v>
      </c>
    </row>
    <row r="9591">
      <c r="A9591" s="1" t="s">
        <v>7320</v>
      </c>
      <c r="B9591" s="3" t="str">
        <f t="shared" si="1"/>
        <v>Unavailable</v>
      </c>
      <c r="C9591" s="5">
        <v>1795.0</v>
      </c>
      <c r="D9591" s="3">
        <f>IFERROR(__xludf.DUMMYFUNCTION("IFERROR(
IF(REGEXMATCH(LOWER(O9591),""k""),
VALUE(REGEXEXTRACT(O9591,""[0-9]+""))*1000,
VALUE(REGEXEXTRACT(O9591,""[0-9]+""))
),
0
)"),0.0)</f>
        <v>0</v>
      </c>
      <c r="E9591" s="1" t="s">
        <v>11</v>
      </c>
      <c r="F9591" s="1" t="s">
        <v>20</v>
      </c>
      <c r="G9591" s="4" t="b">
        <f t="shared" si="2"/>
        <v>1</v>
      </c>
      <c r="H9591" s="1" t="str">
        <f t="shared" si="3"/>
        <v>Currently Unavailable</v>
      </c>
      <c r="I9591" s="1" t="str">
        <f t="shared" si="4"/>
        <v>No Badges</v>
      </c>
      <c r="J9591" s="3">
        <f t="shared" si="5"/>
        <v>0</v>
      </c>
    </row>
    <row r="9592">
      <c r="A9592" s="1" t="s">
        <v>7321</v>
      </c>
      <c r="B9592" s="3" t="str">
        <f t="shared" si="1"/>
        <v>Unavailable</v>
      </c>
      <c r="C9592" s="5">
        <v>2752.0</v>
      </c>
      <c r="D9592" s="3">
        <f>IFERROR(__xludf.DUMMYFUNCTION("IFERROR(
IF(REGEXMATCH(LOWER(O9592),""k""),
VALUE(REGEXEXTRACT(O9592,""[0-9]+""))*1000,
VALUE(REGEXEXTRACT(O9592,""[0-9]+""))
),
0
)"),0.0)</f>
        <v>0</v>
      </c>
      <c r="E9592" s="1" t="s">
        <v>11</v>
      </c>
      <c r="F9592" s="1" t="s">
        <v>20</v>
      </c>
      <c r="G9592" s="4" t="b">
        <f t="shared" si="2"/>
        <v>1</v>
      </c>
      <c r="H9592" s="1" t="str">
        <f t="shared" si="3"/>
        <v>Currently Unavailable</v>
      </c>
      <c r="I9592" s="1" t="str">
        <f t="shared" si="4"/>
        <v>No Badges</v>
      </c>
      <c r="J9592" s="3">
        <f t="shared" si="5"/>
        <v>0</v>
      </c>
    </row>
    <row r="9593">
      <c r="A9593" s="1" t="s">
        <v>7322</v>
      </c>
      <c r="B9593" s="3" t="str">
        <f t="shared" si="1"/>
        <v>Unavailable</v>
      </c>
      <c r="C9593" s="3">
        <v>6.0</v>
      </c>
      <c r="D9593" s="3">
        <f>IFERROR(__xludf.DUMMYFUNCTION("IFERROR(
IF(REGEXMATCH(LOWER(O9593),""k""),
VALUE(REGEXEXTRACT(O9593,""[0-9]+""))*1000,
VALUE(REGEXEXTRACT(O9593,""[0-9]+""))
),
0
)"),0.0)</f>
        <v>0</v>
      </c>
      <c r="E9593" s="1" t="s">
        <v>11</v>
      </c>
      <c r="F9593" s="1" t="s">
        <v>20</v>
      </c>
      <c r="G9593" s="4" t="b">
        <f t="shared" si="2"/>
        <v>1</v>
      </c>
      <c r="H9593" s="1" t="str">
        <f t="shared" si="3"/>
        <v>Currently Unavailable</v>
      </c>
      <c r="I9593" s="1" t="str">
        <f t="shared" si="4"/>
        <v>No Badges</v>
      </c>
      <c r="J9593" s="6">
        <f t="shared" si="5"/>
        <v>0</v>
      </c>
    </row>
    <row r="9594">
      <c r="A9594" s="1" t="s">
        <v>7323</v>
      </c>
      <c r="B9594" s="3" t="str">
        <f t="shared" si="1"/>
        <v>Unavailable</v>
      </c>
      <c r="C9594" s="3">
        <v>953.0</v>
      </c>
      <c r="D9594" s="3">
        <f>IFERROR(__xludf.DUMMYFUNCTION("IFERROR(
IF(REGEXMATCH(LOWER(O9594),""k""),
VALUE(REGEXEXTRACT(O9594,""[0-9]+""))*1000,
VALUE(REGEXEXTRACT(O9594,""[0-9]+""))
),
0
)"),0.0)</f>
        <v>0</v>
      </c>
      <c r="E9594" s="1" t="s">
        <v>11</v>
      </c>
      <c r="F9594" s="1" t="s">
        <v>20</v>
      </c>
      <c r="G9594" s="4" t="b">
        <f t="shared" si="2"/>
        <v>1</v>
      </c>
      <c r="H9594" s="1" t="str">
        <f t="shared" si="3"/>
        <v>Currently Unavailable</v>
      </c>
      <c r="I9594" s="1" t="str">
        <f t="shared" si="4"/>
        <v>No Badges</v>
      </c>
      <c r="J9594" s="3">
        <f t="shared" si="5"/>
        <v>0</v>
      </c>
    </row>
    <row r="9595">
      <c r="A9595" s="1" t="s">
        <v>7324</v>
      </c>
      <c r="B9595" s="3" t="str">
        <f t="shared" si="1"/>
        <v>Unavailable</v>
      </c>
      <c r="C9595" s="3">
        <v>661.0</v>
      </c>
      <c r="D9595" s="3">
        <f>IFERROR(__xludf.DUMMYFUNCTION("IFERROR(
IF(REGEXMATCH(LOWER(O9595),""k""),
VALUE(REGEXEXTRACT(O9595,""[0-9]+""))*1000,
VALUE(REGEXEXTRACT(O9595,""[0-9]+""))
),
0
)"),0.0)</f>
        <v>0</v>
      </c>
      <c r="E9595" s="1" t="s">
        <v>11</v>
      </c>
      <c r="F9595" s="1" t="s">
        <v>20</v>
      </c>
      <c r="G9595" s="4" t="b">
        <f t="shared" si="2"/>
        <v>1</v>
      </c>
      <c r="H9595" s="1" t="str">
        <f t="shared" si="3"/>
        <v>Currently Unavailable</v>
      </c>
      <c r="I9595" s="1" t="str">
        <f t="shared" si="4"/>
        <v>No Badges</v>
      </c>
      <c r="J9595" s="3">
        <f t="shared" si="5"/>
        <v>0</v>
      </c>
    </row>
    <row r="9596">
      <c r="A9596" s="1" t="s">
        <v>7325</v>
      </c>
      <c r="B9596" s="3" t="str">
        <f t="shared" si="1"/>
        <v>Unavailable</v>
      </c>
      <c r="C9596" s="3">
        <v>84.0</v>
      </c>
      <c r="D9596" s="3">
        <f>IFERROR(__xludf.DUMMYFUNCTION("IFERROR(
IF(REGEXMATCH(LOWER(O9596),""k""),
VALUE(REGEXEXTRACT(O9596,""[0-9]+""))*1000,
VALUE(REGEXEXTRACT(O9596,""[0-9]+""))
),
0
)"),0.0)</f>
        <v>0</v>
      </c>
      <c r="E9596" s="1" t="s">
        <v>11</v>
      </c>
      <c r="F9596" s="1" t="s">
        <v>20</v>
      </c>
      <c r="G9596" s="4" t="b">
        <f t="shared" si="2"/>
        <v>1</v>
      </c>
      <c r="H9596" s="1" t="str">
        <f t="shared" si="3"/>
        <v>Currently Unavailable</v>
      </c>
      <c r="I9596" s="1" t="str">
        <f t="shared" si="4"/>
        <v>No Badges</v>
      </c>
      <c r="J9596" s="3">
        <f t="shared" si="5"/>
        <v>0</v>
      </c>
    </row>
    <row r="9597">
      <c r="A9597" s="1" t="s">
        <v>7326</v>
      </c>
      <c r="B9597" s="3" t="str">
        <f t="shared" si="1"/>
        <v>Unavailable</v>
      </c>
      <c r="C9597" s="3">
        <v>967.0</v>
      </c>
      <c r="D9597" s="3">
        <f>IFERROR(__xludf.DUMMYFUNCTION("IFERROR(
IF(REGEXMATCH(LOWER(O9597),""k""),
VALUE(REGEXEXTRACT(O9597,""[0-9]+""))*1000,
VALUE(REGEXEXTRACT(O9597,""[0-9]+""))
),
0
)"),0.0)</f>
        <v>0</v>
      </c>
      <c r="E9597" s="1" t="s">
        <v>11</v>
      </c>
      <c r="F9597" s="1" t="s">
        <v>20</v>
      </c>
      <c r="G9597" s="4" t="b">
        <f t="shared" si="2"/>
        <v>1</v>
      </c>
      <c r="H9597" s="1" t="str">
        <f t="shared" si="3"/>
        <v>Currently Unavailable</v>
      </c>
      <c r="I9597" s="1" t="str">
        <f t="shared" si="4"/>
        <v>No Badges</v>
      </c>
      <c r="J9597" s="3">
        <f t="shared" si="5"/>
        <v>0</v>
      </c>
    </row>
    <row r="9598">
      <c r="A9598" s="1" t="s">
        <v>7327</v>
      </c>
      <c r="B9598" s="3" t="str">
        <f t="shared" si="1"/>
        <v>Unavailable</v>
      </c>
      <c r="C9598" s="3">
        <v>312.0</v>
      </c>
      <c r="D9598" s="3">
        <f>IFERROR(__xludf.DUMMYFUNCTION("IFERROR(
IF(REGEXMATCH(LOWER(O9598),""k""),
VALUE(REGEXEXTRACT(O9598,""[0-9]+""))*1000,
VALUE(REGEXEXTRACT(O9598,""[0-9]+""))
),
0
)"),0.0)</f>
        <v>0</v>
      </c>
      <c r="E9598" s="1" t="s">
        <v>11</v>
      </c>
      <c r="F9598" s="1" t="s">
        <v>20</v>
      </c>
      <c r="G9598" s="4" t="b">
        <f t="shared" si="2"/>
        <v>1</v>
      </c>
      <c r="H9598" s="1" t="str">
        <f t="shared" si="3"/>
        <v>Currently Unavailable</v>
      </c>
      <c r="I9598" s="1" t="str">
        <f t="shared" si="4"/>
        <v>No Badges</v>
      </c>
      <c r="J9598" s="3">
        <f t="shared" si="5"/>
        <v>0</v>
      </c>
    </row>
    <row r="9599">
      <c r="A9599" s="1" t="s">
        <v>7328</v>
      </c>
      <c r="B9599" s="3" t="str">
        <f t="shared" si="1"/>
        <v>Unavailable</v>
      </c>
      <c r="C9599" s="3">
        <v>840.0</v>
      </c>
      <c r="D9599" s="3">
        <f>IFERROR(__xludf.DUMMYFUNCTION("IFERROR(
IF(REGEXMATCH(LOWER(O9599),""k""),
VALUE(REGEXEXTRACT(O9599,""[0-9]+""))*1000,
VALUE(REGEXEXTRACT(O9599,""[0-9]+""))
),
0
)"),0.0)</f>
        <v>0</v>
      </c>
      <c r="E9599" s="1" t="s">
        <v>11</v>
      </c>
      <c r="F9599" s="1" t="s">
        <v>20</v>
      </c>
      <c r="G9599" s="4" t="b">
        <f t="shared" si="2"/>
        <v>1</v>
      </c>
      <c r="H9599" s="1" t="str">
        <f t="shared" si="3"/>
        <v>Currently Unavailable</v>
      </c>
      <c r="I9599" s="1" t="str">
        <f t="shared" si="4"/>
        <v>No Badges</v>
      </c>
      <c r="J9599" s="3">
        <f t="shared" si="5"/>
        <v>0</v>
      </c>
    </row>
    <row r="9600">
      <c r="A9600" s="1" t="s">
        <v>7329</v>
      </c>
      <c r="B9600" s="3" t="str">
        <f t="shared" si="1"/>
        <v>Unavailable</v>
      </c>
      <c r="C9600" s="3">
        <v>185.0</v>
      </c>
      <c r="D9600" s="3">
        <f>IFERROR(__xludf.DUMMYFUNCTION("IFERROR(
IF(REGEXMATCH(LOWER(O9600),""k""),
VALUE(REGEXEXTRACT(O9600,""[0-9]+""))*1000,
VALUE(REGEXEXTRACT(O9600,""[0-9]+""))
),
0
)"),0.0)</f>
        <v>0</v>
      </c>
      <c r="E9600" s="1" t="s">
        <v>11</v>
      </c>
      <c r="F9600" s="1" t="s">
        <v>20</v>
      </c>
      <c r="G9600" s="4" t="b">
        <f t="shared" si="2"/>
        <v>1</v>
      </c>
      <c r="H9600" s="1" t="str">
        <f t="shared" si="3"/>
        <v>Currently Unavailable</v>
      </c>
      <c r="I9600" s="1" t="str">
        <f t="shared" si="4"/>
        <v>No Badges</v>
      </c>
      <c r="J9600" s="3">
        <f t="shared" si="5"/>
        <v>0</v>
      </c>
    </row>
    <row r="9601">
      <c r="A9601" s="1" t="s">
        <v>7330</v>
      </c>
      <c r="B9601" s="3" t="str">
        <f t="shared" si="1"/>
        <v>Unavailable</v>
      </c>
      <c r="C9601" s="5">
        <v>5247.0</v>
      </c>
      <c r="D9601" s="3">
        <f>IFERROR(__xludf.DUMMYFUNCTION("IFERROR(
IF(REGEXMATCH(LOWER(O9601),""k""),
VALUE(REGEXEXTRACT(O9601,""[0-9]+""))*1000,
VALUE(REGEXEXTRACT(O9601,""[0-9]+""))
),
0
)"),0.0)</f>
        <v>0</v>
      </c>
      <c r="E9601" s="1" t="s">
        <v>11</v>
      </c>
      <c r="F9601" s="1" t="s">
        <v>20</v>
      </c>
      <c r="G9601" s="4" t="b">
        <f t="shared" si="2"/>
        <v>1</v>
      </c>
      <c r="H9601" s="1" t="str">
        <f t="shared" si="3"/>
        <v>Currently Unavailable</v>
      </c>
      <c r="I9601" s="1" t="str">
        <f t="shared" si="4"/>
        <v>No Badges</v>
      </c>
      <c r="J9601" s="3">
        <f t="shared" si="5"/>
        <v>0</v>
      </c>
    </row>
    <row r="9602">
      <c r="A9602" s="1" t="s">
        <v>7331</v>
      </c>
      <c r="B9602" s="3" t="str">
        <f t="shared" si="1"/>
        <v>Unavailable</v>
      </c>
      <c r="C9602" s="3">
        <v>180.0</v>
      </c>
      <c r="D9602" s="3">
        <f>IFERROR(__xludf.DUMMYFUNCTION("IFERROR(
IF(REGEXMATCH(LOWER(O9602),""k""),
VALUE(REGEXEXTRACT(O9602,""[0-9]+""))*1000,
VALUE(REGEXEXTRACT(O9602,""[0-9]+""))
),
0
)"),0.0)</f>
        <v>0</v>
      </c>
      <c r="E9602" s="1" t="s">
        <v>11</v>
      </c>
      <c r="F9602" s="1" t="s">
        <v>20</v>
      </c>
      <c r="G9602" s="4" t="b">
        <f t="shared" si="2"/>
        <v>1</v>
      </c>
      <c r="H9602" s="1" t="str">
        <f t="shared" si="3"/>
        <v>Currently Unavailable</v>
      </c>
      <c r="I9602" s="1" t="str">
        <f t="shared" si="4"/>
        <v>No Badges</v>
      </c>
      <c r="J9602" s="3">
        <f t="shared" si="5"/>
        <v>0</v>
      </c>
    </row>
    <row r="9603">
      <c r="A9603" s="1" t="s">
        <v>7332</v>
      </c>
      <c r="B9603" s="3" t="str">
        <f t="shared" si="1"/>
        <v>Unavailable</v>
      </c>
      <c r="C9603" s="3">
        <v>639.0</v>
      </c>
      <c r="D9603" s="3">
        <f>IFERROR(__xludf.DUMMYFUNCTION("IFERROR(
IF(REGEXMATCH(LOWER(O9603),""k""),
VALUE(REGEXEXTRACT(O9603,""[0-9]+""))*1000,
VALUE(REGEXEXTRACT(O9603,""[0-9]+""))
),
0
)"),0.0)</f>
        <v>0</v>
      </c>
      <c r="E9603" s="1" t="s">
        <v>11</v>
      </c>
      <c r="F9603" s="1" t="s">
        <v>20</v>
      </c>
      <c r="G9603" s="4" t="b">
        <f t="shared" si="2"/>
        <v>1</v>
      </c>
      <c r="H9603" s="1" t="str">
        <f t="shared" si="3"/>
        <v>Currently Unavailable</v>
      </c>
      <c r="I9603" s="1" t="str">
        <f t="shared" si="4"/>
        <v>No Badges</v>
      </c>
      <c r="J9603" s="3">
        <f t="shared" si="5"/>
        <v>0</v>
      </c>
    </row>
    <row r="9604">
      <c r="A9604" s="1" t="s">
        <v>7333</v>
      </c>
      <c r="B9604" s="3" t="str">
        <f t="shared" si="1"/>
        <v>Unavailable</v>
      </c>
      <c r="C9604" s="3">
        <v>522.0</v>
      </c>
      <c r="D9604" s="3">
        <f>IFERROR(__xludf.DUMMYFUNCTION("IFERROR(
IF(REGEXMATCH(LOWER(O9604),""k""),
VALUE(REGEXEXTRACT(O9604,""[0-9]+""))*1000,
VALUE(REGEXEXTRACT(O9604,""[0-9]+""))
),
0
)"),0.0)</f>
        <v>0</v>
      </c>
      <c r="E9604" s="1" t="s">
        <v>11</v>
      </c>
      <c r="F9604" s="1" t="s">
        <v>20</v>
      </c>
      <c r="G9604" s="4" t="b">
        <f t="shared" si="2"/>
        <v>1</v>
      </c>
      <c r="H9604" s="1" t="str">
        <f t="shared" si="3"/>
        <v>Currently Unavailable</v>
      </c>
      <c r="I9604" s="1" t="str">
        <f t="shared" si="4"/>
        <v>No Badges</v>
      </c>
      <c r="J9604" s="3">
        <f t="shared" si="5"/>
        <v>0</v>
      </c>
    </row>
    <row r="9605">
      <c r="A9605" s="1" t="s">
        <v>7334</v>
      </c>
      <c r="B9605" s="3" t="str">
        <f t="shared" si="1"/>
        <v>Unavailable</v>
      </c>
      <c r="C9605" s="3">
        <v>309.0</v>
      </c>
      <c r="D9605" s="3">
        <f>IFERROR(__xludf.DUMMYFUNCTION("IFERROR(
IF(REGEXMATCH(LOWER(O9605),""k""),
VALUE(REGEXEXTRACT(O9605,""[0-9]+""))*1000,
VALUE(REGEXEXTRACT(O9605,""[0-9]+""))
),
0
)"),0.0)</f>
        <v>0</v>
      </c>
      <c r="E9605" s="1" t="s">
        <v>11</v>
      </c>
      <c r="F9605" s="1" t="s">
        <v>20</v>
      </c>
      <c r="G9605" s="4" t="b">
        <f t="shared" si="2"/>
        <v>1</v>
      </c>
      <c r="H9605" s="1" t="str">
        <f t="shared" si="3"/>
        <v>Currently Unavailable</v>
      </c>
      <c r="I9605" s="1" t="str">
        <f t="shared" si="4"/>
        <v>No Badges</v>
      </c>
      <c r="J9605" s="3">
        <f t="shared" si="5"/>
        <v>0</v>
      </c>
    </row>
    <row r="9606">
      <c r="A9606" s="1" t="s">
        <v>7335</v>
      </c>
      <c r="B9606" s="3" t="str">
        <f t="shared" si="1"/>
        <v>Unavailable</v>
      </c>
      <c r="C9606" s="3">
        <v>577.0</v>
      </c>
      <c r="D9606" s="3">
        <f>IFERROR(__xludf.DUMMYFUNCTION("IFERROR(
IF(REGEXMATCH(LOWER(O9606),""k""),
VALUE(REGEXEXTRACT(O9606,""[0-9]+""))*1000,
VALUE(REGEXEXTRACT(O9606,""[0-9]+""))
),
0
)"),0.0)</f>
        <v>0</v>
      </c>
      <c r="E9606" s="1" t="s">
        <v>11</v>
      </c>
      <c r="F9606" s="1" t="s">
        <v>20</v>
      </c>
      <c r="G9606" s="4" t="b">
        <f t="shared" si="2"/>
        <v>1</v>
      </c>
      <c r="H9606" s="1" t="str">
        <f t="shared" si="3"/>
        <v>Currently Unavailable</v>
      </c>
      <c r="I9606" s="1" t="str">
        <f t="shared" si="4"/>
        <v>No Badges</v>
      </c>
      <c r="J9606" s="3">
        <f t="shared" si="5"/>
        <v>0</v>
      </c>
    </row>
    <row r="9607">
      <c r="A9607" s="1" t="s">
        <v>7336</v>
      </c>
      <c r="B9607" s="3" t="str">
        <f t="shared" si="1"/>
        <v>Unavailable</v>
      </c>
      <c r="C9607" s="5">
        <v>2952.0</v>
      </c>
      <c r="D9607" s="3">
        <f>IFERROR(__xludf.DUMMYFUNCTION("IFERROR(
IF(REGEXMATCH(LOWER(O9607),""k""),
VALUE(REGEXEXTRACT(O9607,""[0-9]+""))*1000,
VALUE(REGEXEXTRACT(O9607,""[0-9]+""))
),
0
)"),0.0)</f>
        <v>0</v>
      </c>
      <c r="E9607" s="1" t="s">
        <v>11</v>
      </c>
      <c r="F9607" s="1" t="s">
        <v>20</v>
      </c>
      <c r="G9607" s="4" t="b">
        <f t="shared" si="2"/>
        <v>1</v>
      </c>
      <c r="H9607" s="1" t="str">
        <f t="shared" si="3"/>
        <v>Currently Unavailable</v>
      </c>
      <c r="I9607" s="1" t="str">
        <f t="shared" si="4"/>
        <v>No Badges</v>
      </c>
      <c r="J9607" s="3">
        <f t="shared" si="5"/>
        <v>0</v>
      </c>
    </row>
    <row r="9608">
      <c r="A9608" s="1" t="s">
        <v>7337</v>
      </c>
      <c r="B9608" s="3" t="str">
        <f t="shared" si="1"/>
        <v>Unavailable</v>
      </c>
      <c r="C9608" s="3">
        <v>429.0</v>
      </c>
      <c r="D9608" s="3">
        <f>IFERROR(__xludf.DUMMYFUNCTION("IFERROR(
IF(REGEXMATCH(LOWER(O9608),""k""),
VALUE(REGEXEXTRACT(O9608,""[0-9]+""))*1000,
VALUE(REGEXEXTRACT(O9608,""[0-9]+""))
),
0
)"),0.0)</f>
        <v>0</v>
      </c>
      <c r="E9608" s="1" t="s">
        <v>158</v>
      </c>
      <c r="F9608" s="1" t="s">
        <v>20</v>
      </c>
      <c r="G9608" s="4" t="b">
        <f t="shared" si="2"/>
        <v>1</v>
      </c>
      <c r="H9608" s="1" t="str">
        <f t="shared" si="3"/>
        <v>Currently Unavailable</v>
      </c>
      <c r="I9608" s="1" t="str">
        <f t="shared" si="4"/>
        <v>No Badges</v>
      </c>
      <c r="J9608" s="3">
        <f t="shared" si="5"/>
        <v>0</v>
      </c>
    </row>
    <row r="9609">
      <c r="A9609" s="1" t="s">
        <v>7338</v>
      </c>
      <c r="B9609" s="3" t="str">
        <f t="shared" si="1"/>
        <v>Unavailable</v>
      </c>
      <c r="C9609" s="5">
        <v>4095.0</v>
      </c>
      <c r="D9609" s="3">
        <f>IFERROR(__xludf.DUMMYFUNCTION("IFERROR(
IF(REGEXMATCH(LOWER(O9609),""k""),
VALUE(REGEXEXTRACT(O9609,""[0-9]+""))*1000,
VALUE(REGEXEXTRACT(O9609,""[0-9]+""))
),
0
)"),0.0)</f>
        <v>0</v>
      </c>
      <c r="E9609" s="1" t="s">
        <v>11</v>
      </c>
      <c r="F9609" s="1" t="s">
        <v>20</v>
      </c>
      <c r="G9609" s="4" t="b">
        <f t="shared" si="2"/>
        <v>1</v>
      </c>
      <c r="H9609" s="1" t="str">
        <f t="shared" si="3"/>
        <v>Currently Unavailable</v>
      </c>
      <c r="I9609" s="1" t="str">
        <f t="shared" si="4"/>
        <v>No Badges</v>
      </c>
      <c r="J9609" s="3">
        <f t="shared" si="5"/>
        <v>0</v>
      </c>
    </row>
    <row r="9610">
      <c r="A9610" s="1" t="s">
        <v>7339</v>
      </c>
      <c r="B9610" s="3" t="str">
        <f t="shared" si="1"/>
        <v>Unavailable</v>
      </c>
      <c r="C9610" s="5">
        <v>2295.0</v>
      </c>
      <c r="D9610" s="3">
        <f>IFERROR(__xludf.DUMMYFUNCTION("IFERROR(
IF(REGEXMATCH(LOWER(O9610),""k""),
VALUE(REGEXEXTRACT(O9610,""[0-9]+""))*1000,
VALUE(REGEXEXTRACT(O9610,""[0-9]+""))
),
0
)"),0.0)</f>
        <v>0</v>
      </c>
      <c r="E9610" s="1" t="s">
        <v>18</v>
      </c>
      <c r="F9610" s="1" t="s">
        <v>20</v>
      </c>
      <c r="G9610" s="4" t="b">
        <f t="shared" si="2"/>
        <v>1</v>
      </c>
      <c r="H9610" s="1" t="str">
        <f t="shared" si="3"/>
        <v>Currently Unavailable</v>
      </c>
      <c r="I9610" s="1" t="str">
        <f t="shared" si="4"/>
        <v>No Badges</v>
      </c>
      <c r="J9610" s="3">
        <f t="shared" si="5"/>
        <v>0</v>
      </c>
    </row>
    <row r="9611">
      <c r="A9611" s="1" t="s">
        <v>7340</v>
      </c>
      <c r="B9611" s="3" t="str">
        <f t="shared" si="1"/>
        <v>Unavailable</v>
      </c>
      <c r="C9611" s="3">
        <v>856.0</v>
      </c>
      <c r="D9611" s="3">
        <f>IFERROR(__xludf.DUMMYFUNCTION("IFERROR(
IF(REGEXMATCH(LOWER(O9611),""k""),
VALUE(REGEXEXTRACT(O9611,""[0-9]+""))*1000,
VALUE(REGEXEXTRACT(O9611,""[0-9]+""))
),
0
)"),0.0)</f>
        <v>0</v>
      </c>
      <c r="E9611" s="1" t="s">
        <v>11</v>
      </c>
      <c r="F9611" s="1" t="s">
        <v>20</v>
      </c>
      <c r="G9611" s="4" t="b">
        <f t="shared" si="2"/>
        <v>1</v>
      </c>
      <c r="H9611" s="1" t="str">
        <f t="shared" si="3"/>
        <v>Currently Unavailable</v>
      </c>
      <c r="I9611" s="1" t="str">
        <f t="shared" si="4"/>
        <v>No Badges</v>
      </c>
      <c r="J9611" s="3">
        <f t="shared" si="5"/>
        <v>0</v>
      </c>
    </row>
    <row r="9612">
      <c r="A9612" s="1" t="s">
        <v>7313</v>
      </c>
      <c r="B9612" s="3" t="str">
        <f t="shared" si="1"/>
        <v>Unavailable</v>
      </c>
      <c r="C9612" s="3">
        <v>768.0</v>
      </c>
      <c r="D9612" s="3">
        <f>IFERROR(__xludf.DUMMYFUNCTION("IFERROR(
IF(REGEXMATCH(LOWER(O9612),""k""),
VALUE(REGEXEXTRACT(O9612,""[0-9]+""))*1000,
VALUE(REGEXEXTRACT(O9612,""[0-9]+""))
),
0
)"),0.0)</f>
        <v>0</v>
      </c>
      <c r="E9612" s="1" t="s">
        <v>11</v>
      </c>
      <c r="F9612" s="1" t="s">
        <v>12</v>
      </c>
      <c r="G9612" s="4" t="b">
        <f t="shared" si="2"/>
        <v>1</v>
      </c>
      <c r="H9612" s="1" t="str">
        <f t="shared" si="3"/>
        <v>Currently Unavailable</v>
      </c>
      <c r="I9612" s="1" t="str">
        <f t="shared" si="4"/>
        <v>No Badges</v>
      </c>
      <c r="J9612" s="3">
        <f t="shared" si="5"/>
        <v>0</v>
      </c>
    </row>
    <row r="9613">
      <c r="A9613" s="1" t="s">
        <v>7341</v>
      </c>
      <c r="B9613" s="3" t="str">
        <f t="shared" si="1"/>
        <v>Unavailable</v>
      </c>
      <c r="C9613" s="3">
        <v>531.0</v>
      </c>
      <c r="D9613" s="3">
        <f>IFERROR(__xludf.DUMMYFUNCTION("IFERROR(
IF(REGEXMATCH(LOWER(O9613),""k""),
VALUE(REGEXEXTRACT(O9613,""[0-9]+""))*1000,
VALUE(REGEXEXTRACT(O9613,""[0-9]+""))
),
0
)"),0.0)</f>
        <v>0</v>
      </c>
      <c r="E9613" s="1" t="s">
        <v>11</v>
      </c>
      <c r="F9613" s="1" t="s">
        <v>20</v>
      </c>
      <c r="G9613" s="4" t="b">
        <f t="shared" si="2"/>
        <v>1</v>
      </c>
      <c r="H9613" s="1" t="str">
        <f t="shared" si="3"/>
        <v>Currently Unavailable</v>
      </c>
      <c r="I9613" s="1" t="str">
        <f t="shared" si="4"/>
        <v>No Badges</v>
      </c>
      <c r="J9613" s="3">
        <f t="shared" si="5"/>
        <v>0</v>
      </c>
    </row>
    <row r="9614">
      <c r="A9614" s="1" t="s">
        <v>7342</v>
      </c>
      <c r="B9614" s="3" t="str">
        <f t="shared" si="1"/>
        <v>Unavailable</v>
      </c>
      <c r="C9614" s="5">
        <v>1299.0</v>
      </c>
      <c r="D9614" s="3">
        <f>IFERROR(__xludf.DUMMYFUNCTION("IFERROR(
IF(REGEXMATCH(LOWER(O9614),""k""),
VALUE(REGEXEXTRACT(O9614,""[0-9]+""))*1000,
VALUE(REGEXEXTRACT(O9614,""[0-9]+""))
),
0
)"),0.0)</f>
        <v>0</v>
      </c>
      <c r="E9614" s="1" t="s">
        <v>11</v>
      </c>
      <c r="F9614" s="1" t="s">
        <v>20</v>
      </c>
      <c r="G9614" s="4" t="b">
        <f t="shared" si="2"/>
        <v>1</v>
      </c>
      <c r="H9614" s="1" t="str">
        <f t="shared" si="3"/>
        <v>Currently Unavailable</v>
      </c>
      <c r="I9614" s="1" t="str">
        <f t="shared" si="4"/>
        <v>No Badges</v>
      </c>
      <c r="J9614" s="3">
        <f t="shared" si="5"/>
        <v>0</v>
      </c>
    </row>
    <row r="9615">
      <c r="A9615" s="1" t="s">
        <v>7343</v>
      </c>
      <c r="B9615" s="3" t="str">
        <f t="shared" si="1"/>
        <v>Unavailable</v>
      </c>
      <c r="C9615" s="5">
        <v>1828.0</v>
      </c>
      <c r="D9615" s="3">
        <f>IFERROR(__xludf.DUMMYFUNCTION("IFERROR(
IF(REGEXMATCH(LOWER(O9615),""k""),
VALUE(REGEXEXTRACT(O9615,""[0-9]+""))*1000,
VALUE(REGEXEXTRACT(O9615,""[0-9]+""))
),
0
)"),0.0)</f>
        <v>0</v>
      </c>
      <c r="E9615" s="1" t="s">
        <v>11</v>
      </c>
      <c r="F9615" s="1" t="s">
        <v>20</v>
      </c>
      <c r="G9615" s="4" t="b">
        <f t="shared" si="2"/>
        <v>1</v>
      </c>
      <c r="H9615" s="1" t="str">
        <f t="shared" si="3"/>
        <v>Currently Unavailable</v>
      </c>
      <c r="I9615" s="1" t="str">
        <f t="shared" si="4"/>
        <v>No Badges</v>
      </c>
      <c r="J9615" s="3">
        <f t="shared" si="5"/>
        <v>0</v>
      </c>
    </row>
    <row r="9616">
      <c r="A9616" s="1" t="s">
        <v>7344</v>
      </c>
      <c r="B9616" s="3" t="str">
        <f t="shared" si="1"/>
        <v>Unavailable</v>
      </c>
      <c r="C9616" s="5">
        <v>7283.0</v>
      </c>
      <c r="D9616" s="3">
        <f>IFERROR(__xludf.DUMMYFUNCTION("IFERROR(
IF(REGEXMATCH(LOWER(O9616),""k""),
VALUE(REGEXEXTRACT(O9616,""[0-9]+""))*1000,
VALUE(REGEXEXTRACT(O9616,""[0-9]+""))
),
0
)"),0.0)</f>
        <v>0</v>
      </c>
      <c r="E9616" s="1" t="s">
        <v>11</v>
      </c>
      <c r="F9616" s="1" t="s">
        <v>20</v>
      </c>
      <c r="G9616" s="4" t="b">
        <f t="shared" si="2"/>
        <v>1</v>
      </c>
      <c r="H9616" s="1" t="str">
        <f t="shared" si="3"/>
        <v>Currently Unavailable</v>
      </c>
      <c r="I9616" s="1" t="str">
        <f t="shared" si="4"/>
        <v>No Badges</v>
      </c>
      <c r="J9616" s="3">
        <f t="shared" si="5"/>
        <v>0</v>
      </c>
    </row>
    <row r="9617">
      <c r="A9617" s="1" t="s">
        <v>7345</v>
      </c>
      <c r="B9617" s="3" t="str">
        <f t="shared" si="1"/>
        <v>Unavailable</v>
      </c>
      <c r="C9617" s="5">
        <v>7893.0</v>
      </c>
      <c r="D9617" s="3">
        <f>IFERROR(__xludf.DUMMYFUNCTION("IFERROR(
IF(REGEXMATCH(LOWER(O9617),""k""),
VALUE(REGEXEXTRACT(O9617,""[0-9]+""))*1000,
VALUE(REGEXEXTRACT(O9617,""[0-9]+""))
),
0
)"),0.0)</f>
        <v>0</v>
      </c>
      <c r="E9617" s="1" t="s">
        <v>11</v>
      </c>
      <c r="F9617" s="1" t="s">
        <v>20</v>
      </c>
      <c r="G9617" s="4" t="b">
        <f t="shared" si="2"/>
        <v>1</v>
      </c>
      <c r="H9617" s="1" t="str">
        <f t="shared" si="3"/>
        <v>Currently Unavailable</v>
      </c>
      <c r="I9617" s="1" t="str">
        <f t="shared" si="4"/>
        <v>No Badges</v>
      </c>
      <c r="J9617" s="3">
        <f t="shared" si="5"/>
        <v>0</v>
      </c>
    </row>
    <row r="9618">
      <c r="A9618" s="1" t="s">
        <v>7346</v>
      </c>
      <c r="B9618" s="3" t="str">
        <f t="shared" si="1"/>
        <v>Unavailable</v>
      </c>
      <c r="C9618" s="5">
        <v>1410.0</v>
      </c>
      <c r="D9618" s="3">
        <f>IFERROR(__xludf.DUMMYFUNCTION("IFERROR(
IF(REGEXMATCH(LOWER(O9618),""k""),
VALUE(REGEXEXTRACT(O9618,""[0-9]+""))*1000,
VALUE(REGEXEXTRACT(O9618,""[0-9]+""))
),
0
)"),0.0)</f>
        <v>0</v>
      </c>
      <c r="E9618" s="1" t="s">
        <v>11</v>
      </c>
      <c r="F9618" s="1" t="s">
        <v>20</v>
      </c>
      <c r="G9618" s="4" t="b">
        <f t="shared" si="2"/>
        <v>1</v>
      </c>
      <c r="H9618" s="1" t="str">
        <f t="shared" si="3"/>
        <v>Currently Unavailable</v>
      </c>
      <c r="I9618" s="1" t="str">
        <f t="shared" si="4"/>
        <v>No Badges</v>
      </c>
      <c r="J9618" s="3">
        <f t="shared" si="5"/>
        <v>0</v>
      </c>
    </row>
    <row r="9619">
      <c r="A9619" s="1" t="s">
        <v>7347</v>
      </c>
      <c r="B9619" s="3" t="str">
        <f t="shared" si="1"/>
        <v>Unavailable</v>
      </c>
      <c r="C9619" s="5">
        <v>1744.0</v>
      </c>
      <c r="D9619" s="3">
        <f>IFERROR(__xludf.DUMMYFUNCTION("IFERROR(
IF(REGEXMATCH(LOWER(O9619),""k""),
VALUE(REGEXEXTRACT(O9619,""[0-9]+""))*1000,
VALUE(REGEXEXTRACT(O9619,""[0-9]+""))
),
0
)"),0.0)</f>
        <v>0</v>
      </c>
      <c r="E9619" s="1" t="s">
        <v>11</v>
      </c>
      <c r="F9619" s="1" t="s">
        <v>20</v>
      </c>
      <c r="G9619" s="4" t="b">
        <f t="shared" si="2"/>
        <v>1</v>
      </c>
      <c r="H9619" s="1" t="str">
        <f t="shared" si="3"/>
        <v>Currently Unavailable</v>
      </c>
      <c r="I9619" s="1" t="str">
        <f t="shared" si="4"/>
        <v>No Badges</v>
      </c>
      <c r="J9619" s="3">
        <f t="shared" si="5"/>
        <v>0</v>
      </c>
    </row>
    <row r="9620">
      <c r="A9620" s="1" t="s">
        <v>7348</v>
      </c>
      <c r="B9620" s="3" t="str">
        <f t="shared" si="1"/>
        <v>Unavailable</v>
      </c>
      <c r="C9620" s="5">
        <v>6024.0</v>
      </c>
      <c r="D9620" s="3">
        <f>IFERROR(__xludf.DUMMYFUNCTION("IFERROR(
IF(REGEXMATCH(LOWER(O9620),""k""),
VALUE(REGEXEXTRACT(O9620,""[0-9]+""))*1000,
VALUE(REGEXEXTRACT(O9620,""[0-9]+""))
),
0
)"),0.0)</f>
        <v>0</v>
      </c>
      <c r="E9620" s="1" t="s">
        <v>11</v>
      </c>
      <c r="F9620" s="1" t="s">
        <v>20</v>
      </c>
      <c r="G9620" s="4" t="b">
        <f t="shared" si="2"/>
        <v>1</v>
      </c>
      <c r="H9620" s="1" t="str">
        <f t="shared" si="3"/>
        <v>Currently Unavailable</v>
      </c>
      <c r="I9620" s="1" t="str">
        <f t="shared" si="4"/>
        <v>No Badges</v>
      </c>
      <c r="J9620" s="3">
        <f t="shared" si="5"/>
        <v>0</v>
      </c>
    </row>
    <row r="9621">
      <c r="A9621" s="1" t="s">
        <v>7349</v>
      </c>
      <c r="B9621" s="3" t="str">
        <f t="shared" si="1"/>
        <v>Unavailable</v>
      </c>
      <c r="C9621" s="3">
        <v>238.0</v>
      </c>
      <c r="D9621" s="3">
        <f>IFERROR(__xludf.DUMMYFUNCTION("IFERROR(
IF(REGEXMATCH(LOWER(O9621),""k""),
VALUE(REGEXEXTRACT(O9621,""[0-9]+""))*1000,
VALUE(REGEXEXTRACT(O9621,""[0-9]+""))
),
0
)"),0.0)</f>
        <v>0</v>
      </c>
      <c r="E9621" s="1" t="s">
        <v>11</v>
      </c>
      <c r="F9621" s="1" t="s">
        <v>20</v>
      </c>
      <c r="G9621" s="4" t="b">
        <f t="shared" si="2"/>
        <v>1</v>
      </c>
      <c r="H9621" s="1" t="str">
        <f t="shared" si="3"/>
        <v>Currently Unavailable</v>
      </c>
      <c r="I9621" s="1" t="str">
        <f t="shared" si="4"/>
        <v>No Badges</v>
      </c>
      <c r="J9621" s="3">
        <f t="shared" si="5"/>
        <v>0</v>
      </c>
    </row>
    <row r="9622">
      <c r="A9622" s="1" t="s">
        <v>7350</v>
      </c>
      <c r="B9622" s="3" t="str">
        <f t="shared" si="1"/>
        <v>Unavailable</v>
      </c>
      <c r="C9622" s="5">
        <v>2599.0</v>
      </c>
      <c r="D9622" s="3">
        <f>IFERROR(__xludf.DUMMYFUNCTION("IFERROR(
IF(REGEXMATCH(LOWER(O9622),""k""),
VALUE(REGEXEXTRACT(O9622,""[0-9]+""))*1000,
VALUE(REGEXEXTRACT(O9622,""[0-9]+""))
),
0
)"),0.0)</f>
        <v>0</v>
      </c>
      <c r="E9622" s="1" t="s">
        <v>11</v>
      </c>
      <c r="F9622" s="1" t="s">
        <v>20</v>
      </c>
      <c r="G9622" s="4" t="b">
        <f t="shared" si="2"/>
        <v>1</v>
      </c>
      <c r="H9622" s="1" t="str">
        <f t="shared" si="3"/>
        <v>Currently Unavailable</v>
      </c>
      <c r="I9622" s="1" t="str">
        <f t="shared" si="4"/>
        <v>No Badges</v>
      </c>
      <c r="J9622" s="3">
        <f t="shared" si="5"/>
        <v>0</v>
      </c>
    </row>
    <row r="9623">
      <c r="A9623" s="1" t="s">
        <v>7351</v>
      </c>
      <c r="B9623" s="3" t="str">
        <f t="shared" si="1"/>
        <v>Unavailable</v>
      </c>
      <c r="C9623" s="5">
        <v>1981.0</v>
      </c>
      <c r="D9623" s="3">
        <f>IFERROR(__xludf.DUMMYFUNCTION("IFERROR(
IF(REGEXMATCH(LOWER(O9623),""k""),
VALUE(REGEXEXTRACT(O9623,""[0-9]+""))*1000,
VALUE(REGEXEXTRACT(O9623,""[0-9]+""))
),
0
)"),0.0)</f>
        <v>0</v>
      </c>
      <c r="E9623" s="1" t="s">
        <v>11</v>
      </c>
      <c r="F9623" s="1" t="s">
        <v>20</v>
      </c>
      <c r="G9623" s="4" t="b">
        <f t="shared" si="2"/>
        <v>1</v>
      </c>
      <c r="H9623" s="1" t="str">
        <f t="shared" si="3"/>
        <v>Currently Unavailable</v>
      </c>
      <c r="I9623" s="1" t="str">
        <f t="shared" si="4"/>
        <v>No Badges</v>
      </c>
      <c r="J9623" s="3">
        <f t="shared" si="5"/>
        <v>0</v>
      </c>
    </row>
    <row r="9624">
      <c r="A9624" s="1" t="s">
        <v>7352</v>
      </c>
      <c r="B9624" s="3" t="str">
        <f t="shared" si="1"/>
        <v>Unavailable</v>
      </c>
      <c r="C9624" s="5">
        <v>2208.0</v>
      </c>
      <c r="D9624" s="3">
        <f>IFERROR(__xludf.DUMMYFUNCTION("IFERROR(
IF(REGEXMATCH(LOWER(O9624),""k""),
VALUE(REGEXEXTRACT(O9624,""[0-9]+""))*1000,
VALUE(REGEXEXTRACT(O9624,""[0-9]+""))
),
0
)"),0.0)</f>
        <v>0</v>
      </c>
      <c r="E9624" s="1" t="s">
        <v>11</v>
      </c>
      <c r="F9624" s="1" t="s">
        <v>20</v>
      </c>
      <c r="G9624" s="4" t="b">
        <f t="shared" si="2"/>
        <v>1</v>
      </c>
      <c r="H9624" s="1" t="str">
        <f t="shared" si="3"/>
        <v>Currently Unavailable</v>
      </c>
      <c r="I9624" s="1" t="str">
        <f t="shared" si="4"/>
        <v>No Badges</v>
      </c>
      <c r="J9624" s="3">
        <f t="shared" si="5"/>
        <v>0</v>
      </c>
    </row>
    <row r="9625">
      <c r="A9625" s="1" t="s">
        <v>7353</v>
      </c>
      <c r="B9625" s="3" t="str">
        <f t="shared" si="1"/>
        <v>Unavailable</v>
      </c>
      <c r="C9625" s="5">
        <v>6185.0</v>
      </c>
      <c r="D9625" s="3">
        <f>IFERROR(__xludf.DUMMYFUNCTION("IFERROR(
IF(REGEXMATCH(LOWER(O9625),""k""),
VALUE(REGEXEXTRACT(O9625,""[0-9]+""))*1000,
VALUE(REGEXEXTRACT(O9625,""[0-9]+""))
),
0
)"),0.0)</f>
        <v>0</v>
      </c>
      <c r="E9625" s="1" t="s">
        <v>11</v>
      </c>
      <c r="F9625" s="1" t="s">
        <v>20</v>
      </c>
      <c r="G9625" s="4" t="b">
        <f t="shared" si="2"/>
        <v>1</v>
      </c>
      <c r="H9625" s="1" t="str">
        <f t="shared" si="3"/>
        <v>Currently Unavailable</v>
      </c>
      <c r="I9625" s="1" t="str">
        <f t="shared" si="4"/>
        <v>No Badges</v>
      </c>
      <c r="J9625" s="3">
        <f t="shared" si="5"/>
        <v>0</v>
      </c>
    </row>
    <row r="9626">
      <c r="A9626" s="1" t="s">
        <v>7354</v>
      </c>
      <c r="B9626" s="3" t="str">
        <f t="shared" si="1"/>
        <v>Unavailable</v>
      </c>
      <c r="C9626" s="3">
        <v>192.0</v>
      </c>
      <c r="D9626" s="3">
        <f>IFERROR(__xludf.DUMMYFUNCTION("IFERROR(
IF(REGEXMATCH(LOWER(O9626),""k""),
VALUE(REGEXEXTRACT(O9626,""[0-9]+""))*1000,
VALUE(REGEXEXTRACT(O9626,""[0-9]+""))
),
0
)"),0.0)</f>
        <v>0</v>
      </c>
      <c r="E9626" s="1" t="s">
        <v>11</v>
      </c>
      <c r="F9626" s="1" t="s">
        <v>20</v>
      </c>
      <c r="G9626" s="4" t="b">
        <f t="shared" si="2"/>
        <v>1</v>
      </c>
      <c r="H9626" s="1" t="str">
        <f t="shared" si="3"/>
        <v>Currently Unavailable</v>
      </c>
      <c r="I9626" s="1" t="str">
        <f t="shared" si="4"/>
        <v>No Badges</v>
      </c>
      <c r="J9626" s="3">
        <f t="shared" si="5"/>
        <v>0</v>
      </c>
    </row>
    <row r="9627">
      <c r="A9627" s="1" t="s">
        <v>7355</v>
      </c>
      <c r="B9627" s="3" t="str">
        <f t="shared" si="1"/>
        <v>Unavailable</v>
      </c>
      <c r="C9627" s="5">
        <v>1097.0</v>
      </c>
      <c r="D9627" s="3">
        <f>IFERROR(__xludf.DUMMYFUNCTION("IFERROR(
IF(REGEXMATCH(LOWER(O9627),""k""),
VALUE(REGEXEXTRACT(O9627,""[0-9]+""))*1000,
VALUE(REGEXEXTRACT(O9627,""[0-9]+""))
),
0
)"),0.0)</f>
        <v>0</v>
      </c>
      <c r="E9627" s="1" t="s">
        <v>11</v>
      </c>
      <c r="F9627" s="1" t="s">
        <v>20</v>
      </c>
      <c r="G9627" s="4" t="b">
        <f t="shared" si="2"/>
        <v>1</v>
      </c>
      <c r="H9627" s="1" t="str">
        <f t="shared" si="3"/>
        <v>Currently Unavailable</v>
      </c>
      <c r="I9627" s="1" t="str">
        <f t="shared" si="4"/>
        <v>No Badges</v>
      </c>
      <c r="J9627" s="3">
        <f t="shared" si="5"/>
        <v>0</v>
      </c>
    </row>
    <row r="9628">
      <c r="A9628" s="1" t="s">
        <v>7356</v>
      </c>
      <c r="B9628" s="3" t="str">
        <f t="shared" si="1"/>
        <v>Unavailable</v>
      </c>
      <c r="C9628" s="5">
        <v>9780.0</v>
      </c>
      <c r="D9628" s="3">
        <f>IFERROR(__xludf.DUMMYFUNCTION("IFERROR(
IF(REGEXMATCH(LOWER(O9628),""k""),
VALUE(REGEXEXTRACT(O9628,""[0-9]+""))*1000,
VALUE(REGEXEXTRACT(O9628,""[0-9]+""))
),
0
)"),0.0)</f>
        <v>0</v>
      </c>
      <c r="E9628" s="1" t="s">
        <v>11</v>
      </c>
      <c r="F9628" s="1" t="s">
        <v>20</v>
      </c>
      <c r="G9628" s="4" t="b">
        <f t="shared" si="2"/>
        <v>1</v>
      </c>
      <c r="H9628" s="1" t="str">
        <f t="shared" si="3"/>
        <v>Currently Unavailable</v>
      </c>
      <c r="I9628" s="1" t="str">
        <f t="shared" si="4"/>
        <v>No Badges</v>
      </c>
      <c r="J9628" s="3">
        <f t="shared" si="5"/>
        <v>0</v>
      </c>
    </row>
    <row r="9629">
      <c r="A9629" s="1" t="s">
        <v>7357</v>
      </c>
      <c r="B9629" s="3" t="str">
        <f t="shared" si="1"/>
        <v>Unavailable</v>
      </c>
      <c r="C9629" s="5">
        <v>1166.0</v>
      </c>
      <c r="D9629" s="3">
        <f>IFERROR(__xludf.DUMMYFUNCTION("IFERROR(
IF(REGEXMATCH(LOWER(O9629),""k""),
VALUE(REGEXEXTRACT(O9629,""[0-9]+""))*1000,
VALUE(REGEXEXTRACT(O9629,""[0-9]+""))
),
0
)"),0.0)</f>
        <v>0</v>
      </c>
      <c r="E9629" s="1" t="s">
        <v>18</v>
      </c>
      <c r="F9629" s="1" t="s">
        <v>20</v>
      </c>
      <c r="G9629" s="4" t="b">
        <f t="shared" si="2"/>
        <v>1</v>
      </c>
      <c r="H9629" s="1" t="str">
        <f t="shared" si="3"/>
        <v>Currently Unavailable</v>
      </c>
      <c r="I9629" s="1" t="str">
        <f t="shared" si="4"/>
        <v>No Badges</v>
      </c>
      <c r="J9629" s="3">
        <f t="shared" si="5"/>
        <v>0</v>
      </c>
    </row>
    <row r="9630">
      <c r="A9630" s="1" t="s">
        <v>7358</v>
      </c>
      <c r="B9630" s="3" t="str">
        <f t="shared" si="1"/>
        <v>Unavailable</v>
      </c>
      <c r="C9630" s="5">
        <v>1658.0</v>
      </c>
      <c r="D9630" s="3">
        <f>IFERROR(__xludf.DUMMYFUNCTION("IFERROR(
IF(REGEXMATCH(LOWER(O9630),""k""),
VALUE(REGEXEXTRACT(O9630,""[0-9]+""))*1000,
VALUE(REGEXEXTRACT(O9630,""[0-9]+""))
),
0
)"),0.0)</f>
        <v>0</v>
      </c>
      <c r="E9630" s="1" t="s">
        <v>11</v>
      </c>
      <c r="F9630" s="1" t="s">
        <v>20</v>
      </c>
      <c r="G9630" s="4" t="b">
        <f t="shared" si="2"/>
        <v>1</v>
      </c>
      <c r="H9630" s="1" t="str">
        <f t="shared" si="3"/>
        <v>Currently Unavailable</v>
      </c>
      <c r="I9630" s="1" t="str">
        <f t="shared" si="4"/>
        <v>No Badges</v>
      </c>
      <c r="J9630" s="3">
        <f t="shared" si="5"/>
        <v>0</v>
      </c>
    </row>
    <row r="9631">
      <c r="A9631" s="1" t="s">
        <v>7359</v>
      </c>
      <c r="B9631" s="3" t="str">
        <f t="shared" si="1"/>
        <v>Unavailable</v>
      </c>
      <c r="C9631" s="3">
        <v>174.0</v>
      </c>
      <c r="D9631" s="3">
        <f>IFERROR(__xludf.DUMMYFUNCTION("IFERROR(
IF(REGEXMATCH(LOWER(O9631),""k""),
VALUE(REGEXEXTRACT(O9631,""[0-9]+""))*1000,
VALUE(REGEXEXTRACT(O9631,""[0-9]+""))
),
0
)"),0.0)</f>
        <v>0</v>
      </c>
      <c r="E9631" s="1" t="s">
        <v>11</v>
      </c>
      <c r="F9631" s="1" t="s">
        <v>20</v>
      </c>
      <c r="G9631" s="4" t="b">
        <f t="shared" si="2"/>
        <v>1</v>
      </c>
      <c r="H9631" s="1" t="str">
        <f t="shared" si="3"/>
        <v>Currently Unavailable</v>
      </c>
      <c r="I9631" s="1" t="str">
        <f t="shared" si="4"/>
        <v>No Badges</v>
      </c>
      <c r="J9631" s="3">
        <f t="shared" si="5"/>
        <v>0</v>
      </c>
    </row>
    <row r="9632">
      <c r="A9632" s="1" t="s">
        <v>7360</v>
      </c>
      <c r="B9632" s="3" t="str">
        <f t="shared" si="1"/>
        <v>Unavailable</v>
      </c>
      <c r="C9632" s="5">
        <v>2529.0</v>
      </c>
      <c r="D9632" s="3">
        <f>IFERROR(__xludf.DUMMYFUNCTION("IFERROR(
IF(REGEXMATCH(LOWER(O9632),""k""),
VALUE(REGEXEXTRACT(O9632,""[0-9]+""))*1000,
VALUE(REGEXEXTRACT(O9632,""[0-9]+""))
),
0
)"),0.0)</f>
        <v>0</v>
      </c>
      <c r="E9632" s="1" t="s">
        <v>11</v>
      </c>
      <c r="F9632" s="1" t="s">
        <v>20</v>
      </c>
      <c r="G9632" s="4" t="b">
        <f t="shared" si="2"/>
        <v>1</v>
      </c>
      <c r="H9632" s="1" t="str">
        <f t="shared" si="3"/>
        <v>Currently Unavailable</v>
      </c>
      <c r="I9632" s="1" t="str">
        <f t="shared" si="4"/>
        <v>No Badges</v>
      </c>
      <c r="J9632" s="3">
        <f t="shared" si="5"/>
        <v>0</v>
      </c>
    </row>
    <row r="9633">
      <c r="A9633" s="1" t="s">
        <v>7361</v>
      </c>
      <c r="B9633" s="3" t="str">
        <f t="shared" si="1"/>
        <v>Unavailable</v>
      </c>
      <c r="C9633" s="3">
        <v>38.0</v>
      </c>
      <c r="D9633" s="3">
        <f>IFERROR(__xludf.DUMMYFUNCTION("IFERROR(
IF(REGEXMATCH(LOWER(O9633),""k""),
VALUE(REGEXEXTRACT(O9633,""[0-9]+""))*1000,
VALUE(REGEXEXTRACT(O9633,""[0-9]+""))
),
0
)"),0.0)</f>
        <v>0</v>
      </c>
      <c r="E9633" s="1" t="s">
        <v>11</v>
      </c>
      <c r="F9633" s="1" t="s">
        <v>20</v>
      </c>
      <c r="G9633" s="4" t="b">
        <f t="shared" si="2"/>
        <v>1</v>
      </c>
      <c r="H9633" s="1" t="str">
        <f t="shared" si="3"/>
        <v>Currently Unavailable</v>
      </c>
      <c r="I9633" s="1" t="str">
        <f t="shared" si="4"/>
        <v>No Badges</v>
      </c>
      <c r="J9633" s="3">
        <f t="shared" si="5"/>
        <v>0</v>
      </c>
    </row>
    <row r="9634">
      <c r="A9634" s="1" t="s">
        <v>7362</v>
      </c>
      <c r="B9634" s="3" t="str">
        <f t="shared" si="1"/>
        <v>Unavailable</v>
      </c>
      <c r="C9634" s="5">
        <v>3354.0</v>
      </c>
      <c r="D9634" s="3">
        <f>IFERROR(__xludf.DUMMYFUNCTION("IFERROR(
IF(REGEXMATCH(LOWER(O9634),""k""),
VALUE(REGEXEXTRACT(O9634,""[0-9]+""))*1000,
VALUE(REGEXEXTRACT(O9634,""[0-9]+""))
),
0
)"),0.0)</f>
        <v>0</v>
      </c>
      <c r="E9634" s="1" t="s">
        <v>11</v>
      </c>
      <c r="F9634" s="1" t="s">
        <v>20</v>
      </c>
      <c r="G9634" s="4" t="b">
        <f t="shared" si="2"/>
        <v>1</v>
      </c>
      <c r="H9634" s="1" t="str">
        <f t="shared" si="3"/>
        <v>Currently Unavailable</v>
      </c>
      <c r="I9634" s="1" t="str">
        <f t="shared" si="4"/>
        <v>No Badges</v>
      </c>
      <c r="J9634" s="3">
        <f t="shared" si="5"/>
        <v>0</v>
      </c>
    </row>
    <row r="9635">
      <c r="A9635" s="1" t="s">
        <v>7363</v>
      </c>
      <c r="B9635" s="3" t="str">
        <f t="shared" si="1"/>
        <v>Unavailable</v>
      </c>
      <c r="C9635" s="5">
        <v>4536.0</v>
      </c>
      <c r="D9635" s="3">
        <f>IFERROR(__xludf.DUMMYFUNCTION("IFERROR(
IF(REGEXMATCH(LOWER(O9635),""k""),
VALUE(REGEXEXTRACT(O9635,""[0-9]+""))*1000,
VALUE(REGEXEXTRACT(O9635,""[0-9]+""))
),
0
)"),0.0)</f>
        <v>0</v>
      </c>
      <c r="E9635" s="1" t="s">
        <v>11</v>
      </c>
      <c r="F9635" s="1" t="s">
        <v>20</v>
      </c>
      <c r="G9635" s="4" t="b">
        <f t="shared" si="2"/>
        <v>1</v>
      </c>
      <c r="H9635" s="1" t="str">
        <f t="shared" si="3"/>
        <v>Currently Unavailable</v>
      </c>
      <c r="I9635" s="1" t="str">
        <f t="shared" si="4"/>
        <v>No Badges</v>
      </c>
      <c r="J9635" s="3">
        <f t="shared" si="5"/>
        <v>0</v>
      </c>
    </row>
    <row r="9636">
      <c r="A9636" s="1" t="s">
        <v>7364</v>
      </c>
      <c r="B9636" s="3" t="str">
        <f t="shared" si="1"/>
        <v>Unavailable</v>
      </c>
      <c r="C9636" s="3">
        <v>430.0</v>
      </c>
      <c r="D9636" s="3">
        <f>IFERROR(__xludf.DUMMYFUNCTION("IFERROR(
IF(REGEXMATCH(LOWER(O9636),""k""),
VALUE(REGEXEXTRACT(O9636,""[0-9]+""))*1000,
VALUE(REGEXEXTRACT(O9636,""[0-9]+""))
),
0
)"),0.0)</f>
        <v>0</v>
      </c>
      <c r="E9636" s="1" t="s">
        <v>11</v>
      </c>
      <c r="F9636" s="1" t="s">
        <v>20</v>
      </c>
      <c r="G9636" s="4" t="b">
        <f t="shared" si="2"/>
        <v>1</v>
      </c>
      <c r="H9636" s="1" t="str">
        <f t="shared" si="3"/>
        <v>Currently Unavailable</v>
      </c>
      <c r="I9636" s="1" t="str">
        <f t="shared" si="4"/>
        <v>No Badges</v>
      </c>
      <c r="J9636" s="3">
        <f t="shared" si="5"/>
        <v>0</v>
      </c>
    </row>
    <row r="9637">
      <c r="A9637" s="1" t="s">
        <v>7365</v>
      </c>
      <c r="B9637" s="3" t="str">
        <f t="shared" si="1"/>
        <v>Unavailable</v>
      </c>
      <c r="C9637" s="5">
        <v>2929.0</v>
      </c>
      <c r="D9637" s="3">
        <f>IFERROR(__xludf.DUMMYFUNCTION("IFERROR(
IF(REGEXMATCH(LOWER(O9637),""k""),
VALUE(REGEXEXTRACT(O9637,""[0-9]+""))*1000,
VALUE(REGEXEXTRACT(O9637,""[0-9]+""))
),
0
)"),0.0)</f>
        <v>0</v>
      </c>
      <c r="E9637" s="1" t="s">
        <v>11</v>
      </c>
      <c r="F9637" s="1" t="s">
        <v>20</v>
      </c>
      <c r="G9637" s="4" t="b">
        <f t="shared" si="2"/>
        <v>1</v>
      </c>
      <c r="H9637" s="1" t="str">
        <f t="shared" si="3"/>
        <v>Currently Unavailable</v>
      </c>
      <c r="I9637" s="1" t="str">
        <f t="shared" si="4"/>
        <v>No Badges</v>
      </c>
      <c r="J9637" s="3">
        <f t="shared" si="5"/>
        <v>0</v>
      </c>
    </row>
    <row r="9638">
      <c r="A9638" s="1" t="s">
        <v>7366</v>
      </c>
      <c r="B9638" s="3" t="str">
        <f t="shared" si="1"/>
        <v>Unavailable</v>
      </c>
      <c r="C9638" s="5">
        <v>4970.0</v>
      </c>
      <c r="D9638" s="3">
        <f>IFERROR(__xludf.DUMMYFUNCTION("IFERROR(
IF(REGEXMATCH(LOWER(O9638),""k""),
VALUE(REGEXEXTRACT(O9638,""[0-9]+""))*1000,
VALUE(REGEXEXTRACT(O9638,""[0-9]+""))
),
0
)"),0.0)</f>
        <v>0</v>
      </c>
      <c r="E9638" s="1" t="s">
        <v>11</v>
      </c>
      <c r="F9638" s="1" t="s">
        <v>20</v>
      </c>
      <c r="G9638" s="4" t="b">
        <f t="shared" si="2"/>
        <v>1</v>
      </c>
      <c r="H9638" s="1" t="str">
        <f t="shared" si="3"/>
        <v>Currently Unavailable</v>
      </c>
      <c r="I9638" s="1" t="str">
        <f t="shared" si="4"/>
        <v>No Badges</v>
      </c>
      <c r="J9638" s="3">
        <f t="shared" si="5"/>
        <v>0</v>
      </c>
    </row>
    <row r="9639">
      <c r="A9639" s="1" t="s">
        <v>7367</v>
      </c>
      <c r="B9639" s="3" t="str">
        <f t="shared" si="1"/>
        <v>Unavailable</v>
      </c>
      <c r="C9639" s="5">
        <v>4785.0</v>
      </c>
      <c r="D9639" s="3">
        <f>IFERROR(__xludf.DUMMYFUNCTION("IFERROR(
IF(REGEXMATCH(LOWER(O9639),""k""),
VALUE(REGEXEXTRACT(O9639,""[0-9]+""))*1000,
VALUE(REGEXEXTRACT(O9639,""[0-9]+""))
),
0
)"),0.0)</f>
        <v>0</v>
      </c>
      <c r="E9639" s="1" t="s">
        <v>18</v>
      </c>
      <c r="F9639" s="1" t="s">
        <v>20</v>
      </c>
      <c r="G9639" s="4" t="b">
        <f t="shared" si="2"/>
        <v>1</v>
      </c>
      <c r="H9639" s="1" t="str">
        <f t="shared" si="3"/>
        <v>Currently Unavailable</v>
      </c>
      <c r="I9639" s="1" t="str">
        <f t="shared" si="4"/>
        <v>No Badges</v>
      </c>
      <c r="J9639" s="3">
        <f t="shared" si="5"/>
        <v>0</v>
      </c>
    </row>
    <row r="9640">
      <c r="A9640" s="1" t="s">
        <v>7368</v>
      </c>
      <c r="B9640" s="3" t="str">
        <f t="shared" si="1"/>
        <v>Unavailable</v>
      </c>
      <c r="C9640" s="5">
        <v>2331.0</v>
      </c>
      <c r="D9640" s="3">
        <f>IFERROR(__xludf.DUMMYFUNCTION("IFERROR(
IF(REGEXMATCH(LOWER(O9640),""k""),
VALUE(REGEXEXTRACT(O9640,""[0-9]+""))*1000,
VALUE(REGEXEXTRACT(O9640,""[0-9]+""))
),
0
)"),0.0)</f>
        <v>0</v>
      </c>
      <c r="E9640" s="1" t="s">
        <v>11</v>
      </c>
      <c r="F9640" s="1" t="s">
        <v>20</v>
      </c>
      <c r="G9640" s="4" t="b">
        <f t="shared" si="2"/>
        <v>1</v>
      </c>
      <c r="H9640" s="1" t="str">
        <f t="shared" si="3"/>
        <v>Currently Unavailable</v>
      </c>
      <c r="I9640" s="1" t="str">
        <f t="shared" si="4"/>
        <v>No Badges</v>
      </c>
      <c r="J9640" s="3">
        <f t="shared" si="5"/>
        <v>0</v>
      </c>
    </row>
    <row r="9641">
      <c r="A9641" s="1" t="s">
        <v>7369</v>
      </c>
      <c r="B9641" s="3" t="str">
        <f t="shared" si="1"/>
        <v>Unavailable</v>
      </c>
      <c r="C9641" s="5">
        <v>2924.0</v>
      </c>
      <c r="D9641" s="3">
        <f>IFERROR(__xludf.DUMMYFUNCTION("IFERROR(
IF(REGEXMATCH(LOWER(O9641),""k""),
VALUE(REGEXEXTRACT(O9641,""[0-9]+""))*1000,
VALUE(REGEXEXTRACT(O9641,""[0-9]+""))
),
0
)"),0.0)</f>
        <v>0</v>
      </c>
      <c r="E9641" s="1" t="s">
        <v>11</v>
      </c>
      <c r="F9641" s="1" t="s">
        <v>20</v>
      </c>
      <c r="G9641" s="4" t="b">
        <f t="shared" si="2"/>
        <v>1</v>
      </c>
      <c r="H9641" s="1" t="str">
        <f t="shared" si="3"/>
        <v>Currently Unavailable</v>
      </c>
      <c r="I9641" s="1" t="str">
        <f t="shared" si="4"/>
        <v>No Badges</v>
      </c>
      <c r="J9641" s="3">
        <f t="shared" si="5"/>
        <v>0</v>
      </c>
    </row>
    <row r="9642">
      <c r="A9642" s="1" t="s">
        <v>7370</v>
      </c>
      <c r="B9642" s="3" t="str">
        <f t="shared" si="1"/>
        <v>Unavailable</v>
      </c>
      <c r="C9642" s="3">
        <v>198.0</v>
      </c>
      <c r="D9642" s="3">
        <f>IFERROR(__xludf.DUMMYFUNCTION("IFERROR(
IF(REGEXMATCH(LOWER(O9642),""k""),
VALUE(REGEXEXTRACT(O9642,""[0-9]+""))*1000,
VALUE(REGEXEXTRACT(O9642,""[0-9]+""))
),
0
)"),0.0)</f>
        <v>0</v>
      </c>
      <c r="E9642" s="1" t="s">
        <v>11</v>
      </c>
      <c r="F9642" s="1" t="s">
        <v>20</v>
      </c>
      <c r="G9642" s="4" t="b">
        <f t="shared" si="2"/>
        <v>1</v>
      </c>
      <c r="H9642" s="1" t="str">
        <f t="shared" si="3"/>
        <v>Currently Unavailable</v>
      </c>
      <c r="I9642" s="1" t="str">
        <f t="shared" si="4"/>
        <v>No Badges</v>
      </c>
      <c r="J9642" s="3">
        <f t="shared" si="5"/>
        <v>0</v>
      </c>
    </row>
    <row r="9643">
      <c r="A9643" s="1" t="s">
        <v>7371</v>
      </c>
      <c r="B9643" s="3" t="str">
        <f t="shared" si="1"/>
        <v>Unavailable</v>
      </c>
      <c r="C9643" s="5">
        <v>6979.0</v>
      </c>
      <c r="D9643" s="3">
        <f>IFERROR(__xludf.DUMMYFUNCTION("IFERROR(
IF(REGEXMATCH(LOWER(O9643),""k""),
VALUE(REGEXEXTRACT(O9643,""[0-9]+""))*1000,
VALUE(REGEXEXTRACT(O9643,""[0-9]+""))
),
0
)"),0.0)</f>
        <v>0</v>
      </c>
      <c r="E9643" s="1" t="s">
        <v>11</v>
      </c>
      <c r="F9643" s="1" t="s">
        <v>20</v>
      </c>
      <c r="G9643" s="4" t="b">
        <f t="shared" si="2"/>
        <v>1</v>
      </c>
      <c r="H9643" s="1" t="str">
        <f t="shared" si="3"/>
        <v>Currently Unavailable</v>
      </c>
      <c r="I9643" s="1" t="str">
        <f t="shared" si="4"/>
        <v>No Badges</v>
      </c>
      <c r="J9643" s="3">
        <f t="shared" si="5"/>
        <v>0</v>
      </c>
    </row>
    <row r="9644">
      <c r="A9644" s="1" t="s">
        <v>7372</v>
      </c>
      <c r="B9644" s="3" t="str">
        <f t="shared" si="1"/>
        <v>Unavailable</v>
      </c>
      <c r="C9644" s="3">
        <v>25.0</v>
      </c>
      <c r="D9644" s="3">
        <f>IFERROR(__xludf.DUMMYFUNCTION("IFERROR(
IF(REGEXMATCH(LOWER(O9644),""k""),
VALUE(REGEXEXTRACT(O9644,""[0-9]+""))*1000,
VALUE(REGEXEXTRACT(O9644,""[0-9]+""))
),
0
)"),0.0)</f>
        <v>0</v>
      </c>
      <c r="E9644" s="1" t="s">
        <v>11</v>
      </c>
      <c r="F9644" s="1" t="s">
        <v>20</v>
      </c>
      <c r="G9644" s="4" t="b">
        <f t="shared" si="2"/>
        <v>1</v>
      </c>
      <c r="H9644" s="1" t="str">
        <f t="shared" si="3"/>
        <v>Currently Unavailable</v>
      </c>
      <c r="I9644" s="1" t="str">
        <f t="shared" si="4"/>
        <v>No Badges</v>
      </c>
      <c r="J9644" s="6">
        <f t="shared" si="5"/>
        <v>0</v>
      </c>
    </row>
    <row r="9645">
      <c r="A9645" s="1" t="s">
        <v>7373</v>
      </c>
      <c r="B9645" s="3" t="str">
        <f t="shared" si="1"/>
        <v>Unavailable</v>
      </c>
      <c r="C9645" s="3">
        <v>861.0</v>
      </c>
      <c r="D9645" s="3">
        <f>IFERROR(__xludf.DUMMYFUNCTION("IFERROR(
IF(REGEXMATCH(LOWER(O9645),""k""),
VALUE(REGEXEXTRACT(O9645,""[0-9]+""))*1000,
VALUE(REGEXEXTRACT(O9645,""[0-9]+""))
),
0
)"),0.0)</f>
        <v>0</v>
      </c>
      <c r="E9645" s="1" t="s">
        <v>11</v>
      </c>
      <c r="F9645" s="1" t="s">
        <v>20</v>
      </c>
      <c r="G9645" s="4" t="b">
        <f t="shared" si="2"/>
        <v>1</v>
      </c>
      <c r="H9645" s="1" t="str">
        <f t="shared" si="3"/>
        <v>Currently Unavailable</v>
      </c>
      <c r="I9645" s="1" t="str">
        <f t="shared" si="4"/>
        <v>No Badges</v>
      </c>
      <c r="J9645" s="3">
        <f t="shared" si="5"/>
        <v>0</v>
      </c>
    </row>
    <row r="9646">
      <c r="A9646" s="1" t="s">
        <v>7374</v>
      </c>
      <c r="B9646" s="3" t="str">
        <f t="shared" si="1"/>
        <v>Unavailable</v>
      </c>
      <c r="C9646" s="5">
        <v>4853.0</v>
      </c>
      <c r="D9646" s="3">
        <f>IFERROR(__xludf.DUMMYFUNCTION("IFERROR(
IF(REGEXMATCH(LOWER(O9646),""k""),
VALUE(REGEXEXTRACT(O9646,""[0-9]+""))*1000,
VALUE(REGEXEXTRACT(O9646,""[0-9]+""))
),
0
)"),0.0)</f>
        <v>0</v>
      </c>
      <c r="E9646" s="1" t="s">
        <v>11</v>
      </c>
      <c r="F9646" s="1" t="s">
        <v>20</v>
      </c>
      <c r="G9646" s="4" t="b">
        <f t="shared" si="2"/>
        <v>1</v>
      </c>
      <c r="H9646" s="1" t="str">
        <f t="shared" si="3"/>
        <v>Currently Unavailable</v>
      </c>
      <c r="I9646" s="1" t="str">
        <f t="shared" si="4"/>
        <v>No Badges</v>
      </c>
      <c r="J9646" s="3">
        <f t="shared" si="5"/>
        <v>0</v>
      </c>
    </row>
    <row r="9647">
      <c r="A9647" s="1" t="s">
        <v>7375</v>
      </c>
      <c r="B9647" s="3" t="str">
        <f t="shared" si="1"/>
        <v>Unavailable</v>
      </c>
      <c r="C9647" s="5">
        <v>1496.0</v>
      </c>
      <c r="D9647" s="3">
        <f>IFERROR(__xludf.DUMMYFUNCTION("IFERROR(
IF(REGEXMATCH(LOWER(O9647),""k""),
VALUE(REGEXEXTRACT(O9647,""[0-9]+""))*1000,
VALUE(REGEXEXTRACT(O9647,""[0-9]+""))
),
0
)"),0.0)</f>
        <v>0</v>
      </c>
      <c r="E9647" s="1" t="s">
        <v>11</v>
      </c>
      <c r="F9647" s="1" t="s">
        <v>20</v>
      </c>
      <c r="G9647" s="4" t="b">
        <f t="shared" si="2"/>
        <v>1</v>
      </c>
      <c r="H9647" s="1" t="str">
        <f t="shared" si="3"/>
        <v>Currently Unavailable</v>
      </c>
      <c r="I9647" s="1" t="str">
        <f t="shared" si="4"/>
        <v>No Badges</v>
      </c>
      <c r="J9647" s="3">
        <f t="shared" si="5"/>
        <v>0</v>
      </c>
    </row>
    <row r="9648">
      <c r="A9648" s="1" t="s">
        <v>7376</v>
      </c>
      <c r="B9648" s="3" t="str">
        <f t="shared" si="1"/>
        <v>Unavailable</v>
      </c>
      <c r="C9648" s="5">
        <v>13391.0</v>
      </c>
      <c r="D9648" s="3">
        <f>IFERROR(__xludf.DUMMYFUNCTION("IFERROR(
IF(REGEXMATCH(LOWER(O9648),""k""),
VALUE(REGEXEXTRACT(O9648,""[0-9]+""))*1000,
VALUE(REGEXEXTRACT(O9648,""[0-9]+""))
),
0
)"),0.0)</f>
        <v>0</v>
      </c>
      <c r="E9648" s="1" t="s">
        <v>11</v>
      </c>
      <c r="F9648" s="1" t="s">
        <v>20</v>
      </c>
      <c r="G9648" s="4" t="b">
        <f t="shared" si="2"/>
        <v>1</v>
      </c>
      <c r="H9648" s="1" t="str">
        <f t="shared" si="3"/>
        <v>Currently Unavailable</v>
      </c>
      <c r="I9648" s="1" t="str">
        <f t="shared" si="4"/>
        <v>No Badges</v>
      </c>
      <c r="J9648" s="3">
        <f t="shared" si="5"/>
        <v>0</v>
      </c>
    </row>
    <row r="9649">
      <c r="A9649" s="1" t="s">
        <v>7377</v>
      </c>
      <c r="B9649" s="3" t="str">
        <f t="shared" si="1"/>
        <v>Unavailable</v>
      </c>
      <c r="C9649" s="3">
        <v>10.0</v>
      </c>
      <c r="D9649" s="3">
        <f>IFERROR(__xludf.DUMMYFUNCTION("IFERROR(
IF(REGEXMATCH(LOWER(O9649),""k""),
VALUE(REGEXEXTRACT(O9649,""[0-9]+""))*1000,
VALUE(REGEXEXTRACT(O9649,""[0-9]+""))
),
0
)"),0.0)</f>
        <v>0</v>
      </c>
      <c r="E9649" s="1" t="s">
        <v>11</v>
      </c>
      <c r="F9649" s="1" t="s">
        <v>20</v>
      </c>
      <c r="G9649" s="4" t="b">
        <f t="shared" si="2"/>
        <v>1</v>
      </c>
      <c r="H9649" s="1" t="str">
        <f t="shared" si="3"/>
        <v>Currently Unavailable</v>
      </c>
      <c r="I9649" s="1" t="str">
        <f t="shared" si="4"/>
        <v>No Badges</v>
      </c>
      <c r="J9649" s="3">
        <f t="shared" si="5"/>
        <v>0</v>
      </c>
    </row>
    <row r="9650">
      <c r="A9650" s="1" t="s">
        <v>7378</v>
      </c>
      <c r="B9650" s="3" t="str">
        <f t="shared" si="1"/>
        <v>Unavailable</v>
      </c>
      <c r="C9650" s="5">
        <v>1898.0</v>
      </c>
      <c r="D9650" s="3">
        <f>IFERROR(__xludf.DUMMYFUNCTION("IFERROR(
IF(REGEXMATCH(LOWER(O9650),""k""),
VALUE(REGEXEXTRACT(O9650,""[0-9]+""))*1000,
VALUE(REGEXEXTRACT(O9650,""[0-9]+""))
),
0
)"),0.0)</f>
        <v>0</v>
      </c>
      <c r="E9650" s="1" t="s">
        <v>11</v>
      </c>
      <c r="F9650" s="1" t="s">
        <v>20</v>
      </c>
      <c r="G9650" s="4" t="b">
        <f t="shared" si="2"/>
        <v>1</v>
      </c>
      <c r="H9650" s="1" t="str">
        <f t="shared" si="3"/>
        <v>Currently Unavailable</v>
      </c>
      <c r="I9650" s="1" t="str">
        <f t="shared" si="4"/>
        <v>No Badges</v>
      </c>
      <c r="J9650" s="3">
        <f t="shared" si="5"/>
        <v>0</v>
      </c>
    </row>
    <row r="9651">
      <c r="A9651" s="1" t="s">
        <v>7379</v>
      </c>
      <c r="B9651" s="3" t="str">
        <f t="shared" si="1"/>
        <v>Unavailable</v>
      </c>
      <c r="C9651" s="5">
        <v>3061.0</v>
      </c>
      <c r="D9651" s="3">
        <f>IFERROR(__xludf.DUMMYFUNCTION("IFERROR(
IF(REGEXMATCH(LOWER(O9651),""k""),
VALUE(REGEXEXTRACT(O9651,""[0-9]+""))*1000,
VALUE(REGEXEXTRACT(O9651,""[0-9]+""))
),
0
)"),0.0)</f>
        <v>0</v>
      </c>
      <c r="E9651" s="1" t="s">
        <v>11</v>
      </c>
      <c r="F9651" s="1" t="s">
        <v>20</v>
      </c>
      <c r="G9651" s="4" t="b">
        <f t="shared" si="2"/>
        <v>1</v>
      </c>
      <c r="H9651" s="1" t="str">
        <f t="shared" si="3"/>
        <v>Currently Unavailable</v>
      </c>
      <c r="I9651" s="1" t="str">
        <f t="shared" si="4"/>
        <v>No Badges</v>
      </c>
      <c r="J9651" s="3">
        <f t="shared" si="5"/>
        <v>0</v>
      </c>
    </row>
    <row r="9652">
      <c r="A9652" s="1" t="s">
        <v>7380</v>
      </c>
      <c r="B9652" s="3" t="str">
        <f t="shared" si="1"/>
        <v>Unavailable</v>
      </c>
      <c r="C9652" s="5">
        <v>1028.0</v>
      </c>
      <c r="D9652" s="3">
        <f>IFERROR(__xludf.DUMMYFUNCTION("IFERROR(
IF(REGEXMATCH(LOWER(O9652),""k""),
VALUE(REGEXEXTRACT(O9652,""[0-9]+""))*1000,
VALUE(REGEXEXTRACT(O9652,""[0-9]+""))
),
0
)"),0.0)</f>
        <v>0</v>
      </c>
      <c r="E9652" s="1" t="s">
        <v>11</v>
      </c>
      <c r="F9652" s="1" t="s">
        <v>20</v>
      </c>
      <c r="G9652" s="4" t="b">
        <f t="shared" si="2"/>
        <v>1</v>
      </c>
      <c r="H9652" s="1" t="str">
        <f t="shared" si="3"/>
        <v>Currently Unavailable</v>
      </c>
      <c r="I9652" s="1" t="str">
        <f t="shared" si="4"/>
        <v>No Badges</v>
      </c>
      <c r="J9652" s="3">
        <f t="shared" si="5"/>
        <v>0</v>
      </c>
    </row>
    <row r="9653">
      <c r="A9653" s="1" t="s">
        <v>7381</v>
      </c>
      <c r="B9653" s="3" t="str">
        <f t="shared" si="1"/>
        <v>Unavailable</v>
      </c>
      <c r="C9653" s="5">
        <v>1566.0</v>
      </c>
      <c r="D9653" s="3">
        <f>IFERROR(__xludf.DUMMYFUNCTION("IFERROR(
IF(REGEXMATCH(LOWER(O9653),""k""),
VALUE(REGEXEXTRACT(O9653,""[0-9]+""))*1000,
VALUE(REGEXEXTRACT(O9653,""[0-9]+""))
),
0
)"),0.0)</f>
        <v>0</v>
      </c>
      <c r="E9653" s="1" t="s">
        <v>11</v>
      </c>
      <c r="F9653" s="1" t="s">
        <v>20</v>
      </c>
      <c r="G9653" s="4" t="b">
        <f t="shared" si="2"/>
        <v>1</v>
      </c>
      <c r="H9653" s="1" t="str">
        <f t="shared" si="3"/>
        <v>Currently Unavailable</v>
      </c>
      <c r="I9653" s="1" t="str">
        <f t="shared" si="4"/>
        <v>No Badges</v>
      </c>
      <c r="J9653" s="3">
        <f t="shared" si="5"/>
        <v>0</v>
      </c>
    </row>
    <row r="9654">
      <c r="A9654" s="1" t="s">
        <v>7382</v>
      </c>
      <c r="B9654" s="3" t="str">
        <f t="shared" si="1"/>
        <v>Unavailable</v>
      </c>
      <c r="C9654" s="3">
        <v>124.0</v>
      </c>
      <c r="D9654" s="3">
        <f>IFERROR(__xludf.DUMMYFUNCTION("IFERROR(
IF(REGEXMATCH(LOWER(O9654),""k""),
VALUE(REGEXEXTRACT(O9654,""[0-9]+""))*1000,
VALUE(REGEXEXTRACT(O9654,""[0-9]+""))
),
0
)"),0.0)</f>
        <v>0</v>
      </c>
      <c r="E9654" s="1" t="s">
        <v>11</v>
      </c>
      <c r="F9654" s="1" t="s">
        <v>20</v>
      </c>
      <c r="G9654" s="4" t="b">
        <f t="shared" si="2"/>
        <v>1</v>
      </c>
      <c r="H9654" s="1" t="str">
        <f t="shared" si="3"/>
        <v>Currently Unavailable</v>
      </c>
      <c r="I9654" s="1" t="str">
        <f t="shared" si="4"/>
        <v>No Badges</v>
      </c>
      <c r="J9654" s="3">
        <f t="shared" si="5"/>
        <v>0</v>
      </c>
    </row>
    <row r="9655">
      <c r="A9655" s="1" t="s">
        <v>7383</v>
      </c>
      <c r="B9655" s="3" t="str">
        <f t="shared" si="1"/>
        <v>Unavailable</v>
      </c>
      <c r="C9655" s="3">
        <v>41.0</v>
      </c>
      <c r="D9655" s="3">
        <f>IFERROR(__xludf.DUMMYFUNCTION("IFERROR(
IF(REGEXMATCH(LOWER(O9655),""k""),
VALUE(REGEXEXTRACT(O9655,""[0-9]+""))*1000,
VALUE(REGEXEXTRACT(O9655,""[0-9]+""))
),
0
)"),0.0)</f>
        <v>0</v>
      </c>
      <c r="E9655" s="1" t="s">
        <v>11</v>
      </c>
      <c r="F9655" s="1" t="s">
        <v>20</v>
      </c>
      <c r="G9655" s="4" t="b">
        <f t="shared" si="2"/>
        <v>1</v>
      </c>
      <c r="H9655" s="1" t="str">
        <f t="shared" si="3"/>
        <v>Currently Unavailable</v>
      </c>
      <c r="I9655" s="1" t="str">
        <f t="shared" si="4"/>
        <v>No Badges</v>
      </c>
      <c r="J9655" s="3">
        <f t="shared" si="5"/>
        <v>0</v>
      </c>
    </row>
    <row r="9656">
      <c r="A9656" s="1" t="s">
        <v>7384</v>
      </c>
      <c r="B9656" s="3" t="str">
        <f t="shared" si="1"/>
        <v>Unavailable</v>
      </c>
      <c r="C9656" s="5">
        <v>3868.0</v>
      </c>
      <c r="D9656" s="3">
        <f>IFERROR(__xludf.DUMMYFUNCTION("IFERROR(
IF(REGEXMATCH(LOWER(O9656),""k""),
VALUE(REGEXEXTRACT(O9656,""[0-9]+""))*1000,
VALUE(REGEXEXTRACT(O9656,""[0-9]+""))
),
0
)"),0.0)</f>
        <v>0</v>
      </c>
      <c r="E9656" s="1" t="s">
        <v>11</v>
      </c>
      <c r="F9656" s="1" t="s">
        <v>20</v>
      </c>
      <c r="G9656" s="4" t="b">
        <f t="shared" si="2"/>
        <v>1</v>
      </c>
      <c r="H9656" s="1" t="str">
        <f t="shared" si="3"/>
        <v>Currently Unavailable</v>
      </c>
      <c r="I9656" s="1" t="str">
        <f t="shared" si="4"/>
        <v>No Badges</v>
      </c>
      <c r="J9656" s="3">
        <f t="shared" si="5"/>
        <v>0</v>
      </c>
    </row>
    <row r="9657">
      <c r="A9657" s="1" t="s">
        <v>7385</v>
      </c>
      <c r="B9657" s="3" t="str">
        <f t="shared" si="1"/>
        <v>Unavailable</v>
      </c>
      <c r="C9657" s="3">
        <v>46.0</v>
      </c>
      <c r="D9657" s="3">
        <f>IFERROR(__xludf.DUMMYFUNCTION("IFERROR(
IF(REGEXMATCH(LOWER(O9657),""k""),
VALUE(REGEXEXTRACT(O9657,""[0-9]+""))*1000,
VALUE(REGEXEXTRACT(O9657,""[0-9]+""))
),
0
)"),0.0)</f>
        <v>0</v>
      </c>
      <c r="E9657" s="1" t="s">
        <v>11</v>
      </c>
      <c r="F9657" s="1" t="s">
        <v>20</v>
      </c>
      <c r="G9657" s="4" t="b">
        <f t="shared" si="2"/>
        <v>1</v>
      </c>
      <c r="H9657" s="1" t="str">
        <f t="shared" si="3"/>
        <v>Currently Unavailable</v>
      </c>
      <c r="I9657" s="1" t="str">
        <f t="shared" si="4"/>
        <v>No Badges</v>
      </c>
      <c r="J9657" s="3">
        <f t="shared" si="5"/>
        <v>0</v>
      </c>
    </row>
    <row r="9658">
      <c r="A9658" s="1" t="s">
        <v>7386</v>
      </c>
      <c r="B9658" s="3" t="str">
        <f t="shared" si="1"/>
        <v>Unavailable</v>
      </c>
      <c r="C9658" s="5">
        <v>3393.0</v>
      </c>
      <c r="D9658" s="3">
        <f>IFERROR(__xludf.DUMMYFUNCTION("IFERROR(
IF(REGEXMATCH(LOWER(O9658),""k""),
VALUE(REGEXEXTRACT(O9658,""[0-9]+""))*1000,
VALUE(REGEXEXTRACT(O9658,""[0-9]+""))
),
0
)"),0.0)</f>
        <v>0</v>
      </c>
      <c r="E9658" s="1" t="s">
        <v>11</v>
      </c>
      <c r="F9658" s="1" t="s">
        <v>20</v>
      </c>
      <c r="G9658" s="4" t="b">
        <f t="shared" si="2"/>
        <v>1</v>
      </c>
      <c r="H9658" s="1" t="str">
        <f t="shared" si="3"/>
        <v>Currently Unavailable</v>
      </c>
      <c r="I9658" s="1" t="str">
        <f t="shared" si="4"/>
        <v>No Badges</v>
      </c>
      <c r="J9658" s="3">
        <f t="shared" si="5"/>
        <v>0</v>
      </c>
    </row>
    <row r="9659">
      <c r="A9659" s="1" t="s">
        <v>7387</v>
      </c>
      <c r="B9659" s="3" t="str">
        <f t="shared" si="1"/>
        <v>Unavailable</v>
      </c>
      <c r="C9659" s="3">
        <v>40.0</v>
      </c>
      <c r="D9659" s="3">
        <f>IFERROR(__xludf.DUMMYFUNCTION("IFERROR(
IF(REGEXMATCH(LOWER(O9659),""k""),
VALUE(REGEXEXTRACT(O9659,""[0-9]+""))*1000,
VALUE(REGEXEXTRACT(O9659,""[0-9]+""))
),
0
)"),0.0)</f>
        <v>0</v>
      </c>
      <c r="E9659" s="1" t="s">
        <v>11</v>
      </c>
      <c r="F9659" s="1" t="s">
        <v>20</v>
      </c>
      <c r="G9659" s="4" t="b">
        <f t="shared" si="2"/>
        <v>1</v>
      </c>
      <c r="H9659" s="1" t="str">
        <f t="shared" si="3"/>
        <v>Currently Unavailable</v>
      </c>
      <c r="I9659" s="1" t="str">
        <f t="shared" si="4"/>
        <v>No Badges</v>
      </c>
      <c r="J9659" s="3">
        <f t="shared" si="5"/>
        <v>0</v>
      </c>
    </row>
    <row r="9660">
      <c r="A9660" s="1" t="s">
        <v>7388</v>
      </c>
      <c r="B9660" s="3" t="str">
        <f t="shared" si="1"/>
        <v>Unavailable</v>
      </c>
      <c r="C9660" s="3">
        <v>8.0</v>
      </c>
      <c r="D9660" s="3">
        <f>IFERROR(__xludf.DUMMYFUNCTION("IFERROR(
IF(REGEXMATCH(LOWER(O9660),""k""),
VALUE(REGEXEXTRACT(O9660,""[0-9]+""))*1000,
VALUE(REGEXEXTRACT(O9660,""[0-9]+""))
),
0
)"),0.0)</f>
        <v>0</v>
      </c>
      <c r="E9660" s="1" t="s">
        <v>11</v>
      </c>
      <c r="F9660" s="1" t="s">
        <v>20</v>
      </c>
      <c r="G9660" s="4" t="b">
        <f t="shared" si="2"/>
        <v>1</v>
      </c>
      <c r="H9660" s="1" t="str">
        <f t="shared" si="3"/>
        <v>Currently Unavailable</v>
      </c>
      <c r="I9660" s="1" t="str">
        <f t="shared" si="4"/>
        <v>No Badges</v>
      </c>
      <c r="J9660" s="3">
        <f t="shared" si="5"/>
        <v>0</v>
      </c>
    </row>
    <row r="9661">
      <c r="A9661" s="1" t="s">
        <v>7389</v>
      </c>
      <c r="B9661" s="3" t="str">
        <f t="shared" si="1"/>
        <v>Unavailable</v>
      </c>
      <c r="C9661" s="5">
        <v>34308.0</v>
      </c>
      <c r="D9661" s="3">
        <f>IFERROR(__xludf.DUMMYFUNCTION("IFERROR(
IF(REGEXMATCH(LOWER(O9661),""k""),
VALUE(REGEXEXTRACT(O9661,""[0-9]+""))*1000,
VALUE(REGEXEXTRACT(O9661,""[0-9]+""))
),
0
)"),0.0)</f>
        <v>0</v>
      </c>
      <c r="E9661" s="1" t="s">
        <v>11</v>
      </c>
      <c r="F9661" s="1" t="s">
        <v>20</v>
      </c>
      <c r="G9661" s="4" t="b">
        <f t="shared" si="2"/>
        <v>1</v>
      </c>
      <c r="H9661" s="1" t="str">
        <f t="shared" si="3"/>
        <v>Currently Unavailable</v>
      </c>
      <c r="I9661" s="1" t="str">
        <f t="shared" si="4"/>
        <v>No Badges</v>
      </c>
      <c r="J9661" s="3">
        <f t="shared" si="5"/>
        <v>0</v>
      </c>
    </row>
    <row r="9662">
      <c r="A9662" s="1" t="s">
        <v>7390</v>
      </c>
      <c r="B9662" s="3" t="str">
        <f t="shared" si="1"/>
        <v>Unavailable</v>
      </c>
      <c r="C9662" s="5">
        <v>1961.0</v>
      </c>
      <c r="D9662" s="3">
        <f>IFERROR(__xludf.DUMMYFUNCTION("IFERROR(
IF(REGEXMATCH(LOWER(O9662),""k""),
VALUE(REGEXEXTRACT(O9662,""[0-9]+""))*1000,
VALUE(REGEXEXTRACT(O9662,""[0-9]+""))
),
0
)"),0.0)</f>
        <v>0</v>
      </c>
      <c r="E9662" s="1" t="s">
        <v>11</v>
      </c>
      <c r="F9662" s="1" t="s">
        <v>20</v>
      </c>
      <c r="G9662" s="4" t="b">
        <f t="shared" si="2"/>
        <v>1</v>
      </c>
      <c r="H9662" s="1" t="str">
        <f t="shared" si="3"/>
        <v>Currently Unavailable</v>
      </c>
      <c r="I9662" s="1" t="str">
        <f t="shared" si="4"/>
        <v>No Badges</v>
      </c>
      <c r="J9662" s="3">
        <f t="shared" si="5"/>
        <v>0</v>
      </c>
    </row>
    <row r="9663">
      <c r="A9663" s="1" t="s">
        <v>7391</v>
      </c>
      <c r="B9663" s="3" t="str">
        <f t="shared" si="1"/>
        <v>Unavailable</v>
      </c>
      <c r="C9663" s="3">
        <v>460.0</v>
      </c>
      <c r="D9663" s="3">
        <f>IFERROR(__xludf.DUMMYFUNCTION("IFERROR(
IF(REGEXMATCH(LOWER(O9663),""k""),
VALUE(REGEXEXTRACT(O9663,""[0-9]+""))*1000,
VALUE(REGEXEXTRACT(O9663,""[0-9]+""))
),
0
)"),0.0)</f>
        <v>0</v>
      </c>
      <c r="E9663" s="1" t="s">
        <v>11</v>
      </c>
      <c r="F9663" s="1" t="s">
        <v>20</v>
      </c>
      <c r="G9663" s="4" t="b">
        <f t="shared" si="2"/>
        <v>1</v>
      </c>
      <c r="H9663" s="1" t="str">
        <f t="shared" si="3"/>
        <v>Currently Unavailable</v>
      </c>
      <c r="I9663" s="1" t="str">
        <f t="shared" si="4"/>
        <v>No Badges</v>
      </c>
      <c r="J9663" s="3">
        <f t="shared" si="5"/>
        <v>0</v>
      </c>
    </row>
    <row r="9664">
      <c r="A9664" s="1" t="s">
        <v>7392</v>
      </c>
      <c r="B9664" s="3" t="str">
        <f t="shared" si="1"/>
        <v>Unavailable</v>
      </c>
      <c r="C9664" s="3">
        <v>427.0</v>
      </c>
      <c r="D9664" s="3">
        <f>IFERROR(__xludf.DUMMYFUNCTION("IFERROR(
IF(REGEXMATCH(LOWER(O9664),""k""),
VALUE(REGEXEXTRACT(O9664,""[0-9]+""))*1000,
VALUE(REGEXEXTRACT(O9664,""[0-9]+""))
),
0
)"),0.0)</f>
        <v>0</v>
      </c>
      <c r="E9664" s="1" t="s">
        <v>11</v>
      </c>
      <c r="F9664" s="1" t="s">
        <v>20</v>
      </c>
      <c r="G9664" s="4" t="b">
        <f t="shared" si="2"/>
        <v>1</v>
      </c>
      <c r="H9664" s="1" t="str">
        <f t="shared" si="3"/>
        <v>Currently Unavailable</v>
      </c>
      <c r="I9664" s="1" t="str">
        <f t="shared" si="4"/>
        <v>No Badges</v>
      </c>
      <c r="J9664" s="3">
        <f t="shared" si="5"/>
        <v>0</v>
      </c>
    </row>
    <row r="9665">
      <c r="A9665" s="1" t="s">
        <v>7393</v>
      </c>
      <c r="B9665" s="3" t="str">
        <f t="shared" si="1"/>
        <v>Unavailable</v>
      </c>
      <c r="C9665" s="3">
        <v>51.0</v>
      </c>
      <c r="D9665" s="3">
        <f>IFERROR(__xludf.DUMMYFUNCTION("IFERROR(
IF(REGEXMATCH(LOWER(O9665),""k""),
VALUE(REGEXEXTRACT(O9665,""[0-9]+""))*1000,
VALUE(REGEXEXTRACT(O9665,""[0-9]+""))
),
0
)"),0.0)</f>
        <v>0</v>
      </c>
      <c r="E9665" s="1" t="s">
        <v>11</v>
      </c>
      <c r="F9665" s="1" t="s">
        <v>20</v>
      </c>
      <c r="G9665" s="4" t="b">
        <f t="shared" si="2"/>
        <v>1</v>
      </c>
      <c r="H9665" s="1" t="str">
        <f t="shared" si="3"/>
        <v>Currently Unavailable</v>
      </c>
      <c r="I9665" s="1" t="str">
        <f t="shared" si="4"/>
        <v>No Badges</v>
      </c>
      <c r="J9665" s="3">
        <f t="shared" si="5"/>
        <v>0</v>
      </c>
    </row>
    <row r="9666">
      <c r="A9666" s="1" t="s">
        <v>7394</v>
      </c>
      <c r="B9666" s="3" t="str">
        <f t="shared" si="1"/>
        <v>Unavailable</v>
      </c>
      <c r="C9666" s="5">
        <v>3329.0</v>
      </c>
      <c r="D9666" s="3">
        <f>IFERROR(__xludf.DUMMYFUNCTION("IFERROR(
IF(REGEXMATCH(LOWER(O9666),""k""),
VALUE(REGEXEXTRACT(O9666,""[0-9]+""))*1000,
VALUE(REGEXEXTRACT(O9666,""[0-9]+""))
),
0
)"),0.0)</f>
        <v>0</v>
      </c>
      <c r="E9666" s="1" t="s">
        <v>11</v>
      </c>
      <c r="F9666" s="1" t="s">
        <v>20</v>
      </c>
      <c r="G9666" s="4" t="b">
        <f t="shared" si="2"/>
        <v>1</v>
      </c>
      <c r="H9666" s="1" t="str">
        <f t="shared" si="3"/>
        <v>Currently Unavailable</v>
      </c>
      <c r="I9666" s="1" t="str">
        <f t="shared" si="4"/>
        <v>No Badges</v>
      </c>
      <c r="J9666" s="3">
        <f t="shared" si="5"/>
        <v>0</v>
      </c>
    </row>
    <row r="9667">
      <c r="A9667" s="1" t="s">
        <v>7395</v>
      </c>
      <c r="B9667" s="3" t="str">
        <f t="shared" si="1"/>
        <v>Unavailable</v>
      </c>
      <c r="C9667" s="3">
        <v>984.0</v>
      </c>
      <c r="D9667" s="3">
        <f>IFERROR(__xludf.DUMMYFUNCTION("IFERROR(
IF(REGEXMATCH(LOWER(O9667),""k""),
VALUE(REGEXEXTRACT(O9667,""[0-9]+""))*1000,
VALUE(REGEXEXTRACT(O9667,""[0-9]+""))
),
0
)"),0.0)</f>
        <v>0</v>
      </c>
      <c r="E9667" s="1" t="s">
        <v>11</v>
      </c>
      <c r="F9667" s="1" t="s">
        <v>20</v>
      </c>
      <c r="G9667" s="4" t="b">
        <f t="shared" si="2"/>
        <v>1</v>
      </c>
      <c r="H9667" s="1" t="str">
        <f t="shared" si="3"/>
        <v>Currently Unavailable</v>
      </c>
      <c r="I9667" s="1" t="str">
        <f t="shared" si="4"/>
        <v>No Badges</v>
      </c>
      <c r="J9667" s="3">
        <f t="shared" si="5"/>
        <v>0</v>
      </c>
    </row>
    <row r="9668">
      <c r="A9668" s="1" t="s">
        <v>7396</v>
      </c>
      <c r="B9668" s="3" t="str">
        <f t="shared" si="1"/>
        <v>Unavailable</v>
      </c>
      <c r="C9668" s="5">
        <v>2308.0</v>
      </c>
      <c r="D9668" s="3">
        <f>IFERROR(__xludf.DUMMYFUNCTION("IFERROR(
IF(REGEXMATCH(LOWER(O9668),""k""),
VALUE(REGEXEXTRACT(O9668,""[0-9]+""))*1000,
VALUE(REGEXEXTRACT(O9668,""[0-9]+""))
),
0
)"),0.0)</f>
        <v>0</v>
      </c>
      <c r="E9668" s="1" t="s">
        <v>11</v>
      </c>
      <c r="F9668" s="1" t="s">
        <v>20</v>
      </c>
      <c r="G9668" s="4" t="b">
        <f t="shared" si="2"/>
        <v>1</v>
      </c>
      <c r="H9668" s="1" t="str">
        <f t="shared" si="3"/>
        <v>Currently Unavailable</v>
      </c>
      <c r="I9668" s="1" t="str">
        <f t="shared" si="4"/>
        <v>No Badges</v>
      </c>
      <c r="J9668" s="3">
        <f t="shared" si="5"/>
        <v>0</v>
      </c>
    </row>
    <row r="9669">
      <c r="A9669" s="1" t="s">
        <v>7397</v>
      </c>
      <c r="B9669" s="3" t="str">
        <f t="shared" si="1"/>
        <v>Unavailable</v>
      </c>
      <c r="C9669" s="5">
        <v>68538.0</v>
      </c>
      <c r="D9669" s="3">
        <f>IFERROR(__xludf.DUMMYFUNCTION("IFERROR(
IF(REGEXMATCH(LOWER(O9669),""k""),
VALUE(REGEXEXTRACT(O9669,""[0-9]+""))*1000,
VALUE(REGEXEXTRACT(O9669,""[0-9]+""))
),
0
)"),0.0)</f>
        <v>0</v>
      </c>
      <c r="E9669" s="1" t="s">
        <v>11</v>
      </c>
      <c r="F9669" s="1" t="s">
        <v>20</v>
      </c>
      <c r="G9669" s="4" t="b">
        <f t="shared" si="2"/>
        <v>1</v>
      </c>
      <c r="H9669" s="1" t="str">
        <f t="shared" si="3"/>
        <v>Currently Unavailable</v>
      </c>
      <c r="I9669" s="1" t="str">
        <f t="shared" si="4"/>
        <v>No Badges</v>
      </c>
      <c r="J9669" s="3">
        <f t="shared" si="5"/>
        <v>0</v>
      </c>
    </row>
    <row r="9670">
      <c r="A9670" s="1" t="s">
        <v>7398</v>
      </c>
      <c r="B9670" s="3" t="str">
        <f t="shared" si="1"/>
        <v>Unavailable</v>
      </c>
      <c r="C9670" s="5">
        <v>2262.0</v>
      </c>
      <c r="D9670" s="3">
        <f>IFERROR(__xludf.DUMMYFUNCTION("IFERROR(
IF(REGEXMATCH(LOWER(O9670),""k""),
VALUE(REGEXEXTRACT(O9670,""[0-9]+""))*1000,
VALUE(REGEXEXTRACT(O9670,""[0-9]+""))
),
0
)"),0.0)</f>
        <v>0</v>
      </c>
      <c r="E9670" s="1" t="s">
        <v>11</v>
      </c>
      <c r="F9670" s="1" t="s">
        <v>20</v>
      </c>
      <c r="G9670" s="4" t="b">
        <f t="shared" si="2"/>
        <v>1</v>
      </c>
      <c r="H9670" s="1" t="str">
        <f t="shared" si="3"/>
        <v>Currently Unavailable</v>
      </c>
      <c r="I9670" s="1" t="str">
        <f t="shared" si="4"/>
        <v>No Badges</v>
      </c>
      <c r="J9670" s="3">
        <f t="shared" si="5"/>
        <v>0</v>
      </c>
    </row>
    <row r="9671">
      <c r="A9671" s="1" t="s">
        <v>7399</v>
      </c>
      <c r="B9671" s="3" t="str">
        <f t="shared" si="1"/>
        <v>Unavailable</v>
      </c>
      <c r="C9671" s="5">
        <v>1777.0</v>
      </c>
      <c r="D9671" s="3">
        <f>IFERROR(__xludf.DUMMYFUNCTION("IFERROR(
IF(REGEXMATCH(LOWER(O9671),""k""),
VALUE(REGEXEXTRACT(O9671,""[0-9]+""))*1000,
VALUE(REGEXEXTRACT(O9671,""[0-9]+""))
),
0
)"),0.0)</f>
        <v>0</v>
      </c>
      <c r="E9671" s="1" t="s">
        <v>11</v>
      </c>
      <c r="F9671" s="1" t="s">
        <v>20</v>
      </c>
      <c r="G9671" s="4" t="b">
        <f t="shared" si="2"/>
        <v>1</v>
      </c>
      <c r="H9671" s="1" t="str">
        <f t="shared" si="3"/>
        <v>Currently Unavailable</v>
      </c>
      <c r="I9671" s="1" t="str">
        <f t="shared" si="4"/>
        <v>No Badges</v>
      </c>
      <c r="J9671" s="3">
        <f t="shared" si="5"/>
        <v>0</v>
      </c>
    </row>
    <row r="9672">
      <c r="A9672" s="1" t="s">
        <v>7400</v>
      </c>
      <c r="B9672" s="3" t="str">
        <f t="shared" si="1"/>
        <v>Unavailable</v>
      </c>
      <c r="C9672" s="5">
        <v>7064.0</v>
      </c>
      <c r="D9672" s="3">
        <f>IFERROR(__xludf.DUMMYFUNCTION("IFERROR(
IF(REGEXMATCH(LOWER(O9672),""k""),
VALUE(REGEXEXTRACT(O9672,""[0-9]+""))*1000,
VALUE(REGEXEXTRACT(O9672,""[0-9]+""))
),
0
)"),0.0)</f>
        <v>0</v>
      </c>
      <c r="E9672" s="1" t="s">
        <v>11</v>
      </c>
      <c r="F9672" s="1" t="s">
        <v>20</v>
      </c>
      <c r="G9672" s="4" t="b">
        <f t="shared" si="2"/>
        <v>1</v>
      </c>
      <c r="H9672" s="1" t="str">
        <f t="shared" si="3"/>
        <v>Currently Unavailable</v>
      </c>
      <c r="I9672" s="1" t="str">
        <f t="shared" si="4"/>
        <v>No Badges</v>
      </c>
      <c r="J9672" s="3">
        <f t="shared" si="5"/>
        <v>0</v>
      </c>
    </row>
    <row r="9673">
      <c r="A9673" s="1" t="s">
        <v>7401</v>
      </c>
      <c r="B9673" s="3" t="str">
        <f t="shared" si="1"/>
        <v>Unavailable</v>
      </c>
      <c r="C9673" s="3">
        <v>957.0</v>
      </c>
      <c r="D9673" s="3">
        <f>IFERROR(__xludf.DUMMYFUNCTION("IFERROR(
IF(REGEXMATCH(LOWER(O9673),""k""),
VALUE(REGEXEXTRACT(O9673,""[0-9]+""))*1000,
VALUE(REGEXEXTRACT(O9673,""[0-9]+""))
),
0
)"),0.0)</f>
        <v>0</v>
      </c>
      <c r="E9673" s="1" t="s">
        <v>11</v>
      </c>
      <c r="F9673" s="1" t="s">
        <v>20</v>
      </c>
      <c r="G9673" s="4" t="b">
        <f t="shared" si="2"/>
        <v>1</v>
      </c>
      <c r="H9673" s="1" t="str">
        <f t="shared" si="3"/>
        <v>Currently Unavailable</v>
      </c>
      <c r="I9673" s="1" t="str">
        <f t="shared" si="4"/>
        <v>No Badges</v>
      </c>
      <c r="J9673" s="3">
        <f t="shared" si="5"/>
        <v>0</v>
      </c>
    </row>
    <row r="9674">
      <c r="A9674" s="1" t="s">
        <v>7402</v>
      </c>
      <c r="B9674" s="3" t="str">
        <f t="shared" si="1"/>
        <v>Unavailable</v>
      </c>
      <c r="C9674" s="5">
        <v>3126.0</v>
      </c>
      <c r="D9674" s="3">
        <f>IFERROR(__xludf.DUMMYFUNCTION("IFERROR(
IF(REGEXMATCH(LOWER(O9674),""k""),
VALUE(REGEXEXTRACT(O9674,""[0-9]+""))*1000,
VALUE(REGEXEXTRACT(O9674,""[0-9]+""))
),
0
)"),0.0)</f>
        <v>0</v>
      </c>
      <c r="E9674" s="1" t="s">
        <v>11</v>
      </c>
      <c r="F9674" s="1" t="s">
        <v>20</v>
      </c>
      <c r="G9674" s="4" t="b">
        <f t="shared" si="2"/>
        <v>1</v>
      </c>
      <c r="H9674" s="1" t="str">
        <f t="shared" si="3"/>
        <v>Currently Unavailable</v>
      </c>
      <c r="I9674" s="1" t="str">
        <f t="shared" si="4"/>
        <v>No Badges</v>
      </c>
      <c r="J9674" s="3">
        <f t="shared" si="5"/>
        <v>0</v>
      </c>
    </row>
    <row r="9675">
      <c r="A9675" s="1" t="s">
        <v>7403</v>
      </c>
      <c r="B9675" s="3" t="str">
        <f t="shared" si="1"/>
        <v>Unavailable</v>
      </c>
      <c r="C9675" s="5">
        <v>8744.0</v>
      </c>
      <c r="D9675" s="3">
        <f>IFERROR(__xludf.DUMMYFUNCTION("IFERROR(
IF(REGEXMATCH(LOWER(O9675),""k""),
VALUE(REGEXEXTRACT(O9675,""[0-9]+""))*1000,
VALUE(REGEXEXTRACT(O9675,""[0-9]+""))
),
0
)"),0.0)</f>
        <v>0</v>
      </c>
      <c r="E9675" s="1" t="s">
        <v>11</v>
      </c>
      <c r="F9675" s="1" t="s">
        <v>20</v>
      </c>
      <c r="G9675" s="4" t="b">
        <f t="shared" si="2"/>
        <v>1</v>
      </c>
      <c r="H9675" s="1" t="str">
        <f t="shared" si="3"/>
        <v>Currently Unavailable</v>
      </c>
      <c r="I9675" s="1" t="str">
        <f t="shared" si="4"/>
        <v>No Badges</v>
      </c>
      <c r="J9675" s="3">
        <f t="shared" si="5"/>
        <v>0</v>
      </c>
    </row>
    <row r="9676">
      <c r="A9676" s="1" t="s">
        <v>7404</v>
      </c>
      <c r="B9676" s="3" t="str">
        <f t="shared" si="1"/>
        <v>Unavailable</v>
      </c>
      <c r="C9676" s="5">
        <v>21067.0</v>
      </c>
      <c r="D9676" s="3">
        <f>IFERROR(__xludf.DUMMYFUNCTION("IFERROR(
IF(REGEXMATCH(LOWER(O9676),""k""),
VALUE(REGEXEXTRACT(O9676,""[0-9]+""))*1000,
VALUE(REGEXEXTRACT(O9676,""[0-9]+""))
),
0
)"),0.0)</f>
        <v>0</v>
      </c>
      <c r="E9676" s="1" t="s">
        <v>11</v>
      </c>
      <c r="F9676" s="1" t="s">
        <v>20</v>
      </c>
      <c r="G9676" s="4" t="b">
        <f t="shared" si="2"/>
        <v>1</v>
      </c>
      <c r="H9676" s="1" t="str">
        <f t="shared" si="3"/>
        <v>Currently Unavailable</v>
      </c>
      <c r="I9676" s="1" t="str">
        <f t="shared" si="4"/>
        <v>No Badges</v>
      </c>
      <c r="J9676" s="3">
        <f t="shared" si="5"/>
        <v>0</v>
      </c>
    </row>
    <row r="9677">
      <c r="A9677" s="1" t="s">
        <v>7405</v>
      </c>
      <c r="B9677" s="3" t="str">
        <f t="shared" si="1"/>
        <v>Unavailable</v>
      </c>
      <c r="C9677" s="3">
        <v>5.0</v>
      </c>
      <c r="D9677" s="3">
        <f>IFERROR(__xludf.DUMMYFUNCTION("IFERROR(
IF(REGEXMATCH(LOWER(O9677),""k""),
VALUE(REGEXEXTRACT(O9677,""[0-9]+""))*1000,
VALUE(REGEXEXTRACT(O9677,""[0-9]+""))
),
0
)"),0.0)</f>
        <v>0</v>
      </c>
      <c r="E9677" s="1" t="s">
        <v>11</v>
      </c>
      <c r="F9677" s="1" t="s">
        <v>20</v>
      </c>
      <c r="G9677" s="4" t="b">
        <f t="shared" si="2"/>
        <v>1</v>
      </c>
      <c r="H9677" s="1" t="str">
        <f t="shared" si="3"/>
        <v>Currently Unavailable</v>
      </c>
      <c r="I9677" s="1" t="str">
        <f t="shared" si="4"/>
        <v>No Badges</v>
      </c>
      <c r="J9677" s="3">
        <f t="shared" si="5"/>
        <v>0</v>
      </c>
    </row>
    <row r="9678">
      <c r="A9678" s="1" t="s">
        <v>7406</v>
      </c>
      <c r="B9678" s="3" t="str">
        <f t="shared" si="1"/>
        <v>Unavailable</v>
      </c>
      <c r="C9678" s="5">
        <v>1765.0</v>
      </c>
      <c r="D9678" s="3">
        <f>IFERROR(__xludf.DUMMYFUNCTION("IFERROR(
IF(REGEXMATCH(LOWER(O9678),""k""),
VALUE(REGEXEXTRACT(O9678,""[0-9]+""))*1000,
VALUE(REGEXEXTRACT(O9678,""[0-9]+""))
),
0
)"),0.0)</f>
        <v>0</v>
      </c>
      <c r="E9678" s="1" t="s">
        <v>11</v>
      </c>
      <c r="F9678" s="1" t="s">
        <v>20</v>
      </c>
      <c r="G9678" s="4" t="b">
        <f t="shared" si="2"/>
        <v>1</v>
      </c>
      <c r="H9678" s="1" t="str">
        <f t="shared" si="3"/>
        <v>Currently Unavailable</v>
      </c>
      <c r="I9678" s="1" t="str">
        <f t="shared" si="4"/>
        <v>No Badges</v>
      </c>
      <c r="J9678" s="3">
        <f t="shared" si="5"/>
        <v>0</v>
      </c>
    </row>
    <row r="9679">
      <c r="A9679" s="1" t="s">
        <v>7407</v>
      </c>
      <c r="B9679" s="3" t="str">
        <f t="shared" si="1"/>
        <v>Unavailable</v>
      </c>
      <c r="C9679" s="3">
        <v>217.0</v>
      </c>
      <c r="D9679" s="3">
        <f>IFERROR(__xludf.DUMMYFUNCTION("IFERROR(
IF(REGEXMATCH(LOWER(O9679),""k""),
VALUE(REGEXEXTRACT(O9679,""[0-9]+""))*1000,
VALUE(REGEXEXTRACT(O9679,""[0-9]+""))
),
0
)"),0.0)</f>
        <v>0</v>
      </c>
      <c r="E9679" s="1" t="s">
        <v>11</v>
      </c>
      <c r="F9679" s="1" t="s">
        <v>20</v>
      </c>
      <c r="G9679" s="4" t="b">
        <f t="shared" si="2"/>
        <v>1</v>
      </c>
      <c r="H9679" s="1" t="str">
        <f t="shared" si="3"/>
        <v>Currently Unavailable</v>
      </c>
      <c r="I9679" s="1" t="str">
        <f t="shared" si="4"/>
        <v>No Badges</v>
      </c>
      <c r="J9679" s="3">
        <f t="shared" si="5"/>
        <v>0</v>
      </c>
    </row>
    <row r="9680">
      <c r="A9680" s="1" t="s">
        <v>7408</v>
      </c>
      <c r="B9680" s="3" t="str">
        <f t="shared" si="1"/>
        <v>Unavailable</v>
      </c>
      <c r="C9680" s="5">
        <v>2136.0</v>
      </c>
      <c r="D9680" s="3">
        <f>IFERROR(__xludf.DUMMYFUNCTION("IFERROR(
IF(REGEXMATCH(LOWER(O9680),""k""),
VALUE(REGEXEXTRACT(O9680,""[0-9]+""))*1000,
VALUE(REGEXEXTRACT(O9680,""[0-9]+""))
),
0
)"),0.0)</f>
        <v>0</v>
      </c>
      <c r="E9680" s="1" t="s">
        <v>11</v>
      </c>
      <c r="F9680" s="1" t="s">
        <v>20</v>
      </c>
      <c r="G9680" s="4" t="b">
        <f t="shared" si="2"/>
        <v>1</v>
      </c>
      <c r="H9680" s="1" t="str">
        <f t="shared" si="3"/>
        <v>Currently Unavailable</v>
      </c>
      <c r="I9680" s="1" t="str">
        <f t="shared" si="4"/>
        <v>No Badges</v>
      </c>
      <c r="J9680" s="3">
        <f t="shared" si="5"/>
        <v>0</v>
      </c>
    </row>
    <row r="9681">
      <c r="A9681" s="1" t="s">
        <v>7409</v>
      </c>
      <c r="B9681" s="3" t="str">
        <f t="shared" si="1"/>
        <v>Unavailable</v>
      </c>
      <c r="C9681" s="3">
        <v>1.0</v>
      </c>
      <c r="D9681" s="3">
        <f>IFERROR(__xludf.DUMMYFUNCTION("IFERROR(
IF(REGEXMATCH(LOWER(O9681),""k""),
VALUE(REGEXEXTRACT(O9681,""[0-9]+""))*1000,
VALUE(REGEXEXTRACT(O9681,""[0-9]+""))
),
0
)"),0.0)</f>
        <v>0</v>
      </c>
      <c r="E9681" s="1" t="s">
        <v>11</v>
      </c>
      <c r="F9681" s="1" t="s">
        <v>20</v>
      </c>
      <c r="G9681" s="4" t="b">
        <f t="shared" si="2"/>
        <v>1</v>
      </c>
      <c r="H9681" s="1" t="str">
        <f t="shared" si="3"/>
        <v>Currently Unavailable</v>
      </c>
      <c r="I9681" s="1" t="str">
        <f t="shared" si="4"/>
        <v>No Badges</v>
      </c>
      <c r="J9681" s="3">
        <f t="shared" si="5"/>
        <v>0</v>
      </c>
    </row>
    <row r="9682">
      <c r="A9682" s="1" t="s">
        <v>7410</v>
      </c>
      <c r="B9682" s="3" t="str">
        <f t="shared" si="1"/>
        <v>Unavailable</v>
      </c>
      <c r="C9682" s="5">
        <v>11821.0</v>
      </c>
      <c r="D9682" s="3">
        <f>IFERROR(__xludf.DUMMYFUNCTION("IFERROR(
IF(REGEXMATCH(LOWER(O9682),""k""),
VALUE(REGEXEXTRACT(O9682,""[0-9]+""))*1000,
VALUE(REGEXEXTRACT(O9682,""[0-9]+""))
),
0
)"),0.0)</f>
        <v>0</v>
      </c>
      <c r="E9682" s="1" t="s">
        <v>11</v>
      </c>
      <c r="F9682" s="1" t="s">
        <v>20</v>
      </c>
      <c r="G9682" s="4" t="b">
        <f t="shared" si="2"/>
        <v>1</v>
      </c>
      <c r="H9682" s="1" t="str">
        <f t="shared" si="3"/>
        <v>Currently Unavailable</v>
      </c>
      <c r="I9682" s="1" t="str">
        <f t="shared" si="4"/>
        <v>No Badges</v>
      </c>
      <c r="J9682" s="3">
        <f t="shared" si="5"/>
        <v>0</v>
      </c>
    </row>
    <row r="9683">
      <c r="A9683" s="1" t="s">
        <v>7411</v>
      </c>
      <c r="B9683" s="3" t="str">
        <f t="shared" si="1"/>
        <v>Unavailable</v>
      </c>
      <c r="C9683" s="5">
        <v>2409.0</v>
      </c>
      <c r="D9683" s="3">
        <f>IFERROR(__xludf.DUMMYFUNCTION("IFERROR(
IF(REGEXMATCH(LOWER(O9683),""k""),
VALUE(REGEXEXTRACT(O9683,""[0-9]+""))*1000,
VALUE(REGEXEXTRACT(O9683,""[0-9]+""))
),
0
)"),0.0)</f>
        <v>0</v>
      </c>
      <c r="E9683" s="1" t="s">
        <v>11</v>
      </c>
      <c r="F9683" s="1" t="s">
        <v>20</v>
      </c>
      <c r="G9683" s="4" t="b">
        <f t="shared" si="2"/>
        <v>1</v>
      </c>
      <c r="H9683" s="1" t="str">
        <f t="shared" si="3"/>
        <v>Currently Unavailable</v>
      </c>
      <c r="I9683" s="1" t="str">
        <f t="shared" si="4"/>
        <v>No Badges</v>
      </c>
      <c r="J9683" s="3">
        <f t="shared" si="5"/>
        <v>0</v>
      </c>
    </row>
    <row r="9684">
      <c r="A9684" s="1" t="s">
        <v>6698</v>
      </c>
      <c r="B9684" s="3" t="str">
        <f t="shared" si="1"/>
        <v>Unavailable</v>
      </c>
      <c r="C9684" s="3">
        <v>6.0</v>
      </c>
      <c r="D9684" s="3">
        <f>IFERROR(__xludf.DUMMYFUNCTION("IFERROR(
IF(REGEXMATCH(LOWER(O9684),""k""),
VALUE(REGEXEXTRACT(O9684,""[0-9]+""))*1000,
VALUE(REGEXEXTRACT(O9684,""[0-9]+""))
),
0
)"),0.0)</f>
        <v>0</v>
      </c>
      <c r="E9684" s="1" t="s">
        <v>11</v>
      </c>
      <c r="F9684" s="1" t="s">
        <v>12</v>
      </c>
      <c r="G9684" s="4" t="b">
        <f t="shared" si="2"/>
        <v>1</v>
      </c>
      <c r="H9684" s="1" t="str">
        <f t="shared" si="3"/>
        <v>Currently Unavailable</v>
      </c>
      <c r="I9684" s="1" t="str">
        <f t="shared" si="4"/>
        <v>No Badges</v>
      </c>
      <c r="J9684" s="3">
        <f t="shared" si="5"/>
        <v>0</v>
      </c>
    </row>
    <row r="9685">
      <c r="A9685" s="1" t="s">
        <v>6699</v>
      </c>
      <c r="B9685" s="3" t="str">
        <f t="shared" si="1"/>
        <v>Unavailable</v>
      </c>
      <c r="C9685" s="3">
        <v>1.0</v>
      </c>
      <c r="D9685" s="3">
        <f>IFERROR(__xludf.DUMMYFUNCTION("IFERROR(
IF(REGEXMATCH(LOWER(O9685),""k""),
VALUE(REGEXEXTRACT(O9685,""[0-9]+""))*1000,
VALUE(REGEXEXTRACT(O9685,""[0-9]+""))
),
0
)"),0.0)</f>
        <v>0</v>
      </c>
      <c r="E9685" s="1" t="s">
        <v>11</v>
      </c>
      <c r="F9685" s="1" t="s">
        <v>12</v>
      </c>
      <c r="G9685" s="4" t="b">
        <f t="shared" si="2"/>
        <v>1</v>
      </c>
      <c r="H9685" s="1" t="str">
        <f t="shared" si="3"/>
        <v>Currently Unavailable</v>
      </c>
      <c r="I9685" s="1" t="str">
        <f t="shared" si="4"/>
        <v>No Badges</v>
      </c>
      <c r="J9685" s="3">
        <f t="shared" si="5"/>
        <v>0</v>
      </c>
    </row>
    <row r="9686">
      <c r="A9686" s="1" t="s">
        <v>7412</v>
      </c>
      <c r="B9686" s="3" t="str">
        <f t="shared" si="1"/>
        <v>Unavailable</v>
      </c>
      <c r="C9686" s="5">
        <v>2109.0</v>
      </c>
      <c r="D9686" s="3">
        <f>IFERROR(__xludf.DUMMYFUNCTION("IFERROR(
IF(REGEXMATCH(LOWER(O9686),""k""),
VALUE(REGEXEXTRACT(O9686,""[0-9]+""))*1000,
VALUE(REGEXEXTRACT(O9686,""[0-9]+""))
),
0
)"),0.0)</f>
        <v>0</v>
      </c>
      <c r="E9686" s="1" t="s">
        <v>11</v>
      </c>
      <c r="F9686" s="1" t="s">
        <v>20</v>
      </c>
      <c r="G9686" s="4" t="b">
        <f t="shared" si="2"/>
        <v>1</v>
      </c>
      <c r="H9686" s="1" t="str">
        <f t="shared" si="3"/>
        <v>Currently Unavailable</v>
      </c>
      <c r="I9686" s="1" t="str">
        <f t="shared" si="4"/>
        <v>No Badges</v>
      </c>
      <c r="J9686" s="3">
        <f t="shared" si="5"/>
        <v>0</v>
      </c>
    </row>
    <row r="9687">
      <c r="A9687" s="1" t="s">
        <v>7413</v>
      </c>
      <c r="B9687" s="3" t="str">
        <f t="shared" si="1"/>
        <v>Unavailable</v>
      </c>
      <c r="C9687" s="5">
        <v>6649.0</v>
      </c>
      <c r="D9687" s="3">
        <f>IFERROR(__xludf.DUMMYFUNCTION("IFERROR(
IF(REGEXMATCH(LOWER(O9687),""k""),
VALUE(REGEXEXTRACT(O9687,""[0-9]+""))*1000,
VALUE(REGEXEXTRACT(O9687,""[0-9]+""))
),
0
)"),0.0)</f>
        <v>0</v>
      </c>
      <c r="E9687" s="1" t="s">
        <v>11</v>
      </c>
      <c r="F9687" s="1" t="s">
        <v>20</v>
      </c>
      <c r="G9687" s="4" t="b">
        <f t="shared" si="2"/>
        <v>1</v>
      </c>
      <c r="H9687" s="1" t="str">
        <f t="shared" si="3"/>
        <v>Currently Unavailable</v>
      </c>
      <c r="I9687" s="1" t="str">
        <f t="shared" si="4"/>
        <v>No Badges</v>
      </c>
      <c r="J9687" s="3">
        <f t="shared" si="5"/>
        <v>0</v>
      </c>
    </row>
    <row r="9688">
      <c r="A9688" s="1" t="s">
        <v>7414</v>
      </c>
      <c r="B9688" s="3" t="str">
        <f t="shared" si="1"/>
        <v>Unavailable</v>
      </c>
      <c r="C9688" s="5">
        <v>14439.0</v>
      </c>
      <c r="D9688" s="3">
        <f>IFERROR(__xludf.DUMMYFUNCTION("IFERROR(
IF(REGEXMATCH(LOWER(O9688),""k""),
VALUE(REGEXEXTRACT(O9688,""[0-9]+""))*1000,
VALUE(REGEXEXTRACT(O9688,""[0-9]+""))
),
0
)"),0.0)</f>
        <v>0</v>
      </c>
      <c r="E9688" s="1" t="s">
        <v>11</v>
      </c>
      <c r="F9688" s="1" t="s">
        <v>20</v>
      </c>
      <c r="G9688" s="4" t="b">
        <f t="shared" si="2"/>
        <v>1</v>
      </c>
      <c r="H9688" s="1" t="str">
        <f t="shared" si="3"/>
        <v>Currently Unavailable</v>
      </c>
      <c r="I9688" s="1" t="str">
        <f t="shared" si="4"/>
        <v>No Badges</v>
      </c>
      <c r="J9688" s="3">
        <f t="shared" si="5"/>
        <v>0</v>
      </c>
    </row>
    <row r="9689">
      <c r="A9689" s="1" t="s">
        <v>7412</v>
      </c>
      <c r="B9689" s="3" t="str">
        <f t="shared" si="1"/>
        <v>Unavailable</v>
      </c>
      <c r="C9689" s="5">
        <v>2108.0</v>
      </c>
      <c r="D9689" s="3">
        <f>IFERROR(__xludf.DUMMYFUNCTION("IFERROR(
IF(REGEXMATCH(LOWER(O9689),""k""),
VALUE(REGEXEXTRACT(O9689,""[0-9]+""))*1000,
VALUE(REGEXEXTRACT(O9689,""[0-9]+""))
),
0
)"),0.0)</f>
        <v>0</v>
      </c>
      <c r="E9689" s="1" t="s">
        <v>11</v>
      </c>
      <c r="F9689" s="1" t="s">
        <v>20</v>
      </c>
      <c r="G9689" s="4" t="b">
        <f t="shared" si="2"/>
        <v>1</v>
      </c>
      <c r="H9689" s="1" t="str">
        <f t="shared" si="3"/>
        <v>Currently Unavailable</v>
      </c>
      <c r="I9689" s="1" t="str">
        <f t="shared" si="4"/>
        <v>No Badges</v>
      </c>
      <c r="J9689" s="3">
        <f t="shared" si="5"/>
        <v>0</v>
      </c>
    </row>
    <row r="9690">
      <c r="A9690" s="1" t="s">
        <v>7415</v>
      </c>
      <c r="B9690" s="3" t="str">
        <f t="shared" si="1"/>
        <v>Unavailable</v>
      </c>
      <c r="C9690" s="3">
        <v>91.0</v>
      </c>
      <c r="D9690" s="3">
        <f>IFERROR(__xludf.DUMMYFUNCTION("IFERROR(
IF(REGEXMATCH(LOWER(O9690),""k""),
VALUE(REGEXEXTRACT(O9690,""[0-9]+""))*1000,
VALUE(REGEXEXTRACT(O9690,""[0-9]+""))
),
0
)"),0.0)</f>
        <v>0</v>
      </c>
      <c r="E9690" s="1" t="s">
        <v>11</v>
      </c>
      <c r="F9690" s="1" t="s">
        <v>20</v>
      </c>
      <c r="G9690" s="4" t="b">
        <f t="shared" si="2"/>
        <v>1</v>
      </c>
      <c r="H9690" s="1" t="str">
        <f t="shared" si="3"/>
        <v>Currently Unavailable</v>
      </c>
      <c r="I9690" s="1" t="str">
        <f t="shared" si="4"/>
        <v>No Badges</v>
      </c>
      <c r="J9690" s="3">
        <f t="shared" si="5"/>
        <v>0</v>
      </c>
    </row>
    <row r="9691">
      <c r="A9691" s="1" t="s">
        <v>7416</v>
      </c>
      <c r="B9691" s="3" t="str">
        <f t="shared" si="1"/>
        <v>Unavailable</v>
      </c>
      <c r="C9691" s="5">
        <v>1668.0</v>
      </c>
      <c r="D9691" s="3">
        <f>IFERROR(__xludf.DUMMYFUNCTION("IFERROR(
IF(REGEXMATCH(LOWER(O9691),""k""),
VALUE(REGEXEXTRACT(O9691,""[0-9]+""))*1000,
VALUE(REGEXEXTRACT(O9691,""[0-9]+""))
),
0
)"),0.0)</f>
        <v>0</v>
      </c>
      <c r="E9691" s="1" t="s">
        <v>11</v>
      </c>
      <c r="F9691" s="1" t="s">
        <v>20</v>
      </c>
      <c r="G9691" s="4" t="b">
        <f t="shared" si="2"/>
        <v>1</v>
      </c>
      <c r="H9691" s="1" t="str">
        <f t="shared" si="3"/>
        <v>Currently Unavailable</v>
      </c>
      <c r="I9691" s="1" t="str">
        <f t="shared" si="4"/>
        <v>No Badges</v>
      </c>
      <c r="J9691" s="3">
        <f t="shared" si="5"/>
        <v>0</v>
      </c>
    </row>
    <row r="9692">
      <c r="A9692" s="1" t="s">
        <v>7417</v>
      </c>
      <c r="B9692" s="3" t="str">
        <f t="shared" si="1"/>
        <v>Unavailable</v>
      </c>
      <c r="C9692" s="5">
        <v>43002.0</v>
      </c>
      <c r="D9692" s="3">
        <f>IFERROR(__xludf.DUMMYFUNCTION("IFERROR(
IF(REGEXMATCH(LOWER(O9692),""k""),
VALUE(REGEXEXTRACT(O9692,""[0-9]+""))*1000,
VALUE(REGEXEXTRACT(O9692,""[0-9]+""))
),
0
)"),0.0)</f>
        <v>0</v>
      </c>
      <c r="E9692" s="1" t="s">
        <v>11</v>
      </c>
      <c r="F9692" s="1" t="s">
        <v>20</v>
      </c>
      <c r="G9692" s="4" t="b">
        <f t="shared" si="2"/>
        <v>1</v>
      </c>
      <c r="H9692" s="1" t="str">
        <f t="shared" si="3"/>
        <v>Currently Unavailable</v>
      </c>
      <c r="I9692" s="1" t="str">
        <f t="shared" si="4"/>
        <v>No Badges</v>
      </c>
      <c r="J9692" s="3">
        <f t="shared" si="5"/>
        <v>0</v>
      </c>
    </row>
    <row r="9693">
      <c r="A9693" s="1" t="s">
        <v>7418</v>
      </c>
      <c r="B9693" s="1" t="str">
        <f t="shared" si="1"/>
        <v>Unavailable</v>
      </c>
      <c r="C9693" s="1"/>
      <c r="D9693" s="3">
        <f>IFERROR(__xludf.DUMMYFUNCTION("IFERROR(
IF(REGEXMATCH(LOWER(O9693),""k""),
VALUE(REGEXEXTRACT(O9693,""[0-9]+""))*1000,
VALUE(REGEXEXTRACT(O9693,""[0-9]+""))
),
0
)"),0.0)</f>
        <v>0</v>
      </c>
      <c r="E9693" s="1" t="s">
        <v>11</v>
      </c>
      <c r="F9693" s="1" t="s">
        <v>20</v>
      </c>
      <c r="G9693" s="4" t="b">
        <f t="shared" si="2"/>
        <v>1</v>
      </c>
      <c r="H9693" s="1" t="str">
        <f t="shared" si="3"/>
        <v>Currently Unavailable</v>
      </c>
      <c r="I9693" s="1" t="str">
        <f t="shared" si="4"/>
        <v>No Badges</v>
      </c>
      <c r="J9693" s="3">
        <f t="shared" si="5"/>
        <v>0</v>
      </c>
    </row>
    <row r="9694">
      <c r="A9694" s="1" t="s">
        <v>7419</v>
      </c>
      <c r="B9694" s="3" t="str">
        <f t="shared" si="1"/>
        <v>Unavailable</v>
      </c>
      <c r="C9694" s="5">
        <v>36122.0</v>
      </c>
      <c r="D9694" s="3">
        <f>IFERROR(__xludf.DUMMYFUNCTION("IFERROR(
IF(REGEXMATCH(LOWER(O9694),""k""),
VALUE(REGEXEXTRACT(O9694,""[0-9]+""))*1000,
VALUE(REGEXEXTRACT(O9694,""[0-9]+""))
),
0
)"),0.0)</f>
        <v>0</v>
      </c>
      <c r="E9694" s="1" t="s">
        <v>11</v>
      </c>
      <c r="F9694" s="1" t="s">
        <v>20</v>
      </c>
      <c r="G9694" s="4" t="b">
        <f t="shared" si="2"/>
        <v>1</v>
      </c>
      <c r="H9694" s="1" t="str">
        <f t="shared" si="3"/>
        <v>Currently Unavailable</v>
      </c>
      <c r="I9694" s="1" t="str">
        <f t="shared" si="4"/>
        <v>No Badges</v>
      </c>
      <c r="J9694" s="3">
        <f t="shared" si="5"/>
        <v>0</v>
      </c>
    </row>
    <row r="9695">
      <c r="A9695" s="1" t="s">
        <v>7420</v>
      </c>
      <c r="B9695" s="3" t="str">
        <f t="shared" si="1"/>
        <v>Unavailable</v>
      </c>
      <c r="C9695" s="5">
        <v>53340.0</v>
      </c>
      <c r="D9695" s="3">
        <f>IFERROR(__xludf.DUMMYFUNCTION("IFERROR(
IF(REGEXMATCH(LOWER(O9695),""k""),
VALUE(REGEXEXTRACT(O9695,""[0-9]+""))*1000,
VALUE(REGEXEXTRACT(O9695,""[0-9]+""))
),
0
)"),0.0)</f>
        <v>0</v>
      </c>
      <c r="E9695" s="1" t="s">
        <v>158</v>
      </c>
      <c r="F9695" s="1" t="s">
        <v>20</v>
      </c>
      <c r="G9695" s="4" t="b">
        <f t="shared" si="2"/>
        <v>1</v>
      </c>
      <c r="H9695" s="1" t="str">
        <f t="shared" si="3"/>
        <v>Currently Unavailable</v>
      </c>
      <c r="I9695" s="1" t="str">
        <f t="shared" si="4"/>
        <v>No Badges</v>
      </c>
      <c r="J9695" s="3">
        <f t="shared" si="5"/>
        <v>0</v>
      </c>
    </row>
    <row r="9696">
      <c r="A9696" s="1" t="s">
        <v>7421</v>
      </c>
      <c r="B9696" s="3" t="str">
        <f t="shared" si="1"/>
        <v>Unavailable</v>
      </c>
      <c r="C9696" s="5">
        <v>72360.0</v>
      </c>
      <c r="D9696" s="3">
        <f>IFERROR(__xludf.DUMMYFUNCTION("IFERROR(
IF(REGEXMATCH(LOWER(O9696),""k""),
VALUE(REGEXEXTRACT(O9696,""[0-9]+""))*1000,
VALUE(REGEXEXTRACT(O9696,""[0-9]+""))
),
0
)"),0.0)</f>
        <v>0</v>
      </c>
      <c r="E9696" s="1" t="s">
        <v>11</v>
      </c>
      <c r="F9696" s="1" t="s">
        <v>20</v>
      </c>
      <c r="G9696" s="4" t="b">
        <f t="shared" si="2"/>
        <v>1</v>
      </c>
      <c r="H9696" s="1" t="str">
        <f t="shared" si="3"/>
        <v>Currently Unavailable</v>
      </c>
      <c r="I9696" s="1" t="str">
        <f t="shared" si="4"/>
        <v>No Badges</v>
      </c>
      <c r="J9696" s="3">
        <f t="shared" si="5"/>
        <v>0</v>
      </c>
    </row>
    <row r="9697">
      <c r="A9697" s="1" t="s">
        <v>7422</v>
      </c>
      <c r="B9697" s="3" t="str">
        <f t="shared" si="1"/>
        <v>Unavailable</v>
      </c>
      <c r="C9697" s="3">
        <v>22.0</v>
      </c>
      <c r="D9697" s="3">
        <f>IFERROR(__xludf.DUMMYFUNCTION("IFERROR(
IF(REGEXMATCH(LOWER(O9697),""k""),
VALUE(REGEXEXTRACT(O9697,""[0-9]+""))*1000,
VALUE(REGEXEXTRACT(O9697,""[0-9]+""))
),
0
)"),0.0)</f>
        <v>0</v>
      </c>
      <c r="E9697" s="1" t="s">
        <v>11</v>
      </c>
      <c r="F9697" s="1" t="s">
        <v>20</v>
      </c>
      <c r="G9697" s="4" t="b">
        <f t="shared" si="2"/>
        <v>1</v>
      </c>
      <c r="H9697" s="1" t="str">
        <f t="shared" si="3"/>
        <v>Currently Unavailable</v>
      </c>
      <c r="I9697" s="1" t="str">
        <f t="shared" si="4"/>
        <v>No Badges</v>
      </c>
      <c r="J9697" s="3">
        <f t="shared" si="5"/>
        <v>0</v>
      </c>
    </row>
    <row r="9698">
      <c r="A9698" s="1" t="s">
        <v>6711</v>
      </c>
      <c r="B9698" s="3" t="str">
        <f t="shared" si="1"/>
        <v>Unavailable</v>
      </c>
      <c r="C9698" s="3">
        <v>259.0</v>
      </c>
      <c r="D9698" s="3">
        <f>IFERROR(__xludf.DUMMYFUNCTION("IFERROR(
IF(REGEXMATCH(LOWER(O9698),""k""),
VALUE(REGEXEXTRACT(O9698,""[0-9]+""))*1000,
VALUE(REGEXEXTRACT(O9698,""[0-9]+""))
),
0
)"),0.0)</f>
        <v>0</v>
      </c>
      <c r="E9698" s="1" t="s">
        <v>11</v>
      </c>
      <c r="F9698" s="1" t="s">
        <v>12</v>
      </c>
      <c r="G9698" s="4" t="b">
        <f t="shared" si="2"/>
        <v>1</v>
      </c>
      <c r="H9698" s="1" t="str">
        <f t="shared" si="3"/>
        <v>Currently Unavailable</v>
      </c>
      <c r="I9698" s="1" t="str">
        <f t="shared" si="4"/>
        <v>No Badges</v>
      </c>
      <c r="J9698" s="3">
        <f t="shared" si="5"/>
        <v>0</v>
      </c>
    </row>
    <row r="9699">
      <c r="A9699" s="1" t="s">
        <v>88</v>
      </c>
      <c r="B9699" s="3" t="str">
        <f t="shared" si="1"/>
        <v>Unavailable</v>
      </c>
      <c r="C9699" s="3">
        <v>6.0</v>
      </c>
      <c r="D9699" s="3">
        <f>IFERROR(__xludf.DUMMYFUNCTION("IFERROR(
IF(REGEXMATCH(LOWER(O9699),""k""),
VALUE(REGEXEXTRACT(O9699,""[0-9]+""))*1000,
VALUE(REGEXEXTRACT(O9699,""[0-9]+""))
),
0
)"),0.0)</f>
        <v>0</v>
      </c>
      <c r="E9699" s="1" t="s">
        <v>11</v>
      </c>
      <c r="F9699" s="1" t="s">
        <v>12</v>
      </c>
      <c r="G9699" s="4" t="b">
        <f t="shared" si="2"/>
        <v>1</v>
      </c>
      <c r="H9699" s="1" t="str">
        <f t="shared" si="3"/>
        <v>Currently Unavailable</v>
      </c>
      <c r="I9699" s="1" t="str">
        <f t="shared" si="4"/>
        <v>No Badges</v>
      </c>
      <c r="J9699" s="3">
        <f t="shared" si="5"/>
        <v>0</v>
      </c>
    </row>
    <row r="9700">
      <c r="A9700" s="1" t="s">
        <v>6661</v>
      </c>
      <c r="B9700" s="3" t="str">
        <f t="shared" si="1"/>
        <v>Unavailable</v>
      </c>
      <c r="C9700" s="3">
        <v>24.0</v>
      </c>
      <c r="D9700" s="3">
        <f>IFERROR(__xludf.DUMMYFUNCTION("IFERROR(
IF(REGEXMATCH(LOWER(O9700),""k""),
VALUE(REGEXEXTRACT(O9700,""[0-9]+""))*1000,
VALUE(REGEXEXTRACT(O9700,""[0-9]+""))
),
0
)"),0.0)</f>
        <v>0</v>
      </c>
      <c r="E9700" s="1" t="s">
        <v>11</v>
      </c>
      <c r="F9700" s="1" t="s">
        <v>12</v>
      </c>
      <c r="G9700" s="4" t="b">
        <f t="shared" si="2"/>
        <v>1</v>
      </c>
      <c r="H9700" s="1" t="str">
        <f t="shared" si="3"/>
        <v>Currently Unavailable</v>
      </c>
      <c r="I9700" s="1" t="str">
        <f t="shared" si="4"/>
        <v>No Badges</v>
      </c>
      <c r="J9700" s="3">
        <f t="shared" si="5"/>
        <v>0</v>
      </c>
    </row>
    <row r="9701">
      <c r="A9701" s="1" t="s">
        <v>7423</v>
      </c>
      <c r="B9701" s="3" t="str">
        <f t="shared" si="1"/>
        <v>Unavailable</v>
      </c>
      <c r="C9701" s="3">
        <v>93.0</v>
      </c>
      <c r="D9701" s="3">
        <f>IFERROR(__xludf.DUMMYFUNCTION("IFERROR(
IF(REGEXMATCH(LOWER(O9701),""k""),
VALUE(REGEXEXTRACT(O9701,""[0-9]+""))*1000,
VALUE(REGEXEXTRACT(O9701,""[0-9]+""))
),
0
)"),0.0)</f>
        <v>0</v>
      </c>
      <c r="E9701" s="1" t="s">
        <v>11</v>
      </c>
      <c r="F9701" s="1" t="s">
        <v>20</v>
      </c>
      <c r="G9701" s="4" t="b">
        <f t="shared" si="2"/>
        <v>1</v>
      </c>
      <c r="H9701" s="1" t="str">
        <f t="shared" si="3"/>
        <v>Currently Unavailable</v>
      </c>
      <c r="I9701" s="1" t="str">
        <f t="shared" si="4"/>
        <v>No Badges</v>
      </c>
      <c r="J9701" s="3">
        <f t="shared" si="5"/>
        <v>0</v>
      </c>
    </row>
    <row r="9702">
      <c r="A9702" s="1" t="s">
        <v>7424</v>
      </c>
      <c r="B9702" s="3" t="str">
        <f t="shared" si="1"/>
        <v>Unavailable</v>
      </c>
      <c r="C9702" s="3">
        <v>613.0</v>
      </c>
      <c r="D9702" s="3">
        <f>IFERROR(__xludf.DUMMYFUNCTION("IFERROR(
IF(REGEXMATCH(LOWER(O9702),""k""),
VALUE(REGEXEXTRACT(O9702,""[0-9]+""))*1000,
VALUE(REGEXEXTRACT(O9702,""[0-9]+""))
),
0
)"),0.0)</f>
        <v>0</v>
      </c>
      <c r="E9702" s="1" t="s">
        <v>11</v>
      </c>
      <c r="F9702" s="1" t="s">
        <v>20</v>
      </c>
      <c r="G9702" s="4" t="b">
        <f t="shared" si="2"/>
        <v>1</v>
      </c>
      <c r="H9702" s="1" t="str">
        <f t="shared" si="3"/>
        <v>Currently Unavailable</v>
      </c>
      <c r="I9702" s="1" t="str">
        <f t="shared" si="4"/>
        <v>No Badges</v>
      </c>
      <c r="J9702" s="3">
        <f t="shared" si="5"/>
        <v>0</v>
      </c>
    </row>
    <row r="9703">
      <c r="A9703" s="1" t="s">
        <v>7425</v>
      </c>
      <c r="B9703" s="3" t="str">
        <f t="shared" si="1"/>
        <v>Unavailable</v>
      </c>
      <c r="C9703" s="3">
        <v>337.0</v>
      </c>
      <c r="D9703" s="3">
        <f>IFERROR(__xludf.DUMMYFUNCTION("IFERROR(
IF(REGEXMATCH(LOWER(O9703),""k""),
VALUE(REGEXEXTRACT(O9703,""[0-9]+""))*1000,
VALUE(REGEXEXTRACT(O9703,""[0-9]+""))
),
0
)"),0.0)</f>
        <v>0</v>
      </c>
      <c r="E9703" s="1" t="s">
        <v>11</v>
      </c>
      <c r="F9703" s="1" t="s">
        <v>20</v>
      </c>
      <c r="G9703" s="4" t="b">
        <f t="shared" si="2"/>
        <v>1</v>
      </c>
      <c r="H9703" s="1" t="str">
        <f t="shared" si="3"/>
        <v>Currently Unavailable</v>
      </c>
      <c r="I9703" s="1" t="str">
        <f t="shared" si="4"/>
        <v>No Badges</v>
      </c>
      <c r="J9703" s="6">
        <f t="shared" si="5"/>
        <v>0</v>
      </c>
    </row>
    <row r="9704">
      <c r="A9704" s="1" t="s">
        <v>7426</v>
      </c>
      <c r="B9704" s="3" t="str">
        <f t="shared" si="1"/>
        <v>Unavailable</v>
      </c>
      <c r="C9704" s="5">
        <v>13855.0</v>
      </c>
      <c r="D9704" s="3">
        <f>IFERROR(__xludf.DUMMYFUNCTION("IFERROR(
IF(REGEXMATCH(LOWER(O9704),""k""),
VALUE(REGEXEXTRACT(O9704,""[0-9]+""))*1000,
VALUE(REGEXEXTRACT(O9704,""[0-9]+""))
),
0
)"),0.0)</f>
        <v>0</v>
      </c>
      <c r="E9704" s="1" t="s">
        <v>158</v>
      </c>
      <c r="F9704" s="1" t="s">
        <v>20</v>
      </c>
      <c r="G9704" s="4" t="b">
        <f t="shared" si="2"/>
        <v>1</v>
      </c>
      <c r="H9704" s="1" t="str">
        <f t="shared" si="3"/>
        <v>Currently Unavailable</v>
      </c>
      <c r="I9704" s="1" t="str">
        <f t="shared" si="4"/>
        <v>No Badges</v>
      </c>
      <c r="J9704" s="3">
        <f t="shared" si="5"/>
        <v>0</v>
      </c>
    </row>
    <row r="9705">
      <c r="A9705" s="1" t="s">
        <v>7427</v>
      </c>
      <c r="B9705" s="3" t="str">
        <f t="shared" si="1"/>
        <v>Unavailable</v>
      </c>
      <c r="C9705" s="5">
        <v>22266.0</v>
      </c>
      <c r="D9705" s="3">
        <f>IFERROR(__xludf.DUMMYFUNCTION("IFERROR(
IF(REGEXMATCH(LOWER(O9705),""k""),
VALUE(REGEXEXTRACT(O9705,""[0-9]+""))*1000,
VALUE(REGEXEXTRACT(O9705,""[0-9]+""))
),
0
)"),0.0)</f>
        <v>0</v>
      </c>
      <c r="E9705" s="1" t="s">
        <v>11</v>
      </c>
      <c r="F9705" s="1" t="s">
        <v>20</v>
      </c>
      <c r="G9705" s="4" t="b">
        <f t="shared" si="2"/>
        <v>1</v>
      </c>
      <c r="H9705" s="1" t="str">
        <f t="shared" si="3"/>
        <v>Currently Unavailable</v>
      </c>
      <c r="I9705" s="1" t="str">
        <f t="shared" si="4"/>
        <v>No Badges</v>
      </c>
      <c r="J9705" s="3">
        <f t="shared" si="5"/>
        <v>0</v>
      </c>
    </row>
    <row r="9706">
      <c r="A9706" s="1" t="s">
        <v>7428</v>
      </c>
      <c r="B9706" s="3" t="str">
        <f t="shared" si="1"/>
        <v>Unavailable</v>
      </c>
      <c r="C9706" s="5">
        <v>2965.0</v>
      </c>
      <c r="D9706" s="3">
        <f>IFERROR(__xludf.DUMMYFUNCTION("IFERROR(
IF(REGEXMATCH(LOWER(O9706),""k""),
VALUE(REGEXEXTRACT(O9706,""[0-9]+""))*1000,
VALUE(REGEXEXTRACT(O9706,""[0-9]+""))
),
0
)"),0.0)</f>
        <v>0</v>
      </c>
      <c r="E9706" s="1" t="s">
        <v>11</v>
      </c>
      <c r="F9706" s="1" t="s">
        <v>20</v>
      </c>
      <c r="G9706" s="4" t="b">
        <f t="shared" si="2"/>
        <v>1</v>
      </c>
      <c r="H9706" s="1" t="str">
        <f t="shared" si="3"/>
        <v>Currently Unavailable</v>
      </c>
      <c r="I9706" s="1" t="str">
        <f t="shared" si="4"/>
        <v>No Badges</v>
      </c>
      <c r="J9706" s="3">
        <f t="shared" si="5"/>
        <v>0</v>
      </c>
    </row>
    <row r="9707">
      <c r="A9707" s="1" t="s">
        <v>7429</v>
      </c>
      <c r="B9707" s="3" t="str">
        <f t="shared" si="1"/>
        <v>Unavailable</v>
      </c>
      <c r="C9707" s="3">
        <v>148.0</v>
      </c>
      <c r="D9707" s="3">
        <f>IFERROR(__xludf.DUMMYFUNCTION("IFERROR(
IF(REGEXMATCH(LOWER(O9707),""k""),
VALUE(REGEXEXTRACT(O9707,""[0-9]+""))*1000,
VALUE(REGEXEXTRACT(O9707,""[0-9]+""))
),
0
)"),0.0)</f>
        <v>0</v>
      </c>
      <c r="E9707" s="1" t="s">
        <v>11</v>
      </c>
      <c r="F9707" s="1" t="s">
        <v>20</v>
      </c>
      <c r="G9707" s="4" t="b">
        <f t="shared" si="2"/>
        <v>1</v>
      </c>
      <c r="H9707" s="1" t="str">
        <f t="shared" si="3"/>
        <v>Currently Unavailable</v>
      </c>
      <c r="I9707" s="1" t="str">
        <f t="shared" si="4"/>
        <v>No Badges</v>
      </c>
      <c r="J9707" s="3">
        <f t="shared" si="5"/>
        <v>0</v>
      </c>
    </row>
    <row r="9708">
      <c r="A9708" s="1" t="s">
        <v>7430</v>
      </c>
      <c r="B9708" s="3" t="str">
        <f t="shared" si="1"/>
        <v>Unavailable</v>
      </c>
      <c r="C9708" s="5">
        <v>32198.0</v>
      </c>
      <c r="D9708" s="3">
        <f>IFERROR(__xludf.DUMMYFUNCTION("IFERROR(
IF(REGEXMATCH(LOWER(O9708),""k""),
VALUE(REGEXEXTRACT(O9708,""[0-9]+""))*1000,
VALUE(REGEXEXTRACT(O9708,""[0-9]+""))
),
0
)"),0.0)</f>
        <v>0</v>
      </c>
      <c r="E9708" s="1" t="s">
        <v>158</v>
      </c>
      <c r="F9708" s="1" t="s">
        <v>20</v>
      </c>
      <c r="G9708" s="4" t="b">
        <f t="shared" si="2"/>
        <v>1</v>
      </c>
      <c r="H9708" s="1" t="str">
        <f t="shared" si="3"/>
        <v>Currently Unavailable</v>
      </c>
      <c r="I9708" s="1" t="str">
        <f t="shared" si="4"/>
        <v>No Badges</v>
      </c>
      <c r="J9708" s="3">
        <f t="shared" si="5"/>
        <v>0</v>
      </c>
    </row>
    <row r="9709">
      <c r="A9709" s="1" t="s">
        <v>7431</v>
      </c>
      <c r="B9709" s="3" t="str">
        <f t="shared" si="1"/>
        <v>Unavailable</v>
      </c>
      <c r="C9709" s="5">
        <v>3826.0</v>
      </c>
      <c r="D9709" s="3">
        <f>IFERROR(__xludf.DUMMYFUNCTION("IFERROR(
IF(REGEXMATCH(LOWER(O9709),""k""),
VALUE(REGEXEXTRACT(O9709,""[0-9]+""))*1000,
VALUE(REGEXEXTRACT(O9709,""[0-9]+""))
),
0
)"),0.0)</f>
        <v>0</v>
      </c>
      <c r="E9709" s="1" t="s">
        <v>11</v>
      </c>
      <c r="F9709" s="1" t="s">
        <v>20</v>
      </c>
      <c r="G9709" s="4" t="b">
        <f t="shared" si="2"/>
        <v>1</v>
      </c>
      <c r="H9709" s="1" t="str">
        <f t="shared" si="3"/>
        <v>Currently Unavailable</v>
      </c>
      <c r="I9709" s="1" t="str">
        <f t="shared" si="4"/>
        <v>No Badges</v>
      </c>
      <c r="J9709" s="3">
        <f t="shared" si="5"/>
        <v>0</v>
      </c>
    </row>
    <row r="9710">
      <c r="A9710" s="1" t="s">
        <v>7432</v>
      </c>
      <c r="B9710" s="3" t="str">
        <f t="shared" si="1"/>
        <v>Unavailable</v>
      </c>
      <c r="C9710" s="3">
        <v>549.0</v>
      </c>
      <c r="D9710" s="3">
        <f>IFERROR(__xludf.DUMMYFUNCTION("IFERROR(
IF(REGEXMATCH(LOWER(O9710),""k""),
VALUE(REGEXEXTRACT(O9710,""[0-9]+""))*1000,
VALUE(REGEXEXTRACT(O9710,""[0-9]+""))
),
0
)"),0.0)</f>
        <v>0</v>
      </c>
      <c r="E9710" s="1" t="s">
        <v>11</v>
      </c>
      <c r="F9710" s="1" t="s">
        <v>20</v>
      </c>
      <c r="G9710" s="4" t="b">
        <f t="shared" si="2"/>
        <v>1</v>
      </c>
      <c r="H9710" s="1" t="str">
        <f t="shared" si="3"/>
        <v>Currently Unavailable</v>
      </c>
      <c r="I9710" s="1" t="str">
        <f t="shared" si="4"/>
        <v>No Badges</v>
      </c>
      <c r="J9710" s="3">
        <f t="shared" si="5"/>
        <v>0</v>
      </c>
    </row>
    <row r="9711">
      <c r="A9711" s="1" t="s">
        <v>7433</v>
      </c>
      <c r="B9711" s="3" t="str">
        <f t="shared" si="1"/>
        <v>Unavailable</v>
      </c>
      <c r="C9711" s="5">
        <v>2919.0</v>
      </c>
      <c r="D9711" s="3">
        <f>IFERROR(__xludf.DUMMYFUNCTION("IFERROR(
IF(REGEXMATCH(LOWER(O9711),""k""),
VALUE(REGEXEXTRACT(O9711,""[0-9]+""))*1000,
VALUE(REGEXEXTRACT(O9711,""[0-9]+""))
),
0
)"),0.0)</f>
        <v>0</v>
      </c>
      <c r="E9711" s="1" t="s">
        <v>11</v>
      </c>
      <c r="F9711" s="1" t="s">
        <v>20</v>
      </c>
      <c r="G9711" s="4" t="b">
        <f t="shared" si="2"/>
        <v>1</v>
      </c>
      <c r="H9711" s="1" t="str">
        <f t="shared" si="3"/>
        <v>Currently Unavailable</v>
      </c>
      <c r="I9711" s="1" t="str">
        <f t="shared" si="4"/>
        <v>No Badges</v>
      </c>
      <c r="J9711" s="3">
        <f t="shared" si="5"/>
        <v>0</v>
      </c>
    </row>
    <row r="9712">
      <c r="A9712" s="1" t="s">
        <v>7434</v>
      </c>
      <c r="B9712" s="3" t="str">
        <f t="shared" si="1"/>
        <v>Unavailable</v>
      </c>
      <c r="C9712" s="5">
        <v>17686.0</v>
      </c>
      <c r="D9712" s="3">
        <f>IFERROR(__xludf.DUMMYFUNCTION("IFERROR(
IF(REGEXMATCH(LOWER(O9712),""k""),
VALUE(REGEXEXTRACT(O9712,""[0-9]+""))*1000,
VALUE(REGEXEXTRACT(O9712,""[0-9]+""))
),
0
)"),0.0)</f>
        <v>0</v>
      </c>
      <c r="E9712" s="1" t="s">
        <v>158</v>
      </c>
      <c r="F9712" s="1" t="s">
        <v>20</v>
      </c>
      <c r="G9712" s="4" t="b">
        <f t="shared" si="2"/>
        <v>1</v>
      </c>
      <c r="H9712" s="1" t="str">
        <f t="shared" si="3"/>
        <v>Currently Unavailable</v>
      </c>
      <c r="I9712" s="1" t="str">
        <f t="shared" si="4"/>
        <v>No Badges</v>
      </c>
      <c r="J9712" s="3">
        <f t="shared" si="5"/>
        <v>0</v>
      </c>
    </row>
    <row r="9713">
      <c r="A9713" s="1" t="s">
        <v>7435</v>
      </c>
      <c r="B9713" s="3" t="str">
        <f t="shared" si="1"/>
        <v>Unavailable</v>
      </c>
      <c r="C9713" s="5">
        <v>2246.0</v>
      </c>
      <c r="D9713" s="3">
        <f>IFERROR(__xludf.DUMMYFUNCTION("IFERROR(
IF(REGEXMATCH(LOWER(O9713),""k""),
VALUE(REGEXEXTRACT(O9713,""[0-9]+""))*1000,
VALUE(REGEXEXTRACT(O9713,""[0-9]+""))
),
0
)"),0.0)</f>
        <v>0</v>
      </c>
      <c r="E9713" s="1" t="s">
        <v>11</v>
      </c>
      <c r="F9713" s="1" t="s">
        <v>20</v>
      </c>
      <c r="G9713" s="4" t="b">
        <f t="shared" si="2"/>
        <v>1</v>
      </c>
      <c r="H9713" s="1" t="str">
        <f t="shared" si="3"/>
        <v>Currently Unavailable</v>
      </c>
      <c r="I9713" s="1" t="str">
        <f t="shared" si="4"/>
        <v>No Badges</v>
      </c>
      <c r="J9713" s="3">
        <f t="shared" si="5"/>
        <v>0</v>
      </c>
    </row>
    <row r="9714">
      <c r="A9714" s="1" t="s">
        <v>7436</v>
      </c>
      <c r="B9714" s="3" t="str">
        <f t="shared" si="1"/>
        <v>Unavailable</v>
      </c>
      <c r="C9714" s="5">
        <v>11279.0</v>
      </c>
      <c r="D9714" s="3">
        <f>IFERROR(__xludf.DUMMYFUNCTION("IFERROR(
IF(REGEXMATCH(LOWER(O9714),""k""),
VALUE(REGEXEXTRACT(O9714,""[0-9]+""))*1000,
VALUE(REGEXEXTRACT(O9714,""[0-9]+""))
),
0
)"),0.0)</f>
        <v>0</v>
      </c>
      <c r="E9714" s="1" t="s">
        <v>11</v>
      </c>
      <c r="F9714" s="1" t="s">
        <v>20</v>
      </c>
      <c r="G9714" s="4" t="b">
        <f t="shared" si="2"/>
        <v>1</v>
      </c>
      <c r="H9714" s="1" t="str">
        <f t="shared" si="3"/>
        <v>Currently Unavailable</v>
      </c>
      <c r="I9714" s="1" t="str">
        <f t="shared" si="4"/>
        <v>No Badges</v>
      </c>
      <c r="J9714" s="3">
        <f t="shared" si="5"/>
        <v>0</v>
      </c>
    </row>
    <row r="9715">
      <c r="A9715" s="1" t="s">
        <v>7437</v>
      </c>
      <c r="B9715" s="3" t="str">
        <f t="shared" si="1"/>
        <v>Unavailable</v>
      </c>
      <c r="C9715" s="5">
        <v>21257.0</v>
      </c>
      <c r="D9715" s="3">
        <f>IFERROR(__xludf.DUMMYFUNCTION("IFERROR(
IF(REGEXMATCH(LOWER(O9715),""k""),
VALUE(REGEXEXTRACT(O9715,""[0-9]+""))*1000,
VALUE(REGEXEXTRACT(O9715,""[0-9]+""))
),
0
)"),0.0)</f>
        <v>0</v>
      </c>
      <c r="E9715" s="1" t="s">
        <v>158</v>
      </c>
      <c r="F9715" s="1" t="s">
        <v>20</v>
      </c>
      <c r="G9715" s="4" t="b">
        <f t="shared" si="2"/>
        <v>1</v>
      </c>
      <c r="H9715" s="1" t="str">
        <f t="shared" si="3"/>
        <v>Currently Unavailable</v>
      </c>
      <c r="I9715" s="1" t="str">
        <f t="shared" si="4"/>
        <v>No Badges</v>
      </c>
      <c r="J9715" s="3">
        <f t="shared" si="5"/>
        <v>0</v>
      </c>
    </row>
    <row r="9716">
      <c r="A9716" s="1" t="s">
        <v>7438</v>
      </c>
      <c r="B9716" s="3" t="str">
        <f t="shared" si="1"/>
        <v>Unavailable</v>
      </c>
      <c r="C9716" s="5">
        <v>17000.0</v>
      </c>
      <c r="D9716" s="3">
        <f>IFERROR(__xludf.DUMMYFUNCTION("IFERROR(
IF(REGEXMATCH(LOWER(O9716),""k""),
VALUE(REGEXEXTRACT(O9716,""[0-9]+""))*1000,
VALUE(REGEXEXTRACT(O9716,""[0-9]+""))
),
0
)"),0.0)</f>
        <v>0</v>
      </c>
      <c r="E9716" s="1" t="s">
        <v>158</v>
      </c>
      <c r="F9716" s="1" t="s">
        <v>20</v>
      </c>
      <c r="G9716" s="4" t="b">
        <f t="shared" si="2"/>
        <v>1</v>
      </c>
      <c r="H9716" s="1" t="str">
        <f t="shared" si="3"/>
        <v>Currently Unavailable</v>
      </c>
      <c r="I9716" s="1" t="str">
        <f t="shared" si="4"/>
        <v>No Badges</v>
      </c>
      <c r="J9716" s="3">
        <f t="shared" si="5"/>
        <v>0</v>
      </c>
    </row>
    <row r="9717">
      <c r="A9717" s="1" t="s">
        <v>7439</v>
      </c>
      <c r="B9717" s="3" t="str">
        <f t="shared" si="1"/>
        <v>Unavailable</v>
      </c>
      <c r="C9717" s="5">
        <v>17227.0</v>
      </c>
      <c r="D9717" s="3">
        <f>IFERROR(__xludf.DUMMYFUNCTION("IFERROR(
IF(REGEXMATCH(LOWER(O9717),""k""),
VALUE(REGEXEXTRACT(O9717,""[0-9]+""))*1000,
VALUE(REGEXEXTRACT(O9717,""[0-9]+""))
),
0
)"),0.0)</f>
        <v>0</v>
      </c>
      <c r="E9717" s="1" t="s">
        <v>11</v>
      </c>
      <c r="F9717" s="1" t="s">
        <v>20</v>
      </c>
      <c r="G9717" s="4" t="b">
        <f t="shared" si="2"/>
        <v>1</v>
      </c>
      <c r="H9717" s="1" t="str">
        <f t="shared" si="3"/>
        <v>Currently Unavailable</v>
      </c>
      <c r="I9717" s="1" t="str">
        <f t="shared" si="4"/>
        <v>No Badges</v>
      </c>
      <c r="J9717" s="3">
        <f t="shared" si="5"/>
        <v>0</v>
      </c>
    </row>
    <row r="9718">
      <c r="A9718" s="1" t="s">
        <v>7440</v>
      </c>
      <c r="B9718" s="3" t="str">
        <f t="shared" si="1"/>
        <v>Unavailable</v>
      </c>
      <c r="C9718" s="3">
        <v>510.0</v>
      </c>
      <c r="D9718" s="3">
        <f>IFERROR(__xludf.DUMMYFUNCTION("IFERROR(
IF(REGEXMATCH(LOWER(O9718),""k""),
VALUE(REGEXEXTRACT(O9718,""[0-9]+""))*1000,
VALUE(REGEXEXTRACT(O9718,""[0-9]+""))
),
0
)"),0.0)</f>
        <v>0</v>
      </c>
      <c r="E9718" s="1" t="s">
        <v>11</v>
      </c>
      <c r="F9718" s="1" t="s">
        <v>20</v>
      </c>
      <c r="G9718" s="4" t="b">
        <f t="shared" si="2"/>
        <v>1</v>
      </c>
      <c r="H9718" s="1" t="str">
        <f t="shared" si="3"/>
        <v>Currently Unavailable</v>
      </c>
      <c r="I9718" s="1" t="str">
        <f t="shared" si="4"/>
        <v>No Badges</v>
      </c>
      <c r="J9718" s="3">
        <f t="shared" si="5"/>
        <v>0</v>
      </c>
    </row>
    <row r="9719">
      <c r="A9719" s="1" t="s">
        <v>7441</v>
      </c>
      <c r="B9719" s="3" t="str">
        <f t="shared" si="1"/>
        <v>Unavailable</v>
      </c>
      <c r="C9719" s="5">
        <v>3376.0</v>
      </c>
      <c r="D9719" s="3">
        <f>IFERROR(__xludf.DUMMYFUNCTION("IFERROR(
IF(REGEXMATCH(LOWER(O9719),""k""),
VALUE(REGEXEXTRACT(O9719,""[0-9]+""))*1000,
VALUE(REGEXEXTRACT(O9719,""[0-9]+""))
),
0
)"),0.0)</f>
        <v>0</v>
      </c>
      <c r="E9719" s="1" t="s">
        <v>11</v>
      </c>
      <c r="F9719" s="1" t="s">
        <v>20</v>
      </c>
      <c r="G9719" s="4" t="b">
        <f t="shared" si="2"/>
        <v>1</v>
      </c>
      <c r="H9719" s="1" t="str">
        <f t="shared" si="3"/>
        <v>Currently Unavailable</v>
      </c>
      <c r="I9719" s="1" t="str">
        <f t="shared" si="4"/>
        <v>No Badges</v>
      </c>
      <c r="J9719" s="3">
        <f t="shared" si="5"/>
        <v>0</v>
      </c>
    </row>
    <row r="9720">
      <c r="A9720" s="1" t="s">
        <v>7442</v>
      </c>
      <c r="B9720" s="3" t="str">
        <f t="shared" si="1"/>
        <v>Unavailable</v>
      </c>
      <c r="C9720" s="5">
        <v>30484.0</v>
      </c>
      <c r="D9720" s="3">
        <f>IFERROR(__xludf.DUMMYFUNCTION("IFERROR(
IF(REGEXMATCH(LOWER(O9720),""k""),
VALUE(REGEXEXTRACT(O9720,""[0-9]+""))*1000,
VALUE(REGEXEXTRACT(O9720,""[0-9]+""))
),
0
)"),0.0)</f>
        <v>0</v>
      </c>
      <c r="E9720" s="1" t="s">
        <v>158</v>
      </c>
      <c r="F9720" s="1" t="s">
        <v>20</v>
      </c>
      <c r="G9720" s="4" t="b">
        <f t="shared" si="2"/>
        <v>1</v>
      </c>
      <c r="H9720" s="1" t="str">
        <f t="shared" si="3"/>
        <v>Currently Unavailable</v>
      </c>
      <c r="I9720" s="1" t="str">
        <f t="shared" si="4"/>
        <v>No Badges</v>
      </c>
      <c r="J9720" s="3">
        <f t="shared" si="5"/>
        <v>0</v>
      </c>
    </row>
    <row r="9721">
      <c r="A9721" s="1" t="s">
        <v>7443</v>
      </c>
      <c r="B9721" s="3" t="str">
        <f t="shared" si="1"/>
        <v>Unavailable</v>
      </c>
      <c r="C9721" s="5">
        <v>7882.0</v>
      </c>
      <c r="D9721" s="3">
        <f>IFERROR(__xludf.DUMMYFUNCTION("IFERROR(
IF(REGEXMATCH(LOWER(O9721),""k""),
VALUE(REGEXEXTRACT(O9721,""[0-9]+""))*1000,
VALUE(REGEXEXTRACT(O9721,""[0-9]+""))
),
0
)"),0.0)</f>
        <v>0</v>
      </c>
      <c r="E9721" s="1" t="s">
        <v>11</v>
      </c>
      <c r="F9721" s="1" t="s">
        <v>20</v>
      </c>
      <c r="G9721" s="4" t="b">
        <f t="shared" si="2"/>
        <v>1</v>
      </c>
      <c r="H9721" s="1" t="str">
        <f t="shared" si="3"/>
        <v>Currently Unavailable</v>
      </c>
      <c r="I9721" s="1" t="str">
        <f t="shared" si="4"/>
        <v>No Badges</v>
      </c>
      <c r="J9721" s="3">
        <f t="shared" si="5"/>
        <v>0</v>
      </c>
    </row>
    <row r="9722">
      <c r="A9722" s="1" t="s">
        <v>7444</v>
      </c>
      <c r="B9722" s="3" t="str">
        <f t="shared" si="1"/>
        <v>Unavailable</v>
      </c>
      <c r="C9722" s="5">
        <v>5068.0</v>
      </c>
      <c r="D9722" s="3">
        <f>IFERROR(__xludf.DUMMYFUNCTION("IFERROR(
IF(REGEXMATCH(LOWER(O9722),""k""),
VALUE(REGEXEXTRACT(O9722,""[0-9]+""))*1000,
VALUE(REGEXEXTRACT(O9722,""[0-9]+""))
),
0
)"),0.0)</f>
        <v>0</v>
      </c>
      <c r="E9722" s="1" t="s">
        <v>11</v>
      </c>
      <c r="F9722" s="1" t="s">
        <v>20</v>
      </c>
      <c r="G9722" s="4" t="b">
        <f t="shared" si="2"/>
        <v>1</v>
      </c>
      <c r="H9722" s="1" t="str">
        <f t="shared" si="3"/>
        <v>Currently Unavailable</v>
      </c>
      <c r="I9722" s="1" t="str">
        <f t="shared" si="4"/>
        <v>No Badges</v>
      </c>
      <c r="J9722" s="3">
        <f t="shared" si="5"/>
        <v>0</v>
      </c>
    </row>
    <row r="9723">
      <c r="A9723" s="1" t="s">
        <v>7445</v>
      </c>
      <c r="B9723" s="3" t="str">
        <f t="shared" si="1"/>
        <v>Unavailable</v>
      </c>
      <c r="C9723" s="5">
        <v>12372.0</v>
      </c>
      <c r="D9723" s="3">
        <f>IFERROR(__xludf.DUMMYFUNCTION("IFERROR(
IF(REGEXMATCH(LOWER(O9723),""k""),
VALUE(REGEXEXTRACT(O9723,""[0-9]+""))*1000,
VALUE(REGEXEXTRACT(O9723,""[0-9]+""))
),
0
)"),0.0)</f>
        <v>0</v>
      </c>
      <c r="E9723" s="1" t="s">
        <v>11</v>
      </c>
      <c r="F9723" s="1" t="s">
        <v>20</v>
      </c>
      <c r="G9723" s="4" t="b">
        <f t="shared" si="2"/>
        <v>1</v>
      </c>
      <c r="H9723" s="1" t="str">
        <f t="shared" si="3"/>
        <v>Currently Unavailable</v>
      </c>
      <c r="I9723" s="1" t="str">
        <f t="shared" si="4"/>
        <v>No Badges</v>
      </c>
      <c r="J9723" s="3">
        <f t="shared" si="5"/>
        <v>0</v>
      </c>
    </row>
    <row r="9724">
      <c r="A9724" s="1" t="s">
        <v>7446</v>
      </c>
      <c r="B9724" s="3" t="str">
        <f t="shared" si="1"/>
        <v>Unavailable</v>
      </c>
      <c r="C9724" s="5">
        <v>59409.0</v>
      </c>
      <c r="D9724" s="3">
        <f>IFERROR(__xludf.DUMMYFUNCTION("IFERROR(
IF(REGEXMATCH(LOWER(O9724),""k""),
VALUE(REGEXEXTRACT(O9724,""[0-9]+""))*1000,
VALUE(REGEXEXTRACT(O9724,""[0-9]+""))
),
0
)"),0.0)</f>
        <v>0</v>
      </c>
      <c r="E9724" s="1" t="s">
        <v>11</v>
      </c>
      <c r="F9724" s="1" t="s">
        <v>20</v>
      </c>
      <c r="G9724" s="4" t="b">
        <f t="shared" si="2"/>
        <v>1</v>
      </c>
      <c r="H9724" s="1" t="str">
        <f t="shared" si="3"/>
        <v>Currently Unavailable</v>
      </c>
      <c r="I9724" s="1" t="str">
        <f t="shared" si="4"/>
        <v>No Badges</v>
      </c>
      <c r="J9724" s="3">
        <f t="shared" si="5"/>
        <v>0</v>
      </c>
    </row>
    <row r="9725">
      <c r="A9725" s="1" t="s">
        <v>7447</v>
      </c>
      <c r="B9725" s="3" t="str">
        <f t="shared" si="1"/>
        <v>Unavailable</v>
      </c>
      <c r="C9725" s="3">
        <v>768.0</v>
      </c>
      <c r="D9725" s="3">
        <f>IFERROR(__xludf.DUMMYFUNCTION("IFERROR(
IF(REGEXMATCH(LOWER(O9725),""k""),
VALUE(REGEXEXTRACT(O9725,""[0-9]+""))*1000,
VALUE(REGEXEXTRACT(O9725,""[0-9]+""))
),
0
)"),0.0)</f>
        <v>0</v>
      </c>
      <c r="E9725" s="1" t="s">
        <v>11</v>
      </c>
      <c r="F9725" s="1" t="s">
        <v>20</v>
      </c>
      <c r="G9725" s="4" t="b">
        <f t="shared" si="2"/>
        <v>1</v>
      </c>
      <c r="H9725" s="1" t="str">
        <f t="shared" si="3"/>
        <v>Currently Unavailable</v>
      </c>
      <c r="I9725" s="1" t="str">
        <f t="shared" si="4"/>
        <v>No Badges</v>
      </c>
      <c r="J9725" s="3">
        <f t="shared" si="5"/>
        <v>0</v>
      </c>
    </row>
    <row r="9726">
      <c r="A9726" s="1" t="s">
        <v>7448</v>
      </c>
      <c r="B9726" s="3" t="str">
        <f t="shared" si="1"/>
        <v>Unavailable</v>
      </c>
      <c r="C9726" s="5">
        <v>13052.0</v>
      </c>
      <c r="D9726" s="3">
        <f>IFERROR(__xludf.DUMMYFUNCTION("IFERROR(
IF(REGEXMATCH(LOWER(O9726),""k""),
VALUE(REGEXEXTRACT(O9726,""[0-9]+""))*1000,
VALUE(REGEXEXTRACT(O9726,""[0-9]+""))
),
0
)"),0.0)</f>
        <v>0</v>
      </c>
      <c r="E9726" s="1" t="s">
        <v>11</v>
      </c>
      <c r="F9726" s="1" t="s">
        <v>20</v>
      </c>
      <c r="G9726" s="4" t="b">
        <f t="shared" si="2"/>
        <v>1</v>
      </c>
      <c r="H9726" s="1" t="str">
        <f t="shared" si="3"/>
        <v>Currently Unavailable</v>
      </c>
      <c r="I9726" s="1" t="str">
        <f t="shared" si="4"/>
        <v>No Badges</v>
      </c>
      <c r="J9726" s="3">
        <f t="shared" si="5"/>
        <v>0</v>
      </c>
    </row>
    <row r="9727">
      <c r="A9727" s="1" t="s">
        <v>7449</v>
      </c>
      <c r="B9727" s="3" t="str">
        <f t="shared" si="1"/>
        <v>Unavailable</v>
      </c>
      <c r="C9727" s="3">
        <v>338.0</v>
      </c>
      <c r="D9727" s="3">
        <f>IFERROR(__xludf.DUMMYFUNCTION("IFERROR(
IF(REGEXMATCH(LOWER(O9727),""k""),
VALUE(REGEXEXTRACT(O9727,""[0-9]+""))*1000,
VALUE(REGEXEXTRACT(O9727,""[0-9]+""))
),
0
)"),0.0)</f>
        <v>0</v>
      </c>
      <c r="E9727" s="1" t="s">
        <v>11</v>
      </c>
      <c r="F9727" s="1" t="s">
        <v>20</v>
      </c>
      <c r="G9727" s="4" t="b">
        <f t="shared" si="2"/>
        <v>1</v>
      </c>
      <c r="H9727" s="1" t="str">
        <f t="shared" si="3"/>
        <v>Currently Unavailable</v>
      </c>
      <c r="I9727" s="1" t="str">
        <f t="shared" si="4"/>
        <v>No Badges</v>
      </c>
      <c r="J9727" s="3">
        <f t="shared" si="5"/>
        <v>0</v>
      </c>
    </row>
    <row r="9728">
      <c r="A9728" s="1" t="s">
        <v>7450</v>
      </c>
      <c r="B9728" s="3" t="str">
        <f t="shared" si="1"/>
        <v>Unavailable</v>
      </c>
      <c r="C9728" s="5">
        <v>6603.0</v>
      </c>
      <c r="D9728" s="3">
        <f>IFERROR(__xludf.DUMMYFUNCTION("IFERROR(
IF(REGEXMATCH(LOWER(O9728),""k""),
VALUE(REGEXEXTRACT(O9728,""[0-9]+""))*1000,
VALUE(REGEXEXTRACT(O9728,""[0-9]+""))
),
0
)"),0.0)</f>
        <v>0</v>
      </c>
      <c r="E9728" s="1" t="s">
        <v>11</v>
      </c>
      <c r="F9728" s="1" t="s">
        <v>20</v>
      </c>
      <c r="G9728" s="4" t="b">
        <f t="shared" si="2"/>
        <v>1</v>
      </c>
      <c r="H9728" s="1" t="str">
        <f t="shared" si="3"/>
        <v>Currently Unavailable</v>
      </c>
      <c r="I9728" s="1" t="str">
        <f t="shared" si="4"/>
        <v>No Badges</v>
      </c>
      <c r="J9728" s="3">
        <f t="shared" si="5"/>
        <v>0</v>
      </c>
    </row>
    <row r="9729">
      <c r="A9729" s="1" t="s">
        <v>7451</v>
      </c>
      <c r="B9729" s="3" t="str">
        <f t="shared" si="1"/>
        <v>Unavailable</v>
      </c>
      <c r="C9729" s="5">
        <v>47007.0</v>
      </c>
      <c r="D9729" s="3">
        <f>IFERROR(__xludf.DUMMYFUNCTION("IFERROR(
IF(REGEXMATCH(LOWER(O9729),""k""),
VALUE(REGEXEXTRACT(O9729,""[0-9]+""))*1000,
VALUE(REGEXEXTRACT(O9729,""[0-9]+""))
),
0
)"),0.0)</f>
        <v>0</v>
      </c>
      <c r="E9729" s="1" t="s">
        <v>11</v>
      </c>
      <c r="F9729" s="1" t="s">
        <v>20</v>
      </c>
      <c r="G9729" s="4" t="b">
        <f t="shared" si="2"/>
        <v>1</v>
      </c>
      <c r="H9729" s="1" t="str">
        <f t="shared" si="3"/>
        <v>Currently Unavailable</v>
      </c>
      <c r="I9729" s="1" t="str">
        <f t="shared" si="4"/>
        <v>No Badges</v>
      </c>
      <c r="J9729" s="3">
        <f t="shared" si="5"/>
        <v>0</v>
      </c>
    </row>
    <row r="9730">
      <c r="A9730" s="1" t="s">
        <v>7435</v>
      </c>
      <c r="B9730" s="3" t="str">
        <f t="shared" si="1"/>
        <v>Unavailable</v>
      </c>
      <c r="C9730" s="5">
        <v>2246.0</v>
      </c>
      <c r="D9730" s="3">
        <f>IFERROR(__xludf.DUMMYFUNCTION("IFERROR(
IF(REGEXMATCH(LOWER(O9730),""k""),
VALUE(REGEXEXTRACT(O9730,""[0-9]+""))*1000,
VALUE(REGEXEXTRACT(O9730,""[0-9]+""))
),
0
)"),0.0)</f>
        <v>0</v>
      </c>
      <c r="E9730" s="1" t="s">
        <v>11</v>
      </c>
      <c r="F9730" s="1" t="s">
        <v>12</v>
      </c>
      <c r="G9730" s="4" t="b">
        <f t="shared" si="2"/>
        <v>1</v>
      </c>
      <c r="H9730" s="1" t="str">
        <f t="shared" si="3"/>
        <v>Currently Unavailable</v>
      </c>
      <c r="I9730" s="1" t="str">
        <f t="shared" si="4"/>
        <v>No Badges</v>
      </c>
      <c r="J9730" s="3">
        <f t="shared" si="5"/>
        <v>0</v>
      </c>
    </row>
    <row r="9731">
      <c r="A9731" s="1" t="s">
        <v>7452</v>
      </c>
      <c r="B9731" s="3" t="str">
        <f t="shared" si="1"/>
        <v>Unavailable</v>
      </c>
      <c r="C9731" s="5">
        <v>28231.0</v>
      </c>
      <c r="D9731" s="3">
        <f>IFERROR(__xludf.DUMMYFUNCTION("IFERROR(
IF(REGEXMATCH(LOWER(O9731),""k""),
VALUE(REGEXEXTRACT(O9731,""[0-9]+""))*1000,
VALUE(REGEXEXTRACT(O9731,""[0-9]+""))
),
0
)"),0.0)</f>
        <v>0</v>
      </c>
      <c r="E9731" s="1" t="s">
        <v>11</v>
      </c>
      <c r="F9731" s="1" t="s">
        <v>20</v>
      </c>
      <c r="G9731" s="4" t="b">
        <f t="shared" si="2"/>
        <v>1</v>
      </c>
      <c r="H9731" s="1" t="str">
        <f t="shared" si="3"/>
        <v>Currently Unavailable</v>
      </c>
      <c r="I9731" s="1" t="str">
        <f t="shared" si="4"/>
        <v>No Badges</v>
      </c>
      <c r="J9731" s="3">
        <f t="shared" si="5"/>
        <v>0</v>
      </c>
    </row>
    <row r="9732">
      <c r="A9732" s="1" t="s">
        <v>7453</v>
      </c>
      <c r="B9732" s="3" t="str">
        <f t="shared" si="1"/>
        <v>Unavailable</v>
      </c>
      <c r="C9732" s="5">
        <v>115179.0</v>
      </c>
      <c r="D9732" s="3">
        <f>IFERROR(__xludf.DUMMYFUNCTION("IFERROR(
IF(REGEXMATCH(LOWER(O9732),""k""),
VALUE(REGEXEXTRACT(O9732,""[0-9]+""))*1000,
VALUE(REGEXEXTRACT(O9732,""[0-9]+""))
),
0
)"),0.0)</f>
        <v>0</v>
      </c>
      <c r="E9732" s="1" t="s">
        <v>11</v>
      </c>
      <c r="F9732" s="1" t="s">
        <v>20</v>
      </c>
      <c r="G9732" s="4" t="b">
        <f t="shared" si="2"/>
        <v>1</v>
      </c>
      <c r="H9732" s="1" t="str">
        <f t="shared" si="3"/>
        <v>Currently Unavailable</v>
      </c>
      <c r="I9732" s="1" t="str">
        <f t="shared" si="4"/>
        <v>No Badges</v>
      </c>
      <c r="J9732" s="3">
        <f t="shared" si="5"/>
        <v>0</v>
      </c>
    </row>
    <row r="9733">
      <c r="A9733" s="1" t="s">
        <v>7454</v>
      </c>
      <c r="B9733" s="3" t="str">
        <f t="shared" si="1"/>
        <v>Unavailable</v>
      </c>
      <c r="C9733" s="5">
        <v>14971.0</v>
      </c>
      <c r="D9733" s="3">
        <f>IFERROR(__xludf.DUMMYFUNCTION("IFERROR(
IF(REGEXMATCH(LOWER(O9733),""k""),
VALUE(REGEXEXTRACT(O9733,""[0-9]+""))*1000,
VALUE(REGEXEXTRACT(O9733,""[0-9]+""))
),
0
)"),0.0)</f>
        <v>0</v>
      </c>
      <c r="E9733" s="1" t="s">
        <v>18</v>
      </c>
      <c r="F9733" s="1" t="s">
        <v>20</v>
      </c>
      <c r="G9733" s="4" t="b">
        <f t="shared" si="2"/>
        <v>1</v>
      </c>
      <c r="H9733" s="1" t="str">
        <f t="shared" si="3"/>
        <v>Currently Unavailable</v>
      </c>
      <c r="I9733" s="1" t="str">
        <f t="shared" si="4"/>
        <v>No Badges</v>
      </c>
      <c r="J9733" s="3">
        <f t="shared" si="5"/>
        <v>0</v>
      </c>
    </row>
    <row r="9734">
      <c r="A9734" s="1" t="s">
        <v>7455</v>
      </c>
      <c r="B9734" s="3" t="str">
        <f t="shared" si="1"/>
        <v>Unavailable</v>
      </c>
      <c r="C9734" s="5">
        <v>186977.0</v>
      </c>
      <c r="D9734" s="3">
        <f>IFERROR(__xludf.DUMMYFUNCTION("IFERROR(
IF(REGEXMATCH(LOWER(O9734),""k""),
VALUE(REGEXEXTRACT(O9734,""[0-9]+""))*1000,
VALUE(REGEXEXTRACT(O9734,""[0-9]+""))
),
0
)"),0.0)</f>
        <v>0</v>
      </c>
      <c r="E9734" s="1" t="s">
        <v>11</v>
      </c>
      <c r="F9734" s="1" t="s">
        <v>20</v>
      </c>
      <c r="G9734" s="4" t="b">
        <f t="shared" si="2"/>
        <v>1</v>
      </c>
      <c r="H9734" s="1" t="str">
        <f t="shared" si="3"/>
        <v>Currently Unavailable</v>
      </c>
      <c r="I9734" s="1" t="str">
        <f t="shared" si="4"/>
        <v>No Badges</v>
      </c>
      <c r="J9734" s="3">
        <f t="shared" si="5"/>
        <v>0</v>
      </c>
    </row>
    <row r="9735">
      <c r="A9735" s="1" t="s">
        <v>7456</v>
      </c>
      <c r="B9735" s="3" t="str">
        <f t="shared" si="1"/>
        <v>Unavailable</v>
      </c>
      <c r="C9735" s="5">
        <v>99897.0</v>
      </c>
      <c r="D9735" s="3">
        <f>IFERROR(__xludf.DUMMYFUNCTION("IFERROR(
IF(REGEXMATCH(LOWER(O9735),""k""),
VALUE(REGEXEXTRACT(O9735,""[0-9]+""))*1000,
VALUE(REGEXEXTRACT(O9735,""[0-9]+""))
),
0
)"),0.0)</f>
        <v>0</v>
      </c>
      <c r="E9735" s="1" t="s">
        <v>11</v>
      </c>
      <c r="F9735" s="1" t="s">
        <v>20</v>
      </c>
      <c r="G9735" s="4" t="b">
        <f t="shared" si="2"/>
        <v>1</v>
      </c>
      <c r="H9735" s="1" t="str">
        <f t="shared" si="3"/>
        <v>Currently Unavailable</v>
      </c>
      <c r="I9735" s="1" t="str">
        <f t="shared" si="4"/>
        <v>No Badges</v>
      </c>
      <c r="J9735" s="3">
        <f t="shared" si="5"/>
        <v>0</v>
      </c>
    </row>
    <row r="9736">
      <c r="A9736" s="1" t="s">
        <v>7457</v>
      </c>
      <c r="B9736" s="1" t="str">
        <f t="shared" si="1"/>
        <v>Unavailable</v>
      </c>
      <c r="C9736" s="1"/>
      <c r="D9736" s="3">
        <f>IFERROR(__xludf.DUMMYFUNCTION("IFERROR(
IF(REGEXMATCH(LOWER(O9736),""k""),
VALUE(REGEXEXTRACT(O9736,""[0-9]+""))*1000,
VALUE(REGEXEXTRACT(O9736,""[0-9]+""))
),
0
)"),0.0)</f>
        <v>0</v>
      </c>
      <c r="E9736" s="1" t="s">
        <v>11</v>
      </c>
      <c r="F9736" s="1" t="s">
        <v>20</v>
      </c>
      <c r="G9736" s="4" t="b">
        <f t="shared" si="2"/>
        <v>1</v>
      </c>
      <c r="H9736" s="1" t="str">
        <f t="shared" si="3"/>
        <v>Currently Unavailable</v>
      </c>
      <c r="I9736" s="1" t="str">
        <f t="shared" si="4"/>
        <v>No Badges</v>
      </c>
      <c r="J9736" s="3">
        <f t="shared" si="5"/>
        <v>0</v>
      </c>
    </row>
    <row r="9737">
      <c r="A9737" s="1" t="s">
        <v>7458</v>
      </c>
      <c r="B9737" s="3" t="str">
        <f t="shared" si="1"/>
        <v>Unavailable</v>
      </c>
      <c r="C9737" s="3">
        <v>57.0</v>
      </c>
      <c r="D9737" s="3">
        <f>IFERROR(__xludf.DUMMYFUNCTION("IFERROR(
IF(REGEXMATCH(LOWER(O9737),""k""),
VALUE(REGEXEXTRACT(O9737,""[0-9]+""))*1000,
VALUE(REGEXEXTRACT(O9737,""[0-9]+""))
),
0
)"),0.0)</f>
        <v>0</v>
      </c>
      <c r="E9737" s="1" t="s">
        <v>11</v>
      </c>
      <c r="F9737" s="1" t="s">
        <v>20</v>
      </c>
      <c r="G9737" s="4" t="b">
        <f t="shared" si="2"/>
        <v>1</v>
      </c>
      <c r="H9737" s="1" t="str">
        <f t="shared" si="3"/>
        <v>Currently Unavailable</v>
      </c>
      <c r="I9737" s="1" t="str">
        <f t="shared" si="4"/>
        <v>No Badges</v>
      </c>
      <c r="J9737" s="3">
        <f t="shared" si="5"/>
        <v>0</v>
      </c>
    </row>
    <row r="9738">
      <c r="A9738" s="1" t="s">
        <v>7459</v>
      </c>
      <c r="B9738" s="3" t="str">
        <f t="shared" si="1"/>
        <v>Unavailable</v>
      </c>
      <c r="C9738" s="5">
        <v>28385.0</v>
      </c>
      <c r="D9738" s="3">
        <f>IFERROR(__xludf.DUMMYFUNCTION("IFERROR(
IF(REGEXMATCH(LOWER(O9738),""k""),
VALUE(REGEXEXTRACT(O9738,""[0-9]+""))*1000,
VALUE(REGEXEXTRACT(O9738,""[0-9]+""))
),
0
)"),0.0)</f>
        <v>0</v>
      </c>
      <c r="E9738" s="1" t="s">
        <v>18</v>
      </c>
      <c r="F9738" s="1" t="s">
        <v>20</v>
      </c>
      <c r="G9738" s="4" t="b">
        <f t="shared" si="2"/>
        <v>1</v>
      </c>
      <c r="H9738" s="1" t="str">
        <f t="shared" si="3"/>
        <v>Currently Unavailable</v>
      </c>
      <c r="I9738" s="1" t="str">
        <f t="shared" si="4"/>
        <v>No Badges</v>
      </c>
      <c r="J9738" s="3">
        <f t="shared" si="5"/>
        <v>0</v>
      </c>
    </row>
    <row r="9739">
      <c r="A9739" s="1" t="s">
        <v>7460</v>
      </c>
      <c r="B9739" s="3" t="str">
        <f t="shared" si="1"/>
        <v>Unavailable</v>
      </c>
      <c r="C9739" s="5">
        <v>3602.0</v>
      </c>
      <c r="D9739" s="3">
        <f>IFERROR(__xludf.DUMMYFUNCTION("IFERROR(
IF(REGEXMATCH(LOWER(O9739),""k""),
VALUE(REGEXEXTRACT(O9739,""[0-9]+""))*1000,
VALUE(REGEXEXTRACT(O9739,""[0-9]+""))
),
0
)"),0.0)</f>
        <v>0</v>
      </c>
      <c r="E9739" s="1" t="s">
        <v>11</v>
      </c>
      <c r="F9739" s="1" t="s">
        <v>20</v>
      </c>
      <c r="G9739" s="4" t="b">
        <f t="shared" si="2"/>
        <v>1</v>
      </c>
      <c r="H9739" s="1" t="str">
        <f t="shared" si="3"/>
        <v>Currently Unavailable</v>
      </c>
      <c r="I9739" s="1" t="str">
        <f t="shared" si="4"/>
        <v>No Badges</v>
      </c>
      <c r="J9739" s="3">
        <f t="shared" si="5"/>
        <v>0</v>
      </c>
    </row>
    <row r="9740">
      <c r="A9740" s="1" t="s">
        <v>7461</v>
      </c>
      <c r="B9740" s="3" t="str">
        <f t="shared" si="1"/>
        <v>Unavailable</v>
      </c>
      <c r="C9740" s="5">
        <v>33125.0</v>
      </c>
      <c r="D9740" s="3">
        <f>IFERROR(__xludf.DUMMYFUNCTION("IFERROR(
IF(REGEXMATCH(LOWER(O9740),""k""),
VALUE(REGEXEXTRACT(O9740,""[0-9]+""))*1000,
VALUE(REGEXEXTRACT(O9740,""[0-9]+""))
),
0
)"),0.0)</f>
        <v>0</v>
      </c>
      <c r="E9740" s="1" t="s">
        <v>11</v>
      </c>
      <c r="F9740" s="1" t="s">
        <v>20</v>
      </c>
      <c r="G9740" s="4" t="b">
        <f t="shared" si="2"/>
        <v>1</v>
      </c>
      <c r="H9740" s="1" t="str">
        <f t="shared" si="3"/>
        <v>Currently Unavailable</v>
      </c>
      <c r="I9740" s="1" t="str">
        <f t="shared" si="4"/>
        <v>No Badges</v>
      </c>
      <c r="J9740" s="3">
        <f t="shared" si="5"/>
        <v>0</v>
      </c>
    </row>
    <row r="9741">
      <c r="A9741" s="1" t="s">
        <v>6650</v>
      </c>
      <c r="B9741" s="3" t="str">
        <f t="shared" si="1"/>
        <v>Unavailable</v>
      </c>
      <c r="C9741" s="3">
        <v>3.0</v>
      </c>
      <c r="D9741" s="3">
        <f>IFERROR(__xludf.DUMMYFUNCTION("IFERROR(
IF(REGEXMATCH(LOWER(O9741),""k""),
VALUE(REGEXEXTRACT(O9741,""[0-9]+""))*1000,
VALUE(REGEXEXTRACT(O9741,""[0-9]+""))
),
0
)"),0.0)</f>
        <v>0</v>
      </c>
      <c r="E9741" s="1" t="s">
        <v>11</v>
      </c>
      <c r="F9741" s="1" t="s">
        <v>12</v>
      </c>
      <c r="G9741" s="4" t="b">
        <f t="shared" si="2"/>
        <v>1</v>
      </c>
      <c r="H9741" s="1" t="str">
        <f t="shared" si="3"/>
        <v>Currently Unavailable</v>
      </c>
      <c r="I9741" s="1" t="str">
        <f t="shared" si="4"/>
        <v>No Badges</v>
      </c>
      <c r="J9741" s="3">
        <f t="shared" si="5"/>
        <v>0</v>
      </c>
    </row>
    <row r="9742">
      <c r="A9742" s="1" t="s">
        <v>88</v>
      </c>
      <c r="B9742" s="3" t="str">
        <f t="shared" si="1"/>
        <v>Unavailable</v>
      </c>
      <c r="C9742" s="3">
        <v>6.0</v>
      </c>
      <c r="D9742" s="3">
        <f>IFERROR(__xludf.DUMMYFUNCTION("IFERROR(
IF(REGEXMATCH(LOWER(O9742),""k""),
VALUE(REGEXEXTRACT(O9742,""[0-9]+""))*1000,
VALUE(REGEXEXTRACT(O9742,""[0-9]+""))
),
0
)"),0.0)</f>
        <v>0</v>
      </c>
      <c r="E9742" s="1" t="s">
        <v>11</v>
      </c>
      <c r="F9742" s="1" t="s">
        <v>12</v>
      </c>
      <c r="G9742" s="4" t="b">
        <f t="shared" si="2"/>
        <v>1</v>
      </c>
      <c r="H9742" s="1" t="str">
        <f t="shared" si="3"/>
        <v>Currently Unavailable</v>
      </c>
      <c r="I9742" s="1" t="str">
        <f t="shared" si="4"/>
        <v>No Badges</v>
      </c>
      <c r="J9742" s="3">
        <f t="shared" si="5"/>
        <v>0</v>
      </c>
    </row>
    <row r="9743">
      <c r="A9743" s="1" t="s">
        <v>7462</v>
      </c>
      <c r="B9743" s="3" t="str">
        <f t="shared" si="1"/>
        <v>Unavailable</v>
      </c>
      <c r="C9743" s="5">
        <v>24652.0</v>
      </c>
      <c r="D9743" s="3">
        <f>IFERROR(__xludf.DUMMYFUNCTION("IFERROR(
IF(REGEXMATCH(LOWER(O9743),""k""),
VALUE(REGEXEXTRACT(O9743,""[0-9]+""))*1000,
VALUE(REGEXEXTRACT(O9743,""[0-9]+""))
),
0
)"),0.0)</f>
        <v>0</v>
      </c>
      <c r="E9743" s="1" t="s">
        <v>11</v>
      </c>
      <c r="F9743" s="1" t="s">
        <v>20</v>
      </c>
      <c r="G9743" s="4" t="b">
        <f t="shared" si="2"/>
        <v>1</v>
      </c>
      <c r="H9743" s="1" t="str">
        <f t="shared" si="3"/>
        <v>Currently Unavailable</v>
      </c>
      <c r="I9743" s="1" t="str">
        <f t="shared" si="4"/>
        <v>No Badges</v>
      </c>
      <c r="J9743" s="3">
        <f t="shared" si="5"/>
        <v>0</v>
      </c>
    </row>
    <row r="9744">
      <c r="A9744" s="1" t="s">
        <v>7463</v>
      </c>
      <c r="B9744" s="3" t="str">
        <f t="shared" si="1"/>
        <v>Unavailable</v>
      </c>
      <c r="C9744" s="5">
        <v>13920.0</v>
      </c>
      <c r="D9744" s="3">
        <f>IFERROR(__xludf.DUMMYFUNCTION("IFERROR(
IF(REGEXMATCH(LOWER(O9744),""k""),
VALUE(REGEXEXTRACT(O9744,""[0-9]+""))*1000,
VALUE(REGEXEXTRACT(O9744,""[0-9]+""))
),
0
)"),0.0)</f>
        <v>0</v>
      </c>
      <c r="E9744" s="1" t="s">
        <v>11</v>
      </c>
      <c r="F9744" s="1" t="s">
        <v>20</v>
      </c>
      <c r="G9744" s="4" t="b">
        <f t="shared" si="2"/>
        <v>1</v>
      </c>
      <c r="H9744" s="1" t="str">
        <f t="shared" si="3"/>
        <v>Currently Unavailable</v>
      </c>
      <c r="I9744" s="1" t="str">
        <f t="shared" si="4"/>
        <v>No Badges</v>
      </c>
      <c r="J9744" s="3">
        <f t="shared" si="5"/>
        <v>0</v>
      </c>
    </row>
    <row r="9745">
      <c r="A9745" s="1" t="s">
        <v>7464</v>
      </c>
      <c r="B9745" s="3" t="str">
        <f t="shared" si="1"/>
        <v>Unavailable</v>
      </c>
      <c r="C9745" s="5">
        <v>63155.0</v>
      </c>
      <c r="D9745" s="3">
        <f>IFERROR(__xludf.DUMMYFUNCTION("IFERROR(
IF(REGEXMATCH(LOWER(O9745),""k""),
VALUE(REGEXEXTRACT(O9745,""[0-9]+""))*1000,
VALUE(REGEXEXTRACT(O9745,""[0-9]+""))
),
0
)"),0.0)</f>
        <v>0</v>
      </c>
      <c r="E9745" s="1" t="s">
        <v>11</v>
      </c>
      <c r="F9745" s="1" t="s">
        <v>20</v>
      </c>
      <c r="G9745" s="4" t="b">
        <f t="shared" si="2"/>
        <v>1</v>
      </c>
      <c r="H9745" s="1" t="str">
        <f t="shared" si="3"/>
        <v>Currently Unavailable</v>
      </c>
      <c r="I9745" s="1" t="str">
        <f t="shared" si="4"/>
        <v>No Badges</v>
      </c>
      <c r="J9745" s="3">
        <f t="shared" si="5"/>
        <v>0</v>
      </c>
    </row>
    <row r="9746">
      <c r="A9746" s="1" t="s">
        <v>7465</v>
      </c>
      <c r="B9746" s="3" t="str">
        <f t="shared" si="1"/>
        <v>Unavailable</v>
      </c>
      <c r="C9746" s="5">
        <v>1630.0</v>
      </c>
      <c r="D9746" s="3">
        <f>IFERROR(__xludf.DUMMYFUNCTION("IFERROR(
IF(REGEXMATCH(LOWER(O9746),""k""),
VALUE(REGEXEXTRACT(O9746,""[0-9]+""))*1000,
VALUE(REGEXEXTRACT(O9746,""[0-9]+""))
),
0
)"),0.0)</f>
        <v>0</v>
      </c>
      <c r="E9746" s="1" t="s">
        <v>11</v>
      </c>
      <c r="F9746" s="1" t="s">
        <v>20</v>
      </c>
      <c r="G9746" s="4" t="b">
        <f t="shared" si="2"/>
        <v>1</v>
      </c>
      <c r="H9746" s="1" t="str">
        <f t="shared" si="3"/>
        <v>Currently Unavailable</v>
      </c>
      <c r="I9746" s="1" t="str">
        <f t="shared" si="4"/>
        <v>No Badges</v>
      </c>
      <c r="J9746" s="3">
        <f t="shared" si="5"/>
        <v>0</v>
      </c>
    </row>
    <row r="9747">
      <c r="A9747" s="1" t="s">
        <v>7466</v>
      </c>
      <c r="B9747" s="1" t="str">
        <f t="shared" si="1"/>
        <v>Unavailable</v>
      </c>
      <c r="C9747" s="1"/>
      <c r="D9747" s="3">
        <f>IFERROR(__xludf.DUMMYFUNCTION("IFERROR(
IF(REGEXMATCH(LOWER(O9747),""k""),
VALUE(REGEXEXTRACT(O9747,""[0-9]+""))*1000,
VALUE(REGEXEXTRACT(O9747,""[0-9]+""))
),
0
)"),0.0)</f>
        <v>0</v>
      </c>
      <c r="E9747" s="1" t="s">
        <v>11</v>
      </c>
      <c r="F9747" s="1" t="s">
        <v>20</v>
      </c>
      <c r="G9747" s="4" t="b">
        <f t="shared" si="2"/>
        <v>1</v>
      </c>
      <c r="H9747" s="1" t="str">
        <f t="shared" si="3"/>
        <v>Currently Unavailable</v>
      </c>
      <c r="I9747" s="1" t="str">
        <f t="shared" si="4"/>
        <v>No Badges</v>
      </c>
      <c r="J9747" s="3">
        <f t="shared" si="5"/>
        <v>0</v>
      </c>
    </row>
    <row r="9748">
      <c r="A9748" s="1" t="s">
        <v>7467</v>
      </c>
      <c r="B9748" s="3" t="str">
        <f t="shared" si="1"/>
        <v>Unavailable</v>
      </c>
      <c r="C9748" s="5">
        <v>1233.0</v>
      </c>
      <c r="D9748" s="3">
        <f>IFERROR(__xludf.DUMMYFUNCTION("IFERROR(
IF(REGEXMATCH(LOWER(O9748),""k""),
VALUE(REGEXEXTRACT(O9748,""[0-9]+""))*1000,
VALUE(REGEXEXTRACT(O9748,""[0-9]+""))
),
0
)"),0.0)</f>
        <v>0</v>
      </c>
      <c r="E9748" s="1" t="s">
        <v>11</v>
      </c>
      <c r="F9748" s="1" t="s">
        <v>20</v>
      </c>
      <c r="G9748" s="4" t="b">
        <f t="shared" si="2"/>
        <v>1</v>
      </c>
      <c r="H9748" s="1" t="str">
        <f t="shared" si="3"/>
        <v>Currently Unavailable</v>
      </c>
      <c r="I9748" s="1" t="str">
        <f t="shared" si="4"/>
        <v>No Badges</v>
      </c>
      <c r="J9748" s="3">
        <f t="shared" si="5"/>
        <v>0</v>
      </c>
    </row>
    <row r="9749">
      <c r="A9749" s="1" t="s">
        <v>7468</v>
      </c>
      <c r="B9749" s="3" t="str">
        <f t="shared" si="1"/>
        <v>Unavailable</v>
      </c>
      <c r="C9749" s="5">
        <v>11588.0</v>
      </c>
      <c r="D9749" s="3">
        <f>IFERROR(__xludf.DUMMYFUNCTION("IFERROR(
IF(REGEXMATCH(LOWER(O9749),""k""),
VALUE(REGEXEXTRACT(O9749,""[0-9]+""))*1000,
VALUE(REGEXEXTRACT(O9749,""[0-9]+""))
),
0
)"),0.0)</f>
        <v>0</v>
      </c>
      <c r="E9749" s="1" t="s">
        <v>11</v>
      </c>
      <c r="F9749" s="1" t="s">
        <v>20</v>
      </c>
      <c r="G9749" s="4" t="b">
        <f t="shared" si="2"/>
        <v>1</v>
      </c>
      <c r="H9749" s="1" t="str">
        <f t="shared" si="3"/>
        <v>Currently Unavailable</v>
      </c>
      <c r="I9749" s="1" t="str">
        <f t="shared" si="4"/>
        <v>No Badges</v>
      </c>
      <c r="J9749" s="3">
        <f t="shared" si="5"/>
        <v>0</v>
      </c>
    </row>
    <row r="9750">
      <c r="A9750" s="1" t="s">
        <v>7469</v>
      </c>
      <c r="B9750" s="3" t="str">
        <f t="shared" si="1"/>
        <v>Unavailable</v>
      </c>
      <c r="C9750" s="5">
        <v>2802.0</v>
      </c>
      <c r="D9750" s="3">
        <f>IFERROR(__xludf.DUMMYFUNCTION("IFERROR(
IF(REGEXMATCH(LOWER(O9750),""k""),
VALUE(REGEXEXTRACT(O9750,""[0-9]+""))*1000,
VALUE(REGEXEXTRACT(O9750,""[0-9]+""))
),
0
)"),0.0)</f>
        <v>0</v>
      </c>
      <c r="E9750" s="1" t="s">
        <v>11</v>
      </c>
      <c r="F9750" s="1" t="s">
        <v>20</v>
      </c>
      <c r="G9750" s="4" t="b">
        <f t="shared" si="2"/>
        <v>1</v>
      </c>
      <c r="H9750" s="1" t="str">
        <f t="shared" si="3"/>
        <v>Currently Unavailable</v>
      </c>
      <c r="I9750" s="1" t="str">
        <f t="shared" si="4"/>
        <v>No Badges</v>
      </c>
      <c r="J9750" s="3">
        <f t="shared" si="5"/>
        <v>0</v>
      </c>
    </row>
    <row r="9751">
      <c r="A9751" s="1" t="s">
        <v>7470</v>
      </c>
      <c r="B9751" s="3" t="str">
        <f t="shared" si="1"/>
        <v>Unavailable</v>
      </c>
      <c r="C9751" s="5">
        <v>38019.0</v>
      </c>
      <c r="D9751" s="3">
        <f>IFERROR(__xludf.DUMMYFUNCTION("IFERROR(
IF(REGEXMATCH(LOWER(O9751),""k""),
VALUE(REGEXEXTRACT(O9751,""[0-9]+""))*1000,
VALUE(REGEXEXTRACT(O9751,""[0-9]+""))
),
0
)"),0.0)</f>
        <v>0</v>
      </c>
      <c r="E9751" s="1" t="s">
        <v>158</v>
      </c>
      <c r="F9751" s="1" t="s">
        <v>20</v>
      </c>
      <c r="G9751" s="4" t="b">
        <f t="shared" si="2"/>
        <v>1</v>
      </c>
      <c r="H9751" s="1" t="str">
        <f t="shared" si="3"/>
        <v>Currently Unavailable</v>
      </c>
      <c r="I9751" s="1" t="str">
        <f t="shared" si="4"/>
        <v>No Badges</v>
      </c>
      <c r="J9751" s="3">
        <f t="shared" si="5"/>
        <v>0</v>
      </c>
    </row>
    <row r="9752">
      <c r="A9752" s="1" t="s">
        <v>7471</v>
      </c>
      <c r="B9752" s="3" t="str">
        <f t="shared" si="1"/>
        <v>Unavailable</v>
      </c>
      <c r="C9752" s="5">
        <v>32789.0</v>
      </c>
      <c r="D9752" s="3">
        <f>IFERROR(__xludf.DUMMYFUNCTION("IFERROR(
IF(REGEXMATCH(LOWER(O9752),""k""),
VALUE(REGEXEXTRACT(O9752,""[0-9]+""))*1000,
VALUE(REGEXEXTRACT(O9752,""[0-9]+""))
),
0
)"),0.0)</f>
        <v>0</v>
      </c>
      <c r="E9752" s="1" t="s">
        <v>11</v>
      </c>
      <c r="F9752" s="1" t="s">
        <v>20</v>
      </c>
      <c r="G9752" s="4" t="b">
        <f t="shared" si="2"/>
        <v>1</v>
      </c>
      <c r="H9752" s="1" t="str">
        <f t="shared" si="3"/>
        <v>Currently Unavailable</v>
      </c>
      <c r="I9752" s="1" t="str">
        <f t="shared" si="4"/>
        <v>No Badges</v>
      </c>
      <c r="J9752" s="3">
        <f t="shared" si="5"/>
        <v>0</v>
      </c>
    </row>
    <row r="9753">
      <c r="A9753" s="1" t="s">
        <v>7472</v>
      </c>
      <c r="B9753" s="3" t="str">
        <f t="shared" si="1"/>
        <v>Unavailable</v>
      </c>
      <c r="C9753" s="5">
        <v>8685.0</v>
      </c>
      <c r="D9753" s="3">
        <f>IFERROR(__xludf.DUMMYFUNCTION("IFERROR(
IF(REGEXMATCH(LOWER(O9753),""k""),
VALUE(REGEXEXTRACT(O9753,""[0-9]+""))*1000,
VALUE(REGEXEXTRACT(O9753,""[0-9]+""))
),
0
)"),0.0)</f>
        <v>0</v>
      </c>
      <c r="E9753" s="1" t="s">
        <v>11</v>
      </c>
      <c r="F9753" s="1" t="s">
        <v>20</v>
      </c>
      <c r="G9753" s="4" t="b">
        <f t="shared" si="2"/>
        <v>1</v>
      </c>
      <c r="H9753" s="1" t="str">
        <f t="shared" si="3"/>
        <v>Currently Unavailable</v>
      </c>
      <c r="I9753" s="1" t="str">
        <f t="shared" si="4"/>
        <v>No Badges</v>
      </c>
      <c r="J9753" s="3">
        <f t="shared" si="5"/>
        <v>0</v>
      </c>
    </row>
    <row r="9754">
      <c r="A9754" s="1" t="s">
        <v>7473</v>
      </c>
      <c r="B9754" s="3" t="str">
        <f t="shared" si="1"/>
        <v>Unavailable</v>
      </c>
      <c r="C9754" s="5">
        <v>4409.0</v>
      </c>
      <c r="D9754" s="3">
        <f>IFERROR(__xludf.DUMMYFUNCTION("IFERROR(
IF(REGEXMATCH(LOWER(O9754),""k""),
VALUE(REGEXEXTRACT(O9754,""[0-9]+""))*1000,
VALUE(REGEXEXTRACT(O9754,""[0-9]+""))
),
0
)"),0.0)</f>
        <v>0</v>
      </c>
      <c r="E9754" s="1" t="s">
        <v>11</v>
      </c>
      <c r="F9754" s="1" t="s">
        <v>20</v>
      </c>
      <c r="G9754" s="4" t="b">
        <f t="shared" si="2"/>
        <v>1</v>
      </c>
      <c r="H9754" s="1" t="str">
        <f t="shared" si="3"/>
        <v>Currently Unavailable</v>
      </c>
      <c r="I9754" s="1" t="str">
        <f t="shared" si="4"/>
        <v>No Badges</v>
      </c>
      <c r="J9754" s="3">
        <f t="shared" si="5"/>
        <v>0</v>
      </c>
    </row>
    <row r="9755">
      <c r="A9755" s="1" t="s">
        <v>701</v>
      </c>
      <c r="B9755" s="3" t="str">
        <f t="shared" si="1"/>
        <v>Unavailable</v>
      </c>
      <c r="C9755" s="3">
        <v>8.0</v>
      </c>
      <c r="D9755" s="3">
        <f>IFERROR(__xludf.DUMMYFUNCTION("IFERROR(
IF(REGEXMATCH(LOWER(O9755),""k""),
VALUE(REGEXEXTRACT(O9755,""[0-9]+""))*1000,
VALUE(REGEXEXTRACT(O9755,""[0-9]+""))
),
0
)"),0.0)</f>
        <v>0</v>
      </c>
      <c r="E9755" s="1" t="s">
        <v>11</v>
      </c>
      <c r="F9755" s="1" t="s">
        <v>12</v>
      </c>
      <c r="G9755" s="4" t="b">
        <f t="shared" si="2"/>
        <v>1</v>
      </c>
      <c r="H9755" s="1" t="str">
        <f t="shared" si="3"/>
        <v>Currently Unavailable</v>
      </c>
      <c r="I9755" s="1" t="str">
        <f t="shared" si="4"/>
        <v>No Badges</v>
      </c>
      <c r="J9755" s="3">
        <f t="shared" si="5"/>
        <v>0</v>
      </c>
    </row>
    <row r="9756">
      <c r="A9756" s="1" t="s">
        <v>6661</v>
      </c>
      <c r="B9756" s="3" t="str">
        <f t="shared" si="1"/>
        <v>Unavailable</v>
      </c>
      <c r="C9756" s="3">
        <v>24.0</v>
      </c>
      <c r="D9756" s="3">
        <f>IFERROR(__xludf.DUMMYFUNCTION("IFERROR(
IF(REGEXMATCH(LOWER(O9756),""k""),
VALUE(REGEXEXTRACT(O9756,""[0-9]+""))*1000,
VALUE(REGEXEXTRACT(O9756,""[0-9]+""))
),
0
)"),0.0)</f>
        <v>0</v>
      </c>
      <c r="E9756" s="1" t="s">
        <v>11</v>
      </c>
      <c r="F9756" s="1" t="s">
        <v>12</v>
      </c>
      <c r="G9756" s="4" t="b">
        <f t="shared" si="2"/>
        <v>1</v>
      </c>
      <c r="H9756" s="1" t="str">
        <f t="shared" si="3"/>
        <v>Currently Unavailable</v>
      </c>
      <c r="I9756" s="1" t="str">
        <f t="shared" si="4"/>
        <v>No Badges</v>
      </c>
      <c r="J9756" s="3">
        <f t="shared" si="5"/>
        <v>0</v>
      </c>
    </row>
    <row r="9757">
      <c r="A9757" s="1" t="s">
        <v>6662</v>
      </c>
      <c r="B9757" s="3" t="str">
        <f t="shared" si="1"/>
        <v>Unavailable</v>
      </c>
      <c r="C9757" s="5">
        <v>1886.0</v>
      </c>
      <c r="D9757" s="3">
        <f>IFERROR(__xludf.DUMMYFUNCTION("IFERROR(
IF(REGEXMATCH(LOWER(O9757),""k""),
VALUE(REGEXEXTRACT(O9757,""[0-9]+""))*1000,
VALUE(REGEXEXTRACT(O9757,""[0-9]+""))
),
0
)"),0.0)</f>
        <v>0</v>
      </c>
      <c r="E9757" s="1" t="s">
        <v>11</v>
      </c>
      <c r="F9757" s="1" t="s">
        <v>12</v>
      </c>
      <c r="G9757" s="4" t="b">
        <f t="shared" si="2"/>
        <v>1</v>
      </c>
      <c r="H9757" s="1" t="str">
        <f t="shared" si="3"/>
        <v>Currently Unavailable</v>
      </c>
      <c r="I9757" s="1" t="str">
        <f t="shared" si="4"/>
        <v>No Badges</v>
      </c>
      <c r="J9757" s="3">
        <f t="shared" si="5"/>
        <v>0</v>
      </c>
    </row>
    <row r="9758">
      <c r="A9758" s="1" t="s">
        <v>7474</v>
      </c>
      <c r="B9758" s="3" t="str">
        <f t="shared" si="1"/>
        <v>Unavailable</v>
      </c>
      <c r="C9758" s="5">
        <v>11940.0</v>
      </c>
      <c r="D9758" s="3">
        <f>IFERROR(__xludf.DUMMYFUNCTION("IFERROR(
IF(REGEXMATCH(LOWER(O9758),""k""),
VALUE(REGEXEXTRACT(O9758,""[0-9]+""))*1000,
VALUE(REGEXEXTRACT(O9758,""[0-9]+""))
),
0
)"),0.0)</f>
        <v>0</v>
      </c>
      <c r="E9758" s="1" t="s">
        <v>11</v>
      </c>
      <c r="F9758" s="1" t="s">
        <v>20</v>
      </c>
      <c r="G9758" s="4" t="b">
        <f t="shared" si="2"/>
        <v>1</v>
      </c>
      <c r="H9758" s="1" t="str">
        <f t="shared" si="3"/>
        <v>Currently Unavailable</v>
      </c>
      <c r="I9758" s="1" t="str">
        <f t="shared" si="4"/>
        <v>No Badges</v>
      </c>
      <c r="J9758" s="3">
        <f t="shared" si="5"/>
        <v>0</v>
      </c>
    </row>
    <row r="9759">
      <c r="A9759" s="1" t="s">
        <v>7475</v>
      </c>
      <c r="B9759" s="3" t="str">
        <f t="shared" si="1"/>
        <v>Unavailable</v>
      </c>
      <c r="C9759" s="5">
        <v>25962.0</v>
      </c>
      <c r="D9759" s="3">
        <f>IFERROR(__xludf.DUMMYFUNCTION("IFERROR(
IF(REGEXMATCH(LOWER(O9759),""k""),
VALUE(REGEXEXTRACT(O9759,""[0-9]+""))*1000,
VALUE(REGEXEXTRACT(O9759,""[0-9]+""))
),
0
)"),0.0)</f>
        <v>0</v>
      </c>
      <c r="E9759" s="1" t="s">
        <v>11</v>
      </c>
      <c r="F9759" s="1" t="s">
        <v>20</v>
      </c>
      <c r="G9759" s="4" t="b">
        <f t="shared" si="2"/>
        <v>1</v>
      </c>
      <c r="H9759" s="1" t="str">
        <f t="shared" si="3"/>
        <v>Currently Unavailable</v>
      </c>
      <c r="I9759" s="1" t="str">
        <f t="shared" si="4"/>
        <v>No Badges</v>
      </c>
      <c r="J9759" s="3">
        <f t="shared" si="5"/>
        <v>0</v>
      </c>
    </row>
    <row r="9760">
      <c r="A9760" s="1" t="s">
        <v>7476</v>
      </c>
      <c r="B9760" s="3" t="str">
        <f t="shared" si="1"/>
        <v>Unavailable</v>
      </c>
      <c r="C9760" s="5">
        <v>18799.0</v>
      </c>
      <c r="D9760" s="3">
        <f>IFERROR(__xludf.DUMMYFUNCTION("IFERROR(
IF(REGEXMATCH(LOWER(O9760),""k""),
VALUE(REGEXEXTRACT(O9760,""[0-9]+""))*1000,
VALUE(REGEXEXTRACT(O9760,""[0-9]+""))
),
0
)"),0.0)</f>
        <v>0</v>
      </c>
      <c r="E9760" s="1" t="s">
        <v>11</v>
      </c>
      <c r="F9760" s="1" t="s">
        <v>20</v>
      </c>
      <c r="G9760" s="4" t="b">
        <f t="shared" si="2"/>
        <v>1</v>
      </c>
      <c r="H9760" s="1" t="str">
        <f t="shared" si="3"/>
        <v>Currently Unavailable</v>
      </c>
      <c r="I9760" s="1" t="str">
        <f t="shared" si="4"/>
        <v>No Badges</v>
      </c>
      <c r="J9760" s="3">
        <f t="shared" si="5"/>
        <v>0</v>
      </c>
    </row>
    <row r="9761">
      <c r="A9761" s="1" t="s">
        <v>7477</v>
      </c>
      <c r="B9761" s="3" t="str">
        <f t="shared" si="1"/>
        <v>Unavailable</v>
      </c>
      <c r="C9761" s="5">
        <v>14011.0</v>
      </c>
      <c r="D9761" s="3">
        <f>IFERROR(__xludf.DUMMYFUNCTION("IFERROR(
IF(REGEXMATCH(LOWER(O9761),""k""),
VALUE(REGEXEXTRACT(O9761,""[0-9]+""))*1000,
VALUE(REGEXEXTRACT(O9761,""[0-9]+""))
),
0
)"),0.0)</f>
        <v>0</v>
      </c>
      <c r="E9761" s="1" t="s">
        <v>11</v>
      </c>
      <c r="F9761" s="1" t="s">
        <v>20</v>
      </c>
      <c r="G9761" s="4" t="b">
        <f t="shared" si="2"/>
        <v>1</v>
      </c>
      <c r="H9761" s="1" t="str">
        <f t="shared" si="3"/>
        <v>Currently Unavailable</v>
      </c>
      <c r="I9761" s="1" t="str">
        <f t="shared" si="4"/>
        <v>No Badges</v>
      </c>
      <c r="J9761" s="3">
        <f t="shared" si="5"/>
        <v>0</v>
      </c>
    </row>
    <row r="9762">
      <c r="A9762" s="1" t="s">
        <v>7478</v>
      </c>
      <c r="B9762" s="3" t="str">
        <f t="shared" si="1"/>
        <v>Unavailable</v>
      </c>
      <c r="C9762" s="5">
        <v>2113.0</v>
      </c>
      <c r="D9762" s="3">
        <f>IFERROR(__xludf.DUMMYFUNCTION("IFERROR(
IF(REGEXMATCH(LOWER(O9762),""k""),
VALUE(REGEXEXTRACT(O9762,""[0-9]+""))*1000,
VALUE(REGEXEXTRACT(O9762,""[0-9]+""))
),
0
)"),0.0)</f>
        <v>0</v>
      </c>
      <c r="E9762" s="1" t="s">
        <v>11</v>
      </c>
      <c r="F9762" s="1" t="s">
        <v>20</v>
      </c>
      <c r="G9762" s="4" t="b">
        <f t="shared" si="2"/>
        <v>1</v>
      </c>
      <c r="H9762" s="1" t="str">
        <f t="shared" si="3"/>
        <v>Currently Unavailable</v>
      </c>
      <c r="I9762" s="1" t="str">
        <f t="shared" si="4"/>
        <v>No Badges</v>
      </c>
      <c r="J9762" s="3">
        <f t="shared" si="5"/>
        <v>0</v>
      </c>
    </row>
    <row r="9763">
      <c r="A9763" s="1" t="s">
        <v>7479</v>
      </c>
      <c r="B9763" s="3" t="str">
        <f t="shared" si="1"/>
        <v>Unavailable</v>
      </c>
      <c r="C9763" s="3">
        <v>289.0</v>
      </c>
      <c r="D9763" s="3">
        <f>IFERROR(__xludf.DUMMYFUNCTION("IFERROR(
IF(REGEXMATCH(LOWER(O9763),""k""),
VALUE(REGEXEXTRACT(O9763,""[0-9]+""))*1000,
VALUE(REGEXEXTRACT(O9763,""[0-9]+""))
),
0
)"),0.0)</f>
        <v>0</v>
      </c>
      <c r="E9763" s="1" t="s">
        <v>11</v>
      </c>
      <c r="F9763" s="1" t="s">
        <v>20</v>
      </c>
      <c r="G9763" s="4" t="b">
        <f t="shared" si="2"/>
        <v>1</v>
      </c>
      <c r="H9763" s="1" t="str">
        <f t="shared" si="3"/>
        <v>Currently Unavailable</v>
      </c>
      <c r="I9763" s="1" t="str">
        <f t="shared" si="4"/>
        <v>No Badges</v>
      </c>
      <c r="J9763" s="3">
        <f t="shared" si="5"/>
        <v>0</v>
      </c>
    </row>
    <row r="9764">
      <c r="A9764" s="1" t="s">
        <v>7480</v>
      </c>
      <c r="B9764" s="3" t="str">
        <f t="shared" si="1"/>
        <v>Unavailable</v>
      </c>
      <c r="C9764" s="3">
        <v>629.0</v>
      </c>
      <c r="D9764" s="3">
        <f>IFERROR(__xludf.DUMMYFUNCTION("IFERROR(
IF(REGEXMATCH(LOWER(O9764),""k""),
VALUE(REGEXEXTRACT(O9764,""[0-9]+""))*1000,
VALUE(REGEXEXTRACT(O9764,""[0-9]+""))
),
0
)"),0.0)</f>
        <v>0</v>
      </c>
      <c r="E9764" s="1" t="s">
        <v>11</v>
      </c>
      <c r="F9764" s="1" t="s">
        <v>20</v>
      </c>
      <c r="G9764" s="4" t="b">
        <f t="shared" si="2"/>
        <v>1</v>
      </c>
      <c r="H9764" s="1" t="str">
        <f t="shared" si="3"/>
        <v>Currently Unavailable</v>
      </c>
      <c r="I9764" s="1" t="str">
        <f t="shared" si="4"/>
        <v>No Badges</v>
      </c>
      <c r="J9764" s="3">
        <f t="shared" si="5"/>
        <v>0</v>
      </c>
    </row>
    <row r="9765">
      <c r="A9765" s="1" t="s">
        <v>7481</v>
      </c>
      <c r="B9765" s="3" t="str">
        <f t="shared" si="1"/>
        <v>Unavailable</v>
      </c>
      <c r="C9765" s="3">
        <v>984.0</v>
      </c>
      <c r="D9765" s="3">
        <f>IFERROR(__xludf.DUMMYFUNCTION("IFERROR(
IF(REGEXMATCH(LOWER(O9765),""k""),
VALUE(REGEXEXTRACT(O9765,""[0-9]+""))*1000,
VALUE(REGEXEXTRACT(O9765,""[0-9]+""))
),
0
)"),0.0)</f>
        <v>0</v>
      </c>
      <c r="E9765" s="1" t="s">
        <v>11</v>
      </c>
      <c r="F9765" s="1" t="s">
        <v>20</v>
      </c>
      <c r="G9765" s="4" t="b">
        <f t="shared" si="2"/>
        <v>1</v>
      </c>
      <c r="H9765" s="1" t="str">
        <f t="shared" si="3"/>
        <v>Currently Unavailable</v>
      </c>
      <c r="I9765" s="1" t="str">
        <f t="shared" si="4"/>
        <v>No Badges</v>
      </c>
      <c r="J9765" s="3">
        <f t="shared" si="5"/>
        <v>0</v>
      </c>
    </row>
    <row r="9766">
      <c r="A9766" s="1" t="s">
        <v>7482</v>
      </c>
      <c r="B9766" s="3" t="str">
        <f t="shared" si="1"/>
        <v>Unavailable</v>
      </c>
      <c r="C9766" s="5">
        <v>2259.0</v>
      </c>
      <c r="D9766" s="3">
        <f>IFERROR(__xludf.DUMMYFUNCTION("IFERROR(
IF(REGEXMATCH(LOWER(O9766),""k""),
VALUE(REGEXEXTRACT(O9766,""[0-9]+""))*1000,
VALUE(REGEXEXTRACT(O9766,""[0-9]+""))
),
0
)"),0.0)</f>
        <v>0</v>
      </c>
      <c r="E9766" s="1" t="s">
        <v>18</v>
      </c>
      <c r="F9766" s="1" t="s">
        <v>20</v>
      </c>
      <c r="G9766" s="4" t="b">
        <f t="shared" si="2"/>
        <v>1</v>
      </c>
      <c r="H9766" s="1" t="str">
        <f t="shared" si="3"/>
        <v>Currently Unavailable</v>
      </c>
      <c r="I9766" s="1" t="str">
        <f t="shared" si="4"/>
        <v>No Badges</v>
      </c>
      <c r="J9766" s="3">
        <f t="shared" si="5"/>
        <v>0</v>
      </c>
    </row>
    <row r="9767">
      <c r="A9767" s="1" t="s">
        <v>7483</v>
      </c>
      <c r="B9767" s="3" t="str">
        <f t="shared" si="1"/>
        <v>Unavailable</v>
      </c>
      <c r="C9767" s="3">
        <v>203.0</v>
      </c>
      <c r="D9767" s="3">
        <f>IFERROR(__xludf.DUMMYFUNCTION("IFERROR(
IF(REGEXMATCH(LOWER(O9767),""k""),
VALUE(REGEXEXTRACT(O9767,""[0-9]+""))*1000,
VALUE(REGEXEXTRACT(O9767,""[0-9]+""))
),
0
)"),0.0)</f>
        <v>0</v>
      </c>
      <c r="E9767" s="1" t="s">
        <v>11</v>
      </c>
      <c r="F9767" s="1" t="s">
        <v>20</v>
      </c>
      <c r="G9767" s="4" t="b">
        <f t="shared" si="2"/>
        <v>1</v>
      </c>
      <c r="H9767" s="1" t="str">
        <f t="shared" si="3"/>
        <v>Currently Unavailable</v>
      </c>
      <c r="I9767" s="1" t="str">
        <f t="shared" si="4"/>
        <v>No Badges</v>
      </c>
      <c r="J9767" s="3">
        <f t="shared" si="5"/>
        <v>0</v>
      </c>
    </row>
    <row r="9768">
      <c r="A9768" s="1" t="s">
        <v>7484</v>
      </c>
      <c r="B9768" s="3" t="str">
        <f t="shared" si="1"/>
        <v>Unavailable</v>
      </c>
      <c r="C9768" s="5">
        <v>6198.0</v>
      </c>
      <c r="D9768" s="3">
        <f>IFERROR(__xludf.DUMMYFUNCTION("IFERROR(
IF(REGEXMATCH(LOWER(O9768),""k""),
VALUE(REGEXEXTRACT(O9768,""[0-9]+""))*1000,
VALUE(REGEXEXTRACT(O9768,""[0-9]+""))
),
0
)"),0.0)</f>
        <v>0</v>
      </c>
      <c r="E9768" s="1" t="s">
        <v>11</v>
      </c>
      <c r="F9768" s="1" t="s">
        <v>20</v>
      </c>
      <c r="G9768" s="4" t="b">
        <f t="shared" si="2"/>
        <v>1</v>
      </c>
      <c r="H9768" s="1" t="str">
        <f t="shared" si="3"/>
        <v>Currently Unavailable</v>
      </c>
      <c r="I9768" s="1" t="str">
        <f t="shared" si="4"/>
        <v>No Badges</v>
      </c>
      <c r="J9768" s="3">
        <f t="shared" si="5"/>
        <v>0</v>
      </c>
    </row>
    <row r="9769">
      <c r="A9769" s="1" t="s">
        <v>7485</v>
      </c>
      <c r="B9769" s="3" t="str">
        <f t="shared" si="1"/>
        <v>Unavailable</v>
      </c>
      <c r="C9769" s="3">
        <v>621.0</v>
      </c>
      <c r="D9769" s="3">
        <f>IFERROR(__xludf.DUMMYFUNCTION("IFERROR(
IF(REGEXMATCH(LOWER(O9769),""k""),
VALUE(REGEXEXTRACT(O9769,""[0-9]+""))*1000,
VALUE(REGEXEXTRACT(O9769,""[0-9]+""))
),
0
)"),0.0)</f>
        <v>0</v>
      </c>
      <c r="E9769" s="1" t="s">
        <v>11</v>
      </c>
      <c r="F9769" s="1" t="s">
        <v>20</v>
      </c>
      <c r="G9769" s="4" t="b">
        <f t="shared" si="2"/>
        <v>1</v>
      </c>
      <c r="H9769" s="1" t="str">
        <f t="shared" si="3"/>
        <v>Currently Unavailable</v>
      </c>
      <c r="I9769" s="1" t="str">
        <f t="shared" si="4"/>
        <v>No Badges</v>
      </c>
      <c r="J9769" s="3">
        <f t="shared" si="5"/>
        <v>0</v>
      </c>
    </row>
    <row r="9770">
      <c r="A9770" s="1" t="s">
        <v>7486</v>
      </c>
      <c r="B9770" s="3" t="str">
        <f t="shared" si="1"/>
        <v>Unavailable</v>
      </c>
      <c r="C9770" s="5">
        <v>2322.0</v>
      </c>
      <c r="D9770" s="3">
        <f>IFERROR(__xludf.DUMMYFUNCTION("IFERROR(
IF(REGEXMATCH(LOWER(O9770),""k""),
VALUE(REGEXEXTRACT(O9770,""[0-9]+""))*1000,
VALUE(REGEXEXTRACT(O9770,""[0-9]+""))
),
0
)"),0.0)</f>
        <v>0</v>
      </c>
      <c r="E9770" s="1" t="s">
        <v>11</v>
      </c>
      <c r="F9770" s="1" t="s">
        <v>20</v>
      </c>
      <c r="G9770" s="4" t="b">
        <f t="shared" si="2"/>
        <v>1</v>
      </c>
      <c r="H9770" s="1" t="str">
        <f t="shared" si="3"/>
        <v>Currently Unavailable</v>
      </c>
      <c r="I9770" s="1" t="str">
        <f t="shared" si="4"/>
        <v>No Badges</v>
      </c>
      <c r="J9770" s="3">
        <f t="shared" si="5"/>
        <v>0</v>
      </c>
    </row>
    <row r="9771">
      <c r="A9771" s="1" t="s">
        <v>7487</v>
      </c>
      <c r="B9771" s="3" t="str">
        <f t="shared" si="1"/>
        <v>Unavailable</v>
      </c>
      <c r="C9771" s="3">
        <v>445.0</v>
      </c>
      <c r="D9771" s="3">
        <f>IFERROR(__xludf.DUMMYFUNCTION("IFERROR(
IF(REGEXMATCH(LOWER(O9771),""k""),
VALUE(REGEXEXTRACT(O9771,""[0-9]+""))*1000,
VALUE(REGEXEXTRACT(O9771,""[0-9]+""))
),
0
)"),0.0)</f>
        <v>0</v>
      </c>
      <c r="E9771" s="1" t="s">
        <v>11</v>
      </c>
      <c r="F9771" s="1" t="s">
        <v>20</v>
      </c>
      <c r="G9771" s="4" t="b">
        <f t="shared" si="2"/>
        <v>1</v>
      </c>
      <c r="H9771" s="1" t="str">
        <f t="shared" si="3"/>
        <v>Currently Unavailable</v>
      </c>
      <c r="I9771" s="1" t="str">
        <f t="shared" si="4"/>
        <v>No Badges</v>
      </c>
      <c r="J9771" s="3">
        <f t="shared" si="5"/>
        <v>0</v>
      </c>
    </row>
    <row r="9772">
      <c r="A9772" s="1" t="s">
        <v>7488</v>
      </c>
      <c r="B9772" s="3" t="str">
        <f t="shared" si="1"/>
        <v>Unavailable</v>
      </c>
      <c r="C9772" s="3">
        <v>67.0</v>
      </c>
      <c r="D9772" s="3">
        <f>IFERROR(__xludf.DUMMYFUNCTION("IFERROR(
IF(REGEXMATCH(LOWER(O9772),""k""),
VALUE(REGEXEXTRACT(O9772,""[0-9]+""))*1000,
VALUE(REGEXEXTRACT(O9772,""[0-9]+""))
),
0
)"),0.0)</f>
        <v>0</v>
      </c>
      <c r="E9772" s="1" t="s">
        <v>11</v>
      </c>
      <c r="F9772" s="1" t="s">
        <v>20</v>
      </c>
      <c r="G9772" s="4" t="b">
        <f t="shared" si="2"/>
        <v>1</v>
      </c>
      <c r="H9772" s="1" t="str">
        <f t="shared" si="3"/>
        <v>Currently Unavailable</v>
      </c>
      <c r="I9772" s="1" t="str">
        <f t="shared" si="4"/>
        <v>No Badges</v>
      </c>
      <c r="J9772" s="3">
        <f t="shared" si="5"/>
        <v>0</v>
      </c>
    </row>
    <row r="9773">
      <c r="A9773" s="1" t="s">
        <v>7489</v>
      </c>
      <c r="B9773" s="3" t="str">
        <f t="shared" si="1"/>
        <v>Unavailable</v>
      </c>
      <c r="C9773" s="3">
        <v>934.0</v>
      </c>
      <c r="D9773" s="3">
        <f>IFERROR(__xludf.DUMMYFUNCTION("IFERROR(
IF(REGEXMATCH(LOWER(O9773),""k""),
VALUE(REGEXEXTRACT(O9773,""[0-9]+""))*1000,
VALUE(REGEXEXTRACT(O9773,""[0-9]+""))
),
0
)"),0.0)</f>
        <v>0</v>
      </c>
      <c r="E9773" s="1" t="s">
        <v>11</v>
      </c>
      <c r="F9773" s="1" t="s">
        <v>20</v>
      </c>
      <c r="G9773" s="4" t="b">
        <f t="shared" si="2"/>
        <v>1</v>
      </c>
      <c r="H9773" s="1" t="str">
        <f t="shared" si="3"/>
        <v>Currently Unavailable</v>
      </c>
      <c r="I9773" s="1" t="str">
        <f t="shared" si="4"/>
        <v>No Badges</v>
      </c>
      <c r="J9773" s="3">
        <f t="shared" si="5"/>
        <v>0</v>
      </c>
    </row>
    <row r="9774">
      <c r="A9774" s="1" t="s">
        <v>7490</v>
      </c>
      <c r="B9774" s="3" t="str">
        <f t="shared" si="1"/>
        <v>Unavailable</v>
      </c>
      <c r="C9774" s="3">
        <v>510.0</v>
      </c>
      <c r="D9774" s="3">
        <f>IFERROR(__xludf.DUMMYFUNCTION("IFERROR(
IF(REGEXMATCH(LOWER(O9774),""k""),
VALUE(REGEXEXTRACT(O9774,""[0-9]+""))*1000,
VALUE(REGEXEXTRACT(O9774,""[0-9]+""))
),
0
)"),0.0)</f>
        <v>0</v>
      </c>
      <c r="E9774" s="1" t="s">
        <v>11</v>
      </c>
      <c r="F9774" s="1" t="s">
        <v>20</v>
      </c>
      <c r="G9774" s="4" t="b">
        <f t="shared" si="2"/>
        <v>1</v>
      </c>
      <c r="H9774" s="1" t="str">
        <f t="shared" si="3"/>
        <v>Currently Unavailable</v>
      </c>
      <c r="I9774" s="1" t="str">
        <f t="shared" si="4"/>
        <v>No Badges</v>
      </c>
      <c r="J9774" s="3">
        <f t="shared" si="5"/>
        <v>0</v>
      </c>
    </row>
    <row r="9775">
      <c r="A9775" s="1" t="s">
        <v>7491</v>
      </c>
      <c r="B9775" s="3" t="str">
        <f t="shared" si="1"/>
        <v>Unavailable</v>
      </c>
      <c r="C9775" s="5">
        <v>16176.0</v>
      </c>
      <c r="D9775" s="3">
        <f>IFERROR(__xludf.DUMMYFUNCTION("IFERROR(
IF(REGEXMATCH(LOWER(O9775),""k""),
VALUE(REGEXEXTRACT(O9775,""[0-9]+""))*1000,
VALUE(REGEXEXTRACT(O9775,""[0-9]+""))
),
0
)"),0.0)</f>
        <v>0</v>
      </c>
      <c r="E9775" s="1" t="s">
        <v>11</v>
      </c>
      <c r="F9775" s="1" t="s">
        <v>20</v>
      </c>
      <c r="G9775" s="4" t="b">
        <f t="shared" si="2"/>
        <v>1</v>
      </c>
      <c r="H9775" s="1" t="str">
        <f t="shared" si="3"/>
        <v>Currently Unavailable</v>
      </c>
      <c r="I9775" s="1" t="str">
        <f t="shared" si="4"/>
        <v>No Badges</v>
      </c>
      <c r="J9775" s="3">
        <f t="shared" si="5"/>
        <v>0</v>
      </c>
    </row>
    <row r="9776">
      <c r="A9776" s="1" t="s">
        <v>7492</v>
      </c>
      <c r="B9776" s="3" t="str">
        <f t="shared" si="1"/>
        <v>Unavailable</v>
      </c>
      <c r="C9776" s="3">
        <v>768.0</v>
      </c>
      <c r="D9776" s="3">
        <f>IFERROR(__xludf.DUMMYFUNCTION("IFERROR(
IF(REGEXMATCH(LOWER(O9776),""k""),
VALUE(REGEXEXTRACT(O9776,""[0-9]+""))*1000,
VALUE(REGEXEXTRACT(O9776,""[0-9]+""))
),
0
)"),0.0)</f>
        <v>0</v>
      </c>
      <c r="E9776" s="1" t="s">
        <v>11</v>
      </c>
      <c r="F9776" s="1" t="s">
        <v>20</v>
      </c>
      <c r="G9776" s="4" t="b">
        <f t="shared" si="2"/>
        <v>1</v>
      </c>
      <c r="H9776" s="1" t="str">
        <f t="shared" si="3"/>
        <v>Currently Unavailable</v>
      </c>
      <c r="I9776" s="1" t="str">
        <f t="shared" si="4"/>
        <v>No Badges</v>
      </c>
      <c r="J9776" s="3">
        <f t="shared" si="5"/>
        <v>0</v>
      </c>
    </row>
    <row r="9777">
      <c r="A9777" s="1" t="s">
        <v>7493</v>
      </c>
      <c r="B9777" s="3" t="str">
        <f t="shared" si="1"/>
        <v>Unavailable</v>
      </c>
      <c r="C9777" s="5">
        <v>2048.0</v>
      </c>
      <c r="D9777" s="3">
        <f>IFERROR(__xludf.DUMMYFUNCTION("IFERROR(
IF(REGEXMATCH(LOWER(O9777),""k""),
VALUE(REGEXEXTRACT(O9777,""[0-9]+""))*1000,
VALUE(REGEXEXTRACT(O9777,""[0-9]+""))
),
0
)"),0.0)</f>
        <v>0</v>
      </c>
      <c r="E9777" s="1" t="s">
        <v>11</v>
      </c>
      <c r="F9777" s="1" t="s">
        <v>20</v>
      </c>
      <c r="G9777" s="4" t="b">
        <f t="shared" si="2"/>
        <v>1</v>
      </c>
      <c r="H9777" s="1" t="str">
        <f t="shared" si="3"/>
        <v>Currently Unavailable</v>
      </c>
      <c r="I9777" s="1" t="str">
        <f t="shared" si="4"/>
        <v>No Badges</v>
      </c>
      <c r="J9777" s="3">
        <f t="shared" si="5"/>
        <v>0</v>
      </c>
    </row>
    <row r="9778">
      <c r="A9778" s="1" t="s">
        <v>7494</v>
      </c>
      <c r="B9778" s="3" t="str">
        <f t="shared" si="1"/>
        <v>Unavailable</v>
      </c>
      <c r="C9778" s="3">
        <v>991.0</v>
      </c>
      <c r="D9778" s="3">
        <f>IFERROR(__xludf.DUMMYFUNCTION("IFERROR(
IF(REGEXMATCH(LOWER(O9778),""k""),
VALUE(REGEXEXTRACT(O9778,""[0-9]+""))*1000,
VALUE(REGEXEXTRACT(O9778,""[0-9]+""))
),
0
)"),0.0)</f>
        <v>0</v>
      </c>
      <c r="E9778" s="1" t="s">
        <v>11</v>
      </c>
      <c r="F9778" s="1" t="s">
        <v>20</v>
      </c>
      <c r="G9778" s="4" t="b">
        <f t="shared" si="2"/>
        <v>1</v>
      </c>
      <c r="H9778" s="1" t="str">
        <f t="shared" si="3"/>
        <v>Currently Unavailable</v>
      </c>
      <c r="I9778" s="1" t="str">
        <f t="shared" si="4"/>
        <v>No Badges</v>
      </c>
      <c r="J9778" s="3">
        <f t="shared" si="5"/>
        <v>0</v>
      </c>
    </row>
    <row r="9779">
      <c r="A9779" s="1" t="s">
        <v>7495</v>
      </c>
      <c r="B9779" s="3" t="str">
        <f t="shared" si="1"/>
        <v>Unavailable</v>
      </c>
      <c r="C9779" s="5">
        <v>2195.0</v>
      </c>
      <c r="D9779" s="3">
        <f>IFERROR(__xludf.DUMMYFUNCTION("IFERROR(
IF(REGEXMATCH(LOWER(O9779),""k""),
VALUE(REGEXEXTRACT(O9779,""[0-9]+""))*1000,
VALUE(REGEXEXTRACT(O9779,""[0-9]+""))
),
0
)"),0.0)</f>
        <v>0</v>
      </c>
      <c r="E9779" s="1" t="s">
        <v>11</v>
      </c>
      <c r="F9779" s="1" t="s">
        <v>20</v>
      </c>
      <c r="G9779" s="4" t="b">
        <f t="shared" si="2"/>
        <v>1</v>
      </c>
      <c r="H9779" s="1" t="str">
        <f t="shared" si="3"/>
        <v>Currently Unavailable</v>
      </c>
      <c r="I9779" s="1" t="str">
        <f t="shared" si="4"/>
        <v>No Badges</v>
      </c>
      <c r="J9779" s="3">
        <f t="shared" si="5"/>
        <v>0</v>
      </c>
    </row>
    <row r="9780">
      <c r="A9780" s="1" t="s">
        <v>7496</v>
      </c>
      <c r="B9780" s="3" t="str">
        <f t="shared" si="1"/>
        <v>Unavailable</v>
      </c>
      <c r="C9780" s="3">
        <v>229.0</v>
      </c>
      <c r="D9780" s="3">
        <f>IFERROR(__xludf.DUMMYFUNCTION("IFERROR(
IF(REGEXMATCH(LOWER(O9780),""k""),
VALUE(REGEXEXTRACT(O9780,""[0-9]+""))*1000,
VALUE(REGEXEXTRACT(O9780,""[0-9]+""))
),
0
)"),0.0)</f>
        <v>0</v>
      </c>
      <c r="E9780" s="1" t="s">
        <v>11</v>
      </c>
      <c r="F9780" s="1" t="s">
        <v>20</v>
      </c>
      <c r="G9780" s="4" t="b">
        <f t="shared" si="2"/>
        <v>1</v>
      </c>
      <c r="H9780" s="1" t="str">
        <f t="shared" si="3"/>
        <v>Currently Unavailable</v>
      </c>
      <c r="I9780" s="1" t="str">
        <f t="shared" si="4"/>
        <v>No Badges</v>
      </c>
      <c r="J9780" s="3">
        <f t="shared" si="5"/>
        <v>0</v>
      </c>
    </row>
    <row r="9781">
      <c r="A9781" s="1" t="s">
        <v>7497</v>
      </c>
      <c r="B9781" s="3" t="str">
        <f t="shared" si="1"/>
        <v>Unavailable</v>
      </c>
      <c r="C9781" s="5">
        <v>13705.0</v>
      </c>
      <c r="D9781" s="3">
        <f>IFERROR(__xludf.DUMMYFUNCTION("IFERROR(
IF(REGEXMATCH(LOWER(O9781),""k""),
VALUE(REGEXEXTRACT(O9781,""[0-9]+""))*1000,
VALUE(REGEXEXTRACT(O9781,""[0-9]+""))
),
0
)"),0.0)</f>
        <v>0</v>
      </c>
      <c r="E9781" s="1" t="s">
        <v>11</v>
      </c>
      <c r="F9781" s="1" t="s">
        <v>20</v>
      </c>
      <c r="G9781" s="4" t="b">
        <f t="shared" si="2"/>
        <v>1</v>
      </c>
      <c r="H9781" s="1" t="str">
        <f t="shared" si="3"/>
        <v>Currently Unavailable</v>
      </c>
      <c r="I9781" s="1" t="str">
        <f t="shared" si="4"/>
        <v>No Badges</v>
      </c>
      <c r="J9781" s="3">
        <f t="shared" si="5"/>
        <v>0</v>
      </c>
    </row>
    <row r="9782">
      <c r="A9782" s="1" t="s">
        <v>6969</v>
      </c>
      <c r="B9782" s="3" t="str">
        <f t="shared" si="1"/>
        <v>Unavailable</v>
      </c>
      <c r="C9782" s="3">
        <v>17.0</v>
      </c>
      <c r="D9782" s="3">
        <f>IFERROR(__xludf.DUMMYFUNCTION("IFERROR(
IF(REGEXMATCH(LOWER(O9782),""k""),
VALUE(REGEXEXTRACT(O9782,""[0-9]+""))*1000,
VALUE(REGEXEXTRACT(O9782,""[0-9]+""))
),
0
)"),0.0)</f>
        <v>0</v>
      </c>
      <c r="E9782" s="1" t="s">
        <v>11</v>
      </c>
      <c r="F9782" s="1" t="s">
        <v>20</v>
      </c>
      <c r="G9782" s="4" t="b">
        <f t="shared" si="2"/>
        <v>1</v>
      </c>
      <c r="H9782" s="1" t="str">
        <f t="shared" si="3"/>
        <v>Currently Unavailable</v>
      </c>
      <c r="I9782" s="1" t="str">
        <f t="shared" si="4"/>
        <v>No Badges</v>
      </c>
      <c r="J9782" s="6">
        <f t="shared" si="5"/>
        <v>0</v>
      </c>
    </row>
    <row r="9783">
      <c r="A9783" s="1" t="s">
        <v>7498</v>
      </c>
      <c r="B9783" s="3" t="str">
        <f t="shared" si="1"/>
        <v>Unavailable</v>
      </c>
      <c r="C9783" s="5">
        <v>2567.0</v>
      </c>
      <c r="D9783" s="3">
        <f>IFERROR(__xludf.DUMMYFUNCTION("IFERROR(
IF(REGEXMATCH(LOWER(O9783),""k""),
VALUE(REGEXEXTRACT(O9783,""[0-9]+""))*1000,
VALUE(REGEXEXTRACT(O9783,""[0-9]+""))
),
0
)"),0.0)</f>
        <v>0</v>
      </c>
      <c r="E9783" s="1" t="s">
        <v>11</v>
      </c>
      <c r="F9783" s="1" t="s">
        <v>20</v>
      </c>
      <c r="G9783" s="4" t="b">
        <f t="shared" si="2"/>
        <v>1</v>
      </c>
      <c r="H9783" s="1" t="str">
        <f t="shared" si="3"/>
        <v>Currently Unavailable</v>
      </c>
      <c r="I9783" s="1" t="str">
        <f t="shared" si="4"/>
        <v>No Badges</v>
      </c>
      <c r="J9783" s="3">
        <f t="shared" si="5"/>
        <v>0</v>
      </c>
    </row>
    <row r="9784">
      <c r="A9784" s="1" t="s">
        <v>7499</v>
      </c>
      <c r="B9784" s="3" t="str">
        <f t="shared" si="1"/>
        <v>Unavailable</v>
      </c>
      <c r="C9784" s="3">
        <v>117.0</v>
      </c>
      <c r="D9784" s="3">
        <f>IFERROR(__xludf.DUMMYFUNCTION("IFERROR(
IF(REGEXMATCH(LOWER(O9784),""k""),
VALUE(REGEXEXTRACT(O9784,""[0-9]+""))*1000,
VALUE(REGEXEXTRACT(O9784,""[0-9]+""))
),
0
)"),0.0)</f>
        <v>0</v>
      </c>
      <c r="E9784" s="1" t="s">
        <v>11</v>
      </c>
      <c r="F9784" s="1" t="s">
        <v>20</v>
      </c>
      <c r="G9784" s="4" t="b">
        <f t="shared" si="2"/>
        <v>1</v>
      </c>
      <c r="H9784" s="1" t="str">
        <f t="shared" si="3"/>
        <v>Currently Unavailable</v>
      </c>
      <c r="I9784" s="1" t="str">
        <f t="shared" si="4"/>
        <v>No Badges</v>
      </c>
      <c r="J9784" s="3">
        <f t="shared" si="5"/>
        <v>0</v>
      </c>
    </row>
    <row r="9785">
      <c r="A9785" s="1" t="s">
        <v>7500</v>
      </c>
      <c r="B9785" s="3" t="str">
        <f t="shared" si="1"/>
        <v>Unavailable</v>
      </c>
      <c r="C9785" s="3">
        <v>135.0</v>
      </c>
      <c r="D9785" s="3">
        <f>IFERROR(__xludf.DUMMYFUNCTION("IFERROR(
IF(REGEXMATCH(LOWER(O9785),""k""),
VALUE(REGEXEXTRACT(O9785,""[0-9]+""))*1000,
VALUE(REGEXEXTRACT(O9785,""[0-9]+""))
),
0
)"),0.0)</f>
        <v>0</v>
      </c>
      <c r="E9785" s="1" t="s">
        <v>11</v>
      </c>
      <c r="F9785" s="1" t="s">
        <v>20</v>
      </c>
      <c r="G9785" s="4" t="b">
        <f t="shared" si="2"/>
        <v>1</v>
      </c>
      <c r="H9785" s="1" t="str">
        <f t="shared" si="3"/>
        <v>Currently Unavailable</v>
      </c>
      <c r="I9785" s="1" t="str">
        <f t="shared" si="4"/>
        <v>No Badges</v>
      </c>
      <c r="J9785" s="3">
        <f t="shared" si="5"/>
        <v>0</v>
      </c>
    </row>
    <row r="9786">
      <c r="A9786" s="1" t="s">
        <v>7501</v>
      </c>
      <c r="B9786" s="3" t="str">
        <f t="shared" si="1"/>
        <v>Unavailable</v>
      </c>
      <c r="C9786" s="3">
        <v>656.0</v>
      </c>
      <c r="D9786" s="3">
        <f>IFERROR(__xludf.DUMMYFUNCTION("IFERROR(
IF(REGEXMATCH(LOWER(O9786),""k""),
VALUE(REGEXEXTRACT(O9786,""[0-9]+""))*1000,
VALUE(REGEXEXTRACT(O9786,""[0-9]+""))
),
0
)"),0.0)</f>
        <v>0</v>
      </c>
      <c r="E9786" s="1" t="s">
        <v>11</v>
      </c>
      <c r="F9786" s="1" t="s">
        <v>20</v>
      </c>
      <c r="G9786" s="4" t="b">
        <f t="shared" si="2"/>
        <v>1</v>
      </c>
      <c r="H9786" s="1" t="str">
        <f t="shared" si="3"/>
        <v>Currently Unavailable</v>
      </c>
      <c r="I9786" s="1" t="str">
        <f t="shared" si="4"/>
        <v>No Badges</v>
      </c>
      <c r="J9786" s="3">
        <f t="shared" si="5"/>
        <v>0</v>
      </c>
    </row>
    <row r="9787">
      <c r="A9787" s="1" t="s">
        <v>7502</v>
      </c>
      <c r="B9787" s="3" t="str">
        <f t="shared" si="1"/>
        <v>Unavailable</v>
      </c>
      <c r="C9787" s="3">
        <v>266.0</v>
      </c>
      <c r="D9787" s="3">
        <f>IFERROR(__xludf.DUMMYFUNCTION("IFERROR(
IF(REGEXMATCH(LOWER(O9787),""k""),
VALUE(REGEXEXTRACT(O9787,""[0-9]+""))*1000,
VALUE(REGEXEXTRACT(O9787,""[0-9]+""))
),
0
)"),0.0)</f>
        <v>0</v>
      </c>
      <c r="E9787" s="1" t="s">
        <v>11</v>
      </c>
      <c r="F9787" s="1" t="s">
        <v>20</v>
      </c>
      <c r="G9787" s="4" t="b">
        <f t="shared" si="2"/>
        <v>1</v>
      </c>
      <c r="H9787" s="1" t="str">
        <f t="shared" si="3"/>
        <v>Currently Unavailable</v>
      </c>
      <c r="I9787" s="1" t="str">
        <f t="shared" si="4"/>
        <v>No Badges</v>
      </c>
      <c r="J9787" s="3">
        <f t="shared" si="5"/>
        <v>0</v>
      </c>
    </row>
    <row r="9788">
      <c r="A9788" s="1" t="s">
        <v>7503</v>
      </c>
      <c r="B9788" s="3" t="str">
        <f t="shared" si="1"/>
        <v>Unavailable</v>
      </c>
      <c r="C9788" s="5">
        <v>1299.0</v>
      </c>
      <c r="D9788" s="3">
        <f>IFERROR(__xludf.DUMMYFUNCTION("IFERROR(
IF(REGEXMATCH(LOWER(O9788),""k""),
VALUE(REGEXEXTRACT(O9788,""[0-9]+""))*1000,
VALUE(REGEXEXTRACT(O9788,""[0-9]+""))
),
0
)"),0.0)</f>
        <v>0</v>
      </c>
      <c r="E9788" s="1" t="s">
        <v>11</v>
      </c>
      <c r="F9788" s="1" t="s">
        <v>20</v>
      </c>
      <c r="G9788" s="4" t="b">
        <f t="shared" si="2"/>
        <v>1</v>
      </c>
      <c r="H9788" s="1" t="str">
        <f t="shared" si="3"/>
        <v>Currently Unavailable</v>
      </c>
      <c r="I9788" s="1" t="str">
        <f t="shared" si="4"/>
        <v>No Badges</v>
      </c>
      <c r="J9788" s="3">
        <f t="shared" si="5"/>
        <v>0</v>
      </c>
    </row>
    <row r="9789">
      <c r="A9789" s="1" t="s">
        <v>7504</v>
      </c>
      <c r="B9789" s="3" t="str">
        <f t="shared" si="1"/>
        <v>Unavailable</v>
      </c>
      <c r="C9789" s="3">
        <v>294.0</v>
      </c>
      <c r="D9789" s="3">
        <f>IFERROR(__xludf.DUMMYFUNCTION("IFERROR(
IF(REGEXMATCH(LOWER(O9789),""k""),
VALUE(REGEXEXTRACT(O9789,""[0-9]+""))*1000,
VALUE(REGEXEXTRACT(O9789,""[0-9]+""))
),
0
)"),0.0)</f>
        <v>0</v>
      </c>
      <c r="E9789" s="1" t="s">
        <v>11</v>
      </c>
      <c r="F9789" s="1" t="s">
        <v>20</v>
      </c>
      <c r="G9789" s="4" t="b">
        <f t="shared" si="2"/>
        <v>1</v>
      </c>
      <c r="H9789" s="1" t="str">
        <f t="shared" si="3"/>
        <v>Currently Unavailable</v>
      </c>
      <c r="I9789" s="1" t="str">
        <f t="shared" si="4"/>
        <v>No Badges</v>
      </c>
      <c r="J9789" s="3">
        <f t="shared" si="5"/>
        <v>0</v>
      </c>
    </row>
    <row r="9790">
      <c r="A9790" s="1" t="s">
        <v>7505</v>
      </c>
      <c r="B9790" s="3" t="str">
        <f t="shared" si="1"/>
        <v>Unavailable</v>
      </c>
      <c r="C9790" s="5">
        <v>9921.0</v>
      </c>
      <c r="D9790" s="3">
        <f>IFERROR(__xludf.DUMMYFUNCTION("IFERROR(
IF(REGEXMATCH(LOWER(O9790),""k""),
VALUE(REGEXEXTRACT(O9790,""[0-9]+""))*1000,
VALUE(REGEXEXTRACT(O9790,""[0-9]+""))
),
0
)"),0.0)</f>
        <v>0</v>
      </c>
      <c r="E9790" s="1" t="s">
        <v>11</v>
      </c>
      <c r="F9790" s="1" t="s">
        <v>20</v>
      </c>
      <c r="G9790" s="4" t="b">
        <f t="shared" si="2"/>
        <v>1</v>
      </c>
      <c r="H9790" s="1" t="str">
        <f t="shared" si="3"/>
        <v>Currently Unavailable</v>
      </c>
      <c r="I9790" s="1" t="str">
        <f t="shared" si="4"/>
        <v>No Badges</v>
      </c>
      <c r="J9790" s="3">
        <f t="shared" si="5"/>
        <v>0</v>
      </c>
    </row>
    <row r="9791">
      <c r="A9791" s="1" t="s">
        <v>6976</v>
      </c>
      <c r="B9791" s="3" t="str">
        <f t="shared" si="1"/>
        <v>Unavailable</v>
      </c>
      <c r="C9791" s="3">
        <v>66.0</v>
      </c>
      <c r="D9791" s="3">
        <f>IFERROR(__xludf.DUMMYFUNCTION("IFERROR(
IF(REGEXMATCH(LOWER(O9791),""k""),
VALUE(REGEXEXTRACT(O9791,""[0-9]+""))*1000,
VALUE(REGEXEXTRACT(O9791,""[0-9]+""))
),
0
)"),0.0)</f>
        <v>0</v>
      </c>
      <c r="E9791" s="1" t="s">
        <v>11</v>
      </c>
      <c r="F9791" s="1" t="s">
        <v>20</v>
      </c>
      <c r="G9791" s="4" t="b">
        <f t="shared" si="2"/>
        <v>1</v>
      </c>
      <c r="H9791" s="1" t="str">
        <f t="shared" si="3"/>
        <v>Currently Unavailable</v>
      </c>
      <c r="I9791" s="1" t="str">
        <f t="shared" si="4"/>
        <v>No Badges</v>
      </c>
      <c r="J9791" s="3">
        <f t="shared" si="5"/>
        <v>0</v>
      </c>
    </row>
    <row r="9792">
      <c r="A9792" s="1" t="s">
        <v>7506</v>
      </c>
      <c r="B9792" s="3" t="str">
        <f t="shared" si="1"/>
        <v>Unavailable</v>
      </c>
      <c r="C9792" s="3">
        <v>172.0</v>
      </c>
      <c r="D9792" s="3">
        <f>IFERROR(__xludf.DUMMYFUNCTION("IFERROR(
IF(REGEXMATCH(LOWER(O9792),""k""),
VALUE(REGEXEXTRACT(O9792,""[0-9]+""))*1000,
VALUE(REGEXEXTRACT(O9792,""[0-9]+""))
),
0
)"),0.0)</f>
        <v>0</v>
      </c>
      <c r="E9792" s="1" t="s">
        <v>11</v>
      </c>
      <c r="F9792" s="1" t="s">
        <v>20</v>
      </c>
      <c r="G9792" s="4" t="b">
        <f t="shared" si="2"/>
        <v>1</v>
      </c>
      <c r="H9792" s="1" t="str">
        <f t="shared" si="3"/>
        <v>Currently Unavailable</v>
      </c>
      <c r="I9792" s="1" t="str">
        <f t="shared" si="4"/>
        <v>No Badges</v>
      </c>
      <c r="J9792" s="3">
        <f t="shared" si="5"/>
        <v>0</v>
      </c>
    </row>
    <row r="9793">
      <c r="A9793" s="1" t="s">
        <v>7507</v>
      </c>
      <c r="B9793" s="3" t="str">
        <f t="shared" si="1"/>
        <v>Unavailable</v>
      </c>
      <c r="C9793" s="5">
        <v>2812.0</v>
      </c>
      <c r="D9793" s="3">
        <f>IFERROR(__xludf.DUMMYFUNCTION("IFERROR(
IF(REGEXMATCH(LOWER(O9793),""k""),
VALUE(REGEXEXTRACT(O9793,""[0-9]+""))*1000,
VALUE(REGEXEXTRACT(O9793,""[0-9]+""))
),
0
)"),0.0)</f>
        <v>0</v>
      </c>
      <c r="E9793" s="1" t="s">
        <v>11</v>
      </c>
      <c r="F9793" s="1" t="s">
        <v>20</v>
      </c>
      <c r="G9793" s="4" t="b">
        <f t="shared" si="2"/>
        <v>1</v>
      </c>
      <c r="H9793" s="1" t="str">
        <f t="shared" si="3"/>
        <v>Currently Unavailable</v>
      </c>
      <c r="I9793" s="1" t="str">
        <f t="shared" si="4"/>
        <v>No Badges</v>
      </c>
      <c r="J9793" s="3">
        <f t="shared" si="5"/>
        <v>0</v>
      </c>
    </row>
    <row r="9794">
      <c r="A9794" s="1" t="s">
        <v>7508</v>
      </c>
      <c r="B9794" s="3" t="str">
        <f t="shared" si="1"/>
        <v>Unavailable</v>
      </c>
      <c r="C9794" s="5">
        <v>6885.0</v>
      </c>
      <c r="D9794" s="3">
        <f>IFERROR(__xludf.DUMMYFUNCTION("IFERROR(
IF(REGEXMATCH(LOWER(O9794),""k""),
VALUE(REGEXEXTRACT(O9794,""[0-9]+""))*1000,
VALUE(REGEXEXTRACT(O9794,""[0-9]+""))
),
0
)"),0.0)</f>
        <v>0</v>
      </c>
      <c r="E9794" s="1" t="s">
        <v>11</v>
      </c>
      <c r="F9794" s="1" t="s">
        <v>20</v>
      </c>
      <c r="G9794" s="4" t="b">
        <f t="shared" si="2"/>
        <v>1</v>
      </c>
      <c r="H9794" s="1" t="str">
        <f t="shared" si="3"/>
        <v>Currently Unavailable</v>
      </c>
      <c r="I9794" s="1" t="str">
        <f t="shared" si="4"/>
        <v>No Badges</v>
      </c>
      <c r="J9794" s="3">
        <f t="shared" si="5"/>
        <v>0</v>
      </c>
    </row>
    <row r="9795">
      <c r="A9795" s="1" t="s">
        <v>7509</v>
      </c>
      <c r="B9795" s="3" t="str">
        <f t="shared" si="1"/>
        <v>Unavailable</v>
      </c>
      <c r="C9795" s="5">
        <v>7103.0</v>
      </c>
      <c r="D9795" s="3">
        <f>IFERROR(__xludf.DUMMYFUNCTION("IFERROR(
IF(REGEXMATCH(LOWER(O9795),""k""),
VALUE(REGEXEXTRACT(O9795,""[0-9]+""))*1000,
VALUE(REGEXEXTRACT(O9795,""[0-9]+""))
),
0
)"),0.0)</f>
        <v>0</v>
      </c>
      <c r="E9795" s="1" t="s">
        <v>11</v>
      </c>
      <c r="F9795" s="1" t="s">
        <v>20</v>
      </c>
      <c r="G9795" s="4" t="b">
        <f t="shared" si="2"/>
        <v>1</v>
      </c>
      <c r="H9795" s="1" t="str">
        <f t="shared" si="3"/>
        <v>Currently Unavailable</v>
      </c>
      <c r="I9795" s="1" t="str">
        <f t="shared" si="4"/>
        <v>No Badges</v>
      </c>
      <c r="J9795" s="3">
        <f t="shared" si="5"/>
        <v>0</v>
      </c>
    </row>
    <row r="9796">
      <c r="A9796" s="1" t="s">
        <v>7510</v>
      </c>
      <c r="B9796" s="3" t="str">
        <f t="shared" si="1"/>
        <v>Unavailable</v>
      </c>
      <c r="C9796" s="3">
        <v>233.0</v>
      </c>
      <c r="D9796" s="3">
        <f>IFERROR(__xludf.DUMMYFUNCTION("IFERROR(
IF(REGEXMATCH(LOWER(O9796),""k""),
VALUE(REGEXEXTRACT(O9796,""[0-9]+""))*1000,
VALUE(REGEXEXTRACT(O9796,""[0-9]+""))
),
0
)"),0.0)</f>
        <v>0</v>
      </c>
      <c r="E9796" s="1" t="s">
        <v>11</v>
      </c>
      <c r="F9796" s="1" t="s">
        <v>20</v>
      </c>
      <c r="G9796" s="4" t="b">
        <f t="shared" si="2"/>
        <v>1</v>
      </c>
      <c r="H9796" s="1" t="str">
        <f t="shared" si="3"/>
        <v>Currently Unavailable</v>
      </c>
      <c r="I9796" s="1" t="str">
        <f t="shared" si="4"/>
        <v>No Badges</v>
      </c>
      <c r="J9796" s="3">
        <f t="shared" si="5"/>
        <v>0</v>
      </c>
    </row>
    <row r="9797">
      <c r="A9797" s="1" t="s">
        <v>7511</v>
      </c>
      <c r="B9797" s="3" t="str">
        <f t="shared" si="1"/>
        <v>Unavailable</v>
      </c>
      <c r="C9797" s="5">
        <v>4806.0</v>
      </c>
      <c r="D9797" s="3">
        <f>IFERROR(__xludf.DUMMYFUNCTION("IFERROR(
IF(REGEXMATCH(LOWER(O9797),""k""),
VALUE(REGEXEXTRACT(O9797,""[0-9]+""))*1000,
VALUE(REGEXEXTRACT(O9797,""[0-9]+""))
),
0
)"),0.0)</f>
        <v>0</v>
      </c>
      <c r="E9797" s="1" t="s">
        <v>11</v>
      </c>
      <c r="F9797" s="1" t="s">
        <v>20</v>
      </c>
      <c r="G9797" s="4" t="b">
        <f t="shared" si="2"/>
        <v>1</v>
      </c>
      <c r="H9797" s="1" t="str">
        <f t="shared" si="3"/>
        <v>Currently Unavailable</v>
      </c>
      <c r="I9797" s="1" t="str">
        <f t="shared" si="4"/>
        <v>No Badges</v>
      </c>
      <c r="J9797" s="3">
        <f t="shared" si="5"/>
        <v>0</v>
      </c>
    </row>
    <row r="9798">
      <c r="A9798" s="1" t="s">
        <v>7512</v>
      </c>
      <c r="B9798" s="3" t="str">
        <f t="shared" si="1"/>
        <v>Unavailable</v>
      </c>
      <c r="C9798" s="5">
        <v>2917.0</v>
      </c>
      <c r="D9798" s="3">
        <f>IFERROR(__xludf.DUMMYFUNCTION("IFERROR(
IF(REGEXMATCH(LOWER(O9798),""k""),
VALUE(REGEXEXTRACT(O9798,""[0-9]+""))*1000,
VALUE(REGEXEXTRACT(O9798,""[0-9]+""))
),
0
)"),0.0)</f>
        <v>0</v>
      </c>
      <c r="E9798" s="1" t="s">
        <v>11</v>
      </c>
      <c r="F9798" s="1" t="s">
        <v>20</v>
      </c>
      <c r="G9798" s="4" t="b">
        <f t="shared" si="2"/>
        <v>1</v>
      </c>
      <c r="H9798" s="1" t="str">
        <f t="shared" si="3"/>
        <v>Currently Unavailable</v>
      </c>
      <c r="I9798" s="1" t="str">
        <f t="shared" si="4"/>
        <v>No Badges</v>
      </c>
      <c r="J9798" s="3">
        <f t="shared" si="5"/>
        <v>0</v>
      </c>
    </row>
    <row r="9799">
      <c r="A9799" s="1" t="s">
        <v>7513</v>
      </c>
      <c r="B9799" s="3" t="str">
        <f t="shared" si="1"/>
        <v>Unavailable</v>
      </c>
      <c r="C9799" s="3">
        <v>28.0</v>
      </c>
      <c r="D9799" s="3">
        <f>IFERROR(__xludf.DUMMYFUNCTION("IFERROR(
IF(REGEXMATCH(LOWER(O9799),""k""),
VALUE(REGEXEXTRACT(O9799,""[0-9]+""))*1000,
VALUE(REGEXEXTRACT(O9799,""[0-9]+""))
),
0
)"),0.0)</f>
        <v>0</v>
      </c>
      <c r="E9799" s="1" t="s">
        <v>11</v>
      </c>
      <c r="F9799" s="1" t="s">
        <v>20</v>
      </c>
      <c r="G9799" s="4" t="b">
        <f t="shared" si="2"/>
        <v>1</v>
      </c>
      <c r="H9799" s="1" t="str">
        <f t="shared" si="3"/>
        <v>Currently Unavailable</v>
      </c>
      <c r="I9799" s="1" t="str">
        <f t="shared" si="4"/>
        <v>No Badges</v>
      </c>
      <c r="J9799" s="3">
        <f t="shared" si="5"/>
        <v>0</v>
      </c>
    </row>
    <row r="9800">
      <c r="A9800" s="1" t="s">
        <v>7514</v>
      </c>
      <c r="B9800" s="3" t="str">
        <f t="shared" si="1"/>
        <v>Unavailable</v>
      </c>
      <c r="C9800" s="5">
        <v>12468.0</v>
      </c>
      <c r="D9800" s="3">
        <f>IFERROR(__xludf.DUMMYFUNCTION("IFERROR(
IF(REGEXMATCH(LOWER(O9800),""k""),
VALUE(REGEXEXTRACT(O9800,""[0-9]+""))*1000,
VALUE(REGEXEXTRACT(O9800,""[0-9]+""))
),
0
)"),0.0)</f>
        <v>0</v>
      </c>
      <c r="E9800" s="1" t="s">
        <v>11</v>
      </c>
      <c r="F9800" s="1" t="s">
        <v>20</v>
      </c>
      <c r="G9800" s="4" t="b">
        <f t="shared" si="2"/>
        <v>1</v>
      </c>
      <c r="H9800" s="1" t="str">
        <f t="shared" si="3"/>
        <v>Currently Unavailable</v>
      </c>
      <c r="I9800" s="1" t="str">
        <f t="shared" si="4"/>
        <v>No Badges</v>
      </c>
      <c r="J9800" s="3">
        <f t="shared" si="5"/>
        <v>0</v>
      </c>
    </row>
    <row r="9801">
      <c r="A9801" s="1" t="s">
        <v>7515</v>
      </c>
      <c r="B9801" s="3" t="str">
        <f t="shared" si="1"/>
        <v>Unavailable</v>
      </c>
      <c r="C9801" s="5">
        <v>1630.0</v>
      </c>
      <c r="D9801" s="3">
        <f>IFERROR(__xludf.DUMMYFUNCTION("IFERROR(
IF(REGEXMATCH(LOWER(O9801),""k""),
VALUE(REGEXEXTRACT(O9801,""[0-9]+""))*1000,
VALUE(REGEXEXTRACT(O9801,""[0-9]+""))
),
0
)"),0.0)</f>
        <v>0</v>
      </c>
      <c r="E9801" s="1" t="s">
        <v>11</v>
      </c>
      <c r="F9801" s="1" t="s">
        <v>20</v>
      </c>
      <c r="G9801" s="4" t="b">
        <f t="shared" si="2"/>
        <v>1</v>
      </c>
      <c r="H9801" s="1" t="str">
        <f t="shared" si="3"/>
        <v>Currently Unavailable</v>
      </c>
      <c r="I9801" s="1" t="str">
        <f t="shared" si="4"/>
        <v>No Badges</v>
      </c>
      <c r="J9801" s="3">
        <f t="shared" si="5"/>
        <v>0</v>
      </c>
    </row>
    <row r="9802">
      <c r="A9802" s="1" t="s">
        <v>7516</v>
      </c>
      <c r="B9802" s="3" t="str">
        <f t="shared" si="1"/>
        <v>Unavailable</v>
      </c>
      <c r="C9802" s="5">
        <v>7136.0</v>
      </c>
      <c r="D9802" s="3">
        <f>IFERROR(__xludf.DUMMYFUNCTION("IFERROR(
IF(REGEXMATCH(LOWER(O9802),""k""),
VALUE(REGEXEXTRACT(O9802,""[0-9]+""))*1000,
VALUE(REGEXEXTRACT(O9802,""[0-9]+""))
),
0
)"),0.0)</f>
        <v>0</v>
      </c>
      <c r="E9802" s="1" t="s">
        <v>11</v>
      </c>
      <c r="F9802" s="1" t="s">
        <v>20</v>
      </c>
      <c r="G9802" s="4" t="b">
        <f t="shared" si="2"/>
        <v>1</v>
      </c>
      <c r="H9802" s="1" t="str">
        <f t="shared" si="3"/>
        <v>Currently Unavailable</v>
      </c>
      <c r="I9802" s="1" t="str">
        <f t="shared" si="4"/>
        <v>No Badges</v>
      </c>
      <c r="J9802" s="3">
        <f t="shared" si="5"/>
        <v>0</v>
      </c>
    </row>
    <row r="9803">
      <c r="A9803" s="1" t="s">
        <v>7517</v>
      </c>
      <c r="B9803" s="3" t="str">
        <f t="shared" si="1"/>
        <v>Unavailable</v>
      </c>
      <c r="C9803" s="3">
        <v>559.0</v>
      </c>
      <c r="D9803" s="3">
        <f>IFERROR(__xludf.DUMMYFUNCTION("IFERROR(
IF(REGEXMATCH(LOWER(O9803),""k""),
VALUE(REGEXEXTRACT(O9803,""[0-9]+""))*1000,
VALUE(REGEXEXTRACT(O9803,""[0-9]+""))
),
0
)"),0.0)</f>
        <v>0</v>
      </c>
      <c r="E9803" s="1" t="s">
        <v>11</v>
      </c>
      <c r="F9803" s="1" t="s">
        <v>20</v>
      </c>
      <c r="G9803" s="4" t="b">
        <f t="shared" si="2"/>
        <v>1</v>
      </c>
      <c r="H9803" s="1" t="str">
        <f t="shared" si="3"/>
        <v>Currently Unavailable</v>
      </c>
      <c r="I9803" s="1" t="str">
        <f t="shared" si="4"/>
        <v>No Badges</v>
      </c>
      <c r="J9803" s="3">
        <f t="shared" si="5"/>
        <v>0</v>
      </c>
    </row>
    <row r="9804">
      <c r="A9804" s="1" t="s">
        <v>7518</v>
      </c>
      <c r="B9804" s="3" t="str">
        <f t="shared" si="1"/>
        <v>Unavailable</v>
      </c>
      <c r="C9804" s="3">
        <v>912.0</v>
      </c>
      <c r="D9804" s="3">
        <f>IFERROR(__xludf.DUMMYFUNCTION("IFERROR(
IF(REGEXMATCH(LOWER(O9804),""k""),
VALUE(REGEXEXTRACT(O9804,""[0-9]+""))*1000,
VALUE(REGEXEXTRACT(O9804,""[0-9]+""))
),
0
)"),0.0)</f>
        <v>0</v>
      </c>
      <c r="E9804" s="1" t="s">
        <v>11</v>
      </c>
      <c r="F9804" s="1" t="s">
        <v>20</v>
      </c>
      <c r="G9804" s="4" t="b">
        <f t="shared" si="2"/>
        <v>1</v>
      </c>
      <c r="H9804" s="1" t="str">
        <f t="shared" si="3"/>
        <v>Currently Unavailable</v>
      </c>
      <c r="I9804" s="1" t="str">
        <f t="shared" si="4"/>
        <v>No Badges</v>
      </c>
      <c r="J9804" s="3">
        <f t="shared" si="5"/>
        <v>0</v>
      </c>
    </row>
    <row r="9805">
      <c r="A9805" s="1" t="s">
        <v>7519</v>
      </c>
      <c r="B9805" s="3" t="str">
        <f t="shared" si="1"/>
        <v>Unavailable</v>
      </c>
      <c r="C9805" s="5">
        <v>4010.0</v>
      </c>
      <c r="D9805" s="3">
        <f>IFERROR(__xludf.DUMMYFUNCTION("IFERROR(
IF(REGEXMATCH(LOWER(O9805),""k""),
VALUE(REGEXEXTRACT(O9805,""[0-9]+""))*1000,
VALUE(REGEXEXTRACT(O9805,""[0-9]+""))
),
0
)"),0.0)</f>
        <v>0</v>
      </c>
      <c r="E9805" s="1" t="s">
        <v>11</v>
      </c>
      <c r="F9805" s="1" t="s">
        <v>20</v>
      </c>
      <c r="G9805" s="4" t="b">
        <f t="shared" si="2"/>
        <v>1</v>
      </c>
      <c r="H9805" s="1" t="str">
        <f t="shared" si="3"/>
        <v>Currently Unavailable</v>
      </c>
      <c r="I9805" s="1" t="str">
        <f t="shared" si="4"/>
        <v>No Badges</v>
      </c>
      <c r="J9805" s="3">
        <f t="shared" si="5"/>
        <v>0</v>
      </c>
    </row>
    <row r="9806">
      <c r="A9806" s="1" t="s">
        <v>6982</v>
      </c>
      <c r="B9806" s="3" t="str">
        <f t="shared" si="1"/>
        <v>Unavailable</v>
      </c>
      <c r="C9806" s="5">
        <v>2606.0</v>
      </c>
      <c r="D9806" s="3">
        <f>IFERROR(__xludf.DUMMYFUNCTION("IFERROR(
IF(REGEXMATCH(LOWER(O9806),""k""),
VALUE(REGEXEXTRACT(O9806,""[0-9]+""))*1000,
VALUE(REGEXEXTRACT(O9806,""[0-9]+""))
),
0
)"),0.0)</f>
        <v>0</v>
      </c>
      <c r="E9806" s="1" t="s">
        <v>11</v>
      </c>
      <c r="F9806" s="1" t="s">
        <v>20</v>
      </c>
      <c r="G9806" s="4" t="b">
        <f t="shared" si="2"/>
        <v>1</v>
      </c>
      <c r="H9806" s="1" t="str">
        <f t="shared" si="3"/>
        <v>Currently Unavailable</v>
      </c>
      <c r="I9806" s="1" t="str">
        <f t="shared" si="4"/>
        <v>No Badges</v>
      </c>
      <c r="J9806" s="3">
        <f t="shared" si="5"/>
        <v>0</v>
      </c>
    </row>
    <row r="9807">
      <c r="A9807" s="1" t="s">
        <v>6983</v>
      </c>
      <c r="B9807" s="3" t="str">
        <f t="shared" si="1"/>
        <v>Unavailable</v>
      </c>
      <c r="C9807" s="3">
        <v>3.0</v>
      </c>
      <c r="D9807" s="3">
        <f>IFERROR(__xludf.DUMMYFUNCTION("IFERROR(
IF(REGEXMATCH(LOWER(O9807),""k""),
VALUE(REGEXEXTRACT(O9807,""[0-9]+""))*1000,
VALUE(REGEXEXTRACT(O9807,""[0-9]+""))
),
0
)"),0.0)</f>
        <v>0</v>
      </c>
      <c r="E9807" s="1" t="s">
        <v>11</v>
      </c>
      <c r="F9807" s="1" t="s">
        <v>20</v>
      </c>
      <c r="G9807" s="4" t="b">
        <f t="shared" si="2"/>
        <v>1</v>
      </c>
      <c r="H9807" s="1" t="str">
        <f t="shared" si="3"/>
        <v>Currently Unavailable</v>
      </c>
      <c r="I9807" s="1" t="str">
        <f t="shared" si="4"/>
        <v>No Badges</v>
      </c>
      <c r="J9807" s="6">
        <f t="shared" si="5"/>
        <v>0</v>
      </c>
    </row>
    <row r="9808">
      <c r="A9808" s="1" t="s">
        <v>7520</v>
      </c>
      <c r="B9808" s="3" t="str">
        <f t="shared" si="1"/>
        <v>Unavailable</v>
      </c>
      <c r="C9808" s="5">
        <v>1084.0</v>
      </c>
      <c r="D9808" s="3">
        <f>IFERROR(__xludf.DUMMYFUNCTION("IFERROR(
IF(REGEXMATCH(LOWER(O9808),""k""),
VALUE(REGEXEXTRACT(O9808,""[0-9]+""))*1000,
VALUE(REGEXEXTRACT(O9808,""[0-9]+""))
),
0
)"),0.0)</f>
        <v>0</v>
      </c>
      <c r="E9808" s="1" t="s">
        <v>11</v>
      </c>
      <c r="F9808" s="1" t="s">
        <v>20</v>
      </c>
      <c r="G9808" s="4" t="b">
        <f t="shared" si="2"/>
        <v>1</v>
      </c>
      <c r="H9808" s="1" t="str">
        <f t="shared" si="3"/>
        <v>Currently Unavailable</v>
      </c>
      <c r="I9808" s="1" t="str">
        <f t="shared" si="4"/>
        <v>No Badges</v>
      </c>
      <c r="J9808" s="3">
        <f t="shared" si="5"/>
        <v>0</v>
      </c>
    </row>
    <row r="9809">
      <c r="A9809" s="1" t="s">
        <v>7521</v>
      </c>
      <c r="B9809" s="3" t="str">
        <f t="shared" si="1"/>
        <v>Unavailable</v>
      </c>
      <c r="C9809" s="5">
        <v>3272.0</v>
      </c>
      <c r="D9809" s="3">
        <f>IFERROR(__xludf.DUMMYFUNCTION("IFERROR(
IF(REGEXMATCH(LOWER(O9809),""k""),
VALUE(REGEXEXTRACT(O9809,""[0-9]+""))*1000,
VALUE(REGEXEXTRACT(O9809,""[0-9]+""))
),
0
)"),0.0)</f>
        <v>0</v>
      </c>
      <c r="E9809" s="1" t="s">
        <v>11</v>
      </c>
      <c r="F9809" s="1" t="s">
        <v>20</v>
      </c>
      <c r="G9809" s="4" t="b">
        <f t="shared" si="2"/>
        <v>1</v>
      </c>
      <c r="H9809" s="1" t="str">
        <f t="shared" si="3"/>
        <v>Currently Unavailable</v>
      </c>
      <c r="I9809" s="1" t="str">
        <f t="shared" si="4"/>
        <v>No Badges</v>
      </c>
      <c r="J9809" s="3">
        <f t="shared" si="5"/>
        <v>0</v>
      </c>
    </row>
    <row r="9810">
      <c r="A9810" s="1" t="s">
        <v>7522</v>
      </c>
      <c r="B9810" s="3" t="str">
        <f t="shared" si="1"/>
        <v>Unavailable</v>
      </c>
      <c r="C9810" s="5">
        <v>4171.0</v>
      </c>
      <c r="D9810" s="3">
        <f>IFERROR(__xludf.DUMMYFUNCTION("IFERROR(
IF(REGEXMATCH(LOWER(O9810),""k""),
VALUE(REGEXEXTRACT(O9810,""[0-9]+""))*1000,
VALUE(REGEXEXTRACT(O9810,""[0-9]+""))
),
0
)"),0.0)</f>
        <v>0</v>
      </c>
      <c r="E9810" s="1" t="s">
        <v>11</v>
      </c>
      <c r="F9810" s="1" t="s">
        <v>20</v>
      </c>
      <c r="G9810" s="4" t="b">
        <f t="shared" si="2"/>
        <v>1</v>
      </c>
      <c r="H9810" s="1" t="str">
        <f t="shared" si="3"/>
        <v>Currently Unavailable</v>
      </c>
      <c r="I9810" s="1" t="str">
        <f t="shared" si="4"/>
        <v>No Badges</v>
      </c>
      <c r="J9810" s="3">
        <f t="shared" si="5"/>
        <v>0</v>
      </c>
    </row>
    <row r="9811">
      <c r="A9811" s="1" t="s">
        <v>7523</v>
      </c>
      <c r="B9811" s="3" t="str">
        <f t="shared" si="1"/>
        <v>Unavailable</v>
      </c>
      <c r="C9811" s="5">
        <v>1493.0</v>
      </c>
      <c r="D9811" s="3">
        <f>IFERROR(__xludf.DUMMYFUNCTION("IFERROR(
IF(REGEXMATCH(LOWER(O9811),""k""),
VALUE(REGEXEXTRACT(O9811,""[0-9]+""))*1000,
VALUE(REGEXEXTRACT(O9811,""[0-9]+""))
),
0
)"),0.0)</f>
        <v>0</v>
      </c>
      <c r="E9811" s="1" t="s">
        <v>11</v>
      </c>
      <c r="F9811" s="1" t="s">
        <v>20</v>
      </c>
      <c r="G9811" s="4" t="b">
        <f t="shared" si="2"/>
        <v>1</v>
      </c>
      <c r="H9811" s="1" t="str">
        <f t="shared" si="3"/>
        <v>Currently Unavailable</v>
      </c>
      <c r="I9811" s="1" t="str">
        <f t="shared" si="4"/>
        <v>No Badges</v>
      </c>
      <c r="J9811" s="3">
        <f t="shared" si="5"/>
        <v>0</v>
      </c>
    </row>
    <row r="9812">
      <c r="A9812" s="1" t="s">
        <v>7524</v>
      </c>
      <c r="B9812" s="3" t="str">
        <f t="shared" si="1"/>
        <v>Unavailable</v>
      </c>
      <c r="C9812" s="5">
        <v>2513.0</v>
      </c>
      <c r="D9812" s="3">
        <f>IFERROR(__xludf.DUMMYFUNCTION("IFERROR(
IF(REGEXMATCH(LOWER(O9812),""k""),
VALUE(REGEXEXTRACT(O9812,""[0-9]+""))*1000,
VALUE(REGEXEXTRACT(O9812,""[0-9]+""))
),
0
)"),0.0)</f>
        <v>0</v>
      </c>
      <c r="E9812" s="1" t="s">
        <v>11</v>
      </c>
      <c r="F9812" s="1" t="s">
        <v>20</v>
      </c>
      <c r="G9812" s="4" t="b">
        <f t="shared" si="2"/>
        <v>1</v>
      </c>
      <c r="H9812" s="1" t="str">
        <f t="shared" si="3"/>
        <v>Currently Unavailable</v>
      </c>
      <c r="I9812" s="1" t="str">
        <f t="shared" si="4"/>
        <v>No Badges</v>
      </c>
      <c r="J9812" s="3">
        <f t="shared" si="5"/>
        <v>0</v>
      </c>
    </row>
    <row r="9813">
      <c r="A9813" s="1" t="s">
        <v>7525</v>
      </c>
      <c r="B9813" s="3" t="str">
        <f t="shared" si="1"/>
        <v>Unavailable</v>
      </c>
      <c r="C9813" s="5">
        <v>4687.0</v>
      </c>
      <c r="D9813" s="3">
        <f>IFERROR(__xludf.DUMMYFUNCTION("IFERROR(
IF(REGEXMATCH(LOWER(O9813),""k""),
VALUE(REGEXEXTRACT(O9813,""[0-9]+""))*1000,
VALUE(REGEXEXTRACT(O9813,""[0-9]+""))
),
0
)"),0.0)</f>
        <v>0</v>
      </c>
      <c r="E9813" s="1" t="s">
        <v>11</v>
      </c>
      <c r="F9813" s="1" t="s">
        <v>20</v>
      </c>
      <c r="G9813" s="4" t="b">
        <f t="shared" si="2"/>
        <v>1</v>
      </c>
      <c r="H9813" s="1" t="str">
        <f t="shared" si="3"/>
        <v>Currently Unavailable</v>
      </c>
      <c r="I9813" s="1" t="str">
        <f t="shared" si="4"/>
        <v>No Badges</v>
      </c>
      <c r="J9813" s="3">
        <f t="shared" si="5"/>
        <v>0</v>
      </c>
    </row>
    <row r="9814">
      <c r="A9814" s="1" t="s">
        <v>6990</v>
      </c>
      <c r="B9814" s="3" t="str">
        <f t="shared" si="1"/>
        <v>Unavailable</v>
      </c>
      <c r="C9814" s="3">
        <v>44.0</v>
      </c>
      <c r="D9814" s="3">
        <f>IFERROR(__xludf.DUMMYFUNCTION("IFERROR(
IF(REGEXMATCH(LOWER(O9814),""k""),
VALUE(REGEXEXTRACT(O9814,""[0-9]+""))*1000,
VALUE(REGEXEXTRACT(O9814,""[0-9]+""))
),
0
)"),0.0)</f>
        <v>0</v>
      </c>
      <c r="E9814" s="1" t="s">
        <v>11</v>
      </c>
      <c r="F9814" s="1" t="s">
        <v>20</v>
      </c>
      <c r="G9814" s="4" t="b">
        <f t="shared" si="2"/>
        <v>1</v>
      </c>
      <c r="H9814" s="1" t="str">
        <f t="shared" si="3"/>
        <v>Currently Unavailable</v>
      </c>
      <c r="I9814" s="1" t="str">
        <f t="shared" si="4"/>
        <v>No Badges</v>
      </c>
      <c r="J9814" s="3">
        <f t="shared" si="5"/>
        <v>0</v>
      </c>
    </row>
    <row r="9815">
      <c r="A9815" s="1" t="s">
        <v>6991</v>
      </c>
      <c r="B9815" s="3" t="str">
        <f t="shared" si="1"/>
        <v>Unavailable</v>
      </c>
      <c r="C9815" s="3">
        <v>260.0</v>
      </c>
      <c r="D9815" s="3">
        <f>IFERROR(__xludf.DUMMYFUNCTION("IFERROR(
IF(REGEXMATCH(LOWER(O9815),""k""),
VALUE(REGEXEXTRACT(O9815,""[0-9]+""))*1000,
VALUE(REGEXEXTRACT(O9815,""[0-9]+""))
),
0
)"),0.0)</f>
        <v>0</v>
      </c>
      <c r="E9815" s="1" t="s">
        <v>11</v>
      </c>
      <c r="F9815" s="1" t="s">
        <v>20</v>
      </c>
      <c r="G9815" s="4" t="b">
        <f t="shared" si="2"/>
        <v>1</v>
      </c>
      <c r="H9815" s="1" t="str">
        <f t="shared" si="3"/>
        <v>Currently Unavailable</v>
      </c>
      <c r="I9815" s="1" t="str">
        <f t="shared" si="4"/>
        <v>No Badges</v>
      </c>
      <c r="J9815" s="3">
        <f t="shared" si="5"/>
        <v>0</v>
      </c>
    </row>
    <row r="9816">
      <c r="A9816" s="1" t="s">
        <v>7526</v>
      </c>
      <c r="B9816" s="3" t="str">
        <f t="shared" si="1"/>
        <v>Unavailable</v>
      </c>
      <c r="C9816" s="5">
        <v>9206.0</v>
      </c>
      <c r="D9816" s="3">
        <f>IFERROR(__xludf.DUMMYFUNCTION("IFERROR(
IF(REGEXMATCH(LOWER(O9816),""k""),
VALUE(REGEXEXTRACT(O9816,""[0-9]+""))*1000,
VALUE(REGEXEXTRACT(O9816,""[0-9]+""))
),
0
)"),0.0)</f>
        <v>0</v>
      </c>
      <c r="E9816" s="1" t="s">
        <v>11</v>
      </c>
      <c r="F9816" s="1" t="s">
        <v>20</v>
      </c>
      <c r="G9816" s="4" t="b">
        <f t="shared" si="2"/>
        <v>1</v>
      </c>
      <c r="H9816" s="1" t="str">
        <f t="shared" si="3"/>
        <v>Currently Unavailable</v>
      </c>
      <c r="I9816" s="1" t="str">
        <f t="shared" si="4"/>
        <v>No Badges</v>
      </c>
      <c r="J9816" s="3">
        <f t="shared" si="5"/>
        <v>0</v>
      </c>
    </row>
    <row r="9817">
      <c r="A9817" s="1" t="s">
        <v>7527</v>
      </c>
      <c r="B9817" s="3" t="str">
        <f t="shared" si="1"/>
        <v>Unavailable</v>
      </c>
      <c r="C9817" s="5">
        <v>18900.0</v>
      </c>
      <c r="D9817" s="3">
        <f>IFERROR(__xludf.DUMMYFUNCTION("IFERROR(
IF(REGEXMATCH(LOWER(O9817),""k""),
VALUE(REGEXEXTRACT(O9817,""[0-9]+""))*1000,
VALUE(REGEXEXTRACT(O9817,""[0-9]+""))
),
0
)"),0.0)</f>
        <v>0</v>
      </c>
      <c r="E9817" s="1" t="s">
        <v>11</v>
      </c>
      <c r="F9817" s="1" t="s">
        <v>20</v>
      </c>
      <c r="G9817" s="4" t="b">
        <f t="shared" si="2"/>
        <v>1</v>
      </c>
      <c r="H9817" s="1" t="str">
        <f t="shared" si="3"/>
        <v>Currently Unavailable</v>
      </c>
      <c r="I9817" s="1" t="str">
        <f t="shared" si="4"/>
        <v>No Badges</v>
      </c>
      <c r="J9817" s="3">
        <f t="shared" si="5"/>
        <v>0</v>
      </c>
    </row>
    <row r="9818">
      <c r="A9818" s="1" t="s">
        <v>6994</v>
      </c>
      <c r="B9818" s="3" t="str">
        <f t="shared" si="1"/>
        <v>Unavailable</v>
      </c>
      <c r="C9818" s="3">
        <v>12.0</v>
      </c>
      <c r="D9818" s="3">
        <f>IFERROR(__xludf.DUMMYFUNCTION("IFERROR(
IF(REGEXMATCH(LOWER(O9818),""k""),
VALUE(REGEXEXTRACT(O9818,""[0-9]+""))*1000,
VALUE(REGEXEXTRACT(O9818,""[0-9]+""))
),
0
)"),0.0)</f>
        <v>0</v>
      </c>
      <c r="E9818" s="1" t="s">
        <v>11</v>
      </c>
      <c r="F9818" s="1" t="s">
        <v>20</v>
      </c>
      <c r="G9818" s="4" t="b">
        <f t="shared" si="2"/>
        <v>1</v>
      </c>
      <c r="H9818" s="1" t="str">
        <f t="shared" si="3"/>
        <v>Currently Unavailable</v>
      </c>
      <c r="I9818" s="1" t="str">
        <f t="shared" si="4"/>
        <v>No Badges</v>
      </c>
      <c r="J9818" s="3">
        <f t="shared" si="5"/>
        <v>0</v>
      </c>
    </row>
    <row r="9819">
      <c r="A9819" s="1" t="s">
        <v>7528</v>
      </c>
      <c r="B9819" s="3" t="str">
        <f t="shared" si="1"/>
        <v>Unavailable</v>
      </c>
      <c r="C9819" s="5">
        <v>1950.0</v>
      </c>
      <c r="D9819" s="3">
        <f>IFERROR(__xludf.DUMMYFUNCTION("IFERROR(
IF(REGEXMATCH(LOWER(O9819),""k""),
VALUE(REGEXEXTRACT(O9819,""[0-9]+""))*1000,
VALUE(REGEXEXTRACT(O9819,""[0-9]+""))
),
0
)"),0.0)</f>
        <v>0</v>
      </c>
      <c r="E9819" s="1" t="s">
        <v>11</v>
      </c>
      <c r="F9819" s="1" t="s">
        <v>20</v>
      </c>
      <c r="G9819" s="4" t="b">
        <f t="shared" si="2"/>
        <v>1</v>
      </c>
      <c r="H9819" s="1" t="str">
        <f t="shared" si="3"/>
        <v>Currently Unavailable</v>
      </c>
      <c r="I9819" s="1" t="str">
        <f t="shared" si="4"/>
        <v>No Badges</v>
      </c>
      <c r="J9819" s="3">
        <f t="shared" si="5"/>
        <v>0</v>
      </c>
    </row>
    <row r="9820">
      <c r="A9820" s="1" t="s">
        <v>6995</v>
      </c>
      <c r="B9820" s="3" t="str">
        <f t="shared" si="1"/>
        <v>Unavailable</v>
      </c>
      <c r="C9820" s="3">
        <v>235.0</v>
      </c>
      <c r="D9820" s="3">
        <f>IFERROR(__xludf.DUMMYFUNCTION("IFERROR(
IF(REGEXMATCH(LOWER(O9820),""k""),
VALUE(REGEXEXTRACT(O9820,""[0-9]+""))*1000,
VALUE(REGEXEXTRACT(O9820,""[0-9]+""))
),
0
)"),0.0)</f>
        <v>0</v>
      </c>
      <c r="E9820" s="1" t="s">
        <v>11</v>
      </c>
      <c r="F9820" s="1" t="s">
        <v>20</v>
      </c>
      <c r="G9820" s="4" t="b">
        <f t="shared" si="2"/>
        <v>1</v>
      </c>
      <c r="H9820" s="1" t="str">
        <f t="shared" si="3"/>
        <v>Currently Unavailable</v>
      </c>
      <c r="I9820" s="1" t="str">
        <f t="shared" si="4"/>
        <v>No Badges</v>
      </c>
      <c r="J9820" s="3">
        <f t="shared" si="5"/>
        <v>0</v>
      </c>
    </row>
    <row r="9821">
      <c r="A9821" s="1" t="s">
        <v>7529</v>
      </c>
      <c r="B9821" s="3" t="str">
        <f t="shared" si="1"/>
        <v>Unavailable</v>
      </c>
      <c r="C9821" s="3">
        <v>1.0</v>
      </c>
      <c r="D9821" s="3">
        <f>IFERROR(__xludf.DUMMYFUNCTION("IFERROR(
IF(REGEXMATCH(LOWER(O9821),""k""),
VALUE(REGEXEXTRACT(O9821,""[0-9]+""))*1000,
VALUE(REGEXEXTRACT(O9821,""[0-9]+""))
),
0
)"),0.0)</f>
        <v>0</v>
      </c>
      <c r="E9821" s="1" t="s">
        <v>11</v>
      </c>
      <c r="F9821" s="1" t="s">
        <v>20</v>
      </c>
      <c r="G9821" s="4" t="b">
        <f t="shared" si="2"/>
        <v>1</v>
      </c>
      <c r="H9821" s="1" t="str">
        <f t="shared" si="3"/>
        <v>Currently Unavailable</v>
      </c>
      <c r="I9821" s="1" t="str">
        <f t="shared" si="4"/>
        <v>No Badges</v>
      </c>
      <c r="J9821" s="3">
        <f t="shared" si="5"/>
        <v>0</v>
      </c>
    </row>
    <row r="9822">
      <c r="A9822" s="1" t="s">
        <v>7530</v>
      </c>
      <c r="B9822" s="3" t="str">
        <f t="shared" si="1"/>
        <v>Unavailable</v>
      </c>
      <c r="C9822" s="5">
        <v>8738.0</v>
      </c>
      <c r="D9822" s="3">
        <f>IFERROR(__xludf.DUMMYFUNCTION("IFERROR(
IF(REGEXMATCH(LOWER(O9822),""k""),
VALUE(REGEXEXTRACT(O9822,""[0-9]+""))*1000,
VALUE(REGEXEXTRACT(O9822,""[0-9]+""))
),
0
)"),0.0)</f>
        <v>0</v>
      </c>
      <c r="E9822" s="1" t="s">
        <v>11</v>
      </c>
      <c r="F9822" s="1" t="s">
        <v>20</v>
      </c>
      <c r="G9822" s="4" t="b">
        <f t="shared" si="2"/>
        <v>1</v>
      </c>
      <c r="H9822" s="1" t="str">
        <f t="shared" si="3"/>
        <v>Currently Unavailable</v>
      </c>
      <c r="I9822" s="1" t="str">
        <f t="shared" si="4"/>
        <v>No Badges</v>
      </c>
      <c r="J9822" s="3">
        <f t="shared" si="5"/>
        <v>0</v>
      </c>
    </row>
    <row r="9823">
      <c r="A9823" s="1" t="s">
        <v>7531</v>
      </c>
      <c r="B9823" s="1" t="str">
        <f t="shared" si="1"/>
        <v>Unavailable</v>
      </c>
      <c r="C9823" s="1"/>
      <c r="D9823" s="3">
        <f>IFERROR(__xludf.DUMMYFUNCTION("IFERROR(
IF(REGEXMATCH(LOWER(O9823),""k""),
VALUE(REGEXEXTRACT(O9823,""[0-9]+""))*1000,
VALUE(REGEXEXTRACT(O9823,""[0-9]+""))
),
0
)"),0.0)</f>
        <v>0</v>
      </c>
      <c r="E9823" s="1" t="s">
        <v>11</v>
      </c>
      <c r="F9823" s="1" t="s">
        <v>20</v>
      </c>
      <c r="G9823" s="4" t="b">
        <f t="shared" si="2"/>
        <v>1</v>
      </c>
      <c r="H9823" s="1" t="str">
        <f t="shared" si="3"/>
        <v>Currently Unavailable</v>
      </c>
      <c r="I9823" s="1" t="str">
        <f t="shared" si="4"/>
        <v>No Badges</v>
      </c>
      <c r="J9823" s="3">
        <f t="shared" si="5"/>
        <v>0</v>
      </c>
    </row>
    <row r="9824">
      <c r="A9824" s="1" t="s">
        <v>7532</v>
      </c>
      <c r="B9824" s="3" t="str">
        <f t="shared" si="1"/>
        <v>Unavailable</v>
      </c>
      <c r="C9824" s="5">
        <v>1915.0</v>
      </c>
      <c r="D9824" s="3">
        <f>IFERROR(__xludf.DUMMYFUNCTION("IFERROR(
IF(REGEXMATCH(LOWER(O9824),""k""),
VALUE(REGEXEXTRACT(O9824,""[0-9]+""))*1000,
VALUE(REGEXEXTRACT(O9824,""[0-9]+""))
),
0
)"),0.0)</f>
        <v>0</v>
      </c>
      <c r="E9824" s="1" t="s">
        <v>11</v>
      </c>
      <c r="F9824" s="1" t="s">
        <v>20</v>
      </c>
      <c r="G9824" s="4" t="b">
        <f t="shared" si="2"/>
        <v>1</v>
      </c>
      <c r="H9824" s="1" t="str">
        <f t="shared" si="3"/>
        <v>Currently Unavailable</v>
      </c>
      <c r="I9824" s="1" t="str">
        <f t="shared" si="4"/>
        <v>No Badges</v>
      </c>
      <c r="J9824" s="3">
        <f t="shared" si="5"/>
        <v>0</v>
      </c>
    </row>
    <row r="9825">
      <c r="A9825" s="1" t="s">
        <v>7533</v>
      </c>
      <c r="B9825" s="3" t="str">
        <f t="shared" si="1"/>
        <v>Unavailable</v>
      </c>
      <c r="C9825" s="5">
        <v>10683.0</v>
      </c>
      <c r="D9825" s="3">
        <f>IFERROR(__xludf.DUMMYFUNCTION("IFERROR(
IF(REGEXMATCH(LOWER(O9825),""k""),
VALUE(REGEXEXTRACT(O9825,""[0-9]+""))*1000,
VALUE(REGEXEXTRACT(O9825,""[0-9]+""))
),
0
)"),0.0)</f>
        <v>0</v>
      </c>
      <c r="E9825" s="1" t="s">
        <v>11</v>
      </c>
      <c r="F9825" s="1" t="s">
        <v>20</v>
      </c>
      <c r="G9825" s="4" t="b">
        <f t="shared" si="2"/>
        <v>1</v>
      </c>
      <c r="H9825" s="1" t="str">
        <f t="shared" si="3"/>
        <v>Currently Unavailable</v>
      </c>
      <c r="I9825" s="1" t="str">
        <f t="shared" si="4"/>
        <v>No Badges</v>
      </c>
      <c r="J9825" s="3">
        <f t="shared" si="5"/>
        <v>0</v>
      </c>
    </row>
    <row r="9826">
      <c r="A9826" s="1" t="s">
        <v>7534</v>
      </c>
      <c r="B9826" s="3" t="str">
        <f t="shared" si="1"/>
        <v>Unavailable</v>
      </c>
      <c r="C9826" s="5">
        <v>1867.0</v>
      </c>
      <c r="D9826" s="3">
        <f>IFERROR(__xludf.DUMMYFUNCTION("IFERROR(
IF(REGEXMATCH(LOWER(O9826),""k""),
VALUE(REGEXEXTRACT(O9826,""[0-9]+""))*1000,
VALUE(REGEXEXTRACT(O9826,""[0-9]+""))
),
0
)"),0.0)</f>
        <v>0</v>
      </c>
      <c r="E9826" s="1" t="s">
        <v>11</v>
      </c>
      <c r="F9826" s="1" t="s">
        <v>20</v>
      </c>
      <c r="G9826" s="4" t="b">
        <f t="shared" si="2"/>
        <v>1</v>
      </c>
      <c r="H9826" s="1" t="str">
        <f t="shared" si="3"/>
        <v>Currently Unavailable</v>
      </c>
      <c r="I9826" s="1" t="str">
        <f t="shared" si="4"/>
        <v>No Badges</v>
      </c>
      <c r="J9826" s="3">
        <f t="shared" si="5"/>
        <v>0</v>
      </c>
    </row>
    <row r="9827">
      <c r="A9827" s="1" t="s">
        <v>7535</v>
      </c>
      <c r="B9827" s="3" t="str">
        <f t="shared" si="1"/>
        <v>Unavailable</v>
      </c>
      <c r="C9827" s="5">
        <v>6686.0</v>
      </c>
      <c r="D9827" s="3">
        <f>IFERROR(__xludf.DUMMYFUNCTION("IFERROR(
IF(REGEXMATCH(LOWER(O9827),""k""),
VALUE(REGEXEXTRACT(O9827,""[0-9]+""))*1000,
VALUE(REGEXEXTRACT(O9827,""[0-9]+""))
),
0
)"),0.0)</f>
        <v>0</v>
      </c>
      <c r="E9827" s="1" t="s">
        <v>11</v>
      </c>
      <c r="F9827" s="1" t="s">
        <v>20</v>
      </c>
      <c r="G9827" s="4" t="b">
        <f t="shared" si="2"/>
        <v>1</v>
      </c>
      <c r="H9827" s="1" t="str">
        <f t="shared" si="3"/>
        <v>Currently Unavailable</v>
      </c>
      <c r="I9827" s="1" t="str">
        <f t="shared" si="4"/>
        <v>No Badges</v>
      </c>
      <c r="J9827" s="3">
        <f t="shared" si="5"/>
        <v>0</v>
      </c>
    </row>
    <row r="9828">
      <c r="A9828" s="1" t="s">
        <v>7536</v>
      </c>
      <c r="B9828" s="3" t="str">
        <f t="shared" si="1"/>
        <v>Unavailable</v>
      </c>
      <c r="C9828" s="3">
        <v>39.0</v>
      </c>
      <c r="D9828" s="3">
        <f>IFERROR(__xludf.DUMMYFUNCTION("IFERROR(
IF(REGEXMATCH(LOWER(O9828),""k""),
VALUE(REGEXEXTRACT(O9828,""[0-9]+""))*1000,
VALUE(REGEXEXTRACT(O9828,""[0-9]+""))
),
0
)"),0.0)</f>
        <v>0</v>
      </c>
      <c r="E9828" s="1" t="s">
        <v>11</v>
      </c>
      <c r="F9828" s="1" t="s">
        <v>20</v>
      </c>
      <c r="G9828" s="4" t="b">
        <f t="shared" si="2"/>
        <v>1</v>
      </c>
      <c r="H9828" s="1" t="str">
        <f t="shared" si="3"/>
        <v>Currently Unavailable</v>
      </c>
      <c r="I9828" s="1" t="str">
        <f t="shared" si="4"/>
        <v>No Badges</v>
      </c>
      <c r="J9828" s="3">
        <f t="shared" si="5"/>
        <v>0</v>
      </c>
    </row>
    <row r="9829">
      <c r="A9829" s="1" t="s">
        <v>7537</v>
      </c>
      <c r="B9829" s="3" t="str">
        <f t="shared" si="1"/>
        <v>Unavailable</v>
      </c>
      <c r="C9829" s="5">
        <v>13319.0</v>
      </c>
      <c r="D9829" s="3">
        <f>IFERROR(__xludf.DUMMYFUNCTION("IFERROR(
IF(REGEXMATCH(LOWER(O9829),""k""),
VALUE(REGEXEXTRACT(O9829,""[0-9]+""))*1000,
VALUE(REGEXEXTRACT(O9829,""[0-9]+""))
),
0
)"),0.0)</f>
        <v>0</v>
      </c>
      <c r="E9829" s="1" t="s">
        <v>11</v>
      </c>
      <c r="F9829" s="1" t="s">
        <v>20</v>
      </c>
      <c r="G9829" s="4" t="b">
        <f t="shared" si="2"/>
        <v>1</v>
      </c>
      <c r="H9829" s="1" t="str">
        <f t="shared" si="3"/>
        <v>Currently Unavailable</v>
      </c>
      <c r="I9829" s="1" t="str">
        <f t="shared" si="4"/>
        <v>No Badges</v>
      </c>
      <c r="J9829" s="3">
        <f t="shared" si="5"/>
        <v>0</v>
      </c>
    </row>
    <row r="9830">
      <c r="A9830" s="1" t="s">
        <v>7538</v>
      </c>
      <c r="B9830" s="3" t="str">
        <f t="shared" si="1"/>
        <v>Unavailable</v>
      </c>
      <c r="C9830" s="5">
        <v>7863.0</v>
      </c>
      <c r="D9830" s="3">
        <f>IFERROR(__xludf.DUMMYFUNCTION("IFERROR(
IF(REGEXMATCH(LOWER(O9830),""k""),
VALUE(REGEXEXTRACT(O9830,""[0-9]+""))*1000,
VALUE(REGEXEXTRACT(O9830,""[0-9]+""))
),
0
)"),0.0)</f>
        <v>0</v>
      </c>
      <c r="E9830" s="1" t="s">
        <v>11</v>
      </c>
      <c r="F9830" s="1" t="s">
        <v>20</v>
      </c>
      <c r="G9830" s="4" t="b">
        <f t="shared" si="2"/>
        <v>1</v>
      </c>
      <c r="H9830" s="1" t="str">
        <f t="shared" si="3"/>
        <v>Currently Unavailable</v>
      </c>
      <c r="I9830" s="1" t="str">
        <f t="shared" si="4"/>
        <v>No Badges</v>
      </c>
      <c r="J9830" s="3">
        <f t="shared" si="5"/>
        <v>0</v>
      </c>
    </row>
    <row r="9831">
      <c r="A9831" s="1" t="s">
        <v>7539</v>
      </c>
      <c r="B9831" s="3" t="str">
        <f t="shared" si="1"/>
        <v>Unavailable</v>
      </c>
      <c r="C9831" s="5">
        <v>2241.0</v>
      </c>
      <c r="D9831" s="3">
        <f>IFERROR(__xludf.DUMMYFUNCTION("IFERROR(
IF(REGEXMATCH(LOWER(O9831),""k""),
VALUE(REGEXEXTRACT(O9831,""[0-9]+""))*1000,
VALUE(REGEXEXTRACT(O9831,""[0-9]+""))
),
0
)"),0.0)</f>
        <v>0</v>
      </c>
      <c r="E9831" s="1" t="s">
        <v>11</v>
      </c>
      <c r="F9831" s="1" t="s">
        <v>20</v>
      </c>
      <c r="G9831" s="4" t="b">
        <f t="shared" si="2"/>
        <v>1</v>
      </c>
      <c r="H9831" s="1" t="str">
        <f t="shared" si="3"/>
        <v>Currently Unavailable</v>
      </c>
      <c r="I9831" s="1" t="str">
        <f t="shared" si="4"/>
        <v>No Badges</v>
      </c>
      <c r="J9831" s="3">
        <f t="shared" si="5"/>
        <v>0</v>
      </c>
    </row>
    <row r="9832">
      <c r="A9832" s="1" t="s">
        <v>7540</v>
      </c>
      <c r="B9832" s="3" t="str">
        <f t="shared" si="1"/>
        <v>Unavailable</v>
      </c>
      <c r="C9832" s="3">
        <v>706.0</v>
      </c>
      <c r="D9832" s="3">
        <f>IFERROR(__xludf.DUMMYFUNCTION("IFERROR(
IF(REGEXMATCH(LOWER(O9832),""k""),
VALUE(REGEXEXTRACT(O9832,""[0-9]+""))*1000,
VALUE(REGEXEXTRACT(O9832,""[0-9]+""))
),
0
)"),0.0)</f>
        <v>0</v>
      </c>
      <c r="E9832" s="1" t="s">
        <v>11</v>
      </c>
      <c r="F9832" s="1" t="s">
        <v>20</v>
      </c>
      <c r="G9832" s="4" t="b">
        <f t="shared" si="2"/>
        <v>1</v>
      </c>
      <c r="H9832" s="1" t="str">
        <f t="shared" si="3"/>
        <v>Currently Unavailable</v>
      </c>
      <c r="I9832" s="1" t="str">
        <f t="shared" si="4"/>
        <v>No Badges</v>
      </c>
      <c r="J9832" s="3">
        <f t="shared" si="5"/>
        <v>0</v>
      </c>
    </row>
    <row r="9833">
      <c r="A9833" s="1" t="s">
        <v>7541</v>
      </c>
      <c r="B9833" s="3" t="str">
        <f t="shared" si="1"/>
        <v>Unavailable</v>
      </c>
      <c r="C9833" s="5">
        <v>23584.0</v>
      </c>
      <c r="D9833" s="3">
        <f>IFERROR(__xludf.DUMMYFUNCTION("IFERROR(
IF(REGEXMATCH(LOWER(O9833),""k""),
VALUE(REGEXEXTRACT(O9833,""[0-9]+""))*1000,
VALUE(REGEXEXTRACT(O9833,""[0-9]+""))
),
0
)"),0.0)</f>
        <v>0</v>
      </c>
      <c r="E9833" s="1" t="s">
        <v>11</v>
      </c>
      <c r="F9833" s="1" t="s">
        <v>20</v>
      </c>
      <c r="G9833" s="4" t="b">
        <f t="shared" si="2"/>
        <v>1</v>
      </c>
      <c r="H9833" s="1" t="str">
        <f t="shared" si="3"/>
        <v>Currently Unavailable</v>
      </c>
      <c r="I9833" s="1" t="str">
        <f t="shared" si="4"/>
        <v>No Badges</v>
      </c>
      <c r="J9833" s="3">
        <f t="shared" si="5"/>
        <v>0</v>
      </c>
    </row>
    <row r="9834">
      <c r="A9834" s="1" t="s">
        <v>7542</v>
      </c>
      <c r="B9834" s="3" t="str">
        <f t="shared" si="1"/>
        <v>Unavailable</v>
      </c>
      <c r="C9834" s="5">
        <v>5621.0</v>
      </c>
      <c r="D9834" s="3">
        <f>IFERROR(__xludf.DUMMYFUNCTION("IFERROR(
IF(REGEXMATCH(LOWER(O9834),""k""),
VALUE(REGEXEXTRACT(O9834,""[0-9]+""))*1000,
VALUE(REGEXEXTRACT(O9834,""[0-9]+""))
),
0
)"),0.0)</f>
        <v>0</v>
      </c>
      <c r="E9834" s="1" t="s">
        <v>11</v>
      </c>
      <c r="F9834" s="1" t="s">
        <v>20</v>
      </c>
      <c r="G9834" s="4" t="b">
        <f t="shared" si="2"/>
        <v>1</v>
      </c>
      <c r="H9834" s="1" t="str">
        <f t="shared" si="3"/>
        <v>Currently Unavailable</v>
      </c>
      <c r="I9834" s="1" t="str">
        <f t="shared" si="4"/>
        <v>No Badges</v>
      </c>
      <c r="J9834" s="3">
        <f t="shared" si="5"/>
        <v>0</v>
      </c>
    </row>
    <row r="9835">
      <c r="A9835" s="1" t="s">
        <v>7543</v>
      </c>
      <c r="B9835" s="3" t="str">
        <f t="shared" si="1"/>
        <v>Unavailable</v>
      </c>
      <c r="C9835" s="5">
        <v>3816.0</v>
      </c>
      <c r="D9835" s="3">
        <f>IFERROR(__xludf.DUMMYFUNCTION("IFERROR(
IF(REGEXMATCH(LOWER(O9835),""k""),
VALUE(REGEXEXTRACT(O9835,""[0-9]+""))*1000,
VALUE(REGEXEXTRACT(O9835,""[0-9]+""))
),
0
)"),0.0)</f>
        <v>0</v>
      </c>
      <c r="E9835" s="1" t="s">
        <v>11</v>
      </c>
      <c r="F9835" s="1" t="s">
        <v>20</v>
      </c>
      <c r="G9835" s="4" t="b">
        <f t="shared" si="2"/>
        <v>1</v>
      </c>
      <c r="H9835" s="1" t="str">
        <f t="shared" si="3"/>
        <v>Currently Unavailable</v>
      </c>
      <c r="I9835" s="1" t="str">
        <f t="shared" si="4"/>
        <v>No Badges</v>
      </c>
      <c r="J9835" s="3">
        <f t="shared" si="5"/>
        <v>0</v>
      </c>
    </row>
    <row r="9836">
      <c r="A9836" s="1" t="s">
        <v>7544</v>
      </c>
      <c r="B9836" s="3" t="str">
        <f t="shared" si="1"/>
        <v>Unavailable</v>
      </c>
      <c r="C9836" s="3">
        <v>701.0</v>
      </c>
      <c r="D9836" s="3">
        <f>IFERROR(__xludf.DUMMYFUNCTION("IFERROR(
IF(REGEXMATCH(LOWER(O9836),""k""),
VALUE(REGEXEXTRACT(O9836,""[0-9]+""))*1000,
VALUE(REGEXEXTRACT(O9836,""[0-9]+""))
),
0
)"),0.0)</f>
        <v>0</v>
      </c>
      <c r="E9836" s="1" t="s">
        <v>11</v>
      </c>
      <c r="F9836" s="1" t="s">
        <v>20</v>
      </c>
      <c r="G9836" s="4" t="b">
        <f t="shared" si="2"/>
        <v>1</v>
      </c>
      <c r="H9836" s="1" t="str">
        <f t="shared" si="3"/>
        <v>Currently Unavailable</v>
      </c>
      <c r="I9836" s="1" t="str">
        <f t="shared" si="4"/>
        <v>No Badges</v>
      </c>
      <c r="J9836" s="3">
        <f t="shared" si="5"/>
        <v>0</v>
      </c>
    </row>
    <row r="9837">
      <c r="A9837" s="1" t="s">
        <v>7545</v>
      </c>
      <c r="B9837" s="3" t="str">
        <f t="shared" si="1"/>
        <v>Unavailable</v>
      </c>
      <c r="C9837" s="3">
        <v>329.0</v>
      </c>
      <c r="D9837" s="3">
        <f>IFERROR(__xludf.DUMMYFUNCTION("IFERROR(
IF(REGEXMATCH(LOWER(O9837),""k""),
VALUE(REGEXEXTRACT(O9837,""[0-9]+""))*1000,
VALUE(REGEXEXTRACT(O9837,""[0-9]+""))
),
0
)"),0.0)</f>
        <v>0</v>
      </c>
      <c r="E9837" s="1" t="s">
        <v>11</v>
      </c>
      <c r="F9837" s="1" t="s">
        <v>20</v>
      </c>
      <c r="G9837" s="4" t="b">
        <f t="shared" si="2"/>
        <v>1</v>
      </c>
      <c r="H9837" s="1" t="str">
        <f t="shared" si="3"/>
        <v>Currently Unavailable</v>
      </c>
      <c r="I9837" s="1" t="str">
        <f t="shared" si="4"/>
        <v>No Badges</v>
      </c>
      <c r="J9837" s="3">
        <f t="shared" si="5"/>
        <v>0</v>
      </c>
    </row>
    <row r="9838">
      <c r="A9838" s="1" t="s">
        <v>7546</v>
      </c>
      <c r="B9838" s="3" t="str">
        <f t="shared" si="1"/>
        <v>Unavailable</v>
      </c>
      <c r="C9838" s="3">
        <v>17.0</v>
      </c>
      <c r="D9838" s="3">
        <f>IFERROR(__xludf.DUMMYFUNCTION("IFERROR(
IF(REGEXMATCH(LOWER(O9838),""k""),
VALUE(REGEXEXTRACT(O9838,""[0-9]+""))*1000,
VALUE(REGEXEXTRACT(O9838,""[0-9]+""))
),
0
)"),0.0)</f>
        <v>0</v>
      </c>
      <c r="E9838" s="1" t="s">
        <v>11</v>
      </c>
      <c r="F9838" s="1" t="s">
        <v>20</v>
      </c>
      <c r="G9838" s="4" t="b">
        <f t="shared" si="2"/>
        <v>1</v>
      </c>
      <c r="H9838" s="1" t="str">
        <f t="shared" si="3"/>
        <v>Currently Unavailable</v>
      </c>
      <c r="I9838" s="1" t="str">
        <f t="shared" si="4"/>
        <v>No Badges</v>
      </c>
      <c r="J9838" s="3">
        <f t="shared" si="5"/>
        <v>0</v>
      </c>
    </row>
    <row r="9839">
      <c r="A9839" s="1" t="s">
        <v>7547</v>
      </c>
      <c r="B9839" s="3" t="str">
        <f t="shared" si="1"/>
        <v>Unavailable</v>
      </c>
      <c r="C9839" s="5">
        <v>1051.0</v>
      </c>
      <c r="D9839" s="3">
        <f>IFERROR(__xludf.DUMMYFUNCTION("IFERROR(
IF(REGEXMATCH(LOWER(O9839),""k""),
VALUE(REGEXEXTRACT(O9839,""[0-9]+""))*1000,
VALUE(REGEXEXTRACT(O9839,""[0-9]+""))
),
0
)"),0.0)</f>
        <v>0</v>
      </c>
      <c r="E9839" s="1" t="s">
        <v>11</v>
      </c>
      <c r="F9839" s="1" t="s">
        <v>20</v>
      </c>
      <c r="G9839" s="4" t="b">
        <f t="shared" si="2"/>
        <v>1</v>
      </c>
      <c r="H9839" s="1" t="str">
        <f t="shared" si="3"/>
        <v>Currently Unavailable</v>
      </c>
      <c r="I9839" s="1" t="str">
        <f t="shared" si="4"/>
        <v>No Badges</v>
      </c>
      <c r="J9839" s="3">
        <f t="shared" si="5"/>
        <v>0</v>
      </c>
    </row>
    <row r="9840">
      <c r="A9840" s="1" t="s">
        <v>7548</v>
      </c>
      <c r="B9840" s="3" t="str">
        <f t="shared" si="1"/>
        <v>Unavailable</v>
      </c>
      <c r="C9840" s="3">
        <v>205.0</v>
      </c>
      <c r="D9840" s="3">
        <f>IFERROR(__xludf.DUMMYFUNCTION("IFERROR(
IF(REGEXMATCH(LOWER(O9840),""k""),
VALUE(REGEXEXTRACT(O9840,""[0-9]+""))*1000,
VALUE(REGEXEXTRACT(O9840,""[0-9]+""))
),
0
)"),0.0)</f>
        <v>0</v>
      </c>
      <c r="E9840" s="1" t="s">
        <v>11</v>
      </c>
      <c r="F9840" s="1" t="s">
        <v>20</v>
      </c>
      <c r="G9840" s="4" t="b">
        <f t="shared" si="2"/>
        <v>1</v>
      </c>
      <c r="H9840" s="1" t="str">
        <f t="shared" si="3"/>
        <v>Currently Unavailable</v>
      </c>
      <c r="I9840" s="1" t="str">
        <f t="shared" si="4"/>
        <v>No Badges</v>
      </c>
      <c r="J9840" s="3">
        <f t="shared" si="5"/>
        <v>0</v>
      </c>
    </row>
    <row r="9841">
      <c r="A9841" s="1" t="s">
        <v>7549</v>
      </c>
      <c r="B9841" s="3" t="str">
        <f t="shared" si="1"/>
        <v>Unavailable</v>
      </c>
      <c r="C9841" s="3">
        <v>334.0</v>
      </c>
      <c r="D9841" s="3">
        <f>IFERROR(__xludf.DUMMYFUNCTION("IFERROR(
IF(REGEXMATCH(LOWER(O9841),""k""),
VALUE(REGEXEXTRACT(O9841,""[0-9]+""))*1000,
VALUE(REGEXEXTRACT(O9841,""[0-9]+""))
),
0
)"),0.0)</f>
        <v>0</v>
      </c>
      <c r="E9841" s="1" t="s">
        <v>11</v>
      </c>
      <c r="F9841" s="1" t="s">
        <v>20</v>
      </c>
      <c r="G9841" s="4" t="b">
        <f t="shared" si="2"/>
        <v>1</v>
      </c>
      <c r="H9841" s="1" t="str">
        <f t="shared" si="3"/>
        <v>Currently Unavailable</v>
      </c>
      <c r="I9841" s="1" t="str">
        <f t="shared" si="4"/>
        <v>No Badges</v>
      </c>
      <c r="J9841" s="3">
        <f t="shared" si="5"/>
        <v>0</v>
      </c>
    </row>
    <row r="9842">
      <c r="A9842" s="1" t="s">
        <v>7550</v>
      </c>
      <c r="B9842" s="3" t="str">
        <f t="shared" si="1"/>
        <v>Unavailable</v>
      </c>
      <c r="C9842" s="3">
        <v>580.0</v>
      </c>
      <c r="D9842" s="3">
        <f>IFERROR(__xludf.DUMMYFUNCTION("IFERROR(
IF(REGEXMATCH(LOWER(O9842),""k""),
VALUE(REGEXEXTRACT(O9842,""[0-9]+""))*1000,
VALUE(REGEXEXTRACT(O9842,""[0-9]+""))
),
0
)"),0.0)</f>
        <v>0</v>
      </c>
      <c r="E9842" s="1" t="s">
        <v>11</v>
      </c>
      <c r="F9842" s="1" t="s">
        <v>20</v>
      </c>
      <c r="G9842" s="4" t="b">
        <f t="shared" si="2"/>
        <v>1</v>
      </c>
      <c r="H9842" s="1" t="str">
        <f t="shared" si="3"/>
        <v>Currently Unavailable</v>
      </c>
      <c r="I9842" s="1" t="str">
        <f t="shared" si="4"/>
        <v>No Badges</v>
      </c>
      <c r="J9842" s="3">
        <f t="shared" si="5"/>
        <v>0</v>
      </c>
    </row>
    <row r="9843">
      <c r="A9843" s="1" t="s">
        <v>7551</v>
      </c>
      <c r="B9843" s="3" t="str">
        <f t="shared" si="1"/>
        <v>Unavailable</v>
      </c>
      <c r="C9843" s="3">
        <v>97.0</v>
      </c>
      <c r="D9843" s="3">
        <f>IFERROR(__xludf.DUMMYFUNCTION("IFERROR(
IF(REGEXMATCH(LOWER(O9843),""k""),
VALUE(REGEXEXTRACT(O9843,""[0-9]+""))*1000,
VALUE(REGEXEXTRACT(O9843,""[0-9]+""))
),
0
)"),0.0)</f>
        <v>0</v>
      </c>
      <c r="E9843" s="1" t="s">
        <v>11</v>
      </c>
      <c r="F9843" s="1" t="s">
        <v>20</v>
      </c>
      <c r="G9843" s="4" t="b">
        <f t="shared" si="2"/>
        <v>1</v>
      </c>
      <c r="H9843" s="1" t="str">
        <f t="shared" si="3"/>
        <v>Currently Unavailable</v>
      </c>
      <c r="I9843" s="1" t="str">
        <f t="shared" si="4"/>
        <v>No Badges</v>
      </c>
      <c r="J9843" s="3">
        <f t="shared" si="5"/>
        <v>0</v>
      </c>
    </row>
    <row r="9844">
      <c r="A9844" s="1" t="s">
        <v>7552</v>
      </c>
      <c r="B9844" s="3" t="str">
        <f t="shared" si="1"/>
        <v>Unavailable</v>
      </c>
      <c r="C9844" s="5">
        <v>14632.0</v>
      </c>
      <c r="D9844" s="3">
        <f>IFERROR(__xludf.DUMMYFUNCTION("IFERROR(
IF(REGEXMATCH(LOWER(O9844),""k""),
VALUE(REGEXEXTRACT(O9844,""[0-9]+""))*1000,
VALUE(REGEXEXTRACT(O9844,""[0-9]+""))
),
0
)"),0.0)</f>
        <v>0</v>
      </c>
      <c r="E9844" s="1" t="s">
        <v>11</v>
      </c>
      <c r="F9844" s="1" t="s">
        <v>20</v>
      </c>
      <c r="G9844" s="4" t="b">
        <f t="shared" si="2"/>
        <v>1</v>
      </c>
      <c r="H9844" s="1" t="str">
        <f t="shared" si="3"/>
        <v>Currently Unavailable</v>
      </c>
      <c r="I9844" s="1" t="str">
        <f t="shared" si="4"/>
        <v>No Badges</v>
      </c>
      <c r="J9844" s="3">
        <f t="shared" si="5"/>
        <v>0</v>
      </c>
    </row>
    <row r="9845">
      <c r="A9845" s="1" t="s">
        <v>7553</v>
      </c>
      <c r="B9845" s="3" t="str">
        <f t="shared" si="1"/>
        <v>Unavailable</v>
      </c>
      <c r="C9845" s="5">
        <v>1303.0</v>
      </c>
      <c r="D9845" s="3">
        <f>IFERROR(__xludf.DUMMYFUNCTION("IFERROR(
IF(REGEXMATCH(LOWER(O9845),""k""),
VALUE(REGEXEXTRACT(O9845,""[0-9]+""))*1000,
VALUE(REGEXEXTRACT(O9845,""[0-9]+""))
),
0
)"),0.0)</f>
        <v>0</v>
      </c>
      <c r="E9845" s="1" t="s">
        <v>11</v>
      </c>
      <c r="F9845" s="1" t="s">
        <v>20</v>
      </c>
      <c r="G9845" s="4" t="b">
        <f t="shared" si="2"/>
        <v>1</v>
      </c>
      <c r="H9845" s="1" t="str">
        <f t="shared" si="3"/>
        <v>Currently Unavailable</v>
      </c>
      <c r="I9845" s="1" t="str">
        <f t="shared" si="4"/>
        <v>No Badges</v>
      </c>
      <c r="J9845" s="3">
        <f t="shared" si="5"/>
        <v>0</v>
      </c>
    </row>
    <row r="9846">
      <c r="A9846" s="1" t="s">
        <v>88</v>
      </c>
      <c r="B9846" s="3" t="str">
        <f t="shared" si="1"/>
        <v>Unavailable</v>
      </c>
      <c r="C9846" s="3">
        <v>6.0</v>
      </c>
      <c r="D9846" s="3">
        <f>IFERROR(__xludf.DUMMYFUNCTION("IFERROR(
IF(REGEXMATCH(LOWER(O9846),""k""),
VALUE(REGEXEXTRACT(O9846,""[0-9]+""))*1000,
VALUE(REGEXEXTRACT(O9846,""[0-9]+""))
),
0
)"),0.0)</f>
        <v>0</v>
      </c>
      <c r="E9846" s="1" t="s">
        <v>11</v>
      </c>
      <c r="F9846" s="1" t="s">
        <v>12</v>
      </c>
      <c r="G9846" s="4" t="b">
        <f t="shared" si="2"/>
        <v>1</v>
      </c>
      <c r="H9846" s="1" t="str">
        <f t="shared" si="3"/>
        <v>Currently Unavailable</v>
      </c>
      <c r="I9846" s="1" t="str">
        <f t="shared" si="4"/>
        <v>No Badges</v>
      </c>
      <c r="J9846" s="3">
        <f t="shared" si="5"/>
        <v>0</v>
      </c>
    </row>
    <row r="9847">
      <c r="A9847" s="1" t="s">
        <v>701</v>
      </c>
      <c r="B9847" s="3" t="str">
        <f t="shared" si="1"/>
        <v>Unavailable</v>
      </c>
      <c r="C9847" s="3">
        <v>8.0</v>
      </c>
      <c r="D9847" s="3">
        <f>IFERROR(__xludf.DUMMYFUNCTION("IFERROR(
IF(REGEXMATCH(LOWER(O9847),""k""),
VALUE(REGEXEXTRACT(O9847,""[0-9]+""))*1000,
VALUE(REGEXEXTRACT(O9847,""[0-9]+""))
),
0
)"),0.0)</f>
        <v>0</v>
      </c>
      <c r="E9847" s="1" t="s">
        <v>11</v>
      </c>
      <c r="F9847" s="1" t="s">
        <v>12</v>
      </c>
      <c r="G9847" s="4" t="b">
        <f t="shared" si="2"/>
        <v>1</v>
      </c>
      <c r="H9847" s="1" t="str">
        <f t="shared" si="3"/>
        <v>Currently Unavailable</v>
      </c>
      <c r="I9847" s="1" t="str">
        <f t="shared" si="4"/>
        <v>No Badges</v>
      </c>
      <c r="J9847" s="3">
        <f t="shared" si="5"/>
        <v>0</v>
      </c>
    </row>
    <row r="9848">
      <c r="A9848" s="1" t="s">
        <v>7554</v>
      </c>
      <c r="B9848" s="3" t="str">
        <f t="shared" si="1"/>
        <v>Unavailable</v>
      </c>
      <c r="C9848" s="5">
        <v>1531.0</v>
      </c>
      <c r="D9848" s="3">
        <f>IFERROR(__xludf.DUMMYFUNCTION("IFERROR(
IF(REGEXMATCH(LOWER(O9848),""k""),
VALUE(REGEXEXTRACT(O9848,""[0-9]+""))*1000,
VALUE(REGEXEXTRACT(O9848,""[0-9]+""))
),
0
)"),0.0)</f>
        <v>0</v>
      </c>
      <c r="E9848" s="1" t="s">
        <v>11</v>
      </c>
      <c r="F9848" s="1" t="s">
        <v>20</v>
      </c>
      <c r="G9848" s="4" t="b">
        <f t="shared" si="2"/>
        <v>1</v>
      </c>
      <c r="H9848" s="1" t="str">
        <f t="shared" si="3"/>
        <v>Currently Unavailable</v>
      </c>
      <c r="I9848" s="1" t="str">
        <f t="shared" si="4"/>
        <v>No Badges</v>
      </c>
      <c r="J9848" s="3">
        <f t="shared" si="5"/>
        <v>0</v>
      </c>
    </row>
    <row r="9849">
      <c r="A9849" s="1" t="s">
        <v>7555</v>
      </c>
      <c r="B9849" s="3" t="str">
        <f t="shared" si="1"/>
        <v>Unavailable</v>
      </c>
      <c r="C9849" s="5">
        <v>2335.0</v>
      </c>
      <c r="D9849" s="3">
        <f>IFERROR(__xludf.DUMMYFUNCTION("IFERROR(
IF(REGEXMATCH(LOWER(O9849),""k""),
VALUE(REGEXEXTRACT(O9849,""[0-9]+""))*1000,
VALUE(REGEXEXTRACT(O9849,""[0-9]+""))
),
0
)"),0.0)</f>
        <v>0</v>
      </c>
      <c r="E9849" s="1" t="s">
        <v>11</v>
      </c>
      <c r="F9849" s="1" t="s">
        <v>20</v>
      </c>
      <c r="G9849" s="4" t="b">
        <f t="shared" si="2"/>
        <v>1</v>
      </c>
      <c r="H9849" s="1" t="str">
        <f t="shared" si="3"/>
        <v>Currently Unavailable</v>
      </c>
      <c r="I9849" s="1" t="str">
        <f t="shared" si="4"/>
        <v>No Badges</v>
      </c>
      <c r="J9849" s="3">
        <f t="shared" si="5"/>
        <v>0</v>
      </c>
    </row>
    <row r="9850">
      <c r="A9850" s="1" t="s">
        <v>7556</v>
      </c>
      <c r="B9850" s="3" t="str">
        <f t="shared" si="1"/>
        <v>Unavailable</v>
      </c>
      <c r="C9850" s="3">
        <v>22.0</v>
      </c>
      <c r="D9850" s="3">
        <f>IFERROR(__xludf.DUMMYFUNCTION("IFERROR(
IF(REGEXMATCH(LOWER(O9850),""k""),
VALUE(REGEXEXTRACT(O9850,""[0-9]+""))*1000,
VALUE(REGEXEXTRACT(O9850,""[0-9]+""))
),
0
)"),0.0)</f>
        <v>0</v>
      </c>
      <c r="E9850" s="1" t="s">
        <v>11</v>
      </c>
      <c r="F9850" s="1" t="s">
        <v>20</v>
      </c>
      <c r="G9850" s="4" t="b">
        <f t="shared" si="2"/>
        <v>1</v>
      </c>
      <c r="H9850" s="1" t="str">
        <f t="shared" si="3"/>
        <v>Currently Unavailable</v>
      </c>
      <c r="I9850" s="1" t="str">
        <f t="shared" si="4"/>
        <v>No Badges</v>
      </c>
      <c r="J9850" s="3">
        <f t="shared" si="5"/>
        <v>0</v>
      </c>
    </row>
    <row r="9851">
      <c r="A9851" s="1" t="s">
        <v>7557</v>
      </c>
      <c r="B9851" s="3" t="str">
        <f t="shared" si="1"/>
        <v>Unavailable</v>
      </c>
      <c r="C9851" s="3">
        <v>213.0</v>
      </c>
      <c r="D9851" s="3">
        <f>IFERROR(__xludf.DUMMYFUNCTION("IFERROR(
IF(REGEXMATCH(LOWER(O9851),""k""),
VALUE(REGEXEXTRACT(O9851,""[0-9]+""))*1000,
VALUE(REGEXEXTRACT(O9851,""[0-9]+""))
),
0
)"),0.0)</f>
        <v>0</v>
      </c>
      <c r="E9851" s="1" t="s">
        <v>11</v>
      </c>
      <c r="F9851" s="1" t="s">
        <v>20</v>
      </c>
      <c r="G9851" s="4" t="b">
        <f t="shared" si="2"/>
        <v>1</v>
      </c>
      <c r="H9851" s="1" t="str">
        <f t="shared" si="3"/>
        <v>Currently Unavailable</v>
      </c>
      <c r="I9851" s="1" t="str">
        <f t="shared" si="4"/>
        <v>No Badges</v>
      </c>
      <c r="J9851" s="3">
        <f t="shared" si="5"/>
        <v>0</v>
      </c>
    </row>
    <row r="9852">
      <c r="A9852" s="1" t="s">
        <v>7558</v>
      </c>
      <c r="B9852" s="3" t="str">
        <f t="shared" si="1"/>
        <v>Unavailable</v>
      </c>
      <c r="C9852" s="5">
        <v>2862.0</v>
      </c>
      <c r="D9852" s="3">
        <f>IFERROR(__xludf.DUMMYFUNCTION("IFERROR(
IF(REGEXMATCH(LOWER(O9852),""k""),
VALUE(REGEXEXTRACT(O9852,""[0-9]+""))*1000,
VALUE(REGEXEXTRACT(O9852,""[0-9]+""))
),
0
)"),0.0)</f>
        <v>0</v>
      </c>
      <c r="E9852" s="1" t="s">
        <v>11</v>
      </c>
      <c r="F9852" s="1" t="s">
        <v>20</v>
      </c>
      <c r="G9852" s="4" t="b">
        <f t="shared" si="2"/>
        <v>1</v>
      </c>
      <c r="H9852" s="1" t="str">
        <f t="shared" si="3"/>
        <v>Currently Unavailable</v>
      </c>
      <c r="I9852" s="1" t="str">
        <f t="shared" si="4"/>
        <v>No Badges</v>
      </c>
      <c r="J9852" s="3">
        <f t="shared" si="5"/>
        <v>0</v>
      </c>
    </row>
    <row r="9853">
      <c r="A9853" s="1" t="s">
        <v>7559</v>
      </c>
      <c r="B9853" s="3" t="str">
        <f t="shared" si="1"/>
        <v>Unavailable</v>
      </c>
      <c r="C9853" s="5">
        <v>4283.0</v>
      </c>
      <c r="D9853" s="3">
        <f>IFERROR(__xludf.DUMMYFUNCTION("IFERROR(
IF(REGEXMATCH(LOWER(O9853),""k""),
VALUE(REGEXEXTRACT(O9853,""[0-9]+""))*1000,
VALUE(REGEXEXTRACT(O9853,""[0-9]+""))
),
0
)"),0.0)</f>
        <v>0</v>
      </c>
      <c r="E9853" s="1" t="s">
        <v>11</v>
      </c>
      <c r="F9853" s="1" t="s">
        <v>20</v>
      </c>
      <c r="G9853" s="4" t="b">
        <f t="shared" si="2"/>
        <v>1</v>
      </c>
      <c r="H9853" s="1" t="str">
        <f t="shared" si="3"/>
        <v>Currently Unavailable</v>
      </c>
      <c r="I9853" s="1" t="str">
        <f t="shared" si="4"/>
        <v>No Badges</v>
      </c>
      <c r="J9853" s="3">
        <f t="shared" si="5"/>
        <v>0</v>
      </c>
    </row>
    <row r="9854">
      <c r="A9854" s="1" t="s">
        <v>7560</v>
      </c>
      <c r="B9854" s="3" t="str">
        <f t="shared" si="1"/>
        <v>Unavailable</v>
      </c>
      <c r="C9854" s="5">
        <v>198512.0</v>
      </c>
      <c r="D9854" s="3">
        <f>IFERROR(__xludf.DUMMYFUNCTION("IFERROR(
IF(REGEXMATCH(LOWER(O9854),""k""),
VALUE(REGEXEXTRACT(O9854,""[0-9]+""))*1000,
VALUE(REGEXEXTRACT(O9854,""[0-9]+""))
),
0
)"),0.0)</f>
        <v>0</v>
      </c>
      <c r="E9854" s="1" t="s">
        <v>158</v>
      </c>
      <c r="F9854" s="1" t="s">
        <v>20</v>
      </c>
      <c r="G9854" s="4" t="b">
        <f t="shared" si="2"/>
        <v>1</v>
      </c>
      <c r="H9854" s="1" t="str">
        <f t="shared" si="3"/>
        <v>Currently Unavailable</v>
      </c>
      <c r="I9854" s="1" t="str">
        <f t="shared" si="4"/>
        <v>No Badges</v>
      </c>
      <c r="J9854" s="3">
        <f t="shared" si="5"/>
        <v>0</v>
      </c>
    </row>
    <row r="9855">
      <c r="A9855" s="1" t="s">
        <v>7561</v>
      </c>
      <c r="B9855" s="3" t="str">
        <f t="shared" si="1"/>
        <v>Unavailable</v>
      </c>
      <c r="C9855" s="5">
        <v>125404.0</v>
      </c>
      <c r="D9855" s="3">
        <f>IFERROR(__xludf.DUMMYFUNCTION("IFERROR(
IF(REGEXMATCH(LOWER(O9855),""k""),
VALUE(REGEXEXTRACT(O9855,""[0-9]+""))*1000,
VALUE(REGEXEXTRACT(O9855,""[0-9]+""))
),
0
)"),0.0)</f>
        <v>0</v>
      </c>
      <c r="E9855" s="1" t="s">
        <v>11</v>
      </c>
      <c r="F9855" s="1" t="s">
        <v>20</v>
      </c>
      <c r="G9855" s="4" t="b">
        <f t="shared" si="2"/>
        <v>1</v>
      </c>
      <c r="H9855" s="1" t="str">
        <f t="shared" si="3"/>
        <v>Currently Unavailable</v>
      </c>
      <c r="I9855" s="1" t="str">
        <f t="shared" si="4"/>
        <v>No Badges</v>
      </c>
      <c r="J9855" s="3">
        <f t="shared" si="5"/>
        <v>0</v>
      </c>
    </row>
    <row r="9856">
      <c r="A9856" s="1" t="s">
        <v>7562</v>
      </c>
      <c r="B9856" s="3" t="str">
        <f t="shared" si="1"/>
        <v>Unavailable</v>
      </c>
      <c r="C9856" s="5">
        <v>12343.0</v>
      </c>
      <c r="D9856" s="3">
        <f>IFERROR(__xludf.DUMMYFUNCTION("IFERROR(
IF(REGEXMATCH(LOWER(O9856),""k""),
VALUE(REGEXEXTRACT(O9856,""[0-9]+""))*1000,
VALUE(REGEXEXTRACT(O9856,""[0-9]+""))
),
0
)"),0.0)</f>
        <v>0</v>
      </c>
      <c r="E9856" s="1" t="s">
        <v>11</v>
      </c>
      <c r="F9856" s="1" t="s">
        <v>20</v>
      </c>
      <c r="G9856" s="4" t="b">
        <f t="shared" si="2"/>
        <v>1</v>
      </c>
      <c r="H9856" s="1" t="str">
        <f t="shared" si="3"/>
        <v>Currently Unavailable</v>
      </c>
      <c r="I9856" s="1" t="str">
        <f t="shared" si="4"/>
        <v>No Badges</v>
      </c>
      <c r="J9856" s="3">
        <f t="shared" si="5"/>
        <v>0</v>
      </c>
    </row>
    <row r="9857">
      <c r="A9857" s="1" t="s">
        <v>7563</v>
      </c>
      <c r="B9857" s="3" t="str">
        <f t="shared" si="1"/>
        <v>Unavailable</v>
      </c>
      <c r="C9857" s="5">
        <v>5263.0</v>
      </c>
      <c r="D9857" s="3">
        <f>IFERROR(__xludf.DUMMYFUNCTION("IFERROR(
IF(REGEXMATCH(LOWER(O9857),""k""),
VALUE(REGEXEXTRACT(O9857,""[0-9]+""))*1000,
VALUE(REGEXEXTRACT(O9857,""[0-9]+""))
),
0
)"),0.0)</f>
        <v>0</v>
      </c>
      <c r="E9857" s="1" t="s">
        <v>11</v>
      </c>
      <c r="F9857" s="1" t="s">
        <v>20</v>
      </c>
      <c r="G9857" s="4" t="b">
        <f t="shared" si="2"/>
        <v>1</v>
      </c>
      <c r="H9857" s="1" t="str">
        <f t="shared" si="3"/>
        <v>Currently Unavailable</v>
      </c>
      <c r="I9857" s="1" t="str">
        <f t="shared" si="4"/>
        <v>No Badges</v>
      </c>
      <c r="J9857" s="3">
        <f t="shared" si="5"/>
        <v>0</v>
      </c>
    </row>
    <row r="9858">
      <c r="A9858" s="1" t="s">
        <v>7564</v>
      </c>
      <c r="B9858" s="3" t="str">
        <f t="shared" si="1"/>
        <v>Unavailable</v>
      </c>
      <c r="C9858" s="5">
        <v>2120.0</v>
      </c>
      <c r="D9858" s="3">
        <f>IFERROR(__xludf.DUMMYFUNCTION("IFERROR(
IF(REGEXMATCH(LOWER(O9858),""k""),
VALUE(REGEXEXTRACT(O9858,""[0-9]+""))*1000,
VALUE(REGEXEXTRACT(O9858,""[0-9]+""))
),
0
)"),0.0)</f>
        <v>0</v>
      </c>
      <c r="E9858" s="1" t="s">
        <v>11</v>
      </c>
      <c r="F9858" s="1" t="s">
        <v>20</v>
      </c>
      <c r="G9858" s="4" t="b">
        <f t="shared" si="2"/>
        <v>1</v>
      </c>
      <c r="H9858" s="1" t="str">
        <f t="shared" si="3"/>
        <v>Currently Unavailable</v>
      </c>
      <c r="I9858" s="1" t="str">
        <f t="shared" si="4"/>
        <v>No Badges</v>
      </c>
      <c r="J9858" s="3">
        <f t="shared" si="5"/>
        <v>0</v>
      </c>
    </row>
    <row r="9859">
      <c r="A9859" s="1" t="s">
        <v>7565</v>
      </c>
      <c r="B9859" s="3" t="str">
        <f t="shared" si="1"/>
        <v>Unavailable</v>
      </c>
      <c r="C9859" s="3">
        <v>202.0</v>
      </c>
      <c r="D9859" s="3">
        <f>IFERROR(__xludf.DUMMYFUNCTION("IFERROR(
IF(REGEXMATCH(LOWER(O9859),""k""),
VALUE(REGEXEXTRACT(O9859,""[0-9]+""))*1000,
VALUE(REGEXEXTRACT(O9859,""[0-9]+""))
),
0
)"),0.0)</f>
        <v>0</v>
      </c>
      <c r="E9859" s="1" t="s">
        <v>11</v>
      </c>
      <c r="F9859" s="1" t="s">
        <v>20</v>
      </c>
      <c r="G9859" s="4" t="b">
        <f t="shared" si="2"/>
        <v>1</v>
      </c>
      <c r="H9859" s="1" t="str">
        <f t="shared" si="3"/>
        <v>Currently Unavailable</v>
      </c>
      <c r="I9859" s="1" t="str">
        <f t="shared" si="4"/>
        <v>No Badges</v>
      </c>
      <c r="J9859" s="3">
        <f t="shared" si="5"/>
        <v>0</v>
      </c>
    </row>
    <row r="9860">
      <c r="A9860" s="1" t="s">
        <v>6661</v>
      </c>
      <c r="B9860" s="3" t="str">
        <f t="shared" si="1"/>
        <v>Unavailable</v>
      </c>
      <c r="C9860" s="3">
        <v>24.0</v>
      </c>
      <c r="D9860" s="3">
        <f>IFERROR(__xludf.DUMMYFUNCTION("IFERROR(
IF(REGEXMATCH(LOWER(O9860),""k""),
VALUE(REGEXEXTRACT(O9860,""[0-9]+""))*1000,
VALUE(REGEXEXTRACT(O9860,""[0-9]+""))
),
0
)"),0.0)</f>
        <v>0</v>
      </c>
      <c r="E9860" s="1" t="s">
        <v>11</v>
      </c>
      <c r="F9860" s="1" t="s">
        <v>12</v>
      </c>
      <c r="G9860" s="4" t="b">
        <f t="shared" si="2"/>
        <v>1</v>
      </c>
      <c r="H9860" s="1" t="str">
        <f t="shared" si="3"/>
        <v>Currently Unavailable</v>
      </c>
      <c r="I9860" s="1" t="str">
        <f t="shared" si="4"/>
        <v>No Badges</v>
      </c>
      <c r="J9860" s="3">
        <f t="shared" si="5"/>
        <v>0</v>
      </c>
    </row>
    <row r="9861">
      <c r="A9861" s="1" t="s">
        <v>6662</v>
      </c>
      <c r="B9861" s="3" t="str">
        <f t="shared" si="1"/>
        <v>Unavailable</v>
      </c>
      <c r="C9861" s="5">
        <v>1886.0</v>
      </c>
      <c r="D9861" s="3">
        <f>IFERROR(__xludf.DUMMYFUNCTION("IFERROR(
IF(REGEXMATCH(LOWER(O9861),""k""),
VALUE(REGEXEXTRACT(O9861,""[0-9]+""))*1000,
VALUE(REGEXEXTRACT(O9861,""[0-9]+""))
),
0
)"),0.0)</f>
        <v>0</v>
      </c>
      <c r="E9861" s="1" t="s">
        <v>11</v>
      </c>
      <c r="F9861" s="1" t="s">
        <v>12</v>
      </c>
      <c r="G9861" s="4" t="b">
        <f t="shared" si="2"/>
        <v>1</v>
      </c>
      <c r="H9861" s="1" t="str">
        <f t="shared" si="3"/>
        <v>Currently Unavailable</v>
      </c>
      <c r="I9861" s="1" t="str">
        <f t="shared" si="4"/>
        <v>No Badges</v>
      </c>
      <c r="J9861" s="3">
        <f t="shared" si="5"/>
        <v>0</v>
      </c>
    </row>
    <row r="9862">
      <c r="A9862" s="1" t="s">
        <v>7566</v>
      </c>
      <c r="B9862" s="3" t="str">
        <f t="shared" si="1"/>
        <v>Unavailable</v>
      </c>
      <c r="C9862" s="5">
        <v>38911.0</v>
      </c>
      <c r="D9862" s="3">
        <f>IFERROR(__xludf.DUMMYFUNCTION("IFERROR(
IF(REGEXMATCH(LOWER(O9862),""k""),
VALUE(REGEXEXTRACT(O9862,""[0-9]+""))*1000,
VALUE(REGEXEXTRACT(O9862,""[0-9]+""))
),
0
)"),0.0)</f>
        <v>0</v>
      </c>
      <c r="E9862" s="1" t="s">
        <v>18</v>
      </c>
      <c r="F9862" s="1" t="s">
        <v>20</v>
      </c>
      <c r="G9862" s="4" t="b">
        <f t="shared" si="2"/>
        <v>1</v>
      </c>
      <c r="H9862" s="1" t="str">
        <f t="shared" si="3"/>
        <v>Currently Unavailable</v>
      </c>
      <c r="I9862" s="1" t="str">
        <f t="shared" si="4"/>
        <v>No Badges</v>
      </c>
      <c r="J9862" s="3">
        <f t="shared" si="5"/>
        <v>0</v>
      </c>
    </row>
    <row r="9863">
      <c r="A9863" s="1" t="s">
        <v>7567</v>
      </c>
      <c r="B9863" s="3" t="str">
        <f t="shared" si="1"/>
        <v>Unavailable</v>
      </c>
      <c r="C9863" s="5">
        <v>4883.0</v>
      </c>
      <c r="D9863" s="3">
        <f>IFERROR(__xludf.DUMMYFUNCTION("IFERROR(
IF(REGEXMATCH(LOWER(O9863),""k""),
VALUE(REGEXEXTRACT(O9863,""[0-9]+""))*1000,
VALUE(REGEXEXTRACT(O9863,""[0-9]+""))
),
0
)"),0.0)</f>
        <v>0</v>
      </c>
      <c r="E9863" s="1" t="s">
        <v>11</v>
      </c>
      <c r="F9863" s="1" t="s">
        <v>20</v>
      </c>
      <c r="G9863" s="4" t="b">
        <f t="shared" si="2"/>
        <v>1</v>
      </c>
      <c r="H9863" s="1" t="str">
        <f t="shared" si="3"/>
        <v>Currently Unavailable</v>
      </c>
      <c r="I9863" s="1" t="str">
        <f t="shared" si="4"/>
        <v>No Badges</v>
      </c>
      <c r="J9863" s="3">
        <f t="shared" si="5"/>
        <v>0</v>
      </c>
    </row>
    <row r="9864">
      <c r="A9864" s="1" t="s">
        <v>7568</v>
      </c>
      <c r="B9864" s="3" t="str">
        <f t="shared" si="1"/>
        <v>Unavailable</v>
      </c>
      <c r="C9864" s="5">
        <v>10065.0</v>
      </c>
      <c r="D9864" s="3">
        <f>IFERROR(__xludf.DUMMYFUNCTION("IFERROR(
IF(REGEXMATCH(LOWER(O9864),""k""),
VALUE(REGEXEXTRACT(O9864,""[0-9]+""))*1000,
VALUE(REGEXEXTRACT(O9864,""[0-9]+""))
),
0
)"),0.0)</f>
        <v>0</v>
      </c>
      <c r="E9864" s="1" t="s">
        <v>158</v>
      </c>
      <c r="F9864" s="1" t="s">
        <v>20</v>
      </c>
      <c r="G9864" s="4" t="b">
        <f t="shared" si="2"/>
        <v>1</v>
      </c>
      <c r="H9864" s="1" t="str">
        <f t="shared" si="3"/>
        <v>Currently Unavailable</v>
      </c>
      <c r="I9864" s="1" t="str">
        <f t="shared" si="4"/>
        <v>No Badges</v>
      </c>
      <c r="J9864" s="3">
        <f t="shared" si="5"/>
        <v>0</v>
      </c>
    </row>
    <row r="9865">
      <c r="A9865" s="1" t="s">
        <v>7569</v>
      </c>
      <c r="B9865" s="3" t="str">
        <f t="shared" si="1"/>
        <v>Unavailable</v>
      </c>
      <c r="C9865" s="5">
        <v>96854.0</v>
      </c>
      <c r="D9865" s="3">
        <f>IFERROR(__xludf.DUMMYFUNCTION("IFERROR(
IF(REGEXMATCH(LOWER(O9865),""k""),
VALUE(REGEXEXTRACT(O9865,""[0-9]+""))*1000,
VALUE(REGEXEXTRACT(O9865,""[0-9]+""))
),
0
)"),0.0)</f>
        <v>0</v>
      </c>
      <c r="E9865" s="1" t="s">
        <v>11</v>
      </c>
      <c r="F9865" s="1" t="s">
        <v>20</v>
      </c>
      <c r="G9865" s="4" t="b">
        <f t="shared" si="2"/>
        <v>1</v>
      </c>
      <c r="H9865" s="1" t="str">
        <f t="shared" si="3"/>
        <v>Currently Unavailable</v>
      </c>
      <c r="I9865" s="1" t="str">
        <f t="shared" si="4"/>
        <v>No Badges</v>
      </c>
      <c r="J9865" s="3">
        <f t="shared" si="5"/>
        <v>0</v>
      </c>
    </row>
    <row r="9866">
      <c r="A9866" s="1" t="s">
        <v>7570</v>
      </c>
      <c r="B9866" s="3" t="str">
        <f t="shared" si="1"/>
        <v>Unavailable</v>
      </c>
      <c r="C9866" s="5">
        <v>22791.0</v>
      </c>
      <c r="D9866" s="3">
        <f>IFERROR(__xludf.DUMMYFUNCTION("IFERROR(
IF(REGEXMATCH(LOWER(O9866),""k""),
VALUE(REGEXEXTRACT(O9866,""[0-9]+""))*1000,
VALUE(REGEXEXTRACT(O9866,""[0-9]+""))
),
0
)"),0.0)</f>
        <v>0</v>
      </c>
      <c r="E9866" s="1" t="s">
        <v>11</v>
      </c>
      <c r="F9866" s="1" t="s">
        <v>20</v>
      </c>
      <c r="G9866" s="4" t="b">
        <f t="shared" si="2"/>
        <v>1</v>
      </c>
      <c r="H9866" s="1" t="str">
        <f t="shared" si="3"/>
        <v>Currently Unavailable</v>
      </c>
      <c r="I9866" s="1" t="str">
        <f t="shared" si="4"/>
        <v>No Badges</v>
      </c>
      <c r="J9866" s="3">
        <f t="shared" si="5"/>
        <v>0</v>
      </c>
    </row>
    <row r="9867">
      <c r="A9867" s="1" t="s">
        <v>7571</v>
      </c>
      <c r="B9867" s="3" t="str">
        <f t="shared" si="1"/>
        <v>Unavailable</v>
      </c>
      <c r="C9867" s="5">
        <v>47889.0</v>
      </c>
      <c r="D9867" s="3">
        <f>IFERROR(__xludf.DUMMYFUNCTION("IFERROR(
IF(REGEXMATCH(LOWER(O9867),""k""),
VALUE(REGEXEXTRACT(O9867,""[0-9]+""))*1000,
VALUE(REGEXEXTRACT(O9867,""[0-9]+""))
),
0
)"),0.0)</f>
        <v>0</v>
      </c>
      <c r="E9867" s="1" t="s">
        <v>11</v>
      </c>
      <c r="F9867" s="1" t="s">
        <v>20</v>
      </c>
      <c r="G9867" s="4" t="b">
        <f t="shared" si="2"/>
        <v>1</v>
      </c>
      <c r="H9867" s="1" t="str">
        <f t="shared" si="3"/>
        <v>Currently Unavailable</v>
      </c>
      <c r="I9867" s="1" t="str">
        <f t="shared" si="4"/>
        <v>No Badges</v>
      </c>
      <c r="J9867" s="3">
        <f t="shared" si="5"/>
        <v>0</v>
      </c>
    </row>
    <row r="9868">
      <c r="A9868" s="1" t="s">
        <v>7572</v>
      </c>
      <c r="B9868" s="3" t="str">
        <f t="shared" si="1"/>
        <v>Unavailable</v>
      </c>
      <c r="C9868" s="5">
        <v>9671.0</v>
      </c>
      <c r="D9868" s="3">
        <f>IFERROR(__xludf.DUMMYFUNCTION("IFERROR(
IF(REGEXMATCH(LOWER(O9868),""k""),
VALUE(REGEXEXTRACT(O9868,""[0-9]+""))*1000,
VALUE(REGEXEXTRACT(O9868,""[0-9]+""))
),
0
)"),0.0)</f>
        <v>0</v>
      </c>
      <c r="E9868" s="1" t="s">
        <v>11</v>
      </c>
      <c r="F9868" s="1" t="s">
        <v>20</v>
      </c>
      <c r="G9868" s="4" t="b">
        <f t="shared" si="2"/>
        <v>1</v>
      </c>
      <c r="H9868" s="1" t="str">
        <f t="shared" si="3"/>
        <v>Currently Unavailable</v>
      </c>
      <c r="I9868" s="1" t="str">
        <f t="shared" si="4"/>
        <v>No Badges</v>
      </c>
      <c r="J9868" s="3">
        <f t="shared" si="5"/>
        <v>0</v>
      </c>
    </row>
    <row r="9869">
      <c r="A9869" s="1" t="s">
        <v>7573</v>
      </c>
      <c r="B9869" s="3" t="str">
        <f t="shared" si="1"/>
        <v>Unavailable</v>
      </c>
      <c r="C9869" s="5">
        <v>29443.0</v>
      </c>
      <c r="D9869" s="3">
        <f>IFERROR(__xludf.DUMMYFUNCTION("IFERROR(
IF(REGEXMATCH(LOWER(O9869),""k""),
VALUE(REGEXEXTRACT(O9869,""[0-9]+""))*1000,
VALUE(REGEXEXTRACT(O9869,""[0-9]+""))
),
0
)"),0.0)</f>
        <v>0</v>
      </c>
      <c r="E9869" s="1" t="s">
        <v>11</v>
      </c>
      <c r="F9869" s="1" t="s">
        <v>20</v>
      </c>
      <c r="G9869" s="4" t="b">
        <f t="shared" si="2"/>
        <v>1</v>
      </c>
      <c r="H9869" s="1" t="str">
        <f t="shared" si="3"/>
        <v>Currently Unavailable</v>
      </c>
      <c r="I9869" s="1" t="str">
        <f t="shared" si="4"/>
        <v>No Badges</v>
      </c>
      <c r="J9869" s="3">
        <f t="shared" si="5"/>
        <v>0</v>
      </c>
    </row>
    <row r="9870">
      <c r="A9870" s="1" t="s">
        <v>7574</v>
      </c>
      <c r="B9870" s="3" t="str">
        <f t="shared" si="1"/>
        <v>Unavailable</v>
      </c>
      <c r="C9870" s="5">
        <v>4504.0</v>
      </c>
      <c r="D9870" s="3">
        <f>IFERROR(__xludf.DUMMYFUNCTION("IFERROR(
IF(REGEXMATCH(LOWER(O9870),""k""),
VALUE(REGEXEXTRACT(O9870,""[0-9]+""))*1000,
VALUE(REGEXEXTRACT(O9870,""[0-9]+""))
),
0
)"),0.0)</f>
        <v>0</v>
      </c>
      <c r="E9870" s="1" t="s">
        <v>11</v>
      </c>
      <c r="F9870" s="1" t="s">
        <v>20</v>
      </c>
      <c r="G9870" s="4" t="b">
        <f t="shared" si="2"/>
        <v>1</v>
      </c>
      <c r="H9870" s="1" t="str">
        <f t="shared" si="3"/>
        <v>Currently Unavailable</v>
      </c>
      <c r="I9870" s="1" t="str">
        <f t="shared" si="4"/>
        <v>No Badges</v>
      </c>
      <c r="J9870" s="3">
        <f t="shared" si="5"/>
        <v>0</v>
      </c>
    </row>
    <row r="9871">
      <c r="A9871" s="1" t="s">
        <v>7575</v>
      </c>
      <c r="B9871" s="3" t="str">
        <f t="shared" si="1"/>
        <v>Unavailable</v>
      </c>
      <c r="C9871" s="5">
        <v>32152.0</v>
      </c>
      <c r="D9871" s="3">
        <f>IFERROR(__xludf.DUMMYFUNCTION("IFERROR(
IF(REGEXMATCH(LOWER(O9871),""k""),
VALUE(REGEXEXTRACT(O9871,""[0-9]+""))*1000,
VALUE(REGEXEXTRACT(O9871,""[0-9]+""))
),
0
)"),0.0)</f>
        <v>0</v>
      </c>
      <c r="E9871" s="1" t="s">
        <v>11</v>
      </c>
      <c r="F9871" s="1" t="s">
        <v>20</v>
      </c>
      <c r="G9871" s="4" t="b">
        <f t="shared" si="2"/>
        <v>1</v>
      </c>
      <c r="H9871" s="1" t="str">
        <f t="shared" si="3"/>
        <v>Currently Unavailable</v>
      </c>
      <c r="I9871" s="1" t="str">
        <f t="shared" si="4"/>
        <v>No Badges</v>
      </c>
      <c r="J9871" s="3">
        <f t="shared" si="5"/>
        <v>0</v>
      </c>
    </row>
    <row r="9872">
      <c r="A9872" s="1" t="s">
        <v>7576</v>
      </c>
      <c r="B9872" s="3" t="str">
        <f t="shared" si="1"/>
        <v>Unavailable</v>
      </c>
      <c r="C9872" s="5">
        <v>48108.0</v>
      </c>
      <c r="D9872" s="3">
        <f>IFERROR(__xludf.DUMMYFUNCTION("IFERROR(
IF(REGEXMATCH(LOWER(O9872),""k""),
VALUE(REGEXEXTRACT(O9872,""[0-9]+""))*1000,
VALUE(REGEXEXTRACT(O9872,""[0-9]+""))
),
0
)"),0.0)</f>
        <v>0</v>
      </c>
      <c r="E9872" s="1" t="s">
        <v>11</v>
      </c>
      <c r="F9872" s="1" t="s">
        <v>20</v>
      </c>
      <c r="G9872" s="4" t="b">
        <f t="shared" si="2"/>
        <v>1</v>
      </c>
      <c r="H9872" s="1" t="str">
        <f t="shared" si="3"/>
        <v>Currently Unavailable</v>
      </c>
      <c r="I9872" s="1" t="str">
        <f t="shared" si="4"/>
        <v>No Badges</v>
      </c>
      <c r="J9872" s="3">
        <f t="shared" si="5"/>
        <v>0</v>
      </c>
    </row>
    <row r="9873">
      <c r="A9873" s="1" t="s">
        <v>7577</v>
      </c>
      <c r="B9873" s="3" t="str">
        <f t="shared" si="1"/>
        <v>Unavailable</v>
      </c>
      <c r="C9873" s="5">
        <v>32602.0</v>
      </c>
      <c r="D9873" s="3">
        <f>IFERROR(__xludf.DUMMYFUNCTION("IFERROR(
IF(REGEXMATCH(LOWER(O9873),""k""),
VALUE(REGEXEXTRACT(O9873,""[0-9]+""))*1000,
VALUE(REGEXEXTRACT(O9873,""[0-9]+""))
),
0
)"),0.0)</f>
        <v>0</v>
      </c>
      <c r="E9873" s="1" t="s">
        <v>11</v>
      </c>
      <c r="F9873" s="1" t="s">
        <v>20</v>
      </c>
      <c r="G9873" s="4" t="b">
        <f t="shared" si="2"/>
        <v>1</v>
      </c>
      <c r="H9873" s="1" t="str">
        <f t="shared" si="3"/>
        <v>Currently Unavailable</v>
      </c>
      <c r="I9873" s="1" t="str">
        <f t="shared" si="4"/>
        <v>No Badges</v>
      </c>
      <c r="J9873" s="3">
        <f t="shared" si="5"/>
        <v>0</v>
      </c>
    </row>
    <row r="9874">
      <c r="A9874" s="1" t="s">
        <v>7578</v>
      </c>
      <c r="B9874" s="3" t="str">
        <f t="shared" si="1"/>
        <v>Unavailable</v>
      </c>
      <c r="C9874" s="5">
        <v>32159.0</v>
      </c>
      <c r="D9874" s="3">
        <f>IFERROR(__xludf.DUMMYFUNCTION("IFERROR(
IF(REGEXMATCH(LOWER(O9874),""k""),
VALUE(REGEXEXTRACT(O9874,""[0-9]+""))*1000,
VALUE(REGEXEXTRACT(O9874,""[0-9]+""))
),
0
)"),0.0)</f>
        <v>0</v>
      </c>
      <c r="E9874" s="1" t="s">
        <v>158</v>
      </c>
      <c r="F9874" s="1" t="s">
        <v>20</v>
      </c>
      <c r="G9874" s="4" t="b">
        <f t="shared" si="2"/>
        <v>1</v>
      </c>
      <c r="H9874" s="1" t="str">
        <f t="shared" si="3"/>
        <v>Currently Unavailable</v>
      </c>
      <c r="I9874" s="1" t="str">
        <f t="shared" si="4"/>
        <v>No Badges</v>
      </c>
      <c r="J9874" s="3">
        <f t="shared" si="5"/>
        <v>0</v>
      </c>
    </row>
    <row r="9875">
      <c r="A9875" s="1" t="s">
        <v>7579</v>
      </c>
      <c r="B9875" s="3" t="str">
        <f t="shared" si="1"/>
        <v>Unavailable</v>
      </c>
      <c r="C9875" s="5">
        <v>56965.0</v>
      </c>
      <c r="D9875" s="3">
        <f>IFERROR(__xludf.DUMMYFUNCTION("IFERROR(
IF(REGEXMATCH(LOWER(O9875),""k""),
VALUE(REGEXEXTRACT(O9875,""[0-9]+""))*1000,
VALUE(REGEXEXTRACT(O9875,""[0-9]+""))
),
0
)"),0.0)</f>
        <v>0</v>
      </c>
      <c r="E9875" s="1" t="s">
        <v>11</v>
      </c>
      <c r="F9875" s="1" t="s">
        <v>20</v>
      </c>
      <c r="G9875" s="4" t="b">
        <f t="shared" si="2"/>
        <v>1</v>
      </c>
      <c r="H9875" s="1" t="str">
        <f t="shared" si="3"/>
        <v>Currently Unavailable</v>
      </c>
      <c r="I9875" s="1" t="str">
        <f t="shared" si="4"/>
        <v>No Badges</v>
      </c>
      <c r="J9875" s="3">
        <f t="shared" si="5"/>
        <v>0</v>
      </c>
    </row>
    <row r="9876">
      <c r="A9876" s="1" t="s">
        <v>6650</v>
      </c>
      <c r="B9876" s="3" t="str">
        <f t="shared" si="1"/>
        <v>Unavailable</v>
      </c>
      <c r="C9876" s="3">
        <v>3.0</v>
      </c>
      <c r="D9876" s="3">
        <f>IFERROR(__xludf.DUMMYFUNCTION("IFERROR(
IF(REGEXMATCH(LOWER(O9876),""k""),
VALUE(REGEXEXTRACT(O9876,""[0-9]+""))*1000,
VALUE(REGEXEXTRACT(O9876,""[0-9]+""))
),
0
)"),0.0)</f>
        <v>0</v>
      </c>
      <c r="E9876" s="1" t="s">
        <v>11</v>
      </c>
      <c r="F9876" s="1" t="s">
        <v>12</v>
      </c>
      <c r="G9876" s="4" t="b">
        <f t="shared" si="2"/>
        <v>1</v>
      </c>
      <c r="H9876" s="1" t="str">
        <f t="shared" si="3"/>
        <v>Currently Unavailable</v>
      </c>
      <c r="I9876" s="1" t="str">
        <f t="shared" si="4"/>
        <v>No Badges</v>
      </c>
      <c r="J9876" s="3">
        <f t="shared" si="5"/>
        <v>0</v>
      </c>
    </row>
    <row r="9877">
      <c r="A9877" s="1" t="s">
        <v>7580</v>
      </c>
      <c r="B9877" s="3" t="str">
        <f t="shared" si="1"/>
        <v>Unavailable</v>
      </c>
      <c r="C9877" s="5">
        <v>21817.0</v>
      </c>
      <c r="D9877" s="3">
        <f>IFERROR(__xludf.DUMMYFUNCTION("IFERROR(
IF(REGEXMATCH(LOWER(O9877),""k""),
VALUE(REGEXEXTRACT(O9877,""[0-9]+""))*1000,
VALUE(REGEXEXTRACT(O9877,""[0-9]+""))
),
0
)"),0.0)</f>
        <v>0</v>
      </c>
      <c r="E9877" s="1" t="s">
        <v>11</v>
      </c>
      <c r="F9877" s="1" t="s">
        <v>20</v>
      </c>
      <c r="G9877" s="4" t="b">
        <f t="shared" si="2"/>
        <v>1</v>
      </c>
      <c r="H9877" s="1" t="str">
        <f t="shared" si="3"/>
        <v>Currently Unavailable</v>
      </c>
      <c r="I9877" s="1" t="str">
        <f t="shared" si="4"/>
        <v>No Badges</v>
      </c>
      <c r="J9877" s="3">
        <f t="shared" si="5"/>
        <v>0</v>
      </c>
    </row>
    <row r="9878">
      <c r="A9878" s="1" t="s">
        <v>7568</v>
      </c>
      <c r="B9878" s="3" t="str">
        <f t="shared" si="1"/>
        <v>Unavailable</v>
      </c>
      <c r="C9878" s="5">
        <v>10065.0</v>
      </c>
      <c r="D9878" s="3">
        <f>IFERROR(__xludf.DUMMYFUNCTION("IFERROR(
IF(REGEXMATCH(LOWER(O9878),""k""),
VALUE(REGEXEXTRACT(O9878,""[0-9]+""))*1000,
VALUE(REGEXEXTRACT(O9878,""[0-9]+""))
),
0
)"),0.0)</f>
        <v>0</v>
      </c>
      <c r="E9878" s="1" t="s">
        <v>158</v>
      </c>
      <c r="F9878" s="1" t="s">
        <v>12</v>
      </c>
      <c r="G9878" s="4" t="b">
        <f t="shared" si="2"/>
        <v>1</v>
      </c>
      <c r="H9878" s="1" t="str">
        <f t="shared" si="3"/>
        <v>Currently Unavailable</v>
      </c>
      <c r="I9878" s="1" t="str">
        <f t="shared" si="4"/>
        <v>No Badges</v>
      </c>
      <c r="J9878" s="3">
        <f t="shared" si="5"/>
        <v>0</v>
      </c>
    </row>
    <row r="9879">
      <c r="A9879" s="1" t="s">
        <v>7023</v>
      </c>
      <c r="B9879" s="3" t="str">
        <f t="shared" si="1"/>
        <v>Unavailable</v>
      </c>
      <c r="C9879" s="3">
        <v>368.0</v>
      </c>
      <c r="D9879" s="3">
        <f>IFERROR(__xludf.DUMMYFUNCTION("IFERROR(
IF(REGEXMATCH(LOWER(O9879),""k""),
VALUE(REGEXEXTRACT(O9879,""[0-9]+""))*1000,
VALUE(REGEXEXTRACT(O9879,""[0-9]+""))
),
0
)"),0.0)</f>
        <v>0</v>
      </c>
      <c r="E9879" s="1" t="s">
        <v>11</v>
      </c>
      <c r="F9879" s="1" t="s">
        <v>20</v>
      </c>
      <c r="G9879" s="4" t="b">
        <f t="shared" si="2"/>
        <v>1</v>
      </c>
      <c r="H9879" s="1" t="str">
        <f t="shared" si="3"/>
        <v>Currently Unavailable</v>
      </c>
      <c r="I9879" s="1" t="str">
        <f t="shared" si="4"/>
        <v>No Badges</v>
      </c>
      <c r="J9879" s="3">
        <f t="shared" si="5"/>
        <v>0</v>
      </c>
    </row>
    <row r="9880">
      <c r="A9880" s="1" t="s">
        <v>7581</v>
      </c>
      <c r="B9880" s="3" t="str">
        <f t="shared" si="1"/>
        <v>Unavailable</v>
      </c>
      <c r="C9880" s="5">
        <v>15744.0</v>
      </c>
      <c r="D9880" s="3">
        <f>IFERROR(__xludf.DUMMYFUNCTION("IFERROR(
IF(REGEXMATCH(LOWER(O9880),""k""),
VALUE(REGEXEXTRACT(O9880,""[0-9]+""))*1000,
VALUE(REGEXEXTRACT(O9880,""[0-9]+""))
),
0
)"),0.0)</f>
        <v>0</v>
      </c>
      <c r="E9880" s="1" t="s">
        <v>11</v>
      </c>
      <c r="F9880" s="1" t="s">
        <v>20</v>
      </c>
      <c r="G9880" s="4" t="b">
        <f t="shared" si="2"/>
        <v>1</v>
      </c>
      <c r="H9880" s="1" t="str">
        <f t="shared" si="3"/>
        <v>Currently Unavailable</v>
      </c>
      <c r="I9880" s="1" t="str">
        <f t="shared" si="4"/>
        <v>No Badges</v>
      </c>
      <c r="J9880" s="3">
        <f t="shared" si="5"/>
        <v>0</v>
      </c>
    </row>
    <row r="9881">
      <c r="A9881" s="1" t="s">
        <v>7582</v>
      </c>
      <c r="B9881" s="3" t="str">
        <f t="shared" si="1"/>
        <v>Unavailable</v>
      </c>
      <c r="C9881" s="5">
        <v>10087.0</v>
      </c>
      <c r="D9881" s="3">
        <f>IFERROR(__xludf.DUMMYFUNCTION("IFERROR(
IF(REGEXMATCH(LOWER(O9881),""k""),
VALUE(REGEXEXTRACT(O9881,""[0-9]+""))*1000,
VALUE(REGEXEXTRACT(O9881,""[0-9]+""))
),
0
)"),0.0)</f>
        <v>0</v>
      </c>
      <c r="E9881" s="1" t="s">
        <v>11</v>
      </c>
      <c r="F9881" s="1" t="s">
        <v>20</v>
      </c>
      <c r="G9881" s="4" t="b">
        <f t="shared" si="2"/>
        <v>1</v>
      </c>
      <c r="H9881" s="1" t="str">
        <f t="shared" si="3"/>
        <v>Currently Unavailable</v>
      </c>
      <c r="I9881" s="1" t="str">
        <f t="shared" si="4"/>
        <v>No Badges</v>
      </c>
      <c r="J9881" s="3">
        <f t="shared" si="5"/>
        <v>0</v>
      </c>
    </row>
    <row r="9882">
      <c r="A9882" s="1" t="s">
        <v>7583</v>
      </c>
      <c r="B9882" s="3" t="str">
        <f t="shared" si="1"/>
        <v>Unavailable</v>
      </c>
      <c r="C9882" s="5">
        <v>22807.0</v>
      </c>
      <c r="D9882" s="3">
        <f>IFERROR(__xludf.DUMMYFUNCTION("IFERROR(
IF(REGEXMATCH(LOWER(O9882),""k""),
VALUE(REGEXEXTRACT(O9882,""[0-9]+""))*1000,
VALUE(REGEXEXTRACT(O9882,""[0-9]+""))
),
0
)"),0.0)</f>
        <v>0</v>
      </c>
      <c r="E9882" s="1" t="s">
        <v>11</v>
      </c>
      <c r="F9882" s="1" t="s">
        <v>20</v>
      </c>
      <c r="G9882" s="4" t="b">
        <f t="shared" si="2"/>
        <v>1</v>
      </c>
      <c r="H9882" s="1" t="str">
        <f t="shared" si="3"/>
        <v>Currently Unavailable</v>
      </c>
      <c r="I9882" s="1" t="str">
        <f t="shared" si="4"/>
        <v>No Badges</v>
      </c>
      <c r="J9882" s="3">
        <f t="shared" si="5"/>
        <v>0</v>
      </c>
    </row>
    <row r="9883">
      <c r="A9883" s="1" t="s">
        <v>7584</v>
      </c>
      <c r="B9883" s="3" t="str">
        <f t="shared" si="1"/>
        <v>Unavailable</v>
      </c>
      <c r="C9883" s="5">
        <v>67051.0</v>
      </c>
      <c r="D9883" s="3">
        <f>IFERROR(__xludf.DUMMYFUNCTION("IFERROR(
IF(REGEXMATCH(LOWER(O9883),""k""),
VALUE(REGEXEXTRACT(O9883,""[0-9]+""))*1000,
VALUE(REGEXEXTRACT(O9883,""[0-9]+""))
),
0
)"),0.0)</f>
        <v>0</v>
      </c>
      <c r="E9883" s="1" t="s">
        <v>11</v>
      </c>
      <c r="F9883" s="1" t="s">
        <v>20</v>
      </c>
      <c r="G9883" s="4" t="b">
        <f t="shared" si="2"/>
        <v>1</v>
      </c>
      <c r="H9883" s="1" t="str">
        <f t="shared" si="3"/>
        <v>Currently Unavailable</v>
      </c>
      <c r="I9883" s="1" t="str">
        <f t="shared" si="4"/>
        <v>No Badges</v>
      </c>
      <c r="J9883" s="3">
        <f t="shared" si="5"/>
        <v>0</v>
      </c>
    </row>
    <row r="9884">
      <c r="A9884" s="1" t="s">
        <v>7585</v>
      </c>
      <c r="B9884" s="3" t="str">
        <f t="shared" si="1"/>
        <v>Unavailable</v>
      </c>
      <c r="C9884" s="5">
        <v>40583.0</v>
      </c>
      <c r="D9884" s="3">
        <f>IFERROR(__xludf.DUMMYFUNCTION("IFERROR(
IF(REGEXMATCH(LOWER(O9884),""k""),
VALUE(REGEXEXTRACT(O9884,""[0-9]+""))*1000,
VALUE(REGEXEXTRACT(O9884,""[0-9]+""))
),
0
)"),0.0)</f>
        <v>0</v>
      </c>
      <c r="E9884" s="1" t="s">
        <v>11</v>
      </c>
      <c r="F9884" s="1" t="s">
        <v>20</v>
      </c>
      <c r="G9884" s="4" t="b">
        <f t="shared" si="2"/>
        <v>1</v>
      </c>
      <c r="H9884" s="1" t="str">
        <f t="shared" si="3"/>
        <v>Currently Unavailable</v>
      </c>
      <c r="I9884" s="1" t="str">
        <f t="shared" si="4"/>
        <v>No Badges</v>
      </c>
      <c r="J9884" s="3">
        <f t="shared" si="5"/>
        <v>0</v>
      </c>
    </row>
    <row r="9885">
      <c r="A9885" s="1" t="s">
        <v>7586</v>
      </c>
      <c r="B9885" s="3" t="str">
        <f t="shared" si="1"/>
        <v>Unavailable</v>
      </c>
      <c r="C9885" s="5">
        <v>4511.0</v>
      </c>
      <c r="D9885" s="3">
        <f>IFERROR(__xludf.DUMMYFUNCTION("IFERROR(
IF(REGEXMATCH(LOWER(O9885),""k""),
VALUE(REGEXEXTRACT(O9885,""[0-9]+""))*1000,
VALUE(REGEXEXTRACT(O9885,""[0-9]+""))
),
0
)"),0.0)</f>
        <v>0</v>
      </c>
      <c r="E9885" s="1" t="s">
        <v>158</v>
      </c>
      <c r="F9885" s="1" t="s">
        <v>20</v>
      </c>
      <c r="G9885" s="4" t="b">
        <f t="shared" si="2"/>
        <v>1</v>
      </c>
      <c r="H9885" s="1" t="str">
        <f t="shared" si="3"/>
        <v>Currently Unavailable</v>
      </c>
      <c r="I9885" s="1" t="str">
        <f t="shared" si="4"/>
        <v>No Badges</v>
      </c>
      <c r="J9885" s="3">
        <f t="shared" si="5"/>
        <v>0</v>
      </c>
    </row>
    <row r="9886">
      <c r="A9886" s="1" t="s">
        <v>7587</v>
      </c>
      <c r="B9886" s="3" t="str">
        <f t="shared" si="1"/>
        <v>Unavailable</v>
      </c>
      <c r="C9886" s="5">
        <v>9680.0</v>
      </c>
      <c r="D9886" s="3">
        <f>IFERROR(__xludf.DUMMYFUNCTION("IFERROR(
IF(REGEXMATCH(LOWER(O9886),""k""),
VALUE(REGEXEXTRACT(O9886,""[0-9]+""))*1000,
VALUE(REGEXEXTRACT(O9886,""[0-9]+""))
),
0
)"),0.0)</f>
        <v>0</v>
      </c>
      <c r="E9886" s="1" t="s">
        <v>11</v>
      </c>
      <c r="F9886" s="1" t="s">
        <v>20</v>
      </c>
      <c r="G9886" s="4" t="b">
        <f t="shared" si="2"/>
        <v>1</v>
      </c>
      <c r="H9886" s="1" t="str">
        <f t="shared" si="3"/>
        <v>Currently Unavailable</v>
      </c>
      <c r="I9886" s="1" t="str">
        <f t="shared" si="4"/>
        <v>No Badges</v>
      </c>
      <c r="J9886" s="3">
        <f t="shared" si="5"/>
        <v>0</v>
      </c>
    </row>
    <row r="9887">
      <c r="A9887" s="1" t="s">
        <v>7588</v>
      </c>
      <c r="B9887" s="3" t="str">
        <f t="shared" si="1"/>
        <v>Unavailable</v>
      </c>
      <c r="C9887" s="5">
        <v>44709.0</v>
      </c>
      <c r="D9887" s="3">
        <f>IFERROR(__xludf.DUMMYFUNCTION("IFERROR(
IF(REGEXMATCH(LOWER(O9887),""k""),
VALUE(REGEXEXTRACT(O9887,""[0-9]+""))*1000,
VALUE(REGEXEXTRACT(O9887,""[0-9]+""))
),
0
)"),0.0)</f>
        <v>0</v>
      </c>
      <c r="E9887" s="1" t="s">
        <v>11</v>
      </c>
      <c r="F9887" s="1" t="s">
        <v>20</v>
      </c>
      <c r="G9887" s="4" t="b">
        <f t="shared" si="2"/>
        <v>1</v>
      </c>
      <c r="H9887" s="1" t="str">
        <f t="shared" si="3"/>
        <v>Currently Unavailable</v>
      </c>
      <c r="I9887" s="1" t="str">
        <f t="shared" si="4"/>
        <v>No Badges</v>
      </c>
      <c r="J9887" s="3">
        <f t="shared" si="5"/>
        <v>0</v>
      </c>
    </row>
    <row r="9888">
      <c r="A9888" s="1" t="s">
        <v>7589</v>
      </c>
      <c r="B9888" s="3" t="str">
        <f t="shared" si="1"/>
        <v>Unavailable</v>
      </c>
      <c r="C9888" s="5">
        <v>2605.0</v>
      </c>
      <c r="D9888" s="3">
        <f>IFERROR(__xludf.DUMMYFUNCTION("IFERROR(
IF(REGEXMATCH(LOWER(O9888),""k""),
VALUE(REGEXEXTRACT(O9888,""[0-9]+""))*1000,
VALUE(REGEXEXTRACT(O9888,""[0-9]+""))
),
0
)"),0.0)</f>
        <v>0</v>
      </c>
      <c r="E9888" s="1" t="s">
        <v>11</v>
      </c>
      <c r="F9888" s="1" t="s">
        <v>20</v>
      </c>
      <c r="G9888" s="4" t="b">
        <f t="shared" si="2"/>
        <v>1</v>
      </c>
      <c r="H9888" s="1" t="str">
        <f t="shared" si="3"/>
        <v>Currently Unavailable</v>
      </c>
      <c r="I9888" s="1" t="str">
        <f t="shared" si="4"/>
        <v>No Badges</v>
      </c>
      <c r="J9888" s="3">
        <f t="shared" si="5"/>
        <v>0</v>
      </c>
    </row>
    <row r="9889">
      <c r="A9889" s="1" t="s">
        <v>7590</v>
      </c>
      <c r="B9889" s="3" t="str">
        <f t="shared" si="1"/>
        <v>Unavailable</v>
      </c>
      <c r="C9889" s="5">
        <v>76176.0</v>
      </c>
      <c r="D9889" s="3">
        <f>IFERROR(__xludf.DUMMYFUNCTION("IFERROR(
IF(REGEXMATCH(LOWER(O9889),""k""),
VALUE(REGEXEXTRACT(O9889,""[0-9]+""))*1000,
VALUE(REGEXEXTRACT(O9889,""[0-9]+""))
),
0
)"),0.0)</f>
        <v>0</v>
      </c>
      <c r="E9889" s="1" t="s">
        <v>18</v>
      </c>
      <c r="F9889" s="1" t="s">
        <v>20</v>
      </c>
      <c r="G9889" s="4" t="b">
        <f t="shared" si="2"/>
        <v>1</v>
      </c>
      <c r="H9889" s="1" t="str">
        <f t="shared" si="3"/>
        <v>Currently Unavailable</v>
      </c>
      <c r="I9889" s="1" t="str">
        <f t="shared" si="4"/>
        <v>No Badges</v>
      </c>
      <c r="J9889" s="3">
        <f t="shared" si="5"/>
        <v>0</v>
      </c>
    </row>
    <row r="9890">
      <c r="A9890" s="1" t="s">
        <v>7591</v>
      </c>
      <c r="B9890" s="3" t="str">
        <f t="shared" si="1"/>
        <v>Unavailable</v>
      </c>
      <c r="C9890" s="5">
        <v>1083.0</v>
      </c>
      <c r="D9890" s="3">
        <f>IFERROR(__xludf.DUMMYFUNCTION("IFERROR(
IF(REGEXMATCH(LOWER(O9890),""k""),
VALUE(REGEXEXTRACT(O9890,""[0-9]+""))*1000,
VALUE(REGEXEXTRACT(O9890,""[0-9]+""))
),
0
)"),0.0)</f>
        <v>0</v>
      </c>
      <c r="E9890" s="1" t="s">
        <v>11</v>
      </c>
      <c r="F9890" s="1" t="s">
        <v>20</v>
      </c>
      <c r="G9890" s="4" t="b">
        <f t="shared" si="2"/>
        <v>1</v>
      </c>
      <c r="H9890" s="1" t="str">
        <f t="shared" si="3"/>
        <v>Currently Unavailable</v>
      </c>
      <c r="I9890" s="1" t="str">
        <f t="shared" si="4"/>
        <v>No Badges</v>
      </c>
      <c r="J9890" s="3">
        <f t="shared" si="5"/>
        <v>0</v>
      </c>
    </row>
    <row r="9891">
      <c r="A9891" s="1" t="s">
        <v>7592</v>
      </c>
      <c r="B9891" s="3" t="str">
        <f t="shared" si="1"/>
        <v>Unavailable</v>
      </c>
      <c r="C9891" s="5">
        <v>47664.0</v>
      </c>
      <c r="D9891" s="3">
        <f>IFERROR(__xludf.DUMMYFUNCTION("IFERROR(
IF(REGEXMATCH(LOWER(O9891),""k""),
VALUE(REGEXEXTRACT(O9891,""[0-9]+""))*1000,
VALUE(REGEXEXTRACT(O9891,""[0-9]+""))
),
0
)"),0.0)</f>
        <v>0</v>
      </c>
      <c r="E9891" s="1" t="s">
        <v>11</v>
      </c>
      <c r="F9891" s="1" t="s">
        <v>20</v>
      </c>
      <c r="G9891" s="4" t="b">
        <f t="shared" si="2"/>
        <v>1</v>
      </c>
      <c r="H9891" s="1" t="str">
        <f t="shared" si="3"/>
        <v>Currently Unavailable</v>
      </c>
      <c r="I9891" s="1" t="str">
        <f t="shared" si="4"/>
        <v>No Badges</v>
      </c>
      <c r="J9891" s="3">
        <f t="shared" si="5"/>
        <v>0</v>
      </c>
    </row>
    <row r="9892">
      <c r="A9892" s="1" t="s">
        <v>7593</v>
      </c>
      <c r="B9892" s="3" t="str">
        <f t="shared" si="1"/>
        <v>Unavailable</v>
      </c>
      <c r="C9892" s="5">
        <v>36643.0</v>
      </c>
      <c r="D9892" s="3">
        <f>IFERROR(__xludf.DUMMYFUNCTION("IFERROR(
IF(REGEXMATCH(LOWER(O9892),""k""),
VALUE(REGEXEXTRACT(O9892,""[0-9]+""))*1000,
VALUE(REGEXEXTRACT(O9892,""[0-9]+""))
),
0
)"),0.0)</f>
        <v>0</v>
      </c>
      <c r="E9892" s="1" t="s">
        <v>11</v>
      </c>
      <c r="F9892" s="1" t="s">
        <v>20</v>
      </c>
      <c r="G9892" s="4" t="b">
        <f t="shared" si="2"/>
        <v>1</v>
      </c>
      <c r="H9892" s="1" t="str">
        <f t="shared" si="3"/>
        <v>Currently Unavailable</v>
      </c>
      <c r="I9892" s="1" t="str">
        <f t="shared" si="4"/>
        <v>No Badges</v>
      </c>
      <c r="J9892" s="3">
        <f t="shared" si="5"/>
        <v>0</v>
      </c>
    </row>
    <row r="9893">
      <c r="A9893" s="1" t="s">
        <v>7594</v>
      </c>
      <c r="B9893" s="3" t="str">
        <f t="shared" si="1"/>
        <v>Unavailable</v>
      </c>
      <c r="C9893" s="5">
        <v>27356.0</v>
      </c>
      <c r="D9893" s="3">
        <f>IFERROR(__xludf.DUMMYFUNCTION("IFERROR(
IF(REGEXMATCH(LOWER(O9893),""k""),
VALUE(REGEXEXTRACT(O9893,""[0-9]+""))*1000,
VALUE(REGEXEXTRACT(O9893,""[0-9]+""))
),
0
)"),0.0)</f>
        <v>0</v>
      </c>
      <c r="E9893" s="1" t="s">
        <v>11</v>
      </c>
      <c r="F9893" s="1" t="s">
        <v>20</v>
      </c>
      <c r="G9893" s="4" t="b">
        <f t="shared" si="2"/>
        <v>1</v>
      </c>
      <c r="H9893" s="1" t="str">
        <f t="shared" si="3"/>
        <v>Currently Unavailable</v>
      </c>
      <c r="I9893" s="1" t="str">
        <f t="shared" si="4"/>
        <v>No Badges</v>
      </c>
      <c r="J9893" s="3">
        <f t="shared" si="5"/>
        <v>0</v>
      </c>
    </row>
    <row r="9894">
      <c r="A9894" s="1" t="s">
        <v>7595</v>
      </c>
      <c r="B9894" s="3" t="str">
        <f t="shared" si="1"/>
        <v>Unavailable</v>
      </c>
      <c r="C9894" s="5">
        <v>11167.0</v>
      </c>
      <c r="D9894" s="3">
        <f>IFERROR(__xludf.DUMMYFUNCTION("IFERROR(
IF(REGEXMATCH(LOWER(O9894),""k""),
VALUE(REGEXEXTRACT(O9894,""[0-9]+""))*1000,
VALUE(REGEXEXTRACT(O9894,""[0-9]+""))
),
0
)"),0.0)</f>
        <v>0</v>
      </c>
      <c r="E9894" s="1" t="s">
        <v>11</v>
      </c>
      <c r="F9894" s="1" t="s">
        <v>20</v>
      </c>
      <c r="G9894" s="4" t="b">
        <f t="shared" si="2"/>
        <v>1</v>
      </c>
      <c r="H9894" s="1" t="str">
        <f t="shared" si="3"/>
        <v>Currently Unavailable</v>
      </c>
      <c r="I9894" s="1" t="str">
        <f t="shared" si="4"/>
        <v>No Badges</v>
      </c>
      <c r="J9894" s="3">
        <f t="shared" si="5"/>
        <v>0</v>
      </c>
    </row>
    <row r="9895">
      <c r="A9895" s="1" t="s">
        <v>7596</v>
      </c>
      <c r="B9895" s="3" t="str">
        <f t="shared" si="1"/>
        <v>Unavailable</v>
      </c>
      <c r="C9895" s="5">
        <v>10773.0</v>
      </c>
      <c r="D9895" s="3">
        <f>IFERROR(__xludf.DUMMYFUNCTION("IFERROR(
IF(REGEXMATCH(LOWER(O9895),""k""),
VALUE(REGEXEXTRACT(O9895,""[0-9]+""))*1000,
VALUE(REGEXEXTRACT(O9895,""[0-9]+""))
),
0
)"),0.0)</f>
        <v>0</v>
      </c>
      <c r="E9895" s="1" t="s">
        <v>11</v>
      </c>
      <c r="F9895" s="1" t="s">
        <v>20</v>
      </c>
      <c r="G9895" s="4" t="b">
        <f t="shared" si="2"/>
        <v>1</v>
      </c>
      <c r="H9895" s="1" t="str">
        <f t="shared" si="3"/>
        <v>Currently Unavailable</v>
      </c>
      <c r="I9895" s="1" t="str">
        <f t="shared" si="4"/>
        <v>No Badges</v>
      </c>
      <c r="J9895" s="3">
        <f t="shared" si="5"/>
        <v>0</v>
      </c>
    </row>
    <row r="9896">
      <c r="A9896" s="1" t="s">
        <v>7589</v>
      </c>
      <c r="B9896" s="3" t="str">
        <f t="shared" si="1"/>
        <v>Unavailable</v>
      </c>
      <c r="C9896" s="5">
        <v>2605.0</v>
      </c>
      <c r="D9896" s="3">
        <f>IFERROR(__xludf.DUMMYFUNCTION("IFERROR(
IF(REGEXMATCH(LOWER(O9896),""k""),
VALUE(REGEXEXTRACT(O9896,""[0-9]+""))*1000,
VALUE(REGEXEXTRACT(O9896,""[0-9]+""))
),
0
)"),0.0)</f>
        <v>0</v>
      </c>
      <c r="E9896" s="1" t="s">
        <v>11</v>
      </c>
      <c r="F9896" s="1" t="s">
        <v>12</v>
      </c>
      <c r="G9896" s="4" t="b">
        <f t="shared" si="2"/>
        <v>1</v>
      </c>
      <c r="H9896" s="1" t="str">
        <f t="shared" si="3"/>
        <v>Currently Unavailable</v>
      </c>
      <c r="I9896" s="1" t="str">
        <f t="shared" si="4"/>
        <v>No Badges</v>
      </c>
      <c r="J9896" s="3">
        <f t="shared" si="5"/>
        <v>0</v>
      </c>
    </row>
    <row r="9897">
      <c r="A9897" s="1" t="s">
        <v>7597</v>
      </c>
      <c r="B9897" s="3" t="str">
        <f t="shared" si="1"/>
        <v>Unavailable</v>
      </c>
      <c r="C9897" s="3">
        <v>460.0</v>
      </c>
      <c r="D9897" s="3">
        <f>IFERROR(__xludf.DUMMYFUNCTION("IFERROR(
IF(REGEXMATCH(LOWER(O9897),""k""),
VALUE(REGEXEXTRACT(O9897,""[0-9]+""))*1000,
VALUE(REGEXEXTRACT(O9897,""[0-9]+""))
),
0
)"),0.0)</f>
        <v>0</v>
      </c>
      <c r="E9897" s="1" t="s">
        <v>11</v>
      </c>
      <c r="F9897" s="1" t="s">
        <v>20</v>
      </c>
      <c r="G9897" s="4" t="b">
        <f t="shared" si="2"/>
        <v>1</v>
      </c>
      <c r="H9897" s="1" t="str">
        <f t="shared" si="3"/>
        <v>Currently Unavailable</v>
      </c>
      <c r="I9897" s="1" t="str">
        <f t="shared" si="4"/>
        <v>No Badges</v>
      </c>
      <c r="J9897" s="3">
        <f t="shared" si="5"/>
        <v>0</v>
      </c>
    </row>
    <row r="9898">
      <c r="A9898" s="1" t="s">
        <v>7598</v>
      </c>
      <c r="B9898" s="3" t="str">
        <f t="shared" si="1"/>
        <v>Unavailable</v>
      </c>
      <c r="C9898" s="3">
        <v>77.0</v>
      </c>
      <c r="D9898" s="3">
        <f>IFERROR(__xludf.DUMMYFUNCTION("IFERROR(
IF(REGEXMATCH(LOWER(O9898),""k""),
VALUE(REGEXEXTRACT(O9898,""[0-9]+""))*1000,
VALUE(REGEXEXTRACT(O9898,""[0-9]+""))
),
0
)"),0.0)</f>
        <v>0</v>
      </c>
      <c r="E9898" s="1" t="s">
        <v>11</v>
      </c>
      <c r="F9898" s="1" t="s">
        <v>20</v>
      </c>
      <c r="G9898" s="4" t="b">
        <f t="shared" si="2"/>
        <v>1</v>
      </c>
      <c r="H9898" s="1" t="str">
        <f t="shared" si="3"/>
        <v>Currently Unavailable</v>
      </c>
      <c r="I9898" s="1" t="str">
        <f t="shared" si="4"/>
        <v>No Badges</v>
      </c>
      <c r="J9898" s="3">
        <f t="shared" si="5"/>
        <v>0</v>
      </c>
    </row>
    <row r="9899">
      <c r="A9899" s="1" t="s">
        <v>7037</v>
      </c>
      <c r="B9899" s="3" t="str">
        <f t="shared" si="1"/>
        <v>Unavailable</v>
      </c>
      <c r="C9899" s="3">
        <v>132.0</v>
      </c>
      <c r="D9899" s="3">
        <f>IFERROR(__xludf.DUMMYFUNCTION("IFERROR(
IF(REGEXMATCH(LOWER(O9899),""k""),
VALUE(REGEXEXTRACT(O9899,""[0-9]+""))*1000,
VALUE(REGEXEXTRACT(O9899,""[0-9]+""))
),
0
)"),0.0)</f>
        <v>0</v>
      </c>
      <c r="E9899" s="1" t="s">
        <v>11</v>
      </c>
      <c r="F9899" s="1" t="s">
        <v>20</v>
      </c>
      <c r="G9899" s="4" t="b">
        <f t="shared" si="2"/>
        <v>1</v>
      </c>
      <c r="H9899" s="1" t="str">
        <f t="shared" si="3"/>
        <v>Currently Unavailable</v>
      </c>
      <c r="I9899" s="1" t="str">
        <f t="shared" si="4"/>
        <v>No Badges</v>
      </c>
      <c r="J9899" s="3">
        <f t="shared" si="5"/>
        <v>0</v>
      </c>
    </row>
    <row r="9900">
      <c r="A9900" s="1" t="s">
        <v>7599</v>
      </c>
      <c r="B9900" s="3" t="str">
        <f t="shared" si="1"/>
        <v>Unavailable</v>
      </c>
      <c r="C9900" s="3">
        <v>650.0</v>
      </c>
      <c r="D9900" s="3">
        <f>IFERROR(__xludf.DUMMYFUNCTION("IFERROR(
IF(REGEXMATCH(LOWER(O9900),""k""),
VALUE(REGEXEXTRACT(O9900,""[0-9]+""))*1000,
VALUE(REGEXEXTRACT(O9900,""[0-9]+""))
),
0
)"),0.0)</f>
        <v>0</v>
      </c>
      <c r="E9900" s="1" t="s">
        <v>11</v>
      </c>
      <c r="F9900" s="1" t="s">
        <v>20</v>
      </c>
      <c r="G9900" s="4" t="b">
        <f t="shared" si="2"/>
        <v>1</v>
      </c>
      <c r="H9900" s="1" t="str">
        <f t="shared" si="3"/>
        <v>Currently Unavailable</v>
      </c>
      <c r="I9900" s="1" t="str">
        <f t="shared" si="4"/>
        <v>No Badges</v>
      </c>
      <c r="J9900" s="3">
        <f t="shared" si="5"/>
        <v>0</v>
      </c>
    </row>
    <row r="9901">
      <c r="A9901" s="1" t="s">
        <v>7600</v>
      </c>
      <c r="B9901" s="3" t="str">
        <f t="shared" si="1"/>
        <v>Unavailable</v>
      </c>
      <c r="C9901" s="5">
        <v>2646.0</v>
      </c>
      <c r="D9901" s="3">
        <f>IFERROR(__xludf.DUMMYFUNCTION("IFERROR(
IF(REGEXMATCH(LOWER(O9901),""k""),
VALUE(REGEXEXTRACT(O9901,""[0-9]+""))*1000,
VALUE(REGEXEXTRACT(O9901,""[0-9]+""))
),
0
)"),0.0)</f>
        <v>0</v>
      </c>
      <c r="E9901" s="1" t="s">
        <v>11</v>
      </c>
      <c r="F9901" s="1" t="s">
        <v>20</v>
      </c>
      <c r="G9901" s="4" t="b">
        <f t="shared" si="2"/>
        <v>1</v>
      </c>
      <c r="H9901" s="1" t="str">
        <f t="shared" si="3"/>
        <v>Currently Unavailable</v>
      </c>
      <c r="I9901" s="1" t="str">
        <f t="shared" si="4"/>
        <v>No Badges</v>
      </c>
      <c r="J9901" s="3">
        <f t="shared" si="5"/>
        <v>0</v>
      </c>
    </row>
    <row r="9902">
      <c r="A9902" s="1" t="s">
        <v>7601</v>
      </c>
      <c r="B9902" s="3" t="str">
        <f t="shared" si="1"/>
        <v>Unavailable</v>
      </c>
      <c r="C9902" s="3">
        <v>178.0</v>
      </c>
      <c r="D9902" s="3">
        <f>IFERROR(__xludf.DUMMYFUNCTION("IFERROR(
IF(REGEXMATCH(LOWER(O9902),""k""),
VALUE(REGEXEXTRACT(O9902,""[0-9]+""))*1000,
VALUE(REGEXEXTRACT(O9902,""[0-9]+""))
),
0
)"),0.0)</f>
        <v>0</v>
      </c>
      <c r="E9902" s="1" t="s">
        <v>11</v>
      </c>
      <c r="F9902" s="1" t="s">
        <v>20</v>
      </c>
      <c r="G9902" s="4" t="b">
        <f t="shared" si="2"/>
        <v>1</v>
      </c>
      <c r="H9902" s="1" t="str">
        <f t="shared" si="3"/>
        <v>Currently Unavailable</v>
      </c>
      <c r="I9902" s="1" t="str">
        <f t="shared" si="4"/>
        <v>No Badges</v>
      </c>
      <c r="J9902" s="3">
        <f t="shared" si="5"/>
        <v>0</v>
      </c>
    </row>
    <row r="9903">
      <c r="A9903" s="1" t="s">
        <v>7602</v>
      </c>
      <c r="B9903" s="3" t="str">
        <f t="shared" si="1"/>
        <v>Unavailable</v>
      </c>
      <c r="C9903" s="5">
        <v>1578.0</v>
      </c>
      <c r="D9903" s="3">
        <f>IFERROR(__xludf.DUMMYFUNCTION("IFERROR(
IF(REGEXMATCH(LOWER(O9903),""k""),
VALUE(REGEXEXTRACT(O9903,""[0-9]+""))*1000,
VALUE(REGEXEXTRACT(O9903,""[0-9]+""))
),
0
)"),0.0)</f>
        <v>0</v>
      </c>
      <c r="E9903" s="1" t="s">
        <v>11</v>
      </c>
      <c r="F9903" s="1" t="s">
        <v>20</v>
      </c>
      <c r="G9903" s="4" t="b">
        <f t="shared" si="2"/>
        <v>1</v>
      </c>
      <c r="H9903" s="1" t="str">
        <f t="shared" si="3"/>
        <v>Currently Unavailable</v>
      </c>
      <c r="I9903" s="1" t="str">
        <f t="shared" si="4"/>
        <v>No Badges</v>
      </c>
      <c r="J9903" s="3">
        <f t="shared" si="5"/>
        <v>0</v>
      </c>
    </row>
    <row r="9904">
      <c r="A9904" s="1" t="s">
        <v>7603</v>
      </c>
      <c r="B9904" s="3" t="str">
        <f t="shared" si="1"/>
        <v>Unavailable</v>
      </c>
      <c r="C9904" s="5">
        <v>16662.0</v>
      </c>
      <c r="D9904" s="3">
        <f>IFERROR(__xludf.DUMMYFUNCTION("IFERROR(
IF(REGEXMATCH(LOWER(O9904),""k""),
VALUE(REGEXEXTRACT(O9904,""[0-9]+""))*1000,
VALUE(REGEXEXTRACT(O9904,""[0-9]+""))
),
0
)"),0.0)</f>
        <v>0</v>
      </c>
      <c r="E9904" s="1" t="s">
        <v>11</v>
      </c>
      <c r="F9904" s="1" t="s">
        <v>20</v>
      </c>
      <c r="G9904" s="4" t="b">
        <f t="shared" si="2"/>
        <v>1</v>
      </c>
      <c r="H9904" s="1" t="str">
        <f t="shared" si="3"/>
        <v>Currently Unavailable</v>
      </c>
      <c r="I9904" s="1" t="str">
        <f t="shared" si="4"/>
        <v>No Badges</v>
      </c>
      <c r="J9904" s="3">
        <f t="shared" si="5"/>
        <v>0</v>
      </c>
    </row>
    <row r="9905">
      <c r="A9905" s="1" t="s">
        <v>7604</v>
      </c>
      <c r="B9905" s="3" t="str">
        <f t="shared" si="1"/>
        <v>Unavailable</v>
      </c>
      <c r="C9905" s="5">
        <v>1077.0</v>
      </c>
      <c r="D9905" s="3">
        <f>IFERROR(__xludf.DUMMYFUNCTION("IFERROR(
IF(REGEXMATCH(LOWER(O9905),""k""),
VALUE(REGEXEXTRACT(O9905,""[0-9]+""))*1000,
VALUE(REGEXEXTRACT(O9905,""[0-9]+""))
),
0
)"),0.0)</f>
        <v>0</v>
      </c>
      <c r="E9905" s="1" t="s">
        <v>11</v>
      </c>
      <c r="F9905" s="1" t="s">
        <v>20</v>
      </c>
      <c r="G9905" s="4" t="b">
        <f t="shared" si="2"/>
        <v>1</v>
      </c>
      <c r="H9905" s="1" t="str">
        <f t="shared" si="3"/>
        <v>Currently Unavailable</v>
      </c>
      <c r="I9905" s="1" t="str">
        <f t="shared" si="4"/>
        <v>No Badges</v>
      </c>
      <c r="J9905" s="3">
        <f t="shared" si="5"/>
        <v>0</v>
      </c>
    </row>
    <row r="9906">
      <c r="A9906" s="1" t="s">
        <v>7605</v>
      </c>
      <c r="B9906" s="3" t="str">
        <f t="shared" si="1"/>
        <v>Unavailable</v>
      </c>
      <c r="C9906" s="5">
        <v>1933.0</v>
      </c>
      <c r="D9906" s="3">
        <f>IFERROR(__xludf.DUMMYFUNCTION("IFERROR(
IF(REGEXMATCH(LOWER(O9906),""k""),
VALUE(REGEXEXTRACT(O9906,""[0-9]+""))*1000,
VALUE(REGEXEXTRACT(O9906,""[0-9]+""))
),
0
)"),0.0)</f>
        <v>0</v>
      </c>
      <c r="E9906" s="1" t="s">
        <v>11</v>
      </c>
      <c r="F9906" s="1" t="s">
        <v>20</v>
      </c>
      <c r="G9906" s="4" t="b">
        <f t="shared" si="2"/>
        <v>1</v>
      </c>
      <c r="H9906" s="1" t="str">
        <f t="shared" si="3"/>
        <v>Currently Unavailable</v>
      </c>
      <c r="I9906" s="1" t="str">
        <f t="shared" si="4"/>
        <v>No Badges</v>
      </c>
      <c r="J9906" s="3">
        <f t="shared" si="5"/>
        <v>0</v>
      </c>
    </row>
    <row r="9907">
      <c r="A9907" s="1" t="s">
        <v>7606</v>
      </c>
      <c r="B9907" s="3" t="str">
        <f t="shared" si="1"/>
        <v>Unavailable</v>
      </c>
      <c r="C9907" s="3">
        <v>124.0</v>
      </c>
      <c r="D9907" s="3">
        <f>IFERROR(__xludf.DUMMYFUNCTION("IFERROR(
IF(REGEXMATCH(LOWER(O9907),""k""),
VALUE(REGEXEXTRACT(O9907,""[0-9]+""))*1000,
VALUE(REGEXEXTRACT(O9907,""[0-9]+""))
),
0
)"),0.0)</f>
        <v>0</v>
      </c>
      <c r="E9907" s="1" t="s">
        <v>11</v>
      </c>
      <c r="F9907" s="1" t="s">
        <v>20</v>
      </c>
      <c r="G9907" s="4" t="b">
        <f t="shared" si="2"/>
        <v>1</v>
      </c>
      <c r="H9907" s="1" t="str">
        <f t="shared" si="3"/>
        <v>Currently Unavailable</v>
      </c>
      <c r="I9907" s="1" t="str">
        <f t="shared" si="4"/>
        <v>No Badges</v>
      </c>
      <c r="J9907" s="3">
        <f t="shared" si="5"/>
        <v>0</v>
      </c>
    </row>
    <row r="9908">
      <c r="A9908" s="1" t="s">
        <v>7607</v>
      </c>
      <c r="B9908" s="3" t="str">
        <f t="shared" si="1"/>
        <v>Unavailable</v>
      </c>
      <c r="C9908" s="5">
        <v>4711.0</v>
      </c>
      <c r="D9908" s="3">
        <f>IFERROR(__xludf.DUMMYFUNCTION("IFERROR(
IF(REGEXMATCH(LOWER(O9908),""k""),
VALUE(REGEXEXTRACT(O9908,""[0-9]+""))*1000,
VALUE(REGEXEXTRACT(O9908,""[0-9]+""))
),
0
)"),0.0)</f>
        <v>0</v>
      </c>
      <c r="E9908" s="1" t="s">
        <v>11</v>
      </c>
      <c r="F9908" s="1" t="s">
        <v>20</v>
      </c>
      <c r="G9908" s="4" t="b">
        <f t="shared" si="2"/>
        <v>1</v>
      </c>
      <c r="H9908" s="1" t="str">
        <f t="shared" si="3"/>
        <v>Currently Unavailable</v>
      </c>
      <c r="I9908" s="1" t="str">
        <f t="shared" si="4"/>
        <v>No Badges</v>
      </c>
      <c r="J9908" s="3">
        <f t="shared" si="5"/>
        <v>0</v>
      </c>
    </row>
    <row r="9909">
      <c r="A9909" s="1" t="s">
        <v>7608</v>
      </c>
      <c r="B9909" s="3" t="str">
        <f t="shared" si="1"/>
        <v>Unavailable</v>
      </c>
      <c r="C9909" s="5">
        <v>1749.0</v>
      </c>
      <c r="D9909" s="3">
        <f>IFERROR(__xludf.DUMMYFUNCTION("IFERROR(
IF(REGEXMATCH(LOWER(O9909),""k""),
VALUE(REGEXEXTRACT(O9909,""[0-9]+""))*1000,
VALUE(REGEXEXTRACT(O9909,""[0-9]+""))
),
0
)"),0.0)</f>
        <v>0</v>
      </c>
      <c r="E9909" s="1" t="s">
        <v>11</v>
      </c>
      <c r="F9909" s="1" t="s">
        <v>20</v>
      </c>
      <c r="G9909" s="4" t="b">
        <f t="shared" si="2"/>
        <v>1</v>
      </c>
      <c r="H9909" s="1" t="str">
        <f t="shared" si="3"/>
        <v>Currently Unavailable</v>
      </c>
      <c r="I9909" s="1" t="str">
        <f t="shared" si="4"/>
        <v>No Badges</v>
      </c>
      <c r="J9909" s="3">
        <f t="shared" si="5"/>
        <v>0</v>
      </c>
    </row>
    <row r="9910">
      <c r="A9910" s="1" t="s">
        <v>7609</v>
      </c>
      <c r="B9910" s="3" t="str">
        <f t="shared" si="1"/>
        <v>Unavailable</v>
      </c>
      <c r="C9910" s="5">
        <v>16460.0</v>
      </c>
      <c r="D9910" s="3">
        <f>IFERROR(__xludf.DUMMYFUNCTION("IFERROR(
IF(REGEXMATCH(LOWER(O9910),""k""),
VALUE(REGEXEXTRACT(O9910,""[0-9]+""))*1000,
VALUE(REGEXEXTRACT(O9910,""[0-9]+""))
),
0
)"),0.0)</f>
        <v>0</v>
      </c>
      <c r="E9910" s="1" t="s">
        <v>11</v>
      </c>
      <c r="F9910" s="1" t="s">
        <v>20</v>
      </c>
      <c r="G9910" s="4" t="b">
        <f t="shared" si="2"/>
        <v>1</v>
      </c>
      <c r="H9910" s="1" t="str">
        <f t="shared" si="3"/>
        <v>Currently Unavailable</v>
      </c>
      <c r="I9910" s="1" t="str">
        <f t="shared" si="4"/>
        <v>No Badges</v>
      </c>
      <c r="J9910" s="3">
        <f t="shared" si="5"/>
        <v>0</v>
      </c>
    </row>
    <row r="9911">
      <c r="A9911" s="1" t="s">
        <v>7610</v>
      </c>
      <c r="B9911" s="3" t="str">
        <f t="shared" si="1"/>
        <v>Unavailable</v>
      </c>
      <c r="C9911" s="3">
        <v>210.0</v>
      </c>
      <c r="D9911" s="3">
        <f>IFERROR(__xludf.DUMMYFUNCTION("IFERROR(
IF(REGEXMATCH(LOWER(O9911),""k""),
VALUE(REGEXEXTRACT(O9911,""[0-9]+""))*1000,
VALUE(REGEXEXTRACT(O9911,""[0-9]+""))
),
0
)"),0.0)</f>
        <v>0</v>
      </c>
      <c r="E9911" s="1" t="s">
        <v>11</v>
      </c>
      <c r="F9911" s="1" t="s">
        <v>20</v>
      </c>
      <c r="G9911" s="4" t="b">
        <f t="shared" si="2"/>
        <v>1</v>
      </c>
      <c r="H9911" s="1" t="str">
        <f t="shared" si="3"/>
        <v>Currently Unavailable</v>
      </c>
      <c r="I9911" s="1" t="str">
        <f t="shared" si="4"/>
        <v>No Badges</v>
      </c>
      <c r="J9911" s="3">
        <f t="shared" si="5"/>
        <v>0</v>
      </c>
    </row>
    <row r="9912">
      <c r="A9912" s="1" t="s">
        <v>7611</v>
      </c>
      <c r="B9912" s="3" t="str">
        <f t="shared" si="1"/>
        <v>Unavailable</v>
      </c>
      <c r="C9912" s="3">
        <v>257.0</v>
      </c>
      <c r="D9912" s="3">
        <f>IFERROR(__xludf.DUMMYFUNCTION("IFERROR(
IF(REGEXMATCH(LOWER(O9912),""k""),
VALUE(REGEXEXTRACT(O9912,""[0-9]+""))*1000,
VALUE(REGEXEXTRACT(O9912,""[0-9]+""))
),
0
)"),0.0)</f>
        <v>0</v>
      </c>
      <c r="E9912" s="1" t="s">
        <v>11</v>
      </c>
      <c r="F9912" s="1" t="s">
        <v>20</v>
      </c>
      <c r="G9912" s="4" t="b">
        <f t="shared" si="2"/>
        <v>1</v>
      </c>
      <c r="H9912" s="1" t="str">
        <f t="shared" si="3"/>
        <v>Currently Unavailable</v>
      </c>
      <c r="I9912" s="1" t="str">
        <f t="shared" si="4"/>
        <v>No Badges</v>
      </c>
      <c r="J9912" s="3">
        <f t="shared" si="5"/>
        <v>0</v>
      </c>
    </row>
    <row r="9913">
      <c r="A9913" s="1" t="s">
        <v>7612</v>
      </c>
      <c r="B9913" s="3" t="str">
        <f t="shared" si="1"/>
        <v>Unavailable</v>
      </c>
      <c r="C9913" s="3">
        <v>124.0</v>
      </c>
      <c r="D9913" s="3">
        <f>IFERROR(__xludf.DUMMYFUNCTION("IFERROR(
IF(REGEXMATCH(LOWER(O9913),""k""),
VALUE(REGEXEXTRACT(O9913,""[0-9]+""))*1000,
VALUE(REGEXEXTRACT(O9913,""[0-9]+""))
),
0
)"),0.0)</f>
        <v>0</v>
      </c>
      <c r="E9913" s="1" t="s">
        <v>11</v>
      </c>
      <c r="F9913" s="1" t="s">
        <v>20</v>
      </c>
      <c r="G9913" s="4" t="b">
        <f t="shared" si="2"/>
        <v>1</v>
      </c>
      <c r="H9913" s="1" t="str">
        <f t="shared" si="3"/>
        <v>Currently Unavailable</v>
      </c>
      <c r="I9913" s="1" t="str">
        <f t="shared" si="4"/>
        <v>No Badges</v>
      </c>
      <c r="J9913" s="3">
        <f t="shared" si="5"/>
        <v>0</v>
      </c>
    </row>
    <row r="9914">
      <c r="A9914" s="1" t="s">
        <v>7613</v>
      </c>
      <c r="B9914" s="3" t="str">
        <f t="shared" si="1"/>
        <v>Unavailable</v>
      </c>
      <c r="C9914" s="3">
        <v>382.0</v>
      </c>
      <c r="D9914" s="3">
        <f>IFERROR(__xludf.DUMMYFUNCTION("IFERROR(
IF(REGEXMATCH(LOWER(O9914),""k""),
VALUE(REGEXEXTRACT(O9914,""[0-9]+""))*1000,
VALUE(REGEXEXTRACT(O9914,""[0-9]+""))
),
0
)"),0.0)</f>
        <v>0</v>
      </c>
      <c r="E9914" s="1" t="s">
        <v>11</v>
      </c>
      <c r="F9914" s="1" t="s">
        <v>20</v>
      </c>
      <c r="G9914" s="4" t="b">
        <f t="shared" si="2"/>
        <v>1</v>
      </c>
      <c r="H9914" s="1" t="str">
        <f t="shared" si="3"/>
        <v>Currently Unavailable</v>
      </c>
      <c r="I9914" s="1" t="str">
        <f t="shared" si="4"/>
        <v>No Badges</v>
      </c>
      <c r="J9914" s="3">
        <f t="shared" si="5"/>
        <v>0</v>
      </c>
    </row>
    <row r="9915">
      <c r="A9915" s="1" t="s">
        <v>7614</v>
      </c>
      <c r="B9915" s="3" t="str">
        <f t="shared" si="1"/>
        <v>Unavailable</v>
      </c>
      <c r="C9915" s="5">
        <v>3089.0</v>
      </c>
      <c r="D9915" s="3">
        <f>IFERROR(__xludf.DUMMYFUNCTION("IFERROR(
IF(REGEXMATCH(LOWER(O9915),""k""),
VALUE(REGEXEXTRACT(O9915,""[0-9]+""))*1000,
VALUE(REGEXEXTRACT(O9915,""[0-9]+""))
),
0
)"),0.0)</f>
        <v>0</v>
      </c>
      <c r="E9915" s="1" t="s">
        <v>11</v>
      </c>
      <c r="F9915" s="1" t="s">
        <v>20</v>
      </c>
      <c r="G9915" s="4" t="b">
        <f t="shared" si="2"/>
        <v>1</v>
      </c>
      <c r="H9915" s="1" t="str">
        <f t="shared" si="3"/>
        <v>Currently Unavailable</v>
      </c>
      <c r="I9915" s="1" t="str">
        <f t="shared" si="4"/>
        <v>No Badges</v>
      </c>
      <c r="J9915" s="3">
        <f t="shared" si="5"/>
        <v>0</v>
      </c>
    </row>
    <row r="9916">
      <c r="A9916" s="1" t="s">
        <v>7615</v>
      </c>
      <c r="B9916" s="3" t="str">
        <f t="shared" si="1"/>
        <v>Unavailable</v>
      </c>
      <c r="C9916" s="3">
        <v>127.0</v>
      </c>
      <c r="D9916" s="3">
        <f>IFERROR(__xludf.DUMMYFUNCTION("IFERROR(
IF(REGEXMATCH(LOWER(O9916),""k""),
VALUE(REGEXEXTRACT(O9916,""[0-9]+""))*1000,
VALUE(REGEXEXTRACT(O9916,""[0-9]+""))
),
0
)"),0.0)</f>
        <v>0</v>
      </c>
      <c r="E9916" s="1" t="s">
        <v>11</v>
      </c>
      <c r="F9916" s="1" t="s">
        <v>20</v>
      </c>
      <c r="G9916" s="4" t="b">
        <f t="shared" si="2"/>
        <v>1</v>
      </c>
      <c r="H9916" s="1" t="str">
        <f t="shared" si="3"/>
        <v>Currently Unavailable</v>
      </c>
      <c r="I9916" s="1" t="str">
        <f t="shared" si="4"/>
        <v>No Badges</v>
      </c>
      <c r="J9916" s="3">
        <f t="shared" si="5"/>
        <v>0</v>
      </c>
    </row>
    <row r="9917">
      <c r="A9917" s="1" t="s">
        <v>7616</v>
      </c>
      <c r="B9917" s="3" t="str">
        <f t="shared" si="1"/>
        <v>Unavailable</v>
      </c>
      <c r="C9917" s="5">
        <v>4431.0</v>
      </c>
      <c r="D9917" s="3">
        <f>IFERROR(__xludf.DUMMYFUNCTION("IFERROR(
IF(REGEXMATCH(LOWER(O9917),""k""),
VALUE(REGEXEXTRACT(O9917,""[0-9]+""))*1000,
VALUE(REGEXEXTRACT(O9917,""[0-9]+""))
),
0
)"),0.0)</f>
        <v>0</v>
      </c>
      <c r="E9917" s="1" t="s">
        <v>11</v>
      </c>
      <c r="F9917" s="1" t="s">
        <v>20</v>
      </c>
      <c r="G9917" s="4" t="b">
        <f t="shared" si="2"/>
        <v>1</v>
      </c>
      <c r="H9917" s="1" t="str">
        <f t="shared" si="3"/>
        <v>Currently Unavailable</v>
      </c>
      <c r="I9917" s="1" t="str">
        <f t="shared" si="4"/>
        <v>No Badges</v>
      </c>
      <c r="J9917" s="3">
        <f t="shared" si="5"/>
        <v>0</v>
      </c>
    </row>
    <row r="9918">
      <c r="A9918" s="1" t="s">
        <v>7617</v>
      </c>
      <c r="B9918" s="3" t="str">
        <f t="shared" si="1"/>
        <v>Unavailable</v>
      </c>
      <c r="C9918" s="3">
        <v>850.0</v>
      </c>
      <c r="D9918" s="3">
        <f>IFERROR(__xludf.DUMMYFUNCTION("IFERROR(
IF(REGEXMATCH(LOWER(O9918),""k""),
VALUE(REGEXEXTRACT(O9918,""[0-9]+""))*1000,
VALUE(REGEXEXTRACT(O9918,""[0-9]+""))
),
0
)"),0.0)</f>
        <v>0</v>
      </c>
      <c r="E9918" s="1" t="s">
        <v>11</v>
      </c>
      <c r="F9918" s="1" t="s">
        <v>20</v>
      </c>
      <c r="G9918" s="4" t="b">
        <f t="shared" si="2"/>
        <v>1</v>
      </c>
      <c r="H9918" s="1" t="str">
        <f t="shared" si="3"/>
        <v>Currently Unavailable</v>
      </c>
      <c r="I9918" s="1" t="str">
        <f t="shared" si="4"/>
        <v>No Badges</v>
      </c>
      <c r="J9918" s="3">
        <f t="shared" si="5"/>
        <v>0</v>
      </c>
    </row>
    <row r="9919">
      <c r="A9919" s="1" t="s">
        <v>7618</v>
      </c>
      <c r="B9919" s="3" t="str">
        <f t="shared" si="1"/>
        <v>Unavailable</v>
      </c>
      <c r="C9919" s="3">
        <v>88.0</v>
      </c>
      <c r="D9919" s="3">
        <f>IFERROR(__xludf.DUMMYFUNCTION("IFERROR(
IF(REGEXMATCH(LOWER(O9919),""k""),
VALUE(REGEXEXTRACT(O9919,""[0-9]+""))*1000,
VALUE(REGEXEXTRACT(O9919,""[0-9]+""))
),
0
)"),0.0)</f>
        <v>0</v>
      </c>
      <c r="E9919" s="1" t="s">
        <v>11</v>
      </c>
      <c r="F9919" s="1" t="s">
        <v>20</v>
      </c>
      <c r="G9919" s="4" t="b">
        <f t="shared" si="2"/>
        <v>1</v>
      </c>
      <c r="H9919" s="1" t="str">
        <f t="shared" si="3"/>
        <v>Currently Unavailable</v>
      </c>
      <c r="I9919" s="1" t="str">
        <f t="shared" si="4"/>
        <v>No Badges</v>
      </c>
      <c r="J9919" s="3">
        <f t="shared" si="5"/>
        <v>0</v>
      </c>
    </row>
    <row r="9920">
      <c r="A9920" s="1" t="s">
        <v>7619</v>
      </c>
      <c r="B9920" s="3" t="str">
        <f t="shared" si="1"/>
        <v>Unavailable</v>
      </c>
      <c r="C9920" s="5">
        <v>2338.0</v>
      </c>
      <c r="D9920" s="3">
        <f>IFERROR(__xludf.DUMMYFUNCTION("IFERROR(
IF(REGEXMATCH(LOWER(O9920),""k""),
VALUE(REGEXEXTRACT(O9920,""[0-9]+""))*1000,
VALUE(REGEXEXTRACT(O9920,""[0-9]+""))
),
0
)"),0.0)</f>
        <v>0</v>
      </c>
      <c r="E9920" s="1" t="s">
        <v>11</v>
      </c>
      <c r="F9920" s="1" t="s">
        <v>20</v>
      </c>
      <c r="G9920" s="4" t="b">
        <f t="shared" si="2"/>
        <v>1</v>
      </c>
      <c r="H9920" s="1" t="str">
        <f t="shared" si="3"/>
        <v>Currently Unavailable</v>
      </c>
      <c r="I9920" s="1" t="str">
        <f t="shared" si="4"/>
        <v>No Badges</v>
      </c>
      <c r="J9920" s="3">
        <f t="shared" si="5"/>
        <v>0</v>
      </c>
    </row>
    <row r="9921">
      <c r="A9921" s="1" t="s">
        <v>7620</v>
      </c>
      <c r="B9921" s="3" t="str">
        <f t="shared" si="1"/>
        <v>Unavailable</v>
      </c>
      <c r="C9921" s="3">
        <v>117.0</v>
      </c>
      <c r="D9921" s="3">
        <f>IFERROR(__xludf.DUMMYFUNCTION("IFERROR(
IF(REGEXMATCH(LOWER(O9921),""k""),
VALUE(REGEXEXTRACT(O9921,""[0-9]+""))*1000,
VALUE(REGEXEXTRACT(O9921,""[0-9]+""))
),
0
)"),0.0)</f>
        <v>0</v>
      </c>
      <c r="E9921" s="1" t="s">
        <v>11</v>
      </c>
      <c r="F9921" s="1" t="s">
        <v>20</v>
      </c>
      <c r="G9921" s="4" t="b">
        <f t="shared" si="2"/>
        <v>1</v>
      </c>
      <c r="H9921" s="1" t="str">
        <f t="shared" si="3"/>
        <v>Currently Unavailable</v>
      </c>
      <c r="I9921" s="1" t="str">
        <f t="shared" si="4"/>
        <v>No Badges</v>
      </c>
      <c r="J9921" s="3">
        <f t="shared" si="5"/>
        <v>0</v>
      </c>
    </row>
    <row r="9922">
      <c r="A9922" s="1" t="s">
        <v>7621</v>
      </c>
      <c r="B9922" s="3" t="str">
        <f t="shared" si="1"/>
        <v>Unavailable</v>
      </c>
      <c r="C9922" s="3">
        <v>498.0</v>
      </c>
      <c r="D9922" s="3">
        <f>IFERROR(__xludf.DUMMYFUNCTION("IFERROR(
IF(REGEXMATCH(LOWER(O9922),""k""),
VALUE(REGEXEXTRACT(O9922,""[0-9]+""))*1000,
VALUE(REGEXEXTRACT(O9922,""[0-9]+""))
),
0
)"),0.0)</f>
        <v>0</v>
      </c>
      <c r="E9922" s="1" t="s">
        <v>158</v>
      </c>
      <c r="F9922" s="1" t="s">
        <v>20</v>
      </c>
      <c r="G9922" s="4" t="b">
        <f t="shared" si="2"/>
        <v>1</v>
      </c>
      <c r="H9922" s="1" t="str">
        <f t="shared" si="3"/>
        <v>Currently Unavailable</v>
      </c>
      <c r="I9922" s="1" t="str">
        <f t="shared" si="4"/>
        <v>No Badges</v>
      </c>
      <c r="J9922" s="3">
        <f t="shared" si="5"/>
        <v>0</v>
      </c>
    </row>
    <row r="9923">
      <c r="A9923" s="1" t="s">
        <v>7622</v>
      </c>
      <c r="B9923" s="3" t="str">
        <f t="shared" si="1"/>
        <v>Unavailable</v>
      </c>
      <c r="C9923" s="3">
        <v>785.0</v>
      </c>
      <c r="D9923" s="3">
        <f>IFERROR(__xludf.DUMMYFUNCTION("IFERROR(
IF(REGEXMATCH(LOWER(O9923),""k""),
VALUE(REGEXEXTRACT(O9923,""[0-9]+""))*1000,
VALUE(REGEXEXTRACT(O9923,""[0-9]+""))
),
0
)"),0.0)</f>
        <v>0</v>
      </c>
      <c r="E9923" s="1" t="s">
        <v>11</v>
      </c>
      <c r="F9923" s="1" t="s">
        <v>20</v>
      </c>
      <c r="G9923" s="4" t="b">
        <f t="shared" si="2"/>
        <v>1</v>
      </c>
      <c r="H9923" s="1" t="str">
        <f t="shared" si="3"/>
        <v>Currently Unavailable</v>
      </c>
      <c r="I9923" s="1" t="str">
        <f t="shared" si="4"/>
        <v>No Badges</v>
      </c>
      <c r="J9923" s="3">
        <f t="shared" si="5"/>
        <v>0</v>
      </c>
    </row>
    <row r="9924">
      <c r="A9924" s="1" t="s">
        <v>7623</v>
      </c>
      <c r="B9924" s="3" t="str">
        <f t="shared" si="1"/>
        <v>Unavailable</v>
      </c>
      <c r="C9924" s="5">
        <v>6596.0</v>
      </c>
      <c r="D9924" s="3">
        <f>IFERROR(__xludf.DUMMYFUNCTION("IFERROR(
IF(REGEXMATCH(LOWER(O9924),""k""),
VALUE(REGEXEXTRACT(O9924,""[0-9]+""))*1000,
VALUE(REGEXEXTRACT(O9924,""[0-9]+""))
),
0
)"),0.0)</f>
        <v>0</v>
      </c>
      <c r="E9924" s="1" t="s">
        <v>11</v>
      </c>
      <c r="F9924" s="1" t="s">
        <v>20</v>
      </c>
      <c r="G9924" s="4" t="b">
        <f t="shared" si="2"/>
        <v>1</v>
      </c>
      <c r="H9924" s="1" t="str">
        <f t="shared" si="3"/>
        <v>Currently Unavailable</v>
      </c>
      <c r="I9924" s="1" t="str">
        <f t="shared" si="4"/>
        <v>No Badges</v>
      </c>
      <c r="J9924" s="3">
        <f t="shared" si="5"/>
        <v>0</v>
      </c>
    </row>
    <row r="9925">
      <c r="A9925" s="1" t="s">
        <v>7624</v>
      </c>
      <c r="B9925" s="3" t="str">
        <f t="shared" si="1"/>
        <v>Unavailable</v>
      </c>
      <c r="C9925" s="3">
        <v>921.0</v>
      </c>
      <c r="D9925" s="3">
        <f>IFERROR(__xludf.DUMMYFUNCTION("IFERROR(
IF(REGEXMATCH(LOWER(O9925),""k""),
VALUE(REGEXEXTRACT(O9925,""[0-9]+""))*1000,
VALUE(REGEXEXTRACT(O9925,""[0-9]+""))
),
0
)"),0.0)</f>
        <v>0</v>
      </c>
      <c r="E9925" s="1" t="s">
        <v>11</v>
      </c>
      <c r="F9925" s="1" t="s">
        <v>20</v>
      </c>
      <c r="G9925" s="4" t="b">
        <f t="shared" si="2"/>
        <v>1</v>
      </c>
      <c r="H9925" s="1" t="str">
        <f t="shared" si="3"/>
        <v>Currently Unavailable</v>
      </c>
      <c r="I9925" s="1" t="str">
        <f t="shared" si="4"/>
        <v>No Badges</v>
      </c>
      <c r="J9925" s="3">
        <f t="shared" si="5"/>
        <v>0</v>
      </c>
    </row>
    <row r="9926">
      <c r="A9926" s="1" t="s">
        <v>7625</v>
      </c>
      <c r="B9926" s="3" t="str">
        <f t="shared" si="1"/>
        <v>Unavailable</v>
      </c>
      <c r="C9926" s="5">
        <v>33897.0</v>
      </c>
      <c r="D9926" s="3">
        <f>IFERROR(__xludf.DUMMYFUNCTION("IFERROR(
IF(REGEXMATCH(LOWER(O9926),""k""),
VALUE(REGEXEXTRACT(O9926,""[0-9]+""))*1000,
VALUE(REGEXEXTRACT(O9926,""[0-9]+""))
),
0
)"),0.0)</f>
        <v>0</v>
      </c>
      <c r="E9926" s="1" t="s">
        <v>11</v>
      </c>
      <c r="F9926" s="1" t="s">
        <v>20</v>
      </c>
      <c r="G9926" s="4" t="b">
        <f t="shared" si="2"/>
        <v>1</v>
      </c>
      <c r="H9926" s="1" t="str">
        <f t="shared" si="3"/>
        <v>Currently Unavailable</v>
      </c>
      <c r="I9926" s="1" t="str">
        <f t="shared" si="4"/>
        <v>No Badges</v>
      </c>
      <c r="J9926" s="3">
        <f t="shared" si="5"/>
        <v>0</v>
      </c>
    </row>
    <row r="9927">
      <c r="A9927" s="1" t="s">
        <v>7626</v>
      </c>
      <c r="B9927" s="3" t="str">
        <f t="shared" si="1"/>
        <v>Unavailable</v>
      </c>
      <c r="C9927" s="5">
        <v>7271.0</v>
      </c>
      <c r="D9927" s="3">
        <f>IFERROR(__xludf.DUMMYFUNCTION("IFERROR(
IF(REGEXMATCH(LOWER(O9927),""k""),
VALUE(REGEXEXTRACT(O9927,""[0-9]+""))*1000,
VALUE(REGEXEXTRACT(O9927,""[0-9]+""))
),
0
)"),0.0)</f>
        <v>0</v>
      </c>
      <c r="E9927" s="1" t="s">
        <v>11</v>
      </c>
      <c r="F9927" s="1" t="s">
        <v>20</v>
      </c>
      <c r="G9927" s="4" t="b">
        <f t="shared" si="2"/>
        <v>1</v>
      </c>
      <c r="H9927" s="1" t="str">
        <f t="shared" si="3"/>
        <v>Currently Unavailable</v>
      </c>
      <c r="I9927" s="1" t="str">
        <f t="shared" si="4"/>
        <v>No Badges</v>
      </c>
      <c r="J9927" s="3">
        <f t="shared" si="5"/>
        <v>0</v>
      </c>
    </row>
    <row r="9928">
      <c r="A9928" s="1" t="s">
        <v>7627</v>
      </c>
      <c r="B9928" s="3" t="str">
        <f t="shared" si="1"/>
        <v>Unavailable</v>
      </c>
      <c r="C9928" s="5">
        <v>6480.0</v>
      </c>
      <c r="D9928" s="3">
        <f>IFERROR(__xludf.DUMMYFUNCTION("IFERROR(
IF(REGEXMATCH(LOWER(O9928),""k""),
VALUE(REGEXEXTRACT(O9928,""[0-9]+""))*1000,
VALUE(REGEXEXTRACT(O9928,""[0-9]+""))
),
0
)"),0.0)</f>
        <v>0</v>
      </c>
      <c r="E9928" s="1" t="s">
        <v>11</v>
      </c>
      <c r="F9928" s="1" t="s">
        <v>20</v>
      </c>
      <c r="G9928" s="4" t="b">
        <f t="shared" si="2"/>
        <v>1</v>
      </c>
      <c r="H9928" s="1" t="str">
        <f t="shared" si="3"/>
        <v>Currently Unavailable</v>
      </c>
      <c r="I9928" s="1" t="str">
        <f t="shared" si="4"/>
        <v>No Badges</v>
      </c>
      <c r="J9928" s="3">
        <f t="shared" si="5"/>
        <v>0</v>
      </c>
    </row>
    <row r="9929">
      <c r="A9929" s="1" t="s">
        <v>7628</v>
      </c>
      <c r="B9929" s="3" t="str">
        <f t="shared" si="1"/>
        <v>Unavailable</v>
      </c>
      <c r="C9929" s="5">
        <v>1030.0</v>
      </c>
      <c r="D9929" s="3">
        <f>IFERROR(__xludf.DUMMYFUNCTION("IFERROR(
IF(REGEXMATCH(LOWER(O9929),""k""),
VALUE(REGEXEXTRACT(O9929,""[0-9]+""))*1000,
VALUE(REGEXEXTRACT(O9929,""[0-9]+""))
),
0
)"),0.0)</f>
        <v>0</v>
      </c>
      <c r="E9929" s="1" t="s">
        <v>11</v>
      </c>
      <c r="F9929" s="1" t="s">
        <v>20</v>
      </c>
      <c r="G9929" s="4" t="b">
        <f t="shared" si="2"/>
        <v>1</v>
      </c>
      <c r="H9929" s="1" t="str">
        <f t="shared" si="3"/>
        <v>Currently Unavailable</v>
      </c>
      <c r="I9929" s="1" t="str">
        <f t="shared" si="4"/>
        <v>No Badges</v>
      </c>
      <c r="J9929" s="3">
        <f t="shared" si="5"/>
        <v>0</v>
      </c>
    </row>
    <row r="9930">
      <c r="A9930" s="1" t="s">
        <v>7629</v>
      </c>
      <c r="B9930" s="3" t="str">
        <f t="shared" si="1"/>
        <v>Unavailable</v>
      </c>
      <c r="C9930" s="5">
        <v>1952.0</v>
      </c>
      <c r="D9930" s="3">
        <f>IFERROR(__xludf.DUMMYFUNCTION("IFERROR(
IF(REGEXMATCH(LOWER(O9930),""k""),
VALUE(REGEXEXTRACT(O9930,""[0-9]+""))*1000,
VALUE(REGEXEXTRACT(O9930,""[0-9]+""))
),
0
)"),0.0)</f>
        <v>0</v>
      </c>
      <c r="E9930" s="1" t="s">
        <v>11</v>
      </c>
      <c r="F9930" s="1" t="s">
        <v>20</v>
      </c>
      <c r="G9930" s="4" t="b">
        <f t="shared" si="2"/>
        <v>1</v>
      </c>
      <c r="H9930" s="1" t="str">
        <f t="shared" si="3"/>
        <v>Currently Unavailable</v>
      </c>
      <c r="I9930" s="1" t="str">
        <f t="shared" si="4"/>
        <v>No Badges</v>
      </c>
      <c r="J9930" s="3">
        <f t="shared" si="5"/>
        <v>0</v>
      </c>
    </row>
    <row r="9931">
      <c r="A9931" s="1" t="s">
        <v>7630</v>
      </c>
      <c r="B9931" s="3" t="str">
        <f t="shared" si="1"/>
        <v>Unavailable</v>
      </c>
      <c r="C9931" s="5">
        <v>3515.0</v>
      </c>
      <c r="D9931" s="3">
        <f>IFERROR(__xludf.DUMMYFUNCTION("IFERROR(
IF(REGEXMATCH(LOWER(O9931),""k""),
VALUE(REGEXEXTRACT(O9931,""[0-9]+""))*1000,
VALUE(REGEXEXTRACT(O9931,""[0-9]+""))
),
0
)"),0.0)</f>
        <v>0</v>
      </c>
      <c r="E9931" s="1" t="s">
        <v>11</v>
      </c>
      <c r="F9931" s="1" t="s">
        <v>20</v>
      </c>
      <c r="G9931" s="4" t="b">
        <f t="shared" si="2"/>
        <v>1</v>
      </c>
      <c r="H9931" s="1" t="str">
        <f t="shared" si="3"/>
        <v>Currently Unavailable</v>
      </c>
      <c r="I9931" s="1" t="str">
        <f t="shared" si="4"/>
        <v>No Badges</v>
      </c>
      <c r="J9931" s="3">
        <f t="shared" si="5"/>
        <v>0</v>
      </c>
    </row>
    <row r="9932">
      <c r="A9932" s="1" t="s">
        <v>7631</v>
      </c>
      <c r="B9932" s="3" t="str">
        <f t="shared" si="1"/>
        <v>Unavailable</v>
      </c>
      <c r="C9932" s="5">
        <v>3400.0</v>
      </c>
      <c r="D9932" s="3">
        <f>IFERROR(__xludf.DUMMYFUNCTION("IFERROR(
IF(REGEXMATCH(LOWER(O9932),""k""),
VALUE(REGEXEXTRACT(O9932,""[0-9]+""))*1000,
VALUE(REGEXEXTRACT(O9932,""[0-9]+""))
),
0
)"),0.0)</f>
        <v>0</v>
      </c>
      <c r="E9932" s="1" t="s">
        <v>11</v>
      </c>
      <c r="F9932" s="1" t="s">
        <v>20</v>
      </c>
      <c r="G9932" s="4" t="b">
        <f t="shared" si="2"/>
        <v>1</v>
      </c>
      <c r="H9932" s="1" t="str">
        <f t="shared" si="3"/>
        <v>Currently Unavailable</v>
      </c>
      <c r="I9932" s="1" t="str">
        <f t="shared" si="4"/>
        <v>No Badges</v>
      </c>
      <c r="J9932" s="3">
        <f t="shared" si="5"/>
        <v>0</v>
      </c>
    </row>
    <row r="9933">
      <c r="A9933" s="1" t="s">
        <v>7632</v>
      </c>
      <c r="B9933" s="3" t="str">
        <f t="shared" si="1"/>
        <v>Unavailable</v>
      </c>
      <c r="C9933" s="5">
        <v>3308.0</v>
      </c>
      <c r="D9933" s="3">
        <f>IFERROR(__xludf.DUMMYFUNCTION("IFERROR(
IF(REGEXMATCH(LOWER(O9933),""k""),
VALUE(REGEXEXTRACT(O9933,""[0-9]+""))*1000,
VALUE(REGEXEXTRACT(O9933,""[0-9]+""))
),
0
)"),0.0)</f>
        <v>0</v>
      </c>
      <c r="E9933" s="1" t="s">
        <v>18</v>
      </c>
      <c r="F9933" s="1" t="s">
        <v>20</v>
      </c>
      <c r="G9933" s="4" t="b">
        <f t="shared" si="2"/>
        <v>1</v>
      </c>
      <c r="H9933" s="1" t="str">
        <f t="shared" si="3"/>
        <v>Currently Unavailable</v>
      </c>
      <c r="I9933" s="1" t="str">
        <f t="shared" si="4"/>
        <v>No Badges</v>
      </c>
      <c r="J9933" s="3">
        <f t="shared" si="5"/>
        <v>0</v>
      </c>
    </row>
    <row r="9934">
      <c r="A9934" s="1" t="s">
        <v>7633</v>
      </c>
      <c r="B9934" s="3" t="str">
        <f t="shared" si="1"/>
        <v>Unavailable</v>
      </c>
      <c r="C9934" s="5">
        <v>2633.0</v>
      </c>
      <c r="D9934" s="3">
        <f>IFERROR(__xludf.DUMMYFUNCTION("IFERROR(
IF(REGEXMATCH(LOWER(O9934),""k""),
VALUE(REGEXEXTRACT(O9934,""[0-9]+""))*1000,
VALUE(REGEXEXTRACT(O9934,""[0-9]+""))
),
0
)"),0.0)</f>
        <v>0</v>
      </c>
      <c r="E9934" s="1" t="s">
        <v>11</v>
      </c>
      <c r="F9934" s="1" t="s">
        <v>20</v>
      </c>
      <c r="G9934" s="4" t="b">
        <f t="shared" si="2"/>
        <v>1</v>
      </c>
      <c r="H9934" s="1" t="str">
        <f t="shared" si="3"/>
        <v>Currently Unavailable</v>
      </c>
      <c r="I9934" s="1" t="str">
        <f t="shared" si="4"/>
        <v>No Badges</v>
      </c>
      <c r="J9934" s="3">
        <f t="shared" si="5"/>
        <v>0</v>
      </c>
    </row>
    <row r="9935">
      <c r="A9935" s="1" t="s">
        <v>7634</v>
      </c>
      <c r="B9935" s="3" t="str">
        <f t="shared" si="1"/>
        <v>Unavailable</v>
      </c>
      <c r="C9935" s="3">
        <v>759.0</v>
      </c>
      <c r="D9935" s="3">
        <f>IFERROR(__xludf.DUMMYFUNCTION("IFERROR(
IF(REGEXMATCH(LOWER(O9935),""k""),
VALUE(REGEXEXTRACT(O9935,""[0-9]+""))*1000,
VALUE(REGEXEXTRACT(O9935,""[0-9]+""))
),
0
)"),0.0)</f>
        <v>0</v>
      </c>
      <c r="E9935" s="1" t="s">
        <v>11</v>
      </c>
      <c r="F9935" s="1" t="s">
        <v>20</v>
      </c>
      <c r="G9935" s="4" t="b">
        <f t="shared" si="2"/>
        <v>1</v>
      </c>
      <c r="H9935" s="1" t="str">
        <f t="shared" si="3"/>
        <v>Currently Unavailable</v>
      </c>
      <c r="I9935" s="1" t="str">
        <f t="shared" si="4"/>
        <v>No Badges</v>
      </c>
      <c r="J9935" s="3">
        <f t="shared" si="5"/>
        <v>0</v>
      </c>
    </row>
    <row r="9936">
      <c r="A9936" s="1" t="s">
        <v>7635</v>
      </c>
      <c r="B9936" s="3" t="str">
        <f t="shared" si="1"/>
        <v>Unavailable</v>
      </c>
      <c r="C9936" s="3">
        <v>125.0</v>
      </c>
      <c r="D9936" s="3">
        <f>IFERROR(__xludf.DUMMYFUNCTION("IFERROR(
IF(REGEXMATCH(LOWER(O9936),""k""),
VALUE(REGEXEXTRACT(O9936,""[0-9]+""))*1000,
VALUE(REGEXEXTRACT(O9936,""[0-9]+""))
),
0
)"),0.0)</f>
        <v>0</v>
      </c>
      <c r="E9936" s="1" t="s">
        <v>11</v>
      </c>
      <c r="F9936" s="1" t="s">
        <v>20</v>
      </c>
      <c r="G9936" s="4" t="b">
        <f t="shared" si="2"/>
        <v>1</v>
      </c>
      <c r="H9936" s="1" t="str">
        <f t="shared" si="3"/>
        <v>Currently Unavailable</v>
      </c>
      <c r="I9936" s="1" t="str">
        <f t="shared" si="4"/>
        <v>No Badges</v>
      </c>
      <c r="J9936" s="3">
        <f t="shared" si="5"/>
        <v>0</v>
      </c>
    </row>
    <row r="9937">
      <c r="A9937" s="1" t="s">
        <v>7636</v>
      </c>
      <c r="B9937" s="3" t="str">
        <f t="shared" si="1"/>
        <v>Unavailable</v>
      </c>
      <c r="C9937" s="3">
        <v>504.0</v>
      </c>
      <c r="D9937" s="3">
        <f>IFERROR(__xludf.DUMMYFUNCTION("IFERROR(
IF(REGEXMATCH(LOWER(O9937),""k""),
VALUE(REGEXEXTRACT(O9937,""[0-9]+""))*1000,
VALUE(REGEXEXTRACT(O9937,""[0-9]+""))
),
0
)"),0.0)</f>
        <v>0</v>
      </c>
      <c r="E9937" s="1" t="s">
        <v>11</v>
      </c>
      <c r="F9937" s="1" t="s">
        <v>20</v>
      </c>
      <c r="G9937" s="4" t="b">
        <f t="shared" si="2"/>
        <v>1</v>
      </c>
      <c r="H9937" s="1" t="str">
        <f t="shared" si="3"/>
        <v>Currently Unavailable</v>
      </c>
      <c r="I9937" s="1" t="str">
        <f t="shared" si="4"/>
        <v>No Badges</v>
      </c>
      <c r="J9937" s="3">
        <f t="shared" si="5"/>
        <v>0</v>
      </c>
    </row>
    <row r="9938">
      <c r="A9938" s="1" t="s">
        <v>7637</v>
      </c>
      <c r="B9938" s="3" t="str">
        <f t="shared" si="1"/>
        <v>Unavailable</v>
      </c>
      <c r="C9938" s="3">
        <v>571.0</v>
      </c>
      <c r="D9938" s="3">
        <f>IFERROR(__xludf.DUMMYFUNCTION("IFERROR(
IF(REGEXMATCH(LOWER(O9938),""k""),
VALUE(REGEXEXTRACT(O9938,""[0-9]+""))*1000,
VALUE(REGEXEXTRACT(O9938,""[0-9]+""))
),
0
)"),0.0)</f>
        <v>0</v>
      </c>
      <c r="E9938" s="1" t="s">
        <v>11</v>
      </c>
      <c r="F9938" s="1" t="s">
        <v>20</v>
      </c>
      <c r="G9938" s="4" t="b">
        <f t="shared" si="2"/>
        <v>1</v>
      </c>
      <c r="H9938" s="1" t="str">
        <f t="shared" si="3"/>
        <v>Currently Unavailable</v>
      </c>
      <c r="I9938" s="1" t="str">
        <f t="shared" si="4"/>
        <v>No Badges</v>
      </c>
      <c r="J9938" s="3">
        <f t="shared" si="5"/>
        <v>0</v>
      </c>
    </row>
    <row r="9939">
      <c r="A9939" s="1" t="s">
        <v>7638</v>
      </c>
      <c r="B9939" s="3" t="str">
        <f t="shared" si="1"/>
        <v>Unavailable</v>
      </c>
      <c r="C9939" s="5">
        <v>4231.0</v>
      </c>
      <c r="D9939" s="3">
        <f>IFERROR(__xludf.DUMMYFUNCTION("IFERROR(
IF(REGEXMATCH(LOWER(O9939),""k""),
VALUE(REGEXEXTRACT(O9939,""[0-9]+""))*1000,
VALUE(REGEXEXTRACT(O9939,""[0-9]+""))
),
0
)"),0.0)</f>
        <v>0</v>
      </c>
      <c r="E9939" s="1" t="s">
        <v>11</v>
      </c>
      <c r="F9939" s="1" t="s">
        <v>20</v>
      </c>
      <c r="G9939" s="4" t="b">
        <f t="shared" si="2"/>
        <v>1</v>
      </c>
      <c r="H9939" s="1" t="str">
        <f t="shared" si="3"/>
        <v>Currently Unavailable</v>
      </c>
      <c r="I9939" s="1" t="str">
        <f t="shared" si="4"/>
        <v>No Badges</v>
      </c>
      <c r="J9939" s="3">
        <f t="shared" si="5"/>
        <v>0</v>
      </c>
    </row>
    <row r="9940">
      <c r="A9940" s="1" t="s">
        <v>7639</v>
      </c>
      <c r="B9940" s="3" t="str">
        <f t="shared" si="1"/>
        <v>Unavailable</v>
      </c>
      <c r="C9940" s="3">
        <v>482.0</v>
      </c>
      <c r="D9940" s="3">
        <f>IFERROR(__xludf.DUMMYFUNCTION("IFERROR(
IF(REGEXMATCH(LOWER(O9940),""k""),
VALUE(REGEXEXTRACT(O9940,""[0-9]+""))*1000,
VALUE(REGEXEXTRACT(O9940,""[0-9]+""))
),
0
)"),0.0)</f>
        <v>0</v>
      </c>
      <c r="E9940" s="1" t="s">
        <v>11</v>
      </c>
      <c r="F9940" s="1" t="s">
        <v>20</v>
      </c>
      <c r="G9940" s="4" t="b">
        <f t="shared" si="2"/>
        <v>1</v>
      </c>
      <c r="H9940" s="1" t="str">
        <f t="shared" si="3"/>
        <v>Currently Unavailable</v>
      </c>
      <c r="I9940" s="1" t="str">
        <f t="shared" si="4"/>
        <v>No Badges</v>
      </c>
      <c r="J9940" s="3">
        <f t="shared" si="5"/>
        <v>0</v>
      </c>
    </row>
    <row r="9941">
      <c r="A9941" s="1" t="s">
        <v>7640</v>
      </c>
      <c r="B9941" s="3" t="str">
        <f t="shared" si="1"/>
        <v>Unavailable</v>
      </c>
      <c r="C9941" s="3">
        <v>538.0</v>
      </c>
      <c r="D9941" s="3">
        <f>IFERROR(__xludf.DUMMYFUNCTION("IFERROR(
IF(REGEXMATCH(LOWER(O9941),""k""),
VALUE(REGEXEXTRACT(O9941,""[0-9]+""))*1000,
VALUE(REGEXEXTRACT(O9941,""[0-9]+""))
),
0
)"),0.0)</f>
        <v>0</v>
      </c>
      <c r="E9941" s="1" t="s">
        <v>11</v>
      </c>
      <c r="F9941" s="1" t="s">
        <v>20</v>
      </c>
      <c r="G9941" s="4" t="b">
        <f t="shared" si="2"/>
        <v>1</v>
      </c>
      <c r="H9941" s="1" t="str">
        <f t="shared" si="3"/>
        <v>Currently Unavailable</v>
      </c>
      <c r="I9941" s="1" t="str">
        <f t="shared" si="4"/>
        <v>No Badges</v>
      </c>
      <c r="J9941" s="3">
        <f t="shared" si="5"/>
        <v>0</v>
      </c>
    </row>
    <row r="9942">
      <c r="A9942" s="1" t="s">
        <v>7641</v>
      </c>
      <c r="B9942" s="3" t="str">
        <f t="shared" si="1"/>
        <v>Unavailable</v>
      </c>
      <c r="C9942" s="5">
        <v>18149.0</v>
      </c>
      <c r="D9942" s="3">
        <f>IFERROR(__xludf.DUMMYFUNCTION("IFERROR(
IF(REGEXMATCH(LOWER(O9942),""k""),
VALUE(REGEXEXTRACT(O9942,""[0-9]+""))*1000,
VALUE(REGEXEXTRACT(O9942,""[0-9]+""))
),
0
)"),0.0)</f>
        <v>0</v>
      </c>
      <c r="E9942" s="1" t="s">
        <v>11</v>
      </c>
      <c r="F9942" s="1" t="s">
        <v>20</v>
      </c>
      <c r="G9942" s="4" t="b">
        <f t="shared" si="2"/>
        <v>1</v>
      </c>
      <c r="H9942" s="1" t="str">
        <f t="shared" si="3"/>
        <v>Currently Unavailable</v>
      </c>
      <c r="I9942" s="1" t="str">
        <f t="shared" si="4"/>
        <v>No Badges</v>
      </c>
      <c r="J9942" s="3">
        <f t="shared" si="5"/>
        <v>0</v>
      </c>
    </row>
    <row r="9943">
      <c r="A9943" s="1" t="s">
        <v>7642</v>
      </c>
      <c r="B9943" s="3" t="str">
        <f t="shared" si="1"/>
        <v>Unavailable</v>
      </c>
      <c r="C9943" s="3">
        <v>113.0</v>
      </c>
      <c r="D9943" s="3">
        <f>IFERROR(__xludf.DUMMYFUNCTION("IFERROR(
IF(REGEXMATCH(LOWER(O9943),""k""),
VALUE(REGEXEXTRACT(O9943,""[0-9]+""))*1000,
VALUE(REGEXEXTRACT(O9943,""[0-9]+""))
),
0
)"),0.0)</f>
        <v>0</v>
      </c>
      <c r="E9943" s="1" t="s">
        <v>11</v>
      </c>
      <c r="F9943" s="1" t="s">
        <v>20</v>
      </c>
      <c r="G9943" s="4" t="b">
        <f t="shared" si="2"/>
        <v>1</v>
      </c>
      <c r="H9943" s="1" t="str">
        <f t="shared" si="3"/>
        <v>Currently Unavailable</v>
      </c>
      <c r="I9943" s="1" t="str">
        <f t="shared" si="4"/>
        <v>No Badges</v>
      </c>
      <c r="J9943" s="3">
        <f t="shared" si="5"/>
        <v>0</v>
      </c>
    </row>
    <row r="9944">
      <c r="A9944" s="1" t="s">
        <v>7643</v>
      </c>
      <c r="B9944" s="3" t="str">
        <f t="shared" si="1"/>
        <v>Unavailable</v>
      </c>
      <c r="C9944" s="3">
        <v>575.0</v>
      </c>
      <c r="D9944" s="3">
        <f>IFERROR(__xludf.DUMMYFUNCTION("IFERROR(
IF(REGEXMATCH(LOWER(O9944),""k""),
VALUE(REGEXEXTRACT(O9944,""[0-9]+""))*1000,
VALUE(REGEXEXTRACT(O9944,""[0-9]+""))
),
0
)"),0.0)</f>
        <v>0</v>
      </c>
      <c r="E9944" s="1" t="s">
        <v>11</v>
      </c>
      <c r="F9944" s="1" t="s">
        <v>20</v>
      </c>
      <c r="G9944" s="4" t="b">
        <f t="shared" si="2"/>
        <v>1</v>
      </c>
      <c r="H9944" s="1" t="str">
        <f t="shared" si="3"/>
        <v>Currently Unavailable</v>
      </c>
      <c r="I9944" s="1" t="str">
        <f t="shared" si="4"/>
        <v>No Badges</v>
      </c>
      <c r="J9944" s="3">
        <f t="shared" si="5"/>
        <v>0</v>
      </c>
    </row>
    <row r="9945">
      <c r="A9945" s="1" t="s">
        <v>7644</v>
      </c>
      <c r="B9945" s="3" t="str">
        <f t="shared" si="1"/>
        <v>Unavailable</v>
      </c>
      <c r="C9945" s="5">
        <v>3068.0</v>
      </c>
      <c r="D9945" s="3">
        <f>IFERROR(__xludf.DUMMYFUNCTION("IFERROR(
IF(REGEXMATCH(LOWER(O9945),""k""),
VALUE(REGEXEXTRACT(O9945,""[0-9]+""))*1000,
VALUE(REGEXEXTRACT(O9945,""[0-9]+""))
),
0
)"),0.0)</f>
        <v>0</v>
      </c>
      <c r="E9945" s="1" t="s">
        <v>11</v>
      </c>
      <c r="F9945" s="1" t="s">
        <v>20</v>
      </c>
      <c r="G9945" s="4" t="b">
        <f t="shared" si="2"/>
        <v>1</v>
      </c>
      <c r="H9945" s="1" t="str">
        <f t="shared" si="3"/>
        <v>Currently Unavailable</v>
      </c>
      <c r="I9945" s="1" t="str">
        <f t="shared" si="4"/>
        <v>No Badges</v>
      </c>
      <c r="J9945" s="3">
        <f t="shared" si="5"/>
        <v>0</v>
      </c>
    </row>
    <row r="9946">
      <c r="A9946" s="1" t="s">
        <v>7645</v>
      </c>
      <c r="B9946" s="3" t="str">
        <f t="shared" si="1"/>
        <v>Unavailable</v>
      </c>
      <c r="C9946" s="5">
        <v>6891.0</v>
      </c>
      <c r="D9946" s="3">
        <f>IFERROR(__xludf.DUMMYFUNCTION("IFERROR(
IF(REGEXMATCH(LOWER(O9946),""k""),
VALUE(REGEXEXTRACT(O9946,""[0-9]+""))*1000,
VALUE(REGEXEXTRACT(O9946,""[0-9]+""))
),
0
)"),0.0)</f>
        <v>0</v>
      </c>
      <c r="E9946" s="1" t="s">
        <v>11</v>
      </c>
      <c r="F9946" s="1" t="s">
        <v>20</v>
      </c>
      <c r="G9946" s="4" t="b">
        <f t="shared" si="2"/>
        <v>1</v>
      </c>
      <c r="H9946" s="1" t="str">
        <f t="shared" si="3"/>
        <v>Currently Unavailable</v>
      </c>
      <c r="I9946" s="1" t="str">
        <f t="shared" si="4"/>
        <v>No Badges</v>
      </c>
      <c r="J9946" s="3">
        <f t="shared" si="5"/>
        <v>0</v>
      </c>
    </row>
    <row r="9947">
      <c r="A9947" s="1" t="s">
        <v>7646</v>
      </c>
      <c r="B9947" s="3" t="str">
        <f t="shared" si="1"/>
        <v>Unavailable</v>
      </c>
      <c r="C9947" s="5">
        <v>3676.0</v>
      </c>
      <c r="D9947" s="3">
        <f>IFERROR(__xludf.DUMMYFUNCTION("IFERROR(
IF(REGEXMATCH(LOWER(O9947),""k""),
VALUE(REGEXEXTRACT(O9947,""[0-9]+""))*1000,
VALUE(REGEXEXTRACT(O9947,""[0-9]+""))
),
0
)"),0.0)</f>
        <v>0</v>
      </c>
      <c r="E9947" s="1" t="s">
        <v>11</v>
      </c>
      <c r="F9947" s="1" t="s">
        <v>20</v>
      </c>
      <c r="G9947" s="4" t="b">
        <f t="shared" si="2"/>
        <v>1</v>
      </c>
      <c r="H9947" s="1" t="str">
        <f t="shared" si="3"/>
        <v>Currently Unavailable</v>
      </c>
      <c r="I9947" s="1" t="str">
        <f t="shared" si="4"/>
        <v>No Badges</v>
      </c>
      <c r="J9947" s="3">
        <f t="shared" si="5"/>
        <v>0</v>
      </c>
    </row>
    <row r="9948">
      <c r="A9948" s="1" t="s">
        <v>7646</v>
      </c>
      <c r="B9948" s="3" t="str">
        <f t="shared" si="1"/>
        <v>Unavailable</v>
      </c>
      <c r="C9948" s="5">
        <v>3676.0</v>
      </c>
      <c r="D9948" s="3">
        <f>IFERROR(__xludf.DUMMYFUNCTION("IFERROR(
IF(REGEXMATCH(LOWER(O9948),""k""),
VALUE(REGEXEXTRACT(O9948,""[0-9]+""))*1000,
VALUE(REGEXEXTRACT(O9948,""[0-9]+""))
),
0
)"),0.0)</f>
        <v>0</v>
      </c>
      <c r="E9948" s="1" t="s">
        <v>11</v>
      </c>
      <c r="F9948" s="1" t="s">
        <v>20</v>
      </c>
      <c r="G9948" s="4" t="b">
        <f t="shared" si="2"/>
        <v>1</v>
      </c>
      <c r="H9948" s="1" t="str">
        <f t="shared" si="3"/>
        <v>Currently Unavailable</v>
      </c>
      <c r="I9948" s="1" t="str">
        <f t="shared" si="4"/>
        <v>No Badges</v>
      </c>
      <c r="J9948" s="3">
        <f t="shared" si="5"/>
        <v>0</v>
      </c>
    </row>
    <row r="9949">
      <c r="A9949" s="1" t="s">
        <v>7647</v>
      </c>
      <c r="B9949" s="3" t="str">
        <f t="shared" si="1"/>
        <v>Unavailable</v>
      </c>
      <c r="C9949" s="3">
        <v>120.0</v>
      </c>
      <c r="D9949" s="3">
        <f>IFERROR(__xludf.DUMMYFUNCTION("IFERROR(
IF(REGEXMATCH(LOWER(O9949),""k""),
VALUE(REGEXEXTRACT(O9949,""[0-9]+""))*1000,
VALUE(REGEXEXTRACT(O9949,""[0-9]+""))
),
0
)"),0.0)</f>
        <v>0</v>
      </c>
      <c r="E9949" s="1" t="s">
        <v>11</v>
      </c>
      <c r="F9949" s="1" t="s">
        <v>20</v>
      </c>
      <c r="G9949" s="4" t="b">
        <f t="shared" si="2"/>
        <v>1</v>
      </c>
      <c r="H9949" s="1" t="str">
        <f t="shared" si="3"/>
        <v>Currently Unavailable</v>
      </c>
      <c r="I9949" s="1" t="str">
        <f t="shared" si="4"/>
        <v>No Badges</v>
      </c>
      <c r="J9949" s="3">
        <f t="shared" si="5"/>
        <v>0</v>
      </c>
    </row>
    <row r="9950">
      <c r="A9950" s="1" t="s">
        <v>7648</v>
      </c>
      <c r="B9950" s="3" t="str">
        <f t="shared" si="1"/>
        <v>Unavailable</v>
      </c>
      <c r="C9950" s="5">
        <v>4232.0</v>
      </c>
      <c r="D9950" s="3">
        <f>IFERROR(__xludf.DUMMYFUNCTION("IFERROR(
IF(REGEXMATCH(LOWER(O9950),""k""),
VALUE(REGEXEXTRACT(O9950,""[0-9]+""))*1000,
VALUE(REGEXEXTRACT(O9950,""[0-9]+""))
),
0
)"),0.0)</f>
        <v>0</v>
      </c>
      <c r="E9950" s="1" t="s">
        <v>11</v>
      </c>
      <c r="F9950" s="1" t="s">
        <v>20</v>
      </c>
      <c r="G9950" s="4" t="b">
        <f t="shared" si="2"/>
        <v>1</v>
      </c>
      <c r="H9950" s="1" t="str">
        <f t="shared" si="3"/>
        <v>Currently Unavailable</v>
      </c>
      <c r="I9950" s="1" t="str">
        <f t="shared" si="4"/>
        <v>No Badges</v>
      </c>
      <c r="J9950" s="3">
        <f t="shared" si="5"/>
        <v>0</v>
      </c>
    </row>
    <row r="9951">
      <c r="A9951" s="1" t="s">
        <v>7649</v>
      </c>
      <c r="B9951" s="3" t="str">
        <f t="shared" si="1"/>
        <v>Unavailable</v>
      </c>
      <c r="C9951" s="5">
        <v>9867.0</v>
      </c>
      <c r="D9951" s="3">
        <f>IFERROR(__xludf.DUMMYFUNCTION("IFERROR(
IF(REGEXMATCH(LOWER(O9951),""k""),
VALUE(REGEXEXTRACT(O9951,""[0-9]+""))*1000,
VALUE(REGEXEXTRACT(O9951,""[0-9]+""))
),
0
)"),0.0)</f>
        <v>0</v>
      </c>
      <c r="E9951" s="1" t="s">
        <v>11</v>
      </c>
      <c r="F9951" s="1" t="s">
        <v>20</v>
      </c>
      <c r="G9951" s="4" t="b">
        <f t="shared" si="2"/>
        <v>1</v>
      </c>
      <c r="H9951" s="1" t="str">
        <f t="shared" si="3"/>
        <v>Currently Unavailable</v>
      </c>
      <c r="I9951" s="1" t="str">
        <f t="shared" si="4"/>
        <v>No Badges</v>
      </c>
      <c r="J9951" s="3">
        <f t="shared" si="5"/>
        <v>0</v>
      </c>
    </row>
    <row r="9952">
      <c r="A9952" s="1" t="s">
        <v>7650</v>
      </c>
      <c r="B9952" s="3" t="str">
        <f t="shared" si="1"/>
        <v>Unavailable</v>
      </c>
      <c r="C9952" s="5">
        <v>7793.0</v>
      </c>
      <c r="D9952" s="3">
        <f>IFERROR(__xludf.DUMMYFUNCTION("IFERROR(
IF(REGEXMATCH(LOWER(O9952),""k""),
VALUE(REGEXEXTRACT(O9952,""[0-9]+""))*1000,
VALUE(REGEXEXTRACT(O9952,""[0-9]+""))
),
0
)"),0.0)</f>
        <v>0</v>
      </c>
      <c r="E9952" s="1" t="s">
        <v>11</v>
      </c>
      <c r="F9952" s="1" t="s">
        <v>20</v>
      </c>
      <c r="G9952" s="4" t="b">
        <f t="shared" si="2"/>
        <v>1</v>
      </c>
      <c r="H9952" s="1" t="str">
        <f t="shared" si="3"/>
        <v>Currently Unavailable</v>
      </c>
      <c r="I9952" s="1" t="str">
        <f t="shared" si="4"/>
        <v>No Badges</v>
      </c>
      <c r="J9952" s="3">
        <f t="shared" si="5"/>
        <v>0</v>
      </c>
    </row>
    <row r="9953">
      <c r="A9953" s="1" t="s">
        <v>7651</v>
      </c>
      <c r="B9953" s="3" t="str">
        <f t="shared" si="1"/>
        <v>Unavailable</v>
      </c>
      <c r="C9953" s="5">
        <v>4452.0</v>
      </c>
      <c r="D9953" s="3">
        <f>IFERROR(__xludf.DUMMYFUNCTION("IFERROR(
IF(REGEXMATCH(LOWER(O9953),""k""),
VALUE(REGEXEXTRACT(O9953,""[0-9]+""))*1000,
VALUE(REGEXEXTRACT(O9953,""[0-9]+""))
),
0
)"),0.0)</f>
        <v>0</v>
      </c>
      <c r="E9953" s="1" t="s">
        <v>11</v>
      </c>
      <c r="F9953" s="1" t="s">
        <v>20</v>
      </c>
      <c r="G9953" s="4" t="b">
        <f t="shared" si="2"/>
        <v>1</v>
      </c>
      <c r="H9953" s="1" t="str">
        <f t="shared" si="3"/>
        <v>Currently Unavailable</v>
      </c>
      <c r="I9953" s="1" t="str">
        <f t="shared" si="4"/>
        <v>No Badges</v>
      </c>
      <c r="J9953" s="3">
        <f t="shared" si="5"/>
        <v>0</v>
      </c>
    </row>
    <row r="9954">
      <c r="A9954" s="1" t="s">
        <v>7652</v>
      </c>
      <c r="B9954" s="3" t="str">
        <f t="shared" si="1"/>
        <v>Unavailable</v>
      </c>
      <c r="C9954" s="5">
        <v>1975.0</v>
      </c>
      <c r="D9954" s="3">
        <f>IFERROR(__xludf.DUMMYFUNCTION("IFERROR(
IF(REGEXMATCH(LOWER(O9954),""k""),
VALUE(REGEXEXTRACT(O9954,""[0-9]+""))*1000,
VALUE(REGEXEXTRACT(O9954,""[0-9]+""))
),
0
)"),0.0)</f>
        <v>0</v>
      </c>
      <c r="E9954" s="1" t="s">
        <v>11</v>
      </c>
      <c r="F9954" s="1" t="s">
        <v>20</v>
      </c>
      <c r="G9954" s="4" t="b">
        <f t="shared" si="2"/>
        <v>1</v>
      </c>
      <c r="H9954" s="1" t="str">
        <f t="shared" si="3"/>
        <v>Currently Unavailable</v>
      </c>
      <c r="I9954" s="1" t="str">
        <f t="shared" si="4"/>
        <v>No Badges</v>
      </c>
      <c r="J9954" s="3">
        <f t="shared" si="5"/>
        <v>0</v>
      </c>
    </row>
    <row r="9955">
      <c r="A9955" s="1" t="s">
        <v>7653</v>
      </c>
      <c r="B9955" s="3" t="str">
        <f t="shared" si="1"/>
        <v>Unavailable</v>
      </c>
      <c r="C9955" s="5">
        <v>2006.0</v>
      </c>
      <c r="D9955" s="3">
        <f>IFERROR(__xludf.DUMMYFUNCTION("IFERROR(
IF(REGEXMATCH(LOWER(O9955),""k""),
VALUE(REGEXEXTRACT(O9955,""[0-9]+""))*1000,
VALUE(REGEXEXTRACT(O9955,""[0-9]+""))
),
0
)"),0.0)</f>
        <v>0</v>
      </c>
      <c r="E9955" s="1" t="s">
        <v>11</v>
      </c>
      <c r="F9955" s="1" t="s">
        <v>20</v>
      </c>
      <c r="G9955" s="4" t="b">
        <f t="shared" si="2"/>
        <v>1</v>
      </c>
      <c r="H9955" s="1" t="str">
        <f t="shared" si="3"/>
        <v>Currently Unavailable</v>
      </c>
      <c r="I9955" s="1" t="str">
        <f t="shared" si="4"/>
        <v>No Badges</v>
      </c>
      <c r="J9955" s="3">
        <f t="shared" si="5"/>
        <v>0</v>
      </c>
    </row>
    <row r="9956">
      <c r="A9956" s="1" t="s">
        <v>7654</v>
      </c>
      <c r="B9956" s="3" t="str">
        <f t="shared" si="1"/>
        <v>Unavailable</v>
      </c>
      <c r="C9956" s="5">
        <v>7148.0</v>
      </c>
      <c r="D9956" s="3">
        <f>IFERROR(__xludf.DUMMYFUNCTION("IFERROR(
IF(REGEXMATCH(LOWER(O9956),""k""),
VALUE(REGEXEXTRACT(O9956,""[0-9]+""))*1000,
VALUE(REGEXEXTRACT(O9956,""[0-9]+""))
),
0
)"),0.0)</f>
        <v>0</v>
      </c>
      <c r="E9956" s="1" t="s">
        <v>11</v>
      </c>
      <c r="F9956" s="1" t="s">
        <v>20</v>
      </c>
      <c r="G9956" s="4" t="b">
        <f t="shared" si="2"/>
        <v>1</v>
      </c>
      <c r="H9956" s="1" t="str">
        <f t="shared" si="3"/>
        <v>Currently Unavailable</v>
      </c>
      <c r="I9956" s="1" t="str">
        <f t="shared" si="4"/>
        <v>No Badges</v>
      </c>
      <c r="J9956" s="3">
        <f t="shared" si="5"/>
        <v>0</v>
      </c>
    </row>
    <row r="9957">
      <c r="A9957" s="1" t="s">
        <v>7655</v>
      </c>
      <c r="B9957" s="3" t="str">
        <f t="shared" si="1"/>
        <v>Unavailable</v>
      </c>
      <c r="C9957" s="3">
        <v>272.0</v>
      </c>
      <c r="D9957" s="3">
        <f>IFERROR(__xludf.DUMMYFUNCTION("IFERROR(
IF(REGEXMATCH(LOWER(O9957),""k""),
VALUE(REGEXEXTRACT(O9957,""[0-9]+""))*1000,
VALUE(REGEXEXTRACT(O9957,""[0-9]+""))
),
0
)"),0.0)</f>
        <v>0</v>
      </c>
      <c r="E9957" s="1" t="s">
        <v>11</v>
      </c>
      <c r="F9957" s="1" t="s">
        <v>20</v>
      </c>
      <c r="G9957" s="4" t="b">
        <f t="shared" si="2"/>
        <v>1</v>
      </c>
      <c r="H9957" s="1" t="str">
        <f t="shared" si="3"/>
        <v>Currently Unavailable</v>
      </c>
      <c r="I9957" s="1" t="str">
        <f t="shared" si="4"/>
        <v>No Badges</v>
      </c>
      <c r="J9957" s="3">
        <f t="shared" si="5"/>
        <v>0</v>
      </c>
    </row>
    <row r="9958">
      <c r="A9958" s="1" t="s">
        <v>7656</v>
      </c>
      <c r="B9958" s="3" t="str">
        <f t="shared" si="1"/>
        <v>Unavailable</v>
      </c>
      <c r="C9958" s="3">
        <v>541.0</v>
      </c>
      <c r="D9958" s="3">
        <f>IFERROR(__xludf.DUMMYFUNCTION("IFERROR(
IF(REGEXMATCH(LOWER(O9958),""k""),
VALUE(REGEXEXTRACT(O9958,""[0-9]+""))*1000,
VALUE(REGEXEXTRACT(O9958,""[0-9]+""))
),
0
)"),0.0)</f>
        <v>0</v>
      </c>
      <c r="E9958" s="1" t="s">
        <v>11</v>
      </c>
      <c r="F9958" s="1" t="s">
        <v>20</v>
      </c>
      <c r="G9958" s="4" t="b">
        <f t="shared" si="2"/>
        <v>1</v>
      </c>
      <c r="H9958" s="1" t="str">
        <f t="shared" si="3"/>
        <v>Currently Unavailable</v>
      </c>
      <c r="I9958" s="1" t="str">
        <f t="shared" si="4"/>
        <v>No Badges</v>
      </c>
      <c r="J9958" s="3">
        <f t="shared" si="5"/>
        <v>0</v>
      </c>
    </row>
    <row r="9959">
      <c r="A9959" s="1" t="s">
        <v>7657</v>
      </c>
      <c r="B9959" s="3" t="str">
        <f t="shared" si="1"/>
        <v>Unavailable</v>
      </c>
      <c r="C9959" s="3">
        <v>193.0</v>
      </c>
      <c r="D9959" s="3">
        <f>IFERROR(__xludf.DUMMYFUNCTION("IFERROR(
IF(REGEXMATCH(LOWER(O9959),""k""),
VALUE(REGEXEXTRACT(O9959,""[0-9]+""))*1000,
VALUE(REGEXEXTRACT(O9959,""[0-9]+""))
),
0
)"),0.0)</f>
        <v>0</v>
      </c>
      <c r="E9959" s="1" t="s">
        <v>11</v>
      </c>
      <c r="F9959" s="1" t="s">
        <v>20</v>
      </c>
      <c r="G9959" s="4" t="b">
        <f t="shared" si="2"/>
        <v>1</v>
      </c>
      <c r="H9959" s="1" t="str">
        <f t="shared" si="3"/>
        <v>Currently Unavailable</v>
      </c>
      <c r="I9959" s="1" t="str">
        <f t="shared" si="4"/>
        <v>No Badges</v>
      </c>
      <c r="J9959" s="3">
        <f t="shared" si="5"/>
        <v>0</v>
      </c>
    </row>
    <row r="9960">
      <c r="A9960" s="1" t="s">
        <v>7658</v>
      </c>
      <c r="B9960" s="3" t="str">
        <f t="shared" si="1"/>
        <v>Unavailable</v>
      </c>
      <c r="C9960" s="3">
        <v>61.0</v>
      </c>
      <c r="D9960" s="3">
        <f>IFERROR(__xludf.DUMMYFUNCTION("IFERROR(
IF(REGEXMATCH(LOWER(O9960),""k""),
VALUE(REGEXEXTRACT(O9960,""[0-9]+""))*1000,
VALUE(REGEXEXTRACT(O9960,""[0-9]+""))
),
0
)"),0.0)</f>
        <v>0</v>
      </c>
      <c r="E9960" s="1" t="s">
        <v>11</v>
      </c>
      <c r="F9960" s="1" t="s">
        <v>20</v>
      </c>
      <c r="G9960" s="4" t="b">
        <f t="shared" si="2"/>
        <v>1</v>
      </c>
      <c r="H9960" s="1" t="str">
        <f t="shared" si="3"/>
        <v>Currently Unavailable</v>
      </c>
      <c r="I9960" s="1" t="str">
        <f t="shared" si="4"/>
        <v>No Badges</v>
      </c>
      <c r="J9960" s="3">
        <f t="shared" si="5"/>
        <v>0</v>
      </c>
    </row>
    <row r="9961">
      <c r="A9961" s="1" t="s">
        <v>7659</v>
      </c>
      <c r="B9961" s="3" t="str">
        <f t="shared" si="1"/>
        <v>Unavailable</v>
      </c>
      <c r="C9961" s="3">
        <v>437.0</v>
      </c>
      <c r="D9961" s="3">
        <f>IFERROR(__xludf.DUMMYFUNCTION("IFERROR(
IF(REGEXMATCH(LOWER(O9961),""k""),
VALUE(REGEXEXTRACT(O9961,""[0-9]+""))*1000,
VALUE(REGEXEXTRACT(O9961,""[0-9]+""))
),
0
)"),0.0)</f>
        <v>0</v>
      </c>
      <c r="E9961" s="1" t="s">
        <v>11</v>
      </c>
      <c r="F9961" s="1" t="s">
        <v>20</v>
      </c>
      <c r="G9961" s="4" t="b">
        <f t="shared" si="2"/>
        <v>1</v>
      </c>
      <c r="H9961" s="1" t="str">
        <f t="shared" si="3"/>
        <v>Currently Unavailable</v>
      </c>
      <c r="I9961" s="1" t="str">
        <f t="shared" si="4"/>
        <v>No Badges</v>
      </c>
      <c r="J9961" s="3">
        <f t="shared" si="5"/>
        <v>0</v>
      </c>
    </row>
    <row r="9962">
      <c r="A9962" s="1" t="s">
        <v>7660</v>
      </c>
      <c r="B9962" s="3" t="str">
        <f t="shared" si="1"/>
        <v>Unavailable</v>
      </c>
      <c r="C9962" s="5">
        <v>30468.0</v>
      </c>
      <c r="D9962" s="3">
        <f>IFERROR(__xludf.DUMMYFUNCTION("IFERROR(
IF(REGEXMATCH(LOWER(O9962),""k""),
VALUE(REGEXEXTRACT(O9962,""[0-9]+""))*1000,
VALUE(REGEXEXTRACT(O9962,""[0-9]+""))
),
0
)"),0.0)</f>
        <v>0</v>
      </c>
      <c r="E9962" s="1" t="s">
        <v>158</v>
      </c>
      <c r="F9962" s="1" t="s">
        <v>20</v>
      </c>
      <c r="G9962" s="4" t="b">
        <f t="shared" si="2"/>
        <v>1</v>
      </c>
      <c r="H9962" s="1" t="str">
        <f t="shared" si="3"/>
        <v>Currently Unavailable</v>
      </c>
      <c r="I9962" s="1" t="str">
        <f t="shared" si="4"/>
        <v>No Badges</v>
      </c>
      <c r="J9962" s="3">
        <f t="shared" si="5"/>
        <v>0</v>
      </c>
    </row>
    <row r="9963">
      <c r="A9963" s="1" t="s">
        <v>7661</v>
      </c>
      <c r="B9963" s="3" t="str">
        <f t="shared" si="1"/>
        <v>Unavailable</v>
      </c>
      <c r="C9963" s="5">
        <v>10999.0</v>
      </c>
      <c r="D9963" s="3">
        <f>IFERROR(__xludf.DUMMYFUNCTION("IFERROR(
IF(REGEXMATCH(LOWER(O9963),""k""),
VALUE(REGEXEXTRACT(O9963,""[0-9]+""))*1000,
VALUE(REGEXEXTRACT(O9963,""[0-9]+""))
),
0
)"),0.0)</f>
        <v>0</v>
      </c>
      <c r="E9963" s="1" t="s">
        <v>11</v>
      </c>
      <c r="F9963" s="1" t="s">
        <v>20</v>
      </c>
      <c r="G9963" s="4" t="b">
        <f t="shared" si="2"/>
        <v>1</v>
      </c>
      <c r="H9963" s="1" t="str">
        <f t="shared" si="3"/>
        <v>Currently Unavailable</v>
      </c>
      <c r="I9963" s="1" t="str">
        <f t="shared" si="4"/>
        <v>No Badges</v>
      </c>
      <c r="J9963" s="3">
        <f t="shared" si="5"/>
        <v>0</v>
      </c>
    </row>
    <row r="9964">
      <c r="A9964" s="1" t="s">
        <v>7662</v>
      </c>
      <c r="B9964" s="3" t="str">
        <f t="shared" si="1"/>
        <v>Unavailable</v>
      </c>
      <c r="C9964" s="5">
        <v>2073.0</v>
      </c>
      <c r="D9964" s="3">
        <f>IFERROR(__xludf.DUMMYFUNCTION("IFERROR(
IF(REGEXMATCH(LOWER(O9964),""k""),
VALUE(REGEXEXTRACT(O9964,""[0-9]+""))*1000,
VALUE(REGEXEXTRACT(O9964,""[0-9]+""))
),
0
)"),0.0)</f>
        <v>0</v>
      </c>
      <c r="E9964" s="1" t="s">
        <v>11</v>
      </c>
      <c r="F9964" s="1" t="s">
        <v>20</v>
      </c>
      <c r="G9964" s="4" t="b">
        <f t="shared" si="2"/>
        <v>1</v>
      </c>
      <c r="H9964" s="1" t="str">
        <f t="shared" si="3"/>
        <v>Currently Unavailable</v>
      </c>
      <c r="I9964" s="1" t="str">
        <f t="shared" si="4"/>
        <v>No Badges</v>
      </c>
      <c r="J9964" s="3">
        <f t="shared" si="5"/>
        <v>0</v>
      </c>
    </row>
    <row r="9965">
      <c r="A9965" s="1" t="s">
        <v>7663</v>
      </c>
      <c r="B9965" s="3" t="str">
        <f t="shared" si="1"/>
        <v>Unavailable</v>
      </c>
      <c r="C9965" s="5">
        <v>5255.0</v>
      </c>
      <c r="D9965" s="3">
        <f>IFERROR(__xludf.DUMMYFUNCTION("IFERROR(
IF(REGEXMATCH(LOWER(O9965),""k""),
VALUE(REGEXEXTRACT(O9965,""[0-9]+""))*1000,
VALUE(REGEXEXTRACT(O9965,""[0-9]+""))
),
0
)"),0.0)</f>
        <v>0</v>
      </c>
      <c r="E9965" s="1" t="s">
        <v>11</v>
      </c>
      <c r="F9965" s="1" t="s">
        <v>20</v>
      </c>
      <c r="G9965" s="4" t="b">
        <f t="shared" si="2"/>
        <v>1</v>
      </c>
      <c r="H9965" s="1" t="str">
        <f t="shared" si="3"/>
        <v>Currently Unavailable</v>
      </c>
      <c r="I9965" s="1" t="str">
        <f t="shared" si="4"/>
        <v>No Badges</v>
      </c>
      <c r="J9965" s="3">
        <f t="shared" si="5"/>
        <v>0</v>
      </c>
    </row>
    <row r="9966">
      <c r="A9966" s="1" t="s">
        <v>7664</v>
      </c>
      <c r="B9966" s="3" t="str">
        <f t="shared" si="1"/>
        <v>Unavailable</v>
      </c>
      <c r="C9966" s="5">
        <v>3088.0</v>
      </c>
      <c r="D9966" s="3">
        <f>IFERROR(__xludf.DUMMYFUNCTION("IFERROR(
IF(REGEXMATCH(LOWER(O9966),""k""),
VALUE(REGEXEXTRACT(O9966,""[0-9]+""))*1000,
VALUE(REGEXEXTRACT(O9966,""[0-9]+""))
),
0
)"),0.0)</f>
        <v>0</v>
      </c>
      <c r="E9966" s="1" t="s">
        <v>11</v>
      </c>
      <c r="F9966" s="1" t="s">
        <v>20</v>
      </c>
      <c r="G9966" s="4" t="b">
        <f t="shared" si="2"/>
        <v>1</v>
      </c>
      <c r="H9966" s="1" t="str">
        <f t="shared" si="3"/>
        <v>Currently Unavailable</v>
      </c>
      <c r="I9966" s="1" t="str">
        <f t="shared" si="4"/>
        <v>No Badges</v>
      </c>
      <c r="J9966" s="3">
        <f t="shared" si="5"/>
        <v>0</v>
      </c>
    </row>
    <row r="9967">
      <c r="A9967" s="1" t="s">
        <v>7665</v>
      </c>
      <c r="B9967" s="3" t="str">
        <f t="shared" si="1"/>
        <v>Unavailable</v>
      </c>
      <c r="C9967" s="5">
        <v>9045.0</v>
      </c>
      <c r="D9967" s="3">
        <f>IFERROR(__xludf.DUMMYFUNCTION("IFERROR(
IF(REGEXMATCH(LOWER(O9967),""k""),
VALUE(REGEXEXTRACT(O9967,""[0-9]+""))*1000,
VALUE(REGEXEXTRACT(O9967,""[0-9]+""))
),
0
)"),0.0)</f>
        <v>0</v>
      </c>
      <c r="E9967" s="1" t="s">
        <v>11</v>
      </c>
      <c r="F9967" s="1" t="s">
        <v>20</v>
      </c>
      <c r="G9967" s="4" t="b">
        <f t="shared" si="2"/>
        <v>1</v>
      </c>
      <c r="H9967" s="1" t="str">
        <f t="shared" si="3"/>
        <v>Currently Unavailable</v>
      </c>
      <c r="I9967" s="1" t="str">
        <f t="shared" si="4"/>
        <v>No Badges</v>
      </c>
      <c r="J9967" s="3">
        <f t="shared" si="5"/>
        <v>0</v>
      </c>
    </row>
    <row r="9968">
      <c r="A9968" s="1" t="s">
        <v>7666</v>
      </c>
      <c r="B9968" s="3" t="str">
        <f t="shared" si="1"/>
        <v>Unavailable</v>
      </c>
      <c r="C9968" s="5">
        <v>2634.0</v>
      </c>
      <c r="D9968" s="3">
        <f>IFERROR(__xludf.DUMMYFUNCTION("IFERROR(
IF(REGEXMATCH(LOWER(O9968),""k""),
VALUE(REGEXEXTRACT(O9968,""[0-9]+""))*1000,
VALUE(REGEXEXTRACT(O9968,""[0-9]+""))
),
0
)"),0.0)</f>
        <v>0</v>
      </c>
      <c r="E9968" s="1" t="s">
        <v>11</v>
      </c>
      <c r="F9968" s="1" t="s">
        <v>20</v>
      </c>
      <c r="G9968" s="4" t="b">
        <f t="shared" si="2"/>
        <v>1</v>
      </c>
      <c r="H9968" s="1" t="str">
        <f t="shared" si="3"/>
        <v>Currently Unavailable</v>
      </c>
      <c r="I9968" s="1" t="str">
        <f t="shared" si="4"/>
        <v>No Badges</v>
      </c>
      <c r="J9968" s="3">
        <f t="shared" si="5"/>
        <v>0</v>
      </c>
    </row>
    <row r="9969">
      <c r="A9969" s="1" t="s">
        <v>7667</v>
      </c>
      <c r="B9969" s="3" t="str">
        <f t="shared" si="1"/>
        <v>Unavailable</v>
      </c>
      <c r="C9969" s="5">
        <v>1082.0</v>
      </c>
      <c r="D9969" s="3">
        <f>IFERROR(__xludf.DUMMYFUNCTION("IFERROR(
IF(REGEXMATCH(LOWER(O9969),""k""),
VALUE(REGEXEXTRACT(O9969,""[0-9]+""))*1000,
VALUE(REGEXEXTRACT(O9969,""[0-9]+""))
),
0
)"),0.0)</f>
        <v>0</v>
      </c>
      <c r="E9969" s="1" t="s">
        <v>11</v>
      </c>
      <c r="F9969" s="1" t="s">
        <v>20</v>
      </c>
      <c r="G9969" s="4" t="b">
        <f t="shared" si="2"/>
        <v>1</v>
      </c>
      <c r="H9969" s="1" t="str">
        <f t="shared" si="3"/>
        <v>Currently Unavailable</v>
      </c>
      <c r="I9969" s="1" t="str">
        <f t="shared" si="4"/>
        <v>No Badges</v>
      </c>
      <c r="J9969" s="3">
        <f t="shared" si="5"/>
        <v>0</v>
      </c>
    </row>
    <row r="9970">
      <c r="A9970" s="1" t="s">
        <v>7668</v>
      </c>
      <c r="B9970" s="3" t="str">
        <f t="shared" si="1"/>
        <v>Unavailable</v>
      </c>
      <c r="C9970" s="5">
        <v>4660.0</v>
      </c>
      <c r="D9970" s="3">
        <f>IFERROR(__xludf.DUMMYFUNCTION("IFERROR(
IF(REGEXMATCH(LOWER(O9970),""k""),
VALUE(REGEXEXTRACT(O9970,""[0-9]+""))*1000,
VALUE(REGEXEXTRACT(O9970,""[0-9]+""))
),
0
)"),0.0)</f>
        <v>0</v>
      </c>
      <c r="E9970" s="1" t="s">
        <v>11</v>
      </c>
      <c r="F9970" s="1" t="s">
        <v>20</v>
      </c>
      <c r="G9970" s="4" t="b">
        <f t="shared" si="2"/>
        <v>1</v>
      </c>
      <c r="H9970" s="1" t="str">
        <f t="shared" si="3"/>
        <v>Currently Unavailable</v>
      </c>
      <c r="I9970" s="1" t="str">
        <f t="shared" si="4"/>
        <v>No Badges</v>
      </c>
      <c r="J9970" s="3">
        <f t="shared" si="5"/>
        <v>0</v>
      </c>
    </row>
    <row r="9971">
      <c r="A9971" s="1" t="s">
        <v>7669</v>
      </c>
      <c r="B9971" s="3" t="str">
        <f t="shared" si="1"/>
        <v>Unavailable</v>
      </c>
      <c r="C9971" s="3">
        <v>135.0</v>
      </c>
      <c r="D9971" s="3">
        <f>IFERROR(__xludf.DUMMYFUNCTION("IFERROR(
IF(REGEXMATCH(LOWER(O9971),""k""),
VALUE(REGEXEXTRACT(O9971,""[0-9]+""))*1000,
VALUE(REGEXEXTRACT(O9971,""[0-9]+""))
),
0
)"),0.0)</f>
        <v>0</v>
      </c>
      <c r="E9971" s="1" t="s">
        <v>11</v>
      </c>
      <c r="F9971" s="1" t="s">
        <v>20</v>
      </c>
      <c r="G9971" s="4" t="b">
        <f t="shared" si="2"/>
        <v>1</v>
      </c>
      <c r="H9971" s="1" t="str">
        <f t="shared" si="3"/>
        <v>Currently Unavailable</v>
      </c>
      <c r="I9971" s="1" t="str">
        <f t="shared" si="4"/>
        <v>No Badges</v>
      </c>
      <c r="J9971" s="3">
        <f t="shared" si="5"/>
        <v>0</v>
      </c>
    </row>
    <row r="9972">
      <c r="A9972" s="1" t="s">
        <v>7670</v>
      </c>
      <c r="B9972" s="3" t="str">
        <f t="shared" si="1"/>
        <v>Unavailable</v>
      </c>
      <c r="C9972" s="5">
        <v>3316.0</v>
      </c>
      <c r="D9972" s="3">
        <f>IFERROR(__xludf.DUMMYFUNCTION("IFERROR(
IF(REGEXMATCH(LOWER(O9972),""k""),
VALUE(REGEXEXTRACT(O9972,""[0-9]+""))*1000,
VALUE(REGEXEXTRACT(O9972,""[0-9]+""))
),
0
)"),0.0)</f>
        <v>0</v>
      </c>
      <c r="E9972" s="1" t="s">
        <v>158</v>
      </c>
      <c r="F9972" s="1" t="s">
        <v>20</v>
      </c>
      <c r="G9972" s="4" t="b">
        <f t="shared" si="2"/>
        <v>1</v>
      </c>
      <c r="H9972" s="1" t="str">
        <f t="shared" si="3"/>
        <v>Currently Unavailable</v>
      </c>
      <c r="I9972" s="1" t="str">
        <f t="shared" si="4"/>
        <v>No Badges</v>
      </c>
      <c r="J9972" s="3">
        <f t="shared" si="5"/>
        <v>0</v>
      </c>
    </row>
    <row r="9973">
      <c r="A9973" s="1" t="s">
        <v>7671</v>
      </c>
      <c r="B9973" s="1" t="str">
        <f t="shared" si="1"/>
        <v>Unavailable</v>
      </c>
      <c r="C9973" s="1"/>
      <c r="D9973" s="3">
        <f>IFERROR(__xludf.DUMMYFUNCTION("IFERROR(
IF(REGEXMATCH(LOWER(O9973),""k""),
VALUE(REGEXEXTRACT(O9973,""[0-9]+""))*1000,
VALUE(REGEXEXTRACT(O9973,""[0-9]+""))
),
0
)"),0.0)</f>
        <v>0</v>
      </c>
      <c r="E9973" s="1" t="s">
        <v>11</v>
      </c>
      <c r="F9973" s="1" t="s">
        <v>20</v>
      </c>
      <c r="G9973" s="4" t="b">
        <f t="shared" si="2"/>
        <v>1</v>
      </c>
      <c r="H9973" s="1" t="str">
        <f t="shared" si="3"/>
        <v>Currently Unavailable</v>
      </c>
      <c r="I9973" s="1" t="str">
        <f t="shared" si="4"/>
        <v>No Badges</v>
      </c>
      <c r="J9973" s="3">
        <f t="shared" si="5"/>
        <v>0</v>
      </c>
    </row>
    <row r="9974">
      <c r="A9974" s="1" t="s">
        <v>7672</v>
      </c>
      <c r="B9974" s="3" t="str">
        <f t="shared" si="1"/>
        <v>Unavailable</v>
      </c>
      <c r="C9974" s="3">
        <v>67.0</v>
      </c>
      <c r="D9974" s="3">
        <f>IFERROR(__xludf.DUMMYFUNCTION("IFERROR(
IF(REGEXMATCH(LOWER(O9974),""k""),
VALUE(REGEXEXTRACT(O9974,""[0-9]+""))*1000,
VALUE(REGEXEXTRACT(O9974,""[0-9]+""))
),
0
)"),0.0)</f>
        <v>0</v>
      </c>
      <c r="E9974" s="1" t="s">
        <v>11</v>
      </c>
      <c r="F9974" s="1" t="s">
        <v>20</v>
      </c>
      <c r="G9974" s="4" t="b">
        <f t="shared" si="2"/>
        <v>1</v>
      </c>
      <c r="H9974" s="1" t="str">
        <f t="shared" si="3"/>
        <v>Currently Unavailable</v>
      </c>
      <c r="I9974" s="1" t="str">
        <f t="shared" si="4"/>
        <v>No Badges</v>
      </c>
      <c r="J9974" s="3">
        <f t="shared" si="5"/>
        <v>0</v>
      </c>
    </row>
    <row r="9975">
      <c r="A9975" s="1" t="s">
        <v>7673</v>
      </c>
      <c r="B9975" s="3" t="str">
        <f t="shared" si="1"/>
        <v>Unavailable</v>
      </c>
      <c r="C9975" s="3">
        <v>243.0</v>
      </c>
      <c r="D9975" s="3">
        <f>IFERROR(__xludf.DUMMYFUNCTION("IFERROR(
IF(REGEXMATCH(LOWER(O9975),""k""),
VALUE(REGEXEXTRACT(O9975,""[0-9]+""))*1000,
VALUE(REGEXEXTRACT(O9975,""[0-9]+""))
),
0
)"),0.0)</f>
        <v>0</v>
      </c>
      <c r="E9975" s="1" t="s">
        <v>11</v>
      </c>
      <c r="F9975" s="1" t="s">
        <v>20</v>
      </c>
      <c r="G9975" s="4" t="b">
        <f t="shared" si="2"/>
        <v>1</v>
      </c>
      <c r="H9975" s="1" t="str">
        <f t="shared" si="3"/>
        <v>Currently Unavailable</v>
      </c>
      <c r="I9975" s="1" t="str">
        <f t="shared" si="4"/>
        <v>No Badges</v>
      </c>
      <c r="J9975" s="3">
        <f t="shared" si="5"/>
        <v>0</v>
      </c>
    </row>
    <row r="9976">
      <c r="A9976" s="1" t="s">
        <v>7674</v>
      </c>
      <c r="B9976" s="3" t="str">
        <f t="shared" si="1"/>
        <v>Unavailable</v>
      </c>
      <c r="C9976" s="3">
        <v>18.0</v>
      </c>
      <c r="D9976" s="3">
        <f>IFERROR(__xludf.DUMMYFUNCTION("IFERROR(
IF(REGEXMATCH(LOWER(O9976),""k""),
VALUE(REGEXEXTRACT(O9976,""[0-9]+""))*1000,
VALUE(REGEXEXTRACT(O9976,""[0-9]+""))
),
0
)"),0.0)</f>
        <v>0</v>
      </c>
      <c r="E9976" s="1" t="s">
        <v>11</v>
      </c>
      <c r="F9976" s="1" t="s">
        <v>20</v>
      </c>
      <c r="G9976" s="4" t="b">
        <f t="shared" si="2"/>
        <v>1</v>
      </c>
      <c r="H9976" s="1" t="str">
        <f t="shared" si="3"/>
        <v>Currently Unavailable</v>
      </c>
      <c r="I9976" s="1" t="str">
        <f t="shared" si="4"/>
        <v>No Badges</v>
      </c>
      <c r="J9976" s="3">
        <f t="shared" si="5"/>
        <v>0</v>
      </c>
    </row>
    <row r="9977">
      <c r="A9977" s="1" t="s">
        <v>7675</v>
      </c>
      <c r="B9977" s="3" t="str">
        <f t="shared" si="1"/>
        <v>Unavailable</v>
      </c>
      <c r="C9977" s="3">
        <v>1.0</v>
      </c>
      <c r="D9977" s="3">
        <f>IFERROR(__xludf.DUMMYFUNCTION("IFERROR(
IF(REGEXMATCH(LOWER(O9977),""k""),
VALUE(REGEXEXTRACT(O9977,""[0-9]+""))*1000,
VALUE(REGEXEXTRACT(O9977,""[0-9]+""))
),
0
)"),0.0)</f>
        <v>0</v>
      </c>
      <c r="E9977" s="1" t="s">
        <v>11</v>
      </c>
      <c r="F9977" s="1" t="s">
        <v>20</v>
      </c>
      <c r="G9977" s="4" t="b">
        <f t="shared" si="2"/>
        <v>1</v>
      </c>
      <c r="H9977" s="1" t="str">
        <f t="shared" si="3"/>
        <v>Currently Unavailable</v>
      </c>
      <c r="I9977" s="1" t="str">
        <f t="shared" si="4"/>
        <v>No Badges</v>
      </c>
      <c r="J9977" s="3">
        <f t="shared" si="5"/>
        <v>0</v>
      </c>
    </row>
    <row r="9978">
      <c r="A9978" s="1" t="s">
        <v>7676</v>
      </c>
      <c r="B9978" s="3" t="str">
        <f t="shared" si="1"/>
        <v>Unavailable</v>
      </c>
      <c r="C9978" s="3">
        <v>64.0</v>
      </c>
      <c r="D9978" s="3">
        <f>IFERROR(__xludf.DUMMYFUNCTION("IFERROR(
IF(REGEXMATCH(LOWER(O9978),""k""),
VALUE(REGEXEXTRACT(O9978,""[0-9]+""))*1000,
VALUE(REGEXEXTRACT(O9978,""[0-9]+""))
),
0
)"),0.0)</f>
        <v>0</v>
      </c>
      <c r="E9978" s="1" t="s">
        <v>11</v>
      </c>
      <c r="F9978" s="1" t="s">
        <v>20</v>
      </c>
      <c r="G9978" s="4" t="b">
        <f t="shared" si="2"/>
        <v>1</v>
      </c>
      <c r="H9978" s="1" t="str">
        <f t="shared" si="3"/>
        <v>Currently Unavailable</v>
      </c>
      <c r="I9978" s="1" t="str">
        <f t="shared" si="4"/>
        <v>No Badges</v>
      </c>
      <c r="J9978" s="3">
        <f t="shared" si="5"/>
        <v>0</v>
      </c>
    </row>
    <row r="9979">
      <c r="A9979" s="1" t="s">
        <v>7677</v>
      </c>
      <c r="B9979" s="3" t="str">
        <f t="shared" si="1"/>
        <v>Unavailable</v>
      </c>
      <c r="C9979" s="5">
        <v>8639.0</v>
      </c>
      <c r="D9979" s="3">
        <f>IFERROR(__xludf.DUMMYFUNCTION("IFERROR(
IF(REGEXMATCH(LOWER(O9979),""k""),
VALUE(REGEXEXTRACT(O9979,""[0-9]+""))*1000,
VALUE(REGEXEXTRACT(O9979,""[0-9]+""))
),
0
)"),0.0)</f>
        <v>0</v>
      </c>
      <c r="E9979" s="1" t="s">
        <v>11</v>
      </c>
      <c r="F9979" s="1" t="s">
        <v>20</v>
      </c>
      <c r="G9979" s="4" t="b">
        <f t="shared" si="2"/>
        <v>1</v>
      </c>
      <c r="H9979" s="1" t="str">
        <f t="shared" si="3"/>
        <v>Currently Unavailable</v>
      </c>
      <c r="I9979" s="1" t="str">
        <f t="shared" si="4"/>
        <v>No Badges</v>
      </c>
      <c r="J9979" s="3">
        <f t="shared" si="5"/>
        <v>0</v>
      </c>
    </row>
    <row r="9980">
      <c r="A9980" s="1" t="s">
        <v>7678</v>
      </c>
      <c r="B9980" s="3" t="str">
        <f t="shared" si="1"/>
        <v>Unavailable</v>
      </c>
      <c r="C9980" s="5">
        <v>1101.0</v>
      </c>
      <c r="D9980" s="3">
        <f>IFERROR(__xludf.DUMMYFUNCTION("IFERROR(
IF(REGEXMATCH(LOWER(O9980),""k""),
VALUE(REGEXEXTRACT(O9980,""[0-9]+""))*1000,
VALUE(REGEXEXTRACT(O9980,""[0-9]+""))
),
0
)"),0.0)</f>
        <v>0</v>
      </c>
      <c r="E9980" s="1" t="s">
        <v>11</v>
      </c>
      <c r="F9980" s="1" t="s">
        <v>20</v>
      </c>
      <c r="G9980" s="4" t="b">
        <f t="shared" si="2"/>
        <v>1</v>
      </c>
      <c r="H9980" s="1" t="str">
        <f t="shared" si="3"/>
        <v>Currently Unavailable</v>
      </c>
      <c r="I9980" s="1" t="str">
        <f t="shared" si="4"/>
        <v>No Badges</v>
      </c>
      <c r="J9980" s="3">
        <f t="shared" si="5"/>
        <v>0</v>
      </c>
    </row>
    <row r="9981">
      <c r="A9981" s="1" t="s">
        <v>7679</v>
      </c>
      <c r="B9981" s="3" t="str">
        <f t="shared" si="1"/>
        <v>Unavailable</v>
      </c>
      <c r="C9981" s="5">
        <v>15196.0</v>
      </c>
      <c r="D9981" s="3">
        <f>IFERROR(__xludf.DUMMYFUNCTION("IFERROR(
IF(REGEXMATCH(LOWER(O9981),""k""),
VALUE(REGEXEXTRACT(O9981,""[0-9]+""))*1000,
VALUE(REGEXEXTRACT(O9981,""[0-9]+""))
),
0
)"),0.0)</f>
        <v>0</v>
      </c>
      <c r="E9981" s="1" t="s">
        <v>11</v>
      </c>
      <c r="F9981" s="1" t="s">
        <v>20</v>
      </c>
      <c r="G9981" s="4" t="b">
        <f t="shared" si="2"/>
        <v>1</v>
      </c>
      <c r="H9981" s="1" t="str">
        <f t="shared" si="3"/>
        <v>Currently Unavailable</v>
      </c>
      <c r="I9981" s="1" t="str">
        <f t="shared" si="4"/>
        <v>No Badges</v>
      </c>
      <c r="J9981" s="3">
        <f t="shared" si="5"/>
        <v>0</v>
      </c>
    </row>
    <row r="9982">
      <c r="A9982" s="1" t="s">
        <v>7680</v>
      </c>
      <c r="B9982" s="3" t="str">
        <f t="shared" si="1"/>
        <v>Unavailable</v>
      </c>
      <c r="C9982" s="5">
        <v>3470.0</v>
      </c>
      <c r="D9982" s="3">
        <f>IFERROR(__xludf.DUMMYFUNCTION("IFERROR(
IF(REGEXMATCH(LOWER(O9982),""k""),
VALUE(REGEXEXTRACT(O9982,""[0-9]+""))*1000,
VALUE(REGEXEXTRACT(O9982,""[0-9]+""))
),
0
)"),0.0)</f>
        <v>0</v>
      </c>
      <c r="E9982" s="1" t="s">
        <v>11</v>
      </c>
      <c r="F9982" s="1" t="s">
        <v>20</v>
      </c>
      <c r="G9982" s="4" t="b">
        <f t="shared" si="2"/>
        <v>1</v>
      </c>
      <c r="H9982" s="1" t="str">
        <f t="shared" si="3"/>
        <v>Currently Unavailable</v>
      </c>
      <c r="I9982" s="1" t="str">
        <f t="shared" si="4"/>
        <v>No Badges</v>
      </c>
      <c r="J9982" s="3">
        <f t="shared" si="5"/>
        <v>0</v>
      </c>
    </row>
    <row r="9983">
      <c r="A9983" s="1" t="s">
        <v>7681</v>
      </c>
      <c r="B9983" s="3" t="str">
        <f t="shared" si="1"/>
        <v>Unavailable</v>
      </c>
      <c r="C9983" s="5">
        <v>4725.0</v>
      </c>
      <c r="D9983" s="3">
        <f>IFERROR(__xludf.DUMMYFUNCTION("IFERROR(
IF(REGEXMATCH(LOWER(O9983),""k""),
VALUE(REGEXEXTRACT(O9983,""[0-9]+""))*1000,
VALUE(REGEXEXTRACT(O9983,""[0-9]+""))
),
0
)"),0.0)</f>
        <v>0</v>
      </c>
      <c r="E9983" s="1" t="s">
        <v>11</v>
      </c>
      <c r="F9983" s="1" t="s">
        <v>20</v>
      </c>
      <c r="G9983" s="4" t="b">
        <f t="shared" si="2"/>
        <v>1</v>
      </c>
      <c r="H9983" s="1" t="str">
        <f t="shared" si="3"/>
        <v>Currently Unavailable</v>
      </c>
      <c r="I9983" s="1" t="str">
        <f t="shared" si="4"/>
        <v>No Badges</v>
      </c>
      <c r="J9983" s="3">
        <f t="shared" si="5"/>
        <v>0</v>
      </c>
    </row>
    <row r="9984">
      <c r="A9984" s="1" t="s">
        <v>7682</v>
      </c>
      <c r="B9984" s="3" t="str">
        <f t="shared" si="1"/>
        <v>Unavailable</v>
      </c>
      <c r="C9984" s="3">
        <v>109.0</v>
      </c>
      <c r="D9984" s="3">
        <f>IFERROR(__xludf.DUMMYFUNCTION("IFERROR(
IF(REGEXMATCH(LOWER(O9984),""k""),
VALUE(REGEXEXTRACT(O9984,""[0-9]+""))*1000,
VALUE(REGEXEXTRACT(O9984,""[0-9]+""))
),
0
)"),0.0)</f>
        <v>0</v>
      </c>
      <c r="E9984" s="1" t="s">
        <v>11</v>
      </c>
      <c r="F9984" s="1" t="s">
        <v>20</v>
      </c>
      <c r="G9984" s="4" t="b">
        <f t="shared" si="2"/>
        <v>1</v>
      </c>
      <c r="H9984" s="1" t="str">
        <f t="shared" si="3"/>
        <v>Currently Unavailable</v>
      </c>
      <c r="I9984" s="1" t="str">
        <f t="shared" si="4"/>
        <v>No Badges</v>
      </c>
      <c r="J9984" s="6">
        <f t="shared" si="5"/>
        <v>0</v>
      </c>
    </row>
    <row r="9985">
      <c r="A9985" s="1" t="s">
        <v>7683</v>
      </c>
      <c r="B9985" s="3" t="str">
        <f t="shared" si="1"/>
        <v>Unavailable</v>
      </c>
      <c r="C9985" s="5">
        <v>69726.0</v>
      </c>
      <c r="D9985" s="3">
        <f>IFERROR(__xludf.DUMMYFUNCTION("IFERROR(
IF(REGEXMATCH(LOWER(O9985),""k""),
VALUE(REGEXEXTRACT(O9985,""[0-9]+""))*1000,
VALUE(REGEXEXTRACT(O9985,""[0-9]+""))
),
0
)"),0.0)</f>
        <v>0</v>
      </c>
      <c r="E9985" s="1" t="s">
        <v>11</v>
      </c>
      <c r="F9985" s="1" t="s">
        <v>20</v>
      </c>
      <c r="G9985" s="4" t="b">
        <f t="shared" si="2"/>
        <v>1</v>
      </c>
      <c r="H9985" s="1" t="str">
        <f t="shared" si="3"/>
        <v>Currently Unavailable</v>
      </c>
      <c r="I9985" s="1" t="str">
        <f t="shared" si="4"/>
        <v>No Badges</v>
      </c>
      <c r="J9985" s="3">
        <f t="shared" si="5"/>
        <v>0</v>
      </c>
    </row>
    <row r="9986">
      <c r="A9986" s="1" t="s">
        <v>7684</v>
      </c>
      <c r="B9986" s="3" t="str">
        <f t="shared" si="1"/>
        <v>Unavailable</v>
      </c>
      <c r="C9986" s="5">
        <v>20721.0</v>
      </c>
      <c r="D9986" s="3">
        <f>IFERROR(__xludf.DUMMYFUNCTION("IFERROR(
IF(REGEXMATCH(LOWER(O9986),""k""),
VALUE(REGEXEXTRACT(O9986,""[0-9]+""))*1000,
VALUE(REGEXEXTRACT(O9986,""[0-9]+""))
),
0
)"),0.0)</f>
        <v>0</v>
      </c>
      <c r="E9986" s="1" t="s">
        <v>11</v>
      </c>
      <c r="F9986" s="1" t="s">
        <v>20</v>
      </c>
      <c r="G9986" s="4" t="b">
        <f t="shared" si="2"/>
        <v>1</v>
      </c>
      <c r="H9986" s="1" t="str">
        <f t="shared" si="3"/>
        <v>Currently Unavailable</v>
      </c>
      <c r="I9986" s="1" t="str">
        <f t="shared" si="4"/>
        <v>No Badges</v>
      </c>
      <c r="J9986" s="3">
        <f t="shared" si="5"/>
        <v>0</v>
      </c>
    </row>
    <row r="9987">
      <c r="A9987" s="1" t="s">
        <v>7685</v>
      </c>
      <c r="B9987" s="3" t="str">
        <f t="shared" si="1"/>
        <v>Unavailable</v>
      </c>
      <c r="C9987" s="3">
        <v>15.0</v>
      </c>
      <c r="D9987" s="3">
        <f>IFERROR(__xludf.DUMMYFUNCTION("IFERROR(
IF(REGEXMATCH(LOWER(O9987),""k""),
VALUE(REGEXEXTRACT(O9987,""[0-9]+""))*1000,
VALUE(REGEXEXTRACT(O9987,""[0-9]+""))
),
0
)"),0.0)</f>
        <v>0</v>
      </c>
      <c r="E9987" s="1" t="s">
        <v>11</v>
      </c>
      <c r="F9987" s="1" t="s">
        <v>20</v>
      </c>
      <c r="G9987" s="4" t="b">
        <f t="shared" si="2"/>
        <v>1</v>
      </c>
      <c r="H9987" s="1" t="str">
        <f t="shared" si="3"/>
        <v>Currently Unavailable</v>
      </c>
      <c r="I9987" s="1" t="str">
        <f t="shared" si="4"/>
        <v>No Badges</v>
      </c>
      <c r="J9987" s="3">
        <f t="shared" si="5"/>
        <v>0</v>
      </c>
    </row>
    <row r="9988">
      <c r="A9988" s="1" t="s">
        <v>7686</v>
      </c>
      <c r="B9988" s="3" t="str">
        <f t="shared" si="1"/>
        <v>Unavailable</v>
      </c>
      <c r="C9988" s="5">
        <v>12321.0</v>
      </c>
      <c r="D9988" s="3">
        <f>IFERROR(__xludf.DUMMYFUNCTION("IFERROR(
IF(REGEXMATCH(LOWER(O9988),""k""),
VALUE(REGEXEXTRACT(O9988,""[0-9]+""))*1000,
VALUE(REGEXEXTRACT(O9988,""[0-9]+""))
),
0
)"),0.0)</f>
        <v>0</v>
      </c>
      <c r="E9988" s="1" t="s">
        <v>11</v>
      </c>
      <c r="F9988" s="1" t="s">
        <v>20</v>
      </c>
      <c r="G9988" s="4" t="b">
        <f t="shared" si="2"/>
        <v>1</v>
      </c>
      <c r="H9988" s="1" t="str">
        <f t="shared" si="3"/>
        <v>Currently Unavailable</v>
      </c>
      <c r="I9988" s="1" t="str">
        <f t="shared" si="4"/>
        <v>No Badges</v>
      </c>
      <c r="J9988" s="3">
        <f t="shared" si="5"/>
        <v>0</v>
      </c>
    </row>
    <row r="9989">
      <c r="A9989" s="1" t="s">
        <v>7687</v>
      </c>
      <c r="B9989" s="3" t="str">
        <f t="shared" si="1"/>
        <v>Unavailable</v>
      </c>
      <c r="C9989" s="3">
        <v>406.0</v>
      </c>
      <c r="D9989" s="3">
        <f>IFERROR(__xludf.DUMMYFUNCTION("IFERROR(
IF(REGEXMATCH(LOWER(O9989),""k""),
VALUE(REGEXEXTRACT(O9989,""[0-9]+""))*1000,
VALUE(REGEXEXTRACT(O9989,""[0-9]+""))
),
0
)"),0.0)</f>
        <v>0</v>
      </c>
      <c r="E9989" s="1" t="s">
        <v>11</v>
      </c>
      <c r="F9989" s="1" t="s">
        <v>20</v>
      </c>
      <c r="G9989" s="4" t="b">
        <f t="shared" si="2"/>
        <v>1</v>
      </c>
      <c r="H9989" s="1" t="str">
        <f t="shared" si="3"/>
        <v>Currently Unavailable</v>
      </c>
      <c r="I9989" s="1" t="str">
        <f t="shared" si="4"/>
        <v>No Badges</v>
      </c>
      <c r="J9989" s="3">
        <f t="shared" si="5"/>
        <v>0</v>
      </c>
    </row>
    <row r="9990">
      <c r="A9990" s="1" t="s">
        <v>7688</v>
      </c>
      <c r="B9990" s="3" t="str">
        <f t="shared" si="1"/>
        <v>Unavailable</v>
      </c>
      <c r="C9990" s="5">
        <v>7755.0</v>
      </c>
      <c r="D9990" s="3">
        <f>IFERROR(__xludf.DUMMYFUNCTION("IFERROR(
IF(REGEXMATCH(LOWER(O9990),""k""),
VALUE(REGEXEXTRACT(O9990,""[0-9]+""))*1000,
VALUE(REGEXEXTRACT(O9990,""[0-9]+""))
),
0
)"),0.0)</f>
        <v>0</v>
      </c>
      <c r="E9990" s="1" t="s">
        <v>11</v>
      </c>
      <c r="F9990" s="1" t="s">
        <v>20</v>
      </c>
      <c r="G9990" s="4" t="b">
        <f t="shared" si="2"/>
        <v>1</v>
      </c>
      <c r="H9990" s="1" t="str">
        <f t="shared" si="3"/>
        <v>Currently Unavailable</v>
      </c>
      <c r="I9990" s="1" t="str">
        <f t="shared" si="4"/>
        <v>No Badges</v>
      </c>
      <c r="J9990" s="3">
        <f t="shared" si="5"/>
        <v>0</v>
      </c>
    </row>
    <row r="9991">
      <c r="A9991" s="1" t="s">
        <v>7689</v>
      </c>
      <c r="B9991" s="3" t="str">
        <f t="shared" si="1"/>
        <v>Unavailable</v>
      </c>
      <c r="C9991" s="5">
        <v>42045.0</v>
      </c>
      <c r="D9991" s="3">
        <f>IFERROR(__xludf.DUMMYFUNCTION("IFERROR(
IF(REGEXMATCH(LOWER(O9991),""k""),
VALUE(REGEXEXTRACT(O9991,""[0-9]+""))*1000,
VALUE(REGEXEXTRACT(O9991,""[0-9]+""))
),
0
)"),0.0)</f>
        <v>0</v>
      </c>
      <c r="E9991" s="1" t="s">
        <v>11</v>
      </c>
      <c r="F9991" s="1" t="s">
        <v>20</v>
      </c>
      <c r="G9991" s="4" t="b">
        <f t="shared" si="2"/>
        <v>1</v>
      </c>
      <c r="H9991" s="1" t="str">
        <f t="shared" si="3"/>
        <v>Currently Unavailable</v>
      </c>
      <c r="I9991" s="1" t="str">
        <f t="shared" si="4"/>
        <v>No Badges</v>
      </c>
      <c r="J9991" s="3">
        <f t="shared" si="5"/>
        <v>0</v>
      </c>
    </row>
    <row r="9992">
      <c r="A9992" s="1" t="s">
        <v>7690</v>
      </c>
      <c r="B9992" s="3" t="str">
        <f t="shared" si="1"/>
        <v>Unavailable</v>
      </c>
      <c r="C9992" s="5">
        <v>16639.0</v>
      </c>
      <c r="D9992" s="3">
        <f>IFERROR(__xludf.DUMMYFUNCTION("IFERROR(
IF(REGEXMATCH(LOWER(O9992),""k""),
VALUE(REGEXEXTRACT(O9992,""[0-9]+""))*1000,
VALUE(REGEXEXTRACT(O9992,""[0-9]+""))
),
0
)"),0.0)</f>
        <v>0</v>
      </c>
      <c r="E9992" s="1" t="s">
        <v>11</v>
      </c>
      <c r="F9992" s="1" t="s">
        <v>20</v>
      </c>
      <c r="G9992" s="4" t="b">
        <f t="shared" si="2"/>
        <v>1</v>
      </c>
      <c r="H9992" s="1" t="str">
        <f t="shared" si="3"/>
        <v>Currently Unavailable</v>
      </c>
      <c r="I9992" s="1" t="str">
        <f t="shared" si="4"/>
        <v>No Badges</v>
      </c>
      <c r="J9992" s="3">
        <f t="shared" si="5"/>
        <v>0</v>
      </c>
    </row>
    <row r="9993">
      <c r="A9993" s="1" t="s">
        <v>7691</v>
      </c>
      <c r="B9993" s="3" t="str">
        <f t="shared" si="1"/>
        <v>Unavailable</v>
      </c>
      <c r="C9993" s="5">
        <v>6519.0</v>
      </c>
      <c r="D9993" s="3">
        <f>IFERROR(__xludf.DUMMYFUNCTION("IFERROR(
IF(REGEXMATCH(LOWER(O9993),""k""),
VALUE(REGEXEXTRACT(O9993,""[0-9]+""))*1000,
VALUE(REGEXEXTRACT(O9993,""[0-9]+""))
),
0
)"),0.0)</f>
        <v>0</v>
      </c>
      <c r="E9993" s="1" t="s">
        <v>11</v>
      </c>
      <c r="F9993" s="1" t="s">
        <v>20</v>
      </c>
      <c r="G9993" s="4" t="b">
        <f t="shared" si="2"/>
        <v>1</v>
      </c>
      <c r="H9993" s="1" t="str">
        <f t="shared" si="3"/>
        <v>Currently Unavailable</v>
      </c>
      <c r="I9993" s="1" t="str">
        <f t="shared" si="4"/>
        <v>No Badges</v>
      </c>
      <c r="J9993" s="3">
        <f t="shared" si="5"/>
        <v>0</v>
      </c>
    </row>
    <row r="9994">
      <c r="A9994" s="1" t="s">
        <v>7692</v>
      </c>
      <c r="B9994" s="3" t="str">
        <f t="shared" si="1"/>
        <v>Unavailable</v>
      </c>
      <c r="C9994" s="5">
        <v>13212.0</v>
      </c>
      <c r="D9994" s="3">
        <f>IFERROR(__xludf.DUMMYFUNCTION("IFERROR(
IF(REGEXMATCH(LOWER(O9994),""k""),
VALUE(REGEXEXTRACT(O9994,""[0-9]+""))*1000,
VALUE(REGEXEXTRACT(O9994,""[0-9]+""))
),
0
)"),0.0)</f>
        <v>0</v>
      </c>
      <c r="E9994" s="1" t="s">
        <v>158</v>
      </c>
      <c r="F9994" s="1" t="s">
        <v>20</v>
      </c>
      <c r="G9994" s="4" t="b">
        <f t="shared" si="2"/>
        <v>1</v>
      </c>
      <c r="H9994" s="1" t="str">
        <f t="shared" si="3"/>
        <v>Currently Unavailable</v>
      </c>
      <c r="I9994" s="1" t="str">
        <f t="shared" si="4"/>
        <v>No Badges</v>
      </c>
      <c r="J9994" s="3">
        <f t="shared" si="5"/>
        <v>0</v>
      </c>
    </row>
    <row r="9995">
      <c r="A9995" s="1" t="s">
        <v>7693</v>
      </c>
      <c r="B9995" s="3" t="str">
        <f t="shared" si="1"/>
        <v>Unavailable</v>
      </c>
      <c r="C9995" s="3">
        <v>412.0</v>
      </c>
      <c r="D9995" s="3">
        <f>IFERROR(__xludf.DUMMYFUNCTION("IFERROR(
IF(REGEXMATCH(LOWER(O9995),""k""),
VALUE(REGEXEXTRACT(O9995,""[0-9]+""))*1000,
VALUE(REGEXEXTRACT(O9995,""[0-9]+""))
),
0
)"),0.0)</f>
        <v>0</v>
      </c>
      <c r="E9995" s="1" t="s">
        <v>11</v>
      </c>
      <c r="F9995" s="1" t="s">
        <v>20</v>
      </c>
      <c r="G9995" s="4" t="b">
        <f t="shared" si="2"/>
        <v>1</v>
      </c>
      <c r="H9995" s="1" t="str">
        <f t="shared" si="3"/>
        <v>Currently Unavailable</v>
      </c>
      <c r="I9995" s="1" t="str">
        <f t="shared" si="4"/>
        <v>No Badges</v>
      </c>
      <c r="J9995" s="3">
        <f t="shared" si="5"/>
        <v>0</v>
      </c>
    </row>
    <row r="9996">
      <c r="A9996" s="1" t="s">
        <v>7694</v>
      </c>
      <c r="B9996" s="3" t="str">
        <f t="shared" si="1"/>
        <v>Unavailable</v>
      </c>
      <c r="C9996" s="5">
        <v>12335.0</v>
      </c>
      <c r="D9996" s="3">
        <f>IFERROR(__xludf.DUMMYFUNCTION("IFERROR(
IF(REGEXMATCH(LOWER(O9996),""k""),
VALUE(REGEXEXTRACT(O9996,""[0-9]+""))*1000,
VALUE(REGEXEXTRACT(O9996,""[0-9]+""))
),
0
)"),0.0)</f>
        <v>0</v>
      </c>
      <c r="E9996" s="1" t="s">
        <v>11</v>
      </c>
      <c r="F9996" s="1" t="s">
        <v>20</v>
      </c>
      <c r="G9996" s="4" t="b">
        <f t="shared" si="2"/>
        <v>1</v>
      </c>
      <c r="H9996" s="1" t="str">
        <f t="shared" si="3"/>
        <v>Currently Unavailable</v>
      </c>
      <c r="I9996" s="1" t="str">
        <f t="shared" si="4"/>
        <v>No Badges</v>
      </c>
      <c r="J9996" s="3">
        <f t="shared" si="5"/>
        <v>0</v>
      </c>
    </row>
    <row r="9997">
      <c r="A9997" s="1" t="s">
        <v>7695</v>
      </c>
      <c r="B9997" s="3" t="str">
        <f t="shared" si="1"/>
        <v>Unavailable</v>
      </c>
      <c r="C9997" s="5">
        <v>205678.0</v>
      </c>
      <c r="D9997" s="3">
        <f>IFERROR(__xludf.DUMMYFUNCTION("IFERROR(
IF(REGEXMATCH(LOWER(O9997),""k""),
VALUE(REGEXEXTRACT(O9997,""[0-9]+""))*1000,
VALUE(REGEXEXTRACT(O9997,""[0-9]+""))
),
0
)"),0.0)</f>
        <v>0</v>
      </c>
      <c r="E9997" s="1" t="s">
        <v>11</v>
      </c>
      <c r="F9997" s="1" t="s">
        <v>20</v>
      </c>
      <c r="G9997" s="4" t="b">
        <f t="shared" si="2"/>
        <v>1</v>
      </c>
      <c r="H9997" s="1" t="str">
        <f t="shared" si="3"/>
        <v>Currently Unavailable</v>
      </c>
      <c r="I9997" s="1" t="str">
        <f t="shared" si="4"/>
        <v>No Badges</v>
      </c>
      <c r="J9997" s="3">
        <f t="shared" si="5"/>
        <v>0</v>
      </c>
    </row>
    <row r="9998">
      <c r="A9998" s="1" t="s">
        <v>7696</v>
      </c>
      <c r="B9998" s="3" t="str">
        <f t="shared" si="1"/>
        <v>Unavailable</v>
      </c>
      <c r="C9998" s="5">
        <v>17689.0</v>
      </c>
      <c r="D9998" s="3">
        <f>IFERROR(__xludf.DUMMYFUNCTION("IFERROR(
IF(REGEXMATCH(LOWER(O9998),""k""),
VALUE(REGEXEXTRACT(O9998,""[0-9]+""))*1000,
VALUE(REGEXEXTRACT(O9998,""[0-9]+""))
),
0
)"),0.0)</f>
        <v>0</v>
      </c>
      <c r="E9998" s="1" t="s">
        <v>11</v>
      </c>
      <c r="F9998" s="1" t="s">
        <v>20</v>
      </c>
      <c r="G9998" s="4" t="b">
        <f t="shared" si="2"/>
        <v>1</v>
      </c>
      <c r="H9998" s="1" t="str">
        <f t="shared" si="3"/>
        <v>Currently Unavailable</v>
      </c>
      <c r="I9998" s="1" t="str">
        <f t="shared" si="4"/>
        <v>No Badges</v>
      </c>
      <c r="J9998" s="3">
        <f t="shared" si="5"/>
        <v>0</v>
      </c>
    </row>
    <row r="9999">
      <c r="A9999" s="1" t="s">
        <v>7697</v>
      </c>
      <c r="B9999" s="3" t="str">
        <f t="shared" si="1"/>
        <v>Unavailable</v>
      </c>
      <c r="C9999" s="5">
        <v>4113.0</v>
      </c>
      <c r="D9999" s="3">
        <f>IFERROR(__xludf.DUMMYFUNCTION("IFERROR(
IF(REGEXMATCH(LOWER(O9999),""k""),
VALUE(REGEXEXTRACT(O9999,""[0-9]+""))*1000,
VALUE(REGEXEXTRACT(O9999,""[0-9]+""))
),
0
)"),0.0)</f>
        <v>0</v>
      </c>
      <c r="E9999" s="1" t="s">
        <v>11</v>
      </c>
      <c r="F9999" s="1" t="s">
        <v>20</v>
      </c>
      <c r="G9999" s="4" t="b">
        <f t="shared" si="2"/>
        <v>1</v>
      </c>
      <c r="H9999" s="1" t="str">
        <f t="shared" si="3"/>
        <v>Currently Unavailable</v>
      </c>
      <c r="I9999" s="1" t="str">
        <f t="shared" si="4"/>
        <v>No Badges</v>
      </c>
      <c r="J9999" s="3">
        <f t="shared" si="5"/>
        <v>0</v>
      </c>
    </row>
    <row r="10000">
      <c r="A10000" s="1" t="s">
        <v>7690</v>
      </c>
      <c r="B10000" s="3" t="str">
        <f t="shared" si="1"/>
        <v>Unavailable</v>
      </c>
      <c r="C10000" s="5">
        <v>16639.0</v>
      </c>
      <c r="D10000" s="3">
        <f>IFERROR(__xludf.DUMMYFUNCTION("IFERROR(
IF(REGEXMATCH(LOWER(O10000),""k""),
VALUE(REGEXEXTRACT(O10000,""[0-9]+""))*1000,
VALUE(REGEXEXTRACT(O10000,""[0-9]+""))
),
0
)"),0.0)</f>
        <v>0</v>
      </c>
      <c r="E10000" s="1" t="s">
        <v>11</v>
      </c>
      <c r="F10000" s="1" t="s">
        <v>12</v>
      </c>
      <c r="G10000" s="4" t="b">
        <f t="shared" si="2"/>
        <v>1</v>
      </c>
      <c r="H10000" s="1" t="str">
        <f t="shared" si="3"/>
        <v>Currently Unavailable</v>
      </c>
      <c r="I10000" s="1" t="str">
        <f t="shared" si="4"/>
        <v>No Badges</v>
      </c>
      <c r="J10000" s="3">
        <f t="shared" si="5"/>
        <v>0</v>
      </c>
    </row>
  </sheetData>
  <drawing r:id="rId1"/>
</worksheet>
</file>